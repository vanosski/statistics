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350b40d1a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5c3d22f56ce4340"/>
    <x:sheet xmlns:r="http://schemas.openxmlformats.org/officeDocument/2006/relationships" name="Server Comparison" sheetId="2" r:id="R9cc1fca7ca504f77"/>
    <x:sheet xmlns:r="http://schemas.openxmlformats.org/officeDocument/2006/relationships" name="Overview" sheetId="3" r:id="Rea49433948bd47d1"/>
    <x:sheet xmlns:r="http://schemas.openxmlformats.org/officeDocument/2006/relationships" name="Overall Strength &amp; Matchups" sheetId="4" r:id="R7728b9930bf14db7"/>
    <x:sheet xmlns:r="http://schemas.openxmlformats.org/officeDocument/2006/relationships" name="All Stats" sheetId="5" r:id="R81a3912f5de645c8"/>
    <x:sheet xmlns:r="http://schemas.openxmlformats.org/officeDocument/2006/relationships" name="Specialisations" sheetId="6" r:id="Ra22cdf81b4e848e1"/>
    <x:sheet xmlns:r="http://schemas.openxmlformats.org/officeDocument/2006/relationships" name="Damage Ranking" sheetId="7" r:id="Recea5639f0704462"/>
    <x:sheet xmlns:r="http://schemas.openxmlformats.org/officeDocument/2006/relationships" name="Top 25 Total Damage" sheetId="8" r:id="Rf3073d212d424e45"/>
    <x:sheet xmlns:r="http://schemas.openxmlformats.org/officeDocument/2006/relationships" name="Damage Dashboard" sheetId="9" r:id="Ra1891d3fec2c45e9"/>
    <x:sheet xmlns:r="http://schemas.openxmlformats.org/officeDocument/2006/relationships" name="Kingdom KPI" sheetId="10" r:id="R461ea65d0c7e4efc"/>
    <x:sheet xmlns:r="http://schemas.openxmlformats.org/officeDocument/2006/relationships" name="Average Comparison" sheetId="11" r:id="R76ca5a7beff74da0"/>
    <x:sheet xmlns:r="http://schemas.openxmlformats.org/officeDocument/2006/relationships" name="Tank &amp; Control" sheetId="12" r:id="Rb68d99f3f76a4a50"/>
    <x:sheet xmlns:r="http://schemas.openxmlformats.org/officeDocument/2006/relationships" name="Specialisations Raw" sheetId="13" r:id="R9997219ce8d249d3"/>
    <x:sheet xmlns:r="http://schemas.openxmlformats.org/officeDocument/2006/relationships" name="Badge Lookup" sheetId="14" r:id="R41cdb3e47d434f83"/>
    <x:sheet xmlns:r="http://schemas.openxmlformats.org/officeDocument/2006/relationships" name="Castle Badge Strength" sheetId="15" r:id="R6f1b92c374314ced"/>
    <x:sheet xmlns:r="http://schemas.openxmlformats.org/officeDocument/2006/relationships" name="Specialisation Impact" sheetId="16" r:id="R3ba88ae213a649ca"/>
    <x:sheet xmlns:r="http://schemas.openxmlformats.org/officeDocument/2006/relationships" name="Player Scenario Model" sheetId="17" r:id="Ra2b94f68bb944442"/>
    <x:sheet xmlns:r="http://schemas.openxmlformats.org/officeDocument/2006/relationships" name="Specialisation Scenarios" sheetId="18" r:id="R34d8524525f84b55"/>
    <x:sheet xmlns:r="http://schemas.openxmlformats.org/officeDocument/2006/relationships" name="Specialisation Rankings" sheetId="19" r:id="R43bb7a59c6ea4484"/>
    <x:sheet xmlns:r="http://schemas.openxmlformats.org/officeDocument/2006/relationships" name="Badge Rankings" sheetId="20" r:id="R26985e2365c1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+0.00%;-0.00%;0.00%"/>
    <x:numFmt numFmtId="201" formatCode="0.0"/>
    <x:numFmt numFmtId="202" formatCode="0"/>
    <x:numFmt numFmtId="203" formatCode="0%"/>
    <x:numFmt numFmtId="204" formatCode="+#,##0;-#,##0;0"/>
    <x:numFmt numFmtId="205" formatCode="0.00"/>
    <x:numFmt numFmtId="206" formatCode="0.00%"/>
    <x:numFmt numFmtId="207" formatCode="#,##0"/>
    <x:numFmt numFmtId="208" formatCode="0.0%"/>
    <x:numFmt numFmtId="209" formatCode="+0.00;-0.00;0.00"/>
    <x:numFmt numFmtId="210" formatCode="+0;-0;–"/>
    <x:numFmt numFmtId="211" formatCode="+0.00&quot;%&quot;;-0.00&quot;%&quot;;0.00&quot;%&quot;"/>
  </x:numFmts>
  <x:fonts count="34">
    <x:font>
      <x:sz val="11"/>
      <x:name val="Carlito"/>
    </x:font>
    <x:font>
      <x:b/>
      <x:sz val="11"/>
      <x:color rgb="FFFFFFFF"/>
      <x:name val="Carlito"/>
    </x:font>
    <x:font>
      <x:sz val="11"/>
      <x:color rgb="FFCBD5E1"/>
      <x:name val="Carlito"/>
    </x:font>
    <x:font>
      <x:b/>
      <x:sz val="11"/>
      <x:color rgb="FF0B1220"/>
      <x:name val="Carlito"/>
    </x:font>
    <x:font>
      <x:sz val="11"/>
      <x:color rgb="FF475569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b/>
      <x:sz val="11"/>
      <x:color rgb="FF0891B2"/>
      <x:name val="Carlito"/>
    </x:font>
    <x:font>
      <x:b/>
      <x:sz val="11"/>
      <x:color rgb="FFDC2626"/>
      <x:name val="Carlito"/>
    </x:font>
    <x:font>
      <x:b/>
      <x:sz val="11"/>
      <x:color rgb="FFDB2777"/>
      <x:name val="Carlito"/>
    </x:font>
    <x:font>
      <x:b/>
      <x:sz val="11"/>
      <x:color rgb="FF2563EB"/>
      <x:name val="Carlito"/>
    </x:font>
    <x:font>
      <x:b/>
      <x:sz val="11"/>
      <x:color rgb="FF65A30D"/>
      <x:name val="Carlito"/>
    </x:font>
    <x:font>
      <x:b/>
      <x:sz val="11"/>
      <x:color rgb="FFF59E0B"/>
      <x:name val="Carlito"/>
    </x:font>
    <x:font>
      <x:b/>
      <x:sz val="11"/>
      <x:color rgb="FF7C3AED"/>
      <x:name val="Carlito"/>
    </x:font>
    <x:font>
      <x:b/>
      <x:sz val="11"/>
      <x:color rgb="FF16A34A"/>
      <x:name val="Carlito"/>
    </x:font>
    <x:font>
      <x:i/>
      <x:sz val="11"/>
      <x:color rgb="FF64748B"/>
      <x:name val="Carlito"/>
    </x:font>
    <x:font>
      <x:sz val="11"/>
      <x:color rgb="FF64748B"/>
      <x:name val="Carlito"/>
    </x:font>
    <x:font>
      <x:sz val="11"/>
      <x:color rgb="FF475569"/>
      <x:name val="Carlito"/>
    </x:font>
    <x:font>
      <x:sz val="11"/>
      <x:color rgb="FF166534"/>
      <x:name val="Carlito"/>
    </x:font>
    <x:font>
      <x:b/>
      <x:sz val="11"/>
      <x:color rgb="FF166534"/>
      <x:name val="Carlito"/>
    </x:font>
    <x:font>
      <x:sz val="11"/>
      <x:color rgb="FF991B1B"/>
      <x:name val="Carlito"/>
    </x:font>
    <x:font>
      <x:sz val="11"/>
      <x:color rgb="FF92400E"/>
      <x:name val="Carlito"/>
    </x:font>
    <x:font>
      <x:b/>
      <x:sz val="11"/>
      <x:color rgb="FF991B1B"/>
      <x:name val="Carlito"/>
    </x:font>
    <x:font>
      <x:sz val="11"/>
      <x:color rgb="FF1E3A8A"/>
      <x:name val="Carlito"/>
    </x:font>
    <x:font>
      <x:b/>
      <x:sz val="11"/>
      <x:color rgb="FF64748B"/>
      <x:name val="Carlito"/>
    </x:font>
    <x:font>
      <x:b/>
      <x:sz val="14"/>
      <x:color rgb="FFFFFFFF"/>
      <x:name val="Carlito"/>
    </x:font>
    <x:font>
      <x:sz val="10"/>
      <x:color rgb="FFCBD5E1"/>
      <x:name val="Carlito"/>
    </x:font>
    <x:font>
      <x:b/>
      <x:sz val="11"/>
      <x:color rgb="FFD97706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92400E"/>
      <x:name val="Carlito"/>
    </x:font>
    <x:font>
      <x:i/>
      <x:sz val="11"/>
      <x:color rgb="FF203040"/>
      <x:name val="Carlito"/>
    </x:font>
    <x:font>
      <x:b/>
      <x:sz val="11"/>
      <x:color rgb="FF203040"/>
      <x:name val="Carlito"/>
    </x:font>
    <x:font>
      <x:i/>
      <x:sz val="11"/>
      <x:color rgb="FF7F6000"/>
      <x:name val="Carlito"/>
    </x:font>
  </x:fonts>
  <x:fills count="98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111C2F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D9A52C"/>
      </x:patternFill>
    </x:fill>
    <x:fill>
      <x:patternFill patternType="solid">
        <x:fgColor rgb="FFFFF7E6"/>
      </x:patternFill>
    </x:fill>
    <x:fill>
      <x:patternFill patternType="solid">
        <x:fgColor rgb="FFCFFAFE"/>
      </x:patternFill>
    </x:fill>
    <x:fill>
      <x:patternFill patternType="solid">
        <x:fgColor rgb="FFFEE2E2"/>
      </x:patternFill>
    </x:fill>
    <x:fill>
      <x:patternFill patternType="solid">
        <x:fgColor rgb="FFFCE7F3"/>
      </x:patternFill>
    </x:fill>
    <x:fill>
      <x:patternFill patternType="solid">
        <x:fgColor rgb="FFDBEAFE"/>
      </x:patternFill>
    </x:fill>
    <x:fill>
      <x:patternFill patternType="solid">
        <x:fgColor rgb="FFECFCCB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DCFCE7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  <x:fill>
      <x:patternFill patternType="solid">
        <x:fgColor rgb="FF86EFAC"/>
      </x:patternFill>
    </x:fill>
    <x:fill>
      <x:patternFill patternType="solid">
        <x:fgColor rgb="FFFCA5A5"/>
      </x:patternFill>
    </x:fill>
    <x:fill>
      <x:patternFill patternType="solid">
        <x:fgColor rgb="FF0B1220"/>
      </x:patternFill>
    </x:fill>
    <x:fill>
      <x:patternFill patternType="solid">
        <x:fgColor rgb="FF111C2F"/>
      </x:patternFill>
    </x:fill>
    <x:fill>
      <x:patternFill patternType="solid">
        <x:fgColor rgb="FF334155"/>
      </x:patternFill>
    </x:fill>
    <x:fill>
      <x:patternFill patternType="solid">
        <x:fgColor rgb="FFCFFAFE"/>
      </x:patternFill>
    </x:fill>
    <x:fill>
      <x:patternFill patternType="solid">
        <x:fgColor rgb="FFFCE7F3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ECFCC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3B027"/>
      </x:patternFill>
    </x:fill>
    <x:fill>
      <x:patternFill patternType="solid">
        <x:fgColor rgb="FFFFF7E0"/>
      </x:patternFill>
    </x:fill>
    <x:fill>
      <x:patternFill patternType="solid">
        <x:fgColor rgb="FFE2E8F0"/>
      </x:patternFill>
    </x:fill>
    <x:fill>
      <x:patternFill patternType="solid">
        <x:fgColor rgb="FF0B1220"/>
      </x:patternFill>
    </x:fill>
    <x:fill>
      <x:patternFill patternType="solid">
        <x:fgColor rgb="FF111C2F"/>
      </x:patternFill>
    </x:fill>
    <x:fill>
      <x:patternFill patternType="solid">
        <x:fgColor rgb="FF334155"/>
      </x:patternFill>
    </x:fill>
    <x:fill>
      <x:patternFill patternType="solid">
        <x:fgColor rgb="FF0B1220"/>
      </x:patternFill>
    </x:fill>
    <x:fill>
      <x:patternFill patternType="solid">
        <x:fgColor rgb="FF111C2F"/>
      </x:patternFill>
    </x:fill>
    <x:fill>
      <x:patternFill patternType="solid">
        <x:fgColor rgb="FF334155"/>
      </x:patternFill>
    </x:fill>
    <x:fill>
      <x:patternFill patternType="solid">
        <x:fgColor rgb="FFE3B027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CFFAFE"/>
      </x:patternFill>
    </x:fill>
    <x:fill>
      <x:patternFill patternType="solid">
        <x:fgColor rgb="FFFCE7F3"/>
      </x:patternFill>
    </x:fill>
    <x:fill>
      <x:patternFill patternType="solid">
        <x:fgColor rgb="FFECFCCB"/>
      </x:patternFill>
    </x:fill>
    <x:fill>
      <x:patternFill patternType="solid">
        <x:fgColor rgb="FFFFF8E1"/>
      </x:patternFill>
    </x:fill>
    <x:fill>
      <x:patternFill patternType="solid">
        <x:fgColor rgb="FF0B1220"/>
      </x:patternFill>
    </x:fill>
    <x:fill>
      <x:patternFill patternType="solid">
        <x:fgColor rgb="FF111C2F"/>
      </x:patternFill>
    </x:fill>
    <x:fill>
      <x:patternFill patternType="solid">
        <x:fgColor rgb="FF334155"/>
      </x:patternFill>
    </x:fill>
    <x:fill>
      <x:patternFill patternType="solid">
        <x:fgColor rgb="FFE3B027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CFFAFE"/>
      </x:patternFill>
    </x:fill>
    <x:fill>
      <x:patternFill patternType="solid">
        <x:fgColor rgb="FFFCE7F3"/>
      </x:patternFill>
    </x:fill>
    <x:fill>
      <x:patternFill patternType="solid">
        <x:fgColor rgb="FFECFCCB"/>
      </x:patternFill>
    </x:fill>
    <x:fill>
      <x:patternFill patternType="solid">
        <x:fgColor rgb="FFFFF8E1"/>
      </x:patternFill>
    </x:fill>
    <x:fill>
      <x:patternFill patternType="solid">
        <x:fgColor rgb="FF0B1220"/>
      </x:patternFill>
    </x:fill>
    <x:fill>
      <x:patternFill patternType="solid">
        <x:fgColor rgb="FF111C2F"/>
      </x:patternFill>
    </x:fill>
    <x:fill>
      <x:patternFill patternType="solid">
        <x:fgColor rgb="FFF2B91B"/>
      </x:patternFill>
    </x:fill>
    <x:fill>
      <x:patternFill patternType="solid">
        <x:fgColor rgb="FFFEF3C7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E0F2FE"/>
      </x:patternFill>
    </x:fill>
    <x:fill>
      <x:patternFill patternType="solid">
        <x:fgColor rgb="FFCFFAFE"/>
      </x:patternFill>
    </x:fill>
    <x:fill>
      <x:patternFill patternType="solid">
        <x:fgColor rgb="FFFFE4E6"/>
      </x:patternFill>
    </x:fill>
    <x:fill>
      <x:patternFill patternType="solid">
        <x:fgColor rgb="FFFCE7F3"/>
      </x:patternFill>
    </x:fill>
    <x:fill>
      <x:patternFill patternType="solid">
        <x:fgColor rgb="FFDBEAFE"/>
      </x:patternFill>
    </x:fill>
    <x:fill>
      <x:patternFill patternType="solid">
        <x:fgColor rgb="FFEEF2FF"/>
      </x:patternFill>
    </x:fill>
    <x:fill>
      <x:patternFill patternType="solid">
        <x:fgColor rgb="FFECFCCB"/>
      </x:patternFill>
    </x:fill>
    <x:fill>
      <x:patternFill patternType="solid">
        <x:fgColor rgb="FFDCFCE7"/>
      </x:patternFill>
    </x:fill>
    <x:fill>
      <x:patternFill patternType="solid">
        <x:fgColor rgb="FF334155"/>
      </x:patternFill>
    </x:fill>
    <x:fill>
      <x:patternFill patternType="solid">
        <x:fgColor rgb="FF0B1220"/>
      </x:patternFill>
    </x:fill>
    <x:fill>
      <x:patternFill patternType="solid">
        <x:fgColor rgb="FF111C2F"/>
      </x:patternFill>
    </x:fill>
    <x:fill>
      <x:patternFill patternType="solid">
        <x:fgColor rgb="FFF2B91B"/>
      </x:patternFill>
    </x:fill>
    <x:fill>
      <x:patternFill patternType="solid">
        <x:fgColor rgb="FFF8FAFC"/>
      </x:patternFill>
    </x:fill>
    <x:fill>
      <x:patternFill patternType="solid">
        <x:fgColor rgb="FFE0F2FE"/>
      </x:patternFill>
    </x:fill>
    <x:fill>
      <x:patternFill patternType="solid">
        <x:fgColor rgb="FF111C2F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E0F2FE"/>
      </x:patternFill>
    </x:fill>
    <x:fill>
      <x:patternFill patternType="solid">
        <x:fgColor rgb="FF111C2F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F7FBFF"/>
      </x:patternFill>
    </x:fill>
    <x:fill>
      <x:patternFill patternType="solid">
        <x:fgColor rgb="FF142B4A"/>
      </x:patternFill>
    </x:fill>
    <x:fill>
      <x:patternFill patternType="solid">
        <x:fgColor rgb="FFDCEAF7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</x:fills>
  <x:borders count="51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1D79A"/>
      </x:left>
      <x:right style="thin">
        <x:color rgb="FFF1D79A"/>
      </x:right>
      <x:top style="thin">
        <x:color rgb="FFF1D79A"/>
      </x:top>
      <x:bottom style="thin">
        <x:color rgb="FFF1D79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E5C76B"/>
      </x:left>
      <x:top style="thin">
        <x:color rgb="FFE5C76B"/>
      </x:top>
    </x:border>
    <x:border>
      <x:top style="thin">
        <x:color rgb="FFE5C76B"/>
      </x:top>
    </x:border>
    <x:border>
      <x:right style="thin">
        <x:color rgb="FFE5C76B"/>
      </x:right>
      <x:top style="thin">
        <x:color rgb="FFE5C76B"/>
      </x:top>
    </x:border>
    <x:border>
      <x:left style="thin">
        <x:color rgb="FFE5C76B"/>
      </x:left>
    </x:border>
    <x:border>
      <x:right style="thin">
        <x:color rgb="FFE5C76B"/>
      </x:right>
    </x:border>
    <x:border>
      <x:left style="thin">
        <x:color rgb="FFE5C76B"/>
      </x:left>
      <x:bottom style="thin">
        <x:color rgb="FFE5C76B"/>
      </x:bottom>
    </x:border>
    <x:border>
      <x:bottom style="thin">
        <x:color rgb="FFE5C76B"/>
      </x:bottom>
    </x:border>
    <x:border>
      <x:right style="thin">
        <x:color rgb="FFE5C76B"/>
      </x:right>
      <x:bottom style="thin">
        <x:color rgb="FFE5C76B"/>
      </x:bottom>
    </x:border>
    <x:border>
      <x:left style="thin">
        <x:color rgb="FFE5C07B"/>
      </x:left>
      <x:right style="thin">
        <x:color rgb="FFE5C07B"/>
      </x:right>
      <x:top style="thin">
        <x:color rgb="FFE5C07B"/>
      </x:top>
      <x:bottom style="thin">
        <x:color rgb="FFE5C07B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E2E8F0"/>
      </x:bottom>
    </x:border>
    <x:border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  <x:border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left style="thin">
        <x:color rgb="FFCBD5E1"/>
      </x:left>
      <x:right style="medium">
        <x:color rgb="FF0B1220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0B1220"/>
      </x:right>
    </x:border>
    <x:border>
      <x:left style="thin">
        <x:color rgb="FFCBD5E1"/>
      </x:left>
      <x:right style="medium">
        <x:color rgb="FF0B1220"/>
      </x:right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top style="thin">
        <x:color rgb="FFCBD5E1"/>
      </x:top>
      <x:bottom style="thin">
        <x:color rgb="FFE2E8F0"/>
      </x:bottom>
    </x:border>
    <x:border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3A8BC"/>
      </x:left>
      <x:right style="thin">
        <x:color rgb="FF93A8BC"/>
      </x:right>
      <x:top style="thin">
        <x:color rgb="FF93A8BC"/>
      </x:top>
      <x:bottom style="thin">
        <x:color rgb="FF93A8BC"/>
      </x:bottom>
    </x:border>
    <x:border>
      <x:left style="thin">
        <x:color rgb="FFE4E9EF"/>
      </x:left>
      <x:right style="thin">
        <x:color rgb="FFE4E9EF"/>
      </x:right>
      <x:top style="thin">
        <x:color rgb="FFE4E9EF"/>
      </x:top>
      <x:bottom style="thin">
        <x:color rgb="FFE4E9EF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8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5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6" xfId="0" applyNumberFormat="1" applyFont="1" applyFill="1" applyBorder="1"/>
    <x:xf numFmtId="0" fontId="1" fillId="3" borderId="6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horizontal="center" vertical="center"/>
    </x:xf>
    <x:xf numFmtId="201" fontId="6" fillId="0" borderId="4" xfId="0" applyNumberFormat="1" applyFont="1" applyFill="1" applyBorder="1" applyAlignment="1">
      <x:alignment horizontal="center" vertical="center"/>
    </x:xf>
    <x:xf numFmtId="202" fontId="6" fillId="0" borderId="4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6" fillId="8" borderId="4" xfId="0" applyNumberFormat="1" applyFont="1" applyFill="1" applyBorder="1" applyAlignment="1">
      <x:alignment horizontal="center"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6" fillId="9" borderId="4" xfId="0" applyNumberFormat="1" applyFont="1" applyFill="1" applyBorder="1" applyAlignment="1">
      <x:alignment horizontal="center" vertical="center"/>
    </x:xf>
    <x:xf numFmtId="0" fontId="8" fillId="9" borderId="4" xfId="0" applyNumberFormat="1" applyFont="1" applyFill="1" applyBorder="1" applyAlignment="1">
      <x:alignment horizontal="center" vertical="center"/>
    </x:xf>
    <x:xf numFmtId="0" fontId="8" fillId="9" borderId="6" xfId="0" applyNumberFormat="1" applyFont="1" applyFill="1" applyBorder="1" applyAlignment="1">
      <x:alignment horizontal="center" vertical="center"/>
    </x:xf>
    <x:xf numFmtId="0" fontId="6" fillId="10" borderId="4" xfId="0" applyNumberFormat="1" applyFont="1" applyFill="1" applyBorder="1" applyAlignment="1">
      <x:alignment horizontal="center" vertical="center"/>
    </x:xf>
    <x:xf numFmtId="0" fontId="9" fillId="10" borderId="4" xfId="0" applyNumberFormat="1" applyFont="1" applyFill="1" applyBorder="1" applyAlignment="1">
      <x:alignment horizontal="center" vertical="center"/>
    </x:xf>
    <x:xf numFmtId="0" fontId="9" fillId="10" borderId="6" xfId="0" applyNumberFormat="1" applyFont="1" applyFill="1" applyBorder="1" applyAlignment="1">
      <x:alignment horizontal="center" vertical="center"/>
    </x:xf>
    <x:xf numFmtId="0" fontId="6" fillId="11" borderId="4" xfId="0" applyNumberFormat="1" applyFont="1" applyFill="1" applyBorder="1" applyAlignment="1">
      <x:alignment horizontal="center" vertical="center"/>
    </x:xf>
    <x:xf numFmtId="0" fontId="10" fillId="11" borderId="4" xfId="0" applyNumberFormat="1" applyFont="1" applyFill="1" applyBorder="1" applyAlignment="1">
      <x:alignment horizontal="center" vertical="center"/>
    </x:xf>
    <x:xf numFmtId="0" fontId="10" fillId="11" borderId="6" xfId="0" applyNumberFormat="1" applyFont="1" applyFill="1" applyBorder="1" applyAlignment="1">
      <x:alignment horizontal="center" vertical="center"/>
    </x:xf>
    <x:xf numFmtId="0" fontId="6" fillId="12" borderId="4" xfId="0" applyNumberFormat="1" applyFont="1" applyFill="1" applyBorder="1" applyAlignment="1">
      <x:alignment horizontal="center" vertical="center"/>
    </x:xf>
    <x:xf numFmtId="0" fontId="11" fillId="12" borderId="4" xfId="0" applyNumberFormat="1" applyFont="1" applyFill="1" applyBorder="1" applyAlignment="1">
      <x:alignment horizontal="center" vertical="center"/>
    </x:xf>
    <x:xf numFmtId="0" fontId="11" fillId="12" borderId="6" xfId="0" applyNumberFormat="1" applyFont="1" applyFill="1" applyBorder="1" applyAlignment="1">
      <x:alignment horizontal="center" vertical="center"/>
    </x:xf>
    <x:xf numFmtId="0" fontId="6" fillId="13" borderId="4" xfId="0" applyNumberFormat="1" applyFont="1" applyFill="1" applyBorder="1" applyAlignment="1">
      <x:alignment horizontal="center" vertical="center"/>
    </x:xf>
    <x:xf numFmtId="0" fontId="12" fillId="13" borderId="4" xfId="0" applyNumberFormat="1" applyFont="1" applyFill="1" applyBorder="1" applyAlignment="1">
      <x:alignment horizontal="center" vertical="center"/>
    </x:xf>
    <x:xf numFmtId="0" fontId="12" fillId="13" borderId="6" xfId="0" applyNumberFormat="1" applyFont="1" applyFill="1" applyBorder="1" applyAlignment="1">
      <x:alignment horizontal="center" vertical="center"/>
    </x:xf>
    <x:xf numFmtId="0" fontId="6" fillId="14" borderId="4" xfId="0" applyNumberFormat="1" applyFont="1" applyFill="1" applyBorder="1" applyAlignment="1">
      <x:alignment horizontal="center" vertical="center"/>
    </x:xf>
    <x:xf numFmtId="0" fontId="13" fillId="14" borderId="4" xfId="0" applyNumberFormat="1" applyFont="1" applyFill="1" applyBorder="1" applyAlignment="1">
      <x:alignment horizontal="center" vertical="center"/>
    </x:xf>
    <x:xf numFmtId="0" fontId="13" fillId="14" borderId="6" xfId="0" applyNumberFormat="1" applyFont="1" applyFill="1" applyBorder="1" applyAlignment="1">
      <x:alignment horizontal="center" vertical="center"/>
    </x:xf>
    <x:xf numFmtId="0" fontId="6" fillId="15" borderId="4" xfId="0" applyNumberFormat="1" applyFont="1" applyFill="1" applyBorder="1" applyAlignment="1">
      <x:alignment horizontal="center" vertical="center"/>
    </x:xf>
    <x:xf numFmtId="0" fontId="14" fillId="15" borderId="4" xfId="0" applyNumberFormat="1" applyFont="1" applyFill="1" applyBorder="1" applyAlignment="1">
      <x:alignment horizontal="center" vertical="center"/>
    </x:xf>
    <x:xf numFmtId="0" fontId="14" fillId="15" borderId="6" xfId="0" applyNumberFormat="1" applyFont="1" applyFill="1" applyBorder="1" applyAlignment="1">
      <x:alignment horizontal="center" vertical="center"/>
    </x:xf>
    <x:xf numFmtId="0" fontId="6" fillId="16" borderId="4" xfId="0" applyNumberFormat="1" applyFont="1" applyFill="1" applyBorder="1" applyAlignment="1">
      <x:alignment horizontal="center" vertical="center"/>
    </x:xf>
    <x:xf numFmtId="201" fontId="6" fillId="16" borderId="4" xfId="0" applyNumberFormat="1" applyFont="1" applyFill="1" applyBorder="1" applyAlignment="1">
      <x:alignment horizontal="center" vertical="center"/>
    </x:xf>
    <x:xf numFmtId="202" fontId="6" fillId="16" borderId="4" xfId="0" applyNumberFormat="1" applyFont="1" applyFill="1" applyBorder="1" applyAlignment="1">
      <x:alignment horizontal="center" vertical="center"/>
    </x:xf>
    <x:xf numFmtId="0" fontId="15" fillId="16" borderId="4" xfId="0" applyNumberFormat="1" applyFont="1" applyFill="1" applyBorder="1" applyAlignment="1">
      <x:alignment horizontal="center" vertical="center"/>
    </x:xf>
    <x:xf numFmtId="201" fontId="15" fillId="16" borderId="4" xfId="0" applyNumberFormat="1" applyFont="1" applyFill="1" applyBorder="1" applyAlignment="1">
      <x:alignment horizontal="center" vertical="center"/>
    </x:xf>
    <x:xf numFmtId="202" fontId="15" fillId="16" borderId="4" xfId="0" applyNumberFormat="1" applyFont="1" applyFill="1" applyBorder="1" applyAlignment="1">
      <x:alignment horizontal="center" vertical="center"/>
    </x:xf>
    <x:xf numFmtId="203" fontId="6" fillId="0" borderId="4" xfId="0" applyNumberFormat="1" applyFont="1" applyFill="1" applyBorder="1" applyAlignment="1">
      <x:alignment horizontal="center" vertical="center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7" fillId="8" borderId="6" xfId="0" applyNumberFormat="1" applyFont="1" applyFill="1" applyBorder="1" applyAlignment="1">
      <x:alignment horizontal="center" vertical="center" wrapText="1"/>
    </x:xf>
    <x:xf numFmtId="0" fontId="1" fillId="9" borderId="6" xfId="0" applyNumberFormat="1" applyFont="1" applyFill="1" applyBorder="1" applyAlignment="1">
      <x:alignment horizontal="center" vertical="center" wrapText="1"/>
    </x:xf>
    <x:xf numFmtId="0" fontId="8" fillId="9" borderId="6" xfId="0" applyNumberFormat="1" applyFont="1" applyFill="1" applyBorder="1" applyAlignment="1">
      <x:alignment horizontal="center" vertical="center" wrapText="1"/>
    </x:xf>
    <x:xf numFmtId="0" fontId="1" fillId="10" borderId="6" xfId="0" applyNumberFormat="1" applyFont="1" applyFill="1" applyBorder="1" applyAlignment="1">
      <x:alignment horizontal="center" vertical="center" wrapText="1"/>
    </x:xf>
    <x:xf numFmtId="0" fontId="9" fillId="10" borderId="6" xfId="0" applyNumberFormat="1" applyFont="1" applyFill="1" applyBorder="1" applyAlignment="1">
      <x:alignment horizontal="center" vertical="center" wrapText="1"/>
    </x:xf>
    <x:xf numFmtId="0" fontId="1" fillId="11" borderId="6" xfId="0" applyNumberFormat="1" applyFont="1" applyFill="1" applyBorder="1" applyAlignment="1">
      <x:alignment horizontal="center" vertical="center" wrapText="1"/>
    </x:xf>
    <x:xf numFmtId="0" fontId="10" fillId="11" borderId="6" xfId="0" applyNumberFormat="1" applyFont="1" applyFill="1" applyBorder="1" applyAlignment="1">
      <x:alignment horizontal="center" vertical="center" wrapText="1"/>
    </x:xf>
    <x:xf numFmtId="0" fontId="1" fillId="12" borderId="6" xfId="0" applyNumberFormat="1" applyFont="1" applyFill="1" applyBorder="1" applyAlignment="1">
      <x:alignment horizontal="center" vertical="center" wrapText="1"/>
    </x:xf>
    <x:xf numFmtId="0" fontId="11" fillId="12" borderId="6" xfId="0" applyNumberFormat="1" applyFont="1" applyFill="1" applyBorder="1" applyAlignment="1">
      <x:alignment horizontal="center" vertical="center" wrapText="1"/>
    </x:xf>
    <x:xf numFmtId="0" fontId="1" fillId="13" borderId="6" xfId="0" applyNumberFormat="1" applyFont="1" applyFill="1" applyBorder="1" applyAlignment="1">
      <x:alignment horizontal="center" vertical="center" wrapText="1"/>
    </x:xf>
    <x:xf numFmtId="0" fontId="12" fillId="13" borderId="6" xfId="0" applyNumberFormat="1" applyFont="1" applyFill="1" applyBorder="1" applyAlignment="1">
      <x:alignment horizontal="center" vertical="center" wrapText="1"/>
    </x:xf>
    <x:xf numFmtId="0" fontId="1" fillId="14" borderId="6" xfId="0" applyNumberFormat="1" applyFont="1" applyFill="1" applyBorder="1" applyAlignment="1">
      <x:alignment horizontal="center" vertical="center" wrapText="1"/>
    </x:xf>
    <x:xf numFmtId="0" fontId="13" fillId="14" borderId="6" xfId="0" applyNumberFormat="1" applyFont="1" applyFill="1" applyBorder="1" applyAlignment="1">
      <x:alignment horizontal="center" vertical="center" wrapText="1"/>
    </x:xf>
    <x:xf numFmtId="0" fontId="1" fillId="15" borderId="6" xfId="0" applyNumberFormat="1" applyFont="1" applyFill="1" applyBorder="1" applyAlignment="1">
      <x:alignment horizontal="center" vertical="center" wrapText="1"/>
    </x:xf>
    <x:xf numFmtId="0" fontId="14" fillId="15" borderId="6" xfId="0" applyNumberFormat="1" applyFont="1" applyFill="1" applyBorder="1" applyAlignment="1">
      <x:alignment horizontal="center" vertical="center" wrapText="1"/>
    </x:xf>
    <x:xf numFmtId="0" fontId="1" fillId="16" borderId="6" xfId="0" applyNumberFormat="1" applyFont="1" applyFill="1" applyBorder="1" applyAlignment="1">
      <x:alignment horizontal="center" vertical="center" wrapText="1"/>
    </x:xf>
    <x:xf numFmtId="0" fontId="16" fillId="16" borderId="6" xfId="0" applyNumberFormat="1" applyFont="1" applyFill="1" applyBorder="1" applyAlignment="1">
      <x:alignment horizontal="center" vertical="center" wrapText="1"/>
    </x:xf>
    <x:xf numFmtId="0" fontId="16" fillId="16" borderId="4" xfId="0" applyNumberFormat="1" applyFont="1" applyFill="1" applyBorder="1" applyAlignment="1">
      <x:alignment horizontal="center" vertical="center"/>
    </x:xf>
    <x:xf numFmtId="0" fontId="16" fillId="16" borderId="6" xfId="0" applyNumberFormat="1" applyFont="1" applyFill="1" applyBorder="1" applyAlignment="1">
      <x:alignment horizontal="center" vertical="center"/>
    </x:xf>
    <x:xf numFmtId="203" fontId="6" fillId="17" borderId="4" xfId="0" applyNumberFormat="1" applyFont="1" applyFill="1" applyBorder="1" applyAlignment="1">
      <x:alignment horizontal="center" vertical="center"/>
    </x:xf>
    <x:xf numFmtId="203" fontId="17" fillId="17" borderId="4" xfId="0" applyNumberFormat="1" applyFont="1" applyFill="1" applyBorder="1" applyAlignment="1">
      <x:alignment horizontal="center" vertical="center"/>
    </x:xf>
    <x:xf numFmtId="203" fontId="6" fillId="15" borderId="4" xfId="0" applyNumberFormat="1" applyFont="1" applyFill="1" applyBorder="1" applyAlignment="1">
      <x:alignment horizontal="center" vertical="center"/>
    </x:xf>
    <x:xf numFmtId="203" fontId="18" fillId="15" borderId="4" xfId="0" applyNumberFormat="1" applyFont="1" applyFill="1" applyBorder="1" applyAlignment="1">
      <x:alignment horizontal="center" vertical="center"/>
    </x:xf>
    <x:xf numFmtId="203" fontId="6" fillId="18" borderId="4" xfId="0" applyNumberFormat="1" applyFont="1" applyFill="1" applyBorder="1" applyAlignment="1">
      <x:alignment horizontal="center" vertical="center"/>
    </x:xf>
    <x:xf numFmtId="203" fontId="19" fillId="18" borderId="4" xfId="0" applyNumberFormat="1" applyFont="1" applyFill="1" applyBorder="1" applyAlignment="1">
      <x:alignment horizontal="center" vertical="center"/>
    </x:xf>
    <x:xf numFmtId="203" fontId="6" fillId="9" borderId="4" xfId="0" applyNumberFormat="1" applyFont="1" applyFill="1" applyBorder="1" applyAlignment="1">
      <x:alignment horizontal="center" vertical="center"/>
    </x:xf>
    <x:xf numFmtId="203" fontId="20" fillId="9" borderId="4" xfId="0" applyNumberFormat="1" applyFont="1" applyFill="1" applyBorder="1" applyAlignment="1">
      <x:alignment horizontal="center" vertical="center"/>
    </x:xf>
    <x:xf numFmtId="203" fontId="6" fillId="13" borderId="4" xfId="0" applyNumberFormat="1" applyFont="1" applyFill="1" applyBorder="1" applyAlignment="1">
      <x:alignment horizontal="center" vertical="center"/>
    </x:xf>
    <x:xf numFmtId="203" fontId="21" fillId="13" borderId="4" xfId="0" applyNumberFormat="1" applyFont="1" applyFill="1" applyBorder="1" applyAlignment="1">
      <x:alignment horizontal="center" vertical="center"/>
    </x:xf>
    <x:xf numFmtId="203" fontId="6" fillId="19" borderId="4" xfId="0" applyNumberFormat="1" applyFont="1" applyFill="1" applyBorder="1" applyAlignment="1">
      <x:alignment horizontal="center" vertical="center"/>
    </x:xf>
    <x:xf numFmtId="203" fontId="22" fillId="19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/>
    <x:xf numFmtId="0" fontId="23" fillId="5" borderId="0" xfId="0" applyNumberFormat="1" applyFont="1" applyFill="1" applyBorder="1" applyAlignment="1">
      <x:alignment wrapText="1"/>
    </x:xf>
    <x:xf numFmtId="0" fontId="23" fillId="5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4" borderId="14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13" xfId="0" applyNumberFormat="1" applyFont="1" applyFill="1" applyBorder="1" applyAlignment="1">
      <x:alignment wrapText="1"/>
    </x:xf>
    <x:xf numFmtId="0" fontId="6" fillId="4" borderId="14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6" fillId="4" borderId="14" xfId="0" applyNumberFormat="1" applyFont="1" applyFill="1" applyBorder="1" applyAlignment="1">
      <x:alignment vertical="center" wrapText="1"/>
    </x:xf>
    <x:xf numFmtId="201" fontId="6" fillId="0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7" fillId="8" borderId="4" xfId="0" applyNumberFormat="1" applyFont="1" applyFill="1" applyBorder="1" applyAlignment="1">
      <x:alignment vertical="center"/>
    </x:xf>
    <x:xf numFmtId="0" fontId="7" fillId="8" borderId="6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8" fillId="9" borderId="4" xfId="0" applyNumberFormat="1" applyFont="1" applyFill="1" applyBorder="1" applyAlignment="1">
      <x:alignment vertical="center"/>
    </x:xf>
    <x:xf numFmtId="0" fontId="8" fillId="9" borderId="6" xfId="0" applyNumberFormat="1" applyFont="1" applyFill="1" applyBorder="1" applyAlignment="1">
      <x:alignment vertical="center"/>
    </x:xf>
    <x:xf numFmtId="0" fontId="6" fillId="10" borderId="4" xfId="0" applyNumberFormat="1" applyFont="1" applyFill="1" applyBorder="1" applyAlignment="1">
      <x:alignment vertical="center"/>
    </x:xf>
    <x:xf numFmtId="0" fontId="9" fillId="10" borderId="4" xfId="0" applyNumberFormat="1" applyFont="1" applyFill="1" applyBorder="1" applyAlignment="1">
      <x:alignment vertical="center"/>
    </x:xf>
    <x:xf numFmtId="0" fontId="9" fillId="10" borderId="6" xfId="0" applyNumberFormat="1" applyFont="1" applyFill="1" applyBorder="1" applyAlignment="1">
      <x:alignment vertical="center"/>
    </x:xf>
    <x:xf numFmtId="0" fontId="6" fillId="11" borderId="4" xfId="0" applyNumberFormat="1" applyFont="1" applyFill="1" applyBorder="1" applyAlignment="1">
      <x:alignment vertical="center"/>
    </x:xf>
    <x:xf numFmtId="0" fontId="10" fillId="11" borderId="4" xfId="0" applyNumberFormat="1" applyFont="1" applyFill="1" applyBorder="1" applyAlignment="1">
      <x:alignment vertical="center"/>
    </x:xf>
    <x:xf numFmtId="0" fontId="10" fillId="11" borderId="6" xfId="0" applyNumberFormat="1" applyFont="1" applyFill="1" applyBorder="1" applyAlignment="1">
      <x:alignment vertical="center"/>
    </x:xf>
    <x:xf numFmtId="0" fontId="6" fillId="12" borderId="4" xfId="0" applyNumberFormat="1" applyFont="1" applyFill="1" applyBorder="1" applyAlignment="1">
      <x:alignment vertical="center"/>
    </x:xf>
    <x:xf numFmtId="0" fontId="11" fillId="12" borderId="4" xfId="0" applyNumberFormat="1" applyFont="1" applyFill="1" applyBorder="1" applyAlignment="1">
      <x:alignment vertical="center"/>
    </x:xf>
    <x:xf numFmtId="0" fontId="11" fillId="12" borderId="6" xfId="0" applyNumberFormat="1" applyFont="1" applyFill="1" applyBorder="1" applyAlignment="1">
      <x:alignment vertical="center"/>
    </x:xf>
    <x:xf numFmtId="0" fontId="6" fillId="13" borderId="4" xfId="0" applyNumberFormat="1" applyFont="1" applyFill="1" applyBorder="1" applyAlignment="1">
      <x:alignment vertical="center"/>
    </x:xf>
    <x:xf numFmtId="0" fontId="12" fillId="13" borderId="4" xfId="0" applyNumberFormat="1" applyFont="1" applyFill="1" applyBorder="1" applyAlignment="1">
      <x:alignment vertical="center"/>
    </x:xf>
    <x:xf numFmtId="0" fontId="12" fillId="13" borderId="6" xfId="0" applyNumberFormat="1" applyFont="1" applyFill="1" applyBorder="1" applyAlignment="1">
      <x:alignment vertical="center"/>
    </x:xf>
    <x:xf numFmtId="0" fontId="6" fillId="14" borderId="4" xfId="0" applyNumberFormat="1" applyFont="1" applyFill="1" applyBorder="1" applyAlignment="1">
      <x:alignment vertical="center"/>
    </x:xf>
    <x:xf numFmtId="0" fontId="13" fillId="14" borderId="4" xfId="0" applyNumberFormat="1" applyFont="1" applyFill="1" applyBorder="1" applyAlignment="1">
      <x:alignment vertical="center"/>
    </x:xf>
    <x:xf numFmtId="0" fontId="13" fillId="14" borderId="6" xfId="0" applyNumberFormat="1" applyFont="1" applyFill="1" applyBorder="1" applyAlignment="1">
      <x:alignment vertical="center"/>
    </x:xf>
    <x:xf numFmtId="0" fontId="6" fillId="15" borderId="4" xfId="0" applyNumberFormat="1" applyFont="1" applyFill="1" applyBorder="1" applyAlignment="1">
      <x:alignment vertical="center"/>
    </x:xf>
    <x:xf numFmtId="0" fontId="14" fillId="15" borderId="4" xfId="0" applyNumberFormat="1" applyFont="1" applyFill="1" applyBorder="1" applyAlignment="1">
      <x:alignment vertical="center"/>
    </x:xf>
    <x:xf numFmtId="0" fontId="14" fillId="15" borderId="6" xfId="0" applyNumberFormat="1" applyFont="1" applyFill="1" applyBorder="1" applyAlignment="1">
      <x:alignment vertical="center"/>
    </x:xf>
    <x:xf numFmtId="203" fontId="6" fillId="0" borderId="4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horizontal="center"/>
    </x:xf>
    <x:xf numFmtId="0" fontId="1" fillId="3" borderId="6" xfId="0" applyNumberFormat="1" applyFont="1" applyFill="1" applyBorder="1" applyAlignment="1">
      <x:alignment horizontal="center" vertical="center"/>
    </x:xf>
    <x:xf numFmtId="204" fontId="6" fillId="0" borderId="4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horizontal="center"/>
    </x:xf>
    <x:xf numFmtId="0" fontId="6" fillId="16" borderId="4" xfId="0" applyNumberFormat="1" applyFont="1" applyFill="1" applyBorder="1" applyAlignment="1">
      <x:alignment vertical="center"/>
    </x:xf>
    <x:xf numFmtId="0" fontId="24" fillId="16" borderId="4" xfId="0" applyNumberFormat="1" applyFont="1" applyFill="1" applyBorder="1" applyAlignment="1">
      <x:alignment vertical="center"/>
    </x:xf>
    <x:xf numFmtId="0" fontId="24" fillId="16" borderId="4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3" fillId="4" borderId="14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3" fillId="4" borderId="14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20" borderId="0" xfId="0" applyNumberFormat="1" applyFont="1" applyFill="1" applyBorder="1"/>
    <x:xf numFmtId="0" fontId="25" fillId="20" borderId="0" xfId="0" applyNumberFormat="1" applyFont="1" applyFill="1" applyBorder="1"/>
    <x:xf numFmtId="0" fontId="25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6" fillId="21" borderId="0" xfId="0" applyNumberFormat="1" applyFont="1" applyFill="1" applyBorder="1"/>
    <x:xf numFmtId="0" fontId="26" fillId="21" borderId="0" xfId="0" applyNumberFormat="1" applyFont="1" applyFill="1" applyBorder="1" applyAlignment="1">
      <x:alignment wrapText="1"/>
    </x:xf>
    <x:xf numFmtId="0" fontId="26" fillId="21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6" xfId="0" applyNumberFormat="1" applyFont="1" applyFill="1" applyBorder="1"/>
    <x:xf numFmtId="0" fontId="1" fillId="22" borderId="6" xfId="0" applyNumberFormat="1" applyFont="1" applyFill="1" applyBorder="1" applyAlignment="1">
      <x:alignment wrapText="1"/>
    </x:xf>
    <x:xf numFmtId="0" fontId="1" fillId="22" borderId="6" xfId="0" applyNumberFormat="1" applyFont="1" applyFill="1" applyBorder="1" applyAlignment="1">
      <x:alignment horizontal="center" wrapText="1"/>
    </x:xf>
    <x:xf numFmtId="0" fontId="1" fillId="22" borderId="6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0" fillId="24" borderId="0" xfId="0" applyNumberFormat="1" applyFont="1" applyFill="1" applyBorder="1"/>
    <x:xf numFmtId="0" fontId="9" fillId="24" borderId="0" xfId="0" applyNumberFormat="1" applyFont="1" applyFill="1" applyBorder="1"/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0" fillId="26" borderId="0" xfId="0" applyNumberFormat="1" applyFont="1" applyFill="1" applyBorder="1"/>
    <x:xf numFmtId="0" fontId="10" fillId="26" borderId="0" xfId="0" applyNumberFormat="1" applyFont="1" applyFill="1" applyBorder="1"/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0" fillId="28" borderId="0" xfId="0" applyNumberFormat="1" applyFont="1" applyFill="1" applyBorder="1"/>
    <x:xf numFmtId="0" fontId="11" fillId="28" borderId="0" xfId="0" applyNumberFormat="1" applyFont="1" applyFill="1" applyBorder="1"/>
    <x:xf numFmtId="0" fontId="0" fillId="29" borderId="0" xfId="0" applyNumberFormat="1" applyFont="1" applyFill="1" applyBorder="1"/>
    <x:xf numFmtId="0" fontId="27" fillId="29" borderId="0" xfId="0" applyNumberFormat="1" applyFont="1" applyFill="1" applyBorder="1"/>
    <x:xf numFmtId="0" fontId="0" fillId="30" borderId="0" xfId="0" applyNumberFormat="1" applyFont="1" applyFill="1" applyBorder="1"/>
    <x:xf numFmtId="0" fontId="14" fillId="30" borderId="0" xfId="0" applyNumberFormat="1" applyFont="1" applyFill="1" applyBorder="1"/>
    <x:xf numFmtId="0" fontId="7" fillId="23" borderId="6" xfId="0" applyNumberFormat="1" applyFont="1" applyFill="1" applyBorder="1"/>
    <x:xf numFmtId="0" fontId="0" fillId="0" borderId="6" xfId="0" applyNumberFormat="1" applyFont="1" applyFill="1" applyBorder="1"/>
    <x:xf numFmtId="0" fontId="9" fillId="24" borderId="6" xfId="0" applyNumberFormat="1" applyFont="1" applyFill="1" applyBorder="1"/>
    <x:xf numFmtId="0" fontId="8" fillId="25" borderId="6" xfId="0" applyNumberFormat="1" applyFont="1" applyFill="1" applyBorder="1"/>
    <x:xf numFmtId="0" fontId="10" fillId="26" borderId="6" xfId="0" applyNumberFormat="1" applyFont="1" applyFill="1" applyBorder="1"/>
    <x:xf numFmtId="0" fontId="13" fillId="27" borderId="6" xfId="0" applyNumberFormat="1" applyFont="1" applyFill="1" applyBorder="1"/>
    <x:xf numFmtId="0" fontId="11" fillId="28" borderId="6" xfId="0" applyNumberFormat="1" applyFont="1" applyFill="1" applyBorder="1"/>
    <x:xf numFmtId="0" fontId="27" fillId="29" borderId="6" xfId="0" applyNumberFormat="1" applyFont="1" applyFill="1" applyBorder="1"/>
    <x:xf numFmtId="0" fontId="14" fillId="30" borderId="6" xfId="0" applyNumberFormat="1" applyFont="1" applyFill="1" applyBorder="1"/>
    <x:xf numFmtId="202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0" fillId="32" borderId="0" xfId="0" applyNumberFormat="1" applyFont="1" applyFill="1" applyBorder="1"/>
    <x:xf numFmtId="0" fontId="28" fillId="32" borderId="0" xfId="0" applyNumberFormat="1" applyFont="1" applyFill="1" applyBorder="1"/>
    <x:xf numFmtId="0" fontId="28" fillId="32" borderId="15" xfId="0" applyNumberFormat="1" applyFont="1" applyFill="1" applyBorder="1"/>
    <x:xf numFmtId="0" fontId="28" fillId="32" borderId="16" xfId="0" applyNumberFormat="1" applyFont="1" applyFill="1" applyBorder="1"/>
    <x:xf numFmtId="0" fontId="28" fillId="32" borderId="17" xfId="0" applyNumberFormat="1" applyFont="1" applyFill="1" applyBorder="1"/>
    <x:xf numFmtId="0" fontId="28" fillId="32" borderId="18" xfId="0" applyNumberFormat="1" applyFont="1" applyFill="1" applyBorder="1"/>
    <x:xf numFmtId="0" fontId="28" fillId="32" xfId="0" applyNumberFormat="1" applyFont="1" applyFill="1" applyBorder="0"/>
    <x:xf numFmtId="0" fontId="28" fillId="32" borderId="19" xfId="0" applyNumberFormat="1" applyFont="1" applyFill="1" applyBorder="1"/>
    <x:xf numFmtId="0" fontId="28" fillId="32" borderId="20" xfId="0" applyNumberFormat="1" applyFont="1" applyFill="1" applyBorder="1"/>
    <x:xf numFmtId="0" fontId="28" fillId="32" borderId="21" xfId="0" applyNumberFormat="1" applyFont="1" applyFill="1" applyBorder="1"/>
    <x:xf numFmtId="0" fontId="28" fillId="32" borderId="22" xfId="0" applyNumberFormat="1" applyFont="1" applyFill="1" applyBorder="1"/>
    <x:xf numFmtId="0" fontId="28" fillId="32" borderId="15" xfId="0" applyNumberFormat="1" applyFont="1" applyFill="1" applyBorder="1" applyAlignment="1">
      <x:alignment wrapText="1"/>
    </x:xf>
    <x:xf numFmtId="0" fontId="28" fillId="32" borderId="16" xfId="0" applyNumberFormat="1" applyFont="1" applyFill="1" applyBorder="1" applyAlignment="1">
      <x:alignment wrapText="1"/>
    </x:xf>
    <x:xf numFmtId="0" fontId="28" fillId="32" borderId="17" xfId="0" applyNumberFormat="1" applyFont="1" applyFill="1" applyBorder="1" applyAlignment="1">
      <x:alignment wrapText="1"/>
    </x:xf>
    <x:xf numFmtId="0" fontId="28" fillId="32" borderId="18" xfId="0" applyNumberFormat="1" applyFont="1" applyFill="1" applyBorder="1" applyAlignment="1">
      <x:alignment wrapText="1"/>
    </x:xf>
    <x:xf numFmtId="0" fontId="28" fillId="32" xfId="0" applyNumberFormat="1" applyFont="1" applyFill="1" applyBorder="0" applyAlignment="1">
      <x:alignment wrapText="1"/>
    </x:xf>
    <x:xf numFmtId="0" fontId="28" fillId="32" borderId="19" xfId="0" applyNumberFormat="1" applyFont="1" applyFill="1" applyBorder="1" applyAlignment="1">
      <x:alignment wrapText="1"/>
    </x:xf>
    <x:xf numFmtId="0" fontId="28" fillId="32" borderId="20" xfId="0" applyNumberFormat="1" applyFont="1" applyFill="1" applyBorder="1" applyAlignment="1">
      <x:alignment wrapText="1"/>
    </x:xf>
    <x:xf numFmtId="0" fontId="28" fillId="32" borderId="21" xfId="0" applyNumberFormat="1" applyFont="1" applyFill="1" applyBorder="1" applyAlignment="1">
      <x:alignment wrapText="1"/>
    </x:xf>
    <x:xf numFmtId="0" fontId="28" fillId="32" borderId="22" xfId="0" applyNumberFormat="1" applyFont="1" applyFill="1" applyBorder="1" applyAlignment="1">
      <x:alignment wrapText="1"/>
    </x:xf>
    <x:xf numFmtId="0" fontId="28" fillId="32" borderId="15" xfId="0" applyNumberFormat="1" applyFont="1" applyFill="1" applyBorder="1" applyAlignment="1">
      <x:alignment vertical="top" wrapText="1"/>
    </x:xf>
    <x:xf numFmtId="0" fontId="28" fillId="32" borderId="16" xfId="0" applyNumberFormat="1" applyFont="1" applyFill="1" applyBorder="1" applyAlignment="1">
      <x:alignment vertical="top" wrapText="1"/>
    </x:xf>
    <x:xf numFmtId="0" fontId="28" fillId="32" borderId="17" xfId="0" applyNumberFormat="1" applyFont="1" applyFill="1" applyBorder="1" applyAlignment="1">
      <x:alignment vertical="top" wrapText="1"/>
    </x:xf>
    <x:xf numFmtId="0" fontId="28" fillId="32" borderId="18" xfId="0" applyNumberFormat="1" applyFont="1" applyFill="1" applyBorder="1" applyAlignment="1">
      <x:alignment vertical="top" wrapText="1"/>
    </x:xf>
    <x:xf numFmtId="0" fontId="28" fillId="32" xfId="0" applyNumberFormat="1" applyFont="1" applyFill="1" applyBorder="0" applyAlignment="1">
      <x:alignment vertical="top" wrapText="1"/>
    </x:xf>
    <x:xf numFmtId="0" fontId="28" fillId="32" borderId="19" xfId="0" applyNumberFormat="1" applyFont="1" applyFill="1" applyBorder="1" applyAlignment="1">
      <x:alignment vertical="top" wrapText="1"/>
    </x:xf>
    <x:xf numFmtId="0" fontId="28" fillId="32" borderId="20" xfId="0" applyNumberFormat="1" applyFont="1" applyFill="1" applyBorder="1" applyAlignment="1">
      <x:alignment vertical="top" wrapText="1"/>
    </x:xf>
    <x:xf numFmtId="0" fontId="28" fillId="32" borderId="21" xfId="0" applyNumberFormat="1" applyFont="1" applyFill="1" applyBorder="1" applyAlignment="1">
      <x:alignment vertical="top" wrapText="1"/>
    </x:xf>
    <x:xf numFmtId="0" fontId="28" fillId="32" borderId="22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5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1" fillId="2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6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center"/>
    </x:xf>
    <x:xf numFmtId="202" fontId="0" fillId="0" borderId="4" xfId="0" applyNumberFormat="1" applyFont="1" applyFill="1" applyBorder="1" applyAlignment="1">
      <x:alignment horizontal="center"/>
    </x:xf>
    <x:xf numFmtId="0" fontId="7" fillId="23" borderId="6" xfId="0" applyNumberFormat="1" applyFont="1" applyFill="1" applyBorder="1" applyAlignment="1">
      <x:alignment horizontal="center" vertical="center"/>
    </x:xf>
    <x:xf numFmtId="0" fontId="8" fillId="24" borderId="6" xfId="0" applyNumberFormat="1" applyFont="1" applyFill="1" applyBorder="1" applyAlignment="1">
      <x:alignment horizontal="center" vertical="center"/>
    </x:xf>
    <x:xf numFmtId="0" fontId="9" fillId="24" borderId="6" xfId="0" applyNumberFormat="1" applyFont="1" applyFill="1" applyBorder="1" applyAlignment="1">
      <x:alignment horizontal="center" vertical="center"/>
    </x:xf>
    <x:xf numFmtId="0" fontId="9" fillId="25" borderId="6" xfId="0" applyNumberFormat="1" applyFont="1" applyFill="1" applyBorder="1" applyAlignment="1">
      <x:alignment horizontal="center" vertical="center"/>
    </x:xf>
    <x:xf numFmtId="0" fontId="8" fillId="25" borderId="6" xfId="0" applyNumberFormat="1" applyFont="1" applyFill="1" applyBorder="1" applyAlignment="1">
      <x:alignment horizontal="center" vertical="center"/>
    </x:xf>
    <x:xf numFmtId="0" fontId="10" fillId="26" borderId="6" xfId="0" applyNumberFormat="1" applyFont="1" applyFill="1" applyBorder="1" applyAlignment="1">
      <x:alignment horizontal="center" vertical="center"/>
    </x:xf>
    <x:xf numFmtId="0" fontId="11" fillId="27" borderId="6" xfId="0" applyNumberFormat="1" applyFont="1" applyFill="1" applyBorder="1" applyAlignment="1">
      <x:alignment horizontal="center" vertical="center"/>
    </x:xf>
    <x:xf numFmtId="0" fontId="13" fillId="27" borderId="6" xfId="0" applyNumberFormat="1" applyFont="1" applyFill="1" applyBorder="1" applyAlignment="1">
      <x:alignment horizontal="center" vertical="center"/>
    </x:xf>
    <x:xf numFmtId="0" fontId="12" fillId="28" borderId="6" xfId="0" applyNumberFormat="1" applyFont="1" applyFill="1" applyBorder="1" applyAlignment="1">
      <x:alignment horizontal="center" vertical="center"/>
    </x:xf>
    <x:xf numFmtId="0" fontId="11" fillId="28" borderId="6" xfId="0" applyNumberFormat="1" applyFont="1" applyFill="1" applyBorder="1" applyAlignment="1">
      <x:alignment horizontal="center" vertical="center"/>
    </x:xf>
    <x:xf numFmtId="0" fontId="13" fillId="29" borderId="6" xfId="0" applyNumberFormat="1" applyFont="1" applyFill="1" applyBorder="1" applyAlignment="1">
      <x:alignment horizontal="center" vertical="center"/>
    </x:xf>
    <x:xf numFmtId="0" fontId="27" fillId="29" borderId="6" xfId="0" applyNumberFormat="1" applyFont="1" applyFill="1" applyBorder="1" applyAlignment="1">
      <x:alignment horizontal="center" vertical="center"/>
    </x:xf>
    <x:xf numFmtId="0" fontId="14" fillId="30" borderId="6" xfId="0" applyNumberFormat="1" applyFont="1" applyFill="1" applyBorder="1" applyAlignment="1">
      <x:alignment horizontal="center" vertical="center"/>
    </x:xf>
    <x:xf numFmtId="0" fontId="7" fillId="23" borderId="6" xfId="0" applyNumberFormat="1" applyFont="1" applyFill="1" applyBorder="1" applyAlignment="1">
      <x:alignment horizontal="center" vertical="center" wrapText="1"/>
    </x:xf>
    <x:xf numFmtId="0" fontId="8" fillId="24" borderId="6" xfId="0" applyNumberFormat="1" applyFont="1" applyFill="1" applyBorder="1" applyAlignment="1">
      <x:alignment horizontal="center" vertical="center" wrapText="1"/>
    </x:xf>
    <x:xf numFmtId="0" fontId="9" fillId="24" borderId="6" xfId="0" applyNumberFormat="1" applyFont="1" applyFill="1" applyBorder="1" applyAlignment="1">
      <x:alignment horizontal="center" vertical="center" wrapText="1"/>
    </x:xf>
    <x:xf numFmtId="0" fontId="9" fillId="25" borderId="6" xfId="0" applyNumberFormat="1" applyFont="1" applyFill="1" applyBorder="1" applyAlignment="1">
      <x:alignment horizontal="center" vertical="center" wrapText="1"/>
    </x:xf>
    <x:xf numFmtId="0" fontId="8" fillId="25" borderId="6" xfId="0" applyNumberFormat="1" applyFont="1" applyFill="1" applyBorder="1" applyAlignment="1">
      <x:alignment horizontal="center" vertical="center" wrapText="1"/>
    </x:xf>
    <x:xf numFmtId="0" fontId="10" fillId="26" borderId="6" xfId="0" applyNumberFormat="1" applyFont="1" applyFill="1" applyBorder="1" applyAlignment="1">
      <x:alignment horizontal="center" vertical="center" wrapText="1"/>
    </x:xf>
    <x:xf numFmtId="0" fontId="11" fillId="27" borderId="6" xfId="0" applyNumberFormat="1" applyFont="1" applyFill="1" applyBorder="1" applyAlignment="1">
      <x:alignment horizontal="center" vertical="center" wrapText="1"/>
    </x:xf>
    <x:xf numFmtId="0" fontId="13" fillId="27" borderId="6" xfId="0" applyNumberFormat="1" applyFont="1" applyFill="1" applyBorder="1" applyAlignment="1">
      <x:alignment horizontal="center" vertical="center" wrapText="1"/>
    </x:xf>
    <x:xf numFmtId="0" fontId="12" fillId="28" borderId="6" xfId="0" applyNumberFormat="1" applyFont="1" applyFill="1" applyBorder="1" applyAlignment="1">
      <x:alignment horizontal="center" vertical="center" wrapText="1"/>
    </x:xf>
    <x:xf numFmtId="0" fontId="11" fillId="28" borderId="6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27" fillId="29" borderId="6" xfId="0" applyNumberFormat="1" applyFont="1" applyFill="1" applyBorder="1" applyAlignment="1">
      <x:alignment horizontal="center" vertical="center" wrapText="1"/>
    </x:xf>
    <x:xf numFmtId="0" fontId="14" fillId="30" borderId="6" xfId="0" applyNumberFormat="1" applyFont="1" applyFill="1" applyBorder="1" applyAlignment="1">
      <x:alignment horizontal="center" vertical="center" wrapText="1"/>
    </x:xf>
    <x:xf numFmtId="0" fontId="16" fillId="33" borderId="6" xfId="0" applyNumberFormat="1" applyFont="1" applyFill="1" applyBorder="1" applyAlignment="1">
      <x:alignment horizontal="center" vertical="center" wrapText="1"/>
    </x:xf>
    <x:xf numFmtId="203" fontId="4" fillId="33" borderId="4" xfId="0" applyNumberFormat="1" applyFont="1" applyFill="1" applyBorder="1" applyAlignment="1">
      <x:alignment horizontal="center" vertical="center"/>
    </x:xf>
    <x:xf numFmtId="203" fontId="16" fillId="33" borderId="4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0" fontId="29" fillId="0" borderId="0" xfId="0" applyNumberFormat="1" applyFont="1" applyFill="1" applyBorder="1"/>
    <x:xf numFmtId="0" fontId="0" fillId="34" borderId="0" xfId="0" applyNumberFormat="1" applyFont="1" applyFill="1" applyBorder="1"/>
    <x:xf numFmtId="0" fontId="25" fillId="34" borderId="0" xfId="0" applyNumberFormat="1" applyFont="1" applyFill="1" applyBorder="1"/>
    <x:xf numFmtId="0" fontId="25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6" fillId="35" borderId="0" xfId="0" applyNumberFormat="1" applyFont="1" applyFill="1" applyBorder="1"/>
    <x:xf numFmtId="0" fontId="26" fillId="35" borderId="0" xfId="0" applyNumberFormat="1" applyFont="1" applyFill="1" applyBorder="1" applyAlignment="1">
      <x:alignment wrapText="1"/>
    </x:xf>
    <x:xf numFmtId="0" fontId="2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6" xfId="0" applyNumberFormat="1" applyFont="1" applyFill="1" applyBorder="1"/>
    <x:xf numFmtId="0" fontId="1" fillId="36" borderId="6" xfId="0" applyNumberFormat="1" applyFont="1" applyFill="1" applyBorder="1" applyAlignment="1">
      <x:alignment wrapText="1"/>
    </x:xf>
    <x:xf numFmtId="0" fontId="1" fillId="36" borderId="6" xfId="0" applyNumberFormat="1" applyFont="1" applyFill="1" applyBorder="1" applyAlignment="1">
      <x:alignment horizontal="center" wrapText="1"/>
    </x:xf>
    <x:xf numFmtId="0" fontId="1" fillId="36" borderId="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/>
    </x:xf>
    <x:xf numFmtId="0" fontId="2" fillId="35" borderId="0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25" fillId="37" borderId="0" xfId="0" applyNumberFormat="1" applyFont="1" applyFill="1" applyBorder="1"/>
    <x:xf numFmtId="0" fontId="25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26" fillId="38" borderId="0" xfId="0" applyNumberFormat="1" applyFont="1" applyFill="1" applyBorder="1"/>
    <x:xf numFmtId="0" fontId="26" fillId="38" borderId="0" xfId="0" applyNumberFormat="1" applyFont="1" applyFill="1" applyBorder="1" applyAlignment="1">
      <x:alignment wrapText="1"/>
    </x:xf>
    <x:xf numFmtId="0" fontId="26" fillId="38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6" xfId="0" applyNumberFormat="1" applyFont="1" applyFill="1" applyBorder="1"/>
    <x:xf numFmtId="0" fontId="1" fillId="39" borderId="6" xfId="0" applyNumberFormat="1" applyFont="1" applyFill="1" applyBorder="1" applyAlignment="1">
      <x:alignment wrapText="1"/>
    </x:xf>
    <x:xf numFmtId="0" fontId="1" fillId="39" borderId="6" xfId="0" applyNumberFormat="1" applyFont="1" applyFill="1" applyBorder="1" applyAlignment="1">
      <x:alignment horizontal="center" wrapText="1"/>
    </x:xf>
    <x:xf numFmtId="0" fontId="1" fillId="39" borderId="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7" fontId="0" fillId="0" borderId="6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0" fontId="0" fillId="40" borderId="0" xfId="0" applyNumberFormat="1" applyFont="1" applyFill="1" applyBorder="1"/>
    <x:xf numFmtId="0" fontId="3" fillId="40" borderId="0" xfId="0" applyNumberFormat="1" applyFont="1" applyFill="1" applyBorder="1"/>
    <x:xf numFmtId="0" fontId="3" fillId="40" borderId="0" xfId="0" applyNumberFormat="1" applyFont="1" applyFill="1" applyBorder="1" applyAlignment="1">
      <x:alignment horizontal="center"/>
    </x:xf>
    <x:xf numFmtId="0" fontId="29" fillId="0" borderId="6" xfId="0" applyNumberFormat="1" applyFont="1" applyFill="1" applyBorder="1" applyAlignment="1">
      <x:alignment vertical="center"/>
    </x:xf>
    <x:xf numFmtId="207" fontId="0" fillId="0" borderId="6" xfId="0" applyNumberFormat="1" applyFont="1" applyFill="1" applyBorder="1" applyAlignment="1">
      <x:alignment vertical="center" wrapText="1"/>
    </x:xf>
    <x:xf numFmtId="205" fontId="0" fillId="0" borderId="6" xfId="0" applyNumberFormat="1" applyFont="1" applyFill="1" applyBorder="1" applyAlignment="1">
      <x:alignment vertical="center" wrapText="1"/>
    </x:xf>
    <x:xf numFmtId="0" fontId="1" fillId="37" borderId="0" xfId="0" applyNumberFormat="1" applyFont="1" applyFill="1" applyBorder="1" applyAlignment="1">
      <x:alignment vertical="center"/>
    </x:xf>
    <x:xf numFmtId="0" fontId="2" fillId="38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horizontal="center"/>
    </x:xf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0" fillId="41" borderId="0" xfId="0" applyNumberFormat="1" applyFont="1" applyFill="1" applyBorder="1"/>
    <x:xf numFmtId="0" fontId="0" fillId="42" borderId="0" xfId="0" applyNumberFormat="1" applyFont="1" applyFill="1" applyBorder="1"/>
    <x:xf numFmtId="0" fontId="13" fillId="42" borderId="0" xfId="0" applyNumberFormat="1" applyFont="1" applyFill="1" applyBorder="1"/>
    <x:xf numFmtId="0" fontId="0" fillId="43" borderId="0" xfId="0" applyNumberFormat="1" applyFont="1" applyFill="1" applyBorder="1"/>
    <x:xf numFmtId="0" fontId="8" fillId="43" borderId="0" xfId="0" applyNumberFormat="1" applyFont="1" applyFill="1" applyBorder="1"/>
    <x:xf numFmtId="0" fontId="0" fillId="44" borderId="0" xfId="0" applyNumberFormat="1" applyFont="1" applyFill="1" applyBorder="1"/>
    <x:xf numFmtId="0" fontId="27" fillId="44" borderId="0" xfId="0" applyNumberFormat="1" applyFont="1" applyFill="1" applyBorder="1"/>
    <x:xf numFmtId="0" fontId="0" fillId="45" borderId="0" xfId="0" applyNumberFormat="1" applyFont="1" applyFill="1" applyBorder="1"/>
    <x:xf numFmtId="0" fontId="14" fillId="45" borderId="0" xfId="0" applyNumberFormat="1" applyFont="1" applyFill="1" applyBorder="1"/>
    <x:xf numFmtId="0" fontId="0" fillId="46" borderId="0" xfId="0" applyNumberFormat="1" applyFont="1" applyFill="1" applyBorder="1"/>
    <x:xf numFmtId="0" fontId="7" fillId="46" borderId="0" xfId="0" applyNumberFormat="1" applyFont="1" applyFill="1" applyBorder="1"/>
    <x:xf numFmtId="0" fontId="0" fillId="47" borderId="0" xfId="0" applyNumberFormat="1" applyFont="1" applyFill="1" applyBorder="1"/>
    <x:xf numFmtId="0" fontId="9" fillId="47" borderId="0" xfId="0" applyNumberFormat="1" applyFont="1" applyFill="1" applyBorder="1"/>
    <x:xf numFmtId="0" fontId="0" fillId="48" borderId="0" xfId="0" applyNumberFormat="1" applyFont="1" applyFill="1" applyBorder="1"/>
    <x:xf numFmtId="0" fontId="11" fillId="48" borderId="0" xfId="0" applyNumberFormat="1" applyFont="1" applyFill="1" applyBorder="1"/>
    <x:xf numFmtId="0" fontId="29" fillId="0" borderId="6" xfId="0" applyNumberFormat="1" applyFont="1" applyFill="1" applyBorder="1" applyAlignment="1">
      <x:alignment vertical="center" wrapText="1"/>
    </x:xf>
    <x:xf numFmtId="0" fontId="0" fillId="44" borderId="6" xfId="0" applyNumberFormat="1" applyFont="1" applyFill="1" applyBorder="1" applyAlignment="1">
      <x:alignment vertical="center" wrapText="1"/>
    </x:xf>
    <x:xf numFmtId="0" fontId="30" fillId="44" borderId="6" xfId="0" applyNumberFormat="1" applyFont="1" applyFill="1" applyBorder="1" applyAlignment="1">
      <x:alignment vertical="center" wrapText="1"/>
    </x:xf>
    <x:xf numFmtId="203" fontId="30" fillId="44" borderId="6" xfId="0" applyNumberFormat="1" applyFont="1" applyFill="1" applyBorder="1" applyAlignment="1">
      <x:alignment vertical="center" wrapText="1"/>
    </x:xf>
    <x:xf numFmtId="203" fontId="30" fillId="44" borderId="6" xfId="0" applyNumberFormat="1" applyFont="1" applyFill="1" applyBorder="1" applyAlignment="1">
      <x:alignment horizontal="center" vertical="center" wrapText="1"/>
    </x:xf>
    <x:xf numFmtId="0" fontId="10" fillId="41" borderId="6" xfId="0" applyNumberFormat="1" applyFont="1" applyFill="1" applyBorder="1"/>
    <x:xf numFmtId="0" fontId="13" fillId="42" borderId="6" xfId="0" applyNumberFormat="1" applyFont="1" applyFill="1" applyBorder="1"/>
    <x:xf numFmtId="0" fontId="8" fillId="43" borderId="6" xfId="0" applyNumberFormat="1" applyFont="1" applyFill="1" applyBorder="1"/>
    <x:xf numFmtId="0" fontId="27" fillId="44" borderId="6" xfId="0" applyNumberFormat="1" applyFont="1" applyFill="1" applyBorder="1"/>
    <x:xf numFmtId="0" fontId="14" fillId="45" borderId="6" xfId="0" applyNumberFormat="1" applyFont="1" applyFill="1" applyBorder="1"/>
    <x:xf numFmtId="0" fontId="7" fillId="46" borderId="6" xfId="0" applyNumberFormat="1" applyFont="1" applyFill="1" applyBorder="1"/>
    <x:xf numFmtId="0" fontId="9" fillId="47" borderId="6" xfId="0" applyNumberFormat="1" applyFont="1" applyFill="1" applyBorder="1"/>
    <x:xf numFmtId="0" fontId="11" fillId="48" borderId="6" xfId="0" applyNumberFormat="1" applyFont="1" applyFill="1" applyBorder="1"/>
    <x:xf numFmtId="208" fontId="0" fillId="0" borderId="6" xfId="0" applyNumberFormat="1" applyFont="1" applyFill="1" applyBorder="1"/>
    <x:xf numFmtId="207" fontId="0" fillId="0" borderId="6" xfId="0" applyNumberFormat="1" applyFont="1" applyFill="1" applyBorder="1"/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29" fillId="0" borderId="4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/>
    <x:xf numFmtId="0" fontId="0" fillId="49" borderId="23" xfId="0" applyNumberFormat="1" applyFont="1" applyFill="1" applyBorder="1"/>
    <x:xf numFmtId="0" fontId="0" fillId="49" borderId="23" xfId="0" applyNumberFormat="1" applyFont="1" applyFill="1" applyBorder="1" applyAlignment="1">
      <x:alignment wrapText="1"/>
    </x:xf>
    <x:xf numFmtId="0" fontId="0" fillId="49" borderId="23" xfId="0" applyNumberFormat="1" applyFont="1" applyFill="1" applyBorder="1" applyAlignment="1">
      <x:alignment vertical="center" wrapText="1"/>
    </x:xf>
    <x:xf numFmtId="0" fontId="29" fillId="49" borderId="23" xfId="0" applyNumberFormat="1" applyFont="1" applyFill="1" applyBorder="1" applyAlignment="1">
      <x:alignment vertical="center" wrapText="1"/>
    </x:xf>
    <x:xf numFmtId="0" fontId="25" fillId="50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25" fillId="50" borderId="0" xfId="0" applyNumberFormat="1" applyFont="1" applyFill="1" applyBorder="1"/>
    <x:xf numFmtId="0" fontId="26" fillId="51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/>
    <x:xf numFmtId="0" fontId="26" fillId="51" borderId="0" xfId="0" applyNumberFormat="1" applyFont="1" applyFill="1" applyBorder="1"/>
    <x:xf numFmtId="0" fontId="26" fillId="51" borderId="0" xfId="0" applyNumberFormat="1" applyFont="1" applyFill="1" applyBorder="1" applyAlignment="1">
      <x:alignment wrapText="1"/>
    </x:xf>
    <x:xf numFmtId="0" fontId="1" fillId="52" borderId="6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1" fillId="52" borderId="0" xfId="0" applyNumberFormat="1" applyFont="1" applyFill="1" applyBorder="1"/>
    <x:xf numFmtId="0" fontId="1" fillId="52" borderId="6" xfId="0" applyNumberFormat="1" applyFont="1" applyFill="1" applyBorder="1"/>
    <x:xf numFmtId="0" fontId="1" fillId="52" borderId="6" xfId="0" applyNumberFormat="1" applyFont="1" applyFill="1" applyBorder="1" applyAlignment="1">
      <x:alignment wrapText="1"/>
    </x:xf>
    <x:xf numFmtId="0" fontId="1" fillId="52" borderId="6" xfId="0" applyNumberFormat="1" applyFont="1" applyFill="1" applyBorder="1" applyAlignment="1">
      <x:alignment horizontal="center" wrapText="1"/>
    </x:xf>
    <x:xf numFmtId="209" fontId="0" fillId="0" borderId="6" xfId="0" applyNumberFormat="1" applyFont="1" applyFill="1" applyBorder="1" applyAlignment="1">
      <x:alignment vertical="center" wrapText="1"/>
    </x:xf>
    <x:xf numFmtId="0" fontId="0" fillId="53" borderId="0" xfId="0" applyNumberFormat="1" applyFont="1" applyFill="1" applyBorder="1"/>
    <x:xf numFmtId="0" fontId="3" fillId="53" borderId="0" xfId="0" applyNumberFormat="1" applyFont="1" applyFill="1" applyBorder="1"/>
    <x:xf numFmtId="0" fontId="3" fillId="53" borderId="0" xfId="0" applyNumberFormat="1" applyFont="1" applyFill="1" applyBorder="1" applyAlignment="1">
      <x:alignment horizontal="center"/>
    </x:xf>
    <x:xf numFmtId="203" fontId="0" fillId="0" borderId="6" xfId="0" applyNumberFormat="1" applyFont="1" applyFill="1" applyBorder="1" applyAlignment="1">
      <x:alignment vertical="center" wrapText="1"/>
    </x:xf>
    <x:xf numFmtId="203" fontId="0" fillId="54" borderId="6" xfId="0" applyNumberFormat="1" applyFont="1" applyFill="1" applyBorder="1" applyAlignment="1">
      <x:alignment vertical="center" wrapText="1"/>
    </x:xf>
    <x:xf numFmtId="203" fontId="30" fillId="54" borderId="6" xfId="0" applyNumberFormat="1" applyFont="1" applyFill="1" applyBorder="1" applyAlignment="1">
      <x:alignment vertical="center" wrapText="1"/>
    </x:xf>
    <x:xf numFmtId="203" fontId="30" fillId="54" borderId="6" xfId="0" applyNumberFormat="1" applyFont="1" applyFill="1" applyBorder="1" applyAlignment="1">
      <x:alignment horizontal="center" vertical="center" wrapText="1"/>
    </x:xf>
    <x:xf numFmtId="0" fontId="1" fillId="50" borderId="0" xfId="0" applyNumberFormat="1" applyFont="1" applyFill="1" applyBorder="1"/>
    <x:xf numFmtId="0" fontId="1" fillId="50" borderId="0" xfId="0" applyNumberFormat="1" applyFont="1" applyFill="1" applyBorder="1" applyAlignment="1">
      <x:alignment horizontal="center"/>
    </x:xf>
    <x:xf numFmtId="0" fontId="2" fillId="51" borderId="0" xfId="0" applyNumberFormat="1" applyFont="1" applyFill="1" applyBorder="1"/>
    <x:xf numFmtId="0" fontId="2" fillId="51" borderId="0" xfId="0" applyNumberFormat="1" applyFont="1" applyFill="1" applyBorder="1" applyAlignment="1">
      <x:alignment wrapText="1"/>
    </x:xf>
    <x:xf numFmtId="0" fontId="2" fillId="51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3" fillId="56" borderId="0" xfId="0" applyNumberFormat="1" applyFont="1" applyFill="1" applyBorder="1"/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0" fillId="54" borderId="0" xfId="0" applyNumberFormat="1" applyFont="1" applyFill="1" applyBorder="1"/>
    <x:xf numFmtId="0" fontId="27" fillId="54" borderId="0" xfId="0" applyNumberFormat="1" applyFont="1" applyFill="1" applyBorder="1"/>
    <x:xf numFmtId="0" fontId="0" fillId="58" borderId="0" xfId="0" applyNumberFormat="1" applyFont="1" applyFill="1" applyBorder="1"/>
    <x:xf numFmtId="0" fontId="14" fillId="58" borderId="0" xfId="0" applyNumberFormat="1" applyFont="1" applyFill="1" applyBorder="1"/>
    <x:xf numFmtId="0" fontId="0" fillId="59" borderId="0" xfId="0" applyNumberFormat="1" applyFont="1" applyFill="1" applyBorder="1"/>
    <x:xf numFmtId="0" fontId="7" fillId="59" borderId="0" xfId="0" applyNumberFormat="1" applyFont="1" applyFill="1" applyBorder="1"/>
    <x:xf numFmtId="0" fontId="0" fillId="60" borderId="0" xfId="0" applyNumberFormat="1" applyFont="1" applyFill="1" applyBorder="1"/>
    <x:xf numFmtId="0" fontId="9" fillId="60" borderId="0" xfId="0" applyNumberFormat="1" applyFont="1" applyFill="1" applyBorder="1"/>
    <x:xf numFmtId="0" fontId="0" fillId="61" borderId="0" xfId="0" applyNumberFormat="1" applyFont="1" applyFill="1" applyBorder="1"/>
    <x:xf numFmtId="0" fontId="11" fillId="61" borderId="0" xfId="0" applyNumberFormat="1" applyFont="1" applyFill="1" applyBorder="1"/>
    <x:xf numFmtId="0" fontId="10" fillId="55" borderId="6" xfId="0" applyNumberFormat="1" applyFont="1" applyFill="1" applyBorder="1"/>
    <x:xf numFmtId="0" fontId="13" fillId="56" borderId="6" xfId="0" applyNumberFormat="1" applyFont="1" applyFill="1" applyBorder="1"/>
    <x:xf numFmtId="0" fontId="8" fillId="57" borderId="6" xfId="0" applyNumberFormat="1" applyFont="1" applyFill="1" applyBorder="1"/>
    <x:xf numFmtId="0" fontId="27" fillId="54" borderId="6" xfId="0" applyNumberFormat="1" applyFont="1" applyFill="1" applyBorder="1"/>
    <x:xf numFmtId="0" fontId="14" fillId="58" borderId="6" xfId="0" applyNumberFormat="1" applyFont="1" applyFill="1" applyBorder="1"/>
    <x:xf numFmtId="0" fontId="7" fillId="59" borderId="6" xfId="0" applyNumberFormat="1" applyFont="1" applyFill="1" applyBorder="1"/>
    <x:xf numFmtId="0" fontId="9" fillId="60" borderId="6" xfId="0" applyNumberFormat="1" applyFont="1" applyFill="1" applyBorder="1"/>
    <x:xf numFmtId="0" fontId="11" fillId="61" borderId="6" xfId="0" applyNumberFormat="1" applyFont="1" applyFill="1" applyBorder="1"/>
    <x:xf numFmtId="209" fontId="0" fillId="0" borderId="6" xfId="0" applyNumberFormat="1" applyFont="1" applyFill="1" applyBorder="1"/>
    <x:xf numFmtId="209" fontId="0" fillId="0" borderId="0" xfId="0" applyNumberFormat="1" applyFont="1" applyFill="1" applyBorder="1"/>
    <x:xf numFmtId="209" fontId="0" fillId="0" borderId="0" xfId="0" applyNumberFormat="1" applyFont="1" applyFill="1" applyBorder="1" applyAlignment="1">
      <x:alignment vertical="center"/>
    </x:xf>
    <x:xf numFmtId="0" fontId="0" fillId="62" borderId="0" xfId="0" applyNumberFormat="1" applyFont="1" applyFill="1" applyBorder="1"/>
    <x:xf numFmtId="0" fontId="0" fillId="62" borderId="23" xfId="0" applyNumberFormat="1" applyFont="1" applyFill="1" applyBorder="1"/>
    <x:xf numFmtId="0" fontId="0" fillId="62" borderId="23" xfId="0" applyNumberFormat="1" applyFont="1" applyFill="1" applyBorder="1" applyAlignment="1">
      <x:alignment wrapText="1"/>
    </x:xf>
    <x:xf numFmtId="0" fontId="0" fillId="62" borderId="23" xfId="0" applyNumberFormat="1" applyFont="1" applyFill="1" applyBorder="1" applyAlignment="1">
      <x:alignment vertical="center" wrapText="1"/>
    </x:xf>
    <x:xf numFmtId="0" fontId="29" fillId="62" borderId="23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0" fontId="6" fillId="63" borderId="0" xfId="0" applyNumberFormat="1" applyFont="1" applyFill="1" applyBorder="1"/>
    <x:xf numFmtId="0" fontId="1" fillId="63" borderId="0" xfId="0" applyNumberFormat="1" applyFont="1" applyFill="1" applyBorder="1"/>
    <x:xf numFmtId="0" fontId="1" fillId="63" borderId="0" xfId="0" applyNumberFormat="1" applyFont="1" applyFill="1" applyBorder="1" applyAlignment="1">
      <x:alignment vertical="center"/>
    </x:xf>
    <x:xf numFmtId="0" fontId="6" fillId="64" borderId="0" xfId="0" applyNumberFormat="1" applyFont="1" applyFill="1" applyBorder="1"/>
    <x:xf numFmtId="0" fontId="2" fillId="64" borderId="0" xfId="0" applyNumberFormat="1" applyFont="1" applyFill="1" applyBorder="1"/>
    <x:xf numFmtId="0" fontId="2" fillId="64" borderId="0" xfId="0" applyNumberFormat="1" applyFont="1" applyFill="1" applyBorder="1" applyAlignment="1">
      <x:alignment wrapText="1"/>
    </x:xf>
    <x:xf numFmtId="0" fontId="2" fillId="64" borderId="0" xfId="0" applyNumberFormat="1" applyFont="1" applyFill="1" applyBorder="1" applyAlignment="1">
      <x:alignment vertical="center" wrapText="1"/>
    </x:xf>
    <x:xf numFmtId="0" fontId="6" fillId="65" borderId="0" xfId="0" applyNumberFormat="1" applyFont="1" applyFill="1" applyBorder="1"/>
    <x:xf numFmtId="0" fontId="5" fillId="65" borderId="0" xfId="0" applyNumberFormat="1" applyFont="1" applyFill="1" applyBorder="1"/>
    <x:xf numFmtId="0" fontId="5" fillId="65" borderId="0" xfId="0" applyNumberFormat="1" applyFont="1" applyFill="1" applyBorder="1" applyAlignment="1">
      <x:alignment horizontal="center"/>
    </x:xf>
    <x:xf numFmtId="0" fontId="5" fillId="65" borderId="0" xfId="0" applyNumberFormat="1" applyFont="1" applyFill="1" applyBorder="1" applyAlignment="1">
      <x:alignment horizontal="center" vertical="center"/>
    </x:xf>
    <x:xf numFmtId="0" fontId="1" fillId="64" borderId="0" xfId="0" applyNumberFormat="1" applyFont="1" applyFill="1" applyBorder="1"/>
    <x:xf numFmtId="0" fontId="1" fillId="64" borderId="0" xfId="0" applyNumberFormat="1" applyFont="1" applyFill="1" applyBorder="1" applyAlignment="1">
      <x:alignment vertical="center"/>
    </x:xf>
    <x:xf numFmtId="0" fontId="1" fillId="66" borderId="0" xfId="0" applyNumberFormat="1" applyFont="1" applyFill="1" applyBorder="1" applyAlignment="1">
      <x:alignment vertical="center"/>
    </x:xf>
    <x:xf numFmtId="0" fontId="5" fillId="66" borderId="0" xfId="0" applyNumberFormat="1" applyFont="1" applyFill="1" applyBorder="1" applyAlignment="1">
      <x:alignment vertical="center"/>
    </x:xf>
    <x:xf numFmtId="0" fontId="5" fillId="66" borderId="0" xfId="0" applyNumberFormat="1" applyFont="1" applyFill="1" applyBorder="1" applyAlignment="1">
      <x:alignment horizontal="center" vertical="center"/>
    </x:xf>
    <x:xf numFmtId="203" fontId="5" fillId="66" borderId="0" xfId="0" applyNumberFormat="1" applyFont="1" applyFill="1" applyBorder="1" applyAlignment="1">
      <x:alignment vertical="center"/>
    </x:xf>
    <x:xf numFmtId="203" fontId="5" fillId="66" borderId="0" xfId="0" applyNumberFormat="1" applyFont="1" applyFill="1" applyBorder="1" applyAlignment="1">
      <x:alignment horizontal="center" vertical="center"/>
    </x:xf>
    <x:xf numFmtId="0" fontId="6" fillId="67" borderId="0" xfId="0" applyNumberFormat="1" applyFont="1" applyFill="1" applyBorder="1"/>
    <x:xf numFmtId="0" fontId="1" fillId="67" borderId="0" xfId="0" applyNumberFormat="1" applyFont="1" applyFill="1" applyBorder="1"/>
    <x:xf numFmtId="0" fontId="1" fillId="67" borderId="6" xfId="0" applyNumberFormat="1" applyFont="1" applyFill="1" applyBorder="1"/>
    <x:xf numFmtId="0" fontId="1" fillId="67" borderId="6" xfId="0" applyNumberFormat="1" applyFont="1" applyFill="1" applyBorder="1" applyAlignment="1">
      <x:alignment wrapText="1"/>
    </x:xf>
    <x:xf numFmtId="0" fontId="1" fillId="67" borderId="6" xfId="0" applyNumberFormat="1" applyFont="1" applyFill="1" applyBorder="1" applyAlignment="1">
      <x:alignment horizontal="center" wrapText="1"/>
    </x:xf>
    <x:xf numFmtId="0" fontId="1" fillId="67" borderId="6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/>
    <x:xf numFmtId="0" fontId="6" fillId="68" borderId="6" xfId="0" applyNumberFormat="1" applyFont="1" applyFill="1" applyBorder="1"/>
    <x:xf numFmtId="0" fontId="6" fillId="69" borderId="6" xfId="0" applyNumberFormat="1" applyFont="1" applyFill="1" applyBorder="1"/>
    <x:xf numFmtId="0" fontId="6" fillId="70" borderId="6" xfId="0" applyNumberFormat="1" applyFont="1" applyFill="1" applyBorder="1"/>
    <x:xf numFmtId="0" fontId="6" fillId="71" borderId="6" xfId="0" applyNumberFormat="1" applyFont="1" applyFill="1" applyBorder="1"/>
    <x:xf numFmtId="0" fontId="6" fillId="72" borderId="6" xfId="0" applyNumberFormat="1" applyFont="1" applyFill="1" applyBorder="1"/>
    <x:xf numFmtId="0" fontId="6" fillId="73" borderId="6" xfId="0" applyNumberFormat="1" applyFont="1" applyFill="1" applyBorder="1"/>
    <x:xf numFmtId="0" fontId="6" fillId="74" borderId="6" xfId="0" applyNumberFormat="1" applyFont="1" applyFill="1" applyBorder="1"/>
    <x:xf numFmtId="0" fontId="6" fillId="75" borderId="6" xfId="0" applyNumberFormat="1" applyFont="1" applyFill="1" applyBorder="1"/>
    <x:xf numFmtId="0" fontId="6" fillId="66" borderId="6" xfId="0" applyNumberFormat="1" applyFont="1" applyFill="1" applyBorder="1"/>
    <x:xf numFmtId="0" fontId="6" fillId="76" borderId="6" xfId="0" applyNumberFormat="1" applyFont="1" applyFill="1" applyBorder="1"/>
    <x:xf numFmtId="0" fontId="1" fillId="70" borderId="6" xfId="0" applyNumberFormat="1" applyFont="1" applyFill="1" applyBorder="1" applyAlignment="1">
      <x:alignment horizontal="center" vertical="center" wrapText="1"/>
    </x:xf>
    <x:xf numFmtId="0" fontId="5" fillId="70" borderId="6" xfId="0" applyNumberFormat="1" applyFont="1" applyFill="1" applyBorder="1" applyAlignment="1">
      <x:alignment horizontal="center" vertical="center" wrapText="1"/>
    </x:xf>
    <x:xf numFmtId="0" fontId="1" fillId="71" borderId="6" xfId="0" applyNumberFormat="1" applyFont="1" applyFill="1" applyBorder="1" applyAlignment="1">
      <x:alignment horizontal="center" vertical="center" wrapText="1"/>
    </x:xf>
    <x:xf numFmtId="0" fontId="5" fillId="71" borderId="6" xfId="0" applyNumberFormat="1" applyFont="1" applyFill="1" applyBorder="1" applyAlignment="1">
      <x:alignment horizontal="center" vertical="center" wrapText="1"/>
    </x:xf>
    <x:xf numFmtId="0" fontId="1" fillId="72" borderId="6" xfId="0" applyNumberFormat="1" applyFont="1" applyFill="1" applyBorder="1" applyAlignment="1">
      <x:alignment horizontal="center" vertical="center" wrapText="1"/>
    </x:xf>
    <x:xf numFmtId="0" fontId="5" fillId="72" borderId="6" xfId="0" applyNumberFormat="1" applyFont="1" applyFill="1" applyBorder="1" applyAlignment="1">
      <x:alignment horizontal="center" vertical="center" wrapText="1"/>
    </x:xf>
    <x:xf numFmtId="0" fontId="1" fillId="73" borderId="6" xfId="0" applyNumberFormat="1" applyFont="1" applyFill="1" applyBorder="1" applyAlignment="1">
      <x:alignment horizontal="center" vertical="center" wrapText="1"/>
    </x:xf>
    <x:xf numFmtId="0" fontId="5" fillId="73" borderId="6" xfId="0" applyNumberFormat="1" applyFont="1" applyFill="1" applyBorder="1" applyAlignment="1">
      <x:alignment horizontal="center" vertical="center" wrapText="1"/>
    </x:xf>
    <x:xf numFmtId="0" fontId="1" fillId="74" borderId="6" xfId="0" applyNumberFormat="1" applyFont="1" applyFill="1" applyBorder="1" applyAlignment="1">
      <x:alignment horizontal="center" vertical="center" wrapText="1"/>
    </x:xf>
    <x:xf numFmtId="0" fontId="5" fillId="74" borderId="6" xfId="0" applyNumberFormat="1" applyFont="1" applyFill="1" applyBorder="1" applyAlignment="1">
      <x:alignment horizontal="center" vertical="center" wrapText="1"/>
    </x:xf>
    <x:xf numFmtId="0" fontId="1" fillId="75" borderId="6" xfId="0" applyNumberFormat="1" applyFont="1" applyFill="1" applyBorder="1" applyAlignment="1">
      <x:alignment horizontal="center" vertical="center" wrapText="1"/>
    </x:xf>
    <x:xf numFmtId="0" fontId="5" fillId="75" borderId="6" xfId="0" applyNumberFormat="1" applyFont="1" applyFill="1" applyBorder="1" applyAlignment="1">
      <x:alignment horizontal="center" vertical="center" wrapText="1"/>
    </x:xf>
    <x:xf numFmtId="0" fontId="1" fillId="66" borderId="6" xfId="0" applyNumberFormat="1" applyFont="1" applyFill="1" applyBorder="1" applyAlignment="1">
      <x:alignment horizontal="center" vertical="center" wrapText="1"/>
    </x:xf>
    <x:xf numFmtId="0" fontId="5" fillId="66" borderId="6" xfId="0" applyNumberFormat="1" applyFont="1" applyFill="1" applyBorder="1" applyAlignment="1">
      <x:alignment horizontal="center" vertical="center" wrapText="1"/>
    </x:xf>
    <x:xf numFmtId="0" fontId="1" fillId="76" borderId="6" xfId="0" applyNumberFormat="1" applyFont="1" applyFill="1" applyBorder="1" applyAlignment="1">
      <x:alignment horizontal="center" vertical="center" wrapText="1"/>
    </x:xf>
    <x:xf numFmtId="0" fontId="5" fillId="76" borderId="6" xfId="0" applyNumberFormat="1" applyFont="1" applyFill="1" applyBorder="1" applyAlignment="1">
      <x:alignment horizontal="center" vertical="center" wrapText="1"/>
    </x:xf>
    <x:xf numFmtId="0" fontId="5" fillId="66" borderId="6" xfId="0" applyNumberFormat="1" applyFont="1" applyFill="1" applyBorder="1"/>
    <x:xf numFmtId="0" fontId="5" fillId="66" borderId="6" xfId="0" applyNumberFormat="1" applyFont="1" applyFill="1" applyBorder="1" applyAlignment="1">
      <x:alignment horizontal="center"/>
    </x:xf>
    <x:xf numFmtId="0" fontId="5" fillId="68" borderId="6" xfId="0" applyNumberFormat="1" applyFont="1" applyFill="1" applyBorder="1"/>
    <x:xf numFmtId="0" fontId="5" fillId="69" borderId="6" xfId="0" applyNumberFormat="1" applyFont="1" applyFill="1" applyBorder="1"/>
    <x:xf numFmtId="201" fontId="6" fillId="68" borderId="6" xfId="0" applyNumberFormat="1" applyFont="1" applyFill="1" applyBorder="1"/>
    <x:xf numFmtId="201" fontId="6" fillId="69" borderId="6" xfId="0" applyNumberFormat="1" applyFont="1" applyFill="1" applyBorder="1"/>
    <x:xf numFmtId="210" fontId="6" fillId="68" borderId="6" xfId="0" applyNumberFormat="1" applyFont="1" applyFill="1" applyBorder="1"/>
    <x:xf numFmtId="210" fontId="6" fillId="69" borderId="6" xfId="0" applyNumberFormat="1" applyFont="1" applyFill="1" applyBorder="1"/>
    <x:xf numFmtId="208" fontId="6" fillId="68" borderId="6" xfId="0" applyNumberFormat="1" applyFont="1" applyFill="1" applyBorder="1"/>
    <x:xf numFmtId="208" fontId="6" fillId="69" borderId="6" xfId="0" applyNumberFormat="1" applyFont="1" applyFill="1" applyBorder="1"/>
    <x:xf numFmtId="203" fontId="6" fillId="0" borderId="6" xfId="0" applyNumberFormat="1" applyFont="1" applyFill="1" applyBorder="1"/>
    <x:xf numFmtId="205" fontId="6" fillId="68" borderId="6" xfId="0" applyNumberFormat="1" applyFont="1" applyFill="1" applyBorder="1"/>
    <x:xf numFmtId="205" fontId="6" fillId="69" borderId="6" xfId="0" applyNumberFormat="1" applyFont="1" applyFill="1" applyBorder="1"/>
    <x:xf numFmtId="203" fontId="6" fillId="0" borderId="0" xfId="0" applyNumberFormat="1" applyFont="1" applyFill="1" applyBorder="1"/>
    <x:xf numFmtId="0" fontId="6" fillId="0" borderId="24" xfId="0" applyNumberFormat="1" applyFont="1" applyFill="1" applyBorder="1"/>
    <x:xf numFmtId="0" fontId="6" fillId="0" borderId="25" xfId="0" applyNumberFormat="1" applyFont="1" applyFill="1" applyBorder="1"/>
    <x:xf numFmtId="0" fontId="6" fillId="0" borderId="26" xfId="0" applyNumberFormat="1" applyFont="1" applyFill="1" applyBorder="1"/>
    <x:xf numFmtId="0" fontId="6" fillId="68" borderId="24" xfId="0" applyNumberFormat="1" applyFont="1" applyFill="1" applyBorder="1"/>
    <x:xf numFmtId="0" fontId="6" fillId="69" borderId="25" xfId="0" applyNumberFormat="1" applyFont="1" applyFill="1" applyBorder="1"/>
    <x:xf numFmtId="0" fontId="6" fillId="68" borderId="25" xfId="0" applyNumberFormat="1" applyFont="1" applyFill="1" applyBorder="1"/>
    <x:xf numFmtId="0" fontId="6" fillId="68" borderId="26" xfId="0" applyNumberFormat="1" applyFont="1" applyFill="1" applyBorder="1"/>
    <x:xf numFmtId="205" fontId="6" fillId="68" borderId="24" xfId="0" applyNumberFormat="1" applyFont="1" applyFill="1" applyBorder="1"/>
    <x:xf numFmtId="205" fontId="6" fillId="69" borderId="25" xfId="0" applyNumberFormat="1" applyFont="1" applyFill="1" applyBorder="1"/>
    <x:xf numFmtId="205" fontId="6" fillId="68" borderId="25" xfId="0" applyNumberFormat="1" applyFont="1" applyFill="1" applyBorder="1"/>
    <x:xf numFmtId="205" fontId="6" fillId="68" borderId="26" xfId="0" applyNumberFormat="1" applyFont="1" applyFill="1" applyBorder="1"/>
    <x:xf numFmtId="208" fontId="6" fillId="68" borderId="24" xfId="0" applyNumberFormat="1" applyFont="1" applyFill="1" applyBorder="1"/>
    <x:xf numFmtId="208" fontId="6" fillId="69" borderId="25" xfId="0" applyNumberFormat="1" applyFont="1" applyFill="1" applyBorder="1"/>
    <x:xf numFmtId="208" fontId="6" fillId="68" borderId="25" xfId="0" applyNumberFormat="1" applyFont="1" applyFill="1" applyBorder="1"/>
    <x:xf numFmtId="208" fontId="6" fillId="68" borderId="26" xfId="0" applyNumberFormat="1" applyFont="1" applyFill="1" applyBorder="1"/>
    <x:xf numFmtId="202" fontId="6" fillId="68" borderId="24" xfId="0" applyNumberFormat="1" applyFont="1" applyFill="1" applyBorder="1"/>
    <x:xf numFmtId="202" fontId="6" fillId="69" borderId="25" xfId="0" applyNumberFormat="1" applyFont="1" applyFill="1" applyBorder="1"/>
    <x:xf numFmtId="202" fontId="6" fillId="68" borderId="25" xfId="0" applyNumberFormat="1" applyFont="1" applyFill="1" applyBorder="1"/>
    <x:xf numFmtId="202" fontId="6" fillId="68" borderId="26" xfId="0" applyNumberFormat="1" applyFont="1" applyFill="1" applyBorder="1"/>
    <x:xf numFmtId="0" fontId="29" fillId="64" borderId="23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1" fillId="64" borderId="23" xfId="0" applyNumberFormat="1" applyFont="1" applyFill="1" applyBorder="1" applyAlignment="1">
      <x:alignment vertical="center" wrapText="1"/>
    </x:xf>
    <x:xf numFmtId="0" fontId="0" fillId="68" borderId="23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6" fillId="68" borderId="23" xfId="0" applyNumberFormat="1" applyFont="1" applyFill="1" applyBorder="1" applyAlignment="1">
      <x:alignment vertical="center" wrapText="1"/>
    </x:xf>
    <x:xf numFmtId="0" fontId="6" fillId="68" borderId="0" xfId="0" applyNumberFormat="1" applyFont="1" applyFill="1" applyBorder="1"/>
    <x:xf numFmtId="0" fontId="6" fillId="68" borderId="0" xfId="0" applyNumberFormat="1" applyFont="1" applyFill="1" applyBorder="1" applyAlignment="1">
      <x:alignment wrapText="1"/>
    </x:xf>
    <x:xf numFmtId="0" fontId="6" fillId="68" borderId="0" xfId="0" applyNumberFormat="1" applyFont="1" applyFill="1" applyBorder="1" applyAlignment="1">
      <x:alignment vertical="center" wrapText="1"/>
    </x:xf>
    <x:xf numFmtId="0" fontId="6" fillId="77" borderId="0" xfId="0" applyNumberFormat="1" applyFont="1" applyFill="1" applyBorder="1"/>
    <x:xf numFmtId="0" fontId="1" fillId="77" borderId="0" xfId="0" applyNumberFormat="1" applyFont="1" applyFill="1" applyBorder="1"/>
    <x:xf numFmtId="0" fontId="1" fillId="77" borderId="6" xfId="0" applyNumberFormat="1" applyFont="1" applyFill="1" applyBorder="1"/>
    <x:xf numFmtId="0" fontId="1" fillId="77" borderId="6" xfId="0" applyNumberFormat="1" applyFont="1" applyFill="1" applyBorder="1" applyAlignment="1">
      <x:alignment wrapText="1"/>
    </x:xf>
    <x:xf numFmtId="0" fontId="1" fillId="77" borderId="6" xfId="0" applyNumberFormat="1" applyFont="1" applyFill="1" applyBorder="1" applyAlignment="1">
      <x:alignment horizontal="center" wrapText="1"/>
    </x:xf>
    <x:xf numFmtId="0" fontId="1" fillId="77" borderId="6" xfId="0" applyNumberFormat="1" applyFont="1" applyFill="1" applyBorder="1" applyAlignment="1">
      <x:alignment horizontal="center" vertical="center" wrapText="1"/>
    </x:xf>
    <x:xf numFmtId="205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78" borderId="0" xfId="0" applyNumberFormat="1" applyFont="1" applyFill="1" applyBorder="1"/>
    <x:xf numFmtId="0" fontId="1" fillId="78" borderId="0" xfId="0" applyNumberFormat="1" applyFont="1" applyFill="1" applyBorder="1"/>
    <x:xf numFmtId="0" fontId="1" fillId="78" borderId="0" xfId="0" applyNumberFormat="1" applyFont="1" applyFill="1" applyBorder="1" applyAlignment="1">
      <x:alignment vertical="center"/>
    </x:xf>
    <x:xf numFmtId="0" fontId="6" fillId="79" borderId="0" xfId="0" applyNumberFormat="1" applyFont="1" applyFill="1" applyBorder="1"/>
    <x:xf numFmtId="0" fontId="2" fillId="79" borderId="0" xfId="0" applyNumberFormat="1" applyFont="1" applyFill="1" applyBorder="1"/>
    <x:xf numFmtId="0" fontId="2" fillId="79" borderId="0" xfId="0" applyNumberFormat="1" applyFont="1" applyFill="1" applyBorder="1" applyAlignment="1">
      <x:alignment wrapText="1"/>
    </x:xf>
    <x:xf numFmtId="0" fontId="2" fillId="79" borderId="0" xfId="0" applyNumberFormat="1" applyFont="1" applyFill="1" applyBorder="1" applyAlignment="1">
      <x:alignment vertical="center" wrapText="1"/>
    </x:xf>
    <x:xf numFmtId="0" fontId="6" fillId="80" borderId="0" xfId="0" applyNumberFormat="1" applyFont="1" applyFill="1" applyBorder="1"/>
    <x:xf numFmtId="0" fontId="5" fillId="80" borderId="0" xfId="0" applyNumberFormat="1" applyFont="1" applyFill="1" applyBorder="1"/>
    <x:xf numFmtId="0" fontId="5" fillId="80" borderId="0" xfId="0" applyNumberFormat="1" applyFont="1" applyFill="1" applyBorder="1" applyAlignment="1">
      <x:alignment horizontal="center"/>
    </x:xf>
    <x:xf numFmtId="0" fontId="5" fillId="80" borderId="0" xfId="0" applyNumberFormat="1" applyFont="1" applyFill="1" applyBorder="1" applyAlignment="1">
      <x:alignment horizontal="center" vertical="center"/>
    </x:xf>
    <x:xf numFmtId="0" fontId="6" fillId="81" borderId="0" xfId="0" applyNumberFormat="1" applyFont="1" applyFill="1" applyBorder="1"/>
    <x:xf numFmtId="0" fontId="6" fillId="82" borderId="0" xfId="0" applyNumberFormat="1" applyFont="1" applyFill="1" applyBorder="1"/>
    <x:xf numFmtId="0" fontId="6" fillId="81" borderId="24" xfId="0" applyNumberFormat="1" applyFont="1" applyFill="1" applyBorder="1"/>
    <x:xf numFmtId="0" fontId="6" fillId="82" borderId="25" xfId="0" applyNumberFormat="1" applyFont="1" applyFill="1" applyBorder="1"/>
    <x:xf numFmtId="0" fontId="6" fillId="81" borderId="25" xfId="0" applyNumberFormat="1" applyFont="1" applyFill="1" applyBorder="1"/>
    <x:xf numFmtId="0" fontId="6" fillId="82" borderId="26" xfId="0" applyNumberFormat="1" applyFont="1" applyFill="1" applyBorder="1"/>
    <x:xf numFmtId="0" fontId="6" fillId="82" borderId="24" xfId="0" applyNumberFormat="1" applyFont="1" applyFill="1" applyBorder="1"/>
    <x:xf numFmtId="205" fontId="6" fillId="81" borderId="24" xfId="0" applyNumberFormat="1" applyFont="1" applyFill="1" applyBorder="1"/>
    <x:xf numFmtId="205" fontId="6" fillId="82" borderId="25" xfId="0" applyNumberFormat="1" applyFont="1" applyFill="1" applyBorder="1"/>
    <x:xf numFmtId="205" fontId="6" fillId="81" borderId="25" xfId="0" applyNumberFormat="1" applyFont="1" applyFill="1" applyBorder="1"/>
    <x:xf numFmtId="205" fontId="6" fillId="82" borderId="26" xfId="0" applyNumberFormat="1" applyFont="1" applyFill="1" applyBorder="1"/>
    <x:xf numFmtId="208" fontId="6" fillId="81" borderId="24" xfId="0" applyNumberFormat="1" applyFont="1" applyFill="1" applyBorder="1"/>
    <x:xf numFmtId="208" fontId="6" fillId="82" borderId="25" xfId="0" applyNumberFormat="1" applyFont="1" applyFill="1" applyBorder="1"/>
    <x:xf numFmtId="208" fontId="6" fillId="81" borderId="25" xfId="0" applyNumberFormat="1" applyFont="1" applyFill="1" applyBorder="1"/>
    <x:xf numFmtId="208" fontId="6" fillId="82" borderId="26" xfId="0" applyNumberFormat="1" applyFont="1" applyFill="1" applyBorder="1"/>
    <x:xf numFmtId="205" fontId="6" fillId="82" borderId="24" xfId="0" applyNumberFormat="1" applyFont="1" applyFill="1" applyBorder="1"/>
    <x:xf numFmtId="207" fontId="6" fillId="82" borderId="24" xfId="0" applyNumberFormat="1" applyFont="1" applyFill="1" applyBorder="1"/>
    <x:xf numFmtId="207" fontId="6" fillId="81" borderId="25" xfId="0" applyNumberFormat="1" applyFont="1" applyFill="1" applyBorder="1"/>
    <x:xf numFmtId="207" fontId="6" fillId="82" borderId="25" xfId="0" applyNumberFormat="1" applyFont="1" applyFill="1" applyBorder="1"/>
    <x:xf numFmtId="207" fontId="6" fillId="82" borderId="26" xfId="0" applyNumberFormat="1" applyFont="1" applyFill="1" applyBorder="1"/>
    <x:xf numFmtId="208" fontId="6" fillId="82" borderId="24" xfId="0" applyNumberFormat="1" applyFont="1" applyFill="1" applyBorder="1"/>
    <x:xf numFmtId="0" fontId="0" fillId="80" borderId="0" xfId="0" applyNumberFormat="1" applyFont="1" applyFill="1" applyBorder="1"/>
    <x:xf numFmtId="0" fontId="0" fillId="77" borderId="0" xfId="0" applyNumberFormat="1" applyFont="1" applyFill="1" applyBorder="1"/>
    <x:xf numFmtId="0" fontId="0" fillId="81" borderId="0" xfId="0" applyNumberFormat="1" applyFont="1" applyFill="1" applyBorder="1"/>
    <x:xf numFmtId="0" fontId="0" fillId="82" borderId="0" xfId="0" applyNumberFormat="1" applyFont="1" applyFill="1" applyBorder="1"/>
    <x:xf numFmtId="0" fontId="0" fillId="81" borderId="24" xfId="0" applyNumberFormat="1" applyFont="1" applyFill="1" applyBorder="1"/>
    <x:xf numFmtId="0" fontId="0" fillId="82" borderId="25" xfId="0" applyNumberFormat="1" applyFont="1" applyFill="1" applyBorder="1"/>
    <x:xf numFmtId="0" fontId="0" fillId="81" borderId="25" xfId="0" applyNumberFormat="1" applyFont="1" applyFill="1" applyBorder="1"/>
    <x:xf numFmtId="0" fontId="0" fillId="82" borderId="26" xfId="0" applyNumberFormat="1" applyFont="1" applyFill="1" applyBorder="1"/>
    <x:xf numFmtId="208" fontId="0" fillId="81" borderId="24" xfId="0" applyNumberFormat="1" applyFont="1" applyFill="1" applyBorder="1"/>
    <x:xf numFmtId="208" fontId="0" fillId="82" borderId="25" xfId="0" applyNumberFormat="1" applyFont="1" applyFill="1" applyBorder="1"/>
    <x:xf numFmtId="208" fontId="0" fillId="81" borderId="25" xfId="0" applyNumberFormat="1" applyFont="1" applyFill="1" applyBorder="1"/>
    <x:xf numFmtId="208" fontId="0" fillId="82" borderId="26" xfId="0" applyNumberFormat="1" applyFont="1" applyFill="1" applyBorder="1"/>
    <x:xf numFmtId="205" fontId="0" fillId="81" borderId="24" xfId="0" applyNumberFormat="1" applyFont="1" applyFill="1" applyBorder="1"/>
    <x:xf numFmtId="205" fontId="0" fillId="82" borderId="25" xfId="0" applyNumberFormat="1" applyFont="1" applyFill="1" applyBorder="1"/>
    <x:xf numFmtId="205" fontId="0" fillId="81" borderId="25" xfId="0" applyNumberFormat="1" applyFont="1" applyFill="1" applyBorder="1"/>
    <x:xf numFmtId="205" fontId="0" fillId="82" borderId="26" xfId="0" applyNumberFormat="1" applyFont="1" applyFill="1" applyBorder="1"/>
    <x:xf numFmtId="210" fontId="0" fillId="81" borderId="24" xfId="0" applyNumberFormat="1" applyFont="1" applyFill="1" applyBorder="1"/>
    <x:xf numFmtId="210" fontId="0" fillId="82" borderId="25" xfId="0" applyNumberFormat="1" applyFont="1" applyFill="1" applyBorder="1"/>
    <x:xf numFmtId="210" fontId="0" fillId="81" borderId="25" xfId="0" applyNumberFormat="1" applyFont="1" applyFill="1" applyBorder="1"/>
    <x:xf numFmtId="210" fontId="0" fillId="82" borderId="26" xfId="0" applyNumberFormat="1" applyFont="1" applyFill="1" applyBorder="1"/>
    <x:xf numFmtId="201" fontId="6" fillId="4" borderId="6" xfId="0" applyNumberFormat="1" applyFont="1" applyFill="1" applyBorder="1"/>
    <x:xf numFmtId="210" fontId="6" fillId="4" borderId="6" xfId="0" applyNumberFormat="1" applyFont="1" applyFill="1" applyBorder="1"/>
    <x:xf numFmtId="208" fontId="6" fillId="4" borderId="6" xfId="0" applyNumberFormat="1" applyFont="1" applyFill="1" applyBorder="1"/>
    <x:xf numFmtId="0" fontId="1" fillId="79" borderId="6" xfId="0" applyNumberFormat="1" applyFont="1" applyFill="1" applyBorder="1" applyAlignment="1">
      <x:alignment horizontal="center" vertical="center" wrapText="1"/>
    </x:xf>
    <x:xf numFmtId="201" fontId="5" fillId="6" borderId="6" xfId="0" applyNumberFormat="1" applyFont="1" applyFill="1" applyBorder="1" applyAlignment="1">
      <x:alignment horizontal="center" vertical="center"/>
    </x:xf>
    <x:xf numFmtId="201" fontId="7" fillId="8" borderId="6" xfId="0" applyNumberFormat="1" applyFont="1" applyFill="1" applyBorder="1" applyAlignment="1">
      <x:alignment horizontal="center" vertical="center"/>
    </x:xf>
    <x:xf numFmtId="201" fontId="9" fillId="10" borderId="6" xfId="0" applyNumberFormat="1" applyFont="1" applyFill="1" applyBorder="1" applyAlignment="1">
      <x:alignment horizontal="center" vertical="center"/>
    </x:xf>
    <x:xf numFmtId="201" fontId="8" fillId="9" borderId="6" xfId="0" applyNumberFormat="1" applyFont="1" applyFill="1" applyBorder="1" applyAlignment="1">
      <x:alignment horizontal="center" vertical="center"/>
    </x:xf>
    <x:xf numFmtId="201" fontId="10" fillId="11" borderId="6" xfId="0" applyNumberFormat="1" applyFont="1" applyFill="1" applyBorder="1" applyAlignment="1">
      <x:alignment horizontal="center" vertical="center"/>
    </x:xf>
    <x:xf numFmtId="201" fontId="13" fillId="14" borderId="6" xfId="0" applyNumberFormat="1" applyFont="1" applyFill="1" applyBorder="1" applyAlignment="1">
      <x:alignment horizontal="center" vertical="center"/>
    </x:xf>
    <x:xf numFmtId="201" fontId="11" fillId="12" borderId="6" xfId="0" applyNumberFormat="1" applyFont="1" applyFill="1" applyBorder="1" applyAlignment="1">
      <x:alignment horizontal="center" vertical="center"/>
    </x:xf>
    <x:xf numFmtId="201" fontId="27" fillId="13" borderId="6" xfId="0" applyNumberFormat="1" applyFont="1" applyFill="1" applyBorder="1" applyAlignment="1">
      <x:alignment horizontal="center" vertical="center"/>
    </x:xf>
    <x:xf numFmtId="201" fontId="14" fillId="15" borderId="6" xfId="0" applyNumberFormat="1" applyFont="1" applyFill="1" applyBorder="1" applyAlignment="1">
      <x:alignment horizontal="center" vertical="center"/>
    </x:xf>
    <x:xf numFmtId="202" fontId="5" fillId="6" borderId="6" xfId="0" applyNumberFormat="1" applyFont="1" applyFill="1" applyBorder="1" applyAlignment="1">
      <x:alignment horizontal="center" vertical="center"/>
    </x:xf>
    <x:xf numFmtId="202" fontId="7" fillId="8" borderId="6" xfId="0" applyNumberFormat="1" applyFont="1" applyFill="1" applyBorder="1" applyAlignment="1">
      <x:alignment horizontal="center" vertical="center"/>
    </x:xf>
    <x:xf numFmtId="202" fontId="9" fillId="10" borderId="6" xfId="0" applyNumberFormat="1" applyFont="1" applyFill="1" applyBorder="1" applyAlignment="1">
      <x:alignment horizontal="center" vertical="center"/>
    </x:xf>
    <x:xf numFmtId="202" fontId="8" fillId="9" borderId="6" xfId="0" applyNumberFormat="1" applyFont="1" applyFill="1" applyBorder="1" applyAlignment="1">
      <x:alignment horizontal="center" vertical="center"/>
    </x:xf>
    <x:xf numFmtId="202" fontId="10" fillId="11" borderId="6" xfId="0" applyNumberFormat="1" applyFont="1" applyFill="1" applyBorder="1" applyAlignment="1">
      <x:alignment horizontal="center" vertical="center"/>
    </x:xf>
    <x:xf numFmtId="202" fontId="13" fillId="14" borderId="6" xfId="0" applyNumberFormat="1" applyFont="1" applyFill="1" applyBorder="1" applyAlignment="1">
      <x:alignment horizontal="center" vertical="center"/>
    </x:xf>
    <x:xf numFmtId="202" fontId="11" fillId="12" borderId="6" xfId="0" applyNumberFormat="1" applyFont="1" applyFill="1" applyBorder="1" applyAlignment="1">
      <x:alignment horizontal="center" vertical="center"/>
    </x:xf>
    <x:xf numFmtId="202" fontId="27" fillId="13" borderId="6" xfId="0" applyNumberFormat="1" applyFont="1" applyFill="1" applyBorder="1" applyAlignment="1">
      <x:alignment horizontal="center" vertical="center"/>
    </x:xf>
    <x:xf numFmtId="202" fontId="14" fillId="15" borderId="6" xfId="0" applyNumberFormat="1" applyFont="1" applyFill="1" applyBorder="1" applyAlignment="1">
      <x:alignment horizontal="center" vertical="center"/>
    </x:xf>
    <x:xf numFmtId="0" fontId="0" fillId="79" borderId="0" xfId="0" applyNumberFormat="1" applyFont="1" applyFill="1" applyBorder="1"/>
    <x:xf numFmtId="0" fontId="1" fillId="79" borderId="0" xfId="0" applyNumberFormat="1" applyFont="1" applyFill="1" applyBorder="1"/>
    <x:xf numFmtId="0" fontId="1" fillId="79" borderId="0" xfId="0" applyNumberFormat="1" applyFont="1" applyFill="1" applyBorder="1" applyAlignment="1">
      <x:alignment wrapText="1"/>
    </x:xf>
    <x:xf numFmtId="0" fontId="1" fillId="79" borderId="6" xfId="0" applyNumberFormat="1" applyFont="1" applyFill="1" applyBorder="1"/>
    <x:xf numFmtId="0" fontId="1" fillId="79" borderId="6" xfId="0" applyNumberFormat="1" applyFont="1" applyFill="1" applyBorder="1" applyAlignment="1">
      <x:alignment wrapText="1"/>
    </x:xf>
    <x:xf numFmtId="0" fontId="1" fillId="79" borderId="6" xfId="0" applyNumberFormat="1" applyFont="1" applyFill="1" applyBorder="1" applyAlignment="1">
      <x:alignment horizontal="center" wrapText="1"/>
    </x:xf>
    <x:xf numFmtId="205" fontId="0" fillId="81" borderId="0" xfId="0" applyNumberFormat="1" applyFont="1" applyFill="1" applyBorder="1"/>
    <x:xf numFmtId="205" fontId="0" fillId="82" borderId="0" xfId="0" applyNumberFormat="1" applyFont="1" applyFill="1" applyBorder="1"/>
    <x:xf numFmtId="208" fontId="0" fillId="81" borderId="0" xfId="0" applyNumberFormat="1" applyFont="1" applyFill="1" applyBorder="1"/>
    <x:xf numFmtId="208" fontId="0" fillId="82" borderId="0" xfId="0" applyNumberFormat="1" applyFont="1" applyFill="1" applyBorder="1"/>
    <x:xf numFmtId="0" fontId="1" fillId="79" borderId="27" xfId="0" applyNumberFormat="1" applyFont="1" applyFill="1" applyBorder="1" applyAlignment="1">
      <x:alignment horizontal="center" vertical="center" wrapText="1"/>
    </x:xf>
    <x:xf numFmtId="0" fontId="0" fillId="81" borderId="28" xfId="0" applyNumberFormat="1" applyFont="1" applyFill="1" applyBorder="1"/>
    <x:xf numFmtId="208" fontId="0" fillId="81" borderId="29" xfId="0" applyNumberFormat="1" applyFont="1" applyFill="1" applyBorder="1"/>
    <x:xf numFmtId="0" fontId="0" fillId="82" borderId="28" xfId="0" applyNumberFormat="1" applyFont="1" applyFill="1" applyBorder="1"/>
    <x:xf numFmtId="208" fontId="0" fillId="82" borderId="29" xfId="0" applyNumberFormat="1" applyFont="1" applyFill="1" applyBorder="1"/>
    <x:xf numFmtId="0" fontId="0" fillId="82" borderId="30" xfId="0" applyNumberFormat="1" applyFont="1" applyFill="1" applyBorder="1"/>
    <x:xf numFmtId="0" fontId="0" fillId="82" borderId="31" xfId="0" applyNumberFormat="1" applyFont="1" applyFill="1" applyBorder="1"/>
    <x:xf numFmtId="205" fontId="0" fillId="82" borderId="31" xfId="0" applyNumberFormat="1" applyFont="1" applyFill="1" applyBorder="1"/>
    <x:xf numFmtId="208" fontId="0" fillId="82" borderId="32" xfId="0" applyNumberFormat="1" applyFont="1" applyFill="1" applyBorder="1"/>
    <x:xf numFmtId="0" fontId="1" fillId="79" borderId="0" xfId="0" applyNumberFormat="1" applyFont="1" applyFill="1" applyBorder="1" applyAlignment="1">
      <x:alignment vertical="center"/>
    </x:xf>
    <x:xf numFmtId="0" fontId="6" fillId="81" borderId="0" xfId="0" applyNumberFormat="1" applyFont="1" applyFill="1" applyBorder="1" applyAlignment="1">
      <x:alignment wrapText="1"/>
    </x:xf>
    <x:xf numFmtId="0" fontId="6" fillId="81" borderId="0" xfId="0" applyNumberFormat="1" applyFont="1" applyFill="1" applyBorder="1" applyAlignment="1">
      <x:alignment vertical="center" wrapText="1"/>
    </x:xf>
    <x:xf numFmtId="0" fontId="1" fillId="83" borderId="6" xfId="0" applyNumberFormat="1" applyFont="1" applyFill="1" applyBorder="1" applyAlignment="1">
      <x:alignment horizontal="center" vertical="center" wrapText="1"/>
    </x:xf>
    <x:xf numFmtId="0" fontId="0" fillId="83" borderId="0" xfId="0" applyNumberFormat="1" applyFont="1" applyFill="1" applyBorder="1"/>
    <x:xf numFmtId="0" fontId="1" fillId="83" borderId="0" xfId="0" applyNumberFormat="1" applyFont="1" applyFill="1" applyBorder="1"/>
    <x:xf numFmtId="0" fontId="1" fillId="83" borderId="6" xfId="0" applyNumberFormat="1" applyFont="1" applyFill="1" applyBorder="1"/>
    <x:xf numFmtId="0" fontId="1" fillId="83" borderId="6" xfId="0" applyNumberFormat="1" applyFont="1" applyFill="1" applyBorder="1" applyAlignment="1">
      <x:alignment wrapText="1"/>
    </x:xf>
    <x:xf numFmtId="0" fontId="1" fillId="83" borderId="6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0" fontId="16" fillId="17" borderId="6" xfId="0" applyNumberFormat="1" applyFont="1" applyFill="1" applyBorder="1" applyAlignment="1">
      <x:alignment horizontal="center" vertical="center" wrapText="1"/>
    </x:xf>
    <x:xf numFmtId="203" fontId="16" fillId="17" borderId="4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1" fillId="84" borderId="0" xfId="0" applyNumberFormat="1" applyFont="1" applyFill="1" applyBorder="1"/>
    <x:xf numFmtId="0" fontId="1" fillId="84" borderId="6" xfId="0" applyNumberFormat="1" applyFont="1" applyFill="1" applyBorder="1"/>
    <x:xf numFmtId="0" fontId="1" fillId="84" borderId="6" xfId="0" applyNumberFormat="1" applyFont="1" applyFill="1" applyBorder="1" applyAlignment="1">
      <x:alignment wrapText="1"/>
    </x:xf>
    <x:xf numFmtId="0" fontId="1" fillId="84" borderId="6" xfId="0" applyNumberFormat="1" applyFont="1" applyFill="1" applyBorder="1" applyAlignment="1">
      <x:alignment horizontal="center" wrapText="1"/>
    </x:xf>
    <x:xf numFmtId="0" fontId="1" fillId="84" borderId="6" xfId="0" applyNumberFormat="1" applyFont="1" applyFill="1" applyBorder="1" applyAlignment="1">
      <x:alignment horizontal="center" vertical="center" wrapText="1"/>
    </x:xf>
    <x:xf numFmtId="0" fontId="0" fillId="85" borderId="0" xfId="0" applyNumberFormat="1" applyFont="1" applyFill="1" applyBorder="1"/>
    <x:xf numFmtId="0" fontId="0" fillId="86" borderId="0" xfId="0" applyNumberFormat="1" applyFont="1" applyFill="1" applyBorder="1"/>
    <x:xf numFmtId="205" fontId="0" fillId="85" borderId="0" xfId="0" applyNumberFormat="1" applyFont="1" applyFill="1" applyBorder="1"/>
    <x:xf numFmtId="205" fontId="0" fillId="86" borderId="0" xfId="0" applyNumberFormat="1" applyFont="1" applyFill="1" applyBorder="1"/>
    <x:xf numFmtId="205" fontId="0" fillId="85" borderId="24" xfId="0" applyNumberFormat="1" applyFont="1" applyFill="1" applyBorder="1"/>
    <x:xf numFmtId="205" fontId="0" fillId="86" borderId="25" xfId="0" applyNumberFormat="1" applyFont="1" applyFill="1" applyBorder="1"/>
    <x:xf numFmtId="205" fontId="0" fillId="85" borderId="25" xfId="0" applyNumberFormat="1" applyFont="1" applyFill="1" applyBorder="1"/>
    <x:xf numFmtId="205" fontId="0" fillId="86" borderId="26" xfId="0" applyNumberFormat="1" applyFont="1" applyFill="1" applyBorder="1"/>
    <x:xf numFmtId="0" fontId="1" fillId="87" borderId="6" xfId="0" applyNumberFormat="1" applyFont="1" applyFill="1" applyBorder="1" applyAlignment="1">
      <x:alignment horizontal="center" vertical="center" wrapText="1"/>
    </x:xf>
    <x:xf numFmtId="0" fontId="1" fillId="87" borderId="33" xfId="0" applyNumberFormat="1" applyFont="1" applyFill="1" applyBorder="1" applyAlignment="1">
      <x:alignment horizontal="center" vertical="center" wrapText="1"/>
    </x:xf>
    <x:xf numFmtId="201" fontId="0" fillId="0" borderId="34" xfId="0" applyNumberFormat="1" applyFont="1" applyFill="1" applyBorder="1"/>
    <x:xf numFmtId="201" fontId="0" fillId="0" borderId="35" xfId="0" applyNumberFormat="1" applyFont="1" applyFill="1" applyBorder="1"/>
    <x:xf numFmtId="0" fontId="0" fillId="87" borderId="0" xfId="0" applyNumberFormat="1" applyFont="1" applyFill="1" applyBorder="1"/>
    <x:xf numFmtId="0" fontId="1" fillId="87" borderId="0" xfId="0" applyNumberFormat="1" applyFont="1" applyFill="1" applyBorder="1"/>
    <x:xf numFmtId="0" fontId="1" fillId="87" borderId="6" xfId="0" applyNumberFormat="1" applyFont="1" applyFill="1" applyBorder="1"/>
    <x:xf numFmtId="0" fontId="1" fillId="87" borderId="6" xfId="0" applyNumberFormat="1" applyFont="1" applyFill="1" applyBorder="1" applyAlignment="1">
      <x:alignment wrapText="1"/>
    </x:xf>
    <x:xf numFmtId="0" fontId="1" fillId="87" borderId="6" xfId="0" applyNumberFormat="1" applyFont="1" applyFill="1" applyBorder="1" applyAlignment="1">
      <x:alignment horizontal="center" wrapText="1"/>
    </x:xf>
    <x:xf numFmtId="0" fontId="5" fillId="8" borderId="6" xfId="0" applyNumberFormat="1" applyFont="1" applyFill="1" applyBorder="1" applyAlignment="1">
      <x:alignment horizontal="center" vertical="center"/>
    </x:xf>
    <x:xf numFmtId="0" fontId="5" fillId="9" borderId="6" xfId="0" applyNumberFormat="1" applyFont="1" applyFill="1" applyBorder="1" applyAlignment="1">
      <x:alignment horizontal="center" vertical="center"/>
    </x:xf>
    <x:xf numFmtId="0" fontId="5" fillId="10" borderId="6" xfId="0" applyNumberFormat="1" applyFont="1" applyFill="1" applyBorder="1" applyAlignment="1">
      <x:alignment horizontal="center" vertical="center"/>
    </x:xf>
    <x:xf numFmtId="0" fontId="5" fillId="11" borderId="6" xfId="0" applyNumberFormat="1" applyFont="1" applyFill="1" applyBorder="1" applyAlignment="1">
      <x:alignment horizontal="center" vertical="center"/>
    </x:xf>
    <x:xf numFmtId="0" fontId="5" fillId="12" borderId="6" xfId="0" applyNumberFormat="1" applyFont="1" applyFill="1" applyBorder="1" applyAlignment="1">
      <x:alignment horizontal="center" vertical="center"/>
    </x:xf>
    <x:xf numFmtId="0" fontId="5" fillId="13" borderId="6" xfId="0" applyNumberFormat="1" applyFont="1" applyFill="1" applyBorder="1" applyAlignment="1">
      <x:alignment horizontal="center" vertical="center"/>
    </x:xf>
    <x:xf numFmtId="0" fontId="5" fillId="14" borderId="6" xfId="0" applyNumberFormat="1" applyFont="1" applyFill="1" applyBorder="1" applyAlignment="1">
      <x:alignment horizontal="center" vertical="center"/>
    </x:xf>
    <x:xf numFmtId="0" fontId="5" fillId="15" borderId="6" xfId="0" applyNumberFormat="1" applyFont="1" applyFill="1" applyBorder="1" applyAlignment="1">
      <x:alignment horizontal="center" vertical="center"/>
    </x:xf>
    <x:xf numFmtId="0" fontId="5" fillId="85" borderId="6" xfId="0" applyNumberFormat="1" applyFont="1" applyFill="1" applyBorder="1" applyAlignment="1">
      <x:alignment horizontal="center" vertical="center"/>
    </x:xf>
    <x:xf numFmtId="202" fontId="6" fillId="85" borderId="4" xfId="0" applyNumberFormat="1" applyFont="1" applyFill="1" applyBorder="1" applyAlignment="1">
      <x:alignment vertical="center"/>
    </x:xf>
    <x:xf numFmtId="201" fontId="6" fillId="85" borderId="4" xfId="0" applyNumberFormat="1" applyFont="1" applyFill="1" applyBorder="1" applyAlignment="1">
      <x:alignment vertical="center"/>
    </x:xf>
    <x:xf numFmtId="201" fontId="6" fillId="85" borderId="0" xfId="0" applyNumberFormat="1" applyFont="1" applyFill="1" applyBorder="1"/>
    <x:xf numFmtId="0" fontId="5" fillId="86" borderId="6" xfId="0" applyNumberFormat="1" applyFont="1" applyFill="1" applyBorder="1" applyAlignment="1">
      <x:alignment horizontal="center" vertical="center"/>
    </x:xf>
    <x:xf numFmtId="202" fontId="6" fillId="86" borderId="4" xfId="0" applyNumberFormat="1" applyFont="1" applyFill="1" applyBorder="1" applyAlignment="1">
      <x:alignment vertical="center"/>
    </x:xf>
    <x:xf numFmtId="201" fontId="6" fillId="86" borderId="4" xfId="0" applyNumberFormat="1" applyFont="1" applyFill="1" applyBorder="1" applyAlignment="1">
      <x:alignment vertical="center"/>
    </x:xf>
    <x:xf numFmtId="201" fontId="6" fillId="86" borderId="0" xfId="0" applyNumberFormat="1" applyFont="1" applyFill="1" applyBorder="1"/>
    <x:xf numFmtId="0" fontId="5" fillId="85" borderId="27" xfId="0" applyNumberFormat="1" applyFont="1" applyFill="1" applyBorder="1" applyAlignment="1">
      <x:alignment horizontal="center" vertical="center"/>
    </x:xf>
    <x:xf numFmtId="202" fontId="6" fillId="85" borderId="36" xfId="0" applyNumberFormat="1" applyFont="1" applyFill="1" applyBorder="1" applyAlignment="1">
      <x:alignment vertical="center"/>
    </x:xf>
    <x:xf numFmtId="201" fontId="6" fillId="85" borderId="36" xfId="0" applyNumberFormat="1" applyFont="1" applyFill="1" applyBorder="1" applyAlignment="1">
      <x:alignment vertical="center"/>
    </x:xf>
    <x:xf numFmtId="201" fontId="6" fillId="85" borderId="37" xfId="0" applyNumberFormat="1" applyFont="1" applyFill="1" applyBorder="1"/>
    <x:xf numFmtId="201" fontId="6" fillId="85" borderId="38" xfId="0" applyNumberFormat="1" applyFont="1" applyFill="1" applyBorder="1"/>
    <x:xf numFmtId="0" fontId="5" fillId="86" borderId="39" xfId="0" applyNumberFormat="1" applyFont="1" applyFill="1" applyBorder="1" applyAlignment="1">
      <x:alignment horizontal="center" vertical="center"/>
    </x:xf>
    <x:xf numFmtId="201" fontId="6" fillId="86" borderId="25" xfId="0" applyNumberFormat="1" applyFont="1" applyFill="1" applyBorder="1"/>
    <x:xf numFmtId="201" fontId="6" fillId="86" borderId="29" xfId="0" applyNumberFormat="1" applyFont="1" applyFill="1" applyBorder="1"/>
    <x:xf numFmtId="0" fontId="5" fillId="85" borderId="39" xfId="0" applyNumberFormat="1" applyFont="1" applyFill="1" applyBorder="1" applyAlignment="1">
      <x:alignment horizontal="center" vertical="center"/>
    </x:xf>
    <x:xf numFmtId="201" fontId="6" fillId="85" borderId="25" xfId="0" applyNumberFormat="1" applyFont="1" applyFill="1" applyBorder="1"/>
    <x:xf numFmtId="201" fontId="6" fillId="85" borderId="29" xfId="0" applyNumberFormat="1" applyFont="1" applyFill="1" applyBorder="1"/>
    <x:xf numFmtId="0" fontId="5" fillId="86" borderId="40" xfId="0" applyNumberFormat="1" applyFont="1" applyFill="1" applyBorder="1" applyAlignment="1">
      <x:alignment horizontal="center" vertical="center"/>
    </x:xf>
    <x:xf numFmtId="202" fontId="6" fillId="86" borderId="41" xfId="0" applyNumberFormat="1" applyFont="1" applyFill="1" applyBorder="1" applyAlignment="1">
      <x:alignment vertical="center"/>
    </x:xf>
    <x:xf numFmtId="201" fontId="6" fillId="86" borderId="41" xfId="0" applyNumberFormat="1" applyFont="1" applyFill="1" applyBorder="1" applyAlignment="1">
      <x:alignment vertical="center"/>
    </x:xf>
    <x:xf numFmtId="201" fontId="6" fillId="86" borderId="31" xfId="0" applyNumberFormat="1" applyFont="1" applyFill="1" applyBorder="1"/>
    <x:xf numFmtId="201" fontId="6" fillId="86" borderId="32" xfId="0" applyNumberFormat="1" applyFont="1" applyFill="1" applyBorder="1"/>
    <x:xf numFmtId="206" fontId="0" fillId="0" borderId="0" xfId="0" applyNumberFormat="1" applyFont="1" applyFill="1" applyBorder="1"/>
    <x:xf numFmtId="0" fontId="0" fillId="0" borderId="24" xfId="0" applyNumberFormat="1" applyFont="1" applyFill="1" applyBorder="1"/>
    <x:xf numFmtId="206" fontId="0" fillId="0" borderId="24" xfId="0" applyNumberFormat="1" applyFont="1" applyFill="1" applyBorder="1"/>
    <x:xf numFmtId="0" fontId="0" fillId="0" borderId="25" xfId="0" applyNumberFormat="1" applyFont="1" applyFill="1" applyBorder="1"/>
    <x:xf numFmtId="206" fontId="0" fillId="0" borderId="25" xfId="0" applyNumberFormat="1" applyFont="1" applyFill="1" applyBorder="1"/>
    <x:xf numFmtId="0" fontId="0" fillId="0" borderId="26" xfId="0" applyNumberFormat="1" applyFont="1" applyFill="1" applyBorder="1"/>
    <x:xf numFmtId="206" fontId="0" fillId="0" borderId="26" xfId="0" applyNumberFormat="1" applyFont="1" applyFill="1" applyBorder="1"/>
    <x:xf numFmtId="0" fontId="0" fillId="88" borderId="0" xfId="0" applyNumberFormat="1" applyFont="1" applyFill="1" applyBorder="1"/>
    <x:xf numFmtId="0" fontId="0" fillId="88" borderId="42" xfId="0" applyNumberFormat="1" applyFont="1" applyFill="1" applyBorder="1"/>
    <x:xf numFmtId="0" fontId="0" fillId="89" borderId="42" xfId="0" applyNumberFormat="1" applyFont="1" applyFill="1" applyBorder="1"/>
    <x:xf numFmtId="0" fontId="0" fillId="90" borderId="0" xfId="0" applyNumberFormat="1" applyFont="1" applyFill="1" applyBorder="1"/>
    <x:xf numFmtId="0" fontId="0" fillId="90" borderId="42" xfId="0" applyNumberFormat="1" applyFont="1" applyFill="1" applyBorder="1"/>
    <x:xf numFmtId="207" fontId="0" fillId="88" borderId="42" xfId="0" applyNumberFormat="1" applyFont="1" applyFill="1" applyBorder="1"/>
    <x:xf numFmtId="207" fontId="0" fillId="90" borderId="42" xfId="0" applyNumberFormat="1" applyFont="1" applyFill="1" applyBorder="1"/>
    <x:xf numFmtId="200" fontId="0" fillId="88" borderId="42" xfId="0" applyNumberFormat="1" applyFont="1" applyFill="1" applyBorder="1"/>
    <x:xf numFmtId="200" fontId="0" fillId="90" borderId="42" xfId="0" applyNumberFormat="1" applyFont="1" applyFill="1" applyBorder="1"/>
    <x:xf numFmtId="202" fontId="0" fillId="88" borderId="42" xfId="0" applyNumberFormat="1" applyFont="1" applyFill="1" applyBorder="1"/>
    <x:xf numFmtId="202" fontId="0" fillId="90" borderId="42" xfId="0" applyNumberFormat="1" applyFont="1" applyFill="1" applyBorder="1"/>
    <x:xf numFmtId="207" fontId="0" fillId="89" borderId="42" xfId="0" applyNumberFormat="1" applyFont="1" applyFill="1" applyBorder="1"/>
    <x:xf numFmtId="208" fontId="0" fillId="89" borderId="42" xfId="0" applyNumberFormat="1" applyFont="1" applyFill="1" applyBorder="1"/>
    <x:xf numFmtId="205" fontId="0" fillId="89" borderId="42" xfId="0" applyNumberFormat="1" applyFont="1" applyFill="1" applyBorder="1"/>
    <x:xf numFmtId="211" fontId="0" fillId="89" borderId="42" xfId="0" applyNumberFormat="1" applyFont="1" applyFill="1" applyBorder="1"/>
    <x:xf numFmtId="0" fontId="0" fillId="88" borderId="42" xfId="0" applyNumberFormat="1" applyFont="1" applyFill="1" applyBorder="1" applyAlignment="1">
      <x:alignment wrapText="1"/>
    </x:xf>
    <x:xf numFmtId="0" fontId="0" fillId="90" borderId="42" xfId="0" applyNumberFormat="1" applyFont="1" applyFill="1" applyBorder="1" applyAlignment="1">
      <x:alignment wrapText="1"/>
    </x:xf>
    <x:xf numFmtId="205" fontId="0" fillId="90" borderId="42" xfId="0" applyNumberFormat="1" applyFont="1" applyFill="1" applyBorder="1"/>
    <x:xf numFmtId="205" fontId="0" fillId="88" borderId="42" xfId="0" applyNumberFormat="1" applyFont="1" applyFill="1" applyBorder="1"/>
    <x:xf numFmtId="202" fontId="0" fillId="89" borderId="42" xfId="0" applyNumberFormat="1" applyFont="1" applyFill="1" applyBorder="1"/>
    <x:xf numFmtId="208" fontId="0" fillId="88" borderId="42" xfId="0" applyNumberFormat="1" applyFont="1" applyFill="1" applyBorder="1"/>
    <x:xf numFmtId="208" fontId="0" fillId="90" borderId="42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91" borderId="0" xfId="0" applyNumberFormat="1" applyFont="1" applyFill="1" applyBorder="1"/>
    <x:xf numFmtId="0" fontId="1" fillId="91" borderId="0" xfId="0" applyNumberFormat="1" applyFont="1" applyFill="1" applyBorder="1"/>
    <x:xf numFmtId="0" fontId="1" fillId="91" borderId="0" xfId="0" applyNumberFormat="1" applyFont="1" applyFill="1" applyBorder="1" applyAlignment="1">
      <x:alignment horizontal="left"/>
    </x:xf>
    <x:xf numFmtId="0" fontId="1" fillId="91" borderId="0" xfId="0" applyNumberFormat="1" applyFont="1" applyFill="1" applyBorder="1" applyAlignment="1">
      <x:alignment horizontal="left" vertical="center"/>
    </x:xf>
    <x:xf numFmtId="0" fontId="0" fillId="92" borderId="0" xfId="0" applyNumberFormat="1" applyFont="1" applyFill="1" applyBorder="1"/>
    <x:xf numFmtId="0" fontId="31" fillId="92" borderId="0" xfId="0" applyNumberFormat="1" applyFont="1" applyFill="1" applyBorder="1"/>
    <x:xf numFmtId="0" fontId="31" fillId="92" borderId="0" xfId="0" applyNumberFormat="1" applyFont="1" applyFill="1" applyBorder="1" applyAlignment="1">
      <x:alignment wrapText="1"/>
    </x:xf>
    <x:xf numFmtId="0" fontId="31" fillId="92" borderId="0" xfId="0" applyNumberFormat="1" applyFont="1" applyFill="1" applyBorder="1" applyAlignment="1">
      <x:alignment vertical="center" wrapText="1"/>
    </x:xf>
    <x:xf numFmtId="0" fontId="0" fillId="93" borderId="0" xfId="0" applyNumberFormat="1" applyFont="1" applyFill="1" applyBorder="1"/>
    <x:xf numFmtId="0" fontId="1" fillId="93" borderId="0" xfId="0" applyNumberFormat="1" applyFont="1" applyFill="1" applyBorder="1"/>
    <x:xf numFmtId="0" fontId="1" fillId="93" borderId="0" xfId="0" applyNumberFormat="1" applyFont="1" applyFill="1" applyBorder="1" applyAlignment="1">
      <x:alignment vertical="center"/>
    </x:xf>
    <x:xf numFmtId="0" fontId="0" fillId="94" borderId="0" xfId="0" applyNumberFormat="1" applyFont="1" applyFill="1" applyBorder="1"/>
    <x:xf numFmtId="0" fontId="1" fillId="94" borderId="0" xfId="0" applyNumberFormat="1" applyFont="1" applyFill="1" applyBorder="1"/>
    <x:xf numFmtId="0" fontId="1" fillId="94" borderId="43" xfId="0" applyNumberFormat="1" applyFont="1" applyFill="1" applyBorder="1"/>
    <x:xf numFmtId="0" fontId="1" fillId="94" borderId="43" xfId="0" applyNumberFormat="1" applyFont="1" applyFill="1" applyBorder="1" applyAlignment="1">
      <x:alignment wrapText="1"/>
    </x:xf>
    <x:xf numFmtId="0" fontId="1" fillId="94" borderId="43" xfId="0" applyNumberFormat="1" applyFont="1" applyFill="1" applyBorder="1" applyAlignment="1">
      <x:alignment horizontal="center" wrapText="1"/>
    </x:xf>
    <x:xf numFmtId="0" fontId="1" fillId="94" borderId="43" xfId="0" applyNumberFormat="1" applyFont="1" applyFill="1" applyBorder="1" applyAlignment="1">
      <x:alignment horizontal="center" vertical="center" wrapText="1"/>
    </x:xf>
    <x:xf numFmtId="0" fontId="0" fillId="0" borderId="42" xfId="0" applyNumberFormat="1" applyFont="1" applyFill="1" applyBorder="1"/>
    <x:xf numFmtId="0" fontId="0" fillId="0" borderId="42" xfId="0" applyNumberFormat="1" applyFont="1" applyFill="1" applyBorder="1" applyAlignment="1">
      <x:alignment vertical="center"/>
    </x:xf>
    <x:xf numFmtId="0" fontId="0" fillId="0" borderId="44" xfId="0" applyNumberFormat="1" applyFont="1" applyFill="1" applyBorder="1"/>
    <x:xf numFmtId="0" fontId="0" fillId="0" borderId="44" xfId="0" applyNumberFormat="1" applyFont="1" applyFill="1" applyBorder="1" applyAlignment="1">
      <x:alignment vertical="center"/>
    </x:xf>
    <x:xf numFmtId="0" fontId="0" fillId="95" borderId="42" xfId="0" applyNumberFormat="1" applyFont="1" applyFill="1" applyBorder="1" applyAlignment="1">
      <x:alignment vertical="center"/>
    </x:xf>
    <x:xf numFmtId="0" fontId="32" fillId="95" borderId="42" xfId="0" applyNumberFormat="1" applyFont="1" applyFill="1" applyBorder="1" applyAlignment="1">
      <x:alignment vertical="center"/>
    </x:xf>
    <x:xf numFmtId="0" fontId="0" fillId="96" borderId="42" xfId="0" applyNumberFormat="1" applyFont="1" applyFill="1" applyBorder="1" applyAlignment="1">
      <x:alignment vertical="center"/>
    </x:xf>
    <x:xf numFmtId="0" fontId="32" fillId="96" borderId="42" xfId="0" applyNumberFormat="1" applyFont="1" applyFill="1" applyBorder="1" applyAlignment="1">
      <x:alignment vertical="center"/>
    </x:xf>
    <x:xf numFmtId="0" fontId="0" fillId="97" borderId="42" xfId="0" applyNumberFormat="1" applyFont="1" applyFill="1" applyBorder="1" applyAlignment="1">
      <x:alignment vertical="center"/>
    </x:xf>
    <x:xf numFmtId="0" fontId="32" fillId="97" borderId="42" xfId="0" applyNumberFormat="1" applyFont="1" applyFill="1" applyBorder="1" applyAlignment="1">
      <x:alignment vertical="center"/>
    </x:xf>
    <x:xf numFmtId="0" fontId="0" fillId="95" borderId="44" xfId="0" applyNumberFormat="1" applyFont="1" applyFill="1" applyBorder="1" applyAlignment="1">
      <x:alignment vertical="center"/>
    </x:xf>
    <x:xf numFmtId="0" fontId="32" fillId="95" borderId="44" xfId="0" applyNumberFormat="1" applyFont="1" applyFill="1" applyBorder="1" applyAlignment="1">
      <x:alignment vertical="center"/>
    </x:xf>
    <x:xf numFmtId="0" fontId="0" fillId="96" borderId="44" xfId="0" applyNumberFormat="1" applyFont="1" applyFill="1" applyBorder="1" applyAlignment="1">
      <x:alignment vertical="center"/>
    </x:xf>
    <x:xf numFmtId="0" fontId="32" fillId="96" borderId="44" xfId="0" applyNumberFormat="1" applyFont="1" applyFill="1" applyBorder="1" applyAlignment="1">
      <x:alignment vertical="center"/>
    </x:xf>
    <x:xf numFmtId="0" fontId="0" fillId="97" borderId="44" xfId="0" applyNumberFormat="1" applyFont="1" applyFill="1" applyBorder="1" applyAlignment="1">
      <x:alignment vertical="center"/>
    </x:xf>
    <x:xf numFmtId="0" fontId="32" fillId="97" borderId="44" xfId="0" applyNumberFormat="1" applyFont="1" applyFill="1" applyBorder="1" applyAlignment="1">
      <x:alignment vertical="center"/>
    </x:xf>
    <x:xf numFmtId="207" fontId="0" fillId="95" borderId="42" xfId="0" applyNumberFormat="1" applyFont="1" applyFill="1" applyBorder="1" applyAlignment="1">
      <x:alignment vertical="center"/>
    </x:xf>
    <x:xf numFmtId="207" fontId="0" fillId="96" borderId="42" xfId="0" applyNumberFormat="1" applyFont="1" applyFill="1" applyBorder="1" applyAlignment="1">
      <x:alignment vertical="center"/>
    </x:xf>
    <x:xf numFmtId="207" fontId="0" fillId="97" borderId="42" xfId="0" applyNumberFormat="1" applyFont="1" applyFill="1" applyBorder="1" applyAlignment="1">
      <x:alignment vertical="center"/>
    </x:xf>
    <x:xf numFmtId="207" fontId="0" fillId="0" borderId="42" xfId="0" applyNumberFormat="1" applyFont="1" applyFill="1" applyBorder="1" applyAlignment="1">
      <x:alignment vertical="center"/>
    </x:xf>
    <x:xf numFmtId="208" fontId="0" fillId="95" borderId="42" xfId="0" applyNumberFormat="1" applyFont="1" applyFill="1" applyBorder="1" applyAlignment="1">
      <x:alignment vertical="center"/>
    </x:xf>
    <x:xf numFmtId="208" fontId="0" fillId="96" borderId="42" xfId="0" applyNumberFormat="1" applyFont="1" applyFill="1" applyBorder="1" applyAlignment="1">
      <x:alignment vertical="center"/>
    </x:xf>
    <x:xf numFmtId="208" fontId="0" fillId="97" borderId="42" xfId="0" applyNumberFormat="1" applyFont="1" applyFill="1" applyBorder="1" applyAlignment="1">
      <x:alignment vertical="center"/>
    </x:xf>
    <x:xf numFmtId="208" fontId="0" fillId="0" borderId="42" xfId="0" applyNumberFormat="1" applyFont="1" applyFill="1" applyBorder="1" applyAlignment="1">
      <x:alignment vertical="center"/>
    </x:xf>
    <x:xf numFmtId="207" fontId="32" fillId="95" borderId="44" xfId="0" applyNumberFormat="1" applyFont="1" applyFill="1" applyBorder="1" applyAlignment="1">
      <x:alignment vertical="center"/>
    </x:xf>
    <x:xf numFmtId="207" fontId="32" fillId="96" borderId="44" xfId="0" applyNumberFormat="1" applyFont="1" applyFill="1" applyBorder="1" applyAlignment="1">
      <x:alignment vertical="center"/>
    </x:xf>
    <x:xf numFmtId="207" fontId="32" fillId="97" borderId="44" xfId="0" applyNumberFormat="1" applyFont="1" applyFill="1" applyBorder="1" applyAlignment="1">
      <x:alignment vertical="center"/>
    </x:xf>
    <x:xf numFmtId="207" fontId="0" fillId="0" borderId="44" xfId="0" applyNumberFormat="1" applyFont="1" applyFill="1" applyBorder="1" applyAlignment="1">
      <x:alignment vertical="center"/>
    </x:xf>
    <x:xf numFmtId="208" fontId="0" fillId="95" borderId="44" xfId="0" applyNumberFormat="1" applyFont="1" applyFill="1" applyBorder="1" applyAlignment="1">
      <x:alignment vertical="center"/>
    </x:xf>
    <x:xf numFmtId="208" fontId="0" fillId="96" borderId="44" xfId="0" applyNumberFormat="1" applyFont="1" applyFill="1" applyBorder="1" applyAlignment="1">
      <x:alignment vertical="center"/>
    </x:xf>
    <x:xf numFmtId="208" fontId="0" fillId="97" borderId="44" xfId="0" applyNumberFormat="1" applyFont="1" applyFill="1" applyBorder="1" applyAlignment="1">
      <x:alignment vertical="center"/>
    </x:xf>
    <x:xf numFmtId="208" fontId="0" fillId="0" borderId="44" xfId="0" applyNumberFormat="1" applyFont="1" applyFill="1" applyBorder="1" applyAlignment="1">
      <x:alignment vertical="center"/>
    </x:xf>
    <x:xf numFmtId="207" fontId="0" fillId="95" borderId="44" xfId="0" applyNumberFormat="1" applyFont="1" applyFill="1" applyBorder="1" applyAlignment="1">
      <x:alignment vertical="center"/>
    </x:xf>
    <x:xf numFmtId="207" fontId="0" fillId="96" borderId="44" xfId="0" applyNumberFormat="1" applyFont="1" applyFill="1" applyBorder="1" applyAlignment="1">
      <x:alignment vertical="center"/>
    </x:xf>
    <x:xf numFmtId="207" fontId="0" fillId="97" borderId="44" xfId="0" applyNumberFormat="1" applyFont="1" applyFill="1" applyBorder="1" applyAlignment="1">
      <x:alignment vertical="center"/>
    </x:xf>
    <x:xf numFmtId="0" fontId="32" fillId="95" borderId="42" xfId="0" applyNumberFormat="1" applyFont="1" applyFill="1" applyBorder="1" applyAlignment="1">
      <x:alignment horizontal="center" vertical="center"/>
    </x:xf>
    <x:xf numFmtId="207" fontId="0" fillId="95" borderId="42" xfId="0" applyNumberFormat="1" applyFont="1" applyFill="1" applyBorder="1" applyAlignment="1">
      <x:alignment horizontal="center" vertical="center"/>
    </x:xf>
    <x:xf numFmtId="0" fontId="0" fillId="95" borderId="42" xfId="0" applyNumberFormat="1" applyFont="1" applyFill="1" applyBorder="1" applyAlignment="1">
      <x:alignment horizontal="center" vertical="center"/>
    </x:xf>
    <x:xf numFmtId="208" fontId="0" fillId="95" borderId="42" xfId="0" applyNumberFormat="1" applyFont="1" applyFill="1" applyBorder="1" applyAlignment="1">
      <x:alignment horizontal="center" vertical="center"/>
    </x:xf>
    <x:xf numFmtId="0" fontId="32" fillId="96" borderId="42" xfId="0" applyNumberFormat="1" applyFont="1" applyFill="1" applyBorder="1" applyAlignment="1">
      <x:alignment horizontal="center" vertical="center"/>
    </x:xf>
    <x:xf numFmtId="207" fontId="0" fillId="96" borderId="42" xfId="0" applyNumberFormat="1" applyFont="1" applyFill="1" applyBorder="1" applyAlignment="1">
      <x:alignment horizontal="center" vertical="center"/>
    </x:xf>
    <x:xf numFmtId="0" fontId="0" fillId="96" borderId="42" xfId="0" applyNumberFormat="1" applyFont="1" applyFill="1" applyBorder="1" applyAlignment="1">
      <x:alignment horizontal="center" vertical="center"/>
    </x:xf>
    <x:xf numFmtId="208" fontId="0" fillId="96" borderId="42" xfId="0" applyNumberFormat="1" applyFont="1" applyFill="1" applyBorder="1" applyAlignment="1">
      <x:alignment horizontal="center" vertical="center"/>
    </x:xf>
    <x:xf numFmtId="0" fontId="32" fillId="97" borderId="42" xfId="0" applyNumberFormat="1" applyFont="1" applyFill="1" applyBorder="1" applyAlignment="1">
      <x:alignment horizontal="center" vertical="center"/>
    </x:xf>
    <x:xf numFmtId="207" fontId="0" fillId="97" borderId="42" xfId="0" applyNumberFormat="1" applyFont="1" applyFill="1" applyBorder="1" applyAlignment="1">
      <x:alignment horizontal="center" vertical="center"/>
    </x:xf>
    <x:xf numFmtId="0" fontId="0" fillId="97" borderId="42" xfId="0" applyNumberFormat="1" applyFont="1" applyFill="1" applyBorder="1" applyAlignment="1">
      <x:alignment horizontal="center" vertical="center"/>
    </x:xf>
    <x:xf numFmtId="208" fontId="0" fillId="97" borderId="42" xfId="0" applyNumberFormat="1" applyFont="1" applyFill="1" applyBorder="1" applyAlignment="1">
      <x:alignment horizontal="center" vertical="center"/>
    </x:xf>
    <x:xf numFmtId="0" fontId="0" fillId="0" borderId="42" xfId="0" applyNumberFormat="1" applyFont="1" applyFill="1" applyBorder="1" applyAlignment="1">
      <x:alignment horizontal="center" vertical="center"/>
    </x:xf>
    <x:xf numFmtId="207" fontId="0" fillId="0" borderId="42" xfId="0" applyNumberFormat="1" applyFont="1" applyFill="1" applyBorder="1" applyAlignment="1">
      <x:alignment horizontal="center" vertical="center"/>
    </x:xf>
    <x:xf numFmtId="208" fontId="0" fillId="0" borderId="42" xfId="0" applyNumberFormat="1" applyFont="1" applyFill="1" applyBorder="1" applyAlignment="1">
      <x:alignment horizontal="center" vertical="center"/>
    </x:xf>
    <x:xf numFmtId="0" fontId="32" fillId="95" borderId="44" xfId="0" applyNumberFormat="1" applyFont="1" applyFill="1" applyBorder="1" applyAlignment="1">
      <x:alignment horizontal="center" vertical="center"/>
    </x:xf>
    <x:xf numFmtId="0" fontId="32" fillId="96" borderId="44" xfId="0" applyNumberFormat="1" applyFont="1" applyFill="1" applyBorder="1" applyAlignment="1">
      <x:alignment horizontal="center" vertical="center"/>
    </x:xf>
    <x:xf numFmtId="0" fontId="32" fillId="97" borderId="44" xfId="0" applyNumberFormat="1" applyFont="1" applyFill="1" applyBorder="1" applyAlignment="1">
      <x:alignment horizontal="center" vertical="center"/>
    </x:xf>
    <x:xf numFmtId="0" fontId="0" fillId="0" borderId="44" xfId="0" applyNumberFormat="1" applyFont="1" applyFill="1" applyBorder="1" applyAlignment="1">
      <x:alignment horizontal="center" vertical="center"/>
    </x:xf>
    <x:xf numFmtId="207" fontId="32" fillId="95" borderId="44" xfId="0" applyNumberFormat="1" applyFont="1" applyFill="1" applyBorder="1" applyAlignment="1">
      <x:alignment horizontal="center" vertical="center"/>
    </x:xf>
    <x:xf numFmtId="0" fontId="0" fillId="95" borderId="44" xfId="0" applyNumberFormat="1" applyFont="1" applyFill="1" applyBorder="1" applyAlignment="1">
      <x:alignment horizontal="center" vertical="center"/>
    </x:xf>
    <x:xf numFmtId="208" fontId="0" fillId="95" borderId="44" xfId="0" applyNumberFormat="1" applyFont="1" applyFill="1" applyBorder="1" applyAlignment="1">
      <x:alignment horizontal="center" vertical="center"/>
    </x:xf>
    <x:xf numFmtId="207" fontId="0" fillId="95" borderId="44" xfId="0" applyNumberFormat="1" applyFont="1" applyFill="1" applyBorder="1" applyAlignment="1">
      <x:alignment horizontal="center" vertical="center"/>
    </x:xf>
    <x:xf numFmtId="207" fontId="32" fillId="96" borderId="44" xfId="0" applyNumberFormat="1" applyFont="1" applyFill="1" applyBorder="1" applyAlignment="1">
      <x:alignment horizontal="center" vertical="center"/>
    </x:xf>
    <x:xf numFmtId="0" fontId="0" fillId="96" borderId="44" xfId="0" applyNumberFormat="1" applyFont="1" applyFill="1" applyBorder="1" applyAlignment="1">
      <x:alignment horizontal="center" vertical="center"/>
    </x:xf>
    <x:xf numFmtId="208" fontId="0" fillId="96" borderId="44" xfId="0" applyNumberFormat="1" applyFont="1" applyFill="1" applyBorder="1" applyAlignment="1">
      <x:alignment horizontal="center" vertical="center"/>
    </x:xf>
    <x:xf numFmtId="207" fontId="0" fillId="96" borderId="44" xfId="0" applyNumberFormat="1" applyFont="1" applyFill="1" applyBorder="1" applyAlignment="1">
      <x:alignment horizontal="center" vertical="center"/>
    </x:xf>
    <x:xf numFmtId="207" fontId="32" fillId="97" borderId="44" xfId="0" applyNumberFormat="1" applyFont="1" applyFill="1" applyBorder="1" applyAlignment="1">
      <x:alignment horizontal="center" vertical="center"/>
    </x:xf>
    <x:xf numFmtId="0" fontId="0" fillId="97" borderId="44" xfId="0" applyNumberFormat="1" applyFont="1" applyFill="1" applyBorder="1" applyAlignment="1">
      <x:alignment horizontal="center" vertical="center"/>
    </x:xf>
    <x:xf numFmtId="208" fontId="0" fillId="97" borderId="44" xfId="0" applyNumberFormat="1" applyFont="1" applyFill="1" applyBorder="1" applyAlignment="1">
      <x:alignment horizontal="center" vertical="center"/>
    </x:xf>
    <x:xf numFmtId="207" fontId="0" fillId="97" borderId="44" xfId="0" applyNumberFormat="1" applyFont="1" applyFill="1" applyBorder="1" applyAlignment="1">
      <x:alignment horizontal="center" vertical="center"/>
    </x:xf>
    <x:xf numFmtId="207" fontId="0" fillId="0" borderId="44" xfId="0" applyNumberFormat="1" applyFont="1" applyFill="1" applyBorder="1" applyAlignment="1">
      <x:alignment horizontal="center" vertical="center"/>
    </x:xf>
    <x:xf numFmtId="208" fontId="0" fillId="0" borderId="44" xfId="0" applyNumberFormat="1" applyFont="1" applyFill="1" applyBorder="1" applyAlignment="1">
      <x:alignment horizontal="center" vertical="center"/>
    </x:xf>
    <x:xf numFmtId="0" fontId="0" fillId="95" borderId="0" xfId="0" applyNumberFormat="1" applyFont="1" applyFill="1" applyBorder="1"/>
    <x:xf numFmtId="0" fontId="33" fillId="95" borderId="0" xfId="0" applyNumberFormat="1" applyFont="1" applyFill="1" applyBorder="1"/>
    <x:xf numFmtId="0" fontId="33" fillId="95" borderId="45" xfId="0" applyNumberFormat="1" applyFont="1" applyFill="1" applyBorder="1"/>
    <x:xf numFmtId="0" fontId="33" fillId="95" borderId="46" xfId="0" applyNumberFormat="1" applyFont="1" applyFill="1" applyBorder="1"/>
    <x:xf numFmtId="0" fontId="33" fillId="95" borderId="47" xfId="0" applyNumberFormat="1" applyFont="1" applyFill="1" applyBorder="1"/>
    <x:xf numFmtId="0" fontId="33" fillId="95" borderId="48" xfId="0" applyNumberFormat="1" applyFont="1" applyFill="1" applyBorder="1"/>
    <x:xf numFmtId="0" fontId="33" fillId="95" borderId="49" xfId="0" applyNumberFormat="1" applyFont="1" applyFill="1" applyBorder="1"/>
    <x:xf numFmtId="0" fontId="33" fillId="95" borderId="50" xfId="0" applyNumberFormat="1" applyFont="1" applyFill="1" applyBorder="1"/>
    <x:xf numFmtId="0" fontId="33" fillId="95" borderId="45" xfId="0" applyNumberFormat="1" applyFont="1" applyFill="1" applyBorder="1" applyAlignment="1">
      <x:alignment wrapText="1"/>
    </x:xf>
    <x:xf numFmtId="0" fontId="33" fillId="95" borderId="46" xfId="0" applyNumberFormat="1" applyFont="1" applyFill="1" applyBorder="1" applyAlignment="1">
      <x:alignment wrapText="1"/>
    </x:xf>
    <x:xf numFmtId="0" fontId="33" fillId="95" borderId="47" xfId="0" applyNumberFormat="1" applyFont="1" applyFill="1" applyBorder="1" applyAlignment="1">
      <x:alignment wrapText="1"/>
    </x:xf>
    <x:xf numFmtId="0" fontId="33" fillId="95" borderId="48" xfId="0" applyNumberFormat="1" applyFont="1" applyFill="1" applyBorder="1" applyAlignment="1">
      <x:alignment wrapText="1"/>
    </x:xf>
    <x:xf numFmtId="0" fontId="33" fillId="95" borderId="49" xfId="0" applyNumberFormat="1" applyFont="1" applyFill="1" applyBorder="1" applyAlignment="1">
      <x:alignment wrapText="1"/>
    </x:xf>
    <x:xf numFmtId="0" fontId="33" fillId="95" borderId="50" xfId="0" applyNumberFormat="1" applyFont="1" applyFill="1" applyBorder="1" applyAlignment="1">
      <x:alignment wrapText="1"/>
    </x:xf>
    <x:xf numFmtId="0" fontId="33" fillId="95" borderId="45" xfId="0" applyNumberFormat="1" applyFont="1" applyFill="1" applyBorder="1" applyAlignment="1">
      <x:alignment vertical="center" wrapText="1"/>
    </x:xf>
    <x:xf numFmtId="0" fontId="33" fillId="95" borderId="46" xfId="0" applyNumberFormat="1" applyFont="1" applyFill="1" applyBorder="1" applyAlignment="1">
      <x:alignment vertical="center" wrapText="1"/>
    </x:xf>
    <x:xf numFmtId="0" fontId="33" fillId="95" borderId="47" xfId="0" applyNumberFormat="1" applyFont="1" applyFill="1" applyBorder="1" applyAlignment="1">
      <x:alignment vertical="center" wrapText="1"/>
    </x:xf>
    <x:xf numFmtId="0" fontId="33" fillId="95" borderId="48" xfId="0" applyNumberFormat="1" applyFont="1" applyFill="1" applyBorder="1" applyAlignment="1">
      <x:alignment vertical="center" wrapText="1"/>
    </x:xf>
    <x:xf numFmtId="0" fontId="33" fillId="95" borderId="49" xfId="0" applyNumberFormat="1" applyFont="1" applyFill="1" applyBorder="1" applyAlignment="1">
      <x:alignment vertical="center" wrapText="1"/>
    </x:xf>
    <x:xf numFmtId="0" fontId="33" fillId="95" borderId="50" xfId="0" applyNumberFormat="1" applyFont="1" applyFill="1" applyBorder="1" applyAlignment="1">
      <x:alignment vertical="center" wrapText="1"/>
    </x:xf>
    <x:xf numFmtId="209" fontId="0" fillId="89" borderId="42" xfId="0" applyNumberFormat="1" applyFont="1" applyFill="1" applyBorder="1"/>
  </x:cellXfs>
  <x:cellStyles count="1">
    <x:cellStyle name="Normal" xfId="0"/>
  </x:cellStyles>
  <x:dxfs count="36">
    <x:dxf>
      <x:font>
        <x:color rgb="FF7F1D1D"/>
      </x:font>
      <x:fill>
        <x:patternFill>
          <x:bgColor rgb="FFFCA5A5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4532D"/>
      </x:font>
      <x:fill>
        <x:patternFill>
          <x:bgColor rgb="FF86EFAC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86EFAC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91B1B"/>
      </x:font>
      <x:fill>
        <x:patternFill>
          <x:bgColor rgb="FFFCA5A5"/>
        </x:patternFill>
      </x:fill>
    </x:dxf>
    <x:dxf>
      <x:font>
        <x:b/>
        <x:color rgb="FF166534"/>
      </x:font>
      <x:fill>
        <x:patternFill>
          <x:bgColor rgb="FF86EFAC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91B1B"/>
      </x:font>
      <x:fill>
        <x:patternFill>
          <x:bgColor rgb="FFFCA5A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FFFFFF"/>
      </x:font>
      <x:fill>
        <x:patternFill>
          <x:bgColor rgb="FF991B1B"/>
        </x:patternFill>
      </x:fill>
    </x:dxf>
    <x:dxf>
      <x:font>
        <x:color rgb="FF0F172A"/>
      </x:font>
      <x:fill>
        <x:patternFill>
          <x:bgColor rgb="FFFCA5A5"/>
        </x:patternFill>
      </x:fill>
    </x:dxf>
    <x:dxf>
      <x:font>
        <x:color rgb="FF0F172A"/>
      </x:font>
      <x:fill>
        <x:patternFill>
          <x:bgColor rgb="FFFEF3C7"/>
        </x:patternFill>
      </x:fill>
    </x:dxf>
    <x:dxf>
      <x:font>
        <x:color rgb="FF0F172A"/>
      </x:font>
      <x:fill>
        <x:patternFill>
          <x:bgColor rgb="FFBBF7D0"/>
        </x:patternFill>
      </x:fill>
    </x:dxf>
    <x:dxf>
      <x:font>
        <x:b/>
        <x:color rgb="FFFFFFFF"/>
      </x:font>
      <x:fill>
        <x:patternFill>
          <x:bgColor rgb="FF166534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0c0ae15164188" /><Relationship Type="http://schemas.openxmlformats.org/officeDocument/2006/relationships/theme" Target="/xl/theme/theme1.xml" Id="R0c3e8d80355a4434" /><Relationship Type="http://schemas.openxmlformats.org/officeDocument/2006/relationships/sharedStrings" Target="/xl/sharedStrings.xml" Id="R0e072b564cc3412d" /><Relationship Type="http://schemas.openxmlformats.org/officeDocument/2006/relationships/worksheet" Target="/xl/worksheets/sheet1.xml" Id="Rb5c3d22f56ce4340" /><Relationship Type="http://schemas.openxmlformats.org/officeDocument/2006/relationships/worksheet" Target="/xl/worksheets/sheet2.xml" Id="R9cc1fca7ca504f77" /><Relationship Type="http://schemas.openxmlformats.org/officeDocument/2006/relationships/worksheet" Target="/xl/worksheets/sheet3.xml" Id="Rea49433948bd47d1" /><Relationship Type="http://schemas.openxmlformats.org/officeDocument/2006/relationships/worksheet" Target="/xl/worksheets/sheet4.xml" Id="R7728b9930bf14db7" /><Relationship Type="http://schemas.openxmlformats.org/officeDocument/2006/relationships/worksheet" Target="/xl/worksheets/sheet5.xml" Id="R81a3912f5de645c8" /><Relationship Type="http://schemas.openxmlformats.org/officeDocument/2006/relationships/worksheet" Target="/xl/worksheets/sheet6.xml" Id="Ra22cdf81b4e848e1" /><Relationship Type="http://schemas.openxmlformats.org/officeDocument/2006/relationships/worksheet" Target="/xl/worksheets/sheet7.xml" Id="Recea5639f0704462" /><Relationship Type="http://schemas.openxmlformats.org/officeDocument/2006/relationships/worksheet" Target="/xl/worksheets/sheet8.xml" Id="Rf3073d212d424e45" /><Relationship Type="http://schemas.openxmlformats.org/officeDocument/2006/relationships/worksheet" Target="/xl/worksheets/sheet9.xml" Id="Ra1891d3fec2c45e9" /><Relationship Type="http://schemas.openxmlformats.org/officeDocument/2006/relationships/worksheet" Target="/xl/worksheets/sheet10.xml" Id="R461ea65d0c7e4efc" /><Relationship Type="http://schemas.openxmlformats.org/officeDocument/2006/relationships/worksheet" Target="/xl/worksheets/sheet11.xml" Id="R76ca5a7beff74da0" /><Relationship Type="http://schemas.openxmlformats.org/officeDocument/2006/relationships/worksheet" Target="/xl/worksheets/sheet12.xml" Id="Rb68d99f3f76a4a50" /><Relationship Type="http://schemas.openxmlformats.org/officeDocument/2006/relationships/worksheet" Target="/xl/worksheets/sheet13.xml" Id="R9997219ce8d249d3" /><Relationship Type="http://schemas.openxmlformats.org/officeDocument/2006/relationships/worksheet" Target="/xl/worksheets/sheet14.xml" Id="R41cdb3e47d434f83" /><Relationship Type="http://schemas.openxmlformats.org/officeDocument/2006/relationships/worksheet" Target="/xl/worksheets/sheet15.xml" Id="R6f1b92c374314ced" /><Relationship Type="http://schemas.openxmlformats.org/officeDocument/2006/relationships/worksheet" Target="/xl/worksheets/sheet16.xml" Id="R3ba88ae213a649ca" /><Relationship Type="http://schemas.openxmlformats.org/officeDocument/2006/relationships/worksheet" Target="/xl/worksheets/sheet17.xml" Id="Ra2b94f68bb944442" /><Relationship Type="http://schemas.openxmlformats.org/officeDocument/2006/relationships/worksheet" Target="/xl/worksheets/sheet18.xml" Id="R34d8524525f84b55" /><Relationship Type="http://schemas.openxmlformats.org/officeDocument/2006/relationships/worksheet" Target="/xl/worksheets/sheet19.xml" Id="R43bb7a59c6ea4484" /><Relationship Type="http://schemas.openxmlformats.org/officeDocument/2006/relationships/worksheet" Target="/xl/worksheets/sheet20.xml" Id="R26985e2365c14d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47a9031c3e485e" /><Relationship Type="http://schemas.openxmlformats.org/officeDocument/2006/relationships/chart" Target="/xl/drawings/charts/chart2.xml" Id="R3d123663d9fb436e" /><Relationship Type="http://schemas.openxmlformats.org/officeDocument/2006/relationships/chart" Target="/xl/drawings/charts/chart3.xml" Id="R21f652b8128b4b26" /><Relationship Type="http://schemas.openxmlformats.org/officeDocument/2006/relationships/chart" Target="/xl/drawings/charts/chart4.xml" Id="Rc97cc6852dae465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b4feb217dc34f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12 damage players — all kingdoms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K60</c:v>
          </c:tx>
          <c:cat>
            <c:strRef>
              <c:f>'Damage Dashboard'!$AL$5:$AL$16</c:f>
              <c:strCache>
                <c:ptCount val="0"/>
              </c:strCache>
            </c:strRef>
          </c:cat>
          <c:val>
            <c:numRef>
              <c:f>'Damage Dashboard'!$AM$5:$AM$16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K91</c:v>
          </c:tx>
          <c:cat>
            <c:strRef>
              <c:f>'Damage Dashboard'!$AL$5:$AL$16</c:f>
              <c:strCache>
                <c:ptCount val="0"/>
              </c:strCache>
            </c:strRef>
          </c:cat>
          <c:val>
            <c:numRef>
              <c:f>'Damage Dashboard'!$AN$5:$AN$16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K116</c:v>
          </c:tx>
          <c:cat>
            <c:strRef>
              <c:f>'Damage Dashboard'!$AL$5:$AL$16</c:f>
              <c:strCache>
                <c:ptCount val="0"/>
              </c:strCache>
            </c:strRef>
          </c:cat>
          <c:val>
            <c:numRef>
              <c:f>'Damage Dashboard'!$AO$5:$AO$16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K138</c:v>
          </c:tx>
          <c:cat>
            <c:strRef>
              <c:f>'Damage Dashboard'!$AL$5:$AL$16</c:f>
              <c:strCache>
                <c:ptCount val="0"/>
              </c:strCache>
            </c:strRef>
          </c:cat>
          <c:val>
            <c:numRef>
              <c:f>'Damage Dashboard'!$AP$5:$AP$16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K170</c:v>
          </c:tx>
          <c:cat>
            <c:strRef>
              <c:f>'Damage Dashboard'!$AL$5:$AL$16</c:f>
              <c:strCache>
                <c:ptCount val="0"/>
              </c:strCache>
            </c:strRef>
          </c:cat>
          <c:val>
            <c:numRef>
              <c:f>'Damage Dashboard'!$AQ$5:$AQ$16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K54</c:v>
          </c:tx>
          <c:cat>
            <c:strRef>
              <c:f>'Damage Dashboard'!$AL$5:$AL$16</c:f>
              <c:strCache>
                <c:ptCount val="0"/>
              </c:strCache>
            </c:strRef>
          </c:cat>
          <c:val>
            <c:numRef>
              <c:f>'Damage Dashboard'!$AR$5:$AR$16</c:f>
              <c:numCache>
                <c:formatCode>0.0</c:formatCode>
                <c:ptCount val="0"/>
              </c:numCache>
            </c:numRef>
          </c:val>
        </c:ser>
        <c:ser>
          <c:idx val="6"/>
          <c:order val="6"/>
          <c:tx>
            <c:v>K197</c:v>
          </c:tx>
          <c:cat>
            <c:strRef>
              <c:f>'Damage Dashboard'!$AL$5:$AL$16</c:f>
              <c:strCache>
                <c:ptCount val="0"/>
              </c:strCache>
            </c:strRef>
          </c:cat>
          <c:val>
            <c:numRef>
              <c:f>'Damage Dashboard'!$AS$5:$AS$16</c:f>
              <c:numCache>
                <c:formatCode>0.0</c:formatCode>
                <c:ptCount val="0"/>
              </c:numCache>
            </c:numRef>
          </c:val>
        </c:ser>
        <c:ser>
          <c:idx val="7"/>
          <c:order val="7"/>
          <c:tx>
            <c:v>K176</c:v>
          </c:tx>
          <c:cat>
            <c:strRef>
              <c:f>'Damage Dashboard'!$AL$5:$AL$16</c:f>
              <c:strCache>
                <c:ptCount val="0"/>
              </c:strCache>
            </c:strRef>
          </c:cat>
          <c:val>
            <c:numRef>
              <c:f>'Damage Dashboard'!$AT$5:$AT$16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Elite depth by kingdom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K60</c:v>
          </c:tx>
          <c:cat>
            <c:strRef>
              <c:f>'Damage Dashboard'!$AV$5:$AV$8</c:f>
              <c:strCache>
                <c:ptCount val="0"/>
              </c:strCache>
            </c:strRef>
          </c:cat>
          <c:val>
            <c:numRef>
              <c:f>'Damage Dashboard'!$AW$5:$AW$8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K91</c:v>
          </c:tx>
          <c:cat>
            <c:strRef>
              <c:f>'Damage Dashboard'!$AV$5:$AV$8</c:f>
              <c:strCache>
                <c:ptCount val="0"/>
              </c:strCache>
            </c:strRef>
          </c:cat>
          <c:val>
            <c:numRef>
              <c:f>'Damage Dashboard'!$AX$5:$AX$8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K116</c:v>
          </c:tx>
          <c:cat>
            <c:strRef>
              <c:f>'Damage Dashboard'!$AV$5:$AV$8</c:f>
              <c:strCache>
                <c:ptCount val="0"/>
              </c:strCache>
            </c:strRef>
          </c:cat>
          <c:val>
            <c:numRef>
              <c:f>'Damage Dashboard'!$AY$5:$AY$8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K138</c:v>
          </c:tx>
          <c:cat>
            <c:strRef>
              <c:f>'Damage Dashboard'!$AV$5:$AV$8</c:f>
              <c:strCache>
                <c:ptCount val="0"/>
              </c:strCache>
            </c:strRef>
          </c:cat>
          <c:val>
            <c:numRef>
              <c:f>'Damage Dashboard'!$AZ$5:$AZ$8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K170</c:v>
          </c:tx>
          <c:cat>
            <c:strRef>
              <c:f>'Damage Dashboard'!$AV$5:$AV$8</c:f>
              <c:strCache>
                <c:ptCount val="0"/>
              </c:strCache>
            </c:strRef>
          </c:cat>
          <c:val>
            <c:numRef>
              <c:f>'Damage Dashboard'!$BA$5:$BA$8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K54</c:v>
          </c:tx>
          <c:cat>
            <c:strRef>
              <c:f>'Damage Dashboard'!$AV$5:$AV$8</c:f>
              <c:strCache>
                <c:ptCount val="0"/>
              </c:strCache>
            </c:strRef>
          </c:cat>
          <c:val>
            <c:numRef>
              <c:f>'Damage Dashboard'!$BB$5:$BB$8</c:f>
              <c:numCache>
                <c:formatCode>0.0</c:formatCode>
                <c:ptCount val="0"/>
              </c:numCache>
            </c:numRef>
          </c:val>
        </c:ser>
        <c:ser>
          <c:idx val="6"/>
          <c:order val="6"/>
          <c:tx>
            <c:v>K197</c:v>
          </c:tx>
          <c:cat>
            <c:strRef>
              <c:f>'Damage Dashboard'!$AV$5:$AV$8</c:f>
              <c:strCache>
                <c:ptCount val="0"/>
              </c:strCache>
            </c:strRef>
          </c:cat>
          <c:val>
            <c:numRef>
              <c:f>'Damage Dashboard'!$BC$5:$BC$8</c:f>
              <c:numCache>
                <c:formatCode>0.0</c:formatCode>
                <c:ptCount val="0"/>
              </c:numCache>
            </c:numRef>
          </c:val>
        </c:ser>
        <c:ser>
          <c:idx val="7"/>
          <c:order val="7"/>
          <c:tx>
            <c:v>K176</c:v>
          </c:tx>
          <c:cat>
            <c:strRef>
              <c:f>'Damage Dashboard'!$AV$5:$AV$8</c:f>
              <c:strCache>
                <c:ptCount val="0"/>
              </c:strCache>
            </c:strRef>
          </c:cat>
          <c:val>
            <c:numRef>
              <c:f>'Damage Dashboard'!$BD$5:$BD$8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Elite Top 3 by damage group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K60</c:v>
          </c:tx>
          <c:cat>
            <c:strRef>
              <c:f>'Damage Dashboard'!$BF$5:$BF$8</c:f>
              <c:strCache>
                <c:ptCount val="0"/>
              </c:strCache>
            </c:strRef>
          </c:cat>
          <c:val>
            <c:numRef>
              <c:f>'Damage Dashboard'!$BG$5:$BG$8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K91</c:v>
          </c:tx>
          <c:cat>
            <c:strRef>
              <c:f>'Damage Dashboard'!$BF$5:$BF$8</c:f>
              <c:strCache>
                <c:ptCount val="0"/>
              </c:strCache>
            </c:strRef>
          </c:cat>
          <c:val>
            <c:numRef>
              <c:f>'Damage Dashboard'!$BH$5:$BH$8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K116</c:v>
          </c:tx>
          <c:cat>
            <c:strRef>
              <c:f>'Damage Dashboard'!$BF$5:$BF$8</c:f>
              <c:strCache>
                <c:ptCount val="0"/>
              </c:strCache>
            </c:strRef>
          </c:cat>
          <c:val>
            <c:numRef>
              <c:f>'Damage Dashboard'!$BI$5:$BI$8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K138</c:v>
          </c:tx>
          <c:cat>
            <c:strRef>
              <c:f>'Damage Dashboard'!$BF$5:$BF$8</c:f>
              <c:strCache>
                <c:ptCount val="0"/>
              </c:strCache>
            </c:strRef>
          </c:cat>
          <c:val>
            <c:numRef>
              <c:f>'Damage Dashboard'!$BJ$5:$BJ$8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K170</c:v>
          </c:tx>
          <c:cat>
            <c:strRef>
              <c:f>'Damage Dashboard'!$BF$5:$BF$8</c:f>
              <c:strCache>
                <c:ptCount val="0"/>
              </c:strCache>
            </c:strRef>
          </c:cat>
          <c:val>
            <c:numRef>
              <c:f>'Damage Dashboard'!$BK$5:$BK$8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K54</c:v>
          </c:tx>
          <c:cat>
            <c:strRef>
              <c:f>'Damage Dashboard'!$BF$5:$BF$8</c:f>
              <c:strCache>
                <c:ptCount val="0"/>
              </c:strCache>
            </c:strRef>
          </c:cat>
          <c:val>
            <c:numRef>
              <c:f>'Damage Dashboard'!$BL$5:$BL$8</c:f>
              <c:numCache>
                <c:formatCode>0.0</c:formatCode>
                <c:ptCount val="0"/>
              </c:numCache>
            </c:numRef>
          </c:val>
        </c:ser>
        <c:ser>
          <c:idx val="6"/>
          <c:order val="6"/>
          <c:tx>
            <c:v>K197</c:v>
          </c:tx>
          <c:cat>
            <c:strRef>
              <c:f>'Damage Dashboard'!$BF$5:$BF$8</c:f>
              <c:strCache>
                <c:ptCount val="0"/>
              </c:strCache>
            </c:strRef>
          </c:cat>
          <c:val>
            <c:numRef>
              <c:f>'Damage Dashboard'!$BM$5:$BM$8</c:f>
              <c:numCache>
                <c:formatCode>0.0</c:formatCode>
                <c:ptCount val="0"/>
              </c:numCache>
            </c:numRef>
          </c:val>
        </c:ser>
        <c:ser>
          <c:idx val="7"/>
          <c:order val="7"/>
          <c:tx>
            <c:v>K176</c:v>
          </c:tx>
          <c:cat>
            <c:strRef>
              <c:f>'Damage Dashboard'!$BF$5:$BF$8</c:f>
              <c:strCache>
                <c:ptCount val="0"/>
              </c:strCache>
            </c:strRef>
          </c:cat>
          <c:val>
            <c:numRef>
              <c:f>'Damage Dashboard'!$BN$5:$BN$8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Raw damage total — average recorded roster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Top roster raw total avg</c:v>
          </c:tx>
          <c:cat>
            <c:strRef>
              <c:f>'Damage Dashboard'!$BP$5:$BP$12</c:f>
              <c:strCache>
                <c:ptCount val="0"/>
              </c:strCache>
            </c:strRef>
          </c:cat>
          <c:val>
            <c:numRef>
              <c:f>'Damage Dashboard'!$BQ$5:$BQ$12</c:f>
              <c:numCache>
                <c:formatCode>+0.00%;-0.00%;0.00%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Archer Attack Blessing — strength versus depth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K60</c:v>
          </c:tx>
          <c:cat>
            <c:strRef>
              <c:f>'Average Comparison'!$A$13:$A$16</c:f>
              <c:strCache>
                <c:ptCount val="0"/>
              </c:strCache>
            </c:strRef>
          </c:cat>
          <c:val>
            <c:numRef>
              <c:f>'Average Comparison'!$B$13:$B$16</c:f>
              <c:numCache>
                <c:formatCode>+0.00%;-0.00%;0.00%</c:formatCode>
                <c:ptCount val="0"/>
              </c:numCache>
            </c:numRef>
          </c:val>
        </c:ser>
        <c:ser>
          <c:idx val="1"/>
          <c:order val="1"/>
          <c:tx>
            <c:v>K91</c:v>
          </c:tx>
          <c:cat>
            <c:strRef>
              <c:f>'Average Comparison'!$A$13:$A$16</c:f>
              <c:strCache>
                <c:ptCount val="0"/>
              </c:strCache>
            </c:strRef>
          </c:cat>
          <c:val>
            <c:numRef>
              <c:f>'Average Comparison'!$C$13:$C$16</c:f>
              <c:numCache>
                <c:formatCode>+0.00%;-0.00%;0.00%</c:formatCode>
                <c:ptCount val="0"/>
              </c:numCache>
            </c:numRef>
          </c:val>
        </c:ser>
        <c:ser>
          <c:idx val="2"/>
          <c:order val="2"/>
          <c:tx>
            <c:v>K116</c:v>
          </c:tx>
          <c:cat>
            <c:strRef>
              <c:f>'Average Comparison'!$A$13:$A$16</c:f>
              <c:strCache>
                <c:ptCount val="0"/>
              </c:strCache>
            </c:strRef>
          </c:cat>
          <c:val>
            <c:numRef>
              <c:f>'Average Comparison'!$D$13:$D$16</c:f>
              <c:numCache>
                <c:formatCode>+0.00%;-0.00%;0.00%</c:formatCode>
                <c:ptCount val="0"/>
              </c:numCache>
            </c:numRef>
          </c:val>
        </c:ser>
        <c:ser>
          <c:idx val="3"/>
          <c:order val="3"/>
          <c:tx>
            <c:v>K138</c:v>
          </c:tx>
          <c:cat>
            <c:strRef>
              <c:f>'Average Comparison'!$A$13:$A$16</c:f>
              <c:strCache>
                <c:ptCount val="0"/>
              </c:strCache>
            </c:strRef>
          </c:cat>
          <c:val>
            <c:numRef>
              <c:f>'Average Comparison'!$E$13:$E$16</c:f>
              <c:numCache>
                <c:formatCode>+0.00%;-0.00%;0.00%</c:formatCode>
                <c:ptCount val="0"/>
              </c:numCache>
            </c:numRef>
          </c:val>
        </c:ser>
        <c:ser>
          <c:idx val="4"/>
          <c:order val="4"/>
          <c:tx>
            <c:v>K170</c:v>
          </c:tx>
          <c:cat>
            <c:strRef>
              <c:f>'Average Comparison'!$A$13:$A$16</c:f>
              <c:strCache>
                <c:ptCount val="0"/>
              </c:strCache>
            </c:strRef>
          </c:cat>
          <c:val>
            <c:numRef>
              <c:f>'Average Comparison'!$F$13:$F$16</c:f>
              <c:numCache>
                <c:formatCode>+0.00%;-0.00%;0.00%</c:formatCode>
                <c:ptCount val="0"/>
              </c:numCache>
            </c:numRef>
          </c:val>
        </c:ser>
        <c:ser>
          <c:idx val="5"/>
          <c:order val="5"/>
          <c:tx>
            <c:v>K54</c:v>
          </c:tx>
          <c:cat>
            <c:strRef>
              <c:f>'Average Comparison'!$A$13:$A$16</c:f>
              <c:strCache>
                <c:ptCount val="0"/>
              </c:strCache>
            </c:strRef>
          </c:cat>
          <c:val>
            <c:numRef>
              <c:f>'Average Comparison'!$G$13:$G$16</c:f>
              <c:numCache>
                <c:formatCode>+0.00%;-0.00%;0.00%</c:formatCode>
                <c:ptCount val="0"/>
              </c:numCache>
            </c:numRef>
          </c:val>
        </c:ser>
        <c:ser>
          <c:idx val="6"/>
          <c:order val="6"/>
          <c:tx>
            <c:v>K197</c:v>
          </c:tx>
          <c:cat>
            <c:strRef>
              <c:f>'Average Comparison'!$A$13:$A$16</c:f>
              <c:strCache>
                <c:ptCount val="0"/>
              </c:strCache>
            </c:strRef>
          </c:cat>
          <c:val>
            <c:numRef>
              <c:f>'Average Comparison'!$H$13:$H$16</c:f>
              <c:numCache>
                <c:formatCode>+0.00%;-0.00%;0.00%</c:formatCode>
                <c:ptCount val="0"/>
              </c:numCache>
            </c:numRef>
          </c:val>
        </c:ser>
        <c:ser>
          <c:idx val="7"/>
          <c:order val="7"/>
          <c:tx>
            <c:v>K176</c:v>
          </c:tx>
          <c:cat>
            <c:strRef>
              <c:f>'Average Comparison'!$A$13:$A$16</c:f>
              <c:strCache>
                <c:ptCount val="0"/>
              </c:strCache>
            </c:strRef>
          </c:cat>
          <c:val>
            <c:numRef>
              <c:f>'Average Comparison'!$I$13:$I$16</c:f>
              <c:numCache>
                <c:formatCode>+0.00%;-0.00%;0.00%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47a9031c3e485e"/>
        </a:graphicData>
      </a:graphic>
    </xdr:graphicFrame>
    <xdr:clientData/>
  </xdr:twoCellAnchor>
  <xdr:twoCellAnchor>
    <xdr:from>
      <xdr:col>12</xdr:col>
      <xdr:colOff>0</xdr:colOff>
      <xdr:row>14</xdr:row>
      <xdr:rowOff>0</xdr:rowOff>
    </xdr:from>
    <xdr:to>
      <xdr:col>36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123663d9fb436e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f652b8128b4b26"/>
        </a:graphicData>
      </a:graphic>
    </xdr:graphicFrame>
    <xdr:clientData/>
  </xdr:twoCellAnchor>
  <xdr:twoCellAnchor>
    <xdr:from>
      <xdr:col>12</xdr:col>
      <xdr:colOff>0</xdr:colOff>
      <xdr:row>33</xdr:row>
      <xdr:rowOff>0</xdr:rowOff>
    </xdr:from>
    <xdr:to>
      <xdr:col>36</xdr:col>
      <xdr:colOff>0</xdr:colOff>
      <xdr:row>51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7cc6852dae465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4feb217dc34f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ServerComparisonTable" displayName="ServerComparisonTable" ref="A11:AU55" headerRowCount="1" totalsRowCount="0" totalsRowShown="0">
  <x:autoFilter ref="A11:AU55"/>
  <x:tableColumns count="47">
    <x:tableColumn id="1" name="Category"/>
    <x:tableColumn id="2" name="Metric"/>
    <x:tableColumn id="3" name="Better"/>
    <x:tableColumn id="4" name="K60 Best Player"/>
    <x:tableColumn id="5" name="K60 Best"/>
    <x:tableColumn id="6" name="K91 Best Player"/>
    <x:tableColumn id="7" name="K91 Best"/>
    <x:tableColumn id="8" name="K116 Best Player"/>
    <x:tableColumn id="9" name="K116 Best"/>
    <x:tableColumn id="10" name="K138 Best Player"/>
    <x:tableColumn id="11" name="K138 Best"/>
    <x:tableColumn id="12" name="K170 Best Player"/>
    <x:tableColumn id="13" name="K170 Best"/>
    <x:tableColumn id="14" name="K54 Best Player"/>
    <x:tableColumn id="15" name="K54 Best"/>
    <x:tableColumn id="16" name="K197 Best Player"/>
    <x:tableColumn id="17" name="K197 Best"/>
    <x:tableColumn id="18" name="K176 Best Player"/>
    <x:tableColumn id="19" name="K176 Best"/>
    <x:tableColumn id="20" name="Best Leader"/>
    <x:tableColumn id="21" name="K60 Elite Top 3"/>
    <x:tableColumn id="22" name="K91 Elite Top 3"/>
    <x:tableColumn id="23" name="K116 Elite Top 3"/>
    <x:tableColumn id="24" name="K138 Elite Top 3"/>
    <x:tableColumn id="25" name="K170 Elite Top 3"/>
    <x:tableColumn id="26" name="K54 Elite Top 3"/>
    <x:tableColumn id="27" name="K197 Elite Top 3"/>
    <x:tableColumn id="28" name="K176 Elite Top 3"/>
    <x:tableColumn id="29" name="Elite Leader"/>
    <x:tableColumn id="30" name="K60 Top 5 Avg"/>
    <x:tableColumn id="31" name="K91 Top 5 Avg"/>
    <x:tableColumn id="32" name="K116 Top 5 Avg"/>
    <x:tableColumn id="33" name="K138 Top 5 Avg"/>
    <x:tableColumn id="34" name="K170 Top 5 Avg"/>
    <x:tableColumn id="35" name="K54 Top 5 Avg"/>
    <x:tableColumn id="36" name="K197 Top 5 Avg"/>
    <x:tableColumn id="37" name="K176 Top 5 Avg"/>
    <x:tableColumn id="38" name="Top 5 Leader"/>
    <x:tableColumn id="39" name="K60 Median"/>
    <x:tableColumn id="40" name="K91 Median"/>
    <x:tableColumn id="41" name="K116 Median"/>
    <x:tableColumn id="42" name="K138 Median"/>
    <x:tableColumn id="43" name="K170 Median"/>
    <x:tableColumn id="44" name="K54 Median"/>
    <x:tableColumn id="45" name="K197 Median"/>
    <x:tableColumn id="46" name="K176 Median"/>
    <x:tableColumn id="47" name="Median Leader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19" name="OverviewCombinedTable" displayName="OverviewCombinedTable" ref="A4:V167" headerRowCount="1" totalsRowCount="0" totalsRowShown="0">
  <x:autoFilter ref="A4:V167"/>
  <x:tableColumns count="22">
    <x:tableColumn id="1" name="Server"/>
    <x:tableColumn id="2" name="Player"/>
    <x:tableColumn id="3" name="Battle Capacity"/>
    <x:tableColumn id="4" name="Troop Attack"/>
    <x:tableColumn id="5" name="Troop Health"/>
    <x:tableColumn id="6" name="Troop Defense"/>
    <x:tableColumn id="7" name="Troop Damage"/>
    <x:tableColumn id="8" name="Troop Damage Received"/>
    <x:tableColumn id="9" name="Guards"/>
    <x:tableColumn id="10" name="Archers"/>
    <x:tableColumn id="11" name="Cavalry"/>
    <x:tableColumn id="12" name="Siege"/>
    <x:tableColumn id="13" name="Specialisations"/>
    <x:tableColumn id="14" name="Stats Timestamp"/>
    <x:tableColumn id="15" name="Attribute frame range"/>
    <x:tableColumn id="16" name="Source Video"/>
    <x:tableColumn id="17" name="Recorded Badges"/>
    <x:tableColumn id="18" name="Badge Lookup Coverage"/>
    <x:tableColumn id="19" name="Offensive Spec Damage"/>
    <x:tableColumn id="20" name="Guard Damage Received"/>
    <x:tableColumn id="21" name="Damage Specialist Score"/>
    <x:tableColumn id="22" name="Tank Specialist 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llStatsCombinedTable" displayName="AllStatsCombinedTable" ref="A5:BA168" headerRowCount="1" totalsRowCount="0" totalsRowShown="0">
  <x:autoFilter ref="A5:BA168"/>
  <x:tableColumns count="53">
    <x:tableColumn id="1" name="Server"/>
    <x:tableColumn id="2" name="Player"/>
    <x:tableColumn id="3" name="Battle Capacity"/>
    <x:tableColumn id="4" name="Troop Attack"/>
    <x:tableColumn id="5" name="Troop Health"/>
    <x:tableColumn id="6" name="Troop Defense"/>
    <x:tableColumn id="7" name="Troop Damage"/>
    <x:tableColumn id="8" name="Troop Damage Received"/>
    <x:tableColumn id="9" name="Troop Attack Blessing"/>
    <x:tableColumn id="10" name="Troop Protection Blessing"/>
    <x:tableColumn id="11" name="Infantry Attack"/>
    <x:tableColumn id="12" name="Infantry Health"/>
    <x:tableColumn id="13" name="Infantry Defense"/>
    <x:tableColumn id="14" name="Infantry Damage"/>
    <x:tableColumn id="15" name="Infantry Damage Received"/>
    <x:tableColumn id="16" name="Infantry Attack Blessing"/>
    <x:tableColumn id="17" name="Infantry Protection Blessing"/>
    <x:tableColumn id="18" name="Cavalry Attack"/>
    <x:tableColumn id="19" name="Cavalry Health"/>
    <x:tableColumn id="20" name="Cavalry Defense"/>
    <x:tableColumn id="21" name="Cavalry Damage"/>
    <x:tableColumn id="22" name="Cavalry Damage Received"/>
    <x:tableColumn id="23" name="Cavalry Attack Blessing"/>
    <x:tableColumn id="24" name="Cavalry Protection Blessing"/>
    <x:tableColumn id="25" name="Archer Attack"/>
    <x:tableColumn id="26" name="Archer Health"/>
    <x:tableColumn id="27" name="Archer Defense"/>
    <x:tableColumn id="28" name="Archer Damage"/>
    <x:tableColumn id="29" name="Archer Damage Received"/>
    <x:tableColumn id="30" name="Archer Attack Blessing"/>
    <x:tableColumn id="31" name="Archer Protection Blessing"/>
    <x:tableColumn id="32" name="Siege Attack"/>
    <x:tableColumn id="33" name="Siege Health"/>
    <x:tableColumn id="34" name="Siege Defense"/>
    <x:tableColumn id="35" name="Siege Damage"/>
    <x:tableColumn id="36" name="Siege Damage Received"/>
    <x:tableColumn id="37" name="Siege Attack Blessing"/>
    <x:tableColumn id="38" name="Siege Protection Blessing"/>
    <x:tableColumn id="39" name="Revive"/>
    <x:tableColumn id="40" name="Lethal Hit Rate"/>
    <x:tableColumn id="41" name="Guards block damage"/>
    <x:tableColumn id="42" name="Heavy Cavalry Damage"/>
    <x:tableColumn id="43" name="Horse archers Damage"/>
    <x:tableColumn id="44" name="Archer attack speed"/>
    <x:tableColumn id="45" name="Rams Health"/>
    <x:tableColumn id="46" name="Siege Damage (Lion)"/>
    <x:tableColumn id="47" name="March Capacity modifier"/>
    <x:tableColumn id="48" name="Stats screen timestamp"/>
    <x:tableColumn id="49" name="Attribute frame range"/>
    <x:tableColumn id="50" name="Source frame"/>
    <x:tableColumn id="51" name="Source Video"/>
    <x:tableColumn id="52" name="Crossbowmen Damage (Lion)"/>
    <x:tableColumn id="53" name="Lion Lev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7" name="SpecialisationsCombinedTable" displayName="SpecialisationsCombinedTable" ref="A5:R519" headerRowCount="1" totalsRowCount="0" totalsRowShown="0">
  <x:autoFilter ref="A5:R519"/>
  <x:tableColumns count="18">
    <x:tableColumn id="1" name="Server"/>
    <x:tableColumn id="2" name="Player"/>
    <x:tableColumn id="3" name="Troop Type"/>
    <x:tableColumn id="4" name="Specialisation"/>
    <x:tableColumn id="5" name="Displayed Subtype"/>
    <x:tableColumn id="6" name="Level"/>
    <x:tableColumn id="7" name="Skill"/>
    <x:tableColumn id="8" name="Skill Effect"/>
    <x:tableColumn id="9" name="Status"/>
    <x:tableColumn id="10" name="Video Timestamp"/>
    <x:tableColumn id="11" name="Notes"/>
    <x:tableColumn id="12" name="Source Video"/>
    <x:tableColumn id="13" name="Badges This Level"/>
    <x:tableColumn id="14" name="Total Badges Invested"/>
    <x:tableColumn id="15" name="Skill Damage Effect"/>
    <x:tableColumn id="16" name="Badge Lookup Status"/>
    <x:tableColumn id="17" name="Signed Damage Effect"/>
    <x:tableColumn id="18" name="Effect Typ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4" name="DamageRankingTable" displayName="DamageRankingTable" ref="A5:J168" headerRowCount="1" totalsRowCount="0" totalsRowShown="0">
  <x:autoFilter ref="A5:J168"/>
  <x:tableColumns count="10">
    <x:tableColumn id="1" name="Rank"/>
    <x:tableColumn id="2" name="Server"/>
    <x:tableColumn id="3" name="Player"/>
    <x:tableColumn id="4" name="Damage Score"/>
    <x:tableColumn id="5" name="General"/>
    <x:tableColumn id="6" name="Cavalry"/>
    <x:tableColumn id="7" name="Archers"/>
    <x:tableColumn id="8" name="Siege"/>
    <x:tableColumn id="9" name="Strongest Area"/>
    <x:tableColumn id="10" name="Ti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op25TotalDamageTable" displayName="Top25TotalDamageTable" ref="A5:H168" headerRowCount="1" totalsRowCount="0" totalsRowShown="0">
  <x:autoFilter ref="A5:H168"/>
  <x:tableColumns count="8">
    <x:tableColumn id="1" name="Server Rank"/>
    <x:tableColumn id="2" name="Overall Rank"/>
    <x:tableColumn id="3" name="Server"/>
    <x:tableColumn id="4" name="Player"/>
    <x:tableColumn id="5" name="Cavalry Damage"/>
    <x:tableColumn id="6" name="Archer Damage"/>
    <x:tableColumn id="7" name="Siege Damage"/>
    <x:tableColumn id="8" name="Total Dam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KingdomKPITable" displayName="KingdomKPITable" ref="A5:M357" headerRowCount="1" totalsRowCount="0" totalsRowShown="0">
  <x:autoFilter ref="A5:M357"/>
  <x:tableColumns count="13">
    <x:tableColumn id="1" name="Category"/>
    <x:tableColumn id="2" name="Metric"/>
    <x:tableColumn id="3" name="Better"/>
    <x:tableColumn id="4" name="Kingdom"/>
    <x:tableColumn id="5" name="Best Player"/>
    <x:tableColumn id="6" name="Best"/>
    <x:tableColumn id="7" name="Elite Top 3"/>
    <x:tableColumn id="8" name="Top 5 Avg"/>
    <x:tableColumn id="9" name="Median"/>
    <x:tableColumn id="10" name="Best Rank"/>
    <x:tableColumn id="11" name="Elite Rank"/>
    <x:tableColumn id="12" name="Top 5 Rank"/>
    <x:tableColumn id="13" name="Median Rank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8" name="AverageComparisonTable" displayName="AverageComparisonTable" ref="A36:AC212" headerRowCount="1" totalsRowCount="0" totalsRowShown="0">
  <x:autoFilter ref="A36:AC212"/>
  <x:tableColumns count="29">
    <x:tableColumn id="1" name="Category"/>
    <x:tableColumn id="2" name="Metric"/>
    <x:tableColumn id="3" name="Better"/>
    <x:tableColumn id="4" name="Strength Band"/>
    <x:tableColumn id="5" name="K60 Value"/>
    <x:tableColumn id="6" name="K60 n"/>
    <x:tableColumn id="7" name="K91 Value"/>
    <x:tableColumn id="8" name="K91 n"/>
    <x:tableColumn id="9" name="K116 Value"/>
    <x:tableColumn id="10" name="K116 n"/>
    <x:tableColumn id="11" name="K138 Value"/>
    <x:tableColumn id="12" name="K138 n"/>
    <x:tableColumn id="13" name="K170 Value"/>
    <x:tableColumn id="14" name="K170 n"/>
    <x:tableColumn id="15" name="K54 Value"/>
    <x:tableColumn id="16" name="K54 n"/>
    <x:tableColumn id="17" name="K197 Value"/>
    <x:tableColumn id="18" name="K197 n"/>
    <x:tableColumn id="19" name="K176 Value"/>
    <x:tableColumn id="20" name="K176 n"/>
    <x:tableColumn id="21" name="Leader"/>
    <x:tableColumn id="22" name="K138 Edge vs K60"/>
    <x:tableColumn id="23" name="K138 Edge vs K91"/>
    <x:tableColumn id="24" name="K138 Edge vs K116"/>
    <x:tableColumn id="25" name="K138 Edge vs K170"/>
    <x:tableColumn id="26" name="K138 Edge vs K54"/>
    <x:tableColumn id="27" name="K138 Edge vs K197"/>
    <x:tableColumn id="28" name="K138 Edge vs K176"/>
    <x:tableColumn id="29" name="Coverag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nkControlPlayerAuditTable" displayName="TankControlPlayerAuditTable" ref="A22:M185" headerRowCount="1" totalsRowCount="0" totalsRowShown="0">
  <x:tableColumns count="13">
    <x:tableColumn id="1" name="Kingdom"/>
    <x:tableColumn id="2" name="Player"/>
    <x:tableColumn id="3" name="Eligible ≥700%"/>
    <x:tableColumn id="4" name="Inf Health"/>
    <x:tableColumn id="5" name="Inf Defense"/>
    <x:tableColumn id="6" name="Inf Damage Received"/>
    <x:tableColumn id="7" name="Inf Protection"/>
    <x:tableColumn id="8" name="Health Score"/>
    <x:tableColumn id="9" name="Defense Score"/>
    <x:tableColumn id="10" name="Damage Received Score"/>
    <x:tableColumn id="11" name="Protection Score"/>
    <x:tableColumn id="12" name="Guard Tank Score"/>
    <x:tableColumn id="13" name="Kingdom Tank Rank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nkControlSummaryTable" displayName="TankControlSummaryTable" ref="A5:L13" headerRowCount="1" totalsRowCount="0" totalsRowShown="0">
  <x:tableColumns count="12">
    <x:tableColumn id="1" name="Kingdom"/>
    <x:tableColumn id="2" name="Tanks ≥700%"/>
    <x:tableColumn id="3" name="Main Tank"/>
    <x:tableColumn id="4" name="Main Tank Score"/>
    <x:tableColumn id="5" name="Backup Quality"/>
    <x:tableColumn id="6" name="Count Score"/>
    <x:tableColumn id="7" name="Tank Control"/>
    <x:tableColumn id="8" name="Tank Impact"/>
    <x:tableColumn id="9" name="Offense"/>
    <x:tableColumn id="10" name="Event Strength"/>
    <x:tableColumn id="11" name="Throne Strength"/>
    <x:tableColumn id="12" name="Event Rank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pecialisationsRawTable" displayName="SpecialisationsRawTable" ref="A5:L602" headerRowCount="1" totalsRowCount="0" totalsRowShown="0">
  <x:autoFilter ref="A5:L602"/>
  <x:tableColumns count="12">
    <x:tableColumn id="1" name="Server"/>
    <x:tableColumn id="2" name="Player"/>
    <x:tableColumn id="3" name="Troop Type"/>
    <x:tableColumn id="4" name="Specialisation"/>
    <x:tableColumn id="5" name="Displayed Subtype"/>
    <x:tableColumn id="6" name="Level"/>
    <x:tableColumn id="7" name="Skill"/>
    <x:tableColumn id="8" name="Skill Effect"/>
    <x:tableColumn id="9" name="Status"/>
    <x:tableColumn id="10" name="Video Timestamp"/>
    <x:tableColumn id="11" name="Notes"/>
    <x:tableColumn id="12" name="Source Video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3" name="BadgeLookupTable" displayName="BadgeLookupTable" ref="A5:E55" headerRowCount="1" totalsRowCount="0" totalsRowShown="0">
  <x:autoFilter ref="A5:E55"/>
  <x:tableColumns count="5">
    <x:tableColumn id="1" name="Level"/>
    <x:tableColumn id="2" name="Badges This Level"/>
    <x:tableColumn id="3" name="Cumulative Badges"/>
    <x:tableColumn id="4" name="Damage Effect"/>
    <x:tableColumn id="5" name="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20" name="CastleBadgeStrengthTable" displayName="CastleBadgeStrengthTable" ref="A18:V182" headerRowCount="1" totalsRowCount="0" totalsRowShown="0">
  <x:autoFilter ref="A18:V182"/>
  <x:tableColumns count="22">
    <x:tableColumn id="1" name="Server"/>
    <x:tableColumn id="2" name="Player"/>
    <x:tableColumn id="3" name="Skills Captured"/>
    <x:tableColumn id="4" name="Valid Levels"/>
    <x:tableColumn id="5" name="Missing Levels"/>
    <x:tableColumn id="6" name="Lookup Coverage"/>
    <x:tableColumn id="7" name="Guards Badges"/>
    <x:tableColumn id="8" name="Archers Badges"/>
    <x:tableColumn id="9" name="Cavalry Badges"/>
    <x:tableColumn id="10" name="Siege Badges"/>
    <x:tableColumn id="11" name="Total Badges"/>
    <x:tableColumn id="12" name="Badge Index"/>
    <x:tableColumn id="13" name="Signed Net (Display Only)"/>
    <x:tableColumn id="14" name="Server Badge Rank"/>
    <x:tableColumn id="15" name="Overall Badge Rank"/>
    <x:tableColumn id="16" name="Data Status"/>
    <x:tableColumn id="17" name="Damage Score"/>
    <x:tableColumn id="18" name="Damage Rank"/>
    <x:tableColumn id="19" name="Badge Rank Edge"/>
    <x:tableColumn id="20" name="Comparison"/>
    <x:tableColumn id="21" name="Modelled Strength"/>
    <x:tableColumn id="22" name="Modelled Rank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8" name="SpecialisationImpactTable" displayName="SpecialisationImpactTable" ref="A18:AA182" headerRowCount="1" totalsRowCount="0" totalsRowShown="0">
  <x:autoFilter ref="A18:AA182"/>
  <x:tableColumns count="27">
    <x:tableColumn id="1" name="Server"/>
    <x:tableColumn id="2" name="Player"/>
    <x:tableColumn id="3" name="Skills Captured"/>
    <x:tableColumn id="4" name="Valid Levels"/>
    <x:tableColumn id="5" name="Offensive Skills"/>
    <x:tableColumn id="6" name="Lookup Coverage"/>
    <x:tableColumn id="7" name="Guard Damage Received"/>
    <x:tableColumn id="8" name="Archer Damage"/>
    <x:tableColumn id="9" name="Cavalry Damage"/>
    <x:tableColumn id="10" name="Siege Damage"/>
    <x:tableColumn id="11" name="Offensive Damage"/>
    <x:tableColumn id="12" name="Signed Net (Display Only)"/>
    <x:tableColumn id="13" name="Guard Badges"/>
    <x:tableColumn id="14" name="Offensive Badges"/>
    <x:tableColumn id="15" name="Total Badges"/>
    <x:tableColumn id="16" name="Avg / Offensive Skill"/>
    <x:tableColumn id="17" name="Offensive Effect Index"/>
    <x:tableColumn id="18" name="Offensive Badge Index"/>
    <x:tableColumn id="19" name="Damage Specialist Score"/>
    <x:tableColumn id="20" name="Guard Effect Index"/>
    <x:tableColumn id="21" name="Guard Badge Index"/>
    <x:tableColumn id="22" name="Tank Specialist Score"/>
    <x:tableColumn id="23" name="Damage Server Rank"/>
    <x:tableColumn id="24" name="Damage Overall Rank"/>
    <x:tableColumn id="25" name="Tank Server Rank"/>
    <x:tableColumn id="26" name="Tank Overall Rank"/>
    <x:tableColumn id="27" name="Data 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21" name="BadgeKingdomRankingTable" displayName="BadgeKingdomRankingTable" ref="A5:M13" headerRowCount="1" totalsRowCount="0" totalsRowShown="0">
  <x:autoFilter ref="A5:M13"/>
  <x:tableColumns count="13">
    <x:tableColumn id="1" name="Rank"/>
    <x:tableColumn id="2" name="Kingdom"/>
    <x:tableColumn id="3" name="Total Badges"/>
    <x:tableColumn id="4" name="Badge-tracked Players"/>
    <x:tableColumn id="5" name="Roster Players"/>
    <x:tableColumn id="6" name="Player Coverage"/>
    <x:tableColumn id="7" name="Avg / Tracked Player"/>
    <x:tableColumn id="8" name="Top 5 Average"/>
    <x:tableColumn id="9" name="Top Player"/>
    <x:tableColumn id="10" name="Top Player Badges"/>
    <x:tableColumn id="11" name="Guard Badges"/>
    <x:tableColumn id="12" name="Offensive Badges"/>
    <x:tableColumn id="13" name="Recorded Skill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22" name="BadgePlayerRankingTable" displayName="BadgePlayerRankingTable" ref="A16:M184" headerRowCount="1" totalsRowCount="0" totalsRowShown="0">
  <x:autoFilter ref="A16:M184"/>
  <x:tableColumns count="13">
    <x:tableColumn id="1" name="Global Badge Rank"/>
    <x:tableColumn id="2" name="Kingdom Badge Rank"/>
    <x:tableColumn id="3" name="Kingdom"/>
    <x:tableColumn id="4" name="Player"/>
    <x:tableColumn id="5" name="Total Badges"/>
    <x:tableColumn id="6" name="Recorded Skills"/>
    <x:tableColumn id="7" name="Lookup Coverage"/>
    <x:tableColumn id="8" name="Guard Badges"/>
    <x:tableColumn id="9" name="Cavalry Badges"/>
    <x:tableColumn id="10" name="Archer Badges"/>
    <x:tableColumn id="11" name="Siege Badges"/>
    <x:tableColumn id="12" name="Offensive Badges"/>
    <x:tableColumn id="13" name="Badge Statu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9295e1231e43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99afef49be46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4a4bbd0590144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4e51624e08548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6cdb11facbc49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01893a020ea48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d2055f75e72043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83882a00b134d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1e8c56dfa2df4605" /><Relationship Type="http://schemas.openxmlformats.org/officeDocument/2006/relationships/table" Target="/xl/tables/table8.xml" Id="R14351c93b2bd452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6c4e78f4d4614882" /><Relationship Type="http://schemas.openxmlformats.org/officeDocument/2006/relationships/table" Target="/xl/tables/table10.xml" Id="R9b84cc49b85a40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b87b9328ba2048c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6ef1354455b54de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96a1897e10fd48e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fddbaec137aa4d2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5.xml" Id="R971f2a10df58452e" /><Relationship Type="http://schemas.openxmlformats.org/officeDocument/2006/relationships/table" Target="/xl/tables/table16.xml" Id="R051dfce8222641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3" t="str">
        <x:v>Last Land Kingdom Tracker</x:v>
      </x:c>
      <x:c r="B1" s="3" t="str">
        <x:v>Last Land Kingdom Tracker</x:v>
      </x:c>
      <x:c r="C1" s="3" t="str">
        <x:v>Last Land Kingdom Tracker</x:v>
      </x:c>
      <x:c r="D1" s="3" t="str">
        <x:v>Last Land Kingdom Tracker</x:v>
      </x:c>
      <x:c r="E1" s="3" t="str">
        <x:v>Last Land Kingdom Tracker</x:v>
      </x:c>
      <x:c r="F1" s="3" t="str">
        <x:v>Last Land Kingdom Tracker</x:v>
      </x:c>
      <x:c r="G1" s="3" t="str">
        <x:v>Last Land Kingdom Tracker</x:v>
      </x:c>
      <x:c r="H1" s="3" t="str">
        <x:v>Last Land Kingdom Tracker</x:v>
      </x:c>
      <x:c r="I1" s="3" t="str">
        <x:v>Last Land Kingdom Tracker</x:v>
      </x:c>
      <x:c r="J1" s="3" t="str">
        <x:v>Last Land Kingdom Tracker</x:v>
      </x:c>
      <x:c r="K1" s="3" t="str">
        <x:v>Last Land Kingdom Tracker</x:v>
      </x:c>
      <x:c r="L1" s="3" t="str">
        <x:v>Last Land Kingdom Tracker</x:v>
      </x:c>
    </x:row>
    <x:row r="2" ht="24" customHeight="1">
      <x:c r="A2" s="7" t="str">
        <x:v>K60 · K91 · K116 · K138 · K170 · K54 · K197 · K176 | Video/screenshot-verified statistics, specialisations, badge investment, signed skill effects, rankings and comparisons</x:v>
      </x:c>
      <x:c r="B2" s="7" t="str">
        <x:v>K60 · K91 · K116 · K138 · K170 · K54 · K197 · K176 | Video/screenshot-verified statistics, specialisations, rankings and comparisons</x:v>
      </x:c>
      <x:c r="C2" s="7" t="str">
        <x:v>K60 · K91 · K116 · K138 · K170 · K54 · K197 · K176 | Video/screenshot-verified statistics, specialisations, rankings and comparisons</x:v>
      </x:c>
      <x:c r="D2" s="7" t="str">
        <x:v>K60 · K91 · K116 · K138 · K170 · K54 · K197 · K176 | Video/screenshot-verified statistics, specialisations, rankings and comparisons</x:v>
      </x:c>
      <x:c r="E2" s="7" t="str">
        <x:v>K60 · K91 · K116 · K138 · K170 · K54 · K197 · K176 | Video/screenshot-verified statistics, specialisations, rankings and comparisons</x:v>
      </x:c>
      <x:c r="F2" s="7" t="str">
        <x:v>K60 · K91 · K116 · K138 · K170 · K54 · K197 · K176 | Video/screenshot-verified statistics, specialisations, rankings and comparisons</x:v>
      </x:c>
      <x:c r="G2" s="7" t="str">
        <x:v>K60 · K91 · K116 · K138 · K170 · K54 · K197 · K176 | Video/screenshot-verified statistics, specialisations, rankings and comparisons</x:v>
      </x:c>
      <x:c r="H2" s="7" t="str">
        <x:v>K60 · K91 · K116 · K138 · K170 · K54 · K197 · K176 | Video/screenshot-verified statistics, specialisations, rankings and comparisons</x:v>
      </x:c>
      <x:c r="I2" s="7" t="str">
        <x:v>K60 · K91 · K116 · K138 · K170 · K54 · K197 · K176 | Video/screenshot-verified statistics, specialisations, rankings and comparisons</x:v>
      </x:c>
      <x:c r="J2" s="7" t="str">
        <x:v>K60 · K91 · K116 · K138 · K170 · K54 · K197 · K176 | Video/screenshot-verified statistics, specialisations, rankings and comparisons</x:v>
      </x:c>
      <x:c r="K2" s="7" t="str">
        <x:v>K60 · K91 · K116 · K138 · K170 · K54 · K197 · K176 | Video/screenshot-verified statistics, specialisations, rankings and comparisons</x:v>
      </x:c>
      <x:c r="L2" s="7" t="str">
        <x:v>K60 · K91 · K116 · K138 · K170 · K54 · K197 · K176 | Video/screenshot-verified statistics, specialisations, rankings and comparisons</x:v>
      </x:c>
    </x:row>
    <x:row r="4">
      <x:c r="B4" s="13" t="n">
        <x:v>167</x:v>
      </x:c>
      <x:c r="C4" s="14" t="n">
        <x:v>167</x:v>
      </x:c>
      <x:c r="D4" s="15" t="n">
        <x:v>167</x:v>
      </x:c>
      <x:c r="E4" s="13" t="n">
        <x:v>6179</x:v>
      </x:c>
      <x:c r="F4" s="14" t="n">
        <x:v>6179</x:v>
      </x:c>
      <x:c r="G4" s="15" t="n">
        <x:v>6179</x:v>
      </x:c>
      <x:c r="H4" s="13" t="n">
        <x:v>522</x:v>
      </x:c>
      <x:c r="I4" s="14" t="n">
        <x:v>609</x:v>
      </x:c>
      <x:c r="J4" s="15" t="n">
        <x:v>609</x:v>
      </x:c>
      <x:c r="K4" s="13" t="n">
        <x:v>8</x:v>
      </x:c>
      <x:c r="L4" s="15" t="n">
        <x:v>8</x:v>
      </x:c>
    </x:row>
    <x:row r="5">
      <x:c r="B5" s="21" t="str">
        <x:v>Players</x:v>
      </x:c>
      <x:c r="C5" s="22" t="str">
        <x:v>Players</x:v>
      </x:c>
      <x:c r="D5" s="23" t="str">
        <x:v>Players</x:v>
      </x:c>
      <x:c r="E5" s="21" t="str">
        <x:v>Recorded main-stat values</x:v>
      </x:c>
      <x:c r="F5" s="22" t="str">
        <x:v>Recorded main-stat values</x:v>
      </x:c>
      <x:c r="G5" s="23" t="str">
        <x:v>Recorded main-stat values</x:v>
      </x:c>
      <x:c r="H5" s="21" t="str">
        <x:v>Unique specialisation skills</x:v>
      </x:c>
      <x:c r="I5" s="22" t="str">
        <x:v>Specialisation tooltips</x:v>
      </x:c>
      <x:c r="J5" s="23" t="str">
        <x:v>Specialisation tooltips</x:v>
      </x:c>
      <x:c r="K5" s="21" t="str">
        <x:v>Servers</x:v>
      </x:c>
      <x:c r="L5" s="23" t="str">
        <x:v>Servers</x:v>
      </x:c>
    </x:row>
    <x:row r="8">
      <x:c r="A8" s="26" t="str">
        <x:v>What each tab contains</x:v>
      </x:c>
      <x:c r="B8" s="26" t="str">
        <x:v>What each tab contains</x:v>
      </x:c>
      <x:c r="C8" s="26" t="str">
        <x:v>What each tab contains</x:v>
      </x:c>
      <x:c r="D8" s="26" t="str">
        <x:v>What each tab contains</x:v>
      </x:c>
      <x:c r="E8" s="26" t="str">
        <x:v>What each tab contains</x:v>
      </x:c>
      <x:c r="F8" s="26" t="str">
        <x:v>What each tab contains</x:v>
      </x:c>
      <x:c r="G8" s="26" t="str">
        <x:v>What each tab contains</x:v>
      </x:c>
      <x:c r="H8" s="26" t="str">
        <x:v>What each tab contains</x:v>
      </x:c>
      <x:c r="I8" s="26" t="str">
        <x:v>What each tab contains</x:v>
      </x:c>
      <x:c r="J8" s="26" t="str">
        <x:v>What each tab contains</x:v>
      </x:c>
      <x:c r="K8" s="26" t="str">
        <x:v>What each tab contains</x:v>
      </x:c>
      <x:c r="L8" s="26" t="str">
        <x:v>What each tab contains</x:v>
      </x:c>
    </x:row>
    <x:row r="9" ht="32" customHeight="1">
      <x:c r="A9" s="31" t="str">
        <x:v>Server Comparison</x:v>
      </x:c>
      <x:c r="B9" s="30" t="str">
        <x:v>Best player, weighted Elite Top 3, Top 5 average and median for every recorded metric across all 8 kingdoms.</x:v>
      </x:c>
    </x:row>
    <x:row r="10" ht="32" customHeight="1">
      <x:c r="A10" s="31" t="str">
        <x:v>Overview</x:v>
      </x:c>
      <x:c r="B10" s="30" t="str">
        <x:v>One row per player with headline troop statistics and deduplicated opened skills grouped by troop type.</x:v>
      </x:c>
    </x:row>
    <x:row r="11" ht="32" customHeight="1">
      <x:c r="A11" s="31" t="str">
        <x:v>Overall Strength &amp; Matchups</x:v>
      </x:c>
      <x:c r="B11" s="30" t="str">
        <x:v>Calibrated kingdom ranking and matchup matrix with separate Damage Strength and Guards Strength scores, plus the 25% specialisation component.</x:v>
      </x:c>
    </x:row>
    <x:row r="12" ht="32" customHeight="1">
      <x:c r="A12" s="31" t="str">
        <x:v>All Stats</x:v>
      </x:c>
      <x:c r="B12" s="30" t="str">
        <x:v>Every recorded Troop Attribute value, shared battle modifier, capacity and source reference.</x:v>
      </x:c>
    </x:row>
    <x:row r="13" ht="32" customHeight="1">
      <x:c r="A13" s="31" t="str">
        <x:v>Specialisations</x:v>
      </x:c>
      <x:c r="B13" s="30" t="str">
        <x:v>Cleaned scoring input: one row per unique player + troop type + skill. Repeated unit tiers count once; all original tooltip sightings remain on Specialisations Raw.</x:v>
      </x:c>
    </x:row>
    <x:row r="14" ht="32" customHeight="1">
      <x:c r="A14" s="31" t="str">
        <x:v>Damage Ranking</x:v>
      </x:c>
      <x:c r="B14" s="30" t="str">
        <x:v>Relative damage-only score using General 30%, Cavalry 25%, Archers 25% and Siege 20%; defensive health and guards are excluded.</x:v>
      </x:c>
    </x:row>
    <x:row r="15" ht="32" customHeight="1">
      <x:c r="A15" s="31" t="str">
        <x:v>Top 25 Total Damage</x:v>
      </x:c>
      <x:c r="B15" s="30" t="str">
        <x:v>Raw Cavalry Damage + Archer Damage + Siege Damage, with both server rank and overall rank.</x:v>
      </x:c>
    </x:row>
    <x:row r="16" ht="32" customHeight="1">
      <x:c r="A16" s="31" t="str">
        <x:v>Damage Dashboard</x:v>
      </x:c>
      <x:c r="B16" s="30" t="str">
        <x:v>Leaders, elite depth and damage-group visuals across all kingdoms.</x:v>
      </x:c>
    </x:row>
    <x:row r="17" ht="32" customHeight="1">
      <x:c r="A17" s="31" t="str">
        <x:v>Kingdom KPI</x:v>
      </x:c>
      <x:c r="B17" s="30" t="str">
        <x:v>Scalable long-form metric table with 8-server ranks for every comparison lens.</x:v>
      </x:c>
    </x:row>
    <x:row r="18" ht="32" customHeight="1">
      <x:c r="A18" s="31" t="str">
        <x:v>Average Comparison</x:v>
      </x:c>
      <x:c r="B18" s="30" t="str">
        <x:v>Best Player, Top 5, Top 15 and all-player averages with K138 edges and coverage warnings.</x:v>
      </x:c>
    </x:row>
    <x:row r="19">
      <x:c r="A19" s="348" t="str">
        <x:v>Tank &amp; Control</x:v>
      </x:c>
      <x:c r="B19" t="str">
        <x:v>Qualifies tanks at ≥700% Infantry Protection and separates Main Tank, Tank Control, Event Strength and Throne Strength.</x:v>
      </x:c>
    </x:row>
    <x:row r="20" ht="32" customHeight="1">
      <x:c r="A20" s="437" t="str">
        <x:v>Badge Lookup</x:v>
      </x:c>
      <x:c r="B20" s="436" t="str">
        <x:v>Level-by-level badge costs, cumulative badge investment and current-level damage effect from the supplied lookup file.</x:v>
      </x:c>
      <x:c r="C20"/>
      <x:c r="D20"/>
      <x:c r="E20"/>
      <x:c r="F20"/>
      <x:c r="G20"/>
      <x:c r="H20"/>
      <x:c r="I20"/>
      <x:c r="J20"/>
      <x:c r="K20"/>
      <x:c r="L20"/>
    </x:row>
    <x:row r="21" ht="32" customHeight="1">
      <x:c r="A21" s="437" t="str">
        <x:v>Castle Badge Strength</x:v>
      </x:c>
      <x:c r="B21" s="436" t="str">
        <x:v>Recorded badges by castle and kingdom, with coverage checks and a live badge-weight control that currently remains at 0%.</x:v>
      </x:c>
    </x:row>
    <x:row r="22" ht="32" customHeight="1">
      <x:c r="A22" s="437" t="str">
        <x:v>Specialisation Impact</x:v>
      </x:c>
      <x:c r="B22" s="436" t="str">
        <x:v>Signed current-level damage effects, badge depth and diagnostic Damage/Tank Specialist scores for every recorded castle.</x:v>
      </x:c>
      <x:c r="C22"/>
      <x:c r="D22"/>
      <x:c r="E22"/>
      <x:c r="F22"/>
      <x:c r="G22"/>
      <x:c r="H22"/>
      <x:c r="I22"/>
      <x:c r="J22"/>
      <x:c r="K22"/>
      <x:c r="L22"/>
    </x:row>
    <x:row r="23" ht="34" customHeight="1">
      <x:c r="A23" s="464" t="str">
        <x:v>Important source and calculation notes</x:v>
      </x:c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</x:row>
    <x:row r="24" ht="36" customHeight="1">
      <x:c r="A24" s="500" t="str">
        <x:v>Visible values only</x:v>
      </x:c>
      <x:c r="B24" s="499" t="str">
        <x:v>Blank means the value or tooltip was not shown. Missing values are excluded rather than treated as zero.</x:v>
      </x:c>
    </x:row>
    <x:row r="25" ht="36" customHeight="1">
      <x:c r="A25" s="500" t="str">
        <x:v>Damage model</x:v>
      </x:c>
      <x:c r="B25" s="499" t="str">
        <x:v>General 30%, Cavalry 25%, Archers 25%, Siege 20%. Each group uses Attack, Damage, Damage Received and Attack Blessing; guards, health, defence, protection, revive and lethal hit are excluded.</x:v>
      </x:c>
    </x:row>
    <x:row r="26" ht="36" customHeight="1">
      <x:c r="A26" s="500" t="str">
        <x:v>Raw total damage</x:v>
      </x:c>
      <x:c r="B26" s="499" t="str">
        <x:v>Top 25 Total Damage is the direct sum of Cavalry Damage, Archer Damage and Siege Damage only. All three must be recorded.</x:v>
      </x:c>
    </x:row>
    <x:row r="27" ht="36" customHeight="1">
      <x:c r="A27" s="500" t="str">
        <x:v>K91 source</x:v>
      </x:c>
      <x:c r="B27" s="499" t="str">
        <x:v>1000025188.mp4 — 20 unique right-side profiles; TatyToy's duplicate visit is excluded.</x:v>
      </x:c>
    </x:row>
    <x:row r="28" ht="36" customHeight="1">
      <x:c r="A28" s="500" t="str">
        <x:v>K116 source</x:v>
      </x:c>
      <x:c r="B28" s="499" t="str">
        <x:v>1000025189.mp4 — 20 unique right-side profiles.</x:v>
      </x:c>
    </x:row>
    <x:row r="29" ht="36" customHeight="1">
      <x:c r="A29" s="500" t="str">
        <x:v>K54 source</x:v>
      </x:c>
      <x:c r="B29" s="499" t="str">
        <x:v>1000025860.mp4 — 11 right-side attribute profiles and 46 visibly opened specialisation tooltips, including 1 tooltip-only player.</x:v>
      </x:c>
    </x:row>
    <x:row r="30" ht="36" customHeight="1">
      <x:c r="A30" s="500" t="str">
        <x:v>K197 source</x:v>
      </x:c>
      <x:c r="B30" s="499" t="str">
        <x:v>1000025871.mp4 — 19 right-side attribute profiles and 41 visibly opened specialisation tooltips.</x:v>
      </x:c>
    </x:row>
    <x:row r="31" ht="36" customHeight="1">
      <x:c r="A31" s="500" t="str">
        <x:v>K176 source</x:v>
      </x:c>
      <x:c r="B31" s="499" t="str">
        <x:v>1000025872.mp4 — 22 right-side attribute profiles and 101 visibly opened specialisation tooltips.</x:v>
      </x:c>
    </x:row>
    <x:row r="32" ht="34" customHeight="1">
      <x:c r="A32" s="588" t="str">
        <x:v>Badge model</x:v>
      </x:c>
      <x:c r="B32" s="591" t="str">
        <x:v>The supplied cost is treated as incremental. A level-50 skill carries 10,334,300 cumulative badges and ±60 current-level damage effect.</x:v>
      </x:c>
      <x:c r="C32" s="594"/>
      <x:c r="D32" s="594"/>
      <x:c r="E32" s="594"/>
      <x:c r="F32" s="594"/>
      <x:c r="G32" s="594"/>
      <x:c r="H32" s="594"/>
      <x:c r="I32" s="594"/>
      <x:c r="J32" s="594"/>
      <x:c r="K32" s="594"/>
      <x:c r="L32" s="594"/>
    </x:row>
    <x:row r="33" ht="34" customHeight="1">
      <x:c r="A33" s="588" t="str">
        <x:v>Specialisation model</x:v>
      </x:c>
      <x:c r="B33" s="591" t="str">
        <x:v>Scenario view showing Baseline 0%, Recommended 25% and High impact 35%, with specialisation applied once as a separate kingdom component.</x:v>
      </x:c>
      <x:c r="C33" s="594"/>
      <x:c r="D33" s="594"/>
      <x:c r="E33" s="594"/>
      <x:c r="F33" s="594"/>
      <x:c r="G33" s="594"/>
      <x:c r="H33" s="594"/>
      <x:c r="I33" s="594"/>
      <x:c r="J33" s="594"/>
      <x:c r="K33" s="594"/>
      <x:c r="L33" s="594"/>
    </x:row>
    <x:row r="34" ht="34" customHeight="1">
      <x:c r="A34" s="514" t="str">
        <x:v>Specialisation Scenarios</x:v>
      </x:c>
      <x:c r="B34" s="594" t="str">
        <x:v>Selectable Baseline, Recommended and High-impact kingdom strength rankings plus a color-coded throne matchup matrix.</x:v>
      </x:c>
      <x:c r="C34" s="594"/>
      <x:c r="D34" s="594"/>
      <x:c r="E34" s="594"/>
      <x:c r="F34" s="594"/>
      <x:c r="G34" s="594"/>
      <x:c r="H34" s="594"/>
      <x:c r="I34" s="594"/>
      <x:c r="J34" s="594"/>
      <x:c r="K34" s="594"/>
      <x:c r="L34" s="594"/>
    </x:row>
    <x:row r="35" ht="34" customHeight="1">
      <x:c r="A35" s="514" t="str">
        <x:v>Player Scenario Model</x:v>
      </x:c>
      <x:c r="B35" s="594" t="str">
        <x:v>Auditable player-level offense reconstruction, specialisation blend, eligible-tank blend and scenario ranks.</x:v>
      </x:c>
      <x:c r="C35" s="594"/>
      <x:c r="D35" s="594"/>
      <x:c r="E35" s="594"/>
      <x:c r="F35" s="594"/>
      <x:c r="G35" s="594"/>
      <x:c r="H35" s="594"/>
      <x:c r="I35" s="594"/>
      <x:c r="J35" s="594"/>
      <x:c r="K35" s="594"/>
      <x:c r="L35" s="594"/>
    </x:row>
    <x:row r="36" ht="34" customHeight="1">
      <x:c r="A36" s="696" t="str">
        <x:v>Specialisation Rankings</x:v>
      </x:c>
      <x:c r="B36" s="698" t="str">
        <x:v>Full player ranking plus a separate kingdom ranking for Cavalry, Archers, Siege, Guards and combined specialist strength.</x:v>
      </x:c>
      <x:c r="C36" s="698"/>
      <x:c r="D36" s="698"/>
      <x:c r="E36" s="698"/>
      <x:c r="F36" s="698"/>
      <x:c r="G36" s="698"/>
      <x:c r="H36" s="698"/>
      <x:c r="I36" s="698"/>
      <x:c r="J36" s="698"/>
      <x:c r="K36" s="698"/>
      <x:c r="L36" s="698"/>
    </x:row>
    <x:row r="37" ht="34" customHeight="1">
      <x:c r="A37" s="696" t="str">
        <x:v>Calibrated model</x:v>
      </x:c>
      <x:c r="B37" s="698" t="str">
        <x:v>General 15%, Cavalry 60%, Archers 10%, Siege 15%; overall strength is 75% statistics and 25% specialisation. The Overall tab now splits the result into normalized Damage and Guards scores and shows their exact contribution weights.</x:v>
      </x:c>
      <x:c r="C37" s="698"/>
      <x:c r="D37" s="698"/>
      <x:c r="E37" s="698"/>
      <x:c r="F37" s="698"/>
      <x:c r="G37" s="698"/>
      <x:c r="H37" s="698"/>
      <x:c r="I37" s="698"/>
      <x:c r="J37" s="698"/>
      <x:c r="K37" s="698"/>
      <x:c r="L37" s="698"/>
    </x:row>
  </x:sheetData>
  <x:mergeCells>
    <x:mergeCell ref="A1:L1"/>
    <x:mergeCell ref="A2:L2"/>
    <x:mergeCell ref="B4:D4"/>
    <x:mergeCell ref="B5:D5"/>
    <x:mergeCell ref="E4:G4"/>
    <x:mergeCell ref="E5:G5"/>
    <x:mergeCell ref="H4:J4"/>
    <x:mergeCell ref="H5:J5"/>
    <x:mergeCell ref="K4:L4"/>
    <x:mergeCell ref="K5:L5"/>
    <x:mergeCell ref="A8:L8"/>
    <x:mergeCell ref="A23:L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0" hidden="0" customWidth="1"/>
    <x:col min="4" max="4" width="27" hidden="0" customWidth="1"/>
    <x:col min="5" max="5" width="14" hidden="0" customWidth="1"/>
    <x:col min="6" max="6" width="27" hidden="0" customWidth="1"/>
    <x:col min="7" max="7" width="14" hidden="0" customWidth="1"/>
    <x:col min="8" max="8" width="27" hidden="0" customWidth="1"/>
    <x:col min="9" max="9" width="14" hidden="0" customWidth="1"/>
    <x:col min="10" max="10" width="27" hidden="0" customWidth="1"/>
    <x:col min="11" max="11" width="14" hidden="0" customWidth="1"/>
    <x:col min="12" max="12" width="27" hidden="0" customWidth="1"/>
    <x:col min="13" max="13" width="14" hidden="0" customWidth="1"/>
    <x:col min="14" max="14" width="27" hidden="0" customWidth="1"/>
    <x:col min="15" max="15" width="14" hidden="0" customWidth="1"/>
    <x:col min="16" max="16" width="27" hidden="0" customWidth="1"/>
    <x:col min="17" max="17" width="14" hidden="0" customWidth="1"/>
    <x:col min="18" max="18" width="27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</x:cols>
  <x:sheetData>
    <x:row r="1" ht="30" customHeight="1">
      <x:c r="A1" s="3" t="str">
        <x:v>K60 vs K91 vs K116 vs K138 vs K170 vs K54 vs K197 vs K176 — Elite Strength Comparison</x:v>
      </x:c>
      <x:c r="B1" s="3" t="str">
        <x:v>K60 vs K91 vs K116 vs K138 vs K170 vs K54 vs K197 vs K176 — Elite Strength Comparison</x:v>
      </x:c>
      <x:c r="C1" s="3" t="str">
        <x:v>K60 vs K91 vs K116 vs K138 vs K170 vs K54 vs K197 vs K176 — Elite Strength Comparison</x:v>
      </x:c>
      <x:c r="D1" s="3" t="str">
        <x:v>K60 vs K91 vs K116 vs K138 vs K170 vs K54 vs K197 vs K176 — Elite Strength Comparison</x:v>
      </x:c>
      <x:c r="E1" s="3" t="str">
        <x:v>K60 vs K91 vs K116 vs K138 vs K170 vs K54 vs K197 vs K176 — Elite Strength Comparison</x:v>
      </x:c>
      <x:c r="F1" s="3" t="str">
        <x:v>K60 vs K91 vs K116 vs K138 vs K170 vs K54 vs K197 vs K176 — Elite Strength Comparison</x:v>
      </x:c>
      <x:c r="G1" s="3" t="str">
        <x:v>K60 vs K91 vs K116 vs K138 vs K170 vs K54 vs K197 vs K176 — Elite Strength Comparison</x:v>
      </x:c>
      <x:c r="H1" s="3" t="str">
        <x:v>K60 vs K91 vs K116 vs K138 vs K170 vs K54 vs K197 vs K176 — Elite Strength Comparison</x:v>
      </x:c>
      <x:c r="I1" s="3" t="str">
        <x:v>K60 vs K91 vs K116 vs K138 vs K170 vs K54 vs K197 vs K176 — Elite Strength Comparison</x:v>
      </x:c>
      <x:c r="J1" s="3" t="str">
        <x:v>K60 vs K91 vs K116 vs K138 vs K170 vs K54 vs K197 vs K176 — Elite Strength Comparison</x:v>
      </x:c>
      <x:c r="K1" s="3" t="str">
        <x:v>K60 vs K91 vs K116 vs K138 vs K170 vs K54 vs K197 vs K176 — Elite Strength Comparison</x:v>
      </x:c>
      <x:c r="L1" s="3" t="str">
        <x:v>K60 vs K91 vs K116 vs K138 vs K170 vs K54 vs K197 vs K176 — Elite Strength Comparison</x:v>
      </x:c>
      <x:c r="M1" s="3" t="str">
        <x:v>K60 vs K91 vs K116 vs K138 vs K170 vs K54 vs K197 vs K176 — Elite Strength Comparison</x:v>
      </x:c>
      <x:c r="N1" s="3" t="str">
        <x:v>K60 vs K91 vs K116 vs K138 vs K170 vs K54 vs K197 vs K176 — Elite Strength Comparison</x:v>
      </x:c>
      <x:c r="O1" s="3" t="str">
        <x:v>K60 vs K91 vs K116 vs K138 vs K170 vs K54 vs K197 vs K176 — Elite Strength Comparison</x:v>
      </x:c>
      <x:c r="P1" s="3" t="str">
        <x:v>K60 vs K91 vs K116 vs K138 vs K170 vs K54 vs K197 vs K176 — Elite Strength Comparison</x:v>
      </x:c>
      <x:c r="Q1" s="3" t="str">
        <x:v>K60 vs K91 vs K116 vs K138 vs K170 vs K54 vs K197 vs K176 — Elite Strength Comparison</x:v>
      </x:c>
      <x:c r="R1" s="3" t="str">
        <x:v>K60 vs K91 vs K116 vs K138 vs K170 vs K54 vs K197 vs K176 — Elite Strength Comparison</x:v>
      </x:c>
      <x:c r="S1" s="3" t="str">
        <x:v>K60 vs K91 vs K116 vs K138 vs K170 vs K54 vs K197 vs K176 — Elite Strength Comparison</x:v>
      </x:c>
      <x:c r="T1" s="3" t="str">
        <x:v>K60 vs K91 vs K116 vs K138 vs K170 vs K54 vs K197 vs K176 — Elite Strength Comparison</x:v>
      </x:c>
      <x:c r="U1" s="3" t="str">
        <x:v>K60 vs K91 vs K116 vs K138 vs K170 vs K54 vs K197 vs K176 — Elite Strength Comparison</x:v>
      </x:c>
      <x:c r="V1" s="3" t="str">
        <x:v>K60 vs K91 vs K116 vs K138 vs K170 vs K54 vs K197 vs K176 — Elite Strength Comparison</x:v>
      </x:c>
      <x:c r="W1" s="3" t="str">
        <x:v>K60 vs K91 vs K116 vs K138 vs K170 vs K54 vs K197 vs K176 — Elite Strength Comparison</x:v>
      </x:c>
      <x:c r="X1" s="3" t="str">
        <x:v>K60 vs K91 vs K116 vs K138 vs K170 vs K54 vs K197 vs K176 — Elite Strength Comparison</x:v>
      </x:c>
      <x:c r="Y1" s="3" t="str">
        <x:v>K60 vs K91 vs K116 vs K138 vs K170 vs K54 vs K197 vs K176 — Elite Strength Comparison</x:v>
      </x:c>
      <x:c r="Z1" s="3" t="str">
        <x:v>K60 vs K91 vs K116 vs K138 vs K170 vs K54 vs K197 vs K176 — Elite Strength Comparison</x:v>
      </x:c>
      <x:c r="AA1" s="3" t="str">
        <x:v>K60 vs K91 vs K116 vs K138 vs K170 vs K54 vs K197 vs K176 — Elite Strength Comparison</x:v>
      </x:c>
      <x:c r="AB1" s="3" t="str">
        <x:v>K60 vs K91 vs K116 vs K138 vs K170 vs K54 vs K197 vs K176 — Elite Strength Comparison</x:v>
      </x:c>
      <x:c r="AC1" s="3" t="str">
        <x:v>K60 vs K91 vs K116 vs K138 vs K170 vs K54 vs K197 vs K176 — Elite Strength Comparison</x:v>
      </x:c>
      <x:c r="AD1" s="3" t="str">
        <x:v>K60 vs K91 vs K116 vs K138 vs K170 vs K54 vs K197 vs K176 — Elite Strength Comparison</x:v>
      </x:c>
      <x:c r="AE1" s="3" t="str">
        <x:v>K60 vs K91 vs K116 vs K138 vs K170 vs K54 vs K197 vs K176 — Elite Strength Comparison</x:v>
      </x:c>
      <x:c r="AF1" s="3" t="str">
        <x:v>K60 vs K91 vs K116 vs K138 vs K170 vs K54 vs K197 vs K176 — Elite Strength Comparison</x:v>
      </x:c>
      <x:c r="AG1" s="3" t="str">
        <x:v>K60 vs K91 vs K116 vs K138 vs K170 vs K54 vs K197 vs K176 — Elite Strength Comparison</x:v>
      </x:c>
      <x:c r="AH1" s="3" t="str">
        <x:v>K60 vs K91 vs K116 vs K138 vs K170 vs K54 vs K197 vs K176 — Elite Strength Comparison</x:v>
      </x:c>
      <x:c r="AI1" s="3" t="str">
        <x:v>K60 vs K91 vs K116 vs K138 vs K170 vs K54 vs K197 vs K176 — Elite Strength Comparison</x:v>
      </x:c>
      <x:c r="AJ1" s="3" t="str">
        <x:v>K60 vs K91 vs K116 vs K138 vs K170 vs K54 vs K197 vs K176 — Elite Strength Comparison</x:v>
      </x:c>
      <x:c r="AK1" s="3" t="str">
        <x:v>K60 vs K91 vs K116 vs K138 vs K170 vs K54 vs K197 vs K176 — Elite Strength Comparison</x:v>
      </x:c>
      <x:c r="AL1" s="3" t="str">
        <x:v>K60 vs K91 vs K116 vs K138 vs K170 vs K54 vs K197 vs K176 — Elite Strength Comparison</x:v>
      </x:c>
      <x:c r="AM1" s="3" t="str">
        <x:v>K60 vs K91 vs K116 vs K138 vs K170 vs K54 vs K197 vs K176 — Elite Strength Comparison</x:v>
      </x:c>
      <x:c r="AN1" s="3" t="str">
        <x:v>K60 vs K91 vs K116 vs K138 vs K170 vs K54 vs K197 vs K176 — Elite Strength Comparison</x:v>
      </x:c>
      <x:c r="AO1" s="3" t="str">
        <x:v>K60 vs K91 vs K116 vs K138 vs K170 vs K54 vs K197 vs K176 — Elite Strength Comparison</x:v>
      </x:c>
      <x:c r="AP1" s="3" t="str">
        <x:v>K60 vs K91 vs K116 vs K138 vs K170 vs K54 vs K197 vs K176 — Elite Strength Comparison</x:v>
      </x:c>
      <x:c r="AQ1" s="3" t="str">
        <x:v>K60 vs K91 vs K116 vs K138 vs K170 vs K54 vs K197 vs K176 — Elite Strength Comparison</x:v>
      </x:c>
      <x:c r="AR1" s="3" t="str">
        <x:v>K60 vs K91 vs K116 vs K138 vs K170 vs K54 vs K197 vs K176 — Elite Strength Comparison</x:v>
      </x:c>
      <x:c r="AS1" s="3" t="str">
        <x:v>K60 vs K91 vs K116 vs K138 vs K170 vs K54 vs K197 vs K176 — Elite Strength Comparison</x:v>
      </x:c>
      <x:c r="AT1" s="3" t="str">
        <x:v>K60 vs K91 vs K116 vs K138 vs K170 vs K54 vs K197 vs K176 — Elite Strength Comparison</x:v>
      </x:c>
      <x:c r="AU1" s="3" t="str">
        <x:v>K60 vs K91 vs K116 vs K138 vs K170 vs K54 vs K197 vs K176 — Elite Strength Comparison</x:v>
      </x:c>
    </x:row>
    <x:row r="2" ht="24" customHeight="1">
      <x:c r="A2" s="7" t="str">
        <x:v>Best-player ceiling, elite depth and typical-player strength across every recorded metric</x:v>
      </x:c>
      <x:c r="B2" s="7" t="str">
        <x:v>Best-player ceiling, elite depth and typical-player strength across every recorded metric</x:v>
      </x:c>
      <x:c r="C2" s="7" t="str">
        <x:v>Best-player ceiling, elite depth and typical-player strength across every recorded metric</x:v>
      </x:c>
      <x:c r="D2" s="7" t="str">
        <x:v>Best-player ceiling, elite depth and typical-player strength across every recorded metric</x:v>
      </x:c>
      <x:c r="E2" s="7" t="str">
        <x:v>Best-player ceiling, elite depth and typical-player strength across every recorded metric</x:v>
      </x:c>
      <x:c r="F2" s="7" t="str">
        <x:v>Best-player ceiling, elite depth and typical-player strength across every recorded metric</x:v>
      </x:c>
      <x:c r="G2" s="7" t="str">
        <x:v>Best-player ceiling, elite depth and typical-player strength across every recorded metric</x:v>
      </x:c>
      <x:c r="H2" s="7" t="str">
        <x:v>Best-player ceiling, elite depth and typical-player strength across every recorded metric</x:v>
      </x:c>
      <x:c r="I2" s="7" t="str">
        <x:v>Best-player ceiling, elite depth and typical-player strength across every recorded metric</x:v>
      </x:c>
      <x:c r="J2" s="7" t="str">
        <x:v>Best-player ceiling, elite depth and typical-player strength across every recorded metric</x:v>
      </x:c>
      <x:c r="K2" s="7" t="str">
        <x:v>Best-player ceiling, elite depth and typical-player strength across every recorded metric</x:v>
      </x:c>
      <x:c r="L2" s="7" t="str">
        <x:v>Best-player ceiling, elite depth and typical-player strength across every recorded metric</x:v>
      </x:c>
      <x:c r="M2" s="7" t="str">
        <x:v>Best-player ceiling, elite depth and typical-player strength across every recorded metric</x:v>
      </x:c>
      <x:c r="N2" s="7" t="str">
        <x:v>Best-player ceiling, elite depth and typical-player strength across every recorded metric</x:v>
      </x:c>
      <x:c r="O2" s="7" t="str">
        <x:v>Best-player ceiling, elite depth and typical-player strength across every recorded metric</x:v>
      </x:c>
      <x:c r="P2" s="7" t="str">
        <x:v>Best-player ceiling, elite depth and typical-player strength across every recorded metric</x:v>
      </x:c>
      <x:c r="Q2" s="7" t="str">
        <x:v>Best-player ceiling, elite depth and typical-player strength across every recorded metric</x:v>
      </x:c>
      <x:c r="R2" s="7" t="str">
        <x:v>Best-player ceiling, elite depth and typical-player strength across every recorded metric</x:v>
      </x:c>
      <x:c r="S2" s="7" t="str">
        <x:v>Best-player ceiling, elite depth and typical-player strength across every recorded metric</x:v>
      </x:c>
      <x:c r="T2" s="7" t="str">
        <x:v>Best-player ceiling, elite depth and typical-player strength across every recorded metric</x:v>
      </x:c>
      <x:c r="U2" s="7" t="str">
        <x:v>Best-player ceiling, elite depth and typical-player strength across every recorded metric</x:v>
      </x:c>
      <x:c r="V2" s="7" t="str">
        <x:v>Best-player ceiling, elite depth and typical-player strength across every recorded metric</x:v>
      </x:c>
      <x:c r="W2" s="7" t="str">
        <x:v>Best-player ceiling, elite depth and typical-player strength across every recorded metric</x:v>
      </x:c>
      <x:c r="X2" s="7" t="str">
        <x:v>Best-player ceiling, elite depth and typical-player strength across every recorded metric</x:v>
      </x:c>
      <x:c r="Y2" s="7" t="str">
        <x:v>Best-player ceiling, elite depth and typical-player strength across every recorded metric</x:v>
      </x:c>
      <x:c r="Z2" s="7" t="str">
        <x:v>Best-player ceiling, elite depth and typical-player strength across every recorded metric</x:v>
      </x:c>
      <x:c r="AA2" s="7" t="str">
        <x:v>Best-player ceiling, elite depth and typical-player strength across every recorded metric</x:v>
      </x:c>
      <x:c r="AB2" s="7" t="str">
        <x:v>Best-player ceiling, elite depth and typical-player strength across every recorded metric</x:v>
      </x:c>
      <x:c r="AC2" s="7" t="str">
        <x:v>Best-player ceiling, elite depth and typical-player strength across every recorded metric</x:v>
      </x:c>
      <x:c r="AD2" s="7" t="str">
        <x:v>Best-player ceiling, elite depth and typical-player strength across every recorded metric</x:v>
      </x:c>
      <x:c r="AE2" s="7" t="str">
        <x:v>Best-player ceiling, elite depth and typical-player strength across every recorded metric</x:v>
      </x:c>
      <x:c r="AF2" s="7" t="str">
        <x:v>Best-player ceiling, elite depth and typical-player strength across every recorded metric</x:v>
      </x:c>
      <x:c r="AG2" s="7" t="str">
        <x:v>Best-player ceiling, elite depth and typical-player strength across every recorded metric</x:v>
      </x:c>
      <x:c r="AH2" s="7" t="str">
        <x:v>Best-player ceiling, elite depth and typical-player strength across every recorded metric</x:v>
      </x:c>
      <x:c r="AI2" s="7" t="str">
        <x:v>Best-player ceiling, elite depth and typical-player strength across every recorded metric</x:v>
      </x:c>
      <x:c r="AJ2" s="7" t="str">
        <x:v>Best-player ceiling, elite depth and typical-player strength across every recorded metric</x:v>
      </x:c>
      <x:c r="AK2" s="7" t="str">
        <x:v>Best-player ceiling, elite depth and typical-player strength across every recorded metric</x:v>
      </x:c>
      <x:c r="AL2" s="7" t="str">
        <x:v>Best-player ceiling, elite depth and typical-player strength across every recorded metric</x:v>
      </x:c>
      <x:c r="AM2" s="7" t="str">
        <x:v>Best-player ceiling, elite depth and typical-player strength across every recorded metric</x:v>
      </x:c>
      <x:c r="AN2" s="7" t="str">
        <x:v>Best-player ceiling, elite depth and typical-player strength across every recorded metric</x:v>
      </x:c>
      <x:c r="AO2" s="7" t="str">
        <x:v>Best-player ceiling, elite depth and typical-player strength across every recorded metric</x:v>
      </x:c>
      <x:c r="AP2" s="7" t="str">
        <x:v>Best-player ceiling, elite depth and typical-player strength across every recorded metric</x:v>
      </x:c>
      <x:c r="AQ2" s="7" t="str">
        <x:v>Best-player ceiling, elite depth and typical-player strength across every recorded metric</x:v>
      </x:c>
      <x:c r="AR2" s="7" t="str">
        <x:v>Best-player ceiling, elite depth and typical-player strength across every recorded metric</x:v>
      </x:c>
      <x:c r="AS2" s="7" t="str">
        <x:v>Best-player ceiling, elite depth and typical-player strength across every recorded metric</x:v>
      </x:c>
      <x:c r="AT2" s="7" t="str">
        <x:v>Best-player ceiling, elite depth and typical-player strength across every recorded metric</x:v>
      </x:c>
      <x:c r="AU2" s="7" t="str">
        <x:v>Best-player ceiling, elite depth and typical-player strength across every recorded metric</x:v>
      </x:c>
    </x:row>
    <x:row r="4">
      <x:c r="A4" s="45" t="str">
        <x:v>Best-player metric wins</x:v>
      </x:c>
      <x:c r="B4" s="45" t="str">
        <x:v>Best-player metric wins</x:v>
      </x:c>
      <x:c r="C4" s="45" t="str">
        <x:v>Best-player metric wins</x:v>
      </x:c>
      <x:c r="D4" s="45" t="str">
        <x:v>Best-player metric wins</x:v>
      </x:c>
      <x:c r="E4" s="45" t="str">
        <x:v>Best-player metric wins</x:v>
      </x:c>
      <x:c r="F4" s="45" t="str">
        <x:v>Best-player metric wins</x:v>
      </x:c>
      <x:c r="G4" s="45" t="str">
        <x:v>Best-player metric wins</x:v>
      </x:c>
      <x:c r="H4" s="45" t="str">
        <x:v>Best-player metric wins</x:v>
      </x:c>
      <x:c r="I4" s="45" t="str">
        <x:v>Best-player metric wins</x:v>
      </x:c>
      <x:c r="K4" s="45" t="str">
        <x:v>Elite Top 3 metric wins</x:v>
      </x:c>
      <x:c r="L4" s="45" t="str">
        <x:v>Elite Top 3 metric wins</x:v>
      </x:c>
      <x:c r="M4" s="45" t="str">
        <x:v>Elite Top 3 metric wins</x:v>
      </x:c>
      <x:c r="N4" s="45" t="str">
        <x:v>Elite Top 3 metric wins</x:v>
      </x:c>
      <x:c r="O4" s="45" t="str">
        <x:v>Elite Top 3 metric wins</x:v>
      </x:c>
      <x:c r="P4" s="45" t="str">
        <x:v>Elite Top 3 metric wins</x:v>
      </x:c>
      <x:c r="Q4" s="45" t="str">
        <x:v>Elite Top 3 metric wins</x:v>
      </x:c>
      <x:c r="R4" s="45" t="str">
        <x:v>Elite Top 3 metric wins</x:v>
      </x:c>
      <x:c r="S4" s="45" t="str">
        <x:v>Elite Top 3 metric wins</x:v>
      </x:c>
      <x:c r="U4" s="45" t="str">
        <x:v>Top 5 metric wins</x:v>
      </x:c>
      <x:c r="V4" s="45" t="str">
        <x:v>Top 5 metric wins</x:v>
      </x:c>
      <x:c r="W4" s="45" t="str">
        <x:v>Top 5 metric wins</x:v>
      </x:c>
      <x:c r="X4" s="45" t="str">
        <x:v>Top 5 metric wins</x:v>
      </x:c>
      <x:c r="Y4" s="45" t="str">
        <x:v>Top 5 metric wins</x:v>
      </x:c>
      <x:c r="Z4" s="45" t="str">
        <x:v>Top 5 metric wins</x:v>
      </x:c>
      <x:c r="AA4" s="45" t="str">
        <x:v>Top 5 metric wins</x:v>
      </x:c>
      <x:c r="AB4" s="45" t="str">
        <x:v>Top 5 metric wins</x:v>
      </x:c>
      <x:c r="AC4" s="45" t="str">
        <x:v>Top 5 metric wins</x:v>
      </x:c>
      <x:c r="AE4" s="45" t="str">
        <x:v>Median metric wins</x:v>
      </x:c>
      <x:c r="AF4" s="45" t="str">
        <x:v>Median metric wins</x:v>
      </x:c>
      <x:c r="AG4" s="45" t="str">
        <x:v>Median metric wins</x:v>
      </x:c>
      <x:c r="AH4" s="45" t="str">
        <x:v>Median metric wins</x:v>
      </x:c>
      <x:c r="AI4" s="45" t="str">
        <x:v>Median metric wins</x:v>
      </x:c>
      <x:c r="AJ4" s="45" t="str">
        <x:v>Median metric wins</x:v>
      </x:c>
      <x:c r="AK4" s="45" t="str">
        <x:v>Median metric wins</x:v>
      </x:c>
      <x:c r="AL4" s="45" t="str">
        <x:v>Median metric wins</x:v>
      </x:c>
      <x:c r="AM4" s="45" t="str">
        <x:v>Median metric wins</x:v>
      </x:c>
    </x:row>
    <x:row r="5" ht="18" customHeight="1">
      <x:c r="A5" s="42" t="str">
        <x:v>K60</x:v>
      </x:c>
      <x:c r="B5" s="42" t="str">
        <x:v>K91</x:v>
      </x:c>
      <x:c r="C5" s="42" t="str">
        <x:v>K116</x:v>
      </x:c>
      <x:c r="D5" s="42" t="str">
        <x:v>K138</x:v>
      </x:c>
      <x:c r="E5" s="42" t="str">
        <x:v>K170</x:v>
      </x:c>
      <x:c r="F5" s="42" t="str">
        <x:v>K54</x:v>
      </x:c>
      <x:c r="G5" s="42" t="str">
        <x:v>K197</x:v>
      </x:c>
      <x:c r="H5" s="42" t="str">
        <x:v>K176</x:v>
      </x:c>
      <x:c r="I5" s="42" t="str">
        <x:v>Ties</x:v>
      </x:c>
      <x:c r="K5" s="42" t="str">
        <x:v>K60</x:v>
      </x:c>
      <x:c r="L5" s="42" t="str">
        <x:v>K91</x:v>
      </x:c>
      <x:c r="M5" s="42" t="str">
        <x:v>K116</x:v>
      </x:c>
      <x:c r="N5" s="42" t="str">
        <x:v>K138</x:v>
      </x:c>
      <x:c r="O5" s="42" t="str">
        <x:v>K170</x:v>
      </x:c>
      <x:c r="P5" s="42" t="str">
        <x:v>K54</x:v>
      </x:c>
      <x:c r="Q5" s="42" t="str">
        <x:v>K197</x:v>
      </x:c>
      <x:c r="R5" s="42" t="str">
        <x:v>K176</x:v>
      </x:c>
      <x:c r="S5" s="42" t="str">
        <x:v>Ties</x:v>
      </x:c>
      <x:c r="U5" s="42" t="str">
        <x:v>K60</x:v>
      </x:c>
      <x:c r="V5" s="42" t="str">
        <x:v>K91</x:v>
      </x:c>
      <x:c r="W5" s="42" t="str">
        <x:v>K116</x:v>
      </x:c>
      <x:c r="X5" s="42" t="str">
        <x:v>K138</x:v>
      </x:c>
      <x:c r="Y5" s="42" t="str">
        <x:v>K170</x:v>
      </x:c>
      <x:c r="Z5" s="42" t="str">
        <x:v>K54</x:v>
      </x:c>
      <x:c r="AA5" s="42" t="str">
        <x:v>K197</x:v>
      </x:c>
      <x:c r="AB5" s="42" t="str">
        <x:v>K176</x:v>
      </x:c>
      <x:c r="AC5" s="42" t="str">
        <x:v>Ties</x:v>
      </x:c>
      <x:c r="AE5" s="42" t="str">
        <x:v>K60</x:v>
      </x:c>
      <x:c r="AF5" s="42" t="str">
        <x:v>K91</x:v>
      </x:c>
      <x:c r="AG5" s="42" t="str">
        <x:v>K116</x:v>
      </x:c>
      <x:c r="AH5" s="42" t="str">
        <x:v>K138</x:v>
      </x:c>
      <x:c r="AI5" s="42" t="str">
        <x:v>K170</x:v>
      </x:c>
      <x:c r="AJ5" s="42" t="str">
        <x:v>K54</x:v>
      </x:c>
      <x:c r="AK5" s="42" t="str">
        <x:v>K197</x:v>
      </x:c>
      <x:c r="AL5" s="42" t="str">
        <x:v>K176</x:v>
      </x:c>
      <x:c r="AM5" s="42" t="str">
        <x:v>Ties</x:v>
      </x:c>
    </x:row>
    <x:row r="6">
      <x:c r="A6" s="177" t="n">
        <x:v>0</x:v>
      </x:c>
      <x:c r="B6" s="177" t="n">
        <x:v>3</x:v>
      </x:c>
      <x:c r="C6" s="177" t="n">
        <x:v>0</x:v>
      </x:c>
      <x:c r="D6" s="177" t="n">
        <x:v>0</x:v>
      </x:c>
      <x:c r="E6" s="177" t="n">
        <x:v>2</x:v>
      </x:c>
      <x:c r="F6" s="177" t="n">
        <x:v>6</x:v>
      </x:c>
      <x:c r="G6" s="177" t="n">
        <x:v>8</x:v>
      </x:c>
      <x:c r="H6" s="177" t="n">
        <x:v>1</x:v>
      </x:c>
      <x:c r="I6" s="177" t="n">
        <x:v>24</x:v>
      </x:c>
      <x:c r="J6"/>
      <x:c r="K6" s="177" t="n">
        <x:v>0</x:v>
      </x:c>
      <x:c r="L6" s="177" t="n">
        <x:v>1</x:v>
      </x:c>
      <x:c r="M6" s="177" t="n">
        <x:v>2</x:v>
      </x:c>
      <x:c r="N6" s="177" t="n">
        <x:v>0</x:v>
      </x:c>
      <x:c r="O6" s="177" t="n">
        <x:v>1</x:v>
      </x:c>
      <x:c r="P6" s="177" t="n">
        <x:v>23</x:v>
      </x:c>
      <x:c r="Q6" s="177" t="n">
        <x:v>5</x:v>
      </x:c>
      <x:c r="R6" s="177" t="n">
        <x:v>1</x:v>
      </x:c>
      <x:c r="S6" s="177" t="n">
        <x:v>11</x:v>
      </x:c>
      <x:c r="T6"/>
      <x:c r="U6" s="177" t="n">
        <x:v>3</x:v>
      </x:c>
      <x:c r="V6" s="177" t="n">
        <x:v>0</x:v>
      </x:c>
      <x:c r="W6" s="177" t="n">
        <x:v>4</x:v>
      </x:c>
      <x:c r="X6" s="177" t="n">
        <x:v>0</x:v>
      </x:c>
      <x:c r="Y6" s="177" t="n">
        <x:v>2</x:v>
      </x:c>
      <x:c r="Z6" s="177" t="n">
        <x:v>22</x:v>
      </x:c>
      <x:c r="AA6" s="177" t="n">
        <x:v>4</x:v>
      </x:c>
      <x:c r="AB6" s="177" t="n">
        <x:v>2</x:v>
      </x:c>
      <x:c r="AC6" s="177" t="n">
        <x:v>7</x:v>
      </x:c>
      <x:c r="AD6"/>
      <x:c r="AE6" s="177" t="n">
        <x:v>2</x:v>
      </x:c>
      <x:c r="AF6" s="177" t="n">
        <x:v>0</x:v>
      </x:c>
      <x:c r="AG6" s="177" t="n">
        <x:v>1</x:v>
      </x:c>
      <x:c r="AH6" s="177" t="n">
        <x:v>0</x:v>
      </x:c>
      <x:c r="AI6" s="177" t="n">
        <x:v>2</x:v>
      </x:c>
      <x:c r="AJ6" s="177" t="n">
        <x:v>21</x:v>
      </x:c>
      <x:c r="AK6" s="177" t="n">
        <x:v>2</x:v>
      </x:c>
      <x:c r="AL6" s="177" t="n">
        <x:v>3</x:v>
      </x:c>
      <x:c r="AM6" s="177" t="n">
        <x:v>13</x:v>
      </x:c>
      <x:c r="AN6"/>
    </x:row>
    <x:row r="9">
      <x:c r="A9" s="117" t="str">
        <x:v>Method: Elite Top 3 weights the strongest player 50%, second 30% and third 20%; Top 5 is an equal average. For Damage Received and Guards block damage, lower/more-negative is better. Blanks are excluded.</x:v>
      </x:c>
      <x:c r="B9" s="117" t="str">
        <x:v>Method: Elite Top 3 weights the strongest player 50%, second 30% and third 20%; Top 5 is an equal average. For Damage Received and Guards block damage, lower/more-negative is better. Blanks are excluded.</x:v>
      </x:c>
      <x:c r="C9" s="117" t="str">
        <x:v>Method: Elite Top 3 weights the strongest player 50%, second 30% and third 20%; Top 5 is an equal average. For Damage Received and Guards block damage, lower/more-negative is better. Blanks are excluded.</x:v>
      </x:c>
      <x:c r="D9" s="117" t="str">
        <x:v>Method: Elite Top 3 weights the strongest player 50%, second 30% and third 20%; Top 5 is an equal average. For Damage Received and Guards block damage, lower/more-negative is better. Blanks are excluded.</x:v>
      </x:c>
      <x:c r="E9" s="117" t="str">
        <x:v>Method: Elite Top 3 weights the strongest player 50%, second 30% and third 20%; Top 5 is an equal average. For Damage Received and Guards block damage, lower/more-negative is better. Blanks are excluded.</x:v>
      </x:c>
      <x:c r="F9" s="117" t="str">
        <x:v>Method: Elite Top 3 weights the strongest player 50%, second 30% and third 20%; Top 5 is an equal average. For Damage Received and Guards block damage, lower/more-negative is better. Blanks are excluded.</x:v>
      </x:c>
      <x:c r="G9" s="117" t="str">
        <x:v>Method: Elite Top 3 weights the strongest player 50%, second 30% and third 20%; Top 5 is an equal average. For Damage Received and Guards block damage, lower/more-negative is better. Blanks are excluded.</x:v>
      </x:c>
      <x:c r="H9" s="117" t="str">
        <x:v>Method: Elite Top 3 weights the strongest player 50%, second 30% and third 20%; Top 5 is an equal average. For Damage Received and Guards block damage, lower/more-negative is better. Blanks are excluded.</x:v>
      </x:c>
      <x:c r="I9" s="117" t="str">
        <x:v>Method: Elite Top 3 weights the strongest player 50%, second 30% and third 20%; Top 5 is an equal average. For Damage Received and Guards block damage, lower/more-negative is better. Blanks are excluded.</x:v>
      </x:c>
      <x:c r="J9" s="117" t="str">
        <x:v>Method: Elite Top 3 weights the strongest player 50%, second 30% and third 20%; Top 5 is an equal average. For Damage Received and Guards block damage, lower/more-negative is better. Blanks are excluded.</x:v>
      </x:c>
      <x:c r="K9" s="117" t="str">
        <x:v>Method: Elite Top 3 weights the strongest player 50%, second 30% and third 20%; Top 5 is an equal average. For Damage Received and Guards block damage, lower/more-negative is better. Blanks are excluded.</x:v>
      </x:c>
      <x:c r="L9" s="117" t="str">
        <x:v>Method: Elite Top 3 weights the strongest player 50%, second 30% and third 20%; Top 5 is an equal average. For Damage Received and Guards block damage, lower/more-negative is better. Blanks are excluded.</x:v>
      </x:c>
      <x:c r="M9" s="117" t="str">
        <x:v>Method: Elite Top 3 weights the strongest player 50%, second 30% and third 20%; Top 5 is an equal average. For Damage Received and Guards block damage, lower/more-negative is better. Blanks are excluded.</x:v>
      </x:c>
      <x:c r="N9" s="117" t="str">
        <x:v>Method: Elite Top 3 weights the strongest player 50%, second 30% and third 20%; Top 5 is an equal average. For Damage Received and Guards block damage, lower/more-negative is better. Blanks are excluded.</x:v>
      </x:c>
      <x:c r="O9" s="117" t="str">
        <x:v>Method: Elite Top 3 weights the strongest player 50%, second 30% and third 20%; Top 5 is an equal average. For Damage Received and Guards block damage, lower/more-negative is better. Blanks are excluded.</x:v>
      </x:c>
      <x:c r="P9" s="117" t="str">
        <x:v>Method: Elite Top 3 weights the strongest player 50%, second 30% and third 20%; Top 5 is an equal average. For Damage Received and Guards block damage, lower/more-negative is better. Blanks are excluded.</x:v>
      </x:c>
      <x:c r="Q9" s="117" t="str">
        <x:v>Method: Elite Top 3 weights the strongest player 50%, second 30% and third 20%; Top 5 is an equal average. For Damage Received and Guards block damage, lower/more-negative is better. Blanks are excluded.</x:v>
      </x:c>
      <x:c r="R9" s="117" t="str">
        <x:v>Method: Elite Top 3 weights the strongest player 50%, second 30% and third 20%; Top 5 is an equal average. For Damage Received and Guards block damage, lower/more-negative is better. Blanks are excluded.</x:v>
      </x:c>
      <x:c r="S9" s="117" t="str">
        <x:v>Method: Elite Top 3 weights the strongest player 50%, second 30% and third 20%; Top 5 is an equal average. For Damage Received and Guards block damage, lower/more-negative is better. Blanks are excluded.</x:v>
      </x:c>
      <x:c r="T9" s="117" t="str">
        <x:v>Method: Elite Top 3 weights the strongest player 50%, second 30% and third 20%; Top 5 is an equal average. For Damage Received and Guards block damage, lower/more-negative is better. Blanks are excluded.</x:v>
      </x:c>
      <x:c r="U9" s="117" t="str">
        <x:v>Method: Elite Top 3 weights the strongest player 50%, second 30% and third 20%; Top 5 is an equal average. For Damage Received and Guards block damage, lower/more-negative is better. Blanks are excluded.</x:v>
      </x:c>
      <x:c r="V9" s="117" t="str">
        <x:v>Method: Elite Top 3 weights the strongest player 50%, second 30% and third 20%; Top 5 is an equal average. For Damage Received and Guards block damage, lower/more-negative is better. Blanks are excluded.</x:v>
      </x:c>
      <x:c r="W9" s="117" t="str">
        <x:v>Method: Elite Top 3 weights the strongest player 50%, second 30% and third 20%; Top 5 is an equal average. For Damage Received and Guards block damage, lower/more-negative is better. Blanks are excluded.</x:v>
      </x:c>
      <x:c r="X9" s="117" t="str">
        <x:v>Method: Elite Top 3 weights the strongest player 50%, second 30% and third 20%; Top 5 is an equal average. For Damage Received and Guards block damage, lower/more-negative is better. Blanks are excluded.</x:v>
      </x:c>
      <x:c r="Y9" s="117" t="str">
        <x:v>Method: Elite Top 3 weights the strongest player 50%, second 30% and third 20%; Top 5 is an equal average. For Damage Received and Guards block damage, lower/more-negative is better. Blanks are excluded.</x:v>
      </x:c>
      <x:c r="Z9" s="117" t="str">
        <x:v>Method: Elite Top 3 weights the strongest player 50%, second 30% and third 20%; Top 5 is an equal average. For Damage Received and Guards block damage, lower/more-negative is better. Blanks are excluded.</x:v>
      </x:c>
      <x:c r="AA9" s="117" t="str">
        <x:v>Method: Elite Top 3 weights the strongest player 50%, second 30% and third 20%; Top 5 is an equal average. For Damage Received and Guards block damage, lower/more-negative is better. Blanks are excluded.</x:v>
      </x:c>
      <x:c r="AB9" s="117" t="str">
        <x:v>Method: Elite Top 3 weights the strongest player 50%, second 30% and third 20%; Top 5 is an equal average. For Damage Received and Guards block damage, lower/more-negative is better. Blanks are excluded.</x:v>
      </x:c>
      <x:c r="AC9" s="117" t="str">
        <x:v>Method: Elite Top 3 weights the strongest player 50%, second 30% and third 20%; Top 5 is an equal average. For Damage Received and Guards block damage, lower/more-negative is better. Blanks are excluded.</x:v>
      </x:c>
      <x:c r="AD9" s="117" t="str">
        <x:v>Method: Elite Top 3 weights the strongest player 50%, second 30% and third 20%; Top 5 is an equal average. For Damage Received and Guards block damage, lower/more-negative is better. Blanks are excluded.</x:v>
      </x:c>
      <x:c r="AE9" s="117" t="str">
        <x:v>Method: Elite Top 3 weights the strongest player 50%, second 30% and third 20%; Top 5 is an equal average. For Damage Received and Guards block damage, lower/more-negative is better. Blanks are excluded.</x:v>
      </x:c>
      <x:c r="AF9" s="117" t="str">
        <x:v>Method: Elite Top 3 weights the strongest player 50%, second 30% and third 20%; Top 5 is an equal average. For Damage Received and Guards block damage, lower/more-negative is better. Blanks are excluded.</x:v>
      </x:c>
      <x:c r="AG9" s="117" t="str">
        <x:v>Method: Elite Top 3 weights the strongest player 50%, second 30% and third 20%; Top 5 is an equal average. For Damage Received and Guards block damage, lower/more-negative is better. Blanks are excluded.</x:v>
      </x:c>
      <x:c r="AH9" s="117" t="str">
        <x:v>Method: Elite Top 3 weights the strongest player 50%, second 30% and third 20%; Top 5 is an equal average. For Damage Received and Guards block damage, lower/more-negative is better. Blanks are excluded.</x:v>
      </x:c>
      <x:c r="AI9" s="117" t="str">
        <x:v>Method: Elite Top 3 weights the strongest player 50%, second 30% and third 20%; Top 5 is an equal average. For Damage Received and Guards block damage, lower/more-negative is better. Blanks are excluded.</x:v>
      </x:c>
      <x:c r="AJ9" s="117" t="str">
        <x:v>Method: Elite Top 3 weights the strongest player 50%, second 30% and third 20%; Top 5 is an equal average. For Damage Received and Guards block damage, lower/more-negative is better. Blanks are excluded.</x:v>
      </x:c>
      <x:c r="AK9" s="117" t="str">
        <x:v>Method: Elite Top 3 weights the strongest player 50%, second 30% and third 20%; Top 5 is an equal average. For Damage Received and Guards block damage, lower/more-negative is better. Blanks are excluded.</x:v>
      </x:c>
      <x:c r="AL9" s="117" t="str">
        <x:v>Method: Elite Top 3 weights the strongest player 50%, second 30% and third 20%; Top 5 is an equal average. For Damage Received and Guards block damage, lower/more-negative is better. Blanks are excluded.</x:v>
      </x:c>
      <x:c r="AM9" s="117" t="str">
        <x:v>Method: Elite Top 3 weights the strongest player 50%, second 30% and third 20%; Top 5 is an equal average. For Damage Received and Guards block damage, lower/more-negative is better. Blanks are excluded.</x:v>
      </x:c>
      <x:c r="AN9" s="117" t="str">
        <x:v>Method: Elite Top 3 weights the strongest player 50%, second 30% and third 20%; Top 5 is an equal average. For Damage Received and Guards block damage, lower/more-negative is better. Blanks are excluded.</x:v>
      </x:c>
      <x:c r="AO9" s="117" t="str">
        <x:v>Method: Elite Top 3 weights the strongest player 50%, second 30% and third 20%; Top 5 is an equal average. For Damage Received and Guards block damage, lower/more-negative is better. Blanks are excluded.</x:v>
      </x:c>
      <x:c r="AP9" s="117" t="str">
        <x:v>Method: Elite Top 3 weights the strongest player 50%, second 30% and third 20%; Top 5 is an equal average. For Damage Received and Guards block damage, lower/more-negative is better. Blanks are excluded.</x:v>
      </x:c>
      <x:c r="AQ9" s="117" t="str">
        <x:v>Method: Elite Top 3 weights the strongest player 50%, second 30% and third 20%; Top 5 is an equal average. For Damage Received and Guards block damage, lower/more-negative is better. Blanks are excluded.</x:v>
      </x:c>
      <x:c r="AR9" s="117" t="str">
        <x:v>Method: Elite Top 3 weights the strongest player 50%, second 30% and third 20%; Top 5 is an equal average. For Damage Received and Guards block damage, lower/more-negative is better. Blanks are excluded.</x:v>
      </x:c>
      <x:c r="AS9" s="117" t="str">
        <x:v>Method: Elite Top 3 weights the strongest player 50%, second 30% and third 20%; Top 5 is an equal average. For Damage Received and Guards block damage, lower/more-negative is better. Blanks are excluded.</x:v>
      </x:c>
      <x:c r="AT9" s="117" t="str">
        <x:v>Method: Elite Top 3 weights the strongest player 50%, second 30% and third 20%; Top 5 is an equal average. For Damage Received and Guards block damage, lower/more-negative is better. Blanks are excluded.</x:v>
      </x:c>
      <x:c r="AU9" s="117" t="str">
        <x:v>Method: Elite Top 3 weights the strongest player 50%, second 30% and third 20%; Top 5 is an equal average. For Damage Received and Guards block damage, lower/more-negative is better. Blanks are excluded.</x:v>
      </x:c>
    </x:row>
    <x:row r="11" ht="34" customHeight="1">
      <x:c r="A11" s="42" t="str">
        <x:v>Category</x:v>
      </x:c>
      <x:c r="B11" s="42" t="str">
        <x:v>Metric</x:v>
      </x:c>
      <x:c r="C11" s="42" t="str">
        <x:v>Better</x:v>
      </x:c>
      <x:c r="D11" s="42" t="str">
        <x:v>K60 Best Player</x:v>
      </x:c>
      <x:c r="E11" s="42" t="str">
        <x:v>K60 Best</x:v>
      </x:c>
      <x:c r="F11" s="42" t="str">
        <x:v>K91 Best Player</x:v>
      </x:c>
      <x:c r="G11" s="42" t="str">
        <x:v>K91 Best</x:v>
      </x:c>
      <x:c r="H11" s="42" t="str">
        <x:v>K116 Best Player</x:v>
      </x:c>
      <x:c r="I11" s="42" t="str">
        <x:v>K116 Best</x:v>
      </x:c>
      <x:c r="J11" s="42" t="str">
        <x:v>K138 Best Player</x:v>
      </x:c>
      <x:c r="K11" s="42" t="str">
        <x:v>K138 Best</x:v>
      </x:c>
      <x:c r="L11" s="42" t="str">
        <x:v>K170 Best Player</x:v>
      </x:c>
      <x:c r="M11" s="42" t="str">
        <x:v>K170 Best</x:v>
      </x:c>
      <x:c r="N11" s="42" t="str">
        <x:v>K54 Best Player</x:v>
      </x:c>
      <x:c r="O11" s="42" t="str">
        <x:v>K54 Best</x:v>
      </x:c>
      <x:c r="P11" s="42" t="str">
        <x:v>K197 Best Player</x:v>
      </x:c>
      <x:c r="Q11" s="42" t="str">
        <x:v>K197 Best</x:v>
      </x:c>
      <x:c r="R11" s="42" t="str">
        <x:v>K176 Best Player</x:v>
      </x:c>
      <x:c r="S11" s="42" t="str">
        <x:v>K176 Best</x:v>
      </x:c>
      <x:c r="T11" s="42" t="str">
        <x:v>Best Leader</x:v>
      </x:c>
      <x:c r="U11" s="42" t="str">
        <x:v>K60 Elite Top 3</x:v>
      </x:c>
      <x:c r="V11" s="42" t="str">
        <x:v>K91 Elite Top 3</x:v>
      </x:c>
      <x:c r="W11" s="42" t="str">
        <x:v>K116 Elite Top 3</x:v>
      </x:c>
      <x:c r="X11" s="42" t="str">
        <x:v>K138 Elite Top 3</x:v>
      </x:c>
      <x:c r="Y11" s="42" t="str">
        <x:v>K170 Elite Top 3</x:v>
      </x:c>
      <x:c r="Z11" s="42" t="str">
        <x:v>K54 Elite Top 3</x:v>
      </x:c>
      <x:c r="AA11" s="42" t="str">
        <x:v>K197 Elite Top 3</x:v>
      </x:c>
      <x:c r="AB11" s="42" t="str">
        <x:v>K176 Elite Top 3</x:v>
      </x:c>
      <x:c r="AC11" s="42" t="str">
        <x:v>Elite Leader</x:v>
      </x:c>
      <x:c r="AD11" s="42" t="str">
        <x:v>K60 Top 5 Avg</x:v>
      </x:c>
      <x:c r="AE11" s="42" t="str">
        <x:v>K91 Top 5 Avg</x:v>
      </x:c>
      <x:c r="AF11" s="42" t="str">
        <x:v>K116 Top 5 Avg</x:v>
      </x:c>
      <x:c r="AG11" s="42" t="str">
        <x:v>K138 Top 5 Avg</x:v>
      </x:c>
      <x:c r="AH11" s="42" t="str">
        <x:v>K170 Top 5 Avg</x:v>
      </x:c>
      <x:c r="AI11" s="42" t="str">
        <x:v>K54 Top 5 Avg</x:v>
      </x:c>
      <x:c r="AJ11" s="42" t="str">
        <x:v>K197 Top 5 Avg</x:v>
      </x:c>
      <x:c r="AK11" s="42" t="str">
        <x:v>K176 Top 5 Avg</x:v>
      </x:c>
      <x:c r="AL11" s="42" t="str">
        <x:v>Top 5 Leader</x:v>
      </x:c>
      <x:c r="AM11" s="42" t="str">
        <x:v>K60 Median</x:v>
      </x:c>
      <x:c r="AN11" s="42" t="str">
        <x:v>K91 Median</x:v>
      </x:c>
      <x:c r="AO11" s="42" t="str">
        <x:v>K116 Median</x:v>
      </x:c>
      <x:c r="AP11" s="42" t="str">
        <x:v>K138 Median</x:v>
      </x:c>
      <x:c r="AQ11" s="42" t="str">
        <x:v>K170 Median</x:v>
      </x:c>
      <x:c r="AR11" s="42" t="str">
        <x:v>K54 Median</x:v>
      </x:c>
      <x:c r="AS11" s="42" t="str">
        <x:v>K197 Median</x:v>
      </x:c>
      <x:c r="AT11" s="42" t="str">
        <x:v>K176 Median</x:v>
      </x:c>
      <x:c r="AU11" s="42" t="str">
        <x:v>Median Leader</x:v>
      </x:c>
    </x:row>
    <x:row r="12" ht="18" customHeight="1">
      <x:c r="A12" s="43" t="str">
        <x:v>General</x:v>
      </x:c>
      <x:c r="B12" s="43" t="str">
        <x:v>Troop Attack</x:v>
      </x:c>
      <x:c r="C12" s="43" t="str">
        <x:v>Higher</x:v>
      </x:c>
      <x:c r="D12" s="43" t="str">
        <x:v>InFlames</x:v>
      </x:c>
      <x:c r="E12" s="44" t="n">
        <x:v>4.356</x:v>
      </x:c>
      <x:c r="F12" s="43" t="str">
        <x:v>•Pain•</x:v>
      </x:c>
      <x:c r="G12" s="44" t="n">
        <x:v>4.541</x:v>
      </x:c>
      <x:c r="H12" s="43" t="str">
        <x:v>Jesse</x:v>
      </x:c>
      <x:c r="I12" s="44" t="n">
        <x:v>4.891</x:v>
      </x:c>
      <x:c r="J12" s="43" t="str">
        <x:v>(RaW)Critykal</x:v>
      </x:c>
      <x:c r="K12" s="44" t="n">
        <x:v>4.1785</x:v>
      </x:c>
      <x:c r="L12" s="43" t="str">
        <x:v>(AOT)SanSW°</x:v>
      </x:c>
      <x:c r="M12" s="44" t="n">
        <x:v>3.9871</x:v>
      </x:c>
      <x:c r="N12" s="43" t="str">
        <x:v>爽歪歪</x:v>
      </x:c>
      <x:c r="O12" s="44" t="n">
        <x:v>5.125900000000001</x:v>
      </x:c>
      <x:c r="P12" s="43" t="str">
        <x:v>Хлебушек</x:v>
      </x:c>
      <x:c r="Q12" s="44" t="n">
        <x:v>5.141</x:v>
      </x:c>
      <x:c r="R12" s="43" t="str">
        <x:v>苟拓通天肆意妄为</x:v>
      </x:c>
      <x:c r="S12" s="44" t="n">
        <x:v>4.5396</x:v>
      </x:c>
      <x:c r="T12" s="60" t="str">
        <x:v>K197</x:v>
      </x:c>
      <x:c r="U12" s="44" t="n">
        <x:v>4.3178</x:v>
      </x:c>
      <x:c r="V12" s="44" t="n">
        <x:v>4.15308</x:v>
      </x:c>
      <x:c r="W12" s="44" t="n">
        <x:v>4.5845</x:v>
      </x:c>
      <x:c r="X12" s="44" t="n">
        <x:v>3.9799999999999995</x:v>
      </x:c>
      <x:c r="Y12" s="44" t="n">
        <x:v>3.8506299999999998</x:v>
      </x:c>
      <x:c r="Z12" s="44" t="n">
        <x:v>4.9259</x:v>
      </x:c>
      <x:c r="AA12" s="44" t="n">
        <x:v>4.50775</x:v>
      </x:c>
      <x:c r="AB12" s="44" t="n">
        <x:v>4.31405</x:v>
      </x:c>
      <x:c r="AC12" s="54" t="str">
        <x:v>K54</x:v>
      </x:c>
      <x:c r="AD12" s="44" t="n">
        <x:v>4.120659999999999</x:v>
      </x:c>
      <x:c r="AE12" s="44" t="n">
        <x:v>3.87466</x:v>
      </x:c>
      <x:c r="AF12" s="44" t="n">
        <x:v>4.0925</x:v>
      </x:c>
      <x:c r="AG12" s="44" t="n">
        <x:v>3.8106999999999998</x:v>
      </x:c>
      <x:c r="AH12" s="44" t="n">
        <x:v>3.7064399999999997</x:v>
      </x:c>
      <x:c r="AI12" s="44" t="n">
        <x:v>4.5034</x:v>
      </x:c>
      <x:c r="AJ12" s="44" t="n">
        <x:v>4.05044</x:v>
      </x:c>
      <x:c r="AK12" s="44" t="n">
        <x:v>4.07922</x:v>
      </x:c>
      <x:c r="AL12" s="54" t="str">
        <x:v>K54</x:v>
      </x:c>
      <x:c r="AM12" s="44" t="n">
        <x:v>3.2285</x:v>
      </x:c>
      <x:c r="AN12" s="44" t="n">
        <x:v>3.4545999999999997</x:v>
      </x:c>
      <x:c r="AO12" s="44" t="n">
        <x:v>3.21725</x:v>
      </x:c>
      <x:c r="AP12" s="44" t="n">
        <x:v>3.0821</x:v>
      </x:c>
      <x:c r="AQ12" s="44" t="n">
        <x:v>3.1985</x:v>
      </x:c>
      <x:c r="AR12" s="44" t="n">
        <x:v>3.7434</x:v>
      </x:c>
      <x:c r="AS12" s="44" t="n">
        <x:v>3.4471</x:v>
      </x:c>
      <x:c r="AT12" s="44" t="n">
        <x:v>3.2822500000000003</x:v>
      </x:c>
      <x:c r="AU12" s="54" t="str">
        <x:v>K54</x:v>
      </x:c>
    </x:row>
    <x:row r="13" ht="18" customHeight="1">
      <x:c r="A13" s="43" t="str">
        <x:v>General</x:v>
      </x:c>
      <x:c r="B13" s="43" t="str">
        <x:v>Troop Health</x:v>
      </x:c>
      <x:c r="C13" s="43" t="str">
        <x:v>Higher</x:v>
      </x:c>
      <x:c r="D13" s="43" t="str">
        <x:v>InFlames</x:v>
      </x:c>
      <x:c r="E13" s="44" t="n">
        <x:v>3.3735</x:v>
      </x:c>
      <x:c r="F13" s="43" t="str">
        <x:v>•Pain•</x:v>
      </x:c>
      <x:c r="G13" s="44" t="n">
        <x:v>4.141</x:v>
      </x:c>
      <x:c r="H13" s="43" t="str">
        <x:v>光之使者</x:v>
      </x:c>
      <x:c r="I13" s="44" t="n">
        <x:v>4.061</x:v>
      </x:c>
      <x:c r="J13" s="43" t="str">
        <x:v>(RaW)༺博卡Ajax༻</x:v>
      </x:c>
      <x:c r="K13" s="44" t="n">
        <x:v>3.3235</x:v>
      </x:c>
      <x:c r="L13" s="43" t="str">
        <x:v>(AOT)MG·Yu</x:v>
      </x:c>
      <x:c r="M13" s="44" t="n">
        <x:v>3.2485</x:v>
      </x:c>
      <x:c r="N13" s="43" t="str">
        <x:v>爽歪歪</x:v>
      </x:c>
      <x:c r="O13" s="44" t="n">
        <x:v>4.5259</x:v>
      </x:c>
      <x:c r="P13" s="43" t="str">
        <x:v>Хлебушек</x:v>
      </x:c>
      <x:c r="Q13" s="44" t="n">
        <x:v>4.941</x:v>
      </x:c>
      <x:c r="R13" s="43" t="str">
        <x:v>苟拓通天肆意妄为</x:v>
      </x:c>
      <x:c r="S13" s="44" t="n">
        <x:v>4.0185</x:v>
      </x:c>
      <x:c r="T13" s="60" t="str">
        <x:v>K197</x:v>
      </x:c>
      <x:c r="U13" s="44" t="n">
        <x:v>3.26325</x:v>
      </x:c>
      <x:c r="V13" s="44" t="n">
        <x:v>3.62225</x:v>
      </x:c>
      <x:c r="W13" s="44" t="n">
        <x:v>3.95475</x:v>
      </x:c>
      <x:c r="X13" s="44" t="n">
        <x:v>3.2779800000000003</x:v>
      </x:c>
      <x:c r="Y13" s="44" t="n">
        <x:v>3.1740000000000004</x:v>
      </x:c>
      <x:c r="Z13" s="44" t="n">
        <x:v>4.3559</x:v>
      </x:c>
      <x:c r="AA13" s="44" t="n">
        <x:v>4.3515</x:v>
      </x:c>
      <x:c r="AB13" s="44" t="n">
        <x:v>3.8170000000000006</x:v>
      </x:c>
      <x:c r="AC13" s="54" t="str">
        <x:v>K54</x:v>
      </x:c>
      <x:c r="AD13" s="44" t="n">
        <x:v>3.097</x:v>
      </x:c>
      <x:c r="AE13" s="44" t="n">
        <x:v>3.1835000000000004</x:v>
      </x:c>
      <x:c r="AF13" s="44" t="n">
        <x:v>3.6085000000000003</x:v>
      </x:c>
      <x:c r="AG13" s="44" t="n">
        <x:v>3.1659800000000002</x:v>
      </x:c>
      <x:c r="AH13" s="44" t="n">
        <x:v>3.0635000000000003</x:v>
      </x:c>
      <x:c r="AI13" s="44" t="n">
        <x:v>4.0684</x:v>
      </x:c>
      <x:c r="AJ13" s="44" t="n">
        <x:v>3.5755000000000003</x:v>
      </x:c>
      <x:c r="AK13" s="44" t="n">
        <x:v>3.6405000000000003</x:v>
      </x:c>
      <x:c r="AL13" s="54" t="str">
        <x:v>K54</x:v>
      </x:c>
      <x:c r="AM13" s="44" t="n">
        <x:v>2.716</x:v>
      </x:c>
      <x:c r="AN13" s="44" t="n">
        <x:v>2.4785</x:v>
      </x:c>
      <x:c r="AO13" s="44" t="n">
        <x:v>2.7485</x:v>
      </x:c>
      <x:c r="AP13" s="44" t="n">
        <x:v>2.581</x:v>
      </x:c>
      <x:c r="AQ13" s="44" t="n">
        <x:v>2.611</x:v>
      </x:c>
      <x:c r="AR13" s="44" t="n">
        <x:v>3.3284</x:v>
      </x:c>
      <x:c r="AS13" s="44" t="n">
        <x:v>2.467</x:v>
      </x:c>
      <x:c r="AT13" s="44" t="n">
        <x:v>2.816</x:v>
      </x:c>
      <x:c r="AU13" s="54" t="str">
        <x:v>K54</x:v>
      </x:c>
    </x:row>
    <x:row r="14" ht="18" customHeight="1">
      <x:c r="A14" s="43" t="str">
        <x:v>General</x:v>
      </x:c>
      <x:c r="B14" s="43" t="str">
        <x:v>Troop Defense</x:v>
      </x:c>
      <x:c r="C14" s="43" t="str">
        <x:v>Higher</x:v>
      </x:c>
      <x:c r="D14" s="43" t="str">
        <x:v>CerialKiller</x:v>
      </x:c>
      <x:c r="E14" s="44" t="n">
        <x:v>4.191</x:v>
      </x:c>
      <x:c r="F14" s="43" t="str">
        <x:v>•Pain•</x:v>
      </x:c>
      <x:c r="G14" s="44" t="n">
        <x:v>4.2410000000000005</x:v>
      </x:c>
      <x:c r="H14" s="43" t="str">
        <x:v>汰需尚青</x:v>
      </x:c>
      <x:c r="I14" s="44" t="n">
        <x:v>4.3285</x:v>
      </x:c>
      <x:c r="J14" s="43" t="str">
        <x:v>(RaW)ϟCrozyϟ</x:v>
      </x:c>
      <x:c r="K14" s="44" t="n">
        <x:v>3.5334</x:v>
      </x:c>
      <x:c r="L14" s="43" t="str">
        <x:v>(AOT)SanSW°</x:v>
      </x:c>
      <x:c r="M14" s="44" t="n">
        <x:v>3.8085</x:v>
      </x:c>
      <x:c r="N14" s="43" t="str">
        <x:v>爽歪歪</x:v>
      </x:c>
      <x:c r="O14" s="44" t="n">
        <x:v>5.0759</x:v>
      </x:c>
      <x:c r="P14" s="43" t="str">
        <x:v>Хлебушек</x:v>
      </x:c>
      <x:c r="Q14" s="44" t="n">
        <x:v>5.141</x:v>
      </x:c>
      <x:c r="R14" s="43" t="str">
        <x:v>苟拓通天肆意妄为</x:v>
      </x:c>
      <x:c r="S14" s="44" t="n">
        <x:v>4.5285</x:v>
      </x:c>
      <x:c r="T14" s="60" t="str">
        <x:v>K197</x:v>
      </x:c>
      <x:c r="U14" s="44" t="n">
        <x:v>3.9012499999999997</x:v>
      </x:c>
      <x:c r="V14" s="44" t="n">
        <x:v>3.89825</x:v>
      </x:c>
      <x:c r="W14" s="44" t="n">
        <x:v>4.21325</x:v>
      </x:c>
      <x:c r="X14" s="44" t="n">
        <x:v>3.46645</x:v>
      </x:c>
      <x:c r="Y14" s="44" t="n">
        <x:v>3.68725</x:v>
      </x:c>
      <x:c r="Z14" s="44" t="n">
        <x:v>4.690899999999999</x:v>
      </x:c>
      <x:c r="AA14" s="44" t="n">
        <x:v>4.3785</x:v>
      </x:c>
      <x:c r="AB14" s="44" t="n">
        <x:v>4.2925</x:v>
      </x:c>
      <x:c r="AC14" s="54" t="str">
        <x:v>K54</x:v>
      </x:c>
      <x:c r="AD14" s="44" t="n">
        <x:v>3.5215000000000005</x:v>
      </x:c>
      <x:c r="AE14" s="44" t="n">
        <x:v>3.5295</x:v>
      </x:c>
      <x:c r="AF14" s="44" t="n">
        <x:v>3.91</x:v>
      </x:c>
      <x:c r="AG14" s="44" t="n">
        <x:v>3.35298</x:v>
      </x:c>
      <x:c r="AH14" s="44" t="n">
        <x:v>3.493</x:v>
      </x:c>
      <x:c r="AI14" s="44" t="n">
        <x:v>4.2009</x:v>
      </x:c>
      <x:c r="AJ14" s="44" t="n">
        <x:v>3.7515</x:v>
      </x:c>
      <x:c r="AK14" s="44" t="n">
        <x:v>4.009500000000001</x:v>
      </x:c>
      <x:c r="AL14" s="54" t="str">
        <x:v>K54</x:v>
      </x:c>
      <x:c r="AM14" s="44" t="n">
        <x:v>2.981</x:v>
      </x:c>
      <x:c r="AN14" s="44" t="n">
        <x:v>2.781</x:v>
      </x:c>
      <x:c r="AO14" s="44" t="n">
        <x:v>3.0410000000000004</x:v>
      </x:c>
      <x:c r="AP14" s="44" t="n">
        <x:v>2.866</x:v>
      </x:c>
      <x:c r="AQ14" s="44" t="n">
        <x:v>2.891</x:v>
      </x:c>
      <x:c r="AR14" s="44" t="n">
        <x:v>3.4433999999999996</x:v>
      </x:c>
      <x:c r="AS14" s="44" t="n">
        <x:v>2.891</x:v>
      </x:c>
      <x:c r="AT14" s="44" t="n">
        <x:v>3.0835000000000004</x:v>
      </x:c>
      <x:c r="AU14" s="54" t="str">
        <x:v>K54</x:v>
      </x:c>
    </x:row>
    <x:row r="15" ht="18" customHeight="1">
      <x:c r="A15" s="43" t="str">
        <x:v>General</x:v>
      </x:c>
      <x:c r="B15" s="43" t="str">
        <x:v>Troop Damage</x:v>
      </x:c>
      <x:c r="C15" s="43" t="str">
        <x:v>Higher</x:v>
      </x:c>
      <x:c r="D15" s="43" t="str">
        <x:v>InFlames</x:v>
      </x:c>
      <x:c r="E15" s="44" t="n">
        <x:v>0.475</x:v>
      </x:c>
      <x:c r="F15" s="43" t="str">
        <x:v>•Pain•</x:v>
      </x:c>
      <x:c r="G15" s="44" t="n">
        <x:v>0.475</x:v>
      </x:c>
      <x:c r="H15" s="43" t="str">
        <x:v>Jesse</x:v>
      </x:c>
      <x:c r="I15" s="44" t="n">
        <x:v>0.475</x:v>
      </x:c>
      <x:c r="J15" s="43" t="str">
        <x:v>(RaW)༺博卡Ajax༻ (+10 tied)</x:v>
      </x:c>
      <x:c r="K15" s="44" t="n">
        <x:v>0.4375</x:v>
      </x:c>
      <x:c r="L15" s="43" t="str">
        <x:v>(AOT)SanSW° (+12 tied)</x:v>
      </x:c>
      <x:c r="M15" s="44" t="n">
        <x:v>0.4375</x:v>
      </x:c>
      <x:c r="N15" s="43" t="str">
        <x:v>爽歪歪 (+2 tied)</x:v>
      </x:c>
      <x:c r="O15" s="44" t="n">
        <x:v>0.475</x:v>
      </x:c>
      <x:c r="P15" s="43" t="str">
        <x:v>Хлебушек</x:v>
      </x:c>
      <x:c r="Q15" s="44" t="n">
        <x:v>0.475</x:v>
      </x:c>
      <x:c r="R15" s="43" t="str">
        <x:v>苟拓通天肆意妄为 (+4 tied)</x:v>
      </x:c>
      <x:c r="S15" s="44" t="n">
        <x:v>0.4375</x:v>
      </x:c>
      <x:c r="T15" s="180" t="str">
        <x:v>Tie</x:v>
      </x:c>
      <x:c r="U15" s="44" t="n">
        <x:v>0.45625000000000004</x:v>
      </x:c>
      <x:c r="V15" s="44" t="n">
        <x:v>0.45625000000000004</x:v>
      </x:c>
      <x:c r="W15" s="44" t="n">
        <x:v>0.45625000000000004</x:v>
      </x:c>
      <x:c r="X15" s="44" t="n">
        <x:v>0.4375</x:v>
      </x:c>
      <x:c r="Y15" s="44" t="n">
        <x:v>0.4375</x:v>
      </x:c>
      <x:c r="Z15" s="44" t="n">
        <x:v>0.475</x:v>
      </x:c>
      <x:c r="AA15" s="44" t="n">
        <x:v>0.45625000000000004</x:v>
      </x:c>
      <x:c r="AB15" s="44" t="n">
        <x:v>0.4375</x:v>
      </x:c>
      <x:c r="AC15" s="54" t="str">
        <x:v>K54</x:v>
      </x:c>
      <x:c r="AD15" s="44" t="n">
        <x:v>0.445</x:v>
      </x:c>
      <x:c r="AE15" s="44" t="n">
        <x:v>0.43600000000000005</x:v>
      </x:c>
      <x:c r="AF15" s="44" t="n">
        <x:v>0.4405</x:v>
      </x:c>
      <x:c r="AG15" s="44" t="n">
        <x:v>0.4375</x:v>
      </x:c>
      <x:c r="AH15" s="44" t="n">
        <x:v>0.4375</x:v>
      </x:c>
      <x:c r="AI15" s="44" t="n">
        <x:v>0.45999999999999996</x:v>
      </x:c>
      <x:c r="AJ15" s="44" t="n">
        <x:v>0.445</x:v>
      </x:c>
      <x:c r="AK15" s="44" t="n">
        <x:v>0.4375</x:v>
      </x:c>
      <x:c r="AL15" s="54" t="str">
        <x:v>K54</x:v>
      </x:c>
      <x:c r="AM15" s="44" t="n">
        <x:v>0.4375</x:v>
      </x:c>
      <x:c r="AN15" s="44" t="n">
        <x:v>0.415</x:v>
      </x:c>
      <x:c r="AO15" s="44" t="n">
        <x:v>0.415</x:v>
      </x:c>
      <x:c r="AP15" s="44" t="n">
        <x:v>0.415</x:v>
      </x:c>
      <x:c r="AQ15" s="44" t="n">
        <x:v>0.4375</x:v>
      </x:c>
      <x:c r="AR15" s="44" t="n">
        <x:v>0.4375</x:v>
      </x:c>
      <x:c r="AS15" s="44" t="n">
        <x:v>0.415</x:v>
      </x:c>
      <x:c r="AT15" s="44" t="n">
        <x:v>0.415</x:v>
      </x:c>
      <x:c r="AU15" s="180" t="str">
        <x:v>Tie</x:v>
      </x:c>
    </x:row>
    <x:row r="16" ht="18" customHeight="1">
      <x:c r="A16" s="43" t="str">
        <x:v>General</x:v>
      </x:c>
      <x:c r="B16" s="43" t="str">
        <x:v>Troop Damage Received</x:v>
      </x:c>
      <x:c r="C16" s="43" t="str">
        <x:v>Lower</x:v>
      </x:c>
      <x:c r="D16" s="43" t="str">
        <x:v>CerialKiller (+2 tied)</x:v>
      </x:c>
      <x:c r="E16" s="44" t="n">
        <x:v>-0.475</x:v>
      </x:c>
      <x:c r="F16" s="43" t="str">
        <x:v>•Pain• (+1 tied)</x:v>
      </x:c>
      <x:c r="G16" s="44" t="n">
        <x:v>-0.475</x:v>
      </x:c>
      <x:c r="H16" s="43" t="str">
        <x:v>Jesse (+2 tied)</x:v>
      </x:c>
      <x:c r="I16" s="44" t="n">
        <x:v>-0.4375</x:v>
      </x:c>
      <x:c r="J16" s="43" t="str">
        <x:v>(RaW)༺博卡Ajax༻ (+4 tied)</x:v>
      </x:c>
      <x:c r="K16" s="44" t="n">
        <x:v>-0.4375</x:v>
      </x:c>
      <x:c r="L16" s="43" t="str">
        <x:v>(AOT)SanSW° (+5 tied)</x:v>
      </x:c>
      <x:c r="M16" s="44" t="n">
        <x:v>-0.4375</x:v>
      </x:c>
      <x:c r="N16" s="43" t="str">
        <x:v>爽歪歪 (+2 tied)</x:v>
      </x:c>
      <x:c r="O16" s="44" t="n">
        <x:v>-0.475</x:v>
      </x:c>
      <x:c r="P16" s="43" t="str">
        <x:v>Хлебушек (+1 tied)</x:v>
      </x:c>
      <x:c r="Q16" s="44" t="n">
        <x:v>-0.475</x:v>
      </x:c>
      <x:c r="R16" s="43" t="str">
        <x:v>苟拓通天肆意妄为 (+2 tied)</x:v>
      </x:c>
      <x:c r="S16" s="44" t="n">
        <x:v>-0.4375</x:v>
      </x:c>
      <x:c r="T16" s="180" t="str">
        <x:v>Tie</x:v>
      </x:c>
      <x:c r="U16" s="44" t="n">
        <x:v>-0.475</x:v>
      </x:c>
      <x:c r="V16" s="44" t="n">
        <x:v>-0.4675</x:v>
      </x:c>
      <x:c r="W16" s="44" t="n">
        <x:v>-0.4375</x:v>
      </x:c>
      <x:c r="X16" s="44" t="n">
        <x:v>-0.4375</x:v>
      </x:c>
      <x:c r="Y16" s="44" t="n">
        <x:v>-0.4375</x:v>
      </x:c>
      <x:c r="Z16" s="44" t="n">
        <x:v>-0.475</x:v>
      </x:c>
      <x:c r="AA16" s="44" t="n">
        <x:v>-0.4675</x:v>
      </x:c>
      <x:c r="AB16" s="44" t="n">
        <x:v>-0.4375</x:v>
      </x:c>
      <x:c r="AC16" s="180" t="str">
        <x:v>Tie</x:v>
      </x:c>
      <x:c r="AD16" s="44" t="n">
        <x:v>-0.45999999999999996</x:v>
      </x:c>
      <x:c r="AE16" s="44" t="n">
        <x:v>-0.44349999999999995</x:v>
      </x:c>
      <x:c r="AF16" s="44" t="n">
        <x:v>-0.4285</x:v>
      </x:c>
      <x:c r="AG16" s="44" t="n">
        <x:v>-0.4375</x:v>
      </x:c>
      <x:c r="AH16" s="44" t="n">
        <x:v>-0.4375</x:v>
      </x:c>
      <x:c r="AI16" s="44" t="n">
        <x:v>-0.45999999999999996</x:v>
      </x:c>
      <x:c r="AJ16" s="44" t="n">
        <x:v>-0.4525</x:v>
      </x:c>
      <x:c r="AK16" s="44" t="n">
        <x:v>-0.4285</x:v>
      </x:c>
      <x:c r="AL16" s="180" t="str">
        <x:v>Tie</x:v>
      </x:c>
      <x:c r="AM16" s="44" t="n">
        <x:v>-0.415</x:v>
      </x:c>
      <x:c r="AN16" s="44" t="n">
        <x:v>-0.415</x:v>
      </x:c>
      <x:c r="AO16" s="44" t="n">
        <x:v>-0.415</x:v>
      </x:c>
      <x:c r="AP16" s="44" t="n">
        <x:v>-0.415</x:v>
      </x:c>
      <x:c r="AQ16" s="44" t="n">
        <x:v>-0.415</x:v>
      </x:c>
      <x:c r="AR16" s="44" t="n">
        <x:v>-0.415</x:v>
      </x:c>
      <x:c r="AS16" s="44" t="n">
        <x:v>-0.415</x:v>
      </x:c>
      <x:c r="AT16" s="44" t="n">
        <x:v>-0.415</x:v>
      </x:c>
      <x:c r="AU16" s="180" t="str">
        <x:v>Tie</x:v>
      </x:c>
    </x:row>
    <x:row r="17" ht="18" customHeight="1">
      <x:c r="A17" s="43" t="str">
        <x:v>General</x:v>
      </x:c>
      <x:c r="B17" s="43" t="str">
        <x:v>Troop Attack Blessing</x:v>
      </x:c>
      <x:c r="C17" s="43" t="str">
        <x:v>Higher</x:v>
      </x:c>
      <x:c r="D17" s="43" t="str">
        <x:v>Crixus (+9 tied)</x:v>
      </x:c>
      <x:c r="E17" s="44" t="n">
        <x:v>6</x:v>
      </x:c>
      <x:c r="F17" s="43" t="str">
        <x:v>TÜRK 81</x:v>
      </x:c>
      <x:c r="G17" s="44" t="n">
        <x:v>6.01</x:v>
      </x:c>
      <x:c r="H17" s="43" t="str">
        <x:v>懒洋洋爱看腿</x:v>
      </x:c>
      <x:c r="I17" s="44" t="n">
        <x:v>6.01</x:v>
      </x:c>
      <x:c r="J17" s="43" t="str">
        <x:v>(RaW)༺博卡Ajax༻ (+5 tied)</x:v>
      </x:c>
      <x:c r="K17" s="44" t="n">
        <x:v>6</x:v>
      </x:c>
      <x:c r="L17" s="43" t="str">
        <x:v>(AOT)MG·Yu</x:v>
      </x:c>
      <x:c r="M17" s="44" t="n">
        <x:v>6</x:v>
      </x:c>
      <x:c r="N17" s="43" t="str">
        <x:v>爽歪歪 (+6 tied)</x:v>
      </x:c>
      <x:c r="O17" s="44" t="n">
        <x:v>6</x:v>
      </x:c>
      <x:c r="P17" s="43" t="str">
        <x:v>Loong (+1 tied)</x:v>
      </x:c>
      <x:c r="Q17" s="44" t="n">
        <x:v>6.01</x:v>
      </x:c>
      <x:c r="R17" s="43" t="str">
        <x:v>苟拓通天肆意妄为 (+1 tied)</x:v>
      </x:c>
      <x:c r="S17" s="44" t="n">
        <x:v>6</x:v>
      </x:c>
      <x:c r="T17" s="180" t="str">
        <x:v>Tie</x:v>
      </x:c>
      <x:c r="U17" s="44" t="n">
        <x:v>6</x:v>
      </x:c>
      <x:c r="V17" s="44" t="n">
        <x:v>6.005</x:v>
      </x:c>
      <x:c r="W17" s="44" t="n">
        <x:v>6.005</x:v>
      </x:c>
      <x:c r="X17" s="44" t="n">
        <x:v>6</x:v>
      </x:c>
      <x:c r="Y17" s="44" t="n">
        <x:v>5.83592</x:v>
      </x:c>
      <x:c r="Z17" s="44" t="n">
        <x:v>6</x:v>
      </x:c>
      <x:c r="AA17" s="44" t="n">
        <x:v>6.008</x:v>
      </x:c>
      <x:c r="AB17" s="44" t="n">
        <x:v>5.97896</x:v>
      </x:c>
      <x:c r="AC17" s="60" t="str">
        <x:v>K197</x:v>
      </x:c>
      <x:c r="AD17" s="44" t="n">
        <x:v>6</x:v>
      </x:c>
      <x:c r="AE17" s="44" t="n">
        <x:v>6.002</x:v>
      </x:c>
      <x:c r="AF17" s="44" t="n">
        <x:v>6.002</x:v>
      </x:c>
      <x:c r="AG17" s="44" t="n">
        <x:v>6</x:v>
      </x:c>
      <x:c r="AH17" s="44" t="n">
        <x:v>5.61648</x:v>
      </x:c>
      <x:c r="AI17" s="44" t="n">
        <x:v>6</x:v>
      </x:c>
      <x:c r="AJ17" s="44" t="n">
        <x:v>6.004</x:v>
      </x:c>
      <x:c r="AK17" s="44" t="n">
        <x:v>5.7612</x:v>
      </x:c>
      <x:c r="AL17" s="60" t="str">
        <x:v>K197</x:v>
      </x:c>
      <x:c r="AM17" s="44" t="n">
        <x:v>5.7552</x:v>
      </x:c>
      <x:c r="AN17" s="44" t="n">
        <x:v>5.1525</x:v>
      </x:c>
      <x:c r="AO17" s="44" t="n">
        <x:v>4.487</x:v>
      </x:c>
      <x:c r="AP17" s="44" t="n">
        <x:v>4.4288</x:v>
      </x:c>
      <x:c r="AQ17" s="44" t="n">
        <x:v>4.2332</x:v>
      </x:c>
      <x:c r="AR17" s="44" t="n">
        <x:v>6</x:v>
      </x:c>
      <x:c r="AS17" s="44" t="n">
        <x:v>5.2408</x:v>
      </x:c>
      <x:c r="AT17" s="44" t="n">
        <x:v>4.391</x:v>
      </x:c>
      <x:c r="AU17" s="54" t="str">
        <x:v>K54</x:v>
      </x:c>
    </x:row>
    <x:row r="18" ht="18" customHeight="1">
      <x:c r="A18" s="43" t="str">
        <x:v>General</x:v>
      </x:c>
      <x:c r="B18" s="43" t="str">
        <x:v>Troop Protection Blessing</x:v>
      </x:c>
      <x:c r="C18" s="43" t="str">
        <x:v>Higher</x:v>
      </x:c>
      <x:c r="D18" s="43" t="str">
        <x:v>CerialKiller (+1 tied)</x:v>
      </x:c>
      <x:c r="E18" s="44" t="n">
        <x:v>6</x:v>
      </x:c>
      <x:c r="F18" s="43" t="str">
        <x:v>•Pain•</x:v>
      </x:c>
      <x:c r="G18" s="44" t="n">
        <x:v>6</x:v>
      </x:c>
      <x:c r="H18" s="43" t="str">
        <x:v>Jesse (+1 tied)</x:v>
      </x:c>
      <x:c r="I18" s="44" t="n">
        <x:v>6.01</x:v>
      </x:c>
      <x:c r="J18" s="43" t="str">
        <x:v>(RaW)ϟCrozyϟ</x:v>
      </x:c>
      <x:c r="K18" s="44" t="n">
        <x:v>6</x:v>
      </x:c>
      <x:c r="L18" s="43" t="str">
        <x:v>(AOT)SanSW° (+1 tied)</x:v>
      </x:c>
      <x:c r="M18" s="44" t="n">
        <x:v>6</x:v>
      </x:c>
      <x:c r="N18" s="43" t="str">
        <x:v>爽歪歪 (+3 tied)</x:v>
      </x:c>
      <x:c r="O18" s="44" t="n">
        <x:v>6</x:v>
      </x:c>
      <x:c r="P18" s="43" t="str">
        <x:v>Хлебушек</x:v>
      </x:c>
      <x:c r="Q18" s="44" t="n">
        <x:v>6</x:v>
      </x:c>
      <x:c r="R18" s="43" t="str">
        <x:v>三月的心思你别猜</x:v>
      </x:c>
      <x:c r="S18" s="44" t="n">
        <x:v>6.01</x:v>
      </x:c>
      <x:c r="T18" s="180" t="str">
        <x:v>Tie</x:v>
      </x:c>
      <x:c r="U18" s="44" t="n">
        <x:v>5.8848</x:v>
      </x:c>
      <x:c r="V18" s="44" t="n">
        <x:v>4.79892</x:v>
      </x:c>
      <x:c r="W18" s="44" t="n">
        <x:v>6.008</x:v>
      </x:c>
      <x:c r="X18" s="44" t="n">
        <x:v>5.4107199999999995</x:v>
      </x:c>
      <x:c r="Y18" s="44" t="n">
        <x:v>5.8738399999999995</x:v>
      </x:c>
      <x:c r="Z18" s="44" t="n">
        <x:v>6</x:v>
      </x:c>
      <x:c r="AA18" s="44" t="n">
        <x:v>4.7171199999999995</x:v>
      </x:c>
      <x:c r="AB18" s="44" t="n">
        <x:v>5.88364</x:v>
      </x:c>
      <x:c r="AC18" s="57" t="str">
        <x:v>K116</x:v>
      </x:c>
      <x:c r="AD18" s="44" t="n">
        <x:v>5.20904</x:v>
      </x:c>
      <x:c r="AE18" s="44" t="n">
        <x:v>3.44544</x:v>
      </x:c>
      <x:c r="AF18" s="44" t="n">
        <x:v>5.5594399999999995</x:v>
      </x:c>
      <x:c r="AG18" s="44" t="n">
        <x:v>4.814559999999999</x:v>
      </x:c>
      <x:c r="AH18" s="44" t="n">
        <x:v>5.1855199999999995</x:v>
      </x:c>
      <x:c r="AI18" s="44" t="n">
        <x:v>5.7854399999999995</x:v>
      </x:c>
      <x:c r="AJ18" s="44" t="n">
        <x:v>3.4716800000000005</x:v>
      </x:c>
      <x:c r="AK18" s="44" t="n">
        <x:v>5.3720799999999995</x:v>
      </x:c>
      <x:c r="AL18" s="54" t="str">
        <x:v>K54</x:v>
      </x:c>
      <x:c r="AM18" s="44" t="n">
        <x:v>2.8352</x:v>
      </x:c>
      <x:c r="AN18" s="44" t="n">
        <x:v>1.3284</x:v>
      </x:c>
      <x:c r="AO18" s="44" t="n">
        <x:v>3.0418000000000003</x:v>
      </x:c>
      <x:c r="AP18" s="44" t="n">
        <x:v>2.7136</x:v>
      </x:c>
      <x:c r="AQ18" s="44" t="n">
        <x:v>3.0612</x:v>
      </x:c>
      <x:c r="AR18" s="44" t="n">
        <x:v>4.376</x:v>
      </x:c>
      <x:c r="AS18" s="44" t="n">
        <x:v>1.2795999999999998</x:v>
      </x:c>
      <x:c r="AT18" s="44" t="n">
        <x:v>3.2594000000000003</x:v>
      </x:c>
      <x:c r="AU18" s="54" t="str">
        <x:v>K54</x:v>
      </x:c>
    </x:row>
    <x:row r="19" ht="18" customHeight="1">
      <x:c r="A19" s="43" t="str">
        <x:v>Guards / Infantry</x:v>
      </x:c>
      <x:c r="B19" s="43" t="str">
        <x:v>Infantry Attack</x:v>
      </x:c>
      <x:c r="C19" s="43" t="str">
        <x:v>Higher</x:v>
      </x:c>
      <x:c r="D19" s="43" t="str">
        <x:v>CerialKiller</x:v>
      </x:c>
      <x:c r="E19" s="44" t="n">
        <x:v>20.347</x:v>
      </x:c>
      <x:c r="F19" s="43" t="str">
        <x:v>•Pain•</x:v>
      </x:c>
      <x:c r="G19" s="44" t="n">
        <x:v>17.132</x:v>
      </x:c>
      <x:c r="H19" s="43" t="str">
        <x:v>汰需尚青</x:v>
      </x:c>
      <x:c r="I19" s="44" t="n">
        <x:v>21.267</x:v>
      </x:c>
      <x:c r="J19" s="43" t="str">
        <x:v>(RaW)༺Frankie༻</x:v>
      </x:c>
      <x:c r="K19" s="44" t="n">
        <x:v>16.65</x:v>
      </x:c>
      <x:c r="L19" s="43" t="str">
        <x:v>(AOT)VAB999</x:v>
      </x:c>
      <x:c r="M19" s="44" t="n">
        <x:v>16.827</x:v>
      </x:c>
      <x:c r="N19" s="43" t="str">
        <x:v>爽歪歪</x:v>
      </x:c>
      <x:c r="O19" s="44" t="n">
        <x:v>26.206999999999997</x:v>
      </x:c>
      <x:c r="P19" s="43" t="str">
        <x:v>Хлебушек</x:v>
      </x:c>
      <x:c r="Q19" s="44" t="n">
        <x:v>24.622</x:v>
      </x:c>
      <x:c r="R19" s="43" t="str">
        <x:v>苟拓通天肆意妄为</x:v>
      </x:c>
      <x:c r="S19" s="44" t="n">
        <x:v>22.701999999999998</x:v>
      </x:c>
      <x:c r="T19" s="54" t="str">
        <x:v>K54</x:v>
      </x:c>
      <x:c r="U19" s="44" t="n">
        <x:v>19.394000000000002</x:v>
      </x:c>
      <x:c r="V19" s="44" t="n">
        <x:v>16.3615</x:v>
      </x:c>
      <x:c r="W19" s="44" t="n">
        <x:v>19.964</x:v>
      </x:c>
      <x:c r="X19" s="44" t="n">
        <x:v>16.191</x:v>
      </x:c>
      <x:c r="Y19" s="44" t="n">
        <x:v>15.674100000000001</x:v>
      </x:c>
      <x:c r="Z19" s="44" t="n">
        <x:v>22.4229</x:v>
      </x:c>
      <x:c r="AA19" s="44" t="n">
        <x:v>20.9969</x:v>
      </x:c>
      <x:c r="AB19" s="44" t="n">
        <x:v>19.4345</x:v>
      </x:c>
      <x:c r="AC19" s="54" t="str">
        <x:v>K54</x:v>
      </x:c>
      <x:c r="AD19" s="44" t="n">
        <x:v>17.6184</x:v>
      </x:c>
      <x:c r="AE19" s="44" t="n">
        <x:v>14.465399999999999</x:v>
      </x:c>
      <x:c r="AF19" s="44" t="n">
        <x:v>18.152</x:v>
      </x:c>
      <x:c r="AG19" s="44" t="n">
        <x:v>14.898000000000001</x:v>
      </x:c>
      <x:c r="AH19" s="44" t="n">
        <x:v>14.2132</x:v>
      </x:c>
      <x:c r="AI19" s="44" t="n">
        <x:v>17.558600000000002</x:v>
      </x:c>
      <x:c r="AJ19" s="44" t="n">
        <x:v>18.0038</x:v>
      </x:c>
      <x:c r="AK19" s="44" t="n">
        <x:v>16.415799999999997</x:v>
      </x:c>
      <x:c r="AL19" s="57" t="str">
        <x:v>K116</x:v>
      </x:c>
      <x:c r="AM19" s="44" t="n">
        <x:v>11.51</x:v>
      </x:c>
      <x:c r="AN19" s="44" t="n">
        <x:v>8.8695</x:v>
      </x:c>
      <x:c r="AO19" s="44" t="n">
        <x:v>12.563500000000001</x:v>
      </x:c>
      <x:c r="AP19" s="44" t="n">
        <x:v>10.695</x:v>
      </x:c>
      <x:c r="AQ19" s="44" t="n">
        <x:v>8.692</x:v>
      </x:c>
      <x:c r="AR19" s="44" t="n">
        <x:v>12.187000000000001</x:v>
      </x:c>
      <x:c r="AS19" s="44" t="n">
        <x:v>9.165</x:v>
      </x:c>
      <x:c r="AT19" s="44" t="n">
        <x:v>11.7375</x:v>
      </x:c>
      <x:c r="AU19" s="57" t="str">
        <x:v>K116</x:v>
      </x:c>
    </x:row>
    <x:row r="20" ht="18" customHeight="1">
      <x:c r="A20" s="43" t="str">
        <x:v>Guards / Infantry</x:v>
      </x:c>
      <x:c r="B20" s="43" t="str">
        <x:v>Infantry Health</x:v>
      </x:c>
      <x:c r="C20" s="43" t="str">
        <x:v>Higher</x:v>
      </x:c>
      <x:c r="D20" s="43" t="str">
        <x:v>CerialKiller</x:v>
      </x:c>
      <x:c r="E20" s="44" t="n">
        <x:v>26.6192</x:v>
      </x:c>
      <x:c r="F20" s="43" t="str">
        <x:v>•Pain•</x:v>
      </x:c>
      <x:c r="G20" s="44" t="n">
        <x:v>26.45</x:v>
      </x:c>
      <x:c r="H20" s="43" t="str">
        <x:v>Jesse</x:v>
      </x:c>
      <x:c r="I20" s="44" t="n">
        <x:v>26.39</x:v>
      </x:c>
      <x:c r="J20" s="43" t="str">
        <x:v>(RaW)ϟCrozyϟ</x:v>
      </x:c>
      <x:c r="K20" s="44" t="n">
        <x:v>25.6092</x:v>
      </x:c>
      <x:c r="L20" s="43" t="str">
        <x:v>(AOT)SanSW°</x:v>
      </x:c>
      <x:c r="M20" s="44" t="n">
        <x:v>28.4105</x:v>
      </x:c>
      <x:c r="N20" s="43" t="str">
        <x:v>爽歪歪</x:v>
      </x:c>
      <x:c r="O20" s="44" t="n">
        <x:v>29.84</x:v>
      </x:c>
      <x:c r="P20" s="43" t="str">
        <x:v>Хлебушек</x:v>
      </x:c>
      <x:c r="Q20" s="44" t="n">
        <x:v>29.695</x:v>
      </x:c>
      <x:c r="R20" s="43" t="str">
        <x:v>苟拓通天肆意妄为</x:v>
      </x:c>
      <x:c r="S20" s="44" t="n">
        <x:v>26.561300000000003</x:v>
      </x:c>
      <x:c r="T20" s="54" t="str">
        <x:v>K54</x:v>
      </x:c>
      <x:c r="U20" s="44" t="n">
        <x:v>23.987199999999998</x:v>
      </x:c>
      <x:c r="V20" s="44" t="n">
        <x:v>24.0446</x:v>
      </x:c>
      <x:c r="W20" s="44" t="n">
        <x:v>24.70684</x:v>
      </x:c>
      <x:c r="X20" s="44" t="n">
        <x:v>23.05744</x:v>
      </x:c>
      <x:c r="Y20" s="44" t="n">
        <x:v>24.60898</x:v>
      </x:c>
      <x:c r="Z20" s="44" t="n">
        <x:v>26.85824</x:v>
      </x:c>
      <x:c r="AA20" s="44" t="n">
        <x:v>25.8331</x:v>
      </x:c>
      <x:c r="AB20" s="44" t="n">
        <x:v>24.71725</x:v>
      </x:c>
      <x:c r="AC20" s="54" t="str">
        <x:v>K54</x:v>
      </x:c>
      <x:c r="AD20" s="44" t="n">
        <x:v>21.060360000000003</x:v>
      </x:c>
      <x:c r="AE20" s="44" t="n">
        <x:v>21.5856</x:v>
      </x:c>
      <x:c r="AF20" s="44" t="n">
        <x:v>22.78908</x:v>
      </x:c>
      <x:c r="AG20" s="44" t="n">
        <x:v>20.30866</x:v>
      </x:c>
      <x:c r="AH20" s="44" t="n">
        <x:v>20.844600000000003</x:v>
      </x:c>
      <x:c r="AI20" s="44" t="n">
        <x:v>20.958779999999997</x:v>
      </x:c>
      <x:c r="AJ20" s="44" t="n">
        <x:v>22.42236</x:v>
      </x:c>
      <x:c r="AK20" s="44" t="n">
        <x:v>22.66362</x:v>
      </x:c>
      <x:c r="AL20" s="57" t="str">
        <x:v>K116</x:v>
      </x:c>
      <x:c r="AM20" s="44" t="n">
        <x:v>14.935</x:v>
      </x:c>
      <x:c r="AN20" s="44" t="n">
        <x:v>16.28765</x:v>
      </x:c>
      <x:c r="AO20" s="44" t="n">
        <x:v>17.7992</x:v>
      </x:c>
      <x:c r="AP20" s="44" t="n">
        <x:v>15.81</x:v>
      </x:c>
      <x:c r="AQ20" s="44" t="n">
        <x:v>13.112</x:v>
      </x:c>
      <x:c r="AR20" s="44" t="n">
        <x:v>14.1099</x:v>
      </x:c>
      <x:c r="AS20" s="44" t="n">
        <x:v>17.3854</x:v>
      </x:c>
      <x:c r="AT20" s="44" t="n">
        <x:v>18.271700000000003</x:v>
      </x:c>
      <x:c r="AU20" s="66" t="str">
        <x:v>K176</x:v>
      </x:c>
    </x:row>
    <x:row r="21" ht="18" customHeight="1">
      <x:c r="A21" s="43" t="str">
        <x:v>Guards / Infantry</x:v>
      </x:c>
      <x:c r="B21" s="43" t="str">
        <x:v>Infantry Defense</x:v>
      </x:c>
      <x:c r="C21" s="43" t="str">
        <x:v>Higher</x:v>
      </x:c>
      <x:c r="D21" s="43" t="str">
        <x:v>CerialKiller</x:v>
      </x:c>
      <x:c r="E21" s="44" t="n">
        <x:v>19.582</x:v>
      </x:c>
      <x:c r="F21" s="43" t="str">
        <x:v>•Pain•</x:v>
      </x:c>
      <x:c r="G21" s="44" t="n">
        <x:v>22.726999999999997</x:v>
      </x:c>
      <x:c r="H21" s="43" t="str">
        <x:v>Jesse</x:v>
      </x:c>
      <x:c r="I21" s="44" t="n">
        <x:v>20.866999999999997</x:v>
      </x:c>
      <x:c r="J21" s="43" t="str">
        <x:v>(RaW)ϟCrozyϟ</x:v>
      </x:c>
      <x:c r="K21" s="44" t="n">
        <x:v>19.3099</x:v>
      </x:c>
      <x:c r="L21" s="43" t="str">
        <x:v>(AOT)SanSW°</x:v>
      </x:c>
      <x:c r="M21" s="44" t="n">
        <x:v>16.6407</x:v>
      </x:c>
      <x:c r="N21" s="43" t="str">
        <x:v>爽歪歪</x:v>
      </x:c>
      <x:c r="O21" s="44" t="n">
        <x:v>26.151999999999997</x:v>
      </x:c>
      <x:c r="P21" s="43" t="str">
        <x:v>Хлебушек</x:v>
      </x:c>
      <x:c r="Q21" s="44" t="n">
        <x:v>25.987</x:v>
      </x:c>
      <x:c r="R21" s="43" t="str">
        <x:v>苟拓通天肆意妄为</x:v>
      </x:c>
      <x:c r="S21" s="44" t="n">
        <x:v>21.029899999999998</x:v>
      </x:c>
      <x:c r="T21" s="54" t="str">
        <x:v>K54</x:v>
      </x:c>
      <x:c r="U21" s="44" t="n">
        <x:v>17.111</x:v>
      </x:c>
      <x:c r="V21" s="44" t="n">
        <x:v>18.658849999999997</x:v>
      </x:c>
      <x:c r="W21" s="44" t="n">
        <x:v>19.732</x:v>
      </x:c>
      <x:c r="X21" s="44" t="n">
        <x:v>17.989549999999998</x:v>
      </x:c>
      <x:c r="Y21" s="44" t="n">
        <x:v>16.491059999999997</x:v>
      </x:c>
      <x:c r="Z21" s="44" t="n">
        <x:v>21.987109999999998</x:v>
      </x:c>
      <x:c r="AA21" s="44" t="n">
        <x:v>21.31385</x:v>
      </x:c>
      <x:c r="AB21" s="44" t="n">
        <x:v>18.10969</x:v>
      </x:c>
      <x:c r="AC21" s="54" t="str">
        <x:v>K54</x:v>
      </x:c>
      <x:c r="AD21" s="44" t="n">
        <x:v>14.53674</x:v>
      </x:c>
      <x:c r="AE21" s="44" t="n">
        <x:v>15.48996</x:v>
      </x:c>
      <x:c r="AF21" s="44" t="n">
        <x:v>18.57584</x:v>
      </x:c>
      <x:c r="AG21" s="44" t="n">
        <x:v>17.02968</x:v>
      </x:c>
      <x:c r="AH21" s="44" t="n">
        <x:v>15.59448</x:v>
      </x:c>
      <x:c r="AI21" s="44" t="n">
        <x:v>17.96074</x:v>
      </x:c>
      <x:c r="AJ21" s="44" t="n">
        <x:v>17.82806</x:v>
      </x:c>
      <x:c r="AK21" s="44" t="n">
        <x:v>15.5408</x:v>
      </x:c>
      <x:c r="AL21" s="57" t="str">
        <x:v>K116</x:v>
      </x:c>
      <x:c r="AM21" s="44" t="n">
        <x:v>9.8849</x:v>
      </x:c>
      <x:c r="AN21" s="44" t="n">
        <x:v>11.33745</x:v>
      </x:c>
      <x:c r="AO21" s="44" t="n">
        <x:v>13.36885</x:v>
      </x:c>
      <x:c r="AP21" s="44" t="n">
        <x:v>12.285</x:v>
      </x:c>
      <x:c r="AQ21" s="44" t="n">
        <x:v>13.0549</x:v>
      </x:c>
      <x:c r="AR21" s="44" t="n">
        <x:v>13.572000000000001</x:v>
      </x:c>
      <x:c r="AS21" s="44" t="n">
        <x:v>12.135</x:v>
      </x:c>
      <x:c r="AT21" s="44" t="n">
        <x:v>11.068200000000001</x:v>
      </x:c>
      <x:c r="AU21" s="54" t="str">
        <x:v>K54</x:v>
      </x:c>
    </x:row>
    <x:row r="22" ht="18" customHeight="1">
      <x:c r="A22" s="43" t="str">
        <x:v>Guards / Infantry</x:v>
      </x:c>
      <x:c r="B22" s="43" t="str">
        <x:v>Infantry Damage</x:v>
      </x:c>
      <x:c r="C22" s="43" t="str">
        <x:v>Higher</x:v>
      </x:c>
      <x:c r="D22" s="43" t="str">
        <x:v>InFlames</x:v>
      </x:c>
      <x:c r="E22" s="44" t="n">
        <x:v>1.965</x:v>
      </x:c>
      <x:c r="F22" s="43" t="str">
        <x:v>•Pain•</x:v>
      </x:c>
      <x:c r="G22" s="44" t="n">
        <x:v>1.865</x:v>
      </x:c>
      <x:c r="H22" s="43" t="str">
        <x:v>Jesse (+1 tied)</x:v>
      </x:c>
      <x:c r="I22" s="44" t="n">
        <x:v>1.965</x:v>
      </x:c>
      <x:c r="J22" s="43" t="str">
        <x:v>(RaW)让世界沐浴在血中</x:v>
      </x:c>
      <x:c r="K22" s="44" t="n">
        <x:v>1.6675</x:v>
      </x:c>
      <x:c r="L22" s="43" t="str">
        <x:v>(AOT)MG·Yu</x:v>
      </x:c>
      <x:c r="M22" s="44" t="n">
        <x:v>1.9075</x:v>
      </x:c>
      <x:c r="N22" s="43" t="str">
        <x:v>爽歪歪 (+1 tied)</x:v>
      </x:c>
      <x:c r="O22" s="44" t="n">
        <x:v>1.965</x:v>
      </x:c>
      <x:c r="P22" s="43" t="str">
        <x:v>Хлебушек</x:v>
      </x:c>
      <x:c r="Q22" s="44" t="n">
        <x:v>1.845</x:v>
      </x:c>
      <x:c r="R22" s="43" t="str">
        <x:v>苟拓通天肆意妄为</x:v>
      </x:c>
      <x:c r="S22" s="44" t="n">
        <x:v>1.725</x:v>
      </x:c>
      <x:c r="T22" s="180" t="str">
        <x:v>Tie</x:v>
      </x:c>
      <x:c r="U22" s="44" t="n">
        <x:v>1.867</x:v>
      </x:c>
      <x:c r="V22" s="44" t="n">
        <x:v>1.65225</x:v>
      </x:c>
      <x:c r="W22" s="44" t="n">
        <x:v>1.893</x:v>
      </x:c>
      <x:c r="X22" s="44" t="n">
        <x:v>1.64825</x:v>
      </x:c>
      <x:c r="Y22" s="44" t="n">
        <x:v>1.775</x:v>
      </x:c>
      <x:c r="Z22" s="44" t="n">
        <x:v>1.893</x:v>
      </x:c>
      <x:c r="AA22" s="44" t="n">
        <x:v>1.6675</x:v>
      </x:c>
      <x:c r="AB22" s="44" t="n">
        <x:v>1.5862500000000002</x:v>
      </x:c>
      <x:c r="AC22" s="180" t="str">
        <x:v>Tie</x:v>
      </x:c>
      <x:c r="AD22" s="44" t="n">
        <x:v>1.6975000000000002</x:v>
      </x:c>
      <x:c r="AE22" s="44" t="n">
        <x:v>1.399</x:v>
      </x:c>
      <x:c r="AF22" s="44" t="n">
        <x:v>1.6855</x:v>
      </x:c>
      <x:c r="AG22" s="44" t="n">
        <x:v>1.5980000000000003</x:v>
      </x:c>
      <x:c r="AH22" s="44" t="n">
        <x:v>1.611</x:v>
      </x:c>
      <x:c r="AI22" s="44" t="n">
        <x:v>1.6985</x:v>
      </x:c>
      <x:c r="AJ22" s="44" t="n">
        <x:v>1.54</x:v>
      </x:c>
      <x:c r="AK22" s="44" t="n">
        <x:v>1.495</x:v>
      </x:c>
      <x:c r="AL22" s="54" t="str">
        <x:v>K54</x:v>
      </x:c>
      <x:c r="AM22" s="44" t="n">
        <x:v>0.5525</x:v>
      </x:c>
      <x:c r="AN22" s="44" t="n">
        <x:v>0.5525</x:v>
      </x:c>
      <x:c r="AO22" s="44" t="n">
        <x:v>1.365</x:v>
      </x:c>
      <x:c r="AP22" s="44" t="n">
        <x:v>1.365</x:v>
      </x:c>
      <x:c r="AQ22" s="44" t="n">
        <x:v>1.385</x:v>
      </x:c>
      <x:c r="AR22" s="44" t="n">
        <x:v>1.4275</x:v>
      </x:c>
      <x:c r="AS22" s="44" t="n">
        <x:v>0.5725</x:v>
      </x:c>
      <x:c r="AT22" s="44" t="n">
        <x:v>1.305</x:v>
      </x:c>
      <x:c r="AU22" s="180" t="str">
        <x:v>K54</x:v>
      </x:c>
    </x:row>
    <x:row r="23" ht="18" customHeight="1">
      <x:c r="A23" s="43" t="str">
        <x:v>Guards / Infantry</x:v>
      </x:c>
      <x:c r="B23" s="43" t="str">
        <x:v>Infantry Damage Received</x:v>
      </x:c>
      <x:c r="C23" s="43" t="str">
        <x:v>Lower</x:v>
      </x:c>
      <x:c r="D23" s="43" t="str">
        <x:v>CerialKiller</x:v>
      </x:c>
      <x:c r="E23" s="44" t="n">
        <x:v>-2.19</x:v>
      </x:c>
      <x:c r="F23" s="43" t="str">
        <x:v>•Pain•</x:v>
      </x:c>
      <x:c r="G23" s="44" t="n">
        <x:v>-2.365</x:v>
      </x:c>
      <x:c r="H23" s="43" t="str">
        <x:v>Jesse</x:v>
      </x:c>
      <x:c r="I23" s="44" t="n">
        <x:v>-2.16</x:v>
      </x:c>
      <x:c r="J23" s="43" t="str">
        <x:v>(RaW)ϟCrozyϟ</x:v>
      </x:c>
      <x:c r="K23" s="44" t="n">
        <x:v>-2.16</x:v>
      </x:c>
      <x:c r="L23" s="43" t="str">
        <x:v>(AOT)SanSW°</x:v>
      </x:c>
      <x:c r="M23" s="44" t="n">
        <x:v>-2.115</x:v>
      </x:c>
      <x:c r="N23" s="43" t="str">
        <x:v>爽歪歪 (+1 tied)</x:v>
      </x:c>
      <x:c r="O23" s="44" t="n">
        <x:v>-2.365</x:v>
      </x:c>
      <x:c r="P23" s="43" t="str">
        <x:v>Хлебушек</x:v>
      </x:c>
      <x:c r="Q23" s="44" t="n">
        <x:v>-2.345</x:v>
      </x:c>
      <x:c r="R23" s="43" t="str">
        <x:v>苟拓通天肆意妄为</x:v>
      </x:c>
      <x:c r="S23" s="44" t="n">
        <x:v>-2.035</x:v>
      </x:c>
      <x:c r="T23" s="180" t="str">
        <x:v>Tie</x:v>
      </x:c>
      <x:c r="U23" s="44" t="n">
        <x:v>-2.101</x:v>
      </x:c>
      <x:c r="V23" s="44" t="n">
        <x:v>-2.0765000000000002</x:v>
      </x:c>
      <x:c r="W23" s="44" t="n">
        <x:v>-1.99925</x:v>
      </x:c>
      <x:c r="X23" s="44" t="n">
        <x:v>-1.97825</x:v>
      </x:c>
      <x:c r="Y23" s="44" t="n">
        <x:v>-1.9465000000000001</x:v>
      </x:c>
      <x:c r="Z23" s="44" t="n">
        <x:v>-2.2830000000000004</x:v>
      </x:c>
      <x:c r="AA23" s="44" t="n">
        <x:v>-2.023</x:v>
      </x:c>
      <x:c r="AB23" s="44" t="n">
        <x:v>-1.927</x:v>
      </x:c>
      <x:c r="AC23" s="54" t="str">
        <x:v>K54</x:v>
      </x:c>
      <x:c r="AD23" s="44" t="n">
        <x:v>-1.8795000000000002</x:v>
      </x:c>
      <x:c r="AE23" s="44" t="n">
        <x:v>-1.6675</x:v>
      </x:c>
      <x:c r="AF23" s="44" t="n">
        <x:v>-1.7905000000000002</x:v>
      </x:c>
      <x:c r="AG23" s="44" t="n">
        <x:v>-1.8290000000000002</x:v>
      </x:c>
      <x:c r="AH23" s="44" t="n">
        <x:v>-1.8065000000000002</x:v>
      </x:c>
      <x:c r="AI23" s="44" t="n">
        <x:v>-2.0100000000000002</x:v>
      </x:c>
      <x:c r="AJ23" s="44" t="n">
        <x:v>-1.7535</x:v>
      </x:c>
      <x:c r="AK23" s="44" t="n">
        <x:v>-1.759</x:v>
      </x:c>
      <x:c r="AL23" s="54" t="str">
        <x:v>K54</x:v>
      </x:c>
      <x:c r="AM23" s="44" t="n">
        <x:v>-0.6875</x:v>
      </x:c>
      <x:c r="AN23" s="44" t="n">
        <x:v>-0.6625</x:v>
      </x:c>
      <x:c r="AO23" s="44" t="n">
        <x:v>-1.545</x:v>
      </x:c>
      <x:c r="AP23" s="44" t="n">
        <x:v>-1.5225</x:v>
      </x:c>
      <x:c r="AQ23" s="44" t="n">
        <x:v>-1.515</x:v>
      </x:c>
      <x:c r="AR23" s="44" t="n">
        <x:v>-1.545</x:v>
      </x:c>
      <x:c r="AS23" s="44" t="n">
        <x:v>-0.75</x:v>
      </x:c>
      <x:c r="AT23" s="44" t="n">
        <x:v>-1.4</x:v>
      </x:c>
      <x:c r="AU23" s="180" t="str">
        <x:v>Tie</x:v>
      </x:c>
    </x:row>
    <x:row r="24" ht="18" customHeight="1">
      <x:c r="A24" s="43" t="str">
        <x:v>Guards / Infantry</x:v>
      </x:c>
      <x:c r="B24" s="43" t="str">
        <x:v>Infantry Attack Blessing</x:v>
      </x:c>
      <x:c r="C24" s="43" t="str">
        <x:v>Higher</x:v>
      </x:c>
      <x:c r="D24" s="43" t="str">
        <x:v>CerialKiller</x:v>
      </x:c>
      <x:c r="E24" s="44" t="n">
        <x:v>3.96</x:v>
      </x:c>
      <x:c r="F24" s="43" t="str">
        <x:v>•Pain•</x:v>
      </x:c>
      <x:c r="G24" s="44" t="n">
        <x:v>7.14</x:v>
      </x:c>
      <x:c r="H24" s="43" t="str">
        <x:v>Jesse (+2 tied)</x:v>
      </x:c>
      <x:c r="I24" s="44" t="n">
        <x:v>7</x:v>
      </x:c>
      <x:c r="J24" s="43" t="str">
        <x:v>(RaW)Critykal</x:v>
      </x:c>
      <x:c r="K24" s="44" t="n">
        <x:v>3.47</x:v>
      </x:c>
      <x:c r="L24" s="43" t="str">
        <x:v>(AOT)Panda</x:v>
      </x:c>
      <x:c r="M24" s="44" t="n">
        <x:v>2.54</x:v>
      </x:c>
      <x:c r="N24" s="43" t="str">
        <x:v>爽歪歪 (+1 tied)</x:v>
      </x:c>
      <x:c r="O24" s="44" t="n">
        <x:v>9</x:v>
      </x:c>
      <x:c r="P24" s="43" t="str">
        <x:v>Хлебушек</x:v>
      </x:c>
      <x:c r="Q24" s="44" t="n">
        <x:v>9</x:v>
      </x:c>
      <x:c r="R24" s="43" t="str">
        <x:v>苟拓通天肆意妄为</x:v>
      </x:c>
      <x:c r="S24" s="44" t="n">
        <x:v>7</x:v>
      </x:c>
      <x:c r="T24" s="180" t="str">
        <x:v>Tie</x:v>
      </x:c>
      <x:c r="U24" s="44" t="n">
        <x:v>3.153</x:v>
      </x:c>
      <x:c r="V24" s="44" t="n">
        <x:v>5.324</x:v>
      </x:c>
      <x:c r="W24" s="44" t="n">
        <x:v>7</x:v>
      </x:c>
      <x:c r="X24" s="44" t="n">
        <x:v>2.92</x:v>
      </x:c>
      <x:c r="Y24" s="44" t="n">
        <x:v>2.505</x:v>
      </x:c>
      <x:c r="Z24" s="44" t="n">
        <x:v>8.6</x:v>
      </x:c>
      <x:c r="AA24" s="44" t="n">
        <x:v>7.676</x:v>
      </x:c>
      <x:c r="AB24" s="44" t="n">
        <x:v>5.856</x:v>
      </x:c>
      <x:c r="AC24" s="54" t="str">
        <x:v>K54</x:v>
      </x:c>
      <x:c r="AD24" s="44" t="n">
        <x:v>2.492</x:v>
      </x:c>
      <x:c r="AE24" s="44" t="n">
        <x:v>3.5780000000000003</x:v>
      </x:c>
      <x:c r="AF24" s="44" t="n">
        <x:v>5.856</x:v>
      </x:c>
      <x:c r="AG24" s="44" t="n">
        <x:v>2.4899999999999998</x:v>
      </x:c>
      <x:c r="AH24" s="44" t="n">
        <x:v>2.2600000000000002</x:v>
      </x:c>
      <x:c r="AI24" s="44" t="n">
        <x:v>6.794</x:v>
      </x:c>
      <x:c r="AJ24" s="44" t="n">
        <x:v>5.394</x:v>
      </x:c>
      <x:c r="AK24" s="44" t="n">
        <x:v>4.566</x:v>
      </x:c>
      <x:c r="AL24" s="54" t="str">
        <x:v>K54</x:v>
      </x:c>
      <x:c r="AM24" s="44" t="n">
        <x:v>1.1</x:v>
      </x:c>
      <x:c r="AN24" s="44" t="n">
        <x:v>1.4</x:v>
      </x:c>
      <x:c r="AO24" s="44" t="n">
        <x:v>1.56</x:v>
      </x:c>
      <x:c r="AP24" s="44" t="n">
        <x:v>1.21</x:v>
      </x:c>
      <x:c r="AQ24" s="44" t="n">
        <x:v>1.25</x:v>
      </x:c>
      <x:c r="AR24" s="44" t="n">
        <x:v>2.45</x:v>
      </x:c>
      <x:c r="AS24" s="44" t="n">
        <x:v>1.11</x:v>
      </x:c>
      <x:c r="AT24" s="44" t="n">
        <x:v>1.605</x:v>
      </x:c>
      <x:c r="AU24" s="54" t="str">
        <x:v>K54</x:v>
      </x:c>
    </x:row>
    <x:row r="25" ht="18" customHeight="1">
      <x:c r="A25" s="43" t="str">
        <x:v>Guards / Infantry</x:v>
      </x:c>
      <x:c r="B25" s="43" t="str">
        <x:v>Infantry Protection Blessing</x:v>
      </x:c>
      <x:c r="C25" s="43" t="str">
        <x:v>Higher</x:v>
      </x:c>
      <x:c r="D25" s="43" t="str">
        <x:v>InFlames</x:v>
      </x:c>
      <x:c r="E25" s="44" t="n">
        <x:v>7.28</x:v>
      </x:c>
      <x:c r="F25" s="43" t="str">
        <x:v>•Pain•</x:v>
      </x:c>
      <x:c r="G25" s="44" t="n">
        <x:v>9</x:v>
      </x:c>
      <x:c r="H25" s="43" t="str">
        <x:v>Jesse</x:v>
      </x:c>
      <x:c r="I25" s="44" t="n">
        <x:v>9</x:v>
      </x:c>
      <x:c r="J25" s="43" t="str">
        <x:v>(RaW)༺博卡Ajax༻ (+4 tied)</x:v>
      </x:c>
      <x:c r="K25" s="44" t="n">
        <x:v>7</x:v>
      </x:c>
      <x:c r="L25" s="43" t="str">
        <x:v>(AOT)SanSW° (+2 tied)</x:v>
      </x:c>
      <x:c r="M25" s="44" t="n">
        <x:v>7</x:v>
      </x:c>
      <x:c r="N25" s="43" t="str">
        <x:v>爽歪歪 (+1 tied)</x:v>
      </x:c>
      <x:c r="O25" s="44" t="n">
        <x:v>9</x:v>
      </x:c>
      <x:c r="P25" s="43" t="str">
        <x:v>Хлебушек (+1 tied)</x:v>
      </x:c>
      <x:c r="Q25" s="44" t="n">
        <x:v>9</x:v>
      </x:c>
      <x:c r="R25" s="43" t="str">
        <x:v>苟拓通天肆意妄为</x:v>
      </x:c>
      <x:c r="S25" s="44" t="n">
        <x:v>9</x:v>
      </x:c>
      <x:c r="T25" s="180" t="str">
        <x:v>Tie</x:v>
      </x:c>
      <x:c r="U25" s="44" t="n">
        <x:v>7.140000000000001</x:v>
      </x:c>
      <x:c r="V25" s="44" t="n">
        <x:v>7.851999999999999</x:v>
      </x:c>
      <x:c r="W25" s="44" t="n">
        <x:v>8</x:v>
      </x:c>
      <x:c r="X25" s="44" t="n">
        <x:v>7</x:v>
      </x:c>
      <x:c r="Y25" s="44" t="n">
        <x:v>7</x:v>
      </x:c>
      <x:c r="Z25" s="44" t="n">
        <x:v>8.6</x:v>
      </x:c>
      <x:c r="AA25" s="44" t="n">
        <x:v>8.6</x:v>
      </x:c>
      <x:c r="AB25" s="44" t="n">
        <x:v>8</x:v>
      </x:c>
      <x:c r="AC25" s="180" t="str">
        <x:v>Tie</x:v>
      </x:c>
      <x:c r="AD25" s="44" t="n">
        <x:v>7.056</x:v>
      </x:c>
      <x:c r="AE25" s="44" t="n">
        <x:v>6.76</x:v>
      </x:c>
      <x:c r="AF25" s="44" t="n">
        <x:v>7.4</x:v>
      </x:c>
      <x:c r="AG25" s="44" t="n">
        <x:v>7</x:v>
      </x:c>
      <x:c r="AH25" s="44" t="n">
        <x:v>6.492</x:v>
      </x:c>
      <x:c r="AI25" s="44" t="n">
        <x:v>7.632</x:v>
      </x:c>
      <x:c r="AJ25" s="44" t="n">
        <x:v>7.418000000000001</x:v>
      </x:c>
      <x:c r="AK25" s="44" t="n">
        <x:v>7.353999999999999</x:v>
      </x:c>
      <x:c r="AL25" s="54" t="str">
        <x:v>K54</x:v>
      </x:c>
      <x:c r="AM25" s="44" t="n">
        <x:v>3.22</x:v>
      </x:c>
      <x:c r="AN25" s="44" t="n">
        <x:v>3.045</x:v>
      </x:c>
      <x:c r="AO25" s="44" t="n">
        <x:v>4.16</x:v>
      </x:c>
      <x:c r="AP25" s="44" t="n">
        <x:v>3.51</x:v>
      </x:c>
      <x:c r="AQ25" s="44" t="n">
        <x:v>3.83</x:v>
      </x:c>
      <x:c r="AR25" s="44" t="n">
        <x:v>6.16</x:v>
      </x:c>
      <x:c r="AS25" s="44" t="n">
        <x:v>3.23</x:v>
      </x:c>
      <x:c r="AT25" s="44" t="n">
        <x:v>4.18</x:v>
      </x:c>
      <x:c r="AU25" s="54" t="str">
        <x:v>K54</x:v>
      </x:c>
    </x:row>
    <x:row r="26" ht="18" customHeight="1">
      <x:c r="A26" s="43" t="str">
        <x:v>Cavalry</x:v>
      </x:c>
      <x:c r="B26" s="43" t="str">
        <x:v>Cavalry Attack</x:v>
      </x:c>
      <x:c r="C26" s="43" t="str">
        <x:v>Higher</x:v>
      </x:c>
      <x:c r="D26" s="43" t="str">
        <x:v>InFlames</x:v>
      </x:c>
      <x:c r="E26" s="44" t="n">
        <x:v>25.652</x:v>
      </x:c>
      <x:c r="F26" s="43" t="str">
        <x:v>•Pain•</x:v>
      </x:c>
      <x:c r="G26" s="44" t="n">
        <x:v>27.3435</x:v>
      </x:c>
      <x:c r="H26" s="43" t="str">
        <x:v>Jesse</x:v>
      </x:c>
      <x:c r="I26" s="44" t="n">
        <x:v>24.4335</x:v>
      </x:c>
      <x:c r="J26" s="43" t="str">
        <x:v>(RaW)Critykal</x:v>
      </x:c>
      <x:c r="K26" s="44" t="n">
        <x:v>26.4455</x:v>
      </x:c>
      <x:c r="L26" s="43" t="str">
        <x:v>(AOT)MG·Yu</x:v>
      </x:c>
      <x:c r="M26" s="44" t="n">
        <x:v>25.552</x:v>
      </x:c>
      <x:c r="N26" s="43" t="str">
        <x:v>纵横,,,大风</x:v>
      </x:c>
      <x:c r="O26" s="44" t="n">
        <x:v>29.020500000000002</x:v>
      </x:c>
      <x:c r="P26" s="43" t="str">
        <x:v>Хлебушек</x:v>
      </x:c>
      <x:c r="Q26" s="44" t="n">
        <x:v>29.883499999999998</x:v>
      </x:c>
      <x:c r="R26" s="43" t="str">
        <x:v>༺璀璨星辰༻</x:v>
      </x:c>
      <x:c r="S26" s="44" t="n">
        <x:v>27.822</x:v>
      </x:c>
      <x:c r="T26" s="60" t="str">
        <x:v>K197</x:v>
      </x:c>
      <x:c r="U26" s="44" t="n">
        <x:v>24.91005</x:v>
      </x:c>
      <x:c r="V26" s="44" t="n">
        <x:v>25.53925</x:v>
      </x:c>
      <x:c r="W26" s="44" t="n">
        <x:v>24.3366</x:v>
      </x:c>
      <x:c r="X26" s="44" t="n">
        <x:v>25.5168</x:v>
      </x:c>
      <x:c r="Y26" s="44" t="n">
        <x:v>25.14425</x:v>
      </x:c>
      <x:c r="Z26" s="44" t="n">
        <x:v>28.4724</x:v>
      </x:c>
      <x:c r="AA26" s="44" t="n">
        <x:v>26.649949999999997</x:v>
      </x:c>
      <x:c r="AB26" s="44" t="n">
        <x:v>27.078</x:v>
      </x:c>
      <x:c r="AC26" s="54" t="str">
        <x:v>K54</x:v>
      </x:c>
      <x:c r="AD26" s="44" t="n">
        <x:v>23.8547</x:v>
      </x:c>
      <x:c r="AE26" s="44" t="n">
        <x:v>23.3243</x:v>
      </x:c>
      <x:c r="AF26" s="44" t="n">
        <x:v>24.0567</x:v>
      </x:c>
      <x:c r="AG26" s="44" t="n">
        <x:v>24.6751</x:v>
      </x:c>
      <x:c r="AH26" s="44" t="n">
        <x:v>24.266799999999996</x:v>
      </x:c>
      <x:c r="AI26" s="44" t="n">
        <x:v>27.6141</x:v>
      </x:c>
      <x:c r="AJ26" s="44" t="n">
        <x:v>24.154200000000003</x:v>
      </x:c>
      <x:c r="AK26" s="44" t="n">
        <x:v>26.169999999999998</x:v>
      </x:c>
      <x:c r="AL26" s="54" t="str">
        <x:v>K54</x:v>
      </x:c>
      <x:c r="AM26" s="44" t="n">
        <x:v>21.367</x:v>
      </x:c>
      <x:c r="AN26" s="44" t="n">
        <x:v>12.0075</x:v>
      </x:c>
      <x:c r="AO26" s="44" t="n">
        <x:v>21.5435</x:v>
      </x:c>
      <x:c r="AP26" s="44" t="n">
        <x:v>21.167</x:v>
      </x:c>
      <x:c r="AQ26" s="44" t="n">
        <x:v>21.392</x:v>
      </x:c>
      <x:c r="AR26" s="44" t="n">
        <x:v>26.110500000000002</x:v>
      </x:c>
      <x:c r="AS26" s="44" t="n">
        <x:v>13.45</x:v>
      </x:c>
      <x:c r="AT26" s="44" t="n">
        <x:v>23.362</x:v>
      </x:c>
      <x:c r="AU26" s="54" t="str">
        <x:v>K54</x:v>
      </x:c>
    </x:row>
    <x:row r="27" ht="18" customHeight="1">
      <x:c r="A27" s="43" t="str">
        <x:v>Cavalry</x:v>
      </x:c>
      <x:c r="B27" s="43" t="str">
        <x:v>Cavalry Health</x:v>
      </x:c>
      <x:c r="C27" s="43" t="str">
        <x:v>Higher</x:v>
      </x:c>
      <x:c r="D27" s="43" t="str">
        <x:v>#11 元气满满 (122,000)</x:v>
      </x:c>
      <x:c r="E27" s="44" t="n">
        <x:v>18.552</x:v>
      </x:c>
      <x:c r="F27" s="43" t="str">
        <x:v>•Pain•</x:v>
      </x:c>
      <x:c r="G27" s="44" t="n">
        <x:v>21.28</x:v>
      </x:c>
      <x:c r="H27" s="43" t="str">
        <x:v>Jesse</x:v>
      </x:c>
      <x:c r="I27" s="44" t="n">
        <x:v>19.08</x:v>
      </x:c>
      <x:c r="J27" s="43" t="str">
        <x:v>(RaW)༺博卡Ajax༻</x:v>
      </x:c>
      <x:c r="K27" s="44" t="n">
        <x:v>19.372</x:v>
      </x:c>
      <x:c r="L27" s="43" t="str">
        <x:v>(AOT)MG·Yu</x:v>
      </x:c>
      <x:c r="M27" s="44" t="n">
        <x:v>19.05</x:v>
      </x:c>
      <x:c r="N27" s="43" t="str">
        <x:v>爽歪歪</x:v>
      </x:c>
      <x:c r="O27" s="44" t="n">
        <x:v>21.45</x:v>
      </x:c>
      <x:c r="P27" s="43" t="str">
        <x:v>Хлебушек</x:v>
      </x:c>
      <x:c r="Q27" s="44" t="n">
        <x:v>19.32</x:v>
      </x:c>
      <x:c r="R27" s="43" t="str">
        <x:v>苟拓通天肆意妄为</x:v>
      </x:c>
      <x:c r="S27" s="44" t="n">
        <x:v>19.985</x:v>
      </x:c>
      <x:c r="T27" s="54" t="str">
        <x:v>K54</x:v>
      </x:c>
      <x:c r="U27" s="44" t="n">
        <x:v>18.357</x:v>
      </x:c>
      <x:c r="V27" s="44" t="n">
        <x:v>18.967</x:v>
      </x:c>
      <x:c r="W27" s="44" t="n">
        <x:v>18.695549999999997</x:v>
      </x:c>
      <x:c r="X27" s="44" t="n">
        <x:v>18.8199</x:v>
      </x:c>
      <x:c r="Y27" s="44" t="n">
        <x:v>18.9045</x:v>
      </x:c>
      <x:c r="Z27" s="44" t="n">
        <x:v>20.151</x:v>
      </x:c>
      <x:c r="AA27" s="44" t="n">
        <x:v>18.84515</x:v>
      </x:c>
      <x:c r="AB27" s="44" t="n">
        <x:v>19.378999999999998</x:v>
      </x:c>
      <x:c r="AC27" s="54" t="str">
        <x:v>K54</x:v>
      </x:c>
      <x:c r="AD27" s="44" t="n">
        <x:v>18.009999999999998</x:v>
      </x:c>
      <x:c r="AE27" s="44" t="n">
        <x:v>16.804</x:v>
      </x:c>
      <x:c r="AF27" s="44" t="n">
        <x:v>17.819499999999998</x:v>
      </x:c>
      <x:c r="AG27" s="44" t="n">
        <x:v>18.086599999999997</x:v>
      </x:c>
      <x:c r="AH27" s="44" t="n">
        <x:v>18.591</x:v>
      </x:c>
      <x:c r="AI27" s="44" t="n">
        <x:v>17.978699999999996</x:v>
      </x:c>
      <x:c r="AJ27" s="44" t="n">
        <x:v>17.7661</x:v>
      </x:c>
      <x:c r="AK27" s="44" t="n">
        <x:v>18.329</x:v>
      </x:c>
      <x:c r="AL27" s="75" t="str">
        <x:v>K170</x:v>
      </x:c>
      <x:c r="AM27" s="44" t="n">
        <x:v>15.432</x:v>
      </x:c>
      <x:c r="AN27" s="44" t="n">
        <x:v>10.365</x:v>
      </x:c>
      <x:c r="AO27" s="44" t="n">
        <x:v>14.665</x:v>
      </x:c>
      <x:c r="AP27" s="44" t="n">
        <x:v>14.272</x:v>
      </x:c>
      <x:c r="AQ27" s="44" t="n">
        <x:v>16.492</x:v>
      </x:c>
      <x:c r="AR27" s="44" t="n">
        <x:v>14.6</x:v>
      </x:c>
      <x:c r="AS27" s="44" t="n">
        <x:v>10.71</x:v>
      </x:c>
      <x:c r="AT27" s="44" t="n">
        <x:v>15.775</x:v>
      </x:c>
      <x:c r="AU27" s="75" t="str">
        <x:v>K170</x:v>
      </x:c>
    </x:row>
    <x:row r="28" ht="18" customHeight="1">
      <x:c r="A28" s="43" t="str">
        <x:v>Cavalry</x:v>
      </x:c>
      <x:c r="B28" s="43" t="str">
        <x:v>Cavalry Defense</x:v>
      </x:c>
      <x:c r="C28" s="43" t="str">
        <x:v>Higher</x:v>
      </x:c>
      <x:c r="D28" s="43" t="str">
        <x:v>InFlames</x:v>
      </x:c>
      <x:c r="E28" s="44" t="n">
        <x:v>14.047</x:v>
      </x:c>
      <x:c r="F28" s="43" t="str">
        <x:v>•Pain•</x:v>
      </x:c>
      <x:c r="G28" s="44" t="n">
        <x:v>18.15</x:v>
      </x:c>
      <x:c r="H28" s="43" t="str">
        <x:v>那时像风一样</x:v>
      </x:c>
      <x:c r="I28" s="44" t="n">
        <x:v>16.412</x:v>
      </x:c>
      <x:c r="J28" s="43" t="str">
        <x:v>(RaW)༺博卡Ajax༻</x:v>
      </x:c>
      <x:c r="K28" s="44" t="n">
        <x:v>13.385</x:v>
      </x:c>
      <x:c r="L28" s="43" t="str">
        <x:v>(AOT)MG·Yu</x:v>
      </x:c>
      <x:c r="M28" s="44" t="n">
        <x:v>18.657</x:v>
      </x:c>
      <x:c r="N28" s="43" t="str">
        <x:v>醉红尘</x:v>
      </x:c>
      <x:c r="O28" s="44" t="n">
        <x:v>16.227</x:v>
      </x:c>
      <x:c r="P28" s="43" t="str">
        <x:v>Хлебушек</x:v>
      </x:c>
      <x:c r="Q28" s="44" t="n">
        <x:v>16.08</x:v>
      </x:c>
      <x:c r="R28" s="43" t="str">
        <x:v>♱Seraphim織羽♱</x:v>
      </x:c>
      <x:c r="S28" s="44" t="n">
        <x:v>17.307000000000002</x:v>
      </x:c>
      <x:c r="T28" s="75" t="str">
        <x:v>K170</x:v>
      </x:c>
      <x:c r="U28" s="44" t="n">
        <x:v>13.5195</x:v>
      </x:c>
      <x:c r="V28" s="44" t="n">
        <x:v>16.8485</x:v>
      </x:c>
      <x:c r="W28" s="44" t="n">
        <x:v>16.1749</x:v>
      </x:c>
      <x:c r="X28" s="44" t="n">
        <x:v>12.918500000000002</x:v>
      </x:c>
      <x:c r="Y28" s="44" t="n">
        <x:v>16.14895</x:v>
      </x:c>
      <x:c r="Z28" s="44" t="n">
        <x:v>14.9929</x:v>
      </x:c>
      <x:c r="AA28" s="44" t="n">
        <x:v>15.6545</x:v>
      </x:c>
      <x:c r="AB28" s="44" t="n">
        <x:v>16.596</x:v>
      </x:c>
      <x:c r="AC28" s="72" t="str">
        <x:v>K91</x:v>
      </x:c>
      <x:c r="AD28" s="44" t="n">
        <x:v>13.1394</x:v>
      </x:c>
      <x:c r="AE28" s="44" t="n">
        <x:v>15.3796</x:v>
      </x:c>
      <x:c r="AF28" s="44" t="n">
        <x:v>14.902199999999999</x:v>
      </x:c>
      <x:c r="AG28" s="44" t="n">
        <x:v>12.155899999999999</x:v>
      </x:c>
      <x:c r="AH28" s="44" t="n">
        <x:v>13.9969</x:v>
      </x:c>
      <x:c r="AI28" s="44" t="n">
        <x:v>13.1816</x:v>
      </x:c>
      <x:c r="AJ28" s="44" t="n">
        <x:v>13.767199999999999</x:v>
      </x:c>
      <x:c r="AK28" s="44" t="n">
        <x:v>15.963</x:v>
      </x:c>
      <x:c r="AL28" s="66" t="str">
        <x:v>K176</x:v>
      </x:c>
      <x:c r="AM28" s="44" t="n">
        <x:v>12.1</x:v>
      </x:c>
      <x:c r="AN28" s="44" t="n">
        <x:v>7.007</x:v>
      </x:c>
      <x:c r="AO28" s="44" t="n">
        <x:v>11.004999999999999</x:v>
      </x:c>
      <x:c r="AP28" s="44" t="n">
        <x:v>8.6235</x:v>
      </x:c>
      <x:c r="AQ28" s="44" t="n">
        <x:v>9.66</x:v>
      </x:c>
      <x:c r="AR28" s="44" t="n">
        <x:v>10.567</x:v>
      </x:c>
      <x:c r="AS28" s="44" t="n">
        <x:v>7.407</x:v>
      </x:c>
      <x:c r="AT28" s="44" t="n">
        <x:v>14.732</x:v>
      </x:c>
      <x:c r="AU28" s="66" t="str">
        <x:v>K176</x:v>
      </x:c>
    </x:row>
    <x:row r="29" ht="18" customHeight="1">
      <x:c r="A29" s="43" t="str">
        <x:v>Cavalry</x:v>
      </x:c>
      <x:c r="B29" s="43" t="str">
        <x:v>Cavalry Damage</x:v>
      </x:c>
      <x:c r="C29" s="43" t="str">
        <x:v>Higher</x:v>
      </x:c>
      <x:c r="D29" s="43" t="str">
        <x:v>InFlames</x:v>
      </x:c>
      <x:c r="E29" s="44" t="n">
        <x:v>2.1075</x:v>
      </x:c>
      <x:c r="F29" s="43" t="str">
        <x:v>•Pain•</x:v>
      </x:c>
      <x:c r="G29" s="44" t="n">
        <x:v>2.145</x:v>
      </x:c>
      <x:c r="H29" s="43" t="str">
        <x:v>Jesse</x:v>
      </x:c>
      <x:c r="I29" s="44" t="n">
        <x:v>2.1075</x:v>
      </x:c>
      <x:c r="J29" s="43" t="str">
        <x:v>(RaW)Critykal</x:v>
      </x:c>
      <x:c r="K29" s="44" t="n">
        <x:v>1.9275</x:v>
      </x:c>
      <x:c r="L29" s="43" t="str">
        <x:v>(AOT)MG·Yu</x:v>
      </x:c>
      <x:c r="M29" s="44" t="n">
        <x:v>1.9975</x:v>
      </x:c>
      <x:c r="N29" s="43" t="str">
        <x:v>纵横,,,杀戮</x:v>
      </x:c>
      <x:c r="O29" s="44" t="n">
        <x:v>2.08</x:v>
      </x:c>
      <x:c r="P29" s="43" t="str">
        <x:v>Хлебушек</x:v>
      </x:c>
      <x:c r="Q29" s="44" t="n">
        <x:v>2.275</x:v>
      </x:c>
      <x:c r="R29" s="43" t="str">
        <x:v>苟拓通天肆意妄为</x:v>
      </x:c>
      <x:c r="S29" s="44" t="n">
        <x:v>1.805</x:v>
      </x:c>
      <x:c r="T29" s="60" t="str">
        <x:v>K197</x:v>
      </x:c>
      <x:c r="U29" s="44" t="n">
        <x:v>2.0119999999999996</x:v>
      </x:c>
      <x:c r="V29" s="44" t="n">
        <x:v>1.9115</x:v>
      </x:c>
      <x:c r="W29" s="44" t="n">
        <x:v>1.90975</x:v>
      </x:c>
      <x:c r="X29" s="44" t="n">
        <x:v>1.89325</x:v>
      </x:c>
      <x:c r="Y29" s="44" t="n">
        <x:v>1.91725</x:v>
      </x:c>
      <x:c r="Z29" s="44" t="n">
        <x:v>2.0365</x:v>
      </x:c>
      <x:c r="AA29" s="44" t="n">
        <x:v>2.0974999999999997</x:v>
      </x:c>
      <x:c r="AB29" s="44" t="n">
        <x:v>1.7624999999999997</x:v>
      </x:c>
      <x:c r="AC29" s="60" t="str">
        <x:v>K197</x:v>
      </x:c>
      <x:c r="AD29" s="44" t="n">
        <x:v>1.8989999999999998</x:v>
      </x:c>
      <x:c r="AE29" s="44" t="n">
        <x:v>1.709</x:v>
      </x:c>
      <x:c r="AF29" s="44" t="n">
        <x:v>1.7634999999999998</x:v>
      </x:c>
      <x:c r="AG29" s="44" t="n">
        <x:v>1.8245</x:v>
      </x:c>
      <x:c r="AH29" s="44" t="n">
        <x:v>1.8305</x:v>
      </x:c>
      <x:c r="AI29" s="44" t="n">
        <x:v>1.9120000000000001</x:v>
      </x:c>
      <x:c r="AJ29" s="44" t="n">
        <x:v>1.859</x:v>
      </x:c>
      <x:c r="AK29" s="44" t="n">
        <x:v>1.707</x:v>
      </x:c>
      <x:c r="AL29" s="54" t="str">
        <x:v>K54</x:v>
      </x:c>
      <x:c r="AM29" s="44" t="n">
        <x:v>1.6725</x:v>
      </x:c>
      <x:c r="AN29" s="44" t="n">
        <x:v>1.475</x:v>
      </x:c>
      <x:c r="AO29" s="44" t="n">
        <x:v>1.5175</x:v>
      </x:c>
      <x:c r="AP29" s="44" t="n">
        <x:v>1.545</x:v>
      </x:c>
      <x:c r="AQ29" s="44" t="n">
        <x:v>1.61</x:v>
      </x:c>
      <x:c r="AR29" s="44" t="n">
        <x:v>1.6725</x:v>
      </x:c>
      <x:c r="AS29" s="44" t="n">
        <x:v>1.5275</x:v>
      </x:c>
      <x:c r="AT29" s="44" t="n">
        <x:v>1.55625</x:v>
      </x:c>
      <x:c r="AU29" s="180" t="str">
        <x:v>Tie</x:v>
      </x:c>
    </x:row>
    <x:row r="30" ht="18" customHeight="1">
      <x:c r="A30" s="43" t="str">
        <x:v>Cavalry</x:v>
      </x:c>
      <x:c r="B30" s="43" t="str">
        <x:v>Cavalry Damage Received</x:v>
      </x:c>
      <x:c r="C30" s="43" t="str">
        <x:v>Lower</x:v>
      </x:c>
      <x:c r="D30" s="43" t="str">
        <x:v>CerialKiller</x:v>
      </x:c>
      <x:c r="E30" s="44" t="n">
        <x:v>-1.945</x:v>
      </x:c>
      <x:c r="F30" s="43" t="str">
        <x:v>•Pain•</x:v>
      </x:c>
      <x:c r="G30" s="44" t="n">
        <x:v>-1.965</x:v>
      </x:c>
      <x:c r="H30" s="43" t="str">
        <x:v>Jesse</x:v>
      </x:c>
      <x:c r="I30" s="44" t="n">
        <x:v>-1.725</x:v>
      </x:c>
      <x:c r="J30" s="43" t="str">
        <x:v>(RaW)Critykal</x:v>
      </x:c>
      <x:c r="K30" s="44" t="n">
        <x:v>-1.705</x:v>
      </x:c>
      <x:c r="L30" s="43" t="str">
        <x:v>(AOT)MG·Yu</x:v>
      </x:c>
      <x:c r="M30" s="44" t="n">
        <x:v>-1.705</x:v>
      </x:c>
      <x:c r="N30" s="43" t="str">
        <x:v>纵横,,,大风 (+1 tied)</x:v>
      </x:c>
      <x:c r="O30" s="44" t="n">
        <x:v>-1.965</x:v>
      </x:c>
      <x:c r="P30" s="43" t="str">
        <x:v>Хлебушек</x:v>
      </x:c>
      <x:c r="Q30" s="44" t="n">
        <x:v>-1.975</x:v>
      </x:c>
      <x:c r="R30" s="43" t="str">
        <x:v>苟拓通天肆意妄为</x:v>
      </x:c>
      <x:c r="S30" s="44" t="n">
        <x:v>-1.725</x:v>
      </x:c>
      <x:c r="T30" s="60" t="str">
        <x:v>K197</x:v>
      </x:c>
      <x:c r="U30" s="44" t="n">
        <x:v>-1.879</x:v>
      </x:c>
      <x:c r="V30" s="44" t="n">
        <x:v>-1.8605</x:v>
      </x:c>
      <x:c r="W30" s="44" t="n">
        <x:v>-1.5890000000000002</x:v>
      </x:c>
      <x:c r="X30" s="44" t="n">
        <x:v>-1.6737499999999998</x:v>
      </x:c>
      <x:c r="Y30" s="44" t="n">
        <x:v>-1.69775</x:v>
      </x:c>
      <x:c r="Z30" s="44" t="n">
        <x:v>-1.961</x:v>
      </x:c>
      <x:c r="AA30" s="44" t="n">
        <x:v>-1.9184999999999999</x:v>
      </x:c>
      <x:c r="AB30" s="44" t="n">
        <x:v>-1.6175000000000002</x:v>
      </x:c>
      <x:c r="AC30" s="54" t="str">
        <x:v>K54</x:v>
      </x:c>
      <x:c r="AD30" s="44" t="n">
        <x:v>-1.6940000000000002</x:v>
      </x:c>
      <x:c r="AE30" s="44" t="n">
        <x:v>-1.642</x:v>
      </x:c>
      <x:c r="AF30" s="44" t="n">
        <x:v>-1.4674999999999998</x:v>
      </x:c>
      <x:c r="AG30" s="44" t="n">
        <x:v>-1.5705</x:v>
      </x:c>
      <x:c r="AH30" s="44" t="n">
        <x:v>-1.5885</x:v>
      </x:c>
      <x:c r="AI30" s="44" t="n">
        <x:v>-1.7625</x:v>
      </x:c>
      <x:c r="AJ30" s="44" t="n">
        <x:v>-1.6965000000000003</x:v>
      </x:c>
      <x:c r="AK30" s="44" t="n">
        <x:v>-1.504</x:v>
      </x:c>
      <x:c r="AL30" s="54" t="str">
        <x:v>K54</x:v>
      </x:c>
      <x:c r="AM30" s="44" t="n">
        <x:v>-1.3475</x:v>
      </x:c>
      <x:c r="AN30" s="44" t="n">
        <x:v>-1.2662499999999999</x:v>
      </x:c>
      <x:c r="AO30" s="44" t="n">
        <x:v>-1.3475</x:v>
      </x:c>
      <x:c r="AP30" s="44" t="n">
        <x:v>-1.305</x:v>
      </x:c>
      <x:c r="AQ30" s="44" t="n">
        <x:v>-1.3475</x:v>
      </x:c>
      <x:c r="AR30" s="44" t="n">
        <x:v>-1.4175</x:v>
      </x:c>
      <x:c r="AS30" s="44" t="n">
        <x:v>-1.305</x:v>
      </x:c>
      <x:c r="AT30" s="44" t="n">
        <x:v>-1.32625</x:v>
      </x:c>
      <x:c r="AU30" s="54" t="str">
        <x:v>K54</x:v>
      </x:c>
    </x:row>
    <x:row r="31" ht="18" customHeight="1">
      <x:c r="A31" s="43" t="str">
        <x:v>Cavalry</x:v>
      </x:c>
      <x:c r="B31" s="43" t="str">
        <x:v>Cavalry Attack Blessing</x:v>
      </x:c>
      <x:c r="C31" s="43" t="str">
        <x:v>Higher</x:v>
      </x:c>
      <x:c r="D31" s="43" t="str">
        <x:v>InFlames</x:v>
      </x:c>
      <x:c r="E31" s="44" t="n">
        <x:v>8.03</x:v>
      </x:c>
      <x:c r="F31" s="43" t="str">
        <x:v>•Pain•</x:v>
      </x:c>
      <x:c r="G31" s="44" t="n">
        <x:v>9</x:v>
      </x:c>
      <x:c r="H31" s="43" t="str">
        <x:v>Jesse</x:v>
      </x:c>
      <x:c r="I31" s="44" t="n">
        <x:v>9</x:v>
      </x:c>
      <x:c r="J31" s="43" t="str">
        <x:v>(RaW)Critykal</x:v>
      </x:c>
      <x:c r="K31" s="44" t="n">
        <x:v>6.03</x:v>
      </x:c>
      <x:c r="L31" s="43" t="str">
        <x:v>(AOT)SanSW°</x:v>
      </x:c>
      <x:c r="M31" s="44" t="n">
        <x:v>6.03</x:v>
      </x:c>
      <x:c r="N31" s="43" t="str">
        <x:v>爽歪歪 (+1 tied)</x:v>
      </x:c>
      <x:c r="O31" s="44" t="n">
        <x:v>9</x:v>
      </x:c>
      <x:c r="P31" s="43" t="str">
        <x:v>Хлебушек</x:v>
      </x:c>
      <x:c r="Q31" s="44" t="n">
        <x:v>9</x:v>
      </x:c>
      <x:c r="R31" s="43" t="str">
        <x:v>苟拓通天肆意妄为</x:v>
      </x:c>
      <x:c r="S31" s="44" t="n">
        <x:v>8.21</x:v>
      </x:c>
      <x:c r="T31" s="180" t="str">
        <x:v>Tie</x:v>
      </x:c>
      <x:c r="U31" s="44" t="n">
        <x:v>7</x:v>
      </x:c>
      <x:c r="V31" s="44" t="n">
        <x:v>7.75</x:v>
      </x:c>
      <x:c r="W31" s="44" t="n">
        <x:v>8</x:v>
      </x:c>
      <x:c r="X31" s="44" t="n">
        <x:v>5.779</x:v>
      </x:c>
      <x:c r="Y31" s="44" t="n">
        <x:v>5.9590000000000005</x:v>
      </x:c>
      <x:c r="Z31" s="44" t="n">
        <x:v>8.6</x:v>
      </x:c>
      <x:c r="AA31" s="44" t="n">
        <x:v>7.862</x:v>
      </x:c>
      <x:c r="AB31" s="44" t="n">
        <x:v>7.457</x:v>
      </x:c>
      <x:c r="AC31" s="54" t="str">
        <x:v>K54</x:v>
      </x:c>
      <x:c r="AD31" s="44" t="n">
        <x:v>6.192</x:v>
      </x:c>
      <x:c r="AE31" s="44" t="n">
        <x:v>6.066</x:v>
      </x:c>
      <x:c r="AF31" s="44" t="n">
        <x:v>7.4</x:v>
      </x:c>
      <x:c r="AG31" s="44" t="n">
        <x:v>5.504</x:v>
      </x:c>
      <x:c r="AH31" s="44" t="n">
        <x:v>5.69</x:v>
      </x:c>
      <x:c r="AI31" s="44" t="n">
        <x:v>7.426</x:v>
      </x:c>
      <x:c r="AJ31" s="44" t="n">
        <x:v>6.545999999999999</x:v>
      </x:c>
      <x:c r="AK31" s="44" t="n">
        <x:v>6.758</x:v>
      </x:c>
      <x:c r="AL31" s="54" t="str">
        <x:v>K54</x:v>
      </x:c>
      <x:c r="AM31" s="44" t="n">
        <x:v>4.13</x:v>
      </x:c>
      <x:c r="AN31" s="44" t="n">
        <x:v>2.285</x:v>
      </x:c>
      <x:c r="AO31" s="44" t="n">
        <x:v>4.52</x:v>
      </x:c>
      <x:c r="AP31" s="44" t="n">
        <x:v>2.67</x:v>
      </x:c>
      <x:c r="AQ31" s="44" t="n">
        <x:v>3.2</x:v>
      </x:c>
      <x:c r="AR31" s="44" t="n">
        <x:v>6.03</x:v>
      </x:c>
      <x:c r="AS31" s="44" t="n">
        <x:v>2.49</x:v>
      </x:c>
      <x:c r="AT31" s="44" t="n">
        <x:v>4.279999999999999</x:v>
      </x:c>
      <x:c r="AU31" s="54" t="str">
        <x:v>K54</x:v>
      </x:c>
    </x:row>
    <x:row r="32" ht="18" customHeight="1">
      <x:c r="A32" s="43" t="str">
        <x:v>Cavalry</x:v>
      </x:c>
      <x:c r="B32" s="43" t="str">
        <x:v>Cavalry Protection Blessing</x:v>
      </x:c>
      <x:c r="C32" s="43" t="str">
        <x:v>Higher</x:v>
      </x:c>
      <x:c r="D32" s="43" t="str">
        <x:v>CerialKiller</x:v>
      </x:c>
      <x:c r="E32" s="44" t="n">
        <x:v>5.01</x:v>
      </x:c>
      <x:c r="F32" s="43" t="str">
        <x:v>•Pain•</x:v>
      </x:c>
      <x:c r="G32" s="44" t="n">
        <x:v>9</x:v>
      </x:c>
      <x:c r="H32" s="43" t="str">
        <x:v>Jesse</x:v>
      </x:c>
      <x:c r="I32" s="44" t="n">
        <x:v>9</x:v>
      </x:c>
      <x:c r="J32" s="43" t="str">
        <x:v>(RaW)༺Frankie༻</x:v>
      </x:c>
      <x:c r="K32" s="44" t="n">
        <x:v>4.2</x:v>
      </x:c>
      <x:c r="L32" s="43" t="str">
        <x:v>(AOT)SanSW°</x:v>
      </x:c>
      <x:c r="M32" s="44" t="n">
        <x:v>3.89</x:v>
      </x:c>
      <x:c r="N32" s="43" t="str">
        <x:v>爽歪歪 (+1 tied)</x:v>
      </x:c>
      <x:c r="O32" s="44" t="n">
        <x:v>9</x:v>
      </x:c>
      <x:c r="P32" s="43" t="str">
        <x:v>Хлебушек</x:v>
      </x:c>
      <x:c r="Q32" s="44" t="n">
        <x:v>9</x:v>
      </x:c>
      <x:c r="R32" s="43" t="str">
        <x:v>苟拓通天肆意妄为</x:v>
      </x:c>
      <x:c r="S32" s="44" t="n">
        <x:v>4.89</x:v>
      </x:c>
      <x:c r="T32" s="180" t="str">
        <x:v>Tie</x:v>
      </x:c>
      <x:c r="U32" s="44" t="n">
        <x:v>4.587</x:v>
      </x:c>
      <x:c r="V32" s="44" t="n">
        <x:v>6.8180000000000005</x:v>
      </x:c>
      <x:c r="W32" s="44" t="n">
        <x:v>8</x:v>
      </x:c>
      <x:c r="X32" s="44" t="n">
        <x:v>4.0680000000000005</x:v>
      </x:c>
      <x:c r="Y32" s="44" t="n">
        <x:v>3.738</x:v>
      </x:c>
      <x:c r="Z32" s="44" t="n">
        <x:v>8.6</x:v>
      </x:c>
      <x:c r="AA32" s="44" t="n">
        <x:v>7.548</x:v>
      </x:c>
      <x:c r="AB32" s="44" t="n">
        <x:v>4.699999999999999</x:v>
      </x:c>
      <x:c r="AC32" s="54" t="str">
        <x:v>K54</x:v>
      </x:c>
      <x:c r="AD32" s="44" t="n">
        <x:v>4.102</x:v>
      </x:c>
      <x:c r="AE32" s="44" t="n">
        <x:v>4.532</x:v>
      </x:c>
      <x:c r="AF32" s="44" t="n">
        <x:v>6.544</x:v>
      </x:c>
      <x:c r="AG32" s="44" t="n">
        <x:v>3.682</x:v>
      </x:c>
      <x:c r="AH32" s="44" t="n">
        <x:v>3.466</x:v>
      </x:c>
      <x:c r="AI32" s="44" t="n">
        <x:v>7.2219999999999995</x:v>
      </x:c>
      <x:c r="AJ32" s="44" t="n">
        <x:v>5.228</x:v>
      </x:c>
      <x:c r="AK32" s="44" t="n">
        <x:v>4.384</x:v>
      </x:c>
      <x:c r="AL32" s="54" t="str">
        <x:v>K54</x:v>
      </x:c>
      <x:c r="AM32" s="44" t="n">
        <x:v>2.31</x:v>
      </x:c>
      <x:c r="AN32" s="44" t="n">
        <x:v>1.22</x:v>
      </x:c>
      <x:c r="AO32" s="44" t="n">
        <x:v>2.725</x:v>
      </x:c>
      <x:c r="AP32" s="44" t="n">
        <x:v>1.3</x:v>
      </x:c>
      <x:c r="AQ32" s="44" t="n">
        <x:v>1.94</x:v>
      </x:c>
      <x:c r="AR32" s="44" t="n">
        <x:v>3.85</x:v>
      </x:c>
      <x:c r="AS32" s="44" t="n">
        <x:v>1.35</x:v>
      </x:c>
      <x:c r="AT32" s="44" t="n">
        <x:v>2.77</x:v>
      </x:c>
      <x:c r="AU32" s="54" t="str">
        <x:v>K54</x:v>
      </x:c>
    </x:row>
    <x:row r="33" ht="18" customHeight="1">
      <x:c r="A33" s="43" t="str">
        <x:v>Archers</x:v>
      </x:c>
      <x:c r="B33" s="43" t="str">
        <x:v>Archer Attack</x:v>
      </x:c>
      <x:c r="C33" s="43" t="str">
        <x:v>Higher</x:v>
      </x:c>
      <x:c r="D33" s="43" t="str">
        <x:v>CerialKiller</x:v>
      </x:c>
      <x:c r="E33" s="44" t="n">
        <x:v>24.43</x:v>
      </x:c>
      <x:c r="F33" s="43" t="str">
        <x:v>Nixxx</x:v>
      </x:c>
      <x:c r="G33" s="44" t="n">
        <x:v>26.805500000000002</x:v>
      </x:c>
      <x:c r="H33" s="43" t="str">
        <x:v>汰需尚青</x:v>
      </x:c>
      <x:c r="I33" s="44" t="n">
        <x:v>22.465</x:v>
      </x:c>
      <x:c r="J33" s="43" t="str">
        <x:v>(RaW)༺飞K༻</x:v>
      </x:c>
      <x:c r="K33" s="44" t="n">
        <x:v>23.9955</x:v>
      </x:c>
      <x:c r="L33" s="43" t="str">
        <x:v>(AOT)VAB999</x:v>
      </x:c>
      <x:c r="M33" s="44" t="n">
        <x:v>24.8285</x:v>
      </x:c>
      <x:c r="N33" s="43" t="str">
        <x:v>纵横,,,杀戮</x:v>
      </x:c>
      <x:c r="O33" s="44" t="n">
        <x:v>24.385</x:v>
      </x:c>
      <x:c r="P33" s="43" t="str">
        <x:v>Loong</x:v>
      </x:c>
      <x:c r="Q33" s="44" t="n">
        <x:v>26.710500000000003</x:v>
      </x:c>
      <x:c r="R33" s="43" t="str">
        <x:v>灰色轨迹</x:v>
      </x:c>
      <x:c r="S33" s="44" t="n">
        <x:v>21.54</x:v>
      </x:c>
      <x:c r="T33" s="72" t="str">
        <x:v>K91</x:v>
      </x:c>
      <x:c r="U33" s="44" t="n">
        <x:v>23.676</x:v>
      </x:c>
      <x:c r="V33" s="44" t="n">
        <x:v>26.5755</x:v>
      </x:c>
      <x:c r="W33" s="44" t="n">
        <x:v>22.3579</x:v>
      </x:c>
      <x:c r="X33" s="44" t="n">
        <x:v>23.72245</x:v>
      </x:c>
      <x:c r="Y33" s="44" t="n">
        <x:v>24.38845</x:v>
      </x:c>
      <x:c r="Z33" s="44" t="n">
        <x:v>23.519000000000002</x:v>
      </x:c>
      <x:c r="AA33" s="44" t="n">
        <x:v>26.594350000000002</x:v>
      </x:c>
      <x:c r="AB33" s="44" t="n">
        <x:v>21.4015</x:v>
      </x:c>
      <x:c r="AC33" s="60" t="str">
        <x:v>K197</x:v>
      </x:c>
      <x:c r="AD33" s="44" t="n">
        <x:v>22.808000000000003</x:v>
      </x:c>
      <x:c r="AE33" s="44" t="n">
        <x:v>25.8675</x:v>
      </x:c>
      <x:c r="AF33" s="44" t="n">
        <x:v>22.055600000000002</x:v>
      </x:c>
      <x:c r="AG33" s="44" t="n">
        <x:v>23.3038</x:v>
      </x:c>
      <x:c r="AH33" s="44" t="n">
        <x:v>23.4851</x:v>
      </x:c>
      <x:c r="AI33" s="44" t="n">
        <x:v>22.093</x:v>
      </x:c>
      <x:c r="AJ33" s="44" t="n">
        <x:v>26.334400000000006</x:v>
      </x:c>
      <x:c r="AK33" s="44" t="n">
        <x:v>21.225</x:v>
      </x:c>
      <x:c r="AL33" s="60" t="str">
        <x:v>K197</x:v>
      </x:c>
      <x:c r="AM33" s="44" t="n">
        <x:v>20.88</x:v>
      </x:c>
      <x:c r="AN33" s="44" t="n">
        <x:v>22.710500000000003</x:v>
      </x:c>
      <x:c r="AO33" s="44" t="n">
        <x:v>20.1455</x:v>
      </x:c>
      <x:c r="AP33" s="44" t="n">
        <x:v>20.615</x:v>
      </x:c>
      <x:c r="AQ33" s="44" t="n">
        <x:v>20.2185</x:v>
      </x:c>
      <x:c r="AR33" s="44" t="n">
        <x:v>20.065</x:v>
      </x:c>
      <x:c r="AS33" s="44" t="n">
        <x:v>23.750500000000002</x:v>
      </x:c>
      <x:c r="AT33" s="44" t="n">
        <x:v>19.735</x:v>
      </x:c>
      <x:c r="AU33" s="60" t="str">
        <x:v>K197</x:v>
      </x:c>
    </x:row>
    <x:row r="34" ht="18" customHeight="1">
      <x:c r="A34" s="43" t="str">
        <x:v>Archers</x:v>
      </x:c>
      <x:c r="B34" s="43" t="str">
        <x:v>Archer Health</x:v>
      </x:c>
      <x:c r="C34" s="43" t="str">
        <x:v>Higher</x:v>
      </x:c>
      <x:c r="D34" s="43" t="str">
        <x:v>邪恶的Xero</x:v>
      </x:c>
      <x:c r="E34" s="44" t="n">
        <x:v>17.5635</x:v>
      </x:c>
      <x:c r="F34" s="43" t="str">
        <x:v>λTλ⁵⁷βЄЧ</x:v>
      </x:c>
      <x:c r="G34" s="44" t="n">
        <x:v>20.826999999999998</x:v>
      </x:c>
      <x:c r="H34" s="43" t="str">
        <x:v>山君</x:v>
      </x:c>
      <x:c r="I34" s="44" t="n">
        <x:v>17.1835</x:v>
      </x:c>
      <x:c r="J34" s="43" t="str">
        <x:v>(RaW)ϟCrozyϟ</x:v>
      </x:c>
      <x:c r="K34" s="44" t="n">
        <x:v>19.207</x:v>
      </x:c>
      <x:c r="L34" s="43" t="str">
        <x:v>(AOT)MG·Yu</x:v>
      </x:c>
      <x:c r="M34" s="44" t="n">
        <x:v>18.885</x:v>
      </x:c>
      <x:c r="N34" s="43" t="str">
        <x:v>纵横,,,大风</x:v>
      </x:c>
      <x:c r="O34" s="44" t="n">
        <x:v>18.09</x:v>
      </x:c>
      <x:c r="P34" s="43" t="str">
        <x:v>Saku</x:v>
      </x:c>
      <x:c r="Q34" s="44" t="n">
        <x:v>20.697</x:v>
      </x:c>
      <x:c r="R34" s="43" t="str">
        <x:v>♱Seraphim織羽♱</x:v>
      </x:c>
      <x:c r="S34" s="44" t="n">
        <x:v>17.315</x:v>
      </x:c>
      <x:c r="T34" s="72" t="str">
        <x:v>K91</x:v>
      </x:c>
      <x:c r="U34" s="44" t="n">
        <x:v>17.532500000000002</x:v>
      </x:c>
      <x:c r="V34" s="44" t="n">
        <x:v>20.239</x:v>
      </x:c>
      <x:c r="W34" s="44" t="n">
        <x:v>16.79675</x:v>
      </x:c>
      <x:c r="X34" s="44" t="n">
        <x:v>18.30025</x:v>
      </x:c>
      <x:c r="Y34" s="44" t="n">
        <x:v>18.329250000000002</x:v>
      </x:c>
      <x:c r="Z34" s="44" t="n">
        <x:v>17.102</x:v>
      </x:c>
      <x:c r="AA34" s="44" t="n">
        <x:v>20.292</x:v>
      </x:c>
      <x:c r="AB34" s="44" t="n">
        <x:v>16.6585</x:v>
      </x:c>
      <x:c r="AC34" s="60" t="str">
        <x:v>K197</x:v>
      </x:c>
      <x:c r="AD34" s="44" t="n">
        <x:v>17.4655</x:v>
      </x:c>
      <x:c r="AE34" s="44" t="n">
        <x:v>19.437</x:v>
      </x:c>
      <x:c r="AF34" s="44" t="n">
        <x:v>15.990699999999999</x:v>
      </x:c>
      <x:c r="AG34" s="44" t="n">
        <x:v>17.6839</x:v>
      </x:c>
      <x:c r="AH34" s="44" t="n">
        <x:v>17.7791</x:v>
      </x:c>
      <x:c r="AI34" s="44" t="n">
        <x:v>15.682999999999998</x:v>
      </x:c>
      <x:c r="AJ34" s="44" t="n">
        <x:v>19.775000000000002</x:v>
      </x:c>
      <x:c r="AK34" s="44" t="n">
        <x:v>16.149</x:v>
      </x:c>
      <x:c r="AL34" s="60" t="str">
        <x:v>K197</x:v>
      </x:c>
      <x:c r="AM34" s="44" t="n">
        <x:v>16.4885</x:v>
      </x:c>
      <x:c r="AN34" s="44" t="n">
        <x:v>16.912</x:v>
      </x:c>
      <x:c r="AO34" s="44" t="n">
        <x:v>12.559249999999999</x:v>
      </x:c>
      <x:c r="AP34" s="44" t="n">
        <x:v>16.177</x:v>
      </x:c>
      <x:c r="AQ34" s="44" t="n">
        <x:v>15.3435</x:v>
      </x:c>
      <x:c r="AR34" s="44" t="n">
        <x:v>13.48</x:v>
      </x:c>
      <x:c r="AS34" s="44" t="n">
        <x:v>17.947</x:v>
      </x:c>
      <x:c r="AT34" s="44" t="n">
        <x:v>13.2725</x:v>
      </x:c>
      <x:c r="AU34" s="60" t="str">
        <x:v>K197</x:v>
      </x:c>
    </x:row>
    <x:row r="35" ht="18" customHeight="1">
      <x:c r="A35" s="43" t="str">
        <x:v>Archers</x:v>
      </x:c>
      <x:c r="B35" s="43" t="str">
        <x:v>Archer Defense</x:v>
      </x:c>
      <x:c r="C35" s="43" t="str">
        <x:v>Higher</x:v>
      </x:c>
      <x:c r="D35" s="43" t="str">
        <x:v>Crixus</x:v>
      </x:c>
      <x:c r="E35" s="44" t="n">
        <x:v>12.965</x:v>
      </x:c>
      <x:c r="F35" s="43" t="str">
        <x:v>•Pain•</x:v>
      </x:c>
      <x:c r="G35" s="44" t="n">
        <x:v>15.0435</x:v>
      </x:c>
      <x:c r="H35" s="43" t="str">
        <x:v>光之使者</x:v>
      </x:c>
      <x:c r="I35" s="44" t="n">
        <x:v>15.113499999999998</x:v>
      </x:c>
      <x:c r="J35" s="43" t="str">
        <x:v>(RaW)༺惊鸿༻</x:v>
      </x:c>
      <x:c r="K35" s="44" t="n">
        <x:v>14.2485</x:v>
      </x:c>
      <x:c r="L35" s="43" t="str">
        <x:v>(AOT)鸣鸣鸣</x:v>
      </x:c>
      <x:c r="M35" s="44" t="n">
        <x:v>13.8635</x:v>
      </x:c>
      <x:c r="N35" s="43" t="str">
        <x:v>爽歪歪</x:v>
      </x:c>
      <x:c r="O35" s="44" t="n">
        <x:v>15.4935</x:v>
      </x:c>
      <x:c r="P35" s="43" t="str">
        <x:v>Хлебушек</x:v>
      </x:c>
      <x:c r="Q35" s="44" t="n">
        <x:v>15.9935</x:v>
      </x:c>
      <x:c r="R35" s="43" t="str">
        <x:v>ʚ老⑥ɞ</x:v>
      </x:c>
      <x:c r="S35" s="44" t="n">
        <x:v>13.195</x:v>
      </x:c>
      <x:c r="T35" s="60" t="str">
        <x:v>K197</x:v>
      </x:c>
      <x:c r="U35" s="44" t="n">
        <x:v>12.666999999999998</x:v>
      </x:c>
      <x:c r="V35" s="44" t="n">
        <x:v>13.280750000000001</x:v>
      </x:c>
      <x:c r="W35" s="44" t="n">
        <x:v>14.794</x:v>
      </x:c>
      <x:c r="X35" s="44" t="n">
        <x:v>13.47745</x:v>
      </x:c>
      <x:c r="Y35" s="44" t="n">
        <x:v>13.5648</x:v>
      </x:c>
      <x:c r="Z35" s="44" t="n">
        <x:v>14.665799999999999</x:v>
      </x:c>
      <x:c r="AA35" s="44" t="n">
        <x:v>14.675749999999999</x:v>
      </x:c>
      <x:c r="AB35" s="44" t="n">
        <x:v>12.2062</x:v>
      </x:c>
      <x:c r="AC35" s="57" t="str">
        <x:v>K116</x:v>
      </x:c>
      <x:c r="AD35" s="44" t="n">
        <x:v>12.260000000000002</x:v>
      </x:c>
      <x:c r="AE35" s="44" t="n">
        <x:v>11.7407</x:v>
      </x:c>
      <x:c r="AF35" s="44" t="n">
        <x:v>14.104499999999998</x:v>
      </x:c>
      <x:c r="AG35" s="44" t="n">
        <x:v>12.939400000000001</x:v>
      </x:c>
      <x:c r="AH35" s="44" t="n">
        <x:v>13.1264</x:v>
      </x:c>
      <x:c r="AI35" s="44" t="n">
        <x:v>13.397799999999998</x:v>
      </x:c>
      <x:c r="AJ35" s="44" t="n">
        <x:v>13.246699999999999</x:v>
      </x:c>
      <x:c r="AK35" s="44" t="n">
        <x:v>11.403699999999999</x:v>
      </x:c>
      <x:c r="AL35" s="57" t="str">
        <x:v>K116</x:v>
      </x:c>
      <x:c r="AM35" s="44" t="n">
        <x:v>10.26</x:v>
      </x:c>
      <x:c r="AN35" s="44" t="n">
        <x:v>8.775</x:v>
      </x:c>
      <x:c r="AO35" s="44" t="n">
        <x:v>10.366</x:v>
      </x:c>
      <x:c r="AP35" s="44" t="n">
        <x:v>9.965</x:v>
      </x:c>
      <x:c r="AQ35" s="44" t="n">
        <x:v>10.1735</x:v>
      </x:c>
      <x:c r="AR35" s="44" t="n">
        <x:v>11.833499999999999</x:v>
      </x:c>
      <x:c r="AS35" s="44" t="n">
        <x:v>9.277000000000001</x:v>
      </x:c>
      <x:c r="AT35" s="44" t="n">
        <x:v>9.1425</x:v>
      </x:c>
      <x:c r="AU35" s="54" t="str">
        <x:v>K54</x:v>
      </x:c>
    </x:row>
    <x:row r="36" ht="18" customHeight="1">
      <x:c r="A36" s="43" t="str">
        <x:v>Archers</x:v>
      </x:c>
      <x:c r="B36" s="43" t="str">
        <x:v>Archer Damage</x:v>
      </x:c>
      <x:c r="C36" s="43" t="str">
        <x:v>Higher</x:v>
      </x:c>
      <x:c r="D36" s="43" t="str">
        <x:v>InFlames</x:v>
      </x:c>
      <x:c r="E36" s="44" t="n">
        <x:v>2.045</x:v>
      </x:c>
      <x:c r="F36" s="43" t="str">
        <x:v>•Pain•</x:v>
      </x:c>
      <x:c r="G36" s="44" t="n">
        <x:v>2.145</x:v>
      </x:c>
      <x:c r="H36" s="43" t="str">
        <x:v>Jesse</x:v>
      </x:c>
      <x:c r="I36" s="44" t="n">
        <x:v>2.045</x:v>
      </x:c>
      <x:c r="J36" s="43" t="str">
        <x:v>(RaW)SLAP (+1 tied)</x:v>
      </x:c>
      <x:c r="K36" s="44" t="n">
        <x:v>1.8875</x:v>
      </x:c>
      <x:c r="L36" s="43" t="str">
        <x:v>(AOT)MG·Yu</x:v>
      </x:c>
      <x:c r="M36" s="44" t="n">
        <x:v>2.035</x:v>
      </x:c>
      <x:c r="N36" s="43" t="str">
        <x:v>纵横,,,杀戮</x:v>
      </x:c>
      <x:c r="O36" s="44" t="n">
        <x:v>2.08</x:v>
      </x:c>
      <x:c r="P36" s="43" t="str">
        <x:v>Хлебушек</x:v>
      </x:c>
      <x:c r="Q36" s="44" t="n">
        <x:v>2.045</x:v>
      </x:c>
      <x:c r="R36" s="43" t="str">
        <x:v>苟拓通天肆意妄为</x:v>
      </x:c>
      <x:c r="S36" s="44" t="n">
        <x:v>1.8675</x:v>
      </x:c>
      <x:c r="T36" s="72" t="str">
        <x:v>K91</x:v>
      </x:c>
      <x:c r="U36" s="44" t="n">
        <x:v>2.013</x:v>
      </x:c>
      <x:c r="V36" s="44" t="n">
        <x:v>1.919</x:v>
      </x:c>
      <x:c r="W36" s="44" t="n">
        <x:v>1.9117499999999998</x:v>
      </x:c>
      <x:c r="X36" s="44" t="n">
        <x:v>1.8789999999999998</x:v>
      </x:c>
      <x:c r="Y36" s="44" t="n">
        <x:v>1.97325</x:v>
      </x:c>
      <x:c r="Z36" s="44" t="n">
        <x:v>2.0365</x:v>
      </x:c>
      <x:c r="AA36" s="44" t="n">
        <x:v>1.9525000000000001</x:v>
      </x:c>
      <x:c r="AB36" s="44" t="n">
        <x:v>1.7435</x:v>
      </x:c>
      <x:c r="AC36" s="54" t="str">
        <x:v>K54</x:v>
      </x:c>
      <x:c r="AD36" s="44" t="n">
        <x:v>1.9615000000000002</x:v>
      </x:c>
      <x:c r="AE36" s="44" t="n">
        <x:v>1.7779999999999998</x:v>
      </x:c>
      <x:c r="AF36" s="44" t="n">
        <x:v>1.7600000000000002</x:v>
      </x:c>
      <x:c r="AG36" s="44" t="n">
        <x:v>1.8344999999999998</x:v>
      </x:c>
      <x:c r="AH36" s="44" t="n">
        <x:v>1.9095000000000002</x:v>
      </x:c>
      <x:c r="AI36" s="44" t="n">
        <x:v>1.9170000000000003</x:v>
      </x:c>
      <x:c r="AJ36" s="44" t="n">
        <x:v>1.8425</x:v>
      </x:c>
      <x:c r="AK36" s="44" t="n">
        <x:v>1.6565</x:v>
      </x:c>
      <x:c r="AL36" s="63" t="str">
        <x:v>K60</x:v>
      </x:c>
      <x:c r="AM36" s="44" t="n">
        <x:v>1.7125</x:v>
      </x:c>
      <x:c r="AN36" s="44" t="n">
        <x:v>1.5875</x:v>
      </x:c>
      <x:c r="AO36" s="44" t="n">
        <x:v>1.52625</x:v>
      </x:c>
      <x:c r="AP36" s="44" t="n">
        <x:v>1.645</x:v>
      </x:c>
      <x:c r="AQ36" s="44" t="n">
        <x:v>1.6675</x:v>
      </x:c>
      <x:c r="AR36" s="44" t="n">
        <x:v>1.5475</x:v>
      </x:c>
      <x:c r="AS36" s="44" t="n">
        <x:v>1.6675</x:v>
      </x:c>
      <x:c r="AT36" s="44" t="n">
        <x:v>1.48125</x:v>
      </x:c>
      <x:c r="AU36" s="63" t="str">
        <x:v>K60</x:v>
      </x:c>
    </x:row>
    <x:row r="37" ht="18" customHeight="1">
      <x:c r="A37" s="43" t="str">
        <x:v>Archers</x:v>
      </x:c>
      <x:c r="B37" s="43" t="str">
        <x:v>Archer Damage Received</x:v>
      </x:c>
      <x:c r="C37" s="43" t="str">
        <x:v>Lower</x:v>
      </x:c>
      <x:c r="D37" s="43" t="str">
        <x:v>CerialKiller</x:v>
      </x:c>
      <x:c r="E37" s="44" t="n">
        <x:v>-1.9275</x:v>
      </x:c>
      <x:c r="F37" s="43" t="str">
        <x:v>•Pain•</x:v>
      </x:c>
      <x:c r="G37" s="44" t="n">
        <x:v>-1.945</x:v>
      </x:c>
      <x:c r="H37" s="43" t="str">
        <x:v>Jesse (+1 tied)</x:v>
      </x:c>
      <x:c r="I37" s="44" t="n">
        <x:v>-1.945</x:v>
      </x:c>
      <x:c r="J37" s="43" t="str">
        <x:v>(RaW)ϟCrozyϟ</x:v>
      </x:c>
      <x:c r="K37" s="44" t="n">
        <x:v>-1.865</x:v>
      </x:c>
      <x:c r="L37" s="43" t="str">
        <x:v>(AOT)SanSW°</x:v>
      </x:c>
      <x:c r="M37" s="44" t="n">
        <x:v>-1.9075</x:v>
      </x:c>
      <x:c r="N37" s="43" t="str">
        <x:v>爽歪歪</x:v>
      </x:c>
      <x:c r="O37" s="44" t="n">
        <x:v>-1.965</x:v>
      </x:c>
      <x:c r="P37" s="43" t="str">
        <x:v>Хлебушек</x:v>
      </x:c>
      <x:c r="Q37" s="44" t="n">
        <x:v>-1.875</x:v>
      </x:c>
      <x:c r="R37" s="43" t="str">
        <x:v>苟拓通天肆意妄为</x:v>
      </x:c>
      <x:c r="S37" s="44" t="n">
        <x:v>-1.945</x:v>
      </x:c>
      <x:c r="T37" s="54" t="str">
        <x:v>K54</x:v>
      </x:c>
      <x:c r="U37" s="44" t="n">
        <x:v>-1.82625</x:v>
      </x:c>
      <x:c r="V37" s="44" t="n">
        <x:v>-1.77875</x:v>
      </x:c>
      <x:c r="W37" s="44" t="n">
        <x:v>-1.8455000000000001</x:v>
      </x:c>
      <x:c r="X37" s="44" t="n">
        <x:v>-1.68375</x:v>
      </x:c>
      <x:c r="Y37" s="44" t="n">
        <x:v>-1.7005000000000001</x:v>
      </x:c>
      <x:c r="Z37" s="44" t="n">
        <x:v>-1.9120000000000001</x:v>
      </x:c>
      <x:c r="AA37" s="44" t="n">
        <x:v>-1.688</x:v>
      </x:c>
      <x:c r="AB37" s="44" t="n">
        <x:v>-1.7435</x:v>
      </x:c>
      <x:c r="AC37" s="54" t="str">
        <x:v>K54</x:v>
      </x:c>
      <x:c r="AD37" s="44" t="n">
        <x:v>-1.672</x:v>
      </x:c>
      <x:c r="AE37" s="44" t="n">
        <x:v>-1.6280000000000001</x:v>
      </x:c>
      <x:c r="AF37" s="44" t="n">
        <x:v>-1.6465</x:v>
      </x:c>
      <x:c r="AG37" s="44" t="n">
        <x:v>-1.568</x:v>
      </x:c>
      <x:c r="AH37" s="44" t="n">
        <x:v>-1.5670000000000002</x:v>
      </x:c>
      <x:c r="AI37" s="44" t="n">
        <x:v>-1.707</x:v>
      </x:c>
      <x:c r="AJ37" s="44" t="n">
        <x:v>-1.5619999999999998</x:v>
      </x:c>
      <x:c r="AK37" s="44" t="n">
        <x:v>-1.5784999999999998</x:v>
      </x:c>
      <x:c r="AL37" s="54" t="str">
        <x:v>K54</x:v>
      </x:c>
      <x:c r="AM37" s="44" t="n">
        <x:v>-1.4475</x:v>
      </x:c>
      <x:c r="AN37" s="44" t="n">
        <x:v>-1.43625</x:v>
      </x:c>
      <x:c r="AO37" s="44" t="n">
        <x:v>-1.385</x:v>
      </x:c>
      <x:c r="AP37" s="44" t="n">
        <x:v>-1.43</x:v>
      </x:c>
      <x:c r="AQ37" s="44" t="n">
        <x:v>-1.4475</x:v>
      </x:c>
      <x:c r="AR37" s="44" t="n">
        <x:v>-1.4275</x:v>
      </x:c>
      <x:c r="AS37" s="44" t="n">
        <x:v>-1.4075</x:v>
      </x:c>
      <x:c r="AT37" s="44" t="n">
        <x:v>-1.4275</x:v>
      </x:c>
      <x:c r="AU37" s="180" t="str">
        <x:v>Tie</x:v>
      </x:c>
    </x:row>
    <x:row r="38" ht="18" customHeight="1">
      <x:c r="A38" s="43" t="str">
        <x:v>Archers</x:v>
      </x:c>
      <x:c r="B38" s="43" t="str">
        <x:v>Archer Attack Blessing</x:v>
      </x:c>
      <x:c r="C38" s="43" t="str">
        <x:v>Higher</x:v>
      </x:c>
      <x:c r="D38" s="43" t="str">
        <x:v>CerialKiller</x:v>
      </x:c>
      <x:c r="E38" s="44" t="n">
        <x:v>6.26</x:v>
      </x:c>
      <x:c r="F38" s="43" t="str">
        <x:v>•Pain•</x:v>
      </x:c>
      <x:c r="G38" s="44" t="n">
        <x:v>9</x:v>
      </x:c>
      <x:c r="H38" s="43" t="str">
        <x:v>Jesse</x:v>
      </x:c>
      <x:c r="I38" s="44" t="n">
        <x:v>9</x:v>
      </x:c>
      <x:c r="J38" s="43" t="str">
        <x:v>(RaW)༺惊鸿༻</x:v>
      </x:c>
      <x:c r="K38" s="44" t="n">
        <x:v>6.26</x:v>
      </x:c>
      <x:c r="L38" s="43" t="str">
        <x:v>(AOT)MG·Yu</x:v>
      </x:c>
      <x:c r="M38" s="44" t="n">
        <x:v>7</x:v>
      </x:c>
      <x:c r="N38" s="43" t="str">
        <x:v>爽歪歪 (+1 tied)</x:v>
      </x:c>
      <x:c r="O38" s="44" t="n">
        <x:v>9</x:v>
      </x:c>
      <x:c r="P38" s="43" t="str">
        <x:v>Хлебушек (+1 tied)</x:v>
      </x:c>
      <x:c r="Q38" s="44" t="n">
        <x:v>9</x:v>
      </x:c>
      <x:c r="R38" s="43" t="str">
        <x:v>苟拓通天肆意妄为</x:v>
      </x:c>
      <x:c r="S38" s="44" t="n">
        <x:v>9</x:v>
      </x:c>
      <x:c r="T38" s="180" t="str">
        <x:v>Tie</x:v>
      </x:c>
      <x:c r="U38" s="44" t="n">
        <x:v>6.189</x:v>
      </x:c>
      <x:c r="V38" s="44" t="n">
        <x:v>7.816</x:v>
      </x:c>
      <x:c r="W38" s="44" t="n">
        <x:v>8</x:v>
      </x:c>
      <x:c r="X38" s="44" t="n">
        <x:v>6.16</x:v>
      </x:c>
      <x:c r="Y38" s="44" t="n">
        <x:v>6.747</x:v>
      </x:c>
      <x:c r="Z38" s="44" t="n">
        <x:v>8.6</x:v>
      </x:c>
      <x:c r="AA38" s="44" t="n">
        <x:v>8.6</x:v>
      </x:c>
      <x:c r="AB38" s="44" t="n">
        <x:v>7.44</x:v>
      </x:c>
      <x:c r="AC38" s="180" t="str">
        <x:v>Tie</x:v>
      </x:c>
      <x:c r="AD38" s="44" t="n">
        <x:v>6.052</x:v>
      </x:c>
      <x:c r="AE38" s="44" t="n">
        <x:v>6.7219999999999995</x:v>
      </x:c>
      <x:c r="AF38" s="44" t="n">
        <x:v>7.343999999999999</x:v>
      </x:c>
      <x:c r="AG38" s="44" t="n">
        <x:v>6.034000000000001</x:v>
      </x:c>
      <x:c r="AH38" s="44" t="n">
        <x:v>6.382000000000001</x:v>
      </x:c>
      <x:c r="AI38" s="44" t="n">
        <x:v>7.426</x:v>
      </x:c>
      <x:c r="AJ38" s="44" t="n">
        <x:v>7.672</x:v>
      </x:c>
      <x:c r="AK38" s="44" t="n">
        <x:v>5.988</x:v>
      </x:c>
      <x:c r="AL38" s="60" t="str">
        <x:v>K197</x:v>
      </x:c>
      <x:c r="AM38" s="44" t="n">
        <x:v>4.98</x:v>
      </x:c>
      <x:c r="AN38" s="44" t="n">
        <x:v>4.279999999999999</x:v>
      </x:c>
      <x:c r="AO38" s="44" t="n">
        <x:v>4.035</x:v>
      </x:c>
      <x:c r="AP38" s="44" t="n">
        <x:v>3.37</x:v>
      </x:c>
      <x:c r="AQ38" s="44" t="n">
        <x:v>4.98</x:v>
      </x:c>
      <x:c r="AR38" s="44" t="n">
        <x:v>6.03</x:v>
      </x:c>
      <x:c r="AS38" s="44" t="n">
        <x:v>4.91</x:v>
      </x:c>
      <x:c r="AT38" s="44" t="n">
        <x:v>4.09</x:v>
      </x:c>
      <x:c r="AU38" s="54" t="str">
        <x:v>K54</x:v>
      </x:c>
    </x:row>
    <x:row r="39" ht="18" customHeight="1">
      <x:c r="A39" s="43" t="str">
        <x:v>Archers</x:v>
      </x:c>
      <x:c r="B39" s="43" t="str">
        <x:v>Archer Protection Blessing</x:v>
      </x:c>
      <x:c r="C39" s="43" t="str">
        <x:v>Higher</x:v>
      </x:c>
      <x:c r="D39" s="43" t="str">
        <x:v>CerialKiller</x:v>
      </x:c>
      <x:c r="E39" s="44" t="n">
        <x:v>4.42</x:v>
      </x:c>
      <x:c r="F39" s="43" t="str">
        <x:v>•Pain•</x:v>
      </x:c>
      <x:c r="G39" s="44" t="n">
        <x:v>6.63</x:v>
      </x:c>
      <x:c r="H39" s="43" t="str">
        <x:v>Jesse (+2 tied)</x:v>
      </x:c>
      <x:c r="I39" s="44" t="n">
        <x:v>7</x:v>
      </x:c>
      <x:c r="J39" s="43" t="str">
        <x:v>(RaW)Critykal</x:v>
      </x:c>
      <x:c r="K39" s="44" t="n">
        <x:v>3.74</x:v>
      </x:c>
      <x:c r="L39" s="43" t="str">
        <x:v>(AOT)Kelley</x:v>
      </x:c>
      <x:c r="M39" s="44" t="n">
        <x:v>4.08</x:v>
      </x:c>
      <x:c r="N39" s="43" t="str">
        <x:v>爽歪歪 (+1 tied)</x:v>
      </x:c>
      <x:c r="O39" s="44" t="n">
        <x:v>9</x:v>
      </x:c>
      <x:c r="P39" s="43" t="str">
        <x:v>Хлебушек</x:v>
      </x:c>
      <x:c r="Q39" s="44" t="n">
        <x:v>9</x:v>
      </x:c>
      <x:c r="R39" s="43" t="str">
        <x:v>ʚ老⑥ɞ</x:v>
      </x:c>
      <x:c r="S39" s="44" t="n">
        <x:v>4.48</x:v>
      </x:c>
      <x:c r="T39" s="180" t="str">
        <x:v>Tie</x:v>
      </x:c>
      <x:c r="U39" s="44" t="n">
        <x:v>4.1659999999999995</x:v>
      </x:c>
      <x:c r="V39" s="44" t="n">
        <x:v>5.668</x:v>
      </x:c>
      <x:c r="W39" s="44" t="n">
        <x:v>7</x:v>
      </x:c>
      <x:c r="X39" s="44" t="n">
        <x:v>3.6400000000000006</x:v>
      </x:c>
      <x:c r="Y39" s="44" t="n">
        <x:v>3.997</x:v>
      </x:c>
      <x:c r="Z39" s="44" t="n">
        <x:v>8.6</x:v>
      </x:c>
      <x:c r="AA39" s="44" t="n">
        <x:v>7.2059999999999995</x:v>
      </x:c>
      <x:c r="AB39" s="44" t="n">
        <x:v>4.033</x:v>
      </x:c>
      <x:c r="AC39" s="54" t="str">
        <x:v>K54</x:v>
      </x:c>
      <x:c r="AD39" s="44" t="n">
        <x:v>3.718</x:v>
      </x:c>
      <x:c r="AE39" s="44" t="n">
        <x:v>4.564</x:v>
      </x:c>
      <x:c r="AF39" s="44" t="n">
        <x:v>5.728</x:v>
      </x:c>
      <x:c r="AG39" s="44" t="n">
        <x:v>3.566</x:v>
      </x:c>
      <x:c r="AH39" s="44" t="n">
        <x:v>3.8180000000000005</x:v>
      </x:c>
      <x:c r="AI39" s="44" t="n">
        <x:v>7.104000000000001</x:v>
      </x:c>
      <x:c r="AJ39" s="44" t="n">
        <x:v>5.538</x:v>
      </x:c>
      <x:c r="AK39" s="44" t="n">
        <x:v>3.406</x:v>
      </x:c>
      <x:c r="AL39" s="54" t="str">
        <x:v>K54</x:v>
      </x:c>
      <x:c r="AM39" s="44" t="n">
        <x:v>2.57</x:v>
      </x:c>
      <x:c r="AN39" s="44" t="n">
        <x:v>2.66</x:v>
      </x:c>
      <x:c r="AO39" s="44" t="n">
        <x:v>2.0549999999999997</x:v>
      </x:c>
      <x:c r="AP39" s="44" t="n">
        <x:v>1.97</x:v>
      </x:c>
      <x:c r="AQ39" s="44" t="n">
        <x:v>2.54</x:v>
      </x:c>
      <x:c r="AR39" s="44" t="n">
        <x:v>4.1</x:v>
      </x:c>
      <x:c r="AS39" s="44" t="n">
        <x:v>2.66</x:v>
      </x:c>
      <x:c r="AT39" s="44" t="n">
        <x:v>2.12</x:v>
      </x:c>
      <x:c r="AU39" s="54" t="str">
        <x:v>K54</x:v>
      </x:c>
    </x:row>
    <x:row r="40" ht="18" customHeight="1">
      <x:c r="A40" s="43" t="str">
        <x:v>Siege</x:v>
      </x:c>
      <x:c r="B40" s="43" t="str">
        <x:v>Siege Attack</x:v>
      </x:c>
      <x:c r="C40" s="43" t="str">
        <x:v>Higher</x:v>
      </x:c>
      <x:c r="D40" s="43" t="str">
        <x:v>InFlames</x:v>
      </x:c>
      <x:c r="E40" s="44" t="n">
        <x:v>22.1435</x:v>
      </x:c>
      <x:c r="F40" s="43" t="str">
        <x:v>•Pain•</x:v>
      </x:c>
      <x:c r="G40" s="44" t="n">
        <x:v>18.47</x:v>
      </x:c>
      <x:c r="H40" s="43" t="str">
        <x:v>光之使者</x:v>
      </x:c>
      <x:c r="I40" s="44" t="n">
        <x:v>19.07</x:v>
      </x:c>
      <x:c r="J40" s="43" t="str">
        <x:v>(RaW)让世界沐浴在血中</x:v>
      </x:c>
      <x:c r="K40" s="44" t="n">
        <x:v>20.5585</x:v>
      </x:c>
      <x:c r="L40" s="43" t="str">
        <x:v>(AOT)StFruz</x:v>
      </x:c>
      <x:c r="M40" s="44" t="n">
        <x:v>20.025</x:v>
      </x:c>
      <x:c r="N40" s="43" t="str">
        <x:v>纵横,,,杀戮</x:v>
      </x:c>
      <x:c r="O40" s="44" t="n">
        <x:v>23.8535</x:v>
      </x:c>
      <x:c r="P40" s="43" t="str">
        <x:v>Хлебушек</x:v>
      </x:c>
      <x:c r="Q40" s="44" t="n">
        <x:v>22.89</x:v>
      </x:c>
      <x:c r="R40" s="43" t="str">
        <x:v>♱Seraphim織羽♱</x:v>
      </x:c>
      <x:c r="S40" s="44" t="n">
        <x:v>18.743499999999997</x:v>
      </x:c>
      <x:c r="T40" s="54" t="str">
        <x:v>K54</x:v>
      </x:c>
      <x:c r="U40" s="44" t="n">
        <x:v>21.94785</x:v>
      </x:c>
      <x:c r="V40" s="44" t="n">
        <x:v>17.507749999999998</x:v>
      </x:c>
      <x:c r="W40" s="44" t="n">
        <x:v>18.39</x:v>
      </x:c>
      <x:c r="X40" s="44" t="n">
        <x:v>20.4665</x:v>
      </x:c>
      <x:c r="Y40" s="44" t="n">
        <x:v>18.88225</x:v>
      </x:c>
      <x:c r="Z40" s="44" t="n">
        <x:v>22.959500000000002</x:v>
      </x:c>
      <x:c r="AA40" s="44" t="n">
        <x:v>20.85305</x:v>
      </x:c>
      <x:c r="AB40" s="44" t="n">
        <x:v>18.386499999999998</x:v>
      </x:c>
      <x:c r="AC40" s="54" t="str">
        <x:v>K54</x:v>
      </x:c>
      <x:c r="AD40" s="44" t="n">
        <x:v>21.5319</x:v>
      </x:c>
      <x:c r="AE40" s="44" t="n">
        <x:v>15.834800000000001</x:v>
      </x:c>
      <x:c r="AF40" s="44" t="n">
        <x:v>17.6544</x:v>
      </x:c>
      <x:c r="AG40" s="44" t="n">
        <x:v>19.4538</x:v>
      </x:c>
      <x:c r="AH40" s="44" t="n">
        <x:v>17.1164</x:v>
      </x:c>
      <x:c r="AI40" s="44" t="n">
        <x:v>21.685499999999998</x:v>
      </x:c>
      <x:c r="AJ40" s="44" t="n">
        <x:v>17.599899999999998</x:v>
      </x:c>
      <x:c r="AK40" s="44" t="n">
        <x:v>18.0048</x:v>
      </x:c>
      <x:c r="AL40" s="54" t="str">
        <x:v>K54</x:v>
      </x:c>
      <x:c r="AM40" s="44" t="n">
        <x:v>14.15</x:v>
      </x:c>
      <x:c r="AN40" s="44" t="n">
        <x:v>11.01625</x:v>
      </x:c>
      <x:c r="AO40" s="44" t="n">
        <x:v>14.690000000000001</x:v>
      </x:c>
      <x:c r="AP40" s="44" t="n">
        <x:v>12.59</x:v>
      </x:c>
      <x:c r="AQ40" s="44" t="n">
        <x:v>13.66</x:v>
      </x:c>
      <x:c r="AR40" s="44" t="n">
        <x:v>20.0685</x:v>
      </x:c>
      <x:c r="AS40" s="44" t="n">
        <x:v>10.417</x:v>
      </x:c>
      <x:c r="AT40" s="44" t="n">
        <x:v>15.315999999999999</x:v>
      </x:c>
      <x:c r="AU40" s="54" t="str">
        <x:v>K54</x:v>
      </x:c>
    </x:row>
    <x:row r="41" ht="18" customHeight="1">
      <x:c r="A41" s="43" t="str">
        <x:v>Siege</x:v>
      </x:c>
      <x:c r="B41" s="43" t="str">
        <x:v>Siege Health</x:v>
      </x:c>
      <x:c r="C41" s="43" t="str">
        <x:v>Higher</x:v>
      </x:c>
      <x:c r="D41" s="43" t="str">
        <x:v>CerialKiller</x:v>
      </x:c>
      <x:c r="E41" s="44" t="n">
        <x:v>13.327</x:v>
      </x:c>
      <x:c r="F41" s="43" t="str">
        <x:v>•Pain•</x:v>
      </x:c>
      <x:c r="G41" s="44" t="n">
        <x:v>12.915</x:v>
      </x:c>
      <x:c r="H41" s="43" t="str">
        <x:v>Jesse</x:v>
      </x:c>
      <x:c r="I41" s="44" t="n">
        <x:v>12.64</x:v>
      </x:c>
      <x:c r="J41" s="43" t="str">
        <x:v>(RaW)ϟCrozyϟ</x:v>
      </x:c>
      <x:c r="K41" s="44" t="n">
        <x:v>13.722</x:v>
      </x:c>
      <x:c r="L41" s="43" t="str">
        <x:v>(AOT)StFruz</x:v>
      </x:c>
      <x:c r="M41" s="44" t="n">
        <x:v>14.847</x:v>
      </x:c>
      <x:c r="N41" s="43" t="str">
        <x:v>爽歪歪</x:v>
      </x:c>
      <x:c r="O41" s="44" t="n">
        <x:v>14.585</x:v>
      </x:c>
      <x:c r="P41" s="43" t="str">
        <x:v>Хлебушек</x:v>
      </x:c>
      <x:c r="Q41" s="44" t="n">
        <x:v>15.44</x:v>
      </x:c>
      <x:c r="R41" s="43" t="str">
        <x:v>苟拓通天肆意妄为</x:v>
      </x:c>
      <x:c r="S41" s="44" t="n">
        <x:v>16.252</x:v>
      </x:c>
      <x:c r="T41" s="66" t="str">
        <x:v>K176</x:v>
      </x:c>
      <x:c r="U41" s="44" t="n">
        <x:v>12.3296</x:v>
      </x:c>
      <x:c r="V41" s="44" t="n">
        <x:v>11.075999999999999</x:v>
      </x:c>
      <x:c r="W41" s="44" t="n">
        <x:v>12.3085</x:v>
      </x:c>
      <x:c r="X41" s="44" t="n">
        <x:v>11.7085</x:v>
      </x:c>
      <x:c r="Y41" s="44" t="n">
        <x:v>13.1406</x:v>
      </x:c>
      <x:c r="Z41" s="44" t="n">
        <x:v>12.986</x:v>
      </x:c>
      <x:c r="AA41" s="44" t="n">
        <x:v>13.719999999999999</x:v>
      </x:c>
      <x:c r="AB41" s="44" t="n">
        <x:v>13.145499999999998</x:v>
      </x:c>
      <x:c r="AC41" s="60" t="str">
        <x:v>K197</x:v>
      </x:c>
      <x:c r="AD41" s="44" t="n">
        <x:v>11.4536</x:v>
      </x:c>
      <x:c r="AE41" s="44" t="n">
        <x:v>9.1644</x:v>
      </x:c>
      <x:c r="AF41" s="44" t="n">
        <x:v>10.833</x:v>
      </x:c>
      <x:c r="AG41" s="44" t="n">
        <x:v>10.0304</x:v>
      </x:c>
      <x:c r="AH41" s="44" t="n">
        <x:v>10.989799999999999</x:v>
      </x:c>
      <x:c r="AI41" s="44" t="n">
        <x:v>10.110000000000001</x:v>
      </x:c>
      <x:c r="AJ41" s="44" t="n">
        <x:v>11.159999999999998</x:v>
      </x:c>
      <x:c r="AK41" s="44" t="n">
        <x:v>11.2604</x:v>
      </x:c>
      <x:c r="AL41" s="63" t="str">
        <x:v>K60</x:v>
      </x:c>
      <x:c r="AM41" s="44" t="n">
        <x:v>6.88</x:v>
      </x:c>
      <x:c r="AN41" s="44" t="n">
        <x:v>6.3420000000000005</x:v>
      </x:c>
      <x:c r="AO41" s="44" t="n">
        <x:v>6.945</x:v>
      </x:c>
      <x:c r="AP41" s="44" t="n">
        <x:v>5.975</x:v>
      </x:c>
      <x:c r="AQ41" s="44" t="n">
        <x:v>5.89</x:v>
      </x:c>
      <x:c r="AR41" s="44" t="n">
        <x:v>6.4</x:v>
      </x:c>
      <x:c r="AS41" s="44" t="n">
        <x:v>6.335</x:v>
      </x:c>
      <x:c r="AT41" s="44" t="n">
        <x:v>8.307500000000001</x:v>
      </x:c>
      <x:c r="AU41" s="66" t="str">
        <x:v>K176</x:v>
      </x:c>
    </x:row>
    <x:row r="42" ht="18" customHeight="1">
      <x:c r="A42" s="43" t="str">
        <x:v>Siege</x:v>
      </x:c>
      <x:c r="B42" s="43" t="str">
        <x:v>Siege Defense</x:v>
      </x:c>
      <x:c r="C42" s="43" t="str">
        <x:v>Higher</x:v>
      </x:c>
      <x:c r="D42" s="43" t="str">
        <x:v>°Silent°</x:v>
      </x:c>
      <x:c r="E42" s="44" t="n">
        <x:v>13.635</x:v>
      </x:c>
      <x:c r="F42" s="43" t="str">
        <x:v>•Pain•</x:v>
      </x:c>
      <x:c r="G42" s="44" t="n">
        <x:v>15.575</x:v>
      </x:c>
      <x:c r="H42" s="43" t="str">
        <x:v>Jesse</x:v>
      </x:c>
      <x:c r="I42" s="44" t="n">
        <x:v>16.86</x:v>
      </x:c>
      <x:c r="J42" s="43" t="str">
        <x:v>(RaW)༺Frankie༻</x:v>
      </x:c>
      <x:c r="K42" s="44" t="n">
        <x:v>12.885</x:v>
      </x:c>
      <x:c r="L42" s="43" t="str">
        <x:v>(AOT)StFruz</x:v>
      </x:c>
      <x:c r="M42" s="44" t="n">
        <x:v>14.102</x:v>
      </x:c>
      <x:c r="N42" s="43" t="str">
        <x:v>纵横,,,大风</x:v>
      </x:c>
      <x:c r="O42" s="44" t="n">
        <x:v>17.05</x:v>
      </x:c>
      <x:c r="P42" s="43" t="str">
        <x:v>Хлебушек</x:v>
      </x:c>
      <x:c r="Q42" s="44" t="n">
        <x:v>18.405</x:v>
      </x:c>
      <x:c r="R42" s="43" t="str">
        <x:v>༺璀璨星辰༻</x:v>
      </x:c>
      <x:c r="S42" s="44" t="n">
        <x:v>14.86</x:v>
      </x:c>
      <x:c r="T42" s="60" t="str">
        <x:v>K197</x:v>
      </x:c>
      <x:c r="U42" s="44" t="n">
        <x:v>13.463999999999999</x:v>
      </x:c>
      <x:c r="V42" s="44" t="n">
        <x:v>13.979</x:v>
      </x:c>
      <x:c r="W42" s="44" t="n">
        <x:v>16.535999999999998</x:v>
      </x:c>
      <x:c r="X42" s="44" t="n">
        <x:v>12.74</x:v>
      </x:c>
      <x:c r="Y42" s="44" t="n">
        <x:v>13.769</x:v>
      </x:c>
      <x:c r="Z42" s="44" t="n">
        <x:v>16.715000000000003</x:v>
      </x:c>
      <x:c r="AA42" s="44" t="n">
        <x:v>15.6155</x:v>
      </x:c>
      <x:c r="AB42" s="44" t="n">
        <x:v>14.37</x:v>
      </x:c>
      <x:c r="AC42" s="54" t="str">
        <x:v>K54</x:v>
      </x:c>
      <x:c r="AD42" s="44" t="n">
        <x:v>12.549000000000001</x:v>
      </x:c>
      <x:c r="AE42" s="44" t="n">
        <x:v>11.466</x:v>
      </x:c>
      <x:c r="AF42" s="44" t="n">
        <x:v>14.806000000000001</x:v>
      </x:c>
      <x:c r="AG42" s="44" t="n">
        <x:v>12.337</x:v>
      </x:c>
      <x:c r="AH42" s="44" t="n">
        <x:v>12.928400000000002</x:v>
      </x:c>
      <x:c r="AI42" s="44" t="n">
        <x:v>15.664000000000001</x:v>
      </x:c>
      <x:c r="AJ42" s="44" t="n">
        <x:v>13.136</x:v>
      </x:c>
      <x:c r="AK42" s="44" t="n">
        <x:v>13.924000000000001</x:v>
      </x:c>
      <x:c r="AL42" s="54" t="str">
        <x:v>K54</x:v>
      </x:c>
      <x:c r="AM42" s="44" t="n">
        <x:v>9.46</x:v>
      </x:c>
      <x:c r="AN42" s="44" t="n">
        <x:v>4.145</x:v>
      </x:c>
      <x:c r="AO42" s="44" t="n">
        <x:v>10.975</x:v>
      </x:c>
      <x:c r="AP42" s="44" t="n">
        <x:v>9.565</x:v>
      </x:c>
      <x:c r="AQ42" s="44" t="n">
        <x:v>9.73</x:v>
      </x:c>
      <x:c r="AR42" s="44" t="n">
        <x:v>12.645</x:v>
      </x:c>
      <x:c r="AS42" s="44" t="n">
        <x:v>4.405</x:v>
      </x:c>
      <x:c r="AT42" s="44" t="n">
        <x:v>11.5625</x:v>
      </x:c>
      <x:c r="AU42" s="54" t="str">
        <x:v>K54</x:v>
      </x:c>
    </x:row>
    <x:row r="43" ht="18" customHeight="1">
      <x:c r="A43" s="43" t="str">
        <x:v>Siege</x:v>
      </x:c>
      <x:c r="B43" s="43" t="str">
        <x:v>Siege Damage</x:v>
      </x:c>
      <x:c r="C43" s="43" t="str">
        <x:v>Higher</x:v>
      </x:c>
      <x:c r="D43" s="43" t="str">
        <x:v>InFlames</x:v>
      </x:c>
      <x:c r="E43" s="44" t="n">
        <x:v>2.0075</x:v>
      </x:c>
      <x:c r="F43" s="43" t="str">
        <x:v>•Pain•</x:v>
      </x:c>
      <x:c r="G43" s="44" t="n">
        <x:v>2.045</x:v>
      </x:c>
      <x:c r="H43" s="43" t="str">
        <x:v>Jesse</x:v>
      </x:c>
      <x:c r="I43" s="44" t="n">
        <x:v>1.935</x:v>
      </x:c>
      <x:c r="J43" s="43" t="str">
        <x:v>(RaW)SLAP</x:v>
      </x:c>
      <x:c r="K43" s="44" t="n">
        <x:v>1.8075</x:v>
      </x:c>
      <x:c r="L43" s="43" t="str">
        <x:v>(AOT)StFruz</x:v>
      </x:c>
      <x:c r="M43" s="44" t="n">
        <x:v>1.6425</x:v>
      </x:c>
      <x:c r="N43" s="43" t="str">
        <x:v>爽歪歪</x:v>
      </x:c>
      <x:c r="O43" s="44" t="n">
        <x:v>2.045</x:v>
      </x:c>
      <x:c r="P43" s="43" t="str">
        <x:v>Хлебушек</x:v>
      </x:c>
      <x:c r="Q43" s="44" t="n">
        <x:v>2.045</x:v>
      </x:c>
      <x:c r="R43" s="43" t="str">
        <x:v>苟拓通天肆意妄为</x:v>
      </x:c>
      <x:c r="S43" s="44" t="n">
        <x:v>1.805</x:v>
      </x:c>
      <x:c r="T43" s="180" t="str">
        <x:v>Tie</x:v>
      </x:c>
      <x:c r="U43" s="44" t="n">
        <x:v>1.8874999999999997</x:v>
      </x:c>
      <x:c r="V43" s="44" t="n">
        <x:v>1.76575</x:v>
      </x:c>
      <x:c r="W43" s="44" t="n">
        <x:v>1.70875</x:v>
      </x:c>
      <x:c r="X43" s="44" t="n">
        <x:v>1.7875</x:v>
      </x:c>
      <x:c r="Y43" s="44" t="n">
        <x:v>1.63075</x:v>
      </x:c>
      <x:c r="Z43" s="44" t="n">
        <x:v>1.9765</x:v>
      </x:c>
      <x:c r="AA43" s="44" t="n">
        <x:v>1.89475</x:v>
      </x:c>
      <x:c r="AB43" s="44" t="n">
        <x:v>1.7127499999999998</x:v>
      </x:c>
      <x:c r="AC43" s="54" t="str">
        <x:v>K54</x:v>
      </x:c>
      <x:c r="AD43" s="44" t="n">
        <x:v>1.7790000000000004</x:v>
      </x:c>
      <x:c r="AE43" s="44" t="n">
        <x:v>1.2505</x:v>
      </x:c>
      <x:c r="AF43" s="44" t="n">
        <x:v>1.566</x:v>
      </x:c>
      <x:c r="AG43" s="44" t="n">
        <x:v>1.7315</x:v>
      </x:c>
      <x:c r="AH43" s="44" t="n">
        <x:v>1.5985</x:v>
      </x:c>
      <x:c r="AI43" s="44" t="n">
        <x:v>1.8535</x:v>
      </x:c>
      <x:c r="AJ43" s="44" t="n">
        <x:v>1.4945</x:v>
      </x:c>
      <x:c r="AK43" s="44" t="n">
        <x:v>1.6184999999999998</x:v>
      </x:c>
      <x:c r="AL43" s="54" t="str">
        <x:v>K54</x:v>
      </x:c>
      <x:c r="AM43" s="44" t="n">
        <x:v>0.605</x:v>
      </x:c>
      <x:c r="AN43" s="44" t="n">
        <x:v>0.51</x:v>
      </x:c>
      <x:c r="AO43" s="44" t="n">
        <x:v>1.3975</x:v>
      </x:c>
      <x:c r="AP43" s="44" t="n">
        <x:v>1.167</x:v>
      </x:c>
      <x:c r="AQ43" s="44" t="n">
        <x:v>1.465</x:v>
      </x:c>
      <x:c r="AR43" s="44" t="n">
        <x:v>1.465</x:v>
      </x:c>
      <x:c r="AS43" s="44" t="n">
        <x:v>0.51</x:v>
      </x:c>
      <x:c r="AT43" s="44" t="n">
        <x:v>1.42</x:v>
      </x:c>
      <x:c r="AU43" s="180" t="str">
        <x:v>Tie</x:v>
      </x:c>
    </x:row>
    <x:row r="44" ht="18" customHeight="1">
      <x:c r="A44" s="43" t="str">
        <x:v>Siege</x:v>
      </x:c>
      <x:c r="B44" s="43" t="str">
        <x:v>Siege Damage Received</x:v>
      </x:c>
      <x:c r="C44" s="43" t="str">
        <x:v>Lower</x:v>
      </x:c>
      <x:c r="D44" s="43" t="str">
        <x:v>CerialKiller (+1 tied)</x:v>
      </x:c>
      <x:c r="E44" s="44" t="n">
        <x:v>-1.845</x:v>
      </x:c>
      <x:c r="F44" s="43" t="str">
        <x:v>•Pain•</x:v>
      </x:c>
      <x:c r="G44" s="44" t="n">
        <x:v>-1.945</x:v>
      </x:c>
      <x:c r="H44" s="43" t="str">
        <x:v>Jesse</x:v>
      </x:c>
      <x:c r="I44" s="44" t="n">
        <x:v>-1.605</x:v>
      </x:c>
      <x:c r="J44" s="43" t="str">
        <x:v>(RaW)Critykal (+1 tied)</x:v>
      </x:c>
      <x:c r="K44" s="44" t="n">
        <x:v>-1.6675</x:v>
      </x:c>
      <x:c r="L44" s="43" t="str">
        <x:v>(AOT)SanSW° (+2 tied)</x:v>
      </x:c>
      <x:c r="M44" s="44" t="n">
        <x:v>-1.605</x:v>
      </x:c>
      <x:c r="N44" s="43" t="str">
        <x:v>爽歪歪 (+1 tied)</x:v>
      </x:c>
      <x:c r="O44" s="44" t="n">
        <x:v>-1.945</x:v>
      </x:c>
      <x:c r="P44" s="43" t="str">
        <x:v>Хлебушек (+1 tied)</x:v>
      </x:c>
      <x:c r="Q44" s="44" t="n">
        <x:v>-1.845</x:v>
      </x:c>
      <x:c r="R44" s="43" t="str">
        <x:v>苟拓通天肆意妄为</x:v>
      </x:c>
      <x:c r="S44" s="44" t="n">
        <x:v>-1.6675</x:v>
      </x:c>
      <x:c r="T44" s="180" t="str">
        <x:v>Tie</x:v>
      </x:c>
      <x:c r="U44" s="44" t="n">
        <x:v>-1.8094999999999999</x:v>
      </x:c>
      <x:c r="V44" s="44" t="n">
        <x:v>-1.66675</x:v>
      </x:c>
      <x:c r="W44" s="44" t="n">
        <x:v>-1.4815</x:v>
      </x:c>
      <x:c r="X44" s="44" t="n">
        <x:v>-1.655</x:v>
      </x:c>
      <x:c r="Y44" s="44" t="n">
        <x:v>-1.605</x:v>
      </x:c>
      <x:c r="Z44" s="44" t="n">
        <x:v>-1.9375</x:v>
      </x:c>
      <x:c r="AA44" s="44" t="n">
        <x:v>-1.797</x:v>
      </x:c>
      <x:c r="AB44" s="44" t="n">
        <x:v>-1.5162499999999999</x:v>
      </x:c>
      <x:c r="AC44" s="54" t="str">
        <x:v>K54</x:v>
      </x:c>
      <x:c r="AD44" s="44" t="n">
        <x:v>-1.6015000000000001</x:v>
      </x:c>
      <x:c r="AE44" s="44" t="n">
        <x:v>-1.1595</x:v>
      </x:c>
      <x:c r="AF44" s="44" t="n">
        <x:v>-1.3855</x:v>
      </x:c>
      <x:c r="AG44" s="44" t="n">
        <x:v>-1.542</x:v>
      </x:c>
      <x:c r="AH44" s="44" t="n">
        <x:v>-1.509</x:v>
      </x:c>
      <x:c r="AI44" s="44" t="n">
        <x:v>-1.7055</x:v>
      </x:c>
      <x:c r="AJ44" s="44" t="n">
        <x:v>-1.4215</x:v>
      </x:c>
      <x:c r="AK44" s="44" t="n">
        <x:v>-1.4015</x:v>
      </x:c>
      <x:c r="AL44" s="54" t="str">
        <x:v>K54</x:v>
      </x:c>
      <x:c r="AM44" s="44" t="n">
        <x:v>-0.41</x:v>
      </x:c>
      <x:c r="AN44" s="44" t="n">
        <x:v>-0.25</x:v>
      </x:c>
      <x:c r="AO44" s="44" t="n">
        <x:v>-1.285</x:v>
      </x:c>
      <x:c r="AP44" s="44" t="n">
        <x:v>-1.032</x:v>
      </x:c>
      <x:c r="AQ44" s="44" t="n">
        <x:v>-1.285</x:v>
      </x:c>
      <x:c r="AR44" s="44" t="n">
        <x:v>-1.3475</x:v>
      </x:c>
      <x:c r="AS44" s="44" t="n">
        <x:v>-0.41</x:v>
      </x:c>
      <x:c r="AT44" s="44" t="n">
        <x:v>-1.145</x:v>
      </x:c>
      <x:c r="AU44" s="54" t="str">
        <x:v>K54</x:v>
      </x:c>
    </x:row>
    <x:row r="45" ht="18" customHeight="1">
      <x:c r="A45" s="43" t="str">
        <x:v>Siege</x:v>
      </x:c>
      <x:c r="B45" s="43" t="str">
        <x:v>Siege Attack Blessing</x:v>
      </x:c>
      <x:c r="C45" s="43" t="str">
        <x:v>Higher</x:v>
      </x:c>
      <x:c r="D45" s="43" t="str">
        <x:v>CerialKiller</x:v>
      </x:c>
      <x:c r="E45" s="44" t="n">
        <x:v>7</x:v>
      </x:c>
      <x:c r="F45" s="43" t="str">
        <x:v>•Pain•</x:v>
      </x:c>
      <x:c r="G45" s="44" t="n">
        <x:v>9</x:v>
      </x:c>
      <x:c r="H45" s="43" t="str">
        <x:v>Jesse (+2 tied)</x:v>
      </x:c>
      <x:c r="I45" s="44" t="n">
        <x:v>7</x:v>
      </x:c>
      <x:c r="J45" s="43" t="str">
        <x:v>(RaW)SLAP</x:v>
      </x:c>
      <x:c r="K45" s="44" t="n">
        <x:v>4.76</x:v>
      </x:c>
      <x:c r="L45" s="43" t="str">
        <x:v>(AOT)SugarDADDY</x:v>
      </x:c>
      <x:c r="M45" s="44" t="n">
        <x:v>4.81</x:v>
      </x:c>
      <x:c r="N45" s="43" t="str">
        <x:v>爽歪歪 (+1 tied)</x:v>
      </x:c>
      <x:c r="O45" s="44" t="n">
        <x:v>9</x:v>
      </x:c>
      <x:c r="P45" s="43" t="str">
        <x:v>Хлебушек</x:v>
      </x:c>
      <x:c r="Q45" s="44" t="n">
        <x:v>9</x:v>
      </x:c>
      <x:c r="R45" s="43" t="str">
        <x:v>苟拓通天肆意妄为</x:v>
      </x:c>
      <x:c r="S45" s="44" t="n">
        <x:v>6.64</x:v>
      </x:c>
      <x:c r="T45" s="180" t="str">
        <x:v>Tie</x:v>
      </x:c>
      <x:c r="U45" s="44" t="n">
        <x:v>5.646</x:v>
      </x:c>
      <x:c r="V45" s="44" t="n">
        <x:v>6.859</x:v>
      </x:c>
      <x:c r="W45" s="44" t="n">
        <x:v>7</x:v>
      </x:c>
      <x:c r="X45" s="44" t="n">
        <x:v>4.544</x:v>
      </x:c>
      <x:c r="Y45" s="44" t="n">
        <x:v>4.372</x:v>
      </x:c>
      <x:c r="Z45" s="44" t="n">
        <x:v>8.6</x:v>
      </x:c>
      <x:c r="AA45" s="44" t="n">
        <x:v>7.314</x:v>
      </x:c>
      <x:c r="AB45" s="44" t="n">
        <x:v>6.359</x:v>
      </x:c>
      <x:c r="AC45" s="54" t="str">
        <x:v>K54</x:v>
      </x:c>
      <x:c r="AD45" s="44" t="n">
        <x:v>4.470000000000001</x:v>
      </x:c>
      <x:c r="AE45" s="44" t="n">
        <x:v>4.198</x:v>
      </x:c>
      <x:c r="AF45" s="44" t="n">
        <x:v>6.394</x:v>
      </x:c>
      <x:c r="AG45" s="44" t="n">
        <x:v>4.3420000000000005</x:v>
      </x:c>
      <x:c r="AH45" s="44" t="n">
        <x:v>3.6759999999999997</x:v>
      </x:c>
      <x:c r="AI45" s="44" t="n">
        <x:v>7.426</x:v>
      </x:c>
      <x:c r="AJ45" s="44" t="n">
        <x:v>4.878</x:v>
      </x:c>
      <x:c r="AK45" s="44" t="n">
        <x:v>5.6659999999999995</x:v>
      </x:c>
      <x:c r="AL45" s="54" t="str">
        <x:v>K54</x:v>
      </x:c>
      <x:c r="AM45" s="44" t="n">
        <x:v>1.2</x:v>
      </x:c>
      <x:c r="AN45" s="44" t="n">
        <x:v>1.08</x:v>
      </x:c>
      <x:c r="AO45" s="44" t="n">
        <x:v>1.54</x:v>
      </x:c>
      <x:c r="AP45" s="44" t="n">
        <x:v>1.08</x:v>
      </x:c>
      <x:c r="AQ45" s="44" t="n">
        <x:v>1.31</x:v>
      </x:c>
      <x:c r="AR45" s="44" t="n">
        <x:v>4.91</x:v>
      </x:c>
      <x:c r="AS45" s="44" t="n">
        <x:v>0.94</x:v>
      </x:c>
      <x:c r="AT45" s="44" t="n">
        <x:v>2.24</x:v>
      </x:c>
      <x:c r="AU45" s="54" t="str">
        <x:v>K54</x:v>
      </x:c>
    </x:row>
    <x:row r="46" ht="18" customHeight="1">
      <x:c r="A46" s="43" t="str">
        <x:v>Siege</x:v>
      </x:c>
      <x:c r="B46" s="43" t="str">
        <x:v>Siege Protection Blessing</x:v>
      </x:c>
      <x:c r="C46" s="43" t="str">
        <x:v>Higher</x:v>
      </x:c>
      <x:c r="D46" s="43" t="str">
        <x:v>CerialKiller</x:v>
      </x:c>
      <x:c r="E46" s="44" t="n">
        <x:v>3.07</x:v>
      </x:c>
      <x:c r="F46" s="43" t="str">
        <x:v>•Pain•</x:v>
      </x:c>
      <x:c r="G46" s="44" t="n">
        <x:v>7.88</x:v>
      </x:c>
      <x:c r="H46" s="43" t="str">
        <x:v>Jesse (+1 tied)</x:v>
      </x:c>
      <x:c r="I46" s="44" t="n">
        <x:v>7</x:v>
      </x:c>
      <x:c r="J46" s="43" t="str">
        <x:v>(RaW)ϟCrozyϟ</x:v>
      </x:c>
      <x:c r="K46" s="44" t="n">
        <x:v>3.71</x:v>
      </x:c>
      <x:c r="L46" s="43" t="str">
        <x:v>(AOT)WeleS</x:v>
      </x:c>
      <x:c r="M46" s="44" t="n">
        <x:v>2.56</x:v>
      </x:c>
      <x:c r="N46" s="43" t="str">
        <x:v>爽歪歪</x:v>
      </x:c>
      <x:c r="O46" s="44" t="n">
        <x:v>9</x:v>
      </x:c>
      <x:c r="P46" s="43" t="str">
        <x:v>Хлебушек</x:v>
      </x:c>
      <x:c r="Q46" s="44" t="n">
        <x:v>9</x:v>
      </x:c>
      <x:c r="R46" s="43" t="str">
        <x:v>༺璀璨星辰༻</x:v>
      </x:c>
      <x:c r="S46" s="44" t="n">
        <x:v>2.95</x:v>
      </x:c>
      <x:c r="T46" s="180" t="str">
        <x:v>Tie</x:v>
      </x:c>
      <x:c r="U46" s="44" t="n">
        <x:v>2.528</x:v>
      </x:c>
      <x:c r="V46" s="44" t="n">
        <x:v>5.18</x:v>
      </x:c>
      <x:c r="W46" s="44" t="n">
        <x:v>6.859999999999999</x:v>
      </x:c>
      <x:c r="X46" s="44" t="n">
        <x:v>3.035</x:v>
      </x:c>
      <x:c r="Y46" s="44" t="n">
        <x:v>2.287</x:v>
      </x:c>
      <x:c r="Z46" s="44" t="n">
        <x:v>8</x:v>
      </x:c>
      <x:c r="AA46" s="44" t="n">
        <x:v>6.016</x:v>
      </x:c>
      <x:c r="AB46" s="44" t="n">
        <x:v>2.754</x:v>
      </x:c>
      <x:c r="AC46" s="54" t="str">
        <x:v>K54</x:v>
      </x:c>
      <x:c r="AD46" s="44" t="n">
        <x:v>2.1079999999999997</x:v>
      </x:c>
      <x:c r="AE46" s="44" t="n">
        <x:v>2.8499999999999996</x:v>
      </x:c>
      <x:c r="AF46" s="44" t="n">
        <x:v>5.348000000000001</x:v>
      </x:c>
      <x:c r="AG46" s="44" t="n">
        <x:v>2.4899999999999998</x:v>
      </x:c>
      <x:c r="AH46" s="44" t="n">
        <x:v>1.876</x:v>
      </x:c>
      <x:c r="AI46" s="44" t="n">
        <x:v>6.5200000000000005</x:v>
      </x:c>
      <x:c r="AJ46" s="44" t="n">
        <x:v>3.464</x:v>
      </x:c>
      <x:c r="AK46" s="44" t="n">
        <x:v>2.4</x:v>
      </x:c>
      <x:c r="AL46" s="54" t="str">
        <x:v>K54</x:v>
      </x:c>
      <x:c r="AM46" s="44" t="n">
        <x:v>0.81</x:v>
      </x:c>
      <x:c r="AN46" s="44" t="n">
        <x:v>0.665</x:v>
      </x:c>
      <x:c r="AO46" s="44" t="n">
        <x:v>0.865</x:v>
      </x:c>
      <x:c r="AP46" s="44" t="n">
        <x:v>0.81</x:v>
      </x:c>
      <x:c r="AQ46" s="44" t="n">
        <x:v>0.96</x:v>
      </x:c>
      <x:c r="AR46" s="44" t="n">
        <x:v>2.13</x:v>
      </x:c>
      <x:c r="AS46" s="44" t="n">
        <x:v>0.67</x:v>
      </x:c>
      <x:c r="AT46" s="44" t="n">
        <x:v>1.26</x:v>
      </x:c>
      <x:c r="AU46" s="54" t="str">
        <x:v>K54</x:v>
      </x:c>
    </x:row>
    <x:row r="47" ht="18" customHeight="1">
      <x:c r="A47" s="43" t="str">
        <x:v>Other</x:v>
      </x:c>
      <x:c r="B47" s="43" t="str">
        <x:v>Revive</x:v>
      </x:c>
      <x:c r="C47" s="43" t="str">
        <x:v>Higher</x:v>
      </x:c>
      <x:c r="D47" s="43" t="str">
        <x:v>All 25 tied</x:v>
      </x:c>
      <x:c r="E47" s="44" t="n">
        <x:v>0.26</x:v>
      </x:c>
      <x:c r="F47" s="43" t="str">
        <x:v>All 20 tied</x:v>
      </x:c>
      <x:c r="G47" s="44" t="n">
        <x:v>0.26</x:v>
      </x:c>
      <x:c r="H47" s="43" t="str">
        <x:v>汰需尚青 (+1 tied)</x:v>
      </x:c>
      <x:c r="I47" s="44" t="n">
        <x:v>0.46</x:v>
      </x:c>
      <x:c r="J47" s="43" t="str">
        <x:v>(RaW)༺博卡Ajax༻ (+25 tied)</x:v>
      </x:c>
      <x:c r="K47" s="44" t="n">
        <x:v>0.26</x:v>
      </x:c>
      <x:c r="L47" s="43" t="str">
        <x:v>(AOT)StFruz</x:v>
      </x:c>
      <x:c r="M47" s="44" t="n">
        <x:v>0.46</x:v>
      </x:c>
      <x:c r="N47" s="43" t="str">
        <x:v>纵横,,,Nike耐克</x:v>
      </x:c>
      <x:c r="O47" s="44" t="n">
        <x:v>0.46</x:v>
      </x:c>
      <x:c r="P47" s="43" t="str">
        <x:v>Хлебушек (+16 tied)</x:v>
      </x:c>
      <x:c r="Q47" s="44" t="n">
        <x:v>0.26</x:v>
      </x:c>
      <x:c r="R47" s="43" t="str">
        <x:v>梦山河 (+3 tied)</x:v>
      </x:c>
      <x:c r="S47" s="44" t="n">
        <x:v>0.46</x:v>
      </x:c>
      <x:c r="T47" s="180" t="str">
        <x:v>Tie</x:v>
      </x:c>
      <x:c r="U47" s="44" t="n">
        <x:v>0.26</x:v>
      </x:c>
      <x:c r="V47" s="44" t="n">
        <x:v>0.26</x:v>
      </x:c>
      <x:c r="W47" s="44" t="n">
        <x:v>0.424</x:v>
      </x:c>
      <x:c r="X47" s="44" t="n">
        <x:v>0.26</x:v>
      </x:c>
      <x:c r="Y47" s="44" t="n">
        <x:v>0.36</x:v>
      </x:c>
      <x:c r="Z47" s="44" t="n">
        <x:v>0.36</x:v>
      </x:c>
      <x:c r="AA47" s="44" t="n">
        <x:v>0.26</x:v>
      </x:c>
      <x:c r="AB47" s="44" t="n">
        <x:v>0.46</x:v>
      </x:c>
      <x:c r="AC47" s="66" t="str">
        <x:v>K176</x:v>
      </x:c>
      <x:c r="AD47" s="44" t="n">
        <x:v>0.26</x:v>
      </x:c>
      <x:c r="AE47" s="44" t="n">
        <x:v>0.26</x:v>
      </x:c>
      <x:c r="AF47" s="44" t="n">
        <x:v>0.34400000000000003</x:v>
      </x:c>
      <x:c r="AG47" s="44" t="n">
        <x:v>0.26</x:v>
      </x:c>
      <x:c r="AH47" s="44" t="n">
        <x:v>0.3</x:v>
      </x:c>
      <x:c r="AI47" s="44" t="n">
        <x:v>0.3</x:v>
      </x:c>
      <x:c r="AJ47" s="44" t="n">
        <x:v>0.26</x:v>
      </x:c>
      <x:c r="AK47" s="44" t="n">
        <x:v>0.42000000000000004</x:v>
      </x:c>
      <x:c r="AL47" s="66" t="str">
        <x:v>K176</x:v>
      </x:c>
      <x:c r="AM47" s="44" t="n">
        <x:v>0.26</x:v>
      </x:c>
      <x:c r="AN47" s="44" t="n">
        <x:v>0.26</x:v>
      </x:c>
      <x:c r="AO47" s="44" t="n">
        <x:v>0.26</x:v>
      </x:c>
      <x:c r="AP47" s="44" t="n">
        <x:v>0.26</x:v>
      </x:c>
      <x:c r="AQ47" s="44" t="n">
        <x:v>0.26</x:v>
      </x:c>
      <x:c r="AR47" s="44" t="n">
        <x:v>0.26</x:v>
      </x:c>
      <x:c r="AS47" s="44" t="n">
        <x:v>0.26</x:v>
      </x:c>
      <x:c r="AT47" s="44" t="n">
        <x:v>0.26</x:v>
      </x:c>
      <x:c r="AU47" s="180" t="str">
        <x:v>Tie</x:v>
      </x:c>
    </x:row>
    <x:row r="48" ht="18" customHeight="1">
      <x:c r="A48" s="43" t="str">
        <x:v>Other</x:v>
      </x:c>
      <x:c r="B48" s="43" t="str">
        <x:v>Lethal Hit Rate</x:v>
      </x:c>
      <x:c r="C48" s="43" t="str">
        <x:v>Higher</x:v>
      </x:c>
      <x:c r="D48" s="43" t="str">
        <x:v>Дерог (+1 tied)</x:v>
      </x:c>
      <x:c r="E48" s="44" t="n">
        <x:v>0.255</x:v>
      </x:c>
      <x:c r="F48" s="43" t="str">
        <x:v>•Pain•</x:v>
      </x:c>
      <x:c r="G48" s="44" t="n">
        <x:v>0.255</x:v>
      </x:c>
      <x:c r="H48" s="43" t="str">
        <x:v>光之使者</x:v>
      </x:c>
      <x:c r="I48" s="44" t="n">
        <x:v>0.245</x:v>
      </x:c>
      <x:c r="J48" s="43" t="str">
        <x:v>(RaW)༺JOJO༻</x:v>
      </x:c>
      <x:c r="K48" s="44" t="n">
        <x:v>0.25</x:v>
      </x:c>
      <x:c r="L48" s="43" t="str">
        <x:v>(AOT)SanSW° (+1 tied)</x:v>
      </x:c>
      <x:c r="M48" s="44" t="n">
        <x:v>0.255</x:v>
      </x:c>
      <x:c r="N48" s="43" t="str">
        <x:v>ony</x:v>
      </x:c>
      <x:c r="O48" s="44" t="n">
        <x:v>0.255</x:v>
      </x:c>
      <x:c r="P48" s="43" t="str">
        <x:v>Saku</x:v>
      </x:c>
      <x:c r="Q48" s="44" t="n">
        <x:v>0.25</x:v>
      </x:c>
      <x:c r="R48" s="43" t="str">
        <x:v>三月的心思你别猜 (+1 tied)</x:v>
      </x:c>
      <x:c r="S48" s="44" t="n">
        <x:v>0.25</x:v>
      </x:c>
      <x:c r="T48" s="180" t="str">
        <x:v>Tie</x:v>
      </x:c>
      <x:c r="U48" s="44" t="n">
        <x:v>0.254</x:v>
      </x:c>
      <x:c r="V48" s="44" t="n">
        <x:v>0.2515</x:v>
      </x:c>
      <x:c r="W48" s="44" t="n">
        <x:v>0.2415</x:v>
      </x:c>
      <x:c r="X48" s="44" t="n">
        <x:v>0.2475</x:v>
      </x:c>
      <x:c r="Y48" s="44" t="n">
        <x:v>0.254</x:v>
      </x:c>
      <x:c r="Z48" s="44" t="n">
        <x:v>0.2525</x:v>
      </x:c>
      <x:c r="AA48" s="44" t="n">
        <x:v>0.2465</x:v>
      </x:c>
      <x:c r="AB48" s="44" t="n">
        <x:v>0.249</x:v>
      </x:c>
      <x:c r="AC48" s="180" t="str">
        <x:v>Tie</x:v>
      </x:c>
      <x:c r="AD48" s="44" t="n">
        <x:v>0.252</x:v>
      </x:c>
      <x:c r="AE48" s="44" t="n">
        <x:v>0.24699999999999997</x:v>
      </x:c>
      <x:c r="AF48" s="44" t="n">
        <x:v>0.238</x:v>
      </x:c>
      <x:c r="AG48" s="44" t="n">
        <x:v>0.244</x:v>
      </x:c>
      <x:c r="AH48" s="44" t="n">
        <x:v>0.251</x:v>
      </x:c>
      <x:c r="AI48" s="44" t="n">
        <x:v>0.24699999999999997</x:v>
      </x:c>
      <x:c r="AJ48" s="44" t="n">
        <x:v>0.24299999999999997</x:v>
      </x:c>
      <x:c r="AK48" s="44" t="n">
        <x:v>0.246</x:v>
      </x:c>
      <x:c r="AL48" s="63" t="str">
        <x:v>K60</x:v>
      </x:c>
      <x:c r="AM48" s="44" t="n">
        <x:v>0.24</x:v>
      </x:c>
      <x:c r="AN48" s="44" t="n">
        <x:v>0.2275</x:v>
      </x:c>
      <x:c r="AO48" s="44" t="n">
        <x:v>0.2175</x:v>
      </x:c>
      <x:c r="AP48" s="44" t="n">
        <x:v>0.235</x:v>
      </x:c>
      <x:c r="AQ48" s="44" t="n">
        <x:v>0.235</x:v>
      </x:c>
      <x:c r="AR48" s="44" t="n">
        <x:v>0.225</x:v>
      </x:c>
      <x:c r="AS48" s="44" t="n">
        <x:v>0.23</x:v>
      </x:c>
      <x:c r="AT48" s="44" t="n">
        <x:v>0.235</x:v>
      </x:c>
      <x:c r="AU48" s="63" t="str">
        <x:v>K60</x:v>
      </x:c>
    </x:row>
    <x:row r="49" ht="18" customHeight="1">
      <x:c r="A49" s="43" t="str">
        <x:v>Shared Battle Modifiers</x:v>
      </x:c>
      <x:c r="B49" s="43" t="str">
        <x:v>Guards block damage</x:v>
      </x:c>
      <x:c r="C49" s="43" t="str">
        <x:v>Lower</x:v>
      </x:c>
      <x:c r="D49" s="43" t="str">
        <x:v>All 25 tied</x:v>
      </x:c>
      <x:c r="E49" s="44" t="n">
        <x:v>-1.2188</x:v>
      </x:c>
      <x:c r="F49" s="43" t="str">
        <x:v>All 20 tied</x:v>
      </x:c>
      <x:c r="G49" s="44" t="n">
        <x:v>-1.2187999999999999</x:v>
      </x:c>
      <x:c r="H49" s="43" t="str">
        <x:v>All 20 tied</x:v>
      </x:c>
      <x:c r="I49" s="44" t="n">
        <x:v>-1.2187999999999999</x:v>
      </x:c>
      <x:c r="J49" s="43" t="str">
        <x:v>(RaW)༺博卡Ajax༻ (+25 tied)</x:v>
      </x:c>
      <x:c r="K49" s="44" t="n">
        <x:v>-1.2188</x:v>
      </x:c>
      <x:c r="L49" s="43" t="str">
        <x:v>(AOT)SanSW° (+20 tied)</x:v>
      </x:c>
      <x:c r="M49" s="44" t="n">
        <x:v>-1.2188</x:v>
      </x:c>
      <x:c r="N49" s="43" t="str">
        <x:v>All 11 tied</x:v>
      </x:c>
      <x:c r="O49" s="44" t="n">
        <x:v>-1.2187999999999999</x:v>
      </x:c>
      <x:c r="P49" s="43" t="str">
        <x:v>All 19 tied</x:v>
      </x:c>
      <x:c r="Q49" s="44" t="n">
        <x:v>-1.2187999999999999</x:v>
      </x:c>
      <x:c r="R49" s="43" t="str">
        <x:v>All 22 tied</x:v>
      </x:c>
      <x:c r="S49" s="44" t="n">
        <x:v>-1.2187999999999999</x:v>
      </x:c>
      <x:c r="T49" s="180" t="str">
        <x:v>Tie</x:v>
      </x:c>
      <x:c r="U49" s="44" t="n">
        <x:v>-1.2188</x:v>
      </x:c>
      <x:c r="V49" s="44" t="n">
        <x:v>-1.2187999999999999</x:v>
      </x:c>
      <x:c r="W49" s="44" t="n">
        <x:v>-1.2187999999999999</x:v>
      </x:c>
      <x:c r="X49" s="44" t="n">
        <x:v>-1.2188</x:v>
      </x:c>
      <x:c r="Y49" s="44" t="n">
        <x:v>-1.2188</x:v>
      </x:c>
      <x:c r="Z49" s="44" t="n">
        <x:v>-1.2187999999999999</x:v>
      </x:c>
      <x:c r="AA49" s="44" t="n">
        <x:v>-1.2187999999999999</x:v>
      </x:c>
      <x:c r="AB49" s="44" t="n">
        <x:v>-1.2187999999999999</x:v>
      </x:c>
      <x:c r="AC49" s="180" t="str">
        <x:v>Tie</x:v>
      </x:c>
      <x:c r="AD49" s="44" t="n">
        <x:v>-1.2188</x:v>
      </x:c>
      <x:c r="AE49" s="44" t="n">
        <x:v>-1.2187999999999999</x:v>
      </x:c>
      <x:c r="AF49" s="44" t="n">
        <x:v>-1.2187999999999999</x:v>
      </x:c>
      <x:c r="AG49" s="44" t="n">
        <x:v>-1.2188</x:v>
      </x:c>
      <x:c r="AH49" s="44" t="n">
        <x:v>-1.2188</x:v>
      </x:c>
      <x:c r="AI49" s="44" t="n">
        <x:v>-1.2187999999999999</x:v>
      </x:c>
      <x:c r="AJ49" s="44" t="n">
        <x:v>-1.2187999999999999</x:v>
      </x:c>
      <x:c r="AK49" s="44" t="n">
        <x:v>-1.2187999999999999</x:v>
      </x:c>
      <x:c r="AL49" s="180" t="str">
        <x:v>Tie</x:v>
      </x:c>
      <x:c r="AM49" s="44" t="n">
        <x:v>-1.2188</x:v>
      </x:c>
      <x:c r="AN49" s="44" t="n">
        <x:v>-1.2187999999999999</x:v>
      </x:c>
      <x:c r="AO49" s="44" t="n">
        <x:v>-1.2187999999999999</x:v>
      </x:c>
      <x:c r="AP49" s="44" t="n">
        <x:v>-1.2188</x:v>
      </x:c>
      <x:c r="AQ49" s="44" t="n">
        <x:v>-1.2188</x:v>
      </x:c>
      <x:c r="AR49" s="44" t="n">
        <x:v>-1.2187999999999999</x:v>
      </x:c>
      <x:c r="AS49" s="44" t="n">
        <x:v>-1.2187999999999999</x:v>
      </x:c>
      <x:c r="AT49" s="44" t="n">
        <x:v>-1.2187999999999999</x:v>
      </x:c>
      <x:c r="AU49" s="180" t="str">
        <x:v>Tie</x:v>
      </x:c>
    </x:row>
    <x:row r="50" ht="18" customHeight="1">
      <x:c r="A50" s="43" t="str">
        <x:v>Shared Battle Modifiers</x:v>
      </x:c>
      <x:c r="B50" s="43" t="str">
        <x:v>Heavy Cavalry Damage</x:v>
      </x:c>
      <x:c r="C50" s="43" t="str">
        <x:v>Higher</x:v>
      </x:c>
      <x:c r="D50" s="43" t="str">
        <x:v>All 25 tied</x:v>
      </x:c>
      <x:c r="E50" s="44" t="n">
        <x:v>0.9653</x:v>
      </x:c>
      <x:c r="F50" s="43" t="str">
        <x:v>All 20 tied</x:v>
      </x:c>
      <x:c r="G50" s="44" t="n">
        <x:v>0.9653</x:v>
      </x:c>
      <x:c r="H50" s="43" t="str">
        <x:v>All 20 tied</x:v>
      </x:c>
      <x:c r="I50" s="44" t="n">
        <x:v>1.2187999999999999</x:v>
      </x:c>
      <x:c r="J50" s="43" t="str">
        <x:v>(RaW)༺博卡Ajax༻ (+25 tied)</x:v>
      </x:c>
      <x:c r="K50" s="44" t="n">
        <x:v>0.9653</x:v>
      </x:c>
      <x:c r="L50" s="43" t="str">
        <x:v>(AOT)SanSW° (+21 tied)</x:v>
      </x:c>
      <x:c r="M50" s="44" t="n">
        <x:v>0.9653</x:v>
      </x:c>
      <x:c r="N50" s="43" t="str">
        <x:v>All 11 tied</x:v>
      </x:c>
      <x:c r="O50" s="44" t="n">
        <x:v>1.2187999999999999</x:v>
      </x:c>
      <x:c r="P50" s="43" t="str">
        <x:v>All 19 tied</x:v>
      </x:c>
      <x:c r="Q50" s="44" t="n">
        <x:v>1.2187999999999999</x:v>
      </x:c>
      <x:c r="R50" s="43" t="str">
        <x:v>All 22 tied</x:v>
      </x:c>
      <x:c r="S50" s="44" t="n">
        <x:v>0.9653</x:v>
      </x:c>
      <x:c r="T50" s="180" t="str">
        <x:v>Tie</x:v>
      </x:c>
      <x:c r="U50" s="44" t="n">
        <x:v>0.9653</x:v>
      </x:c>
      <x:c r="V50" s="44" t="n">
        <x:v>0.9653</x:v>
      </x:c>
      <x:c r="W50" s="44" t="n">
        <x:v>1.2187999999999999</x:v>
      </x:c>
      <x:c r="X50" s="44" t="n">
        <x:v>0.9653</x:v>
      </x:c>
      <x:c r="Y50" s="44" t="n">
        <x:v>0.9653</x:v>
      </x:c>
      <x:c r="Z50" s="44" t="n">
        <x:v>1.2187999999999999</x:v>
      </x:c>
      <x:c r="AA50" s="44" t="n">
        <x:v>1.2187999999999999</x:v>
      </x:c>
      <x:c r="AB50" s="44" t="n">
        <x:v>0.9653</x:v>
      </x:c>
      <x:c r="AC50" s="180" t="str">
        <x:v>Tie</x:v>
      </x:c>
      <x:c r="AD50" s="44" t="n">
        <x:v>0.9653</x:v>
      </x:c>
      <x:c r="AE50" s="44" t="n">
        <x:v>0.9653</x:v>
      </x:c>
      <x:c r="AF50" s="44" t="n">
        <x:v>1.2187999999999999</x:v>
      </x:c>
      <x:c r="AG50" s="44" t="n">
        <x:v>0.9653</x:v>
      </x:c>
      <x:c r="AH50" s="44" t="n">
        <x:v>0.9653</x:v>
      </x:c>
      <x:c r="AI50" s="44" t="n">
        <x:v>1.2187999999999999</x:v>
      </x:c>
      <x:c r="AJ50" s="44" t="n">
        <x:v>1.2187999999999999</x:v>
      </x:c>
      <x:c r="AK50" s="44" t="n">
        <x:v>0.9653</x:v>
      </x:c>
      <x:c r="AL50" s="180" t="str">
        <x:v>Tie</x:v>
      </x:c>
      <x:c r="AM50" s="44" t="n">
        <x:v>0.9653</x:v>
      </x:c>
      <x:c r="AN50" s="44" t="n">
        <x:v>0.9653</x:v>
      </x:c>
      <x:c r="AO50" s="44" t="n">
        <x:v>1.2187999999999999</x:v>
      </x:c>
      <x:c r="AP50" s="44" t="n">
        <x:v>0.9653</x:v>
      </x:c>
      <x:c r="AQ50" s="44" t="n">
        <x:v>0.9653</x:v>
      </x:c>
      <x:c r="AR50" s="44" t="n">
        <x:v>1.2187999999999999</x:v>
      </x:c>
      <x:c r="AS50" s="44" t="n">
        <x:v>1.2187999999999999</x:v>
      </x:c>
      <x:c r="AT50" s="44" t="n">
        <x:v>0.9653</x:v>
      </x:c>
      <x:c r="AU50" s="180" t="str">
        <x:v>Tie</x:v>
      </x:c>
    </x:row>
    <x:row r="51" ht="18" customHeight="1">
      <x:c r="A51" s="43" t="str">
        <x:v>Shared Battle Modifiers</x:v>
      </x:c>
      <x:c r="B51" s="43" t="str">
        <x:v>Horse archers Damage</x:v>
      </x:c>
      <x:c r="C51" s="43" t="str">
        <x:v>Higher</x:v>
      </x:c>
      <x:c r="D51" s="43" t="str">
        <x:v>All 25 tied</x:v>
      </x:c>
      <x:c r="E51" s="44" t="n">
        <x:v>0.9653</x:v>
      </x:c>
      <x:c r="F51" s="43" t="str">
        <x:v>All 20 tied</x:v>
      </x:c>
      <x:c r="G51" s="44" t="n">
        <x:v>1.2187999999999999</x:v>
      </x:c>
      <x:c r="H51" s="43" t="str">
        <x:v>All 20 tied</x:v>
      </x:c>
      <x:c r="I51" s="44" t="n">
        <x:v>0.9653</x:v>
      </x:c>
      <x:c r="J51" s="43" t="str">
        <x:v>All 26 tied</x:v>
      </x:c>
      <x:c r="K51" s="44" t="n">
        <x:v>0.9653</x:v>
      </x:c>
      <x:c r="L51" s="43" t="str">
        <x:v>(AOT)SanSW° (+21 tied)</x:v>
      </x:c>
      <x:c r="M51" s="44" t="n">
        <x:v>0.9653</x:v>
      </x:c>
      <x:c r="N51" s="43" t="str">
        <x:v>All 11 tied</x:v>
      </x:c>
      <x:c r="O51" s="44" t="n">
        <x:v>1.2187999999999999</x:v>
      </x:c>
      <x:c r="P51" s="43" t="str">
        <x:v>All 19 tied</x:v>
      </x:c>
      <x:c r="Q51" s="44" t="n">
        <x:v>0.9653</x:v>
      </x:c>
      <x:c r="R51" s="43" t="str">
        <x:v>All 22 tied</x:v>
      </x:c>
      <x:c r="S51" s="44" t="n">
        <x:v>0.9653</x:v>
      </x:c>
      <x:c r="T51" s="180" t="str">
        <x:v>Tie</x:v>
      </x:c>
      <x:c r="U51" s="44" t="n">
        <x:v>0.9653</x:v>
      </x:c>
      <x:c r="V51" s="44" t="n">
        <x:v>1.2187999999999999</x:v>
      </x:c>
      <x:c r="W51" s="44" t="n">
        <x:v>0.9653</x:v>
      </x:c>
      <x:c r="X51" s="44" t="n">
        <x:v>0.9653</x:v>
      </x:c>
      <x:c r="Y51" s="44" t="n">
        <x:v>0.9653</x:v>
      </x:c>
      <x:c r="Z51" s="44" t="n">
        <x:v>1.2187999999999999</x:v>
      </x:c>
      <x:c r="AA51" s="44" t="n">
        <x:v>0.9653</x:v>
      </x:c>
      <x:c r="AB51" s="44" t="n">
        <x:v>0.9653</x:v>
      </x:c>
      <x:c r="AC51" s="180" t="str">
        <x:v>Tie</x:v>
      </x:c>
      <x:c r="AD51" s="44" t="n">
        <x:v>0.9653</x:v>
      </x:c>
      <x:c r="AE51" s="44" t="n">
        <x:v>1.2187999999999999</x:v>
      </x:c>
      <x:c r="AF51" s="44" t="n">
        <x:v>0.9653</x:v>
      </x:c>
      <x:c r="AG51" s="44" t="n">
        <x:v>0.9653</x:v>
      </x:c>
      <x:c r="AH51" s="44" t="n">
        <x:v>0.9653</x:v>
      </x:c>
      <x:c r="AI51" s="44" t="n">
        <x:v>1.2187999999999999</x:v>
      </x:c>
      <x:c r="AJ51" s="44" t="n">
        <x:v>0.9653</x:v>
      </x:c>
      <x:c r="AK51" s="44" t="n">
        <x:v>0.9653</x:v>
      </x:c>
      <x:c r="AL51" s="180" t="str">
        <x:v>Tie</x:v>
      </x:c>
      <x:c r="AM51" s="44" t="n">
        <x:v>0.9653</x:v>
      </x:c>
      <x:c r="AN51" s="44" t="n">
        <x:v>1.2187999999999999</x:v>
      </x:c>
      <x:c r="AO51" s="44" t="n">
        <x:v>0.9653</x:v>
      </x:c>
      <x:c r="AP51" s="44" t="n">
        <x:v>0.9653</x:v>
      </x:c>
      <x:c r="AQ51" s="44" t="n">
        <x:v>0.9653</x:v>
      </x:c>
      <x:c r="AR51" s="44" t="n">
        <x:v>1.2187999999999999</x:v>
      </x:c>
      <x:c r="AS51" s="44" t="n">
        <x:v>0.9653</x:v>
      </x:c>
      <x:c r="AT51" s="44" t="n">
        <x:v>0.9653</x:v>
      </x:c>
      <x:c r="AU51" s="180" t="str">
        <x:v>Tie</x:v>
      </x:c>
    </x:row>
    <x:row r="52" ht="18" customHeight="1">
      <x:c r="A52" s="43" t="str">
        <x:v>Shared Battle Modifiers</x:v>
      </x:c>
      <x:c r="B52" s="43" t="str">
        <x:v>Archer attack speed</x:v>
      </x:c>
      <x:c r="C52" s="43" t="str">
        <x:v>Higher</x:v>
      </x:c>
      <x:c r="D52" s="43" t="str">
        <x:v>All 25 tied</x:v>
      </x:c>
      <x:c r="E52" s="44" t="n">
        <x:v>0.9653</x:v>
      </x:c>
      <x:c r="F52" s="43" t="str">
        <x:v>All 20 tied</x:v>
      </x:c>
      <x:c r="G52" s="44" t="n">
        <x:v>1.2187999999999999</x:v>
      </x:c>
      <x:c r="H52" s="43" t="str">
        <x:v>All 20 tied</x:v>
      </x:c>
      <x:c r="I52" s="44" t="n">
        <x:v>1.2187999999999999</x:v>
      </x:c>
      <x:c r="J52" s="43" t="str">
        <x:v>(RaW)ϟCrozyϟ</x:v>
      </x:c>
      <x:c r="K52" s="44" t="n">
        <x:v>1.2188</x:v>
      </x:c>
      <x:c r="L52" s="43" t="str">
        <x:v>(AOT)MG·Yu</x:v>
      </x:c>
      <x:c r="M52" s="44" t="n">
        <x:v>0.9653</x:v>
      </x:c>
      <x:c r="N52" s="43" t="str">
        <x:v>All 11 tied</x:v>
      </x:c>
      <x:c r="O52" s="44" t="n">
        <x:v>0.9107999999999999</x:v>
      </x:c>
      <x:c r="P52" s="43" t="str">
        <x:v>All 19 tied</x:v>
      </x:c>
      <x:c r="Q52" s="44" t="n">
        <x:v>1.2187999999999999</x:v>
      </x:c>
      <x:c r="R52" s="43" t="str">
        <x:v>All 22 tied</x:v>
      </x:c>
      <x:c r="S52" s="44" t="n">
        <x:v>0.9653</x:v>
      </x:c>
      <x:c r="T52" s="180" t="str">
        <x:v>Tie</x:v>
      </x:c>
      <x:c r="U52" s="44" t="n">
        <x:v>0.9653</x:v>
      </x:c>
      <x:c r="V52" s="44" t="n">
        <x:v>1.2187999999999999</x:v>
      </x:c>
      <x:c r="W52" s="44" t="n">
        <x:v>1.2187999999999999</x:v>
      </x:c>
      <x:c r="X52" s="44" t="n">
        <x:v>1.09205</x:v>
      </x:c>
      <x:c r="Y52" s="44" t="n">
        <x:v>0.8955700000000001</x:v>
      </x:c>
      <x:c r="Z52" s="44" t="n">
        <x:v>0.9107999999999999</x:v>
      </x:c>
      <x:c r="AA52" s="44" t="n">
        <x:v>1.2187999999999999</x:v>
      </x:c>
      <x:c r="AB52" s="44" t="n">
        <x:v>0.9653</x:v>
      </x:c>
      <x:c r="AC52" s="180" t="str">
        <x:v>Tie</x:v>
      </x:c>
      <x:c r="AD52" s="44" t="n">
        <x:v>0.9653</x:v>
      </x:c>
      <x:c r="AE52" s="44" t="n">
        <x:v>1.2187999999999999</x:v>
      </x:c>
      <x:c r="AF52" s="44" t="n">
        <x:v>1.2187999999999999</x:v>
      </x:c>
      <x:c r="AG52" s="44" t="n">
        <x:v>1.016</x:v>
      </x:c>
      <x:c r="AH52" s="44" t="n">
        <x:v>0.8323400000000001</x:v>
      </x:c>
      <x:c r="AI52" s="44" t="n">
        <x:v>0.9107999999999998</x:v>
      </x:c>
      <x:c r="AJ52" s="44" t="n">
        <x:v>1.2187999999999999</x:v>
      </x:c>
      <x:c r="AK52" s="44" t="n">
        <x:v>0.9653</x:v>
      </x:c>
      <x:c r="AL52" s="180" t="str">
        <x:v>Tie</x:v>
      </x:c>
      <x:c r="AM52" s="44" t="n">
        <x:v>0.9653</x:v>
      </x:c>
      <x:c r="AN52" s="44" t="n">
        <x:v>1.2187999999999999</x:v>
      </x:c>
      <x:c r="AO52" s="44" t="n">
        <x:v>1.2187999999999999</x:v>
      </x:c>
      <x:c r="AP52" s="44" t="n">
        <x:v>0.9653</x:v>
      </x:c>
      <x:c r="AQ52" s="44" t="n">
        <x:v>0.78</x:v>
      </x:c>
      <x:c r="AR52" s="44" t="n">
        <x:v>0.9107999999999999</x:v>
      </x:c>
      <x:c r="AS52" s="44" t="n">
        <x:v>1.2187999999999999</x:v>
      </x:c>
      <x:c r="AT52" s="44" t="n">
        <x:v>0.9653</x:v>
      </x:c>
      <x:c r="AU52" s="180" t="str">
        <x:v>Tie</x:v>
      </x:c>
    </x:row>
    <x:row r="53" ht="18" customHeight="1">
      <x:c r="A53" s="43" t="str">
        <x:v>Shared Battle Modifiers</x:v>
      </x:c>
      <x:c r="B53" s="43" t="str">
        <x:v>Rams Health</x:v>
      </x:c>
      <x:c r="C53" s="43" t="str">
        <x:v>Higher</x:v>
      </x:c>
      <x:c r="D53" s="43" t="str">
        <x:v>All 25 tied</x:v>
      </x:c>
      <x:c r="E53" s="44" t="n">
        <x:v>0.6989</x:v>
      </x:c>
      <x:c r="F53" s="43"/>
      <x:c r="G53" s="44"/>
      <x:c r="H53" s="43"/>
      <x:c r="I53" s="44"/>
      <x:c r="J53" s="43"/>
      <x:c r="K53" s="44"/>
      <x:c r="L53" s="43" t="str">
        <x:v>(AOT)StFruz</x:v>
      </x:c>
      <x:c r="M53" s="44" t="n">
        <x:v>0.9653</x:v>
      </x:c>
      <x:c r="N53" s="43"/>
      <x:c r="O53" s="44"/>
      <x:c r="P53" s="43"/>
      <x:c r="Q53" s="44"/>
      <x:c r="R53" s="43"/>
      <x:c r="S53" s="44"/>
      <x:c r="T53" s="75" t="str">
        <x:v>K170</x:v>
      </x:c>
      <x:c r="U53" s="44" t="n">
        <x:v>0.6989</x:v>
      </x:c>
      <x:c r="V53" s="44"/>
      <x:c r="W53" s="44"/>
      <x:c r="X53" s="44"/>
      <x:c r="Y53" s="44" t="n">
        <x:v>0.9653</x:v>
      </x:c>
      <x:c r="Z53" s="44"/>
      <x:c r="AA53" s="44"/>
      <x:c r="AB53" s="44"/>
      <x:c r="AC53" s="63" t="str">
        <x:v>K170</x:v>
      </x:c>
      <x:c r="AD53" s="44" t="n">
        <x:v>0.6989</x:v>
      </x:c>
      <x:c r="AE53" s="44"/>
      <x:c r="AF53" s="44"/>
      <x:c r="AG53" s="44"/>
      <x:c r="AH53" s="44" t="n">
        <x:v>0.9653</x:v>
      </x:c>
      <x:c r="AI53" s="44"/>
      <x:c r="AJ53" s="44"/>
      <x:c r="AK53" s="44"/>
      <x:c r="AL53" s="75" t="str">
        <x:v>K170</x:v>
      </x:c>
      <x:c r="AM53" s="44" t="n">
        <x:v>0.6989</x:v>
      </x:c>
      <x:c r="AN53" s="44"/>
      <x:c r="AO53" s="44"/>
      <x:c r="AP53" s="44"/>
      <x:c r="AQ53" s="44" t="n">
        <x:v>0.9653</x:v>
      </x:c>
      <x:c r="AR53" s="44"/>
      <x:c r="AS53" s="44"/>
      <x:c r="AT53" s="44"/>
      <x:c r="AU53" s="75" t="str">
        <x:v>K170</x:v>
      </x:c>
    </x:row>
    <x:row r="54" ht="18" customHeight="1">
      <x:c r="A54" s="43" t="str">
        <x:v>Shared Battle Modifiers</x:v>
      </x:c>
      <x:c r="B54" s="43" t="str">
        <x:v>Siege Damage (Lion)</x:v>
      </x:c>
      <x:c r="C54" s="43" t="str">
        <x:v>Higher</x:v>
      </x:c>
      <x:c r="D54" s="43" t="str">
        <x:v>All 25 tied</x:v>
      </x:c>
      <x:c r="E54" s="44" t="n">
        <x:v>0.6989</x:v>
      </x:c>
      <x:c r="F54" s="43" t="str">
        <x:v>All 20 tied</x:v>
      </x:c>
      <x:c r="G54" s="44" t="n">
        <x:v>0.9653</x:v>
      </x:c>
      <x:c r="H54" s="43" t="str">
        <x:v>All 20 tied</x:v>
      </x:c>
      <x:c r="I54" s="44" t="n">
        <x:v>1.2187999999999999</x:v>
      </x:c>
      <x:c r="J54" s="43" t="str">
        <x:v>(RaW)ϟCrozyϟ (+4 tied)</x:v>
      </x:c>
      <x:c r="K54" s="44" t="n">
        <x:v>0.9653</x:v>
      </x:c>
      <x:c r="L54" s="43" t="str">
        <x:v>(AOT)StFruz</x:v>
      </x:c>
      <x:c r="M54" s="44" t="n">
        <x:v>0.8029</x:v>
      </x:c>
      <x:c r="N54" s="43" t="str">
        <x:v>All 11 tied</x:v>
      </x:c>
      <x:c r="O54" s="44" t="n">
        <x:v>0.9653</x:v>
      </x:c>
      <x:c r="P54" s="43" t="str">
        <x:v>All 19 tied</x:v>
      </x:c>
      <x:c r="Q54" s="44" t="n">
        <x:v>1.2187999999999999</x:v>
      </x:c>
      <x:c r="R54" s="43" t="str">
        <x:v>All 22 tied</x:v>
      </x:c>
      <x:c r="S54" s="44" t="n">
        <x:v>0.9107999999999999</x:v>
      </x:c>
      <x:c r="T54" s="180" t="str">
        <x:v>Tie</x:v>
      </x:c>
      <x:c r="U54" s="44" t="n">
        <x:v>0.6989</x:v>
      </x:c>
      <x:c r="V54" s="44" t="n">
        <x:v>0.9653</x:v>
      </x:c>
      <x:c r="W54" s="44" t="n">
        <x:v>1.2187999999999999</x:v>
      </x:c>
      <x:c r="X54" s="44" t="n">
        <x:v>0.9653</x:v>
      </x:c>
      <x:c r="Y54" s="44" t="n">
        <x:v>0.7344299999999999</x:v>
      </x:c>
      <x:c r="Z54" s="44" t="n">
        <x:v>0.9653</x:v>
      </x:c>
      <x:c r="AA54" s="44" t="n">
        <x:v>1.2187999999999999</x:v>
      </x:c>
      <x:c r="AB54" s="44" t="n">
        <x:v>0.9107999999999999</x:v>
      </x:c>
      <x:c r="AC54" s="180" t="str">
        <x:v>Tie</x:v>
      </x:c>
      <x:c r="AD54" s="44" t="n">
        <x:v>0.6989</x:v>
      </x:c>
      <x:c r="AE54" s="44" t="n">
        <x:v>0.9653</x:v>
      </x:c>
      <x:c r="AF54" s="44" t="n">
        <x:v>1.2187999999999999</x:v>
      </x:c>
      <x:c r="AG54" s="44" t="n">
        <x:v>0.9653</x:v>
      </x:c>
      <x:c r="AH54" s="44" t="n">
        <x:v>0.6342399999999999</x:v>
      </x:c>
      <x:c r="AI54" s="44" t="n">
        <x:v>0.9653</x:v>
      </x:c>
      <x:c r="AJ54" s="44" t="n">
        <x:v>1.2187999999999999</x:v>
      </x:c>
      <x:c r="AK54" s="44" t="n">
        <x:v>0.9107999999999998</x:v>
      </x:c>
      <x:c r="AL54" s="180" t="str">
        <x:v>Tie</x:v>
      </x:c>
      <x:c r="AM54" s="44" t="n">
        <x:v>0.6989</x:v>
      </x:c>
      <x:c r="AN54" s="44" t="n">
        <x:v>0.9653</x:v>
      </x:c>
      <x:c r="AO54" s="44" t="n">
        <x:v>1.2187999999999999</x:v>
      </x:c>
      <x:c r="AP54" s="44" t="n">
        <x:v>0.8029</x:v>
      </x:c>
      <x:c r="AQ54" s="44" t="n">
        <x:v>0.5393</x:v>
      </x:c>
      <x:c r="AR54" s="44" t="n">
        <x:v>0.9653</x:v>
      </x:c>
      <x:c r="AS54" s="44" t="n">
        <x:v>1.2187999999999999</x:v>
      </x:c>
      <x:c r="AT54" s="44" t="n">
        <x:v>0.9107999999999999</x:v>
      </x:c>
      <x:c r="AU54" s="180" t="str">
        <x:v>Tie</x:v>
      </x:c>
    </x:row>
    <x:row r="55" ht="18" customHeight="1">
      <x:c r="A55" s="43" t="str">
        <x:v>Shared Battle Modifiers</x:v>
      </x:c>
      <x:c r="B55" s="43" t="str">
        <x:v>March Capacity modifier</x:v>
      </x:c>
      <x:c r="C55" s="43" t="str">
        <x:v>Higher</x:v>
      </x:c>
      <x:c r="D55" s="43" t="str">
        <x:v>All 25 tied</x:v>
      </x:c>
      <x:c r="E55" s="174" t="n">
        <x:v>0</x:v>
      </x:c>
      <x:c r="F55" s="43" t="str">
        <x:v>All 20 tied</x:v>
      </x:c>
      <x:c r="G55" s="174" t="n">
        <x:v>32148</x:v>
      </x:c>
      <x:c r="H55" s="43" t="str">
        <x:v>All 20 tied</x:v>
      </x:c>
      <x:c r="I55" s="174" t="n">
        <x:v>39216</x:v>
      </x:c>
      <x:c r="J55" s="43" t="str">
        <x:v>(RaW)༺博卡Ajax༻ (+25 tied)</x:v>
      </x:c>
      <x:c r="K55" s="174" t="n">
        <x:v>39216</x:v>
      </x:c>
      <x:c r="L55" s="43" t="str">
        <x:v>(AOT)MG·Yu</x:v>
      </x:c>
      <x:c r="M55" s="174" t="n">
        <x:v>31992</x:v>
      </x:c>
      <x:c r="N55" s="43" t="str">
        <x:v>All 11 tied</x:v>
      </x:c>
      <x:c r="O55" s="174" t="n">
        <x:v>39216</x:v>
      </x:c>
      <x:c r="P55" s="43" t="str">
        <x:v>All 19 tied</x:v>
      </x:c>
      <x:c r="Q55" s="174" t="n">
        <x:v>39216</x:v>
      </x:c>
      <x:c r="R55" s="43" t="str">
        <x:v>All 22 tied</x:v>
      </x:c>
      <x:c r="S55" s="174" t="n">
        <x:v>25800</x:v>
      </x:c>
      <x:c r="T55" s="180" t="str">
        <x:v>Tie</x:v>
      </x:c>
      <x:c r="U55" s="174" t="n">
        <x:v>0</x:v>
      </x:c>
      <x:c r="V55" s="174" t="n">
        <x:v>32148</x:v>
      </x:c>
      <x:c r="W55" s="174" t="n">
        <x:v>39216</x:v>
      </x:c>
      <x:c r="X55" s="174" t="n">
        <x:v>39216</x:v>
      </x:c>
      <x:c r="Y55" s="174" t="n">
        <x:v>16596</x:v>
      </x:c>
      <x:c r="Z55" s="174" t="n">
        <x:v>39216</x:v>
      </x:c>
      <x:c r="AA55" s="174" t="n">
        <x:v>39216</x:v>
      </x:c>
      <x:c r="AB55" s="174" t="n">
        <x:v>25800</x:v>
      </x:c>
      <x:c r="AC55" s="180" t="str">
        <x:v>Tie</x:v>
      </x:c>
      <x:c r="AD55" s="174" t="n">
        <x:v>0</x:v>
      </x:c>
      <x:c r="AE55" s="174" t="n">
        <x:v>32148</x:v>
      </x:c>
      <x:c r="AF55" s="174" t="n">
        <x:v>39216</x:v>
      </x:c>
      <x:c r="AG55" s="174" t="n">
        <x:v>39216</x:v>
      </x:c>
      <x:c r="AH55" s="174" t="n">
        <x:v>7358.4</x:v>
      </x:c>
      <x:c r="AI55" s="174" t="n">
        <x:v>39216</x:v>
      </x:c>
      <x:c r="AJ55" s="174" t="n">
        <x:v>39216</x:v>
      </x:c>
      <x:c r="AK55" s="174" t="n">
        <x:v>25800</x:v>
      </x:c>
      <x:c r="AL55" s="180" t="str">
        <x:v>Tie</x:v>
      </x:c>
      <x:c r="AM55" s="174" t="n">
        <x:v>0</x:v>
      </x:c>
      <x:c r="AN55" s="174" t="n">
        <x:v>32148</x:v>
      </x:c>
      <x:c r="AO55" s="174" t="n">
        <x:v>39216</x:v>
      </x:c>
      <x:c r="AP55" s="174" t="n">
        <x:v>39216</x:v>
      </x:c>
      <x:c r="AQ55" s="174" t="n">
        <x:v>1200</x:v>
      </x:c>
      <x:c r="AR55" s="174" t="n">
        <x:v>39216</x:v>
      </x:c>
      <x:c r="AS55" s="174" t="n">
        <x:v>39216</x:v>
      </x:c>
      <x:c r="AT55" s="174" t="n">
        <x:v>25800</x:v>
      </x:c>
      <x:c r="AU55" s="180" t="str">
        <x:v>Tie</x:v>
      </x:c>
    </x:row>
  </x:sheetData>
  <x:mergeCells>
    <x:mergeCell ref="A1:AU1"/>
    <x:mergeCell ref="A2:AU2"/>
    <x:mergeCell ref="A4:I4"/>
    <x:mergeCell ref="K4:S4"/>
    <x:mergeCell ref="U4:AC4"/>
    <x:mergeCell ref="AE4:AM4"/>
    <x:mergeCell ref="A9:AU9"/>
  </x:mergeCells>
  <x:pageMargins left="0.7" right="0.7" top="0.75" bottom="0.75" header="0.3" footer="0.3"/>
  <x:tableParts count="1">
    <x:tablePart xmlns:r="http://schemas.openxmlformats.org/officeDocument/2006/relationships" r:id="Rca9295e1231e43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32" hidden="0" customWidth="1"/>
    <x:col min="10" max="10" width="36" hidden="0" customWidth="1"/>
    <x:col min="11" max="11" width="40" hidden="0" customWidth="1"/>
    <x:col min="12" max="12" width="34" hidden="0" customWidth="1"/>
    <x:col min="13" max="13" width="15" hidden="0" customWidth="1"/>
    <x:col min="14" max="14" width="18" hidden="0" customWidth="1"/>
    <x:col min="15" max="15" width="22" hidden="0" customWidth="1"/>
    <x:col min="16" max="16" width="32" hidden="0" customWidth="1"/>
    <x:col min="17" max="17" width="18" hidden="0" customWidth="1"/>
    <x:col min="18" max="18" width="18" hidden="0" customWidth="1"/>
    <x:col min="19" max="19" width="18" hidden="0" customWidth="1"/>
    <x:col min="20" max="20" width="19" hidden="0" customWidth="1"/>
    <x:col min="21" max="21" width="18" hidden="0" customWidth="1"/>
    <x:col min="22" max="22" width="18" hidden="0" customWidth="1"/>
  </x:cols>
  <x:sheetData>
    <x:row r="1" ht="30" customHeight="1">
      <x:c r="A1" s="443" t="str">
        <x:v>Player Overview</x:v>
      </x:c>
      <x:c r="B1" s="443" t="str">
        <x:v>Player Overview</x:v>
      </x:c>
      <x:c r="C1" s="443" t="str">
        <x:v>Player Overview</x:v>
      </x:c>
      <x:c r="D1" s="443" t="str">
        <x:v>Player Overview</x:v>
      </x:c>
      <x:c r="E1" s="443" t="str">
        <x:v>Player Overview</x:v>
      </x:c>
      <x:c r="F1" s="443" t="str">
        <x:v>Player Overview</x:v>
      </x:c>
      <x:c r="G1" s="443" t="str">
        <x:v>Player Overview</x:v>
      </x:c>
      <x:c r="H1" s="443" t="str">
        <x:v>Player Overview</x:v>
      </x:c>
      <x:c r="I1" s="443" t="str">
        <x:v>Player Overview</x:v>
      </x:c>
      <x:c r="J1" s="443" t="str">
        <x:v>Player Overview</x:v>
      </x:c>
      <x:c r="K1" s="443" t="str">
        <x:v>Player Overview</x:v>
      </x:c>
      <x:c r="L1" s="443" t="str">
        <x:v>Player Overview</x:v>
      </x:c>
      <x:c r="M1" s="443" t="str">
        <x:v>Player Overview</x:v>
      </x:c>
      <x:c r="N1" s="443" t="str">
        <x:v>Player Overview</x:v>
      </x:c>
      <x:c r="O1" s="443" t="str">
        <x:v>Player Overview</x:v>
      </x:c>
      <x:c r="P1" s="443" t="str">
        <x:v>Player Overview</x:v>
      </x:c>
      <x:c r="Q1" s="443"/>
      <x:c r="R1" s="443"/>
      <x:c r="S1" s="443"/>
      <x:c r="T1" s="443"/>
      <x:c r="U1" s="443"/>
      <x:c r="V1" s="443"/>
    </x:row>
    <x:row r="2" ht="24" customHeight="1">
      <x:c r="A2" s="446" t="str">
        <x:v>Headline recorded statistics, deduplicated specialisation skills, cumulative badge investment and signed specialisation damage by castle</x:v>
      </x:c>
      <x:c r="B2" s="446" t="str">
        <x:v>Headline recorded statistics and opened specialisations grouped by troop type</x:v>
      </x:c>
      <x:c r="C2" s="446" t="str">
        <x:v>Headline recorded statistics and opened specialisations grouped by troop type</x:v>
      </x:c>
      <x:c r="D2" s="446" t="str">
        <x:v>Headline recorded statistics and opened specialisations grouped by troop type</x:v>
      </x:c>
      <x:c r="E2" s="446" t="str">
        <x:v>Headline recorded statistics and opened specialisations grouped by troop type</x:v>
      </x:c>
      <x:c r="F2" s="446" t="str">
        <x:v>Headline recorded statistics and opened specialisations grouped by troop type</x:v>
      </x:c>
      <x:c r="G2" s="446" t="str">
        <x:v>Headline recorded statistics and opened specialisations grouped by troop type</x:v>
      </x:c>
      <x:c r="H2" s="446" t="str">
        <x:v>Headline recorded statistics and opened specialisations grouped by troop type</x:v>
      </x:c>
      <x:c r="I2" s="446" t="str">
        <x:v>Headline recorded statistics and opened specialisations grouped by troop type</x:v>
      </x:c>
      <x:c r="J2" s="446" t="str">
        <x:v>Headline recorded statistics and opened specialisations grouped by troop type</x:v>
      </x:c>
      <x:c r="K2" s="446" t="str">
        <x:v>Headline recorded statistics and opened specialisations grouped by troop type</x:v>
      </x:c>
      <x:c r="L2" s="446" t="str">
        <x:v>Headline recorded statistics and opened specialisations grouped by troop type</x:v>
      </x:c>
      <x:c r="M2" s="446" t="str">
        <x:v>Headline recorded statistics and opened specialisations grouped by troop type</x:v>
      </x:c>
      <x:c r="N2" s="446" t="str">
        <x:v>Headline recorded statistics and opened specialisations grouped by troop type</x:v>
      </x:c>
      <x:c r="O2" s="446" t="str">
        <x:v>Headline recorded statistics and opened specialisations grouped by troop type</x:v>
      </x:c>
      <x:c r="P2" s="446" t="str">
        <x:v>Headline recorded statistics and opened specialisations grouped by troop type</x:v>
      </x:c>
      <x:c r="Q2" s="446"/>
      <x:c r="R2" s="446"/>
      <x:c r="S2" s="446"/>
      <x:c r="T2" s="446"/>
      <x:c r="U2" s="446"/>
      <x:c r="V2" s="446"/>
    </x:row>
    <x:row r="4" ht="38" customHeight="1">
      <x:c r="A4" s="450" t="str">
        <x:v>Server</x:v>
      </x:c>
      <x:c r="B4" s="450" t="str">
        <x:v>Player</x:v>
      </x:c>
      <x:c r="C4" s="450" t="str">
        <x:v>Battle Capacity</x:v>
      </x:c>
      <x:c r="D4" s="450" t="str">
        <x:v>Troop Attack</x:v>
      </x:c>
      <x:c r="E4" s="450" t="str">
        <x:v>Troop Health</x:v>
      </x:c>
      <x:c r="F4" s="450" t="str">
        <x:v>Troop Defense</x:v>
      </x:c>
      <x:c r="G4" s="450" t="str">
        <x:v>Troop Damage</x:v>
      </x:c>
      <x:c r="H4" s="450" t="str">
        <x:v>Troop Damage Received</x:v>
      </x:c>
      <x:c r="I4" s="450" t="str">
        <x:v>Guards</x:v>
      </x:c>
      <x:c r="J4" s="450" t="str">
        <x:v>Archers</x:v>
      </x:c>
      <x:c r="K4" s="450" t="str">
        <x:v>Cavalry</x:v>
      </x:c>
      <x:c r="L4" s="450" t="str">
        <x:v>Siege</x:v>
      </x:c>
      <x:c r="M4" s="450" t="str">
        <x:v>Specialisations</x:v>
      </x:c>
      <x:c r="N4" s="450" t="str">
        <x:v>Stats Timestamp</x:v>
      </x:c>
      <x:c r="O4" s="450" t="str">
        <x:v>Attribute frame range</x:v>
      </x:c>
      <x:c r="P4" s="450" t="str">
        <x:v>Source Video</x:v>
      </x:c>
      <x:c r="Q4" s="450" t="str">
        <x:v>Recorded Badges</x:v>
      </x:c>
      <x:c r="R4" s="450" t="str">
        <x:v>Badge Lookup Coverage</x:v>
      </x:c>
      <x:c r="S4" s="450" t="str">
        <x:v>Offensive Spec Damage</x:v>
      </x:c>
      <x:c r="T4" s="450" t="str">
        <x:v>Guard Damage Received</x:v>
      </x:c>
      <x:c r="U4" s="450" t="str">
        <x:v>Damage Specialist Score</x:v>
      </x:c>
      <x:c r="V4" s="450" t="str">
        <x:v>Tank Specialist Score</x:v>
      </x:c>
    </x:row>
    <x:row r="5" ht="45" customHeight="1">
      <x:c r="A5" s="43" t="str">
        <x:v>K60</x:v>
      </x:c>
      <x:c r="B5" s="43" t="str">
        <x:v>CerialKiller</x:v>
      </x:c>
      <x:c r="C5" s="43"/>
      <x:c r="D5" s="44" t="n">
        <x:v>4.3396</x:v>
      </x:c>
      <x:c r="E5" s="44" t="n">
        <x:v>3.286</x:v>
      </x:c>
      <x:c r="F5" s="44" t="n">
        <x:v>4.191</x:v>
      </x:c>
      <x:c r="G5" s="44" t="n">
        <x:v>0.4375</x:v>
      </x:c>
      <x:c r="H5" s="44" t="n">
        <x:v>-0.475</x:v>
      </x:c>
      <x:c r="I5" s="30" t="str">
        <x:v>Destroyers (Lv 50) — Parry</x:v>
      </x:c>
      <x:c r="J5" s="30" t="str">
        <x:v>Elite bowmen (Lv 46) — Frost Arrow</x:v>
      </x:c>
      <x:c r="K5" s="30" t="str">
        <x:v>Eternal knights (Lv 46) — Thunder trample
Storm cavalry (Lv 46) — Mounted Archery</x:v>
      </x:c>
      <x:c r="L5" s="30" t="str">
        <x:v>Not shown in recording</x:v>
      </x:c>
      <x:c r="M5" s="43" t="n">
        <x:v>4</x:v>
      </x:c>
      <x:c r="N5" s="43" t="str">
        <x:v>00:29.25</x:v>
      </x:c>
      <x:c r="O5" s="43"/>
      <x:c r="P5" s="43" t="str">
        <x:v>K60_SVID_20260828_001858_1.mp4</x:v>
      </x:c>
      <x:c r="Q5" s="391" t="n">
        <x:f>SUMIFS('Specialisations'!$N$6:$N$527,'Specialisations'!$A$6:$A$527,A5,'Specialisations'!$B$6:$B$527,B5)</x:f>
        <x:v>25347200</x:v>
      </x:c>
      <x:c r="R5" s="392" t="n">
        <x:f>IF(M5=0,"",COUNTIFS('Specialisations'!$A$6:$A$527,A5,'Specialisations'!$B$6:$B$527,B5,'Specialisations'!$P$6:$P$527,"OK")/M5)</x:f>
        <x:v>1</x:v>
      </x:c>
      <x:c r="S5" s="494" t="n">
        <x:f>IF(Q5=0,"",SUMIFS('Specialisation Impact'!$K$19:$K$186,'Specialisation Impact'!$A$19:$A$186,A5,'Specialisation Impact'!$B$19:$B$186,B5))</x:f>
        <x:v>135.39000000000001</x:v>
      </x:c>
      <x:c r="T5" s="494" t="n">
        <x:f>IF(Q5=0,"",SUMIFS('Specialisation Impact'!$G$19:$G$186,'Specialisation Impact'!$A$19:$A$186,A5,'Specialisation Impact'!$B$19:$B$186,B5))</x:f>
        <x:v>-60</x:v>
      </x:c>
      <x:c r="U5" s="429" t="n">
        <x:f>IF(COUNTIFS('Specialisation Impact'!$A$19:$A$186,A5,'Specialisation Impact'!$B$19:$B$186,B5,'Specialisation Impact'!$S$19:$S$186,"&gt;0")=0,"",SUMIFS('Specialisation Impact'!$S$19:$S$186,'Specialisation Impact'!$A$19:$A$186,A5,'Specialisation Impact'!$B$19:$B$186,B5))</x:f>
        <x:v>80.71428571428571</x:v>
      </x:c>
      <x:c r="V5" s="429" t="n">
        <x:f>IF(COUNTIFS('Specialisation Impact'!$A$19:$A$186,A5,'Specialisation Impact'!$B$19:$B$186,B5,'Specialisation Impact'!$V$19:$V$186,"&gt;0")=0,"",SUMIFS('Specialisation Impact'!$V$19:$V$186,'Specialisation Impact'!$A$19:$A$186,A5,'Specialisation Impact'!$B$19:$B$186,B5))</x:f>
        <x:v>93.16239316239316</x:v>
      </x:c>
    </x:row>
    <x:row r="6" ht="45" customHeight="1">
      <x:c r="A6" s="43" t="str">
        <x:v>K60</x:v>
      </x:c>
      <x:c r="B6" s="43" t="str">
        <x:v>Hitt</x:v>
      </x:c>
      <x:c r="C6" s="43"/>
      <x:c r="D6" s="44" t="n">
        <x:v>2.896</x:v>
      </x:c>
      <x:c r="E6" s="44" t="n">
        <x:v>2.601</x:v>
      </x:c>
      <x:c r="F6" s="44" t="n">
        <x:v>2.851</x:v>
      </x:c>
      <x:c r="G6" s="44" t="n">
        <x:v>0.415</x:v>
      </x:c>
      <x:c r="H6" s="44" t="n">
        <x:v>-0.415</x:v>
      </x:c>
      <x:c r="I6" s="30" t="str">
        <x:v>Destroyers (Lv 40) — Parry</x:v>
      </x:c>
      <x:c r="J6" s="30" t="str">
        <x:v>Elite bowmen (Lv 40) — Frost Arrow</x:v>
      </x:c>
      <x:c r="K6" s="30" t="str">
        <x:v>Eternal knights (Lv 44) — Thunder trample
Storm cavalry (Lv 43) — Mounted Archery</x:v>
      </x:c>
      <x:c r="L6" s="30" t="str">
        <x:v>Not shown in recording</x:v>
      </x:c>
      <x:c r="M6" s="43" t="n">
        <x:v>4</x:v>
      </x:c>
      <x:c r="N6" s="43" t="str">
        <x:v>00:41.75</x:v>
      </x:c>
      <x:c r="O6" s="43"/>
      <x:c r="P6" s="43" t="str">
        <x:v>K60_SVID_20260828_001858_1.mp4</x:v>
      </x:c>
      <x:c r="Q6" s="391" t="n">
        <x:f>SUMIFS('Specialisations'!$N$6:$N$527,'Specialisations'!$A$6:$A$527,A6,'Specialisations'!$B$6:$B$527,B6)</x:f>
        <x:v>11457200</x:v>
      </x:c>
      <x:c r="R6" s="392" t="n">
        <x:f>IF(M6=0,"",COUNTIFS('Specialisations'!$A$6:$A$527,A6,'Specialisations'!$B$6:$B$527,B6,'Specialisations'!$P$6:$P$527,"OK")/M6)</x:f>
        <x:v>1</x:v>
      </x:c>
      <x:c r="S6" s="494" t="n">
        <x:f>IF(Q6=0,"",SUMIFS('Specialisation Impact'!$K$19:$K$186,'Specialisation Impact'!$A$19:$A$186,A6,'Specialisation Impact'!$B$19:$B$186,B6))</x:f>
        <x:v>103.64999999999999</x:v>
      </x:c>
      <x:c r="T6" s="494" t="n">
        <x:f>IF(Q6=0,"",SUMIFS('Specialisation Impact'!$G$19:$G$186,'Specialisation Impact'!$A$19:$A$186,A6,'Specialisation Impact'!$B$19:$B$186,B6))</x:f>
        <x:v>-27.74</x:v>
      </x:c>
      <x:c r="U6" s="429" t="n">
        <x:f>IF(COUNTIFS('Specialisation Impact'!$A$19:$A$186,A6,'Specialisation Impact'!$B$19:$B$186,B6,'Specialisation Impact'!$S$19:$S$186,"&gt;0")=0,"",SUMIFS('Specialisation Impact'!$S$19:$S$186,'Specialisation Impact'!$A$19:$A$186,A6,'Specialisation Impact'!$B$19:$B$186,B6))</x:f>
        <x:v>53.506493506493506</x:v>
      </x:c>
      <x:c r="V6" s="429" t="n">
        <x:f>IF(COUNTIFS('Specialisation Impact'!$A$19:$A$186,A6,'Specialisation Impact'!$B$19:$B$186,B6,'Specialisation Impact'!$V$19:$V$186,"&gt;0")=0,"",SUMIFS('Specialisation Impact'!$V$19:$V$186,'Specialisation Impact'!$A$19:$A$186,A6,'Specialisation Impact'!$B$19:$B$186,B6))</x:f>
        <x:v>29.48717948717949</x:v>
      </x:c>
    </x:row>
    <x:row r="7" ht="45" customHeight="1">
      <x:c r="A7" s="43" t="str">
        <x:v>K60</x:v>
      </x:c>
      <x:c r="B7" s="43" t="str">
        <x:v>Λžtěč (Aztec)</x:v>
      </x:c>
      <x:c r="C7" s="43"/>
      <x:c r="D7" s="44" t="n">
        <x:v>3.231</x:v>
      </x:c>
      <x:c r="E7" s="44" t="n">
        <x:v>2.486</x:v>
      </x:c>
      <x:c r="F7" s="44" t="n">
        <x:v>2.831</x:v>
      </x:c>
      <x:c r="G7" s="44" t="n">
        <x:v>0.4375</x:v>
      </x:c>
      <x:c r="H7" s="44" t="n">
        <x:v>-0.415</x:v>
      </x:c>
      <x:c r="I7" s="30" t="str">
        <x:v>Destroyers (Lv 40) — Parry</x:v>
      </x:c>
      <x:c r="J7" s="30" t="str">
        <x:v>Elite bowmen (Lv 40) — Frost Arrow</x:v>
      </x:c>
      <x:c r="K7" s="30" t="str">
        <x:v>Eternal knights (Lv 44) — Thunder trample
Storm cavalry (Lv 44) — Mounted Archery</x:v>
      </x:c>
      <x:c r="L7" s="30" t="str">
        <x:v>Not shown in recording</x:v>
      </x:c>
      <x:c r="M7" s="43" t="n">
        <x:v>4</x:v>
      </x:c>
      <x:c r="N7" s="43" t="str">
        <x:v>00:51.75</x:v>
      </x:c>
      <x:c r="O7" s="43"/>
      <x:c r="P7" s="43" t="str">
        <x:v>K60_SVID_20260828_001858_1.mp4</x:v>
      </x:c>
      <x:c r="Q7" s="391" t="n">
        <x:f>SUMIFS('Specialisations'!$N$6:$N$527,'Specialisations'!$A$6:$A$527,A7,'Specialisations'!$B$6:$B$527,B7)</x:f>
        <x:v>11937200</x:v>
      </x:c>
      <x:c r="R7" s="392" t="n">
        <x:f>IF(M7=0,"",COUNTIFS('Specialisations'!$A$6:$A$527,A7,'Specialisations'!$B$6:$B$527,B7,'Specialisations'!$P$6:$P$527,"OK")/M7)</x:f>
        <x:v>1</x:v>
      </x:c>
      <x:c r="S7" s="494" t="n">
        <x:f>IF(Q7=0,"",SUMIFS('Specialisation Impact'!$K$19:$K$186,'Specialisation Impact'!$A$19:$A$186,A7,'Specialisation Impact'!$B$19:$B$186,B7))</x:f>
        <x:v>107.6</x:v>
      </x:c>
      <x:c r="T7" s="494" t="n">
        <x:f>IF(Q7=0,"",SUMIFS('Specialisation Impact'!$G$19:$G$186,'Specialisation Impact'!$A$19:$A$186,A7,'Specialisation Impact'!$B$19:$B$186,B7))</x:f>
        <x:v>-27.74</x:v>
      </x:c>
      <x:c r="U7" s="429" t="n">
        <x:f>IF(COUNTIFS('Specialisation Impact'!$A$19:$A$186,A7,'Specialisation Impact'!$B$19:$B$186,B7,'Specialisation Impact'!$S$19:$S$186,"&gt;0")=0,"",SUMIFS('Specialisation Impact'!$S$19:$S$186,'Specialisation Impact'!$A$19:$A$186,A7,'Specialisation Impact'!$B$19:$B$186,B7))</x:f>
        <x:v>56.23376623376623</x:v>
      </x:c>
      <x:c r="V7" s="429" t="n">
        <x:f>IF(COUNTIFS('Specialisation Impact'!$A$19:$A$186,A7,'Specialisation Impact'!$B$19:$B$186,B7,'Specialisation Impact'!$V$19:$V$186,"&gt;0")=0,"",SUMIFS('Specialisation Impact'!$V$19:$V$186,'Specialisation Impact'!$A$19:$A$186,A7,'Specialisation Impact'!$B$19:$B$186,B7))</x:f>
        <x:v>29.48717948717949</x:v>
      </x:c>
    </x:row>
    <x:row r="8" ht="45" customHeight="1">
      <x:c r="A8" s="43" t="str">
        <x:v>K60</x:v>
      </x:c>
      <x:c r="B8" s="43" t="str">
        <x:v>MoonLight</x:v>
      </x:c>
      <x:c r="C8" s="43"/>
      <x:c r="D8" s="44" t="n">
        <x:v>3.6485</x:v>
      </x:c>
      <x:c r="E8" s="44" t="n">
        <x:v>2.931</x:v>
      </x:c>
      <x:c r="F8" s="44" t="n">
        <x:v>2.971</x:v>
      </x:c>
      <x:c r="G8" s="44" t="n">
        <x:v>0.4375</x:v>
      </x:c>
      <x:c r="H8" s="44" t="n">
        <x:v>-0.415</x:v>
      </x:c>
      <x:c r="I8" s="30" t="str">
        <x:v>Destroyers (Lv 40) — Parry</x:v>
      </x:c>
      <x:c r="J8" s="30" t="str">
        <x:v>Elite bowmen (Lv 41) — Frost Arrow</x:v>
      </x:c>
      <x:c r="K8" s="30" t="str">
        <x:v>Eternal knights (Lv 43) — Thunder trample</x:v>
      </x:c>
      <x:c r="L8" s="30" t="str">
        <x:v>Not shown in recording</x:v>
      </x:c>
      <x:c r="M8" s="43" t="n">
        <x:v>3</x:v>
      </x:c>
      <x:c r="N8" s="43" t="str">
        <x:v>01:01.75</x:v>
      </x:c>
      <x:c r="O8" s="43"/>
      <x:c r="P8" s="43" t="str">
        <x:v>K60_SVID_20260828_001858_1.mp4</x:v>
      </x:c>
      <x:c r="Q8" s="391" t="n">
        <x:f>SUMIFS('Specialisations'!$N$6:$N$527,'Specialisations'!$A$6:$A$527,A8,'Specialisations'!$B$6:$B$527,B8)</x:f>
        <x:v>8012900</x:v>
      </x:c>
      <x:c r="R8" s="392" t="n">
        <x:f>IF(M8=0,"",COUNTIFS('Specialisations'!$A$6:$A$527,A8,'Specialisations'!$B$6:$B$527,B8,'Specialisations'!$P$6:$P$527,"OK")/M8)</x:f>
        <x:v>1</x:v>
      </x:c>
      <x:c r="S8" s="494" t="n">
        <x:f>IF(Q8=0,"",SUMIFS('Specialisation Impact'!$K$19:$K$186,'Specialisation Impact'!$A$19:$A$186,A8,'Specialisation Impact'!$B$19:$B$186,B8))</x:f>
        <x:v>66.36</x:v>
      </x:c>
      <x:c r="T8" s="494" t="n">
        <x:f>IF(Q8=0,"",SUMIFS('Specialisation Impact'!$G$19:$G$186,'Specialisation Impact'!$A$19:$A$186,A8,'Specialisation Impact'!$B$19:$B$186,B8))</x:f>
        <x:v>-27.74</x:v>
      </x:c>
      <x:c r="U8" s="429" t="n">
        <x:f>IF(COUNTIFS('Specialisation Impact'!$A$19:$A$186,A8,'Specialisation Impact'!$B$19:$B$186,B8,'Specialisation Impact'!$S$19:$S$186,"&gt;0")=0,"",SUMIFS('Specialisation Impact'!$S$19:$S$186,'Specialisation Impact'!$A$19:$A$186,A8,'Specialisation Impact'!$B$19:$B$186,B8))</x:f>
        <x:v>29.35064935064935</x:v>
      </x:c>
      <x:c r="V8" s="429" t="n">
        <x:f>IF(COUNTIFS('Specialisation Impact'!$A$19:$A$186,A8,'Specialisation Impact'!$B$19:$B$186,B8,'Specialisation Impact'!$V$19:$V$186,"&gt;0")=0,"",SUMIFS('Specialisation Impact'!$V$19:$V$186,'Specialisation Impact'!$A$19:$A$186,A8,'Specialisation Impact'!$B$19:$B$186,B8))</x:f>
        <x:v>29.48717948717949</x:v>
      </x:c>
    </x:row>
    <x:row r="9" ht="45" customHeight="1">
      <x:c r="A9" s="43" t="str">
        <x:v>K60</x:v>
      </x:c>
      <x:c r="B9" s="43" t="str">
        <x:v>KingSkorpioN</x:v>
      </x:c>
      <x:c r="C9" s="43"/>
      <x:c r="D9" s="44" t="n">
        <x:v>3.2285</x:v>
      </x:c>
      <x:c r="E9" s="44" t="n">
        <x:v>2.271</x:v>
      </x:c>
      <x:c r="F9" s="44" t="n">
        <x:v>2.741</x:v>
      </x:c>
      <x:c r="G9" s="44" t="n">
        <x:v>0.4375</x:v>
      </x:c>
      <x:c r="H9" s="44" t="n">
        <x:v>-0.415</x:v>
      </x:c>
      <x:c r="I9" s="30" t="str">
        <x:v>Destroyers (Lv 40) — Parry</x:v>
      </x:c>
      <x:c r="J9" s="30" t="str">
        <x:v>Elite bowmen (Lv 42) — Frost Arrow</x:v>
      </x:c>
      <x:c r="K9" s="30" t="str">
        <x:v>Eternal knights (Lv 46) — Thunder trample</x:v>
      </x:c>
      <x:c r="L9" s="30" t="str">
        <x:v>Not shown in recording</x:v>
      </x:c>
      <x:c r="M9" s="43" t="n">
        <x:v>3</x:v>
      </x:c>
      <x:c r="N9" s="43" t="str">
        <x:v>01:10.75</x:v>
      </x:c>
      <x:c r="O9" s="43"/>
      <x:c r="P9" s="43" t="str">
        <x:v>K60_SVID_20260828_001858_1.mp4</x:v>
      </x:c>
      <x:c r="Q9" s="391" t="n">
        <x:f>SUMIFS('Specialisations'!$N$6:$N$527,'Specialisations'!$A$6:$A$527,A9,'Specialisations'!$B$6:$B$527,B9)</x:f>
        <x:v>10092900</x:v>
      </x:c>
      <x:c r="R9" s="392" t="n">
        <x:f>IF(M9=0,"",COUNTIFS('Specialisations'!$A$6:$A$527,A9,'Specialisations'!$B$6:$B$527,B9,'Specialisations'!$P$6:$P$527,"OK")/M9)</x:f>
        <x:v>1</x:v>
      </x:c>
      <x:c r="S9" s="494" t="n">
        <x:f>IF(Q9=0,"",SUMIFS('Specialisation Impact'!$K$19:$K$186,'Specialisation Impact'!$A$19:$A$186,A9,'Specialisation Impact'!$B$19:$B$186,B9))</x:f>
        <x:v>78.26</x:v>
      </x:c>
      <x:c r="T9" s="494" t="n">
        <x:f>IF(Q9=0,"",SUMIFS('Specialisation Impact'!$G$19:$G$186,'Specialisation Impact'!$A$19:$A$186,A9,'Specialisation Impact'!$B$19:$B$186,B9))</x:f>
        <x:v>-27.74</x:v>
      </x:c>
      <x:c r="U9" s="429" t="n">
        <x:f>IF(COUNTIFS('Specialisation Impact'!$A$19:$A$186,A9,'Specialisation Impact'!$B$19:$B$186,B9,'Specialisation Impact'!$S$19:$S$186,"&gt;0")=0,"",SUMIFS('Specialisation Impact'!$S$19:$S$186,'Specialisation Impact'!$A$19:$A$186,A9,'Specialisation Impact'!$B$19:$B$186,B9))</x:f>
        <x:v>34.285714285714285</x:v>
      </x:c>
      <x:c r="V9" s="429" t="n">
        <x:f>IF(COUNTIFS('Specialisation Impact'!$A$19:$A$186,A9,'Specialisation Impact'!$B$19:$B$186,B9,'Specialisation Impact'!$V$19:$V$186,"&gt;0")=0,"",SUMIFS('Specialisation Impact'!$V$19:$V$186,'Specialisation Impact'!$A$19:$A$186,A9,'Specialisation Impact'!$B$19:$B$186,B9))</x:f>
        <x:v>29.48717948717949</x:v>
      </x:c>
    </x:row>
    <x:row r="10" ht="45" customHeight="1">
      <x:c r="A10" s="43" t="str">
        <x:v>K60</x:v>
      </x:c>
      <x:c r="B10" s="43" t="str">
        <x:v>Crixus</x:v>
      </x:c>
      <x:c r="C10" s="43"/>
      <x:c r="D10" s="44" t="n">
        <x:v>3.0385</x:v>
      </x:c>
      <x:c r="E10" s="44" t="n">
        <x:v>2.601</x:v>
      </x:c>
      <x:c r="F10" s="44" t="n">
        <x:v>2.671</x:v>
      </x:c>
      <x:c r="G10" s="44" t="n">
        <x:v>0.4375</x:v>
      </x:c>
      <x:c r="H10" s="44" t="n">
        <x:v>-0.4</x:v>
      </x:c>
      <x:c r="I10" s="30" t="str">
        <x:v>Destroyers (Lv 40) — Parry</x:v>
      </x:c>
      <x:c r="J10" s="30" t="str">
        <x:v>Elite bowmen (Lv 41) — Frost Arrow</x:v>
      </x:c>
      <x:c r="K10" s="30" t="str">
        <x:v>Eternal knights (Lv 44) — Thunder trample
Royal banderium (Lv 44) — Mounted Archery</x:v>
      </x:c>
      <x:c r="L10" s="30" t="str">
        <x:v>Not shown in recording</x:v>
      </x:c>
      <x:c r="M10" s="43" t="n">
        <x:v>4</x:v>
      </x:c>
      <x:c r="N10" s="43" t="str">
        <x:v>01:20.75</x:v>
      </x:c>
      <x:c r="O10" s="43"/>
      <x:c r="P10" s="43" t="str">
        <x:v>K60_SVID_20260828_001858_1.mp4</x:v>
      </x:c>
      <x:c r="Q10" s="391" t="n">
        <x:f>SUMIFS('Specialisations'!$N$6:$N$527,'Specialisations'!$A$6:$A$527,A10,'Specialisations'!$B$6:$B$527,B10)</x:f>
        <x:v>12217200</x:v>
      </x:c>
      <x:c r="R10" s="392" t="n">
        <x:f>IF(M10=0,"",COUNTIFS('Specialisations'!$A$6:$A$527,A10,'Specialisations'!$B$6:$B$527,B10,'Specialisations'!$P$6:$P$527,"OK")/M10)</x:f>
        <x:v>1</x:v>
      </x:c>
      <x:c r="S10" s="494" t="n">
        <x:f>IF(Q10=0,"",SUMIFS('Specialisation Impact'!$K$19:$K$186,'Specialisation Impact'!$A$19:$A$186,A10,'Specialisation Impact'!$B$19:$B$186,B10))</x:f>
        <x:v>110.24</x:v>
      </x:c>
      <x:c r="T10" s="494" t="n">
        <x:f>IF(Q10=0,"",SUMIFS('Specialisation Impact'!$G$19:$G$186,'Specialisation Impact'!$A$19:$A$186,A10,'Specialisation Impact'!$B$19:$B$186,B10))</x:f>
        <x:v>-27.74</x:v>
      </x:c>
      <x:c r="U10" s="429" t="n">
        <x:f>IF(COUNTIFS('Specialisation Impact'!$A$19:$A$186,A10,'Specialisation Impact'!$B$19:$B$186,B10,'Specialisation Impact'!$S$19:$S$186,"&gt;0")=0,"",SUMIFS('Specialisation Impact'!$S$19:$S$186,'Specialisation Impact'!$A$19:$A$186,A10,'Specialisation Impact'!$B$19:$B$186,B10))</x:f>
        <x:v>58.57142857142858</x:v>
      </x:c>
      <x:c r="V10" s="429" t="n">
        <x:f>IF(COUNTIFS('Specialisation Impact'!$A$19:$A$186,A10,'Specialisation Impact'!$B$19:$B$186,B10,'Specialisation Impact'!$V$19:$V$186,"&gt;0")=0,"",SUMIFS('Specialisation Impact'!$V$19:$V$186,'Specialisation Impact'!$A$19:$A$186,A10,'Specialisation Impact'!$B$19:$B$186,B10))</x:f>
        <x:v>29.48717948717949</x:v>
      </x:c>
    </x:row>
    <x:row r="11" ht="45" customHeight="1">
      <x:c r="A11" s="43" t="str">
        <x:v>K60</x:v>
      </x:c>
      <x:c r="B11" s="43" t="str">
        <x:v>Ёжик</x:v>
      </x:c>
      <x:c r="C11" s="43"/>
      <x:c r="D11" s="44" t="n">
        <x:v>2.766</x:v>
      </x:c>
      <x:c r="E11" s="44" t="n">
        <x:v>2.801</x:v>
      </x:c>
      <x:c r="F11" s="44" t="n">
        <x:v>3.111</x:v>
      </x:c>
      <x:c r="G11" s="44" t="n">
        <x:v>0.415</x:v>
      </x:c>
      <x:c r="H11" s="44" t="n">
        <x:v>-0.415</x:v>
      </x:c>
      <x:c r="I11" s="30" t="str">
        <x:v>Destroyers (Lv 40) — Parry</x:v>
      </x:c>
      <x:c r="J11" s="30" t="str">
        <x:v>Elite bowmen (Lv 40) — Frost Arrow</x:v>
      </x:c>
      <x:c r="K11" s="30" t="str">
        <x:v>Eternal knights (Lv 45) — Thunder trample
Storm cavalry (Lv 46) — Mounted Archery</x:v>
      </x:c>
      <x:c r="L11" s="30" t="str">
        <x:v>Not shown in recording</x:v>
      </x:c>
      <x:c r="M11" s="43" t="n">
        <x:v>4</x:v>
      </x:c>
      <x:c r="N11" s="43" t="str">
        <x:v>01:31.25</x:v>
      </x:c>
      <x:c r="O11" s="43"/>
      <x:c r="P11" s="43" t="str">
        <x:v>K60_SVID_20260828_001858_1.mp4</x:v>
      </x:c>
      <x:c r="Q11" s="391" t="n">
        <x:f>SUMIFS('Specialisations'!$N$6:$N$527,'Specialisations'!$A$6:$A$527,A11,'Specialisations'!$B$6:$B$527,B11)</x:f>
        <x:v>13777200</x:v>
      </x:c>
      <x:c r="R11" s="392" t="n">
        <x:f>IF(M11=0,"",COUNTIFS('Specialisations'!$A$6:$A$527,A11,'Specialisations'!$B$6:$B$527,B11,'Specialisations'!$P$6:$P$527,"OK")/M11)</x:f>
        <x:v>1</x:v>
      </x:c>
      <x:c r="S11" s="494" t="n">
        <x:f>IF(Q11=0,"",SUMIFS('Specialisation Impact'!$K$19:$K$186,'Specialisation Impact'!$A$19:$A$186,A11,'Specialisation Impact'!$B$19:$B$186,B11))</x:f>
        <x:v>114.85</x:v>
      </x:c>
      <x:c r="T11" s="494" t="n">
        <x:f>IF(Q11=0,"",SUMIFS('Specialisation Impact'!$G$19:$G$186,'Specialisation Impact'!$A$19:$A$186,A11,'Specialisation Impact'!$B$19:$B$186,B11))</x:f>
        <x:v>-27.74</x:v>
      </x:c>
      <x:c r="U11" s="429" t="n">
        <x:f>IF(COUNTIFS('Specialisation Impact'!$A$19:$A$186,A11,'Specialisation Impact'!$B$19:$B$186,B11,'Specialisation Impact'!$S$19:$S$186,"&gt;0")=0,"",SUMIFS('Specialisation Impact'!$S$19:$S$186,'Specialisation Impact'!$A$19:$A$186,A11,'Specialisation Impact'!$B$19:$B$186,B11))</x:f>
        <x:v>65.64935064935065</x:v>
      </x:c>
      <x:c r="V11" s="429" t="n">
        <x:f>IF(COUNTIFS('Specialisation Impact'!$A$19:$A$186,A11,'Specialisation Impact'!$B$19:$B$186,B11,'Specialisation Impact'!$V$19:$V$186,"&gt;0")=0,"",SUMIFS('Specialisation Impact'!$V$19:$V$186,'Specialisation Impact'!$A$19:$A$186,A11,'Specialisation Impact'!$B$19:$B$186,B11))</x:f>
        <x:v>29.48717948717949</x:v>
      </x:c>
    </x:row>
    <x:row r="12" ht="45" customHeight="1">
      <x:c r="A12" s="43" t="str">
        <x:v>K60</x:v>
      </x:c>
      <x:c r="B12" s="43" t="str">
        <x:v>༺۝Foxik۝༻</x:v>
      </x:c>
      <x:c r="C12" s="43"/>
      <x:c r="D12" s="44" t="n">
        <x:v>2.801</x:v>
      </x:c>
      <x:c r="E12" s="44" t="n">
        <x:v>2.311</x:v>
      </x:c>
      <x:c r="F12" s="44" t="n">
        <x:v>2.746</x:v>
      </x:c>
      <x:c r="G12" s="44" t="n">
        <x:v>0.415</x:v>
      </x:c>
      <x:c r="H12" s="44" t="n">
        <x:v>-0.415</x:v>
      </x:c>
      <x:c r="I12" s="30" t="str">
        <x:v>Destroyers (Lv 40) — Parry</x:v>
      </x:c>
      <x:c r="J12" s="30" t="str">
        <x:v>Not shown in recording</x:v>
      </x:c>
      <x:c r="K12" s="30" t="str">
        <x:v>Eternal knights (Lv 44) — Thunder trample
Storm cavalry (Lv 45) — Mounted Archery</x:v>
      </x:c>
      <x:c r="L12" s="30" t="str">
        <x:v>Not shown in recording</x:v>
      </x:c>
      <x:c r="M12" s="43" t="n">
        <x:v>3</x:v>
      </x:c>
      <x:c r="N12" s="43" t="str">
        <x:v>01:39.75</x:v>
      </x:c>
      <x:c r="O12" s="43"/>
      <x:c r="P12" s="43" t="str">
        <x:v>K60_SVID_20260828_001858_1.mp4</x:v>
      </x:c>
      <x:c r="Q12" s="391" t="n">
        <x:f>SUMIFS('Specialisations'!$N$6:$N$527,'Specialisations'!$A$6:$A$527,A12,'Specialisations'!$B$6:$B$527,B12)</x:f>
        <x:v>10252900</x:v>
      </x:c>
      <x:c r="R12" s="392" t="n">
        <x:f>IF(M12=0,"",COUNTIFS('Specialisations'!$A$6:$A$527,A12,'Specialisations'!$B$6:$B$527,B12,'Specialisations'!$P$6:$P$527,"OK")/M12)</x:f>
        <x:v>1</x:v>
      </x:c>
      <x:c r="S12" s="494" t="n">
        <x:f>IF(Q12=0,"",SUMIFS('Specialisation Impact'!$K$19:$K$186,'Specialisation Impact'!$A$19:$A$186,A12,'Specialisation Impact'!$B$19:$B$186,B12))</x:f>
        <x:v>81.91</x:v>
      </x:c>
      <x:c r="T12" s="494" t="n">
        <x:f>IF(Q12=0,"",SUMIFS('Specialisation Impact'!$G$19:$G$186,'Specialisation Impact'!$A$19:$A$186,A12,'Specialisation Impact'!$B$19:$B$186,B12))</x:f>
        <x:v>-27.74</x:v>
      </x:c>
      <x:c r="U12" s="429" t="n">
        <x:f>IF(COUNTIFS('Specialisation Impact'!$A$19:$A$186,A12,'Specialisation Impact'!$B$19:$B$186,B12,'Specialisation Impact'!$S$19:$S$186,"&gt;0")=0,"",SUMIFS('Specialisation Impact'!$S$19:$S$186,'Specialisation Impact'!$A$19:$A$186,A12,'Specialisation Impact'!$B$19:$B$186,B12))</x:f>
        <x:v>37.79220779220779</x:v>
      </x:c>
      <x:c r="V12" s="429" t="n">
        <x:f>IF(COUNTIFS('Specialisation Impact'!$A$19:$A$186,A12,'Specialisation Impact'!$B$19:$B$186,B12,'Specialisation Impact'!$V$19:$V$186,"&gt;0")=0,"",SUMIFS('Specialisation Impact'!$V$19:$V$186,'Specialisation Impact'!$A$19:$A$186,A12,'Specialisation Impact'!$B$19:$B$186,B12))</x:f>
        <x:v>29.48717948717949</x:v>
      </x:c>
    </x:row>
    <x:row r="13" ht="45" customHeight="1">
      <x:c r="A13" s="43" t="str">
        <x:v>K60</x:v>
      </x:c>
      <x:c r="B13" s="43" t="str">
        <x:v>Houdini</x:v>
      </x:c>
      <x:c r="C13" s="43"/>
      <x:c r="D13" s="44" t="n">
        <x:v>2.856</x:v>
      </x:c>
      <x:c r="E13" s="44" t="n">
        <x:v>2.391</x:v>
      </x:c>
      <x:c r="F13" s="44" t="n">
        <x:v>2.791</x:v>
      </x:c>
      <x:c r="G13" s="44" t="n">
        <x:v>0.415</x:v>
      </x:c>
      <x:c r="H13" s="44" t="n">
        <x:v>-0.415</x:v>
      </x:c>
      <x:c r="I13" s="30" t="str">
        <x:v>Not shown in recording</x:v>
      </x:c>
      <x:c r="J13" s="30" t="str">
        <x:v>Elite bowmen (Lv 42) — Frost Arrow</x:v>
      </x:c>
      <x:c r="K13" s="30" t="str">
        <x:v>Eternal knights (Lv 46) — Thunder trample
Storm cavalry (Lv 46) — Mounted Archery</x:v>
      </x:c>
      <x:c r="L13" s="30" t="str">
        <x:v>Not shown in recording</x:v>
      </x:c>
      <x:c r="M13" s="43" t="n">
        <x:v>3</x:v>
      </x:c>
      <x:c r="N13" s="43" t="str">
        <x:v>01:47.75</x:v>
      </x:c>
      <x:c r="O13" s="43"/>
      <x:c r="P13" s="43" t="str">
        <x:v>K60_SVID_20260828_001858_1.mp4</x:v>
      </x:c>
      <x:c r="Q13" s="391" t="n">
        <x:f>SUMIFS('Specialisations'!$N$6:$N$527,'Specialisations'!$A$6:$A$527,A13,'Specialisations'!$B$6:$B$527,B13)</x:f>
        <x:v>12852900</x:v>
      </x:c>
      <x:c r="R13" s="392" t="n">
        <x:f>IF(M13=0,"",COUNTIFS('Specialisations'!$A$6:$A$527,A13,'Specialisations'!$B$6:$B$527,B13,'Specialisations'!$P$6:$P$527,"OK")/M13)</x:f>
        <x:v>1</x:v>
      </x:c>
      <x:c r="S13" s="494" t="n">
        <x:f>IF(Q13=0,"",SUMIFS('Specialisation Impact'!$K$19:$K$186,'Specialisation Impact'!$A$19:$A$186,A13,'Specialisation Impact'!$B$19:$B$186,B13))</x:f>
        <x:v>123.39000000000001</x:v>
      </x:c>
      <x:c r="T13" s="494" t="n">
        <x:f>IF(Q13=0,"",SUMIFS('Specialisation Impact'!$G$19:$G$186,'Specialisation Impact'!$A$19:$A$186,A13,'Specialisation Impact'!$B$19:$B$186,B13))</x:f>
        <x:v>0</x:v>
      </x:c>
      <x:c r="U13" s="429" t="n">
        <x:f>IF(COUNTIFS('Specialisation Impact'!$A$19:$A$186,A13,'Specialisation Impact'!$B$19:$B$186,B13,'Specialisation Impact'!$S$19:$S$186,"&gt;0")=0,"",SUMIFS('Specialisation Impact'!$S$19:$S$186,'Specialisation Impact'!$A$19:$A$186,A13,'Specialisation Impact'!$B$19:$B$186,B13))</x:f>
        <x:v>72.85714285714286</x:v>
      </x:c>
      <x:c r="V13" s="429" t="str">
        <x:f>IF(COUNTIFS('Specialisation Impact'!$A$19:$A$186,A13,'Specialisation Impact'!$B$19:$B$186,B13,'Specialisation Impact'!$V$19:$V$186,"&gt;0")=0,"",SUMIFS('Specialisation Impact'!$V$19:$V$186,'Specialisation Impact'!$A$19:$A$186,A13,'Specialisation Impact'!$B$19:$B$186,B13))</x:f>
      </x:c>
    </x:row>
    <x:row r="14" ht="45" customHeight="1">
      <x:c r="A14" s="43" t="str">
        <x:v>K60</x:v>
      </x:c>
      <x:c r="B14" s="43" t="str">
        <x:v>Дерог</x:v>
      </x:c>
      <x:c r="C14" s="43"/>
      <x:c r="D14" s="44" t="n">
        <x:v>3.6146</x:v>
      </x:c>
      <x:c r="E14" s="44" t="n">
        <x:v>2.896</x:v>
      </x:c>
      <x:c r="F14" s="44" t="n">
        <x:v>3.001</x:v>
      </x:c>
      <x:c r="G14" s="44" t="n">
        <x:v>0.4375</x:v>
      </x:c>
      <x:c r="H14" s="44" t="n">
        <x:v>-0.415</x:v>
      </x:c>
      <x:c r="I14" s="30" t="str">
        <x:v>Destroyers (Lv 40) — Parry</x:v>
      </x:c>
      <x:c r="J14" s="30" t="str">
        <x:v>Elite bowmen (Lv 40) — Frost Arrow</x:v>
      </x:c>
      <x:c r="K14" s="30" t="str">
        <x:v>Eternal knights (Lv 46) — Thunder trample
Storm cavalry (Lv 48) — Mounted Archery</x:v>
      </x:c>
      <x:c r="L14" s="30" t="str">
        <x:v>Manglers (Lv 46) — Highly toxic
Guardian siege (Lv 27) — Dragonhide</x:v>
      </x:c>
      <x:c r="M14" s="43" t="n">
        <x:v>6</x:v>
      </x:c>
      <x:c r="N14" s="43" t="str">
        <x:v>02:01.75</x:v>
      </x:c>
      <x:c r="O14" s="43"/>
      <x:c r="P14" s="43" t="str">
        <x:v>K60_SVID_20260828_001858_1.mp4</x:v>
      </x:c>
      <x:c r="Q14" s="391" t="n">
        <x:f>SUMIFS('Specialisations'!$N$6:$N$527,'Specialisations'!$A$6:$A$527,A14,'Specialisations'!$B$6:$B$527,B14)</x:f>
        <x:v>21980800</x:v>
      </x:c>
      <x:c r="R14" s="392" t="n">
        <x:f>IF(M14=0,"",COUNTIFS('Specialisations'!$A$6:$A$527,A14,'Specialisations'!$B$6:$B$527,B14,'Specialisations'!$P$6:$P$527,"OK")/M14)</x:f>
        <x:v>1</x:v>
      </x:c>
      <x:c r="S14" s="494" t="n">
        <x:f>IF(Q14=0,"",SUMIFS('Specialisation Impact'!$K$19:$K$186,'Specialisation Impact'!$A$19:$A$186,A14,'Specialisation Impact'!$B$19:$B$186,B14))</x:f>
        <x:v>177.25</x:v>
      </x:c>
      <x:c r="T14" s="494" t="n">
        <x:f>IF(Q14=0,"",SUMIFS('Specialisation Impact'!$G$19:$G$186,'Specialisation Impact'!$A$19:$A$186,A14,'Specialisation Impact'!$B$19:$B$186,B14))</x:f>
        <x:v>-27.74</x:v>
      </x:c>
      <x:c r="U14" s="429" t="n">
        <x:f>IF(COUNTIFS('Specialisation Impact'!$A$19:$A$186,A14,'Specialisation Impact'!$B$19:$B$186,B14,'Specialisation Impact'!$S$19:$S$186,"&gt;0")=0,"",SUMIFS('Specialisation Impact'!$S$19:$S$186,'Specialisation Impact'!$A$19:$A$186,A14,'Specialisation Impact'!$B$19:$B$186,B14))</x:f>
        <x:v>92.20779220779221</x:v>
      </x:c>
      <x:c r="V14" s="429" t="n">
        <x:f>IF(COUNTIFS('Specialisation Impact'!$A$19:$A$186,A14,'Specialisation Impact'!$B$19:$B$186,B14,'Specialisation Impact'!$V$19:$V$186,"&gt;0")=0,"",SUMIFS('Specialisation Impact'!$V$19:$V$186,'Specialisation Impact'!$A$19:$A$186,A14,'Specialisation Impact'!$B$19:$B$186,B14))</x:f>
        <x:v>29.48717948717949</x:v>
      </x:c>
    </x:row>
    <x:row r="15" ht="45" customHeight="1">
      <x:c r="A15" s="43" t="str">
        <x:v>K60</x:v>
      </x:c>
      <x:c r="B15" s="43" t="str">
        <x:v>#11 元气满满 (122,000)</x:v>
      </x:c>
      <x:c r="C15" s="43"/>
      <x:c r="D15" s="44" t="n">
        <x:v>3.1385</x:v>
      </x:c>
      <x:c r="E15" s="44" t="n">
        <x:v>2.881</x:v>
      </x:c>
      <x:c r="F15" s="44" t="n">
        <x:v>2.981</x:v>
      </x:c>
      <x:c r="G15" s="44" t="n">
        <x:v>0.4375</x:v>
      </x:c>
      <x:c r="H15" s="44" t="n">
        <x:v>-0.415</x:v>
      </x:c>
      <x:c r="I15" s="30" t="str">
        <x:v>Destroyers (Lv 44) — Parry</x:v>
      </x:c>
      <x:c r="J15" s="30" t="str">
        <x:v>Marksmen (Lv 48) — Frost Arrow</x:v>
      </x:c>
      <x:c r="K15" s="30" t="str">
        <x:v>Storm cavalry (Lv 40) — Mounted Archery</x:v>
      </x:c>
      <x:c r="L15" s="30" t="str">
        <x:v>Not shown in recording</x:v>
      </x:c>
      <x:c r="M15" s="43" t="n">
        <x:v>3</x:v>
      </x:c>
      <x:c r="N15" s="43" t="str">
        <x:v>02:05.25</x:v>
      </x:c>
      <x:c r="O15" s="43"/>
      <x:c r="P15" s="43" t="str">
        <x:v>K60_SVID_20260828_001858_1.mp4</x:v>
      </x:c>
      <x:c r="Q15" s="391" t="n">
        <x:f>SUMIFS('Specialisations'!$N$6:$N$527,'Specialisations'!$A$6:$A$527,A15,'Specialisations'!$B$6:$B$527,B15)</x:f>
        <x:v>12902900</x:v>
      </x:c>
      <x:c r="R15" s="392" t="n">
        <x:f>IF(M15=0,"",COUNTIFS('Specialisations'!$A$6:$A$527,A15,'Specialisations'!$B$6:$B$527,B15,'Specialisations'!$P$6:$P$527,"OK")/M15)</x:f>
        <x:v>1</x:v>
      </x:c>
      <x:c r="S15" s="494" t="n">
        <x:f>IF(Q15=0,"",SUMIFS('Specialisation Impact'!$K$19:$K$186,'Specialisation Impact'!$A$19:$A$186,A15,'Specialisation Impact'!$B$19:$B$186,B15))</x:f>
        <x:v>79.48</x:v>
      </x:c>
      <x:c r="T15" s="494" t="n">
        <x:f>IF(Q15=0,"",SUMIFS('Specialisation Impact'!$G$19:$G$186,'Specialisation Impact'!$A$19:$A$186,A15,'Specialisation Impact'!$B$19:$B$186,B15))</x:f>
        <x:v>-39.93</x:v>
      </x:c>
      <x:c r="U15" s="429" t="n">
        <x:f>IF(COUNTIFS('Specialisation Impact'!$A$19:$A$186,A15,'Specialisation Impact'!$B$19:$B$186,B15,'Specialisation Impact'!$S$19:$S$186,"&gt;0")=0,"",SUMIFS('Specialisation Impact'!$S$19:$S$186,'Specialisation Impact'!$A$19:$A$186,A15,'Specialisation Impact'!$B$19:$B$186,B15))</x:f>
        <x:v>36.94805194805195</x:v>
      </x:c>
      <x:c r="V15" s="429" t="n">
        <x:f>IF(COUNTIFS('Specialisation Impact'!$A$19:$A$186,A15,'Specialisation Impact'!$B$19:$B$186,B15,'Specialisation Impact'!$V$19:$V$186,"&gt;0")=0,"",SUMIFS('Specialisation Impact'!$V$19:$V$186,'Specialisation Impact'!$A$19:$A$186,A15,'Specialisation Impact'!$B$19:$B$186,B15))</x:f>
        <x:v>48.2905982905983</x:v>
      </x:c>
    </x:row>
    <x:row r="16" ht="45" customHeight="1">
      <x:c r="A16" s="43" t="str">
        <x:v>K60</x:v>
      </x:c>
      <x:c r="B16" s="43" t="str">
        <x:v>邪恶的Xero</x:v>
      </x:c>
      <x:c r="C16" s="43"/>
      <x:c r="D16" s="44" t="n">
        <x:v>3.2485</x:v>
      </x:c>
      <x:c r="E16" s="44" t="n">
        <x:v>2.501</x:v>
      </x:c>
      <x:c r="F16" s="44" t="n">
        <x:v>2.686</x:v>
      </x:c>
      <x:c r="G16" s="44" t="n">
        <x:v>0.4375</x:v>
      </x:c>
      <x:c r="H16" s="44" t="n">
        <x:v>-0.415</x:v>
      </x:c>
      <x:c r="I16" s="30" t="str">
        <x:v>Not shown in recording</x:v>
      </x:c>
      <x:c r="J16" s="30" t="str">
        <x:v>Elite bowmen (Lv 42) — Frost Arrow</x:v>
      </x:c>
      <x:c r="K16" s="30" t="str">
        <x:v>Eternal knights (Lv 47) — Thunder trample
Storm cavalry (Lv 48) — Mounted Archery</x:v>
      </x:c>
      <x:c r="L16" s="30" t="str">
        <x:v>Not shown in recording</x:v>
      </x:c>
      <x:c r="M16" s="43" t="n">
        <x:v>3</x:v>
      </x:c>
      <x:c r="N16" s="43" t="str">
        <x:v>02:18.75</x:v>
      </x:c>
      <x:c r="O16" s="43"/>
      <x:c r="P16" s="43" t="str">
        <x:v>K60_SVID_20260828_001858_1.mp4</x:v>
      </x:c>
      <x:c r="Q16" s="391" t="n">
        <x:f>SUMIFS('Specialisations'!$N$6:$N$527,'Specialisations'!$A$6:$A$527,A16,'Specialisations'!$B$6:$B$527,B16)</x:f>
        <x:v>15662900</x:v>
      </x:c>
      <x:c r="R16" s="392" t="n">
        <x:f>IF(M16=0,"",COUNTIFS('Specialisations'!$A$6:$A$527,A16,'Specialisations'!$B$6:$B$527,B16,'Specialisations'!$P$6:$P$527,"OK")/M16)</x:f>
        <x:v>1</x:v>
      </x:c>
      <x:c r="S16" s="494" t="n">
        <x:f>IF(Q16=0,"",SUMIFS('Specialisation Impact'!$K$19:$K$186,'Specialisation Impact'!$A$19:$A$186,A16,'Specialisation Impact'!$B$19:$B$186,B16))</x:f>
        <x:v>133.25</x:v>
      </x:c>
      <x:c r="T16" s="494" t="n">
        <x:f>IF(Q16=0,"",SUMIFS('Specialisation Impact'!$G$19:$G$186,'Specialisation Impact'!$A$19:$A$186,A16,'Specialisation Impact'!$B$19:$B$186,B16))</x:f>
        <x:v>0</x:v>
      </x:c>
      <x:c r="U16" s="429" t="n">
        <x:f>IF(COUNTIFS('Specialisation Impact'!$A$19:$A$186,A16,'Specialisation Impact'!$B$19:$B$186,B16,'Specialisation Impact'!$S$19:$S$186,"&gt;0")=0,"",SUMIFS('Specialisation Impact'!$S$19:$S$186,'Specialisation Impact'!$A$19:$A$186,A16,'Specialisation Impact'!$B$19:$B$186,B16))</x:f>
        <x:v>80.64935064935065</x:v>
      </x:c>
      <x:c r="V16" s="429" t="str">
        <x:f>IF(COUNTIFS('Specialisation Impact'!$A$19:$A$186,A16,'Specialisation Impact'!$B$19:$B$186,B16,'Specialisation Impact'!$V$19:$V$186,"&gt;0")=0,"",SUMIFS('Specialisation Impact'!$V$19:$V$186,'Specialisation Impact'!$A$19:$A$186,A16,'Specialisation Impact'!$B$19:$B$186,B16))</x:f>
      </x:c>
    </x:row>
    <x:row r="17" ht="45" customHeight="1">
      <x:c r="A17" s="43" t="str">
        <x:v>K60</x:v>
      </x:c>
      <x:c r="B17" s="43" t="str">
        <x:v>AAB</x:v>
      </x:c>
      <x:c r="C17" s="43"/>
      <x:c r="D17" s="44" t="n">
        <x:v>2.9785</x:v>
      </x:c>
      <x:c r="E17" s="44" t="n">
        <x:v>2.9535</x:v>
      </x:c>
      <x:c r="F17" s="44" t="n">
        <x:v>2.8235</x:v>
      </x:c>
      <x:c r="G17" s="44" t="n">
        <x:v>0.4375</x:v>
      </x:c>
      <x:c r="H17" s="44" t="n">
        <x:v>-0.4375</x:v>
      </x:c>
      <x:c r="I17" s="30" t="str">
        <x:v>Destroyers (Lv 40) — Parry</x:v>
      </x:c>
      <x:c r="J17" s="30" t="str">
        <x:v>Elite bowmen (Lv 40) — Frost Arrow</x:v>
      </x:c>
      <x:c r="K17" s="30" t="str">
        <x:v>Eternal knights (Lv 45) — Thunder trample
Storm cavalry (Lv 46) — Mounted Archery</x:v>
      </x:c>
      <x:c r="L17" s="30" t="str">
        <x:v>Not shown in recording</x:v>
      </x:c>
      <x:c r="M17" s="43" t="n">
        <x:v>4</x:v>
      </x:c>
      <x:c r="N17" s="43" t="str">
        <x:v>02:30.75</x:v>
      </x:c>
      <x:c r="O17" s="43"/>
      <x:c r="P17" s="43" t="str">
        <x:v>K60_SVID_20260828_001858_1.mp4</x:v>
      </x:c>
      <x:c r="Q17" s="391" t="n">
        <x:f>SUMIFS('Specialisations'!$N$6:$N$527,'Specialisations'!$A$6:$A$527,A17,'Specialisations'!$B$6:$B$527,B17)</x:f>
        <x:v>13777200</x:v>
      </x:c>
      <x:c r="R17" s="392" t="n">
        <x:f>IF(M17=0,"",COUNTIFS('Specialisations'!$A$6:$A$527,A17,'Specialisations'!$B$6:$B$527,B17,'Specialisations'!$P$6:$P$527,"OK")/M17)</x:f>
        <x:v>1</x:v>
      </x:c>
      <x:c r="S17" s="494" t="n">
        <x:f>IF(Q17=0,"",SUMIFS('Specialisation Impact'!$K$19:$K$186,'Specialisation Impact'!$A$19:$A$186,A17,'Specialisation Impact'!$B$19:$B$186,B17))</x:f>
        <x:v>114.85</x:v>
      </x:c>
      <x:c r="T17" s="494" t="n">
        <x:f>IF(Q17=0,"",SUMIFS('Specialisation Impact'!$G$19:$G$186,'Specialisation Impact'!$A$19:$A$186,A17,'Specialisation Impact'!$B$19:$B$186,B17))</x:f>
        <x:v>-27.74</x:v>
      </x:c>
      <x:c r="U17" s="429" t="n">
        <x:f>IF(COUNTIFS('Specialisation Impact'!$A$19:$A$186,A17,'Specialisation Impact'!$B$19:$B$186,B17,'Specialisation Impact'!$S$19:$S$186,"&gt;0")=0,"",SUMIFS('Specialisation Impact'!$S$19:$S$186,'Specialisation Impact'!$A$19:$A$186,A17,'Specialisation Impact'!$B$19:$B$186,B17))</x:f>
        <x:v>65.64935064935065</x:v>
      </x:c>
      <x:c r="V17" s="429" t="n">
        <x:f>IF(COUNTIFS('Specialisation Impact'!$A$19:$A$186,A17,'Specialisation Impact'!$B$19:$B$186,B17,'Specialisation Impact'!$V$19:$V$186,"&gt;0")=0,"",SUMIFS('Specialisation Impact'!$V$19:$V$186,'Specialisation Impact'!$A$19:$A$186,A17,'Specialisation Impact'!$B$19:$B$186,B17))</x:f>
        <x:v>29.48717948717949</x:v>
      </x:c>
    </x:row>
    <x:row r="18" ht="45" customHeight="1">
      <x:c r="A18" s="43" t="str">
        <x:v>K60</x:v>
      </x:c>
      <x:c r="B18" s="43" t="str">
        <x:v>#14 元气满满 (148,500)</x:v>
      </x:c>
      <x:c r="C18" s="43"/>
      <x:c r="D18" s="44" t="n">
        <x:v>3.3235</x:v>
      </x:c>
      <x:c r="E18" s="44" t="n">
        <x:v>2.941</x:v>
      </x:c>
      <x:c r="F18" s="44" t="n">
        <x:v>3.091</x:v>
      </x:c>
      <x:c r="G18" s="44" t="n">
        <x:v>0.4375</x:v>
      </x:c>
      <x:c r="H18" s="44" t="n">
        <x:v>-0.415</x:v>
      </x:c>
      <x:c r="I18" s="30" t="str">
        <x:v>Not shown in recording</x:v>
      </x:c>
      <x:c r="J18" s="30" t="str">
        <x:v>Elite bowmen (Lv 42) — Frost Arrow</x:v>
      </x:c>
      <x:c r="K18" s="30" t="str">
        <x:v>Eternal knights (Lv 47) — Thunder trample
Storm cavalry (Lv 49) — Mounted Archery</x:v>
      </x:c>
      <x:c r="L18" s="30" t="str">
        <x:v>Manglers (Lv 50) — Highly toxic
Guardian siege (Lv 40) — Dragonhide</x:v>
      </x:c>
      <x:c r="M18" s="43" t="n">
        <x:v>5</x:v>
      </x:c>
      <x:c r="N18" s="43" t="str">
        <x:v>02:41.75</x:v>
      </x:c>
      <x:c r="O18" s="43"/>
      <x:c r="P18" s="43" t="str">
        <x:v>K60_SVID_20260828_001858_1.mp4</x:v>
      </x:c>
      <x:c r="Q18" s="391" t="n">
        <x:f>SUMIFS('Specialisations'!$N$6:$N$527,'Specialisations'!$A$6:$A$527,A18,'Specialisations'!$B$6:$B$527,B18)</x:f>
        <x:v>29641500</x:v>
      </x:c>
      <x:c r="R18" s="392" t="n">
        <x:f>IF(M18=0,"",COUNTIFS('Specialisations'!$A$6:$A$527,A18,'Specialisations'!$B$6:$B$527,B18,'Specialisations'!$P$6:$P$527,"OK")/M18)</x:f>
        <x:v>1</x:v>
      </x:c>
      <x:c r="S18" s="494" t="n">
        <x:f>IF(Q18=0,"",SUMIFS('Specialisation Impact'!$K$19:$K$186,'Specialisation Impact'!$A$19:$A$186,A18,'Specialisation Impact'!$B$19:$B$186,B18))</x:f>
        <x:v>224.45</x:v>
      </x:c>
      <x:c r="T18" s="494" t="n">
        <x:f>IF(Q18=0,"",SUMIFS('Specialisation Impact'!$G$19:$G$186,'Specialisation Impact'!$A$19:$A$186,A18,'Specialisation Impact'!$B$19:$B$186,B18))</x:f>
        <x:v>0</x:v>
      </x:c>
      <x:c r="U18" s="429" t="n">
        <x:f>IF(COUNTIFS('Specialisation Impact'!$A$19:$A$186,A18,'Specialisation Impact'!$B$19:$B$186,B18,'Specialisation Impact'!$S$19:$S$186,"&gt;0")=0,"",SUMIFS('Specialisation Impact'!$S$19:$S$186,'Specialisation Impact'!$A$19:$A$186,A18,'Specialisation Impact'!$B$19:$B$186,B18))</x:f>
        <x:v>97.92207792207792</x:v>
      </x:c>
      <x:c r="V18" s="429" t="str">
        <x:f>IF(COUNTIFS('Specialisation Impact'!$A$19:$A$186,A18,'Specialisation Impact'!$B$19:$B$186,B18,'Specialisation Impact'!$V$19:$V$186,"&gt;0")=0,"",SUMIFS('Specialisation Impact'!$V$19:$V$186,'Specialisation Impact'!$A$19:$A$186,A18,'Specialisation Impact'!$B$19:$B$186,B18))</x:f>
      </x:c>
    </x:row>
    <x:row r="19" ht="45" customHeight="1">
      <x:c r="A19" s="43" t="str">
        <x:v>K60</x:v>
      </x:c>
      <x:c r="B19" s="43" t="str">
        <x:v>InFlames</x:v>
      </x:c>
      <x:c r="C19" s="43"/>
      <x:c r="D19" s="44" t="n">
        <x:v>4.356</x:v>
      </x:c>
      <x:c r="E19" s="44" t="n">
        <x:v>3.3735</x:v>
      </x:c>
      <x:c r="F19" s="44" t="n">
        <x:v>3.6785</x:v>
      </x:c>
      <x:c r="G19" s="44" t="n">
        <x:v>0.475</x:v>
      </x:c>
      <x:c r="H19" s="44" t="n">
        <x:v>-0.475</x:v>
      </x:c>
      <x:c r="I19" s="30" t="str">
        <x:v>Destroyers (Lv 40) — Parry</x:v>
      </x:c>
      <x:c r="J19" s="30" t="str">
        <x:v>Elite bowmen (Lv 40) — Frost Arrow</x:v>
      </x:c>
      <x:c r="K19" s="30" t="str">
        <x:v>Eternal knights (Lv 45) — Thunder trample
Storm cavalry (Lv 42) — Mounted Archery</x:v>
      </x:c>
      <x:c r="L19" s="30" t="str">
        <x:v>Manglers (Lv 28) — Highly toxic</x:v>
      </x:c>
      <x:c r="M19" s="43" t="n">
        <x:v>5</x:v>
      </x:c>
      <x:c r="N19" s="43" t="str">
        <x:v>02:50.25</x:v>
      </x:c>
      <x:c r="O19" s="43"/>
      <x:c r="P19" s="43" t="str">
        <x:v>K60_SVID_20260828_001858_1.mp4</x:v>
      </x:c>
      <x:c r="Q19" s="391" t="n">
        <x:f>SUMIFS('Specialisations'!$N$6:$N$527,'Specialisations'!$A$6:$A$527,A19,'Specialisations'!$B$6:$B$527,B19)</x:f>
        <x:v>12236500</x:v>
      </x:c>
      <x:c r="R19" s="392" t="n">
        <x:f>IF(M19=0,"",COUNTIFS('Specialisations'!$A$6:$A$527,A19,'Specialisations'!$B$6:$B$527,B19,'Specialisations'!$P$6:$P$527,"OK")/M19)</x:f>
        <x:v>1</x:v>
      </x:c>
      <x:c r="S19" s="494" t="n">
        <x:f>IF(Q19=0,"",SUMIFS('Specialisation Impact'!$K$19:$K$186,'Specialisation Impact'!$A$19:$A$186,A19,'Specialisation Impact'!$B$19:$B$186,B19))</x:f>
        <x:v>111.08999999999999</x:v>
      </x:c>
      <x:c r="T19" s="494" t="n">
        <x:f>IF(Q19=0,"",SUMIFS('Specialisation Impact'!$G$19:$G$186,'Specialisation Impact'!$A$19:$A$186,A19,'Specialisation Impact'!$B$19:$B$186,B19))</x:f>
        <x:v>-27.74</x:v>
      </x:c>
      <x:c r="U19" s="429" t="n">
        <x:f>IF(COUNTIFS('Specialisation Impact'!$A$19:$A$186,A19,'Specialisation Impact'!$B$19:$B$186,B19,'Specialisation Impact'!$S$19:$S$186,"&gt;0")=0,"",SUMIFS('Specialisation Impact'!$S$19:$S$186,'Specialisation Impact'!$A$19:$A$186,A19,'Specialisation Impact'!$B$19:$B$186,B19))</x:f>
        <x:v>60.259740259740255</x:v>
      </x:c>
      <x:c r="V19" s="429" t="n">
        <x:f>IF(COUNTIFS('Specialisation Impact'!$A$19:$A$186,A19,'Specialisation Impact'!$B$19:$B$186,B19,'Specialisation Impact'!$V$19:$V$186,"&gt;0")=0,"",SUMIFS('Specialisation Impact'!$V$19:$V$186,'Specialisation Impact'!$A$19:$A$186,A19,'Specialisation Impact'!$B$19:$B$186,B19))</x:f>
        <x:v>29.48717948717949</x:v>
      </x:c>
    </x:row>
    <x:row r="20" ht="45" customHeight="1">
      <x:c r="A20" s="43" t="str">
        <x:v>K60</x:v>
      </x:c>
      <x:c r="B20" s="43" t="str">
        <x:v>ΨRØÇKYΨ</x:v>
      </x:c>
      <x:c r="C20" s="43"/>
      <x:c r="D20" s="44" t="n">
        <x:v>2.876</x:v>
      </x:c>
      <x:c r="E20" s="44" t="n">
        <x:v>2.686</x:v>
      </x:c>
      <x:c r="F20" s="44" t="n">
        <x:v>3.021</x:v>
      </x:c>
      <x:c r="G20" s="44" t="n">
        <x:v>0.415</x:v>
      </x:c>
      <x:c r="H20" s="44" t="n">
        <x:v>-0.415</x:v>
      </x:c>
      <x:c r="I20" s="30" t="str">
        <x:v>Destroyers (Lv 40) — Parry</x:v>
      </x:c>
      <x:c r="J20" s="30" t="str">
        <x:v>Elite bowmen (Lv 41) — Frost Arrow</x:v>
      </x:c>
      <x:c r="K20" s="30" t="str">
        <x:v>Eternal knights (Lv 45) — Thunder trample
Storm cavalry (Lv 45) — Mounted Archery</x:v>
      </x:c>
      <x:c r="L20" s="30" t="str">
        <x:v>Not shown in recording</x:v>
      </x:c>
      <x:c r="M20" s="43" t="n">
        <x:v>4</x:v>
      </x:c>
      <x:c r="N20" s="43" t="str">
        <x:v>02:58.75</x:v>
      </x:c>
      <x:c r="O20" s="43"/>
      <x:c r="P20" s="43" t="str">
        <x:v>K60_SVID_20260828_001858_1.mp4</x:v>
      </x:c>
      <x:c r="Q20" s="391" t="n">
        <x:f>SUMIFS('Specialisations'!$N$6:$N$527,'Specialisations'!$A$6:$A$527,A20,'Specialisations'!$B$6:$B$527,B20)</x:f>
        <x:v>13337200</x:v>
      </x:c>
      <x:c r="R20" s="392" t="n">
        <x:f>IF(M20=0,"",COUNTIFS('Specialisations'!$A$6:$A$527,A20,'Specialisations'!$B$6:$B$527,B20,'Specialisations'!$P$6:$P$527,"OK")/M20)</x:f>
        <x:v>1</x:v>
      </x:c>
      <x:c r="S20" s="494" t="n">
        <x:f>IF(Q20=0,"",SUMIFS('Specialisation Impact'!$K$19:$K$186,'Specialisation Impact'!$A$19:$A$186,A20,'Specialisation Impact'!$B$19:$B$186,B20))</x:f>
        <x:v>114.33999999999999</x:v>
      </x:c>
      <x:c r="T20" s="494" t="n">
        <x:f>IF(Q20=0,"",SUMIFS('Specialisation Impact'!$G$19:$G$186,'Specialisation Impact'!$A$19:$A$186,A20,'Specialisation Impact'!$B$19:$B$186,B20))</x:f>
        <x:v>-27.74</x:v>
      </x:c>
      <x:c r="U20" s="429" t="n">
        <x:f>IF(COUNTIFS('Specialisation Impact'!$A$19:$A$186,A20,'Specialisation Impact'!$B$19:$B$186,B20,'Specialisation Impact'!$S$19:$S$186,"&gt;0")=0,"",SUMIFS('Specialisation Impact'!$S$19:$S$186,'Specialisation Impact'!$A$19:$A$186,A20,'Specialisation Impact'!$B$19:$B$186,B20))</x:f>
        <x:v>64.54545454545455</x:v>
      </x:c>
      <x:c r="V20" s="429" t="n">
        <x:f>IF(COUNTIFS('Specialisation Impact'!$A$19:$A$186,A20,'Specialisation Impact'!$B$19:$B$186,B20,'Specialisation Impact'!$V$19:$V$186,"&gt;0")=0,"",SUMIFS('Specialisation Impact'!$V$19:$V$186,'Specialisation Impact'!$A$19:$A$186,A20,'Specialisation Impact'!$B$19:$B$186,B20))</x:f>
        <x:v>29.48717948717949</x:v>
      </x:c>
    </x:row>
    <x:row r="21" ht="45" customHeight="1">
      <x:c r="A21" s="43" t="str">
        <x:v>K60</x:v>
      </x:c>
      <x:c r="B21" s="43" t="str">
        <x:v>Jepp</x:v>
      </x:c>
      <x:c r="C21" s="43"/>
      <x:c r="D21" s="44" t="n">
        <x:v>2.816</x:v>
      </x:c>
      <x:c r="E21" s="44" t="n">
        <x:v>2.451</x:v>
      </x:c>
      <x:c r="F21" s="44" t="n">
        <x:v>2.871</x:v>
      </x:c>
      <x:c r="G21" s="44" t="n">
        <x:v>0.415</x:v>
      </x:c>
      <x:c r="H21" s="44" t="n">
        <x:v>-0.39</x:v>
      </x:c>
      <x:c r="I21" s="30" t="str">
        <x:v>Destroyers (Lv 40) — Parry</x:v>
      </x:c>
      <x:c r="J21" s="30" t="str">
        <x:v>Elite bowmen (Lv 40) — Frost Arrow</x:v>
      </x:c>
      <x:c r="K21" s="30" t="str">
        <x:v>Eternal knights (Lv 44) — Thunder trample
Storm cavalry (Lv 45) — Mounted Archery</x:v>
      </x:c>
      <x:c r="L21" s="30" t="str">
        <x:v>Not shown in recording</x:v>
      </x:c>
      <x:c r="M21" s="43" t="n">
        <x:v>4</x:v>
      </x:c>
      <x:c r="N21" s="43" t="str">
        <x:v>03:05.25</x:v>
      </x:c>
      <x:c r="O21" s="43"/>
      <x:c r="P21" s="43" t="str">
        <x:v>K60_SVID_20260828_001858_1.mp4</x:v>
      </x:c>
      <x:c r="Q21" s="391" t="n">
        <x:f>SUMIFS('Specialisations'!$N$6:$N$527,'Specialisations'!$A$6:$A$527,A21,'Specialisations'!$B$6:$B$527,B21)</x:f>
        <x:v>12497200</x:v>
      </x:c>
      <x:c r="R21" s="392" t="n">
        <x:f>IF(M21=0,"",COUNTIFS('Specialisations'!$A$6:$A$527,A21,'Specialisations'!$B$6:$B$527,B21,'Specialisations'!$P$6:$P$527,"OK")/M21)</x:f>
        <x:v>1</x:v>
      </x:c>
      <x:c r="S21" s="494" t="n">
        <x:f>IF(Q21=0,"",SUMIFS('Specialisation Impact'!$K$19:$K$186,'Specialisation Impact'!$A$19:$A$186,A21,'Specialisation Impact'!$B$19:$B$186,B21))</x:f>
        <x:v>109.64999999999999</x:v>
      </x:c>
      <x:c r="T21" s="494" t="n">
        <x:f>IF(Q21=0,"",SUMIFS('Specialisation Impact'!$G$19:$G$186,'Specialisation Impact'!$A$19:$A$186,A21,'Specialisation Impact'!$B$19:$B$186,B21))</x:f>
        <x:v>-27.74</x:v>
      </x:c>
      <x:c r="U21" s="429" t="n">
        <x:f>IF(COUNTIFS('Specialisation Impact'!$A$19:$A$186,A21,'Specialisation Impact'!$B$19:$B$186,B21,'Specialisation Impact'!$S$19:$S$186,"&gt;0")=0,"",SUMIFS('Specialisation Impact'!$S$19:$S$186,'Specialisation Impact'!$A$19:$A$186,A21,'Specialisation Impact'!$B$19:$B$186,B21))</x:f>
        <x:v>58.37662337662337</x:v>
      </x:c>
      <x:c r="V21" s="429" t="n">
        <x:f>IF(COUNTIFS('Specialisation Impact'!$A$19:$A$186,A21,'Specialisation Impact'!$B$19:$B$186,B21,'Specialisation Impact'!$V$19:$V$186,"&gt;0")=0,"",SUMIFS('Specialisation Impact'!$V$19:$V$186,'Specialisation Impact'!$A$19:$A$186,A21,'Specialisation Impact'!$B$19:$B$186,B21))</x:f>
        <x:v>29.48717948717949</x:v>
      </x:c>
    </x:row>
    <x:row r="22" ht="45" customHeight="1">
      <x:c r="A22" s="43" t="str">
        <x:v>K60</x:v>
      </x:c>
      <x:c r="B22" s="43" t="str">
        <x:v>kvisteer</x:v>
      </x:c>
      <x:c r="C22" s="43"/>
      <x:c r="D22" s="44" t="n">
        <x:v>3.2435</x:v>
      </x:c>
      <x:c r="E22" s="44" t="n">
        <x:v>2.736</x:v>
      </x:c>
      <x:c r="F22" s="44" t="n">
        <x:v>3.091</x:v>
      </x:c>
      <x:c r="G22" s="44" t="n">
        <x:v>0.4375</x:v>
      </x:c>
      <x:c r="H22" s="44" t="n">
        <x:v>-0.415</x:v>
      </x:c>
      <x:c r="I22" s="30" t="str">
        <x:v>Destroyers (Lv 40) — Parry</x:v>
      </x:c>
      <x:c r="J22" s="30" t="str">
        <x:v>Elite bowmen (Lv 43) — Frost Arrow</x:v>
      </x:c>
      <x:c r="K22" s="30" t="str">
        <x:v>Eternal knights (Lv 47) — Thunder trample
Storm cavalry (Lv 47) — Mounted Archery</x:v>
      </x:c>
      <x:c r="L22" s="30" t="str">
        <x:v>Not shown in recording</x:v>
      </x:c>
      <x:c r="M22" s="43" t="n">
        <x:v>4</x:v>
      </x:c>
      <x:c r="N22" s="43" t="str">
        <x:v>03:14.25</x:v>
      </x:c>
      <x:c r="O22" s="43"/>
      <x:c r="P22" s="43" t="str">
        <x:v>K60_SVID_20260828_001858_1.mp4</x:v>
      </x:c>
      <x:c r="Q22" s="391" t="n">
        <x:f>SUMIFS('Specialisations'!$N$6:$N$527,'Specialisations'!$A$6:$A$527,A22,'Specialisations'!$B$6:$B$527,B22)</x:f>
        <x:v>17257200</x:v>
      </x:c>
      <x:c r="R22" s="392" t="n">
        <x:f>IF(M22=0,"",COUNTIFS('Specialisations'!$A$6:$A$527,A22,'Specialisations'!$B$6:$B$527,B22,'Specialisations'!$P$6:$P$527,"OK")/M22)</x:f>
        <x:v>1</x:v>
      </x:c>
      <x:c r="S22" s="494" t="n">
        <x:f>IF(Q22=0,"",SUMIFS('Specialisation Impact'!$K$19:$K$186,'Specialisation Impact'!$A$19:$A$186,A22,'Specialisation Impact'!$B$19:$B$186,B22))</x:f>
        <x:v>132.74</x:v>
      </x:c>
      <x:c r="T22" s="494" t="n">
        <x:f>IF(Q22=0,"",SUMIFS('Specialisation Impact'!$G$19:$G$186,'Specialisation Impact'!$A$19:$A$186,A22,'Specialisation Impact'!$B$19:$B$186,B22))</x:f>
        <x:v>-27.74</x:v>
      </x:c>
      <x:c r="U22" s="429" t="n">
        <x:f>IF(COUNTIFS('Specialisation Impact'!$A$19:$A$186,A22,'Specialisation Impact'!$B$19:$B$186,B22,'Specialisation Impact'!$S$19:$S$186,"&gt;0")=0,"",SUMIFS('Specialisation Impact'!$S$19:$S$186,'Specialisation Impact'!$A$19:$A$186,A22,'Specialisation Impact'!$B$19:$B$186,B22))</x:f>
        <x:v>78.11688311688312</x:v>
      </x:c>
      <x:c r="V22" s="429" t="n">
        <x:f>IF(COUNTIFS('Specialisation Impact'!$A$19:$A$186,A22,'Specialisation Impact'!$B$19:$B$186,B22,'Specialisation Impact'!$V$19:$V$186,"&gt;0")=0,"",SUMIFS('Specialisation Impact'!$V$19:$V$186,'Specialisation Impact'!$A$19:$A$186,A22,'Specialisation Impact'!$B$19:$B$186,B22))</x:f>
        <x:v>29.48717948717949</x:v>
      </x:c>
    </x:row>
    <x:row r="23" ht="45" customHeight="1">
      <x:c r="A23" s="43" t="str">
        <x:v>K60</x:v>
      </x:c>
      <x:c r="B23" s="43" t="str">
        <x:v>Blud</x:v>
      </x:c>
      <x:c r="C23" s="43"/>
      <x:c r="D23" s="44" t="n">
        <x:v>3.116</x:v>
      </x:c>
      <x:c r="E23" s="44" t="n">
        <x:v>2.551</x:v>
      </x:c>
      <x:c r="F23" s="44" t="n">
        <x:v>2.756</x:v>
      </x:c>
      <x:c r="G23" s="44" t="n">
        <x:v>0.415</x:v>
      </x:c>
      <x:c r="H23" s="44" t="n">
        <x:v>-0.415</x:v>
      </x:c>
      <x:c r="I23" s="30" t="str">
        <x:v>Destroyers (Lv 40) — Parry</x:v>
      </x:c>
      <x:c r="J23" s="30" t="str">
        <x:v>Elite bowmen (Lv 40) — Frost Arrow</x:v>
      </x:c>
      <x:c r="K23" s="30" t="str">
        <x:v>Eternal knights (Lv 44) — Thunder trample
Storm cavalry (Lv 45) — Mounted Archery</x:v>
      </x:c>
      <x:c r="L23" s="30" t="str">
        <x:v>Not shown in recording</x:v>
      </x:c>
      <x:c r="M23" s="43" t="n">
        <x:v>4</x:v>
      </x:c>
      <x:c r="N23" s="43" t="str">
        <x:v>03:21.25</x:v>
      </x:c>
      <x:c r="O23" s="43"/>
      <x:c r="P23" s="43" t="str">
        <x:v>K60_SVID_20260828_001858_1.mp4</x:v>
      </x:c>
      <x:c r="Q23" s="391" t="n">
        <x:f>SUMIFS('Specialisations'!$N$6:$N$527,'Specialisations'!$A$6:$A$527,A23,'Specialisations'!$B$6:$B$527,B23)</x:f>
        <x:v>12497200</x:v>
      </x:c>
      <x:c r="R23" s="392" t="n">
        <x:f>IF(M23=0,"",COUNTIFS('Specialisations'!$A$6:$A$527,A23,'Specialisations'!$B$6:$B$527,B23,'Specialisations'!$P$6:$P$527,"OK")/M23)</x:f>
        <x:v>1</x:v>
      </x:c>
      <x:c r="S23" s="494" t="n">
        <x:f>IF(Q23=0,"",SUMIFS('Specialisation Impact'!$K$19:$K$186,'Specialisation Impact'!$A$19:$A$186,A23,'Specialisation Impact'!$B$19:$B$186,B23))</x:f>
        <x:v>109.64999999999999</x:v>
      </x:c>
      <x:c r="T23" s="494" t="n">
        <x:f>IF(Q23=0,"",SUMIFS('Specialisation Impact'!$G$19:$G$186,'Specialisation Impact'!$A$19:$A$186,A23,'Specialisation Impact'!$B$19:$B$186,B23))</x:f>
        <x:v>-27.74</x:v>
      </x:c>
      <x:c r="U23" s="429" t="n">
        <x:f>IF(COUNTIFS('Specialisation Impact'!$A$19:$A$186,A23,'Specialisation Impact'!$B$19:$B$186,B23,'Specialisation Impact'!$S$19:$S$186,"&gt;0")=0,"",SUMIFS('Specialisation Impact'!$S$19:$S$186,'Specialisation Impact'!$A$19:$A$186,A23,'Specialisation Impact'!$B$19:$B$186,B23))</x:f>
        <x:v>58.37662337662337</x:v>
      </x:c>
      <x:c r="V23" s="429" t="n">
        <x:f>IF(COUNTIFS('Specialisation Impact'!$A$19:$A$186,A23,'Specialisation Impact'!$B$19:$B$186,B23,'Specialisation Impact'!$V$19:$V$186,"&gt;0")=0,"",SUMIFS('Specialisation Impact'!$V$19:$V$186,'Specialisation Impact'!$A$19:$A$186,A23,'Specialisation Impact'!$B$19:$B$186,B23))</x:f>
        <x:v>29.48717948717949</x:v>
      </x:c>
    </x:row>
    <x:row r="24" ht="45" customHeight="1">
      <x:c r="A24" s="43" t="str">
        <x:v>K60</x:v>
      </x:c>
      <x:c r="B24" s="43" t="str">
        <x:v>陰影Sam</x:v>
      </x:c>
      <x:c r="C24" s="43"/>
      <x:c r="D24" s="44" t="n">
        <x:v>2.9535</x:v>
      </x:c>
      <x:c r="E24" s="44" t="n">
        <x:v>2.666</x:v>
      </x:c>
      <x:c r="F24" s="44" t="n">
        <x:v>3.066</x:v>
      </x:c>
      <x:c r="G24" s="44" t="n">
        <x:v>0.4375</x:v>
      </x:c>
      <x:c r="H24" s="44" t="n">
        <x:v>-0.415</x:v>
      </x:c>
      <x:c r="I24" s="30" t="str">
        <x:v>Destroyers (Lv 40) — Parry</x:v>
      </x:c>
      <x:c r="J24" s="30" t="str">
        <x:v>Elite bowmen (Lv 40) — Frost Arrow</x:v>
      </x:c>
      <x:c r="K24" s="30" t="str">
        <x:v>Eternal knights (Lv 46) — Thunder trample
Storm cavalry (Lv 47) — Mounted Archery</x:v>
      </x:c>
      <x:c r="L24" s="30" t="str">
        <x:v>Not shown in recording</x:v>
      </x:c>
      <x:c r="M24" s="43" t="n">
        <x:v>4</x:v>
      </x:c>
      <x:c r="N24" s="43" t="str">
        <x:v>03:30.25</x:v>
      </x:c>
      <x:c r="O24" s="43"/>
      <x:c r="P24" s="43" t="str">
        <x:v>K60_SVID_20260828_001858_1.mp4</x:v>
      </x:c>
      <x:c r="Q24" s="391" t="n">
        <x:f>SUMIFS('Specialisations'!$N$6:$N$527,'Specialisations'!$A$6:$A$527,A24,'Specialisations'!$B$6:$B$527,B24)</x:f>
        <x:v>15377200</x:v>
      </x:c>
      <x:c r="R24" s="392" t="n">
        <x:f>IF(M24=0,"",COUNTIFS('Specialisations'!$A$6:$A$527,A24,'Specialisations'!$B$6:$B$527,B24,'Specialisations'!$P$6:$P$527,"OK")/M24)</x:f>
        <x:v>1</x:v>
      </x:c>
      <x:c r="S24" s="494" t="n">
        <x:f>IF(Q24=0,"",SUMIFS('Specialisation Impact'!$K$19:$K$186,'Specialisation Impact'!$A$19:$A$186,A24,'Specialisation Impact'!$B$19:$B$186,B24))</x:f>
        <x:v>121.25</x:v>
      </x:c>
      <x:c r="T24" s="494" t="n">
        <x:f>IF(Q24=0,"",SUMIFS('Specialisation Impact'!$G$19:$G$186,'Specialisation Impact'!$A$19:$A$186,A24,'Specialisation Impact'!$B$19:$B$186,B24))</x:f>
        <x:v>-27.74</x:v>
      </x:c>
      <x:c r="U24" s="429" t="n">
        <x:f>IF(COUNTIFS('Specialisation Impact'!$A$19:$A$186,A24,'Specialisation Impact'!$B$19:$B$186,B24,'Specialisation Impact'!$S$19:$S$186,"&gt;0")=0,"",SUMIFS('Specialisation Impact'!$S$19:$S$186,'Specialisation Impact'!$A$19:$A$186,A24,'Specialisation Impact'!$B$19:$B$186,B24))</x:f>
        <x:v>72.01298701298701</x:v>
      </x:c>
      <x:c r="V24" s="429" t="n">
        <x:f>IF(COUNTIFS('Specialisation Impact'!$A$19:$A$186,A24,'Specialisation Impact'!$B$19:$B$186,B24,'Specialisation Impact'!$V$19:$V$186,"&gt;0")=0,"",SUMIFS('Specialisation Impact'!$V$19:$V$186,'Specialisation Impact'!$A$19:$A$186,A24,'Specialisation Impact'!$B$19:$B$186,B24))</x:f>
        <x:v>29.48717948717949</x:v>
      </x:c>
    </x:row>
    <x:row r="25" ht="45" customHeight="1">
      <x:c r="A25" s="43" t="str">
        <x:v>K60</x:v>
      </x:c>
      <x:c r="B25" s="43" t="str">
        <x:v>RONINtrike</x:v>
      </x:c>
      <x:c r="C25" s="43"/>
      <x:c r="D25" s="44" t="n">
        <x:v>4.1896</x:v>
      </x:c>
      <x:c r="E25" s="44" t="n">
        <x:v>2.776</x:v>
      </x:c>
      <x:c r="F25" s="44" t="n">
        <x:v>3.116</x:v>
      </x:c>
      <x:c r="G25" s="44" t="n">
        <x:v>0.4375</x:v>
      </x:c>
      <x:c r="H25" s="44" t="n">
        <x:v>-0.415</x:v>
      </x:c>
      <x:c r="I25" s="30" t="str">
        <x:v>Not shown in recording</x:v>
      </x:c>
      <x:c r="J25" s="30" t="str">
        <x:v>Elite bowmen (Lv 40) — Frost Arrow</x:v>
      </x:c>
      <x:c r="K25" s="30" t="str">
        <x:v>Eternal knights (Lv 43) — Thunder trample
Storm cavalry (Lv 44) — Mounted Archery</x:v>
      </x:c>
      <x:c r="L25" s="30" t="str">
        <x:v>Manglers (Lv 45) — Highly toxic
Guardian siege</x:v>
      </x:c>
      <x:c r="M25" s="43" t="n">
        <x:v>5</x:v>
      </x:c>
      <x:c r="N25" s="43" t="str">
        <x:v>03:43.25</x:v>
      </x:c>
      <x:c r="O25" s="43"/>
      <x:c r="P25" s="43" t="str">
        <x:v>K60_SVID_20260828_001858_1.mp4</x:v>
      </x:c>
      <x:c r="Q25" s="391" t="n">
        <x:f>SUMIFS('Specialisations'!$N$6:$N$527,'Specialisations'!$A$6:$A$527,A25,'Specialisations'!$B$6:$B$527,B25)</x:f>
        <x:v>13497200</x:v>
      </x:c>
      <x:c r="R25" s="392" t="n">
        <x:f>IF(M25=0,"",COUNTIFS('Specialisations'!$A$6:$A$527,A25,'Specialisations'!$B$6:$B$527,B25,'Specialisations'!$P$6:$P$527,"OK")/M25)</x:f>
        <x:v>0.8</x:v>
      </x:c>
      <x:c r="S25" s="494" t="n">
        <x:f>IF(Q25=0,"",SUMIFS('Specialisation Impact'!$K$19:$K$186,'Specialisation Impact'!$A$19:$A$186,A25,'Specialisation Impact'!$B$19:$B$186,B25))</x:f>
        <x:v>145.63</x:v>
      </x:c>
      <x:c r="T25" s="494" t="n">
        <x:f>IF(Q25=0,"",SUMIFS('Specialisation Impact'!$G$19:$G$186,'Specialisation Impact'!$A$19:$A$186,A25,'Specialisation Impact'!$B$19:$B$186,B25))</x:f>
        <x:v>0</x:v>
      </x:c>
      <x:c r="U25" s="429" t="n">
        <x:f>IF(COUNTIFS('Specialisation Impact'!$A$19:$A$186,A25,'Specialisation Impact'!$B$19:$B$186,B25,'Specialisation Impact'!$S$19:$S$186,"&gt;0")=0,"",SUMIFS('Specialisation Impact'!$S$19:$S$186,'Specialisation Impact'!$A$19:$A$186,A25,'Specialisation Impact'!$B$19:$B$186,B25))</x:f>
        <x:v>83.8961038961039</x:v>
      </x:c>
      <x:c r="V25" s="429" t="str">
        <x:f>IF(COUNTIFS('Specialisation Impact'!$A$19:$A$186,A25,'Specialisation Impact'!$B$19:$B$186,B25,'Specialisation Impact'!$V$19:$V$186,"&gt;0")=0,"",SUMIFS('Specialisation Impact'!$V$19:$V$186,'Specialisation Impact'!$A$19:$A$186,A25,'Specialisation Impact'!$B$19:$B$186,B25))</x:f>
      </x:c>
    </x:row>
    <x:row r="26" ht="45" customHeight="1">
      <x:c r="A26" s="43" t="str">
        <x:v>K60</x:v>
      </x:c>
      <x:c r="B26" s="43" t="str">
        <x:v>雪Snowy</x:v>
      </x:c>
      <x:c r="C26" s="43"/>
      <x:c r="D26" s="44" t="n">
        <x:v>3.3885</x:v>
      </x:c>
      <x:c r="E26" s="44" t="n">
        <x:v>2.716</x:v>
      </x:c>
      <x:c r="F26" s="44" t="n">
        <x:v>3.066</x:v>
      </x:c>
      <x:c r="G26" s="44" t="n">
        <x:v>0.4375</x:v>
      </x:c>
      <x:c r="H26" s="44" t="n">
        <x:v>-0.415</x:v>
      </x:c>
      <x:c r="I26" s="30" t="str">
        <x:v>Destroyers (Lv 40) — Parry</x:v>
      </x:c>
      <x:c r="J26" s="30" t="str">
        <x:v>Elite bowmen (Lv 40) — Frost Arrow</x:v>
      </x:c>
      <x:c r="K26" s="30" t="str">
        <x:v>Eternal knights (Lv 48) — Thunder trample
Storm cavalry (Lv 49) — Mounted Archery</x:v>
      </x:c>
      <x:c r="L26" s="30" t="str">
        <x:v>Not shown in recording</x:v>
      </x:c>
      <x:c r="M26" s="43" t="n">
        <x:v>4</x:v>
      </x:c>
      <x:c r="N26" s="43" t="str">
        <x:v>03:52.75</x:v>
      </x:c>
      <x:c r="O26" s="43"/>
      <x:c r="P26" s="43" t="str">
        <x:v>K60_SVID_20260828_001858_1.mp4</x:v>
      </x:c>
      <x:c r="Q26" s="391" t="n">
        <x:f>SUMIFS('Specialisations'!$N$6:$N$527,'Specialisations'!$A$6:$A$527,A26,'Specialisations'!$B$6:$B$527,B26)</x:f>
        <x:v>19757200</x:v>
      </x:c>
      <x:c r="R26" s="392" t="n">
        <x:f>IF(M26=0,"",COUNTIFS('Specialisations'!$A$6:$A$527,A26,'Specialisations'!$B$6:$B$527,B26,'Specialisations'!$P$6:$P$527,"OK")/M26)</x:f>
        <x:v>1</x:v>
      </x:c>
      <x:c r="S26" s="494" t="n">
        <x:f>IF(Q26=0,"",SUMIFS('Specialisation Impact'!$K$19:$K$186,'Specialisation Impact'!$A$19:$A$186,A26,'Specialisation Impact'!$B$19:$B$186,B26))</x:f>
        <x:v>134.68</x:v>
      </x:c>
      <x:c r="T26" s="494" t="n">
        <x:f>IF(Q26=0,"",SUMIFS('Specialisation Impact'!$G$19:$G$186,'Specialisation Impact'!$A$19:$A$186,A26,'Specialisation Impact'!$B$19:$B$186,B26))</x:f>
        <x:v>-27.74</x:v>
      </x:c>
      <x:c r="U26" s="429" t="n">
        <x:f>IF(COUNTIFS('Specialisation Impact'!$A$19:$A$186,A26,'Specialisation Impact'!$B$19:$B$186,B26,'Specialisation Impact'!$S$19:$S$186,"&gt;0")=0,"",SUMIFS('Specialisation Impact'!$S$19:$S$186,'Specialisation Impact'!$A$19:$A$186,A26,'Specialisation Impact'!$B$19:$B$186,B26))</x:f>
        <x:v>82.07792207792208</x:v>
      </x:c>
      <x:c r="V26" s="429" t="n">
        <x:f>IF(COUNTIFS('Specialisation Impact'!$A$19:$A$186,A26,'Specialisation Impact'!$B$19:$B$186,B26,'Specialisation Impact'!$V$19:$V$186,"&gt;0")=0,"",SUMIFS('Specialisation Impact'!$V$19:$V$186,'Specialisation Impact'!$A$19:$A$186,A26,'Specialisation Impact'!$B$19:$B$186,B26))</x:f>
        <x:v>29.48717948717949</x:v>
      </x:c>
    </x:row>
    <x:row r="27" ht="45" customHeight="1">
      <x:c r="A27" s="43" t="str">
        <x:v>K60</x:v>
      </x:c>
      <x:c r="B27" s="43" t="str">
        <x:v>Lare</x:v>
      </x:c>
      <x:c r="C27" s="43"/>
      <x:c r="D27" s="44" t="n">
        <x:v>3.151</x:v>
      </x:c>
      <x:c r="E27" s="44" t="n">
        <x:v>2.581</x:v>
      </x:c>
      <x:c r="F27" s="44" t="n">
        <x:v>2.686</x:v>
      </x:c>
      <x:c r="G27" s="44" t="n">
        <x:v>0.415</x:v>
      </x:c>
      <x:c r="H27" s="44" t="n">
        <x:v>-0.415</x:v>
      </x:c>
      <x:c r="I27" s="30" t="str">
        <x:v>Destroyers (Lv 40) — Parry</x:v>
      </x:c>
      <x:c r="J27" s="30" t="str">
        <x:v>Elite bowmen (Lv 41) — Frost Arrow</x:v>
      </x:c>
      <x:c r="K27" s="30" t="str">
        <x:v>Eternal knights (Lv 44) — Thunder trample
Storm cavalry (Lv 43) — Mounted Archery</x:v>
      </x:c>
      <x:c r="L27" s="30" t="str">
        <x:v>Not shown in recording</x:v>
      </x:c>
      <x:c r="M27" s="43" t="n">
        <x:v>4</x:v>
      </x:c>
      <x:c r="N27" s="43" t="str">
        <x:v>04:00.25</x:v>
      </x:c>
      <x:c r="O27" s="43"/>
      <x:c r="P27" s="43" t="str">
        <x:v>K60_SVID_20260828_001858_1.mp4</x:v>
      </x:c>
      <x:c r="Q27" s="391" t="n">
        <x:f>SUMIFS('Specialisations'!$N$6:$N$527,'Specialisations'!$A$6:$A$527,A27,'Specialisations'!$B$6:$B$527,B27)</x:f>
        <x:v>11737200</x:v>
      </x:c>
      <x:c r="R27" s="392" t="n">
        <x:f>IF(M27=0,"",COUNTIFS('Specialisations'!$A$6:$A$527,A27,'Specialisations'!$B$6:$B$527,B27,'Specialisations'!$P$6:$P$527,"OK")/M27)</x:f>
        <x:v>1</x:v>
      </x:c>
      <x:c r="S27" s="494" t="n">
        <x:f>IF(Q27=0,"",SUMIFS('Specialisation Impact'!$K$19:$K$186,'Specialisation Impact'!$A$19:$A$186,A27,'Specialisation Impact'!$B$19:$B$186,B27))</x:f>
        <x:v>106.28999999999999</x:v>
      </x:c>
      <x:c r="T27" s="494" t="n">
        <x:f>IF(Q27=0,"",SUMIFS('Specialisation Impact'!$G$19:$G$186,'Specialisation Impact'!$A$19:$A$186,A27,'Specialisation Impact'!$B$19:$B$186,B27))</x:f>
        <x:v>-27.74</x:v>
      </x:c>
      <x:c r="U27" s="429" t="n">
        <x:f>IF(COUNTIFS('Specialisation Impact'!$A$19:$A$186,A27,'Specialisation Impact'!$B$19:$B$186,B27,'Specialisation Impact'!$S$19:$S$186,"&gt;0")=0,"",SUMIFS('Specialisation Impact'!$S$19:$S$186,'Specialisation Impact'!$A$19:$A$186,A27,'Specialisation Impact'!$B$19:$B$186,B27))</x:f>
        <x:v>54.87012987012988</x:v>
      </x:c>
      <x:c r="V27" s="429" t="n">
        <x:f>IF(COUNTIFS('Specialisation Impact'!$A$19:$A$186,A27,'Specialisation Impact'!$B$19:$B$186,B27,'Specialisation Impact'!$V$19:$V$186,"&gt;0")=0,"",SUMIFS('Specialisation Impact'!$V$19:$V$186,'Specialisation Impact'!$A$19:$A$186,A27,'Specialisation Impact'!$B$19:$B$186,B27))</x:f>
        <x:v>29.48717948717949</x:v>
      </x:c>
    </x:row>
    <x:row r="28" ht="45" customHeight="1">
      <x:c r="A28" s="43" t="str">
        <x:v>K60</x:v>
      </x:c>
      <x:c r="B28" s="43" t="str">
        <x:v>Legendⁱᵃᵐ</x:v>
      </x:c>
      <x:c r="C28" s="43"/>
      <x:c r="D28" s="44" t="n">
        <x:v>3.5635</x:v>
      </x:c>
      <x:c r="E28" s="44" t="n">
        <x:v>2.8185</x:v>
      </x:c>
      <x:c r="F28" s="44" t="n">
        <x:v>3.0735</x:v>
      </x:c>
      <x:c r="G28" s="44" t="n">
        <x:v>0.415</x:v>
      </x:c>
      <x:c r="H28" s="44" t="n">
        <x:v>-0.4375</x:v>
      </x:c>
      <x:c r="I28" s="30" t="str">
        <x:v>Destroyers (Lv 40) — Parry</x:v>
      </x:c>
      <x:c r="J28" s="30" t="str">
        <x:v>Elite bowmen (Lv 40) — Frost Arrow</x:v>
      </x:c>
      <x:c r="K28" s="30" t="str">
        <x:v>Eternal knights (Lv 43) — Thunder trample
Storm cavalry (Lv 43) — Mounted Archery</x:v>
      </x:c>
      <x:c r="L28" s="30" t="str">
        <x:v>Not shown in recording</x:v>
      </x:c>
      <x:c r="M28" s="43" t="n">
        <x:v>4</x:v>
      </x:c>
      <x:c r="N28" s="43" t="str">
        <x:v>04:08.75</x:v>
      </x:c>
      <x:c r="O28" s="43"/>
      <x:c r="P28" s="43" t="str">
        <x:v>K60_SVID_20260828_001858_1.mp4</x:v>
      </x:c>
      <x:c r="Q28" s="391" t="n">
        <x:f>SUMIFS('Specialisations'!$N$6:$N$527,'Specialisations'!$A$6:$A$527,A28,'Specialisations'!$B$6:$B$527,B28)</x:f>
        <x:v>10977200</x:v>
      </x:c>
      <x:c r="R28" s="392" t="n">
        <x:f>IF(M28=0,"",COUNTIFS('Specialisations'!$A$6:$A$527,A28,'Specialisations'!$B$6:$B$527,B28,'Specialisations'!$P$6:$P$527,"OK")/M28)</x:f>
        <x:v>1</x:v>
      </x:c>
      <x:c r="S28" s="494" t="n">
        <x:f>IF(Q28=0,"",SUMIFS('Specialisation Impact'!$K$19:$K$186,'Specialisation Impact'!$A$19:$A$186,A28,'Specialisation Impact'!$B$19:$B$186,B28))</x:f>
        <x:v>99.69999999999999</x:v>
      </x:c>
      <x:c r="T28" s="494" t="n">
        <x:f>IF(Q28=0,"",SUMIFS('Specialisation Impact'!$G$19:$G$186,'Specialisation Impact'!$A$19:$A$186,A28,'Specialisation Impact'!$B$19:$B$186,B28))</x:f>
        <x:v>-27.74</x:v>
      </x:c>
      <x:c r="U28" s="429" t="n">
        <x:f>IF(COUNTIFS('Specialisation Impact'!$A$19:$A$186,A28,'Specialisation Impact'!$B$19:$B$186,B28,'Specialisation Impact'!$S$19:$S$186,"&gt;0")=0,"",SUMIFS('Specialisation Impact'!$S$19:$S$186,'Specialisation Impact'!$A$19:$A$186,A28,'Specialisation Impact'!$B$19:$B$186,B28))</x:f>
        <x:v>49.41558441558442</x:v>
      </x:c>
      <x:c r="V28" s="429" t="n">
        <x:f>IF(COUNTIFS('Specialisation Impact'!$A$19:$A$186,A28,'Specialisation Impact'!$B$19:$B$186,B28,'Specialisation Impact'!$V$19:$V$186,"&gt;0")=0,"",SUMIFS('Specialisation Impact'!$V$19:$V$186,'Specialisation Impact'!$A$19:$A$186,A28,'Specialisation Impact'!$B$19:$B$186,B28))</x:f>
        <x:v>29.48717948717949</x:v>
      </x:c>
    </x:row>
    <x:row r="29" ht="45" customHeight="1">
      <x:c r="A29" s="43" t="str">
        <x:v>K60</x:v>
      </x:c>
      <x:c r="B29" s="43" t="str">
        <x:v>°Silent°</x:v>
      </x:c>
      <x:c r="C29" s="43"/>
      <x:c r="D29" s="44" t="n">
        <x:v>4.0696</x:v>
      </x:c>
      <x:c r="E29" s="44" t="n">
        <x:v>2.741</x:v>
      </x:c>
      <x:c r="F29" s="44" t="n">
        <x:v>3.511</x:v>
      </x:c>
      <x:c r="G29" s="44" t="n">
        <x:v>0.4375</x:v>
      </x:c>
      <x:c r="H29" s="44" t="n">
        <x:v>-0.475</x:v>
      </x:c>
      <x:c r="I29" s="30" t="str">
        <x:v>Not shown in recording</x:v>
      </x:c>
      <x:c r="J29" s="30" t="str">
        <x:v>Elite bowmen (Lv 40) — Frost Arrow</x:v>
      </x:c>
      <x:c r="K29" s="30" t="str">
        <x:v>Eternal knights (Lv 45) — Thunder trample
Storm cavalry (Lv 45) — Mounted Archery</x:v>
      </x:c>
      <x:c r="L29" s="30" t="str">
        <x:v>Manglers (Lv 50) — Highly toxic
Guardian siege (Lv 40) — Dragonhide</x:v>
      </x:c>
      <x:c r="M29" s="43" t="n">
        <x:v>5</x:v>
      </x:c>
      <x:c r="N29" s="43" t="str">
        <x:v>04:20.75</x:v>
      </x:c>
      <x:c r="O29" s="43"/>
      <x:c r="P29" s="43" t="str">
        <x:v>K60_SVID_20260828_001858_1.mp4</x:v>
      </x:c>
      <x:c r="Q29" s="391" t="n">
        <x:f>SUMIFS('Specialisations'!$N$6:$N$527,'Specialisations'!$A$6:$A$527,A29,'Specialisations'!$B$6:$B$527,B29)</x:f>
        <x:v>23391500</x:v>
      </x:c>
      <x:c r="R29" s="392" t="n">
        <x:f>IF(M29=0,"",COUNTIFS('Specialisations'!$A$6:$A$527,A29,'Specialisations'!$B$6:$B$527,B29,'Specialisations'!$P$6:$P$527,"OK")/M29)</x:f>
        <x:v>1</x:v>
      </x:c>
      <x:c r="S29" s="494" t="n">
        <x:f>IF(Q29=0,"",SUMIFS('Specialisation Impact'!$K$19:$K$186,'Specialisation Impact'!$A$19:$A$186,A29,'Specialisation Impact'!$B$19:$B$186,B29))</x:f>
        <x:v>199.44</x:v>
      </x:c>
      <x:c r="T29" s="494" t="n">
        <x:f>IF(Q29=0,"",SUMIFS('Specialisation Impact'!$G$19:$G$186,'Specialisation Impact'!$A$19:$A$186,A29,'Specialisation Impact'!$B$19:$B$186,B29))</x:f>
        <x:v>0</x:v>
      </x:c>
      <x:c r="U29" s="429" t="n">
        <x:f>IF(COUNTIFS('Specialisation Impact'!$A$19:$A$186,A29,'Specialisation Impact'!$B$19:$B$186,B29,'Specialisation Impact'!$S$19:$S$186,"&gt;0")=0,"",SUMIFS('Specialisation Impact'!$S$19:$S$186,'Specialisation Impact'!$A$19:$A$186,A29,'Specialisation Impact'!$B$19:$B$186,B29))</x:f>
        <x:v>95.71428571428571</x:v>
      </x:c>
      <x:c r="V29" s="429" t="str">
        <x:f>IF(COUNTIFS('Specialisation Impact'!$A$19:$A$186,A29,'Specialisation Impact'!$B$19:$B$186,B29,'Specialisation Impact'!$V$19:$V$186,"&gt;0")=0,"",SUMIFS('Specialisation Impact'!$V$19:$V$186,'Specialisation Impact'!$A$19:$A$186,A29,'Specialisation Impact'!$B$19:$B$186,B29))</x:f>
      </x:c>
    </x:row>
    <x:row r="30" ht="45" customHeight="1">
      <x:c r="A30" s="43" t="str">
        <x:v>K91</x:v>
      </x:c>
      <x:c r="B30" s="43" t="str">
        <x:v>•Pain•</x:v>
      </x:c>
      <x:c r="C30" s="43" t="n">
        <x:v>185000</x:v>
      </x:c>
      <x:c r="D30" s="44" t="n">
        <x:v>4.541</x:v>
      </x:c>
      <x:c r="E30" s="44" t="n">
        <x:v>4.141</x:v>
      </x:c>
      <x:c r="F30" s="44" t="n">
        <x:v>4.2410000000000005</x:v>
      </x:c>
      <x:c r="G30" s="44" t="n">
        <x:v>0.475</x:v>
      </x:c>
      <x:c r="H30" s="44" t="n">
        <x:v>-0.475</x:v>
      </x:c>
      <x:c r="I30" s="30" t="str">
        <x:v>Not shown in recording</x:v>
      </x:c>
      <x:c r="J30" s="30" t="str">
        <x:v>Elite bowmen (Lv 45) — Frost Arrow</x:v>
      </x:c>
      <x:c r="K30" s="30" t="str">
        <x:v>Eternal knights (Lv 50) — Thunder trample
Storm cavalry (Lv 47) — Mounted Archery</x:v>
      </x:c>
      <x:c r="L30" s="30" t="str">
        <x:v>Manglers (Lv 43) — Highly toxic
Guardian siege (Lv 30) — Dragonhide</x:v>
      </x:c>
      <x:c r="M30" s="43" t="n">
        <x:v>5</x:v>
      </x:c>
      <x:c r="N30" s="43" t="str">
        <x:v>00:12.25</x:v>
      </x:c>
      <x:c r="O30" s="43" t="str">
        <x:v>00:12.25-00:15.00</x:v>
      </x:c>
      <x:c r="P30" s="43" t="str">
        <x:v>1000025188.mp4</x:v>
      </x:c>
      <x:c r="Q30" s="391" t="n">
        <x:f>SUMIFS('Specialisations'!$N$6:$N$527,'Specialisations'!$A$6:$A$527,A30,'Specialisations'!$B$6:$B$527,B30)</x:f>
        <x:v>24521500</x:v>
      </x:c>
      <x:c r="R30" s="392" t="n">
        <x:f>IF(M30=0,"",COUNTIFS('Specialisations'!$A$6:$A$527,A30,'Specialisations'!$B$6:$B$527,B30,'Specialisations'!$P$6:$P$527,"OK")/M30)</x:f>
        <x:v>1</x:v>
      </x:c>
      <x:c r="S30" s="494" t="n">
        <x:f>IF(Q30=0,"",SUMIFS('Specialisation Impact'!$K$19:$K$186,'Specialisation Impact'!$A$19:$A$186,A30,'Specialisation Impact'!$B$19:$B$186,B30))</x:f>
        <x:v>197.15999999999997</x:v>
      </x:c>
      <x:c r="T30" s="494" t="n">
        <x:f>IF(Q30=0,"",SUMIFS('Specialisation Impact'!$G$19:$G$186,'Specialisation Impact'!$A$19:$A$186,A30,'Specialisation Impact'!$B$19:$B$186,B30))</x:f>
        <x:v>0</x:v>
      </x:c>
      <x:c r="U30" s="429" t="n">
        <x:f>IF(COUNTIFS('Specialisation Impact'!$A$19:$A$186,A30,'Specialisation Impact'!$B$19:$B$186,B30,'Specialisation Impact'!$S$19:$S$186,"&gt;0")=0,"",SUMIFS('Specialisation Impact'!$S$19:$S$186,'Specialisation Impact'!$A$19:$A$186,A30,'Specialisation Impact'!$B$19:$B$186,B30))</x:f>
        <x:v>95.32467532467531</x:v>
      </x:c>
      <x:c r="V30" s="429" t="str">
        <x:f>IF(COUNTIFS('Specialisation Impact'!$A$19:$A$186,A30,'Specialisation Impact'!$B$19:$B$186,B30,'Specialisation Impact'!$V$19:$V$186,"&gt;0")=0,"",SUMIFS('Specialisation Impact'!$V$19:$V$186,'Specialisation Impact'!$A$19:$A$186,A30,'Specialisation Impact'!$B$19:$B$186,B30))</x:f>
      </x:c>
    </x:row>
    <x:row r="31" ht="45" customHeight="1">
      <x:c r="A31" s="43" t="str">
        <x:v>K91</x:v>
      </x:c>
      <x:c r="B31" s="43" t="str">
        <x:v>Trinità</x:v>
      </x:c>
      <x:c r="C31" s="43" t="n">
        <x:v>90000</x:v>
      </x:c>
      <x:c r="D31" s="44" t="n">
        <x:v>2.991</x:v>
      </x:c>
      <x:c r="E31" s="44" t="n">
        <x:v>2.5810000000000004</x:v>
      </x:c>
      <x:c r="F31" s="44" t="n">
        <x:v>2.781</x:v>
      </x:c>
      <x:c r="G31" s="44" t="n">
        <x:v>0.39</x:v>
      </x:c>
      <x:c r="H31" s="44" t="n">
        <x:v>-0.39</x:v>
      </x:c>
      <x:c r="I31" s="30" t="str">
        <x:v>Destroyers (Lv 32) — Parry</x:v>
      </x:c>
      <x:c r="J31" s="30" t="str">
        <x:v>Not shown in recording</x:v>
      </x:c>
      <x:c r="K31" s="30" t="str">
        <x:v>Eternal knights (Lv 39) — Thunder trample
Storm cavalry (Lv 44) — Mounted Archery</x:v>
      </x:c>
      <x:c r="L31" s="30" t="str">
        <x:v>Not shown in recording</x:v>
      </x:c>
      <x:c r="M31" s="43" t="n">
        <x:v>3</x:v>
      </x:c>
      <x:c r="N31" s="43" t="str">
        <x:v>00:24.50</x:v>
      </x:c>
      <x:c r="O31" s="43" t="str">
        <x:v>00:24.50-00:27.00</x:v>
      </x:c>
      <x:c r="P31" s="43" t="str">
        <x:v>1000025188.mp4</x:v>
      </x:c>
      <x:c r="Q31" s="391" t="n">
        <x:f>SUMIFS('Specialisations'!$N$6:$N$527,'Specialisations'!$A$6:$A$527,A31,'Specialisations'!$B$6:$B$527,B31)</x:f>
        <x:v>6692900</x:v>
      </x:c>
      <x:c r="R31" s="392" t="n">
        <x:f>IF(M31=0,"",COUNTIFS('Specialisations'!$A$6:$A$527,A31,'Specialisations'!$B$6:$B$527,B31,'Specialisations'!$P$6:$P$527,"OK")/M31)</x:f>
        <x:v>1</x:v>
      </x:c>
      <x:c r="S31" s="494" t="n">
        <x:f>IF(Q31=0,"",SUMIFS('Specialisation Impact'!$K$19:$K$186,'Specialisation Impact'!$A$19:$A$186,A31,'Specialisation Impact'!$B$19:$B$186,B31))</x:f>
        <x:v>63.93</x:v>
      </x:c>
      <x:c r="T31" s="494" t="n">
        <x:f>IF(Q31=0,"",SUMIFS('Specialisation Impact'!$G$19:$G$186,'Specialisation Impact'!$A$19:$A$186,A31,'Specialisation Impact'!$B$19:$B$186,B31))</x:f>
        <x:v>-13.41</x:v>
      </x:c>
      <x:c r="U31" s="429" t="n">
        <x:f>IF(COUNTIFS('Specialisation Impact'!$A$19:$A$186,A31,'Specialisation Impact'!$B$19:$B$186,B31,'Specialisation Impact'!$S$19:$S$186,"&gt;0")=0,"",SUMIFS('Specialisation Impact'!$S$19:$S$186,'Specialisation Impact'!$A$19:$A$186,A31,'Specialisation Impact'!$B$19:$B$186,B31))</x:f>
        <x:v>28.181818181818183</x:v>
      </x:c>
      <x:c r="V31" s="429" t="n">
        <x:f>IF(COUNTIFS('Specialisation Impact'!$A$19:$A$186,A31,'Specialisation Impact'!$B$19:$B$186,B31,'Specialisation Impact'!$V$19:$V$186,"&gt;0")=0,"",SUMIFS('Specialisation Impact'!$V$19:$V$186,'Specialisation Impact'!$A$19:$A$186,A31,'Specialisation Impact'!$B$19:$B$186,B31))</x:f>
        <x:v>12.820512820512821</x:v>
      </x:c>
    </x:row>
    <x:row r="32" ht="45" customHeight="1">
      <x:c r="A32" s="43" t="str">
        <x:v>K91</x:v>
      </x:c>
      <x:c r="B32" s="43" t="str">
        <x:v>λTλ⁵⁷βЄЧ</x:v>
      </x:c>
      <x:c r="C32" s="43" t="n">
        <x:v>105000</x:v>
      </x:c>
      <x:c r="D32" s="44" t="n">
        <x:v>3.7895999999999996</x:v>
      </x:c>
      <x:c r="E32" s="44" t="n">
        <x:v>2.8110000000000004</x:v>
      </x:c>
      <x:c r="F32" s="44" t="n">
        <x:v>3.1660000000000004</x:v>
      </x:c>
      <x:c r="G32" s="44" t="n">
        <x:v>0.4375</x:v>
      </x:c>
      <x:c r="H32" s="44" t="n">
        <x:v>-0.415</x:v>
      </x:c>
      <x:c r="I32" s="30" t="str">
        <x:v>Destroyers (Lv 40) — Parry</x:v>
      </x:c>
      <x:c r="J32" s="30" t="str">
        <x:v>Elite bowmen (Lv 50) — Frost Arrow
Elite (Lv 43) — Focus</x:v>
      </x:c>
      <x:c r="K32" s="30" t="str">
        <x:v>Not shown in recording</x:v>
      </x:c>
      <x:c r="L32" s="30" t="str">
        <x:v>Not shown in recording</x:v>
      </x:c>
      <x:c r="M32" s="43" t="n">
        <x:v>3</x:v>
      </x:c>
      <x:c r="N32" s="43" t="str">
        <x:v>00:36.00</x:v>
      </x:c>
      <x:c r="O32" s="43" t="str">
        <x:v>00:36.00-00:38.00</x:v>
      </x:c>
      <x:c r="P32" s="43" t="str">
        <x:v>1000025188.mp4</x:v>
      </x:c>
      <x:c r="Q32" s="391" t="n">
        <x:f>SUMIFS('Specialisations'!$N$6:$N$527,'Specialisations'!$A$6:$A$527,A32,'Specialisations'!$B$6:$B$527,B32)</x:f>
        <x:v>15822900</x:v>
      </x:c>
      <x:c r="R32" s="392" t="n">
        <x:f>IF(M32=0,"",COUNTIFS('Specialisations'!$A$6:$A$527,A32,'Specialisations'!$B$6:$B$527,B32,'Specialisations'!$P$6:$P$527,"OK")/M32)</x:f>
        <x:v>1</x:v>
      </x:c>
      <x:c r="S32" s="494" t="n">
        <x:f>IF(Q32=0,"",SUMIFS('Specialisation Impact'!$K$19:$K$186,'Specialisation Impact'!$A$19:$A$186,A32,'Specialisation Impact'!$B$19:$B$186,B32))</x:f>
        <x:v>95.97999999999999</x:v>
      </x:c>
      <x:c r="T32" s="494" t="n">
        <x:f>IF(Q32=0,"",SUMIFS('Specialisation Impact'!$G$19:$G$186,'Specialisation Impact'!$A$19:$A$186,A32,'Specialisation Impact'!$B$19:$B$186,B32))</x:f>
        <x:v>-27.74</x:v>
      </x:c>
      <x:c r="U32" s="429" t="n">
        <x:f>IF(COUNTIFS('Specialisation Impact'!$A$19:$A$186,A32,'Specialisation Impact'!$B$19:$B$186,B32,'Specialisation Impact'!$S$19:$S$186,"&gt;0")=0,"",SUMIFS('Specialisation Impact'!$S$19:$S$186,'Specialisation Impact'!$A$19:$A$186,A32,'Specialisation Impact'!$B$19:$B$186,B32))</x:f>
        <x:v>55.06493506493507</x:v>
      </x:c>
      <x:c r="V32" s="429" t="n">
        <x:f>IF(COUNTIFS('Specialisation Impact'!$A$19:$A$186,A32,'Specialisation Impact'!$B$19:$B$186,B32,'Specialisation Impact'!$V$19:$V$186,"&gt;0")=0,"",SUMIFS('Specialisation Impact'!$V$19:$V$186,'Specialisation Impact'!$A$19:$A$186,A32,'Specialisation Impact'!$B$19:$B$186,B32))</x:f>
        <x:v>29.48717948717949</x:v>
      </x:c>
    </x:row>
    <x:row r="33" ht="45" customHeight="1">
      <x:c r="A33" s="43" t="str">
        <x:v>K91</x:v>
      </x:c>
      <x:c r="B33" s="43" t="str">
        <x:v>Antoni</x:v>
      </x:c>
      <x:c r="C33" s="43" t="n">
        <x:v>78050</x:v>
      </x:c>
      <x:c r="D33" s="44" t="n">
        <x:v>3.6220999999999997</x:v>
      </x:c>
      <x:c r="E33" s="44" t="n">
        <x:v>2.6660000000000004</x:v>
      </x:c>
      <x:c r="F33" s="44" t="n">
        <x:v>2.6060000000000003</x:v>
      </x:c>
      <x:c r="G33" s="44" t="n">
        <x:v>0.415</x:v>
      </x:c>
      <x:c r="H33" s="44" t="n">
        <x:v>-0.415</x:v>
      </x:c>
      <x:c r="I33" s="30" t="str">
        <x:v>Destroyers (Lv 24) — Parry</x:v>
      </x:c>
      <x:c r="J33" s="30" t="str">
        <x:v>Elite bowmen (Lv 48) — Frost Arrow
Elite (Lv 42) — Focus</x:v>
      </x:c>
      <x:c r="K33" s="30" t="str">
        <x:v>Not shown in recording</x:v>
      </x:c>
      <x:c r="L33" s="30" t="str">
        <x:v>Not shown in recording</x:v>
      </x:c>
      <x:c r="M33" s="43" t="n">
        <x:v>3</x:v>
      </x:c>
      <x:c r="N33" s="43" t="str">
        <x:v>00:45.25</x:v>
      </x:c>
      <x:c r="O33" s="43" t="str">
        <x:v>00:45.25-00:48.00</x:v>
      </x:c>
      <x:c r="P33" s="43" t="str">
        <x:v>1000025188.mp4</x:v>
      </x:c>
      <x:c r="Q33" s="391" t="n">
        <x:f>SUMIFS('Specialisations'!$N$6:$N$527,'Specialisations'!$A$6:$A$527,A33,'Specialisations'!$B$6:$B$527,B33)</x:f>
        <x:v>10147900</x:v>
      </x:c>
      <x:c r="R33" s="392" t="n">
        <x:f>IF(M33=0,"",COUNTIFS('Specialisations'!$A$6:$A$527,A33,'Specialisations'!$B$6:$B$527,B33,'Specialisations'!$P$6:$P$527,"OK")/M33)</x:f>
        <x:v>1</x:v>
      </x:c>
      <x:c r="S33" s="494" t="n">
        <x:f>IF(Q33=0,"",SUMIFS('Specialisation Impact'!$K$19:$K$186,'Specialisation Impact'!$A$19:$A$186,A33,'Specialisation Impact'!$B$19:$B$186,B33))</x:f>
        <x:v>84.87</x:v>
      </x:c>
      <x:c r="T33" s="494" t="n">
        <x:f>IF(Q33=0,"",SUMIFS('Specialisation Impact'!$G$19:$G$186,'Specialisation Impact'!$A$19:$A$186,A33,'Specialisation Impact'!$B$19:$B$186,B33))</x:f>
        <x:v>-5.44</x:v>
      </x:c>
      <x:c r="U33" s="429" t="n">
        <x:f>IF(COUNTIFS('Specialisation Impact'!$A$19:$A$186,A33,'Specialisation Impact'!$B$19:$B$186,B33,'Specialisation Impact'!$S$19:$S$186,"&gt;0")=0,"",SUMIFS('Specialisation Impact'!$S$19:$S$186,'Specialisation Impact'!$A$19:$A$186,A33,'Specialisation Impact'!$B$19:$B$186,B33))</x:f>
        <x:v>43.896103896103895</x:v>
      </x:c>
      <x:c r="V33" s="429" t="n">
        <x:f>IF(COUNTIFS('Specialisation Impact'!$A$19:$A$186,A33,'Specialisation Impact'!$B$19:$B$186,B33,'Specialisation Impact'!$V$19:$V$186,"&gt;0")=0,"",SUMIFS('Specialisation Impact'!$V$19:$V$186,'Specialisation Impact'!$A$19:$A$186,A33,'Specialisation Impact'!$B$19:$B$186,B33))</x:f>
        <x:v>1.7094017094017093</x:v>
      </x:c>
    </x:row>
    <x:row r="34" ht="45" customHeight="1">
      <x:c r="A34" s="43" t="str">
        <x:v>K91</x:v>
      </x:c>
      <x:c r="B34" s="43" t="str">
        <x:v>Nixxx</x:v>
      </x:c>
      <x:c r="C34" s="43" t="n">
        <x:v>105030</x:v>
      </x:c>
      <x:c r="D34" s="44" t="n">
        <x:v>3.6420999999999997</x:v>
      </x:c>
      <x:c r="E34" s="44" t="n">
        <x:v>2.431</x:v>
      </x:c>
      <x:c r="F34" s="44" t="n">
        <x:v>2.7760000000000002</x:v>
      </x:c>
      <x:c r="G34" s="44" t="n">
        <x:v>0.415</x:v>
      </x:c>
      <x:c r="H34" s="44" t="n">
        <x:v>-0.4</x:v>
      </x:c>
      <x:c r="I34" s="30" t="str">
        <x:v>Destroyers (Lv 30) — Parry</x:v>
      </x:c>
      <x:c r="J34" s="30" t="str">
        <x:v>Elite bowmen (Lv 50) — Frost Arrow
Elite (Lv 40) — Focus</x:v>
      </x:c>
      <x:c r="K34" s="30" t="str">
        <x:v>Not shown in recording</x:v>
      </x:c>
      <x:c r="L34" s="30" t="str">
        <x:v>Not shown in recording</x:v>
      </x:c>
      <x:c r="M34" s="43" t="n">
        <x:v>3</x:v>
      </x:c>
      <x:c r="N34" s="43" t="str">
        <x:v>00:58.00</x:v>
      </x:c>
      <x:c r="O34" s="43" t="str">
        <x:v>00:58.00-01:01.25</x:v>
      </x:c>
      <x:c r="P34" s="43" t="str">
        <x:v>1000025188.mp4</x:v>
      </x:c>
      <x:c r="Q34" s="391" t="n">
        <x:f>SUMIFS('Specialisations'!$N$6:$N$527,'Specialisations'!$A$6:$A$527,A34,'Specialisations'!$B$6:$B$527,B34)</x:f>
        <x:v>13352900</x:v>
      </x:c>
      <x:c r="R34" s="392" t="n">
        <x:f>IF(M34=0,"",COUNTIFS('Specialisations'!$A$6:$A$527,A34,'Specialisations'!$B$6:$B$527,B34,'Specialisations'!$P$6:$P$527,"OK")/M34)</x:f>
        <x:v>1</x:v>
      </x:c>
      <x:c r="S34" s="494" t="n">
        <x:f>IF(Q34=0,"",SUMIFS('Specialisation Impact'!$K$19:$K$186,'Specialisation Impact'!$A$19:$A$186,A34,'Specialisation Impact'!$B$19:$B$186,B34))</x:f>
        <x:v>87.74</x:v>
      </x:c>
      <x:c r="T34" s="494" t="n">
        <x:f>IF(Q34=0,"",SUMIFS('Specialisation Impact'!$G$19:$G$186,'Specialisation Impact'!$A$19:$A$186,A34,'Specialisation Impact'!$B$19:$B$186,B34))</x:f>
        <x:v>-10.82</x:v>
      </x:c>
      <x:c r="U34" s="429" t="n">
        <x:f>IF(COUNTIFS('Specialisation Impact'!$A$19:$A$186,A34,'Specialisation Impact'!$B$19:$B$186,B34,'Specialisation Impact'!$S$19:$S$186,"&gt;0")=0,"",SUMIFS('Specialisation Impact'!$S$19:$S$186,'Specialisation Impact'!$A$19:$A$186,A34,'Specialisation Impact'!$B$19:$B$186,B34))</x:f>
        <x:v>49.8051948051948</x:v>
      </x:c>
      <x:c r="V34" s="429" t="n">
        <x:f>IF(COUNTIFS('Specialisation Impact'!$A$19:$A$186,A34,'Specialisation Impact'!$B$19:$B$186,B34,'Specialisation Impact'!$V$19:$V$186,"&gt;0")=0,"",SUMIFS('Specialisation Impact'!$V$19:$V$186,'Specialisation Impact'!$A$19:$A$186,A34,'Specialisation Impact'!$B$19:$B$186,B34))</x:f>
        <x:v>8.547008547008547</x:v>
      </x:c>
    </x:row>
    <x:row r="35" ht="45" customHeight="1">
      <x:c r="A35" s="43" t="str">
        <x:v>K91</x:v>
      </x:c>
      <x:c r="B35" s="43" t="str">
        <x:v>TatyToy</x:v>
      </x:c>
      <x:c r="C35" s="43" t="n">
        <x:v>60000</x:v>
      </x:c>
      <x:c r="D35" s="44" t="n">
        <x:v>3.4370999999999996</x:v>
      </x:c>
      <x:c r="E35" s="44" t="n">
        <x:v>2.276</x:v>
      </x:c>
      <x:c r="F35" s="44" t="n">
        <x:v>2.616</x:v>
      </x:c>
      <x:c r="G35" s="44" t="n">
        <x:v>0.415</x:v>
      </x:c>
      <x:c r="H35" s="44" t="n">
        <x:v>-0.4</x:v>
      </x:c>
      <x:c r="I35" s="30" t="str">
        <x:v>Destroyers (Lv 28) — Parry</x:v>
      </x:c>
      <x:c r="J35" s="30" t="str">
        <x:v>Elite bowmen (Lv 46) — Frost Arrow
Elite (Lv 23) — Focus</x:v>
      </x:c>
      <x:c r="K35" s="30" t="str">
        <x:v>Not shown in recording</x:v>
      </x:c>
      <x:c r="L35" s="30" t="str">
        <x:v>Not shown in recording</x:v>
      </x:c>
      <x:c r="M35" s="43" t="n">
        <x:v>3</x:v>
      </x:c>
      <x:c r="N35" s="43" t="str">
        <x:v>01:08.25</x:v>
      </x:c>
      <x:c r="O35" s="43" t="str">
        <x:v>01:08.25-01:10.50</x:v>
      </x:c>
      <x:c r="P35" s="43" t="str">
        <x:v>1000025188.mp4</x:v>
      </x:c>
      <x:c r="Q35" s="391" t="n">
        <x:f>SUMIFS('Specialisations'!$N$6:$N$527,'Specialisations'!$A$6:$A$527,A35,'Specialisations'!$B$6:$B$527,B35)</x:f>
        <x:v>5942900</x:v>
      </x:c>
      <x:c r="R35" s="392" t="n">
        <x:f>IF(M35=0,"",COUNTIFS('Specialisations'!$A$6:$A$527,A35,'Specialisations'!$B$6:$B$527,B35,'Specialisations'!$P$6:$P$527,"OK")/M35)</x:f>
        <x:v>1</x:v>
      </x:c>
      <x:c r="S35" s="494" t="n">
        <x:f>IF(Q35=0,"",SUMIFS('Specialisation Impact'!$K$19:$K$186,'Specialisation Impact'!$A$19:$A$186,A35,'Specialisation Impact'!$B$19:$B$186,B35))</x:f>
        <x:v>49.93</x:v>
      </x:c>
      <x:c r="T35" s="494" t="n">
        <x:f>IF(Q35=0,"",SUMIFS('Specialisation Impact'!$G$19:$G$186,'Specialisation Impact'!$A$19:$A$186,A35,'Specialisation Impact'!$B$19:$B$186,B35))</x:f>
        <x:v>-8.24</x:v>
      </x:c>
      <x:c r="U35" s="429" t="n">
        <x:f>IF(COUNTIFS('Specialisation Impact'!$A$19:$A$186,A35,'Specialisation Impact'!$B$19:$B$186,B35,'Specialisation Impact'!$S$19:$S$186,"&gt;0")=0,"",SUMIFS('Specialisation Impact'!$S$19:$S$186,'Specialisation Impact'!$A$19:$A$186,A35,'Specialisation Impact'!$B$19:$B$186,B35))</x:f>
        <x:v>13.116883116883116</x:v>
      </x:c>
      <x:c r="V35" s="429" t="n">
        <x:f>IF(COUNTIFS('Specialisation Impact'!$A$19:$A$186,A35,'Specialisation Impact'!$B$19:$B$186,B35,'Specialisation Impact'!$V$19:$V$186,"&gt;0")=0,"",SUMIFS('Specialisation Impact'!$V$19:$V$186,'Specialisation Impact'!$A$19:$A$186,A35,'Specialisation Impact'!$B$19:$B$186,B35))</x:f>
        <x:v>4.700854700854701</x:v>
      </x:c>
    </x:row>
    <x:row r="36" ht="45" customHeight="1">
      <x:c r="A36" s="43" t="str">
        <x:v>K91</x:v>
      </x:c>
      <x:c r="B36" s="43" t="str">
        <x:v>AMANTIS</x:v>
      </x:c>
      <x:c r="C36" s="43" t="n">
        <x:v>78030</x:v>
      </x:c>
      <x:c r="D36" s="44" t="n">
        <x:v>3.5370999999999997</x:v>
      </x:c>
      <x:c r="E36" s="44" t="n">
        <x:v>2.636</x:v>
      </x:c>
      <x:c r="F36" s="44" t="n">
        <x:v>2.8360000000000003</x:v>
      </x:c>
      <x:c r="G36" s="44" t="n">
        <x:v>0.415</x:v>
      </x:c>
      <x:c r="H36" s="44" t="n">
        <x:v>-0.4</x:v>
      </x:c>
      <x:c r="I36" s="30" t="str">
        <x:v>Destroyers (Lv 21) — Parry</x:v>
      </x:c>
      <x:c r="J36" s="30" t="str">
        <x:v>Elite bowmen (Lv 50) — Frost Arrow
Elite (Lv 28) — Focus</x:v>
      </x:c>
      <x:c r="K36" s="30" t="str">
        <x:v>Not shown in recording</x:v>
      </x:c>
      <x:c r="L36" s="30" t="str">
        <x:v>Not shown in recording</x:v>
      </x:c>
      <x:c r="M36" s="43" t="n">
        <x:v>3</x:v>
      </x:c>
      <x:c r="N36" s="43" t="str">
        <x:v>01:35.50</x:v>
      </x:c>
      <x:c r="O36" s="43" t="str">
        <x:v>01:35.50-01:38.00</x:v>
      </x:c>
      <x:c r="P36" s="43" t="str">
        <x:v>1000025188.mp4</x:v>
      </x:c>
      <x:c r="Q36" s="391" t="n">
        <x:f>SUMIFS('Specialisations'!$N$6:$N$527,'Specialisations'!$A$6:$A$527,A36,'Specialisations'!$B$6:$B$527,B36)</x:f>
        <x:v>11180400</x:v>
      </x:c>
      <x:c r="R36" s="392" t="n">
        <x:f>IF(M36=0,"",COUNTIFS('Specialisations'!$A$6:$A$527,A36,'Specialisations'!$B$6:$B$527,B36,'Specialisations'!$P$6:$P$527,"OK")/M36)</x:f>
        <x:v>1</x:v>
      </x:c>
      <x:c r="S36" s="494" t="n">
        <x:f>IF(Q36=0,"",SUMIFS('Specialisation Impact'!$K$19:$K$186,'Specialisation Impact'!$A$19:$A$186,A36,'Specialisation Impact'!$B$19:$B$186,B36))</x:f>
        <x:v>68.24</x:v>
      </x:c>
      <x:c r="T36" s="494" t="n">
        <x:f>IF(Q36=0,"",SUMIFS('Specialisation Impact'!$G$19:$G$186,'Specialisation Impact'!$A$19:$A$186,A36,'Specialisation Impact'!$B$19:$B$186,B36))</x:f>
        <x:v>-3.58</x:v>
      </x:c>
      <x:c r="U36" s="429" t="n">
        <x:f>IF(COUNTIFS('Specialisation Impact'!$A$19:$A$186,A36,'Specialisation Impact'!$B$19:$B$186,B36,'Specialisation Impact'!$S$19:$S$186,"&gt;0")=0,"",SUMIFS('Specialisation Impact'!$S$19:$S$186,'Specialisation Impact'!$A$19:$A$186,A36,'Specialisation Impact'!$B$19:$B$186,B36))</x:f>
        <x:v>37.79220779220779</x:v>
      </x:c>
      <x:c r="V36" s="429" t="str">
        <x:f>IF(COUNTIFS('Specialisation Impact'!$A$19:$A$186,A36,'Specialisation Impact'!$B$19:$B$186,B36,'Specialisation Impact'!$V$19:$V$186,"&gt;0")=0,"",SUMIFS('Specialisation Impact'!$V$19:$V$186,'Specialisation Impact'!$A$19:$A$186,A36,'Specialisation Impact'!$B$19:$B$186,B36))</x:f>
      </x:c>
    </x:row>
    <x:row r="37" ht="45" customHeight="1">
      <x:c r="A37" s="43" t="str">
        <x:v>K91</x:v>
      </x:c>
      <x:c r="B37" s="43" t="str">
        <x:v>Milhaus</x:v>
      </x:c>
      <x:c r="C37" s="43" t="n">
        <x:v>99000</x:v>
      </x:c>
      <x:c r="D37" s="44" t="n">
        <x:v>3.6721</x:v>
      </x:c>
      <x:c r="E37" s="44" t="n">
        <x:v>2.7110000000000003</x:v>
      </x:c>
      <x:c r="F37" s="44" t="n">
        <x:v>3.111</x:v>
      </x:c>
      <x:c r="G37" s="44" t="n">
        <x:v>0.4</x:v>
      </x:c>
      <x:c r="H37" s="44" t="n">
        <x:v>-0.39</x:v>
      </x:c>
      <x:c r="I37" s="30" t="str">
        <x:v>Destroyers (Lv 40) — Parry</x:v>
      </x:c>
      <x:c r="J37" s="30" t="str">
        <x:v>Elite bowmen (Lv 50) — Frost Arrow
Elite (Lv 39) — Focus</x:v>
      </x:c>
      <x:c r="K37" s="30" t="str">
        <x:v>Not shown in recording</x:v>
      </x:c>
      <x:c r="L37" s="30" t="str">
        <x:v>Not shown in recording</x:v>
      </x:c>
      <x:c r="M37" s="43" t="n">
        <x:v>3</x:v>
      </x:c>
      <x:c r="N37" s="43" t="str">
        <x:v>01:44.50</x:v>
      </x:c>
      <x:c r="O37" s="43" t="str">
        <x:v>01:44.50-01:47.00</x:v>
      </x:c>
      <x:c r="P37" s="43" t="str">
        <x:v>1000025188.mp4</x:v>
      </x:c>
      <x:c r="Q37" s="391" t="n">
        <x:f>SUMIFS('Specialisations'!$N$6:$N$527,'Specialisations'!$A$6:$A$527,A37,'Specialisations'!$B$6:$B$527,B37)</x:f>
        <x:v>14582900</x:v>
      </x:c>
      <x:c r="R37" s="392" t="n">
        <x:f>IF(M37=0,"",COUNTIFS('Specialisations'!$A$6:$A$527,A37,'Specialisations'!$B$6:$B$527,B37,'Specialisations'!$P$6:$P$527,"OK")/M37)</x:f>
        <x:v>1</x:v>
      </x:c>
      <x:c r="S37" s="494" t="n">
        <x:f>IF(Q37=0,"",SUMIFS('Specialisation Impact'!$K$19:$K$186,'Specialisation Impact'!$A$19:$A$186,A37,'Specialisation Impact'!$B$19:$B$186,B37))</x:f>
        <x:v>84</x:v>
      </x:c>
      <x:c r="T37" s="494" t="n">
        <x:f>IF(Q37=0,"",SUMIFS('Specialisation Impact'!$G$19:$G$186,'Specialisation Impact'!$A$19:$A$186,A37,'Specialisation Impact'!$B$19:$B$186,B37))</x:f>
        <x:v>-27.74</x:v>
      </x:c>
      <x:c r="U37" s="429" t="n">
        <x:f>IF(COUNTIFS('Specialisation Impact'!$A$19:$A$186,A37,'Specialisation Impact'!$B$19:$B$186,B37,'Specialisation Impact'!$S$19:$S$186,"&gt;0")=0,"",SUMIFS('Specialisation Impact'!$S$19:$S$186,'Specialisation Impact'!$A$19:$A$186,A37,'Specialisation Impact'!$B$19:$B$186,B37))</x:f>
        <x:v>47.27272727272727</x:v>
      </x:c>
      <x:c r="V37" s="429" t="n">
        <x:f>IF(COUNTIFS('Specialisation Impact'!$A$19:$A$186,A37,'Specialisation Impact'!$B$19:$B$186,B37,'Specialisation Impact'!$V$19:$V$186,"&gt;0")=0,"",SUMIFS('Specialisation Impact'!$V$19:$V$186,'Specialisation Impact'!$A$19:$A$186,A37,'Specialisation Impact'!$B$19:$B$186,B37))</x:f>
        <x:v>29.48717948717949</x:v>
      </x:c>
    </x:row>
    <x:row r="38" ht="45" customHeight="1">
      <x:c r="A38" s="43" t="str">
        <x:v>K91</x:v>
      </x:c>
      <x:c r="B38" s="43" t="str">
        <x:v>金灵蛇</x:v>
      </x:c>
      <x:c r="C38" s="43" t="n">
        <x:v>78004</x:v>
      </x:c>
      <x:c r="D38" s="44" t="n">
        <x:v>3.4720999999999997</x:v>
      </x:c>
      <x:c r="E38" s="44" t="n">
        <x:v>2.306</x:v>
      </x:c>
      <x:c r="F38" s="44" t="n">
        <x:v>2.6460000000000004</x:v>
      </x:c>
      <x:c r="G38" s="44" t="n">
        <x:v>0.415</x:v>
      </x:c>
      <x:c r="H38" s="44" t="n">
        <x:v>-0.415</x:v>
      </x:c>
      <x:c r="I38" s="30" t="str">
        <x:v>Destroyers (Lv 34) — Parry</x:v>
      </x:c>
      <x:c r="J38" s="30" t="str">
        <x:v>Elite bowmen (Lv 48) — Frost Arrow
Elite (Lv 22) — Focus</x:v>
      </x:c>
      <x:c r="K38" s="30" t="str">
        <x:v>Not shown in recording</x:v>
      </x:c>
      <x:c r="L38" s="30" t="str">
        <x:v>Not shown in recording</x:v>
      </x:c>
      <x:c r="M38" s="43" t="n">
        <x:v>3</x:v>
      </x:c>
      <x:c r="N38" s="43" t="str">
        <x:v>01:55.25</x:v>
      </x:c>
      <x:c r="O38" s="43" t="str">
        <x:v>01:55.25-01:57.50</x:v>
      </x:c>
      <x:c r="P38" s="43" t="str">
        <x:v>1000025188.mp4</x:v>
      </x:c>
      <x:c r="Q38" s="391" t="n">
        <x:f>SUMIFS('Specialisations'!$N$6:$N$527,'Specialisations'!$A$6:$A$527,A38,'Specialisations'!$B$6:$B$527,B38)</x:f>
        <x:v>8400400</x:v>
      </x:c>
      <x:c r="R38" s="392" t="n">
        <x:f>IF(M38=0,"",COUNTIFS('Specialisations'!$A$6:$A$527,A38,'Specialisations'!$B$6:$B$527,B38,'Specialisations'!$P$6:$P$527,"OK")/M38)</x:f>
        <x:v>1</x:v>
      </x:c>
      <x:c r="S38" s="494" t="n">
        <x:f>IF(Q38=0,"",SUMIFS('Specialisation Impact'!$K$19:$K$186,'Specialisation Impact'!$A$19:$A$186,A38,'Specialisation Impact'!$B$19:$B$186,B38))</x:f>
        <x:v>55.92</x:v>
      </x:c>
      <x:c r="T38" s="494" t="n">
        <x:f>IF(Q38=0,"",SUMIFS('Specialisation Impact'!$G$19:$G$186,'Specialisation Impact'!$A$19:$A$186,A38,'Specialisation Impact'!$B$19:$B$186,B38))</x:f>
        <x:v>-16.2</x:v>
      </x:c>
      <x:c r="U38" s="429" t="n">
        <x:f>IF(COUNTIFS('Specialisation Impact'!$A$19:$A$186,A38,'Specialisation Impact'!$B$19:$B$186,B38,'Specialisation Impact'!$S$19:$S$186,"&gt;0")=0,"",SUMIFS('Specialisation Impact'!$S$19:$S$186,'Specialisation Impact'!$A$19:$A$186,A38,'Specialisation Impact'!$B$19:$B$186,B38))</x:f>
        <x:v>17.662337662337663</x:v>
      </x:c>
      <x:c r="V38" s="429" t="n">
        <x:f>IF(COUNTIFS('Specialisation Impact'!$A$19:$A$186,A38,'Specialisation Impact'!$B$19:$B$186,B38,'Specialisation Impact'!$V$19:$V$186,"&gt;0")=0,"",SUMIFS('Specialisation Impact'!$V$19:$V$186,'Specialisation Impact'!$A$19:$A$186,A38,'Specialisation Impact'!$B$19:$B$186,B38))</x:f>
        <x:v>14.102564102564102</x:v>
      </x:c>
    </x:row>
    <x:row r="39" ht="45" customHeight="1">
      <x:c r="A39" s="43" t="str">
        <x:v>K91</x:v>
      </x:c>
      <x:c r="B39" s="43" t="str">
        <x:v>Nico•</x:v>
      </x:c>
      <x:c r="C39" s="43" t="n">
        <x:v>60000</x:v>
      </x:c>
      <x:c r="D39" s="44" t="n">
        <x:v>2.6211</x:v>
      </x:c>
      <x:c r="E39" s="44" t="n">
        <x:v>1.835</x:v>
      </x:c>
      <x:c r="F39" s="44" t="n">
        <x:v>2.29</x:v>
      </x:c>
      <x:c r="G39" s="44" t="n">
        <x:v>0.4</x:v>
      </x:c>
      <x:c r="H39" s="44" t="n">
        <x:v>-0.39</x:v>
      </x:c>
      <x:c r="I39" s="30" t="str">
        <x:v>Destroyers (Lv 30) — Parry</x:v>
      </x:c>
      <x:c r="J39" s="30" t="str">
        <x:v>Elite bowmen (Lv 46) — Frost Arrow
Elite (Lv 32) — Focus</x:v>
      </x:c>
      <x:c r="K39" s="30" t="str">
        <x:v>Not shown in recording</x:v>
      </x:c>
      <x:c r="L39" s="30" t="str">
        <x:v>Not shown in recording</x:v>
      </x:c>
      <x:c r="M39" s="43" t="n">
        <x:v>3</x:v>
      </x:c>
      <x:c r="N39" s="43" t="str">
        <x:v>02:06.50</x:v>
      </x:c>
      <x:c r="O39" s="43" t="str">
        <x:v>02:06.50-02:08.25</x:v>
      </x:c>
      <x:c r="P39" s="43" t="str">
        <x:v>1000025188.mp4</x:v>
      </x:c>
      <x:c r="Q39" s="391" t="n">
        <x:f>SUMIFS('Specialisations'!$N$6:$N$527,'Specialisations'!$A$6:$A$527,A39,'Specialisations'!$B$6:$B$527,B39)</x:f>
        <x:v>6742900</x:v>
      </x:c>
      <x:c r="R39" s="392" t="n">
        <x:f>IF(M39=0,"",COUNTIFS('Specialisations'!$A$6:$A$527,A39,'Specialisations'!$B$6:$B$527,B39,'Specialisations'!$P$6:$P$527,"OK")/M39)</x:f>
        <x:v>1</x:v>
      </x:c>
      <x:c r="S39" s="494" t="n">
        <x:f>IF(Q39=0,"",SUMIFS('Specialisation Impact'!$K$19:$K$186,'Specialisation Impact'!$A$19:$A$186,A39,'Specialisation Impact'!$B$19:$B$186,B39))</x:f>
        <x:v>58.540000000000006</x:v>
      </x:c>
      <x:c r="T39" s="494" t="n">
        <x:f>IF(Q39=0,"",SUMIFS('Specialisation Impact'!$G$19:$G$186,'Specialisation Impact'!$A$19:$A$186,A39,'Specialisation Impact'!$B$19:$B$186,B39))</x:f>
        <x:v>-10.82</x:v>
      </x:c>
      <x:c r="U39" s="429" t="n">
        <x:f>IF(COUNTIFS('Specialisation Impact'!$A$19:$A$186,A39,'Specialisation Impact'!$B$19:$B$186,B39,'Specialisation Impact'!$S$19:$S$186,"&gt;0")=0,"",SUMIFS('Specialisation Impact'!$S$19:$S$186,'Specialisation Impact'!$A$19:$A$186,A39,'Specialisation Impact'!$B$19:$B$186,B39))</x:f>
        <x:v>20</x:v>
      </x:c>
      <x:c r="V39" s="429" t="n">
        <x:f>IF(COUNTIFS('Specialisation Impact'!$A$19:$A$186,A39,'Specialisation Impact'!$B$19:$B$186,B39,'Specialisation Impact'!$V$19:$V$186,"&gt;0")=0,"",SUMIFS('Specialisation Impact'!$V$19:$V$186,'Specialisation Impact'!$A$19:$A$186,A39,'Specialisation Impact'!$B$19:$B$186,B39))</x:f>
        <x:v>8.547008547008547</x:v>
      </x:c>
    </x:row>
    <x:row r="40" ht="45" customHeight="1">
      <x:c r="A40" s="43" t="str">
        <x:v>K91</x:v>
      </x:c>
      <x:c r="B40" s="43" t="str">
        <x:v>†LORD•ZARIEL†</x:v>
      </x:c>
      <x:c r="C40" s="43" t="n">
        <x:v>60000</x:v>
      </x:c>
      <x:c r="D40" s="44" t="n">
        <x:v>3.0871</x:v>
      </x:c>
      <x:c r="E40" s="44" t="n">
        <x:v>2.3209999999999997</x:v>
      </x:c>
      <x:c r="F40" s="44" t="n">
        <x:v>2.6660000000000004</x:v>
      </x:c>
      <x:c r="G40" s="44" t="n">
        <x:v>0.415</x:v>
      </x:c>
      <x:c r="H40" s="44" t="n">
        <x:v>-0.4</x:v>
      </x:c>
      <x:c r="I40" s="30" t="str">
        <x:v>Destroyers (Lv 30) — Parry</x:v>
      </x:c>
      <x:c r="J40" s="30" t="str">
        <x:v>Elite bowmen (Lv 47) — Frost Arrow</x:v>
      </x:c>
      <x:c r="K40" s="30" t="str">
        <x:v>Not shown in recording</x:v>
      </x:c>
      <x:c r="L40" s="30" t="str">
        <x:v>Not shown in recording</x:v>
      </x:c>
      <x:c r="M40" s="43" t="n">
        <x:v>2</x:v>
      </x:c>
      <x:c r="N40" s="43" t="str">
        <x:v>02:13.25</x:v>
      </x:c>
      <x:c r="O40" s="43" t="str">
        <x:v>02:13.25-02:15.25</x:v>
      </x:c>
      <x:c r="P40" s="43" t="str">
        <x:v>1000025188.mp4</x:v>
      </x:c>
      <x:c r="Q40" s="391" t="n">
        <x:f>SUMIFS('Specialisations'!$N$6:$N$527,'Specialisations'!$A$6:$A$527,A40,'Specialisations'!$B$6:$B$527,B40)</x:f>
        <x:v>6658600</x:v>
      </x:c>
      <x:c r="R40" s="392" t="n">
        <x:f>IF(M40=0,"",COUNTIFS('Specialisations'!$A$6:$A$527,A40,'Specialisations'!$B$6:$B$527,B40,'Specialisations'!$P$6:$P$527,"OK")/M40)</x:f>
        <x:v>1</x:v>
      </x:c>
      <x:c r="S40" s="494" t="n">
        <x:f>IF(Q40=0,"",SUMIFS('Specialisation Impact'!$K$19:$K$186,'Specialisation Impact'!$A$19:$A$186,A40,'Specialisation Impact'!$B$19:$B$186,B40))</x:f>
        <x:v>48.38</x:v>
      </x:c>
      <x:c r="T40" s="494" t="n">
        <x:f>IF(Q40=0,"",SUMIFS('Specialisation Impact'!$G$19:$G$186,'Specialisation Impact'!$A$19:$A$186,A40,'Specialisation Impact'!$B$19:$B$186,B40))</x:f>
        <x:v>-10.82</x:v>
      </x:c>
      <x:c r="U40" s="429" t="n">
        <x:f>IF(COUNTIFS('Specialisation Impact'!$A$19:$A$186,A40,'Specialisation Impact'!$B$19:$B$186,B40,'Specialisation Impact'!$S$19:$S$186,"&gt;0")=0,"",SUMIFS('Specialisation Impact'!$S$19:$S$186,'Specialisation Impact'!$A$19:$A$186,A40,'Specialisation Impact'!$B$19:$B$186,B40))</x:f>
        <x:v>13.311688311688311</x:v>
      </x:c>
      <x:c r="V40" s="429" t="n">
        <x:f>IF(COUNTIFS('Specialisation Impact'!$A$19:$A$186,A40,'Specialisation Impact'!$B$19:$B$186,B40,'Specialisation Impact'!$V$19:$V$186,"&gt;0")=0,"",SUMIFS('Specialisation Impact'!$V$19:$V$186,'Specialisation Impact'!$A$19:$A$186,A40,'Specialisation Impact'!$B$19:$B$186,B40))</x:f>
        <x:v>8.547008547008547</x:v>
      </x:c>
    </x:row>
    <x:row r="41" ht="45" customHeight="1">
      <x:c r="A41" s="43" t="str">
        <x:v>K91</x:v>
      </x:c>
      <x:c r="B41" s="43" t="str">
        <x:v>TÜRK 81</x:v>
      </x:c>
      <x:c r="C41" s="43" t="n">
        <x:v>100100</x:v>
      </x:c>
      <x:c r="D41" s="44" t="n">
        <x:v>3.5921</x:v>
      </x:c>
      <x:c r="E41" s="44" t="n">
        <x:v>2.456</x:v>
      </x:c>
      <x:c r="F41" s="44" t="n">
        <x:v>2.7060000000000004</x:v>
      </x:c>
      <x:c r="G41" s="44" t="n">
        <x:v>0.415</x:v>
      </x:c>
      <x:c r="H41" s="44" t="n">
        <x:v>-0.415</x:v>
      </x:c>
      <x:c r="I41" s="30" t="str">
        <x:v>Destroyers (Lv 42) — Parry</x:v>
      </x:c>
      <x:c r="J41" s="30" t="str">
        <x:v>Elite bowmen (Lv 50) — Frost Arrow
Elite (Lv 41) — Focus</x:v>
      </x:c>
      <x:c r="K41" s="30" t="str">
        <x:v>Not shown in recording</x:v>
      </x:c>
      <x:c r="L41" s="30" t="str">
        <x:v>Not shown in recording</x:v>
      </x:c>
      <x:c r="M41" s="43" t="n">
        <x:v>3</x:v>
      </x:c>
      <x:c r="N41" s="43" t="str">
        <x:v>02:23.25</x:v>
      </x:c>
      <x:c r="O41" s="43" t="str">
        <x:v>02:23.25-02:24.75</x:v>
      </x:c>
      <x:c r="P41" s="43" t="str">
        <x:v>1000025188.mp4</x:v>
      </x:c>
      <x:c r="Q41" s="391" t="n">
        <x:f>SUMIFS('Specialisations'!$N$6:$N$527,'Specialisations'!$A$6:$A$527,A41,'Specialisations'!$B$6:$B$527,B41)</x:f>
        <x:v>15702900</x:v>
      </x:c>
      <x:c r="R41" s="392" t="n">
        <x:f>IF(M41=0,"",COUNTIFS('Specialisations'!$A$6:$A$527,A41,'Specialisations'!$B$6:$B$527,B41,'Specialisations'!$P$6:$P$527,"OK")/M41)</x:f>
        <x:v>1</x:v>
      </x:c>
      <x:c r="S41" s="494" t="n">
        <x:f>IF(Q41=0,"",SUMIFS('Specialisation Impact'!$K$19:$K$186,'Specialisation Impact'!$A$19:$A$186,A41,'Specialisation Impact'!$B$19:$B$186,B41))</x:f>
        <x:v>90.38</x:v>
      </x:c>
      <x:c r="T41" s="494" t="n">
        <x:f>IF(Q41=0,"",SUMIFS('Specialisation Impact'!$G$19:$G$186,'Specialisation Impact'!$A$19:$A$186,A41,'Specialisation Impact'!$B$19:$B$186,B41))</x:f>
        <x:v>-33.13</x:v>
      </x:c>
      <x:c r="U41" s="429" t="n">
        <x:f>IF(COUNTIFS('Specialisation Impact'!$A$19:$A$186,A41,'Specialisation Impact'!$B$19:$B$186,B41,'Specialisation Impact'!$S$19:$S$186,"&gt;0")=0,"",SUMIFS('Specialisation Impact'!$S$19:$S$186,'Specialisation Impact'!$A$19:$A$186,A41,'Specialisation Impact'!$B$19:$B$186,B41))</x:f>
        <x:v>52.20779220779221</x:v>
      </x:c>
      <x:c r="V41" s="429" t="n">
        <x:f>IF(COUNTIFS('Specialisation Impact'!$A$19:$A$186,A41,'Specialisation Impact'!$B$19:$B$186,B41,'Specialisation Impact'!$V$19:$V$186,"&gt;0")=0,"",SUMIFS('Specialisation Impact'!$V$19:$V$186,'Specialisation Impact'!$A$19:$A$186,A41,'Specialisation Impact'!$B$19:$B$186,B41))</x:f>
        <x:v>43.58974358974359</x:v>
      </x:c>
    </x:row>
    <x:row r="42" ht="45" customHeight="1">
      <x:c r="A42" s="43" t="str">
        <x:v>K91</x:v>
      </x:c>
      <x:c r="B42" s="43" t="str">
        <x:v>A†RO/</x:v>
      </x:c>
      <x:c r="C42" s="43" t="n">
        <x:v>78000</x:v>
      </x:c>
      <x:c r="D42" s="44" t="n">
        <x:v>3.0671</x:v>
      </x:c>
      <x:c r="E42" s="44" t="n">
        <x:v>2.4859999999999998</x:v>
      </x:c>
      <x:c r="F42" s="44" t="n">
        <x:v>2.4459999999999997</x:v>
      </x:c>
      <x:c r="G42" s="44" t="n">
        <x:v>0.4</x:v>
      </x:c>
      <x:c r="H42" s="44" t="n">
        <x:v>-0.415</x:v>
      </x:c>
      <x:c r="I42" s="30" t="str">
        <x:v>Destroyers (Lv 30) — Parry</x:v>
      </x:c>
      <x:c r="J42" s="30" t="str">
        <x:v>Elite bowmen (Lv 49) — Frost Arrow
Elite (Lv 34) — Focus</x:v>
      </x:c>
      <x:c r="K42" s="30" t="str">
        <x:v>Not shown in recording</x:v>
      </x:c>
      <x:c r="L42" s="30" t="str">
        <x:v>Not shown in recording</x:v>
      </x:c>
      <x:c r="M42" s="43" t="n">
        <x:v>3</x:v>
      </x:c>
      <x:c r="N42" s="43" t="str">
        <x:v>02:33.75</x:v>
      </x:c>
      <x:c r="O42" s="43" t="str">
        <x:v>02:33.75-02:35.75</x:v>
      </x:c>
      <x:c r="P42" s="43" t="str">
        <x:v>1000025188.mp4</x:v>
      </x:c>
      <x:c r="Q42" s="391" t="n">
        <x:f>SUMIFS('Specialisations'!$N$6:$N$527,'Specialisations'!$A$6:$A$527,A42,'Specialisations'!$B$6:$B$527,B42)</x:f>
        <x:v>10302900</x:v>
      </x:c>
      <x:c r="R42" s="392" t="n">
        <x:f>IF(M42=0,"",COUNTIFS('Specialisations'!$A$6:$A$527,A42,'Specialisations'!$B$6:$B$527,B42,'Specialisations'!$P$6:$P$527,"OK")/M42)</x:f>
        <x:v>1</x:v>
      </x:c>
      <x:c r="S42" s="494" t="n">
        <x:f>IF(Q42=0,"",SUMIFS('Specialisation Impact'!$K$19:$K$186,'Specialisation Impact'!$A$19:$A$186,A42,'Specialisation Impact'!$B$19:$B$186,B42))</x:f>
        <x:v>71.4</x:v>
      </x:c>
      <x:c r="T42" s="494" t="n">
        <x:f>IF(Q42=0,"",SUMIFS('Specialisation Impact'!$G$19:$G$186,'Specialisation Impact'!$A$19:$A$186,A42,'Specialisation Impact'!$B$19:$B$186,B42))</x:f>
        <x:v>-10.82</x:v>
      </x:c>
      <x:c r="U42" s="429" t="n">
        <x:f>IF(COUNTIFS('Specialisation Impact'!$A$19:$A$186,A42,'Specialisation Impact'!$B$19:$B$186,B42,'Specialisation Impact'!$S$19:$S$186,"&gt;0")=0,"",SUMIFS('Specialisation Impact'!$S$19:$S$186,'Specialisation Impact'!$A$19:$A$186,A42,'Specialisation Impact'!$B$19:$B$186,B42))</x:f>
        <x:v>35.324675324675326</x:v>
      </x:c>
      <x:c r="V42" s="429" t="n">
        <x:f>IF(COUNTIFS('Specialisation Impact'!$A$19:$A$186,A42,'Specialisation Impact'!$B$19:$B$186,B42,'Specialisation Impact'!$V$19:$V$186,"&gt;0")=0,"",SUMIFS('Specialisation Impact'!$V$19:$V$186,'Specialisation Impact'!$A$19:$A$186,A42,'Specialisation Impact'!$B$19:$B$186,B42))</x:f>
        <x:v>8.547008547008547</x:v>
      </x:c>
    </x:row>
    <x:row r="43" ht="45" customHeight="1">
      <x:c r="A43" s="43" t="str">
        <x:v>K91</x:v>
      </x:c>
      <x:c r="B43" s="43" t="str">
        <x:v>Skrapz</x:v>
      </x:c>
      <x:c r="C43" s="43" t="n">
        <x:v>171000</x:v>
      </x:c>
      <x:c r="D43" s="44" t="n">
        <x:v>3.7285000000000004</x:v>
      </x:c>
      <x:c r="E43" s="44" t="n">
        <x:v>3.1285000000000003</x:v>
      </x:c>
      <x:c r="F43" s="44" t="n">
        <x:v>3.6785</x:v>
      </x:c>
      <x:c r="G43" s="44" t="n">
        <x:v>0.4375</x:v>
      </x:c>
      <x:c r="H43" s="44" t="n">
        <x:v>-0.4375</x:v>
      </x:c>
      <x:c r="I43" s="30" t="str">
        <x:v>Destroyers (Lv 40) — Parry</x:v>
      </x:c>
      <x:c r="J43" s="30" t="str">
        <x:v>Elite bowmen (Lv 45) — Frost Arrow</x:v>
      </x:c>
      <x:c r="K43" s="30" t="str">
        <x:v>Eternal knights (Lv 50) — Thunder trample
Storm cavalry (Lv 43) — Mounted Archery</x:v>
      </x:c>
      <x:c r="L43" s="30" t="str">
        <x:v>Manglers (Lv 45) — Highly toxic</x:v>
      </x:c>
      <x:c r="M43" s="43" t="n">
        <x:v>5</x:v>
      </x:c>
      <x:c r="N43" s="43" t="str">
        <x:v>02:44.75</x:v>
      </x:c>
      <x:c r="O43" s="43" t="str">
        <x:v>02:44.75-02:48.00</x:v>
      </x:c>
      <x:c r="P43" s="43" t="str">
        <x:v>1000025188.mp4</x:v>
      </x:c>
      <x:c r="Q43" s="391" t="n">
        <x:f>SUMIFS('Specialisations'!$N$6:$N$527,'Specialisations'!$A$6:$A$527,A43,'Specialisations'!$B$6:$B$527,B43)</x:f>
        <x:v>24391500</x:v>
      </x:c>
      <x:c r="R43" s="392" t="n">
        <x:f>IF(M43=0,"",COUNTIFS('Specialisations'!$A$6:$A$527,A43,'Specialisations'!$B$6:$B$527,B43,'Specialisations'!$P$6:$P$527,"OK")/M43)</x:f>
        <x:v>1</x:v>
      </x:c>
      <x:c r="S43" s="494" t="n">
        <x:f>IF(Q43=0,"",SUMIFS('Specialisation Impact'!$K$19:$K$186,'Specialisation Impact'!$A$19:$A$186,A43,'Specialisation Impact'!$B$19:$B$186,B43))</x:f>
        <x:v>179.93999999999997</x:v>
      </x:c>
      <x:c r="T43" s="494" t="n">
        <x:f>IF(Q43=0,"",SUMIFS('Specialisation Impact'!$G$19:$G$186,'Specialisation Impact'!$A$19:$A$186,A43,'Specialisation Impact'!$B$19:$B$186,B43))</x:f>
        <x:v>-27.74</x:v>
      </x:c>
      <x:c r="U43" s="429" t="n">
        <x:f>IF(COUNTIFS('Specialisation Impact'!$A$19:$A$186,A43,'Specialisation Impact'!$B$19:$B$186,B43,'Specialisation Impact'!$S$19:$S$186,"&gt;0")=0,"",SUMIFS('Specialisation Impact'!$S$19:$S$186,'Specialisation Impact'!$A$19:$A$186,A43,'Specialisation Impact'!$B$19:$B$186,B43))</x:f>
        <x:v>93.8961038961039</x:v>
      </x:c>
      <x:c r="V43" s="429" t="n">
        <x:f>IF(COUNTIFS('Specialisation Impact'!$A$19:$A$186,A43,'Specialisation Impact'!$B$19:$B$186,B43,'Specialisation Impact'!$V$19:$V$186,"&gt;0")=0,"",SUMIFS('Specialisation Impact'!$V$19:$V$186,'Specialisation Impact'!$A$19:$A$186,A43,'Specialisation Impact'!$B$19:$B$186,B43))</x:f>
        <x:v>29.48717948717949</x:v>
      </x:c>
    </x:row>
    <x:row r="44" ht="45" customHeight="1">
      <x:c r="A44" s="43" t="str">
        <x:v>K91</x:v>
      </x:c>
      <x:c r="B44" s="43" t="str">
        <x:v>JustBlaze</x:v>
      </x:c>
      <x:c r="C44" s="43" t="n">
        <x:v>115000</x:v>
      </x:c>
      <x:c r="D44" s="44" t="n">
        <x:v>3.411</x:v>
      </x:c>
      <x:c r="E44" s="44" t="n">
        <x:v>3.0660000000000003</x:v>
      </x:c>
      <x:c r="F44" s="44" t="n">
        <x:v>3.1910000000000003</x:v>
      </x:c>
      <x:c r="G44" s="44" t="n">
        <x:v>0.415</x:v>
      </x:c>
      <x:c r="H44" s="44" t="n">
        <x:v>-0.415</x:v>
      </x:c>
      <x:c r="I44" s="30" t="str">
        <x:v>Destroyers (Lv 27) — Parry</x:v>
      </x:c>
      <x:c r="J44" s="30" t="str">
        <x:v>Not shown in recording</x:v>
      </x:c>
      <x:c r="K44" s="30" t="str">
        <x:v>Eternal knights (Lv 50) — Thunder trample
Storm cavalry (Lv 47) — Mounted Archery</x:v>
      </x:c>
      <x:c r="L44" s="30" t="str">
        <x:v>Not shown in recording</x:v>
      </x:c>
      <x:c r="M44" s="43" t="n">
        <x:v>3</x:v>
      </x:c>
      <x:c r="N44" s="43" t="str">
        <x:v>02:54.50</x:v>
      </x:c>
      <x:c r="O44" s="43" t="str">
        <x:v>02:54.50-02:56.25</x:v>
      </x:c>
      <x:c r="P44" s="43" t="str">
        <x:v>1000025188.mp4</x:v>
      </x:c>
      <x:c r="Q44" s="391" t="n">
        <x:f>SUMIFS('Specialisations'!$N$6:$N$527,'Specialisations'!$A$6:$A$527,A44,'Specialisations'!$B$6:$B$527,B44)</x:f>
        <x:v>16767900</x:v>
      </x:c>
      <x:c r="R44" s="392" t="n">
        <x:f>IF(M44=0,"",COUNTIFS('Specialisations'!$A$6:$A$527,A44,'Specialisations'!$B$6:$B$527,B44,'Specialisations'!$P$6:$P$527,"OK")/M44)</x:f>
        <x:v>1</x:v>
      </x:c>
      <x:c r="S44" s="494" t="n">
        <x:f>IF(Q44=0,"",SUMIFS('Specialisation Impact'!$K$19:$K$186,'Specialisation Impact'!$A$19:$A$186,A44,'Specialisation Impact'!$B$19:$B$186,B44))</x:f>
        <x:v>108.38</x:v>
      </x:c>
      <x:c r="T44" s="494" t="n">
        <x:f>IF(Q44=0,"",SUMIFS('Specialisation Impact'!$G$19:$G$186,'Specialisation Impact'!$A$19:$A$186,A44,'Specialisation Impact'!$B$19:$B$186,B44))</x:f>
        <x:v>-7.51</x:v>
      </x:c>
      <x:c r="U44" s="429" t="n">
        <x:f>IF(COUNTIFS('Specialisation Impact'!$A$19:$A$186,A44,'Specialisation Impact'!$B$19:$B$186,B44,'Specialisation Impact'!$S$19:$S$186,"&gt;0")=0,"",SUMIFS('Specialisation Impact'!$S$19:$S$186,'Specialisation Impact'!$A$19:$A$186,A44,'Specialisation Impact'!$B$19:$B$186,B44))</x:f>
        <x:v>65.1948051948052</x:v>
      </x:c>
      <x:c r="V44" s="429" t="n">
        <x:f>IF(COUNTIFS('Specialisation Impact'!$A$19:$A$186,A44,'Specialisation Impact'!$B$19:$B$186,B44,'Specialisation Impact'!$V$19:$V$186,"&gt;0")=0,"",SUMIFS('Specialisation Impact'!$V$19:$V$186,'Specialisation Impact'!$A$19:$A$186,A44,'Specialisation Impact'!$B$19:$B$186,B44))</x:f>
        <x:v>3.4188034188034186</x:v>
      </x:c>
    </x:row>
    <x:row r="45" ht="45" customHeight="1">
      <x:c r="A45" s="43" t="str">
        <x:v>K91</x:v>
      </x:c>
      <x:c r="B45" s="43" t="str">
        <x:v>KaladinTheHerald</x:v>
      </x:c>
      <x:c r="C45" s="43" t="n">
        <x:v>115000</x:v>
      </x:c>
      <x:c r="D45" s="44" t="n">
        <x:v>3.346</x:v>
      </x:c>
      <x:c r="E45" s="44" t="n">
        <x:v>2.7710000000000004</x:v>
      </x:c>
      <x:c r="F45" s="44" t="n">
        <x:v>3.3710000000000004</x:v>
      </x:c>
      <x:c r="G45" s="44" t="n">
        <x:v>0.415</x:v>
      </x:c>
      <x:c r="H45" s="44" t="n">
        <x:v>-0.475</x:v>
      </x:c>
      <x:c r="I45" s="30" t="str">
        <x:v>Destroyers (Lv 36) — Parry</x:v>
      </x:c>
      <x:c r="J45" s="30" t="str">
        <x:v>Not shown in recording</x:v>
      </x:c>
      <x:c r="K45" s="30" t="str">
        <x:v>Eternal knights (Lv 50) — Thunder trample
Storm cavalry (Lv 46) — Mounted Archery</x:v>
      </x:c>
      <x:c r="L45" s="30" t="str">
        <x:v>Not shown in recording</x:v>
      </x:c>
      <x:c r="M45" s="43" t="n">
        <x:v>3</x:v>
      </x:c>
      <x:c r="N45" s="43" t="str">
        <x:v>03:03.25</x:v>
      </x:c>
      <x:c r="O45" s="43" t="str">
        <x:v>03:03.25-03:06.00</x:v>
      </x:c>
      <x:c r="P45" s="43" t="str">
        <x:v>1000025188.mp4</x:v>
      </x:c>
      <x:c r="Q45" s="391" t="n">
        <x:f>SUMIFS('Specialisations'!$N$6:$N$527,'Specialisations'!$A$6:$A$527,A45,'Specialisations'!$B$6:$B$527,B45)</x:f>
        <x:v>16802900</x:v>
      </x:c>
      <x:c r="R45" s="392" t="n">
        <x:f>IF(M45=0,"",COUNTIFS('Specialisations'!$A$6:$A$527,A45,'Specialisations'!$B$6:$B$527,B45,'Specialisations'!$P$6:$P$527,"OK")/M45)</x:f>
        <x:v>1</x:v>
      </x:c>
      <x:c r="S45" s="494" t="n">
        <x:f>IF(Q45=0,"",SUMIFS('Specialisation Impact'!$K$19:$K$186,'Specialisation Impact'!$A$19:$A$186,A45,'Specialisation Impact'!$B$19:$B$186,B45))</x:f>
        <x:v>105.13</x:v>
      </x:c>
      <x:c r="T45" s="494" t="n">
        <x:f>IF(Q45=0,"",SUMIFS('Specialisation Impact'!$G$19:$G$186,'Specialisation Impact'!$A$19:$A$186,A45,'Specialisation Impact'!$B$19:$B$186,B45))</x:f>
        <x:v>-19.17</x:v>
      </x:c>
      <x:c r="U45" s="429" t="n">
        <x:f>IF(COUNTIFS('Specialisation Impact'!$A$19:$A$186,A45,'Specialisation Impact'!$B$19:$B$186,B45,'Specialisation Impact'!$S$19:$S$186,"&gt;0")=0,"",SUMIFS('Specialisation Impact'!$S$19:$S$186,'Specialisation Impact'!$A$19:$A$186,A45,'Specialisation Impact'!$B$19:$B$186,B45))</x:f>
        <x:v>62.72727272727273</x:v>
      </x:c>
      <x:c r="V45" s="429" t="n">
        <x:f>IF(COUNTIFS('Specialisation Impact'!$A$19:$A$186,A45,'Specialisation Impact'!$B$19:$B$186,B45,'Specialisation Impact'!$V$19:$V$186,"&gt;0")=0,"",SUMIFS('Specialisation Impact'!$V$19:$V$186,'Specialisation Impact'!$A$19:$A$186,A45,'Specialisation Impact'!$B$19:$B$186,B45))</x:f>
        <x:v>17.094017094017094</x:v>
      </x:c>
    </x:row>
    <x:row r="46" ht="45" customHeight="1">
      <x:c r="A46" s="43" t="str">
        <x:v>K91</x:v>
      </x:c>
      <x:c r="B46" s="43" t="str">
        <x:v>Crash</x:v>
      </x:c>
      <x:c r="C46" s="43" t="n">
        <x:v>86100</x:v>
      </x:c>
      <x:c r="D46" s="44" t="n">
        <x:v>2.8560000000000003</x:v>
      </x:c>
      <x:c r="E46" s="44" t="n">
        <x:v>2.471</x:v>
      </x:c>
      <x:c r="F46" s="44" t="n">
        <x:v>2.781</x:v>
      </x:c>
      <x:c r="G46" s="44" t="n">
        <x:v>0.4</x:v>
      </x:c>
      <x:c r="H46" s="44" t="n">
        <x:v>-0.39</x:v>
      </x:c>
      <x:c r="I46" s="30" t="str">
        <x:v>Destroyers (Lv 31) — Parry</x:v>
      </x:c>
      <x:c r="J46" s="30" t="str">
        <x:v>Not shown in recording</x:v>
      </x:c>
      <x:c r="K46" s="30" t="str">
        <x:v>Eternal knights (Lv 50) — Thunder trample
Storm cavalry (Lv 37) — Mounted Archery</x:v>
      </x:c>
      <x:c r="L46" s="30" t="str">
        <x:v>Not shown in recording</x:v>
      </x:c>
      <x:c r="M46" s="43" t="n">
        <x:v>3</x:v>
      </x:c>
      <x:c r="N46" s="43" t="str">
        <x:v>03:14.00</x:v>
      </x:c>
      <x:c r="O46" s="43" t="str">
        <x:v>03:14.00-03:16.25</x:v>
      </x:c>
      <x:c r="P46" s="43" t="str">
        <x:v>1000025188.mp4</x:v>
      </x:c>
      <x:c r="Q46" s="391" t="n">
        <x:f>SUMIFS('Specialisations'!$N$6:$N$527,'Specialisations'!$A$6:$A$527,A46,'Specialisations'!$B$6:$B$527,B46)</x:f>
        <x:v>12822900</x:v>
      </x:c>
      <x:c r="R46" s="392" t="n">
        <x:f>IF(M46=0,"",COUNTIFS('Specialisations'!$A$6:$A$527,A46,'Specialisations'!$B$6:$B$527,B46,'Specialisations'!$P$6:$P$527,"OK")/M46)</x:f>
        <x:v>1</x:v>
      </x:c>
      <x:c r="S46" s="494" t="n">
        <x:f>IF(Q46=0,"",SUMIFS('Specialisation Impact'!$K$19:$K$186,'Specialisation Impact'!$A$19:$A$186,A46,'Specialisation Impact'!$B$19:$B$186,B46))</x:f>
        <x:v>80.73</x:v>
      </x:c>
      <x:c r="T46" s="494" t="n">
        <x:f>IF(Q46=0,"",SUMIFS('Specialisation Impact'!$G$19:$G$186,'Specialisation Impact'!$A$19:$A$186,A46,'Specialisation Impact'!$B$19:$B$186,B46))</x:f>
        <x:v>-12.09</x:v>
      </x:c>
      <x:c r="U46" s="429" t="n">
        <x:f>IF(COUNTIFS('Specialisation Impact'!$A$19:$A$186,A46,'Specialisation Impact'!$B$19:$B$186,B46,'Specialisation Impact'!$S$19:$S$186,"&gt;0")=0,"",SUMIFS('Specialisation Impact'!$S$19:$S$186,'Specialisation Impact'!$A$19:$A$186,A46,'Specialisation Impact'!$B$19:$B$186,B46))</x:f>
        <x:v>43.37662337662337</x:v>
      </x:c>
      <x:c r="V46" s="429" t="n">
        <x:f>IF(COUNTIFS('Specialisation Impact'!$A$19:$A$186,A46,'Specialisation Impact'!$B$19:$B$186,B46,'Specialisation Impact'!$V$19:$V$186,"&gt;0")=0,"",SUMIFS('Specialisation Impact'!$V$19:$V$186,'Specialisation Impact'!$A$19:$A$186,A46,'Specialisation Impact'!$B$19:$B$186,B46))</x:f>
        <x:v>11.965811965811966</x:v>
      </x:c>
    </x:row>
    <x:row r="47" ht="45" customHeight="1">
      <x:c r="A47" s="43" t="str">
        <x:v>K91</x:v>
      </x:c>
      <x:c r="B47" s="43" t="str">
        <x:v>WindRunner</x:v>
      </x:c>
      <x:c r="C47" s="43" t="n">
        <x:v>78000</x:v>
      </x:c>
      <x:c r="D47" s="44" t="n">
        <x:v>3.1870999999999996</x:v>
      </x:c>
      <x:c r="E47" s="44" t="n">
        <x:v>2.3209999999999997</x:v>
      </x:c>
      <x:c r="F47" s="44" t="n">
        <x:v>2.546</x:v>
      </x:c>
      <x:c r="G47" s="44" t="n">
        <x:v>0.415</x:v>
      </x:c>
      <x:c r="H47" s="44" t="n">
        <x:v>-0.39</x:v>
      </x:c>
      <x:c r="I47" s="30" t="str">
        <x:v>Destroyers (Lv 35) — Parry</x:v>
      </x:c>
      <x:c r="J47" s="30" t="str">
        <x:v>Elite bowmen (Lv 50) — Frost Arrow
Elite (Lv 48) — Focus</x:v>
      </x:c>
      <x:c r="K47" s="30" t="str">
        <x:v>Not shown in recording</x:v>
      </x:c>
      <x:c r="L47" s="30" t="str">
        <x:v>Not shown in recording</x:v>
      </x:c>
      <x:c r="M47" s="43" t="n">
        <x:v>3</x:v>
      </x:c>
      <x:c r="N47" s="43" t="str">
        <x:v>03:23.75</x:v>
      </x:c>
      <x:c r="O47" s="43" t="str">
        <x:v>03:23.75-03:25.50</x:v>
      </x:c>
      <x:c r="P47" s="43" t="str">
        <x:v>1000025188.mp4</x:v>
      </x:c>
      <x:c r="Q47" s="391" t="n">
        <x:f>SUMIFS('Specialisations'!$N$6:$N$527,'Specialisations'!$A$6:$A$527,A47,'Specialisations'!$B$6:$B$527,B47)</x:f>
        <x:v>18592900</x:v>
      </x:c>
      <x:c r="R47" s="392" t="n">
        <x:f>IF(M47=0,"",COUNTIFS('Specialisations'!$A$6:$A$527,A47,'Specialisations'!$B$6:$B$527,B47,'Specialisations'!$P$6:$P$527,"OK")/M47)</x:f>
        <x:v>1</x:v>
      </x:c>
      <x:c r="S47" s="494" t="n">
        <x:f>IF(Q47=0,"",SUMIFS('Specialisation Impact'!$K$19:$K$186,'Specialisation Impact'!$A$19:$A$186,A47,'Specialisation Impact'!$B$19:$B$186,B47))</x:f>
        <x:v>111.74000000000001</x:v>
      </x:c>
      <x:c r="T47" s="494" t="n">
        <x:f>IF(Q47=0,"",SUMIFS('Specialisation Impact'!$G$19:$G$186,'Specialisation Impact'!$A$19:$A$186,A47,'Specialisation Impact'!$B$19:$B$186,B47))</x:f>
        <x:v>-17.66</x:v>
      </x:c>
      <x:c r="U47" s="429" t="n">
        <x:f>IF(COUNTIFS('Specialisation Impact'!$A$19:$A$186,A47,'Specialisation Impact'!$B$19:$B$186,B47,'Specialisation Impact'!$S$19:$S$186,"&gt;0")=0,"",SUMIFS('Specialisation Impact'!$S$19:$S$186,'Specialisation Impact'!$A$19:$A$186,A47,'Specialisation Impact'!$B$19:$B$186,B47))</x:f>
        <x:v>69.48051948051948</x:v>
      </x:c>
      <x:c r="V47" s="429" t="n">
        <x:f>IF(COUNTIFS('Specialisation Impact'!$A$19:$A$186,A47,'Specialisation Impact'!$B$19:$B$186,B47,'Specialisation Impact'!$V$19:$V$186,"&gt;0")=0,"",SUMIFS('Specialisation Impact'!$V$19:$V$186,'Specialisation Impact'!$A$19:$A$186,A47,'Specialisation Impact'!$B$19:$B$186,B47))</x:f>
        <x:v>15.811965811965813</x:v>
      </x:c>
    </x:row>
    <x:row r="48" ht="45" customHeight="1">
      <x:c r="A48" s="43" t="str">
        <x:v>K91</x:v>
      </x:c>
      <x:c r="B48" s="43" t="str">
        <x:v>•Scorpio•NM85</x:v>
      </x:c>
      <x:c r="C48" s="43" t="n">
        <x:v>60000</x:v>
      </x:c>
      <x:c r="D48" s="44" t="n">
        <x:v>3.3421</x:v>
      </x:c>
      <x:c r="E48" s="44" t="n">
        <x:v>2.421</x:v>
      </x:c>
      <x:c r="F48" s="44" t="n">
        <x:v>2.8510000000000004</x:v>
      </x:c>
      <x:c r="G48" s="44" t="n">
        <x:v>0.415</x:v>
      </x:c>
      <x:c r="H48" s="44" t="n">
        <x:v>-0.415</x:v>
      </x:c>
      <x:c r="I48" s="30" t="str">
        <x:v>Destroyers (Lv 30) — Parry</x:v>
      </x:c>
      <x:c r="J48" s="30" t="str">
        <x:v>Elite bowmen (Lv 47) — Frost Arrow
Elite (Lv 29) — Focus</x:v>
      </x:c>
      <x:c r="K48" s="30" t="str">
        <x:v>Not shown in recording</x:v>
      </x:c>
      <x:c r="L48" s="30" t="str">
        <x:v>Not shown in recording</x:v>
      </x:c>
      <x:c r="M48" s="43" t="n">
        <x:v>3</x:v>
      </x:c>
      <x:c r="N48" s="43" t="str">
        <x:v>03:32.75</x:v>
      </x:c>
      <x:c r="O48" s="43" t="str">
        <x:v>03:32.75-03:34.50</x:v>
      </x:c>
      <x:c r="P48" s="43" t="str">
        <x:v>1000025188.mp4</x:v>
      </x:c>
      <x:c r="Q48" s="391" t="n">
        <x:f>SUMIFS('Specialisations'!$N$6:$N$527,'Specialisations'!$A$6:$A$527,A48,'Specialisations'!$B$6:$B$527,B48)</x:f>
        <x:v>7352900</x:v>
      </x:c>
      <x:c r="R48" s="392" t="n">
        <x:f>IF(M48=0,"",COUNTIFS('Specialisations'!$A$6:$A$527,A48,'Specialisations'!$B$6:$B$527,B48,'Specialisations'!$P$6:$P$527,"OK")/M48)</x:f>
        <x:v>1</x:v>
      </x:c>
      <x:c r="S48" s="494" t="n">
        <x:f>IF(Q48=0,"",SUMIFS('Specialisation Impact'!$K$19:$K$186,'Specialisation Impact'!$A$19:$A$186,A48,'Specialisation Impact'!$B$19:$B$186,B48))</x:f>
        <x:v>57.38</x:v>
      </x:c>
      <x:c r="T48" s="494" t="n">
        <x:f>IF(Q48=0,"",SUMIFS('Specialisation Impact'!$G$19:$G$186,'Specialisation Impact'!$A$19:$A$186,A48,'Specialisation Impact'!$B$19:$B$186,B48))</x:f>
        <x:v>-10.82</x:v>
      </x:c>
      <x:c r="U48" s="429" t="n">
        <x:f>IF(COUNTIFS('Specialisation Impact'!$A$19:$A$186,A48,'Specialisation Impact'!$B$19:$B$186,B48,'Specialisation Impact'!$S$19:$S$186,"&gt;0")=0,"",SUMIFS('Specialisation Impact'!$S$19:$S$186,'Specialisation Impact'!$A$19:$A$186,A48,'Specialisation Impact'!$B$19:$B$186,B48))</x:f>
        <x:v>18.961038961038962</x:v>
      </x:c>
      <x:c r="V48" s="429" t="n">
        <x:f>IF(COUNTIFS('Specialisation Impact'!$A$19:$A$186,A48,'Specialisation Impact'!$B$19:$B$186,B48,'Specialisation Impact'!$V$19:$V$186,"&gt;0")=0,"",SUMIFS('Specialisation Impact'!$V$19:$V$186,'Specialisation Impact'!$A$19:$A$186,A48,'Specialisation Impact'!$B$19:$B$186,B48))</x:f>
        <x:v>8.547008547008547</x:v>
      </x:c>
    </x:row>
    <x:row r="49" ht="45" customHeight="1">
      <x:c r="A49" s="43" t="str">
        <x:v>K91</x:v>
      </x:c>
      <x:c r="B49" s="43" t="str">
        <x:v>•BigBoss•NM85</x:v>
      </x:c>
      <x:c r="C49" s="43" t="n">
        <x:v>57584</x:v>
      </x:c>
      <x:c r="D49" s="44" t="n">
        <x:v>3.5770999999999997</x:v>
      </x:c>
      <x:c r="E49" s="44" t="n">
        <x:v>2.426</x:v>
      </x:c>
      <x:c r="F49" s="44" t="n">
        <x:v>2.891</x:v>
      </x:c>
      <x:c r="G49" s="44" t="n">
        <x:v>0.415</x:v>
      </x:c>
      <x:c r="H49" s="44" t="n">
        <x:v>-0.415</x:v>
      </x:c>
      <x:c r="I49" s="30" t="str">
        <x:v>Destroyers (Lv 30) — Parry</x:v>
      </x:c>
      <x:c r="J49" s="30" t="str">
        <x:v>Elite bowmen (Lv 50) — Frost Arrow
Elite (Lv 33) — Focus</x:v>
      </x:c>
      <x:c r="K49" s="30" t="str">
        <x:v>Not shown in recording</x:v>
      </x:c>
      <x:c r="L49" s="30" t="str">
        <x:v>Not shown in recording</x:v>
      </x:c>
      <x:c r="M49" s="43" t="n">
        <x:v>3</x:v>
      </x:c>
      <x:c r="N49" s="43" t="str">
        <x:v>03:42.00</x:v>
      </x:c>
      <x:c r="O49" s="43" t="str">
        <x:v>03:42.00-03:43.75</x:v>
      </x:c>
      <x:c r="P49" s="43" t="str">
        <x:v>1000025188.mp4</x:v>
      </x:c>
      <x:c r="Q49" s="391" t="n">
        <x:f>SUMIFS('Specialisations'!$N$6:$N$527,'Specialisations'!$A$6:$A$527,A49,'Specialisations'!$B$6:$B$527,B49)</x:f>
        <x:v>12182900</x:v>
      </x:c>
      <x:c r="R49" s="392" t="n">
        <x:f>IF(M49=0,"",COUNTIFS('Specialisations'!$A$6:$A$527,A49,'Specialisations'!$B$6:$B$527,B49,'Specialisations'!$P$6:$P$527,"OK")/M49)</x:f>
        <x:v>1</x:v>
      </x:c>
      <x:c r="S49" s="494" t="n">
        <x:f>IF(Q49=0,"",SUMIFS('Specialisation Impact'!$K$19:$K$186,'Specialisation Impact'!$A$19:$A$186,A49,'Specialisation Impact'!$B$19:$B$186,B49))</x:f>
        <x:v>74.78</x:v>
      </x:c>
      <x:c r="T49" s="494" t="n">
        <x:f>IF(Q49=0,"",SUMIFS('Specialisation Impact'!$G$19:$G$186,'Specialisation Impact'!$A$19:$A$186,A49,'Specialisation Impact'!$B$19:$B$186,B49))</x:f>
        <x:v>-10.82</x:v>
      </x:c>
      <x:c r="U49" s="429" t="n">
        <x:f>IF(COUNTIFS('Specialisation Impact'!$A$19:$A$186,A49,'Specialisation Impact'!$B$19:$B$186,B49,'Specialisation Impact'!$S$19:$S$186,"&gt;0")=0,"",SUMIFS('Specialisation Impact'!$S$19:$S$186,'Specialisation Impact'!$A$19:$A$186,A49,'Specialisation Impact'!$B$19:$B$186,B49))</x:f>
        <x:v>40.259740259740255</x:v>
      </x:c>
      <x:c r="V49" s="429" t="n">
        <x:f>IF(COUNTIFS('Specialisation Impact'!$A$19:$A$186,A49,'Specialisation Impact'!$B$19:$B$186,B49,'Specialisation Impact'!$V$19:$V$186,"&gt;0")=0,"",SUMIFS('Specialisation Impact'!$V$19:$V$186,'Specialisation Impact'!$A$19:$A$186,A49,'Specialisation Impact'!$B$19:$B$186,B49))</x:f>
        <x:v>8.547008547008547</x:v>
      </x:c>
    </x:row>
    <x:row r="50" ht="45" customHeight="1">
      <x:c r="A50" s="43" t="str">
        <x:v>K116</x:v>
      </x:c>
      <x:c r="B50" s="43" t="str">
        <x:v>Jesse</x:v>
      </x:c>
      <x:c r="C50" s="43" t="n">
        <x:v>212081</x:v>
      </x:c>
      <x:c r="D50" s="44" t="n">
        <x:v>4.891</x:v>
      </x:c>
      <x:c r="E50" s="44" t="n">
        <x:v>3.7285000000000004</x:v>
      </x:c>
      <x:c r="F50" s="44" t="n">
        <x:v>4.0785</x:v>
      </x:c>
      <x:c r="G50" s="44" t="n">
        <x:v>0.475</x:v>
      </x:c>
      <x:c r="H50" s="44" t="n">
        <x:v>-0.4375</x:v>
      </x:c>
      <x:c r="I50" s="30" t="str">
        <x:v>Destroyers (Lv 50) — Parry</x:v>
      </x:c>
      <x:c r="J50" s="30" t="str">
        <x:v>Elite bowmen (Lv 43) — Frost Arrow</x:v>
      </x:c>
      <x:c r="K50" s="30" t="str">
        <x:v>Eternal knights (Lv 50) — Thunder trample
Storm cavalry (Lv 46) — Mounted Archery</x:v>
      </x:c>
      <x:c r="L50" s="30" t="str">
        <x:v>Manglers (Lv 40) — Highly toxic
Guardian siege (Lv 24) — Dragonhide</x:v>
      </x:c>
      <x:c r="M50" s="43" t="n">
        <x:v>6</x:v>
      </x:c>
      <x:c r="N50" s="43" t="str">
        <x:v>00:10.75</x:v>
      </x:c>
      <x:c r="O50" s="43" t="str">
        <x:v>00:10.75-00:13.75</x:v>
      </x:c>
      <x:c r="P50" s="43" t="str">
        <x:v>1000025189.mp4</x:v>
      </x:c>
      <x:c r="Q50" s="391" t="n">
        <x:f>SUMIFS('Specialisations'!$N$6:$N$527,'Specialisations'!$A$6:$A$527,A50,'Specialisations'!$B$6:$B$527,B50)</x:f>
        <x:v>31530800</x:v>
      </x:c>
      <x:c r="R50" s="392" t="n">
        <x:f>IF(M50=0,"",COUNTIFS('Specialisations'!$A$6:$A$527,A50,'Specialisations'!$B$6:$B$527,B50,'Specialisations'!$P$6:$P$527,"OK")/M50)</x:f>
        <x:v>1</x:v>
      </x:c>
      <x:c r="S50" s="494" t="n">
        <x:f>IF(Q50=0,"",SUMIFS('Specialisation Impact'!$K$19:$K$186,'Specialisation Impact'!$A$19:$A$186,A50,'Specialisation Impact'!$B$19:$B$186,B50))</x:f>
        <x:v>174.29</x:v>
      </x:c>
      <x:c r="T50" s="494" t="n">
        <x:f>IF(Q50=0,"",SUMIFS('Specialisation Impact'!$G$19:$G$186,'Specialisation Impact'!$A$19:$A$186,A50,'Specialisation Impact'!$B$19:$B$186,B50))</x:f>
        <x:v>-60</x:v>
      </x:c>
      <x:c r="U50" s="429" t="n">
        <x:f>IF(COUNTIFS('Specialisation Impact'!$A$19:$A$186,A50,'Specialisation Impact'!$B$19:$B$186,B50,'Specialisation Impact'!$S$19:$S$186,"&gt;0")=0,"",SUMIFS('Specialisation Impact'!$S$19:$S$186,'Specialisation Impact'!$A$19:$A$186,A50,'Specialisation Impact'!$B$19:$B$186,B50))</x:f>
        <x:v>91.68831168831169</x:v>
      </x:c>
      <x:c r="V50" s="429" t="n">
        <x:f>IF(COUNTIFS('Specialisation Impact'!$A$19:$A$186,A50,'Specialisation Impact'!$B$19:$B$186,B50,'Specialisation Impact'!$V$19:$V$186,"&gt;0")=0,"",SUMIFS('Specialisation Impact'!$V$19:$V$186,'Specialisation Impact'!$A$19:$A$186,A50,'Specialisation Impact'!$B$19:$B$186,B50))</x:f>
        <x:v>93.16239316239316</x:v>
      </x:c>
    </x:row>
    <x:row r="51" ht="45" customHeight="1">
      <x:c r="A51" s="43" t="str">
        <x:v>K116</x:v>
      </x:c>
      <x:c r="B51" s="43" t="str">
        <x:v>逍遥大官人</x:v>
      </x:c>
      <x:c r="C51" s="43" t="n">
        <x:v>60000</x:v>
      </x:c>
      <x:c r="D51" s="44" t="n">
        <x:v>2.736</x:v>
      </x:c>
      <x:c r="E51" s="44" t="n">
        <x:v>2.4459999999999997</x:v>
      </x:c>
      <x:c r="F51" s="44" t="n">
        <x:v>2.7560000000000002</x:v>
      </x:c>
      <x:c r="G51" s="44" t="n">
        <x:v>0.4</x:v>
      </x:c>
      <x:c r="H51" s="44" t="n">
        <x:v>-0.375</x:v>
      </x:c>
      <x:c r="I51" s="30" t="str">
        <x:v>Destroyers (Lv 45) — Parry</x:v>
      </x:c>
      <x:c r="J51" s="30" t="str">
        <x:v>Not shown in recording</x:v>
      </x:c>
      <x:c r="K51" s="30" t="str">
        <x:v>Eternal knights (Lv 29) — Thunder trample
Storm cavalry (Lv 20) — Mounted Archery</x:v>
      </x:c>
      <x:c r="L51" s="30" t="str">
        <x:v>Not shown in recording</x:v>
      </x:c>
      <x:c r="M51" s="43" t="n">
        <x:v>3</x:v>
      </x:c>
      <x:c r="N51" s="43" t="str">
        <x:v>00:21.50</x:v>
      </x:c>
      <x:c r="O51" s="43" t="str">
        <x:v>00:21.50-00:24.25</x:v>
      </x:c>
      <x:c r="P51" s="43" t="str">
        <x:v>1000025189.mp4</x:v>
      </x:c>
      <x:c r="Q51" s="391" t="n">
        <x:f>SUMIFS('Specialisations'!$N$6:$N$527,'Specialisations'!$A$6:$A$527,A51,'Specialisations'!$B$6:$B$527,B51)</x:f>
        <x:v>5162900</x:v>
      </x:c>
      <x:c r="R51" s="392" t="n">
        <x:f>IF(M51=0,"",COUNTIFS('Specialisations'!$A$6:$A$527,A51,'Specialisations'!$B$6:$B$527,B51,'Specialisations'!$P$6:$P$527,"OK")/M51)</x:f>
        <x:v>1</x:v>
      </x:c>
      <x:c r="S51" s="494" t="n">
        <x:f>IF(Q51=0,"",SUMIFS('Specialisation Impact'!$K$19:$K$186,'Specialisation Impact'!$A$19:$A$186,A51,'Specialisation Impact'!$B$19:$B$186,B51))</x:f>
        <x:v>12</x:v>
      </x:c>
      <x:c r="T51" s="494" t="n">
        <x:f>IF(Q51=0,"",SUMIFS('Specialisation Impact'!$G$19:$G$186,'Specialisation Impact'!$A$19:$A$186,A51,'Specialisation Impact'!$B$19:$B$186,B51))</x:f>
        <x:v>-41.98</x:v>
      </x:c>
      <x:c r="U51" s="429" t="n">
        <x:f>IF(COUNTIFS('Specialisation Impact'!$A$19:$A$186,A51,'Specialisation Impact'!$B$19:$B$186,B51,'Specialisation Impact'!$S$19:$S$186,"&gt;0")=0,"",SUMIFS('Specialisation Impact'!$S$19:$S$186,'Specialisation Impact'!$A$19:$A$186,A51,'Specialisation Impact'!$B$19:$B$186,B51))</x:f>
        <x:v>0.6493506493506493</x:v>
      </x:c>
      <x:c r="V51" s="429" t="n">
        <x:f>IF(COUNTIFS('Specialisation Impact'!$A$19:$A$186,A51,'Specialisation Impact'!$B$19:$B$186,B51,'Specialisation Impact'!$V$19:$V$186,"&gt;0")=0,"",SUMIFS('Specialisation Impact'!$V$19:$V$186,'Specialisation Impact'!$A$19:$A$186,A51,'Specialisation Impact'!$B$19:$B$186,B51))</x:f>
        <x:v>60.25641025641025</x:v>
      </x:c>
    </x:row>
    <x:row r="52" ht="45" customHeight="1">
      <x:c r="A52" s="43" t="str">
        <x:v>K116</x:v>
      </x:c>
      <x:c r="B52" s="43" t="str">
        <x:v>苦瓜大王</x:v>
      </x:c>
      <x:c r="C52" s="43" t="n">
        <x:v>130000</x:v>
      </x:c>
      <x:c r="D52" s="44" t="n">
        <x:v>3.4935</x:v>
      </x:c>
      <x:c r="E52" s="44" t="n">
        <x:v>3.2510000000000003</x:v>
      </x:c>
      <x:c r="F52" s="44" t="n">
        <x:v>3.5610000000000004</x:v>
      </x:c>
      <x:c r="G52" s="44" t="n">
        <x:v>0.4375</x:v>
      </x:c>
      <x:c r="H52" s="44" t="n">
        <x:v>-0.415</x:v>
      </x:c>
      <x:c r="I52" s="30" t="str">
        <x:v>Destroyers (Lv 50) — Parry</x:v>
      </x:c>
      <x:c r="J52" s="30" t="str">
        <x:v>Elite bowmen (Lv 41) — Frost Arrow</x:v>
      </x:c>
      <x:c r="K52" s="30" t="str">
        <x:v>Eternal knights (Lv 42) — Thunder trample</x:v>
      </x:c>
      <x:c r="L52" s="30" t="str">
        <x:v>Not shown in recording</x:v>
      </x:c>
      <x:c r="M52" s="43" t="n">
        <x:v>3</x:v>
      </x:c>
      <x:c r="N52" s="43" t="str">
        <x:v>00:33.50</x:v>
      </x:c>
      <x:c r="O52" s="43" t="str">
        <x:v>00:33.50-00:35.50</x:v>
      </x:c>
      <x:c r="P52" s="43" t="str">
        <x:v>1000025189.mp4</x:v>
      </x:c>
      <x:c r="Q52" s="391" t="n">
        <x:f>SUMIFS('Specialisations'!$N$6:$N$527,'Specialisations'!$A$6:$A$527,A52,'Specialisations'!$B$6:$B$527,B52)</x:f>
        <x:v>15702900</x:v>
      </x:c>
      <x:c r="R52" s="392" t="n">
        <x:f>IF(M52=0,"",COUNTIFS('Specialisations'!$A$6:$A$527,A52,'Specialisations'!$B$6:$B$527,B52,'Specialisations'!$P$6:$P$527,"OK")/M52)</x:f>
        <x:v>1</x:v>
      </x:c>
      <x:c r="S52" s="494" t="n">
        <x:f>IF(Q52=0,"",SUMIFS('Specialisation Impact'!$K$19:$K$186,'Specialisation Impact'!$A$19:$A$186,A52,'Specialisation Impact'!$B$19:$B$186,B52))</x:f>
        <x:v>63.510000000000005</x:v>
      </x:c>
      <x:c r="T52" s="494" t="n">
        <x:f>IF(Q52=0,"",SUMIFS('Specialisation Impact'!$G$19:$G$186,'Specialisation Impact'!$A$19:$A$186,A52,'Specialisation Impact'!$B$19:$B$186,B52))</x:f>
        <x:v>-60</x:v>
      </x:c>
      <x:c r="U52" s="429" t="n">
        <x:f>IF(COUNTIFS('Specialisation Impact'!$A$19:$A$186,A52,'Specialisation Impact'!$B$19:$B$186,B52,'Specialisation Impact'!$S$19:$S$186,"&gt;0")=0,"",SUMIFS('Specialisation Impact'!$S$19:$S$186,'Specialisation Impact'!$A$19:$A$186,A52,'Specialisation Impact'!$B$19:$B$186,B52))</x:f>
        <x:v>26.233766233766236</x:v>
      </x:c>
      <x:c r="V52" s="429" t="n">
        <x:f>IF(COUNTIFS('Specialisation Impact'!$A$19:$A$186,A52,'Specialisation Impact'!$B$19:$B$186,B52,'Specialisation Impact'!$V$19:$V$186,"&gt;0")=0,"",SUMIFS('Specialisation Impact'!$V$19:$V$186,'Specialisation Impact'!$A$19:$A$186,A52,'Specialisation Impact'!$B$19:$B$186,B52))</x:f>
        <x:v>93.16239316239316</x:v>
      </x:c>
    </x:row>
    <x:row r="53" ht="45" customHeight="1">
      <x:c r="A53" s="43" t="str">
        <x:v>K116</x:v>
      </x:c>
      <x:c r="B53" s="43" t="str">
        <x:v>Derek</x:v>
      </x:c>
      <x:c r="C53" s="43" t="n">
        <x:v>80000</x:v>
      </x:c>
      <x:c r="D53" s="44" t="n">
        <x:v>3.161</x:v>
      </x:c>
      <x:c r="E53" s="44" t="n">
        <x:v>2.641</x:v>
      </x:c>
      <x:c r="F53" s="44" t="n">
        <x:v>2.951</x:v>
      </x:c>
      <x:c r="G53" s="44" t="n">
        <x:v>0.415</x:v>
      </x:c>
      <x:c r="H53" s="44" t="n">
        <x:v>-0.415</x:v>
      </x:c>
      <x:c r="I53" s="30" t="str">
        <x:v>Not shown in recording</x:v>
      </x:c>
      <x:c r="J53" s="30" t="str">
        <x:v>Not shown in recording</x:v>
      </x:c>
      <x:c r="K53" s="30" t="str">
        <x:v>Not shown in recording</x:v>
      </x:c>
      <x:c r="L53" s="30" t="str">
        <x:v>Not shown in recording</x:v>
      </x:c>
      <x:c r="M53" s="43" t="n">
        <x:v>0</x:v>
      </x:c>
      <x:c r="N53" s="43" t="str">
        <x:v>00:41.75</x:v>
      </x:c>
      <x:c r="O53" s="43" t="str">
        <x:v>00:41.75-00:43.50</x:v>
      </x:c>
      <x:c r="P53" s="43" t="str">
        <x:v>1000025189.mp4</x:v>
      </x:c>
      <x:c r="Q53" s="391" t="n">
        <x:f>SUMIFS('Specialisations'!$N$6:$N$527,'Specialisations'!$A$6:$A$527,A53,'Specialisations'!$B$6:$B$527,B53)</x:f>
        <x:v>0</x:v>
      </x:c>
      <x:c r="R53" s="392" t="str">
        <x:f>IF(M53=0,"",COUNTIFS('Specialisations'!$A$6:$A$527,A53,'Specialisations'!$B$6:$B$527,B53,'Specialisations'!$P$6:$P$527,"OK")/M53)</x:f>
      </x:c>
      <x:c r="S53" s="494" t="str">
        <x:f>IF(Q53=0,"",SUMIFS('Specialisation Impact'!$K$19:$K$186,'Specialisation Impact'!$A$19:$A$186,A53,'Specialisation Impact'!$B$19:$B$186,B53))</x:f>
      </x:c>
      <x:c r="T53" s="494" t="str">
        <x:f>IF(Q53=0,"",SUMIFS('Specialisation Impact'!$G$19:$G$186,'Specialisation Impact'!$A$19:$A$186,A53,'Specialisation Impact'!$B$19:$B$186,B53))</x:f>
      </x:c>
      <x:c r="U53" s="429" t="str">
        <x:f>IF(COUNTIFS('Specialisation Impact'!$A$19:$A$186,A53,'Specialisation Impact'!$B$19:$B$186,B53,'Specialisation Impact'!$S$19:$S$186,"&gt;0")=0,"",SUMIFS('Specialisation Impact'!$S$19:$S$186,'Specialisation Impact'!$A$19:$A$186,A53,'Specialisation Impact'!$B$19:$B$186,B53))</x:f>
      </x:c>
      <x:c r="V53" s="429" t="str">
        <x:f>IF(COUNTIFS('Specialisation Impact'!$A$19:$A$186,A53,'Specialisation Impact'!$B$19:$B$186,B53,'Specialisation Impact'!$V$19:$V$186,"&gt;0")=0,"",SUMIFS('Specialisation Impact'!$V$19:$V$186,'Specialisation Impact'!$A$19:$A$186,A53,'Specialisation Impact'!$B$19:$B$186,B53))</x:f>
      </x:c>
    </x:row>
    <x:row r="54" ht="45" customHeight="1">
      <x:c r="A54" s="43" t="str">
        <x:v>K116</x:v>
      </x:c>
      <x:c r="B54" s="43" t="str">
        <x:v>陶渊明</x:v>
      </x:c>
      <x:c r="C54" s="43" t="n">
        <x:v>50000</x:v>
      </x:c>
      <x:c r="D54" s="44" t="n">
        <x:v>2.681</x:v>
      </x:c>
      <x:c r="E54" s="44" t="n">
        <x:v>2.296</x:v>
      </x:c>
      <x:c r="F54" s="44" t="n">
        <x:v>2.616</x:v>
      </x:c>
      <x:c r="G54" s="44" t="n">
        <x:v>0.375</x:v>
      </x:c>
      <x:c r="H54" s="44" t="n">
        <x:v>-0.39</x:v>
      </x:c>
      <x:c r="I54" s="30" t="str">
        <x:v>Not shown in recording</x:v>
      </x:c>
      <x:c r="J54" s="30" t="str">
        <x:v>Not shown in recording</x:v>
      </x:c>
      <x:c r="K54" s="30" t="str">
        <x:v>Not shown in recording</x:v>
      </x:c>
      <x:c r="L54" s="30" t="str">
        <x:v>Not shown in recording</x:v>
      </x:c>
      <x:c r="M54" s="43" t="n">
        <x:v>0</x:v>
      </x:c>
      <x:c r="N54" s="43" t="str">
        <x:v>00:49.00</x:v>
      </x:c>
      <x:c r="O54" s="43" t="str">
        <x:v>00:49.00-00:50.75</x:v>
      </x:c>
      <x:c r="P54" s="43" t="str">
        <x:v>1000025189.mp4</x:v>
      </x:c>
      <x:c r="Q54" s="391" t="n">
        <x:f>SUMIFS('Specialisations'!$N$6:$N$527,'Specialisations'!$A$6:$A$527,A54,'Specialisations'!$B$6:$B$527,B54)</x:f>
        <x:v>0</x:v>
      </x:c>
      <x:c r="R54" s="392" t="str">
        <x:f>IF(M54=0,"",COUNTIFS('Specialisations'!$A$6:$A$527,A54,'Specialisations'!$B$6:$B$527,B54,'Specialisations'!$P$6:$P$527,"OK")/M54)</x:f>
      </x:c>
      <x:c r="S54" s="494" t="str">
        <x:f>IF(Q54=0,"",SUMIFS('Specialisation Impact'!$K$19:$K$186,'Specialisation Impact'!$A$19:$A$186,A54,'Specialisation Impact'!$B$19:$B$186,B54))</x:f>
      </x:c>
      <x:c r="T54" s="494" t="str">
        <x:f>IF(Q54=0,"",SUMIFS('Specialisation Impact'!$G$19:$G$186,'Specialisation Impact'!$A$19:$A$186,A54,'Specialisation Impact'!$B$19:$B$186,B54))</x:f>
      </x:c>
      <x:c r="U54" s="429" t="str">
        <x:f>IF(COUNTIFS('Specialisation Impact'!$A$19:$A$186,A54,'Specialisation Impact'!$B$19:$B$186,B54,'Specialisation Impact'!$S$19:$S$186,"&gt;0")=0,"",SUMIFS('Specialisation Impact'!$S$19:$S$186,'Specialisation Impact'!$A$19:$A$186,A54,'Specialisation Impact'!$B$19:$B$186,B54))</x:f>
      </x:c>
      <x:c r="V54" s="429" t="str">
        <x:f>IF(COUNTIFS('Specialisation Impact'!$A$19:$A$186,A54,'Specialisation Impact'!$B$19:$B$186,B54,'Specialisation Impact'!$V$19:$V$186,"&gt;0")=0,"",SUMIFS('Specialisation Impact'!$V$19:$V$186,'Specialisation Impact'!$A$19:$A$186,A54,'Specialisation Impact'!$B$19:$B$186,B54))</x:f>
      </x:c>
    </x:row>
    <x:row r="55" ht="45" customHeight="1">
      <x:c r="A55" s="43" t="str">
        <x:v>K116</x:v>
      </x:c>
      <x:c r="B55" s="43" t="str">
        <x:v>开始摆烂</x:v>
      </x:c>
      <x:c r="C55" s="43" t="n">
        <x:v>70000</x:v>
      </x:c>
      <x:c r="D55" s="44" t="n">
        <x:v>2.696</x:v>
      </x:c>
      <x:c r="E55" s="44" t="n">
        <x:v>2.136</x:v>
      </x:c>
      <x:c r="F55" s="44" t="n">
        <x:v>2.9160000000000004</x:v>
      </x:c>
      <x:c r="G55" s="44" t="n">
        <x:v>0.415</x:v>
      </x:c>
      <x:c r="H55" s="44" t="n">
        <x:v>-0.415</x:v>
      </x:c>
      <x:c r="I55" s="30" t="str">
        <x:v>Not shown in recording</x:v>
      </x:c>
      <x:c r="J55" s="30" t="str">
        <x:v>Not shown in recording</x:v>
      </x:c>
      <x:c r="K55" s="30" t="str">
        <x:v>Not shown in recording</x:v>
      </x:c>
      <x:c r="L55" s="30" t="str">
        <x:v>Not shown in recording</x:v>
      </x:c>
      <x:c r="M55" s="43" t="n">
        <x:v>0</x:v>
      </x:c>
      <x:c r="N55" s="43" t="str">
        <x:v>00:55.50</x:v>
      </x:c>
      <x:c r="O55" s="43" t="str">
        <x:v>00:55.50-00:57.25</x:v>
      </x:c>
      <x:c r="P55" s="43" t="str">
        <x:v>1000025189.mp4</x:v>
      </x:c>
      <x:c r="Q55" s="391" t="n">
        <x:f>SUMIFS('Specialisations'!$N$6:$N$527,'Specialisations'!$A$6:$A$527,A55,'Specialisations'!$B$6:$B$527,B55)</x:f>
        <x:v>0</x:v>
      </x:c>
      <x:c r="R55" s="392" t="str">
        <x:f>IF(M55=0,"",COUNTIFS('Specialisations'!$A$6:$A$527,A55,'Specialisations'!$B$6:$B$527,B55,'Specialisations'!$P$6:$P$527,"OK")/M55)</x:f>
      </x:c>
      <x:c r="S55" s="494" t="str">
        <x:f>IF(Q55=0,"",SUMIFS('Specialisation Impact'!$K$19:$K$186,'Specialisation Impact'!$A$19:$A$186,A55,'Specialisation Impact'!$B$19:$B$186,B55))</x:f>
      </x:c>
      <x:c r="T55" s="494" t="str">
        <x:f>IF(Q55=0,"",SUMIFS('Specialisation Impact'!$G$19:$G$186,'Specialisation Impact'!$A$19:$A$186,A55,'Specialisation Impact'!$B$19:$B$186,B55))</x:f>
      </x:c>
      <x:c r="U55" s="429" t="str">
        <x:f>IF(COUNTIFS('Specialisation Impact'!$A$19:$A$186,A55,'Specialisation Impact'!$B$19:$B$186,B55,'Specialisation Impact'!$S$19:$S$186,"&gt;0")=0,"",SUMIFS('Specialisation Impact'!$S$19:$S$186,'Specialisation Impact'!$A$19:$A$186,A55,'Specialisation Impact'!$B$19:$B$186,B55))</x:f>
      </x:c>
      <x:c r="V55" s="429" t="str">
        <x:f>IF(COUNTIFS('Specialisation Impact'!$A$19:$A$186,A55,'Specialisation Impact'!$B$19:$B$186,B55,'Specialisation Impact'!$V$19:$V$186,"&gt;0")=0,"",SUMIFS('Specialisation Impact'!$V$19:$V$186,'Specialisation Impact'!$A$19:$A$186,A55,'Specialisation Impact'!$B$19:$B$186,B55))</x:f>
      </x:c>
    </x:row>
    <x:row r="56" ht="45" customHeight="1">
      <x:c r="A56" s="43" t="str">
        <x:v>K116</x:v>
      </x:c>
      <x:c r="B56" s="43" t="str">
        <x:v>山君</x:v>
      </x:c>
      <x:c r="C56" s="43" t="n">
        <x:v>80000</x:v>
      </x:c>
      <x:c r="D56" s="44" t="n">
        <x:v>3.181</x:v>
      </x:c>
      <x:c r="E56" s="44" t="n">
        <x:v>2.8560000000000003</x:v>
      </x:c>
      <x:c r="F56" s="44" t="n">
        <x:v>3.056</x:v>
      </x:c>
      <x:c r="G56" s="44" t="n">
        <x:v>0.415</x:v>
      </x:c>
      <x:c r="H56" s="44" t="n">
        <x:v>-0.415</x:v>
      </x:c>
      <x:c r="I56" s="30" t="str">
        <x:v>Not shown in recording</x:v>
      </x:c>
      <x:c r="J56" s="30" t="str">
        <x:v>Not shown in recording</x:v>
      </x:c>
      <x:c r="K56" s="30" t="str">
        <x:v>Not shown in recording</x:v>
      </x:c>
      <x:c r="L56" s="30" t="str">
        <x:v>Not shown in recording</x:v>
      </x:c>
      <x:c r="M56" s="43" t="n">
        <x:v>0</x:v>
      </x:c>
      <x:c r="N56" s="43" t="str">
        <x:v>01:06.50</x:v>
      </x:c>
      <x:c r="O56" s="43" t="str">
        <x:v>01:06.50-01:08.25</x:v>
      </x:c>
      <x:c r="P56" s="43" t="str">
        <x:v>1000025189.mp4</x:v>
      </x:c>
      <x:c r="Q56" s="391" t="n">
        <x:f>SUMIFS('Specialisations'!$N$6:$N$527,'Specialisations'!$A$6:$A$527,A56,'Specialisations'!$B$6:$B$527,B56)</x:f>
        <x:v>0</x:v>
      </x:c>
      <x:c r="R56" s="392" t="str">
        <x:f>IF(M56=0,"",COUNTIFS('Specialisations'!$A$6:$A$527,A56,'Specialisations'!$B$6:$B$527,B56,'Specialisations'!$P$6:$P$527,"OK")/M56)</x:f>
      </x:c>
      <x:c r="S56" s="494" t="str">
        <x:f>IF(Q56=0,"",SUMIFS('Specialisation Impact'!$K$19:$K$186,'Specialisation Impact'!$A$19:$A$186,A56,'Specialisation Impact'!$B$19:$B$186,B56))</x:f>
      </x:c>
      <x:c r="T56" s="494" t="str">
        <x:f>IF(Q56=0,"",SUMIFS('Specialisation Impact'!$G$19:$G$186,'Specialisation Impact'!$A$19:$A$186,A56,'Specialisation Impact'!$B$19:$B$186,B56))</x:f>
      </x:c>
      <x:c r="U56" s="429" t="str">
        <x:f>IF(COUNTIFS('Specialisation Impact'!$A$19:$A$186,A56,'Specialisation Impact'!$B$19:$B$186,B56,'Specialisation Impact'!$S$19:$S$186,"&gt;0")=0,"",SUMIFS('Specialisation Impact'!$S$19:$S$186,'Specialisation Impact'!$A$19:$A$186,A56,'Specialisation Impact'!$B$19:$B$186,B56))</x:f>
      </x:c>
      <x:c r="V56" s="429" t="str">
        <x:f>IF(COUNTIFS('Specialisation Impact'!$A$19:$A$186,A56,'Specialisation Impact'!$B$19:$B$186,B56,'Specialisation Impact'!$V$19:$V$186,"&gt;0")=0,"",SUMIFS('Specialisation Impact'!$V$19:$V$186,'Specialisation Impact'!$A$19:$A$186,A56,'Specialisation Impact'!$B$19:$B$186,B56))</x:f>
      </x:c>
    </x:row>
    <x:row r="57" ht="45" customHeight="1">
      <x:c r="A57" s="43" t="str">
        <x:v>K116</x:v>
      </x:c>
      <x:c r="B57" s="43" t="str">
        <x:v>汰需尚青</x:v>
      </x:c>
      <x:c r="C57" s="43" t="n">
        <x:v>156000</x:v>
      </x:c>
      <x:c r="D57" s="44" t="n">
        <x:v>3.9285</x:v>
      </x:c>
      <x:c r="E57" s="44" t="n">
        <x:v>3.9285</x:v>
      </x:c>
      <x:c r="F57" s="44" t="n">
        <x:v>4.3285</x:v>
      </x:c>
      <x:c r="G57" s="44" t="n">
        <x:v>0.4375</x:v>
      </x:c>
      <x:c r="H57" s="44" t="n">
        <x:v>-0.4375</x:v>
      </x:c>
      <x:c r="I57" s="30" t="str">
        <x:v>Not shown in recording</x:v>
      </x:c>
      <x:c r="J57" s="30" t="str">
        <x:v>Not shown in recording</x:v>
      </x:c>
      <x:c r="K57" s="30" t="str">
        <x:v>Eternal knights (Lv 50) — Thunder trample</x:v>
      </x:c>
      <x:c r="L57" s="30" t="str">
        <x:v>Not shown in recording</x:v>
      </x:c>
      <x:c r="M57" s="43" t="n">
        <x:v>1</x:v>
      </x:c>
      <x:c r="N57" s="43" t="str">
        <x:v>01:19.25</x:v>
      </x:c>
      <x:c r="O57" s="43" t="str">
        <x:v>01:19.25-01:20.50</x:v>
      </x:c>
      <x:c r="P57" s="43" t="str">
        <x:v>1000025189.mp4</x:v>
      </x:c>
      <x:c r="Q57" s="391" t="n">
        <x:f>SUMIFS('Specialisations'!$N$6:$N$527,'Specialisations'!$A$6:$A$527,A57,'Specialisations'!$B$6:$B$527,B57)</x:f>
        <x:v>10334300</x:v>
      </x:c>
      <x:c r="R57" s="392" t="n">
        <x:f>IF(M57=0,"",COUNTIFS('Specialisations'!$A$6:$A$527,A57,'Specialisations'!$B$6:$B$527,B57,'Specialisations'!$P$6:$P$527,"OK")/M57)</x:f>
        <x:v>1</x:v>
      </x:c>
      <x:c r="S57" s="494" t="n">
        <x:f>IF(Q57=0,"",SUMIFS('Specialisation Impact'!$K$19:$K$186,'Specialisation Impact'!$A$19:$A$186,A57,'Specialisation Impact'!$B$19:$B$186,B57))</x:f>
        <x:v>60</x:v>
      </x:c>
      <x:c r="T57" s="494" t="n">
        <x:f>IF(Q57=0,"",SUMIFS('Specialisation Impact'!$G$19:$G$186,'Specialisation Impact'!$A$19:$A$186,A57,'Specialisation Impact'!$B$19:$B$186,B57))</x:f>
        <x:v>0</x:v>
      </x:c>
      <x:c r="U57" s="429" t="n">
        <x:f>IF(COUNTIFS('Specialisation Impact'!$A$19:$A$186,A57,'Specialisation Impact'!$B$19:$B$186,B57,'Specialisation Impact'!$S$19:$S$186,"&gt;0")=0,"",SUMIFS('Specialisation Impact'!$S$19:$S$186,'Specialisation Impact'!$A$19:$A$186,A57,'Specialisation Impact'!$B$19:$B$186,B57))</x:f>
        <x:v>29.48051948051948</x:v>
      </x:c>
      <x:c r="V57" s="429" t="str">
        <x:f>IF(COUNTIFS('Specialisation Impact'!$A$19:$A$186,A57,'Specialisation Impact'!$B$19:$B$186,B57,'Specialisation Impact'!$V$19:$V$186,"&gt;0")=0,"",SUMIFS('Specialisation Impact'!$V$19:$V$186,'Specialisation Impact'!$A$19:$A$186,A57,'Specialisation Impact'!$B$19:$B$186,B57))</x:f>
      </x:c>
    </x:row>
    <x:row r="58" ht="45" customHeight="1">
      <x:c r="A58" s="43" t="str">
        <x:v>K116</x:v>
      </x:c>
      <x:c r="B58" s="43" t="str">
        <x:v>独守孤城</x:v>
      </x:c>
      <x:c r="C58" s="43" t="n">
        <x:v>80000</x:v>
      </x:c>
      <x:c r="D58" s="44" t="n">
        <x:v>3.4885</x:v>
      </x:c>
      <x:c r="E58" s="44" t="n">
        <x:v>3.0735</x:v>
      </x:c>
      <x:c r="F58" s="44" t="n">
        <x:v>3.3385000000000002</x:v>
      </x:c>
      <x:c r="G58" s="44" t="n">
        <x:v>0.415</x:v>
      </x:c>
      <x:c r="H58" s="44" t="n">
        <x:v>-0.415</x:v>
      </x:c>
      <x:c r="I58" s="30" t="str">
        <x:v>Not shown in recording</x:v>
      </x:c>
      <x:c r="J58" s="30" t="str">
        <x:v>Not shown in recording</x:v>
      </x:c>
      <x:c r="K58" s="30" t="str">
        <x:v>Not shown in recording</x:v>
      </x:c>
      <x:c r="L58" s="30" t="str">
        <x:v>Not shown in recording</x:v>
      </x:c>
      <x:c r="M58" s="43" t="n">
        <x:v>0</x:v>
      </x:c>
      <x:c r="N58" s="43" t="str">
        <x:v>01:27.25</x:v>
      </x:c>
      <x:c r="O58" s="43" t="str">
        <x:v>01:27.25-01:29.00</x:v>
      </x:c>
      <x:c r="P58" s="43" t="str">
        <x:v>1000025189.mp4</x:v>
      </x:c>
      <x:c r="Q58" s="391" t="n">
        <x:f>SUMIFS('Specialisations'!$N$6:$N$527,'Specialisations'!$A$6:$A$527,A58,'Specialisations'!$B$6:$B$527,B58)</x:f>
        <x:v>0</x:v>
      </x:c>
      <x:c r="R58" s="392" t="str">
        <x:f>IF(M58=0,"",COUNTIFS('Specialisations'!$A$6:$A$527,A58,'Specialisations'!$B$6:$B$527,B58,'Specialisations'!$P$6:$P$527,"OK")/M58)</x:f>
      </x:c>
      <x:c r="S58" s="494" t="str">
        <x:f>IF(Q58=0,"",SUMIFS('Specialisation Impact'!$K$19:$K$186,'Specialisation Impact'!$A$19:$A$186,A58,'Specialisation Impact'!$B$19:$B$186,B58))</x:f>
      </x:c>
      <x:c r="T58" s="494" t="str">
        <x:f>IF(Q58=0,"",SUMIFS('Specialisation Impact'!$G$19:$G$186,'Specialisation Impact'!$A$19:$A$186,A58,'Specialisation Impact'!$B$19:$B$186,B58))</x:f>
      </x:c>
      <x:c r="U58" s="429" t="str">
        <x:f>IF(COUNTIFS('Specialisation Impact'!$A$19:$A$186,A58,'Specialisation Impact'!$B$19:$B$186,B58,'Specialisation Impact'!$S$19:$S$186,"&gt;0")=0,"",SUMIFS('Specialisation Impact'!$S$19:$S$186,'Specialisation Impact'!$A$19:$A$186,A58,'Specialisation Impact'!$B$19:$B$186,B58))</x:f>
      </x:c>
      <x:c r="V58" s="429" t="str">
        <x:f>IF(COUNTIFS('Specialisation Impact'!$A$19:$A$186,A58,'Specialisation Impact'!$B$19:$B$186,B58,'Specialisation Impact'!$V$19:$V$186,"&gt;0")=0,"",SUMIFS('Specialisation Impact'!$V$19:$V$186,'Specialisation Impact'!$A$19:$A$186,A58,'Specialisation Impact'!$B$19:$B$186,B58))</x:f>
      </x:c>
    </x:row>
    <x:row r="59" ht="45" customHeight="1">
      <x:c r="A59" s="43" t="str">
        <x:v>K116</x:v>
      </x:c>
      <x:c r="B59" s="43" t="str">
        <x:v>Yuke</x:v>
      </x:c>
      <x:c r="C59" s="43" t="n">
        <x:v>35020</x:v>
      </x:c>
      <x:c r="D59" s="44" t="n">
        <x:v>3.3621</x:v>
      </x:c>
      <x:c r="E59" s="44" t="n">
        <x:v>1.786</x:v>
      </x:c>
      <x:c r="F59" s="44" t="n">
        <x:v>2.311</x:v>
      </x:c>
      <x:c r="G59" s="44" t="n">
        <x:v>0.375</x:v>
      </x:c>
      <x:c r="H59" s="44" t="n">
        <x:v>-0.39</x:v>
      </x:c>
      <x:c r="I59" s="30" t="str">
        <x:v>Destroyers (Lv 28) — Parry</x:v>
      </x:c>
      <x:c r="J59" s="30" t="str">
        <x:v>Not shown in recording</x:v>
      </x:c>
      <x:c r="K59" s="30" t="str">
        <x:v>Not shown in recording</x:v>
      </x:c>
      <x:c r="L59" s="30" t="str">
        <x:v>Not shown in recording</x:v>
      </x:c>
      <x:c r="M59" s="43" t="n">
        <x:v>1</x:v>
      </x:c>
      <x:c r="N59" s="43" t="str">
        <x:v>01:38.50</x:v>
      </x:c>
      <x:c r="O59" s="43" t="str">
        <x:v>01:38.50-01:40.50</x:v>
      </x:c>
      <x:c r="P59" s="43" t="str">
        <x:v>1000025189.mp4</x:v>
      </x:c>
      <x:c r="Q59" s="391" t="n">
        <x:f>SUMIFS('Specialisations'!$N$6:$N$527,'Specialisations'!$A$6:$A$527,A59,'Specialisations'!$B$6:$B$527,B59)</x:f>
        <x:v>619300</x:v>
      </x:c>
      <x:c r="R59" s="392" t="n">
        <x:f>IF(M59=0,"",COUNTIFS('Specialisations'!$A$6:$A$527,A59,'Specialisations'!$B$6:$B$527,B59,'Specialisations'!$P$6:$P$527,"OK")/M59)</x:f>
        <x:v>1</x:v>
      </x:c>
      <x:c r="S59" s="494" t="n">
        <x:f>IF(Q59=0,"",SUMIFS('Specialisation Impact'!$K$19:$K$186,'Specialisation Impact'!$A$19:$A$186,A59,'Specialisation Impact'!$B$19:$B$186,B59))</x:f>
        <x:v>0</x:v>
      </x:c>
      <x:c r="T59" s="494" t="n">
        <x:f>IF(Q59=0,"",SUMIFS('Specialisation Impact'!$G$19:$G$186,'Specialisation Impact'!$A$19:$A$186,A59,'Specialisation Impact'!$B$19:$B$186,B59))</x:f>
        <x:v>-8.24</x:v>
      </x:c>
      <x:c r="U59" s="429" t="str">
        <x:f>IF(COUNTIFS('Specialisation Impact'!$A$19:$A$186,A59,'Specialisation Impact'!$B$19:$B$186,B59,'Specialisation Impact'!$S$19:$S$186,"&gt;0")=0,"",SUMIFS('Specialisation Impact'!$S$19:$S$186,'Specialisation Impact'!$A$19:$A$186,A59,'Specialisation Impact'!$B$19:$B$186,B59))</x:f>
      </x:c>
      <x:c r="V59" s="429" t="n">
        <x:f>IF(COUNTIFS('Specialisation Impact'!$A$19:$A$186,A59,'Specialisation Impact'!$B$19:$B$186,B59,'Specialisation Impact'!$V$19:$V$186,"&gt;0")=0,"",SUMIFS('Specialisation Impact'!$V$19:$V$186,'Specialisation Impact'!$A$19:$A$186,A59,'Specialisation Impact'!$B$19:$B$186,B59))</x:f>
        <x:v>4.700854700854701</x:v>
      </x:c>
    </x:row>
    <x:row r="60" ht="45" customHeight="1">
      <x:c r="A60" s="43" t="str">
        <x:v>K116</x:v>
      </x:c>
      <x:c r="B60" s="43" t="str">
        <x:v>不可理喻</x:v>
      </x:c>
      <x:c r="C60" s="43" t="n">
        <x:v>108000</x:v>
      </x:c>
      <x:c r="D60" s="44" t="n">
        <x:v>3.511</x:v>
      </x:c>
      <x:c r="E60" s="44" t="n">
        <x:v>3.011</x:v>
      </x:c>
      <x:c r="F60" s="44" t="n">
        <x:v>3.471</x:v>
      </x:c>
      <x:c r="G60" s="44" t="n">
        <x:v>0.415</x:v>
      </x:c>
      <x:c r="H60" s="44" t="n">
        <x:v>-0.415</x:v>
      </x:c>
      <x:c r="I60" s="30" t="str">
        <x:v>Destroyers (Lv 46) — Parry</x:v>
      </x:c>
      <x:c r="J60" s="30" t="str">
        <x:v>Elite bowmen (Lv 42) — Frost Arrow</x:v>
      </x:c>
      <x:c r="K60" s="30" t="str">
        <x:v>Eternal knights (Lv 46) — Thunder trample
Storm cavalry (Lv 43) — Mounted Archery</x:v>
      </x:c>
      <x:c r="L60" s="30" t="str">
        <x:v>Manglers (Lv 40) — Highly toxic</x:v>
      </x:c>
      <x:c r="M60" s="43" t="n">
        <x:v>5</x:v>
      </x:c>
      <x:c r="N60" s="43" t="str">
        <x:v>01:49.00</x:v>
      </x:c>
      <x:c r="O60" s="43" t="str">
        <x:v>01:49.00-01:51.00</x:v>
      </x:c>
      <x:c r="P60" s="43" t="str">
        <x:v>1000025189.mp4</x:v>
      </x:c>
      <x:c r="Q60" s="391" t="n">
        <x:f>SUMIFS('Specialisations'!$N$6:$N$527,'Specialisations'!$A$6:$A$527,A60,'Specialisations'!$B$6:$B$527,B60)</x:f>
        <x:v>18341500</x:v>
      </x:c>
      <x:c r="R60" s="392" t="n">
        <x:f>IF(M60=0,"",COUNTIFS('Specialisations'!$A$6:$A$527,A60,'Specialisations'!$B$6:$B$527,B60,'Specialisations'!$P$6:$P$527,"OK")/M60)</x:f>
        <x:v>1</x:v>
      </x:c>
      <x:c r="S60" s="494" t="n">
        <x:f>IF(Q60=0,"",SUMIFS('Specialisation Impact'!$K$19:$K$186,'Specialisation Impact'!$A$19:$A$186,A60,'Specialisation Impact'!$B$19:$B$186,B60))</x:f>
        <x:v>141.98000000000002</x:v>
      </x:c>
      <x:c r="T60" s="494" t="n">
        <x:f>IF(Q60=0,"",SUMIFS('Specialisation Impact'!$G$19:$G$186,'Specialisation Impact'!$A$19:$A$186,A60,'Specialisation Impact'!$B$19:$B$186,B60))</x:f>
        <x:v>-45.13</x:v>
      </x:c>
      <x:c r="U60" s="429" t="n">
        <x:f>IF(COUNTIFS('Specialisation Impact'!$A$19:$A$186,A60,'Specialisation Impact'!$B$19:$B$186,B60,'Specialisation Impact'!$S$19:$S$186,"&gt;0")=0,"",SUMIFS('Specialisation Impact'!$S$19:$S$186,'Specialisation Impact'!$A$19:$A$186,A60,'Specialisation Impact'!$B$19:$B$186,B60))</x:f>
        <x:v>82.20779220779221</x:v>
      </x:c>
      <x:c r="V60" s="429" t="n">
        <x:f>IF(COUNTIFS('Specialisation Impact'!$A$19:$A$186,A60,'Specialisation Impact'!$B$19:$B$186,B60,'Specialisation Impact'!$V$19:$V$186,"&gt;0")=0,"",SUMIFS('Specialisation Impact'!$V$19:$V$186,'Specialisation Impact'!$A$19:$A$186,A60,'Specialisation Impact'!$B$19:$B$186,B60))</x:f>
        <x:v>73.07692307692308</x:v>
      </x:c>
    </x:row>
    <x:row r="61" ht="45" customHeight="1">
      <x:c r="A61" s="43" t="str">
        <x:v>K116</x:v>
      </x:c>
      <x:c r="B61" s="43" t="str">
        <x:v>懒洋洋爱看腿</x:v>
      </x:c>
      <x:c r="C61" s="43" t="n">
        <x:v>108000</x:v>
      </x:c>
      <x:c r="D61" s="44" t="n">
        <x:v>3.6210000000000004</x:v>
      </x:c>
      <x:c r="E61" s="44" t="n">
        <x:v>2.9160000000000004</x:v>
      </x:c>
      <x:c r="F61" s="44" t="n">
        <x:v>3.3110000000000004</x:v>
      </x:c>
      <x:c r="G61" s="44" t="n">
        <x:v>0.415</x:v>
      </x:c>
      <x:c r="H61" s="44" t="n">
        <x:v>-0.415</x:v>
      </x:c>
      <x:c r="I61" s="30" t="str">
        <x:v>Destroyers (Lv 45) — Parry</x:v>
      </x:c>
      <x:c r="J61" s="30" t="str">
        <x:v>Elite bowmen (Lv 40) — Frost Arrow</x:v>
      </x:c>
      <x:c r="K61" s="30" t="str">
        <x:v>Eternal knights (Lv 40) — Thunder trample
Storm cavalry (Lv 40) — Mounted Archery</x:v>
      </x:c>
      <x:c r="L61" s="30" t="str">
        <x:v>Manglers (Lv 40) — Highly toxic</x:v>
      </x:c>
      <x:c r="M61" s="43" t="n">
        <x:v>5</x:v>
      </x:c>
      <x:c r="N61" s="43" t="str">
        <x:v>02:01.00</x:v>
      </x:c>
      <x:c r="O61" s="43" t="str">
        <x:v>02:01.00-02:02.50</x:v>
      </x:c>
      <x:c r="P61" s="43" t="str">
        <x:v>1000025189.mp4</x:v>
      </x:c>
      <x:c r="Q61" s="391" t="n">
        <x:f>SUMIFS('Specialisations'!$N$6:$N$527,'Specialisations'!$A$6:$A$527,A61,'Specialisations'!$B$6:$B$527,B61)</x:f>
        <x:v>13261500</x:v>
      </x:c>
      <x:c r="R61" s="392" t="n">
        <x:f>IF(M61=0,"",COUNTIFS('Specialisations'!$A$6:$A$527,A61,'Specialisations'!$B$6:$B$527,B61,'Specialisations'!$P$6:$P$527,"OK")/M61)</x:f>
        <x:v>1</x:v>
      </x:c>
      <x:c r="S61" s="494" t="n">
        <x:f>IF(Q61=0,"",SUMIFS('Specialisation Impact'!$K$19:$K$186,'Specialisation Impact'!$A$19:$A$186,A61,'Specialisation Impact'!$B$19:$B$186,B61))</x:f>
        <x:v>110.96</x:v>
      </x:c>
      <x:c r="T61" s="494" t="n">
        <x:f>IF(Q61=0,"",SUMIFS('Specialisation Impact'!$G$19:$G$186,'Specialisation Impact'!$A$19:$A$186,A61,'Specialisation Impact'!$B$19:$B$186,B61))</x:f>
        <x:v>-41.98</x:v>
      </x:c>
      <x:c r="U61" s="429" t="n">
        <x:f>IF(COUNTIFS('Specialisation Impact'!$A$19:$A$186,A61,'Specialisation Impact'!$B$19:$B$186,B61,'Specialisation Impact'!$S$19:$S$186,"&gt;0")=0,"",SUMIFS('Specialisation Impact'!$S$19:$S$186,'Specialisation Impact'!$A$19:$A$186,A61,'Specialisation Impact'!$B$19:$B$186,B61))</x:f>
        <x:v>58.31168831168832</x:v>
      </x:c>
      <x:c r="V61" s="429" t="n">
        <x:f>IF(COUNTIFS('Specialisation Impact'!$A$19:$A$186,A61,'Specialisation Impact'!$B$19:$B$186,B61,'Specialisation Impact'!$V$19:$V$186,"&gt;0")=0,"",SUMIFS('Specialisation Impact'!$V$19:$V$186,'Specialisation Impact'!$A$19:$A$186,A61,'Specialisation Impact'!$B$19:$B$186,B61))</x:f>
        <x:v>60.25641025641025</x:v>
      </x:c>
    </x:row>
    <x:row r="62" ht="45" customHeight="1">
      <x:c r="A62" s="43" t="str">
        <x:v>K116</x:v>
      </x:c>
      <x:c r="B62" s="43" t="str">
        <x:v>蜜蜜°</x:v>
      </x:c>
      <x:c r="C62" s="43" t="n">
        <x:v>90000</x:v>
      </x:c>
      <x:c r="D62" s="44" t="n">
        <x:v>3.196</x:v>
      </x:c>
      <x:c r="E62" s="44" t="n">
        <x:v>2.991</x:v>
      </x:c>
      <x:c r="F62" s="44" t="n">
        <x:v>3.0260000000000002</x:v>
      </x:c>
      <x:c r="G62" s="44" t="n">
        <x:v>0.415</x:v>
      </x:c>
      <x:c r="H62" s="44" t="n">
        <x:v>-0.415</x:v>
      </x:c>
      <x:c r="I62" s="30" t="str">
        <x:v>Destroyers (Lv 50) — Parry</x:v>
      </x:c>
      <x:c r="J62" s="30" t="str">
        <x:v>Elite bowmen (Lv 40) — Frost Arrow</x:v>
      </x:c>
      <x:c r="K62" s="30" t="str">
        <x:v>Eternal knights (Lv 41) — Thunder trample
Storm cavalry (Lv 41) — Mounted Archery</x:v>
      </x:c>
      <x:c r="L62" s="30" t="str">
        <x:v>Not shown in recording</x:v>
      </x:c>
      <x:c r="M62" s="43" t="n">
        <x:v>4</x:v>
      </x:c>
      <x:c r="N62" s="43" t="str">
        <x:v>02:09.25</x:v>
      </x:c>
      <x:c r="O62" s="43" t="str">
        <x:v>02:09.25-02:11.50</x:v>
      </x:c>
      <x:c r="P62" s="43" t="str">
        <x:v>1000025189.mp4</x:v>
      </x:c>
      <x:c r="Q62" s="391" t="n">
        <x:f>SUMIFS('Specialisations'!$N$6:$N$527,'Specialisations'!$A$6:$A$527,A62,'Specialisations'!$B$6:$B$527,B62)</x:f>
        <x:v>17627200</x:v>
      </x:c>
      <x:c r="R62" s="392" t="n">
        <x:f>IF(M62=0,"",COUNTIFS('Specialisations'!$A$6:$A$527,A62,'Specialisations'!$B$6:$B$527,B62,'Specialisations'!$P$6:$P$527,"OK")/M62)</x:f>
        <x:v>1</x:v>
      </x:c>
      <x:c r="S62" s="494" t="n">
        <x:f>IF(Q62=0,"",SUMIFS('Specialisation Impact'!$K$19:$K$186,'Specialisation Impact'!$A$19:$A$186,A62,'Specialisation Impact'!$B$19:$B$186,B62))</x:f>
        <x:v>88.5</x:v>
      </x:c>
      <x:c r="T62" s="494" t="n">
        <x:f>IF(Q62=0,"",SUMIFS('Specialisation Impact'!$G$19:$G$186,'Specialisation Impact'!$A$19:$A$186,A62,'Specialisation Impact'!$B$19:$B$186,B62))</x:f>
        <x:v>-60</x:v>
      </x:c>
      <x:c r="U62" s="429" t="n">
        <x:f>IF(COUNTIFS('Specialisation Impact'!$A$19:$A$186,A62,'Specialisation Impact'!$B$19:$B$186,B62,'Specialisation Impact'!$S$19:$S$186,"&gt;0")=0,"",SUMIFS('Specialisation Impact'!$S$19:$S$186,'Specialisation Impact'!$A$19:$A$186,A62,'Specialisation Impact'!$B$19:$B$186,B62))</x:f>
        <x:v>42.85714285714286</x:v>
      </x:c>
      <x:c r="V62" s="429" t="n">
        <x:f>IF(COUNTIFS('Specialisation Impact'!$A$19:$A$186,A62,'Specialisation Impact'!$B$19:$B$186,B62,'Specialisation Impact'!$V$19:$V$186,"&gt;0")=0,"",SUMIFS('Specialisation Impact'!$V$19:$V$186,'Specialisation Impact'!$A$19:$A$186,A62,'Specialisation Impact'!$B$19:$B$186,B62))</x:f>
        <x:v>93.16239316239316</x:v>
      </x:c>
    </x:row>
    <x:row r="63" ht="45" customHeight="1">
      <x:c r="A63" s="43" t="str">
        <x:v>K116</x:v>
      </x:c>
      <x:c r="B63" s="43" t="str">
        <x:v>红烧狮子头</x:v>
      </x:c>
      <x:c r="C63" s="43" t="n">
        <x:v>80000</x:v>
      </x:c>
      <x:c r="D63" s="44" t="n">
        <x:v>3.2385</x:v>
      </x:c>
      <x:c r="E63" s="44" t="n">
        <x:v>2.536</x:v>
      </x:c>
      <x:c r="F63" s="44" t="n">
        <x:v>3.091</x:v>
      </x:c>
      <x:c r="G63" s="44" t="n">
        <x:v>0.415</x:v>
      </x:c>
      <x:c r="H63" s="44" t="n">
        <x:v>-0.415</x:v>
      </x:c>
      <x:c r="I63" s="30" t="str">
        <x:v>Destroyers (Lv 50) — Parry</x:v>
      </x:c>
      <x:c r="J63" s="30" t="str">
        <x:v>Elite bowmen (Lv 43) — Frost Arrow</x:v>
      </x:c>
      <x:c r="K63" s="30" t="str">
        <x:v>Eternal knights (Lv 43) — Thunder trample
Storm cavalry (Lv 31) — Mounted Archery</x:v>
      </x:c>
      <x:c r="L63" s="30" t="str">
        <x:v>Not shown in recording</x:v>
      </x:c>
      <x:c r="M63" s="43" t="n">
        <x:v>4</x:v>
      </x:c>
      <x:c r="N63" s="43" t="str">
        <x:v>02:17.50</x:v>
      </x:c>
      <x:c r="O63" s="43" t="str">
        <x:v>02:17.50-02:19.00</x:v>
      </x:c>
      <x:c r="P63" s="43" t="str">
        <x:v>1000025189.mp4</x:v>
      </x:c>
      <x:c r="Q63" s="391" t="n">
        <x:f>SUMIFS('Specialisations'!$N$6:$N$527,'Specialisations'!$A$6:$A$527,A63,'Specialisations'!$B$6:$B$527,B63)</x:f>
        <x:v>17687200</x:v>
      </x:c>
      <x:c r="R63" s="392" t="n">
        <x:f>IF(M63=0,"",COUNTIFS('Specialisations'!$A$6:$A$527,A63,'Specialisations'!$B$6:$B$527,B63,'Specialisations'!$P$6:$P$527,"OK")/M63)</x:f>
        <x:v>1</x:v>
      </x:c>
      <x:c r="S63" s="494" t="n">
        <x:f>IF(Q63=0,"",SUMIFS('Specialisation Impact'!$K$19:$K$186,'Specialisation Impact'!$A$19:$A$186,A63,'Specialisation Impact'!$B$19:$B$186,B63))</x:f>
        <x:v>84.04999999999998</x:v>
      </x:c>
      <x:c r="T63" s="494" t="n">
        <x:f>IF(Q63=0,"",SUMIFS('Specialisation Impact'!$G$19:$G$186,'Specialisation Impact'!$A$19:$A$186,A63,'Specialisation Impact'!$B$19:$B$186,B63))</x:f>
        <x:v>-60</x:v>
      </x:c>
      <x:c r="U63" s="429" t="n">
        <x:f>IF(COUNTIFS('Specialisation Impact'!$A$19:$A$186,A63,'Specialisation Impact'!$B$19:$B$186,B63,'Specialisation Impact'!$S$19:$S$186,"&gt;0")=0,"",SUMIFS('Specialisation Impact'!$S$19:$S$186,'Specialisation Impact'!$A$19:$A$186,A63,'Specialisation Impact'!$B$19:$B$186,B63))</x:f>
        <x:v>40.38961038961039</x:v>
      </x:c>
      <x:c r="V63" s="429" t="n">
        <x:f>IF(COUNTIFS('Specialisation Impact'!$A$19:$A$186,A63,'Specialisation Impact'!$B$19:$B$186,B63,'Specialisation Impact'!$V$19:$V$186,"&gt;0")=0,"",SUMIFS('Specialisation Impact'!$V$19:$V$186,'Specialisation Impact'!$A$19:$A$186,A63,'Specialisation Impact'!$B$19:$B$186,B63))</x:f>
        <x:v>93.16239316239316</x:v>
      </x:c>
    </x:row>
    <x:row r="64" ht="45" customHeight="1">
      <x:c r="A64" s="43" t="str">
        <x:v>K116</x:v>
      </x:c>
      <x:c r="B64" s="43" t="str">
        <x:v>那时像风一样</x:v>
      </x:c>
      <x:c r="C64" s="43" t="n">
        <x:v>80000</x:v>
      </x:c>
      <x:c r="D64" s="44" t="n">
        <x:v>3.3335000000000004</x:v>
      </x:c>
      <x:c r="E64" s="44" t="n">
        <x:v>2.951</x:v>
      </x:c>
      <x:c r="F64" s="44" t="n">
        <x:v>3.091</x:v>
      </x:c>
      <x:c r="G64" s="44" t="n">
        <x:v>0.415</x:v>
      </x:c>
      <x:c r="H64" s="44" t="n">
        <x:v>-0.415</x:v>
      </x:c>
      <x:c r="I64" s="30" t="str">
        <x:v>Destroyers (Lv 45) — Parry</x:v>
      </x:c>
      <x:c r="J64" s="30" t="str">
        <x:v>Elite bowmen (Lv 40) — Frost Arrow</x:v>
      </x:c>
      <x:c r="K64" s="30" t="str">
        <x:v>Eternal knights (Lv 43) — Thunder trample
Storm cavalry (Lv 43) — Mounted Archery</x:v>
      </x:c>
      <x:c r="L64" s="30" t="str">
        <x:v>Not shown in recording</x:v>
      </x:c>
      <x:c r="M64" s="43" t="n">
        <x:v>4</x:v>
      </x:c>
      <x:c r="N64" s="43" t="str">
        <x:v>02:25.50</x:v>
      </x:c>
      <x:c r="O64" s="43" t="str">
        <x:v>02:25.50-02:27.00</x:v>
      </x:c>
      <x:c r="P64" s="43" t="str">
        <x:v>1000025189.mp4</x:v>
      </x:c>
      <x:c r="Q64" s="391" t="n">
        <x:f>SUMIFS('Specialisations'!$N$6:$N$527,'Specialisations'!$A$6:$A$527,A64,'Specialisations'!$B$6:$B$527,B64)</x:f>
        <x:v>13017200</x:v>
      </x:c>
      <x:c r="R64" s="392" t="n">
        <x:f>IF(M64=0,"",COUNTIFS('Specialisations'!$A$6:$A$527,A64,'Specialisations'!$B$6:$B$527,B64,'Specialisations'!$P$6:$P$527,"OK")/M64)</x:f>
        <x:v>1</x:v>
      </x:c>
      <x:c r="S64" s="494" t="n">
        <x:f>IF(Q64=0,"",SUMIFS('Specialisation Impact'!$K$19:$K$186,'Specialisation Impact'!$A$19:$A$186,A64,'Specialisation Impact'!$B$19:$B$186,B64))</x:f>
        <x:v>99.69999999999999</x:v>
      </x:c>
      <x:c r="T64" s="494" t="n">
        <x:f>IF(Q64=0,"",SUMIFS('Specialisation Impact'!$G$19:$G$186,'Specialisation Impact'!$A$19:$A$186,A64,'Specialisation Impact'!$B$19:$B$186,B64))</x:f>
        <x:v>-41.98</x:v>
      </x:c>
      <x:c r="U64" s="429" t="n">
        <x:f>IF(COUNTIFS('Specialisation Impact'!$A$19:$A$186,A64,'Specialisation Impact'!$B$19:$B$186,B64,'Specialisation Impact'!$S$19:$S$186,"&gt;0")=0,"",SUMIFS('Specialisation Impact'!$S$19:$S$186,'Specialisation Impact'!$A$19:$A$186,A64,'Specialisation Impact'!$B$19:$B$186,B64))</x:f>
        <x:v>49.41558441558442</x:v>
      </x:c>
      <x:c r="V64" s="429" t="n">
        <x:f>IF(COUNTIFS('Specialisation Impact'!$A$19:$A$186,A64,'Specialisation Impact'!$B$19:$B$186,B64,'Specialisation Impact'!$V$19:$V$186,"&gt;0")=0,"",SUMIFS('Specialisation Impact'!$V$19:$V$186,'Specialisation Impact'!$A$19:$A$186,A64,'Specialisation Impact'!$B$19:$B$186,B64))</x:f>
        <x:v>60.25641025641025</x:v>
      </x:c>
    </x:row>
    <x:row r="65" ht="45" customHeight="1">
      <x:c r="A65" s="43" t="str">
        <x:v>K116</x:v>
      </x:c>
      <x:c r="B65" s="43" t="str">
        <x:v>芙蕾魚</x:v>
      </x:c>
      <x:c r="C65" s="43" t="n">
        <x:v>50000</x:v>
      </x:c>
      <x:c r="D65" s="44" t="n">
        <x:v>1.575</x:v>
      </x:c>
      <x:c r="E65" s="44" t="n">
        <x:v>2.186</x:v>
      </x:c>
      <x:c r="F65" s="44" t="n">
        <x:v>2.231</x:v>
      </x:c>
      <x:c r="G65" s="44" t="n">
        <x:v>0.01</x:v>
      </x:c>
      <x:c r="H65" s="44" t="n">
        <x:v>-0.385</x:v>
      </x:c>
      <x:c r="I65" s="30" t="str">
        <x:v>Destroyers (Lv 35) — Parry</x:v>
      </x:c>
      <x:c r="J65" s="30" t="str">
        <x:v>Not shown in recording</x:v>
      </x:c>
      <x:c r="K65" s="30" t="str">
        <x:v>Eternal knights (Lv 20) — Thunder trample
Storm cavalry (Lv 20) — Mounted Archery</x:v>
      </x:c>
      <x:c r="L65" s="30" t="str">
        <x:v>Not shown in recording</x:v>
      </x:c>
      <x:c r="M65" s="43" t="n">
        <x:v>3</x:v>
      </x:c>
      <x:c r="N65" s="43" t="str">
        <x:v>02:43.75</x:v>
      </x:c>
      <x:c r="O65" s="43" t="str">
        <x:v>02:43.75-02:45.50</x:v>
      </x:c>
      <x:c r="P65" s="43" t="str">
        <x:v>1000025189.mp4</x:v>
      </x:c>
      <x:c r="Q65" s="391" t="n">
        <x:f>SUMIFS('Specialisations'!$N$6:$N$527,'Specialisations'!$A$6:$A$527,A65,'Specialisations'!$B$6:$B$527,B65)</x:f>
        <x:v>1692900</x:v>
      </x:c>
      <x:c r="R65" s="392" t="n">
        <x:f>IF(M65=0,"",COUNTIFS('Specialisations'!$A$6:$A$527,A65,'Specialisations'!$B$6:$B$527,B65,'Specialisations'!$P$6:$P$527,"OK")/M65)</x:f>
        <x:v>1</x:v>
      </x:c>
      <x:c r="S65" s="494" t="n">
        <x:f>IF(Q65=0,"",SUMIFS('Specialisation Impact'!$K$19:$K$186,'Specialisation Impact'!$A$19:$A$186,A65,'Specialisation Impact'!$B$19:$B$186,B65))</x:f>
        <x:v>6</x:v>
      </x:c>
      <x:c r="T65" s="494" t="n">
        <x:f>IF(Q65=0,"",SUMIFS('Specialisation Impact'!$G$19:$G$186,'Specialisation Impact'!$A$19:$A$186,A65,'Specialisation Impact'!$B$19:$B$186,B65))</x:f>
        <x:v>-17.66</x:v>
      </x:c>
      <x:c r="U65" s="429" t="str">
        <x:f>IF(COUNTIFS('Specialisation Impact'!$A$19:$A$186,A65,'Specialisation Impact'!$B$19:$B$186,B65,'Specialisation Impact'!$S$19:$S$186,"&gt;0")=0,"",SUMIFS('Specialisation Impact'!$S$19:$S$186,'Specialisation Impact'!$A$19:$A$186,A65,'Specialisation Impact'!$B$19:$B$186,B65))</x:f>
      </x:c>
      <x:c r="V65" s="429" t="n">
        <x:f>IF(COUNTIFS('Specialisation Impact'!$A$19:$A$186,A65,'Specialisation Impact'!$B$19:$B$186,B65,'Specialisation Impact'!$V$19:$V$186,"&gt;0")=0,"",SUMIFS('Specialisation Impact'!$V$19:$V$186,'Specialisation Impact'!$A$19:$A$186,A65,'Specialisation Impact'!$B$19:$B$186,B65))</x:f>
        <x:v>15.811965811965813</x:v>
      </x:c>
    </x:row>
    <x:row r="66" ht="45" customHeight="1">
      <x:c r="A66" s="43" t="str">
        <x:v>K116</x:v>
      </x:c>
      <x:c r="B66" s="43" t="str">
        <x:v>ALI</x:v>
      </x:c>
      <x:c r="C66" s="43" t="n">
        <x:v>15000</x:v>
      </x:c>
      <x:c r="D66" s="44" t="n">
        <x:v>2.8720999999999997</x:v>
      </x:c>
      <x:c r="E66" s="44" t="n">
        <x:v>2.6010000000000004</x:v>
      </x:c>
      <x:c r="F66" s="44" t="n">
        <x:v>2.6310000000000002</x:v>
      </x:c>
      <x:c r="G66" s="44" t="n">
        <x:v>0.4</x:v>
      </x:c>
      <x:c r="H66" s="44" t="n">
        <x:v>-0.4</x:v>
      </x:c>
      <x:c r="I66" s="30" t="str">
        <x:v>Destroyers (Lv 49) — Parry</x:v>
      </x:c>
      <x:c r="J66" s="30" t="str">
        <x:v>Elite bowmen (Lv 46) — Frost Arrow
Elite (Lv 30) — Focus</x:v>
      </x:c>
      <x:c r="K66" s="30" t="str">
        <x:v>Not shown in recording</x:v>
      </x:c>
      <x:c r="L66" s="30" t="str">
        <x:v>Not shown in recording</x:v>
      </x:c>
      <x:c r="M66" s="43" t="n">
        <x:v>3</x:v>
      </x:c>
      <x:c r="N66" s="43" t="str">
        <x:v>02:52.00</x:v>
      </x:c>
      <x:c r="O66" s="43" t="str">
        <x:v>02:52.00-02:53.75</x:v>
      </x:c>
      <x:c r="P66" s="43" t="str">
        <x:v>1000025189.mp4</x:v>
      </x:c>
      <x:c r="Q66" s="391" t="n">
        <x:f>SUMIFS('Specialisations'!$N$6:$N$527,'Specialisations'!$A$6:$A$527,A66,'Specialisations'!$B$6:$B$527,B66)</x:f>
        <x:v>14112900</x:v>
      </x:c>
      <x:c r="R66" s="392" t="n">
        <x:f>IF(M66=0,"",COUNTIFS('Specialisations'!$A$6:$A$527,A66,'Specialisations'!$B$6:$B$527,B66,'Specialisations'!$P$6:$P$527,"OK")/M66)</x:f>
        <x:v>1</x:v>
      </x:c>
      <x:c r="S66" s="494" t="n">
        <x:f>IF(Q66=0,"",SUMIFS('Specialisation Impact'!$K$19:$K$186,'Specialisation Impact'!$A$19:$A$186,A66,'Specialisation Impact'!$B$19:$B$186,B66))</x:f>
        <x:v>55.95</x:v>
      </x:c>
      <x:c r="T66" s="494" t="n">
        <x:f>IF(Q66=0,"",SUMIFS('Specialisation Impact'!$G$19:$G$186,'Specialisation Impact'!$A$19:$A$186,A66,'Specialisation Impact'!$B$19:$B$186,B66))</x:f>
        <x:v>-55.2</x:v>
      </x:c>
      <x:c r="U66" s="429" t="n">
        <x:f>IF(COUNTIFS('Specialisation Impact'!$A$19:$A$186,A66,'Specialisation Impact'!$B$19:$B$186,B66,'Specialisation Impact'!$S$19:$S$186,"&gt;0")=0,"",SUMIFS('Specialisation Impact'!$S$19:$S$186,'Specialisation Impact'!$A$19:$A$186,A66,'Specialisation Impact'!$B$19:$B$186,B66))</x:f>
        <x:v>17.01298701298701</x:v>
      </x:c>
      <x:c r="V66" s="429" t="n">
        <x:f>IF(COUNTIFS('Specialisation Impact'!$A$19:$A$186,A66,'Specialisation Impact'!$B$19:$B$186,B66,'Specialisation Impact'!$V$19:$V$186,"&gt;0")=0,"",SUMIFS('Specialisation Impact'!$V$19:$V$186,'Specialisation Impact'!$A$19:$A$186,A66,'Specialisation Impact'!$B$19:$B$186,B66))</x:f>
        <x:v>84.18803418803418</x:v>
      </x:c>
    </x:row>
    <x:row r="67" ht="45" customHeight="1">
      <x:c r="A67" s="43" t="str">
        <x:v>K116</x:v>
      </x:c>
      <x:c r="B67" s="43" t="str">
        <x:v>不可盾号</x:v>
      </x:c>
      <x:c r="C67" s="43" t="n">
        <x:v>40000</x:v>
      </x:c>
      <x:c r="D67" s="44" t="n">
        <x:v>2.2571</x:v>
      </x:c>
      <x:c r="E67" s="44" t="n">
        <x:v>1.7409999999999999</x:v>
      </x:c>
      <x:c r="F67" s="44" t="n">
        <x:v>1.9409999999999998</x:v>
      </x:c>
      <x:c r="G67" s="44" t="n">
        <x:v>0.375</x:v>
      </x:c>
      <x:c r="H67" s="44" t="n">
        <x:v>-0.3825</x:v>
      </x:c>
      <x:c r="I67" s="30" t="str">
        <x:v>Destroyers (Lv 40) — Parry</x:v>
      </x:c>
      <x:c r="J67" s="30" t="str">
        <x:v>Not shown in recording</x:v>
      </x:c>
      <x:c r="K67" s="30" t="str">
        <x:v>Not shown in recording</x:v>
      </x:c>
      <x:c r="L67" s="30" t="str">
        <x:v>Not shown in recording</x:v>
      </x:c>
      <x:c r="M67" s="43" t="n">
        <x:v>1</x:v>
      </x:c>
      <x:c r="N67" s="43" t="str">
        <x:v>02:59.00</x:v>
      </x:c>
      <x:c r="O67" s="43" t="str">
        <x:v>02:59.00-03:02.00</x:v>
      </x:c>
      <x:c r="P67" s="43" t="str">
        <x:v>1000025189.mp4</x:v>
      </x:c>
      <x:c r="Q67" s="391" t="n">
        <x:f>SUMIFS('Specialisations'!$N$6:$N$527,'Specialisations'!$A$6:$A$527,A67,'Specialisations'!$B$6:$B$527,B67)</x:f>
        <x:v>2244300</x:v>
      </x:c>
      <x:c r="R67" s="392" t="n">
        <x:f>IF(M67=0,"",COUNTIFS('Specialisations'!$A$6:$A$527,A67,'Specialisations'!$B$6:$B$527,B67,'Specialisations'!$P$6:$P$527,"OK")/M67)</x:f>
        <x:v>1</x:v>
      </x:c>
      <x:c r="S67" s="494" t="n">
        <x:f>IF(Q67=0,"",SUMIFS('Specialisation Impact'!$K$19:$K$186,'Specialisation Impact'!$A$19:$A$186,A67,'Specialisation Impact'!$B$19:$B$186,B67))</x:f>
        <x:v>0</x:v>
      </x:c>
      <x:c r="T67" s="494" t="n">
        <x:f>IF(Q67=0,"",SUMIFS('Specialisation Impact'!$G$19:$G$186,'Specialisation Impact'!$A$19:$A$186,A67,'Specialisation Impact'!$B$19:$B$186,B67))</x:f>
        <x:v>-27.74</x:v>
      </x:c>
      <x:c r="U67" s="429" t="str">
        <x:f>IF(COUNTIFS('Specialisation Impact'!$A$19:$A$186,A67,'Specialisation Impact'!$B$19:$B$186,B67,'Specialisation Impact'!$S$19:$S$186,"&gt;0")=0,"",SUMIFS('Specialisation Impact'!$S$19:$S$186,'Specialisation Impact'!$A$19:$A$186,A67,'Specialisation Impact'!$B$19:$B$186,B67))</x:f>
      </x:c>
      <x:c r="V67" s="429" t="n">
        <x:f>IF(COUNTIFS('Specialisation Impact'!$A$19:$A$186,A67,'Specialisation Impact'!$B$19:$B$186,B67,'Specialisation Impact'!$V$19:$V$186,"&gt;0")=0,"",SUMIFS('Specialisation Impact'!$V$19:$V$186,'Specialisation Impact'!$A$19:$A$186,A67,'Specialisation Impact'!$B$19:$B$186,B67))</x:f>
        <x:v>29.48717948717949</x:v>
      </x:c>
    </x:row>
    <x:row r="68" ht="45" customHeight="1">
      <x:c r="A68" s="43" t="str">
        <x:v>K116</x:v>
      </x:c>
      <x:c r="B68" s="43" t="str">
        <x:v>光之使者</x:v>
      </x:c>
      <x:c r="C68" s="43" t="n">
        <x:v>115000</x:v>
      </x:c>
      <x:c r="D68" s="44" t="n">
        <x:v>4.511</x:v>
      </x:c>
      <x:c r="E68" s="44" t="n">
        <x:v>4.061</x:v>
      </x:c>
      <x:c r="F68" s="44" t="n">
        <x:v>4.111000000000001</x:v>
      </x:c>
      <x:c r="G68" s="44" t="n">
        <x:v>0.4375</x:v>
      </x:c>
      <x:c r="H68" s="44" t="n">
        <x:v>-0.4375</x:v>
      </x:c>
      <x:c r="I68" s="30" t="str">
        <x:v>Destroyers (Lv 50) — Parry</x:v>
      </x:c>
      <x:c r="J68" s="30" t="str">
        <x:v>Elite bowmen (Lv 45) — Frost Arrow</x:v>
      </x:c>
      <x:c r="K68" s="30" t="str">
        <x:v>Eternal knights (Lv 44) — Thunder trample
Storm cavalry (Lv 45) — Mounted Archery</x:v>
      </x:c>
      <x:c r="L68" s="30" t="str">
        <x:v>Manglers (Lv 45) — Highly toxic</x:v>
      </x:c>
      <x:c r="M68" s="43" t="n">
        <x:v>5</x:v>
      </x:c>
      <x:c r="N68" s="43" t="str">
        <x:v>03:10.25</x:v>
      </x:c>
      <x:c r="O68" s="43" t="str">
        <x:v>03:10.25-03:12.00</x:v>
      </x:c>
      <x:c r="P68" s="43" t="str">
        <x:v>1000025189.mp4</x:v>
      </x:c>
      <x:c r="Q68" s="391" t="n">
        <x:f>SUMIFS('Specialisations'!$N$6:$N$527,'Specialisations'!$A$6:$A$527,A68,'Specialisations'!$B$6:$B$527,B68)</x:f>
        <x:v>26911500</x:v>
      </x:c>
      <x:c r="R68" s="392" t="n">
        <x:f>IF(M68=0,"",COUNTIFS('Specialisations'!$A$6:$A$527,A68,'Specialisations'!$B$6:$B$527,B68,'Specialisations'!$P$6:$P$527,"OK")/M68)</x:f>
        <x:v>1</x:v>
      </x:c>
      <x:c r="S68" s="494" t="n">
        <x:f>IF(Q68=0,"",SUMIFS('Specialisation Impact'!$K$19:$K$186,'Specialisation Impact'!$A$19:$A$186,A68,'Specialisation Impact'!$B$19:$B$186,B68))</x:f>
        <x:v>165.86999999999998</x:v>
      </x:c>
      <x:c r="T68" s="494" t="n">
        <x:f>IF(Q68=0,"",SUMIFS('Specialisation Impact'!$G$19:$G$186,'Specialisation Impact'!$A$19:$A$186,A68,'Specialisation Impact'!$B$19:$B$186,B68))</x:f>
        <x:v>-60</x:v>
      </x:c>
      <x:c r="U68" s="429" t="n">
        <x:f>IF(COUNTIFS('Specialisation Impact'!$A$19:$A$186,A68,'Specialisation Impact'!$B$19:$B$186,B68,'Specialisation Impact'!$S$19:$S$186,"&gt;0")=0,"",SUMIFS('Specialisation Impact'!$S$19:$S$186,'Specialisation Impact'!$A$19:$A$186,A68,'Specialisation Impact'!$B$19:$B$186,B68))</x:f>
        <x:v>88.83116883116882</x:v>
      </x:c>
      <x:c r="V68" s="429" t="n">
        <x:f>IF(COUNTIFS('Specialisation Impact'!$A$19:$A$186,A68,'Specialisation Impact'!$B$19:$B$186,B68,'Specialisation Impact'!$V$19:$V$186,"&gt;0")=0,"",SUMIFS('Specialisation Impact'!$V$19:$V$186,'Specialisation Impact'!$A$19:$A$186,A68,'Specialisation Impact'!$B$19:$B$186,B68))</x:f>
        <x:v>93.16239316239316</x:v>
      </x:c>
    </x:row>
    <x:row r="69" ht="45" customHeight="1">
      <x:c r="A69" s="43" t="str">
        <x:v>K116</x:v>
      </x:c>
      <x:c r="B69" s="43" t="str">
        <x:v>逍遥浪四月</x:v>
      </x:c>
      <x:c r="C69" s="43" t="n">
        <x:v>72500</x:v>
      </x:c>
      <x:c r="D69" s="44" t="n">
        <x:v>3.111</x:v>
      </x:c>
      <x:c r="E69" s="44" t="n">
        <x:v>2.551</x:v>
      </x:c>
      <x:c r="F69" s="44" t="n">
        <x:v>2.821</x:v>
      </x:c>
      <x:c r="G69" s="44" t="n">
        <x:v>0.415</x:v>
      </x:c>
      <x:c r="H69" s="44" t="n">
        <x:v>-0.4</x:v>
      </x:c>
      <x:c r="I69" s="30" t="str">
        <x:v>Destroyers (Lv 40) — Parry</x:v>
      </x:c>
      <x:c r="J69" s="30" t="str">
        <x:v>Not shown in recording</x:v>
      </x:c>
      <x:c r="K69" s="30" t="str">
        <x:v>Eternal knights (Lv 40) — Thunder trample
Storm cavalry (Lv 40) — Mounted Archery</x:v>
      </x:c>
      <x:c r="L69" s="30" t="str">
        <x:v>Not shown in recording</x:v>
      </x:c>
      <x:c r="M69" s="43" t="n">
        <x:v>3</x:v>
      </x:c>
      <x:c r="N69" s="43" t="str">
        <x:v>03:19.75</x:v>
      </x:c>
      <x:c r="O69" s="43" t="str">
        <x:v>03:19.75-03:21.25</x:v>
      </x:c>
      <x:c r="P69" s="43" t="str">
        <x:v>1000025189.mp4</x:v>
      </x:c>
      <x:c r="Q69" s="391" t="n">
        <x:f>SUMIFS('Specialisations'!$N$6:$N$527,'Specialisations'!$A$6:$A$527,A69,'Specialisations'!$B$6:$B$527,B69)</x:f>
        <x:v>6732900</x:v>
      </x:c>
      <x:c r="R69" s="392" t="n">
        <x:f>IF(M69=0,"",COUNTIFS('Specialisations'!$A$6:$A$527,A69,'Specialisations'!$B$6:$B$527,B69,'Specialisations'!$P$6:$P$527,"OK")/M69)</x:f>
        <x:v>1</x:v>
      </x:c>
      <x:c r="S69" s="494" t="n">
        <x:f>IF(Q69=0,"",SUMIFS('Specialisation Impact'!$K$19:$K$186,'Specialisation Impact'!$A$19:$A$186,A69,'Specialisation Impact'!$B$19:$B$186,B69))</x:f>
        <x:v>55.48</x:v>
      </x:c>
      <x:c r="T69" s="494" t="n">
        <x:f>IF(Q69=0,"",SUMIFS('Specialisation Impact'!$G$19:$G$186,'Specialisation Impact'!$A$19:$A$186,A69,'Specialisation Impact'!$B$19:$B$186,B69))</x:f>
        <x:v>-27.74</x:v>
      </x:c>
      <x:c r="U69" s="429" t="n">
        <x:f>IF(COUNTIFS('Specialisation Impact'!$A$19:$A$186,A69,'Specialisation Impact'!$B$19:$B$186,B69,'Specialisation Impact'!$S$19:$S$186,"&gt;0")=0,"",SUMIFS('Specialisation Impact'!$S$19:$S$186,'Specialisation Impact'!$A$19:$A$186,A69,'Specialisation Impact'!$B$19:$B$186,B69))</x:f>
        <x:v>14.285714285714286</x:v>
      </x:c>
      <x:c r="V69" s="429" t="n">
        <x:f>IF(COUNTIFS('Specialisation Impact'!$A$19:$A$186,A69,'Specialisation Impact'!$B$19:$B$186,B69,'Specialisation Impact'!$V$19:$V$186,"&gt;0")=0,"",SUMIFS('Specialisation Impact'!$V$19:$V$186,'Specialisation Impact'!$A$19:$A$186,A69,'Specialisation Impact'!$B$19:$B$186,B69))</x:f>
        <x:v>29.48717948717949</x:v>
      </x:c>
    </x:row>
    <x:row r="70" ht="45" customHeight="1">
      <x:c r="A70" s="43" t="str">
        <x:v>K138</x:v>
      </x:c>
      <x:c r="B70" s="43" t="str">
        <x:v>(RaW)༺博卡Ajax༻</x:v>
      </x:c>
      <x:c r="C70" s="43" t="n">
        <x:v>227620</x:v>
      </x:c>
      <x:c r="D70" s="44" t="n">
        <x:v>3.7935</x:v>
      </x:c>
      <x:c r="E70" s="44" t="n">
        <x:v>3.3235</x:v>
      </x:c>
      <x:c r="F70" s="44" t="n">
        <x:v>3.4335</x:v>
      </x:c>
      <x:c r="G70" s="44" t="n">
        <x:v>0.4375</x:v>
      </x:c>
      <x:c r="H70" s="44" t="n">
        <x:v>-0.4375</x:v>
      </x:c>
      <x:c r="I70" s="30" t="str">
        <x:v>Destroyers (Lv 50) — Parry</x:v>
      </x:c>
      <x:c r="J70" s="30" t="str">
        <x:v>Elite bowmen (Lv 44) — Frost Arrow
Elite (Lv 21) — Focus</x:v>
      </x:c>
      <x:c r="K70" s="30" t="str">
        <x:v>Eternal knights (Lv 45) — Thunder trample
Storm cavalry (Lv 45) — Mounted Archery</x:v>
      </x:c>
      <x:c r="L70" s="30" t="str">
        <x:v>Manglers (Lv 30) — Highly toxic</x:v>
      </x:c>
      <x:c r="M70" s="43" t="n">
        <x:v>6</x:v>
      </x:c>
      <x:c r="N70" s="43" t="str">
        <x:v>00:16.5</x:v>
      </x:c>
      <x:c r="O70" s="43" t="str">
        <x:v>00:13.5-00:16.5</x:v>
      </x:c>
      <x:c r="P70" s="43" t="str">
        <x:v>K138_1000025064.mp4</x:v>
      </x:c>
      <x:c r="Q70" s="391" t="n">
        <x:f>SUMIFS('Specialisations'!$N$6:$N$527,'Specialisations'!$A$6:$A$527,A70,'Specialisations'!$B$6:$B$527,B70)</x:f>
        <x:v>23628300</x:v>
      </x:c>
      <x:c r="R70" s="392" t="n">
        <x:f>IF(M70=0,"",COUNTIFS('Specialisations'!$A$6:$A$527,A70,'Specialisations'!$B$6:$B$527,B70,'Specialisations'!$P$6:$P$527,"OK")/M70)</x:f>
        <x:v>1</x:v>
      </x:c>
      <x:c r="S70" s="494" t="n">
        <x:f>IF(Q70=0,"",SUMIFS('Specialisation Impact'!$K$19:$K$186,'Specialisation Impact'!$A$19:$A$186,A70,'Specialisation Impact'!$B$19:$B$186,B70))</x:f>
        <x:v>138.29</x:v>
      </x:c>
      <x:c r="T70" s="494" t="n">
        <x:f>IF(Q70=0,"",SUMIFS('Specialisation Impact'!$G$19:$G$186,'Specialisation Impact'!$A$19:$A$186,A70,'Specialisation Impact'!$B$19:$B$186,B70))</x:f>
        <x:v>-60</x:v>
      </x:c>
      <x:c r="U70" s="429" t="n">
        <x:f>IF(COUNTIFS('Specialisation Impact'!$A$19:$A$186,A70,'Specialisation Impact'!$B$19:$B$186,B70,'Specialisation Impact'!$S$19:$S$186,"&gt;0")=0,"",SUMIFS('Specialisation Impact'!$S$19:$S$186,'Specialisation Impact'!$A$19:$A$186,A70,'Specialisation Impact'!$B$19:$B$186,B70))</x:f>
        <x:v>80.77922077922078</x:v>
      </x:c>
      <x:c r="V70" s="429" t="n">
        <x:f>IF(COUNTIFS('Specialisation Impact'!$A$19:$A$186,A70,'Specialisation Impact'!$B$19:$B$186,B70,'Specialisation Impact'!$V$19:$V$186,"&gt;0")=0,"",SUMIFS('Specialisation Impact'!$V$19:$V$186,'Specialisation Impact'!$A$19:$A$186,A70,'Specialisation Impact'!$B$19:$B$186,B70))</x:f>
        <x:v>93.16239316239316</x:v>
      </x:c>
    </x:row>
    <x:row r="71" ht="45" customHeight="1">
      <x:c r="A71" s="43" t="str">
        <x:v>K138</x:v>
      </x:c>
      <x:c r="B71" s="43" t="str">
        <x:v>(RaW)Venom毒液</x:v>
      </x:c>
      <x:c r="C71" s="43" t="n">
        <x:v>57640</x:v>
      </x:c>
      <x:c r="D71" s="44" t="n">
        <x:v>2.986</x:v>
      </x:c>
      <x:c r="E71" s="44" t="n">
        <x:v>2.496</x:v>
      </x:c>
      <x:c r="F71" s="44" t="n">
        <x:v>2.696</x:v>
      </x:c>
      <x:c r="G71" s="44" t="n">
        <x:v>0.39</x:v>
      </x:c>
      <x:c r="H71" s="44" t="n">
        <x:v>-0.39</x:v>
      </x:c>
      <x:c r="I71" s="30" t="str">
        <x:v>Destroyers (Lv 49) — Parry</x:v>
      </x:c>
      <x:c r="J71" s="30" t="str">
        <x:v>Elite bowmen (Lv 37) — Frost Arrow</x:v>
      </x:c>
      <x:c r="K71" s="30" t="str">
        <x:v>Not shown in recording</x:v>
      </x:c>
      <x:c r="L71" s="30" t="str">
        <x:v>Not shown in recording</x:v>
      </x:c>
      <x:c r="M71" s="43" t="n">
        <x:v>2</x:v>
      </x:c>
      <x:c r="N71" s="43" t="str">
        <x:v>00:30.0</x:v>
      </x:c>
      <x:c r="O71" s="43" t="str">
        <x:v>00:28.0-00:30.0</x:v>
      </x:c>
      <x:c r="P71" s="43" t="str">
        <x:v>K138_1000025064.mp4</x:v>
      </x:c>
      <x:c r="Q71" s="391" t="n">
        <x:f>SUMIFS('Specialisations'!$N$6:$N$527,'Specialisations'!$A$6:$A$527,A71,'Specialisations'!$B$6:$B$527,B71)</x:f>
        <x:v>9958600</x:v>
      </x:c>
      <x:c r="R71" s="392" t="n">
        <x:f>IF(M71=0,"",COUNTIFS('Specialisations'!$A$6:$A$527,A71,'Specialisations'!$B$6:$B$527,B71,'Specialisations'!$P$6:$P$527,"OK")/M71)</x:f>
        <x:v>1</x:v>
      </x:c>
      <x:c r="S71" s="494" t="n">
        <x:f>IF(Q71=0,"",SUMIFS('Specialisation Impact'!$K$19:$K$186,'Specialisation Impact'!$A$19:$A$186,A71,'Specialisation Impact'!$B$19:$B$186,B71))</x:f>
        <x:v>20.73</x:v>
      </x:c>
      <x:c r="T71" s="494" t="n">
        <x:f>IF(Q71=0,"",SUMIFS('Specialisation Impact'!$G$19:$G$186,'Specialisation Impact'!$A$19:$A$186,A71,'Specialisation Impact'!$B$19:$B$186,B71))</x:f>
        <x:v>-55.2</x:v>
      </x:c>
      <x:c r="U71" s="429" t="n">
        <x:f>IF(COUNTIFS('Specialisation Impact'!$A$19:$A$186,A71,'Specialisation Impact'!$B$19:$B$186,B71,'Specialisation Impact'!$S$19:$S$186,"&gt;0")=0,"",SUMIFS('Specialisation Impact'!$S$19:$S$186,'Specialisation Impact'!$A$19:$A$186,A71,'Specialisation Impact'!$B$19:$B$186,B71))</x:f>
        <x:v>1.948051948051948</x:v>
      </x:c>
      <x:c r="V71" s="429" t="n">
        <x:f>IF(COUNTIFS('Specialisation Impact'!$A$19:$A$186,A71,'Specialisation Impact'!$B$19:$B$186,B71,'Specialisation Impact'!$V$19:$V$186,"&gt;0")=0,"",SUMIFS('Specialisation Impact'!$V$19:$V$186,'Specialisation Impact'!$A$19:$A$186,A71,'Specialisation Impact'!$B$19:$B$186,B71))</x:f>
        <x:v>84.18803418803418</x:v>
      </x:c>
    </x:row>
    <x:row r="72" ht="45" customHeight="1">
      <x:c r="A72" s="43" t="str">
        <x:v>K138</x:v>
      </x:c>
      <x:c r="B72" s="43" t="str">
        <x:v>(RaW)༺JOJO༻</x:v>
      </x:c>
      <x:c r="C72" s="43" t="n">
        <x:v>140110</x:v>
      </x:c>
      <x:c r="D72" s="44" t="n">
        <x:v>3.0635</x:v>
      </x:c>
      <x:c r="E72" s="44" t="n">
        <x:v>2.201</x:v>
      </x:c>
      <x:c r="F72" s="44" t="n">
        <x:v>2.626</x:v>
      </x:c>
      <x:c r="G72" s="44" t="n">
        <x:v>0.4375</x:v>
      </x:c>
      <x:c r="H72" s="44" t="n">
        <x:v>-0.4</x:v>
      </x:c>
      <x:c r="I72" s="30" t="str">
        <x:v>Destroyers (Lv 45) — Parry</x:v>
      </x:c>
      <x:c r="J72" s="30" t="str">
        <x:v>Elite bowmen (Lv 41) — Frost Arrow</x:v>
      </x:c>
      <x:c r="K72" s="30" t="str">
        <x:v>Storm cavalry (Lv 40) — Mounted Archery</x:v>
      </x:c>
      <x:c r="L72" s="30" t="str">
        <x:v>Not shown in recording</x:v>
      </x:c>
      <x:c r="M72" s="43" t="n">
        <x:v>3</x:v>
      </x:c>
      <x:c r="N72" s="43" t="str">
        <x:v>00:45.0</x:v>
      </x:c>
      <x:c r="O72" s="43" t="str">
        <x:v>00:42.5-00:45.0</x:v>
      </x:c>
      <x:c r="P72" s="43" t="str">
        <x:v>K138_1000025064.mp4</x:v>
      </x:c>
      <x:c r="Q72" s="391" t="n">
        <x:f>SUMIFS('Specialisations'!$N$6:$N$527,'Specialisations'!$A$6:$A$527,A72,'Specialisations'!$B$6:$B$527,B72)</x:f>
        <x:v>9052900</x:v>
      </x:c>
      <x:c r="R72" s="392" t="n">
        <x:f>IF(M72=0,"",COUNTIFS('Specialisations'!$A$6:$A$527,A72,'Specialisations'!$B$6:$B$527,B72,'Specialisations'!$P$6:$P$527,"OK")/M72)</x:f>
        <x:v>1</x:v>
      </x:c>
      <x:c r="S72" s="494" t="n">
        <x:f>IF(Q72=0,"",SUMIFS('Specialisation Impact'!$K$19:$K$186,'Specialisation Impact'!$A$19:$A$186,A72,'Specialisation Impact'!$B$19:$B$186,B72))</x:f>
        <x:v>58.12</x:v>
      </x:c>
      <x:c r="T72" s="494" t="n">
        <x:f>IF(Q72=0,"",SUMIFS('Specialisation Impact'!$G$19:$G$186,'Specialisation Impact'!$A$19:$A$186,A72,'Specialisation Impact'!$B$19:$B$186,B72))</x:f>
        <x:v>-41.98</x:v>
      </x:c>
      <x:c r="U72" s="429" t="n">
        <x:f>IF(COUNTIFS('Specialisation Impact'!$A$19:$A$186,A72,'Specialisation Impact'!$B$19:$B$186,B72,'Specialisation Impact'!$S$19:$S$186,"&gt;0")=0,"",SUMIFS('Specialisation Impact'!$S$19:$S$186,'Specialisation Impact'!$A$19:$A$186,A72,'Specialisation Impact'!$B$19:$B$186,B72))</x:f>
        <x:v>17.337662337662337</x:v>
      </x:c>
      <x:c r="V72" s="429" t="n">
        <x:f>IF(COUNTIFS('Specialisation Impact'!$A$19:$A$186,A72,'Specialisation Impact'!$B$19:$B$186,B72,'Specialisation Impact'!$V$19:$V$186,"&gt;0")=0,"",SUMIFS('Specialisation Impact'!$V$19:$V$186,'Specialisation Impact'!$A$19:$A$186,A72,'Specialisation Impact'!$B$19:$B$186,B72))</x:f>
        <x:v>60.25641025641025</x:v>
      </x:c>
    </x:row>
    <x:row r="73" ht="45" customHeight="1">
      <x:c r="A73" s="43" t="str">
        <x:v>K138</x:v>
      </x:c>
      <x:c r="B73" s="43" t="str">
        <x:v>(RaW)SLAP</x:v>
      </x:c>
      <x:c r="C73" s="43" t="n">
        <x:v>300600</x:v>
      </x:c>
      <x:c r="D73" s="44" t="n">
        <x:v>3.7635</x:v>
      </x:c>
      <x:c r="E73" s="44" t="n">
        <x:v>2.9735</x:v>
      </x:c>
      <x:c r="F73" s="44" t="n">
        <x:v>3.2335</x:v>
      </x:c>
      <x:c r="G73" s="44" t="n">
        <x:v>0.4375</x:v>
      </x:c>
      <x:c r="H73" s="44" t="n">
        <x:v>-0.4375</x:v>
      </x:c>
      <x:c r="I73" s="30" t="str">
        <x:v>Not shown in recording</x:v>
      </x:c>
      <x:c r="J73" s="30" t="str">
        <x:v>Elite bowmen (Lv 41) — Frost Arrow</x:v>
      </x:c>
      <x:c r="K73" s="30" t="str">
        <x:v>Eternal knights (Lv 48) — Thunder trample
Storm cavalry (Lv 48) — Mounted Archery</x:v>
      </x:c>
      <x:c r="L73" s="30" t="str">
        <x:v>Manglers (Lv 41) — Highly toxic</x:v>
      </x:c>
      <x:c r="M73" s="43" t="n">
        <x:v>4</x:v>
      </x:c>
      <x:c r="N73" s="43" t="str">
        <x:v>01:01.0</x:v>
      </x:c>
      <x:c r="O73" s="43" t="str">
        <x:v>00:58.5-01:01.0</x:v>
      </x:c>
      <x:c r="P73" s="43" t="str">
        <x:v>K138_1000025064.mp4</x:v>
      </x:c>
      <x:c r="Q73" s="391" t="n">
        <x:f>SUMIFS('Specialisations'!$N$6:$N$527,'Specialisations'!$A$6:$A$527,A73,'Specialisations'!$B$6:$B$527,B73)</x:f>
        <x:v>18917200</x:v>
      </x:c>
      <x:c r="R73" s="392" t="n">
        <x:f>IF(M73=0,"",COUNTIFS('Specialisations'!$A$6:$A$527,A73,'Specialisations'!$B$6:$B$527,B73,'Specialisations'!$P$6:$P$527,"OK")/M73)</x:f>
        <x:v>1</x:v>
      </x:c>
      <x:c r="S73" s="494" t="n">
        <x:f>IF(Q73=0,"",SUMIFS('Specialisation Impact'!$K$19:$K$186,'Specialisation Impact'!$A$19:$A$186,A73,'Specialisation Impact'!$B$19:$B$186,B73))</x:f>
        <x:v>164.24</x:v>
      </x:c>
      <x:c r="T73" s="494" t="n">
        <x:f>IF(Q73=0,"",SUMIFS('Specialisation Impact'!$G$19:$G$186,'Specialisation Impact'!$A$19:$A$186,A73,'Specialisation Impact'!$B$19:$B$186,B73))</x:f>
        <x:v>0</x:v>
      </x:c>
      <x:c r="U73" s="429" t="n">
        <x:f>IF(COUNTIFS('Specialisation Impact'!$A$19:$A$186,A73,'Specialisation Impact'!$B$19:$B$186,B73,'Specialisation Impact'!$S$19:$S$186,"&gt;0")=0,"",SUMIFS('Specialisation Impact'!$S$19:$S$186,'Specialisation Impact'!$A$19:$A$186,A73,'Specialisation Impact'!$B$19:$B$186,B73))</x:f>
        <x:v>89.35064935064935</x:v>
      </x:c>
      <x:c r="V73" s="429" t="str">
        <x:f>IF(COUNTIFS('Specialisation Impact'!$A$19:$A$186,A73,'Specialisation Impact'!$B$19:$B$186,B73,'Specialisation Impact'!$V$19:$V$186,"&gt;0")=0,"",SUMIFS('Specialisation Impact'!$V$19:$V$186,'Specialisation Impact'!$A$19:$A$186,A73,'Specialisation Impact'!$B$19:$B$186,B73))</x:f>
      </x:c>
    </x:row>
    <x:row r="74" ht="45" customHeight="1">
      <x:c r="A74" s="43" t="str">
        <x:v>K138</x:v>
      </x:c>
      <x:c r="B74" s="43" t="str">
        <x:v>(RaW)༺Aryz༻</x:v>
      </x:c>
      <x:c r="C74" s="43" t="n">
        <x:v>170150</x:v>
      </x:c>
      <x:c r="D74" s="44" t="n">
        <x:v>3.2385</x:v>
      </x:c>
      <x:c r="E74" s="44" t="n">
        <x:v>2.671</x:v>
      </x:c>
      <x:c r="F74" s="44" t="n">
        <x:v>3.166</x:v>
      </x:c>
      <x:c r="G74" s="44" t="n">
        <x:v>0.4375</x:v>
      </x:c>
      <x:c r="H74" s="44" t="n">
        <x:v>-0.415</x:v>
      </x:c>
      <x:c r="I74" s="30" t="str">
        <x:v>Not shown in recording</x:v>
      </x:c>
      <x:c r="J74" s="30" t="str">
        <x:v>Elite bowmen (Lv 40) — Frost Arrow</x:v>
      </x:c>
      <x:c r="K74" s="30" t="str">
        <x:v>Eternal knights (Lv 46) — Thunder trample
Storm cavalry (Lv 46) — Mounted Archery</x:v>
      </x:c>
      <x:c r="L74" s="30" t="str">
        <x:v>Manglers (Lv 42) — Highly toxic</x:v>
      </x:c>
      <x:c r="M74" s="43" t="n">
        <x:v>4</x:v>
      </x:c>
      <x:c r="N74" s="43" t="str">
        <x:v>01:12.0</x:v>
      </x:c>
      <x:c r="O74" s="43" t="str">
        <x:v>01:11.0-01:12.0</x:v>
      </x:c>
      <x:c r="P74" s="43" t="str">
        <x:v>K138_1000025064.mp4</x:v>
      </x:c>
      <x:c r="Q74" s="391" t="n">
        <x:f>SUMIFS('Specialisations'!$N$6:$N$527,'Specialisations'!$A$6:$A$527,A74,'Specialisations'!$B$6:$B$527,B74)</x:f>
        <x:v>15097200</x:v>
      </x:c>
      <x:c r="R74" s="392" t="n">
        <x:f>IF(M74=0,"",COUNTIFS('Specialisations'!$A$6:$A$527,A74,'Specialisations'!$B$6:$B$527,B74,'Specialisations'!$P$6:$P$527,"OK")/M74)</x:f>
        <x:v>1</x:v>
      </x:c>
      <x:c r="S74" s="494" t="n">
        <x:f>IF(Q74=0,"",SUMIFS('Specialisation Impact'!$K$19:$K$186,'Specialisation Impact'!$A$19:$A$186,A74,'Specialisation Impact'!$B$19:$B$186,B74))</x:f>
        <x:v>151.13</x:v>
      </x:c>
      <x:c r="T74" s="494" t="n">
        <x:f>IF(Q74=0,"",SUMIFS('Specialisation Impact'!$G$19:$G$186,'Specialisation Impact'!$A$19:$A$186,A74,'Specialisation Impact'!$B$19:$B$186,B74))</x:f>
        <x:v>0</x:v>
      </x:c>
      <x:c r="U74" s="429" t="n">
        <x:f>IF(COUNTIFS('Specialisation Impact'!$A$19:$A$186,A74,'Specialisation Impact'!$B$19:$B$186,B74,'Specialisation Impact'!$S$19:$S$186,"&gt;0")=0,"",SUMIFS('Specialisation Impact'!$S$19:$S$186,'Specialisation Impact'!$A$19:$A$186,A74,'Specialisation Impact'!$B$19:$B$186,B74))</x:f>
        <x:v>86.1038961038961</x:v>
      </x:c>
      <x:c r="V74" s="429" t="str">
        <x:f>IF(COUNTIFS('Specialisation Impact'!$A$19:$A$186,A74,'Specialisation Impact'!$B$19:$B$186,B74,'Specialisation Impact'!$V$19:$V$186,"&gt;0")=0,"",SUMIFS('Specialisation Impact'!$V$19:$V$186,'Specialisation Impact'!$A$19:$A$186,A74,'Specialisation Impact'!$B$19:$B$186,B74))</x:f>
      </x:c>
    </x:row>
    <x:row r="75" ht="45" customHeight="1">
      <x:c r="A75" s="43" t="str">
        <x:v>K138</x:v>
      </x:c>
      <x:c r="B75" s="43" t="str">
        <x:v>(RaW)©•SGT©•</x:v>
      </x:c>
      <x:c r="C75" s="43" t="n">
        <x:v>109990</x:v>
      </x:c>
      <x:c r="D75" s="44" t="n">
        <x:v>3.2235</x:v>
      </x:c>
      <x:c r="E75" s="44" t="n">
        <x:v>2.5435</x:v>
      </x:c>
      <x:c r="F75" s="44" t="n">
        <x:v>2.8285</x:v>
      </x:c>
      <x:c r="G75" s="44" t="n">
        <x:v>0.4375</x:v>
      </x:c>
      <x:c r="H75" s="44" t="n">
        <x:v>-0.415</x:v>
      </x:c>
      <x:c r="I75" s="30" t="str">
        <x:v>Destroyers (Lv 47) — Parry</x:v>
      </x:c>
      <x:c r="J75" s="30" t="str">
        <x:v>Elite bowmen (Lv 48) — Frost Arrow</x:v>
      </x:c>
      <x:c r="K75" s="30" t="str">
        <x:v>Storm cavalry (Lv 23) — Mounted Archery</x:v>
      </x:c>
      <x:c r="L75" s="30" t="str">
        <x:v>Not shown in recording</x:v>
      </x:c>
      <x:c r="M75" s="43" t="n">
        <x:v>3</x:v>
      </x:c>
      <x:c r="N75" s="43" t="str">
        <x:v>01:25.0</x:v>
      </x:c>
      <x:c r="O75" s="43" t="str">
        <x:v>01:23.5-01:25.0</x:v>
      </x:c>
      <x:c r="P75" s="43" t="str">
        <x:v>K138_1000025064.mp4</x:v>
      </x:c>
      <x:c r="Q75" s="391" t="n">
        <x:f>SUMIFS('Specialisations'!$N$6:$N$527,'Specialisations'!$A$6:$A$527,A75,'Specialisations'!$B$6:$B$527,B75)</x:f>
        <x:v>13137900</x:v>
      </x:c>
      <x:c r="R75" s="392" t="n">
        <x:f>IF(M75=0,"",COUNTIFS('Specialisations'!$A$6:$A$527,A75,'Specialisations'!$B$6:$B$527,B75,'Specialisations'!$P$6:$P$527,"OK")/M75)</x:f>
        <x:v>1</x:v>
      </x:c>
      <x:c r="S75" s="494" t="n">
        <x:f>IF(Q75=0,"",SUMIFS('Specialisation Impact'!$K$19:$K$186,'Specialisation Impact'!$A$19:$A$186,A75,'Specialisation Impact'!$B$19:$B$186,B75))</x:f>
        <x:v>56.54</x:v>
      </x:c>
      <x:c r="T75" s="494" t="n">
        <x:f>IF(Q75=0,"",SUMIFS('Specialisation Impact'!$G$19:$G$186,'Specialisation Impact'!$A$19:$A$186,A75,'Specialisation Impact'!$B$19:$B$186,B75))</x:f>
        <x:v>-48.38</x:v>
      </x:c>
      <x:c r="U75" s="429" t="n">
        <x:f>IF(COUNTIFS('Specialisation Impact'!$A$19:$A$186,A75,'Specialisation Impact'!$B$19:$B$186,B75,'Specialisation Impact'!$S$19:$S$186,"&gt;0")=0,"",SUMIFS('Specialisation Impact'!$S$19:$S$186,'Specialisation Impact'!$A$19:$A$186,A75,'Specialisation Impact'!$B$19:$B$186,B75))</x:f>
        <x:v>18.83116883116883</x:v>
      </x:c>
      <x:c r="V75" s="429" t="n">
        <x:f>IF(COUNTIFS('Specialisation Impact'!$A$19:$A$186,A75,'Specialisation Impact'!$B$19:$B$186,B75,'Specialisation Impact'!$V$19:$V$186,"&gt;0")=0,"",SUMIFS('Specialisation Impact'!$V$19:$V$186,'Specialisation Impact'!$A$19:$A$186,A75,'Specialisation Impact'!$B$19:$B$186,B75))</x:f>
        <x:v>76.06837606837607</x:v>
      </x:c>
    </x:row>
    <x:row r="76" ht="45" customHeight="1">
      <x:c r="A76" s="43" t="str">
        <x:v>K138</x:v>
      </x:c>
      <x:c r="B76" s="43" t="str">
        <x:v>(RaW)JØNS</x:v>
      </x:c>
      <x:c r="C76" s="43" t="n">
        <x:v>57500</x:v>
      </x:c>
      <x:c r="D76" s="44" t="n">
        <x:v>2.9021</x:v>
      </x:c>
      <x:c r="E76" s="44" t="n">
        <x:v>2.286</x:v>
      </x:c>
      <x:c r="F76" s="44" t="n">
        <x:v>2.506</x:v>
      </x:c>
      <x:c r="G76" s="44" t="n">
        <x:v>0.415</x:v>
      </x:c>
      <x:c r="H76" s="44" t="n">
        <x:v>-0.4</x:v>
      </x:c>
      <x:c r="I76" s="30" t="str">
        <x:v>Destroyers (Lv 22) — Parry</x:v>
      </x:c>
      <x:c r="J76" s="30" t="str">
        <x:v>Elite bowmen (Lv 39) — Frost Arrow</x:v>
      </x:c>
      <x:c r="K76" s="30" t="str">
        <x:v>Not shown in recording</x:v>
      </x:c>
      <x:c r="L76" s="30" t="str">
        <x:v>Not shown in recording</x:v>
      </x:c>
      <x:c r="M76" s="43" t="n">
        <x:v>2</x:v>
      </x:c>
      <x:c r="N76" s="43" t="str">
        <x:v>01:31.5</x:v>
      </x:c>
      <x:c r="O76" s="43" t="str">
        <x:v>01:30.5-01:31.5</x:v>
      </x:c>
      <x:c r="P76" s="43" t="str">
        <x:v>K138_1000025064.mp4</x:v>
      </x:c>
      <x:c r="Q76" s="391" t="n">
        <x:f>SUMIFS('Specialisations'!$N$6:$N$527,'Specialisations'!$A$6:$A$527,A76,'Specialisations'!$B$6:$B$527,B76)</x:f>
        <x:v>2276100</x:v>
      </x:c>
      <x:c r="R76" s="392" t="n">
        <x:f>IF(M76=0,"",COUNTIFS('Specialisations'!$A$6:$A$527,A76,'Specialisations'!$B$6:$B$527,B76,'Specialisations'!$P$6:$P$527,"OK")/M76)</x:f>
        <x:v>1</x:v>
      </x:c>
      <x:c r="S76" s="494" t="n">
        <x:f>IF(Q76=0,"",SUMIFS('Specialisation Impact'!$K$19:$K$186,'Specialisation Impact'!$A$19:$A$186,A76,'Specialisation Impact'!$B$19:$B$186,B76))</x:f>
        <x:v>24</x:v>
      </x:c>
      <x:c r="T76" s="494" t="n">
        <x:f>IF(Q76=0,"",SUMIFS('Specialisation Impact'!$G$19:$G$186,'Specialisation Impact'!$A$19:$A$186,A76,'Specialisation Impact'!$B$19:$B$186,B76))</x:f>
        <x:v>-4.18</x:v>
      </x:c>
      <x:c r="U76" s="429" t="n">
        <x:f>IF(COUNTIFS('Specialisation Impact'!$A$19:$A$186,A76,'Specialisation Impact'!$B$19:$B$186,B76,'Specialisation Impact'!$S$19:$S$186,"&gt;0")=0,"",SUMIFS('Specialisation Impact'!$S$19:$S$186,'Specialisation Impact'!$A$19:$A$186,A76,'Specialisation Impact'!$B$19:$B$186,B76))</x:f>
        <x:v>2.5974025974025974</x:v>
      </x:c>
      <x:c r="V76" s="429" t="n">
        <x:f>IF(COUNTIFS('Specialisation Impact'!$A$19:$A$186,A76,'Specialisation Impact'!$B$19:$B$186,B76,'Specialisation Impact'!$V$19:$V$186,"&gt;0")=0,"",SUMIFS('Specialisation Impact'!$V$19:$V$186,'Specialisation Impact'!$A$19:$A$186,A76,'Specialisation Impact'!$B$19:$B$186,B76))</x:f>
        <x:v>0.8547008547008547</x:v>
      </x:c>
    </x:row>
    <x:row r="77" ht="45" customHeight="1">
      <x:c r="A77" s="43" t="str">
        <x:v>K138</x:v>
      </x:c>
      <x:c r="B77" s="43" t="str">
        <x:v>(RaW)༺Frankie༻</x:v>
      </x:c>
      <x:c r="C77" s="43" t="n">
        <x:v>227600</x:v>
      </x:c>
      <x:c r="D77" s="44" t="n">
        <x:v>3.5085</x:v>
      </x:c>
      <x:c r="E77" s="44" t="n">
        <x:v>2.9585</x:v>
      </x:c>
      <x:c r="F77" s="44" t="n">
        <x:v>3.1985</x:v>
      </x:c>
      <x:c r="G77" s="44" t="n">
        <x:v>0.4375</x:v>
      </x:c>
      <x:c r="H77" s="44" t="n">
        <x:v>-0.4375</x:v>
      </x:c>
      <x:c r="I77" s="30" t="str">
        <x:v>Destroyers (Lv 50) — Parry</x:v>
      </x:c>
      <x:c r="J77" s="30" t="str">
        <x:v>Elite bowmen (Lv 33) — Frost Arrow</x:v>
      </x:c>
      <x:c r="K77" s="30" t="str">
        <x:v>Eternal knights (Lv 45) — Thunder trample
Storm cavalry (Lv 45) — Mounted Archery</x:v>
      </x:c>
      <x:c r="L77" s="30" t="str">
        <x:v>Manglers (Lv 31) — Highly toxic</x:v>
      </x:c>
      <x:c r="M77" s="43" t="n">
        <x:v>5</x:v>
      </x:c>
      <x:c r="N77" s="43" t="str">
        <x:v>01:45.5</x:v>
      </x:c>
      <x:c r="O77" s="43" t="str">
        <x:v>01:44.0-01:45.5</x:v>
      </x:c>
      <x:c r="P77" s="43" t="str">
        <x:v>K138_1000025064.mp4</x:v>
      </x:c>
      <x:c r="Q77" s="391" t="n">
        <x:f>SUMIFS('Specialisations'!$N$6:$N$527,'Specialisations'!$A$6:$A$527,A77,'Specialisations'!$B$6:$B$527,B77)</x:f>
        <x:v>20841500</x:v>
      </x:c>
      <x:c r="R77" s="392" t="n">
        <x:f>IF(M77=0,"",COUNTIFS('Specialisations'!$A$6:$A$527,A77,'Specialisations'!$B$6:$B$527,B77,'Specialisations'!$P$6:$P$527,"OK")/M77)</x:f>
        <x:v>1</x:v>
      </x:c>
      <x:c r="S77" s="494" t="n">
        <x:f>IF(Q77=0,"",SUMIFS('Specialisation Impact'!$K$19:$K$186,'Specialisation Impact'!$A$19:$A$186,A77,'Specialisation Impact'!$B$19:$B$186,B77))</x:f>
        <x:v>110.83</x:v>
      </x:c>
      <x:c r="T77" s="494" t="n">
        <x:f>IF(Q77=0,"",SUMIFS('Specialisation Impact'!$G$19:$G$186,'Specialisation Impact'!$A$19:$A$186,A77,'Specialisation Impact'!$B$19:$B$186,B77))</x:f>
        <x:v>-60</x:v>
      </x:c>
      <x:c r="U77" s="429" t="n">
        <x:f>IF(COUNTIFS('Specialisation Impact'!$A$19:$A$186,A77,'Specialisation Impact'!$B$19:$B$186,B77,'Specialisation Impact'!$S$19:$S$186,"&gt;0")=0,"",SUMIFS('Specialisation Impact'!$S$19:$S$186,'Specialisation Impact'!$A$19:$A$186,A77,'Specialisation Impact'!$B$19:$B$186,B77))</x:f>
        <x:v>61.81818181818181</x:v>
      </x:c>
      <x:c r="V77" s="429" t="n">
        <x:f>IF(COUNTIFS('Specialisation Impact'!$A$19:$A$186,A77,'Specialisation Impact'!$B$19:$B$186,B77,'Specialisation Impact'!$V$19:$V$186,"&gt;0")=0,"",SUMIFS('Specialisation Impact'!$V$19:$V$186,'Specialisation Impact'!$A$19:$A$186,A77,'Specialisation Impact'!$B$19:$B$186,B77))</x:f>
        <x:v>93.16239316239316</x:v>
      </x:c>
    </x:row>
    <x:row r="78" ht="45" customHeight="1">
      <x:c r="A78" s="43" t="str">
        <x:v>K138</x:v>
      </x:c>
      <x:c r="B78" s="43" t="str">
        <x:v>(RaW)Critykal</x:v>
      </x:c>
      <x:c r="C78" s="43" t="n">
        <x:v>250090</x:v>
      </x:c>
      <x:c r="D78" s="44" t="n">
        <x:v>4.1785</x:v>
      </x:c>
      <x:c r="E78" s="44" t="n">
        <x:v>3.2785</x:v>
      </x:c>
      <x:c r="F78" s="44" t="n">
        <x:v>3.3485</x:v>
      </x:c>
      <x:c r="G78" s="44" t="n">
        <x:v>0.4375</x:v>
      </x:c>
      <x:c r="H78" s="44" t="n">
        <x:v>-0.4375</x:v>
      </x:c>
      <x:c r="I78" s="30" t="str">
        <x:v>Not shown in recording</x:v>
      </x:c>
      <x:c r="J78" s="30" t="str">
        <x:v>Elite bowmen (Lv 40) — Frost Arrow</x:v>
      </x:c>
      <x:c r="K78" s="30" t="str">
        <x:v>Eternal knights (Lv 50) — Thunder trample
Storm cavalry (Lv 50) — Mounted Archery</x:v>
      </x:c>
      <x:c r="L78" s="30" t="str">
        <x:v>Manglers (Lv 40) — Highly toxic</x:v>
      </x:c>
      <x:c r="M78" s="43" t="n">
        <x:v>4</x:v>
      </x:c>
      <x:c r="N78" s="43" t="str">
        <x:v>01:57.0</x:v>
      </x:c>
      <x:c r="O78" s="43" t="str">
        <x:v>01:55.0-01:57.0</x:v>
      </x:c>
      <x:c r="P78" s="43" t="str">
        <x:v>K138_1000025064.mp4</x:v>
      </x:c>
      <x:c r="Q78" s="391" t="n">
        <x:f>SUMIFS('Specialisations'!$N$6:$N$527,'Specialisations'!$A$6:$A$527,A78,'Specialisations'!$B$6:$B$527,B78)</x:f>
        <x:v>25157200</x:v>
      </x:c>
      <x:c r="R78" s="392" t="n">
        <x:f>IF(M78=0,"",COUNTIFS('Specialisations'!$A$6:$A$527,A78,'Specialisations'!$B$6:$B$527,B78,'Specialisations'!$P$6:$P$527,"OK")/M78)</x:f>
        <x:v>1</x:v>
      </x:c>
      <x:c r="S78" s="494" t="n">
        <x:f>IF(Q78=0,"",SUMIFS('Specialisation Impact'!$K$19:$K$186,'Specialisation Impact'!$A$19:$A$186,A78,'Specialisation Impact'!$B$19:$B$186,B78))</x:f>
        <x:v>175.48000000000002</x:v>
      </x:c>
      <x:c r="T78" s="494" t="n">
        <x:f>IF(Q78=0,"",SUMIFS('Specialisation Impact'!$G$19:$G$186,'Specialisation Impact'!$A$19:$A$186,A78,'Specialisation Impact'!$B$19:$B$186,B78))</x:f>
        <x:v>0</x:v>
      </x:c>
      <x:c r="U78" s="429" t="n">
        <x:f>IF(COUNTIFS('Specialisation Impact'!$A$19:$A$186,A78,'Specialisation Impact'!$B$19:$B$186,B78,'Specialisation Impact'!$S$19:$S$186,"&gt;0")=0,"",SUMIFS('Specialisation Impact'!$S$19:$S$186,'Specialisation Impact'!$A$19:$A$186,A78,'Specialisation Impact'!$B$19:$B$186,B78))</x:f>
        <x:v>92.98701298701299</x:v>
      </x:c>
      <x:c r="V78" s="429" t="str">
        <x:f>IF(COUNTIFS('Specialisation Impact'!$A$19:$A$186,A78,'Specialisation Impact'!$B$19:$B$186,B78,'Specialisation Impact'!$V$19:$V$186,"&gt;0")=0,"",SUMIFS('Specialisation Impact'!$V$19:$V$186,'Specialisation Impact'!$A$19:$A$186,A78,'Specialisation Impact'!$B$19:$B$186,B78))</x:f>
      </x:c>
    </x:row>
    <x:row r="79" ht="45" customHeight="1">
      <x:c r="A79" s="43" t="str">
        <x:v>K138</x:v>
      </x:c>
      <x:c r="B79" s="43" t="str">
        <x:v>(RaW)Maddog</x:v>
      </x:c>
      <x:c r="C79" s="43" t="n">
        <x:v>119590</x:v>
      </x:c>
      <x:c r="D79" s="44" t="n">
        <x:v>3.2385</x:v>
      </x:c>
      <x:c r="E79" s="44" t="n">
        <x:v>2.631</x:v>
      </x:c>
      <x:c r="F79" s="44" t="n">
        <x:v>2.846</x:v>
      </x:c>
      <x:c r="G79" s="44" t="n">
        <x:v>0.4375</x:v>
      </x:c>
      <x:c r="H79" s="44" t="n">
        <x:v>-0.415</x:v>
      </x:c>
      <x:c r="I79" s="30" t="str">
        <x:v>Destroyers (Lv 50) — Parry</x:v>
      </x:c>
      <x:c r="J79" s="30" t="str">
        <x:v>Elite bowmen (Lv 44) — Frost Arrow</x:v>
      </x:c>
      <x:c r="K79" s="30" t="str">
        <x:v>Storm cavalry (Lv 25) — Mounted Archery</x:v>
      </x:c>
      <x:c r="L79" s="30" t="str">
        <x:v>Not shown in recording</x:v>
      </x:c>
      <x:c r="M79" s="43" t="n">
        <x:v>3</x:v>
      </x:c>
      <x:c r="N79" s="43" t="str">
        <x:v>02:07.5</x:v>
      </x:c>
      <x:c r="O79" s="43" t="str">
        <x:v>02:06.5-02:07.5</x:v>
      </x:c>
      <x:c r="P79" s="43" t="str">
        <x:v>K138_1000025064.mp4</x:v>
      </x:c>
      <x:c r="Q79" s="391" t="n">
        <x:f>SUMIFS('Specialisations'!$N$6:$N$527,'Specialisations'!$A$6:$A$527,A79,'Specialisations'!$B$6:$B$527,B79)</x:f>
        <x:v>14482900</x:v>
      </x:c>
      <x:c r="R79" s="392" t="n">
        <x:f>IF(M79=0,"",COUNTIFS('Specialisations'!$A$6:$A$527,A79,'Specialisations'!$B$6:$B$527,B79,'Specialisations'!$P$6:$P$527,"OK")/M79)</x:f>
        <x:v>1</x:v>
      </x:c>
      <x:c r="S79" s="494" t="n">
        <x:f>IF(Q79=0,"",SUMIFS('Specialisation Impact'!$K$19:$K$186,'Specialisation Impact'!$A$19:$A$186,A79,'Specialisation Impact'!$B$19:$B$186,B79))</x:f>
        <x:v>46.04</x:v>
      </x:c>
      <x:c r="T79" s="494" t="n">
        <x:f>IF(Q79=0,"",SUMIFS('Specialisation Impact'!$G$19:$G$186,'Specialisation Impact'!$A$19:$A$186,A79,'Specialisation Impact'!$B$19:$B$186,B79))</x:f>
        <x:v>-60</x:v>
      </x:c>
      <x:c r="U79" s="429" t="n">
        <x:f>IF(COUNTIFS('Specialisation Impact'!$A$19:$A$186,A79,'Specialisation Impact'!$B$19:$B$186,B79,'Specialisation Impact'!$S$19:$S$186,"&gt;0")=0,"",SUMIFS('Specialisation Impact'!$S$19:$S$186,'Specialisation Impact'!$A$19:$A$186,A79,'Specialisation Impact'!$B$19:$B$186,B79))</x:f>
        <x:v>10.25974025974026</x:v>
      </x:c>
      <x:c r="V79" s="429" t="n">
        <x:f>IF(COUNTIFS('Specialisation Impact'!$A$19:$A$186,A79,'Specialisation Impact'!$B$19:$B$186,B79,'Specialisation Impact'!$V$19:$V$186,"&gt;0")=0,"",SUMIFS('Specialisation Impact'!$V$19:$V$186,'Specialisation Impact'!$A$19:$A$186,A79,'Specialisation Impact'!$B$19:$B$186,B79))</x:f>
        <x:v>93.16239316239316</x:v>
      </x:c>
    </x:row>
    <x:row r="80" ht="45" customHeight="1">
      <x:c r="A80" s="43" t="str">
        <x:v>K138</x:v>
      </x:c>
      <x:c r="B80" s="43" t="str">
        <x:v>(RaW)BEYKOZLU</x:v>
      </x:c>
      <x:c r="C80" s="43" t="n">
        <x:v>107110</x:v>
      </x:c>
      <x:c r="D80" s="44" t="n">
        <x:v>3.076</x:v>
      </x:c>
      <x:c r="E80" s="44" t="n">
        <x:v>2.581</x:v>
      </x:c>
      <x:c r="F80" s="44" t="n">
        <x:v>3.066</x:v>
      </x:c>
      <x:c r="G80" s="44" t="n">
        <x:v>0.415</x:v>
      </x:c>
      <x:c r="H80" s="44" t="n">
        <x:v>-0.415</x:v>
      </x:c>
      <x:c r="I80" s="30" t="str">
        <x:v>Destroyers (Lv 48) — Parry</x:v>
      </x:c>
      <x:c r="J80" s="30" t="str">
        <x:v>Elite bowmen (Lv 43) — Frost Arrow</x:v>
      </x:c>
      <x:c r="K80" s="30" t="str">
        <x:v>Storm cavalry (Lv 48) — Mounted Archery</x:v>
      </x:c>
      <x:c r="L80" s="30" t="str">
        <x:v>Not shown in recording</x:v>
      </x:c>
      <x:c r="M80" s="43" t="n">
        <x:v>3</x:v>
      </x:c>
      <x:c r="N80" s="43" t="str">
        <x:v>02:17.50</x:v>
      </x:c>
      <x:c r="O80" s="43" t="str">
        <x:v>02:17.0-02:17.5</x:v>
      </x:c>
      <x:c r="P80" s="43" t="str">
        <x:v>K138_1000025064.mp4</x:v>
      </x:c>
      <x:c r="Q80" s="391" t="n">
        <x:f>SUMIFS('Specialisations'!$N$6:$N$527,'Specialisations'!$A$6:$A$527,A80,'Specialisations'!$B$6:$B$527,B80)</x:f>
        <x:v>17112900</x:v>
      </x:c>
      <x:c r="R80" s="392" t="n">
        <x:f>IF(M80=0,"",COUNTIFS('Specialisations'!$A$6:$A$527,A80,'Specialisations'!$B$6:$B$527,B80,'Specialisations'!$P$6:$P$527,"OK")/M80)</x:f>
        <x:v>1</x:v>
      </x:c>
      <x:c r="S80" s="494" t="n">
        <x:f>IF(Q80=0,"",SUMIFS('Specialisation Impact'!$K$19:$K$186,'Specialisation Impact'!$A$19:$A$186,A80,'Specialisation Impact'!$B$19:$B$186,B80))</x:f>
        <x:v>87.72</x:v>
      </x:c>
      <x:c r="T80" s="494" t="n">
        <x:f>IF(Q80=0,"",SUMIFS('Specialisation Impact'!$G$19:$G$186,'Specialisation Impact'!$A$19:$A$186,A80,'Specialisation Impact'!$B$19:$B$186,B80))</x:f>
        <x:v>-51.74</x:v>
      </x:c>
      <x:c r="U80" s="429" t="n">
        <x:f>IF(COUNTIFS('Specialisation Impact'!$A$19:$A$186,A80,'Specialisation Impact'!$B$19:$B$186,B80,'Specialisation Impact'!$S$19:$S$186,"&gt;0")=0,"",SUMIFS('Specialisation Impact'!$S$19:$S$186,'Specialisation Impact'!$A$19:$A$186,A80,'Specialisation Impact'!$B$19:$B$186,B80))</x:f>
        <x:v>44.935064935064936</x:v>
      </x:c>
      <x:c r="V80" s="429" t="n">
        <x:f>IF(COUNTIFS('Specialisation Impact'!$A$19:$A$186,A80,'Specialisation Impact'!$B$19:$B$186,B80,'Specialisation Impact'!$V$19:$V$186,"&gt;0")=0,"",SUMIFS('Specialisation Impact'!$V$19:$V$186,'Specialisation Impact'!$A$19:$A$186,A80,'Specialisation Impact'!$B$19:$B$186,B80))</x:f>
        <x:v>79.91452991452991</x:v>
      </x:c>
    </x:row>
    <x:row r="81" ht="45" customHeight="1">
      <x:c r="A81" s="43" t="str">
        <x:v>K138</x:v>
      </x:c>
      <x:c r="B81" s="43" t="str">
        <x:v>(RaW)༺ASOS༻</x:v>
      </x:c>
      <x:c r="C81" s="43" t="n">
        <x:v>57579</x:v>
      </x:c>
      <x:c r="D81" s="44" t="n">
        <x:v>2.9071</x:v>
      </x:c>
      <x:c r="E81" s="44" t="n">
        <x:v>1.585</x:v>
      </x:c>
      <x:c r="F81" s="44" t="n">
        <x:v>1.89</x:v>
      </x:c>
      <x:c r="G81" s="44" t="n">
        <x:v>0.4</x:v>
      </x:c>
      <x:c r="H81" s="44" t="n">
        <x:v>-0.04</x:v>
      </x:c>
      <x:c r="I81" s="30" t="str">
        <x:v>Destroyers (Lv 45) — Parry</x:v>
      </x:c>
      <x:c r="J81" s="30" t="str">
        <x:v>Elite bowmen (Lv 46) — Frost Arrow</x:v>
      </x:c>
      <x:c r="K81" s="30" t="str">
        <x:v>Not shown in recording</x:v>
      </x:c>
      <x:c r="L81" s="30" t="str">
        <x:v>Not shown in recording</x:v>
      </x:c>
      <x:c r="M81" s="43" t="n">
        <x:v>2</x:v>
      </x:c>
      <x:c r="N81" s="43" t="str">
        <x:v>02:25.50</x:v>
      </x:c>
      <x:c r="O81" s="43" t="str">
        <x:v>02:24.5-02:25.5</x:v>
      </x:c>
      <x:c r="P81" s="43" t="str">
        <x:v>K138_1000025064.mp4</x:v>
      </x:c>
      <x:c r="Q81" s="391" t="n">
        <x:f>SUMIFS('Specialisations'!$N$6:$N$527,'Specialisations'!$A$6:$A$527,A81,'Specialisations'!$B$6:$B$527,B81)</x:f>
        <x:v>9288600</x:v>
      </x:c>
      <x:c r="R81" s="392" t="n">
        <x:f>IF(M81=0,"",COUNTIFS('Specialisations'!$A$6:$A$527,A81,'Specialisations'!$B$6:$B$527,B81,'Specialisations'!$P$6:$P$527,"OK")/M81)</x:f>
        <x:v>1</x:v>
      </x:c>
      <x:c r="S81" s="494" t="n">
        <x:f>IF(Q81=0,"",SUMIFS('Specialisation Impact'!$K$19:$K$186,'Specialisation Impact'!$A$19:$A$186,A81,'Specialisation Impact'!$B$19:$B$186,B81))</x:f>
        <x:v>45.13</x:v>
      </x:c>
      <x:c r="T81" s="494" t="n">
        <x:f>IF(Q81=0,"",SUMIFS('Specialisation Impact'!$G$19:$G$186,'Specialisation Impact'!$A$19:$A$186,A81,'Specialisation Impact'!$B$19:$B$186,B81))</x:f>
        <x:v>-41.98</x:v>
      </x:c>
      <x:c r="U81" s="429" t="n">
        <x:f>IF(COUNTIFS('Specialisation Impact'!$A$19:$A$186,A81,'Specialisation Impact'!$B$19:$B$186,B81,'Specialisation Impact'!$S$19:$S$186,"&gt;0")=0,"",SUMIFS('Specialisation Impact'!$S$19:$S$186,'Specialisation Impact'!$A$19:$A$186,A81,'Specialisation Impact'!$B$19:$B$186,B81))</x:f>
        <x:v>9.935064935064934</x:v>
      </x:c>
      <x:c r="V81" s="429" t="n">
        <x:f>IF(COUNTIFS('Specialisation Impact'!$A$19:$A$186,A81,'Specialisation Impact'!$B$19:$B$186,B81,'Specialisation Impact'!$V$19:$V$186,"&gt;0")=0,"",SUMIFS('Specialisation Impact'!$V$19:$V$186,'Specialisation Impact'!$A$19:$A$186,A81,'Specialisation Impact'!$B$19:$B$186,B81))</x:f>
        <x:v>60.25641025641025</x:v>
      </x:c>
    </x:row>
    <x:row r="82" ht="45" customHeight="1">
      <x:c r="A82" s="43" t="str">
        <x:v>K138</x:v>
      </x:c>
      <x:c r="B82" s="43" t="str">
        <x:v>(RaW)Nightmare</x:v>
      </x:c>
      <x:c r="C82" s="43" t="n">
        <x:v>130610</x:v>
      </x:c>
      <x:c r="D82" s="44" t="n">
        <x:v>2.651</x:v>
      </x:c>
      <x:c r="E82" s="44" t="n">
        <x:v>2.506</x:v>
      </x:c>
      <x:c r="F82" s="44" t="n">
        <x:v>2.866</x:v>
      </x:c>
      <x:c r="G82" s="44" t="n">
        <x:v>0.415</x:v>
      </x:c>
      <x:c r="H82" s="44" t="n">
        <x:v>-0.4</x:v>
      </x:c>
      <x:c r="I82" s="30" t="str">
        <x:v>Destroyers (Lv 45) — Parry</x:v>
      </x:c>
      <x:c r="J82" s="30" t="str">
        <x:v>Elite bowmen (Lv 45) — Frost Arrow</x:v>
      </x:c>
      <x:c r="K82" s="30" t="str">
        <x:v>Storm cavalry (Lv 44) — Mounted Archery</x:v>
      </x:c>
      <x:c r="L82" s="30" t="str">
        <x:v>Not shown in recording</x:v>
      </x:c>
      <x:c r="M82" s="43" t="n">
        <x:v>3</x:v>
      </x:c>
      <x:c r="N82" s="43" t="str">
        <x:v>02:35</x:v>
      </x:c>
      <x:c r="O82" s="43" t="str">
        <x:v>02:34.0-02:35.0</x:v>
      </x:c>
      <x:c r="P82" s="43" t="str">
        <x:v>K138_1000025064.mp4</x:v>
      </x:c>
      <x:c r="Q82" s="391" t="n">
        <x:f>SUMIFS('Specialisations'!$N$6:$N$527,'Specialisations'!$A$6:$A$527,A82,'Specialisations'!$B$6:$B$527,B82)</x:f>
        <x:v>12292900</x:v>
      </x:c>
      <x:c r="R82" s="392" t="n">
        <x:f>IF(M82=0,"",COUNTIFS('Specialisations'!$A$6:$A$527,A82,'Specialisations'!$B$6:$B$527,B82,'Specialisations'!$P$6:$P$527,"OK")/M82)</x:f>
        <x:v>1</x:v>
      </x:c>
      <x:c r="S82" s="494" t="n">
        <x:f>IF(Q82=0,"",SUMIFS('Specialisation Impact'!$K$19:$K$186,'Specialisation Impact'!$A$19:$A$186,A82,'Specialisation Impact'!$B$19:$B$186,B82))</x:f>
        <x:v>81.91</x:v>
      </x:c>
      <x:c r="T82" s="494" t="n">
        <x:f>IF(Q82=0,"",SUMIFS('Specialisation Impact'!$G$19:$G$186,'Specialisation Impact'!$A$19:$A$186,A82,'Specialisation Impact'!$B$19:$B$186,B82))</x:f>
        <x:v>-41.98</x:v>
      </x:c>
      <x:c r="U82" s="429" t="n">
        <x:f>IF(COUNTIFS('Specialisation Impact'!$A$19:$A$186,A82,'Specialisation Impact'!$B$19:$B$186,B82,'Specialisation Impact'!$S$19:$S$186,"&gt;0")=0,"",SUMIFS('Specialisation Impact'!$S$19:$S$186,'Specialisation Impact'!$A$19:$A$186,A82,'Specialisation Impact'!$B$19:$B$186,B82))</x:f>
        <x:v>37.79220779220779</x:v>
      </x:c>
      <x:c r="V82" s="429" t="n">
        <x:f>IF(COUNTIFS('Specialisation Impact'!$A$19:$A$186,A82,'Specialisation Impact'!$B$19:$B$186,B82,'Specialisation Impact'!$V$19:$V$186,"&gt;0")=0,"",SUMIFS('Specialisation Impact'!$V$19:$V$186,'Specialisation Impact'!$A$19:$A$186,A82,'Specialisation Impact'!$B$19:$B$186,B82))</x:f>
        <x:v>60.25641025641025</x:v>
      </x:c>
    </x:row>
    <x:row r="83" ht="45" customHeight="1">
      <x:c r="A83" s="43" t="str">
        <x:v>K138</x:v>
      </x:c>
      <x:c r="B83" s="43" t="str">
        <x:v>(RaW)MARYEL</x:v>
      </x:c>
      <x:c r="C83" s="43" t="n">
        <x:v>107610</x:v>
      </x:c>
      <x:c r="D83" s="44" t="n">
        <x:v>3.196</x:v>
      </x:c>
      <x:c r="E83" s="44" t="n">
        <x:v>2.586</x:v>
      </x:c>
      <x:c r="F83" s="44" t="n">
        <x:v>3.051</x:v>
      </x:c>
      <x:c r="G83" s="44" t="n">
        <x:v>0.4375</x:v>
      </x:c>
      <x:c r="H83" s="44" t="n">
        <x:v>-0.415</x:v>
      </x:c>
      <x:c r="I83" s="30" t="str">
        <x:v>Destroyers (Lv 50) — Parry</x:v>
      </x:c>
      <x:c r="J83" s="30" t="str">
        <x:v>Elite bowmen (Lv 40) — Frost Arrow</x:v>
      </x:c>
      <x:c r="K83" s="30" t="str">
        <x:v>Storm cavalry (Lv 29) — Mounted Archery</x:v>
      </x:c>
      <x:c r="L83" s="30" t="str">
        <x:v>Not shown in recording</x:v>
      </x:c>
      <x:c r="M83" s="43" t="n">
        <x:v>3</x:v>
      </x:c>
      <x:c r="N83" s="43" t="str">
        <x:v>02:45.50</x:v>
      </x:c>
      <x:c r="O83" s="43" t="str">
        <x:v>02:44.5-02:45.5</x:v>
      </x:c>
      <x:c r="P83" s="43" t="str">
        <x:v>K138_1000025064.mp4</x:v>
      </x:c>
      <x:c r="Q83" s="391" t="n">
        <x:f>SUMIFS('Specialisations'!$N$6:$N$527,'Specialisations'!$A$6:$A$527,A83,'Specialisations'!$B$6:$B$527,B83)</x:f>
        <x:v>13272900</x:v>
      </x:c>
      <x:c r="R83" s="392" t="n">
        <x:f>IF(M83=0,"",COUNTIFS('Specialisations'!$A$6:$A$527,A83,'Specialisations'!$B$6:$B$527,B83,'Specialisations'!$P$6:$P$527,"OK")/M83)</x:f>
        <x:v>1</x:v>
      </x:c>
      <x:c r="S83" s="494" t="n">
        <x:f>IF(Q83=0,"",SUMIFS('Specialisation Impact'!$K$19:$K$186,'Specialisation Impact'!$A$19:$A$186,A83,'Specialisation Impact'!$B$19:$B$186,B83))</x:f>
        <x:v>36.739999999999995</x:v>
      </x:c>
      <x:c r="T83" s="494" t="n">
        <x:f>IF(Q83=0,"",SUMIFS('Specialisation Impact'!$G$19:$G$186,'Specialisation Impact'!$A$19:$A$186,A83,'Specialisation Impact'!$B$19:$B$186,B83))</x:f>
        <x:v>-60</x:v>
      </x:c>
      <x:c r="U83" s="429" t="n">
        <x:f>IF(COUNTIFS('Specialisation Impact'!$A$19:$A$186,A83,'Specialisation Impact'!$B$19:$B$186,B83,'Specialisation Impact'!$S$19:$S$186,"&gt;0")=0,"",SUMIFS('Specialisation Impact'!$S$19:$S$186,'Specialisation Impact'!$A$19:$A$186,A83,'Specialisation Impact'!$B$19:$B$186,B83))</x:f>
        <x:v>4.415584415584416</x:v>
      </x:c>
      <x:c r="V83" s="429" t="n">
        <x:f>IF(COUNTIFS('Specialisation Impact'!$A$19:$A$186,A83,'Specialisation Impact'!$B$19:$B$186,B83,'Specialisation Impact'!$V$19:$V$186,"&gt;0")=0,"",SUMIFS('Specialisation Impact'!$V$19:$V$186,'Specialisation Impact'!$A$19:$A$186,A83,'Specialisation Impact'!$B$19:$B$186,B83))</x:f>
        <x:v>93.16239316239316</x:v>
      </x:c>
    </x:row>
    <x:row r="84" ht="45" customHeight="1">
      <x:c r="A84" s="43" t="str">
        <x:v>K138</x:v>
      </x:c>
      <x:c r="B84" s="43" t="str">
        <x:v>(RaW)༺惊鸿༻</x:v>
      </x:c>
      <x:c r="C84" s="43" t="n">
        <x:v>122213</x:v>
      </x:c>
      <x:c r="D84" s="44" t="n">
        <x:v>3.346</x:v>
      </x:c>
      <x:c r="E84" s="44" t="n">
        <x:v>2.761</x:v>
      </x:c>
      <x:c r="F84" s="44" t="n">
        <x:v>2.986</x:v>
      </x:c>
      <x:c r="G84" s="44" t="n">
        <x:v>0.415</x:v>
      </x:c>
      <x:c r="H84" s="44" t="n">
        <x:v>-0.415</x:v>
      </x:c>
      <x:c r="I84" s="30" t="str">
        <x:v>Not shown in recording</x:v>
      </x:c>
      <x:c r="J84" s="30" t="str">
        <x:v>Elite bowmen (Lv 46) — Frost Arrow</x:v>
      </x:c>
      <x:c r="K84" s="30" t="str">
        <x:v>Eternal knights (Lv 40) — Thunder trample
Storm cavalry (Lv 50) — Mounted Archery</x:v>
      </x:c>
      <x:c r="L84" s="30" t="str">
        <x:v>Not shown in recording</x:v>
      </x:c>
      <x:c r="M84" s="43" t="n">
        <x:v>3</x:v>
      </x:c>
      <x:c r="N84" s="43" t="str">
        <x:v>02:56</x:v>
      </x:c>
      <x:c r="O84" s="43" t="str">
        <x:v>02:55.0-02:56.0</x:v>
      </x:c>
      <x:c r="P84" s="43" t="str">
        <x:v>K138_1000025064.mp4</x:v>
      </x:c>
      <x:c r="Q84" s="391" t="n">
        <x:f>SUMIFS('Specialisations'!$N$6:$N$527,'Specialisations'!$A$6:$A$527,A84,'Specialisations'!$B$6:$B$527,B84)</x:f>
        <x:v>17582900</x:v>
      </x:c>
      <x:c r="R84" s="392" t="n">
        <x:f>IF(M84=0,"",COUNTIFS('Specialisations'!$A$6:$A$527,A84,'Specialisations'!$B$6:$B$527,B84,'Specialisations'!$P$6:$P$527,"OK")/M84)</x:f>
        <x:v>1</x:v>
      </x:c>
      <x:c r="S84" s="494" t="n">
        <x:f>IF(Q84=0,"",SUMIFS('Specialisation Impact'!$K$19:$K$186,'Specialisation Impact'!$A$19:$A$186,A84,'Specialisation Impact'!$B$19:$B$186,B84))</x:f>
        <x:v>132.87</x:v>
      </x:c>
      <x:c r="T84" s="494" t="n">
        <x:f>IF(Q84=0,"",SUMIFS('Specialisation Impact'!$G$19:$G$186,'Specialisation Impact'!$A$19:$A$186,A84,'Specialisation Impact'!$B$19:$B$186,B84))</x:f>
        <x:v>0</x:v>
      </x:c>
      <x:c r="U84" s="429" t="n">
        <x:f>IF(COUNTIFS('Specialisation Impact'!$A$19:$A$186,A84,'Specialisation Impact'!$B$19:$B$186,B84,'Specialisation Impact'!$S$19:$S$186,"&gt;0")=0,"",SUMIFS('Specialisation Impact'!$S$19:$S$186,'Specialisation Impact'!$A$19:$A$186,A84,'Specialisation Impact'!$B$19:$B$186,B84))</x:f>
        <x:v>80.97402597402598</x:v>
      </x:c>
      <x:c r="V84" s="429" t="str">
        <x:f>IF(COUNTIFS('Specialisation Impact'!$A$19:$A$186,A84,'Specialisation Impact'!$B$19:$B$186,B84,'Specialisation Impact'!$V$19:$V$186,"&gt;0")=0,"",SUMIFS('Specialisation Impact'!$V$19:$V$186,'Specialisation Impact'!$A$19:$A$186,A84,'Specialisation Impact'!$B$19:$B$186,B84))</x:f>
      </x:c>
    </x:row>
    <x:row r="85" ht="45" customHeight="1">
      <x:c r="A85" s="43" t="str">
        <x:v>K138</x:v>
      </x:c>
      <x:c r="B85" s="43" t="str">
        <x:v>(RaW)让世界沐浴在血中</x:v>
      </x:c>
      <x:c r="C85" s="43" t="n">
        <x:v>227600</x:v>
      </x:c>
      <x:c r="D85" s="44" t="n">
        <x:v>3.1685</x:v>
      </x:c>
      <x:c r="E85" s="44" t="n">
        <x:v>2.831</x:v>
      </x:c>
      <x:c r="F85" s="44" t="n">
        <x:v>3.016</x:v>
      </x:c>
      <x:c r="G85" s="44" t="n">
        <x:v>0.4375</x:v>
      </x:c>
      <x:c r="H85" s="44" t="n">
        <x:v>-0.415</x:v>
      </x:c>
      <x:c r="I85" s="30" t="str">
        <x:v>Destroyers (Lv 40) — Parry</x:v>
      </x:c>
      <x:c r="J85" s="30" t="str">
        <x:v>Elite bowmen (Lv 35) — Frost Arrow</x:v>
      </x:c>
      <x:c r="K85" s="30" t="str">
        <x:v>Eternal knights (Lv 43) — Thunder trample
Storm cavalry (Lv 43) — Mounted Archery</x:v>
      </x:c>
      <x:c r="L85" s="30" t="str">
        <x:v>Manglers (Lv 40) — Highly toxic</x:v>
      </x:c>
      <x:c r="M85" s="43" t="n">
        <x:v>5</x:v>
      </x:c>
      <x:c r="N85" s="43" t="str">
        <x:v>03:08</x:v>
      </x:c>
      <x:c r="O85" s="43" t="str">
        <x:v>03:06.5-03:08.0</x:v>
      </x:c>
      <x:c r="P85" s="43" t="str">
        <x:v>K138_1000025064.mp4</x:v>
      </x:c>
      <x:c r="Q85" s="391" t="n">
        <x:f>SUMIFS('Specialisations'!$N$6:$N$527,'Specialisations'!$A$6:$A$527,A85,'Specialisations'!$B$6:$B$527,B85)</x:f>
        <x:v>12301500</x:v>
      </x:c>
      <x:c r="R85" s="392" t="n">
        <x:f>IF(M85=0,"",COUNTIFS('Specialisations'!$A$6:$A$527,A85,'Specialisations'!$B$6:$B$527,B85,'Specialisations'!$P$6:$P$527,"OK")/M85)</x:f>
        <x:v>1</x:v>
      </x:c>
      <x:c r="S85" s="494" t="n">
        <x:f>IF(Q85=0,"",SUMIFS('Specialisation Impact'!$K$19:$K$186,'Specialisation Impact'!$A$19:$A$186,A85,'Specialisation Impact'!$B$19:$B$186,B85))</x:f>
        <x:v>117.35999999999999</x:v>
      </x:c>
      <x:c r="T85" s="494" t="n">
        <x:f>IF(Q85=0,"",SUMIFS('Specialisation Impact'!$G$19:$G$186,'Specialisation Impact'!$A$19:$A$186,A85,'Specialisation Impact'!$B$19:$B$186,B85))</x:f>
        <x:v>-27.74</x:v>
      </x:c>
      <x:c r="U85" s="429" t="n">
        <x:f>IF(COUNTIFS('Specialisation Impact'!$A$19:$A$186,A85,'Specialisation Impact'!$B$19:$B$186,B85,'Specialisation Impact'!$S$19:$S$186,"&gt;0")=0,"",SUMIFS('Specialisation Impact'!$S$19:$S$186,'Specialisation Impact'!$A$19:$A$186,A85,'Specialisation Impact'!$B$19:$B$186,B85))</x:f>
        <x:v>64.54545454545455</x:v>
      </x:c>
      <x:c r="V85" s="429" t="n">
        <x:f>IF(COUNTIFS('Specialisation Impact'!$A$19:$A$186,A85,'Specialisation Impact'!$B$19:$B$186,B85,'Specialisation Impact'!$V$19:$V$186,"&gt;0")=0,"",SUMIFS('Specialisation Impact'!$V$19:$V$186,'Specialisation Impact'!$A$19:$A$186,A85,'Specialisation Impact'!$B$19:$B$186,B85))</x:f>
        <x:v>29.48717948717949</x:v>
      </x:c>
    </x:row>
    <x:row r="86" ht="45" customHeight="1">
      <x:c r="A86" s="43" t="str">
        <x:v>K138</x:v>
      </x:c>
      <x:c r="B86" s="43" t="str">
        <x:v>(RaW)YAMI</x:v>
      </x:c>
      <x:c r="C86" s="43" t="n">
        <x:v>107500</x:v>
      </x:c>
      <x:c r="D86" s="44" t="n">
        <x:v>3.566</x:v>
      </x:c>
      <x:c r="E86" s="44" t="n">
        <x:v>3.091</x:v>
      </x:c>
      <x:c r="F86" s="44" t="n">
        <x:v>3.216</x:v>
      </x:c>
      <x:c r="G86" s="44" t="n">
        <x:v>0.415</x:v>
      </x:c>
      <x:c r="H86" s="44" t="n">
        <x:v>-0.415</x:v>
      </x:c>
      <x:c r="I86" s="30" t="str">
        <x:v>Destroyers (Lv 42) — Parry</x:v>
      </x:c>
      <x:c r="J86" s="30" t="str">
        <x:v>Not shown in recording</x:v>
      </x:c>
      <x:c r="K86" s="30" t="str">
        <x:v>Storm cavalry (Lv 50) — Mounted Archery</x:v>
      </x:c>
      <x:c r="L86" s="30" t="str">
        <x:v>Manglers (Lv 40) — Highly toxic</x:v>
      </x:c>
      <x:c r="M86" s="43" t="n">
        <x:v>3</x:v>
      </x:c>
      <x:c r="N86" s="43" t="str">
        <x:v>03:16.50</x:v>
      </x:c>
      <x:c r="O86" s="43" t="str">
        <x:v>03:15.5-03:16.5</x:v>
      </x:c>
      <x:c r="P86" s="43" t="str">
        <x:v>K138_1000025064.mp4</x:v>
      </x:c>
      <x:c r="Q86" s="391" t="n">
        <x:f>SUMIFS('Specialisations'!$N$6:$N$527,'Specialisations'!$A$6:$A$527,A86,'Specialisations'!$B$6:$B$527,B86)</x:f>
        <x:v>15422900</x:v>
      </x:c>
      <x:c r="R86" s="392" t="n">
        <x:f>IF(M86=0,"",COUNTIFS('Specialisations'!$A$6:$A$527,A86,'Specialisations'!$B$6:$B$527,B86,'Specialisations'!$P$6:$P$527,"OK")/M86)</x:f>
        <x:v>1</x:v>
      </x:c>
      <x:c r="S86" s="494" t="n">
        <x:f>IF(Q86=0,"",SUMIFS('Specialisation Impact'!$K$19:$K$186,'Specialisation Impact'!$A$19:$A$186,A86,'Specialisation Impact'!$B$19:$B$186,B86))</x:f>
        <x:v>87.74</x:v>
      </x:c>
      <x:c r="T86" s="494" t="n">
        <x:f>IF(Q86=0,"",SUMIFS('Specialisation Impact'!$G$19:$G$186,'Specialisation Impact'!$A$19:$A$186,A86,'Specialisation Impact'!$B$19:$B$186,B86))</x:f>
        <x:v>-33.13</x:v>
      </x:c>
      <x:c r="U86" s="429" t="n">
        <x:f>IF(COUNTIFS('Specialisation Impact'!$A$19:$A$186,A86,'Specialisation Impact'!$B$19:$B$186,B86,'Specialisation Impact'!$S$19:$S$186,"&gt;0")=0,"",SUMIFS('Specialisation Impact'!$S$19:$S$186,'Specialisation Impact'!$A$19:$A$186,A86,'Specialisation Impact'!$B$19:$B$186,B86))</x:f>
        <x:v>49.8051948051948</x:v>
      </x:c>
      <x:c r="V86" s="429" t="n">
        <x:f>IF(COUNTIFS('Specialisation Impact'!$A$19:$A$186,A86,'Specialisation Impact'!$B$19:$B$186,B86,'Specialisation Impact'!$V$19:$V$186,"&gt;0")=0,"",SUMIFS('Specialisation Impact'!$V$19:$V$186,'Specialisation Impact'!$A$19:$A$186,A86,'Specialisation Impact'!$B$19:$B$186,B86))</x:f>
        <x:v>43.58974358974359</x:v>
      </x:c>
    </x:row>
    <x:row r="87" ht="45" customHeight="1">
      <x:c r="A87" s="43" t="str">
        <x:v>K138</x:v>
      </x:c>
      <x:c r="B87" s="43" t="str">
        <x:v>(RaW)༺ⓉⒶⓇⓉⒶⓇ༻</x:v>
      </x:c>
      <x:c r="C87" s="43" t="n">
        <x:v>107630</x:v>
      </x:c>
      <x:c r="D87" s="44" t="n">
        <x:v>2.856</x:v>
      </x:c>
      <x:c r="E87" s="44" t="n">
        <x:v>2.516</x:v>
      </x:c>
      <x:c r="F87" s="44" t="n">
        <x:v>2.556</x:v>
      </x:c>
      <x:c r="G87" s="44" t="n">
        <x:v>0.415</x:v>
      </x:c>
      <x:c r="H87" s="44" t="n">
        <x:v>-0.415</x:v>
      </x:c>
      <x:c r="I87" s="30" t="str">
        <x:v>Destroyers (Lv 45) — Parry</x:v>
      </x:c>
      <x:c r="J87" s="30" t="str">
        <x:v>Elite bowmen (Lv 46) — Frost Arrow
Elite (Lv 20) — Focus</x:v>
      </x:c>
      <x:c r="K87" s="30" t="str">
        <x:v>Storm cavalry (Lv 45) — Mounted Archery</x:v>
      </x:c>
      <x:c r="L87" s="30" t="str">
        <x:v>Not shown in recording</x:v>
      </x:c>
      <x:c r="M87" s="43" t="n">
        <x:v>4</x:v>
      </x:c>
      <x:c r="N87" s="43" t="str">
        <x:v>03:29</x:v>
      </x:c>
      <x:c r="O87" s="43" t="str">
        <x:v>03:27.5-03:29.0</x:v>
      </x:c>
      <x:c r="P87" s="43" t="str">
        <x:v>K138_1000025064.mp4</x:v>
      </x:c>
      <x:c r="Q87" s="391" t="n">
        <x:f>SUMIFS('Specialisations'!$N$6:$N$527,'Specialisations'!$A$6:$A$527,A87,'Specialisations'!$B$6:$B$527,B87)</x:f>
        <x:v>13757200</x:v>
      </x:c>
      <x:c r="R87" s="392" t="n">
        <x:f>IF(M87=0,"",COUNTIFS('Specialisations'!$A$6:$A$527,A87,'Specialisations'!$B$6:$B$527,B87,'Specialisations'!$P$6:$P$527,"OK")/M87)</x:f>
        <x:v>1</x:v>
      </x:c>
      <x:c r="S87" s="494" t="n">
        <x:f>IF(Q87=0,"",SUMIFS('Specialisation Impact'!$K$19:$K$186,'Specialisation Impact'!$A$19:$A$186,A87,'Specialisation Impact'!$B$19:$B$186,B87))</x:f>
        <x:v>90.11</x:v>
      </x:c>
      <x:c r="T87" s="494" t="n">
        <x:f>IF(Q87=0,"",SUMIFS('Specialisation Impact'!$G$19:$G$186,'Specialisation Impact'!$A$19:$A$186,A87,'Specialisation Impact'!$B$19:$B$186,B87))</x:f>
        <x:v>-41.98</x:v>
      </x:c>
      <x:c r="U87" s="429" t="n">
        <x:f>IF(COUNTIFS('Specialisation Impact'!$A$19:$A$186,A87,'Specialisation Impact'!$B$19:$B$186,B87,'Specialisation Impact'!$S$19:$S$186,"&gt;0")=0,"",SUMIFS('Specialisation Impact'!$S$19:$S$186,'Specialisation Impact'!$A$19:$A$186,A87,'Specialisation Impact'!$B$19:$B$186,B87))</x:f>
        <x:v>45.84415584415584</x:v>
      </x:c>
      <x:c r="V87" s="429" t="n">
        <x:f>IF(COUNTIFS('Specialisation Impact'!$A$19:$A$186,A87,'Specialisation Impact'!$B$19:$B$186,B87,'Specialisation Impact'!$V$19:$V$186,"&gt;0")=0,"",SUMIFS('Specialisation Impact'!$V$19:$V$186,'Specialisation Impact'!$A$19:$A$186,A87,'Specialisation Impact'!$B$19:$B$186,B87))</x:f>
        <x:v>60.25641025641025</x:v>
      </x:c>
    </x:row>
    <x:row r="88" ht="45" customHeight="1">
      <x:c r="A88" s="43" t="str">
        <x:v>K138</x:v>
      </x:c>
      <x:c r="B88" s="43" t="str">
        <x:v>(RaW)PPP_253</x:v>
      </x:c>
      <x:c r="C88" s="43" t="n">
        <x:v>57000</x:v>
      </x:c>
      <x:c r="D88" s="44" t="n">
        <x:v>2.7671</x:v>
      </x:c>
      <x:c r="E88" s="44" t="n">
        <x:v>2.341</x:v>
      </x:c>
      <x:c r="F88" s="44" t="n">
        <x:v>2.606</x:v>
      </x:c>
      <x:c r="G88" s="44" t="n">
        <x:v>0.415</x:v>
      </x:c>
      <x:c r="H88" s="44" t="n">
        <x:v>-0.415</x:v>
      </x:c>
      <x:c r="I88" s="30" t="str">
        <x:v>Destroyers (Lv 45) — Parry</x:v>
      </x:c>
      <x:c r="J88" s="30" t="str">
        <x:v>Elite bowmen (Lv 45) — Frost Arrow</x:v>
      </x:c>
      <x:c r="K88" s="30" t="str">
        <x:v>Not shown in recording</x:v>
      </x:c>
      <x:c r="L88" s="30" t="str">
        <x:v>Not shown in recording</x:v>
      </x:c>
      <x:c r="M88" s="43" t="n">
        <x:v>2</x:v>
      </x:c>
      <x:c r="N88" s="43" t="str">
        <x:v>03:36.50</x:v>
      </x:c>
      <x:c r="O88" s="43" t="str">
        <x:v>03:36.0-03:36.5</x:v>
      </x:c>
      <x:c r="P88" s="43" t="str">
        <x:v>K138_1000025064.mp4</x:v>
      </x:c>
      <x:c r="Q88" s="391" t="n">
        <x:f>SUMIFS('Specialisations'!$N$6:$N$527,'Specialisations'!$A$6:$A$527,A88,'Specialisations'!$B$6:$B$527,B88)</x:f>
        <x:v>8568600</x:v>
      </x:c>
      <x:c r="R88" s="392" t="n">
        <x:f>IF(M88=0,"",COUNTIFS('Specialisations'!$A$6:$A$527,A88,'Specialisations'!$B$6:$B$527,B88,'Specialisations'!$P$6:$P$527,"OK")/M88)</x:f>
        <x:v>1</x:v>
      </x:c>
      <x:c r="S88" s="494" t="n">
        <x:f>IF(Q88=0,"",SUMIFS('Specialisation Impact'!$K$19:$K$186,'Specialisation Impact'!$A$19:$A$186,A88,'Specialisation Impact'!$B$19:$B$186,B88))</x:f>
        <x:v>41.98</x:v>
      </x:c>
      <x:c r="T88" s="494" t="n">
        <x:f>IF(Q88=0,"",SUMIFS('Specialisation Impact'!$G$19:$G$186,'Specialisation Impact'!$A$19:$A$186,A88,'Specialisation Impact'!$B$19:$B$186,B88))</x:f>
        <x:v>-41.98</x:v>
      </x:c>
      <x:c r="U88" s="429" t="n">
        <x:f>IF(COUNTIFS('Specialisation Impact'!$A$19:$A$186,A88,'Specialisation Impact'!$B$19:$B$186,B88,'Specialisation Impact'!$S$19:$S$186,"&gt;0")=0,"",SUMIFS('Specialisation Impact'!$S$19:$S$186,'Specialisation Impact'!$A$19:$A$186,A88,'Specialisation Impact'!$B$19:$B$186,B88))</x:f>
        <x:v>7.077922077922078</x:v>
      </x:c>
      <x:c r="V88" s="429" t="n">
        <x:f>IF(COUNTIFS('Specialisation Impact'!$A$19:$A$186,A88,'Specialisation Impact'!$B$19:$B$186,B88,'Specialisation Impact'!$V$19:$V$186,"&gt;0")=0,"",SUMIFS('Specialisation Impact'!$V$19:$V$186,'Specialisation Impact'!$A$19:$A$186,A88,'Specialisation Impact'!$B$19:$B$186,B88))</x:f>
        <x:v>60.25641025641025</x:v>
      </x:c>
    </x:row>
    <x:row r="89" ht="45" customHeight="1">
      <x:c r="A89" s="43" t="str">
        <x:v>K138</x:v>
      </x:c>
      <x:c r="B89" s="43" t="str">
        <x:v>(RaW)GoŁΛ</x:v>
      </x:c>
      <x:c r="C89" s="43" t="n">
        <x:v>57640</x:v>
      </x:c>
      <x:c r="D89" s="44" t="n">
        <x:v>2.791</x:v>
      </x:c>
      <x:c r="E89" s="44" t="n">
        <x:v>1.74</x:v>
      </x:c>
      <x:c r="F89" s="44" t="n">
        <x:v>2.475</x:v>
      </x:c>
      <x:c r="G89" s="44" t="n">
        <x:v>0.415</x:v>
      </x:c>
      <x:c r="H89" s="44" t="n">
        <x:v>-0.4</x:v>
      </x:c>
      <x:c r="I89" s="30" t="str">
        <x:v>Destroyers (Lv 43) — Parry</x:v>
      </x:c>
      <x:c r="J89" s="30" t="str">
        <x:v>Elite bowmen (Lv 45) — Frost Arrow</x:v>
      </x:c>
      <x:c r="K89" s="30" t="str">
        <x:v>Not shown in recording</x:v>
      </x:c>
      <x:c r="L89" s="30" t="str">
        <x:v>Not shown in recording</x:v>
      </x:c>
      <x:c r="M89" s="43" t="n">
        <x:v>2</x:v>
      </x:c>
      <x:c r="N89" s="43" t="str">
        <x:v>03:49.50</x:v>
      </x:c>
      <x:c r="O89" s="43" t="str">
        <x:v>03:48.0-03:49.5</x:v>
      </x:c>
      <x:c r="P89" s="43" t="str">
        <x:v>K138_1000025064.mp4</x:v>
      </x:c>
      <x:c r="Q89" s="391" t="n">
        <x:f>SUMIFS('Specialisations'!$N$6:$N$527,'Specialisations'!$A$6:$A$527,A89,'Specialisations'!$B$6:$B$527,B89)</x:f>
        <x:v>7528600</x:v>
      </x:c>
      <x:c r="R89" s="392" t="n">
        <x:f>IF(M89=0,"",COUNTIFS('Specialisations'!$A$6:$A$527,A89,'Specialisations'!$B$6:$B$527,B89,'Specialisations'!$P$6:$P$527,"OK")/M89)</x:f>
        <x:v>1</x:v>
      </x:c>
      <x:c r="S89" s="494" t="n">
        <x:f>IF(Q89=0,"",SUMIFS('Specialisation Impact'!$K$19:$K$186,'Specialisation Impact'!$A$19:$A$186,A89,'Specialisation Impact'!$B$19:$B$186,B89))</x:f>
        <x:v>41.98</x:v>
      </x:c>
      <x:c r="T89" s="494" t="n">
        <x:f>IF(Q89=0,"",SUMIFS('Specialisation Impact'!$G$19:$G$186,'Specialisation Impact'!$A$19:$A$186,A89,'Specialisation Impact'!$B$19:$B$186,B89))</x:f>
        <x:v>-35.98</x:v>
      </x:c>
      <x:c r="U89" s="429" t="n">
        <x:f>IF(COUNTIFS('Specialisation Impact'!$A$19:$A$186,A89,'Specialisation Impact'!$B$19:$B$186,B89,'Specialisation Impact'!$S$19:$S$186,"&gt;0")=0,"",SUMIFS('Specialisation Impact'!$S$19:$S$186,'Specialisation Impact'!$A$19:$A$186,A89,'Specialisation Impact'!$B$19:$B$186,B89))</x:f>
        <x:v>7.077922077922078</x:v>
      </x:c>
      <x:c r="V89" s="429" t="n">
        <x:f>IF(COUNTIFS('Specialisation Impact'!$A$19:$A$186,A89,'Specialisation Impact'!$B$19:$B$186,B89,'Specialisation Impact'!$V$19:$V$186,"&gt;0")=0,"",SUMIFS('Specialisation Impact'!$V$19:$V$186,'Specialisation Impact'!$A$19:$A$186,A89,'Specialisation Impact'!$B$19:$B$186,B89))</x:f>
        <x:v>46.58119658119658</x:v>
      </x:c>
    </x:row>
    <x:row r="90" ht="45" customHeight="1">
      <x:c r="A90" s="43" t="str">
        <x:v>K138</x:v>
      </x:c>
      <x:c r="B90" s="43" t="str">
        <x:v>(RaW)Baqi</x:v>
      </x:c>
      <x:c r="C90" s="43" t="n">
        <x:v>107500</x:v>
      </x:c>
      <x:c r="D90" s="44" t="n">
        <x:v>2.8535</x:v>
      </x:c>
      <x:c r="E90" s="44" t="n">
        <x:v>2.591</x:v>
      </x:c>
      <x:c r="F90" s="44" t="n">
        <x:v>2.921</x:v>
      </x:c>
      <x:c r="G90" s="44" t="n">
        <x:v>0.415</x:v>
      </x:c>
      <x:c r="H90" s="44" t="n">
        <x:v>-0.415</x:v>
      </x:c>
      <x:c r="I90" s="30" t="str">
        <x:v>Destroyers (Lv 42) — Parry</x:v>
      </x:c>
      <x:c r="J90" s="30" t="str">
        <x:v>Elite bowmen (Lv 49) — Frost Arrow</x:v>
      </x:c>
      <x:c r="K90" s="30" t="str">
        <x:v>Storm cavalry (Lv 40) — Mounted Archery</x:v>
      </x:c>
      <x:c r="L90" s="30" t="str">
        <x:v>Not shown in recording</x:v>
      </x:c>
      <x:c r="M90" s="43" t="n">
        <x:v>3</x:v>
      </x:c>
      <x:c r="N90" s="43" t="str">
        <x:v>03:58.50</x:v>
      </x:c>
      <x:c r="O90" s="43" t="str">
        <x:v>03:57.5-03:58.5</x:v>
      </x:c>
      <x:c r="P90" s="43" t="str">
        <x:v>K138_1000025064.mp4</x:v>
      </x:c>
      <x:c r="Q90" s="391" t="n">
        <x:f>SUMIFS('Specialisations'!$N$6:$N$527,'Specialisations'!$A$6:$A$527,A90,'Specialisations'!$B$6:$B$527,B90)</x:f>
        <x:v>13422900</x:v>
      </x:c>
      <x:c r="R90" s="392" t="n">
        <x:f>IF(M90=0,"",COUNTIFS('Specialisations'!$A$6:$A$527,A90,'Specialisations'!$B$6:$B$527,B90,'Specialisations'!$P$6:$P$527,"OK")/M90)</x:f>
        <x:v>1</x:v>
      </x:c>
      <x:c r="S90" s="494" t="n">
        <x:f>IF(Q90=0,"",SUMIFS('Specialisation Impact'!$K$19:$K$186,'Specialisation Impact'!$A$19:$A$186,A90,'Specialisation Impact'!$B$19:$B$186,B90))</x:f>
        <x:v>82.94</x:v>
      </x:c>
      <x:c r="T90" s="494" t="n">
        <x:f>IF(Q90=0,"",SUMIFS('Specialisation Impact'!$G$19:$G$186,'Specialisation Impact'!$A$19:$A$186,A90,'Specialisation Impact'!$B$19:$B$186,B90))</x:f>
        <x:v>-33.13</x:v>
      </x:c>
      <x:c r="U90" s="429" t="n">
        <x:f>IF(COUNTIFS('Specialisation Impact'!$A$19:$A$186,A90,'Specialisation Impact'!$B$19:$B$186,B90,'Specialisation Impact'!$S$19:$S$186,"&gt;0")=0,"",SUMIFS('Specialisation Impact'!$S$19:$S$186,'Specialisation Impact'!$A$19:$A$186,A90,'Specialisation Impact'!$B$19:$B$186,B90))</x:f>
        <x:v>44.8051948051948</x:v>
      </x:c>
      <x:c r="V90" s="429" t="n">
        <x:f>IF(COUNTIFS('Specialisation Impact'!$A$19:$A$186,A90,'Specialisation Impact'!$B$19:$B$186,B90,'Specialisation Impact'!$V$19:$V$186,"&gt;0")=0,"",SUMIFS('Specialisation Impact'!$V$19:$V$186,'Specialisation Impact'!$A$19:$A$186,A90,'Specialisation Impact'!$B$19:$B$186,B90))</x:f>
        <x:v>43.58974358974359</x:v>
      </x:c>
    </x:row>
    <x:row r="91" ht="45" customHeight="1">
      <x:c r="A91" s="43" t="str">
        <x:v>K138</x:v>
      </x:c>
      <x:c r="B91" s="43" t="str">
        <x:v>(RaW)༺飞K༻</x:v>
      </x:c>
      <x:c r="C91" s="43" t="n">
        <x:v>33474</x:v>
      </x:c>
      <x:c r="D91" s="44" t="n">
        <x:v>3.0821</x:v>
      </x:c>
      <x:c r="E91" s="44" t="n">
        <x:v>2.246</x:v>
      </x:c>
      <x:c r="F91" s="44" t="n">
        <x:v>2.781</x:v>
      </x:c>
      <x:c r="G91" s="44" t="n">
        <x:v>0.4</x:v>
      </x:c>
      <x:c r="H91" s="44" t="n">
        <x:v>-0.4</x:v>
      </x:c>
      <x:c r="I91" s="30" t="str">
        <x:v>Destroyers (Lv 45) — Parry</x:v>
      </x:c>
      <x:c r="J91" s="30" t="str">
        <x:v>Elite bowmen (Lv 36) — Frost Arrow</x:v>
      </x:c>
      <x:c r="K91" s="30" t="str">
        <x:v>Not shown in recording</x:v>
      </x:c>
      <x:c r="L91" s="30" t="str">
        <x:v>Not shown in recording</x:v>
      </x:c>
      <x:c r="M91" s="43" t="n">
        <x:v>2</x:v>
      </x:c>
      <x:c r="N91" s="43" t="str">
        <x:v>04:05.50</x:v>
      </x:c>
      <x:c r="O91" s="43" t="str">
        <x:v>04:04.0-04:05.5</x:v>
      </x:c>
      <x:c r="P91" s="43" t="str">
        <x:v>K138_1000025064.mp4</x:v>
      </x:c>
      <x:c r="Q91" s="391" t="n">
        <x:f>SUMIFS('Specialisations'!$N$6:$N$527,'Specialisations'!$A$6:$A$527,A91,'Specialisations'!$B$6:$B$527,B91)</x:f>
        <x:v>5748600</x:v>
      </x:c>
      <x:c r="R91" s="392" t="n">
        <x:f>IF(M91=0,"",COUNTIFS('Specialisations'!$A$6:$A$527,A91,'Specialisations'!$B$6:$B$527,B91,'Specialisations'!$P$6:$P$527,"OK")/M91)</x:f>
        <x:v>1</x:v>
      </x:c>
      <x:c r="S91" s="494" t="n">
        <x:f>IF(Q91=0,"",SUMIFS('Specialisation Impact'!$K$19:$K$186,'Specialisation Impact'!$A$19:$A$186,A91,'Specialisation Impact'!$B$19:$B$186,B91))</x:f>
        <x:v>19.17</x:v>
      </x:c>
      <x:c r="T91" s="494" t="n">
        <x:f>IF(Q91=0,"",SUMIFS('Specialisation Impact'!$G$19:$G$186,'Specialisation Impact'!$A$19:$A$186,A91,'Specialisation Impact'!$B$19:$B$186,B91))</x:f>
        <x:v>-41.98</x:v>
      </x:c>
      <x:c r="U91" s="429" t="n">
        <x:f>IF(COUNTIFS('Specialisation Impact'!$A$19:$A$186,A91,'Specialisation Impact'!$B$19:$B$186,B91,'Specialisation Impact'!$S$19:$S$186,"&gt;0")=0,"",SUMIFS('Specialisation Impact'!$S$19:$S$186,'Specialisation Impact'!$A$19:$A$186,A91,'Specialisation Impact'!$B$19:$B$186,B91))</x:f>
        <x:v>1.2987012987012987</x:v>
      </x:c>
      <x:c r="V91" s="429" t="n">
        <x:f>IF(COUNTIFS('Specialisation Impact'!$A$19:$A$186,A91,'Specialisation Impact'!$B$19:$B$186,B91,'Specialisation Impact'!$V$19:$V$186,"&gt;0")=0,"",SUMIFS('Specialisation Impact'!$V$19:$V$186,'Specialisation Impact'!$A$19:$A$186,A91,'Specialisation Impact'!$B$19:$B$186,B91))</x:f>
        <x:v>60.25641025641025</x:v>
      </x:c>
    </x:row>
    <x:row r="92" ht="45" customHeight="1">
      <x:c r="A92" s="43" t="str">
        <x:v>K138</x:v>
      </x:c>
      <x:c r="B92" s="43" t="str">
        <x:v>(RaW)ϟCrozyϟ</x:v>
      </x:c>
      <x:c r="C92" s="43"/>
      <x:c r="D92" s="44" t="n">
        <x:v>3.752</x:v>
      </x:c>
      <x:c r="E92" s="44" t="n">
        <x:v>3.1634</x:v>
      </x:c>
      <x:c r="F92" s="44" t="n">
        <x:v>3.5334</x:v>
      </x:c>
      <x:c r="G92" s="44" t="n">
        <x:v>0.415</x:v>
      </x:c>
      <x:c r="H92" s="44" t="n">
        <x:v>-0.4375</x:v>
      </x:c>
      <x:c r="I92" s="30" t="str">
        <x:v>Not shown in recording</x:v>
      </x:c>
      <x:c r="J92" s="30" t="str">
        <x:v>Not shown in recording</x:v>
      </x:c>
      <x:c r="K92" s="30" t="str">
        <x:v>Not shown in recording</x:v>
      </x:c>
      <x:c r="L92" s="30" t="str">
        <x:v>Not shown in recording</x:v>
      </x:c>
      <x:c r="M92" s="43" t="n">
        <x:v>0</x:v>
      </x:c>
      <x:c r="N92" s="43" t="str">
        <x:v>22:46 device time</x:v>
      </x:c>
      <x:c r="O92" s="43" t="str">
        <x:v>1000025108.jpg–1000025109.jpg</x:v>
      </x:c>
      <x:c r="P92" s="43" t="str">
        <x:v>1000025108.jpg + 1000025109.jpg</x:v>
      </x:c>
      <x:c r="Q92" s="391" t="n">
        <x:f>SUMIFS('Specialisations'!$N$6:$N$527,'Specialisations'!$A$6:$A$527,A92,'Specialisations'!$B$6:$B$527,B92)</x:f>
        <x:v>0</x:v>
      </x:c>
      <x:c r="R92" s="392" t="str">
        <x:f>IF(M92=0,"",COUNTIFS('Specialisations'!$A$6:$A$527,A92,'Specialisations'!$B$6:$B$527,B92,'Specialisations'!$P$6:$P$527,"OK")/M92)</x:f>
      </x:c>
      <x:c r="S92" s="494" t="str">
        <x:f>IF(Q92=0,"",SUMIFS('Specialisation Impact'!$K$19:$K$186,'Specialisation Impact'!$A$19:$A$186,A92,'Specialisation Impact'!$B$19:$B$186,B92))</x:f>
      </x:c>
      <x:c r="T92" s="494" t="str">
        <x:f>IF(Q92=0,"",SUMIFS('Specialisation Impact'!$G$19:$G$186,'Specialisation Impact'!$A$19:$A$186,A92,'Specialisation Impact'!$B$19:$B$186,B92))</x:f>
      </x:c>
      <x:c r="U92" s="429" t="str">
        <x:f>IF(COUNTIFS('Specialisation Impact'!$A$19:$A$186,A92,'Specialisation Impact'!$B$19:$B$186,B92,'Specialisation Impact'!$S$19:$S$186,"&gt;0")=0,"",SUMIFS('Specialisation Impact'!$S$19:$S$186,'Specialisation Impact'!$A$19:$A$186,A92,'Specialisation Impact'!$B$19:$B$186,B92))</x:f>
      </x:c>
      <x:c r="V92" s="429" t="str">
        <x:f>IF(COUNTIFS('Specialisation Impact'!$A$19:$A$186,A92,'Specialisation Impact'!$B$19:$B$186,B92,'Specialisation Impact'!$V$19:$V$186,"&gt;0")=0,"",SUMIFS('Specialisation Impact'!$V$19:$V$186,'Specialisation Impact'!$A$19:$A$186,A92,'Specialisation Impact'!$B$19:$B$186,B92))</x:f>
      </x:c>
    </x:row>
    <x:row r="93" ht="45" customHeight="1">
      <x:c r="A93" s="43" t="str">
        <x:v>K170</x:v>
      </x:c>
      <x:c r="B93" s="43" t="str">
        <x:v>(AOT)SanSW°</x:v>
      </x:c>
      <x:c r="C93" s="43" t="str">
        <x:v>-4.6M</x:v>
      </x:c>
      <x:c r="D93" s="44" t="n">
        <x:v>3.9871</x:v>
      </x:c>
      <x:c r="E93" s="44" t="n">
        <x:v>2.8885</x:v>
      </x:c>
      <x:c r="F93" s="44" t="n">
        <x:v>3.8085</x:v>
      </x:c>
      <x:c r="G93" s="44" t="n">
        <x:v>0.4375</x:v>
      </x:c>
      <x:c r="H93" s="44" t="n">
        <x:v>-0.4375</x:v>
      </x:c>
      <x:c r="I93" s="30" t="str">
        <x:v>Destroyers (Lv 50) — Parry</x:v>
      </x:c>
      <x:c r="J93" s="30" t="str">
        <x:v>Elite bowmen (Lv 33) — Frost Arrow</x:v>
      </x:c>
      <x:c r="K93" s="30" t="str">
        <x:v>Eternal knights (Lv 49) — Thunder trample
Storm cavalry (Lv 47) — Mounted Archery</x:v>
      </x:c>
      <x:c r="L93" s="30" t="str">
        <x:v>Not shown in recording</x:v>
      </x:c>
      <x:c r="M93" s="43" t="n">
        <x:v>4</x:v>
      </x:c>
      <x:c r="N93" s="43" t="str">
        <x:v>00:00:17</x:v>
      </x:c>
      <x:c r="O93" s="43" t="str">
        <x:v>00:14–00:17</x:v>
      </x:c>
      <x:c r="P93" s="43" t="str">
        <x:v>1000025098.mp4</x:v>
      </x:c>
      <x:c r="Q93" s="391" t="n">
        <x:f>SUMIFS('Specialisations'!$N$6:$N$527,'Specialisations'!$A$6:$A$527,A93,'Specialisations'!$B$6:$B$527,B93)</x:f>
        <x:v>25627200</x:v>
      </x:c>
      <x:c r="R93" s="392" t="n">
        <x:f>IF(M93=0,"",COUNTIFS('Specialisations'!$A$6:$A$527,A93,'Specialisations'!$B$6:$B$527,B93,'Specialisations'!$P$6:$P$527,"OK")/M93)</x:f>
        <x:v>1</x:v>
      </x:c>
      <x:c r="S93" s="494" t="n">
        <x:f>IF(Q93=0,"",SUMIFS('Specialisation Impact'!$K$19:$K$186,'Specialisation Impact'!$A$19:$A$186,A93,'Specialisation Impact'!$B$19:$B$186,B93))</x:f>
        <x:v>118.36000000000001</x:v>
      </x:c>
      <x:c r="T93" s="494" t="n">
        <x:f>IF(Q93=0,"",SUMIFS('Specialisation Impact'!$G$19:$G$186,'Specialisation Impact'!$A$19:$A$186,A93,'Specialisation Impact'!$B$19:$B$186,B93))</x:f>
        <x:v>-60</x:v>
      </x:c>
      <x:c r="U93" s="429" t="n">
        <x:f>IF(COUNTIFS('Specialisation Impact'!$A$19:$A$186,A93,'Specialisation Impact'!$B$19:$B$186,B93,'Specialisation Impact'!$S$19:$S$186,"&gt;0")=0,"",SUMIFS('Specialisation Impact'!$S$19:$S$186,'Specialisation Impact'!$A$19:$A$186,A93,'Specialisation Impact'!$B$19:$B$186,B93))</x:f>
        <x:v>72.46753246753246</x:v>
      </x:c>
      <x:c r="V93" s="429" t="n">
        <x:f>IF(COUNTIFS('Specialisation Impact'!$A$19:$A$186,A93,'Specialisation Impact'!$B$19:$B$186,B93,'Specialisation Impact'!$V$19:$V$186,"&gt;0")=0,"",SUMIFS('Specialisation Impact'!$V$19:$V$186,'Specialisation Impact'!$A$19:$A$186,A93,'Specialisation Impact'!$B$19:$B$186,B93))</x:f>
        <x:v>93.16239316239316</x:v>
      </x:c>
    </x:row>
    <x:row r="94" ht="45" customHeight="1">
      <x:c r="A94" s="43" t="str">
        <x:v>K170</x:v>
      </x:c>
      <x:c r="B94" s="43" t="str">
        <x:v>(AOT)Fenixx</x:v>
      </x:c>
      <x:c r="C94" s="43" t="str">
        <x:v>-2.6M</x:v>
      </x:c>
      <x:c r="D94" s="44" t="n">
        <x:v>2.8935</x:v>
      </x:c>
      <x:c r="E94" s="44" t="n">
        <x:v>2.611</x:v>
      </x:c>
      <x:c r="F94" s="44" t="n">
        <x:v>3.021</x:v>
      </x:c>
      <x:c r="G94" s="44" t="n">
        <x:v>0.4375</x:v>
      </x:c>
      <x:c r="H94" s="44" t="n">
        <x:v>-0.4</x:v>
      </x:c>
      <x:c r="I94" s="30" t="str">
        <x:v>Destroyers (Lv 45) — Parry</x:v>
      </x:c>
      <x:c r="J94" s="30" t="str">
        <x:v>Elite bowmen (Lv 35) — Frost Arrow</x:v>
      </x:c>
      <x:c r="K94" s="30" t="str">
        <x:v>Eternal knights (Lv 29) — Thunder trample
Storm cavalry (Lv 48) — Mounted Archery</x:v>
      </x:c>
      <x:c r="L94" s="30" t="str">
        <x:v>Manglers (Lv 36) — Highly toxic</x:v>
      </x:c>
      <x:c r="M94" s="43" t="n">
        <x:v>5</x:v>
      </x:c>
      <x:c r="N94" s="43" t="str">
        <x:v>00:00:39</x:v>
      </x:c>
      <x:c r="O94" s="43" t="str">
        <x:v>00:37–00:39</x:v>
      </x:c>
      <x:c r="P94" s="43" t="str">
        <x:v>1000025098.mp4</x:v>
      </x:c>
      <x:c r="Q94" s="391" t="n">
        <x:f>SUMIFS('Specialisations'!$N$6:$N$527,'Specialisations'!$A$6:$A$527,A94,'Specialisations'!$B$6:$B$527,B94)</x:f>
        <x:v>14701500</x:v>
      </x:c>
      <x:c r="R94" s="392" t="n">
        <x:f>IF(M94=0,"",COUNTIFS('Specialisations'!$A$6:$A$527,A94,'Specialisations'!$B$6:$B$527,B94,'Specialisations'!$P$6:$P$527,"OK")/M94)</x:f>
        <x:v>1</x:v>
      </x:c>
      <x:c r="S94" s="494" t="n">
        <x:f>IF(Q94=0,"",SUMIFS('Specialisation Impact'!$K$19:$K$186,'Specialisation Impact'!$A$19:$A$186,A94,'Specialisation Impact'!$B$19:$B$186,B94))</x:f>
        <x:v>97.57000000000001</x:v>
      </x:c>
      <x:c r="T94" s="494" t="n">
        <x:f>IF(Q94=0,"",SUMIFS('Specialisation Impact'!$G$19:$G$186,'Specialisation Impact'!$A$19:$A$186,A94,'Specialisation Impact'!$B$19:$B$186,B94))</x:f>
        <x:v>-41.98</x:v>
      </x:c>
      <x:c r="U94" s="429" t="n">
        <x:f>IF(COUNTIFS('Specialisation Impact'!$A$19:$A$186,A94,'Specialisation Impact'!$B$19:$B$186,B94,'Specialisation Impact'!$S$19:$S$186,"&gt;0")=0,"",SUMIFS('Specialisation Impact'!$S$19:$S$186,'Specialisation Impact'!$A$19:$A$186,A94,'Specialisation Impact'!$B$19:$B$186,B94))</x:f>
        <x:v>52.33766233766234</x:v>
      </x:c>
      <x:c r="V94" s="429" t="n">
        <x:f>IF(COUNTIFS('Specialisation Impact'!$A$19:$A$186,A94,'Specialisation Impact'!$B$19:$B$186,B94,'Specialisation Impact'!$V$19:$V$186,"&gt;0")=0,"",SUMIFS('Specialisation Impact'!$V$19:$V$186,'Specialisation Impact'!$A$19:$A$186,A94,'Specialisation Impact'!$B$19:$B$186,B94))</x:f>
        <x:v>60.25641025641025</x:v>
      </x:c>
    </x:row>
    <x:row r="95" ht="45" customHeight="1">
      <x:c r="A95" s="43" t="str">
        <x:v>K170</x:v>
      </x:c>
      <x:c r="B95" s="43" t="str">
        <x:v>(AOT)D®a©o</x:v>
      </x:c>
      <x:c r="C95" s="43" t="str">
        <x:v>-2.3M</x:v>
      </x:c>
      <x:c r="D95" s="44" t="n">
        <x:v>3.071</x:v>
      </x:c>
      <x:c r="E95" s="44" t="n">
        <x:v>2.576</x:v>
      </x:c>
      <x:c r="F95" s="44" t="n">
        <x:v>2.806</x:v>
      </x:c>
      <x:c r="G95" s="44" t="n">
        <x:v>0.415</x:v>
      </x:c>
      <x:c r="H95" s="44" t="n">
        <x:v>-0.415</x:v>
      </x:c>
      <x:c r="I95" s="30" t="str">
        <x:v>Destroyers (Lv 45) — Parry</x:v>
      </x:c>
      <x:c r="J95" s="30" t="str">
        <x:v>Elite bowmen (Lv 39) — Frost Arrow</x:v>
      </x:c>
      <x:c r="K95" s="30" t="str">
        <x:v>Storm cavalry (Lv 45) — Mounted Archery</x:v>
      </x:c>
      <x:c r="L95" s="30" t="str">
        <x:v>Manglers (Lv 26) — Highly toxic</x:v>
      </x:c>
      <x:c r="M95" s="43" t="n">
        <x:v>4</x:v>
      </x:c>
      <x:c r="N95" s="43" t="str">
        <x:v>00:00:53</x:v>
      </x:c>
      <x:c r="O95" s="43" t="str">
        <x:v>00:52–00:53</x:v>
      </x:c>
      <x:c r="P95" s="43" t="str">
        <x:v>1000025098.mp4</x:v>
      </x:c>
      <x:c r="Q95" s="391" t="n">
        <x:f>SUMIFS('Specialisations'!$N$6:$N$527,'Specialisations'!$A$6:$A$527,A95,'Specialisations'!$B$6:$B$527,B95)</x:f>
        <x:v>11057200</x:v>
      </x:c>
      <x:c r="R95" s="392" t="n">
        <x:f>IF(M95=0,"",COUNTIFS('Specialisations'!$A$6:$A$527,A95,'Specialisations'!$B$6:$B$527,B95,'Specialisations'!$P$6:$P$527,"OK")/M95)</x:f>
        <x:v>1</x:v>
      </x:c>
      <x:c r="S95" s="494" t="n">
        <x:f>IF(Q95=0,"",SUMIFS('Specialisation Impact'!$K$19:$K$186,'Specialisation Impact'!$A$19:$A$186,A95,'Specialisation Impact'!$B$19:$B$186,B95))</x:f>
        <x:v>72.77999999999999</x:v>
      </x:c>
      <x:c r="T95" s="494" t="n">
        <x:f>IF(Q95=0,"",SUMIFS('Specialisation Impact'!$G$19:$G$186,'Specialisation Impact'!$A$19:$A$186,A95,'Specialisation Impact'!$B$19:$B$186,B95))</x:f>
        <x:v>-41.98</x:v>
      </x:c>
      <x:c r="U95" s="429" t="n">
        <x:f>IF(COUNTIFS('Specialisation Impact'!$A$19:$A$186,A95,'Specialisation Impact'!$B$19:$B$186,B95,'Specialisation Impact'!$S$19:$S$186,"&gt;0")=0,"",SUMIFS('Specialisation Impact'!$S$19:$S$186,'Specialisation Impact'!$A$19:$A$186,A95,'Specialisation Impact'!$B$19:$B$186,B95))</x:f>
        <x:v>32.5974025974026</x:v>
      </x:c>
      <x:c r="V95" s="429" t="n">
        <x:f>IF(COUNTIFS('Specialisation Impact'!$A$19:$A$186,A95,'Specialisation Impact'!$B$19:$B$186,B95,'Specialisation Impact'!$V$19:$V$186,"&gt;0")=0,"",SUMIFS('Specialisation Impact'!$V$19:$V$186,'Specialisation Impact'!$A$19:$A$186,A95,'Specialisation Impact'!$B$19:$B$186,B95))</x:f>
        <x:v>60.25641025641025</x:v>
      </x:c>
    </x:row>
    <x:row r="96" ht="45" customHeight="1">
      <x:c r="A96" s="43" t="str">
        <x:v>K170</x:v>
      </x:c>
      <x:c r="B96" s="43" t="str">
        <x:v>(AOT)Themechanic</x:v>
      </x:c>
      <x:c r="C96" s="43" t="str">
        <x:v>-2.6M</x:v>
      </x:c>
      <x:c r="D96" s="44" t="n">
        <x:v>3.3635</x:v>
      </x:c>
      <x:c r="E96" s="44" t="n">
        <x:v>2.601</x:v>
      </x:c>
      <x:c r="F96" s="44" t="n">
        <x:v>2.791</x:v>
      </x:c>
      <x:c r="G96" s="44" t="n">
        <x:v>0.4375</x:v>
      </x:c>
      <x:c r="H96" s="44" t="n">
        <x:v>-0.4</x:v>
      </x:c>
      <x:c r="I96" s="30" t="str">
        <x:v>Destroyers (Lv 47) — Parry</x:v>
      </x:c>
      <x:c r="J96" s="30" t="str">
        <x:v>Elite bowmen (Lv 37) — Frost Arrow</x:v>
      </x:c>
      <x:c r="K96" s="30" t="str">
        <x:v>Eternal knights (Lv 45) — Thunder trample
Storm cavalry (Lv 50) — Mounted Archery</x:v>
      </x:c>
      <x:c r="L96" s="30" t="str">
        <x:v>Not shown in recording</x:v>
      </x:c>
      <x:c r="M96" s="43" t="n">
        <x:v>4</x:v>
      </x:c>
      <x:c r="N96" s="43" t="str">
        <x:v>00:01:07</x:v>
      </x:c>
      <x:c r="O96" s="43" t="str">
        <x:v>01:05–01:07</x:v>
      </x:c>
      <x:c r="P96" s="43" t="str">
        <x:v>1000025098.mp4</x:v>
      </x:c>
      <x:c r="Q96" s="391" t="n">
        <x:f>SUMIFS('Specialisations'!$N$6:$N$527,'Specialisations'!$A$6:$A$527,A96,'Specialisations'!$B$6:$B$527,B96)</x:f>
        <x:v>22127200</x:v>
      </x:c>
      <x:c r="R96" s="392" t="n">
        <x:f>IF(M96=0,"",COUNTIFS('Specialisations'!$A$6:$A$527,A96,'Specialisations'!$B$6:$B$527,B96,'Specialisations'!$P$6:$P$527,"OK")/M96)</x:f>
        <x:v>1</x:v>
      </x:c>
      <x:c r="S96" s="494" t="n">
        <x:f>IF(Q96=0,"",SUMIFS('Specialisation Impact'!$K$19:$K$186,'Specialisation Impact'!$A$19:$A$186,A96,'Specialisation Impact'!$B$19:$B$186,B96))</x:f>
        <x:v>122.71</x:v>
      </x:c>
      <x:c r="T96" s="494" t="n">
        <x:f>IF(Q96=0,"",SUMIFS('Specialisation Impact'!$G$19:$G$186,'Specialisation Impact'!$A$19:$A$186,A96,'Specialisation Impact'!$B$19:$B$186,B96))</x:f>
        <x:v>-48.38</x:v>
      </x:c>
      <x:c r="U96" s="429" t="n">
        <x:f>IF(COUNTIFS('Specialisation Impact'!$A$19:$A$186,A96,'Specialisation Impact'!$B$19:$B$186,B96,'Specialisation Impact'!$S$19:$S$186,"&gt;0")=0,"",SUMIFS('Specialisation Impact'!$S$19:$S$186,'Specialisation Impact'!$A$19:$A$186,A96,'Specialisation Impact'!$B$19:$B$186,B96))</x:f>
        <x:v>75.71428571428571</x:v>
      </x:c>
      <x:c r="V96" s="429" t="n">
        <x:f>IF(COUNTIFS('Specialisation Impact'!$A$19:$A$186,A96,'Specialisation Impact'!$B$19:$B$186,B96,'Specialisation Impact'!$V$19:$V$186,"&gt;0")=0,"",SUMIFS('Specialisation Impact'!$V$19:$V$186,'Specialisation Impact'!$A$19:$A$186,A96,'Specialisation Impact'!$B$19:$B$186,B96))</x:f>
        <x:v>76.06837606837607</x:v>
      </x:c>
    </x:row>
    <x:row r="97" ht="45" customHeight="1">
      <x:c r="A97" s="43" t="str">
        <x:v>K170</x:v>
      </x:c>
      <x:c r="B97" s="43" t="str">
        <x:v>(AOT)Aauudd</x:v>
      </x:c>
      <x:c r="C97" s="43" t="str">
        <x:v>-2.5M</x:v>
      </x:c>
      <x:c r="D97" s="44" t="n">
        <x:v>3.336</x:v>
      </x:c>
      <x:c r="E97" s="44" t="n">
        <x:v>2.576</x:v>
      </x:c>
      <x:c r="F97" s="44" t="n">
        <x:v>2.891</x:v>
      </x:c>
      <x:c r="G97" s="44" t="n">
        <x:v>0.415</x:v>
      </x:c>
      <x:c r="H97" s="44" t="n">
        <x:v>-0.415</x:v>
      </x:c>
      <x:c r="I97" s="30" t="str">
        <x:v>Not shown in recording</x:v>
      </x:c>
      <x:c r="J97" s="30" t="str">
        <x:v>Elite bowmen (Lv 21) — Frost Arrow</x:v>
      </x:c>
      <x:c r="K97" s="30" t="str">
        <x:v>Eternal knights (Lv 31) — Thunder trample
Storm cavalry (Lv 46) — Mounted Archery</x:v>
      </x:c>
      <x:c r="L97" s="30" t="str">
        <x:v>Manglers (Lv 42) — Highly toxic</x:v>
      </x:c>
      <x:c r="M97" s="43" t="n">
        <x:v>4</x:v>
      </x:c>
      <x:c r="N97" s="43" t="str">
        <x:v>00:01:22</x:v>
      </x:c>
      <x:c r="O97" s="43" t="str">
        <x:v>01:20–01:22</x:v>
      </x:c>
      <x:c r="P97" s="43" t="str">
        <x:v>1000025098.mp4</x:v>
      </x:c>
      <x:c r="Q97" s="391" t="n">
        <x:f>SUMIFS('Specialisations'!$N$6:$N$527,'Specialisations'!$A$6:$A$527,A97,'Specialisations'!$B$6:$B$527,B97)</x:f>
        <x:v>8939700</x:v>
      </x:c>
      <x:c r="R97" s="392" t="n">
        <x:f>IF(M97=0,"",COUNTIFS('Specialisations'!$A$6:$A$527,A97,'Specialisations'!$B$6:$B$527,B97,'Specialisations'!$P$6:$P$527,"OK")/M97)</x:f>
        <x:v>1</x:v>
      </x:c>
      <x:c r="S97" s="494" t="n">
        <x:f>IF(Q97=0,"",SUMIFS('Specialisation Impact'!$K$19:$K$186,'Specialisation Impact'!$A$19:$A$186,A97,'Specialisation Impact'!$B$19:$B$186,B97))</x:f>
        <x:v>93.93</x:v>
      </x:c>
      <x:c r="T97" s="494" t="n">
        <x:f>IF(Q97=0,"",SUMIFS('Specialisation Impact'!$G$19:$G$186,'Specialisation Impact'!$A$19:$A$186,A97,'Specialisation Impact'!$B$19:$B$186,B97))</x:f>
        <x:v>0</x:v>
      </x:c>
      <x:c r="U97" s="429" t="n">
        <x:f>IF(COUNTIFS('Specialisation Impact'!$A$19:$A$186,A97,'Specialisation Impact'!$B$19:$B$186,B97,'Specialisation Impact'!$S$19:$S$186,"&gt;0")=0,"",SUMIFS('Specialisation Impact'!$S$19:$S$186,'Specialisation Impact'!$A$19:$A$186,A97,'Specialisation Impact'!$B$19:$B$186,B97))</x:f>
        <x:v>46.75324675324675</x:v>
      </x:c>
      <x:c r="V97" s="429" t="str">
        <x:f>IF(COUNTIFS('Specialisation Impact'!$A$19:$A$186,A97,'Specialisation Impact'!$B$19:$B$186,B97,'Specialisation Impact'!$V$19:$V$186,"&gt;0")=0,"",SUMIFS('Specialisation Impact'!$V$19:$V$186,'Specialisation Impact'!$A$19:$A$186,A97,'Specialisation Impact'!$B$19:$B$186,B97))</x:f>
      </x:c>
    </x:row>
    <x:row r="98" ht="45" customHeight="1">
      <x:c r="A98" s="43" t="str">
        <x:v>K170</x:v>
      </x:c>
      <x:c r="B98" s="43" t="str">
        <x:v>(AOT)Brauni°</x:v>
      </x:c>
      <x:c r="C98" s="43" t="str">
        <x:v>-2.0M</x:v>
      </x:c>
      <x:c r="D98" s="44" t="n">
        <x:v>3.2135</x:v>
      </x:c>
      <x:c r="E98" s="44" t="n">
        <x:v>2.326</x:v>
      </x:c>
      <x:c r="F98" s="44" t="n">
        <x:v>2.656</x:v>
      </x:c>
      <x:c r="G98" s="44" t="n">
        <x:v>0.4</x:v>
      </x:c>
      <x:c r="H98" s="44" t="n">
        <x:v>-0.385</x:v>
      </x:c>
      <x:c r="I98" s="30" t="str">
        <x:v>Destroyers (Lv 40) — Parry</x:v>
      </x:c>
      <x:c r="J98" s="30" t="str">
        <x:v>Elite bowmen (Lv 44) — Frost Arrow</x:v>
      </x:c>
      <x:c r="K98" s="30" t="str">
        <x:v>Storm cavalry (Lv 45) — Mounted Archery</x:v>
      </x:c>
      <x:c r="L98" s="30" t="str">
        <x:v>Not shown in recording</x:v>
      </x:c>
      <x:c r="M98" s="43" t="n">
        <x:v>3</x:v>
      </x:c>
      <x:c r="N98" s="43" t="str">
        <x:v>00:01:33</x:v>
      </x:c>
      <x:c r="O98" s="43" t="str">
        <x:v>01:31–01:33</x:v>
      </x:c>
      <x:c r="P98" s="43" t="str">
        <x:v>1000025098.mp4</x:v>
      </x:c>
      <x:c r="Q98" s="391" t="n">
        <x:f>SUMIFS('Specialisations'!$N$6:$N$527,'Specialisations'!$A$6:$A$527,A98,'Specialisations'!$B$6:$B$527,B98)</x:f>
        <x:v>10252900</x:v>
      </x:c>
      <x:c r="R98" s="392" t="n">
        <x:f>IF(M98=0,"",COUNTIFS('Specialisations'!$A$6:$A$527,A98,'Specialisations'!$B$6:$B$527,B98,'Specialisations'!$P$6:$P$527,"OK")/M98)</x:f>
        <x:v>1</x:v>
      </x:c>
      <x:c r="S98" s="494" t="n">
        <x:f>IF(Q98=0,"",SUMIFS('Specialisation Impact'!$K$19:$K$186,'Specialisation Impact'!$A$19:$A$186,A98,'Specialisation Impact'!$B$19:$B$186,B98))</x:f>
        <x:v>81.91</x:v>
      </x:c>
      <x:c r="T98" s="494" t="n">
        <x:f>IF(Q98=0,"",SUMIFS('Specialisation Impact'!$G$19:$G$186,'Specialisation Impact'!$A$19:$A$186,A98,'Specialisation Impact'!$B$19:$B$186,B98))</x:f>
        <x:v>-27.74</x:v>
      </x:c>
      <x:c r="U98" s="429" t="n">
        <x:f>IF(COUNTIFS('Specialisation Impact'!$A$19:$A$186,A98,'Specialisation Impact'!$B$19:$B$186,B98,'Specialisation Impact'!$S$19:$S$186,"&gt;0")=0,"",SUMIFS('Specialisation Impact'!$S$19:$S$186,'Specialisation Impact'!$A$19:$A$186,A98,'Specialisation Impact'!$B$19:$B$186,B98))</x:f>
        <x:v>37.79220779220779</x:v>
      </x:c>
      <x:c r="V98" s="429" t="n">
        <x:f>IF(COUNTIFS('Specialisation Impact'!$A$19:$A$186,A98,'Specialisation Impact'!$B$19:$B$186,B98,'Specialisation Impact'!$V$19:$V$186,"&gt;0")=0,"",SUMIFS('Specialisation Impact'!$V$19:$V$186,'Specialisation Impact'!$A$19:$A$186,A98,'Specialisation Impact'!$B$19:$B$186,B98))</x:f>
        <x:v>29.48717948717949</x:v>
      </x:c>
    </x:row>
    <x:row r="99" ht="45" customHeight="1">
      <x:c r="A99" s="43" t="str">
        <x:v>K170</x:v>
      </x:c>
      <x:c r="B99" s="43" t="str">
        <x:v>(AOT)Kelley</x:v>
      </x:c>
      <x:c r="C99" s="43" t="str">
        <x:v>-2.1M</x:v>
      </x:c>
      <x:c r="D99" s="44" t="n">
        <x:v>2.8585</x:v>
      </x:c>
      <x:c r="E99" s="44" t="n">
        <x:v>2.736</x:v>
      </x:c>
      <x:c r="F99" s="44" t="n">
        <x:v>2.846</x:v>
      </x:c>
      <x:c r="G99" s="44" t="n">
        <x:v>0.4375</x:v>
      </x:c>
      <x:c r="H99" s="44" t="n">
        <x:v>-0.415</x:v>
      </x:c>
      <x:c r="I99" s="30" t="str">
        <x:v>Not shown in recording</x:v>
      </x:c>
      <x:c r="J99" s="30" t="str">
        <x:v>Not shown in recording</x:v>
      </x:c>
      <x:c r="K99" s="30" t="str">
        <x:v>Not shown in recording</x:v>
      </x:c>
      <x:c r="L99" s="30" t="str">
        <x:v>Not shown in recording</x:v>
      </x:c>
      <x:c r="M99" s="43" t="n">
        <x:v>0</x:v>
      </x:c>
      <x:c r="N99" s="43" t="str">
        <x:v>00:01:42</x:v>
      </x:c>
      <x:c r="O99" s="43" t="str">
        <x:v>01:41–01:42</x:v>
      </x:c>
      <x:c r="P99" s="43" t="str">
        <x:v>1000025098.mp4</x:v>
      </x:c>
      <x:c r="Q99" s="391" t="n">
        <x:f>SUMIFS('Specialisations'!$N$6:$N$527,'Specialisations'!$A$6:$A$527,A99,'Specialisations'!$B$6:$B$527,B99)</x:f>
        <x:v>0</x:v>
      </x:c>
      <x:c r="R99" s="392" t="str">
        <x:f>IF(M99=0,"",COUNTIFS('Specialisations'!$A$6:$A$527,A99,'Specialisations'!$B$6:$B$527,B99,'Specialisations'!$P$6:$P$527,"OK")/M99)</x:f>
      </x:c>
      <x:c r="S99" s="494" t="str">
        <x:f>IF(Q99=0,"",SUMIFS('Specialisation Impact'!$K$19:$K$186,'Specialisation Impact'!$A$19:$A$186,A99,'Specialisation Impact'!$B$19:$B$186,B99))</x:f>
      </x:c>
      <x:c r="T99" s="494" t="str">
        <x:f>IF(Q99=0,"",SUMIFS('Specialisation Impact'!$G$19:$G$186,'Specialisation Impact'!$A$19:$A$186,A99,'Specialisation Impact'!$B$19:$B$186,B99))</x:f>
      </x:c>
      <x:c r="U99" s="429" t="str">
        <x:f>IF(COUNTIFS('Specialisation Impact'!$A$19:$A$186,A99,'Specialisation Impact'!$B$19:$B$186,B99,'Specialisation Impact'!$S$19:$S$186,"&gt;0")=0,"",SUMIFS('Specialisation Impact'!$S$19:$S$186,'Specialisation Impact'!$A$19:$A$186,A99,'Specialisation Impact'!$B$19:$B$186,B99))</x:f>
      </x:c>
      <x:c r="V99" s="429" t="str">
        <x:f>IF(COUNTIFS('Specialisation Impact'!$A$19:$A$186,A99,'Specialisation Impact'!$B$19:$B$186,B99,'Specialisation Impact'!$V$19:$V$186,"&gt;0")=0,"",SUMIFS('Specialisation Impact'!$V$19:$V$186,'Specialisation Impact'!$A$19:$A$186,A99,'Specialisation Impact'!$B$19:$B$186,B99))</x:f>
      </x:c>
    </x:row>
    <x:row r="100" ht="45" customHeight="1">
      <x:c r="A100" s="43" t="str">
        <x:v>K170</x:v>
      </x:c>
      <x:c r="B100" s="43" t="str">
        <x:v>(AOT)鸣鸣鸣</x:v>
      </x:c>
      <x:c r="C100" s="43" t="str">
        <x:v>-2.9M</x:v>
      </x:c>
      <x:c r="D100" s="44" t="n">
        <x:v>3.2735</x:v>
      </x:c>
      <x:c r="E100" s="44" t="n">
        <x:v>2.911</x:v>
      </x:c>
      <x:c r="F100" s="44" t="n">
        <x:v>3.046</x:v>
      </x:c>
      <x:c r="G100" s="44" t="n">
        <x:v>0.4375</x:v>
      </x:c>
      <x:c r="H100" s="44" t="n">
        <x:v>-0.415</x:v>
      </x:c>
      <x:c r="I100" s="30" t="str">
        <x:v>Not shown in recording</x:v>
      </x:c>
      <x:c r="J100" s="30" t="str">
        <x:v>Elite bowmen (Lv 45) — Frost Arrow</x:v>
      </x:c>
      <x:c r="K100" s="30" t="str">
        <x:v>Eternal knights (Lv 46) — Thunder trample
Storm cavalry (Lv 47) — Mounted Archery</x:v>
      </x:c>
      <x:c r="L100" s="30" t="str">
        <x:v>Not shown in recording</x:v>
      </x:c>
      <x:c r="M100" s="43" t="n">
        <x:v>3</x:v>
      </x:c>
      <x:c r="N100" s="43" t="str">
        <x:v>00:01:58</x:v>
      </x:c>
      <x:c r="O100" s="43" t="str">
        <x:v>01:55–01:58</x:v>
      </x:c>
      <x:c r="P100" s="43" t="str">
        <x:v>1000025098.mp4</x:v>
      </x:c>
      <x:c r="Q100" s="391" t="n">
        <x:f>SUMIFS('Specialisations'!$N$6:$N$527,'Specialisations'!$A$6:$A$527,A100,'Specialisations'!$B$6:$B$527,B100)</x:f>
        <x:v>15172900</x:v>
      </x:c>
      <x:c r="R100" s="392" t="n">
        <x:f>IF(M100=0,"",COUNTIFS('Specialisations'!$A$6:$A$527,A100,'Specialisations'!$B$6:$B$527,B100,'Specialisations'!$P$6:$P$527,"OK")/M100)</x:f>
        <x:v>1</x:v>
      </x:c>
      <x:c r="S100" s="494" t="n">
        <x:f>IF(Q100=0,"",SUMIFS('Specialisation Impact'!$K$19:$K$186,'Specialisation Impact'!$A$19:$A$186,A100,'Specialisation Impact'!$B$19:$B$186,B100))</x:f>
        <x:v>135.49</x:v>
      </x:c>
      <x:c r="T100" s="494" t="n">
        <x:f>IF(Q100=0,"",SUMIFS('Specialisation Impact'!$G$19:$G$186,'Specialisation Impact'!$A$19:$A$186,A100,'Specialisation Impact'!$B$19:$B$186,B100))</x:f>
        <x:v>0</x:v>
      </x:c>
      <x:c r="U100" s="429" t="n">
        <x:f>IF(COUNTIFS('Specialisation Impact'!$A$19:$A$186,A100,'Specialisation Impact'!$B$19:$B$186,B100,'Specialisation Impact'!$S$19:$S$186,"&gt;0")=0,"",SUMIFS('Specialisation Impact'!$S$19:$S$186,'Specialisation Impact'!$A$19:$A$186,A100,'Specialisation Impact'!$B$19:$B$186,B100))</x:f>
        <x:v>81.55844155844156</x:v>
      </x:c>
      <x:c r="V100" s="429" t="str">
        <x:f>IF(COUNTIFS('Specialisation Impact'!$A$19:$A$186,A100,'Specialisation Impact'!$B$19:$B$186,B100,'Specialisation Impact'!$V$19:$V$186,"&gt;0")=0,"",SUMIFS('Specialisation Impact'!$V$19:$V$186,'Specialisation Impact'!$A$19:$A$186,A100,'Specialisation Impact'!$B$19:$B$186,B100))</x:f>
      </x:c>
    </x:row>
    <x:row r="101" ht="45" customHeight="1">
      <x:c r="A101" s="43" t="str">
        <x:v>K170</x:v>
      </x:c>
      <x:c r="B101" s="43" t="str">
        <x:v>(AOT)aweirdmind</x:v>
      </x:c>
      <x:c r="C101" s="43" t="str">
        <x:v>-506.2K</x:v>
      </x:c>
      <x:c r="D101" s="44" t="n">
        <x:v>3.1985</x:v>
      </x:c>
      <x:c r="E101" s="44" t="n">
        <x:v>2.7135</x:v>
      </x:c>
      <x:c r="F101" s="44" t="n">
        <x:v>2.8135</x:v>
      </x:c>
      <x:c r="G101" s="44" t="n">
        <x:v>0.4375</x:v>
      </x:c>
      <x:c r="H101" s="44" t="n">
        <x:v>-0.4375</x:v>
      </x:c>
      <x:c r="I101" s="30" t="str">
        <x:v>Not shown in recording</x:v>
      </x:c>
      <x:c r="J101" s="30" t="str">
        <x:v>Not shown in recording</x:v>
      </x:c>
      <x:c r="K101" s="30" t="str">
        <x:v>Not shown in recording</x:v>
      </x:c>
      <x:c r="L101" s="30" t="str">
        <x:v>Not shown in recording</x:v>
      </x:c>
      <x:c r="M101" s="43" t="n">
        <x:v>0</x:v>
      </x:c>
      <x:c r="N101" s="43" t="str">
        <x:v>00:02:21.000</x:v>
      </x:c>
      <x:c r="O101" s="43" t="str">
        <x:v>02:18–02:21</x:v>
      </x:c>
      <x:c r="P101" s="43" t="str">
        <x:v>1000025098.mp4</x:v>
      </x:c>
      <x:c r="Q101" s="391" t="n">
        <x:f>SUMIFS('Specialisations'!$N$6:$N$527,'Specialisations'!$A$6:$A$527,A101,'Specialisations'!$B$6:$B$527,B101)</x:f>
        <x:v>0</x:v>
      </x:c>
      <x:c r="R101" s="392" t="str">
        <x:f>IF(M101=0,"",COUNTIFS('Specialisations'!$A$6:$A$527,A101,'Specialisations'!$B$6:$B$527,B101,'Specialisations'!$P$6:$P$527,"OK")/M101)</x:f>
      </x:c>
      <x:c r="S101" s="494" t="str">
        <x:f>IF(Q101=0,"",SUMIFS('Specialisation Impact'!$K$19:$K$186,'Specialisation Impact'!$A$19:$A$186,A101,'Specialisation Impact'!$B$19:$B$186,B101))</x:f>
      </x:c>
      <x:c r="T101" s="494" t="str">
        <x:f>IF(Q101=0,"",SUMIFS('Specialisation Impact'!$G$19:$G$186,'Specialisation Impact'!$A$19:$A$186,A101,'Specialisation Impact'!$B$19:$B$186,B101))</x:f>
      </x:c>
      <x:c r="U101" s="429" t="str">
        <x:f>IF(COUNTIFS('Specialisation Impact'!$A$19:$A$186,A101,'Specialisation Impact'!$B$19:$B$186,B101,'Specialisation Impact'!$S$19:$S$186,"&gt;0")=0,"",SUMIFS('Specialisation Impact'!$S$19:$S$186,'Specialisation Impact'!$A$19:$A$186,A101,'Specialisation Impact'!$B$19:$B$186,B101))</x:f>
      </x:c>
      <x:c r="V101" s="429" t="str">
        <x:f>IF(COUNTIFS('Specialisation Impact'!$A$19:$A$186,A101,'Specialisation Impact'!$B$19:$B$186,B101,'Specialisation Impact'!$V$19:$V$186,"&gt;0")=0,"",SUMIFS('Specialisation Impact'!$V$19:$V$186,'Specialisation Impact'!$A$19:$A$186,A101,'Specialisation Impact'!$B$19:$B$186,B101))</x:f>
      </x:c>
    </x:row>
    <x:row r="102" ht="45" customHeight="1">
      <x:c r="A102" s="43" t="str">
        <x:v>K170</x:v>
      </x:c>
      <x:c r="B102" s="43" t="str">
        <x:v>(AOT)Panda</x:v>
      </x:c>
      <x:c r="C102" s="43" t="str">
        <x:v>-2.6M</x:v>
      </x:c>
      <x:c r="D102" s="44" t="n">
        <x:v>3.5585</x:v>
      </x:c>
      <x:c r="E102" s="44" t="n">
        <x:v>2.9685</x:v>
      </x:c>
      <x:c r="F102" s="44" t="n">
        <x:v>3.4385</x:v>
      </x:c>
      <x:c r="G102" s="44" t="n">
        <x:v>0.415</x:v>
      </x:c>
      <x:c r="H102" s="44" t="n">
        <x:v>-0.4375</x:v>
      </x:c>
      <x:c r="I102" s="30" t="str">
        <x:v>Destroyers (Lv 50) — Parry</x:v>
      </x:c>
      <x:c r="J102" s="30" t="str">
        <x:v>Not shown in recording</x:v>
      </x:c>
      <x:c r="K102" s="30" t="str">
        <x:v>Eternal knights (Lv 45) — Thunder trample
Storm cavalry (Lv 50) — Mounted Archery</x:v>
      </x:c>
      <x:c r="L102" s="30" t="str">
        <x:v>Manglers (Lv 39) — Highly toxic</x:v>
      </x:c>
      <x:c r="M102" s="43" t="n">
        <x:v>4</x:v>
      </x:c>
      <x:c r="N102" s="43" t="str">
        <x:v>00:02:32.000</x:v>
      </x:c>
      <x:c r="O102" s="43" t="str">
        <x:v>02:30–02:32</x:v>
      </x:c>
      <x:c r="P102" s="43" t="str">
        <x:v>1000025098.mp4</x:v>
      </x:c>
      <x:c r="Q102" s="391" t="n">
        <x:f>SUMIFS('Specialisations'!$N$6:$N$527,'Specialisations'!$A$6:$A$527,A102,'Specialisations'!$B$6:$B$527,B102)</x:f>
        <x:v>26957200</x:v>
      </x:c>
      <x:c r="R102" s="392" t="n">
        <x:f>IF(M102=0,"",COUNTIFS('Specialisations'!$A$6:$A$527,A102,'Specialisations'!$B$6:$B$527,B102,'Specialisations'!$P$6:$P$527,"OK")/M102)</x:f>
        <x:v>1</x:v>
      </x:c>
      <x:c r="S102" s="494" t="n">
        <x:f>IF(Q102=0,"",SUMIFS('Specialisation Impact'!$K$19:$K$186,'Specialisation Impact'!$A$19:$A$186,A102,'Specialisation Impact'!$B$19:$B$186,B102))</x:f>
        <x:v>125.97999999999999</x:v>
      </x:c>
      <x:c r="T102" s="494" t="n">
        <x:f>IF(Q102=0,"",SUMIFS('Specialisation Impact'!$G$19:$G$186,'Specialisation Impact'!$A$19:$A$186,A102,'Specialisation Impact'!$B$19:$B$186,B102))</x:f>
        <x:v>-60</x:v>
      </x:c>
      <x:c r="U102" s="429" t="n">
        <x:f>IF(COUNTIFS('Specialisation Impact'!$A$19:$A$186,A102,'Specialisation Impact'!$B$19:$B$186,B102,'Specialisation Impact'!$S$19:$S$186,"&gt;0")=0,"",SUMIFS('Specialisation Impact'!$S$19:$S$186,'Specialisation Impact'!$A$19:$A$186,A102,'Specialisation Impact'!$B$19:$B$186,B102))</x:f>
        <x:v>78.05194805194805</x:v>
      </x:c>
      <x:c r="V102" s="429" t="n">
        <x:f>IF(COUNTIFS('Specialisation Impact'!$A$19:$A$186,A102,'Specialisation Impact'!$B$19:$B$186,B102,'Specialisation Impact'!$V$19:$V$186,"&gt;0")=0,"",SUMIFS('Specialisation Impact'!$V$19:$V$186,'Specialisation Impact'!$A$19:$A$186,A102,'Specialisation Impact'!$B$19:$B$186,B102))</x:f>
        <x:v>93.16239316239316</x:v>
      </x:c>
    </x:row>
    <x:row r="103" ht="45" customHeight="1">
      <x:c r="A103" s="43" t="str">
        <x:v>K170</x:v>
      </x:c>
      <x:c r="B103" s="43" t="str">
        <x:v>(AOT)StFruz</x:v>
      </x:c>
      <x:c r="C103" s="43" t="str">
        <x:v>-1.3M</x:v>
      </x:c>
      <x:c r="D103" s="44" t="n">
        <x:v>3.2501</x:v>
      </x:c>
      <x:c r="E103" s="44" t="n">
        <x:v>2.699</x:v>
      </x:c>
      <x:c r="F103" s="44" t="n">
        <x:v>3.159</x:v>
      </x:c>
      <x:c r="G103" s="44" t="n">
        <x:v>0.4375</x:v>
      </x:c>
      <x:c r="H103" s="44" t="n">
        <x:v>-0.4375</x:v>
      </x:c>
      <x:c r="I103" s="30" t="str">
        <x:v>Not shown in recording</x:v>
      </x:c>
      <x:c r="J103" s="30" t="str">
        <x:v>Elite bowmen (Lv 20) — Frost Arrow</x:v>
      </x:c>
      <x:c r="K103" s="30" t="str">
        <x:v>Storm cavalry (Lv 44) — Mounted Archery</x:v>
      </x:c>
      <x:c r="L103" s="30" t="str">
        <x:v>Manglers (Lv 32) — Highly toxic
Guardian siege (Lv 50) — Dragonhide</x:v>
      </x:c>
      <x:c r="M103" s="43" t="n">
        <x:v>4</x:v>
      </x:c>
      <x:c r="N103" s="43" t="str">
        <x:v>00:02:48.000</x:v>
      </x:c>
      <x:c r="O103" s="43" t="str">
        <x:v>02:44–02:48</x:v>
      </x:c>
      <x:c r="P103" s="43" t="str">
        <x:v>1000025098.mp4</x:v>
      </x:c>
      <x:c r="Q103" s="391" t="n">
        <x:f>SUMIFS('Specialisations'!$N$6:$N$527,'Specialisations'!$A$6:$A$527,A103,'Specialisations'!$B$6:$B$527,B103)</x:f>
        <x:v>15207200</x:v>
      </x:c>
      <x:c r="R103" s="392" t="n">
        <x:f>IF(M103=0,"",COUNTIFS('Specialisations'!$A$6:$A$527,A103,'Specialisations'!$B$6:$B$527,B103,'Specialisations'!$P$6:$P$527,"OK")/M103)</x:f>
        <x:v>1</x:v>
      </x:c>
      <x:c r="S103" s="494" t="n">
        <x:f>IF(Q103=0,"",SUMIFS('Specialisation Impact'!$K$19:$K$186,'Specialisation Impact'!$A$19:$A$186,A103,'Specialisation Impact'!$B$19:$B$186,B103))</x:f>
        <x:v>116.34</x:v>
      </x:c>
      <x:c r="T103" s="494" t="n">
        <x:f>IF(Q103=0,"",SUMIFS('Specialisation Impact'!$G$19:$G$186,'Specialisation Impact'!$A$19:$A$186,A103,'Specialisation Impact'!$B$19:$B$186,B103))</x:f>
        <x:v>0</x:v>
      </x:c>
      <x:c r="U103" s="429" t="n">
        <x:f>IF(COUNTIFS('Specialisation Impact'!$A$19:$A$186,A103,'Specialisation Impact'!$B$19:$B$186,B103,'Specialisation Impact'!$S$19:$S$186,"&gt;0")=0,"",SUMIFS('Specialisation Impact'!$S$19:$S$186,'Specialisation Impact'!$A$19:$A$186,A103,'Specialisation Impact'!$B$19:$B$186,B103))</x:f>
        <x:v>71.29870129870129</x:v>
      </x:c>
      <x:c r="V103" s="429" t="str">
        <x:f>IF(COUNTIFS('Specialisation Impact'!$A$19:$A$186,A103,'Specialisation Impact'!$B$19:$B$186,B103,'Specialisation Impact'!$V$19:$V$186,"&gt;0")=0,"",SUMIFS('Specialisation Impact'!$V$19:$V$186,'Specialisation Impact'!$A$19:$A$186,A103,'Specialisation Impact'!$B$19:$B$186,B103))</x:f>
      </x:c>
    </x:row>
    <x:row r="104" ht="45" customHeight="1">
      <x:c r="A104" s="43" t="str">
        <x:v>K170</x:v>
      </x:c>
      <x:c r="B104" s="43" t="str">
        <x:v>(AOT)WeleS</x:v>
      </x:c>
      <x:c r="C104" s="43" t="str">
        <x:v>-2.2M</x:v>
      </x:c>
      <x:c r="D104" s="44" t="n">
        <x:v>3.5685</x:v>
      </x:c>
      <x:c r="E104" s="44" t="n">
        <x:v>3.1185</x:v>
      </x:c>
      <x:c r="F104" s="44" t="n">
        <x:v>3.1885</x:v>
      </x:c>
      <x:c r="G104" s="44" t="n">
        <x:v>0.4375</x:v>
      </x:c>
      <x:c r="H104" s="44" t="n">
        <x:v>-0.4375</x:v>
      </x:c>
      <x:c r="I104" s="30" t="str">
        <x:v>Destroyers (Lv 48) — Parry</x:v>
      </x:c>
      <x:c r="J104" s="30" t="str">
        <x:v>Elite bowmen (Lv 49) — Frost Arrow</x:v>
      </x:c>
      <x:c r="K104" s="30" t="str">
        <x:v>Storm cavalry (Lv 47) — Mounted Archery</x:v>
      </x:c>
      <x:c r="L104" s="30" t="str">
        <x:v>Not shown in recording</x:v>
      </x:c>
      <x:c r="M104" s="43" t="n">
        <x:v>3</x:v>
      </x:c>
      <x:c r="N104" s="43" t="str">
        <x:v>00:03:00.000</x:v>
      </x:c>
      <x:c r="O104" s="43" t="str">
        <x:v>02:57–03:00</x:v>
      </x:c>
      <x:c r="P104" s="43" t="str">
        <x:v>1000025098.mp4</x:v>
      </x:c>
      <x:c r="Q104" s="391" t="n">
        <x:f>SUMIFS('Specialisations'!$N$6:$N$527,'Specialisations'!$A$6:$A$527,A104,'Specialisations'!$B$6:$B$527,B104)</x:f>
        <x:v>21152900</x:v>
      </x:c>
      <x:c r="R104" s="392" t="n">
        <x:f>IF(M104=0,"",COUNTIFS('Specialisations'!$A$6:$A$527,A104,'Specialisations'!$B$6:$B$527,B104,'Specialisations'!$P$6:$P$527,"OK")/M104)</x:f>
        <x:v>1</x:v>
      </x:c>
      <x:c r="S104" s="494" t="n">
        <x:f>IF(Q104=0,"",SUMIFS('Specialisation Impact'!$K$19:$K$186,'Specialisation Impact'!$A$19:$A$186,A104,'Specialisation Impact'!$B$19:$B$186,B104))</x:f>
        <x:v>103.58000000000001</x:v>
      </x:c>
      <x:c r="T104" s="494" t="n">
        <x:f>IF(Q104=0,"",SUMIFS('Specialisation Impact'!$G$19:$G$186,'Specialisation Impact'!$A$19:$A$186,A104,'Specialisation Impact'!$B$19:$B$186,B104))</x:f>
        <x:v>-51.74</x:v>
      </x:c>
      <x:c r="U104" s="429" t="n">
        <x:f>IF(COUNTIFS('Specialisation Impact'!$A$19:$A$186,A104,'Specialisation Impact'!$B$19:$B$186,B104,'Specialisation Impact'!$S$19:$S$186,"&gt;0")=0,"",SUMIFS('Specialisation Impact'!$S$19:$S$186,'Specialisation Impact'!$A$19:$A$186,A104,'Specialisation Impact'!$B$19:$B$186,B104))</x:f>
        <x:v>60.3896103896104</x:v>
      </x:c>
      <x:c r="V104" s="429" t="n">
        <x:f>IF(COUNTIFS('Specialisation Impact'!$A$19:$A$186,A104,'Specialisation Impact'!$B$19:$B$186,B104,'Specialisation Impact'!$V$19:$V$186,"&gt;0")=0,"",SUMIFS('Specialisation Impact'!$V$19:$V$186,'Specialisation Impact'!$A$19:$A$186,A104,'Specialisation Impact'!$B$19:$B$186,B104))</x:f>
        <x:v>79.91452991452991</x:v>
      </x:c>
    </x:row>
    <x:row r="105" ht="45" customHeight="1">
      <x:c r="A105" s="43" t="str">
        <x:v>K170</x:v>
      </x:c>
      <x:c r="B105" s="43" t="str">
        <x:v>(AOT)Doctopussy</x:v>
      </x:c>
      <x:c r="C105" s="43" t="str">
        <x:v>-4.2M</x:v>
      </x:c>
      <x:c r="D105" s="44" t="n">
        <x:v>3.1835</x:v>
      </x:c>
      <x:c r="E105" s="44" t="n">
        <x:v>2.611</x:v>
      </x:c>
      <x:c r="F105" s="44" t="n">
        <x:v>3.026</x:v>
      </x:c>
      <x:c r="G105" s="44" t="n">
        <x:v>0.4375</x:v>
      </x:c>
      <x:c r="H105" s="44" t="n">
        <x:v>-0.415</x:v>
      </x:c>
      <x:c r="I105" s="30" t="str">
        <x:v>Destroyers (Lv 44) — Parry</x:v>
      </x:c>
      <x:c r="J105" s="30" t="str">
        <x:v>Elite bowmen (Lv 43) — Frost Arrow
Elite (Lv 11) — Focus</x:v>
      </x:c>
      <x:c r="K105" s="30" t="str">
        <x:v>Storm cavalry (Lv 48) — Mounted Archery</x:v>
      </x:c>
      <x:c r="L105" s="30" t="str">
        <x:v>Manglers (Lv 31) — Highly toxic</x:v>
      </x:c>
      <x:c r="M105" s="43" t="n">
        <x:v>5</x:v>
      </x:c>
      <x:c r="N105" s="43" t="str">
        <x:v>00:03:15.000</x:v>
      </x:c>
      <x:c r="O105" s="43" t="str">
        <x:v>03:13–03:15</x:v>
      </x:c>
      <x:c r="P105" s="43" t="str">
        <x:v>1000025098.mp4</x:v>
      </x:c>
      <x:c r="Q105" s="391" t="n">
        <x:f>SUMIFS('Specialisations'!$N$6:$N$527,'Specialisations'!$A$6:$A$527,A105,'Specialisations'!$B$6:$B$527,B105)</x:f>
        <x:v>14810200</x:v>
      </x:c>
      <x:c r="R105" s="392" t="n">
        <x:f>IF(M105=0,"",COUNTIFS('Specialisations'!$A$6:$A$527,A105,'Specialisations'!$B$6:$B$527,B105,'Specialisations'!$P$6:$P$527,"OK")/M105)</x:f>
        <x:v>1</x:v>
      </x:c>
      <x:c r="S105" s="494" t="n">
        <x:f>IF(Q105=0,"",SUMIFS('Specialisation Impact'!$K$19:$K$186,'Specialisation Impact'!$A$19:$A$186,A105,'Specialisation Impact'!$B$19:$B$186,B105))</x:f>
        <x:v>99.81</x:v>
      </x:c>
      <x:c r="T105" s="494" t="n">
        <x:f>IF(Q105=0,"",SUMIFS('Specialisation Impact'!$G$19:$G$186,'Specialisation Impact'!$A$19:$A$186,A105,'Specialisation Impact'!$B$19:$B$186,B105))</x:f>
        <x:v>-39.93</x:v>
      </x:c>
      <x:c r="U105" s="429" t="n">
        <x:f>IF(COUNTIFS('Specialisation Impact'!$A$19:$A$186,A105,'Specialisation Impact'!$B$19:$B$186,B105,'Specialisation Impact'!$S$19:$S$186,"&gt;0")=0,"",SUMIFS('Specialisation Impact'!$S$19:$S$186,'Specialisation Impact'!$A$19:$A$186,A105,'Specialisation Impact'!$B$19:$B$186,B105))</x:f>
        <x:v>55.06493506493507</x:v>
      </x:c>
      <x:c r="V105" s="429" t="n">
        <x:f>IF(COUNTIFS('Specialisation Impact'!$A$19:$A$186,A105,'Specialisation Impact'!$B$19:$B$186,B105,'Specialisation Impact'!$V$19:$V$186,"&gt;0")=0,"",SUMIFS('Specialisation Impact'!$V$19:$V$186,'Specialisation Impact'!$A$19:$A$186,A105,'Specialisation Impact'!$B$19:$B$186,B105))</x:f>
        <x:v>48.2905982905983</x:v>
      </x:c>
    </x:row>
    <x:row r="106" ht="45" customHeight="1">
      <x:c r="A106" s="43" t="str">
        <x:v>K170</x:v>
      </x:c>
      <x:c r="B106" s="43" t="str">
        <x:v>(AOT)SugarDADDY</x:v>
      </x:c>
      <x:c r="C106" s="43" t="str">
        <x:v>-572.4K</x:v>
      </x:c>
      <x:c r="D106" s="44" t="n">
        <x:v>3.4335</x:v>
      </x:c>
      <x:c r="E106" s="44" t="n">
        <x:v>3.071</x:v>
      </x:c>
      <x:c r="F106" s="44" t="n">
        <x:v>3.651</x:v>
      </x:c>
      <x:c r="G106" s="44" t="n">
        <x:v>0.4375</x:v>
      </x:c>
      <x:c r="H106" s="44" t="n">
        <x:v>-0.415</x:v>
      </x:c>
      <x:c r="I106" s="30" t="str">
        <x:v>Not shown in recording</x:v>
      </x:c>
      <x:c r="J106" s="30" t="str">
        <x:v>Elite bowmen (Lv 22) — Frost Arrow</x:v>
      </x:c>
      <x:c r="K106" s="30" t="str">
        <x:v>Eternal knights (Lv 40) — Thunder trample
Storm cavalry (Lv 40) — Mounted Archery</x:v>
      </x:c>
      <x:c r="L106" s="30" t="str">
        <x:v>Manglers (Lv 37) — Highly toxic</x:v>
      </x:c>
      <x:c r="M106" s="43" t="n">
        <x:v>4</x:v>
      </x:c>
      <x:c r="N106" s="43" t="str">
        <x:v>00:03:26.000</x:v>
      </x:c>
      <x:c r="O106" s="43" t="str">
        <x:v>03:25–03:26</x:v>
      </x:c>
      <x:c r="P106" s="43" t="str">
        <x:v>1000025098.mp4</x:v>
      </x:c>
      <x:c r="Q106" s="391" t="n">
        <x:f>SUMIFS('Specialisations'!$N$6:$N$527,'Specialisations'!$A$6:$A$527,A106,'Specialisations'!$B$6:$B$527,B106)</x:f>
        <x:v>6384700</x:v>
      </x:c>
      <x:c r="R106" s="392" t="n">
        <x:f>IF(M106=0,"",COUNTIFS('Specialisations'!$A$6:$A$527,A106,'Specialisations'!$B$6:$B$527,B106,'Specialisations'!$P$6:$P$527,"OK")/M106)</x:f>
        <x:v>1</x:v>
      </x:c>
      <x:c r="S106" s="494" t="n">
        <x:f>IF(Q106=0,"",SUMIFS('Specialisation Impact'!$K$19:$K$186,'Specialisation Impact'!$A$19:$A$186,A106,'Specialisation Impact'!$B$19:$B$186,B106))</x:f>
        <x:v>80.39</x:v>
      </x:c>
      <x:c r="T106" s="494" t="n">
        <x:f>IF(Q106=0,"",SUMIFS('Specialisation Impact'!$G$19:$G$186,'Specialisation Impact'!$A$19:$A$186,A106,'Specialisation Impact'!$B$19:$B$186,B106))</x:f>
        <x:v>0</x:v>
      </x:c>
      <x:c r="U106" s="429" t="n">
        <x:f>IF(COUNTIFS('Specialisation Impact'!$A$19:$A$186,A106,'Specialisation Impact'!$B$19:$B$186,B106,'Specialisation Impact'!$S$19:$S$186,"&gt;0")=0,"",SUMIFS('Specialisation Impact'!$S$19:$S$186,'Specialisation Impact'!$A$19:$A$186,A106,'Specialisation Impact'!$B$19:$B$186,B106))</x:f>
        <x:v>34.675324675324674</x:v>
      </x:c>
      <x:c r="V106" s="429" t="str">
        <x:f>IF(COUNTIFS('Specialisation Impact'!$A$19:$A$186,A106,'Specialisation Impact'!$B$19:$B$186,B106,'Specialisation Impact'!$V$19:$V$186,"&gt;0")=0,"",SUMIFS('Specialisation Impact'!$V$19:$V$186,'Specialisation Impact'!$A$19:$A$186,A106,'Specialisation Impact'!$B$19:$B$186,B106))</x:f>
      </x:c>
    </x:row>
    <x:row r="107" ht="45" customHeight="1">
      <x:c r="A107" s="43" t="str">
        <x:v>K170</x:v>
      </x:c>
      <x:c r="B107" s="43" t="str">
        <x:v>(AOT)MONKEY</x:v>
      </x:c>
      <x:c r="C107" s="43" t="str">
        <x:v>-2.0M</x:v>
      </x:c>
      <x:c r="D107" s="44" t="n">
        <x:v>3.7346</x:v>
      </x:c>
      <x:c r="E107" s="44" t="n">
        <x:v>2.656</x:v>
      </x:c>
      <x:c r="F107" s="44" t="n">
        <x:v>2.821</x:v>
      </x:c>
      <x:c r="G107" s="44" t="n">
        <x:v>0.4375</x:v>
      </x:c>
      <x:c r="H107" s="44" t="n">
        <x:v>-0.415</x:v>
      </x:c>
      <x:c r="I107" s="30" t="str">
        <x:v>Destroyers (Lv 40) — Parry</x:v>
      </x:c>
      <x:c r="J107" s="30" t="str">
        <x:v>Elite bowmen (Lv 40) — Frost Arrow</x:v>
      </x:c>
      <x:c r="K107" s="30" t="str">
        <x:v>Storm cavalry (Lv 45) — Mounted Archery</x:v>
      </x:c>
      <x:c r="L107" s="30" t="str">
        <x:v>Not shown in recording</x:v>
      </x:c>
      <x:c r="M107" s="43" t="n">
        <x:v>3</x:v>
      </x:c>
      <x:c r="N107" s="43" t="str">
        <x:v>00:03:37.000</x:v>
      </x:c>
      <x:c r="O107" s="43" t="str">
        <x:v>03:34–03:37</x:v>
      </x:c>
      <x:c r="P107" s="43" t="str">
        <x:v>1000025098.mp4</x:v>
      </x:c>
      <x:c r="Q107" s="391" t="n">
        <x:f>SUMIFS('Specialisations'!$N$6:$N$527,'Specialisations'!$A$6:$A$527,A107,'Specialisations'!$B$6:$B$527,B107)</x:f>
        <x:v>8772900</x:v>
      </x:c>
      <x:c r="R107" s="392" t="n">
        <x:f>IF(M107=0,"",COUNTIFS('Specialisations'!$A$6:$A$527,A107,'Specialisations'!$B$6:$B$527,B107,'Specialisations'!$P$6:$P$527,"OK")/M107)</x:f>
        <x:v>1</x:v>
      </x:c>
      <x:c r="S107" s="494" t="n">
        <x:f>IF(Q107=0,"",SUMIFS('Specialisation Impact'!$K$19:$K$186,'Specialisation Impact'!$A$19:$A$186,A107,'Specialisation Impact'!$B$19:$B$186,B107))</x:f>
        <x:v>69.72</x:v>
      </x:c>
      <x:c r="T107" s="494" t="n">
        <x:f>IF(Q107=0,"",SUMIFS('Specialisation Impact'!$G$19:$G$186,'Specialisation Impact'!$A$19:$A$186,A107,'Specialisation Impact'!$B$19:$B$186,B107))</x:f>
        <x:v>-27.74</x:v>
      </x:c>
      <x:c r="U107" s="429" t="n">
        <x:f>IF(COUNTIFS('Specialisation Impact'!$A$19:$A$186,A107,'Specialisation Impact'!$B$19:$B$186,B107,'Specialisation Impact'!$S$19:$S$186,"&gt;0")=0,"",SUMIFS('Specialisation Impact'!$S$19:$S$186,'Specialisation Impact'!$A$19:$A$186,A107,'Specialisation Impact'!$B$19:$B$186,B107))</x:f>
        <x:v>31.2987012987013</x:v>
      </x:c>
      <x:c r="V107" s="429" t="n">
        <x:f>IF(COUNTIFS('Specialisation Impact'!$A$19:$A$186,A107,'Specialisation Impact'!$B$19:$B$186,B107,'Specialisation Impact'!$V$19:$V$186,"&gt;0")=0,"",SUMIFS('Specialisation Impact'!$V$19:$V$186,'Specialisation Impact'!$A$19:$A$186,A107,'Specialisation Impact'!$B$19:$B$186,B107))</x:f>
        <x:v>29.48717948717949</x:v>
      </x:c>
    </x:row>
    <x:row r="108" ht="45" customHeight="1">
      <x:c r="A108" s="43" t="str">
        <x:v>K170</x:v>
      </x:c>
      <x:c r="B108" s="43" t="str">
        <x:v>(AOT)Paian</x:v>
      </x:c>
      <x:c r="C108" s="43" t="str">
        <x:v>-2.3M</x:v>
      </x:c>
      <x:c r="D108" s="44" t="n">
        <x:v>2.826</x:v>
      </x:c>
      <x:c r="E108" s="44" t="n">
        <x:v>1.49</x:v>
      </x:c>
      <x:c r="F108" s="44" t="n">
        <x:v>1.785</x:v>
      </x:c>
      <x:c r="G108" s="44" t="n">
        <x:v>0.415</x:v>
      </x:c>
      <x:c r="H108" s="44" t="n">
        <x:v>-0.01</x:v>
      </x:c>
      <x:c r="I108" s="30" t="str">
        <x:v>Destroyers (Lv 40) — Parry</x:v>
      </x:c>
      <x:c r="J108" s="30" t="str">
        <x:v>Not shown in recording</x:v>
      </x:c>
      <x:c r="K108" s="30" t="str">
        <x:v>Storm cavalry (Lv 43) — Mounted Archery</x:v>
      </x:c>
      <x:c r="L108" s="30" t="str">
        <x:v>Not shown in recording</x:v>
      </x:c>
      <x:c r="M108" s="43" t="n">
        <x:v>2</x:v>
      </x:c>
      <x:c r="N108" s="43" t="str">
        <x:v>00:03:47.000</x:v>
      </x:c>
      <x:c r="O108" s="43" t="str">
        <x:v>03:44–03:47</x:v>
      </x:c>
      <x:c r="P108" s="43" t="str">
        <x:v>1000025098.mp4</x:v>
      </x:c>
      <x:c r="Q108" s="391" t="n">
        <x:f>SUMIFS('Specialisations'!$N$6:$N$527,'Specialisations'!$A$6:$A$527,A108,'Specialisations'!$B$6:$B$527,B108)</x:f>
        <x:v>5488600</x:v>
      </x:c>
      <x:c r="R108" s="392" t="n">
        <x:f>IF(M108=0,"",COUNTIFS('Specialisations'!$A$6:$A$527,A108,'Specialisations'!$B$6:$B$527,B108,'Specialisations'!$P$6:$P$527,"OK")/M108)</x:f>
        <x:v>1</x:v>
      </x:c>
      <x:c r="S108" s="494" t="n">
        <x:f>IF(Q108=0,"",SUMIFS('Specialisation Impact'!$K$19:$K$186,'Specialisation Impact'!$A$19:$A$186,A108,'Specialisation Impact'!$B$19:$B$186,B108))</x:f>
        <x:v>35.98</x:v>
      </x:c>
      <x:c r="T108" s="494" t="n">
        <x:f>IF(Q108=0,"",SUMIFS('Specialisation Impact'!$G$19:$G$186,'Specialisation Impact'!$A$19:$A$186,A108,'Specialisation Impact'!$B$19:$B$186,B108))</x:f>
        <x:v>-27.74</x:v>
      </x:c>
      <x:c r="U108" s="429" t="n">
        <x:f>IF(COUNTIFS('Specialisation Impact'!$A$19:$A$186,A108,'Specialisation Impact'!$B$19:$B$186,B108,'Specialisation Impact'!$S$19:$S$186,"&gt;0")=0,"",SUMIFS('Specialisation Impact'!$S$19:$S$186,'Specialisation Impact'!$A$19:$A$186,A108,'Specialisation Impact'!$B$19:$B$186,B108))</x:f>
        <x:v>4.025974025974026</x:v>
      </x:c>
      <x:c r="V108" s="429" t="n">
        <x:f>IF(COUNTIFS('Specialisation Impact'!$A$19:$A$186,A108,'Specialisation Impact'!$B$19:$B$186,B108,'Specialisation Impact'!$V$19:$V$186,"&gt;0")=0,"",SUMIFS('Specialisation Impact'!$V$19:$V$186,'Specialisation Impact'!$A$19:$A$186,A108,'Specialisation Impact'!$B$19:$B$186,B108))</x:f>
        <x:v>29.48717948717949</x:v>
      </x:c>
    </x:row>
    <x:row r="109" ht="45" customHeight="1">
      <x:c r="A109" s="43" t="str">
        <x:v>K170</x:v>
      </x:c>
      <x:c r="B109" s="43" t="str">
        <x:v>(AOT)Matis</x:v>
      </x:c>
      <x:c r="C109" s="43" t="str">
        <x:v>-2.0M</x:v>
      </x:c>
      <x:c r="D109" s="44" t="n">
        <x:v>3.026</x:v>
      </x:c>
      <x:c r="E109" s="44" t="n">
        <x:v>2.426</x:v>
      </x:c>
      <x:c r="F109" s="44" t="n">
        <x:v>2.721</x:v>
      </x:c>
      <x:c r="G109" s="44" t="n">
        <x:v>0.415</x:v>
      </x:c>
      <x:c r="H109" s="44" t="n">
        <x:v>-0.415</x:v>
      </x:c>
      <x:c r="I109" s="30" t="str">
        <x:v>Destroyers (Lv 48) — Parry</x:v>
      </x:c>
      <x:c r="J109" s="30" t="str">
        <x:v>Elite bowmen (Lv 28) — Frost Arrow</x:v>
      </x:c>
      <x:c r="K109" s="30" t="str">
        <x:v>Storm cavalry (Lv 42) — Mounted Archery</x:v>
      </x:c>
      <x:c r="L109" s="30" t="str">
        <x:v>Not shown in recording</x:v>
      </x:c>
      <x:c r="M109" s="43" t="n">
        <x:v>3</x:v>
      </x:c>
      <x:c r="N109" s="43" t="str">
        <x:v>00:03:58.000</x:v>
      </x:c>
      <x:c r="O109" s="43" t="str">
        <x:v>03:56–03:58</x:v>
      </x:c>
      <x:c r="P109" s="43" t="str">
        <x:v>1000025098.mp4</x:v>
      </x:c>
      <x:c r="Q109" s="391" t="n">
        <x:f>SUMIFS('Specialisations'!$N$6:$N$527,'Specialisations'!$A$6:$A$527,A109,'Specialisations'!$B$6:$B$527,B109)</x:f>
        <x:v>10397900</x:v>
      </x:c>
      <x:c r="R109" s="392" t="n">
        <x:f>IF(M109=0,"",COUNTIFS('Specialisations'!$A$6:$A$527,A109,'Specialisations'!$B$6:$B$527,B109,'Specialisations'!$P$6:$P$527,"OK")/M109)</x:f>
        <x:v>1</x:v>
      </x:c>
      <x:c r="S109" s="494" t="n">
        <x:f>IF(Q109=0,"",SUMIFS('Specialisation Impact'!$K$19:$K$186,'Specialisation Impact'!$A$19:$A$186,A109,'Specialisation Impact'!$B$19:$B$186,B109))</x:f>
        <x:v>41.370000000000005</x:v>
      </x:c>
      <x:c r="T109" s="494" t="n">
        <x:f>IF(Q109=0,"",SUMIFS('Specialisation Impact'!$G$19:$G$186,'Specialisation Impact'!$A$19:$A$186,A109,'Specialisation Impact'!$B$19:$B$186,B109))</x:f>
        <x:v>-51.74</x:v>
      </x:c>
      <x:c r="U109" s="429" t="n">
        <x:f>IF(COUNTIFS('Specialisation Impact'!$A$19:$A$186,A109,'Specialisation Impact'!$B$19:$B$186,B109,'Specialisation Impact'!$S$19:$S$186,"&gt;0")=0,"",SUMIFS('Specialisation Impact'!$S$19:$S$186,'Specialisation Impact'!$A$19:$A$186,A109,'Specialisation Impact'!$B$19:$B$186,B109))</x:f>
        <x:v>5.8441558441558445</x:v>
      </x:c>
      <x:c r="V109" s="429" t="n">
        <x:f>IF(COUNTIFS('Specialisation Impact'!$A$19:$A$186,A109,'Specialisation Impact'!$B$19:$B$186,B109,'Specialisation Impact'!$V$19:$V$186,"&gt;0")=0,"",SUMIFS('Specialisation Impact'!$V$19:$V$186,'Specialisation Impact'!$A$19:$A$186,A109,'Specialisation Impact'!$B$19:$B$186,B109))</x:f>
        <x:v>79.91452991452991</x:v>
      </x:c>
    </x:row>
    <x:row r="110" ht="45" customHeight="1">
      <x:c r="A110" s="43" t="str">
        <x:v>K170</x:v>
      </x:c>
      <x:c r="B110" s="43" t="str">
        <x:v>(AOT)BAT</x:v>
      </x:c>
      <x:c r="C110" s="43" t="str">
        <x:v>-2.8M</x:v>
      </x:c>
      <x:c r="D110" s="44" t="n">
        <x:v>3.146</x:v>
      </x:c>
      <x:c r="E110" s="44" t="n">
        <x:v>2.566</x:v>
      </x:c>
      <x:c r="F110" s="44" t="n">
        <x:v>2.916</x:v>
      </x:c>
      <x:c r="G110" s="44" t="n">
        <x:v>0.415</x:v>
      </x:c>
      <x:c r="H110" s="44" t="n">
        <x:v>-0.415</x:v>
      </x:c>
      <x:c r="I110" s="30" t="str">
        <x:v>Destroyers (Lv 48) — Parry</x:v>
      </x:c>
      <x:c r="J110" s="30" t="str">
        <x:v>Not shown in recording</x:v>
      </x:c>
      <x:c r="K110" s="30" t="str">
        <x:v>Eternal knights (Lv 43) — Thunder trample
Storm cavalry (Lv 40) — Mounted Archery</x:v>
      </x:c>
      <x:c r="L110" s="30" t="str">
        <x:v>Not shown in recording</x:v>
      </x:c>
      <x:c r="M110" s="43" t="n">
        <x:v>3</x:v>
      </x:c>
      <x:c r="N110" s="43" t="str">
        <x:v>00:04:12.000</x:v>
      </x:c>
      <x:c r="O110" s="43" t="str">
        <x:v>04:09–04:12</x:v>
      </x:c>
      <x:c r="P110" s="43" t="str">
        <x:v>1000025098.mp4</x:v>
      </x:c>
      <x:c r="Q110" s="391" t="n">
        <x:f>SUMIFS('Specialisations'!$N$6:$N$527,'Specialisations'!$A$6:$A$527,A110,'Specialisations'!$B$6:$B$527,B110)</x:f>
        <x:v>12422900</x:v>
      </x:c>
      <x:c r="R110" s="392" t="n">
        <x:f>IF(M110=0,"",COUNTIFS('Specialisations'!$A$6:$A$527,A110,'Specialisations'!$B$6:$B$527,B110,'Specialisations'!$P$6:$P$527,"OK")/M110)</x:f>
        <x:v>1</x:v>
      </x:c>
      <x:c r="S110" s="494" t="n">
        <x:f>IF(Q110=0,"",SUMIFS('Specialisation Impact'!$K$19:$K$186,'Specialisation Impact'!$A$19:$A$186,A110,'Specialisation Impact'!$B$19:$B$186,B110))</x:f>
        <x:v>63.72</x:v>
      </x:c>
      <x:c r="T110" s="494" t="n">
        <x:f>IF(Q110=0,"",SUMIFS('Specialisation Impact'!$G$19:$G$186,'Specialisation Impact'!$A$19:$A$186,A110,'Specialisation Impact'!$B$19:$B$186,B110))</x:f>
        <x:v>-51.74</x:v>
      </x:c>
      <x:c r="U110" s="429" t="n">
        <x:f>IF(COUNTIFS('Specialisation Impact'!$A$19:$A$186,A110,'Specialisation Impact'!$B$19:$B$186,B110,'Specialisation Impact'!$S$19:$S$186,"&gt;0")=0,"",SUMIFS('Specialisation Impact'!$S$19:$S$186,'Specialisation Impact'!$A$19:$A$186,A110,'Specialisation Impact'!$B$19:$B$186,B110))</x:f>
        <x:v>27.20779220779221</x:v>
      </x:c>
      <x:c r="V110" s="429" t="n">
        <x:f>IF(COUNTIFS('Specialisation Impact'!$A$19:$A$186,A110,'Specialisation Impact'!$B$19:$B$186,B110,'Specialisation Impact'!$V$19:$V$186,"&gt;0")=0,"",SUMIFS('Specialisation Impact'!$V$19:$V$186,'Specialisation Impact'!$A$19:$A$186,A110,'Specialisation Impact'!$B$19:$B$186,B110))</x:f>
        <x:v>79.91452991452991</x:v>
      </x:c>
    </x:row>
    <x:row r="111" ht="45" customHeight="1">
      <x:c r="A111" s="43" t="str">
        <x:v>K170</x:v>
      </x:c>
      <x:c r="B111" s="43" t="str">
        <x:v>(AOT)金木研_254</x:v>
      </x:c>
      <x:c r="C111" s="43" t="str">
        <x:v>-2.5M</x:v>
      </x:c>
      <x:c r="D111" s="44" t="n">
        <x:v>2.721</x:v>
      </x:c>
      <x:c r="E111" s="44" t="n">
        <x:v>2.566</x:v>
      </x:c>
      <x:c r="F111" s="44" t="n">
        <x:v>2.901</x:v>
      </x:c>
      <x:c r="G111" s="44" t="n">
        <x:v>0.415</x:v>
      </x:c>
      <x:c r="H111" s="44" t="n">
        <x:v>-0.415</x:v>
      </x:c>
      <x:c r="I111" s="30" t="str">
        <x:v>Destroyers (Lv 45) — Parry</x:v>
      </x:c>
      <x:c r="J111" s="30" t="str">
        <x:v>Not shown in recording</x:v>
      </x:c>
      <x:c r="K111" s="30" t="str">
        <x:v>Eternal knights (Lv 40) — Thunder trample
Storm cavalry (Lv 48) — Mounted Archery</x:v>
      </x:c>
      <x:c r="L111" s="30" t="str">
        <x:v>Not shown in recording</x:v>
      </x:c>
      <x:c r="M111" s="43" t="n">
        <x:v>3</x:v>
      </x:c>
      <x:c r="N111" s="43" t="str">
        <x:v>00:04:21.000</x:v>
      </x:c>
      <x:c r="O111" s="43" t="str">
        <x:v>04:19–04:21</x:v>
      </x:c>
      <x:c r="P111" s="43" t="str">
        <x:v>1000025098.mp4</x:v>
      </x:c>
      <x:c r="Q111" s="391" t="n">
        <x:f>SUMIFS('Specialisations'!$N$6:$N$527,'Specialisations'!$A$6:$A$527,A111,'Specialisations'!$B$6:$B$527,B111)</x:f>
        <x:v>13462900</x:v>
      </x:c>
      <x:c r="R111" s="392" t="n">
        <x:f>IF(M111=0,"",COUNTIFS('Specialisations'!$A$6:$A$527,A111,'Specialisations'!$B$6:$B$527,B111,'Specialisations'!$P$6:$P$527,"OK")/M111)</x:f>
        <x:v>1</x:v>
      </x:c>
      <x:c r="S111" s="494" t="n">
        <x:f>IF(Q111=0,"",SUMIFS('Specialisation Impact'!$K$19:$K$186,'Specialisation Impact'!$A$19:$A$186,A111,'Specialisation Impact'!$B$19:$B$186,B111))</x:f>
        <x:v>79.48</x:v>
      </x:c>
      <x:c r="T111" s="494" t="n">
        <x:f>IF(Q111=0,"",SUMIFS('Specialisation Impact'!$G$19:$G$186,'Specialisation Impact'!$A$19:$A$186,A111,'Specialisation Impact'!$B$19:$B$186,B111))</x:f>
        <x:v>-41.98</x:v>
      </x:c>
      <x:c r="U111" s="429" t="n">
        <x:f>IF(COUNTIFS('Specialisation Impact'!$A$19:$A$186,A111,'Specialisation Impact'!$B$19:$B$186,B111,'Specialisation Impact'!$S$19:$S$186,"&gt;0")=0,"",SUMIFS('Specialisation Impact'!$S$19:$S$186,'Specialisation Impact'!$A$19:$A$186,A111,'Specialisation Impact'!$B$19:$B$186,B111))</x:f>
        <x:v>36.94805194805195</x:v>
      </x:c>
      <x:c r="V111" s="429" t="n">
        <x:f>IF(COUNTIFS('Specialisation Impact'!$A$19:$A$186,A111,'Specialisation Impact'!$B$19:$B$186,B111,'Specialisation Impact'!$V$19:$V$186,"&gt;0")=0,"",SUMIFS('Specialisation Impact'!$V$19:$V$186,'Specialisation Impact'!$A$19:$A$186,A111,'Specialisation Impact'!$B$19:$B$186,B111))</x:f>
        <x:v>60.25641025641025</x:v>
      </x:c>
    </x:row>
    <x:row r="112" ht="45" customHeight="1">
      <x:c r="A112" s="43" t="str">
        <x:v>K170</x:v>
      </x:c>
      <x:c r="B112" s="43" t="str">
        <x:v>(AOT)MG·Yu</x:v>
      </x:c>
      <x:c r="C112" s="43" t="str">
        <x:v>-2.5M</x:v>
      </x:c>
      <x:c r="D112" s="44" t="n">
        <x:v>3.6835</x:v>
      </x:c>
      <x:c r="E112" s="44" t="n">
        <x:v>3.2485</x:v>
      </x:c>
      <x:c r="F112" s="44" t="n">
        <x:v>3.3785</x:v>
      </x:c>
      <x:c r="G112" s="44" t="n">
        <x:v>0.4375</x:v>
      </x:c>
      <x:c r="H112" s="44" t="n">
        <x:v>-0.4375</x:v>
      </x:c>
      <x:c r="I112" s="30" t="str">
        <x:v>Destroyers (Lv 46) — Parry</x:v>
      </x:c>
      <x:c r="J112" s="30" t="str">
        <x:v>Elite bowmen (Lv 43) — Frost Arrow</x:v>
      </x:c>
      <x:c r="K112" s="30" t="str">
        <x:v>Eternal knights (Lv 46) — Thunder trample
Storm cavalry (Lv 50) — Mounted Archery</x:v>
      </x:c>
      <x:c r="L112" s="30" t="str">
        <x:v>Manglers (Lv 40) — Highly toxic</x:v>
      </x:c>
      <x:c r="M112" s="43" t="n">
        <x:v>5</x:v>
      </x:c>
      <x:c r="N112" s="43" t="str">
        <x:v>00:04:43.000</x:v>
      </x:c>
      <x:c r="O112" s="43" t="str">
        <x:v>04:38–04:43</x:v>
      </x:c>
      <x:c r="P112" s="43" t="str">
        <x:v>1000025098.mp4</x:v>
      </x:c>
      <x:c r="Q112" s="391" t="n">
        <x:f>SUMIFS('Specialisations'!$N$6:$N$527,'Specialisations'!$A$6:$A$527,A112,'Specialisations'!$B$6:$B$527,B112)</x:f>
        <x:v>25831500</x:v>
      </x:c>
      <x:c r="R112" s="392" t="n">
        <x:f>IF(M112=0,"",COUNTIFS('Specialisations'!$A$6:$A$527,A112,'Specialisations'!$B$6:$B$527,B112,'Specialisations'!$P$6:$P$527,"OK")/M112)</x:f>
        <x:v>1</x:v>
      </x:c>
      <x:c r="S112" s="494" t="n">
        <x:f>IF(Q112=0,"",SUMIFS('Specialisation Impact'!$K$19:$K$186,'Specialisation Impact'!$A$19:$A$186,A112,'Specialisation Impact'!$B$19:$B$186,B112))</x:f>
        <x:v>168.85</x:v>
      </x:c>
      <x:c r="T112" s="494" t="n">
        <x:f>IF(Q112=0,"",SUMIFS('Specialisation Impact'!$G$19:$G$186,'Specialisation Impact'!$A$19:$A$186,A112,'Specialisation Impact'!$B$19:$B$186,B112))</x:f>
        <x:v>-45.13</x:v>
      </x:c>
      <x:c r="U112" s="429" t="n">
        <x:f>IF(COUNTIFS('Specialisation Impact'!$A$19:$A$186,A112,'Specialisation Impact'!$B$19:$B$186,B112,'Specialisation Impact'!$S$19:$S$186,"&gt;0")=0,"",SUMIFS('Specialisation Impact'!$S$19:$S$186,'Specialisation Impact'!$A$19:$A$186,A112,'Specialisation Impact'!$B$19:$B$186,B112))</x:f>
        <x:v>91.03896103896105</x:v>
      </x:c>
      <x:c r="V112" s="429" t="n">
        <x:f>IF(COUNTIFS('Specialisation Impact'!$A$19:$A$186,A112,'Specialisation Impact'!$B$19:$B$186,B112,'Specialisation Impact'!$V$19:$V$186,"&gt;0")=0,"",SUMIFS('Specialisation Impact'!$V$19:$V$186,'Specialisation Impact'!$A$19:$A$186,A112,'Specialisation Impact'!$B$19:$B$186,B112))</x:f>
        <x:v>73.07692307692308</x:v>
      </x:c>
    </x:row>
    <x:row r="113" ht="45" customHeight="1">
      <x:c r="A113" s="43" t="str">
        <x:v>K170</x:v>
      </x:c>
      <x:c r="B113" s="43" t="str">
        <x:v>(AOT)Markspoon</x:v>
      </x:c>
      <x:c r="C113" s="43" t="str">
        <x:v>-2.2M</x:v>
      </x:c>
      <x:c r="D113" s="44" t="n">
        <x:v>3.046</x:v>
      </x:c>
      <x:c r="E113" s="44" t="n">
        <x:v>2.431</x:v>
      </x:c>
      <x:c r="F113" s="44" t="n">
        <x:v>2.766</x:v>
      </x:c>
      <x:c r="G113" s="44" t="n">
        <x:v>0.415</x:v>
      </x:c>
      <x:c r="H113" s="44" t="n">
        <x:v>-0.025</x:v>
      </x:c>
      <x:c r="I113" s="30" t="str">
        <x:v>Destroyers (Lv 45) — Parry</x:v>
      </x:c>
      <x:c r="J113" s="30" t="str">
        <x:v>Elite bowmen (Lv 46) — Frost Arrow</x:v>
      </x:c>
      <x:c r="K113" s="30" t="str">
        <x:v>Storm cavalry (Lv 36) — Mounted Archery</x:v>
      </x:c>
      <x:c r="L113" s="30" t="str">
        <x:v>Not shown in recording</x:v>
      </x:c>
      <x:c r="M113" s="43" t="n">
        <x:v>3</x:v>
      </x:c>
      <x:c r="N113" s="43" t="str">
        <x:v>00:04:48.000</x:v>
      </x:c>
      <x:c r="O113" s="43" t="str">
        <x:v>04:46–04:48</x:v>
      </x:c>
      <x:c r="P113" s="43" t="str">
        <x:v>1000025098.mp4</x:v>
      </x:c>
      <x:c r="Q113" s="391" t="n">
        <x:f>SUMIFS('Specialisations'!$N$6:$N$527,'Specialisations'!$A$6:$A$527,A113,'Specialisations'!$B$6:$B$527,B113)</x:f>
        <x:v>10752900</x:v>
      </x:c>
      <x:c r="R113" s="392" t="n">
        <x:f>IF(M113=0,"",COUNTIFS('Specialisations'!$A$6:$A$527,A113,'Specialisations'!$B$6:$B$527,B113,'Specialisations'!$P$6:$P$527,"OK")/M113)</x:f>
        <x:v>1</x:v>
      </x:c>
      <x:c r="S113" s="494" t="n">
        <x:f>IF(Q113=0,"",SUMIFS('Specialisation Impact'!$K$19:$K$186,'Specialisation Impact'!$A$19:$A$186,A113,'Specialisation Impact'!$B$19:$B$186,B113))</x:f>
        <x:v>64.30000000000001</x:v>
      </x:c>
      <x:c r="T113" s="494" t="n">
        <x:f>IF(Q113=0,"",SUMIFS('Specialisation Impact'!$G$19:$G$186,'Specialisation Impact'!$A$19:$A$186,A113,'Specialisation Impact'!$B$19:$B$186,B113))</x:f>
        <x:v>-41.98</x:v>
      </x:c>
      <x:c r="U113" s="429" t="n">
        <x:f>IF(COUNTIFS('Specialisation Impact'!$A$19:$A$186,A113,'Specialisation Impact'!$B$19:$B$186,B113,'Specialisation Impact'!$S$19:$S$186,"&gt;0")=0,"",SUMIFS('Specialisation Impact'!$S$19:$S$186,'Specialisation Impact'!$A$19:$A$186,A113,'Specialisation Impact'!$B$19:$B$186,B113))</x:f>
        <x:v>29.610389610389607</x:v>
      </x:c>
      <x:c r="V113" s="429" t="n">
        <x:f>IF(COUNTIFS('Specialisation Impact'!$A$19:$A$186,A113,'Specialisation Impact'!$B$19:$B$186,B113,'Specialisation Impact'!$V$19:$V$186,"&gt;0")=0,"",SUMIFS('Specialisation Impact'!$V$19:$V$186,'Specialisation Impact'!$A$19:$A$186,A113,'Specialisation Impact'!$B$19:$B$186,B113))</x:f>
        <x:v>60.25641025641025</x:v>
      </x:c>
    </x:row>
    <x:row r="114" ht="45" customHeight="1">
      <x:c r="A114" s="43" t="str">
        <x:v>K170</x:v>
      </x:c>
      <x:c r="B114" s="43" t="str">
        <x:v>(AOT)VAB999</x:v>
      </x:c>
      <x:c r="C114" s="43" t="str">
        <x:v>-2.3M</x:v>
      </x:c>
      <x:c r="D114" s="44" t="n">
        <x:v>2.9985</x:v>
      </x:c>
      <x:c r="E114" s="44" t="n">
        <x:v>2.711</x:v>
      </x:c>
      <x:c r="F114" s="44" t="n">
        <x:v>2.766</x:v>
      </x:c>
      <x:c r="G114" s="44" t="n">
        <x:v>0.4375</x:v>
      </x:c>
      <x:c r="H114" s="44" t="n">
        <x:v>-0.415</x:v>
      </x:c>
      <x:c r="I114" s="30" t="str">
        <x:v>Destroyers (Lv 46) — Parry</x:v>
      </x:c>
      <x:c r="J114" s="30" t="str">
        <x:v>Elite bowmen (Lv 50) — Frost Arrow
Elite (Lv 40) — Focus</x:v>
      </x:c>
      <x:c r="K114" s="30" t="str">
        <x:v>Storm cavalry (Lv 40) — Mounted Archery</x:v>
      </x:c>
      <x:c r="L114" s="30" t="str">
        <x:v>Not shown in recording</x:v>
      </x:c>
      <x:c r="M114" s="43" t="n">
        <x:v>4</x:v>
      </x:c>
      <x:c r="N114" s="43" t="str">
        <x:v>00:05:08.000</x:v>
      </x:c>
      <x:c r="O114" s="43" t="str">
        <x:v>05:02–05:08</x:v>
      </x:c>
      <x:c r="P114" s="43" t="str">
        <x:v>1000025098.mp4</x:v>
      </x:c>
      <x:c r="Q114" s="391" t="n">
        <x:f>SUMIFS('Specialisations'!$N$6:$N$527,'Specialisations'!$A$6:$A$527,A114,'Specialisations'!$B$6:$B$527,B114)</x:f>
        <x:v>19827200</x:v>
      </x:c>
      <x:c r="R114" s="392" t="n">
        <x:f>IF(M114=0,"",COUNTIFS('Specialisations'!$A$6:$A$527,A114,'Specialisations'!$B$6:$B$527,B114,'Specialisations'!$P$6:$P$527,"OK")/M114)</x:f>
        <x:v>1</x:v>
      </x:c>
      <x:c r="S114" s="494" t="n">
        <x:f>IF(Q114=0,"",SUMIFS('Specialisation Impact'!$K$19:$K$186,'Specialisation Impact'!$A$19:$A$186,A114,'Specialisation Impact'!$B$19:$B$186,B114))</x:f>
        <x:v>115.47999999999999</x:v>
      </x:c>
      <x:c r="T114" s="494" t="n">
        <x:f>IF(Q114=0,"",SUMIFS('Specialisation Impact'!$G$19:$G$186,'Specialisation Impact'!$A$19:$A$186,A114,'Specialisation Impact'!$B$19:$B$186,B114))</x:f>
        <x:v>-45.13</x:v>
      </x:c>
      <x:c r="U114" s="429" t="n">
        <x:f>IF(COUNTIFS('Specialisation Impact'!$A$19:$A$186,A114,'Specialisation Impact'!$B$19:$B$186,B114,'Specialisation Impact'!$S$19:$S$186,"&gt;0")=0,"",SUMIFS('Specialisation Impact'!$S$19:$S$186,'Specialisation Impact'!$A$19:$A$186,A114,'Specialisation Impact'!$B$19:$B$186,B114))</x:f>
        <x:v>69.61038961038962</x:v>
      </x:c>
      <x:c r="V114" s="429" t="n">
        <x:f>IF(COUNTIFS('Specialisation Impact'!$A$19:$A$186,A114,'Specialisation Impact'!$B$19:$B$186,B114,'Specialisation Impact'!$V$19:$V$186,"&gt;0")=0,"",SUMIFS('Specialisation Impact'!$V$19:$V$186,'Specialisation Impact'!$A$19:$A$186,A114,'Specialisation Impact'!$B$19:$B$186,B114))</x:f>
        <x:v>73.07692307692308</x:v>
      </x:c>
    </x:row>
    <x:row r="115" ht="45" customHeight="1">
      <x:c r="A115" s="43" t="str">
        <x:v>K170</x:v>
      </x:c>
      <x:c r="B115" s="43" t="str">
        <x:v>(AOT)Paian2</x:v>
      </x:c>
      <x:c r="C115" s="43" t="str">
        <x:v>-2.2M</x:v>
      </x:c>
      <x:c r="D115" s="44" t="n">
        <x:v>3.106</x:v>
      </x:c>
      <x:c r="E115" s="44" t="n">
        <x:v>2.311</x:v>
      </x:c>
      <x:c r="F115" s="44" t="n">
        <x:v>2.466</x:v>
      </x:c>
      <x:c r="G115" s="44" t="n">
        <x:v>0.415</x:v>
      </x:c>
      <x:c r="H115" s="44" t="n">
        <x:v>-0.015</x:v>
      </x:c>
      <x:c r="I115" s="30" t="str">
        <x:v>Destroyers (Lv 45) — Parry</x:v>
      </x:c>
      <x:c r="J115" s="30" t="str">
        <x:v>Not shown in recording</x:v>
      </x:c>
      <x:c r="K115" s="30" t="str">
        <x:v>Storm cavalry (Lv 46) — Mounted Archery</x:v>
      </x:c>
      <x:c r="L115" s="30" t="str">
        <x:v>Not shown in recording</x:v>
      </x:c>
      <x:c r="M115" s="43" t="n">
        <x:v>2</x:v>
      </x:c>
      <x:c r="N115" s="43" t="str">
        <x:v>00:05:16.000</x:v>
      </x:c>
      <x:c r="O115" s="43" t="str">
        <x:v>05:13–05:16</x:v>
      </x:c>
      <x:c r="P115" s="43" t="str">
        <x:v>1000025098.mp4</x:v>
      </x:c>
      <x:c r="Q115" s="391" t="n">
        <x:f>SUMIFS('Specialisations'!$N$6:$N$527,'Specialisations'!$A$6:$A$527,A115,'Specialisations'!$B$6:$B$527,B115)</x:f>
        <x:v>9288600</x:v>
      </x:c>
      <x:c r="R115" s="392" t="n">
        <x:f>IF(M115=0,"",COUNTIFS('Specialisations'!$A$6:$A$527,A115,'Specialisations'!$B$6:$B$527,B115,'Specialisations'!$P$6:$P$527,"OK")/M115)</x:f>
        <x:v>1</x:v>
      </x:c>
      <x:c r="S115" s="494" t="n">
        <x:f>IF(Q115=0,"",SUMIFS('Specialisation Impact'!$K$19:$K$186,'Specialisation Impact'!$A$19:$A$186,A115,'Specialisation Impact'!$B$19:$B$186,B115))</x:f>
        <x:v>45.13</x:v>
      </x:c>
      <x:c r="T115" s="494" t="n">
        <x:f>IF(Q115=0,"",SUMIFS('Specialisation Impact'!$G$19:$G$186,'Specialisation Impact'!$A$19:$A$186,A115,'Specialisation Impact'!$B$19:$B$186,B115))</x:f>
        <x:v>-41.98</x:v>
      </x:c>
      <x:c r="U115" s="429" t="n">
        <x:f>IF(COUNTIFS('Specialisation Impact'!$A$19:$A$186,A115,'Specialisation Impact'!$B$19:$B$186,B115,'Specialisation Impact'!$S$19:$S$186,"&gt;0")=0,"",SUMIFS('Specialisation Impact'!$S$19:$S$186,'Specialisation Impact'!$A$19:$A$186,A115,'Specialisation Impact'!$B$19:$B$186,B115))</x:f>
        <x:v>9.935064935064934</x:v>
      </x:c>
      <x:c r="V115" s="429" t="n">
        <x:f>IF(COUNTIFS('Specialisation Impact'!$A$19:$A$186,A115,'Specialisation Impact'!$B$19:$B$186,B115,'Specialisation Impact'!$V$19:$V$186,"&gt;0")=0,"",SUMIFS('Specialisation Impact'!$V$19:$V$186,'Specialisation Impact'!$A$19:$A$186,A115,'Specialisation Impact'!$B$19:$B$186,B115))</x:f>
        <x:v>60.25641025641025</x:v>
      </x:c>
    </x:row>
    <x:row r="116" ht="45" customHeight="1">
      <x:c r="A116" s="43" t="str">
        <x:v>K54</x:v>
      </x:c>
      <x:c r="B116" s="43" t="str">
        <x:v>爽歪歪</x:v>
      </x:c>
      <x:c r="C116" s="43" t="n">
        <x:v>135747</x:v>
      </x:c>
      <x:c r="D116" s="44" t="n">
        <x:v>5.125900000000001</x:v>
      </x:c>
      <x:c r="E116" s="44" t="n">
        <x:v>4.5259</x:v>
      </x:c>
      <x:c r="F116" s="44" t="n">
        <x:v>5.0759</x:v>
      </x:c>
      <x:c r="G116" s="44" t="n">
        <x:v>0.475</x:v>
      </x:c>
      <x:c r="H116" s="44" t="n">
        <x:v>-0.475</x:v>
      </x:c>
      <x:c r="I116" s="30" t="str">
        <x:v>Destroyers (Lv 50) — Parry</x:v>
      </x:c>
      <x:c r="J116" s="30" t="str">
        <x:v>Not shown in recording</x:v>
      </x:c>
      <x:c r="K116" s="30" t="str">
        <x:v>Eternal knights (Lv 48) — Thunder trample
Storm cavalry (Lv 46) — Mounted Archery</x:v>
      </x:c>
      <x:c r="L116" s="30" t="str">
        <x:v>Not shown in recording</x:v>
      </x:c>
      <x:c r="M116" s="43" t="n">
        <x:v>3</x:v>
      </x:c>
      <x:c r="N116" s="43" t="str">
        <x:v>00:09.25</x:v>
      </x:c>
      <x:c r="O116" s="43" t="str">
        <x:v>00:09.25-00:12.25</x:v>
      </x:c>
      <x:c r="P116" s="43" t="str">
        <x:v>1000025860.mp4</x:v>
      </x:c>
      <x:c r="Q116" s="391" t="n">
        <x:f>SUMIFS('Specialisations'!$N$6:$N$527,'Specialisations'!$A$6:$A$527,A116,'Specialisations'!$B$6:$B$527,B116)</x:f>
        <x:v>22272900</x:v>
      </x:c>
      <x:c r="R116" s="392" t="n">
        <x:f>IF(M116=0,"",COUNTIFS('Specialisations'!$A$6:$A$527,A116,'Specialisations'!$B$6:$B$527,B116,'Specialisations'!$P$6:$P$527,"OK")/M116)</x:f>
        <x:v>1</x:v>
      </x:c>
      <x:c r="S116" s="494" t="n">
        <x:f>IF(Q116=0,"",SUMIFS('Specialisation Impact'!$K$19:$K$186,'Specialisation Impact'!$A$19:$A$186,A116,'Specialisation Impact'!$B$19:$B$186,B116))</x:f>
        <x:v>96.87</x:v>
      </x:c>
      <x:c r="T116" s="494" t="n">
        <x:f>IF(Q116=0,"",SUMIFS('Specialisation Impact'!$G$19:$G$186,'Specialisation Impact'!$A$19:$A$186,A116,'Specialisation Impact'!$B$19:$B$186,B116))</x:f>
        <x:v>-60</x:v>
      </x:c>
      <x:c r="U116" s="429" t="n">
        <x:f>IF(COUNTIFS('Specialisation Impact'!$A$19:$A$186,A116,'Specialisation Impact'!$B$19:$B$186,B116,'Specialisation Impact'!$S$19:$S$186,"&gt;0")=0,"",SUMIFS('Specialisation Impact'!$S$19:$S$186,'Specialisation Impact'!$A$19:$A$186,A116,'Specialisation Impact'!$B$19:$B$186,B116))</x:f>
        <x:v>53.116883116883116</x:v>
      </x:c>
      <x:c r="V116" s="429" t="n">
        <x:f>IF(COUNTIFS('Specialisation Impact'!$A$19:$A$186,A116,'Specialisation Impact'!$B$19:$B$186,B116,'Specialisation Impact'!$V$19:$V$186,"&gt;0")=0,"",SUMIFS('Specialisation Impact'!$V$19:$V$186,'Specialisation Impact'!$A$19:$A$186,A116,'Specialisation Impact'!$B$19:$B$186,B116))</x:f>
        <x:v>93.16239316239316</x:v>
      </x:c>
    </x:row>
    <x:row r="117" ht="45" customHeight="1">
      <x:c r="A117" s="43" t="str">
        <x:v>K54</x:v>
      </x:c>
      <x:c r="B117" s="43" t="str">
        <x:v>纵横,,,杀戮</x:v>
      </x:c>
      <x:c r="C117" s="43" t="n">
        <x:v>295177</x:v>
      </x:c>
      <x:c r="D117" s="44" t="n">
        <x:v>4.0259</x:v>
      </x:c>
      <x:c r="E117" s="44" t="n">
        <x:v>3.6633999999999998</x:v>
      </x:c>
      <x:c r="F117" s="44" t="n">
        <x:v>3.7933999999999997</x:v>
      </x:c>
      <x:c r="G117" s="44" t="n">
        <x:v>0.475</x:v>
      </x:c>
      <x:c r="H117" s="44" t="n">
        <x:v>-0.4375</x:v>
      </x:c>
      <x:c r="I117" s="30" t="str">
        <x:v>Not shown in recording</x:v>
      </x:c>
      <x:c r="J117" s="30" t="str">
        <x:v>Elite bowmen (Lv 50) — Frost Arrow</x:v>
      </x:c>
      <x:c r="K117" s="30" t="str">
        <x:v>Eternal knights (Lv 50) — Thunder trample
Storm cavalry (Lv 50) — Mounted Archery</x:v>
      </x:c>
      <x:c r="L117" s="30" t="str">
        <x:v>Manglers (Lv 50) — Highly toxic</x:v>
      </x:c>
      <x:c r="M117" s="43" t="n">
        <x:v>4</x:v>
      </x:c>
      <x:c r="N117" s="43" t="str">
        <x:v>00:30.75</x:v>
      </x:c>
      <x:c r="O117" s="43" t="str">
        <x:v>00:30.75-00:34.00</x:v>
      </x:c>
      <x:c r="P117" s="43" t="str">
        <x:v>1000025860.mp4</x:v>
      </x:c>
      <x:c r="Q117" s="391" t="n">
        <x:f>SUMIFS('Specialisations'!$N$6:$N$527,'Specialisations'!$A$6:$A$527,A117,'Specialisations'!$B$6:$B$527,B117)</x:f>
        <x:v>41337200</x:v>
      </x:c>
      <x:c r="R117" s="392" t="n">
        <x:f>IF(M117=0,"",COUNTIFS('Specialisations'!$A$6:$A$527,A117,'Specialisations'!$B$6:$B$527,B117,'Specialisations'!$P$6:$P$527,"OK")/M117)</x:f>
        <x:v>1</x:v>
      </x:c>
      <x:c r="S117" s="494" t="n">
        <x:f>IF(Q117=0,"",SUMIFS('Specialisation Impact'!$K$19:$K$186,'Specialisation Impact'!$A$19:$A$186,A117,'Specialisation Impact'!$B$19:$B$186,B117))</x:f>
        <x:v>240</x:v>
      </x:c>
      <x:c r="T117" s="494" t="n">
        <x:f>IF(Q117=0,"",SUMIFS('Specialisation Impact'!$G$19:$G$186,'Specialisation Impact'!$A$19:$A$186,A117,'Specialisation Impact'!$B$19:$B$186,B117))</x:f>
        <x:v>0</x:v>
      </x:c>
      <x:c r="U117" s="429" t="n">
        <x:f>IF(COUNTIFS('Specialisation Impact'!$A$19:$A$186,A117,'Specialisation Impact'!$B$19:$B$186,B117,'Specialisation Impact'!$S$19:$S$186,"&gt;0")=0,"",SUMIFS('Specialisation Impact'!$S$19:$S$186,'Specialisation Impact'!$A$19:$A$186,A117,'Specialisation Impact'!$B$19:$B$186,B117))</x:f>
        <x:v>99.35064935064935</x:v>
      </x:c>
      <x:c r="V117" s="429" t="str">
        <x:f>IF(COUNTIFS('Specialisation Impact'!$A$19:$A$186,A117,'Specialisation Impact'!$B$19:$B$186,B117,'Specialisation Impact'!$V$19:$V$186,"&gt;0")=0,"",SUMIFS('Specialisation Impact'!$V$19:$V$186,'Specialisation Impact'!$A$19:$A$186,A117,'Specialisation Impact'!$B$19:$B$186,B117))</x:f>
      </x:c>
    </x:row>
    <x:row r="118" ht="45" customHeight="1">
      <x:c r="A118" s="43" t="str">
        <x:v>K54</x:v>
      </x:c>
      <x:c r="B118" s="43" t="str">
        <x:v>纵横,,,大风</x:v>
      </x:c>
      <x:c r="C118" s="43" t="n">
        <x:v>299625</x:v>
      </x:c>
      <x:c r="D118" s="44" t="n">
        <x:v>4.9258999999999995</x:v>
      </x:c>
      <x:c r="E118" s="44" t="n">
        <x:v>4.1259</x:v>
      </x:c>
      <x:c r="F118" s="44" t="n">
        <x:v>4.4258999999999995</x:v>
      </x:c>
      <x:c r="G118" s="44" t="n">
        <x:v>0.475</x:v>
      </x:c>
      <x:c r="H118" s="44" t="n">
        <x:v>-0.475</x:v>
      </x:c>
      <x:c r="I118" s="30" t="str">
        <x:v>Not shown in recording</x:v>
      </x:c>
      <x:c r="J118" s="30" t="str">
        <x:v>Elite bowmen (Lv 50) — Frost Arrow</x:v>
      </x:c>
      <x:c r="K118" s="30" t="str">
        <x:v>Eternal knights (Lv 50) — Thunder trample
Storm cavalry (Lv 46) — Mounted Archery</x:v>
      </x:c>
      <x:c r="L118" s="30" t="str">
        <x:v>Manglers (Lv 48) — Highly toxic</x:v>
      </x:c>
      <x:c r="M118" s="43" t="n">
        <x:v>4</x:v>
      </x:c>
      <x:c r="N118" s="43" t="str">
        <x:v>00:49.00</x:v>
      </x:c>
      <x:c r="O118" s="43" t="str">
        <x:v>00:49.00-00:50.75</x:v>
      </x:c>
      <x:c r="P118" s="43" t="str">
        <x:v>1000025860.mp4</x:v>
      </x:c>
      <x:c r="Q118" s="391" t="n">
        <x:f>SUMIFS('Specialisations'!$N$6:$N$527,'Specialisations'!$A$6:$A$527,A118,'Specialisations'!$B$6:$B$527,B118)</x:f>
        <x:v>32607200</x:v>
      </x:c>
      <x:c r="R118" s="392" t="n">
        <x:f>IF(M118=0,"",COUNTIFS('Specialisations'!$A$6:$A$527,A118,'Specialisations'!$B$6:$B$527,B118,'Specialisations'!$P$6:$P$527,"OK")/M118)</x:f>
        <x:v>1</x:v>
      </x:c>
      <x:c r="S118" s="494" t="n">
        <x:f>IF(Q118=0,"",SUMIFS('Specialisation Impact'!$K$19:$K$186,'Specialisation Impact'!$A$19:$A$186,A118,'Specialisation Impact'!$B$19:$B$186,B118))</x:f>
        <x:v>216.87</x:v>
      </x:c>
      <x:c r="T118" s="494" t="n">
        <x:f>IF(Q118=0,"",SUMIFS('Specialisation Impact'!$G$19:$G$186,'Specialisation Impact'!$A$19:$A$186,A118,'Specialisation Impact'!$B$19:$B$186,B118))</x:f>
        <x:v>0</x:v>
      </x:c>
      <x:c r="U118" s="429" t="n">
        <x:f>IF(COUNTIFS('Specialisation Impact'!$A$19:$A$186,A118,'Specialisation Impact'!$B$19:$B$186,B118,'Specialisation Impact'!$S$19:$S$186,"&gt;0")=0,"",SUMIFS('Specialisation Impact'!$S$19:$S$186,'Specialisation Impact'!$A$19:$A$186,A118,'Specialisation Impact'!$B$19:$B$186,B118))</x:f>
        <x:v>97.53246753246754</x:v>
      </x:c>
      <x:c r="V118" s="429" t="str">
        <x:f>IF(COUNTIFS('Specialisation Impact'!$A$19:$A$186,A118,'Specialisation Impact'!$B$19:$B$186,B118,'Specialisation Impact'!$V$19:$V$186,"&gt;0")=0,"",SUMIFS('Specialisation Impact'!$V$19:$V$186,'Specialisation Impact'!$A$19:$A$186,A118,'Specialisation Impact'!$B$19:$B$186,B118))</x:f>
      </x:c>
    </x:row>
    <x:row r="119" ht="45" customHeight="1">
      <x:c r="A119" s="43" t="str">
        <x:v>K54</x:v>
      </x:c>
      <x:c r="B119" s="43" t="str">
        <x:v>Somnium</x:v>
      </x:c>
      <x:c r="C119" s="43" t="n">
        <x:v>61003</x:v>
      </x:c>
      <x:c r="D119" s="44" t="n">
        <x:v>3.1359</x:v>
      </x:c>
      <x:c r="E119" s="44" t="n">
        <x:v>2.1959</x:v>
      </x:c>
      <x:c r="F119" s="44" t="n">
        <x:v>2.9709</x:v>
      </x:c>
      <x:c r="G119" s="44" t="n">
        <x:v>0.4</x:v>
      </x:c>
      <x:c r="H119" s="44" t="n">
        <x:v>-0.415</x:v>
      </x:c>
      <x:c r="I119" s="30" t="str">
        <x:v>Not shown in recording</x:v>
      </x:c>
      <x:c r="J119" s="30" t="str">
        <x:v>Not shown in recording</x:v>
      </x:c>
      <x:c r="K119" s="30" t="str">
        <x:v>Eternal knights (Lv 50) — Thunder trample
Storm cavalry (Lv 38) — Mounted Archery</x:v>
      </x:c>
      <x:c r="L119" s="30" t="str">
        <x:v>Not shown in recording</x:v>
      </x:c>
      <x:c r="M119" s="43" t="n">
        <x:v>2</x:v>
      </x:c>
      <x:c r="N119" s="43" t="str">
        <x:v>00:57.25</x:v>
      </x:c>
      <x:c r="O119" s="43" t="str">
        <x:v>00:57.25-00:58.75</x:v>
      </x:c>
      <x:c r="P119" s="43" t="str">
        <x:v>1000025860.mp4</x:v>
      </x:c>
      <x:c r="Q119" s="391" t="n">
        <x:f>SUMIFS('Specialisations'!$N$6:$N$527,'Specialisations'!$A$6:$A$527,A119,'Specialisations'!$B$6:$B$527,B119)</x:f>
        <x:v>12138600</x:v>
      </x:c>
      <x:c r="R119" s="392" t="n">
        <x:f>IF(M119=0,"",COUNTIFS('Specialisations'!$A$6:$A$527,A119,'Specialisations'!$B$6:$B$527,B119,'Specialisations'!$P$6:$P$527,"OK")/M119)</x:f>
        <x:v>1</x:v>
      </x:c>
      <x:c r="S119" s="494" t="n">
        <x:f>IF(Q119=0,"",SUMIFS('Specialisation Impact'!$K$19:$K$186,'Specialisation Impact'!$A$19:$A$186,A119,'Specialisation Impact'!$B$19:$B$186,B119))</x:f>
        <x:v>82.34</x:v>
      </x:c>
      <x:c r="T119" s="494" t="n">
        <x:f>IF(Q119=0,"",SUMIFS('Specialisation Impact'!$G$19:$G$186,'Specialisation Impact'!$A$19:$A$186,A119,'Specialisation Impact'!$B$19:$B$186,B119))</x:f>
        <x:v>0</x:v>
      </x:c>
      <x:c r="U119" s="429" t="n">
        <x:f>IF(COUNTIFS('Specialisation Impact'!$A$19:$A$186,A119,'Specialisation Impact'!$B$19:$B$186,B119,'Specialisation Impact'!$S$19:$S$186,"&gt;0")=0,"",SUMIFS('Specialisation Impact'!$S$19:$S$186,'Specialisation Impact'!$A$19:$A$186,A119,'Specialisation Impact'!$B$19:$B$186,B119))</x:f>
        <x:v>45.58441558441558</x:v>
      </x:c>
      <x:c r="V119" s="429" t="str">
        <x:f>IF(COUNTIFS('Specialisation Impact'!$A$19:$A$186,A119,'Specialisation Impact'!$B$19:$B$186,B119,'Specialisation Impact'!$V$19:$V$186,"&gt;0")=0,"",SUMIFS('Specialisation Impact'!$V$19:$V$186,'Specialisation Impact'!$A$19:$A$186,A119,'Specialisation Impact'!$B$19:$B$186,B119))</x:f>
      </x:c>
    </x:row>
    <x:row r="120" ht="45" customHeight="1">
      <x:c r="A120" s="43" t="str">
        <x:v>K54</x:v>
      </x:c>
      <x:c r="B120" s="43" t="str">
        <x:v>纵横,,,Nike耐克</x:v>
      </x:c>
      <x:c r="C120" s="43" t="n">
        <x:v>295176</x:v>
      </x:c>
      <x:c r="D120" s="44" t="n">
        <x:v>3.4233999999999996</x:v>
      </x:c>
      <x:c r="E120" s="44" t="n">
        <x:v>3.0509</x:v>
      </x:c>
      <x:c r="F120" s="44" t="n">
        <x:v>3.3358999999999996</x:v>
      </x:c>
      <x:c r="G120" s="44" t="n">
        <x:v>0.4375</x:v>
      </x:c>
      <x:c r="H120" s="44" t="n">
        <x:v>-0.415</x:v>
      </x:c>
      <x:c r="I120" s="30" t="str">
        <x:v>Not shown in recording</x:v>
      </x:c>
      <x:c r="J120" s="30" t="str">
        <x:v>Elite bowmen (Lv 45) — Frost Arrow</x:v>
      </x:c>
      <x:c r="K120" s="30" t="str">
        <x:v>Eternal knights (Lv 46) — Thunder trample
Storm cavalry (Lv 46) — Mounted Archery</x:v>
      </x:c>
      <x:c r="L120" s="30" t="str">
        <x:v>Manglers (Lv 46) — Highly toxic</x:v>
      </x:c>
      <x:c r="M120" s="43" t="n">
        <x:v>4</x:v>
      </x:c>
      <x:c r="N120" s="43" t="str">
        <x:v>01:06.75</x:v>
      </x:c>
      <x:c r="O120" s="43" t="str">
        <x:v>01:06.75-01:08.00</x:v>
      </x:c>
      <x:c r="P120" s="43" t="str">
        <x:v>1000025860.mp4</x:v>
      </x:c>
      <x:c r="Q120" s="391" t="n">
        <x:f>SUMIFS('Specialisations'!$N$6:$N$527,'Specialisations'!$A$6:$A$527,A120,'Specialisations'!$B$6:$B$527,B120)</x:f>
        <x:v>19297200</x:v>
      </x:c>
      <x:c r="R120" s="392" t="n">
        <x:f>IF(M120=0,"",COUNTIFS('Specialisations'!$A$6:$A$527,A120,'Specialisations'!$B$6:$B$527,B120,'Specialisations'!$P$6:$P$527,"OK")/M120)</x:f>
        <x:v>1</x:v>
      </x:c>
      <x:c r="S120" s="494" t="n">
        <x:f>IF(Q120=0,"",SUMIFS('Specialisation Impact'!$K$19:$K$186,'Specialisation Impact'!$A$19:$A$186,A120,'Specialisation Impact'!$B$19:$B$186,B120))</x:f>
        <x:v>177.37</x:v>
      </x:c>
      <x:c r="T120" s="494" t="n">
        <x:f>IF(Q120=0,"",SUMIFS('Specialisation Impact'!$G$19:$G$186,'Specialisation Impact'!$A$19:$A$186,A120,'Specialisation Impact'!$B$19:$B$186,B120))</x:f>
        <x:v>0</x:v>
      </x:c>
      <x:c r="U120" s="429" t="n">
        <x:f>IF(COUNTIFS('Specialisation Impact'!$A$19:$A$186,A120,'Specialisation Impact'!$B$19:$B$186,B120,'Specialisation Impact'!$S$19:$S$186,"&gt;0")=0,"",SUMIFS('Specialisation Impact'!$S$19:$S$186,'Specialisation Impact'!$A$19:$A$186,A120,'Specialisation Impact'!$B$19:$B$186,B120))</x:f>
        <x:v>92.5974025974026</x:v>
      </x:c>
      <x:c r="V120" s="429" t="str">
        <x:f>IF(COUNTIFS('Specialisation Impact'!$A$19:$A$186,A120,'Specialisation Impact'!$B$19:$B$186,B120,'Specialisation Impact'!$V$19:$V$186,"&gt;0")=0,"",SUMIFS('Specialisation Impact'!$V$19:$V$186,'Specialisation Impact'!$A$19:$A$186,A120,'Specialisation Impact'!$B$19:$B$186,B120))</x:f>
      </x:c>
    </x:row>
    <x:row r="121" ht="45" customHeight="1">
      <x:c r="A121" s="43" t="str">
        <x:v>K54</x:v>
      </x:c>
      <x:c r="B121" s="43" t="str">
        <x:v>醉红尘</x:v>
      </x:c>
      <x:c r="C121" s="43" t="n">
        <x:v>314856</x:v>
      </x:c>
      <x:c r="D121" s="44" t="n">
        <x:v>4.4258999999999995</x:v>
      </x:c>
      <x:c r="E121" s="44" t="n">
        <x:v>4.225899999999999</x:v>
      </x:c>
      <x:c r="F121" s="44" t="n">
        <x:v>4.1259</x:v>
      </x:c>
      <x:c r="G121" s="44" t="n">
        <x:v>0.4375</x:v>
      </x:c>
      <x:c r="H121" s="44" t="n">
        <x:v>-0.475</x:v>
      </x:c>
      <x:c r="I121" s="30" t="str">
        <x:v>Not shown in recording</x:v>
      </x:c>
      <x:c r="J121" s="30" t="str">
        <x:v>Elite bowmen (Lv 40) — Frost Arrow</x:v>
      </x:c>
      <x:c r="K121" s="30" t="str">
        <x:v>Eternal knights (Lv 40) — Thunder trample
Storm cavalry (Lv 34) — Mounted Archery</x:v>
      </x:c>
      <x:c r="L121" s="30" t="str">
        <x:v>Manglers (Lv 40) — Highly toxic</x:v>
      </x:c>
      <x:c r="M121" s="43" t="n">
        <x:v>4</x:v>
      </x:c>
      <x:c r="N121" s="43" t="str">
        <x:v>01:17.25</x:v>
      </x:c>
      <x:c r="O121" s="43" t="str">
        <x:v>01:17.25-01:18.50</x:v>
      </x:c>
      <x:c r="P121" s="43" t="str">
        <x:v>1000025860.mp4</x:v>
      </x:c>
      <x:c r="Q121" s="391" t="n">
        <x:f>SUMIFS('Specialisations'!$N$6:$N$527,'Specialisations'!$A$6:$A$527,A121,'Specialisations'!$B$6:$B$527,B121)</x:f>
        <x:v>7927200</x:v>
      </x:c>
      <x:c r="R121" s="392" t="n">
        <x:f>IF(M121=0,"",COUNTIFS('Specialisations'!$A$6:$A$527,A121,'Specialisations'!$B$6:$B$527,B121,'Specialisations'!$P$6:$P$527,"OK")/M121)</x:f>
        <x:v>1</x:v>
      </x:c>
      <x:c r="S121" s="494" t="n">
        <x:f>IF(Q121=0,"",SUMIFS('Specialisation Impact'!$K$19:$K$186,'Specialisation Impact'!$A$19:$A$186,A121,'Specialisation Impact'!$B$19:$B$186,B121))</x:f>
        <x:v>99.41999999999999</x:v>
      </x:c>
      <x:c r="T121" s="494" t="n">
        <x:f>IF(Q121=0,"",SUMIFS('Specialisation Impact'!$G$19:$G$186,'Specialisation Impact'!$A$19:$A$186,A121,'Specialisation Impact'!$B$19:$B$186,B121))</x:f>
        <x:v>0</x:v>
      </x:c>
      <x:c r="U121" s="429" t="n">
        <x:f>IF(COUNTIFS('Specialisation Impact'!$A$19:$A$186,A121,'Specialisation Impact'!$B$19:$B$186,B121,'Specialisation Impact'!$S$19:$S$186,"&gt;0")=0,"",SUMIFS('Specialisation Impact'!$S$19:$S$186,'Specialisation Impact'!$A$19:$A$186,A121,'Specialisation Impact'!$B$19:$B$186,B121))</x:f>
        <x:v>47.40259740259741</x:v>
      </x:c>
      <x:c r="V121" s="429" t="str">
        <x:f>IF(COUNTIFS('Specialisation Impact'!$A$19:$A$186,A121,'Specialisation Impact'!$B$19:$B$186,B121,'Specialisation Impact'!$V$19:$V$186,"&gt;0")=0,"",SUMIFS('Specialisation Impact'!$V$19:$V$186,'Specialisation Impact'!$A$19:$A$186,A121,'Specialisation Impact'!$B$19:$B$186,B121))</x:f>
      </x:c>
    </x:row>
    <x:row r="122" ht="45" customHeight="1">
      <x:c r="A122" s="43" t="str">
        <x:v>K54</x:v>
      </x:c>
      <x:c r="B122" s="43" t="str">
        <x:v>纵横,,,飞哥</x:v>
      </x:c>
      <x:c r="C122" s="43" t="n">
        <x:v>49196</x:v>
      </x:c>
      <x:c r="D122" s="44" t="n">
        <x:v>2.7009</x:v>
      </x:c>
      <x:c r="E122" s="44" t="n">
        <x:v>2.3759</x:v>
      </x:c>
      <x:c r="F122" s="44" t="n">
        <x:v>2.7558999999999996</x:v>
      </x:c>
      <x:c r="G122" s="44" t="n">
        <x:v>0.39</x:v>
      </x:c>
      <x:c r="H122" s="44" t="n">
        <x:v>-0.39</x:v>
      </x:c>
      <x:c r="I122" s="30" t="str">
        <x:v>Not shown in recording</x:v>
      </x:c>
      <x:c r="J122" s="30" t="str">
        <x:v>Not shown in recording</x:v>
      </x:c>
      <x:c r="K122" s="30" t="str">
        <x:v>Eternal knights (Lv 40) — Thunder trample
Storm cavalry (Lv 41) — Mounted Archery</x:v>
      </x:c>
      <x:c r="L122" s="30" t="str">
        <x:v>Not shown in recording</x:v>
      </x:c>
      <x:c r="M122" s="43" t="n">
        <x:v>2</x:v>
      </x:c>
      <x:c r="N122" s="43" t="str">
        <x:v>01:24.50</x:v>
      </x:c>
      <x:c r="O122" s="43" t="str">
        <x:v>01:24.50-01:26.00</x:v>
      </x:c>
      <x:c r="P122" s="43" t="str">
        <x:v>1000025860.mp4</x:v>
      </x:c>
      <x:c r="Q122" s="391" t="n">
        <x:f>SUMIFS('Specialisations'!$N$6:$N$527,'Specialisations'!$A$6:$A$527,A122,'Specialisations'!$B$6:$B$527,B122)</x:f>
        <x:v>4768600</x:v>
      </x:c>
      <x:c r="R122" s="392" t="n">
        <x:f>IF(M122=0,"",COUNTIFS('Specialisations'!$A$6:$A$527,A122,'Specialisations'!$B$6:$B$527,B122,'Specialisations'!$P$6:$P$527,"OK")/M122)</x:f>
        <x:v>1</x:v>
      </x:c>
      <x:c r="S122" s="494" t="n">
        <x:f>IF(Q122=0,"",SUMIFS('Specialisation Impact'!$K$19:$K$186,'Specialisation Impact'!$A$19:$A$186,A122,'Specialisation Impact'!$B$19:$B$186,B122))</x:f>
        <x:v>58.12</x:v>
      </x:c>
      <x:c r="T122" s="494" t="n">
        <x:f>IF(Q122=0,"",SUMIFS('Specialisation Impact'!$G$19:$G$186,'Specialisation Impact'!$A$19:$A$186,A122,'Specialisation Impact'!$B$19:$B$186,B122))</x:f>
        <x:v>0</x:v>
      </x:c>
      <x:c r="U122" s="429" t="n">
        <x:f>IF(COUNTIFS('Specialisation Impact'!$A$19:$A$186,A122,'Specialisation Impact'!$B$19:$B$186,B122,'Specialisation Impact'!$S$19:$S$186,"&gt;0")=0,"",SUMIFS('Specialisation Impact'!$S$19:$S$186,'Specialisation Impact'!$A$19:$A$186,A122,'Specialisation Impact'!$B$19:$B$186,B122))</x:f>
        <x:v>17.337662337662337</x:v>
      </x:c>
      <x:c r="V122" s="429" t="str">
        <x:f>IF(COUNTIFS('Specialisation Impact'!$A$19:$A$186,A122,'Specialisation Impact'!$B$19:$B$186,B122,'Specialisation Impact'!$V$19:$V$186,"&gt;0")=0,"",SUMIFS('Specialisation Impact'!$V$19:$V$186,'Specialisation Impact'!$A$19:$A$186,A122,'Specialisation Impact'!$B$19:$B$186,B122))</x:f>
      </x:c>
    </x:row>
    <x:row r="123" ht="45" customHeight="1">
      <x:c r="A123" s="43" t="str">
        <x:v>K54</x:v>
      </x:c>
      <x:c r="B123" s="43" t="str">
        <x:v>纵横,,,金王</x:v>
      </x:c>
      <x:c r="C123" s="43" t="n">
        <x:v>205640</x:v>
      </x:c>
      <x:c r="D123" s="44" t="n">
        <x:v>3.7434</x:v>
      </x:c>
      <x:c r="E123" s="44" t="n">
        <x:v>2.9484</x:v>
      </x:c>
      <x:c r="F123" s="44" t="n">
        <x:v>3.4433999999999996</x:v>
      </x:c>
      <x:c r="G123" s="44" t="n">
        <x:v>0.4375</x:v>
      </x:c>
      <x:c r="H123" s="44" t="n">
        <x:v>-0.4375</x:v>
      </x:c>
      <x:c r="I123" s="30" t="str">
        <x:v>Not shown in recording</x:v>
      </x:c>
      <x:c r="J123" s="30" t="str">
        <x:v>Elite bowmen (Lv 45) — Frost Arrow</x:v>
      </x:c>
      <x:c r="K123" s="30" t="str">
        <x:v>Eternal knights (Lv 46) — Thunder trample
Storm cavalry (Lv 45) — Mounted Archery</x:v>
      </x:c>
      <x:c r="L123" s="30" t="str">
        <x:v>Manglers (Lv 30) — Highly toxic</x:v>
      </x:c>
      <x:c r="M123" s="43" t="n">
        <x:v>4</x:v>
      </x:c>
      <x:c r="N123" s="43" t="str">
        <x:v>01:32.75</x:v>
      </x:c>
      <x:c r="O123" s="43" t="str">
        <x:v>01:32.75-01:34.25</x:v>
      </x:c>
      <x:c r="P123" s="43" t="str">
        <x:v>1000025860.mp4</x:v>
      </x:c>
      <x:c r="Q123" s="391" t="n">
        <x:f>SUMIFS('Specialisations'!$N$6:$N$527,'Specialisations'!$A$6:$A$527,A123,'Specialisations'!$B$6:$B$527,B123)</x:f>
        <x:v>14347200</x:v>
      </x:c>
      <x:c r="R123" s="392" t="n">
        <x:f>IF(M123=0,"",COUNTIFS('Specialisations'!$A$6:$A$527,A123,'Specialisations'!$B$6:$B$527,B123,'Specialisations'!$P$6:$P$527,"OK")/M123)</x:f>
        <x:v>1</x:v>
      </x:c>
      <x:c r="S123" s="494" t="n">
        <x:f>IF(Q123=0,"",SUMIFS('Specialisation Impact'!$K$19:$K$186,'Specialisation Impact'!$A$19:$A$186,A123,'Specialisation Impact'!$B$19:$B$186,B123))</x:f>
        <x:v>139.91</x:v>
      </x:c>
      <x:c r="T123" s="494" t="n">
        <x:f>IF(Q123=0,"",SUMIFS('Specialisation Impact'!$G$19:$G$186,'Specialisation Impact'!$A$19:$A$186,A123,'Specialisation Impact'!$B$19:$B$186,B123))</x:f>
        <x:v>0</x:v>
      </x:c>
      <x:c r="U123" s="429" t="n">
        <x:f>IF(COUNTIFS('Specialisation Impact'!$A$19:$A$186,A123,'Specialisation Impact'!$B$19:$B$186,B123,'Specialisation Impact'!$S$19:$S$186,"&gt;0")=0,"",SUMIFS('Specialisation Impact'!$S$19:$S$186,'Specialisation Impact'!$A$19:$A$186,A123,'Specialisation Impact'!$B$19:$B$186,B123))</x:f>
        <x:v>82.33766233766234</x:v>
      </x:c>
      <x:c r="V123" s="429" t="str">
        <x:f>IF(COUNTIFS('Specialisation Impact'!$A$19:$A$186,A123,'Specialisation Impact'!$B$19:$B$186,B123,'Specialisation Impact'!$V$19:$V$186,"&gt;0")=0,"",SUMIFS('Specialisation Impact'!$V$19:$V$186,'Specialisation Impact'!$A$19:$A$186,A123,'Specialisation Impact'!$B$19:$B$186,B123))</x:f>
      </x:c>
    </x:row>
    <x:row r="124" ht="45" customHeight="1">
      <x:c r="A124" s="43" t="str">
        <x:v>K54</x:v>
      </x:c>
      <x:c r="B124" s="43" t="str">
        <x:v>奕星的殺猪盤</x:v>
      </x:c>
      <x:c r="C124" s="43" t="n">
        <x:v>98392</x:v>
      </x:c>
      <x:c r="D124" s="44" t="n">
        <x:v>3.2358999999999996</x:v>
      </x:c>
      <x:c r="E124" s="44" t="n">
        <x:v>2.3459</x:v>
      </x:c>
      <x:c r="F124" s="44" t="n">
        <x:v>2.8958999999999997</x:v>
      </x:c>
      <x:c r="G124" s="44" t="n">
        <x:v>0.4</x:v>
      </x:c>
      <x:c r="H124" s="44" t="n">
        <x:v>-0.4</x:v>
      </x:c>
      <x:c r="I124" s="30" t="str">
        <x:v>Not shown in recording</x:v>
      </x:c>
      <x:c r="J124" s="30" t="str">
        <x:v>Not shown in recording</x:v>
      </x:c>
      <x:c r="K124" s="30" t="str">
        <x:v>Eternal knights (Lv 45) — Thunder trample
Storm cavalry (Lv 45) — Mounted Archery</x:v>
      </x:c>
      <x:c r="L124" s="30" t="str">
        <x:v>Not shown in recording</x:v>
      </x:c>
      <x:c r="M124" s="43" t="n">
        <x:v>2</x:v>
      </x:c>
      <x:c r="N124" s="43" t="str">
        <x:v>01:42.75</x:v>
      </x:c>
      <x:c r="O124" s="43" t="str">
        <x:v>01:42.75-01:44.00</x:v>
      </x:c>
      <x:c r="P124" s="43" t="str">
        <x:v>1000025860.mp4</x:v>
      </x:c>
      <x:c r="Q124" s="391" t="n">
        <x:f>SUMIFS('Specialisations'!$N$6:$N$527,'Specialisations'!$A$6:$A$527,A124,'Specialisations'!$B$6:$B$527,B124)</x:f>
        <x:v>8568600</x:v>
      </x:c>
      <x:c r="R124" s="392" t="n">
        <x:f>IF(M124=0,"",COUNTIFS('Specialisations'!$A$6:$A$527,A124,'Specialisations'!$B$6:$B$527,B124,'Specialisations'!$P$6:$P$527,"OK")/M124)</x:f>
        <x:v>1</x:v>
      </x:c>
      <x:c r="S124" s="494" t="n">
        <x:f>IF(Q124=0,"",SUMIFS('Specialisation Impact'!$K$19:$K$186,'Specialisation Impact'!$A$19:$A$186,A124,'Specialisation Impact'!$B$19:$B$186,B124))</x:f>
        <x:v>83.96</x:v>
      </x:c>
      <x:c r="T124" s="494" t="n">
        <x:f>IF(Q124=0,"",SUMIFS('Specialisation Impact'!$G$19:$G$186,'Specialisation Impact'!$A$19:$A$186,A124,'Specialisation Impact'!$B$19:$B$186,B124))</x:f>
        <x:v>0</x:v>
      </x:c>
      <x:c r="U124" s="429" t="n">
        <x:f>IF(COUNTIFS('Specialisation Impact'!$A$19:$A$186,A124,'Specialisation Impact'!$B$19:$B$186,B124,'Specialisation Impact'!$S$19:$S$186,"&gt;0")=0,"",SUMIFS('Specialisation Impact'!$S$19:$S$186,'Specialisation Impact'!$A$19:$A$186,A124,'Specialisation Impact'!$B$19:$B$186,B124))</x:f>
        <x:v>40.51948051948052</x:v>
      </x:c>
      <x:c r="V124" s="429" t="str">
        <x:f>IF(COUNTIFS('Specialisation Impact'!$A$19:$A$186,A124,'Specialisation Impact'!$B$19:$B$186,B124,'Specialisation Impact'!$V$19:$V$186,"&gt;0")=0,"",SUMIFS('Specialisation Impact'!$V$19:$V$186,'Specialisation Impact'!$A$19:$A$186,A124,'Specialisation Impact'!$B$19:$B$186,B124))</x:f>
      </x:c>
    </x:row>
    <x:row r="125" ht="45" customHeight="1">
      <x:c r="A125" s="43" t="str">
        <x:v>K54</x:v>
      </x:c>
      <x:c r="B125" s="43" t="str">
        <x:v>纵横,,,离火</x:v>
      </x:c>
      <x:c r="C125" s="43" t="n">
        <x:v>206624</x:v>
      </x:c>
      <x:c r="D125" s="44" t="n">
        <x:v>3.6008999999999998</x:v>
      </x:c>
      <x:c r="E125" s="44" t="n">
        <x:v>3.8009</x:v>
      </x:c>
      <x:c r="F125" s="44" t="n">
        <x:v>3.3659</x:v>
      </x:c>
      <x:c r="G125" s="44" t="n">
        <x:v>0.4</x:v>
      </x:c>
      <x:c r="H125" s="44" t="n">
        <x:v>-0.4</x:v>
      </x:c>
      <x:c r="I125" s="30" t="str">
        <x:v>Not shown in recording</x:v>
      </x:c>
      <x:c r="J125" s="30" t="str">
        <x:v>Elite bowmen (Lv 43) — Frost Arrow</x:v>
      </x:c>
      <x:c r="K125" s="30" t="str">
        <x:v>Eternal knights (Lv 45) — Thunder trample
Storm cavalry (Lv 43) — Mounted Archery</x:v>
      </x:c>
      <x:c r="L125" s="30" t="str">
        <x:v>Manglers (Lv 41) — Highly toxic</x:v>
      </x:c>
      <x:c r="M125" s="43" t="n">
        <x:v>4</x:v>
      </x:c>
      <x:c r="N125" s="43" t="str">
        <x:v>01:52.00</x:v>
      </x:c>
      <x:c r="O125" s="43" t="str">
        <x:v>01:52.00-01:53.25</x:v>
      </x:c>
      <x:c r="P125" s="43" t="str">
        <x:v>1000025860.mp4</x:v>
      </x:c>
      <x:c r="Q125" s="391" t="n">
        <x:f>SUMIFS('Specialisations'!$N$6:$N$527,'Specialisations'!$A$6:$A$527,A125,'Specialisations'!$B$6:$B$527,B125)</x:f>
        <x:v>13297200</x:v>
      </x:c>
      <x:c r="R125" s="392" t="n">
        <x:f>IF(M125=0,"",COUNTIFS('Specialisations'!$A$6:$A$527,A125,'Specialisations'!$B$6:$B$527,B125,'Specialisations'!$P$6:$P$527,"OK")/M125)</x:f>
        <x:v>1</x:v>
      </x:c>
      <x:c r="S125" s="494" t="n">
        <x:f>IF(Q125=0,"",SUMIFS('Specialisation Impact'!$K$19:$K$186,'Specialisation Impact'!$A$19:$A$186,A125,'Specialisation Impact'!$B$19:$B$186,B125))</x:f>
        <x:v>144.32</x:v>
      </x:c>
      <x:c r="T125" s="494" t="n">
        <x:f>IF(Q125=0,"",SUMIFS('Specialisation Impact'!$G$19:$G$186,'Specialisation Impact'!$A$19:$A$186,A125,'Specialisation Impact'!$B$19:$B$186,B125))</x:f>
        <x:v>0</x:v>
      </x:c>
      <x:c r="U125" s="429" t="n">
        <x:f>IF(COUNTIFS('Specialisation Impact'!$A$19:$A$186,A125,'Specialisation Impact'!$B$19:$B$186,B125,'Specialisation Impact'!$S$19:$S$186,"&gt;0")=0,"",SUMIFS('Specialisation Impact'!$S$19:$S$186,'Specialisation Impact'!$A$19:$A$186,A125,'Specialisation Impact'!$B$19:$B$186,B125))</x:f>
        <x:v>82.98701298701299</x:v>
      </x:c>
      <x:c r="V125" s="429" t="str">
        <x:f>IF(COUNTIFS('Specialisation Impact'!$A$19:$A$186,A125,'Specialisation Impact'!$B$19:$B$186,B125,'Specialisation Impact'!$V$19:$V$186,"&gt;0")=0,"",SUMIFS('Specialisation Impact'!$V$19:$V$186,'Specialisation Impact'!$A$19:$A$186,A125,'Specialisation Impact'!$B$19:$B$186,B125))</x:f>
      </x:c>
    </x:row>
    <x:row r="126" ht="45" customHeight="1">
      <x:c r="A126" s="43" t="str">
        <x:v>K54</x:v>
      </x:c>
      <x:c r="B126" s="43" t="str">
        <x:v>ony</x:v>
      </x:c>
      <x:c r="C126" s="43" t="n">
        <x:v>186351</x:v>
      </x:c>
      <x:c r="D126" s="44" t="n">
        <x:v>4.0134</x:v>
      </x:c>
      <x:c r="E126" s="44" t="n">
        <x:v>3.3284</x:v>
      </x:c>
      <x:c r="F126" s="44" t="n">
        <x:v>3.5833999999999997</x:v>
      </x:c>
      <x:c r="G126" s="44" t="n">
        <x:v>0.4375</x:v>
      </x:c>
      <x:c r="H126" s="44" t="n">
        <x:v>-0.415</x:v>
      </x:c>
      <x:c r="I126" s="30" t="str">
        <x:v>Not shown in recording</x:v>
      </x:c>
      <x:c r="J126" s="30" t="str">
        <x:v>Elite bowmen (Lv 43) — Frost Arrow</x:v>
      </x:c>
      <x:c r="K126" s="30" t="str">
        <x:v>Eternal knights (Lv 49) — Thunder trample
Storm cavalry (Lv 48) — Mounted Archery</x:v>
      </x:c>
      <x:c r="L126" s="30" t="str">
        <x:v>Manglers (Lv 44) — Highly toxic</x:v>
      </x:c>
      <x:c r="M126" s="43" t="n">
        <x:v>4</x:v>
      </x:c>
      <x:c r="N126" s="43" t="str">
        <x:v>02:04.25</x:v>
      </x:c>
      <x:c r="O126" s="43" t="str">
        <x:v>02:04.25-02:05.75</x:v>
      </x:c>
      <x:c r="P126" s="43" t="str">
        <x:v>1000025860.mp4</x:v>
      </x:c>
      <x:c r="Q126" s="391" t="n">
        <x:f>SUMIFS('Specialisations'!$N$6:$N$527,'Specialisations'!$A$6:$A$527,A126,'Specialisations'!$B$6:$B$527,B126)</x:f>
        <x:v>22237200</x:v>
      </x:c>
      <x:c r="R126" s="392" t="n">
        <x:f>IF(M126=0,"",COUNTIFS('Specialisations'!$A$6:$A$527,A126,'Specialisations'!$B$6:$B$527,B126,'Specialisations'!$P$6:$P$527,"OK")/M126)</x:f>
        <x:v>1</x:v>
      </x:c>
      <x:c r="S126" s="494" t="n">
        <x:f>IF(Q126=0,"",SUMIFS('Specialisation Impact'!$K$19:$K$186,'Specialisation Impact'!$A$19:$A$186,A126,'Specialisation Impact'!$B$19:$B$186,B126))</x:f>
        <x:v>182.85</x:v>
      </x:c>
      <x:c r="T126" s="494" t="n">
        <x:f>IF(Q126=0,"",SUMIFS('Specialisation Impact'!$G$19:$G$186,'Specialisation Impact'!$A$19:$A$186,A126,'Specialisation Impact'!$B$19:$B$186,B126))</x:f>
        <x:v>0</x:v>
      </x:c>
      <x:c r="U126" s="429" t="n">
        <x:f>IF(COUNTIFS('Specialisation Impact'!$A$19:$A$186,A126,'Specialisation Impact'!$B$19:$B$186,B126,'Specialisation Impact'!$S$19:$S$186,"&gt;0")=0,"",SUMIFS('Specialisation Impact'!$S$19:$S$186,'Specialisation Impact'!$A$19:$A$186,A126,'Specialisation Impact'!$B$19:$B$186,B126))</x:f>
        <x:v>94.54545454545455</x:v>
      </x:c>
      <x:c r="V126" s="429" t="str">
        <x:f>IF(COUNTIFS('Specialisation Impact'!$A$19:$A$186,A126,'Specialisation Impact'!$B$19:$B$186,B126,'Specialisation Impact'!$V$19:$V$186,"&gt;0")=0,"",SUMIFS('Specialisation Impact'!$V$19:$V$186,'Specialisation Impact'!$A$19:$A$186,A126,'Specialisation Impact'!$B$19:$B$186,B126))</x:f>
      </x:c>
    </x:row>
    <x:row r="127" ht="45" customHeight="1">
      <x:c r="A127" s="43" t="str">
        <x:v>K197</x:v>
      </x:c>
      <x:c r="B127" s="43" t="str">
        <x:v>Хлебушек</x:v>
      </x:c>
      <x:c r="C127" s="43" t="n">
        <x:v>394366</x:v>
      </x:c>
      <x:c r="D127" s="44" t="n">
        <x:v>5.141</x:v>
      </x:c>
      <x:c r="E127" s="44" t="n">
        <x:v>4.941</x:v>
      </x:c>
      <x:c r="F127" s="44" t="n">
        <x:v>5.141</x:v>
      </x:c>
      <x:c r="G127" s="44" t="n">
        <x:v>0.475</x:v>
      </x:c>
      <x:c r="H127" s="44" t="n">
        <x:v>-0.475</x:v>
      </x:c>
      <x:c r="I127" s="30" t="str">
        <x:v>Destroyers (Lv 50) — Parry</x:v>
      </x:c>
      <x:c r="J127" s="30" t="str">
        <x:v>Elite bowmen (Lv 50) — Frost Arrow
Elite (Lv 50) — Focus</x:v>
      </x:c>
      <x:c r="K127" s="30" t="str">
        <x:v>Eternal knights (Lv 50) — Thunder trample
Storm cavalry (Lv 50) — Mounted Archery</x:v>
      </x:c>
      <x:c r="L127" s="30" t="str">
        <x:v>Manglers (Lv 50) — Highly toxic</x:v>
      </x:c>
      <x:c r="M127" s="43" t="n">
        <x:v>6</x:v>
      </x:c>
      <x:c r="N127" s="43" t="str">
        <x:v>00:14.20</x:v>
      </x:c>
      <x:c r="O127" s="43" t="str">
        <x:v>00:14.20-00:18.40</x:v>
      </x:c>
      <x:c r="P127" s="43" t="str">
        <x:v>1000025871.mp4</x:v>
      </x:c>
      <x:c r="Q127" s="391" t="n">
        <x:f>SUMIFS('Specialisations'!$N$6:$N$527,'Specialisations'!$A$6:$A$527,A127,'Specialisations'!$B$6:$B$527,B127)</x:f>
        <x:v>62005800</x:v>
      </x:c>
      <x:c r="R127" s="392" t="n">
        <x:f>IF(M127=0,"",COUNTIFS('Specialisations'!$A$6:$A$527,A127,'Specialisations'!$B$6:$B$527,B127,'Specialisations'!$P$6:$P$527,"OK")/M127)</x:f>
        <x:v>1</x:v>
      </x:c>
      <x:c r="S127" s="494" t="n">
        <x:f>IF(Q127=0,"",SUMIFS('Specialisation Impact'!$K$19:$K$186,'Specialisation Impact'!$A$19:$A$186,A127,'Specialisation Impact'!$B$19:$B$186,B127))</x:f>
        <x:v>300</x:v>
      </x:c>
      <x:c r="T127" s="494" t="n">
        <x:f>IF(Q127=0,"",SUMIFS('Specialisation Impact'!$G$19:$G$186,'Specialisation Impact'!$A$19:$A$186,A127,'Specialisation Impact'!$B$19:$B$186,B127))</x:f>
        <x:v>-60</x:v>
      </x:c>
      <x:c r="U127" s="429" t="n">
        <x:f>IF(COUNTIFS('Specialisation Impact'!$A$19:$A$186,A127,'Specialisation Impact'!$B$19:$B$186,B127,'Specialisation Impact'!$S$19:$S$186,"&gt;0")=0,"",SUMIFS('Specialisation Impact'!$S$19:$S$186,'Specialisation Impact'!$A$19:$A$186,A127,'Specialisation Impact'!$B$19:$B$186,B127))</x:f>
        <x:v>100</x:v>
      </x:c>
      <x:c r="V127" s="429" t="n">
        <x:f>IF(COUNTIFS('Specialisation Impact'!$A$19:$A$186,A127,'Specialisation Impact'!$B$19:$B$186,B127,'Specialisation Impact'!$V$19:$V$186,"&gt;0")=0,"",SUMIFS('Specialisation Impact'!$V$19:$V$186,'Specialisation Impact'!$A$19:$A$186,A127,'Specialisation Impact'!$B$19:$B$186,B127))</x:f>
        <x:v>93.16239316239316</x:v>
      </x:c>
    </x:row>
    <x:row r="128" ht="45" customHeight="1">
      <x:c r="A128" s="43" t="str">
        <x:v>K197</x:v>
      </x:c>
      <x:c r="B128" s="43" t="str">
        <x:v>Zakmil23139</x:v>
      </x:c>
      <x:c r="C128" s="43" t="n">
        <x:v>136900</x:v>
      </x:c>
      <x:c r="D128" s="44" t="n">
        <x:v>3.7935000000000003</x:v>
      </x:c>
      <x:c r="E128" s="44" t="n">
        <x:v>2.467</x:v>
      </x:c>
      <x:c r="F128" s="44" t="n">
        <x:v>3.2960000000000003</x:v>
      </x:c>
      <x:c r="G128" s="44" t="n">
        <x:v>0.4375</x:v>
      </x:c>
      <x:c r="H128" s="44" t="n">
        <x:v>-0.415</x:v>
      </x:c>
      <x:c r="I128" s="30" t="str">
        <x:v>Not shown in recording</x:v>
      </x:c>
      <x:c r="J128" s="30" t="str">
        <x:v>Elite bowmen (Lv 50) — Frost Arrow</x:v>
      </x:c>
      <x:c r="K128" s="30" t="str">
        <x:v>Eternal knights (Lv 46) — Thunder trample</x:v>
      </x:c>
      <x:c r="L128" s="30" t="str">
        <x:v>Manglers (Lv 37) — Highly toxic</x:v>
      </x:c>
      <x:c r="M128" s="43" t="n">
        <x:v>3</x:v>
      </x:c>
      <x:c r="N128" s="43" t="str">
        <x:v>00:25.70</x:v>
      </x:c>
      <x:c r="O128" s="43" t="str">
        <x:v>00:25.70-00:27.90</x:v>
      </x:c>
      <x:c r="P128" s="43" t="str">
        <x:v>1000025871.mp4</x:v>
      </x:c>
      <x:c r="Q128" s="391" t="n">
        <x:f>SUMIFS('Specialisations'!$N$6:$N$527,'Specialisations'!$A$6:$A$527,A128,'Specialisations'!$B$6:$B$527,B128)</x:f>
        <x:v>16962900</x:v>
      </x:c>
      <x:c r="R128" s="392" t="n">
        <x:f>IF(M128=0,"",COUNTIFS('Specialisations'!$A$6:$A$527,A128,'Specialisations'!$B$6:$B$527,B128,'Specialisations'!$P$6:$P$527,"OK")/M128)</x:f>
        <x:v>1</x:v>
      </x:c>
      <x:c r="S128" s="494" t="n">
        <x:f>IF(Q128=0,"",SUMIFS('Specialisation Impact'!$K$19:$K$186,'Specialisation Impact'!$A$19:$A$186,A128,'Specialisation Impact'!$B$19:$B$186,B128))</x:f>
        <x:v>125.86</x:v>
      </x:c>
      <x:c r="T128" s="494" t="n">
        <x:f>IF(Q128=0,"",SUMIFS('Specialisation Impact'!$G$19:$G$186,'Specialisation Impact'!$A$19:$A$186,A128,'Specialisation Impact'!$B$19:$B$186,B128))</x:f>
        <x:v>0</x:v>
      </x:c>
      <x:c r="U128" s="429" t="n">
        <x:f>IF(COUNTIFS('Specialisation Impact'!$A$19:$A$186,A128,'Specialisation Impact'!$B$19:$B$186,B128,'Specialisation Impact'!$S$19:$S$186,"&gt;0")=0,"",SUMIFS('Specialisation Impact'!$S$19:$S$186,'Specialisation Impact'!$A$19:$A$186,A128,'Specialisation Impact'!$B$19:$B$186,B128))</x:f>
        <x:v>77.66233766233766</x:v>
      </x:c>
      <x:c r="V128" s="429" t="str">
        <x:f>IF(COUNTIFS('Specialisation Impact'!$A$19:$A$186,A128,'Specialisation Impact'!$B$19:$B$186,B128,'Specialisation Impact'!$V$19:$V$186,"&gt;0")=0,"",SUMIFS('Specialisation Impact'!$V$19:$V$186,'Specialisation Impact'!$A$19:$A$186,A128,'Specialisation Impact'!$B$19:$B$186,B128))</x:f>
      </x:c>
    </x:row>
    <x:row r="129" ht="45" customHeight="1">
      <x:c r="A129" s="43" t="str">
        <x:v>K197</x:v>
      </x:c>
      <x:c r="B129" s="43" t="str">
        <x:v>NightFury</x:v>
      </x:c>
      <x:c r="C129" s="43" t="n">
        <x:v>84200</x:v>
      </x:c>
      <x:c r="D129" s="44" t="n">
        <x:v>2.6910000000000003</x:v>
      </x:c>
      <x:c r="E129" s="44" t="n">
        <x:v>2.786</x:v>
      </x:c>
      <x:c r="F129" s="44" t="n">
        <x:v>3.1010000000000004</x:v>
      </x:c>
      <x:c r="G129" s="44" t="n">
        <x:v>0.415</x:v>
      </x:c>
      <x:c r="H129" s="44" t="n">
        <x:v>-0.415</x:v>
      </x:c>
      <x:c r="I129" s="30" t="str">
        <x:v>Destroyers (Lv 34) — Parry</x:v>
      </x:c>
      <x:c r="J129" s="30" t="str">
        <x:v>Not shown in recording</x:v>
      </x:c>
      <x:c r="K129" s="30" t="str">
        <x:v>Eternal knights (Lv 50) — Thunder trample</x:v>
      </x:c>
      <x:c r="L129" s="30" t="str">
        <x:v>Not shown in recording</x:v>
      </x:c>
      <x:c r="M129" s="43" t="n">
        <x:v>2</x:v>
      </x:c>
      <x:c r="N129" s="43" t="str">
        <x:v>00:33.30</x:v>
      </x:c>
      <x:c r="O129" s="43" t="str">
        <x:v>00:33.30-00:35.50</x:v>
      </x:c>
      <x:c r="P129" s="43" t="str">
        <x:v>1000025871.mp4</x:v>
      </x:c>
      <x:c r="Q129" s="391" t="n">
        <x:f>SUMIFS('Specialisations'!$N$6:$N$527,'Specialisations'!$A$6:$A$527,A129,'Specialisations'!$B$6:$B$527,B129)</x:f>
        <x:v>11528600</x:v>
      </x:c>
      <x:c r="R129" s="392" t="n">
        <x:f>IF(M129=0,"",COUNTIFS('Specialisations'!$A$6:$A$527,A129,'Specialisations'!$B$6:$B$527,B129,'Specialisations'!$P$6:$P$527,"OK")/M129)</x:f>
        <x:v>1</x:v>
      </x:c>
      <x:c r="S129" s="494" t="n">
        <x:f>IF(Q129=0,"",SUMIFS('Specialisation Impact'!$K$19:$K$186,'Specialisation Impact'!$A$19:$A$186,A129,'Specialisation Impact'!$B$19:$B$186,B129))</x:f>
        <x:v>60</x:v>
      </x:c>
      <x:c r="T129" s="494" t="n">
        <x:f>IF(Q129=0,"",SUMIFS('Specialisation Impact'!$G$19:$G$186,'Specialisation Impact'!$A$19:$A$186,A129,'Specialisation Impact'!$B$19:$B$186,B129))</x:f>
        <x:v>-16.2</x:v>
      </x:c>
      <x:c r="U129" s="429" t="n">
        <x:f>IF(COUNTIFS('Specialisation Impact'!$A$19:$A$186,A129,'Specialisation Impact'!$B$19:$B$186,B129,'Specialisation Impact'!$S$19:$S$186,"&gt;0")=0,"",SUMIFS('Specialisation Impact'!$S$19:$S$186,'Specialisation Impact'!$A$19:$A$186,A129,'Specialisation Impact'!$B$19:$B$186,B129))</x:f>
        <x:v>29.48051948051948</x:v>
      </x:c>
      <x:c r="V129" s="429" t="n">
        <x:f>IF(COUNTIFS('Specialisation Impact'!$A$19:$A$186,A129,'Specialisation Impact'!$B$19:$B$186,B129,'Specialisation Impact'!$V$19:$V$186,"&gt;0")=0,"",SUMIFS('Specialisation Impact'!$V$19:$V$186,'Specialisation Impact'!$A$19:$A$186,A129,'Specialisation Impact'!$B$19:$B$186,B129))</x:f>
        <x:v>14.102564102564102</x:v>
      </x:c>
    </x:row>
    <x:row r="130" ht="45" customHeight="1">
      <x:c r="A130" s="43" t="str">
        <x:v>K197</x:v>
      </x:c>
      <x:c r="B130" s="43" t="str">
        <x:v>Saku</x:v>
      </x:c>
      <x:c r="C130" s="43" t="n">
        <x:v>258900</x:v>
      </x:c>
      <x:c r="D130" s="44" t="n">
        <x:v>3.5635000000000003</x:v>
      </x:c>
      <x:c r="E130" s="44" t="n">
        <x:v>3.0435000000000003</x:v>
      </x:c>
      <x:c r="F130" s="44" t="n">
        <x:v>3.5785</x:v>
      </x:c>
      <x:c r="G130" s="44" t="n">
        <x:v>0.4375</x:v>
      </x:c>
      <x:c r="H130" s="44" t="n">
        <x:v>-0.4375</x:v>
      </x:c>
      <x:c r="I130" s="30" t="str">
        <x:v>Not shown in recording</x:v>
      </x:c>
      <x:c r="J130" s="30" t="str">
        <x:v>Elite bowmen (Lv 50) — Frost Arrow</x:v>
      </x:c>
      <x:c r="K130" s="30" t="str">
        <x:v>Eternal knights (Lv 50) — Thunder trample</x:v>
      </x:c>
      <x:c r="L130" s="30" t="str">
        <x:v>Not shown in recording</x:v>
      </x:c>
      <x:c r="M130" s="43" t="n">
        <x:v>2</x:v>
      </x:c>
      <x:c r="N130" s="43" t="str">
        <x:v>00:40.60</x:v>
      </x:c>
      <x:c r="O130" s="43" t="str">
        <x:v>00:40.60-00:42.80</x:v>
      </x:c>
      <x:c r="P130" s="43" t="str">
        <x:v>1000025871.mp4</x:v>
      </x:c>
      <x:c r="Q130" s="391" t="n">
        <x:f>SUMIFS('Specialisations'!$N$6:$N$527,'Specialisations'!$A$6:$A$527,A130,'Specialisations'!$B$6:$B$527,B130)</x:f>
        <x:v>20668600</x:v>
      </x:c>
      <x:c r="R130" s="392" t="n">
        <x:f>IF(M130=0,"",COUNTIFS('Specialisations'!$A$6:$A$527,A130,'Specialisations'!$B$6:$B$527,B130,'Specialisations'!$P$6:$P$527,"OK")/M130)</x:f>
        <x:v>1</x:v>
      </x:c>
      <x:c r="S130" s="494" t="n">
        <x:f>IF(Q130=0,"",SUMIFS('Specialisation Impact'!$K$19:$K$186,'Specialisation Impact'!$A$19:$A$186,A130,'Specialisation Impact'!$B$19:$B$186,B130))</x:f>
        <x:v>120</x:v>
      </x:c>
      <x:c r="T130" s="494" t="n">
        <x:f>IF(Q130=0,"",SUMIFS('Specialisation Impact'!$G$19:$G$186,'Specialisation Impact'!$A$19:$A$186,A130,'Specialisation Impact'!$B$19:$B$186,B130))</x:f>
        <x:v>0</x:v>
      </x:c>
      <x:c r="U130" s="429" t="n">
        <x:f>IF(COUNTIFS('Specialisation Impact'!$A$19:$A$186,A130,'Specialisation Impact'!$B$19:$B$186,B130,'Specialisation Impact'!$S$19:$S$186,"&gt;0")=0,"",SUMIFS('Specialisation Impact'!$S$19:$S$186,'Specialisation Impact'!$A$19:$A$186,A130,'Specialisation Impact'!$B$19:$B$186,B130))</x:f>
        <x:v>75.84415584415585</x:v>
      </x:c>
      <x:c r="V130" s="429" t="str">
        <x:f>IF(COUNTIFS('Specialisation Impact'!$A$19:$A$186,A130,'Specialisation Impact'!$B$19:$B$186,B130,'Specialisation Impact'!$V$19:$V$186,"&gt;0")=0,"",SUMIFS('Specialisation Impact'!$V$19:$V$186,'Specialisation Impact'!$A$19:$A$186,A130,'Specialisation Impact'!$B$19:$B$186,B130))</x:f>
      </x:c>
    </x:row>
    <x:row r="131" ht="45" customHeight="1">
      <x:c r="A131" s="43" t="str">
        <x:v>K197</x:v>
      </x:c>
      <x:c r="B131" s="43" t="str">
        <x:v>Бапм</x:v>
      </x:c>
      <x:c r="C131" s="43" t="n">
        <x:v>74200</x:v>
      </x:c>
      <x:c r="D131" s="44" t="n">
        <x:v>2.9610000000000003</x:v>
      </x:c>
      <x:c r="E131" s="44" t="n">
        <x:v>2.4659999999999997</x:v>
      </x:c>
      <x:c r="F131" s="44" t="n">
        <x:v>2.806</x:v>
      </x:c>
      <x:c r="G131" s="44" t="n">
        <x:v>0.4</x:v>
      </x:c>
      <x:c r="H131" s="44" t="n">
        <x:v>-0.4</x:v>
      </x:c>
      <x:c r="I131" s="30" t="str">
        <x:v>Not shown in recording</x:v>
      </x:c>
      <x:c r="J131" s="30" t="str">
        <x:v>Not shown in recording</x:v>
      </x:c>
      <x:c r="K131" s="30" t="str">
        <x:v>Eternal knights (Lv 50) — Thunder trample</x:v>
      </x:c>
      <x:c r="L131" s="30" t="str">
        <x:v>Not shown in recording</x:v>
      </x:c>
      <x:c r="M131" s="43" t="n">
        <x:v>1</x:v>
      </x:c>
      <x:c r="N131" s="43" t="str">
        <x:v>00:48.20</x:v>
      </x:c>
      <x:c r="O131" s="43" t="str">
        <x:v>00:48.20-00:50.40</x:v>
      </x:c>
      <x:c r="P131" s="43" t="str">
        <x:v>1000025871.mp4</x:v>
      </x:c>
      <x:c r="Q131" s="391" t="n">
        <x:f>SUMIFS('Specialisations'!$N$6:$N$527,'Specialisations'!$A$6:$A$527,A131,'Specialisations'!$B$6:$B$527,B131)</x:f>
        <x:v>10334300</x:v>
      </x:c>
      <x:c r="R131" s="392" t="n">
        <x:f>IF(M131=0,"",COUNTIFS('Specialisations'!$A$6:$A$527,A131,'Specialisations'!$B$6:$B$527,B131,'Specialisations'!$P$6:$P$527,"OK")/M131)</x:f>
        <x:v>1</x:v>
      </x:c>
      <x:c r="S131" s="494" t="n">
        <x:f>IF(Q131=0,"",SUMIFS('Specialisation Impact'!$K$19:$K$186,'Specialisation Impact'!$A$19:$A$186,A131,'Specialisation Impact'!$B$19:$B$186,B131))</x:f>
        <x:v>60</x:v>
      </x:c>
      <x:c r="T131" s="494" t="n">
        <x:f>IF(Q131=0,"",SUMIFS('Specialisation Impact'!$G$19:$G$186,'Specialisation Impact'!$A$19:$A$186,A131,'Specialisation Impact'!$B$19:$B$186,B131))</x:f>
        <x:v>0</x:v>
      </x:c>
      <x:c r="U131" s="429" t="n">
        <x:f>IF(COUNTIFS('Specialisation Impact'!$A$19:$A$186,A131,'Specialisation Impact'!$B$19:$B$186,B131,'Specialisation Impact'!$S$19:$S$186,"&gt;0")=0,"",SUMIFS('Specialisation Impact'!$S$19:$S$186,'Specialisation Impact'!$A$19:$A$186,A131,'Specialisation Impact'!$B$19:$B$186,B131))</x:f>
        <x:v>29.48051948051948</x:v>
      </x:c>
      <x:c r="V131" s="429" t="str">
        <x:f>IF(COUNTIFS('Specialisation Impact'!$A$19:$A$186,A131,'Specialisation Impact'!$B$19:$B$186,B131,'Specialisation Impact'!$V$19:$V$186,"&gt;0")=0,"",SUMIFS('Specialisation Impact'!$V$19:$V$186,'Specialisation Impact'!$A$19:$A$186,A131,'Specialisation Impact'!$B$19:$B$186,B131))</x:f>
      </x:c>
    </x:row>
    <x:row r="132" ht="45" customHeight="1">
      <x:c r="A132" s="43" t="str">
        <x:v>K197</x:v>
      </x:c>
      <x:c r="B132" s="43" t="str">
        <x:v>Oiuuuuuuuuuuuuu</x:v>
      </x:c>
      <x:c r="C132" s="43" t="n">
        <x:v>178050</x:v>
      </x:c>
      <x:c r="D132" s="44" t="n">
        <x:v>3.6946</x:v>
      </x:c>
      <x:c r="E132" s="44" t="n">
        <x:v>2.866</x:v>
      </x:c>
      <x:c r="F132" s="44" t="n">
        <x:v>3.0210000000000004</x:v>
      </x:c>
      <x:c r="G132" s="44" t="n">
        <x:v>0.4375</x:v>
      </x:c>
      <x:c r="H132" s="44" t="n">
        <x:v>-0.415</x:v>
      </x:c>
      <x:c r="I132" s="30" t="str">
        <x:v>Destroyers (Lv 40) — Parry</x:v>
      </x:c>
      <x:c r="J132" s="30" t="str">
        <x:v>Elite bowmen (Lv 50) — Frost Arrow</x:v>
      </x:c>
      <x:c r="K132" s="30" t="str">
        <x:v>Not shown in recording</x:v>
      </x:c>
      <x:c r="L132" s="30" t="str">
        <x:v>Not shown in recording</x:v>
      </x:c>
      <x:c r="M132" s="43" t="n">
        <x:v>2</x:v>
      </x:c>
      <x:c r="N132" s="43" t="str">
        <x:v>00:57.10</x:v>
      </x:c>
      <x:c r="O132" s="43" t="str">
        <x:v>00:57.10-00:59.00</x:v>
      </x:c>
      <x:c r="P132" s="43" t="str">
        <x:v>1000025871.mp4</x:v>
      </x:c>
      <x:c r="Q132" s="391" t="n">
        <x:f>SUMIFS('Specialisations'!$N$6:$N$527,'Specialisations'!$A$6:$A$527,A132,'Specialisations'!$B$6:$B$527,B132)</x:f>
        <x:v>12578600</x:v>
      </x:c>
      <x:c r="R132" s="392" t="n">
        <x:f>IF(M132=0,"",COUNTIFS('Specialisations'!$A$6:$A$527,A132,'Specialisations'!$B$6:$B$527,B132,'Specialisations'!$P$6:$P$527,"OK")/M132)</x:f>
        <x:v>1</x:v>
      </x:c>
      <x:c r="S132" s="494" t="n">
        <x:f>IF(Q132=0,"",SUMIFS('Specialisation Impact'!$K$19:$K$186,'Specialisation Impact'!$A$19:$A$186,A132,'Specialisation Impact'!$B$19:$B$186,B132))</x:f>
        <x:v>60</x:v>
      </x:c>
      <x:c r="T132" s="494" t="n">
        <x:f>IF(Q132=0,"",SUMIFS('Specialisation Impact'!$G$19:$G$186,'Specialisation Impact'!$A$19:$A$186,A132,'Specialisation Impact'!$B$19:$B$186,B132))</x:f>
        <x:v>-27.74</x:v>
      </x:c>
      <x:c r="U132" s="429" t="n">
        <x:f>IF(COUNTIFS('Specialisation Impact'!$A$19:$A$186,A132,'Specialisation Impact'!$B$19:$B$186,B132,'Specialisation Impact'!$S$19:$S$186,"&gt;0")=0,"",SUMIFS('Specialisation Impact'!$S$19:$S$186,'Specialisation Impact'!$A$19:$A$186,A132,'Specialisation Impact'!$B$19:$B$186,B132))</x:f>
        <x:v>29.48051948051948</x:v>
      </x:c>
      <x:c r="V132" s="429" t="n">
        <x:f>IF(COUNTIFS('Specialisation Impact'!$A$19:$A$186,A132,'Specialisation Impact'!$B$19:$B$186,B132,'Specialisation Impact'!$V$19:$V$186,"&gt;0")=0,"",SUMIFS('Specialisation Impact'!$V$19:$V$186,'Specialisation Impact'!$A$19:$A$186,A132,'Specialisation Impact'!$B$19:$B$186,B132))</x:f>
        <x:v>29.48717948717949</x:v>
      </x:c>
    </x:row>
    <x:row r="133" ht="45" customHeight="1">
      <x:c r="A133" s="43" t="str">
        <x:v>K197</x:v>
      </x:c>
      <x:c r="B133" s="43" t="str">
        <x:v>々нυηтєя々</x:v>
      </x:c>
      <x:c r="C133" s="43" t="n">
        <x:v>84200</x:v>
      </x:c>
      <x:c r="D133" s="44" t="n">
        <x:v>3.4471</x:v>
      </x:c>
      <x:c r="E133" s="44" t="n">
        <x:v>2.311</x:v>
      </x:c>
      <x:c r="F133" s="44" t="n">
        <x:v>2.821</x:v>
      </x:c>
      <x:c r="G133" s="44" t="n">
        <x:v>0.415</x:v>
      </x:c>
      <x:c r="H133" s="44" t="n">
        <x:v>-0.415</x:v>
      </x:c>
      <x:c r="I133" s="30" t="str">
        <x:v>Not shown in recording</x:v>
      </x:c>
      <x:c r="J133" s="30" t="str">
        <x:v>Elite bowmen (Lv 46) — Frost Arrow</x:v>
      </x:c>
      <x:c r="K133" s="30" t="str">
        <x:v>Not shown in recording</x:v>
      </x:c>
      <x:c r="L133" s="30" t="str">
        <x:v>Not shown in recording</x:v>
      </x:c>
      <x:c r="M133" s="43" t="n">
        <x:v>1</x:v>
      </x:c>
      <x:c r="N133" s="43" t="str">
        <x:v>01:03.50</x:v>
      </x:c>
      <x:c r="O133" s="43" t="str">
        <x:v>01:03.50-01:05.50</x:v>
      </x:c>
      <x:c r="P133" s="43" t="str">
        <x:v>1000025871.mp4</x:v>
      </x:c>
      <x:c r="Q133" s="391" t="n">
        <x:f>SUMIFS('Specialisations'!$N$6:$N$527,'Specialisations'!$A$6:$A$527,A133,'Specialisations'!$B$6:$B$527,B133)</x:f>
        <x:v>5004300</x:v>
      </x:c>
      <x:c r="R133" s="392" t="n">
        <x:f>IF(M133=0,"",COUNTIFS('Specialisations'!$A$6:$A$527,A133,'Specialisations'!$B$6:$B$527,B133,'Specialisations'!$P$6:$P$527,"OK")/M133)</x:f>
        <x:v>1</x:v>
      </x:c>
      <x:c r="S133" s="494" t="n">
        <x:f>IF(Q133=0,"",SUMIFS('Specialisation Impact'!$K$19:$K$186,'Specialisation Impact'!$A$19:$A$186,A133,'Specialisation Impact'!$B$19:$B$186,B133))</x:f>
        <x:v>45.13</x:v>
      </x:c>
      <x:c r="T133" s="494" t="n">
        <x:f>IF(Q133=0,"",SUMIFS('Specialisation Impact'!$G$19:$G$186,'Specialisation Impact'!$A$19:$A$186,A133,'Specialisation Impact'!$B$19:$B$186,B133))</x:f>
        <x:v>0</x:v>
      </x:c>
      <x:c r="U133" s="429" t="n">
        <x:f>IF(COUNTIFS('Specialisation Impact'!$A$19:$A$186,A133,'Specialisation Impact'!$B$19:$B$186,B133,'Specialisation Impact'!$S$19:$S$186,"&gt;0")=0,"",SUMIFS('Specialisation Impact'!$S$19:$S$186,'Specialisation Impact'!$A$19:$A$186,A133,'Specialisation Impact'!$B$19:$B$186,B133))</x:f>
        <x:v>9.935064935064934</x:v>
      </x:c>
      <x:c r="V133" s="429" t="str">
        <x:f>IF(COUNTIFS('Specialisation Impact'!$A$19:$A$186,A133,'Specialisation Impact'!$B$19:$B$186,B133,'Specialisation Impact'!$V$19:$V$186,"&gt;0")=0,"",SUMIFS('Specialisation Impact'!$V$19:$V$186,'Specialisation Impact'!$A$19:$A$186,A133,'Specialisation Impact'!$B$19:$B$186,B133))</x:f>
      </x:c>
    </x:row>
    <x:row r="134" ht="45" customHeight="1">
      <x:c r="A134" s="43" t="str">
        <x:v>K197</x:v>
      </x:c>
      <x:c r="B134" s="43" t="str">
        <x:v>Caramel</x:v>
      </x:c>
      <x:c r="C134" s="43" t="n">
        <x:v>74200</x:v>
      </x:c>
      <x:c r="D134" s="44" t="n">
        <x:v>2.7070999999999996</x:v>
      </x:c>
      <x:c r="E134" s="44" t="n">
        <x:v>1.896</x:v>
      </x:c>
      <x:c r="F134" s="44" t="n">
        <x:v>2.421</x:v>
      </x:c>
      <x:c r="G134" s="44" t="n">
        <x:v>0.4</x:v>
      </x:c>
      <x:c r="H134" s="44" t="n">
        <x:v>-0.4</x:v>
      </x:c>
      <x:c r="I134" s="30" t="str">
        <x:v>Not shown in recording</x:v>
      </x:c>
      <x:c r="J134" s="30" t="str">
        <x:v>Elite bowmen (Lv 50) — Frost Arrow</x:v>
      </x:c>
      <x:c r="K134" s="30" t="str">
        <x:v>Not shown in recording</x:v>
      </x:c>
      <x:c r="L134" s="30" t="str">
        <x:v>Not shown in recording</x:v>
      </x:c>
      <x:c r="M134" s="43" t="n">
        <x:v>1</x:v>
      </x:c>
      <x:c r="N134" s="43" t="str">
        <x:v>01:10.10</x:v>
      </x:c>
      <x:c r="O134" s="43" t="str">
        <x:v>01:10.10-01:12.50</x:v>
      </x:c>
      <x:c r="P134" s="43" t="str">
        <x:v>1000025871.mp4</x:v>
      </x:c>
      <x:c r="Q134" s="391" t="n">
        <x:f>SUMIFS('Specialisations'!$N$6:$N$527,'Specialisations'!$A$6:$A$527,A134,'Specialisations'!$B$6:$B$527,B134)</x:f>
        <x:v>10334300</x:v>
      </x:c>
      <x:c r="R134" s="392" t="n">
        <x:f>IF(M134=0,"",COUNTIFS('Specialisations'!$A$6:$A$527,A134,'Specialisations'!$B$6:$B$527,B134,'Specialisations'!$P$6:$P$527,"OK")/M134)</x:f>
        <x:v>1</x:v>
      </x:c>
      <x:c r="S134" s="494" t="n">
        <x:f>IF(Q134=0,"",SUMIFS('Specialisation Impact'!$K$19:$K$186,'Specialisation Impact'!$A$19:$A$186,A134,'Specialisation Impact'!$B$19:$B$186,B134))</x:f>
        <x:v>60</x:v>
      </x:c>
      <x:c r="T134" s="494" t="n">
        <x:f>IF(Q134=0,"",SUMIFS('Specialisation Impact'!$G$19:$G$186,'Specialisation Impact'!$A$19:$A$186,A134,'Specialisation Impact'!$B$19:$B$186,B134))</x:f>
        <x:v>0</x:v>
      </x:c>
      <x:c r="U134" s="429" t="n">
        <x:f>IF(COUNTIFS('Specialisation Impact'!$A$19:$A$186,A134,'Specialisation Impact'!$B$19:$B$186,B134,'Specialisation Impact'!$S$19:$S$186,"&gt;0")=0,"",SUMIFS('Specialisation Impact'!$S$19:$S$186,'Specialisation Impact'!$A$19:$A$186,A134,'Specialisation Impact'!$B$19:$B$186,B134))</x:f>
        <x:v>29.48051948051948</x:v>
      </x:c>
      <x:c r="V134" s="429" t="str">
        <x:f>IF(COUNTIFS('Specialisation Impact'!$A$19:$A$186,A134,'Specialisation Impact'!$B$19:$B$186,B134,'Specialisation Impact'!$V$19:$V$186,"&gt;0")=0,"",SUMIFS('Specialisation Impact'!$V$19:$V$186,'Specialisation Impact'!$A$19:$A$186,A134,'Specialisation Impact'!$B$19:$B$186,B134))</x:f>
      </x:c>
    </x:row>
    <x:row r="135" ht="45" customHeight="1">
      <x:c r="A135" s="43" t="str">
        <x:v>K197</x:v>
      </x:c>
      <x:c r="B135" s="43" t="str">
        <x:v>†ŁØRD†</x:v>
      </x:c>
      <x:c r="C135" s="43" t="n">
        <x:v>83850</x:v>
      </x:c>
      <x:c r="D135" s="44" t="n">
        <x:v>3.0995999999999997</x:v>
      </x:c>
      <x:c r="E135" s="44" t="n">
        <x:v>2.131</x:v>
      </x:c>
      <x:c r="F135" s="44" t="n">
        <x:v>2.406</x:v>
      </x:c>
      <x:c r="G135" s="44" t="n">
        <x:v>0.415</x:v>
      </x:c>
      <x:c r="H135" s="44" t="n">
        <x:v>-0.4</x:v>
      </x:c>
      <x:c r="I135" s="30" t="str">
        <x:v>Not shown in recording</x:v>
      </x:c>
      <x:c r="J135" s="30" t="str">
        <x:v>Elite bowmen (Lv 49) — Frost Arrow</x:v>
      </x:c>
      <x:c r="K135" s="30" t="str">
        <x:v>Not shown in recording</x:v>
      </x:c>
      <x:c r="L135" s="30" t="str">
        <x:v>Not shown in recording</x:v>
      </x:c>
      <x:c r="M135" s="43" t="n">
        <x:v>1</x:v>
      </x:c>
      <x:c r="N135" s="43" t="str">
        <x:v>01:15.90</x:v>
      </x:c>
      <x:c r="O135" s="43" t="str">
        <x:v>01:15.90-01:17.80</x:v>
      </x:c>
      <x:c r="P135" s="43" t="str">
        <x:v>1000025871.mp4</x:v>
      </x:c>
      <x:c r="Q135" s="391" t="n">
        <x:f>SUMIFS('Specialisations'!$N$6:$N$527,'Specialisations'!$A$6:$A$527,A135,'Specialisations'!$B$6:$B$527,B135)</x:f>
        <x:v>8334300</x:v>
      </x:c>
      <x:c r="R135" s="392" t="n">
        <x:f>IF(M135=0,"",COUNTIFS('Specialisations'!$A$6:$A$527,A135,'Specialisations'!$B$6:$B$527,B135,'Specialisations'!$P$6:$P$527,"OK")/M135)</x:f>
        <x:v>1</x:v>
      </x:c>
      <x:c r="S135" s="494" t="n">
        <x:f>IF(Q135=0,"",SUMIFS('Specialisation Impact'!$K$19:$K$186,'Specialisation Impact'!$A$19:$A$186,A135,'Specialisation Impact'!$B$19:$B$186,B135))</x:f>
        <x:v>55.2</x:v>
      </x:c>
      <x:c r="T135" s="494" t="n">
        <x:f>IF(Q135=0,"",SUMIFS('Specialisation Impact'!$G$19:$G$186,'Specialisation Impact'!$A$19:$A$186,A135,'Specialisation Impact'!$B$19:$B$186,B135))</x:f>
        <x:v>0</x:v>
      </x:c>
      <x:c r="U135" s="429" t="n">
        <x:f>IF(COUNTIFS('Specialisation Impact'!$A$19:$A$186,A135,'Specialisation Impact'!$B$19:$B$186,B135,'Specialisation Impact'!$S$19:$S$186,"&gt;0")=0,"",SUMIFS('Specialisation Impact'!$S$19:$S$186,'Specialisation Impact'!$A$19:$A$186,A135,'Specialisation Impact'!$B$19:$B$186,B135))</x:f>
        <x:v>17.402597402597404</x:v>
      </x:c>
      <x:c r="V135" s="429" t="str">
        <x:f>IF(COUNTIFS('Specialisation Impact'!$A$19:$A$186,A135,'Specialisation Impact'!$B$19:$B$186,B135,'Specialisation Impact'!$V$19:$V$186,"&gt;0")=0,"",SUMIFS('Specialisation Impact'!$V$19:$V$186,'Specialisation Impact'!$A$19:$A$186,A135,'Specialisation Impact'!$B$19:$B$186,B135))</x:f>
      </x:c>
    </x:row>
    <x:row r="136" ht="45" customHeight="1">
      <x:c r="A136" s="43" t="str">
        <x:v>K197</x:v>
      </x:c>
      <x:c r="B136" s="43" t="str">
        <x:v>RΣDΣYΣ</x:v>
      </x:c>
      <x:c r="C136" s="43" t="n">
        <x:v>117700</x:v>
      </x:c>
      <x:c r="D136" s="44" t="n">
        <x:v>3.111</x:v>
      </x:c>
      <x:c r="E136" s="44" t="n">
        <x:v>2.456</x:v>
      </x:c>
      <x:c r="F136" s="44" t="n">
        <x:v>2.891</x:v>
      </x:c>
      <x:c r="G136" s="44" t="n">
        <x:v>0.415</x:v>
      </x:c>
      <x:c r="H136" s="44" t="n">
        <x:v>-0.415</x:v>
      </x:c>
      <x:c r="I136" s="30" t="str">
        <x:v>Not shown in recording</x:v>
      </x:c>
      <x:c r="J136" s="30" t="str">
        <x:v>Elite bowmen (Lv 47) — Frost Arrow</x:v>
      </x:c>
      <x:c r="K136" s="30" t="str">
        <x:v>Not shown in recording</x:v>
      </x:c>
      <x:c r="L136" s="30" t="str">
        <x:v>Not shown in recording</x:v>
      </x:c>
      <x:c r="M136" s="43" t="n">
        <x:v>1</x:v>
      </x:c>
      <x:c r="N136" s="43" t="str">
        <x:v>01:23.80</x:v>
      </x:c>
      <x:c r="O136" s="43" t="str">
        <x:v>01:23.80-01:25.50</x:v>
      </x:c>
      <x:c r="P136" s="43" t="str">
        <x:v>1000025871.mp4</x:v>
      </x:c>
      <x:c r="Q136" s="391" t="n">
        <x:f>SUMIFS('Specialisations'!$N$6:$N$527,'Specialisations'!$A$6:$A$527,A136,'Specialisations'!$B$6:$B$527,B136)</x:f>
        <x:v>5884300</x:v>
      </x:c>
      <x:c r="R136" s="392" t="n">
        <x:f>IF(M136=0,"",COUNTIFS('Specialisations'!$A$6:$A$527,A136,'Specialisations'!$B$6:$B$527,B136,'Specialisations'!$P$6:$P$527,"OK")/M136)</x:f>
        <x:v>1</x:v>
      </x:c>
      <x:c r="S136" s="494" t="n">
        <x:f>IF(Q136=0,"",SUMIFS('Specialisation Impact'!$K$19:$K$186,'Specialisation Impact'!$A$19:$A$186,A136,'Specialisation Impact'!$B$19:$B$186,B136))</x:f>
        <x:v>48.38</x:v>
      </x:c>
      <x:c r="T136" s="494" t="n">
        <x:f>IF(Q136=0,"",SUMIFS('Specialisation Impact'!$G$19:$G$186,'Specialisation Impact'!$A$19:$A$186,A136,'Specialisation Impact'!$B$19:$B$186,B136))</x:f>
        <x:v>0</x:v>
      </x:c>
      <x:c r="U136" s="429" t="n">
        <x:f>IF(COUNTIFS('Specialisation Impact'!$A$19:$A$186,A136,'Specialisation Impact'!$B$19:$B$186,B136,'Specialisation Impact'!$S$19:$S$186,"&gt;0")=0,"",SUMIFS('Specialisation Impact'!$S$19:$S$186,'Specialisation Impact'!$A$19:$A$186,A136,'Specialisation Impact'!$B$19:$B$186,B136))</x:f>
        <x:v>13.311688311688311</x:v>
      </x:c>
      <x:c r="V136" s="429" t="str">
        <x:f>IF(COUNTIFS('Specialisation Impact'!$A$19:$A$186,A136,'Specialisation Impact'!$B$19:$B$186,B136,'Specialisation Impact'!$V$19:$V$186,"&gt;0")=0,"",SUMIFS('Specialisation Impact'!$V$19:$V$186,'Specialisation Impact'!$A$19:$A$186,A136,'Specialisation Impact'!$B$19:$B$186,B136))</x:f>
      </x:c>
    </x:row>
    <x:row r="137" ht="45" customHeight="1">
      <x:c r="A137" s="43" t="str">
        <x:v>K197</x:v>
      </x:c>
      <x:c r="B137" s="43" t="str">
        <x:v>Loong</x:v>
      </x:c>
      <x:c r="C137" s="43" t="n">
        <x:v>182650</x:v>
      </x:c>
      <x:c r="D137" s="44" t="n">
        <x:v>3.6946</x:v>
      </x:c>
      <x:c r="E137" s="44" t="n">
        <x:v>2.5435</x:v>
      </x:c>
      <x:c r="F137" s="44" t="n">
        <x:v>2.9585000000000004</x:v>
      </x:c>
      <x:c r="G137" s="44" t="n">
        <x:v>0.4375</x:v>
      </x:c>
      <x:c r="H137" s="44" t="n">
        <x:v>-0.4375</x:v>
      </x:c>
      <x:c r="I137" s="30" t="str">
        <x:v>Destroyers (Lv 49) — Parry</x:v>
      </x:c>
      <x:c r="J137" s="30" t="str">
        <x:v>Elite bowmen (Lv 50) — Frost Arrow</x:v>
      </x:c>
      <x:c r="K137" s="30" t="str">
        <x:v>Not shown in recording</x:v>
      </x:c>
      <x:c r="L137" s="30" t="str">
        <x:v>Not shown in recording</x:v>
      </x:c>
      <x:c r="M137" s="43" t="n">
        <x:v>2</x:v>
      </x:c>
      <x:c r="N137" s="43" t="str">
        <x:v>01:32.70</x:v>
      </x:c>
      <x:c r="O137" s="43" t="str">
        <x:v>01:32.70-01:34.50</x:v>
      </x:c>
      <x:c r="P137" s="43" t="str">
        <x:v>1000025871.mp4</x:v>
      </x:c>
      <x:c r="Q137" s="391" t="n">
        <x:f>SUMIFS('Specialisations'!$N$6:$N$527,'Specialisations'!$A$6:$A$527,A137,'Specialisations'!$B$6:$B$527,B137)</x:f>
        <x:v>18668600</x:v>
      </x:c>
      <x:c r="R137" s="392" t="n">
        <x:f>IF(M137=0,"",COUNTIFS('Specialisations'!$A$6:$A$527,A137,'Specialisations'!$B$6:$B$527,B137,'Specialisations'!$P$6:$P$527,"OK")/M137)</x:f>
        <x:v>1</x:v>
      </x:c>
      <x:c r="S137" s="494" t="n">
        <x:f>IF(Q137=0,"",SUMIFS('Specialisation Impact'!$K$19:$K$186,'Specialisation Impact'!$A$19:$A$186,A137,'Specialisation Impact'!$B$19:$B$186,B137))</x:f>
        <x:v>60</x:v>
      </x:c>
      <x:c r="T137" s="494" t="n">
        <x:f>IF(Q137=0,"",SUMIFS('Specialisation Impact'!$G$19:$G$186,'Specialisation Impact'!$A$19:$A$186,A137,'Specialisation Impact'!$B$19:$B$186,B137))</x:f>
        <x:v>-55.2</x:v>
      </x:c>
      <x:c r="U137" s="429" t="n">
        <x:f>IF(COUNTIFS('Specialisation Impact'!$A$19:$A$186,A137,'Specialisation Impact'!$B$19:$B$186,B137,'Specialisation Impact'!$S$19:$S$186,"&gt;0")=0,"",SUMIFS('Specialisation Impact'!$S$19:$S$186,'Specialisation Impact'!$A$19:$A$186,A137,'Specialisation Impact'!$B$19:$B$186,B137))</x:f>
        <x:v>29.48051948051948</x:v>
      </x:c>
      <x:c r="V137" s="429" t="n">
        <x:f>IF(COUNTIFS('Specialisation Impact'!$A$19:$A$186,A137,'Specialisation Impact'!$B$19:$B$186,B137,'Specialisation Impact'!$V$19:$V$186,"&gt;0")=0,"",SUMIFS('Specialisation Impact'!$V$19:$V$186,'Specialisation Impact'!$A$19:$A$186,A137,'Specialisation Impact'!$B$19:$B$186,B137))</x:f>
        <x:v>84.18803418803418</x:v>
      </x:c>
    </x:row>
    <x:row r="138" ht="45" customHeight="1">
      <x:c r="A138" s="43" t="str">
        <x:v>K197</x:v>
      </x:c>
      <x:c r="B138" s="43" t="str">
        <x:v>LUIGUI</x:v>
      </x:c>
      <x:c r="C138" s="43" t="n">
        <x:v>72350</x:v>
      </x:c>
      <x:c r="D138" s="44" t="n">
        <x:v>2.8171</x:v>
      </x:c>
      <x:c r="E138" s="44" t="n">
        <x:v>2.106</x:v>
      </x:c>
      <x:c r="F138" s="44" t="n">
        <x:v>2.256</x:v>
      </x:c>
      <x:c r="G138" s="44" t="n">
        <x:v>0.375</x:v>
      </x:c>
      <x:c r="H138" s="44" t="n">
        <x:v>-0.375</x:v>
      </x:c>
      <x:c r="I138" s="30" t="str">
        <x:v>Not shown in recording</x:v>
      </x:c>
      <x:c r="J138" s="30" t="str">
        <x:v>Elite bowmen (Lv 40) — Frost Arrow</x:v>
      </x:c>
      <x:c r="K138" s="30" t="str">
        <x:v>Not shown in recording</x:v>
      </x:c>
      <x:c r="L138" s="30" t="str">
        <x:v>Not shown in recording</x:v>
      </x:c>
      <x:c r="M138" s="43" t="n">
        <x:v>1</x:v>
      </x:c>
      <x:c r="N138" s="43" t="str">
        <x:v>01:38.40</x:v>
      </x:c>
      <x:c r="O138" s="43" t="str">
        <x:v>01:38.40-01:40.10</x:v>
      </x:c>
      <x:c r="P138" s="43" t="str">
        <x:v>1000025871.mp4</x:v>
      </x:c>
      <x:c r="Q138" s="391" t="n">
        <x:f>SUMIFS('Specialisations'!$N$6:$N$527,'Specialisations'!$A$6:$A$527,A138,'Specialisations'!$B$6:$B$527,B138)</x:f>
        <x:v>2244300</x:v>
      </x:c>
      <x:c r="R138" s="392" t="n">
        <x:f>IF(M138=0,"",COUNTIFS('Specialisations'!$A$6:$A$527,A138,'Specialisations'!$B$6:$B$527,B138,'Specialisations'!$P$6:$P$527,"OK")/M138)</x:f>
        <x:v>1</x:v>
      </x:c>
      <x:c r="S138" s="494" t="n">
        <x:f>IF(Q138=0,"",SUMIFS('Specialisation Impact'!$K$19:$K$186,'Specialisation Impact'!$A$19:$A$186,A138,'Specialisation Impact'!$B$19:$B$186,B138))</x:f>
        <x:v>27.74</x:v>
      </x:c>
      <x:c r="T138" s="494" t="n">
        <x:f>IF(Q138=0,"",SUMIFS('Specialisation Impact'!$G$19:$G$186,'Specialisation Impact'!$A$19:$A$186,A138,'Specialisation Impact'!$B$19:$B$186,B138))</x:f>
        <x:v>0</x:v>
      </x:c>
      <x:c r="U138" s="429" t="n">
        <x:f>IF(COUNTIFS('Specialisation Impact'!$A$19:$A$186,A138,'Specialisation Impact'!$B$19:$B$186,B138,'Specialisation Impact'!$S$19:$S$186,"&gt;0")=0,"",SUMIFS('Specialisation Impact'!$S$19:$S$186,'Specialisation Impact'!$A$19:$A$186,A138,'Specialisation Impact'!$B$19:$B$186,B138))</x:f>
        <x:v>3.2467532467532467</x:v>
      </x:c>
      <x:c r="V138" s="429" t="str">
        <x:f>IF(COUNTIFS('Specialisation Impact'!$A$19:$A$186,A138,'Specialisation Impact'!$B$19:$B$186,B138,'Specialisation Impact'!$V$19:$V$186,"&gt;0")=0,"",SUMIFS('Specialisation Impact'!$V$19:$V$186,'Specialisation Impact'!$A$19:$A$186,A138,'Specialisation Impact'!$B$19:$B$186,B138))</x:f>
      </x:c>
    </x:row>
    <x:row r="139" ht="45" customHeight="1">
      <x:c r="A139" s="43" t="str">
        <x:v>K197</x:v>
      </x:c>
      <x:c r="B139" s="43" t="str">
        <x:v>BocchiT__T</x:v>
      </x:c>
      <x:c r="C139" s="43" t="n">
        <x:v>84200</x:v>
      </x:c>
      <x:c r="D139" s="44" t="n">
        <x:v>3.2420999999999998</x:v>
      </x:c>
      <x:c r="E139" s="44" t="n">
        <x:v>2.256</x:v>
      </x:c>
      <x:c r="F139" s="44" t="n">
        <x:v>2.376</x:v>
      </x:c>
      <x:c r="G139" s="44" t="n">
        <x:v>0.4375</x:v>
      </x:c>
      <x:c r="H139" s="44" t="n">
        <x:v>-0.415</x:v>
      </x:c>
      <x:c r="I139" s="30" t="str">
        <x:v>Not shown in recording</x:v>
      </x:c>
      <x:c r="J139" s="30" t="str">
        <x:v>Elite bowmen (Lv 50) — Frost Arrow</x:v>
      </x:c>
      <x:c r="K139" s="30" t="str">
        <x:v>Not shown in recording</x:v>
      </x:c>
      <x:c r="L139" s="30" t="str">
        <x:v>Not shown in recording</x:v>
      </x:c>
      <x:c r="M139" s="43" t="n">
        <x:v>1</x:v>
      </x:c>
      <x:c r="N139" s="43" t="str">
        <x:v>01:46.90</x:v>
      </x:c>
      <x:c r="O139" s="43" t="str">
        <x:v>01:46.90-01:49.00</x:v>
      </x:c>
      <x:c r="P139" s="43" t="str">
        <x:v>1000025871.mp4</x:v>
      </x:c>
      <x:c r="Q139" s="391" t="n">
        <x:f>SUMIFS('Specialisations'!$N$6:$N$527,'Specialisations'!$A$6:$A$527,A139,'Specialisations'!$B$6:$B$527,B139)</x:f>
        <x:v>10334300</x:v>
      </x:c>
      <x:c r="R139" s="392" t="n">
        <x:f>IF(M139=0,"",COUNTIFS('Specialisations'!$A$6:$A$527,A139,'Specialisations'!$B$6:$B$527,B139,'Specialisations'!$P$6:$P$527,"OK")/M139)</x:f>
        <x:v>1</x:v>
      </x:c>
      <x:c r="S139" s="494" t="n">
        <x:f>IF(Q139=0,"",SUMIFS('Specialisation Impact'!$K$19:$K$186,'Specialisation Impact'!$A$19:$A$186,A139,'Specialisation Impact'!$B$19:$B$186,B139))</x:f>
        <x:v>60</x:v>
      </x:c>
      <x:c r="T139" s="494" t="n">
        <x:f>IF(Q139=0,"",SUMIFS('Specialisation Impact'!$G$19:$G$186,'Specialisation Impact'!$A$19:$A$186,A139,'Specialisation Impact'!$B$19:$B$186,B139))</x:f>
        <x:v>0</x:v>
      </x:c>
      <x:c r="U139" s="429" t="n">
        <x:f>IF(COUNTIFS('Specialisation Impact'!$A$19:$A$186,A139,'Specialisation Impact'!$B$19:$B$186,B139,'Specialisation Impact'!$S$19:$S$186,"&gt;0")=0,"",SUMIFS('Specialisation Impact'!$S$19:$S$186,'Specialisation Impact'!$A$19:$A$186,A139,'Specialisation Impact'!$B$19:$B$186,B139))</x:f>
        <x:v>29.48051948051948</x:v>
      </x:c>
      <x:c r="V139" s="429" t="str">
        <x:f>IF(COUNTIFS('Specialisation Impact'!$A$19:$A$186,A139,'Specialisation Impact'!$B$19:$B$186,B139,'Specialisation Impact'!$V$19:$V$186,"&gt;0")=0,"",SUMIFS('Specialisation Impact'!$V$19:$V$186,'Specialisation Impact'!$A$19:$A$186,A139,'Specialisation Impact'!$B$19:$B$186,B139))</x:f>
      </x:c>
    </x:row>
    <x:row r="140" ht="45" customHeight="1">
      <x:c r="A140" s="43" t="str">
        <x:v>K197</x:v>
      </x:c>
      <x:c r="B140" s="43" t="str">
        <x:v>-GAMERMAN-</x:v>
      </x:c>
      <x:c r="C140" s="43" t="n">
        <x:v>381566</x:v>
      </x:c>
      <x:c r="D140" s="44" t="n">
        <x:v>3.9285</x:v>
      </x:c>
      <x:c r="E140" s="44" t="n">
        <x:v>4.2410000000000005</x:v>
      </x:c>
      <x:c r="F140" s="44" t="n">
        <x:v>3.641</x:v>
      </x:c>
      <x:c r="G140" s="44" t="n">
        <x:v>0.4375</x:v>
      </x:c>
      <x:c r="H140" s="44" t="n">
        <x:v>-0.475</x:v>
      </x:c>
      <x:c r="I140" s="30" t="str">
        <x:v>Not shown in recording</x:v>
      </x:c>
      <x:c r="J140" s="30" t="str">
        <x:v>Elite bowmen (Lv 48) — Frost Arrow</x:v>
      </x:c>
      <x:c r="K140" s="30" t="str">
        <x:v>Eternal knights (Lv 49) — Thunder trample
Storm cavalry (Lv 50) — Mounted Archery</x:v>
      </x:c>
      <x:c r="L140" s="30" t="str">
        <x:v>Manglers (Lv 50) — Highly toxic</x:v>
      </x:c>
      <x:c r="M140" s="43" t="n">
        <x:v>4</x:v>
      </x:c>
      <x:c r="N140" s="43" t="str">
        <x:v>01:57.40</x:v>
      </x:c>
      <x:c r="O140" s="43" t="str">
        <x:v>01:57.40-01:59.30</x:v>
      </x:c>
      <x:c r="P140" s="43" t="str">
        <x:v>1000025871.mp4</x:v>
      </x:c>
      <x:c r="Q140" s="391" t="n">
        <x:f>SUMIFS('Specialisations'!$N$6:$N$527,'Specialisations'!$A$6:$A$527,A140,'Specialisations'!$B$6:$B$527,B140)</x:f>
        <x:v>35937200</x:v>
      </x:c>
      <x:c r="R140" s="392" t="n">
        <x:f>IF(M140=0,"",COUNTIFS('Specialisations'!$A$6:$A$527,A140,'Specialisations'!$B$6:$B$527,B140,'Specialisations'!$P$6:$P$527,"OK")/M140)</x:f>
        <x:v>1</x:v>
      </x:c>
      <x:c r="S140" s="494" t="n">
        <x:f>IF(Q140=0,"",SUMIFS('Specialisation Impact'!$K$19:$K$186,'Specialisation Impact'!$A$19:$A$186,A140,'Specialisation Impact'!$B$19:$B$186,B140))</x:f>
        <x:v>226.94</x:v>
      </x:c>
      <x:c r="T140" s="494" t="n">
        <x:f>IF(Q140=0,"",SUMIFS('Specialisation Impact'!$G$19:$G$186,'Specialisation Impact'!$A$19:$A$186,A140,'Specialisation Impact'!$B$19:$B$186,B140))</x:f>
        <x:v>0</x:v>
      </x:c>
      <x:c r="U140" s="429" t="n">
        <x:f>IF(COUNTIFS('Specialisation Impact'!$A$19:$A$186,A140,'Specialisation Impact'!$B$19:$B$186,B140,'Specialisation Impact'!$S$19:$S$186,"&gt;0")=0,"",SUMIFS('Specialisation Impact'!$S$19:$S$186,'Specialisation Impact'!$A$19:$A$186,A140,'Specialisation Impact'!$B$19:$B$186,B140))</x:f>
        <x:v>98.7012987012987</x:v>
      </x:c>
      <x:c r="V140" s="429" t="str">
        <x:f>IF(COUNTIFS('Specialisation Impact'!$A$19:$A$186,A140,'Specialisation Impact'!$B$19:$B$186,B140,'Specialisation Impact'!$V$19:$V$186,"&gt;0")=0,"",SUMIFS('Specialisation Impact'!$V$19:$V$186,'Specialisation Impact'!$A$19:$A$186,A140,'Specialisation Impact'!$B$19:$B$186,B140))</x:f>
      </x:c>
    </x:row>
    <x:row r="141" ht="45" customHeight="1">
      <x:c r="A141" s="43" t="str">
        <x:v>K197</x:v>
      </x:c>
      <x:c r="B141" s="43" t="str">
        <x:v>ღbaby买买买ღ</x:v>
      </x:c>
      <x:c r="C141" s="43" t="n">
        <x:v>146450</x:v>
      </x:c>
      <x:c r="D141" s="44" t="n">
        <x:v>3.5395999999999996</x:v>
      </x:c>
      <x:c r="E141" s="44" t="n">
        <x:v>2.511</x:v>
      </x:c>
      <x:c r="F141" s="44" t="n">
        <x:v>3.0060000000000002</x:v>
      </x:c>
      <x:c r="G141" s="44" t="n">
        <x:v>0.4375</x:v>
      </x:c>
      <x:c r="H141" s="44" t="n">
        <x:v>-0.4375</x:v>
      </x:c>
      <x:c r="I141" s="30" t="str">
        <x:v>Not shown in recording</x:v>
      </x:c>
      <x:c r="J141" s="30" t="str">
        <x:v>Elite bowmen (Lv 50) — Frost Arrow</x:v>
      </x:c>
      <x:c r="K141" s="30" t="str">
        <x:v>Eternal knights</x:v>
      </x:c>
      <x:c r="L141" s="30" t="str">
        <x:v>Not shown in recording</x:v>
      </x:c>
      <x:c r="M141" s="43" t="n">
        <x:v>2</x:v>
      </x:c>
      <x:c r="N141" s="43" t="str">
        <x:v>02:05.40</x:v>
      </x:c>
      <x:c r="O141" s="43" t="str">
        <x:v>02:05.40-02:07.20</x:v>
      </x:c>
      <x:c r="P141" s="43" t="str">
        <x:v>1000025871.mp4</x:v>
      </x:c>
      <x:c r="Q141" s="391" t="n">
        <x:f>SUMIFS('Specialisations'!$N$6:$N$527,'Specialisations'!$A$6:$A$527,A141,'Specialisations'!$B$6:$B$527,B141)</x:f>
        <x:v>10334300</x:v>
      </x:c>
      <x:c r="R141" s="392" t="n">
        <x:f>IF(M141=0,"",COUNTIFS('Specialisations'!$A$6:$A$527,A141,'Specialisations'!$B$6:$B$527,B141,'Specialisations'!$P$6:$P$527,"OK")/M141)</x:f>
        <x:v>0.5</x:v>
      </x:c>
      <x:c r="S141" s="494" t="n">
        <x:f>IF(Q141=0,"",SUMIFS('Specialisation Impact'!$K$19:$K$186,'Specialisation Impact'!$A$19:$A$186,A141,'Specialisation Impact'!$B$19:$B$186,B141))</x:f>
        <x:v>60</x:v>
      </x:c>
      <x:c r="T141" s="494" t="n">
        <x:f>IF(Q141=0,"",SUMIFS('Specialisation Impact'!$G$19:$G$186,'Specialisation Impact'!$A$19:$A$186,A141,'Specialisation Impact'!$B$19:$B$186,B141))</x:f>
        <x:v>0</x:v>
      </x:c>
      <x:c r="U141" s="429" t="n">
        <x:f>IF(COUNTIFS('Specialisation Impact'!$A$19:$A$186,A141,'Specialisation Impact'!$B$19:$B$186,B141,'Specialisation Impact'!$S$19:$S$186,"&gt;0")=0,"",SUMIFS('Specialisation Impact'!$S$19:$S$186,'Specialisation Impact'!$A$19:$A$186,A141,'Specialisation Impact'!$B$19:$B$186,B141))</x:f>
        <x:v>29.48051948051948</x:v>
      </x:c>
      <x:c r="V141" s="429" t="str">
        <x:f>IF(COUNTIFS('Specialisation Impact'!$A$19:$A$186,A141,'Specialisation Impact'!$B$19:$B$186,B141,'Specialisation Impact'!$V$19:$V$186,"&gt;0")=0,"",SUMIFS('Specialisation Impact'!$V$19:$V$186,'Specialisation Impact'!$A$19:$A$186,A141,'Specialisation Impact'!$B$19:$B$186,B141))</x:f>
      </x:c>
    </x:row>
    <x:row r="142" ht="45" customHeight="1">
      <x:c r="A142" s="43" t="str">
        <x:v>K197</x:v>
      </x:c>
      <x:c r="B142" s="43" t="str">
        <x:v>Viking</x:v>
      </x:c>
      <x:c r="C142" s="43" t="n">
        <x:v>120000</x:v>
      </x:c>
      <x:c r="D142" s="44" t="n">
        <x:v>3.2521</x:v>
      </x:c>
      <x:c r="E142" s="44" t="n">
        <x:v>2.376</x:v>
      </x:c>
      <x:c r="F142" s="44" t="n">
        <x:v>2.806</x:v>
      </x:c>
      <x:c r="G142" s="44" t="n">
        <x:v>0.415</x:v>
      </x:c>
      <x:c r="H142" s="44" t="n">
        <x:v>-0.415</x:v>
      </x:c>
      <x:c r="I142" s="30" t="str">
        <x:v>Not shown in recording</x:v>
      </x:c>
      <x:c r="J142" s="30" t="str">
        <x:v>Elite bowmen (Lv 50) — Frost Arrow</x:v>
      </x:c>
      <x:c r="K142" s="30" t="str">
        <x:v>Not shown in recording</x:v>
      </x:c>
      <x:c r="L142" s="30" t="str">
        <x:v>Not shown in recording</x:v>
      </x:c>
      <x:c r="M142" s="43" t="n">
        <x:v>1</x:v>
      </x:c>
      <x:c r="N142" s="43" t="str">
        <x:v>02:14.10</x:v>
      </x:c>
      <x:c r="O142" s="43" t="str">
        <x:v>02:14.10-02:15.80</x:v>
      </x:c>
      <x:c r="P142" s="43" t="str">
        <x:v>1000025871.mp4</x:v>
      </x:c>
      <x:c r="Q142" s="391" t="n">
        <x:f>SUMIFS('Specialisations'!$N$6:$N$527,'Specialisations'!$A$6:$A$527,A142,'Specialisations'!$B$6:$B$527,B142)</x:f>
        <x:v>10334300</x:v>
      </x:c>
      <x:c r="R142" s="392" t="n">
        <x:f>IF(M142=0,"",COUNTIFS('Specialisations'!$A$6:$A$527,A142,'Specialisations'!$B$6:$B$527,B142,'Specialisations'!$P$6:$P$527,"OK")/M142)</x:f>
        <x:v>1</x:v>
      </x:c>
      <x:c r="S142" s="494" t="n">
        <x:f>IF(Q142=0,"",SUMIFS('Specialisation Impact'!$K$19:$K$186,'Specialisation Impact'!$A$19:$A$186,A142,'Specialisation Impact'!$B$19:$B$186,B142))</x:f>
        <x:v>60</x:v>
      </x:c>
      <x:c r="T142" s="494" t="n">
        <x:f>IF(Q142=0,"",SUMIFS('Specialisation Impact'!$G$19:$G$186,'Specialisation Impact'!$A$19:$A$186,A142,'Specialisation Impact'!$B$19:$B$186,B142))</x:f>
        <x:v>0</x:v>
      </x:c>
      <x:c r="U142" s="429" t="n">
        <x:f>IF(COUNTIFS('Specialisation Impact'!$A$19:$A$186,A142,'Specialisation Impact'!$B$19:$B$186,B142,'Specialisation Impact'!$S$19:$S$186,"&gt;0")=0,"",SUMIFS('Specialisation Impact'!$S$19:$S$186,'Specialisation Impact'!$A$19:$A$186,A142,'Specialisation Impact'!$B$19:$B$186,B142))</x:f>
        <x:v>29.48051948051948</x:v>
      </x:c>
      <x:c r="V142" s="429" t="str">
        <x:f>IF(COUNTIFS('Specialisation Impact'!$A$19:$A$186,A142,'Specialisation Impact'!$B$19:$B$186,B142,'Specialisation Impact'!$V$19:$V$186,"&gt;0")=0,"",SUMIFS('Specialisation Impact'!$V$19:$V$186,'Specialisation Impact'!$A$19:$A$186,A142,'Specialisation Impact'!$B$19:$B$186,B142))</x:f>
      </x:c>
    </x:row>
    <x:row r="143" ht="45" customHeight="1">
      <x:c r="A143" s="43" t="str">
        <x:v>K197</x:v>
      </x:c>
      <x:c r="B143" s="43" t="str">
        <x:v>ღ买买买babyღ</x:v>
      </x:c>
      <x:c r="C143" s="43" t="n">
        <x:v>124200</x:v>
      </x:c>
      <x:c r="D143" s="44" t="n">
        <x:v>3.6296</x:v>
      </x:c>
      <x:c r="E143" s="44" t="n">
        <x:v>2.5284999999999997</x:v>
      </x:c>
      <x:c r="F143" s="44" t="n">
        <x:v>2.7935000000000003</x:v>
      </x:c>
      <x:c r="G143" s="44" t="n">
        <x:v>0.4375</x:v>
      </x:c>
      <x:c r="H143" s="44" t="n">
        <x:v>-0.1125</x:v>
      </x:c>
      <x:c r="I143" s="30" t="str">
        <x:v>Destroyers (Lv 30) — Parry</x:v>
      </x:c>
      <x:c r="J143" s="30" t="str">
        <x:v>Elite bowmen (Lv 50) — Frost Arrow</x:v>
      </x:c>
      <x:c r="K143" s="30" t="str">
        <x:v>Not shown in recording</x:v>
      </x:c>
      <x:c r="L143" s="30" t="str">
        <x:v>Not shown in recording</x:v>
      </x:c>
      <x:c r="M143" s="43" t="n">
        <x:v>2</x:v>
      </x:c>
      <x:c r="N143" s="43" t="str">
        <x:v>02:22.50</x:v>
      </x:c>
      <x:c r="O143" s="43" t="str">
        <x:v>02:22.50-02:24.10</x:v>
      </x:c>
      <x:c r="P143" s="43" t="str">
        <x:v>1000025871.mp4</x:v>
      </x:c>
      <x:c r="Q143" s="391" t="n">
        <x:f>SUMIFS('Specialisations'!$N$6:$N$527,'Specialisations'!$A$6:$A$527,A143,'Specialisations'!$B$6:$B$527,B143)</x:f>
        <x:v>11108600</x:v>
      </x:c>
      <x:c r="R143" s="392" t="n">
        <x:f>IF(M143=0,"",COUNTIFS('Specialisations'!$A$6:$A$527,A143,'Specialisations'!$B$6:$B$527,B143,'Specialisations'!$P$6:$P$527,"OK")/M143)</x:f>
        <x:v>1</x:v>
      </x:c>
      <x:c r="S143" s="494" t="n">
        <x:f>IF(Q143=0,"",SUMIFS('Specialisation Impact'!$K$19:$K$186,'Specialisation Impact'!$A$19:$A$186,A143,'Specialisation Impact'!$B$19:$B$186,B143))</x:f>
        <x:v>60</x:v>
      </x:c>
      <x:c r="T143" s="494" t="n">
        <x:f>IF(Q143=0,"",SUMIFS('Specialisation Impact'!$G$19:$G$186,'Specialisation Impact'!$A$19:$A$186,A143,'Specialisation Impact'!$B$19:$B$186,B143))</x:f>
        <x:v>-10.82</x:v>
      </x:c>
      <x:c r="U143" s="429" t="n">
        <x:f>IF(COUNTIFS('Specialisation Impact'!$A$19:$A$186,A143,'Specialisation Impact'!$B$19:$B$186,B143,'Specialisation Impact'!$S$19:$S$186,"&gt;0")=0,"",SUMIFS('Specialisation Impact'!$S$19:$S$186,'Specialisation Impact'!$A$19:$A$186,A143,'Specialisation Impact'!$B$19:$B$186,B143))</x:f>
        <x:v>29.48051948051948</x:v>
      </x:c>
      <x:c r="V143" s="429" t="n">
        <x:f>IF(COUNTIFS('Specialisation Impact'!$A$19:$A$186,A143,'Specialisation Impact'!$B$19:$B$186,B143,'Specialisation Impact'!$V$19:$V$186,"&gt;0")=0,"",SUMIFS('Specialisation Impact'!$V$19:$V$186,'Specialisation Impact'!$A$19:$A$186,A143,'Specialisation Impact'!$B$19:$B$186,B143))</x:f>
        <x:v>8.547008547008547</x:v>
      </x:c>
    </x:row>
    <x:row r="144" ht="45" customHeight="1">
      <x:c r="A144" s="43" t="str">
        <x:v>K197</x:v>
      </x:c>
      <x:c r="B144" s="43" t="str">
        <x:v>优乐美</x:v>
      </x:c>
      <x:c r="C144" s="43" t="n">
        <x:v>77250</x:v>
      </x:c>
      <x:c r="D144" s="44" t="n">
        <x:v>3.281</x:v>
      </x:c>
      <x:c r="E144" s="44" t="n">
        <x:v>2.616</x:v>
      </x:c>
      <x:c r="F144" s="44" t="n">
        <x:v>2.9360000000000004</x:v>
      </x:c>
      <x:c r="G144" s="44" t="n">
        <x:v>0.415</x:v>
      </x:c>
      <x:c r="H144" s="44" t="n">
        <x:v>-0.4</x:v>
      </x:c>
      <x:c r="I144" s="30" t="str">
        <x:v>Not shown in recording</x:v>
      </x:c>
      <x:c r="J144" s="30" t="str">
        <x:v>Not shown in recording</x:v>
      </x:c>
      <x:c r="K144" s="30" t="str">
        <x:v>Eternal knights (Lv 50) — Thunder trample</x:v>
      </x:c>
      <x:c r="L144" s="30" t="str">
        <x:v>Not shown in recording</x:v>
      </x:c>
      <x:c r="M144" s="43" t="n">
        <x:v>1</x:v>
      </x:c>
      <x:c r="N144" s="43" t="str">
        <x:v>02:29.80</x:v>
      </x:c>
      <x:c r="O144" s="43" t="str">
        <x:v>02:29.80-02:31.30</x:v>
      </x:c>
      <x:c r="P144" s="43" t="str">
        <x:v>1000025871.mp4</x:v>
      </x:c>
      <x:c r="Q144" s="391" t="n">
        <x:f>SUMIFS('Specialisations'!$N$6:$N$527,'Specialisations'!$A$6:$A$527,A144,'Specialisations'!$B$6:$B$527,B144)</x:f>
        <x:v>10334300</x:v>
      </x:c>
      <x:c r="R144" s="392" t="n">
        <x:f>IF(M144=0,"",COUNTIFS('Specialisations'!$A$6:$A$527,A144,'Specialisations'!$B$6:$B$527,B144,'Specialisations'!$P$6:$P$527,"OK")/M144)</x:f>
        <x:v>1</x:v>
      </x:c>
      <x:c r="S144" s="494" t="n">
        <x:f>IF(Q144=0,"",SUMIFS('Specialisation Impact'!$K$19:$K$186,'Specialisation Impact'!$A$19:$A$186,A144,'Specialisation Impact'!$B$19:$B$186,B144))</x:f>
        <x:v>60</x:v>
      </x:c>
      <x:c r="T144" s="494" t="n">
        <x:f>IF(Q144=0,"",SUMIFS('Specialisation Impact'!$G$19:$G$186,'Specialisation Impact'!$A$19:$A$186,A144,'Specialisation Impact'!$B$19:$B$186,B144))</x:f>
        <x:v>0</x:v>
      </x:c>
      <x:c r="U144" s="429" t="n">
        <x:f>IF(COUNTIFS('Specialisation Impact'!$A$19:$A$186,A144,'Specialisation Impact'!$B$19:$B$186,B144,'Specialisation Impact'!$S$19:$S$186,"&gt;0")=0,"",SUMIFS('Specialisation Impact'!$S$19:$S$186,'Specialisation Impact'!$A$19:$A$186,A144,'Specialisation Impact'!$B$19:$B$186,B144))</x:f>
        <x:v>29.48051948051948</x:v>
      </x:c>
      <x:c r="V144" s="429" t="str">
        <x:f>IF(COUNTIFS('Specialisation Impact'!$A$19:$A$186,A144,'Specialisation Impact'!$B$19:$B$186,B144,'Specialisation Impact'!$V$19:$V$186,"&gt;0")=0,"",SUMIFS('Specialisation Impact'!$V$19:$V$186,'Specialisation Impact'!$A$19:$A$186,A144,'Specialisation Impact'!$B$19:$B$186,B144))</x:f>
      </x:c>
    </x:row>
    <x:row r="145" ht="45" customHeight="1">
      <x:c r="A145" s="43" t="str">
        <x:v>K197</x:v>
      </x:c>
      <x:c r="B145" s="43" t="str">
        <x:v>Mira</x:v>
      </x:c>
      <x:c r="C145" s="43" t="n">
        <x:v>170634</x:v>
      </x:c>
      <x:c r="D145" s="44" t="n">
        <x:v>3.5120999999999998</x:v>
      </x:c>
      <x:c r="E145" s="44" t="n">
        <x:v>2.291</x:v>
      </x:c>
      <x:c r="F145" s="44" t="n">
        <x:v>2.6210000000000004</x:v>
      </x:c>
      <x:c r="G145" s="44" t="n">
        <x:v>0.415</x:v>
      </x:c>
      <x:c r="H145" s="44" t="n">
        <x:v>-0.415</x:v>
      </x:c>
      <x:c r="I145" s="30" t="str">
        <x:v>Destroyers (Lv 25) — Parry</x:v>
      </x:c>
      <x:c r="J145" s="30" t="str">
        <x:v>Elite bowmen (Lv 49) — Frost Arrow</x:v>
      </x:c>
      <x:c r="K145" s="30" t="str">
        <x:v>Not shown in recording</x:v>
      </x:c>
      <x:c r="L145" s="30" t="str">
        <x:v>Not shown in recording</x:v>
      </x:c>
      <x:c r="M145" s="43" t="n">
        <x:v>2</x:v>
      </x:c>
      <x:c r="N145" s="43" t="str">
        <x:v>02:44.70</x:v>
      </x:c>
      <x:c r="O145" s="43" t="str">
        <x:v>02:44.70-02:46.30</x:v>
      </x:c>
      <x:c r="P145" s="43" t="str">
        <x:v>1000025871.mp4</x:v>
      </x:c>
      <x:c r="Q145" s="391" t="n">
        <x:f>SUMIFS('Specialisations'!$N$6:$N$527,'Specialisations'!$A$6:$A$527,A145,'Specialisations'!$B$6:$B$527,B145)</x:f>
        <x:v>8758600</x:v>
      </x:c>
      <x:c r="R145" s="392" t="n">
        <x:f>IF(M145=0,"",COUNTIFS('Specialisations'!$A$6:$A$527,A145,'Specialisations'!$B$6:$B$527,B145,'Specialisations'!$P$6:$P$527,"OK")/M145)</x:f>
        <x:v>1</x:v>
      </x:c>
      <x:c r="S145" s="494" t="n">
        <x:f>IF(Q145=0,"",SUMIFS('Specialisation Impact'!$K$19:$K$186,'Specialisation Impact'!$A$19:$A$186,A145,'Specialisation Impact'!$B$19:$B$186,B145))</x:f>
        <x:v>55.2</x:v>
      </x:c>
      <x:c r="T145" s="494" t="n">
        <x:f>IF(Q145=0,"",SUMIFS('Specialisation Impact'!$G$19:$G$186,'Specialisation Impact'!$A$19:$A$186,A145,'Specialisation Impact'!$B$19:$B$186,B145))</x:f>
        <x:v>-6.11</x:v>
      </x:c>
      <x:c r="U145" s="429" t="n">
        <x:f>IF(COUNTIFS('Specialisation Impact'!$A$19:$A$186,A145,'Specialisation Impact'!$B$19:$B$186,B145,'Specialisation Impact'!$S$19:$S$186,"&gt;0")=0,"",SUMIFS('Specialisation Impact'!$S$19:$S$186,'Specialisation Impact'!$A$19:$A$186,A145,'Specialisation Impact'!$B$19:$B$186,B145))</x:f>
        <x:v>17.402597402597404</x:v>
      </x:c>
      <x:c r="V145" s="429" t="n">
        <x:f>IF(COUNTIFS('Specialisation Impact'!$A$19:$A$186,A145,'Specialisation Impact'!$B$19:$B$186,B145,'Specialisation Impact'!$V$19:$V$186,"&gt;0")=0,"",SUMIFS('Specialisation Impact'!$V$19:$V$186,'Specialisation Impact'!$A$19:$A$186,A145,'Specialisation Impact'!$B$19:$B$186,B145))</x:f>
        <x:v>2.5641025641025643</x:v>
      </x:c>
    </x:row>
    <x:row r="146" ht="45" customHeight="1">
      <x:c r="A146" s="43" t="str">
        <x:v>K176</x:v>
      </x:c>
      <x:c r="B146" s="43" t="str">
        <x:v>苟拓通天肆意妄为</x:v>
      </x:c>
      <x:c r="C146" s="43" t="n">
        <x:v>310200</x:v>
      </x:c>
      <x:c r="D146" s="44" t="n">
        <x:v>4.5396</x:v>
      </x:c>
      <x:c r="E146" s="44" t="n">
        <x:v>4.0185</x:v>
      </x:c>
      <x:c r="F146" s="44" t="n">
        <x:v>4.5285</x:v>
      </x:c>
      <x:c r="G146" s="44" t="n">
        <x:v>0.4375</x:v>
      </x:c>
      <x:c r="H146" s="44" t="n">
        <x:v>-0.4375</x:v>
      </x:c>
      <x:c r="I146" s="30" t="str">
        <x:v>Destroyers (Lv 50) — Parry</x:v>
      </x:c>
      <x:c r="J146" s="30" t="str">
        <x:v>Elite bowmen (Lv 48) — Frost Arrow</x:v>
      </x:c>
      <x:c r="K146" s="30" t="str">
        <x:v>Eternal knights (Lv 48) — Thunder trample
Storm cavalry (Lv 48) — Mounted Archery</x:v>
      </x:c>
      <x:c r="L146" s="30" t="str">
        <x:v>Guardian siege (Lv 48) — Dragonhide</x:v>
      </x:c>
      <x:c r="M146" s="43" t="n">
        <x:v>5</x:v>
      </x:c>
      <x:c r="N146" s="43" t="str">
        <x:v>00:10.75</x:v>
      </x:c>
      <x:c r="O146" s="43" t="str">
        <x:v>00:10.75-00:13.75</x:v>
      </x:c>
      <x:c r="P146" s="43" t="str">
        <x:v>1000025872.mp4</x:v>
      </x:c>
      <x:c r="Q146" s="391" t="n">
        <x:f>SUMIFS('Specialisations'!$N$6:$N$527,'Specialisations'!$A$6:$A$527,A146,'Specialisations'!$B$6:$B$527,B146)</x:f>
        <x:v>38071500</x:v>
      </x:c>
      <x:c r="R146" s="392" t="n">
        <x:f>IF(M146=0,"",COUNTIFS('Specialisations'!$A$6:$A$527,A146,'Specialisations'!$B$6:$B$527,B146,'Specialisations'!$P$6:$P$527,"OK")/M146)</x:f>
        <x:v>1</x:v>
      </x:c>
      <x:c r="S146" s="494" t="n">
        <x:f>IF(Q146=0,"",SUMIFS('Specialisation Impact'!$K$19:$K$186,'Specialisation Impact'!$A$19:$A$186,A146,'Specialisation Impact'!$B$19:$B$186,B146))</x:f>
        <x:v>206.96</x:v>
      </x:c>
      <x:c r="T146" s="494" t="n">
        <x:f>IF(Q146=0,"",SUMIFS('Specialisation Impact'!$G$19:$G$186,'Specialisation Impact'!$A$19:$A$186,A146,'Specialisation Impact'!$B$19:$B$186,B146))</x:f>
        <x:v>-60</x:v>
      </x:c>
      <x:c r="U146" s="429" t="n">
        <x:f>IF(COUNTIFS('Specialisation Impact'!$A$19:$A$186,A146,'Specialisation Impact'!$B$19:$B$186,B146,'Specialisation Impact'!$S$19:$S$186,"&gt;0")=0,"",SUMIFS('Specialisation Impact'!$S$19:$S$186,'Specialisation Impact'!$A$19:$A$186,A146,'Specialisation Impact'!$B$19:$B$186,B146))</x:f>
        <x:v>96.75324675324676</x:v>
      </x:c>
      <x:c r="V146" s="429" t="n">
        <x:f>IF(COUNTIFS('Specialisation Impact'!$A$19:$A$186,A146,'Specialisation Impact'!$B$19:$B$186,B146,'Specialisation Impact'!$V$19:$V$186,"&gt;0")=0,"",SUMIFS('Specialisation Impact'!$V$19:$V$186,'Specialisation Impact'!$A$19:$A$186,A146,'Specialisation Impact'!$B$19:$B$186,B146))</x:f>
        <x:v>93.16239316239316</x:v>
      </x:c>
    </x:row>
    <x:row r="147" ht="45" customHeight="1">
      <x:c r="A147" s="43" t="str">
        <x:v>K176</x:v>
      </x:c>
      <x:c r="B147" s="43" t="str">
        <x:v>Evildagger</x:v>
      </x:c>
      <x:c r="C147" s="43" t="n">
        <x:v>71000</x:v>
      </x:c>
      <x:c r="D147" s="44" t="n">
        <x:v>3.2385</x:v>
      </x:c>
      <x:c r="E147" s="44" t="n">
        <x:v>2.7710000000000004</x:v>
      </x:c>
      <x:c r="F147" s="44" t="n">
        <x:v>3.0010000000000003</x:v>
      </x:c>
      <x:c r="G147" s="44" t="n">
        <x:v>0.415</x:v>
      </x:c>
      <x:c r="H147" s="44" t="n">
        <x:v>-0.415</x:v>
      </x:c>
      <x:c r="I147" s="30" t="str">
        <x:v>Not shown in recording</x:v>
      </x:c>
      <x:c r="J147" s="30" t="str">
        <x:v>Not shown in recording</x:v>
      </x:c>
      <x:c r="K147" s="30" t="str">
        <x:v>Eternal knights (Lv 47) — Thunder trample
Storm cavalry (Lv 46) — Mounted Archery</x:v>
      </x:c>
      <x:c r="L147" s="30" t="str">
        <x:v>Not shown in recording</x:v>
      </x:c>
      <x:c r="M147" s="43" t="n">
        <x:v>2</x:v>
      </x:c>
      <x:c r="N147" s="43" t="str">
        <x:v>00:19.50</x:v>
      </x:c>
      <x:c r="O147" s="43" t="str">
        <x:v>00:19.50-00:21.50</x:v>
      </x:c>
      <x:c r="P147" s="43" t="str">
        <x:v>1000025872.mp4</x:v>
      </x:c>
      <x:c r="Q147" s="391" t="n">
        <x:f>SUMIFS('Specialisations'!$N$6:$N$527,'Specialisations'!$A$6:$A$527,A147,'Specialisations'!$B$6:$B$527,B147)</x:f>
        <x:v>10888600</x:v>
      </x:c>
      <x:c r="R147" s="392" t="n">
        <x:f>IF(M147=0,"",COUNTIFS('Specialisations'!$A$6:$A$527,A147,'Specialisations'!$B$6:$B$527,B147,'Specialisations'!$P$6:$P$527,"OK")/M147)</x:f>
        <x:v>1</x:v>
      </x:c>
      <x:c r="S147" s="494" t="n">
        <x:f>IF(Q147=0,"",SUMIFS('Specialisation Impact'!$K$19:$K$186,'Specialisation Impact'!$A$19:$A$186,A147,'Specialisation Impact'!$B$19:$B$186,B147))</x:f>
        <x:v>93.51</x:v>
      </x:c>
      <x:c r="T147" s="494" t="n">
        <x:f>IF(Q147=0,"",SUMIFS('Specialisation Impact'!$G$19:$G$186,'Specialisation Impact'!$A$19:$A$186,A147,'Specialisation Impact'!$B$19:$B$186,B147))</x:f>
        <x:v>0</x:v>
      </x:c>
      <x:c r="U147" s="429" t="n">
        <x:f>IF(COUNTIFS('Specialisation Impact'!$A$19:$A$186,A147,'Specialisation Impact'!$B$19:$B$186,B147,'Specialisation Impact'!$S$19:$S$186,"&gt;0")=0,"",SUMIFS('Specialisation Impact'!$S$19:$S$186,'Specialisation Impact'!$A$19:$A$186,A147,'Specialisation Impact'!$B$19:$B$186,B147))</x:f>
        <x:v>50.64935064935065</x:v>
      </x:c>
      <x:c r="V147" s="429" t="str">
        <x:f>IF(COUNTIFS('Specialisation Impact'!$A$19:$A$186,A147,'Specialisation Impact'!$B$19:$B$186,B147,'Specialisation Impact'!$V$19:$V$186,"&gt;0")=0,"",SUMIFS('Specialisation Impact'!$V$19:$V$186,'Specialisation Impact'!$A$19:$A$186,A147,'Specialisation Impact'!$B$19:$B$186,B147))</x:f>
      </x:c>
    </x:row>
    <x:row r="148" ht="45" customHeight="1">
      <x:c r="A148" s="43" t="str">
        <x:v>K176</x:v>
      </x:c>
      <x:c r="B148" s="43" t="str">
        <x:v>༺肥者先食༻</x:v>
      </x:c>
      <x:c r="C148" s="43" t="n">
        <x:v>107000</x:v>
      </x:c>
      <x:c r="D148" s="44" t="n">
        <x:v>2.8710000000000004</x:v>
      </x:c>
      <x:c r="E148" s="44" t="n">
        <x:v>2.591</x:v>
      </x:c>
      <x:c r="F148" s="44" t="n">
        <x:v>2.841</x:v>
      </x:c>
      <x:c r="G148" s="44" t="n">
        <x:v>0.4</x:v>
      </x:c>
      <x:c r="H148" s="44" t="n">
        <x:v>-0.415</x:v>
      </x:c>
      <x:c r="I148" s="30" t="str">
        <x:v>Destroyers (Lv 45) — Parry</x:v>
      </x:c>
      <x:c r="J148" s="30" t="str">
        <x:v>Elite bowmen (Lv 40) — Frost Arrow</x:v>
      </x:c>
      <x:c r="K148" s="30" t="str">
        <x:v>Eternal knights (Lv 42) — Thunder trample
Storm cavalry (Lv 43) — Mounted Archery</x:v>
      </x:c>
      <x:c r="L148" s="30" t="str">
        <x:v>Manglers (Lv 24) — Highly toxic</x:v>
      </x:c>
      <x:c r="M148" s="43" t="n">
        <x:v>5</x:v>
      </x:c>
      <x:c r="N148" s="43" t="str">
        <x:v>00:31.75</x:v>
      </x:c>
      <x:c r="O148" s="43" t="str">
        <x:v>00:31.75-00:33.75</x:v>
      </x:c>
      <x:c r="P148" s="43" t="str">
        <x:v>1000025872.mp4</x:v>
      </x:c>
      <x:c r="Q148" s="391" t="n">
        <x:f>SUMIFS('Specialisations'!$N$6:$N$527,'Specialisations'!$A$6:$A$527,A148,'Specialisations'!$B$6:$B$527,B148)</x:f>
        <x:v>12986500</x:v>
      </x:c>
      <x:c r="R148" s="392" t="n">
        <x:f>IF(M148=0,"",COUNTIFS('Specialisations'!$A$6:$A$527,A148,'Specialisations'!$B$6:$B$527,B148,'Specialisations'!$P$6:$P$527,"OK")/M148)</x:f>
        <x:v>1</x:v>
      </x:c>
      <x:c r="S148" s="494" t="n">
        <x:f>IF(Q148=0,"",SUMIFS('Specialisation Impact'!$K$19:$K$186,'Specialisation Impact'!$A$19:$A$186,A148,'Specialisation Impact'!$B$19:$B$186,B148))</x:f>
        <x:v>102.28999999999999</x:v>
      </x:c>
      <x:c r="T148" s="494" t="n">
        <x:f>IF(Q148=0,"",SUMIFS('Specialisation Impact'!$G$19:$G$186,'Specialisation Impact'!$A$19:$A$186,A148,'Specialisation Impact'!$B$19:$B$186,B148))</x:f>
        <x:v>-41.98</x:v>
      </x:c>
      <x:c r="U148" s="429" t="n">
        <x:f>IF(COUNTIFS('Specialisation Impact'!$A$19:$A$186,A148,'Specialisation Impact'!$B$19:$B$186,B148,'Specialisation Impact'!$S$19:$S$186,"&gt;0")=0,"",SUMIFS('Specialisation Impact'!$S$19:$S$186,'Specialisation Impact'!$A$19:$A$186,A148,'Specialisation Impact'!$B$19:$B$186,B148))</x:f>
        <x:v>51.55844155844156</x:v>
      </x:c>
      <x:c r="V148" s="429" t="n">
        <x:f>IF(COUNTIFS('Specialisation Impact'!$A$19:$A$186,A148,'Specialisation Impact'!$B$19:$B$186,B148,'Specialisation Impact'!$V$19:$V$186,"&gt;0")=0,"",SUMIFS('Specialisation Impact'!$V$19:$V$186,'Specialisation Impact'!$A$19:$A$186,A148,'Specialisation Impact'!$B$19:$B$186,B148))</x:f>
        <x:v>60.25641025641025</x:v>
      </x:c>
    </x:row>
    <x:row r="149" ht="45" customHeight="1">
      <x:c r="A149" s="43" t="str">
        <x:v>K176</x:v>
      </x:c>
      <x:c r="B149" s="43" t="str">
        <x:v>༺璀璨星辰༻</x:v>
      </x:c>
      <x:c r="C149" s="43" t="n">
        <x:v>199000</x:v>
      </x:c>
      <x:c r="D149" s="44" t="n">
        <x:v>4.0285</x:v>
      </x:c>
      <x:c r="E149" s="44" t="n">
        <x:v>3.6485000000000003</x:v>
      </x:c>
      <x:c r="F149" s="44" t="n">
        <x:v>4.2285</x:v>
      </x:c>
      <x:c r="G149" s="44" t="n">
        <x:v>0.4375</x:v>
      </x:c>
      <x:c r="H149" s="44" t="n">
        <x:v>-0.4375</x:v>
      </x:c>
      <x:c r="I149" s="30" t="str">
        <x:v>Destroyers (Lv 45) — Parry</x:v>
      </x:c>
      <x:c r="J149" s="30" t="str">
        <x:v>Not shown in recording</x:v>
      </x:c>
      <x:c r="K149" s="30" t="str">
        <x:v>Eternal knights (Lv 50) — Thunder trample
Storm cavalry (Lv 50) — Mounted Archery</x:v>
      </x:c>
      <x:c r="L149" s="30" t="str">
        <x:v>Manglers (Lv 45) — Highly toxic</x:v>
      </x:c>
      <x:c r="M149" s="43" t="n">
        <x:v>4</x:v>
      </x:c>
      <x:c r="N149" s="43" t="str">
        <x:v>00:40.75</x:v>
      </x:c>
      <x:c r="O149" s="43" t="str">
        <x:v>00:40.75-00:42.75</x:v>
      </x:c>
      <x:c r="P149" s="43" t="str">
        <x:v>1000025872.mp4</x:v>
      </x:c>
      <x:c r="Q149" s="391" t="n">
        <x:f>SUMIFS('Specialisations'!$N$6:$N$527,'Specialisations'!$A$6:$A$527,A149,'Specialisations'!$B$6:$B$527,B149)</x:f>
        <x:v>29237200</x:v>
      </x:c>
      <x:c r="R149" s="392" t="n">
        <x:f>IF(M149=0,"",COUNTIFS('Specialisations'!$A$6:$A$527,A149,'Specialisations'!$B$6:$B$527,B149,'Specialisations'!$P$6:$P$527,"OK")/M149)</x:f>
        <x:v>1</x:v>
      </x:c>
      <x:c r="S149" s="494" t="n">
        <x:f>IF(Q149=0,"",SUMIFS('Specialisation Impact'!$K$19:$K$186,'Specialisation Impact'!$A$19:$A$186,A149,'Specialisation Impact'!$B$19:$B$186,B149))</x:f>
        <x:v>161.98</x:v>
      </x:c>
      <x:c r="T149" s="494" t="n">
        <x:f>IF(Q149=0,"",SUMIFS('Specialisation Impact'!$G$19:$G$186,'Specialisation Impact'!$A$19:$A$186,A149,'Specialisation Impact'!$B$19:$B$186,B149))</x:f>
        <x:v>-41.98</x:v>
      </x:c>
      <x:c r="U149" s="429" t="n">
        <x:f>IF(COUNTIFS('Specialisation Impact'!$A$19:$A$186,A149,'Specialisation Impact'!$B$19:$B$186,B149,'Specialisation Impact'!$S$19:$S$186,"&gt;0")=0,"",SUMIFS('Specialisation Impact'!$S$19:$S$186,'Specialisation Impact'!$A$19:$A$186,A149,'Specialisation Impact'!$B$19:$B$186,B149))</x:f>
        <x:v>90.25974025974025</x:v>
      </x:c>
      <x:c r="V149" s="429" t="n">
        <x:f>IF(COUNTIFS('Specialisation Impact'!$A$19:$A$186,A149,'Specialisation Impact'!$B$19:$B$186,B149,'Specialisation Impact'!$V$19:$V$186,"&gt;0")=0,"",SUMIFS('Specialisation Impact'!$V$19:$V$186,'Specialisation Impact'!$A$19:$A$186,A149,'Specialisation Impact'!$B$19:$B$186,B149))</x:f>
        <x:v>60.25641025641025</x:v>
      </x:c>
    </x:row>
    <x:row r="150" ht="45" customHeight="1">
      <x:c r="A150" s="43" t="str">
        <x:v>K176</x:v>
      </x:c>
      <x:c r="B150" s="43" t="str">
        <x:v>临兵斗者皆阵列前</x:v>
      </x:c>
      <x:c r="C150" s="43" t="n">
        <x:v>105000</x:v>
      </x:c>
      <x:c r="D150" s="44" t="n">
        <x:v>3.156</x:v>
      </x:c>
      <x:c r="E150" s="44" t="n">
        <x:v>2.806</x:v>
      </x:c>
      <x:c r="F150" s="44" t="n">
        <x:v>2.9360000000000004</x:v>
      </x:c>
      <x:c r="G150" s="44" t="n">
        <x:v>0.4</x:v>
      </x:c>
      <x:c r="H150" s="44" t="n">
        <x:v>-0.415</x:v>
      </x:c>
      <x:c r="I150" s="30" t="str">
        <x:v>Destroyers (Lv 45) — Parry</x:v>
      </x:c>
      <x:c r="J150" s="30" t="str">
        <x:v>Elite bowmen (Lv 35) — Frost Arrow</x:v>
      </x:c>
      <x:c r="K150" s="30" t="str">
        <x:v>Eternal knights (Lv 48) — Thunder trample
Storm cavalry (Lv 45) — Mounted Archery</x:v>
      </x:c>
      <x:c r="L150" s="30" t="str">
        <x:v>Manglers (Lv 22) — Highly toxic</x:v>
      </x:c>
      <x:c r="M150" s="43" t="n">
        <x:v>5</x:v>
      </x:c>
      <x:c r="N150" s="43" t="str">
        <x:v>00:52.50</x:v>
      </x:c>
      <x:c r="O150" s="43" t="str">
        <x:v>00:52.50-00:54.25</x:v>
      </x:c>
      <x:c r="P150" s="43" t="str">
        <x:v>1000025872.mp4</x:v>
      </x:c>
      <x:c r="Q150" s="391" t="n">
        <x:f>SUMIFS('Specialisations'!$N$6:$N$527,'Specialisations'!$A$6:$A$527,A150,'Specialisations'!$B$6:$B$527,B150)</x:f>
        <x:v>17099000</x:v>
      </x:c>
      <x:c r="R150" s="392" t="n">
        <x:f>IF(M150=0,"",COUNTIFS('Specialisations'!$A$6:$A$527,A150,'Specialisations'!$B$6:$B$527,B150,'Specialisations'!$P$6:$P$527,"OK")/M150)</x:f>
        <x:v>1</x:v>
      </x:c>
      <x:c r="S150" s="494" t="n">
        <x:f>IF(Q150=0,"",SUMIFS('Specialisation Impact'!$K$19:$K$186,'Specialisation Impact'!$A$19:$A$186,A150,'Specialisation Impact'!$B$19:$B$186,B150))</x:f>
        <x:v>115.56</x:v>
      </x:c>
      <x:c r="T150" s="494" t="n">
        <x:f>IF(Q150=0,"",SUMIFS('Specialisation Impact'!$G$19:$G$186,'Specialisation Impact'!$A$19:$A$186,A150,'Specialisation Impact'!$B$19:$B$186,B150))</x:f>
        <x:v>-41.98</x:v>
      </x:c>
      <x:c r="U150" s="429" t="n">
        <x:f>IF(COUNTIFS('Specialisation Impact'!$A$19:$A$186,A150,'Specialisation Impact'!$B$19:$B$186,B150,'Specialisation Impact'!$S$19:$S$186,"&gt;0")=0,"",SUMIFS('Specialisation Impact'!$S$19:$S$186,'Specialisation Impact'!$A$19:$A$186,A150,'Specialisation Impact'!$B$19:$B$186,B150))</x:f>
        <x:v>68.05194805194805</x:v>
      </x:c>
      <x:c r="V150" s="429" t="n">
        <x:f>IF(COUNTIFS('Specialisation Impact'!$A$19:$A$186,A150,'Specialisation Impact'!$B$19:$B$186,B150,'Specialisation Impact'!$V$19:$V$186,"&gt;0")=0,"",SUMIFS('Specialisation Impact'!$V$19:$V$186,'Specialisation Impact'!$A$19:$A$186,A150,'Specialisation Impact'!$B$19:$B$186,B150))</x:f>
        <x:v>60.25641025641025</x:v>
      </x:c>
    </x:row>
    <x:row r="151" ht="45" customHeight="1">
      <x:c r="A151" s="43" t="str">
        <x:v>K176</x:v>
      </x:c>
      <x:c r="B151" s="43" t="str">
        <x:v>梦山河</x:v>
      </x:c>
      <x:c r="C151" s="43" t="n">
        <x:v>140000</x:v>
      </x:c>
      <x:c r="D151" s="44" t="n">
        <x:v>3.3035</x:v>
      </x:c>
      <x:c r="E151" s="44" t="n">
        <x:v>2.826</x:v>
      </x:c>
      <x:c r="F151" s="44" t="n">
        <x:v>3.161</x:v>
      </x:c>
      <x:c r="G151" s="44" t="n">
        <x:v>0.4375</x:v>
      </x:c>
      <x:c r="H151" s="44" t="n">
        <x:v>-0.415</x:v>
      </x:c>
      <x:c r="I151" s="30" t="str">
        <x:v>Destroyers (Lv 45) — Parry</x:v>
      </x:c>
      <x:c r="J151" s="30" t="str">
        <x:v>Not shown in recording</x:v>
      </x:c>
      <x:c r="K151" s="30" t="str">
        <x:v>Eternal knights (Lv 49) — Thunder trample
Storm cavalry (Lv 49) — Mounted Archery</x:v>
      </x:c>
      <x:c r="L151" s="30" t="str">
        <x:v>Manglers (Lv 44) — Highly toxic</x:v>
      </x:c>
      <x:c r="M151" s="43" t="n">
        <x:v>4</x:v>
      </x:c>
      <x:c r="N151" s="43" t="str">
        <x:v>01:03.50</x:v>
      </x:c>
      <x:c r="O151" s="43" t="str">
        <x:v>01:03.50-01:05.25</x:v>
      </x:c>
      <x:c r="P151" s="43" t="str">
        <x:v>1000025872.mp4</x:v>
      </x:c>
      <x:c r="Q151" s="391" t="n">
        <x:f>SUMIFS('Specialisations'!$N$6:$N$527,'Specialisations'!$A$6:$A$527,A151,'Specialisations'!$B$6:$B$527,B151)</x:f>
        <x:v>24677200</x:v>
      </x:c>
      <x:c r="R151" s="392" t="n">
        <x:f>IF(M151=0,"",COUNTIFS('Specialisations'!$A$6:$A$527,A151,'Specialisations'!$B$6:$B$527,B151,'Specialisations'!$P$6:$P$527,"OK")/M151)</x:f>
        <x:v>1</x:v>
      </x:c>
      <x:c r="S151" s="494" t="n">
        <x:f>IF(Q151=0,"",SUMIFS('Specialisation Impact'!$K$19:$K$186,'Specialisation Impact'!$A$19:$A$186,A151,'Specialisation Impact'!$B$19:$B$186,B151))</x:f>
        <x:v>150.33</x:v>
      </x:c>
      <x:c r="T151" s="494" t="n">
        <x:f>IF(Q151=0,"",SUMIFS('Specialisation Impact'!$G$19:$G$186,'Specialisation Impact'!$A$19:$A$186,A151,'Specialisation Impact'!$B$19:$B$186,B151))</x:f>
        <x:v>-41.98</x:v>
      </x:c>
      <x:c r="U151" s="429" t="n">
        <x:f>IF(COUNTIFS('Specialisation Impact'!$A$19:$A$186,A151,'Specialisation Impact'!$B$19:$B$186,B151,'Specialisation Impact'!$S$19:$S$186,"&gt;0")=0,"",SUMIFS('Specialisation Impact'!$S$19:$S$186,'Specialisation Impact'!$A$19:$A$186,A151,'Specialisation Impact'!$B$19:$B$186,B151))</x:f>
        <x:v>88.18181818181817</x:v>
      </x:c>
      <x:c r="V151" s="429" t="n">
        <x:f>IF(COUNTIFS('Specialisation Impact'!$A$19:$A$186,A151,'Specialisation Impact'!$B$19:$B$186,B151,'Specialisation Impact'!$V$19:$V$186,"&gt;0")=0,"",SUMIFS('Specialisation Impact'!$V$19:$V$186,'Specialisation Impact'!$A$19:$A$186,A151,'Specialisation Impact'!$B$19:$B$186,B151))</x:f>
        <x:v>60.25641025641025</x:v>
      </x:c>
    </x:row>
    <x:row r="152" ht="45" customHeight="1">
      <x:c r="A152" s="43" t="str">
        <x:v>K176</x:v>
      </x:c>
      <x:c r="B152" s="43" t="str">
        <x:v>岑胖子</x:v>
      </x:c>
      <x:c r="C152" s="43" t="n">
        <x:v>109000</x:v>
      </x:c>
      <x:c r="D152" s="44" t="n">
        <x:v>3.261</x:v>
      </x:c>
      <x:c r="E152" s="44" t="n">
        <x:v>2.866</x:v>
      </x:c>
      <x:c r="F152" s="44" t="n">
        <x:v>3.0060000000000002</x:v>
      </x:c>
      <x:c r="G152" s="44" t="n">
        <x:v>0.415</x:v>
      </x:c>
      <x:c r="H152" s="44" t="n">
        <x:v>-0.4</x:v>
      </x:c>
      <x:c r="I152" s="30" t="str">
        <x:v>Destroyers (Lv 45) — Parry</x:v>
      </x:c>
      <x:c r="J152" s="30" t="str">
        <x:v>Elite bowmen (Lv 31) — Frost Arrow</x:v>
      </x:c>
      <x:c r="K152" s="30" t="str">
        <x:v>Eternal knights (Lv 45) — Thunder trample
Storm cavalry (Lv 46) — Mounted Archery</x:v>
      </x:c>
      <x:c r="L152" s="30" t="str">
        <x:v>Manglers (Lv 20) — Highly toxic</x:v>
      </x:c>
      <x:c r="M152" s="43" t="n">
        <x:v>5</x:v>
      </x:c>
      <x:c r="N152" s="43" t="str">
        <x:v>01:15.75</x:v>
      </x:c>
      <x:c r="O152" s="43" t="str">
        <x:v>01:15.75-01:17.50</x:v>
      </x:c>
      <x:c r="P152" s="43" t="str">
        <x:v>1000025872.mp4</x:v>
      </x:c>
      <x:c r="Q152" s="391" t="n">
        <x:f>SUMIFS('Specialisations'!$N$6:$N$527,'Specialisations'!$A$6:$A$527,A152,'Specialisations'!$B$6:$B$527,B152)</x:f>
        <x:v>14621500</x:v>
      </x:c>
      <x:c r="R152" s="392" t="n">
        <x:f>IF(M152=0,"",COUNTIFS('Specialisations'!$A$6:$A$527,A152,'Specialisations'!$B$6:$B$527,B152,'Specialisations'!$P$6:$P$527,"OK")/M152)</x:f>
        <x:v>1</x:v>
      </x:c>
      <x:c r="S152" s="494" t="n">
        <x:f>IF(Q152=0,"",SUMIFS('Specialisation Impact'!$K$19:$K$186,'Specialisation Impact'!$A$19:$A$186,A152,'Specialisation Impact'!$B$19:$B$186,B152))</x:f>
        <x:v>102.2</x:v>
      </x:c>
      <x:c r="T152" s="494" t="n">
        <x:f>IF(Q152=0,"",SUMIFS('Specialisation Impact'!$G$19:$G$186,'Specialisation Impact'!$A$19:$A$186,A152,'Specialisation Impact'!$B$19:$B$186,B152))</x:f>
        <x:v>-41.98</x:v>
      </x:c>
      <x:c r="U152" s="429" t="n">
        <x:f>IF(COUNTIFS('Specialisation Impact'!$A$19:$A$186,A152,'Specialisation Impact'!$B$19:$B$186,B152,'Specialisation Impact'!$S$19:$S$186,"&gt;0")=0,"",SUMIFS('Specialisation Impact'!$S$19:$S$186,'Specialisation Impact'!$A$19:$A$186,A152,'Specialisation Impact'!$B$19:$B$186,B152))</x:f>
        <x:v>55.32467532467532</x:v>
      </x:c>
      <x:c r="V152" s="429" t="n">
        <x:f>IF(COUNTIFS('Specialisation Impact'!$A$19:$A$186,A152,'Specialisation Impact'!$B$19:$B$186,B152,'Specialisation Impact'!$V$19:$V$186,"&gt;0")=0,"",SUMIFS('Specialisation Impact'!$V$19:$V$186,'Specialisation Impact'!$A$19:$A$186,A152,'Specialisation Impact'!$B$19:$B$186,B152))</x:f>
        <x:v>60.25641025641025</x:v>
      </x:c>
    </x:row>
    <x:row r="153" ht="45" customHeight="1">
      <x:c r="A153" s="43" t="str">
        <x:v>K176</x:v>
      </x:c>
      <x:c r="B153" s="43" t="str">
        <x:v>三月的心思你别猜</x:v>
      </x:c>
      <x:c r="C153" s="43" t="n">
        <x:v>161000</x:v>
      </x:c>
      <x:c r="D153" s="44" t="n">
        <x:v>3.4785000000000004</x:v>
      </x:c>
      <x:c r="E153" s="44" t="n">
        <x:v>3.5660000000000003</x:v>
      </x:c>
      <x:c r="F153" s="44" t="n">
        <x:v>3.7710000000000004</x:v>
      </x:c>
      <x:c r="G153" s="44" t="n">
        <x:v>0.415</x:v>
      </x:c>
      <x:c r="H153" s="44" t="n">
        <x:v>-0.415</x:v>
      </x:c>
      <x:c r="I153" s="30" t="str">
        <x:v>Not shown in recording</x:v>
      </x:c>
      <x:c r="J153" s="30" t="str">
        <x:v>Not shown in recording</x:v>
      </x:c>
      <x:c r="K153" s="30" t="str">
        <x:v>Not shown in recording</x:v>
      </x:c>
      <x:c r="L153" s="30" t="str">
        <x:v>Not shown in recording</x:v>
      </x:c>
      <x:c r="M153" s="43" t="n">
        <x:v>0</x:v>
      </x:c>
      <x:c r="N153" s="43" t="str">
        <x:v>01:31.75</x:v>
      </x:c>
      <x:c r="O153" s="43" t="str">
        <x:v>01:31.75-01:33.50</x:v>
      </x:c>
      <x:c r="P153" s="43" t="str">
        <x:v>1000025872.mp4</x:v>
      </x:c>
      <x:c r="Q153" s="391" t="n">
        <x:f>SUMIFS('Specialisations'!$N$6:$N$527,'Specialisations'!$A$6:$A$527,A153,'Specialisations'!$B$6:$B$527,B153)</x:f>
        <x:v>0</x:v>
      </x:c>
      <x:c r="R153" s="392" t="str">
        <x:f>IF(M153=0,"",COUNTIFS('Specialisations'!$A$6:$A$527,A153,'Specialisations'!$B$6:$B$527,B153,'Specialisations'!$P$6:$P$527,"OK")/M153)</x:f>
      </x:c>
      <x:c r="S153" s="494" t="str">
        <x:f>IF(Q153=0,"",SUMIFS('Specialisation Impact'!$K$19:$K$186,'Specialisation Impact'!$A$19:$A$186,A153,'Specialisation Impact'!$B$19:$B$186,B153))</x:f>
      </x:c>
      <x:c r="T153" s="494" t="str">
        <x:f>IF(Q153=0,"",SUMIFS('Specialisation Impact'!$G$19:$G$186,'Specialisation Impact'!$A$19:$A$186,A153,'Specialisation Impact'!$B$19:$B$186,B153))</x:f>
      </x:c>
      <x:c r="U153" s="429" t="str">
        <x:f>IF(COUNTIFS('Specialisation Impact'!$A$19:$A$186,A153,'Specialisation Impact'!$B$19:$B$186,B153,'Specialisation Impact'!$S$19:$S$186,"&gt;0")=0,"",SUMIFS('Specialisation Impact'!$S$19:$S$186,'Specialisation Impact'!$A$19:$A$186,A153,'Specialisation Impact'!$B$19:$B$186,B153))</x:f>
      </x:c>
      <x:c r="V153" s="429" t="str">
        <x:f>IF(COUNTIFS('Specialisation Impact'!$A$19:$A$186,A153,'Specialisation Impact'!$B$19:$B$186,B153,'Specialisation Impact'!$V$19:$V$186,"&gt;0")=0,"",SUMIFS('Specialisation Impact'!$V$19:$V$186,'Specialisation Impact'!$A$19:$A$186,A153,'Specialisation Impact'!$B$19:$B$186,B153))</x:f>
      </x:c>
    </x:row>
    <x:row r="154" ht="45" customHeight="1">
      <x:c r="A154" s="43" t="str">
        <x:v>K176</x:v>
      </x:c>
      <x:c r="B154" s="43" t="str">
        <x:v>顺顺顺</x:v>
      </x:c>
      <x:c r="C154" s="43" t="n">
        <x:v>100000</x:v>
      </x:c>
      <x:c r="D154" s="44" t="n">
        <x:v>3.466</x:v>
      </x:c>
      <x:c r="E154" s="44" t="n">
        <x:v>2.506</x:v>
      </x:c>
      <x:c r="F154" s="44" t="n">
        <x:v>2.786</x:v>
      </x:c>
      <x:c r="G154" s="44" t="n">
        <x:v>0.39</x:v>
      </x:c>
      <x:c r="H154" s="44" t="n">
        <x:v>-0.39</x:v>
      </x:c>
      <x:c r="I154" s="30" t="str">
        <x:v>Not shown in recording</x:v>
      </x:c>
      <x:c r="J154" s="30" t="str">
        <x:v>Not shown in recording</x:v>
      </x:c>
      <x:c r="K154" s="30" t="str">
        <x:v>Not shown in recording</x:v>
      </x:c>
      <x:c r="L154" s="30" t="str">
        <x:v>Not shown in recording</x:v>
      </x:c>
      <x:c r="M154" s="43" t="n">
        <x:v>0</x:v>
      </x:c>
      <x:c r="N154" s="43" t="str">
        <x:v>01:41.75</x:v>
      </x:c>
      <x:c r="O154" s="43" t="str">
        <x:v>01:41.75-01:43.25</x:v>
      </x:c>
      <x:c r="P154" s="43" t="str">
        <x:v>1000025872.mp4</x:v>
      </x:c>
      <x:c r="Q154" s="391" t="n">
        <x:f>SUMIFS('Specialisations'!$N$6:$N$527,'Specialisations'!$A$6:$A$527,A154,'Specialisations'!$B$6:$B$527,B154)</x:f>
        <x:v>0</x:v>
      </x:c>
      <x:c r="R154" s="392" t="str">
        <x:f>IF(M154=0,"",COUNTIFS('Specialisations'!$A$6:$A$527,A154,'Specialisations'!$B$6:$B$527,B154,'Specialisations'!$P$6:$P$527,"OK")/M154)</x:f>
      </x:c>
      <x:c r="S154" s="494" t="str">
        <x:f>IF(Q154=0,"",SUMIFS('Specialisation Impact'!$K$19:$K$186,'Specialisation Impact'!$A$19:$A$186,A154,'Specialisation Impact'!$B$19:$B$186,B154))</x:f>
      </x:c>
      <x:c r="T154" s="494" t="str">
        <x:f>IF(Q154=0,"",SUMIFS('Specialisation Impact'!$G$19:$G$186,'Specialisation Impact'!$A$19:$A$186,A154,'Specialisation Impact'!$B$19:$B$186,B154))</x:f>
      </x:c>
      <x:c r="U154" s="429" t="str">
        <x:f>IF(COUNTIFS('Specialisation Impact'!$A$19:$A$186,A154,'Specialisation Impact'!$B$19:$B$186,B154,'Specialisation Impact'!$S$19:$S$186,"&gt;0")=0,"",SUMIFS('Specialisation Impact'!$S$19:$S$186,'Specialisation Impact'!$A$19:$A$186,A154,'Specialisation Impact'!$B$19:$B$186,B154))</x:f>
      </x:c>
      <x:c r="V154" s="429" t="str">
        <x:f>IF(COUNTIFS('Specialisation Impact'!$A$19:$A$186,A154,'Specialisation Impact'!$B$19:$B$186,B154,'Specialisation Impact'!$V$19:$V$186,"&gt;0")=0,"",SUMIFS('Specialisation Impact'!$V$19:$V$186,'Specialisation Impact'!$A$19:$A$186,A154,'Specialisation Impact'!$B$19:$B$186,B154))</x:f>
      </x:c>
    </x:row>
    <x:row r="155" ht="45" customHeight="1">
      <x:c r="A155" s="43" t="str">
        <x:v>K176</x:v>
      </x:c>
      <x:c r="B155" s="43" t="str">
        <x:v>♱Seraphim織羽♱</x:v>
      </x:c>
      <x:c r="C155" s="43" t="n">
        <x:v>146000</x:v>
      </x:c>
      <x:c r="D155" s="44" t="n">
        <x:v>3.9585000000000004</x:v>
      </x:c>
      <x:c r="E155" s="44" t="n">
        <x:v>3.5185000000000004</x:v>
      </x:c>
      <x:c r="F155" s="44" t="n">
        <x:v>3.7985</x:v>
      </x:c>
      <x:c r="G155" s="44" t="n">
        <x:v>0.4375</x:v>
      </x:c>
      <x:c r="H155" s="44" t="n">
        <x:v>-0.4375</x:v>
      </x:c>
      <x:c r="I155" s="30" t="str">
        <x:v>Destroyers (Lv 45) — Parry</x:v>
      </x:c>
      <x:c r="J155" s="30" t="str">
        <x:v>Not shown in recording</x:v>
      </x:c>
      <x:c r="K155" s="30" t="str">
        <x:v>Eternal knights (Lv 49) — Thunder trample
Storm cavalry (Lv 49) — Mounted Archery</x:v>
      </x:c>
      <x:c r="L155" s="30" t="str">
        <x:v>Manglers (Lv 40) — Highly toxic</x:v>
      </x:c>
      <x:c r="M155" s="43" t="n">
        <x:v>4</x:v>
      </x:c>
      <x:c r="N155" s="43" t="str">
        <x:v>01:54.25</x:v>
      </x:c>
      <x:c r="O155" s="43" t="str">
        <x:v>01:54.25-01:56.00</x:v>
      </x:c>
      <x:c r="P155" s="43" t="str">
        <x:v>1000025872.mp4</x:v>
      </x:c>
      <x:c r="Q155" s="391" t="n">
        <x:f>SUMIFS('Specialisations'!$N$6:$N$527,'Specialisations'!$A$6:$A$527,A155,'Specialisations'!$B$6:$B$527,B155)</x:f>
        <x:v>23197200</x:v>
      </x:c>
      <x:c r="R155" s="392" t="n">
        <x:f>IF(M155=0,"",COUNTIFS('Specialisations'!$A$6:$A$527,A155,'Specialisations'!$B$6:$B$527,B155,'Specialisations'!$P$6:$P$527,"OK")/M155)</x:f>
        <x:v>1</x:v>
      </x:c>
      <x:c r="S155" s="494" t="n">
        <x:f>IF(Q155=0,"",SUMIFS('Specialisation Impact'!$K$19:$K$186,'Specialisation Impact'!$A$19:$A$186,A155,'Specialisation Impact'!$B$19:$B$186,B155))</x:f>
        <x:v>138.14000000000001</x:v>
      </x:c>
      <x:c r="T155" s="494" t="n">
        <x:f>IF(Q155=0,"",SUMIFS('Specialisation Impact'!$G$19:$G$186,'Specialisation Impact'!$A$19:$A$186,A155,'Specialisation Impact'!$B$19:$B$186,B155))</x:f>
        <x:v>-41.98</x:v>
      </x:c>
      <x:c r="U155" s="429" t="n">
        <x:f>IF(COUNTIFS('Specialisation Impact'!$A$19:$A$186,A155,'Specialisation Impact'!$B$19:$B$186,B155,'Specialisation Impact'!$S$19:$S$186,"&gt;0")=0,"",SUMIFS('Specialisation Impact'!$S$19:$S$186,'Specialisation Impact'!$A$19:$A$186,A155,'Specialisation Impact'!$B$19:$B$186,B155))</x:f>
        <x:v>84.02597402597402</x:v>
      </x:c>
      <x:c r="V155" s="429" t="n">
        <x:f>IF(COUNTIFS('Specialisation Impact'!$A$19:$A$186,A155,'Specialisation Impact'!$B$19:$B$186,B155,'Specialisation Impact'!$V$19:$V$186,"&gt;0")=0,"",SUMIFS('Specialisation Impact'!$V$19:$V$186,'Specialisation Impact'!$A$19:$A$186,A155,'Specialisation Impact'!$B$19:$B$186,B155))</x:f>
        <x:v>60.25641025641025</x:v>
      </x:c>
    </x:row>
    <x:row r="156" ht="45" customHeight="1">
      <x:c r="A156" s="43" t="str">
        <x:v>K176</x:v>
      </x:c>
      <x:c r="B156" s="43" t="str">
        <x:v>ʚ老⑥ɞ</x:v>
      </x:c>
      <x:c r="C156" s="43" t="n">
        <x:v>206070</x:v>
      </x:c>
      <x:c r="D156" s="44" t="n">
        <x:v>4.1285</x:v>
      </x:c>
      <x:c r="E156" s="44" t="n">
        <x:v>3.051</x:v>
      </x:c>
      <x:c r="F156" s="44" t="n">
        <x:v>3.3510000000000004</x:v>
      </x:c>
      <x:c r="G156" s="44" t="n">
        <x:v>0.4375</x:v>
      </x:c>
      <x:c r="H156" s="44" t="n">
        <x:v>-0.415</x:v>
      </x:c>
      <x:c r="I156" s="30" t="str">
        <x:v>Immortal spearman (Lv 43) — Bloodthirst Spear</x:v>
      </x:c>
      <x:c r="J156" s="30" t="str">
        <x:v>Elite bowmen (Lv 43) — Frost Arrow</x:v>
      </x:c>
      <x:c r="K156" s="30" t="str">
        <x:v>Eternal knights (Lv 43) — Thunder trample
Storm cavalry (Lv 43) — Mounted Archery</x:v>
      </x:c>
      <x:c r="L156" s="30" t="str">
        <x:v>End siege (Lv 43) — Highly toxic</x:v>
      </x:c>
      <x:c r="M156" s="43" t="n">
        <x:v>5</x:v>
      </x:c>
      <x:c r="N156" s="43" t="str">
        <x:v>02:06.75</x:v>
      </x:c>
      <x:c r="O156" s="43" t="str">
        <x:v>02:06.75-02:08.50</x:v>
      </x:c>
      <x:c r="P156" s="43" t="str">
        <x:v>1000025872.mp4</x:v>
      </x:c>
      <x:c r="Q156" s="391" t="n">
        <x:f>SUMIFS('Specialisations'!$N$6:$N$527,'Specialisations'!$A$6:$A$527,A156,'Specialisations'!$B$6:$B$527,B156)</x:f>
        <x:v>16221500</x:v>
      </x:c>
      <x:c r="R156" s="392" t="n">
        <x:f>IF(M156=0,"",COUNTIFS('Specialisations'!$A$6:$A$527,A156,'Specialisations'!$B$6:$B$527,B156,'Specialisations'!$P$6:$P$527,"OK")/M156)</x:f>
        <x:v>1</x:v>
      </x:c>
      <x:c r="S156" s="494" t="n">
        <x:f>IF(Q156=0,"",SUMIFS('Specialisation Impact'!$K$19:$K$186,'Specialisation Impact'!$A$19:$A$186,A156,'Specialisation Impact'!$B$19:$B$186,B156))</x:f>
        <x:v>143.92</x:v>
      </x:c>
      <x:c r="T156" s="494" t="n">
        <x:f>IF(Q156=0,"",SUMIFS('Specialisation Impact'!$G$19:$G$186,'Specialisation Impact'!$A$19:$A$186,A156,'Specialisation Impact'!$B$19:$B$186,B156))</x:f>
        <x:v>-35.98</x:v>
      </x:c>
      <x:c r="U156" s="429" t="n">
        <x:f>IF(COUNTIFS('Specialisation Impact'!$A$19:$A$186,A156,'Specialisation Impact'!$B$19:$B$186,B156,'Specialisation Impact'!$S$19:$S$186,"&gt;0")=0,"",SUMIFS('Specialisation Impact'!$S$19:$S$186,'Specialisation Impact'!$A$19:$A$186,A156,'Specialisation Impact'!$B$19:$B$186,B156))</x:f>
        <x:v>81.94805194805194</x:v>
      </x:c>
      <x:c r="V156" s="429" t="n">
        <x:f>IF(COUNTIFS('Specialisation Impact'!$A$19:$A$186,A156,'Specialisation Impact'!$B$19:$B$186,B156,'Specialisation Impact'!$V$19:$V$186,"&gt;0")=0,"",SUMIFS('Specialisation Impact'!$V$19:$V$186,'Specialisation Impact'!$A$19:$A$186,A156,'Specialisation Impact'!$B$19:$B$186,B156))</x:f>
        <x:v>46.58119658119658</x:v>
      </x:c>
    </x:row>
    <x:row r="157" ht="45" customHeight="1">
      <x:c r="A157" s="43" t="str">
        <x:v>K176</x:v>
      </x:c>
      <x:c r="B157" s="43" t="str">
        <x:v>灰色轨迹</x:v>
      </x:c>
      <x:c r="C157" s="43" t="n">
        <x:v>131000</x:v>
      </x:c>
      <x:c r="D157" s="44" t="n">
        <x:v>3.551</x:v>
      </x:c>
      <x:c r="E157" s="44" t="n">
        <x:v>2.8310000000000004</x:v>
      </x:c>
      <x:c r="F157" s="44" t="n">
        <x:v>2.931</x:v>
      </x:c>
      <x:c r="G157" s="44" t="n">
        <x:v>0.415</x:v>
      </x:c>
      <x:c r="H157" s="44" t="n">
        <x:v>-0.415</x:v>
      </x:c>
      <x:c r="I157" s="30" t="str">
        <x:v>Destroyers (Lv 45) — Parry</x:v>
      </x:c>
      <x:c r="J157" s="30" t="str">
        <x:v>Elite bowmen (Lv 34) — Frost Arrow</x:v>
      </x:c>
      <x:c r="K157" s="30" t="str">
        <x:v>Eternal knights (Lv 46) — Thunder trample
Storm cavalry (Lv 48) — Mounted Archery</x:v>
      </x:c>
      <x:c r="L157" s="30" t="str">
        <x:v>Manglers (Lv 25) — Highly toxic</x:v>
      </x:c>
      <x:c r="M157" s="43" t="n">
        <x:v>5</x:v>
      </x:c>
      <x:c r="N157" s="43" t="str">
        <x:v>02:19.25</x:v>
      </x:c>
      <x:c r="O157" s="43" t="str">
        <x:v>02:19.25-02:20.75</x:v>
      </x:c>
      <x:c r="P157" s="43" t="str">
        <x:v>1000025872.mp4</x:v>
      </x:c>
      <x:c r="Q157" s="391" t="n">
        <x:f>SUMIFS('Specialisations'!$N$6:$N$527,'Specialisations'!$A$6:$A$527,A157,'Specialisations'!$B$6:$B$527,B157)</x:f>
        <x:v>17841500</x:v>
      </x:c>
      <x:c r="R157" s="392" t="n">
        <x:f>IF(M157=0,"",COUNTIFS('Specialisations'!$A$6:$A$527,A157,'Specialisations'!$B$6:$B$527,B157,'Specialisations'!$P$6:$P$527,"OK")/M157)</x:f>
        <x:v>1</x:v>
      </x:c>
      <x:c r="S157" s="494" t="n">
        <x:f>IF(Q157=0,"",SUMIFS('Specialisation Impact'!$K$19:$K$186,'Specialisation Impact'!$A$19:$A$186,A157,'Specialisation Impact'!$B$19:$B$186,B157))</x:f>
        <x:v>119.18</x:v>
      </x:c>
      <x:c r="T157" s="494" t="n">
        <x:f>IF(Q157=0,"",SUMIFS('Specialisation Impact'!$G$19:$G$186,'Specialisation Impact'!$A$19:$A$186,A157,'Specialisation Impact'!$B$19:$B$186,B157))</x:f>
        <x:v>-41.98</x:v>
      </x:c>
      <x:c r="U157" s="429" t="n">
        <x:f>IF(COUNTIFS('Specialisation Impact'!$A$19:$A$186,A157,'Specialisation Impact'!$B$19:$B$186,B157,'Specialisation Impact'!$S$19:$S$186,"&gt;0")=0,"",SUMIFS('Specialisation Impact'!$S$19:$S$186,'Specialisation Impact'!$A$19:$A$186,A157,'Specialisation Impact'!$B$19:$B$186,B157))</x:f>
        <x:v>71.55844155844156</x:v>
      </x:c>
      <x:c r="V157" s="429" t="n">
        <x:f>IF(COUNTIFS('Specialisation Impact'!$A$19:$A$186,A157,'Specialisation Impact'!$B$19:$B$186,B157,'Specialisation Impact'!$V$19:$V$186,"&gt;0")=0,"",SUMIFS('Specialisation Impact'!$V$19:$V$186,'Specialisation Impact'!$A$19:$A$186,A157,'Specialisation Impact'!$B$19:$B$186,B157))</x:f>
        <x:v>60.25641025641025</x:v>
      </x:c>
    </x:row>
    <x:row r="158" ht="45" customHeight="1">
      <x:c r="A158" s="43" t="str">
        <x:v>K176</x:v>
      </x:c>
      <x:c r="B158" s="43" t="str">
        <x:v>罗密欧与猪过夜</x:v>
      </x:c>
      <x:c r="C158" s="43" t="n">
        <x:v>150000</x:v>
      </x:c>
      <x:c r="D158" s="44" t="n">
        <x:v>2.8560000000000003</x:v>
      </x:c>
      <x:c r="E158" s="44" t="n">
        <x:v>2.681</x:v>
      </x:c>
      <x:c r="F158" s="44" t="n">
        <x:v>3.1260000000000003</x:v>
      </x:c>
      <x:c r="G158" s="44" t="n">
        <x:v>0.4</x:v>
      </x:c>
      <x:c r="H158" s="44" t="n">
        <x:v>-0.4</x:v>
      </x:c>
      <x:c r="I158" s="30" t="str">
        <x:v>Destroyers (Lv 45) — Parry</x:v>
      </x:c>
      <x:c r="J158" s="30" t="str">
        <x:v>Not shown in recording</x:v>
      </x:c>
      <x:c r="K158" s="30" t="str">
        <x:v>Eternal knights (Lv 47) — Thunder trample
Storm cavalry (Lv 47) — Mounted Archery</x:v>
      </x:c>
      <x:c r="L158" s="30" t="str">
        <x:v>Manglers (Lv 42) — Highly toxic</x:v>
      </x:c>
      <x:c r="M158" s="43" t="n">
        <x:v>4</x:v>
      </x:c>
      <x:c r="N158" s="43" t="str">
        <x:v>02:29.25</x:v>
      </x:c>
      <x:c r="O158" s="43" t="str">
        <x:v>02:29.25-02:31.00</x:v>
      </x:c>
      <x:c r="P158" s="43" t="str">
        <x:v>1000025872.mp4</x:v>
      </x:c>
      <x:c r="Q158" s="391" t="n">
        <x:f>SUMIFS('Specialisations'!$N$6:$N$527,'Specialisations'!$A$6:$A$527,A158,'Specialisations'!$B$6:$B$527,B158)</x:f>
        <x:v>18897200</x:v>
      </x:c>
      <x:c r="R158" s="392" t="n">
        <x:f>IF(M158=0,"",COUNTIFS('Specialisations'!$A$6:$A$527,A158,'Specialisations'!$B$6:$B$527,B158,'Specialisations'!$P$6:$P$527,"OK")/M158)</x:f>
        <x:v>1</x:v>
      </x:c>
      <x:c r="S158" s="494" t="n">
        <x:f>IF(Q158=0,"",SUMIFS('Specialisation Impact'!$K$19:$K$186,'Specialisation Impact'!$A$19:$A$186,A158,'Specialisation Impact'!$B$19:$B$186,B158))</x:f>
        <x:v>129.89000000000001</x:v>
      </x:c>
      <x:c r="T158" s="494" t="n">
        <x:f>IF(Q158=0,"",SUMIFS('Specialisation Impact'!$G$19:$G$186,'Specialisation Impact'!$A$19:$A$186,A158,'Specialisation Impact'!$B$19:$B$186,B158))</x:f>
        <x:v>-41.98</x:v>
      </x:c>
      <x:c r="U158" s="429" t="n">
        <x:f>IF(COUNTIFS('Specialisation Impact'!$A$19:$A$186,A158,'Specialisation Impact'!$B$19:$B$186,B158,'Specialisation Impact'!$S$19:$S$186,"&gt;0")=0,"",SUMIFS('Specialisation Impact'!$S$19:$S$186,'Specialisation Impact'!$A$19:$A$186,A158,'Specialisation Impact'!$B$19:$B$186,B158))</x:f>
        <x:v>76.75324675324674</x:v>
      </x:c>
      <x:c r="V158" s="429" t="n">
        <x:f>IF(COUNTIFS('Specialisation Impact'!$A$19:$A$186,A158,'Specialisation Impact'!$B$19:$B$186,B158,'Specialisation Impact'!$V$19:$V$186,"&gt;0")=0,"",SUMIFS('Specialisation Impact'!$V$19:$V$186,'Specialisation Impact'!$A$19:$A$186,A158,'Specialisation Impact'!$B$19:$B$186,B158))</x:f>
        <x:v>60.25641025641025</x:v>
      </x:c>
    </x:row>
    <x:row r="159" ht="45" customHeight="1">
      <x:c r="A159" s="43" t="str">
        <x:v>K176</x:v>
      </x:c>
      <x:c r="B159" s="43" t="str">
        <x:v>WARBLOOD</x:v>
      </x:c>
      <x:c r="C159" s="43" t="n">
        <x:v>101000</x:v>
      </x:c>
      <x:c r="D159" s="44" t="n">
        <x:v>3.1060000000000003</x:v>
      </x:c>
      <x:c r="E159" s="44" t="n">
        <x:v>2.576</x:v>
      </x:c>
      <x:c r="F159" s="44" t="n">
        <x:v>2.826</x:v>
      </x:c>
      <x:c r="G159" s="44" t="n">
        <x:v>0.4</x:v>
      </x:c>
      <x:c r="H159" s="44" t="n">
        <x:v>-0.4</x:v>
      </x:c>
      <x:c r="I159" s="30" t="str">
        <x:v>Destroyers (Lv 49) — Parry</x:v>
      </x:c>
      <x:c r="J159" s="30" t="str">
        <x:v>Not shown in recording</x:v>
      </x:c>
      <x:c r="K159" s="30" t="str">
        <x:v>Eternal knights (Lv 40) — Thunder trample
Storm cavalry (Lv 34) — Mounted Archery</x:v>
      </x:c>
      <x:c r="L159" s="30" t="str">
        <x:v>Not shown in recording</x:v>
      </x:c>
      <x:c r="M159" s="43" t="n">
        <x:v>3</x:v>
      </x:c>
      <x:c r="N159" s="43" t="str">
        <x:v>02:39.25</x:v>
      </x:c>
      <x:c r="O159" s="43" t="str">
        <x:v>02:39.25-02:41.50</x:v>
      </x:c>
      <x:c r="P159" s="43" t="str">
        <x:v>1000025872.mp4</x:v>
      </x:c>
      <x:c r="Q159" s="391" t="n">
        <x:f>SUMIFS('Specialisations'!$N$6:$N$527,'Specialisations'!$A$6:$A$527,A159,'Specialisations'!$B$6:$B$527,B159)</x:f>
        <x:v>11772900</x:v>
      </x:c>
      <x:c r="R159" s="392" t="n">
        <x:f>IF(M159=0,"",COUNTIFS('Specialisations'!$A$6:$A$527,A159,'Specialisations'!$B$6:$B$527,B159,'Specialisations'!$P$6:$P$527,"OK")/M159)</x:f>
        <x:v>1</x:v>
      </x:c>
      <x:c r="S159" s="494" t="n">
        <x:f>IF(Q159=0,"",SUMIFS('Specialisation Impact'!$K$19:$K$186,'Specialisation Impact'!$A$19:$A$186,A159,'Specialisation Impact'!$B$19:$B$186,B159))</x:f>
        <x:v>43.94</x:v>
      </x:c>
      <x:c r="T159" s="494" t="n">
        <x:f>IF(Q159=0,"",SUMIFS('Specialisation Impact'!$G$19:$G$186,'Specialisation Impact'!$A$19:$A$186,A159,'Specialisation Impact'!$B$19:$B$186,B159))</x:f>
        <x:v>-55.2</x:v>
      </x:c>
      <x:c r="U159" s="429" t="n">
        <x:f>IF(COUNTIFS('Specialisation Impact'!$A$19:$A$186,A159,'Specialisation Impact'!$B$19:$B$186,B159,'Specialisation Impact'!$S$19:$S$186,"&gt;0")=0,"",SUMIFS('Specialisation Impact'!$S$19:$S$186,'Specialisation Impact'!$A$19:$A$186,A159,'Specialisation Impact'!$B$19:$B$186,B159))</x:f>
        <x:v>7.2727272727272725</x:v>
      </x:c>
      <x:c r="V159" s="429" t="n">
        <x:f>IF(COUNTIFS('Specialisation Impact'!$A$19:$A$186,A159,'Specialisation Impact'!$B$19:$B$186,B159,'Specialisation Impact'!$V$19:$V$186,"&gt;0")=0,"",SUMIFS('Specialisation Impact'!$V$19:$V$186,'Specialisation Impact'!$A$19:$A$186,A159,'Specialisation Impact'!$B$19:$B$186,B159))</x:f>
        <x:v>84.18803418803418</x:v>
      </x:c>
    </x:row>
    <x:row r="160" ht="45" customHeight="1">
      <x:c r="A160" s="43" t="str">
        <x:v>K176</x:v>
      </x:c>
      <x:c r="B160" s="43" t="str">
        <x:v>老黑黑</x:v>
      </x:c>
      <x:c r="C160" s="43" t="n">
        <x:v>107000</x:v>
      </x:c>
      <x:c r="D160" s="44" t="n">
        <x:v>2.9010000000000002</x:v>
      </x:c>
      <x:c r="E160" s="44" t="n">
        <x:v>2.296</x:v>
      </x:c>
      <x:c r="F160" s="44" t="n">
        <x:v>2.7260000000000004</x:v>
      </x:c>
      <x:c r="G160" s="44" t="n">
        <x:v>0.415</x:v>
      </x:c>
      <x:c r="H160" s="44" t="n">
        <x:v>-0.39</x:v>
      </x:c>
      <x:c r="I160" s="30" t="str">
        <x:v>Destroyers (Lv 45) — Parry</x:v>
      </x:c>
      <x:c r="J160" s="30" t="str">
        <x:v>Elite bowmen (Lv 45) — Frost Arrow</x:v>
      </x:c>
      <x:c r="K160" s="30" t="str">
        <x:v>Eternal knights (Lv 44) — Thunder trample
Storm cavalry (Lv 45) — Mounted Archery</x:v>
      </x:c>
      <x:c r="L160" s="30" t="str">
        <x:v>Manglers (Lv 25) — Highly toxic</x:v>
      </x:c>
      <x:c r="M160" s="43" t="n">
        <x:v>5</x:v>
      </x:c>
      <x:c r="N160" s="43" t="str">
        <x:v>02:49.50</x:v>
      </x:c>
      <x:c r="O160" s="43" t="str">
        <x:v>02:49.50-02:51.00</x:v>
      </x:c>
      <x:c r="P160" s="43" t="str">
        <x:v>1000025872.mp4</x:v>
      </x:c>
      <x:c r="Q160" s="391" t="n">
        <x:f>SUMIFS('Specialisations'!$N$6:$N$527,'Specialisations'!$A$6:$A$527,A160,'Specialisations'!$B$6:$B$527,B160)</x:f>
        <x:v>17001500</x:v>
      </x:c>
      <x:c r="R160" s="392" t="n">
        <x:f>IF(M160=0,"",COUNTIFS('Specialisations'!$A$6:$A$527,A160,'Specialisations'!$B$6:$B$527,B160,'Specialisations'!$P$6:$P$527,"OK")/M160)</x:f>
        <x:v>1</x:v>
      </x:c>
      <x:c r="S160" s="494" t="n">
        <x:f>IF(Q160=0,"",SUMIFS('Specialisation Impact'!$K$19:$K$186,'Specialisation Impact'!$A$19:$A$186,A160,'Specialisation Impact'!$B$19:$B$186,B160))</x:f>
        <x:v>130</x:v>
      </x:c>
      <x:c r="T160" s="494" t="n">
        <x:f>IF(Q160=0,"",SUMIFS('Specialisation Impact'!$G$19:$G$186,'Specialisation Impact'!$A$19:$A$186,A160,'Specialisation Impact'!$B$19:$B$186,B160))</x:f>
        <x:v>-41.98</x:v>
      </x:c>
      <x:c r="U160" s="429" t="n">
        <x:f>IF(COUNTIFS('Specialisation Impact'!$A$19:$A$186,A160,'Specialisation Impact'!$B$19:$B$186,B160,'Specialisation Impact'!$S$19:$S$186,"&gt;0")=0,"",SUMIFS('Specialisation Impact'!$S$19:$S$186,'Specialisation Impact'!$A$19:$A$186,A160,'Specialisation Impact'!$B$19:$B$186,B160))</x:f>
        <x:v>75.1948051948052</x:v>
      </x:c>
      <x:c r="V160" s="429" t="n">
        <x:f>IF(COUNTIFS('Specialisation Impact'!$A$19:$A$186,A160,'Specialisation Impact'!$B$19:$B$186,B160,'Specialisation Impact'!$V$19:$V$186,"&gt;0")=0,"",SUMIFS('Specialisation Impact'!$V$19:$V$186,'Specialisation Impact'!$A$19:$A$186,A160,'Specialisation Impact'!$B$19:$B$186,B160))</x:f>
        <x:v>60.25641025641025</x:v>
      </x:c>
    </x:row>
    <x:row r="161" ht="45" customHeight="1">
      <x:c r="A161" s="43" t="str">
        <x:v>K176</x:v>
      </x:c>
      <x:c r="B161" s="43" t="str">
        <x:v>温不胜</x:v>
      </x:c>
      <x:c r="C161" s="43" t="n">
        <x:v>110000</x:v>
      </x:c>
      <x:c r="D161" s="44" t="n">
        <x:v>3.1910000000000003</x:v>
      </x:c>
      <x:c r="E161" s="44" t="n">
        <x:v>2.611</x:v>
      </x:c>
      <x:c r="F161" s="44" t="n">
        <x:v>3.141</x:v>
      </x:c>
      <x:c r="G161" s="44" t="n">
        <x:v>0.4</x:v>
      </x:c>
      <x:c r="H161" s="44" t="n">
        <x:v>-0.385</x:v>
      </x:c>
      <x:c r="I161" s="30" t="str">
        <x:v>Destroyers (Lv 45) — Parry</x:v>
      </x:c>
      <x:c r="J161" s="30" t="str">
        <x:v>Not shown in recording</x:v>
      </x:c>
      <x:c r="K161" s="30" t="str">
        <x:v>Eternal knights (Lv 49) — Thunder trample</x:v>
      </x:c>
      <x:c r="L161" s="30" t="str">
        <x:v>Not shown in recording</x:v>
      </x:c>
      <x:c r="M161" s="43" t="n">
        <x:v>2</x:v>
      </x:c>
      <x:c r="N161" s="43" t="str">
        <x:v>03:03.00</x:v>
      </x:c>
      <x:c r="O161" s="43" t="str">
        <x:v>03:03.00-03:04.75</x:v>
      </x:c>
      <x:c r="P161" s="43" t="str">
        <x:v>1000025872.mp4</x:v>
      </x:c>
      <x:c r="Q161" s="391" t="n">
        <x:f>SUMIFS('Specialisations'!$N$6:$N$527,'Specialisations'!$A$6:$A$527,A161,'Specialisations'!$B$6:$B$527,B161)</x:f>
        <x:v>12618600</x:v>
      </x:c>
      <x:c r="R161" s="392" t="n">
        <x:f>IF(M161=0,"",COUNTIFS('Specialisations'!$A$6:$A$527,A161,'Specialisations'!$B$6:$B$527,B161,'Specialisations'!$P$6:$P$527,"OK")/M161)</x:f>
        <x:v>1</x:v>
      </x:c>
      <x:c r="S161" s="494" t="n">
        <x:f>IF(Q161=0,"",SUMIFS('Specialisation Impact'!$K$19:$K$186,'Specialisation Impact'!$A$19:$A$186,A161,'Specialisation Impact'!$B$19:$B$186,B161))</x:f>
        <x:v>55.2</x:v>
      </x:c>
      <x:c r="T161" s="494" t="n">
        <x:f>IF(Q161=0,"",SUMIFS('Specialisation Impact'!$G$19:$G$186,'Specialisation Impact'!$A$19:$A$186,A161,'Specialisation Impact'!$B$19:$B$186,B161))</x:f>
        <x:v>-41.98</x:v>
      </x:c>
      <x:c r="U161" s="429" t="n">
        <x:f>IF(COUNTIFS('Specialisation Impact'!$A$19:$A$186,A161,'Specialisation Impact'!$B$19:$B$186,B161,'Specialisation Impact'!$S$19:$S$186,"&gt;0")=0,"",SUMIFS('Specialisation Impact'!$S$19:$S$186,'Specialisation Impact'!$A$19:$A$186,A161,'Specialisation Impact'!$B$19:$B$186,B161))</x:f>
        <x:v>17.402597402597404</x:v>
      </x:c>
      <x:c r="V161" s="429" t="n">
        <x:f>IF(COUNTIFS('Specialisation Impact'!$A$19:$A$186,A161,'Specialisation Impact'!$B$19:$B$186,B161,'Specialisation Impact'!$V$19:$V$186,"&gt;0")=0,"",SUMIFS('Specialisation Impact'!$V$19:$V$186,'Specialisation Impact'!$A$19:$A$186,A161,'Specialisation Impact'!$B$19:$B$186,B161))</x:f>
        <x:v>60.25641025641025</x:v>
      </x:c>
    </x:row>
    <x:row r="162" ht="45" customHeight="1">
      <x:c r="A162" s="43" t="str">
        <x:v>K176</x:v>
      </x:c>
      <x:c r="B162" s="43" t="str">
        <x:v>我是贤熙</x:v>
      </x:c>
      <x:c r="C162" s="43" t="n">
        <x:v>50000</x:v>
      </x:c>
      <x:c r="D162" s="44" t="n">
        <x:v>2.011</x:v>
      </x:c>
      <x:c r="E162" s="44" t="n">
        <x:v>1.8159999999999998</x:v>
      </x:c>
      <x:c r="F162" s="44" t="n">
        <x:v>2.336</x:v>
      </x:c>
      <x:c r="G162" s="44" t="n">
        <x:v>0.375</x:v>
      </x:c>
      <x:c r="H162" s="44" t="n">
        <x:v>-0.375</x:v>
      </x:c>
      <x:c r="I162" s="30" t="str">
        <x:v>Not shown in recording</x:v>
      </x:c>
      <x:c r="J162" s="30" t="str">
        <x:v>Not shown in recording</x:v>
      </x:c>
      <x:c r="K162" s="30" t="str">
        <x:v>Eternal knights (Lv 40) — Thunder trample
Storm cavalry (Lv 43) — Mounted Archery</x:v>
      </x:c>
      <x:c r="L162" s="30" t="str">
        <x:v>Not shown in recording</x:v>
      </x:c>
      <x:c r="M162" s="43" t="n">
        <x:v>2</x:v>
      </x:c>
      <x:c r="N162" s="43" t="str">
        <x:v>03:12.00</x:v>
      </x:c>
      <x:c r="O162" s="43" t="str">
        <x:v>03:12.00-03:13.75</x:v>
      </x:c>
      <x:c r="P162" s="43" t="str">
        <x:v>1000025872.mp4</x:v>
      </x:c>
      <x:c r="Q162" s="391" t="n">
        <x:f>SUMIFS('Specialisations'!$N$6:$N$527,'Specialisations'!$A$6:$A$527,A162,'Specialisations'!$B$6:$B$527,B162)</x:f>
        <x:v>5488600</x:v>
      </x:c>
      <x:c r="R162" s="392" t="n">
        <x:f>IF(M162=0,"",COUNTIFS('Specialisations'!$A$6:$A$527,A162,'Specialisations'!$B$6:$B$527,B162,'Specialisations'!$P$6:$P$527,"OK")/M162)</x:f>
        <x:v>1</x:v>
      </x:c>
      <x:c r="S162" s="494" t="n">
        <x:f>IF(Q162=0,"",SUMIFS('Specialisation Impact'!$K$19:$K$186,'Specialisation Impact'!$A$19:$A$186,A162,'Specialisation Impact'!$B$19:$B$186,B162))</x:f>
        <x:v>63.72</x:v>
      </x:c>
      <x:c r="T162" s="494" t="n">
        <x:f>IF(Q162=0,"",SUMIFS('Specialisation Impact'!$G$19:$G$186,'Specialisation Impact'!$A$19:$A$186,A162,'Specialisation Impact'!$B$19:$B$186,B162))</x:f>
        <x:v>0</x:v>
      </x:c>
      <x:c r="U162" s="429" t="n">
        <x:f>IF(COUNTIFS('Specialisation Impact'!$A$19:$A$186,A162,'Specialisation Impact'!$B$19:$B$186,B162,'Specialisation Impact'!$S$19:$S$186,"&gt;0")=0,"",SUMIFS('Specialisation Impact'!$S$19:$S$186,'Specialisation Impact'!$A$19:$A$186,A162,'Specialisation Impact'!$B$19:$B$186,B162))</x:f>
        <x:v>27.20779220779221</x:v>
      </x:c>
      <x:c r="V162" s="429" t="str">
        <x:f>IF(COUNTIFS('Specialisation Impact'!$A$19:$A$186,A162,'Specialisation Impact'!$B$19:$B$186,B162,'Specialisation Impact'!$V$19:$V$186,"&gt;0")=0,"",SUMIFS('Specialisation Impact'!$V$19:$V$186,'Specialisation Impact'!$A$19:$A$186,A162,'Specialisation Impact'!$B$19:$B$186,B162))</x:f>
      </x:c>
    </x:row>
    <x:row r="163" ht="45" customHeight="1">
      <x:c r="A163" s="43" t="str">
        <x:v>K176</x:v>
      </x:c>
      <x:c r="B163" s="43" t="str">
        <x:v>金玉其外败絮其中</x:v>
      </x:c>
      <x:c r="C163" s="43" t="n">
        <x:v>171000</x:v>
      </x:c>
      <x:c r="D163" s="44" t="n">
        <x:v>3.4010000000000002</x:v>
      </x:c>
      <x:c r="E163" s="44" t="n">
        <x:v>3.1060000000000003</x:v>
      </x:c>
      <x:c r="F163" s="44" t="n">
        <x:v>3.3560000000000003</x:v>
      </x:c>
      <x:c r="G163" s="44" t="n">
        <x:v>0.415</x:v>
      </x:c>
      <x:c r="H163" s="44" t="n">
        <x:v>-0.415</x:v>
      </x:c>
      <x:c r="I163" s="30" t="str">
        <x:v>Destroyers (Lv 47) — Parry</x:v>
      </x:c>
      <x:c r="J163" s="30" t="str">
        <x:v>Not shown in recording</x:v>
      </x:c>
      <x:c r="K163" s="30" t="str">
        <x:v>Storm cavalry (Lv 48) — Mounted Archery
Roman knights (Lv 48) — Thunder trample</x:v>
      </x:c>
      <x:c r="L163" s="30" t="str">
        <x:v>Manglers (Lv 37) — Highly toxic</x:v>
      </x:c>
      <x:c r="M163" s="43" t="n">
        <x:v>4</x:v>
      </x:c>
      <x:c r="N163" s="43" t="str">
        <x:v>03:21.50</x:v>
      </x:c>
      <x:c r="O163" s="43" t="str">
        <x:v>03:21.50-03:23.00</x:v>
      </x:c>
      <x:c r="P163" s="43" t="str">
        <x:v>1000025872.mp4</x:v>
      </x:c>
      <x:c r="Q163" s="391" t="n">
        <x:f>SUMIFS('Specialisations'!$N$6:$N$527,'Specialisations'!$A$6:$A$527,A163,'Specialisations'!$B$6:$B$527,B163)</x:f>
        <x:v>21377200</x:v>
      </x:c>
      <x:c r="R163" s="392" t="n">
        <x:f>IF(M163=0,"",COUNTIFS('Specialisations'!$A$6:$A$527,A163,'Specialisations'!$B$6:$B$527,B163,'Specialisations'!$P$6:$P$527,"OK")/M163)</x:f>
        <x:v>1</x:v>
      </x:c>
      <x:c r="S163" s="494" t="n">
        <x:f>IF(Q163=0,"",SUMIFS('Specialisation Impact'!$K$19:$K$186,'Specialisation Impact'!$A$19:$A$186,A163,'Specialisation Impact'!$B$19:$B$186,B163))</x:f>
        <x:v>124.21000000000001</x:v>
      </x:c>
      <x:c r="T163" s="494" t="n">
        <x:f>IF(Q163=0,"",SUMIFS('Specialisation Impact'!$G$19:$G$186,'Specialisation Impact'!$A$19:$A$186,A163,'Specialisation Impact'!$B$19:$B$186,B163))</x:f>
        <x:v>-48.38</x:v>
      </x:c>
      <x:c r="U163" s="429" t="n">
        <x:f>IF(COUNTIFS('Specialisation Impact'!$A$19:$A$186,A163,'Specialisation Impact'!$B$19:$B$186,B163,'Specialisation Impact'!$S$19:$S$186,"&gt;0")=0,"",SUMIFS('Specialisation Impact'!$S$19:$S$186,'Specialisation Impact'!$A$19:$A$186,A163,'Specialisation Impact'!$B$19:$B$186,B163))</x:f>
        <x:v>76.36363636363636</x:v>
      </x:c>
      <x:c r="V163" s="429" t="n">
        <x:f>IF(COUNTIFS('Specialisation Impact'!$A$19:$A$186,A163,'Specialisation Impact'!$B$19:$B$186,B163,'Specialisation Impact'!$V$19:$V$186,"&gt;0")=0,"",SUMIFS('Specialisation Impact'!$V$19:$V$186,'Specialisation Impact'!$A$19:$A$186,A163,'Specialisation Impact'!$B$19:$B$186,B163))</x:f>
        <x:v>76.06837606837607</x:v>
      </x:c>
    </x:row>
    <x:row r="164" ht="45" customHeight="1">
      <x:c r="A164" s="43" t="str">
        <x:v>K176</x:v>
      </x:c>
      <x:c r="B164" s="43" t="str">
        <x:v>温水煮青蛙</x:v>
      </x:c>
      <x:c r="C164" s="43" t="n">
        <x:v>106000</x:v>
      </x:c>
      <x:c r="D164" s="44" t="n">
        <x:v>3.031</x:v>
      </x:c>
      <x:c r="E164" s="44" t="n">
        <x:v>2.826</x:v>
      </x:c>
      <x:c r="F164" s="44" t="n">
        <x:v>2.9760000000000004</x:v>
      </x:c>
      <x:c r="G164" s="44" t="n">
        <x:v>0.4</x:v>
      </x:c>
      <x:c r="H164" s="44" t="n">
        <x:v>-0.4</x:v>
      </x:c>
      <x:c r="I164" s="30" t="str">
        <x:v>Destroyers (Lv 46) — Parry</x:v>
      </x:c>
      <x:c r="J164" s="30" t="str">
        <x:v>Not shown in recording</x:v>
      </x:c>
      <x:c r="K164" s="30" t="str">
        <x:v>Eternal knights (Lv 47) — Thunder trample
Storm cavalry (Lv 48) — Mounted Archery</x:v>
      </x:c>
      <x:c r="L164" s="30" t="str">
        <x:v>Manglers (Lv 26) — Highly toxic</x:v>
      </x:c>
      <x:c r="M164" s="43" t="n">
        <x:v>4</x:v>
      </x:c>
      <x:c r="N164" s="43" t="str">
        <x:v>03:31.00</x:v>
      </x:c>
      <x:c r="O164" s="43" t="str">
        <x:v>03:31.00-03:32.25</x:v>
      </x:c>
      <x:c r="P164" s="43" t="str">
        <x:v>1000025872.mp4</x:v>
      </x:c>
      <x:c r="Q164" s="391" t="n">
        <x:f>SUMIFS('Specialisations'!$N$6:$N$527,'Specialisations'!$A$6:$A$527,A164,'Specialisations'!$B$6:$B$527,B164)</x:f>
        <x:v>18307200</x:v>
      </x:c>
      <x:c r="R164" s="392" t="n">
        <x:f>IF(M164=0,"",COUNTIFS('Specialisations'!$A$6:$A$527,A164,'Specialisations'!$B$6:$B$527,B164,'Specialisations'!$P$6:$P$527,"OK")/M164)</x:f>
        <x:v>1</x:v>
      </x:c>
      <x:c r="S164" s="494" t="n">
        <x:f>IF(Q164=0,"",SUMIFS('Specialisation Impact'!$K$19:$K$186,'Specialisation Impact'!$A$19:$A$186,A164,'Specialisation Impact'!$B$19:$B$186,B164))</x:f>
        <x:v>106.92</x:v>
      </x:c>
      <x:c r="T164" s="494" t="n">
        <x:f>IF(Q164=0,"",SUMIFS('Specialisation Impact'!$G$19:$G$186,'Specialisation Impact'!$A$19:$A$186,A164,'Specialisation Impact'!$B$19:$B$186,B164))</x:f>
        <x:v>-45.13</x:v>
      </x:c>
      <x:c r="U164" s="429" t="n">
        <x:f>IF(COUNTIFS('Specialisation Impact'!$A$19:$A$186,A164,'Specialisation Impact'!$B$19:$B$186,B164,'Specialisation Impact'!$S$19:$S$186,"&gt;0")=0,"",SUMIFS('Specialisation Impact'!$S$19:$S$186,'Specialisation Impact'!$A$19:$A$186,A164,'Specialisation Impact'!$B$19:$B$186,B164))</x:f>
        <x:v>61.81818181818181</x:v>
      </x:c>
      <x:c r="V164" s="429" t="n">
        <x:f>IF(COUNTIFS('Specialisation Impact'!$A$19:$A$186,A164,'Specialisation Impact'!$B$19:$B$186,B164,'Specialisation Impact'!$V$19:$V$186,"&gt;0")=0,"",SUMIFS('Specialisation Impact'!$V$19:$V$186,'Specialisation Impact'!$A$19:$A$186,A164,'Specialisation Impact'!$B$19:$B$186,B164))</x:f>
        <x:v>73.07692307692308</x:v>
      </x:c>
    </x:row>
    <x:row r="165" ht="45" customHeight="1">
      <x:c r="A165" s="43" t="str">
        <x:v>K176</x:v>
      </x:c>
      <x:c r="B165" s="43" t="str">
        <x:v>我于杀戮之中绽放</x:v>
      </x:c>
      <x:c r="C165" s="43" t="n">
        <x:v>161000</x:v>
      </x:c>
      <x:c r="D165" s="44" t="n">
        <x:v>3.741</x:v>
      </x:c>
      <x:c r="E165" s="44" t="n">
        <x:v>3.451</x:v>
      </x:c>
      <x:c r="F165" s="44" t="n">
        <x:v>3.721</x:v>
      </x:c>
      <x:c r="G165" s="44" t="n">
        <x:v>0.415</x:v>
      </x:c>
      <x:c r="H165" s="44" t="n">
        <x:v>-0.415</x:v>
      </x:c>
      <x:c r="I165" s="30" t="str">
        <x:v>Destroyers (Lv 48) — Parry</x:v>
      </x:c>
      <x:c r="J165" s="30" t="str">
        <x:v>Not shown in recording</x:v>
      </x:c>
      <x:c r="K165" s="30" t="str">
        <x:v>Eternal knights (Lv 47) — Thunder trample
Storm cavalry (Lv 46) — Mounted Archery</x:v>
      </x:c>
      <x:c r="L165" s="30" t="str">
        <x:v>Manglers (Lv 40) — Highly toxic</x:v>
      </x:c>
      <x:c r="M165" s="43" t="n">
        <x:v>4</x:v>
      </x:c>
      <x:c r="N165" s="43" t="str">
        <x:v>03:54.00</x:v>
      </x:c>
      <x:c r="O165" s="43" t="str">
        <x:v>03:54.00-03:56.00</x:v>
      </x:c>
      <x:c r="P165" s="43" t="str">
        <x:v>1000025872.mp4</x:v>
      </x:c>
      <x:c r="Q165" s="391" t="n">
        <x:f>SUMIFS('Specialisations'!$N$6:$N$527,'Specialisations'!$A$6:$A$527,A165,'Specialisations'!$B$6:$B$527,B165)</x:f>
        <x:v>20067200</x:v>
      </x:c>
      <x:c r="R165" s="392" t="n">
        <x:f>IF(M165=0,"",COUNTIFS('Specialisations'!$A$6:$A$527,A165,'Specialisations'!$B$6:$B$527,B165,'Specialisations'!$P$6:$P$527,"OK")/M165)</x:f>
        <x:v>1</x:v>
      </x:c>
      <x:c r="S165" s="494" t="n">
        <x:f>IF(Q165=0,"",SUMIFS('Specialisation Impact'!$K$19:$K$186,'Specialisation Impact'!$A$19:$A$186,A165,'Specialisation Impact'!$B$19:$B$186,B165))</x:f>
        <x:v>121.25</x:v>
      </x:c>
      <x:c r="T165" s="494" t="n">
        <x:f>IF(Q165=0,"",SUMIFS('Specialisation Impact'!$G$19:$G$186,'Specialisation Impact'!$A$19:$A$186,A165,'Specialisation Impact'!$B$19:$B$186,B165))</x:f>
        <x:v>-51.74</x:v>
      </x:c>
      <x:c r="U165" s="429" t="n">
        <x:f>IF(COUNTIFS('Specialisation Impact'!$A$19:$A$186,A165,'Specialisation Impact'!$B$19:$B$186,B165,'Specialisation Impact'!$S$19:$S$186,"&gt;0")=0,"",SUMIFS('Specialisation Impact'!$S$19:$S$186,'Specialisation Impact'!$A$19:$A$186,A165,'Specialisation Impact'!$B$19:$B$186,B165))</x:f>
        <x:v>72.01298701298701</x:v>
      </x:c>
      <x:c r="V165" s="429" t="n">
        <x:f>IF(COUNTIFS('Specialisation Impact'!$A$19:$A$186,A165,'Specialisation Impact'!$B$19:$B$186,B165,'Specialisation Impact'!$V$19:$V$186,"&gt;0")=0,"",SUMIFS('Specialisation Impact'!$V$19:$V$186,'Specialisation Impact'!$A$19:$A$186,A165,'Specialisation Impact'!$B$19:$B$186,B165))</x:f>
        <x:v>79.91452991452991</x:v>
      </x:c>
    </x:row>
    <x:row r="166" ht="45" customHeight="1">
      <x:c r="A166" s="43" t="str">
        <x:v>K176</x:v>
      </x:c>
      <x:c r="B166" s="43" t="str">
        <x:v>璀璨星芒</x:v>
      </x:c>
      <x:c r="C166" s="43" t="n">
        <x:v>94000</x:v>
      </x:c>
      <x:c r="D166" s="44" t="n">
        <x:v>3.2110000000000003</x:v>
      </x:c>
      <x:c r="E166" s="44" t="n">
        <x:v>2.786</x:v>
      </x:c>
      <x:c r="F166" s="44" t="n">
        <x:v>3.0410000000000004</x:v>
      </x:c>
      <x:c r="G166" s="44" t="n">
        <x:v>0.415</x:v>
      </x:c>
      <x:c r="H166" s="44" t="n">
        <x:v>-0.415</x:v>
      </x:c>
      <x:c r="I166" s="30" t="str">
        <x:v>Destroyers (Lv 45) — Parry</x:v>
      </x:c>
      <x:c r="J166" s="30" t="str">
        <x:v>Elite bowmen (Lv 40) — Frost Arrow</x:v>
      </x:c>
      <x:c r="K166" s="30" t="str">
        <x:v>Eternal knights (Lv 46) — Thunder trample</x:v>
      </x:c>
      <x:c r="L166" s="30" t="str">
        <x:v>End siege (Lv 40) — Highly toxic</x:v>
      </x:c>
      <x:c r="M166" s="43" t="n">
        <x:v>4</x:v>
      </x:c>
      <x:c r="N166" s="43" t="str">
        <x:v>04:03.25</x:v>
      </x:c>
      <x:c r="O166" s="43" t="str">
        <x:v>04:03.25-04:05.25</x:v>
      </x:c>
      <x:c r="P166" s="43" t="str">
        <x:v>1000025872.mp4</x:v>
      </x:c>
      <x:c r="Q166" s="391" t="n">
        <x:f>SUMIFS('Specialisations'!$N$6:$N$527,'Specialisations'!$A$6:$A$527,A166,'Specialisations'!$B$6:$B$527,B166)</x:f>
        <x:v>13777200</x:v>
      </x:c>
      <x:c r="R166" s="392" t="n">
        <x:f>IF(M166=0,"",COUNTIFS('Specialisations'!$A$6:$A$527,A166,'Specialisations'!$B$6:$B$527,B166,'Specialisations'!$P$6:$P$527,"OK")/M166)</x:f>
        <x:v>1</x:v>
      </x:c>
      <x:c r="S166" s="494" t="n">
        <x:f>IF(Q166=0,"",SUMIFS('Specialisation Impact'!$K$19:$K$186,'Specialisation Impact'!$A$19:$A$186,A166,'Specialisation Impact'!$B$19:$B$186,B166))</x:f>
        <x:v>100.61</x:v>
      </x:c>
      <x:c r="T166" s="494" t="n">
        <x:f>IF(Q166=0,"",SUMIFS('Specialisation Impact'!$G$19:$G$186,'Specialisation Impact'!$A$19:$A$186,A166,'Specialisation Impact'!$B$19:$B$186,B166))</x:f>
        <x:v>-41.98</x:v>
      </x:c>
      <x:c r="U166" s="429" t="n">
        <x:f>IF(COUNTIFS('Specialisation Impact'!$A$19:$A$186,A166,'Specialisation Impact'!$B$19:$B$186,B166,'Specialisation Impact'!$S$19:$S$186,"&gt;0")=0,"",SUMIFS('Specialisation Impact'!$S$19:$S$186,'Specialisation Impact'!$A$19:$A$186,A166,'Specialisation Impact'!$B$19:$B$186,B166))</x:f>
        <x:v>51.75324675324676</x:v>
      </x:c>
      <x:c r="V166" s="429" t="n">
        <x:f>IF(COUNTIFS('Specialisation Impact'!$A$19:$A$186,A166,'Specialisation Impact'!$B$19:$B$186,B166,'Specialisation Impact'!$V$19:$V$186,"&gt;0")=0,"",SUMIFS('Specialisation Impact'!$V$19:$V$186,'Specialisation Impact'!$A$19:$A$186,A166,'Specialisation Impact'!$B$19:$B$186,B166))</x:f>
        <x:v>60.25641025641025</x:v>
      </x:c>
    </x:row>
    <x:row r="167" ht="45" customHeight="1">
      <x:c r="A167" s="43" t="str">
        <x:v>K176</x:v>
      </x:c>
      <x:c r="B167" s="43" t="str">
        <x:v>「鳥傷」</x:v>
      </x:c>
      <x:c r="C167" s="43" t="n">
        <x:v>138000</x:v>
      </x:c>
      <x:c r="D167" s="44" t="n">
        <x:v>3.5060000000000002</x:v>
      </x:c>
      <x:c r="E167" s="44" t="n">
        <x:v>2.801</x:v>
      </x:c>
      <x:c r="F167" s="44" t="n">
        <x:v>3.2910000000000004</x:v>
      </x:c>
      <x:c r="G167" s="44" t="n">
        <x:v>0.415</x:v>
      </x:c>
      <x:c r="H167" s="44" t="n">
        <x:v>-0.415</x:v>
      </x:c>
      <x:c r="I167" s="30" t="str">
        <x:v>Destroyers (Lv 45) — Parry</x:v>
      </x:c>
      <x:c r="J167" s="30" t="str">
        <x:v>Elite bowmen (Lv 40) — Frost Arrow</x:v>
      </x:c>
      <x:c r="K167" s="30" t="str">
        <x:v>Storm cavalry (Lv 50) — Mounted Archery</x:v>
      </x:c>
      <x:c r="L167" s="30" t="str">
        <x:v>Manglers (Lv 46) — Highly toxic</x:v>
      </x:c>
      <x:c r="M167" s="43" t="n">
        <x:v>4</x:v>
      </x:c>
      <x:c r="N167" s="43" t="str">
        <x:v>04:17.25</x:v>
      </x:c>
      <x:c r="O167" s="43" t="str">
        <x:v>04:17.25-04:19.25</x:v>
      </x:c>
      <x:c r="P167" s="43" t="str">
        <x:v>1000025872.mp4</x:v>
      </x:c>
      <x:c r="Q167" s="391" t="n">
        <x:f>SUMIFS('Specialisations'!$N$6:$N$527,'Specialisations'!$A$6:$A$527,A167,'Specialisations'!$B$6:$B$527,B167)</x:f>
        <x:v>21867200</x:v>
      </x:c>
      <x:c r="R167" s="392" t="n">
        <x:f>IF(M167=0,"",COUNTIFS('Specialisations'!$A$6:$A$527,A167,'Specialisations'!$B$6:$B$527,B167,'Specialisations'!$P$6:$P$527,"OK")/M167)</x:f>
        <x:v>1</x:v>
      </x:c>
      <x:c r="S167" s="494" t="n">
        <x:f>IF(Q167=0,"",SUMIFS('Specialisation Impact'!$K$19:$K$186,'Specialisation Impact'!$A$19:$A$186,A167,'Specialisation Impact'!$B$19:$B$186,B167))</x:f>
        <x:v>132.87</x:v>
      </x:c>
      <x:c r="T167" s="494" t="n">
        <x:f>IF(Q167=0,"",SUMIFS('Specialisation Impact'!$G$19:$G$186,'Specialisation Impact'!$A$19:$A$186,A167,'Specialisation Impact'!$B$19:$B$186,B167))</x:f>
        <x:v>-41.98</x:v>
      </x:c>
      <x:c r="U167" s="429" t="n">
        <x:f>IF(COUNTIFS('Specialisation Impact'!$A$19:$A$186,A167,'Specialisation Impact'!$B$19:$B$186,B167,'Specialisation Impact'!$S$19:$S$186,"&gt;0")=0,"",SUMIFS('Specialisation Impact'!$S$19:$S$186,'Specialisation Impact'!$A$19:$A$186,A167,'Specialisation Impact'!$B$19:$B$186,B167))</x:f>
        <x:v>80.97402597402598</x:v>
      </x:c>
      <x:c r="V167" s="429" t="n">
        <x:f>IF(COUNTIFS('Specialisation Impact'!$A$19:$A$186,A167,'Specialisation Impact'!$B$19:$B$186,B167,'Specialisation Impact'!$V$19:$V$186,"&gt;0")=0,"",SUMIFS('Specialisation Impact'!$V$19:$V$186,'Specialisation Impact'!$A$19:$A$186,A167,'Specialisation Impact'!$B$19:$B$186,B167))</x:f>
        <x:v>60.25641025641025</x:v>
      </x:c>
    </x:row>
    <x:row r="168">
      <x:c r="A168" s="771" t="str">
        <x:v>K138</x:v>
      </x:c>
      <x:c r="B168" s="771" t="str">
        <x:v>(RaW)Leprechaun</x:v>
      </x:c>
      <x:c r="C168" s="775" t="n">
        <x:v>62040</x:v>
      </x:c>
      <x:c r="D168" s="777" t="n">
        <x:v>3.1485000000000003</x:v>
      </x:c>
      <x:c r="E168" s="777" t="n">
        <x:v>2.721</x:v>
      </x:c>
      <x:c r="F168" s="777" t="n">
        <x:v>3.0260000000000002</x:v>
      </x:c>
      <x:c r="G168" s="777" t="n">
        <x:v>0.415</x:v>
      </x:c>
      <x:c r="H168" s="777" t="n">
        <x:v>-0.415</x:v>
      </x:c>
      <x:c r="I168" s="771" t="str">
        <x:v>Destroyers (Lv 50) — Parry</x:v>
      </x:c>
      <x:c r="J168" s="771" t="str">
        <x:v>Not shown in recording</x:v>
      </x:c>
      <x:c r="K168" s="771" t="str">
        <x:v>Storm cavalry (Lv 50) — Mounted Archery</x:v>
      </x:c>
      <x:c r="L168" s="771" t="str">
        <x:v>Not shown in recording</x:v>
      </x:c>
      <x:c r="M168" s="779" t="n">
        <x:v>2</x:v>
      </x:c>
      <x:c r="N168" s="771" t="str">
        <x:v>00:11.50</x:v>
      </x:c>
      <x:c r="O168" s="771" t="str">
        <x:v>00:11.50-00:15.50</x:v>
      </x:c>
      <x:c r="P168" s="771" t="str">
        <x:v>1000025953.mp4</x:v>
      </x:c>
      <x:c r="Q168" s="781" t="n">
        <x:f>SUMIFS('Specialisations'!$N$6:$N$527,'Specialisations'!$A$6:$A$527,A168,'Specialisations'!$B$6:$B$527,B168)</x:f>
        <x:v>20668600</x:v>
      </x:c>
      <x:c r="R168" s="782" t="n">
        <x:f>IF(M168=0,"",COUNTIFS('Specialisations'!$A$6:$A$527,A168,'Specialisations'!$B$6:$B$527,B168,'Specialisations'!$P$6:$P$527,"OK")/M168)</x:f>
        <x:v>1</x:v>
      </x:c>
      <x:c r="S168" s="783" t="n">
        <x:f>IF(Q168=0,"",SUMIFS('Specialisation Impact'!$K$19:$K$186,'Specialisation Impact'!$A$19:$A$186,A168,'Specialisation Impact'!$B$19:$B$186,B168))</x:f>
        <x:v>60</x:v>
      </x:c>
      <x:c r="T168" s="783" t="n">
        <x:f>IF(Q168=0,"",SUMIFS('Specialisation Impact'!$G$19:$G$186,'Specialisation Impact'!$A$19:$A$186,A168,'Specialisation Impact'!$B$19:$B$186,B168))</x:f>
        <x:v>-60</x:v>
      </x:c>
      <x:c r="U168" s="783" t="n">
        <x:f>IF(COUNTIFS('Specialisation Impact'!$A$19:$A$186,A168,'Specialisation Impact'!$B$19:$B$186,B168,'Specialisation Impact'!$S$19:$S$186,"&gt;0")=0,"",SUMIFS('Specialisation Impact'!$S$19:$S$186,'Specialisation Impact'!$A$19:$A$186,A168,'Specialisation Impact'!$B$19:$B$186,B168))</x:f>
        <x:v>29.48051948051948</x:v>
      </x:c>
      <x:c r="V168" s="783" t="n">
        <x:f>IF(COUNTIFS('Specialisation Impact'!$A$19:$A$186,A168,'Specialisation Impact'!$B$19:$B$186,B168,'Specialisation Impact'!$V$19:$V$186,"&gt;0")=0,"",SUMIFS('Specialisation Impact'!$V$19:$V$186,'Specialisation Impact'!$A$19:$A$186,A168,'Specialisation Impact'!$B$19:$B$186,B168))</x:f>
        <x:v>93.16239316239316</x:v>
      </x:c>
    </x:row>
    <x:row r="169">
      <x:c r="A169" s="774" t="str">
        <x:v>K138</x:v>
      </x:c>
      <x:c r="B169" s="774" t="str">
        <x:v>(RaW)༺TsuStark༻</x:v>
      </x:c>
      <x:c r="C169" s="776" t="n">
        <x:v>62000</x:v>
      </x:c>
      <x:c r="D169" s="778" t="n">
        <x:v>2.6910000000000003</x:v>
      </x:c>
      <x:c r="E169" s="778" t="n">
        <x:v>2.376</x:v>
      </x:c>
      <x:c r="F169" s="778" t="n">
        <x:v>2.616</x:v>
      </x:c>
      <x:c r="G169" s="778" t="n">
        <x:v>0.415</x:v>
      </x:c>
      <x:c r="H169" s="778" t="n">
        <x:v>-0.415</x:v>
      </x:c>
      <x:c r="I169" s="774" t="str">
        <x:v>Destroyers (Lv 42) — Parry</x:v>
      </x:c>
      <x:c r="J169" s="774" t="str">
        <x:v>Not shown in recording</x:v>
      </x:c>
      <x:c r="K169" s="774" t="str">
        <x:v>Storm cavalry (Lv 44) — Mounted Archery</x:v>
      </x:c>
      <x:c r="L169" s="774" t="str">
        <x:v>Not shown in recording</x:v>
      </x:c>
      <x:c r="M169" s="780" t="n">
        <x:v>2</x:v>
      </x:c>
      <x:c r="N169" s="774" t="str">
        <x:v>00:23.50</x:v>
      </x:c>
      <x:c r="O169" s="774" t="str">
        <x:v>00:23.50-00:26.50</x:v>
      </x:c>
      <x:c r="P169" s="774" t="str">
        <x:v>1000025953.mp4</x:v>
      </x:c>
      <x:c r="Q169" s="781" t="n">
        <x:f>SUMIFS('Specialisations'!$N$6:$N$527,'Specialisations'!$A$6:$A$527,A169,'Specialisations'!$B$6:$B$527,B169)</x:f>
        <x:v>6568600</x:v>
      </x:c>
      <x:c r="R169" s="782" t="n">
        <x:f>IF(M169=0,"",COUNTIFS('Specialisations'!$A$6:$A$527,A169,'Specialisations'!$B$6:$B$527,B169,'Specialisations'!$P$6:$P$527,"OK")/M169)</x:f>
        <x:v>1</x:v>
      </x:c>
      <x:c r="S169" s="783" t="n">
        <x:f>IF(Q169=0,"",SUMIFS('Specialisation Impact'!$K$19:$K$186,'Specialisation Impact'!$A$19:$A$186,A169,'Specialisation Impact'!$B$19:$B$186,B169))</x:f>
        <x:v>39.93</x:v>
      </x:c>
      <x:c r="T169" s="783" t="n">
        <x:f>IF(Q169=0,"",SUMIFS('Specialisation Impact'!$G$19:$G$186,'Specialisation Impact'!$A$19:$A$186,A169,'Specialisation Impact'!$B$19:$B$186,B169))</x:f>
        <x:v>-33.13</x:v>
      </x:c>
      <x:c r="U169" s="783" t="n">
        <x:f>IF(COUNTIFS('Specialisation Impact'!$A$19:$A$186,A169,'Specialisation Impact'!$B$19:$B$186,B169,'Specialisation Impact'!$S$19:$S$186,"&gt;0")=0,"",SUMIFS('Specialisation Impact'!$S$19:$S$186,'Specialisation Impact'!$A$19:$A$186,A169,'Specialisation Impact'!$B$19:$B$186,B169))</x:f>
        <x:v>5.454545454545455</x:v>
      </x:c>
      <x:c r="V169" s="783" t="n">
        <x:f>IF(COUNTIFS('Specialisation Impact'!$A$19:$A$186,A169,'Specialisation Impact'!$B$19:$B$186,B169,'Specialisation Impact'!$V$19:$V$186,"&gt;0")=0,"",SUMIFS('Specialisation Impact'!$V$19:$V$186,'Specialisation Impact'!$A$19:$A$186,A169,'Specialisation Impact'!$B$19:$B$186,B169))</x:f>
        <x:v>43.58974358974359</x:v>
      </x:c>
    </x:row>
    <x:row r="170">
      <x:c r="A170" s="771" t="str">
        <x:v>K138</x:v>
      </x:c>
      <x:c r="B170" s="771" t="str">
        <x:v>(RaW)ⓀⒶⓃⓃⓄⓃ</x:v>
      </x:c>
      <x:c r="C170" s="775" t="n">
        <x:v>62000</x:v>
      </x:c>
      <x:c r="D170" s="777" t="n">
        <x:v>2.721</x:v>
      </x:c>
      <x:c r="E170" s="777" t="n">
        <x:v>2.516</x:v>
      </x:c>
      <x:c r="F170" s="777" t="n">
        <x:v>2.6510000000000002</x:v>
      </x:c>
      <x:c r="G170" s="777" t="n">
        <x:v>0.415</x:v>
      </x:c>
      <x:c r="H170" s="777" t="n">
        <x:v>-0.415</x:v>
      </x:c>
      <x:c r="I170" s="771" t="str">
        <x:v>Destroyers (Lv 42) — Parry</x:v>
      </x:c>
      <x:c r="J170" s="771" t="str">
        <x:v>Not shown in recording</x:v>
      </x:c>
      <x:c r="K170" s="771" t="str">
        <x:v>Storm cavalry (Lv 46) — Mounted Archery</x:v>
      </x:c>
      <x:c r="L170" s="771" t="str">
        <x:v>Not shown in recording</x:v>
      </x:c>
      <x:c r="M170" s="779" t="n">
        <x:v>2</x:v>
      </x:c>
      <x:c r="N170" s="771" t="str">
        <x:v>00:35.50</x:v>
      </x:c>
      <x:c r="O170" s="771" t="str">
        <x:v>00:35.50-00:37.50</x:v>
      </x:c>
      <x:c r="P170" s="771" t="str">
        <x:v>1000025953.mp4</x:v>
      </x:c>
      <x:c r="Q170" s="781" t="n">
        <x:f>SUMIFS('Specialisations'!$N$6:$N$527,'Specialisations'!$A$6:$A$527,A170,'Specialisations'!$B$6:$B$527,B170)</x:f>
        <x:v>7848600</x:v>
      </x:c>
      <x:c r="R170" s="782" t="n">
        <x:f>IF(M170=0,"",COUNTIFS('Specialisations'!$A$6:$A$527,A170,'Specialisations'!$B$6:$B$527,B170,'Specialisations'!$P$6:$P$527,"OK")/M170)</x:f>
        <x:v>1</x:v>
      </x:c>
      <x:c r="S170" s="783" t="n">
        <x:f>IF(Q170=0,"",SUMIFS('Specialisation Impact'!$K$19:$K$186,'Specialisation Impact'!$A$19:$A$186,A170,'Specialisation Impact'!$B$19:$B$186,B170))</x:f>
        <x:v>45.13</x:v>
      </x:c>
      <x:c r="T170" s="783" t="n">
        <x:f>IF(Q170=0,"",SUMIFS('Specialisation Impact'!$G$19:$G$186,'Specialisation Impact'!$A$19:$A$186,A170,'Specialisation Impact'!$B$19:$B$186,B170))</x:f>
        <x:v>-33.13</x:v>
      </x:c>
      <x:c r="U170" s="783" t="n">
        <x:f>IF(COUNTIFS('Specialisation Impact'!$A$19:$A$186,A170,'Specialisation Impact'!$B$19:$B$186,B170,'Specialisation Impact'!$S$19:$S$186,"&gt;0")=0,"",SUMIFS('Specialisation Impact'!$S$19:$S$186,'Specialisation Impact'!$A$19:$A$186,A170,'Specialisation Impact'!$B$19:$B$186,B170))</x:f>
        <x:v>9.935064935064934</x:v>
      </x:c>
      <x:c r="V170" s="783" t="n">
        <x:f>IF(COUNTIFS('Specialisation Impact'!$A$19:$A$186,A170,'Specialisation Impact'!$B$19:$B$186,B170,'Specialisation Impact'!$V$19:$V$186,"&gt;0")=0,"",SUMIFS('Specialisation Impact'!$V$19:$V$186,'Specialisation Impact'!$A$19:$A$186,A170,'Specialisation Impact'!$B$19:$B$186,B170))</x:f>
        <x:v>43.58974358974359</x:v>
      </x:c>
    </x:row>
    <x:row r="171">
      <x:c r="A171" s="774" t="str">
        <x:v>K138</x:v>
      </x:c>
      <x:c r="B171" s="774" t="str">
        <x:v>(RaW)Des</x:v>
      </x:c>
      <x:c r="C171" s="776" t="n">
        <x:v>62000</x:v>
      </x:c>
      <x:c r="D171" s="778" t="n">
        <x:v>3.0535</x:v>
      </x:c>
      <x:c r="E171" s="778" t="n">
        <x:v>2.506</x:v>
      </x:c>
      <x:c r="F171" s="778" t="n">
        <x:v>2.716</x:v>
      </x:c>
      <x:c r="G171" s="778" t="n">
        <x:v>0.4375</x:v>
      </x:c>
      <x:c r="H171" s="778" t="n">
        <x:v>-0.415</x:v>
      </x:c>
      <x:c r="I171" s="774" t="str">
        <x:v>Destroyers (Lv 50) — Parry</x:v>
      </x:c>
      <x:c r="J171" s="774" t="str">
        <x:v>Not shown in recording</x:v>
      </x:c>
      <x:c r="K171" s="774" t="str">
        <x:v>Storm cavalry (Lv 50) — Mounted Archery</x:v>
      </x:c>
      <x:c r="L171" s="774" t="str">
        <x:v>Not shown in recording</x:v>
      </x:c>
      <x:c r="M171" s="780" t="n">
        <x:v>2</x:v>
      </x:c>
      <x:c r="N171" s="774" t="str">
        <x:v>00:55.50</x:v>
      </x:c>
      <x:c r="O171" s="774" t="str">
        <x:v>00:55.50-00:57.50</x:v>
      </x:c>
      <x:c r="P171" s="774" t="str">
        <x:v>1000025953.mp4</x:v>
      </x:c>
      <x:c r="Q171" s="781" t="n">
        <x:f>SUMIFS('Specialisations'!$N$6:$N$527,'Specialisations'!$A$6:$A$527,A171,'Specialisations'!$B$6:$B$527,B171)</x:f>
        <x:v>20668600</x:v>
      </x:c>
      <x:c r="R171" s="782" t="n">
        <x:f>IF(M171=0,"",COUNTIFS('Specialisations'!$A$6:$A$527,A171,'Specialisations'!$B$6:$B$527,B171,'Specialisations'!$P$6:$P$527,"OK")/M171)</x:f>
        <x:v>1</x:v>
      </x:c>
      <x:c r="S171" s="783" t="n">
        <x:f>IF(Q171=0,"",SUMIFS('Specialisation Impact'!$K$19:$K$186,'Specialisation Impact'!$A$19:$A$186,A171,'Specialisation Impact'!$B$19:$B$186,B171))</x:f>
        <x:v>60</x:v>
      </x:c>
      <x:c r="T171" s="783" t="n">
        <x:f>IF(Q171=0,"",SUMIFS('Specialisation Impact'!$G$19:$G$186,'Specialisation Impact'!$A$19:$A$186,A171,'Specialisation Impact'!$B$19:$B$186,B171))</x:f>
        <x:v>-60</x:v>
      </x:c>
      <x:c r="U171" s="783" t="n">
        <x:f>IF(COUNTIFS('Specialisation Impact'!$A$19:$A$186,A171,'Specialisation Impact'!$B$19:$B$186,B171,'Specialisation Impact'!$S$19:$S$186,"&gt;0")=0,"",SUMIFS('Specialisation Impact'!$S$19:$S$186,'Specialisation Impact'!$A$19:$A$186,A171,'Specialisation Impact'!$B$19:$B$186,B171))</x:f>
        <x:v>29.48051948051948</x:v>
      </x:c>
      <x:c r="V171" s="783" t="n">
        <x:f>IF(COUNTIFS('Specialisation Impact'!$A$19:$A$186,A171,'Specialisation Impact'!$B$19:$B$186,B171,'Specialisation Impact'!$V$19:$V$186,"&gt;0")=0,"",SUMIFS('Specialisation Impact'!$V$19:$V$186,'Specialisation Impact'!$A$19:$A$186,A171,'Specialisation Impact'!$B$19:$B$186,B171))</x:f>
        <x:v>93.16239316239316</x:v>
      </x:c>
    </x:row>
  </x:sheetData>
  <x:mergeCells>
    <x:mergeCell ref="A1:V1"/>
    <x:mergeCell ref="A2:V2"/>
  </x:mergeCells>
  <x:conditionalFormatting sqref="R5:R167">
    <x:cfRule type="cellIs" dxfId="7" priority="1" operator="lessThan">
      <x:formula>1</x:formula>
    </x:cfRule>
  </x:conditionalFormatting>
  <x:conditionalFormatting sqref="T5:T167">
    <x:cfRule type="cellIs" dxfId="2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99afef49be46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36" hidden="0" customWidth="1"/>
    <x:col min="18" max="18" width="2" hidden="0" customWidth="1"/>
    <x:col min="19" max="19" width="11" hidden="0" customWidth="1"/>
    <x:col min="20" max="20" width="10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0" hidden="0" customWidth="1"/>
    <x:col min="27" max="27" width="24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30" customHeight="1">
      <x:c r="A1" s="3" t="str">
        <x:v>Overall Strength, Control &amp; Matchup Probability</x:v>
      </x:c>
      <x:c r="B1" s="3" t="str">
        <x:v>Overall Strength &amp; Matchup Probability</x:v>
      </x:c>
      <x:c r="C1" s="3" t="str">
        <x:v>Overall Strength &amp; Matchup Probability</x:v>
      </x:c>
      <x:c r="D1" s="3" t="str">
        <x:v>Overall Strength &amp; Matchup Probability</x:v>
      </x:c>
      <x:c r="E1" s="3" t="str">
        <x:v>Overall Strength &amp; Matchup Probability</x:v>
      </x:c>
      <x:c r="F1" s="3" t="str">
        <x:v>Overall Strength &amp; Matchup Probability</x:v>
      </x:c>
      <x:c r="G1" s="3" t="str">
        <x:v>Overall Strength &amp; Matchup Probability</x:v>
      </x:c>
      <x:c r="H1" s="3" t="str">
        <x:v>Overall Strength &amp; Matchup Probability</x:v>
      </x:c>
      <x:c r="I1" s="3" t="str">
        <x:v>Overall Strength &amp; Matchup Probability</x:v>
      </x:c>
      <x:c r="J1" s="3" t="str">
        <x:v>Overall Strength &amp; Matchup Probability</x:v>
      </x:c>
      <x:c r="K1" s="3" t="str">
        <x:v>Overall Strength &amp; Matchup Probability</x:v>
      </x:c>
      <x:c r="L1" s="3" t="str">
        <x:v>Overall Strength &amp; Matchup Probability</x:v>
      </x:c>
      <x:c r="M1" s="3" t="str">
        <x:v>Overall Strength &amp; Matchup Probability</x:v>
      </x:c>
      <x:c r="N1" s="3" t="str">
        <x:v>Overall Strength &amp; Matchup Probability</x:v>
      </x:c>
      <x:c r="O1" s="3" t="str">
        <x:v>Overall Strength &amp; Matchup Probability</x:v>
      </x:c>
      <x:c r="P1" s="3" t="str">
        <x:v>Overall Strength &amp; Matchup Probability</x:v>
      </x:c>
      <x:c r="Q1" s="3" t="str">
        <x:v>Overall Strength &amp; Matchup Probability</x:v>
      </x:c>
      <x:c r="S1" s="2" t="str">
        <x:v>Strength Model Audit</x:v>
      </x:c>
      <x:c r="T1" s="2" t="str">
        <x:v>Strength Model Audit</x:v>
      </x:c>
      <x:c r="U1" s="2" t="str">
        <x:v>Strength Model Audit</x:v>
      </x:c>
      <x:c r="V1" s="2" t="str">
        <x:v>Strength Model Audit</x:v>
      </x:c>
      <x:c r="W1" s="2" t="str">
        <x:v>Strength Model Audit</x:v>
      </x:c>
      <x:c r="X1" s="2" t="str">
        <x:v>Strength Model Audit</x:v>
      </x:c>
      <x:c r="Y1" s="2" t="str">
        <x:v>Strength Model Audit</x:v>
      </x:c>
      <x:c r="Z1" s="2" t="str">
        <x:v>Strength Model Audit</x:v>
      </x:c>
      <x:c r="AA1" s="2" t="str">
        <x:v>Strength Model Audit</x:v>
      </x:c>
      <x:c r="AB1" s="2" t="str">
        <x:v>Strength Model Audit</x:v>
      </x:c>
    </x:row>
    <x:row r="2" ht="24" customHeight="1">
      <x:c r="A2" s="7" t="str">
        <x:v>25% specialisation and Cavalry-dominant offense, with Damage and Guards shown separately before the strongest-starter matchup adjustment.</x:v>
      </x:c>
      <x:c r="B2" s="7" t="str">
        <x:v>Elite-weighted, statistics-only ranking and estimated chance that the row kingdom beats each opponent</x:v>
      </x:c>
      <x:c r="C2" s="7" t="str">
        <x:v>Elite-weighted, statistics-only ranking and estimated chance that the row kingdom beats each opponent</x:v>
      </x:c>
      <x:c r="D2" s="7" t="str">
        <x:v>Elite-weighted, statistics-only ranking and estimated chance that the row kingdom beats each opponent</x:v>
      </x:c>
      <x:c r="E2" s="7" t="str">
        <x:v>Elite-weighted, statistics-only ranking and estimated chance that the row kingdom beats each opponent</x:v>
      </x:c>
      <x:c r="F2" s="7" t="str">
        <x:v>Elite-weighted, statistics-only ranking and estimated chance that the row kingdom beats each opponent</x:v>
      </x:c>
      <x:c r="G2" s="7" t="str">
        <x:v>Elite-weighted, statistics-only ranking and estimated chance that the row kingdom beats each opponent</x:v>
      </x:c>
      <x:c r="H2" s="7" t="str">
        <x:v>Elite-weighted, statistics-only ranking and estimated chance that the row kingdom beats each opponent</x:v>
      </x:c>
      <x:c r="I2" s="7" t="str">
        <x:v>Elite-weighted, statistics-only ranking and estimated chance that the row kingdom beats each opponent</x:v>
      </x:c>
      <x:c r="J2" s="7" t="str">
        <x:v>Elite-weighted, statistics-only ranking and estimated chance that the row kingdom beats each opponent</x:v>
      </x:c>
      <x:c r="K2" s="7" t="str">
        <x:v>Elite-weighted, statistics-only ranking and estimated chance that the row kingdom beats each opponent</x:v>
      </x:c>
      <x:c r="L2" s="7" t="str">
        <x:v>Elite-weighted, statistics-only ranking and estimated chance that the row kingdom beats each opponent</x:v>
      </x:c>
      <x:c r="M2" s="7" t="str">
        <x:v>Elite-weighted, statistics-only ranking and estimated chance that the row kingdom beats each opponent</x:v>
      </x:c>
      <x:c r="N2" s="7" t="str">
        <x:v>Elite-weighted, statistics-only ranking and estimated chance that the row kingdom beats each opponent</x:v>
      </x:c>
      <x:c r="O2" s="7" t="str">
        <x:v>Elite-weighted, statistics-only ranking and estimated chance that the row kingdom beats each opponent</x:v>
      </x:c>
      <x:c r="P2" s="7" t="str">
        <x:v>Elite-weighted, statistics-only ranking and estimated chance that the row kingdom beats each opponent</x:v>
      </x:c>
      <x:c r="Q2" s="7" t="str">
        <x:v>Elite-weighted, statistics-only ranking and estimated chance that the row kingdom beats each opponent</x:v>
      </x:c>
      <x:c r="S2" s="5" t="str">
        <x:v>Auditable Damage / Guards split for overall and matchup strength</x:v>
      </x:c>
      <x:c r="T2" s="5" t="str">
        <x:v>Exact components behind the ranked score</x:v>
      </x:c>
      <x:c r="U2" s="5" t="str">
        <x:v>Exact components behind the ranked score</x:v>
      </x:c>
      <x:c r="V2" s="5" t="str">
        <x:v>Exact components behind the ranked score</x:v>
      </x:c>
      <x:c r="W2" s="5" t="str">
        <x:v>Exact components behind the ranked score</x:v>
      </x:c>
      <x:c r="X2" s="5" t="str">
        <x:v>Exact components behind the ranked score</x:v>
      </x:c>
      <x:c r="Y2" s="5" t="str">
        <x:v>Exact components behind the ranked score</x:v>
      </x:c>
      <x:c r="Z2" s="5" t="str">
        <x:v>Exact components behind the ranked score</x:v>
      </x:c>
      <x:c r="AA2" s="5" t="str">
        <x:v>Exact components behind the ranked score</x:v>
      </x:c>
      <x:c r="AB2" s="5" t="str">
        <x:v>Exact components behind the ranked score</x:v>
      </x:c>
    </x:row>
    <x:row r="4" ht="44" customHeight="1">
      <x:c r="A4" s="46" t="str">
        <x:v>Calibrated Overall Strength Ranking</x:v>
      </x:c>
      <x:c r="B4" s="46" t="str">
        <x:v>Calibrated Overall Strength Ranking</x:v>
      </x:c>
      <x:c r="C4" s="46" t="str">
        <x:v>Calibrated Overall Strength Ranking</x:v>
      </x:c>
      <x:c r="D4" s="46" t="str">
        <x:v>Calibrated Overall Strength Ranking</x:v>
      </x:c>
      <x:c r="E4" s="46" t="str">
        <x:v>Calibrated Overall Strength Ranking</x:v>
      </x:c>
      <x:c r="F4" s="46" t="str">
        <x:v>Calibrated Overall Strength Ranking</x:v>
      </x:c>
      <x:c r="H4" s="46" t="str">
        <x:v>Estimated throne-clash chance — row kingdom beats column kingdom</x:v>
      </x:c>
      <x:c r="I4" s="46" t="str">
        <x:v>Estimated win chance — row kingdom beats column kingdom</x:v>
      </x:c>
      <x:c r="J4" s="46" t="str">
        <x:v>Estimated win chance — row kingdom beats column kingdom</x:v>
      </x:c>
      <x:c r="K4" s="46" t="str">
        <x:v>Estimated win chance — row kingdom beats column kingdom</x:v>
      </x:c>
      <x:c r="L4" s="46" t="str">
        <x:v>Estimated win chance — row kingdom beats column kingdom</x:v>
      </x:c>
      <x:c r="M4" s="46" t="str">
        <x:v>Estimated win chance — row kingdom beats column kingdom</x:v>
      </x:c>
      <x:c r="N4" s="46" t="str">
        <x:v>Estimated win chance — row kingdom beats column kingdom</x:v>
      </x:c>
      <x:c r="O4" s="46" t="str">
        <x:v>Estimated win chance — row kingdom beats column kingdom</x:v>
      </x:c>
      <x:c r="P4" s="46" t="str">
        <x:v>Estimated win chance — row kingdom beats column kingdom</x:v>
      </x:c>
      <x:c r="Q4" s="46" t="str">
        <x:v>Estimated win chance — row kingdom beats column kingdom</x:v>
      </x:c>
      <x:c r="S4" s="722" t="str">
        <x:v>Kingdom</x:v>
      </x:c>
      <x:c r="T4" s="722" t="str">
        <x:v>Profiles</x:v>
      </x:c>
      <x:c r="U4" s="722" t="str">
        <x:v>Damage Strength</x:v>
      </x:c>
      <x:c r="V4" s="722" t="str">
        <x:v>Guards Strength</x:v>
      </x:c>
      <x:c r="W4" s="722" t="str">
        <x:v>Matchup Guards</x:v>
      </x:c>
      <x:c r="X4" s="722" t="str">
        <x:v>Stats Strength</x:v>
      </x:c>
      <x:c r="Y4" s="722" t="str">
        <x:v>Specialisation</x:v>
      </x:c>
      <x:c r="Z4" s="722" t="str">
        <x:v>Spec Rank</x:v>
      </x:c>
      <x:c r="AA4" s="722" t="str">
        <x:v>Main Tank</x:v>
      </x:c>
      <x:c r="AB4" s="722" t="str">
        <x:v>Main Tank Score</x:v>
      </x:c>
      <x:c r="AC4" s="722" t="str">
        <x:v>Tank Control</x:v>
      </x:c>
      <x:c r="AD4" s="722" t="str">
        <x:v>Overall Strength</x:v>
      </x:c>
      <x:c r="AE4" s="722" t="str">
        <x:v>Matchup Strength</x:v>
      </x:c>
    </x:row>
    <x:row r="5" ht="20" customHeight="1">
      <x:c r="A5" s="722" t="str">
        <x:v>Rank</x:v>
      </x:c>
      <x:c r="B5" s="722" t="str">
        <x:v>Kingdom</x:v>
      </x:c>
      <x:c r="C5" s="722" t="str">
        <x:v>Overall Strength</x:v>
      </x:c>
      <x:c r="D5" s="722" t="str">
        <x:v>Damage Strength</x:v>
      </x:c>
      <x:c r="E5" s="722" t="str">
        <x:v>Guards Strength</x:v>
      </x:c>
      <x:c r="F5" s="722" t="str">
        <x:v>Specialisation</x:v>
      </x:c>
      <x:c r="G5" s="723" t="str">
        <x:v>Matchup Strength</x:v>
      </x:c>
      <x:c r="H5" s="42" t="str">
        <x:f>'Specialisation Scenarios'!M13</x:f>
        <x:v>Row ↓ / vs →</x:v>
      </x:c>
      <x:c r="I5" s="331" t="str">
        <x:f>'Specialisation Scenarios'!N13</x:f>
        <x:v>K54</x:v>
      </x:c>
      <x:c r="J5" s="333" t="str">
        <x:f>'Specialisation Scenarios'!O13</x:f>
        <x:v>K197</x:v>
      </x:c>
      <x:c r="K5" s="335" t="str">
        <x:f>'Specialisation Scenarios'!P13</x:f>
        <x:v>K116</x:v>
      </x:c>
      <x:c r="L5" s="336" t="str">
        <x:f>'Specialisation Scenarios'!Q13</x:f>
        <x:v>K60</x:v>
      </x:c>
      <x:c r="M5" s="338" t="str">
        <x:f>'Specialisation Scenarios'!R13</x:f>
        <x:v>K91</x:v>
      </x:c>
      <x:c r="N5" s="340" t="str">
        <x:f>'Specialisation Scenarios'!S13</x:f>
        <x:v>K176</x:v>
      </x:c>
      <x:c r="O5" s="342" t="str">
        <x:f>'Specialisation Scenarios'!T13</x:f>
        <x:v>K138</x:v>
      </x:c>
      <x:c r="P5" s="343" t="str">
        <x:f>'Specialisation Scenarios'!U13</x:f>
        <x:v>K170</x:v>
      </x:c>
      <x:c r="Q5" s="706" t="str">
        <x:v>Status</x:v>
      </x:c>
      <x:c r="S5" s="747" t="str">
        <x:f>'Specialisation Scenarios'!A26</x:f>
        <x:v>K54</x:v>
      </x:c>
      <x:c r="T5" s="748" t="n">
        <x:f>'Specialisation Scenarios'!B26</x:f>
        <x:v>11</x:v>
      </x:c>
      <x:c r="U5" s="749" t="n">
        <x:f>'Specialisation Scenarios'!AA26</x:f>
        <x:v>84.12921828509107</x:v>
      </x:c>
      <x:c r="V5" s="749" t="n">
        <x:f>'Specialisation Scenarios'!AB26</x:f>
        <x:v>86.2317461175632</x:v>
      </x:c>
      <x:c r="W5" s="749" t="n">
        <x:f>'Specialisation Scenarios'!AC26</x:f>
        <x:v>87.77799260632266</x:v>
      </x:c>
      <x:c r="X5" s="749" t="n">
        <x:f>'Specialisation Scenarios'!L26</x:f>
        <x:v>85.04060098002569</x:v>
      </x:c>
      <x:c r="Y5" s="749" t="n">
        <x:f>'Specialisation Scenarios'!G26</x:f>
        <x:v>84.44373555737192</x:v>
      </x:c>
      <x:c r="Z5" s="748" t="n">
        <x:f>'Specialisation Scenarios'!H26</x:f>
        <x:v>1</x:v>
      </x:c>
      <x:c r="AA5" s="749" t="str">
        <x:f>'Specialisation Scenarios'!X26</x:f>
        <x:v>爽歪歪</x:v>
      </x:c>
      <x:c r="AB5" s="749" t="n">
        <x:f>'Specialisation Scenarios'!I26</x:f>
        <x:v>94.52688397207652</x:v>
      </x:c>
      <x:c r="AC5" s="750" t="n">
        <x:f>'Specialisation Scenarios'!J26</x:f>
        <x:v>67.95435172080309</x:v>
      </x:c>
      <x:c r="AD5" s="750" t="n">
        <x:f>'Specialisation Scenarios'!T26</x:f>
        <x:v>84.89138462436225</x:v>
      </x:c>
      <x:c r="AE5" s="751" t="n">
        <x:f>'Specialisation Scenarios'!V26</x:f>
        <x:v>85.45189897653754</x:v>
      </x:c>
    </x:row>
    <x:row r="6" ht="20" customHeight="1">
      <x:c r="A6" s="668" t="n">
        <x:f>'Specialisation Scenarios'!A14</x:f>
        <x:v>1</x:v>
      </x:c>
      <x:c r="B6" s="669" t="str">
        <x:f>'Specialisation Scenarios'!B14</x:f>
        <x:v>K54</x:v>
      </x:c>
      <x:c r="C6" s="48" t="n">
        <x:f>'Specialisation Scenarios'!C14</x:f>
        <x:v>84.89138462436225</x:v>
      </x:c>
      <x:c r="D6" s="48" t="n">
        <x:f>SUMIFS('Specialisation Scenarios'!$AA$26:$AA$33,'Specialisation Scenarios'!$A$26:$A$33,B6)</x:f>
        <x:v>84.12921828509107</x:v>
      </x:c>
      <x:c r="E6" s="48" t="n">
        <x:f>SUMIFS('Specialisation Scenarios'!$AB$26:$AB$33,'Specialisation Scenarios'!$A$26:$A$33,B6)</x:f>
        <x:v>86.2317461175632</x:v>
      </x:c>
      <x:c r="F6" s="48" t="n">
        <x:f>'Specialisation Scenarios'!E14</x:f>
        <x:v>84.44373555737192</x:v>
      </x:c>
      <x:c r="G6" s="724" t="n">
        <x:f>'Specialisation Scenarios'!G14</x:f>
        <x:v>85.45189897653754</x:v>
      </x:c>
      <x:c r="H6" s="331" t="str">
        <x:f>'Specialisation Scenarios'!M14</x:f>
        <x:v>K54</x:v>
      </x:c>
      <x:c r="I6" s="346" t="str">
        <x:f>'Specialisation Scenarios'!N14</x:f>
        <x:v>—</x:v>
      </x:c>
      <x:c r="J6" s="107" t="n">
        <x:f>'Specialisation Scenarios'!O14</x:f>
        <x:v>0.6700001324258327</x:v>
      </x:c>
      <x:c r="K6" s="109" t="n">
        <x:f>'Specialisation Scenarios'!P14</x:f>
        <x:v>0.7691967864253735</x:v>
      </x:c>
      <x:c r="L6" s="109" t="n">
        <x:f>'Specialisation Scenarios'!Q14</x:f>
        <x:v>0.7361335150196685</x:v>
      </x:c>
      <x:c r="M6" s="109" t="n">
        <x:f>'Specialisation Scenarios'!R14</x:f>
        <x:v>0.7622616678515847</x:v>
      </x:c>
      <x:c r="N6" s="109" t="n">
        <x:f>'Specialisation Scenarios'!S14</x:f>
        <x:v>0.7245274111275888</x:v>
      </x:c>
      <x:c r="O6" s="109" t="n">
        <x:f>'Specialisation Scenarios'!T14</x:f>
        <x:v>0.7931712356546687</x:v>
      </x:c>
      <x:c r="P6" s="109" t="n">
        <x:f>'Specialisation Scenarios'!U14</x:f>
        <x:v>0.8</x:v>
      </x:c>
      <x:c r="Q6" s="707" t="str">
        <x:f>'Specialisation Scenarios'!K14</x:f>
        <x:v>Usable — Guard gaps left neutral</x:v>
      </x:c>
      <x:c r="S6" s="752" t="str">
        <x:f>'Specialisation Scenarios'!A27</x:f>
        <x:v>K197</x:v>
      </x:c>
      <x:c r="T6" s="744" t="n">
        <x:f>'Specialisation Scenarios'!B27</x:f>
        <x:v>19</x:v>
      </x:c>
      <x:c r="U6" s="745" t="n">
        <x:f>'Specialisation Scenarios'!AA27</x:f>
        <x:v>69.98506129821688</x:v>
      </x:c>
      <x:c r="V6" s="745" t="n">
        <x:f>'Specialisation Scenarios'!AB27</x:f>
        <x:v>81.87940082474078</x:v>
      </x:c>
      <x:c r="W6" s="745" t="n">
        <x:f>'Specialisation Scenarios'!AC27</x:f>
        <x:v>83.34796564397948</x:v>
      </x:c>
      <x:c r="X6" s="745" t="n">
        <x:f>'Specialisation Scenarios'!L27</x:f>
        <x:v>74.38259247963643</x:v>
      </x:c>
      <x:c r="Y6" s="745" t="n">
        <x:f>'Specialisation Scenarios'!G27</x:f>
        <x:v>74.03926006741797</x:v>
      </x:c>
      <x:c r="Z6" s="744" t="n">
        <x:f>'Specialisation Scenarios'!H27</x:f>
        <x:v>6</x:v>
      </x:c>
      <x:c r="AA6" s="745" t="str">
        <x:f>'Specialisation Scenarios'!X27</x:f>
        <x:v>Хлебушек</x:v>
      </x:c>
      <x:c r="AB6" s="745" t="n">
        <x:f>'Specialisation Scenarios'!I27</x:f>
        <x:v>89.05376794415304</x:v>
      </x:c>
      <x:c r="AC6" s="753" t="n">
        <x:f>'Specialisation Scenarios'!J27</x:f>
        <x:v>63.81620956908795</x:v>
      </x:c>
      <x:c r="AD6" s="753" t="n">
        <x:f>'Specialisation Scenarios'!T27</x:f>
        <x:v>74.29675937658182</x:v>
      </x:c>
      <x:c r="AE6" s="754" t="n">
        <x:f>'Specialisation Scenarios'!V27</x:f>
        <x:v>74.82911412355585</x:v>
      </x:c>
    </x:row>
    <x:row r="7" ht="20" customHeight="1">
      <x:c r="A7" s="49" t="n">
        <x:f>'Specialisation Scenarios'!A15</x:f>
        <x:v>2</x:v>
      </x:c>
      <x:c r="B7" s="670" t="str">
        <x:f>'Specialisation Scenarios'!B15</x:f>
        <x:v>K197</x:v>
      </x:c>
      <x:c r="C7" s="48" t="n">
        <x:f>'Specialisation Scenarios'!C15</x:f>
        <x:v>74.29675937658182</x:v>
      </x:c>
      <x:c r="D7" s="48" t="n">
        <x:f>SUMIFS('Specialisation Scenarios'!$AA$26:$AA$33,'Specialisation Scenarios'!$A$26:$A$33,B7)</x:f>
        <x:v>69.98506129821688</x:v>
      </x:c>
      <x:c r="E7" s="48" t="n">
        <x:f>SUMIFS('Specialisation Scenarios'!$AB$26:$AB$33,'Specialisation Scenarios'!$A$26:$A$33,B7)</x:f>
        <x:v>81.87940082474078</x:v>
      </x:c>
      <x:c r="F7" s="48" t="n">
        <x:f>'Specialisation Scenarios'!E15</x:f>
        <x:v>74.03926006741797</x:v>
      </x:c>
      <x:c r="G7" s="724" t="n">
        <x:f>'Specialisation Scenarios'!G15</x:f>
        <x:v>74.82911412355585</x:v>
      </x:c>
      <x:c r="H7" s="333" t="str">
        <x:f>'Specialisation Scenarios'!M15</x:f>
        <x:v>K197</x:v>
      </x:c>
      <x:c r="I7" s="111" t="n">
        <x:f>'Specialisation Scenarios'!N15</x:f>
        <x:v>0.3299998675741673</x:v>
      </x:c>
      <x:c r="J7" s="346" t="str">
        <x:f>'Specialisation Scenarios'!O15</x:f>
        <x:v>—</x:v>
      </x:c>
      <x:c r="K7" s="113" t="n">
        <x:f>'Specialisation Scenarios'!P15</x:f>
        <x:v>0.6214237523930343</x:v>
      </x:c>
      <x:c r="L7" s="113" t="n">
        <x:f>'Specialisation Scenarios'!Q15</x:f>
        <x:v>0.5787837636302594</x:v>
      </x:c>
      <x:c r="M7" s="107" t="n">
        <x:f>'Specialisation Scenarios'!R15</x:f>
        <x:v>0.6122864920483095</x:v>
      </x:c>
      <x:c r="N7" s="107" t="n">
        <x:f>'Specialisation Scenarios'!S15</x:f>
        <x:v>0.5643525454468797</x:v>
      </x:c>
      <x:c r="O7" s="107" t="n">
        <x:f>'Specialisation Scenarios'!T15</x:f>
        <x:v>0.6538401522357496</x:v>
      </x:c>
      <x:c r="P7" s="109" t="n">
        <x:f>'Specialisation Scenarios'!U15</x:f>
        <x:v>0.7162637070369025</x:v>
      </x:c>
      <x:c r="Q7" s="707" t="str">
        <x:f>'Specialisation Scenarios'!K15</x:f>
        <x:v>Usable — Guard gaps left neutral</x:v>
      </x:c>
      <x:c r="S7" s="755" t="str">
        <x:f>'Specialisation Scenarios'!A28</x:f>
        <x:v>K116</x:v>
      </x:c>
      <x:c r="T7" s="740" t="n">
        <x:f>'Specialisation Scenarios'!B28</x:f>
        <x:v>20</x:v>
      </x:c>
      <x:c r="U7" s="741" t="n">
        <x:f>'Specialisation Scenarios'!AA28</x:f>
        <x:v>63.11065860686547</x:v>
      </x:c>
      <x:c r="V7" s="741" t="n">
        <x:f>'Specialisation Scenarios'!AB28</x:f>
        <x:v>75.14674962903362</x:v>
      </x:c>
      <x:c r="W7" s="741" t="n">
        <x:f>'Specialisation Scenarios'!AC28</x:f>
        <x:v>74.93002330715272</x:v>
      </x:c>
      <x:c r="X7" s="741" t="n">
        <x:f>'Specialisation Scenarios'!L28</x:f>
        <x:v>69.05290355049166</x:v>
      </x:c>
      <x:c r="Y7" s="741" t="n">
        <x:f>'Specialisation Scenarios'!G28</x:f>
        <x:v>62.73625575813077</x:v>
      </x:c>
      <x:c r="Z7" s="740" t="n">
        <x:f>'Specialisation Scenarios'!H28</x:f>
        <x:v>8</x:v>
      </x:c>
      <x:c r="AA7" s="741" t="str">
        <x:f>'Specialisation Scenarios'!X28</x:f>
        <x:v>Jesse</x:v>
      </x:c>
      <x:c r="AB7" s="741" t="n">
        <x:f>'Specialisation Scenarios'!I28</x:f>
        <x:v>74.28901926266018</x:v>
      </x:c>
      <x:c r="AC7" s="756" t="n">
        <x:f>'Specialisation Scenarios'!J28</x:f>
        <x:v>78.01350123868755</x:v>
      </x:c>
      <x:c r="AD7" s="756" t="n">
        <x:f>'Specialisation Scenarios'!T28</x:f>
        <x:v>67.47374160240145</x:v>
      </x:c>
      <x:c r="AE7" s="757" t="n">
        <x:f>'Specialisation Scenarios'!V28</x:f>
        <x:v>67.39517831071961</x:v>
      </x:c>
    </x:row>
    <x:row r="8" ht="20" customHeight="1">
      <x:c r="A8" s="49" t="n">
        <x:f>'Specialisation Scenarios'!A16</x:f>
        <x:v>3</x:v>
      </x:c>
      <x:c r="B8" s="671" t="str">
        <x:f>'Specialisation Scenarios'!B16</x:f>
        <x:v>K176</x:v>
      </x:c>
      <x:c r="C8" s="48" t="n">
        <x:f>'Specialisation Scenarios'!C16</x:f>
        <x:v>70.70033854322165</x:v>
      </x:c>
      <x:c r="D8" s="48" t="n">
        <x:f>SUMIFS('Specialisation Scenarios'!$AA$26:$AA$33,'Specialisation Scenarios'!$A$26:$A$33,B8)</x:f>
        <x:v>70.24832934284323</x:v>
      </x:c>
      <x:c r="E8" s="48" t="n">
        <x:f>SUMIFS('Specialisation Scenarios'!$AB$26:$AB$33,'Specialisation Scenarios'!$A$26:$A$33,B8)</x:f>
        <x:v>71.49525127492159</x:v>
      </x:c>
      <x:c r="F8" s="48" t="n">
        <x:f>'Specialisation Scenarios'!E16</x:f>
        <x:v>82.96306471306472</x:v>
      </x:c>
      <x:c r="G8" s="724" t="n">
        <x:f>'Specialisation Scenarios'!G16</x:f>
        <x:v>70.9464269584477</x:v>
      </x:c>
      <x:c r="H8" s="335" t="str">
        <x:f>'Specialisation Scenarios'!M16</x:f>
        <x:v>K116</x:v>
      </x:c>
      <x:c r="I8" s="115" t="n">
        <x:f>'Specialisation Scenarios'!N16</x:f>
        <x:v>0.2308032135746266</x:v>
      </x:c>
      <x:c r="J8" s="113" t="n">
        <x:f>'Specialisation Scenarios'!O16</x:f>
        <x:v>0.3785762476069658</x:v>
      </x:c>
      <x:c r="K8" s="346" t="str">
        <x:f>'Specialisation Scenarios'!P16</x:f>
        <x:v>—</x:v>
      </x:c>
      <x:c r="L8" s="113" t="n">
        <x:f>'Specialisation Scenarios'!Q16</x:f>
        <x:v>0.45566347956639286</x:v>
      </x:c>
      <x:c r="M8" s="107" t="n">
        <x:f>'Specialisation Scenarios'!R16</x:f>
        <x:v>0.4903356765555327</x:v>
      </x:c>
      <x:c r="N8" s="107" t="n">
        <x:f>'Specialisation Scenarios'!S16</x:f>
        <x:v>0.44108743912537435</x:v>
      </x:c>
      <x:c r="O8" s="107" t="n">
        <x:f>'Specialisation Scenarios'!T16</x:f>
        <x:v>0.5350341287172379</x:v>
      </x:c>
      <x:c r="P8" s="109" t="n">
        <x:f>'Specialisation Scenarios'!U16</x:f>
        <x:v>0.6059709531616537</x:v>
      </x:c>
      <x:c r="Q8" s="707" t="str">
        <x:f>'Specialisation Scenarios'!K16</x:f>
        <x:v>Usable — Guard gaps left neutral</x:v>
      </x:c>
      <x:c r="S8" s="752" t="str">
        <x:f>'Specialisation Scenarios'!A29</x:f>
        <x:v>K60</x:v>
      </x:c>
      <x:c r="T8" s="744" t="n">
        <x:f>'Specialisation Scenarios'!B29</x:f>
        <x:v>25</x:v>
      </x:c>
      <x:c r="U8" s="745" t="n">
        <x:f>'Specialisation Scenarios'!AA29</x:f>
        <x:v>73.87176967176676</x:v>
      </x:c>
      <x:c r="V8" s="745" t="n">
        <x:f>'Specialisation Scenarios'!AB29</x:f>
        <x:v>64.21773915798425</x:v>
      </x:c>
      <x:c r="W8" s="745" t="n">
        <x:f>'Specialisation Scenarios'!AC29</x:f>
        <x:v>63.363094427811234</x:v>
      </x:c>
      <x:c r="X8" s="745" t="n">
        <x:f>'Specialisation Scenarios'!L29</x:f>
        <x:v>67.03747617525885</x:v>
      </x:c>
      <x:c r="Y8" s="745" t="n">
        <x:f>'Specialisation Scenarios'!G29</x:f>
        <x:v>80.37630591630591</x:v>
      </x:c>
      <x:c r="Z8" s="744" t="n">
        <x:f>'Specialisation Scenarios'!H29</x:f>
        <x:v>3</x:v>
      </x:c>
      <x:c r="AA8" s="745" t="str">
        <x:f>'Specialisation Scenarios'!X29</x:f>
        <x:v>CerialKiller</x:v>
      </x:c>
      <x:c r="AB8" s="745" t="n">
        <x:f>'Specialisation Scenarios'!I29</x:f>
        <x:v>60.82790461700929</x:v>
      </x:c>
      <x:c r="AC8" s="753" t="n">
        <x:f>'Specialisation Scenarios'!J29</x:f>
        <x:v>75.51513257257534</x:v>
      </x:c>
      <x:c r="AD8" s="753" t="n">
        <x:f>'Specialisation Scenarios'!T29</x:f>
        <x:v>70.37218361052061</x:v>
      </x:c>
      <x:c r="AE8" s="754" t="n">
        <x:f>'Specialisation Scenarios'!V29</x:f>
        <x:v>70.06237489583289</x:v>
      </x:c>
    </x:row>
    <x:row r="9" ht="20" customHeight="1">
      <x:c r="A9" s="49" t="n">
        <x:f>'Specialisation Scenarios'!A17</x:f>
        <x:v>4</x:v>
      </x:c>
      <x:c r="B9" s="672" t="str">
        <x:f>'Specialisation Scenarios'!B17</x:f>
        <x:v>K60</x:v>
      </x:c>
      <x:c r="C9" s="48" t="n">
        <x:f>'Specialisation Scenarios'!C17</x:f>
        <x:v>70.37218361052061</x:v>
      </x:c>
      <x:c r="D9" s="48" t="n">
        <x:f>SUMIFS('Specialisation Scenarios'!$AA$26:$AA$33,'Specialisation Scenarios'!$A$26:$A$33,B9)</x:f>
        <x:v>73.87176967176676</x:v>
      </x:c>
      <x:c r="E9" s="48" t="n">
        <x:f>SUMIFS('Specialisation Scenarios'!$AB$26:$AB$33,'Specialisation Scenarios'!$A$26:$A$33,B9)</x:f>
        <x:v>64.21773915798425</x:v>
      </x:c>
      <x:c r="F9" s="48" t="n">
        <x:f>'Specialisation Scenarios'!E17</x:f>
        <x:v>80.37630591630591</x:v>
      </x:c>
      <x:c r="G9" s="724" t="n">
        <x:f>'Specialisation Scenarios'!G17</x:f>
        <x:v>70.06237489583289</x:v>
      </x:c>
      <x:c r="H9" s="336" t="str">
        <x:f>'Specialisation Scenarios'!M17</x:f>
        <x:v>K60</x:v>
      </x:c>
      <x:c r="I9" s="115" t="n">
        <x:f>'Specialisation Scenarios'!N17</x:f>
        <x:v>0.26386648498033144</x:v>
      </x:c>
      <x:c r="J9" s="113" t="n">
        <x:f>'Specialisation Scenarios'!O17</x:f>
        <x:v>0.4212162363697406</x:v>
      </x:c>
      <x:c r="K9" s="113" t="n">
        <x:f>'Specialisation Scenarios'!P17</x:f>
        <x:v>0.544336520433607</x:v>
      </x:c>
      <x:c r="L9" s="346" t="str">
        <x:f>'Specialisation Scenarios'!Q17</x:f>
        <x:v>—</x:v>
      </x:c>
      <x:c r="M9" s="107" t="n">
        <x:f>'Specialisation Scenarios'!R17</x:f>
        <x:v>0.5347317247304773</x:v>
      </x:c>
      <x:c r="N9" s="107" t="n">
        <x:f>'Specialisation Scenarios'!S17</x:f>
        <x:v>0.4852700624703207</x:v>
      </x:c>
      <x:c r="O9" s="107" t="n">
        <x:f>'Specialisation Scenarios'!T17</x:f>
        <x:v>0.5788805512348427</x:v>
      </x:c>
      <x:c r="P9" s="109" t="n">
        <x:f>'Specialisation Scenarios'!U17</x:f>
        <x:v>0.647534773905872</x:v>
      </x:c>
      <x:c r="Q9" s="707" t="str">
        <x:f>'Specialisation Scenarios'!K17</x:f>
        <x:v>Usable — Guard gaps left neutral</x:v>
      </x:c>
      <x:c r="S9" s="755" t="str">
        <x:f>'Specialisation Scenarios'!A30</x:f>
        <x:v>K91</x:v>
      </x:c>
      <x:c r="T9" s="740" t="n">
        <x:f>'Specialisation Scenarios'!B30</x:f>
        <x:v>20</x:v>
      </x:c>
      <x:c r="U9" s="741" t="n">
        <x:f>'Specialisation Scenarios'!AA30</x:f>
        <x:v>65.49961535415943</x:v>
      </x:c>
      <x:c r="V9" s="741" t="n">
        <x:f>'Specialisation Scenarios'!AB30</x:f>
        <x:v>69.57163739184777</x:v>
      </x:c>
      <x:c r="W9" s="741" t="n">
        <x:f>'Specialisation Scenarios'!AC30</x:f>
        <x:v>72.32856594887674</x:v>
      </x:c>
      <x:c r="X9" s="741" t="n">
        <x:f>'Specialisation Scenarios'!L30</x:f>
        <x:v>64.82930371043453</x:v>
      </x:c>
      <x:c r="Y9" s="741" t="n">
        <x:f>'Specialisation Scenarios'!G30</x:f>
        <x:v>73.41498223998227</x:v>
      </x:c>
      <x:c r="Z9" s="740" t="n">
        <x:f>'Specialisation Scenarios'!H30</x:f>
        <x:v>7</x:v>
      </x:c>
      <x:c r="AA9" s="741" t="str">
        <x:f>'Specialisation Scenarios'!X30</x:f>
        <x:v>•Pain•</x:v>
      </x:c>
      <x:c r="AB9" s="741" t="n">
        <x:f>'Specialisation Scenarios'!I30</x:f>
        <x:v>83.9303893784542</x:v>
      </x:c>
      <x:c r="AC9" s="756" t="n">
        <x:f>'Specialisation Scenarios'!J30</x:f>
        <x:v>36.552061583585854</x:v>
      </x:c>
      <x:c r="AD9" s="756" t="n">
        <x:f>'Specialisation Scenarios'!T30</x:f>
        <x:v>66.97572334282145</x:v>
      </x:c>
      <x:c r="AE9" s="757" t="n">
        <x:f>'Specialisation Scenarios'!V30</x:f>
        <x:v>67.97510994474446</x:v>
      </x:c>
    </x:row>
    <x:row r="10" ht="20" customHeight="1">
      <x:c r="A10" s="49" t="n">
        <x:f>'Specialisation Scenarios'!A18</x:f>
        <x:v>5</x:v>
      </x:c>
      <x:c r="B10" s="673" t="str">
        <x:f>'Specialisation Scenarios'!B18</x:f>
        <x:v>K116</x:v>
      </x:c>
      <x:c r="C10" s="48" t="n">
        <x:f>'Specialisation Scenarios'!C18</x:f>
        <x:v>67.47374160240145</x:v>
      </x:c>
      <x:c r="D10" s="48" t="n">
        <x:f>SUMIFS('Specialisation Scenarios'!$AA$26:$AA$33,'Specialisation Scenarios'!$A$26:$A$33,B10)</x:f>
        <x:v>63.11065860686547</x:v>
      </x:c>
      <x:c r="E10" s="48" t="n">
        <x:f>SUMIFS('Specialisation Scenarios'!$AB$26:$AB$33,'Specialisation Scenarios'!$A$26:$A$33,B10)</x:f>
        <x:v>75.14674962903362</x:v>
      </x:c>
      <x:c r="F10" s="48" t="n">
        <x:f>'Specialisation Scenarios'!E18</x:f>
        <x:v>62.73625575813077</x:v>
      </x:c>
      <x:c r="G10" s="724" t="n">
        <x:f>'Specialisation Scenarios'!G18</x:f>
        <x:v>67.39517831071961</x:v>
      </x:c>
      <x:c r="H10" s="338" t="str">
        <x:f>'Specialisation Scenarios'!M18</x:f>
        <x:v>K91</x:v>
      </x:c>
      <x:c r="I10" s="115" t="n">
        <x:f>'Specialisation Scenarios'!N18</x:f>
        <x:v>0.23773833214841544</x:v>
      </x:c>
      <x:c r="J10" s="111" t="n">
        <x:f>'Specialisation Scenarios'!O18</x:f>
        <x:v>0.38771350795169046</x:v>
      </x:c>
      <x:c r="K10" s="111" t="n">
        <x:f>'Specialisation Scenarios'!P18</x:f>
        <x:v>0.5096643234444673</x:v>
      </x:c>
      <x:c r="L10" s="111" t="n">
        <x:f>'Specialisation Scenarios'!Q18</x:f>
        <x:v>0.46526827526952264</x:v>
      </x:c>
      <x:c r="M10" s="346" t="str">
        <x:f>'Specialisation Scenarios'!R18</x:f>
        <x:v>—</x:v>
      </x:c>
      <x:c r="N10" s="113" t="n">
        <x:f>'Specialisation Scenarios'!S18</x:f>
        <x:v>0.45063934861383853</x:v>
      </x:c>
      <x:c r="O10" s="113" t="n">
        <x:f>'Specialisation Scenarios'!T18</x:f>
        <x:v>0.5446379978228877</x:v>
      </x:c>
      <x:c r="P10" s="107" t="n">
        <x:f>'Specialisation Scenarios'!U18</x:f>
        <x:v>0.615163503524859</x:v>
      </x:c>
      <x:c r="Q10" s="707" t="str">
        <x:f>'Specialisation Scenarios'!K18</x:f>
        <x:v>Provisional — offense capture under 80%</x:v>
      </x:c>
      <x:c r="S10" s="752" t="str">
        <x:f>'Specialisation Scenarios'!A31</x:f>
        <x:v>K176</x:v>
      </x:c>
      <x:c r="T10" s="744" t="n">
        <x:f>'Specialisation Scenarios'!B31</x:f>
        <x:v>22</x:v>
      </x:c>
      <x:c r="U10" s="745" t="n">
        <x:f>'Specialisation Scenarios'!AA31</x:f>
        <x:v>70.24832934284323</x:v>
      </x:c>
      <x:c r="V10" s="745" t="n">
        <x:f>'Specialisation Scenarios'!AB31</x:f>
        <x:v>71.49525127492159</x:v>
      </x:c>
      <x:c r="W10" s="745" t="n">
        <x:f>'Specialisation Scenarios'!AC31</x:f>
        <x:v>72.17411586864864</x:v>
      </x:c>
      <x:c r="X10" s="745" t="n">
        <x:f>'Specialisation Scenarios'!L31</x:f>
        <x:v>66.61276315327395</x:v>
      </x:c>
      <x:c r="Y10" s="745" t="n">
        <x:f>'Specialisation Scenarios'!G31</x:f>
        <x:v>82.96306471306472</x:v>
      </x:c>
      <x:c r="Z10" s="744" t="n">
        <x:f>'Specialisation Scenarios'!H31</x:f>
        <x:v>2</x:v>
      </x:c>
      <x:c r="AA10" s="745" t="str">
        <x:f>'Specialisation Scenarios'!X31</x:f>
        <x:v>苟拓通天肆意妄为</x:v>
      </x:c>
      <x:c r="AB10" s="745" t="n">
        <x:f>'Specialisation Scenarios'!I31</x:f>
        <x:v>73.93669792686401</x:v>
      </x:c>
      <x:c r="AC10" s="753" t="n">
        <x:f>'Specialisation Scenarios'!J31</x:f>
        <x:v>62.27028416799913</x:v>
      </x:c>
      <x:c r="AD10" s="753" t="n">
        <x:f>'Specialisation Scenarios'!T31</x:f>
        <x:v>70.70033854322165</x:v>
      </x:c>
      <x:c r="AE10" s="754" t="n">
        <x:f>'Specialisation Scenarios'!V31</x:f>
        <x:v>70.9464269584477</x:v>
      </x:c>
    </x:row>
    <x:row r="11" ht="20" customHeight="1">
      <x:c r="A11" s="49" t="n">
        <x:f>'Specialisation Scenarios'!A19</x:f>
        <x:v>6</x:v>
      </x:c>
      <x:c r="B11" s="674" t="str">
        <x:f>'Specialisation Scenarios'!B19</x:f>
        <x:v>K91</x:v>
      </x:c>
      <x:c r="C11" s="48" t="n">
        <x:f>'Specialisation Scenarios'!C19</x:f>
        <x:v>66.97572334282145</x:v>
      </x:c>
      <x:c r="D11" s="48" t="n">
        <x:f>SUMIFS('Specialisation Scenarios'!$AA$26:$AA$33,'Specialisation Scenarios'!$A$26:$A$33,B11)</x:f>
        <x:v>65.49961535415943</x:v>
      </x:c>
      <x:c r="E11" s="48" t="n">
        <x:f>SUMIFS('Specialisation Scenarios'!$AB$26:$AB$33,'Specialisation Scenarios'!$A$26:$A$33,B11)</x:f>
        <x:v>69.57163739184777</x:v>
      </x:c>
      <x:c r="F11" s="48" t="n">
        <x:f>'Specialisation Scenarios'!E19</x:f>
        <x:v>73.41498223998227</x:v>
      </x:c>
      <x:c r="G11" s="724" t="n">
        <x:f>'Specialisation Scenarios'!G19</x:f>
        <x:v>67.97510994474446</x:v>
      </x:c>
      <x:c r="H11" s="340" t="str">
        <x:f>'Specialisation Scenarios'!M19</x:f>
        <x:v>K176</x:v>
      </x:c>
      <x:c r="I11" s="115" t="n">
        <x:f>'Specialisation Scenarios'!N19</x:f>
        <x:v>0.2754725888724113</x:v>
      </x:c>
      <x:c r="J11" s="111" t="n">
        <x:f>'Specialisation Scenarios'!O19</x:f>
        <x:v>0.43564745455312015</x:v>
      </x:c>
      <x:c r="K11" s="111" t="n">
        <x:f>'Specialisation Scenarios'!P19</x:f>
        <x:v>0.5589125608746257</x:v>
      </x:c>
      <x:c r="L11" s="111" t="n">
        <x:f>'Specialisation Scenarios'!Q19</x:f>
        <x:v>0.5147299375296792</x:v>
      </x:c>
      <x:c r="M11" s="113" t="n">
        <x:f>'Specialisation Scenarios'!R19</x:f>
        <x:v>0.5493606513861615</x:v>
      </x:c>
      <x:c r="N11" s="346" t="str">
        <x:f>'Specialisation Scenarios'!S19</x:f>
        <x:v>—</x:v>
      </x:c>
      <x:c r="O11" s="113" t="n">
        <x:f>'Specialisation Scenarios'!T19</x:f>
        <x:v>0.5931774352323448</x:v>
      </x:c>
      <x:c r="P11" s="107" t="n">
        <x:f>'Specialisation Scenarios'!U19</x:f>
        <x:v>0.6608663466119736</x:v>
      </x:c>
      <x:c r="Q11" s="707" t="str">
        <x:f>'Specialisation Scenarios'!K19</x:f>
        <x:v>Usable — Guard gaps left neutral</x:v>
      </x:c>
      <x:c r="S11" s="755" t="str">
        <x:f>'Specialisation Scenarios'!A32</x:f>
        <x:v>K138</x:v>
      </x:c>
      <x:c r="T11" s="740" t="n">
        <x:f>'Specialisation Scenarios'!B32</x:f>
        <x:v>27</x:v>
      </x:c>
      <x:c r="U11" s="741" t="n">
        <x:f>'Specialisation Scenarios'!AA32</x:f>
        <x:v>68.77486690137212</x:v>
      </x:c>
      <x:c r="V11" s="741" t="n">
        <x:f>'Specialisation Scenarios'!AB32</x:f>
        <x:v>60.4572638997784</x:v>
      </x:c>
      <x:c r="W11" s="741" t="n">
        <x:f>'Specialisation Scenarios'!AC32</x:f>
        <x:v>59.160559242196214</x:v>
      </x:c>
      <x:c r="X11" s="741" t="n">
        <x:f>'Specialisation Scenarios'!L32</x:f>
        <x:v>62.00993460412384</x:v>
      </x:c>
      <x:c r="Y11" s="741" t="n">
        <x:f>'Specialisation Scenarios'!G32</x:f>
        <x:v>77.0091394408061</x:v>
      </x:c>
      <x:c r="Z11" s="740" t="n">
        <x:f>'Specialisation Scenarios'!H32</x:f>
        <x:v>4</x:v>
      </x:c>
      <x:c r="AA11" s="741" t="str">
        <x:f>'Specialisation Scenarios'!X32</x:f>
        <x:v>(RaW)ϟCrozyϟ</x:v>
      </x:c>
      <x:c r="AB11" s="741" t="n">
        <x:f>'Specialisation Scenarios'!I32</x:f>
        <x:v>52.973218922766854</x:v>
      </x:c>
      <x:c r="AC11" s="756" t="n">
        <x:f>'Specialisation Scenarios'!J32</x:f>
        <x:v>75.25732859380884</x:v>
      </x:c>
      <x:c r="AD11" s="756" t="n">
        <x:f>'Specialisation Scenarios'!T32</x:f>
        <x:v>65.75973581329441</x:v>
      </x:c>
      <x:c r="AE11" s="757" t="n">
        <x:f>'Specialisation Scenarios'!V32</x:f>
        <x:v>65.28968037492086</x:v>
      </x:c>
    </x:row>
    <x:row r="12" ht="20" customHeight="1">
      <x:c r="A12" s="49" t="n">
        <x:f>'Specialisation Scenarios'!A20</x:f>
        <x:v>7</x:v>
      </x:c>
      <x:c r="B12" s="675" t="str">
        <x:f>'Specialisation Scenarios'!B20</x:f>
        <x:v>K138</x:v>
      </x:c>
      <x:c r="C12" s="48" t="n">
        <x:f>'Specialisation Scenarios'!C20</x:f>
        <x:v>65.75973581329441</x:v>
      </x:c>
      <x:c r="D12" s="48" t="n">
        <x:f>SUMIFS('Specialisation Scenarios'!$AA$26:$AA$33,'Specialisation Scenarios'!$A$26:$A$33,B12)</x:f>
        <x:v>68.77486690137212</x:v>
      </x:c>
      <x:c r="E12" s="48" t="n">
        <x:f>SUMIFS('Specialisation Scenarios'!$AB$26:$AB$33,'Specialisation Scenarios'!$A$26:$A$33,B12)</x:f>
        <x:v>60.4572638997784</x:v>
      </x:c>
      <x:c r="F12" s="48" t="n">
        <x:f>'Specialisation Scenarios'!E20</x:f>
        <x:v>77.0091394408061</x:v>
      </x:c>
      <x:c r="G12" s="724" t="n">
        <x:f>'Specialisation Scenarios'!G20</x:f>
        <x:v>65.28968037492086</x:v>
      </x:c>
      <x:c r="H12" s="342" t="str">
        <x:f>'Specialisation Scenarios'!M20</x:f>
        <x:v>K138</x:v>
      </x:c>
      <x:c r="I12" s="115" t="n">
        <x:f>'Specialisation Scenarios'!N20</x:f>
        <x:v>0.2068287643453313</x:v>
      </x:c>
      <x:c r="J12" s="111" t="n">
        <x:f>'Specialisation Scenarios'!O20</x:f>
        <x:v>0.34615984776425046</x:v>
      </x:c>
      <x:c r="K12" s="111" t="n">
        <x:f>'Specialisation Scenarios'!P20</x:f>
        <x:v>0.4649658712827622</x:v>
      </x:c>
      <x:c r="L12" s="111" t="n">
        <x:f>'Specialisation Scenarios'!Q20</x:f>
        <x:v>0.4211194487651572</x:v>
      </x:c>
      <x:c r="M12" s="113" t="n">
        <x:f>'Specialisation Scenarios'!R20</x:f>
        <x:v>0.4553620021771122</x:v>
      </x:c>
      <x:c r="N12" s="113" t="n">
        <x:f>'Specialisation Scenarios'!S20</x:f>
        <x:v>0.4068225647676552</x:v>
      </x:c>
      <x:c r="O12" s="346" t="str">
        <x:f>'Specialisation Scenarios'!T20</x:f>
        <x:v>—</x:v>
      </x:c>
      <x:c r="P12" s="107" t="n">
        <x:f>'Specialisation Scenarios'!U20</x:f>
        <x:v>0.5720061444964928</x:v>
      </x:c>
      <x:c r="Q12" s="707" t="str">
        <x:f>'Specialisation Scenarios'!K20</x:f>
        <x:v>Usable — Guard gaps left neutral</x:v>
      </x:c>
      <x:c r="S12" s="758" t="str">
        <x:f>'Specialisation Scenarios'!A33</x:f>
        <x:v>K170</x:v>
      </x:c>
      <x:c r="T12" s="759" t="n">
        <x:f>'Specialisation Scenarios'!B33</x:f>
        <x:v>23</x:v>
      </x:c>
      <x:c r="U12" s="760" t="n">
        <x:f>'Specialisation Scenarios'!AA33</x:f>
        <x:v>64.93479446699017</x:v>
      </x:c>
      <x:c r="V12" s="760" t="n">
        <x:f>'Specialisation Scenarios'!AB33</x:f>
        <x:v>53.51327630736084</x:v>
      </x:c>
      <x:c r="W12" s="760" t="n">
        <x:f>'Specialisation Scenarios'!AC33</x:f>
        <x:v>53.91209789837235</x:v>
      </x:c>
      <x:c r="X12" s="760" t="n">
        <x:f>'Specialisation Scenarios'!L33</x:f>
        <x:v>55.51743139983716</x:v>
      </x:c>
      <x:c r="Y12" s="760" t="n">
        <x:f>'Specialisation Scenarios'!G33</x:f>
        <x:v>76.6256823369867</x:v>
      </x:c>
      <x:c r="Z12" s="759" t="n">
        <x:f>'Specialisation Scenarios'!H33</x:f>
        <x:v>5</x:v>
      </x:c>
      <x:c r="AA12" s="760" t="str">
        <x:f>'Specialisation Scenarios'!X33</x:f>
        <x:v>(AOT)SanSW°</x:v>
      </x:c>
      <x:c r="AB12" s="760" t="n">
        <x:f>'Specialisation Scenarios'!I33</x:f>
        <x:v>53.24285509054768</x:v>
      </x:c>
      <x:c r="AC12" s="761" t="n">
        <x:f>'Specialisation Scenarios'!J33</x:f>
        <x:v>46.389032193164645</x:v>
      </x:c>
      <x:c r="AD12" s="761" t="n">
        <x:f>'Specialisation Scenarios'!T33</x:f>
        <x:v>60.79449413412454</x:v>
      </x:c>
      <x:c r="AE12" s="762" t="n">
        <x:f>'Specialisation Scenarios'!V33</x:f>
        <x:v>60.939066960866214</x:v>
      </x:c>
    </x:row>
    <x:row r="13" ht="25" customHeight="1">
      <x:c r="A13" s="49" t="n">
        <x:f>'Specialisation Scenarios'!A21</x:f>
        <x:v>8</x:v>
      </x:c>
      <x:c r="B13" s="676" t="str">
        <x:f>'Specialisation Scenarios'!B21</x:f>
        <x:v>K170</x:v>
      </x:c>
      <x:c r="C13" s="48" t="n">
        <x:f>'Specialisation Scenarios'!C21</x:f>
        <x:v>60.79449413412454</x:v>
      </x:c>
      <x:c r="D13" s="48" t="n">
        <x:f>SUMIFS('Specialisation Scenarios'!$AA$26:$AA$33,'Specialisation Scenarios'!$A$26:$A$33,B13)</x:f>
        <x:v>64.93479446699017</x:v>
      </x:c>
      <x:c r="E13" s="48" t="n">
        <x:f>SUMIFS('Specialisation Scenarios'!$AB$26:$AB$33,'Specialisation Scenarios'!$A$26:$A$33,B13)</x:f>
        <x:v>53.51327630736084</x:v>
      </x:c>
      <x:c r="F13" s="48" t="n">
        <x:f>'Specialisation Scenarios'!E21</x:f>
        <x:v>76.6256823369867</x:v>
      </x:c>
      <x:c r="G13" s="725" t="n">
        <x:f>'Specialisation Scenarios'!G21</x:f>
        <x:v>60.939066960866214</x:v>
      </x:c>
      <x:c r="H13" s="343" t="str">
        <x:f>'Specialisation Scenarios'!M21</x:f>
        <x:v>K170</x:v>
      </x:c>
      <x:c r="I13" s="115" t="n">
        <x:f>'Specialisation Scenarios'!N21</x:f>
        <x:v>0.2</x:v>
      </x:c>
      <x:c r="J13" s="115" t="n">
        <x:f>'Specialisation Scenarios'!O21</x:f>
        <x:v>0.28373629296309755</x:v>
      </x:c>
      <x:c r="K13" s="115" t="n">
        <x:f>'Specialisation Scenarios'!P21</x:f>
        <x:v>0.39402904683834633</x:v>
      </x:c>
      <x:c r="L13" s="115" t="n">
        <x:f>'Specialisation Scenarios'!Q21</x:f>
        <x:v>0.352465226094128</x:v>
      </x:c>
      <x:c r="M13" s="111" t="n">
        <x:f>'Specialisation Scenarios'!R21</x:f>
        <x:v>0.38483649647514107</x:v>
      </x:c>
      <x:c r="N13" s="111" t="n">
        <x:f>'Specialisation Scenarios'!S21</x:f>
        <x:v>0.3391336533880263</x:v>
      </x:c>
      <x:c r="O13" s="111" t="n">
        <x:f>'Specialisation Scenarios'!T21</x:f>
        <x:v>0.4279938555035072</x:v>
      </x:c>
      <x:c r="P13" s="346" t="str">
        <x:f>'Specialisation Scenarios'!U21</x:f>
        <x:v>—</x:v>
      </x:c>
      <x:c r="Q13" s="707" t="str">
        <x:f>'Specialisation Scenarios'!K21</x:f>
        <x:v>Usable — Guard gaps left neutral</x:v>
      </x:c>
    </x:row>
    <x:row r="14" ht="25" customHeight="1">
      <x:c r="A14" s="47" t="n">
        <x:v>9</x:v>
      </x:c>
      <x:c r="B14" s="80" t="str">
        <x:v>Awaiting data</x:v>
      </x:c>
      <x:c r="C14" s="81"/>
      <x:c r="D14" s="81"/>
      <x:c r="E14" s="81"/>
      <x:c r="F14" s="82"/>
      <x:c r="H14" s="344" t="str">
        <x:v>Awaiting data</x:v>
      </x:c>
      <x:c r="I14" s="346" t="str">
        <x:v>—</x:v>
      </x:c>
      <x:c r="J14" s="346" t="str">
        <x:v>—</x:v>
      </x:c>
      <x:c r="K14" s="346" t="str">
        <x:v>—</x:v>
      </x:c>
      <x:c r="L14" s="346" t="str">
        <x:v>—</x:v>
      </x:c>
      <x:c r="M14" s="346" t="str">
        <x:v>—</x:v>
      </x:c>
      <x:c r="N14" s="346" t="str">
        <x:v>—</x:v>
      </x:c>
      <x:c r="O14" s="346" t="str">
        <x:v>—</x:v>
      </x:c>
      <x:c r="P14" s="346" t="str">
        <x:v>—</x:v>
      </x:c>
      <x:c r="Q14" s="346" t="str">
        <x:v>—</x:v>
      </x:c>
      <x:c r="S14" s="38" t="str">
        <x:v>Fixed model weights</x:v>
      </x:c>
      <x:c r="T14" s="38" t="str">
        <x:v>Fixed model weights</x:v>
      </x:c>
      <x:c r="U14" s="38" t="str">
        <x:v>Fixed model weights</x:v>
      </x:c>
      <x:c r="V14" s="38" t="str">
        <x:v>Fixed model weights</x:v>
      </x:c>
      <x:c r="W14" s="38" t="str">
        <x:v>Fixed model weights</x:v>
      </x:c>
      <x:c r="X14" s="38" t="str">
        <x:v>Fixed model weights</x:v>
      </x:c>
      <x:c r="Y14" s="38" t="str">
        <x:v>Fixed model weights</x:v>
      </x:c>
      <x:c r="Z14" s="38" t="str">
        <x:v>Fixed model weights</x:v>
      </x:c>
      <x:c r="AA14" s="38" t="str">
        <x:v>Fixed model weights</x:v>
      </x:c>
      <x:c r="AB14" s="38" t="str">
        <x:v>Fixed model weights</x:v>
      </x:c>
    </x:row>
    <x:row r="15" ht="26" customHeight="1">
      <x:c r="S15" s="679" t="str">
        <x:v>Component</x:v>
      </x:c>
      <x:c r="T15" s="679" t="str">
        <x:v>Weight</x:v>
      </x:c>
      <x:c r="U15" s="679" t="str">
        <x:v>Definition</x:v>
      </x:c>
    </x:row>
    <x:row r="16" ht="20" customHeight="1">
      <x:c r="A16" s="118" t="str">
        <x:v>Event score: 0–100 · ranking includes tank control · 1 slot is reserved for future rivals</x:v>
      </x:c>
      <x:c r="B16" s="118" t="str">
        <x:v>Overall score: 0–100 · higher is stronger · 1 slot is reserved for future rivals</x:v>
      </x:c>
      <x:c r="C16" s="118" t="str">
        <x:v>Overall score: 0–100 · higher is stronger · 1 slot is reserved for future rivals</x:v>
      </x:c>
      <x:c r="D16" s="118" t="str">
        <x:v>Overall score: 0–100 · higher is stronger · 1 slot is reserved for future rivals</x:v>
      </x:c>
      <x:c r="E16" s="118" t="str">
        <x:v>Overall score: 0–100 · higher is stronger · 1 slot is reserved for future rivals</x:v>
      </x:c>
      <x:c r="F16" s="118" t="str">
        <x:v>Overall score: 0–100 · higher is stronger · 1 slot is reserved for future rivals</x:v>
      </x:c>
      <x:c r="H16" s="118" t="str">
        <x:v>Throne chance: dark red &lt;35% · red 35–45% · amber 45–55% · green 55–65% · dark green &gt;65%</x:v>
      </x:c>
      <x:c r="I16" s="118" t="str">
        <x:v>Dark red &lt;35% · red 35–45% · amber 45–55% · green 55–65% · dark green &gt;65%</x:v>
      </x:c>
      <x:c r="J16" s="118" t="str">
        <x:v>Dark red &lt;35% · red 35–45% · amber 45–55% · green 55–65% · dark green &gt;65%</x:v>
      </x:c>
      <x:c r="K16" s="118" t="str">
        <x:v>Dark red &lt;35% · red 35–45% · amber 45–55% · green 55–65% · dark green &gt;65%</x:v>
      </x:c>
      <x:c r="L16" s="118" t="str">
        <x:v>Dark red &lt;35% · red 35–45% · amber 45–55% · green 55–65% · dark green &gt;65%</x:v>
      </x:c>
      <x:c r="M16" s="118" t="str">
        <x:v>Dark red &lt;35% · red 35–45% · amber 45–55% · green 55–65% · dark green &gt;65%</x:v>
      </x:c>
      <x:c r="N16" s="118" t="str">
        <x:v>Dark red &lt;35% · red 35–45% · amber 45–55% · green 55–65% · dark green &gt;65%</x:v>
      </x:c>
      <x:c r="O16" s="118" t="str">
        <x:v>Dark red &lt;35% · red 35–45% · amber 45–55% · green 55–65% · dark green &gt;65%</x:v>
      </x:c>
      <x:c r="P16" s="118" t="str">
        <x:v>Dark red &lt;35% · red 35–45% · amber 45–55% · green 55–65% · dark green &gt;65%</x:v>
      </x:c>
      <x:c r="Q16" s="118" t="str">
        <x:v>Dark red &lt;35% · red 35–45% · amber 45–55% · green 55–65% · dark green &gt;65%</x:v>
      </x:c>
      <x:c r="S16" t="str">
        <x:v>Stats in Overall</x:v>
      </x:c>
      <x:c r="T16" s="347" t="n">
        <x:f>1-'Specialisation Scenarios'!$B$8</x:f>
        <x:v>0.75</x:v>
      </x:c>
      <x:c r="U16" t="str">
        <x:v>Statistics-based event strength</x:v>
      </x:c>
    </x:row>
    <x:row r="17" ht="20" customHeight="1">
      <x:c r="S17" t="str">
        <x:v>Specialisation in Overall</x:v>
      </x:c>
      <x:c r="T17" s="347" t="n">
        <x:f>'Specialisation Scenarios'!$B$8</x:f>
        <x:v>0.25</x:v>
      </x:c>
      <x:c r="U17" t="str">
        <x:v>Separate specialist component</x:v>
      </x:c>
    </x:row>
    <x:row r="18" ht="20" customHeight="1">
      <x:c r="A18" s="38" t="str">
        <x:v>Method and limitations</x:v>
      </x:c>
      <x:c r="B18" s="38" t="str">
        <x:v>Method and limitations</x:v>
      </x:c>
      <x:c r="C18" s="38" t="str">
        <x:v>Method and limitations</x:v>
      </x:c>
      <x:c r="D18" s="38" t="str">
        <x:v>Method and limitations</x:v>
      </x:c>
      <x:c r="E18" s="38" t="str">
        <x:v>Method and limitations</x:v>
      </x:c>
      <x:c r="F18" s="38" t="str">
        <x:v>Method and limitations</x:v>
      </x:c>
      <x:c r="G18" s="38" t="str">
        <x:v>Method and limitations</x:v>
      </x:c>
      <x:c r="H18" s="38" t="str">
        <x:v>Method and limitations</x:v>
      </x:c>
      <x:c r="I18" s="38" t="str">
        <x:v>Method and limitations</x:v>
      </x:c>
      <x:c r="J18" s="38" t="str">
        <x:v>Method and limitations</x:v>
      </x:c>
      <x:c r="K18" s="38" t="str">
        <x:v>Method and limitations</x:v>
      </x:c>
      <x:c r="L18" s="38" t="str">
        <x:v>Method and limitations</x:v>
      </x:c>
      <x:c r="M18" s="38" t="str">
        <x:v>Method and limitations</x:v>
      </x:c>
      <x:c r="N18" s="38" t="str">
        <x:v>Method and limitations</x:v>
      </x:c>
      <x:c r="O18" s="38" t="str">
        <x:v>Method and limitations</x:v>
      </x:c>
      <x:c r="P18" s="38" t="str">
        <x:v>Method and limitations</x:v>
      </x:c>
      <x:c r="Q18" s="38" t="str">
        <x:v>Method and limitations</x:v>
      </x:c>
      <x:c r="S18" t="str">
        <x:v>Cavalry in Offense</x:v>
      </x:c>
      <x:c r="T18" s="347" t="n">
        <x:v>0.6</x:v>
      </x:c>
      <x:c r="U18" t="str">
        <x:v>Dominant damage unit</x:v>
      </x:c>
    </x:row>
    <x:row r="19" ht="20" customHeight="1">
      <x:c r="A19" s="137" t="str">
        <x:v>Damage Strength is a 0–100 index combining base offense with Cavalry, Archer and Siege specialisation. Guards Strength is a 0–100 index combining the 700% Guard/tank model (75% main starter, 25% depth/control) with Guard specialisation. Under Recommended 25%, Overall Strength is 63.75% Damage and 36.25% Guards. Matchup Strength uses the same Damage score and blends Guards 75% event / 25% strongest-starter throne.</x:v>
      </x:c>
      <x:c r="B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C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D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E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F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G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H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I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J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K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L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M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N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O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P19" s="138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Q19" s="139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S19" t="str">
        <x:v>General in Offense</x:v>
      </x:c>
      <x:c r="T19" s="347" t="n">
        <x:v>0.15</x:v>
      </x:c>
      <x:c r="U19" t="str">
        <x:v>General troop attributes</x:v>
      </x:c>
    </x:row>
    <x:row r="20" ht="20" customHeight="1">
      <x:c r="A20" s="140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B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C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D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E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F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G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H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I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J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K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L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M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N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O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P20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Q20" s="142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S20" t="str">
        <x:v>Archers in Offense</x:v>
      </x:c>
      <x:c r="T20" s="347" t="n">
        <x:v>0.1</x:v>
      </x:c>
      <x:c r="U20" t="str">
        <x:v>Supporting damage unit</x:v>
      </x:c>
    </x:row>
    <x:row r="21" ht="20" customHeight="1">
      <x:c r="A21" s="140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B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C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D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E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F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G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H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I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J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K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L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M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N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O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P21" s="141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Q21" s="142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S21" t="str">
        <x:v>Siege in Offense</x:v>
      </x:c>
      <x:c r="T21" s="347" t="n">
        <x:v>0.15</x:v>
      </x:c>
      <x:c r="U21" t="str">
        <x:v>Supporting damage unit</x:v>
      </x:c>
    </x:row>
    <x:row r="22">
      <x:c r="A22" s="143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B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C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D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E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F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G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H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I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J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K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L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M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N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O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P22" s="144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Q22" s="145" t="str">
        <x:v>Each player's Offense score uses General, Cavalry, Archer and Siege attack, damage and attack-blessing statistics. Tank uses general and infantry health, defence, damage received and protection. A player is scored 55% Offense and 45% Tank before kingdom aggregation, so the model does not invent a perfect rally lead by combining different players. Kingdom Strength is 50% weighted Elite Top 3 (50% / 30% / 20%), 25% Top 5, 15% Top 15 and 10% all recorded players. Matchup chances use a conservative logistic curve and are capped at 20%–80%. These are statistical estimates, not hidden game-engine odds; formations, troop mix, counters, rally order, troop counts or caps, hero interactions and execution are not modelled.</x:v>
      </x:c>
      <x:c r="S22" t="str">
        <x:v>Event / Throne in Matchup</x:v>
      </x:c>
      <x:c r="T22" s="347" t="n">
        <x:v>0.75</x:v>
      </x:c>
      <x:c r="U22" t="str">
        <x:v>75% repeatable event / 25% strongest starter</x:v>
      </x:c>
    </x:row>
    <x:row r="23">
      <x:c r="S23" s="764" t="str">
        <x:v>Damage in Overall</x:v>
      </x:c>
      <x:c r="T23" s="765" t="n">
        <x:f>(1-'Specialisation Scenarios'!$C$4)*'Specialisation Scenarios'!$AB$9+'Specialisation Scenarios'!$C$4*('Specialisation Rankings'!$O$18+'Specialisation Rankings'!$O$19+'Specialisation Rankings'!$O$20)</x:f>
        <x:v>0.6375000000000001</x:v>
      </x:c>
      <x:c r="U23" s="764" t="str">
        <x:v>Base offense + Cavalry / Archer / Siege specialisation</x:v>
      </x:c>
    </x:row>
    <x:row r="24">
      <x:c r="A24" s="613" t="str">
        <x:v>Specialisation Strength — Separate Kingdom Ranking</x:v>
      </x:c>
      <x:c r="B24" s="613"/>
      <x:c r="C24" s="613"/>
      <x:c r="D24" s="613"/>
      <x:c r="E24" s="613"/>
      <x:c r="F24" s="613"/>
      <x:c r="G24" s="613"/>
      <x:c r="H24" s="613"/>
      <x:c r="S24" s="766" t="str">
        <x:v>Guards in Overall</x:v>
      </x:c>
      <x:c r="T24" s="767" t="n">
        <x:f>(1-'Specialisation Scenarios'!$C$4)*'Specialisation Scenarios'!$AB$10+'Specialisation Scenarios'!$C$4*'Specialisation Rankings'!$O$21</x:f>
        <x:v>0.36250000000000004</x:v>
      </x:c>
      <x:c r="U24" s="766" t="str">
        <x:v>Tank impact + Guard specialisation</x:v>
      </x:c>
    </x:row>
    <x:row r="25">
      <x:c r="A25" s="687" t="str">
        <x:v>Rank</x:v>
      </x:c>
      <x:c r="B25" s="687" t="str">
        <x:v>Kingdom</x:v>
      </x:c>
      <x:c r="C25" s="687" t="str">
        <x:v>Spec Strength</x:v>
      </x:c>
      <x:c r="D25" s="687" t="str">
        <x:v>Cavalry</x:v>
      </x:c>
      <x:c r="E25" s="687" t="str">
        <x:v>Archers</x:v>
      </x:c>
      <x:c r="F25" s="687" t="str">
        <x:v>Siege</x:v>
      </x:c>
      <x:c r="G25" s="687" t="str">
        <x:v>Guards</x:v>
      </x:c>
      <x:c r="H25" s="687" t="str">
        <x:v>Player Capture</x:v>
      </x:c>
      <x:c r="S25" s="766" t="str">
        <x:v>Event Guards in Matchup</x:v>
      </x:c>
      <x:c r="T25" s="767" t="n">
        <x:f>'Specialisation Scenarios'!$AB$14</x:f>
        <x:v>0.75</x:v>
      </x:c>
      <x:c r="U25" s="766" t="str">
        <x:v>Repeatable event Guard score</x:v>
      </x:c>
    </x:row>
    <x:row r="26">
      <x:c r="A26" s="688" t="n">
        <x:f>'Specialisation Rankings'!A6</x:f>
        <x:v>1</x:v>
      </x:c>
      <x:c r="B26" s="641" t="str">
        <x:f>'Specialisation Rankings'!B6</x:f>
        <x:v>K54</x:v>
      </x:c>
      <x:c r="C26" s="649" t="n">
        <x:f>'Specialisation Rankings'!C6</x:f>
        <x:v>84.44373555737192</x:v>
      </x:c>
      <x:c r="D26" s="649" t="n">
        <x:f>'Specialisation Rankings'!D6</x:f>
        <x:v>88.0965171192444</x:v>
      </x:c>
      <x:c r="E26" s="649" t="n">
        <x:f>'Specialisation Rankings'!E6</x:f>
        <x:v>76.30312868949234</x:v>
      </x:c>
      <x:c r="F26" s="649" t="n">
        <x:f>'Specialisation Rankings'!F6</x:f>
        <x:v>87.71812278630462</x:v>
      </x:c>
      <x:c r="G26" s="649" t="n">
        <x:f>'Specialisation Rankings'!G6</x:f>
        <x:v>63.92968142968143</x:v>
      </x:c>
      <x:c r="H26" s="689" t="n">
        <x:f>'Specialisation Rankings'!H6</x:f>
        <x:v>1</x:v>
      </x:c>
      <x:c r="S26" s="768" t="str">
        <x:v>Starter Guards in Matchup</x:v>
      </x:c>
      <x:c r="T26" s="769" t="n">
        <x:f>'Specialisation Scenarios'!$AB$15</x:f>
        <x:v>0.25</x:v>
      </x:c>
      <x:c r="U26" s="768" t="str">
        <x:v>Strongest-starter throne Guard score</x:v>
      </x:c>
    </x:row>
    <x:row r="27">
      <x:c r="A27" s="690" t="n">
        <x:f>'Specialisation Rankings'!A7</x:f>
        <x:v>2</x:v>
      </x:c>
      <x:c r="B27" s="640" t="str">
        <x:f>'Specialisation Rankings'!B7</x:f>
        <x:v>K176</x:v>
      </x:c>
      <x:c r="C27" s="648" t="n">
        <x:f>'Specialisation Rankings'!C7</x:f>
        <x:v>82.96306471306472</x:v>
      </x:c>
      <x:c r="D27" s="648" t="n">
        <x:f>'Specialisation Rankings'!D7</x:f>
        <x:v>86.7314049586777</x:v>
      </x:c>
      <x:c r="E27" s="648" t="n">
        <x:f>'Specialisation Rankings'!E7</x:f>
        <x:v>60.81995277449823</x:v>
      </x:c>
      <x:c r="F27" s="648" t="n">
        <x:f>'Specialisation Rankings'!F7</x:f>
        <x:v>84.76446280991735</x:v>
      </x:c>
      <x:c r="G27" s="648" t="n">
        <x:f>'Specialisation Rankings'!G7</x:f>
        <x:v>77.9098679098679</x:v>
      </x:c>
      <x:c r="H27" s="691" t="n">
        <x:f>'Specialisation Rankings'!H7</x:f>
        <x:v>0.9090909090909091</x:v>
      </x:c>
    </x:row>
    <x:row r="28">
      <x:c r="A28" s="688" t="n">
        <x:f>'Specialisation Rankings'!A8</x:f>
        <x:v>3</x:v>
      </x:c>
      <x:c r="B28" s="641" t="str">
        <x:f>'Specialisation Rankings'!B8</x:f>
        <x:v>K60</x:v>
      </x:c>
      <x:c r="C28" s="649" t="n">
        <x:f>'Specialisation Rankings'!C8</x:f>
        <x:v>80.37630591630591</x:v>
      </x:c>
      <x:c r="D28" s="649" t="n">
        <x:f>'Specialisation Rankings'!D8</x:f>
        <x:v>84.71688311688311</x:v>
      </x:c>
      <x:c r="E28" s="649" t="n">
        <x:f>'Specialisation Rankings'!E8</x:f>
        <x:v>65.94727272727273</x:v>
      </x:c>
      <x:c r="F28" s="649" t="n">
        <x:f>'Specialisation Rankings'!F8</x:f>
        <x:v>84.49662337662339</x:v>
      </x:c>
      <x:c r="G28" s="649" t="n">
        <x:f>'Specialisation Rankings'!G8</x:f>
        <x:v>60.41111111111111</x:v>
      </x:c>
      <x:c r="H28" s="689" t="n">
        <x:f>'Specialisation Rankings'!H8</x:f>
        <x:v>1</x:v>
      </x:c>
    </x:row>
    <x:row r="29">
      <x:c r="A29" s="690" t="n">
        <x:f>'Specialisation Rankings'!A9</x:f>
        <x:v>4</x:v>
      </x:c>
      <x:c r="B29" s="640" t="str">
        <x:f>'Specialisation Rankings'!B9</x:f>
        <x:v>K138</x:v>
      </x:c>
      <x:c r="C29" s="648" t="n">
        <x:f>'Specialisation Rankings'!C9</x:f>
        <x:v>77.0091394408061</x:v>
      </x:c>
      <x:c r="D29" s="648" t="n">
        <x:f>'Specialisation Rankings'!D9</x:f>
        <x:v>77.44420394420393</x:v>
      </x:c>
      <x:c r="E29" s="648" t="n">
        <x:f>'Specialisation Rankings'!E9</x:f>
        <x:v>68.8025974025974</x:v>
      </x:c>
      <x:c r="F29" s="648" t="n">
        <x:f>'Specialisation Rankings'!F9</x:f>
        <x:v>74.41231361231361</x:v>
      </x:c>
      <x:c r="G29" s="648" t="n">
        <x:f>'Specialisation Rankings'!G9</x:f>
        <x:v>86.28300094966761</x:v>
      </x:c>
      <x:c r="H29" s="691" t="n">
        <x:f>'Specialisation Rankings'!H9</x:f>
        <x:v>0.9629629629629629</x:v>
      </x:c>
    </x:row>
    <x:row r="30">
      <x:c r="A30" s="688" t="n">
        <x:f>'Specialisation Rankings'!A10</x:f>
        <x:v>5</x:v>
      </x:c>
      <x:c r="B30" s="641" t="str">
        <x:f>'Specialisation Rankings'!B10</x:f>
        <x:v>K170</x:v>
      </x:c>
      <x:c r="C30" s="649" t="n">
        <x:f>'Specialisation Rankings'!C10</x:f>
        <x:v>76.6256823369867</x:v>
      </x:c>
      <x:c r="D30" s="649" t="n">
        <x:f>'Specialisation Rankings'!D10</x:f>
        <x:v>77.24452286843592</x:v>
      </x:c>
      <x:c r="E30" s="649" t="n">
        <x:f>'Specialisation Rankings'!E10</x:f>
        <x:v>70.73500846979108</x:v>
      </x:c>
      <x:c r="F30" s="649" t="n">
        <x:f>'Specialisation Rankings'!F10</x:f>
        <x:v>75.42453416149068</x:v>
      </x:c>
      <x:c r="G30" s="649" t="n">
        <x:f>'Specialisation Rankings'!G10</x:f>
        <x:v>80.2956150130063</x:v>
      </x:c>
      <x:c r="H30" s="689" t="n">
        <x:f>'Specialisation Rankings'!H10</x:f>
        <x:v>0.9130434782608695</x:v>
      </x:c>
    </x:row>
    <x:row r="31">
      <x:c r="A31" s="690" t="n">
        <x:f>'Specialisation Rankings'!A11</x:f>
        <x:v>6</x:v>
      </x:c>
      <x:c r="B31" s="640" t="str">
        <x:f>'Specialisation Rankings'!B11</x:f>
        <x:v>K197</x:v>
      </x:c>
      <x:c r="C31" s="648" t="n">
        <x:f>'Specialisation Rankings'!C11</x:f>
        <x:v>74.03926006741797</x:v>
      </x:c>
      <x:c r="D31" s="648" t="n">
        <x:f>'Specialisation Rankings'!D11</x:f>
        <x:v>71.95379357484622</x:v>
      </x:c>
      <x:c r="E31" s="648" t="n">
        <x:f>'Specialisation Rankings'!E11</x:f>
        <x:v>88.33007518796992</x:v>
      </x:c>
      <x:c r="F31" s="648" t="n">
        <x:f>'Specialisation Rankings'!F11</x:f>
        <x:v>76.1071086807929</x:v>
      </x:c>
      <x:c r="G31" s="648" t="n">
        <x:f>'Specialisation Rankings'!G11</x:f>
        <x:v>70.20220422852002</x:v>
      </x:c>
      <x:c r="H31" s="691" t="n">
        <x:f>'Specialisation Rankings'!H11</x:f>
        <x:v>1</x:v>
      </x:c>
    </x:row>
    <x:row r="32">
      <x:c r="A32" s="688" t="n">
        <x:f>'Specialisation Rankings'!A12</x:f>
        <x:v>7</x:v>
      </x:c>
      <x:c r="B32" s="641" t="str">
        <x:f>'Specialisation Rankings'!B12</x:f>
        <x:v>K91</x:v>
      </x:c>
      <x:c r="C32" s="649" t="n">
        <x:f>'Specialisation Rankings'!C12</x:f>
        <x:v>73.41498223998227</x:v>
      </x:c>
      <x:c r="D32" s="649" t="n">
        <x:f>'Specialisation Rankings'!D12</x:f>
        <x:v>77.88246753246754</x:v>
      </x:c>
      <x:c r="E32" s="649" t="n">
        <x:f>'Specialisation Rankings'!E12</x:f>
        <x:v>89.58506493506493</x:v>
      </x:c>
      <x:c r="F32" s="649" t="n">
        <x:f>'Specialisation Rankings'!F12</x:f>
        <x:v>68.46558441558442</x:v>
      </x:c>
      <x:c r="G32" s="649" t="n">
        <x:f>'Specialisation Rankings'!G12</x:f>
        <x:v>35.63034188034188</x:v>
      </x:c>
      <x:c r="H32" s="689" t="n">
        <x:f>'Specialisation Rankings'!H12</x:f>
        <x:v>1</x:v>
      </x:c>
    </x:row>
    <x:row r="33">
      <x:c r="A33" s="692" t="n">
        <x:f>'Specialisation Rankings'!A13</x:f>
        <x:v>8</x:v>
      </x:c>
      <x:c r="B33" s="693" t="str">
        <x:f>'Specialisation Rankings'!B13</x:f>
        <x:v>K116</x:v>
      </x:c>
      <x:c r="C33" s="694" t="n">
        <x:f>'Specialisation Rankings'!C13</x:f>
        <x:v>62.73625575813077</x:v>
      </x:c>
      <x:c r="D33" s="694" t="n">
        <x:f>'Specialisation Rankings'!D13</x:f>
        <x:v>61.19967532467533</x:v>
      </x:c>
      <x:c r="E33" s="694" t="n">
        <x:f>'Specialisation Rankings'!E13</x:f>
        <x:v>57.61185064935066</x:v>
      </x:c>
      <x:c r="F33" s="694" t="n">
        <x:f>'Specialisation Rankings'!F13</x:f>
        <x:v>65.19788961038961</x:v>
      </x:c>
      <x:c r="G33" s="694" t="n">
        <x:f>'Specialisation Rankings'!G13</x:f>
        <x:v>74.1559829059829</x:v>
      </x:c>
      <x:c r="H33" s="695" t="n">
        <x:f>'Specialisation Rankings'!H13</x:f>
        <x:v>0.65</x:v>
      </x:c>
    </x:row>
  </x:sheetData>
  <x:mergeCells>
    <x:mergeCell ref="A1:Q1"/>
    <x:mergeCell ref="A2:Q2"/>
    <x:mergeCell ref="H4:Q4"/>
    <x:mergeCell ref="A16:F16"/>
    <x:mergeCell ref="H16:Q16"/>
    <x:mergeCell ref="A18:Q18"/>
    <x:mergeCell ref="A19:Q22"/>
    <x:mergeCell ref="S1:AB1"/>
    <x:mergeCell ref="S2:AB2"/>
    <x:mergeCell ref="S14:AB14"/>
    <x:mergeCell ref="A24:H24"/>
    <x:mergeCell ref="A4:G4"/>
  </x:mergeCells>
  <x:conditionalFormatting sqref="I6:P13">
    <x:cfRule type="cellIs" dxfId="0" priority="1" operator="lessThan">
      <x:formula>0.35</x:formula>
    </x:cfRule>
    <x:cfRule type="cellIs" dxfId="1" priority="2" operator="between">
      <x:formula>0.35</x:formula>
      <x:formula>0.45</x:formula>
    </x:cfRule>
    <x:cfRule type="cellIs" dxfId="2" priority="3" operator="between">
      <x:formula>0.45</x:formula>
      <x:formula>0.55</x:formula>
    </x:cfRule>
    <x:cfRule type="cellIs" dxfId="3" priority="4" operator="between">
      <x:formula>0.55</x:formula>
      <x:formula>0.65</x:formula>
    </x:cfRule>
    <x:cfRule type="cellIs" dxfId="4" priority="5" operator="greaterThan">
      <x:formula>0.65</x:formula>
    </x:cfRule>
  </x:conditionalFormatting>
  <x:conditionalFormatting sqref="D6:D13">
    <x:cfRule type="colorScale" priority="7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E6:E13">
    <x:cfRule type="colorScale" priority="8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F6:F13">
    <x:cfRule type="colorScale" priority="9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U5:U12">
    <x:cfRule type="colorScale" priority="10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V5:V12">
    <x:cfRule type="colorScale" priority="1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W5:W12">
    <x:cfRule type="colorScale" priority="1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Y5:Y12">
    <x:cfRule type="colorScale" priority="1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D5:AD12">
    <x:cfRule type="colorScale" priority="1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E5:AE12">
    <x:cfRule type="colorScale" priority="1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31" hidden="0" customWidth="1"/>
    <x:col min="52" max="52" width="22" hidden="0" customWidth="1"/>
    <x:col min="53" max="53" width="11" hidden="0" customWidth="1"/>
  </x:cols>
  <x:sheetData>
    <x:row r="1" ht="30" customHeight="1">
      <x:c r="A1" s="3" t="str">
        <x:v>All Recorded Player Statistics</x:v>
      </x:c>
      <x:c r="B1" s="3" t="str">
        <x:v>All Recorded Player Statistics</x:v>
      </x:c>
      <x:c r="C1" s="3" t="str">
        <x:v>All Recorded Player Statistics</x:v>
      </x:c>
      <x:c r="D1" s="3" t="str">
        <x:v>All Recorded Player Statistics</x:v>
      </x:c>
      <x:c r="E1" s="3" t="str">
        <x:v>All Recorded Player Statistics</x:v>
      </x:c>
      <x:c r="F1" s="3" t="str">
        <x:v>All Recorded Player Statistics</x:v>
      </x:c>
      <x:c r="G1" s="3" t="str">
        <x:v>All Recorded Player Statistics</x:v>
      </x:c>
      <x:c r="H1" s="3" t="str">
        <x:v>All Recorded Player Statistics</x:v>
      </x:c>
      <x:c r="I1" s="3" t="str">
        <x:v>All Recorded Player Statistics</x:v>
      </x:c>
      <x:c r="J1" s="3" t="str">
        <x:v>All Recorded Player Statistics</x:v>
      </x:c>
      <x:c r="K1" s="3" t="str">
        <x:v>All Recorded Player Statistics</x:v>
      </x:c>
      <x:c r="L1" s="3" t="str">
        <x:v>All Recorded Player Statistics</x:v>
      </x:c>
      <x:c r="M1" s="3" t="str">
        <x:v>All Recorded Player Statistics</x:v>
      </x:c>
      <x:c r="N1" s="3" t="str">
        <x:v>All Recorded Player Statistics</x:v>
      </x:c>
      <x:c r="O1" s="3" t="str">
        <x:v>All Recorded Player Statistics</x:v>
      </x:c>
      <x:c r="P1" s="3" t="str">
        <x:v>All Recorded Player Statistics</x:v>
      </x:c>
      <x:c r="Q1" s="3" t="str">
        <x:v>All Recorded Player Statistics</x:v>
      </x:c>
      <x:c r="R1" s="3" t="str">
        <x:v>All Recorded Player Statistics</x:v>
      </x:c>
      <x:c r="S1" s="3" t="str">
        <x:v>All Recorded Player Statistics</x:v>
      </x:c>
      <x:c r="T1" s="3" t="str">
        <x:v>All Recorded Player Statistics</x:v>
      </x:c>
      <x:c r="U1" s="3" t="str">
        <x:v>All Recorded Player Statistics</x:v>
      </x:c>
      <x:c r="V1" s="3" t="str">
        <x:v>All Recorded Player Statistics</x:v>
      </x:c>
      <x:c r="W1" s="3" t="str">
        <x:v>All Recorded Player Statistics</x:v>
      </x:c>
      <x:c r="X1" s="3" t="str">
        <x:v>All Recorded Player Statistics</x:v>
      </x:c>
      <x:c r="Y1" s="3" t="str">
        <x:v>All Recorded Player Statistics</x:v>
      </x:c>
      <x:c r="Z1" s="3" t="str">
        <x:v>All Recorded Player Statistics</x:v>
      </x:c>
      <x:c r="AA1" s="3" t="str">
        <x:v>All Recorded Player Statistics</x:v>
      </x:c>
      <x:c r="AB1" s="3" t="str">
        <x:v>All Recorded Player Statistics</x:v>
      </x:c>
      <x:c r="AC1" s="3" t="str">
        <x:v>All Recorded Player Statistics</x:v>
      </x:c>
      <x:c r="AD1" s="3" t="str">
        <x:v>All Recorded Player Statistics</x:v>
      </x:c>
      <x:c r="AE1" s="3" t="str">
        <x:v>All Recorded Player Statistics</x:v>
      </x:c>
      <x:c r="AF1" s="3" t="str">
        <x:v>All Recorded Player Statistics</x:v>
      </x:c>
      <x:c r="AG1" s="3" t="str">
        <x:v>All Recorded Player Statistics</x:v>
      </x:c>
      <x:c r="AH1" s="3" t="str">
        <x:v>All Recorded Player Statistics</x:v>
      </x:c>
      <x:c r="AI1" s="3" t="str">
        <x:v>All Recorded Player Statistics</x:v>
      </x:c>
      <x:c r="AJ1" s="3" t="str">
        <x:v>All Recorded Player Statistics</x:v>
      </x:c>
      <x:c r="AK1" s="3" t="str">
        <x:v>All Recorded Player Statistics</x:v>
      </x:c>
      <x:c r="AL1" s="3" t="str">
        <x:v>All Recorded Player Statistics</x:v>
      </x:c>
      <x:c r="AM1" s="3" t="str">
        <x:v>All Recorded Player Statistics</x:v>
      </x:c>
      <x:c r="AN1" s="3" t="str">
        <x:v>All Recorded Player Statistics</x:v>
      </x:c>
      <x:c r="AO1" s="3" t="str">
        <x:v>All Recorded Player Statistics</x:v>
      </x:c>
      <x:c r="AP1" s="3" t="str">
        <x:v>All Recorded Player Statistics</x:v>
      </x:c>
      <x:c r="AQ1" s="3" t="str">
        <x:v>All Recorded Player Statistics</x:v>
      </x:c>
      <x:c r="AR1" s="3" t="str">
        <x:v>All Recorded Player Statistics</x:v>
      </x:c>
      <x:c r="AS1" s="3" t="str">
        <x:v>All Recorded Player Statistics</x:v>
      </x:c>
      <x:c r="AT1" s="3" t="str">
        <x:v>All Recorded Player Statistics</x:v>
      </x:c>
      <x:c r="AU1" s="3" t="str">
        <x:v>All Recorded Player Statistics</x:v>
      </x:c>
      <x:c r="AV1" s="3" t="str">
        <x:v>All Recorded Player Statistics</x:v>
      </x:c>
      <x:c r="AW1" s="3" t="str">
        <x:v>All Recorded Player Statistics</x:v>
      </x:c>
      <x:c r="AX1" s="3" t="str">
        <x:v>All Recorded Player Statistics</x:v>
      </x:c>
      <x:c r="AY1" s="3" t="str">
        <x:v>All Recorded Player Statistics</x:v>
      </x:c>
      <x:c r="AZ1" s="3" t="str">
        <x:v>All Recorded Player Statistics</x:v>
      </x:c>
      <x:c r="BA1" s="3" t="str">
        <x:v>All Recorded Player Statistics</x:v>
      </x:c>
    </x:row>
    <x:row r="2" ht="24" customHeight="1">
      <x:c r="A2" s="7" t="str">
        <x:v>167 players across K60, K91, K116, K138, K170, K54, K197, K176 — 37 main attributes plus shared and source-specific modifiers</x:v>
      </x:c>
      <x:c r="B2" s="7" t="str">
        <x:v>163 players across K60, K91, K116, K138, K170, K54, K197, K176 — 37 main attributes plus shared and source-specific modifiers</x:v>
      </x:c>
      <x:c r="C2" s="7" t="str">
        <x:v>163 players across K60, K91, K116, K138, K170, K54, K197, K176 — 37 main attributes plus shared and source-specific modifiers</x:v>
      </x:c>
      <x:c r="D2" s="7" t="str">
        <x:v>163 players across K60, K91, K116, K138, K170, K54, K197, K176 — 37 main attributes plus shared and source-specific modifiers</x:v>
      </x:c>
      <x:c r="E2" s="7" t="str">
        <x:v>163 players across K60, K91, K116, K138, K170, K54, K197, K176 — 37 main attributes plus shared and source-specific modifiers</x:v>
      </x:c>
      <x:c r="F2" s="7" t="str">
        <x:v>163 players across K60, K91, K116, K138, K170, K54, K197, K176 — 37 main attributes plus shared and source-specific modifiers</x:v>
      </x:c>
      <x:c r="G2" s="7" t="str">
        <x:v>163 players across K60, K91, K116, K138, K170, K54, K197, K176 — 37 main attributes plus shared and source-specific modifiers</x:v>
      </x:c>
      <x:c r="H2" s="7" t="str">
        <x:v>163 players across K60, K91, K116, K138, K170, K54, K197, K176 — 37 main attributes plus shared and source-specific modifiers</x:v>
      </x:c>
      <x:c r="I2" s="7" t="str">
        <x:v>163 players across K60, K91, K116, K138, K170, K54, K197, K176 — 37 main attributes plus shared and source-specific modifiers</x:v>
      </x:c>
      <x:c r="J2" s="7" t="str">
        <x:v>163 players across K60, K91, K116, K138, K170, K54, K197, K176 — 37 main attributes plus shared and source-specific modifiers</x:v>
      </x:c>
      <x:c r="K2" s="7" t="str">
        <x:v>163 players across K60, K91, K116, K138, K170, K54, K197, K176 — 37 main attributes plus shared and source-specific modifiers</x:v>
      </x:c>
      <x:c r="L2" s="7" t="str">
        <x:v>163 players across K60, K91, K116, K138, K170, K54, K197, K176 — 37 main attributes plus shared and source-specific modifiers</x:v>
      </x:c>
      <x:c r="M2" s="7" t="str">
        <x:v>163 players across K60, K91, K116, K138, K170, K54, K197, K176 — 37 main attributes plus shared and source-specific modifiers</x:v>
      </x:c>
      <x:c r="N2" s="7" t="str">
        <x:v>163 players across K60, K91, K116, K138, K170, K54, K197, K176 — 37 main attributes plus shared and source-specific modifiers</x:v>
      </x:c>
      <x:c r="O2" s="7" t="str">
        <x:v>163 players across K60, K91, K116, K138, K170, K54, K197, K176 — 37 main attributes plus shared and source-specific modifiers</x:v>
      </x:c>
      <x:c r="P2" s="7" t="str">
        <x:v>163 players across K60, K91, K116, K138, K170, K54, K197, K176 — 37 main attributes plus shared and source-specific modifiers</x:v>
      </x:c>
      <x:c r="Q2" s="7" t="str">
        <x:v>163 players across K60, K91, K116, K138, K170, K54, K197, K176 — 37 main attributes plus shared and source-specific modifiers</x:v>
      </x:c>
      <x:c r="R2" s="7" t="str">
        <x:v>163 players across K60, K91, K116, K138, K170, K54, K197, K176 — 37 main attributes plus shared and source-specific modifiers</x:v>
      </x:c>
      <x:c r="S2" s="7" t="str">
        <x:v>163 players across K60, K91, K116, K138, K170, K54, K197, K176 — 37 main attributes plus shared and source-specific modifiers</x:v>
      </x:c>
      <x:c r="T2" s="7" t="str">
        <x:v>163 players across K60, K91, K116, K138, K170, K54, K197, K176 — 37 main attributes plus shared and source-specific modifiers</x:v>
      </x:c>
      <x:c r="U2" s="7" t="str">
        <x:v>163 players across K60, K91, K116, K138, K170, K54, K197, K176 — 37 main attributes plus shared and source-specific modifiers</x:v>
      </x:c>
      <x:c r="V2" s="7" t="str">
        <x:v>163 players across K60, K91, K116, K138, K170, K54, K197, K176 — 37 main attributes plus shared and source-specific modifiers</x:v>
      </x:c>
      <x:c r="W2" s="7" t="str">
        <x:v>163 players across K60, K91, K116, K138, K170, K54, K197, K176 — 37 main attributes plus shared and source-specific modifiers</x:v>
      </x:c>
      <x:c r="X2" s="7" t="str">
        <x:v>163 players across K60, K91, K116, K138, K170, K54, K197, K176 — 37 main attributes plus shared and source-specific modifiers</x:v>
      </x:c>
      <x:c r="Y2" s="7" t="str">
        <x:v>163 players across K60, K91, K116, K138, K170, K54, K197, K176 — 37 main attributes plus shared and source-specific modifiers</x:v>
      </x:c>
      <x:c r="Z2" s="7" t="str">
        <x:v>163 players across K60, K91, K116, K138, K170, K54, K197, K176 — 37 main attributes plus shared and source-specific modifiers</x:v>
      </x:c>
      <x:c r="AA2" s="7" t="str">
        <x:v>163 players across K60, K91, K116, K138, K170, K54, K197, K176 — 37 main attributes plus shared and source-specific modifiers</x:v>
      </x:c>
      <x:c r="AB2" s="7" t="str">
        <x:v>163 players across K60, K91, K116, K138, K170, K54, K197, K176 — 37 main attributes plus shared and source-specific modifiers</x:v>
      </x:c>
      <x:c r="AC2" s="7" t="str">
        <x:v>163 players across K60, K91, K116, K138, K170, K54, K197, K176 — 37 main attributes plus shared and source-specific modifiers</x:v>
      </x:c>
      <x:c r="AD2" s="7" t="str">
        <x:v>163 players across K60, K91, K116, K138, K170, K54, K197, K176 — 37 main attributes plus shared and source-specific modifiers</x:v>
      </x:c>
      <x:c r="AE2" s="7" t="str">
        <x:v>163 players across K60, K91, K116, K138, K170, K54, K197, K176 — 37 main attributes plus shared and source-specific modifiers</x:v>
      </x:c>
      <x:c r="AF2" s="7" t="str">
        <x:v>163 players across K60, K91, K116, K138, K170, K54, K197, K176 — 37 main attributes plus shared and source-specific modifiers</x:v>
      </x:c>
      <x:c r="AG2" s="7" t="str">
        <x:v>163 players across K60, K91, K116, K138, K170, K54, K197, K176 — 37 main attributes plus shared and source-specific modifiers</x:v>
      </x:c>
      <x:c r="AH2" s="7" t="str">
        <x:v>163 players across K60, K91, K116, K138, K170, K54, K197, K176 — 37 main attributes plus shared and source-specific modifiers</x:v>
      </x:c>
      <x:c r="AI2" s="7" t="str">
        <x:v>163 players across K60, K91, K116, K138, K170, K54, K197, K176 — 37 main attributes plus shared and source-specific modifiers</x:v>
      </x:c>
      <x:c r="AJ2" s="7" t="str">
        <x:v>163 players across K60, K91, K116, K138, K170, K54, K197, K176 — 37 main attributes plus shared and source-specific modifiers</x:v>
      </x:c>
      <x:c r="AK2" s="7" t="str">
        <x:v>163 players across K60, K91, K116, K138, K170, K54, K197, K176 — 37 main attributes plus shared and source-specific modifiers</x:v>
      </x:c>
      <x:c r="AL2" s="7" t="str">
        <x:v>163 players across K60, K91, K116, K138, K170, K54, K197, K176 — 37 main attributes plus shared and source-specific modifiers</x:v>
      </x:c>
      <x:c r="AM2" s="7" t="str">
        <x:v>163 players across K60, K91, K116, K138, K170, K54, K197, K176 — 37 main attributes plus shared and source-specific modifiers</x:v>
      </x:c>
      <x:c r="AN2" s="7" t="str">
        <x:v>163 players across K60, K91, K116, K138, K170, K54, K197, K176 — 37 main attributes plus shared and source-specific modifiers</x:v>
      </x:c>
      <x:c r="AO2" s="7" t="str">
        <x:v>163 players across K60, K91, K116, K138, K170, K54, K197, K176 — 37 main attributes plus shared and source-specific modifiers</x:v>
      </x:c>
      <x:c r="AP2" s="7" t="str">
        <x:v>163 players across K60, K91, K116, K138, K170, K54, K197, K176 — 37 main attributes plus shared and source-specific modifiers</x:v>
      </x:c>
      <x:c r="AQ2" s="7" t="str">
        <x:v>163 players across K60, K91, K116, K138, K170, K54, K197, K176 — 37 main attributes plus shared and source-specific modifiers</x:v>
      </x:c>
      <x:c r="AR2" s="7" t="str">
        <x:v>163 players across K60, K91, K116, K138, K170, K54, K197, K176 — 37 main attributes plus shared and source-specific modifiers</x:v>
      </x:c>
      <x:c r="AS2" s="7" t="str">
        <x:v>163 players across K60, K91, K116, K138, K170, K54, K197, K176 — 37 main attributes plus shared and source-specific modifiers</x:v>
      </x:c>
      <x:c r="AT2" s="7" t="str">
        <x:v>163 players across K60, K91, K116, K138, K170, K54, K197, K176 — 37 main attributes plus shared and source-specific modifiers</x:v>
      </x:c>
      <x:c r="AU2" s="7" t="str">
        <x:v>163 players across K60, K91, K116, K138, K170, K54, K197, K176 — 37 main attributes plus shared and source-specific modifiers</x:v>
      </x:c>
      <x:c r="AV2" s="7" t="str">
        <x:v>163 players across K60, K91, K116, K138, K170, K54, K197, K176 — 37 main attributes plus shared and source-specific modifiers</x:v>
      </x:c>
      <x:c r="AW2" s="7" t="str">
        <x:v>163 players across K60, K91, K116, K138, K170, K54, K197, K176 — 37 main attributes plus shared and source-specific modifiers</x:v>
      </x:c>
      <x:c r="AX2" s="7" t="str">
        <x:v>163 players across K60, K91, K116, K138, K170, K54, K197, K176 — 37 main attributes plus shared and source-specific modifiers</x:v>
      </x:c>
      <x:c r="AY2" s="7" t="str">
        <x:v>163 players across K60, K91, K116, K138, K170, K54, K197, K176 — 37 main attributes plus shared and source-specific modifiers</x:v>
      </x:c>
      <x:c r="AZ2" s="7" t="str">
        <x:v>163 players across K60, K91, K116, K138, K170, K54, K197, K176 — 37 main attributes plus shared and source-specific modifiers</x:v>
      </x:c>
      <x:c r="BA2" s="7" t="str">
        <x:v>163 players across K60, K91, K116, K138, K170, K54, K197, K176 — 37 main attributes plus shared and source-specific modifiers</x:v>
      </x:c>
    </x:row>
    <x:row r="4" ht="18" customHeight="1">
      <x:c r="A4" s="173" t="str">
        <x:v>Server</x:v>
      </x:c>
      <x:c r="B4" s="173" t="str">
        <x:v>Player</x:v>
      </x:c>
      <x:c r="C4" s="173" t="str">
        <x:v>Battle Capacity</x:v>
      </x:c>
      <x:c r="D4" s="173" t="str">
        <x:v>General</x:v>
      </x:c>
      <x:c r="E4" s="173" t="str">
        <x:v>General</x:v>
      </x:c>
      <x:c r="F4" s="173" t="str">
        <x:v>General</x:v>
      </x:c>
      <x:c r="G4" s="173" t="str">
        <x:v>General</x:v>
      </x:c>
      <x:c r="H4" s="173" t="str">
        <x:v>General</x:v>
      </x:c>
      <x:c r="I4" s="173" t="str">
        <x:v>General</x:v>
      </x:c>
      <x:c r="J4" s="173" t="str">
        <x:v>General</x:v>
      </x:c>
      <x:c r="K4" s="173" t="str">
        <x:v>Guards / Infantry</x:v>
      </x:c>
      <x:c r="L4" s="173" t="str">
        <x:v>Guards / Infantry</x:v>
      </x:c>
      <x:c r="M4" s="173" t="str">
        <x:v>Guards / Infantry</x:v>
      </x:c>
      <x:c r="N4" s="173" t="str">
        <x:v>Guards / Infantry</x:v>
      </x:c>
      <x:c r="O4" s="173" t="str">
        <x:v>Guards / Infantry</x:v>
      </x:c>
      <x:c r="P4" s="173" t="str">
        <x:v>Guards / Infantry</x:v>
      </x:c>
      <x:c r="Q4" s="173" t="str">
        <x:v>Guards / Infantry</x:v>
      </x:c>
      <x:c r="R4" s="173" t="str">
        <x:v>Cavalry</x:v>
      </x:c>
      <x:c r="S4" s="173" t="str">
        <x:v>Cavalry</x:v>
      </x:c>
      <x:c r="T4" s="173" t="str">
        <x:v>Cavalry</x:v>
      </x:c>
      <x:c r="U4" s="173" t="str">
        <x:v>Cavalry</x:v>
      </x:c>
      <x:c r="V4" s="173" t="str">
        <x:v>Cavalry</x:v>
      </x:c>
      <x:c r="W4" s="173" t="str">
        <x:v>Cavalry</x:v>
      </x:c>
      <x:c r="X4" s="173" t="str">
        <x:v>Cavalry</x:v>
      </x:c>
      <x:c r="Y4" s="173" t="str">
        <x:v>Archers</x:v>
      </x:c>
      <x:c r="Z4" s="173" t="str">
        <x:v>Archers</x:v>
      </x:c>
      <x:c r="AA4" s="173" t="str">
        <x:v>Archers</x:v>
      </x:c>
      <x:c r="AB4" s="173" t="str">
        <x:v>Archers</x:v>
      </x:c>
      <x:c r="AC4" s="173" t="str">
        <x:v>Archers</x:v>
      </x:c>
      <x:c r="AD4" s="173" t="str">
        <x:v>Archers</x:v>
      </x:c>
      <x:c r="AE4" s="173" t="str">
        <x:v>Archers</x:v>
      </x:c>
      <x:c r="AF4" s="173" t="str">
        <x:v>Siege</x:v>
      </x:c>
      <x:c r="AG4" s="173" t="str">
        <x:v>Siege</x:v>
      </x:c>
      <x:c r="AH4" s="173" t="str">
        <x:v>Siege</x:v>
      </x:c>
      <x:c r="AI4" s="173" t="str">
        <x:v>Siege</x:v>
      </x:c>
      <x:c r="AJ4" s="173" t="str">
        <x:v>Siege</x:v>
      </x:c>
      <x:c r="AK4" s="173" t="str">
        <x:v>Siege</x:v>
      </x:c>
      <x:c r="AL4" s="173" t="str">
        <x:v>Siege</x:v>
      </x:c>
      <x:c r="AM4" s="173" t="str">
        <x:v>Other</x:v>
      </x:c>
      <x:c r="AN4" s="173" t="str">
        <x:v>Other</x:v>
      </x:c>
      <x:c r="AO4" s="173" t="str">
        <x:v>Shared Battle Modifiers</x:v>
      </x:c>
      <x:c r="AP4" s="173" t="str">
        <x:v>Shared Battle Modifiers</x:v>
      </x:c>
      <x:c r="AQ4" s="173" t="str">
        <x:v>Shared Battle Modifiers</x:v>
      </x:c>
      <x:c r="AR4" s="173" t="str">
        <x:v>Shared Battle Modifiers</x:v>
      </x:c>
      <x:c r="AS4" s="173" t="str">
        <x:v>Shared Battle Modifiers</x:v>
      </x:c>
      <x:c r="AT4" s="173" t="str">
        <x:v>Shared Battle Modifiers</x:v>
      </x:c>
      <x:c r="AU4" s="173" t="str">
        <x:v>Shared Battle Modifiers</x:v>
      </x:c>
      <x:c r="AV4" s="173" t="str">
        <x:v>Source</x:v>
      </x:c>
      <x:c r="AW4" s="173" t="str">
        <x:v>Source</x:v>
      </x:c>
      <x:c r="AX4" s="173" t="str">
        <x:v>Source</x:v>
      </x:c>
      <x:c r="AY4" s="173" t="str">
        <x:v>Source</x:v>
      </x:c>
      <x:c r="AZ4" s="173" t="str">
        <x:v>Additional Profile Fields</x:v>
      </x:c>
      <x:c r="BA4" s="173" t="str">
        <x:v>Additional Profile Fields</x:v>
      </x:c>
    </x:row>
    <x:row r="5" ht="48" customHeight="1">
      <x:c r="A5" s="42" t="str">
        <x:v>Server</x:v>
      </x:c>
      <x:c r="B5" s="42" t="str">
        <x:v>Player</x:v>
      </x:c>
      <x:c r="C5" s="42" t="str">
        <x:v>Battle Capacity</x:v>
      </x:c>
      <x:c r="D5" s="42" t="str">
        <x:v>Troop Attack</x:v>
      </x:c>
      <x:c r="E5" s="42" t="str">
        <x:v>Troop Health</x:v>
      </x:c>
      <x:c r="F5" s="42" t="str">
        <x:v>Troop Defense</x:v>
      </x:c>
      <x:c r="G5" s="42" t="str">
        <x:v>Troop Damage</x:v>
      </x:c>
      <x:c r="H5" s="42" t="str">
        <x:v>Troop Damage Received</x:v>
      </x:c>
      <x:c r="I5" s="42" t="str">
        <x:v>Troop Attack Blessing</x:v>
      </x:c>
      <x:c r="J5" s="42" t="str">
        <x:v>Troop Protection Blessing</x:v>
      </x:c>
      <x:c r="K5" s="42" t="str">
        <x:v>Infantry Attack</x:v>
      </x:c>
      <x:c r="L5" s="42" t="str">
        <x:v>Infantry Health</x:v>
      </x:c>
      <x:c r="M5" s="42" t="str">
        <x:v>Infantry Defense</x:v>
      </x:c>
      <x:c r="N5" s="42" t="str">
        <x:v>Infantry Damage</x:v>
      </x:c>
      <x:c r="O5" s="42" t="str">
        <x:v>Infantry Damage Received</x:v>
      </x:c>
      <x:c r="P5" s="42" t="str">
        <x:v>Infantry Attack Blessing</x:v>
      </x:c>
      <x:c r="Q5" s="42" t="str">
        <x:v>Infantry Protection Blessing</x:v>
      </x:c>
      <x:c r="R5" s="42" t="str">
        <x:v>Cavalry Attack</x:v>
      </x:c>
      <x:c r="S5" s="42" t="str">
        <x:v>Cavalry Health</x:v>
      </x:c>
      <x:c r="T5" s="42" t="str">
        <x:v>Cavalry Defense</x:v>
      </x:c>
      <x:c r="U5" s="42" t="str">
        <x:v>Cavalry Damage</x:v>
      </x:c>
      <x:c r="V5" s="42" t="str">
        <x:v>Cavalry Damage Received</x:v>
      </x:c>
      <x:c r="W5" s="42" t="str">
        <x:v>Cavalry Attack Blessing</x:v>
      </x:c>
      <x:c r="X5" s="42" t="str">
        <x:v>Cavalry Protection Blessing</x:v>
      </x:c>
      <x:c r="Y5" s="42" t="str">
        <x:v>Archer Attack</x:v>
      </x:c>
      <x:c r="Z5" s="42" t="str">
        <x:v>Archer Health</x:v>
      </x:c>
      <x:c r="AA5" s="42" t="str">
        <x:v>Archer Defense</x:v>
      </x:c>
      <x:c r="AB5" s="42" t="str">
        <x:v>Archer Damage</x:v>
      </x:c>
      <x:c r="AC5" s="42" t="str">
        <x:v>Archer Damage Received</x:v>
      </x:c>
      <x:c r="AD5" s="42" t="str">
        <x:v>Archer Attack Blessing</x:v>
      </x:c>
      <x:c r="AE5" s="42" t="str">
        <x:v>Archer Protection Blessing</x:v>
      </x:c>
      <x:c r="AF5" s="42" t="str">
        <x:v>Siege Attack</x:v>
      </x:c>
      <x:c r="AG5" s="42" t="str">
        <x:v>Siege Health</x:v>
      </x:c>
      <x:c r="AH5" s="42" t="str">
        <x:v>Siege Defense</x:v>
      </x:c>
      <x:c r="AI5" s="42" t="str">
        <x:v>Siege Damage</x:v>
      </x:c>
      <x:c r="AJ5" s="42" t="str">
        <x:v>Siege Damage Received</x:v>
      </x:c>
      <x:c r="AK5" s="42" t="str">
        <x:v>Siege Attack Blessing</x:v>
      </x:c>
      <x:c r="AL5" s="42" t="str">
        <x:v>Siege Protection Blessing</x:v>
      </x:c>
      <x:c r="AM5" s="42" t="str">
        <x:v>Revive</x:v>
      </x:c>
      <x:c r="AN5" s="42" t="str">
        <x:v>Lethal Hit Rate</x:v>
      </x:c>
      <x:c r="AO5" s="42" t="str">
        <x:v>Guards block damage</x:v>
      </x:c>
      <x:c r="AP5" s="42" t="str">
        <x:v>Heavy Cavalry Damage</x:v>
      </x:c>
      <x:c r="AQ5" s="42" t="str">
        <x:v>Horse archers Damage</x:v>
      </x:c>
      <x:c r="AR5" s="42" t="str">
        <x:v>Archer attack speed</x:v>
      </x:c>
      <x:c r="AS5" s="42" t="str">
        <x:v>Rams Health</x:v>
      </x:c>
      <x:c r="AT5" s="42" t="str">
        <x:v>Siege Damage (Lion)</x:v>
      </x:c>
      <x:c r="AU5" s="42" t="str">
        <x:v>March Capacity modifier</x:v>
      </x:c>
      <x:c r="AV5" s="42" t="str">
        <x:v>Stats screen timestamp</x:v>
      </x:c>
      <x:c r="AW5" s="42" t="str">
        <x:v>Attribute frame range</x:v>
      </x:c>
      <x:c r="AX5" s="42" t="str">
        <x:v>Source frame</x:v>
      </x:c>
      <x:c r="AY5" s="42" t="str">
        <x:v>Source Video</x:v>
      </x:c>
      <x:c r="AZ5" s="42" t="str">
        <x:v>Crossbowmen Damage (Lion)</x:v>
      </x:c>
      <x:c r="BA5" s="42" t="str">
        <x:v>Lion Level</x:v>
      </x:c>
    </x:row>
    <x:row r="6" ht="18" customHeight="1">
      <x:c r="A6" s="43" t="str">
        <x:v>K60</x:v>
      </x:c>
      <x:c r="B6" s="43" t="str">
        <x:v>CerialKiller</x:v>
      </x:c>
      <x:c r="C6" s="43"/>
      <x:c r="D6" s="44" t="n">
        <x:v>4.3396</x:v>
      </x:c>
      <x:c r="E6" s="44" t="n">
        <x:v>3.286</x:v>
      </x:c>
      <x:c r="F6" s="44" t="n">
        <x:v>4.191</x:v>
      </x:c>
      <x:c r="G6" s="44" t="n">
        <x:v>0.4375</x:v>
      </x:c>
      <x:c r="H6" s="44" t="n">
        <x:v>-0.475</x:v>
      </x:c>
      <x:c r="I6" s="44" t="n">
        <x:v>5.784</x:v>
      </x:c>
      <x:c r="J6" s="44" t="n">
        <x:v>6</x:v>
      </x:c>
      <x:c r="K6" s="44" t="n">
        <x:v>20.347</x:v>
      </x:c>
      <x:c r="L6" s="44" t="n">
        <x:v>26.6192</x:v>
      </x:c>
      <x:c r="M6" s="44" t="n">
        <x:v>19.582</x:v>
      </x:c>
      <x:c r="N6" s="44" t="n">
        <x:v>1.625</x:v>
      </x:c>
      <x:c r="O6" s="44" t="n">
        <x:v>-2.19</x:v>
      </x:c>
      <x:c r="P6" s="44" t="n">
        <x:v>3.96</x:v>
      </x:c>
      <x:c r="Q6" s="44" t="n">
        <x:v>7</x:v>
      </x:c>
      <x:c r="R6" s="44" t="n">
        <x:v>19.2285</x:v>
      </x:c>
      <x:c r="S6" s="44" t="n">
        <x:v>16.445</x:v>
      </x:c>
      <x:c r="T6" s="44" t="n">
        <x:v>11.8</x:v>
      </x:c>
      <x:c r="U6" s="44" t="n">
        <x:v>1.805</x:v>
      </x:c>
      <x:c r="V6" s="44" t="n">
        <x:v>-1.945</x:v>
      </x:c>
      <x:c r="W6" s="44" t="n">
        <x:v>6.03</x:v>
      </x:c>
      <x:c r="X6" s="44" t="n">
        <x:v>5.01</x:v>
      </x:c>
      <x:c r="Y6" s="44" t="n">
        <x:v>24.43</x:v>
      </x:c>
      <x:c r="Z6" s="44" t="n">
        <x:v>16.17</x:v>
      </x:c>
      <x:c r="AA6" s="44" t="n">
        <x:v>8.7935</x:v>
      </x:c>
      <x:c r="AB6" s="44" t="n">
        <x:v>1.93</x:v>
      </x:c>
      <x:c r="AC6" s="44" t="n">
        <x:v>-1.9275</x:v>
      </x:c>
      <x:c r="AD6" s="44" t="n">
        <x:v>6.26</x:v>
      </x:c>
      <x:c r="AE6" s="44" t="n">
        <x:v>4.42</x:v>
      </x:c>
      <x:c r="AF6" s="44" t="n">
        <x:v>14.347</x:v>
      </x:c>
      <x:c r="AG6" s="44" t="n">
        <x:v>13.327</x:v>
      </x:c>
      <x:c r="AH6" s="44" t="n">
        <x:v>9.205</x:v>
      </x:c>
      <x:c r="AI6" s="44" t="n">
        <x:v>1.695</x:v>
      </x:c>
      <x:c r="AJ6" s="44" t="n">
        <x:v>-1.845</x:v>
      </x:c>
      <x:c r="AK6" s="44" t="n">
        <x:v>7</x:v>
      </x:c>
      <x:c r="AL6" s="44" t="n">
        <x:v>3.07</x:v>
      </x:c>
      <x:c r="AM6" s="44" t="n">
        <x:v>0.26</x:v>
      </x:c>
      <x:c r="AN6" s="44" t="n">
        <x:v>0.24</x:v>
      </x:c>
      <x:c r="AO6" s="44" t="n">
        <x:v>-1.2188</x:v>
      </x:c>
      <x:c r="AP6" s="44" t="n">
        <x:v>0.9653</x:v>
      </x:c>
      <x:c r="AQ6" s="44" t="n">
        <x:v>0.9653</x:v>
      </x:c>
      <x:c r="AR6" s="44" t="n">
        <x:v>0.9653</x:v>
      </x:c>
      <x:c r="AS6" s="44" t="n">
        <x:v>0.6989</x:v>
      </x:c>
      <x:c r="AT6" s="44" t="n">
        <x:v>0.6989</x:v>
      </x:c>
      <x:c r="AU6" s="174" t="n">
        <x:v>0</x:v>
      </x:c>
      <x:c r="AV6" s="43" t="str">
        <x:v>00:29.25</x:v>
      </x:c>
      <x:c r="AW6" s="43"/>
      <x:c r="AX6" s="43" t="str">
        <x:v>00067</x:v>
      </x:c>
      <x:c r="AY6" s="43" t="str">
        <x:v>K60_SVID_20260828_001858_1.mp4</x:v>
      </x:c>
      <x:c r="AZ6" s="44"/>
      <x:c r="BA6" s="175"/>
    </x:row>
    <x:row r="7" ht="18" customHeight="1">
      <x:c r="A7" s="43" t="str">
        <x:v>K60</x:v>
      </x:c>
      <x:c r="B7" s="43" t="str">
        <x:v>Hitt</x:v>
      </x:c>
      <x:c r="C7" s="43"/>
      <x:c r="D7" s="44" t="n">
        <x:v>2.896</x:v>
      </x:c>
      <x:c r="E7" s="44" t="n">
        <x:v>2.601</x:v>
      </x:c>
      <x:c r="F7" s="44" t="n">
        <x:v>2.851</x:v>
      </x:c>
      <x:c r="G7" s="44" t="n">
        <x:v>0.415</x:v>
      </x:c>
      <x:c r="H7" s="44" t="n">
        <x:v>-0.415</x:v>
      </x:c>
      <x:c r="I7" s="44" t="n">
        <x:v>3.7052</x:v>
      </x:c>
      <x:c r="J7" s="44" t="n">
        <x:v>3.2812</x:v>
      </x:c>
      <x:c r="K7" s="44" t="n">
        <x:v>9.51</x:v>
      </x:c>
      <x:c r="L7" s="44" t="n">
        <x:v>13.9657</x:v>
      </x:c>
      <x:c r="M7" s="44" t="n">
        <x:v>9.3349</x:v>
      </x:c>
      <x:c r="N7" s="44" t="n">
        <x:v>0.49</x:v>
      </x:c>
      <x:c r="O7" s="44" t="n">
        <x:v>-0.635</x:v>
      </x:c>
      <x:c r="P7" s="44" t="n">
        <x:v>1.06</x:v>
      </x:c>
      <x:c r="Q7" s="44" t="n">
        <x:v>2.46</x:v>
      </x:c>
      <x:c r="R7" s="44" t="n">
        <x:v>20.952</x:v>
      </x:c>
      <x:c r="S7" s="44" t="n">
        <x:v>17.152</x:v>
      </x:c>
      <x:c r="T7" s="44" t="n">
        <x:v>9.79</x:v>
      </x:c>
      <x:c r="U7" s="44" t="n">
        <x:v>1.605</x:v>
      </x:c>
      <x:c r="V7" s="44" t="n">
        <x:v>-1.325</x:v>
      </x:c>
      <x:c r="W7" s="44" t="n">
        <x:v>3.54</x:v>
      </x:c>
      <x:c r="X7" s="44" t="n">
        <x:v>1.89</x:v>
      </x:c>
      <x:c r="Y7" s="44" t="n">
        <x:v>19.85</x:v>
      </x:c>
      <x:c r="Z7" s="44" t="n">
        <x:v>16.2035</x:v>
      </x:c>
      <x:c r="AA7" s="44" t="n">
        <x:v>10.69</x:v>
      </x:c>
      <x:c r="AB7" s="44" t="n">
        <x:v>1.6675</x:v>
      </x:c>
      <x:c r="AC7" s="44" t="n">
        <x:v>-1.3675</x:v>
      </x:c>
      <x:c r="AD7" s="44" t="n">
        <x:v>4.63</x:v>
      </x:c>
      <x:c r="AE7" s="44" t="n">
        <x:v>2.16</x:v>
      </x:c>
      <x:c r="AF7" s="44" t="n">
        <x:v>10.84</x:v>
      </x:c>
      <x:c r="AG7" s="44" t="n">
        <x:v>6.06</x:v>
      </x:c>
      <x:c r="AH7" s="44" t="n">
        <x:v>7.935</x:v>
      </x:c>
      <x:c r="AI7" s="44" t="n">
        <x:v>0.545</x:v>
      </x:c>
      <x:c r="AJ7" s="44" t="n">
        <x:v>-0.41</x:v>
      </x:c>
      <x:c r="AK7" s="44" t="n">
        <x:v>0.64</x:v>
      </x:c>
      <x:c r="AL7" s="44" t="n">
        <x:v>0.59</x:v>
      </x:c>
      <x:c r="AM7" s="44" t="n">
        <x:v>0.26</x:v>
      </x:c>
      <x:c r="AN7" s="44" t="n">
        <x:v>0.225</x:v>
      </x:c>
      <x:c r="AO7" s="44" t="n">
        <x:v>-1.2188</x:v>
      </x:c>
      <x:c r="AP7" s="44" t="n">
        <x:v>0.9653</x:v>
      </x:c>
      <x:c r="AQ7" s="44" t="n">
        <x:v>0.9653</x:v>
      </x:c>
      <x:c r="AR7" s="44" t="n">
        <x:v>0.9653</x:v>
      </x:c>
      <x:c r="AS7" s="44" t="n">
        <x:v>0.6989</x:v>
      </x:c>
      <x:c r="AT7" s="44" t="n">
        <x:v>0.6989</x:v>
      </x:c>
      <x:c r="AU7" s="174" t="n">
        <x:v>0</x:v>
      </x:c>
      <x:c r="AV7" s="43" t="str">
        <x:v>00:41.75</x:v>
      </x:c>
      <x:c r="AW7" s="43"/>
      <x:c r="AX7" s="43" t="str">
        <x:v>00089</x:v>
      </x:c>
      <x:c r="AY7" s="43" t="str">
        <x:v>K60_SVID_20260828_001858_1.mp4</x:v>
      </x:c>
      <x:c r="AZ7" s="44"/>
      <x:c r="BA7" s="175"/>
    </x:row>
    <x:row r="8" ht="18" customHeight="1">
      <x:c r="A8" s="43" t="str">
        <x:v>K60</x:v>
      </x:c>
      <x:c r="B8" s="43" t="str">
        <x:v>Λžtěč (Aztec)</x:v>
      </x:c>
      <x:c r="C8" s="43"/>
      <x:c r="D8" s="44" t="n">
        <x:v>3.231</x:v>
      </x:c>
      <x:c r="E8" s="44" t="n">
        <x:v>2.486</x:v>
      </x:c>
      <x:c r="F8" s="44" t="n">
        <x:v>2.831</x:v>
      </x:c>
      <x:c r="G8" s="44" t="n">
        <x:v>0.4375</x:v>
      </x:c>
      <x:c r="H8" s="44" t="n">
        <x:v>-0.415</x:v>
      </x:c>
      <x:c r="I8" s="44" t="n">
        <x:v>4.7784</x:v>
      </x:c>
      <x:c r="J8" s="44" t="n">
        <x:v>2.7008</x:v>
      </x:c>
      <x:c r="K8" s="44" t="n">
        <x:v>10.67</x:v>
      </x:c>
      <x:c r="L8" s="44" t="n">
        <x:v>13.785</x:v>
      </x:c>
      <x:c r="M8" s="44" t="n">
        <x:v>9.1299</x:v>
      </x:c>
      <x:c r="N8" s="44" t="n">
        <x:v>0.49</x:v>
      </x:c>
      <x:c r="O8" s="44" t="n">
        <x:v>-0.6</x:v>
      </x:c>
      <x:c r="P8" s="44" t="n">
        <x:v>1.03</x:v>
      </x:c>
      <x:c r="Q8" s="44" t="n">
        <x:v>4.45</x:v>
      </x:c>
      <x:c r="R8" s="44" t="n">
        <x:v>20.987</x:v>
      </x:c>
      <x:c r="S8" s="44" t="n">
        <x:v>17.922</x:v>
      </x:c>
      <x:c r="T8" s="44" t="n">
        <x:v>12.86</x:v>
      </x:c>
      <x:c r="U8" s="44" t="n">
        <x:v>1.5825</x:v>
      </x:c>
      <x:c r="V8" s="44" t="n">
        <x:v>-1.2875</x:v>
      </x:c>
      <x:c r="W8" s="44" t="n">
        <x:v>3.44</x:v>
      </x:c>
      <x:c r="X8" s="44" t="n">
        <x:v>2.11</x:v>
      </x:c>
      <x:c r="Y8" s="44" t="n">
        <x:v>21.41</x:v>
      </x:c>
      <x:c r="Z8" s="44" t="n">
        <x:v>16.8935</x:v>
      </x:c>
      <x:c r="AA8" s="44" t="n">
        <x:v>8.865</x:v>
      </x:c>
      <x:c r="AB8" s="44" t="n">
        <x:v>1.645</x:v>
      </x:c>
      <x:c r="AC8" s="44" t="n">
        <x:v>-1.2875</x:v>
      </x:c>
      <x:c r="AD8" s="44" t="n">
        <x:v>4.54</x:v>
      </x:c>
      <x:c r="AE8" s="44" t="n">
        <x:v>2.47</x:v>
      </x:c>
      <x:c r="AF8" s="44" t="n">
        <x:v>11.39</x:v>
      </x:c>
      <x:c r="AG8" s="44" t="n">
        <x:v>6.82</x:v>
      </x:c>
      <x:c r="AH8" s="44" t="n">
        <x:v>8.975</x:v>
      </x:c>
      <x:c r="AI8" s="44" t="n">
        <x:v>0.47</x:v>
      </x:c>
      <x:c r="AJ8" s="44" t="n">
        <x:v>-0.25</x:v>
      </x:c>
      <x:c r="AK8" s="44" t="n">
        <x:v>1.26</x:v>
      </x:c>
      <x:c r="AL8" s="44" t="n">
        <x:v>0.81</x:v>
      </x:c>
      <x:c r="AM8" s="44" t="n">
        <x:v>0.26</x:v>
      </x:c>
      <x:c r="AN8" s="44" t="n">
        <x:v>0.245</x:v>
      </x:c>
      <x:c r="AO8" s="44" t="n">
        <x:v>-1.2188</x:v>
      </x:c>
      <x:c r="AP8" s="44" t="n">
        <x:v>0.9653</x:v>
      </x:c>
      <x:c r="AQ8" s="44" t="n">
        <x:v>0.9653</x:v>
      </x:c>
      <x:c r="AR8" s="44" t="n">
        <x:v>0.9653</x:v>
      </x:c>
      <x:c r="AS8" s="44" t="n">
        <x:v>0.6989</x:v>
      </x:c>
      <x:c r="AT8" s="44" t="n">
        <x:v>0.6989</x:v>
      </x:c>
      <x:c r="AU8" s="174" t="n">
        <x:v>0</x:v>
      </x:c>
      <x:c r="AV8" s="43" t="str">
        <x:v>00:51.75</x:v>
      </x:c>
      <x:c r="AW8" s="43"/>
      <x:c r="AX8" s="43" t="str">
        <x:v>00109</x:v>
      </x:c>
      <x:c r="AY8" s="43" t="str">
        <x:v>K60_SVID_20260828_001858_1.mp4</x:v>
      </x:c>
      <x:c r="AZ8" s="44"/>
      <x:c r="BA8" s="175"/>
    </x:row>
    <x:row r="9" ht="18" customHeight="1">
      <x:c r="A9" s="43" t="str">
        <x:v>K60</x:v>
      </x:c>
      <x:c r="B9" s="43" t="str">
        <x:v>MoonLight</x:v>
      </x:c>
      <x:c r="C9" s="43"/>
      <x:c r="D9" s="44" t="n">
        <x:v>3.6485</x:v>
      </x:c>
      <x:c r="E9" s="44" t="n">
        <x:v>2.931</x:v>
      </x:c>
      <x:c r="F9" s="44" t="n">
        <x:v>2.971</x:v>
      </x:c>
      <x:c r="G9" s="44" t="n">
        <x:v>0.4375</x:v>
      </x:c>
      <x:c r="H9" s="44" t="n">
        <x:v>-0.415</x:v>
      </x:c>
      <x:c r="I9" s="44" t="n">
        <x:v>4.2364</x:v>
      </x:c>
      <x:c r="J9" s="44" t="n">
        <x:v>2.6116</x:v>
      </x:c>
      <x:c r="K9" s="44" t="n">
        <x:v>10.95</x:v>
      </x:c>
      <x:c r="L9" s="44" t="n">
        <x:v>16.405</x:v>
      </x:c>
      <x:c r="M9" s="44" t="n">
        <x:v>10.8099</x:v>
      </x:c>
      <x:c r="N9" s="44" t="n">
        <x:v>0.49</x:v>
      </x:c>
      <x:c r="O9" s="44" t="n">
        <x:v>-0.675</x:v>
      </x:c>
      <x:c r="P9" s="44" t="n">
        <x:v>1.15</x:v>
      </x:c>
      <x:c r="Q9" s="44" t="n">
        <x:v>2.56</x:v>
      </x:c>
      <x:c r="R9" s="44" t="n">
        <x:v>22.147</x:v>
      </x:c>
      <x:c r="S9" s="44" t="n">
        <x:v>15.362</x:v>
      </x:c>
      <x:c r="T9" s="44" t="n">
        <x:v>12.11</x:v>
      </x:c>
      <x:c r="U9" s="44" t="n">
        <x:v>1.72</x:v>
      </x:c>
      <x:c r="V9" s="44" t="n">
        <x:v>-1.315</x:v>
      </x:c>
      <x:c r="W9" s="44" t="n">
        <x:v>4</x:v>
      </x:c>
      <x:c r="X9" s="44" t="n">
        <x:v>1.91</x:v>
      </x:c>
      <x:c r="Y9" s="44" t="n">
        <x:v>21.32</x:v>
      </x:c>
      <x:c r="Z9" s="44" t="n">
        <x:v>16.8235</x:v>
      </x:c>
      <x:c r="AA9" s="44" t="n">
        <x:v>12.075</x:v>
      </x:c>
      <x:c r="AB9" s="44" t="n">
        <x:v>1.89</x:v>
      </x:c>
      <x:c r="AC9" s="44" t="n">
        <x:v>-1.3775</x:v>
      </x:c>
      <x:c r="AD9" s="44" t="n">
        <x:v>4.86</x:v>
      </x:c>
      <x:c r="AE9" s="44" t="n">
        <x:v>3.21</x:v>
      </x:c>
      <x:c r="AF9" s="44" t="n">
        <x:v>14.055</x:v>
      </x:c>
      <x:c r="AG9" s="44" t="n">
        <x:v>7.75</x:v>
      </x:c>
      <x:c r="AH9" s="44" t="n">
        <x:v>10.375</x:v>
      </x:c>
      <x:c r="AI9" s="44" t="n">
        <x:v>0.685</x:v>
      </x:c>
      <x:c r="AJ9" s="44" t="n">
        <x:v>-0.41</x:v>
      </x:c>
      <x:c r="AK9" s="44" t="n">
        <x:v>0.86</x:v>
      </x:c>
      <x:c r="AL9" s="44" t="n">
        <x:v>0.71</x:v>
      </x:c>
      <x:c r="AM9" s="44" t="n">
        <x:v>0.26</x:v>
      </x:c>
      <x:c r="AN9" s="44" t="n">
        <x:v>0.22</x:v>
      </x:c>
      <x:c r="AO9" s="44" t="n">
        <x:v>-1.2188</x:v>
      </x:c>
      <x:c r="AP9" s="44" t="n">
        <x:v>0.9653</x:v>
      </x:c>
      <x:c r="AQ9" s="44" t="n">
        <x:v>0.9653</x:v>
      </x:c>
      <x:c r="AR9" s="44" t="n">
        <x:v>0.9653</x:v>
      </x:c>
      <x:c r="AS9" s="44" t="n">
        <x:v>0.6989</x:v>
      </x:c>
      <x:c r="AT9" s="44" t="n">
        <x:v>0.6989</x:v>
      </x:c>
      <x:c r="AU9" s="174" t="n">
        <x:v>0</x:v>
      </x:c>
      <x:c r="AV9" s="43" t="str">
        <x:v>01:01.75</x:v>
      </x:c>
      <x:c r="AW9" s="43"/>
      <x:c r="AX9" s="43" t="str">
        <x:v>00127</x:v>
      </x:c>
      <x:c r="AY9" s="43" t="str">
        <x:v>K60_SVID_20260828_001858_1.mp4</x:v>
      </x:c>
      <x:c r="AZ9" s="44"/>
      <x:c r="BA9" s="175"/>
    </x:row>
    <x:row r="10" ht="18" customHeight="1">
      <x:c r="A10" s="43" t="str">
        <x:v>K60</x:v>
      </x:c>
      <x:c r="B10" s="43" t="str">
        <x:v>KingSkorpioN</x:v>
      </x:c>
      <x:c r="C10" s="43"/>
      <x:c r="D10" s="44" t="n">
        <x:v>3.2285</x:v>
      </x:c>
      <x:c r="E10" s="44" t="n">
        <x:v>2.271</x:v>
      </x:c>
      <x:c r="F10" s="44" t="n">
        <x:v>2.741</x:v>
      </x:c>
      <x:c r="G10" s="44" t="n">
        <x:v>0.4375</x:v>
      </x:c>
      <x:c r="H10" s="44" t="n">
        <x:v>-0.415</x:v>
      </x:c>
      <x:c r="I10" s="44" t="n">
        <x:v>4.65</x:v>
      </x:c>
      <x:c r="J10" s="44" t="n">
        <x:v>2.7408</x:v>
      </x:c>
      <x:c r="K10" s="44" t="n">
        <x:v>11.51</x:v>
      </x:c>
      <x:c r="L10" s="44" t="n">
        <x:v>14.935</x:v>
      </x:c>
      <x:c r="M10" s="44" t="n">
        <x:v>10.2199</x:v>
      </x:c>
      <x:c r="N10" s="44" t="n">
        <x:v>0.5525</x:v>
      </x:c>
      <x:c r="O10" s="44" t="n">
        <x:v>-0.6125</x:v>
      </x:c>
      <x:c r="P10" s="44" t="n">
        <x:v>1.19</x:v>
      </x:c>
      <x:c r="Q10" s="44" t="n">
        <x:v>2.77</x:v>
      </x:c>
      <x:c r="R10" s="44" t="n">
        <x:v>20.902</x:v>
      </x:c>
      <x:c r="S10" s="44" t="n">
        <x:v>14.152</x:v>
      </x:c>
      <x:c r="T10" s="44" t="n">
        <x:v>11.1</x:v>
      </x:c>
      <x:c r="U10" s="44" t="n">
        <x:v>1.5475</x:v>
      </x:c>
      <x:c r="V10" s="44" t="n">
        <x:v>-1.285</x:v>
      </x:c>
      <x:c r="W10" s="44" t="n">
        <x:v>2.4</x:v>
      </x:c>
      <x:c r="X10" s="44" t="n">
        <x:v>1.42</x:v>
      </x:c>
      <x:c r="Y10" s="44" t="n">
        <x:v>20.21</x:v>
      </x:c>
      <x:c r="Z10" s="44" t="n">
        <x:v>16.7635</x:v>
      </x:c>
      <x:c r="AA10" s="44" t="n">
        <x:v>11.75</x:v>
      </x:c>
      <x:c r="AB10" s="44" t="n">
        <x:v>1.6725</x:v>
      </x:c>
      <x:c r="AC10" s="44" t="n">
        <x:v>-1.4475</x:v>
      </x:c>
      <x:c r="AD10" s="44" t="n">
        <x:v>4.76</x:v>
      </x:c>
      <x:c r="AE10" s="44" t="n">
        <x:v>2.3</x:v>
      </x:c>
      <x:c r="AF10" s="44" t="n">
        <x:v>12.565</x:v>
      </x:c>
      <x:c r="AG10" s="44" t="n">
        <x:v>7.05</x:v>
      </x:c>
      <x:c r="AH10" s="44" t="n">
        <x:v>9.46</x:v>
      </x:c>
      <x:c r="AI10" s="44" t="n">
        <x:v>0.555</x:v>
      </x:c>
      <x:c r="AJ10" s="44" t="n">
        <x:v>-0.41</x:v>
      </x:c>
      <x:c r="AK10" s="44" t="n">
        <x:v>0.86</x:v>
      </x:c>
      <x:c r="AL10" s="44" t="n">
        <x:v>0.68</x:v>
      </x:c>
      <x:c r="AM10" s="44" t="n">
        <x:v>0.26</x:v>
      </x:c>
      <x:c r="AN10" s="44" t="n">
        <x:v>0.235</x:v>
      </x:c>
      <x:c r="AO10" s="44" t="n">
        <x:v>-1.2188</x:v>
      </x:c>
      <x:c r="AP10" s="44" t="n">
        <x:v>0.9653</x:v>
      </x:c>
      <x:c r="AQ10" s="44" t="n">
        <x:v>0.9653</x:v>
      </x:c>
      <x:c r="AR10" s="44" t="n">
        <x:v>0.9653</x:v>
      </x:c>
      <x:c r="AS10" s="44" t="n">
        <x:v>0.6989</x:v>
      </x:c>
      <x:c r="AT10" s="44" t="n">
        <x:v>0.6989</x:v>
      </x:c>
      <x:c r="AU10" s="174" t="n">
        <x:v>0</x:v>
      </x:c>
      <x:c r="AV10" s="43" t="str">
        <x:v>01:10.75</x:v>
      </x:c>
      <x:c r="AW10" s="43"/>
      <x:c r="AX10" s="43" t="str">
        <x:v>00146</x:v>
      </x:c>
      <x:c r="AY10" s="43" t="str">
        <x:v>K60_SVID_20260828_001858_1.mp4</x:v>
      </x:c>
      <x:c r="AZ10" s="44"/>
      <x:c r="BA10" s="175"/>
    </x:row>
    <x:row r="11" ht="18" customHeight="1">
      <x:c r="A11" s="43" t="str">
        <x:v>K60</x:v>
      </x:c>
      <x:c r="B11" s="43" t="str">
        <x:v>Crixus</x:v>
      </x:c>
      <x:c r="C11" s="43"/>
      <x:c r="D11" s="44" t="n">
        <x:v>3.0385</x:v>
      </x:c>
      <x:c r="E11" s="44" t="n">
        <x:v>2.601</x:v>
      </x:c>
      <x:c r="F11" s="44" t="n">
        <x:v>2.671</x:v>
      </x:c>
      <x:c r="G11" s="44" t="n">
        <x:v>0.4375</x:v>
      </x:c>
      <x:c r="H11" s="44" t="n">
        <x:v>-0.4</x:v>
      </x:c>
      <x:c r="I11" s="44" t="n">
        <x:v>6</x:v>
      </x:c>
      <x:c r="J11" s="44" t="n">
        <x:v>2.6876</x:v>
      </x:c>
      <x:c r="K11" s="44" t="n">
        <x:v>10.665</x:v>
      </x:c>
      <x:c r="L11" s="44" t="n">
        <x:v>15.005</x:v>
      </x:c>
      <x:c r="M11" s="44" t="n">
        <x:v>9.7499</x:v>
      </x:c>
      <x:c r="N11" s="44" t="n">
        <x:v>0.99</x:v>
      </x:c>
      <x:c r="O11" s="44" t="n">
        <x:v>-1.13</x:v>
      </x:c>
      <x:c r="P11" s="44" t="n">
        <x:v>0.61</x:v>
      </x:c>
      <x:c r="Q11" s="44" t="n">
        <x:v>1.71</x:v>
      </x:c>
      <x:c r="R11" s="44" t="n">
        <x:v>22.852</x:v>
      </x:c>
      <x:c r="S11" s="44" t="n">
        <x:v>14.312</x:v>
      </x:c>
      <x:c r="T11" s="44" t="n">
        <x:v>12.32</x:v>
      </x:c>
      <x:c r="U11" s="44" t="n">
        <x:v>1.705</x:v>
      </x:c>
      <x:c r="V11" s="44" t="n">
        <x:v>-1.225</x:v>
      </x:c>
      <x:c r="W11" s="44" t="n">
        <x:v>4.17</x:v>
      </x:c>
      <x:c r="X11" s="44" t="n">
        <x:v>1.79</x:v>
      </x:c>
      <x:c r="Y11" s="44" t="n">
        <x:v>21.16</x:v>
      </x:c>
      <x:c r="Z11" s="44" t="n">
        <x:v>17.5135</x:v>
      </x:c>
      <x:c r="AA11" s="44" t="n">
        <x:v>12.965</x:v>
      </x:c>
      <x:c r="AB11" s="44" t="n">
        <x:v>1.77</x:v>
      </x:c>
      <x:c r="AC11" s="44" t="n">
        <x:v>-1.3</x:v>
      </x:c>
      <x:c r="AD11" s="44" t="n">
        <x:v>4.75</x:v>
      </x:c>
      <x:c r="AE11" s="44" t="n">
        <x:v>2.88</x:v>
      </x:c>
      <x:c r="AF11" s="44" t="n">
        <x:v>14.15</x:v>
      </x:c>
      <x:c r="AG11" s="44" t="n">
        <x:v>6.59</x:v>
      </x:c>
      <x:c r="AH11" s="44" t="n">
        <x:v>8.99</x:v>
      </x:c>
      <x:c r="AI11" s="44" t="n">
        <x:v>0.63</x:v>
      </x:c>
      <x:c r="AJ11" s="44" t="n">
        <x:v>-0.25</x:v>
      </x:c>
      <x:c r="AK11" s="44" t="n">
        <x:v>0.56</x:v>
      </x:c>
      <x:c r="AL11" s="44" t="n">
        <x:v>0.32</x:v>
      </x:c>
      <x:c r="AM11" s="44" t="n">
        <x:v>0.26</x:v>
      </x:c>
      <x:c r="AN11" s="44" t="n">
        <x:v>0.245</x:v>
      </x:c>
      <x:c r="AO11" s="44" t="n">
        <x:v>-1.2188</x:v>
      </x:c>
      <x:c r="AP11" s="44" t="n">
        <x:v>0.9653</x:v>
      </x:c>
      <x:c r="AQ11" s="44" t="n">
        <x:v>0.9653</x:v>
      </x:c>
      <x:c r="AR11" s="44" t="n">
        <x:v>0.9653</x:v>
      </x:c>
      <x:c r="AS11" s="44" t="n">
        <x:v>0.6989</x:v>
      </x:c>
      <x:c r="AT11" s="44" t="n">
        <x:v>0.6989</x:v>
      </x:c>
      <x:c r="AU11" s="174" t="n">
        <x:v>0</x:v>
      </x:c>
      <x:c r="AV11" s="43" t="str">
        <x:v>01:20.75</x:v>
      </x:c>
      <x:c r="AW11" s="43"/>
      <x:c r="AX11" s="43" t="str">
        <x:v>00167</x:v>
      </x:c>
      <x:c r="AY11" s="43" t="str">
        <x:v>K60_SVID_20260828_001858_1.mp4</x:v>
      </x:c>
      <x:c r="AZ11" s="44"/>
      <x:c r="BA11" s="175"/>
    </x:row>
    <x:row r="12" ht="18" customHeight="1">
      <x:c r="A12" s="43" t="str">
        <x:v>K60</x:v>
      </x:c>
      <x:c r="B12" s="43" t="str">
        <x:v>Ёжик</x:v>
      </x:c>
      <x:c r="C12" s="43"/>
      <x:c r="D12" s="44" t="n">
        <x:v>2.766</x:v>
      </x:c>
      <x:c r="E12" s="44" t="n">
        <x:v>2.801</x:v>
      </x:c>
      <x:c r="F12" s="44" t="n">
        <x:v>3.111</x:v>
      </x:c>
      <x:c r="G12" s="44" t="n">
        <x:v>0.415</x:v>
      </x:c>
      <x:c r="H12" s="44" t="n">
        <x:v>-0.415</x:v>
      </x:c>
      <x:c r="I12" s="44" t="n">
        <x:v>6</x:v>
      </x:c>
      <x:c r="J12" s="44" t="n">
        <x:v>2.11</x:v>
      </x:c>
      <x:c r="K12" s="44" t="n">
        <x:v>12.27</x:v>
      </x:c>
      <x:c r="L12" s="44" t="n">
        <x:v>13.935</x:v>
      </x:c>
      <x:c r="M12" s="44" t="n">
        <x:v>9.5399</x:v>
      </x:c>
      <x:c r="N12" s="44" t="n">
        <x:v>0.5525</x:v>
      </x:c>
      <x:c r="O12" s="44" t="n">
        <x:v>-0.6475</x:v>
      </x:c>
      <x:c r="P12" s="44" t="n">
        <x:v>0.99</x:v>
      </x:c>
      <x:c r="Q12" s="44" t="n">
        <x:v>2.73</x:v>
      </x:c>
      <x:c r="R12" s="44" t="n">
        <x:v>21.217</x:v>
      </x:c>
      <x:c r="S12" s="44" t="n">
        <x:v>15.482</x:v>
      </x:c>
      <x:c r="T12" s="44" t="n">
        <x:v>11.86</x:v>
      </x:c>
      <x:c r="U12" s="44" t="n">
        <x:v>1.605</x:v>
      </x:c>
      <x:c r="V12" s="44" t="n">
        <x:v>-1.3475</x:v>
      </x:c>
      <x:c r="W12" s="44" t="n">
        <x:v>3.49</x:v>
      </x:c>
      <x:c r="X12" s="44" t="n">
        <x:v>2.29</x:v>
      </x:c>
      <x:c r="Y12" s="44" t="n">
        <x:v>17.9</x:v>
      </x:c>
      <x:c r="Z12" s="44" t="n">
        <x:v>14.2335</x:v>
      </x:c>
      <x:c r="AA12" s="44" t="n">
        <x:v>9.995</x:v>
      </x:c>
      <x:c r="AB12" s="44" t="n">
        <x:v>1.5425</x:v>
      </x:c>
      <x:c r="AC12" s="44" t="n">
        <x:v>-1.4475</x:v>
      </x:c>
      <x:c r="AD12" s="44" t="n">
        <x:v>2.73</x:v>
      </x:c>
      <x:c r="AE12" s="44" t="n">
        <x:v>1.63</x:v>
      </x:c>
      <x:c r="AF12" s="44" t="n">
        <x:v>14.71</x:v>
      </x:c>
      <x:c r="AG12" s="44" t="n">
        <x:v>6.5</x:v>
      </x:c>
      <x:c r="AH12" s="44" t="n">
        <x:v>9.545</x:v>
      </x:c>
      <x:c r="AI12" s="44" t="n">
        <x:v>0.5325</x:v>
      </x:c>
      <x:c r="AJ12" s="44" t="n">
        <x:v>-0.41</x:v>
      </x:c>
      <x:c r="AK12" s="44" t="n">
        <x:v>1.57</x:v>
      </x:c>
      <x:c r="AL12" s="44" t="n">
        <x:v>0.94</x:v>
      </x:c>
      <x:c r="AM12" s="44" t="n">
        <x:v>0.26</x:v>
      </x:c>
      <x:c r="AN12" s="44" t="n">
        <x:v>0.23</x:v>
      </x:c>
      <x:c r="AO12" s="44" t="n">
        <x:v>-1.2188</x:v>
      </x:c>
      <x:c r="AP12" s="44" t="n">
        <x:v>0.9653</x:v>
      </x:c>
      <x:c r="AQ12" s="44" t="n">
        <x:v>0.9653</x:v>
      </x:c>
      <x:c r="AR12" s="44" t="n">
        <x:v>0.9653</x:v>
      </x:c>
      <x:c r="AS12" s="44" t="n">
        <x:v>0.6989</x:v>
      </x:c>
      <x:c r="AT12" s="44" t="n">
        <x:v>0.6989</x:v>
      </x:c>
      <x:c r="AU12" s="174" t="n">
        <x:v>0</x:v>
      </x:c>
      <x:c r="AV12" s="43" t="str">
        <x:v>01:31.25</x:v>
      </x:c>
      <x:c r="AW12" s="43"/>
      <x:c r="AX12" s="43" t="str">
        <x:v>00188</x:v>
      </x:c>
      <x:c r="AY12" s="43" t="str">
        <x:v>K60_SVID_20260828_001858_1.mp4</x:v>
      </x:c>
      <x:c r="AZ12" s="44"/>
      <x:c r="BA12" s="175"/>
    </x:row>
    <x:row r="13" ht="18" customHeight="1">
      <x:c r="A13" s="43" t="str">
        <x:v>K60</x:v>
      </x:c>
      <x:c r="B13" s="43" t="str">
        <x:v>༺۝Foxik۝༻</x:v>
      </x:c>
      <x:c r="C13" s="43"/>
      <x:c r="D13" s="44" t="n">
        <x:v>2.801</x:v>
      </x:c>
      <x:c r="E13" s="44" t="n">
        <x:v>2.311</x:v>
      </x:c>
      <x:c r="F13" s="44" t="n">
        <x:v>2.746</x:v>
      </x:c>
      <x:c r="G13" s="44" t="n">
        <x:v>0.415</x:v>
      </x:c>
      <x:c r="H13" s="44" t="n">
        <x:v>-0.415</x:v>
      </x:c>
      <x:c r="I13" s="44" t="n">
        <x:v>3.8668</x:v>
      </x:c>
      <x:c r="J13" s="44" t="n">
        <x:v>3.2548</x:v>
      </x:c>
      <x:c r="K13" s="44" t="n">
        <x:v>11.09</x:v>
      </x:c>
      <x:c r="L13" s="44" t="n">
        <x:v>14.6</x:v>
      </x:c>
      <x:c r="M13" s="44" t="n">
        <x:v>9.8849</x:v>
      </x:c>
      <x:c r="N13" s="44" t="n">
        <x:v>0.5525</x:v>
      </x:c>
      <x:c r="O13" s="44" t="n">
        <x:v>-0.67</x:v>
      </x:c>
      <x:c r="P13" s="44" t="n">
        <x:v>1.09</x:v>
      </x:c>
      <x:c r="Q13" s="44" t="n">
        <x:v>3.05</x:v>
      </x:c>
      <x:c r="R13" s="44" t="n">
        <x:v>20.857</x:v>
      </x:c>
      <x:c r="S13" s="44" t="n">
        <x:v>17.312</x:v>
      </x:c>
      <x:c r="T13" s="44" t="n">
        <x:v>11.7</x:v>
      </x:c>
      <x:c r="U13" s="44" t="n">
        <x:v>1.5325</x:v>
      </x:c>
      <x:c r="V13" s="44" t="n">
        <x:v>-1.3475</x:v>
      </x:c>
      <x:c r="W13" s="44" t="n">
        <x:v>3.54</x:v>
      </x:c>
      <x:c r="X13" s="44" t="n">
        <x:v>1.76</x:v>
      </x:c>
      <x:c r="Y13" s="44" t="n">
        <x:v>19.67</x:v>
      </x:c>
      <x:c r="Z13" s="44" t="n">
        <x:v>16.3435</x:v>
      </x:c>
      <x:c r="AA13" s="44" t="n">
        <x:v>8.365</x:v>
      </x:c>
      <x:c r="AB13" s="44" t="n">
        <x:v>1.605</x:v>
      </x:c>
      <x:c r="AC13" s="44" t="n">
        <x:v>-1.4725</x:v>
      </x:c>
      <x:c r="AD13" s="44" t="n">
        <x:v>4.02</x:v>
      </x:c>
      <x:c r="AE13" s="44" t="n">
        <x:v>1.94</x:v>
      </x:c>
      <x:c r="AF13" s="44" t="n">
        <x:v>12.6</x:v>
      </x:c>
      <x:c r="AG13" s="44" t="n">
        <x:v>6.18</x:v>
      </x:c>
      <x:c r="AH13" s="44" t="n">
        <x:v>8.815</x:v>
      </x:c>
      <x:c r="AI13" s="44" t="n">
        <x:v>0.51</x:v>
      </x:c>
      <x:c r="AJ13" s="44" t="n">
        <x:v>-0.435</x:v>
      </x:c>
      <x:c r="AK13" s="44" t="n">
        <x:v>0.8</x:v>
      </x:c>
      <x:c r="AL13" s="44" t="n">
        <x:v>0.63</x:v>
      </x:c>
      <x:c r="AM13" s="44" t="n">
        <x:v>0.26</x:v>
      </x:c>
      <x:c r="AN13" s="44" t="n">
        <x:v>0.235</x:v>
      </x:c>
      <x:c r="AO13" s="44" t="n">
        <x:v>-1.2188</x:v>
      </x:c>
      <x:c r="AP13" s="44" t="n">
        <x:v>0.9653</x:v>
      </x:c>
      <x:c r="AQ13" s="44" t="n">
        <x:v>0.9653</x:v>
      </x:c>
      <x:c r="AR13" s="44" t="n">
        <x:v>0.9653</x:v>
      </x:c>
      <x:c r="AS13" s="44" t="n">
        <x:v>0.6989</x:v>
      </x:c>
      <x:c r="AT13" s="44" t="n">
        <x:v>0.6989</x:v>
      </x:c>
      <x:c r="AU13" s="174" t="n">
        <x:v>0</x:v>
      </x:c>
      <x:c r="AV13" s="43" t="str">
        <x:v>01:39.75</x:v>
      </x:c>
      <x:c r="AW13" s="43"/>
      <x:c r="AX13" s="43" t="str">
        <x:v>00203</x:v>
      </x:c>
      <x:c r="AY13" s="43" t="str">
        <x:v>K60_SVID_20260828_001858_1.mp4</x:v>
      </x:c>
      <x:c r="AZ13" s="44"/>
      <x:c r="BA13" s="175"/>
    </x:row>
    <x:row r="14" ht="18" customHeight="1">
      <x:c r="A14" s="43" t="str">
        <x:v>K60</x:v>
      </x:c>
      <x:c r="B14" s="43" t="str">
        <x:v>Houdini</x:v>
      </x:c>
      <x:c r="C14" s="43"/>
      <x:c r="D14" s="44" t="n">
        <x:v>2.856</x:v>
      </x:c>
      <x:c r="E14" s="44" t="n">
        <x:v>2.391</x:v>
      </x:c>
      <x:c r="F14" s="44" t="n">
        <x:v>2.791</x:v>
      </x:c>
      <x:c r="G14" s="44" t="n">
        <x:v>0.415</x:v>
      </x:c>
      <x:c r="H14" s="44" t="n">
        <x:v>-0.415</x:v>
      </x:c>
      <x:c r="I14" s="44" t="n">
        <x:v>3.6832</x:v>
      </x:c>
      <x:c r="J14" s="44" t="n">
        <x:v>2.8352</x:v>
      </x:c>
      <x:c r="K14" s="44" t="n">
        <x:v>8.84</x:v>
      </x:c>
      <x:c r="L14" s="44" t="n">
        <x:v>12.9507</x:v>
      </x:c>
      <x:c r="M14" s="44" t="n">
        <x:v>8.3642</x:v>
      </x:c>
      <x:c r="N14" s="44" t="n">
        <x:v>0.49</x:v>
      </x:c>
      <x:c r="O14" s="44" t="n">
        <x:v>-0.635</x:v>
      </x:c>
      <x:c r="P14" s="44" t="n">
        <x:v>0.83</x:v>
      </x:c>
      <x:c r="Q14" s="44" t="n">
        <x:v>1.12</x:v>
      </x:c>
      <x:c r="R14" s="44" t="n">
        <x:v>20.417</x:v>
      </x:c>
      <x:c r="S14" s="44" t="n">
        <x:v>14.467</x:v>
      </x:c>
      <x:c r="T14" s="44" t="n">
        <x:v>11.135</x:v>
      </x:c>
      <x:c r="U14" s="44" t="n">
        <x:v>1.565</x:v>
      </x:c>
      <x:c r="V14" s="44" t="n">
        <x:v>-1.365</x:v>
      </x:c>
      <x:c r="W14" s="44" t="n">
        <x:v>2.29</x:v>
      </x:c>
      <x:c r="X14" s="44" t="n">
        <x:v>1.22</x:v>
      </x:c>
      <x:c r="Y14" s="44" t="n">
        <x:v>19.385</x:v>
      </x:c>
      <x:c r="Z14" s="44" t="n">
        <x:v>16.6985</x:v>
      </x:c>
      <x:c r="AA14" s="44" t="n">
        <x:v>11.085</x:v>
      </x:c>
      <x:c r="AB14" s="44" t="n">
        <x:v>1.6675</x:v>
      </x:c>
      <x:c r="AC14" s="44" t="n">
        <x:v>-1.4075</x:v>
      </x:c>
      <x:c r="AD14" s="44" t="n">
        <x:v>3.7</x:v>
      </x:c>
      <x:c r="AE14" s="44" t="n">
        <x:v>2.43</x:v>
      </x:c>
      <x:c r="AF14" s="44" t="n">
        <x:v>10.46</x:v>
      </x:c>
      <x:c r="AG14" s="44" t="n">
        <x:v>5.455</x:v>
      </x:c>
      <x:c r="AH14" s="44" t="n">
        <x:v>7.205</x:v>
      </x:c>
      <x:c r="AI14" s="44" t="n">
        <x:v>0.545</x:v>
      </x:c>
      <x:c r="AJ14" s="44" t="n">
        <x:v>-0.39</x:v>
      </x:c>
      <x:c r="AK14" s="44" t="n">
        <x:v>0.47</x:v>
      </x:c>
      <x:c r="AL14" s="44" t="n">
        <x:v>0.47</x:v>
      </x:c>
      <x:c r="AM14" s="44" t="n">
        <x:v>0.26</x:v>
      </x:c>
      <x:c r="AN14" s="44" t="n">
        <x:v>0.245</x:v>
      </x:c>
      <x:c r="AO14" s="44" t="n">
        <x:v>-1.2188</x:v>
      </x:c>
      <x:c r="AP14" s="44" t="n">
        <x:v>0.9653</x:v>
      </x:c>
      <x:c r="AQ14" s="44" t="n">
        <x:v>0.9653</x:v>
      </x:c>
      <x:c r="AR14" s="44" t="n">
        <x:v>0.9653</x:v>
      </x:c>
      <x:c r="AS14" s="44" t="n">
        <x:v>0.6989</x:v>
      </x:c>
      <x:c r="AT14" s="44" t="n">
        <x:v>0.6989</x:v>
      </x:c>
      <x:c r="AU14" s="174" t="n">
        <x:v>0</x:v>
      </x:c>
      <x:c r="AV14" s="43" t="str">
        <x:v>01:47.75</x:v>
      </x:c>
      <x:c r="AW14" s="43"/>
      <x:c r="AX14" s="43" t="str">
        <x:v>00220</x:v>
      </x:c>
      <x:c r="AY14" s="43" t="str">
        <x:v>K60_SVID_20260828_001858_1.mp4</x:v>
      </x:c>
      <x:c r="AZ14" s="44"/>
      <x:c r="BA14" s="175"/>
    </x:row>
    <x:row r="15" ht="18" customHeight="1">
      <x:c r="A15" s="43" t="str">
        <x:v>K60</x:v>
      </x:c>
      <x:c r="B15" s="43" t="str">
        <x:v>Дерог</x:v>
      </x:c>
      <x:c r="C15" s="43"/>
      <x:c r="D15" s="44" t="n">
        <x:v>3.6146</x:v>
      </x:c>
      <x:c r="E15" s="44" t="n">
        <x:v>2.896</x:v>
      </x:c>
      <x:c r="F15" s="44" t="n">
        <x:v>3.001</x:v>
      </x:c>
      <x:c r="G15" s="44" t="n">
        <x:v>0.4375</x:v>
      </x:c>
      <x:c r="H15" s="44" t="n">
        <x:v>-0.415</x:v>
      </x:c>
      <x:c r="I15" s="44" t="n">
        <x:v>5.8848</x:v>
      </x:c>
      <x:c r="J15" s="44" t="n">
        <x:v>3.9472</x:v>
      </x:c>
      <x:c r="K15" s="44" t="n">
        <x:v>15.76</x:v>
      </x:c>
      <x:c r="L15" s="44" t="n">
        <x:v>18.2492</x:v>
      </x:c>
      <x:c r="M15" s="44" t="n">
        <x:v>10.8657</x:v>
      </x:c>
      <x:c r="N15" s="44" t="n">
        <x:v>1.4275</x:v>
      </x:c>
      <x:c r="O15" s="44" t="n">
        <x:v>-1.5725</x:v>
      </x:c>
      <x:c r="P15" s="44" t="n">
        <x:v>0.99</x:v>
      </x:c>
      <x:c r="Q15" s="44" t="n">
        <x:v>5.17</x:v>
      </x:c>
      <x:c r="R15" s="44" t="n">
        <x:v>20.915</x:v>
      </x:c>
      <x:c r="S15" s="44" t="n">
        <x:v>13.465</x:v>
      </x:c>
      <x:c r="T15" s="44" t="n">
        <x:v>10.54</x:v>
      </x:c>
      <x:c r="U15" s="44" t="n">
        <x:v>1.74</x:v>
      </x:c>
      <x:c r="V15" s="44" t="n">
        <x:v>-1.3475</x:v>
      </x:c>
      <x:c r="W15" s="44" t="n">
        <x:v>4.96</x:v>
      </x:c>
      <x:c r="X15" s="44" t="n">
        <x:v>3.5</x:v>
      </x:c>
      <x:c r="Y15" s="44" t="n">
        <x:v>20.44</x:v>
      </x:c>
      <x:c r="Z15" s="44" t="n">
        <x:v>12.32</x:v>
      </x:c>
      <x:c r="AA15" s="44" t="n">
        <x:v>9.36</x:v>
      </x:c>
      <x:c r="AB15" s="44" t="n">
        <x:v>1.755</x:v>
      </x:c>
      <x:c r="AC15" s="44" t="n">
        <x:v>-1.3675</x:v>
      </x:c>
      <x:c r="AD15" s="44" t="n">
        <x:v>5.01</x:v>
      </x:c>
      <x:c r="AE15" s="44" t="n">
        <x:v>2.25</x:v>
      </x:c>
      <x:c r="AF15" s="44" t="n">
        <x:v>21.127</x:v>
      </x:c>
      <x:c r="AG15" s="44" t="n">
        <x:v>10.707</x:v>
      </x:c>
      <x:c r="AH15" s="44" t="n">
        <x:v>10.77</x:v>
      </x:c>
      <x:c r="AI15" s="44" t="n">
        <x:v>1.6</x:v>
      </x:c>
      <x:c r="AJ15" s="44" t="n">
        <x:v>-1.285</x:v>
      </x:c>
      <x:c r="AK15" s="44" t="n">
        <x:v>1.64</x:v>
      </x:c>
      <x:c r="AL15" s="44" t="n">
        <x:v>0.93</x:v>
      </x:c>
      <x:c r="AM15" s="44" t="n">
        <x:v>0.26</x:v>
      </x:c>
      <x:c r="AN15" s="44" t="n">
        <x:v>0.255</x:v>
      </x:c>
      <x:c r="AO15" s="44" t="n">
        <x:v>-1.2188</x:v>
      </x:c>
      <x:c r="AP15" s="44" t="n">
        <x:v>0.9653</x:v>
      </x:c>
      <x:c r="AQ15" s="44" t="n">
        <x:v>0.9653</x:v>
      </x:c>
      <x:c r="AR15" s="44" t="n">
        <x:v>0.9653</x:v>
      </x:c>
      <x:c r="AS15" s="44" t="n">
        <x:v>0.6989</x:v>
      </x:c>
      <x:c r="AT15" s="44" t="n">
        <x:v>0.6989</x:v>
      </x:c>
      <x:c r="AU15" s="174" t="n">
        <x:v>0</x:v>
      </x:c>
      <x:c r="AV15" s="43" t="str">
        <x:v>02:01.75</x:v>
      </x:c>
      <x:c r="AW15" s="43"/>
      <x:c r="AX15" s="43" t="str">
        <x:v>00246</x:v>
      </x:c>
      <x:c r="AY15" s="43" t="str">
        <x:v>K60_SVID_20260828_001858_1.mp4</x:v>
      </x:c>
      <x:c r="AZ15" s="44"/>
      <x:c r="BA15" s="175"/>
    </x:row>
    <x:row r="16" ht="18" customHeight="1">
      <x:c r="A16" s="43" t="str">
        <x:v>K60</x:v>
      </x:c>
      <x:c r="B16" s="43" t="str">
        <x:v>#11 元气满满 (122,000)</x:v>
      </x:c>
      <x:c r="C16" s="43"/>
      <x:c r="D16" s="44" t="n">
        <x:v>3.1385</x:v>
      </x:c>
      <x:c r="E16" s="44" t="n">
        <x:v>2.881</x:v>
      </x:c>
      <x:c r="F16" s="44" t="n">
        <x:v>2.981</x:v>
      </x:c>
      <x:c r="G16" s="44" t="n">
        <x:v>0.4375</x:v>
      </x:c>
      <x:c r="H16" s="44" t="n">
        <x:v>-0.415</x:v>
      </x:c>
      <x:c r="I16" s="44" t="n">
        <x:v>6</x:v>
      </x:c>
      <x:c r="J16" s="44" t="n">
        <x:v>3.2428</x:v>
      </x:c>
      <x:c r="K16" s="44" t="n">
        <x:v>11.5</x:v>
      </x:c>
      <x:c r="L16" s="44" t="n">
        <x:v>16.405</x:v>
      </x:c>
      <x:c r="M16" s="44" t="n">
        <x:v>11.4699</x:v>
      </x:c>
      <x:c r="N16" s="44" t="n">
        <x:v>1.285</x:v>
      </x:c>
      <x:c r="O16" s="44" t="n">
        <x:v>-1.545</x:v>
      </x:c>
      <x:c r="P16" s="44" t="n">
        <x:v>1.13</x:v>
      </x:c>
      <x:c r="Q16" s="44" t="n">
        <x:v>2.64</x:v>
      </x:c>
      <x:c r="R16" s="44" t="n">
        <x:v>22.537</x:v>
      </x:c>
      <x:c r="S16" s="44" t="n">
        <x:v>18.552</x:v>
      </x:c>
      <x:c r="T16" s="44" t="n">
        <x:v>13.08</x:v>
      </x:c>
      <x:c r="U16" s="44" t="n">
        <x:v>1.6825</x:v>
      </x:c>
      <x:c r="V16" s="44" t="n">
        <x:v>-1.3475</x:v>
      </x:c>
      <x:c r="W16" s="44" t="n">
        <x:v>4.08</x:v>
      </x:c>
      <x:c r="X16" s="44" t="n">
        <x:v>2.31</x:v>
      </x:c>
      <x:c r="Y16" s="44" t="n">
        <x:v>21.84</x:v>
      </x:c>
      <x:c r="Z16" s="44" t="n">
        <x:v>17.4835</x:v>
      </x:c>
      <x:c r="AA16" s="44" t="n">
        <x:v>9.47</x:v>
      </x:c>
      <x:c r="AB16" s="44" t="n">
        <x:v>1.76</x:v>
      </x:c>
      <x:c r="AC16" s="44" t="n">
        <x:v>-1.4475</x:v>
      </x:c>
      <x:c r="AD16" s="44" t="n">
        <x:v>4.98</x:v>
      </x:c>
      <x:c r="AE16" s="44" t="n">
        <x:v>2.26</x:v>
      </x:c>
      <x:c r="AF16" s="44" t="n">
        <x:v>14.93</x:v>
      </x:c>
      <x:c r="AG16" s="44" t="n">
        <x:v>7.4</x:v>
      </x:c>
      <x:c r="AH16" s="44" t="n">
        <x:v>10.695</x:v>
      </x:c>
      <x:c r="AI16" s="44" t="n">
        <x:v>0.645</x:v>
      </x:c>
      <x:c r="AJ16" s="44" t="n">
        <x:v>-0.45</x:v>
      </x:c>
      <x:c r="AK16" s="44" t="n">
        <x:v>1.38</x:v>
      </x:c>
      <x:c r="AL16" s="44" t="n">
        <x:v>1.02</x:v>
      </x:c>
      <x:c r="AM16" s="44" t="n">
        <x:v>0.26</x:v>
      </x:c>
      <x:c r="AN16" s="44" t="n">
        <x:v>0.25</x:v>
      </x:c>
      <x:c r="AO16" s="44" t="n">
        <x:v>-1.2188</x:v>
      </x:c>
      <x:c r="AP16" s="44" t="n">
        <x:v>0.9653</x:v>
      </x:c>
      <x:c r="AQ16" s="44" t="n">
        <x:v>0.9653</x:v>
      </x:c>
      <x:c r="AR16" s="44" t="n">
        <x:v>0.9653</x:v>
      </x:c>
      <x:c r="AS16" s="44" t="n">
        <x:v>0.6989</x:v>
      </x:c>
      <x:c r="AT16" s="44" t="n">
        <x:v>0.6989</x:v>
      </x:c>
      <x:c r="AU16" s="174" t="n">
        <x:v>0</x:v>
      </x:c>
      <x:c r="AV16" s="43" t="str">
        <x:v>02:05.25</x:v>
      </x:c>
      <x:c r="AW16" s="43"/>
      <x:c r="AX16" s="43" t="str">
        <x:v>00255</x:v>
      </x:c>
      <x:c r="AY16" s="43" t="str">
        <x:v>K60_SVID_20260828_001858_1.mp4</x:v>
      </x:c>
      <x:c r="AZ16" s="44"/>
      <x:c r="BA16" s="175"/>
    </x:row>
    <x:row r="17" ht="18" customHeight="1">
      <x:c r="A17" s="43" t="str">
        <x:v>K60</x:v>
      </x:c>
      <x:c r="B17" s="43" t="str">
        <x:v>邪恶的Xero</x:v>
      </x:c>
      <x:c r="C17" s="43"/>
      <x:c r="D17" s="44" t="n">
        <x:v>3.2485</x:v>
      </x:c>
      <x:c r="E17" s="44" t="n">
        <x:v>2.501</x:v>
      </x:c>
      <x:c r="F17" s="44" t="n">
        <x:v>2.686</x:v>
      </x:c>
      <x:c r="G17" s="44" t="n">
        <x:v>0.4375</x:v>
      </x:c>
      <x:c r="H17" s="44" t="n">
        <x:v>-0.415</x:v>
      </x:c>
      <x:c r="I17" s="44" t="n">
        <x:v>4.324</x:v>
      </x:c>
      <x:c r="J17" s="44" t="n">
        <x:v>4.2016</x:v>
      </x:c>
      <x:c r="K17" s="44" t="n">
        <x:v>10.16</x:v>
      </x:c>
      <x:c r="L17" s="44" t="n">
        <x:v>16.325</x:v>
      </x:c>
      <x:c r="M17" s="44" t="n">
        <x:v>11.4299</x:v>
      </x:c>
      <x:c r="N17" s="44" t="n">
        <x:v>1.365</x:v>
      </x:c>
      <x:c r="O17" s="44" t="n">
        <x:v>-1.585</x:v>
      </x:c>
      <x:c r="P17" s="44" t="n">
        <x:v>1.01</x:v>
      </x:c>
      <x:c r="Q17" s="44" t="n">
        <x:v>2.23</x:v>
      </x:c>
      <x:c r="R17" s="44" t="n">
        <x:v>22.587</x:v>
      </x:c>
      <x:c r="S17" s="44" t="n">
        <x:v>17.462</x:v>
      </x:c>
      <x:c r="T17" s="44" t="n">
        <x:v>12.1</x:v>
      </x:c>
      <x:c r="U17" s="44" t="n">
        <x:v>1.78</x:v>
      </x:c>
      <x:c r="V17" s="44" t="n">
        <x:v>-1.325</x:v>
      </x:c>
      <x:c r="W17" s="44" t="n">
        <x:v>4.79</x:v>
      </x:c>
      <x:c r="X17" s="44" t="n">
        <x:v>3</x:v>
      </x:c>
      <x:c r="Y17" s="44" t="n">
        <x:v>21.37</x:v>
      </x:c>
      <x:c r="Z17" s="44" t="n">
        <x:v>17.5635</x:v>
      </x:c>
      <x:c r="AA17" s="44" t="n">
        <x:v>9.385</x:v>
      </x:c>
      <x:c r="AB17" s="44" t="n">
        <x:v>1.7775</x:v>
      </x:c>
      <x:c r="AC17" s="44" t="n">
        <x:v>-1.51</x:v>
      </x:c>
      <x:c r="AD17" s="44" t="n">
        <x:v>5.98</x:v>
      </x:c>
      <x:c r="AE17" s="44" t="n">
        <x:v>2.79</x:v>
      </x:c>
      <x:c r="AF17" s="44" t="n">
        <x:v>14.22</x:v>
      </x:c>
      <x:c r="AG17" s="44" t="n">
        <x:v>6.87</x:v>
      </x:c>
      <x:c r="AH17" s="44" t="n">
        <x:v>9.555</x:v>
      </x:c>
      <x:c r="AI17" s="44" t="n">
        <x:v>1.56</x:v>
      </x:c>
      <x:c r="AJ17" s="44" t="n">
        <x:v>-1.285</x:v>
      </x:c>
      <x:c r="AK17" s="44" t="n">
        <x:v>1.03</x:v>
      </x:c>
      <x:c r="AL17" s="44" t="n">
        <x:v>0.64</x:v>
      </x:c>
      <x:c r="AM17" s="44" t="n">
        <x:v>0.26</x:v>
      </x:c>
      <x:c r="AN17" s="44" t="n">
        <x:v>0.255</x:v>
      </x:c>
      <x:c r="AO17" s="44" t="n">
        <x:v>-1.2188</x:v>
      </x:c>
      <x:c r="AP17" s="44" t="n">
        <x:v>0.9653</x:v>
      </x:c>
      <x:c r="AQ17" s="44" t="n">
        <x:v>0.9653</x:v>
      </x:c>
      <x:c r="AR17" s="44" t="n">
        <x:v>0.9653</x:v>
      </x:c>
      <x:c r="AS17" s="44" t="n">
        <x:v>0.6989</x:v>
      </x:c>
      <x:c r="AT17" s="44" t="n">
        <x:v>0.6989</x:v>
      </x:c>
      <x:c r="AU17" s="174" t="n">
        <x:v>0</x:v>
      </x:c>
      <x:c r="AV17" s="43" t="str">
        <x:v>02:18.75</x:v>
      </x:c>
      <x:c r="AW17" s="43"/>
      <x:c r="AX17" s="43" t="str">
        <x:v>00282</x:v>
      </x:c>
      <x:c r="AY17" s="43" t="str">
        <x:v>K60_SVID_20260828_001858_1.mp4</x:v>
      </x:c>
      <x:c r="AZ17" s="44"/>
      <x:c r="BA17" s="175"/>
    </x:row>
    <x:row r="18" ht="18" customHeight="1">
      <x:c r="A18" s="43" t="str">
        <x:v>K60</x:v>
      </x:c>
      <x:c r="B18" s="43" t="str">
        <x:v>AAB</x:v>
      </x:c>
      <x:c r="C18" s="43"/>
      <x:c r="D18" s="44" t="n">
        <x:v>2.9785</x:v>
      </x:c>
      <x:c r="E18" s="44" t="n">
        <x:v>2.9535</x:v>
      </x:c>
      <x:c r="F18" s="44" t="n">
        <x:v>2.8235</x:v>
      </x:c>
      <x:c r="G18" s="44" t="n">
        <x:v>0.4375</x:v>
      </x:c>
      <x:c r="H18" s="44" t="n">
        <x:v>-0.4375</x:v>
      </x:c>
      <x:c r="I18" s="44" t="n">
        <x:v>5.6928</x:v>
      </x:c>
      <x:c r="J18" s="44" t="n">
        <x:v>1.9836</x:v>
      </x:c>
      <x:c r="K18" s="44" t="n">
        <x:v>11.77</x:v>
      </x:c>
      <x:c r="L18" s="44" t="n">
        <x:v>17.835</x:v>
      </x:c>
      <x:c r="M18" s="44" t="n">
        <x:v>12.4399</x:v>
      </x:c>
      <x:c r="N18" s="44" t="n">
        <x:v>1.4275</x:v>
      </x:c>
      <x:c r="O18" s="44" t="n">
        <x:v>-1.6175</x:v>
      </x:c>
      <x:c r="P18" s="44" t="n">
        <x:v>1.13</x:v>
      </x:c>
      <x:c r="Q18" s="44" t="n">
        <x:v>4.04</x:v>
      </x:c>
      <x:c r="R18" s="44" t="n">
        <x:v>22.837</x:v>
      </x:c>
      <x:c r="S18" s="44" t="n">
        <x:v>18.322</x:v>
      </x:c>
      <x:c r="T18" s="44" t="n">
        <x:v>12.85</x:v>
      </x:c>
      <x:c r="U18" s="44" t="n">
        <x:v>1.78</x:v>
      </x:c>
      <x:c r="V18" s="44" t="n">
        <x:v>-1.4675</x:v>
      </x:c>
      <x:c r="W18" s="44" t="n">
        <x:v>4.13</x:v>
      </x:c>
      <x:c r="X18" s="44" t="n">
        <x:v>2.7</x:v>
      </x:c>
      <x:c r="Y18" s="44" t="n">
        <x:v>20.71</x:v>
      </x:c>
      <x:c r="Z18" s="44" t="n">
        <x:v>17.4535</x:v>
      </x:c>
      <x:c r="AA18" s="44" t="n">
        <x:v>9.525</x:v>
      </x:c>
      <x:c r="AB18" s="44" t="n">
        <x:v>1.715</x:v>
      </x:c>
      <x:c r="AC18" s="44" t="n">
        <x:v>-1.3675</x:v>
      </x:c>
      <x:c r="AD18" s="44" t="n">
        <x:v>5.32</x:v>
      </x:c>
      <x:c r="AE18" s="44" t="n">
        <x:v>2.45</x:v>
      </x:c>
      <x:c r="AF18" s="44" t="n">
        <x:v>15.08</x:v>
      </x:c>
      <x:c r="AG18" s="44" t="n">
        <x:v>7.14</x:v>
      </x:c>
      <x:c r="AH18" s="44" t="n">
        <x:v>9.515</x:v>
      </x:c>
      <x:c r="AI18" s="44" t="n">
        <x:v>1.52</x:v>
      </x:c>
      <x:c r="AJ18" s="44" t="n">
        <x:v>-1.365</x:v>
      </x:c>
      <x:c r="AK18" s="44" t="n">
        <x:v>1.29</x:v>
      </x:c>
      <x:c r="AL18" s="44" t="n">
        <x:v>0.9</x:v>
      </x:c>
      <x:c r="AM18" s="44" t="n">
        <x:v>0.26</x:v>
      </x:c>
      <x:c r="AN18" s="44" t="n">
        <x:v>0.24</x:v>
      </x:c>
      <x:c r="AO18" s="44" t="n">
        <x:v>-1.2188</x:v>
      </x:c>
      <x:c r="AP18" s="44" t="n">
        <x:v>0.9653</x:v>
      </x:c>
      <x:c r="AQ18" s="44" t="n">
        <x:v>0.9653</x:v>
      </x:c>
      <x:c r="AR18" s="44" t="n">
        <x:v>0.9653</x:v>
      </x:c>
      <x:c r="AS18" s="44" t="n">
        <x:v>0.6989</x:v>
      </x:c>
      <x:c r="AT18" s="44" t="n">
        <x:v>0.6989</x:v>
      </x:c>
      <x:c r="AU18" s="174" t="n">
        <x:v>0</x:v>
      </x:c>
      <x:c r="AV18" s="43" t="str">
        <x:v>02:30.75</x:v>
      </x:c>
      <x:c r="AW18" s="43"/>
      <x:c r="AX18" s="43" t="str">
        <x:v>00305</x:v>
      </x:c>
      <x:c r="AY18" s="43" t="str">
        <x:v>K60_SVID_20260828_001858_1.mp4</x:v>
      </x:c>
      <x:c r="AZ18" s="44"/>
      <x:c r="BA18" s="175"/>
    </x:row>
    <x:row r="19" ht="18" customHeight="1">
      <x:c r="A19" s="43" t="str">
        <x:v>K60</x:v>
      </x:c>
      <x:c r="B19" s="43" t="str">
        <x:v>#14 元气满满 (148,500)</x:v>
      </x:c>
      <x:c r="C19" s="43"/>
      <x:c r="D19" s="44" t="n">
        <x:v>3.3235</x:v>
      </x:c>
      <x:c r="E19" s="44" t="n">
        <x:v>2.941</x:v>
      </x:c>
      <x:c r="F19" s="44" t="n">
        <x:v>3.091</x:v>
      </x:c>
      <x:c r="G19" s="44" t="n">
        <x:v>0.4375</x:v>
      </x:c>
      <x:c r="H19" s="44" t="n">
        <x:v>-0.415</x:v>
      </x:c>
      <x:c r="I19" s="44" t="n">
        <x:v>6</x:v>
      </x:c>
      <x:c r="J19" s="44" t="n">
        <x:v>6</x:v>
      </x:c>
      <x:c r="K19" s="44" t="n">
        <x:v>12.167</x:v>
      </x:c>
      <x:c r="L19" s="44" t="n">
        <x:v>11.0107</x:v>
      </x:c>
      <x:c r="M19" s="44" t="n">
        <x:v>14.8162</x:v>
      </x:c>
      <x:c r="N19" s="44" t="n">
        <x:v>1.365</x:v>
      </x:c>
      <x:c r="O19" s="44" t="n">
        <x:v>-1.6075</x:v>
      </x:c>
      <x:c r="P19" s="44" t="n">
        <x:v>1.81</x:v>
      </x:c>
      <x:c r="Q19" s="44" t="n">
        <x:v>4.17</x:v>
      </x:c>
      <x:c r="R19" s="44" t="n">
        <x:v>24.9755</x:v>
      </x:c>
      <x:c r="S19" s="44" t="n">
        <x:v>16.172</x:v>
      </x:c>
      <x:c r="T19" s="44" t="n">
        <x:v>8.21</x:v>
      </x:c>
      <x:c r="U19" s="44" t="n">
        <x:v>1.74</x:v>
      </x:c>
      <x:c r="V19" s="44" t="n">
        <x:v>-1.3475</x:v>
      </x:c>
      <x:c r="W19" s="44" t="n">
        <x:v>5.04</x:v>
      </x:c>
      <x:c r="X19" s="44" t="n">
        <x:v>3.08</x:v>
      </x:c>
      <x:c r="Y19" s="44" t="n">
        <x:v>23.05</x:v>
      </x:c>
      <x:c r="Z19" s="44" t="n">
        <x:v>15.0235</x:v>
      </x:c>
      <x:c r="AA19" s="44" t="n">
        <x:v>11.4035</x:v>
      </x:c>
      <x:c r="AB19" s="44" t="n">
        <x:v>1.7775</x:v>
      </x:c>
      <x:c r="AC19" s="44" t="n">
        <x:v>-1.4475</x:v>
      </x:c>
      <x:c r="AD19" s="44" t="n">
        <x:v>5.37</x:v>
      </x:c>
      <x:c r="AE19" s="44" t="n">
        <x:v>3.23</x:v>
      </x:c>
      <x:c r="AF19" s="44" t="n">
        <x:v>21.31</x:v>
      </x:c>
      <x:c r="AG19" s="44" t="n">
        <x:v>6.88</x:v>
      </x:c>
      <x:c r="AH19" s="44" t="n">
        <x:v>13.095</x:v>
      </x:c>
      <x:c r="AI19" s="44" t="n">
        <x:v>1.6575</x:v>
      </x:c>
      <x:c r="AJ19" s="44" t="n">
        <x:v>-1.285</x:v>
      </x:c>
      <x:c r="AK19" s="44" t="n">
        <x:v>4.19</x:v>
      </x:c>
      <x:c r="AL19" s="44" t="n">
        <x:v>1.8</x:v>
      </x:c>
      <x:c r="AM19" s="44" t="n">
        <x:v>0.26</x:v>
      </x:c>
      <x:c r="AN19" s="44" t="n">
        <x:v>0.25</x:v>
      </x:c>
      <x:c r="AO19" s="44" t="n">
        <x:v>-1.2188</x:v>
      </x:c>
      <x:c r="AP19" s="44" t="n">
        <x:v>0.9653</x:v>
      </x:c>
      <x:c r="AQ19" s="44" t="n">
        <x:v>0.9653</x:v>
      </x:c>
      <x:c r="AR19" s="44" t="n">
        <x:v>0.9653</x:v>
      </x:c>
      <x:c r="AS19" s="44" t="n">
        <x:v>0.6989</x:v>
      </x:c>
      <x:c r="AT19" s="44" t="n">
        <x:v>0.6989</x:v>
      </x:c>
      <x:c r="AU19" s="174" t="n">
        <x:v>0</x:v>
      </x:c>
      <x:c r="AV19" s="43" t="str">
        <x:v>02:41.75</x:v>
      </x:c>
      <x:c r="AW19" s="43"/>
      <x:c r="AX19" s="43" t="str">
        <x:v>00327</x:v>
      </x:c>
      <x:c r="AY19" s="43" t="str">
        <x:v>K60_SVID_20260828_001858_1.mp4</x:v>
      </x:c>
      <x:c r="AZ19" s="44"/>
      <x:c r="BA19" s="175"/>
    </x:row>
    <x:row r="20" ht="18" customHeight="1">
      <x:c r="A20" s="43" t="str">
        <x:v>K60</x:v>
      </x:c>
      <x:c r="B20" s="43" t="str">
        <x:v>InFlames</x:v>
      </x:c>
      <x:c r="C20" s="43"/>
      <x:c r="D20" s="44" t="n">
        <x:v>4.356</x:v>
      </x:c>
      <x:c r="E20" s="44" t="n">
        <x:v>3.3735</x:v>
      </x:c>
      <x:c r="F20" s="44" t="n">
        <x:v>3.6785</x:v>
      </x:c>
      <x:c r="G20" s="44" t="n">
        <x:v>0.475</x:v>
      </x:c>
      <x:c r="H20" s="44" t="n">
        <x:v>-0.475</x:v>
      </x:c>
      <x:c r="I20" s="44" t="n">
        <x:v>4.078</x:v>
      </x:c>
      <x:c r="J20" s="44" t="n">
        <x:v>3.3636</x:v>
      </x:c>
      <x:c r="K20" s="44" t="n">
        <x:v>18.735</x:v>
      </x:c>
      <x:c r="L20" s="44" t="n">
        <x:v>21.5792</x:v>
      </x:c>
      <x:c r="M20" s="44" t="n">
        <x:v>14.3757</x:v>
      </x:c>
      <x:c r="N20" s="44" t="n">
        <x:v>1.965</x:v>
      </x:c>
      <x:c r="O20" s="44" t="n">
        <x:v>-1.8875</x:v>
      </x:c>
      <x:c r="P20" s="44" t="n">
        <x:v>2.02</x:v>
      </x:c>
      <x:c r="Q20" s="44" t="n">
        <x:v>7.28</x:v>
      </x:c>
      <x:c r="R20" s="44" t="n">
        <x:v>25.652</x:v>
      </x:c>
      <x:c r="S20" s="44" t="n">
        <x:v>14.945</x:v>
      </x:c>
      <x:c r="T20" s="44" t="n">
        <x:v>14.047</x:v>
      </x:c>
      <x:c r="U20" s="44" t="n">
        <x:v>2.1075</x:v>
      </x:c>
      <x:c r="V20" s="44" t="n">
        <x:v>-1.705</x:v>
      </x:c>
      <x:c r="W20" s="44" t="n">
        <x:v>8.03</x:v>
      </x:c>
      <x:c r="X20" s="44" t="n">
        <x:v>3.46</x:v>
      </x:c>
      <x:c r="Y20" s="44" t="n">
        <x:v>21.98</x:v>
      </x:c>
      <x:c r="Z20" s="44" t="n">
        <x:v>13.06</x:v>
      </x:c>
      <x:c r="AA20" s="44" t="n">
        <x:v>10.26</x:v>
      </x:c>
      <x:c r="AB20" s="44" t="n">
        <x:v>2.045</x:v>
      </x:c>
      <x:c r="AC20" s="44" t="n">
        <x:v>-1.725</x:v>
      </x:c>
      <x:c r="AD20" s="44" t="n">
        <x:v>5.11</x:v>
      </x:c>
      <x:c r="AE20" s="44" t="n">
        <x:v>4.1</x:v>
      </x:c>
      <x:c r="AF20" s="44" t="n">
        <x:v>22.1435</x:v>
      </x:c>
      <x:c r="AG20" s="44" t="n">
        <x:v>10.8</x:v>
      </x:c>
      <x:c r="AH20" s="44" t="n">
        <x:v>13.425</x:v>
      </x:c>
      <x:c r="AI20" s="44" t="n">
        <x:v>2.0075</x:v>
      </x:c>
      <x:c r="AJ20" s="44" t="n">
        <x:v>-1.6675</x:v>
      </x:c>
      <x:c r="AK20" s="44" t="n">
        <x:v>3.08</x:v>
      </x:c>
      <x:c r="AL20" s="44" t="n">
        <x:v>2.01</x:v>
      </x:c>
      <x:c r="AM20" s="44" t="n">
        <x:v>0.26</x:v>
      </x:c>
      <x:c r="AN20" s="44" t="n">
        <x:v>0.24</x:v>
      </x:c>
      <x:c r="AO20" s="44" t="n">
        <x:v>-1.2188</x:v>
      </x:c>
      <x:c r="AP20" s="44" t="n">
        <x:v>0.9653</x:v>
      </x:c>
      <x:c r="AQ20" s="44" t="n">
        <x:v>0.9653</x:v>
      </x:c>
      <x:c r="AR20" s="44" t="n">
        <x:v>0.9653</x:v>
      </x:c>
      <x:c r="AS20" s="44" t="n">
        <x:v>0.6989</x:v>
      </x:c>
      <x:c r="AT20" s="44" t="n">
        <x:v>0.6989</x:v>
      </x:c>
      <x:c r="AU20" s="174" t="n">
        <x:v>0</x:v>
      </x:c>
      <x:c r="AV20" s="43" t="str">
        <x:v>02:50.25</x:v>
      </x:c>
      <x:c r="AW20" s="43"/>
      <x:c r="AX20" s="43" t="str">
        <x:v>00344</x:v>
      </x:c>
      <x:c r="AY20" s="43" t="str">
        <x:v>K60_SVID_20260828_001858_1.mp4</x:v>
      </x:c>
      <x:c r="AZ20" s="44"/>
      <x:c r="BA20" s="175"/>
    </x:row>
    <x:row r="21" ht="18" customHeight="1">
      <x:c r="A21" s="43" t="str">
        <x:v>K60</x:v>
      </x:c>
      <x:c r="B21" s="43" t="str">
        <x:v>ΨRØÇKYΨ</x:v>
      </x:c>
      <x:c r="C21" s="43"/>
      <x:c r="D21" s="44" t="n">
        <x:v>2.876</x:v>
      </x:c>
      <x:c r="E21" s="44" t="n">
        <x:v>2.686</x:v>
      </x:c>
      <x:c r="F21" s="44" t="n">
        <x:v>3.021</x:v>
      </x:c>
      <x:c r="G21" s="44" t="n">
        <x:v>0.415</x:v>
      </x:c>
      <x:c r="H21" s="44" t="n">
        <x:v>-0.415</x:v>
      </x:c>
      <x:c r="I21" s="44" t="n">
        <x:v>6</x:v>
      </x:c>
      <x:c r="J21" s="44" t="n">
        <x:v>2.5136</x:v>
      </x:c>
      <x:c r="K21" s="44" t="n">
        <x:v>11.24</x:v>
      </x:c>
      <x:c r="L21" s="44" t="n">
        <x:v>13.505</x:v>
      </x:c>
      <x:c r="M21" s="44" t="n">
        <x:v>8.8599</x:v>
      </x:c>
      <x:c r="N21" s="44" t="n">
        <x:v>0.49</x:v>
      </x:c>
      <x:c r="O21" s="44" t="n">
        <x:v>-0.6075</x:v>
      </x:c>
      <x:c r="P21" s="44" t="n">
        <x:v>1.26</x:v>
      </x:c>
      <x:c r="Q21" s="44" t="n">
        <x:v>3.38</x:v>
      </x:c>
      <x:c r="R21" s="44" t="n">
        <x:v>22.272</x:v>
      </x:c>
      <x:c r="S21" s="44" t="n">
        <x:v>15.432</x:v>
      </x:c>
      <x:c r="T21" s="44" t="n">
        <x:v>12.42</x:v>
      </x:c>
      <x:c r="U21" s="44" t="n">
        <x:v>1.6675</x:v>
      </x:c>
      <x:c r="V21" s="44" t="n">
        <x:v>-1.3875</x:v>
      </x:c>
      <x:c r="W21" s="44" t="n">
        <x:v>5.28</x:v>
      </x:c>
      <x:c r="X21" s="44" t="n">
        <x:v>3</x:v>
      </x:c>
      <x:c r="Y21" s="44" t="n">
        <x:v>18.78</x:v>
      </x:c>
      <x:c r="Z21" s="44" t="n">
        <x:v>16.2635</x:v>
      </x:c>
      <x:c r="AA21" s="44" t="n">
        <x:v>11.23</x:v>
      </x:c>
      <x:c r="AB21" s="44" t="n">
        <x:v>1.5425</x:v>
      </x:c>
      <x:c r="AC21" s="44" t="n">
        <x:v>-1.4475</x:v>
      </x:c>
      <x:c r="AD21" s="44" t="n">
        <x:v>4.66</x:v>
      </x:c>
      <x:c r="AE21" s="44" t="n">
        <x:v>2.28</x:v>
      </x:c>
      <x:c r="AF21" s="44" t="n">
        <x:v>12.965</x:v>
      </x:c>
      <x:c r="AG21" s="44" t="n">
        <x:v>6.2</x:v>
      </x:c>
      <x:c r="AH21" s="44" t="n">
        <x:v>8.7</x:v>
      </x:c>
      <x:c r="AI21" s="44" t="n">
        <x:v>0.545</x:v>
      </x:c>
      <x:c r="AJ21" s="44" t="n">
        <x:v>-0.485</x:v>
      </x:c>
      <x:c r="AK21" s="44" t="n">
        <x:v>2.39</x:v>
      </x:c>
      <x:c r="AL21" s="44" t="n">
        <x:v>1.3</x:v>
      </x:c>
      <x:c r="AM21" s="44" t="n">
        <x:v>0.26</x:v>
      </x:c>
      <x:c r="AN21" s="44" t="n">
        <x:v>0.245</x:v>
      </x:c>
      <x:c r="AO21" s="44" t="n">
        <x:v>-1.2188</x:v>
      </x:c>
      <x:c r="AP21" s="44" t="n">
        <x:v>0.9653</x:v>
      </x:c>
      <x:c r="AQ21" s="44" t="n">
        <x:v>0.9653</x:v>
      </x:c>
      <x:c r="AR21" s="44" t="n">
        <x:v>0.9653</x:v>
      </x:c>
      <x:c r="AS21" s="44" t="n">
        <x:v>0.6989</x:v>
      </x:c>
      <x:c r="AT21" s="44" t="n">
        <x:v>0.6989</x:v>
      </x:c>
      <x:c r="AU21" s="174" t="n">
        <x:v>0</x:v>
      </x:c>
      <x:c r="AV21" s="43" t="str">
        <x:v>02:58.75</x:v>
      </x:c>
      <x:c r="AW21" s="43"/>
      <x:c r="AX21" s="43" t="str">
        <x:v>00360</x:v>
      </x:c>
      <x:c r="AY21" s="43" t="str">
        <x:v>K60_SVID_20260828_001858_1.mp4</x:v>
      </x:c>
      <x:c r="AZ21" s="44"/>
      <x:c r="BA21" s="175"/>
    </x:row>
    <x:row r="22" ht="18" customHeight="1">
      <x:c r="A22" s="43" t="str">
        <x:v>K60</x:v>
      </x:c>
      <x:c r="B22" s="43" t="str">
        <x:v>Jepp</x:v>
      </x:c>
      <x:c r="C22" s="43"/>
      <x:c r="D22" s="44" t="n">
        <x:v>2.816</x:v>
      </x:c>
      <x:c r="E22" s="44" t="n">
        <x:v>2.451</x:v>
      </x:c>
      <x:c r="F22" s="44" t="n">
        <x:v>2.871</x:v>
      </x:c>
      <x:c r="G22" s="44" t="n">
        <x:v>0.415</x:v>
      </x:c>
      <x:c r="H22" s="44" t="n">
        <x:v>-0.39</x:v>
      </x:c>
      <x:c r="I22" s="44" t="n">
        <x:v>5.7552</x:v>
      </x:c>
      <x:c r="J22" s="44" t="n">
        <x:v>2.1048</x:v>
      </x:c>
      <x:c r="K22" s="44" t="n">
        <x:v>12.03</x:v>
      </x:c>
      <x:c r="L22" s="44" t="n">
        <x:v>13.755</x:v>
      </x:c>
      <x:c r="M22" s="44" t="n">
        <x:v>9.5099</x:v>
      </x:c>
      <x:c r="N22" s="44" t="n">
        <x:v>0.531</x:v>
      </x:c>
      <x:c r="O22" s="44" t="n">
        <x:v>-0.626</x:v>
      </x:c>
      <x:c r="P22" s="44" t="n">
        <x:v>1.1</x:v>
      </x:c>
      <x:c r="Q22" s="44" t="n">
        <x:v>2.68</x:v>
      </x:c>
      <x:c r="R22" s="44" t="n">
        <x:v>22.192</x:v>
      </x:c>
      <x:c r="S22" s="44" t="n">
        <x:v>14.252</x:v>
      </x:c>
      <x:c r="T22" s="44" t="n">
        <x:v>11.84</x:v>
      </x:c>
      <x:c r="U22" s="44" t="n">
        <x:v>1.605</x:v>
      </x:c>
      <x:c r="V22" s="44" t="n">
        <x:v>-1.205</x:v>
      </x:c>
      <x:c r="W22" s="44" t="n">
        <x:v>4.33</x:v>
      </x:c>
      <x:c r="X22" s="44" t="n">
        <x:v>1.83</x:v>
      </x:c>
      <x:c r="Y22" s="44" t="n">
        <x:v>20.77</x:v>
      </x:c>
      <x:c r="Z22" s="44" t="n">
        <x:v>16.4885</x:v>
      </x:c>
      <x:c r="AA22" s="44" t="n">
        <x:v>11.945</x:v>
      </x:c>
      <x:c r="AB22" s="44" t="n">
        <x:v>1.69</x:v>
      </x:c>
      <x:c r="AC22" s="44" t="n">
        <x:v>-1.4475</x:v>
      </x:c>
      <x:c r="AD22" s="44" t="n">
        <x:v>4.98</x:v>
      </x:c>
      <x:c r="AE22" s="44" t="n">
        <x:v>2.57</x:v>
      </x:c>
      <x:c r="AF22" s="44" t="n">
        <x:v>13.29</x:v>
      </x:c>
      <x:c r="AG22" s="44" t="n">
        <x:v>6.22</x:v>
      </x:c>
      <x:c r="AH22" s="44" t="n">
        <x:v>9.57</x:v>
      </x:c>
      <x:c r="AI22" s="44" t="n">
        <x:v>0.605</x:v>
      </x:c>
      <x:c r="AJ22" s="44" t="n">
        <x:v>-0.345</x:v>
      </x:c>
      <x:c r="AK22" s="44" t="n">
        <x:v>0.74</x:v>
      </x:c>
      <x:c r="AL22" s="44" t="n">
        <x:v>0.36</x:v>
      </x:c>
      <x:c r="AM22" s="44" t="n">
        <x:v>0.26</x:v>
      </x:c>
      <x:c r="AN22" s="44" t="n">
        <x:v>0.245</x:v>
      </x:c>
      <x:c r="AO22" s="44" t="n">
        <x:v>-1.2188</x:v>
      </x:c>
      <x:c r="AP22" s="44" t="n">
        <x:v>0.9653</x:v>
      </x:c>
      <x:c r="AQ22" s="44" t="n">
        <x:v>0.9653</x:v>
      </x:c>
      <x:c r="AR22" s="44" t="n">
        <x:v>0.9653</x:v>
      </x:c>
      <x:c r="AS22" s="44" t="n">
        <x:v>0.6989</x:v>
      </x:c>
      <x:c r="AT22" s="44" t="n">
        <x:v>0.6989</x:v>
      </x:c>
      <x:c r="AU22" s="174" t="n">
        <x:v>0</x:v>
      </x:c>
      <x:c r="AV22" s="43" t="str">
        <x:v>03:05.25</x:v>
      </x:c>
      <x:c r="AW22" s="43"/>
      <x:c r="AX22" s="43" t="str">
        <x:v>00374</x:v>
      </x:c>
      <x:c r="AY22" s="43" t="str">
        <x:v>K60_SVID_20260828_001858_1.mp4</x:v>
      </x:c>
      <x:c r="AZ22" s="44"/>
      <x:c r="BA22" s="175"/>
    </x:row>
    <x:row r="23" ht="18" customHeight="1">
      <x:c r="A23" s="43" t="str">
        <x:v>K60</x:v>
      </x:c>
      <x:c r="B23" s="43" t="str">
        <x:v>kvisteer</x:v>
      </x:c>
      <x:c r="C23" s="43"/>
      <x:c r="D23" s="44" t="n">
        <x:v>3.2435</x:v>
      </x:c>
      <x:c r="E23" s="44" t="n">
        <x:v>2.736</x:v>
      </x:c>
      <x:c r="F23" s="44" t="n">
        <x:v>3.091</x:v>
      </x:c>
      <x:c r="G23" s="44" t="n">
        <x:v>0.4375</x:v>
      </x:c>
      <x:c r="H23" s="44" t="n">
        <x:v>-0.415</x:v>
      </x:c>
      <x:c r="I23" s="44" t="n">
        <x:v>6</x:v>
      </x:c>
      <x:c r="J23" s="44" t="n">
        <x:v>2.2748</x:v>
      </x:c>
      <x:c r="K23" s="44" t="n">
        <x:v>13.4</x:v>
      </x:c>
      <x:c r="L23" s="44" t="n">
        <x:v>15.135</x:v>
      </x:c>
      <x:c r="M23" s="44" t="n">
        <x:v>11.2399</x:v>
      </x:c>
      <x:c r="N23" s="44" t="n">
        <x:v>0.49</x:v>
      </x:c>
      <x:c r="O23" s="44" t="n">
        <x:v>-0.75</x:v>
      </x:c>
      <x:c r="P23" s="44" t="n">
        <x:v>1.41</x:v>
      </x:c>
      <x:c r="Q23" s="44" t="n">
        <x:v>4.07</x:v>
      </x:c>
      <x:c r="R23" s="44" t="n">
        <x:v>22.957</x:v>
      </x:c>
      <x:c r="S23" s="44" t="n">
        <x:v>15.282</x:v>
      </x:c>
      <x:c r="T23" s="44" t="n">
        <x:v>12.86</x:v>
      </x:c>
      <x:c r="U23" s="44" t="n">
        <x:v>1.7175</x:v>
      </x:c>
      <x:c r="V23" s="44" t="n">
        <x:v>-1.285</x:v>
      </x:c>
      <x:c r="W23" s="44" t="n">
        <x:v>3.34</x:v>
      </x:c>
      <x:c r="X23" s="44" t="n">
        <x:v>1.96</x:v>
      </x:c>
      <x:c r="Y23" s="44" t="n">
        <x:v>21.85</x:v>
      </x:c>
      <x:c r="Z23" s="44" t="n">
        <x:v>17.3135</x:v>
      </x:c>
      <x:c r="AA23" s="44" t="n">
        <x:v>12.565</x:v>
      </x:c>
      <x:c r="AB23" s="44" t="n">
        <x:v>1.8175</x:v>
      </x:c>
      <x:c r="AC23" s="44" t="n">
        <x:v>-1.4475</x:v>
      </x:c>
      <x:c r="AD23" s="44" t="n">
        <x:v>5</x:v>
      </x:c>
      <x:c r="AE23" s="44" t="n">
        <x:v>3.63</x:v>
      </x:c>
      <x:c r="AF23" s="44" t="n">
        <x:v>14.55</x:v>
      </x:c>
      <x:c r="AG23" s="44" t="n">
        <x:v>7.37</x:v>
      </x:c>
      <x:c r="AH23" s="44" t="n">
        <x:v>9.535</x:v>
      </x:c>
      <x:c r="AI23" s="44" t="n">
        <x:v>0.645</x:v>
      </x:c>
      <x:c r="AJ23" s="44" t="n">
        <x:v>-0.41</x:v>
      </x:c>
      <x:c r="AK23" s="44" t="n">
        <x:v>1.2</x:v>
      </x:c>
      <x:c r="AL23" s="44" t="n">
        <x:v>0.86</x:v>
      </x:c>
      <x:c r="AM23" s="44" t="n">
        <x:v>0.26</x:v>
      </x:c>
      <x:c r="AN23" s="44" t="n">
        <x:v>0.25</x:v>
      </x:c>
      <x:c r="AO23" s="44" t="n">
        <x:v>-1.2188</x:v>
      </x:c>
      <x:c r="AP23" s="44" t="n">
        <x:v>0.9653</x:v>
      </x:c>
      <x:c r="AQ23" s="44" t="n">
        <x:v>0.9653</x:v>
      </x:c>
      <x:c r="AR23" s="44" t="n">
        <x:v>0.9653</x:v>
      </x:c>
      <x:c r="AS23" s="44" t="n">
        <x:v>0.6989</x:v>
      </x:c>
      <x:c r="AT23" s="44" t="n">
        <x:v>0.6989</x:v>
      </x:c>
      <x:c r="AU23" s="174" t="n">
        <x:v>0</x:v>
      </x:c>
      <x:c r="AV23" s="43" t="str">
        <x:v>03:14.25</x:v>
      </x:c>
      <x:c r="AW23" s="43"/>
      <x:c r="AX23" s="43" t="str">
        <x:v>00392</x:v>
      </x:c>
      <x:c r="AY23" s="43" t="str">
        <x:v>K60_SVID_20260828_001858_1.mp4</x:v>
      </x:c>
      <x:c r="AZ23" s="44"/>
      <x:c r="BA23" s="175"/>
    </x:row>
    <x:row r="24" ht="18" customHeight="1">
      <x:c r="A24" s="43" t="str">
        <x:v>K60</x:v>
      </x:c>
      <x:c r="B24" s="43" t="str">
        <x:v>Blud</x:v>
      </x:c>
      <x:c r="C24" s="43"/>
      <x:c r="D24" s="44" t="n">
        <x:v>3.116</x:v>
      </x:c>
      <x:c r="E24" s="44" t="n">
        <x:v>2.551</x:v>
      </x:c>
      <x:c r="F24" s="44" t="n">
        <x:v>2.756</x:v>
      </x:c>
      <x:c r="G24" s="44" t="n">
        <x:v>0.415</x:v>
      </x:c>
      <x:c r="H24" s="44" t="n">
        <x:v>-0.415</x:v>
      </x:c>
      <x:c r="I24" s="44" t="n">
        <x:v>6</x:v>
      </x:c>
      <x:c r="J24" s="44" t="n">
        <x:v>2.3776</x:v>
      </x:c>
      <x:c r="K24" s="44" t="n">
        <x:v>12.36</x:v>
      </x:c>
      <x:c r="L24" s="44" t="n">
        <x:v>15.185</x:v>
      </x:c>
      <x:c r="M24" s="44" t="n">
        <x:v>10.1099</x:v>
      </x:c>
      <x:c r="N24" s="44" t="n">
        <x:v>0.6175</x:v>
      </x:c>
      <x:c r="O24" s="44" t="n">
        <x:v>-0.7</x:v>
      </x:c>
      <x:c r="P24" s="44" t="n">
        <x:v>1.01</x:v>
      </x:c>
      <x:c r="Q24" s="44" t="n">
        <x:v>4.04</x:v>
      </x:c>
      <x:c r="R24" s="44" t="n">
        <x:v>21.367</x:v>
      </x:c>
      <x:c r="S24" s="44" t="n">
        <x:v>17.722</x:v>
      </x:c>
      <x:c r="T24" s="44" t="n">
        <x:v>12.53</x:v>
      </x:c>
      <x:c r="U24" s="44" t="n">
        <x:v>1.5425</x:v>
      </x:c>
      <x:c r="V24" s="44" t="n">
        <x:v>-1.3275</x:v>
      </x:c>
      <x:c r="W24" s="44" t="n">
        <x:v>4</x:v>
      </x:c>
      <x:c r="X24" s="44" t="n">
        <x:v>2.45</x:v>
      </x:c>
      <x:c r="Y24" s="44" t="n">
        <x:v>19.33</x:v>
      </x:c>
      <x:c r="Z24" s="44" t="n">
        <x:v>16.2335</x:v>
      </x:c>
      <x:c r="AA24" s="44" t="n">
        <x:v>9.045</x:v>
      </x:c>
      <x:c r="AB24" s="44" t="n">
        <x:v>1.6275</x:v>
      </x:c>
      <x:c r="AC24" s="44" t="n">
        <x:v>-1.3675</x:v>
      </x:c>
      <x:c r="AD24" s="44" t="n">
        <x:v>4.57</x:v>
      </x:c>
      <x:c r="AE24" s="44" t="n">
        <x:v>2.24</x:v>
      </x:c>
      <x:c r="AF24" s="44" t="n">
        <x:v>13.25</x:v>
      </x:c>
      <x:c r="AG24" s="44" t="n">
        <x:v>7.1</x:v>
      </x:c>
      <x:c r="AH24" s="44" t="n">
        <x:v>9.235</x:v>
      </x:c>
      <x:c r="AI24" s="44" t="n">
        <x:v>0.51</x:v>
      </x:c>
      <x:c r="AJ24" s="44" t="n">
        <x:v>-0.39</x:v>
      </x:c>
      <x:c r="AK24" s="44" t="n">
        <x:v>1.03</x:v>
      </x:c>
      <x:c r="AL24" s="44" t="n">
        <x:v>0.66</x:v>
      </x:c>
      <x:c r="AM24" s="44" t="n">
        <x:v>0.26</x:v>
      </x:c>
      <x:c r="AN24" s="44" t="n">
        <x:v>0.24</x:v>
      </x:c>
      <x:c r="AO24" s="44" t="n">
        <x:v>-1.2188</x:v>
      </x:c>
      <x:c r="AP24" s="44" t="n">
        <x:v>0.9653</x:v>
      </x:c>
      <x:c r="AQ24" s="44" t="n">
        <x:v>0.9653</x:v>
      </x:c>
      <x:c r="AR24" s="44" t="n">
        <x:v>0.9653</x:v>
      </x:c>
      <x:c r="AS24" s="44" t="n">
        <x:v>0.6989</x:v>
      </x:c>
      <x:c r="AT24" s="44" t="n">
        <x:v>0.6989</x:v>
      </x:c>
      <x:c r="AU24" s="174" t="n">
        <x:v>0</x:v>
      </x:c>
      <x:c r="AV24" s="43" t="str">
        <x:v>03:21.25</x:v>
      </x:c>
      <x:c r="AW24" s="43"/>
      <x:c r="AX24" s="43" t="str">
        <x:v>00405</x:v>
      </x:c>
      <x:c r="AY24" s="43" t="str">
        <x:v>K60_SVID_20260828_001858_1.mp4</x:v>
      </x:c>
      <x:c r="AZ24" s="44"/>
      <x:c r="BA24" s="175"/>
    </x:row>
    <x:row r="25" ht="18" customHeight="1">
      <x:c r="A25" s="43" t="str">
        <x:v>K60</x:v>
      </x:c>
      <x:c r="B25" s="43" t="str">
        <x:v>陰影Sam</x:v>
      </x:c>
      <x:c r="C25" s="43"/>
      <x:c r="D25" s="44" t="n">
        <x:v>2.9535</x:v>
      </x:c>
      <x:c r="E25" s="44" t="n">
        <x:v>2.666</x:v>
      </x:c>
      <x:c r="F25" s="44" t="n">
        <x:v>3.066</x:v>
      </x:c>
      <x:c r="G25" s="44" t="n">
        <x:v>0.4375</x:v>
      </x:c>
      <x:c r="H25" s="44" t="n">
        <x:v>-0.415</x:v>
      </x:c>
      <x:c r="I25" s="44" t="n">
        <x:v>3.8516</x:v>
      </x:c>
      <x:c r="J25" s="44" t="n">
        <x:v>2.8224</x:v>
      </x:c>
      <x:c r="K25" s="44" t="n">
        <x:v>10.715</x:v>
      </x:c>
      <x:c r="L25" s="44" t="n">
        <x:v>13.935</x:v>
      </x:c>
      <x:c r="M25" s="44" t="n">
        <x:v>8.9699</x:v>
      </x:c>
      <x:c r="N25" s="44" t="n">
        <x:v>0.49</x:v>
      </x:c>
      <x:c r="O25" s="44" t="n">
        <x:v>-0.6875</x:v>
      </x:c>
      <x:c r="P25" s="44" t="n">
        <x:v>0.9</x:v>
      </x:c>
      <x:c r="Q25" s="44" t="n">
        <x:v>3.22</x:v>
      </x:c>
      <x:c r="R25" s="44" t="n">
        <x:v>21.352</x:v>
      </x:c>
      <x:c r="S25" s="44" t="n">
        <x:v>15.292</x:v>
      </x:c>
      <x:c r="T25" s="44" t="n">
        <x:v>12.17</x:v>
      </x:c>
      <x:c r="U25" s="44" t="n">
        <x:v>1.61</x:v>
      </x:c>
      <x:c r="V25" s="44" t="n">
        <x:v>-1.325</x:v>
      </x:c>
      <x:c r="W25" s="44" t="n">
        <x:v>4</x:v>
      </x:c>
      <x:c r="X25" s="44" t="n">
        <x:v>1.85</x:v>
      </x:c>
      <x:c r="Y25" s="44" t="n">
        <x:v>20.88</x:v>
      </x:c>
      <x:c r="Z25" s="44" t="n">
        <x:v>16.9235</x:v>
      </x:c>
      <x:c r="AA25" s="44" t="n">
        <x:v>11.09</x:v>
      </x:c>
      <x:c r="AB25" s="44" t="n">
        <x:v>1.6975</x:v>
      </x:c>
      <x:c r="AC25" s="44" t="n">
        <x:v>-1.4475</x:v>
      </x:c>
      <x:c r="AD25" s="44" t="n">
        <x:v>5.19</x:v>
      </x:c>
      <x:c r="AE25" s="44" t="n">
        <x:v>2.61</x:v>
      </x:c>
      <x:c r="AF25" s="44" t="n">
        <x:v>11.575</x:v>
      </x:c>
      <x:c r="AG25" s="44" t="n">
        <x:v>6.035</x:v>
      </x:c>
      <x:c r="AH25" s="44" t="n">
        <x:v>8.705</x:v>
      </x:c>
      <x:c r="AI25" s="44" t="n">
        <x:v>0.515</x:v>
      </x:c>
      <x:c r="AJ25" s="44" t="n">
        <x:v>-0.41</x:v>
      </x:c>
      <x:c r="AK25" s="44" t="n">
        <x:v>1.16</x:v>
      </x:c>
      <x:c r="AL25" s="44" t="n">
        <x:v>0.77</x:v>
      </x:c>
      <x:c r="AM25" s="44" t="n">
        <x:v>0.26</x:v>
      </x:c>
      <x:c r="AN25" s="44" t="n">
        <x:v>0.24</x:v>
      </x:c>
      <x:c r="AO25" s="44" t="n">
        <x:v>-1.2188</x:v>
      </x:c>
      <x:c r="AP25" s="44" t="n">
        <x:v>0.9653</x:v>
      </x:c>
      <x:c r="AQ25" s="44" t="n">
        <x:v>0.9653</x:v>
      </x:c>
      <x:c r="AR25" s="44" t="n">
        <x:v>0.9653</x:v>
      </x:c>
      <x:c r="AS25" s="44" t="n">
        <x:v>0.6989</x:v>
      </x:c>
      <x:c r="AT25" s="44" t="n">
        <x:v>0.6989</x:v>
      </x:c>
      <x:c r="AU25" s="174" t="n">
        <x:v>0</x:v>
      </x:c>
      <x:c r="AV25" s="43" t="str">
        <x:v>03:30.25</x:v>
      </x:c>
      <x:c r="AW25" s="43"/>
      <x:c r="AX25" s="43" t="str">
        <x:v>00423</x:v>
      </x:c>
      <x:c r="AY25" s="43" t="str">
        <x:v>K60_SVID_20260828_001858_1.mp4</x:v>
      </x:c>
      <x:c r="AZ25" s="44"/>
      <x:c r="BA25" s="175"/>
    </x:row>
    <x:row r="26" ht="18" customHeight="1">
      <x:c r="A26" s="43" t="str">
        <x:v>K60</x:v>
      </x:c>
      <x:c r="B26" s="43" t="str">
        <x:v>RONINtrike</x:v>
      </x:c>
      <x:c r="C26" s="43"/>
      <x:c r="D26" s="44" t="n">
        <x:v>4.1896</x:v>
      </x:c>
      <x:c r="E26" s="44" t="n">
        <x:v>2.776</x:v>
      </x:c>
      <x:c r="F26" s="44" t="n">
        <x:v>3.116</x:v>
      </x:c>
      <x:c r="G26" s="44" t="n">
        <x:v>0.4375</x:v>
      </x:c>
      <x:c r="H26" s="44" t="n">
        <x:v>-0.415</x:v>
      </x:c>
      <x:c r="I26" s="44" t="n">
        <x:v>6</x:v>
      </x:c>
      <x:c r="J26" s="44" t="n">
        <x:v>4.4196</x:v>
      </x:c>
      <x:c r="K26" s="44" t="n">
        <x:v>15.25</x:v>
      </x:c>
      <x:c r="L26" s="44" t="n">
        <x:v>17.4692</x:v>
      </x:c>
      <x:c r="M26" s="44" t="n">
        <x:v>9.4457</x:v>
      </x:c>
      <x:c r="N26" s="44" t="n">
        <x:v>1.605</x:v>
      </x:c>
      <x:c r="O26" s="44" t="n">
        <x:v>-1.485</x:v>
      </x:c>
      <x:c r="P26" s="44" t="n">
        <x:v>1.73</x:v>
      </x:c>
      <x:c r="Q26" s="44" t="n">
        <x:v>7</x:v>
      </x:c>
      <x:c r="R26" s="44" t="n">
        <x:v>20.235</x:v>
      </x:c>
      <x:c r="S26" s="44" t="n">
        <x:v>13.295</x:v>
      </x:c>
      <x:c r="T26" s="44" t="n">
        <x:v>10.04</x:v>
      </x:c>
      <x:c r="U26" s="44" t="n">
        <x:v>1.825</x:v>
      </x:c>
      <x:c r="V26" s="44" t="n">
        <x:v>-1.3875</x:v>
      </x:c>
      <x:c r="W26" s="44" t="n">
        <x:v>5.04</x:v>
      </x:c>
      <x:c r="X26" s="44" t="n">
        <x:v>3.69</x:v>
      </x:c>
      <x:c r="Y26" s="44" t="n">
        <x:v>21.56</x:v>
      </x:c>
      <x:c r="Z26" s="44" t="n">
        <x:v>13.43</x:v>
      </x:c>
      <x:c r="AA26" s="44" t="n">
        <x:v>9.37</x:v>
      </x:c>
      <x:c r="AB26" s="44" t="n">
        <x:v>1.9275</x:v>
      </x:c>
      <x:c r="AC26" s="44" t="n">
        <x:v>-1.4075</x:v>
      </x:c>
      <x:c r="AD26" s="44" t="n">
        <x:v>5.88</x:v>
      </x:c>
      <x:c r="AE26" s="44" t="n">
        <x:v>3.08</x:v>
      </x:c>
      <x:c r="AF26" s="44" t="n">
        <x:v>21.032</x:v>
      </x:c>
      <x:c r="AG26" s="44" t="n">
        <x:v>10.747</x:v>
      </x:c>
      <x:c r="AH26" s="44" t="n">
        <x:v>11.82</x:v>
      </x:c>
      <x:c r="AI26" s="44" t="n">
        <x:v>1.7675</x:v>
      </x:c>
      <x:c r="AJ26" s="44" t="n">
        <x:v>-1.285</x:v>
      </x:c>
      <x:c r="AK26" s="44" t="n">
        <x:v>4.36</x:v>
      </x:c>
      <x:c r="AL26" s="44" t="n">
        <x:v>1.95</x:v>
      </x:c>
      <x:c r="AM26" s="44" t="n">
        <x:v>0.26</x:v>
      </x:c>
      <x:c r="AN26" s="44" t="n">
        <x:v>0.235</x:v>
      </x:c>
      <x:c r="AO26" s="44" t="n">
        <x:v>-1.2188</x:v>
      </x:c>
      <x:c r="AP26" s="44" t="n">
        <x:v>0.9653</x:v>
      </x:c>
      <x:c r="AQ26" s="44" t="n">
        <x:v>0.9653</x:v>
      </x:c>
      <x:c r="AR26" s="44" t="n">
        <x:v>0.9653</x:v>
      </x:c>
      <x:c r="AS26" s="44" t="n">
        <x:v>0.6989</x:v>
      </x:c>
      <x:c r="AT26" s="44" t="n">
        <x:v>0.6989</x:v>
      </x:c>
      <x:c r="AU26" s="174" t="n">
        <x:v>0</x:v>
      </x:c>
      <x:c r="AV26" s="43" t="str">
        <x:v>03:43.25</x:v>
      </x:c>
      <x:c r="AW26" s="43"/>
      <x:c r="AX26" s="43" t="str">
        <x:v>00450</x:v>
      </x:c>
      <x:c r="AY26" s="43" t="str">
        <x:v>K60_SVID_20260828_001858_1.mp4</x:v>
      </x:c>
      <x:c r="AZ26" s="44"/>
      <x:c r="BA26" s="175"/>
    </x:row>
    <x:row r="27" ht="18" customHeight="1">
      <x:c r="A27" s="43" t="str">
        <x:v>K60</x:v>
      </x:c>
      <x:c r="B27" s="43" t="str">
        <x:v>雪Snowy</x:v>
      </x:c>
      <x:c r="C27" s="43"/>
      <x:c r="D27" s="44" t="n">
        <x:v>3.3885</x:v>
      </x:c>
      <x:c r="E27" s="44" t="n">
        <x:v>2.716</x:v>
      </x:c>
      <x:c r="F27" s="44" t="n">
        <x:v>3.066</x:v>
      </x:c>
      <x:c r="G27" s="44" t="n">
        <x:v>0.4375</x:v>
      </x:c>
      <x:c r="H27" s="44" t="n">
        <x:v>-0.415</x:v>
      </x:c>
      <x:c r="I27" s="44" t="n">
        <x:v>6</x:v>
      </x:c>
      <x:c r="J27" s="44" t="n">
        <x:v>2.4336</x:v>
      </x:c>
      <x:c r="K27" s="44" t="n">
        <x:v>11.73</x:v>
      </x:c>
      <x:c r="L27" s="44" t="n">
        <x:v>14.72</x:v>
      </x:c>
      <x:c r="M27" s="44" t="n">
        <x:v>9.5749</x:v>
      </x:c>
      <x:c r="N27" s="44" t="n">
        <x:v>0.49</x:v>
      </x:c>
      <x:c r="O27" s="44" t="n">
        <x:v>-0.635</x:v>
      </x:c>
      <x:c r="P27" s="44" t="n">
        <x:v>0.96</x:v>
      </x:c>
      <x:c r="Q27" s="44" t="n">
        <x:v>2.32</x:v>
      </x:c>
      <x:c r="R27" s="44" t="n">
        <x:v>22.487</x:v>
      </x:c>
      <x:c r="S27" s="44" t="n">
        <x:v>17.532</x:v>
      </x:c>
      <x:c r="T27" s="44" t="n">
        <x:v>12.26</x:v>
      </x:c>
      <x:c r="U27" s="44" t="n">
        <x:v>1.6725</x:v>
      </x:c>
      <x:c r="V27" s="44" t="n">
        <x:v>-1.325</x:v>
      </x:c>
      <x:c r="W27" s="44" t="n">
        <x:v>4.67</x:v>
      </x:c>
      <x:c r="X27" s="44" t="n">
        <x:v>2.83</x:v>
      </x:c>
      <x:c r="Y27" s="44" t="n">
        <x:v>21.19</x:v>
      </x:c>
      <x:c r="Z27" s="44" t="n">
        <x:v>17.2135</x:v>
      </x:c>
      <x:c r="AA27" s="44" t="n">
        <x:v>9.135</x:v>
      </x:c>
      <x:c r="AB27" s="44" t="n">
        <x:v>1.7125</x:v>
      </x:c>
      <x:c r="AC27" s="44" t="n">
        <x:v>-1.4075</x:v>
      </x:c>
      <x:c r="AD27" s="44" t="n">
        <x:v>4.98</x:v>
      </x:c>
      <x:c r="AE27" s="44" t="n">
        <x:v>2.97</x:v>
      </x:c>
      <x:c r="AF27" s="44" t="n">
        <x:v>14.45</x:v>
      </x:c>
      <x:c r="AG27" s="44" t="n">
        <x:v>6.52</x:v>
      </x:c>
      <x:c r="AH27" s="44" t="n">
        <x:v>9.215</x:v>
      </x:c>
      <x:c r="AI27" s="44" t="n">
        <x:v>0.59</x:v>
      </x:c>
      <x:c r="AJ27" s="44" t="n">
        <x:v>-0.41</x:v>
      </x:c>
      <x:c r="AK27" s="44" t="n">
        <x:v>0.84</x:v>
      </x:c>
      <x:c r="AL27" s="44" t="n">
        <x:v>0.63</x:v>
      </x:c>
      <x:c r="AM27" s="44" t="n">
        <x:v>0.26</x:v>
      </x:c>
      <x:c r="AN27" s="44" t="n">
        <x:v>0.245</x:v>
      </x:c>
      <x:c r="AO27" s="44" t="n">
        <x:v>-1.2188</x:v>
      </x:c>
      <x:c r="AP27" s="44" t="n">
        <x:v>0.9653</x:v>
      </x:c>
      <x:c r="AQ27" s="44" t="n">
        <x:v>0.9653</x:v>
      </x:c>
      <x:c r="AR27" s="44" t="n">
        <x:v>0.9653</x:v>
      </x:c>
      <x:c r="AS27" s="44" t="n">
        <x:v>0.6989</x:v>
      </x:c>
      <x:c r="AT27" s="44" t="n">
        <x:v>0.6989</x:v>
      </x:c>
      <x:c r="AU27" s="174" t="n">
        <x:v>0</x:v>
      </x:c>
      <x:c r="AV27" s="43" t="str">
        <x:v>03:52.75</x:v>
      </x:c>
      <x:c r="AW27" s="43"/>
      <x:c r="AX27" s="43" t="str">
        <x:v>00469</x:v>
      </x:c>
      <x:c r="AY27" s="43" t="str">
        <x:v>K60_SVID_20260828_001858_1.mp4</x:v>
      </x:c>
      <x:c r="AZ27" s="44"/>
      <x:c r="BA27" s="175"/>
    </x:row>
    <x:row r="28" ht="18" customHeight="1">
      <x:c r="A28" s="43" t="str">
        <x:v>K60</x:v>
      </x:c>
      <x:c r="B28" s="43" t="str">
        <x:v>Lare</x:v>
      </x:c>
      <x:c r="C28" s="43"/>
      <x:c r="D28" s="44" t="n">
        <x:v>3.151</x:v>
      </x:c>
      <x:c r="E28" s="44" t="n">
        <x:v>2.581</x:v>
      </x:c>
      <x:c r="F28" s="44" t="n">
        <x:v>2.686</x:v>
      </x:c>
      <x:c r="G28" s="44" t="n">
        <x:v>0.415</x:v>
      </x:c>
      <x:c r="H28" s="44" t="n">
        <x:v>-0.415</x:v>
      </x:c>
      <x:c r="I28" s="44" t="n">
        <x:v>3.984</x:v>
      </x:c>
      <x:c r="J28" s="44" t="n">
        <x:v>2.8548</x:v>
      </x:c>
      <x:c r="K28" s="44" t="n">
        <x:v>9.26</x:v>
      </x:c>
      <x:c r="L28" s="44" t="n">
        <x:v>13.7157</x:v>
      </x:c>
      <x:c r="M28" s="44" t="n">
        <x:v>9.1099</x:v>
      </x:c>
      <x:c r="N28" s="44" t="n">
        <x:v>0.49</x:v>
      </x:c>
      <x:c r="O28" s="44" t="n">
        <x:v>-0.5175</x:v>
      </x:c>
      <x:c r="P28" s="44" t="n">
        <x:v>0.72</x:v>
      </x:c>
      <x:c r="Q28" s="44" t="n">
        <x:v>1.34</x:v>
      </x:c>
      <x:c r="R28" s="44" t="n">
        <x:v>22.292</x:v>
      </x:c>
      <x:c r="S28" s="44" t="n">
        <x:v>15.912</x:v>
      </x:c>
      <x:c r="T28" s="44" t="n">
        <x:v>12.705</x:v>
      </x:c>
      <x:c r="U28" s="44" t="n">
        <x:v>1.605</x:v>
      </x:c>
      <x:c r="V28" s="44" t="n">
        <x:v>-1.4325</x:v>
      </x:c>
      <x:c r="W28" s="44" t="n">
        <x:v>3.16</x:v>
      </x:c>
      <x:c r="X28" s="44" t="n">
        <x:v>1.94</x:v>
      </x:c>
      <x:c r="Y28" s="44" t="n">
        <x:v>19.59</x:v>
      </x:c>
      <x:c r="Z28" s="44" t="n">
        <x:v>16.7635</x:v>
      </x:c>
      <x:c r="AA28" s="44" t="n">
        <x:v>11.325</x:v>
      </x:c>
      <x:c r="AB28" s="44" t="n">
        <x:v>1.5225</x:v>
      </x:c>
      <x:c r="AC28" s="44" t="n">
        <x:v>-1.2375</x:v>
      </x:c>
      <x:c r="AD28" s="44" t="n">
        <x:v>2.29</x:v>
      </x:c>
      <x:c r="AE28" s="44" t="n">
        <x:v>1.05</x:v>
      </x:c>
      <x:c r="AF28" s="44" t="n">
        <x:v>11.88</x:v>
      </x:c>
      <x:c r="AG28" s="44" t="n">
        <x:v>6.395</x:v>
      </x:c>
      <x:c r="AH28" s="44" t="n">
        <x:v>8.14</x:v>
      </x:c>
      <x:c r="AI28" s="44" t="n">
        <x:v>0.545</x:v>
      </x:c>
      <x:c r="AJ28" s="44" t="n">
        <x:v>-0.41</x:v>
      </x:c>
      <x:c r="AK28" s="44" t="n">
        <x:v>0.49</x:v>
      </x:c>
      <x:c r="AL28" s="44" t="n">
        <x:v>0.46</x:v>
      </x:c>
      <x:c r="AM28" s="44" t="n">
        <x:v>0.26</x:v>
      </x:c>
      <x:c r="AN28" s="44" t="n">
        <x:v>0.24</x:v>
      </x:c>
      <x:c r="AO28" s="44" t="n">
        <x:v>-1.2188</x:v>
      </x:c>
      <x:c r="AP28" s="44" t="n">
        <x:v>0.9653</x:v>
      </x:c>
      <x:c r="AQ28" s="44" t="n">
        <x:v>0.9653</x:v>
      </x:c>
      <x:c r="AR28" s="44" t="n">
        <x:v>0.9653</x:v>
      </x:c>
      <x:c r="AS28" s="44" t="n">
        <x:v>0.6989</x:v>
      </x:c>
      <x:c r="AT28" s="44" t="n">
        <x:v>0.6989</x:v>
      </x:c>
      <x:c r="AU28" s="174" t="n">
        <x:v>0</x:v>
      </x:c>
      <x:c r="AV28" s="43" t="str">
        <x:v>04:00.25</x:v>
      </x:c>
      <x:c r="AW28" s="43"/>
      <x:c r="AX28" s="43" t="str">
        <x:v>00483</x:v>
      </x:c>
      <x:c r="AY28" s="43" t="str">
        <x:v>K60_SVID_20260828_001858_1.mp4</x:v>
      </x:c>
      <x:c r="AZ28" s="44"/>
      <x:c r="BA28" s="175"/>
    </x:row>
    <x:row r="29" ht="18" customHeight="1">
      <x:c r="A29" s="43" t="str">
        <x:v>K60</x:v>
      </x:c>
      <x:c r="B29" s="43" t="str">
        <x:v>Legendⁱᵃᵐ</x:v>
      </x:c>
      <x:c r="C29" s="43"/>
      <x:c r="D29" s="44" t="n">
        <x:v>3.5635</x:v>
      </x:c>
      <x:c r="E29" s="44" t="n">
        <x:v>2.8185</x:v>
      </x:c>
      <x:c r="F29" s="44" t="n">
        <x:v>3.0735</x:v>
      </x:c>
      <x:c r="G29" s="44" t="n">
        <x:v>0.415</x:v>
      </x:c>
      <x:c r="H29" s="44" t="n">
        <x:v>-0.4375</x:v>
      </x:c>
      <x:c r="I29" s="44" t="n">
        <x:v>3.5004</x:v>
      </x:c>
      <x:c r="J29" s="44" t="n">
        <x:v>2.9924</x:v>
      </x:c>
      <x:c r="K29" s="44" t="n">
        <x:v>10.415</x:v>
      </x:c>
      <x:c r="L29" s="44" t="n">
        <x:v>14.375</x:v>
      </x:c>
      <x:c r="M29" s="44" t="n">
        <x:v>9.4799</x:v>
      </x:c>
      <x:c r="N29" s="44" t="n">
        <x:v>0.49</x:v>
      </x:c>
      <x:c r="O29" s="44" t="n">
        <x:v>-0.68</x:v>
      </x:c>
      <x:c r="P29" s="44" t="n">
        <x:v>2.28</x:v>
      </x:c>
      <x:c r="Q29" s="44" t="n">
        <x:v>7</x:v>
      </x:c>
      <x:c r="R29" s="44" t="n">
        <x:v>20.147</x:v>
      </x:c>
      <x:c r="S29" s="44" t="n">
        <x:v>15.202</x:v>
      </x:c>
      <x:c r="T29" s="44" t="n">
        <x:v>11.58</x:v>
      </x:c>
      <x:c r="U29" s="44" t="n">
        <x:v>1.5825</x:v>
      </x:c>
      <x:c r="V29" s="44" t="n">
        <x:v>-1.4675</x:v>
      </x:c>
      <x:c r="W29" s="44" t="n">
        <x:v>5.74</x:v>
      </x:c>
      <x:c r="X29" s="44" t="n">
        <x:v>4.11</x:v>
      </x:c>
      <x:c r="Y29" s="44" t="n">
        <x:v>19.34</x:v>
      </x:c>
      <x:c r="Z29" s="44" t="n">
        <x:v>15.6035</x:v>
      </x:c>
      <x:c r="AA29" s="44" t="n">
        <x:v>10.695</x:v>
      </x:c>
      <x:c r="AB29" s="44" t="n">
        <x:v>1.6675</x:v>
      </x:c>
      <x:c r="AC29" s="44" t="n">
        <x:v>-1.3675</x:v>
      </x:c>
      <x:c r="AD29" s="44" t="n">
        <x:v>5.93</x:v>
      </x:c>
      <x:c r="AE29" s="44" t="n">
        <x:v>2.94</x:v>
      </x:c>
      <x:c r="AF29" s="44" t="n">
        <x:v>11.61</x:v>
      </x:c>
      <x:c r="AG29" s="44" t="n">
        <x:v>7.12</x:v>
      </x:c>
      <x:c r="AH29" s="44" t="n">
        <x:v>8.895</x:v>
      </x:c>
      <x:c r="AI29" s="44" t="n">
        <x:v>0.51</x:v>
      </x:c>
      <x:c r="AJ29" s="44" t="n">
        <x:v>-0.49</x:v>
      </x:c>
      <x:c r="AK29" s="44" t="n">
        <x:v>2.58</x:v>
      </x:c>
      <x:c r="AL29" s="44" t="n">
        <x:v>1.46</x:v>
      </x:c>
      <x:c r="AM29" s="44" t="n">
        <x:v>0.26</x:v>
      </x:c>
      <x:c r="AN29" s="44" t="n">
        <x:v>0.22</x:v>
      </x:c>
      <x:c r="AO29" s="44" t="n">
        <x:v>-1.2188</x:v>
      </x:c>
      <x:c r="AP29" s="44" t="n">
        <x:v>0.9653</x:v>
      </x:c>
      <x:c r="AQ29" s="44" t="n">
        <x:v>0.9653</x:v>
      </x:c>
      <x:c r="AR29" s="44" t="n">
        <x:v>0.9653</x:v>
      </x:c>
      <x:c r="AS29" s="44" t="n">
        <x:v>0.6989</x:v>
      </x:c>
      <x:c r="AT29" s="44" t="n">
        <x:v>0.6989</x:v>
      </x:c>
      <x:c r="AU29" s="174" t="n">
        <x:v>0</x:v>
      </x:c>
      <x:c r="AV29" s="43" t="str">
        <x:v>04:08.75</x:v>
      </x:c>
      <x:c r="AW29" s="43"/>
      <x:c r="AX29" s="43" t="str">
        <x:v>00500</x:v>
      </x:c>
      <x:c r="AY29" s="43" t="str">
        <x:v>K60_SVID_20260828_001858_1.mp4</x:v>
      </x:c>
      <x:c r="AZ29" s="44"/>
      <x:c r="BA29" s="175"/>
    </x:row>
    <x:row r="30" ht="18" customHeight="1">
      <x:c r="A30" s="43" t="str">
        <x:v>K60</x:v>
      </x:c>
      <x:c r="B30" s="43" t="str">
        <x:v>°Silent°</x:v>
      </x:c>
      <x:c r="C30" s="43"/>
      <x:c r="D30" s="44" t="n">
        <x:v>4.0696</x:v>
      </x:c>
      <x:c r="E30" s="44" t="n">
        <x:v>2.741</x:v>
      </x:c>
      <x:c r="F30" s="44" t="n">
        <x:v>3.511</x:v>
      </x:c>
      <x:c r="G30" s="44" t="n">
        <x:v>0.4375</x:v>
      </x:c>
      <x:c r="H30" s="44" t="n">
        <x:v>-0.475</x:v>
      </x:c>
      <x:c r="I30" s="44" t="n">
        <x:v>6</x:v>
      </x:c>
      <x:c r="J30" s="44" t="n">
        <x:v>5.424</x:v>
      </x:c>
      <x:c r="K30" s="44" t="n">
        <x:v>18</x:v>
      </x:c>
      <x:c r="L30" s="44" t="n">
        <x:v>21.0192</x:v>
      </x:c>
      <x:c r="M30" s="44" t="n">
        <x:v>11.2557</x:v>
      </x:c>
      <x:c r="N30" s="44" t="n">
        <x:v>1.865</x:v>
      </x:c>
      <x:c r="O30" s="44" t="n">
        <x:v>-2.095</x:v>
      </x:c>
      <x:c r="P30" s="44" t="n">
        <x:v>2.39</x:v>
      </x:c>
      <x:c r="Q30" s="44" t="n">
        <x:v>7</x:v>
      </x:c>
      <x:c r="R30" s="44" t="n">
        <x:v>21.155</x:v>
      </x:c>
      <x:c r="S30" s="44" t="n">
        <x:v>14.875</x:v>
      </x:c>
      <x:c r="T30" s="44" t="n">
        <x:v>9.44</x:v>
      </x:c>
      <x:c r="U30" s="44" t="n">
        <x:v>1.9775</x:v>
      </x:c>
      <x:c r="V30" s="44" t="n">
        <x:v>-1.885</x:v>
      </x:c>
      <x:c r="W30" s="44" t="n">
        <x:v>5.88</x:v>
      </x:c>
      <x:c r="X30" s="44" t="n">
        <x:v>4.2</x:v>
      </x:c>
      <x:c r="Y30" s="44" t="n">
        <x:v>22.73</x:v>
      </x:c>
      <x:c r="Z30" s="44" t="n">
        <x:v>15.7</x:v>
      </x:c>
      <x:c r="AA30" s="44" t="n">
        <x:v>10.06</x:v>
      </x:c>
      <x:c r="AB30" s="44" t="n">
        <x:v>2.015</x:v>
      </x:c>
      <x:c r="AC30" s="44" t="n">
        <x:v>-1.725</x:v>
      </x:c>
      <x:c r="AD30" s="44" t="n">
        <x:v>6.21</x:v>
      </x:c>
      <x:c r="AE30" s="44" t="n">
        <x:v>3.06</x:v>
      </x:c>
      <x:c r="AF30" s="44" t="n">
        <x:v>22.047</x:v>
      </x:c>
      <x:c r="AG30" s="44" t="n">
        <x:v>11.687</x:v>
      </x:c>
      <x:c r="AH30" s="44" t="n">
        <x:v>13.635</x:v>
      </x:c>
      <x:c r="AI30" s="44" t="n">
        <x:v>1.7675</x:v>
      </x:c>
      <x:c r="AJ30" s="44" t="n">
        <x:v>-1.845</x:v>
      </x:c>
      <x:c r="AK30" s="44" t="n">
        <x:v>3.72</x:v>
      </x:c>
      <x:c r="AL30" s="44" t="n">
        <x:v>1.71</x:v>
      </x:c>
      <x:c r="AM30" s="44" t="n">
        <x:v>0.26</x:v>
      </x:c>
      <x:c r="AN30" s="44" t="n">
        <x:v>0.24</x:v>
      </x:c>
      <x:c r="AO30" s="44" t="n">
        <x:v>-1.2188</x:v>
      </x:c>
      <x:c r="AP30" s="44" t="n">
        <x:v>0.9653</x:v>
      </x:c>
      <x:c r="AQ30" s="44" t="n">
        <x:v>0.9653</x:v>
      </x:c>
      <x:c r="AR30" s="44" t="n">
        <x:v>0.9653</x:v>
      </x:c>
      <x:c r="AS30" s="44" t="n">
        <x:v>0.6989</x:v>
      </x:c>
      <x:c r="AT30" s="44" t="n">
        <x:v>0.6989</x:v>
      </x:c>
      <x:c r="AU30" s="174" t="n">
        <x:v>0</x:v>
      </x:c>
      <x:c r="AV30" s="43" t="str">
        <x:v>04:20.75</x:v>
      </x:c>
      <x:c r="AW30" s="43"/>
      <x:c r="AX30" s="43" t="str">
        <x:v>00524</x:v>
      </x:c>
      <x:c r="AY30" s="43" t="str">
        <x:v>K60_SVID_20260828_001858_1.mp4</x:v>
      </x:c>
      <x:c r="AZ30" s="44"/>
      <x:c r="BA30" s="175"/>
    </x:row>
    <x:row r="31" ht="18" customHeight="1">
      <x:c r="A31" s="43" t="str">
        <x:v>K91</x:v>
      </x:c>
      <x:c r="B31" s="43" t="str">
        <x:v>•Pain•</x:v>
      </x:c>
      <x:c r="C31" s="43" t="n">
        <x:v>185000</x:v>
      </x:c>
      <x:c r="D31" s="44" t="n">
        <x:v>4.541</x:v>
      </x:c>
      <x:c r="E31" s="44" t="n">
        <x:v>4.141</x:v>
      </x:c>
      <x:c r="F31" s="44" t="n">
        <x:v>4.2410000000000005</x:v>
      </x:c>
      <x:c r="G31" s="44" t="n">
        <x:v>0.475</x:v>
      </x:c>
      <x:c r="H31" s="44" t="n">
        <x:v>-0.475</x:v>
      </x:c>
      <x:c r="I31" s="44" t="n">
        <x:v>5.3328</x:v>
      </x:c>
      <x:c r="J31" s="44" t="n">
        <x:v>6</x:v>
      </x:c>
      <x:c r="K31" s="44" t="n">
        <x:v>17.132</x:v>
      </x:c>
      <x:c r="L31" s="44" t="n">
        <x:v>26.45</x:v>
      </x:c>
      <x:c r="M31" s="44" t="n">
        <x:v>22.726999999999997</x:v>
      </x:c>
      <x:c r="N31" s="44" t="n">
        <x:v>1.865</x:v>
      </x:c>
      <x:c r="O31" s="44" t="n">
        <x:v>-2.365</x:v>
      </x:c>
      <x:c r="P31" s="44" t="n">
        <x:v>7.14</x:v>
      </x:c>
      <x:c r="Q31" s="44" t="n">
        <x:v>9</x:v>
      </x:c>
      <x:c r="R31" s="44" t="n">
        <x:v>27.3435</x:v>
      </x:c>
      <x:c r="S31" s="44" t="n">
        <x:v>21.28</x:v>
      </x:c>
      <x:c r="T31" s="44" t="n">
        <x:v>18.15</x:v>
      </x:c>
      <x:c r="U31" s="44" t="n">
        <x:v>2.145</x:v>
      </x:c>
      <x:c r="V31" s="44" t="n">
        <x:v>-1.965</x:v>
      </x:c>
      <x:c r="W31" s="44" t="n">
        <x:v>9</x:v>
      </x:c>
      <x:c r="X31" s="44" t="n">
        <x:v>9</x:v>
      </x:c>
      <x:c r="Y31" s="44" t="n">
        <x:v>20.565</x:v>
      </x:c>
      <x:c r="Z31" s="44" t="n">
        <x:v>16.22</x:v>
      </x:c>
      <x:c r="AA31" s="44" t="n">
        <x:v>15.0435</x:v>
      </x:c>
      <x:c r="AB31" s="44" t="n">
        <x:v>2.145</x:v>
      </x:c>
      <x:c r="AC31" s="44" t="n">
        <x:v>-1.945</x:v>
      </x:c>
      <x:c r="AD31" s="44" t="n">
        <x:v>9</x:v>
      </x:c>
      <x:c r="AE31" s="44" t="n">
        <x:v>6.63</x:v>
      </x:c>
      <x:c r="AF31" s="44" t="n">
        <x:v>18.47</x:v>
      </x:c>
      <x:c r="AG31" s="44" t="n">
        <x:v>12.915</x:v>
      </x:c>
      <x:c r="AH31" s="44" t="n">
        <x:v>15.575</x:v>
      </x:c>
      <x:c r="AI31" s="44" t="n">
        <x:v>2.045</x:v>
      </x:c>
      <x:c r="AJ31" s="44" t="n">
        <x:v>-1.945</x:v>
      </x:c>
      <x:c r="AK31" s="44" t="n">
        <x:v>9</x:v>
      </x:c>
      <x:c r="AL31" s="44" t="n">
        <x:v>7.88</x:v>
      </x:c>
      <x:c r="AM31" s="44" t="n">
        <x:v>0.26</x:v>
      </x:c>
      <x:c r="AN31" s="44" t="n">
        <x:v>0.255</x:v>
      </x:c>
      <x:c r="AO31" s="44" t="n">
        <x:v>-1.2187999999999999</x:v>
      </x:c>
      <x:c r="AP31" s="44" t="n">
        <x:v>0.9653</x:v>
      </x:c>
      <x:c r="AQ31" s="44" t="n">
        <x:v>1.2187999999999999</x:v>
      </x:c>
      <x:c r="AR31" s="44" t="n">
        <x:v>1.2187999999999999</x:v>
      </x:c>
      <x:c r="AS31" s="44"/>
      <x:c r="AT31" s="44" t="n">
        <x:v>0.9653</x:v>
      </x:c>
      <x:c r="AU31" s="174" t="n">
        <x:v>32148</x:v>
      </x:c>
      <x:c r="AV31" s="43" t="str">
        <x:v>00:12.25</x:v>
      </x:c>
      <x:c r="AW31" s="43" t="str">
        <x:v>00:12.25-00:15.00</x:v>
      </x:c>
      <x:c r="AX31" s="43" t="str">
        <x:v>f_0015.jpg</x:v>
      </x:c>
      <x:c r="AY31" s="43" t="str">
        <x:v>1000025188.mp4</x:v>
      </x:c>
      <x:c r="AZ31" s="44" t="n">
        <x:v>0</x:v>
      </x:c>
      <x:c r="BA31" s="175" t="n">
        <x:v>60</x:v>
      </x:c>
    </x:row>
    <x:row r="32" ht="18" customHeight="1">
      <x:c r="A32" s="43" t="str">
        <x:v>K91</x:v>
      </x:c>
      <x:c r="B32" s="43" t="str">
        <x:v>Trinità</x:v>
      </x:c>
      <x:c r="C32" s="43" t="n">
        <x:v>90000</x:v>
      </x:c>
      <x:c r="D32" s="44" t="n">
        <x:v>2.991</x:v>
      </x:c>
      <x:c r="E32" s="44" t="n">
        <x:v>2.5810000000000004</x:v>
      </x:c>
      <x:c r="F32" s="44" t="n">
        <x:v>2.781</x:v>
      </x:c>
      <x:c r="G32" s="44" t="n">
        <x:v>0.39</x:v>
      </x:c>
      <x:c r="H32" s="44" t="n">
        <x:v>-0.39</x:v>
      </x:c>
      <x:c r="I32" s="44" t="n">
        <x:v>5.2788</x:v>
      </x:c>
      <x:c r="J32" s="44" t="n">
        <x:v>1.285</x:v>
      </x:c>
      <x:c r="K32" s="44" t="n">
        <x:v>11.945</x:v>
      </x:c>
      <x:c r="L32" s="44" t="n">
        <x:v>18.3792</x:v>
      </x:c>
      <x:c r="M32" s="44" t="n">
        <x:v>11.4407</x:v>
      </x:c>
      <x:c r="N32" s="44" t="n">
        <x:v>0.5525</x:v>
      </x:c>
      <x:c r="O32" s="44" t="n">
        <x:v>-0.5275</x:v>
      </x:c>
      <x:c r="P32" s="44" t="n">
        <x:v>1.09</x:v>
      </x:c>
      <x:c r="Q32" s="44" t="n">
        <x:v>5.88</x:v>
      </x:c>
      <x:c r="R32" s="44" t="n">
        <x:v>20.092</x:v>
      </x:c>
      <x:c r="S32" s="44" t="n">
        <x:v>13.09</x:v>
      </x:c>
      <x:c r="T32" s="44" t="n">
        <x:v>13.207</x:v>
      </x:c>
      <x:c r="U32" s="44" t="n">
        <x:v>1.4575</x:v>
      </x:c>
      <x:c r="V32" s="44" t="n">
        <x:v>-1.2475</x:v>
      </x:c>
      <x:c r="W32" s="44" t="n">
        <x:v>4.36</x:v>
      </x:c>
      <x:c r="X32" s="44" t="n">
        <x:v>2.34</x:v>
      </x:c>
      <x:c r="Y32" s="44" t="n">
        <x:v>16.755</x:v>
      </x:c>
      <x:c r="Z32" s="44" t="n">
        <x:v>12.01</x:v>
      </x:c>
      <x:c r="AA32" s="44" t="n">
        <x:v>8.415</x:v>
      </x:c>
      <x:c r="AB32" s="44" t="n">
        <x:v>1.52</x:v>
      </x:c>
      <x:c r="AC32" s="44" t="n">
        <x:v>-1.3675</x:v>
      </x:c>
      <x:c r="AD32" s="44" t="n">
        <x:v>5.6</x:v>
      </x:c>
      <x:c r="AE32" s="44" t="n">
        <x:v>2.56</x:v>
      </x:c>
      <x:c r="AF32" s="44" t="n">
        <x:v>14.6435</x:v>
      </x:c>
      <x:c r="AG32" s="44" t="n">
        <x:v>7.315</x:v>
      </x:c>
      <x:c r="AH32" s="44" t="n">
        <x:v>9.235</x:v>
      </x:c>
      <x:c r="AI32" s="44" t="n">
        <x:v>0.46</x:v>
      </x:c>
      <x:c r="AJ32" s="44" t="n">
        <x:v>-0.25</x:v>
      </x:c>
      <x:c r="AK32" s="44" t="n">
        <x:v>1.46</x:v>
      </x:c>
      <x:c r="AL32" s="44" t="n">
        <x:v>0.63</x:v>
      </x:c>
      <x:c r="AM32" s="44" t="n">
        <x:v>0.26</x:v>
      </x:c>
      <x:c r="AN32" s="44" t="n">
        <x:v>0.24</x:v>
      </x:c>
      <x:c r="AO32" s="44" t="n">
        <x:v>-1.2187999999999999</x:v>
      </x:c>
      <x:c r="AP32" s="44" t="n">
        <x:v>0.9653</x:v>
      </x:c>
      <x:c r="AQ32" s="44" t="n">
        <x:v>1.2187999999999999</x:v>
      </x:c>
      <x:c r="AR32" s="44" t="n">
        <x:v>1.2187999999999999</x:v>
      </x:c>
      <x:c r="AS32" s="44"/>
      <x:c r="AT32" s="44" t="n">
        <x:v>0.9653</x:v>
      </x:c>
      <x:c r="AU32" s="174" t="n">
        <x:v>32148</x:v>
      </x:c>
      <x:c r="AV32" s="43" t="str">
        <x:v>00:24.50</x:v>
      </x:c>
      <x:c r="AW32" s="43" t="str">
        <x:v>00:24.50-00:27.00</x:v>
      </x:c>
      <x:c r="AX32" s="43" t="str">
        <x:v>f_0027.jpg</x:v>
      </x:c>
      <x:c r="AY32" s="43" t="str">
        <x:v>1000025188.mp4</x:v>
      </x:c>
      <x:c r="AZ32" s="44" t="n">
        <x:v>0</x:v>
      </x:c>
      <x:c r="BA32" s="175" t="n">
        <x:v>60</x:v>
      </x:c>
    </x:row>
    <x:row r="33" ht="18" customHeight="1">
      <x:c r="A33" s="43" t="str">
        <x:v>K91</x:v>
      </x:c>
      <x:c r="B33" s="43" t="str">
        <x:v>λTλ⁵⁷βЄЧ</x:v>
      </x:c>
      <x:c r="C33" s="43" t="n">
        <x:v>105000</x:v>
      </x:c>
      <x:c r="D33" s="44" t="n">
        <x:v>3.7895999999999996</x:v>
      </x:c>
      <x:c r="E33" s="44" t="n">
        <x:v>2.8110000000000004</x:v>
      </x:c>
      <x:c r="F33" s="44" t="n">
        <x:v>3.1660000000000004</x:v>
      </x:c>
      <x:c r="G33" s="44" t="n">
        <x:v>0.4375</x:v>
      </x:c>
      <x:c r="H33" s="44" t="n">
        <x:v>-0.415</x:v>
      </x:c>
      <x:c r="I33" s="44" t="n">
        <x:v>6</x:v>
      </x:c>
      <x:c r="J33" s="44" t="n">
        <x:v>1.7452</x:v>
      </x:c>
      <x:c r="K33" s="44" t="n">
        <x:v>9.062000000000001</x:v>
      </x:c>
      <x:c r="L33" s="44" t="n">
        <x:v>18.1254</x:v>
      </x:c>
      <x:c r="M33" s="44" t="n">
        <x:v>12.560699999999999</x:v>
      </x:c>
      <x:c r="N33" s="44" t="n">
        <x:v>1.4275</x:v>
      </x:c>
      <x:c r="O33" s="44" t="n">
        <x:v>-1.545</x:v>
      </x:c>
      <x:c r="P33" s="44" t="n">
        <x:v>1.8</x:v>
      </x:c>
      <x:c r="Q33" s="44" t="n">
        <x:v>5.02</x:v>
      </x:c>
      <x:c r="R33" s="44" t="n">
        <x:v>12.79</x:v>
      </x:c>
      <x:c r="S33" s="44" t="n">
        <x:v>12.67</x:v>
      </x:c>
      <x:c r="T33" s="44" t="n">
        <x:v>9.707</x:v>
      </x:c>
      <x:c r="U33" s="44" t="n">
        <x:v>1.5025</x:v>
      </x:c>
      <x:c r="V33" s="44" t="n">
        <x:v>-1.3475</x:v>
      </x:c>
      <x:c r="W33" s="44" t="n">
        <x:v>2.9</x:v>
      </x:c>
      <x:c r="X33" s="44" t="n">
        <x:v>1.26</x:v>
      </x:c>
      <x:c r="Y33" s="44" t="n">
        <x:v>26.5255</x:v>
      </x:c>
      <x:c r="Z33" s="44" t="n">
        <x:v>20.826999999999998</x:v>
      </x:c>
      <x:c r="AA33" s="44" t="n">
        <x:v>11.53</x:v>
      </x:c>
      <x:c r="AB33" s="44" t="n">
        <x:v>1.6675</x:v>
      </x:c>
      <x:c r="AC33" s="44" t="n">
        <x:v>-1.51</x:v>
      </x:c>
      <x:c r="AD33" s="44" t="n">
        <x:v>5.22</x:v>
      </x:c>
      <x:c r="AE33" s="44" t="n">
        <x:v>3.15</x:v>
      </x:c>
      <x:c r="AF33" s="44" t="n">
        <x:v>11.197000000000001</x:v>
      </x:c>
      <x:c r="AG33" s="44" t="n">
        <x:v>6.367000000000001</x:v>
      </x:c>
      <x:c r="AH33" s="44" t="n">
        <x:v>4.31</x:v>
      </x:c>
      <x:c r="AI33" s="44" t="n">
        <x:v>0.62</x:v>
      </x:c>
      <x:c r="AJ33" s="44" t="n">
        <x:v>-0.485</x:v>
      </x:c>
      <x:c r="AK33" s="44" t="n">
        <x:v>1.17</x:v>
      </x:c>
      <x:c r="AL33" s="44" t="n">
        <x:v>0.86</x:v>
      </x:c>
      <x:c r="AM33" s="44" t="n">
        <x:v>0.26</x:v>
      </x:c>
      <x:c r="AN33" s="44" t="n">
        <x:v>0.245</x:v>
      </x:c>
      <x:c r="AO33" s="44" t="n">
        <x:v>-1.2187999999999999</x:v>
      </x:c>
      <x:c r="AP33" s="44" t="n">
        <x:v>0.9653</x:v>
      </x:c>
      <x:c r="AQ33" s="44" t="n">
        <x:v>1.2187999999999999</x:v>
      </x:c>
      <x:c r="AR33" s="44" t="n">
        <x:v>1.2187999999999999</x:v>
      </x:c>
      <x:c r="AS33" s="44"/>
      <x:c r="AT33" s="44" t="n">
        <x:v>0.9653</x:v>
      </x:c>
      <x:c r="AU33" s="174" t="n">
        <x:v>32148</x:v>
      </x:c>
      <x:c r="AV33" s="43" t="str">
        <x:v>00:36.00</x:v>
      </x:c>
      <x:c r="AW33" s="43" t="str">
        <x:v>00:36.00-00:38.00</x:v>
      </x:c>
      <x:c r="AX33" s="43" t="str">
        <x:v>f_0038.jpg</x:v>
      </x:c>
      <x:c r="AY33" s="43" t="str">
        <x:v>1000025188.mp4</x:v>
      </x:c>
      <x:c r="AZ33" s="44" t="n">
        <x:v>0</x:v>
      </x:c>
      <x:c r="BA33" s="175" t="n">
        <x:v>60</x:v>
      </x:c>
    </x:row>
    <x:row r="34" ht="18" customHeight="1">
      <x:c r="A34" s="43" t="str">
        <x:v>K91</x:v>
      </x:c>
      <x:c r="B34" s="43" t="str">
        <x:v>Antoni</x:v>
      </x:c>
      <x:c r="C34" s="43" t="n">
        <x:v>78050</x:v>
      </x:c>
      <x:c r="D34" s="44" t="n">
        <x:v>3.6220999999999997</x:v>
      </x:c>
      <x:c r="E34" s="44" t="n">
        <x:v>2.6660000000000004</x:v>
      </x:c>
      <x:c r="F34" s="44" t="n">
        <x:v>2.6060000000000003</x:v>
      </x:c>
      <x:c r="G34" s="44" t="n">
        <x:v>0.415</x:v>
      </x:c>
      <x:c r="H34" s="44" t="n">
        <x:v>-0.415</x:v>
      </x:c>
      <x:c r="I34" s="44" t="n">
        <x:v>5.47</x:v>
      </x:c>
      <x:c r="J34" s="44" t="n">
        <x:v>1.775</x:v>
      </x:c>
      <x:c r="K34" s="44" t="n">
        <x:v>9.382</x:v>
      </x:c>
      <x:c r="L34" s="44" t="n">
        <x:v>15.465399999999999</x:v>
      </x:c>
      <x:c r="M34" s="44" t="n">
        <x:v>10.890699999999999</x:v>
      </x:c>
      <x:c r="N34" s="44" t="n">
        <x:v>0.5605</x:v>
      </x:c>
      <x:c r="O34" s="44" t="n">
        <x:v>-0.5505</x:v>
      </x:c>
      <x:c r="P34" s="44" t="n">
        <x:v>2.13</x:v>
      </x:c>
      <x:c r="Q34" s="44" t="n">
        <x:v>2.63</x:v>
      </x:c>
      <x:c r="R34" s="44" t="n">
        <x:v>11.555</x:v>
      </x:c>
      <x:c r="S34" s="44" t="n">
        <x:v>10.56</x:v>
      </x:c>
      <x:c r="T34" s="44" t="n">
        <x:v>7.187</x:v>
      </x:c>
      <x:c r="U34" s="44" t="n">
        <x:v>1.4825</x:v>
      </x:c>
      <x:c r="V34" s="44" t="n">
        <x:v>-1.3675</x:v>
      </x:c>
      <x:c r="W34" s="44" t="n">
        <x:v>1.14</x:v>
      </x:c>
      <x:c r="X34" s="44" t="n">
        <x:v>0.77</x:v>
      </x:c>
      <x:c r="Y34" s="44" t="n">
        <x:v>22.5755</x:v>
      </x:c>
      <x:c r="Z34" s="44" t="n">
        <x:v>16.467</x:v>
      </x:c>
      <x:c r="AA34" s="44" t="n">
        <x:v>7.95</x:v>
      </x:c>
      <x:c r="AB34" s="44" t="n">
        <x:v>1.5425</x:v>
      </x:c>
      <x:c r="AC34" s="44" t="n">
        <x:v>-1.2375</x:v>
      </x:c>
      <x:c r="AD34" s="44" t="n">
        <x:v>4.3</x:v>
      </x:c>
      <x:c r="AE34" s="44" t="n">
        <x:v>2.99</x:v>
      </x:c>
      <x:c r="AF34" s="44" t="n">
        <x:v>11.597000000000001</x:v>
      </x:c>
      <x:c r="AG34" s="44" t="n">
        <x:v>7.5920000000000005</x:v>
      </x:c>
      <x:c r="AH34" s="44" t="n">
        <x:v>4</x:v>
      </x:c>
      <x:c r="AI34" s="44" t="n">
        <x:v>0.6075</x:v>
      </x:c>
      <x:c r="AJ34" s="44" t="n">
        <x:v>-0.4725</x:v>
      </x:c>
      <x:c r="AK34" s="44" t="n">
        <x:v>0.96</x:v>
      </x:c>
      <x:c r="AL34" s="44" t="n">
        <x:v>0.77</x:v>
      </x:c>
      <x:c r="AM34" s="44" t="n">
        <x:v>0.26</x:v>
      </x:c>
      <x:c r="AN34" s="44" t="n">
        <x:v>0.22</x:v>
      </x:c>
      <x:c r="AO34" s="44" t="n">
        <x:v>-1.2187999999999999</x:v>
      </x:c>
      <x:c r="AP34" s="44" t="n">
        <x:v>0.9653</x:v>
      </x:c>
      <x:c r="AQ34" s="44" t="n">
        <x:v>1.2187999999999999</x:v>
      </x:c>
      <x:c r="AR34" s="44" t="n">
        <x:v>1.2187999999999999</x:v>
      </x:c>
      <x:c r="AS34" s="44"/>
      <x:c r="AT34" s="44" t="n">
        <x:v>0.9653</x:v>
      </x:c>
      <x:c r="AU34" s="174" t="n">
        <x:v>32148</x:v>
      </x:c>
      <x:c r="AV34" s="43" t="str">
        <x:v>00:45.25</x:v>
      </x:c>
      <x:c r="AW34" s="43" t="str">
        <x:v>00:45.25-00:48.00</x:v>
      </x:c>
      <x:c r="AX34" s="43" t="str">
        <x:v>f_0048.jpg</x:v>
      </x:c>
      <x:c r="AY34" s="43" t="str">
        <x:v>1000025188.mp4</x:v>
      </x:c>
      <x:c r="AZ34" s="44" t="n">
        <x:v>0</x:v>
      </x:c>
      <x:c r="BA34" s="175" t="n">
        <x:v>60</x:v>
      </x:c>
    </x:row>
    <x:row r="35" ht="18" customHeight="1">
      <x:c r="A35" s="43" t="str">
        <x:v>K91</x:v>
      </x:c>
      <x:c r="B35" s="43" t="str">
        <x:v>Nixxx</x:v>
      </x:c>
      <x:c r="C35" s="43" t="n">
        <x:v>105030</x:v>
      </x:c>
      <x:c r="D35" s="44" t="n">
        <x:v>3.6420999999999997</x:v>
      </x:c>
      <x:c r="E35" s="44" t="n">
        <x:v>2.431</x:v>
      </x:c>
      <x:c r="F35" s="44" t="n">
        <x:v>2.7760000000000002</x:v>
      </x:c>
      <x:c r="G35" s="44" t="n">
        <x:v>0.415</x:v>
      </x:c>
      <x:c r="H35" s="44" t="n">
        <x:v>-0.4</x:v>
      </x:c>
      <x:c r="I35" s="44" t="n">
        <x:v>5.8704</x:v>
      </x:c>
      <x:c r="J35" s="44" t="n">
        <x:v>1.8432</x:v>
      </x:c>
      <x:c r="K35" s="44" t="n">
        <x:v>8.747</x:v>
      </x:c>
      <x:c r="L35" s="44" t="n">
        <x:v>16.4104</x:v>
      </x:c>
      <x:c r="M35" s="44" t="n">
        <x:v>11.8057</x:v>
      </x:c>
      <x:c r="N35" s="44" t="n">
        <x:v>0.6375</x:v>
      </x:c>
      <x:c r="O35" s="44" t="n">
        <x:v>-0.67</x:v>
      </x:c>
      <x:c r="P35" s="44" t="n">
        <x:v>1.06</x:v>
      </x:c>
      <x:c r="Q35" s="44" t="n">
        <x:v>3.44</x:v>
      </x:c>
      <x:c r="R35" s="44" t="n">
        <x:v>11.31</x:v>
      </x:c>
      <x:c r="S35" s="44" t="n">
        <x:v>9.65</x:v>
      </x:c>
      <x:c r="T35" s="44" t="n">
        <x:v>6.947</x:v>
      </x:c>
      <x:c r="U35" s="44" t="n">
        <x:v>1.42</x:v>
      </x:c>
      <x:c r="V35" s="44" t="n">
        <x:v>-1.165</x:v>
      </x:c>
      <x:c r="W35" s="44" t="n">
        <x:v>2.37</x:v>
      </x:c>
      <x:c r="X35" s="44" t="n">
        <x:v>0.99</x:v>
      </x:c>
      <x:c r="Y35" s="44" t="n">
        <x:v>26.805500000000002</x:v>
      </x:c>
      <x:c r="Z35" s="44" t="n">
        <x:v>19.687</x:v>
      </x:c>
      <x:c r="AA35" s="44" t="n">
        <x:v>10.34</x:v>
      </x:c>
      <x:c r="AB35" s="44" t="n">
        <x:v>1.67</x:v>
      </x:c>
      <x:c r="AC35" s="44" t="n">
        <x:v>-1.53</x:v>
      </x:c>
      <x:c r="AD35" s="44" t="n">
        <x:v>6.08</x:v>
      </x:c>
      <x:c r="AE35" s="44" t="n">
        <x:v>4.31</x:v>
      </x:c>
      <x:c r="AF35" s="44" t="n">
        <x:v>10.977</x:v>
      </x:c>
      <x:c r="AG35" s="44" t="n">
        <x:v>6.422000000000001</x:v>
      </x:c>
      <x:c r="AH35" s="44" t="n">
        <x:v>3.905</x:v>
      </x:c>
      <x:c r="AI35" s="44" t="n">
        <x:v>0.545</x:v>
      </x:c>
      <x:c r="AJ35" s="44" t="n">
        <x:v>-0.25</x:v>
      </x:c>
      <x:c r="AK35" s="44" t="n">
        <x:v>1.07</x:v>
      </x:c>
      <x:c r="AL35" s="44" t="n">
        <x:v>0.63</x:v>
      </x:c>
      <x:c r="AM35" s="44" t="n">
        <x:v>0.26</x:v>
      </x:c>
      <x:c r="AN35" s="44" t="n">
        <x:v>0.23</x:v>
      </x:c>
      <x:c r="AO35" s="44" t="n">
        <x:v>-1.2187999999999999</x:v>
      </x:c>
      <x:c r="AP35" s="44" t="n">
        <x:v>0.9653</x:v>
      </x:c>
      <x:c r="AQ35" s="44" t="n">
        <x:v>1.2187999999999999</x:v>
      </x:c>
      <x:c r="AR35" s="44" t="n">
        <x:v>1.2187999999999999</x:v>
      </x:c>
      <x:c r="AS35" s="44"/>
      <x:c r="AT35" s="44" t="n">
        <x:v>0.9653</x:v>
      </x:c>
      <x:c r="AU35" s="174" t="n">
        <x:v>32148</x:v>
      </x:c>
      <x:c r="AV35" s="43" t="str">
        <x:v>00:58.00</x:v>
      </x:c>
      <x:c r="AW35" s="43" t="str">
        <x:v>00:58.00-01:01.25</x:v>
      </x:c>
      <x:c r="AX35" s="43" t="str">
        <x:v>f_0061.jpg</x:v>
      </x:c>
      <x:c r="AY35" s="43" t="str">
        <x:v>1000025188.mp4</x:v>
      </x:c>
      <x:c r="AZ35" s="44" t="n">
        <x:v>0</x:v>
      </x:c>
      <x:c r="BA35" s="175" t="n">
        <x:v>60</x:v>
      </x:c>
    </x:row>
    <x:row r="36" ht="18" customHeight="1">
      <x:c r="A36" s="43" t="str">
        <x:v>K91</x:v>
      </x:c>
      <x:c r="B36" s="43" t="str">
        <x:v>TatyToy</x:v>
      </x:c>
      <x:c r="C36" s="43" t="n">
        <x:v>60000</x:v>
      </x:c>
      <x:c r="D36" s="44" t="n">
        <x:v>3.4370999999999996</x:v>
      </x:c>
      <x:c r="E36" s="44" t="n">
        <x:v>2.276</x:v>
      </x:c>
      <x:c r="F36" s="44" t="n">
        <x:v>2.616</x:v>
      </x:c>
      <x:c r="G36" s="44" t="n">
        <x:v>0.415</x:v>
      </x:c>
      <x:c r="H36" s="44" t="n">
        <x:v>-0.4</x:v>
      </x:c>
      <x:c r="I36" s="44" t="n">
        <x:v>4.2732</x:v>
      </x:c>
      <x:c r="J36" s="44" t="n">
        <x:v>0.644</x:v>
      </x:c>
      <x:c r="K36" s="44" t="n">
        <x:v>5.392</x:v>
      </x:c>
      <x:c r="L36" s="44" t="n">
        <x:v>14.5504</x:v>
      </x:c>
      <x:c r="M36" s="44" t="n">
        <x:v>9.0557</x:v>
      </x:c>
      <x:c r="N36" s="44" t="n">
        <x:v>0.41</x:v>
      </x:c>
      <x:c r="O36" s="44" t="n">
        <x:v>-0.4875</x:v>
      </x:c>
      <x:c r="P36" s="44" t="n">
        <x:v>0.92</x:v>
      </x:c>
      <x:c r="Q36" s="44" t="n">
        <x:v>2.03</x:v>
      </x:c>
      <x:c r="R36" s="44" t="n">
        <x:v>11.355</x:v>
      </x:c>
      <x:c r="S36" s="44" t="n">
        <x:v>9.64</x:v>
      </x:c>
      <x:c r="T36" s="44" t="n">
        <x:v>6.267</x:v>
      </x:c>
      <x:c r="U36" s="44" t="n">
        <x:v>1.135</x:v>
      </x:c>
      <x:c r="V36" s="44" t="n">
        <x:v>-0.97</x:v>
      </x:c>
      <x:c r="W36" s="44" t="n">
        <x:v>2.2</x:v>
      </x:c>
      <x:c r="X36" s="44" t="n">
        <x:v>1.16</x:v>
      </x:c>
      <x:c r="Y36" s="44" t="n">
        <x:v>22.235500000000002</x:v>
      </x:c>
      <x:c r="Z36" s="44" t="n">
        <x:v>16.937</x:v>
      </x:c>
      <x:c r="AA36" s="44" t="n">
        <x:v>7.75</x:v>
      </x:c>
      <x:c r="AB36" s="44" t="n">
        <x:v>1.5025</x:v>
      </x:c>
      <x:c r="AC36" s="44" t="n">
        <x:v>-1.305</x:v>
      </x:c>
      <x:c r="AD36" s="44" t="n">
        <x:v>3.16</x:v>
      </x:c>
      <x:c r="AE36" s="44" t="n">
        <x:v>1.71</x:v>
      </x:c>
      <x:c r="AF36" s="44" t="n">
        <x:v>9.182</x:v>
      </x:c>
      <x:c r="AG36" s="44" t="n">
        <x:v>5.382000000000001</x:v>
      </x:c>
      <x:c r="AH36" s="44" t="n">
        <x:v>3.205</x:v>
      </x:c>
      <x:c r="AI36" s="44" t="n">
        <x:v>0.475</x:v>
      </x:c>
      <x:c r="AJ36" s="44" t="n">
        <x:v>-0.25</x:v>
      </x:c>
      <x:c r="AK36" s="44" t="n">
        <x:v>1.09</x:v>
      </x:c>
      <x:c r="AL36" s="44" t="n">
        <x:v>0.58</x:v>
      </x:c>
      <x:c r="AM36" s="44" t="n">
        <x:v>0.26</x:v>
      </x:c>
      <x:c r="AN36" s="44" t="n">
        <x:v>0.215</x:v>
      </x:c>
      <x:c r="AO36" s="44" t="n">
        <x:v>-1.2187999999999999</x:v>
      </x:c>
      <x:c r="AP36" s="44" t="n">
        <x:v>0.9653</x:v>
      </x:c>
      <x:c r="AQ36" s="44" t="n">
        <x:v>1.2187999999999999</x:v>
      </x:c>
      <x:c r="AR36" s="44" t="n">
        <x:v>1.2187999999999999</x:v>
      </x:c>
      <x:c r="AS36" s="44"/>
      <x:c r="AT36" s="44" t="n">
        <x:v>0.9653</x:v>
      </x:c>
      <x:c r="AU36" s="174" t="n">
        <x:v>32148</x:v>
      </x:c>
      <x:c r="AV36" s="43" t="str">
        <x:v>01:08.25</x:v>
      </x:c>
      <x:c r="AW36" s="43" t="str">
        <x:v>01:08.25-01:10.50</x:v>
      </x:c>
      <x:c r="AX36" s="43" t="str">
        <x:v>f_0070.jpg</x:v>
      </x:c>
      <x:c r="AY36" s="43" t="str">
        <x:v>1000025188.mp4</x:v>
      </x:c>
      <x:c r="AZ36" s="44" t="n">
        <x:v>0</x:v>
      </x:c>
      <x:c r="BA36" s="175" t="n">
        <x:v>60</x:v>
      </x:c>
    </x:row>
    <x:row r="37" ht="18" customHeight="1">
      <x:c r="A37" s="43" t="str">
        <x:v>K91</x:v>
      </x:c>
      <x:c r="B37" s="43" t="str">
        <x:v>AMANTIS</x:v>
      </x:c>
      <x:c r="C37" s="43" t="n">
        <x:v>78030</x:v>
      </x:c>
      <x:c r="D37" s="44" t="n">
        <x:v>3.5370999999999997</x:v>
      </x:c>
      <x:c r="E37" s="44" t="n">
        <x:v>2.636</x:v>
      </x:c>
      <x:c r="F37" s="44" t="n">
        <x:v>2.8360000000000003</x:v>
      </x:c>
      <x:c r="G37" s="44" t="n">
        <x:v>0.415</x:v>
      </x:c>
      <x:c r="H37" s="44" t="n">
        <x:v>-0.4</x:v>
      </x:c>
      <x:c r="I37" s="44" t="n">
        <x:v>5.0262</x:v>
      </x:c>
      <x:c r="J37" s="44" t="n">
        <x:v>0.42979999999999996</x:v>
      </x:c>
      <x:c r="K37" s="44" t="n">
        <x:v>7.872000000000001</x:v>
      </x:c>
      <x:c r="L37" s="44" t="n">
        <x:v>15.8354</x:v>
      </x:c>
      <x:c r="M37" s="44" t="n">
        <x:v>10.740699999999999</x:v>
      </x:c>
      <x:c r="N37" s="44" t="n">
        <x:v>0.5525</x:v>
      </x:c>
      <x:c r="O37" s="44" t="n">
        <x:v>-0.585</x:v>
      </x:c>
      <x:c r="P37" s="44" t="n">
        <x:v>1.95</x:v>
      </x:c>
      <x:c r="Q37" s="44" t="n">
        <x:v>2.56</x:v>
      </x:c>
      <x:c r="R37" s="44" t="n">
        <x:v>11.84</x:v>
      </x:c>
      <x:c r="S37" s="44" t="n">
        <x:v>9.78</x:v>
      </x:c>
      <x:c r="T37" s="44" t="n">
        <x:v>6.657</x:v>
      </x:c>
      <x:c r="U37" s="44" t="n">
        <x:v>1.5025</x:v>
      </x:c>
      <x:c r="V37" s="44" t="n">
        <x:v>-1.2275</x:v>
      </x:c>
      <x:c r="W37" s="44" t="n">
        <x:v>1.15</x:v>
      </x:c>
      <x:c r="X37" s="44" t="n">
        <x:v>1.18</x:v>
      </x:c>
      <x:c r="Y37" s="44" t="n">
        <x:v>23.485500000000002</x:v>
      </x:c>
      <x:c r="Z37" s="44" t="n">
        <x:v>17.482</x:v>
      </x:c>
      <x:c r="AA37" s="44" t="n">
        <x:v>9.705</x:v>
      </x:c>
      <x:c r="AB37" s="44" t="n">
        <x:v>1.605</x:v>
      </x:c>
      <x:c r="AC37" s="44" t="n">
        <x:v>-1.4875</x:v>
      </x:c>
      <x:c r="AD37" s="44" t="n">
        <x:v>4.25</x:v>
      </x:c>
      <x:c r="AE37" s="44" t="n">
        <x:v>2.93</x:v>
      </x:c>
      <x:c r="AF37" s="44" t="n">
        <x:v>10.477</x:v>
      </x:c>
      <x:c r="AG37" s="44" t="n">
        <x:v>6.322</x:v>
      </x:c>
      <x:c r="AH37" s="44" t="n">
        <x:v>4.245</x:v>
      </x:c>
      <x:c r="AI37" s="44" t="n">
        <x:v>0.51</x:v>
      </x:c>
      <x:c r="AJ37" s="44" t="n">
        <x:v>-0.25</x:v>
      </x:c>
      <x:c r="AK37" s="44" t="n">
        <x:v>0.9</x:v>
      </x:c>
      <x:c r="AL37" s="44" t="n">
        <x:v>0.8</x:v>
      </x:c>
      <x:c r="AM37" s="44" t="n">
        <x:v>0.26</x:v>
      </x:c>
      <x:c r="AN37" s="44" t="n">
        <x:v>0.23</x:v>
      </x:c>
      <x:c r="AO37" s="44" t="n">
        <x:v>-1.2187999999999999</x:v>
      </x:c>
      <x:c r="AP37" s="44" t="n">
        <x:v>0.9653</x:v>
      </x:c>
      <x:c r="AQ37" s="44" t="n">
        <x:v>1.2187999999999999</x:v>
      </x:c>
      <x:c r="AR37" s="44" t="n">
        <x:v>1.2187999999999999</x:v>
      </x:c>
      <x:c r="AS37" s="44"/>
      <x:c r="AT37" s="44" t="n">
        <x:v>0.9653</x:v>
      </x:c>
      <x:c r="AU37" s="174" t="n">
        <x:v>32148</x:v>
      </x:c>
      <x:c r="AV37" s="43" t="str">
        <x:v>01:35.50</x:v>
      </x:c>
      <x:c r="AW37" s="43" t="str">
        <x:v>01:35.50-01:38.00</x:v>
      </x:c>
      <x:c r="AX37" s="43" t="str">
        <x:v>f_0098.jpg</x:v>
      </x:c>
      <x:c r="AY37" s="43" t="str">
        <x:v>1000025188.mp4</x:v>
      </x:c>
      <x:c r="AZ37" s="44" t="n">
        <x:v>0</x:v>
      </x:c>
      <x:c r="BA37" s="175" t="n">
        <x:v>60</x:v>
      </x:c>
    </x:row>
    <x:row r="38" ht="18" customHeight="1">
      <x:c r="A38" s="43" t="str">
        <x:v>K91</x:v>
      </x:c>
      <x:c r="B38" s="43" t="str">
        <x:v>Milhaus</x:v>
      </x:c>
      <x:c r="C38" s="43" t="n">
        <x:v>99000</x:v>
      </x:c>
      <x:c r="D38" s="44" t="n">
        <x:v>3.6721</x:v>
      </x:c>
      <x:c r="E38" s="44" t="n">
        <x:v>2.7110000000000003</x:v>
      </x:c>
      <x:c r="F38" s="44" t="n">
        <x:v>3.111</x:v>
      </x:c>
      <x:c r="G38" s="44" t="n">
        <x:v>0.4</x:v>
      </x:c>
      <x:c r="H38" s="44" t="n">
        <x:v>-0.39</x:v>
      </x:c>
      <x:c r="I38" s="44" t="n">
        <x:v>6</x:v>
      </x:c>
      <x:c r="J38" s="44" t="n">
        <x:v>2.7384</x:v>
      </x:c>
      <x:c r="K38" s="44" t="n">
        <x:v>9.602</x:v>
      </x:c>
      <x:c r="L38" s="44" t="n">
        <x:v>19.4054</x:v>
      </x:c>
      <x:c r="M38" s="44" t="n">
        <x:v>14.970699999999999</x:v>
      </x:c>
      <x:c r="N38" s="44" t="n">
        <x:v>1.365</x:v>
      </x:c>
      <x:c r="O38" s="44" t="n">
        <x:v>-1.4375</x:v>
      </x:c>
      <x:c r="P38" s="44" t="n">
        <x:v>2.26</x:v>
      </x:c>
      <x:c r="Q38" s="44" t="n">
        <x:v>5.66</x:v>
      </x:c>
      <x:c r="R38" s="44" t="n">
        <x:v>12.91</x:v>
      </x:c>
      <x:c r="S38" s="44" t="n">
        <x:v>11.305</x:v>
      </x:c>
      <x:c r="T38" s="44" t="n">
        <x:v>8.172</x:v>
      </x:c>
      <x:c r="U38" s="44" t="n">
        <x:v>1.4675</x:v>
      </x:c>
      <x:c r="V38" s="44" t="n">
        <x:v>-1.165</x:v>
      </x:c>
      <x:c r="W38" s="44" t="n">
        <x:v>1.47</x:v>
      </x:c>
      <x:c r="X38" s="44" t="n">
        <x:v>0.96</x:v>
      </x:c>
      <x:c r="Y38" s="44" t="n">
        <x:v>25.4755</x:v>
      </x:c>
      <x:c r="Z38" s="44" t="n">
        <x:v>19.597</x:v>
      </x:c>
      <x:c r="AA38" s="44" t="n">
        <x:v>11.5</x:v>
      </x:c>
      <x:c r="AB38" s="44" t="n">
        <x:v>1.605</x:v>
      </x:c>
      <x:c r="AC38" s="44" t="n">
        <x:v>-1.4875</x:v>
      </x:c>
      <x:c r="AD38" s="44" t="n">
        <x:v>5.2</x:v>
      </x:c>
      <x:c r="AE38" s="44" t="n">
        <x:v>3.27</x:v>
      </x:c>
      <x:c r="AF38" s="44" t="n">
        <x:v>10.807</x:v>
      </x:c>
      <x:c r="AG38" s="44" t="n">
        <x:v>6.872000000000001</x:v>
      </x:c>
      <x:c r="AH38" s="44" t="n">
        <x:v>4.445</x:v>
      </x:c>
      <x:c r="AI38" s="44" t="n">
        <x:v>1.23</x:v>
      </x:c>
      <x:c r="AJ38" s="44" t="n">
        <x:v>-0.97</x:v>
      </x:c>
      <x:c r="AK38" s="44" t="n">
        <x:v>1.1</x:v>
      </x:c>
      <x:c r="AL38" s="44" t="n">
        <x:v>0.76</x:v>
      </x:c>
      <x:c r="AM38" s="44" t="n">
        <x:v>0.26</x:v>
      </x:c>
      <x:c r="AN38" s="44" t="n">
        <x:v>0.245</x:v>
      </x:c>
      <x:c r="AO38" s="44" t="n">
        <x:v>-1.2187999999999999</x:v>
      </x:c>
      <x:c r="AP38" s="44" t="n">
        <x:v>0.9653</x:v>
      </x:c>
      <x:c r="AQ38" s="44" t="n">
        <x:v>1.2187999999999999</x:v>
      </x:c>
      <x:c r="AR38" s="44" t="n">
        <x:v>1.2187999999999999</x:v>
      </x:c>
      <x:c r="AS38" s="44"/>
      <x:c r="AT38" s="44" t="n">
        <x:v>0.9653</x:v>
      </x:c>
      <x:c r="AU38" s="174" t="n">
        <x:v>32148</x:v>
      </x:c>
      <x:c r="AV38" s="43" t="str">
        <x:v>01:44.50</x:v>
      </x:c>
      <x:c r="AW38" s="43" t="str">
        <x:v>01:44.50-01:47.00</x:v>
      </x:c>
      <x:c r="AX38" s="43" t="str">
        <x:v>f_0107.jpg</x:v>
      </x:c>
      <x:c r="AY38" s="43" t="str">
        <x:v>1000025188.mp4</x:v>
      </x:c>
      <x:c r="AZ38" s="44" t="n">
        <x:v>0</x:v>
      </x:c>
      <x:c r="BA38" s="175" t="n">
        <x:v>60</x:v>
      </x:c>
    </x:row>
    <x:row r="39" ht="18" customHeight="1">
      <x:c r="A39" s="43" t="str">
        <x:v>K91</x:v>
      </x:c>
      <x:c r="B39" s="43" t="str">
        <x:v>金灵蛇</x:v>
      </x:c>
      <x:c r="C39" s="43" t="n">
        <x:v>78004</x:v>
      </x:c>
      <x:c r="D39" s="44" t="n">
        <x:v>3.4720999999999997</x:v>
      </x:c>
      <x:c r="E39" s="44" t="n">
        <x:v>2.306</x:v>
      </x:c>
      <x:c r="F39" s="44" t="n">
        <x:v>2.6460000000000004</x:v>
      </x:c>
      <x:c r="G39" s="44" t="n">
        <x:v>0.415</x:v>
      </x:c>
      <x:c r="H39" s="44" t="n">
        <x:v>-0.415</x:v>
      </x:c>
      <x:c r="I39" s="44" t="n">
        <x:v>6</x:v>
      </x:c>
      <x:c r="J39" s="44" t="n">
        <x:v>1.3718000000000001</x:v>
      </x:c>
      <x:c r="K39" s="44" t="n">
        <x:v>8.082</x:v>
      </x:c>
      <x:c r="L39" s="44" t="n">
        <x:v>17.290399999999998</x:v>
      </x:c>
      <x:c r="M39" s="44" t="n">
        <x:v>11.3157</x:v>
      </x:c>
      <x:c r="N39" s="44" t="n">
        <x:v>0.89</x:v>
      </x:c>
      <x:c r="O39" s="44" t="n">
        <x:v>-1.04</x:v>
      </x:c>
      <x:c r="P39" s="44" t="n">
        <x:v>0.81</x:v>
      </x:c>
      <x:c r="Q39" s="44" t="n">
        <x:v>2.49</x:v>
      </x:c>
      <x:c r="R39" s="44" t="n">
        <x:v>11.41</x:v>
      </x:c>
      <x:c r="S39" s="44" t="n">
        <x:v>9.38</x:v>
      </x:c>
      <x:c r="T39" s="44" t="n">
        <x:v>5.687</x:v>
      </x:c>
      <x:c r="U39" s="44" t="n">
        <x:v>1.425</x:v>
      </x:c>
      <x:c r="V39" s="44" t="n">
        <x:v>-1.245</x:v>
      </x:c>
      <x:c r="W39" s="44" t="n">
        <x:v>1.25</x:v>
      </x:c>
      <x:c r="X39" s="44" t="n">
        <x:v>0.62</x:v>
      </x:c>
      <x:c r="Y39" s="44" t="n">
        <x:v>24.4555</x:v>
      </x:c>
      <x:c r="Z39" s="44" t="n">
        <x:v>17.997</x:v>
      </x:c>
      <x:c r="AA39" s="44" t="n">
        <x:v>8.83</x:v>
      </x:c>
      <x:c r="AB39" s="44" t="n">
        <x:v>1.61</x:v>
      </x:c>
      <x:c r="AC39" s="44" t="n">
        <x:v>-1.305</x:v>
      </x:c>
      <x:c r="AD39" s="44" t="n">
        <x:v>4.26</x:v>
      </x:c>
      <x:c r="AE39" s="44" t="n">
        <x:v>2.08</x:v>
      </x:c>
      <x:c r="AF39" s="44" t="n">
        <x:v>10.357000000000001</x:v>
      </x:c>
      <x:c r="AG39" s="44" t="n">
        <x:v>5.682</x:v>
      </x:c>
      <x:c r="AH39" s="44" t="n">
        <x:v>3.355</x:v>
      </x:c>
      <x:c r="AI39" s="44" t="n">
        <x:v>0.47</x:v>
      </x:c>
      <x:c r="AJ39" s="44" t="n">
        <x:v>-0.25</x:v>
      </x:c>
      <x:c r="AK39" s="44" t="n">
        <x:v>0.76</x:v>
      </x:c>
      <x:c r="AL39" s="44" t="n">
        <x:v>0.58</x:v>
      </x:c>
      <x:c r="AM39" s="44" t="n">
        <x:v>0.26</x:v>
      </x:c>
      <x:c r="AN39" s="44" t="n">
        <x:v>0.24</x:v>
      </x:c>
      <x:c r="AO39" s="44" t="n">
        <x:v>-1.2187999999999999</x:v>
      </x:c>
      <x:c r="AP39" s="44" t="n">
        <x:v>0.9653</x:v>
      </x:c>
      <x:c r="AQ39" s="44" t="n">
        <x:v>1.2187999999999999</x:v>
      </x:c>
      <x:c r="AR39" s="44" t="n">
        <x:v>1.2187999999999999</x:v>
      </x:c>
      <x:c r="AS39" s="44"/>
      <x:c r="AT39" s="44" t="n">
        <x:v>0.9653</x:v>
      </x:c>
      <x:c r="AU39" s="174" t="n">
        <x:v>32148</x:v>
      </x:c>
      <x:c r="AV39" s="43" t="str">
        <x:v>01:55.25</x:v>
      </x:c>
      <x:c r="AW39" s="43" t="str">
        <x:v>01:55.25-01:57.50</x:v>
      </x:c>
      <x:c r="AX39" s="43" t="str">
        <x:v>f_0117.jpg</x:v>
      </x:c>
      <x:c r="AY39" s="43" t="str">
        <x:v>1000025188.mp4</x:v>
      </x:c>
      <x:c r="AZ39" s="44" t="n">
        <x:v>0</x:v>
      </x:c>
      <x:c r="BA39" s="175" t="n">
        <x:v>60</x:v>
      </x:c>
    </x:row>
    <x:row r="40" ht="18" customHeight="1">
      <x:c r="A40" s="43" t="str">
        <x:v>K91</x:v>
      </x:c>
      <x:c r="B40" s="43" t="str">
        <x:v>Nico•</x:v>
      </x:c>
      <x:c r="C40" s="43" t="n">
        <x:v>60000</x:v>
      </x:c>
      <x:c r="D40" s="44" t="n">
        <x:v>2.6211</x:v>
      </x:c>
      <x:c r="E40" s="44" t="n">
        <x:v>1.835</x:v>
      </x:c>
      <x:c r="F40" s="44" t="n">
        <x:v>2.29</x:v>
      </x:c>
      <x:c r="G40" s="44" t="n">
        <x:v>0.4</x:v>
      </x:c>
      <x:c r="H40" s="44" t="n">
        <x:v>-0.39</x:v>
      </x:c>
      <x:c r="I40" s="44" t="n">
        <x:v>4.7578</x:v>
      </x:c>
      <x:c r="J40" s="44" t="n">
        <x:v>0.0178</x:v>
      </x:c>
      <x:c r="K40" s="44" t="n">
        <x:v>7.607</x:v>
      </x:c>
      <x:c r="L40" s="44" t="n">
        <x:v>14.1754</x:v>
      </x:c>
      <x:c r="M40" s="44" t="n">
        <x:v>9.5707</x:v>
      </x:c>
      <x:c r="N40" s="44" t="n">
        <x:v>0.47</x:v>
      </x:c>
      <x:c r="O40" s="44" t="n">
        <x:v>-0.5475</x:v>
      </x:c>
      <x:c r="P40" s="44" t="n">
        <x:v>0.61</x:v>
      </x:c>
      <x:c r="Q40" s="44" t="n">
        <x:v>3.03</x:v>
      </x:c>
      <x:c r="R40" s="44" t="n">
        <x:v>12.005</x:v>
      </x:c>
      <x:c r="S40" s="44" t="n">
        <x:v>9.62</x:v>
      </x:c>
      <x:c r="T40" s="44" t="n">
        <x:v>6.847</x:v>
      </x:c>
      <x:c r="U40" s="44" t="n">
        <x:v>1.3825</x:v>
      </x:c>
      <x:c r="V40" s="44" t="n">
        <x:v>-1.2075</x:v>
      </x:c>
      <x:c r="W40" s="44" t="n">
        <x:v>2.94</x:v>
      </x:c>
      <x:c r="X40" s="44" t="n">
        <x:v>1.5</x:v>
      </x:c>
      <x:c r="Y40" s="44" t="n">
        <x:v>21.9555</x:v>
      </x:c>
      <x:c r="Z40" s="44" t="n">
        <x:v>16.327</x:v>
      </x:c>
      <x:c r="AA40" s="44" t="n">
        <x:v>8.35</x:v>
      </x:c>
      <x:c r="AB40" s="44" t="n">
        <x:v>1.47</x:v>
      </x:c>
      <x:c r="AC40" s="44" t="n">
        <x:v>-1.3475</x:v>
      </x:c>
      <x:c r="AD40" s="44" t="n">
        <x:v>3.41</x:v>
      </x:c>
      <x:c r="AE40" s="44" t="n">
        <x:v>2.04</x:v>
      </x:c>
      <x:c r="AF40" s="44" t="n">
        <x:v>9.327</x:v>
      </x:c>
      <x:c r="AG40" s="44" t="n">
        <x:v>6.2620000000000005</x:v>
      </x:c>
      <x:c r="AH40" s="44" t="n">
        <x:v>3.485</x:v>
      </x:c>
      <x:c r="AI40" s="44" t="n">
        <x:v>0.35</x:v>
      </x:c>
      <x:c r="AJ40" s="44" t="n">
        <x:v>-0.21</x:v>
      </x:c>
      <x:c r="AK40" s="44" t="n">
        <x:v>0.84</x:v>
      </x:c>
      <x:c r="AL40" s="44" t="n">
        <x:v>0.49</x:v>
      </x:c>
      <x:c r="AM40" s="44" t="n">
        <x:v>0.26</x:v>
      </x:c>
      <x:c r="AN40" s="44" t="n">
        <x:v>0.2</x:v>
      </x:c>
      <x:c r="AO40" s="44" t="n">
        <x:v>-1.2187999999999999</x:v>
      </x:c>
      <x:c r="AP40" s="44" t="n">
        <x:v>0.9653</x:v>
      </x:c>
      <x:c r="AQ40" s="44" t="n">
        <x:v>1.2187999999999999</x:v>
      </x:c>
      <x:c r="AR40" s="44" t="n">
        <x:v>1.2187999999999999</x:v>
      </x:c>
      <x:c r="AS40" s="44"/>
      <x:c r="AT40" s="44" t="n">
        <x:v>0.9653</x:v>
      </x:c>
      <x:c r="AU40" s="174" t="n">
        <x:v>32148</x:v>
      </x:c>
      <x:c r="AV40" s="43" t="str">
        <x:v>02:06.50</x:v>
      </x:c>
      <x:c r="AW40" s="43" t="str">
        <x:v>02:06.50-02:08.25</x:v>
      </x:c>
      <x:c r="AX40" s="43" t="str">
        <x:v>f_0128.jpg</x:v>
      </x:c>
      <x:c r="AY40" s="43" t="str">
        <x:v>1000025188.mp4</x:v>
      </x:c>
      <x:c r="AZ40" s="44" t="n">
        <x:v>0</x:v>
      </x:c>
      <x:c r="BA40" s="175" t="n">
        <x:v>60</x:v>
      </x:c>
    </x:row>
    <x:row r="41" ht="18" customHeight="1">
      <x:c r="A41" s="43" t="str">
        <x:v>K91</x:v>
      </x:c>
      <x:c r="B41" s="43" t="str">
        <x:v>†LORD•ZARIEL†</x:v>
      </x:c>
      <x:c r="C41" s="43" t="n">
        <x:v>60000</x:v>
      </x:c>
      <x:c r="D41" s="44" t="n">
        <x:v>3.0871</x:v>
      </x:c>
      <x:c r="E41" s="44" t="n">
        <x:v>2.3209999999999997</x:v>
      </x:c>
      <x:c r="F41" s="44" t="n">
        <x:v>2.6660000000000004</x:v>
      </x:c>
      <x:c r="G41" s="44" t="n">
        <x:v>0.415</x:v>
      </x:c>
      <x:c r="H41" s="44" t="n">
        <x:v>-0.4</x:v>
      </x:c>
      <x:c r="I41" s="44" t="n">
        <x:v>4.2498000000000005</x:v>
      </x:c>
      <x:c r="J41" s="44" t="n">
        <x:v>0.0398</x:v>
      </x:c>
      <x:c r="K41" s="44" t="n">
        <x:v>6.7170000000000005</x:v>
      </x:c>
      <x:c r="L41" s="44" t="n">
        <x:v>14.9154</x:v>
      </x:c>
      <x:c r="M41" s="44" t="n">
        <x:v>9.950700000000001</x:v>
      </x:c>
      <x:c r="N41" s="44" t="n">
        <x:v>0.33</x:v>
      </x:c>
      <x:c r="O41" s="44" t="n">
        <x:v>-0.5825</x:v>
      </x:c>
      <x:c r="P41" s="44" t="n">
        <x:v>1.06</x:v>
      </x:c>
      <x:c r="Q41" s="44" t="n">
        <x:v>1.87</x:v>
      </x:c>
      <x:c r="R41" s="44" t="n">
        <x:v>11.555</x:v>
      </x:c>
      <x:c r="S41" s="44" t="n">
        <x:v>10.32</x:v>
      </x:c>
      <x:c r="T41" s="44" t="n">
        <x:v>6.697</x:v>
      </x:c>
      <x:c r="U41" s="44" t="n">
        <x:v>1.4075</x:v>
      </x:c>
      <x:c r="V41" s="44" t="n">
        <x:v>-1.285</x:v>
      </x:c>
      <x:c r="W41" s="44" t="n">
        <x:v>1.34</x:v>
      </x:c>
      <x:c r="X41" s="44" t="n">
        <x:v>1.06</x:v>
      </x:c>
      <x:c r="Y41" s="44" t="n">
        <x:v>22.6655</x:v>
      </x:c>
      <x:c r="Z41" s="44" t="n">
        <x:v>17.107</x:v>
      </x:c>
      <x:c r="AA41" s="44" t="n">
        <x:v>7.9</x:v>
      </x:c>
      <x:c r="AB41" s="44" t="n">
        <x:v>1.4675</x:v>
      </x:c>
      <x:c r="AC41" s="44" t="n">
        <x:v>-1.3675</x:v>
      </x:c>
      <x:c r="AD41" s="44" t="n">
        <x:v>3.1</x:v>
      </x:c>
      <x:c r="AE41" s="44" t="n">
        <x:v>2.28</x:v>
      </x:c>
      <x:c r="AF41" s="44" t="n">
        <x:v>9.642000000000001</x:v>
      </x:c>
      <x:c r="AG41" s="44" t="n">
        <x:v>5.382000000000001</x:v>
      </x:c>
      <x:c r="AH41" s="44" t="n">
        <x:v>2.975</x:v>
      </x:c>
      <x:c r="AI41" s="44" t="n">
        <x:v>0.51</x:v>
      </x:c>
      <x:c r="AJ41" s="44" t="n">
        <x:v>-0.25</x:v>
      </x:c>
      <x:c r="AK41" s="44" t="n">
        <x:v>0.72</x:v>
      </x:c>
      <x:c r="AL41" s="44" t="n">
        <x:v>0.61</x:v>
      </x:c>
      <x:c r="AM41" s="44" t="n">
        <x:v>0.26</x:v>
      </x:c>
      <x:c r="AN41" s="44" t="n">
        <x:v>0.22</x:v>
      </x:c>
      <x:c r="AO41" s="44" t="n">
        <x:v>-1.2187999999999999</x:v>
      </x:c>
      <x:c r="AP41" s="44" t="n">
        <x:v>0.9653</x:v>
      </x:c>
      <x:c r="AQ41" s="44" t="n">
        <x:v>1.2187999999999999</x:v>
      </x:c>
      <x:c r="AR41" s="44" t="n">
        <x:v>1.2187999999999999</x:v>
      </x:c>
      <x:c r="AS41" s="44"/>
      <x:c r="AT41" s="44" t="n">
        <x:v>0.9653</x:v>
      </x:c>
      <x:c r="AU41" s="174" t="n">
        <x:v>32148</x:v>
      </x:c>
      <x:c r="AV41" s="43" t="str">
        <x:v>02:13.25</x:v>
      </x:c>
      <x:c r="AW41" s="43" t="str">
        <x:v>02:13.25-02:15.25</x:v>
      </x:c>
      <x:c r="AX41" s="43" t="str">
        <x:v>f_0135.jpg</x:v>
      </x:c>
      <x:c r="AY41" s="43" t="str">
        <x:v>1000025188.mp4</x:v>
      </x:c>
      <x:c r="AZ41" s="44" t="n">
        <x:v>0</x:v>
      </x:c>
      <x:c r="BA41" s="175" t="n">
        <x:v>60</x:v>
      </x:c>
    </x:row>
    <x:row r="42" ht="18" customHeight="1">
      <x:c r="A42" s="43" t="str">
        <x:v>K91</x:v>
      </x:c>
      <x:c r="B42" s="43" t="str">
        <x:v>TÜRK 81</x:v>
      </x:c>
      <x:c r="C42" s="43" t="n">
        <x:v>100100</x:v>
      </x:c>
      <x:c r="D42" s="44" t="n">
        <x:v>3.5921</x:v>
      </x:c>
      <x:c r="E42" s="44" t="n">
        <x:v>2.456</x:v>
      </x:c>
      <x:c r="F42" s="44" t="n">
        <x:v>2.7060000000000004</x:v>
      </x:c>
      <x:c r="G42" s="44" t="n">
        <x:v>0.415</x:v>
      </x:c>
      <x:c r="H42" s="44" t="n">
        <x:v>-0.415</x:v>
      </x:c>
      <x:c r="I42" s="44" t="n">
        <x:v>6.01</x:v>
      </x:c>
      <x:c r="J42" s="44" t="n">
        <x:v>1.5031999999999999</x:v>
      </x:c>
      <x:c r="K42" s="44" t="n">
        <x:v>8.842</x:v>
      </x:c>
      <x:c r="L42" s="44" t="n">
        <x:v>17.2454</x:v>
      </x:c>
      <x:c r="M42" s="44" t="n">
        <x:v>11.6807</x:v>
      </x:c>
      <x:c r="N42" s="44" t="n">
        <x:v>0.5525</x:v>
      </x:c>
      <x:c r="O42" s="44" t="n">
        <x:v>-0.67</x:v>
      </x:c>
      <x:c r="P42" s="44" t="n">
        <x:v>1.36</x:v>
      </x:c>
      <x:c r="Q42" s="44" t="n">
        <x:v>2.81</x:v>
      </x:c>
      <x:c r="R42" s="44" t="n">
        <x:v>12.01</x:v>
      </x:c>
      <x:c r="S42" s="44" t="n">
        <x:v>10.3</x:v>
      </x:c>
      <x:c r="T42" s="44" t="n">
        <x:v>7.067</x:v>
      </x:c>
      <x:c r="U42" s="44" t="n">
        <x:v>1.4825</x:v>
      </x:c>
      <x:c r="V42" s="44" t="n">
        <x:v>-1.3675</x:v>
      </x:c>
      <x:c r="W42" s="44" t="n">
        <x:v>1.48</x:v>
      </x:c>
      <x:c r="X42" s="44" t="n">
        <x:v>0.6</x:v>
      </x:c>
      <x:c r="Y42" s="44" t="n">
        <x:v>26.0755</x:v>
      </x:c>
      <x:c r="Z42" s="44" t="n">
        <x:v>19.077</x:v>
      </x:c>
      <x:c r="AA42" s="44" t="n">
        <x:v>10.29</x:v>
      </x:c>
      <x:c r="AB42" s="44" t="n">
        <x:v>1.69</x:v>
      </x:c>
      <x:c r="AC42" s="44" t="n">
        <x:v>-1.4475</x:v>
      </x:c>
      <x:c r="AD42" s="44" t="n">
        <x:v>5.09</x:v>
      </x:c>
      <x:c r="AE42" s="44" t="n">
        <x:v>3.17</x:v>
      </x:c>
      <x:c r="AF42" s="44" t="n">
        <x:v>10.597000000000001</x:v>
      </x:c>
      <x:c r="AG42" s="44" t="n">
        <x:v>6.362</x:v>
      </x:c>
      <x:c r="AH42" s="44" t="n">
        <x:v>3.975</x:v>
      </x:c>
      <x:c r="AI42" s="44" t="n">
        <x:v>0.545</x:v>
      </x:c>
      <x:c r="AJ42" s="44" t="n">
        <x:v>-0.41</x:v>
      </x:c>
      <x:c r="AK42" s="44" t="n">
        <x:v>0.73</x:v>
      </x:c>
      <x:c r="AL42" s="44" t="n">
        <x:v>0.58</x:v>
      </x:c>
      <x:c r="AM42" s="44" t="n">
        <x:v>0.26</x:v>
      </x:c>
      <x:c r="AN42" s="44" t="n">
        <x:v>0.235</x:v>
      </x:c>
      <x:c r="AO42" s="44" t="n">
        <x:v>-1.2187999999999999</x:v>
      </x:c>
      <x:c r="AP42" s="44" t="n">
        <x:v>0.9653</x:v>
      </x:c>
      <x:c r="AQ42" s="44" t="n">
        <x:v>1.2187999999999999</x:v>
      </x:c>
      <x:c r="AR42" s="44" t="n">
        <x:v>1.2187999999999999</x:v>
      </x:c>
      <x:c r="AS42" s="44"/>
      <x:c r="AT42" s="44" t="n">
        <x:v>0.9653</x:v>
      </x:c>
      <x:c r="AU42" s="174" t="n">
        <x:v>32148</x:v>
      </x:c>
      <x:c r="AV42" s="43" t="str">
        <x:v>02:23.25</x:v>
      </x:c>
      <x:c r="AW42" s="43" t="str">
        <x:v>02:23.25-02:24.75</x:v>
      </x:c>
      <x:c r="AX42" s="43" t="str">
        <x:v>f_0145.jpg</x:v>
      </x:c>
      <x:c r="AY42" s="43" t="str">
        <x:v>1000025188.mp4</x:v>
      </x:c>
      <x:c r="AZ42" s="44" t="n">
        <x:v>0</x:v>
      </x:c>
      <x:c r="BA42" s="175" t="n">
        <x:v>60</x:v>
      </x:c>
    </x:row>
    <x:row r="43" ht="18" customHeight="1">
      <x:c r="A43" s="43" t="str">
        <x:v>K91</x:v>
      </x:c>
      <x:c r="B43" s="43" t="str">
        <x:v>A†RO/</x:v>
      </x:c>
      <x:c r="C43" s="43" t="n">
        <x:v>78000</x:v>
      </x:c>
      <x:c r="D43" s="44" t="n">
        <x:v>3.0671</x:v>
      </x:c>
      <x:c r="E43" s="44" t="n">
        <x:v>2.4859999999999998</x:v>
      </x:c>
      <x:c r="F43" s="44" t="n">
        <x:v>2.4459999999999997</x:v>
      </x:c>
      <x:c r="G43" s="44" t="n">
        <x:v>0.4</x:v>
      </x:c>
      <x:c r="H43" s="44" t="n">
        <x:v>-0.415</x:v>
      </x:c>
      <x:c r="I43" s="44" t="n">
        <x:v>4.4428</x:v>
      </x:c>
      <x:c r="J43" s="44" t="n">
        <x:v>0</x:v>
      </x:c>
      <x:c r="K43" s="44" t="n">
        <x:v>7.862</x:v>
      </x:c>
      <x:c r="L43" s="44" t="n">
        <x:v>15.4354</x:v>
      </x:c>
      <x:c r="M43" s="44" t="n">
        <x:v>11.0307</x:v>
      </x:c>
      <x:c r="N43" s="44" t="n">
        <x:v>0.5525</x:v>
      </x:c>
      <x:c r="O43" s="44" t="n">
        <x:v>-0.6</x:v>
      </x:c>
      <x:c r="P43" s="44" t="n">
        <x:v>1.46</x:v>
      </x:c>
      <x:c r="Q43" s="44" t="n">
        <x:v>1.82</x:v>
      </x:c>
      <x:c r="R43" s="44" t="n">
        <x:v>10.73</x:v>
      </x:c>
      <x:c r="S43" s="44" t="n">
        <x:v>9.46</x:v>
      </x:c>
      <x:c r="T43" s="44" t="n">
        <x:v>5.787000000000001</x:v>
      </x:c>
      <x:c r="U43" s="44" t="n">
        <x:v>1.355</x:v>
      </x:c>
      <x:c r="V43" s="44" t="n">
        <x:v>-1.245</x:v>
      </x:c>
      <x:c r="W43" s="44" t="n">
        <x:v>1.11</x:v>
      </x:c>
      <x:c r="X43" s="44" t="n">
        <x:v>0.77</x:v>
      </x:c>
      <x:c r="Y43" s="44" t="n">
        <x:v>23.425500000000003</x:v>
      </x:c>
      <x:c r="Z43" s="44" t="n">
        <x:v>17.667</x:v>
      </x:c>
      <x:c r="AA43" s="44" t="n">
        <x:v>9.22</x:v>
      </x:c>
      <x:c r="AB43" s="44" t="n">
        <x:v>1.56</x:v>
      </x:c>
      <x:c r="AC43" s="44" t="n">
        <x:v>-1.4075</x:v>
      </x:c>
      <x:c r="AD43" s="44" t="n">
        <x:v>3.45</x:v>
      </x:c>
      <x:c r="AE43" s="44" t="n">
        <x:v>2.66</x:v>
      </x:c>
      <x:c r="AF43" s="44" t="n">
        <x:v>10.267000000000001</x:v>
      </x:c>
      <x:c r="AG43" s="44" t="n">
        <x:v>5.702000000000001</x:v>
      </x:c>
      <x:c r="AH43" s="44" t="n">
        <x:v>3.255</x:v>
      </x:c>
      <x:c r="AI43" s="44" t="n">
        <x:v>0.46</x:v>
      </x:c>
      <x:c r="AJ43" s="44" t="n">
        <x:v>-0.25</x:v>
      </x:c>
      <x:c r="AK43" s="44" t="n">
        <x:v>0.76</x:v>
      </x:c>
      <x:c r="AL43" s="44" t="n">
        <x:v>0.62</x:v>
      </x:c>
      <x:c r="AM43" s="44" t="n">
        <x:v>0.26</x:v>
      </x:c>
      <x:c r="AN43" s="44" t="n">
        <x:v>0.215</x:v>
      </x:c>
      <x:c r="AO43" s="44" t="n">
        <x:v>-1.2187999999999999</x:v>
      </x:c>
      <x:c r="AP43" s="44" t="n">
        <x:v>0.9653</x:v>
      </x:c>
      <x:c r="AQ43" s="44" t="n">
        <x:v>1.2187999999999999</x:v>
      </x:c>
      <x:c r="AR43" s="44" t="n">
        <x:v>1.2187999999999999</x:v>
      </x:c>
      <x:c r="AS43" s="44"/>
      <x:c r="AT43" s="44" t="n">
        <x:v>0.9653</x:v>
      </x:c>
      <x:c r="AU43" s="174" t="n">
        <x:v>32148</x:v>
      </x:c>
      <x:c r="AV43" s="43" t="str">
        <x:v>02:33.75</x:v>
      </x:c>
      <x:c r="AW43" s="43" t="str">
        <x:v>02:33.75-02:35.75</x:v>
      </x:c>
      <x:c r="AX43" s="43" t="str">
        <x:v>f_0156.jpg</x:v>
      </x:c>
      <x:c r="AY43" s="43" t="str">
        <x:v>1000025188.mp4</x:v>
      </x:c>
      <x:c r="AZ43" s="44" t="n">
        <x:v>0</x:v>
      </x:c>
      <x:c r="BA43" s="175" t="n">
        <x:v>60</x:v>
      </x:c>
    </x:row>
    <x:row r="44" ht="18" customHeight="1">
      <x:c r="A44" s="43" t="str">
        <x:v>K91</x:v>
      </x:c>
      <x:c r="B44" s="43" t="str">
        <x:v>Skrapz</x:v>
      </x:c>
      <x:c r="C44" s="43" t="n">
        <x:v>171000</x:v>
      </x:c>
      <x:c r="D44" s="44" t="n">
        <x:v>3.7285000000000004</x:v>
      </x:c>
      <x:c r="E44" s="44" t="n">
        <x:v>3.1285000000000003</x:v>
      </x:c>
      <x:c r="F44" s="44" t="n">
        <x:v>3.6785</x:v>
      </x:c>
      <x:c r="G44" s="44" t="n">
        <x:v>0.4375</x:v>
      </x:c>
      <x:c r="H44" s="44" t="n">
        <x:v>-0.4375</x:v>
      </x:c>
      <x:c r="I44" s="44" t="n">
        <x:v>6</x:v>
      </x:c>
      <x:c r="J44" s="44" t="n">
        <x:v>4.1708</x:v>
      </x:c>
      <x:c r="K44" s="44" t="n">
        <x:v>16.635</x:v>
      </x:c>
      <x:c r="L44" s="44" t="n">
        <x:v>22.1792</x:v>
      </x:c>
      <x:c r="M44" s="44" t="n">
        <x:v>14.0207</x:v>
      </x:c>
      <x:c r="N44" s="44" t="n">
        <x:v>1.4475</x:v>
      </x:c>
      <x:c r="O44" s="44" t="n">
        <x:v>-1.95</x:v>
      </x:c>
      <x:c r="P44" s="44" t="n">
        <x:v>4.34</x:v>
      </x:c>
      <x:c r="Q44" s="44" t="n">
        <x:v>7</x:v>
      </x:c>
      <x:c r="R44" s="44" t="n">
        <x:v>23.537</x:v>
      </x:c>
      <x:c r="S44" s="44" t="n">
        <x:v>14.7</x:v>
      </x:c>
      <x:c r="T44" s="44" t="n">
        <x:v>13.157</x:v>
      </x:c>
      <x:c r="U44" s="44" t="n">
        <x:v>1.695</x:v>
      </x:c>
      <x:c r="V44" s="44" t="n">
        <x:v>-1.75</x:v>
      </x:c>
      <x:c r="W44" s="44" t="n">
        <x:v>7</x:v>
      </x:c>
      <x:c r="X44" s="44" t="n">
        <x:v>5.34</x:v>
      </x:c>
      <x:c r="Y44" s="44" t="n">
        <x:v>20.925</x:v>
      </x:c>
      <x:c r="Z44" s="44" t="n">
        <x:v>14.38</x:v>
      </x:c>
      <x:c r="AA44" s="44" t="n">
        <x:v>10.28</x:v>
      </x:c>
      <x:c r="AB44" s="44" t="n">
        <x:v>1.695</x:v>
      </x:c>
      <x:c r="AC44" s="44" t="n">
        <x:v>-1.6675</x:v>
      </x:c>
      <x:c r="AD44" s="44" t="n">
        <x:v>7</x:v>
      </x:c>
      <x:c r="AE44" s="44" t="n">
        <x:v>4.97</x:v>
      </x:c>
      <x:c r="AF44" s="44" t="n">
        <x:v>17.813499999999998</x:v>
      </x:c>
      <x:c r="AG44" s="44" t="n">
        <x:v>10.285</x:v>
      </x:c>
      <x:c r="AH44" s="44" t="n">
        <x:v>13.705</x:v>
      </x:c>
      <x:c r="AI44" s="44" t="n">
        <x:v>1.6575</x:v>
      </x:c>
      <x:c r="AJ44" s="44" t="n">
        <x:v>-1.6675</x:v>
      </x:c>
      <x:c r="AK44" s="44" t="n">
        <x:v>6.49</x:v>
      </x:c>
      <x:c r="AL44" s="44" t="n">
        <x:v>3.34</x:v>
      </x:c>
      <x:c r="AM44" s="44" t="n">
        <x:v>0.26</x:v>
      </x:c>
      <x:c r="AN44" s="44" t="n">
        <x:v>0.25</x:v>
      </x:c>
      <x:c r="AO44" s="44" t="n">
        <x:v>-1.2187999999999999</x:v>
      </x:c>
      <x:c r="AP44" s="44" t="n">
        <x:v>0.9653</x:v>
      </x:c>
      <x:c r="AQ44" s="44" t="n">
        <x:v>1.2187999999999999</x:v>
      </x:c>
      <x:c r="AR44" s="44" t="n">
        <x:v>1.2187999999999999</x:v>
      </x:c>
      <x:c r="AS44" s="44"/>
      <x:c r="AT44" s="44" t="n">
        <x:v>0.9653</x:v>
      </x:c>
      <x:c r="AU44" s="174" t="n">
        <x:v>32148</x:v>
      </x:c>
      <x:c r="AV44" s="43" t="str">
        <x:v>02:44.75</x:v>
      </x:c>
      <x:c r="AW44" s="43" t="str">
        <x:v>02:44.75-02:48.00</x:v>
      </x:c>
      <x:c r="AX44" s="43" t="str">
        <x:v>f_0168.jpg</x:v>
      </x:c>
      <x:c r="AY44" s="43" t="str">
        <x:v>1000025188.mp4</x:v>
      </x:c>
      <x:c r="AZ44" s="44" t="n">
        <x:v>0</x:v>
      </x:c>
      <x:c r="BA44" s="175" t="n">
        <x:v>60</x:v>
      </x:c>
    </x:row>
    <x:row r="45" ht="18" customHeight="1">
      <x:c r="A45" s="43" t="str">
        <x:v>K91</x:v>
      </x:c>
      <x:c r="B45" s="43" t="str">
        <x:v>JustBlaze</x:v>
      </x:c>
      <x:c r="C45" s="43" t="n">
        <x:v>115000</x:v>
      </x:c>
      <x:c r="D45" s="44" t="n">
        <x:v>3.411</x:v>
      </x:c>
      <x:c r="E45" s="44" t="n">
        <x:v>3.0660000000000003</x:v>
      </x:c>
      <x:c r="F45" s="44" t="n">
        <x:v>3.1910000000000003</x:v>
      </x:c>
      <x:c r="G45" s="44" t="n">
        <x:v>0.415</x:v>
      </x:c>
      <x:c r="H45" s="44" t="n">
        <x:v>-0.415</x:v>
      </x:c>
      <x:c r="I45" s="44" t="n">
        <x:v>4.416</x:v>
      </x:c>
      <x:c r="J45" s="44" t="n">
        <x:v>1.8928</x:v>
      </x:c>
      <x:c r="K45" s="44" t="n">
        <x:v>12.275</x:v>
      </x:c>
      <x:c r="L45" s="44" t="n">
        <x:v>19.0642</x:v>
      </x:c>
      <x:c r="M45" s="44" t="n">
        <x:v>12.185699999999999</x:v>
      </x:c>
      <x:c r="N45" s="44" t="n">
        <x:v>0.5525</x:v>
      </x:c>
      <x:c r="O45" s="44" t="n">
        <x:v>-0.67</x:v>
      </x:c>
      <x:c r="P45" s="44" t="n">
        <x:v>2.02</x:v>
      </x:c>
      <x:c r="Q45" s="44" t="n">
        <x:v>4.73</x:v>
      </x:c>
      <x:c r="R45" s="44" t="n">
        <x:v>21.136999999999997</x:v>
      </x:c>
      <x:c r="S45" s="44" t="n">
        <x:v>15.94</x:v>
      </x:c>
      <x:c r="T45" s="44" t="n">
        <x:v>15.427</x:v>
      </x:c>
      <x:c r="U45" s="44" t="n">
        <x:v>1.4825</x:v>
      </x:c>
      <x:c r="V45" s="44" t="n">
        <x:v>-1.3675</x:v>
      </x:c>
      <x:c r="W45" s="44" t="n">
        <x:v>4.22</x:v>
      </x:c>
      <x:c r="X45" s="44" t="n">
        <x:v>2.2</x:v>
      </x:c>
      <x:c r="Y45" s="44" t="n">
        <x:v>16.815</x:v>
      </x:c>
      <x:c r="Z45" s="44" t="n">
        <x:v>11.14</x:v>
      </x:c>
      <x:c r="AA45" s="44" t="n">
        <x:v>8.2</x:v>
      </x:c>
      <x:c r="AB45" s="44" t="n">
        <x:v>1.69</x:v>
      </x:c>
      <x:c r="AC45" s="44" t="n">
        <x:v>-1.4475</x:v>
      </x:c>
      <x:c r="AD45" s="44" t="n">
        <x:v>5.93</x:v>
      </x:c>
      <x:c r="AE45" s="44" t="n">
        <x:v>3.64</x:v>
      </x:c>
      <x:c r="AF45" s="44" t="n">
        <x:v>13.9985</x:v>
      </x:c>
      <x:c r="AG45" s="44" t="n">
        <x:v>7.665</x:v>
      </x:c>
      <x:c r="AH45" s="44" t="n">
        <x:v>10.4</x:v>
      </x:c>
      <x:c r="AI45" s="44" t="n">
        <x:v>0.545</x:v>
      </x:c>
      <x:c r="AJ45" s="44" t="n">
        <x:v>-0.41</x:v>
      </x:c>
      <x:c r="AK45" s="44" t="n">
        <x:v>1.35</x:v>
      </x:c>
      <x:c r="AL45" s="44" t="n">
        <x:v>0.9</x:v>
      </x:c>
      <x:c r="AM45" s="44" t="n">
        <x:v>0.26</x:v>
      </x:c>
      <x:c r="AN45" s="44" t="n">
        <x:v>0.22</x:v>
      </x:c>
      <x:c r="AO45" s="44" t="n">
        <x:v>-1.2187999999999999</x:v>
      </x:c>
      <x:c r="AP45" s="44" t="n">
        <x:v>0.9653</x:v>
      </x:c>
      <x:c r="AQ45" s="44" t="n">
        <x:v>1.2187999999999999</x:v>
      </x:c>
      <x:c r="AR45" s="44" t="n">
        <x:v>1.2187999999999999</x:v>
      </x:c>
      <x:c r="AS45" s="44"/>
      <x:c r="AT45" s="44" t="n">
        <x:v>0.9653</x:v>
      </x:c>
      <x:c r="AU45" s="174" t="n">
        <x:v>32148</x:v>
      </x:c>
      <x:c r="AV45" s="43" t="str">
        <x:v>02:54.50</x:v>
      </x:c>
      <x:c r="AW45" s="43" t="str">
        <x:v>02:54.50-02:56.25</x:v>
      </x:c>
      <x:c r="AX45" s="43" t="str">
        <x:v>f_0176.jpg</x:v>
      </x:c>
      <x:c r="AY45" s="43" t="str">
        <x:v>1000025188.mp4</x:v>
      </x:c>
      <x:c r="AZ45" s="44" t="n">
        <x:v>0</x:v>
      </x:c>
      <x:c r="BA45" s="175" t="n">
        <x:v>60</x:v>
      </x:c>
    </x:row>
    <x:row r="46" ht="18" customHeight="1">
      <x:c r="A46" s="43" t="str">
        <x:v>K91</x:v>
      </x:c>
      <x:c r="B46" s="43" t="str">
        <x:v>KaladinTheHerald</x:v>
      </x:c>
      <x:c r="C46" s="43" t="n">
        <x:v>115000</x:v>
      </x:c>
      <x:c r="D46" s="44" t="n">
        <x:v>3.346</x:v>
      </x:c>
      <x:c r="E46" s="44" t="n">
        <x:v>2.7710000000000004</x:v>
      </x:c>
      <x:c r="F46" s="44" t="n">
        <x:v>3.3710000000000004</x:v>
      </x:c>
      <x:c r="G46" s="44" t="n">
        <x:v>0.415</x:v>
      </x:c>
      <x:c r="H46" s="44" t="n">
        <x:v>-0.475</x:v>
      </x:c>
      <x:c r="I46" s="44" t="n">
        <x:v>5.8848</x:v>
      </x:c>
      <x:c r="J46" s="44" t="n">
        <x:v>1.26</x:v>
      </x:c>
      <x:c r="K46" s="44" t="n">
        <x:v>14.025</x:v>
      </x:c>
      <x:c r="L46" s="44" t="n">
        <x:v>20.8292</x:v>
      </x:c>
      <x:c r="M46" s="44" t="n">
        <x:v>13.1707</x:v>
      </x:c>
      <x:c r="N46" s="44" t="n">
        <x:v>0.5525</x:v>
      </x:c>
      <x:c r="O46" s="44" t="n">
        <x:v>-0.945</x:v>
      </x:c>
      <x:c r="P46" s="44" t="n">
        <x:v>1.44</x:v>
      </x:c>
      <x:c r="Q46" s="44" t="n">
        <x:v>6.26</x:v>
      </x:c>
      <x:c r="R46" s="44" t="n">
        <x:v>23.866999999999997</x:v>
      </x:c>
      <x:c r="S46" s="44" t="n">
        <x:v>17.13</x:v>
      </x:c>
      <x:c r="T46" s="44" t="n">
        <x:v>15.627</x:v>
      </x:c>
      <x:c r="U46" s="44" t="n">
        <x:v>1.6525</x:v>
      </x:c>
      <x:c r="V46" s="44" t="n">
        <x:v>-1.76</x:v>
      </x:c>
      <x:c r="W46" s="44" t="n">
        <x:v>5.75</x:v>
      </x:c>
      <x:c r="X46" s="44" t="n">
        <x:v>3.58</x:v>
      </x:c>
      <x:c r="Y46" s="44" t="n">
        <x:v>16.375</x:v>
      </x:c>
      <x:c r="Z46" s="44" t="n">
        <x:v>11.22</x:v>
      </x:c>
      <x:c r="AA46" s="44" t="n">
        <x:v>7.11</x:v>
      </x:c>
      <x:c r="AB46" s="44" t="n">
        <x:v>1.6575</x:v>
      </x:c>
      <x:c r="AC46" s="44" t="n">
        <x:v>-1.4575</x:v>
      </x:c>
      <x:c r="AD46" s="44" t="n">
        <x:v>4.2</x:v>
      </x:c>
      <x:c r="AE46" s="44" t="n">
        <x:v>2.66</x:v>
      </x:c>
      <x:c r="AF46" s="44" t="n">
        <x:v>14.2485</x:v>
      </x:c>
      <x:c r="AG46" s="44" t="n">
        <x:v>7.365</x:v>
      </x:c>
      <x:c r="AH46" s="44" t="n">
        <x:v>8.4</x:v>
      </x:c>
      <x:c r="AI46" s="44" t="n">
        <x:v>0.7</x:v>
      </x:c>
      <x:c r="AJ46" s="44" t="n">
        <x:v>-0.73</x:v>
      </x:c>
      <x:c r="AK46" s="44" t="n">
        <x:v>1.71</x:v>
      </x:c>
      <x:c r="AL46" s="44" t="n">
        <x:v>0.69</x:v>
      </x:c>
      <x:c r="AM46" s="44" t="n">
        <x:v>0.26</x:v>
      </x:c>
      <x:c r="AN46" s="44" t="n">
        <x:v>0.24</x:v>
      </x:c>
      <x:c r="AO46" s="44" t="n">
        <x:v>-1.2187999999999999</x:v>
      </x:c>
      <x:c r="AP46" s="44" t="n">
        <x:v>0.9653</x:v>
      </x:c>
      <x:c r="AQ46" s="44" t="n">
        <x:v>1.2187999999999999</x:v>
      </x:c>
      <x:c r="AR46" s="44" t="n">
        <x:v>1.2187999999999999</x:v>
      </x:c>
      <x:c r="AS46" s="44"/>
      <x:c r="AT46" s="44" t="n">
        <x:v>0.9653</x:v>
      </x:c>
      <x:c r="AU46" s="174" t="n">
        <x:v>32148</x:v>
      </x:c>
      <x:c r="AV46" s="43" t="str">
        <x:v>03:03.25</x:v>
      </x:c>
      <x:c r="AW46" s="43" t="str">
        <x:v>03:03.25-03:06.00</x:v>
      </x:c>
      <x:c r="AX46" s="43" t="str">
        <x:v>f_0186.jpg</x:v>
      </x:c>
      <x:c r="AY46" s="43" t="str">
        <x:v>1000025188.mp4</x:v>
      </x:c>
      <x:c r="AZ46" s="44" t="n">
        <x:v>0</x:v>
      </x:c>
      <x:c r="BA46" s="175" t="n">
        <x:v>60</x:v>
      </x:c>
    </x:row>
    <x:row r="47" ht="18" customHeight="1">
      <x:c r="A47" s="43" t="str">
        <x:v>K91</x:v>
      </x:c>
      <x:c r="B47" s="43" t="str">
        <x:v>Crash</x:v>
      </x:c>
      <x:c r="C47" s="43" t="n">
        <x:v>86100</x:v>
      </x:c>
      <x:c r="D47" s="44" t="n">
        <x:v>2.8560000000000003</x:v>
      </x:c>
      <x:c r="E47" s="44" t="n">
        <x:v>2.471</x:v>
      </x:c>
      <x:c r="F47" s="44" t="n">
        <x:v>2.781</x:v>
      </x:c>
      <x:c r="G47" s="44" t="n">
        <x:v>0.4</x:v>
      </x:c>
      <x:c r="H47" s="44" t="n">
        <x:v>-0.39</x:v>
      </x:c>
      <x:c r="I47" s="44" t="n">
        <x:v>3.5868</x:v>
      </x:c>
      <x:c r="J47" s="44" t="n">
        <x:v>2.4252000000000002</x:v>
      </x:c>
      <x:c r="K47" s="44" t="n">
        <x:v>12.26</x:v>
      </x:c>
      <x:c r="L47" s="44" t="n">
        <x:v>16.1649</x:v>
      </x:c>
      <x:c r="M47" s="44" t="n">
        <x:v>7.3707</x:v>
      </x:c>
      <x:c r="N47" s="44" t="n">
        <x:v>0.5525</x:v>
      </x:c>
      <x:c r="O47" s="44" t="n">
        <x:v>-0.5625</x:v>
      </x:c>
      <x:c r="P47" s="44" t="n">
        <x:v>0.98</x:v>
      </x:c>
      <x:c r="Q47" s="44" t="n">
        <x:v>3.06</x:v>
      </x:c>
      <x:c r="R47" s="44" t="n">
        <x:v>20.737</x:v>
      </x:c>
      <x:c r="S47" s="44" t="n">
        <x:v>14.97</x:v>
      </x:c>
      <x:c r="T47" s="44" t="n">
        <x:v>14.487</x:v>
      </x:c>
      <x:c r="U47" s="44" t="n">
        <x:v>1.53</x:v>
      </x:c>
      <x:c r="V47" s="44" t="n">
        <x:v>-1.2875</x:v>
      </x:c>
      <x:c r="W47" s="44" t="n">
        <x:v>3.5</x:v>
      </x:c>
      <x:c r="X47" s="44" t="n">
        <x:v>2.4</x:v>
      </x:c>
      <x:c r="Y47" s="44" t="n">
        <x:v>14.155</x:v>
      </x:c>
      <x:c r="Z47" s="44" t="n">
        <x:v>9.92</x:v>
      </x:c>
      <x:c r="AA47" s="44" t="n">
        <x:v>6.31</x:v>
      </x:c>
      <x:c r="AB47" s="44" t="n">
        <x:v>0.5625</x:v>
      </x:c>
      <x:c r="AC47" s="44" t="n">
        <x:v>-0.5725</x:v>
      </x:c>
      <x:c r="AD47" s="44" t="n">
        <x:v>2.71</x:v>
      </x:c>
      <x:c r="AE47" s="44" t="n">
        <x:v>1.26</x:v>
      </x:c>
      <x:c r="AF47" s="44" t="n">
        <x:v>12.003499999999999</x:v>
      </x:c>
      <x:c r="AG47" s="44" t="n">
        <x:v>5.915</x:v>
      </x:c>
      <x:c r="AH47" s="44" t="n">
        <x:v>8.415</x:v>
      </x:c>
      <x:c r="AI47" s="44" t="n">
        <x:v>0.475</x:v>
      </x:c>
      <x:c r="AJ47" s="44" t="n">
        <x:v>-0.25</x:v>
      </x:c>
      <x:c r="AK47" s="44" t="n">
        <x:v>0.78</x:v>
      </x:c>
      <x:c r="AL47" s="44" t="n">
        <x:v>0.64</x:v>
      </x:c>
      <x:c r="AM47" s="44" t="n">
        <x:v>0.26</x:v>
      </x:c>
      <x:c r="AN47" s="44" t="n">
        <x:v>0.215</x:v>
      </x:c>
      <x:c r="AO47" s="44" t="n">
        <x:v>-1.2187999999999999</x:v>
      </x:c>
      <x:c r="AP47" s="44" t="n">
        <x:v>0.9653</x:v>
      </x:c>
      <x:c r="AQ47" s="44" t="n">
        <x:v>1.2187999999999999</x:v>
      </x:c>
      <x:c r="AR47" s="44" t="n">
        <x:v>1.2187999999999999</x:v>
      </x:c>
      <x:c r="AS47" s="44"/>
      <x:c r="AT47" s="44" t="n">
        <x:v>0.9653</x:v>
      </x:c>
      <x:c r="AU47" s="174" t="n">
        <x:v>32148</x:v>
      </x:c>
      <x:c r="AV47" s="43" t="str">
        <x:v>03:14.00</x:v>
      </x:c>
      <x:c r="AW47" s="43" t="str">
        <x:v>03:14.00-03:16.25</x:v>
      </x:c>
      <x:c r="AX47" s="43" t="str">
        <x:v>f_0196.jpg</x:v>
      </x:c>
      <x:c r="AY47" s="43" t="str">
        <x:v>1000025188.mp4</x:v>
      </x:c>
      <x:c r="AZ47" s="44" t="n">
        <x:v>0</x:v>
      </x:c>
      <x:c r="BA47" s="175" t="n">
        <x:v>60</x:v>
      </x:c>
    </x:row>
    <x:row r="48" ht="18" customHeight="1">
      <x:c r="A48" s="43" t="str">
        <x:v>K91</x:v>
      </x:c>
      <x:c r="B48" s="43" t="str">
        <x:v>WindRunner</x:v>
      </x:c>
      <x:c r="C48" s="43" t="n">
        <x:v>78000</x:v>
      </x:c>
      <x:c r="D48" s="44" t="n">
        <x:v>3.1870999999999996</x:v>
      </x:c>
      <x:c r="E48" s="44" t="n">
        <x:v>2.3209999999999997</x:v>
      </x:c>
      <x:c r="F48" s="44" t="n">
        <x:v>2.546</x:v>
      </x:c>
      <x:c r="G48" s="44" t="n">
        <x:v>0.415</x:v>
      </x:c>
      <x:c r="H48" s="44" t="n">
        <x:v>-0.39</x:v>
      </x:c>
      <x:c r="I48" s="44" t="n">
        <x:v>4.8384</x:v>
      </x:c>
      <x:c r="J48" s="44" t="n">
        <x:v>0.7868</x:v>
      </x:c>
      <x:c r="K48" s="44" t="n">
        <x:v>5.662000000000001</x:v>
      </x:c>
      <x:c r="L48" s="44" t="n">
        <x:v>15.3954</x:v>
      </x:c>
      <x:c r="M48" s="44" t="n">
        <x:v>10.125</x:v>
      </x:c>
      <x:c r="N48" s="44" t="n">
        <x:v>0.41</x:v>
      </x:c>
      <x:c r="O48" s="44" t="n">
        <x:v>-0.5525</x:v>
      </x:c>
      <x:c r="P48" s="44" t="n">
        <x:v>0.83</x:v>
      </x:c>
      <x:c r="Q48" s="44" t="n">
        <x:v>1.87</x:v>
      </x:c>
      <x:c r="R48" s="44" t="n">
        <x:v>10.215</x:v>
      </x:c>
      <x:c r="S48" s="44" t="n">
        <x:v>8.36</x:v>
      </x:c>
      <x:c r="T48" s="44" t="n">
        <x:v>5.6370000000000005</x:v>
      </x:c>
      <x:c r="U48" s="44" t="n">
        <x:v>1.365</x:v>
      </x:c>
      <x:c r="V48" s="44" t="n">
        <x:v>-1.225</x:v>
      </x:c>
      <x:c r="W48" s="44" t="n">
        <x:v>0.78</x:v>
      </x:c>
      <x:c r="X48" s="44" t="n">
        <x:v>0.58</x:v>
      </x:c>
      <x:c r="Y48" s="44" t="n">
        <x:v>24.000500000000002</x:v>
      </x:c>
      <x:c r="Z48" s="44" t="n">
        <x:v>17.187</x:v>
      </x:c>
      <x:c r="AA48" s="44" t="n">
        <x:v>8.72</x:v>
      </x:c>
      <x:c r="AB48" s="44" t="n">
        <x:v>1.57</x:v>
      </x:c>
      <x:c r="AC48" s="44" t="n">
        <x:v>-1.4075</x:v>
      </x:c>
      <x:c r="AD48" s="44" t="n">
        <x:v>3.65</x:v>
      </x:c>
      <x:c r="AE48" s="44" t="n">
        <x:v>1.92</x:v>
      </x:c>
      <x:c r="AF48" s="44" t="n">
        <x:v>10.157</x:v>
      </x:c>
      <x:c r="AG48" s="44" t="n">
        <x:v>5.382000000000001</x:v>
      </x:c>
      <x:c r="AH48" s="44" t="n">
        <x:v>3.105</x:v>
      </x:c>
      <x:c r="AI48" s="44" t="n">
        <x:v>0.41</x:v>
      </x:c>
      <x:c r="AJ48" s="44" t="n">
        <x:v>-0.25</x:v>
      </x:c>
      <x:c r="AK48" s="44" t="n">
        <x:v>0.66</x:v>
      </x:c>
      <x:c r="AL48" s="44" t="n">
        <x:v>0.54</x:v>
      </x:c>
      <x:c r="AM48" s="44" t="n">
        <x:v>0.26</x:v>
      </x:c>
      <x:c r="AN48" s="44" t="n">
        <x:v>0.225</x:v>
      </x:c>
      <x:c r="AO48" s="44" t="n">
        <x:v>-1.2187999999999999</x:v>
      </x:c>
      <x:c r="AP48" s="44" t="n">
        <x:v>0.9653</x:v>
      </x:c>
      <x:c r="AQ48" s="44" t="n">
        <x:v>1.2187999999999999</x:v>
      </x:c>
      <x:c r="AR48" s="44" t="n">
        <x:v>1.2187999999999999</x:v>
      </x:c>
      <x:c r="AS48" s="44"/>
      <x:c r="AT48" s="44" t="n">
        <x:v>0.9653</x:v>
      </x:c>
      <x:c r="AU48" s="174" t="n">
        <x:v>32148</x:v>
      </x:c>
      <x:c r="AV48" s="43" t="str">
        <x:v>03:23.75</x:v>
      </x:c>
      <x:c r="AW48" s="43" t="str">
        <x:v>03:23.75-03:25.50</x:v>
      </x:c>
      <x:c r="AX48" s="43" t="str">
        <x:v>f_0205.jpg</x:v>
      </x:c>
      <x:c r="AY48" s="43" t="str">
        <x:v>1000025188.mp4</x:v>
      </x:c>
      <x:c r="AZ48" s="44" t="n">
        <x:v>0</x:v>
      </x:c>
      <x:c r="BA48" s="175" t="n">
        <x:v>60</x:v>
      </x:c>
    </x:row>
    <x:row r="49" ht="18" customHeight="1">
      <x:c r="A49" s="43" t="str">
        <x:v>K91</x:v>
      </x:c>
      <x:c r="B49" s="43" t="str">
        <x:v>•Scorpio•NM85</x:v>
      </x:c>
      <x:c r="C49" s="43" t="n">
        <x:v>60000</x:v>
      </x:c>
      <x:c r="D49" s="44" t="n">
        <x:v>3.3421</x:v>
      </x:c>
      <x:c r="E49" s="44" t="n">
        <x:v>2.421</x:v>
      </x:c>
      <x:c r="F49" s="44" t="n">
        <x:v>2.8510000000000004</x:v>
      </x:c>
      <x:c r="G49" s="44" t="n">
        <x:v>0.415</x:v>
      </x:c>
      <x:c r="H49" s="44" t="n">
        <x:v>-0.415</x:v>
      </x:c>
      <x:c r="I49" s="44" t="n">
        <x:v>4.2028</x:v>
      </x:c>
      <x:c r="J49" s="44" t="n">
        <x:v>0.503</x:v>
      </x:c>
      <x:c r="K49" s="44" t="n">
        <x:v>8.897</x:v>
      </x:c>
      <x:c r="L49" s="44" t="n">
        <x:v>15.3954</x:v>
      </x:c>
      <x:c r="M49" s="44" t="n">
        <x:v>8.1607</x:v>
      </x:c>
      <x:c r="N49" s="44" t="n">
        <x:v>0.49</x:v>
      </x:c>
      <x:c r="O49" s="44" t="n">
        <x:v>-0.6575</x:v>
      </x:c>
      <x:c r="P49" s="44" t="n">
        <x:v>0.88</x:v>
      </x:c>
      <x:c r="Q49" s="44" t="n">
        <x:v>3.01</x:v>
      </x:c>
      <x:c r="R49" s="44" t="n">
        <x:v>12.35</x:v>
      </x:c>
      <x:c r="S49" s="44" t="n">
        <x:v>10.41</x:v>
      </x:c>
      <x:c r="T49" s="44" t="n">
        <x:v>6.647</x:v>
      </x:c>
      <x:c r="U49" s="44" t="n">
        <x:v>1.5225</x:v>
      </x:c>
      <x:c r="V49" s="44" t="n">
        <x:v>-1.3075</x:v>
      </x:c>
      <x:c r="W49" s="44" t="n">
        <x:v>2.01</x:v>
      </x:c>
      <x:c r="X49" s="44" t="n">
        <x:v>1.33</x:v>
      </x:c>
      <x:c r="Y49" s="44" t="n">
        <x:v>23.1155</x:v>
      </x:c>
      <x:c r="Z49" s="44" t="n">
        <x:v>16.887</x:v>
      </x:c>
      <x:c r="AA49" s="44" t="n">
        <x:v>7.755</x:v>
      </x:c>
      <x:c r="AB49" s="44" t="n">
        <x:v>1.565</x:v>
      </x:c>
      <x:c r="AC49" s="44" t="n">
        <x:v>-1.425</x:v>
      </x:c>
      <x:c r="AD49" s="44" t="n">
        <x:v>2.7</x:v>
      </x:c>
      <x:c r="AE49" s="44" t="n">
        <x:v>1.62</x:v>
      </x:c>
      <x:c r="AF49" s="44" t="n">
        <x:v>11.087</x:v>
      </x:c>
      <x:c r="AG49" s="44" t="n">
        <x:v>5.662000000000001</x:v>
      </x:c>
      <x:c r="AH49" s="44" t="n">
        <x:v>4.145</x:v>
      </x:c>
      <x:c r="AI49" s="44" t="n">
        <x:v>0.51</x:v>
      </x:c>
      <x:c r="AJ49" s="44" t="n">
        <x:v>-0.25</x:v>
      </x:c>
      <x:c r="AK49" s="44" t="n">
        <x:v>2.06</x:v>
      </x:c>
      <x:c r="AL49" s="44" t="n">
        <x:v>1.19</x:v>
      </x:c>
      <x:c r="AM49" s="44" t="n">
        <x:v>0.26</x:v>
      </x:c>
      <x:c r="AN49" s="44" t="n">
        <x:v>0.225</x:v>
      </x:c>
      <x:c r="AO49" s="44" t="n">
        <x:v>-1.2187999999999999</x:v>
      </x:c>
      <x:c r="AP49" s="44" t="n">
        <x:v>0.9653</x:v>
      </x:c>
      <x:c r="AQ49" s="44" t="n">
        <x:v>1.2187999999999999</x:v>
      </x:c>
      <x:c r="AR49" s="44" t="n">
        <x:v>1.2187999999999999</x:v>
      </x:c>
      <x:c r="AS49" s="44"/>
      <x:c r="AT49" s="44" t="n">
        <x:v>0.9653</x:v>
      </x:c>
      <x:c r="AU49" s="174" t="n">
        <x:v>32148</x:v>
      </x:c>
      <x:c r="AV49" s="43" t="str">
        <x:v>03:32.75</x:v>
      </x:c>
      <x:c r="AW49" s="43" t="str">
        <x:v>03:32.75-03:34.50</x:v>
      </x:c>
      <x:c r="AX49" s="43" t="str">
        <x:v>f_0215.jpg</x:v>
      </x:c>
      <x:c r="AY49" s="43" t="str">
        <x:v>1000025188.mp4</x:v>
      </x:c>
      <x:c r="AZ49" s="44" t="n">
        <x:v>0</x:v>
      </x:c>
      <x:c r="BA49" s="175" t="n">
        <x:v>60</x:v>
      </x:c>
    </x:row>
    <x:row r="50" ht="18" customHeight="1">
      <x:c r="A50" s="43" t="str">
        <x:v>K91</x:v>
      </x:c>
      <x:c r="B50" s="43" t="str">
        <x:v>•BigBoss•NM85</x:v>
      </x:c>
      <x:c r="C50" s="43" t="n">
        <x:v>57584</x:v>
      </x:c>
      <x:c r="D50" s="44" t="n">
        <x:v>3.5770999999999997</x:v>
      </x:c>
      <x:c r="E50" s="44" t="n">
        <x:v>2.426</x:v>
      </x:c>
      <x:c r="F50" s="44" t="n">
        <x:v>2.891</x:v>
      </x:c>
      <x:c r="G50" s="44" t="n">
        <x:v>0.415</x:v>
      </x:c>
      <x:c r="H50" s="44" t="n">
        <x:v>-0.415</x:v>
      </x:c>
      <x:c r="I50" s="44" t="n">
        <x:v>4.4804</x:v>
      </x:c>
      <x:c r="J50" s="44" t="n">
        <x:v>0.4964</x:v>
      </x:c>
      <x:c r="K50" s="44" t="n">
        <x:v>7.567</x:v>
      </x:c>
      <x:c r="L50" s="44" t="n">
        <x:v>14.611199999999998</x:v>
      </x:c>
      <x:c r="M50" s="44" t="n">
        <x:v>11.359200000000001</x:v>
      </x:c>
      <x:c r="N50" s="44" t="n">
        <x:v>0.51</x:v>
      </x:c>
      <x:c r="O50" s="44" t="n">
        <x:v>-0.6675</x:v>
      </x:c>
      <x:c r="P50" s="44" t="n">
        <x:v>1.44</x:v>
      </x:c>
      <x:c r="Q50" s="44" t="n">
        <x:v>5.46</x:v>
      </x:c>
      <x:c r="R50" s="44" t="n">
        <x:v>10.91</x:v>
      </x:c>
      <x:c r="S50" s="44" t="n">
        <x:v>10.115</x:v>
      </x:c>
      <x:c r="T50" s="44" t="n">
        <x:v>4.548500000000001</x:v>
      </x:c>
      <x:c r="U50" s="44" t="n">
        <x:v>1.1525</x:v>
      </x:c>
      <x:c r="V50" s="44" t="n">
        <x:v>-1.0725</x:v>
      </x:c>
      <x:c r="W50" s="44" t="n">
        <x:v>3.05</x:v>
      </x:c>
      <x:c r="X50" s="44" t="n">
        <x:v>1.77</x:v>
      </x:c>
      <x:c r="Y50" s="44" t="n">
        <x:v>22.7555</x:v>
      </x:c>
      <x:c r="Z50" s="44" t="n">
        <x:v>14.94</x:v>
      </x:c>
      <x:c r="AA50" s="44" t="n">
        <x:v>10.252</x:v>
      </x:c>
      <x:c r="AB50" s="44" t="n">
        <x:v>1.4375</x:v>
      </x:c>
      <x:c r="AC50" s="44" t="n">
        <x:v>-1.4525</x:v>
      </x:c>
      <x:c r="AD50" s="44" t="n">
        <x:v>4.33</x:v>
      </x:c>
      <x:c r="AE50" s="44" t="n">
        <x:v>2.53</x:v>
      </x:c>
      <x:c r="AF50" s="44" t="n">
        <x:v>11.0555</x:v>
      </x:c>
      <x:c r="AG50" s="44" t="n">
        <x:v>5.477</x:v>
      </x:c>
      <x:c r="AH50" s="44" t="n">
        <x:v>4.145</x:v>
      </x:c>
      <x:c r="AI50" s="44" t="n">
        <x:v>0.475</x:v>
      </x:c>
      <x:c r="AJ50" s="44" t="n">
        <x:v>-0.41</x:v>
      </x:c>
      <x:c r="AK50" s="44" t="n">
        <x:v>1.73</x:v>
      </x:c>
      <x:c r="AL50" s="44" t="n">
        <x:v>0.94</x:v>
      </x:c>
      <x:c r="AM50" s="44" t="n">
        <x:v>0.26</x:v>
      </x:c>
      <x:c r="AN50" s="44" t="n">
        <x:v>0.22</x:v>
      </x:c>
      <x:c r="AO50" s="44" t="n">
        <x:v>-1.2187999999999999</x:v>
      </x:c>
      <x:c r="AP50" s="44" t="n">
        <x:v>0.9653</x:v>
      </x:c>
      <x:c r="AQ50" s="44" t="n">
        <x:v>1.2187999999999999</x:v>
      </x:c>
      <x:c r="AR50" s="44" t="n">
        <x:v>1.2187999999999999</x:v>
      </x:c>
      <x:c r="AS50" s="44"/>
      <x:c r="AT50" s="44" t="n">
        <x:v>0.9653</x:v>
      </x:c>
      <x:c r="AU50" s="174" t="n">
        <x:v>32148</x:v>
      </x:c>
      <x:c r="AV50" s="43" t="str">
        <x:v>03:42.00</x:v>
      </x:c>
      <x:c r="AW50" s="43" t="str">
        <x:v>03:42.00-03:43.75</x:v>
      </x:c>
      <x:c r="AX50" s="43" t="str">
        <x:v>f_0224.jpg</x:v>
      </x:c>
      <x:c r="AY50" s="43" t="str">
        <x:v>1000025188.mp4</x:v>
      </x:c>
      <x:c r="AZ50" s="44" t="n">
        <x:v>0</x:v>
      </x:c>
      <x:c r="BA50" s="175" t="n">
        <x:v>60</x:v>
      </x:c>
    </x:row>
    <x:row r="51" ht="18" customHeight="1">
      <x:c r="A51" s="43" t="str">
        <x:v>K116</x:v>
      </x:c>
      <x:c r="B51" s="43" t="str">
        <x:v>Jesse</x:v>
      </x:c>
      <x:c r="C51" s="43" t="n">
        <x:v>212081</x:v>
      </x:c>
      <x:c r="D51" s="44" t="n">
        <x:v>4.891</x:v>
      </x:c>
      <x:c r="E51" s="44" t="n">
        <x:v>3.7285000000000004</x:v>
      </x:c>
      <x:c r="F51" s="44" t="n">
        <x:v>4.0785</x:v>
      </x:c>
      <x:c r="G51" s="44" t="n">
        <x:v>0.475</x:v>
      </x:c>
      <x:c r="H51" s="44" t="n">
        <x:v>-0.4375</x:v>
      </x:c>
      <x:c r="I51" s="44" t="n">
        <x:v>6</x:v>
      </x:c>
      <x:c r="J51" s="44" t="n">
        <x:v>6.01</x:v>
      </x:c>
      <x:c r="K51" s="44" t="n">
        <x:v>19.327</x:v>
      </x:c>
      <x:c r="L51" s="44" t="n">
        <x:v>26.39</x:v>
      </x:c>
      <x:c r="M51" s="44" t="n">
        <x:v>20.866999999999997</x:v>
      </x:c>
      <x:c r="N51" s="44" t="n">
        <x:v>1.965</x:v>
      </x:c>
      <x:c r="O51" s="44" t="n">
        <x:v>-2.16</x:v>
      </x:c>
      <x:c r="P51" s="44" t="n">
        <x:v>7</x:v>
      </x:c>
      <x:c r="Q51" s="44" t="n">
        <x:v>9</x:v>
      </x:c>
      <x:c r="R51" s="44" t="n">
        <x:v>24.4335</x:v>
      </x:c>
      <x:c r="S51" s="44" t="n">
        <x:v>19.08</x:v>
      </x:c>
      <x:c r="T51" s="44" t="n">
        <x:v>16.355</x:v>
      </x:c>
      <x:c r="U51" s="44" t="n">
        <x:v>2.1075</x:v>
      </x:c>
      <x:c r="V51" s="44" t="n">
        <x:v>-1.725</x:v>
      </x:c>
      <x:c r="W51" s="44" t="n">
        <x:v>9</x:v>
      </x:c>
      <x:c r="X51" s="44" t="n">
        <x:v>9</x:v>
      </x:c>
      <x:c r="Y51" s="44" t="n">
        <x:v>20.64</x:v>
      </x:c>
      <x:c r="Z51" s="44" t="n">
        <x:v>15.9</x:v>
      </x:c>
      <x:c r="AA51" s="44" t="n">
        <x:v>13.7935</x:v>
      </x:c>
      <x:c r="AB51" s="44" t="n">
        <x:v>2.045</x:v>
      </x:c>
      <x:c r="AC51" s="44" t="n">
        <x:v>-1.945</x:v>
      </x:c>
      <x:c r="AD51" s="44" t="n">
        <x:v>9</x:v>
      </x:c>
      <x:c r="AE51" s="44" t="n">
        <x:v>7</x:v>
      </x:c>
      <x:c r="AF51" s="44" t="n">
        <x:v>18.16</x:v>
      </x:c>
      <x:c r="AG51" s="44" t="n">
        <x:v>12.64</x:v>
      </x:c>
      <x:c r="AH51" s="44" t="n">
        <x:v>16.86</x:v>
      </x:c>
      <x:c r="AI51" s="44" t="n">
        <x:v>1.935</x:v>
      </x:c>
      <x:c r="AJ51" s="44" t="n">
        <x:v>-1.605</x:v>
      </x:c>
      <x:c r="AK51" s="44" t="n">
        <x:v>7</x:v>
      </x:c>
      <x:c r="AL51" s="44" t="n">
        <x:v>7</x:v>
      </x:c>
      <x:c r="AM51" s="44" t="n">
        <x:v>0.28</x:v>
      </x:c>
      <x:c r="AN51" s="44" t="n">
        <x:v>0.23</x:v>
      </x:c>
      <x:c r="AO51" s="44" t="n">
        <x:v>-1.2187999999999999</x:v>
      </x:c>
      <x:c r="AP51" s="44" t="n">
        <x:v>1.2187999999999999</x:v>
      </x:c>
      <x:c r="AQ51" s="44" t="n">
        <x:v>0.9653</x:v>
      </x:c>
      <x:c r="AR51" s="44" t="n">
        <x:v>1.2187999999999999</x:v>
      </x:c>
      <x:c r="AS51" s="44"/>
      <x:c r="AT51" s="44" t="n">
        <x:v>1.2187999999999999</x:v>
      </x:c>
      <x:c r="AU51" s="174" t="n">
        <x:v>39216</x:v>
      </x:c>
      <x:c r="AV51" s="43" t="str">
        <x:v>00:10.75</x:v>
      </x:c>
      <x:c r="AW51" s="43" t="str">
        <x:v>00:10.75-00:13.75</x:v>
      </x:c>
      <x:c r="AX51" s="43" t="str">
        <x:v>f_00055.jpg</x:v>
      </x:c>
      <x:c r="AY51" s="43" t="str">
        <x:v>1000025189.mp4</x:v>
      </x:c>
      <x:c r="AZ51" s="44"/>
      <x:c r="BA51" s="175" t="n">
        <x:v>60</x:v>
      </x:c>
    </x:row>
    <x:row r="52" ht="18" customHeight="1">
      <x:c r="A52" s="43" t="str">
        <x:v>K116</x:v>
      </x:c>
      <x:c r="B52" s="43" t="str">
        <x:v>逍遥大官人</x:v>
      </x:c>
      <x:c r="C52" s="43" t="n">
        <x:v>60000</x:v>
      </x:c>
      <x:c r="D52" s="44" t="n">
        <x:v>2.736</x:v>
      </x:c>
      <x:c r="E52" s="44" t="n">
        <x:v>2.4459999999999997</x:v>
      </x:c>
      <x:c r="F52" s="44" t="n">
        <x:v>2.7560000000000002</x:v>
      </x:c>
      <x:c r="G52" s="44" t="n">
        <x:v>0.4</x:v>
      </x:c>
      <x:c r="H52" s="44" t="n">
        <x:v>-0.375</x:v>
      </x:c>
      <x:c r="I52" s="44" t="n">
        <x:v>2.866</x:v>
      </x:c>
      <x:c r="J52" s="44" t="n">
        <x:v>2.9019999999999997</x:v>
      </x:c>
      <x:c r="K52" s="44" t="n">
        <x:v>10.71</x:v>
      </x:c>
      <x:c r="L52" s="44" t="n">
        <x:v>19.9842</x:v>
      </x:c>
      <x:c r="M52" s="44" t="n">
        <x:v>12.3607</x:v>
      </x:c>
      <x:c r="N52" s="44" t="n">
        <x:v>1.445</x:v>
      </x:c>
      <x:c r="O52" s="44" t="n">
        <x:v>-1.4465000000000001</x:v>
      </x:c>
      <x:c r="P52" s="44" t="n">
        <x:v>0.67</x:v>
      </x:c>
      <x:c r="Q52" s="44" t="n">
        <x:v>2.52</x:v>
      </x:c>
      <x:c r="R52" s="44" t="n">
        <x:v>19.1095</x:v>
      </x:c>
      <x:c r="S52" s="44" t="n">
        <x:v>13.59</x:v>
      </x:c>
      <x:c r="T52" s="44" t="n">
        <x:v>13.317</x:v>
      </x:c>
      <x:c r="U52" s="44" t="n">
        <x:v>1.4465000000000001</x:v>
      </x:c>
      <x:c r="V52" s="44" t="n">
        <x:v>-1.1625</x:v>
      </x:c>
      <x:c r="W52" s="44" t="n">
        <x:v>2.49</x:v>
      </x:c>
      <x:c r="X52" s="44" t="n">
        <x:v>1.52</x:v>
      </x:c>
      <x:c r="Y52" s="44" t="n">
        <x:v>13.3425</x:v>
      </x:c>
      <x:c r="Z52" s="44" t="n">
        <x:v>9.1</x:v>
      </x:c>
      <x:c r="AA52" s="44" t="n">
        <x:v>5.73</x:v>
      </x:c>
      <x:c r="AB52" s="44" t="n">
        <x:v>0.6915</x:v>
      </x:c>
      <x:c r="AC52" s="44" t="n">
        <x:v>-0.644</x:v>
      </x:c>
      <x:c r="AD52" s="44" t="n">
        <x:v>1.85</x:v>
      </x:c>
      <x:c r="AE52" s="44" t="n">
        <x:v>1.15</x:v>
      </x:c>
      <x:c r="AF52" s="44" t="n">
        <x:v>11.991</x:v>
      </x:c>
      <x:c r="AG52" s="44" t="n">
        <x:v>6.8</x:v>
      </x:c>
      <x:c r="AH52" s="44" t="n">
        <x:v>8.935</x:v>
      </x:c>
      <x:c r="AI52" s="44" t="n">
        <x:v>0.3715</x:v>
      </x:c>
      <x:c r="AJ52" s="44" t="n">
        <x:v>-0.13</x:v>
      </x:c>
      <x:c r="AK52" s="44" t="n">
        <x:v>1.09</x:v>
      </x:c>
      <x:c r="AL52" s="44" t="n">
        <x:v>0.47</x:v>
      </x:c>
      <x:c r="AM52" s="44" t="n">
        <x:v>0.26</x:v>
      </x:c>
      <x:c r="AN52" s="44" t="n">
        <x:v>0.135</x:v>
      </x:c>
      <x:c r="AO52" s="44" t="n">
        <x:v>-1.2187999999999999</x:v>
      </x:c>
      <x:c r="AP52" s="44" t="n">
        <x:v>1.2187999999999999</x:v>
      </x:c>
      <x:c r="AQ52" s="44" t="n">
        <x:v>0.9653</x:v>
      </x:c>
      <x:c r="AR52" s="44" t="n">
        <x:v>1.2187999999999999</x:v>
      </x:c>
      <x:c r="AS52" s="44"/>
      <x:c r="AT52" s="44" t="n">
        <x:v>1.2187999999999999</x:v>
      </x:c>
      <x:c r="AU52" s="174" t="n">
        <x:v>39216</x:v>
      </x:c>
      <x:c r="AV52" s="43" t="str">
        <x:v>00:21.50</x:v>
      </x:c>
      <x:c r="AW52" s="43" t="str">
        <x:v>00:21.50-00:24.25</x:v>
      </x:c>
      <x:c r="AX52" s="43" t="str">
        <x:v>f_00097.jpg</x:v>
      </x:c>
      <x:c r="AY52" s="43" t="str">
        <x:v>1000025189.mp4</x:v>
      </x:c>
      <x:c r="AZ52" s="44"/>
      <x:c r="BA52" s="175" t="n">
        <x:v>60</x:v>
      </x:c>
    </x:row>
    <x:row r="53" ht="18" customHeight="1">
      <x:c r="A53" s="43" t="str">
        <x:v>K116</x:v>
      </x:c>
      <x:c r="B53" s="43" t="str">
        <x:v>苦瓜大王</x:v>
      </x:c>
      <x:c r="C53" s="43" t="n">
        <x:v>130000</x:v>
      </x:c>
      <x:c r="D53" s="44" t="n">
        <x:v>3.4935</x:v>
      </x:c>
      <x:c r="E53" s="44" t="n">
        <x:v>3.2510000000000003</x:v>
      </x:c>
      <x:c r="F53" s="44" t="n">
        <x:v>3.5610000000000004</x:v>
      </x:c>
      <x:c r="G53" s="44" t="n">
        <x:v>0.4375</x:v>
      </x:c>
      <x:c r="H53" s="44" t="n">
        <x:v>-0.415</x:v>
      </x:c>
      <x:c r="I53" s="44" t="n">
        <x:v>5.1552</x:v>
      </x:c>
      <x:c r="J53" s="44" t="n">
        <x:v>5.5308</x:v>
      </x:c>
      <x:c r="K53" s="44" t="n">
        <x:v>17.662</x:v>
      </x:c>
      <x:c r="L53" s="44" t="n">
        <x:v>20.49</x:v>
      </x:c>
      <x:c r="M53" s="44" t="n">
        <x:v>17.087</x:v>
      </x:c>
      <x:c r="N53" s="44" t="n">
        <x:v>1.285</x:v>
      </x:c>
      <x:c r="O53" s="44" t="n">
        <x:v>-1.585</x:v>
      </x:c>
      <x:c r="P53" s="44" t="n">
        <x:v>3.74</x:v>
      </x:c>
      <x:c r="Q53" s="44" t="n">
        <x:v>7</x:v>
      </x:c>
      <x:c r="R53" s="44" t="n">
        <x:v>23.9835</x:v>
      </x:c>
      <x:c r="S53" s="44" t="n">
        <x:v>13.27</x:v>
      </x:c>
      <x:c r="T53" s="44" t="n">
        <x:v>10.465</x:v>
      </x:c>
      <x:c r="U53" s="44" t="n">
        <x:v>1.5125</x:v>
      </x:c>
      <x:c r="V53" s="44" t="n">
        <x:v>-1.3475</x:v>
      </x:c>
      <x:c r="W53" s="44" t="n">
        <x:v>7</x:v>
      </x:c>
      <x:c r="X53" s="44" t="n">
        <x:v>5.38</x:v>
      </x:c>
      <x:c r="Y53" s="44" t="n">
        <x:v>21</x:v>
      </x:c>
      <x:c r="Z53" s="44" t="n">
        <x:v>13.42</x:v>
      </x:c>
      <x:c r="AA53" s="44" t="n">
        <x:v>12.163499999999999</x:v>
      </x:c>
      <x:c r="AB53" s="44" t="n">
        <x:v>1.5525</x:v>
      </x:c>
      <x:c r="AC53" s="44" t="n">
        <x:v>-1.4475</x:v>
      </x:c>
      <x:c r="AD53" s="44" t="n">
        <x:v>6.72</x:v>
      </x:c>
      <x:c r="AE53" s="44" t="n">
        <x:v>4.1</x:v>
      </x:c>
      <x:c r="AF53" s="44" t="n">
        <x:v>15.59</x:v>
      </x:c>
      <x:c r="AG53" s="44" t="n">
        <x:v>8.985</x:v>
      </x:c>
      <x:c r="AH53" s="44" t="n">
        <x:v>11.975</x:v>
      </x:c>
      <x:c r="AI53" s="44" t="n">
        <x:v>1.39</x:v>
      </x:c>
      <x:c r="AJ53" s="44" t="n">
        <x:v>-1.285</x:v>
      </x:c>
      <x:c r="AK53" s="44" t="n">
        <x:v>2.1</x:v>
      </x:c>
      <x:c r="AL53" s="44" t="n">
        <x:v>1.32</x:v>
      </x:c>
      <x:c r="AM53" s="44" t="n">
        <x:v>0.26</x:v>
      </x:c>
      <x:c r="AN53" s="44" t="n">
        <x:v>0.235</x:v>
      </x:c>
      <x:c r="AO53" s="44" t="n">
        <x:v>-1.2187999999999999</x:v>
      </x:c>
      <x:c r="AP53" s="44" t="n">
        <x:v>1.2187999999999999</x:v>
      </x:c>
      <x:c r="AQ53" s="44" t="n">
        <x:v>0.9653</x:v>
      </x:c>
      <x:c r="AR53" s="44" t="n">
        <x:v>1.2187999999999999</x:v>
      </x:c>
      <x:c r="AS53" s="44"/>
      <x:c r="AT53" s="44" t="n">
        <x:v>1.2187999999999999</x:v>
      </x:c>
      <x:c r="AU53" s="174" t="n">
        <x:v>39216</x:v>
      </x:c>
      <x:c r="AV53" s="43" t="str">
        <x:v>00:33.50</x:v>
      </x:c>
      <x:c r="AW53" s="43" t="str">
        <x:v>00:33.50-00:35.50</x:v>
      </x:c>
      <x:c r="AX53" s="43" t="str">
        <x:v>f_00143.jpg</x:v>
      </x:c>
      <x:c r="AY53" s="43" t="str">
        <x:v>1000025189.mp4</x:v>
      </x:c>
      <x:c r="AZ53" s="44"/>
      <x:c r="BA53" s="175" t="n">
        <x:v>60</x:v>
      </x:c>
    </x:row>
    <x:row r="54" ht="18" customHeight="1">
      <x:c r="A54" s="43" t="str">
        <x:v>K116</x:v>
      </x:c>
      <x:c r="B54" s="43" t="str">
        <x:v>Derek</x:v>
      </x:c>
      <x:c r="C54" s="43" t="n">
        <x:v>80000</x:v>
      </x:c>
      <x:c r="D54" s="44" t="n">
        <x:v>3.161</x:v>
      </x:c>
      <x:c r="E54" s="44" t="n">
        <x:v>2.641</x:v>
      </x:c>
      <x:c r="F54" s="44" t="n">
        <x:v>2.951</x:v>
      </x:c>
      <x:c r="G54" s="44" t="n">
        <x:v>0.415</x:v>
      </x:c>
      <x:c r="H54" s="44" t="n">
        <x:v>-0.415</x:v>
      </x:c>
      <x:c r="I54" s="44" t="n">
        <x:v>3.153</x:v>
      </x:c>
      <x:c r="J54" s="44" t="n">
        <x:v>3.176</x:v>
      </x:c>
      <x:c r="K54" s="44" t="n">
        <x:v>12.717</x:v>
      </x:c>
      <x:c r="L54" s="44" t="n">
        <x:v>18.7307</x:v>
      </x:c>
      <x:c r="M54" s="44" t="n">
        <x:v>15.387</x:v>
      </x:c>
      <x:c r="N54" s="44" t="n">
        <x:v>1.4475</x:v>
      </x:c>
      <x:c r="O54" s="44" t="n">
        <x:v>-1.565</x:v>
      </x:c>
      <x:c r="P54" s="44" t="n">
        <x:v>1.65</x:v>
      </x:c>
      <x:c r="Q54" s="44" t="n">
        <x:v>2.85</x:v>
      </x:c>
      <x:c r="R54" s="44" t="n">
        <x:v>20.7835</x:v>
      </x:c>
      <x:c r="S54" s="44" t="n">
        <x:v>15.13</x:v>
      </x:c>
      <x:c r="T54" s="44" t="n">
        <x:v>11.72</x:v>
      </x:c>
      <x:c r="U54" s="44" t="n">
        <x:v>1.55</x:v>
      </x:c>
      <x:c r="V54" s="44" t="n">
        <x:v>-1.3675</x:v>
      </x:c>
      <x:c r="W54" s="44" t="n">
        <x:v>3.61</x:v>
      </x:c>
      <x:c r="X54" s="44" t="n">
        <x:v>2.65</x:v>
      </x:c>
      <x:c r="Y54" s="44" t="n">
        <x:v>13.83</x:v>
      </x:c>
      <x:c r="Z54" s="44" t="n">
        <x:v>10.56</x:v>
      </x:c>
      <x:c r="AA54" s="44" t="n">
        <x:v>8.6435</x:v>
      </x:c>
      <x:c r="AB54" s="44" t="n">
        <x:v>0.8484999999999999</x:v>
      </x:c>
      <x:c r="AC54" s="44" t="n">
        <x:v>-0.8785</x:v>
      </x:c>
      <x:c r="AD54" s="44" t="n">
        <x:v>1.08</x:v>
      </x:c>
      <x:c r="AE54" s="44" t="n">
        <x:v>0.77</x:v>
      </x:c>
      <x:c r="AF54" s="44" t="n">
        <x:v>11.05</x:v>
      </x:c>
      <x:c r="AG54" s="44" t="n">
        <x:v>8.085</x:v>
      </x:c>
      <x:c r="AH54" s="44" t="n">
        <x:v>10.48</x:v>
      </x:c>
      <x:c r="AI54" s="44" t="n">
        <x:v>0.9175</x:v>
      </x:c>
      <x:c r="AJ54" s="44" t="n">
        <x:v>-0.755</x:v>
      </x:c>
      <x:c r="AK54" s="44" t="n">
        <x:v>0.81</x:v>
      </x:c>
      <x:c r="AL54" s="44" t="n">
        <x:v>0.69</x:v>
      </x:c>
      <x:c r="AM54" s="44" t="n">
        <x:v>0.26</x:v>
      </x:c>
      <x:c r="AN54" s="44" t="n">
        <x:v>0.235</x:v>
      </x:c>
      <x:c r="AO54" s="44" t="n">
        <x:v>-1.2187999999999999</x:v>
      </x:c>
      <x:c r="AP54" s="44" t="n">
        <x:v>1.2187999999999999</x:v>
      </x:c>
      <x:c r="AQ54" s="44" t="n">
        <x:v>0.9653</x:v>
      </x:c>
      <x:c r="AR54" s="44" t="n">
        <x:v>1.2187999999999999</x:v>
      </x:c>
      <x:c r="AS54" s="44"/>
      <x:c r="AT54" s="44" t="n">
        <x:v>1.2187999999999999</x:v>
      </x:c>
      <x:c r="AU54" s="174" t="n">
        <x:v>39216</x:v>
      </x:c>
      <x:c r="AV54" s="43" t="str">
        <x:v>00:41.75</x:v>
      </x:c>
      <x:c r="AW54" s="43" t="str">
        <x:v>00:41.75-00:43.50</x:v>
      </x:c>
      <x:c r="AX54" s="43" t="str">
        <x:v>f_00174.jpg</x:v>
      </x:c>
      <x:c r="AY54" s="43" t="str">
        <x:v>1000025189.mp4</x:v>
      </x:c>
      <x:c r="AZ54" s="44"/>
      <x:c r="BA54" s="175" t="n">
        <x:v>60</x:v>
      </x:c>
    </x:row>
    <x:row r="55" ht="18" customHeight="1">
      <x:c r="A55" s="43" t="str">
        <x:v>K116</x:v>
      </x:c>
      <x:c r="B55" s="43" t="str">
        <x:v>陶渊明</x:v>
      </x:c>
      <x:c r="C55" s="43" t="n">
        <x:v>50000</x:v>
      </x:c>
      <x:c r="D55" s="44" t="n">
        <x:v>2.681</x:v>
      </x:c>
      <x:c r="E55" s="44" t="n">
        <x:v>2.296</x:v>
      </x:c>
      <x:c r="F55" s="44" t="n">
        <x:v>2.616</x:v>
      </x:c>
      <x:c r="G55" s="44" t="n">
        <x:v>0.375</x:v>
      </x:c>
      <x:c r="H55" s="44" t="n">
        <x:v>-0.39</x:v>
      </x:c>
      <x:c r="I55" s="44" t="n">
        <x:v>2.3008</x:v>
      </x:c>
      <x:c r="J55" s="44" t="n">
        <x:v>1.7728</x:v>
      </x:c>
      <x:c r="K55" s="44" t="n">
        <x:v>13.157</x:v>
      </x:c>
      <x:c r="L55" s="44" t="n">
        <x:v>16.2607</x:v>
      </x:c>
      <x:c r="M55" s="44" t="n">
        <x:v>13.567</x:v>
      </x:c>
      <x:c r="N55" s="44" t="n">
        <x:v>1.325</x:v>
      </x:c>
      <x:c r="O55" s="44" t="n">
        <x:v>-1.3625</x:v>
      </x:c>
      <x:c r="P55" s="44" t="n">
        <x:v>0.86</x:v>
      </x:c>
      <x:c r="Q55" s="44" t="n">
        <x:v>2.07</x:v>
      </x:c>
      <x:c r="R55" s="44" t="n">
        <x:v>18.746</x:v>
      </x:c>
      <x:c r="S55" s="44" t="n">
        <x:v>13.31</x:v>
      </x:c>
      <x:c r="T55" s="44" t="n">
        <x:v>10.32</x:v>
      </x:c>
      <x:c r="U55" s="44" t="n">
        <x:v>1.4315</x:v>
      </x:c>
      <x:c r="V55" s="44" t="n">
        <x:v>-1.2875</x:v>
      </x:c>
      <x:c r="W55" s="44" t="n">
        <x:v>3.03</x:v>
      </x:c>
      <x:c r="X55" s="44" t="n">
        <x:v>1.75</x:v>
      </x:c>
      <x:c r="Y55" s="44" t="n">
        <x:v>14.7825</x:v>
      </x:c>
      <x:c r="Z55" s="44" t="n">
        <x:v>11.59</x:v>
      </x:c>
      <x:c r="AA55" s="44" t="n">
        <x:v>9.3985</x:v>
      </x:c>
      <x:c r="AB55" s="44" t="n">
        <x:v>1.2975</x:v>
      </x:c>
      <x:c r="AC55" s="44" t="n">
        <x:v>-1.305</x:v>
      </x:c>
      <x:c r="AD55" s="44" t="n">
        <x:v>1.1</x:v>
      </x:c>
      <x:c r="AE55" s="44" t="n">
        <x:v>0.66</x:v>
      </x:c>
      <x:c r="AF55" s="44" t="n">
        <x:v>11.3875</x:v>
      </x:c>
      <x:c r="AG55" s="44" t="n">
        <x:v>6.445</x:v>
      </x:c>
      <x:c r="AH55" s="44" t="n">
        <x:v>8.455</x:v>
      </x:c>
      <x:c r="AI55" s="44" t="n">
        <x:v>0.7915000000000001</x:v>
      </x:c>
      <x:c r="AJ55" s="44" t="n">
        <x:v>-0.595</x:v>
      </x:c>
      <x:c r="AK55" s="44" t="n">
        <x:v>0.76</x:v>
      </x:c>
      <x:c r="AL55" s="44" t="n">
        <x:v>0.56</x:v>
      </x:c>
      <x:c r="AM55" s="44" t="n">
        <x:v>0.26</x:v>
      </x:c>
      <x:c r="AN55" s="44" t="n">
        <x:v>0.17</x:v>
      </x:c>
      <x:c r="AO55" s="44" t="n">
        <x:v>-1.2187999999999999</x:v>
      </x:c>
      <x:c r="AP55" s="44" t="n">
        <x:v>1.2187999999999999</x:v>
      </x:c>
      <x:c r="AQ55" s="44" t="n">
        <x:v>0.9653</x:v>
      </x:c>
      <x:c r="AR55" s="44" t="n">
        <x:v>1.2187999999999999</x:v>
      </x:c>
      <x:c r="AS55" s="44"/>
      <x:c r="AT55" s="44" t="n">
        <x:v>1.2187999999999999</x:v>
      </x:c>
      <x:c r="AU55" s="174" t="n">
        <x:v>39216</x:v>
      </x:c>
      <x:c r="AV55" s="43" t="str">
        <x:v>00:49.00</x:v>
      </x:c>
      <x:c r="AW55" s="43" t="str">
        <x:v>00:49.00-00:50.75</x:v>
      </x:c>
      <x:c r="AX55" s="43" t="str">
        <x:v>f_00203.jpg</x:v>
      </x:c>
      <x:c r="AY55" s="43" t="str">
        <x:v>1000025189.mp4</x:v>
      </x:c>
      <x:c r="AZ55" s="44"/>
      <x:c r="BA55" s="175" t="n">
        <x:v>60</x:v>
      </x:c>
    </x:row>
    <x:row r="56" ht="18" customHeight="1">
      <x:c r="A56" s="43" t="str">
        <x:v>K116</x:v>
      </x:c>
      <x:c r="B56" s="43" t="str">
        <x:v>开始摆烂</x:v>
      </x:c>
      <x:c r="C56" s="43" t="n">
        <x:v>70000</x:v>
      </x:c>
      <x:c r="D56" s="44" t="n">
        <x:v>2.696</x:v>
      </x:c>
      <x:c r="E56" s="44" t="n">
        <x:v>2.136</x:v>
      </x:c>
      <x:c r="F56" s="44" t="n">
        <x:v>2.9160000000000004</x:v>
      </x:c>
      <x:c r="G56" s="44" t="n">
        <x:v>0.415</x:v>
      </x:c>
      <x:c r="H56" s="44" t="n">
        <x:v>-0.415</x:v>
      </x:c>
      <x:c r="I56" s="44" t="n">
        <x:v>4.1792</x:v>
      </x:c>
      <x:c r="J56" s="44" t="n">
        <x:v>2.7732</x:v>
      </x:c>
      <x:c r="K56" s="44" t="n">
        <x:v>5.807</x:v>
      </x:c>
      <x:c r="L56" s="44" t="n">
        <x:v>11.1742</x:v>
      </x:c>
      <x:c r="M56" s="44" t="n">
        <x:v>15.7412</x:v>
      </x:c>
      <x:c r="N56" s="44" t="n">
        <x:v>1.605</x:v>
      </x:c>
      <x:c r="O56" s="44" t="n">
        <x:v>-1.51</x:v>
      </x:c>
      <x:c r="P56" s="44" t="n">
        <x:v>0.64</x:v>
      </x:c>
      <x:c r="Q56" s="44" t="n">
        <x:v>3.75</x:v>
      </x:c>
      <x:c r="R56" s="44" t="n">
        <x:v>23.2905</x:v>
      </x:c>
      <x:c r="S56" s="44" t="n">
        <x:v>18.4805</x:v>
      </x:c>
      <x:c r="T56" s="44" t="n">
        <x:v>9.185</x:v>
      </x:c>
      <x:c r="U56" s="44" t="n">
        <x:v>1.73</x:v>
      </x:c>
      <x:c r="V56" s="44" t="n">
        <x:v>-1.3475</x:v>
      </x:c>
      <x:c r="W56" s="44" t="n">
        <x:v>4.31</x:v>
      </x:c>
      <x:c r="X56" s="44" t="n">
        <x:v>1.83</x:v>
      </x:c>
      <x:c r="Y56" s="44" t="n">
        <x:v>12.507</x:v>
      </x:c>
      <x:c r="Z56" s="44" t="n">
        <x:v>6.737</x:v>
      </x:c>
      <x:c r="AA56" s="44" t="n">
        <x:v>9.247</x:v>
      </x:c>
      <x:c r="AB56" s="44" t="n">
        <x:v>1.675</x:v>
      </x:c>
      <x:c r="AC56" s="44" t="n">
        <x:v>-1.3675</x:v>
      </x:c>
      <x:c r="AD56" s="44" t="n">
        <x:v>2.64</x:v>
      </x:c>
      <x:c r="AE56" s="44" t="n">
        <x:v>1.01</x:v>
      </x:c>
      <x:c r="AF56" s="44" t="n">
        <x:v>10.39</x:v>
      </x:c>
      <x:c r="AG56" s="44" t="n">
        <x:v>4.27</x:v>
      </x:c>
      <x:c r="AH56" s="44" t="n">
        <x:v>9.17</x:v>
      </x:c>
      <x:c r="AI56" s="44" t="n">
        <x:v>1.4475</x:v>
      </x:c>
      <x:c r="AJ56" s="44" t="n">
        <x:v>-1.285</x:v>
      </x:c>
      <x:c r="AK56" s="44" t="n">
        <x:v>1.27</x:v>
      </x:c>
      <x:c r="AL56" s="44" t="n">
        <x:v>0.57</x:v>
      </x:c>
      <x:c r="AM56" s="44" t="n">
        <x:v>0.26</x:v>
      </x:c>
      <x:c r="AN56" s="44" t="n">
        <x:v>0.21</x:v>
      </x:c>
      <x:c r="AO56" s="44" t="n">
        <x:v>-1.2187999999999999</x:v>
      </x:c>
      <x:c r="AP56" s="44" t="n">
        <x:v>1.2187999999999999</x:v>
      </x:c>
      <x:c r="AQ56" s="44" t="n">
        <x:v>0.9653</x:v>
      </x:c>
      <x:c r="AR56" s="44" t="n">
        <x:v>1.2187999999999999</x:v>
      </x:c>
      <x:c r="AS56" s="44"/>
      <x:c r="AT56" s="44" t="n">
        <x:v>1.2187999999999999</x:v>
      </x:c>
      <x:c r="AU56" s="174" t="n">
        <x:v>39216</x:v>
      </x:c>
      <x:c r="AV56" s="43" t="str">
        <x:v>00:55.50</x:v>
      </x:c>
      <x:c r="AW56" s="43" t="str">
        <x:v>00:55.50-00:57.25</x:v>
      </x:c>
      <x:c r="AX56" s="43" t="str">
        <x:v>f_00229.jpg</x:v>
      </x:c>
      <x:c r="AY56" s="43" t="str">
        <x:v>1000025189.mp4</x:v>
      </x:c>
      <x:c r="AZ56" s="44"/>
      <x:c r="BA56" s="175" t="n">
        <x:v>60</x:v>
      </x:c>
    </x:row>
    <x:row r="57" ht="18" customHeight="1">
      <x:c r="A57" s="43" t="str">
        <x:v>K116</x:v>
      </x:c>
      <x:c r="B57" s="43" t="str">
        <x:v>山君</x:v>
      </x:c>
      <x:c r="C57" s="43" t="n">
        <x:v>80000</x:v>
      </x:c>
      <x:c r="D57" s="44" t="n">
        <x:v>3.181</x:v>
      </x:c>
      <x:c r="E57" s="44" t="n">
        <x:v>2.8560000000000003</x:v>
      </x:c>
      <x:c r="F57" s="44" t="n">
        <x:v>3.056</x:v>
      </x:c>
      <x:c r="G57" s="44" t="n">
        <x:v>0.415</x:v>
      </x:c>
      <x:c r="H57" s="44" t="n">
        <x:v>-0.415</x:v>
      </x:c>
      <x:c r="I57" s="44" t="n">
        <x:v>4.3864</x:v>
      </x:c>
      <x:c r="J57" s="44" t="n">
        <x:v>4.1884</x:v>
      </x:c>
      <x:c r="K57" s="44" t="n">
        <x:v>8.667</x:v>
      </x:c>
      <x:c r="L57" s="44" t="n">
        <x:v>11.1257</x:v>
      </x:c>
      <x:c r="M57" s="44" t="n">
        <x:v>13.941199999999998</x:v>
      </x:c>
      <x:c r="N57" s="44" t="n">
        <x:v>1.4275</x:v>
      </x:c>
      <x:c r="O57" s="44" t="n">
        <x:v>-1.545</x:v>
      </x:c>
      <x:c r="P57" s="44" t="n">
        <x:v>1.47</x:v>
      </x:c>
      <x:c r="Q57" s="44" t="n">
        <x:v>4.12</x:v>
      </x:c>
      <x:c r="R57" s="44" t="n">
        <x:v>23.8855</x:v>
      </x:c>
      <x:c r="S57" s="44" t="n">
        <x:v>18.057000000000002</x:v>
      </x:c>
      <x:c r="T57" s="44" t="n">
        <x:v>9.785</x:v>
      </x:c>
      <x:c r="U57" s="44" t="n">
        <x:v>1.6275</x:v>
      </x:c>
      <x:c r="V57" s="44" t="n">
        <x:v>-1.3475</x:v>
      </x:c>
      <x:c r="W57" s="44" t="n">
        <x:v>4.73</x:v>
      </x:c>
      <x:c r="X57" s="44" t="n">
        <x:v>3.2</x:v>
      </x:c>
      <x:c r="Y57" s="44" t="n">
        <x:v>20.265</x:v>
      </x:c>
      <x:c r="Z57" s="44" t="n">
        <x:v>17.1835</x:v>
      </x:c>
      <x:c r="AA57" s="44" t="n">
        <x:v>11.0085</x:v>
      </x:c>
      <x:c r="AB57" s="44" t="n">
        <x:v>1.565</x:v>
      </x:c>
      <x:c r="AC57" s="44" t="n">
        <x:v>-1.4275</x:v>
      </x:c>
      <x:c r="AD57" s="44" t="n">
        <x:v>3.72</x:v>
      </x:c>
      <x:c r="AE57" s="44" t="n">
        <x:v>1.52</x:v>
      </x:c>
      <x:c r="AF57" s="44" t="n">
        <x:v>14.24</x:v>
      </x:c>
      <x:c r="AG57" s="44" t="n">
        <x:v>5.7</x:v>
      </x:c>
      <x:c r="AH57" s="44" t="n">
        <x:v>11.82</x:v>
      </x:c>
      <x:c r="AI57" s="44" t="n">
        <x:v>1.42</x:v>
      </x:c>
      <x:c r="AJ57" s="44" t="n">
        <x:v>-1.285</x:v>
      </x:c>
      <x:c r="AK57" s="44" t="n">
        <x:v>2.02</x:v>
      </x:c>
      <x:c r="AL57" s="44" t="n">
        <x:v>0.92</x:v>
      </x:c>
      <x:c r="AM57" s="44" t="n">
        <x:v>0.26</x:v>
      </x:c>
      <x:c r="AN57" s="44" t="n">
        <x:v>0.22</x:v>
      </x:c>
      <x:c r="AO57" s="44" t="n">
        <x:v>-1.2187999999999999</x:v>
      </x:c>
      <x:c r="AP57" s="44" t="n">
        <x:v>1.2187999999999999</x:v>
      </x:c>
      <x:c r="AQ57" s="44" t="n">
        <x:v>0.9653</x:v>
      </x:c>
      <x:c r="AR57" s="44" t="n">
        <x:v>1.2187999999999999</x:v>
      </x:c>
      <x:c r="AS57" s="44"/>
      <x:c r="AT57" s="44" t="n">
        <x:v>1.2187999999999999</x:v>
      </x:c>
      <x:c r="AU57" s="174" t="n">
        <x:v>39216</x:v>
      </x:c>
      <x:c r="AV57" s="43" t="str">
        <x:v>01:06.50</x:v>
      </x:c>
      <x:c r="AW57" s="43" t="str">
        <x:v>01:06.50-01:08.25</x:v>
      </x:c>
      <x:c r="AX57" s="43" t="str">
        <x:v>f_00273.jpg</x:v>
      </x:c>
      <x:c r="AY57" s="43" t="str">
        <x:v>1000025189.mp4</x:v>
      </x:c>
      <x:c r="AZ57" s="44"/>
      <x:c r="BA57" s="175" t="n">
        <x:v>60</x:v>
      </x:c>
    </x:row>
    <x:row r="58" ht="18" customHeight="1">
      <x:c r="A58" s="43" t="str">
        <x:v>K116</x:v>
      </x:c>
      <x:c r="B58" s="43" t="str">
        <x:v>汰需尚青</x:v>
      </x:c>
      <x:c r="C58" s="43" t="n">
        <x:v>156000</x:v>
      </x:c>
      <x:c r="D58" s="44" t="n">
        <x:v>3.9285</x:v>
      </x:c>
      <x:c r="E58" s="44" t="n">
        <x:v>3.9285</x:v>
      </x:c>
      <x:c r="F58" s="44" t="n">
        <x:v>4.3285</x:v>
      </x:c>
      <x:c r="G58" s="44" t="n">
        <x:v>0.4375</x:v>
      </x:c>
      <x:c r="H58" s="44" t="n">
        <x:v>-0.4375</x:v>
      </x:c>
      <x:c r="I58" s="44" t="n">
        <x:v>6</x:v>
      </x:c>
      <x:c r="J58" s="44" t="n">
        <x:v>6.01</x:v>
      </x:c>
      <x:c r="K58" s="44" t="n">
        <x:v>21.267</x:v>
      </x:c>
      <x:c r="L58" s="44" t="n">
        <x:v>20.86</x:v>
      </x:c>
      <x:c r="M58" s="44" t="n">
        <x:v>18.117</x:v>
      </x:c>
      <x:c r="N58" s="44" t="n">
        <x:v>1.965</x:v>
      </x:c>
      <x:c r="O58" s="44" t="n">
        <x:v>-1.9925</x:v>
      </x:c>
      <x:c r="P58" s="44" t="n">
        <x:v>7</x:v>
      </x:c>
      <x:c r="Q58" s="44" t="n">
        <x:v>7</x:v>
      </x:c>
      <x:c r="R58" s="44" t="n">
        <x:v>22.3035</x:v>
      </x:c>
      <x:c r="S58" s="44" t="n">
        <x:v>15.42</x:v>
      </x:c>
      <x:c r="T58" s="44" t="n">
        <x:v>13.115</x:v>
      </x:c>
      <x:c r="U58" s="44" t="n">
        <x:v>1.685</x:v>
      </x:c>
      <x:c r="V58" s="44" t="n">
        <x:v>-1.51</x:v>
      </x:c>
      <x:c r="W58" s="44" t="n">
        <x:v>7</x:v>
      </x:c>
      <x:c r="X58" s="44" t="n">
        <x:v>7</x:v>
      </x:c>
      <x:c r="Y58" s="44" t="n">
        <x:v>22.465</x:v>
      </x:c>
      <x:c r="Z58" s="44" t="n">
        <x:v>14.74</x:v>
      </x:c>
      <x:c r="AA58" s="44" t="n">
        <x:v>13.6435</x:v>
      </x:c>
      <x:c r="AB58" s="44" t="n">
        <x:v>1.8475</x:v>
      </x:c>
      <x:c r="AC58" s="44" t="n">
        <x:v>-1.945</x:v>
      </x:c>
      <x:c r="AD58" s="44" t="n">
        <x:v>7</x:v>
      </x:c>
      <x:c r="AE58" s="44" t="n">
        <x:v>7</x:v>
      </x:c>
      <x:c r="AF58" s="44" t="n">
        <x:v>17.035</x:v>
      </x:c>
      <x:c r="AG58" s="44" t="n">
        <x:v>12.035</x:v>
      </x:c>
      <x:c r="AH58" s="44" t="n">
        <x:v>16.035</x:v>
      </x:c>
      <x:c r="AI58" s="44" t="n">
        <x:v>1.365</x:v>
      </x:c>
      <x:c r="AJ58" s="44" t="n">
        <x:v>-1.365</x:v>
      </x:c>
      <x:c r="AK58" s="44" t="n">
        <x:v>7</x:v>
      </x:c>
      <x:c r="AL58" s="44" t="n">
        <x:v>7</x:v>
      </x:c>
      <x:c r="AM58" s="44" t="n">
        <x:v>0.46</x:v>
      </x:c>
      <x:c r="AN58" s="44" t="n">
        <x:v>0.215</x:v>
      </x:c>
      <x:c r="AO58" s="44" t="n">
        <x:v>-1.2187999999999999</x:v>
      </x:c>
      <x:c r="AP58" s="44" t="n">
        <x:v>1.2187999999999999</x:v>
      </x:c>
      <x:c r="AQ58" s="44" t="n">
        <x:v>0.9653</x:v>
      </x:c>
      <x:c r="AR58" s="44" t="n">
        <x:v>1.2187999999999999</x:v>
      </x:c>
      <x:c r="AS58" s="44"/>
      <x:c r="AT58" s="44" t="n">
        <x:v>1.2187999999999999</x:v>
      </x:c>
      <x:c r="AU58" s="174" t="n">
        <x:v>39216</x:v>
      </x:c>
      <x:c r="AV58" s="43" t="str">
        <x:v>01:19.25</x:v>
      </x:c>
      <x:c r="AW58" s="43" t="str">
        <x:v>01:19.25-01:20.50</x:v>
      </x:c>
      <x:c r="AX58" s="43" t="str">
        <x:v>f_00323.jpg</x:v>
      </x:c>
      <x:c r="AY58" s="43" t="str">
        <x:v>1000025189.mp4</x:v>
      </x:c>
      <x:c r="AZ58" s="44"/>
      <x:c r="BA58" s="175" t="n">
        <x:v>60</x:v>
      </x:c>
    </x:row>
    <x:row r="59" ht="18" customHeight="1">
      <x:c r="A59" s="43" t="str">
        <x:v>K116</x:v>
      </x:c>
      <x:c r="B59" s="43" t="str">
        <x:v>独守孤城</x:v>
      </x:c>
      <x:c r="C59" s="43" t="n">
        <x:v>80000</x:v>
      </x:c>
      <x:c r="D59" s="44" t="n">
        <x:v>3.4885</x:v>
      </x:c>
      <x:c r="E59" s="44" t="n">
        <x:v>3.0735</x:v>
      </x:c>
      <x:c r="F59" s="44" t="n">
        <x:v>3.3385000000000002</x:v>
      </x:c>
      <x:c r="G59" s="44" t="n">
        <x:v>0.415</x:v>
      </x:c>
      <x:c r="H59" s="44" t="n">
        <x:v>-0.415</x:v>
      </x:c>
      <x:c r="I59" s="44" t="n">
        <x:v>5.337999999999999</x:v>
      </x:c>
      <x:c r="J59" s="44" t="n">
        <x:v>2.3872</x:v>
      </x:c>
      <x:c r="K59" s="44" t="n">
        <x:v>7.707000000000001</x:v>
      </x:c>
      <x:c r="L59" s="44" t="n">
        <x:v>12.0699</x:v>
      </x:c>
      <x:c r="M59" s="44" t="n">
        <x:v>13.077</x:v>
      </x:c>
      <x:c r="N59" s="44" t="n">
        <x:v>1.365</x:v>
      </x:c>
      <x:c r="O59" s="44" t="n">
        <x:v>-1.545</x:v>
      </x:c>
      <x:c r="P59" s="44" t="n">
        <x:v>2.55</x:v>
      </x:c>
      <x:c r="Q59" s="44" t="n">
        <x:v>4.21</x:v>
      </x:c>
      <x:c r="R59" s="44" t="n">
        <x:v>24.410500000000003</x:v>
      </x:c>
      <x:c r="S59" s="44" t="n">
        <x:v>16.59</x:v>
      </x:c>
      <x:c r="T59" s="44" t="n">
        <x:v>12.812000000000001</x:v>
      </x:c>
      <x:c r="U59" s="44" t="n">
        <x:v>1.5025</x:v>
      </x:c>
      <x:c r="V59" s="44" t="n">
        <x:v>-1.3475</x:v>
      </x:c>
      <x:c r="W59" s="44" t="n">
        <x:v>4.42</x:v>
      </x:c>
      <x:c r="X59" s="44" t="n">
        <x:v>2.43</x:v>
      </x:c>
      <x:c r="Y59" s="44" t="n">
        <x:v>21.86</x:v>
      </x:c>
      <x:c r="Z59" s="44" t="n">
        <x:v>13.095</x:v>
      </x:c>
      <x:c r="AA59" s="44" t="n">
        <x:v>14.9285</x:v>
      </x:c>
      <x:c r="AB59" s="44" t="n">
        <x:v>1.6275</x:v>
      </x:c>
      <x:c r="AC59" s="44" t="n">
        <x:v>-1.4475</x:v>
      </x:c>
      <x:c r="AD59" s="44" t="n">
        <x:v>5.32</x:v>
      </x:c>
      <x:c r="AE59" s="44" t="n">
        <x:v>3.49</x:v>
      </x:c>
      <x:c r="AF59" s="44" t="n">
        <x:v>16.9835</x:v>
      </x:c>
      <x:c r="AG59" s="44" t="n">
        <x:v>6.305</x:v>
      </x:c>
      <x:c r="AH59" s="44" t="n">
        <x:v>12.415</x:v>
      </x:c>
      <x:c r="AI59" s="44" t="n">
        <x:v>1.4825</x:v>
      </x:c>
      <x:c r="AJ59" s="44" t="n">
        <x:v>-1.285</x:v>
      </x:c>
      <x:c r="AK59" s="44" t="n">
        <x:v>1.99</x:v>
      </x:c>
      <x:c r="AL59" s="44" t="n">
        <x:v>1.71</x:v>
      </x:c>
      <x:c r="AM59" s="44" t="n">
        <x:v>0.26</x:v>
      </x:c>
      <x:c r="AN59" s="44" t="n">
        <x:v>0.24</x:v>
      </x:c>
      <x:c r="AO59" s="44" t="n">
        <x:v>-1.2187999999999999</x:v>
      </x:c>
      <x:c r="AP59" s="44" t="n">
        <x:v>1.2187999999999999</x:v>
      </x:c>
      <x:c r="AQ59" s="44" t="n">
        <x:v>0.9653</x:v>
      </x:c>
      <x:c r="AR59" s="44" t="n">
        <x:v>1.2187999999999999</x:v>
      </x:c>
      <x:c r="AS59" s="44"/>
      <x:c r="AT59" s="44" t="n">
        <x:v>1.2187999999999999</x:v>
      </x:c>
      <x:c r="AU59" s="174" t="n">
        <x:v>39216</x:v>
      </x:c>
      <x:c r="AV59" s="43" t="str">
        <x:v>01:27.25</x:v>
      </x:c>
      <x:c r="AW59" s="43" t="str">
        <x:v>01:27.25-01:29.00</x:v>
      </x:c>
      <x:c r="AX59" s="43" t="str">
        <x:v>f_00356.jpg</x:v>
      </x:c>
      <x:c r="AY59" s="43" t="str">
        <x:v>1000025189.mp4</x:v>
      </x:c>
      <x:c r="AZ59" s="44"/>
      <x:c r="BA59" s="175" t="n">
        <x:v>60</x:v>
      </x:c>
    </x:row>
    <x:row r="60" ht="18" customHeight="1">
      <x:c r="A60" s="43" t="str">
        <x:v>K116</x:v>
      </x:c>
      <x:c r="B60" s="43" t="str">
        <x:v>Yuke</x:v>
      </x:c>
      <x:c r="C60" s="43" t="n">
        <x:v>35020</x:v>
      </x:c>
      <x:c r="D60" s="44" t="n">
        <x:v>3.3621</x:v>
      </x:c>
      <x:c r="E60" s="44" t="n">
        <x:v>1.786</x:v>
      </x:c>
      <x:c r="F60" s="44" t="n">
        <x:v>2.311</x:v>
      </x:c>
      <x:c r="G60" s="44" t="n">
        <x:v>0.375</x:v>
      </x:c>
      <x:c r="H60" s="44" t="n">
        <x:v>-0.39</x:v>
      </x:c>
      <x:c r="I60" s="44" t="n">
        <x:v>3.5151999999999997</x:v>
      </x:c>
      <x:c r="J60" s="44" t="n">
        <x:v>1.2146</x:v>
      </x:c>
      <x:c r="K60" s="44" t="n">
        <x:v>5.417000000000001</x:v>
      </x:c>
      <x:c r="L60" s="44" t="n">
        <x:v>12.871199999999998</x:v>
      </x:c>
      <x:c r="M60" s="44" t="n">
        <x:v>9.7142</x:v>
      </x:c>
      <x:c r="N60" s="44" t="n">
        <x:v>1.205</x:v>
      </x:c>
      <x:c r="O60" s="44" t="n">
        <x:v>-1.3265</x:v>
      </x:c>
      <x:c r="P60" s="44" t="n">
        <x:v>0.7</x:v>
      </x:c>
      <x:c r="Q60" s="44" t="n">
        <x:v>1.32</x:v>
      </x:c>
      <x:c r="R60" s="44" t="n">
        <x:v>11.9375</x:v>
      </x:c>
      <x:c r="S60" s="44" t="n">
        <x:v>10.84</x:v>
      </x:c>
      <x:c r="T60" s="44" t="n">
        <x:v>7.1185</x:v>
      </x:c>
      <x:c r="U60" s="44" t="n">
        <x:v>0.7965000000000001</x:v>
      </x:c>
      <x:c r="V60" s="44" t="n">
        <x:v>-0.63</x:v>
      </x:c>
      <x:c r="W60" s="44" t="n">
        <x:v>0.85</x:v>
      </x:c>
      <x:c r="X60" s="44" t="n">
        <x:v>0.58</x:v>
      </x:c>
      <x:c r="Y60" s="44" t="n">
        <x:v>22.408</x:v>
      </x:c>
      <x:c r="Z60" s="44" t="n">
        <x:v>10.49</x:v>
      </x:c>
      <x:c r="AA60" s="44" t="n">
        <x:v>7.6770000000000005</x:v>
      </x:c>
      <x:c r="AB60" s="44" t="n">
        <x:v>1.38</x:v>
      </x:c>
      <x:c r="AC60" s="44" t="n">
        <x:v>-1.265</x:v>
      </x:c>
      <x:c r="AD60" s="44" t="n">
        <x:v>4.16</x:v>
      </x:c>
      <x:c r="AE60" s="44" t="n">
        <x:v>2.34</x:v>
      </x:c>
      <x:c r="AF60" s="44" t="n">
        <x:v>10.058</x:v>
      </x:c>
      <x:c r="AG60" s="44" t="n">
        <x:v>5.237</x:v>
      </x:c>
      <x:c r="AH60" s="44" t="n">
        <x:v>3.3</x:v>
      </x:c>
      <x:c r="AI60" s="44" t="n">
        <x:v>0.6085</x:v>
      </x:c>
      <x:c r="AJ60" s="44" t="n">
        <x:v>-0.287</x:v>
      </x:c>
      <x:c r="AK60" s="44" t="n">
        <x:v>0.39</x:v>
      </x:c>
      <x:c r="AL60" s="44" t="n">
        <x:v>0.42</x:v>
      </x:c>
      <x:c r="AM60" s="44" t="n">
        <x:v>0.26</x:v>
      </x:c>
      <x:c r="AN60" s="44" t="n">
        <x:v>0.12</x:v>
      </x:c>
      <x:c r="AO60" s="44" t="n">
        <x:v>-1.2187999999999999</x:v>
      </x:c>
      <x:c r="AP60" s="44" t="n">
        <x:v>1.2187999999999999</x:v>
      </x:c>
      <x:c r="AQ60" s="44" t="n">
        <x:v>0.9653</x:v>
      </x:c>
      <x:c r="AR60" s="44" t="n">
        <x:v>1.2187999999999999</x:v>
      </x:c>
      <x:c r="AS60" s="44"/>
      <x:c r="AT60" s="44" t="n">
        <x:v>1.2187999999999999</x:v>
      </x:c>
      <x:c r="AU60" s="174" t="n">
        <x:v>39216</x:v>
      </x:c>
      <x:c r="AV60" s="43" t="str">
        <x:v>01:38.50</x:v>
      </x:c>
      <x:c r="AW60" s="43" t="str">
        <x:v>01:38.50-01:40.50</x:v>
      </x:c>
      <x:c r="AX60" s="43" t="str">
        <x:v>f_00402.jpg</x:v>
      </x:c>
      <x:c r="AY60" s="43" t="str">
        <x:v>1000025189.mp4</x:v>
      </x:c>
      <x:c r="AZ60" s="44"/>
      <x:c r="BA60" s="175" t="n">
        <x:v>60</x:v>
      </x:c>
    </x:row>
    <x:row r="61" ht="18" customHeight="1">
      <x:c r="A61" s="43" t="str">
        <x:v>K116</x:v>
      </x:c>
      <x:c r="B61" s="43" t="str">
        <x:v>不可理喻</x:v>
      </x:c>
      <x:c r="C61" s="43" t="n">
        <x:v>108000</x:v>
      </x:c>
      <x:c r="D61" s="44" t="n">
        <x:v>3.511</x:v>
      </x:c>
      <x:c r="E61" s="44" t="n">
        <x:v>3.011</x:v>
      </x:c>
      <x:c r="F61" s="44" t="n">
        <x:v>3.471</x:v>
      </x:c>
      <x:c r="G61" s="44" t="n">
        <x:v>0.415</x:v>
      </x:c>
      <x:c r="H61" s="44" t="n">
        <x:v>-0.415</x:v>
      </x:c>
      <x:c r="I61" s="44" t="n">
        <x:v>6</x:v>
      </x:c>
      <x:c r="J61" s="44" t="n">
        <x:v>3.4268</x:v>
      </x:c>
      <x:c r="K61" s="44" t="n">
        <x:v>14.52</x:v>
      </x:c>
      <x:c r="L61" s="44" t="n">
        <x:v>21.3642</x:v>
      </x:c>
      <x:c r="M61" s="44" t="n">
        <x:v>13.1707</x:v>
      </x:c>
      <x:c r="N61" s="44" t="n">
        <x:v>1.365</x:v>
      </x:c>
      <x:c r="O61" s="44" t="n">
        <x:v>-1.585</x:v>
      </x:c>
      <x:c r="P61" s="44" t="n">
        <x:v>1.78</x:v>
      </x:c>
      <x:c r="Q61" s="44" t="n">
        <x:v>7</x:v>
      </x:c>
      <x:c r="R61" s="44" t="n">
        <x:v>22.337</x:v>
      </x:c>
      <x:c r="S61" s="44" t="n">
        <x:v>13.33</x:v>
      </x:c>
      <x:c r="T61" s="44" t="n">
        <x:v>12.532</x:v>
      </x:c>
      <x:c r="U61" s="44" t="n">
        <x:v>1.565</x:v>
      </x:c>
      <x:c r="V61" s="44" t="n">
        <x:v>-1.3475</x:v>
      </x:c>
      <x:c r="W61" s="44" t="n">
        <x:v>7</x:v>
      </x:c>
      <x:c r="X61" s="44" t="n">
        <x:v>4.34</x:v>
      </x:c>
      <x:c r="Y61" s="44" t="n">
        <x:v>19.77</x:v>
      </x:c>
      <x:c r="Z61" s="44" t="n">
        <x:v>12.395</x:v>
      </x:c>
      <x:c r="AA61" s="44" t="n">
        <x:v>8.875</x:v>
      </x:c>
      <x:c r="AB61" s="44" t="n">
        <x:v>1.565</x:v>
      </x:c>
      <x:c r="AC61" s="44" t="n">
        <x:v>-1.4475</x:v>
      </x:c>
      <x:c r="AD61" s="44" t="n">
        <x:v>6.26</x:v>
      </x:c>
      <x:c r="AE61" s="44" t="n">
        <x:v>3.32</x:v>
      </x:c>
      <x:c r="AF61" s="44" t="n">
        <x:v>17.0235</x:v>
      </x:c>
      <x:c r="AG61" s="44" t="n">
        <x:v>7.09</x:v>
      </x:c>
      <x:c r="AH61" s="44" t="n">
        <x:v>10.93</x:v>
      </x:c>
      <x:c r="AI61" s="44" t="n">
        <x:v>1.4825</x:v>
      </x:c>
      <x:c r="AJ61" s="44" t="n">
        <x:v>-1.285</x:v>
      </x:c>
      <x:c r="AK61" s="44" t="n">
        <x:v>5.46</x:v>
      </x:c>
      <x:c r="AL61" s="44" t="n">
        <x:v>2.57</x:v>
      </x:c>
      <x:c r="AM61" s="44" t="n">
        <x:v>0.46</x:v>
      </x:c>
      <x:c r="AN61" s="44" t="n">
        <x:v>0.205</x:v>
      </x:c>
      <x:c r="AO61" s="44" t="n">
        <x:v>-1.2187999999999999</x:v>
      </x:c>
      <x:c r="AP61" s="44" t="n">
        <x:v>1.2187999999999999</x:v>
      </x:c>
      <x:c r="AQ61" s="44" t="n">
        <x:v>0.9653</x:v>
      </x:c>
      <x:c r="AR61" s="44" t="n">
        <x:v>1.2187999999999999</x:v>
      </x:c>
      <x:c r="AS61" s="44"/>
      <x:c r="AT61" s="44" t="n">
        <x:v>1.2187999999999999</x:v>
      </x:c>
      <x:c r="AU61" s="174" t="n">
        <x:v>39216</x:v>
      </x:c>
      <x:c r="AV61" s="43" t="str">
        <x:v>01:49.00</x:v>
      </x:c>
      <x:c r="AW61" s="43" t="str">
        <x:v>01:49.00-01:51.00</x:v>
      </x:c>
      <x:c r="AX61" s="43" t="str">
        <x:v>f_00444.jpg</x:v>
      </x:c>
      <x:c r="AY61" s="43" t="str">
        <x:v>1000025189.mp4</x:v>
      </x:c>
      <x:c r="AZ61" s="44"/>
      <x:c r="BA61" s="175" t="n">
        <x:v>60</x:v>
      </x:c>
    </x:row>
    <x:row r="62" ht="18" customHeight="1">
      <x:c r="A62" s="43" t="str">
        <x:v>K116</x:v>
      </x:c>
      <x:c r="B62" s="43" t="str">
        <x:v>懒洋洋爱看腿</x:v>
      </x:c>
      <x:c r="C62" s="43" t="n">
        <x:v>108000</x:v>
      </x:c>
      <x:c r="D62" s="44" t="n">
        <x:v>3.6210000000000004</x:v>
      </x:c>
      <x:c r="E62" s="44" t="n">
        <x:v>2.9160000000000004</x:v>
      </x:c>
      <x:c r="F62" s="44" t="n">
        <x:v>3.3110000000000004</x:v>
      </x:c>
      <x:c r="G62" s="44" t="n">
        <x:v>0.415</x:v>
      </x:c>
      <x:c r="H62" s="44" t="n">
        <x:v>-0.415</x:v>
      </x:c>
      <x:c r="I62" s="44" t="n">
        <x:v>6.01</x:v>
      </x:c>
      <x:c r="J62" s="44" t="n">
        <x:v>2.9076</x:v>
      </x:c>
      <x:c r="K62" s="44" t="n">
        <x:v>12.717</x:v>
      </x:c>
      <x:c r="L62" s="44" t="n">
        <x:v>15.7957</x:v>
      </x:c>
      <x:c r="M62" s="44" t="n">
        <x:v>17.891199999999998</x:v>
      </x:c>
      <x:c r="N62" s="44" t="n">
        <x:v>1.4275</x:v>
      </x:c>
      <x:c r="O62" s="44" t="n">
        <x:v>-1.6075</x:v>
      </x:c>
      <x:c r="P62" s="44" t="n">
        <x:v>1.9</x:v>
      </x:c>
      <x:c r="Q62" s="44" t="n">
        <x:v>6.16</x:v>
      </x:c>
      <x:c r="R62" s="44" t="n">
        <x:v>23.570500000000003</x:v>
      </x:c>
      <x:c r="S62" s="44" t="n">
        <x:v>15.457</x:v>
      </x:c>
      <x:c r="T62" s="44" t="n">
        <x:v>7.305</x:v>
      </x:c>
      <x:c r="U62" s="44" t="n">
        <x:v>1.5225</x:v>
      </x:c>
      <x:c r="V62" s="44" t="n">
        <x:v>-1.3475</x:v>
      </x:c>
      <x:c r="W62" s="44" t="n">
        <x:v>5.09</x:v>
      </x:c>
      <x:c r="X62" s="44" t="n">
        <x:v>2.93</x:v>
      </x:c>
      <x:c r="Y62" s="44" t="n">
        <x:v>21.53</x:v>
      </x:c>
      <x:c r="Z62" s="44" t="n">
        <x:v>12.7235</x:v>
      </x:c>
      <x:c r="AA62" s="44" t="n">
        <x:v>9.7235</x:v>
      </x:c>
      <x:c r="AB62" s="44" t="n">
        <x:v>1.605</x:v>
      </x:c>
      <x:c r="AC62" s="44" t="n">
        <x:v>-1.4475</x:v>
      </x:c>
      <x:c r="AD62" s="44" t="n">
        <x:v>7</x:v>
      </x:c>
      <x:c r="AE62" s="44" t="n">
        <x:v>3.39</x:v>
      </x:c>
      <x:c r="AF62" s="44" t="n">
        <x:v>15.14</x:v>
      </x:c>
      <x:c r="AG62" s="44" t="n">
        <x:v>5.36</x:v>
      </x:c>
      <x:c r="AH62" s="44" t="n">
        <x:v>11.83</x:v>
      </x:c>
      <x:c r="AI62" s="44" t="n">
        <x:v>1.405</x:v>
      </x:c>
      <x:c r="AJ62" s="44" t="n">
        <x:v>-1.285</x:v>
      </x:c>
      <x:c r="AK62" s="44" t="n">
        <x:v>1.77</x:v>
      </x:c>
      <x:c r="AL62" s="44" t="n">
        <x:v>0.87</x:v>
      </x:c>
      <x:c r="AM62" s="44" t="n">
        <x:v>0.26</x:v>
      </x:c>
      <x:c r="AN62" s="44" t="n">
        <x:v>0.23</x:v>
      </x:c>
      <x:c r="AO62" s="44" t="n">
        <x:v>-1.2187999999999999</x:v>
      </x:c>
      <x:c r="AP62" s="44" t="n">
        <x:v>1.2187999999999999</x:v>
      </x:c>
      <x:c r="AQ62" s="44" t="n">
        <x:v>0.9653</x:v>
      </x:c>
      <x:c r="AR62" s="44" t="n">
        <x:v>1.2187999999999999</x:v>
      </x:c>
      <x:c r="AS62" s="44"/>
      <x:c r="AT62" s="44" t="n">
        <x:v>1.2187999999999999</x:v>
      </x:c>
      <x:c r="AU62" s="174" t="n">
        <x:v>39216</x:v>
      </x:c>
      <x:c r="AV62" s="43" t="str">
        <x:v>02:01.00</x:v>
      </x:c>
      <x:c r="AW62" s="43" t="str">
        <x:v>02:01.00-02:02.50</x:v>
      </x:c>
      <x:c r="AX62" s="43" t="str">
        <x:v>f_00490.jpg</x:v>
      </x:c>
      <x:c r="AY62" s="43" t="str">
        <x:v>1000025189.mp4</x:v>
      </x:c>
      <x:c r="AZ62" s="44"/>
      <x:c r="BA62" s="175" t="n">
        <x:v>60</x:v>
      </x:c>
    </x:row>
    <x:row r="63" ht="18" customHeight="1">
      <x:c r="A63" s="43" t="str">
        <x:v>K116</x:v>
      </x:c>
      <x:c r="B63" s="43" t="str">
        <x:v>蜜蜜°</x:v>
      </x:c>
      <x:c r="C63" s="43" t="n">
        <x:v>90000</x:v>
      </x:c>
      <x:c r="D63" s="44" t="n">
        <x:v>3.196</x:v>
      </x:c>
      <x:c r="E63" s="44" t="n">
        <x:v>2.991</x:v>
      </x:c>
      <x:c r="F63" s="44" t="n">
        <x:v>3.0260000000000002</x:v>
      </x:c>
      <x:c r="G63" s="44" t="n">
        <x:v>0.415</x:v>
      </x:c>
      <x:c r="H63" s="44" t="n">
        <x:v>-0.415</x:v>
      </x:c>
      <x:c r="I63" s="44" t="n">
        <x:v>6</x:v>
      </x:c>
      <x:c r="J63" s="44" t="n">
        <x:v>4.1208</x:v>
      </x:c>
      <x:c r="K63" s="44" t="n">
        <x:v>9.482000000000001</x:v>
      </x:c>
      <x:c r="L63" s="44" t="n">
        <x:v>14.4599</x:v>
      </x:c>
      <x:c r="M63" s="44" t="n">
        <x:v>15.647</x:v>
      </x:c>
      <x:c r="N63" s="44" t="n">
        <x:v>1.3475</x:v>
      </x:c>
      <x:c r="O63" s="44" t="n">
        <x:v>-1.4875</x:v>
      </x:c>
      <x:c r="P63" s="44" t="n">
        <x:v>4.54</x:v>
      </x:c>
      <x:c r="Q63" s="44" t="n">
        <x:v>6.3</x:v>
      </x:c>
      <x:c r="R63" s="44" t="n">
        <x:v>19.1205</x:v>
      </x:c>
      <x:c r="S63" s="44" t="n">
        <x:v>13.26</x:v>
      </x:c>
      <x:c r="T63" s="44" t="n">
        <x:v>9.042</x:v>
      </x:c>
      <x:c r="U63" s="44" t="n">
        <x:v>1.4875</x:v>
      </x:c>
      <x:c r="V63" s="44" t="n">
        <x:v>-1.3675</x:v>
      </x:c>
      <x:c r="W63" s="44" t="n">
        <x:v>4.62</x:v>
      </x:c>
      <x:c r="X63" s="44" t="n">
        <x:v>2.75</x:v>
      </x:c>
      <x:c r="Y63" s="44" t="n">
        <x:v>19.59</x:v>
      </x:c>
      <x:c r="Z63" s="44" t="n">
        <x:v>15.38</x:v>
      </x:c>
      <x:c r="AA63" s="44" t="n">
        <x:v>13.0435</x:v>
      </x:c>
      <x:c r="AB63" s="44" t="n">
        <x:v>1.5075</x:v>
      </x:c>
      <x:c r="AC63" s="44" t="n">
        <x:v>-1.3675</x:v>
      </x:c>
      <x:c r="AD63" s="44" t="n">
        <x:v>5.42</x:v>
      </x:c>
      <x:c r="AE63" s="44" t="n">
        <x:v>3.54</x:v>
      </x:c>
      <x:c r="AF63" s="44" t="n">
        <x:v>15.9835</x:v>
      </x:c>
      <x:c r="AG63" s="44" t="n">
        <x:v>6.4</x:v>
      </x:c>
      <x:c r="AH63" s="44" t="n">
        <x:v>12.39</x:v>
      </x:c>
      <x:c r="AI63" s="44" t="n">
        <x:v>1.4475</x:v>
      </x:c>
      <x:c r="AJ63" s="44" t="n">
        <x:v>-1.325</x:v>
      </x:c>
      <x:c r="AK63" s="44" t="n">
        <x:v>5.51</x:v>
      </x:c>
      <x:c r="AL63" s="44" t="n">
        <x:v>3.87</x:v>
      </x:c>
      <x:c r="AM63" s="44" t="n">
        <x:v>0.26</x:v>
      </x:c>
      <x:c r="AN63" s="44" t="n">
        <x:v>0.225</x:v>
      </x:c>
      <x:c r="AO63" s="44" t="n">
        <x:v>-1.2187999999999999</x:v>
      </x:c>
      <x:c r="AP63" s="44" t="n">
        <x:v>1.2187999999999999</x:v>
      </x:c>
      <x:c r="AQ63" s="44" t="n">
        <x:v>0.9653</x:v>
      </x:c>
      <x:c r="AR63" s="44" t="n">
        <x:v>1.2187999999999999</x:v>
      </x:c>
      <x:c r="AS63" s="44"/>
      <x:c r="AT63" s="44" t="n">
        <x:v>1.2187999999999999</x:v>
      </x:c>
      <x:c r="AU63" s="174" t="n">
        <x:v>39216</x:v>
      </x:c>
      <x:c r="AV63" s="43" t="str">
        <x:v>02:09.25</x:v>
      </x:c>
      <x:c r="AW63" s="43" t="str">
        <x:v>02:09.25-02:11.50</x:v>
      </x:c>
      <x:c r="AX63" s="43" t="str">
        <x:v>f_00526.jpg</x:v>
      </x:c>
      <x:c r="AY63" s="43" t="str">
        <x:v>1000025189.mp4</x:v>
      </x:c>
      <x:c r="AZ63" s="44"/>
      <x:c r="BA63" s="175" t="n">
        <x:v>60</x:v>
      </x:c>
    </x:row>
    <x:row r="64" ht="18" customHeight="1">
      <x:c r="A64" s="43" t="str">
        <x:v>K116</x:v>
      </x:c>
      <x:c r="B64" s="43" t="str">
        <x:v>红烧狮子头</x:v>
      </x:c>
      <x:c r="C64" s="43" t="n">
        <x:v>80000</x:v>
      </x:c>
      <x:c r="D64" s="44" t="n">
        <x:v>3.2385</x:v>
      </x:c>
      <x:c r="E64" s="44" t="n">
        <x:v>2.536</x:v>
      </x:c>
      <x:c r="F64" s="44" t="n">
        <x:v>3.091</x:v>
      </x:c>
      <x:c r="G64" s="44" t="n">
        <x:v>0.415</x:v>
      </x:c>
      <x:c r="H64" s="44" t="n">
        <x:v>-0.415</x:v>
      </x:c>
      <x:c r="I64" s="44" t="n">
        <x:v>4.9748</x:v>
      </x:c>
      <x:c r="J64" s="44" t="n">
        <x:v>4.2463999999999995</x:v>
      </x:c>
      <x:c r="K64" s="44" t="n">
        <x:v>12.41</x:v>
      </x:c>
      <x:c r="L64" s="44" t="n">
        <x:v>18.4342</x:v>
      </x:c>
      <x:c r="M64" s="44" t="n">
        <x:v>10.310699999999999</x:v>
      </x:c>
      <x:c r="N64" s="44" t="n">
        <x:v>1.365</x:v>
      </x:c>
      <x:c r="O64" s="44" t="n">
        <x:v>-1.6075</x:v>
      </x:c>
      <x:c r="P64" s="44" t="n">
        <x:v>1.03</x:v>
      </x:c>
      <x:c r="Q64" s="44" t="n">
        <x:v>4.76</x:v>
      </x:c>
      <x:c r="R64" s="44" t="n">
        <x:v>22.587</x:v>
      </x:c>
      <x:c r="S64" s="44" t="n">
        <x:v>15.44</x:v>
      </x:c>
      <x:c r="T64" s="44" t="n">
        <x:v>15.312000000000001</x:v>
      </x:c>
      <x:c r="U64" s="44" t="n">
        <x:v>1.5925</x:v>
      </x:c>
      <x:c r="V64" s="44" t="n">
        <x:v>-1.3475</x:v>
      </x:c>
      <x:c r="W64" s="44" t="n">
        <x:v>4.42</x:v>
      </x:c>
      <x:c r="X64" s="44" t="n">
        <x:v>2.7</x:v>
      </x:c>
      <x:c r="Y64" s="44" t="n">
        <x:v>20.27</x:v>
      </x:c>
      <x:c r="Z64" s="44" t="n">
        <x:v>13.19</x:v>
      </x:c>
      <x:c r="AA64" s="44" t="n">
        <x:v>12.68</x:v>
      </x:c>
      <x:c r="AB64" s="44" t="n">
        <x:v>1.48</x:v>
      </x:c>
      <x:c r="AC64" s="44" t="n">
        <x:v>-1.385</x:v>
      </x:c>
      <x:c r="AD64" s="44" t="n">
        <x:v>4.47</x:v>
      </x:c>
      <x:c r="AE64" s="44" t="n">
        <x:v>2.05</x:v>
      </x:c>
      <x:c r="AF64" s="44" t="n">
        <x:v>15.913499999999999</x:v>
      </x:c>
      <x:c r="AG64" s="44" t="n">
        <x:v>8.615</x:v>
      </x:c>
      <x:c r="AH64" s="44" t="n">
        <x:v>11.59</x:v>
      </x:c>
      <x:c r="AI64" s="44" t="n">
        <x:v>1.425</x:v>
      </x:c>
      <x:c r="AJ64" s="44" t="n">
        <x:v>-1.285</x:v>
      </x:c>
      <x:c r="AK64" s="44" t="n">
        <x:v>1.31</x:v>
      </x:c>
      <x:c r="AL64" s="44" t="n">
        <x:v>0.86</x:v>
      </x:c>
      <x:c r="AM64" s="44" t="n">
        <x:v>0.26</x:v>
      </x:c>
      <x:c r="AN64" s="44" t="n">
        <x:v>0.235</x:v>
      </x:c>
      <x:c r="AO64" s="44" t="n">
        <x:v>-1.2187999999999999</x:v>
      </x:c>
      <x:c r="AP64" s="44" t="n">
        <x:v>1.2187999999999999</x:v>
      </x:c>
      <x:c r="AQ64" s="44" t="n">
        <x:v>0.9653</x:v>
      </x:c>
      <x:c r="AR64" s="44" t="n">
        <x:v>1.2187999999999999</x:v>
      </x:c>
      <x:c r="AS64" s="44"/>
      <x:c r="AT64" s="44" t="n">
        <x:v>1.2187999999999999</x:v>
      </x:c>
      <x:c r="AU64" s="174" t="n">
        <x:v>39216</x:v>
      </x:c>
      <x:c r="AV64" s="43" t="str">
        <x:v>02:17.50</x:v>
      </x:c>
      <x:c r="AW64" s="43" t="str">
        <x:v>02:17.50-02:19.00</x:v>
      </x:c>
      <x:c r="AX64" s="43" t="str">
        <x:v>f_00556.jpg</x:v>
      </x:c>
      <x:c r="AY64" s="43" t="str">
        <x:v>1000025189.mp4</x:v>
      </x:c>
      <x:c r="AZ64" s="44"/>
      <x:c r="BA64" s="175" t="n">
        <x:v>60</x:v>
      </x:c>
    </x:row>
    <x:row r="65" ht="18" customHeight="1">
      <x:c r="A65" s="43" t="str">
        <x:v>K116</x:v>
      </x:c>
      <x:c r="B65" s="43" t="str">
        <x:v>那时像风一样</x:v>
      </x:c>
      <x:c r="C65" s="43" t="n">
        <x:v>80000</x:v>
      </x:c>
      <x:c r="D65" s="44" t="n">
        <x:v>3.3335000000000004</x:v>
      </x:c>
      <x:c r="E65" s="44" t="n">
        <x:v>2.951</x:v>
      </x:c>
      <x:c r="F65" s="44" t="n">
        <x:v>3.091</x:v>
      </x:c>
      <x:c r="G65" s="44" t="n">
        <x:v>0.415</x:v>
      </x:c>
      <x:c r="H65" s="44" t="n">
        <x:v>-0.415</x:v>
      </x:c>
      <x:c r="I65" s="44" t="n">
        <x:v>4.5876</x:v>
      </x:c>
      <x:c r="J65" s="44" t="n">
        <x:v>4.1648000000000005</x:v>
      </x:c>
      <x:c r="K65" s="44" t="n">
        <x:v>11.585</x:v>
      </x:c>
      <x:c r="L65" s="44" t="n">
        <x:v>19.0242</x:v>
      </x:c>
      <x:c r="M65" s="44" t="n">
        <x:v>11.150699999999999</x:v>
      </x:c>
      <x:c r="N65" s="44" t="n">
        <x:v>1.365</x:v>
      </x:c>
      <x:c r="O65" s="44" t="n">
        <x:v>-1.545</x:v>
      </x:c>
      <x:c r="P65" s="44" t="n">
        <x:v>1.73</x:v>
      </x:c>
      <x:c r="Q65" s="44" t="n">
        <x:v>4.2</x:v>
      </x:c>
      <x:c r="R65" s="44" t="n">
        <x:v>23.302</x:v>
      </x:c>
      <x:c r="S65" s="44" t="n">
        <x:v>16.89</x:v>
      </x:c>
      <x:c r="T65" s="44" t="n">
        <x:v>16.412</x:v>
      </x:c>
      <x:c r="U65" s="44" t="n">
        <x:v>1.6675</x:v>
      </x:c>
      <x:c r="V65" s="44" t="n">
        <x:v>-1.3475</x:v>
      </x:c>
      <x:c r="W65" s="44" t="n">
        <x:v>5.7</x:v>
      </x:c>
      <x:c r="X65" s="44" t="n">
        <x:v>3.68</x:v>
      </x:c>
      <x:c r="Y65" s="44" t="n">
        <x:v>20.82</x:v>
      </x:c>
      <x:c r="Z65" s="44" t="n">
        <x:v>11.675</x:v>
      </x:c>
      <x:c r="AA65" s="44" t="n">
        <x:v>11.07</x:v>
      </x:c>
      <x:c r="AB65" s="44" t="n">
        <x:v>1.565</x:v>
      </x:c>
      <x:c r="AC65" s="44" t="n">
        <x:v>-1.385</x:v>
      </x:c>
      <x:c r="AD65" s="44" t="n">
        <x:v>3.91</x:v>
      </x:c>
      <x:c r="AE65" s="44" t="n">
        <x:v>1.75</x:v>
      </x:c>
      <x:c r="AF65" s="44" t="n">
        <x:v>16.2835</x:v>
      </x:c>
      <x:c r="AG65" s="44" t="n">
        <x:v>8.07</x:v>
      </x:c>
      <x:c r="AH65" s="44" t="n">
        <x:v>11.02</x:v>
      </x:c>
      <x:c r="AI65" s="44" t="n">
        <x:v>1.42</x:v>
      </x:c>
      <x:c r="AJ65" s="44" t="n">
        <x:v>-1.285</x:v>
      </x:c>
      <x:c r="AK65" s="44" t="n">
        <x:v>2.1</x:v>
      </x:c>
      <x:c r="AL65" s="44" t="n">
        <x:v>1.11</x:v>
      </x:c>
      <x:c r="AM65" s="44" t="n">
        <x:v>0.26</x:v>
      </x:c>
      <x:c r="AN65" s="44" t="n">
        <x:v>0.225</x:v>
      </x:c>
      <x:c r="AO65" s="44" t="n">
        <x:v>-1.2187999999999999</x:v>
      </x:c>
      <x:c r="AP65" s="44" t="n">
        <x:v>1.2187999999999999</x:v>
      </x:c>
      <x:c r="AQ65" s="44" t="n">
        <x:v>0.9653</x:v>
      </x:c>
      <x:c r="AR65" s="44" t="n">
        <x:v>1.2187999999999999</x:v>
      </x:c>
      <x:c r="AS65" s="44"/>
      <x:c r="AT65" s="44" t="n">
        <x:v>1.2187999999999999</x:v>
      </x:c>
      <x:c r="AU65" s="174" t="n">
        <x:v>39216</x:v>
      </x:c>
      <x:c r="AV65" s="43" t="str">
        <x:v>02:25.50</x:v>
      </x:c>
      <x:c r="AW65" s="43" t="str">
        <x:v>02:25.50-02:27.00</x:v>
      </x:c>
      <x:c r="AX65" s="43" t="str">
        <x:v>f_00588.jpg</x:v>
      </x:c>
      <x:c r="AY65" s="43" t="str">
        <x:v>1000025189.mp4</x:v>
      </x:c>
      <x:c r="AZ65" s="44"/>
      <x:c r="BA65" s="175" t="n">
        <x:v>60</x:v>
      </x:c>
    </x:row>
    <x:row r="66" ht="18" customHeight="1">
      <x:c r="A66" s="43" t="str">
        <x:v>K116</x:v>
      </x:c>
      <x:c r="B66" s="43" t="str">
        <x:v>芙蕾魚</x:v>
      </x:c>
      <x:c r="C66" s="43" t="n">
        <x:v>50000</x:v>
      </x:c>
      <x:c r="D66" s="44" t="n">
        <x:v>1.575</x:v>
      </x:c>
      <x:c r="E66" s="44" t="n">
        <x:v>2.186</x:v>
      </x:c>
      <x:c r="F66" s="44" t="n">
        <x:v>2.231</x:v>
      </x:c>
      <x:c r="G66" s="44" t="n">
        <x:v>0.01</x:v>
      </x:c>
      <x:c r="H66" s="44" t="n">
        <x:v>-0.385</x:v>
      </x:c>
      <x:c r="I66" s="44" t="n">
        <x:v>1.6178</x:v>
      </x:c>
      <x:c r="J66" s="44" t="n">
        <x:v>2.335</x:v>
      </x:c>
      <x:c r="K66" s="44" t="n">
        <x:v>11.295</x:v>
      </x:c>
      <x:c r="L66" s="44" t="n">
        <x:v>17.1642</x:v>
      </x:c>
      <x:c r="M66" s="44" t="n">
        <x:v>10.155700000000001</x:v>
      </x:c>
      <x:c r="N66" s="44" t="n">
        <x:v>1.16</x:v>
      </x:c>
      <x:c r="O66" s="44" t="n">
        <x:v>-1.265</x:v>
      </x:c>
      <x:c r="P66" s="44" t="n">
        <x:v>1.38</x:v>
      </x:c>
      <x:c r="Q66" s="44" t="n">
        <x:v>2.77</x:v>
      </x:c>
      <x:c r="R66" s="44" t="n">
        <x:v>16.597</x:v>
      </x:c>
      <x:c r="S66" s="44" t="n">
        <x:v>11.395</x:v>
      </x:c>
      <x:c r="T66" s="44" t="n">
        <x:v>9.122</x:v>
      </x:c>
      <x:c r="U66" s="44" t="n">
        <x:v>1.27</x:v>
      </x:c>
      <x:c r="V66" s="44" t="n">
        <x:v>-1.165</x:v>
      </x:c>
      <x:c r="W66" s="44" t="n">
        <x:v>3.3</x:v>
      </x:c>
      <x:c r="X66" s="44" t="n">
        <x:v>1.915</x:v>
      </x:c>
      <x:c r="Y66" s="44" t="n">
        <x:v>12.88</x:v>
      </x:c>
      <x:c r="Z66" s="44" t="n">
        <x:v>8.96</x:v>
      </x:c>
      <x:c r="AA66" s="44" t="n">
        <x:v>5.635</x:v>
      </x:c>
      <x:c r="AB66" s="44" t="n">
        <x:v>0.42</x:v>
      </x:c>
      <x:c r="AC66" s="44" t="n">
        <x:v>-0.28</x:v>
      </x:c>
      <x:c r="AD66" s="44" t="n">
        <x:v>1.71</x:v>
      </x:c>
      <x:c r="AE66" s="44" t="n">
        <x:v>1.17</x:v>
      </x:c>
      <x:c r="AF66" s="44" t="n">
        <x:v>13.138499999999999</x:v>
      </x:c>
      <x:c r="AG66" s="44" t="n">
        <x:v>5.62</x:v>
      </x:c>
      <x:c r="AH66" s="44" t="n">
        <x:v>8.475</x:v>
      </x:c>
      <x:c r="AI66" s="44" t="n">
        <x:v>0.395</x:v>
      </x:c>
      <x:c r="AJ66" s="44" t="n">
        <x:v>-0.25</x:v>
      </x:c>
      <x:c r="AK66" s="44" t="n">
        <x:v>1.005</x:v>
      </x:c>
      <x:c r="AL66" s="44" t="n">
        <x:v>0.725</x:v>
      </x:c>
      <x:c r="AM66" s="44" t="n">
        <x:v>0.26</x:v>
      </x:c>
      <x:c r="AN66" s="44" t="n">
        <x:v>0.2</x:v>
      </x:c>
      <x:c r="AO66" s="44" t="n">
        <x:v>-1.2187999999999999</x:v>
      </x:c>
      <x:c r="AP66" s="44" t="n">
        <x:v>1.2187999999999999</x:v>
      </x:c>
      <x:c r="AQ66" s="44" t="n">
        <x:v>0.9653</x:v>
      </x:c>
      <x:c r="AR66" s="44" t="n">
        <x:v>1.2187999999999999</x:v>
      </x:c>
      <x:c r="AS66" s="44"/>
      <x:c r="AT66" s="44" t="n">
        <x:v>1.2187999999999999</x:v>
      </x:c>
      <x:c r="AU66" s="174" t="n">
        <x:v>39216</x:v>
      </x:c>
      <x:c r="AV66" s="43" t="str">
        <x:v>02:43.75</x:v>
      </x:c>
      <x:c r="AW66" s="43" t="str">
        <x:v>02:43.75-02:45.50</x:v>
      </x:c>
      <x:c r="AX66" s="43" t="str">
        <x:v>f_00660.jpg</x:v>
      </x:c>
      <x:c r="AY66" s="43" t="str">
        <x:v>1000025189.mp4</x:v>
      </x:c>
      <x:c r="AZ66" s="44"/>
      <x:c r="BA66" s="175" t="n">
        <x:v>60</x:v>
      </x:c>
    </x:row>
    <x:row r="67" ht="18" customHeight="1">
      <x:c r="A67" s="43" t="str">
        <x:v>K116</x:v>
      </x:c>
      <x:c r="B67" s="43" t="str">
        <x:v>ALI</x:v>
      </x:c>
      <x:c r="C67" s="43" t="n">
        <x:v>15000</x:v>
      </x:c>
      <x:c r="D67" s="44" t="n">
        <x:v>2.8720999999999997</x:v>
      </x:c>
      <x:c r="E67" s="44" t="n">
        <x:v>2.6010000000000004</x:v>
      </x:c>
      <x:c r="F67" s="44" t="n">
        <x:v>2.6310000000000002</x:v>
      </x:c>
      <x:c r="G67" s="44" t="n">
        <x:v>0.4</x:v>
      </x:c>
      <x:c r="H67" s="44" t="n">
        <x:v>-0.4</x:v>
      </x:c>
      <x:c r="I67" s="44" t="n">
        <x:v>2.8492</x:v>
      </x:c>
      <x:c r="J67" s="44" t="n">
        <x:v>2.622</x:v>
      </x:c>
      <x:c r="K67" s="44" t="n">
        <x:v>15.667</x:v>
      </x:c>
      <x:c r="L67" s="44" t="n">
        <x:v>21.2012</x:v>
      </x:c>
      <x:c r="M67" s="44" t="n">
        <x:v>12.465</x:v>
      </x:c>
      <x:c r="N67" s="44" t="n">
        <x:v>1.2125</x:v>
      </x:c>
      <x:c r="O67" s="44" t="n">
        <x:v>-1.48</x:v>
      </x:c>
      <x:c r="P67" s="44" t="n">
        <x:v>1.27</x:v>
      </x:c>
      <x:c r="Q67" s="44" t="n">
        <x:v>1.83</x:v>
      </x:c>
      <x:c r="R67" s="44" t="n">
        <x:v>8.4175</x:v>
      </x:c>
      <x:c r="S67" s="44" t="n">
        <x:v>8.87</x:v>
      </x:c>
      <x:c r="T67" s="44" t="n">
        <x:v>7.7835</x:v>
      </x:c>
      <x:c r="U67" s="44" t="n">
        <x:v>0.38799999999999996</x:v>
      </x:c>
      <x:c r="V67" s="44" t="n">
        <x:v>-0.358</x:v>
      </x:c>
      <x:c r="W67" s="44" t="n">
        <x:v>0.48</x:v>
      </x:c>
      <x:c r="X67" s="44" t="n">
        <x:v>0.52</x:v>
      </x:c>
      <x:c r="Y67" s="44" t="n">
        <x:v>20.026</x:v>
      </x:c>
      <x:c r="Z67" s="44" t="n">
        <x:v>14.67</x:v>
      </x:c>
      <x:c r="AA67" s="44" t="n">
        <x:v>6.24</x:v>
      </x:c>
      <x:c r="AB67" s="44" t="n">
        <x:v>1.4435</x:v>
      </x:c>
      <x:c r="AC67" s="44" t="n">
        <x:v>-1.265</x:v>
      </x:c>
      <x:c r="AD67" s="44" t="n">
        <x:v>1.7</x:v>
      </x:c>
      <x:c r="AE67" s="44" t="n">
        <x:v>1.29</x:v>
      </x:c>
      <x:c r="AF67" s="44" t="n">
        <x:v>8.829500000000001</x:v>
      </x:c>
      <x:c r="AG67" s="44" t="n">
        <x:v>8.417</x:v>
      </x:c>
      <x:c r="AH67" s="44" t="n">
        <x:v>3.095</x:v>
      </x:c>
      <x:c r="AI67" s="44" t="n">
        <x:v>0.4235</x:v>
      </x:c>
      <x:c r="AJ67" s="44" t="n">
        <x:v>-0.25</x:v>
      </x:c>
      <x:c r="AK67" s="44" t="n">
        <x:v>0.48</x:v>
      </x:c>
      <x:c r="AL67" s="44" t="n">
        <x:v>0.45</x:v>
      </x:c>
      <x:c r="AM67" s="44" t="n">
        <x:v>0.245</x:v>
      </x:c>
      <x:c r="AN67" s="44" t="n">
        <x:v>0.21</x:v>
      </x:c>
      <x:c r="AO67" s="44" t="n">
        <x:v>-1.2187999999999999</x:v>
      </x:c>
      <x:c r="AP67" s="44" t="n">
        <x:v>1.2187999999999999</x:v>
      </x:c>
      <x:c r="AQ67" s="44" t="n">
        <x:v>0.9653</x:v>
      </x:c>
      <x:c r="AR67" s="44" t="n">
        <x:v>1.2187999999999999</x:v>
      </x:c>
      <x:c r="AS67" s="44"/>
      <x:c r="AT67" s="44" t="n">
        <x:v>1.2187999999999999</x:v>
      </x:c>
      <x:c r="AU67" s="174" t="n">
        <x:v>39216</x:v>
      </x:c>
      <x:c r="AV67" s="43" t="str">
        <x:v>02:52.00</x:v>
      </x:c>
      <x:c r="AW67" s="43" t="str">
        <x:v>02:52.00-02:53.75</x:v>
      </x:c>
      <x:c r="AX67" s="43" t="str">
        <x:v>f_00694.jpg</x:v>
      </x:c>
      <x:c r="AY67" s="43" t="str">
        <x:v>1000025189.mp4</x:v>
      </x:c>
      <x:c r="AZ67" s="44"/>
      <x:c r="BA67" s="175" t="n">
        <x:v>60</x:v>
      </x:c>
    </x:row>
    <x:row r="68" ht="18" customHeight="1">
      <x:c r="A68" s="43" t="str">
        <x:v>K116</x:v>
      </x:c>
      <x:c r="B68" s="43" t="str">
        <x:v>不可盾号</x:v>
      </x:c>
      <x:c r="C68" s="43" t="n">
        <x:v>40000</x:v>
      </x:c>
      <x:c r="D68" s="44" t="n">
        <x:v>2.2571</x:v>
      </x:c>
      <x:c r="E68" s="44" t="n">
        <x:v>1.7409999999999999</x:v>
      </x:c>
      <x:c r="F68" s="44" t="n">
        <x:v>1.9409999999999998</x:v>
      </x:c>
      <x:c r="G68" s="44" t="n">
        <x:v>0.375</x:v>
      </x:c>
      <x:c r="H68" s="44" t="n">
        <x:v>-0.3825</x:v>
      </x:c>
      <x:c r="I68" s="44" t="n">
        <x:v>0.8281999999999999</x:v>
      </x:c>
      <x:c r="J68" s="44" t="n">
        <x:v>1.1520000000000001</x:v>
      </x:c>
      <x:c r="K68" s="44" t="n">
        <x:v>11.022</x:v>
      </x:c>
      <x:c r="L68" s="44" t="n">
        <x:v>16.8045</x:v>
      </x:c>
      <x:c r="M68" s="44" t="n">
        <x:v>8.52</x:v>
      </x:c>
      <x:c r="N68" s="44" t="n">
        <x:v>1.06</x:v>
      </x:c>
      <x:c r="O68" s="44" t="n">
        <x:v>-1.125</x:v>
      </x:c>
      <x:c r="P68" s="44" t="n">
        <x:v>0.195</x:v>
      </x:c>
      <x:c r="Q68" s="44" t="n">
        <x:v>1.325</x:v>
      </x:c>
      <x:c r="R68" s="44" t="n">
        <x:v>7.425</x:v>
      </x:c>
      <x:c r="S68" s="44" t="n">
        <x:v>5.63</x:v>
      </x:c>
      <x:c r="T68" s="44" t="n">
        <x:v>5.048500000000001</x:v>
      </x:c>
      <x:c r="U68" s="44" t="n">
        <x:v>0.2065</x:v>
      </x:c>
      <x:c r="V68" s="44" t="n">
        <x:v>-0.27</x:v>
      </x:c>
      <x:c r="W68" s="44" t="n">
        <x:v>0.315</x:v>
      </x:c>
      <x:c r="X68" s="44" t="n">
        <x:v>0.2</x:v>
      </x:c>
      <x:c r="Y68" s="44" t="n">
        <x:v>14.8585</x:v>
      </x:c>
      <x:c r="Z68" s="44" t="n">
        <x:v>8.515</x:v>
      </x:c>
      <x:c r="AA68" s="44" t="n">
        <x:v>2.85</x:v>
      </x:c>
      <x:c r="AB68" s="44" t="n">
        <x:v>1.0635</x:v>
      </x:c>
      <x:c r="AC68" s="44" t="n">
        <x:v>-1.06</x:v>
      </x:c>
      <x:c r="AD68" s="44" t="n">
        <x:v>1.485</x:v>
      </x:c>
      <x:c r="AE68" s="44" t="n">
        <x:v>0.695</x:v>
      </x:c>
      <x:c r="AF68" s="44" t="n">
        <x:v>6.1770000000000005</x:v>
      </x:c>
      <x:c r="AG68" s="44" t="n">
        <x:v>6.306</x:v>
      </x:c>
      <x:c r="AH68" s="44" t="n">
        <x:v>1.305</x:v>
      </x:c>
      <x:c r="AI68" s="44" t="n">
        <x:v>0.165</x:v>
      </x:c>
      <x:c r="AJ68" s="44" t="n">
        <x:v>-0.09</x:v>
      </x:c>
      <x:c r="AK68" s="44" t="n">
        <x:v>0.25</x:v>
      </x:c>
      <x:c r="AL68" s="44" t="n">
        <x:v>0.2</x:v>
      </x:c>
      <x:c r="AM68" s="44" t="n">
        <x:v>0.165</x:v>
      </x:c>
      <x:c r="AN68" s="44" t="n">
        <x:v>0.12</x:v>
      </x:c>
      <x:c r="AO68" s="44" t="n">
        <x:v>-1.2187999999999999</x:v>
      </x:c>
      <x:c r="AP68" s="44" t="n">
        <x:v>1.2187999999999999</x:v>
      </x:c>
      <x:c r="AQ68" s="44" t="n">
        <x:v>0.9653</x:v>
      </x:c>
      <x:c r="AR68" s="44" t="n">
        <x:v>1.2187999999999999</x:v>
      </x:c>
      <x:c r="AS68" s="44"/>
      <x:c r="AT68" s="44" t="n">
        <x:v>1.2187999999999999</x:v>
      </x:c>
      <x:c r="AU68" s="174" t="n">
        <x:v>39216</x:v>
      </x:c>
      <x:c r="AV68" s="43" t="str">
        <x:v>02:59.00</x:v>
      </x:c>
      <x:c r="AW68" s="43" t="str">
        <x:v>02:59.00-03:02.00</x:v>
      </x:c>
      <x:c r="AX68" s="43" t="str">
        <x:v>f_00724.jpg</x:v>
      </x:c>
      <x:c r="AY68" s="43" t="str">
        <x:v>1000025189.mp4</x:v>
      </x:c>
      <x:c r="AZ68" s="44"/>
      <x:c r="BA68" s="175" t="n">
        <x:v>60</x:v>
      </x:c>
    </x:row>
    <x:row r="69" ht="18" customHeight="1">
      <x:c r="A69" s="43" t="str">
        <x:v>K116</x:v>
      </x:c>
      <x:c r="B69" s="43" t="str">
        <x:v>光之使者</x:v>
      </x:c>
      <x:c r="C69" s="43" t="n">
        <x:v>115000</x:v>
      </x:c>
      <x:c r="D69" s="44" t="n">
        <x:v>4.511</x:v>
      </x:c>
      <x:c r="E69" s="44" t="n">
        <x:v>4.061</x:v>
      </x:c>
      <x:c r="F69" s="44" t="n">
        <x:v>4.111000000000001</x:v>
      </x:c>
      <x:c r="G69" s="44" t="n">
        <x:v>0.4375</x:v>
      </x:c>
      <x:c r="H69" s="44" t="n">
        <x:v>-0.4375</x:v>
      </x:c>
      <x:c r="I69" s="44" t="n">
        <x:v>6</x:v>
      </x:c>
      <x:c r="J69" s="44" t="n">
        <x:v>6</x:v>
      </x:c>
      <x:c r="K69" s="44" t="n">
        <x:v>16.837</x:v>
      </x:c>
      <x:c r="L69" s="44" t="n">
        <x:v>24.13</x:v>
      </x:c>
      <x:c r="M69" s="44" t="n">
        <x:v>18.917</x:v>
      </x:c>
      <x:c r="N69" s="44" t="n">
        <x:v>1.385</x:v>
      </x:c>
      <x:c r="O69" s="44" t="n">
        <x:v>-1.565</x:v>
      </x:c>
      <x:c r="P69" s="44" t="n">
        <x:v>7</x:v>
      </x:c>
      <x:c r="Q69" s="44" t="n">
        <x:v>7</x:v>
      </x:c>
      <x:c r="R69" s="44" t="n">
        <x:v>19.3235</x:v>
      </x:c>
      <x:c r="S69" s="44" t="n">
        <x:v>15.81</x:v>
      </x:c>
      <x:c r="T69" s="44" t="n">
        <x:v>12.215</x:v>
      </x:c>
      <x:c r="U69" s="44" t="n">
        <x:v>1.545</x:v>
      </x:c>
      <x:c r="V69" s="44" t="n">
        <x:v>-1.3675</x:v>
      </x:c>
      <x:c r="W69" s="44" t="n">
        <x:v>7</x:v>
      </x:c>
      <x:c r="X69" s="44" t="n">
        <x:v>7</x:v>
      </x:c>
      <x:c r="Y69" s="44" t="n">
        <x:v>22.015</x:v>
      </x:c>
      <x:c r="Z69" s="44" t="n">
        <x:v>16.75</x:v>
      </x:c>
      <x:c r="AA69" s="44" t="n">
        <x:v>15.113499999999998</x:v>
      </x:c>
      <x:c r="AB69" s="44" t="n">
        <x:v>1.545</x:v>
      </x:c>
      <x:c r="AC69" s="44" t="n">
        <x:v>-1.4275</x:v>
      </x:c>
      <x:c r="AD69" s="44" t="n">
        <x:v>7</x:v>
      </x:c>
      <x:c r="AE69" s="44" t="n">
        <x:v>7</x:v>
      </x:c>
      <x:c r="AF69" s="44" t="n">
        <x:v>19.07</x:v>
      </x:c>
      <x:c r="AG69" s="44" t="n">
        <x:v>11.89</x:v>
      </x:c>
      <x:c r="AH69" s="44" t="n">
        <x:v>16.33</x:v>
      </x:c>
      <x:c r="AI69" s="44" t="n">
        <x:v>1.4825</x:v>
      </x:c>
      <x:c r="AJ69" s="44" t="n">
        <x:v>-1.3475</x:v>
      </x:c>
      <x:c r="AK69" s="44" t="n">
        <x:v>7</x:v>
      </x:c>
      <x:c r="AL69" s="44" t="n">
        <x:v>6.3</x:v>
      </x:c>
      <x:c r="AM69" s="44" t="n">
        <x:v>0.26</x:v>
      </x:c>
      <x:c r="AN69" s="44" t="n">
        <x:v>0.245</x:v>
      </x:c>
      <x:c r="AO69" s="44" t="n">
        <x:v>-1.2187999999999999</x:v>
      </x:c>
      <x:c r="AP69" s="44" t="n">
        <x:v>1.2187999999999999</x:v>
      </x:c>
      <x:c r="AQ69" s="44" t="n">
        <x:v>0.9653</x:v>
      </x:c>
      <x:c r="AR69" s="44" t="n">
        <x:v>1.2187999999999999</x:v>
      </x:c>
      <x:c r="AS69" s="44"/>
      <x:c r="AT69" s="44" t="n">
        <x:v>1.2187999999999999</x:v>
      </x:c>
      <x:c r="AU69" s="174" t="n">
        <x:v>39216</x:v>
      </x:c>
      <x:c r="AV69" s="43" t="str">
        <x:v>03:10.25</x:v>
      </x:c>
      <x:c r="AW69" s="43" t="str">
        <x:v>03:10.25-03:12.00</x:v>
      </x:c>
      <x:c r="AX69" s="43" t="str">
        <x:v>f_00768.jpg</x:v>
      </x:c>
      <x:c r="AY69" s="43" t="str">
        <x:v>1000025189.mp4</x:v>
      </x:c>
      <x:c r="AZ69" s="44"/>
      <x:c r="BA69" s="175" t="n">
        <x:v>60</x:v>
      </x:c>
    </x:row>
    <x:row r="70" ht="18" customHeight="1">
      <x:c r="A70" s="43" t="str">
        <x:v>K116</x:v>
      </x:c>
      <x:c r="B70" s="43" t="str">
        <x:v>逍遥浪四月</x:v>
      </x:c>
      <x:c r="C70" s="43" t="n">
        <x:v>72500</x:v>
      </x:c>
      <x:c r="D70" s="44" t="n">
        <x:v>3.111</x:v>
      </x:c>
      <x:c r="E70" s="44" t="n">
        <x:v>2.551</x:v>
      </x:c>
      <x:c r="F70" s="44" t="n">
        <x:v>2.821</x:v>
      </x:c>
      <x:c r="G70" s="44" t="n">
        <x:v>0.415</x:v>
      </x:c>
      <x:c r="H70" s="44" t="n">
        <x:v>-0.4</x:v>
      </x:c>
      <x:c r="I70" s="44" t="n">
        <x:v>3.7332</x:v>
      </x:c>
      <x:c r="J70" s="44" t="n">
        <x:v>2.7264</x:v>
      </x:c>
      <x:c r="K70" s="44" t="n">
        <x:v>14.292</x:v>
      </x:c>
      <x:c r="L70" s="44" t="n">
        <x:v>15.15</x:v>
      </x:c>
      <x:c r="M70" s="44" t="n">
        <x:v>11.417</x:v>
      </x:c>
      <x:c r="N70" s="44" t="n">
        <x:v>1.325</x:v>
      </x:c>
      <x:c r="O70" s="44" t="n">
        <x:v>-1.3975</x:v>
      </x:c>
      <x:c r="P70" s="44" t="n">
        <x:v>1.21</x:v>
      </x:c>
      <x:c r="Q70" s="44" t="n">
        <x:v>3.78</x:v>
      </x:c>
      <x:c r="R70" s="44" t="n">
        <x:v>19.0885</x:v>
      </x:c>
      <x:c r="S70" s="44" t="n">
        <x:v>14.2</x:v>
      </x:c>
      <x:c r="T70" s="44" t="n">
        <x:v>11.545</x:v>
      </x:c>
      <x:c r="U70" s="44" t="n">
        <x:v>1.4725</x:v>
      </x:c>
      <x:c r="V70" s="44" t="n">
        <x:v>-1.2275</x:v>
      </x:c>
      <x:c r="W70" s="44" t="n">
        <x:v>4.9</x:v>
      </x:c>
      <x:c r="X70" s="44" t="n">
        <x:v>2.8</x:v>
      </x:c>
      <x:c r="Y70" s="44" t="n">
        <x:v>17.96</x:v>
      </x:c>
      <x:c r="Z70" s="44" t="n">
        <x:v>11.84</x:v>
      </x:c>
      <x:c r="AA70" s="44" t="n">
        <x:v>12.3935</x:v>
      </x:c>
      <x:c r="AB70" s="44" t="n">
        <x:v>1.4075</x:v>
      </x:c>
      <x:c r="AC70" s="44" t="n">
        <x:v>-1.425</x:v>
      </x:c>
      <x:c r="AD70" s="44" t="n">
        <x:v>2.91</x:v>
      </x:c>
      <x:c r="AE70" s="44" t="n">
        <x:v>2.06</x:v>
      </x:c>
      <x:c r="AF70" s="44" t="n">
        <x:v>13.05</x:v>
      </x:c>
      <x:c r="AG70" s="44" t="n">
        <x:v>7.36</x:v>
      </x:c>
      <x:c r="AH70" s="44" t="n">
        <x:v>10.385</x:v>
      </x:c>
      <x:c r="AI70" s="44" t="n">
        <x:v>0.805</x:v>
      </x:c>
      <x:c r="AJ70" s="44" t="n">
        <x:v>-0.635</x:v>
      </x:c>
      <x:c r="AK70" s="44" t="n">
        <x:v>1.03</x:v>
      </x:c>
      <x:c r="AL70" s="44" t="n">
        <x:v>0.57</x:v>
      </x:c>
      <x:c r="AM70" s="44" t="n">
        <x:v>0.26</x:v>
      </x:c>
      <x:c r="AN70" s="44" t="n">
        <x:v>0.215</x:v>
      </x:c>
      <x:c r="AO70" s="44" t="n">
        <x:v>-1.2187999999999999</x:v>
      </x:c>
      <x:c r="AP70" s="44" t="n">
        <x:v>1.2187999999999999</x:v>
      </x:c>
      <x:c r="AQ70" s="44" t="n">
        <x:v>0.9653</x:v>
      </x:c>
      <x:c r="AR70" s="44" t="n">
        <x:v>1.2187999999999999</x:v>
      </x:c>
      <x:c r="AS70" s="44"/>
      <x:c r="AT70" s="44" t="n">
        <x:v>1.2187999999999999</x:v>
      </x:c>
      <x:c r="AU70" s="174" t="n">
        <x:v>39216</x:v>
      </x:c>
      <x:c r="AV70" s="43" t="str">
        <x:v>03:19.75</x:v>
      </x:c>
      <x:c r="AW70" s="43" t="str">
        <x:v>03:19.75-03:21.25</x:v>
      </x:c>
      <x:c r="AX70" s="43" t="str">
        <x:v>f_00804.jpg</x:v>
      </x:c>
      <x:c r="AY70" s="43" t="str">
        <x:v>1000025189.mp4</x:v>
      </x:c>
      <x:c r="AZ70" s="44"/>
      <x:c r="BA70" s="175" t="n">
        <x:v>60</x:v>
      </x:c>
    </x:row>
    <x:row r="71" ht="18" customHeight="1">
      <x:c r="A71" s="43" t="str">
        <x:v>K138</x:v>
      </x:c>
      <x:c r="B71" s="43" t="str">
        <x:v>(RaW)༺博卡Ajax༻</x:v>
      </x:c>
      <x:c r="C71" s="43" t="n">
        <x:v>227620</x:v>
      </x:c>
      <x:c r="D71" s="44" t="n">
        <x:v>3.7935</x:v>
      </x:c>
      <x:c r="E71" s="44" t="n">
        <x:v>3.3235</x:v>
      </x:c>
      <x:c r="F71" s="44" t="n">
        <x:v>3.4335</x:v>
      </x:c>
      <x:c r="G71" s="44" t="n">
        <x:v>0.4375</x:v>
      </x:c>
      <x:c r="H71" s="44" t="n">
        <x:v>-0.4375</x:v>
      </x:c>
      <x:c r="I71" s="44" t="n">
        <x:v>6</x:v>
      </x:c>
      <x:c r="J71" s="44" t="n">
        <x:v>4.7192</x:v>
      </x:c>
      <x:c r="K71" s="44" t="n">
        <x:v>14.19</x:v>
      </x:c>
      <x:c r="L71" s="44" t="n">
        <x:v>21.06</x:v>
      </x:c>
      <x:c r="M71" s="44" t="n">
        <x:v>16.3449</x:v>
      </x:c>
      <x:c r="N71" s="44" t="n">
        <x:v>1.4475</x:v>
      </x:c>
      <x:c r="O71" s="44" t="n">
        <x:v>-1.675</x:v>
      </x:c>
      <x:c r="P71" s="44" t="n">
        <x:v>2.13</x:v>
      </x:c>
      <x:c r="Q71" s="44" t="n">
        <x:v>7</x:v>
      </x:c>
      <x:c r="R71" s="44" t="n">
        <x:v>23.882</x:v>
      </x:c>
      <x:c r="S71" s="44" t="n">
        <x:v>19.372</x:v>
      </x:c>
      <x:c r="T71" s="44" t="n">
        <x:v>13.385</x:v>
      </x:c>
      <x:c r="U71" s="44" t="n">
        <x:v>1.6575</x:v>
      </x:c>
      <x:c r="V71" s="44" t="n">
        <x:v>-1.4475</x:v>
      </x:c>
      <x:c r="W71" s="44" t="n">
        <x:v>5.04</x:v>
      </x:c>
      <x:c r="X71" s="44" t="n">
        <x:v>3.04</x:v>
      </x:c>
      <x:c r="Y71" s="44" t="n">
        <x:v>18.455</x:v>
      </x:c>
      <x:c r="Z71" s="44" t="n">
        <x:v>14.6535</x:v>
      </x:c>
      <x:c r="AA71" s="44" t="n">
        <x:v>9.965</x:v>
      </x:c>
      <x:c r="AB71" s="44" t="n">
        <x:v>1.735</x:v>
      </x:c>
      <x:c r="AC71" s="44" t="n">
        <x:v>-1.3475</x:v>
      </x:c>
      <x:c r="AD71" s="44" t="n">
        <x:v>4.65</x:v>
      </x:c>
      <x:c r="AE71" s="44" t="n">
        <x:v>2.33</x:v>
      </x:c>
      <x:c r="AF71" s="44" t="n">
        <x:v>16.925</x:v>
      </x:c>
      <x:c r="AG71" s="44" t="n">
        <x:v>9.695</x:v>
      </x:c>
      <x:c r="AH71" s="44" t="n">
        <x:v>12.565</x:v>
      </x:c>
      <x:c r="AI71" s="44" t="n">
        <x:v>1.7675</x:v>
      </x:c>
      <x:c r="AJ71" s="44" t="n">
        <x:v>-1.405</x:v>
      </x:c>
      <x:c r="AK71" s="44" t="n">
        <x:v>3.57</x:v>
      </x:c>
      <x:c r="AL71" s="44" t="n">
        <x:v>2.18</x:v>
      </x:c>
      <x:c r="AM71" s="44" t="n">
        <x:v>0.26</x:v>
      </x:c>
      <x:c r="AN71" s="44" t="n">
        <x:v>0.24</x:v>
      </x:c>
      <x:c r="AO71" s="44" t="n">
        <x:v>-1.2188</x:v>
      </x:c>
      <x:c r="AP71" s="44" t="n">
        <x:v>0.9653</x:v>
      </x:c>
      <x:c r="AQ71" s="44" t="n">
        <x:v>0.9653</x:v>
      </x:c>
      <x:c r="AR71" s="44" t="n">
        <x:v>0.9653</x:v>
      </x:c>
      <x:c r="AS71" s="44"/>
      <x:c r="AT71" s="44" t="n">
        <x:v>0.8029</x:v>
      </x:c>
      <x:c r="AU71" s="174" t="n">
        <x:v>39216</x:v>
      </x:c>
      <x:c r="AV71" s="43" t="str">
        <x:v>00:16.5</x:v>
      </x:c>
      <x:c r="AW71" s="43" t="str">
        <x:v>00:13.5-00:16.5</x:v>
      </x:c>
      <x:c r="AX71" s="43" t="n">
        <x:v>34</x:v>
      </x:c>
      <x:c r="AY71" s="43" t="str">
        <x:v>K138_1000025064.mp4</x:v>
      </x:c>
      <x:c r="AZ71" s="44"/>
      <x:c r="BA71" s="175"/>
    </x:row>
    <x:row r="72" ht="18" customHeight="1">
      <x:c r="A72" s="43" t="str">
        <x:v>K138</x:v>
      </x:c>
      <x:c r="B72" s="43" t="str">
        <x:v>(RaW)Venom毒液</x:v>
      </x:c>
      <x:c r="C72" s="43" t="n">
        <x:v>57640</x:v>
      </x:c>
      <x:c r="D72" s="44" t="n">
        <x:v>2.986</x:v>
      </x:c>
      <x:c r="E72" s="44" t="n">
        <x:v>2.496</x:v>
      </x:c>
      <x:c r="F72" s="44" t="n">
        <x:v>2.696</x:v>
      </x:c>
      <x:c r="G72" s="44" t="n">
        <x:v>0.39</x:v>
      </x:c>
      <x:c r="H72" s="44" t="n">
        <x:v>-0.39</x:v>
      </x:c>
      <x:c r="I72" s="44" t="n">
        <x:v>3.1552</x:v>
      </x:c>
      <x:c r="J72" s="44" t="n">
        <x:v>2.2756</x:v>
      </x:c>
      <x:c r="K72" s="44" t="n">
        <x:v>7.907</x:v>
      </x:c>
      <x:c r="L72" s="44" t="n">
        <x:v>15.7162</x:v>
      </x:c>
      <x:c r="M72" s="44" t="n">
        <x:v>11.9907</x:v>
      </x:c>
      <x:c r="N72" s="44" t="n">
        <x:v>1.285</x:v>
      </x:c>
      <x:c r="O72" s="44" t="n">
        <x:v>-1.38</x:v>
      </x:c>
      <x:c r="P72" s="44" t="n">
        <x:v>0.8</x:v>
      </x:c>
      <x:c r="Q72" s="44" t="n">
        <x:v>2.39</x:v>
      </x:c>
      <x:c r="R72" s="44" t="n">
        <x:v>14.245</x:v>
      </x:c>
      <x:c r="S72" s="44" t="n">
        <x:v>11.275</x:v>
      </x:c>
      <x:c r="T72" s="44" t="n">
        <x:v>7.812</x:v>
      </x:c>
      <x:c r="U72" s="44" t="n">
        <x:v>1.465</x:v>
      </x:c>
      <x:c r="V72" s="44" t="n">
        <x:v>-1.2275</x:v>
      </x:c>
      <x:c r="W72" s="44" t="n">
        <x:v>2.06</x:v>
      </x:c>
      <x:c r="X72" s="44" t="n">
        <x:v>1.19</x:v>
      </x:c>
      <x:c r="Y72" s="44" t="n">
        <x:v>22.5355</x:v>
      </x:c>
      <x:c r="Z72" s="44" t="n">
        <x:v>16.607</x:v>
      </x:c>
      <x:c r="AA72" s="44" t="n">
        <x:v>11.1</x:v>
      </x:c>
      <x:c r="AB72" s="44" t="n">
        <x:v>1.525</x:v>
      </x:c>
      <x:c r="AC72" s="44" t="n">
        <x:v>-1.2875</x:v>
      </x:c>
      <x:c r="AD72" s="44" t="n">
        <x:v>3.34</x:v>
      </x:c>
      <x:c r="AE72" s="44" t="n">
        <x:v>2.12</x:v>
      </x:c>
      <x:c r="AF72" s="44" t="n">
        <x:v>10.665</x:v>
      </x:c>
      <x:c r="AG72" s="44" t="n">
        <x:v>3.875</x:v>
      </x:c>
      <x:c r="AH72" s="44" t="n">
        <x:v>8.325</x:v>
      </x:c>
      <x:c r="AI72" s="44" t="n">
        <x:v>1.167</x:v>
      </x:c>
      <x:c r="AJ72" s="44" t="n">
        <x:v>-1.032</x:v>
      </x:c>
      <x:c r="AK72" s="44" t="n">
        <x:v>0.43</x:v>
      </x:c>
      <x:c r="AL72" s="44" t="n">
        <x:v>0.38</x:v>
      </x:c>
      <x:c r="AM72" s="44" t="n">
        <x:v>0.26</x:v>
      </x:c>
      <x:c r="AN72" s="44" t="n">
        <x:v>0.22</x:v>
      </x:c>
      <x:c r="AO72" s="44" t="n">
        <x:v>-1.2188</x:v>
      </x:c>
      <x:c r="AP72" s="44" t="n">
        <x:v>0.9653</x:v>
      </x:c>
      <x:c r="AQ72" s="44" t="n">
        <x:v>0.9653</x:v>
      </x:c>
      <x:c r="AR72" s="44" t="n">
        <x:v>0.9653</x:v>
      </x:c>
      <x:c r="AS72" s="44"/>
      <x:c r="AT72" s="44" t="n">
        <x:v>0.8029</x:v>
      </x:c>
      <x:c r="AU72" s="174" t="n">
        <x:v>39216</x:v>
      </x:c>
      <x:c r="AV72" s="43" t="str">
        <x:v>00:30.0</x:v>
      </x:c>
      <x:c r="AW72" s="43" t="str">
        <x:v>00:28.0-00:30.0</x:v>
      </x:c>
      <x:c r="AX72" s="43" t="n">
        <x:v>61</x:v>
      </x:c>
      <x:c r="AY72" s="43" t="str">
        <x:v>K138_1000025064.mp4</x:v>
      </x:c>
      <x:c r="AZ72" s="44"/>
      <x:c r="BA72" s="175"/>
    </x:row>
    <x:row r="73" ht="18" customHeight="1">
      <x:c r="A73" s="43" t="str">
        <x:v>K138</x:v>
      </x:c>
      <x:c r="B73" s="43" t="str">
        <x:v>(RaW)༺JOJO༻</x:v>
      </x:c>
      <x:c r="C73" s="43" t="n">
        <x:v>140110</x:v>
      </x:c>
      <x:c r="D73" s="44" t="n">
        <x:v>3.0635</x:v>
      </x:c>
      <x:c r="E73" s="44" t="n">
        <x:v>2.201</x:v>
      </x:c>
      <x:c r="F73" s="44" t="n">
        <x:v>2.626</x:v>
      </x:c>
      <x:c r="G73" s="44" t="n">
        <x:v>0.4375</x:v>
      </x:c>
      <x:c r="H73" s="44" t="n">
        <x:v>-0.4</x:v>
      </x:c>
      <x:c r="I73" s="44" t="n">
        <x:v>4.196</x:v>
      </x:c>
      <x:c r="J73" s="44" t="n">
        <x:v>4.0904</x:v>
      </x:c>
      <x:c r="K73" s="44" t="n">
        <x:v>10.745</x:v>
      </x:c>
      <x:c r="L73" s="44" t="n">
        <x:v>15.3607</x:v>
      </x:c>
      <x:c r="M73" s="44" t="n">
        <x:v>10.5042</x:v>
      </x:c>
      <x:c r="N73" s="44" t="n">
        <x:v>1.4275</x:v>
      </x:c>
      <x:c r="O73" s="44" t="n">
        <x:v>-1.48</x:v>
      </x:c>
      <x:c r="P73" s="44" t="n">
        <x:v>0.67</x:v>
      </x:c>
      <x:c r="Q73" s="44" t="n">
        <x:v>2</x:v>
      </x:c>
      <x:c r="R73" s="44" t="n">
        <x:v>20.142</x:v>
      </x:c>
      <x:c r="S73" s="44" t="n">
        <x:v>16.697</x:v>
      </x:c>
      <x:c r="T73" s="44" t="n">
        <x:v>8.72</x:v>
      </x:c>
      <x:c r="U73" s="44" t="n">
        <x:v>1.7175</x:v>
      </x:c>
      <x:c r="V73" s="44" t="n">
        <x:v>-1.305</x:v>
      </x:c>
      <x:c r="W73" s="44" t="n">
        <x:v>2.67</x:v>
      </x:c>
      <x:c r="X73" s="44" t="n">
        <x:v>1.45</x:v>
      </x:c>
      <x:c r="Y73" s="44" t="n">
        <x:v>20.11</x:v>
      </x:c>
      <x:c r="Z73" s="44" t="n">
        <x:v>16.3985</x:v>
      </x:c>
      <x:c r="AA73" s="44" t="n">
        <x:v>10.25</x:v>
      </x:c>
      <x:c r="AB73" s="44" t="n">
        <x:v>1.715</x:v>
      </x:c>
      <x:c r="AC73" s="44" t="n">
        <x:v>-1.3675</x:v>
      </x:c>
      <x:c r="AD73" s="44" t="n">
        <x:v>2.99</x:v>
      </x:c>
      <x:c r="AE73" s="44" t="n">
        <x:v>1.81</x:v>
      </x:c>
      <x:c r="AF73" s="44" t="n">
        <x:v>12.53</x:v>
      </x:c>
      <x:c r="AG73" s="44" t="n">
        <x:v>7.035</x:v>
      </x:c>
      <x:c r="AH73" s="44" t="n">
        <x:v>8.98</x:v>
      </x:c>
      <x:c r="AI73" s="44" t="n">
        <x:v>1.56</x:v>
      </x:c>
      <x:c r="AJ73" s="44" t="n">
        <x:v>-1.125</x:v>
      </x:c>
      <x:c r="AK73" s="44" t="n">
        <x:v>0.71</x:v>
      </x:c>
      <x:c r="AL73" s="44" t="n">
        <x:v>0.56</x:v>
      </x:c>
      <x:c r="AM73" s="44" t="n">
        <x:v>0.26</x:v>
      </x:c>
      <x:c r="AN73" s="44" t="n">
        <x:v>0.25</x:v>
      </x:c>
      <x:c r="AO73" s="44" t="n">
        <x:v>-1.2188</x:v>
      </x:c>
      <x:c r="AP73" s="44" t="n">
        <x:v>0.9653</x:v>
      </x:c>
      <x:c r="AQ73" s="44" t="n">
        <x:v>0.9653</x:v>
      </x:c>
      <x:c r="AR73" s="44" t="n">
        <x:v>0.9653</x:v>
      </x:c>
      <x:c r="AS73" s="44"/>
      <x:c r="AT73" s="44" t="n">
        <x:v>0.8029</x:v>
      </x:c>
      <x:c r="AU73" s="174" t="n">
        <x:v>39216</x:v>
      </x:c>
      <x:c r="AV73" s="43" t="str">
        <x:v>00:45.0</x:v>
      </x:c>
      <x:c r="AW73" s="43" t="str">
        <x:v>00:42.5-00:45.0</x:v>
      </x:c>
      <x:c r="AX73" s="43" t="n">
        <x:v>91</x:v>
      </x:c>
      <x:c r="AY73" s="43" t="str">
        <x:v>K138_1000025064.mp4</x:v>
      </x:c>
      <x:c r="AZ73" s="44"/>
      <x:c r="BA73" s="175"/>
    </x:row>
    <x:row r="74" ht="18" customHeight="1">
      <x:c r="A74" s="43" t="str">
        <x:v>K138</x:v>
      </x:c>
      <x:c r="B74" s="43" t="str">
        <x:v>(RaW)SLAP</x:v>
      </x:c>
      <x:c r="C74" s="43" t="n">
        <x:v>300600</x:v>
      </x:c>
      <x:c r="D74" s="44" t="n">
        <x:v>3.7635</x:v>
      </x:c>
      <x:c r="E74" s="44" t="n">
        <x:v>2.9735</x:v>
      </x:c>
      <x:c r="F74" s="44" t="n">
        <x:v>3.2335</x:v>
      </x:c>
      <x:c r="G74" s="44" t="n">
        <x:v>0.4375</x:v>
      </x:c>
      <x:c r="H74" s="44" t="n">
        <x:v>-0.4375</x:v>
      </x:c>
      <x:c r="I74" s="44" t="n">
        <x:v>6</x:v>
      </x:c>
      <x:c r="J74" s="44" t="n">
        <x:v>3.48</x:v>
      </x:c>
      <x:c r="K74" s="44" t="n">
        <x:v>11.507</x:v>
      </x:c>
      <x:c r="L74" s="44" t="n">
        <x:v>13.6699</x:v>
      </x:c>
      <x:c r="M74" s="44" t="n">
        <x:v>13.347</x:v>
      </x:c>
      <x:c r="N74" s="44" t="n">
        <x:v>1.605</x:v>
      </x:c>
      <x:c r="O74" s="44" t="n">
        <x:v>-1.7175</x:v>
      </x:c>
      <x:c r="P74" s="44" t="n">
        <x:v>2.28</x:v>
      </x:c>
      <x:c r="Q74" s="44" t="n">
        <x:v>7</x:v>
      </x:c>
      <x:c r="R74" s="44" t="n">
        <x:v>24.8155</x:v>
      </x:c>
      <x:c r="S74" s="44" t="n">
        <x:v>13.305</x:v>
      </x:c>
      <x:c r="T74" s="44" t="n">
        <x:v>9.522</x:v>
      </x:c>
      <x:c r="U74" s="44" t="n">
        <x:v>1.865</x:v>
      </x:c>
      <x:c r="V74" s="44" t="n">
        <x:v>-1.4275</x:v>
      </x:c>
      <x:c r="W74" s="44" t="n">
        <x:v>5.6</x:v>
      </x:c>
      <x:c r="X74" s="44" t="n">
        <x:v>3.78</x:v>
      </x:c>
      <x:c r="Y74" s="44" t="n">
        <x:v>21.755</x:v>
      </x:c>
      <x:c r="Z74" s="44" t="n">
        <x:v>11.11</x:v>
      </x:c>
      <x:c r="AA74" s="44" t="n">
        <x:v>8.8185</x:v>
      </x:c>
      <x:c r="AB74" s="44" t="n">
        <x:v>1.8875</x:v>
      </x:c>
      <x:c r="AC74" s="44" t="n">
        <x:v>-1.3675</x:v>
      </x:c>
      <x:c r="AD74" s="44" t="n">
        <x:v>6.03</x:v>
      </x:c>
      <x:c r="AE74" s="44" t="n">
        <x:v>3.49</x:v>
      </x:c>
      <x:c r="AF74" s="44" t="n">
        <x:v>20.4385</x:v>
      </x:c>
      <x:c r="AG74" s="44" t="n">
        <x:v>4.325</x:v>
      </x:c>
      <x:c r="AH74" s="44" t="n">
        <x:v>10.305</x:v>
      </x:c>
      <x:c r="AI74" s="44" t="n">
        <x:v>1.8075</x:v>
      </x:c>
      <x:c r="AJ74" s="44" t="n">
        <x:v>-1.365</x:v>
      </x:c>
      <x:c r="AK74" s="44" t="n">
        <x:v>4.76</x:v>
      </x:c>
      <x:c r="AL74" s="44" t="n">
        <x:v>1.75</x:v>
      </x:c>
      <x:c r="AM74" s="44" t="n">
        <x:v>0.26</x:v>
      </x:c>
      <x:c r="AN74" s="44" t="n">
        <x:v>0.24</x:v>
      </x:c>
      <x:c r="AO74" s="44" t="n">
        <x:v>-1.2188</x:v>
      </x:c>
      <x:c r="AP74" s="44" t="n">
        <x:v>0.9653</x:v>
      </x:c>
      <x:c r="AQ74" s="44" t="n">
        <x:v>0.9653</x:v>
      </x:c>
      <x:c r="AR74" s="44" t="n">
        <x:v>0.9653</x:v>
      </x:c>
      <x:c r="AS74" s="44"/>
      <x:c r="AT74" s="44" t="n">
        <x:v>0.8029</x:v>
      </x:c>
      <x:c r="AU74" s="174" t="n">
        <x:v>39216</x:v>
      </x:c>
      <x:c r="AV74" s="43" t="str">
        <x:v>01:01.0</x:v>
      </x:c>
      <x:c r="AW74" s="43" t="str">
        <x:v>00:58.5-01:01.0</x:v>
      </x:c>
      <x:c r="AX74" s="43" t="n">
        <x:v>123</x:v>
      </x:c>
      <x:c r="AY74" s="43" t="str">
        <x:v>K138_1000025064.mp4</x:v>
      </x:c>
      <x:c r="AZ74" s="44"/>
      <x:c r="BA74" s="175"/>
    </x:row>
    <x:row r="75" ht="18" customHeight="1">
      <x:c r="A75" s="43" t="str">
        <x:v>K138</x:v>
      </x:c>
      <x:c r="B75" s="43" t="str">
        <x:v>(RaW)༺Aryz༻</x:v>
      </x:c>
      <x:c r="C75" s="43" t="n">
        <x:v>170150</x:v>
      </x:c>
      <x:c r="D75" s="44" t="n">
        <x:v>3.2385</x:v>
      </x:c>
      <x:c r="E75" s="44" t="n">
        <x:v>2.671</x:v>
      </x:c>
      <x:c r="F75" s="44" t="n">
        <x:v>3.166</x:v>
      </x:c>
      <x:c r="G75" s="44" t="n">
        <x:v>0.4375</x:v>
      </x:c>
      <x:c r="H75" s="44" t="n">
        <x:v>-0.415</x:v>
      </x:c>
      <x:c r="I75" s="44" t="n">
        <x:v>4.5056</x:v>
      </x:c>
      <x:c r="J75" s="44" t="n">
        <x:v>4.3736</x:v>
      </x:c>
      <x:c r="K75" s="44" t="n">
        <x:v>12.22</x:v>
      </x:c>
      <x:c r="L75" s="44" t="n">
        <x:v>15.81</x:v>
      </x:c>
      <x:c r="M75" s="44" t="n">
        <x:v>10.6649</x:v>
      </x:c>
      <x:c r="N75" s="44" t="n">
        <x:v>1.4275</x:v>
      </x:c>
      <x:c r="O75" s="44" t="n">
        <x:v>-1.5225</x:v>
      </x:c>
      <x:c r="P75" s="44" t="n">
        <x:v>1.66</x:v>
      </x:c>
      <x:c r="Q75" s="44" t="n">
        <x:v>3.28</x:v>
      </x:c>
      <x:c r="R75" s="44" t="n">
        <x:v>24.247</x:v>
      </x:c>
      <x:c r="S75" s="44" t="n">
        <x:v>17.762</x:v>
      </x:c>
      <x:c r="T75" s="44" t="n">
        <x:v>9.865</x:v>
      </x:c>
      <x:c r="U75" s="44" t="n">
        <x:v>1.74</x:v>
      </x:c>
      <x:c r="V75" s="44" t="n">
        <x:v>-1.3475</x:v>
      </x:c>
      <x:c r="W75" s="44" t="n">
        <x:v>4.06</x:v>
      </x:c>
      <x:c r="X75" s="44" t="n">
        <x:v>2.48</x:v>
      </x:c>
      <x:c r="Y75" s="44" t="n">
        <x:v>21.155</x:v>
      </x:c>
      <x:c r="Z75" s="44" t="n">
        <x:v>17.2835</x:v>
      </x:c>
      <x:c r="AA75" s="44" t="n">
        <x:v>12.55</x:v>
      </x:c>
      <x:c r="AB75" s="44" t="n">
        <x:v>1.7775</x:v>
      </x:c>
      <x:c r="AC75" s="44" t="n">
        <x:v>-1.4475</x:v>
      </x:c>
      <x:c r="AD75" s="44" t="n">
        <x:v>4.85</x:v>
      </x:c>
      <x:c r="AE75" s="44" t="n">
        <x:v>2.27</x:v>
      </x:c>
      <x:c r="AF75" s="44" t="n">
        <x:v>15.745</x:v>
      </x:c>
      <x:c r="AG75" s="44" t="n">
        <x:v>8.395</x:v>
      </x:c>
      <x:c r="AH75" s="44" t="n">
        <x:v>11.455</x:v>
      </x:c>
      <x:c r="AI75" s="44" t="n">
        <x:v>1.6575</x:v>
      </x:c>
      <x:c r="AJ75" s="44" t="n">
        <x:v>-1.285</x:v>
      </x:c>
      <x:c r="AK75" s="44" t="n">
        <x:v>2.99</x:v>
      </x:c>
      <x:c r="AL75" s="44" t="n">
        <x:v>1.54</x:v>
      </x:c>
      <x:c r="AM75" s="44" t="n">
        <x:v>0.26</x:v>
      </x:c>
      <x:c r="AN75" s="44" t="n">
        <x:v>0.24</x:v>
      </x:c>
      <x:c r="AO75" s="44" t="n">
        <x:v>-1.2188</x:v>
      </x:c>
      <x:c r="AP75" s="44" t="n">
        <x:v>0.9653</x:v>
      </x:c>
      <x:c r="AQ75" s="44" t="n">
        <x:v>0.9653</x:v>
      </x:c>
      <x:c r="AR75" s="44" t="n">
        <x:v>0.9653</x:v>
      </x:c>
      <x:c r="AS75" s="44"/>
      <x:c r="AT75" s="44" t="n">
        <x:v>0.8029</x:v>
      </x:c>
      <x:c r="AU75" s="174" t="n">
        <x:v>39216</x:v>
      </x:c>
      <x:c r="AV75" s="43" t="str">
        <x:v>01:12.0</x:v>
      </x:c>
      <x:c r="AW75" s="43" t="str">
        <x:v>01:11.0-01:12.0</x:v>
      </x:c>
      <x:c r="AX75" s="43" t="n">
        <x:v>145</x:v>
      </x:c>
      <x:c r="AY75" s="43" t="str">
        <x:v>K138_1000025064.mp4</x:v>
      </x:c>
      <x:c r="AZ75" s="44"/>
      <x:c r="BA75" s="175"/>
    </x:row>
    <x:row r="76" ht="18" customHeight="1">
      <x:c r="A76" s="43" t="str">
        <x:v>K138</x:v>
      </x:c>
      <x:c r="B76" s="43" t="str">
        <x:v>(RaW)©•SGT©•</x:v>
      </x:c>
      <x:c r="C76" s="43" t="n">
        <x:v>109990</x:v>
      </x:c>
      <x:c r="D76" s="44" t="n">
        <x:v>3.2235</x:v>
      </x:c>
      <x:c r="E76" s="44" t="n">
        <x:v>2.5435</x:v>
      </x:c>
      <x:c r="F76" s="44" t="n">
        <x:v>2.8285</x:v>
      </x:c>
      <x:c r="G76" s="44" t="n">
        <x:v>0.4375</x:v>
      </x:c>
      <x:c r="H76" s="44" t="n">
        <x:v>-0.415</x:v>
      </x:c>
      <x:c r="I76" s="44" t="n">
        <x:v>2.9352</x:v>
      </x:c>
      <x:c r="J76" s="44" t="n">
        <x:v>2.5008</x:v>
      </x:c>
      <x:c r="K76" s="44" t="n">
        <x:v>8.477</x:v>
      </x:c>
      <x:c r="L76" s="44" t="n">
        <x:v>13.182</x:v>
      </x:c>
      <x:c r="M76" s="44" t="n">
        <x:v>12.3149</x:v>
      </x:c>
      <x:c r="N76" s="44" t="n">
        <x:v>1.4275</x:v>
      </x:c>
      <x:c r="O76" s="44" t="n">
        <x:v>-1.6525</x:v>
      </x:c>
      <x:c r="P76" s="44" t="n">
        <x:v>1.29</x:v>
      </x:c>
      <x:c r="Q76" s="44" t="n">
        <x:v>4.33</x:v>
      </x:c>
      <x:c r="R76" s="44" t="n">
        <x:v>20.407</x:v>
      </x:c>
      <x:c r="S76" s="44" t="n">
        <x:v>14.272</x:v>
      </x:c>
      <x:c r="T76" s="44" t="n">
        <x:v>8.3785</x:v>
      </x:c>
      <x:c r="U76" s="44" t="n">
        <x:v>1.7175</x:v>
      </x:c>
      <x:c r="V76" s="44" t="n">
        <x:v>-1.365</x:v>
      </x:c>
      <x:c r="W76" s="44" t="n">
        <x:v>3.04</x:v>
      </x:c>
      <x:c r="X76" s="44" t="n">
        <x:v>1.3</x:v>
      </x:c>
      <x:c r="Y76" s="44" t="n">
        <x:v>22.2585</x:v>
      </x:c>
      <x:c r="Z76" s="44" t="n">
        <x:v>16.6535</x:v>
      </x:c>
      <x:c r="AA76" s="44" t="n">
        <x:v>11.07</x:v>
      </x:c>
      <x:c r="AB76" s="44" t="n">
        <x:v>1.755</x:v>
      </x:c>
      <x:c r="AC76" s="44" t="n">
        <x:v>-1.4675</x:v>
      </x:c>
      <x:c r="AD76" s="44" t="n">
        <x:v>5.87</x:v>
      </x:c>
      <x:c r="AE76" s="44" t="n">
        <x:v>2.8</x:v>
      </x:c>
      <x:c r="AF76" s="44" t="n">
        <x:v>12.33</x:v>
      </x:c>
      <x:c r="AG76" s="44" t="n">
        <x:v>3.935</x:v>
      </x:c>
      <x:c r="AH76" s="44" t="n">
        <x:v>9.565</x:v>
      </x:c>
      <x:c r="AI76" s="44" t="n">
        <x:v>0.645</x:v>
      </x:c>
      <x:c r="AJ76" s="44" t="n">
        <x:v>-0.49</x:v>
      </x:c>
      <x:c r="AK76" s="44" t="n">
        <x:v>0.82</x:v>
      </x:c>
      <x:c r="AL76" s="44" t="n">
        <x:v>0.66</x:v>
      </x:c>
      <x:c r="AM76" s="44" t="n">
        <x:v>0.26</x:v>
      </x:c>
      <x:c r="AN76" s="44" t="n">
        <x:v>0.215</x:v>
      </x:c>
      <x:c r="AO76" s="44" t="n">
        <x:v>-1.2188</x:v>
      </x:c>
      <x:c r="AP76" s="44" t="n">
        <x:v>0.9653</x:v>
      </x:c>
      <x:c r="AQ76" s="44" t="n">
        <x:v>0.9653</x:v>
      </x:c>
      <x:c r="AR76" s="44" t="n">
        <x:v>0.9653</x:v>
      </x:c>
      <x:c r="AS76" s="44"/>
      <x:c r="AT76" s="44" t="n">
        <x:v>0.8029</x:v>
      </x:c>
      <x:c r="AU76" s="174" t="n">
        <x:v>39216</x:v>
      </x:c>
      <x:c r="AV76" s="43" t="str">
        <x:v>01:25.0</x:v>
      </x:c>
      <x:c r="AW76" s="43" t="str">
        <x:v>01:23.5-01:25.0</x:v>
      </x:c>
      <x:c r="AX76" s="43" t="n">
        <x:v>171</x:v>
      </x:c>
      <x:c r="AY76" s="43" t="str">
        <x:v>K138_1000025064.mp4</x:v>
      </x:c>
      <x:c r="AZ76" s="44"/>
      <x:c r="BA76" s="175"/>
    </x:row>
    <x:row r="77" ht="18" customHeight="1">
      <x:c r="A77" s="43" t="str">
        <x:v>K138</x:v>
      </x:c>
      <x:c r="B77" s="43" t="str">
        <x:v>(RaW)JØNS</x:v>
      </x:c>
      <x:c r="C77" s="43" t="n">
        <x:v>57500</x:v>
      </x:c>
      <x:c r="D77" s="44" t="n">
        <x:v>2.9021</x:v>
      </x:c>
      <x:c r="E77" s="44" t="n">
        <x:v>2.286</x:v>
      </x:c>
      <x:c r="F77" s="44" t="n">
        <x:v>2.506</x:v>
      </x:c>
      <x:c r="G77" s="44" t="n">
        <x:v>0.415</x:v>
      </x:c>
      <x:c r="H77" s="44" t="n">
        <x:v>-0.4</x:v>
      </x:c>
      <x:c r="I77" s="44" t="n">
        <x:v>3.4178</x:v>
      </x:c>
      <x:c r="J77" s="44" t="n">
        <x:v>1.74</x:v>
      </x:c>
      <x:c r="K77" s="44" t="n">
        <x:v>9.917</x:v>
      </x:c>
      <x:c r="L77" s="44" t="n">
        <x:v>16.5104</x:v>
      </x:c>
      <x:c r="M77" s="44" t="n">
        <x:v>11.7607</x:v>
      </x:c>
      <x:c r="N77" s="44" t="n">
        <x:v>1.285</x:v>
      </x:c>
      <x:c r="O77" s="44" t="n">
        <x:v>-1.42</x:v>
      </x:c>
      <x:c r="P77" s="44" t="n">
        <x:v>0.84</x:v>
      </x:c>
      <x:c r="Q77" s="44" t="n">
        <x:v>2.15</x:v>
      </x:c>
      <x:c r="R77" s="44" t="n">
        <x:v>8.8825</x:v>
      </x:c>
      <x:c r="S77" s="44" t="n">
        <x:v>9.225</x:v>
      </x:c>
      <x:c r="T77" s="44" t="n">
        <x:v>5.752</x:v>
      </x:c>
      <x:c r="U77" s="44" t="n">
        <x:v>0.335</x:v>
      </x:c>
      <x:c r="V77" s="44" t="n">
        <x:v>-0.31</x:v>
      </x:c>
      <x:c r="W77" s="44" t="n">
        <x:v>0.76</x:v>
      </x:c>
      <x:c r="X77" s="44" t="n">
        <x:v>0.65</x:v>
      </x:c>
      <x:c r="Y77" s="44" t="n">
        <x:v>23.1155</x:v>
      </x:c>
      <x:c r="Z77" s="44" t="n">
        <x:v>12.837</x:v>
      </x:c>
      <x:c r="AA77" s="44" t="n">
        <x:v>6.455</x:v>
      </x:c>
      <x:c r="AB77" s="44" t="n">
        <x:v>1.44</x:v>
      </x:c>
      <x:c r="AC77" s="44" t="n">
        <x:v>-1.265</x:v>
      </x:c>
      <x:c r="AD77" s="44" t="n">
        <x:v>2.56</x:v>
      </x:c>
      <x:c r="AE77" s="44" t="n">
        <x:v>1.32</x:v>
      </x:c>
      <x:c r="AF77" s="44" t="n">
        <x:v>8.5495</x:v>
      </x:c>
      <x:c r="AG77" s="44" t="n">
        <x:v>5.342</x:v>
      </x:c>
      <x:c r="AH77" s="44" t="n">
        <x:v>2.725</x:v>
      </x:c>
      <x:c r="AI77" s="44" t="n">
        <x:v>0.3385</x:v>
      </x:c>
      <x:c r="AJ77" s="44" t="n">
        <x:v>-0.25</x:v>
      </x:c>
      <x:c r="AK77" s="44" t="n">
        <x:v>0.75</x:v>
      </x:c>
      <x:c r="AL77" s="44" t="n">
        <x:v>0.61</x:v>
      </x:c>
      <x:c r="AM77" s="44" t="n">
        <x:v>0.245</x:v>
      </x:c>
      <x:c r="AN77" s="44" t="n">
        <x:v>0.235</x:v>
      </x:c>
      <x:c r="AO77" s="44" t="n">
        <x:v>-1.2188</x:v>
      </x:c>
      <x:c r="AP77" s="44" t="n">
        <x:v>0.9653</x:v>
      </x:c>
      <x:c r="AQ77" s="44" t="n">
        <x:v>0.9653</x:v>
      </x:c>
      <x:c r="AR77" s="44" t="n">
        <x:v>0.9653</x:v>
      </x:c>
      <x:c r="AS77" s="44"/>
      <x:c r="AT77" s="44" t="n">
        <x:v>0.8029</x:v>
      </x:c>
      <x:c r="AU77" s="174" t="n">
        <x:v>39216</x:v>
      </x:c>
      <x:c r="AV77" s="43" t="str">
        <x:v>01:31.5</x:v>
      </x:c>
      <x:c r="AW77" s="43" t="str">
        <x:v>01:30.5-01:31.5</x:v>
      </x:c>
      <x:c r="AX77" s="43" t="n">
        <x:v>184</x:v>
      </x:c>
      <x:c r="AY77" s="43" t="str">
        <x:v>K138_1000025064.mp4</x:v>
      </x:c>
      <x:c r="AZ77" s="44"/>
      <x:c r="BA77" s="175"/>
    </x:row>
    <x:row r="78" ht="18" customHeight="1">
      <x:c r="A78" s="43" t="str">
        <x:v>K138</x:v>
      </x:c>
      <x:c r="B78" s="43" t="str">
        <x:v>(RaW)༺Frankie༻</x:v>
      </x:c>
      <x:c r="C78" s="43" t="n">
        <x:v>227600</x:v>
      </x:c>
      <x:c r="D78" s="44" t="n">
        <x:v>3.5085</x:v>
      </x:c>
      <x:c r="E78" s="44" t="n">
        <x:v>2.9585</x:v>
      </x:c>
      <x:c r="F78" s="44" t="n">
        <x:v>3.1985</x:v>
      </x:c>
      <x:c r="G78" s="44" t="n">
        <x:v>0.4375</x:v>
      </x:c>
      <x:c r="H78" s="44" t="n">
        <x:v>-0.4375</x:v>
      </x:c>
      <x:c r="I78" s="44" t="n">
        <x:v>6</x:v>
      </x:c>
      <x:c r="J78" s="44" t="n">
        <x:v>3.4544</x:v>
      </x:c>
      <x:c r="K78" s="44" t="n">
        <x:v>16.65</x:v>
      </x:c>
      <x:c r="L78" s="44" t="n">
        <x:v>19.6742</x:v>
      </x:c>
      <x:c r="M78" s="44" t="n">
        <x:v>11.1907</x:v>
      </x:c>
      <x:c r="N78" s="44" t="n">
        <x:v>1.4275</x:v>
      </x:c>
      <x:c r="O78" s="44" t="n">
        <x:v>-1.7975</x:v>
      </x:c>
      <x:c r="P78" s="44" t="n">
        <x:v>2.14</x:v>
      </x:c>
      <x:c r="Q78" s="44" t="n">
        <x:v>7</x:v>
      </x:c>
      <x:c r="R78" s="44" t="n">
        <x:v>23.002</x:v>
      </x:c>
      <x:c r="S78" s="44" t="n">
        <x:v>14.665</x:v>
      </x:c>
      <x:c r="T78" s="44" t="n">
        <x:v>12.492</x:v>
      </x:c>
      <x:c r="U78" s="44" t="n">
        <x:v>1.74</x:v>
      </x:c>
      <x:c r="V78" s="44" t="n">
        <x:v>-1.6675</x:v>
      </x:c>
      <x:c r="W78" s="44" t="n">
        <x:v>5.24</x:v>
      </x:c>
      <x:c r="X78" s="44" t="n">
        <x:v>4.2</x:v>
      </x:c>
      <x:c r="Y78" s="44" t="n">
        <x:v>20.735</x:v>
      </x:c>
      <x:c r="Z78" s="44" t="n">
        <x:v>14.23</x:v>
      </x:c>
      <x:c r="AA78" s="44" t="n">
        <x:v>9.625</x:v>
      </x:c>
      <x:c r="AB78" s="44" t="n">
        <x:v>1.715</x:v>
      </x:c>
      <x:c r="AC78" s="44" t="n">
        <x:v>-1.4475</x:v>
      </x:c>
      <x:c r="AD78" s="44" t="n">
        <x:v>5.37</x:v>
      </x:c>
      <x:c r="AE78" s="44" t="n">
        <x:v>3.52</x:v>
      </x:c>
      <x:c r="AF78" s="44" t="n">
        <x:v>20.2785</x:v>
      </x:c>
      <x:c r="AG78" s="44" t="n">
        <x:v>9.695</x:v>
      </x:c>
      <x:c r="AH78" s="44" t="n">
        <x:v>12.885</x:v>
      </x:c>
      <x:c r="AI78" s="44" t="n">
        <x:v>1.6575</x:v>
      </x:c>
      <x:c r="AJ78" s="44" t="n">
        <x:v>-1.605</x:v>
      </x:c>
      <x:c r="AK78" s="44" t="n">
        <x:v>4.31</x:v>
      </x:c>
      <x:c r="AL78" s="44" t="n">
        <x:v>2.48</x:v>
      </x:c>
      <x:c r="AM78" s="44" t="n">
        <x:v>0.26</x:v>
      </x:c>
      <x:c r="AN78" s="44" t="n">
        <x:v>0.23</x:v>
      </x:c>
      <x:c r="AO78" s="44" t="n">
        <x:v>-1.2188</x:v>
      </x:c>
      <x:c r="AP78" s="44" t="n">
        <x:v>0.9653</x:v>
      </x:c>
      <x:c r="AQ78" s="44" t="n">
        <x:v>0.9653</x:v>
      </x:c>
      <x:c r="AR78" s="44" t="n">
        <x:v>0.9653</x:v>
      </x:c>
      <x:c r="AS78" s="44"/>
      <x:c r="AT78" s="44" t="n">
        <x:v>0.8029</x:v>
      </x:c>
      <x:c r="AU78" s="174" t="n">
        <x:v>39216</x:v>
      </x:c>
      <x:c r="AV78" s="43" t="str">
        <x:v>01:45.5</x:v>
      </x:c>
      <x:c r="AW78" s="43" t="str">
        <x:v>01:44.0-01:45.5</x:v>
      </x:c>
      <x:c r="AX78" s="43" t="n">
        <x:v>212</x:v>
      </x:c>
      <x:c r="AY78" s="43" t="str">
        <x:v>K138_1000025064.mp4</x:v>
      </x:c>
      <x:c r="AZ78" s="44"/>
      <x:c r="BA78" s="175"/>
    </x:row>
    <x:row r="79" ht="18" customHeight="1">
      <x:c r="A79" s="43" t="str">
        <x:v>K138</x:v>
      </x:c>
      <x:c r="B79" s="43" t="str">
        <x:v>(RaW)Critykal</x:v>
      </x:c>
      <x:c r="C79" s="43" t="n">
        <x:v>250090</x:v>
      </x:c>
      <x:c r="D79" s="44" t="n">
        <x:v>4.1785</x:v>
      </x:c>
      <x:c r="E79" s="44" t="n">
        <x:v>3.2785</x:v>
      </x:c>
      <x:c r="F79" s="44" t="n">
        <x:v>3.3485</x:v>
      </x:c>
      <x:c r="G79" s="44" t="n">
        <x:v>0.4375</x:v>
      </x:c>
      <x:c r="H79" s="44" t="n">
        <x:v>-0.4375</x:v>
      </x:c>
      <x:c r="I79" s="44" t="n">
        <x:v>4.322</x:v>
      </x:c>
      <x:c r="J79" s="44" t="n">
        <x:v>3.0928</x:v>
      </x:c>
      <x:c r="K79" s="44" t="n">
        <x:v>12.177</x:v>
      </x:c>
      <x:c r="L79" s="44" t="n">
        <x:v>17.6399</x:v>
      </x:c>
      <x:c r="M79" s="44" t="n">
        <x:v>15.657</x:v>
      </x:c>
      <x:c r="N79" s="44" t="n">
        <x:v>1.605</x:v>
      </x:c>
      <x:c r="O79" s="44" t="n">
        <x:v>-1.795</x:v>
      </x:c>
      <x:c r="P79" s="44" t="n">
        <x:v>3.47</x:v>
      </x:c>
      <x:c r="Q79" s="44" t="n">
        <x:v>7</x:v>
      </x:c>
      <x:c r="R79" s="44" t="n">
        <x:v>26.4455</x:v>
      </x:c>
      <x:c r="S79" s="44" t="n">
        <x:v>18.605</x:v>
      </x:c>
      <x:c r="T79" s="44" t="n">
        <x:v>10.382</x:v>
      </x:c>
      <x:c r="U79" s="44" t="n">
        <x:v>1.9275</x:v>
      </x:c>
      <x:c r="V79" s="44" t="n">
        <x:v>-1.705</x:v>
      </x:c>
      <x:c r="W79" s="44" t="n">
        <x:v>6.03</x:v>
      </x:c>
      <x:c r="X79" s="44" t="n">
        <x:v>4.04</x:v>
      </x:c>
      <x:c r="Y79" s="44" t="n">
        <x:v>18.495</x:v>
      </x:c>
      <x:c r="Z79" s="44" t="n">
        <x:v>15.14</x:v>
      </x:c>
      <x:c r="AA79" s="44" t="n">
        <x:v>12.0735</x:v>
      </x:c>
      <x:c r="AB79" s="44" t="n">
        <x:v>1.8875</x:v>
      </x:c>
      <x:c r="AC79" s="44" t="n">
        <x:v>-1.4475</x:v>
      </x:c>
      <x:c r="AD79" s="44" t="n">
        <x:v>6.08</x:v>
      </x:c>
      <x:c r="AE79" s="44" t="n">
        <x:v>3.74</x:v>
      </x:c>
      <x:c r="AF79" s="44" t="n">
        <x:v>18.4685</x:v>
      </x:c>
      <x:c r="AG79" s="44" t="n">
        <x:v>5.975</x:v>
      </x:c>
      <x:c r="AH79" s="44" t="n">
        <x:v>12.615</x:v>
      </x:c>
      <x:c r="AI79" s="44" t="n">
        <x:v>1.7675</x:v>
      </x:c>
      <x:c r="AJ79" s="44" t="n">
        <x:v>-1.6675</x:v>
      </x:c>
      <x:c r="AK79" s="44" t="n">
        <x:v>3.71</x:v>
      </x:c>
      <x:c r="AL79" s="44" t="n">
        <x:v>2.09</x:v>
      </x:c>
      <x:c r="AM79" s="44" t="n">
        <x:v>0.26</x:v>
      </x:c>
      <x:c r="AN79" s="44" t="n">
        <x:v>0.235</x:v>
      </x:c>
      <x:c r="AO79" s="44" t="n">
        <x:v>-1.2188</x:v>
      </x:c>
      <x:c r="AP79" s="44" t="n">
        <x:v>0.9653</x:v>
      </x:c>
      <x:c r="AQ79" s="44" t="n">
        <x:v>0.9653</x:v>
      </x:c>
      <x:c r="AR79" s="44" t="n">
        <x:v>0.9653</x:v>
      </x:c>
      <x:c r="AS79" s="44"/>
      <x:c r="AT79" s="44" t="n">
        <x:v>0.8029</x:v>
      </x:c>
      <x:c r="AU79" s="174" t="n">
        <x:v>39216</x:v>
      </x:c>
      <x:c r="AV79" s="43" t="str">
        <x:v>01:57.0</x:v>
      </x:c>
      <x:c r="AW79" s="43" t="str">
        <x:v>01:55.0-01:57.0</x:v>
      </x:c>
      <x:c r="AX79" s="43" t="n">
        <x:v>235</x:v>
      </x:c>
      <x:c r="AY79" s="43" t="str">
        <x:v>K138_1000025064.mp4</x:v>
      </x:c>
      <x:c r="AZ79" s="44"/>
      <x:c r="BA79" s="175"/>
    </x:row>
    <x:row r="80" ht="18" customHeight="1">
      <x:c r="A80" s="43" t="str">
        <x:v>K138</x:v>
      </x:c>
      <x:c r="B80" s="43" t="str">
        <x:v>(RaW)Maddog</x:v>
      </x:c>
      <x:c r="C80" s="43" t="n">
        <x:v>119590</x:v>
      </x:c>
      <x:c r="D80" s="44" t="n">
        <x:v>3.2385</x:v>
      </x:c>
      <x:c r="E80" s="44" t="n">
        <x:v>2.631</x:v>
      </x:c>
      <x:c r="F80" s="44" t="n">
        <x:v>2.846</x:v>
      </x:c>
      <x:c r="G80" s="44" t="n">
        <x:v>0.4375</x:v>
      </x:c>
      <x:c r="H80" s="44" t="n">
        <x:v>-0.415</x:v>
      </x:c>
      <x:c r="I80" s="44" t="n">
        <x:v>5.4156</x:v>
      </x:c>
      <x:c r="J80" s="44" t="n">
        <x:v>3.7364</x:v>
      </x:c>
      <x:c r="K80" s="44" t="n">
        <x:v>12.415</x:v>
      </x:c>
      <x:c r="L80" s="44" t="n">
        <x:v>17.52</x:v>
      </x:c>
      <x:c r="M80" s="44" t="n">
        <x:v>12.8049</x:v>
      </x:c>
      <x:c r="N80" s="44" t="n">
        <x:v>1.285</x:v>
      </x:c>
      <x:c r="O80" s="44" t="n">
        <x:v>-1.55</x:v>
      </x:c>
      <x:c r="P80" s="44" t="n">
        <x:v>1.31</x:v>
      </x:c>
      <x:c r="Q80" s="44" t="n">
        <x:v>6.03</x:v>
      </x:c>
      <x:c r="R80" s="44" t="n">
        <x:v>22.957</x:v>
      </x:c>
      <x:c r="S80" s="44" t="n">
        <x:v>13.992</x:v>
      </x:c>
      <x:c r="T80" s="44" t="n">
        <x:v>11.105</x:v>
      </x:c>
      <x:c r="U80" s="44" t="n">
        <x:v>1.705</x:v>
      </x:c>
      <x:c r="V80" s="44" t="n">
        <x:v>-1.285</x:v>
      </x:c>
      <x:c r="W80" s="44" t="n">
        <x:v>2.56</x:v>
      </x:c>
      <x:c r="X80" s="44" t="n">
        <x:v>1.51</x:v>
      </x:c>
      <x:c r="Y80" s="44" t="n">
        <x:v>20.395</x:v>
      </x:c>
      <x:c r="Z80" s="44" t="n">
        <x:v>17.3335</x:v>
      </x:c>
      <x:c r="AA80" s="44" t="n">
        <x:v>12.725</x:v>
      </x:c>
      <x:c r="AB80" s="44" t="n">
        <x:v>1.76</x:v>
      </x:c>
      <x:c r="AC80" s="44" t="n">
        <x:v>-1.4475</x:v>
      </x:c>
      <x:c r="AD80" s="44" t="n">
        <x:v>4.37</x:v>
      </x:c>
      <x:c r="AE80" s="44" t="n">
        <x:v>2.21</x:v>
      </x:c>
      <x:c r="AF80" s="44" t="n">
        <x:v>14.995</x:v>
      </x:c>
      <x:c r="AG80" s="44" t="n">
        <x:v>8.645</x:v>
      </x:c>
      <x:c r="AH80" s="44" t="n">
        <x:v>11.685</x:v>
      </x:c>
      <x:c r="AI80" s="44" t="n">
        <x:v>1.6575</x:v>
      </x:c>
      <x:c r="AJ80" s="44" t="n">
        <x:v>-1.285</x:v>
      </x:c>
      <x:c r="AK80" s="44" t="n">
        <x:v>1.56</x:v>
      </x:c>
      <x:c r="AL80" s="44" t="n">
        <x:v>0.86</x:v>
      </x:c>
      <x:c r="AM80" s="44" t="n">
        <x:v>0.26</x:v>
      </x:c>
      <x:c r="AN80" s="44" t="n">
        <x:v>0.235</x:v>
      </x:c>
      <x:c r="AO80" s="44" t="n">
        <x:v>-1.2188</x:v>
      </x:c>
      <x:c r="AP80" s="44" t="n">
        <x:v>0.9653</x:v>
      </x:c>
      <x:c r="AQ80" s="44" t="n">
        <x:v>0.9653</x:v>
      </x:c>
      <x:c r="AR80" s="44" t="n">
        <x:v>0.9653</x:v>
      </x:c>
      <x:c r="AS80" s="44"/>
      <x:c r="AT80" s="44" t="n">
        <x:v>0.8029</x:v>
      </x:c>
      <x:c r="AU80" s="174" t="n">
        <x:v>39216</x:v>
      </x:c>
      <x:c r="AV80" s="43" t="str">
        <x:v>02:07.5</x:v>
      </x:c>
      <x:c r="AW80" s="43" t="str">
        <x:v>02:06.5-02:07.5</x:v>
      </x:c>
      <x:c r="AX80" s="43" t="n">
        <x:v>256</x:v>
      </x:c>
      <x:c r="AY80" s="43" t="str">
        <x:v>K138_1000025064.mp4</x:v>
      </x:c>
      <x:c r="AZ80" s="44"/>
      <x:c r="BA80" s="175"/>
    </x:row>
    <x:row r="81" ht="18" customHeight="1">
      <x:c r="A81" s="43" t="str">
        <x:v>K138</x:v>
      </x:c>
      <x:c r="B81" s="43" t="str">
        <x:v>(RaW)BEYKOZLU</x:v>
      </x:c>
      <x:c r="C81" s="43" t="n">
        <x:v>107110</x:v>
      </x:c>
      <x:c r="D81" s="44" t="n">
        <x:v>3.076</x:v>
      </x:c>
      <x:c r="E81" s="44" t="n">
        <x:v>2.581</x:v>
      </x:c>
      <x:c r="F81" s="44" t="n">
        <x:v>3.066</x:v>
      </x:c>
      <x:c r="G81" s="44" t="n">
        <x:v>0.415</x:v>
      </x:c>
      <x:c r="H81" s="44" t="n">
        <x:v>-0.415</x:v>
      </x:c>
      <x:c r="I81" s="44" t="n">
        <x:v>2.8096</x:v>
      </x:c>
      <x:c r="J81" s="44" t="n">
        <x:v>2.584</x:v>
      </x:c>
      <x:c r="K81" s="44" t="n">
        <x:v>11.967</x:v>
      </x:c>
      <x:c r="L81" s="44" t="n">
        <x:v>15.472</x:v>
      </x:c>
      <x:c r="M81" s="44" t="n">
        <x:v>14.7849</x:v>
      </x:c>
      <x:c r="N81" s="44" t="n">
        <x:v>1.4275</x:v>
      </x:c>
      <x:c r="O81" s="44" t="n">
        <x:v>-1.545</x:v>
      </x:c>
      <x:c r="P81" s="44" t="n">
        <x:v>0.89</x:v>
      </x:c>
      <x:c r="Q81" s="44" t="n">
        <x:v>4.03</x:v>
      </x:c>
      <x:c r="R81" s="44" t="n">
        <x:v>22.332</x:v>
      </x:c>
      <x:c r="S81" s="44" t="n">
        <x:v>15.777</x:v>
      </x:c>
      <x:c r="T81" s="44" t="n">
        <x:v>8.6235</x:v>
      </x:c>
      <x:c r="U81" s="44" t="n">
        <x:v>1.565</x:v>
      </x:c>
      <x:c r="V81" s="44" t="n">
        <x:v>-1.4075</x:v>
      </x:c>
      <x:c r="W81" s="44" t="n">
        <x:v>3.86</x:v>
      </x:c>
      <x:c r="X81" s="44" t="n">
        <x:v>2.03</x:v>
      </x:c>
      <x:c r="Y81" s="44" t="n">
        <x:v>19.9185</x:v>
      </x:c>
      <x:c r="Z81" s="44" t="n">
        <x:v>14.1135</x:v>
      </x:c>
      <x:c r="AA81" s="44" t="n">
        <x:v>9.585</x:v>
      </x:c>
      <x:c r="AB81" s="44" t="n">
        <x:v>1.5225</x:v>
      </x:c>
      <x:c r="AC81" s="44" t="n">
        <x:v>-1.4475</x:v>
      </x:c>
      <x:c r="AD81" s="44" t="n">
        <x:v>3</x:v>
      </x:c>
      <x:c r="AE81" s="44" t="n">
        <x:v>1.18</x:v>
      </x:c>
      <x:c r="AF81" s="44" t="n">
        <x:v>14.42</x:v>
      </x:c>
      <x:c r="AG81" s="44" t="n">
        <x:v>5.975</x:v>
      </x:c>
      <x:c r="AH81" s="44" t="n">
        <x:v>11.935</x:v>
      </x:c>
      <x:c r="AI81" s="44" t="n">
        <x:v>1.385</x:v>
      </x:c>
      <x:c r="AJ81" s="44" t="n">
        <x:v>-1.285</x:v>
      </x:c>
      <x:c r="AK81" s="44" t="n">
        <x:v>1.24</x:v>
      </x:c>
      <x:c r="AL81" s="44" t="n">
        <x:v>0.73</x:v>
      </x:c>
      <x:c r="AM81" s="44" t="n">
        <x:v>0.26</x:v>
      </x:c>
      <x:c r="AN81" s="44" t="n">
        <x:v>0.235</x:v>
      </x:c>
      <x:c r="AO81" s="44" t="n">
        <x:v>-1.2188</x:v>
      </x:c>
      <x:c r="AP81" s="44" t="n">
        <x:v>0.9653</x:v>
      </x:c>
      <x:c r="AQ81" s="44" t="n">
        <x:v>0.9653</x:v>
      </x:c>
      <x:c r="AR81" s="44" t="n">
        <x:v>0.9653</x:v>
      </x:c>
      <x:c r="AS81" s="44"/>
      <x:c r="AT81" s="44" t="n">
        <x:v>0.8029</x:v>
      </x:c>
      <x:c r="AU81" s="174" t="n">
        <x:v>39216</x:v>
      </x:c>
      <x:c r="AV81" s="43" t="str">
        <x:v>02:17.50</x:v>
      </x:c>
      <x:c r="AW81" s="43" t="str">
        <x:v>02:17.0-02:17.5</x:v>
      </x:c>
      <x:c r="AX81" s="43" t="str">
        <x:v>work/k138_second/frame_0040.jpg</x:v>
      </x:c>
      <x:c r="AY81" s="43" t="str">
        <x:v>K138_1000025064.mp4</x:v>
      </x:c>
      <x:c r="AZ81" s="44"/>
      <x:c r="BA81" s="175"/>
    </x:row>
    <x:row r="82" ht="18" customHeight="1">
      <x:c r="A82" s="43" t="str">
        <x:v>K138</x:v>
      </x:c>
      <x:c r="B82" s="43" t="str">
        <x:v>(RaW)༺ASOS༻</x:v>
      </x:c>
      <x:c r="C82" s="43" t="n">
        <x:v>57579</x:v>
      </x:c>
      <x:c r="D82" s="44" t="n">
        <x:v>2.9071</x:v>
      </x:c>
      <x:c r="E82" s="44" t="n">
        <x:v>1.585</x:v>
      </x:c>
      <x:c r="F82" s="44" t="n">
        <x:v>1.89</x:v>
      </x:c>
      <x:c r="G82" s="44" t="n">
        <x:v>0.4</x:v>
      </x:c>
      <x:c r="H82" s="44" t="n">
        <x:v>-0.04</x:v>
      </x:c>
      <x:c r="I82" s="44" t="n">
        <x:v>4.2968</x:v>
      </x:c>
      <x:c r="J82" s="44" t="n">
        <x:v>0.058</x:v>
      </x:c>
      <x:c r="K82" s="44" t="n">
        <x:v>10.28</x:v>
      </x:c>
      <x:c r="L82" s="44" t="n">
        <x:v>15.9549</x:v>
      </x:c>
      <x:c r="M82" s="44" t="n">
        <x:v>10.8592</x:v>
      </x:c>
      <x:c r="N82" s="44" t="n">
        <x:v>0.45</x:v>
      </x:c>
      <x:c r="O82" s="44" t="n">
        <x:v>-0.545</x:v>
      </x:c>
      <x:c r="P82" s="44" t="n">
        <x:v>0.66</x:v>
      </x:c>
      <x:c r="Q82" s="44" t="n">
        <x:v>1.82</x:v>
      </x:c>
      <x:c r="R82" s="44" t="n">
        <x:v>9.345</x:v>
      </x:c>
      <x:c r="S82" s="44" t="n">
        <x:v>8.335</x:v>
      </x:c>
      <x:c r="T82" s="44" t="n">
        <x:v>6.16</x:v>
      </x:c>
      <x:c r="U82" s="44" t="n">
        <x:v>1.025</x:v>
      </x:c>
      <x:c r="V82" s="44" t="n">
        <x:v>-0.87</x:v>
      </x:c>
      <x:c r="W82" s="44" t="n">
        <x:v>0.93</x:v>
      </x:c>
      <x:c r="X82" s="44" t="n">
        <x:v>0.67</x:v>
      </x:c>
      <x:c r="Y82" s="44" t="n">
        <x:v>20.797</x:v>
      </x:c>
      <x:c r="Z82" s="44" t="n">
        <x:v>12.995</x:v>
      </x:c>
      <x:c r="AA82" s="44" t="n">
        <x:v>8.727</x:v>
      </x:c>
      <x:c r="AB82" s="44" t="n">
        <x:v>1.5025</x:v>
      </x:c>
      <x:c r="AC82" s="44" t="n">
        <x:v>-1.245</x:v>
      </x:c>
      <x:c r="AD82" s="44" t="n">
        <x:v>2.66</x:v>
      </x:c>
      <x:c r="AE82" s="44" t="n">
        <x:v>1.58</x:v>
      </x:c>
      <x:c r="AF82" s="44" t="n">
        <x:v>10.5155</x:v>
      </x:c>
      <x:c r="AG82" s="44" t="n">
        <x:v>8.057</x:v>
      </x:c>
      <x:c r="AH82" s="44" t="n">
        <x:v>2.635</x:v>
      </x:c>
      <x:c r="AI82" s="44" t="n">
        <x:v>0.37</x:v>
      </x:c>
      <x:c r="AJ82" s="44" t="n">
        <x:v>-0.23</x:v>
      </x:c>
      <x:c r="AK82" s="44" t="n">
        <x:v>0.4</x:v>
      </x:c>
      <x:c r="AL82" s="44" t="n">
        <x:v>0.3</x:v>
      </x:c>
      <x:c r="AM82" s="44" t="n">
        <x:v>0.26</x:v>
      </x:c>
      <x:c r="AN82" s="44" t="n">
        <x:v>0.2</x:v>
      </x:c>
      <x:c r="AO82" s="44" t="n">
        <x:v>-1.2188</x:v>
      </x:c>
      <x:c r="AP82" s="44" t="n">
        <x:v>0.9653</x:v>
      </x:c>
      <x:c r="AQ82" s="44" t="n">
        <x:v>0.9653</x:v>
      </x:c>
      <x:c r="AR82" s="44" t="n">
        <x:v>0.9653</x:v>
      </x:c>
      <x:c r="AS82" s="44"/>
      <x:c r="AT82" s="44" t="n">
        <x:v>0.8029</x:v>
      </x:c>
      <x:c r="AU82" s="174" t="n">
        <x:v>39216</x:v>
      </x:c>
      <x:c r="AV82" s="43" t="str">
        <x:v>02:25.50</x:v>
      </x:c>
      <x:c r="AW82" s="43" t="str">
        <x:v>02:24.5-02:25.5</x:v>
      </x:c>
      <x:c r="AX82" s="43" t="str">
        <x:v>work/k138_second/frame_0056.jpg</x:v>
      </x:c>
      <x:c r="AY82" s="43" t="str">
        <x:v>K138_1000025064.mp4</x:v>
      </x:c>
      <x:c r="AZ82" s="44"/>
      <x:c r="BA82" s="175"/>
    </x:row>
    <x:row r="83" ht="18" customHeight="1">
      <x:c r="A83" s="43" t="str">
        <x:v>K138</x:v>
      </x:c>
      <x:c r="B83" s="43" t="str">
        <x:v>(RaW)Nightmare</x:v>
      </x:c>
      <x:c r="C83" s="43" t="n">
        <x:v>130610</x:v>
      </x:c>
      <x:c r="D83" s="44" t="n">
        <x:v>2.651</x:v>
      </x:c>
      <x:c r="E83" s="44" t="n">
        <x:v>2.506</x:v>
      </x:c>
      <x:c r="F83" s="44" t="n">
        <x:v>2.866</x:v>
      </x:c>
      <x:c r="G83" s="44" t="n">
        <x:v>0.415</x:v>
      </x:c>
      <x:c r="H83" s="44" t="n">
        <x:v>-0.4</x:v>
      </x:c>
      <x:c r="I83" s="44" t="n">
        <x:v>3.7496</x:v>
      </x:c>
      <x:c r="J83" s="44" t="n">
        <x:v>3.476</x:v>
      </x:c>
      <x:c r="K83" s="44" t="n">
        <x:v>10.695</x:v>
      </x:c>
      <x:c r="L83" s="44" t="n">
        <x:v>15.8107</x:v>
      </x:c>
      <x:c r="M83" s="44" t="n">
        <x:v>11.8449</x:v>
      </x:c>
      <x:c r="N83" s="44" t="n">
        <x:v>1.645</x:v>
      </x:c>
      <x:c r="O83" s="44" t="n">
        <x:v>-1.48</x:v>
      </x:c>
      <x:c r="P83" s="44" t="n">
        <x:v>0.92</x:v>
      </x:c>
      <x:c r="Q83" s="44" t="n">
        <x:v>1.88</x:v>
      </x:c>
      <x:c r="R83" s="44" t="n">
        <x:v>20.282</x:v>
      </x:c>
      <x:c r="S83" s="44" t="n">
        <x:v>16.232</x:v>
      </x:c>
      <x:c r="T83" s="44" t="n">
        <x:v>8.795</x:v>
      </x:c>
      <x:c r="U83" s="44" t="n">
        <x:v>1.675</x:v>
      </x:c>
      <x:c r="V83" s="44" t="n">
        <x:v>-1.265</x:v>
      </x:c>
      <x:c r="W83" s="44" t="n">
        <x:v>2.82</x:v>
      </x:c>
      <x:c r="X83" s="44" t="n">
        <x:v>1.27</x:v>
      </x:c>
      <x:c r="Y83" s="44" t="n">
        <x:v>20.18</x:v>
      </x:c>
      <x:c r="Z83" s="44" t="n">
        <x:v>16.1085</x:v>
      </x:c>
      <x:c r="AA83" s="44" t="n">
        <x:v>10.755</x:v>
      </x:c>
      <x:c r="AB83" s="44" t="n">
        <x:v>1.7375</x:v>
      </x:c>
      <x:c r="AC83" s="44" t="n">
        <x:v>-1.3475</x:v>
      </x:c>
      <x:c r="AD83" s="44" t="n">
        <x:v>3.16</x:v>
      </x:c>
      <x:c r="AE83" s="44" t="n">
        <x:v>1.96</x:v>
      </x:c>
      <x:c r="AF83" s="44" t="n">
        <x:v>11.475</x:v>
      </x:c>
      <x:c r="AG83" s="44" t="n">
        <x:v>6.095</x:v>
      </x:c>
      <x:c r="AH83" s="44" t="n">
        <x:v>8.135</x:v>
      </x:c>
      <x:c r="AI83" s="44" t="n">
        <x:v>0.8</x:v>
      </x:c>
      <x:c r="AJ83" s="44" t="n">
        <x:v>-0.575</x:v>
      </x:c>
      <x:c r="AK83" s="44" t="n">
        <x:v>0.48</x:v>
      </x:c>
      <x:c r="AL83" s="44" t="n">
        <x:v>0.4</x:v>
      </x:c>
      <x:c r="AM83" s="44" t="n">
        <x:v>0.26</x:v>
      </x:c>
      <x:c r="AN83" s="44" t="n">
        <x:v>0.215</x:v>
      </x:c>
      <x:c r="AO83" s="44" t="n">
        <x:v>-1.2188</x:v>
      </x:c>
      <x:c r="AP83" s="44" t="n">
        <x:v>0.9653</x:v>
      </x:c>
      <x:c r="AQ83" s="44" t="n">
        <x:v>0.9653</x:v>
      </x:c>
      <x:c r="AR83" s="44" t="n">
        <x:v>0.9653</x:v>
      </x:c>
      <x:c r="AS83" s="44"/>
      <x:c r="AT83" s="44" t="n">
        <x:v>0.8029</x:v>
      </x:c>
      <x:c r="AU83" s="174" t="n">
        <x:v>39216</x:v>
      </x:c>
      <x:c r="AV83" s="43" t="str">
        <x:v>02:35</x:v>
      </x:c>
      <x:c r="AW83" s="43" t="str">
        <x:v>02:34.0-02:35.0</x:v>
      </x:c>
      <x:c r="AX83" s="43" t="str">
        <x:v>work/k138_second/frame_0075.jpg</x:v>
      </x:c>
      <x:c r="AY83" s="43" t="str">
        <x:v>K138_1000025064.mp4</x:v>
      </x:c>
      <x:c r="AZ83" s="44"/>
      <x:c r="BA83" s="175"/>
    </x:row>
    <x:row r="84" ht="18" customHeight="1">
      <x:c r="A84" s="43" t="str">
        <x:v>K138</x:v>
      </x:c>
      <x:c r="B84" s="43" t="str">
        <x:v>(RaW)MARYEL</x:v>
      </x:c>
      <x:c r="C84" s="43" t="n">
        <x:v>107610</x:v>
      </x:c>
      <x:c r="D84" s="44" t="n">
        <x:v>3.196</x:v>
      </x:c>
      <x:c r="E84" s="44" t="n">
        <x:v>2.586</x:v>
      </x:c>
      <x:c r="F84" s="44" t="n">
        <x:v>3.051</x:v>
      </x:c>
      <x:c r="G84" s="44" t="n">
        <x:v>0.4375</x:v>
      </x:c>
      <x:c r="H84" s="44" t="n">
        <x:v>-0.415</x:v>
      </x:c>
      <x:c r="I84" s="44" t="n">
        <x:v>4.5664</x:v>
      </x:c>
      <x:c r="J84" s="44" t="n">
        <x:v>3.12</x:v>
      </x:c>
      <x:c r="K84" s="44" t="n">
        <x:v>12.065</x:v>
      </x:c>
      <x:c r="L84" s="44" t="n">
        <x:v>17.52</x:v>
      </x:c>
      <x:c r="M84" s="44" t="n">
        <x:v>12.8049</x:v>
      </x:c>
      <x:c r="N84" s="44" t="n">
        <x:v>1.365</x:v>
      </x:c>
      <x:c r="O84" s="44" t="n">
        <x:v>-1.585</x:v>
      </x:c>
      <x:c r="P84" s="44" t="n">
        <x:v>1.13</x:v>
      </x:c>
      <x:c r="Q84" s="44" t="n">
        <x:v>4.56</x:v>
      </x:c>
      <x:c r="R84" s="44" t="n">
        <x:v>21.072</x:v>
      </x:c>
      <x:c r="S84" s="44" t="n">
        <x:v>16.502</x:v>
      </x:c>
      <x:c r="T84" s="44" t="n">
        <x:v>8.5</x:v>
      </x:c>
      <x:c r="U84" s="44" t="n">
        <x:v>1.5425</x:v>
      </x:c>
      <x:c r="V84" s="44" t="n">
        <x:v>-1.285</x:v>
      </x:c>
      <x:c r="W84" s="44" t="n">
        <x:v>2.24</x:v>
      </x:c>
      <x:c r="X84" s="44" t="n">
        <x:v>1.28</x:v>
      </x:c>
      <x:c r="Y84" s="44" t="n">
        <x:v>20.235</x:v>
      </x:c>
      <x:c r="Z84" s="44" t="n">
        <x:v>17.0435</x:v>
      </x:c>
      <x:c r="AA84" s="44" t="n">
        <x:v>12.495</x:v>
      </x:c>
      <x:c r="AB84" s="44" t="n">
        <x:v>1.605</x:v>
      </x:c>
      <x:c r="AC84" s="44" t="n">
        <x:v>-1.4875</x:v>
      </x:c>
      <x:c r="AD84" s="44" t="n">
        <x:v>3.22</x:v>
      </x:c>
      <x:c r="AE84" s="44" t="n">
        <x:v>1.86</x:v>
      </x:c>
      <x:c r="AF84" s="44" t="n">
        <x:v>14.555</x:v>
      </x:c>
      <x:c r="AG84" s="44" t="n">
        <x:v>8.24</x:v>
      </x:c>
      <x:c r="AH84" s="44" t="n">
        <x:v>11.58</x:v>
      </x:c>
      <x:c r="AI84" s="44" t="n">
        <x:v>1.385</x:v>
      </x:c>
      <x:c r="AJ84" s="44" t="n">
        <x:v>-1.285</x:v>
      </x:c>
      <x:c r="AK84" s="44" t="n">
        <x:v>1.4</x:v>
      </x:c>
      <x:c r="AL84" s="44" t="n">
        <x:v>0.85</x:v>
      </x:c>
      <x:c r="AM84" s="44" t="n">
        <x:v>0.26</x:v>
      </x:c>
      <x:c r="AN84" s="44" t="n">
        <x:v>0.225</x:v>
      </x:c>
      <x:c r="AO84" s="44" t="n">
        <x:v>-1.2188</x:v>
      </x:c>
      <x:c r="AP84" s="44" t="n">
        <x:v>0.9653</x:v>
      </x:c>
      <x:c r="AQ84" s="44" t="n">
        <x:v>0.9653</x:v>
      </x:c>
      <x:c r="AR84" s="44" t="n">
        <x:v>0.9653</x:v>
      </x:c>
      <x:c r="AS84" s="44"/>
      <x:c r="AT84" s="44" t="n">
        <x:v>0.8029</x:v>
      </x:c>
      <x:c r="AU84" s="174" t="n">
        <x:v>39216</x:v>
      </x:c>
      <x:c r="AV84" s="43" t="str">
        <x:v>02:45.50</x:v>
      </x:c>
      <x:c r="AW84" s="43" t="str">
        <x:v>02:44.5-02:45.5</x:v>
      </x:c>
      <x:c r="AX84" s="43" t="str">
        <x:v>work/k138_second/frame_0096.jpg</x:v>
      </x:c>
      <x:c r="AY84" s="43" t="str">
        <x:v>K138_1000025064.mp4</x:v>
      </x:c>
      <x:c r="AZ84" s="44"/>
      <x:c r="BA84" s="175"/>
    </x:row>
    <x:row r="85" ht="18" customHeight="1">
      <x:c r="A85" s="43" t="str">
        <x:v>K138</x:v>
      </x:c>
      <x:c r="B85" s="43" t="str">
        <x:v>(RaW)༺惊鸿༻</x:v>
      </x:c>
      <x:c r="C85" s="43" t="n">
        <x:v>122213</x:v>
      </x:c>
      <x:c r="D85" s="44" t="n">
        <x:v>3.346</x:v>
      </x:c>
      <x:c r="E85" s="44" t="n">
        <x:v>2.761</x:v>
      </x:c>
      <x:c r="F85" s="44" t="n">
        <x:v>2.986</x:v>
      </x:c>
      <x:c r="G85" s="44" t="n">
        <x:v>0.415</x:v>
      </x:c>
      <x:c r="H85" s="44" t="n">
        <x:v>-0.415</x:v>
      </x:c>
      <x:c r="I85" s="44" t="n">
        <x:v>6</x:v>
      </x:c>
      <x:c r="J85" s="44" t="n">
        <x:v>2.5296</x:v>
      </x:c>
      <x:c r="K85" s="44" t="n">
        <x:v>8.987</x:v>
      </x:c>
      <x:c r="L85" s="44" t="n">
        <x:v>11.4099</x:v>
      </x:c>
      <x:c r="M85" s="44" t="n">
        <x:v>12.397</x:v>
      </x:c>
      <x:c r="N85" s="44" t="n">
        <x:v>0.8475</x:v>
      </x:c>
      <x:c r="O85" s="44" t="n">
        <x:v>-0.7525</x:v>
      </x:c>
      <x:c r="P85" s="44" t="n">
        <x:v>0.64</x:v>
      </x:c>
      <x:c r="Q85" s="44" t="n">
        <x:v>4.11</x:v>
      </x:c>
      <x:c r="R85" s="44" t="n">
        <x:v>22.1755</x:v>
      </x:c>
      <x:c r="S85" s="44" t="n">
        <x:v>12.255</x:v>
      </x:c>
      <x:c r="T85" s="44" t="n">
        <x:v>11.392</x:v>
      </x:c>
      <x:c r="U85" s="44" t="n">
        <x:v>1.6525</x:v>
      </x:c>
      <x:c r="V85" s="44" t="n">
        <x:v>-1.285</x:v>
      </x:c>
      <x:c r="W85" s="44" t="n">
        <x:v>2.91</x:v>
      </x:c>
      <x:c r="X85" s="44" t="n">
        <x:v>1.03</x:v>
      </x:c>
      <x:c r="Y85" s="44" t="n">
        <x:v>21.505</x:v>
      </x:c>
      <x:c r="Z85" s="44" t="n">
        <x:v>16.48</x:v>
      </x:c>
      <x:c r="AA85" s="44" t="n">
        <x:v>14.2485</x:v>
      </x:c>
      <x:c r="AB85" s="44" t="n">
        <x:v>1.775</x:v>
      </x:c>
      <x:c r="AC85" s="44" t="n">
        <x:v>-1.43</x:v>
      </x:c>
      <x:c r="AD85" s="44" t="n">
        <x:v>6.26</x:v>
      </x:c>
      <x:c r="AE85" s="44" t="n">
        <x:v>3.54</x:v>
      </x:c>
      <x:c r="AF85" s="44" t="n">
        <x:v>14.8435</x:v>
      </x:c>
      <x:c r="AG85" s="44" t="n">
        <x:v>4.545</x:v>
      </x:c>
      <x:c r="AH85" s="44" t="n">
        <x:v>8.95</x:v>
      </x:c>
      <x:c r="AI85" s="44" t="n">
        <x:v>0.545</x:v>
      </x:c>
      <x:c r="AJ85" s="44" t="n">
        <x:v>-0.41</x:v>
      </x:c>
      <x:c r="AK85" s="44" t="n">
        <x:v>0.69</x:v>
      </x:c>
      <x:c r="AL85" s="44" t="n">
        <x:v>0.53</x:v>
      </x:c>
      <x:c r="AM85" s="44" t="n">
        <x:v>0.26</x:v>
      </x:c>
      <x:c r="AN85" s="44" t="n">
        <x:v>0.23</x:v>
      </x:c>
      <x:c r="AO85" s="44" t="n">
        <x:v>-1.2188</x:v>
      </x:c>
      <x:c r="AP85" s="44" t="n">
        <x:v>0.9653</x:v>
      </x:c>
      <x:c r="AQ85" s="44" t="n">
        <x:v>0.9653</x:v>
      </x:c>
      <x:c r="AR85" s="44" t="n">
        <x:v>0.9653</x:v>
      </x:c>
      <x:c r="AS85" s="44"/>
      <x:c r="AT85" s="44" t="n">
        <x:v>0.8029</x:v>
      </x:c>
      <x:c r="AU85" s="174" t="n">
        <x:v>39216</x:v>
      </x:c>
      <x:c r="AV85" s="43" t="str">
        <x:v>02:56</x:v>
      </x:c>
      <x:c r="AW85" s="43" t="str">
        <x:v>02:55.0-02:56.0</x:v>
      </x:c>
      <x:c r="AX85" s="43" t="str">
        <x:v>work/k138_second/frame_0117.jpg</x:v>
      </x:c>
      <x:c r="AY85" s="43" t="str">
        <x:v>K138_1000025064.mp4</x:v>
      </x:c>
      <x:c r="AZ85" s="44"/>
      <x:c r="BA85" s="175"/>
    </x:row>
    <x:row r="86" ht="18" customHeight="1">
      <x:c r="A86" s="43" t="str">
        <x:v>K138</x:v>
      </x:c>
      <x:c r="B86" s="43" t="str">
        <x:v>(RaW)让世界沐浴在血中</x:v>
      </x:c>
      <x:c r="C86" s="43" t="n">
        <x:v>227600</x:v>
      </x:c>
      <x:c r="D86" s="44" t="n">
        <x:v>3.1685</x:v>
      </x:c>
      <x:c r="E86" s="44" t="n">
        <x:v>2.831</x:v>
      </x:c>
      <x:c r="F86" s="44" t="n">
        <x:v>3.016</x:v>
      </x:c>
      <x:c r="G86" s="44" t="n">
        <x:v>0.4375</x:v>
      </x:c>
      <x:c r="H86" s="44" t="n">
        <x:v>-0.415</x:v>
      </x:c>
      <x:c r="I86" s="44" t="n">
        <x:v>4.544</x:v>
      </x:c>
      <x:c r="J86" s="44" t="n">
        <x:v>4.8896</x:v>
      </x:c>
      <x:c r="K86" s="44" t="n">
        <x:v>15.045</x:v>
      </x:c>
      <x:c r="L86" s="44" t="n">
        <x:v>17.2042</x:v>
      </x:c>
      <x:c r="M86" s="44" t="n">
        <x:v>10.0007</x:v>
      </x:c>
      <x:c r="N86" s="44" t="n">
        <x:v>1.6675</x:v>
      </x:c>
      <x:c r="O86" s="44" t="n">
        <x:v>-1.47</x:v>
      </x:c>
      <x:c r="P86" s="44" t="n">
        <x:v>1.58</x:v>
      </x:c>
      <x:c r="Q86" s="44" t="n">
        <x:v>5.42</x:v>
      </x:c>
      <x:c r="R86" s="44" t="n">
        <x:v>22.142</x:v>
      </x:c>
      <x:c r="S86" s="44" t="n">
        <x:v>13.345</x:v>
      </x:c>
      <x:c r="T86" s="44" t="n">
        <x:v>12.392</x:v>
      </x:c>
      <x:c r="U86" s="44" t="n">
        <x:v>1.85</x:v>
      </x:c>
      <x:c r="V86" s="44" t="n">
        <x:v>-1.3875</x:v>
      </x:c>
      <x:c r="W86" s="44" t="n">
        <x:v>4.25</x:v>
      </x:c>
      <x:c r="X86" s="44" t="n">
        <x:v>2.81</x:v>
      </x:c>
      <x:c r="Y86" s="44" t="n">
        <x:v>20.615</x:v>
      </x:c>
      <x:c r="Z86" s="44" t="n">
        <x:v>12.78</x:v>
      </x:c>
      <x:c r="AA86" s="44" t="n">
        <x:v>8.865</x:v>
      </x:c>
      <x:c r="AB86" s="44" t="n">
        <x:v>1.845</x:v>
      </x:c>
      <x:c r="AC86" s="44" t="n">
        <x:v>-1.2875</x:v>
      </x:c>
      <x:c r="AD86" s="44" t="n">
        <x:v>5.93</x:v>
      </x:c>
      <x:c r="AE86" s="44" t="n">
        <x:v>2.76</x:v>
      </x:c>
      <x:c r="AF86" s="44" t="n">
        <x:v>20.5585</x:v>
      </x:c>
      <x:c r="AG86" s="44" t="n">
        <x:v>8.265</x:v>
      </x:c>
      <x:c r="AH86" s="44" t="n">
        <x:v>10.555</x:v>
      </x:c>
      <x:c r="AI86" s="44" t="n">
        <x:v>1.6575</x:v>
      </x:c>
      <x:c r="AJ86" s="44" t="n">
        <x:v>-1.305</x:v>
      </x:c>
      <x:c r="AK86" s="44" t="n">
        <x:v>4</x:v>
      </x:c>
      <x:c r="AL86" s="44" t="n">
        <x:v>1.68</x:v>
      </x:c>
      <x:c r="AM86" s="44" t="n">
        <x:v>0.26</x:v>
      </x:c>
      <x:c r="AN86" s="44" t="n">
        <x:v>0.245</x:v>
      </x:c>
      <x:c r="AO86" s="44" t="n">
        <x:v>-1.2188</x:v>
      </x:c>
      <x:c r="AP86" s="44" t="n">
        <x:v>0.9653</x:v>
      </x:c>
      <x:c r="AQ86" s="44" t="n">
        <x:v>0.9653</x:v>
      </x:c>
      <x:c r="AR86" s="44" t="n">
        <x:v>0.9653</x:v>
      </x:c>
      <x:c r="AS86" s="44"/>
      <x:c r="AT86" s="44" t="n">
        <x:v>0.8029</x:v>
      </x:c>
      <x:c r="AU86" s="174" t="n">
        <x:v>39216</x:v>
      </x:c>
      <x:c r="AV86" s="43" t="str">
        <x:v>03:08</x:v>
      </x:c>
      <x:c r="AW86" s="43" t="str">
        <x:v>03:06.5-03:08.0</x:v>
      </x:c>
      <x:c r="AX86" s="43" t="str">
        <x:v>work/k138_second/frame_0141.jpg</x:v>
      </x:c>
      <x:c r="AY86" s="43" t="str">
        <x:v>K138_1000025064.mp4</x:v>
      </x:c>
      <x:c r="AZ86" s="44"/>
      <x:c r="BA86" s="175"/>
    </x:row>
    <x:row r="87" ht="18" customHeight="1">
      <x:c r="A87" s="43" t="str">
        <x:v>K138</x:v>
      </x:c>
      <x:c r="B87" s="43" t="str">
        <x:v>(RaW)YAMI</x:v>
      </x:c>
      <x:c r="C87" s="43" t="n">
        <x:v>107500</x:v>
      </x:c>
      <x:c r="D87" s="44" t="n">
        <x:v>3.566</x:v>
      </x:c>
      <x:c r="E87" s="44" t="n">
        <x:v>3.091</x:v>
      </x:c>
      <x:c r="F87" s="44" t="n">
        <x:v>3.216</x:v>
      </x:c>
      <x:c r="G87" s="44" t="n">
        <x:v>0.415</x:v>
      </x:c>
      <x:c r="H87" s="44" t="n">
        <x:v>-0.415</x:v>
      </x:c>
      <x:c r="I87" s="44" t="n">
        <x:v>6</x:v>
      </x:c>
      <x:c r="J87" s="44" t="n">
        <x:v>2.678</x:v>
      </x:c>
      <x:c r="K87" s="44" t="n">
        <x:v>10.307</x:v>
      </x:c>
      <x:c r="L87" s="44" t="n">
        <x:v>10.3657</x:v>
      </x:c>
      <x:c r="M87" s="44" t="n">
        <x:v>12.1462</x:v>
      </x:c>
      <x:c r="N87" s="44" t="n">
        <x:v>0.47</x:v>
      </x:c>
      <x:c r="O87" s="44" t="n">
        <x:v>-0.5525</x:v>
      </x:c>
      <x:c r="P87" s="44" t="n">
        <x:v>1.94</x:v>
      </x:c>
      <x:c r="Q87" s="44" t="n">
        <x:v>5.46</x:v>
      </x:c>
      <x:c r="R87" s="44" t="n">
        <x:v>23.9855</x:v>
      </x:c>
      <x:c r="S87" s="44" t="n">
        <x:v>15.312</x:v>
      </x:c>
      <x:c r="T87" s="44" t="n">
        <x:v>6.495</x:v>
      </x:c>
      <x:c r="U87" s="44" t="n">
        <x:v>1.585</x:v>
      </x:c>
      <x:c r="V87" s="44" t="n">
        <x:v>-1.3275</x:v>
      </x:c>
      <x:c r="W87" s="44" t="n">
        <x:v>5.23</x:v>
      </x:c>
      <x:c r="X87" s="44" t="n">
        <x:v>3.2</x:v>
      </x:c>
      <x:c r="Y87" s="44" t="n">
        <x:v>16.725</x:v>
      </x:c>
      <x:c r="Z87" s="44" t="n">
        <x:v>11.9935</x:v>
      </x:c>
      <x:c r="AA87" s="44" t="n">
        <x:v>9.1685</x:v>
      </x:c>
      <x:c r="AB87" s="44" t="n">
        <x:v>1.48</x:v>
      </x:c>
      <x:c r="AC87" s="44" t="n">
        <x:v>-1.245</x:v>
      </x:c>
      <x:c r="AD87" s="44" t="n">
        <x:v>3.34</x:v>
      </x:c>
      <x:c r="AE87" s="44" t="n">
        <x:v>1.77</x:v>
      </x:c>
      <x:c r="AF87" s="44" t="n">
        <x:v>17.525</x:v>
      </x:c>
      <x:c r="AG87" s="44" t="n">
        <x:v>4.935</x:v>
      </x:c>
      <x:c r="AH87" s="44" t="n">
        <x:v>10.575</x:v>
      </x:c>
      <x:c r="AI87" s="44" t="n">
        <x:v>1.4475</x:v>
      </x:c>
      <x:c r="AJ87" s="44" t="n">
        <x:v>-1.305</x:v>
      </x:c>
      <x:c r="AK87" s="44" t="n">
        <x:v>4.34</x:v>
      </x:c>
      <x:c r="AL87" s="44" t="n">
        <x:v>1.99</x:v>
      </x:c>
      <x:c r="AM87" s="44" t="n">
        <x:v>0.26</x:v>
      </x:c>
      <x:c r="AN87" s="44" t="n">
        <x:v>0.2</x:v>
      </x:c>
      <x:c r="AO87" s="44" t="n">
        <x:v>-1.2188</x:v>
      </x:c>
      <x:c r="AP87" s="44" t="n">
        <x:v>0.9653</x:v>
      </x:c>
      <x:c r="AQ87" s="44" t="n">
        <x:v>0.9653</x:v>
      </x:c>
      <x:c r="AR87" s="44" t="n">
        <x:v>0.9653</x:v>
      </x:c>
      <x:c r="AS87" s="44"/>
      <x:c r="AT87" s="44" t="n">
        <x:v>0.8029</x:v>
      </x:c>
      <x:c r="AU87" s="174" t="n">
        <x:v>39216</x:v>
      </x:c>
      <x:c r="AV87" s="43" t="str">
        <x:v>03:16.50</x:v>
      </x:c>
      <x:c r="AW87" s="43" t="str">
        <x:v>03:15.5-03:16.5</x:v>
      </x:c>
      <x:c r="AX87" s="43" t="str">
        <x:v>work/k138_second/frame_0158.jpg</x:v>
      </x:c>
      <x:c r="AY87" s="43" t="str">
        <x:v>K138_1000025064.mp4</x:v>
      </x:c>
      <x:c r="AZ87" s="44"/>
      <x:c r="BA87" s="175"/>
    </x:row>
    <x:row r="88" ht="18" customHeight="1">
      <x:c r="A88" s="43" t="str">
        <x:v>K138</x:v>
      </x:c>
      <x:c r="B88" s="43" t="str">
        <x:v>(RaW)༺ⓉⒶⓇⓉⒶⓇ༻</x:v>
      </x:c>
      <x:c r="C88" s="43" t="n">
        <x:v>107630</x:v>
      </x:c>
      <x:c r="D88" s="44" t="n">
        <x:v>2.856</x:v>
      </x:c>
      <x:c r="E88" s="44" t="n">
        <x:v>2.516</x:v>
      </x:c>
      <x:c r="F88" s="44" t="n">
        <x:v>2.556</x:v>
      </x:c>
      <x:c r="G88" s="44" t="n">
        <x:v>0.415</x:v>
      </x:c>
      <x:c r="H88" s="44" t="n">
        <x:v>-0.415</x:v>
      </x:c>
      <x:c r="I88" s="44" t="n">
        <x:v>4.5428</x:v>
      </x:c>
      <x:c r="J88" s="44" t="n">
        <x:v>2.8516</x:v>
      </x:c>
      <x:c r="K88" s="44" t="n">
        <x:v>11.81</x:v>
      </x:c>
      <x:c r="L88" s="44" t="n">
        <x:v>17.56</x:v>
      </x:c>
      <x:c r="M88" s="44" t="n">
        <x:v>11.9149</x:v>
      </x:c>
      <x:c r="N88" s="44" t="n">
        <x:v>1.4275</x:v>
      </x:c>
      <x:c r="O88" s="44" t="n">
        <x:v>-1.5275</x:v>
      </x:c>
      <x:c r="P88" s="44" t="n">
        <x:v>1.08</x:v>
      </x:c>
      <x:c r="Q88" s="44" t="n">
        <x:v>3.89</x:v>
      </x:c>
      <x:c r="R88" s="44" t="n">
        <x:v>19.842</x:v>
      </x:c>
      <x:c r="S88" s="44" t="n">
        <x:v>16.742</x:v>
      </x:c>
      <x:c r="T88" s="44" t="n">
        <x:v>8.785</x:v>
      </x:c>
      <x:c r="U88" s="44" t="n">
        <x:v>1.48</x:v>
      </x:c>
      <x:c r="V88" s="44" t="n">
        <x:v>-1.325</x:v>
      </x:c>
      <x:c r="W88" s="44" t="n">
        <x:v>2.12</x:v>
      </x:c>
      <x:c r="X88" s="44" t="n">
        <x:v>1.3</x:v>
      </x:c>
      <x:c r="Y88" s="44" t="n">
        <x:v>20.585</x:v>
      </x:c>
      <x:c r="Z88" s="44" t="n">
        <x:v>16.7135</x:v>
      </x:c>
      <x:c r="AA88" s="44" t="n">
        <x:v>11.205</x:v>
      </x:c>
      <x:c r="AB88" s="44" t="n">
        <x:v>1.605</x:v>
      </x:c>
      <x:c r="AC88" s="44" t="n">
        <x:v>-1.3275</x:v>
      </x:c>
      <x:c r="AD88" s="44" t="n">
        <x:v>4.15</x:v>
      </x:c>
      <x:c r="AE88" s="44" t="n">
        <x:v>2.4</x:v>
      </x:c>
      <x:c r="AF88" s="44" t="n">
        <x:v>12.59</x:v>
      </x:c>
      <x:c r="AG88" s="44" t="n">
        <x:v>7.245</x:v>
      </x:c>
      <x:c r="AH88" s="44" t="n">
        <x:v>9.34</x:v>
      </x:c>
      <x:c r="AI88" s="44" t="n">
        <x:v>0.815</x:v>
      </x:c>
      <x:c r="AJ88" s="44" t="n">
        <x:v>-0.755</x:v>
      </x:c>
      <x:c r="AK88" s="44" t="n">
        <x:v>1.45</x:v>
      </x:c>
      <x:c r="AL88" s="44" t="n">
        <x:v>0.97</x:v>
      </x:c>
      <x:c r="AM88" s="44" t="n">
        <x:v>0.26</x:v>
      </x:c>
      <x:c r="AN88" s="44" t="n">
        <x:v>0.235</x:v>
      </x:c>
      <x:c r="AO88" s="44" t="n">
        <x:v>-1.2188</x:v>
      </x:c>
      <x:c r="AP88" s="44" t="n">
        <x:v>0.9653</x:v>
      </x:c>
      <x:c r="AQ88" s="44" t="n">
        <x:v>0.9653</x:v>
      </x:c>
      <x:c r="AR88" s="44" t="n">
        <x:v>0.9653</x:v>
      </x:c>
      <x:c r="AS88" s="44"/>
      <x:c r="AT88" s="44" t="n">
        <x:v>0.8029</x:v>
      </x:c>
      <x:c r="AU88" s="174" t="n">
        <x:v>39216</x:v>
      </x:c>
      <x:c r="AV88" s="43" t="str">
        <x:v>03:29</x:v>
      </x:c>
      <x:c r="AW88" s="43" t="str">
        <x:v>03:27.5-03:29.0</x:v>
      </x:c>
      <x:c r="AX88" s="43" t="str">
        <x:v>work/k138_second/frame_0183.jpg</x:v>
      </x:c>
      <x:c r="AY88" s="43" t="str">
        <x:v>K138_1000025064.mp4</x:v>
      </x:c>
      <x:c r="AZ88" s="44"/>
      <x:c r="BA88" s="175"/>
    </x:row>
    <x:row r="89" ht="18" customHeight="1">
      <x:c r="A89" s="43" t="str">
        <x:v>K138</x:v>
      </x:c>
      <x:c r="B89" s="43" t="str">
        <x:v>(RaW)PPP_253</x:v>
      </x:c>
      <x:c r="C89" s="43" t="n">
        <x:v>57000</x:v>
      </x:c>
      <x:c r="D89" s="44" t="n">
        <x:v>2.7671</x:v>
      </x:c>
      <x:c r="E89" s="44" t="n">
        <x:v>2.341</x:v>
      </x:c>
      <x:c r="F89" s="44" t="n">
        <x:v>2.606</x:v>
      </x:c>
      <x:c r="G89" s="44" t="n">
        <x:v>0.415</x:v>
      </x:c>
      <x:c r="H89" s="44" t="n">
        <x:v>-0.415</x:v>
      </x:c>
      <x:c r="I89" s="44" t="n">
        <x:v>1.9072</x:v>
      </x:c>
      <x:c r="J89" s="44" t="n">
        <x:v>1.8992</x:v>
      </x:c>
      <x:c r="K89" s="44" t="n">
        <x:v>7.727</x:v>
      </x:c>
      <x:c r="L89" s="44" t="n">
        <x:v>16.9404</x:v>
      </x:c>
      <x:c r="M89" s="44" t="n">
        <x:v>12.285</x:v>
      </x:c>
      <x:c r="N89" s="44" t="n">
        <x:v>1.4675</x:v>
      </x:c>
      <x:c r="O89" s="44" t="n">
        <x:v>-1.5775</x:v>
      </x:c>
      <x:c r="P89" s="44" t="n">
        <x:v>1.02</x:v>
      </x:c>
      <x:c r="Q89" s="44" t="n">
        <x:v>1.82</x:v>
      </x:c>
      <x:c r="R89" s="44" t="n">
        <x:v>9.0575</x:v>
      </x:c>
      <x:c r="S89" s="44" t="n">
        <x:v>9.175</x:v>
      </x:c>
      <x:c r="T89" s="44" t="n">
        <x:v>6.432</x:v>
      </x:c>
      <x:c r="U89" s="44" t="n">
        <x:v>0.7815</x:v>
      </x:c>
      <x:c r="V89" s="44" t="n">
        <x:v>-0.715</x:v>
      </x:c>
      <x:c r="W89" s="44" t="n">
        <x:v>0.74</x:v>
      </x:c>
      <x:c r="X89" s="44" t="n">
        <x:v>0.69</x:v>
      </x:c>
      <x:c r="Y89" s="44" t="n">
        <x:v>21.493</x:v>
      </x:c>
      <x:c r="Z89" s="44" t="n">
        <x:v>16.717</x:v>
      </x:c>
      <x:c r="AA89" s="44" t="n">
        <x:v>8.545</x:v>
      </x:c>
      <x:c r="AB89" s="44" t="n">
        <x:v>1.4775</x:v>
      </x:c>
      <x:c r="AC89" s="44" t="n">
        <x:v>-1.4875</x:v>
      </x:c>
      <x:c r="AD89" s="44" t="n">
        <x:v>3.19</x:v>
      </x:c>
      <x:c r="AE89" s="44" t="n">
        <x:v>1.6</x:v>
      </x:c>
      <x:c r="AF89" s="44" t="n">
        <x:v>8.6045</x:v>
      </x:c>
      <x:c r="AG89" s="44" t="n">
        <x:v>6.552</x:v>
      </x:c>
      <x:c r="AH89" s="44" t="n">
        <x:v>3.855</x:v>
      </x:c>
      <x:c r="AI89" s="44" t="n">
        <x:v>0.7165</x:v>
      </x:c>
      <x:c r="AJ89" s="44" t="n">
        <x:v>-0.595</x:v>
      </x:c>
      <x:c r="AK89" s="44" t="n">
        <x:v>0.51</x:v>
      </x:c>
      <x:c r="AL89" s="44" t="n">
        <x:v>0.46</x:v>
      </x:c>
      <x:c r="AM89" s="44" t="n">
        <x:v>0.26</x:v>
      </x:c>
      <x:c r="AN89" s="44" t="n">
        <x:v>0.165</x:v>
      </x:c>
      <x:c r="AO89" s="44" t="n">
        <x:v>-1.2188</x:v>
      </x:c>
      <x:c r="AP89" s="44" t="n">
        <x:v>0.9653</x:v>
      </x:c>
      <x:c r="AQ89" s="44" t="n">
        <x:v>0.9653</x:v>
      </x:c>
      <x:c r="AR89" s="44" t="n">
        <x:v>0.9653</x:v>
      </x:c>
      <x:c r="AS89" s="44"/>
      <x:c r="AT89" s="44" t="n">
        <x:v>0.8029</x:v>
      </x:c>
      <x:c r="AU89" s="174" t="n">
        <x:v>39216</x:v>
      </x:c>
      <x:c r="AV89" s="43" t="str">
        <x:v>03:36.50</x:v>
      </x:c>
      <x:c r="AW89" s="43" t="str">
        <x:v>03:36.0-03:36.5</x:v>
      </x:c>
      <x:c r="AX89" s="43" t="str">
        <x:v>work/k138_second/frame_0198.jpg</x:v>
      </x:c>
      <x:c r="AY89" s="43" t="str">
        <x:v>K138_1000025064.mp4</x:v>
      </x:c>
      <x:c r="AZ89" s="44"/>
      <x:c r="BA89" s="175"/>
    </x:row>
    <x:row r="90" ht="18" customHeight="1">
      <x:c r="A90" s="43" t="str">
        <x:v>K138</x:v>
      </x:c>
      <x:c r="B90" s="43" t="str">
        <x:v>(RaW)GoŁΛ</x:v>
      </x:c>
      <x:c r="C90" s="43" t="n">
        <x:v>57640</x:v>
      </x:c>
      <x:c r="D90" s="44" t="n">
        <x:v>2.791</x:v>
      </x:c>
      <x:c r="E90" s="44" t="n">
        <x:v>1.74</x:v>
      </x:c>
      <x:c r="F90" s="44" t="n">
        <x:v>2.475</x:v>
      </x:c>
      <x:c r="G90" s="44" t="n">
        <x:v>0.415</x:v>
      </x:c>
      <x:c r="H90" s="44" t="n">
        <x:v>-0.4</x:v>
      </x:c>
      <x:c r="I90" s="44" t="n">
        <x:v>4.0564</x:v>
      </x:c>
      <x:c r="J90" s="44" t="n">
        <x:v>2.1472</x:v>
      </x:c>
      <x:c r="K90" s="44" t="n">
        <x:v>6.762</x:v>
      </x:c>
      <x:c r="L90" s="44" t="n">
        <x:v>13.3162</x:v>
      </x:c>
      <x:c r="M90" s="44" t="n">
        <x:v>10.9707</x:v>
      </x:c>
      <x:c r="N90" s="44" t="n">
        <x:v>0.51</x:v>
      </x:c>
      <x:c r="O90" s="44" t="n">
        <x:v>-0.585</x:v>
      </x:c>
      <x:c r="P90" s="44" t="n">
        <x:v>1.58</x:v>
      </x:c>
      <x:c r="Q90" s="44" t="n">
        <x:v>2.15</x:v>
      </x:c>
      <x:c r="R90" s="44" t="n">
        <x:v>14.545</x:v>
      </x:c>
      <x:c r="S90" s="44" t="n">
        <x:v>9.205</x:v>
      </x:c>
      <x:c r="T90" s="44" t="n">
        <x:v>5.812</x:v>
      </x:c>
      <x:c r="U90" s="44" t="n">
        <x:v>1.5075</x:v>
      </x:c>
      <x:c r="V90" s="44" t="n">
        <x:v>-1.165</x:v>
      </x:c>
      <x:c r="W90" s="44" t="n">
        <x:v>1.72</x:v>
      </x:c>
      <x:c r="X90" s="44" t="n">
        <x:v>0.85</x:v>
      </x:c>
      <x:c r="Y90" s="44" t="n">
        <x:v>23.3705</x:v>
      </x:c>
      <x:c r="Z90" s="44" t="n">
        <x:v>17.162</x:v>
      </x:c>
      <x:c r="AA90" s="44" t="n">
        <x:v>11.185</x:v>
      </x:c>
      <x:c r="AB90" s="44" t="n">
        <x:v>1.605</x:v>
      </x:c>
      <x:c r="AC90" s="44" t="n">
        <x:v>-1.5125</x:v>
      </x:c>
      <x:c r="AD90" s="44" t="n">
        <x:v>3.37</x:v>
      </x:c>
      <x:c r="AE90" s="44" t="n">
        <x:v>1.96</x:v>
      </x:c>
      <x:c r="AF90" s="44" t="n">
        <x:v>11.725</x:v>
      </x:c>
      <x:c r="AG90" s="44" t="n">
        <x:v>3.605</x:v>
      </x:c>
      <x:c r="AH90" s="44" t="n">
        <x:v>8.815</x:v>
      </x:c>
      <x:c r="AI90" s="44" t="n">
        <x:v>0.455</x:v>
      </x:c>
      <x:c r="AJ90" s="44" t="n">
        <x:v>-0.25</x:v>
      </x:c>
      <x:c r="AK90" s="44" t="n">
        <x:v>0.78</x:v>
      </x:c>
      <x:c r="AL90" s="44" t="n">
        <x:v>0.55</x:v>
      </x:c>
      <x:c r="AM90" s="44" t="n">
        <x:v>0.26</x:v>
      </x:c>
      <x:c r="AN90" s="44" t="n">
        <x:v>0.21</x:v>
      </x:c>
      <x:c r="AO90" s="44" t="n">
        <x:v>-1.2188</x:v>
      </x:c>
      <x:c r="AP90" s="44" t="n">
        <x:v>0.9653</x:v>
      </x:c>
      <x:c r="AQ90" s="44" t="n">
        <x:v>0.9653</x:v>
      </x:c>
      <x:c r="AR90" s="44" t="n">
        <x:v>0.9653</x:v>
      </x:c>
      <x:c r="AS90" s="44"/>
      <x:c r="AT90" s="44" t="n">
        <x:v>0.8029</x:v>
      </x:c>
      <x:c r="AU90" s="174" t="n">
        <x:v>39216</x:v>
      </x:c>
      <x:c r="AV90" s="43" t="str">
        <x:v>03:49.50</x:v>
      </x:c>
      <x:c r="AW90" s="43" t="str">
        <x:v>03:48.0-03:49.5</x:v>
      </x:c>
      <x:c r="AX90" s="43" t="str">
        <x:v>work/k138_second/frame_0224.jpg</x:v>
      </x:c>
      <x:c r="AY90" s="43" t="str">
        <x:v>K138_1000025064.mp4</x:v>
      </x:c>
      <x:c r="AZ90" s="44"/>
      <x:c r="BA90" s="175"/>
    </x:row>
    <x:row r="91" ht="18" customHeight="1">
      <x:c r="A91" s="43" t="str">
        <x:v>K138</x:v>
      </x:c>
      <x:c r="B91" s="43" t="str">
        <x:v>(RaW)Baqi</x:v>
      </x:c>
      <x:c r="C91" s="43" t="n">
        <x:v>107500</x:v>
      </x:c>
      <x:c r="D91" s="44" t="n">
        <x:v>2.8535</x:v>
      </x:c>
      <x:c r="E91" s="44" t="n">
        <x:v>2.591</x:v>
      </x:c>
      <x:c r="F91" s="44" t="n">
        <x:v>2.921</x:v>
      </x:c>
      <x:c r="G91" s="44" t="n">
        <x:v>0.415</x:v>
      </x:c>
      <x:c r="H91" s="44" t="n">
        <x:v>-0.415</x:v>
      </x:c>
      <x:c r="I91" s="44" t="n">
        <x:v>6</x:v>
      </x:c>
      <x:c r="J91" s="44" t="n">
        <x:v>2.768</x:v>
      </x:c>
      <x:c r="K91" s="44" t="n">
        <x:v>11.68</x:v>
      </x:c>
      <x:c r="L91" s="44" t="n">
        <x:v>16.29</x:v>
      </x:c>
      <x:c r="M91" s="44" t="n">
        <x:v>12.1449</x:v>
      </x:c>
      <x:c r="N91" s="44" t="n">
        <x:v>1.365</x:v>
      </x:c>
      <x:c r="O91" s="44" t="n">
        <x:v>-1.625</x:v>
      </x:c>
      <x:c r="P91" s="44" t="n">
        <x:v>0.72</x:v>
      </x:c>
      <x:c r="Q91" s="44" t="n">
        <x:v>3.21</x:v>
      </x:c>
      <x:c r="R91" s="44" t="n">
        <x:v>21.167</x:v>
      </x:c>
      <x:c r="S91" s="44" t="n">
        <x:v>17.082</x:v>
      </x:c>
      <x:c r="T91" s="44" t="n">
        <x:v>8.885</x:v>
      </x:c>
      <x:c r="U91" s="44" t="n">
        <x:v>1.5025</x:v>
      </x:c>
      <x:c r="V91" s="44" t="n">
        <x:v>-1.285</x:v>
      </x:c>
      <x:c r="W91" s="44" t="n">
        <x:v>4.08</x:v>
      </x:c>
      <x:c r="X91" s="44" t="n">
        <x:v>1.84</x:v>
      </x:c>
      <x:c r="Y91" s="44" t="n">
        <x:v>21.275</x:v>
      </x:c>
      <x:c r="Z91" s="44" t="n">
        <x:v>17.4335</x:v>
      </x:c>
      <x:c r="AA91" s="44" t="n">
        <x:v>12.43</x:v>
      </x:c>
      <x:c r="AB91" s="44" t="n">
        <x:v>1.6675</x:v>
      </x:c>
      <x:c r="AC91" s="44" t="n">
        <x:v>-1.4475</x:v>
      </x:c>
      <x:c r="AD91" s="44" t="n">
        <x:v>4.17</x:v>
      </x:c>
      <x:c r="AE91" s="44" t="n">
        <x:v>1.95</x:v>
      </x:c>
      <x:c r="AF91" s="44" t="n">
        <x:v>14.385</x:v>
      </x:c>
      <x:c r="AG91" s="44" t="n">
        <x:v>7.105</x:v>
      </x:c>
      <x:c r="AH91" s="44" t="n">
        <x:v>9.68</x:v>
      </x:c>
      <x:c r="AI91" s="44" t="n">
        <x:v>1.385</x:v>
      </x:c>
      <x:c r="AJ91" s="44" t="n">
        <x:v>-1.285</x:v>
      </x:c>
      <x:c r="AK91" s="44" t="n">
        <x:v>1.45</x:v>
      </x:c>
      <x:c r="AL91" s="44" t="n">
        <x:v>0.81</x:v>
      </x:c>
      <x:c r="AM91" s="44" t="n">
        <x:v>0.26</x:v>
      </x:c>
      <x:c r="AN91" s="44" t="n">
        <x:v>0.245</x:v>
      </x:c>
      <x:c r="AO91" s="44" t="n">
        <x:v>-1.2188</x:v>
      </x:c>
      <x:c r="AP91" s="44" t="n">
        <x:v>0.9653</x:v>
      </x:c>
      <x:c r="AQ91" s="44" t="n">
        <x:v>0.9653</x:v>
      </x:c>
      <x:c r="AR91" s="44" t="n">
        <x:v>0.9653</x:v>
      </x:c>
      <x:c r="AS91" s="44"/>
      <x:c r="AT91" s="44" t="n">
        <x:v>0.8029</x:v>
      </x:c>
      <x:c r="AU91" s="174" t="n">
        <x:v>39216</x:v>
      </x:c>
      <x:c r="AV91" s="43" t="str">
        <x:v>03:58.50</x:v>
      </x:c>
      <x:c r="AW91" s="43" t="str">
        <x:v>03:57.5-03:58.5</x:v>
      </x:c>
      <x:c r="AX91" s="43" t="str">
        <x:v>work/k138_second/frame_0242.jpg</x:v>
      </x:c>
      <x:c r="AY91" s="43" t="str">
        <x:v>K138_1000025064.mp4</x:v>
      </x:c>
      <x:c r="AZ91" s="44"/>
      <x:c r="BA91" s="175"/>
    </x:row>
    <x:row r="92" ht="18" customHeight="1">
      <x:c r="A92" s="43" t="str">
        <x:v>K138</x:v>
      </x:c>
      <x:c r="B92" s="43" t="str">
        <x:v>(RaW)༺飞K༻</x:v>
      </x:c>
      <x:c r="C92" s="43" t="n">
        <x:v>33474</x:v>
      </x:c>
      <x:c r="D92" s="44" t="n">
        <x:v>3.0821</x:v>
      </x:c>
      <x:c r="E92" s="44" t="n">
        <x:v>2.246</x:v>
      </x:c>
      <x:c r="F92" s="44" t="n">
        <x:v>2.781</x:v>
      </x:c>
      <x:c r="G92" s="44" t="n">
        <x:v>0.4</x:v>
      </x:c>
      <x:c r="H92" s="44" t="n">
        <x:v>-0.4</x:v>
      </x:c>
      <x:c r="I92" s="44" t="n">
        <x:v>5.3164</x:v>
      </x:c>
      <x:c r="J92" s="44" t="n">
        <x:v>0.5864</x:v>
      </x:c>
      <x:c r="K92" s="44" t="n">
        <x:v>7.652</x:v>
      </x:c>
      <x:c r="L92" s="44" t="n">
        <x:v>15.5704</x:v>
      </x:c>
      <x:c r="M92" s="44" t="n">
        <x:v>10.4157</x:v>
      </x:c>
      <x:c r="N92" s="44" t="n">
        <x:v>0.53</x:v>
      </x:c>
      <x:c r="O92" s="44" t="n">
        <x:v>-0.64</x:v>
      </x:c>
      <x:c r="P92" s="44" t="n">
        <x:v>1.12</x:v>
      </x:c>
      <x:c r="Q92" s="44" t="n">
        <x:v>3.01</x:v>
      </x:c>
      <x:c r="R92" s="44" t="n">
        <x:v>11.665</x:v>
      </x:c>
      <x:c r="S92" s="44" t="n">
        <x:v>9.655</x:v>
      </x:c>
      <x:c r="T92" s="44" t="n">
        <x:v>5.897</x:v>
      </x:c>
      <x:c r="U92" s="44" t="n">
        <x:v>1.4175</x:v>
      </x:c>
      <x:c r="V92" s="44" t="n">
        <x:v>-1.245</x:v>
      </x:c>
      <x:c r="W92" s="44" t="n">
        <x:v>1.34</x:v>
      </x:c>
      <x:c r="X92" s="44" t="n">
        <x:v>0.77</x:v>
      </x:c>
      <x:c r="Y92" s="44" t="n">
        <x:v>23.9955</x:v>
      </x:c>
      <x:c r="Z92" s="44" t="n">
        <x:v>16.177</x:v>
      </x:c>
      <x:c r="AA92" s="44" t="n">
        <x:v>6.84</x:v>
      </x:c>
      <x:c r="AB92" s="44" t="n">
        <x:v>1.48</x:v>
      </x:c>
      <x:c r="AC92" s="44" t="n">
        <x:v>-1.465</x:v>
      </x:c>
      <x:c r="AD92" s="44" t="n">
        <x:v>3.26</x:v>
      </x:c>
      <x:c r="AE92" s="44" t="n">
        <x:v>1.44</x:v>
      </x:c>
      <x:c r="AF92" s="44" t="n">
        <x:v>10.092</x:v>
      </x:c>
      <x:c r="AG92" s="44" t="n">
        <x:v>5.217</x:v>
      </x:c>
      <x:c r="AH92" s="44" t="n">
        <x:v>3.295</x:v>
      </x:c>
      <x:c r="AI92" s="44" t="n">
        <x:v>0.395</x:v>
      </x:c>
      <x:c r="AJ92" s="44" t="n">
        <x:v>-0.25</x:v>
      </x:c>
      <x:c r="AK92" s="44" t="n">
        <x:v>0.59</x:v>
      </x:c>
      <x:c r="AL92" s="44" t="n">
        <x:v>0.47</x:v>
      </x:c>
      <x:c r="AM92" s="44" t="n">
        <x:v>0.26</x:v>
      </x:c>
      <x:c r="AN92" s="44" t="n">
        <x:v>0.22</x:v>
      </x:c>
      <x:c r="AO92" s="44" t="n">
        <x:v>-1.2188</x:v>
      </x:c>
      <x:c r="AP92" s="44" t="n">
        <x:v>0.9653</x:v>
      </x:c>
      <x:c r="AQ92" s="44" t="n">
        <x:v>0.9653</x:v>
      </x:c>
      <x:c r="AR92" s="44" t="n">
        <x:v>0.9653</x:v>
      </x:c>
      <x:c r="AS92" s="44"/>
      <x:c r="AT92" s="44" t="n">
        <x:v>0.8029</x:v>
      </x:c>
      <x:c r="AU92" s="174" t="n">
        <x:v>39216</x:v>
      </x:c>
      <x:c r="AV92" s="43" t="str">
        <x:v>04:05.50</x:v>
      </x:c>
      <x:c r="AW92" s="43" t="str">
        <x:v>04:04.0-04:05.5</x:v>
      </x:c>
      <x:c r="AX92" s="43" t="str">
        <x:v>work/k138_second/frame_0256.jpg</x:v>
      </x:c>
      <x:c r="AY92" s="43" t="str">
        <x:v>K138_1000025064.mp4</x:v>
      </x:c>
      <x:c r="AZ92" s="44"/>
      <x:c r="BA92" s="175"/>
    </x:row>
    <x:row r="93" ht="18" customHeight="1">
      <x:c r="A93" s="43" t="str">
        <x:v>K138</x:v>
      </x:c>
      <x:c r="B93" s="43" t="str">
        <x:v>(RaW)ϟCrozyϟ</x:v>
      </x:c>
      <x:c r="C93" s="43"/>
      <x:c r="D93" s="44" t="n">
        <x:v>3.752</x:v>
      </x:c>
      <x:c r="E93" s="44" t="n">
        <x:v>3.1634</x:v>
      </x:c>
      <x:c r="F93" s="44" t="n">
        <x:v>3.5334</x:v>
      </x:c>
      <x:c r="G93" s="44" t="n">
        <x:v>0.415</x:v>
      </x:c>
      <x:c r="H93" s="44" t="n">
        <x:v>-0.4375</x:v>
      </x:c>
      <x:c r="I93" s="44" t="n">
        <x:v>5.0012</x:v>
      </x:c>
      <x:c r="J93" s="44" t="n">
        <x:v>6</x:v>
      </x:c>
      <x:c r="K93" s="44" t="n">
        <x:v>16.19</x:v>
      </x:c>
      <x:c r="L93" s="44" t="n">
        <x:v>25.6092</x:v>
      </x:c>
      <x:c r="M93" s="44" t="n">
        <x:v>19.3099</x:v>
      </x:c>
      <x:c r="N93" s="44" t="n">
        <x:v>1.385</x:v>
      </x:c>
      <x:c r="O93" s="44" t="n">
        <x:v>-2.16</x:v>
      </x:c>
      <x:c r="P93" s="44" t="n">
        <x:v>2.43</x:v>
      </x:c>
      <x:c r="Q93" s="44" t="n">
        <x:v>7</x:v>
      </x:c>
      <x:c r="R93" s="44" t="n">
        <x:v>12.615</x:v>
      </x:c>
      <x:c r="S93" s="44" t="n">
        <x:v>12.845</x:v>
      </x:c>
      <x:c r="T93" s="44" t="n">
        <x:v>11.1185</x:v>
      </x:c>
      <x:c r="U93" s="44" t="n">
        <x:v>1.545</x:v>
      </x:c>
      <x:c r="V93" s="44" t="n">
        <x:v>-1.605</x:v>
      </x:c>
      <x:c r="W93" s="44" t="n">
        <x:v>5.42</x:v>
      </x:c>
      <x:c r="X93" s="44" t="n">
        <x:v>3.19</x:v>
      </x:c>
      <x:c r="Y93" s="44" t="n">
        <x:v>23.502</x:v>
      </x:c>
      <x:c r="Z93" s="44" t="n">
        <x:v>19.207</x:v>
      </x:c>
      <x:c r="AA93" s="44" t="n">
        <x:v>6.845</x:v>
      </x:c>
      <x:c r="AB93" s="44" t="n">
        <x:v>1.5825</x:v>
      </x:c>
      <x:c r="AC93" s="44" t="n">
        <x:v>-1.865</x:v>
      </x:c>
      <x:c r="AD93" s="44" t="n">
        <x:v>4.23</x:v>
      </x:c>
      <x:c r="AE93" s="44" t="n">
        <x:v>1.91</x:v>
      </x:c>
      <x:c r="AF93" s="44" t="n">
        <x:v>8.885</x:v>
      </x:c>
      <x:c r="AG93" s="44" t="n">
        <x:v>13.722</x:v>
      </x:c>
      <x:c r="AH93" s="44" t="n">
        <x:v>11.162</x:v>
      </x:c>
      <x:c r="AI93" s="44" t="n">
        <x:v>1.4075</x:v>
      </x:c>
      <x:c r="AJ93" s="44" t="n">
        <x:v>-1.6675</x:v>
      </x:c>
      <x:c r="AK93" s="44" t="n">
        <x:v>4.3</x:v>
      </x:c>
      <x:c r="AL93" s="44" t="n">
        <x:v>3.71</x:v>
      </x:c>
      <x:c r="AM93" s="44" t="n">
        <x:v>0.26</x:v>
      </x:c>
      <x:c r="AN93" s="44" t="n">
        <x:v>0.24</x:v>
      </x:c>
      <x:c r="AO93" s="44" t="n">
        <x:v>-0.9653</x:v>
      </x:c>
      <x:c r="AP93" s="44" t="n">
        <x:v>0.4109</x:v>
      </x:c>
      <x:c r="AQ93" s="44"/>
      <x:c r="AR93" s="44" t="n">
        <x:v>1.2188</x:v>
      </x:c>
      <x:c r="AS93" s="44"/>
      <x:c r="AT93" s="44" t="n">
        <x:v>0.9653</x:v>
      </x:c>
      <x:c r="AU93" s="174" t="n">
        <x:v>36120</x:v>
      </x:c>
      <x:c r="AV93" s="43" t="str">
        <x:v>22:46 device time</x:v>
      </x:c>
      <x:c r="AW93" s="43" t="str">
        <x:v>1000025108.jpg–1000025109.jpg</x:v>
      </x:c>
      <x:c r="AX93" s="43" t="str">
        <x:v>1000025108.jpg; 1000025109.jpg</x:v>
      </x:c>
      <x:c r="AY93" s="43" t="str">
        <x:v>1000025108.jpg + 1000025109.jpg</x:v>
      </x:c>
      <x:c r="AZ93" s="44" t="n">
        <x:v>0.9653</x:v>
      </x:c>
      <x:c r="BA93" s="175" t="n">
        <x:v>59</x:v>
      </x:c>
    </x:row>
    <x:row r="94" ht="18" customHeight="1">
      <x:c r="A94" s="43" t="str">
        <x:v>K170</x:v>
      </x:c>
      <x:c r="B94" s="43" t="str">
        <x:v>(AOT)SanSW°</x:v>
      </x:c>
      <x:c r="C94" s="43" t="str">
        <x:v>-4.6M</x:v>
      </x:c>
      <x:c r="D94" s="44" t="n">
        <x:v>3.9871</x:v>
      </x:c>
      <x:c r="E94" s="44" t="n">
        <x:v>2.8885</x:v>
      </x:c>
      <x:c r="F94" s="44" t="n">
        <x:v>3.8085</x:v>
      </x:c>
      <x:c r="G94" s="44" t="n">
        <x:v>0.4375</x:v>
      </x:c>
      <x:c r="H94" s="44" t="n">
        <x:v>-0.4375</x:v>
      </x:c>
      <x:c r="I94" s="44" t="n">
        <x:v>3.998</x:v>
      </x:c>
      <x:c r="J94" s="44" t="n">
        <x:v>6</x:v>
      </x:c>
      <x:c r="K94" s="44" t="n">
        <x:v>15.002</x:v>
      </x:c>
      <x:c r="L94" s="44" t="n">
        <x:v>28.4105</x:v>
      </x:c>
      <x:c r="M94" s="44" t="n">
        <x:v>16.6407</x:v>
      </x:c>
      <x:c r="N94" s="44" t="n">
        <x:v>1.4475</x:v>
      </x:c>
      <x:c r="O94" s="44" t="n">
        <x:v>-2.115</x:v>
      </x:c>
      <x:c r="P94" s="44" t="n">
        <x:v>1.05</x:v>
      </x:c>
      <x:c r="Q94" s="44" t="n">
        <x:v>7</x:v>
      </x:c>
      <x:c r="R94" s="44" t="n">
        <x:v>18.385</x:v>
      </x:c>
      <x:c r="S94" s="44" t="n">
        <x:v>17.46</x:v>
      </x:c>
      <x:c r="T94" s="44" t="n">
        <x:v>14.1635</x:v>
      </x:c>
      <x:c r="U94" s="44" t="n">
        <x:v>1.6275</x:v>
      </x:c>
      <x:c r="V94" s="44" t="n">
        <x:v>-1.6875</x:v>
      </x:c>
      <x:c r="W94" s="44" t="n">
        <x:v>6.03</x:v>
      </x:c>
      <x:c r="X94" s="44" t="n">
        <x:v>3.89</x:v>
      </x:c>
      <x:c r="Y94" s="44" t="n">
        <x:v>17.8885</x:v>
      </x:c>
      <x:c r="Z94" s="44" t="n">
        <x:v>12.92</x:v>
      </x:c>
      <x:c r="AA94" s="44" t="n">
        <x:v>5.9</x:v>
      </x:c>
      <x:c r="AB94" s="44" t="n">
        <x:v>1.565</x:v>
      </x:c>
      <x:c r="AC94" s="44" t="n">
        <x:v>-1.9075</x:v>
      </x:c>
      <x:c r="AD94" s="44" t="n">
        <x:v>4.18</x:v>
      </x:c>
      <x:c r="AE94" s="44" t="n">
        <x:v>1.82</x:v>
      </x:c>
      <x:c r="AF94" s="44" t="n">
        <x:v>9.407</x:v>
      </x:c>
      <x:c r="AG94" s="44" t="n">
        <x:v>11.717</x:v>
      </x:c>
      <x:c r="AH94" s="44" t="n">
        <x:v>8.59</x:v>
      </x:c>
      <x:c r="AI94" s="44" t="n">
        <x:v>1.375</x:v>
      </x:c>
      <x:c r="AJ94" s="44" t="n">
        <x:v>-1.605</x:v>
      </x:c>
      <x:c r="AK94" s="44" t="n">
        <x:v>1.76</x:v>
      </x:c>
      <x:c r="AL94" s="44" t="n">
        <x:v>1.02</x:v>
      </x:c>
      <x:c r="AM94" s="44" t="n">
        <x:v>0.26</x:v>
      </x:c>
      <x:c r="AN94" s="44" t="n">
        <x:v>0.255</x:v>
      </x:c>
      <x:c r="AO94" s="44" t="n">
        <x:v>-1.2188</x:v>
      </x:c>
      <x:c r="AP94" s="44" t="n">
        <x:v>0.9653</x:v>
      </x:c>
      <x:c r="AQ94" s="44" t="n">
        <x:v>0.9653</x:v>
      </x:c>
      <x:c r="AR94" s="44" t="n">
        <x:v>0.78</x:v>
      </x:c>
      <x:c r="AS94" s="44"/>
      <x:c r="AT94" s="44" t="n">
        <x:v>0.5393</x:v>
      </x:c>
      <x:c r="AU94" s="174" t="n">
        <x:v>1200</x:v>
      </x:c>
      <x:c r="AV94" s="43" t="str">
        <x:v>00:00:17</x:v>
      </x:c>
      <x:c r="AW94" s="43" t="str">
        <x:v>00:14–00:17</x:v>
      </x:c>
      <x:c r="AX94" s="43" t="str">
        <x:v>01_SanSW_t17.jpg</x:v>
      </x:c>
      <x:c r="AY94" s="43" t="str">
        <x:v>1000025098.mp4</x:v>
      </x:c>
      <x:c r="AZ94" s="44"/>
      <x:c r="BA94" s="175"/>
    </x:row>
    <x:row r="95" ht="18" customHeight="1">
      <x:c r="A95" s="43" t="str">
        <x:v>K170</x:v>
      </x:c>
      <x:c r="B95" s="43" t="str">
        <x:v>(AOT)Fenixx</x:v>
      </x:c>
      <x:c r="C95" s="43" t="str">
        <x:v>-2.6M</x:v>
      </x:c>
      <x:c r="D95" s="44" t="n">
        <x:v>2.8935</x:v>
      </x:c>
      <x:c r="E95" s="44" t="n">
        <x:v>2.611</x:v>
      </x:c>
      <x:c r="F95" s="44" t="n">
        <x:v>3.021</x:v>
      </x:c>
      <x:c r="G95" s="44" t="n">
        <x:v>0.4375</x:v>
      </x:c>
      <x:c r="H95" s="44" t="n">
        <x:v>-0.4</x:v>
      </x:c>
      <x:c r="I95" s="44" t="n">
        <x:v>4.9912</x:v>
      </x:c>
      <x:c r="J95" s="44" t="n">
        <x:v>3.6816</x:v>
      </x:c>
      <x:c r="K95" s="44" t="n">
        <x:v>6.287</x:v>
      </x:c>
      <x:c r="L95" s="44" t="n">
        <x:v>7.5657</x:v>
      </x:c>
      <x:c r="M95" s="44" t="n">
        <x:v>11.5412</x:v>
      </x:c>
      <x:c r="N95" s="44" t="n">
        <x:v>0.5525</x:v>
      </x:c>
      <x:c r="O95" s="44" t="n">
        <x:v>-0.64</x:v>
      </x:c>
      <x:c r="P95" s="44" t="n">
        <x:v>1.06</x:v>
      </x:c>
      <x:c r="Q95" s="44" t="n">
        <x:v>4.55</x:v>
      </x:c>
      <x:c r="R95" s="44" t="n">
        <x:v>23.3505</x:v>
      </x:c>
      <x:c r="S95" s="44" t="n">
        <x:v>17.927</x:v>
      </x:c>
      <x:c r="T95" s="44" t="n">
        <x:v>6.755</x:v>
      </x:c>
      <x:c r="U95" s="44" t="n">
        <x:v>1.61</x:v>
      </x:c>
      <x:c r="V95" s="44" t="n">
        <x:v>-1.3275</x:v>
      </x:c>
      <x:c r="W95" s="44" t="n">
        <x:v>3</x:v>
      </x:c>
      <x:c r="X95" s="44" t="n">
        <x:v>2.03</x:v>
      </x:c>
      <x:c r="Y95" s="44" t="n">
        <x:v>20.545</x:v>
      </x:c>
      <x:c r="Z95" s="44" t="n">
        <x:v>15.3435</x:v>
      </x:c>
      <x:c r="AA95" s="44" t="n">
        <x:v>12.0135</x:v>
      </x:c>
      <x:c r="AB95" s="44" t="n">
        <x:v>1.735</x:v>
      </x:c>
      <x:c r="AC95" s="44" t="n">
        <x:v>-1.4475</x:v>
      </x:c>
      <x:c r="AD95" s="44" t="n">
        <x:v>4.98</x:v>
      </x:c>
      <x:c r="AE95" s="44" t="n">
        <x:v>2.98</x:v>
      </x:c>
      <x:c r="AF95" s="44" t="n">
        <x:v>15.26</x:v>
      </x:c>
      <x:c r="AG95" s="44" t="n">
        <x:v>5.35</x:v>
      </x:c>
      <x:c r="AH95" s="44" t="n">
        <x:v>11.72</x:v>
      </x:c>
      <x:c r="AI95" s="44" t="n">
        <x:v>1.47</x:v>
      </x:c>
      <x:c r="AJ95" s="44" t="n">
        <x:v>-1.125</x:v>
      </x:c>
      <x:c r="AK95" s="44" t="n">
        <x:v>2.16</x:v>
      </x:c>
      <x:c r="AL95" s="44" t="n">
        <x:v>1.11</x:v>
      </x:c>
      <x:c r="AM95" s="44" t="n">
        <x:v>0.26</x:v>
      </x:c>
      <x:c r="AN95" s="44" t="n">
        <x:v>0.25</x:v>
      </x:c>
      <x:c r="AO95" s="44" t="n">
        <x:v>-1.2188</x:v>
      </x:c>
      <x:c r="AP95" s="44" t="n">
        <x:v>0.9653</x:v>
      </x:c>
      <x:c r="AQ95" s="44" t="n">
        <x:v>0.9653</x:v>
      </x:c>
      <x:c r="AR95" s="44" t="n">
        <x:v>0.78</x:v>
      </x:c>
      <x:c r="AS95" s="44"/>
      <x:c r="AT95" s="44" t="n">
        <x:v>0.5393</x:v>
      </x:c>
      <x:c r="AU95" s="174" t="n">
        <x:v>1200</x:v>
      </x:c>
      <x:c r="AV95" s="43" t="str">
        <x:v>00:00:39</x:v>
      </x:c>
      <x:c r="AW95" s="43" t="str">
        <x:v>00:37–00:39</x:v>
      </x:c>
      <x:c r="AX95" s="43" t="str">
        <x:v>02_Fenixx_t39.jpg</x:v>
      </x:c>
      <x:c r="AY95" s="43" t="str">
        <x:v>1000025098.mp4</x:v>
      </x:c>
      <x:c r="AZ95" s="44"/>
      <x:c r="BA95" s="175"/>
    </x:row>
    <x:row r="96" ht="18" customHeight="1">
      <x:c r="A96" s="43" t="str">
        <x:v>K170</x:v>
      </x:c>
      <x:c r="B96" s="43" t="str">
        <x:v>(AOT)D®a©o</x:v>
      </x:c>
      <x:c r="C96" s="43" t="str">
        <x:v>-2.3M</x:v>
      </x:c>
      <x:c r="D96" s="44" t="n">
        <x:v>3.071</x:v>
      </x:c>
      <x:c r="E96" s="44" t="n">
        <x:v>2.576</x:v>
      </x:c>
      <x:c r="F96" s="44" t="n">
        <x:v>2.806</x:v>
      </x:c>
      <x:c r="G96" s="44" t="n">
        <x:v>0.415</x:v>
      </x:c>
      <x:c r="H96" s="44" t="n">
        <x:v>-0.415</x:v>
      </x:c>
      <x:c r="I96" s="44" t="n">
        <x:v>4.5328</x:v>
      </x:c>
      <x:c r="J96" s="44" t="n">
        <x:v>3.0612</x:v>
      </x:c>
      <x:c r="K96" s="44" t="n">
        <x:v>7.122</x:v>
      </x:c>
      <x:c r="L96" s="44" t="n">
        <x:v>8.9857</x:v>
      </x:c>
      <x:c r="M96" s="44" t="n">
        <x:v>12.5412</x:v>
      </x:c>
      <x:c r="N96" s="44" t="n">
        <x:v>0.49</x:v>
      </x:c>
      <x:c r="O96" s="44" t="n">
        <x:v>-0.71</x:v>
      </x:c>
      <x:c r="P96" s="44" t="n">
        <x:v>1.18</x:v>
      </x:c>
      <x:c r="Q96" s="44" t="n">
        <x:v>3.83</x:v>
      </x:c>
      <x:c r="R96" s="44" t="n">
        <x:v>20.9705</x:v>
      </x:c>
      <x:c r="S96" s="44" t="n">
        <x:v>14.987</x:v>
      </x:c>
      <x:c r="T96" s="44" t="n">
        <x:v>9.2</x:v>
      </x:c>
      <x:c r="U96" s="44" t="n">
        <x:v>1.5425</x:v>
      </x:c>
      <x:c r="V96" s="44" t="n">
        <x:v>-1.3475</x:v>
      </x:c>
      <x:c r="W96" s="44" t="n">
        <x:v>3.64</x:v>
      </x:c>
      <x:c r="X96" s="44" t="n">
        <x:v>2.04</x:v>
      </x:c>
      <x:c r="Y96" s="44" t="n">
        <x:v>20.185</x:v>
      </x:c>
      <x:c r="Z96" s="44" t="n">
        <x:v>15.7485</x:v>
      </x:c>
      <x:c r="AA96" s="44" t="n">
        <x:v>11.8585</x:v>
      </x:c>
      <x:c r="AB96" s="44" t="n">
        <x:v>1.6675</x:v>
      </x:c>
      <x:c r="AC96" s="44" t="n">
        <x:v>-1.4475</x:v>
      </x:c>
      <x:c r="AD96" s="44" t="n">
        <x:v>4.76</x:v>
      </x:c>
      <x:c r="AE96" s="44" t="n">
        <x:v>2.19</x:v>
      </x:c>
      <x:c r="AF96" s="44" t="n">
        <x:v>12.95</x:v>
      </x:c>
      <x:c r="AG96" s="44" t="n">
        <x:v>4.5</x:v>
      </x:c>
      <x:c r="AH96" s="44" t="n">
        <x:v>9.76</x:v>
      </x:c>
      <x:c r="AI96" s="44" t="n">
        <x:v>1.345</x:v>
      </x:c>
      <x:c r="AJ96" s="44" t="n">
        <x:v>-1.285</x:v>
      </x:c>
      <x:c r="AK96" s="44" t="n">
        <x:v>1.03</x:v>
      </x:c>
      <x:c r="AL96" s="44" t="n">
        <x:v>0.64</x:v>
      </x:c>
      <x:c r="AM96" s="44" t="n">
        <x:v>0.26</x:v>
      </x:c>
      <x:c r="AN96" s="44" t="n">
        <x:v>0.235</x:v>
      </x:c>
      <x:c r="AO96" s="44" t="n">
        <x:v>-1.2188</x:v>
      </x:c>
      <x:c r="AP96" s="44" t="n">
        <x:v>0.9653</x:v>
      </x:c>
      <x:c r="AQ96" s="44" t="n">
        <x:v>0.9653</x:v>
      </x:c>
      <x:c r="AR96" s="44" t="n">
        <x:v>0.78</x:v>
      </x:c>
      <x:c r="AS96" s="44"/>
      <x:c r="AT96" s="44" t="n">
        <x:v>0.5393</x:v>
      </x:c>
      <x:c r="AU96" s="174" t="n">
        <x:v>1200</x:v>
      </x:c>
      <x:c r="AV96" s="43" t="str">
        <x:v>00:00:53</x:v>
      </x:c>
      <x:c r="AW96" s="43" t="str">
        <x:v>00:52–00:53</x:v>
      </x:c>
      <x:c r="AX96" s="43" t="str">
        <x:v>03_DRaCo_t53.jpg</x:v>
      </x:c>
      <x:c r="AY96" s="43" t="str">
        <x:v>1000025098.mp4</x:v>
      </x:c>
      <x:c r="AZ96" s="44"/>
      <x:c r="BA96" s="175"/>
    </x:row>
    <x:row r="97" ht="18" customHeight="1">
      <x:c r="A97" s="43" t="str">
        <x:v>K170</x:v>
      </x:c>
      <x:c r="B97" s="43" t="str">
        <x:v>(AOT)Themechanic</x:v>
      </x:c>
      <x:c r="C97" s="43" t="str">
        <x:v>-2.6M</x:v>
      </x:c>
      <x:c r="D97" s="44" t="n">
        <x:v>3.3635</x:v>
      </x:c>
      <x:c r="E97" s="44" t="n">
        <x:v>2.601</x:v>
      </x:c>
      <x:c r="F97" s="44" t="n">
        <x:v>2.791</x:v>
      </x:c>
      <x:c r="G97" s="44" t="n">
        <x:v>0.4375</x:v>
      </x:c>
      <x:c r="H97" s="44" t="n">
        <x:v>-0.4</x:v>
      </x:c>
      <x:c r="I97" s="44" t="n">
        <x:v>4.2332</x:v>
      </x:c>
      <x:c r="J97" s="44" t="n">
        <x:v>4.0128</x:v>
      </x:c>
      <x:c r="K97" s="44" t="n">
        <x:v>9.067</x:v>
      </x:c>
      <x:c r="L97" s="44" t="n">
        <x:v>12.722</x:v>
      </x:c>
      <x:c r="M97" s="44" t="n">
        <x:v>10.9149</x:v>
      </x:c>
      <x:c r="N97" s="44" t="n">
        <x:v>1.6675</x:v>
      </x:c>
      <x:c r="O97" s="44" t="n">
        <x:v>-1.515</x:v>
      </x:c>
      <x:c r="P97" s="44" t="n">
        <x:v>1.2</x:v>
      </x:c>
      <x:c r="Q97" s="44" t="n">
        <x:v>3.09</x:v>
      </x:c>
      <x:c r="R97" s="44" t="n">
        <x:v>22.252</x:v>
      </x:c>
      <x:c r="S97" s="44" t="n">
        <x:v>18.417</x:v>
      </x:c>
      <x:c r="T97" s="44" t="n">
        <x:v>7.7135</x:v>
      </x:c>
      <x:c r="U97" s="44" t="n">
        <x:v>1.825</x:v>
      </x:c>
      <x:c r="V97" s="44" t="n">
        <x:v>-1.305</x:v>
      </x:c>
      <x:c r="W97" s="44" t="n">
        <x:v>3.2</x:v>
      </x:c>
      <x:c r="X97" s="44" t="n">
        <x:v>1.59</x:v>
      </x:c>
      <x:c r="Y97" s="44" t="n">
        <x:v>23.0385</x:v>
      </x:c>
      <x:c r="Z97" s="44" t="n">
        <x:v>17.4135</x:v>
      </x:c>
      <x:c r="AA97" s="44" t="n">
        <x:v>12.21</x:v>
      </x:c>
      <x:c r="AB97" s="44" t="n">
        <x:v>1.9275</x:v>
      </x:c>
      <x:c r="AC97" s="44" t="n">
        <x:v>-1.4875</x:v>
      </x:c>
      <x:c r="AD97" s="44" t="n">
        <x:v>5.09</x:v>
      </x:c>
      <x:c r="AE97" s="44" t="n">
        <x:v>2.64</x:v>
      </x:c>
      <x:c r="AF97" s="44" t="n">
        <x:v>14.93</x:v>
      </x:c>
      <x:c r="AG97" s="44" t="n">
        <x:v>4.95</x:v>
      </x:c>
      <x:c r="AH97" s="44" t="n">
        <x:v>11.44</x:v>
      </x:c>
      <x:c r="AI97" s="44" t="n">
        <x:v>1.56</x:v>
      </x:c>
      <x:c r="AJ97" s="44" t="n">
        <x:v>-1.125</x:v>
      </x:c>
      <x:c r="AK97" s="44" t="n">
        <x:v>1.82</x:v>
      </x:c>
      <x:c r="AL97" s="44" t="n">
        <x:v>1.14</x:v>
      </x:c>
      <x:c r="AM97" s="44" t="n">
        <x:v>0.26</x:v>
      </x:c>
      <x:c r="AN97" s="44" t="n">
        <x:v>0.255</x:v>
      </x:c>
      <x:c r="AO97" s="44" t="n">
        <x:v>-1.2188</x:v>
      </x:c>
      <x:c r="AP97" s="44" t="n">
        <x:v>0.9653</x:v>
      </x:c>
      <x:c r="AQ97" s="44" t="n">
        <x:v>0.9653</x:v>
      </x:c>
      <x:c r="AR97" s="44" t="n">
        <x:v>0.78</x:v>
      </x:c>
      <x:c r="AS97" s="44"/>
      <x:c r="AT97" s="44" t="n">
        <x:v>0.5393</x:v>
      </x:c>
      <x:c r="AU97" s="174" t="n">
        <x:v>1200</x:v>
      </x:c>
      <x:c r="AV97" s="43" t="str">
        <x:v>00:01:07</x:v>
      </x:c>
      <x:c r="AW97" s="43" t="str">
        <x:v>01:05–01:07</x:v>
      </x:c>
      <x:c r="AX97" s="43" t="str">
        <x:v>04_Themechanic_t67.jpg</x:v>
      </x:c>
      <x:c r="AY97" s="43" t="str">
        <x:v>1000025098.mp4</x:v>
      </x:c>
      <x:c r="AZ97" s="44"/>
      <x:c r="BA97" s="175"/>
    </x:row>
    <x:row r="98" ht="18" customHeight="1">
      <x:c r="A98" s="43" t="str">
        <x:v>K170</x:v>
      </x:c>
      <x:c r="B98" s="43" t="str">
        <x:v>(AOT)Aauudd</x:v>
      </x:c>
      <x:c r="C98" s="43" t="str">
        <x:v>-2.5M</x:v>
      </x:c>
      <x:c r="D98" s="44" t="n">
        <x:v>3.336</x:v>
      </x:c>
      <x:c r="E98" s="44" t="n">
        <x:v>2.576</x:v>
      </x:c>
      <x:c r="F98" s="44" t="n">
        <x:v>2.891</x:v>
      </x:c>
      <x:c r="G98" s="44" t="n">
        <x:v>0.415</x:v>
      </x:c>
      <x:c r="H98" s="44" t="n">
        <x:v>-0.415</x:v>
      </x:c>
      <x:c r="I98" s="44" t="n">
        <x:v>4.0452</x:v>
      </x:c>
      <x:c r="J98" s="44" t="n">
        <x:v>4.0072</x:v>
      </x:c>
      <x:c r="K98" s="44" t="n">
        <x:v>8.692</x:v>
      </x:c>
      <x:c r="L98" s="44" t="n">
        <x:v>16.722</x:v>
      </x:c>
      <x:c r="M98" s="44" t="n">
        <x:v>16.5349</x:v>
      </x:c>
      <x:c r="N98" s="44" t="n">
        <x:v>1.385</x:v>
      </x:c>
      <x:c r="O98" s="44" t="n">
        <x:v>-1.6675</x:v>
      </x:c>
      <x:c r="P98" s="44" t="n">
        <x:v>1.92</x:v>
      </x:c>
      <x:c r="Q98" s="44" t="n">
        <x:v>7</x:v>
      </x:c>
      <x:c r="R98" s="44" t="n">
        <x:v>20.402</x:v>
      </x:c>
      <x:c r="S98" s="44" t="n">
        <x:v>17.167</x:v>
      </x:c>
      <x:c r="T98" s="44" t="n">
        <x:v>9.7135</x:v>
      </x:c>
      <x:c r="U98" s="44" t="n">
        <x:v>1.5225</x:v>
      </x:c>
      <x:c r="V98" s="44" t="n">
        <x:v>-1.305</x:v>
      </x:c>
      <x:c r="W98" s="44" t="n">
        <x:v>3.65</x:v>
      </x:c>
      <x:c r="X98" s="44" t="n">
        <x:v>1.83</x:v>
      </x:c>
      <x:c r="Y98" s="44" t="n">
        <x:v>18.2785</x:v>
      </x:c>
      <x:c r="Z98" s="44" t="n">
        <x:v>13.2735</x:v>
      </x:c>
      <x:c r="AA98" s="44" t="n">
        <x:v>8.615</x:v>
      </x:c>
      <x:c r="AB98" s="44" t="n">
        <x:v>1.6075</x:v>
      </x:c>
      <x:c r="AC98" s="44" t="n">
        <x:v>-1.4275</x:v>
      </x:c>
      <x:c r="AD98" s="44" t="n">
        <x:v>4.37</x:v>
      </x:c>
      <x:c r="AE98" s="44" t="n">
        <x:v>2.3</x:v>
      </x:c>
      <x:c r="AF98" s="44" t="n">
        <x:v>13.66</x:v>
      </x:c>
      <x:c r="AG98" s="44" t="n">
        <x:v>6.19</x:v>
      </x:c>
      <x:c r="AH98" s="44" t="n">
        <x:v>11.44</x:v>
      </x:c>
      <x:c r="AI98" s="44" t="n">
        <x:v>1.385</x:v>
      </x:c>
      <x:c r="AJ98" s="44" t="n">
        <x:v>-1.285</x:v>
      </x:c>
      <x:c r="AK98" s="44" t="n">
        <x:v>1.69</x:v>
      </x:c>
      <x:c r="AL98" s="44" t="n">
        <x:v>1.02</x:v>
      </x:c>
      <x:c r="AM98" s="44" t="n">
        <x:v>0.26</x:v>
      </x:c>
      <x:c r="AN98" s="44" t="n">
        <x:v>0.24</x:v>
      </x:c>
      <x:c r="AO98" s="44" t="n">
        <x:v>-1.2188</x:v>
      </x:c>
      <x:c r="AP98" s="44" t="n">
        <x:v>0.9653</x:v>
      </x:c>
      <x:c r="AQ98" s="44" t="n">
        <x:v>0.9653</x:v>
      </x:c>
      <x:c r="AR98" s="44" t="n">
        <x:v>0.78</x:v>
      </x:c>
      <x:c r="AS98" s="44"/>
      <x:c r="AT98" s="44" t="n">
        <x:v>0.5393</x:v>
      </x:c>
      <x:c r="AU98" s="174" t="n">
        <x:v>1200</x:v>
      </x:c>
      <x:c r="AV98" s="43" t="str">
        <x:v>00:01:22</x:v>
      </x:c>
      <x:c r="AW98" s="43" t="str">
        <x:v>01:20–01:22</x:v>
      </x:c>
      <x:c r="AX98" s="43" t="str">
        <x:v>05_Aauudd_t82.jpg</x:v>
      </x:c>
      <x:c r="AY98" s="43" t="str">
        <x:v>1000025098.mp4</x:v>
      </x:c>
      <x:c r="AZ98" s="44"/>
      <x:c r="BA98" s="175"/>
    </x:row>
    <x:row r="99" ht="18" customHeight="1">
      <x:c r="A99" s="43" t="str">
        <x:v>K170</x:v>
      </x:c>
      <x:c r="B99" s="43" t="str">
        <x:v>(AOT)Brauni°</x:v>
      </x:c>
      <x:c r="C99" s="43" t="str">
        <x:v>-2.0M</x:v>
      </x:c>
      <x:c r="D99" s="44" t="n">
        <x:v>3.2135</x:v>
      </x:c>
      <x:c r="E99" s="44" t="n">
        <x:v>2.326</x:v>
      </x:c>
      <x:c r="F99" s="44" t="n">
        <x:v>2.656</x:v>
      </x:c>
      <x:c r="G99" s="44" t="n">
        <x:v>0.4</x:v>
      </x:c>
      <x:c r="H99" s="44" t="n">
        <x:v>-0.385</x:v>
      </x:c>
      <x:c r="I99" s="44" t="n">
        <x:v>4.7248</x:v>
      </x:c>
      <x:c r="J99" s="44" t="n">
        <x:v>1.602</x:v>
      </x:c>
      <x:c r="K99" s="44" t="n">
        <x:v>10.747</x:v>
      </x:c>
      <x:c r="L99" s="44" t="n">
        <x:v>9.9957</x:v>
      </x:c>
      <x:c r="M99" s="44" t="n">
        <x:v>13.1312</x:v>
      </x:c>
      <x:c r="N99" s="44" t="n">
        <x:v>1.385</x:v>
      </x:c>
      <x:c r="O99" s="44" t="n">
        <x:v>-1.34</x:v>
      </x:c>
      <x:c r="P99" s="44" t="n">
        <x:v>0.89</x:v>
      </x:c>
      <x:c r="Q99" s="44" t="n">
        <x:v>1.45</x:v>
      </x:c>
      <x:c r="R99" s="44" t="n">
        <x:v>20.5505</x:v>
      </x:c>
      <x:c r="S99" s="44" t="n">
        <x:v>13.457</x:v>
      </x:c>
      <x:c r="T99" s="44" t="n">
        <x:v>5.35</x:v>
      </x:c>
      <x:c r="U99" s="44" t="n">
        <x:v>1.4625</x:v>
      </x:c>
      <x:c r="V99" s="44" t="n">
        <x:v>-1.195</x:v>
      </x:c>
      <x:c r="W99" s="44" t="n">
        <x:v>1.51</x:v>
      </x:c>
      <x:c r="X99" s="44" t="n">
        <x:v>0.83</x:v>
      </x:c>
      <x:c r="Y99" s="44" t="n">
        <x:v>20.2</x:v>
      </x:c>
      <x:c r="Z99" s="44" t="n">
        <x:v>13.9935</x:v>
      </x:c>
      <x:c r="AA99" s="44" t="n">
        <x:v>10.1735</x:v>
      </x:c>
      <x:c r="AB99" s="44" t="n">
        <x:v>1.655</x:v>
      </x:c>
      <x:c r="AC99" s="44" t="n">
        <x:v>-1.2775</x:v>
      </x:c>
      <x:c r="AD99" s="44" t="n">
        <x:v>5.1</x:v>
      </x:c>
      <x:c r="AE99" s="44" t="n">
        <x:v>3.05</x:v>
      </x:c>
      <x:c r="AF99" s="44" t="n">
        <x:v>13.3</x:v>
      </x:c>
      <x:c r="AG99" s="44" t="n">
        <x:v>3.92</x:v>
      </x:c>
      <x:c r="AH99" s="44" t="n">
        <x:v>8.03</x:v>
      </x:c>
      <x:c r="AI99" s="44" t="n">
        <x:v>0.47</x:v>
      </x:c>
      <x:c r="AJ99" s="44" t="n">
        <x:v>-0.23</x:v>
      </x:c>
      <x:c r="AK99" s="44" t="n">
        <x:v>0.52</x:v>
      </x:c>
      <x:c r="AL99" s="44" t="n">
        <x:v>0.32</x:v>
      </x:c>
      <x:c r="AM99" s="44" t="n">
        <x:v>0.26</x:v>
      </x:c>
      <x:c r="AN99" s="44" t="n">
        <x:v>0.225</x:v>
      </x:c>
      <x:c r="AO99" s="44" t="n">
        <x:v>-1.2188</x:v>
      </x:c>
      <x:c r="AP99" s="44" t="n">
        <x:v>0.9653</x:v>
      </x:c>
      <x:c r="AQ99" s="44" t="n">
        <x:v>0.9653</x:v>
      </x:c>
      <x:c r="AR99" s="44" t="n">
        <x:v>0.78</x:v>
      </x:c>
      <x:c r="AS99" s="44"/>
      <x:c r="AT99" s="44" t="n">
        <x:v>0.5393</x:v>
      </x:c>
      <x:c r="AU99" s="174" t="n">
        <x:v>1200</x:v>
      </x:c>
      <x:c r="AV99" s="43" t="str">
        <x:v>00:01:33</x:v>
      </x:c>
      <x:c r="AW99" s="43" t="str">
        <x:v>01:31–01:33</x:v>
      </x:c>
      <x:c r="AX99" s="43" t="str">
        <x:v>06_Brauni_t93.jpg</x:v>
      </x:c>
      <x:c r="AY99" s="43" t="str">
        <x:v>1000025098.mp4</x:v>
      </x:c>
      <x:c r="AZ99" s="44"/>
      <x:c r="BA99" s="175"/>
    </x:row>
    <x:row r="100" ht="18" customHeight="1">
      <x:c r="A100" s="43" t="str">
        <x:v>K170</x:v>
      </x:c>
      <x:c r="B100" s="43" t="str">
        <x:v>(AOT)Kelley</x:v>
      </x:c>
      <x:c r="C100" s="43" t="str">
        <x:v>-2.1M</x:v>
      </x:c>
      <x:c r="D100" s="44" t="n">
        <x:v>2.8585</x:v>
      </x:c>
      <x:c r="E100" s="44" t="n">
        <x:v>2.736</x:v>
      </x:c>
      <x:c r="F100" s="44" t="n">
        <x:v>2.846</x:v>
      </x:c>
      <x:c r="G100" s="44" t="n">
        <x:v>0.4375</x:v>
      </x:c>
      <x:c r="H100" s="44" t="n">
        <x:v>-0.415</x:v>
      </x:c>
      <x:c r="I100" s="44" t="n">
        <x:v>3.5716</x:v>
      </x:c>
      <x:c r="J100" s="44" t="n">
        <x:v>3.088</x:v>
      </x:c>
      <x:c r="K100" s="44" t="n">
        <x:v>12.597</x:v>
      </x:c>
      <x:c r="L100" s="44" t="n">
        <x:v>15.202</x:v>
      </x:c>
      <x:c r="M100" s="44" t="n">
        <x:v>13.0549</x:v>
      </x:c>
      <x:c r="N100" s="44" t="n">
        <x:v>1.4275</x:v>
      </x:c>
      <x:c r="O100" s="44" t="n">
        <x:v>-1.4475</x:v>
      </x:c>
      <x:c r="P100" s="44" t="n">
        <x:v>2.49</x:v>
      </x:c>
      <x:c r="Q100" s="44" t="n">
        <x:v>5.09</x:v>
      </x:c>
      <x:c r="R100" s="44" t="n">
        <x:v>22.792</x:v>
      </x:c>
      <x:c r="S100" s="44" t="n">
        <x:v>17.647</x:v>
      </x:c>
      <x:c r="T100" s="44" t="n">
        <x:v>10.8135</x:v>
      </x:c>
      <x:c r="U100" s="44" t="n">
        <x:v>1.72</x:v>
      </x:c>
      <x:c r="V100" s="44" t="n">
        <x:v>-1.3775</x:v>
      </x:c>
      <x:c r="W100" s="44" t="n">
        <x:v>3.83</x:v>
      </x:c>
      <x:c r="X100" s="44" t="n">
        <x:v>2.02</x:v>
      </x:c>
      <x:c r="Y100" s="44" t="n">
        <x:v>20.3385</x:v>
      </x:c>
      <x:c r="Z100" s="44" t="n">
        <x:v>14.2135</x:v>
      </x:c>
      <x:c r="AA100" s="44" t="n">
        <x:v>9.715</x:v>
      </x:c>
      <x:c r="AB100" s="44" t="n">
        <x:v>1.8275</x:v>
      </x:c>
      <x:c r="AC100" s="44" t="n">
        <x:v>-1.4175</x:v>
      </x:c>
      <x:c r="AD100" s="44" t="n">
        <x:v>5.82</x:v>
      </x:c>
      <x:c r="AE100" s="44" t="n">
        <x:v>4.08</x:v>
      </x:c>
      <x:c r="AF100" s="44" t="n">
        <x:v>14.875</x:v>
      </x:c>
      <x:c r="AG100" s="44" t="n">
        <x:v>4.8</x:v>
      </x:c>
      <x:c r="AH100" s="44" t="n">
        <x:v>9.205</x:v>
      </x:c>
      <x:c r="AI100" s="44" t="n">
        <x:v>1.595</x:v>
      </x:c>
      <x:c r="AJ100" s="44" t="n">
        <x:v>-1.285</x:v>
      </x:c>
      <x:c r="AK100" s="44" t="n">
        <x:v>1.6</x:v>
      </x:c>
      <x:c r="AL100" s="44" t="n">
        <x:v>1.24</x:v>
      </x:c>
      <x:c r="AM100" s="44" t="n">
        <x:v>0.26</x:v>
      </x:c>
      <x:c r="AN100" s="44" t="n">
        <x:v>0.235</x:v>
      </x:c>
      <x:c r="AO100" s="44" t="n">
        <x:v>-1.2188</x:v>
      </x:c>
      <x:c r="AP100" s="44" t="n">
        <x:v>0.9653</x:v>
      </x:c>
      <x:c r="AQ100" s="44" t="n">
        <x:v>0.9653</x:v>
      </x:c>
      <x:c r="AR100" s="44" t="n">
        <x:v>0.78</x:v>
      </x:c>
      <x:c r="AS100" s="44"/>
      <x:c r="AT100" s="44" t="n">
        <x:v>0.5393</x:v>
      </x:c>
      <x:c r="AU100" s="174" t="n">
        <x:v>1200</x:v>
      </x:c>
      <x:c r="AV100" s="43" t="str">
        <x:v>00:01:42</x:v>
      </x:c>
      <x:c r="AW100" s="43" t="str">
        <x:v>01:41–01:42</x:v>
      </x:c>
      <x:c r="AX100" s="43" t="str">
        <x:v>07_Kelley_t102.jpg</x:v>
      </x:c>
      <x:c r="AY100" s="43" t="str">
        <x:v>1000025098.mp4</x:v>
      </x:c>
      <x:c r="AZ100" s="44"/>
      <x:c r="BA100" s="175"/>
    </x:row>
    <x:row r="101" ht="18" customHeight="1">
      <x:c r="A101" s="43" t="str">
        <x:v>K170</x:v>
      </x:c>
      <x:c r="B101" s="43" t="str">
        <x:v>(AOT)鸣鸣鸣</x:v>
      </x:c>
      <x:c r="C101" s="43" t="str">
        <x:v>-2.9M</x:v>
      </x:c>
      <x:c r="D101" s="44" t="n">
        <x:v>3.2735</x:v>
      </x:c>
      <x:c r="E101" s="44" t="n">
        <x:v>2.911</x:v>
      </x:c>
      <x:c r="F101" s="44" t="n">
        <x:v>3.046</x:v>
      </x:c>
      <x:c r="G101" s="44" t="n">
        <x:v>0.4375</x:v>
      </x:c>
      <x:c r="H101" s="44" t="n">
        <x:v>-0.415</x:v>
      </x:c>
      <x:c r="I101" s="44" t="n">
        <x:v>5.5456</x:v>
      </x:c>
      <x:c r="J101" s="44" t="n">
        <x:v>1.9208</x:v>
      </x:c>
      <x:c r="K101" s="44" t="n">
        <x:v>8.447</x:v>
      </x:c>
      <x:c r="L101" s="44" t="n">
        <x:v>13.112</x:v>
      </x:c>
      <x:c r="M101" s="44" t="n">
        <x:v>12.7449</x:v>
      </x:c>
      <x:c r="N101" s="44" t="n">
        <x:v>0.49</x:v>
      </x:c>
      <x:c r="O101" s="44" t="n">
        <x:v>-0.76</x:v>
      </x:c>
      <x:c r="P101" s="44" t="n">
        <x:v>0.79</x:v>
      </x:c>
      <x:c r="Q101" s="44" t="n">
        <x:v>2.79</x:v>
      </x:c>
      <x:c r="R101" s="44" t="n">
        <x:v>23.3005</x:v>
      </x:c>
      <x:c r="S101" s="44" t="n">
        <x:v>15.087</x:v>
      </x:c>
      <x:c r="T101" s="44" t="n">
        <x:v>9.66</x:v>
      </x:c>
      <x:c r="U101" s="44" t="n">
        <x:v>1.7175</x:v>
      </x:c>
      <x:c r="V101" s="44" t="n">
        <x:v>-1.285</x:v>
      </x:c>
      <x:c r="W101" s="44" t="n">
        <x:v>2.63</x:v>
      </x:c>
      <x:c r="X101" s="44" t="n">
        <x:v>1.1</x:v>
      </x:c>
      <x:c r="Y101" s="44" t="n">
        <x:v>21.715</x:v>
      </x:c>
      <x:c r="Z101" s="44" t="n">
        <x:v>17.2735</x:v>
      </x:c>
      <x:c r="AA101" s="44" t="n">
        <x:v>13.8635</x:v>
      </x:c>
      <x:c r="AB101" s="44" t="n">
        <x:v>1.8575</x:v>
      </x:c>
      <x:c r="AC101" s="44" t="n">
        <x:v>-1.3675</x:v>
      </x:c>
      <x:c r="AD101" s="44" t="n">
        <x:v>5.18</x:v>
      </x:c>
      <x:c r="AE101" s="44" t="n">
        <x:v>3.04</x:v>
      </x:c>
      <x:c r="AF101" s="44" t="n">
        <x:v>14.195</x:v>
      </x:c>
      <x:c r="AG101" s="44" t="n">
        <x:v>4.52</x:v>
      </x:c>
      <x:c r="AH101" s="44" t="n">
        <x:v>9.335</x:v>
      </x:c>
      <x:c r="AI101" s="44" t="n">
        <x:v>1.56</x:v>
      </x:c>
      <x:c r="AJ101" s="44" t="n">
        <x:v>-1.285</x:v>
      </x:c>
      <x:c r="AK101" s="44" t="n">
        <x:v>0.94</x:v>
      </x:c>
      <x:c r="AL101" s="44" t="n">
        <x:v>0.84</x:v>
      </x:c>
      <x:c r="AM101" s="44" t="n">
        <x:v>0.26</x:v>
      </x:c>
      <x:c r="AN101" s="44" t="n">
        <x:v>0.245</x:v>
      </x:c>
      <x:c r="AO101" s="44" t="n">
        <x:v>-1.2188</x:v>
      </x:c>
      <x:c r="AP101" s="44" t="n">
        <x:v>0.9653</x:v>
      </x:c>
      <x:c r="AQ101" s="44" t="n">
        <x:v>0.9653</x:v>
      </x:c>
      <x:c r="AR101" s="44" t="n">
        <x:v>0.78</x:v>
      </x:c>
      <x:c r="AS101" s="44"/>
      <x:c r="AT101" s="44" t="n">
        <x:v>0.5393</x:v>
      </x:c>
      <x:c r="AU101" s="174" t="n">
        <x:v>1200</x:v>
      </x:c>
      <x:c r="AV101" s="43" t="str">
        <x:v>00:01:58</x:v>
      </x:c>
      <x:c r="AW101" s="43" t="str">
        <x:v>01:55–01:58</x:v>
      </x:c>
      <x:c r="AX101" s="43" t="str">
        <x:v>08_mingmingming_t118.jpg</x:v>
      </x:c>
      <x:c r="AY101" s="43" t="str">
        <x:v>1000025098.mp4</x:v>
      </x:c>
      <x:c r="AZ101" s="44"/>
      <x:c r="BA101" s="175"/>
    </x:row>
    <x:row r="102" ht="18" customHeight="1">
      <x:c r="A102" s="43" t="str">
        <x:v>K170</x:v>
      </x:c>
      <x:c r="B102" s="43" t="str">
        <x:v>(AOT)aweirdmind</x:v>
      </x:c>
      <x:c r="C102" s="43" t="str">
        <x:v>-506.2K</x:v>
      </x:c>
      <x:c r="D102" s="44" t="n">
        <x:v>3.1985</x:v>
      </x:c>
      <x:c r="E102" s="44" t="n">
        <x:v>2.7135</x:v>
      </x:c>
      <x:c r="F102" s="44" t="n">
        <x:v>2.8135</x:v>
      </x:c>
      <x:c r="G102" s="44" t="n">
        <x:v>0.4375</x:v>
      </x:c>
      <x:c r="H102" s="44" t="n">
        <x:v>-0.4375</x:v>
      </x:c>
      <x:c r="I102" s="44" t="n">
        <x:v>5.2036</x:v>
      </x:c>
      <x:c r="J102" s="44" t="n">
        <x:v>4.1588</x:v>
      </x:c>
      <x:c r="K102" s="44" t="n">
        <x:v>7.532</x:v>
      </x:c>
      <x:c r="L102" s="44" t="n">
        <x:v>13.6562</x:v>
      </x:c>
      <x:c r="M102" s="44" t="n">
        <x:v>9.2007</x:v>
      </x:c>
      <x:c r="N102" s="44" t="n">
        <x:v>0.49</x:v>
      </x:c>
      <x:c r="O102" s="44" t="n">
        <x:v>-0.73</x:v>
      </x:c>
      <x:c r="P102" s="44" t="n">
        <x:v>1.04</x:v>
      </x:c>
      <x:c r="Q102" s="44" t="n">
        <x:v>3.51</x:v>
      </x:c>
      <x:c r="R102" s="44" t="n">
        <x:v>23.7105</x:v>
      </x:c>
      <x:c r="S102" s="44" t="n">
        <x:v>17.54</x:v>
      </x:c>
      <x:c r="T102" s="44" t="n">
        <x:v>12.857</x:v>
      </x:c>
      <x:c r="U102" s="44" t="n">
        <x:v>1.765</x:v>
      </x:c>
      <x:c r="V102" s="44" t="n">
        <x:v>-1.6925</x:v>
      </x:c>
      <x:c r="W102" s="44" t="n">
        <x:v>3.94</x:v>
      </x:c>
      <x:c r="X102" s="44" t="n">
        <x:v>2.85</x:v>
      </x:c>
      <x:c r="Y102" s="44" t="n">
        <x:v>22.085</x:v>
      </x:c>
      <x:c r="Z102" s="44" t="n">
        <x:v>17.31</x:v>
      </x:c>
      <x:c r="AA102" s="44" t="n">
        <x:v>10.4535</x:v>
      </x:c>
      <x:c r="AB102" s="44" t="n">
        <x:v>1.84</x:v>
      </x:c>
      <x:c r="AC102" s="44" t="n">
        <x:v>-1.2375</x:v>
      </x:c>
      <x:c r="AD102" s="44" t="n">
        <x:v>5.09</x:v>
      </x:c>
      <x:c r="AE102" s="44" t="n">
        <x:v>2.5</x:v>
      </x:c>
      <x:c r="AF102" s="44" t="n">
        <x:v>14.8935</x:v>
      </x:c>
      <x:c r="AG102" s="44" t="n">
        <x:v>6.265</x:v>
      </x:c>
      <x:c r="AH102" s="44" t="n">
        <x:v>9.39</x:v>
      </x:c>
      <x:c r="AI102" s="44" t="n">
        <x:v>1.56</x:v>
      </x:c>
      <x:c r="AJ102" s="44" t="n">
        <x:v>-1.605</x:v>
      </x:c>
      <x:c r="AK102" s="44" t="n">
        <x:v>1.01</x:v>
      </x:c>
      <x:c r="AL102" s="44" t="n">
        <x:v>0.36</x:v>
      </x:c>
      <x:c r="AM102" s="44" t="n">
        <x:v>0.26</x:v>
      </x:c>
      <x:c r="AN102" s="44" t="n">
        <x:v>0.24</x:v>
      </x:c>
      <x:c r="AO102" s="44" t="n">
        <x:v>-1.2188</x:v>
      </x:c>
      <x:c r="AP102" s="44" t="n">
        <x:v>0.9653</x:v>
      </x:c>
      <x:c r="AQ102" s="44" t="n">
        <x:v>0.9653</x:v>
      </x:c>
      <x:c r="AR102" s="44" t="n">
        <x:v>0.78</x:v>
      </x:c>
      <x:c r="AS102" s="44"/>
      <x:c r="AT102" s="44" t="n">
        <x:v>0.5393</x:v>
      </x:c>
      <x:c r="AU102" s="174" t="n">
        <x:v>1200</x:v>
      </x:c>
      <x:c r="AV102" s="43" t="str">
        <x:v>00:02:21.000</x:v>
      </x:c>
      <x:c r="AW102" s="43" t="str">
        <x:v>02:18–02:21</x:v>
      </x:c>
      <x:c r="AX102" s="43" t="str">
        <x:v>09_aweirdmind_t141.jpg</x:v>
      </x:c>
      <x:c r="AY102" s="43" t="str">
        <x:v>1000025098.mp4</x:v>
      </x:c>
      <x:c r="AZ102" s="44"/>
      <x:c r="BA102" s="175"/>
    </x:row>
    <x:row r="103" ht="18" customHeight="1">
      <x:c r="A103" s="43" t="str">
        <x:v>K170</x:v>
      </x:c>
      <x:c r="B103" s="43" t="str">
        <x:v>(AOT)Panda</x:v>
      </x:c>
      <x:c r="C103" s="43" t="str">
        <x:v>-2.6M</x:v>
      </x:c>
      <x:c r="D103" s="44" t="n">
        <x:v>3.5585</x:v>
      </x:c>
      <x:c r="E103" s="44" t="n">
        <x:v>2.9685</x:v>
      </x:c>
      <x:c r="F103" s="44" t="n">
        <x:v>3.4385</x:v>
      </x:c>
      <x:c r="G103" s="44" t="n">
        <x:v>0.415</x:v>
      </x:c>
      <x:c r="H103" s="44" t="n">
        <x:v>-0.4375</x:v>
      </x:c>
      <x:c r="I103" s="44" t="n">
        <x:v>4.214</x:v>
      </x:c>
      <x:c r="J103" s="44" t="n">
        <x:v>2.8356</x:v>
      </x:c>
      <x:c r="K103" s="44" t="n">
        <x:v>12.84</x:v>
      </x:c>
      <x:c r="L103" s="44" t="n">
        <x:v>17.57</x:v>
      </x:c>
      <x:c r="M103" s="44" t="n">
        <x:v>13.6749</x:v>
      </x:c>
      <x:c r="N103" s="44" t="n">
        <x:v>1.365</x:v>
      </x:c>
      <x:c r="O103" s="44" t="n">
        <x:v>-1.715</x:v>
      </x:c>
      <x:c r="P103" s="44" t="n">
        <x:v>2.54</x:v>
      </x:c>
      <x:c r="Q103" s="44" t="n">
        <x:v>7</x:v>
      </x:c>
      <x:c r="R103" s="44" t="n">
        <x:v>21.392</x:v>
      </x:c>
      <x:c r="S103" s="44" t="n">
        <x:v>15.157</x:v>
      </x:c>
      <x:c r="T103" s="44" t="n">
        <x:v>12.18</x:v>
      </x:c>
      <x:c r="U103" s="44" t="n">
        <x:v>1.6275</x:v>
      </x:c>
      <x:c r="V103" s="44" t="n">
        <x:v>-1.4275</x:v>
      </x:c>
      <x:c r="W103" s="44" t="n">
        <x:v>5.65</x:v>
      </x:c>
      <x:c r="X103" s="44" t="n">
        <x:v>3.33</x:v>
      </x:c>
      <x:c r="Y103" s="44" t="n">
        <x:v>18.665</x:v>
      </x:c>
      <x:c r="Z103" s="44" t="n">
        <x:v>16.0535</x:v>
      </x:c>
      <x:c r="AA103" s="44" t="n">
        <x:v>11.965</x:v>
      </x:c>
      <x:c r="AB103" s="44" t="n">
        <x:v>1.565</x:v>
      </x:c>
      <x:c r="AC103" s="44" t="n">
        <x:v>-1.4475</x:v>
      </x:c>
      <x:c r="AD103" s="44" t="n">
        <x:v>6.03</x:v>
      </x:c>
      <x:c r="AE103" s="44" t="n">
        <x:v>3.8</x:v>
      </x:c>
      <x:c r="AF103" s="44" t="n">
        <x:v>13.27</x:v>
      </x:c>
      <x:c r="AG103" s="44" t="n">
        <x:v>8.17</x:v>
      </x:c>
      <x:c r="AH103" s="44" t="n">
        <x:v>9.73</x:v>
      </x:c>
      <x:c r="AI103" s="44" t="n">
        <x:v>1.42</x:v>
      </x:c>
      <x:c r="AJ103" s="44" t="n">
        <x:v>-1.365</x:v>
      </x:c>
      <x:c r="AK103" s="44" t="n">
        <x:v>3.61</x:v>
      </x:c>
      <x:c r="AL103" s="44" t="n">
        <x:v>2.05</x:v>
      </x:c>
      <x:c r="AM103" s="44" t="n">
        <x:v>0.26</x:v>
      </x:c>
      <x:c r="AN103" s="44" t="n">
        <x:v>0.22</x:v>
      </x:c>
      <x:c r="AO103" s="44" t="n">
        <x:v>-1.2188</x:v>
      </x:c>
      <x:c r="AP103" s="44" t="n">
        <x:v>0.9653</x:v>
      </x:c>
      <x:c r="AQ103" s="44" t="n">
        <x:v>0.9653</x:v>
      </x:c>
      <x:c r="AR103" s="44" t="n">
        <x:v>0.78</x:v>
      </x:c>
      <x:c r="AS103" s="44"/>
      <x:c r="AT103" s="44" t="n">
        <x:v>0.5393</x:v>
      </x:c>
      <x:c r="AU103" s="174" t="n">
        <x:v>1200</x:v>
      </x:c>
      <x:c r="AV103" s="43" t="str">
        <x:v>00:02:32.000</x:v>
      </x:c>
      <x:c r="AW103" s="43" t="str">
        <x:v>02:30–02:32</x:v>
      </x:c>
      <x:c r="AX103" s="43" t="str">
        <x:v>10_Panda_t152.jpg</x:v>
      </x:c>
      <x:c r="AY103" s="43" t="str">
        <x:v>1000025098.mp4</x:v>
      </x:c>
      <x:c r="AZ103" s="44"/>
      <x:c r="BA103" s="175"/>
    </x:row>
    <x:row r="104" ht="18" customHeight="1">
      <x:c r="A104" s="43" t="str">
        <x:v>K170</x:v>
      </x:c>
      <x:c r="B104" s="43" t="str">
        <x:v>(AOT)StFruz</x:v>
      </x:c>
      <x:c r="C104" s="43" t="str">
        <x:v>-1.3M</x:v>
      </x:c>
      <x:c r="D104" s="44" t="n">
        <x:v>3.2501</x:v>
      </x:c>
      <x:c r="E104" s="44" t="n">
        <x:v>2.699</x:v>
      </x:c>
      <x:c r="F104" s="44" t="n">
        <x:v>3.159</x:v>
      </x:c>
      <x:c r="G104" s="44" t="n">
        <x:v>0.4375</x:v>
      </x:c>
      <x:c r="H104" s="44" t="n">
        <x:v>-0.4375</x:v>
      </x:c>
      <x:c r="I104" s="44" t="n">
        <x:v>2.1118</x:v>
      </x:c>
      <x:c r="J104" s="44" t="n">
        <x:v>6</x:v>
      </x:c>
      <x:c r="K104" s="44" t="n">
        <x:v>10.36</x:v>
      </x:c>
      <x:c r="L104" s="44" t="n">
        <x:v>16.62</x:v>
      </x:c>
      <x:c r="M104" s="44" t="n">
        <x:v>12.2249</x:v>
      </x:c>
      <x:c r="N104" s="44" t="n">
        <x:v>1.605</x:v>
      </x:c>
      <x:c r="O104" s="44" t="n">
        <x:v>-1.715</x:v>
      </x:c>
      <x:c r="P104" s="44" t="n">
        <x:v>1.62</x:v>
      </x:c>
      <x:c r="Q104" s="44" t="n">
        <x:v>4.04</x:v>
      </x:c>
      <x:c r="R104" s="44" t="n">
        <x:v>17.87</x:v>
      </x:c>
      <x:c r="S104" s="44" t="n">
        <x:v>13.24</x:v>
      </x:c>
      <x:c r="T104" s="44" t="n">
        <x:v>10.25</x:v>
      </x:c>
      <x:c r="U104" s="44" t="n">
        <x:v>1.845</x:v>
      </x:c>
      <x:c r="V104" s="44" t="n">
        <x:v>-1.4275</x:v>
      </x:c>
      <x:c r="W104" s="44" t="n">
        <x:v>5.75</x:v>
      </x:c>
      <x:c r="X104" s="44" t="n">
        <x:v>3.61</x:v>
      </x:c>
      <x:c r="Y104" s="44" t="n">
        <x:v>22.205</x:v>
      </x:c>
      <x:c r="Z104" s="44" t="n">
        <x:v>16.7</x:v>
      </x:c>
      <x:c r="AA104" s="44" t="n">
        <x:v>13.15</x:v>
      </x:c>
      <x:c r="AB104" s="44" t="n">
        <x:v>1.8875</x:v>
      </x:c>
      <x:c r="AC104" s="44" t="n">
        <x:v>-1.4475</x:v>
      </x:c>
      <x:c r="AD104" s="44" t="n">
        <x:v>5.32</x:v>
      </x:c>
      <x:c r="AE104" s="44" t="n">
        <x:v>3.33</x:v>
      </x:c>
      <x:c r="AF104" s="44" t="n">
        <x:v>20.025</x:v>
      </x:c>
      <x:c r="AG104" s="44" t="n">
        <x:v>14.847</x:v>
      </x:c>
      <x:c r="AH104" s="44" t="n">
        <x:v>14.102</x:v>
      </x:c>
      <x:c r="AI104" s="44" t="n">
        <x:v>1.6425</x:v>
      </x:c>
      <x:c r="AJ104" s="44" t="n">
        <x:v>-1.365</x:v>
      </x:c>
      <x:c r="AK104" s="44" t="n">
        <x:v>2.08</x:v>
      </x:c>
      <x:c r="AL104" s="44" t="n">
        <x:v>1.48</x:v>
      </x:c>
      <x:c r="AM104" s="44" t="n">
        <x:v>0.46</x:v>
      </x:c>
      <x:c r="AN104" s="44" t="n">
        <x:v>0.25</x:v>
      </x:c>
      <x:c r="AO104" s="44" t="n">
        <x:v>0</x:v>
      </x:c>
      <x:c r="AP104" s="44" t="n">
        <x:v>0.3227</x:v>
      </x:c>
      <x:c r="AQ104" s="44" t="n">
        <x:v>0.8564</x:v>
      </x:c>
      <x:c r="AR104" s="44" t="n">
        <x:v>0.8564</x:v>
      </x:c>
      <x:c r="AS104" s="44" t="n">
        <x:v>0.9653</x:v>
      </x:c>
      <x:c r="AT104" s="44" t="n">
        <x:v>0.8029</x:v>
      </x:c>
      <x:c r="AU104" s="174" t="n">
        <x:v>0</x:v>
      </x:c>
      <x:c r="AV104" s="43" t="str">
        <x:v>00:02:48.000</x:v>
      </x:c>
      <x:c r="AW104" s="43" t="str">
        <x:v>02:44–02:48</x:v>
      </x:c>
      <x:c r="AX104" s="43" t="str">
        <x:v>11_StFruz_t168.jpg</x:v>
      </x:c>
      <x:c r="AY104" s="43" t="str">
        <x:v>1000025098.mp4</x:v>
      </x:c>
      <x:c r="AZ104" s="44"/>
      <x:c r="BA104" s="175"/>
    </x:row>
    <x:row r="105" ht="18" customHeight="1">
      <x:c r="A105" s="43" t="str">
        <x:v>K170</x:v>
      </x:c>
      <x:c r="B105" s="43" t="str">
        <x:v>(AOT)WeleS</x:v>
      </x:c>
      <x:c r="C105" s="43" t="str">
        <x:v>-2.2M</x:v>
      </x:c>
      <x:c r="D105" s="44" t="n">
        <x:v>3.5685</x:v>
      </x:c>
      <x:c r="E105" s="44" t="n">
        <x:v>3.1185</x:v>
      </x:c>
      <x:c r="F105" s="44" t="n">
        <x:v>3.1885</x:v>
      </x:c>
      <x:c r="G105" s="44" t="n">
        <x:v>0.4375</x:v>
      </x:c>
      <x:c r="H105" s="44" t="n">
        <x:v>-0.4375</x:v>
      </x:c>
      <x:c r="I105" s="44" t="n">
        <x:v>5.6928</x:v>
      </x:c>
      <x:c r="J105" s="44" t="n">
        <x:v>3.5144</x:v>
      </x:c>
      <x:c r="K105" s="44" t="n">
        <x:v>8.197</x:v>
      </x:c>
      <x:c r="L105" s="44" t="n">
        <x:v>14.272</x:v>
      </x:c>
      <x:c r="M105" s="44" t="n">
        <x:v>13.5849</x:v>
      </x:c>
      <x:c r="N105" s="44" t="n">
        <x:v>1.4275</x:v>
      </x:c>
      <x:c r="O105" s="44" t="n">
        <x:v>-1.6525</x:v>
      </x:c>
      <x:c r="P105" s="44" t="n">
        <x:v>1.89</x:v>
      </x:c>
      <x:c r="Q105" s="44" t="n">
        <x:v>3.52</x:v>
      </x:c>
      <x:c r="R105" s="44" t="n">
        <x:v>22.192</x:v>
      </x:c>
      <x:c r="S105" s="44" t="n">
        <x:v>18.987</x:v>
      </x:c>
      <x:c r="T105" s="44" t="n">
        <x:v>11.4235</x:v>
      </x:c>
      <x:c r="U105" s="44" t="n">
        <x:v>1.4275</x:v>
      </x:c>
      <x:c r="V105" s="44" t="n">
        <x:v>-1.4275</x:v>
      </x:c>
      <x:c r="W105" s="44" t="n">
        <x:v>1.99</x:v>
      </x:c>
      <x:c r="X105" s="44" t="n">
        <x:v>1.55</x:v>
      </x:c>
      <x:c r="Y105" s="44" t="n">
        <x:v>22.7985</x:v>
      </x:c>
      <x:c r="Z105" s="44" t="n">
        <x:v>18.0135</x:v>
      </x:c>
      <x:c r="AA105" s="44" t="n">
        <x:v>10.075</x:v>
      </x:c>
      <x:c r="AB105" s="44" t="n">
        <x:v>1.735</x:v>
      </x:c>
      <x:c r="AC105" s="44" t="n">
        <x:v>-1.4475</x:v>
      </x:c>
      <x:c r="AD105" s="44" t="n">
        <x:v>6.08</x:v>
      </x:c>
      <x:c r="AE105" s="44" t="n">
        <x:v>3.58</x:v>
      </x:c>
      <x:c r="AF105" s="44" t="n">
        <x:v>14.53</x:v>
      </x:c>
      <x:c r="AG105" s="44" t="n">
        <x:v>6.31</x:v>
      </x:c>
      <x:c r="AH105" s="44" t="n">
        <x:v>11.99</x:v>
      </x:c>
      <x:c r="AI105" s="44" t="n">
        <x:v>1.485</x:v>
      </x:c>
      <x:c r="AJ105" s="44" t="n">
        <x:v>-1.365</x:v>
      </x:c>
      <x:c r="AK105" s="44" t="n">
        <x:v>4.07</x:v>
      </x:c>
      <x:c r="AL105" s="44" t="n">
        <x:v>2.56</x:v>
      </x:c>
      <x:c r="AM105" s="44" t="n">
        <x:v>0.26</x:v>
      </x:c>
      <x:c r="AN105" s="44" t="n">
        <x:v>0.245</x:v>
      </x:c>
      <x:c r="AO105" s="44" t="n">
        <x:v>-1.2188</x:v>
      </x:c>
      <x:c r="AP105" s="44" t="n">
        <x:v>0.9653</x:v>
      </x:c>
      <x:c r="AQ105" s="44" t="n">
        <x:v>0.9653</x:v>
      </x:c>
      <x:c r="AR105" s="44" t="n">
        <x:v>0.78</x:v>
      </x:c>
      <x:c r="AS105" s="44"/>
      <x:c r="AT105" s="44" t="n">
        <x:v>0.5393</x:v>
      </x:c>
      <x:c r="AU105" s="174" t="n">
        <x:v>1200</x:v>
      </x:c>
      <x:c r="AV105" s="43" t="str">
        <x:v>00:03:00.000</x:v>
      </x:c>
      <x:c r="AW105" s="43" t="str">
        <x:v>02:57–03:00</x:v>
      </x:c>
      <x:c r="AX105" s="43" t="str">
        <x:v>12_WeleS_t180.jpg</x:v>
      </x:c>
      <x:c r="AY105" s="43" t="str">
        <x:v>1000025098.mp4</x:v>
      </x:c>
      <x:c r="AZ105" s="44"/>
      <x:c r="BA105" s="175"/>
    </x:row>
    <x:row r="106" ht="18" customHeight="1">
      <x:c r="A106" s="43" t="str">
        <x:v>K170</x:v>
      </x:c>
      <x:c r="B106" s="43" t="str">
        <x:v>(AOT)Doctopussy</x:v>
      </x:c>
      <x:c r="C106" s="43" t="str">
        <x:v>-4.2M</x:v>
      </x:c>
      <x:c r="D106" s="44" t="n">
        <x:v>3.1835</x:v>
      </x:c>
      <x:c r="E106" s="44" t="n">
        <x:v>2.611</x:v>
      </x:c>
      <x:c r="F106" s="44" t="n">
        <x:v>3.026</x:v>
      </x:c>
      <x:c r="G106" s="44" t="n">
        <x:v>0.4375</x:v>
      </x:c>
      <x:c r="H106" s="44" t="n">
        <x:v>-0.415</x:v>
      </x:c>
      <x:c r="I106" s="44" t="n">
        <x:v>4.8572</x:v>
      </x:c>
      <x:c r="J106" s="44" t="n">
        <x:v>4.3996</x:v>
      </x:c>
      <x:c r="K106" s="44" t="n">
        <x:v>6.022</x:v>
      </x:c>
      <x:c r="L106" s="44" t="n">
        <x:v>10.4557</x:v>
      </x:c>
      <x:c r="M106" s="44" t="n">
        <x:v>13.2212</x:v>
      </x:c>
      <x:c r="N106" s="44" t="n">
        <x:v>0.49</x:v>
      </x:c>
      <x:c r="O106" s="44" t="n">
        <x:v>-0.7375</x:v>
      </x:c>
      <x:c r="P106" s="44" t="n">
        <x:v>1.22</x:v>
      </x:c>
      <x:c r="Q106" s="44" t="n">
        <x:v>5.19</x:v>
      </x:c>
      <x:c r="R106" s="44" t="n">
        <x:v>23.1455</x:v>
      </x:c>
      <x:c r="S106" s="44" t="n">
        <x:v>16.747</x:v>
      </x:c>
      <x:c r="T106" s="44" t="n">
        <x:v>6.1</x:v>
      </x:c>
      <x:c r="U106" s="44" t="n">
        <x:v>1.7175</x:v>
      </x:c>
      <x:c r="V106" s="44" t="n">
        <x:v>-1.285</x:v>
      </x:c>
      <x:c r="W106" s="44" t="n">
        <x:v>3.01</x:v>
      </x:c>
      <x:c r="X106" s="44" t="n">
        <x:v>1.31</x:v>
      </x:c>
      <x:c r="Y106" s="44" t="n">
        <x:v>21.525</x:v>
      </x:c>
      <x:c r="Z106" s="44" t="n">
        <x:v>16.9935</x:v>
      </x:c>
      <x:c r="AA106" s="44" t="n">
        <x:v>13.3435</x:v>
      </x:c>
      <x:c r="AB106" s="44" t="n">
        <x:v>1.8025</x:v>
      </x:c>
      <x:c r="AC106" s="44" t="n">
        <x:v>-1.3675</x:v>
      </x:c>
      <x:c r="AD106" s="44" t="n">
        <x:v>6.03</x:v>
      </x:c>
      <x:c r="AE106" s="44" t="n">
        <x:v>3.12</x:v>
      </x:c>
      <x:c r="AF106" s="44" t="n">
        <x:v>13.365</x:v>
      </x:c>
      <x:c r="AG106" s="44" t="n">
        <x:v>5.74</x:v>
      </x:c>
      <x:c r="AH106" s="44" t="n">
        <x:v>10.615</x:v>
      </x:c>
      <x:c r="AI106" s="44" t="n">
        <x:v>1.505</x:v>
      </x:c>
      <x:c r="AJ106" s="44" t="n">
        <x:v>-1.285</x:v>
      </x:c>
      <x:c r="AK106" s="44" t="n">
        <x:v>1.31</x:v>
      </x:c>
      <x:c r="AL106" s="44" t="n">
        <x:v>0.68</x:v>
      </x:c>
      <x:c r="AM106" s="44" t="n">
        <x:v>0.26</x:v>
      </x:c>
      <x:c r="AN106" s="44" t="n">
        <x:v>0.245</x:v>
      </x:c>
      <x:c r="AO106" s="44" t="n">
        <x:v>-1.2188</x:v>
      </x:c>
      <x:c r="AP106" s="44" t="n">
        <x:v>0.9653</x:v>
      </x:c>
      <x:c r="AQ106" s="44" t="n">
        <x:v>0.9653</x:v>
      </x:c>
      <x:c r="AR106" s="44" t="n">
        <x:v>0.78</x:v>
      </x:c>
      <x:c r="AS106" s="44"/>
      <x:c r="AT106" s="44" t="n">
        <x:v>0.5393</x:v>
      </x:c>
      <x:c r="AU106" s="174" t="n">
        <x:v>1200</x:v>
      </x:c>
      <x:c r="AV106" s="43" t="str">
        <x:v>00:03:15.000</x:v>
      </x:c>
      <x:c r="AW106" s="43" t="str">
        <x:v>03:13–03:15</x:v>
      </x:c>
      <x:c r="AX106" s="43" t="str">
        <x:v>13_Doctopussy_t195.jpg</x:v>
      </x:c>
      <x:c r="AY106" s="43" t="str">
        <x:v>1000025098.mp4</x:v>
      </x:c>
      <x:c r="AZ106" s="44"/>
      <x:c r="BA106" s="175"/>
    </x:row>
    <x:row r="107" ht="18" customHeight="1">
      <x:c r="A107" s="43" t="str">
        <x:v>K170</x:v>
      </x:c>
      <x:c r="B107" s="43" t="str">
        <x:v>(AOT)SugarDADDY</x:v>
      </x:c>
      <x:c r="C107" s="43" t="str">
        <x:v>-572.4K</x:v>
      </x:c>
      <x:c r="D107" s="44" t="n">
        <x:v>3.4335</x:v>
      </x:c>
      <x:c r="E107" s="44" t="n">
        <x:v>3.071</x:v>
      </x:c>
      <x:c r="F107" s="44" t="n">
        <x:v>3.651</x:v>
      </x:c>
      <x:c r="G107" s="44" t="n">
        <x:v>0.4375</x:v>
      </x:c>
      <x:c r="H107" s="44" t="n">
        <x:v>-0.415</x:v>
      </x:c>
      <x:c r="I107" s="44" t="n">
        <x:v>3.4672</x:v>
      </x:c>
      <x:c r="J107" s="44" t="n">
        <x:v>3.044</x:v>
      </x:c>
      <x:c r="K107" s="44" t="n">
        <x:v>7.887</x:v>
      </x:c>
      <x:c r="L107" s="44" t="n">
        <x:v>12.0899</x:v>
      </x:c>
      <x:c r="M107" s="44" t="n">
        <x:v>13.087</x:v>
      </x:c>
      <x:c r="N107" s="44" t="n">
        <x:v>1.385</x:v>
      </x:c>
      <x:c r="O107" s="44" t="n">
        <x:v>-1.565</x:v>
      </x:c>
      <x:c r="P107" s="44" t="n">
        <x:v>1.66</x:v>
      </x:c>
      <x:c r="Q107" s="44" t="n">
        <x:v>5.32</x:v>
      </x:c>
      <x:c r="R107" s="44" t="n">
        <x:v>25.4205</x:v>
      </x:c>
      <x:c r="S107" s="44" t="n">
        <x:v>15.95</x:v>
      </x:c>
      <x:c r="T107" s="44" t="n">
        <x:v>12.127</x:v>
      </x:c>
      <x:c r="U107" s="44" t="n">
        <x:v>1.6525</x:v>
      </x:c>
      <x:c r="V107" s="44" t="n">
        <x:v>-1.43</x:v>
      </x:c>
      <x:c r="W107" s="44" t="n">
        <x:v>5.98</x:v>
      </x:c>
      <x:c r="X107" s="44" t="n">
        <x:v>3.55</x:v>
      </x:c>
      <x:c r="Y107" s="44" t="n">
        <x:v>18.125</x:v>
      </x:c>
      <x:c r="Z107" s="44" t="n">
        <x:v>12.585</x:v>
      </x:c>
      <x:c r="AA107" s="44" t="n">
        <x:v>9.4185</x:v>
      </x:c>
      <x:c r="AB107" s="44" t="n">
        <x:v>1.465</x:v>
      </x:c>
      <x:c r="AC107" s="44" t="n">
        <x:v>-1.345</x:v>
      </x:c>
      <x:c r="AD107" s="44" t="n">
        <x:v>2</x:v>
      </x:c>
      <x:c r="AE107" s="44" t="n">
        <x:v>1.55</x:v>
      </x:c>
      <x:c r="AF107" s="44" t="n">
        <x:v>17.9635</x:v>
      </x:c>
      <x:c r="AG107" s="44" t="n">
        <x:v>7.28</x:v>
      </x:c>
      <x:c r="AH107" s="44" t="n">
        <x:v>13.31</x:v>
      </x:c>
      <x:c r="AI107" s="44" t="n">
        <x:v>1.5275</x:v>
      </x:c>
      <x:c r="AJ107" s="44" t="n">
        <x:v>-1.3475</x:v>
      </x:c>
      <x:c r="AK107" s="44" t="n">
        <x:v>4.81</x:v>
      </x:c>
      <x:c r="AL107" s="44" t="n">
        <x:v>1.96</x:v>
      </x:c>
      <x:c r="AM107" s="44" t="n">
        <x:v>0.26</x:v>
      </x:c>
      <x:c r="AN107" s="44" t="n">
        <x:v>0.225</x:v>
      </x:c>
      <x:c r="AO107" s="44" t="n">
        <x:v>-1.2188</x:v>
      </x:c>
      <x:c r="AP107" s="44" t="n">
        <x:v>0.9653</x:v>
      </x:c>
      <x:c r="AQ107" s="44" t="n">
        <x:v>0.9653</x:v>
      </x:c>
      <x:c r="AR107" s="44" t="n">
        <x:v>0.78</x:v>
      </x:c>
      <x:c r="AS107" s="44"/>
      <x:c r="AT107" s="44" t="n">
        <x:v>0.5393</x:v>
      </x:c>
      <x:c r="AU107" s="174" t="n">
        <x:v>1200</x:v>
      </x:c>
      <x:c r="AV107" s="43" t="str">
        <x:v>00:03:26.000</x:v>
      </x:c>
      <x:c r="AW107" s="43" t="str">
        <x:v>03:25–03:26</x:v>
      </x:c>
      <x:c r="AX107" s="43" t="str">
        <x:v>14_SugarDADDY_t206.jpg</x:v>
      </x:c>
      <x:c r="AY107" s="43" t="str">
        <x:v>1000025098.mp4</x:v>
      </x:c>
      <x:c r="AZ107" s="44"/>
      <x:c r="BA107" s="175"/>
    </x:row>
    <x:row r="108" ht="18" customHeight="1">
      <x:c r="A108" s="43" t="str">
        <x:v>K170</x:v>
      </x:c>
      <x:c r="B108" s="43" t="str">
        <x:v>(AOT)MONKEY</x:v>
      </x:c>
      <x:c r="C108" s="43" t="str">
        <x:v>-2.0M</x:v>
      </x:c>
      <x:c r="D108" s="44" t="n">
        <x:v>3.7346</x:v>
      </x:c>
      <x:c r="E108" s="44" t="n">
        <x:v>2.656</x:v>
      </x:c>
      <x:c r="F108" s="44" t="n">
        <x:v>2.821</x:v>
      </x:c>
      <x:c r="G108" s="44" t="n">
        <x:v>0.4375</x:v>
      </x:c>
      <x:c r="H108" s="44" t="n">
        <x:v>-0.415</x:v>
      </x:c>
      <x:c r="I108" s="44" t="n">
        <x:v>2.9344</x:v>
      </x:c>
      <x:c r="J108" s="44" t="n">
        <x:v>1.974</x:v>
      </x:c>
      <x:c r="K108" s="44" t="n">
        <x:v>8.847</x:v>
      </x:c>
      <x:c r="L108" s="44" t="n">
        <x:v>13.7262</x:v>
      </x:c>
      <x:c r="M108" s="44" t="n">
        <x:v>10.9742</x:v>
      </x:c>
      <x:c r="N108" s="44" t="n">
        <x:v>1.4275</x:v>
      </x:c>
      <x:c r="O108" s="44" t="n">
        <x:v>-1.545</x:v>
      </x:c>
      <x:c r="P108" s="44" t="n">
        <x:v>1.91</x:v>
      </x:c>
      <x:c r="Q108" s="44" t="n">
        <x:v>2.52</x:v>
      </x:c>
      <x:c r="R108" s="44" t="n">
        <x:v>17.202</x:v>
      </x:c>
      <x:c r="S108" s="44" t="n">
        <x:v>14.352</x:v>
      </x:c>
      <x:c r="T108" s="44" t="n">
        <x:v>9.4835</x:v>
      </x:c>
      <x:c r="U108" s="44" t="n">
        <x:v>1.59</x:v>
      </x:c>
      <x:c r="V108" s="44" t="n">
        <x:v>-1.3775</x:v>
      </x:c>
      <x:c r="W108" s="44" t="n">
        <x:v>2.07</x:v>
      </x:c>
      <x:c r="X108" s="44" t="n">
        <x:v>1.94</x:v>
      </x:c>
      <x:c r="Y108" s="44" t="n">
        <x:v>20.2185</x:v>
      </x:c>
      <x:c r="Z108" s="44" t="n">
        <x:v>13.9335</x:v>
      </x:c>
      <x:c r="AA108" s="44" t="n">
        <x:v>6.36</x:v>
      </x:c>
      <x:c r="AB108" s="44" t="n">
        <x:v>1.745</x:v>
      </x:c>
      <x:c r="AC108" s="44" t="n">
        <x:v>-1.4575</x:v>
      </x:c>
      <x:c r="AD108" s="44" t="n">
        <x:v>3.94</x:v>
      </x:c>
      <x:c r="AE108" s="44" t="n">
        <x:v>1.82</x:v>
      </x:c>
      <x:c r="AF108" s="44" t="n">
        <x:v>10.697</x:v>
      </x:c>
      <x:c r="AG108" s="44" t="n">
        <x:v>7.827</x:v>
      </x:c>
      <x:c r="AH108" s="44" t="n">
        <x:v>5.86</x:v>
      </x:c>
      <x:c r="AI108" s="44" t="n">
        <x:v>1.465</x:v>
      </x:c>
      <x:c r="AJ108" s="44" t="n">
        <x:v>-1.305</x:v>
      </x:c>
      <x:c r="AK108" s="44" t="n">
        <x:v>1.18</x:v>
      </x:c>
      <x:c r="AL108" s="44" t="n">
        <x:v>0.96</x:v>
      </x:c>
      <x:c r="AM108" s="44" t="n">
        <x:v>0.26</x:v>
      </x:c>
      <x:c r="AN108" s="44" t="n">
        <x:v>0.215</x:v>
      </x:c>
      <x:c r="AO108" s="44" t="n">
        <x:v>-1.2188</x:v>
      </x:c>
      <x:c r="AP108" s="44" t="n">
        <x:v>0.9653</x:v>
      </x:c>
      <x:c r="AQ108" s="44" t="n">
        <x:v>0.9653</x:v>
      </x:c>
      <x:c r="AR108" s="44" t="n">
        <x:v>0.78</x:v>
      </x:c>
      <x:c r="AS108" s="44"/>
      <x:c r="AT108" s="44" t="n">
        <x:v>0.5393</x:v>
      </x:c>
      <x:c r="AU108" s="174" t="n">
        <x:v>1200</x:v>
      </x:c>
      <x:c r="AV108" s="43" t="str">
        <x:v>00:03:37.000</x:v>
      </x:c>
      <x:c r="AW108" s="43" t="str">
        <x:v>03:34–03:37</x:v>
      </x:c>
      <x:c r="AX108" s="43" t="str">
        <x:v>15_MONKEY_t217.jpg</x:v>
      </x:c>
      <x:c r="AY108" s="43" t="str">
        <x:v>1000025098.mp4</x:v>
      </x:c>
      <x:c r="AZ108" s="44"/>
      <x:c r="BA108" s="175"/>
    </x:row>
    <x:row r="109" ht="18" customHeight="1">
      <x:c r="A109" s="43" t="str">
        <x:v>K170</x:v>
      </x:c>
      <x:c r="B109" s="43" t="str">
        <x:v>(AOT)Paian</x:v>
      </x:c>
      <x:c r="C109" s="43" t="str">
        <x:v>-2.3M</x:v>
      </x:c>
      <x:c r="D109" s="44" t="n">
        <x:v>2.826</x:v>
      </x:c>
      <x:c r="E109" s="44" t="n">
        <x:v>1.49</x:v>
      </x:c>
      <x:c r="F109" s="44" t="n">
        <x:v>1.785</x:v>
      </x:c>
      <x:c r="G109" s="44" t="n">
        <x:v>0.415</x:v>
      </x:c>
      <x:c r="H109" s="44" t="n">
        <x:v>-0.01</x:v>
      </x:c>
      <x:c r="I109" s="44" t="n">
        <x:v>4.8692</x:v>
      </x:c>
      <x:c r="J109" s="44" t="n">
        <x:v>0.1292</x:v>
      </x:c>
      <x:c r="K109" s="44" t="n">
        <x:v>9.307</x:v>
      </x:c>
      <x:c r="L109" s="44" t="n">
        <x:v>10.322</x:v>
      </x:c>
      <x:c r="M109" s="44" t="n">
        <x:v>8.1499</x:v>
      </x:c>
      <x:c r="N109" s="44" t="n">
        <x:v>0.41</x:v>
      </x:c>
      <x:c r="O109" s="44" t="n">
        <x:v>-0.45</x:v>
      </x:c>
      <x:c r="P109" s="44" t="n">
        <x:v>1.44</x:v>
      </x:c>
      <x:c r="Q109" s="44" t="n">
        <x:v>3.15</x:v>
      </x:c>
      <x:c r="R109" s="44" t="n">
        <x:v>18.357</x:v>
      </x:c>
      <x:c r="S109" s="44" t="n">
        <x:v>15.362</x:v>
      </x:c>
      <x:c r="T109" s="44" t="n">
        <x:v>8.3135</x:v>
      </x:c>
      <x:c r="U109" s="44" t="n">
        <x:v>1.39</x:v>
      </x:c>
      <x:c r="V109" s="44" t="n">
        <x:v>-1.165</x:v>
      </x:c>
      <x:c r="W109" s="44" t="n">
        <x:v>1.4</x:v>
      </x:c>
      <x:c r="X109" s="44" t="n">
        <x:v>1.09</x:v>
      </x:c>
      <x:c r="Y109" s="44" t="n">
        <x:v>17.8285</x:v>
      </x:c>
      <x:c r="Z109" s="44" t="n">
        <x:v>11.4335</x:v>
      </x:c>
      <x:c r="AA109" s="44" t="n">
        <x:v>5.765</x:v>
      </x:c>
      <x:c r="AB109" s="44" t="n">
        <x:v>1.485</x:v>
      </x:c>
      <x:c r="AC109" s="44" t="n">
        <x:v>-1.215</x:v>
      </x:c>
      <x:c r="AD109" s="44" t="n">
        <x:v>3.81</x:v>
      </x:c>
      <x:c r="AE109" s="44" t="n">
        <x:v>2.54</x:v>
      </x:c>
      <x:c r="AF109" s="44" t="n">
        <x:v>11.78</x:v>
      </x:c>
      <x:c r="AG109" s="44" t="n">
        <x:v>2.655</x:v>
      </x:c>
      <x:c r="AH109" s="44" t="n">
        <x:v>7.055</x:v>
      </x:c>
      <x:c r="AI109" s="44" t="n">
        <x:v>0.435</x:v>
      </x:c>
      <x:c r="AJ109" s="44" t="n">
        <x:v>-0.27</x:v>
      </x:c>
      <x:c r="AK109" s="44" t="n">
        <x:v>0.89</x:v>
      </x:c>
      <x:c r="AL109" s="44" t="n">
        <x:v>0.69</x:v>
      </x:c>
      <x:c r="AM109" s="44" t="n">
        <x:v>0.26</x:v>
      </x:c>
      <x:c r="AN109" s="44" t="n">
        <x:v>0.205</x:v>
      </x:c>
      <x:c r="AO109" s="44" t="n">
        <x:v>-1.2188</x:v>
      </x:c>
      <x:c r="AP109" s="44" t="n">
        <x:v>0.9653</x:v>
      </x:c>
      <x:c r="AQ109" s="44" t="n">
        <x:v>0.9653</x:v>
      </x:c>
      <x:c r="AR109" s="44" t="n">
        <x:v>0.78</x:v>
      </x:c>
      <x:c r="AS109" s="44"/>
      <x:c r="AT109" s="44" t="n">
        <x:v>0.5393</x:v>
      </x:c>
      <x:c r="AU109" s="174" t="n">
        <x:v>1200</x:v>
      </x:c>
      <x:c r="AV109" s="43" t="str">
        <x:v>00:03:47.000</x:v>
      </x:c>
      <x:c r="AW109" s="43" t="str">
        <x:v>03:44–03:47</x:v>
      </x:c>
      <x:c r="AX109" s="43" t="str">
        <x:v>16_Paian_t227.jpg</x:v>
      </x:c>
      <x:c r="AY109" s="43" t="str">
        <x:v>1000025098.mp4</x:v>
      </x:c>
      <x:c r="AZ109" s="44"/>
      <x:c r="BA109" s="175"/>
    </x:row>
    <x:row r="110" ht="18" customHeight="1">
      <x:c r="A110" s="43" t="str">
        <x:v>K170</x:v>
      </x:c>
      <x:c r="B110" s="43" t="str">
        <x:v>(AOT)Matis</x:v>
      </x:c>
      <x:c r="C110" s="43" t="str">
        <x:v>-2.0M</x:v>
      </x:c>
      <x:c r="D110" s="44" t="n">
        <x:v>3.026</x:v>
      </x:c>
      <x:c r="E110" s="44" t="n">
        <x:v>2.426</x:v>
      </x:c>
      <x:c r="F110" s="44" t="n">
        <x:v>2.721</x:v>
      </x:c>
      <x:c r="G110" s="44" t="n">
        <x:v>0.415</x:v>
      </x:c>
      <x:c r="H110" s="44" t="n">
        <x:v>-0.415</x:v>
      </x:c>
      <x:c r="I110" s="44" t="n">
        <x:v>4.2078</x:v>
      </x:c>
      <x:c r="J110" s="44" t="n">
        <x:v>0.8858</x:v>
      </x:c>
      <x:c r="K110" s="44" t="n">
        <x:v>6.35</x:v>
      </x:c>
      <x:c r="L110" s="44" t="n">
        <x:v>10.2457</x:v>
      </x:c>
      <x:c r="M110" s="44" t="n">
        <x:v>13.2042</x:v>
      </x:c>
      <x:c r="N110" s="44" t="n">
        <x:v>0.5525</x:v>
      </x:c>
      <x:c r="O110" s="44" t="n">
        <x:v>-0.71</x:v>
      </x:c>
      <x:c r="P110" s="44" t="n">
        <x:v>1.28</x:v>
      </x:c>
      <x:c r="Q110" s="44" t="n">
        <x:v>2.67</x:v>
      </x:c>
      <x:c r="R110" s="44" t="n">
        <x:v>20.292</x:v>
      </x:c>
      <x:c r="S110" s="44" t="n">
        <x:v>13.512</x:v>
      </x:c>
      <x:c r="T110" s="44" t="n">
        <x:v>8.22</x:v>
      </x:c>
      <x:c r="U110" s="44" t="n">
        <x:v>1.5425</x:v>
      </x:c>
      <x:c r="V110" s="44" t="n">
        <x:v>-1.285</x:v>
      </x:c>
      <x:c r="W110" s="44" t="n">
        <x:v>2.29</x:v>
      </x:c>
      <x:c r="X110" s="44" t="n">
        <x:v>1.68</x:v>
      </x:c>
      <x:c r="Y110" s="44" t="n">
        <x:v>20.045</x:v>
      </x:c>
      <x:c r="Z110" s="44" t="n">
        <x:v>16.2785</x:v>
      </x:c>
      <x:c r="AA110" s="44" t="n">
        <x:v>11.555</x:v>
      </x:c>
      <x:c r="AB110" s="44" t="n">
        <x:v>1.6275</x:v>
      </x:c>
      <x:c r="AC110" s="44" t="n">
        <x:v>-1.4475</x:v>
      </x:c>
      <x:c r="AD110" s="44" t="n">
        <x:v>4.02</x:v>
      </x:c>
      <x:c r="AE110" s="44" t="n">
        <x:v>1.94</x:v>
      </x:c>
      <x:c r="AF110" s="44" t="n">
        <x:v>11.65</x:v>
      </x:c>
      <x:c r="AG110" s="44" t="n">
        <x:v>5.89</x:v>
      </x:c>
      <x:c r="AH110" s="44" t="n">
        <x:v>9.68</x:v>
      </x:c>
      <x:c r="AI110" s="44" t="n">
        <x:v>1.37</x:v>
      </x:c>
      <x:c r="AJ110" s="44" t="n">
        <x:v>-1.285</x:v>
      </x:c>
      <x:c r="AK110" s="44" t="n">
        <x:v>0.8</x:v>
      </x:c>
      <x:c r="AL110" s="44" t="n">
        <x:v>0.52</x:v>
      </x:c>
      <x:c r="AM110" s="44" t="n">
        <x:v>0.26</x:v>
      </x:c>
      <x:c r="AN110" s="44" t="n">
        <x:v>0.22</x:v>
      </x:c>
      <x:c r="AO110" s="44" t="n">
        <x:v>-1.2188</x:v>
      </x:c>
      <x:c r="AP110" s="44" t="n">
        <x:v>0.9653</x:v>
      </x:c>
      <x:c r="AQ110" s="44" t="n">
        <x:v>0.9653</x:v>
      </x:c>
      <x:c r="AR110" s="44" t="n">
        <x:v>0.78</x:v>
      </x:c>
      <x:c r="AS110" s="44"/>
      <x:c r="AT110" s="44" t="n">
        <x:v>0.5393</x:v>
      </x:c>
      <x:c r="AU110" s="174" t="n">
        <x:v>1200</x:v>
      </x:c>
      <x:c r="AV110" s="43" t="str">
        <x:v>00:03:58.000</x:v>
      </x:c>
      <x:c r="AW110" s="43" t="str">
        <x:v>03:56–03:58</x:v>
      </x:c>
      <x:c r="AX110" s="43" t="str">
        <x:v>17_Matis_t238.jpg</x:v>
      </x:c>
      <x:c r="AY110" s="43" t="str">
        <x:v>1000025098.mp4</x:v>
      </x:c>
      <x:c r="AZ110" s="44"/>
      <x:c r="BA110" s="175"/>
    </x:row>
    <x:row r="111" ht="18" customHeight="1">
      <x:c r="A111" s="43" t="str">
        <x:v>K170</x:v>
      </x:c>
      <x:c r="B111" s="43" t="str">
        <x:v>(AOT)BAT</x:v>
      </x:c>
      <x:c r="C111" s="43" t="str">
        <x:v>-2.8M</x:v>
      </x:c>
      <x:c r="D111" s="44" t="n">
        <x:v>3.146</x:v>
      </x:c>
      <x:c r="E111" s="44" t="n">
        <x:v>2.566</x:v>
      </x:c>
      <x:c r="F111" s="44" t="n">
        <x:v>2.916</x:v>
      </x:c>
      <x:c r="G111" s="44" t="n">
        <x:v>0.415</x:v>
      </x:c>
      <x:c r="H111" s="44" t="n">
        <x:v>-0.415</x:v>
      </x:c>
      <x:c r="I111" s="44" t="n">
        <x:v>2.8376</x:v>
      </x:c>
      <x:c r="J111" s="44" t="n">
        <x:v>2.4372</x:v>
      </x:c>
      <x:c r="K111" s="44" t="n">
        <x:v>6.967</x:v>
      </x:c>
      <x:c r="L111" s="44" t="n">
        <x:v>10.2242</x:v>
      </x:c>
      <x:c r="M111" s="44" t="n">
        <x:v>16.0512</x:v>
      </x:c>
      <x:c r="N111" s="44" t="n">
        <x:v>1.325</x:v>
      </x:c>
      <x:c r="O111" s="44" t="n">
        <x:v>-1.4875</x:v>
      </x:c>
      <x:c r="P111" s="44" t="n">
        <x:v>0.83</x:v>
      </x:c>
      <x:c r="Q111" s="44" t="n">
        <x:v>3.03</x:v>
      </x:c>
      <x:c r="R111" s="44" t="n">
        <x:v>22.4855</x:v>
      </x:c>
      <x:c r="S111" s="44" t="n">
        <x:v>18.1705</x:v>
      </x:c>
      <x:c r="T111" s="44" t="n">
        <x:v>8.12</x:v>
      </x:c>
      <x:c r="U111" s="44" t="n">
        <x:v>1.5475</x:v>
      </x:c>
      <x:c r="V111" s="44" t="n">
        <x:v>-1.385</x:v>
      </x:c>
      <x:c r="W111" s="44" t="n">
        <x:v>4.62</x:v>
      </x:c>
      <x:c r="X111" s="44" t="n">
        <x:v>2.51</x:v>
      </x:c>
      <x:c r="Y111" s="44" t="n">
        <x:v>11.582</x:v>
      </x:c>
      <x:c r="Z111" s="44" t="n">
        <x:v>7.3305</x:v>
      </x:c>
      <x:c r="AA111" s="44" t="n">
        <x:v>7.7885</x:v>
      </x:c>
      <x:c r="AB111" s="44" t="n">
        <x:v>1.505</x:v>
      </x:c>
      <x:c r="AC111" s="44" t="n">
        <x:v>-1.265</x:v>
      </x:c>
      <x:c r="AD111" s="44" t="n">
        <x:v>1.51</x:v>
      </x:c>
      <x:c r="AE111" s="44" t="n">
        <x:v>0.72</x:v>
      </x:c>
      <x:c r="AF111" s="44" t="n">
        <x:v>8.435</x:v>
      </x:c>
      <x:c r="AG111" s="44" t="n">
        <x:v>3.96</x:v>
      </x:c>
      <x:c r="AH111" s="44" t="n">
        <x:v>8.96</x:v>
      </x:c>
      <x:c r="AI111" s="44" t="n">
        <x:v>0.47</x:v>
      </x:c>
      <x:c r="AJ111" s="44" t="n">
        <x:v>-0.39</x:v>
      </x:c>
      <x:c r="AK111" s="44" t="n">
        <x:v>0.96</x:v>
      </x:c>
      <x:c r="AL111" s="44" t="n">
        <x:v>0.68</x:v>
      </x:c>
      <x:c r="AM111" s="44" t="n">
        <x:v>0.26</x:v>
      </x:c>
      <x:c r="AN111" s="44" t="n">
        <x:v>0.22</x:v>
      </x:c>
      <x:c r="AO111" s="44" t="n">
        <x:v>-1.2188</x:v>
      </x:c>
      <x:c r="AP111" s="44" t="n">
        <x:v>0.9653</x:v>
      </x:c>
      <x:c r="AQ111" s="44" t="n">
        <x:v>0.9653</x:v>
      </x:c>
      <x:c r="AR111" s="44" t="n">
        <x:v>0.78</x:v>
      </x:c>
      <x:c r="AS111" s="44"/>
      <x:c r="AT111" s="44" t="n">
        <x:v>0.5393</x:v>
      </x:c>
      <x:c r="AU111" s="174" t="n">
        <x:v>1200</x:v>
      </x:c>
      <x:c r="AV111" s="43" t="str">
        <x:v>00:04:12.000</x:v>
      </x:c>
      <x:c r="AW111" s="43" t="str">
        <x:v>04:09–04:12</x:v>
      </x:c>
      <x:c r="AX111" s="43" t="str">
        <x:v>18_BAT_t252.jpg</x:v>
      </x:c>
      <x:c r="AY111" s="43" t="str">
        <x:v>1000025098.mp4</x:v>
      </x:c>
      <x:c r="AZ111" s="44"/>
      <x:c r="BA111" s="175"/>
    </x:row>
    <x:row r="112" ht="18" customHeight="1">
      <x:c r="A112" s="43" t="str">
        <x:v>K170</x:v>
      </x:c>
      <x:c r="B112" s="43" t="str">
        <x:v>(AOT)金木研_254</x:v>
      </x:c>
      <x:c r="C112" s="43" t="str">
        <x:v>-2.5M</x:v>
      </x:c>
      <x:c r="D112" s="44" t="n">
        <x:v>2.721</x:v>
      </x:c>
      <x:c r="E112" s="44" t="n">
        <x:v>2.566</x:v>
      </x:c>
      <x:c r="F112" s="44" t="n">
        <x:v>2.901</x:v>
      </x:c>
      <x:c r="G112" s="44" t="n">
        <x:v>0.415</x:v>
      </x:c>
      <x:c r="H112" s="44" t="n">
        <x:v>-0.415</x:v>
      </x:c>
      <x:c r="I112" s="44" t="n">
        <x:v>3.9924</x:v>
      </x:c>
      <x:c r="J112" s="44" t="n">
        <x:v>2.4556</x:v>
      </x:c>
      <x:c r="K112" s="44" t="n">
        <x:v>11.3</x:v>
      </x:c>
      <x:c r="L112" s="44" t="n">
        <x:v>16.3192</x:v>
      </x:c>
      <x:c r="M112" s="44" t="n">
        <x:v>14.0949</x:v>
      </x:c>
      <x:c r="N112" s="44" t="n">
        <x:v>1.405</x:v>
      </x:c>
      <x:c r="O112" s="44" t="n">
        <x:v>-1.6075</x:v>
      </x:c>
      <x:c r="P112" s="44" t="n">
        <x:v>0.62</x:v>
      </x:c>
      <x:c r="Q112" s="44" t="n">
        <x:v>2.45</x:v>
      </x:c>
      <x:c r="R112" s="44" t="n">
        <x:v>22.037</x:v>
      </x:c>
      <x:c r="S112" s="44" t="n">
        <x:v>18.3305</x:v>
      </x:c>
      <x:c r="T112" s="44" t="n">
        <x:v>11.295</x:v>
      </x:c>
      <x:c r="U112" s="44" t="n">
        <x:v>1.6275</x:v>
      </x:c>
      <x:c r="V112" s="44" t="n">
        <x:v>-1.3675</x:v>
      </x:c>
      <x:c r="W112" s="44" t="n">
        <x:v>3.45</x:v>
      </x:c>
      <x:c r="X112" s="44" t="n">
        <x:v>1.68</x:v>
      </x:c>
      <x:c r="Y112" s="44" t="n">
        <x:v>11.297</x:v>
      </x:c>
      <x:c r="Z112" s="44" t="n">
        <x:v>7.7655</x:v>
      </x:c>
      <x:c r="AA112" s="44" t="n">
        <x:v>7</x:v>
      </x:c>
      <x:c r="AB112" s="44" t="n">
        <x:v>1.4825</x:v>
      </x:c>
      <x:c r="AC112" s="44" t="n">
        <x:v>-1.425</x:v>
      </x:c>
      <x:c r="AD112" s="44" t="n">
        <x:v>1.3</x:v>
      </x:c>
      <x:c r="AE112" s="44" t="n">
        <x:v>0.48</x:v>
      </x:c>
      <x:c r="AF112" s="44" t="n">
        <x:v>8.815</x:v>
      </x:c>
      <x:c r="AG112" s="44" t="n">
        <x:v>6.635</x:v>
      </x:c>
      <x:c r="AH112" s="44" t="n">
        <x:v>9.415</x:v>
      </x:c>
      <x:c r="AI112" s="44" t="n">
        <x:v>0.859</x:v>
      </x:c>
      <x:c r="AJ112" s="44" t="n">
        <x:v>-0.799</x:v>
      </x:c>
      <x:c r="AK112" s="44" t="n">
        <x:v>0.55</x:v>
      </x:c>
      <x:c r="AL112" s="44" t="n">
        <x:v>0.48</x:v>
      </x:c>
      <x:c r="AM112" s="44" t="n">
        <x:v>0.26</x:v>
      </x:c>
      <x:c r="AN112" s="44" t="n">
        <x:v>0.22</x:v>
      </x:c>
      <x:c r="AO112" s="44" t="n">
        <x:v>-1.2188</x:v>
      </x:c>
      <x:c r="AP112" s="44" t="n">
        <x:v>0.9653</x:v>
      </x:c>
      <x:c r="AQ112" s="44" t="n">
        <x:v>0.9653</x:v>
      </x:c>
      <x:c r="AR112" s="44" t="n">
        <x:v>0.78</x:v>
      </x:c>
      <x:c r="AS112" s="44"/>
      <x:c r="AT112" s="44" t="n">
        <x:v>0.5393</x:v>
      </x:c>
      <x:c r="AU112" s="174" t="n">
        <x:v>1200</x:v>
      </x:c>
      <x:c r="AV112" s="43" t="str">
        <x:v>00:04:21.000</x:v>
      </x:c>
      <x:c r="AW112" s="43" t="str">
        <x:v>04:19–04:21</x:v>
      </x:c>
      <x:c r="AX112" s="43" t="str">
        <x:v>19_Kaneki_t261.jpg</x:v>
      </x:c>
      <x:c r="AY112" s="43" t="str">
        <x:v>1000025098.mp4</x:v>
      </x:c>
      <x:c r="AZ112" s="44"/>
      <x:c r="BA112" s="175"/>
    </x:row>
    <x:row r="113" ht="18" customHeight="1">
      <x:c r="A113" s="43" t="str">
        <x:v>K170</x:v>
      </x:c>
      <x:c r="B113" s="43" t="str">
        <x:v>(AOT)MG·Yu</x:v>
      </x:c>
      <x:c r="C113" s="43" t="str">
        <x:v>-2.5M</x:v>
      </x:c>
      <x:c r="D113" s="44" t="n">
        <x:v>3.6835</x:v>
      </x:c>
      <x:c r="E113" s="44" t="n">
        <x:v>3.2485</x:v>
      </x:c>
      <x:c r="F113" s="44" t="n">
        <x:v>3.3785</x:v>
      </x:c>
      <x:c r="G113" s="44" t="n">
        <x:v>0.4375</x:v>
      </x:c>
      <x:c r="H113" s="44" t="n">
        <x:v>-0.4375</x:v>
      </x:c>
      <x:c r="I113" s="44" t="n">
        <x:v>6</x:v>
      </x:c>
      <x:c r="J113" s="44" t="n">
        <x:v>5.3692</x:v>
      </x:c>
      <x:c r="K113" s="44" t="n">
        <x:v>13.8</x:v>
      </x:c>
      <x:c r="L113" s="44" t="n">
        <x:v>20.5242</x:v>
      </x:c>
      <x:c r="M113" s="44" t="n">
        <x:v>11.1207</x:v>
      </x:c>
      <x:c r="N113" s="44" t="n">
        <x:v>1.9075</x:v>
      </x:c>
      <x:c r="O113" s="44" t="n">
        <x:v>-1.82</x:v>
      </x:c>
      <x:c r="P113" s="44" t="n">
        <x:v>1.54</x:v>
      </x:c>
      <x:c r="Q113" s="44" t="n">
        <x:v>6.03</x:v>
      </x:c>
      <x:c r="R113" s="44" t="n">
        <x:v>25.552</x:v>
      </x:c>
      <x:c r="S113" s="44" t="n">
        <x:v>19.05</x:v>
      </x:c>
      <x:c r="T113" s="44" t="n">
        <x:v>18.657</x:v>
      </x:c>
      <x:c r="U113" s="44" t="n">
        <x:v>1.9975</x:v>
      </x:c>
      <x:c r="V113" s="44" t="n">
        <x:v>-1.705</x:v>
      </x:c>
      <x:c r="W113" s="44" t="n">
        <x:v>5.04</x:v>
      </x:c>
      <x:c r="X113" s="44" t="n">
        <x:v>2.95</x:v>
      </x:c>
      <x:c r="Y113" s="44" t="n">
        <x:v>24.555</x:v>
      </x:c>
      <x:c r="Z113" s="44" t="n">
        <x:v>18.885</x:v>
      </x:c>
      <x:c r="AA113" s="44" t="n">
        <x:v>11.405</x:v>
      </x:c>
      <x:c r="AB113" s="44" t="n">
        <x:v>2.035</x:v>
      </x:c>
      <x:c r="AC113" s="44" t="n">
        <x:v>-1.485</x:v>
      </x:c>
      <x:c r="AD113" s="44" t="n">
        <x:v>7</x:v>
      </x:c>
      <x:c r="AE113" s="44" t="n">
        <x:v>3.99</x:v>
      </x:c>
      <x:c r="AF113" s="44" t="n">
        <x:v>17.4035</x:v>
      </x:c>
      <x:c r="AG113" s="44" t="n">
        <x:v>11.01</x:v>
      </x:c>
      <x:c r="AH113" s="44" t="n">
        <x:v>13.52</x:v>
      </x:c>
      <x:c r="AI113" s="44" t="n">
        <x:v>1.635</x:v>
      </x:c>
      <x:c r="AJ113" s="44" t="n">
        <x:v>-1.605</x:v>
      </x:c>
      <x:c r="AK113" s="44" t="n">
        <x:v>3.73</x:v>
      </x:c>
      <x:c r="AL113" s="44" t="n">
        <x:v>1.33</x:v>
      </x:c>
      <x:c r="AM113" s="44" t="n">
        <x:v>0.26</x:v>
      </x:c>
      <x:c r="AN113" s="44" t="n">
        <x:v>0.225</x:v>
      </x:c>
      <x:c r="AO113" s="44" t="n">
        <x:v>-0.9653</x:v>
      </x:c>
      <x:c r="AP113" s="44" t="n">
        <x:v>0.9653</x:v>
      </x:c>
      <x:c r="AQ113" s="44" t="n">
        <x:v>0.9653</x:v>
      </x:c>
      <x:c r="AR113" s="44" t="n">
        <x:v>0.9653</x:v>
      </x:c>
      <x:c r="AS113" s="44"/>
      <x:c r="AT113" s="44" t="n">
        <x:v>0.7504</x:v>
      </x:c>
      <x:c r="AU113" s="174" t="n">
        <x:v>31992</x:v>
      </x:c>
      <x:c r="AV113" s="43" t="str">
        <x:v>00:04:43.000</x:v>
      </x:c>
      <x:c r="AW113" s="43" t="str">
        <x:v>04:38–04:43</x:v>
      </x:c>
      <x:c r="AX113" s="43" t="str">
        <x:v>20_MGYu_t283.jpg</x:v>
      </x:c>
      <x:c r="AY113" s="43" t="str">
        <x:v>1000025098.mp4</x:v>
      </x:c>
      <x:c r="AZ113" s="44"/>
      <x:c r="BA113" s="175"/>
    </x:row>
    <x:row r="114" ht="18" customHeight="1">
      <x:c r="A114" s="43" t="str">
        <x:v>K170</x:v>
      </x:c>
      <x:c r="B114" s="43" t="str">
        <x:v>(AOT)Markspoon</x:v>
      </x:c>
      <x:c r="C114" s="43" t="str">
        <x:v>-2.2M</x:v>
      </x:c>
      <x:c r="D114" s="44" t="n">
        <x:v>3.046</x:v>
      </x:c>
      <x:c r="E114" s="44" t="n">
        <x:v>2.431</x:v>
      </x:c>
      <x:c r="F114" s="44" t="n">
        <x:v>2.766</x:v>
      </x:c>
      <x:c r="G114" s="44" t="n">
        <x:v>0.415</x:v>
      </x:c>
      <x:c r="H114" s="44" t="n">
        <x:v>-0.025</x:v>
      </x:c>
      <x:c r="I114" s="44" t="n">
        <x:v>3.8778</x:v>
      </x:c>
      <x:c r="J114" s="44" t="n">
        <x:v>0.0666</x:v>
      </x:c>
      <x:c r="K114" s="44" t="n">
        <x:v>7.577</x:v>
      </x:c>
      <x:c r="L114" s="44" t="n">
        <x:v>12.972</x:v>
      </x:c>
      <x:c r="M114" s="44" t="n">
        <x:v>11.7749</x:v>
      </x:c>
      <x:c r="N114" s="44" t="n">
        <x:v>1.365</x:v>
      </x:c>
      <x:c r="O114" s="44" t="n">
        <x:v>-1.555</x:v>
      </x:c>
      <x:c r="P114" s="44" t="n">
        <x:v>0.78</x:v>
      </x:c>
      <x:c r="Q114" s="44" t="n">
        <x:v>2.11</x:v>
      </x:c>
      <x:c r="R114" s="44" t="n">
        <x:v>19.422</x:v>
      </x:c>
      <x:c r="S114" s="44" t="n">
        <x:v>16.492</x:v>
      </x:c>
      <x:c r="T114" s="44" t="n">
        <x:v>9.6435</x:v>
      </x:c>
      <x:c r="U114" s="44" t="n">
        <x:v>1.5425</x:v>
      </x:c>
      <x:c r="V114" s="44" t="n">
        <x:v>-1.265</x:v>
      </x:c>
      <x:c r="W114" s="44" t="n">
        <x:v>1.22</x:v>
      </x:c>
      <x:c r="X114" s="44" t="n">
        <x:v>0.77</x:v>
      </x:c>
      <x:c r="Y114" s="44" t="n">
        <x:v>21.4585</x:v>
      </x:c>
      <x:c r="Z114" s="44" t="n">
        <x:v>16.0835</x:v>
      </x:c>
      <x:c r="AA114" s="44" t="n">
        <x:v>8.72</x:v>
      </x:c>
      <x:c r="AB114" s="44" t="n">
        <x:v>1.6275</x:v>
      </x:c>
      <x:c r="AC114" s="44" t="n">
        <x:v>-1.4475</x:v>
      </x:c>
      <x:c r="AD114" s="44" t="n">
        <x:v>3.56</x:v>
      </x:c>
      <x:c r="AE114" s="44" t="n">
        <x:v>1.62</x:v>
      </x:c>
      <x:c r="AF114" s="44" t="n">
        <x:v>13.955</x:v>
      </x:c>
      <x:c r="AG114" s="44" t="n">
        <x:v>5.27</x:v>
      </x:c>
      <x:c r="AH114" s="44" t="n">
        <x:v>10.875</x:v>
      </x:c>
      <x:c r="AI114" s="44" t="n">
        <x:v>1.385</x:v>
      </x:c>
      <x:c r="AJ114" s="44" t="n">
        <x:v>-1.125</x:v>
      </x:c>
      <x:c r="AK114" s="44" t="n">
        <x:v>0.74</x:v>
      </x:c>
      <x:c r="AL114" s="44" t="n">
        <x:v>0.62</x:v>
      </x:c>
      <x:c r="AM114" s="44" t="n">
        <x:v>0.26</x:v>
      </x:c>
      <x:c r="AN114" s="44" t="n">
        <x:v>0.235</x:v>
      </x:c>
      <x:c r="AO114" s="44" t="n">
        <x:v>-1.2188</x:v>
      </x:c>
      <x:c r="AP114" s="44" t="n">
        <x:v>0.9653</x:v>
      </x:c>
      <x:c r="AQ114" s="44" t="n">
        <x:v>0.9653</x:v>
      </x:c>
      <x:c r="AR114" s="44" t="n">
        <x:v>0.78</x:v>
      </x:c>
      <x:c r="AS114" s="44"/>
      <x:c r="AT114" s="44" t="n">
        <x:v>0.5393</x:v>
      </x:c>
      <x:c r="AU114" s="174" t="n">
        <x:v>1200</x:v>
      </x:c>
      <x:c r="AV114" s="43" t="str">
        <x:v>00:04:48.000</x:v>
      </x:c>
      <x:c r="AW114" s="43" t="str">
        <x:v>04:46–04:48</x:v>
      </x:c>
      <x:c r="AX114" s="43" t="str">
        <x:v>21_Markspoon_t288.jpg</x:v>
      </x:c>
      <x:c r="AY114" s="43" t="str">
        <x:v>1000025098.mp4</x:v>
      </x:c>
      <x:c r="AZ114" s="44"/>
      <x:c r="BA114" s="175"/>
    </x:row>
    <x:row r="115" ht="18" customHeight="1">
      <x:c r="A115" s="43" t="str">
        <x:v>K170</x:v>
      </x:c>
      <x:c r="B115" s="43" t="str">
        <x:v>(AOT)VAB999</x:v>
      </x:c>
      <x:c r="C115" s="43" t="str">
        <x:v>-2.3M</x:v>
      </x:c>
      <x:c r="D115" s="44" t="n">
        <x:v>2.9985</x:v>
      </x:c>
      <x:c r="E115" s="44" t="n">
        <x:v>2.711</x:v>
      </x:c>
      <x:c r="F115" s="44" t="n">
        <x:v>2.766</x:v>
      </x:c>
      <x:c r="G115" s="44" t="n">
        <x:v>0.4375</x:v>
      </x:c>
      <x:c r="H115" s="44" t="n">
        <x:v>-0.415</x:v>
      </x:c>
      <x:c r="I115" s="44" t="n">
        <x:v>5.1276</x:v>
      </x:c>
      <x:c r="J115" s="44" t="n">
        <x:v>3.3038</x:v>
      </x:c>
      <x:c r="K115" s="44" t="n">
        <x:v>16.827</x:v>
      </x:c>
      <x:c r="L115" s="44" t="n">
        <x:v>20.9963</x:v>
      </x:c>
      <x:c r="M115" s="44" t="n">
        <x:v>14.6507</x:v>
      </x:c>
      <x:c r="N115" s="44" t="n">
        <x:v>1.4275</x:v>
      </x:c>
      <x:c r="O115" s="44" t="n">
        <x:v>-1.5775</x:v>
      </x:c>
      <x:c r="P115" s="44" t="n">
        <x:v>2.44</x:v>
      </x:c>
      <x:c r="Q115" s="44" t="n">
        <x:v>5.43</x:v>
      </x:c>
      <x:c r="R115" s="44" t="n">
        <x:v>14.985</x:v>
      </x:c>
      <x:c r="S115" s="44" t="n">
        <x:v>12.2</x:v>
      </x:c>
      <x:c r="T115" s="44" t="n">
        <x:v>11.4535</x:v>
      </x:c>
      <x:c r="U115" s="44" t="n">
        <x:v>1.465</x:v>
      </x:c>
      <x:c r="V115" s="44" t="n">
        <x:v>-1.255</x:v>
      </x:c>
      <x:c r="W115" s="44" t="n">
        <x:v>3</x:v>
      </x:c>
      <x:c r="X115" s="44" t="n">
        <x:v>2.2</x:v>
      </x:c>
      <x:c r="Y115" s="44" t="n">
        <x:v>24.8285</x:v>
      </x:c>
      <x:c r="Z115" s="44" t="n">
        <x:v>14.19</x:v>
      </x:c>
      <x:c r="AA115" s="44" t="n">
        <x:v>13.065</x:v>
      </x:c>
      <x:c r="AB115" s="44" t="n">
        <x:v>1.745</x:v>
      </x:c>
      <x:c r="AC115" s="44" t="n">
        <x:v>-1.4975</x:v>
      </x:c>
      <x:c r="AD115" s="44" t="n">
        <x:v>6.77</x:v>
      </x:c>
      <x:c r="AE115" s="44" t="n">
        <x:v>3.64</x:v>
      </x:c>
      <x:c r="AF115" s="44" t="n">
        <x:v>14.275</x:v>
      </x:c>
      <x:c r="AG115" s="44" t="n">
        <x:v>9.205</x:v>
      </x:c>
      <x:c r="AH115" s="44" t="n">
        <x:v>10.815</x:v>
      </x:c>
      <x:c r="AI115" s="44" t="n">
        <x:v>1.465</x:v>
      </x:c>
      <x:c r="AJ115" s="44" t="n">
        <x:v>-1.125</x:v>
      </x:c>
      <x:c r="AK115" s="44" t="n">
        <x:v>1.92</x:v>
      </x:c>
      <x:c r="AL115" s="44" t="n">
        <x:v>1.23</x:v>
      </x:c>
      <x:c r="AM115" s="44" t="n">
        <x:v>0.26</x:v>
      </x:c>
      <x:c r="AN115" s="44" t="n">
        <x:v>0.23</x:v>
      </x:c>
      <x:c r="AO115" s="44" t="n">
        <x:v>-1.2188</x:v>
      </x:c>
      <x:c r="AP115" s="44" t="n">
        <x:v>0.9653</x:v>
      </x:c>
      <x:c r="AQ115" s="44" t="n">
        <x:v>0.9653</x:v>
      </x:c>
      <x:c r="AR115" s="44" t="n">
        <x:v>0.78</x:v>
      </x:c>
      <x:c r="AS115" s="44"/>
      <x:c r="AT115" s="44" t="n">
        <x:v>0.5393</x:v>
      </x:c>
      <x:c r="AU115" s="174" t="n">
        <x:v>1200</x:v>
      </x:c>
      <x:c r="AV115" s="43" t="str">
        <x:v>00:05:08.000</x:v>
      </x:c>
      <x:c r="AW115" s="43" t="str">
        <x:v>05:02–05:08</x:v>
      </x:c>
      <x:c r="AX115" s="43" t="str">
        <x:v>22_VAB999_t308.jpg</x:v>
      </x:c>
      <x:c r="AY115" s="43" t="str">
        <x:v>1000025098.mp4</x:v>
      </x:c>
      <x:c r="AZ115" s="44"/>
      <x:c r="BA115" s="175"/>
    </x:row>
    <x:row r="116" ht="18" customHeight="1">
      <x:c r="A116" s="43" t="str">
        <x:v>K170</x:v>
      </x:c>
      <x:c r="B116" s="43" t="str">
        <x:v>(AOT)Paian2</x:v>
      </x:c>
      <x:c r="C116" s="43" t="str">
        <x:v>-2.2M</x:v>
      </x:c>
      <x:c r="D116" s="44" t="n">
        <x:v>3.106</x:v>
      </x:c>
      <x:c r="E116" s="44" t="n">
        <x:v>2.311</x:v>
      </x:c>
      <x:c r="F116" s="44" t="n">
        <x:v>2.466</x:v>
      </x:c>
      <x:c r="G116" s="44" t="n">
        <x:v>0.415</x:v>
      </x:c>
      <x:c r="H116" s="44" t="n">
        <x:v>-0.015</x:v>
      </x:c>
      <x:c r="I116" s="44" t="n">
        <x:v>5.6404</x:v>
      </x:c>
      <x:c r="J116" s="44" t="n">
        <x:v>0.9354</x:v>
      </x:c>
      <x:c r="K116" s="44" t="n">
        <x:v>7.607</x:v>
      </x:c>
      <x:c r="L116" s="44" t="n">
        <x:v>13.102</x:v>
      </x:c>
      <x:c r="M116" s="44" t="n">
        <x:v>11.5649</x:v>
      </x:c>
      <x:c r="N116" s="44" t="n">
        <x:v>0.33</x:v>
      </x:c>
      <x:c r="O116" s="44" t="n">
        <x:v>-0.5225</x:v>
      </x:c>
      <x:c r="P116" s="44" t="n">
        <x:v>1.25</x:v>
      </x:c>
      <x:c r="Q116" s="44" t="n">
        <x:v>4.44</x:v>
      </x:c>
      <x:c r="R116" s="44" t="n">
        <x:v>19.567</x:v>
      </x:c>
      <x:c r="S116" s="44" t="n">
        <x:v>15.997</x:v>
      </x:c>
      <x:c r="T116" s="44" t="n">
        <x:v>9.1635</x:v>
      </x:c>
      <x:c r="U116" s="44" t="n">
        <x:v>1.29</x:v>
      </x:c>
      <x:c r="V116" s="44" t="n">
        <x:v>-1.225</x:v>
      </x:c>
      <x:c r="W116" s="44" t="n">
        <x:v>1.36</x:v>
      </x:c>
      <x:c r="X116" s="44" t="n">
        <x:v>1</x:v>
      </x:c>
      <x:c r="Y116" s="44" t="n">
        <x:v>18.4885</x:v>
      </x:c>
      <x:c r="Z116" s="44" t="n">
        <x:v>11.3135</x:v>
      </x:c>
      <x:c r="AA116" s="44" t="n">
        <x:v>6.11</x:v>
      </x:c>
      <x:c r="AB116" s="44" t="n">
        <x:v>1.5075</x:v>
      </x:c>
      <x:c r="AC116" s="44" t="n">
        <x:v>-1.425</x:v>
      </x:c>
      <x:c r="AD116" s="44" t="n">
        <x:v>3.99</x:v>
      </x:c>
      <x:c r="AE116" s="44" t="n">
        <x:v>2.27</x:v>
      </x:c>
      <x:c r="AF116" s="44" t="n">
        <x:v>12.105</x:v>
      </x:c>
      <x:c r="AG116" s="44" t="n">
        <x:v>3.35</x:v>
      </x:c>
      <x:c r="AH116" s="44" t="n">
        <x:v>9.055</x:v>
      </x:c>
      <x:c r="AI116" s="44" t="n">
        <x:v>0.335</x:v>
      </x:c>
      <x:c r="AJ116" s="44" t="n">
        <x:v>-0.29</x:v>
      </x:c>
      <x:c r="AK116" s="44" t="n">
        <x:v>1.15</x:v>
      </x:c>
      <x:c r="AL116" s="44" t="n">
        <x:v>0.87</x:v>
      </x:c>
      <x:c r="AM116" s="44" t="n">
        <x:v>0.26</x:v>
      </x:c>
      <x:c r="AN116" s="44" t="n">
        <x:v>0.235</x:v>
      </x:c>
      <x:c r="AO116" s="44" t="n">
        <x:v>-1.2188</x:v>
      </x:c>
      <x:c r="AP116" s="44" t="n">
        <x:v>0.9653</x:v>
      </x:c>
      <x:c r="AQ116" s="44" t="n">
        <x:v>0.9653</x:v>
      </x:c>
      <x:c r="AR116" s="44" t="n">
        <x:v>0.78</x:v>
      </x:c>
      <x:c r="AS116" s="44"/>
      <x:c r="AT116" s="44" t="n">
        <x:v>0.5393</x:v>
      </x:c>
      <x:c r="AU116" s="174" t="n">
        <x:v>1200</x:v>
      </x:c>
      <x:c r="AV116" s="43" t="str">
        <x:v>00:05:16.000</x:v>
      </x:c>
      <x:c r="AW116" s="43" t="str">
        <x:v>05:13–05:16</x:v>
      </x:c>
      <x:c r="AX116" s="43" t="str">
        <x:v>23_Paian2_t316.jpg</x:v>
      </x:c>
      <x:c r="AY116" s="43" t="str">
        <x:v>1000025098.mp4</x:v>
      </x:c>
      <x:c r="AZ116" s="44"/>
      <x:c r="BA116" s="175"/>
    </x:row>
    <x:row r="117" ht="18" customHeight="1">
      <x:c r="A117" s="43" t="str">
        <x:v>K54</x:v>
      </x:c>
      <x:c r="B117" s="43" t="str">
        <x:v>爽歪歪</x:v>
      </x:c>
      <x:c r="C117" s="43" t="n">
        <x:v>135747</x:v>
      </x:c>
      <x:c r="D117" s="44" t="n">
        <x:v>5.125900000000001</x:v>
      </x:c>
      <x:c r="E117" s="44" t="n">
        <x:v>4.5259</x:v>
      </x:c>
      <x:c r="F117" s="44" t="n">
        <x:v>5.0759</x:v>
      </x:c>
      <x:c r="G117" s="44" t="n">
        <x:v>0.475</x:v>
      </x:c>
      <x:c r="H117" s="44" t="n">
        <x:v>-0.475</x:v>
      </x:c>
      <x:c r="I117" s="44" t="n">
        <x:v>6</x:v>
      </x:c>
      <x:c r="J117" s="44" t="n">
        <x:v>6</x:v>
      </x:c>
      <x:c r="K117" s="44" t="n">
        <x:v>26.206999999999997</x:v>
      </x:c>
      <x:c r="L117" s="44" t="n">
        <x:v>29.84</x:v>
      </x:c>
      <x:c r="M117" s="44" t="n">
        <x:v>26.151999999999997</x:v>
      </x:c>
      <x:c r="N117" s="44" t="n">
        <x:v>1.965</x:v>
      </x:c>
      <x:c r="O117" s="44" t="n">
        <x:v>-2.365</x:v>
      </x:c>
      <x:c r="P117" s="44" t="n">
        <x:v>9</x:v>
      </x:c>
      <x:c r="Q117" s="44" t="n">
        <x:v>9</x:v>
      </x:c>
      <x:c r="R117" s="44" t="n">
        <x:v>28.0935</x:v>
      </x:c>
      <x:c r="S117" s="44" t="n">
        <x:v>21.45</x:v>
      </x:c>
      <x:c r="T117" s="44" t="n">
        <x:v>14.08</x:v>
      </x:c>
      <x:c r="U117" s="44" t="n">
        <x:v>2.045</x:v>
      </x:c>
      <x:c r="V117" s="44" t="n">
        <x:v>-1.945</x:v>
      </x:c>
      <x:c r="W117" s="44" t="n">
        <x:v>9</x:v>
      </x:c>
      <x:c r="X117" s="44" t="n">
        <x:v>9</x:v>
      </x:c>
      <x:c r="Y117" s="44" t="n">
        <x:v>20.635</x:v>
      </x:c>
      <x:c r="Z117" s="44" t="n">
        <x:v>16.36</x:v>
      </x:c>
      <x:c r="AA117" s="44" t="n">
        <x:v>15.4935</x:v>
      </x:c>
      <x:c r="AB117" s="44" t="n">
        <x:v>2.045</x:v>
      </x:c>
      <x:c r="AC117" s="44" t="n">
        <x:v>-1.965</x:v>
      </x:c>
      <x:c r="AD117" s="44" t="n">
        <x:v>9</x:v>
      </x:c>
      <x:c r="AE117" s="44" t="n">
        <x:v>9</x:v>
      </x:c>
      <x:c r="AF117" s="44" t="n">
        <x:v>19.02</x:v>
      </x:c>
      <x:c r="AG117" s="44" t="n">
        <x:v>14.585</x:v>
      </x:c>
      <x:c r="AH117" s="44" t="n">
        <x:v>16.82</x:v>
      </x:c>
      <x:c r="AI117" s="44" t="n">
        <x:v>2.045</x:v>
      </x:c>
      <x:c r="AJ117" s="44" t="n">
        <x:v>-1.945</x:v>
      </x:c>
      <x:c r="AK117" s="44" t="n">
        <x:v>9</x:v>
      </x:c>
      <x:c r="AL117" s="44" t="n">
        <x:v>9</x:v>
      </x:c>
      <x:c r="AM117" s="44" t="n">
        <x:v>0.26</x:v>
      </x:c>
      <x:c r="AN117" s="44" t="n">
        <x:v>0.24</x:v>
      </x:c>
      <x:c r="AO117" s="44" t="n">
        <x:v>-1.2187999999999999</x:v>
      </x:c>
      <x:c r="AP117" s="44" t="n">
        <x:v>1.2187999999999999</x:v>
      </x:c>
      <x:c r="AQ117" s="44" t="n">
        <x:v>1.2187999999999999</x:v>
      </x:c>
      <x:c r="AR117" s="44" t="n">
        <x:v>0.9107999999999999</x:v>
      </x:c>
      <x:c r="AS117" s="44"/>
      <x:c r="AT117" s="44" t="n">
        <x:v>0.9653</x:v>
      </x:c>
      <x:c r="AU117" s="174" t="n">
        <x:v>39216</x:v>
      </x:c>
      <x:c r="AV117" s="43" t="str">
        <x:v>00:09.25</x:v>
      </x:c>
      <x:c r="AW117" s="43" t="str">
        <x:v>00:09.25-00:12.25</x:v>
      </x:c>
      <x:c r="AX117" s="43" t="str">
        <x:v>s_0011.jpg</x:v>
      </x:c>
      <x:c r="AY117" s="43" t="str">
        <x:v>1000025860.mp4</x:v>
      </x:c>
      <x:c r="AZ117" s="44"/>
      <x:c r="BA117" s="175" t="n">
        <x:v>59</x:v>
      </x:c>
    </x:row>
    <x:row r="118" ht="18" customHeight="1">
      <x:c r="A118" s="43" t="str">
        <x:v>K54</x:v>
      </x:c>
      <x:c r="B118" s="43" t="str">
        <x:v>纵横,,,杀戮</x:v>
      </x:c>
      <x:c r="C118" s="43" t="n">
        <x:v>295177</x:v>
      </x:c>
      <x:c r="D118" s="44" t="n">
        <x:v>4.0259</x:v>
      </x:c>
      <x:c r="E118" s="44" t="n">
        <x:v>3.6633999999999998</x:v>
      </x:c>
      <x:c r="F118" s="44" t="n">
        <x:v>3.7933999999999997</x:v>
      </x:c>
      <x:c r="G118" s="44" t="n">
        <x:v>0.475</x:v>
      </x:c>
      <x:c r="H118" s="44" t="n">
        <x:v>-0.4375</x:v>
      </x:c>
      <x:c r="I118" s="44" t="n">
        <x:v>6</x:v>
      </x:c>
      <x:c r="J118" s="44" t="n">
        <x:v>6</x:v>
      </x:c>
      <x:c r="K118" s="44" t="n">
        <x:v>12.777000000000001</x:v>
      </x:c>
      <x:c r="L118" s="44" t="n">
        <x:v>15.0899</x:v>
      </x:c>
      <x:c r="M118" s="44" t="n">
        <x:v>14.592</x:v>
      </x:c>
      <x:c r="N118" s="44" t="n">
        <x:v>1.605</x:v>
      </x:c>
      <x:c r="O118" s="44" t="n">
        <x:v>-1.715</x:v>
      </x:c>
      <x:c r="P118" s="44" t="n">
        <x:v>2.87</x:v>
      </x:c>
      <x:c r="Q118" s="44" t="n">
        <x:v>7</x:v>
      </x:c>
      <x:c r="R118" s="44" t="n">
        <x:v>27.6705</x:v>
      </x:c>
      <x:c r="S118" s="44" t="n">
        <x:v>14.48</x:v>
      </x:c>
      <x:c r="T118" s="44" t="n">
        <x:v>10.567</x:v>
      </x:c>
      <x:c r="U118" s="44" t="n">
        <x:v>2.08</x:v>
      </x:c>
      <x:c r="V118" s="44" t="n">
        <x:v>-1.49</x:v>
      </x:c>
      <x:c r="W118" s="44" t="n">
        <x:v>6.03</x:v>
      </x:c>
      <x:c r="X118" s="44" t="n">
        <x:v>5.01</x:v>
      </x:c>
      <x:c r="Y118" s="44" t="n">
        <x:v>24.385</x:v>
      </x:c>
      <x:c r="Z118" s="44" t="n">
        <x:v>14.25</x:v>
      </x:c>
      <x:c r="AA118" s="44" t="n">
        <x:v>11.833499999999999</x:v>
      </x:c>
      <x:c r="AB118" s="44" t="n">
        <x:v>2.08</x:v>
      </x:c>
      <x:c r="AC118" s="44" t="n">
        <x:v>-1.4475</x:v>
      </x:c>
      <x:c r="AD118" s="44" t="n">
        <x:v>6.03</x:v>
      </x:c>
      <x:c r="AE118" s="44" t="n">
        <x:v>4.42</x:v>
      </x:c>
      <x:c r="AF118" s="44" t="n">
        <x:v>23.8535</x:v>
      </x:c>
      <x:c r="AG118" s="44" t="n">
        <x:v>7.355</x:v>
      </x:c>
      <x:c r="AH118" s="44" t="n">
        <x:v>14.31</x:v>
      </x:c>
      <x:c r="AI118" s="44" t="n">
        <x:v>1.7875</x:v>
      </x:c>
      <x:c r="AJ118" s="44" t="n">
        <x:v>-1.365</x:v>
      </x:c>
      <x:c r="AK118" s="44" t="n">
        <x:v>6.03</x:v>
      </x:c>
      <x:c r="AL118" s="44" t="n">
        <x:v>3.5</x:v>
      </x:c>
      <x:c r="AM118" s="44" t="n">
        <x:v>0.26</x:v>
      </x:c>
      <x:c r="AN118" s="44" t="n">
        <x:v>0.25</x:v>
      </x:c>
      <x:c r="AO118" s="44" t="n">
        <x:v>-1.2187999999999999</x:v>
      </x:c>
      <x:c r="AP118" s="44" t="n">
        <x:v>1.2187999999999999</x:v>
      </x:c>
      <x:c r="AQ118" s="44" t="n">
        <x:v>1.2187999999999999</x:v>
      </x:c>
      <x:c r="AR118" s="44" t="n">
        <x:v>0.9107999999999999</x:v>
      </x:c>
      <x:c r="AS118" s="44"/>
      <x:c r="AT118" s="44" t="n">
        <x:v>0.9653</x:v>
      </x:c>
      <x:c r="AU118" s="174" t="n">
        <x:v>39216</x:v>
      </x:c>
      <x:c r="AV118" s="43" t="str">
        <x:v>00:30.75</x:v>
      </x:c>
      <x:c r="AW118" s="43" t="str">
        <x:v>00:30.75-00:34.00</x:v>
      </x:c>
      <x:c r="AX118" s="43" t="str">
        <x:v>s_0022.jpg</x:v>
      </x:c>
      <x:c r="AY118" s="43" t="str">
        <x:v>1000025860.mp4</x:v>
      </x:c>
      <x:c r="AZ118" s="44"/>
      <x:c r="BA118" s="175" t="n">
        <x:v>59</x:v>
      </x:c>
    </x:row>
    <x:row r="119" ht="18" customHeight="1">
      <x:c r="A119" s="43" t="str">
        <x:v>K54</x:v>
      </x:c>
      <x:c r="B119" s="43" t="str">
        <x:v>纵横,,,大风</x:v>
      </x:c>
      <x:c r="C119" s="43" t="n">
        <x:v>299625</x:v>
      </x:c>
      <x:c r="D119" s="44" t="n">
        <x:v>4.9258999999999995</x:v>
      </x:c>
      <x:c r="E119" s="44" t="n">
        <x:v>4.1259</x:v>
      </x:c>
      <x:c r="F119" s="44" t="n">
        <x:v>4.4258999999999995</x:v>
      </x:c>
      <x:c r="G119" s="44" t="n">
        <x:v>0.475</x:v>
      </x:c>
      <x:c r="H119" s="44" t="n">
        <x:v>-0.475</x:v>
      </x:c>
      <x:c r="I119" s="44" t="n">
        <x:v>6</x:v>
      </x:c>
      <x:c r="J119" s="44" t="n">
        <x:v>6</x:v>
      </x:c>
      <x:c r="K119" s="44" t="n">
        <x:v>15.562000000000001</x:v>
      </x:c>
      <x:c r="L119" s="44" t="n">
        <x:v>17.6999</x:v>
      </x:c>
      <x:c r="M119" s="44" t="n">
        <x:v>14.682</x:v>
      </x:c>
      <x:c r="N119" s="44" t="n">
        <x:v>1.51</x:v>
      </x:c>
      <x:c r="O119" s="44" t="n">
        <x:v>-1.955</x:v>
      </x:c>
      <x:c r="P119" s="44" t="n">
        <x:v>7</x:v>
      </x:c>
      <x:c r="Q119" s="44" t="n">
        <x:v>7</x:v>
      </x:c>
      <x:c r="R119" s="44" t="n">
        <x:v>29.020500000000002</x:v>
      </x:c>
      <x:c r="S119" s="44" t="n">
        <x:v>17.37</x:v>
      </x:c>
      <x:c r="T119" s="44" t="n">
        <x:v>11.487</x:v>
      </x:c>
      <x:c r="U119" s="44" t="n">
        <x:v>1.825</x:v>
      </x:c>
      <x:c r="V119" s="44" t="n">
        <x:v>-1.965</x:v>
      </x:c>
      <x:c r="W119" s="44" t="n">
        <x:v>7</x:v>
      </x:c>
      <x:c r="X119" s="44" t="n">
        <x:v>7</x:v>
      </x:c>
      <x:c r="Y119" s="44" t="n">
        <x:v>23.285</x:v>
      </x:c>
      <x:c r="Z119" s="44" t="n">
        <x:v>18.09</x:v>
      </x:c>
      <x:c r="AA119" s="44" t="n">
        <x:v>14.7335</x:v>
      </x:c>
      <x:c r="AB119" s="44" t="n">
        <x:v>1.825</x:v>
      </x:c>
      <x:c r="AC119" s="44" t="n">
        <x:v>-1.73</x:v>
      </x:c>
      <x:c r="AD119" s="44" t="n">
        <x:v>7</x:v>
      </x:c>
      <x:c r="AE119" s="44" t="n">
        <x:v>7</x:v>
      </x:c>
      <x:c r="AF119" s="44" t="n">
        <x:v>22.8735</x:v>
      </x:c>
      <x:c r="AG119" s="44" t="n">
        <x:v>9.365</x:v>
      </x:c>
      <x:c r="AH119" s="44" t="n">
        <x:v>17.05</x:v>
      </x:c>
      <x:c r="AI119" s="44" t="n">
        <x:v>1.8975</x:v>
      </x:c>
      <x:c r="AJ119" s="44" t="n">
        <x:v>-1.9075</x:v>
      </x:c>
      <x:c r="AK119" s="44" t="n">
        <x:v>7</x:v>
      </x:c>
      <x:c r="AL119" s="44" t="n">
        <x:v>7</x:v>
      </x:c>
      <x:c r="AM119" s="44" t="n">
        <x:v>0.26</x:v>
      </x:c>
      <x:c r="AN119" s="44" t="n">
        <x:v>0.225</x:v>
      </x:c>
      <x:c r="AO119" s="44" t="n">
        <x:v>-1.2187999999999999</x:v>
      </x:c>
      <x:c r="AP119" s="44" t="n">
        <x:v>1.2187999999999999</x:v>
      </x:c>
      <x:c r="AQ119" s="44" t="n">
        <x:v>1.2187999999999999</x:v>
      </x:c>
      <x:c r="AR119" s="44" t="n">
        <x:v>0.9107999999999999</x:v>
      </x:c>
      <x:c r="AS119" s="44"/>
      <x:c r="AT119" s="44" t="n">
        <x:v>0.9653</x:v>
      </x:c>
      <x:c r="AU119" s="174" t="n">
        <x:v>39216</x:v>
      </x:c>
      <x:c r="AV119" s="43" t="str">
        <x:v>00:49.00</x:v>
      </x:c>
      <x:c r="AW119" s="43" t="str">
        <x:v>00:49.00-00:50.75</x:v>
      </x:c>
      <x:c r="AX119" s="43" t="str">
        <x:v>s_0039.jpg</x:v>
      </x:c>
      <x:c r="AY119" s="43" t="str">
        <x:v>1000025860.mp4</x:v>
      </x:c>
      <x:c r="AZ119" s="44"/>
      <x:c r="BA119" s="175" t="n">
        <x:v>59</x:v>
      </x:c>
    </x:row>
    <x:row r="120" ht="18" customHeight="1">
      <x:c r="A120" s="43" t="str">
        <x:v>K54</x:v>
      </x:c>
      <x:c r="B120" s="43" t="str">
        <x:v>Somnium</x:v>
      </x:c>
      <x:c r="C120" s="43" t="n">
        <x:v>61003</x:v>
      </x:c>
      <x:c r="D120" s="44" t="n">
        <x:v>3.1359</x:v>
      </x:c>
      <x:c r="E120" s="44" t="n">
        <x:v>2.1959</x:v>
      </x:c>
      <x:c r="F120" s="44" t="n">
        <x:v>2.9709</x:v>
      </x:c>
      <x:c r="G120" s="44" t="n">
        <x:v>0.4</x:v>
      </x:c>
      <x:c r="H120" s="44" t="n">
        <x:v>-0.415</x:v>
      </x:c>
      <x:c r="I120" s="44" t="n">
        <x:v>5.314400000000001</x:v>
      </x:c>
      <x:c r="J120" s="44" t="n">
        <x:v>0.5744</x:v>
      </x:c>
      <x:c r="K120" s="44" t="n">
        <x:v>7.777</x:v>
      </x:c>
      <x:c r="L120" s="44" t="n">
        <x:v>12.8099</x:v>
      </x:c>
      <x:c r="M120" s="44" t="n">
        <x:v>13.572000000000001</x:v>
      </x:c>
      <x:c r="N120" s="44" t="n">
        <x:v>0.49</x:v>
      </x:c>
      <x:c r="O120" s="44" t="n">
        <x:v>-0.645</x:v>
      </x:c>
      <x:c r="P120" s="44" t="n">
        <x:v>0.7</x:v>
      </x:c>
      <x:c r="Q120" s="44" t="n">
        <x:v>3.94</x:v>
      </x:c>
      <x:c r="R120" s="44" t="n">
        <x:v>26.2955</x:v>
      </x:c>
      <x:c r="S120" s="44" t="n">
        <x:v>16.27</x:v>
      </x:c>
      <x:c r="T120" s="44" t="n">
        <x:v>13.277000000000001</x:v>
      </x:c>
      <x:c r="U120" s="44" t="n">
        <x:v>1.53</x:v>
      </x:c>
      <x:c r="V120" s="44" t="n">
        <x:v>-1.3475</x:v>
      </x:c>
      <x:c r="W120" s="44" t="n">
        <x:v>5.14</x:v>
      </x:c>
      <x:c r="X120" s="44" t="n">
        <x:v>3.18</x:v>
      </x:c>
      <x:c r="Y120" s="44" t="n">
        <x:v>16.725</x:v>
      </x:c>
      <x:c r="Z120" s="44" t="n">
        <x:v>10.48</x:v>
      </x:c>
      <x:c r="AA120" s="44" t="n">
        <x:v>8.8585</x:v>
      </x:c>
      <x:c r="AB120" s="44" t="n">
        <x:v>1.46</x:v>
      </x:c>
      <x:c r="AC120" s="44" t="n">
        <x:v>-1.305</x:v>
      </x:c>
      <x:c r="AD120" s="44" t="n">
        <x:v>3.08</x:v>
      </x:c>
      <x:c r="AE120" s="44" t="n">
        <x:v>1.39</x:v>
      </x:c>
      <x:c r="AF120" s="44" t="n">
        <x:v>14.0435</x:v>
      </x:c>
      <x:c r="AG120" s="44" t="n">
        <x:v>4.005</x:v>
      </x:c>
      <x:c r="AH120" s="44" t="n">
        <x:v>9.02</x:v>
      </x:c>
      <x:c r="AI120" s="44" t="n">
        <x:v>0.51</x:v>
      </x:c>
      <x:c r="AJ120" s="44" t="n">
        <x:v>-0.25</x:v>
      </x:c>
      <x:c r="AK120" s="44" t="n">
        <x:v>0.85</x:v>
      </x:c>
      <x:c r="AL120" s="44" t="n">
        <x:v>0.42</x:v>
      </x:c>
      <x:c r="AM120" s="44" t="n">
        <x:v>0.26</x:v>
      </x:c>
      <x:c r="AN120" s="44" t="n">
        <x:v>0.22</x:v>
      </x:c>
      <x:c r="AO120" s="44" t="n">
        <x:v>-1.2187999999999999</x:v>
      </x:c>
      <x:c r="AP120" s="44" t="n">
        <x:v>1.2187999999999999</x:v>
      </x:c>
      <x:c r="AQ120" s="44" t="n">
        <x:v>1.2187999999999999</x:v>
      </x:c>
      <x:c r="AR120" s="44" t="n">
        <x:v>0.9107999999999999</x:v>
      </x:c>
      <x:c r="AS120" s="44"/>
      <x:c r="AT120" s="44" t="n">
        <x:v>0.9653</x:v>
      </x:c>
      <x:c r="AU120" s="174" t="n">
        <x:v>39216</x:v>
      </x:c>
      <x:c r="AV120" s="43" t="str">
        <x:v>00:57.25</x:v>
      </x:c>
      <x:c r="AW120" s="43" t="str">
        <x:v>00:57.25-00:58.75</x:v>
      </x:c>
      <x:c r="AX120" s="43" t="str">
        <x:v>s_0052.jpg</x:v>
      </x:c>
      <x:c r="AY120" s="43" t="str">
        <x:v>1000025860.mp4</x:v>
      </x:c>
      <x:c r="AZ120" s="44"/>
      <x:c r="BA120" s="175" t="n">
        <x:v>59</x:v>
      </x:c>
    </x:row>
    <x:row r="121" ht="18" customHeight="1">
      <x:c r="A121" s="43" t="str">
        <x:v>K54</x:v>
      </x:c>
      <x:c r="B121" s="43" t="str">
        <x:v>纵横,,,Nike耐克</x:v>
      </x:c>
      <x:c r="C121" s="43" t="n">
        <x:v>295176</x:v>
      </x:c>
      <x:c r="D121" s="44" t="n">
        <x:v>3.4233999999999996</x:v>
      </x:c>
      <x:c r="E121" s="44" t="n">
        <x:v>3.0509</x:v>
      </x:c>
      <x:c r="F121" s="44" t="n">
        <x:v>3.3358999999999996</x:v>
      </x:c>
      <x:c r="G121" s="44" t="n">
        <x:v>0.4375</x:v>
      </x:c>
      <x:c r="H121" s="44" t="n">
        <x:v>-0.415</x:v>
      </x:c>
      <x:c r="I121" s="44" t="n">
        <x:v>6</x:v>
      </x:c>
      <x:c r="J121" s="44" t="n">
        <x:v>2.9696</x:v>
      </x:c>
      <x:c r="K121" s="44" t="n">
        <x:v>10.327</x:v>
      </x:c>
      <x:c r="L121" s="44" t="n">
        <x:v>11.6699</x:v>
      </x:c>
      <x:c r="M121" s="44" t="n">
        <x:v>11.942</x:v>
      </x:c>
      <x:c r="N121" s="44" t="n">
        <x:v>1.4275</x:v>
      </x:c>
      <x:c r="O121" s="44" t="n">
        <x:v>-1.545</x:v>
      </x:c>
      <x:c r="P121" s="44" t="n">
        <x:v>2.3</x:v>
      </x:c>
      <x:c r="Q121" s="44" t="n">
        <x:v>6.16</x:v>
      </x:c>
      <x:c r="R121" s="44" t="n">
        <x:v>26.9905</x:v>
      </x:c>
      <x:c r="S121" s="44" t="n">
        <x:v>13.4</x:v>
      </x:c>
      <x:c r="T121" s="44" t="n">
        <x:v>9.787</x:v>
      </x:c>
      <x:c r="U121" s="44" t="n">
        <x:v>1.6725</x:v>
      </x:c>
      <x:c r="V121" s="44" t="n">
        <x:v>-1.3475</x:v>
      </x:c>
      <x:c r="W121" s="44" t="n">
        <x:v>6.03</x:v>
      </x:c>
      <x:c r="X121" s="44" t="n">
        <x:v>3.85</x:v>
      </x:c>
      <x:c r="Y121" s="44" t="n">
        <x:v>20.455</x:v>
      </x:c>
      <x:c r="Z121" s="44" t="n">
        <x:v>13.48</x:v>
      </x:c>
      <x:c r="AA121" s="44" t="n">
        <x:v>11.523499999999999</x:v>
      </x:c>
      <x:c r="AB121" s="44" t="n">
        <x:v>1.5475</x:v>
      </x:c>
      <x:c r="AC121" s="44" t="n">
        <x:v>-1.4475</x:v>
      </x:c>
      <x:c r="AD121" s="44" t="n">
        <x:v>6.03</x:v>
      </x:c>
      <x:c r="AE121" s="44" t="n">
        <x:v>4.1</x:v>
      </x:c>
      <x:c r="AF121" s="44" t="n">
        <x:v>20.0835</x:v>
      </x:c>
      <x:c r="AG121" s="44" t="n">
        <x:v>5.425</x:v>
      </x:c>
      <x:c r="AH121" s="44" t="n">
        <x:v>12.62</x:v>
      </x:c>
      <x:c r="AI121" s="44" t="n">
        <x:v>1.465</x:v>
      </x:c>
      <x:c r="AJ121" s="44" t="n">
        <x:v>-1.285</x:v>
      </x:c>
      <x:c r="AK121" s="44" t="n">
        <x:v>4.91</x:v>
      </x:c>
      <x:c r="AL121" s="44" t="n">
        <x:v>2.13</x:v>
      </x:c>
      <x:c r="AM121" s="44" t="n">
        <x:v>0.46</x:v>
      </x:c>
      <x:c r="AN121" s="44" t="n">
        <x:v>0.24</x:v>
      </x:c>
      <x:c r="AO121" s="44" t="n">
        <x:v>-1.2187999999999999</x:v>
      </x:c>
      <x:c r="AP121" s="44" t="n">
        <x:v>1.2187999999999999</x:v>
      </x:c>
      <x:c r="AQ121" s="44" t="n">
        <x:v>1.2187999999999999</x:v>
      </x:c>
      <x:c r="AR121" s="44" t="n">
        <x:v>0.9107999999999999</x:v>
      </x:c>
      <x:c r="AS121" s="44"/>
      <x:c r="AT121" s="44" t="n">
        <x:v>0.9653</x:v>
      </x:c>
      <x:c r="AU121" s="174" t="n">
        <x:v>39216</x:v>
      </x:c>
      <x:c r="AV121" s="43" t="str">
        <x:v>01:06.75</x:v>
      </x:c>
      <x:c r="AW121" s="43" t="str">
        <x:v>01:06.75-01:08.00</x:v>
      </x:c>
      <x:c r="AX121" s="43" t="str">
        <x:v>s_0065.jpg</x:v>
      </x:c>
      <x:c r="AY121" s="43" t="str">
        <x:v>1000025860.mp4</x:v>
      </x:c>
      <x:c r="AZ121" s="44"/>
      <x:c r="BA121" s="175" t="n">
        <x:v>59</x:v>
      </x:c>
    </x:row>
    <x:row r="122" ht="18" customHeight="1">
      <x:c r="A122" s="43" t="str">
        <x:v>K54</x:v>
      </x:c>
      <x:c r="B122" s="43" t="str">
        <x:v>醉红尘</x:v>
      </x:c>
      <x:c r="C122" s="43" t="n">
        <x:v>314856</x:v>
      </x:c>
      <x:c r="D122" s="44" t="n">
        <x:v>4.4258999999999995</x:v>
      </x:c>
      <x:c r="E122" s="44" t="n">
        <x:v>4.225899999999999</x:v>
      </x:c>
      <x:c r="F122" s="44" t="n">
        <x:v>4.1259</x:v>
      </x:c>
      <x:c r="G122" s="44" t="n">
        <x:v>0.4375</x:v>
      </x:c>
      <x:c r="H122" s="44" t="n">
        <x:v>-0.475</x:v>
      </x:c>
      <x:c r="I122" s="44" t="n">
        <x:v>6</x:v>
      </x:c>
      <x:c r="J122" s="44" t="n">
        <x:v>6</x:v>
      </x:c>
      <x:c r="K122" s="44" t="n">
        <x:v>20.69</x:v>
      </x:c>
      <x:c r="L122" s="44" t="n">
        <x:v>27.9942</x:v>
      </x:c>
      <x:c r="M122" s="44" t="n">
        <x:v>19.9157</x:v>
      </x:c>
      <x:c r="N122" s="44" t="n">
        <x:v>1.965</x:v>
      </x:c>
      <x:c r="O122" s="44" t="n">
        <x:v>-2.365</x:v>
      </x:c>
      <x:c r="P122" s="44" t="n">
        <x:v>9</x:v>
      </x:c>
      <x:c r="Q122" s="44" t="n">
        <x:v>9</x:v>
      </x:c>
      <x:c r="R122" s="44" t="n">
        <x:v>24.397</x:v>
      </x:c>
      <x:c r="S122" s="44" t="n">
        <x:v>19.84</x:v>
      </x:c>
      <x:c r="T122" s="44" t="n">
        <x:v>16.227</x:v>
      </x:c>
      <x:c r="U122" s="44" t="n">
        <x:v>1.915</x:v>
      </x:c>
      <x:c r="V122" s="44" t="n">
        <x:v>-1.965</x:v>
      </x:c>
      <x:c r="W122" s="44" t="n">
        <x:v>9</x:v>
      </x:c>
      <x:c r="X122" s="44" t="n">
        <x:v>9</x:v>
      </x:c>
      <x:c r="Y122" s="44" t="n">
        <x:v>20.065</x:v>
      </x:c>
      <x:c r="Z122" s="44" t="n">
        <x:v>15.745</x:v>
      </x:c>
      <x:c r="AA122" s="44" t="n">
        <x:v>12.495</x:v>
      </x:c>
      <x:c r="AB122" s="44" t="n">
        <x:v>1.915</x:v>
      </x:c>
      <x:c r="AC122" s="44" t="n">
        <x:v>-1.945</x:v>
      </x:c>
      <x:c r="AD122" s="44" t="n">
        <x:v>9</x:v>
      </x:c>
      <x:c r="AE122" s="44" t="n">
        <x:v>9</x:v>
      </x:c>
      <x:c r="AF122" s="44" t="n">
        <x:v>19.793499999999998</x:v>
      </x:c>
      <x:c r="AG122" s="44" t="n">
        <x:v>12.735</x:v>
      </x:c>
      <x:c r="AH122" s="44" t="n">
        <x:v>15.72</x:v>
      </x:c>
      <x:c r="AI122" s="44" t="n">
        <x:v>1.915</x:v>
      </x:c>
      <x:c r="AJ122" s="44" t="n">
        <x:v>-1.945</x:v>
      </x:c>
      <x:c r="AK122" s="44" t="n">
        <x:v>9</x:v>
      </x:c>
      <x:c r="AL122" s="44" t="n">
        <x:v>7</x:v>
      </x:c>
      <x:c r="AM122" s="44" t="n">
        <x:v>0.26</x:v>
      </x:c>
      <x:c r="AN122" s="44" t="n">
        <x:v>0.215</x:v>
      </x:c>
      <x:c r="AO122" s="44" t="n">
        <x:v>-1.2187999999999999</x:v>
      </x:c>
      <x:c r="AP122" s="44" t="n">
        <x:v>1.2187999999999999</x:v>
      </x:c>
      <x:c r="AQ122" s="44" t="n">
        <x:v>1.2187999999999999</x:v>
      </x:c>
      <x:c r="AR122" s="44" t="n">
        <x:v>0.9107999999999999</x:v>
      </x:c>
      <x:c r="AS122" s="44"/>
      <x:c r="AT122" s="44" t="n">
        <x:v>0.9653</x:v>
      </x:c>
      <x:c r="AU122" s="174" t="n">
        <x:v>39216</x:v>
      </x:c>
      <x:c r="AV122" s="43" t="str">
        <x:v>01:17.25</x:v>
      </x:c>
      <x:c r="AW122" s="43" t="str">
        <x:v>01:17.25-01:18.50</x:v>
      </x:c>
      <x:c r="AX122" s="43" t="str">
        <x:v>s_0076.jpg</x:v>
      </x:c>
      <x:c r="AY122" s="43" t="str">
        <x:v>1000025860.mp4</x:v>
      </x:c>
      <x:c r="AZ122" s="44"/>
      <x:c r="BA122" s="175" t="n">
        <x:v>59</x:v>
      </x:c>
    </x:row>
    <x:row r="123" ht="18" customHeight="1">
      <x:c r="A123" s="43" t="str">
        <x:v>K54</x:v>
      </x:c>
      <x:c r="B123" s="43" t="str">
        <x:v>纵横,,,飞哥</x:v>
      </x:c>
      <x:c r="C123" s="43" t="n">
        <x:v>49196</x:v>
      </x:c>
      <x:c r="D123" s="44" t="n">
        <x:v>2.7009</x:v>
      </x:c>
      <x:c r="E123" s="44" t="n">
        <x:v>2.3759</x:v>
      </x:c>
      <x:c r="F123" s="44" t="n">
        <x:v>2.7558999999999996</x:v>
      </x:c>
      <x:c r="G123" s="44" t="n">
        <x:v>0.39</x:v>
      </x:c>
      <x:c r="H123" s="44" t="n">
        <x:v>-0.39</x:v>
      </x:c>
      <x:c r="I123" s="44" t="n">
        <x:v>2.1896</x:v>
      </x:c>
      <x:c r="J123" s="44" t="n">
        <x:v>1.608</x:v>
      </x:c>
      <x:c r="K123" s="44" t="n">
        <x:v>6.682</x:v>
      </x:c>
      <x:c r="L123" s="44" t="n">
        <x:v>9.7584</x:v>
      </x:c>
      <x:c r="M123" s="44" t="n">
        <x:v>12.772</x:v>
      </x:c>
      <x:c r="N123" s="44" t="n">
        <x:v>1.155</x:v>
      </x:c>
      <x:c r="O123" s="44" t="n">
        <x:v>-1.36</x:v>
      </x:c>
      <x:c r="P123" s="44" t="n">
        <x:v>0.76</x:v>
      </x:c>
      <x:c r="Q123" s="44" t="n">
        <x:v>3.62</x:v>
      </x:c>
      <x:c r="R123" s="44" t="n">
        <x:v>22.5955</x:v>
      </x:c>
      <x:c r="S123" s="44" t="n">
        <x:v>14.9635</x:v>
      </x:c>
      <x:c r="T123" s="44" t="n">
        <x:v>10.137</x:v>
      </x:c>
      <x:c r="U123" s="44" t="n">
        <x:v>1.38</x:v>
      </x:c>
      <x:c r="V123" s="44" t="n">
        <x:v>-1.185</x:v>
      </x:c>
      <x:c r="W123" s="44" t="n">
        <x:v>3.8</x:v>
      </x:c>
      <x:c r="X123" s="44" t="n">
        <x:v>1.88</x:v>
      </x:c>
      <x:c r="Y123" s="44" t="n">
        <x:v>9.942</x:v>
      </x:c>
      <x:c r="Z123" s="44" t="n">
        <x:v>5.892</x:v>
      </x:c>
      <x:c r="AA123" s="44" t="n">
        <x:v>8.0685</x:v>
      </x:c>
      <x:c r="AB123" s="44" t="n">
        <x:v>0.527</x:v>
      </x:c>
      <x:c r="AC123" s="44" t="n">
        <x:v>-0.43700000000000006</x:v>
      </x:c>
      <x:c r="AD123" s="44" t="n">
        <x:v>1.37</x:v>
      </x:c>
      <x:c r="AE123" s="44" t="n">
        <x:v>0.67</x:v>
      </x:c>
      <x:c r="AF123" s="44" t="n">
        <x:v>9.8135</x:v>
      </x:c>
      <x:c r="AG123" s="44" t="n">
        <x:v>3.48</x:v>
      </x:c>
      <x:c r="AH123" s="44" t="n">
        <x:v>9.23</x:v>
      </x:c>
      <x:c r="AI123" s="44" t="n">
        <x:v>0.501</x:v>
      </x:c>
      <x:c r="AJ123" s="44" t="n">
        <x:v>-0.381</x:v>
      </x:c>
      <x:c r="AK123" s="44" t="n">
        <x:v>0.8</x:v>
      </x:c>
      <x:c r="AL123" s="44" t="n">
        <x:v>0.55</x:v>
      </x:c>
      <x:c r="AM123" s="44" t="n">
        <x:v>0.26</x:v>
      </x:c>
      <x:c r="AN123" s="44" t="n">
        <x:v>0.2</x:v>
      </x:c>
      <x:c r="AO123" s="44" t="n">
        <x:v>-1.2187999999999999</x:v>
      </x:c>
      <x:c r="AP123" s="44" t="n">
        <x:v>1.2187999999999999</x:v>
      </x:c>
      <x:c r="AQ123" s="44" t="n">
        <x:v>1.2187999999999999</x:v>
      </x:c>
      <x:c r="AR123" s="44" t="n">
        <x:v>0.9107999999999999</x:v>
      </x:c>
      <x:c r="AS123" s="44"/>
      <x:c r="AT123" s="44" t="n">
        <x:v>0.9653</x:v>
      </x:c>
      <x:c r="AU123" s="174" t="n">
        <x:v>39216</x:v>
      </x:c>
      <x:c r="AV123" s="43" t="str">
        <x:v>01:24.50</x:v>
      </x:c>
      <x:c r="AW123" s="43" t="str">
        <x:v>01:24.50-01:26.00</x:v>
      </x:c>
      <x:c r="AX123" s="43" t="str">
        <x:v>s_0089.jpg</x:v>
      </x:c>
      <x:c r="AY123" s="43" t="str">
        <x:v>1000025860.mp4</x:v>
      </x:c>
      <x:c r="AZ123" s="44"/>
      <x:c r="BA123" s="175" t="n">
        <x:v>59</x:v>
      </x:c>
    </x:row>
    <x:row r="124" ht="18" customHeight="1">
      <x:c r="A124" s="43" t="str">
        <x:v>K54</x:v>
      </x:c>
      <x:c r="B124" s="43" t="str">
        <x:v>纵横,,,金王</x:v>
      </x:c>
      <x:c r="C124" s="43" t="n">
        <x:v>205640</x:v>
      </x:c>
      <x:c r="D124" s="44" t="n">
        <x:v>3.7434</x:v>
      </x:c>
      <x:c r="E124" s="44" t="n">
        <x:v>2.9484</x:v>
      </x:c>
      <x:c r="F124" s="44" t="n">
        <x:v>3.4433999999999996</x:v>
      </x:c>
      <x:c r="G124" s="44" t="n">
        <x:v>0.4375</x:v>
      </x:c>
      <x:c r="H124" s="44" t="n">
        <x:v>-0.4375</x:v>
      </x:c>
      <x:c r="I124" s="44" t="n">
        <x:v>5.4116</x:v>
      </x:c>
      <x:c r="J124" s="44" t="n">
        <x:v>4.1748</x:v>
      </x:c>
      <x:c r="K124" s="44" t="n">
        <x:v>12.187000000000001</x:v>
      </x:c>
      <x:c r="L124" s="44" t="n">
        <x:v>14.1699</x:v>
      </x:c>
      <x:c r="M124" s="44" t="n">
        <x:v>12.652000000000001</x:v>
      </x:c>
      <x:c r="N124" s="44" t="n">
        <x:v>1.4475</x:v>
      </x:c>
      <x:c r="O124" s="44" t="n">
        <x:v>-1.65</x:v>
      </x:c>
      <x:c r="P124" s="44" t="n">
        <x:v>1.66</x:v>
      </x:c>
      <x:c r="Q124" s="44" t="n">
        <x:v>6.16</x:v>
      </x:c>
      <x:c r="R124" s="44" t="n">
        <x:v>26.110500000000002</x:v>
      </x:c>
      <x:c r="S124" s="44" t="n">
        <x:v>13.24</x:v>
      </x:c>
      <x:c r="T124" s="44" t="n">
        <x:v>9.577</x:v>
      </x:c>
      <x:c r="U124" s="44" t="n">
        <x:v>1.695</x:v>
      </x:c>
      <x:c r="V124" s="44" t="n">
        <x:v>-1.4475</x:v>
      </x:c>
      <x:c r="W124" s="44" t="n">
        <x:v>5.75</x:v>
      </x:c>
      <x:c r="X124" s="44" t="n">
        <x:v>3.28</x:v>
      </x:c>
      <x:c r="Y124" s="44" t="n">
        <x:v>21.705</x:v>
      </x:c>
      <x:c r="Z124" s="44" t="n">
        <x:v>13.97</x:v>
      </x:c>
      <x:c r="AA124" s="44" t="n">
        <x:v>12.0635</x:v>
      </x:c>
      <x:c r="AB124" s="44" t="n">
        <x:v>1.72</x:v>
      </x:c>
      <x:c r="AC124" s="44" t="n">
        <x:v>-1.4275</x:v>
      </x:c>
      <x:c r="AD124" s="44" t="n">
        <x:v>6.03</x:v>
      </x:c>
      <x:c r="AE124" s="44" t="n">
        <x:v>3.61</x:v>
      </x:c>
      <x:c r="AF124" s="44" t="n">
        <x:v>20.7635</x:v>
      </x:c>
      <x:c r="AG124" s="44" t="n">
        <x:v>6.025</x:v>
      </x:c>
      <x:c r="AH124" s="44" t="n">
        <x:v>12.64</x:v>
      </x:c>
      <x:c r="AI124" s="44" t="n">
        <x:v>1.6225</x:v>
      </x:c>
      <x:c r="AJ124" s="44" t="n">
        <x:v>-1.365</x:v>
      </x:c>
      <x:c r="AK124" s="44" t="n">
        <x:v>1.78</x:v>
      </x:c>
      <x:c r="AL124" s="44" t="n">
        <x:v>1.43</x:v>
      </x:c>
      <x:c r="AM124" s="44" t="n">
        <x:v>0.26</x:v>
      </x:c>
      <x:c r="AN124" s="44" t="n">
        <x:v>0.25</x:v>
      </x:c>
      <x:c r="AO124" s="44" t="n">
        <x:v>-1.2187999999999999</x:v>
      </x:c>
      <x:c r="AP124" s="44" t="n">
        <x:v>1.2187999999999999</x:v>
      </x:c>
      <x:c r="AQ124" s="44" t="n">
        <x:v>1.2187999999999999</x:v>
      </x:c>
      <x:c r="AR124" s="44" t="n">
        <x:v>0.9107999999999999</x:v>
      </x:c>
      <x:c r="AS124" s="44"/>
      <x:c r="AT124" s="44" t="n">
        <x:v>0.9653</x:v>
      </x:c>
      <x:c r="AU124" s="174" t="n">
        <x:v>39216</x:v>
      </x:c>
      <x:c r="AV124" s="43" t="str">
        <x:v>01:32.75</x:v>
      </x:c>
      <x:c r="AW124" s="43" t="str">
        <x:v>01:32.75-01:34.25</x:v>
      </x:c>
      <x:c r="AX124" s="43" t="str">
        <x:v>s_0099.jpg</x:v>
      </x:c>
      <x:c r="AY124" s="43" t="str">
        <x:v>1000025860.mp4</x:v>
      </x:c>
      <x:c r="AZ124" s="44"/>
      <x:c r="BA124" s="175" t="n">
        <x:v>59</x:v>
      </x:c>
    </x:row>
    <x:row r="125" ht="18" customHeight="1">
      <x:c r="A125" s="43" t="str">
        <x:v>K54</x:v>
      </x:c>
      <x:c r="B125" s="43" t="str">
        <x:v>奕星的殺猪盤</x:v>
      </x:c>
      <x:c r="C125" s="43" t="n">
        <x:v>98392</x:v>
      </x:c>
      <x:c r="D125" s="44" t="n">
        <x:v>3.2358999999999996</x:v>
      </x:c>
      <x:c r="E125" s="44" t="n">
        <x:v>2.3459</x:v>
      </x:c>
      <x:c r="F125" s="44" t="n">
        <x:v>2.8958999999999997</x:v>
      </x:c>
      <x:c r="G125" s="44" t="n">
        <x:v>0.4</x:v>
      </x:c>
      <x:c r="H125" s="44" t="n">
        <x:v>-0.4</x:v>
      </x:c>
      <x:c r="I125" s="44" t="n">
        <x:v>3.4716000000000005</x:v>
      </x:c>
      <x:c r="J125" s="44" t="n">
        <x:v>3.1456</x:v>
      </x:c>
      <x:c r="K125" s="44" t="n">
        <x:v>7.1370000000000005</x:v>
      </x:c>
      <x:c r="L125" s="44" t="n">
        <x:v>14.1099</x:v>
      </x:c>
      <x:c r="M125" s="44" t="n">
        <x:v>14.462</x:v>
      </x:c>
      <x:c r="N125" s="44" t="n">
        <x:v>1.245</x:v>
      </x:c>
      <x:c r="O125" s="44" t="n">
        <x:v>-1.42</x:v>
      </x:c>
      <x:c r="P125" s="44" t="n">
        <x:v>0.76</x:v>
      </x:c>
      <x:c r="Q125" s="44" t="n">
        <x:v>4</x:v>
      </x:c>
      <x:c r="R125" s="44" t="n">
        <x:v>24.6305</x:v>
      </x:c>
      <x:c r="S125" s="44" t="n">
        <x:v>14.6</x:v>
      </x:c>
      <x:c r="T125" s="44" t="n">
        <x:v>10.837</x:v>
      </x:c>
      <x:c r="U125" s="44" t="n">
        <x:v>1.4975</x:v>
      </x:c>
      <x:c r="V125" s="44" t="n">
        <x:v>-1.265</x:v>
      </x:c>
      <x:c r="W125" s="44" t="n">
        <x:v>5</x:v>
      </x:c>
      <x:c r="X125" s="44" t="n">
        <x:v>3.75</x:v>
      </x:c>
      <x:c r="Y125" s="44" t="n">
        <x:v>12.79</x:v>
      </x:c>
      <x:c r="Z125" s="44" t="n">
        <x:v>8.95</x:v>
      </x:c>
      <x:c r="AA125" s="44" t="n">
        <x:v>7.3735</x:v>
      </x:c>
      <x:c r="AB125" s="44" t="n">
        <x:v>0.445</x:v>
      </x:c>
      <x:c r="AC125" s="44" t="n">
        <x:v>-0.43</x:v>
      </x:c>
      <x:c r="AD125" s="44" t="n">
        <x:v>1.2</x:v>
      </x:c>
      <x:c r="AE125" s="44" t="n">
        <x:v>0.75</x:v>
      </x:c>
      <x:c r="AF125" s="44" t="n">
        <x:v>14.3385</x:v>
      </x:c>
      <x:c r="AG125" s="44" t="n">
        <x:v>2.815</x:v>
      </x:c>
      <x:c r="AH125" s="44" t="n">
        <x:v>9.455</x:v>
      </x:c>
      <x:c r="AI125" s="44" t="n">
        <x:v>1.35</x:v>
      </x:c>
      <x:c r="AJ125" s="44" t="n">
        <x:v>-1.125</x:v>
      </x:c>
      <x:c r="AK125" s="44" t="n">
        <x:v>1.23</x:v>
      </x:c>
      <x:c r="AL125" s="44" t="n">
        <x:v>0.51</x:v>
      </x:c>
      <x:c r="AM125" s="44" t="n">
        <x:v>0.26</x:v>
      </x:c>
      <x:c r="AN125" s="44" t="n">
        <x:v>0.22</x:v>
      </x:c>
      <x:c r="AO125" s="44" t="n">
        <x:v>-1.2187999999999999</x:v>
      </x:c>
      <x:c r="AP125" s="44" t="n">
        <x:v>1.2187999999999999</x:v>
      </x:c>
      <x:c r="AQ125" s="44" t="n">
        <x:v>1.2187999999999999</x:v>
      </x:c>
      <x:c r="AR125" s="44" t="n">
        <x:v>0.9107999999999999</x:v>
      </x:c>
      <x:c r="AS125" s="44"/>
      <x:c r="AT125" s="44" t="n">
        <x:v>0.9653</x:v>
      </x:c>
      <x:c r="AU125" s="174" t="n">
        <x:v>39216</x:v>
      </x:c>
      <x:c r="AV125" s="43" t="str">
        <x:v>01:42.75</x:v>
      </x:c>
      <x:c r="AW125" s="43" t="str">
        <x:v>01:42.75-01:44.00</x:v>
      </x:c>
      <x:c r="AX125" s="43" t="str">
        <x:v>s_0107.jpg</x:v>
      </x:c>
      <x:c r="AY125" s="43" t="str">
        <x:v>1000025860.mp4</x:v>
      </x:c>
      <x:c r="AZ125" s="44"/>
      <x:c r="BA125" s="175" t="n">
        <x:v>59</x:v>
      </x:c>
    </x:row>
    <x:row r="126" ht="18" customHeight="1">
      <x:c r="A126" s="43" t="str">
        <x:v>K54</x:v>
      </x:c>
      <x:c r="B126" s="43" t="str">
        <x:v>纵横,,,离火</x:v>
      </x:c>
      <x:c r="C126" s="43" t="n">
        <x:v>206624</x:v>
      </x:c>
      <x:c r="D126" s="44" t="n">
        <x:v>3.6008999999999998</x:v>
      </x:c>
      <x:c r="E126" s="44" t="n">
        <x:v>3.8009</x:v>
      </x:c>
      <x:c r="F126" s="44" t="n">
        <x:v>3.3659</x:v>
      </x:c>
      <x:c r="G126" s="44" t="n">
        <x:v>0.4</x:v>
      </x:c>
      <x:c r="H126" s="44" t="n">
        <x:v>-0.4</x:v>
      </x:c>
      <x:c r="I126" s="44" t="n">
        <x:v>6</x:v>
      </x:c>
      <x:c r="J126" s="44" t="n">
        <x:v>4.376</x:v>
      </x:c>
      <x:c r="K126" s="44" t="n">
        <x:v>10.722000000000001</x:v>
      </x:c>
      <x:c r="L126" s="44" t="n">
        <x:v>11.4099</x:v>
      </x:c>
      <x:c r="M126" s="44" t="n">
        <x:v>11.262</x:v>
      </x:c>
      <x:c r="N126" s="44" t="n">
        <x:v>1.275</x:v>
      </x:c>
      <x:c r="O126" s="44" t="n">
        <x:v>-1.32</x:v>
      </x:c>
      <x:c r="P126" s="44" t="n">
        <x:v>6.1</x:v>
      </x:c>
      <x:c r="Q126" s="44" t="n">
        <x:v>6.1</x:v>
      </x:c>
      <x:c r="R126" s="44" t="n">
        <x:v>21.8105</x:v>
      </x:c>
      <x:c r="S126" s="44" t="n">
        <x:v>14.45</x:v>
      </x:c>
      <x:c r="T126" s="44" t="n">
        <x:v>9.402000000000001</x:v>
      </x:c>
      <x:c r="U126" s="44" t="n">
        <x:v>1.3</x:v>
      </x:c>
      <x:c r="V126" s="44" t="n">
        <x:v>-1.225</x:v>
      </x:c>
      <x:c r="W126" s="44" t="n">
        <x:v>6.1</x:v>
      </x:c>
      <x:c r="X126" s="44" t="n">
        <x:v>6.1</x:v>
      </x:c>
      <x:c r="Y126" s="44" t="n">
        <x:v>17.79</x:v>
      </x:c>
      <x:c r="Z126" s="44" t="n">
        <x:v>12.84</x:v>
      </x:c>
      <x:c r="AA126" s="44" t="n">
        <x:v>11.0985</x:v>
      </x:c>
      <x:c r="AB126" s="44" t="n">
        <x:v>1.3</x:v>
      </x:c>
      <x:c r="AC126" s="44" t="n">
        <x:v>-1.255</x:v>
      </x:c>
      <x:c r="AD126" s="44" t="n">
        <x:v>6.1</x:v>
      </x:c>
      <x:c r="AE126" s="44" t="n">
        <x:v>6.1</x:v>
      </x:c>
      <x:c r="AF126" s="44" t="n">
        <x:v>20.0685</x:v>
      </x:c>
      <x:c r="AG126" s="44" t="n">
        <x:v>6.51</x:v>
      </x:c>
      <x:c r="AH126" s="44" t="n">
        <x:v>14.42</x:v>
      </x:c>
      <x:c r="AI126" s="44" t="n">
        <x:v>1.285</x:v>
      </x:c>
      <x:c r="AJ126" s="44" t="n">
        <x:v>-1.15</x:v>
      </x:c>
      <x:c r="AK126" s="44" t="n">
        <x:v>6.1</x:v>
      </x:c>
      <x:c r="AL126" s="44" t="n">
        <x:v>6.1</x:v>
      </x:c>
      <x:c r="AM126" s="44" t="n">
        <x:v>0.26</x:v>
      </x:c>
      <x:c r="AN126" s="44" t="n">
        <x:v>0.2</x:v>
      </x:c>
      <x:c r="AO126" s="44" t="n">
        <x:v>-1.2187999999999999</x:v>
      </x:c>
      <x:c r="AP126" s="44" t="n">
        <x:v>1.2187999999999999</x:v>
      </x:c>
      <x:c r="AQ126" s="44" t="n">
        <x:v>1.2187999999999999</x:v>
      </x:c>
      <x:c r="AR126" s="44" t="n">
        <x:v>0.9107999999999999</x:v>
      </x:c>
      <x:c r="AS126" s="44"/>
      <x:c r="AT126" s="44" t="n">
        <x:v>0.9653</x:v>
      </x:c>
      <x:c r="AU126" s="174" t="n">
        <x:v>39216</x:v>
      </x:c>
      <x:c r="AV126" s="43" t="str">
        <x:v>01:52.00</x:v>
      </x:c>
      <x:c r="AW126" s="43" t="str">
        <x:v>01:52.00-01:53.25</x:v>
      </x:c>
      <x:c r="AX126" s="43" t="str">
        <x:v>s_0117.jpg</x:v>
      </x:c>
      <x:c r="AY126" s="43" t="str">
        <x:v>1000025860.mp4</x:v>
      </x:c>
      <x:c r="AZ126" s="44"/>
      <x:c r="BA126" s="175" t="n">
        <x:v>59</x:v>
      </x:c>
    </x:row>
    <x:row r="127" ht="18" customHeight="1">
      <x:c r="A127" s="43" t="str">
        <x:v>K54</x:v>
      </x:c>
      <x:c r="B127" s="43" t="str">
        <x:v>ony</x:v>
      </x:c>
      <x:c r="C127" s="43" t="n">
        <x:v>186351</x:v>
      </x:c>
      <x:c r="D127" s="44" t="n">
        <x:v>4.0134</x:v>
      </x:c>
      <x:c r="E127" s="44" t="n">
        <x:v>3.3284</x:v>
      </x:c>
      <x:c r="F127" s="44" t="n">
        <x:v>3.5833999999999997</x:v>
      </x:c>
      <x:c r="G127" s="44" t="n">
        <x:v>0.4375</x:v>
      </x:c>
      <x:c r="H127" s="44" t="n">
        <x:v>-0.415</x:v>
      </x:c>
      <x:c r="I127" s="44" t="n">
        <x:v>6</x:v>
      </x:c>
      <x:c r="J127" s="44" t="n">
        <x:v>4.9272</x:v>
      </x:c>
      <x:c r="K127" s="44" t="n">
        <x:v>12.557</x:v>
      </x:c>
      <x:c r="L127" s="44" t="n">
        <x:v>12.6899</x:v>
      </x:c>
      <x:c r="M127" s="44" t="n">
        <x:v>12.512</x:v>
      </x:c>
      <x:c r="N127" s="44" t="n">
        <x:v>1.4275</x:v>
      </x:c>
      <x:c r="O127" s="44" t="n">
        <x:v>-1.4475</x:v>
      </x:c>
      <x:c r="P127" s="44" t="n">
        <x:v>2.45</x:v>
      </x:c>
      <x:c r="Q127" s="44" t="n">
        <x:v>4.39</x:v>
      </x:c>
      <x:c r="R127" s="44" t="n">
        <x:v>25.7005</x:v>
      </x:c>
      <x:c r="S127" s="44" t="n">
        <x:v>13.92</x:v>
      </x:c>
      <x:c r="T127" s="44" t="n">
        <x:v>10.377</x:v>
      </x:c>
      <x:c r="U127" s="44" t="n">
        <x:v>1.4975</x:v>
      </x:c>
      <x:c r="V127" s="44" t="n">
        <x:v>-1.4175</x:v>
      </x:c>
      <x:c r="W127" s="44" t="n">
        <x:v>5</x:v>
      </x:c>
      <x:c r="X127" s="44" t="n">
        <x:v>3.84</x:v>
      </x:c>
      <x:c r="Y127" s="44" t="n">
        <x:v>19.895</x:v>
      </x:c>
      <x:c r="Z127" s="44" t="n">
        <x:v>13.46</x:v>
      </x:c>
      <x:c r="AA127" s="44" t="n">
        <x:v>12.203499999999998</x:v>
      </x:c>
      <x:c r="AB127" s="44" t="n">
        <x:v>1.5275</x:v>
      </x:c>
      <x:c r="AC127" s="44" t="n">
        <x:v>-1.3775</x:v>
      </x:c>
      <x:c r="AD127" s="44" t="n">
        <x:v>3</x:v>
      </x:c>
      <x:c r="AE127" s="44" t="n">
        <x:v>1.35</x:v>
      </x:c>
      <x:c r="AF127" s="44" t="n">
        <x:v>20.8535</x:v>
      </x:c>
      <x:c r="AG127" s="44" t="n">
        <x:v>6.4</x:v>
      </x:c>
      <x:c r="AH127" s="44" t="n">
        <x:v>12.645</x:v>
      </x:c>
      <x:c r="AI127" s="44" t="n">
        <x:v>1.4275</x:v>
      </x:c>
      <x:c r="AJ127" s="44" t="n">
        <x:v>-1.3475</x:v>
      </x:c>
      <x:c r="AK127" s="44" t="n">
        <x:v>3</x:v>
      </x:c>
      <x:c r="AL127" s="44" t="n">
        <x:v>1.72</x:v>
      </x:c>
      <x:c r="AM127" s="44" t="n">
        <x:v>0.26</x:v>
      </x:c>
      <x:c r="AN127" s="44" t="n">
        <x:v>0.255</x:v>
      </x:c>
      <x:c r="AO127" s="44" t="n">
        <x:v>-1.2187999999999999</x:v>
      </x:c>
      <x:c r="AP127" s="44" t="n">
        <x:v>1.2187999999999999</x:v>
      </x:c>
      <x:c r="AQ127" s="44" t="n">
        <x:v>1.2187999999999999</x:v>
      </x:c>
      <x:c r="AR127" s="44" t="n">
        <x:v>0.9107999999999999</x:v>
      </x:c>
      <x:c r="AS127" s="44"/>
      <x:c r="AT127" s="44" t="n">
        <x:v>0.9653</x:v>
      </x:c>
      <x:c r="AU127" s="174" t="n">
        <x:v>39216</x:v>
      </x:c>
      <x:c r="AV127" s="43" t="str">
        <x:v>02:04.25</x:v>
      </x:c>
      <x:c r="AW127" s="43" t="str">
        <x:v>02:04.25-02:05.75</x:v>
      </x:c>
      <x:c r="AX127" s="43" t="str">
        <x:v>s_0132.jpg</x:v>
      </x:c>
      <x:c r="AY127" s="43" t="str">
        <x:v>1000025860.mp4</x:v>
      </x:c>
      <x:c r="AZ127" s="44"/>
      <x:c r="BA127" s="175" t="n">
        <x:v>59</x:v>
      </x:c>
    </x:row>
    <x:row r="128" ht="18" customHeight="1">
      <x:c r="A128" s="43" t="str">
        <x:v>K197</x:v>
      </x:c>
      <x:c r="B128" s="43" t="str">
        <x:v>Хлебушек</x:v>
      </x:c>
      <x:c r="C128" s="43" t="n">
        <x:v>394366</x:v>
      </x:c>
      <x:c r="D128" s="44" t="n">
        <x:v>5.141</x:v>
      </x:c>
      <x:c r="E128" s="44" t="n">
        <x:v>4.941</x:v>
      </x:c>
      <x:c r="F128" s="44" t="n">
        <x:v>5.141</x:v>
      </x:c>
      <x:c r="G128" s="44" t="n">
        <x:v>0.475</x:v>
      </x:c>
      <x:c r="H128" s="44" t="n">
        <x:v>-0.475</x:v>
      </x:c>
      <x:c r="I128" s="44" t="n">
        <x:v>6</x:v>
      </x:c>
      <x:c r="J128" s="44" t="n">
        <x:v>6</x:v>
      </x:c>
      <x:c r="K128" s="44" t="n">
        <x:v>24.622</x:v>
      </x:c>
      <x:c r="L128" s="44" t="n">
        <x:v>29.695</x:v>
      </x:c>
      <x:c r="M128" s="44" t="n">
        <x:v>25.987</x:v>
      </x:c>
      <x:c r="N128" s="44" t="n">
        <x:v>1.845</x:v>
      </x:c>
      <x:c r="O128" s="44" t="n">
        <x:v>-2.345</x:v>
      </x:c>
      <x:c r="P128" s="44" t="n">
        <x:v>9</x:v>
      </x:c>
      <x:c r="Q128" s="44" t="n">
        <x:v>9</x:v>
      </x:c>
      <x:c r="R128" s="44" t="n">
        <x:v>29.883499999999998</x:v>
      </x:c>
      <x:c r="S128" s="44" t="n">
        <x:v>19.32</x:v>
      </x:c>
      <x:c r="T128" s="44" t="n">
        <x:v>16.08</x:v>
      </x:c>
      <x:c r="U128" s="44" t="n">
        <x:v>2.275</x:v>
      </x:c>
      <x:c r="V128" s="44" t="n">
        <x:v>-1.975</x:v>
      </x:c>
      <x:c r="W128" s="44" t="n">
        <x:v>9</x:v>
      </x:c>
      <x:c r="X128" s="44" t="n">
        <x:v>9</x:v>
      </x:c>
      <x:c r="Y128" s="44" t="n">
        <x:v>26.51</x:v>
      </x:c>
      <x:c r="Z128" s="44" t="n">
        <x:v>18.12</x:v>
      </x:c>
      <x:c r="AA128" s="44" t="n">
        <x:v>15.9935</x:v>
      </x:c>
      <x:c r="AB128" s="44" t="n">
        <x:v>2.045</x:v>
      </x:c>
      <x:c r="AC128" s="44" t="n">
        <x:v>-1.875</x:v>
      </x:c>
      <x:c r="AD128" s="44" t="n">
        <x:v>9</x:v>
      </x:c>
      <x:c r="AE128" s="44" t="n">
        <x:v>9</x:v>
      </x:c>
      <x:c r="AF128" s="44" t="n">
        <x:v>22.89</x:v>
      </x:c>
      <x:c r="AG128" s="44" t="n">
        <x:v>15.44</x:v>
      </x:c>
      <x:c r="AH128" s="44" t="n">
        <x:v>18.405</x:v>
      </x:c>
      <x:c r="AI128" s="44" t="n">
        <x:v>2.045</x:v>
      </x:c>
      <x:c r="AJ128" s="44" t="n">
        <x:v>-1.845</x:v>
      </x:c>
      <x:c r="AK128" s="44" t="n">
        <x:v>9</x:v>
      </x:c>
      <x:c r="AL128" s="44" t="n">
        <x:v>9</x:v>
      </x:c>
      <x:c r="AM128" s="44" t="n">
        <x:v>0.26</x:v>
      </x:c>
      <x:c r="AN128" s="44" t="n">
        <x:v>0.245</x:v>
      </x:c>
      <x:c r="AO128" s="44" t="n">
        <x:v>-1.2187999999999999</x:v>
      </x:c>
      <x:c r="AP128" s="44" t="n">
        <x:v>1.2187999999999999</x:v>
      </x:c>
      <x:c r="AQ128" s="44" t="n">
        <x:v>0.9653</x:v>
      </x:c>
      <x:c r="AR128" s="44" t="n">
        <x:v>1.2187999999999999</x:v>
      </x:c>
      <x:c r="AS128" s="44"/>
      <x:c r="AT128" s="44" t="n">
        <x:v>1.2187999999999999</x:v>
      </x:c>
      <x:c r="AU128" s="174" t="n">
        <x:v>39216</x:v>
      </x:c>
      <x:c r="AV128" s="43" t="str">
        <x:v>00:14.20</x:v>
      </x:c>
      <x:c r="AW128" s="43" t="str">
        <x:v>00:14.20-00:18.40</x:v>
      </x:c>
      <x:c r="AX128" s="43" t="str">
        <x:v>frames_4fps/f_0073.jpg</x:v>
      </x:c>
      <x:c r="AY128" s="43" t="str">
        <x:v>1000025871.mp4</x:v>
      </x:c>
      <x:c r="AZ128" s="44"/>
      <x:c r="BA128" s="175" t="n">
        <x:v>60</x:v>
      </x:c>
    </x:row>
    <x:row r="129" ht="18" customHeight="1">
      <x:c r="A129" s="43" t="str">
        <x:v>K197</x:v>
      </x:c>
      <x:c r="B129" s="43" t="str">
        <x:v>Zakmil23139</x:v>
      </x:c>
      <x:c r="C129" s="43" t="n">
        <x:v>136900</x:v>
      </x:c>
      <x:c r="D129" s="44" t="n">
        <x:v>3.7935000000000003</x:v>
      </x:c>
      <x:c r="E129" s="44" t="n">
        <x:v>2.467</x:v>
      </x:c>
      <x:c r="F129" s="44" t="n">
        <x:v>3.2960000000000003</x:v>
      </x:c>
      <x:c r="G129" s="44" t="n">
        <x:v>0.4375</x:v>
      </x:c>
      <x:c r="H129" s="44" t="n">
        <x:v>-0.415</x:v>
      </x:c>
      <x:c r="I129" s="44" t="n">
        <x:v>5.2408</x:v>
      </x:c>
      <x:c r="J129" s="44" t="n">
        <x:v>1.4804</x:v>
      </x:c>
      <x:c r="K129" s="44" t="n">
        <x:v>16.075</x:v>
      </x:c>
      <x:c r="L129" s="44" t="n">
        <x:v>20.999200000000002</x:v>
      </x:c>
      <x:c r="M129" s="44" t="n">
        <x:v>15.9207</x:v>
      </x:c>
      <x:c r="N129" s="44" t="n">
        <x:v>1.4275</x:v>
      </x:c>
      <x:c r="O129" s="44" t="n">
        <x:v>-1.4875</x:v>
      </x:c>
      <x:c r="P129" s="44" t="n">
        <x:v>2.95</x:v>
      </x:c>
      <x:c r="Q129" s="44" t="n">
        <x:v>7</x:v>
      </x:c>
      <x:c r="R129" s="44" t="n">
        <x:v>16.8</x:v>
      </x:c>
      <x:c r="S129" s="44" t="n">
        <x:v>12</x:v>
      </x:c>
      <x:c r="T129" s="44" t="n">
        <x:v>10.783499999999998</x:v>
      </x:c>
      <x:c r="U129" s="44" t="n">
        <x:v>1.5475</x:v>
      </x:c>
      <x:c r="V129" s="44" t="n">
        <x:v>-1.3475</x:v>
      </x:c>
      <x:c r="W129" s="44" t="n">
        <x:v>5.8</x:v>
      </x:c>
      <x:c r="X129" s="44" t="n">
        <x:v>2.81</x:v>
      </x:c>
      <x:c r="Y129" s="44" t="n">
        <x:v>23.706999999999997</x:v>
      </x:c>
      <x:c r="Z129" s="44" t="n">
        <x:v>18.607</x:v>
      </x:c>
      <x:c r="AA129" s="44" t="n">
        <x:v>13.43</x:v>
      </x:c>
      <x:c r="AB129" s="44" t="n">
        <x:v>1.5875</x:v>
      </x:c>
      <x:c r="AC129" s="44" t="n">
        <x:v>-1.3675</x:v>
      </x:c>
      <x:c r="AD129" s="44" t="n">
        <x:v>7</x:v>
      </x:c>
      <x:c r="AE129" s="44" t="n">
        <x:v>5.37</x:v>
      </x:c>
      <x:c r="AF129" s="44" t="n">
        <x:v>15.58</x:v>
      </x:c>
      <x:c r="AG129" s="44" t="n">
        <x:v>10.98</x:v>
      </x:c>
      <x:c r="AH129" s="44" t="n">
        <x:v>11.915</x:v>
      </x:c>
      <x:c r="AI129" s="44" t="n">
        <x:v>0.61</x:v>
      </x:c>
      <x:c r="AJ129" s="44" t="n">
        <x:v>-0.5275</x:v>
      </x:c>
      <x:c r="AK129" s="44" t="n">
        <x:v>2.82</x:v>
      </x:c>
      <x:c r="AL129" s="44" t="n">
        <x:v>1.47</x:v>
      </x:c>
      <x:c r="AM129" s="44" t="n">
        <x:v>0.26</x:v>
      </x:c>
      <x:c r="AN129" s="44" t="n">
        <x:v>0.205</x:v>
      </x:c>
      <x:c r="AO129" s="44" t="n">
        <x:v>-1.2187999999999999</x:v>
      </x:c>
      <x:c r="AP129" s="44" t="n">
        <x:v>1.2187999999999999</x:v>
      </x:c>
      <x:c r="AQ129" s="44" t="n">
        <x:v>0.9653</x:v>
      </x:c>
      <x:c r="AR129" s="44" t="n">
        <x:v>1.2187999999999999</x:v>
      </x:c>
      <x:c r="AS129" s="44"/>
      <x:c r="AT129" s="44" t="n">
        <x:v>1.2187999999999999</x:v>
      </x:c>
      <x:c r="AU129" s="174" t="n">
        <x:v>39216</x:v>
      </x:c>
      <x:c r="AV129" s="43" t="str">
        <x:v>00:25.70</x:v>
      </x:c>
      <x:c r="AW129" s="43" t="str">
        <x:v>00:25.70-00:27.90</x:v>
      </x:c>
      <x:c r="AX129" s="43" t="str">
        <x:v>frames_4fps/f_0111.jpg</x:v>
      </x:c>
      <x:c r="AY129" s="43" t="str">
        <x:v>1000025871.mp4</x:v>
      </x:c>
      <x:c r="AZ129" s="44"/>
      <x:c r="BA129" s="175" t="n">
        <x:v>60</x:v>
      </x:c>
    </x:row>
    <x:row r="130" ht="18" customHeight="1">
      <x:c r="A130" s="43" t="str">
        <x:v>K197</x:v>
      </x:c>
      <x:c r="B130" s="43" t="str">
        <x:v>NightFury</x:v>
      </x:c>
      <x:c r="C130" s="43" t="n">
        <x:v>84200</x:v>
      </x:c>
      <x:c r="D130" s="44" t="n">
        <x:v>2.6910000000000003</x:v>
      </x:c>
      <x:c r="E130" s="44" t="n">
        <x:v>2.786</x:v>
      </x:c>
      <x:c r="F130" s="44" t="n">
        <x:v>3.1010000000000004</x:v>
      </x:c>
      <x:c r="G130" s="44" t="n">
        <x:v>0.415</x:v>
      </x:c>
      <x:c r="H130" s="44" t="n">
        <x:v>-0.415</x:v>
      </x:c>
      <x:c r="I130" s="44" t="n">
        <x:v>2.2212</x:v>
      </x:c>
      <x:c r="J130" s="44" t="n">
        <x:v>2.0836</x:v>
      </x:c>
      <x:c r="K130" s="44" t="n">
        <x:v>9.165</x:v>
      </x:c>
      <x:c r="L130" s="44" t="n">
        <x:v>18.9592</x:v>
      </x:c>
      <x:c r="M130" s="44" t="n">
        <x:v>11.9607</x:v>
      </x:c>
      <x:c r="N130" s="44" t="n">
        <x:v>1.4475</x:v>
      </x:c>
      <x:c r="O130" s="44" t="n">
        <x:v>-1.57</x:v>
      </x:c>
      <x:c r="P130" s="44" t="n">
        <x:v>0.77</x:v>
      </x:c>
      <x:c r="Q130" s="44" t="n">
        <x:v>1.75</x:v>
      </x:c>
      <x:c r="R130" s="44" t="n">
        <x:v>21.8645</x:v>
      </x:c>
      <x:c r="S130" s="44" t="n">
        <x:v>15.83</x:v>
      </x:c>
      <x:c r="T130" s="44" t="n">
        <x:v>14.362</x:v>
      </x:c>
      <x:c r="U130" s="44" t="n">
        <x:v>1.6425</x:v>
      </x:c>
      <x:c r="V130" s="44" t="n">
        <x:v>-1.4075</x:v>
      </x:c>
      <x:c r="W130" s="44" t="n">
        <x:v>3.16</x:v>
      </x:c>
      <x:c r="X130" s="44" t="n">
        <x:v>2.1</x:v>
      </x:c>
      <x:c r="Y130" s="44" t="n">
        <x:v>14.465</x:v>
      </x:c>
      <x:c r="Z130" s="44" t="n">
        <x:v>11.255</x:v>
      </x:c>
      <x:c r="AA130" s="44" t="n">
        <x:v>7.76</x:v>
      </x:c>
      <x:c r="AB130" s="44" t="n">
        <x:v>1.4975</x:v>
      </x:c>
      <x:c r="AC130" s="44" t="n">
        <x:v>-1.365</x:v>
      </x:c>
      <x:c r="AD130" s="44" t="n">
        <x:v>2.2</x:v>
      </x:c>
      <x:c r="AE130" s="44" t="n">
        <x:v>0.88</x:v>
      </x:c>
      <x:c r="AF130" s="44" t="n">
        <x:v>12.645999999999999</x:v>
      </x:c>
      <x:c r="AG130" s="44" t="n">
        <x:v>6.335</x:v>
      </x:c>
      <x:c r="AH130" s="44" t="n">
        <x:v>9.205</x:v>
      </x:c>
      <x:c r="AI130" s="44" t="n">
        <x:v>0.45049999999999996</x:v>
      </x:c>
      <x:c r="AJ130" s="44" t="n">
        <x:v>-0.43700000000000006</x:v>
      </x:c>
      <x:c r="AK130" s="44" t="n">
        <x:v>0.5</x:v>
      </x:c>
      <x:c r="AL130" s="44" t="n">
        <x:v>0.35</x:v>
      </x:c>
      <x:c r="AM130" s="44" t="n">
        <x:v>0.245</x:v>
      </x:c>
      <x:c r="AN130" s="44" t="n">
        <x:v>0.21</x:v>
      </x:c>
      <x:c r="AO130" s="44" t="n">
        <x:v>-1.2187999999999999</x:v>
      </x:c>
      <x:c r="AP130" s="44" t="n">
        <x:v>1.2187999999999999</x:v>
      </x:c>
      <x:c r="AQ130" s="44" t="n">
        <x:v>0.9653</x:v>
      </x:c>
      <x:c r="AR130" s="44" t="n">
        <x:v>1.2187999999999999</x:v>
      </x:c>
      <x:c r="AS130" s="44"/>
      <x:c r="AT130" s="44" t="n">
        <x:v>1.2187999999999999</x:v>
      </x:c>
      <x:c r="AU130" s="174" t="n">
        <x:v>39216</x:v>
      </x:c>
      <x:c r="AV130" s="43" t="str">
        <x:v>00:33.30</x:v>
      </x:c>
      <x:c r="AW130" s="43" t="str">
        <x:v>00:33.30-00:35.50</x:v>
      </x:c>
      <x:c r="AX130" s="43" t="str">
        <x:v>frames_4fps/f_0141.jpg</x:v>
      </x:c>
      <x:c r="AY130" s="43" t="str">
        <x:v>1000025871.mp4</x:v>
      </x:c>
      <x:c r="AZ130" s="44"/>
      <x:c r="BA130" s="175" t="n">
        <x:v>60</x:v>
      </x:c>
    </x:row>
    <x:row r="131" ht="18" customHeight="1">
      <x:c r="A131" s="43" t="str">
        <x:v>K197</x:v>
      </x:c>
      <x:c r="B131" s="43" t="str">
        <x:v>Saku</x:v>
      </x:c>
      <x:c r="C131" s="43" t="n">
        <x:v>258900</x:v>
      </x:c>
      <x:c r="D131" s="44" t="n">
        <x:v>3.5635000000000003</x:v>
      </x:c>
      <x:c r="E131" s="44" t="n">
        <x:v>3.0435000000000003</x:v>
      </x:c>
      <x:c r="F131" s="44" t="n">
        <x:v>3.5785</x:v>
      </x:c>
      <x:c r="G131" s="44" t="n">
        <x:v>0.4375</x:v>
      </x:c>
      <x:c r="H131" s="44" t="n">
        <x:v>-0.4375</x:v>
      </x:c>
      <x:c r="I131" s="44" t="n">
        <x:v>6</x:v>
      </x:c>
      <x:c r="J131" s="44" t="n">
        <x:v>3.7856</x:v>
      </x:c>
      <x:c r="K131" s="44" t="n">
        <x:v>14.785</x:v>
      </x:c>
      <x:c r="L131" s="44" t="n">
        <x:v>19.8392</x:v>
      </x:c>
      <x:c r="M131" s="44" t="n">
        <x:v>12.240699999999999</x:v>
      </x:c>
      <x:c r="N131" s="44" t="n">
        <x:v>1.4275</x:v>
      </x:c>
      <x:c r="O131" s="44" t="n">
        <x:v>-1.775</x:v>
      </x:c>
      <x:c r="P131" s="44" t="n">
        <x:v>5.38</x:v>
      </x:c>
      <x:c r="Q131" s="44" t="n">
        <x:v>7</x:v>
      </x:c>
      <x:c r="R131" s="44" t="n">
        <x:v>20.78</x:v>
      </x:c>
      <x:c r="S131" s="44" t="n">
        <x:v>18.04</x:v>
      </x:c>
      <x:c r="T131" s="44" t="n">
        <x:v>11.8035</x:v>
      </x:c>
      <x:c r="U131" s="44" t="n">
        <x:v>1.74</x:v>
      </x:c>
      <x:c r="V131" s="44" t="n">
        <x:v>-1.7075</x:v>
      </x:c>
      <x:c r="W131" s="44" t="n">
        <x:v>6.31</x:v>
      </x:c>
      <x:c r="X131" s="44" t="n">
        <x:v>4.74</x:v>
      </x:c>
      <x:c r="Y131" s="44" t="n">
        <x:v>25.197</x:v>
      </x:c>
      <x:c r="Z131" s="44" t="n">
        <x:v>20.697</x:v>
      </x:c>
      <x:c r="AA131" s="44" t="n">
        <x:v>13.25</x:v>
      </x:c>
      <x:c r="AB131" s="44" t="n">
        <x:v>1.7775</x:v>
      </x:c>
      <x:c r="AC131" s="44" t="n">
        <x:v>-1.4875</x:v>
      </x:c>
      <x:c r="AD131" s="44" t="n">
        <x:v>7</x:v>
      </x:c>
      <x:c r="AE131" s="44" t="n">
        <x:v>4.22</x:v>
      </x:c>
      <x:c r="AF131" s="44" t="n">
        <x:v>16.57</x:v>
      </x:c>
      <x:c r="AG131" s="44" t="n">
        <x:v>9.58</x:v>
      </x:c>
      <x:c r="AH131" s="44" t="n">
        <x:v>12.385</x:v>
      </x:c>
      <x:c r="AI131" s="44" t="n">
        <x:v>1.56</x:v>
      </x:c>
      <x:c r="AJ131" s="44" t="n">
        <x:v>-1.605</x:v>
      </x:c>
      <x:c r="AK131" s="44" t="n">
        <x:v>3.57</x:v>
      </x:c>
      <x:c r="AL131" s="44" t="n">
        <x:v>1.97</x:v>
      </x:c>
      <x:c r="AM131" s="44" t="n">
        <x:v>0.26</x:v>
      </x:c>
      <x:c r="AN131" s="44" t="n">
        <x:v>0.25</x:v>
      </x:c>
      <x:c r="AO131" s="44" t="n">
        <x:v>-1.2187999999999999</x:v>
      </x:c>
      <x:c r="AP131" s="44" t="n">
        <x:v>1.2187999999999999</x:v>
      </x:c>
      <x:c r="AQ131" s="44" t="n">
        <x:v>0.9653</x:v>
      </x:c>
      <x:c r="AR131" s="44" t="n">
        <x:v>1.2187999999999999</x:v>
      </x:c>
      <x:c r="AS131" s="44"/>
      <x:c r="AT131" s="44" t="n">
        <x:v>1.2187999999999999</x:v>
      </x:c>
      <x:c r="AU131" s="174" t="n">
        <x:v>39216</x:v>
      </x:c>
      <x:c r="AV131" s="43" t="str">
        <x:v>00:40.60</x:v>
      </x:c>
      <x:c r="AW131" s="43" t="str">
        <x:v>00:40.60-00:42.80</x:v>
      </x:c>
      <x:c r="AX131" s="43" t="str">
        <x:v>frames_4fps/f_0170.jpg</x:v>
      </x:c>
      <x:c r="AY131" s="43" t="str">
        <x:v>1000025871.mp4</x:v>
      </x:c>
      <x:c r="AZ131" s="44"/>
      <x:c r="BA131" s="175" t="n">
        <x:v>60</x:v>
      </x:c>
    </x:row>
    <x:row r="132" ht="18" customHeight="1">
      <x:c r="A132" s="43" t="str">
        <x:v>K197</x:v>
      </x:c>
      <x:c r="B132" s="43" t="str">
        <x:v>Бапм</x:v>
      </x:c>
      <x:c r="C132" s="43" t="n">
        <x:v>74200</x:v>
      </x:c>
      <x:c r="D132" s="44" t="n">
        <x:v>2.9610000000000003</x:v>
      </x:c>
      <x:c r="E132" s="44" t="n">
        <x:v>2.4659999999999997</x:v>
      </x:c>
      <x:c r="F132" s="44" t="n">
        <x:v>2.806</x:v>
      </x:c>
      <x:c r="G132" s="44" t="n">
        <x:v>0.4</x:v>
      </x:c>
      <x:c r="H132" s="44" t="n">
        <x:v>-0.4</x:v>
      </x:c>
      <x:c r="I132" s="44" t="n">
        <x:v>4.1784</x:v>
      </x:c>
      <x:c r="J132" s="44" t="n">
        <x:v>0.0864</x:v>
      </x:c>
      <x:c r="K132" s="44" t="n">
        <x:v>9.362</x:v>
      </x:c>
      <x:c r="L132" s="44" t="n">
        <x:v>9.8734</x:v>
      </x:c>
      <x:c r="M132" s="44" t="n">
        <x:v>11.637</x:v>
      </x:c>
      <x:c r="N132" s="44" t="n">
        <x:v>0.41</x:v>
      </x:c>
      <x:c r="O132" s="44" t="n">
        <x:v>-0.5825</x:v>
      </x:c>
      <x:c r="P132" s="44" t="n">
        <x:v>0.98</x:v>
      </x:c>
      <x:c r="Q132" s="44" t="n">
        <x:v>2.01</x:v>
      </x:c>
      <x:c r="R132" s="44" t="n">
        <x:v>22.1905</x:v>
      </x:c>
      <x:c r="S132" s="44" t="n">
        <x:v>13.533499999999998</x:v>
      </x:c>
      <x:c r="T132" s="44" t="n">
        <x:v>10.567</x:v>
      </x:c>
      <x:c r="U132" s="44" t="n">
        <x:v>1.5225</x:v>
      </x:c>
      <x:c r="V132" s="44" t="n">
        <x:v>-1.3075</x:v>
      </x:c>
      <x:c r="W132" s="44" t="n">
        <x:v>3.48</x:v>
      </x:c>
      <x:c r="X132" s="44" t="n">
        <x:v>2.15</x:v>
      </x:c>
      <x:c r="Y132" s="44" t="n">
        <x:v>10.277000000000001</x:v>
      </x:c>
      <x:c r="Z132" s="44" t="n">
        <x:v>5.347</x:v>
      </x:c>
      <x:c r="AA132" s="44" t="n">
        <x:v>6.9335</x:v>
      </x:c>
      <x:c r="AB132" s="44" t="n">
        <x:v>0.365</x:v>
      </x:c>
      <x:c r="AC132" s="44" t="n">
        <x:v>-0.37</x:v>
      </x:c>
      <x:c r="AD132" s="44" t="n">
        <x:v>0.79</x:v>
      </x:c>
      <x:c r="AE132" s="44" t="n">
        <x:v>0.63</x:v>
      </x:c>
      <x:c r="AF132" s="44" t="n">
        <x:v>10.353499999999999</x:v>
      </x:c>
      <x:c r="AG132" s="44" t="n">
        <x:v>3.37</x:v>
      </x:c>
      <x:c r="AH132" s="44" t="n">
        <x:v>8.305</x:v>
      </x:c>
      <x:c r="AI132" s="44" t="n">
        <x:v>0.385</x:v>
      </x:c>
      <x:c r="AJ132" s="44" t="n">
        <x:v>-0.25</x:v>
      </x:c>
      <x:c r="AK132" s="44" t="n">
        <x:v>0.43</x:v>
      </x:c>
      <x:c r="AL132" s="44" t="n">
        <x:v>0.4</x:v>
      </x:c>
      <x:c r="AM132" s="44" t="n">
        <x:v>0.26</x:v>
      </x:c>
      <x:c r="AN132" s="44" t="n">
        <x:v>0.21</x:v>
      </x:c>
      <x:c r="AO132" s="44" t="n">
        <x:v>-1.2187999999999999</x:v>
      </x:c>
      <x:c r="AP132" s="44" t="n">
        <x:v>1.2187999999999999</x:v>
      </x:c>
      <x:c r="AQ132" s="44" t="n">
        <x:v>0.9653</x:v>
      </x:c>
      <x:c r="AR132" s="44" t="n">
        <x:v>1.2187999999999999</x:v>
      </x:c>
      <x:c r="AS132" s="44"/>
      <x:c r="AT132" s="44" t="n">
        <x:v>1.2187999999999999</x:v>
      </x:c>
      <x:c r="AU132" s="174" t="n">
        <x:v>39216</x:v>
      </x:c>
      <x:c r="AV132" s="43" t="str">
        <x:v>00:48.20</x:v>
      </x:c>
      <x:c r="AW132" s="43" t="str">
        <x:v>00:48.20-00:50.40</x:v>
      </x:c>
      <x:c r="AX132" s="43" t="str">
        <x:v>frames_4fps/f_0201.jpg</x:v>
      </x:c>
      <x:c r="AY132" s="43" t="str">
        <x:v>1000025871.mp4</x:v>
      </x:c>
      <x:c r="AZ132" s="44"/>
      <x:c r="BA132" s="175" t="n">
        <x:v>60</x:v>
      </x:c>
    </x:row>
    <x:row r="133" ht="18" customHeight="1">
      <x:c r="A133" s="43" t="str">
        <x:v>K197</x:v>
      </x:c>
      <x:c r="B133" s="43" t="str">
        <x:v>Oiuuuuuuuuuuuuu</x:v>
      </x:c>
      <x:c r="C133" s="43" t="n">
        <x:v>178050</x:v>
      </x:c>
      <x:c r="D133" s="44" t="n">
        <x:v>3.6946</x:v>
      </x:c>
      <x:c r="E133" s="44" t="n">
        <x:v>2.866</x:v>
      </x:c>
      <x:c r="F133" s="44" t="n">
        <x:v>3.0210000000000004</x:v>
      </x:c>
      <x:c r="G133" s="44" t="n">
        <x:v>0.4375</x:v>
      </x:c>
      <x:c r="H133" s="44" t="n">
        <x:v>-0.415</x:v>
      </x:c>
      <x:c r="I133" s="44" t="n">
        <x:v>6</x:v>
      </x:c>
      <x:c r="J133" s="44" t="n">
        <x:v>1.284</x:v>
      </x:c>
      <x:c r="K133" s="44" t="n">
        <x:v>9.402000000000001</x:v>
      </x:c>
      <x:c r="L133" s="44" t="n">
        <x:v>17.7454</x:v>
      </x:c>
      <x:c r="M133" s="44" t="n">
        <x:v>13.1657</x:v>
      </x:c>
      <x:c r="N133" s="44" t="n">
        <x:v>0.5725</x:v>
      </x:c>
      <x:c r="O133" s="44" t="n">
        <x:v>-0.7925</x:v>
      </x:c>
      <x:c r="P133" s="44" t="n">
        <x:v>1.75</x:v>
      </x:c>
      <x:c r="Q133" s="44" t="n">
        <x:v>3.23</x:v>
      </x:c>
      <x:c r="R133" s="44" t="n">
        <x:v>12.4</x:v>
      </x:c>
      <x:c r="S133" s="44" t="n">
        <x:v>10.46</x:v>
      </x:c>
      <x:c r="T133" s="44" t="n">
        <x:v>6.827000000000001</x:v>
      </x:c>
      <x:c r="U133" s="44" t="n">
        <x:v>1.5275</x:v>
      </x:c>
      <x:c r="V133" s="44" t="n">
        <x:v>-1.285</x:v>
      </x:c>
      <x:c r="W133" s="44" t="n">
        <x:v>3.01</x:v>
      </x:c>
      <x:c r="X133" s="44" t="n">
        <x:v>2.04</x:v>
      </x:c>
      <x:c r="Y133" s="44" t="n">
        <x:v>26.4205</x:v>
      </x:c>
      <x:c r="Z133" s="44" t="n">
        <x:v>19.057000000000002</x:v>
      </x:c>
      <x:c r="AA133" s="44" t="n">
        <x:v>10.52</x:v>
      </x:c>
      <x:c r="AB133" s="44" t="n">
        <x:v>1.6525</x:v>
      </x:c>
      <x:c r="AC133" s="44" t="n">
        <x:v>-1.4475</x:v>
      </x:c>
      <x:c r="AD133" s="44" t="n">
        <x:v>4.91</x:v>
      </x:c>
      <x:c r="AE133" s="44" t="n">
        <x:v>3.1</x:v>
      </x:c>
      <x:c r="AF133" s="44" t="n">
        <x:v>10.967</x:v>
      </x:c>
      <x:c r="AG133" s="44" t="n">
        <x:v>6.837000000000001</x:v>
      </x:c>
      <x:c r="AH133" s="44" t="n">
        <x:v>4.405</x:v>
      </x:c>
      <x:c r="AI133" s="44" t="n">
        <x:v>0.555</x:v>
      </x:c>
      <x:c r="AJ133" s="44" t="n">
        <x:v>-0.41</x:v>
      </x:c>
      <x:c r="AK133" s="44" t="n">
        <x:v>1.36</x:v>
      </x:c>
      <x:c r="AL133" s="44" t="n">
        <x:v>0.89</x:v>
      </x:c>
      <x:c r="AM133" s="44" t="n">
        <x:v>0.26</x:v>
      </x:c>
      <x:c r="AN133" s="44" t="n">
        <x:v>0.235</x:v>
      </x:c>
      <x:c r="AO133" s="44" t="n">
        <x:v>-1.2187999999999999</x:v>
      </x:c>
      <x:c r="AP133" s="44" t="n">
        <x:v>1.2187999999999999</x:v>
      </x:c>
      <x:c r="AQ133" s="44" t="n">
        <x:v>0.9653</x:v>
      </x:c>
      <x:c r="AR133" s="44" t="n">
        <x:v>1.2187999999999999</x:v>
      </x:c>
      <x:c r="AS133" s="44"/>
      <x:c r="AT133" s="44" t="n">
        <x:v>1.2187999999999999</x:v>
      </x:c>
      <x:c r="AU133" s="174" t="n">
        <x:v>39216</x:v>
      </x:c>
      <x:c r="AV133" s="43" t="str">
        <x:v>00:57.10</x:v>
      </x:c>
      <x:c r="AW133" s="43" t="str">
        <x:v>00:57.10-00:59.00</x:v>
      </x:c>
      <x:c r="AX133" s="43" t="str">
        <x:v>frames_4fps/f_0235.jpg</x:v>
      </x:c>
      <x:c r="AY133" s="43" t="str">
        <x:v>1000025871.mp4</x:v>
      </x:c>
      <x:c r="AZ133" s="44"/>
      <x:c r="BA133" s="175" t="n">
        <x:v>60</x:v>
      </x:c>
    </x:row>
    <x:row r="134" ht="18" customHeight="1">
      <x:c r="A134" s="43" t="str">
        <x:v>K197</x:v>
      </x:c>
      <x:c r="B134" s="43" t="str">
        <x:v>々нυηтєя々</x:v>
      </x:c>
      <x:c r="C134" s="43" t="n">
        <x:v>84200</x:v>
      </x:c>
      <x:c r="D134" s="44" t="n">
        <x:v>3.4471</x:v>
      </x:c>
      <x:c r="E134" s="44" t="n">
        <x:v>2.311</x:v>
      </x:c>
      <x:c r="F134" s="44" t="n">
        <x:v>2.821</x:v>
      </x:c>
      <x:c r="G134" s="44" t="n">
        <x:v>0.415</x:v>
      </x:c>
      <x:c r="H134" s="44" t="n">
        <x:v>-0.415</x:v>
      </x:c>
      <x:c r="I134" s="44" t="n">
        <x:v>5.145599999999999</x:v>
      </x:c>
      <x:c r="J134" s="44" t="n">
        <x:v>0.4056</x:v>
      </x:c>
      <x:c r="K134" s="44" t="n">
        <x:v>7.992000000000001</x:v>
      </x:c>
      <x:c r="L134" s="44" t="n">
        <x:v>17.3854</x:v>
      </x:c>
      <x:c r="M134" s="44" t="n">
        <x:v>11.83</x:v>
      </x:c>
      <x:c r="N134" s="44" t="n">
        <x:v>1.49</x:v>
      </x:c>
      <x:c r="O134" s="44" t="n">
        <x:v>-0.75</x:v>
      </x:c>
      <x:c r="P134" s="44" t="n">
        <x:v>1.04</x:v>
      </x:c>
      <x:c r="Q134" s="44" t="n">
        <x:v>3.38</x:v>
      </x:c>
      <x:c r="R134" s="44" t="n">
        <x:v>11.485</x:v>
      </x:c>
      <x:c r="S134" s="44" t="n">
        <x:v>8.985</x:v>
      </x:c>
      <x:c r="T134" s="44" t="n">
        <x:v>5.457000000000001</x:v>
      </x:c>
      <x:c r="U134" s="44" t="n">
        <x:v>1.4825</x:v>
      </x:c>
      <x:c r="V134" s="44" t="n">
        <x:v>-1.305</x:v>
      </x:c>
      <x:c r="W134" s="44" t="n">
        <x:v>1.36</x:v>
      </x:c>
      <x:c r="X134" s="44" t="n">
        <x:v>0.72</x:v>
      </x:c>
      <x:c r="Y134" s="44" t="n">
        <x:v>23.750500000000002</x:v>
      </x:c>
      <x:c r="Z134" s="44" t="n">
        <x:v>17.497</x:v>
      </x:c>
      <x:c r="AA134" s="44" t="n">
        <x:v>8.65</x:v>
      </x:c>
      <x:c r="AB134" s="44" t="n">
        <x:v>1.6675</x:v>
      </x:c>
      <x:c r="AC134" s="44" t="n">
        <x:v>-1.4475</x:v>
      </x:c>
      <x:c r="AD134" s="44" t="n">
        <x:v>4.9</x:v>
      </x:c>
      <x:c r="AE134" s="44" t="n">
        <x:v>2.2</x:v>
      </x:c>
      <x:c r="AF134" s="44" t="n">
        <x:v>9.817</x:v>
      </x:c>
      <x:c r="AG134" s="44" t="n">
        <x:v>6.007000000000001</x:v>
      </x:c>
      <x:c r="AH134" s="44" t="n">
        <x:v>3.765</x:v>
      </x:c>
      <x:c r="AI134" s="44" t="n">
        <x:v>0.47</x:v>
      </x:c>
      <x:c r="AJ134" s="44" t="n">
        <x:v>-0.41</x:v>
      </x:c>
      <x:c r="AK134" s="44" t="n">
        <x:v>0.88</x:v>
      </x:c>
      <x:c r="AL134" s="44" t="n">
        <x:v>0.67</x:v>
      </x:c>
      <x:c r="AM134" s="44" t="n">
        <x:v>0.26</x:v>
      </x:c>
      <x:c r="AN134" s="44" t="n">
        <x:v>0.24</x:v>
      </x:c>
      <x:c r="AO134" s="44" t="n">
        <x:v>-1.2187999999999999</x:v>
      </x:c>
      <x:c r="AP134" s="44" t="n">
        <x:v>1.2187999999999999</x:v>
      </x:c>
      <x:c r="AQ134" s="44" t="n">
        <x:v>0.9653</x:v>
      </x:c>
      <x:c r="AR134" s="44" t="n">
        <x:v>1.2187999999999999</x:v>
      </x:c>
      <x:c r="AS134" s="44"/>
      <x:c r="AT134" s="44" t="n">
        <x:v>1.2187999999999999</x:v>
      </x:c>
      <x:c r="AU134" s="174" t="n">
        <x:v>39216</x:v>
      </x:c>
      <x:c r="AV134" s="43" t="str">
        <x:v>01:03.50</x:v>
      </x:c>
      <x:c r="AW134" s="43" t="str">
        <x:v>01:03.50-01:05.50</x:v>
      </x:c>
      <x:c r="AX134" s="43" t="str">
        <x:v>frames_4fps/f_0261.jpg</x:v>
      </x:c>
      <x:c r="AY134" s="43" t="str">
        <x:v>1000025871.mp4</x:v>
      </x:c>
      <x:c r="AZ134" s="44"/>
      <x:c r="BA134" s="175" t="n">
        <x:v>60</x:v>
      </x:c>
    </x:row>
    <x:row r="135" ht="18" customHeight="1">
      <x:c r="A135" s="43" t="str">
        <x:v>K197</x:v>
      </x:c>
      <x:c r="B135" s="43" t="str">
        <x:v>Caramel</x:v>
      </x:c>
      <x:c r="C135" s="43" t="n">
        <x:v>74200</x:v>
      </x:c>
      <x:c r="D135" s="44" t="n">
        <x:v>2.7070999999999996</x:v>
      </x:c>
      <x:c r="E135" s="44" t="n">
        <x:v>1.896</x:v>
      </x:c>
      <x:c r="F135" s="44" t="n">
        <x:v>2.421</x:v>
      </x:c>
      <x:c r="G135" s="44" t="n">
        <x:v>0.4</x:v>
      </x:c>
      <x:c r="H135" s="44" t="n">
        <x:v>-0.4</x:v>
      </x:c>
      <x:c r="I135" s="44" t="n">
        <x:v>3.5808</x:v>
      </x:c>
      <x:c r="J135" s="44" t="n">
        <x:v>0.01</x:v>
      </x:c>
      <x:c r="K135" s="44" t="n">
        <x:v>5.312</x:v>
      </x:c>
      <x:c r="L135" s="44" t="n">
        <x:v>13.1312</x:v>
      </x:c>
      <x:c r="M135" s="44" t="n">
        <x:v>9.8942</x:v>
      </x:c>
      <x:c r="N135" s="44" t="n">
        <x:v>0.47</x:v>
      </x:c>
      <x:c r="O135" s="44" t="n">
        <x:v>-0.485</x:v>
      </x:c>
      <x:c r="P135" s="44" t="n">
        <x:v>0.52</x:v>
      </x:c>
      <x:c r="Q135" s="44" t="n">
        <x:v>1.66</x:v>
      </x:c>
      <x:c r="R135" s="44" t="n">
        <x:v>9.8175</x:v>
      </x:c>
      <x:c r="S135" s="44" t="n">
        <x:v>7.76</x:v>
      </x:c>
      <x:c r="T135" s="44" t="n">
        <x:v>3.5485</x:v>
      </x:c>
      <x:c r="U135" s="44" t="n">
        <x:v>0.4225</x:v>
      </x:c>
      <x:c r="V135" s="44" t="n">
        <x:v>-0.31</x:v>
      </x:c>
      <x:c r="W135" s="44" t="n">
        <x:v>1.08</x:v>
      </x:c>
      <x:c r="X135" s="44" t="n">
        <x:v>0.3</x:v>
      </x:c>
      <x:c r="Y135" s="44" t="n">
        <x:v>21.8855</x:v>
      </x:c>
      <x:c r="Z135" s="44" t="n">
        <x:v>13.4</x:v>
      </x:c>
      <x:c r="AA135" s="44" t="n">
        <x:v>9.012</x:v>
      </x:c>
      <x:c r="AB135" s="44" t="n">
        <x:v>1.5375</x:v>
      </x:c>
      <x:c r="AC135" s="44" t="n">
        <x:v>-1.245</x:v>
      </x:c>
      <x:c r="AD135" s="44" t="n">
        <x:v>3.03</x:v>
      </x:c>
      <x:c r="AE135" s="44" t="n">
        <x:v>1.66</x:v>
      </x:c>
      <x:c r="AF135" s="44" t="n">
        <x:v>10.583</x:v>
      </x:c>
      <x:c r="AG135" s="44" t="n">
        <x:v>4.667</x:v>
      </x:c>
      <x:c r="AH135" s="44" t="n">
        <x:v>2.575</x:v>
      </x:c>
      <x:c r="AI135" s="44" t="n">
        <x:v>0.23850000000000002</x:v>
      </x:c>
      <x:c r="AJ135" s="44" t="n">
        <x:v>-0.23</x:v>
      </x:c>
      <x:c r="AK135" s="44" t="n">
        <x:v>0.34</x:v>
      </x:c>
      <x:c r="AL135" s="44" t="n">
        <x:v>0.29</x:v>
      </x:c>
      <x:c r="AM135" s="44" t="n">
        <x:v>0.245</x:v>
      </x:c>
      <x:c r="AN135" s="44" t="n">
        <x:v>0.2</x:v>
      </x:c>
      <x:c r="AO135" s="44" t="n">
        <x:v>-1.2187999999999999</x:v>
      </x:c>
      <x:c r="AP135" s="44" t="n">
        <x:v>1.2187999999999999</x:v>
      </x:c>
      <x:c r="AQ135" s="44" t="n">
        <x:v>0.9653</x:v>
      </x:c>
      <x:c r="AR135" s="44" t="n">
        <x:v>1.2187999999999999</x:v>
      </x:c>
      <x:c r="AS135" s="44"/>
      <x:c r="AT135" s="44" t="n">
        <x:v>1.2187999999999999</x:v>
      </x:c>
      <x:c r="AU135" s="174" t="n">
        <x:v>39216</x:v>
      </x:c>
      <x:c r="AV135" s="43" t="str">
        <x:v>01:10.10</x:v>
      </x:c>
      <x:c r="AW135" s="43" t="str">
        <x:v>01:10.10-01:12.50</x:v>
      </x:c>
      <x:c r="AX135" s="43" t="str">
        <x:v>frames_4fps/f_0289.jpg</x:v>
      </x:c>
      <x:c r="AY135" s="43" t="str">
        <x:v>1000025871.mp4</x:v>
      </x:c>
      <x:c r="AZ135" s="44"/>
      <x:c r="BA135" s="175" t="n">
        <x:v>60</x:v>
      </x:c>
    </x:row>
    <x:row r="136" ht="18" customHeight="1">
      <x:c r="A136" s="43" t="str">
        <x:v>K197</x:v>
      </x:c>
      <x:c r="B136" s="43" t="str">
        <x:v>†ŁØRD†</x:v>
      </x:c>
      <x:c r="C136" s="43" t="n">
        <x:v>83850</x:v>
      </x:c>
      <x:c r="D136" s="44" t="n">
        <x:v>3.0995999999999997</x:v>
      </x:c>
      <x:c r="E136" s="44" t="n">
        <x:v>2.131</x:v>
      </x:c>
      <x:c r="F136" s="44" t="n">
        <x:v>2.406</x:v>
      </x:c>
      <x:c r="G136" s="44" t="n">
        <x:v>0.415</x:v>
      </x:c>
      <x:c r="H136" s="44" t="n">
        <x:v>-0.4</x:v>
      </x:c>
      <x:c r="I136" s="44" t="n">
        <x:v>3.1460000000000004</x:v>
      </x:c>
      <x:c r="J136" s="44" t="n">
        <x:v>1.7975999999999999</x:v>
      </x:c>
      <x:c r="K136" s="44" t="n">
        <x:v>8.362</x:v>
      </x:c>
      <x:c r="L136" s="44" t="n">
        <x:v>15.2412</x:v>
      </x:c>
      <x:c r="M136" s="44" t="n">
        <x:v>13.0749</x:v>
      </x:c>
      <x:c r="N136" s="44" t="n">
        <x:v>1.325</x:v>
      </x:c>
      <x:c r="O136" s="44" t="n">
        <x:v>-1.475</x:v>
      </x:c>
      <x:c r="P136" s="44" t="n">
        <x:v>0.92</x:v>
      </x:c>
      <x:c r="Q136" s="44" t="n">
        <x:v>1.75</x:v>
      </x:c>
      <x:c r="R136" s="44" t="n">
        <x:v>13.45</x:v>
      </x:c>
      <x:c r="S136" s="44" t="n">
        <x:v>10.71</x:v>
      </x:c>
      <x:c r="T136" s="44" t="n">
        <x:v>5.6535</x:v>
      </x:c>
      <x:c r="U136" s="44" t="n">
        <x:v>1.425</x:v>
      </x:c>
      <x:c r="V136" s="44" t="n">
        <x:v>-1.245</x:v>
      </x:c>
      <x:c r="W136" s="44" t="n">
        <x:v>0.92</x:v>
      </x:c>
      <x:c r="X136" s="44" t="n">
        <x:v>0.63</x:v>
      </x:c>
      <x:c r="Y136" s="44" t="n">
        <x:v>22.5805</x:v>
      </x:c>
      <x:c r="Z136" s="44" t="n">
        <x:v>12.16</x:v>
      </x:c>
      <x:c r="AA136" s="44" t="n">
        <x:v>7.997000000000001</x:v>
      </x:c>
      <x:c r="AB136" s="44" t="n">
        <x:v>1.5475</x:v>
      </x:c>
      <x:c r="AC136" s="44" t="n">
        <x:v>-1.305</x:v>
      </x:c>
      <x:c r="AD136" s="44" t="n">
        <x:v>2.15</x:v>
      </x:c>
      <x:c r="AE136" s="44" t="n">
        <x:v>1.28</x:v>
      </x:c>
      <x:c r="AF136" s="44" t="n">
        <x:v>9.250499999999999</x:v>
      </x:c>
      <x:c r="AG136" s="44" t="n">
        <x:v>5.367000000000001</x:v>
      </x:c>
      <x:c r="AH136" s="44" t="n">
        <x:v>2.615</x:v>
      </x:c>
      <x:c r="AI136" s="44" t="n">
        <x:v>0.47</x:v>
      </x:c>
      <x:c r="AJ136" s="44" t="n">
        <x:v>-0.25</x:v>
      </x:c>
      <x:c r="AK136" s="44" t="n">
        <x:v>0.66</x:v>
      </x:c>
      <x:c r="AL136" s="44" t="n">
        <x:v>0.54</x:v>
      </x:c>
      <x:c r="AM136" s="44" t="n">
        <x:v>0.26</x:v>
      </x:c>
      <x:c r="AN136" s="44" t="n">
        <x:v>0.22</x:v>
      </x:c>
      <x:c r="AO136" s="44" t="n">
        <x:v>-1.2187999999999999</x:v>
      </x:c>
      <x:c r="AP136" s="44" t="n">
        <x:v>1.2187999999999999</x:v>
      </x:c>
      <x:c r="AQ136" s="44" t="n">
        <x:v>0.9653</x:v>
      </x:c>
      <x:c r="AR136" s="44" t="n">
        <x:v>1.2187999999999999</x:v>
      </x:c>
      <x:c r="AS136" s="44"/>
      <x:c r="AT136" s="44" t="n">
        <x:v>1.2187999999999999</x:v>
      </x:c>
      <x:c r="AU136" s="174" t="n">
        <x:v>39216</x:v>
      </x:c>
      <x:c r="AV136" s="43" t="str">
        <x:v>01:15.90</x:v>
      </x:c>
      <x:c r="AW136" s="43" t="str">
        <x:v>01:15.90-01:17.80</x:v>
      </x:c>
      <x:c r="AX136" s="43" t="str">
        <x:v>frames_4fps/f_0310.jpg</x:v>
      </x:c>
      <x:c r="AY136" s="43" t="str">
        <x:v>1000025871.mp4</x:v>
      </x:c>
      <x:c r="AZ136" s="44"/>
      <x:c r="BA136" s="175" t="n">
        <x:v>60</x:v>
      </x:c>
    </x:row>
    <x:row r="137" ht="18" customHeight="1">
      <x:c r="A137" s="43" t="str">
        <x:v>K197</x:v>
      </x:c>
      <x:c r="B137" s="43" t="str">
        <x:v>RΣDΣYΣ</x:v>
      </x:c>
      <x:c r="C137" s="43" t="n">
        <x:v>117700</x:v>
      </x:c>
      <x:c r="D137" s="44" t="n">
        <x:v>3.111</x:v>
      </x:c>
      <x:c r="E137" s="44" t="n">
        <x:v>2.456</x:v>
      </x:c>
      <x:c r="F137" s="44" t="n">
        <x:v>2.891</x:v>
      </x:c>
      <x:c r="G137" s="44" t="n">
        <x:v>0.415</x:v>
      </x:c>
      <x:c r="H137" s="44" t="n">
        <x:v>-0.415</x:v>
      </x:c>
      <x:c r="I137" s="44" t="n">
        <x:v>5.66</x:v>
      </x:c>
      <x:c r="J137" s="44" t="n">
        <x:v>0.92</x:v>
      </x:c>
      <x:c r="K137" s="44" t="n">
        <x:v>16.752</x:v>
      </x:c>
      <x:c r="L137" s="44" t="n">
        <x:v>18.745</x:v>
      </x:c>
      <x:c r="M137" s="44" t="n">
        <x:v>14.817</x:v>
      </x:c>
      <x:c r="N137" s="44" t="n">
        <x:v>1.49</x:v>
      </x:c>
      <x:c r="O137" s="44" t="n">
        <x:v>-0.7725</x:v>
      </x:c>
      <x:c r="P137" s="44" t="n">
        <x:v>1.16</x:v>
      </x:c>
      <x:c r="Q137" s="44" t="n">
        <x:v>5.04</x:v>
      </x:c>
      <x:c r="R137" s="44" t="n">
        <x:v>18.293499999999998</x:v>
      </x:c>
      <x:c r="S137" s="44" t="n">
        <x:v>11.345</x:v>
      </x:c>
      <x:c r="T137" s="44" t="n">
        <x:v>8.725</x:v>
      </x:c>
      <x:c r="U137" s="44" t="n">
        <x:v>1.4025</x:v>
      </x:c>
      <x:c r="V137" s="44" t="n">
        <x:v>-1.285</x:v>
      </x:c>
      <x:c r="W137" s="44" t="n">
        <x:v>2.49</x:v>
      </x:c>
      <x:c r="X137" s="44" t="n">
        <x:v>1.03</x:v>
      </x:c>
      <x:c r="Y137" s="44" t="n">
        <x:v>21.32</x:v>
      </x:c>
      <x:c r="Z137" s="44" t="n">
        <x:v>13.13</x:v>
      </x:c>
      <x:c r="AA137" s="44" t="n">
        <x:v>10.2435</x:v>
      </x:c>
      <x:c r="AB137" s="44" t="n">
        <x:v>1.6675</x:v>
      </x:c>
      <x:c r="AC137" s="44" t="n">
        <x:v>-1.4475</x:v>
      </x:c>
      <x:c r="AD137" s="44" t="n">
        <x:v>5.16</x:v>
      </x:c>
      <x:c r="AE137" s="44" t="n">
        <x:v>2.53</x:v>
      </x:c>
      <x:c r="AF137" s="44" t="n">
        <x:v>12.21</x:v>
      </x:c>
      <x:c r="AG137" s="44" t="n">
        <x:v>7.12</x:v>
      </x:c>
      <x:c r="AH137" s="44" t="n">
        <x:v>8.645</x:v>
      </x:c>
      <x:c r="AI137" s="44" t="n">
        <x:v>0.37</x:v>
      </x:c>
      <x:c r="AJ137" s="44" t="n">
        <x:v>-0.41</x:v>
      </x:c>
      <x:c r="AK137" s="44" t="n">
        <x:v>1.13</x:v>
      </x:c>
      <x:c r="AL137" s="44" t="n">
        <x:v>0.73</x:v>
      </x:c>
      <x:c r="AM137" s="44" t="n">
        <x:v>0.26</x:v>
      </x:c>
      <x:c r="AN137" s="44" t="n">
        <x:v>0.24</x:v>
      </x:c>
      <x:c r="AO137" s="44" t="n">
        <x:v>-1.2187999999999999</x:v>
      </x:c>
      <x:c r="AP137" s="44" t="n">
        <x:v>1.2187999999999999</x:v>
      </x:c>
      <x:c r="AQ137" s="44" t="n">
        <x:v>0.9653</x:v>
      </x:c>
      <x:c r="AR137" s="44" t="n">
        <x:v>1.2187999999999999</x:v>
      </x:c>
      <x:c r="AS137" s="44"/>
      <x:c r="AT137" s="44" t="n">
        <x:v>1.2187999999999999</x:v>
      </x:c>
      <x:c r="AU137" s="174" t="n">
        <x:v>39216</x:v>
      </x:c>
      <x:c r="AV137" s="43" t="str">
        <x:v>01:23.80</x:v>
      </x:c>
      <x:c r="AW137" s="43" t="str">
        <x:v>01:23.80-01:25.50</x:v>
      </x:c>
      <x:c r="AX137" s="43" t="str">
        <x:v>frames_4fps/f_0341.jpg</x:v>
      </x:c>
      <x:c r="AY137" s="43" t="str">
        <x:v>1000025871.mp4</x:v>
      </x:c>
      <x:c r="AZ137" s="44"/>
      <x:c r="BA137" s="175" t="n">
        <x:v>60</x:v>
      </x:c>
    </x:row>
    <x:row r="138" ht="18" customHeight="1">
      <x:c r="A138" s="43" t="str">
        <x:v>K197</x:v>
      </x:c>
      <x:c r="B138" s="43" t="str">
        <x:v>Loong</x:v>
      </x:c>
      <x:c r="C138" s="43" t="n">
        <x:v>182650</x:v>
      </x:c>
      <x:c r="D138" s="44" t="n">
        <x:v>3.6946</x:v>
      </x:c>
      <x:c r="E138" s="44" t="n">
        <x:v>2.5435</x:v>
      </x:c>
      <x:c r="F138" s="44" t="n">
        <x:v>2.9585000000000004</x:v>
      </x:c>
      <x:c r="G138" s="44" t="n">
        <x:v>0.4375</x:v>
      </x:c>
      <x:c r="H138" s="44" t="n">
        <x:v>-0.4375</x:v>
      </x:c>
      <x:c r="I138" s="44" t="n">
        <x:v>6.01</x:v>
      </x:c>
      <x:c r="J138" s="44" t="n">
        <x:v>2.582</x:v>
      </x:c>
      <x:c r="K138" s="44" t="n">
        <x:v>9.602</x:v>
      </x:c>
      <x:c r="L138" s="44" t="n">
        <x:v>17.8812</x:v>
      </x:c>
      <x:c r="M138" s="44" t="n">
        <x:v>15.2949</x:v>
      </x:c>
      <x:c r="N138" s="44" t="n">
        <x:v>1.4275</x:v>
      </x:c>
      <x:c r="O138" s="44" t="n">
        <x:v>-1.59</x:v>
      </x:c>
      <x:c r="P138" s="44" t="n">
        <x:v>1.54</x:v>
      </x:c>
      <x:c r="Q138" s="44" t="n">
        <x:v>5.09</x:v>
      </x:c>
      <x:c r="R138" s="44" t="n">
        <x:v>12.24</x:v>
      </x:c>
      <x:c r="S138" s="44" t="n">
        <x:v>12.65</x:v>
      </x:c>
      <x:c r="T138" s="44" t="n">
        <x:v>9.357000000000001</x:v>
      </x:c>
      <x:c r="U138" s="44" t="n">
        <x:v>1.5475</x:v>
      </x:c>
      <x:c r="V138" s="44" t="n">
        <x:v>-1.4275</x:v>
      </x:c>
      <x:c r="W138" s="44" t="n">
        <x:v>3.99</x:v>
      </x:c>
      <x:c r="X138" s="44" t="n">
        <x:v>2.41</x:v>
      </x:c>
      <x:c r="Y138" s="44" t="n">
        <x:v>26.710500000000003</x:v>
      </x:c>
      <x:c r="Z138" s="44" t="n">
        <x:v>20.107</x:v>
      </x:c>
      <x:c r="AA138" s="44" t="n">
        <x:v>10.49</x:v>
      </x:c>
      <x:c r="AB138" s="44" t="n">
        <x:v>1.6725</x:v>
      </x:c>
      <x:c r="AC138" s="44" t="n">
        <x:v>-1.4475</x:v>
      </x:c>
      <x:c r="AD138" s="44" t="n">
        <x:v>6.36</x:v>
      </x:c>
      <x:c r="AE138" s="44" t="n">
        <x:v>3.66</x:v>
      </x:c>
      <x:c r="AF138" s="44" t="n">
        <x:v>9.24</x:v>
      </x:c>
      <x:c r="AG138" s="44" t="n">
        <x:v>6.877000000000001</x:v>
      </x:c>
      <x:c r="AH138" s="44" t="n">
        <x:v>6.152</x:v>
      </x:c>
      <x:c r="AI138" s="44" t="n">
        <x:v>0.595</x:v>
      </x:c>
      <x:c r="AJ138" s="44" t="n">
        <x:v>-0.49</x:v>
      </x:c>
      <x:c r="AK138" s="44" t="n">
        <x:v>1.73</x:v>
      </x:c>
      <x:c r="AL138" s="44" t="n">
        <x:v>0.71</x:v>
      </x:c>
      <x:c r="AM138" s="44" t="n">
        <x:v>0.26</x:v>
      </x:c>
      <x:c r="AN138" s="44" t="n">
        <x:v>0.24</x:v>
      </x:c>
      <x:c r="AO138" s="44" t="n">
        <x:v>-1.2187999999999999</x:v>
      </x:c>
      <x:c r="AP138" s="44" t="n">
        <x:v>1.2187999999999999</x:v>
      </x:c>
      <x:c r="AQ138" s="44" t="n">
        <x:v>0.9653</x:v>
      </x:c>
      <x:c r="AR138" s="44" t="n">
        <x:v>1.2187999999999999</x:v>
      </x:c>
      <x:c r="AS138" s="44"/>
      <x:c r="AT138" s="44" t="n">
        <x:v>1.2187999999999999</x:v>
      </x:c>
      <x:c r="AU138" s="174" t="n">
        <x:v>39216</x:v>
      </x:c>
      <x:c r="AV138" s="43" t="str">
        <x:v>01:32.70</x:v>
      </x:c>
      <x:c r="AW138" s="43" t="str">
        <x:v>01:32.70-01:34.50</x:v>
      </x:c>
      <x:c r="AX138" s="43" t="str">
        <x:v>frames_4fps/f_0377.jpg</x:v>
      </x:c>
      <x:c r="AY138" s="43" t="str">
        <x:v>1000025871.mp4</x:v>
      </x:c>
      <x:c r="AZ138" s="44"/>
      <x:c r="BA138" s="175" t="n">
        <x:v>60</x:v>
      </x:c>
    </x:row>
    <x:row r="139" ht="18" customHeight="1">
      <x:c r="A139" s="43" t="str">
        <x:v>K197</x:v>
      </x:c>
      <x:c r="B139" s="43" t="str">
        <x:v>LUIGUI</x:v>
      </x:c>
      <x:c r="C139" s="43" t="n">
        <x:v>72350</x:v>
      </x:c>
      <x:c r="D139" s="44" t="n">
        <x:v>2.8171</x:v>
      </x:c>
      <x:c r="E139" s="44" t="n">
        <x:v>2.106</x:v>
      </x:c>
      <x:c r="F139" s="44" t="n">
        <x:v>2.256</x:v>
      </x:c>
      <x:c r="G139" s="44" t="n">
        <x:v>0.375</x:v>
      </x:c>
      <x:c r="H139" s="44" t="n">
        <x:v>-0.375</x:v>
      </x:c>
      <x:c r="I139" s="44" t="n">
        <x:v>1.9354</x:v>
      </x:c>
      <x:c r="J139" s="44" t="n">
        <x:v>1.1132</x:v>
      </x:c>
      <x:c r="K139" s="44" t="n">
        <x:v>7.102</x:v>
      </x:c>
      <x:c r="L139" s="44" t="n">
        <x:v>11.916199999999998</x:v>
      </x:c>
      <x:c r="M139" s="44" t="n">
        <x:v>9.5992</x:v>
      </x:c>
      <x:c r="N139" s="44" t="n">
        <x:v>0.31</x:v>
      </x:c>
      <x:c r="O139" s="44" t="n">
        <x:v>-0.3515</x:v>
      </x:c>
      <x:c r="P139" s="44" t="n">
        <x:v>0.85</x:v>
      </x:c>
      <x:c r="Q139" s="44" t="n">
        <x:v>1.62</x:v>
      </x:c>
      <x:c r="R139" s="44" t="n">
        <x:v>7.8875</x:v>
      </x:c>
      <x:c r="S139" s="44" t="n">
        <x:v>7.575</x:v>
      </x:c>
      <x:c r="T139" s="44" t="n">
        <x:v>3.8135000000000003</x:v>
      </x:c>
      <x:c r="U139" s="44" t="n">
        <x:v>0.3115</x:v>
      </x:c>
      <x:c r="V139" s="44" t="n">
        <x:v>-0.185</x:v>
      </x:c>
      <x:c r="W139" s="44" t="n">
        <x:v>0.97</x:v>
      </x:c>
      <x:c r="X139" s="44" t="n">
        <x:v>0.55</x:v>
      </x:c>
      <x:c r="Y139" s="44" t="n">
        <x:v>20.148</x:v>
      </x:c>
      <x:c r="Z139" s="44" t="n">
        <x:v>13.08</x:v>
      </x:c>
      <x:c r="AA139" s="44" t="n">
        <x:v>9.277000000000001</x:v>
      </x:c>
      <x:c r="AB139" s="44" t="n">
        <x:v>1.315</x:v>
      </x:c>
      <x:c r="AC139" s="44" t="n">
        <x:v>-1.265</x:v>
      </x:c>
      <x:c r="AD139" s="44" t="n">
        <x:v>2.32</x:v>
      </x:c>
      <x:c r="AE139" s="44" t="n">
        <x:v>1.52</x:v>
      </x:c>
      <x:c r="AF139" s="44" t="n">
        <x:v>8.722999999999999</x:v>
      </x:c>
      <x:c r="AG139" s="44" t="n">
        <x:v>5.332000000000001</x:v>
      </x:c>
      <x:c r="AH139" s="44" t="n">
        <x:v>2.58</x:v>
      </x:c>
      <x:c r="AI139" s="44" t="n">
        <x:v>0.2965</x:v>
      </x:c>
      <x:c r="AJ139" s="44" t="n">
        <x:v>-0.07</x:v>
      </x:c>
      <x:c r="AK139" s="44" t="n">
        <x:v>0.49</x:v>
      </x:c>
      <x:c r="AL139" s="44" t="n">
        <x:v>0.41</x:v>
      </x:c>
      <x:c r="AM139" s="44" t="n">
        <x:v>0.26</x:v>
      </x:c>
      <x:c r="AN139" s="44" t="n">
        <x:v>0.12</x:v>
      </x:c>
      <x:c r="AO139" s="44" t="n">
        <x:v>-1.2187999999999999</x:v>
      </x:c>
      <x:c r="AP139" s="44" t="n">
        <x:v>1.2187999999999999</x:v>
      </x:c>
      <x:c r="AQ139" s="44" t="n">
        <x:v>0.9653</x:v>
      </x:c>
      <x:c r="AR139" s="44" t="n">
        <x:v>1.2187999999999999</x:v>
      </x:c>
      <x:c r="AS139" s="44"/>
      <x:c r="AT139" s="44" t="n">
        <x:v>1.2187999999999999</x:v>
      </x:c>
      <x:c r="AU139" s="174" t="n">
        <x:v>39216</x:v>
      </x:c>
      <x:c r="AV139" s="43" t="str">
        <x:v>01:38.40</x:v>
      </x:c>
      <x:c r="AW139" s="43" t="str">
        <x:v>01:38.40-01:40.10</x:v>
      </x:c>
      <x:c r="AX139" s="43" t="str">
        <x:v>frames_4fps/f_0400.jpg</x:v>
      </x:c>
      <x:c r="AY139" s="43" t="str">
        <x:v>1000025871.mp4</x:v>
      </x:c>
      <x:c r="AZ139" s="44"/>
      <x:c r="BA139" s="175" t="n">
        <x:v>60</x:v>
      </x:c>
    </x:row>
    <x:row r="140" ht="18" customHeight="1">
      <x:c r="A140" s="43" t="str">
        <x:v>K197</x:v>
      </x:c>
      <x:c r="B140" s="43" t="str">
        <x:v>BocchiT__T</x:v>
      </x:c>
      <x:c r="C140" s="43" t="n">
        <x:v>84200</x:v>
      </x:c>
      <x:c r="D140" s="44" t="n">
        <x:v>3.2420999999999998</x:v>
      </x:c>
      <x:c r="E140" s="44" t="n">
        <x:v>2.256</x:v>
      </x:c>
      <x:c r="F140" s="44" t="n">
        <x:v>2.376</x:v>
      </x:c>
      <x:c r="G140" s="44" t="n">
        <x:v>0.4375</x:v>
      </x:c>
      <x:c r="H140" s="44" t="n">
        <x:v>-0.415</x:v>
      </x:c>
      <x:c r="I140" s="44" t="n">
        <x:v>5.92</x:v>
      </x:c>
      <x:c r="J140" s="44" t="n">
        <x:v>1.17</x:v>
      </x:c>
      <x:c r="K140" s="44" t="n">
        <x:v>7.542000000000001</x:v>
      </x:c>
      <x:c r="L140" s="44" t="n">
        <x:v>15.635399999999999</x:v>
      </x:c>
      <x:c r="M140" s="44" t="n">
        <x:v>10.2507</x:v>
      </x:c>
      <x:c r="N140" s="44" t="n">
        <x:v>0.49</x:v>
      </x:c>
      <x:c r="O140" s="44" t="n">
        <x:v>-0.6125</x:v>
      </x:c>
      <x:c r="P140" s="44" t="n">
        <x:v>1.01</x:v>
      </x:c>
      <x:c r="Q140" s="44" t="n">
        <x:v>2.3</x:v>
      </x:c>
      <x:c r="R140" s="44" t="n">
        <x:v>12.03</x:v>
      </x:c>
      <x:c r="S140" s="44" t="n">
        <x:v>10.5</x:v>
      </x:c>
      <x:c r="T140" s="44" t="n">
        <x:v>7.407</x:v>
      </x:c>
      <x:c r="U140" s="44" t="n">
        <x:v>1.5275</x:v>
      </x:c>
      <x:c r="V140" s="44" t="n">
        <x:v>-1.3675</x:v>
      </x:c>
      <x:c r="W140" s="44" t="n">
        <x:v>1.22</x:v>
      </x:c>
      <x:c r="X140" s="44" t="n">
        <x:v>0.73</x:v>
      </x:c>
      <x:c r="Y140" s="44" t="n">
        <x:v>26.430500000000002</x:v>
      </x:c>
      <x:c r="Z140" s="44" t="n">
        <x:v>18.652</x:v>
      </x:c>
      <x:c r="AA140" s="44" t="n">
        <x:v>8.685</x:v>
      </x:c>
      <x:c r="AB140" s="44" t="n">
        <x:v>1.735</x:v>
      </x:c>
      <x:c r="AC140" s="44" t="n">
        <x:v>-1.4075</x:v>
      </x:c>
      <x:c r="AD140" s="44" t="n">
        <x:v>5.75</x:v>
      </x:c>
      <x:c r="AE140" s="44" t="n">
        <x:v>3.39</x:v>
      </x:c>
      <x:c r="AF140" s="44" t="n">
        <x:v>11.347000000000001</x:v>
      </x:c>
      <x:c r="AG140" s="44" t="n">
        <x:v>5.737</x:v>
      </x:c>
      <x:c r="AH140" s="44" t="n">
        <x:v>3.425</x:v>
      </x:c>
      <x:c r="AI140" s="44" t="n">
        <x:v>1.39</x:v>
      </x:c>
      <x:c r="AJ140" s="44" t="n">
        <x:v>-1.285</x:v>
      </x:c>
      <x:c r="AK140" s="44" t="n">
        <x:v>2</x:v>
      </x:c>
      <x:c r="AL140" s="44" t="n">
        <x:v>1.14</x:v>
      </x:c>
      <x:c r="AM140" s="44" t="n">
        <x:v>0.26</x:v>
      </x:c>
      <x:c r="AN140" s="44" t="n">
        <x:v>0.22</x:v>
      </x:c>
      <x:c r="AO140" s="44" t="n">
        <x:v>-1.2187999999999999</x:v>
      </x:c>
      <x:c r="AP140" s="44" t="n">
        <x:v>1.2187999999999999</x:v>
      </x:c>
      <x:c r="AQ140" s="44" t="n">
        <x:v>0.9653</x:v>
      </x:c>
      <x:c r="AR140" s="44" t="n">
        <x:v>1.2187999999999999</x:v>
      </x:c>
      <x:c r="AS140" s="44"/>
      <x:c r="AT140" s="44" t="n">
        <x:v>1.2187999999999999</x:v>
      </x:c>
      <x:c r="AU140" s="174" t="n">
        <x:v>39216</x:v>
      </x:c>
      <x:c r="AV140" s="43" t="str">
        <x:v>01:46.90</x:v>
      </x:c>
      <x:c r="AW140" s="43" t="str">
        <x:v>01:46.90-01:49.00</x:v>
      </x:c>
      <x:c r="AX140" s="43" t="str">
        <x:v>frames_4fps/f_0435.jpg</x:v>
      </x:c>
      <x:c r="AY140" s="43" t="str">
        <x:v>1000025871.mp4</x:v>
      </x:c>
      <x:c r="AZ140" s="44"/>
      <x:c r="BA140" s="175" t="n">
        <x:v>60</x:v>
      </x:c>
    </x:row>
    <x:row r="141" ht="18" customHeight="1">
      <x:c r="A141" s="43" t="str">
        <x:v>K197</x:v>
      </x:c>
      <x:c r="B141" s="43" t="str">
        <x:v>-GAMERMAN-</x:v>
      </x:c>
      <x:c r="C141" s="43" t="n">
        <x:v>381566</x:v>
      </x:c>
      <x:c r="D141" s="44" t="n">
        <x:v>3.9285</x:v>
      </x:c>
      <x:c r="E141" s="44" t="n">
        <x:v>4.2410000000000005</x:v>
      </x:c>
      <x:c r="F141" s="44" t="n">
        <x:v>3.641</x:v>
      </x:c>
      <x:c r="G141" s="44" t="n">
        <x:v>0.4375</x:v>
      </x:c>
      <x:c r="H141" s="44" t="n">
        <x:v>-0.475</x:v>
      </x:c>
      <x:c r="I141" s="44" t="n">
        <x:v>6</x:v>
      </x:c>
      <x:c r="J141" s="44" t="n">
        <x:v>2.9072000000000005</x:v>
      </x:c>
      <x:c r="K141" s="44" t="n">
        <x:v>17.785</x:v>
      </x:c>
      <x:c r="L141" s="44" t="n">
        <x:v>22.6192</x:v>
      </x:c>
      <x:c r="M141" s="44" t="n">
        <x:v>17.1207</x:v>
      </x:c>
      <x:c r="N141" s="44" t="n">
        <x:v>1.147</x:v>
      </x:c>
      <x:c r="O141" s="44" t="n">
        <x:v>-1.2894999999999999</x:v>
      </x:c>
      <x:c r="P141" s="44" t="n">
        <x:v>7</x:v>
      </x:c>
      <x:c r="Q141" s="44" t="n">
        <x:v>9</x:v>
      </x:c>
      <x:c r="R141" s="44" t="n">
        <x:v>23.416999999999998</x:v>
      </x:c>
      <x:c r="S141" s="44" t="n">
        <x:v>17.05</x:v>
      </x:c>
      <x:c r="T141" s="44" t="n">
        <x:v>15.807</x:v>
      </x:c>
      <x:c r="U141" s="44" t="n">
        <x:v>2.04</x:v>
      </x:c>
      <x:c r="V141" s="44" t="n">
        <x:v>-1.965</x:v>
      </x:c>
      <x:c r="W141" s="44" t="n">
        <x:v>7</x:v>
      </x:c>
      <x:c r="X141" s="44" t="n">
        <x:v>7</x:v>
      </x:c>
      <x:c r="Y141" s="44" t="n">
        <x:v>21.57</x:v>
      </x:c>
      <x:c r="Z141" s="44" t="n">
        <x:v>15.94</x:v>
      </x:c>
      <x:c r="AA141" s="44" t="n">
        <x:v>12.99</x:v>
      </x:c>
      <x:c r="AB141" s="44" t="n">
        <x:v>1.915</x:v>
      </x:c>
      <x:c r="AC141" s="44" t="n">
        <x:v>-1.465</x:v>
      </x:c>
      <x:c r="AD141" s="44" t="n">
        <x:v>9</x:v>
      </x:c>
      <x:c r="AE141" s="44" t="n">
        <x:v>5.44</x:v>
      </x:c>
      <x:c r="AF141" s="44" t="n">
        <x:v>20.313499999999998</x:v>
      </x:c>
      <x:c r="AG141" s="44" t="n">
        <x:v>12.68</x:v>
      </x:c>
      <x:c r="AH141" s="44" t="n">
        <x:v>13.12</x:v>
      </x:c>
      <x:c r="AI141" s="44" t="n">
        <x:v>1.8675</x:v>
      </x:c>
      <x:c r="AJ141" s="44" t="n">
        <x:v>-1.845</x:v>
      </x:c>
      <x:c r="AK141" s="44" t="n">
        <x:v>7</x:v>
      </x:c>
      <x:c r="AL141" s="44" t="n">
        <x:v>3.74</x:v>
      </x:c>
      <x:c r="AM141" s="44" t="n">
        <x:v>0.26</x:v>
      </x:c>
      <x:c r="AN141" s="44" t="n">
        <x:v>0.22</x:v>
      </x:c>
      <x:c r="AO141" s="44" t="n">
        <x:v>-1.2187999999999999</x:v>
      </x:c>
      <x:c r="AP141" s="44" t="n">
        <x:v>1.2187999999999999</x:v>
      </x:c>
      <x:c r="AQ141" s="44" t="n">
        <x:v>0.9653</x:v>
      </x:c>
      <x:c r="AR141" s="44" t="n">
        <x:v>1.2187999999999999</x:v>
      </x:c>
      <x:c r="AS141" s="44"/>
      <x:c r="AT141" s="44" t="n">
        <x:v>1.2187999999999999</x:v>
      </x:c>
      <x:c r="AU141" s="174" t="n">
        <x:v>39216</x:v>
      </x:c>
      <x:c r="AV141" s="43" t="str">
        <x:v>01:57.40</x:v>
      </x:c>
      <x:c r="AW141" s="43" t="str">
        <x:v>01:57.40-01:59.30</x:v>
      </x:c>
      <x:c r="AX141" s="43" t="str">
        <x:v>frames_4fps/f_0476.jpg</x:v>
      </x:c>
      <x:c r="AY141" s="43" t="str">
        <x:v>1000025871.mp4</x:v>
      </x:c>
      <x:c r="AZ141" s="44"/>
      <x:c r="BA141" s="175" t="n">
        <x:v>60</x:v>
      </x:c>
    </x:row>
    <x:row r="142" ht="18" customHeight="1">
      <x:c r="A142" s="43" t="str">
        <x:v>K197</x:v>
      </x:c>
      <x:c r="B142" s="43" t="str">
        <x:v>ღbaby买买买ღ</x:v>
      </x:c>
      <x:c r="C142" s="43" t="n">
        <x:v>146450</x:v>
      </x:c>
      <x:c r="D142" s="44" t="n">
        <x:v>3.5395999999999996</x:v>
      </x:c>
      <x:c r="E142" s="44" t="n">
        <x:v>2.511</x:v>
      </x:c>
      <x:c r="F142" s="44" t="n">
        <x:v>3.0060000000000002</x:v>
      </x:c>
      <x:c r="G142" s="44" t="n">
        <x:v>0.4375</x:v>
      </x:c>
      <x:c r="H142" s="44" t="n">
        <x:v>-0.4375</x:v>
      </x:c>
      <x:c r="I142" s="44" t="n">
        <x:v>6.01</x:v>
      </x:c>
      <x:c r="J142" s="44" t="n">
        <x:v>2.0494</x:v>
      </x:c>
      <x:c r="K142" s="44" t="n">
        <x:v>9.272</x:v>
      </x:c>
      <x:c r="L142" s="44" t="n">
        <x:v>17.595399999999998</x:v>
      </x:c>
      <x:c r="M142" s="44" t="n">
        <x:v>11.8507</x:v>
      </x:c>
      <x:c r="N142" s="44" t="n">
        <x:v>0.5525</x:v>
      </x:c>
      <x:c r="O142" s="44" t="n">
        <x:v>-0.71</x:v>
      </x:c>
      <x:c r="P142" s="44" t="n">
        <x:v>1.53</x:v>
      </x:c>
      <x:c r="Q142" s="44" t="n">
        <x:v>3.57</x:v>
      </x:c>
      <x:c r="R142" s="44" t="n">
        <x:v>13.585</x:v>
      </x:c>
      <x:c r="S142" s="44" t="n">
        <x:v>9.77</x:v>
      </x:c>
      <x:c r="T142" s="44" t="n">
        <x:v>6.037000000000001</x:v>
      </x:c>
      <x:c r="U142" s="44" t="n">
        <x:v>1.5975</x:v>
      </x:c>
      <x:c r="V142" s="44" t="n">
        <x:v>-1.305</x:v>
      </x:c>
      <x:c r="W142" s="44" t="n">
        <x:v>1.12</x:v>
      </x:c>
      <x:c r="X142" s="44" t="n">
        <x:v>0.85</x:v>
      </x:c>
      <x:c r="Y142" s="44" t="n">
        <x:v>25.6005</x:v>
      </x:c>
      <x:c r="Z142" s="44" t="n">
        <x:v>19.457</x:v>
      </x:c>
      <x:c r="AA142" s="44" t="n">
        <x:v>10.57</x:v>
      </x:c>
      <x:c r="AB142" s="44" t="n">
        <x:v>1.74</x:v>
      </x:c>
      <x:c r="AC142" s="44" t="n">
        <x:v>-1.4725</x:v>
      </x:c>
      <x:c r="AD142" s="44" t="n">
        <x:v>5.98</x:v>
      </x:c>
      <x:c r="AE142" s="44" t="n">
        <x:v>2.9</x:v>
      </x:c>
      <x:c r="AF142" s="44" t="n">
        <x:v>10.187000000000001</x:v>
      </x:c>
      <x:c r="AG142" s="44" t="n">
        <x:v>6.367000000000001</x:v>
      </x:c>
      <x:c r="AH142" s="44" t="n">
        <x:v>3.925</x:v>
      </x:c>
      <x:c r="AI142" s="44" t="n">
        <x:v>0.53</x:v>
      </x:c>
      <x:c r="AJ142" s="44" t="n">
        <x:v>-0.41</x:v>
      </x:c>
      <x:c r="AK142" s="44" t="n">
        <x:v>0.94</x:v>
      </x:c>
      <x:c r="AL142" s="44" t="n">
        <x:v>0.57</x:v>
      </x:c>
      <x:c r="AM142" s="44" t="n">
        <x:v>0.26</x:v>
      </x:c>
      <x:c r="AN142" s="44" t="n">
        <x:v>0.24</x:v>
      </x:c>
      <x:c r="AO142" s="44" t="n">
        <x:v>-1.2187999999999999</x:v>
      </x:c>
      <x:c r="AP142" s="44" t="n">
        <x:v>1.2187999999999999</x:v>
      </x:c>
      <x:c r="AQ142" s="44" t="n">
        <x:v>0.9653</x:v>
      </x:c>
      <x:c r="AR142" s="44" t="n">
        <x:v>1.2187999999999999</x:v>
      </x:c>
      <x:c r="AS142" s="44"/>
      <x:c r="AT142" s="44" t="n">
        <x:v>1.2187999999999999</x:v>
      </x:c>
      <x:c r="AU142" s="174" t="n">
        <x:v>39216</x:v>
      </x:c>
      <x:c r="AV142" s="43" t="str">
        <x:v>02:05.40</x:v>
      </x:c>
      <x:c r="AW142" s="43" t="str">
        <x:v>02:05.40-02:07.20</x:v>
      </x:c>
      <x:c r="AX142" s="43" t="str">
        <x:v>frames_4fps/f_0508.jpg</x:v>
      </x:c>
      <x:c r="AY142" s="43" t="str">
        <x:v>1000025871.mp4</x:v>
      </x:c>
      <x:c r="AZ142" s="44"/>
      <x:c r="BA142" s="175" t="n">
        <x:v>60</x:v>
      </x:c>
    </x:row>
    <x:row r="143" ht="18" customHeight="1">
      <x:c r="A143" s="43" t="str">
        <x:v>K197</x:v>
      </x:c>
      <x:c r="B143" s="43" t="str">
        <x:v>Viking</x:v>
      </x:c>
      <x:c r="C143" s="43" t="n">
        <x:v>120000</x:v>
      </x:c>
      <x:c r="D143" s="44" t="n">
        <x:v>3.2521</x:v>
      </x:c>
      <x:c r="E143" s="44" t="n">
        <x:v>2.376</x:v>
      </x:c>
      <x:c r="F143" s="44" t="n">
        <x:v>2.806</x:v>
      </x:c>
      <x:c r="G143" s="44" t="n">
        <x:v>0.415</x:v>
      </x:c>
      <x:c r="H143" s="44" t="n">
        <x:v>-0.415</x:v>
      </x:c>
      <x:c r="I143" s="44" t="n">
        <x:v>5.1148</x:v>
      </x:c>
      <x:c r="J143" s="44" t="n">
        <x:v>0.6196</x:v>
      </x:c>
      <x:c r="K143" s="44" t="n">
        <x:v>8.242</x:v>
      </x:c>
      <x:c r="L143" s="44" t="n">
        <x:v>14.8954</x:v>
      </x:c>
      <x:c r="M143" s="44" t="n">
        <x:v>9.355</x:v>
      </x:c>
      <x:c r="N143" s="44" t="n">
        <x:v>0.5525</x:v>
      </x:c>
      <x:c r="O143" s="44" t="n">
        <x:v>-0.6925</x:v>
      </x:c>
      <x:c r="P143" s="44" t="n">
        <x:v>1.11</x:v>
      </x:c>
      <x:c r="Q143" s="44" t="n">
        <x:v>2.82</x:v>
      </x:c>
      <x:c r="R143" s="44" t="n">
        <x:v>11</x:v>
      </x:c>
      <x:c r="S143" s="44" t="n">
        <x:v>9.1</x:v>
      </x:c>
      <x:c r="T143" s="44" t="n">
        <x:v>5.807</x:v>
      </x:c>
      <x:c r="U143" s="44" t="n">
        <x:v>1.44</x:v>
      </x:c>
      <x:c r="V143" s="44" t="n">
        <x:v>-1.285</x:v>
      </x:c>
      <x:c r="W143" s="44" t="n">
        <x:v>1.31</x:v>
      </x:c>
      <x:c r="X143" s="44" t="n">
        <x:v>1.35</x:v>
      </x:c>
      <x:c r="Y143" s="44" t="n">
        <x:v>24.1655</x:v>
      </x:c>
      <x:c r="Z143" s="44" t="n">
        <x:v>18.317</x:v>
      </x:c>
      <x:c r="AA143" s="44" t="n">
        <x:v>8.89</x:v>
      </x:c>
      <x:c r="AB143" s="44" t="n">
        <x:v>1.69</x:v>
      </x:c>
      <x:c r="AC143" s="44" t="n">
        <x:v>-1.4075</x:v>
      </x:c>
      <x:c r="AD143" s="44" t="n">
        <x:v>3.5</x:v>
      </x:c>
      <x:c r="AE143" s="44" t="n">
        <x:v>2.66</x:v>
      </x:c>
      <x:c r="AF143" s="44" t="n">
        <x:v>9.892000000000001</x:v>
      </x:c>
      <x:c r="AG143" s="44" t="n">
        <x:v>5.347</x:v>
      </x:c>
      <x:c r="AH143" s="44" t="n">
        <x:v>3.065</x:v>
      </x:c>
      <x:c r="AI143" s="44" t="n">
        <x:v>0.51</x:v>
      </x:c>
      <x:c r="AJ143" s="44" t="n">
        <x:v>-0.41</x:v>
      </x:c>
      <x:c r="AK143" s="44" t="n">
        <x:v>0.95</x:v>
      </x:c>
      <x:c r="AL143" s="44" t="n">
        <x:v>0.97</x:v>
      </x:c>
      <x:c r="AM143" s="44" t="n">
        <x:v>0.26</x:v>
      </x:c>
      <x:c r="AN143" s="44" t="n">
        <x:v>0.22</x:v>
      </x:c>
      <x:c r="AO143" s="44" t="n">
        <x:v>-1.2187999999999999</x:v>
      </x:c>
      <x:c r="AP143" s="44" t="n">
        <x:v>1.2187999999999999</x:v>
      </x:c>
      <x:c r="AQ143" s="44" t="n">
        <x:v>0.9653</x:v>
      </x:c>
      <x:c r="AR143" s="44" t="n">
        <x:v>1.2187999999999999</x:v>
      </x:c>
      <x:c r="AS143" s="44"/>
      <x:c r="AT143" s="44" t="n">
        <x:v>1.2187999999999999</x:v>
      </x:c>
      <x:c r="AU143" s="174" t="n">
        <x:v>39216</x:v>
      </x:c>
      <x:c r="AV143" s="43" t="str">
        <x:v>02:14.10</x:v>
      </x:c>
      <x:c r="AW143" s="43" t="str">
        <x:v>02:14.10-02:15.80</x:v>
      </x:c>
      <x:c r="AX143" s="43" t="str">
        <x:v>frames_4fps/f_0542.jpg</x:v>
      </x:c>
      <x:c r="AY143" s="43" t="str">
        <x:v>1000025871.mp4</x:v>
      </x:c>
      <x:c r="AZ143" s="44"/>
      <x:c r="BA143" s="175" t="n">
        <x:v>60</x:v>
      </x:c>
    </x:row>
    <x:row r="144" ht="18" customHeight="1">
      <x:c r="A144" s="43" t="str">
        <x:v>K197</x:v>
      </x:c>
      <x:c r="B144" s="43" t="str">
        <x:v>ღ买买买babyღ</x:v>
      </x:c>
      <x:c r="C144" s="43" t="n">
        <x:v>124200</x:v>
      </x:c>
      <x:c r="D144" s="44" t="n">
        <x:v>3.6296</x:v>
      </x:c>
      <x:c r="E144" s="44" t="n">
        <x:v>2.5284999999999997</x:v>
      </x:c>
      <x:c r="F144" s="44" t="n">
        <x:v>2.7935000000000003</x:v>
      </x:c>
      <x:c r="G144" s="44" t="n">
        <x:v>0.4375</x:v>
      </x:c>
      <x:c r="H144" s="44" t="n">
        <x:v>-0.1125</x:v>
      </x:c>
      <x:c r="I144" s="44" t="n">
        <x:v>6</x:v>
      </x:c>
      <x:c r="J144" s="44" t="n">
        <x:v>1.2795999999999998</x:v>
      </x:c>
      <x:c r="K144" s="44" t="n">
        <x:v>9.067</x:v>
      </x:c>
      <x:c r="L144" s="44" t="n">
        <x:v>17.3554</x:v>
      </x:c>
      <x:c r="M144" s="44" t="n">
        <x:v>12.135</x:v>
      </x:c>
      <x:c r="N144" s="44" t="n">
        <x:v>0.5525</x:v>
      </x:c>
      <x:c r="O144" s="44" t="n">
        <x:v>-0.74</x:v>
      </x:c>
      <x:c r="P144" s="44" t="n">
        <x:v>2.64</x:v>
      </x:c>
      <x:c r="Q144" s="44" t="n">
        <x:v>4.17</x:v>
      </x:c>
      <x:c r="R144" s="44" t="n">
        <x:v>10.935</x:v>
      </x:c>
      <x:c r="S144" s="44" t="n">
        <x:v>9.27</x:v>
      </x:c>
      <x:c r="T144" s="44" t="n">
        <x:v>6.417000000000001</x:v>
      </x:c>
      <x:c r="U144" s="44" t="n">
        <x:v>1.5275</x:v>
      </x:c>
      <x:c r="V144" s="44" t="n">
        <x:v>-1.385</x:v>
      </x:c>
      <x:c r="W144" s="44" t="n">
        <x:v>1.77</x:v>
      </x:c>
      <x:c r="X144" s="44" t="n">
        <x:v>0.79</x:v>
      </x:c>
      <x:c r="Y144" s="44" t="n">
        <x:v>24.495500000000003</x:v>
      </x:c>
      <x:c r="Z144" s="44" t="n">
        <x:v>19.557000000000002</x:v>
      </x:c>
      <x:c r="AA144" s="44" t="n">
        <x:v>10.53</x:v>
      </x:c>
      <x:c r="AB144" s="44" t="n">
        <x:v>1.635</x:v>
      </x:c>
      <x:c r="AC144" s="44" t="n">
        <x:v>-1.51</x:v>
      </x:c>
      <x:c r="AD144" s="44" t="n">
        <x:v>2.94</x:v>
      </x:c>
      <x:c r="AE144" s="44" t="n">
        <x:v>2.04</x:v>
      </x:c>
      <x:c r="AF144" s="44" t="n">
        <x:v>10.417</x:v>
      </x:c>
      <x:c r="AG144" s="44" t="n">
        <x:v>6.857</x:v>
      </x:c>
      <x:c r="AH144" s="44" t="n">
        <x:v>3.955</x:v>
      </x:c>
      <x:c r="AI144" s="44" t="n">
        <x:v>0.5</x:v>
      </x:c>
      <x:c r="AJ144" s="44" t="n">
        <x:v>-0.49</x:v>
      </x:c>
      <x:c r="AK144" s="44" t="n">
        <x:v>0.76</x:v>
      </x:c>
      <x:c r="AL144" s="44" t="n">
        <x:v>0.55</x:v>
      </x:c>
      <x:c r="AM144" s="44" t="n">
        <x:v>0.26</x:v>
      </x:c>
      <x:c r="AN144" s="44" t="n">
        <x:v>0.23</x:v>
      </x:c>
      <x:c r="AO144" s="44" t="n">
        <x:v>-1.2187999999999999</x:v>
      </x:c>
      <x:c r="AP144" s="44" t="n">
        <x:v>1.2187999999999999</x:v>
      </x:c>
      <x:c r="AQ144" s="44" t="n">
        <x:v>0.9653</x:v>
      </x:c>
      <x:c r="AR144" s="44" t="n">
        <x:v>1.2187999999999999</x:v>
      </x:c>
      <x:c r="AS144" s="44"/>
      <x:c r="AT144" s="44" t="n">
        <x:v>1.2187999999999999</x:v>
      </x:c>
      <x:c r="AU144" s="174" t="n">
        <x:v>39216</x:v>
      </x:c>
      <x:c r="AV144" s="43" t="str">
        <x:v>02:22.50</x:v>
      </x:c>
      <x:c r="AW144" s="43" t="str">
        <x:v>02:22.50-02:24.10</x:v>
      </x:c>
      <x:c r="AX144" s="43" t="str">
        <x:v>frames_4fps/f_0575.jpg</x:v>
      </x:c>
      <x:c r="AY144" s="43" t="str">
        <x:v>1000025871.mp4</x:v>
      </x:c>
      <x:c r="AZ144" s="44"/>
      <x:c r="BA144" s="175" t="n">
        <x:v>60</x:v>
      </x:c>
    </x:row>
    <x:row r="145" ht="18" customHeight="1">
      <x:c r="A145" s="43" t="str">
        <x:v>K197</x:v>
      </x:c>
      <x:c r="B145" s="43" t="str">
        <x:v>优乐美</x:v>
      </x:c>
      <x:c r="C145" s="43" t="n">
        <x:v>77250</x:v>
      </x:c>
      <x:c r="D145" s="44" t="n">
        <x:v>3.281</x:v>
      </x:c>
      <x:c r="E145" s="44" t="n">
        <x:v>2.616</x:v>
      </x:c>
      <x:c r="F145" s="44" t="n">
        <x:v>2.9360000000000004</x:v>
      </x:c>
      <x:c r="G145" s="44" t="n">
        <x:v>0.415</x:v>
      </x:c>
      <x:c r="H145" s="44" t="n">
        <x:v>-0.4</x:v>
      </x:c>
      <x:c r="I145" s="44" t="n">
        <x:v>5.15</x:v>
      </x:c>
      <x:c r="J145" s="44" t="n">
        <x:v>0.8104</x:v>
      </x:c>
      <x:c r="K145" s="44" t="n">
        <x:v>6.907</x:v>
      </x:c>
      <x:c r="L145" s="44" t="n">
        <x:v>9.3992</x:v>
      </x:c>
      <x:c r="M145" s="44" t="n">
        <x:v>13.781199999999998</x:v>
      </x:c>
      <x:c r="N145" s="44" t="n">
        <x:v>0.39</x:v>
      </x:c>
      <x:c r="O145" s="44" t="n">
        <x:v>-0.6025</x:v>
      </x:c>
      <x:c r="P145" s="44" t="n">
        <x:v>0.9</x:v>
      </x:c>
      <x:c r="Q145" s="44" t="n">
        <x:v>1.94</x:v>
      </x:c>
      <x:c r="R145" s="44" t="n">
        <x:v>23.4155</x:v>
      </x:c>
      <x:c r="S145" s="44" t="n">
        <x:v>18.5905</x:v>
      </x:c>
      <x:c r="T145" s="44" t="n">
        <x:v>8.84</x:v>
      </x:c>
      <x:c r="U145" s="44" t="n">
        <x:v>1.455</x:v>
      </x:c>
      <x:c r="V145" s="44" t="n">
        <x:v>-1.2875</x:v>
      </x:c>
      <x:c r="W145" s="44" t="n">
        <x:v>4.62</x:v>
      </x:c>
      <x:c r="X145" s="44" t="n">
        <x:v>2.59</x:v>
      </x:c>
      <x:c r="Y145" s="44" t="n">
        <x:v>10.182</x:v>
      </x:c>
      <x:c r="Z145" s="44" t="n">
        <x:v>5.0169999999999995</x:v>
      </x:c>
      <x:c r="AA145" s="44" t="n">
        <x:v>8.372</x:v>
      </x:c>
      <x:c r="AB145" s="44" t="n">
        <x:v>1.278</x:v>
      </x:c>
      <x:c r="AC145" s="44" t="n">
        <x:v>-1.3030000000000002</x:v>
      </x:c>
      <x:c r="AD145" s="44" t="n">
        <x:v>0.79</x:v>
      </x:c>
      <x:c r="AE145" s="44" t="n">
        <x:v>0.69</x:v>
      </x:c>
      <x:c r="AF145" s="44" t="n">
        <x:v>10.35</x:v>
      </x:c>
      <x:c r="AG145" s="44" t="n">
        <x:v>2.93</x:v>
      </x:c>
      <x:c r="AH145" s="44" t="n">
        <x:v>9.855</x:v>
      </x:c>
      <x:c r="AI145" s="44" t="n">
        <x:v>0.51</x:v>
      </x:c>
      <x:c r="AJ145" s="44" t="n">
        <x:v>-0.25</x:v>
      </x:c>
      <x:c r="AK145" s="44" t="n">
        <x:v>0.66</x:v>
      </x:c>
      <x:c r="AL145" s="44" t="n">
        <x:v>0.59</x:v>
      </x:c>
      <x:c r="AM145" s="44" t="n">
        <x:v>0.26</x:v>
      </x:c>
      <x:c r="AN145" s="44" t="n">
        <x:v>0.235</x:v>
      </x:c>
      <x:c r="AO145" s="44" t="n">
        <x:v>-1.2187999999999999</x:v>
      </x:c>
      <x:c r="AP145" s="44" t="n">
        <x:v>1.2187999999999999</x:v>
      </x:c>
      <x:c r="AQ145" s="44" t="n">
        <x:v>0.9653</x:v>
      </x:c>
      <x:c r="AR145" s="44" t="n">
        <x:v>1.2187999999999999</x:v>
      </x:c>
      <x:c r="AS145" s="44"/>
      <x:c r="AT145" s="44" t="n">
        <x:v>1.2187999999999999</x:v>
      </x:c>
      <x:c r="AU145" s="174" t="n">
        <x:v>39216</x:v>
      </x:c>
      <x:c r="AV145" s="43" t="str">
        <x:v>02:29.80</x:v>
      </x:c>
      <x:c r="AW145" s="43" t="str">
        <x:v>02:29.80-02:31.30</x:v>
      </x:c>
      <x:c r="AX145" s="43" t="str">
        <x:v>frames_4fps/f_0604.jpg</x:v>
      </x:c>
      <x:c r="AY145" s="43" t="str">
        <x:v>1000025871.mp4</x:v>
      </x:c>
      <x:c r="AZ145" s="44"/>
      <x:c r="BA145" s="175" t="n">
        <x:v>60</x:v>
      </x:c>
    </x:row>
    <x:row r="146" ht="18" customHeight="1">
      <x:c r="A146" s="43" t="str">
        <x:v>K197</x:v>
      </x:c>
      <x:c r="B146" s="43" t="str">
        <x:v>Mira</x:v>
      </x:c>
      <x:c r="C146" s="43" t="n">
        <x:v>170634</x:v>
      </x:c>
      <x:c r="D146" s="44" t="n">
        <x:v>3.5120999999999998</x:v>
      </x:c>
      <x:c r="E146" s="44" t="n">
        <x:v>2.291</x:v>
      </x:c>
      <x:c r="F146" s="44" t="n">
        <x:v>2.6210000000000004</x:v>
      </x:c>
      <x:c r="G146" s="44" t="n">
        <x:v>0.415</x:v>
      </x:c>
      <x:c r="H146" s="44" t="n">
        <x:v>-0.415</x:v>
      </x:c>
      <x:c r="I146" s="44" t="n">
        <x:v>4.3692</x:v>
      </x:c>
      <x:c r="J146" s="44" t="n">
        <x:v>0.2024</x:v>
      </x:c>
      <x:c r="K146" s="44" t="n">
        <x:v>6.627000000000001</x:v>
      </x:c>
      <x:c r="L146" s="44" t="n">
        <x:v>16.9954</x:v>
      </x:c>
      <x:c r="M146" s="44" t="n">
        <x:v>11.3507</x:v>
      </x:c>
      <x:c r="N146" s="44" t="n">
        <x:v>0.49</x:v>
      </x:c>
      <x:c r="O146" s="44" t="n">
        <x:v>-0.715</x:v>
      </x:c>
      <x:c r="P146" s="44" t="n">
        <x:v>0.87</x:v>
      </x:c>
      <x:c r="Q146" s="44" t="n">
        <x:v>1.5</x:v>
      </x:c>
      <x:c r="R146" s="44" t="n">
        <x:v>12.19</x:v>
      </x:c>
      <x:c r="S146" s="44" t="n">
        <x:v>9.915</x:v>
      </x:c>
      <x:c r="T146" s="44" t="n">
        <x:v>6.157</x:v>
      </x:c>
      <x:c r="U146" s="44" t="n">
        <x:v>1.3825</x:v>
      </x:c>
      <x:c r="V146" s="44" t="n">
        <x:v>-1.305</x:v>
      </x:c>
      <x:c r="W146" s="44" t="n">
        <x:v>0.75</x:v>
      </x:c>
      <x:c r="X146" s="44" t="n">
        <x:v>0.54</x:v>
      </x:c>
      <x:c r="Y146" s="44" t="n">
        <x:v>24.7405</x:v>
      </x:c>
      <x:c r="Z146" s="44" t="n">
        <x:v>17.947</x:v>
      </x:c>
      <x:c r="AA146" s="44" t="n">
        <x:v>8.63</x:v>
      </x:c>
      <x:c r="AB146" s="44" t="n">
        <x:v>1.6675</x:v>
      </x:c>
      <x:c r="AC146" s="44" t="n">
        <x:v>-1.3675</x:v>
      </x:c>
      <x:c r="AD146" s="44" t="n">
        <x:v>5.75</x:v>
      </x:c>
      <x:c r="AE146" s="44" t="n">
        <x:v>2.86</x:v>
      </x:c>
      <x:c r="AF146" s="44" t="n">
        <x:v>9.837</x:v>
      </x:c>
      <x:c r="AG146" s="44" t="n">
        <x:v>5.377000000000001</x:v>
      </x:c>
      <x:c r="AH146" s="44" t="n">
        <x:v>3.415</x:v>
      </x:c>
      <x:c r="AI146" s="44" t="n">
        <x:v>0.41</x:v>
      </x:c>
      <x:c r="AJ146" s="44" t="n">
        <x:v>-0.41</x:v>
      </x:c>
      <x:c r="AK146" s="44" t="n">
        <x:v>0.53</x:v>
      </x:c>
      <x:c r="AL146" s="44" t="n">
        <x:v>0.48</x:v>
      </x:c>
      <x:c r="AM146" s="44" t="n">
        <x:v>0.26</x:v>
      </x:c>
      <x:c r="AN146" s="44" t="n">
        <x:v>0.24</x:v>
      </x:c>
      <x:c r="AO146" s="44" t="n">
        <x:v>-1.2187999999999999</x:v>
      </x:c>
      <x:c r="AP146" s="44" t="n">
        <x:v>1.2187999999999999</x:v>
      </x:c>
      <x:c r="AQ146" s="44" t="n">
        <x:v>0.9653</x:v>
      </x:c>
      <x:c r="AR146" s="44" t="n">
        <x:v>1.2187999999999999</x:v>
      </x:c>
      <x:c r="AS146" s="44"/>
      <x:c r="AT146" s="44" t="n">
        <x:v>1.2187999999999999</x:v>
      </x:c>
      <x:c r="AU146" s="174" t="n">
        <x:v>39216</x:v>
      </x:c>
      <x:c r="AV146" s="43" t="str">
        <x:v>02:44.70</x:v>
      </x:c>
      <x:c r="AW146" s="43" t="str">
        <x:v>02:44.70-02:46.30</x:v>
      </x:c>
      <x:c r="AX146" s="43" t="str">
        <x:v>frames_4fps/f_0664.jpg</x:v>
      </x:c>
      <x:c r="AY146" s="43" t="str">
        <x:v>1000025871.mp4</x:v>
      </x:c>
      <x:c r="AZ146" s="44"/>
      <x:c r="BA146" s="175" t="n">
        <x:v>60</x:v>
      </x:c>
    </x:row>
    <x:row r="147" ht="18" customHeight="1">
      <x:c r="A147" s="43" t="str">
        <x:v>K176</x:v>
      </x:c>
      <x:c r="B147" s="43" t="str">
        <x:v>苟拓通天肆意妄为</x:v>
      </x:c>
      <x:c r="C147" s="43" t="n">
        <x:v>310200</x:v>
      </x:c>
      <x:c r="D147" s="44" t="n">
        <x:v>4.5396</x:v>
      </x:c>
      <x:c r="E147" s="44" t="n">
        <x:v>4.0185</x:v>
      </x:c>
      <x:c r="F147" s="44" t="n">
        <x:v>4.5285</x:v>
      </x:c>
      <x:c r="G147" s="44" t="n">
        <x:v>0.4375</x:v>
      </x:c>
      <x:c r="H147" s="44" t="n">
        <x:v>-0.4375</x:v>
      </x:c>
      <x:c r="I147" s="44" t="n">
        <x:v>6</x:v>
      </x:c>
      <x:c r="J147" s="44" t="n">
        <x:v>6</x:v>
      </x:c>
      <x:c r="K147" s="44" t="n">
        <x:v>22.701999999999998</x:v>
      </x:c>
      <x:c r="L147" s="44" t="n">
        <x:v>26.561300000000003</x:v>
      </x:c>
      <x:c r="M147" s="44" t="n">
        <x:v>21.029899999999998</x:v>
      </x:c>
      <x:c r="N147" s="44" t="n">
        <x:v>1.725</x:v>
      </x:c>
      <x:c r="O147" s="44" t="n">
        <x:v>-2.035</x:v>
      </x:c>
      <x:c r="P147" s="44" t="n">
        <x:v>7</x:v>
      </x:c>
      <x:c r="Q147" s="44" t="n">
        <x:v>9</x:v>
      </x:c>
      <x:c r="R147" s="44" t="n">
        <x:v>20.895</x:v>
      </x:c>
      <x:c r="S147" s="44" t="n">
        <x:v>19.985</x:v>
      </x:c>
      <x:c r="T147" s="44" t="n">
        <x:v>14.5435</x:v>
      </x:c>
      <x:c r="U147" s="44" t="n">
        <x:v>1.805</x:v>
      </x:c>
      <x:c r="V147" s="44" t="n">
        <x:v>-1.725</x:v>
      </x:c>
      <x:c r="W147" s="44" t="n">
        <x:v>8.21</x:v>
      </x:c>
      <x:c r="X147" s="44" t="n">
        <x:v>4.89</x:v>
      </x:c>
      <x:c r="Y147" s="44" t="n">
        <x:v>20.2635</x:v>
      </x:c>
      <x:c r="Z147" s="44" t="n">
        <x:v>15.185</x:v>
      </x:c>
      <x:c r="AA147" s="44" t="n">
        <x:v>10.75</x:v>
      </x:c>
      <x:c r="AB147" s="44" t="n">
        <x:v>1.8675</x:v>
      </x:c>
      <x:c r="AC147" s="44" t="n">
        <x:v>-1.945</x:v>
      </x:c>
      <x:c r="AD147" s="44" t="n">
        <x:v>9</x:v>
      </x:c>
      <x:c r="AE147" s="44" t="n">
        <x:v>3.99</x:v>
      </x:c>
      <x:c r="AF147" s="44" t="n">
        <x:v>12.63</x:v>
      </x:c>
      <x:c r="AG147" s="44" t="n">
        <x:v>16.252</x:v>
      </x:c>
      <x:c r="AH147" s="44" t="n">
        <x:v>13.027000000000001</x:v>
      </x:c>
      <x:c r="AI147" s="44" t="n">
        <x:v>1.805</x:v>
      </x:c>
      <x:c r="AJ147" s="44" t="n">
        <x:v>-1.6675</x:v>
      </x:c>
      <x:c r="AK147" s="44" t="n">
        <x:v>6.64</x:v>
      </x:c>
      <x:c r="AL147" s="44" t="n">
        <x:v>2.61</x:v>
      </x:c>
      <x:c r="AM147" s="44" t="n">
        <x:v>0.26</x:v>
      </x:c>
      <x:c r="AN147" s="44" t="n">
        <x:v>0.24</x:v>
      </x:c>
      <x:c r="AO147" s="44" t="n">
        <x:v>-1.2187999999999999</x:v>
      </x:c>
      <x:c r="AP147" s="44" t="n">
        <x:v>0.9653</x:v>
      </x:c>
      <x:c r="AQ147" s="44" t="n">
        <x:v>0.9653</x:v>
      </x:c>
      <x:c r="AR147" s="44" t="n">
        <x:v>0.9653</x:v>
      </x:c>
      <x:c r="AS147" s="44"/>
      <x:c r="AT147" s="44" t="n">
        <x:v>0.9107999999999999</x:v>
      </x:c>
      <x:c r="AU147" s="174" t="n">
        <x:v>25800</x:v>
      </x:c>
      <x:c r="AV147" s="43" t="str">
        <x:v>00:10.75</x:v>
      </x:c>
      <x:c r="AW147" s="43" t="str">
        <x:v>00:10.75-00:13.75</x:v>
      </x:c>
      <x:c r="AX147" s="43" t="str">
        <x:v>fps4/f_00056.jpg</x:v>
      </x:c>
      <x:c r="AY147" s="43" t="str">
        <x:v>1000025872.mp4</x:v>
      </x:c>
      <x:c r="AZ147" s="44" t="n">
        <x:v>0</x:v>
      </x:c>
      <x:c r="BA147" s="175" t="n">
        <x:v>60</x:v>
      </x:c>
    </x:row>
    <x:row r="148" ht="18" customHeight="1">
      <x:c r="A148" s="43" t="str">
        <x:v>K176</x:v>
      </x:c>
      <x:c r="B148" s="43" t="str">
        <x:v>Evildagger</x:v>
      </x:c>
      <x:c r="C148" s="43" t="n">
        <x:v>71000</x:v>
      </x:c>
      <x:c r="D148" s="44" t="n">
        <x:v>3.2385</x:v>
      </x:c>
      <x:c r="E148" s="44" t="n">
        <x:v>2.7710000000000004</x:v>
      </x:c>
      <x:c r="F148" s="44" t="n">
        <x:v>3.0010000000000003</x:v>
      </x:c>
      <x:c r="G148" s="44" t="n">
        <x:v>0.415</x:v>
      </x:c>
      <x:c r="H148" s="44" t="n">
        <x:v>-0.415</x:v>
      </x:c>
      <x:c r="I148" s="44" t="n">
        <x:v>3.2260000000000004</x:v>
      </x:c>
      <x:c r="J148" s="44" t="n">
        <x:v>4.067200000000001</x:v>
      </x:c>
      <x:c r="K148" s="44" t="n">
        <x:v>11.535</x:v>
      </x:c>
      <x:c r="L148" s="44" t="n">
        <x:v>20.7192</x:v>
      </x:c>
      <x:c r="M148" s="44" t="n">
        <x:v>12.2557</x:v>
      </x:c>
      <x:c r="N148" s="44" t="n">
        <x:v>1.285</x:v>
      </x:c>
      <x:c r="O148" s="44" t="n">
        <x:v>-1.4875</x:v>
      </x:c>
      <x:c r="P148" s="44" t="n">
        <x:v>0.78</x:v>
      </x:c>
      <x:c r="Q148" s="44" t="n">
        <x:v>3.76</x:v>
      </x:c>
      <x:c r="R148" s="44" t="n">
        <x:v>23.372</x:v>
      </x:c>
      <x:c r="S148" s="44" t="n">
        <x:v>16.155</x:v>
      </x:c>
      <x:c r="T148" s="44" t="n">
        <x:v>15.287</x:v>
      </x:c>
      <x:c r="U148" s="44" t="n">
        <x:v>1.5075</x:v>
      </x:c>
      <x:c r="V148" s="44" t="n">
        <x:v>-1.3675</x:v>
      </x:c>
      <x:c r="W148" s="44" t="n">
        <x:v>4</x:v>
      </x:c>
      <x:c r="X148" s="44" t="n">
        <x:v>2.44</x:v>
      </x:c>
      <x:c r="Y148" s="44" t="n">
        <x:v>16.2</x:v>
      </x:c>
      <x:c r="Z148" s="44" t="n">
        <x:v>12.475</x:v>
      </x:c>
      <x:c r="AA148" s="44" t="n">
        <x:v>8.54</x:v>
      </x:c>
      <x:c r="AB148" s="44" t="n">
        <x:v>1.4875</x:v>
      </x:c>
      <x:c r="AC148" s="44" t="n">
        <x:v>-1.3675</x:v>
      </x:c>
      <x:c r="AD148" s="44" t="n">
        <x:v>3.19</x:v>
      </x:c>
      <x:c r="AE148" s="44" t="n">
        <x:v>1.71</x:v>
      </x:c>
      <x:c r="AF148" s="44" t="n">
        <x:v>16.4785</x:v>
      </x:c>
      <x:c r="AG148" s="44" t="n">
        <x:v>8.145</x:v>
      </x:c>
      <x:c r="AH148" s="44" t="n">
        <x:v>11.675</x:v>
      </x:c>
      <x:c r="AI148" s="44" t="n">
        <x:v>1.46</x:v>
      </x:c>
      <x:c r="AJ148" s="44" t="n">
        <x:v>-1.325</x:v>
      </x:c>
      <x:c r="AK148" s="44" t="n">
        <x:v>1.82</x:v>
      </x:c>
      <x:c r="AL148" s="44" t="n">
        <x:v>0.95</x:v>
      </x:c>
      <x:c r="AM148" s="44" t="n">
        <x:v>0.26</x:v>
      </x:c>
      <x:c r="AN148" s="44" t="n">
        <x:v>0.23</x:v>
      </x:c>
      <x:c r="AO148" s="44" t="n">
        <x:v>-1.2187999999999999</x:v>
      </x:c>
      <x:c r="AP148" s="44" t="n">
        <x:v>0.9653</x:v>
      </x:c>
      <x:c r="AQ148" s="44" t="n">
        <x:v>0.9653</x:v>
      </x:c>
      <x:c r="AR148" s="44" t="n">
        <x:v>0.9653</x:v>
      </x:c>
      <x:c r="AS148" s="44"/>
      <x:c r="AT148" s="44" t="n">
        <x:v>0.9107999999999999</x:v>
      </x:c>
      <x:c r="AU148" s="174" t="n">
        <x:v>25800</x:v>
      </x:c>
      <x:c r="AV148" s="43" t="str">
        <x:v>00:19.50</x:v>
      </x:c>
      <x:c r="AW148" s="43" t="str">
        <x:v>00:19.50-00:21.50</x:v>
      </x:c>
      <x:c r="AX148" s="43" t="str">
        <x:v>fps4/f_00087.jpg</x:v>
      </x:c>
      <x:c r="AY148" s="43" t="str">
        <x:v>1000025872.mp4</x:v>
      </x:c>
      <x:c r="AZ148" s="44" t="n">
        <x:v>0</x:v>
      </x:c>
      <x:c r="BA148" s="175" t="n">
        <x:v>60</x:v>
      </x:c>
    </x:row>
    <x:row r="149" ht="18" customHeight="1">
      <x:c r="A149" s="43" t="str">
        <x:v>K176</x:v>
      </x:c>
      <x:c r="B149" s="43" t="str">
        <x:v>༺肥者先食༻</x:v>
      </x:c>
      <x:c r="C149" s="43" t="n">
        <x:v>107000</x:v>
      </x:c>
      <x:c r="D149" s="44" t="n">
        <x:v>2.8710000000000004</x:v>
      </x:c>
      <x:c r="E149" s="44" t="n">
        <x:v>2.591</x:v>
      </x:c>
      <x:c r="F149" s="44" t="n">
        <x:v>2.841</x:v>
      </x:c>
      <x:c r="G149" s="44" t="n">
        <x:v>0.4</x:v>
      </x:c>
      <x:c r="H149" s="44" t="n">
        <x:v>-0.415</x:v>
      </x:c>
      <x:c r="I149" s="44" t="n">
        <x:v>3.5707999999999998</x:v>
      </x:c>
      <x:c r="J149" s="44" t="n">
        <x:v>3.2127999999999997</x:v>
      </x:c>
      <x:c r="K149" s="44" t="n">
        <x:v>10.995</x:v>
      </x:c>
      <x:c r="L149" s="44" t="n">
        <x:v>16.5299</x:v>
      </x:c>
      <x:c r="M149" s="44" t="n">
        <x:v>10.155700000000001</x:v>
      </x:c>
      <x:c r="N149" s="44" t="n">
        <x:v>1.365</x:v>
      </x:c>
      <x:c r="O149" s="44" t="n">
        <x:v>-1.52</x:v>
      </x:c>
      <x:c r="P149" s="44" t="n">
        <x:v>0.53</x:v>
      </x:c>
      <x:c r="Q149" s="44" t="n">
        <x:v>3.35</x:v>
      </x:c>
      <x:c r="R149" s="44" t="n">
        <x:v>21.171999999999997</x:v>
      </x:c>
      <x:c r="S149" s="44" t="n">
        <x:v>14.865</x:v>
      </x:c>
      <x:c r="T149" s="44" t="n">
        <x:v>14.582</x:v>
      </x:c>
      <x:c r="U149" s="44" t="n">
        <x:v>1.4675</x:v>
      </x:c>
      <x:c r="V149" s="44" t="n">
        <x:v>-1.3075</x:v>
      </x:c>
      <x:c r="W149" s="44" t="n">
        <x:v>4.13</x:v>
      </x:c>
      <x:c r="X149" s="44" t="n">
        <x:v>2.7</x:v>
      </x:c>
      <x:c r="Y149" s="44" t="n">
        <x:v>21.03</x:v>
      </x:c>
      <x:c r="Z149" s="44" t="n">
        <x:v>15.305</x:v>
      </x:c>
      <x:c r="AA149" s="44" t="n">
        <x:v>8.96</x:v>
      </x:c>
      <x:c r="AB149" s="44" t="n">
        <x:v>1.5225</x:v>
      </x:c>
      <x:c r="AC149" s="44" t="n">
        <x:v>-1.4075</x:v>
      </x:c>
      <x:c r="AD149" s="44" t="n">
        <x:v>4.29</x:v>
      </x:c>
      <x:c r="AE149" s="44" t="n">
        <x:v>1.82</x:v>
      </x:c>
      <x:c r="AF149" s="44" t="n">
        <x:v>13.8735</x:v>
      </x:c>
      <x:c r="AG149" s="44" t="n">
        <x:v>7.515</x:v>
      </x:c>
      <x:c r="AH149" s="44" t="n">
        <x:v>9.325</x:v>
      </x:c>
      <x:c r="AI149" s="44" t="n">
        <x:v>0.605</x:v>
      </x:c>
      <x:c r="AJ149" s="44" t="n">
        <x:v>-0.345</x:v>
      </x:c>
      <x:c r="AK149" s="44" t="n">
        <x:v>0.85</x:v>
      </x:c>
      <x:c r="AL149" s="44" t="n">
        <x:v>0.55</x:v>
      </x:c>
      <x:c r="AM149" s="44" t="n">
        <x:v>0.26</x:v>
      </x:c>
      <x:c r="AN149" s="44" t="n">
        <x:v>0.215</x:v>
      </x:c>
      <x:c r="AO149" s="44" t="n">
        <x:v>-1.2187999999999999</x:v>
      </x:c>
      <x:c r="AP149" s="44" t="n">
        <x:v>0.9653</x:v>
      </x:c>
      <x:c r="AQ149" s="44" t="n">
        <x:v>0.9653</x:v>
      </x:c>
      <x:c r="AR149" s="44" t="n">
        <x:v>0.9653</x:v>
      </x:c>
      <x:c r="AS149" s="44"/>
      <x:c r="AT149" s="44" t="n">
        <x:v>0.9107999999999999</x:v>
      </x:c>
      <x:c r="AU149" s="174" t="n">
        <x:v>25800</x:v>
      </x:c>
      <x:c r="AV149" s="43" t="str">
        <x:v>00:31.75</x:v>
      </x:c>
      <x:c r="AW149" s="43" t="str">
        <x:v>00:31.75-00:33.75</x:v>
      </x:c>
      <x:c r="AX149" s="43" t="str">
        <x:v>fps4/f_00135.jpg</x:v>
      </x:c>
      <x:c r="AY149" s="43" t="str">
        <x:v>1000025872.mp4</x:v>
      </x:c>
      <x:c r="AZ149" s="44" t="n">
        <x:v>0</x:v>
      </x:c>
      <x:c r="BA149" s="175" t="n">
        <x:v>60</x:v>
      </x:c>
    </x:row>
    <x:row r="150" ht="18" customHeight="1">
      <x:c r="A150" s="43" t="str">
        <x:v>K176</x:v>
      </x:c>
      <x:c r="B150" s="43" t="str">
        <x:v>༺璀璨星辰༻</x:v>
      </x:c>
      <x:c r="C150" s="43" t="n">
        <x:v>199000</x:v>
      </x:c>
      <x:c r="D150" s="44" t="n">
        <x:v>4.0285</x:v>
      </x:c>
      <x:c r="E150" s="44" t="n">
        <x:v>3.6485000000000003</x:v>
      </x:c>
      <x:c r="F150" s="44" t="n">
        <x:v>4.2285</x:v>
      </x:c>
      <x:c r="G150" s="44" t="n">
        <x:v>0.4375</x:v>
      </x:c>
      <x:c r="H150" s="44" t="n">
        <x:v>-0.4375</x:v>
      </x:c>
      <x:c r="I150" s="44" t="n">
        <x:v>6</x:v>
      </x:c>
      <x:c r="J150" s="44" t="n">
        <x:v>4.6112</x:v>
      </x:c>
      <x:c r="K150" s="44" t="n">
        <x:v>17.235</x:v>
      </x:c>
      <x:c r="L150" s="44" t="n">
        <x:v>24.0092</x:v>
      </x:c>
      <x:c r="M150" s="44" t="n">
        <x:v>15.095699999999999</x:v>
      </x:c>
      <x:c r="N150" s="44" t="n">
        <x:v>1.385</x:v>
      </x:c>
      <x:c r="O150" s="44" t="n">
        <x:v>-1.92</x:v>
      </x:c>
      <x:c r="P150" s="44" t="n">
        <x:v>3.64</x:v>
      </x:c>
      <x:c r="Q150" s="44" t="n">
        <x:v>7</x:v>
      </x:c>
      <x:c r="R150" s="44" t="n">
        <x:v>27.822</x:v>
      </x:c>
      <x:c r="S150" s="44" t="n">
        <x:v>18.945</x:v>
      </x:c>
      <x:c r="T150" s="44" t="n">
        <x:v>13.567</x:v>
      </x:c>
      <x:c r="U150" s="44" t="n">
        <x:v>1.6525</x:v>
      </x:c>
      <x:c r="V150" s="44" t="n">
        <x:v>-1.51</x:v>
      </x:c>
      <x:c r="W150" s="44" t="n">
        <x:v>7</x:v>
      </x:c>
      <x:c r="X150" s="44" t="n">
        <x:v>4.45</x:v>
      </x:c>
      <x:c r="Y150" s="44" t="n">
        <x:v>17.38</x:v>
      </x:c>
      <x:c r="Z150" s="44" t="n">
        <x:v>12.665</x:v>
      </x:c>
      <x:c r="AA150" s="44" t="n">
        <x:v>10.04</x:v>
      </x:c>
      <x:c r="AB150" s="44" t="n">
        <x:v>1.465</x:v>
      </x:c>
      <x:c r="AC150" s="44" t="n">
        <x:v>-1.605</x:v>
      </x:c>
      <x:c r="AD150" s="44" t="n">
        <x:v>3.89</x:v>
      </x:c>
      <x:c r="AE150" s="44" t="n">
        <x:v>2.45</x:v>
      </x:c>
      <x:c r="AF150" s="44" t="n">
        <x:v>18.0335</x:v>
      </x:c>
      <x:c r="AG150" s="44" t="n">
        <x:v>9.985</x:v>
      </x:c>
      <x:c r="AH150" s="44" t="n">
        <x:v>14.86</x:v>
      </x:c>
      <x:c r="AI150" s="44" t="n">
        <x:v>1.5275</x:v>
      </x:c>
      <x:c r="AJ150" s="44" t="n">
        <x:v>-1.365</x:v>
      </x:c>
      <x:c r="AK150" s="44" t="n">
        <x:v>6.49</x:v>
      </x:c>
      <x:c r="AL150" s="44" t="n">
        <x:v>2.95</x:v>
      </x:c>
      <x:c r="AM150" s="44" t="n">
        <x:v>0.26</x:v>
      </x:c>
      <x:c r="AN150" s="44" t="n">
        <x:v>0.24</x:v>
      </x:c>
      <x:c r="AO150" s="44" t="n">
        <x:v>-1.2187999999999999</x:v>
      </x:c>
      <x:c r="AP150" s="44" t="n">
        <x:v>0.9653</x:v>
      </x:c>
      <x:c r="AQ150" s="44" t="n">
        <x:v>0.9653</x:v>
      </x:c>
      <x:c r="AR150" s="44" t="n">
        <x:v>0.9653</x:v>
      </x:c>
      <x:c r="AS150" s="44"/>
      <x:c r="AT150" s="44" t="n">
        <x:v>0.9107999999999999</x:v>
      </x:c>
      <x:c r="AU150" s="174" t="n">
        <x:v>25800</x:v>
      </x:c>
      <x:c r="AV150" s="43" t="str">
        <x:v>00:40.75</x:v>
      </x:c>
      <x:c r="AW150" s="43" t="str">
        <x:v>00:40.75-00:42.75</x:v>
      </x:c>
      <x:c r="AX150" s="43" t="str">
        <x:v>fps4/f_00172.jpg</x:v>
      </x:c>
      <x:c r="AY150" s="43" t="str">
        <x:v>1000025872.mp4</x:v>
      </x:c>
      <x:c r="AZ150" s="44" t="n">
        <x:v>0</x:v>
      </x:c>
      <x:c r="BA150" s="175" t="n">
        <x:v>60</x:v>
      </x:c>
    </x:row>
    <x:row r="151" ht="18" customHeight="1">
      <x:c r="A151" s="43" t="str">
        <x:v>K176</x:v>
      </x:c>
      <x:c r="B151" s="43" t="str">
        <x:v>临兵斗者皆阵列前</x:v>
      </x:c>
      <x:c r="C151" s="43" t="n">
        <x:v>105000</x:v>
      </x:c>
      <x:c r="D151" s="44" t="n">
        <x:v>3.156</x:v>
      </x:c>
      <x:c r="E151" s="44" t="n">
        <x:v>2.806</x:v>
      </x:c>
      <x:c r="F151" s="44" t="n">
        <x:v>2.9360000000000004</x:v>
      </x:c>
      <x:c r="G151" s="44" t="n">
        <x:v>0.4</x:v>
      </x:c>
      <x:c r="H151" s="44" t="n">
        <x:v>-0.415</x:v>
      </x:c>
      <x:c r="I151" s="44" t="n">
        <x:v>3.682</x:v>
      </x:c>
      <x:c r="J151" s="44" t="n">
        <x:v>2.674</x:v>
      </x:c>
      <x:c r="K151" s="44" t="n">
        <x:v>11.875</x:v>
      </x:c>
      <x:c r="L151" s="44" t="n">
        <x:v>15.9192</x:v>
      </x:c>
      <x:c r="M151" s="44" t="n">
        <x:v>9.7657</x:v>
      </x:c>
      <x:c r="N151" s="44" t="n">
        <x:v>0.5525</x:v>
      </x:c>
      <x:c r="O151" s="44" t="n">
        <x:v>-0.64</x:v>
      </x:c>
      <x:c r="P151" s="44" t="n">
        <x:v>2.1</x:v>
      </x:c>
      <x:c r="Q151" s="44" t="n">
        <x:v>3.19</x:v>
      </x:c>
      <x:c r="R151" s="44" t="n">
        <x:v>23.031999999999996</x:v>
      </x:c>
      <x:c r="S151" s="44" t="n">
        <x:v>15.575</x:v>
      </x:c>
      <x:c r="T151" s="44" t="n">
        <x:v>15.307</x:v>
      </x:c>
      <x:c r="U151" s="44" t="n">
        <x:v>1.4675</x:v>
      </x:c>
      <x:c r="V151" s="44" t="n">
        <x:v>-1.2875</x:v>
      </x:c>
      <x:c r="W151" s="44" t="n">
        <x:v>4.11</x:v>
      </x:c>
      <x:c r="X151" s="44" t="n">
        <x:v>2.13</x:v>
      </x:c>
      <x:c r="Y151" s="44" t="n">
        <x:v>20.11</x:v>
      </x:c>
      <x:c r="Z151" s="44" t="n">
        <x:v>15.065</x:v>
      </x:c>
      <x:c r="AA151" s="44" t="n">
        <x:v>9.28</x:v>
      </x:c>
      <x:c r="AB151" s="44" t="n">
        <x:v>1.48</x:v>
      </x:c>
      <x:c r="AC151" s="44" t="n">
        <x:v>-1.4475</x:v>
      </x:c>
      <x:c r="AD151" s="44" t="n">
        <x:v>3.73</x:v>
      </x:c>
      <x:c r="AE151" s="44" t="n">
        <x:v>2.25</x:v>
      </x:c>
      <x:c r="AF151" s="44" t="n">
        <x:v>14.523499999999999</x:v>
      </x:c>
      <x:c r="AG151" s="44" t="n">
        <x:v>9.345</x:v>
      </x:c>
      <x:c r="AH151" s="44" t="n">
        <x:v>10.94</x:v>
      </x:c>
      <x:c r="AI151" s="44" t="n">
        <x:v>1.385</x:v>
      </x:c>
      <x:c r="AJ151" s="44" t="n">
        <x:v>-1.105</x:v>
      </x:c>
      <x:c r="AK151" s="44" t="n">
        <x:v>1.22</x:v>
      </x:c>
      <x:c r="AL151" s="44" t="n">
        <x:v>0.78</x:v>
      </x:c>
      <x:c r="AM151" s="44" t="n">
        <x:v>0.26</x:v>
      </x:c>
      <x:c r="AN151" s="44" t="n">
        <x:v>0.22</x:v>
      </x:c>
      <x:c r="AO151" s="44" t="n">
        <x:v>-1.2187999999999999</x:v>
      </x:c>
      <x:c r="AP151" s="44" t="n">
        <x:v>0.9653</x:v>
      </x:c>
      <x:c r="AQ151" s="44" t="n">
        <x:v>0.9653</x:v>
      </x:c>
      <x:c r="AR151" s="44" t="n">
        <x:v>0.9653</x:v>
      </x:c>
      <x:c r="AS151" s="44"/>
      <x:c r="AT151" s="44" t="n">
        <x:v>0.9107999999999999</x:v>
      </x:c>
      <x:c r="AU151" s="174" t="n">
        <x:v>25800</x:v>
      </x:c>
      <x:c r="AV151" s="43" t="str">
        <x:v>00:52.50</x:v>
      </x:c>
      <x:c r="AW151" s="43" t="str">
        <x:v>00:52.50-00:54.25</x:v>
      </x:c>
      <x:c r="AX151" s="43" t="str">
        <x:v>fps4/f_00217.jpg</x:v>
      </x:c>
      <x:c r="AY151" s="43" t="str">
        <x:v>1000025872.mp4</x:v>
      </x:c>
      <x:c r="AZ151" s="44" t="n">
        <x:v>0</x:v>
      </x:c>
      <x:c r="BA151" s="175" t="n">
        <x:v>60</x:v>
      </x:c>
    </x:row>
    <x:row r="152" ht="18" customHeight="1">
      <x:c r="A152" s="43" t="str">
        <x:v>K176</x:v>
      </x:c>
      <x:c r="B152" s="43" t="str">
        <x:v>梦山河</x:v>
      </x:c>
      <x:c r="C152" s="43" t="n">
        <x:v>140000</x:v>
      </x:c>
      <x:c r="D152" s="44" t="n">
        <x:v>3.3035</x:v>
      </x:c>
      <x:c r="E152" s="44" t="n">
        <x:v>2.826</x:v>
      </x:c>
      <x:c r="F152" s="44" t="n">
        <x:v>3.161</x:v>
      </x:c>
      <x:c r="G152" s="44" t="n">
        <x:v>0.4375</x:v>
      </x:c>
      <x:c r="H152" s="44" t="n">
        <x:v>-0.415</x:v>
      </x:c>
      <x:c r="I152" s="44" t="n">
        <x:v>3.3977999999999997</x:v>
      </x:c>
      <x:c r="J152" s="44" t="n">
        <x:v>3.3582</x:v>
      </x:c>
      <x:c r="K152" s="44" t="n">
        <x:v>10.715</x:v>
      </x:c>
      <x:c r="L152" s="44" t="n">
        <x:v>18.5599</x:v>
      </x:c>
      <x:c r="M152" s="44" t="n">
        <x:v>11.0557</x:v>
      </x:c>
      <x:c r="N152" s="44" t="n">
        <x:v>0.5725</x:v>
      </x:c>
      <x:c r="O152" s="44" t="n">
        <x:v>-0.675</x:v>
      </x:c>
      <x:c r="P152" s="44" t="n">
        <x:v>1.74</x:v>
      </x:c>
      <x:c r="Q152" s="44" t="n">
        <x:v>3.75</x:v>
      </x:c>
      <x:c r="R152" s="44" t="n">
        <x:v>26.881999999999998</x:v>
      </x:c>
      <x:c r="S152" s="44" t="n">
        <x:v>16.755</x:v>
      </x:c>
      <x:c r="T152" s="44" t="n">
        <x:v>15.092</x:v>
      </x:c>
      <x:c r="U152" s="44" t="n">
        <x:v>1.755</x:v>
      </x:c>
      <x:c r="V152" s="44" t="n">
        <x:v>-1.4075</x:v>
      </x:c>
      <x:c r="W152" s="44" t="n">
        <x:v>5.16</x:v>
      </x:c>
      <x:c r="X152" s="44" t="n">
        <x:v>2.55</x:v>
      </x:c>
      <x:c r="Y152" s="44" t="n">
        <x:v>14.78</x:v>
      </x:c>
      <x:c r="Z152" s="44" t="n">
        <x:v>10.175</x:v>
      </x:c>
      <x:c r="AA152" s="44" t="n">
        <x:v>7.29</x:v>
      </x:c>
      <x:c r="AB152" s="44" t="n">
        <x:v>0.7825</x:v>
      </x:c>
      <x:c r="AC152" s="44" t="n">
        <x:v>-0.41</x:v>
      </x:c>
      <x:c r="AD152" s="44" t="n">
        <x:v>1.15</x:v>
      </x:c>
      <x:c r="AE152" s="44" t="n">
        <x:v>0.69</x:v>
      </x:c>
      <x:c r="AF152" s="44" t="n">
        <x:v>17.1835</x:v>
      </x:c>
      <x:c r="AG152" s="44" t="n">
        <x:v>7.45</x:v>
      </x:c>
      <x:c r="AH152" s="44" t="n">
        <x:v>11.66</x:v>
      </x:c>
      <x:c r="AI152" s="44" t="n">
        <x:v>1.595</x:v>
      </x:c>
      <x:c r="AJ152" s="44" t="n">
        <x:v>-1.285</x:v>
      </x:c>
      <x:c r="AK152" s="44" t="n">
        <x:v>3.06</x:v>
      </x:c>
      <x:c r="AL152" s="44" t="n">
        <x:v>1.34</x:v>
      </x:c>
      <x:c r="AM152" s="44" t="n">
        <x:v>0.46</x:v>
      </x:c>
      <x:c r="AN152" s="44" t="n">
        <x:v>0.22</x:v>
      </x:c>
      <x:c r="AO152" s="44" t="n">
        <x:v>-1.2187999999999999</x:v>
      </x:c>
      <x:c r="AP152" s="44" t="n">
        <x:v>0.9653</x:v>
      </x:c>
      <x:c r="AQ152" s="44" t="n">
        <x:v>0.9653</x:v>
      </x:c>
      <x:c r="AR152" s="44" t="n">
        <x:v>0.9653</x:v>
      </x:c>
      <x:c r="AS152" s="44"/>
      <x:c r="AT152" s="44" t="n">
        <x:v>0.9107999999999999</x:v>
      </x:c>
      <x:c r="AU152" s="174" t="n">
        <x:v>25800</x:v>
      </x:c>
      <x:c r="AV152" s="43" t="str">
        <x:v>01:03.50</x:v>
      </x:c>
      <x:c r="AW152" s="43" t="str">
        <x:v>01:03.50-01:05.25</x:v>
      </x:c>
      <x:c r="AX152" s="43" t="str">
        <x:v>fps4/f_00261.jpg</x:v>
      </x:c>
      <x:c r="AY152" s="43" t="str">
        <x:v>1000025872.mp4</x:v>
      </x:c>
      <x:c r="AZ152" s="44" t="n">
        <x:v>0</x:v>
      </x:c>
      <x:c r="BA152" s="175" t="n">
        <x:v>60</x:v>
      </x:c>
    </x:row>
    <x:row r="153" ht="18" customHeight="1">
      <x:c r="A153" s="43" t="str">
        <x:v>K176</x:v>
      </x:c>
      <x:c r="B153" s="43" t="str">
        <x:v>岑胖子</x:v>
      </x:c>
      <x:c r="C153" s="43" t="n">
        <x:v>109000</x:v>
      </x:c>
      <x:c r="D153" s="44" t="n">
        <x:v>3.261</x:v>
      </x:c>
      <x:c r="E153" s="44" t="n">
        <x:v>2.866</x:v>
      </x:c>
      <x:c r="F153" s="44" t="n">
        <x:v>3.0060000000000002</x:v>
      </x:c>
      <x:c r="G153" s="44" t="n">
        <x:v>0.415</x:v>
      </x:c>
      <x:c r="H153" s="44" t="n">
        <x:v>-0.4</x:v>
      </x:c>
      <x:c r="I153" s="44" t="n">
        <x:v>3.8684</x:v>
      </x:c>
      <x:c r="J153" s="44" t="n">
        <x:v>3.2816</x:v>
      </x:c>
      <x:c r="K153" s="44" t="n">
        <x:v>9.875</x:v>
      </x:c>
      <x:c r="L153" s="44" t="n">
        <x:v>15.9899</x:v>
      </x:c>
      <x:c r="M153" s="44" t="n">
        <x:v>8.5457</x:v>
      </x:c>
      <x:c r="N153" s="44" t="n">
        <x:v>0.49</x:v>
      </x:c>
      <x:c r="O153" s="44" t="n">
        <x:v>-0.68</x:v>
      </x:c>
      <x:c r="P153" s="44" t="n">
        <x:v>1.23</x:v>
      </x:c>
      <x:c r="Q153" s="44" t="n">
        <x:v>3.03</x:v>
      </x:c>
      <x:c r="R153" s="44" t="n">
        <x:v>22.241999999999997</x:v>
      </x:c>
      <x:c r="S153" s="44" t="n">
        <x:v>15.585</x:v>
      </x:c>
      <x:c r="T153" s="44" t="n">
        <x:v>14.692</x:v>
      </x:c>
      <x:c r="U153" s="44" t="n">
        <x:v>1.565</x:v>
      </x:c>
      <x:c r="V153" s="44" t="n">
        <x:v>-1.265</x:v>
      </x:c>
      <x:c r="W153" s="44" t="n">
        <x:v>4.02</x:v>
      </x:c>
      <x:c r="X153" s="44" t="n">
        <x:v>2.68</x:v>
      </x:c>
      <x:c r="Y153" s="44" t="n">
        <x:v>20.47</x:v>
      </x:c>
      <x:c r="Z153" s="44" t="n">
        <x:v>15.225</x:v>
      </x:c>
      <x:c r="AA153" s="44" t="n">
        <x:v>8.8</x:v>
      </x:c>
      <x:c r="AB153" s="44" t="n">
        <x:v>1.6275</x:v>
      </x:c>
      <x:c r="AC153" s="44" t="n">
        <x:v>-1.4475</x:v>
      </x:c>
      <x:c r="AD153" s="44" t="n">
        <x:v>5.04</x:v>
      </x:c>
      <x:c r="AE153" s="44" t="n">
        <x:v>2.36</x:v>
      </x:c>
      <x:c r="AF153" s="44" t="n">
        <x:v>15.273499999999999</x:v>
      </x:c>
      <x:c r="AG153" s="44" t="n">
        <x:v>8.19</x:v>
      </x:c>
      <x:c r="AH153" s="44" t="n">
        <x:v>10.94</x:v>
      </x:c>
      <x:c r="AI153" s="44" t="n">
        <x:v>1.42</x:v>
      </x:c>
      <x:c r="AJ153" s="44" t="n">
        <x:v>-1.125</x:v>
      </x:c>
      <x:c r="AK153" s="44" t="n">
        <x:v>1.34</x:v>
      </x:c>
      <x:c r="AL153" s="44" t="n">
        <x:v>0.71</x:v>
      </x:c>
      <x:c r="AM153" s="44" t="n">
        <x:v>0.26</x:v>
      </x:c>
      <x:c r="AN153" s="44" t="n">
        <x:v>0.235</x:v>
      </x:c>
      <x:c r="AO153" s="44" t="n">
        <x:v>-1.2187999999999999</x:v>
      </x:c>
      <x:c r="AP153" s="44" t="n">
        <x:v>0.9653</x:v>
      </x:c>
      <x:c r="AQ153" s="44" t="n">
        <x:v>0.9653</x:v>
      </x:c>
      <x:c r="AR153" s="44" t="n">
        <x:v>0.9653</x:v>
      </x:c>
      <x:c r="AS153" s="44"/>
      <x:c r="AT153" s="44" t="n">
        <x:v>0.9107999999999999</x:v>
      </x:c>
      <x:c r="AU153" s="174" t="n">
        <x:v>25800</x:v>
      </x:c>
      <x:c r="AV153" s="43" t="str">
        <x:v>01:15.75</x:v>
      </x:c>
      <x:c r="AW153" s="43" t="str">
        <x:v>01:15.75-01:17.50</x:v>
      </x:c>
      <x:c r="AX153" s="43" t="str">
        <x:v>fps4/f_00309.jpg</x:v>
      </x:c>
      <x:c r="AY153" s="43" t="str">
        <x:v>1000025872.mp4</x:v>
      </x:c>
      <x:c r="AZ153" s="44" t="n">
        <x:v>0</x:v>
      </x:c>
      <x:c r="BA153" s="175" t="n">
        <x:v>60</x:v>
      </x:c>
    </x:row>
    <x:row r="154" ht="18" customHeight="1">
      <x:c r="A154" s="43" t="str">
        <x:v>K176</x:v>
      </x:c>
      <x:c r="B154" s="43" t="str">
        <x:v>三月的心思你别猜</x:v>
      </x:c>
      <x:c r="C154" s="43" t="n">
        <x:v>161000</x:v>
      </x:c>
      <x:c r="D154" s="44" t="n">
        <x:v>3.4785000000000004</x:v>
      </x:c>
      <x:c r="E154" s="44" t="n">
        <x:v>3.5660000000000003</x:v>
      </x:c>
      <x:c r="F154" s="44" t="n">
        <x:v>3.7710000000000004</x:v>
      </x:c>
      <x:c r="G154" s="44" t="n">
        <x:v>0.415</x:v>
      </x:c>
      <x:c r="H154" s="44" t="n">
        <x:v>-0.415</x:v>
      </x:c>
      <x:c r="I154" s="44" t="n">
        <x:v>4.3208</x:v>
      </x:c>
      <x:c r="J154" s="44" t="n">
        <x:v>6.01</x:v>
      </x:c>
      <x:c r="K154" s="44" t="n">
        <x:v>13.762</x:v>
      </x:c>
      <x:c r="L154" s="44" t="n">
        <x:v>19.475</x:v>
      </x:c>
      <x:c r="M154" s="44" t="n">
        <x:v>15.252</x:v>
      </x:c>
      <x:c r="N154" s="44" t="n">
        <x:v>1.4475</x:v>
      </x:c>
      <x:c r="O154" s="44" t="n">
        <x:v>-1.6675</x:v>
      </x:c>
      <x:c r="P154" s="44" t="n">
        <x:v>2.51</x:v>
      </x:c>
      <x:c r="Q154" s="44" t="n">
        <x:v>7</x:v>
      </x:c>
      <x:c r="R154" s="44" t="n">
        <x:v>24.1585</x:v>
      </x:c>
      <x:c r="S154" s="44" t="n">
        <x:v>17.445</x:v>
      </x:c>
      <x:c r="T154" s="44" t="n">
        <x:v>13.89</x:v>
      </x:c>
      <x:c r="U154" s="44" t="n">
        <x:v>1.545</x:v>
      </x:c>
      <x:c r="V154" s="44" t="n">
        <x:v>-1.3675</x:v>
      </x:c>
      <x:c r="W154" s="44" t="n">
        <x:v>6.16</x:v>
      </x:c>
      <x:c r="X154" s="44" t="n">
        <x:v>3.44</x:v>
      </x:c>
      <x:c r="Y154" s="44" t="n">
        <x:v>14.73</x:v>
      </x:c>
      <x:c r="Z154" s="44" t="n">
        <x:v>13.015</x:v>
      </x:c>
      <x:c r="AA154" s="44" t="n">
        <x:v>11.093499999999999</x:v>
      </x:c>
      <x:c r="AB154" s="44" t="n">
        <x:v>0.6075</x:v>
      </x:c>
      <x:c r="AC154" s="44" t="n">
        <x:v>-0.5525</x:v>
      </x:c>
      <x:c r="AD154" s="44" t="n">
        <x:v>3.11</x:v>
      </x:c>
      <x:c r="AE154" s="44" t="n">
        <x:v>2</x:v>
      </x:c>
      <x:c r="AF154" s="44" t="n">
        <x:v>17.56</x:v>
      </x:c>
      <x:c r="AG154" s="44" t="n">
        <x:v>8.965</x:v>
      </x:c>
      <x:c r="AH154" s="44" t="n">
        <x:v>13.35</x:v>
      </x:c>
      <x:c r="AI154" s="44" t="n">
        <x:v>1.42</x:v>
      </x:c>
      <x:c r="AJ154" s="44" t="n">
        <x:v>-1.285</x:v>
      </x:c>
      <x:c r="AK154" s="44" t="n">
        <x:v>5.46</x:v>
      </x:c>
      <x:c r="AL154" s="44" t="n">
        <x:v>2.48</x:v>
      </x:c>
      <x:c r="AM154" s="44" t="n">
        <x:v>0.26</x:v>
      </x:c>
      <x:c r="AN154" s="44" t="n">
        <x:v>0.25</x:v>
      </x:c>
      <x:c r="AO154" s="44" t="n">
        <x:v>-1.2187999999999999</x:v>
      </x:c>
      <x:c r="AP154" s="44" t="n">
        <x:v>0.9653</x:v>
      </x:c>
      <x:c r="AQ154" s="44" t="n">
        <x:v>0.9653</x:v>
      </x:c>
      <x:c r="AR154" s="44" t="n">
        <x:v>0.9653</x:v>
      </x:c>
      <x:c r="AS154" s="44"/>
      <x:c r="AT154" s="44" t="n">
        <x:v>0.9107999999999999</x:v>
      </x:c>
      <x:c r="AU154" s="174" t="n">
        <x:v>25800</x:v>
      </x:c>
      <x:c r="AV154" s="43" t="str">
        <x:v>01:31.75</x:v>
      </x:c>
      <x:c r="AW154" s="43" t="str">
        <x:v>01:31.75-01:33.50</x:v>
      </x:c>
      <x:c r="AX154" s="43" t="str">
        <x:v>fps4/f_00373.jpg</x:v>
      </x:c>
      <x:c r="AY154" s="43" t="str">
        <x:v>1000025872.mp4</x:v>
      </x:c>
      <x:c r="AZ154" s="44" t="n">
        <x:v>0</x:v>
      </x:c>
      <x:c r="BA154" s="175" t="n">
        <x:v>60</x:v>
      </x:c>
    </x:row>
    <x:row r="155" ht="18" customHeight="1">
      <x:c r="A155" s="43" t="str">
        <x:v>K176</x:v>
      </x:c>
      <x:c r="B155" s="43" t="str">
        <x:v>顺顺顺</x:v>
      </x:c>
      <x:c r="C155" s="43" t="n">
        <x:v>100000</x:v>
      </x:c>
      <x:c r="D155" s="44" t="n">
        <x:v>3.466</x:v>
      </x:c>
      <x:c r="E155" s="44" t="n">
        <x:v>2.506</x:v>
      </x:c>
      <x:c r="F155" s="44" t="n">
        <x:v>2.786</x:v>
      </x:c>
      <x:c r="G155" s="44" t="n">
        <x:v>0.39</x:v>
      </x:c>
      <x:c r="H155" s="44" t="n">
        <x:v>-0.39</x:v>
      </x:c>
      <x:c r="I155" s="44" t="n">
        <x:v>2.824</x:v>
      </x:c>
      <x:c r="J155" s="44" t="n">
        <x:v>3.188</x:v>
      </x:c>
      <x:c r="K155" s="44" t="n">
        <x:v>13.815</x:v>
      </x:c>
      <x:c r="L155" s="44" t="n">
        <x:v>16.9892</x:v>
      </x:c>
      <x:c r="M155" s="44" t="n">
        <x:v>10.425699999999999</x:v>
      </x:c>
      <x:c r="N155" s="44" t="n">
        <x:v>1.3475</x:v>
      </x:c>
      <x:c r="O155" s="44" t="n">
        <x:v>-1.4025</x:v>
      </x:c>
      <x:c r="P155" s="44" t="n">
        <x:v>5.18</x:v>
      </x:c>
      <x:c r="Q155" s="44" t="n">
        <x:v>5.28</x:v>
      </x:c>
      <x:c r="R155" s="44" t="n">
        <x:v>20.982</x:v>
      </x:c>
      <x:c r="S155" s="44" t="n">
        <x:v>14.735</x:v>
      </x:c>
      <x:c r="T155" s="44" t="n">
        <x:v>14.127</x:v>
      </x:c>
      <x:c r="U155" s="44" t="n">
        <x:v>1.4025</x:v>
      </x:c>
      <x:c r="V155" s="44" t="n">
        <x:v>-1.265</x:v>
      </x:c>
      <x:c r="W155" s="44" t="n">
        <x:v>2.28</x:v>
      </x:c>
      <x:c r="X155" s="44" t="n">
        <x:v>1.72</x:v>
      </x:c>
      <x:c r="Y155" s="44" t="n">
        <x:v>20.595</x:v>
      </x:c>
      <x:c r="Z155" s="44" t="n">
        <x:v>12.18</x:v>
      </x:c>
      <x:c r="AA155" s="44" t="n">
        <x:v>11.3</x:v>
      </x:c>
      <x:c r="AB155" s="44" t="n">
        <x:v>0.55</x:v>
      </x:c>
      <x:c r="AC155" s="44" t="n">
        <x:v>-0.47</x:v>
      </x:c>
      <x:c r="AD155" s="44" t="n">
        <x:v>4.49</x:v>
      </x:c>
      <x:c r="AE155" s="44" t="n">
        <x:v>2.98</x:v>
      </x:c>
      <x:c r="AF155" s="44" t="n">
        <x:v>13.558499999999999</x:v>
      </x:c>
      <x:c r="AG155" s="44" t="n">
        <x:v>7.005</x:v>
      </x:c>
      <x:c r="AH155" s="44" t="n">
        <x:v>9.735</x:v>
      </x:c>
      <x:c r="AI155" s="44" t="n">
        <x:v>1.335</x:v>
      </x:c>
      <x:c r="AJ155" s="44" t="n">
        <x:v>-1.125</x:v>
      </x:c>
      <x:c r="AK155" s="44" t="n">
        <x:v>1.61</x:v>
      </x:c>
      <x:c r="AL155" s="44" t="n">
        <x:v>1.29</x:v>
      </x:c>
      <x:c r="AM155" s="44" t="n">
        <x:v>0.26</x:v>
      </x:c>
      <x:c r="AN155" s="44" t="n">
        <x:v>0.21</x:v>
      </x:c>
      <x:c r="AO155" s="44" t="n">
        <x:v>-1.2187999999999999</x:v>
      </x:c>
      <x:c r="AP155" s="44" t="n">
        <x:v>0.9653</x:v>
      </x:c>
      <x:c r="AQ155" s="44" t="n">
        <x:v>0.9653</x:v>
      </x:c>
      <x:c r="AR155" s="44" t="n">
        <x:v>0.9653</x:v>
      </x:c>
      <x:c r="AS155" s="44"/>
      <x:c r="AT155" s="44" t="n">
        <x:v>0.9107999999999999</x:v>
      </x:c>
      <x:c r="AU155" s="174" t="n">
        <x:v>25800</x:v>
      </x:c>
      <x:c r="AV155" s="43" t="str">
        <x:v>01:41.75</x:v>
      </x:c>
      <x:c r="AW155" s="43" t="str">
        <x:v>01:41.75-01:43.25</x:v>
      </x:c>
      <x:c r="AX155" s="43" t="str">
        <x:v>fps4/f_00413.jpg</x:v>
      </x:c>
      <x:c r="AY155" s="43" t="str">
        <x:v>1000025872.mp4</x:v>
      </x:c>
      <x:c r="AZ155" s="44" t="n">
        <x:v>0</x:v>
      </x:c>
      <x:c r="BA155" s="175" t="n">
        <x:v>60</x:v>
      </x:c>
    </x:row>
    <x:row r="156" ht="18" customHeight="1">
      <x:c r="A156" s="43" t="str">
        <x:v>K176</x:v>
      </x:c>
      <x:c r="B156" s="43" t="str">
        <x:v>♱Seraphim織羽♱</x:v>
      </x:c>
      <x:c r="C156" s="43" t="n">
        <x:v>146000</x:v>
      </x:c>
      <x:c r="D156" s="44" t="n">
        <x:v>3.9585000000000004</x:v>
      </x:c>
      <x:c r="E156" s="44" t="n">
        <x:v>3.5185000000000004</x:v>
      </x:c>
      <x:c r="F156" s="44" t="n">
        <x:v>3.7985</x:v>
      </x:c>
      <x:c r="G156" s="44" t="n">
        <x:v>0.4375</x:v>
      </x:c>
      <x:c r="H156" s="44" t="n">
        <x:v>-0.4375</x:v>
      </x:c>
      <x:c r="I156" s="44" t="n">
        <x:v>4.9028</x:v>
      </x:c>
      <x:c r="J156" s="44" t="n">
        <x:v>4.0876</x:v>
      </x:c>
      <x:c r="K156" s="44" t="n">
        <x:v>11.98</x:v>
      </x:c>
      <x:c r="L156" s="44" t="n">
        <x:v>18.2242</x:v>
      </x:c>
      <x:c r="M156" s="44" t="n">
        <x:v>9.8057</x:v>
      </x:c>
      <x:c r="N156" s="44" t="n">
        <x:v>0.5525</x:v>
      </x:c>
      <x:c r="O156" s="44" t="n">
        <x:v>-0.7775</x:v>
      </x:c>
      <x:c r="P156" s="44" t="n">
        <x:v>2.35</x:v>
      </x:c>
      <x:c r="Q156" s="44" t="n">
        <x:v>4.15</x:v>
      </x:c>
      <x:c r="R156" s="44" t="n">
        <x:v>25.511999999999997</x:v>
      </x:c>
      <x:c r="S156" s="44" t="n">
        <x:v>18.515</x:v>
      </x:c>
      <x:c r="T156" s="44" t="n">
        <x:v>17.307000000000002</x:v>
      </x:c>
      <x:c r="U156" s="44" t="n">
        <x:v>1.5475</x:v>
      </x:c>
      <x:c r="V156" s="44" t="n">
        <x:v>-1.51</x:v>
      </x:c>
      <x:c r="W156" s="44" t="n">
        <x:v>4.38</x:v>
      </x:c>
      <x:c r="X156" s="44" t="n">
        <x:v>3.11</x:v>
      </x:c>
      <x:c r="Y156" s="44" t="n">
        <x:v>21.285</x:v>
      </x:c>
      <x:c r="Z156" s="44" t="n">
        <x:v>17.315</x:v>
      </x:c>
      <x:c r="AA156" s="44" t="n">
        <x:v>10.68</x:v>
      </x:c>
      <x:c r="AB156" s="44" t="n">
        <x:v>1.59</x:v>
      </x:c>
      <x:c r="AC156" s="44" t="n">
        <x:v>-1.4475</x:v>
      </x:c>
      <x:c r="AD156" s="44" t="n">
        <x:v>3.56</x:v>
      </x:c>
      <x:c r="AE156" s="44" t="n">
        <x:v>2.62</x:v>
      </x:c>
      <x:c r="AF156" s="44" t="n">
        <x:v>18.743499999999997</x:v>
      </x:c>
      <x:c r="AG156" s="44" t="n">
        <x:v>10.015</x:v>
      </x:c>
      <x:c r="AH156" s="44" t="n">
        <x:v>13.9</x:v>
      </x:c>
      <x:c r="AI156" s="44" t="n">
        <x:v>1.465</x:v>
      </x:c>
      <x:c r="AJ156" s="44" t="n">
        <x:v>-1.365</x:v>
      </x:c>
      <x:c r="AK156" s="44" t="n">
        <x:v>2.45</x:v>
      </x:c>
      <x:c r="AL156" s="44" t="n">
        <x:v>1.82</x:v>
      </x:c>
      <x:c r="AM156" s="44" t="n">
        <x:v>0.26</x:v>
      </x:c>
      <x:c r="AN156" s="44" t="n">
        <x:v>0.25</x:v>
      </x:c>
      <x:c r="AO156" s="44" t="n">
        <x:v>-1.2187999999999999</x:v>
      </x:c>
      <x:c r="AP156" s="44" t="n">
        <x:v>0.9653</x:v>
      </x:c>
      <x:c r="AQ156" s="44" t="n">
        <x:v>0.9653</x:v>
      </x:c>
      <x:c r="AR156" s="44" t="n">
        <x:v>0.9653</x:v>
      </x:c>
      <x:c r="AS156" s="44"/>
      <x:c r="AT156" s="44" t="n">
        <x:v>0.9107999999999999</x:v>
      </x:c>
      <x:c r="AU156" s="174" t="n">
        <x:v>25800</x:v>
      </x:c>
      <x:c r="AV156" s="43" t="str">
        <x:v>01:54.25</x:v>
      </x:c>
      <x:c r="AW156" s="43" t="str">
        <x:v>01:54.25-01:56.00</x:v>
      </x:c>
      <x:c r="AX156" s="43" t="str">
        <x:v>fps4/f_00464.jpg</x:v>
      </x:c>
      <x:c r="AY156" s="43" t="str">
        <x:v>1000025872.mp4</x:v>
      </x:c>
      <x:c r="AZ156" s="44" t="n">
        <x:v>0</x:v>
      </x:c>
      <x:c r="BA156" s="175" t="n">
        <x:v>60</x:v>
      </x:c>
    </x:row>
    <x:row r="157" ht="18" customHeight="1">
      <x:c r="A157" s="43" t="str">
        <x:v>K176</x:v>
      </x:c>
      <x:c r="B157" s="43" t="str">
        <x:v>ʚ老⑥ɞ</x:v>
      </x:c>
      <x:c r="C157" s="43" t="n">
        <x:v>206070</x:v>
      </x:c>
      <x:c r="D157" s="44" t="n">
        <x:v>4.1285</x:v>
      </x:c>
      <x:c r="E157" s="44" t="n">
        <x:v>3.051</x:v>
      </x:c>
      <x:c r="F157" s="44" t="n">
        <x:v>3.3510000000000004</x:v>
      </x:c>
      <x:c r="G157" s="44" t="n">
        <x:v>0.4375</x:v>
      </x:c>
      <x:c r="H157" s="44" t="n">
        <x:v>-0.415</x:v>
      </x:c>
      <x:c r="I157" s="44" t="n">
        <x:v>5.8948</x:v>
      </x:c>
      <x:c r="J157" s="44" t="n">
        <x:v>5.3932</x:v>
      </x:c>
      <x:c r="K157" s="44" t="n">
        <x:v>14.565</x:v>
      </x:c>
      <x:c r="L157" s="44" t="n">
        <x:v>20.479200000000002</x:v>
      </x:c>
      <x:c r="M157" s="44" t="n">
        <x:v>12.3857</x:v>
      </x:c>
      <x:c r="N157" s="44" t="n">
        <x:v>1.4275</x:v>
      </x:c>
      <x:c r="O157" s="44" t="n">
        <x:v>-1.6075</x:v>
      </x:c>
      <x:c r="P157" s="44" t="n">
        <x:v>4.01</x:v>
      </x:c>
      <x:c r="Q157" s="44" t="n">
        <x:v>6.77</x:v>
      </x:c>
      <x:c r="R157" s="44" t="n">
        <x:v>24.221999999999998</x:v>
      </x:c>
      <x:c r="S157" s="44" t="n">
        <x:v>16.705</x:v>
      </x:c>
      <x:c r="T157" s="44" t="n">
        <x:v>12.727</x:v>
      </x:c>
      <x:c r="U157" s="44" t="n">
        <x:v>1.61</x:v>
      </x:c>
      <x:c r="V157" s="44" t="n">
        <x:v>-1.3675</x:v>
      </x:c>
      <x:c r="W157" s="44" t="n">
        <x:v>6.16</x:v>
      </x:c>
      <x:c r="X157" s="44" t="n">
        <x:v>3.92</x:v>
      </x:c>
      <x:c r="Y157" s="44" t="n">
        <x:v>20.86</x:v>
      </x:c>
      <x:c r="Z157" s="44" t="n">
        <x:v>16.13</x:v>
      </x:c>
      <x:c r="AA157" s="44" t="n">
        <x:v>13.195</x:v>
      </x:c>
      <x:c r="AB157" s="44" t="n">
        <x:v>1.565</x:v>
      </x:c>
      <x:c r="AC157" s="44" t="n">
        <x:v>-1.4475</x:v>
      </x:c>
      <x:c r="AD157" s="44" t="n">
        <x:v>6.44</x:v>
      </x:c>
      <x:c r="AE157" s="44" t="n">
        <x:v>4.48</x:v>
      </x:c>
      <x:c r="AF157" s="44" t="n">
        <x:v>17.6635</x:v>
      </x:c>
      <x:c r="AG157" s="44" t="n">
        <x:v>9.995</x:v>
      </x:c>
      <x:c r="AH157" s="44" t="n">
        <x:v>13.51</x:v>
      </x:c>
      <x:c r="AI157" s="44" t="n">
        <x:v>1.6375</x:v>
      </x:c>
      <x:c r="AJ157" s="44" t="n">
        <x:v>-1.285</x:v>
      </x:c>
      <x:c r="AK157" s="44" t="n">
        <x:v>4.5</x:v>
      </x:c>
      <x:c r="AL157" s="44" t="n">
        <x:v>1.65</x:v>
      </x:c>
      <x:c r="AM157" s="44" t="n">
        <x:v>0.26</x:v>
      </x:c>
      <x:c r="AN157" s="44" t="n">
        <x:v>0.245</x:v>
      </x:c>
      <x:c r="AO157" s="44" t="n">
        <x:v>-1.2187999999999999</x:v>
      </x:c>
      <x:c r="AP157" s="44" t="n">
        <x:v>0.9653</x:v>
      </x:c>
      <x:c r="AQ157" s="44" t="n">
        <x:v>0.9653</x:v>
      </x:c>
      <x:c r="AR157" s="44" t="n">
        <x:v>0.9653</x:v>
      </x:c>
      <x:c r="AS157" s="44"/>
      <x:c r="AT157" s="44" t="n">
        <x:v>0.9107999999999999</x:v>
      </x:c>
      <x:c r="AU157" s="174" t="n">
        <x:v>25800</x:v>
      </x:c>
      <x:c r="AV157" s="43" t="str">
        <x:v>02:06.75</x:v>
      </x:c>
      <x:c r="AW157" s="43" t="str">
        <x:v>02:06.75-02:08.50</x:v>
      </x:c>
      <x:c r="AX157" s="43" t="str">
        <x:v>fps4/f_00513.jpg</x:v>
      </x:c>
      <x:c r="AY157" s="43" t="str">
        <x:v>1000025872.mp4</x:v>
      </x:c>
      <x:c r="AZ157" s="44" t="n">
        <x:v>0</x:v>
      </x:c>
      <x:c r="BA157" s="175" t="n">
        <x:v>60</x:v>
      </x:c>
    </x:row>
    <x:row r="158" ht="18" customHeight="1">
      <x:c r="A158" s="43" t="str">
        <x:v>K176</x:v>
      </x:c>
      <x:c r="B158" s="43" t="str">
        <x:v>灰色轨迹</x:v>
      </x:c>
      <x:c r="C158" s="43" t="n">
        <x:v>131000</x:v>
      </x:c>
      <x:c r="D158" s="44" t="n">
        <x:v>3.551</x:v>
      </x:c>
      <x:c r="E158" s="44" t="n">
        <x:v>2.8310000000000004</x:v>
      </x:c>
      <x:c r="F158" s="44" t="n">
        <x:v>2.931</x:v>
      </x:c>
      <x:c r="G158" s="44" t="n">
        <x:v>0.415</x:v>
      </x:c>
      <x:c r="H158" s="44" t="n">
        <x:v>-0.415</x:v>
      </x:c>
      <x:c r="I158" s="44" t="n">
        <x:v>4.7892</x:v>
      </x:c>
      <x:c r="J158" s="44" t="n">
        <x:v>4.148</x:v>
      </x:c>
      <x:c r="K158" s="44" t="n">
        <x:v>12.24</x:v>
      </x:c>
      <x:c r="L158" s="44" t="n">
        <x:v>17.6092</x:v>
      </x:c>
      <x:c r="M158" s="44" t="n">
        <x:v>8.1957</x:v>
      </x:c>
      <x:c r="N158" s="44" t="n">
        <x:v>0.49</x:v>
      </x:c>
      <x:c r="O158" s="44" t="n">
        <x:v>-0.67</x:v>
      </x:c>
      <x:c r="P158" s="44" t="n">
        <x:v>1.45</x:v>
      </x:c>
      <x:c r="Q158" s="44" t="n">
        <x:v>2.91</x:v>
      </x:c>
      <x:c r="R158" s="44" t="n">
        <x:v>24.006999999999998</x:v>
      </x:c>
      <x:c r="S158" s="44" t="n">
        <x:v>16.235</x:v>
      </x:c>
      <x:c r="T158" s="44" t="n">
        <x:v>15.487</x:v>
      </x:c>
      <x:c r="U158" s="44" t="n">
        <x:v>1.5475</x:v>
      </x:c>
      <x:c r="V158" s="44" t="n">
        <x:v>-1.3675</x:v>
      </x:c>
      <x:c r="W158" s="44" t="n">
        <x:v>4.18</x:v>
      </x:c>
      <x:c r="X158" s="44" t="n">
        <x:v>2.89</x:v>
      </x:c>
      <x:c r="Y158" s="44" t="n">
        <x:v>21.54</x:v>
      </x:c>
      <x:c r="Z158" s="44" t="n">
        <x:v>15.795</x:v>
      </x:c>
      <x:c r="AA158" s="44" t="n">
        <x:v>9.255</x:v>
      </x:c>
      <x:c r="AB158" s="44" t="n">
        <x:v>1.59</x:v>
      </x:c>
      <x:c r="AC158" s="44" t="n">
        <x:v>-1.4475</x:v>
      </x:c>
      <x:c r="AD158" s="44" t="n">
        <x:v>4.7</x:v>
      </x:c>
      <x:c r="AE158" s="44" t="n">
        <x:v>2.13</x:v>
      </x:c>
      <x:c r="AF158" s="44" t="n">
        <x:v>16.4885</x:v>
      </x:c>
      <x:c r="AG158" s="44" t="n">
        <x:v>8.675</x:v>
      </x:c>
      <x:c r="AH158" s="44" t="n">
        <x:v>12.49</x:v>
      </x:c>
      <x:c r="AI158" s="44" t="n">
        <x:v>1.5275</x:v>
      </x:c>
      <x:c r="AJ158" s="44" t="n">
        <x:v>-1.285</x:v>
      </x:c>
      <x:c r="AK158" s="44" t="n">
        <x:v>2.37</x:v>
      </x:c>
      <x:c r="AL158" s="44" t="n">
        <x:v>1.23</x:v>
      </x:c>
      <x:c r="AM158" s="44" t="n">
        <x:v>0.46</x:v>
      </x:c>
      <x:c r="AN158" s="44" t="n">
        <x:v>0.24</x:v>
      </x:c>
      <x:c r="AO158" s="44" t="n">
        <x:v>-1.2187999999999999</x:v>
      </x:c>
      <x:c r="AP158" s="44" t="n">
        <x:v>0.9653</x:v>
      </x:c>
      <x:c r="AQ158" s="44" t="n">
        <x:v>0.9653</x:v>
      </x:c>
      <x:c r="AR158" s="44" t="n">
        <x:v>0.9653</x:v>
      </x:c>
      <x:c r="AS158" s="44"/>
      <x:c r="AT158" s="44" t="n">
        <x:v>0.9107999999999999</x:v>
      </x:c>
      <x:c r="AU158" s="174" t="n">
        <x:v>25800</x:v>
      </x:c>
      <x:c r="AV158" s="43" t="str">
        <x:v>02:19.25</x:v>
      </x:c>
      <x:c r="AW158" s="43" t="str">
        <x:v>02:19.25-02:20.75</x:v>
      </x:c>
      <x:c r="AX158" s="43" t="str">
        <x:v>fps4/f_00561.jpg</x:v>
      </x:c>
      <x:c r="AY158" s="43" t="str">
        <x:v>1000025872.mp4</x:v>
      </x:c>
      <x:c r="AZ158" s="44" t="n">
        <x:v>0</x:v>
      </x:c>
      <x:c r="BA158" s="175" t="n">
        <x:v>60</x:v>
      </x:c>
    </x:row>
    <x:row r="159" ht="18" customHeight="1">
      <x:c r="A159" s="43" t="str">
        <x:v>K176</x:v>
      </x:c>
      <x:c r="B159" s="43" t="str">
        <x:v>罗密欧与猪过夜</x:v>
      </x:c>
      <x:c r="C159" s="43" t="n">
        <x:v>150000</x:v>
      </x:c>
      <x:c r="D159" s="44" t="n">
        <x:v>2.8560000000000003</x:v>
      </x:c>
      <x:c r="E159" s="44" t="n">
        <x:v>2.681</x:v>
      </x:c>
      <x:c r="F159" s="44" t="n">
        <x:v>3.1260000000000003</x:v>
      </x:c>
      <x:c r="G159" s="44" t="n">
        <x:v>0.4</x:v>
      </x:c>
      <x:c r="H159" s="44" t="n">
        <x:v>-0.4</x:v>
      </x:c>
      <x:c r="I159" s="44" t="n">
        <x:v>4.1498</x:v>
      </x:c>
      <x:c r="J159" s="44" t="n">
        <x:v>2.6286</x:v>
      </x:c>
      <x:c r="K159" s="44" t="n">
        <x:v>10.405</x:v>
      </x:c>
      <x:c r="L159" s="44" t="n">
        <x:v>16.7199</x:v>
      </x:c>
      <x:c r="M159" s="44" t="n">
        <x:v>11.095699999999999</x:v>
      </x:c>
      <x:c r="N159" s="44" t="n">
        <x:v>0.5725</x:v>
      </x:c>
      <x:c r="O159" s="44" t="n">
        <x:v>-0.585</x:v>
      </x:c>
      <x:c r="P159" s="44" t="n">
        <x:v>1.86</x:v>
      </x:c>
      <x:c r="Q159" s="44" t="n">
        <x:v>3.92</x:v>
      </x:c>
      <x:c r="R159" s="44" t="n">
        <x:v>25.252</x:v>
      </x:c>
      <x:c r="S159" s="44" t="n">
        <x:v>15.045</x:v>
      </x:c>
      <x:c r="T159" s="44" t="n">
        <x:v>14.522</x:v>
      </x:c>
      <x:c r="U159" s="44" t="n">
        <x:v>1.655</x:v>
      </x:c>
      <x:c r="V159" s="44" t="n">
        <x:v>-1.2275</x:v>
      </x:c>
      <x:c r="W159" s="44" t="n">
        <x:v>5.18</x:v>
      </x:c>
      <x:c r="X159" s="44" t="n">
        <x:v>3.2</x:v>
      </x:c>
      <x:c r="Y159" s="44" t="n">
        <x:v>13.63</x:v>
      </x:c>
      <x:c r="Z159" s="44" t="n">
        <x:v>10.365</x:v>
      </x:c>
      <x:c r="AA159" s="44" t="n">
        <x:v>8.2</x:v>
      </x:c>
      <x:c r="AB159" s="44" t="n">
        <x:v>0.5225</x:v>
      </x:c>
      <x:c r="AC159" s="44" t="n">
        <x:v>-0.5325</x:v>
      </x:c>
      <x:c r="AD159" s="44" t="n">
        <x:v>1.8</x:v>
      </x:c>
      <x:c r="AE159" s="44" t="n">
        <x:v>0.68</x:v>
      </x:c>
      <x:c r="AF159" s="44" t="n">
        <x:v>15.3585</x:v>
      </x:c>
      <x:c r="AG159" s="44" t="n">
        <x:v>8.3</x:v>
      </x:c>
      <x:c r="AH159" s="44" t="n">
        <x:v>11.465</x:v>
      </x:c>
      <x:c r="AI159" s="44" t="n">
        <x:v>1.385</x:v>
      </x:c>
      <x:c r="AJ159" s="44" t="n">
        <x:v>-1.105</x:v>
      </x:c>
      <x:c r="AK159" s="44" t="n">
        <x:v>2.92</x:v>
      </x:c>
      <x:c r="AL159" s="44" t="n">
        <x:v>1.36</x:v>
      </x:c>
      <x:c r="AM159" s="44" t="n">
        <x:v>0.26</x:v>
      </x:c>
      <x:c r="AN159" s="44" t="n">
        <x:v>0.235</x:v>
      </x:c>
      <x:c r="AO159" s="44" t="n">
        <x:v>-1.2187999999999999</x:v>
      </x:c>
      <x:c r="AP159" s="44" t="n">
        <x:v>0.9653</x:v>
      </x:c>
      <x:c r="AQ159" s="44" t="n">
        <x:v>0.9653</x:v>
      </x:c>
      <x:c r="AR159" s="44" t="n">
        <x:v>0.9653</x:v>
      </x:c>
      <x:c r="AS159" s="44"/>
      <x:c r="AT159" s="44" t="n">
        <x:v>0.9107999999999999</x:v>
      </x:c>
      <x:c r="AU159" s="174" t="n">
        <x:v>25800</x:v>
      </x:c>
      <x:c r="AV159" s="43" t="str">
        <x:v>02:29.25</x:v>
      </x:c>
      <x:c r="AW159" s="43" t="str">
        <x:v>02:29.25-02:31.00</x:v>
      </x:c>
      <x:c r="AX159" s="43" t="str">
        <x:v>fps4/f_00603.jpg</x:v>
      </x:c>
      <x:c r="AY159" s="43" t="str">
        <x:v>1000025872.mp4</x:v>
      </x:c>
      <x:c r="AZ159" s="44" t="n">
        <x:v>0</x:v>
      </x:c>
      <x:c r="BA159" s="175" t="n">
        <x:v>60</x:v>
      </x:c>
    </x:row>
    <x:row r="160" ht="18" customHeight="1">
      <x:c r="A160" s="43" t="str">
        <x:v>K176</x:v>
      </x:c>
      <x:c r="B160" s="43" t="str">
        <x:v>WARBLOOD</x:v>
      </x:c>
      <x:c r="C160" s="43" t="n">
        <x:v>101000</x:v>
      </x:c>
      <x:c r="D160" s="44" t="n">
        <x:v>3.1060000000000003</x:v>
      </x:c>
      <x:c r="E160" s="44" t="n">
        <x:v>2.576</x:v>
      </x:c>
      <x:c r="F160" s="44" t="n">
        <x:v>2.826</x:v>
      </x:c>
      <x:c r="G160" s="44" t="n">
        <x:v>0.4</x:v>
      </x:c>
      <x:c r="H160" s="44" t="n">
        <x:v>-0.4</x:v>
      </x:c>
      <x:c r="I160" s="44" t="n">
        <x:v>3.2276</x:v>
      </x:c>
      <x:c r="J160" s="44" t="n">
        <x:v>3.0456</x:v>
      </x:c>
      <x:c r="K160" s="44" t="n">
        <x:v>11.405</x:v>
      </x:c>
      <x:c r="L160" s="44" t="n">
        <x:v>18.319200000000002</x:v>
      </x:c>
      <x:c r="M160" s="44" t="n">
        <x:v>11.0807</x:v>
      </x:c>
      <x:c r="N160" s="44" t="n">
        <x:v>1.245</x:v>
      </x:c>
      <x:c r="O160" s="44" t="n">
        <x:v>-1.3975</x:v>
      </x:c>
      <x:c r="P160" s="44" t="n">
        <x:v>1.44</x:v>
      </x:c>
      <x:c r="Q160" s="44" t="n">
        <x:v>6.02</x:v>
      </x:c>
      <x:c r="R160" s="44" t="n">
        <x:v>20.272000000000002</x:v>
      </x:c>
      <x:c r="S160" s="44" t="n">
        <x:v>11.785</x:v>
      </x:c>
      <x:c r="T160" s="44" t="n">
        <x:v>11.217</x:v>
      </x:c>
      <x:c r="U160" s="44" t="n">
        <x:v>1.4025</x:v>
      </x:c>
      <x:c r="V160" s="44" t="n">
        <x:v>-1.345</x:v>
      </x:c>
      <x:c r="W160" s="44" t="n">
        <x:v>5.33</x:v>
      </x:c>
      <x:c r="X160" s="44" t="n">
        <x:v>4.55</x:v>
      </x:c>
      <x:c r="Y160" s="44" t="n">
        <x:v>15.03</x:v>
      </x:c>
      <x:c r="Z160" s="44" t="n">
        <x:v>9.575</x:v>
      </x:c>
      <x:c r="AA160" s="44" t="n">
        <x:v>6.68</x:v>
      </x:c>
      <x:c r="AB160" s="44" t="n">
        <x:v>0.405</x:v>
      </x:c>
      <x:c r="AC160" s="44" t="n">
        <x:v>-0.33</x:v>
      </x:c>
      <x:c r="AD160" s="44" t="n">
        <x:v>3.58</x:v>
      </x:c>
      <x:c r="AE160" s="44" t="n">
        <x:v>2.96</x:v>
      </x:c>
      <x:c r="AF160" s="44" t="n">
        <x:v>12.568499999999998</x:v>
      </x:c>
      <x:c r="AG160" s="44" t="n">
        <x:v>6.115</x:v>
      </x:c>
      <x:c r="AH160" s="44" t="n">
        <x:v>8.635</x:v>
      </x:c>
      <x:c r="AI160" s="44" t="n">
        <x:v>0.365</x:v>
      </x:c>
      <x:c r="AJ160" s="44" t="n">
        <x:v>-0.23</x:v>
      </x:c>
      <x:c r="AK160" s="44" t="n">
        <x:v>1.35</x:v>
      </x:c>
      <x:c r="AL160" s="44" t="n">
        <x:v>1.1</x:v>
      </x:c>
      <x:c r="AM160" s="44" t="n">
        <x:v>0.46</x:v>
      </x:c>
      <x:c r="AN160" s="44" t="n">
        <x:v>0.2</x:v>
      </x:c>
      <x:c r="AO160" s="44" t="n">
        <x:v>-1.2187999999999999</x:v>
      </x:c>
      <x:c r="AP160" s="44" t="n">
        <x:v>0.9653</x:v>
      </x:c>
      <x:c r="AQ160" s="44" t="n">
        <x:v>0.9653</x:v>
      </x:c>
      <x:c r="AR160" s="44" t="n">
        <x:v>0.9653</x:v>
      </x:c>
      <x:c r="AS160" s="44"/>
      <x:c r="AT160" s="44" t="n">
        <x:v>0.9107999999999999</x:v>
      </x:c>
      <x:c r="AU160" s="174" t="n">
        <x:v>25800</x:v>
      </x:c>
      <x:c r="AV160" s="43" t="str">
        <x:v>02:39.25</x:v>
      </x:c>
      <x:c r="AW160" s="43" t="str">
        <x:v>02:39.25-02:41.50</x:v>
      </x:c>
      <x:c r="AX160" s="43" t="str">
        <x:v>fps4/f_00645.jpg</x:v>
      </x:c>
      <x:c r="AY160" s="43" t="str">
        <x:v>1000025872.mp4</x:v>
      </x:c>
      <x:c r="AZ160" s="44" t="n">
        <x:v>0</x:v>
      </x:c>
      <x:c r="BA160" s="175" t="n">
        <x:v>60</x:v>
      </x:c>
    </x:row>
    <x:row r="161" ht="18" customHeight="1">
      <x:c r="A161" s="43" t="str">
        <x:v>K176</x:v>
      </x:c>
      <x:c r="B161" s="43" t="str">
        <x:v>老黑黑</x:v>
      </x:c>
      <x:c r="C161" s="43" t="n">
        <x:v>107000</x:v>
      </x:c>
      <x:c r="D161" s="44" t="n">
        <x:v>2.9010000000000002</x:v>
      </x:c>
      <x:c r="E161" s="44" t="n">
        <x:v>2.296</x:v>
      </x:c>
      <x:c r="F161" s="44" t="n">
        <x:v>2.7260000000000004</x:v>
      </x:c>
      <x:c r="G161" s="44" t="n">
        <x:v>0.415</x:v>
      </x:c>
      <x:c r="H161" s="44" t="n">
        <x:v>-0.39</x:v>
      </x:c>
      <x:c r="I161" s="44" t="n">
        <x:v>5.182</x:v>
      </x:c>
      <x:c r="J161" s="44" t="n">
        <x:v>3.1956</x:v>
      </x:c>
      <x:c r="K161" s="44" t="n">
        <x:v>10.785</x:v>
      </x:c>
      <x:c r="L161" s="44" t="n">
        <x:v>17.0192</x:v>
      </x:c>
      <x:c r="M161" s="44" t="n">
        <x:v>10.265699999999999</x:v>
      </x:c>
      <x:c r="N161" s="44" t="n">
        <x:v>1.4275</x:v>
      </x:c>
      <x:c r="O161" s="44" t="n">
        <x:v>-1.4775</x:v>
      </x:c>
      <x:c r="P161" s="44" t="n">
        <x:v>0.69</x:v>
      </x:c>
      <x:c r="Q161" s="44" t="n">
        <x:v>3.6</x:v>
      </x:c>
      <x:c r="R161" s="44" t="n">
        <x:v>21.721999999999998</x:v>
      </x:c>
      <x:c r="S161" s="44" t="n">
        <x:v>15.145</x:v>
      </x:c>
      <x:c r="T161" s="44" t="n">
        <x:v>15.087</x:v>
      </x:c>
      <x:c r="U161" s="44" t="n">
        <x:v>1.3475</x:v>
      </x:c>
      <x:c r="V161" s="44" t="n">
        <x:v>-1.2475</x:v>
      </x:c>
      <x:c r="W161" s="44" t="n">
        <x:v>4.04</x:v>
      </x:c>
      <x:c r="X161" s="44" t="n">
        <x:v>1.81</x:v>
      </x:c>
      <x:c r="Y161" s="44" t="n">
        <x:v>21.04</x:v>
      </x:c>
      <x:c r="Z161" s="44" t="n">
        <x:v>15.535</x:v>
      </x:c>
      <x:c r="AA161" s="44" t="n">
        <x:v>8.71</x:v>
      </x:c>
      <x:c r="AB161" s="44" t="n">
        <x:v>1.48</x:v>
      </x:c>
      <x:c r="AC161" s="44" t="n">
        <x:v>-1.4475</x:v>
      </x:c>
      <x:c r="AD161" s="44" t="n">
        <x:v>4.3</x:v>
      </x:c>
      <x:c r="AE161" s="44" t="n">
        <x:v>2.06</x:v>
      </x:c>
      <x:c r="AF161" s="44" t="n">
        <x:v>14.298499999999999</x:v>
      </x:c>
      <x:c r="AG161" s="44" t="n">
        <x:v>8.315</x:v>
      </x:c>
      <x:c r="AH161" s="44" t="n">
        <x:v>9.91</x:v>
      </x:c>
      <x:c r="AI161" s="44" t="n">
        <x:v>1.285</x:v>
      </x:c>
      <x:c r="AJ161" s="44" t="n">
        <x:v>-1.125</x:v>
      </x:c>
      <x:c r="AK161" s="44" t="n">
        <x:v>0.86</x:v>
      </x:c>
      <x:c r="AL161" s="44" t="n">
        <x:v>0.58</x:v>
      </x:c>
      <x:c r="AM161" s="44" t="n">
        <x:v>0.26</x:v>
      </x:c>
      <x:c r="AN161" s="44" t="n">
        <x:v>0.235</x:v>
      </x:c>
      <x:c r="AO161" s="44" t="n">
        <x:v>-1.2187999999999999</x:v>
      </x:c>
      <x:c r="AP161" s="44" t="n">
        <x:v>0.9653</x:v>
      </x:c>
      <x:c r="AQ161" s="44" t="n">
        <x:v>0.9653</x:v>
      </x:c>
      <x:c r="AR161" s="44" t="n">
        <x:v>0.9653</x:v>
      </x:c>
      <x:c r="AS161" s="44"/>
      <x:c r="AT161" s="44" t="n">
        <x:v>0.9107999999999999</x:v>
      </x:c>
      <x:c r="AU161" s="174" t="n">
        <x:v>25800</x:v>
      </x:c>
      <x:c r="AV161" s="43" t="str">
        <x:v>02:49.50</x:v>
      </x:c>
      <x:c r="AW161" s="43" t="str">
        <x:v>02:49.50-02:51.00</x:v>
      </x:c>
      <x:c r="AX161" s="43" t="str">
        <x:v>fps4/f_00683.jpg</x:v>
      </x:c>
      <x:c r="AY161" s="43" t="str">
        <x:v>1000025872.mp4</x:v>
      </x:c>
      <x:c r="AZ161" s="44" t="n">
        <x:v>0</x:v>
      </x:c>
      <x:c r="BA161" s="175" t="n">
        <x:v>60</x:v>
      </x:c>
    </x:row>
    <x:row r="162" ht="18" customHeight="1">
      <x:c r="A162" s="43" t="str">
        <x:v>K176</x:v>
      </x:c>
      <x:c r="B162" s="43" t="str">
        <x:v>温不胜</x:v>
      </x:c>
      <x:c r="C162" s="43" t="n">
        <x:v>110000</x:v>
      </x:c>
      <x:c r="D162" s="44" t="n">
        <x:v>3.1910000000000003</x:v>
      </x:c>
      <x:c r="E162" s="44" t="n">
        <x:v>2.611</x:v>
      </x:c>
      <x:c r="F162" s="44" t="n">
        <x:v>3.141</x:v>
      </x:c>
      <x:c r="G162" s="44" t="n">
        <x:v>0.4</x:v>
      </x:c>
      <x:c r="H162" s="44" t="n">
        <x:v>-0.385</x:v>
      </x:c>
      <x:c r="I162" s="44" t="n">
        <x:v>4.4612</x:v>
      </x:c>
      <x:c r="J162" s="44" t="n">
        <x:v>3.2372</x:v>
      </x:c>
      <x:c r="K162" s="44" t="n">
        <x:v>9.825</x:v>
      </x:c>
      <x:c r="L162" s="44" t="n">
        <x:v>14.9199</x:v>
      </x:c>
      <x:c r="M162" s="44" t="n">
        <x:v>8.4657</x:v>
      </x:c>
      <x:c r="N162" s="44" t="n">
        <x:v>0.51</x:v>
      </x:c>
      <x:c r="O162" s="44" t="n">
        <x:v>-0.625</x:v>
      </x:c>
      <x:c r="P162" s="44" t="n">
        <x:v>0.87</x:v>
      </x:c>
      <x:c r="Q162" s="44" t="n">
        <x:v>4.21</x:v>
      </x:c>
      <x:c r="R162" s="44" t="n">
        <x:v>24.072</x:v>
      </x:c>
      <x:c r="S162" s="44" t="n">
        <x:v>15.255</x:v>
      </x:c>
      <x:c r="T162" s="44" t="n">
        <x:v>14.772</x:v>
      </x:c>
      <x:c r="U162" s="44" t="n">
        <x:v>1.43</x:v>
      </x:c>
      <x:c r="V162" s="44" t="n">
        <x:v>-1.185</x:v>
      </x:c>
      <x:c r="W162" s="44" t="n">
        <x:v>4.11</x:v>
      </x:c>
      <x:c r="X162" s="44" t="n">
        <x:v>1.99</x:v>
      </x:c>
      <x:c r="Y162" s="44" t="n">
        <x:v>20.73</x:v>
      </x:c>
      <x:c r="Z162" s="44" t="n">
        <x:v>15.695</x:v>
      </x:c>
      <x:c r="AA162" s="44" t="n">
        <x:v>9.91</x:v>
      </x:c>
      <x:c r="AB162" s="44" t="n">
        <x:v>1.46</x:v>
      </x:c>
      <x:c r="AC162" s="44" t="n">
        <x:v>-1.4275</x:v>
      </x:c>
      <x:c r="AD162" s="44" t="n">
        <x:v>4.7</x:v>
      </x:c>
      <x:c r="AE162" s="44" t="n">
        <x:v>2.11</x:v>
      </x:c>
      <x:c r="AF162" s="44" t="n">
        <x:v>14.158499999999998</x:v>
      </x:c>
      <x:c r="AG162" s="44" t="n">
        <x:v>8.05</x:v>
      </x:c>
      <x:c r="AH162" s="44" t="n">
        <x:v>10.925</x:v>
      </x:c>
      <x:c r="AI162" s="44" t="n">
        <x:v>1.285</x:v>
      </x:c>
      <x:c r="AJ162" s="44" t="n">
        <x:v>-1.125</x:v>
      </x:c>
      <x:c r="AK162" s="44" t="n">
        <x:v>1.71</x:v>
      </x:c>
      <x:c r="AL162" s="44" t="n">
        <x:v>0.84</x:v>
      </x:c>
      <x:c r="AM162" s="44" t="n">
        <x:v>0.26</x:v>
      </x:c>
      <x:c r="AN162" s="44" t="n">
        <x:v>0.24</x:v>
      </x:c>
      <x:c r="AO162" s="44" t="n">
        <x:v>-1.2187999999999999</x:v>
      </x:c>
      <x:c r="AP162" s="44" t="n">
        <x:v>0.9653</x:v>
      </x:c>
      <x:c r="AQ162" s="44" t="n">
        <x:v>0.9653</x:v>
      </x:c>
      <x:c r="AR162" s="44" t="n">
        <x:v>0.9653</x:v>
      </x:c>
      <x:c r="AS162" s="44"/>
      <x:c r="AT162" s="44" t="n">
        <x:v>0.9107999999999999</x:v>
      </x:c>
      <x:c r="AU162" s="174" t="n">
        <x:v>25800</x:v>
      </x:c>
      <x:c r="AV162" s="43" t="str">
        <x:v>03:03.00</x:v>
      </x:c>
      <x:c r="AW162" s="43" t="str">
        <x:v>03:03.00-03:04.75</x:v>
      </x:c>
      <x:c r="AX162" s="43" t="str">
        <x:v>fps4/f_00737.jpg</x:v>
      </x:c>
      <x:c r="AY162" s="43" t="str">
        <x:v>1000025872.mp4</x:v>
      </x:c>
      <x:c r="AZ162" s="44" t="n">
        <x:v>0</x:v>
      </x:c>
      <x:c r="BA162" s="175" t="n">
        <x:v>60</x:v>
      </x:c>
    </x:row>
    <x:row r="163" ht="18" customHeight="1">
      <x:c r="A163" s="43" t="str">
        <x:v>K176</x:v>
      </x:c>
      <x:c r="B163" s="43" t="str">
        <x:v>我是贤熙</x:v>
      </x:c>
      <x:c r="C163" s="43" t="n">
        <x:v>50000</x:v>
      </x:c>
      <x:c r="D163" s="44" t="n">
        <x:v>2.011</x:v>
      </x:c>
      <x:c r="E163" s="44" t="n">
        <x:v>1.8159999999999998</x:v>
      </x:c>
      <x:c r="F163" s="44" t="n">
        <x:v>2.336</x:v>
      </x:c>
      <x:c r="G163" s="44" t="n">
        <x:v>0.375</x:v>
      </x:c>
      <x:c r="H163" s="44" t="n">
        <x:v>-0.375</x:v>
      </x:c>
      <x:c r="I163" s="44" t="n">
        <x:v>3.6584</x:v>
      </x:c>
      <x:c r="J163" s="44" t="n">
        <x:v>1.9572</x:v>
      </x:c>
      <x:c r="K163" s="44" t="n">
        <x:v>8.48</x:v>
      </x:c>
      <x:c r="L163" s="44" t="n">
        <x:v>16.0542</x:v>
      </x:c>
      <x:c r="M163" s="44" t="n">
        <x:v>10.6107</x:v>
      </x:c>
      <x:c r="N163" s="44" t="n">
        <x:v>1.325</x:v>
      </x:c>
      <x:c r="O163" s="44" t="n">
        <x:v>-1.3265</x:v>
      </x:c>
      <x:c r="P163" s="44" t="n">
        <x:v>0.73</x:v>
      </x:c>
      <x:c r="Q163" s="44" t="n">
        <x:v>0.86</x:v>
      </x:c>
      <x:c r="R163" s="44" t="n">
        <x:v>19.882</x:v>
      </x:c>
      <x:c r="S163" s="44" t="n">
        <x:v>13.315</x:v>
      </x:c>
      <x:c r="T163" s="44" t="n">
        <x:v>12.062000000000001</x:v>
      </x:c>
      <x:c r="U163" s="44" t="n">
        <x:v>1.454</x:v>
      </x:c>
      <x:c r="V163" s="44" t="n">
        <x:v>-1.12</x:v>
      </x:c>
      <x:c r="W163" s="44" t="n">
        <x:v>2.99</x:v>
      </x:c>
      <x:c r="X163" s="44" t="n">
        <x:v>1.86</x:v>
      </x:c>
      <x:c r="Y163" s="44" t="n">
        <x:v>11.5975</x:v>
      </x:c>
      <x:c r="Z163" s="44" t="n">
        <x:v>8.57</x:v>
      </x:c>
      <x:c r="AA163" s="44" t="n">
        <x:v>5.37</x:v>
      </x:c>
      <x:c r="AB163" s="44" t="n">
        <x:v>0.88</x:v>
      </x:c>
      <x:c r="AC163" s="44" t="n">
        <x:v>-0.83</x:v>
      </x:c>
      <x:c r="AD163" s="44" t="n">
        <x:v>0.39</x:v>
      </x:c>
      <x:c r="AE163" s="44" t="n">
        <x:v>0.39</x:v>
      </x:c>
      <x:c r="AF163" s="44" t="n">
        <x:v>11.773499999999999</x:v>
      </x:c>
      <x:c r="AG163" s="44" t="n">
        <x:v>4.125</x:v>
      </x:c>
      <x:c r="AH163" s="44" t="n">
        <x:v>6.36</x:v>
      </x:c>
      <x:c r="AI163" s="44" t="n">
        <x:v>1.2</x:v>
      </x:c>
      <x:c r="AJ163" s="44" t="n">
        <x:v>-0.985</x:v>
      </x:c>
      <x:c r="AK163" s="44" t="n">
        <x:v>0.275</x:v>
      </x:c>
      <x:c r="AL163" s="44" t="n">
        <x:v>0.295</x:v>
      </x:c>
      <x:c r="AM163" s="44" t="n">
        <x:v>0.245</x:v>
      </x:c>
      <x:c r="AN163" s="44" t="n">
        <x:v>0.135</x:v>
      </x:c>
      <x:c r="AO163" s="44" t="n">
        <x:v>-1.2187999999999999</x:v>
      </x:c>
      <x:c r="AP163" s="44" t="n">
        <x:v>0.9653</x:v>
      </x:c>
      <x:c r="AQ163" s="44" t="n">
        <x:v>0.9653</x:v>
      </x:c>
      <x:c r="AR163" s="44" t="n">
        <x:v>0.9653</x:v>
      </x:c>
      <x:c r="AS163" s="44"/>
      <x:c r="AT163" s="44" t="n">
        <x:v>0.9107999999999999</x:v>
      </x:c>
      <x:c r="AU163" s="174" t="n">
        <x:v>25800</x:v>
      </x:c>
      <x:c r="AV163" s="43" t="str">
        <x:v>03:12.00</x:v>
      </x:c>
      <x:c r="AW163" s="43" t="str">
        <x:v>03:12.00-03:13.75</x:v>
      </x:c>
      <x:c r="AX163" s="43" t="str">
        <x:v>fps4/f_00773.jpg</x:v>
      </x:c>
      <x:c r="AY163" s="43" t="str">
        <x:v>1000025872.mp4</x:v>
      </x:c>
      <x:c r="AZ163" s="44" t="n">
        <x:v>0</x:v>
      </x:c>
      <x:c r="BA163" s="175" t="n">
        <x:v>60</x:v>
      </x:c>
    </x:row>
    <x:row r="164" ht="18" customHeight="1">
      <x:c r="A164" s="43" t="str">
        <x:v>K176</x:v>
      </x:c>
      <x:c r="B164" s="43" t="str">
        <x:v>金玉其外败絮其中</x:v>
      </x:c>
      <x:c r="C164" s="43" t="n">
        <x:v>171000</x:v>
      </x:c>
      <x:c r="D164" s="44" t="n">
        <x:v>3.4010000000000002</x:v>
      </x:c>
      <x:c r="E164" s="44" t="n">
        <x:v>3.1060000000000003</x:v>
      </x:c>
      <x:c r="F164" s="44" t="n">
        <x:v>3.3560000000000003</x:v>
      </x:c>
      <x:c r="G164" s="44" t="n">
        <x:v>0.415</x:v>
      </x:c>
      <x:c r="H164" s="44" t="n">
        <x:v>-0.415</x:v>
      </x:c>
      <x:c r="I164" s="44" t="n">
        <x:v>5.596799999999999</x:v>
      </x:c>
      <x:c r="J164" s="44" t="n">
        <x:v>4.846</x:v>
      </x:c>
      <x:c r="K164" s="44" t="n">
        <x:v>12.535</x:v>
      </x:c>
      <x:c r="L164" s="44" t="n">
        <x:v>20.5642</x:v>
      </x:c>
      <x:c r="M164" s="44" t="n">
        <x:v>12.8707</x:v>
      </x:c>
      <x:c r="N164" s="44" t="n">
        <x:v>0.518</x:v>
      </x:c>
      <x:c r="O164" s="44" t="n">
        <x:v>-0.6755</x:v>
      </x:c>
      <x:c r="P164" s="44" t="n">
        <x:v>1.8</x:v>
      </x:c>
      <x:c r="Q164" s="44" t="n">
        <x:v>5.6</x:v>
      </x:c>
      <x:c r="R164" s="44" t="n">
        <x:v>24.691999999999997</x:v>
      </x:c>
      <x:c r="S164" s="44" t="n">
        <x:v>15.465</x:v>
      </x:c>
      <x:c r="T164" s="44" t="n">
        <x:v>14.887</x:v>
      </x:c>
      <x:c r="U164" s="44" t="n">
        <x:v>1.6675</x:v>
      </x:c>
      <x:c r="V164" s="44" t="n">
        <x:v>-1.3075</x:v>
      </x:c>
      <x:c r="W164" s="44" t="n">
        <x:v>5.98</x:v>
      </x:c>
      <x:c r="X164" s="44" t="n">
        <x:v>3.81</x:v>
      </x:c>
      <x:c r="Y164" s="44" t="n">
        <x:v>15.81</x:v>
      </x:c>
      <x:c r="Z164" s="44" t="n">
        <x:v>10.695</x:v>
      </x:c>
      <x:c r="AA164" s="44" t="n">
        <x:v>8.64</x:v>
      </x:c>
      <x:c r="AB164" s="44" t="n">
        <x:v>1.4825</x:v>
      </x:c>
      <x:c r="AC164" s="44" t="n">
        <x:v>-1.305</x:v>
      </x:c>
      <x:c r="AD164" s="44" t="n">
        <x:v>4.35</x:v>
      </x:c>
      <x:c r="AE164" s="44" t="n">
        <x:v>1.84</x:v>
      </x:c>
      <x:c r="AF164" s="44" t="n">
        <x:v>17.043499999999998</x:v>
      </x:c>
      <x:c r="AG164" s="44" t="n">
        <x:v>8.975</x:v>
      </x:c>
      <x:c r="AH164" s="44" t="n">
        <x:v>12.19</x:v>
      </x:c>
      <x:c r="AI164" s="44" t="n">
        <x:v>1.4825</x:v>
      </x:c>
      <x:c r="AJ164" s="44" t="n">
        <x:v>-1.125</x:v>
      </x:c>
      <x:c r="AK164" s="44" t="n">
        <x:v>5</x:v>
      </x:c>
      <x:c r="AL164" s="44" t="n">
        <x:v>1.96</x:v>
      </x:c>
      <x:c r="AM164" s="44" t="n">
        <x:v>0.46</x:v>
      </x:c>
      <x:c r="AN164" s="44" t="n">
        <x:v>0.24</x:v>
      </x:c>
      <x:c r="AO164" s="44" t="n">
        <x:v>-1.2187999999999999</x:v>
      </x:c>
      <x:c r="AP164" s="44" t="n">
        <x:v>0.9653</x:v>
      </x:c>
      <x:c r="AQ164" s="44" t="n">
        <x:v>0.9653</x:v>
      </x:c>
      <x:c r="AR164" s="44" t="n">
        <x:v>0.9653</x:v>
      </x:c>
      <x:c r="AS164" s="44"/>
      <x:c r="AT164" s="44" t="n">
        <x:v>0.9107999999999999</x:v>
      </x:c>
      <x:c r="AU164" s="174" t="n">
        <x:v>25800</x:v>
      </x:c>
      <x:c r="AV164" s="43" t="str">
        <x:v>03:21.50</x:v>
      </x:c>
      <x:c r="AW164" s="43" t="str">
        <x:v>03:21.50-03:23.00</x:v>
      </x:c>
      <x:c r="AX164" s="43" t="str">
        <x:v>fps4/f_00809.jpg</x:v>
      </x:c>
      <x:c r="AY164" s="43" t="str">
        <x:v>1000025872.mp4</x:v>
      </x:c>
      <x:c r="AZ164" s="44" t="n">
        <x:v>0</x:v>
      </x:c>
      <x:c r="BA164" s="175" t="n">
        <x:v>60</x:v>
      </x:c>
    </x:row>
    <x:row r="165" ht="18" customHeight="1">
      <x:c r="A165" s="43" t="str">
        <x:v>K176</x:v>
      </x:c>
      <x:c r="B165" s="43" t="str">
        <x:v>温水煮青蛙</x:v>
      </x:c>
      <x:c r="C165" s="43" t="n">
        <x:v>106000</x:v>
      </x:c>
      <x:c r="D165" s="44" t="n">
        <x:v>3.031</x:v>
      </x:c>
      <x:c r="E165" s="44" t="n">
        <x:v>2.826</x:v>
      </x:c>
      <x:c r="F165" s="44" t="n">
        <x:v>2.9760000000000004</x:v>
      </x:c>
      <x:c r="G165" s="44" t="n">
        <x:v>0.4</x:v>
      </x:c>
      <x:c r="H165" s="44" t="n">
        <x:v>-0.4</x:v>
      </x:c>
      <x:c r="I165" s="44" t="n">
        <x:v>4.1836</x:v>
      </x:c>
      <x:c r="J165" s="44" t="n">
        <x:v>2.2203999999999997</x:v>
      </x:c>
      <x:c r="K165" s="44" t="n">
        <x:v>12.66</x:v>
      </x:c>
      <x:c r="L165" s="44" t="n">
        <x:v>18.9049</x:v>
      </x:c>
      <x:c r="M165" s="44" t="n">
        <x:v>11.8757</x:v>
      </x:c>
      <x:c r="N165" s="44" t="n">
        <x:v>1.4275</x:v>
      </x:c>
      <x:c r="O165" s="44" t="n">
        <x:v>-1.515</x:v>
      </x:c>
      <x:c r="P165" s="44" t="n">
        <x:v>1.44</x:v>
      </x:c>
      <x:c r="Q165" s="44" t="n">
        <x:v>4.33</x:v>
      </x:c>
      <x:c r="R165" s="44" t="n">
        <x:v>22.796999999999997</x:v>
      </x:c>
      <x:c r="S165" s="44" t="n">
        <x:v>15.405</x:v>
      </x:c>
      <x:c r="T165" s="44" t="n">
        <x:v>14.087</x:v>
      </x:c>
      <x:c r="U165" s="44" t="n">
        <x:v>1.5925</x:v>
      </x:c>
      <x:c r="V165" s="44" t="n">
        <x:v>-1.3075</x:v>
      </x:c>
      <x:c r="W165" s="44" t="n">
        <x:v>5.6</x:v>
      </x:c>
      <x:c r="X165" s="44" t="n">
        <x:v>2.84</x:v>
      </x:c>
      <x:c r="Y165" s="44" t="n">
        <x:v>15.68</x:v>
      </x:c>
      <x:c r="Z165" s="44" t="n">
        <x:v>11.755</x:v>
      </x:c>
      <x:c r="AA165" s="44" t="n">
        <x:v>8.445</x:v>
      </x:c>
      <x:c r="AB165" s="44" t="n">
        <x:v>1.3975</x:v>
      </x:c>
      <x:c r="AC165" s="44" t="n">
        <x:v>-1.4475</x:v>
      </x:c>
      <x:c r="AD165" s="44" t="n">
        <x:v>2.11</x:v>
      </x:c>
      <x:c r="AE165" s="44" t="n">
        <x:v>0.84</x:v>
      </x:c>
      <x:c r="AF165" s="44" t="n">
        <x:v>14.9985</x:v>
      </x:c>
      <x:c r="AG165" s="44" t="n">
        <x:v>8.21</x:v>
      </x:c>
      <x:c r="AH165" s="44" t="n">
        <x:v>11.43</x:v>
      </x:c>
      <x:c r="AI165" s="44" t="n">
        <x:v>1.385</x:v>
      </x:c>
      <x:c r="AJ165" s="44" t="n">
        <x:v>-1.165</x:v>
      </x:c>
      <x:c r="AK165" s="44" t="n">
        <x:v>2.11</x:v>
      </x:c>
      <x:c r="AL165" s="44" t="n">
        <x:v>0.93</x:v>
      </x:c>
      <x:c r="AM165" s="44" t="n">
        <x:v>0.26</x:v>
      </x:c>
      <x:c r="AN165" s="44" t="n">
        <x:v>0.22</x:v>
      </x:c>
      <x:c r="AO165" s="44" t="n">
        <x:v>-1.2187999999999999</x:v>
      </x:c>
      <x:c r="AP165" s="44" t="n">
        <x:v>0.9653</x:v>
      </x:c>
      <x:c r="AQ165" s="44" t="n">
        <x:v>0.9653</x:v>
      </x:c>
      <x:c r="AR165" s="44" t="n">
        <x:v>0.9653</x:v>
      </x:c>
      <x:c r="AS165" s="44"/>
      <x:c r="AT165" s="44" t="n">
        <x:v>0.9107999999999999</x:v>
      </x:c>
      <x:c r="AU165" s="174" t="n">
        <x:v>25800</x:v>
      </x:c>
      <x:c r="AV165" s="43" t="str">
        <x:v>03:31.00</x:v>
      </x:c>
      <x:c r="AW165" s="43" t="str">
        <x:v>03:31.00-03:32.25</x:v>
      </x:c>
      <x:c r="AX165" s="43" t="str">
        <x:v>fps4/f_00848.jpg</x:v>
      </x:c>
      <x:c r="AY165" s="43" t="str">
        <x:v>1000025872.mp4</x:v>
      </x:c>
      <x:c r="AZ165" s="44" t="n">
        <x:v>0</x:v>
      </x:c>
      <x:c r="BA165" s="175" t="n">
        <x:v>60</x:v>
      </x:c>
    </x:row>
    <x:row r="166" ht="18" customHeight="1">
      <x:c r="A166" s="43" t="str">
        <x:v>K176</x:v>
      </x:c>
      <x:c r="B166" s="43" t="str">
        <x:v>我于杀戮之中绽放</x:v>
      </x:c>
      <x:c r="C166" s="43" t="n">
        <x:v>161000</x:v>
      </x:c>
      <x:c r="D166" s="44" t="n">
        <x:v>3.741</x:v>
      </x:c>
      <x:c r="E166" s="44" t="n">
        <x:v>3.451</x:v>
      </x:c>
      <x:c r="F166" s="44" t="n">
        <x:v>3.721</x:v>
      </x:c>
      <x:c r="G166" s="44" t="n">
        <x:v>0.415</x:v>
      </x:c>
      <x:c r="H166" s="44" t="n">
        <x:v>-0.415</x:v>
      </x:c>
      <x:c r="I166" s="44" t="n">
        <x:v>5.314400000000001</x:v>
      </x:c>
      <x:c r="J166" s="44" t="n">
        <x:v>2.99</x:v>
      </x:c>
      <x:c r="K166" s="44" t="n">
        <x:v>13.535</x:v>
      </x:c>
      <x:c r="L166" s="44" t="n">
        <x:v>21.1692</x:v>
      </x:c>
      <x:c r="M166" s="44" t="n">
        <x:v>13.4557</x:v>
      </x:c>
      <x:c r="N166" s="44" t="n">
        <x:v>1.4475</x:v>
      </x:c>
      <x:c r="O166" s="44" t="n">
        <x:v>-1.565</x:v>
      </x:c>
      <x:c r="P166" s="44" t="n">
        <x:v>3</x:v>
      </x:c>
      <x:c r="Q166" s="44" t="n">
        <x:v>7</x:v>
      </x:c>
      <x:c r="R166" s="44" t="n">
        <x:v>25.381999999999998</x:v>
      </x:c>
      <x:c r="S166" s="44" t="n">
        <x:v>16.645</x:v>
      </x:c>
      <x:c r="T166" s="44" t="n">
        <x:v>15.717</x:v>
      </x:c>
      <x:c r="U166" s="44" t="n">
        <x:v>1.6075</x:v>
      </x:c>
      <x:c r="V166" s="44" t="n">
        <x:v>-1.3675</x:v>
      </x:c>
      <x:c r="W166" s="44" t="n">
        <x:v>6.26</x:v>
      </x:c>
      <x:c r="X166" s="44" t="n">
        <x:v>4.11</x:v>
      </x:c>
      <x:c r="Y166" s="44" t="n">
        <x:v>16</x:v>
      </x:c>
      <x:c r="Z166" s="44" t="n">
        <x:v>11.645</x:v>
      </x:c>
      <x:c r="AA166" s="44" t="n">
        <x:v>9.1</x:v>
      </x:c>
      <x:c r="AB166" s="44" t="n">
        <x:v>1.4825</x:v>
      </x:c>
      <x:c r="AC166" s="44" t="n">
        <x:v>-1.4275</x:v>
      </x:c>
      <x:c r="AD166" s="44" t="n">
        <x:v>2.54</x:v>
      </x:c>
      <x:c r="AE166" s="44" t="n">
        <x:v>1.07</x:v>
      </x:c>
      <x:c r="AF166" s="44" t="n">
        <x:v>18.0235</x:v>
      </x:c>
      <x:c r="AG166" s="44" t="n">
        <x:v>10.055</x:v>
      </x:c>
      <x:c r="AH166" s="44" t="n">
        <x:v>13.85</x:v>
      </x:c>
      <x:c r="AI166" s="44" t="n">
        <x:v>1.4825</x:v>
      </x:c>
      <x:c r="AJ166" s="44" t="n">
        <x:v>-1.285</x:v>
      </x:c>
      <x:c r="AK166" s="44" t="n">
        <x:v>4.74</x:v>
      </x:c>
      <x:c r="AL166" s="44" t="n">
        <x:v>2</x:v>
      </x:c>
      <x:c r="AM166" s="44" t="n">
        <x:v>0.26</x:v>
      </x:c>
      <x:c r="AN166" s="44" t="n">
        <x:v>0.225</x:v>
      </x:c>
      <x:c r="AO166" s="44" t="n">
        <x:v>-1.2187999999999999</x:v>
      </x:c>
      <x:c r="AP166" s="44" t="n">
        <x:v>0.9653</x:v>
      </x:c>
      <x:c r="AQ166" s="44" t="n">
        <x:v>0.9653</x:v>
      </x:c>
      <x:c r="AR166" s="44" t="n">
        <x:v>0.9653</x:v>
      </x:c>
      <x:c r="AS166" s="44"/>
      <x:c r="AT166" s="44" t="n">
        <x:v>0.9107999999999999</x:v>
      </x:c>
      <x:c r="AU166" s="174" t="n">
        <x:v>25800</x:v>
      </x:c>
      <x:c r="AV166" s="43" t="str">
        <x:v>03:54.00</x:v>
      </x:c>
      <x:c r="AW166" s="43" t="str">
        <x:v>03:54.00-03:56.00</x:v>
      </x:c>
      <x:c r="AX166" s="43" t="str">
        <x:v>fps4/f_00941.jpg</x:v>
      </x:c>
      <x:c r="AY166" s="43" t="str">
        <x:v>1000025872.mp4</x:v>
      </x:c>
      <x:c r="AZ166" s="44" t="n">
        <x:v>0</x:v>
      </x:c>
      <x:c r="BA166" s="175" t="n">
        <x:v>60</x:v>
      </x:c>
    </x:row>
    <x:row r="167" ht="18" customHeight="1">
      <x:c r="A167" s="43" t="str">
        <x:v>K176</x:v>
      </x:c>
      <x:c r="B167" s="43" t="str">
        <x:v>璀璨星芒</x:v>
      </x:c>
      <x:c r="C167" s="43" t="n">
        <x:v>94000</x:v>
      </x:c>
      <x:c r="D167" s="44" t="n">
        <x:v>3.2110000000000003</x:v>
      </x:c>
      <x:c r="E167" s="44" t="n">
        <x:v>2.786</x:v>
      </x:c>
      <x:c r="F167" s="44" t="n">
        <x:v>3.0410000000000004</x:v>
      </x:c>
      <x:c r="G167" s="44" t="n">
        <x:v>0.415</x:v>
      </x:c>
      <x:c r="H167" s="44" t="n">
        <x:v>-0.415</x:v>
      </x:c>
      <x:c r="I167" s="44" t="n">
        <x:v>5.2008</x:v>
      </x:c>
      <x:c r="J167" s="44" t="n">
        <x:v>2.0836</x:v>
      </x:c>
      <x:c r="K167" s="44" t="n">
        <x:v>11.6</x:v>
      </x:c>
      <x:c r="L167" s="44" t="n">
        <x:v>16.2749</x:v>
      </x:c>
      <x:c r="M167" s="44" t="n">
        <x:v>10.5857</x:v>
      </x:c>
      <x:c r="N167" s="44" t="n">
        <x:v>1.365</x:v>
      </x:c>
      <x:c r="O167" s="44" t="n">
        <x:v>-1.4275</x:v>
      </x:c>
      <x:c r="P167" s="44" t="n">
        <x:v>1.47</x:v>
      </x:c>
      <x:c r="Q167" s="44" t="n">
        <x:v>1.66</x:v>
      </x:c>
      <x:c r="R167" s="44" t="n">
        <x:v>23.351999999999997</x:v>
      </x:c>
      <x:c r="S167" s="44" t="n">
        <x:v>15.965</x:v>
      </x:c>
      <x:c r="T167" s="44" t="n">
        <x:v>14.997</x:v>
      </x:c>
      <x:c r="U167" s="44" t="n">
        <x:v>1.565</x:v>
      </x:c>
      <x:c r="V167" s="44" t="n">
        <x:v>-1.205</x:v>
      </x:c>
      <x:c r="W167" s="44" t="n">
        <x:v>2.95</x:v>
      </x:c>
      <x:c r="X167" s="44" t="n">
        <x:v>1.9</x:v>
      </x:c>
      <x:c r="Y167" s="44" t="n">
        <x:v>21.23</x:v>
      </x:c>
      <x:c r="Z167" s="44" t="n">
        <x:v>15.81</x:v>
      </x:c>
      <x:c r="AA167" s="44" t="n">
        <x:v>9.185</x:v>
      </x:c>
      <x:c r="AB167" s="44" t="n">
        <x:v>1.565</x:v>
      </x:c>
      <x:c r="AC167" s="44" t="n">
        <x:v>-1.3675</x:v>
      </x:c>
      <x:c r="AD167" s="44" t="n">
        <x:v>4.4</x:v>
      </x:c>
      <x:c r="AE167" s="44" t="n">
        <x:v>2.16</x:v>
      </x:c>
      <x:c r="AF167" s="44" t="n">
        <x:v>14.7935</x:v>
      </x:c>
      <x:c r="AG167" s="44" t="n">
        <x:v>7.685</x:v>
      </x:c>
      <x:c r="AH167" s="44" t="n">
        <x:v>9.85</x:v>
      </x:c>
      <x:c r="AI167" s="44" t="n">
        <x:v>1.42</x:v>
      </x:c>
      <x:c r="AJ167" s="44" t="n">
        <x:v>-1.125</x:v>
      </x:c>
      <x:c r="AK167" s="44" t="n">
        <x:v>1.22</x:v>
      </x:c>
      <x:c r="AL167" s="44" t="n">
        <x:v>0.65</x:v>
      </x:c>
      <x:c r="AM167" s="44" t="n">
        <x:v>0.26</x:v>
      </x:c>
      <x:c r="AN167" s="44" t="n">
        <x:v>0.245</x:v>
      </x:c>
      <x:c r="AO167" s="44" t="n">
        <x:v>-1.2187999999999999</x:v>
      </x:c>
      <x:c r="AP167" s="44" t="n">
        <x:v>0.9653</x:v>
      </x:c>
      <x:c r="AQ167" s="44" t="n">
        <x:v>0.9653</x:v>
      </x:c>
      <x:c r="AR167" s="44" t="n">
        <x:v>0.9653</x:v>
      </x:c>
      <x:c r="AS167" s="44"/>
      <x:c r="AT167" s="44" t="n">
        <x:v>0.9107999999999999</x:v>
      </x:c>
      <x:c r="AU167" s="174" t="n">
        <x:v>25800</x:v>
      </x:c>
      <x:c r="AV167" s="43" t="str">
        <x:v>04:03.25</x:v>
      </x:c>
      <x:c r="AW167" s="43" t="str">
        <x:v>04:03.25-04:05.25</x:v>
      </x:c>
      <x:c r="AX167" s="43" t="str">
        <x:v>fps4/f_00981.jpg</x:v>
      </x:c>
      <x:c r="AY167" s="43" t="str">
        <x:v>1000025872.mp4</x:v>
      </x:c>
      <x:c r="AZ167" s="44" t="n">
        <x:v>0</x:v>
      </x:c>
      <x:c r="BA167" s="175" t="n">
        <x:v>60</x:v>
      </x:c>
    </x:row>
    <x:row r="168" ht="18" customHeight="1">
      <x:c r="A168" s="43" t="str">
        <x:v>K176</x:v>
      </x:c>
      <x:c r="B168" s="43" t="str">
        <x:v>「鳥傷」</x:v>
      </x:c>
      <x:c r="C168" s="43" t="n">
        <x:v>138000</x:v>
      </x:c>
      <x:c r="D168" s="44" t="n">
        <x:v>3.5060000000000002</x:v>
      </x:c>
      <x:c r="E168" s="44" t="n">
        <x:v>2.801</x:v>
      </x:c>
      <x:c r="F168" s="44" t="n">
        <x:v>3.2910000000000004</x:v>
      </x:c>
      <x:c r="G168" s="44" t="n">
        <x:v>0.415</x:v>
      </x:c>
      <x:c r="H168" s="44" t="n">
        <x:v>-0.415</x:v>
      </x:c>
      <x:c r="I168" s="44" t="n">
        <x:v>5.1376</x:v>
      </x:c>
      <x:c r="J168" s="44" t="n">
        <x:v>4.0108</x:v>
      </x:c>
      <x:c r="K168" s="44" t="n">
        <x:v>10.755</x:v>
      </x:c>
      <x:c r="L168" s="44" t="n">
        <x:v>20.8592</x:v>
      </x:c>
      <x:c r="M168" s="44" t="n">
        <x:v>11.445699999999999</x:v>
      </x:c>
      <x:c r="N168" s="44" t="n">
        <x:v>0.51</x:v>
      </x:c>
      <x:c r="O168" s="44" t="n">
        <x:v>-0.67</x:v>
      </x:c>
      <x:c r="P168" s="44" t="n">
        <x:v>0.76</x:v>
      </x:c>
      <x:c r="Q168" s="44" t="n">
        <x:v>4.76</x:v>
      </x:c>
      <x:c r="R168" s="44" t="n">
        <x:v>22.881999999999998</x:v>
      </x:c>
      <x:c r="S168" s="44" t="n">
        <x:v>16.595</x:v>
      </x:c>
      <x:c r="T168" s="44" t="n">
        <x:v>15.997</x:v>
      </x:c>
      <x:c r="U168" s="44" t="n">
        <x:v>1.565</x:v>
      </x:c>
      <x:c r="V168" s="44" t="n">
        <x:v>-1.345</x:v>
      </x:c>
      <x:c r="W168" s="44" t="n">
        <x:v>4.15</x:v>
      </x:c>
      <x:c r="X168" s="44" t="n">
        <x:v>2.5</x:v>
      </x:c>
      <x:c r="Y168" s="44" t="n">
        <x:v>19.36</x:v>
      </x:c>
      <x:c r="Z168" s="44" t="n">
        <x:v>13.53</x:v>
      </x:c>
      <x:c r="AA168" s="44" t="n">
        <x:v>9.325</x:v>
      </x:c>
      <x:c r="AB168" s="44" t="n">
        <x:v>1.6075</x:v>
      </x:c>
      <x:c r="AC168" s="44" t="n">
        <x:v>-1.4275</x:v>
      </x:c>
      <x:c r="AD168" s="44" t="n">
        <x:v>4.76</x:v>
      </x:c>
      <x:c r="AE168" s="44" t="n">
        <x:v>2.33</x:v>
      </x:c>
      <x:c r="AF168" s="44" t="n">
        <x:v>17.1635</x:v>
      </x:c>
      <x:c r="AG168" s="44" t="n">
        <x:v>9.165</x:v>
      </x:c>
      <x:c r="AH168" s="44" t="n">
        <x:v>13.5</x:v>
      </x:c>
      <x:c r="AI168" s="44" t="n">
        <x:v>1.4825</x:v>
      </x:c>
      <x:c r="AJ168" s="44" t="n">
        <x:v>-1.285</x:v>
      </x:c>
      <x:c r="AK168" s="44" t="n">
        <x:v>3</x:v>
      </x:c>
      <x:c r="AL168" s="44" t="n">
        <x:v>1.52</x:v>
      </x:c>
      <x:c r="AM168" s="44" t="n">
        <x:v>0.26</x:v>
      </x:c>
      <x:c r="AN168" s="44" t="n">
        <x:v>0.24</x:v>
      </x:c>
      <x:c r="AO168" s="44" t="n">
        <x:v>-1.2187999999999999</x:v>
      </x:c>
      <x:c r="AP168" s="44" t="n">
        <x:v>0.9653</x:v>
      </x:c>
      <x:c r="AQ168" s="44" t="n">
        <x:v>0.9653</x:v>
      </x:c>
      <x:c r="AR168" s="44" t="n">
        <x:v>0.9653</x:v>
      </x:c>
      <x:c r="AS168" s="44"/>
      <x:c r="AT168" s="44" t="n">
        <x:v>0.9107999999999999</x:v>
      </x:c>
      <x:c r="AU168" s="174" t="n">
        <x:v>25800</x:v>
      </x:c>
      <x:c r="AV168" s="43" t="str">
        <x:v>04:17.25</x:v>
      </x:c>
      <x:c r="AW168" s="43" t="str">
        <x:v>04:17.25-04:19.25</x:v>
      </x:c>
      <x:c r="AX168" s="43" t="str">
        <x:v>fps4/f_01037.jpg</x:v>
      </x:c>
      <x:c r="AY168" s="43" t="str">
        <x:v>1000025872.mp4</x:v>
      </x:c>
      <x:c r="AZ168" s="44" t="n">
        <x:v>0</x:v>
      </x:c>
      <x:c r="BA168" s="175" t="n">
        <x:v>60</x:v>
      </x:c>
    </x:row>
    <x:row r="169">
      <x:c r="A169" s="774" t="str">
        <x:v>K138</x:v>
      </x:c>
      <x:c r="B169" s="774" t="str">
        <x:v>(RaW)Leprechaun</x:v>
      </x:c>
      <x:c r="C169" s="776" t="n">
        <x:v>62040</x:v>
      </x:c>
      <x:c r="D169" s="778" t="n">
        <x:v>3.1485000000000003</x:v>
      </x:c>
      <x:c r="E169" s="778" t="n">
        <x:v>2.721</x:v>
      </x:c>
      <x:c r="F169" s="778" t="n">
        <x:v>3.0260000000000002</x:v>
      </x:c>
      <x:c r="G169" s="778" t="n">
        <x:v>0.415</x:v>
      </x:c>
      <x:c r="H169" s="778" t="n">
        <x:v>-0.415</x:v>
      </x:c>
      <x:c r="I169" s="778" t="n">
        <x:v>2.9564</x:v>
      </x:c>
      <x:c r="J169" s="778" t="n">
        <x:v>2.4764</x:v>
      </x:c>
      <x:c r="K169" s="778" t="n">
        <x:v>9.237</x:v>
      </x:c>
      <x:c r="L169" s="778" t="n">
        <x:v>11.1742</x:v>
      </x:c>
      <x:c r="M169" s="778" t="n">
        <x:v>16.7212</x:v>
      </x:c>
      <x:c r="N169" s="778" t="n">
        <x:v>1.365</x:v>
      </x:c>
      <x:c r="O169" s="778" t="n">
        <x:v>-1.455</x:v>
      </x:c>
      <x:c r="P169" s="778" t="n">
        <x:v>1.11</x:v>
      </x:c>
      <x:c r="Q169" s="778" t="n">
        <x:v>2.38</x:v>
      </x:c>
      <x:c r="R169" s="778" t="n">
        <x:v>21.5255</x:v>
      </x:c>
      <x:c r="S169" s="778" t="n">
        <x:v>17.612000000000002</x:v>
      </x:c>
      <x:c r="T169" s="778" t="n">
        <x:v>8.1685</x:v>
      </x:c>
      <x:c r="U169" s="778" t="n">
        <x:v>1.4775</x:v>
      </x:c>
      <x:c r="V169" s="778" t="n">
        <x:v>-1.335</x:v>
      </x:c>
      <x:c r="W169" s="778" t="n">
        <x:v>2.58</x:v>
      </x:c>
      <x:c r="X169" s="778" t="n">
        <x:v>1.94</x:v>
      </x:c>
      <x:c r="Y169" s="778" t="n">
        <x:v>11.852</x:v>
      </x:c>
      <x:c r="Z169" s="778" t="n">
        <x:v>7.4205</x:v>
      </x:c>
      <x:c r="AA169" s="778" t="n">
        <x:v>7.4185</x:v>
      </x:c>
      <x:c r="AB169" s="778" t="n">
        <x:v>0.605</x:v>
      </x:c>
      <x:c r="AC169" s="778" t="n">
        <x:v>-0.34</x:v>
      </x:c>
      <x:c r="AD169" s="778" t="n">
        <x:v>3.21</x:v>
      </x:c>
      <x:c r="AE169" s="778" t="n">
        <x:v>2.2</x:v>
      </x:c>
      <x:c r="AF169" s="778" t="n">
        <x:v>10.505</x:v>
      </x:c>
      <x:c r="AG169" s="778" t="n">
        <x:v>3.935</x:v>
      </x:c>
      <x:c r="AH169" s="778" t="n">
        <x:v>8.615</x:v>
      </x:c>
      <x:c r="AI169" s="778" t="n">
        <x:v>0.455</x:v>
      </x:c>
      <x:c r="AJ169" s="778" t="n">
        <x:v>-0.23</x:v>
      </x:c>
      <x:c r="AK169" s="778" t="n">
        <x:v>0.95</x:v>
      </x:c>
      <x:c r="AL169" s="778" t="n">
        <x:v>0.97</x:v>
      </x:c>
      <x:c r="AM169" s="778" t="n">
        <x:v>0.26</x:v>
      </x:c>
      <x:c r="AN169" s="778" t="n">
        <x:v>0.205</x:v>
      </x:c>
      <x:c r="AO169" s="778" t="n">
        <x:v>-1.2187999999999999</x:v>
      </x:c>
      <x:c r="AP169" s="778" t="n">
        <x:v>0.9653</x:v>
      </x:c>
      <x:c r="AQ169" s="778" t="n">
        <x:v>0.9653</x:v>
      </x:c>
      <x:c r="AR169" s="778"/>
      <x:c r="AS169" s="778"/>
      <x:c r="AT169" s="778" t="n">
        <x:v>0.9653</x:v>
      </x:c>
      <x:c r="AU169" s="776" t="n">
        <x:v>39216</x:v>
      </x:c>
      <x:c r="AV169" s="774" t="str">
        <x:v>00:11.50</x:v>
      </x:c>
      <x:c r="AW169" s="774" t="str">
        <x:v>00:11.50-00:15.50</x:v>
      </x:c>
      <x:c r="AX169" s="774" t="str">
        <x:v>frames_2fps/frame_0023.png</x:v>
      </x:c>
      <x:c r="AY169" s="774" t="str">
        <x:v>1000025953.mp4</x:v>
      </x:c>
      <x:c r="AZ169" s="778"/>
      <x:c r="BA169" s="780" t="n">
        <x:v>60</x:v>
      </x:c>
    </x:row>
    <x:row r="170">
      <x:c r="A170" s="771" t="str">
        <x:v>K138</x:v>
      </x:c>
      <x:c r="B170" s="771" t="str">
        <x:v>(RaW)༺TsuStark༻</x:v>
      </x:c>
      <x:c r="C170" s="775" t="n">
        <x:v>62000</x:v>
      </x:c>
      <x:c r="D170" s="777" t="n">
        <x:v>2.6910000000000003</x:v>
      </x:c>
      <x:c r="E170" s="777" t="n">
        <x:v>2.376</x:v>
      </x:c>
      <x:c r="F170" s="777" t="n">
        <x:v>2.616</x:v>
      </x:c>
      <x:c r="G170" s="777" t="n">
        <x:v>0.415</x:v>
      </x:c>
      <x:c r="H170" s="777" t="n">
        <x:v>-0.415</x:v>
      </x:c>
      <x:c r="I170" s="777" t="n">
        <x:v>2.8983999999999996</x:v>
      </x:c>
      <x:c r="J170" s="777" t="n">
        <x:v>2.7136</x:v>
      </x:c>
      <x:c r="K170" s="777" t="n">
        <x:v>10.192</x:v>
      </x:c>
      <x:c r="L170" s="777" t="n">
        <x:v>14.612</x:v>
      </x:c>
      <x:c r="M170" s="777" t="n">
        <x:v>14.4849</x:v>
      </x:c>
      <x:c r="N170" s="777" t="n">
        <x:v>1.365</x:v>
      </x:c>
      <x:c r="O170" s="777" t="n">
        <x:v>-1.4575</x:v>
      </x:c>
      <x:c r="P170" s="777" t="n">
        <x:v>1.23</x:v>
      </x:c>
      <x:c r="Q170" s="777" t="n">
        <x:v>2.85</x:v>
      </x:c>
      <x:c r="R170" s="777" t="n">
        <x:v>21.500500000000002</x:v>
      </x:c>
      <x:c r="S170" s="777" t="n">
        <x:v>13.382</x:v>
      </x:c>
      <x:c r="T170" s="777" t="n">
        <x:v>8.195</x:v>
      </x:c>
      <x:c r="U170" s="777" t="n">
        <x:v>1.5075</x:v>
      </x:c>
      <x:c r="V170" s="777" t="n">
        <x:v>-1.225</x:v>
      </x:c>
      <x:c r="W170" s="777" t="n">
        <x:v>1.26</x:v>
      </x:c>
      <x:c r="X170" s="777" t="n">
        <x:v>0.94</x:v>
      </x:c>
      <x:c r="Y170" s="777" t="n">
        <x:v>17.055</x:v>
      </x:c>
      <x:c r="Z170" s="777" t="n">
        <x:v>12.7135</x:v>
      </x:c>
      <x:c r="AA170" s="777" t="n">
        <x:v>9.7685</x:v>
      </x:c>
      <x:c r="AB170" s="777" t="n">
        <x:v>1.645</x:v>
      </x:c>
      <x:c r="AC170" s="777" t="n">
        <x:v>-1.2875</x:v>
      </x:c>
      <x:c r="AD170" s="777" t="n">
        <x:v>2.92</x:v>
      </x:c>
      <x:c r="AE170" s="777" t="n">
        <x:v>1.87</x:v>
      </x:c>
      <x:c r="AF170" s="777" t="n">
        <x:v>10.86</x:v>
      </x:c>
      <x:c r="AG170" s="777" t="n">
        <x:v>3.675</x:v>
      </x:c>
      <x:c r="AH170" s="777" t="n">
        <x:v>7.78</x:v>
      </x:c>
      <x:c r="AI170" s="777" t="n">
        <x:v>0.455</x:v>
      </x:c>
      <x:c r="AJ170" s="777" t="n">
        <x:v>-0.23</x:v>
      </x:c>
      <x:c r="AK170" s="777" t="n">
        <x:v>0.96</x:v>
      </x:c>
      <x:c r="AL170" s="777" t="n">
        <x:v>0.81</x:v>
      </x:c>
      <x:c r="AM170" s="777" t="n">
        <x:v>0.26</x:v>
      </x:c>
      <x:c r="AN170" s="777" t="n">
        <x:v>0.24</x:v>
      </x:c>
      <x:c r="AO170" s="777" t="n">
        <x:v>-1.2187999999999999</x:v>
      </x:c>
      <x:c r="AP170" s="777" t="n">
        <x:v>0.9653</x:v>
      </x:c>
      <x:c r="AQ170" s="777" t="n">
        <x:v>0.9653</x:v>
      </x:c>
      <x:c r="AR170" s="777"/>
      <x:c r="AS170" s="777"/>
      <x:c r="AT170" s="777" t="n">
        <x:v>0.9653</x:v>
      </x:c>
      <x:c r="AU170" s="775" t="n">
        <x:v>39216</x:v>
      </x:c>
      <x:c r="AV170" s="771" t="str">
        <x:v>00:23.50</x:v>
      </x:c>
      <x:c r="AW170" s="771" t="str">
        <x:v>00:23.50-00:26.50</x:v>
      </x:c>
      <x:c r="AX170" s="771" t="str">
        <x:v>frames_2fps/frame_0047.png</x:v>
      </x:c>
      <x:c r="AY170" s="771" t="str">
        <x:v>1000025953.mp4</x:v>
      </x:c>
      <x:c r="AZ170" s="777"/>
      <x:c r="BA170" s="779" t="n">
        <x:v>60</x:v>
      </x:c>
    </x:row>
    <x:row r="171">
      <x:c r="A171" s="774" t="str">
        <x:v>K138</x:v>
      </x:c>
      <x:c r="B171" s="774" t="str">
        <x:v>(RaW)ⓀⒶⓃⓃⓄⓃ</x:v>
      </x:c>
      <x:c r="C171" s="776" t="n">
        <x:v>62000</x:v>
      </x:c>
      <x:c r="D171" s="778" t="n">
        <x:v>2.721</x:v>
      </x:c>
      <x:c r="E171" s="778" t="n">
        <x:v>2.516</x:v>
      </x:c>
      <x:c r="F171" s="778" t="n">
        <x:v>2.6510000000000002</x:v>
      </x:c>
      <x:c r="G171" s="778" t="n">
        <x:v>0.415</x:v>
      </x:c>
      <x:c r="H171" s="778" t="n">
        <x:v>-0.415</x:v>
      </x:c>
      <x:c r="I171" s="778" t="n">
        <x:v>3.1036</x:v>
      </x:c>
      <x:c r="J171" s="778" t="n">
        <x:v>2.5468</x:v>
      </x:c>
      <x:c r="K171" s="778" t="n">
        <x:v>10.212</x:v>
      </x:c>
      <x:c r="L171" s="778" t="n">
        <x:v>12.5457</x:v>
      </x:c>
      <x:c r="M171" s="778" t="n">
        <x:v>16.5912</x:v>
      </x:c>
      <x:c r="N171" s="778" t="n">
        <x:v>1.365</x:v>
      </x:c>
      <x:c r="O171" s="778" t="n">
        <x:v>-1.4575</x:v>
      </x:c>
      <x:c r="P171" s="778" t="n">
        <x:v>1.47</x:v>
      </x:c>
      <x:c r="Q171" s="778" t="n">
        <x:v>2.88</x:v>
      </x:c>
      <x:c r="R171" s="778" t="n">
        <x:v>21.5605</x:v>
      </x:c>
      <x:c r="S171" s="778" t="n">
        <x:v>13.632</x:v>
      </x:c>
      <x:c r="T171" s="778" t="n">
        <x:v>8.335</x:v>
      </x:c>
      <x:c r="U171" s="778" t="n">
        <x:v>1.5075</x:v>
      </x:c>
      <x:c r="V171" s="778" t="n">
        <x:v>-1.245</x:v>
      </x:c>
      <x:c r="W171" s="778" t="n">
        <x:v>1.43</x:v>
      </x:c>
      <x:c r="X171" s="778" t="n">
        <x:v>0.97</x:v>
      </x:c>
      <x:c r="Y171" s="778" t="n">
        <x:v>17.095</x:v>
      </x:c>
      <x:c r="Z171" s="778" t="n">
        <x:v>12.9635</x:v>
      </x:c>
      <x:c r="AA171" s="778" t="n">
        <x:v>9.7685</x:v>
      </x:c>
      <x:c r="AB171" s="778" t="n">
        <x:v>1.645</x:v>
      </x:c>
      <x:c r="AC171" s="778" t="n">
        <x:v>-1.2875</x:v>
      </x:c>
      <x:c r="AD171" s="778" t="n">
        <x:v>3.01</x:v>
      </x:c>
      <x:c r="AE171" s="778" t="n">
        <x:v>1.97</x:v>
      </x:c>
      <x:c r="AF171" s="778" t="n">
        <x:v>10.875</x:v>
      </x:c>
      <x:c r="AG171" s="778" t="n">
        <x:v>3.73</x:v>
      </x:c>
      <x:c r="AH171" s="778" t="n">
        <x:v>7.79</x:v>
      </x:c>
      <x:c r="AI171" s="778" t="n">
        <x:v>0.455</x:v>
      </x:c>
      <x:c r="AJ171" s="778" t="n">
        <x:v>-0.23</x:v>
      </x:c>
      <x:c r="AK171" s="778" t="n">
        <x:v>1.08</x:v>
      </x:c>
      <x:c r="AL171" s="778" t="n">
        <x:v>0.85</x:v>
      </x:c>
      <x:c r="AM171" s="778" t="n">
        <x:v>0.26</x:v>
      </x:c>
      <x:c r="AN171" s="778" t="n">
        <x:v>0.24</x:v>
      </x:c>
      <x:c r="AO171" s="778" t="n">
        <x:v>-1.2187999999999999</x:v>
      </x:c>
      <x:c r="AP171" s="778" t="n">
        <x:v>0.9653</x:v>
      </x:c>
      <x:c r="AQ171" s="778" t="n">
        <x:v>0.9653</x:v>
      </x:c>
      <x:c r="AR171" s="778"/>
      <x:c r="AS171" s="778"/>
      <x:c r="AT171" s="778" t="n">
        <x:v>0.9653</x:v>
      </x:c>
      <x:c r="AU171" s="776" t="n">
        <x:v>39216</x:v>
      </x:c>
      <x:c r="AV171" s="774" t="str">
        <x:v>00:35.50</x:v>
      </x:c>
      <x:c r="AW171" s="774" t="str">
        <x:v>00:35.50-00:37.50</x:v>
      </x:c>
      <x:c r="AX171" s="774" t="str">
        <x:v>frames_2fps/frame_0071.png</x:v>
      </x:c>
      <x:c r="AY171" s="774" t="str">
        <x:v>1000025953.mp4</x:v>
      </x:c>
      <x:c r="AZ171" s="778"/>
      <x:c r="BA171" s="780" t="n">
        <x:v>60</x:v>
      </x:c>
    </x:row>
    <x:row r="172">
      <x:c r="A172" s="771" t="str">
        <x:v>K138</x:v>
      </x:c>
      <x:c r="B172" s="771" t="str">
        <x:v>(RaW)Des</x:v>
      </x:c>
      <x:c r="C172" s="775" t="n">
        <x:v>62000</x:v>
      </x:c>
      <x:c r="D172" s="777" t="n">
        <x:v>3.0535</x:v>
      </x:c>
      <x:c r="E172" s="777" t="n">
        <x:v>2.506</x:v>
      </x:c>
      <x:c r="F172" s="777" t="n">
        <x:v>2.716</x:v>
      </x:c>
      <x:c r="G172" s="777" t="n">
        <x:v>0.4375</x:v>
      </x:c>
      <x:c r="H172" s="777" t="n">
        <x:v>-0.415</x:v>
      </x:c>
      <x:c r="I172" s="777" t="n">
        <x:v>4.4288</x:v>
      </x:c>
      <x:c r="J172" s="777" t="n">
        <x:v>1.7056</x:v>
      </x:c>
      <x:c r="K172" s="777" t="n">
        <x:v>9.977</x:v>
      </x:c>
      <x:c r="L172" s="777" t="n">
        <x:v>12.695699999999999</x:v>
      </x:c>
      <x:c r="M172" s="777" t="n">
        <x:v>16.1812</x:v>
      </x:c>
      <x:c r="N172" s="777" t="n">
        <x:v>1.3475</x:v>
      </x:c>
      <x:c r="O172" s="777" t="n">
        <x:v>-1.585</x:v>
      </x:c>
      <x:c r="P172" s="777" t="n">
        <x:v>1.21</x:v>
      </x:c>
      <x:c r="Q172" s="777" t="n">
        <x:v>3.51</x:v>
      </x:c>
      <x:c r="R172" s="777" t="n">
        <x:v>19.6755</x:v>
      </x:c>
      <x:c r="S172" s="777" t="n">
        <x:v>14.922</x:v>
      </x:c>
      <x:c r="T172" s="777" t="n">
        <x:v>6.655</x:v>
      </x:c>
      <x:c r="U172" s="777" t="n">
        <x:v>1.4925</x:v>
      </x:c>
      <x:c r="V172" s="777" t="n">
        <x:v>-1.3675</x:v>
      </x:c>
      <x:c r="W172" s="777" t="n">
        <x:v>1.92</x:v>
      </x:c>
      <x:c r="X172" s="777" t="n">
        <x:v>0.84</x:v>
      </x:c>
      <x:c r="Y172" s="777" t="n">
        <x:v>19.925</x:v>
      </x:c>
      <x:c r="Z172" s="777" t="n">
        <x:v>16.4135</x:v>
      </x:c>
      <x:c r="AA172" s="777" t="n">
        <x:v>12.6785</x:v>
      </x:c>
      <x:c r="AB172" s="777" t="n">
        <x:v>1.6375</x:v>
      </x:c>
      <x:c r="AC172" s="777" t="n">
        <x:v>-1.4875</x:v>
      </x:c>
      <x:c r="AD172" s="777" t="n">
        <x:v>5.52</x:v>
      </x:c>
      <x:c r="AE172" s="777" t="n">
        <x:v>3.54</x:v>
      </x:c>
      <x:c r="AF172" s="777" t="n">
        <x:v>13.62</x:v>
      </x:c>
      <x:c r="AG172" s="777" t="n">
        <x:v>5.5</x:v>
      </x:c>
      <x:c r="AH172" s="777" t="n">
        <x:v>10.165</x:v>
      </x:c>
      <x:c r="AI172" s="777" t="n">
        <x:v>1.11</x:v>
      </x:c>
      <x:c r="AJ172" s="777" t="n">
        <x:v>-0.965</x:v>
      </x:c>
      <x:c r="AK172" s="777" t="n">
        <x:v>0.82</x:v>
      </x:c>
      <x:c r="AL172" s="777" t="n">
        <x:v>0.7</x:v>
      </x:c>
      <x:c r="AM172" s="777" t="n">
        <x:v>0.26</x:v>
      </x:c>
      <x:c r="AN172" s="777" t="n">
        <x:v>0.24</x:v>
      </x:c>
      <x:c r="AO172" s="777" t="n">
        <x:v>-1.2187999999999999</x:v>
      </x:c>
      <x:c r="AP172" s="777" t="n">
        <x:v>0.9653</x:v>
      </x:c>
      <x:c r="AQ172" s="777" t="n">
        <x:v>0.9653</x:v>
      </x:c>
      <x:c r="AR172" s="777"/>
      <x:c r="AS172" s="777"/>
      <x:c r="AT172" s="777" t="n">
        <x:v>0.9653</x:v>
      </x:c>
      <x:c r="AU172" s="775" t="n">
        <x:v>39216</x:v>
      </x:c>
      <x:c r="AV172" s="771" t="str">
        <x:v>00:55.50</x:v>
      </x:c>
      <x:c r="AW172" s="771" t="str">
        <x:v>00:55.50-00:57.50</x:v>
      </x:c>
      <x:c r="AX172" s="771" t="str">
        <x:v>frames_2fps/frame_0111.png</x:v>
      </x:c>
      <x:c r="AY172" s="771" t="str">
        <x:v>1000025953.mp4</x:v>
      </x:c>
      <x:c r="AZ172" s="777"/>
      <x:c r="BA172" s="779" t="n">
        <x:v>60</x:v>
      </x:c>
    </x:row>
  </x:sheetData>
  <x:mergeCells>
    <x:mergeCell ref="A1:BA1"/>
    <x:mergeCell ref="A2:BA2"/>
    <x:mergeCell ref="D4:J4"/>
    <x:mergeCell ref="K4:Q4"/>
    <x:mergeCell ref="R4:X4"/>
    <x:mergeCell ref="Y4:AE4"/>
    <x:mergeCell ref="AF4:AL4"/>
    <x:mergeCell ref="AM4:AN4"/>
    <x:mergeCell ref="AO4:AU4"/>
    <x:mergeCell ref="AV4:AY4"/>
    <x:mergeCell ref="AZ4:BA4"/>
  </x:mergeCells>
  <x:pageMargins left="0.7" right="0.7" top="0.75" bottom="0.75" header="0.3" footer="0.3"/>
  <x:tableParts count="1">
    <x:tablePart xmlns:r="http://schemas.openxmlformats.org/officeDocument/2006/relationships" r:id="Rc4a4bbd0590144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4" hidden="0" customWidth="1"/>
    <x:col min="4" max="4" width="24" hidden="0" customWidth="1"/>
    <x:col min="5" max="5" width="18" hidden="0" customWidth="1"/>
    <x:col min="6" max="6" width="9" hidden="0" customWidth="1"/>
    <x:col min="7" max="7" width="22" hidden="0" customWidth="1"/>
    <x:col min="8" max="8" width="54" hidden="0" customWidth="1"/>
    <x:col min="9" max="9" width="13" hidden="0" customWidth="1"/>
    <x:col min="10" max="10" width="18" hidden="0" customWidth="1"/>
    <x:col min="11" max="11" width="45" hidden="0" customWidth="1"/>
    <x:col min="12" max="12" width="30" hidden="0" customWidth="1"/>
    <x:col min="13" max="13" width="19" hidden="0" customWidth="1"/>
    <x:col min="14" max="14" width="19" hidden="0" customWidth="1"/>
    <x:col min="15" max="15" width="18" hidden="0" customWidth="1"/>
    <x:col min="16" max="16" width="17" hidden="0" customWidth="1"/>
    <x:col min="17" max="17" width="19" hidden="0" customWidth="1"/>
    <x:col min="18" max="18" width="27" hidden="0" customWidth="1"/>
  </x:cols>
  <x:sheetData>
    <x:row r="1" ht="28" customHeight="1">
      <x:c r="A1" s="443" t="str">
        <x:v>Specialisation Skills</x:v>
      </x:c>
      <x:c r="B1" s="443" t="str">
        <x:v>Specialisation Skills</x:v>
      </x:c>
      <x:c r="C1" s="443" t="str">
        <x:v>Specialisation Skills</x:v>
      </x:c>
      <x:c r="D1" s="443" t="str">
        <x:v>Specialisation Skills</x:v>
      </x:c>
      <x:c r="E1" s="443" t="str">
        <x:v>Specialisation Skills</x:v>
      </x:c>
      <x:c r="F1" s="443" t="str">
        <x:v>Specialisation Skills</x:v>
      </x:c>
      <x:c r="G1" s="443" t="str">
        <x:v>Specialisation Skills</x:v>
      </x:c>
      <x:c r="H1" s="443" t="str">
        <x:v>Specialisation Skills</x:v>
      </x:c>
      <x:c r="I1" s="443" t="str">
        <x:v>Specialisation Skills</x:v>
      </x:c>
      <x:c r="J1" s="443" t="str">
        <x:v>Specialisation Skills</x:v>
      </x:c>
      <x:c r="K1" s="443" t="str">
        <x:v>Specialisation Skills</x:v>
      </x:c>
      <x:c r="L1" s="443" t="str">
        <x:v>Specialisation Skills</x:v>
      </x:c>
      <x:c r="M1" s="443"/>
      <x:c r="N1" s="443"/>
      <x:c r="O1" s="443"/>
      <x:c r="P1" s="443"/>
      <x:c r="Q1" s="443"/>
      <x:c r="R1" s="443"/>
    </x:row>
    <x:row r="2" ht="42" customHeight="1">
      <x:c r="A2" s="446" t="str">
        <x:v>Cleaned scoring input: repeated unit tiers count once. Damage is looked up by current skill level; Guards are signed as damage-received reduction, while Archers, Cavalry and Siege are positive damage effects.</x:v>
      </x:c>
      <x:c r="B2" s="446" t="str">
        <x:v>One row per visibly opened tooltip; troop types normalised to Guards, Archers, Cavalry and Siege</x:v>
      </x:c>
      <x:c r="C2" s="446" t="str">
        <x:v>One row per visibly opened tooltip; troop types normalised to Guards, Archers, Cavalry and Siege</x:v>
      </x:c>
      <x:c r="D2" s="446" t="str">
        <x:v>One row per visibly opened tooltip; troop types normalised to Guards, Archers, Cavalry and Siege</x:v>
      </x:c>
      <x:c r="E2" s="446" t="str">
        <x:v>One row per visibly opened tooltip; troop types normalised to Guards, Archers, Cavalry and Siege</x:v>
      </x:c>
      <x:c r="F2" s="446" t="str">
        <x:v>One row per visibly opened tooltip; troop types normalised to Guards, Archers, Cavalry and Siege</x:v>
      </x:c>
      <x:c r="G2" s="446" t="str">
        <x:v>One row per visibly opened tooltip; troop types normalised to Guards, Archers, Cavalry and Siege</x:v>
      </x:c>
      <x:c r="H2" s="446" t="str">
        <x:v>One row per visibly opened tooltip; troop types normalised to Guards, Archers, Cavalry and Siege</x:v>
      </x:c>
      <x:c r="I2" s="446" t="str">
        <x:v>One row per visibly opened tooltip; troop types normalised to Guards, Archers, Cavalry and Siege</x:v>
      </x:c>
      <x:c r="J2" s="446" t="str">
        <x:v>One row per visibly opened tooltip; troop types normalised to Guards, Archers, Cavalry and Siege</x:v>
      </x:c>
      <x:c r="K2" s="446" t="str">
        <x:v>One row per visibly opened tooltip; troop types normalised to Guards, Archers, Cavalry and Siege</x:v>
      </x:c>
      <x:c r="L2" s="446" t="str">
        <x:v>One row per visibly opened tooltip; troop types normalised to Guards, Archers, Cavalry and Siege</x:v>
      </x:c>
      <x:c r="M2" s="446"/>
      <x:c r="N2" s="446"/>
      <x:c r="O2" s="446"/>
      <x:c r="P2" s="446"/>
      <x:c r="Q2" s="446"/>
      <x:c r="R2" s="446"/>
    </x:row>
    <x:row r="5" ht="38" customHeight="1">
      <x:c r="A5" s="450" t="str">
        <x:v>Server</x:v>
      </x:c>
      <x:c r="B5" s="450" t="str">
        <x:v>Player</x:v>
      </x:c>
      <x:c r="C5" s="450" t="str">
        <x:v>Troop Type</x:v>
      </x:c>
      <x:c r="D5" s="450" t="str">
        <x:v>Specialisation</x:v>
      </x:c>
      <x:c r="E5" s="450" t="str">
        <x:v>Displayed Subtype</x:v>
      </x:c>
      <x:c r="F5" s="450" t="str">
        <x:v>Level</x:v>
      </x:c>
      <x:c r="G5" s="450" t="str">
        <x:v>Skill</x:v>
      </x:c>
      <x:c r="H5" s="450" t="str">
        <x:v>Skill Effect</x:v>
      </x:c>
      <x:c r="I5" s="450" t="str">
        <x:v>Status</x:v>
      </x:c>
      <x:c r="J5" s="450" t="str">
        <x:v>Video Timestamp</x:v>
      </x:c>
      <x:c r="K5" s="450" t="str">
        <x:v>Notes</x:v>
      </x:c>
      <x:c r="L5" s="450" t="str">
        <x:v>Source Video</x:v>
      </x:c>
      <x:c r="M5" s="450" t="str">
        <x:v>Badges This Level</x:v>
      </x:c>
      <x:c r="N5" s="450" t="str">
        <x:v>Total Badges Invested</x:v>
      </x:c>
      <x:c r="O5" s="450" t="str">
        <x:v>Skill Damage Effect</x:v>
      </x:c>
      <x:c r="P5" s="450" t="str">
        <x:v>Badge Lookup Status</x:v>
      </x:c>
      <x:c r="Q5" s="450" t="str">
        <x:v>Signed Damage Effect</x:v>
      </x:c>
      <x:c r="R5" s="450" t="str">
        <x:v>Effect Type</x:v>
      </x:c>
    </x:row>
    <x:row r="6" ht="32" customHeight="1">
      <x:c r="A6" s="365" t="str">
        <x:v>K60</x:v>
      </x:c>
      <x:c r="B6" s="365" t="str">
        <x:v>CerialKiller</x:v>
      </x:c>
      <x:c r="C6" s="365" t="str">
        <x:v>Guards</x:v>
      </x:c>
      <x:c r="D6" s="365" t="str">
        <x:v>Destroyers</x:v>
      </x:c>
      <x:c r="E6" s="365" t="str">
        <x:v>Guard</x:v>
      </x:c>
      <x:c r="F6" s="365" t="n">
        <x:v>50</x:v>
      </x:c>
      <x:c r="G6" s="365" t="str">
        <x:v>Parry</x:v>
      </x:c>
      <x:c r="H6" s="365" t="str">
        <x:v>Provides a parry effect and a certain probability to increase damage</x:v>
      </x:c>
      <x:c r="I6" s="365" t="str">
        <x:v>Unlocked</x:v>
      </x:c>
      <x:c r="J6" s="365" t="str">
        <x:v>00:19.0</x:v>
      </x:c>
      <x:c r="K6" s="365"/>
      <x:c r="L6" s="365" t="str">
        <x:v>K60_SVID_20260828_001858_1.mp4</x:v>
      </x:c>
      <x:c r="M6" s="387" t="n">
        <x:f>IF(P6="OK",INDEX('Badge Lookup'!$B$6:$B$55,MATCH(F6,'Badge Lookup'!$A$6:$A$55,0)),0)</x:f>
        <x:v>2000000</x:v>
      </x:c>
      <x:c r="N6" s="387" t="n">
        <x:f>IF(P6="OK",INDEX('Badge Lookup'!$C$6:$C$55,MATCH(F6,'Badge Lookup'!$A$6:$A$55,0)),0)</x:f>
        <x:v>10334300</x:v>
      </x:c>
      <x:c r="O6" s="388" t="n">
        <x:f>IF(P6="OK",INDEX('Badge Lookup'!$D$6:$D$55,MATCH(F6,'Badge Lookup'!$A$6:$A$55,0)),0)</x:f>
        <x:v>60</x:v>
      </x:c>
      <x:c r="P6" s="362" t="str">
        <x:f>IF(OR(G6="",F6=""),"Not scored",IF(AND(F6=INT(F6),F6&gt;=1,F6&lt;=50,COUNTIF('Badge Lookup'!$A$6:$A$55,F6)=1),"OK","Check lookup"))</x:f>
        <x:v>OK</x:v>
      </x:c>
      <x:c r="Q6" s="456" t="n">
        <x:f>IF(P6&lt;&gt;"OK","",IF(C6="Guards",-O6,O6))</x:f>
        <x:v>-60</x:v>
      </x:c>
      <x:c r="R6" s="362" t="str">
        <x:f>IF(P6&lt;&gt;"OK","Not scored",IF(C6="Guards","Damage received reduction","Damage increase"))</x:f>
        <x:v>Damage received reduction</x:v>
      </x:c>
    </x:row>
    <x:row r="7" ht="32" customHeight="1">
      <x:c r="A7" s="365" t="str">
        <x:v>K60</x:v>
      </x:c>
      <x:c r="B7" s="365" t="str">
        <x:v>CerialKiller</x:v>
      </x:c>
      <x:c r="C7" s="365" t="str">
        <x:v>Archers</x:v>
      </x:c>
      <x:c r="D7" s="365" t="str">
        <x:v>Elite bowmen</x:v>
      </x:c>
      <x:c r="E7" s="365" t="str">
        <x:v>Archer</x:v>
      </x:c>
      <x:c r="F7" s="365" t="n">
        <x:v>46</x:v>
      </x:c>
      <x:c r="G7" s="365" t="str">
        <x:v>Frost Arrow</x:v>
      </x:c>
      <x:c r="H7" s="365" t="str">
        <x:v>Has a higher probability of activating ice damage</x:v>
      </x:c>
      <x:c r="I7" s="365" t="str">
        <x:v>Unlocked</x:v>
      </x:c>
      <x:c r="J7" s="365" t="str">
        <x:v>00:22.5</x:v>
      </x:c>
      <x:c r="K7" s="365"/>
      <x:c r="L7" s="365" t="str">
        <x:v>K60_SVID_20260828_001858_1.mp4</x:v>
      </x:c>
      <x:c r="M7" s="387" t="n">
        <x:f>IF(P7="OK",INDEX('Badge Lookup'!$B$6:$B$55,MATCH(F7,'Badge Lookup'!$A$6:$A$55,0)),0)</x:f>
        <x:v>720000</x:v>
      </x:c>
      <x:c r="N7" s="387" t="n">
        <x:f>IF(P7="OK",INDEX('Badge Lookup'!$C$6:$C$55,MATCH(F7,'Badge Lookup'!$A$6:$A$55,0)),0)</x:f>
        <x:v>5004300</x:v>
      </x:c>
      <x:c r="O7" s="388" t="n">
        <x:f>IF(P7="OK",INDEX('Badge Lookup'!$D$6:$D$55,MATCH(F7,'Badge Lookup'!$A$6:$A$55,0)),0)</x:f>
        <x:v>45.13</x:v>
      </x:c>
      <x:c r="P7" s="362" t="str">
        <x:f>IF(OR(G7="",F7=""),"Not scored",IF(AND(F7=INT(F7),F7&gt;=1,F7&lt;=50,COUNTIF('Badge Lookup'!$A$6:$A$55,F7)=1),"OK","Check lookup"))</x:f>
        <x:v>OK</x:v>
      </x:c>
      <x:c r="Q7" s="456" t="n">
        <x:f>IF(P7&lt;&gt;"OK","",IF(C7="Guards",-O7,O7))</x:f>
        <x:v>45.13</x:v>
      </x:c>
      <x:c r="R7" s="362" t="str">
        <x:f>IF(P7&lt;&gt;"OK","Not scored",IF(C7="Guards","Damage received reduction","Damage increase"))</x:f>
        <x:v>Damage increase</x:v>
      </x:c>
    </x:row>
    <x:row r="8" ht="32" customHeight="1">
      <x:c r="A8" s="365" t="str">
        <x:v>K60</x:v>
      </x:c>
      <x:c r="B8" s="365" t="str">
        <x:v>CerialKiller</x:v>
      </x:c>
      <x:c r="C8" s="365" t="str">
        <x:v>Cavalry</x:v>
      </x:c>
      <x:c r="D8" s="365" t="str">
        <x:v>Eternal knights</x:v>
      </x:c>
      <x:c r="E8" s="365" t="str">
        <x:v>Heavy Cavalry</x:v>
      </x:c>
      <x:c r="F8" s="365" t="n">
        <x:v>46</x:v>
      </x:c>
      <x:c r="G8" s="365" t="str">
        <x:v>Thunder trample</x:v>
      </x:c>
      <x:c r="H8" s="365" t="str">
        <x:v>Has a certain probability of causing trampling damage</x:v>
      </x:c>
      <x:c r="I8" s="365" t="str">
        <x:v>Unlocked</x:v>
      </x:c>
      <x:c r="J8" s="365" t="str">
        <x:v>00:20.5</x:v>
      </x:c>
      <x:c r="K8" s="365"/>
      <x:c r="L8" s="365" t="str">
        <x:v>K60_SVID_20260828_001858_1.mp4</x:v>
      </x:c>
      <x:c r="M8" s="387" t="n">
        <x:f>IF(P8="OK",INDEX('Badge Lookup'!$B$6:$B$55,MATCH(F8,'Badge Lookup'!$A$6:$A$55,0)),0)</x:f>
        <x:v>720000</x:v>
      </x:c>
      <x:c r="N8" s="387" t="n">
        <x:f>IF(P8="OK",INDEX('Badge Lookup'!$C$6:$C$55,MATCH(F8,'Badge Lookup'!$A$6:$A$55,0)),0)</x:f>
        <x:v>5004300</x:v>
      </x:c>
      <x:c r="O8" s="388" t="n">
        <x:f>IF(P8="OK",INDEX('Badge Lookup'!$D$6:$D$55,MATCH(F8,'Badge Lookup'!$A$6:$A$55,0)),0)</x:f>
        <x:v>45.13</x:v>
      </x:c>
      <x:c r="P8" s="362" t="str">
        <x:f>IF(OR(G8="",F8=""),"Not scored",IF(AND(F8=INT(F8),F8&gt;=1,F8&lt;=50,COUNTIF('Badge Lookup'!$A$6:$A$55,F8)=1),"OK","Check lookup"))</x:f>
        <x:v>OK</x:v>
      </x:c>
      <x:c r="Q8" s="456" t="n">
        <x:f>IF(P8&lt;&gt;"OK","",IF(C8="Guards",-O8,O8))</x:f>
        <x:v>45.13</x:v>
      </x:c>
      <x:c r="R8" s="362" t="str">
        <x:f>IF(P8&lt;&gt;"OK","Not scored",IF(C8="Guards","Damage received reduction","Damage increase"))</x:f>
        <x:v>Damage increase</x:v>
      </x:c>
    </x:row>
    <x:row r="9" ht="32" customHeight="1">
      <x:c r="A9" s="365" t="str">
        <x:v>K60</x:v>
      </x:c>
      <x:c r="B9" s="365" t="str">
        <x:v>CerialKiller</x:v>
      </x:c>
      <x:c r="C9" s="365" t="str">
        <x:v>Cavalry</x:v>
      </x:c>
      <x:c r="D9" s="365" t="str">
        <x:v>Storm cavalry</x:v>
      </x:c>
      <x:c r="E9" s="365" t="str">
        <x:v>Horse archer</x:v>
      </x:c>
      <x:c r="F9" s="365" t="n">
        <x:v>46</x:v>
      </x:c>
      <x:c r="G9" s="365" t="str">
        <x:v>Mounted Archery</x:v>
      </x:c>
      <x:c r="H9" s="365" t="str">
        <x:v>Has a certain probability of causing fly-shooting damage</x:v>
      </x:c>
      <x:c r="I9" s="365" t="str">
        <x:v>Unlocked</x:v>
      </x:c>
      <x:c r="J9" s="365" t="str">
        <x:v>00:24.0</x:v>
      </x:c>
      <x:c r="K9" s="365"/>
      <x:c r="L9" s="365" t="str">
        <x:v>K60_SVID_20260828_001858_1.mp4</x:v>
      </x:c>
      <x:c r="M9" s="387" t="n">
        <x:f>IF(P9="OK",INDEX('Badge Lookup'!$B$6:$B$55,MATCH(F9,'Badge Lookup'!$A$6:$A$55,0)),0)</x:f>
        <x:v>720000</x:v>
      </x:c>
      <x:c r="N9" s="387" t="n">
        <x:f>IF(P9="OK",INDEX('Badge Lookup'!$C$6:$C$55,MATCH(F9,'Badge Lookup'!$A$6:$A$55,0)),0)</x:f>
        <x:v>5004300</x:v>
      </x:c>
      <x:c r="O9" s="388" t="n">
        <x:f>IF(P9="OK",INDEX('Badge Lookup'!$D$6:$D$55,MATCH(F9,'Badge Lookup'!$A$6:$A$55,0)),0)</x:f>
        <x:v>45.13</x:v>
      </x:c>
      <x:c r="P9" s="362" t="str">
        <x:f>IF(OR(G9="",F9=""),"Not scored",IF(AND(F9=INT(F9),F9&gt;=1,F9&lt;=50,COUNTIF('Badge Lookup'!$A$6:$A$55,F9)=1),"OK","Check lookup"))</x:f>
        <x:v>OK</x:v>
      </x:c>
      <x:c r="Q9" s="456" t="n">
        <x:f>IF(P9&lt;&gt;"OK","",IF(C9="Guards",-O9,O9))</x:f>
        <x:v>45.13</x:v>
      </x:c>
      <x:c r="R9" s="362" t="str">
        <x:f>IF(P9&lt;&gt;"OK","Not scored",IF(C9="Guards","Damage received reduction","Damage increase"))</x:f>
        <x:v>Damage increase</x:v>
      </x:c>
    </x:row>
    <x:row r="10" ht="32" customHeight="1">
      <x:c r="A10" s="365" t="str">
        <x:v>K60</x:v>
      </x:c>
      <x:c r="B10" s="365" t="str">
        <x:v>Hitt</x:v>
      </x:c>
      <x:c r="C10" s="365" t="str">
        <x:v>Guards</x:v>
      </x:c>
      <x:c r="D10" s="365" t="str">
        <x:v>Destroyers</x:v>
      </x:c>
      <x:c r="E10" s="365" t="str">
        <x:v>Guard</x:v>
      </x:c>
      <x:c r="F10" s="365" t="n">
        <x:v>40</x:v>
      </x:c>
      <x:c r="G10" s="365" t="str">
        <x:v>Parry</x:v>
      </x:c>
      <x:c r="H10" s="365" t="str">
        <x:v>Provides a parry effect and a certain probability to increase damage</x:v>
      </x:c>
      <x:c r="I10" s="365" t="str">
        <x:v>Unlocked</x:v>
      </x:c>
      <x:c r="J10" s="365" t="str">
        <x:v>00:36.0</x:v>
      </x:c>
      <x:c r="K10" s="365"/>
      <x:c r="L10" s="365" t="str">
        <x:v>K60_SVID_20260828_001858_1.mp4</x:v>
      </x:c>
      <x:c r="M10" s="387" t="n">
        <x:f>IF(P10="OK",INDEX('Badge Lookup'!$B$6:$B$55,MATCH(F10,'Badge Lookup'!$A$6:$A$55,0)),0)</x:f>
        <x:v>240000</x:v>
      </x:c>
      <x:c r="N10" s="387" t="n">
        <x:f>IF(P10="OK",INDEX('Badge Lookup'!$C$6:$C$55,MATCH(F10,'Badge Lookup'!$A$6:$A$55,0)),0)</x:f>
        <x:v>2244300</x:v>
      </x:c>
      <x:c r="O10" s="388" t="n">
        <x:f>IF(P10="OK",INDEX('Badge Lookup'!$D$6:$D$55,MATCH(F10,'Badge Lookup'!$A$6:$A$55,0)),0)</x:f>
        <x:v>27.74</x:v>
      </x:c>
      <x:c r="P10" s="362" t="str">
        <x:f>IF(OR(G10="",F10=""),"Not scored",IF(AND(F10=INT(F10),F10&gt;=1,F10&lt;=50,COUNTIF('Badge Lookup'!$A$6:$A$55,F10)=1),"OK","Check lookup"))</x:f>
        <x:v>OK</x:v>
      </x:c>
      <x:c r="Q10" s="456" t="n">
        <x:f>IF(P10&lt;&gt;"OK","",IF(C10="Guards",-O10,O10))</x:f>
        <x:v>-27.74</x:v>
      </x:c>
      <x:c r="R10" s="362" t="str">
        <x:f>IF(P10&lt;&gt;"OK","Not scored",IF(C10="Guards","Damage received reduction","Damage increase"))</x:f>
        <x:v>Damage received reduction</x:v>
      </x:c>
    </x:row>
    <x:row r="11" ht="32" customHeight="1">
      <x:c r="A11" s="365" t="str">
        <x:v>K60</x:v>
      </x:c>
      <x:c r="B11" s="365" t="str">
        <x:v>Hitt</x:v>
      </x:c>
      <x:c r="C11" s="365" t="str">
        <x:v>Archers</x:v>
      </x:c>
      <x:c r="D11" s="365" t="str">
        <x:v>Elite bowmen</x:v>
      </x:c>
      <x:c r="E11" s="365" t="str">
        <x:v>Archer</x:v>
      </x:c>
      <x:c r="F11" s="365" t="n">
        <x:v>40</x:v>
      </x:c>
      <x:c r="G11" s="365" t="str">
        <x:v>Frost Arrow</x:v>
      </x:c>
      <x:c r="H11" s="365" t="str">
        <x:v>Has a higher probability of activating ice damage</x:v>
      </x:c>
      <x:c r="I11" s="365" t="str">
        <x:v>Unlocked</x:v>
      </x:c>
      <x:c r="J11" s="365" t="str">
        <x:v>00:39.0</x:v>
      </x:c>
      <x:c r="K11" s="365"/>
      <x:c r="L11" s="365" t="str">
        <x:v>K60_SVID_20260828_001858_1.mp4</x:v>
      </x:c>
      <x:c r="M11" s="387" t="n">
        <x:f>IF(P11="OK",INDEX('Badge Lookup'!$B$6:$B$55,MATCH(F11,'Badge Lookup'!$A$6:$A$55,0)),0)</x:f>
        <x:v>240000</x:v>
      </x:c>
      <x:c r="N11" s="387" t="n">
        <x:f>IF(P11="OK",INDEX('Badge Lookup'!$C$6:$C$55,MATCH(F11,'Badge Lookup'!$A$6:$A$55,0)),0)</x:f>
        <x:v>2244300</x:v>
      </x:c>
      <x:c r="O11" s="388" t="n">
        <x:f>IF(P11="OK",INDEX('Badge Lookup'!$D$6:$D$55,MATCH(F11,'Badge Lookup'!$A$6:$A$55,0)),0)</x:f>
        <x:v>27.74</x:v>
      </x:c>
      <x:c r="P11" s="362" t="str">
        <x:f>IF(OR(G11="",F11=""),"Not scored",IF(AND(F11=INT(F11),F11&gt;=1,F11&lt;=50,COUNTIF('Badge Lookup'!$A$6:$A$55,F11)=1),"OK","Check lookup"))</x:f>
        <x:v>OK</x:v>
      </x:c>
      <x:c r="Q11" s="456" t="n">
        <x:f>IF(P11&lt;&gt;"OK","",IF(C11="Guards",-O11,O11))</x:f>
        <x:v>27.74</x:v>
      </x:c>
      <x:c r="R11" s="362" t="str">
        <x:f>IF(P11&lt;&gt;"OK","Not scored",IF(C11="Guards","Damage received reduction","Damage increase"))</x:f>
        <x:v>Damage increase</x:v>
      </x:c>
    </x:row>
    <x:row r="12" ht="32" customHeight="1">
      <x:c r="A12" s="365" t="str">
        <x:v>K60</x:v>
      </x:c>
      <x:c r="B12" s="365" t="str">
        <x:v>Hitt</x:v>
      </x:c>
      <x:c r="C12" s="365" t="str">
        <x:v>Cavalry</x:v>
      </x:c>
      <x:c r="D12" s="365" t="str">
        <x:v>Eternal knights</x:v>
      </x:c>
      <x:c r="E12" s="365" t="str">
        <x:v>Heavy Cavalry</x:v>
      </x:c>
      <x:c r="F12" s="365" t="n">
        <x:v>44</x:v>
      </x:c>
      <x:c r="G12" s="365" t="str">
        <x:v>Thunder trample</x:v>
      </x:c>
      <x:c r="H12" s="365" t="str">
        <x:v>Has a certain probability of causing trampling damage</x:v>
      </x:c>
      <x:c r="I12" s="365" t="str">
        <x:v>Unlocked</x:v>
      </x:c>
      <x:c r="J12" s="365" t="str">
        <x:v>00:37.5</x:v>
      </x:c>
      <x:c r="K12" s="365"/>
      <x:c r="L12" s="365" t="str">
        <x:v>K60_SVID_20260828_001858_1.mp4</x:v>
      </x:c>
      <x:c r="M12" s="387" t="n">
        <x:f>IF(P12="OK",INDEX('Badge Lookup'!$B$6:$B$55,MATCH(F12,'Badge Lookup'!$A$6:$A$55,0)),0)</x:f>
        <x:v>480000</x:v>
      </x:c>
      <x:c r="N12" s="387" t="n">
        <x:f>IF(P12="OK",INDEX('Badge Lookup'!$C$6:$C$55,MATCH(F12,'Badge Lookup'!$A$6:$A$55,0)),0)</x:f>
        <x:v>3724300</x:v>
      </x:c>
      <x:c r="O12" s="388" t="n">
        <x:f>IF(P12="OK",INDEX('Badge Lookup'!$D$6:$D$55,MATCH(F12,'Badge Lookup'!$A$6:$A$55,0)),0)</x:f>
        <x:v>39.93</x:v>
      </x:c>
      <x:c r="P12" s="362" t="str">
        <x:f>IF(OR(G12="",F12=""),"Not scored",IF(AND(F12=INT(F12),F12&gt;=1,F12&lt;=50,COUNTIF('Badge Lookup'!$A$6:$A$55,F12)=1),"OK","Check lookup"))</x:f>
        <x:v>OK</x:v>
      </x:c>
      <x:c r="Q12" s="456" t="n">
        <x:f>IF(P12&lt;&gt;"OK","",IF(C12="Guards",-O12,O12))</x:f>
        <x:v>39.93</x:v>
      </x:c>
      <x:c r="R12" s="362" t="str">
        <x:f>IF(P12&lt;&gt;"OK","Not scored",IF(C12="Guards","Damage received reduction","Damage increase"))</x:f>
        <x:v>Damage increase</x:v>
      </x:c>
    </x:row>
    <x:row r="13" ht="32" customHeight="1">
      <x:c r="A13" s="365" t="str">
        <x:v>K60</x:v>
      </x:c>
      <x:c r="B13" s="365" t="str">
        <x:v>Hitt</x:v>
      </x:c>
      <x:c r="C13" s="365" t="str">
        <x:v>Cavalry</x:v>
      </x:c>
      <x:c r="D13" s="365" t="str">
        <x:v>Storm cavalry</x:v>
      </x:c>
      <x:c r="E13" s="365" t="str">
        <x:v>Horse archer</x:v>
      </x:c>
      <x:c r="F13" s="365" t="n">
        <x:v>43</x:v>
      </x:c>
      <x:c r="G13" s="365" t="str">
        <x:v>Mounted Archery</x:v>
      </x:c>
      <x:c r="H13" s="365" t="str">
        <x:v>Has a certain probability of causing fly-shooting damage</x:v>
      </x:c>
      <x:c r="I13" s="365" t="str">
        <x:v>Unlocked</x:v>
      </x:c>
      <x:c r="J13" s="365" t="str">
        <x:v>00:40.0</x:v>
      </x:c>
      <x:c r="K13" s="365"/>
      <x:c r="L13" s="365" t="str">
        <x:v>K60_SVID_20260828_001858_1.mp4</x:v>
      </x:c>
      <x:c r="M13" s="387" t="n">
        <x:f>IF(P13="OK",INDEX('Badge Lookup'!$B$6:$B$55,MATCH(F13,'Badge Lookup'!$A$6:$A$55,0)),0)</x:f>
        <x:v>400000</x:v>
      </x:c>
      <x:c r="N13" s="387" t="n">
        <x:f>IF(P13="OK",INDEX('Badge Lookup'!$C$6:$C$55,MATCH(F13,'Badge Lookup'!$A$6:$A$55,0)),0)</x:f>
        <x:v>3244300</x:v>
      </x:c>
      <x:c r="O13" s="388" t="n">
        <x:f>IF(P13="OK",INDEX('Badge Lookup'!$D$6:$D$55,MATCH(F13,'Badge Lookup'!$A$6:$A$55,0)),0)</x:f>
        <x:v>35.98</x:v>
      </x:c>
      <x:c r="P13" s="362" t="str">
        <x:f>IF(OR(G13="",F13=""),"Not scored",IF(AND(F13=INT(F13),F13&gt;=1,F13&lt;=50,COUNTIF('Badge Lookup'!$A$6:$A$55,F13)=1),"OK","Check lookup"))</x:f>
        <x:v>OK</x:v>
      </x:c>
      <x:c r="Q13" s="456" t="n">
        <x:f>IF(P13&lt;&gt;"OK","",IF(C13="Guards",-O13,O13))</x:f>
        <x:v>35.98</x:v>
      </x:c>
      <x:c r="R13" s="362" t="str">
        <x:f>IF(P13&lt;&gt;"OK","Not scored",IF(C13="Guards","Damage received reduction","Damage increase"))</x:f>
        <x:v>Damage increase</x:v>
      </x:c>
    </x:row>
    <x:row r="14" ht="32" customHeight="1">
      <x:c r="A14" s="365" t="str">
        <x:v>K60</x:v>
      </x:c>
      <x:c r="B14" s="365" t="str">
        <x:v>Λžtěč (Aztec)</x:v>
      </x:c>
      <x:c r="C14" s="365" t="str">
        <x:v>Guards</x:v>
      </x:c>
      <x:c r="D14" s="365" t="str">
        <x:v>Destroyers</x:v>
      </x:c>
      <x:c r="E14" s="365" t="str">
        <x:v>Guard</x:v>
      </x:c>
      <x:c r="F14" s="365" t="n">
        <x:v>40</x:v>
      </x:c>
      <x:c r="G14" s="365" t="str">
        <x:v>Parry</x:v>
      </x:c>
      <x:c r="H14" s="365" t="str">
        <x:v>Provides a parry effect and a certain probability to increase damage</x:v>
      </x:c>
      <x:c r="I14" s="365" t="str">
        <x:v>Unlocked</x:v>
      </x:c>
      <x:c r="J14" s="365" t="str">
        <x:v>00:47.5</x:v>
      </x:c>
      <x:c r="K14" s="365"/>
      <x:c r="L14" s="365" t="str">
        <x:v>K60_SVID_20260828_001858_1.mp4</x:v>
      </x:c>
      <x:c r="M14" s="387" t="n">
        <x:f>IF(P14="OK",INDEX('Badge Lookup'!$B$6:$B$55,MATCH(F14,'Badge Lookup'!$A$6:$A$55,0)),0)</x:f>
        <x:v>240000</x:v>
      </x:c>
      <x:c r="N14" s="387" t="n">
        <x:f>IF(P14="OK",INDEX('Badge Lookup'!$C$6:$C$55,MATCH(F14,'Badge Lookup'!$A$6:$A$55,0)),0)</x:f>
        <x:v>2244300</x:v>
      </x:c>
      <x:c r="O14" s="388" t="n">
        <x:f>IF(P14="OK",INDEX('Badge Lookup'!$D$6:$D$55,MATCH(F14,'Badge Lookup'!$A$6:$A$55,0)),0)</x:f>
        <x:v>27.74</x:v>
      </x:c>
      <x:c r="P14" s="362" t="str">
        <x:f>IF(OR(G14="",F14=""),"Not scored",IF(AND(F14=INT(F14),F14&gt;=1,F14&lt;=50,COUNTIF('Badge Lookup'!$A$6:$A$55,F14)=1),"OK","Check lookup"))</x:f>
        <x:v>OK</x:v>
      </x:c>
      <x:c r="Q14" s="456" t="n">
        <x:f>IF(P14&lt;&gt;"OK","",IF(C14="Guards",-O14,O14))</x:f>
        <x:v>-27.74</x:v>
      </x:c>
      <x:c r="R14" s="362" t="str">
        <x:f>IF(P14&lt;&gt;"OK","Not scored",IF(C14="Guards","Damage received reduction","Damage increase"))</x:f>
        <x:v>Damage received reduction</x:v>
      </x:c>
    </x:row>
    <x:row r="15" ht="32" customHeight="1">
      <x:c r="A15" s="365" t="str">
        <x:v>K60</x:v>
      </x:c>
      <x:c r="B15" s="365" t="str">
        <x:v>Λžtěč (Aztec)</x:v>
      </x:c>
      <x:c r="C15" s="365" t="str">
        <x:v>Archers</x:v>
      </x:c>
      <x:c r="D15" s="365" t="str">
        <x:v>Elite bowmen</x:v>
      </x:c>
      <x:c r="E15" s="365" t="str">
        <x:v>Archer</x:v>
      </x:c>
      <x:c r="F15" s="365" t="n">
        <x:v>40</x:v>
      </x:c>
      <x:c r="G15" s="365" t="str">
        <x:v>Frost Arrow</x:v>
      </x:c>
      <x:c r="H15" s="365" t="str">
        <x:v>Has a higher probability of activating ice damage</x:v>
      </x:c>
      <x:c r="I15" s="365" t="str">
        <x:v>Unlocked</x:v>
      </x:c>
      <x:c r="J15" s="365" t="str">
        <x:v>00:49.5</x:v>
      </x:c>
      <x:c r="K15" s="365"/>
      <x:c r="L15" s="365" t="str">
        <x:v>K60_SVID_20260828_001858_1.mp4</x:v>
      </x:c>
      <x:c r="M15" s="387" t="n">
        <x:f>IF(P15="OK",INDEX('Badge Lookup'!$B$6:$B$55,MATCH(F15,'Badge Lookup'!$A$6:$A$55,0)),0)</x:f>
        <x:v>240000</x:v>
      </x:c>
      <x:c r="N15" s="387" t="n">
        <x:f>IF(P15="OK",INDEX('Badge Lookup'!$C$6:$C$55,MATCH(F15,'Badge Lookup'!$A$6:$A$55,0)),0)</x:f>
        <x:v>2244300</x:v>
      </x:c>
      <x:c r="O15" s="388" t="n">
        <x:f>IF(P15="OK",INDEX('Badge Lookup'!$D$6:$D$55,MATCH(F15,'Badge Lookup'!$A$6:$A$55,0)),0)</x:f>
        <x:v>27.74</x:v>
      </x:c>
      <x:c r="P15" s="362" t="str">
        <x:f>IF(OR(G15="",F15=""),"Not scored",IF(AND(F15=INT(F15),F15&gt;=1,F15&lt;=50,COUNTIF('Badge Lookup'!$A$6:$A$55,F15)=1),"OK","Check lookup"))</x:f>
        <x:v>OK</x:v>
      </x:c>
      <x:c r="Q15" s="456" t="n">
        <x:f>IF(P15&lt;&gt;"OK","",IF(C15="Guards",-O15,O15))</x:f>
        <x:v>27.74</x:v>
      </x:c>
      <x:c r="R15" s="362" t="str">
        <x:f>IF(P15&lt;&gt;"OK","Not scored",IF(C15="Guards","Damage received reduction","Damage increase"))</x:f>
        <x:v>Damage increase</x:v>
      </x:c>
    </x:row>
    <x:row r="16" ht="32" customHeight="1">
      <x:c r="A16" s="365" t="str">
        <x:v>K60</x:v>
      </x:c>
      <x:c r="B16" s="365" t="str">
        <x:v>Λžtěč (Aztec)</x:v>
      </x:c>
      <x:c r="C16" s="365" t="str">
        <x:v>Cavalry</x:v>
      </x:c>
      <x:c r="D16" s="365" t="str">
        <x:v>Eternal knights</x:v>
      </x:c>
      <x:c r="E16" s="365" t="str">
        <x:v>Heavy Cavalry</x:v>
      </x:c>
      <x:c r="F16" s="365" t="n">
        <x:v>44</x:v>
      </x:c>
      <x:c r="G16" s="365" t="str">
        <x:v>Thunder trample</x:v>
      </x:c>
      <x:c r="H16" s="365" t="str">
        <x:v>Has a certain probability of causing trampling damage</x:v>
      </x:c>
      <x:c r="I16" s="365" t="str">
        <x:v>Unlocked</x:v>
      </x:c>
      <x:c r="J16" s="365" t="str">
        <x:v>00:48.5</x:v>
      </x:c>
      <x:c r="K16" s="365"/>
      <x:c r="L16" s="365" t="str">
        <x:v>K60_SVID_20260828_001858_1.mp4</x:v>
      </x:c>
      <x:c r="M16" s="387" t="n">
        <x:f>IF(P16="OK",INDEX('Badge Lookup'!$B$6:$B$55,MATCH(F16,'Badge Lookup'!$A$6:$A$55,0)),0)</x:f>
        <x:v>480000</x:v>
      </x:c>
      <x:c r="N16" s="387" t="n">
        <x:f>IF(P16="OK",INDEX('Badge Lookup'!$C$6:$C$55,MATCH(F16,'Badge Lookup'!$A$6:$A$55,0)),0)</x:f>
        <x:v>3724300</x:v>
      </x:c>
      <x:c r="O16" s="388" t="n">
        <x:f>IF(P16="OK",INDEX('Badge Lookup'!$D$6:$D$55,MATCH(F16,'Badge Lookup'!$A$6:$A$55,0)),0)</x:f>
        <x:v>39.93</x:v>
      </x:c>
      <x:c r="P16" s="362" t="str">
        <x:f>IF(OR(G16="",F16=""),"Not scored",IF(AND(F16=INT(F16),F16&gt;=1,F16&lt;=50,COUNTIF('Badge Lookup'!$A$6:$A$55,F16)=1),"OK","Check lookup"))</x:f>
        <x:v>OK</x:v>
      </x:c>
      <x:c r="Q16" s="456" t="n">
        <x:f>IF(P16&lt;&gt;"OK","",IF(C16="Guards",-O16,O16))</x:f>
        <x:v>39.93</x:v>
      </x:c>
      <x:c r="R16" s="362" t="str">
        <x:f>IF(P16&lt;&gt;"OK","Not scored",IF(C16="Guards","Damage received reduction","Damage increase"))</x:f>
        <x:v>Damage increase</x:v>
      </x:c>
    </x:row>
    <x:row r="17" ht="32" customHeight="1">
      <x:c r="A17" s="365" t="str">
        <x:v>K60</x:v>
      </x:c>
      <x:c r="B17" s="365" t="str">
        <x:v>Λžtěč (Aztec)</x:v>
      </x:c>
      <x:c r="C17" s="365" t="str">
        <x:v>Cavalry</x:v>
      </x:c>
      <x:c r="D17" s="365" t="str">
        <x:v>Storm cavalry</x:v>
      </x:c>
      <x:c r="E17" s="365" t="str">
        <x:v>Horse archer</x:v>
      </x:c>
      <x:c r="F17" s="365" t="n">
        <x:v>44</x:v>
      </x:c>
      <x:c r="G17" s="365" t="str">
        <x:v>Mounted Archery</x:v>
      </x:c>
      <x:c r="H17" s="365" t="str">
        <x:v>Has a certain probability of causing fly-shooting damage</x:v>
      </x:c>
      <x:c r="I17" s="365" t="str">
        <x:v>Unlocked</x:v>
      </x:c>
      <x:c r="J17" s="365" t="str">
        <x:v>00:50.5</x:v>
      </x:c>
      <x:c r="K17" s="365"/>
      <x:c r="L17" s="365" t="str">
        <x:v>K60_SVID_20260828_001858_1.mp4</x:v>
      </x:c>
      <x:c r="M17" s="387" t="n">
        <x:f>IF(P17="OK",INDEX('Badge Lookup'!$B$6:$B$55,MATCH(F17,'Badge Lookup'!$A$6:$A$55,0)),0)</x:f>
        <x:v>480000</x:v>
      </x:c>
      <x:c r="N17" s="387" t="n">
        <x:f>IF(P17="OK",INDEX('Badge Lookup'!$C$6:$C$55,MATCH(F17,'Badge Lookup'!$A$6:$A$55,0)),0)</x:f>
        <x:v>3724300</x:v>
      </x:c>
      <x:c r="O17" s="388" t="n">
        <x:f>IF(P17="OK",INDEX('Badge Lookup'!$D$6:$D$55,MATCH(F17,'Badge Lookup'!$A$6:$A$55,0)),0)</x:f>
        <x:v>39.93</x:v>
      </x:c>
      <x:c r="P17" s="362" t="str">
        <x:f>IF(OR(G17="",F17=""),"Not scored",IF(AND(F17=INT(F17),F17&gt;=1,F17&lt;=50,COUNTIF('Badge Lookup'!$A$6:$A$55,F17)=1),"OK","Check lookup"))</x:f>
        <x:v>OK</x:v>
      </x:c>
      <x:c r="Q17" s="456" t="n">
        <x:f>IF(P17&lt;&gt;"OK","",IF(C17="Guards",-O17,O17))</x:f>
        <x:v>39.93</x:v>
      </x:c>
      <x:c r="R17" s="362" t="str">
        <x:f>IF(P17&lt;&gt;"OK","Not scored",IF(C17="Guards","Damage received reduction","Damage increase"))</x:f>
        <x:v>Damage increase</x:v>
      </x:c>
    </x:row>
    <x:row r="18" ht="32" customHeight="1">
      <x:c r="A18" s="365" t="str">
        <x:v>K60</x:v>
      </x:c>
      <x:c r="B18" s="365" t="str">
        <x:v>MoonLight</x:v>
      </x:c>
      <x:c r="C18" s="365" t="str">
        <x:v>Guards</x:v>
      </x:c>
      <x:c r="D18" s="365" t="str">
        <x:v>Destroyers</x:v>
      </x:c>
      <x:c r="E18" s="365" t="str">
        <x:v>Guard</x:v>
      </x:c>
      <x:c r="F18" s="365" t="n">
        <x:v>40</x:v>
      </x:c>
      <x:c r="G18" s="365" t="str">
        <x:v>Parry</x:v>
      </x:c>
      <x:c r="H18" s="365" t="str">
        <x:v>Provides a parry effect and a certain probability to increase damage</x:v>
      </x:c>
      <x:c r="I18" s="365" t="str">
        <x:v>Unlocked</x:v>
      </x:c>
      <x:c r="J18" s="365" t="str">
        <x:v>00:57.5</x:v>
      </x:c>
      <x:c r="K18" s="365"/>
      <x:c r="L18" s="365" t="str">
        <x:v>K60_SVID_20260828_001858_1.mp4</x:v>
      </x:c>
      <x:c r="M18" s="387" t="n">
        <x:f>IF(P18="OK",INDEX('Badge Lookup'!$B$6:$B$55,MATCH(F18,'Badge Lookup'!$A$6:$A$55,0)),0)</x:f>
        <x:v>240000</x:v>
      </x:c>
      <x:c r="N18" s="387" t="n">
        <x:f>IF(P18="OK",INDEX('Badge Lookup'!$C$6:$C$55,MATCH(F18,'Badge Lookup'!$A$6:$A$55,0)),0)</x:f>
        <x:v>2244300</x:v>
      </x:c>
      <x:c r="O18" s="388" t="n">
        <x:f>IF(P18="OK",INDEX('Badge Lookup'!$D$6:$D$55,MATCH(F18,'Badge Lookup'!$A$6:$A$55,0)),0)</x:f>
        <x:v>27.74</x:v>
      </x:c>
      <x:c r="P18" s="362" t="str">
        <x:f>IF(OR(G18="",F18=""),"Not scored",IF(AND(F18=INT(F18),F18&gt;=1,F18&lt;=50,COUNTIF('Badge Lookup'!$A$6:$A$55,F18)=1),"OK","Check lookup"))</x:f>
        <x:v>OK</x:v>
      </x:c>
      <x:c r="Q18" s="456" t="n">
        <x:f>IF(P18&lt;&gt;"OK","",IF(C18="Guards",-O18,O18))</x:f>
        <x:v>-27.74</x:v>
      </x:c>
      <x:c r="R18" s="362" t="str">
        <x:f>IF(P18&lt;&gt;"OK","Not scored",IF(C18="Guards","Damage received reduction","Damage increase"))</x:f>
        <x:v>Damage received reduction</x:v>
      </x:c>
    </x:row>
    <x:row r="19" ht="32" customHeight="1">
      <x:c r="A19" s="365" t="str">
        <x:v>K60</x:v>
      </x:c>
      <x:c r="B19" s="365" t="str">
        <x:v>MoonLight</x:v>
      </x:c>
      <x:c r="C19" s="365" t="str">
        <x:v>Archers</x:v>
      </x:c>
      <x:c r="D19" s="365" t="str">
        <x:v>Elite bowmen</x:v>
      </x:c>
      <x:c r="E19" s="365" t="str">
        <x:v>Archer</x:v>
      </x:c>
      <x:c r="F19" s="365" t="n">
        <x:v>41</x:v>
      </x:c>
      <x:c r="G19" s="365" t="str">
        <x:v>Frost Arrow</x:v>
      </x:c>
      <x:c r="H19" s="365" t="str">
        <x:v>Has a higher probability of activating ice damage</x:v>
      </x:c>
      <x:c r="I19" s="365" t="str">
        <x:v>Unlocked</x:v>
      </x:c>
      <x:c r="J19" s="365" t="str">
        <x:v>00:59.5</x:v>
      </x:c>
      <x:c r="K19" s="365"/>
      <x:c r="L19" s="365" t="str">
        <x:v>K60_SVID_20260828_001858_1.mp4</x:v>
      </x:c>
      <x:c r="M19" s="387" t="n">
        <x:f>IF(P19="OK",INDEX('Badge Lookup'!$B$6:$B$55,MATCH(F19,'Badge Lookup'!$A$6:$A$55,0)),0)</x:f>
        <x:v>280000</x:v>
      </x:c>
      <x:c r="N19" s="387" t="n">
        <x:f>IF(P19="OK",INDEX('Badge Lookup'!$C$6:$C$55,MATCH(F19,'Badge Lookup'!$A$6:$A$55,0)),0)</x:f>
        <x:v>2524300</x:v>
      </x:c>
      <x:c r="O19" s="388" t="n">
        <x:f>IF(P19="OK",INDEX('Badge Lookup'!$D$6:$D$55,MATCH(F19,'Badge Lookup'!$A$6:$A$55,0)),0)</x:f>
        <x:v>30.38</x:v>
      </x:c>
      <x:c r="P19" s="362" t="str">
        <x:f>IF(OR(G19="",F19=""),"Not scored",IF(AND(F19=INT(F19),F19&gt;=1,F19&lt;=50,COUNTIF('Badge Lookup'!$A$6:$A$55,F19)=1),"OK","Check lookup"))</x:f>
        <x:v>OK</x:v>
      </x:c>
      <x:c r="Q19" s="456" t="n">
        <x:f>IF(P19&lt;&gt;"OK","",IF(C19="Guards",-O19,O19))</x:f>
        <x:v>30.38</x:v>
      </x:c>
      <x:c r="R19" s="362" t="str">
        <x:f>IF(P19&lt;&gt;"OK","Not scored",IF(C19="Guards","Damage received reduction","Damage increase"))</x:f>
        <x:v>Damage increase</x:v>
      </x:c>
    </x:row>
    <x:row r="20" ht="32" customHeight="1">
      <x:c r="A20" s="365" t="str">
        <x:v>K60</x:v>
      </x:c>
      <x:c r="B20" s="365" t="str">
        <x:v>MoonLight</x:v>
      </x:c>
      <x:c r="C20" s="365" t="str">
        <x:v>Cavalry</x:v>
      </x:c>
      <x:c r="D20" s="365" t="str">
        <x:v>Eternal knights</x:v>
      </x:c>
      <x:c r="E20" s="365" t="str">
        <x:v>Heavy Cavalry</x:v>
      </x:c>
      <x:c r="F20" s="365" t="n">
        <x:v>43</x:v>
      </x:c>
      <x:c r="G20" s="365" t="str">
        <x:v>Thunder trample</x:v>
      </x:c>
      <x:c r="H20" s="365" t="str">
        <x:v>Has a certain probability of causing trampling damage</x:v>
      </x:c>
      <x:c r="I20" s="365" t="str">
        <x:v>Unlocked</x:v>
      </x:c>
      <x:c r="J20" s="365" t="str">
        <x:v>00:58.5</x:v>
      </x:c>
      <x:c r="K20" s="365"/>
      <x:c r="L20" s="365" t="str">
        <x:v>K60_SVID_20260828_001858_1.mp4</x:v>
      </x:c>
      <x:c r="M20" s="387" t="n">
        <x:f>IF(P20="OK",INDEX('Badge Lookup'!$B$6:$B$55,MATCH(F20,'Badge Lookup'!$A$6:$A$55,0)),0)</x:f>
        <x:v>400000</x:v>
      </x:c>
      <x:c r="N20" s="387" t="n">
        <x:f>IF(P20="OK",INDEX('Badge Lookup'!$C$6:$C$55,MATCH(F20,'Badge Lookup'!$A$6:$A$55,0)),0)</x:f>
        <x:v>3244300</x:v>
      </x:c>
      <x:c r="O20" s="388" t="n">
        <x:f>IF(P20="OK",INDEX('Badge Lookup'!$D$6:$D$55,MATCH(F20,'Badge Lookup'!$A$6:$A$55,0)),0)</x:f>
        <x:v>35.98</x:v>
      </x:c>
      <x:c r="P20" s="362" t="str">
        <x:f>IF(OR(G20="",F20=""),"Not scored",IF(AND(F20=INT(F20),F20&gt;=1,F20&lt;=50,COUNTIF('Badge Lookup'!$A$6:$A$55,F20)=1),"OK","Check lookup"))</x:f>
        <x:v>OK</x:v>
      </x:c>
      <x:c r="Q20" s="456" t="n">
        <x:f>IF(P20&lt;&gt;"OK","",IF(C20="Guards",-O20,O20))</x:f>
        <x:v>35.98</x:v>
      </x:c>
      <x:c r="R20" s="362" t="str">
        <x:f>IF(P20&lt;&gt;"OK","Not scored",IF(C20="Guards","Damage received reduction","Damage increase"))</x:f>
        <x:v>Damage increase</x:v>
      </x:c>
    </x:row>
    <x:row r="21" ht="32" customHeight="1">
      <x:c r="A21" s="365" t="str">
        <x:v>K60</x:v>
      </x:c>
      <x:c r="B21" s="365" t="str">
        <x:v>KingSkorpioN</x:v>
      </x:c>
      <x:c r="C21" s="365" t="str">
        <x:v>Guards</x:v>
      </x:c>
      <x:c r="D21" s="365" t="str">
        <x:v>Destroyers</x:v>
      </x:c>
      <x:c r="E21" s="365" t="str">
        <x:v>Guard</x:v>
      </x:c>
      <x:c r="F21" s="365" t="n">
        <x:v>40</x:v>
      </x:c>
      <x:c r="G21" s="365" t="str">
        <x:v>Parry</x:v>
      </x:c>
      <x:c r="H21" s="365" t="str">
        <x:v>Provides a parry effect and a certain probability to increase damage</x:v>
      </x:c>
      <x:c r="I21" s="365" t="str">
        <x:v>Unlocked</x:v>
      </x:c>
      <x:c r="J21" s="365" t="str">
        <x:v>01:06.5</x:v>
      </x:c>
      <x:c r="K21" s="365"/>
      <x:c r="L21" s="365" t="str">
        <x:v>K60_SVID_20260828_001858_1.mp4</x:v>
      </x:c>
      <x:c r="M21" s="387" t="n">
        <x:f>IF(P21="OK",INDEX('Badge Lookup'!$B$6:$B$55,MATCH(F21,'Badge Lookup'!$A$6:$A$55,0)),0)</x:f>
        <x:v>240000</x:v>
      </x:c>
      <x:c r="N21" s="387" t="n">
        <x:f>IF(P21="OK",INDEX('Badge Lookup'!$C$6:$C$55,MATCH(F21,'Badge Lookup'!$A$6:$A$55,0)),0)</x:f>
        <x:v>2244300</x:v>
      </x:c>
      <x:c r="O21" s="388" t="n">
        <x:f>IF(P21="OK",INDEX('Badge Lookup'!$D$6:$D$55,MATCH(F21,'Badge Lookup'!$A$6:$A$55,0)),0)</x:f>
        <x:v>27.74</x:v>
      </x:c>
      <x:c r="P21" s="362" t="str">
        <x:f>IF(OR(G21="",F21=""),"Not scored",IF(AND(F21=INT(F21),F21&gt;=1,F21&lt;=50,COUNTIF('Badge Lookup'!$A$6:$A$55,F21)=1),"OK","Check lookup"))</x:f>
        <x:v>OK</x:v>
      </x:c>
      <x:c r="Q21" s="456" t="n">
        <x:f>IF(P21&lt;&gt;"OK","",IF(C21="Guards",-O21,O21))</x:f>
        <x:v>-27.74</x:v>
      </x:c>
      <x:c r="R21" s="362" t="str">
        <x:f>IF(P21&lt;&gt;"OK","Not scored",IF(C21="Guards","Damage received reduction","Damage increase"))</x:f>
        <x:v>Damage received reduction</x:v>
      </x:c>
    </x:row>
    <x:row r="22" ht="32" customHeight="1">
      <x:c r="A22" s="365" t="str">
        <x:v>K60</x:v>
      </x:c>
      <x:c r="B22" s="365" t="str">
        <x:v>KingSkorpioN</x:v>
      </x:c>
      <x:c r="C22" s="365" t="str">
        <x:v>Archers</x:v>
      </x:c>
      <x:c r="D22" s="365" t="str">
        <x:v>Elite bowmen</x:v>
      </x:c>
      <x:c r="E22" s="365" t="str">
        <x:v>Archer</x:v>
      </x:c>
      <x:c r="F22" s="365" t="n">
        <x:v>42</x:v>
      </x:c>
      <x:c r="G22" s="365" t="str">
        <x:v>Frost Arrow</x:v>
      </x:c>
      <x:c r="H22" s="365" t="str">
        <x:v>Has a higher probability of activating ice damage</x:v>
      </x:c>
      <x:c r="I22" s="365" t="str">
        <x:v>Unlocked</x:v>
      </x:c>
      <x:c r="J22" s="365" t="str">
        <x:v>01:08.5</x:v>
      </x:c>
      <x:c r="K22" s="365"/>
      <x:c r="L22" s="365" t="str">
        <x:v>K60_SVID_20260828_001858_1.mp4</x:v>
      </x:c>
      <x:c r="M22" s="387" t="n">
        <x:f>IF(P22="OK",INDEX('Badge Lookup'!$B$6:$B$55,MATCH(F22,'Badge Lookup'!$A$6:$A$55,0)),0)</x:f>
        <x:v>320000</x:v>
      </x:c>
      <x:c r="N22" s="387" t="n">
        <x:f>IF(P22="OK",INDEX('Badge Lookup'!$C$6:$C$55,MATCH(F22,'Badge Lookup'!$A$6:$A$55,0)),0)</x:f>
        <x:v>2844300</x:v>
      </x:c>
      <x:c r="O22" s="388" t="n">
        <x:f>IF(P22="OK",INDEX('Badge Lookup'!$D$6:$D$55,MATCH(F22,'Badge Lookup'!$A$6:$A$55,0)),0)</x:f>
        <x:v>33.13</x:v>
      </x:c>
      <x:c r="P22" s="362" t="str">
        <x:f>IF(OR(G22="",F22=""),"Not scored",IF(AND(F22=INT(F22),F22&gt;=1,F22&lt;=50,COUNTIF('Badge Lookup'!$A$6:$A$55,F22)=1),"OK","Check lookup"))</x:f>
        <x:v>OK</x:v>
      </x:c>
      <x:c r="Q22" s="456" t="n">
        <x:f>IF(P22&lt;&gt;"OK","",IF(C22="Guards",-O22,O22))</x:f>
        <x:v>33.13</x:v>
      </x:c>
      <x:c r="R22" s="362" t="str">
        <x:f>IF(P22&lt;&gt;"OK","Not scored",IF(C22="Guards","Damage received reduction","Damage increase"))</x:f>
        <x:v>Damage increase</x:v>
      </x:c>
    </x:row>
    <x:row r="23" ht="32" customHeight="1">
      <x:c r="A23" s="365" t="str">
        <x:v>K60</x:v>
      </x:c>
      <x:c r="B23" s="365" t="str">
        <x:v>KingSkorpioN</x:v>
      </x:c>
      <x:c r="C23" s="365" t="str">
        <x:v>Cavalry</x:v>
      </x:c>
      <x:c r="D23" s="365" t="str">
        <x:v>Eternal knights</x:v>
      </x:c>
      <x:c r="E23" s="365" t="str">
        <x:v>Heavy Cavalry</x:v>
      </x:c>
      <x:c r="F23" s="365" t="n">
        <x:v>46</x:v>
      </x:c>
      <x:c r="G23" s="365" t="str">
        <x:v>Thunder trample</x:v>
      </x:c>
      <x:c r="H23" s="365" t="str">
        <x:v>Has a certain probability of causing trampling damage</x:v>
      </x:c>
      <x:c r="I23" s="365" t="str">
        <x:v>Unlocked</x:v>
      </x:c>
      <x:c r="J23" s="365" t="str">
        <x:v>01:07.5</x:v>
      </x:c>
      <x:c r="K23" s="365"/>
      <x:c r="L23" s="365" t="str">
        <x:v>K60_SVID_20260828_001858_1.mp4</x:v>
      </x:c>
      <x:c r="M23" s="387" t="n">
        <x:f>IF(P23="OK",INDEX('Badge Lookup'!$B$6:$B$55,MATCH(F23,'Badge Lookup'!$A$6:$A$55,0)),0)</x:f>
        <x:v>720000</x:v>
      </x:c>
      <x:c r="N23" s="387" t="n">
        <x:f>IF(P23="OK",INDEX('Badge Lookup'!$C$6:$C$55,MATCH(F23,'Badge Lookup'!$A$6:$A$55,0)),0)</x:f>
        <x:v>5004300</x:v>
      </x:c>
      <x:c r="O23" s="388" t="n">
        <x:f>IF(P23="OK",INDEX('Badge Lookup'!$D$6:$D$55,MATCH(F23,'Badge Lookup'!$A$6:$A$55,0)),0)</x:f>
        <x:v>45.13</x:v>
      </x:c>
      <x:c r="P23" s="362" t="str">
        <x:f>IF(OR(G23="",F23=""),"Not scored",IF(AND(F23=INT(F23),F23&gt;=1,F23&lt;=50,COUNTIF('Badge Lookup'!$A$6:$A$55,F23)=1),"OK","Check lookup"))</x:f>
        <x:v>OK</x:v>
      </x:c>
      <x:c r="Q23" s="456" t="n">
        <x:f>IF(P23&lt;&gt;"OK","",IF(C23="Guards",-O23,O23))</x:f>
        <x:v>45.13</x:v>
      </x:c>
      <x:c r="R23" s="362" t="str">
        <x:f>IF(P23&lt;&gt;"OK","Not scored",IF(C23="Guards","Damage received reduction","Damage increase"))</x:f>
        <x:v>Damage increase</x:v>
      </x:c>
    </x:row>
    <x:row r="24" ht="32" customHeight="1">
      <x:c r="A24" s="365" t="str">
        <x:v>K60</x:v>
      </x:c>
      <x:c r="B24" s="365" t="str">
        <x:v>Crixus</x:v>
      </x:c>
      <x:c r="C24" s="365" t="str">
        <x:v>Guards</x:v>
      </x:c>
      <x:c r="D24" s="365" t="str">
        <x:v>Destroyers</x:v>
      </x:c>
      <x:c r="E24" s="365" t="str">
        <x:v>Guard</x:v>
      </x:c>
      <x:c r="F24" s="365" t="n">
        <x:v>40</x:v>
      </x:c>
      <x:c r="G24" s="365" t="str">
        <x:v>Parry</x:v>
      </x:c>
      <x:c r="H24" s="365" t="str">
        <x:v>Provides a parry effect and a certain probability to increase damage</x:v>
      </x:c>
      <x:c r="I24" s="365" t="str">
        <x:v>Unlocked</x:v>
      </x:c>
      <x:c r="J24" s="365" t="str">
        <x:v>01:15.0</x:v>
      </x:c>
      <x:c r="K24" s="365"/>
      <x:c r="L24" s="365" t="str">
        <x:v>K60_SVID_20260828_001858_1.mp4</x:v>
      </x:c>
      <x:c r="M24" s="387" t="n">
        <x:f>IF(P24="OK",INDEX('Badge Lookup'!$B$6:$B$55,MATCH(F24,'Badge Lookup'!$A$6:$A$55,0)),0)</x:f>
        <x:v>240000</x:v>
      </x:c>
      <x:c r="N24" s="387" t="n">
        <x:f>IF(P24="OK",INDEX('Badge Lookup'!$C$6:$C$55,MATCH(F24,'Badge Lookup'!$A$6:$A$55,0)),0)</x:f>
        <x:v>2244300</x:v>
      </x:c>
      <x:c r="O24" s="388" t="n">
        <x:f>IF(P24="OK",INDEX('Badge Lookup'!$D$6:$D$55,MATCH(F24,'Badge Lookup'!$A$6:$A$55,0)),0)</x:f>
        <x:v>27.74</x:v>
      </x:c>
      <x:c r="P24" s="362" t="str">
        <x:f>IF(OR(G24="",F24=""),"Not scored",IF(AND(F24=INT(F24),F24&gt;=1,F24&lt;=50,COUNTIF('Badge Lookup'!$A$6:$A$55,F24)=1),"OK","Check lookup"))</x:f>
        <x:v>OK</x:v>
      </x:c>
      <x:c r="Q24" s="456" t="n">
        <x:f>IF(P24&lt;&gt;"OK","",IF(C24="Guards",-O24,O24))</x:f>
        <x:v>-27.74</x:v>
      </x:c>
      <x:c r="R24" s="362" t="str">
        <x:f>IF(P24&lt;&gt;"OK","Not scored",IF(C24="Guards","Damage received reduction","Damage increase"))</x:f>
        <x:v>Damage received reduction</x:v>
      </x:c>
    </x:row>
    <x:row r="25" ht="32" customHeight="1">
      <x:c r="A25" s="365" t="str">
        <x:v>K60</x:v>
      </x:c>
      <x:c r="B25" s="365" t="str">
        <x:v>Crixus</x:v>
      </x:c>
      <x:c r="C25" s="365" t="str">
        <x:v>Archers</x:v>
      </x:c>
      <x:c r="D25" s="365" t="str">
        <x:v>Elite bowmen</x:v>
      </x:c>
      <x:c r="E25" s="365" t="str">
        <x:v>Archer</x:v>
      </x:c>
      <x:c r="F25" s="365" t="n">
        <x:v>41</x:v>
      </x:c>
      <x:c r="G25" s="365" t="str">
        <x:v>Frost Arrow</x:v>
      </x:c>
      <x:c r="H25" s="365" t="str">
        <x:v>Has a higher probability of activating ice damage</x:v>
      </x:c>
      <x:c r="I25" s="365" t="str">
        <x:v>Unlocked</x:v>
      </x:c>
      <x:c r="J25" s="365" t="str">
        <x:v>01:17.0</x:v>
      </x:c>
      <x:c r="K25" s="365"/>
      <x:c r="L25" s="365" t="str">
        <x:v>K60_SVID_20260828_001858_1.mp4</x:v>
      </x:c>
      <x:c r="M25" s="387" t="n">
        <x:f>IF(P25="OK",INDEX('Badge Lookup'!$B$6:$B$55,MATCH(F25,'Badge Lookup'!$A$6:$A$55,0)),0)</x:f>
        <x:v>280000</x:v>
      </x:c>
      <x:c r="N25" s="387" t="n">
        <x:f>IF(P25="OK",INDEX('Badge Lookup'!$C$6:$C$55,MATCH(F25,'Badge Lookup'!$A$6:$A$55,0)),0)</x:f>
        <x:v>2524300</x:v>
      </x:c>
      <x:c r="O25" s="388" t="n">
        <x:f>IF(P25="OK",INDEX('Badge Lookup'!$D$6:$D$55,MATCH(F25,'Badge Lookup'!$A$6:$A$55,0)),0)</x:f>
        <x:v>30.38</x:v>
      </x:c>
      <x:c r="P25" s="362" t="str">
        <x:f>IF(OR(G25="",F25=""),"Not scored",IF(AND(F25=INT(F25),F25&gt;=1,F25&lt;=50,COUNTIF('Badge Lookup'!$A$6:$A$55,F25)=1),"OK","Check lookup"))</x:f>
        <x:v>OK</x:v>
      </x:c>
      <x:c r="Q25" s="456" t="n">
        <x:f>IF(P25&lt;&gt;"OK","",IF(C25="Guards",-O25,O25))</x:f>
        <x:v>30.38</x:v>
      </x:c>
      <x:c r="R25" s="362" t="str">
        <x:f>IF(P25&lt;&gt;"OK","Not scored",IF(C25="Guards","Damage received reduction","Damage increase"))</x:f>
        <x:v>Damage increase</x:v>
      </x:c>
    </x:row>
    <x:row r="26" ht="32" customHeight="1">
      <x:c r="A26" s="365" t="str">
        <x:v>K60</x:v>
      </x:c>
      <x:c r="B26" s="365" t="str">
        <x:v>Crixus</x:v>
      </x:c>
      <x:c r="C26" s="365" t="str">
        <x:v>Cavalry</x:v>
      </x:c>
      <x:c r="D26" s="365" t="str">
        <x:v>Eternal knights</x:v>
      </x:c>
      <x:c r="E26" s="365" t="str">
        <x:v>Heavy Cavalry</x:v>
      </x:c>
      <x:c r="F26" s="365" t="n">
        <x:v>44</x:v>
      </x:c>
      <x:c r="G26" s="365" t="str">
        <x:v>Thunder trample</x:v>
      </x:c>
      <x:c r="H26" s="365" t="str">
        <x:v>Has a certain probability of causing trampling damage</x:v>
      </x:c>
      <x:c r="I26" s="365" t="str">
        <x:v>Unlocked</x:v>
      </x:c>
      <x:c r="J26" s="365" t="str">
        <x:v>01:16.0</x:v>
      </x:c>
      <x:c r="K26" s="365"/>
      <x:c r="L26" s="365" t="str">
        <x:v>K60_SVID_20260828_001858_1.mp4</x:v>
      </x:c>
      <x:c r="M26" s="387" t="n">
        <x:f>IF(P26="OK",INDEX('Badge Lookup'!$B$6:$B$55,MATCH(F26,'Badge Lookup'!$A$6:$A$55,0)),0)</x:f>
        <x:v>480000</x:v>
      </x:c>
      <x:c r="N26" s="387" t="n">
        <x:f>IF(P26="OK",INDEX('Badge Lookup'!$C$6:$C$55,MATCH(F26,'Badge Lookup'!$A$6:$A$55,0)),0)</x:f>
        <x:v>3724300</x:v>
      </x:c>
      <x:c r="O26" s="388" t="n">
        <x:f>IF(P26="OK",INDEX('Badge Lookup'!$D$6:$D$55,MATCH(F26,'Badge Lookup'!$A$6:$A$55,0)),0)</x:f>
        <x:v>39.93</x:v>
      </x:c>
      <x:c r="P26" s="362" t="str">
        <x:f>IF(OR(G26="",F26=""),"Not scored",IF(AND(F26=INT(F26),F26&gt;=1,F26&lt;=50,COUNTIF('Badge Lookup'!$A$6:$A$55,F26)=1),"OK","Check lookup"))</x:f>
        <x:v>OK</x:v>
      </x:c>
      <x:c r="Q26" s="456" t="n">
        <x:f>IF(P26&lt;&gt;"OK","",IF(C26="Guards",-O26,O26))</x:f>
        <x:v>39.93</x:v>
      </x:c>
      <x:c r="R26" s="362" t="str">
        <x:f>IF(P26&lt;&gt;"OK","Not scored",IF(C26="Guards","Damage received reduction","Damage increase"))</x:f>
        <x:v>Damage increase</x:v>
      </x:c>
    </x:row>
    <x:row r="27" ht="32" customHeight="1">
      <x:c r="A27" s="365" t="str">
        <x:v>K60</x:v>
      </x:c>
      <x:c r="B27" s="365" t="str">
        <x:v>Crixus</x:v>
      </x:c>
      <x:c r="C27" s="365" t="str">
        <x:v>Cavalry</x:v>
      </x:c>
      <x:c r="D27" s="365" t="str">
        <x:v>Royal banderium</x:v>
      </x:c>
      <x:c r="E27" s="365" t="str">
        <x:v>Horse archer</x:v>
      </x:c>
      <x:c r="F27" s="365" t="n">
        <x:v>44</x:v>
      </x:c>
      <x:c r="G27" s="365" t="str">
        <x:v>Mounted Archery</x:v>
      </x:c>
      <x:c r="H27" s="365" t="str">
        <x:v>Has a certain probability of causing fly-shooting damage</x:v>
      </x:c>
      <x:c r="I27" s="365" t="str">
        <x:v>Unlocked</x:v>
      </x:c>
      <x:c r="J27" s="365" t="str">
        <x:v>01:19.5</x:v>
      </x:c>
      <x:c r="K27" s="365"/>
      <x:c r="L27" s="365" t="str">
        <x:v>K60_SVID_20260828_001858_1.mp4</x:v>
      </x:c>
      <x:c r="M27" s="387" t="n">
        <x:f>IF(P27="OK",INDEX('Badge Lookup'!$B$6:$B$55,MATCH(F27,'Badge Lookup'!$A$6:$A$55,0)),0)</x:f>
        <x:v>480000</x:v>
      </x:c>
      <x:c r="N27" s="387" t="n">
        <x:f>IF(P27="OK",INDEX('Badge Lookup'!$C$6:$C$55,MATCH(F27,'Badge Lookup'!$A$6:$A$55,0)),0)</x:f>
        <x:v>3724300</x:v>
      </x:c>
      <x:c r="O27" s="388" t="n">
        <x:f>IF(P27="OK",INDEX('Badge Lookup'!$D$6:$D$55,MATCH(F27,'Badge Lookup'!$A$6:$A$55,0)),0)</x:f>
        <x:v>39.93</x:v>
      </x:c>
      <x:c r="P27" s="362" t="str">
        <x:f>IF(OR(G27="",F27=""),"Not scored",IF(AND(F27=INT(F27),F27&gt;=1,F27&lt;=50,COUNTIF('Badge Lookup'!$A$6:$A$55,F27)=1),"OK","Check lookup"))</x:f>
        <x:v>OK</x:v>
      </x:c>
      <x:c r="Q27" s="456" t="n">
        <x:f>IF(P27&lt;&gt;"OK","",IF(C27="Guards",-O27,O27))</x:f>
        <x:v>39.93</x:v>
      </x:c>
      <x:c r="R27" s="362" t="str">
        <x:f>IF(P27&lt;&gt;"OK","Not scored",IF(C27="Guards","Damage received reduction","Damage increase"))</x:f>
        <x:v>Damage increase</x:v>
      </x:c>
    </x:row>
    <x:row r="28" ht="32" customHeight="1">
      <x:c r="A28" s="365" t="str">
        <x:v>K60</x:v>
      </x:c>
      <x:c r="B28" s="365" t="str">
        <x:v>Ёжик</x:v>
      </x:c>
      <x:c r="C28" s="365" t="str">
        <x:v>Guards</x:v>
      </x:c>
      <x:c r="D28" s="365" t="str">
        <x:v>Destroyers</x:v>
      </x:c>
      <x:c r="E28" s="365" t="str">
        <x:v>Guard</x:v>
      </x:c>
      <x:c r="F28" s="365" t="n">
        <x:v>40</x:v>
      </x:c>
      <x:c r="G28" s="365" t="str">
        <x:v>Parry</x:v>
      </x:c>
      <x:c r="H28" s="365" t="str">
        <x:v>Provides a parry effect and a certain probability to increase damage</x:v>
      </x:c>
      <x:c r="I28" s="365" t="str">
        <x:v>Unlocked</x:v>
      </x:c>
      <x:c r="J28" s="365" t="str">
        <x:v>01:27.0</x:v>
      </x:c>
      <x:c r="K28" s="365"/>
      <x:c r="L28" s="365" t="str">
        <x:v>K60_SVID_20260828_001858_1.mp4</x:v>
      </x:c>
      <x:c r="M28" s="387" t="n">
        <x:f>IF(P28="OK",INDEX('Badge Lookup'!$B$6:$B$55,MATCH(F28,'Badge Lookup'!$A$6:$A$55,0)),0)</x:f>
        <x:v>240000</x:v>
      </x:c>
      <x:c r="N28" s="387" t="n">
        <x:f>IF(P28="OK",INDEX('Badge Lookup'!$C$6:$C$55,MATCH(F28,'Badge Lookup'!$A$6:$A$55,0)),0)</x:f>
        <x:v>2244300</x:v>
      </x:c>
      <x:c r="O28" s="388" t="n">
        <x:f>IF(P28="OK",INDEX('Badge Lookup'!$D$6:$D$55,MATCH(F28,'Badge Lookup'!$A$6:$A$55,0)),0)</x:f>
        <x:v>27.74</x:v>
      </x:c>
      <x:c r="P28" s="362" t="str">
        <x:f>IF(OR(G28="",F28=""),"Not scored",IF(AND(F28=INT(F28),F28&gt;=1,F28&lt;=50,COUNTIF('Badge Lookup'!$A$6:$A$55,F28)=1),"OK","Check lookup"))</x:f>
        <x:v>OK</x:v>
      </x:c>
      <x:c r="Q28" s="456" t="n">
        <x:f>IF(P28&lt;&gt;"OK","",IF(C28="Guards",-O28,O28))</x:f>
        <x:v>-27.74</x:v>
      </x:c>
      <x:c r="R28" s="362" t="str">
        <x:f>IF(P28&lt;&gt;"OK","Not scored",IF(C28="Guards","Damage received reduction","Damage increase"))</x:f>
        <x:v>Damage received reduction</x:v>
      </x:c>
    </x:row>
    <x:row r="29" ht="32" customHeight="1">
      <x:c r="A29" s="365" t="str">
        <x:v>K60</x:v>
      </x:c>
      <x:c r="B29" s="365" t="str">
        <x:v>Ёжик</x:v>
      </x:c>
      <x:c r="C29" s="365" t="str">
        <x:v>Archers</x:v>
      </x:c>
      <x:c r="D29" s="365" t="str">
        <x:v>Elite bowmen</x:v>
      </x:c>
      <x:c r="E29" s="365" t="str">
        <x:v>Archer</x:v>
      </x:c>
      <x:c r="F29" s="365" t="n">
        <x:v>40</x:v>
      </x:c>
      <x:c r="G29" s="365" t="str">
        <x:v>Frost Arrow</x:v>
      </x:c>
      <x:c r="H29" s="365" t="str">
        <x:v>Has a higher probability of activating ice damage</x:v>
      </x:c>
      <x:c r="I29" s="365" t="str">
        <x:v>Unlocked</x:v>
      </x:c>
      <x:c r="J29" s="365" t="str">
        <x:v>01:29.0</x:v>
      </x:c>
      <x:c r="K29" s="365"/>
      <x:c r="L29" s="365" t="str">
        <x:v>K60_SVID_20260828_001858_1.mp4</x:v>
      </x:c>
      <x:c r="M29" s="387" t="n">
        <x:f>IF(P29="OK",INDEX('Badge Lookup'!$B$6:$B$55,MATCH(F29,'Badge Lookup'!$A$6:$A$55,0)),0)</x:f>
        <x:v>240000</x:v>
      </x:c>
      <x:c r="N29" s="387" t="n">
        <x:f>IF(P29="OK",INDEX('Badge Lookup'!$C$6:$C$55,MATCH(F29,'Badge Lookup'!$A$6:$A$55,0)),0)</x:f>
        <x:v>2244300</x:v>
      </x:c>
      <x:c r="O29" s="388" t="n">
        <x:f>IF(P29="OK",INDEX('Badge Lookup'!$D$6:$D$55,MATCH(F29,'Badge Lookup'!$A$6:$A$55,0)),0)</x:f>
        <x:v>27.74</x:v>
      </x:c>
      <x:c r="P29" s="362" t="str">
        <x:f>IF(OR(G29="",F29=""),"Not scored",IF(AND(F29=INT(F29),F29&gt;=1,F29&lt;=50,COUNTIF('Badge Lookup'!$A$6:$A$55,F29)=1),"OK","Check lookup"))</x:f>
        <x:v>OK</x:v>
      </x:c>
      <x:c r="Q29" s="456" t="n">
        <x:f>IF(P29&lt;&gt;"OK","",IF(C29="Guards",-O29,O29))</x:f>
        <x:v>27.74</x:v>
      </x:c>
      <x:c r="R29" s="362" t="str">
        <x:f>IF(P29&lt;&gt;"OK","Not scored",IF(C29="Guards","Damage received reduction","Damage increase"))</x:f>
        <x:v>Damage increase</x:v>
      </x:c>
    </x:row>
    <x:row r="30" ht="32" customHeight="1">
      <x:c r="A30" s="365" t="str">
        <x:v>K60</x:v>
      </x:c>
      <x:c r="B30" s="365" t="str">
        <x:v>Ёжик</x:v>
      </x:c>
      <x:c r="C30" s="365" t="str">
        <x:v>Cavalry</x:v>
      </x:c>
      <x:c r="D30" s="365" t="str">
        <x:v>Eternal knights</x:v>
      </x:c>
      <x:c r="E30" s="365" t="str">
        <x:v>Heavy Cavalry</x:v>
      </x:c>
      <x:c r="F30" s="365" t="n">
        <x:v>45</x:v>
      </x:c>
      <x:c r="G30" s="365" t="str">
        <x:v>Thunder trample</x:v>
      </x:c>
      <x:c r="H30" s="365" t="str">
        <x:v>Has a certain probability of causing trampling damage</x:v>
      </x:c>
      <x:c r="I30" s="365" t="str">
        <x:v>Unlocked</x:v>
      </x:c>
      <x:c r="J30" s="365" t="str">
        <x:v>01:28.0</x:v>
      </x:c>
      <x:c r="K30" s="365"/>
      <x:c r="L30" s="365" t="str">
        <x:v>K60_SVID_20260828_001858_1.mp4</x:v>
      </x:c>
      <x:c r="M30" s="387" t="n">
        <x:f>IF(P30="OK",INDEX('Badge Lookup'!$B$6:$B$55,MATCH(F30,'Badge Lookup'!$A$6:$A$55,0)),0)</x:f>
        <x:v>560000</x:v>
      </x:c>
      <x:c r="N30" s="387" t="n">
        <x:f>IF(P30="OK",INDEX('Badge Lookup'!$C$6:$C$55,MATCH(F30,'Badge Lookup'!$A$6:$A$55,0)),0)</x:f>
        <x:v>4284300</x:v>
      </x:c>
      <x:c r="O30" s="388" t="n">
        <x:f>IF(P30="OK",INDEX('Badge Lookup'!$D$6:$D$55,MATCH(F30,'Badge Lookup'!$A$6:$A$55,0)),0)</x:f>
        <x:v>41.98</x:v>
      </x:c>
      <x:c r="P30" s="362" t="str">
        <x:f>IF(OR(G30="",F30=""),"Not scored",IF(AND(F30=INT(F30),F30&gt;=1,F30&lt;=50,COUNTIF('Badge Lookup'!$A$6:$A$55,F30)=1),"OK","Check lookup"))</x:f>
        <x:v>OK</x:v>
      </x:c>
      <x:c r="Q30" s="456" t="n">
        <x:f>IF(P30&lt;&gt;"OK","",IF(C30="Guards",-O30,O30))</x:f>
        <x:v>41.98</x:v>
      </x:c>
      <x:c r="R30" s="362" t="str">
        <x:f>IF(P30&lt;&gt;"OK","Not scored",IF(C30="Guards","Damage received reduction","Damage increase"))</x:f>
        <x:v>Damage increase</x:v>
      </x:c>
    </x:row>
    <x:row r="31" ht="32" customHeight="1">
      <x:c r="A31" s="365" t="str">
        <x:v>K60</x:v>
      </x:c>
      <x:c r="B31" s="365" t="str">
        <x:v>Ёжик</x:v>
      </x:c>
      <x:c r="C31" s="365" t="str">
        <x:v>Cavalry</x:v>
      </x:c>
      <x:c r="D31" s="365" t="str">
        <x:v>Storm cavalry</x:v>
      </x:c>
      <x:c r="E31" s="365" t="str">
        <x:v>Horse archer</x:v>
      </x:c>
      <x:c r="F31" s="365" t="n">
        <x:v>46</x:v>
      </x:c>
      <x:c r="G31" s="365" t="str">
        <x:v>Mounted Archery</x:v>
      </x:c>
      <x:c r="H31" s="365" t="str">
        <x:v>Has a certain probability of causing fly-shooting damage</x:v>
      </x:c>
      <x:c r="I31" s="365" t="str">
        <x:v>Unlocked</x:v>
      </x:c>
      <x:c r="J31" s="365" t="str">
        <x:v>01:29.5</x:v>
      </x:c>
      <x:c r="K31" s="365"/>
      <x:c r="L31" s="365" t="str">
        <x:v>K60_SVID_20260828_001858_1.mp4</x:v>
      </x:c>
      <x:c r="M31" s="387" t="n">
        <x:f>IF(P31="OK",INDEX('Badge Lookup'!$B$6:$B$55,MATCH(F31,'Badge Lookup'!$A$6:$A$55,0)),0)</x:f>
        <x:v>720000</x:v>
      </x:c>
      <x:c r="N31" s="387" t="n">
        <x:f>IF(P31="OK",INDEX('Badge Lookup'!$C$6:$C$55,MATCH(F31,'Badge Lookup'!$A$6:$A$55,0)),0)</x:f>
        <x:v>5004300</x:v>
      </x:c>
      <x:c r="O31" s="388" t="n">
        <x:f>IF(P31="OK",INDEX('Badge Lookup'!$D$6:$D$55,MATCH(F31,'Badge Lookup'!$A$6:$A$55,0)),0)</x:f>
        <x:v>45.13</x:v>
      </x:c>
      <x:c r="P31" s="362" t="str">
        <x:f>IF(OR(G31="",F31=""),"Not scored",IF(AND(F31=INT(F31),F31&gt;=1,F31&lt;=50,COUNTIF('Badge Lookup'!$A$6:$A$55,F31)=1),"OK","Check lookup"))</x:f>
        <x:v>OK</x:v>
      </x:c>
      <x:c r="Q31" s="456" t="n">
        <x:f>IF(P31&lt;&gt;"OK","",IF(C31="Guards",-O31,O31))</x:f>
        <x:v>45.13</x:v>
      </x:c>
      <x:c r="R31" s="362" t="str">
        <x:f>IF(P31&lt;&gt;"OK","Not scored",IF(C31="Guards","Damage received reduction","Damage increase"))</x:f>
        <x:v>Damage increase</x:v>
      </x:c>
    </x:row>
    <x:row r="32" ht="32" customHeight="1">
      <x:c r="A32" s="365" t="str">
        <x:v>K60</x:v>
      </x:c>
      <x:c r="B32" s="365" t="str">
        <x:v>༺۝Foxik۝༻</x:v>
      </x:c>
      <x:c r="C32" s="365" t="str">
        <x:v>Guards</x:v>
      </x:c>
      <x:c r="D32" s="365" t="str">
        <x:v>Destroyers</x:v>
      </x:c>
      <x:c r="E32" s="365" t="str">
        <x:v>Guard</x:v>
      </x:c>
      <x:c r="F32" s="365" t="n">
        <x:v>40</x:v>
      </x:c>
      <x:c r="G32" s="365" t="str">
        <x:v>Parry</x:v>
      </x:c>
      <x:c r="H32" s="365" t="str">
        <x:v>Provides a parry effect and a certain probability to increase damage</x:v>
      </x:c>
      <x:c r="I32" s="365" t="str">
        <x:v>Unlocked</x:v>
      </x:c>
      <x:c r="J32" s="365" t="str">
        <x:v>01:36.0</x:v>
      </x:c>
      <x:c r="K32" s="365"/>
      <x:c r="L32" s="365" t="str">
        <x:v>K60_SVID_20260828_001858_1.mp4</x:v>
      </x:c>
      <x:c r="M32" s="387" t="n">
        <x:f>IF(P32="OK",INDEX('Badge Lookup'!$B$6:$B$55,MATCH(F32,'Badge Lookup'!$A$6:$A$55,0)),0)</x:f>
        <x:v>240000</x:v>
      </x:c>
      <x:c r="N32" s="387" t="n">
        <x:f>IF(P32="OK",INDEX('Badge Lookup'!$C$6:$C$55,MATCH(F32,'Badge Lookup'!$A$6:$A$55,0)),0)</x:f>
        <x:v>2244300</x:v>
      </x:c>
      <x:c r="O32" s="388" t="n">
        <x:f>IF(P32="OK",INDEX('Badge Lookup'!$D$6:$D$55,MATCH(F32,'Badge Lookup'!$A$6:$A$55,0)),0)</x:f>
        <x:v>27.74</x:v>
      </x:c>
      <x:c r="P32" s="362" t="str">
        <x:f>IF(OR(G32="",F32=""),"Not scored",IF(AND(F32=INT(F32),F32&gt;=1,F32&lt;=50,COUNTIF('Badge Lookup'!$A$6:$A$55,F32)=1),"OK","Check lookup"))</x:f>
        <x:v>OK</x:v>
      </x:c>
      <x:c r="Q32" s="456" t="n">
        <x:f>IF(P32&lt;&gt;"OK","",IF(C32="Guards",-O32,O32))</x:f>
        <x:v>-27.74</x:v>
      </x:c>
      <x:c r="R32" s="362" t="str">
        <x:f>IF(P32&lt;&gt;"OK","Not scored",IF(C32="Guards","Damage received reduction","Damage increase"))</x:f>
        <x:v>Damage received reduction</x:v>
      </x:c>
    </x:row>
    <x:row r="33" ht="32" customHeight="1">
      <x:c r="A33" s="365" t="str">
        <x:v>K60</x:v>
      </x:c>
      <x:c r="B33" s="365" t="str">
        <x:v>༺۝Foxik۝༻</x:v>
      </x:c>
      <x:c r="C33" s="365" t="str">
        <x:v>Cavalry</x:v>
      </x:c>
      <x:c r="D33" s="365" t="str">
        <x:v>Eternal knights</x:v>
      </x:c>
      <x:c r="E33" s="365" t="str">
        <x:v>Heavy Cavalry</x:v>
      </x:c>
      <x:c r="F33" s="365" t="n">
        <x:v>44</x:v>
      </x:c>
      <x:c r="G33" s="365" t="str">
        <x:v>Thunder trample</x:v>
      </x:c>
      <x:c r="H33" s="365" t="str">
        <x:v>Has a certain probability of causing trampling damage</x:v>
      </x:c>
      <x:c r="I33" s="365" t="str">
        <x:v>Unlocked</x:v>
      </x:c>
      <x:c r="J33" s="365" t="str">
        <x:v>01:37.0</x:v>
      </x:c>
      <x:c r="K33" s="365"/>
      <x:c r="L33" s="365" t="str">
        <x:v>K60_SVID_20260828_001858_1.mp4</x:v>
      </x:c>
      <x:c r="M33" s="387" t="n">
        <x:f>IF(P33="OK",INDEX('Badge Lookup'!$B$6:$B$55,MATCH(F33,'Badge Lookup'!$A$6:$A$55,0)),0)</x:f>
        <x:v>480000</x:v>
      </x:c>
      <x:c r="N33" s="387" t="n">
        <x:f>IF(P33="OK",INDEX('Badge Lookup'!$C$6:$C$55,MATCH(F33,'Badge Lookup'!$A$6:$A$55,0)),0)</x:f>
        <x:v>3724300</x:v>
      </x:c>
      <x:c r="O33" s="388" t="n">
        <x:f>IF(P33="OK",INDEX('Badge Lookup'!$D$6:$D$55,MATCH(F33,'Badge Lookup'!$A$6:$A$55,0)),0)</x:f>
        <x:v>39.93</x:v>
      </x:c>
      <x:c r="P33" s="362" t="str">
        <x:f>IF(OR(G33="",F33=""),"Not scored",IF(AND(F33=INT(F33),F33&gt;=1,F33&lt;=50,COUNTIF('Badge Lookup'!$A$6:$A$55,F33)=1),"OK","Check lookup"))</x:f>
        <x:v>OK</x:v>
      </x:c>
      <x:c r="Q33" s="456" t="n">
        <x:f>IF(P33&lt;&gt;"OK","",IF(C33="Guards",-O33,O33))</x:f>
        <x:v>39.93</x:v>
      </x:c>
      <x:c r="R33" s="362" t="str">
        <x:f>IF(P33&lt;&gt;"OK","Not scored",IF(C33="Guards","Damage received reduction","Damage increase"))</x:f>
        <x:v>Damage increase</x:v>
      </x:c>
    </x:row>
    <x:row r="34" ht="32" customHeight="1">
      <x:c r="A34" s="365" t="str">
        <x:v>K60</x:v>
      </x:c>
      <x:c r="B34" s="365" t="str">
        <x:v>༺۝Foxik۝༻</x:v>
      </x:c>
      <x:c r="C34" s="365" t="str">
        <x:v>Cavalry</x:v>
      </x:c>
      <x:c r="D34" s="365" t="str">
        <x:v>Storm cavalry</x:v>
      </x:c>
      <x:c r="E34" s="365" t="str">
        <x:v>Horse archer</x:v>
      </x:c>
      <x:c r="F34" s="365" t="n">
        <x:v>45</x:v>
      </x:c>
      <x:c r="G34" s="365" t="str">
        <x:v>Mounted Archery</x:v>
      </x:c>
      <x:c r="H34" s="365" t="str">
        <x:v>Has a certain probability of causing fly-shooting damage</x:v>
      </x:c>
      <x:c r="I34" s="365" t="str">
        <x:v>Unlocked</x:v>
      </x:c>
      <x:c r="J34" s="365" t="str">
        <x:v>01:38.5</x:v>
      </x:c>
      <x:c r="K34" s="365"/>
      <x:c r="L34" s="365" t="str">
        <x:v>K60_SVID_20260828_001858_1.mp4</x:v>
      </x:c>
      <x:c r="M34" s="387" t="n">
        <x:f>IF(P34="OK",INDEX('Badge Lookup'!$B$6:$B$55,MATCH(F34,'Badge Lookup'!$A$6:$A$55,0)),0)</x:f>
        <x:v>560000</x:v>
      </x:c>
      <x:c r="N34" s="387" t="n">
        <x:f>IF(P34="OK",INDEX('Badge Lookup'!$C$6:$C$55,MATCH(F34,'Badge Lookup'!$A$6:$A$55,0)),0)</x:f>
        <x:v>4284300</x:v>
      </x:c>
      <x:c r="O34" s="388" t="n">
        <x:f>IF(P34="OK",INDEX('Badge Lookup'!$D$6:$D$55,MATCH(F34,'Badge Lookup'!$A$6:$A$55,0)),0)</x:f>
        <x:v>41.98</x:v>
      </x:c>
      <x:c r="P34" s="362" t="str">
        <x:f>IF(OR(G34="",F34=""),"Not scored",IF(AND(F34=INT(F34),F34&gt;=1,F34&lt;=50,COUNTIF('Badge Lookup'!$A$6:$A$55,F34)=1),"OK","Check lookup"))</x:f>
        <x:v>OK</x:v>
      </x:c>
      <x:c r="Q34" s="456" t="n">
        <x:f>IF(P34&lt;&gt;"OK","",IF(C34="Guards",-O34,O34))</x:f>
        <x:v>41.98</x:v>
      </x:c>
      <x:c r="R34" s="362" t="str">
        <x:f>IF(P34&lt;&gt;"OK","Not scored",IF(C34="Guards","Damage received reduction","Damage increase"))</x:f>
        <x:v>Damage increase</x:v>
      </x:c>
    </x:row>
    <x:row r="35" ht="32" customHeight="1">
      <x:c r="A35" s="365" t="str">
        <x:v>K60</x:v>
      </x:c>
      <x:c r="B35" s="365" t="str">
        <x:v>Houdini</x:v>
      </x:c>
      <x:c r="C35" s="365" t="str">
        <x:v>Archers</x:v>
      </x:c>
      <x:c r="D35" s="365" t="str">
        <x:v>Elite bowmen</x:v>
      </x:c>
      <x:c r="E35" s="365" t="str">
        <x:v>Archer</x:v>
      </x:c>
      <x:c r="F35" s="365" t="n">
        <x:v>42</x:v>
      </x:c>
      <x:c r="G35" s="365" t="str">
        <x:v>Frost Arrow</x:v>
      </x:c>
      <x:c r="H35" s="365" t="str">
        <x:v>Has a higher probability of activating ice damage</x:v>
      </x:c>
      <x:c r="I35" s="365" t="str">
        <x:v>Unlocked</x:v>
      </x:c>
      <x:c r="J35" s="365" t="str">
        <x:v>01:46.0</x:v>
      </x:c>
      <x:c r="K35" s="365"/>
      <x:c r="L35" s="365" t="str">
        <x:v>K60_SVID_20260828_001858_1.mp4</x:v>
      </x:c>
      <x:c r="M35" s="387" t="n">
        <x:f>IF(P35="OK",INDEX('Badge Lookup'!$B$6:$B$55,MATCH(F35,'Badge Lookup'!$A$6:$A$55,0)),0)</x:f>
        <x:v>320000</x:v>
      </x:c>
      <x:c r="N35" s="387" t="n">
        <x:f>IF(P35="OK",INDEX('Badge Lookup'!$C$6:$C$55,MATCH(F35,'Badge Lookup'!$A$6:$A$55,0)),0)</x:f>
        <x:v>2844300</x:v>
      </x:c>
      <x:c r="O35" s="388" t="n">
        <x:f>IF(P35="OK",INDEX('Badge Lookup'!$D$6:$D$55,MATCH(F35,'Badge Lookup'!$A$6:$A$55,0)),0)</x:f>
        <x:v>33.13</x:v>
      </x:c>
      <x:c r="P35" s="362" t="str">
        <x:f>IF(OR(G35="",F35=""),"Not scored",IF(AND(F35=INT(F35),F35&gt;=1,F35&lt;=50,COUNTIF('Badge Lookup'!$A$6:$A$55,F35)=1),"OK","Check lookup"))</x:f>
        <x:v>OK</x:v>
      </x:c>
      <x:c r="Q35" s="456" t="n">
        <x:f>IF(P35&lt;&gt;"OK","",IF(C35="Guards",-O35,O35))</x:f>
        <x:v>33.13</x:v>
      </x:c>
      <x:c r="R35" s="362" t="str">
        <x:f>IF(P35&lt;&gt;"OK","Not scored",IF(C35="Guards","Damage received reduction","Damage increase"))</x:f>
        <x:v>Damage increase</x:v>
      </x:c>
    </x:row>
    <x:row r="36" ht="32" customHeight="1">
      <x:c r="A36" s="365" t="str">
        <x:v>K60</x:v>
      </x:c>
      <x:c r="B36" s="365" t="str">
        <x:v>Houdini</x:v>
      </x:c>
      <x:c r="C36" s="365" t="str">
        <x:v>Cavalry</x:v>
      </x:c>
      <x:c r="D36" s="365" t="str">
        <x:v>Eternal knights</x:v>
      </x:c>
      <x:c r="E36" s="365" t="str">
        <x:v>Heavy Cavalry</x:v>
      </x:c>
      <x:c r="F36" s="365" t="n">
        <x:v>46</x:v>
      </x:c>
      <x:c r="G36" s="365" t="str">
        <x:v>Thunder trample</x:v>
      </x:c>
      <x:c r="H36" s="365" t="str">
        <x:v>Has a certain probability of causing trampling damage</x:v>
      </x:c>
      <x:c r="I36" s="365" t="str">
        <x:v>Unlocked</x:v>
      </x:c>
      <x:c r="J36" s="365" t="str">
        <x:v>01:45.0</x:v>
      </x:c>
      <x:c r="K36" s="365"/>
      <x:c r="L36" s="365" t="str">
        <x:v>K60_SVID_20260828_001858_1.mp4</x:v>
      </x:c>
      <x:c r="M36" s="387" t="n">
        <x:f>IF(P36="OK",INDEX('Badge Lookup'!$B$6:$B$55,MATCH(F36,'Badge Lookup'!$A$6:$A$55,0)),0)</x:f>
        <x:v>720000</x:v>
      </x:c>
      <x:c r="N36" s="387" t="n">
        <x:f>IF(P36="OK",INDEX('Badge Lookup'!$C$6:$C$55,MATCH(F36,'Badge Lookup'!$A$6:$A$55,0)),0)</x:f>
        <x:v>5004300</x:v>
      </x:c>
      <x:c r="O36" s="388" t="n">
        <x:f>IF(P36="OK",INDEX('Badge Lookup'!$D$6:$D$55,MATCH(F36,'Badge Lookup'!$A$6:$A$55,0)),0)</x:f>
        <x:v>45.13</x:v>
      </x:c>
      <x:c r="P36" s="362" t="str">
        <x:f>IF(OR(G36="",F36=""),"Not scored",IF(AND(F36=INT(F36),F36&gt;=1,F36&lt;=50,COUNTIF('Badge Lookup'!$A$6:$A$55,F36)=1),"OK","Check lookup"))</x:f>
        <x:v>OK</x:v>
      </x:c>
      <x:c r="Q36" s="456" t="n">
        <x:f>IF(P36&lt;&gt;"OK","",IF(C36="Guards",-O36,O36))</x:f>
        <x:v>45.13</x:v>
      </x:c>
      <x:c r="R36" s="362" t="str">
        <x:f>IF(P36&lt;&gt;"OK","Not scored",IF(C36="Guards","Damage received reduction","Damage increase"))</x:f>
        <x:v>Damage increase</x:v>
      </x:c>
    </x:row>
    <x:row r="37" ht="32" customHeight="1">
      <x:c r="A37" s="365" t="str">
        <x:v>K60</x:v>
      </x:c>
      <x:c r="B37" s="365" t="str">
        <x:v>Houdini</x:v>
      </x:c>
      <x:c r="C37" s="365" t="str">
        <x:v>Cavalry</x:v>
      </x:c>
      <x:c r="D37" s="365" t="str">
        <x:v>Storm cavalry</x:v>
      </x:c>
      <x:c r="E37" s="365" t="str">
        <x:v>Horse archer</x:v>
      </x:c>
      <x:c r="F37" s="365" t="n">
        <x:v>46</x:v>
      </x:c>
      <x:c r="G37" s="365" t="str">
        <x:v>Mounted Archery</x:v>
      </x:c>
      <x:c r="H37" s="365" t="str">
        <x:v>Has a certain probability of causing fly-shooting damage</x:v>
      </x:c>
      <x:c r="I37" s="365" t="str">
        <x:v>Unlocked</x:v>
      </x:c>
      <x:c r="J37" s="365" t="str">
        <x:v>01:46.5</x:v>
      </x:c>
      <x:c r="K37" s="365"/>
      <x:c r="L37" s="365" t="str">
        <x:v>K60_SVID_20260828_001858_1.mp4</x:v>
      </x:c>
      <x:c r="M37" s="387" t="n">
        <x:f>IF(P37="OK",INDEX('Badge Lookup'!$B$6:$B$55,MATCH(F37,'Badge Lookup'!$A$6:$A$55,0)),0)</x:f>
        <x:v>720000</x:v>
      </x:c>
      <x:c r="N37" s="387" t="n">
        <x:f>IF(P37="OK",INDEX('Badge Lookup'!$C$6:$C$55,MATCH(F37,'Badge Lookup'!$A$6:$A$55,0)),0)</x:f>
        <x:v>5004300</x:v>
      </x:c>
      <x:c r="O37" s="388" t="n">
        <x:f>IF(P37="OK",INDEX('Badge Lookup'!$D$6:$D$55,MATCH(F37,'Badge Lookup'!$A$6:$A$55,0)),0)</x:f>
        <x:v>45.13</x:v>
      </x:c>
      <x:c r="P37" s="362" t="str">
        <x:f>IF(OR(G37="",F37=""),"Not scored",IF(AND(F37=INT(F37),F37&gt;=1,F37&lt;=50,COUNTIF('Badge Lookup'!$A$6:$A$55,F37)=1),"OK","Check lookup"))</x:f>
        <x:v>OK</x:v>
      </x:c>
      <x:c r="Q37" s="456" t="n">
        <x:f>IF(P37&lt;&gt;"OK","",IF(C37="Guards",-O37,O37))</x:f>
        <x:v>45.13</x:v>
      </x:c>
      <x:c r="R37" s="362" t="str">
        <x:f>IF(P37&lt;&gt;"OK","Not scored",IF(C37="Guards","Damage received reduction","Damage increase"))</x:f>
        <x:v>Damage increase</x:v>
      </x:c>
    </x:row>
    <x:row r="38" ht="32" customHeight="1">
      <x:c r="A38" s="365" t="str">
        <x:v>K60</x:v>
      </x:c>
      <x:c r="B38" s="365" t="str">
        <x:v>Дерог</x:v>
      </x:c>
      <x:c r="C38" s="365" t="str">
        <x:v>Guards</x:v>
      </x:c>
      <x:c r="D38" s="365" t="str">
        <x:v>Destroyers</x:v>
      </x:c>
      <x:c r="E38" s="365" t="str">
        <x:v>Guard</x:v>
      </x:c>
      <x:c r="F38" s="365" t="n">
        <x:v>40</x:v>
      </x:c>
      <x:c r="G38" s="365" t="str">
        <x:v>Parry</x:v>
      </x:c>
      <x:c r="H38" s="365" t="str">
        <x:v>Provides a parry effect and a certain probability to increase damage</x:v>
      </x:c>
      <x:c r="I38" s="365" t="str">
        <x:v>Unlocked</x:v>
      </x:c>
      <x:c r="J38" s="365" t="str">
        <x:v>01:52.5</x:v>
      </x:c>
      <x:c r="K38" s="365"/>
      <x:c r="L38" s="365" t="str">
        <x:v>K60_SVID_20260828_001858_1.mp4</x:v>
      </x:c>
      <x:c r="M38" s="387" t="n">
        <x:f>IF(P38="OK",INDEX('Badge Lookup'!$B$6:$B$55,MATCH(F38,'Badge Lookup'!$A$6:$A$55,0)),0)</x:f>
        <x:v>240000</x:v>
      </x:c>
      <x:c r="N38" s="387" t="n">
        <x:f>IF(P38="OK",INDEX('Badge Lookup'!$C$6:$C$55,MATCH(F38,'Badge Lookup'!$A$6:$A$55,0)),0)</x:f>
        <x:v>2244300</x:v>
      </x:c>
      <x:c r="O38" s="388" t="n">
        <x:f>IF(P38="OK",INDEX('Badge Lookup'!$D$6:$D$55,MATCH(F38,'Badge Lookup'!$A$6:$A$55,0)),0)</x:f>
        <x:v>27.74</x:v>
      </x:c>
      <x:c r="P38" s="362" t="str">
        <x:f>IF(OR(G38="",F38=""),"Not scored",IF(AND(F38=INT(F38),F38&gt;=1,F38&lt;=50,COUNTIF('Badge Lookup'!$A$6:$A$55,F38)=1),"OK","Check lookup"))</x:f>
        <x:v>OK</x:v>
      </x:c>
      <x:c r="Q38" s="456" t="n">
        <x:f>IF(P38&lt;&gt;"OK","",IF(C38="Guards",-O38,O38))</x:f>
        <x:v>-27.74</x:v>
      </x:c>
      <x:c r="R38" s="362" t="str">
        <x:f>IF(P38&lt;&gt;"OK","Not scored",IF(C38="Guards","Damage received reduction","Damage increase"))</x:f>
        <x:v>Damage received reduction</x:v>
      </x:c>
    </x:row>
    <x:row r="39" ht="32" customHeight="1">
      <x:c r="A39" s="365" t="str">
        <x:v>K60</x:v>
      </x:c>
      <x:c r="B39" s="365" t="str">
        <x:v>Дерог</x:v>
      </x:c>
      <x:c r="C39" s="365" t="str">
        <x:v>Archers</x:v>
      </x:c>
      <x:c r="D39" s="365" t="str">
        <x:v>Elite bowmen</x:v>
      </x:c>
      <x:c r="E39" s="365" t="str">
        <x:v>Archer</x:v>
      </x:c>
      <x:c r="F39" s="365" t="n">
        <x:v>40</x:v>
      </x:c>
      <x:c r="G39" s="365" t="str">
        <x:v>Frost Arrow</x:v>
      </x:c>
      <x:c r="H39" s="365" t="str">
        <x:v>Has a higher probability of activating ice damage</x:v>
      </x:c>
      <x:c r="I39" s="365" t="str">
        <x:v>Unlocked</x:v>
      </x:c>
      <x:c r="J39" s="365" t="str">
        <x:v>01:56.0</x:v>
      </x:c>
      <x:c r="K39" s="365"/>
      <x:c r="L39" s="365" t="str">
        <x:v>K60_SVID_20260828_001858_1.mp4</x:v>
      </x:c>
      <x:c r="M39" s="387" t="n">
        <x:f>IF(P39="OK",INDEX('Badge Lookup'!$B$6:$B$55,MATCH(F39,'Badge Lookup'!$A$6:$A$55,0)),0)</x:f>
        <x:v>240000</x:v>
      </x:c>
      <x:c r="N39" s="387" t="n">
        <x:f>IF(P39="OK",INDEX('Badge Lookup'!$C$6:$C$55,MATCH(F39,'Badge Lookup'!$A$6:$A$55,0)),0)</x:f>
        <x:v>2244300</x:v>
      </x:c>
      <x:c r="O39" s="388" t="n">
        <x:f>IF(P39="OK",INDEX('Badge Lookup'!$D$6:$D$55,MATCH(F39,'Badge Lookup'!$A$6:$A$55,0)),0)</x:f>
        <x:v>27.74</x:v>
      </x:c>
      <x:c r="P39" s="362" t="str">
        <x:f>IF(OR(G39="",F39=""),"Not scored",IF(AND(F39=INT(F39),F39&gt;=1,F39&lt;=50,COUNTIF('Badge Lookup'!$A$6:$A$55,F39)=1),"OK","Check lookup"))</x:f>
        <x:v>OK</x:v>
      </x:c>
      <x:c r="Q39" s="456" t="n">
        <x:f>IF(P39&lt;&gt;"OK","",IF(C39="Guards",-O39,O39))</x:f>
        <x:v>27.74</x:v>
      </x:c>
      <x:c r="R39" s="362" t="str">
        <x:f>IF(P39&lt;&gt;"OK","Not scored",IF(C39="Guards","Damage received reduction","Damage increase"))</x:f>
        <x:v>Damage increase</x:v>
      </x:c>
    </x:row>
    <x:row r="40" ht="32" customHeight="1">
      <x:c r="A40" s="365" t="str">
        <x:v>K60</x:v>
      </x:c>
      <x:c r="B40" s="365" t="str">
        <x:v>Дерог</x:v>
      </x:c>
      <x:c r="C40" s="365" t="str">
        <x:v>Cavalry</x:v>
      </x:c>
      <x:c r="D40" s="365" t="str">
        <x:v>Eternal knights</x:v>
      </x:c>
      <x:c r="E40" s="365" t="str">
        <x:v>Heavy Cavalry</x:v>
      </x:c>
      <x:c r="F40" s="365" t="n">
        <x:v>46</x:v>
      </x:c>
      <x:c r="G40" s="365" t="str">
        <x:v>Thunder trample</x:v>
      </x:c>
      <x:c r="H40" s="365" t="str">
        <x:v>Has a certain probability of causing trampling damage</x:v>
      </x:c>
      <x:c r="I40" s="365" t="str">
        <x:v>Unlocked</x:v>
      </x:c>
      <x:c r="J40" s="365" t="str">
        <x:v>01:54.5</x:v>
      </x:c>
      <x:c r="K40" s="365"/>
      <x:c r="L40" s="365" t="str">
        <x:v>K60_SVID_20260828_001858_1.mp4</x:v>
      </x:c>
      <x:c r="M40" s="387" t="n">
        <x:f>IF(P40="OK",INDEX('Badge Lookup'!$B$6:$B$55,MATCH(F40,'Badge Lookup'!$A$6:$A$55,0)),0)</x:f>
        <x:v>720000</x:v>
      </x:c>
      <x:c r="N40" s="387" t="n">
        <x:f>IF(P40="OK",INDEX('Badge Lookup'!$C$6:$C$55,MATCH(F40,'Badge Lookup'!$A$6:$A$55,0)),0)</x:f>
        <x:v>5004300</x:v>
      </x:c>
      <x:c r="O40" s="388" t="n">
        <x:f>IF(P40="OK",INDEX('Badge Lookup'!$D$6:$D$55,MATCH(F40,'Badge Lookup'!$A$6:$A$55,0)),0)</x:f>
        <x:v>45.13</x:v>
      </x:c>
      <x:c r="P40" s="362" t="str">
        <x:f>IF(OR(G40="",F40=""),"Not scored",IF(AND(F40=INT(F40),F40&gt;=1,F40&lt;=50,COUNTIF('Badge Lookup'!$A$6:$A$55,F40)=1),"OK","Check lookup"))</x:f>
        <x:v>OK</x:v>
      </x:c>
      <x:c r="Q40" s="456" t="n">
        <x:f>IF(P40&lt;&gt;"OK","",IF(C40="Guards",-O40,O40))</x:f>
        <x:v>45.13</x:v>
      </x:c>
      <x:c r="R40" s="362" t="str">
        <x:f>IF(P40&lt;&gt;"OK","Not scored",IF(C40="Guards","Damage received reduction","Damage increase"))</x:f>
        <x:v>Damage increase</x:v>
      </x:c>
    </x:row>
    <x:row r="41" ht="32" customHeight="1">
      <x:c r="A41" s="365" t="str">
        <x:v>K60</x:v>
      </x:c>
      <x:c r="B41" s="365" t="str">
        <x:v>Дерог</x:v>
      </x:c>
      <x:c r="C41" s="365" t="str">
        <x:v>Cavalry</x:v>
      </x:c>
      <x:c r="D41" s="365" t="str">
        <x:v>Storm cavalry</x:v>
      </x:c>
      <x:c r="E41" s="365" t="str">
        <x:v>Horse archer</x:v>
      </x:c>
      <x:c r="F41" s="365" t="n">
        <x:v>48</x:v>
      </x:c>
      <x:c r="G41" s="365" t="str">
        <x:v>Mounted Archery</x:v>
      </x:c>
      <x:c r="H41" s="365" t="str">
        <x:v>Has a certain probability of causing fly-shooting damage</x:v>
      </x:c>
      <x:c r="I41" s="365" t="str">
        <x:v>Unlocked</x:v>
      </x:c>
      <x:c r="J41" s="365" t="str">
        <x:v>01:57.5</x:v>
      </x:c>
      <x:c r="K41" s="365"/>
      <x:c r="L41" s="365" t="str">
        <x:v>K60_SVID_20260828_001858_1.mp4</x:v>
      </x:c>
      <x:c r="M41" s="387" t="n">
        <x:f>IF(P41="OK",INDEX('Badge Lookup'!$B$6:$B$55,MATCH(F41,'Badge Lookup'!$A$6:$A$55,0)),0)</x:f>
        <x:v>1050000</x:v>
      </x:c>
      <x:c r="N41" s="387" t="n">
        <x:f>IF(P41="OK",INDEX('Badge Lookup'!$C$6:$C$55,MATCH(F41,'Badge Lookup'!$A$6:$A$55,0)),0)</x:f>
        <x:v>6934300</x:v>
      </x:c>
      <x:c r="O41" s="388" t="n">
        <x:f>IF(P41="OK",INDEX('Badge Lookup'!$D$6:$D$55,MATCH(F41,'Badge Lookup'!$A$6:$A$55,0)),0)</x:f>
        <x:v>51.74</x:v>
      </x:c>
      <x:c r="P41" s="362" t="str">
        <x:f>IF(OR(G41="",F41=""),"Not scored",IF(AND(F41=INT(F41),F41&gt;=1,F41&lt;=50,COUNTIF('Badge Lookup'!$A$6:$A$55,F41)=1),"OK","Check lookup"))</x:f>
        <x:v>OK</x:v>
      </x:c>
      <x:c r="Q41" s="456" t="n">
        <x:f>IF(P41&lt;&gt;"OK","",IF(C41="Guards",-O41,O41))</x:f>
        <x:v>51.74</x:v>
      </x:c>
      <x:c r="R41" s="362" t="str">
        <x:f>IF(P41&lt;&gt;"OK","Not scored",IF(C41="Guards","Damage received reduction","Damage increase"))</x:f>
        <x:v>Damage increase</x:v>
      </x:c>
    </x:row>
    <x:row r="42" ht="32" customHeight="1">
      <x:c r="A42" s="365" t="str">
        <x:v>K60</x:v>
      </x:c>
      <x:c r="B42" s="365" t="str">
        <x:v>Дерог</x:v>
      </x:c>
      <x:c r="C42" s="365" t="str">
        <x:v>Siege</x:v>
      </x:c>
      <x:c r="D42" s="365" t="str">
        <x:v>Manglers</x:v>
      </x:c>
      <x:c r="E42" s="365" t="str">
        <x:v>Siege</x:v>
      </x:c>
      <x:c r="F42" s="365" t="n">
        <x:v>46</x:v>
      </x:c>
      <x:c r="G42" s="365" t="str">
        <x:v>Highly toxic</x:v>
      </x:c>
      <x:c r="H42" s="365" t="str">
        <x:v>Inflict continuous toxic damage</x:v>
      </x:c>
      <x:c r="I42" s="365" t="str">
        <x:v>Unlocked</x:v>
      </x:c>
      <x:c r="J42" s="365" t="str">
        <x:v>01:55.0</x:v>
      </x:c>
      <x:c r="K42" s="365"/>
      <x:c r="L42" s="365" t="str">
        <x:v>K60_SVID_20260828_001858_1.mp4</x:v>
      </x:c>
      <x:c r="M42" s="387" t="n">
        <x:f>IF(P42="OK",INDEX('Badge Lookup'!$B$6:$B$55,MATCH(F42,'Badge Lookup'!$A$6:$A$55,0)),0)</x:f>
        <x:v>720000</x:v>
      </x:c>
      <x:c r="N42" s="387" t="n">
        <x:f>IF(P42="OK",INDEX('Badge Lookup'!$C$6:$C$55,MATCH(F42,'Badge Lookup'!$A$6:$A$55,0)),0)</x:f>
        <x:v>5004300</x:v>
      </x:c>
      <x:c r="O42" s="388" t="n">
        <x:f>IF(P42="OK",INDEX('Badge Lookup'!$D$6:$D$55,MATCH(F42,'Badge Lookup'!$A$6:$A$55,0)),0)</x:f>
        <x:v>45.13</x:v>
      </x:c>
      <x:c r="P42" s="362" t="str">
        <x:f>IF(OR(G42="",F42=""),"Not scored",IF(AND(F42=INT(F42),F42&gt;=1,F42&lt;=50,COUNTIF('Badge Lookup'!$A$6:$A$55,F42)=1),"OK","Check lookup"))</x:f>
        <x:v>OK</x:v>
      </x:c>
      <x:c r="Q42" s="456" t="n">
        <x:f>IF(P42&lt;&gt;"OK","",IF(C42="Guards",-O42,O42))</x:f>
        <x:v>45.13</x:v>
      </x:c>
      <x:c r="R42" s="362" t="str">
        <x:f>IF(P42&lt;&gt;"OK","Not scored",IF(C42="Guards","Damage received reduction","Damage increase"))</x:f>
        <x:v>Damage increase</x:v>
      </x:c>
    </x:row>
    <x:row r="43" ht="32" customHeight="1">
      <x:c r="A43" s="365" t="str">
        <x:v>K60</x:v>
      </x:c>
      <x:c r="B43" s="365" t="str">
        <x:v>Дерог</x:v>
      </x:c>
      <x:c r="C43" s="365" t="str">
        <x:v>Siege</x:v>
      </x:c>
      <x:c r="D43" s="365" t="str">
        <x:v>Guardian siege</x:v>
      </x:c>
      <x:c r="E43" s="365" t="str">
        <x:v>Rams</x:v>
      </x:c>
      <x:c r="F43" s="365" t="n">
        <x:v>27</x:v>
      </x:c>
      <x:c r="G43" s="365" t="str">
        <x:v>Dragonhide</x:v>
      </x:c>
      <x:c r="H43" s="365" t="str">
        <x:v>Increase damage reduction and increase damage</x:v>
      </x:c>
      <x:c r="I43" s="365" t="str">
        <x:v>Unlocked</x:v>
      </x:c>
      <x:c r="J43" s="365" t="str">
        <x:v>01:58.0</x:v>
      </x:c>
      <x:c r="K43" s="365"/>
      <x:c r="L43" s="365" t="str">
        <x:v>K60_SVID_20260828_001858_1.mp4</x:v>
      </x:c>
      <x:c r="M43" s="387" t="n">
        <x:f>IF(P43="OK",INDEX('Badge Lookup'!$B$6:$B$55,MATCH(F43,'Badge Lookup'!$A$6:$A$55,0)),0)</x:f>
        <x:v>65000</x:v>
      </x:c>
      <x:c r="N43" s="387" t="n">
        <x:f>IF(P43="OK",INDEX('Badge Lookup'!$C$6:$C$55,MATCH(F43,'Badge Lookup'!$A$6:$A$55,0)),0)</x:f>
        <x:v>549300</x:v>
      </x:c>
      <x:c r="O43" s="388" t="n">
        <x:f>IF(P43="OK",INDEX('Badge Lookup'!$D$6:$D$55,MATCH(F43,'Badge Lookup'!$A$6:$A$55,0)),0)</x:f>
        <x:v>7.51</x:v>
      </x:c>
      <x:c r="P43" s="362" t="str">
        <x:f>IF(OR(G43="",F43=""),"Not scored",IF(AND(F43=INT(F43),F43&gt;=1,F43&lt;=50,COUNTIF('Badge Lookup'!$A$6:$A$55,F43)=1),"OK","Check lookup"))</x:f>
        <x:v>OK</x:v>
      </x:c>
      <x:c r="Q43" s="456" t="n">
        <x:f>IF(P43&lt;&gt;"OK","",IF(C43="Guards",-O43,O43))</x:f>
        <x:v>7.51</x:v>
      </x:c>
      <x:c r="R43" s="362" t="str">
        <x:f>IF(P43&lt;&gt;"OK","Not scored",IF(C43="Guards","Damage received reduction","Damage increase"))</x:f>
        <x:v>Damage increase</x:v>
      </x:c>
    </x:row>
    <x:row r="44" ht="32" customHeight="1">
      <x:c r="A44" s="365" t="str">
        <x:v>K60</x:v>
      </x:c>
      <x:c r="B44" s="365" t="str">
        <x:v>#11 元气满满 (122,000)</x:v>
      </x:c>
      <x:c r="C44" s="365" t="str">
        <x:v>Guards</x:v>
      </x:c>
      <x:c r="D44" s="365" t="str">
        <x:v>Destroyers</x:v>
      </x:c>
      <x:c r="E44" s="365" t="str">
        <x:v>Guard</x:v>
      </x:c>
      <x:c r="F44" s="365" t="n">
        <x:v>44</x:v>
      </x:c>
      <x:c r="G44" s="365" t="str">
        <x:v>Parry</x:v>
      </x:c>
      <x:c r="H44" s="365" t="str">
        <x:v>Provides a parry effect and a certain probability to increase damage</x:v>
      </x:c>
      <x:c r="I44" s="365" t="str">
        <x:v>Unlocked</x:v>
      </x:c>
      <x:c r="J44" s="365" t="str">
        <x:v>02:08.5</x:v>
      </x:c>
      <x:c r="K44" s="365"/>
      <x:c r="L44" s="365" t="str">
        <x:v>K60_SVID_20260828_001858_1.mp4</x:v>
      </x:c>
      <x:c r="M44" s="387" t="n">
        <x:f>IF(P44="OK",INDEX('Badge Lookup'!$B$6:$B$55,MATCH(F44,'Badge Lookup'!$A$6:$A$55,0)),0)</x:f>
        <x:v>480000</x:v>
      </x:c>
      <x:c r="N44" s="387" t="n">
        <x:f>IF(P44="OK",INDEX('Badge Lookup'!$C$6:$C$55,MATCH(F44,'Badge Lookup'!$A$6:$A$55,0)),0)</x:f>
        <x:v>3724300</x:v>
      </x:c>
      <x:c r="O44" s="388" t="n">
        <x:f>IF(P44="OK",INDEX('Badge Lookup'!$D$6:$D$55,MATCH(F44,'Badge Lookup'!$A$6:$A$55,0)),0)</x:f>
        <x:v>39.93</x:v>
      </x:c>
      <x:c r="P44" s="362" t="str">
        <x:f>IF(OR(G44="",F44=""),"Not scored",IF(AND(F44=INT(F44),F44&gt;=1,F44&lt;=50,COUNTIF('Badge Lookup'!$A$6:$A$55,F44)=1),"OK","Check lookup"))</x:f>
        <x:v>OK</x:v>
      </x:c>
      <x:c r="Q44" s="456" t="n">
        <x:f>IF(P44&lt;&gt;"OK","",IF(C44="Guards",-O44,O44))</x:f>
        <x:v>-39.93</x:v>
      </x:c>
      <x:c r="R44" s="362" t="str">
        <x:f>IF(P44&lt;&gt;"OK","Not scored",IF(C44="Guards","Damage received reduction","Damage increase"))</x:f>
        <x:v>Damage received reduction</x:v>
      </x:c>
    </x:row>
    <x:row r="45" ht="32" customHeight="1">
      <x:c r="A45" s="365" t="str">
        <x:v>K60</x:v>
      </x:c>
      <x:c r="B45" s="365" t="str">
        <x:v>#11 元气满满 (122,000)</x:v>
      </x:c>
      <x:c r="C45" s="365" t="str">
        <x:v>Archers</x:v>
      </x:c>
      <x:c r="D45" s="365" t="str">
        <x:v>Marksmen</x:v>
      </x:c>
      <x:c r="E45" s="365" t="str">
        <x:v>Archer</x:v>
      </x:c>
      <x:c r="F45" s="365" t="n">
        <x:v>48</x:v>
      </x:c>
      <x:c r="G45" s="365" t="str">
        <x:v>Frost Arrow</x:v>
      </x:c>
      <x:c r="H45" s="365" t="str">
        <x:v>Has a higher probability of activating ice damage</x:v>
      </x:c>
      <x:c r="I45" s="365" t="str">
        <x:v>Unlocked</x:v>
      </x:c>
      <x:c r="J45" s="365" t="str">
        <x:v>02:11.0</x:v>
      </x:c>
      <x:c r="K45" s="365"/>
      <x:c r="L45" s="365" t="str">
        <x:v>K60_SVID_20260828_001858_1.mp4</x:v>
      </x:c>
      <x:c r="M45" s="387" t="n">
        <x:f>IF(P45="OK",INDEX('Badge Lookup'!$B$6:$B$55,MATCH(F45,'Badge Lookup'!$A$6:$A$55,0)),0)</x:f>
        <x:v>1050000</x:v>
      </x:c>
      <x:c r="N45" s="387" t="n">
        <x:f>IF(P45="OK",INDEX('Badge Lookup'!$C$6:$C$55,MATCH(F45,'Badge Lookup'!$A$6:$A$55,0)),0)</x:f>
        <x:v>6934300</x:v>
      </x:c>
      <x:c r="O45" s="388" t="n">
        <x:f>IF(P45="OK",INDEX('Badge Lookup'!$D$6:$D$55,MATCH(F45,'Badge Lookup'!$A$6:$A$55,0)),0)</x:f>
        <x:v>51.74</x:v>
      </x:c>
      <x:c r="P45" s="362" t="str">
        <x:f>IF(OR(G45="",F45=""),"Not scored",IF(AND(F45=INT(F45),F45&gt;=1,F45&lt;=50,COUNTIF('Badge Lookup'!$A$6:$A$55,F45)=1),"OK","Check lookup"))</x:f>
        <x:v>OK</x:v>
      </x:c>
      <x:c r="Q45" s="456" t="n">
        <x:f>IF(P45&lt;&gt;"OK","",IF(C45="Guards",-O45,O45))</x:f>
        <x:v>51.74</x:v>
      </x:c>
      <x:c r="R45" s="362" t="str">
        <x:f>IF(P45&lt;&gt;"OK","Not scored",IF(C45="Guards","Damage received reduction","Damage increase"))</x:f>
        <x:v>Damage increase</x:v>
      </x:c>
    </x:row>
    <x:row r="46" ht="32" customHeight="1">
      <x:c r="A46" s="365" t="str">
        <x:v>K60</x:v>
      </x:c>
      <x:c r="B46" s="365" t="str">
        <x:v>#11 元气满满 (122,000)</x:v>
      </x:c>
      <x:c r="C46" s="365" t="str">
        <x:v>Cavalry</x:v>
      </x:c>
      <x:c r="D46" s="365" t="str">
        <x:v>Storm cavalry</x:v>
      </x:c>
      <x:c r="E46" s="365" t="str">
        <x:v>Horse archer</x:v>
      </x:c>
      <x:c r="F46" s="365" t="n">
        <x:v>40</x:v>
      </x:c>
      <x:c r="G46" s="365" t="str">
        <x:v>Mounted Archery</x:v>
      </x:c>
      <x:c r="H46" s="365" t="str">
        <x:v>Has a certain probability of causing fly-shooting damage</x:v>
      </x:c>
      <x:c r="I46" s="365" t="str">
        <x:v>Unlocked</x:v>
      </x:c>
      <x:c r="J46" s="365" t="str">
        <x:v>02:10.5</x:v>
      </x:c>
      <x:c r="K46" s="365"/>
      <x:c r="L46" s="365" t="str">
        <x:v>K60_SVID_20260828_001858_1.mp4</x:v>
      </x:c>
      <x:c r="M46" s="387" t="n">
        <x:f>IF(P46="OK",INDEX('Badge Lookup'!$B$6:$B$55,MATCH(F46,'Badge Lookup'!$A$6:$A$55,0)),0)</x:f>
        <x:v>240000</x:v>
      </x:c>
      <x:c r="N46" s="387" t="n">
        <x:f>IF(P46="OK",INDEX('Badge Lookup'!$C$6:$C$55,MATCH(F46,'Badge Lookup'!$A$6:$A$55,0)),0)</x:f>
        <x:v>2244300</x:v>
      </x:c>
      <x:c r="O46" s="388" t="n">
        <x:f>IF(P46="OK",INDEX('Badge Lookup'!$D$6:$D$55,MATCH(F46,'Badge Lookup'!$A$6:$A$55,0)),0)</x:f>
        <x:v>27.74</x:v>
      </x:c>
      <x:c r="P46" s="362" t="str">
        <x:f>IF(OR(G46="",F46=""),"Not scored",IF(AND(F46=INT(F46),F46&gt;=1,F46&lt;=50,COUNTIF('Badge Lookup'!$A$6:$A$55,F46)=1),"OK","Check lookup"))</x:f>
        <x:v>OK</x:v>
      </x:c>
      <x:c r="Q46" s="456" t="n">
        <x:f>IF(P46&lt;&gt;"OK","",IF(C46="Guards",-O46,O46))</x:f>
        <x:v>27.74</x:v>
      </x:c>
      <x:c r="R46" s="362" t="str">
        <x:f>IF(P46&lt;&gt;"OK","Not scored",IF(C46="Guards","Damage received reduction","Damage increase"))</x:f>
        <x:v>Damage increase</x:v>
      </x:c>
    </x:row>
    <x:row r="47" ht="32" customHeight="1">
      <x:c r="A47" s="365" t="str">
        <x:v>K60</x:v>
      </x:c>
      <x:c r="B47" s="365" t="str">
        <x:v>邪恶的Xero</x:v>
      </x:c>
      <x:c r="C47" s="365" t="str">
        <x:v>Archers</x:v>
      </x:c>
      <x:c r="D47" s="365" t="str">
        <x:v>Elite bowmen</x:v>
      </x:c>
      <x:c r="E47" s="365" t="str">
        <x:v>Archer</x:v>
      </x:c>
      <x:c r="F47" s="365" t="n">
        <x:v>42</x:v>
      </x:c>
      <x:c r="G47" s="365" t="str">
        <x:v>Frost Arrow</x:v>
      </x:c>
      <x:c r="H47" s="365" t="str">
        <x:v>Has a higher probability of activating ice damage</x:v>
      </x:c>
      <x:c r="I47" s="365" t="str">
        <x:v>Unlocked</x:v>
      </x:c>
      <x:c r="J47" s="365" t="str">
        <x:v>02:16.0</x:v>
      </x:c>
      <x:c r="K47" s="365"/>
      <x:c r="L47" s="365" t="str">
        <x:v>K60_SVID_20260828_001858_1.mp4</x:v>
      </x:c>
      <x:c r="M47" s="387" t="n">
        <x:f>IF(P47="OK",INDEX('Badge Lookup'!$B$6:$B$55,MATCH(F47,'Badge Lookup'!$A$6:$A$55,0)),0)</x:f>
        <x:v>320000</x:v>
      </x:c>
      <x:c r="N47" s="387" t="n">
        <x:f>IF(P47="OK",INDEX('Badge Lookup'!$C$6:$C$55,MATCH(F47,'Badge Lookup'!$A$6:$A$55,0)),0)</x:f>
        <x:v>2844300</x:v>
      </x:c>
      <x:c r="O47" s="388" t="n">
        <x:f>IF(P47="OK",INDEX('Badge Lookup'!$D$6:$D$55,MATCH(F47,'Badge Lookup'!$A$6:$A$55,0)),0)</x:f>
        <x:v>33.13</x:v>
      </x:c>
      <x:c r="P47" s="362" t="str">
        <x:f>IF(OR(G47="",F47=""),"Not scored",IF(AND(F47=INT(F47),F47&gt;=1,F47&lt;=50,COUNTIF('Badge Lookup'!$A$6:$A$55,F47)=1),"OK","Check lookup"))</x:f>
        <x:v>OK</x:v>
      </x:c>
      <x:c r="Q47" s="456" t="n">
        <x:f>IF(P47&lt;&gt;"OK","",IF(C47="Guards",-O47,O47))</x:f>
        <x:v>33.13</x:v>
      </x:c>
      <x:c r="R47" s="362" t="str">
        <x:f>IF(P47&lt;&gt;"OK","Not scored",IF(C47="Guards","Damage received reduction","Damage increase"))</x:f>
        <x:v>Damage increase</x:v>
      </x:c>
    </x:row>
    <x:row r="48" ht="32" customHeight="1">
      <x:c r="A48" s="365" t="str">
        <x:v>K60</x:v>
      </x:c>
      <x:c r="B48" s="365" t="str">
        <x:v>邪恶的Xero</x:v>
      </x:c>
      <x:c r="C48" s="365" t="str">
        <x:v>Cavalry</x:v>
      </x:c>
      <x:c r="D48" s="365" t="str">
        <x:v>Eternal knights</x:v>
      </x:c>
      <x:c r="E48" s="365" t="str">
        <x:v>Heavy Cavalry</x:v>
      </x:c>
      <x:c r="F48" s="365" t="n">
        <x:v>47</x:v>
      </x:c>
      <x:c r="G48" s="365" t="str">
        <x:v>Thunder trample</x:v>
      </x:c>
      <x:c r="H48" s="365" t="str">
        <x:v>Has a certain probability of causing trampling damage</x:v>
      </x:c>
      <x:c r="I48" s="365" t="str">
        <x:v>Unlocked</x:v>
      </x:c>
      <x:c r="J48" s="365" t="str">
        <x:v>02:15.5</x:v>
      </x:c>
      <x:c r="K48" s="365"/>
      <x:c r="L48" s="365" t="str">
        <x:v>K60_SVID_20260828_001858_1.mp4</x:v>
      </x:c>
      <x:c r="M48" s="387" t="n">
        <x:f>IF(P48="OK",INDEX('Badge Lookup'!$B$6:$B$55,MATCH(F48,'Badge Lookup'!$A$6:$A$55,0)),0)</x:f>
        <x:v>880000</x:v>
      </x:c>
      <x:c r="N48" s="387" t="n">
        <x:f>IF(P48="OK",INDEX('Badge Lookup'!$C$6:$C$55,MATCH(F48,'Badge Lookup'!$A$6:$A$55,0)),0)</x:f>
        <x:v>5884300</x:v>
      </x:c>
      <x:c r="O48" s="388" t="n">
        <x:f>IF(P48="OK",INDEX('Badge Lookup'!$D$6:$D$55,MATCH(F48,'Badge Lookup'!$A$6:$A$55,0)),0)</x:f>
        <x:v>48.38</x:v>
      </x:c>
      <x:c r="P48" s="362" t="str">
        <x:f>IF(OR(G48="",F48=""),"Not scored",IF(AND(F48=INT(F48),F48&gt;=1,F48&lt;=50,COUNTIF('Badge Lookup'!$A$6:$A$55,F48)=1),"OK","Check lookup"))</x:f>
        <x:v>OK</x:v>
      </x:c>
      <x:c r="Q48" s="456" t="n">
        <x:f>IF(P48&lt;&gt;"OK","",IF(C48="Guards",-O48,O48))</x:f>
        <x:v>48.38</x:v>
      </x:c>
      <x:c r="R48" s="362" t="str">
        <x:f>IF(P48&lt;&gt;"OK","Not scored",IF(C48="Guards","Damage received reduction","Damage increase"))</x:f>
        <x:v>Damage increase</x:v>
      </x:c>
    </x:row>
    <x:row r="49" ht="32" customHeight="1">
      <x:c r="A49" s="365" t="str">
        <x:v>K60</x:v>
      </x:c>
      <x:c r="B49" s="365" t="str">
        <x:v>邪恶的Xero</x:v>
      </x:c>
      <x:c r="C49" s="365" t="str">
        <x:v>Cavalry</x:v>
      </x:c>
      <x:c r="D49" s="365" t="str">
        <x:v>Storm cavalry</x:v>
      </x:c>
      <x:c r="E49" s="365" t="str">
        <x:v>Horse archer</x:v>
      </x:c>
      <x:c r="F49" s="365" t="n">
        <x:v>48</x:v>
      </x:c>
      <x:c r="G49" s="365" t="str">
        <x:v>Mounted Archery</x:v>
      </x:c>
      <x:c r="H49" s="365" t="str">
        <x:v>Has a certain probability of causing fly-shooting damage</x:v>
      </x:c>
      <x:c r="I49" s="365" t="str">
        <x:v>Unlocked</x:v>
      </x:c>
      <x:c r="J49" s="365" t="str">
        <x:v>02:16.5</x:v>
      </x:c>
      <x:c r="K49" s="365"/>
      <x:c r="L49" s="365" t="str">
        <x:v>K60_SVID_20260828_001858_1.mp4</x:v>
      </x:c>
      <x:c r="M49" s="387" t="n">
        <x:f>IF(P49="OK",INDEX('Badge Lookup'!$B$6:$B$55,MATCH(F49,'Badge Lookup'!$A$6:$A$55,0)),0)</x:f>
        <x:v>1050000</x:v>
      </x:c>
      <x:c r="N49" s="387" t="n">
        <x:f>IF(P49="OK",INDEX('Badge Lookup'!$C$6:$C$55,MATCH(F49,'Badge Lookup'!$A$6:$A$55,0)),0)</x:f>
        <x:v>6934300</x:v>
      </x:c>
      <x:c r="O49" s="388" t="n">
        <x:f>IF(P49="OK",INDEX('Badge Lookup'!$D$6:$D$55,MATCH(F49,'Badge Lookup'!$A$6:$A$55,0)),0)</x:f>
        <x:v>51.74</x:v>
      </x:c>
      <x:c r="P49" s="362" t="str">
        <x:f>IF(OR(G49="",F49=""),"Not scored",IF(AND(F49=INT(F49),F49&gt;=1,F49&lt;=50,COUNTIF('Badge Lookup'!$A$6:$A$55,F49)=1),"OK","Check lookup"))</x:f>
        <x:v>OK</x:v>
      </x:c>
      <x:c r="Q49" s="456" t="n">
        <x:f>IF(P49&lt;&gt;"OK","",IF(C49="Guards",-O49,O49))</x:f>
        <x:v>51.74</x:v>
      </x:c>
      <x:c r="R49" s="362" t="str">
        <x:f>IF(P49&lt;&gt;"OK","Not scored",IF(C49="Guards","Damage received reduction","Damage increase"))</x:f>
        <x:v>Damage increase</x:v>
      </x:c>
    </x:row>
    <x:row r="50" ht="32" customHeight="1">
      <x:c r="A50" s="365" t="str">
        <x:v>K60</x:v>
      </x:c>
      <x:c r="B50" s="365" t="str">
        <x:v>AAB</x:v>
      </x:c>
      <x:c r="C50" s="365" t="str">
        <x:v>Guards</x:v>
      </x:c>
      <x:c r="D50" s="365" t="str">
        <x:v>Destroyers</x:v>
      </x:c>
      <x:c r="E50" s="365" t="str">
        <x:v>Guard</x:v>
      </x:c>
      <x:c r="F50" s="365" t="n">
        <x:v>40</x:v>
      </x:c>
      <x:c r="G50" s="365" t="str">
        <x:v>Parry</x:v>
      </x:c>
      <x:c r="H50" s="365" t="str">
        <x:v>Provides a parry effect and a certain probability to increase damage</x:v>
      </x:c>
      <x:c r="I50" s="365" t="str">
        <x:v>Unlocked</x:v>
      </x:c>
      <x:c r="J50" s="365" t="str">
        <x:v>02:23.0</x:v>
      </x:c>
      <x:c r="K50" s="365"/>
      <x:c r="L50" s="365" t="str">
        <x:v>K60_SVID_20260828_001858_1.mp4</x:v>
      </x:c>
      <x:c r="M50" s="387" t="n">
        <x:f>IF(P50="OK",INDEX('Badge Lookup'!$B$6:$B$55,MATCH(F50,'Badge Lookup'!$A$6:$A$55,0)),0)</x:f>
        <x:v>240000</x:v>
      </x:c>
      <x:c r="N50" s="387" t="n">
        <x:f>IF(P50="OK",INDEX('Badge Lookup'!$C$6:$C$55,MATCH(F50,'Badge Lookup'!$A$6:$A$55,0)),0)</x:f>
        <x:v>2244300</x:v>
      </x:c>
      <x:c r="O50" s="388" t="n">
        <x:f>IF(P50="OK",INDEX('Badge Lookup'!$D$6:$D$55,MATCH(F50,'Badge Lookup'!$A$6:$A$55,0)),0)</x:f>
        <x:v>27.74</x:v>
      </x:c>
      <x:c r="P50" s="362" t="str">
        <x:f>IF(OR(G50="",F50=""),"Not scored",IF(AND(F50=INT(F50),F50&gt;=1,F50&lt;=50,COUNTIF('Badge Lookup'!$A$6:$A$55,F50)=1),"OK","Check lookup"))</x:f>
        <x:v>OK</x:v>
      </x:c>
      <x:c r="Q50" s="456" t="n">
        <x:f>IF(P50&lt;&gt;"OK","",IF(C50="Guards",-O50,O50))</x:f>
        <x:v>-27.74</x:v>
      </x:c>
      <x:c r="R50" s="362" t="str">
        <x:f>IF(P50&lt;&gt;"OK","Not scored",IF(C50="Guards","Damage received reduction","Damage increase"))</x:f>
        <x:v>Damage received reduction</x:v>
      </x:c>
    </x:row>
    <x:row r="51" ht="32" customHeight="1">
      <x:c r="A51" s="365" t="str">
        <x:v>K60</x:v>
      </x:c>
      <x:c r="B51" s="365" t="str">
        <x:v>AAB</x:v>
      </x:c>
      <x:c r="C51" s="365" t="str">
        <x:v>Archers</x:v>
      </x:c>
      <x:c r="D51" s="365" t="str">
        <x:v>Elite bowmen</x:v>
      </x:c>
      <x:c r="E51" s="365" t="str">
        <x:v>Archer</x:v>
      </x:c>
      <x:c r="F51" s="365" t="n">
        <x:v>40</x:v>
      </x:c>
      <x:c r="G51" s="365" t="str">
        <x:v>Frost Arrow</x:v>
      </x:c>
      <x:c r="H51" s="365" t="str">
        <x:v>Has a higher probability of activating ice damage</x:v>
      </x:c>
      <x:c r="I51" s="365" t="str">
        <x:v>Unlocked</x:v>
      </x:c>
      <x:c r="J51" s="365" t="str">
        <x:v>02:25.0</x:v>
      </x:c>
      <x:c r="K51" s="365"/>
      <x:c r="L51" s="365" t="str">
        <x:v>K60_SVID_20260828_001858_1.mp4</x:v>
      </x:c>
      <x:c r="M51" s="387" t="n">
        <x:f>IF(P51="OK",INDEX('Badge Lookup'!$B$6:$B$55,MATCH(F51,'Badge Lookup'!$A$6:$A$55,0)),0)</x:f>
        <x:v>240000</x:v>
      </x:c>
      <x:c r="N51" s="387" t="n">
        <x:f>IF(P51="OK",INDEX('Badge Lookup'!$C$6:$C$55,MATCH(F51,'Badge Lookup'!$A$6:$A$55,0)),0)</x:f>
        <x:v>2244300</x:v>
      </x:c>
      <x:c r="O51" s="388" t="n">
        <x:f>IF(P51="OK",INDEX('Badge Lookup'!$D$6:$D$55,MATCH(F51,'Badge Lookup'!$A$6:$A$55,0)),0)</x:f>
        <x:v>27.74</x:v>
      </x:c>
      <x:c r="P51" s="362" t="str">
        <x:f>IF(OR(G51="",F51=""),"Not scored",IF(AND(F51=INT(F51),F51&gt;=1,F51&lt;=50,COUNTIF('Badge Lookup'!$A$6:$A$55,F51)=1),"OK","Check lookup"))</x:f>
        <x:v>OK</x:v>
      </x:c>
      <x:c r="Q51" s="456" t="n">
        <x:f>IF(P51&lt;&gt;"OK","",IF(C51="Guards",-O51,O51))</x:f>
        <x:v>27.74</x:v>
      </x:c>
      <x:c r="R51" s="362" t="str">
        <x:f>IF(P51&lt;&gt;"OK","Not scored",IF(C51="Guards","Damage received reduction","Damage increase"))</x:f>
        <x:v>Damage increase</x:v>
      </x:c>
    </x:row>
    <x:row r="52" ht="32" customHeight="1">
      <x:c r="A52" s="365" t="str">
        <x:v>K60</x:v>
      </x:c>
      <x:c r="B52" s="365" t="str">
        <x:v>AAB</x:v>
      </x:c>
      <x:c r="C52" s="365" t="str">
        <x:v>Cavalry</x:v>
      </x:c>
      <x:c r="D52" s="365" t="str">
        <x:v>Eternal knights</x:v>
      </x:c>
      <x:c r="E52" s="365" t="str">
        <x:v>Heavy Cavalry</x:v>
      </x:c>
      <x:c r="F52" s="365" t="n">
        <x:v>45</x:v>
      </x:c>
      <x:c r="G52" s="365" t="str">
        <x:v>Thunder trample</x:v>
      </x:c>
      <x:c r="H52" s="365" t="str">
        <x:v>Has a certain probability of causing trampling damage</x:v>
      </x:c>
      <x:c r="I52" s="365" t="str">
        <x:v>Unlocked</x:v>
      </x:c>
      <x:c r="J52" s="365" t="str">
        <x:v>02:24.0</x:v>
      </x:c>
      <x:c r="K52" s="365"/>
      <x:c r="L52" s="365" t="str">
        <x:v>K60_SVID_20260828_001858_1.mp4</x:v>
      </x:c>
      <x:c r="M52" s="387" t="n">
        <x:f>IF(P52="OK",INDEX('Badge Lookup'!$B$6:$B$55,MATCH(F52,'Badge Lookup'!$A$6:$A$55,0)),0)</x:f>
        <x:v>560000</x:v>
      </x:c>
      <x:c r="N52" s="387" t="n">
        <x:f>IF(P52="OK",INDEX('Badge Lookup'!$C$6:$C$55,MATCH(F52,'Badge Lookup'!$A$6:$A$55,0)),0)</x:f>
        <x:v>4284300</x:v>
      </x:c>
      <x:c r="O52" s="388" t="n">
        <x:f>IF(P52="OK",INDEX('Badge Lookup'!$D$6:$D$55,MATCH(F52,'Badge Lookup'!$A$6:$A$55,0)),0)</x:f>
        <x:v>41.98</x:v>
      </x:c>
      <x:c r="P52" s="362" t="str">
        <x:f>IF(OR(G52="",F52=""),"Not scored",IF(AND(F52=INT(F52),F52&gt;=1,F52&lt;=50,COUNTIF('Badge Lookup'!$A$6:$A$55,F52)=1),"OK","Check lookup"))</x:f>
        <x:v>OK</x:v>
      </x:c>
      <x:c r="Q52" s="456" t="n">
        <x:f>IF(P52&lt;&gt;"OK","",IF(C52="Guards",-O52,O52))</x:f>
        <x:v>41.98</x:v>
      </x:c>
      <x:c r="R52" s="362" t="str">
        <x:f>IF(P52&lt;&gt;"OK","Not scored",IF(C52="Guards","Damage received reduction","Damage increase"))</x:f>
        <x:v>Damage increase</x:v>
      </x:c>
    </x:row>
    <x:row r="53" ht="32" customHeight="1">
      <x:c r="A53" s="365" t="str">
        <x:v>K60</x:v>
      </x:c>
      <x:c r="B53" s="365" t="str">
        <x:v>AAB</x:v>
      </x:c>
      <x:c r="C53" s="365" t="str">
        <x:v>Cavalry</x:v>
      </x:c>
      <x:c r="D53" s="365" t="str">
        <x:v>Storm cavalry</x:v>
      </x:c>
      <x:c r="E53" s="365" t="str">
        <x:v>Horse archer</x:v>
      </x:c>
      <x:c r="F53" s="365" t="n">
        <x:v>46</x:v>
      </x:c>
      <x:c r="G53" s="365" t="str">
        <x:v>Mounted Archery</x:v>
      </x:c>
      <x:c r="H53" s="365" t="str">
        <x:v>Has a certain probability of causing fly-shooting damage</x:v>
      </x:c>
      <x:c r="I53" s="365" t="str">
        <x:v>Unlocked</x:v>
      </x:c>
      <x:c r="J53" s="365" t="str">
        <x:v>02:26.0</x:v>
      </x:c>
      <x:c r="K53" s="365"/>
      <x:c r="L53" s="365" t="str">
        <x:v>K60_SVID_20260828_001858_1.mp4</x:v>
      </x:c>
      <x:c r="M53" s="387" t="n">
        <x:f>IF(P53="OK",INDEX('Badge Lookup'!$B$6:$B$55,MATCH(F53,'Badge Lookup'!$A$6:$A$55,0)),0)</x:f>
        <x:v>720000</x:v>
      </x:c>
      <x:c r="N53" s="387" t="n">
        <x:f>IF(P53="OK",INDEX('Badge Lookup'!$C$6:$C$55,MATCH(F53,'Badge Lookup'!$A$6:$A$55,0)),0)</x:f>
        <x:v>5004300</x:v>
      </x:c>
      <x:c r="O53" s="388" t="n">
        <x:f>IF(P53="OK",INDEX('Badge Lookup'!$D$6:$D$55,MATCH(F53,'Badge Lookup'!$A$6:$A$55,0)),0)</x:f>
        <x:v>45.13</x:v>
      </x:c>
      <x:c r="P53" s="362" t="str">
        <x:f>IF(OR(G53="",F53=""),"Not scored",IF(AND(F53=INT(F53),F53&gt;=1,F53&lt;=50,COUNTIF('Badge Lookup'!$A$6:$A$55,F53)=1),"OK","Check lookup"))</x:f>
        <x:v>OK</x:v>
      </x:c>
      <x:c r="Q53" s="456" t="n">
        <x:f>IF(P53&lt;&gt;"OK","",IF(C53="Guards",-O53,O53))</x:f>
        <x:v>45.13</x:v>
      </x:c>
      <x:c r="R53" s="362" t="str">
        <x:f>IF(P53&lt;&gt;"OK","Not scored",IF(C53="Guards","Damage received reduction","Damage increase"))</x:f>
        <x:v>Damage increase</x:v>
      </x:c>
    </x:row>
    <x:row r="54" ht="32" customHeight="1">
      <x:c r="A54" s="365" t="str">
        <x:v>K60</x:v>
      </x:c>
      <x:c r="B54" s="365" t="str">
        <x:v>#14 元气满满 (148,500)</x:v>
      </x:c>
      <x:c r="C54" s="365" t="str">
        <x:v>Archers</x:v>
      </x:c>
      <x:c r="D54" s="365" t="str">
        <x:v>Elite bowmen</x:v>
      </x:c>
      <x:c r="E54" s="365" t="str">
        <x:v>Archer</x:v>
      </x:c>
      <x:c r="F54" s="365" t="n">
        <x:v>42</x:v>
      </x:c>
      <x:c r="G54" s="365" t="str">
        <x:v>Frost Arrow</x:v>
      </x:c>
      <x:c r="H54" s="365" t="str">
        <x:v>Has a higher probability of activating ice damage</x:v>
      </x:c>
      <x:c r="I54" s="365" t="str">
        <x:v>Unlocked</x:v>
      </x:c>
      <x:c r="J54" s="365" t="str">
        <x:v>02:36.75</x:v>
      </x:c>
      <x:c r="K54" s="365"/>
      <x:c r="L54" s="365" t="str">
        <x:v>K60_SVID_20260828_001858_1.mp4</x:v>
      </x:c>
      <x:c r="M54" s="387" t="n">
        <x:f>IF(P54="OK",INDEX('Badge Lookup'!$B$6:$B$55,MATCH(F54,'Badge Lookup'!$A$6:$A$55,0)),0)</x:f>
        <x:v>320000</x:v>
      </x:c>
      <x:c r="N54" s="387" t="n">
        <x:f>IF(P54="OK",INDEX('Badge Lookup'!$C$6:$C$55,MATCH(F54,'Badge Lookup'!$A$6:$A$55,0)),0)</x:f>
        <x:v>2844300</x:v>
      </x:c>
      <x:c r="O54" s="388" t="n">
        <x:f>IF(P54="OK",INDEX('Badge Lookup'!$D$6:$D$55,MATCH(F54,'Badge Lookup'!$A$6:$A$55,0)),0)</x:f>
        <x:v>33.13</x:v>
      </x:c>
      <x:c r="P54" s="362" t="str">
        <x:f>IF(OR(G54="",F54=""),"Not scored",IF(AND(F54=INT(F54),F54&gt;=1,F54&lt;=50,COUNTIF('Badge Lookup'!$A$6:$A$55,F54)=1),"OK","Check lookup"))</x:f>
        <x:v>OK</x:v>
      </x:c>
      <x:c r="Q54" s="456" t="n">
        <x:f>IF(P54&lt;&gt;"OK","",IF(C54="Guards",-O54,O54))</x:f>
        <x:v>33.13</x:v>
      </x:c>
      <x:c r="R54" s="362" t="str">
        <x:f>IF(P54&lt;&gt;"OK","Not scored",IF(C54="Guards","Damage received reduction","Damage increase"))</x:f>
        <x:v>Damage increase</x:v>
      </x:c>
    </x:row>
    <x:row r="55" ht="32" customHeight="1">
      <x:c r="A55" s="365" t="str">
        <x:v>K60</x:v>
      </x:c>
      <x:c r="B55" s="365" t="str">
        <x:v>#14 元气满满 (148,500)</x:v>
      </x:c>
      <x:c r="C55" s="365" t="str">
        <x:v>Cavalry</x:v>
      </x:c>
      <x:c r="D55" s="365" t="str">
        <x:v>Eternal knights</x:v>
      </x:c>
      <x:c r="E55" s="365" t="str">
        <x:v>Heavy Cavalry</x:v>
      </x:c>
      <x:c r="F55" s="365" t="n">
        <x:v>47</x:v>
      </x:c>
      <x:c r="G55" s="365" t="str">
        <x:v>Thunder trample</x:v>
      </x:c>
      <x:c r="H55" s="365" t="str">
        <x:v>Has a certain probability of causing trampling damage</x:v>
      </x:c>
      <x:c r="I55" s="365" t="str">
        <x:v>Unlocked</x:v>
      </x:c>
      <x:c r="J55" s="365" t="str">
        <x:v>02:36.25</x:v>
      </x:c>
      <x:c r="K55" s="365"/>
      <x:c r="L55" s="365" t="str">
        <x:v>K60_SVID_20260828_001858_1.mp4</x:v>
      </x:c>
      <x:c r="M55" s="387" t="n">
        <x:f>IF(P55="OK",INDEX('Badge Lookup'!$B$6:$B$55,MATCH(F55,'Badge Lookup'!$A$6:$A$55,0)),0)</x:f>
        <x:v>880000</x:v>
      </x:c>
      <x:c r="N55" s="387" t="n">
        <x:f>IF(P55="OK",INDEX('Badge Lookup'!$C$6:$C$55,MATCH(F55,'Badge Lookup'!$A$6:$A$55,0)),0)</x:f>
        <x:v>5884300</x:v>
      </x:c>
      <x:c r="O55" s="388" t="n">
        <x:f>IF(P55="OK",INDEX('Badge Lookup'!$D$6:$D$55,MATCH(F55,'Badge Lookup'!$A$6:$A$55,0)),0)</x:f>
        <x:v>48.38</x:v>
      </x:c>
      <x:c r="P55" s="362" t="str">
        <x:f>IF(OR(G55="",F55=""),"Not scored",IF(AND(F55=INT(F55),F55&gt;=1,F55&lt;=50,COUNTIF('Badge Lookup'!$A$6:$A$55,F55)=1),"OK","Check lookup"))</x:f>
        <x:v>OK</x:v>
      </x:c>
      <x:c r="Q55" s="456" t="n">
        <x:f>IF(P55&lt;&gt;"OK","",IF(C55="Guards",-O55,O55))</x:f>
        <x:v>48.38</x:v>
      </x:c>
      <x:c r="R55" s="362" t="str">
        <x:f>IF(P55&lt;&gt;"OK","Not scored",IF(C55="Guards","Damage received reduction","Damage increase"))</x:f>
        <x:v>Damage increase</x:v>
      </x:c>
    </x:row>
    <x:row r="56" ht="32" customHeight="1">
      <x:c r="A56" s="365" t="str">
        <x:v>K60</x:v>
      </x:c>
      <x:c r="B56" s="365" t="str">
        <x:v>#14 元气满满 (148,500)</x:v>
      </x:c>
      <x:c r="C56" s="365" t="str">
        <x:v>Cavalry</x:v>
      </x:c>
      <x:c r="D56" s="365" t="str">
        <x:v>Storm cavalry</x:v>
      </x:c>
      <x:c r="E56" s="365" t="str">
        <x:v>Horse archer</x:v>
      </x:c>
      <x:c r="F56" s="365" t="n">
        <x:v>49</x:v>
      </x:c>
      <x:c r="G56" s="365" t="str">
        <x:v>Mounted Archery</x:v>
      </x:c>
      <x:c r="H56" s="365" t="str">
        <x:v>Has a certain probability of causing fly-shooting damage</x:v>
      </x:c>
      <x:c r="I56" s="365" t="str">
        <x:v>Unlocked</x:v>
      </x:c>
      <x:c r="J56" s="365" t="str">
        <x:v>02:38.0</x:v>
      </x:c>
      <x:c r="K56" s="365"/>
      <x:c r="L56" s="365" t="str">
        <x:v>K60_SVID_20260828_001858_1.mp4</x:v>
      </x:c>
      <x:c r="M56" s="387" t="n">
        <x:f>IF(P56="OK",INDEX('Badge Lookup'!$B$6:$B$55,MATCH(F56,'Badge Lookup'!$A$6:$A$55,0)),0)</x:f>
        <x:v>1400000</x:v>
      </x:c>
      <x:c r="N56" s="387" t="n">
        <x:f>IF(P56="OK",INDEX('Badge Lookup'!$C$6:$C$55,MATCH(F56,'Badge Lookup'!$A$6:$A$55,0)),0)</x:f>
        <x:v>8334300</x:v>
      </x:c>
      <x:c r="O56" s="388" t="n">
        <x:f>IF(P56="OK",INDEX('Badge Lookup'!$D$6:$D$55,MATCH(F56,'Badge Lookup'!$A$6:$A$55,0)),0)</x:f>
        <x:v>55.2</x:v>
      </x:c>
      <x:c r="P56" s="362" t="str">
        <x:f>IF(OR(G56="",F56=""),"Not scored",IF(AND(F56=INT(F56),F56&gt;=1,F56&lt;=50,COUNTIF('Badge Lookup'!$A$6:$A$55,F56)=1),"OK","Check lookup"))</x:f>
        <x:v>OK</x:v>
      </x:c>
      <x:c r="Q56" s="456" t="n">
        <x:f>IF(P56&lt;&gt;"OK","",IF(C56="Guards",-O56,O56))</x:f>
        <x:v>55.2</x:v>
      </x:c>
      <x:c r="R56" s="362" t="str">
        <x:f>IF(P56&lt;&gt;"OK","Not scored",IF(C56="Guards","Damage received reduction","Damage increase"))</x:f>
        <x:v>Damage increase</x:v>
      </x:c>
    </x:row>
    <x:row r="57" ht="32" customHeight="1">
      <x:c r="A57" s="365" t="str">
        <x:v>K60</x:v>
      </x:c>
      <x:c r="B57" s="365" t="str">
        <x:v>#14 元气满满 (148,500)</x:v>
      </x:c>
      <x:c r="C57" s="365" t="str">
        <x:v>Siege</x:v>
      </x:c>
      <x:c r="D57" s="365" t="str">
        <x:v>Manglers</x:v>
      </x:c>
      <x:c r="E57" s="365" t="str">
        <x:v>Siege</x:v>
      </x:c>
      <x:c r="F57" s="365" t="n">
        <x:v>50</x:v>
      </x:c>
      <x:c r="G57" s="365" t="str">
        <x:v>Highly toxic</x:v>
      </x:c>
      <x:c r="H57" s="365" t="str">
        <x:v>Inflict continuous toxic damage</x:v>
      </x:c>
      <x:c r="I57" s="365" t="str">
        <x:v>Unlocked</x:v>
      </x:c>
      <x:c r="J57" s="365" t="str">
        <x:v>02:37.5</x:v>
      </x:c>
      <x:c r="K57" s="365"/>
      <x:c r="L57" s="365" t="str">
        <x:v>K60_SVID_20260828_001858_1.mp4</x:v>
      </x:c>
      <x:c r="M57" s="387" t="n">
        <x:f>IF(P57="OK",INDEX('Badge Lookup'!$B$6:$B$55,MATCH(F57,'Badge Lookup'!$A$6:$A$55,0)),0)</x:f>
        <x:v>2000000</x:v>
      </x:c>
      <x:c r="N57" s="387" t="n">
        <x:f>IF(P57="OK",INDEX('Badge Lookup'!$C$6:$C$55,MATCH(F57,'Badge Lookup'!$A$6:$A$55,0)),0)</x:f>
        <x:v>10334300</x:v>
      </x:c>
      <x:c r="O57" s="388" t="n">
        <x:f>IF(P57="OK",INDEX('Badge Lookup'!$D$6:$D$55,MATCH(F57,'Badge Lookup'!$A$6:$A$55,0)),0)</x:f>
        <x:v>60</x:v>
      </x:c>
      <x:c r="P57" s="362" t="str">
        <x:f>IF(OR(G57="",F57=""),"Not scored",IF(AND(F57=INT(F57),F57&gt;=1,F57&lt;=50,COUNTIF('Badge Lookup'!$A$6:$A$55,F57)=1),"OK","Check lookup"))</x:f>
        <x:v>OK</x:v>
      </x:c>
      <x:c r="Q57" s="456" t="n">
        <x:f>IF(P57&lt;&gt;"OK","",IF(C57="Guards",-O57,O57))</x:f>
        <x:v>60</x:v>
      </x:c>
      <x:c r="R57" s="362" t="str">
        <x:f>IF(P57&lt;&gt;"OK","Not scored",IF(C57="Guards","Damage received reduction","Damage increase"))</x:f>
        <x:v>Damage increase</x:v>
      </x:c>
    </x:row>
    <x:row r="58" ht="32" customHeight="1">
      <x:c r="A58" s="365" t="str">
        <x:v>K60</x:v>
      </x:c>
      <x:c r="B58" s="365" t="str">
        <x:v>#14 元气满满 (148,500)</x:v>
      </x:c>
      <x:c r="C58" s="365" t="str">
        <x:v>Siege</x:v>
      </x:c>
      <x:c r="D58" s="365" t="str">
        <x:v>Guardian siege</x:v>
      </x:c>
      <x:c r="E58" s="365" t="str">
        <x:v>Rams</x:v>
      </x:c>
      <x:c r="F58" s="365" t="n">
        <x:v>40</x:v>
      </x:c>
      <x:c r="G58" s="365" t="str">
        <x:v>Dragonhide</x:v>
      </x:c>
      <x:c r="H58" s="365" t="str">
        <x:v>Increase damage reduction and increase damage</x:v>
      </x:c>
      <x:c r="I58" s="365" t="str">
        <x:v>Unlocked</x:v>
      </x:c>
      <x:c r="J58" s="365" t="str">
        <x:v>02:38.25</x:v>
      </x:c>
      <x:c r="K58" s="365"/>
      <x:c r="L58" s="365" t="str">
        <x:v>K60_SVID_20260828_001858_1.mp4</x:v>
      </x:c>
      <x:c r="M58" s="387" t="n">
        <x:f>IF(P58="OK",INDEX('Badge Lookup'!$B$6:$B$55,MATCH(F58,'Badge Lookup'!$A$6:$A$55,0)),0)</x:f>
        <x:v>240000</x:v>
      </x:c>
      <x:c r="N58" s="387" t="n">
        <x:f>IF(P58="OK",INDEX('Badge Lookup'!$C$6:$C$55,MATCH(F58,'Badge Lookup'!$A$6:$A$55,0)),0)</x:f>
        <x:v>2244300</x:v>
      </x:c>
      <x:c r="O58" s="388" t="n">
        <x:f>IF(P58="OK",INDEX('Badge Lookup'!$D$6:$D$55,MATCH(F58,'Badge Lookup'!$A$6:$A$55,0)),0)</x:f>
        <x:v>27.74</x:v>
      </x:c>
      <x:c r="P58" s="362" t="str">
        <x:f>IF(OR(G58="",F58=""),"Not scored",IF(AND(F58=INT(F58),F58&gt;=1,F58&lt;=50,COUNTIF('Badge Lookup'!$A$6:$A$55,F58)=1),"OK","Check lookup"))</x:f>
        <x:v>OK</x:v>
      </x:c>
      <x:c r="Q58" s="456" t="n">
        <x:f>IF(P58&lt;&gt;"OK","",IF(C58="Guards",-O58,O58))</x:f>
        <x:v>27.74</x:v>
      </x:c>
      <x:c r="R58" s="362" t="str">
        <x:f>IF(P58&lt;&gt;"OK","Not scored",IF(C58="Guards","Damage received reduction","Damage increase"))</x:f>
        <x:v>Damage increase</x:v>
      </x:c>
    </x:row>
    <x:row r="59" ht="32" customHeight="1">
      <x:c r="A59" s="365" t="str">
        <x:v>K60</x:v>
      </x:c>
      <x:c r="B59" s="365" t="str">
        <x:v>InFlames</x:v>
      </x:c>
      <x:c r="C59" s="365" t="str">
        <x:v>Guards</x:v>
      </x:c>
      <x:c r="D59" s="365" t="str">
        <x:v>Destroyers</x:v>
      </x:c>
      <x:c r="E59" s="365" t="str">
        <x:v>Guard</x:v>
      </x:c>
      <x:c r="F59" s="365" t="n">
        <x:v>40</x:v>
      </x:c>
      <x:c r="G59" s="365" t="str">
        <x:v>Parry</x:v>
      </x:c>
      <x:c r="H59" s="365" t="str">
        <x:v>Provides a parry effect and a certain probability to increase damage</x:v>
      </x:c>
      <x:c r="I59" s="365" t="str">
        <x:v>Unlocked</x:v>
      </x:c>
      <x:c r="J59" s="365" t="str">
        <x:v>02:46.0</x:v>
      </x:c>
      <x:c r="K59" s="365"/>
      <x:c r="L59" s="365" t="str">
        <x:v>K60_SVID_20260828_001858_1.mp4</x:v>
      </x:c>
      <x:c r="M59" s="387" t="n">
        <x:f>IF(P59="OK",INDEX('Badge Lookup'!$B$6:$B$55,MATCH(F59,'Badge Lookup'!$A$6:$A$55,0)),0)</x:f>
        <x:v>240000</x:v>
      </x:c>
      <x:c r="N59" s="387" t="n">
        <x:f>IF(P59="OK",INDEX('Badge Lookup'!$C$6:$C$55,MATCH(F59,'Badge Lookup'!$A$6:$A$55,0)),0)</x:f>
        <x:v>2244300</x:v>
      </x:c>
      <x:c r="O59" s="388" t="n">
        <x:f>IF(P59="OK",INDEX('Badge Lookup'!$D$6:$D$55,MATCH(F59,'Badge Lookup'!$A$6:$A$55,0)),0)</x:f>
        <x:v>27.74</x:v>
      </x:c>
      <x:c r="P59" s="362" t="str">
        <x:f>IF(OR(G59="",F59=""),"Not scored",IF(AND(F59=INT(F59),F59&gt;=1,F59&lt;=50,COUNTIF('Badge Lookup'!$A$6:$A$55,F59)=1),"OK","Check lookup"))</x:f>
        <x:v>OK</x:v>
      </x:c>
      <x:c r="Q59" s="456" t="n">
        <x:f>IF(P59&lt;&gt;"OK","",IF(C59="Guards",-O59,O59))</x:f>
        <x:v>-27.74</x:v>
      </x:c>
      <x:c r="R59" s="362" t="str">
        <x:f>IF(P59&lt;&gt;"OK","Not scored",IF(C59="Guards","Damage received reduction","Damage increase"))</x:f>
        <x:v>Damage received reduction</x:v>
      </x:c>
    </x:row>
    <x:row r="60" ht="32" customHeight="1">
      <x:c r="A60" s="365" t="str">
        <x:v>K60</x:v>
      </x:c>
      <x:c r="B60" s="365" t="str">
        <x:v>InFlames</x:v>
      </x:c>
      <x:c r="C60" s="365" t="str">
        <x:v>Archers</x:v>
      </x:c>
      <x:c r="D60" s="365" t="str">
        <x:v>Elite bowmen</x:v>
      </x:c>
      <x:c r="E60" s="365" t="str">
        <x:v>Archer</x:v>
      </x:c>
      <x:c r="F60" s="365" t="n">
        <x:v>40</x:v>
      </x:c>
      <x:c r="G60" s="365" t="str">
        <x:v>Frost Arrow</x:v>
      </x:c>
      <x:c r="H60" s="365" t="str">
        <x:v>Has a higher probability of activating ice damage</x:v>
      </x:c>
      <x:c r="I60" s="365" t="str">
        <x:v>Unlocked</x:v>
      </x:c>
      <x:c r="J60" s="365" t="str">
        <x:v>02:47.0</x:v>
      </x:c>
      <x:c r="K60" s="365"/>
      <x:c r="L60" s="365" t="str">
        <x:v>K60_SVID_20260828_001858_1.mp4</x:v>
      </x:c>
      <x:c r="M60" s="387" t="n">
        <x:f>IF(P60="OK",INDEX('Badge Lookup'!$B$6:$B$55,MATCH(F60,'Badge Lookup'!$A$6:$A$55,0)),0)</x:f>
        <x:v>240000</x:v>
      </x:c>
      <x:c r="N60" s="387" t="n">
        <x:f>IF(P60="OK",INDEX('Badge Lookup'!$C$6:$C$55,MATCH(F60,'Badge Lookup'!$A$6:$A$55,0)),0)</x:f>
        <x:v>2244300</x:v>
      </x:c>
      <x:c r="O60" s="388" t="n">
        <x:f>IF(P60="OK",INDEX('Badge Lookup'!$D$6:$D$55,MATCH(F60,'Badge Lookup'!$A$6:$A$55,0)),0)</x:f>
        <x:v>27.74</x:v>
      </x:c>
      <x:c r="P60" s="362" t="str">
        <x:f>IF(OR(G60="",F60=""),"Not scored",IF(AND(F60=INT(F60),F60&gt;=1,F60&lt;=50,COUNTIF('Badge Lookup'!$A$6:$A$55,F60)=1),"OK","Check lookup"))</x:f>
        <x:v>OK</x:v>
      </x:c>
      <x:c r="Q60" s="456" t="n">
        <x:f>IF(P60&lt;&gt;"OK","",IF(C60="Guards",-O60,O60))</x:f>
        <x:v>27.74</x:v>
      </x:c>
      <x:c r="R60" s="362" t="str">
        <x:f>IF(P60&lt;&gt;"OK","Not scored",IF(C60="Guards","Damage received reduction","Damage increase"))</x:f>
        <x:v>Damage increase</x:v>
      </x:c>
    </x:row>
    <x:row r="61" ht="32" customHeight="1">
      <x:c r="A61" s="365" t="str">
        <x:v>K60</x:v>
      </x:c>
      <x:c r="B61" s="365" t="str">
        <x:v>InFlames</x:v>
      </x:c>
      <x:c r="C61" s="365" t="str">
        <x:v>Cavalry</x:v>
      </x:c>
      <x:c r="D61" s="365" t="str">
        <x:v>Eternal knights</x:v>
      </x:c>
      <x:c r="E61" s="365" t="str">
        <x:v>Heavy Cavalry</x:v>
      </x:c>
      <x:c r="F61" s="365" t="n">
        <x:v>45</x:v>
      </x:c>
      <x:c r="G61" s="365" t="str">
        <x:v>Thunder trample</x:v>
      </x:c>
      <x:c r="H61" s="365" t="str">
        <x:v>Has a certain probability of causing trampling damage</x:v>
      </x:c>
      <x:c r="I61" s="365" t="str">
        <x:v>Unlocked</x:v>
      </x:c>
      <x:c r="J61" s="365" t="str">
        <x:v>02:46.5</x:v>
      </x:c>
      <x:c r="K61" s="365"/>
      <x:c r="L61" s="365" t="str">
        <x:v>K60_SVID_20260828_001858_1.mp4</x:v>
      </x:c>
      <x:c r="M61" s="387" t="n">
        <x:f>IF(P61="OK",INDEX('Badge Lookup'!$B$6:$B$55,MATCH(F61,'Badge Lookup'!$A$6:$A$55,0)),0)</x:f>
        <x:v>560000</x:v>
      </x:c>
      <x:c r="N61" s="387" t="n">
        <x:f>IF(P61="OK",INDEX('Badge Lookup'!$C$6:$C$55,MATCH(F61,'Badge Lookup'!$A$6:$A$55,0)),0)</x:f>
        <x:v>4284300</x:v>
      </x:c>
      <x:c r="O61" s="388" t="n">
        <x:f>IF(P61="OK",INDEX('Badge Lookup'!$D$6:$D$55,MATCH(F61,'Badge Lookup'!$A$6:$A$55,0)),0)</x:f>
        <x:v>41.98</x:v>
      </x:c>
      <x:c r="P61" s="362" t="str">
        <x:f>IF(OR(G61="",F61=""),"Not scored",IF(AND(F61=INT(F61),F61&gt;=1,F61&lt;=50,COUNTIF('Badge Lookup'!$A$6:$A$55,F61)=1),"OK","Check lookup"))</x:f>
        <x:v>OK</x:v>
      </x:c>
      <x:c r="Q61" s="456" t="n">
        <x:f>IF(P61&lt;&gt;"OK","",IF(C61="Guards",-O61,O61))</x:f>
        <x:v>41.98</x:v>
      </x:c>
      <x:c r="R61" s="362" t="str">
        <x:f>IF(P61&lt;&gt;"OK","Not scored",IF(C61="Guards","Damage received reduction","Damage increase"))</x:f>
        <x:v>Damage increase</x:v>
      </x:c>
    </x:row>
    <x:row r="62" ht="32" customHeight="1">
      <x:c r="A62" s="365" t="str">
        <x:v>K60</x:v>
      </x:c>
      <x:c r="B62" s="365" t="str">
        <x:v>InFlames</x:v>
      </x:c>
      <x:c r="C62" s="365" t="str">
        <x:v>Cavalry</x:v>
      </x:c>
      <x:c r="D62" s="365" t="str">
        <x:v>Storm cavalry</x:v>
      </x:c>
      <x:c r="E62" s="365" t="str">
        <x:v>Horse archer</x:v>
      </x:c>
      <x:c r="F62" s="365" t="n">
        <x:v>42</x:v>
      </x:c>
      <x:c r="G62" s="365" t="str">
        <x:v>Mounted Archery</x:v>
      </x:c>
      <x:c r="H62" s="365" t="str">
        <x:v>Has a certain probability of causing fly-shooting damage</x:v>
      </x:c>
      <x:c r="I62" s="365" t="str">
        <x:v>Unlocked</x:v>
      </x:c>
      <x:c r="J62" s="365" t="str">
        <x:v>02:48.25</x:v>
      </x:c>
      <x:c r="K62" s="365"/>
      <x:c r="L62" s="365" t="str">
        <x:v>K60_SVID_20260828_001858_1.mp4</x:v>
      </x:c>
      <x:c r="M62" s="387" t="n">
        <x:f>IF(P62="OK",INDEX('Badge Lookup'!$B$6:$B$55,MATCH(F62,'Badge Lookup'!$A$6:$A$55,0)),0)</x:f>
        <x:v>320000</x:v>
      </x:c>
      <x:c r="N62" s="387" t="n">
        <x:f>IF(P62="OK",INDEX('Badge Lookup'!$C$6:$C$55,MATCH(F62,'Badge Lookup'!$A$6:$A$55,0)),0)</x:f>
        <x:v>2844300</x:v>
      </x:c>
      <x:c r="O62" s="388" t="n">
        <x:f>IF(P62="OK",INDEX('Badge Lookup'!$D$6:$D$55,MATCH(F62,'Badge Lookup'!$A$6:$A$55,0)),0)</x:f>
        <x:v>33.13</x:v>
      </x:c>
      <x:c r="P62" s="362" t="str">
        <x:f>IF(OR(G62="",F62=""),"Not scored",IF(AND(F62=INT(F62),F62&gt;=1,F62&lt;=50,COUNTIF('Badge Lookup'!$A$6:$A$55,F62)=1),"OK","Check lookup"))</x:f>
        <x:v>OK</x:v>
      </x:c>
      <x:c r="Q62" s="456" t="n">
        <x:f>IF(P62&lt;&gt;"OK","",IF(C62="Guards",-O62,O62))</x:f>
        <x:v>33.13</x:v>
      </x:c>
      <x:c r="R62" s="362" t="str">
        <x:f>IF(P62&lt;&gt;"OK","Not scored",IF(C62="Guards","Damage received reduction","Damage increase"))</x:f>
        <x:v>Damage increase</x:v>
      </x:c>
    </x:row>
    <x:row r="63" ht="32" customHeight="1">
      <x:c r="A63" s="365" t="str">
        <x:v>K60</x:v>
      </x:c>
      <x:c r="B63" s="365" t="str">
        <x:v>InFlames</x:v>
      </x:c>
      <x:c r="C63" s="365" t="str">
        <x:v>Siege</x:v>
      </x:c>
      <x:c r="D63" s="365" t="str">
        <x:v>Manglers</x:v>
      </x:c>
      <x:c r="E63" s="365" t="str">
        <x:v>Siege</x:v>
      </x:c>
      <x:c r="F63" s="365" t="n">
        <x:v>28</x:v>
      </x:c>
      <x:c r="G63" s="365" t="str">
        <x:v>Highly toxic</x:v>
      </x:c>
      <x:c r="H63" s="365" t="str">
        <x:v>Inflict continuous toxic damage</x:v>
      </x:c>
      <x:c r="I63" s="365" t="str">
        <x:v>Unlocked</x:v>
      </x:c>
      <x:c r="J63" s="365" t="str">
        <x:v>02:47.75</x:v>
      </x:c>
      <x:c r="K63" s="365"/>
      <x:c r="L63" s="365" t="str">
        <x:v>K60_SVID_20260828_001858_1.mp4</x:v>
      </x:c>
      <x:c r="M63" s="387" t="n">
        <x:f>IF(P63="OK",INDEX('Badge Lookup'!$B$6:$B$55,MATCH(F63,'Badge Lookup'!$A$6:$A$55,0)),0)</x:f>
        <x:v>70000</x:v>
      </x:c>
      <x:c r="N63" s="387" t="n">
        <x:f>IF(P63="OK",INDEX('Badge Lookup'!$C$6:$C$55,MATCH(F63,'Badge Lookup'!$A$6:$A$55,0)),0)</x:f>
        <x:v>619300</x:v>
      </x:c>
      <x:c r="O63" s="388" t="n">
        <x:f>IF(P63="OK",INDEX('Badge Lookup'!$D$6:$D$55,MATCH(F63,'Badge Lookup'!$A$6:$A$55,0)),0)</x:f>
        <x:v>8.24</x:v>
      </x:c>
      <x:c r="P63" s="362" t="str">
        <x:f>IF(OR(G63="",F63=""),"Not scored",IF(AND(F63=INT(F63),F63&gt;=1,F63&lt;=50,COUNTIF('Badge Lookup'!$A$6:$A$55,F63)=1),"OK","Check lookup"))</x:f>
        <x:v>OK</x:v>
      </x:c>
      <x:c r="Q63" s="456" t="n">
        <x:f>IF(P63&lt;&gt;"OK","",IF(C63="Guards",-O63,O63))</x:f>
        <x:v>8.24</x:v>
      </x:c>
      <x:c r="R63" s="362" t="str">
        <x:f>IF(P63&lt;&gt;"OK","Not scored",IF(C63="Guards","Damage received reduction","Damage increase"))</x:f>
        <x:v>Damage increase</x:v>
      </x:c>
    </x:row>
    <x:row r="64" ht="32" customHeight="1">
      <x:c r="A64" s="365" t="str">
        <x:v>K60</x:v>
      </x:c>
      <x:c r="B64" s="365" t="str">
        <x:v>ΨRØÇKYΨ</x:v>
      </x:c>
      <x:c r="C64" s="365" t="str">
        <x:v>Guards</x:v>
      </x:c>
      <x:c r="D64" s="365" t="str">
        <x:v>Destroyers</x:v>
      </x:c>
      <x:c r="E64" s="365" t="str">
        <x:v>Guard</x:v>
      </x:c>
      <x:c r="F64" s="365" t="n">
        <x:v>40</x:v>
      </x:c>
      <x:c r="G64" s="365" t="str">
        <x:v>Parry</x:v>
      </x:c>
      <x:c r="H64" s="365" t="str">
        <x:v>Provides a parry effect and a certain probability to increase damage</x:v>
      </x:c>
      <x:c r="I64" s="365" t="str">
        <x:v>Unlocked</x:v>
      </x:c>
      <x:c r="J64" s="365" t="str">
        <x:v>02:54.75</x:v>
      </x:c>
      <x:c r="K64" s="365"/>
      <x:c r="L64" s="365" t="str">
        <x:v>K60_SVID_20260828_001858_1.mp4</x:v>
      </x:c>
      <x:c r="M64" s="387" t="n">
        <x:f>IF(P64="OK",INDEX('Badge Lookup'!$B$6:$B$55,MATCH(F64,'Badge Lookup'!$A$6:$A$55,0)),0)</x:f>
        <x:v>240000</x:v>
      </x:c>
      <x:c r="N64" s="387" t="n">
        <x:f>IF(P64="OK",INDEX('Badge Lookup'!$C$6:$C$55,MATCH(F64,'Badge Lookup'!$A$6:$A$55,0)),0)</x:f>
        <x:v>2244300</x:v>
      </x:c>
      <x:c r="O64" s="388" t="n">
        <x:f>IF(P64="OK",INDEX('Badge Lookup'!$D$6:$D$55,MATCH(F64,'Badge Lookup'!$A$6:$A$55,0)),0)</x:f>
        <x:v>27.74</x:v>
      </x:c>
      <x:c r="P64" s="362" t="str">
        <x:f>IF(OR(G64="",F64=""),"Not scored",IF(AND(F64=INT(F64),F64&gt;=1,F64&lt;=50,COUNTIF('Badge Lookup'!$A$6:$A$55,F64)=1),"OK","Check lookup"))</x:f>
        <x:v>OK</x:v>
      </x:c>
      <x:c r="Q64" s="456" t="n">
        <x:f>IF(P64&lt;&gt;"OK","",IF(C64="Guards",-O64,O64))</x:f>
        <x:v>-27.74</x:v>
      </x:c>
      <x:c r="R64" s="362" t="str">
        <x:f>IF(P64&lt;&gt;"OK","Not scored",IF(C64="Guards","Damage received reduction","Damage increase"))</x:f>
        <x:v>Damage received reduction</x:v>
      </x:c>
    </x:row>
    <x:row r="65" ht="32" customHeight="1">
      <x:c r="A65" s="365" t="str">
        <x:v>K60</x:v>
      </x:c>
      <x:c r="B65" s="365" t="str">
        <x:v>ΨRØÇKYΨ</x:v>
      </x:c>
      <x:c r="C65" s="365" t="str">
        <x:v>Archers</x:v>
      </x:c>
      <x:c r="D65" s="365" t="str">
        <x:v>Elite bowmen</x:v>
      </x:c>
      <x:c r="E65" s="365" t="str">
        <x:v>Archer</x:v>
      </x:c>
      <x:c r="F65" s="365" t="n">
        <x:v>41</x:v>
      </x:c>
      <x:c r="G65" s="365" t="str">
        <x:v>Frost Arrow</x:v>
      </x:c>
      <x:c r="H65" s="365" t="str">
        <x:v>Has a higher probability of activating ice damage</x:v>
      </x:c>
      <x:c r="I65" s="365" t="str">
        <x:v>Unlocked</x:v>
      </x:c>
      <x:c r="J65" s="365" t="str">
        <x:v>02:55.75</x:v>
      </x:c>
      <x:c r="K65" s="365"/>
      <x:c r="L65" s="365" t="str">
        <x:v>K60_SVID_20260828_001858_1.mp4</x:v>
      </x:c>
      <x:c r="M65" s="387" t="n">
        <x:f>IF(P65="OK",INDEX('Badge Lookup'!$B$6:$B$55,MATCH(F65,'Badge Lookup'!$A$6:$A$55,0)),0)</x:f>
        <x:v>280000</x:v>
      </x:c>
      <x:c r="N65" s="387" t="n">
        <x:f>IF(P65="OK",INDEX('Badge Lookup'!$C$6:$C$55,MATCH(F65,'Badge Lookup'!$A$6:$A$55,0)),0)</x:f>
        <x:v>2524300</x:v>
      </x:c>
      <x:c r="O65" s="388" t="n">
        <x:f>IF(P65="OK",INDEX('Badge Lookup'!$D$6:$D$55,MATCH(F65,'Badge Lookup'!$A$6:$A$55,0)),0)</x:f>
        <x:v>30.38</x:v>
      </x:c>
      <x:c r="P65" s="362" t="str">
        <x:f>IF(OR(G65="",F65=""),"Not scored",IF(AND(F65=INT(F65),F65&gt;=1,F65&lt;=50,COUNTIF('Badge Lookup'!$A$6:$A$55,F65)=1),"OK","Check lookup"))</x:f>
        <x:v>OK</x:v>
      </x:c>
      <x:c r="Q65" s="456" t="n">
        <x:f>IF(P65&lt;&gt;"OK","",IF(C65="Guards",-O65,O65))</x:f>
        <x:v>30.38</x:v>
      </x:c>
      <x:c r="R65" s="362" t="str">
        <x:f>IF(P65&lt;&gt;"OK","Not scored",IF(C65="Guards","Damage received reduction","Damage increase"))</x:f>
        <x:v>Damage increase</x:v>
      </x:c>
    </x:row>
    <x:row r="66" ht="32" customHeight="1">
      <x:c r="A66" s="365" t="str">
        <x:v>K60</x:v>
      </x:c>
      <x:c r="B66" s="365" t="str">
        <x:v>ΨRØÇKYΨ</x:v>
      </x:c>
      <x:c r="C66" s="365" t="str">
        <x:v>Cavalry</x:v>
      </x:c>
      <x:c r="D66" s="365" t="str">
        <x:v>Eternal knights</x:v>
      </x:c>
      <x:c r="E66" s="365" t="str">
        <x:v>Heavy Cavalry</x:v>
      </x:c>
      <x:c r="F66" s="365" t="n">
        <x:v>45</x:v>
      </x:c>
      <x:c r="G66" s="365" t="str">
        <x:v>Thunder trample</x:v>
      </x:c>
      <x:c r="H66" s="365" t="str">
        <x:v>Has a certain probability of causing trampling damage</x:v>
      </x:c>
      <x:c r="I66" s="365" t="str">
        <x:v>Unlocked</x:v>
      </x:c>
      <x:c r="J66" s="365" t="str">
        <x:v>02:55.25</x:v>
      </x:c>
      <x:c r="K66" s="365"/>
      <x:c r="L66" s="365" t="str">
        <x:v>K60_SVID_20260828_001858_1.mp4</x:v>
      </x:c>
      <x:c r="M66" s="387" t="n">
        <x:f>IF(P66="OK",INDEX('Badge Lookup'!$B$6:$B$55,MATCH(F66,'Badge Lookup'!$A$6:$A$55,0)),0)</x:f>
        <x:v>560000</x:v>
      </x:c>
      <x:c r="N66" s="387" t="n">
        <x:f>IF(P66="OK",INDEX('Badge Lookup'!$C$6:$C$55,MATCH(F66,'Badge Lookup'!$A$6:$A$55,0)),0)</x:f>
        <x:v>4284300</x:v>
      </x:c>
      <x:c r="O66" s="388" t="n">
        <x:f>IF(P66="OK",INDEX('Badge Lookup'!$D$6:$D$55,MATCH(F66,'Badge Lookup'!$A$6:$A$55,0)),0)</x:f>
        <x:v>41.98</x:v>
      </x:c>
      <x:c r="P66" s="362" t="str">
        <x:f>IF(OR(G66="",F66=""),"Not scored",IF(AND(F66=INT(F66),F66&gt;=1,F66&lt;=50,COUNTIF('Badge Lookup'!$A$6:$A$55,F66)=1),"OK","Check lookup"))</x:f>
        <x:v>OK</x:v>
      </x:c>
      <x:c r="Q66" s="456" t="n">
        <x:f>IF(P66&lt;&gt;"OK","",IF(C66="Guards",-O66,O66))</x:f>
        <x:v>41.98</x:v>
      </x:c>
      <x:c r="R66" s="362" t="str">
        <x:f>IF(P66&lt;&gt;"OK","Not scored",IF(C66="Guards","Damage received reduction","Damage increase"))</x:f>
        <x:v>Damage increase</x:v>
      </x:c>
    </x:row>
    <x:row r="67" ht="32" customHeight="1">
      <x:c r="A67" s="365" t="str">
        <x:v>K60</x:v>
      </x:c>
      <x:c r="B67" s="365" t="str">
        <x:v>ΨRØÇKYΨ</x:v>
      </x:c>
      <x:c r="C67" s="365" t="str">
        <x:v>Cavalry</x:v>
      </x:c>
      <x:c r="D67" s="365" t="str">
        <x:v>Storm cavalry</x:v>
      </x:c>
      <x:c r="E67" s="365" t="str">
        <x:v>Horse archer</x:v>
      </x:c>
      <x:c r="F67" s="365" t="n">
        <x:v>45</x:v>
      </x:c>
      <x:c r="G67" s="365" t="str">
        <x:v>Mounted Archery</x:v>
      </x:c>
      <x:c r="H67" s="365" t="str">
        <x:v>Has a certain probability of causing fly-shooting damage</x:v>
      </x:c>
      <x:c r="I67" s="365" t="str">
        <x:v>Unlocked</x:v>
      </x:c>
      <x:c r="J67" s="365" t="str">
        <x:v>02:56.5</x:v>
      </x:c>
      <x:c r="K67" s="365"/>
      <x:c r="L67" s="365" t="str">
        <x:v>K60_SVID_20260828_001858_1.mp4</x:v>
      </x:c>
      <x:c r="M67" s="387" t="n">
        <x:f>IF(P67="OK",INDEX('Badge Lookup'!$B$6:$B$55,MATCH(F67,'Badge Lookup'!$A$6:$A$55,0)),0)</x:f>
        <x:v>560000</x:v>
      </x:c>
      <x:c r="N67" s="387" t="n">
        <x:f>IF(P67="OK",INDEX('Badge Lookup'!$C$6:$C$55,MATCH(F67,'Badge Lookup'!$A$6:$A$55,0)),0)</x:f>
        <x:v>4284300</x:v>
      </x:c>
      <x:c r="O67" s="388" t="n">
        <x:f>IF(P67="OK",INDEX('Badge Lookup'!$D$6:$D$55,MATCH(F67,'Badge Lookup'!$A$6:$A$55,0)),0)</x:f>
        <x:v>41.98</x:v>
      </x:c>
      <x:c r="P67" s="362" t="str">
        <x:f>IF(OR(G67="",F67=""),"Not scored",IF(AND(F67=INT(F67),F67&gt;=1,F67&lt;=50,COUNTIF('Badge Lookup'!$A$6:$A$55,F67)=1),"OK","Check lookup"))</x:f>
        <x:v>OK</x:v>
      </x:c>
      <x:c r="Q67" s="456" t="n">
        <x:f>IF(P67&lt;&gt;"OK","",IF(C67="Guards",-O67,O67))</x:f>
        <x:v>41.98</x:v>
      </x:c>
      <x:c r="R67" s="362" t="str">
        <x:f>IF(P67&lt;&gt;"OK","Not scored",IF(C67="Guards","Damage received reduction","Damage increase"))</x:f>
        <x:v>Damage increase</x:v>
      </x:c>
    </x:row>
    <x:row r="68" ht="32" customHeight="1">
      <x:c r="A68" s="365" t="str">
        <x:v>K60</x:v>
      </x:c>
      <x:c r="B68" s="365" t="str">
        <x:v>Jepp</x:v>
      </x:c>
      <x:c r="C68" s="365" t="str">
        <x:v>Guards</x:v>
      </x:c>
      <x:c r="D68" s="365" t="str">
        <x:v>Destroyers</x:v>
      </x:c>
      <x:c r="E68" s="365" t="str">
        <x:v>Guard</x:v>
      </x:c>
      <x:c r="F68" s="365" t="n">
        <x:v>40</x:v>
      </x:c>
      <x:c r="G68" s="365" t="str">
        <x:v>Parry</x:v>
      </x:c>
      <x:c r="H68" s="365" t="str">
        <x:v>Provides a parry effect and a certain probability to increase damage</x:v>
      </x:c>
      <x:c r="I68" s="365" t="str">
        <x:v>Unlocked</x:v>
      </x:c>
      <x:c r="J68" s="365" t="str">
        <x:v>03:03.0</x:v>
      </x:c>
      <x:c r="K68" s="365"/>
      <x:c r="L68" s="365" t="str">
        <x:v>K60_SVID_20260828_001858_1.mp4</x:v>
      </x:c>
      <x:c r="M68" s="387" t="n">
        <x:f>IF(P68="OK",INDEX('Badge Lookup'!$B$6:$B$55,MATCH(F68,'Badge Lookup'!$A$6:$A$55,0)),0)</x:f>
        <x:v>240000</x:v>
      </x:c>
      <x:c r="N68" s="387" t="n">
        <x:f>IF(P68="OK",INDEX('Badge Lookup'!$C$6:$C$55,MATCH(F68,'Badge Lookup'!$A$6:$A$55,0)),0)</x:f>
        <x:v>2244300</x:v>
      </x:c>
      <x:c r="O68" s="388" t="n">
        <x:f>IF(P68="OK",INDEX('Badge Lookup'!$D$6:$D$55,MATCH(F68,'Badge Lookup'!$A$6:$A$55,0)),0)</x:f>
        <x:v>27.74</x:v>
      </x:c>
      <x:c r="P68" s="362" t="str">
        <x:f>IF(OR(G68="",F68=""),"Not scored",IF(AND(F68=INT(F68),F68&gt;=1,F68&lt;=50,COUNTIF('Badge Lookup'!$A$6:$A$55,F68)=1),"OK","Check lookup"))</x:f>
        <x:v>OK</x:v>
      </x:c>
      <x:c r="Q68" s="456" t="n">
        <x:f>IF(P68&lt;&gt;"OK","",IF(C68="Guards",-O68,O68))</x:f>
        <x:v>-27.74</x:v>
      </x:c>
      <x:c r="R68" s="362" t="str">
        <x:f>IF(P68&lt;&gt;"OK","Not scored",IF(C68="Guards","Damage received reduction","Damage increase"))</x:f>
        <x:v>Damage received reduction</x:v>
      </x:c>
    </x:row>
    <x:row r="69" ht="32" customHeight="1">
      <x:c r="A69" s="365" t="str">
        <x:v>K60</x:v>
      </x:c>
      <x:c r="B69" s="365" t="str">
        <x:v>Jepp</x:v>
      </x:c>
      <x:c r="C69" s="365" t="str">
        <x:v>Archers</x:v>
      </x:c>
      <x:c r="D69" s="365" t="str">
        <x:v>Elite bowmen</x:v>
      </x:c>
      <x:c r="E69" s="365" t="str">
        <x:v>Archer</x:v>
      </x:c>
      <x:c r="F69" s="365" t="n">
        <x:v>40</x:v>
      </x:c>
      <x:c r="G69" s="365" t="str">
        <x:v>Frost Arrow</x:v>
      </x:c>
      <x:c r="H69" s="365" t="str">
        <x:v>Has a higher probability of activating ice damage</x:v>
      </x:c>
      <x:c r="I69" s="365" t="str">
        <x:v>Unlocked</x:v>
      </x:c>
      <x:c r="J69" s="365" t="str">
        <x:v>03:04.0</x:v>
      </x:c>
      <x:c r="K69" s="365"/>
      <x:c r="L69" s="365" t="str">
        <x:v>K60_SVID_20260828_001858_1.mp4</x:v>
      </x:c>
      <x:c r="M69" s="387" t="n">
        <x:f>IF(P69="OK",INDEX('Badge Lookup'!$B$6:$B$55,MATCH(F69,'Badge Lookup'!$A$6:$A$55,0)),0)</x:f>
        <x:v>240000</x:v>
      </x:c>
      <x:c r="N69" s="387" t="n">
        <x:f>IF(P69="OK",INDEX('Badge Lookup'!$C$6:$C$55,MATCH(F69,'Badge Lookup'!$A$6:$A$55,0)),0)</x:f>
        <x:v>2244300</x:v>
      </x:c>
      <x:c r="O69" s="388" t="n">
        <x:f>IF(P69="OK",INDEX('Badge Lookup'!$D$6:$D$55,MATCH(F69,'Badge Lookup'!$A$6:$A$55,0)),0)</x:f>
        <x:v>27.74</x:v>
      </x:c>
      <x:c r="P69" s="362" t="str">
        <x:f>IF(OR(G69="",F69=""),"Not scored",IF(AND(F69=INT(F69),F69&gt;=1,F69&lt;=50,COUNTIF('Badge Lookup'!$A$6:$A$55,F69)=1),"OK","Check lookup"))</x:f>
        <x:v>OK</x:v>
      </x:c>
      <x:c r="Q69" s="456" t="n">
        <x:f>IF(P69&lt;&gt;"OK","",IF(C69="Guards",-O69,O69))</x:f>
        <x:v>27.74</x:v>
      </x:c>
      <x:c r="R69" s="362" t="str">
        <x:f>IF(P69&lt;&gt;"OK","Not scored",IF(C69="Guards","Damage received reduction","Damage increase"))</x:f>
        <x:v>Damage increase</x:v>
      </x:c>
    </x:row>
    <x:row r="70" ht="32" customHeight="1">
      <x:c r="A70" s="365" t="str">
        <x:v>K60</x:v>
      </x:c>
      <x:c r="B70" s="365" t="str">
        <x:v>Jepp</x:v>
      </x:c>
      <x:c r="C70" s="365" t="str">
        <x:v>Cavalry</x:v>
      </x:c>
      <x:c r="D70" s="365" t="str">
        <x:v>Eternal knights</x:v>
      </x:c>
      <x:c r="E70" s="365" t="str">
        <x:v>Heavy Cavalry</x:v>
      </x:c>
      <x:c r="F70" s="365" t="n">
        <x:v>44</x:v>
      </x:c>
      <x:c r="G70" s="365" t="str">
        <x:v>Thunder trample</x:v>
      </x:c>
      <x:c r="H70" s="365" t="str">
        <x:v>Has a certain probability of causing trampling damage</x:v>
      </x:c>
      <x:c r="I70" s="365" t="str">
        <x:v>Unlocked</x:v>
      </x:c>
      <x:c r="J70" s="365" t="str">
        <x:v>03:03.5</x:v>
      </x:c>
      <x:c r="K70" s="365"/>
      <x:c r="L70" s="365" t="str">
        <x:v>K60_SVID_20260828_001858_1.mp4</x:v>
      </x:c>
      <x:c r="M70" s="387" t="n">
        <x:f>IF(P70="OK",INDEX('Badge Lookup'!$B$6:$B$55,MATCH(F70,'Badge Lookup'!$A$6:$A$55,0)),0)</x:f>
        <x:v>480000</x:v>
      </x:c>
      <x:c r="N70" s="387" t="n">
        <x:f>IF(P70="OK",INDEX('Badge Lookup'!$C$6:$C$55,MATCH(F70,'Badge Lookup'!$A$6:$A$55,0)),0)</x:f>
        <x:v>3724300</x:v>
      </x:c>
      <x:c r="O70" s="388" t="n">
        <x:f>IF(P70="OK",INDEX('Badge Lookup'!$D$6:$D$55,MATCH(F70,'Badge Lookup'!$A$6:$A$55,0)),0)</x:f>
        <x:v>39.93</x:v>
      </x:c>
      <x:c r="P70" s="362" t="str">
        <x:f>IF(OR(G70="",F70=""),"Not scored",IF(AND(F70=INT(F70),F70&gt;=1,F70&lt;=50,COUNTIF('Badge Lookup'!$A$6:$A$55,F70)=1),"OK","Check lookup"))</x:f>
        <x:v>OK</x:v>
      </x:c>
      <x:c r="Q70" s="456" t="n">
        <x:f>IF(P70&lt;&gt;"OK","",IF(C70="Guards",-O70,O70))</x:f>
        <x:v>39.93</x:v>
      </x:c>
      <x:c r="R70" s="362" t="str">
        <x:f>IF(P70&lt;&gt;"OK","Not scored",IF(C70="Guards","Damage received reduction","Damage increase"))</x:f>
        <x:v>Damage increase</x:v>
      </x:c>
    </x:row>
    <x:row r="71" ht="32" customHeight="1">
      <x:c r="A71" s="365" t="str">
        <x:v>K60</x:v>
      </x:c>
      <x:c r="B71" s="365" t="str">
        <x:v>Jepp</x:v>
      </x:c>
      <x:c r="C71" s="365" t="str">
        <x:v>Cavalry</x:v>
      </x:c>
      <x:c r="D71" s="365" t="str">
        <x:v>Storm cavalry</x:v>
      </x:c>
      <x:c r="E71" s="365" t="str">
        <x:v>Horse archer</x:v>
      </x:c>
      <x:c r="F71" s="365" t="n">
        <x:v>45</x:v>
      </x:c>
      <x:c r="G71" s="365" t="str">
        <x:v>Mounted Archery</x:v>
      </x:c>
      <x:c r="H71" s="365" t="str">
        <x:v>Has a certain probability of causing fly-shooting damage</x:v>
      </x:c>
      <x:c r="I71" s="365" t="str">
        <x:v>Unlocked</x:v>
      </x:c>
      <x:c r="J71" s="365" t="str">
        <x:v>03:04.5</x:v>
      </x:c>
      <x:c r="K71" s="365"/>
      <x:c r="L71" s="365" t="str">
        <x:v>K60_SVID_20260828_001858_1.mp4</x:v>
      </x:c>
      <x:c r="M71" s="387" t="n">
        <x:f>IF(P71="OK",INDEX('Badge Lookup'!$B$6:$B$55,MATCH(F71,'Badge Lookup'!$A$6:$A$55,0)),0)</x:f>
        <x:v>560000</x:v>
      </x:c>
      <x:c r="N71" s="387" t="n">
        <x:f>IF(P71="OK",INDEX('Badge Lookup'!$C$6:$C$55,MATCH(F71,'Badge Lookup'!$A$6:$A$55,0)),0)</x:f>
        <x:v>4284300</x:v>
      </x:c>
      <x:c r="O71" s="388" t="n">
        <x:f>IF(P71="OK",INDEX('Badge Lookup'!$D$6:$D$55,MATCH(F71,'Badge Lookup'!$A$6:$A$55,0)),0)</x:f>
        <x:v>41.98</x:v>
      </x:c>
      <x:c r="P71" s="362" t="str">
        <x:f>IF(OR(G71="",F71=""),"Not scored",IF(AND(F71=INT(F71),F71&gt;=1,F71&lt;=50,COUNTIF('Badge Lookup'!$A$6:$A$55,F71)=1),"OK","Check lookup"))</x:f>
        <x:v>OK</x:v>
      </x:c>
      <x:c r="Q71" s="456" t="n">
        <x:f>IF(P71&lt;&gt;"OK","",IF(C71="Guards",-O71,O71))</x:f>
        <x:v>41.98</x:v>
      </x:c>
      <x:c r="R71" s="362" t="str">
        <x:f>IF(P71&lt;&gt;"OK","Not scored",IF(C71="Guards","Damage received reduction","Damage increase"))</x:f>
        <x:v>Damage increase</x:v>
      </x:c>
    </x:row>
    <x:row r="72" ht="32" customHeight="1">
      <x:c r="A72" s="365" t="str">
        <x:v>K60</x:v>
      </x:c>
      <x:c r="B72" s="365" t="str">
        <x:v>kvisteer</x:v>
      </x:c>
      <x:c r="C72" s="365" t="str">
        <x:v>Guards</x:v>
      </x:c>
      <x:c r="D72" s="365" t="str">
        <x:v>Destroyers</x:v>
      </x:c>
      <x:c r="E72" s="365" t="str">
        <x:v>Guard</x:v>
      </x:c>
      <x:c r="F72" s="365" t="n">
        <x:v>40</x:v>
      </x:c>
      <x:c r="G72" s="365" t="str">
        <x:v>Parry</x:v>
      </x:c>
      <x:c r="H72" s="365" t="str">
        <x:v>Provides a parry effect and a certain probability to increase damage</x:v>
      </x:c>
      <x:c r="I72" s="365" t="str">
        <x:v>Unlocked</x:v>
      </x:c>
      <x:c r="J72" s="365" t="str">
        <x:v>03:08.5</x:v>
      </x:c>
      <x:c r="K72" s="365"/>
      <x:c r="L72" s="365" t="str">
        <x:v>K60_SVID_20260828_001858_1.mp4</x:v>
      </x:c>
      <x:c r="M72" s="387" t="n">
        <x:f>IF(P72="OK",INDEX('Badge Lookup'!$B$6:$B$55,MATCH(F72,'Badge Lookup'!$A$6:$A$55,0)),0)</x:f>
        <x:v>240000</x:v>
      </x:c>
      <x:c r="N72" s="387" t="n">
        <x:f>IF(P72="OK",INDEX('Badge Lookup'!$C$6:$C$55,MATCH(F72,'Badge Lookup'!$A$6:$A$55,0)),0)</x:f>
        <x:v>2244300</x:v>
      </x:c>
      <x:c r="O72" s="388" t="n">
        <x:f>IF(P72="OK",INDEX('Badge Lookup'!$D$6:$D$55,MATCH(F72,'Badge Lookup'!$A$6:$A$55,0)),0)</x:f>
        <x:v>27.74</x:v>
      </x:c>
      <x:c r="P72" s="362" t="str">
        <x:f>IF(OR(G72="",F72=""),"Not scored",IF(AND(F72=INT(F72),F72&gt;=1,F72&lt;=50,COUNTIF('Badge Lookup'!$A$6:$A$55,F72)=1),"OK","Check lookup"))</x:f>
        <x:v>OK</x:v>
      </x:c>
      <x:c r="Q72" s="456" t="n">
        <x:f>IF(P72&lt;&gt;"OK","",IF(C72="Guards",-O72,O72))</x:f>
        <x:v>-27.74</x:v>
      </x:c>
      <x:c r="R72" s="362" t="str">
        <x:f>IF(P72&lt;&gt;"OK","Not scored",IF(C72="Guards","Damage received reduction","Damage increase"))</x:f>
        <x:v>Damage received reduction</x:v>
      </x:c>
    </x:row>
    <x:row r="73" ht="32" customHeight="1">
      <x:c r="A73" s="365" t="str">
        <x:v>K60</x:v>
      </x:c>
      <x:c r="B73" s="365" t="str">
        <x:v>kvisteer</x:v>
      </x:c>
      <x:c r="C73" s="365" t="str">
        <x:v>Archers</x:v>
      </x:c>
      <x:c r="D73" s="365" t="str">
        <x:v>Elite bowmen</x:v>
      </x:c>
      <x:c r="E73" s="365" t="str">
        <x:v>Archer</x:v>
      </x:c>
      <x:c r="F73" s="365" t="n">
        <x:v>43</x:v>
      </x:c>
      <x:c r="G73" s="365" t="str">
        <x:v>Frost Arrow</x:v>
      </x:c>
      <x:c r="H73" s="365" t="str">
        <x:v>Has a higher probability of activating ice damage</x:v>
      </x:c>
      <x:c r="I73" s="365" t="str">
        <x:v>Unlocked</x:v>
      </x:c>
      <x:c r="J73" s="365" t="str">
        <x:v>03:10.25</x:v>
      </x:c>
      <x:c r="K73" s="365"/>
      <x:c r="L73" s="365" t="str">
        <x:v>K60_SVID_20260828_001858_1.mp4</x:v>
      </x:c>
      <x:c r="M73" s="387" t="n">
        <x:f>IF(P73="OK",INDEX('Badge Lookup'!$B$6:$B$55,MATCH(F73,'Badge Lookup'!$A$6:$A$55,0)),0)</x:f>
        <x:v>400000</x:v>
      </x:c>
      <x:c r="N73" s="387" t="n">
        <x:f>IF(P73="OK",INDEX('Badge Lookup'!$C$6:$C$55,MATCH(F73,'Badge Lookup'!$A$6:$A$55,0)),0)</x:f>
        <x:v>3244300</x:v>
      </x:c>
      <x:c r="O73" s="388" t="n">
        <x:f>IF(P73="OK",INDEX('Badge Lookup'!$D$6:$D$55,MATCH(F73,'Badge Lookup'!$A$6:$A$55,0)),0)</x:f>
        <x:v>35.98</x:v>
      </x:c>
      <x:c r="P73" s="362" t="str">
        <x:f>IF(OR(G73="",F73=""),"Not scored",IF(AND(F73=INT(F73),F73&gt;=1,F73&lt;=50,COUNTIF('Badge Lookup'!$A$6:$A$55,F73)=1),"OK","Check lookup"))</x:f>
        <x:v>OK</x:v>
      </x:c>
      <x:c r="Q73" s="456" t="n">
        <x:f>IF(P73&lt;&gt;"OK","",IF(C73="Guards",-O73,O73))</x:f>
        <x:v>35.98</x:v>
      </x:c>
      <x:c r="R73" s="362" t="str">
        <x:f>IF(P73&lt;&gt;"OK","Not scored",IF(C73="Guards","Damage received reduction","Damage increase"))</x:f>
        <x:v>Damage increase</x:v>
      </x:c>
    </x:row>
    <x:row r="74" ht="32" customHeight="1">
      <x:c r="A74" s="365" t="str">
        <x:v>K60</x:v>
      </x:c>
      <x:c r="B74" s="365" t="str">
        <x:v>kvisteer</x:v>
      </x:c>
      <x:c r="C74" s="365" t="str">
        <x:v>Cavalry</x:v>
      </x:c>
      <x:c r="D74" s="365" t="str">
        <x:v>Eternal knights</x:v>
      </x:c>
      <x:c r="E74" s="365" t="str">
        <x:v>Heavy Cavalry</x:v>
      </x:c>
      <x:c r="F74" s="365" t="n">
        <x:v>47</x:v>
      </x:c>
      <x:c r="G74" s="365" t="str">
        <x:v>Thunder trample</x:v>
      </x:c>
      <x:c r="H74" s="365" t="str">
        <x:v>Has a certain probability of causing trampling damage</x:v>
      </x:c>
      <x:c r="I74" s="365" t="str">
        <x:v>Unlocked</x:v>
      </x:c>
      <x:c r="J74" s="365" t="str">
        <x:v>03:09.25</x:v>
      </x:c>
      <x:c r="K74" s="365"/>
      <x:c r="L74" s="365" t="str">
        <x:v>K60_SVID_20260828_001858_1.mp4</x:v>
      </x:c>
      <x:c r="M74" s="387" t="n">
        <x:f>IF(P74="OK",INDEX('Badge Lookup'!$B$6:$B$55,MATCH(F74,'Badge Lookup'!$A$6:$A$55,0)),0)</x:f>
        <x:v>880000</x:v>
      </x:c>
      <x:c r="N74" s="387" t="n">
        <x:f>IF(P74="OK",INDEX('Badge Lookup'!$C$6:$C$55,MATCH(F74,'Badge Lookup'!$A$6:$A$55,0)),0)</x:f>
        <x:v>5884300</x:v>
      </x:c>
      <x:c r="O74" s="388" t="n">
        <x:f>IF(P74="OK",INDEX('Badge Lookup'!$D$6:$D$55,MATCH(F74,'Badge Lookup'!$A$6:$A$55,0)),0)</x:f>
        <x:v>48.38</x:v>
      </x:c>
      <x:c r="P74" s="362" t="str">
        <x:f>IF(OR(G74="",F74=""),"Not scored",IF(AND(F74=INT(F74),F74&gt;=1,F74&lt;=50,COUNTIF('Badge Lookup'!$A$6:$A$55,F74)=1),"OK","Check lookup"))</x:f>
        <x:v>OK</x:v>
      </x:c>
      <x:c r="Q74" s="456" t="n">
        <x:f>IF(P74&lt;&gt;"OK","",IF(C74="Guards",-O74,O74))</x:f>
        <x:v>48.38</x:v>
      </x:c>
      <x:c r="R74" s="362" t="str">
        <x:f>IF(P74&lt;&gt;"OK","Not scored",IF(C74="Guards","Damage received reduction","Damage increase"))</x:f>
        <x:v>Damage increase</x:v>
      </x:c>
    </x:row>
    <x:row r="75" ht="32" customHeight="1">
      <x:c r="A75" s="365" t="str">
        <x:v>K60</x:v>
      </x:c>
      <x:c r="B75" s="365" t="str">
        <x:v>kvisteer</x:v>
      </x:c>
      <x:c r="C75" s="365" t="str">
        <x:v>Cavalry</x:v>
      </x:c>
      <x:c r="D75" s="365" t="str">
        <x:v>Storm cavalry</x:v>
      </x:c>
      <x:c r="E75" s="365" t="str">
        <x:v>Horse archer</x:v>
      </x:c>
      <x:c r="F75" s="365" t="n">
        <x:v>47</x:v>
      </x:c>
      <x:c r="G75" s="365" t="str">
        <x:v>Mounted Archery</x:v>
      </x:c>
      <x:c r="H75" s="365" t="str">
        <x:v>Has a certain probability of causing fly-shooting damage</x:v>
      </x:c>
      <x:c r="I75" s="365" t="str">
        <x:v>Unlocked</x:v>
      </x:c>
      <x:c r="J75" s="365" t="str">
        <x:v>03:11.0</x:v>
      </x:c>
      <x:c r="K75" s="365"/>
      <x:c r="L75" s="365" t="str">
        <x:v>K60_SVID_20260828_001858_1.mp4</x:v>
      </x:c>
      <x:c r="M75" s="387" t="n">
        <x:f>IF(P75="OK",INDEX('Badge Lookup'!$B$6:$B$55,MATCH(F75,'Badge Lookup'!$A$6:$A$55,0)),0)</x:f>
        <x:v>880000</x:v>
      </x:c>
      <x:c r="N75" s="387" t="n">
        <x:f>IF(P75="OK",INDEX('Badge Lookup'!$C$6:$C$55,MATCH(F75,'Badge Lookup'!$A$6:$A$55,0)),0)</x:f>
        <x:v>5884300</x:v>
      </x:c>
      <x:c r="O75" s="388" t="n">
        <x:f>IF(P75="OK",INDEX('Badge Lookup'!$D$6:$D$55,MATCH(F75,'Badge Lookup'!$A$6:$A$55,0)),0)</x:f>
        <x:v>48.38</x:v>
      </x:c>
      <x:c r="P75" s="362" t="str">
        <x:f>IF(OR(G75="",F75=""),"Not scored",IF(AND(F75=INT(F75),F75&gt;=1,F75&lt;=50,COUNTIF('Badge Lookup'!$A$6:$A$55,F75)=1),"OK","Check lookup"))</x:f>
        <x:v>OK</x:v>
      </x:c>
      <x:c r="Q75" s="456" t="n">
        <x:f>IF(P75&lt;&gt;"OK","",IF(C75="Guards",-O75,O75))</x:f>
        <x:v>48.38</x:v>
      </x:c>
      <x:c r="R75" s="362" t="str">
        <x:f>IF(P75&lt;&gt;"OK","Not scored",IF(C75="Guards","Damage received reduction","Damage increase"))</x:f>
        <x:v>Damage increase</x:v>
      </x:c>
    </x:row>
    <x:row r="76" ht="32" customHeight="1">
      <x:c r="A76" s="365" t="str">
        <x:v>K60</x:v>
      </x:c>
      <x:c r="B76" s="365" t="str">
        <x:v>Blud</x:v>
      </x:c>
      <x:c r="C76" s="365" t="str">
        <x:v>Guards</x:v>
      </x:c>
      <x:c r="D76" s="365" t="str">
        <x:v>Destroyers</x:v>
      </x:c>
      <x:c r="E76" s="365" t="str">
        <x:v>Guard</x:v>
      </x:c>
      <x:c r="F76" s="365" t="n">
        <x:v>40</x:v>
      </x:c>
      <x:c r="G76" s="365" t="str">
        <x:v>Parry</x:v>
      </x:c>
      <x:c r="H76" s="365" t="str">
        <x:v>Provides a parry effect and a certain probability to increase damage</x:v>
      </x:c>
      <x:c r="I76" s="365" t="str">
        <x:v>Unlocked</x:v>
      </x:c>
      <x:c r="J76" s="365" t="str">
        <x:v>03:18.3</x:v>
      </x:c>
      <x:c r="K76" s="365"/>
      <x:c r="L76" s="365" t="str">
        <x:v>K60_SVID_20260828_001858_1.mp4</x:v>
      </x:c>
      <x:c r="M76" s="387" t="n">
        <x:f>IF(P76="OK",INDEX('Badge Lookup'!$B$6:$B$55,MATCH(F76,'Badge Lookup'!$A$6:$A$55,0)),0)</x:f>
        <x:v>240000</x:v>
      </x:c>
      <x:c r="N76" s="387" t="n">
        <x:f>IF(P76="OK",INDEX('Badge Lookup'!$C$6:$C$55,MATCH(F76,'Badge Lookup'!$A$6:$A$55,0)),0)</x:f>
        <x:v>2244300</x:v>
      </x:c>
      <x:c r="O76" s="388" t="n">
        <x:f>IF(P76="OK",INDEX('Badge Lookup'!$D$6:$D$55,MATCH(F76,'Badge Lookup'!$A$6:$A$55,0)),0)</x:f>
        <x:v>27.74</x:v>
      </x:c>
      <x:c r="P76" s="362" t="str">
        <x:f>IF(OR(G76="",F76=""),"Not scored",IF(AND(F76=INT(F76),F76&gt;=1,F76&lt;=50,COUNTIF('Badge Lookup'!$A$6:$A$55,F76)=1),"OK","Check lookup"))</x:f>
        <x:v>OK</x:v>
      </x:c>
      <x:c r="Q76" s="456" t="n">
        <x:f>IF(P76&lt;&gt;"OK","",IF(C76="Guards",-O76,O76))</x:f>
        <x:v>-27.74</x:v>
      </x:c>
      <x:c r="R76" s="362" t="str">
        <x:f>IF(P76&lt;&gt;"OK","Not scored",IF(C76="Guards","Damage received reduction","Damage increase"))</x:f>
        <x:v>Damage received reduction</x:v>
      </x:c>
    </x:row>
    <x:row r="77" ht="32" customHeight="1">
      <x:c r="A77" s="365" t="str">
        <x:v>K60</x:v>
      </x:c>
      <x:c r="B77" s="365" t="str">
        <x:v>Blud</x:v>
      </x:c>
      <x:c r="C77" s="365" t="str">
        <x:v>Archers</x:v>
      </x:c>
      <x:c r="D77" s="365" t="str">
        <x:v>Elite bowmen</x:v>
      </x:c>
      <x:c r="E77" s="365" t="str">
        <x:v>Archer</x:v>
      </x:c>
      <x:c r="F77" s="365" t="n">
        <x:v>40</x:v>
      </x:c>
      <x:c r="G77" s="365" t="str">
        <x:v>Frost Arrow</x:v>
      </x:c>
      <x:c r="H77" s="365" t="str">
        <x:v>Has a higher probability of activating ice damage</x:v>
      </x:c>
      <x:c r="I77" s="365" t="str">
        <x:v>Unlocked</x:v>
      </x:c>
      <x:c r="J77" s="365" t="str">
        <x:v>03:19.4</x:v>
      </x:c>
      <x:c r="K77" s="365"/>
      <x:c r="L77" s="365" t="str">
        <x:v>K60_SVID_20260828_001858_1.mp4</x:v>
      </x:c>
      <x:c r="M77" s="387" t="n">
        <x:f>IF(P77="OK",INDEX('Badge Lookup'!$B$6:$B$55,MATCH(F77,'Badge Lookup'!$A$6:$A$55,0)),0)</x:f>
        <x:v>240000</x:v>
      </x:c>
      <x:c r="N77" s="387" t="n">
        <x:f>IF(P77="OK",INDEX('Badge Lookup'!$C$6:$C$55,MATCH(F77,'Badge Lookup'!$A$6:$A$55,0)),0)</x:f>
        <x:v>2244300</x:v>
      </x:c>
      <x:c r="O77" s="388" t="n">
        <x:f>IF(P77="OK",INDEX('Badge Lookup'!$D$6:$D$55,MATCH(F77,'Badge Lookup'!$A$6:$A$55,0)),0)</x:f>
        <x:v>27.74</x:v>
      </x:c>
      <x:c r="P77" s="362" t="str">
        <x:f>IF(OR(G77="",F77=""),"Not scored",IF(AND(F77=INT(F77),F77&gt;=1,F77&lt;=50,COUNTIF('Badge Lookup'!$A$6:$A$55,F77)=1),"OK","Check lookup"))</x:f>
        <x:v>OK</x:v>
      </x:c>
      <x:c r="Q77" s="456" t="n">
        <x:f>IF(P77&lt;&gt;"OK","",IF(C77="Guards",-O77,O77))</x:f>
        <x:v>27.74</x:v>
      </x:c>
      <x:c r="R77" s="362" t="str">
        <x:f>IF(P77&lt;&gt;"OK","Not scored",IF(C77="Guards","Damage received reduction","Damage increase"))</x:f>
        <x:v>Damage increase</x:v>
      </x:c>
    </x:row>
    <x:row r="78" ht="32" customHeight="1">
      <x:c r="A78" s="365" t="str">
        <x:v>K60</x:v>
      </x:c>
      <x:c r="B78" s="365" t="str">
        <x:v>Blud</x:v>
      </x:c>
      <x:c r="C78" s="365" t="str">
        <x:v>Cavalry</x:v>
      </x:c>
      <x:c r="D78" s="365" t="str">
        <x:v>Eternal knights</x:v>
      </x:c>
      <x:c r="E78" s="365" t="str">
        <x:v>Heavy Cavalry</x:v>
      </x:c>
      <x:c r="F78" s="365" t="n">
        <x:v>44</x:v>
      </x:c>
      <x:c r="G78" s="365" t="str">
        <x:v>Thunder trample</x:v>
      </x:c>
      <x:c r="H78" s="365" t="str">
        <x:v>Has a certain probability of causing trampling damage</x:v>
      </x:c>
      <x:c r="I78" s="365" t="str">
        <x:v>Unlocked</x:v>
      </x:c>
      <x:c r="J78" s="365" t="str">
        <x:v>03:18.8</x:v>
      </x:c>
      <x:c r="K78" s="365"/>
      <x:c r="L78" s="365" t="str">
        <x:v>K60_SVID_20260828_001858_1.mp4</x:v>
      </x:c>
      <x:c r="M78" s="387" t="n">
        <x:f>IF(P78="OK",INDEX('Badge Lookup'!$B$6:$B$55,MATCH(F78,'Badge Lookup'!$A$6:$A$55,0)),0)</x:f>
        <x:v>480000</x:v>
      </x:c>
      <x:c r="N78" s="387" t="n">
        <x:f>IF(P78="OK",INDEX('Badge Lookup'!$C$6:$C$55,MATCH(F78,'Badge Lookup'!$A$6:$A$55,0)),0)</x:f>
        <x:v>3724300</x:v>
      </x:c>
      <x:c r="O78" s="388" t="n">
        <x:f>IF(P78="OK",INDEX('Badge Lookup'!$D$6:$D$55,MATCH(F78,'Badge Lookup'!$A$6:$A$55,0)),0)</x:f>
        <x:v>39.93</x:v>
      </x:c>
      <x:c r="P78" s="362" t="str">
        <x:f>IF(OR(G78="",F78=""),"Not scored",IF(AND(F78=INT(F78),F78&gt;=1,F78&lt;=50,COUNTIF('Badge Lookup'!$A$6:$A$55,F78)=1),"OK","Check lookup"))</x:f>
        <x:v>OK</x:v>
      </x:c>
      <x:c r="Q78" s="456" t="n">
        <x:f>IF(P78&lt;&gt;"OK","",IF(C78="Guards",-O78,O78))</x:f>
        <x:v>39.93</x:v>
      </x:c>
      <x:c r="R78" s="362" t="str">
        <x:f>IF(P78&lt;&gt;"OK","Not scored",IF(C78="Guards","Damage received reduction","Damage increase"))</x:f>
        <x:v>Damage increase</x:v>
      </x:c>
    </x:row>
    <x:row r="79" ht="32" customHeight="1">
      <x:c r="A79" s="365" t="str">
        <x:v>K60</x:v>
      </x:c>
      <x:c r="B79" s="365" t="str">
        <x:v>Blud</x:v>
      </x:c>
      <x:c r="C79" s="365" t="str">
        <x:v>Cavalry</x:v>
      </x:c>
      <x:c r="D79" s="365" t="str">
        <x:v>Storm cavalry</x:v>
      </x:c>
      <x:c r="E79" s="365" t="str">
        <x:v>Horse archer</x:v>
      </x:c>
      <x:c r="F79" s="365" t="n">
        <x:v>45</x:v>
      </x:c>
      <x:c r="G79" s="365" t="str">
        <x:v>Mounted Archery</x:v>
      </x:c>
      <x:c r="H79" s="365" t="str">
        <x:v>Has a certain probability of causing fly-shooting damage</x:v>
      </x:c>
      <x:c r="I79" s="365" t="str">
        <x:v>Unlocked</x:v>
      </x:c>
      <x:c r="J79" s="365" t="str">
        <x:v>03:19.8</x:v>
      </x:c>
      <x:c r="K79" s="365"/>
      <x:c r="L79" s="365" t="str">
        <x:v>K60_SVID_20260828_001858_1.mp4</x:v>
      </x:c>
      <x:c r="M79" s="387" t="n">
        <x:f>IF(P79="OK",INDEX('Badge Lookup'!$B$6:$B$55,MATCH(F79,'Badge Lookup'!$A$6:$A$55,0)),0)</x:f>
        <x:v>560000</x:v>
      </x:c>
      <x:c r="N79" s="387" t="n">
        <x:f>IF(P79="OK",INDEX('Badge Lookup'!$C$6:$C$55,MATCH(F79,'Badge Lookup'!$A$6:$A$55,0)),0)</x:f>
        <x:v>4284300</x:v>
      </x:c>
      <x:c r="O79" s="388" t="n">
        <x:f>IF(P79="OK",INDEX('Badge Lookup'!$D$6:$D$55,MATCH(F79,'Badge Lookup'!$A$6:$A$55,0)),0)</x:f>
        <x:v>41.98</x:v>
      </x:c>
      <x:c r="P79" s="362" t="str">
        <x:f>IF(OR(G79="",F79=""),"Not scored",IF(AND(F79=INT(F79),F79&gt;=1,F79&lt;=50,COUNTIF('Badge Lookup'!$A$6:$A$55,F79)=1),"OK","Check lookup"))</x:f>
        <x:v>OK</x:v>
      </x:c>
      <x:c r="Q79" s="456" t="n">
        <x:f>IF(P79&lt;&gt;"OK","",IF(C79="Guards",-O79,O79))</x:f>
        <x:v>41.98</x:v>
      </x:c>
      <x:c r="R79" s="362" t="str">
        <x:f>IF(P79&lt;&gt;"OK","Not scored",IF(C79="Guards","Damage received reduction","Damage increase"))</x:f>
        <x:v>Damage increase</x:v>
      </x:c>
    </x:row>
    <x:row r="80" ht="32" customHeight="1">
      <x:c r="A80" s="365" t="str">
        <x:v>K60</x:v>
      </x:c>
      <x:c r="B80" s="365" t="str">
        <x:v>陰影Sam</x:v>
      </x:c>
      <x:c r="C80" s="365" t="str">
        <x:v>Guards</x:v>
      </x:c>
      <x:c r="D80" s="365" t="str">
        <x:v>Destroyers</x:v>
      </x:c>
      <x:c r="E80" s="365" t="str">
        <x:v>Guard</x:v>
      </x:c>
      <x:c r="F80" s="365" t="n">
        <x:v>40</x:v>
      </x:c>
      <x:c r="G80" s="365" t="str">
        <x:v>Parry</x:v>
      </x:c>
      <x:c r="H80" s="365" t="str">
        <x:v>Provides a parry effect and a certain probability to increase damage</x:v>
      </x:c>
      <x:c r="I80" s="365" t="str">
        <x:v>Unlocked</x:v>
      </x:c>
      <x:c r="J80" s="365" t="str">
        <x:v>03:26.1</x:v>
      </x:c>
      <x:c r="K80" s="365"/>
      <x:c r="L80" s="365" t="str">
        <x:v>K60_SVID_20260828_001858_1.mp4</x:v>
      </x:c>
      <x:c r="M80" s="387" t="n">
        <x:f>IF(P80="OK",INDEX('Badge Lookup'!$B$6:$B$55,MATCH(F80,'Badge Lookup'!$A$6:$A$55,0)),0)</x:f>
        <x:v>240000</x:v>
      </x:c>
      <x:c r="N80" s="387" t="n">
        <x:f>IF(P80="OK",INDEX('Badge Lookup'!$C$6:$C$55,MATCH(F80,'Badge Lookup'!$A$6:$A$55,0)),0)</x:f>
        <x:v>2244300</x:v>
      </x:c>
      <x:c r="O80" s="388" t="n">
        <x:f>IF(P80="OK",INDEX('Badge Lookup'!$D$6:$D$55,MATCH(F80,'Badge Lookup'!$A$6:$A$55,0)),0)</x:f>
        <x:v>27.74</x:v>
      </x:c>
      <x:c r="P80" s="362" t="str">
        <x:f>IF(OR(G80="",F80=""),"Not scored",IF(AND(F80=INT(F80),F80&gt;=1,F80&lt;=50,COUNTIF('Badge Lookup'!$A$6:$A$55,F80)=1),"OK","Check lookup"))</x:f>
        <x:v>OK</x:v>
      </x:c>
      <x:c r="Q80" s="456" t="n">
        <x:f>IF(P80&lt;&gt;"OK","",IF(C80="Guards",-O80,O80))</x:f>
        <x:v>-27.74</x:v>
      </x:c>
      <x:c r="R80" s="362" t="str">
        <x:f>IF(P80&lt;&gt;"OK","Not scored",IF(C80="Guards","Damage received reduction","Damage increase"))</x:f>
        <x:v>Damage received reduction</x:v>
      </x:c>
    </x:row>
    <x:row r="81" ht="32" customHeight="1">
      <x:c r="A81" s="365" t="str">
        <x:v>K60</x:v>
      </x:c>
      <x:c r="B81" s="365" t="str">
        <x:v>陰影Sam</x:v>
      </x:c>
      <x:c r="C81" s="365" t="str">
        <x:v>Archers</x:v>
      </x:c>
      <x:c r="D81" s="365" t="str">
        <x:v>Elite bowmen</x:v>
      </x:c>
      <x:c r="E81" s="365" t="str">
        <x:v>Archer</x:v>
      </x:c>
      <x:c r="F81" s="365" t="n">
        <x:v>40</x:v>
      </x:c>
      <x:c r="G81" s="365" t="str">
        <x:v>Frost Arrow</x:v>
      </x:c>
      <x:c r="H81" s="365" t="str">
        <x:v>Has a higher probability of activating ice damage</x:v>
      </x:c>
      <x:c r="I81" s="365" t="str">
        <x:v>Unlocked</x:v>
      </x:c>
      <x:c r="J81" s="365" t="str">
        <x:v>03:28.1</x:v>
      </x:c>
      <x:c r="K81" s="365"/>
      <x:c r="L81" s="365" t="str">
        <x:v>K60_SVID_20260828_001858_1.mp4</x:v>
      </x:c>
      <x:c r="M81" s="387" t="n">
        <x:f>IF(P81="OK",INDEX('Badge Lookup'!$B$6:$B$55,MATCH(F81,'Badge Lookup'!$A$6:$A$55,0)),0)</x:f>
        <x:v>240000</x:v>
      </x:c>
      <x:c r="N81" s="387" t="n">
        <x:f>IF(P81="OK",INDEX('Badge Lookup'!$C$6:$C$55,MATCH(F81,'Badge Lookup'!$A$6:$A$55,0)),0)</x:f>
        <x:v>2244300</x:v>
      </x:c>
      <x:c r="O81" s="388" t="n">
        <x:f>IF(P81="OK",INDEX('Badge Lookup'!$D$6:$D$55,MATCH(F81,'Badge Lookup'!$A$6:$A$55,0)),0)</x:f>
        <x:v>27.74</x:v>
      </x:c>
      <x:c r="P81" s="362" t="str">
        <x:f>IF(OR(G81="",F81=""),"Not scored",IF(AND(F81=INT(F81),F81&gt;=1,F81&lt;=50,COUNTIF('Badge Lookup'!$A$6:$A$55,F81)=1),"OK","Check lookup"))</x:f>
        <x:v>OK</x:v>
      </x:c>
      <x:c r="Q81" s="456" t="n">
        <x:f>IF(P81&lt;&gt;"OK","",IF(C81="Guards",-O81,O81))</x:f>
        <x:v>27.74</x:v>
      </x:c>
      <x:c r="R81" s="362" t="str">
        <x:f>IF(P81&lt;&gt;"OK","Not scored",IF(C81="Guards","Damage received reduction","Damage increase"))</x:f>
        <x:v>Damage increase</x:v>
      </x:c>
    </x:row>
    <x:row r="82" ht="32" customHeight="1">
      <x:c r="A82" s="365" t="str">
        <x:v>K60</x:v>
      </x:c>
      <x:c r="B82" s="365" t="str">
        <x:v>陰影Sam</x:v>
      </x:c>
      <x:c r="C82" s="365" t="str">
        <x:v>Cavalry</x:v>
      </x:c>
      <x:c r="D82" s="365" t="str">
        <x:v>Eternal knights</x:v>
      </x:c>
      <x:c r="E82" s="365" t="str">
        <x:v>Heavy Cavalry</x:v>
      </x:c>
      <x:c r="F82" s="365" t="n">
        <x:v>46</x:v>
      </x:c>
      <x:c r="G82" s="365" t="str">
        <x:v>Thunder trample</x:v>
      </x:c>
      <x:c r="H82" s="365" t="str">
        <x:v>Has a certain probability of causing trampling damage</x:v>
      </x:c>
      <x:c r="I82" s="365" t="str">
        <x:v>Unlocked</x:v>
      </x:c>
      <x:c r="J82" s="365" t="str">
        <x:v>03:27.3</x:v>
      </x:c>
      <x:c r="K82" s="365"/>
      <x:c r="L82" s="365" t="str">
        <x:v>K60_SVID_20260828_001858_1.mp4</x:v>
      </x:c>
      <x:c r="M82" s="387" t="n">
        <x:f>IF(P82="OK",INDEX('Badge Lookup'!$B$6:$B$55,MATCH(F82,'Badge Lookup'!$A$6:$A$55,0)),0)</x:f>
        <x:v>720000</x:v>
      </x:c>
      <x:c r="N82" s="387" t="n">
        <x:f>IF(P82="OK",INDEX('Badge Lookup'!$C$6:$C$55,MATCH(F82,'Badge Lookup'!$A$6:$A$55,0)),0)</x:f>
        <x:v>5004300</x:v>
      </x:c>
      <x:c r="O82" s="388" t="n">
        <x:f>IF(P82="OK",INDEX('Badge Lookup'!$D$6:$D$55,MATCH(F82,'Badge Lookup'!$A$6:$A$55,0)),0)</x:f>
        <x:v>45.13</x:v>
      </x:c>
      <x:c r="P82" s="362" t="str">
        <x:f>IF(OR(G82="",F82=""),"Not scored",IF(AND(F82=INT(F82),F82&gt;=1,F82&lt;=50,COUNTIF('Badge Lookup'!$A$6:$A$55,F82)=1),"OK","Check lookup"))</x:f>
        <x:v>OK</x:v>
      </x:c>
      <x:c r="Q82" s="456" t="n">
        <x:f>IF(P82&lt;&gt;"OK","",IF(C82="Guards",-O82,O82))</x:f>
        <x:v>45.13</x:v>
      </x:c>
      <x:c r="R82" s="362" t="str">
        <x:f>IF(P82&lt;&gt;"OK","Not scored",IF(C82="Guards","Damage received reduction","Damage increase"))</x:f>
        <x:v>Damage increase</x:v>
      </x:c>
    </x:row>
    <x:row r="83" ht="32" customHeight="1">
      <x:c r="A83" s="365" t="str">
        <x:v>K60</x:v>
      </x:c>
      <x:c r="B83" s="365" t="str">
        <x:v>陰影Sam</x:v>
      </x:c>
      <x:c r="C83" s="365" t="str">
        <x:v>Cavalry</x:v>
      </x:c>
      <x:c r="D83" s="365" t="str">
        <x:v>Storm cavalry</x:v>
      </x:c>
      <x:c r="E83" s="365" t="str">
        <x:v>Horse archer</x:v>
      </x:c>
      <x:c r="F83" s="365" t="n">
        <x:v>47</x:v>
      </x:c>
      <x:c r="G83" s="365" t="str">
        <x:v>Mounted Archery</x:v>
      </x:c>
      <x:c r="H83" s="365" t="str">
        <x:v>Has a certain probability of causing fly-shooting damage</x:v>
      </x:c>
      <x:c r="I83" s="365" t="str">
        <x:v>Unlocked</x:v>
      </x:c>
      <x:c r="J83" s="365" t="str">
        <x:v>03:28.7</x:v>
      </x:c>
      <x:c r="K83" s="365"/>
      <x:c r="L83" s="365" t="str">
        <x:v>K60_SVID_20260828_001858_1.mp4</x:v>
      </x:c>
      <x:c r="M83" s="387" t="n">
        <x:f>IF(P83="OK",INDEX('Badge Lookup'!$B$6:$B$55,MATCH(F83,'Badge Lookup'!$A$6:$A$55,0)),0)</x:f>
        <x:v>880000</x:v>
      </x:c>
      <x:c r="N83" s="387" t="n">
        <x:f>IF(P83="OK",INDEX('Badge Lookup'!$C$6:$C$55,MATCH(F83,'Badge Lookup'!$A$6:$A$55,0)),0)</x:f>
        <x:v>5884300</x:v>
      </x:c>
      <x:c r="O83" s="388" t="n">
        <x:f>IF(P83="OK",INDEX('Badge Lookup'!$D$6:$D$55,MATCH(F83,'Badge Lookup'!$A$6:$A$55,0)),0)</x:f>
        <x:v>48.38</x:v>
      </x:c>
      <x:c r="P83" s="362" t="str">
        <x:f>IF(OR(G83="",F83=""),"Not scored",IF(AND(F83=INT(F83),F83&gt;=1,F83&lt;=50,COUNTIF('Badge Lookup'!$A$6:$A$55,F83)=1),"OK","Check lookup"))</x:f>
        <x:v>OK</x:v>
      </x:c>
      <x:c r="Q83" s="456" t="n">
        <x:f>IF(P83&lt;&gt;"OK","",IF(C83="Guards",-O83,O83))</x:f>
        <x:v>48.38</x:v>
      </x:c>
      <x:c r="R83" s="362" t="str">
        <x:f>IF(P83&lt;&gt;"OK","Not scored",IF(C83="Guards","Damage received reduction","Damage increase"))</x:f>
        <x:v>Damage increase</x:v>
      </x:c>
    </x:row>
    <x:row r="84" ht="32" customHeight="1">
      <x:c r="A84" s="365" t="str">
        <x:v>K60</x:v>
      </x:c>
      <x:c r="B84" s="365" t="str">
        <x:v>RONINtrike</x:v>
      </x:c>
      <x:c r="C84" s="365" t="str">
        <x:v>Archers</x:v>
      </x:c>
      <x:c r="D84" s="365" t="str">
        <x:v>Elite bowmen</x:v>
      </x:c>
      <x:c r="E84" s="365" t="str">
        <x:v>Archer</x:v>
      </x:c>
      <x:c r="F84" s="365" t="n">
        <x:v>40</x:v>
      </x:c>
      <x:c r="G84" s="365" t="str">
        <x:v>Frost Arrow</x:v>
      </x:c>
      <x:c r="H84" s="365" t="str">
        <x:v>Has a higher probability of activating ice damage</x:v>
      </x:c>
      <x:c r="I84" s="365" t="str">
        <x:v>Unlocked</x:v>
      </x:c>
      <x:c r="J84" s="365" t="str">
        <x:v>03:36.5</x:v>
      </x:c>
      <x:c r="K84" s="365"/>
      <x:c r="L84" s="365" t="str">
        <x:v>K60_SVID_20260828_001858_1.mp4</x:v>
      </x:c>
      <x:c r="M84" s="387" t="n">
        <x:f>IF(P84="OK",INDEX('Badge Lookup'!$B$6:$B$55,MATCH(F84,'Badge Lookup'!$A$6:$A$55,0)),0)</x:f>
        <x:v>240000</x:v>
      </x:c>
      <x:c r="N84" s="387" t="n">
        <x:f>IF(P84="OK",INDEX('Badge Lookup'!$C$6:$C$55,MATCH(F84,'Badge Lookup'!$A$6:$A$55,0)),0)</x:f>
        <x:v>2244300</x:v>
      </x:c>
      <x:c r="O84" s="388" t="n">
        <x:f>IF(P84="OK",INDEX('Badge Lookup'!$D$6:$D$55,MATCH(F84,'Badge Lookup'!$A$6:$A$55,0)),0)</x:f>
        <x:v>27.74</x:v>
      </x:c>
      <x:c r="P84" s="362" t="str">
        <x:f>IF(OR(G84="",F84=""),"Not scored",IF(AND(F84=INT(F84),F84&gt;=1,F84&lt;=50,COUNTIF('Badge Lookup'!$A$6:$A$55,F84)=1),"OK","Check lookup"))</x:f>
        <x:v>OK</x:v>
      </x:c>
      <x:c r="Q84" s="456" t="n">
        <x:f>IF(P84&lt;&gt;"OK","",IF(C84="Guards",-O84,O84))</x:f>
        <x:v>27.74</x:v>
      </x:c>
      <x:c r="R84" s="362" t="str">
        <x:f>IF(P84&lt;&gt;"OK","Not scored",IF(C84="Guards","Damage received reduction","Damage increase"))</x:f>
        <x:v>Damage increase</x:v>
      </x:c>
    </x:row>
    <x:row r="85" ht="32" customHeight="1">
      <x:c r="A85" s="365" t="str">
        <x:v>K60</x:v>
      </x:c>
      <x:c r="B85" s="365" t="str">
        <x:v>RONINtrike</x:v>
      </x:c>
      <x:c r="C85" s="365" t="str">
        <x:v>Cavalry</x:v>
      </x:c>
      <x:c r="D85" s="365" t="str">
        <x:v>Eternal knights</x:v>
      </x:c>
      <x:c r="E85" s="365" t="str">
        <x:v>Heavy Cavalry</x:v>
      </x:c>
      <x:c r="F85" s="365" t="n">
        <x:v>43</x:v>
      </x:c>
      <x:c r="G85" s="365" t="str">
        <x:v>Thunder trample</x:v>
      </x:c>
      <x:c r="H85" s="365" t="str">
        <x:v>Has a certain probability of causing trampling damage</x:v>
      </x:c>
      <x:c r="I85" s="365" t="str">
        <x:v>Unlocked</x:v>
      </x:c>
      <x:c r="J85" s="365" t="str">
        <x:v>03:35.9</x:v>
      </x:c>
      <x:c r="K85" s="365"/>
      <x:c r="L85" s="365" t="str">
        <x:v>K60_SVID_20260828_001858_1.mp4</x:v>
      </x:c>
      <x:c r="M85" s="387" t="n">
        <x:f>IF(P85="OK",INDEX('Badge Lookup'!$B$6:$B$55,MATCH(F85,'Badge Lookup'!$A$6:$A$55,0)),0)</x:f>
        <x:v>400000</x:v>
      </x:c>
      <x:c r="N85" s="387" t="n">
        <x:f>IF(P85="OK",INDEX('Badge Lookup'!$C$6:$C$55,MATCH(F85,'Badge Lookup'!$A$6:$A$55,0)),0)</x:f>
        <x:v>3244300</x:v>
      </x:c>
      <x:c r="O85" s="388" t="n">
        <x:f>IF(P85="OK",INDEX('Badge Lookup'!$D$6:$D$55,MATCH(F85,'Badge Lookup'!$A$6:$A$55,0)),0)</x:f>
        <x:v>35.98</x:v>
      </x:c>
      <x:c r="P85" s="362" t="str">
        <x:f>IF(OR(G85="",F85=""),"Not scored",IF(AND(F85=INT(F85),F85&gt;=1,F85&lt;=50,COUNTIF('Badge Lookup'!$A$6:$A$55,F85)=1),"OK","Check lookup"))</x:f>
        <x:v>OK</x:v>
      </x:c>
      <x:c r="Q85" s="456" t="n">
        <x:f>IF(P85&lt;&gt;"OK","",IF(C85="Guards",-O85,O85))</x:f>
        <x:v>35.98</x:v>
      </x:c>
      <x:c r="R85" s="362" t="str">
        <x:f>IF(P85&lt;&gt;"OK","Not scored",IF(C85="Guards","Damage received reduction","Damage increase"))</x:f>
        <x:v>Damage increase</x:v>
      </x:c>
    </x:row>
    <x:row r="86" ht="32" customHeight="1">
      <x:c r="A86" s="365" t="str">
        <x:v>K60</x:v>
      </x:c>
      <x:c r="B86" s="365" t="str">
        <x:v>RONINtrike</x:v>
      </x:c>
      <x:c r="C86" s="365" t="str">
        <x:v>Cavalry</x:v>
      </x:c>
      <x:c r="D86" s="365" t="str">
        <x:v>Storm cavalry</x:v>
      </x:c>
      <x:c r="E86" s="365" t="str">
        <x:v>Horse archer</x:v>
      </x:c>
      <x:c r="F86" s="365" t="n">
        <x:v>44</x:v>
      </x:c>
      <x:c r="G86" s="365" t="str">
        <x:v>Mounted Archery</x:v>
      </x:c>
      <x:c r="H86" s="365" t="str">
        <x:v>Has a certain probability of causing fly-shooting damage</x:v>
      </x:c>
      <x:c r="I86" s="365" t="str">
        <x:v>Unlocked</x:v>
      </x:c>
      <x:c r="J86" s="365" t="str">
        <x:v>03:37.3</x:v>
      </x:c>
      <x:c r="K86" s="365"/>
      <x:c r="L86" s="365" t="str">
        <x:v>K60_SVID_20260828_001858_1.mp4</x:v>
      </x:c>
      <x:c r="M86" s="387" t="n">
        <x:f>IF(P86="OK",INDEX('Badge Lookup'!$B$6:$B$55,MATCH(F86,'Badge Lookup'!$A$6:$A$55,0)),0)</x:f>
        <x:v>480000</x:v>
      </x:c>
      <x:c r="N86" s="387" t="n">
        <x:f>IF(P86="OK",INDEX('Badge Lookup'!$C$6:$C$55,MATCH(F86,'Badge Lookup'!$A$6:$A$55,0)),0)</x:f>
        <x:v>3724300</x:v>
      </x:c>
      <x:c r="O86" s="388" t="n">
        <x:f>IF(P86="OK",INDEX('Badge Lookup'!$D$6:$D$55,MATCH(F86,'Badge Lookup'!$A$6:$A$55,0)),0)</x:f>
        <x:v>39.93</x:v>
      </x:c>
      <x:c r="P86" s="362" t="str">
        <x:f>IF(OR(G86="",F86=""),"Not scored",IF(AND(F86=INT(F86),F86&gt;=1,F86&lt;=50,COUNTIF('Badge Lookup'!$A$6:$A$55,F86)=1),"OK","Check lookup"))</x:f>
        <x:v>OK</x:v>
      </x:c>
      <x:c r="Q86" s="456" t="n">
        <x:f>IF(P86&lt;&gt;"OK","",IF(C86="Guards",-O86,O86))</x:f>
        <x:v>39.93</x:v>
      </x:c>
      <x:c r="R86" s="362" t="str">
        <x:f>IF(P86&lt;&gt;"OK","Not scored",IF(C86="Guards","Damage received reduction","Damage increase"))</x:f>
        <x:v>Damage increase</x:v>
      </x:c>
    </x:row>
    <x:row r="87" ht="32" customHeight="1">
      <x:c r="A87" s="365" t="str">
        <x:v>K60</x:v>
      </x:c>
      <x:c r="B87" s="365" t="str">
        <x:v>RONINtrike</x:v>
      </x:c>
      <x:c r="C87" s="365" t="str">
        <x:v>Siege</x:v>
      </x:c>
      <x:c r="D87" s="365" t="str">
        <x:v>Manglers</x:v>
      </x:c>
      <x:c r="E87" s="365" t="str">
        <x:v>Siege</x:v>
      </x:c>
      <x:c r="F87" s="365" t="n">
        <x:v>45</x:v>
      </x:c>
      <x:c r="G87" s="365" t="str">
        <x:v>Highly toxic</x:v>
      </x:c>
      <x:c r="H87" s="365" t="str">
        <x:v>Inflict continuous toxic damage</x:v>
      </x:c>
      <x:c r="I87" s="365" t="str">
        <x:v>Unlocked</x:v>
      </x:c>
      <x:c r="J87" s="365" t="str">
        <x:v>03:36.7</x:v>
      </x:c>
      <x:c r="K87" s="365"/>
      <x:c r="L87" s="365" t="str">
        <x:v>K60_SVID_20260828_001858_1.mp4</x:v>
      </x:c>
      <x:c r="M87" s="387" t="n">
        <x:f>IF(P87="OK",INDEX('Badge Lookup'!$B$6:$B$55,MATCH(F87,'Badge Lookup'!$A$6:$A$55,0)),0)</x:f>
        <x:v>560000</x:v>
      </x:c>
      <x:c r="N87" s="387" t="n">
        <x:f>IF(P87="OK",INDEX('Badge Lookup'!$C$6:$C$55,MATCH(F87,'Badge Lookup'!$A$6:$A$55,0)),0)</x:f>
        <x:v>4284300</x:v>
      </x:c>
      <x:c r="O87" s="388" t="n">
        <x:f>IF(P87="OK",INDEX('Badge Lookup'!$D$6:$D$55,MATCH(F87,'Badge Lookup'!$A$6:$A$55,0)),0)</x:f>
        <x:v>41.98</x:v>
      </x:c>
      <x:c r="P87" s="362" t="str">
        <x:f>IF(OR(G87="",F87=""),"Not scored",IF(AND(F87=INT(F87),F87&gt;=1,F87&lt;=50,COUNTIF('Badge Lookup'!$A$6:$A$55,F87)=1),"OK","Check lookup"))</x:f>
        <x:v>OK</x:v>
      </x:c>
      <x:c r="Q87" s="456" t="n">
        <x:f>IF(P87&lt;&gt;"OK","",IF(C87="Guards",-O87,O87))</x:f>
        <x:v>41.98</x:v>
      </x:c>
      <x:c r="R87" s="362" t="str">
        <x:f>IF(P87&lt;&gt;"OK","Not scored",IF(C87="Guards","Damage received reduction","Damage increase"))</x:f>
        <x:v>Damage increase</x:v>
      </x:c>
    </x:row>
    <x:row r="88" ht="32" customHeight="1">
      <x:c r="A88" s="365" t="str">
        <x:v>K60</x:v>
      </x:c>
      <x:c r="B88" s="365" t="str">
        <x:v>RONINtrike</x:v>
      </x:c>
      <x:c r="C88" s="365" t="str">
        <x:v>Siege</x:v>
      </x:c>
      <x:c r="D88" s="365" t="str">
        <x:v>Guardian siege</x:v>
      </x:c>
      <x:c r="E88" s="365" t="str">
        <x:v>Rams</x:v>
      </x:c>
      <x:c r="F88" s="365"/>
      <x:c r="G88" s="365"/>
      <x:c r="H88" s="365"/>
      <x:c r="I88" s="365" t="str">
        <x:v>Base description only</x:v>
      </x:c>
      <x:c r="J88" s="365" t="str">
        <x:v>03:37.7</x:v>
      </x:c>
      <x:c r="K88" s="365" t="str">
        <x:v>Base description only; no level, skill or effect line shown</x:v>
      </x:c>
      <x:c r="L88" s="365" t="str">
        <x:v>K60_SVID_20260828_001858_1.mp4</x:v>
      </x:c>
      <x:c r="M88" s="387" t="n">
        <x:f>IF(P88="OK",INDEX('Badge Lookup'!$B$6:$B$55,MATCH(F88,'Badge Lookup'!$A$6:$A$55,0)),0)</x:f>
        <x:v>0</x:v>
      </x:c>
      <x:c r="N88" s="387" t="n">
        <x:f>IF(P88="OK",INDEX('Badge Lookup'!$C$6:$C$55,MATCH(F88,'Badge Lookup'!$A$6:$A$55,0)),0)</x:f>
        <x:v>0</x:v>
      </x:c>
      <x:c r="O88" s="388" t="n">
        <x:f>IF(P88="OK",INDEX('Badge Lookup'!$D$6:$D$55,MATCH(F88,'Badge Lookup'!$A$6:$A$55,0)),0)</x:f>
        <x:v>0</x:v>
      </x:c>
      <x:c r="P88" s="362" t="str">
        <x:f>IF(OR(G88="",F88=""),"Not scored",IF(AND(F88=INT(F88),F88&gt;=1,F88&lt;=50,COUNTIF('Badge Lookup'!$A$6:$A$55,F88)=1),"OK","Check lookup"))</x:f>
        <x:v>Not scored</x:v>
      </x:c>
      <x:c r="Q88" s="456" t="str">
        <x:f>IF(P88&lt;&gt;"OK","",IF(C88="Guards",-O88,O88))</x:f>
      </x:c>
      <x:c r="R88" s="362" t="str">
        <x:f>IF(P88&lt;&gt;"OK","Not scored",IF(C88="Guards","Damage received reduction","Damage increase"))</x:f>
        <x:v>Not scored</x:v>
      </x:c>
    </x:row>
    <x:row r="89" ht="32" customHeight="1">
      <x:c r="A89" s="365" t="str">
        <x:v>K60</x:v>
      </x:c>
      <x:c r="B89" s="365" t="str">
        <x:v>雪Snowy</x:v>
      </x:c>
      <x:c r="C89" s="365" t="str">
        <x:v>Guards</x:v>
      </x:c>
      <x:c r="D89" s="365" t="str">
        <x:v>Destroyers</x:v>
      </x:c>
      <x:c r="E89" s="365" t="str">
        <x:v>Guard</x:v>
      </x:c>
      <x:c r="F89" s="365" t="n">
        <x:v>40</x:v>
      </x:c>
      <x:c r="G89" s="365" t="str">
        <x:v>Parry</x:v>
      </x:c>
      <x:c r="H89" s="365" t="str">
        <x:v>Provides a parry effect and a certain probability to increase damage</x:v>
      </x:c>
      <x:c r="I89" s="365" t="str">
        <x:v>Unlocked</x:v>
      </x:c>
      <x:c r="J89" s="365" t="str">
        <x:v>03:49.1</x:v>
      </x:c>
      <x:c r="K89" s="365"/>
      <x:c r="L89" s="365" t="str">
        <x:v>K60_SVID_20260828_001858_1.mp4</x:v>
      </x:c>
      <x:c r="M89" s="387" t="n">
        <x:f>IF(P89="OK",INDEX('Badge Lookup'!$B$6:$B$55,MATCH(F89,'Badge Lookup'!$A$6:$A$55,0)),0)</x:f>
        <x:v>240000</x:v>
      </x:c>
      <x:c r="N89" s="387" t="n">
        <x:f>IF(P89="OK",INDEX('Badge Lookup'!$C$6:$C$55,MATCH(F89,'Badge Lookup'!$A$6:$A$55,0)),0)</x:f>
        <x:v>2244300</x:v>
      </x:c>
      <x:c r="O89" s="388" t="n">
        <x:f>IF(P89="OK",INDEX('Badge Lookup'!$D$6:$D$55,MATCH(F89,'Badge Lookup'!$A$6:$A$55,0)),0)</x:f>
        <x:v>27.74</x:v>
      </x:c>
      <x:c r="P89" s="362" t="str">
        <x:f>IF(OR(G89="",F89=""),"Not scored",IF(AND(F89=INT(F89),F89&gt;=1,F89&lt;=50,COUNTIF('Badge Lookup'!$A$6:$A$55,F89)=1),"OK","Check lookup"))</x:f>
        <x:v>OK</x:v>
      </x:c>
      <x:c r="Q89" s="456" t="n">
        <x:f>IF(P89&lt;&gt;"OK","",IF(C89="Guards",-O89,O89))</x:f>
        <x:v>-27.74</x:v>
      </x:c>
      <x:c r="R89" s="362" t="str">
        <x:f>IF(P89&lt;&gt;"OK","Not scored",IF(C89="Guards","Damage received reduction","Damage increase"))</x:f>
        <x:v>Damage received reduction</x:v>
      </x:c>
    </x:row>
    <x:row r="90" ht="32" customHeight="1">
      <x:c r="A90" s="365" t="str">
        <x:v>K60</x:v>
      </x:c>
      <x:c r="B90" s="365" t="str">
        <x:v>雪Snowy</x:v>
      </x:c>
      <x:c r="C90" s="365" t="str">
        <x:v>Archers</x:v>
      </x:c>
      <x:c r="D90" s="365" t="str">
        <x:v>Elite bowmen</x:v>
      </x:c>
      <x:c r="E90" s="365" t="str">
        <x:v>Archer</x:v>
      </x:c>
      <x:c r="F90" s="365" t="n">
        <x:v>40</x:v>
      </x:c>
      <x:c r="G90" s="365" t="str">
        <x:v>Frost Arrow</x:v>
      </x:c>
      <x:c r="H90" s="365" t="str">
        <x:v>Has a higher probability of activating ice damage</x:v>
      </x:c>
      <x:c r="I90" s="365" t="str">
        <x:v>Unlocked</x:v>
      </x:c>
      <x:c r="J90" s="365" t="str">
        <x:v>03:49.9</x:v>
      </x:c>
      <x:c r="K90" s="365"/>
      <x:c r="L90" s="365" t="str">
        <x:v>K60_SVID_20260828_001858_1.mp4</x:v>
      </x:c>
      <x:c r="M90" s="387" t="n">
        <x:f>IF(P90="OK",INDEX('Badge Lookup'!$B$6:$B$55,MATCH(F90,'Badge Lookup'!$A$6:$A$55,0)),0)</x:f>
        <x:v>240000</x:v>
      </x:c>
      <x:c r="N90" s="387" t="n">
        <x:f>IF(P90="OK",INDEX('Badge Lookup'!$C$6:$C$55,MATCH(F90,'Badge Lookup'!$A$6:$A$55,0)),0)</x:f>
        <x:v>2244300</x:v>
      </x:c>
      <x:c r="O90" s="388" t="n">
        <x:f>IF(P90="OK",INDEX('Badge Lookup'!$D$6:$D$55,MATCH(F90,'Badge Lookup'!$A$6:$A$55,0)),0)</x:f>
        <x:v>27.74</x:v>
      </x:c>
      <x:c r="P90" s="362" t="str">
        <x:f>IF(OR(G90="",F90=""),"Not scored",IF(AND(F90=INT(F90),F90&gt;=1,F90&lt;=50,COUNTIF('Badge Lookup'!$A$6:$A$55,F90)=1),"OK","Check lookup"))</x:f>
        <x:v>OK</x:v>
      </x:c>
      <x:c r="Q90" s="456" t="n">
        <x:f>IF(P90&lt;&gt;"OK","",IF(C90="Guards",-O90,O90))</x:f>
        <x:v>27.74</x:v>
      </x:c>
      <x:c r="R90" s="362" t="str">
        <x:f>IF(P90&lt;&gt;"OK","Not scored",IF(C90="Guards","Damage received reduction","Damage increase"))</x:f>
        <x:v>Damage increase</x:v>
      </x:c>
    </x:row>
    <x:row r="91" ht="32" customHeight="1">
      <x:c r="A91" s="365" t="str">
        <x:v>K60</x:v>
      </x:c>
      <x:c r="B91" s="365" t="str">
        <x:v>雪Snowy</x:v>
      </x:c>
      <x:c r="C91" s="365" t="str">
        <x:v>Cavalry</x:v>
      </x:c>
      <x:c r="D91" s="365" t="str">
        <x:v>Eternal knights</x:v>
      </x:c>
      <x:c r="E91" s="365" t="str">
        <x:v>Heavy Cavalry</x:v>
      </x:c>
      <x:c r="F91" s="365" t="n">
        <x:v>48</x:v>
      </x:c>
      <x:c r="G91" s="365" t="str">
        <x:v>Thunder trample</x:v>
      </x:c>
      <x:c r="H91" s="365" t="str">
        <x:v>Has a certain probability of causing trampling damage</x:v>
      </x:c>
      <x:c r="I91" s="365" t="str">
        <x:v>Unlocked</x:v>
      </x:c>
      <x:c r="J91" s="365" t="str">
        <x:v>03:49.5</x:v>
      </x:c>
      <x:c r="K91" s="365"/>
      <x:c r="L91" s="365" t="str">
        <x:v>K60_SVID_20260828_001858_1.mp4</x:v>
      </x:c>
      <x:c r="M91" s="387" t="n">
        <x:f>IF(P91="OK",INDEX('Badge Lookup'!$B$6:$B$55,MATCH(F91,'Badge Lookup'!$A$6:$A$55,0)),0)</x:f>
        <x:v>1050000</x:v>
      </x:c>
      <x:c r="N91" s="387" t="n">
        <x:f>IF(P91="OK",INDEX('Badge Lookup'!$C$6:$C$55,MATCH(F91,'Badge Lookup'!$A$6:$A$55,0)),0)</x:f>
        <x:v>6934300</x:v>
      </x:c>
      <x:c r="O91" s="388" t="n">
        <x:f>IF(P91="OK",INDEX('Badge Lookup'!$D$6:$D$55,MATCH(F91,'Badge Lookup'!$A$6:$A$55,0)),0)</x:f>
        <x:v>51.74</x:v>
      </x:c>
      <x:c r="P91" s="362" t="str">
        <x:f>IF(OR(G91="",F91=""),"Not scored",IF(AND(F91=INT(F91),F91&gt;=1,F91&lt;=50,COUNTIF('Badge Lookup'!$A$6:$A$55,F91)=1),"OK","Check lookup"))</x:f>
        <x:v>OK</x:v>
      </x:c>
      <x:c r="Q91" s="456" t="n">
        <x:f>IF(P91&lt;&gt;"OK","",IF(C91="Guards",-O91,O91))</x:f>
        <x:v>51.74</x:v>
      </x:c>
      <x:c r="R91" s="362" t="str">
        <x:f>IF(P91&lt;&gt;"OK","Not scored",IF(C91="Guards","Damage received reduction","Damage increase"))</x:f>
        <x:v>Damage increase</x:v>
      </x:c>
    </x:row>
    <x:row r="92" ht="32" customHeight="1">
      <x:c r="A92" s="365" t="str">
        <x:v>K60</x:v>
      </x:c>
      <x:c r="B92" s="365" t="str">
        <x:v>雪Snowy</x:v>
      </x:c>
      <x:c r="C92" s="365" t="str">
        <x:v>Cavalry</x:v>
      </x:c>
      <x:c r="D92" s="365" t="str">
        <x:v>Storm cavalry</x:v>
      </x:c>
      <x:c r="E92" s="365" t="str">
        <x:v>Horse archer</x:v>
      </x:c>
      <x:c r="F92" s="365" t="n">
        <x:v>49</x:v>
      </x:c>
      <x:c r="G92" s="365" t="str">
        <x:v>Mounted Archery</x:v>
      </x:c>
      <x:c r="H92" s="365" t="str">
        <x:v>Has a certain probability of causing fly-shooting damage</x:v>
      </x:c>
      <x:c r="I92" s="365" t="str">
        <x:v>Unlocked</x:v>
      </x:c>
      <x:c r="J92" s="365" t="str">
        <x:v>03:50.3</x:v>
      </x:c>
      <x:c r="K92" s="365"/>
      <x:c r="L92" s="365" t="str">
        <x:v>K60_SVID_20260828_001858_1.mp4</x:v>
      </x:c>
      <x:c r="M92" s="387" t="n">
        <x:f>IF(P92="OK",INDEX('Badge Lookup'!$B$6:$B$55,MATCH(F92,'Badge Lookup'!$A$6:$A$55,0)),0)</x:f>
        <x:v>1400000</x:v>
      </x:c>
      <x:c r="N92" s="387" t="n">
        <x:f>IF(P92="OK",INDEX('Badge Lookup'!$C$6:$C$55,MATCH(F92,'Badge Lookup'!$A$6:$A$55,0)),0)</x:f>
        <x:v>8334300</x:v>
      </x:c>
      <x:c r="O92" s="388" t="n">
        <x:f>IF(P92="OK",INDEX('Badge Lookup'!$D$6:$D$55,MATCH(F92,'Badge Lookup'!$A$6:$A$55,0)),0)</x:f>
        <x:v>55.2</x:v>
      </x:c>
      <x:c r="P92" s="362" t="str">
        <x:f>IF(OR(G92="",F92=""),"Not scored",IF(AND(F92=INT(F92),F92&gt;=1,F92&lt;=50,COUNTIF('Badge Lookup'!$A$6:$A$55,F92)=1),"OK","Check lookup"))</x:f>
        <x:v>OK</x:v>
      </x:c>
      <x:c r="Q92" s="456" t="n">
        <x:f>IF(P92&lt;&gt;"OK","",IF(C92="Guards",-O92,O92))</x:f>
        <x:v>55.2</x:v>
      </x:c>
      <x:c r="R92" s="362" t="str">
        <x:f>IF(P92&lt;&gt;"OK","Not scored",IF(C92="Guards","Damage received reduction","Damage increase"))</x:f>
        <x:v>Damage increase</x:v>
      </x:c>
    </x:row>
    <x:row r="93" ht="32" customHeight="1">
      <x:c r="A93" s="365" t="str">
        <x:v>K60</x:v>
      </x:c>
      <x:c r="B93" s="365" t="str">
        <x:v>Lare</x:v>
      </x:c>
      <x:c r="C93" s="365" t="str">
        <x:v>Guards</x:v>
      </x:c>
      <x:c r="D93" s="365" t="str">
        <x:v>Destroyers</x:v>
      </x:c>
      <x:c r="E93" s="365" t="str">
        <x:v>Guard</x:v>
      </x:c>
      <x:c r="F93" s="365" t="n">
        <x:v>40</x:v>
      </x:c>
      <x:c r="G93" s="365" t="str">
        <x:v>Parry</x:v>
      </x:c>
      <x:c r="H93" s="365" t="str">
        <x:v>Provides a parry effect and a certain probability to increase damage</x:v>
      </x:c>
      <x:c r="I93" s="365" t="str">
        <x:v>Unlocked</x:v>
      </x:c>
      <x:c r="J93" s="365" t="str">
        <x:v>03:57.7</x:v>
      </x:c>
      <x:c r="K93" s="365"/>
      <x:c r="L93" s="365" t="str">
        <x:v>K60_SVID_20260828_001858_1.mp4</x:v>
      </x:c>
      <x:c r="M93" s="387" t="n">
        <x:f>IF(P93="OK",INDEX('Badge Lookup'!$B$6:$B$55,MATCH(F93,'Badge Lookup'!$A$6:$A$55,0)),0)</x:f>
        <x:v>240000</x:v>
      </x:c>
      <x:c r="N93" s="387" t="n">
        <x:f>IF(P93="OK",INDEX('Badge Lookup'!$C$6:$C$55,MATCH(F93,'Badge Lookup'!$A$6:$A$55,0)),0)</x:f>
        <x:v>2244300</x:v>
      </x:c>
      <x:c r="O93" s="388" t="n">
        <x:f>IF(P93="OK",INDEX('Badge Lookup'!$D$6:$D$55,MATCH(F93,'Badge Lookup'!$A$6:$A$55,0)),0)</x:f>
        <x:v>27.74</x:v>
      </x:c>
      <x:c r="P93" s="362" t="str">
        <x:f>IF(OR(G93="",F93=""),"Not scored",IF(AND(F93=INT(F93),F93&gt;=1,F93&lt;=50,COUNTIF('Badge Lookup'!$A$6:$A$55,F93)=1),"OK","Check lookup"))</x:f>
        <x:v>OK</x:v>
      </x:c>
      <x:c r="Q93" s="456" t="n">
        <x:f>IF(P93&lt;&gt;"OK","",IF(C93="Guards",-O93,O93))</x:f>
        <x:v>-27.74</x:v>
      </x:c>
      <x:c r="R93" s="362" t="str">
        <x:f>IF(P93&lt;&gt;"OK","Not scored",IF(C93="Guards","Damage received reduction","Damage increase"))</x:f>
        <x:v>Damage received reduction</x:v>
      </x:c>
    </x:row>
    <x:row r="94" ht="32" customHeight="1">
      <x:c r="A94" s="365" t="str">
        <x:v>K60</x:v>
      </x:c>
      <x:c r="B94" s="365" t="str">
        <x:v>Lare</x:v>
      </x:c>
      <x:c r="C94" s="365" t="str">
        <x:v>Archers</x:v>
      </x:c>
      <x:c r="D94" s="365" t="str">
        <x:v>Elite bowmen</x:v>
      </x:c>
      <x:c r="E94" s="365" t="str">
        <x:v>Archer</x:v>
      </x:c>
      <x:c r="F94" s="365" t="n">
        <x:v>41</x:v>
      </x:c>
      <x:c r="G94" s="365" t="str">
        <x:v>Frost Arrow</x:v>
      </x:c>
      <x:c r="H94" s="365" t="str">
        <x:v>Has a higher probability of activating ice damage</x:v>
      </x:c>
      <x:c r="I94" s="365" t="str">
        <x:v>Unlocked</x:v>
      </x:c>
      <x:c r="J94" s="365" t="str">
        <x:v>03:58.7</x:v>
      </x:c>
      <x:c r="K94" s="365"/>
      <x:c r="L94" s="365" t="str">
        <x:v>K60_SVID_20260828_001858_1.mp4</x:v>
      </x:c>
      <x:c r="M94" s="387" t="n">
        <x:f>IF(P94="OK",INDEX('Badge Lookup'!$B$6:$B$55,MATCH(F94,'Badge Lookup'!$A$6:$A$55,0)),0)</x:f>
        <x:v>280000</x:v>
      </x:c>
      <x:c r="N94" s="387" t="n">
        <x:f>IF(P94="OK",INDEX('Badge Lookup'!$C$6:$C$55,MATCH(F94,'Badge Lookup'!$A$6:$A$55,0)),0)</x:f>
        <x:v>2524300</x:v>
      </x:c>
      <x:c r="O94" s="388" t="n">
        <x:f>IF(P94="OK",INDEX('Badge Lookup'!$D$6:$D$55,MATCH(F94,'Badge Lookup'!$A$6:$A$55,0)),0)</x:f>
        <x:v>30.38</x:v>
      </x:c>
      <x:c r="P94" s="362" t="str">
        <x:f>IF(OR(G94="",F94=""),"Not scored",IF(AND(F94=INT(F94),F94&gt;=1,F94&lt;=50,COUNTIF('Badge Lookup'!$A$6:$A$55,F94)=1),"OK","Check lookup"))</x:f>
        <x:v>OK</x:v>
      </x:c>
      <x:c r="Q94" s="456" t="n">
        <x:f>IF(P94&lt;&gt;"OK","",IF(C94="Guards",-O94,O94))</x:f>
        <x:v>30.38</x:v>
      </x:c>
      <x:c r="R94" s="362" t="str">
        <x:f>IF(P94&lt;&gt;"OK","Not scored",IF(C94="Guards","Damage received reduction","Damage increase"))</x:f>
        <x:v>Damage increase</x:v>
      </x:c>
    </x:row>
    <x:row r="95" ht="32" customHeight="1">
      <x:c r="A95" s="365" t="str">
        <x:v>K60</x:v>
      </x:c>
      <x:c r="B95" s="365" t="str">
        <x:v>Lare</x:v>
      </x:c>
      <x:c r="C95" s="365" t="str">
        <x:v>Cavalry</x:v>
      </x:c>
      <x:c r="D95" s="365" t="str">
        <x:v>Eternal knights</x:v>
      </x:c>
      <x:c r="E95" s="365" t="str">
        <x:v>Heavy Cavalry</x:v>
      </x:c>
      <x:c r="F95" s="365" t="n">
        <x:v>44</x:v>
      </x:c>
      <x:c r="G95" s="365" t="str">
        <x:v>Thunder trample</x:v>
      </x:c>
      <x:c r="H95" s="365" t="str">
        <x:v>Has a certain probability of causing trampling damage</x:v>
      </x:c>
      <x:c r="I95" s="365" t="str">
        <x:v>Unlocked</x:v>
      </x:c>
      <x:c r="J95" s="365" t="str">
        <x:v>03:58.1</x:v>
      </x:c>
      <x:c r="K95" s="365"/>
      <x:c r="L95" s="365" t="str">
        <x:v>K60_SVID_20260828_001858_1.mp4</x:v>
      </x:c>
      <x:c r="M95" s="387" t="n">
        <x:f>IF(P95="OK",INDEX('Badge Lookup'!$B$6:$B$55,MATCH(F95,'Badge Lookup'!$A$6:$A$55,0)),0)</x:f>
        <x:v>480000</x:v>
      </x:c>
      <x:c r="N95" s="387" t="n">
        <x:f>IF(P95="OK",INDEX('Badge Lookup'!$C$6:$C$55,MATCH(F95,'Badge Lookup'!$A$6:$A$55,0)),0)</x:f>
        <x:v>3724300</x:v>
      </x:c>
      <x:c r="O95" s="388" t="n">
        <x:f>IF(P95="OK",INDEX('Badge Lookup'!$D$6:$D$55,MATCH(F95,'Badge Lookup'!$A$6:$A$55,0)),0)</x:f>
        <x:v>39.93</x:v>
      </x:c>
      <x:c r="P95" s="362" t="str">
        <x:f>IF(OR(G95="",F95=""),"Not scored",IF(AND(F95=INT(F95),F95&gt;=1,F95&lt;=50,COUNTIF('Badge Lookup'!$A$6:$A$55,F95)=1),"OK","Check lookup"))</x:f>
        <x:v>OK</x:v>
      </x:c>
      <x:c r="Q95" s="456" t="n">
        <x:f>IF(P95&lt;&gt;"OK","",IF(C95="Guards",-O95,O95))</x:f>
        <x:v>39.93</x:v>
      </x:c>
      <x:c r="R95" s="362" t="str">
        <x:f>IF(P95&lt;&gt;"OK","Not scored",IF(C95="Guards","Damage received reduction","Damage increase"))</x:f>
        <x:v>Damage increase</x:v>
      </x:c>
    </x:row>
    <x:row r="96" ht="32" customHeight="1">
      <x:c r="A96" s="365" t="str">
        <x:v>K60</x:v>
      </x:c>
      <x:c r="B96" s="365" t="str">
        <x:v>Lare</x:v>
      </x:c>
      <x:c r="C96" s="365" t="str">
        <x:v>Cavalry</x:v>
      </x:c>
      <x:c r="D96" s="365" t="str">
        <x:v>Storm cavalry</x:v>
      </x:c>
      <x:c r="E96" s="365" t="str">
        <x:v>Horse archer</x:v>
      </x:c>
      <x:c r="F96" s="365" t="n">
        <x:v>43</x:v>
      </x:c>
      <x:c r="G96" s="365" t="str">
        <x:v>Mounted Archery</x:v>
      </x:c>
      <x:c r="H96" s="365" t="str">
        <x:v>Has a certain probability of causing fly-shooting damage</x:v>
      </x:c>
      <x:c r="I96" s="365" t="str">
        <x:v>Unlocked</x:v>
      </x:c>
      <x:c r="J96" s="365" t="str">
        <x:v>03:59.1</x:v>
      </x:c>
      <x:c r="K96" s="365"/>
      <x:c r="L96" s="365" t="str">
        <x:v>K60_SVID_20260828_001858_1.mp4</x:v>
      </x:c>
      <x:c r="M96" s="387" t="n">
        <x:f>IF(P96="OK",INDEX('Badge Lookup'!$B$6:$B$55,MATCH(F96,'Badge Lookup'!$A$6:$A$55,0)),0)</x:f>
        <x:v>400000</x:v>
      </x:c>
      <x:c r="N96" s="387" t="n">
        <x:f>IF(P96="OK",INDEX('Badge Lookup'!$C$6:$C$55,MATCH(F96,'Badge Lookup'!$A$6:$A$55,0)),0)</x:f>
        <x:v>3244300</x:v>
      </x:c>
      <x:c r="O96" s="388" t="n">
        <x:f>IF(P96="OK",INDEX('Badge Lookup'!$D$6:$D$55,MATCH(F96,'Badge Lookup'!$A$6:$A$55,0)),0)</x:f>
        <x:v>35.98</x:v>
      </x:c>
      <x:c r="P96" s="362" t="str">
        <x:f>IF(OR(G96="",F96=""),"Not scored",IF(AND(F96=INT(F96),F96&gt;=1,F96&lt;=50,COUNTIF('Badge Lookup'!$A$6:$A$55,F96)=1),"OK","Check lookup"))</x:f>
        <x:v>OK</x:v>
      </x:c>
      <x:c r="Q96" s="456" t="n">
        <x:f>IF(P96&lt;&gt;"OK","",IF(C96="Guards",-O96,O96))</x:f>
        <x:v>35.98</x:v>
      </x:c>
      <x:c r="R96" s="362" t="str">
        <x:f>IF(P96&lt;&gt;"OK","Not scored",IF(C96="Guards","Damage received reduction","Damage increase"))</x:f>
        <x:v>Damage increase</x:v>
      </x:c>
    </x:row>
    <x:row r="97" ht="32" customHeight="1">
      <x:c r="A97" s="365" t="str">
        <x:v>K60</x:v>
      </x:c>
      <x:c r="B97" s="365" t="str">
        <x:v>Legendⁱᵃᵐ</x:v>
      </x:c>
      <x:c r="C97" s="365" t="str">
        <x:v>Guards</x:v>
      </x:c>
      <x:c r="D97" s="365" t="str">
        <x:v>Destroyers</x:v>
      </x:c>
      <x:c r="E97" s="365" t="str">
        <x:v>Guard</x:v>
      </x:c>
      <x:c r="F97" s="365" t="n">
        <x:v>40</x:v>
      </x:c>
      <x:c r="G97" s="365" t="str">
        <x:v>Parry</x:v>
      </x:c>
      <x:c r="H97" s="365" t="str">
        <x:v>Provides a parry effect and a certain probability to increase damage</x:v>
      </x:c>
      <x:c r="I97" s="365" t="str">
        <x:v>Unlocked</x:v>
      </x:c>
      <x:c r="J97" s="365" t="str">
        <x:v>04:04.9</x:v>
      </x:c>
      <x:c r="K97" s="365"/>
      <x:c r="L97" s="365" t="str">
        <x:v>K60_SVID_20260828_001858_1.mp4</x:v>
      </x:c>
      <x:c r="M97" s="387" t="n">
        <x:f>IF(P97="OK",INDEX('Badge Lookup'!$B$6:$B$55,MATCH(F97,'Badge Lookup'!$A$6:$A$55,0)),0)</x:f>
        <x:v>240000</x:v>
      </x:c>
      <x:c r="N97" s="387" t="n">
        <x:f>IF(P97="OK",INDEX('Badge Lookup'!$C$6:$C$55,MATCH(F97,'Badge Lookup'!$A$6:$A$55,0)),0)</x:f>
        <x:v>2244300</x:v>
      </x:c>
      <x:c r="O97" s="388" t="n">
        <x:f>IF(P97="OK",INDEX('Badge Lookup'!$D$6:$D$55,MATCH(F97,'Badge Lookup'!$A$6:$A$55,0)),0)</x:f>
        <x:v>27.74</x:v>
      </x:c>
      <x:c r="P97" s="362" t="str">
        <x:f>IF(OR(G97="",F97=""),"Not scored",IF(AND(F97=INT(F97),F97&gt;=1,F97&lt;=50,COUNTIF('Badge Lookup'!$A$6:$A$55,F97)=1),"OK","Check lookup"))</x:f>
        <x:v>OK</x:v>
      </x:c>
      <x:c r="Q97" s="456" t="n">
        <x:f>IF(P97&lt;&gt;"OK","",IF(C97="Guards",-O97,O97))</x:f>
        <x:v>-27.74</x:v>
      </x:c>
      <x:c r="R97" s="362" t="str">
        <x:f>IF(P97&lt;&gt;"OK","Not scored",IF(C97="Guards","Damage received reduction","Damage increase"))</x:f>
        <x:v>Damage received reduction</x:v>
      </x:c>
    </x:row>
    <x:row r="98" ht="32" customHeight="1">
      <x:c r="A98" s="365" t="str">
        <x:v>K60</x:v>
      </x:c>
      <x:c r="B98" s="365" t="str">
        <x:v>Legendⁱᵃᵐ</x:v>
      </x:c>
      <x:c r="C98" s="365" t="str">
        <x:v>Archers</x:v>
      </x:c>
      <x:c r="D98" s="365" t="str">
        <x:v>Elite bowmen</x:v>
      </x:c>
      <x:c r="E98" s="365" t="str">
        <x:v>Archer</x:v>
      </x:c>
      <x:c r="F98" s="365" t="n">
        <x:v>40</x:v>
      </x:c>
      <x:c r="G98" s="365" t="str">
        <x:v>Frost Arrow</x:v>
      </x:c>
      <x:c r="H98" s="365" t="str">
        <x:v>Has a higher probability of activating ice damage</x:v>
      </x:c>
      <x:c r="I98" s="365" t="str">
        <x:v>Unlocked</x:v>
      </x:c>
      <x:c r="J98" s="365" t="str">
        <x:v>04:06.7</x:v>
      </x:c>
      <x:c r="K98" s="365"/>
      <x:c r="L98" s="365" t="str">
        <x:v>K60_SVID_20260828_001858_1.mp4</x:v>
      </x:c>
      <x:c r="M98" s="387" t="n">
        <x:f>IF(P98="OK",INDEX('Badge Lookup'!$B$6:$B$55,MATCH(F98,'Badge Lookup'!$A$6:$A$55,0)),0)</x:f>
        <x:v>240000</x:v>
      </x:c>
      <x:c r="N98" s="387" t="n">
        <x:f>IF(P98="OK",INDEX('Badge Lookup'!$C$6:$C$55,MATCH(F98,'Badge Lookup'!$A$6:$A$55,0)),0)</x:f>
        <x:v>2244300</x:v>
      </x:c>
      <x:c r="O98" s="388" t="n">
        <x:f>IF(P98="OK",INDEX('Badge Lookup'!$D$6:$D$55,MATCH(F98,'Badge Lookup'!$A$6:$A$55,0)),0)</x:f>
        <x:v>27.74</x:v>
      </x:c>
      <x:c r="P98" s="362" t="str">
        <x:f>IF(OR(G98="",F98=""),"Not scored",IF(AND(F98=INT(F98),F98&gt;=1,F98&lt;=50,COUNTIF('Badge Lookup'!$A$6:$A$55,F98)=1),"OK","Check lookup"))</x:f>
        <x:v>OK</x:v>
      </x:c>
      <x:c r="Q98" s="456" t="n">
        <x:f>IF(P98&lt;&gt;"OK","",IF(C98="Guards",-O98,O98))</x:f>
        <x:v>27.74</x:v>
      </x:c>
      <x:c r="R98" s="362" t="str">
        <x:f>IF(P98&lt;&gt;"OK","Not scored",IF(C98="Guards","Damage received reduction","Damage increase"))</x:f>
        <x:v>Damage increase</x:v>
      </x:c>
    </x:row>
    <x:row r="99" ht="32" customHeight="1">
      <x:c r="A99" s="365" t="str">
        <x:v>K60</x:v>
      </x:c>
      <x:c r="B99" s="365" t="str">
        <x:v>Legendⁱᵃᵐ</x:v>
      </x:c>
      <x:c r="C99" s="365" t="str">
        <x:v>Cavalry</x:v>
      </x:c>
      <x:c r="D99" s="365" t="str">
        <x:v>Eternal knights</x:v>
      </x:c>
      <x:c r="E99" s="365" t="str">
        <x:v>Heavy Cavalry</x:v>
      </x:c>
      <x:c r="F99" s="365" t="n">
        <x:v>43</x:v>
      </x:c>
      <x:c r="G99" s="365" t="str">
        <x:v>Thunder trample</x:v>
      </x:c>
      <x:c r="H99" s="365" t="str">
        <x:v>Has a certain probability of causing trampling damage</x:v>
      </x:c>
      <x:c r="I99" s="365" t="str">
        <x:v>Unlocked</x:v>
      </x:c>
      <x:c r="J99" s="365" t="str">
        <x:v>04:05.7</x:v>
      </x:c>
      <x:c r="K99" s="365"/>
      <x:c r="L99" s="365" t="str">
        <x:v>K60_SVID_20260828_001858_1.mp4</x:v>
      </x:c>
      <x:c r="M99" s="387" t="n">
        <x:f>IF(P99="OK",INDEX('Badge Lookup'!$B$6:$B$55,MATCH(F99,'Badge Lookup'!$A$6:$A$55,0)),0)</x:f>
        <x:v>400000</x:v>
      </x:c>
      <x:c r="N99" s="387" t="n">
        <x:f>IF(P99="OK",INDEX('Badge Lookup'!$C$6:$C$55,MATCH(F99,'Badge Lookup'!$A$6:$A$55,0)),0)</x:f>
        <x:v>3244300</x:v>
      </x:c>
      <x:c r="O99" s="388" t="n">
        <x:f>IF(P99="OK",INDEX('Badge Lookup'!$D$6:$D$55,MATCH(F99,'Badge Lookup'!$A$6:$A$55,0)),0)</x:f>
        <x:v>35.98</x:v>
      </x:c>
      <x:c r="P99" s="362" t="str">
        <x:f>IF(OR(G99="",F99=""),"Not scored",IF(AND(F99=INT(F99),F99&gt;=1,F99&lt;=50,COUNTIF('Badge Lookup'!$A$6:$A$55,F99)=1),"OK","Check lookup"))</x:f>
        <x:v>OK</x:v>
      </x:c>
      <x:c r="Q99" s="456" t="n">
        <x:f>IF(P99&lt;&gt;"OK","",IF(C99="Guards",-O99,O99))</x:f>
        <x:v>35.98</x:v>
      </x:c>
      <x:c r="R99" s="362" t="str">
        <x:f>IF(P99&lt;&gt;"OK","Not scored",IF(C99="Guards","Damage received reduction","Damage increase"))</x:f>
        <x:v>Damage increase</x:v>
      </x:c>
    </x:row>
    <x:row r="100" ht="32" customHeight="1">
      <x:c r="A100" s="365" t="str">
        <x:v>K60</x:v>
      </x:c>
      <x:c r="B100" s="365" t="str">
        <x:v>Legendⁱᵃᵐ</x:v>
      </x:c>
      <x:c r="C100" s="365" t="str">
        <x:v>Cavalry</x:v>
      </x:c>
      <x:c r="D100" s="365" t="str">
        <x:v>Storm cavalry</x:v>
      </x:c>
      <x:c r="E100" s="365" t="str">
        <x:v>Horse archer</x:v>
      </x:c>
      <x:c r="F100" s="365" t="n">
        <x:v>43</x:v>
      </x:c>
      <x:c r="G100" s="365" t="str">
        <x:v>Mounted Archery</x:v>
      </x:c>
      <x:c r="H100" s="365" t="str">
        <x:v>Has a certain probability of causing fly-shooting damage</x:v>
      </x:c>
      <x:c r="I100" s="365" t="str">
        <x:v>Unlocked</x:v>
      </x:c>
      <x:c r="J100" s="365" t="str">
        <x:v>04:07.5</x:v>
      </x:c>
      <x:c r="K100" s="365"/>
      <x:c r="L100" s="365" t="str">
        <x:v>K60_SVID_20260828_001858_1.mp4</x:v>
      </x:c>
      <x:c r="M100" s="387" t="n">
        <x:f>IF(P100="OK",INDEX('Badge Lookup'!$B$6:$B$55,MATCH(F100,'Badge Lookup'!$A$6:$A$55,0)),0)</x:f>
        <x:v>400000</x:v>
      </x:c>
      <x:c r="N100" s="387" t="n">
        <x:f>IF(P100="OK",INDEX('Badge Lookup'!$C$6:$C$55,MATCH(F100,'Badge Lookup'!$A$6:$A$55,0)),0)</x:f>
        <x:v>3244300</x:v>
      </x:c>
      <x:c r="O100" s="388" t="n">
        <x:f>IF(P100="OK",INDEX('Badge Lookup'!$D$6:$D$55,MATCH(F100,'Badge Lookup'!$A$6:$A$55,0)),0)</x:f>
        <x:v>35.98</x:v>
      </x:c>
      <x:c r="P100" s="362" t="str">
        <x:f>IF(OR(G100="",F100=""),"Not scored",IF(AND(F100=INT(F100),F100&gt;=1,F100&lt;=50,COUNTIF('Badge Lookup'!$A$6:$A$55,F100)=1),"OK","Check lookup"))</x:f>
        <x:v>OK</x:v>
      </x:c>
      <x:c r="Q100" s="456" t="n">
        <x:f>IF(P100&lt;&gt;"OK","",IF(C100="Guards",-O100,O100))</x:f>
        <x:v>35.98</x:v>
      </x:c>
      <x:c r="R100" s="362" t="str">
        <x:f>IF(P100&lt;&gt;"OK","Not scored",IF(C100="Guards","Damage received reduction","Damage increase"))</x:f>
        <x:v>Damage increase</x:v>
      </x:c>
    </x:row>
    <x:row r="101" ht="32" customHeight="1">
      <x:c r="A101" s="365" t="str">
        <x:v>K60</x:v>
      </x:c>
      <x:c r="B101" s="365" t="str">
        <x:v>°Silent°</x:v>
      </x:c>
      <x:c r="C101" s="365" t="str">
        <x:v>Archers</x:v>
      </x:c>
      <x:c r="D101" s="365" t="str">
        <x:v>Elite bowmen</x:v>
      </x:c>
      <x:c r="E101" s="365" t="str">
        <x:v>Archer</x:v>
      </x:c>
      <x:c r="F101" s="365" t="n">
        <x:v>40</x:v>
      </x:c>
      <x:c r="G101" s="365" t="str">
        <x:v>Frost Arrow</x:v>
      </x:c>
      <x:c r="H101" s="365" t="str">
        <x:v>Has a higher probability of activating ice damage</x:v>
      </x:c>
      <x:c r="I101" s="365" t="str">
        <x:v>Unlocked</x:v>
      </x:c>
      <x:c r="J101" s="365" t="str">
        <x:v>04:15.9</x:v>
      </x:c>
      <x:c r="K101" s="365"/>
      <x:c r="L101" s="365" t="str">
        <x:v>K60_SVID_20260828_001858_1.mp4</x:v>
      </x:c>
      <x:c r="M101" s="387" t="n">
        <x:f>IF(P101="OK",INDEX('Badge Lookup'!$B$6:$B$55,MATCH(F101,'Badge Lookup'!$A$6:$A$55,0)),0)</x:f>
        <x:v>240000</x:v>
      </x:c>
      <x:c r="N101" s="387" t="n">
        <x:f>IF(P101="OK",INDEX('Badge Lookup'!$C$6:$C$55,MATCH(F101,'Badge Lookup'!$A$6:$A$55,0)),0)</x:f>
        <x:v>2244300</x:v>
      </x:c>
      <x:c r="O101" s="388" t="n">
        <x:f>IF(P101="OK",INDEX('Badge Lookup'!$D$6:$D$55,MATCH(F101,'Badge Lookup'!$A$6:$A$55,0)),0)</x:f>
        <x:v>27.74</x:v>
      </x:c>
      <x:c r="P101" s="362" t="str">
        <x:f>IF(OR(G101="",F101=""),"Not scored",IF(AND(F101=INT(F101),F101&gt;=1,F101&lt;=50,COUNTIF('Badge Lookup'!$A$6:$A$55,F101)=1),"OK","Check lookup"))</x:f>
        <x:v>OK</x:v>
      </x:c>
      <x:c r="Q101" s="456" t="n">
        <x:f>IF(P101&lt;&gt;"OK","",IF(C101="Guards",-O101,O101))</x:f>
        <x:v>27.74</x:v>
      </x:c>
      <x:c r="R101" s="362" t="str">
        <x:f>IF(P101&lt;&gt;"OK","Not scored",IF(C101="Guards","Damage received reduction","Damage increase"))</x:f>
        <x:v>Damage increase</x:v>
      </x:c>
    </x:row>
    <x:row r="102" ht="32" customHeight="1">
      <x:c r="A102" s="365" t="str">
        <x:v>K60</x:v>
      </x:c>
      <x:c r="B102" s="365" t="str">
        <x:v>°Silent°</x:v>
      </x:c>
      <x:c r="C102" s="365" t="str">
        <x:v>Cavalry</x:v>
      </x:c>
      <x:c r="D102" s="365" t="str">
        <x:v>Eternal knights</x:v>
      </x:c>
      <x:c r="E102" s="365" t="str">
        <x:v>Heavy Cavalry</x:v>
      </x:c>
      <x:c r="F102" s="365" t="n">
        <x:v>45</x:v>
      </x:c>
      <x:c r="G102" s="365" t="str">
        <x:v>Thunder trample</x:v>
      </x:c>
      <x:c r="H102" s="365" t="str">
        <x:v>Has a certain probability of causing trampling damage</x:v>
      </x:c>
      <x:c r="I102" s="365" t="str">
        <x:v>Unlocked</x:v>
      </x:c>
      <x:c r="J102" s="365" t="str">
        <x:v>04:13.9</x:v>
      </x:c>
      <x:c r="K102" s="365"/>
      <x:c r="L102" s="365" t="str">
        <x:v>K60_SVID_20260828_001858_1.mp4</x:v>
      </x:c>
      <x:c r="M102" s="387" t="n">
        <x:f>IF(P102="OK",INDEX('Badge Lookup'!$B$6:$B$55,MATCH(F102,'Badge Lookup'!$A$6:$A$55,0)),0)</x:f>
        <x:v>560000</x:v>
      </x:c>
      <x:c r="N102" s="387" t="n">
        <x:f>IF(P102="OK",INDEX('Badge Lookup'!$C$6:$C$55,MATCH(F102,'Badge Lookup'!$A$6:$A$55,0)),0)</x:f>
        <x:v>4284300</x:v>
      </x:c>
      <x:c r="O102" s="388" t="n">
        <x:f>IF(P102="OK",INDEX('Badge Lookup'!$D$6:$D$55,MATCH(F102,'Badge Lookup'!$A$6:$A$55,0)),0)</x:f>
        <x:v>41.98</x:v>
      </x:c>
      <x:c r="P102" s="362" t="str">
        <x:f>IF(OR(G102="",F102=""),"Not scored",IF(AND(F102=INT(F102),F102&gt;=1,F102&lt;=50,COUNTIF('Badge Lookup'!$A$6:$A$55,F102)=1),"OK","Check lookup"))</x:f>
        <x:v>OK</x:v>
      </x:c>
      <x:c r="Q102" s="456" t="n">
        <x:f>IF(P102&lt;&gt;"OK","",IF(C102="Guards",-O102,O102))</x:f>
        <x:v>41.98</x:v>
      </x:c>
      <x:c r="R102" s="362" t="str">
        <x:f>IF(P102&lt;&gt;"OK","Not scored",IF(C102="Guards","Damage received reduction","Damage increase"))</x:f>
        <x:v>Damage increase</x:v>
      </x:c>
    </x:row>
    <x:row r="103" ht="32" customHeight="1">
      <x:c r="A103" s="365" t="str">
        <x:v>K60</x:v>
      </x:c>
      <x:c r="B103" s="365" t="str">
        <x:v>°Silent°</x:v>
      </x:c>
      <x:c r="C103" s="365" t="str">
        <x:v>Cavalry</x:v>
      </x:c>
      <x:c r="D103" s="365" t="str">
        <x:v>Storm cavalry</x:v>
      </x:c>
      <x:c r="E103" s="365" t="str">
        <x:v>Horse archer</x:v>
      </x:c>
      <x:c r="F103" s="365" t="n">
        <x:v>45</x:v>
      </x:c>
      <x:c r="G103" s="365" t="str">
        <x:v>Mounted Archery</x:v>
      </x:c>
      <x:c r="H103" s="365" t="str">
        <x:v>Has a certain probability of causing fly-shooting damage</x:v>
      </x:c>
      <x:c r="I103" s="365" t="str">
        <x:v>Unlocked</x:v>
      </x:c>
      <x:c r="J103" s="365" t="str">
        <x:v>04:17.1</x:v>
      </x:c>
      <x:c r="K103" s="365"/>
      <x:c r="L103" s="365" t="str">
        <x:v>K60_SVID_20260828_001858_1.mp4</x:v>
      </x:c>
      <x:c r="M103" s="387" t="n">
        <x:f>IF(P103="OK",INDEX('Badge Lookup'!$B$6:$B$55,MATCH(F103,'Badge Lookup'!$A$6:$A$55,0)),0)</x:f>
        <x:v>560000</x:v>
      </x:c>
      <x:c r="N103" s="387" t="n">
        <x:f>IF(P103="OK",INDEX('Badge Lookup'!$C$6:$C$55,MATCH(F103,'Badge Lookup'!$A$6:$A$55,0)),0)</x:f>
        <x:v>4284300</x:v>
      </x:c>
      <x:c r="O103" s="388" t="n">
        <x:f>IF(P103="OK",INDEX('Badge Lookup'!$D$6:$D$55,MATCH(F103,'Badge Lookup'!$A$6:$A$55,0)),0)</x:f>
        <x:v>41.98</x:v>
      </x:c>
      <x:c r="P103" s="362" t="str">
        <x:f>IF(OR(G103="",F103=""),"Not scored",IF(AND(F103=INT(F103),F103&gt;=1,F103&lt;=50,COUNTIF('Badge Lookup'!$A$6:$A$55,F103)=1),"OK","Check lookup"))</x:f>
        <x:v>OK</x:v>
      </x:c>
      <x:c r="Q103" s="456" t="n">
        <x:f>IF(P103&lt;&gt;"OK","",IF(C103="Guards",-O103,O103))</x:f>
        <x:v>41.98</x:v>
      </x:c>
      <x:c r="R103" s="362" t="str">
        <x:f>IF(P103&lt;&gt;"OK","Not scored",IF(C103="Guards","Damage received reduction","Damage increase"))</x:f>
        <x:v>Damage increase</x:v>
      </x:c>
    </x:row>
    <x:row r="104" ht="32" customHeight="1">
      <x:c r="A104" s="365" t="str">
        <x:v>K60</x:v>
      </x:c>
      <x:c r="B104" s="365" t="str">
        <x:v>°Silent°</x:v>
      </x:c>
      <x:c r="C104" s="365" t="str">
        <x:v>Siege</x:v>
      </x:c>
      <x:c r="D104" s="365" t="str">
        <x:v>Manglers</x:v>
      </x:c>
      <x:c r="E104" s="365" t="str">
        <x:v>Siege</x:v>
      </x:c>
      <x:c r="F104" s="365" t="n">
        <x:v>50</x:v>
      </x:c>
      <x:c r="G104" s="365" t="str">
        <x:v>Highly toxic</x:v>
      </x:c>
      <x:c r="H104" s="365" t="str">
        <x:v>Inflict continuous toxic damage</x:v>
      </x:c>
      <x:c r="I104" s="365" t="str">
        <x:v>Unlocked</x:v>
      </x:c>
      <x:c r="J104" s="365" t="str">
        <x:v>04:16.5</x:v>
      </x:c>
      <x:c r="K104" s="365"/>
      <x:c r="L104" s="365" t="str">
        <x:v>K60_SVID_20260828_001858_1.mp4</x:v>
      </x:c>
      <x:c r="M104" s="387" t="n">
        <x:f>IF(P104="OK",INDEX('Badge Lookup'!$B$6:$B$55,MATCH(F104,'Badge Lookup'!$A$6:$A$55,0)),0)</x:f>
        <x:v>2000000</x:v>
      </x:c>
      <x:c r="N104" s="387" t="n">
        <x:f>IF(P104="OK",INDEX('Badge Lookup'!$C$6:$C$55,MATCH(F104,'Badge Lookup'!$A$6:$A$55,0)),0)</x:f>
        <x:v>10334300</x:v>
      </x:c>
      <x:c r="O104" s="388" t="n">
        <x:f>IF(P104="OK",INDEX('Badge Lookup'!$D$6:$D$55,MATCH(F104,'Badge Lookup'!$A$6:$A$55,0)),0)</x:f>
        <x:v>60</x:v>
      </x:c>
      <x:c r="P104" s="362" t="str">
        <x:f>IF(OR(G104="",F104=""),"Not scored",IF(AND(F104=INT(F104),F104&gt;=1,F104&lt;=50,COUNTIF('Badge Lookup'!$A$6:$A$55,F104)=1),"OK","Check lookup"))</x:f>
        <x:v>OK</x:v>
      </x:c>
      <x:c r="Q104" s="456" t="n">
        <x:f>IF(P104&lt;&gt;"OK","",IF(C104="Guards",-O104,O104))</x:f>
        <x:v>60</x:v>
      </x:c>
      <x:c r="R104" s="362" t="str">
        <x:f>IF(P104&lt;&gt;"OK","Not scored",IF(C104="Guards","Damage received reduction","Damage increase"))</x:f>
        <x:v>Damage increase</x:v>
      </x:c>
    </x:row>
    <x:row r="105" ht="32" customHeight="1">
      <x:c r="A105" s="365" t="str">
        <x:v>K60</x:v>
      </x:c>
      <x:c r="B105" s="365" t="str">
        <x:v>°Silent°</x:v>
      </x:c>
      <x:c r="C105" s="365" t="str">
        <x:v>Siege</x:v>
      </x:c>
      <x:c r="D105" s="365" t="str">
        <x:v>Guardian siege</x:v>
      </x:c>
      <x:c r="E105" s="365" t="str">
        <x:v>Rams</x:v>
      </x:c>
      <x:c r="F105" s="365" t="n">
        <x:v>40</x:v>
      </x:c>
      <x:c r="G105" s="365" t="str">
        <x:v>Dragonhide</x:v>
      </x:c>
      <x:c r="H105" s="365" t="str">
        <x:v>Increase damage reduction and increase damage</x:v>
      </x:c>
      <x:c r="I105" s="365" t="str">
        <x:v>Unlocked</x:v>
      </x:c>
      <x:c r="J105" s="365" t="str">
        <x:v>04:17.7</x:v>
      </x:c>
      <x:c r="K105" s="365"/>
      <x:c r="L105" s="365" t="str">
        <x:v>K60_SVID_20260828_001858_1.mp4</x:v>
      </x:c>
      <x:c r="M105" s="387" t="n">
        <x:f>IF(P105="OK",INDEX('Badge Lookup'!$B$6:$B$55,MATCH(F105,'Badge Lookup'!$A$6:$A$55,0)),0)</x:f>
        <x:v>240000</x:v>
      </x:c>
      <x:c r="N105" s="387" t="n">
        <x:f>IF(P105="OK",INDEX('Badge Lookup'!$C$6:$C$55,MATCH(F105,'Badge Lookup'!$A$6:$A$55,0)),0)</x:f>
        <x:v>2244300</x:v>
      </x:c>
      <x:c r="O105" s="388" t="n">
        <x:f>IF(P105="OK",INDEX('Badge Lookup'!$D$6:$D$55,MATCH(F105,'Badge Lookup'!$A$6:$A$55,0)),0)</x:f>
        <x:v>27.74</x:v>
      </x:c>
      <x:c r="P105" s="362" t="str">
        <x:f>IF(OR(G105="",F105=""),"Not scored",IF(AND(F105=INT(F105),F105&gt;=1,F105&lt;=50,COUNTIF('Badge Lookup'!$A$6:$A$55,F105)=1),"OK","Check lookup"))</x:f>
        <x:v>OK</x:v>
      </x:c>
      <x:c r="Q105" s="456" t="n">
        <x:f>IF(P105&lt;&gt;"OK","",IF(C105="Guards",-O105,O105))</x:f>
        <x:v>27.74</x:v>
      </x:c>
      <x:c r="R105" s="362" t="str">
        <x:f>IF(P105&lt;&gt;"OK","Not scored",IF(C105="Guards","Damage received reduction","Damage increase"))</x:f>
        <x:v>Damage increase</x:v>
      </x:c>
    </x:row>
    <x:row r="106" ht="32" customHeight="1">
      <x:c r="A106" s="365" t="str">
        <x:v>K91</x:v>
      </x:c>
      <x:c r="B106" s="365" t="str">
        <x:v>•Pain•</x:v>
      </x:c>
      <x:c r="C106" s="365" t="str">
        <x:v>Cavalry</x:v>
      </x:c>
      <x:c r="D106" s="365" t="str">
        <x:v>Eternal knights</x:v>
      </x:c>
      <x:c r="E106" s="365" t="str">
        <x:v>Heavy Cavalry</x:v>
      </x:c>
      <x:c r="F106" s="365" t="n">
        <x:v>50</x:v>
      </x:c>
      <x:c r="G106" s="365" t="str">
        <x:v>Thunder trample</x:v>
      </x:c>
      <x:c r="H106" s="365" t="str">
        <x:v>Has a certain probability of causing trampling damage</x:v>
      </x:c>
      <x:c r="I106" s="365" t="str">
        <x:v>Unlocked</x:v>
      </x:c>
      <x:c r="J106" s="365" t="str">
        <x:v>00:02.50</x:v>
      </x:c>
      <x:c r="K106" s="365" t="str">
        <x:v>Source frame: frames_1fps/f_0003.jpg</x:v>
      </x:c>
      <x:c r="L106" s="365" t="str">
        <x:v>1000025188.mp4</x:v>
      </x:c>
      <x:c r="M106" s="387" t="n">
        <x:f>IF(P106="OK",INDEX('Badge Lookup'!$B$6:$B$55,MATCH(F106,'Badge Lookup'!$A$6:$A$55,0)),0)</x:f>
        <x:v>2000000</x:v>
      </x:c>
      <x:c r="N106" s="387" t="n">
        <x:f>IF(P106="OK",INDEX('Badge Lookup'!$C$6:$C$55,MATCH(F106,'Badge Lookup'!$A$6:$A$55,0)),0)</x:f>
        <x:v>10334300</x:v>
      </x:c>
      <x:c r="O106" s="388" t="n">
        <x:f>IF(P106="OK",INDEX('Badge Lookup'!$D$6:$D$55,MATCH(F106,'Badge Lookup'!$A$6:$A$55,0)),0)</x:f>
        <x:v>60</x:v>
      </x:c>
      <x:c r="P106" s="362" t="str">
        <x:f>IF(OR(G106="",F106=""),"Not scored",IF(AND(F106=INT(F106),F106&gt;=1,F106&lt;=50,COUNTIF('Badge Lookup'!$A$6:$A$55,F106)=1),"OK","Check lookup"))</x:f>
        <x:v>OK</x:v>
      </x:c>
      <x:c r="Q106" s="456" t="n">
        <x:f>IF(P106&lt;&gt;"OK","",IF(C106="Guards",-O106,O106))</x:f>
        <x:v>60</x:v>
      </x:c>
      <x:c r="R106" s="362" t="str">
        <x:f>IF(P106&lt;&gt;"OK","Not scored",IF(C106="Guards","Damage received reduction","Damage increase"))</x:f>
        <x:v>Damage increase</x:v>
      </x:c>
    </x:row>
    <x:row r="107" ht="32" customHeight="1">
      <x:c r="A107" s="365" t="str">
        <x:v>K91</x:v>
      </x:c>
      <x:c r="B107" s="365" t="str">
        <x:v>•Pain•</x:v>
      </x:c>
      <x:c r="C107" s="365" t="str">
        <x:v>Archers</x:v>
      </x:c>
      <x:c r="D107" s="365" t="str">
        <x:v>Elite bowmen</x:v>
      </x:c>
      <x:c r="E107" s="365" t="str">
        <x:v>Archer</x:v>
      </x:c>
      <x:c r="F107" s="365" t="n">
        <x:v>45</x:v>
      </x:c>
      <x:c r="G107" s="365" t="str">
        <x:v>Frost Arrow</x:v>
      </x:c>
      <x:c r="H107" s="365" t="str">
        <x:v>Has a higher probability of activating ice damage</x:v>
      </x:c>
      <x:c r="I107" s="365" t="str">
        <x:v>Unlocked</x:v>
      </x:c>
      <x:c r="J107" s="365" t="str">
        <x:v>00:05.50</x:v>
      </x:c>
      <x:c r="K107" s="365" t="str">
        <x:v>Source frame: frames_1fps/f_0006.jpg</x:v>
      </x:c>
      <x:c r="L107" s="365" t="str">
        <x:v>1000025188.mp4</x:v>
      </x:c>
      <x:c r="M107" s="387" t="n">
        <x:f>IF(P107="OK",INDEX('Badge Lookup'!$B$6:$B$55,MATCH(F107,'Badge Lookup'!$A$6:$A$55,0)),0)</x:f>
        <x:v>560000</x:v>
      </x:c>
      <x:c r="N107" s="387" t="n">
        <x:f>IF(P107="OK",INDEX('Badge Lookup'!$C$6:$C$55,MATCH(F107,'Badge Lookup'!$A$6:$A$55,0)),0)</x:f>
        <x:v>4284300</x:v>
      </x:c>
      <x:c r="O107" s="388" t="n">
        <x:f>IF(P107="OK",INDEX('Badge Lookup'!$D$6:$D$55,MATCH(F107,'Badge Lookup'!$A$6:$A$55,0)),0)</x:f>
        <x:v>41.98</x:v>
      </x:c>
      <x:c r="P107" s="362" t="str">
        <x:f>IF(OR(G107="",F107=""),"Not scored",IF(AND(F107=INT(F107),F107&gt;=1,F107&lt;=50,COUNTIF('Badge Lookup'!$A$6:$A$55,F107)=1),"OK","Check lookup"))</x:f>
        <x:v>OK</x:v>
      </x:c>
      <x:c r="Q107" s="456" t="n">
        <x:f>IF(P107&lt;&gt;"OK","",IF(C107="Guards",-O107,O107))</x:f>
        <x:v>41.98</x:v>
      </x:c>
      <x:c r="R107" s="362" t="str">
        <x:f>IF(P107&lt;&gt;"OK","Not scored",IF(C107="Guards","Damage received reduction","Damage increase"))</x:f>
        <x:v>Damage increase</x:v>
      </x:c>
    </x:row>
    <x:row r="108" ht="32" customHeight="1">
      <x:c r="A108" s="365" t="str">
        <x:v>K91</x:v>
      </x:c>
      <x:c r="B108" s="365" t="str">
        <x:v>•Pain•</x:v>
      </x:c>
      <x:c r="C108" s="365" t="str">
        <x:v>Siege</x:v>
      </x:c>
      <x:c r="D108" s="365" t="str">
        <x:v>Manglers</x:v>
      </x:c>
      <x:c r="E108" s="365" t="str">
        <x:v>Siege</x:v>
      </x:c>
      <x:c r="F108" s="365" t="n">
        <x:v>43</x:v>
      </x:c>
      <x:c r="G108" s="365" t="str">
        <x:v>Highly toxic</x:v>
      </x:c>
      <x:c r="H108" s="365" t="str">
        <x:v>Inflict continuous toxic damage</x:v>
      </x:c>
      <x:c r="I108" s="365" t="str">
        <x:v>Unlocked</x:v>
      </x:c>
      <x:c r="J108" s="365" t="str">
        <x:v>00:06.50</x:v>
      </x:c>
      <x:c r="K108" s="365" t="str">
        <x:v>Source frame: frames_1fps/f_0007.jpg</x:v>
      </x:c>
      <x:c r="L108" s="365" t="str">
        <x:v>1000025188.mp4</x:v>
      </x:c>
      <x:c r="M108" s="387" t="n">
        <x:f>IF(P108="OK",INDEX('Badge Lookup'!$B$6:$B$55,MATCH(F108,'Badge Lookup'!$A$6:$A$55,0)),0)</x:f>
        <x:v>400000</x:v>
      </x:c>
      <x:c r="N108" s="387" t="n">
        <x:f>IF(P108="OK",INDEX('Badge Lookup'!$C$6:$C$55,MATCH(F108,'Badge Lookup'!$A$6:$A$55,0)),0)</x:f>
        <x:v>3244300</x:v>
      </x:c>
      <x:c r="O108" s="388" t="n">
        <x:f>IF(P108="OK",INDEX('Badge Lookup'!$D$6:$D$55,MATCH(F108,'Badge Lookup'!$A$6:$A$55,0)),0)</x:f>
        <x:v>35.98</x:v>
      </x:c>
      <x:c r="P108" s="362" t="str">
        <x:f>IF(OR(G108="",F108=""),"Not scored",IF(AND(F108=INT(F108),F108&gt;=1,F108&lt;=50,COUNTIF('Badge Lookup'!$A$6:$A$55,F108)=1),"OK","Check lookup"))</x:f>
        <x:v>OK</x:v>
      </x:c>
      <x:c r="Q108" s="456" t="n">
        <x:f>IF(P108&lt;&gt;"OK","",IF(C108="Guards",-O108,O108))</x:f>
        <x:v>35.98</x:v>
      </x:c>
      <x:c r="R108" s="362" t="str">
        <x:f>IF(P108&lt;&gt;"OK","Not scored",IF(C108="Guards","Damage received reduction","Damage increase"))</x:f>
        <x:v>Damage increase</x:v>
      </x:c>
    </x:row>
    <x:row r="109" ht="32" customHeight="1">
      <x:c r="A109" s="365" t="str">
        <x:v>K91</x:v>
      </x:c>
      <x:c r="B109" s="365" t="str">
        <x:v>•Pain•</x:v>
      </x:c>
      <x:c r="C109" s="365" t="str">
        <x:v>Cavalry</x:v>
      </x:c>
      <x:c r="D109" s="365" t="str">
        <x:v>Storm cavalry</x:v>
      </x:c>
      <x:c r="E109" s="365" t="str">
        <x:v>Horse archer</x:v>
      </x:c>
      <x:c r="F109" s="365" t="n">
        <x:v>47</x:v>
      </x:c>
      <x:c r="G109" s="365" t="str">
        <x:v>Mounted Archery</x:v>
      </x:c>
      <x:c r="H109" s="365" t="str">
        <x:v>Has a certain probability of causing fly-shooting damage</x:v>
      </x:c>
      <x:c r="I109" s="365" t="str">
        <x:v>Unlocked</x:v>
      </x:c>
      <x:c r="J109" s="365" t="str">
        <x:v>00:08.50</x:v>
      </x:c>
      <x:c r="K109" s="365" t="str">
        <x:v>Source frame: frames_1fps/f_0009.jpg</x:v>
      </x:c>
      <x:c r="L109" s="365" t="str">
        <x:v>1000025188.mp4</x:v>
      </x:c>
      <x:c r="M109" s="387" t="n">
        <x:f>IF(P109="OK",INDEX('Badge Lookup'!$B$6:$B$55,MATCH(F109,'Badge Lookup'!$A$6:$A$55,0)),0)</x:f>
        <x:v>880000</x:v>
      </x:c>
      <x:c r="N109" s="387" t="n">
        <x:f>IF(P109="OK",INDEX('Badge Lookup'!$C$6:$C$55,MATCH(F109,'Badge Lookup'!$A$6:$A$55,0)),0)</x:f>
        <x:v>5884300</x:v>
      </x:c>
      <x:c r="O109" s="388" t="n">
        <x:f>IF(P109="OK",INDEX('Badge Lookup'!$D$6:$D$55,MATCH(F109,'Badge Lookup'!$A$6:$A$55,0)),0)</x:f>
        <x:v>48.38</x:v>
      </x:c>
      <x:c r="P109" s="362" t="str">
        <x:f>IF(OR(G109="",F109=""),"Not scored",IF(AND(F109=INT(F109),F109&gt;=1,F109&lt;=50,COUNTIF('Badge Lookup'!$A$6:$A$55,F109)=1),"OK","Check lookup"))</x:f>
        <x:v>OK</x:v>
      </x:c>
      <x:c r="Q109" s="456" t="n">
        <x:f>IF(P109&lt;&gt;"OK","",IF(C109="Guards",-O109,O109))</x:f>
        <x:v>48.38</x:v>
      </x:c>
      <x:c r="R109" s="362" t="str">
        <x:f>IF(P109&lt;&gt;"OK","Not scored",IF(C109="Guards","Damage received reduction","Damage increase"))</x:f>
        <x:v>Damage increase</x:v>
      </x:c>
    </x:row>
    <x:row r="110" ht="32" customHeight="1">
      <x:c r="A110" s="365" t="str">
        <x:v>K91</x:v>
      </x:c>
      <x:c r="B110" s="365" t="str">
        <x:v>•Pain•</x:v>
      </x:c>
      <x:c r="C110" s="365" t="str">
        <x:v>Siege</x:v>
      </x:c>
      <x:c r="D110" s="365" t="str">
        <x:v>Guardian siege</x:v>
      </x:c>
      <x:c r="E110" s="365" t="str">
        <x:v>Rams</x:v>
      </x:c>
      <x:c r="F110" s="365" t="n">
        <x:v>30</x:v>
      </x:c>
      <x:c r="G110" s="365" t="str">
        <x:v>Dragonhide</x:v>
      </x:c>
      <x:c r="H110" s="365" t="str">
        <x:v>Increase damage reduction and increase damage</x:v>
      </x:c>
      <x:c r="I110" s="365" t="str">
        <x:v>Unlocked</x:v>
      </x:c>
      <x:c r="J110" s="365" t="str">
        <x:v>00:10.50</x:v>
      </x:c>
      <x:c r="K110" s="365" t="str">
        <x:v>Source frame: frames_1fps/f_0011.jpg</x:v>
      </x:c>
      <x:c r="L110" s="365" t="str">
        <x:v>1000025188.mp4</x:v>
      </x:c>
      <x:c r="M110" s="387" t="n">
        <x:f>IF(P110="OK",INDEX('Badge Lookup'!$B$6:$B$55,MATCH(F110,'Badge Lookup'!$A$6:$A$55,0)),0)</x:f>
        <x:v>80000</x:v>
      </x:c>
      <x:c r="N110" s="387" t="n">
        <x:f>IF(P110="OK",INDEX('Badge Lookup'!$C$6:$C$55,MATCH(F110,'Badge Lookup'!$A$6:$A$55,0)),0)</x:f>
        <x:v>774300</x:v>
      </x:c>
      <x:c r="O110" s="388" t="n">
        <x:f>IF(P110="OK",INDEX('Badge Lookup'!$D$6:$D$55,MATCH(F110,'Badge Lookup'!$A$6:$A$55,0)),0)</x:f>
        <x:v>10.82</x:v>
      </x:c>
      <x:c r="P110" s="362" t="str">
        <x:f>IF(OR(G110="",F110=""),"Not scored",IF(AND(F110=INT(F110),F110&gt;=1,F110&lt;=50,COUNTIF('Badge Lookup'!$A$6:$A$55,F110)=1),"OK","Check lookup"))</x:f>
        <x:v>OK</x:v>
      </x:c>
      <x:c r="Q110" s="456" t="n">
        <x:f>IF(P110&lt;&gt;"OK","",IF(C110="Guards",-O110,O110))</x:f>
        <x:v>10.82</x:v>
      </x:c>
      <x:c r="R110" s="362" t="str">
        <x:f>IF(P110&lt;&gt;"OK","Not scored",IF(C110="Guards","Damage received reduction","Damage increase"))</x:f>
        <x:v>Damage increase</x:v>
      </x:c>
    </x:row>
    <x:row r="111" ht="32" customHeight="1">
      <x:c r="A111" s="365" t="str">
        <x:v>K91</x:v>
      </x:c>
      <x:c r="B111" s="365" t="str">
        <x:v>Trinità</x:v>
      </x:c>
      <x:c r="C111" s="365" t="str">
        <x:v>Guards</x:v>
      </x:c>
      <x:c r="D111" s="365" t="str">
        <x:v>Destroyers</x:v>
      </x:c>
      <x:c r="E111" s="365" t="str">
        <x:v>Guard</x:v>
      </x:c>
      <x:c r="F111" s="365" t="n">
        <x:v>32</x:v>
      </x:c>
      <x:c r="G111" s="365" t="str">
        <x:v>Parry</x:v>
      </x:c>
      <x:c r="H111" s="365" t="str">
        <x:v>Provides a parry effect and a certain probability to increase damage</x:v>
      </x:c>
      <x:c r="I111" s="365" t="str">
        <x:v>Unlocked</x:v>
      </x:c>
      <x:c r="J111" s="365" t="str">
        <x:v>00:19.50</x:v>
      </x:c>
      <x:c r="K111" s="365" t="str">
        <x:v>Source frame: frames_1fps/f_0020.jpg</x:v>
      </x:c>
      <x:c r="L111" s="365" t="str">
        <x:v>1000025188.mp4</x:v>
      </x:c>
      <x:c r="M111" s="387" t="n">
        <x:f>IF(P111="OK",INDEX('Badge Lookup'!$B$6:$B$55,MATCH(F111,'Badge Lookup'!$A$6:$A$55,0)),0)</x:f>
        <x:v>100000</x:v>
      </x:c>
      <x:c r="N111" s="387" t="n">
        <x:f>IF(P111="OK",INDEX('Badge Lookup'!$C$6:$C$55,MATCH(F111,'Badge Lookup'!$A$6:$A$55,0)),0)</x:f>
        <x:v>964300</x:v>
      </x:c>
      <x:c r="O111" s="388" t="n">
        <x:f>IF(P111="OK",INDEX('Badge Lookup'!$D$6:$D$55,MATCH(F111,'Badge Lookup'!$A$6:$A$55,0)),0)</x:f>
        <x:v>13.41</x:v>
      </x:c>
      <x:c r="P111" s="362" t="str">
        <x:f>IF(OR(G111="",F111=""),"Not scored",IF(AND(F111=INT(F111),F111&gt;=1,F111&lt;=50,COUNTIF('Badge Lookup'!$A$6:$A$55,F111)=1),"OK","Check lookup"))</x:f>
        <x:v>OK</x:v>
      </x:c>
      <x:c r="Q111" s="456" t="n">
        <x:f>IF(P111&lt;&gt;"OK","",IF(C111="Guards",-O111,O111))</x:f>
        <x:v>-13.41</x:v>
      </x:c>
      <x:c r="R111" s="362" t="str">
        <x:f>IF(P111&lt;&gt;"OK","Not scored",IF(C111="Guards","Damage received reduction","Damage increase"))</x:f>
        <x:v>Damage received reduction</x:v>
      </x:c>
    </x:row>
    <x:row r="112" ht="32" customHeight="1">
      <x:c r="A112" s="365" t="str">
        <x:v>K91</x:v>
      </x:c>
      <x:c r="B112" s="365" t="str">
        <x:v>Trinità</x:v>
      </x:c>
      <x:c r="C112" s="365" t="str">
        <x:v>Cavalry</x:v>
      </x:c>
      <x:c r="D112" s="365" t="str">
        <x:v>Eternal knights</x:v>
      </x:c>
      <x:c r="E112" s="365" t="str">
        <x:v>Heavy Cavalry</x:v>
      </x:c>
      <x:c r="F112" s="365" t="n">
        <x:v>39</x:v>
      </x:c>
      <x:c r="G112" s="365" t="str">
        <x:v>Thunder trample</x:v>
      </x:c>
      <x:c r="H112" s="365" t="str">
        <x:v>Has a certain probability of causing trampling damage</x:v>
      </x:c>
      <x:c r="I112" s="365" t="str">
        <x:v>Unlocked</x:v>
      </x:c>
      <x:c r="J112" s="365" t="str">
        <x:v>00:20.50</x:v>
      </x:c>
      <x:c r="K112" s="365" t="str">
        <x:v>Source frame: frames_1fps/f_0021.jpg</x:v>
      </x:c>
      <x:c r="L112" s="365" t="str">
        <x:v>1000025188.mp4</x:v>
      </x:c>
      <x:c r="M112" s="387" t="n">
        <x:f>IF(P112="OK",INDEX('Badge Lookup'!$B$6:$B$55,MATCH(F112,'Badge Lookup'!$A$6:$A$55,0)),0)</x:f>
        <x:v>200000</x:v>
      </x:c>
      <x:c r="N112" s="387" t="n">
        <x:f>IF(P112="OK",INDEX('Badge Lookup'!$C$6:$C$55,MATCH(F112,'Badge Lookup'!$A$6:$A$55,0)),0)</x:f>
        <x:v>2004300</x:v>
      </x:c>
      <x:c r="O112" s="388" t="n">
        <x:f>IF(P112="OK",INDEX('Badge Lookup'!$D$6:$D$55,MATCH(F112,'Badge Lookup'!$A$6:$A$55,0)),0)</x:f>
        <x:v>24</x:v>
      </x:c>
      <x:c r="P112" s="362" t="str">
        <x:f>IF(OR(G112="",F112=""),"Not scored",IF(AND(F112=INT(F112),F112&gt;=1,F112&lt;=50,COUNTIF('Badge Lookup'!$A$6:$A$55,F112)=1),"OK","Check lookup"))</x:f>
        <x:v>OK</x:v>
      </x:c>
      <x:c r="Q112" s="456" t="n">
        <x:f>IF(P112&lt;&gt;"OK","",IF(C112="Guards",-O112,O112))</x:f>
        <x:v>24</x:v>
      </x:c>
      <x:c r="R112" s="362" t="str">
        <x:f>IF(P112&lt;&gt;"OK","Not scored",IF(C112="Guards","Damage received reduction","Damage increase"))</x:f>
        <x:v>Damage increase</x:v>
      </x:c>
    </x:row>
    <x:row r="113" ht="32" customHeight="1">
      <x:c r="A113" s="365" t="str">
        <x:v>K91</x:v>
      </x:c>
      <x:c r="B113" s="365" t="str">
        <x:v>Trinità</x:v>
      </x:c>
      <x:c r="C113" s="365" t="str">
        <x:v>Cavalry</x:v>
      </x:c>
      <x:c r="D113" s="365" t="str">
        <x:v>Storm cavalry</x:v>
      </x:c>
      <x:c r="E113" s="365" t="str">
        <x:v>Horse archer</x:v>
      </x:c>
      <x:c r="F113" s="365" t="n">
        <x:v>44</x:v>
      </x:c>
      <x:c r="G113" s="365" t="str">
        <x:v>Mounted Archery</x:v>
      </x:c>
      <x:c r="H113" s="365" t="str">
        <x:v>Has a certain probability of causing fly-shooting damage</x:v>
      </x:c>
      <x:c r="I113" s="365" t="str">
        <x:v>Unlocked</x:v>
      </x:c>
      <x:c r="J113" s="365" t="str">
        <x:v>00:21.50</x:v>
      </x:c>
      <x:c r="K113" s="365" t="str">
        <x:v>Source frame: frames_1fps/f_0022.jpg</x:v>
      </x:c>
      <x:c r="L113" s="365" t="str">
        <x:v>1000025188.mp4</x:v>
      </x:c>
      <x:c r="M113" s="387" t="n">
        <x:f>IF(P113="OK",INDEX('Badge Lookup'!$B$6:$B$55,MATCH(F113,'Badge Lookup'!$A$6:$A$55,0)),0)</x:f>
        <x:v>480000</x:v>
      </x:c>
      <x:c r="N113" s="387" t="n">
        <x:f>IF(P113="OK",INDEX('Badge Lookup'!$C$6:$C$55,MATCH(F113,'Badge Lookup'!$A$6:$A$55,0)),0)</x:f>
        <x:v>3724300</x:v>
      </x:c>
      <x:c r="O113" s="388" t="n">
        <x:f>IF(P113="OK",INDEX('Badge Lookup'!$D$6:$D$55,MATCH(F113,'Badge Lookup'!$A$6:$A$55,0)),0)</x:f>
        <x:v>39.93</x:v>
      </x:c>
      <x:c r="P113" s="362" t="str">
        <x:f>IF(OR(G113="",F113=""),"Not scored",IF(AND(F113=INT(F113),F113&gt;=1,F113&lt;=50,COUNTIF('Badge Lookup'!$A$6:$A$55,F113)=1),"OK","Check lookup"))</x:f>
        <x:v>OK</x:v>
      </x:c>
      <x:c r="Q113" s="456" t="n">
        <x:f>IF(P113&lt;&gt;"OK","",IF(C113="Guards",-O113,O113))</x:f>
        <x:v>39.93</x:v>
      </x:c>
      <x:c r="R113" s="362" t="str">
        <x:f>IF(P113&lt;&gt;"OK","Not scored",IF(C113="Guards","Damage received reduction","Damage increase"))</x:f>
        <x:v>Damage increase</x:v>
      </x:c>
    </x:row>
    <x:row r="114" ht="32" customHeight="1">
      <x:c r="A114" s="365" t="str">
        <x:v>K91</x:v>
      </x:c>
      <x:c r="B114" s="365" t="str">
        <x:v>λTλ⁵⁷βЄЧ</x:v>
      </x:c>
      <x:c r="C114" s="365" t="str">
        <x:v>Guards</x:v>
      </x:c>
      <x:c r="D114" s="365" t="str">
        <x:v>Destroyers</x:v>
      </x:c>
      <x:c r="E114" s="365" t="str">
        <x:v>Guard</x:v>
      </x:c>
      <x:c r="F114" s="365" t="n">
        <x:v>40</x:v>
      </x:c>
      <x:c r="G114" s="365" t="str">
        <x:v>Parry</x:v>
      </x:c>
      <x:c r="H114" s="365" t="str">
        <x:v>Provides a parry effect and a certain probability to increase damage</x:v>
      </x:c>
      <x:c r="I114" s="365" t="str">
        <x:v>Unlocked</x:v>
      </x:c>
      <x:c r="J114" s="365" t="str">
        <x:v>00:29.60</x:v>
      </x:c>
      <x:c r="K114" s="365" t="str">
        <x:v>Source frame: spec_segments/000_060/s_0148.jpg</x:v>
      </x:c>
      <x:c r="L114" s="365" t="str">
        <x:v>1000025188.mp4</x:v>
      </x:c>
      <x:c r="M114" s="387" t="n">
        <x:f>IF(P114="OK",INDEX('Badge Lookup'!$B$6:$B$55,MATCH(F114,'Badge Lookup'!$A$6:$A$55,0)),0)</x:f>
        <x:v>240000</x:v>
      </x:c>
      <x:c r="N114" s="387" t="n">
        <x:f>IF(P114="OK",INDEX('Badge Lookup'!$C$6:$C$55,MATCH(F114,'Badge Lookup'!$A$6:$A$55,0)),0)</x:f>
        <x:v>2244300</x:v>
      </x:c>
      <x:c r="O114" s="388" t="n">
        <x:f>IF(P114="OK",INDEX('Badge Lookup'!$D$6:$D$55,MATCH(F114,'Badge Lookup'!$A$6:$A$55,0)),0)</x:f>
        <x:v>27.74</x:v>
      </x:c>
      <x:c r="P114" s="362" t="str">
        <x:f>IF(OR(G114="",F114=""),"Not scored",IF(AND(F114=INT(F114),F114&gt;=1,F114&lt;=50,COUNTIF('Badge Lookup'!$A$6:$A$55,F114)=1),"OK","Check lookup"))</x:f>
        <x:v>OK</x:v>
      </x:c>
      <x:c r="Q114" s="456" t="n">
        <x:f>IF(P114&lt;&gt;"OK","",IF(C114="Guards",-O114,O114))</x:f>
        <x:v>-27.74</x:v>
      </x:c>
      <x:c r="R114" s="362" t="str">
        <x:f>IF(P114&lt;&gt;"OK","Not scored",IF(C114="Guards","Damage received reduction","Damage increase"))</x:f>
        <x:v>Damage received reduction</x:v>
      </x:c>
    </x:row>
    <x:row r="115" ht="32" customHeight="1">
      <x:c r="A115" s="365" t="str">
        <x:v>K91</x:v>
      </x:c>
      <x:c r="B115" s="365" t="str">
        <x:v>λTλ⁵⁷βЄЧ</x:v>
      </x:c>
      <x:c r="C115" s="365" t="str">
        <x:v>Archers</x:v>
      </x:c>
      <x:c r="D115" s="365" t="str">
        <x:v>Elite bowmen</x:v>
      </x:c>
      <x:c r="E115" s="365" t="str">
        <x:v>Archer</x:v>
      </x:c>
      <x:c r="F115" s="365" t="n">
        <x:v>50</x:v>
      </x:c>
      <x:c r="G115" s="365" t="str">
        <x:v>Frost Arrow</x:v>
      </x:c>
      <x:c r="H115" s="365" t="str">
        <x:v>Has a higher probability of activating ice damage</x:v>
      </x:c>
      <x:c r="I115" s="365" t="str">
        <x:v>Unlocked</x:v>
      </x:c>
      <x:c r="J115" s="365" t="str">
        <x:v>00:31.00</x:v>
      </x:c>
      <x:c r="K115" s="365" t="str">
        <x:v>Source frame: spec_segments/000_060/s_0155.jpg</x:v>
      </x:c>
      <x:c r="L115" s="365" t="str">
        <x:v>1000025188.mp4</x:v>
      </x:c>
      <x:c r="M115" s="387" t="n">
        <x:f>IF(P115="OK",INDEX('Badge Lookup'!$B$6:$B$55,MATCH(F115,'Badge Lookup'!$A$6:$A$55,0)),0)</x:f>
        <x:v>2000000</x:v>
      </x:c>
      <x:c r="N115" s="387" t="n">
        <x:f>IF(P115="OK",INDEX('Badge Lookup'!$C$6:$C$55,MATCH(F115,'Badge Lookup'!$A$6:$A$55,0)),0)</x:f>
        <x:v>10334300</x:v>
      </x:c>
      <x:c r="O115" s="388" t="n">
        <x:f>IF(P115="OK",INDEX('Badge Lookup'!$D$6:$D$55,MATCH(F115,'Badge Lookup'!$A$6:$A$55,0)),0)</x:f>
        <x:v>60</x:v>
      </x:c>
      <x:c r="P115" s="362" t="str">
        <x:f>IF(OR(G115="",F115=""),"Not scored",IF(AND(F115=INT(F115),F115&gt;=1,F115&lt;=50,COUNTIF('Badge Lookup'!$A$6:$A$55,F115)=1),"OK","Check lookup"))</x:f>
        <x:v>OK</x:v>
      </x:c>
      <x:c r="Q115" s="456" t="n">
        <x:f>IF(P115&lt;&gt;"OK","",IF(C115="Guards",-O115,O115))</x:f>
        <x:v>60</x:v>
      </x:c>
      <x:c r="R115" s="362" t="str">
        <x:f>IF(P115&lt;&gt;"OK","Not scored",IF(C115="Guards","Damage received reduction","Damage increase"))</x:f>
        <x:v>Damage increase</x:v>
      </x:c>
    </x:row>
    <x:row r="116" ht="32" customHeight="1">
      <x:c r="A116" s="365" t="str">
        <x:v>K91</x:v>
      </x:c>
      <x:c r="B116" s="365" t="str">
        <x:v>λTλ⁵⁷βЄЧ</x:v>
      </x:c>
      <x:c r="C116" s="365" t="str">
        <x:v>Archers</x:v>
      </x:c>
      <x:c r="D116" s="365" t="str">
        <x:v>Elite</x:v>
      </x:c>
      <x:c r="E116" s="365"/>
      <x:c r="F116" s="365" t="n">
        <x:v>43</x:v>
      </x:c>
      <x:c r="G116" s="365" t="str">
        <x:v>Focus</x:v>
      </x:c>
      <x:c r="H116" s="365" t="str">
        <x:v>Has a higher probability of providing focus damage</x:v>
      </x:c>
      <x:c r="I116" s="365" t="str">
        <x:v>Unlocked</x:v>
      </x:c>
      <x:c r="J116" s="365" t="str">
        <x:v>00:33.00</x:v>
      </x:c>
      <x:c r="K116" s="365" t="str">
        <x:v>Tooltip title is Elite and description identifies Elite crossbowmen; Source frame: spec_segments/000_060/s_0165.jpg</x:v>
      </x:c>
      <x:c r="L116" s="365" t="str">
        <x:v>1000025188.mp4</x:v>
      </x:c>
      <x:c r="M116" s="387" t="n">
        <x:f>IF(P116="OK",INDEX('Badge Lookup'!$B$6:$B$55,MATCH(F116,'Badge Lookup'!$A$6:$A$55,0)),0)</x:f>
        <x:v>400000</x:v>
      </x:c>
      <x:c r="N116" s="387" t="n">
        <x:f>IF(P116="OK",INDEX('Badge Lookup'!$C$6:$C$55,MATCH(F116,'Badge Lookup'!$A$6:$A$55,0)),0)</x:f>
        <x:v>3244300</x:v>
      </x:c>
      <x:c r="O116" s="388" t="n">
        <x:f>IF(P116="OK",INDEX('Badge Lookup'!$D$6:$D$55,MATCH(F116,'Badge Lookup'!$A$6:$A$55,0)),0)</x:f>
        <x:v>35.98</x:v>
      </x:c>
      <x:c r="P116" s="362" t="str">
        <x:f>IF(OR(G116="",F116=""),"Not scored",IF(AND(F116=INT(F116),F116&gt;=1,F116&lt;=50,COUNTIF('Badge Lookup'!$A$6:$A$55,F116)=1),"OK","Check lookup"))</x:f>
        <x:v>OK</x:v>
      </x:c>
      <x:c r="Q116" s="456" t="n">
        <x:f>IF(P116&lt;&gt;"OK","",IF(C116="Guards",-O116,O116))</x:f>
        <x:v>35.98</x:v>
      </x:c>
      <x:c r="R116" s="362" t="str">
        <x:f>IF(P116&lt;&gt;"OK","Not scored",IF(C116="Guards","Damage received reduction","Damage increase"))</x:f>
        <x:v>Damage increase</x:v>
      </x:c>
    </x:row>
    <x:row r="117" ht="32" customHeight="1">
      <x:c r="A117" s="365" t="str">
        <x:v>K91</x:v>
      </x:c>
      <x:c r="B117" s="365" t="str">
        <x:v>Antoni</x:v>
      </x:c>
      <x:c r="C117" s="365" t="str">
        <x:v>Guards</x:v>
      </x:c>
      <x:c r="D117" s="365" t="str">
        <x:v>Destroyers</x:v>
      </x:c>
      <x:c r="E117" s="365" t="str">
        <x:v>Guard</x:v>
      </x:c>
      <x:c r="F117" s="365" t="n">
        <x:v>24</x:v>
      </x:c>
      <x:c r="G117" s="365" t="str">
        <x:v>Parry</x:v>
      </x:c>
      <x:c r="H117" s="365" t="str">
        <x:v>Provides a parry effect and a certain probability to increase damage</x:v>
      </x:c>
      <x:c r="I117" s="365" t="str">
        <x:v>Unlocked</x:v>
      </x:c>
      <x:c r="J117" s="365" t="str">
        <x:v>00:40.60</x:v>
      </x:c>
      <x:c r="K117" s="365" t="str">
        <x:v>Source frame: spec_segments/000_060/s_0203.jpg</x:v>
      </x:c>
      <x:c r="L117" s="365" t="str">
        <x:v>1000025188.mp4</x:v>
      </x:c>
      <x:c r="M117" s="387" t="n">
        <x:f>IF(P117="OK",INDEX('Badge Lookup'!$B$6:$B$55,MATCH(F117,'Badge Lookup'!$A$6:$A$55,0)),0)</x:f>
        <x:v>50000</x:v>
      </x:c>
      <x:c r="N117" s="387" t="n">
        <x:f>IF(P117="OK",INDEX('Badge Lookup'!$C$6:$C$55,MATCH(F117,'Badge Lookup'!$A$6:$A$55,0)),0)</x:f>
        <x:v>369300</x:v>
      </x:c>
      <x:c r="O117" s="388" t="n">
        <x:f>IF(P117="OK",INDEX('Badge Lookup'!$D$6:$D$55,MATCH(F117,'Badge Lookup'!$A$6:$A$55,0)),0)</x:f>
        <x:v>5.44</x:v>
      </x:c>
      <x:c r="P117" s="362" t="str">
        <x:f>IF(OR(G117="",F117=""),"Not scored",IF(AND(F117=INT(F117),F117&gt;=1,F117&lt;=50,COUNTIF('Badge Lookup'!$A$6:$A$55,F117)=1),"OK","Check lookup"))</x:f>
        <x:v>OK</x:v>
      </x:c>
      <x:c r="Q117" s="456" t="n">
        <x:f>IF(P117&lt;&gt;"OK","",IF(C117="Guards",-O117,O117))</x:f>
        <x:v>-5.44</x:v>
      </x:c>
      <x:c r="R117" s="362" t="str">
        <x:f>IF(P117&lt;&gt;"OK","Not scored",IF(C117="Guards","Damage received reduction","Damage increase"))</x:f>
        <x:v>Damage received reduction</x:v>
      </x:c>
    </x:row>
    <x:row r="118" ht="32" customHeight="1">
      <x:c r="A118" s="365" t="str">
        <x:v>K91</x:v>
      </x:c>
      <x:c r="B118" s="365" t="str">
        <x:v>Antoni</x:v>
      </x:c>
      <x:c r="C118" s="365" t="str">
        <x:v>Archers</x:v>
      </x:c>
      <x:c r="D118" s="365" t="str">
        <x:v>Elite bowmen</x:v>
      </x:c>
      <x:c r="E118" s="365" t="str">
        <x:v>Archer</x:v>
      </x:c>
      <x:c r="F118" s="365" t="n">
        <x:v>48</x:v>
      </x:c>
      <x:c r="G118" s="365" t="str">
        <x:v>Frost Arrow</x:v>
      </x:c>
      <x:c r="H118" s="365" t="str">
        <x:v>Has a higher probability of activating ice damage</x:v>
      </x:c>
      <x:c r="I118" s="365" t="str">
        <x:v>Unlocked</x:v>
      </x:c>
      <x:c r="J118" s="365" t="str">
        <x:v>00:42.00</x:v>
      </x:c>
      <x:c r="K118" s="365" t="str">
        <x:v>Source frame: spec_segments/000_060/s_0210.jpg</x:v>
      </x:c>
      <x:c r="L118" s="365" t="str">
        <x:v>1000025188.mp4</x:v>
      </x:c>
      <x:c r="M118" s="387" t="n">
        <x:f>IF(P118="OK",INDEX('Badge Lookup'!$B$6:$B$55,MATCH(F118,'Badge Lookup'!$A$6:$A$55,0)),0)</x:f>
        <x:v>1050000</x:v>
      </x:c>
      <x:c r="N118" s="387" t="n">
        <x:f>IF(P118="OK",INDEX('Badge Lookup'!$C$6:$C$55,MATCH(F118,'Badge Lookup'!$A$6:$A$55,0)),0)</x:f>
        <x:v>6934300</x:v>
      </x:c>
      <x:c r="O118" s="388" t="n">
        <x:f>IF(P118="OK",INDEX('Badge Lookup'!$D$6:$D$55,MATCH(F118,'Badge Lookup'!$A$6:$A$55,0)),0)</x:f>
        <x:v>51.74</x:v>
      </x:c>
      <x:c r="P118" s="362" t="str">
        <x:f>IF(OR(G118="",F118=""),"Not scored",IF(AND(F118=INT(F118),F118&gt;=1,F118&lt;=50,COUNTIF('Badge Lookup'!$A$6:$A$55,F118)=1),"OK","Check lookup"))</x:f>
        <x:v>OK</x:v>
      </x:c>
      <x:c r="Q118" s="456" t="n">
        <x:f>IF(P118&lt;&gt;"OK","",IF(C118="Guards",-O118,O118))</x:f>
        <x:v>51.74</x:v>
      </x:c>
      <x:c r="R118" s="362" t="str">
        <x:f>IF(P118&lt;&gt;"OK","Not scored",IF(C118="Guards","Damage received reduction","Damage increase"))</x:f>
        <x:v>Damage increase</x:v>
      </x:c>
    </x:row>
    <x:row r="119" ht="32" customHeight="1">
      <x:c r="A119" s="365" t="str">
        <x:v>K91</x:v>
      </x:c>
      <x:c r="B119" s="365" t="str">
        <x:v>Antoni</x:v>
      </x:c>
      <x:c r="C119" s="365" t="str">
        <x:v>Archers</x:v>
      </x:c>
      <x:c r="D119" s="365" t="str">
        <x:v>Elite</x:v>
      </x:c>
      <x:c r="E119" s="365"/>
      <x:c r="F119" s="365" t="n">
        <x:v>42</x:v>
      </x:c>
      <x:c r="G119" s="365" t="str">
        <x:v>Focus</x:v>
      </x:c>
      <x:c r="H119" s="365" t="str">
        <x:v>Has a higher probability of providing focus damage</x:v>
      </x:c>
      <x:c r="I119" s="365" t="str">
        <x:v>Unlocked</x:v>
      </x:c>
      <x:c r="J119" s="365" t="str">
        <x:v>00:43.60</x:v>
      </x:c>
      <x:c r="K119" s="365" t="str">
        <x:v>Tooltip title is Elite and description identifies Elite crossbowmen; Source frame: spec_segments/000_060/s_0218.jpg</x:v>
      </x:c>
      <x:c r="L119" s="365" t="str">
        <x:v>1000025188.mp4</x:v>
      </x:c>
      <x:c r="M119" s="387" t="n">
        <x:f>IF(P119="OK",INDEX('Badge Lookup'!$B$6:$B$55,MATCH(F119,'Badge Lookup'!$A$6:$A$55,0)),0)</x:f>
        <x:v>320000</x:v>
      </x:c>
      <x:c r="N119" s="387" t="n">
        <x:f>IF(P119="OK",INDEX('Badge Lookup'!$C$6:$C$55,MATCH(F119,'Badge Lookup'!$A$6:$A$55,0)),0)</x:f>
        <x:v>2844300</x:v>
      </x:c>
      <x:c r="O119" s="388" t="n">
        <x:f>IF(P119="OK",INDEX('Badge Lookup'!$D$6:$D$55,MATCH(F119,'Badge Lookup'!$A$6:$A$55,0)),0)</x:f>
        <x:v>33.13</x:v>
      </x:c>
      <x:c r="P119" s="362" t="str">
        <x:f>IF(OR(G119="",F119=""),"Not scored",IF(AND(F119=INT(F119),F119&gt;=1,F119&lt;=50,COUNTIF('Badge Lookup'!$A$6:$A$55,F119)=1),"OK","Check lookup"))</x:f>
        <x:v>OK</x:v>
      </x:c>
      <x:c r="Q119" s="456" t="n">
        <x:f>IF(P119&lt;&gt;"OK","",IF(C119="Guards",-O119,O119))</x:f>
        <x:v>33.13</x:v>
      </x:c>
      <x:c r="R119" s="362" t="str">
        <x:f>IF(P119&lt;&gt;"OK","Not scored",IF(C119="Guards","Damage received reduction","Damage increase"))</x:f>
        <x:v>Damage increase</x:v>
      </x:c>
    </x:row>
    <x:row r="120" ht="32" customHeight="1">
      <x:c r="A120" s="365" t="str">
        <x:v>K91</x:v>
      </x:c>
      <x:c r="B120" s="365" t="str">
        <x:v>Nixxx</x:v>
      </x:c>
      <x:c r="C120" s="365" t="str">
        <x:v>Guards</x:v>
      </x:c>
      <x:c r="D120" s="365" t="str">
        <x:v>Destroyers</x:v>
      </x:c>
      <x:c r="E120" s="365" t="str">
        <x:v>Guard</x:v>
      </x:c>
      <x:c r="F120" s="365" t="n">
        <x:v>30</x:v>
      </x:c>
      <x:c r="G120" s="365" t="str">
        <x:v>Parry</x:v>
      </x:c>
      <x:c r="H120" s="365" t="str">
        <x:v>Provides a parry effect and a certain probability to increase damage</x:v>
      </x:c>
      <x:c r="I120" s="365" t="str">
        <x:v>Unlocked</x:v>
      </x:c>
      <x:c r="J120" s="365" t="str">
        <x:v>00:52.00</x:v>
      </x:c>
      <x:c r="K120" s="365" t="str">
        <x:v>Source frame: spec_segments/048_062/s_0020.jpg</x:v>
      </x:c>
      <x:c r="L120" s="365" t="str">
        <x:v>1000025188.mp4</x:v>
      </x:c>
      <x:c r="M120" s="387" t="n">
        <x:f>IF(P120="OK",INDEX('Badge Lookup'!$B$6:$B$55,MATCH(F120,'Badge Lookup'!$A$6:$A$55,0)),0)</x:f>
        <x:v>80000</x:v>
      </x:c>
      <x:c r="N120" s="387" t="n">
        <x:f>IF(P120="OK",INDEX('Badge Lookup'!$C$6:$C$55,MATCH(F120,'Badge Lookup'!$A$6:$A$55,0)),0)</x:f>
        <x:v>774300</x:v>
      </x:c>
      <x:c r="O120" s="388" t="n">
        <x:f>IF(P120="OK",INDEX('Badge Lookup'!$D$6:$D$55,MATCH(F120,'Badge Lookup'!$A$6:$A$55,0)),0)</x:f>
        <x:v>10.82</x:v>
      </x:c>
      <x:c r="P120" s="362" t="str">
        <x:f>IF(OR(G120="",F120=""),"Not scored",IF(AND(F120=INT(F120),F120&gt;=1,F120&lt;=50,COUNTIF('Badge Lookup'!$A$6:$A$55,F120)=1),"OK","Check lookup"))</x:f>
        <x:v>OK</x:v>
      </x:c>
      <x:c r="Q120" s="456" t="n">
        <x:f>IF(P120&lt;&gt;"OK","",IF(C120="Guards",-O120,O120))</x:f>
        <x:v>-10.82</x:v>
      </x:c>
      <x:c r="R120" s="362" t="str">
        <x:f>IF(P120&lt;&gt;"OK","Not scored",IF(C120="Guards","Damage received reduction","Damage increase"))</x:f>
        <x:v>Damage received reduction</x:v>
      </x:c>
    </x:row>
    <x:row r="121" ht="32" customHeight="1">
      <x:c r="A121" s="365" t="str">
        <x:v>K91</x:v>
      </x:c>
      <x:c r="B121" s="365" t="str">
        <x:v>Nixxx</x:v>
      </x:c>
      <x:c r="C121" s="365" t="str">
        <x:v>Archers</x:v>
      </x:c>
      <x:c r="D121" s="365" t="str">
        <x:v>Elite bowmen</x:v>
      </x:c>
      <x:c r="E121" s="365" t="str">
        <x:v>Archer</x:v>
      </x:c>
      <x:c r="F121" s="365" t="n">
        <x:v>50</x:v>
      </x:c>
      <x:c r="G121" s="365" t="str">
        <x:v>Frost Arrow</x:v>
      </x:c>
      <x:c r="H121" s="365" t="str">
        <x:v>Has a higher probability of activating ice damage</x:v>
      </x:c>
      <x:c r="I121" s="365" t="str">
        <x:v>Unlocked</x:v>
      </x:c>
      <x:c r="J121" s="365" t="str">
        <x:v>00:53.20</x:v>
      </x:c>
      <x:c r="K121" s="365" t="str">
        <x:v>Source frame: spec_segments/048_062/s_0026.jpg</x:v>
      </x:c>
      <x:c r="L121" s="365" t="str">
        <x:v>1000025188.mp4</x:v>
      </x:c>
      <x:c r="M121" s="387" t="n">
        <x:f>IF(P121="OK",INDEX('Badge Lookup'!$B$6:$B$55,MATCH(F121,'Badge Lookup'!$A$6:$A$55,0)),0)</x:f>
        <x:v>2000000</x:v>
      </x:c>
      <x:c r="N121" s="387" t="n">
        <x:f>IF(P121="OK",INDEX('Badge Lookup'!$C$6:$C$55,MATCH(F121,'Badge Lookup'!$A$6:$A$55,0)),0)</x:f>
        <x:v>10334300</x:v>
      </x:c>
      <x:c r="O121" s="388" t="n">
        <x:f>IF(P121="OK",INDEX('Badge Lookup'!$D$6:$D$55,MATCH(F121,'Badge Lookup'!$A$6:$A$55,0)),0)</x:f>
        <x:v>60</x:v>
      </x:c>
      <x:c r="P121" s="362" t="str">
        <x:f>IF(OR(G121="",F121=""),"Not scored",IF(AND(F121=INT(F121),F121&gt;=1,F121&lt;=50,COUNTIF('Badge Lookup'!$A$6:$A$55,F121)=1),"OK","Check lookup"))</x:f>
        <x:v>OK</x:v>
      </x:c>
      <x:c r="Q121" s="456" t="n">
        <x:f>IF(P121&lt;&gt;"OK","",IF(C121="Guards",-O121,O121))</x:f>
        <x:v>60</x:v>
      </x:c>
      <x:c r="R121" s="362" t="str">
        <x:f>IF(P121&lt;&gt;"OK","Not scored",IF(C121="Guards","Damage received reduction","Damage increase"))</x:f>
        <x:v>Damage increase</x:v>
      </x:c>
    </x:row>
    <x:row r="122" ht="32" customHeight="1">
      <x:c r="A122" s="365" t="str">
        <x:v>K91</x:v>
      </x:c>
      <x:c r="B122" s="365" t="str">
        <x:v>Nixxx</x:v>
      </x:c>
      <x:c r="C122" s="365" t="str">
        <x:v>Archers</x:v>
      </x:c>
      <x:c r="D122" s="365" t="str">
        <x:v>Elite</x:v>
      </x:c>
      <x:c r="E122" s="365"/>
      <x:c r="F122" s="365" t="n">
        <x:v>40</x:v>
      </x:c>
      <x:c r="G122" s="365" t="str">
        <x:v>Focus</x:v>
      </x:c>
      <x:c r="H122" s="365" t="str">
        <x:v>Has a higher probability of providing focus damage</x:v>
      </x:c>
      <x:c r="I122" s="365" t="str">
        <x:v>Unlocked</x:v>
      </x:c>
      <x:c r="J122" s="365" t="str">
        <x:v>00:54.80</x:v>
      </x:c>
      <x:c r="K122" s="365" t="str">
        <x:v>Tooltip title is Elite and description identifies Elite crossbowmen; Source frame: spec_segments/048_062/s_0034.jpg</x:v>
      </x:c>
      <x:c r="L122" s="365" t="str">
        <x:v>1000025188.mp4</x:v>
      </x:c>
      <x:c r="M122" s="387" t="n">
        <x:f>IF(P122="OK",INDEX('Badge Lookup'!$B$6:$B$55,MATCH(F122,'Badge Lookup'!$A$6:$A$55,0)),0)</x:f>
        <x:v>240000</x:v>
      </x:c>
      <x:c r="N122" s="387" t="n">
        <x:f>IF(P122="OK",INDEX('Badge Lookup'!$C$6:$C$55,MATCH(F122,'Badge Lookup'!$A$6:$A$55,0)),0)</x:f>
        <x:v>2244300</x:v>
      </x:c>
      <x:c r="O122" s="388" t="n">
        <x:f>IF(P122="OK",INDEX('Badge Lookup'!$D$6:$D$55,MATCH(F122,'Badge Lookup'!$A$6:$A$55,0)),0)</x:f>
        <x:v>27.74</x:v>
      </x:c>
      <x:c r="P122" s="362" t="str">
        <x:f>IF(OR(G122="",F122=""),"Not scored",IF(AND(F122=INT(F122),F122&gt;=1,F122&lt;=50,COUNTIF('Badge Lookup'!$A$6:$A$55,F122)=1),"OK","Check lookup"))</x:f>
        <x:v>OK</x:v>
      </x:c>
      <x:c r="Q122" s="456" t="n">
        <x:f>IF(P122&lt;&gt;"OK","",IF(C122="Guards",-O122,O122))</x:f>
        <x:v>27.74</x:v>
      </x:c>
      <x:c r="R122" s="362" t="str">
        <x:f>IF(P122&lt;&gt;"OK","Not scored",IF(C122="Guards","Damage received reduction","Damage increase"))</x:f>
        <x:v>Damage increase</x:v>
      </x:c>
    </x:row>
    <x:row r="123" ht="32" customHeight="1">
      <x:c r="A123" s="365" t="str">
        <x:v>K91</x:v>
      </x:c>
      <x:c r="B123" s="365" t="str">
        <x:v>TatyToy</x:v>
      </x:c>
      <x:c r="C123" s="365" t="str">
        <x:v>Guards</x:v>
      </x:c>
      <x:c r="D123" s="365" t="str">
        <x:v>Destroyers</x:v>
      </x:c>
      <x:c r="E123" s="365" t="str">
        <x:v>Guard</x:v>
      </x:c>
      <x:c r="F123" s="365" t="n">
        <x:v>28</x:v>
      </x:c>
      <x:c r="G123" s="365" t="str">
        <x:v>Parry</x:v>
      </x:c>
      <x:c r="H123" s="365" t="str">
        <x:v>Provides a parry effect and a certain probability to increase damage</x:v>
      </x:c>
      <x:c r="I123" s="365" t="str">
        <x:v>Unlocked</x:v>
      </x:c>
      <x:c r="J123" s="365" t="str">
        <x:v>01:04.40</x:v>
      </x:c>
      <x:c r="K123" s="365" t="str">
        <x:v>Source frame: spec_segments/060_120/s_0022.jpg</x:v>
      </x:c>
      <x:c r="L123" s="365" t="str">
        <x:v>1000025188.mp4</x:v>
      </x:c>
      <x:c r="M123" s="387" t="n">
        <x:f>IF(P123="OK",INDEX('Badge Lookup'!$B$6:$B$55,MATCH(F123,'Badge Lookup'!$A$6:$A$55,0)),0)</x:f>
        <x:v>70000</x:v>
      </x:c>
      <x:c r="N123" s="387" t="n">
        <x:f>IF(P123="OK",INDEX('Badge Lookup'!$C$6:$C$55,MATCH(F123,'Badge Lookup'!$A$6:$A$55,0)),0)</x:f>
        <x:v>619300</x:v>
      </x:c>
      <x:c r="O123" s="388" t="n">
        <x:f>IF(P123="OK",INDEX('Badge Lookup'!$D$6:$D$55,MATCH(F123,'Badge Lookup'!$A$6:$A$55,0)),0)</x:f>
        <x:v>8.24</x:v>
      </x:c>
      <x:c r="P123" s="362" t="str">
        <x:f>IF(OR(G123="",F123=""),"Not scored",IF(AND(F123=INT(F123),F123&gt;=1,F123&lt;=50,COUNTIF('Badge Lookup'!$A$6:$A$55,F123)=1),"OK","Check lookup"))</x:f>
        <x:v>OK</x:v>
      </x:c>
      <x:c r="Q123" s="456" t="n">
        <x:f>IF(P123&lt;&gt;"OK","",IF(C123="Guards",-O123,O123))</x:f>
        <x:v>-8.24</x:v>
      </x:c>
      <x:c r="R123" s="362" t="str">
        <x:f>IF(P123&lt;&gt;"OK","Not scored",IF(C123="Guards","Damage received reduction","Damage increase"))</x:f>
        <x:v>Damage received reduction</x:v>
      </x:c>
    </x:row>
    <x:row r="124" ht="32" customHeight="1">
      <x:c r="A124" s="365" t="str">
        <x:v>K91</x:v>
      </x:c>
      <x:c r="B124" s="365" t="str">
        <x:v>TatyToy</x:v>
      </x:c>
      <x:c r="C124" s="365" t="str">
        <x:v>Archers</x:v>
      </x:c>
      <x:c r="D124" s="365" t="str">
        <x:v>Elite bowmen</x:v>
      </x:c>
      <x:c r="E124" s="365" t="str">
        <x:v>Archer</x:v>
      </x:c>
      <x:c r="F124" s="365" t="n">
        <x:v>46</x:v>
      </x:c>
      <x:c r="G124" s="365" t="str">
        <x:v>Frost Arrow</x:v>
      </x:c>
      <x:c r="H124" s="365" t="str">
        <x:v>Has a higher probability of activating ice damage</x:v>
      </x:c>
      <x:c r="I124" s="365" t="str">
        <x:v>Unlocked</x:v>
      </x:c>
      <x:c r="J124" s="365" t="str">
        <x:v>01:06.00</x:v>
      </x:c>
      <x:c r="K124" s="365" t="str">
        <x:v>Source frame: spec_segments/060_120/s_0030.jpg</x:v>
      </x:c>
      <x:c r="L124" s="365" t="str">
        <x:v>1000025188.mp4</x:v>
      </x:c>
      <x:c r="M124" s="387" t="n">
        <x:f>IF(P124="OK",INDEX('Badge Lookup'!$B$6:$B$55,MATCH(F124,'Badge Lookup'!$A$6:$A$55,0)),0)</x:f>
        <x:v>720000</x:v>
      </x:c>
      <x:c r="N124" s="387" t="n">
        <x:f>IF(P124="OK",INDEX('Badge Lookup'!$C$6:$C$55,MATCH(F124,'Badge Lookup'!$A$6:$A$55,0)),0)</x:f>
        <x:v>5004300</x:v>
      </x:c>
      <x:c r="O124" s="388" t="n">
        <x:f>IF(P124="OK",INDEX('Badge Lookup'!$D$6:$D$55,MATCH(F124,'Badge Lookup'!$A$6:$A$55,0)),0)</x:f>
        <x:v>45.13</x:v>
      </x:c>
      <x:c r="P124" s="362" t="str">
        <x:f>IF(OR(G124="",F124=""),"Not scored",IF(AND(F124=INT(F124),F124&gt;=1,F124&lt;=50,COUNTIF('Badge Lookup'!$A$6:$A$55,F124)=1),"OK","Check lookup"))</x:f>
        <x:v>OK</x:v>
      </x:c>
      <x:c r="Q124" s="456" t="n">
        <x:f>IF(P124&lt;&gt;"OK","",IF(C124="Guards",-O124,O124))</x:f>
        <x:v>45.13</x:v>
      </x:c>
      <x:c r="R124" s="362" t="str">
        <x:f>IF(P124&lt;&gt;"OK","Not scored",IF(C124="Guards","Damage received reduction","Damage increase"))</x:f>
        <x:v>Damage increase</x:v>
      </x:c>
    </x:row>
    <x:row r="125" ht="32" customHeight="1">
      <x:c r="A125" s="365" t="str">
        <x:v>K91</x:v>
      </x:c>
      <x:c r="B125" s="365" t="str">
        <x:v>TatyToy</x:v>
      </x:c>
      <x:c r="C125" s="365" t="str">
        <x:v>Archers</x:v>
      </x:c>
      <x:c r="D125" s="365" t="str">
        <x:v>Elite</x:v>
      </x:c>
      <x:c r="E125" s="365"/>
      <x:c r="F125" s="365" t="n">
        <x:v>23</x:v>
      </x:c>
      <x:c r="G125" s="365" t="str">
        <x:v>Focus</x:v>
      </x:c>
      <x:c r="H125" s="365" t="str">
        <x:v>Has a higher probability of providing focus damage</x:v>
      </x:c>
      <x:c r="I125" s="365" t="str">
        <x:v>Unlocked</x:v>
      </x:c>
      <x:c r="J125" s="365" t="str">
        <x:v>01:07.40</x:v>
      </x:c>
      <x:c r="K125" s="365" t="str">
        <x:v>Tooltip title is Elite and description identifies Elite crossbowmen; Source frame: spec_segments/060_120/s_0037.jpg</x:v>
      </x:c>
      <x:c r="L125" s="365" t="str">
        <x:v>1000025188.mp4</x:v>
      </x:c>
      <x:c r="M125" s="387" t="n">
        <x:f>IF(P125="OK",INDEX('Badge Lookup'!$B$6:$B$55,MATCH(F125,'Badge Lookup'!$A$6:$A$55,0)),0)</x:f>
        <x:v>47500</x:v>
      </x:c>
      <x:c r="N125" s="387" t="n">
        <x:f>IF(P125="OK",INDEX('Badge Lookup'!$C$6:$C$55,MATCH(F125,'Badge Lookup'!$A$6:$A$55,0)),0)</x:f>
        <x:v>319300</x:v>
      </x:c>
      <x:c r="O125" s="388" t="n">
        <x:f>IF(P125="OK",INDEX('Badge Lookup'!$D$6:$D$55,MATCH(F125,'Badge Lookup'!$A$6:$A$55,0)),0)</x:f>
        <x:v>4.8</x:v>
      </x:c>
      <x:c r="P125" s="362" t="str">
        <x:f>IF(OR(G125="",F125=""),"Not scored",IF(AND(F125=INT(F125),F125&gt;=1,F125&lt;=50,COUNTIF('Badge Lookup'!$A$6:$A$55,F125)=1),"OK","Check lookup"))</x:f>
        <x:v>OK</x:v>
      </x:c>
      <x:c r="Q125" s="456" t="n">
        <x:f>IF(P125&lt;&gt;"OK","",IF(C125="Guards",-O125,O125))</x:f>
        <x:v>4.8</x:v>
      </x:c>
      <x:c r="R125" s="362" t="str">
        <x:f>IF(P125&lt;&gt;"OK","Not scored",IF(C125="Guards","Damage received reduction","Damage increase"))</x:f>
        <x:v>Damage increase</x:v>
      </x:c>
    </x:row>
    <x:row r="126" ht="32" customHeight="1">
      <x:c r="A126" s="365" t="str">
        <x:v>K91</x:v>
      </x:c>
      <x:c r="B126" s="365" t="str">
        <x:v>AMANTIS</x:v>
      </x:c>
      <x:c r="C126" s="365" t="str">
        <x:v>Guards</x:v>
      </x:c>
      <x:c r="D126" s="365" t="str">
        <x:v>Destroyers</x:v>
      </x:c>
      <x:c r="E126" s="365" t="str">
        <x:v>Guard</x:v>
      </x:c>
      <x:c r="F126" s="365" t="n">
        <x:v>21</x:v>
      </x:c>
      <x:c r="G126" s="365" t="str">
        <x:v>Parry</x:v>
      </x:c>
      <x:c r="H126" s="365" t="str">
        <x:v>Provides a parry effect and a certain probability to increase damage</x:v>
      </x:c>
      <x:c r="I126" s="365" t="str">
        <x:v>Unlocked</x:v>
      </x:c>
      <x:c r="J126" s="365" t="str">
        <x:v>01:14.50</x:v>
      </x:c>
      <x:c r="K126" s="365" t="str">
        <x:v>Source frame: frames_1fps/f_0075.jpg</x:v>
      </x:c>
      <x:c r="L126" s="365" t="str">
        <x:v>1000025188.mp4</x:v>
      </x:c>
      <x:c r="M126" s="387" t="n">
        <x:f>IF(P126="OK",INDEX('Badge Lookup'!$B$6:$B$55,MATCH(F126,'Badge Lookup'!$A$6:$A$55,0)),0)</x:f>
        <x:v>42500</x:v>
      </x:c>
      <x:c r="N126" s="387" t="n">
        <x:f>IF(P126="OK",INDEX('Badge Lookup'!$C$6:$C$55,MATCH(F126,'Badge Lookup'!$A$6:$A$55,0)),0)</x:f>
        <x:v>226800</x:v>
      </x:c>
      <x:c r="O126" s="388" t="n">
        <x:f>IF(P126="OK",INDEX('Badge Lookup'!$D$6:$D$55,MATCH(F126,'Badge Lookup'!$A$6:$A$55,0)),0)</x:f>
        <x:v>3.58</x:v>
      </x:c>
      <x:c r="P126" s="362" t="str">
        <x:f>IF(OR(G126="",F126=""),"Not scored",IF(AND(F126=INT(F126),F126&gt;=1,F126&lt;=50,COUNTIF('Badge Lookup'!$A$6:$A$55,F126)=1),"OK","Check lookup"))</x:f>
        <x:v>OK</x:v>
      </x:c>
      <x:c r="Q126" s="456" t="n">
        <x:f>IF(P126&lt;&gt;"OK","",IF(C126="Guards",-O126,O126))</x:f>
        <x:v>-3.58</x:v>
      </x:c>
      <x:c r="R126" s="362" t="str">
        <x:f>IF(P126&lt;&gt;"OK","Not scored",IF(C126="Guards","Damage received reduction","Damage increase"))</x:f>
        <x:v>Damage received reduction</x:v>
      </x:c>
    </x:row>
    <x:row r="127" ht="32" customHeight="1">
      <x:c r="A127" s="365" t="str">
        <x:v>K91</x:v>
      </x:c>
      <x:c r="B127" s="365" t="str">
        <x:v>AMANTIS</x:v>
      </x:c>
      <x:c r="C127" s="365" t="str">
        <x:v>Archers</x:v>
      </x:c>
      <x:c r="D127" s="365" t="str">
        <x:v>Elite bowmen</x:v>
      </x:c>
      <x:c r="E127" s="365" t="str">
        <x:v>Archer</x:v>
      </x:c>
      <x:c r="F127" s="365" t="n">
        <x:v>50</x:v>
      </x:c>
      <x:c r="G127" s="365" t="str">
        <x:v>Frost Arrow</x:v>
      </x:c>
      <x:c r="H127" s="365" t="str">
        <x:v>Has a higher probability of activating ice damage</x:v>
      </x:c>
      <x:c r="I127" s="365" t="str">
        <x:v>Unlocked</x:v>
      </x:c>
      <x:c r="J127" s="365" t="str">
        <x:v>01:15.50</x:v>
      </x:c>
      <x:c r="K127" s="365" t="str">
        <x:v>Source frame: frames_1fps/f_0076.jpg</x:v>
      </x:c>
      <x:c r="L127" s="365" t="str">
        <x:v>1000025188.mp4</x:v>
      </x:c>
      <x:c r="M127" s="387" t="n">
        <x:f>IF(P127="OK",INDEX('Badge Lookup'!$B$6:$B$55,MATCH(F127,'Badge Lookup'!$A$6:$A$55,0)),0)</x:f>
        <x:v>2000000</x:v>
      </x:c>
      <x:c r="N127" s="387" t="n">
        <x:f>IF(P127="OK",INDEX('Badge Lookup'!$C$6:$C$55,MATCH(F127,'Badge Lookup'!$A$6:$A$55,0)),0)</x:f>
        <x:v>10334300</x:v>
      </x:c>
      <x:c r="O127" s="388" t="n">
        <x:f>IF(P127="OK",INDEX('Badge Lookup'!$D$6:$D$55,MATCH(F127,'Badge Lookup'!$A$6:$A$55,0)),0)</x:f>
        <x:v>60</x:v>
      </x:c>
      <x:c r="P127" s="362" t="str">
        <x:f>IF(OR(G127="",F127=""),"Not scored",IF(AND(F127=INT(F127),F127&gt;=1,F127&lt;=50,COUNTIF('Badge Lookup'!$A$6:$A$55,F127)=1),"OK","Check lookup"))</x:f>
        <x:v>OK</x:v>
      </x:c>
      <x:c r="Q127" s="456" t="n">
        <x:f>IF(P127&lt;&gt;"OK","",IF(C127="Guards",-O127,O127))</x:f>
        <x:v>60</x:v>
      </x:c>
      <x:c r="R127" s="362" t="str">
        <x:f>IF(P127&lt;&gt;"OK","Not scored",IF(C127="Guards","Damage received reduction","Damage increase"))</x:f>
        <x:v>Damage increase</x:v>
      </x:c>
    </x:row>
    <x:row r="128" ht="32" customHeight="1">
      <x:c r="A128" s="365" t="str">
        <x:v>K91</x:v>
      </x:c>
      <x:c r="B128" s="365" t="str">
        <x:v>AMANTIS</x:v>
      </x:c>
      <x:c r="C128" s="365" t="str">
        <x:v>Archers</x:v>
      </x:c>
      <x:c r="D128" s="365" t="str">
        <x:v>Elite</x:v>
      </x:c>
      <x:c r="E128" s="365"/>
      <x:c r="F128" s="365" t="n">
        <x:v>28</x:v>
      </x:c>
      <x:c r="G128" s="365" t="str">
        <x:v>Focus</x:v>
      </x:c>
      <x:c r="H128" s="365" t="str">
        <x:v>Has a higher probability of providing focus damage</x:v>
      </x:c>
      <x:c r="I128" s="365" t="str">
        <x:v>Unlocked</x:v>
      </x:c>
      <x:c r="J128" s="365" t="str">
        <x:v>01:17.50</x:v>
      </x:c>
      <x:c r="K128" s="365" t="str">
        <x:v>Tooltip title is Elite and description identifies Elite crossbowmen; Source frame: frames_1fps/f_0078.jpg</x:v>
      </x:c>
      <x:c r="L128" s="365" t="str">
        <x:v>1000025188.mp4</x:v>
      </x:c>
      <x:c r="M128" s="387" t="n">
        <x:f>IF(P128="OK",INDEX('Badge Lookup'!$B$6:$B$55,MATCH(F128,'Badge Lookup'!$A$6:$A$55,0)),0)</x:f>
        <x:v>70000</x:v>
      </x:c>
      <x:c r="N128" s="387" t="n">
        <x:f>IF(P128="OK",INDEX('Badge Lookup'!$C$6:$C$55,MATCH(F128,'Badge Lookup'!$A$6:$A$55,0)),0)</x:f>
        <x:v>619300</x:v>
      </x:c>
      <x:c r="O128" s="388" t="n">
        <x:f>IF(P128="OK",INDEX('Badge Lookup'!$D$6:$D$55,MATCH(F128,'Badge Lookup'!$A$6:$A$55,0)),0)</x:f>
        <x:v>8.24</x:v>
      </x:c>
      <x:c r="P128" s="362" t="str">
        <x:f>IF(OR(G128="",F128=""),"Not scored",IF(AND(F128=INT(F128),F128&gt;=1,F128&lt;=50,COUNTIF('Badge Lookup'!$A$6:$A$55,F128)=1),"OK","Check lookup"))</x:f>
        <x:v>OK</x:v>
      </x:c>
      <x:c r="Q128" s="456" t="n">
        <x:f>IF(P128&lt;&gt;"OK","",IF(C128="Guards",-O128,O128))</x:f>
        <x:v>8.24</x:v>
      </x:c>
      <x:c r="R128" s="362" t="str">
        <x:f>IF(P128&lt;&gt;"OK","Not scored",IF(C128="Guards","Damage received reduction","Damage increase"))</x:f>
        <x:v>Damage increase</x:v>
      </x:c>
    </x:row>
    <x:row r="129" ht="32" customHeight="1">
      <x:c r="A129" s="365" t="str">
        <x:v>K91</x:v>
      </x:c>
      <x:c r="B129" s="365" t="str">
        <x:v>Milhaus</x:v>
      </x:c>
      <x:c r="C129" s="365" t="str">
        <x:v>Guards</x:v>
      </x:c>
      <x:c r="D129" s="365" t="str">
        <x:v>Destroyers</x:v>
      </x:c>
      <x:c r="E129" s="365" t="str">
        <x:v>Guard</x:v>
      </x:c>
      <x:c r="F129" s="365" t="n">
        <x:v>40</x:v>
      </x:c>
      <x:c r="G129" s="365" t="str">
        <x:v>Parry</x:v>
      </x:c>
      <x:c r="H129" s="365" t="str">
        <x:v>Provides a parry effect and a certain probability to increase damage</x:v>
      </x:c>
      <x:c r="I129" s="365" t="str">
        <x:v>Unlocked</x:v>
      </x:c>
      <x:c r="J129" s="365" t="str">
        <x:v>01:41.00</x:v>
      </x:c>
      <x:c r="K129" s="365" t="str">
        <x:v>Source frame: spec_segments/060_120/s_0205.jpg</x:v>
      </x:c>
      <x:c r="L129" s="365" t="str">
        <x:v>1000025188.mp4</x:v>
      </x:c>
      <x:c r="M129" s="387" t="n">
        <x:f>IF(P129="OK",INDEX('Badge Lookup'!$B$6:$B$55,MATCH(F129,'Badge Lookup'!$A$6:$A$55,0)),0)</x:f>
        <x:v>240000</x:v>
      </x:c>
      <x:c r="N129" s="387" t="n">
        <x:f>IF(P129="OK",INDEX('Badge Lookup'!$C$6:$C$55,MATCH(F129,'Badge Lookup'!$A$6:$A$55,0)),0)</x:f>
        <x:v>2244300</x:v>
      </x:c>
      <x:c r="O129" s="388" t="n">
        <x:f>IF(P129="OK",INDEX('Badge Lookup'!$D$6:$D$55,MATCH(F129,'Badge Lookup'!$A$6:$A$55,0)),0)</x:f>
        <x:v>27.74</x:v>
      </x:c>
      <x:c r="P129" s="362" t="str">
        <x:f>IF(OR(G129="",F129=""),"Not scored",IF(AND(F129=INT(F129),F129&gt;=1,F129&lt;=50,COUNTIF('Badge Lookup'!$A$6:$A$55,F129)=1),"OK","Check lookup"))</x:f>
        <x:v>OK</x:v>
      </x:c>
      <x:c r="Q129" s="456" t="n">
        <x:f>IF(P129&lt;&gt;"OK","",IF(C129="Guards",-O129,O129))</x:f>
        <x:v>-27.74</x:v>
      </x:c>
      <x:c r="R129" s="362" t="str">
        <x:f>IF(P129&lt;&gt;"OK","Not scored",IF(C129="Guards","Damage received reduction","Damage increase"))</x:f>
        <x:v>Damage received reduction</x:v>
      </x:c>
    </x:row>
    <x:row r="130" ht="32" customHeight="1">
      <x:c r="A130" s="365" t="str">
        <x:v>K91</x:v>
      </x:c>
      <x:c r="B130" s="365" t="str">
        <x:v>Milhaus</x:v>
      </x:c>
      <x:c r="C130" s="365" t="str">
        <x:v>Archers</x:v>
      </x:c>
      <x:c r="D130" s="365" t="str">
        <x:v>Elite bowmen</x:v>
      </x:c>
      <x:c r="E130" s="365" t="str">
        <x:v>Archer</x:v>
      </x:c>
      <x:c r="F130" s="365" t="n">
        <x:v>50</x:v>
      </x:c>
      <x:c r="G130" s="365" t="str">
        <x:v>Frost Arrow</x:v>
      </x:c>
      <x:c r="H130" s="365" t="str">
        <x:v>Has a higher probability of activating ice damage</x:v>
      </x:c>
      <x:c r="I130" s="365" t="str">
        <x:v>Unlocked</x:v>
      </x:c>
      <x:c r="J130" s="365" t="str">
        <x:v>01:42.20</x:v>
      </x:c>
      <x:c r="K130" s="365" t="str">
        <x:v>Source frame: spec_segments/060_120/s_0211.jpg</x:v>
      </x:c>
      <x:c r="L130" s="365" t="str">
        <x:v>1000025188.mp4</x:v>
      </x:c>
      <x:c r="M130" s="387" t="n">
        <x:f>IF(P130="OK",INDEX('Badge Lookup'!$B$6:$B$55,MATCH(F130,'Badge Lookup'!$A$6:$A$55,0)),0)</x:f>
        <x:v>2000000</x:v>
      </x:c>
      <x:c r="N130" s="387" t="n">
        <x:f>IF(P130="OK",INDEX('Badge Lookup'!$C$6:$C$55,MATCH(F130,'Badge Lookup'!$A$6:$A$55,0)),0)</x:f>
        <x:v>10334300</x:v>
      </x:c>
      <x:c r="O130" s="388" t="n">
        <x:f>IF(P130="OK",INDEX('Badge Lookup'!$D$6:$D$55,MATCH(F130,'Badge Lookup'!$A$6:$A$55,0)),0)</x:f>
        <x:v>60</x:v>
      </x:c>
      <x:c r="P130" s="362" t="str">
        <x:f>IF(OR(G130="",F130=""),"Not scored",IF(AND(F130=INT(F130),F130&gt;=1,F130&lt;=50,COUNTIF('Badge Lookup'!$A$6:$A$55,F130)=1),"OK","Check lookup"))</x:f>
        <x:v>OK</x:v>
      </x:c>
      <x:c r="Q130" s="456" t="n">
        <x:f>IF(P130&lt;&gt;"OK","",IF(C130="Guards",-O130,O130))</x:f>
        <x:v>60</x:v>
      </x:c>
      <x:c r="R130" s="362" t="str">
        <x:f>IF(P130&lt;&gt;"OK","Not scored",IF(C130="Guards","Damage received reduction","Damage increase"))</x:f>
        <x:v>Damage increase</x:v>
      </x:c>
    </x:row>
    <x:row r="131" ht="32" customHeight="1">
      <x:c r="A131" s="365" t="str">
        <x:v>K91</x:v>
      </x:c>
      <x:c r="B131" s="365" t="str">
        <x:v>Milhaus</x:v>
      </x:c>
      <x:c r="C131" s="365" t="str">
        <x:v>Archers</x:v>
      </x:c>
      <x:c r="D131" s="365" t="str">
        <x:v>Elite</x:v>
      </x:c>
      <x:c r="E131" s="365"/>
      <x:c r="F131" s="365" t="n">
        <x:v>39</x:v>
      </x:c>
      <x:c r="G131" s="365" t="str">
        <x:v>Focus</x:v>
      </x:c>
      <x:c r="H131" s="365" t="str">
        <x:v>Has a higher probability of providing focus damage</x:v>
      </x:c>
      <x:c r="I131" s="365" t="str">
        <x:v>Unlocked</x:v>
      </x:c>
      <x:c r="J131" s="365" t="str">
        <x:v>01:43.60</x:v>
      </x:c>
      <x:c r="K131" s="365" t="str">
        <x:v>Tooltip title is Elite and description identifies Elite crossbowmen; Source frame: spec_segments/060_120/s_0218.jpg</x:v>
      </x:c>
      <x:c r="L131" s="365" t="str">
        <x:v>1000025188.mp4</x:v>
      </x:c>
      <x:c r="M131" s="387" t="n">
        <x:f>IF(P131="OK",INDEX('Badge Lookup'!$B$6:$B$55,MATCH(F131,'Badge Lookup'!$A$6:$A$55,0)),0)</x:f>
        <x:v>200000</x:v>
      </x:c>
      <x:c r="N131" s="387" t="n">
        <x:f>IF(P131="OK",INDEX('Badge Lookup'!$C$6:$C$55,MATCH(F131,'Badge Lookup'!$A$6:$A$55,0)),0)</x:f>
        <x:v>2004300</x:v>
      </x:c>
      <x:c r="O131" s="388" t="n">
        <x:f>IF(P131="OK",INDEX('Badge Lookup'!$D$6:$D$55,MATCH(F131,'Badge Lookup'!$A$6:$A$55,0)),0)</x:f>
        <x:v>24</x:v>
      </x:c>
      <x:c r="P131" s="362" t="str">
        <x:f>IF(OR(G131="",F131=""),"Not scored",IF(AND(F131=INT(F131),F131&gt;=1,F131&lt;=50,COUNTIF('Badge Lookup'!$A$6:$A$55,F131)=1),"OK","Check lookup"))</x:f>
        <x:v>OK</x:v>
      </x:c>
      <x:c r="Q131" s="456" t="n">
        <x:f>IF(P131&lt;&gt;"OK","",IF(C131="Guards",-O131,O131))</x:f>
        <x:v>24</x:v>
      </x:c>
      <x:c r="R131" s="362" t="str">
        <x:f>IF(P131&lt;&gt;"OK","Not scored",IF(C131="Guards","Damage received reduction","Damage increase"))</x:f>
        <x:v>Damage increase</x:v>
      </x:c>
    </x:row>
    <x:row r="132" ht="32" customHeight="1">
      <x:c r="A132" s="365" t="str">
        <x:v>K91</x:v>
      </x:c>
      <x:c r="B132" s="365" t="str">
        <x:v>金灵蛇</x:v>
      </x:c>
      <x:c r="C132" s="365" t="str">
        <x:v>Guards</x:v>
      </x:c>
      <x:c r="D132" s="365" t="str">
        <x:v>Destroyers</x:v>
      </x:c>
      <x:c r="E132" s="365" t="str">
        <x:v>Guard</x:v>
      </x:c>
      <x:c r="F132" s="365" t="n">
        <x:v>34</x:v>
      </x:c>
      <x:c r="G132" s="365" t="str">
        <x:v>Parry</x:v>
      </x:c>
      <x:c r="H132" s="365" t="str">
        <x:v>Provides a parry effect and a certain probability to increase damage</x:v>
      </x:c>
      <x:c r="I132" s="365" t="str">
        <x:v>Unlocked</x:v>
      </x:c>
      <x:c r="J132" s="365" t="str">
        <x:v>01:50.80</x:v>
      </x:c>
      <x:c r="K132" s="365" t="str">
        <x:v>Source frame: spec_segments/108_120/s_0014.jpg</x:v>
      </x:c>
      <x:c r="L132" s="365" t="str">
        <x:v>1000025188.mp4</x:v>
      </x:c>
      <x:c r="M132" s="387" t="n">
        <x:f>IF(P132="OK",INDEX('Badge Lookup'!$B$6:$B$55,MATCH(F132,'Badge Lookup'!$A$6:$A$55,0)),0)</x:f>
        <x:v>120000</x:v>
      </x:c>
      <x:c r="N132" s="387" t="n">
        <x:f>IF(P132="OK",INDEX('Badge Lookup'!$C$6:$C$55,MATCH(F132,'Badge Lookup'!$A$6:$A$55,0)),0)</x:f>
        <x:v>1194300</x:v>
      </x:c>
      <x:c r="O132" s="388" t="n">
        <x:f>IF(P132="OK",INDEX('Badge Lookup'!$D$6:$D$55,MATCH(F132,'Badge Lookup'!$A$6:$A$55,0)),0)</x:f>
        <x:v>16.2</x:v>
      </x:c>
      <x:c r="P132" s="362" t="str">
        <x:f>IF(OR(G132="",F132=""),"Not scored",IF(AND(F132=INT(F132),F132&gt;=1,F132&lt;=50,COUNTIF('Badge Lookup'!$A$6:$A$55,F132)=1),"OK","Check lookup"))</x:f>
        <x:v>OK</x:v>
      </x:c>
      <x:c r="Q132" s="456" t="n">
        <x:f>IF(P132&lt;&gt;"OK","",IF(C132="Guards",-O132,O132))</x:f>
        <x:v>-16.2</x:v>
      </x:c>
      <x:c r="R132" s="362" t="str">
        <x:f>IF(P132&lt;&gt;"OK","Not scored",IF(C132="Guards","Damage received reduction","Damage increase"))</x:f>
        <x:v>Damage received reduction</x:v>
      </x:c>
    </x:row>
    <x:row r="133" ht="32" customHeight="1">
      <x:c r="A133" s="365" t="str">
        <x:v>K91</x:v>
      </x:c>
      <x:c r="B133" s="365" t="str">
        <x:v>金灵蛇</x:v>
      </x:c>
      <x:c r="C133" s="365" t="str">
        <x:v>Archers</x:v>
      </x:c>
      <x:c r="D133" s="365" t="str">
        <x:v>Elite bowmen</x:v>
      </x:c>
      <x:c r="E133" s="365" t="str">
        <x:v>Archer</x:v>
      </x:c>
      <x:c r="F133" s="365" t="n">
        <x:v>48</x:v>
      </x:c>
      <x:c r="G133" s="365" t="str">
        <x:v>Frost Arrow</x:v>
      </x:c>
      <x:c r="H133" s="365" t="str">
        <x:v>Has a higher probability of activating ice damage</x:v>
      </x:c>
      <x:c r="I133" s="365" t="str">
        <x:v>Unlocked</x:v>
      </x:c>
      <x:c r="J133" s="365" t="str">
        <x:v>01:52.00</x:v>
      </x:c>
      <x:c r="K133" s="365" t="str">
        <x:v>Source frame: spec_segments/108_120/s_0020.jpg</x:v>
      </x:c>
      <x:c r="L133" s="365" t="str">
        <x:v>1000025188.mp4</x:v>
      </x:c>
      <x:c r="M133" s="387" t="n">
        <x:f>IF(P133="OK",INDEX('Badge Lookup'!$B$6:$B$55,MATCH(F133,'Badge Lookup'!$A$6:$A$55,0)),0)</x:f>
        <x:v>1050000</x:v>
      </x:c>
      <x:c r="N133" s="387" t="n">
        <x:f>IF(P133="OK",INDEX('Badge Lookup'!$C$6:$C$55,MATCH(F133,'Badge Lookup'!$A$6:$A$55,0)),0)</x:f>
        <x:v>6934300</x:v>
      </x:c>
      <x:c r="O133" s="388" t="n">
        <x:f>IF(P133="OK",INDEX('Badge Lookup'!$D$6:$D$55,MATCH(F133,'Badge Lookup'!$A$6:$A$55,0)),0)</x:f>
        <x:v>51.74</x:v>
      </x:c>
      <x:c r="P133" s="362" t="str">
        <x:f>IF(OR(G133="",F133=""),"Not scored",IF(AND(F133=INT(F133),F133&gt;=1,F133&lt;=50,COUNTIF('Badge Lookup'!$A$6:$A$55,F133)=1),"OK","Check lookup"))</x:f>
        <x:v>OK</x:v>
      </x:c>
      <x:c r="Q133" s="456" t="n">
        <x:f>IF(P133&lt;&gt;"OK","",IF(C133="Guards",-O133,O133))</x:f>
        <x:v>51.74</x:v>
      </x:c>
      <x:c r="R133" s="362" t="str">
        <x:f>IF(P133&lt;&gt;"OK","Not scored",IF(C133="Guards","Damage received reduction","Damage increase"))</x:f>
        <x:v>Damage increase</x:v>
      </x:c>
    </x:row>
    <x:row r="134" ht="32" customHeight="1">
      <x:c r="A134" s="365" t="str">
        <x:v>K91</x:v>
      </x:c>
      <x:c r="B134" s="365" t="str">
        <x:v>金灵蛇</x:v>
      </x:c>
      <x:c r="C134" s="365" t="str">
        <x:v>Archers</x:v>
      </x:c>
      <x:c r="D134" s="365" t="str">
        <x:v>Elite</x:v>
      </x:c>
      <x:c r="E134" s="365"/>
      <x:c r="F134" s="365" t="n">
        <x:v>22</x:v>
      </x:c>
      <x:c r="G134" s="365" t="str">
        <x:v>Focus</x:v>
      </x:c>
      <x:c r="H134" s="365" t="str">
        <x:v>Has a higher probability of providing focus damage</x:v>
      </x:c>
      <x:c r="I134" s="365" t="str">
        <x:v>Unlocked</x:v>
      </x:c>
      <x:c r="J134" s="365" t="str">
        <x:v>01:53.60</x:v>
      </x:c>
      <x:c r="K134" s="365" t="str">
        <x:v>Tooltip title is Elite and description identifies Elite crossbowmen; Source frame: spec_segments/108_120/s_0028.jpg</x:v>
      </x:c>
      <x:c r="L134" s="365" t="str">
        <x:v>1000025188.mp4</x:v>
      </x:c>
      <x:c r="M134" s="387" t="n">
        <x:f>IF(P134="OK",INDEX('Badge Lookup'!$B$6:$B$55,MATCH(F134,'Badge Lookup'!$A$6:$A$55,0)),0)</x:f>
        <x:v>45000</x:v>
      </x:c>
      <x:c r="N134" s="387" t="n">
        <x:f>IF(P134="OK",INDEX('Badge Lookup'!$C$6:$C$55,MATCH(F134,'Badge Lookup'!$A$6:$A$55,0)),0)</x:f>
        <x:v>271800</x:v>
      </x:c>
      <x:c r="O134" s="388" t="n">
        <x:f>IF(P134="OK",INDEX('Badge Lookup'!$D$6:$D$55,MATCH(F134,'Badge Lookup'!$A$6:$A$55,0)),0)</x:f>
        <x:v>4.18</x:v>
      </x:c>
      <x:c r="P134" s="362" t="str">
        <x:f>IF(OR(G134="",F134=""),"Not scored",IF(AND(F134=INT(F134),F134&gt;=1,F134&lt;=50,COUNTIF('Badge Lookup'!$A$6:$A$55,F134)=1),"OK","Check lookup"))</x:f>
        <x:v>OK</x:v>
      </x:c>
      <x:c r="Q134" s="456" t="n">
        <x:f>IF(P134&lt;&gt;"OK","",IF(C134="Guards",-O134,O134))</x:f>
        <x:v>4.18</x:v>
      </x:c>
      <x:c r="R134" s="362" t="str">
        <x:f>IF(P134&lt;&gt;"OK","Not scored",IF(C134="Guards","Damage received reduction","Damage increase"))</x:f>
        <x:v>Damage increase</x:v>
      </x:c>
    </x:row>
    <x:row r="135" ht="32" customHeight="1">
      <x:c r="A135" s="365" t="str">
        <x:v>K91</x:v>
      </x:c>
      <x:c r="B135" s="365" t="str">
        <x:v>Nico•</x:v>
      </x:c>
      <x:c r="C135" s="365" t="str">
        <x:v>Guards</x:v>
      </x:c>
      <x:c r="D135" s="365" t="str">
        <x:v>Destroyers</x:v>
      </x:c>
      <x:c r="E135" s="365" t="str">
        <x:v>Guard</x:v>
      </x:c>
      <x:c r="F135" s="365" t="n">
        <x:v>30</x:v>
      </x:c>
      <x:c r="G135" s="365" t="str">
        <x:v>Parry</x:v>
      </x:c>
      <x:c r="H135" s="365" t="str">
        <x:v>Provides a parry effect and a certain probability to increase damage</x:v>
      </x:c>
      <x:c r="I135" s="365" t="str">
        <x:v>Unlocked</x:v>
      </x:c>
      <x:c r="J135" s="365" t="str">
        <x:v>02:01.50</x:v>
      </x:c>
      <x:c r="K135" s="365" t="str">
        <x:v>Destroyed 550 Guards and 579 other troops; source frame 0122; Source frame: independent_metrics/frames1s/0122.png</x:v>
      </x:c>
      <x:c r="L135" s="365" t="str">
        <x:v>1000025188.mp4</x:v>
      </x:c>
      <x:c r="M135" s="387" t="n">
        <x:f>IF(P135="OK",INDEX('Badge Lookup'!$B$6:$B$55,MATCH(F135,'Badge Lookup'!$A$6:$A$55,0)),0)</x:f>
        <x:v>80000</x:v>
      </x:c>
      <x:c r="N135" s="387" t="n">
        <x:f>IF(P135="OK",INDEX('Badge Lookup'!$C$6:$C$55,MATCH(F135,'Badge Lookup'!$A$6:$A$55,0)),0)</x:f>
        <x:v>774300</x:v>
      </x:c>
      <x:c r="O135" s="388" t="n">
        <x:f>IF(P135="OK",INDEX('Badge Lookup'!$D$6:$D$55,MATCH(F135,'Badge Lookup'!$A$6:$A$55,0)),0)</x:f>
        <x:v>10.82</x:v>
      </x:c>
      <x:c r="P135" s="362" t="str">
        <x:f>IF(OR(G135="",F135=""),"Not scored",IF(AND(F135=INT(F135),F135&gt;=1,F135&lt;=50,COUNTIF('Badge Lookup'!$A$6:$A$55,F135)=1),"OK","Check lookup"))</x:f>
        <x:v>OK</x:v>
      </x:c>
      <x:c r="Q135" s="456" t="n">
        <x:f>IF(P135&lt;&gt;"OK","",IF(C135="Guards",-O135,O135))</x:f>
        <x:v>-10.82</x:v>
      </x:c>
      <x:c r="R135" s="362" t="str">
        <x:f>IF(P135&lt;&gt;"OK","Not scored",IF(C135="Guards","Damage received reduction","Damage increase"))</x:f>
        <x:v>Damage received reduction</x:v>
      </x:c>
    </x:row>
    <x:row r="136" ht="32" customHeight="1">
      <x:c r="A136" s="365" t="str">
        <x:v>K91</x:v>
      </x:c>
      <x:c r="B136" s="365" t="str">
        <x:v>Nico•</x:v>
      </x:c>
      <x:c r="C136" s="365" t="str">
        <x:v>Archers</x:v>
      </x:c>
      <x:c r="D136" s="365" t="str">
        <x:v>Elite bowmen</x:v>
      </x:c>
      <x:c r="E136" s="365" t="str">
        <x:v>Archer</x:v>
      </x:c>
      <x:c r="F136" s="365" t="n">
        <x:v>46</x:v>
      </x:c>
      <x:c r="G136" s="365" t="str">
        <x:v>Frost Arrow</x:v>
      </x:c>
      <x:c r="H136" s="365" t="str">
        <x:v>Has a higher probability of activating ice damage</x:v>
      </x:c>
      <x:c r="I136" s="365" t="str">
        <x:v>Unlocked</x:v>
      </x:c>
      <x:c r="J136" s="365" t="str">
        <x:v>02:02.50</x:v>
      </x:c>
      <x:c r="K136" s="365" t="str">
        <x:v>Destroyed 16098 Guards and 24035 other troops; source frame 0123; Source frame: independent_metrics/frames1s/0123.png</x:v>
      </x:c>
      <x:c r="L136" s="365" t="str">
        <x:v>1000025188.mp4</x:v>
      </x:c>
      <x:c r="M136" s="387" t="n">
        <x:f>IF(P136="OK",INDEX('Badge Lookup'!$B$6:$B$55,MATCH(F136,'Badge Lookup'!$A$6:$A$55,0)),0)</x:f>
        <x:v>720000</x:v>
      </x:c>
      <x:c r="N136" s="387" t="n">
        <x:f>IF(P136="OK",INDEX('Badge Lookup'!$C$6:$C$55,MATCH(F136,'Badge Lookup'!$A$6:$A$55,0)),0)</x:f>
        <x:v>5004300</x:v>
      </x:c>
      <x:c r="O136" s="388" t="n">
        <x:f>IF(P136="OK",INDEX('Badge Lookup'!$D$6:$D$55,MATCH(F136,'Badge Lookup'!$A$6:$A$55,0)),0)</x:f>
        <x:v>45.13</x:v>
      </x:c>
      <x:c r="P136" s="362" t="str">
        <x:f>IF(OR(G136="",F136=""),"Not scored",IF(AND(F136=INT(F136),F136&gt;=1,F136&lt;=50,COUNTIF('Badge Lookup'!$A$6:$A$55,F136)=1),"OK","Check lookup"))</x:f>
        <x:v>OK</x:v>
      </x:c>
      <x:c r="Q136" s="456" t="n">
        <x:f>IF(P136&lt;&gt;"OK","",IF(C136="Guards",-O136,O136))</x:f>
        <x:v>45.13</x:v>
      </x:c>
      <x:c r="R136" s="362" t="str">
        <x:f>IF(P136&lt;&gt;"OK","Not scored",IF(C136="Guards","Damage received reduction","Damage increase"))</x:f>
        <x:v>Damage increase</x:v>
      </x:c>
    </x:row>
    <x:row r="137" ht="32" customHeight="1">
      <x:c r="A137" s="365" t="str">
        <x:v>K91</x:v>
      </x:c>
      <x:c r="B137" s="365" t="str">
        <x:v>Nico•</x:v>
      </x:c>
      <x:c r="C137" s="365" t="str">
        <x:v>Archers</x:v>
      </x:c>
      <x:c r="D137" s="365" t="str">
        <x:v>Elite</x:v>
      </x:c>
      <x:c r="E137" s="365"/>
      <x:c r="F137" s="365" t="n">
        <x:v>32</x:v>
      </x:c>
      <x:c r="G137" s="365" t="str">
        <x:v>Focus</x:v>
      </x:c>
      <x:c r="H137" s="365" t="str">
        <x:v>Has a higher probability of providing focus damage</x:v>
      </x:c>
      <x:c r="I137" s="365" t="str">
        <x:v>Unlocked</x:v>
      </x:c>
      <x:c r="J137" s="365" t="str">
        <x:v>02:05.50</x:v>
      </x:c>
      <x:c r="K137" s="365" t="str">
        <x:v>Tooltip header displays only Elite; body identifies Elite crossbowmen; destroyed 549 Guards and 210 other troops; source frame 0126; Source frame: independent_metrics/frames1s/0126.png</x:v>
      </x:c>
      <x:c r="L137" s="365" t="str">
        <x:v>1000025188.mp4</x:v>
      </x:c>
      <x:c r="M137" s="387" t="n">
        <x:f>IF(P137="OK",INDEX('Badge Lookup'!$B$6:$B$55,MATCH(F137,'Badge Lookup'!$A$6:$A$55,0)),0)</x:f>
        <x:v>100000</x:v>
      </x:c>
      <x:c r="N137" s="387" t="n">
        <x:f>IF(P137="OK",INDEX('Badge Lookup'!$C$6:$C$55,MATCH(F137,'Badge Lookup'!$A$6:$A$55,0)),0)</x:f>
        <x:v>964300</x:v>
      </x:c>
      <x:c r="O137" s="388" t="n">
        <x:f>IF(P137="OK",INDEX('Badge Lookup'!$D$6:$D$55,MATCH(F137,'Badge Lookup'!$A$6:$A$55,0)),0)</x:f>
        <x:v>13.41</x:v>
      </x:c>
      <x:c r="P137" s="362" t="str">
        <x:f>IF(OR(G137="",F137=""),"Not scored",IF(AND(F137=INT(F137),F137&gt;=1,F137&lt;=50,COUNTIF('Badge Lookup'!$A$6:$A$55,F137)=1),"OK","Check lookup"))</x:f>
        <x:v>OK</x:v>
      </x:c>
      <x:c r="Q137" s="456" t="n">
        <x:f>IF(P137&lt;&gt;"OK","",IF(C137="Guards",-O137,O137))</x:f>
        <x:v>13.41</x:v>
      </x:c>
      <x:c r="R137" s="362" t="str">
        <x:f>IF(P137&lt;&gt;"OK","Not scored",IF(C137="Guards","Damage received reduction","Damage increase"))</x:f>
        <x:v>Damage increase</x:v>
      </x:c>
    </x:row>
    <x:row r="138" ht="32" customHeight="1">
      <x:c r="A138" s="365" t="str">
        <x:v>K91</x:v>
      </x:c>
      <x:c r="B138" s="365" t="str">
        <x:v>†LORD•ZARIEL†</x:v>
      </x:c>
      <x:c r="C138" s="365" t="str">
        <x:v>Guards</x:v>
      </x:c>
      <x:c r="D138" s="365" t="str">
        <x:v>Destroyers</x:v>
      </x:c>
      <x:c r="E138" s="365" t="str">
        <x:v>Guard</x:v>
      </x:c>
      <x:c r="F138" s="365" t="n">
        <x:v>30</x:v>
      </x:c>
      <x:c r="G138" s="365" t="str">
        <x:v>Parry</x:v>
      </x:c>
      <x:c r="H138" s="365" t="str">
        <x:v>Provides a parry effect and a certain probability to increase damage</x:v>
      </x:c>
      <x:c r="I138" s="365" t="str">
        <x:v>Unlocked</x:v>
      </x:c>
      <x:c r="J138" s="365" t="str">
        <x:v>02:11.50</x:v>
      </x:c>
      <x:c r="K138" s="365" t="str">
        <x:v>Destroyed 573 Guards and 257 other troops; source frame 0132; Source frame: independent_metrics/frames1s/0132.png</x:v>
      </x:c>
      <x:c r="L138" s="365" t="str">
        <x:v>1000025188.mp4</x:v>
      </x:c>
      <x:c r="M138" s="387" t="n">
        <x:f>IF(P138="OK",INDEX('Badge Lookup'!$B$6:$B$55,MATCH(F138,'Badge Lookup'!$A$6:$A$55,0)),0)</x:f>
        <x:v>80000</x:v>
      </x:c>
      <x:c r="N138" s="387" t="n">
        <x:f>IF(P138="OK",INDEX('Badge Lookup'!$C$6:$C$55,MATCH(F138,'Badge Lookup'!$A$6:$A$55,0)),0)</x:f>
        <x:v>774300</x:v>
      </x:c>
      <x:c r="O138" s="388" t="n">
        <x:f>IF(P138="OK",INDEX('Badge Lookup'!$D$6:$D$55,MATCH(F138,'Badge Lookup'!$A$6:$A$55,0)),0)</x:f>
        <x:v>10.82</x:v>
      </x:c>
      <x:c r="P138" s="362" t="str">
        <x:f>IF(OR(G138="",F138=""),"Not scored",IF(AND(F138=INT(F138),F138&gt;=1,F138&lt;=50,COUNTIF('Badge Lookup'!$A$6:$A$55,F138)=1),"OK","Check lookup"))</x:f>
        <x:v>OK</x:v>
      </x:c>
      <x:c r="Q138" s="456" t="n">
        <x:f>IF(P138&lt;&gt;"OK","",IF(C138="Guards",-O138,O138))</x:f>
        <x:v>-10.82</x:v>
      </x:c>
      <x:c r="R138" s="362" t="str">
        <x:f>IF(P138&lt;&gt;"OK","Not scored",IF(C138="Guards","Damage received reduction","Damage increase"))</x:f>
        <x:v>Damage received reduction</x:v>
      </x:c>
    </x:row>
    <x:row r="139" ht="32" customHeight="1">
      <x:c r="A139" s="365" t="str">
        <x:v>K91</x:v>
      </x:c>
      <x:c r="B139" s="365" t="str">
        <x:v>†LORD•ZARIEL†</x:v>
      </x:c>
      <x:c r="C139" s="365" t="str">
        <x:v>Archers</x:v>
      </x:c>
      <x:c r="D139" s="365" t="str">
        <x:v>Elite bowmen</x:v>
      </x:c>
      <x:c r="E139" s="365" t="str">
        <x:v>Archer</x:v>
      </x:c>
      <x:c r="F139" s="365" t="n">
        <x:v>47</x:v>
      </x:c>
      <x:c r="G139" s="365" t="str">
        <x:v>Frost Arrow</x:v>
      </x:c>
      <x:c r="H139" s="365" t="str">
        <x:v>Has a higher probability of activating ice damage</x:v>
      </x:c>
      <x:c r="I139" s="365" t="str">
        <x:v>Unlocked</x:v>
      </x:c>
      <x:c r="J139" s="365" t="str">
        <x:v>02:12.50</x:v>
      </x:c>
      <x:c r="K139" s="365" t="str">
        <x:v>Destroyed 18157 Guards and 5610 other troops; source frame 0133; Source frame: independent_metrics/frames1s/0133.png</x:v>
      </x:c>
      <x:c r="L139" s="365" t="str">
        <x:v>1000025188.mp4</x:v>
      </x:c>
      <x:c r="M139" s="387" t="n">
        <x:f>IF(P139="OK",INDEX('Badge Lookup'!$B$6:$B$55,MATCH(F139,'Badge Lookup'!$A$6:$A$55,0)),0)</x:f>
        <x:v>880000</x:v>
      </x:c>
      <x:c r="N139" s="387" t="n">
        <x:f>IF(P139="OK",INDEX('Badge Lookup'!$C$6:$C$55,MATCH(F139,'Badge Lookup'!$A$6:$A$55,0)),0)</x:f>
        <x:v>5884300</x:v>
      </x:c>
      <x:c r="O139" s="388" t="n">
        <x:f>IF(P139="OK",INDEX('Badge Lookup'!$D$6:$D$55,MATCH(F139,'Badge Lookup'!$A$6:$A$55,0)),0)</x:f>
        <x:v>48.38</x:v>
      </x:c>
      <x:c r="P139" s="362" t="str">
        <x:f>IF(OR(G139="",F139=""),"Not scored",IF(AND(F139=INT(F139),F139&gt;=1,F139&lt;=50,COUNTIF('Badge Lookup'!$A$6:$A$55,F139)=1),"OK","Check lookup"))</x:f>
        <x:v>OK</x:v>
      </x:c>
      <x:c r="Q139" s="456" t="n">
        <x:f>IF(P139&lt;&gt;"OK","",IF(C139="Guards",-O139,O139))</x:f>
        <x:v>48.38</x:v>
      </x:c>
      <x:c r="R139" s="362" t="str">
        <x:f>IF(P139&lt;&gt;"OK","Not scored",IF(C139="Guards","Damage received reduction","Damage increase"))</x:f>
        <x:v>Damage increase</x:v>
      </x:c>
    </x:row>
    <x:row r="140" ht="32" customHeight="1">
      <x:c r="A140" s="365" t="str">
        <x:v>K91</x:v>
      </x:c>
      <x:c r="B140" s="365" t="str">
        <x:v>TÜRK 81</x:v>
      </x:c>
      <x:c r="C140" s="365" t="str">
        <x:v>Guards</x:v>
      </x:c>
      <x:c r="D140" s="365" t="str">
        <x:v>Destroyers</x:v>
      </x:c>
      <x:c r="E140" s="365" t="str">
        <x:v>Guard</x:v>
      </x:c>
      <x:c r="F140" s="365" t="n">
        <x:v>42</x:v>
      </x:c>
      <x:c r="G140" s="365" t="str">
        <x:v>Parry</x:v>
      </x:c>
      <x:c r="H140" s="365" t="str">
        <x:v>Provides a parry effect and a certain probability to increase damage</x:v>
      </x:c>
      <x:c r="I140" s="365" t="str">
        <x:v>Unlocked</x:v>
      </x:c>
      <x:c r="J140" s="365" t="str">
        <x:v>02:18.50</x:v>
      </x:c>
      <x:c r="K140" s="365" t="str">
        <x:v>Destroyed 690 Guards and 881 other troops; source frame 0139; Source frame: independent_metrics/frames1s/0139.png</x:v>
      </x:c>
      <x:c r="L140" s="365" t="str">
        <x:v>1000025188.mp4</x:v>
      </x:c>
      <x:c r="M140" s="387" t="n">
        <x:f>IF(P140="OK",INDEX('Badge Lookup'!$B$6:$B$55,MATCH(F140,'Badge Lookup'!$A$6:$A$55,0)),0)</x:f>
        <x:v>320000</x:v>
      </x:c>
      <x:c r="N140" s="387" t="n">
        <x:f>IF(P140="OK",INDEX('Badge Lookup'!$C$6:$C$55,MATCH(F140,'Badge Lookup'!$A$6:$A$55,0)),0)</x:f>
        <x:v>2844300</x:v>
      </x:c>
      <x:c r="O140" s="388" t="n">
        <x:f>IF(P140="OK",INDEX('Badge Lookup'!$D$6:$D$55,MATCH(F140,'Badge Lookup'!$A$6:$A$55,0)),0)</x:f>
        <x:v>33.13</x:v>
      </x:c>
      <x:c r="P140" s="362" t="str">
        <x:f>IF(OR(G140="",F140=""),"Not scored",IF(AND(F140=INT(F140),F140&gt;=1,F140&lt;=50,COUNTIF('Badge Lookup'!$A$6:$A$55,F140)=1),"OK","Check lookup"))</x:f>
        <x:v>OK</x:v>
      </x:c>
      <x:c r="Q140" s="456" t="n">
        <x:f>IF(P140&lt;&gt;"OK","",IF(C140="Guards",-O140,O140))</x:f>
        <x:v>-33.13</x:v>
      </x:c>
      <x:c r="R140" s="362" t="str">
        <x:f>IF(P140&lt;&gt;"OK","Not scored",IF(C140="Guards","Damage received reduction","Damage increase"))</x:f>
        <x:v>Damage received reduction</x:v>
      </x:c>
    </x:row>
    <x:row r="141" ht="32" customHeight="1">
      <x:c r="A141" s="365" t="str">
        <x:v>K91</x:v>
      </x:c>
      <x:c r="B141" s="365" t="str">
        <x:v>TÜRK 81</x:v>
      </x:c>
      <x:c r="C141" s="365" t="str">
        <x:v>Archers</x:v>
      </x:c>
      <x:c r="D141" s="365" t="str">
        <x:v>Elite bowmen</x:v>
      </x:c>
      <x:c r="E141" s="365" t="str">
        <x:v>Archer</x:v>
      </x:c>
      <x:c r="F141" s="365" t="n">
        <x:v>50</x:v>
      </x:c>
      <x:c r="G141" s="365" t="str">
        <x:v>Frost Arrow</x:v>
      </x:c>
      <x:c r="H141" s="365" t="str">
        <x:v>Has a higher probability of activating ice damage</x:v>
      </x:c>
      <x:c r="I141" s="365" t="str">
        <x:v>Unlocked</x:v>
      </x:c>
      <x:c r="J141" s="365" t="str">
        <x:v>02:20.50</x:v>
      </x:c>
      <x:c r="K141" s="365" t="str">
        <x:v>Destroyed 30623 Guards and 10089 other troops; source frame 0141; Source frame: independent_metrics/frames1s/0141.png</x:v>
      </x:c>
      <x:c r="L141" s="365" t="str">
        <x:v>1000025188.mp4</x:v>
      </x:c>
      <x:c r="M141" s="387" t="n">
        <x:f>IF(P141="OK",INDEX('Badge Lookup'!$B$6:$B$55,MATCH(F141,'Badge Lookup'!$A$6:$A$55,0)),0)</x:f>
        <x:v>2000000</x:v>
      </x:c>
      <x:c r="N141" s="387" t="n">
        <x:f>IF(P141="OK",INDEX('Badge Lookup'!$C$6:$C$55,MATCH(F141,'Badge Lookup'!$A$6:$A$55,0)),0)</x:f>
        <x:v>10334300</x:v>
      </x:c>
      <x:c r="O141" s="388" t="n">
        <x:f>IF(P141="OK",INDEX('Badge Lookup'!$D$6:$D$55,MATCH(F141,'Badge Lookup'!$A$6:$A$55,0)),0)</x:f>
        <x:v>60</x:v>
      </x:c>
      <x:c r="P141" s="362" t="str">
        <x:f>IF(OR(G141="",F141=""),"Not scored",IF(AND(F141=INT(F141),F141&gt;=1,F141&lt;=50,COUNTIF('Badge Lookup'!$A$6:$A$55,F141)=1),"OK","Check lookup"))</x:f>
        <x:v>OK</x:v>
      </x:c>
      <x:c r="Q141" s="456" t="n">
        <x:f>IF(P141&lt;&gt;"OK","",IF(C141="Guards",-O141,O141))</x:f>
        <x:v>60</x:v>
      </x:c>
      <x:c r="R141" s="362" t="str">
        <x:f>IF(P141&lt;&gt;"OK","Not scored",IF(C141="Guards","Damage received reduction","Damage increase"))</x:f>
        <x:v>Damage increase</x:v>
      </x:c>
    </x:row>
    <x:row r="142" ht="32" customHeight="1">
      <x:c r="A142" s="365" t="str">
        <x:v>K91</x:v>
      </x:c>
      <x:c r="B142" s="365" t="str">
        <x:v>TÜRK 81</x:v>
      </x:c>
      <x:c r="C142" s="365" t="str">
        <x:v>Archers</x:v>
      </x:c>
      <x:c r="D142" s="365" t="str">
        <x:v>Elite</x:v>
      </x:c>
      <x:c r="E142" s="365"/>
      <x:c r="F142" s="365" t="n">
        <x:v>41</x:v>
      </x:c>
      <x:c r="G142" s="365" t="str">
        <x:v>Focus</x:v>
      </x:c>
      <x:c r="H142" s="365" t="str">
        <x:v>Has a higher probability of providing focus damage</x:v>
      </x:c>
      <x:c r="I142" s="365" t="str">
        <x:v>Unlocked</x:v>
      </x:c>
      <x:c r="J142" s="365" t="str">
        <x:v>02:21.50</x:v>
      </x:c>
      <x:c r="K142" s="365" t="str">
        <x:v>Tooltip header displays only Elite; body identifies Elite crossbowmen; destroyed 2446 Guards and 2830 other troops; source frame 0142; Source frame: independent_metrics/frames1s/0142.png</x:v>
      </x:c>
      <x:c r="L142" s="365" t="str">
        <x:v>1000025188.mp4</x:v>
      </x:c>
      <x:c r="M142" s="387" t="n">
        <x:f>IF(P142="OK",INDEX('Badge Lookup'!$B$6:$B$55,MATCH(F142,'Badge Lookup'!$A$6:$A$55,0)),0)</x:f>
        <x:v>280000</x:v>
      </x:c>
      <x:c r="N142" s="387" t="n">
        <x:f>IF(P142="OK",INDEX('Badge Lookup'!$C$6:$C$55,MATCH(F142,'Badge Lookup'!$A$6:$A$55,0)),0)</x:f>
        <x:v>2524300</x:v>
      </x:c>
      <x:c r="O142" s="388" t="n">
        <x:f>IF(P142="OK",INDEX('Badge Lookup'!$D$6:$D$55,MATCH(F142,'Badge Lookup'!$A$6:$A$55,0)),0)</x:f>
        <x:v>30.38</x:v>
      </x:c>
      <x:c r="P142" s="362" t="str">
        <x:f>IF(OR(G142="",F142=""),"Not scored",IF(AND(F142=INT(F142),F142&gt;=1,F142&lt;=50,COUNTIF('Badge Lookup'!$A$6:$A$55,F142)=1),"OK","Check lookup"))</x:f>
        <x:v>OK</x:v>
      </x:c>
      <x:c r="Q142" s="456" t="n">
        <x:f>IF(P142&lt;&gt;"OK","",IF(C142="Guards",-O142,O142))</x:f>
        <x:v>30.38</x:v>
      </x:c>
      <x:c r="R142" s="362" t="str">
        <x:f>IF(P142&lt;&gt;"OK","Not scored",IF(C142="Guards","Damage received reduction","Damage increase"))</x:f>
        <x:v>Damage increase</x:v>
      </x:c>
    </x:row>
    <x:row r="143" ht="32" customHeight="1">
      <x:c r="A143" s="365" t="str">
        <x:v>K91</x:v>
      </x:c>
      <x:c r="B143" s="365" t="str">
        <x:v>A†RO/</x:v>
      </x:c>
      <x:c r="C143" s="365" t="str">
        <x:v>Guards</x:v>
      </x:c>
      <x:c r="D143" s="365" t="str">
        <x:v>Destroyers</x:v>
      </x:c>
      <x:c r="E143" s="365" t="str">
        <x:v>Guard</x:v>
      </x:c>
      <x:c r="F143" s="365" t="n">
        <x:v>30</x:v>
      </x:c>
      <x:c r="G143" s="365" t="str">
        <x:v>Parry</x:v>
      </x:c>
      <x:c r="H143" s="365" t="str">
        <x:v>Provides a parry effect and a certain probability to increase damage</x:v>
      </x:c>
      <x:c r="I143" s="365" t="str">
        <x:v>Unlocked</x:v>
      </x:c>
      <x:c r="J143" s="365" t="str">
        <x:v>02:27.50</x:v>
      </x:c>
      <x:c r="K143" s="365" t="str">
        <x:v>Destroyed 565 Guards and 675 other troops; source frame 0148; Source frame: independent_metrics/frames1s/0148.png</x:v>
      </x:c>
      <x:c r="L143" s="365" t="str">
        <x:v>1000025188.mp4</x:v>
      </x:c>
      <x:c r="M143" s="387" t="n">
        <x:f>IF(P143="OK",INDEX('Badge Lookup'!$B$6:$B$55,MATCH(F143,'Badge Lookup'!$A$6:$A$55,0)),0)</x:f>
        <x:v>80000</x:v>
      </x:c>
      <x:c r="N143" s="387" t="n">
        <x:f>IF(P143="OK",INDEX('Badge Lookup'!$C$6:$C$55,MATCH(F143,'Badge Lookup'!$A$6:$A$55,0)),0)</x:f>
        <x:v>774300</x:v>
      </x:c>
      <x:c r="O143" s="388" t="n">
        <x:f>IF(P143="OK",INDEX('Badge Lookup'!$D$6:$D$55,MATCH(F143,'Badge Lookup'!$A$6:$A$55,0)),0)</x:f>
        <x:v>10.82</x:v>
      </x:c>
      <x:c r="P143" s="362" t="str">
        <x:f>IF(OR(G143="",F143=""),"Not scored",IF(AND(F143=INT(F143),F143&gt;=1,F143&lt;=50,COUNTIF('Badge Lookup'!$A$6:$A$55,F143)=1),"OK","Check lookup"))</x:f>
        <x:v>OK</x:v>
      </x:c>
      <x:c r="Q143" s="456" t="n">
        <x:f>IF(P143&lt;&gt;"OK","",IF(C143="Guards",-O143,O143))</x:f>
        <x:v>-10.82</x:v>
      </x:c>
      <x:c r="R143" s="362" t="str">
        <x:f>IF(P143&lt;&gt;"OK","Not scored",IF(C143="Guards","Damage received reduction","Damage increase"))</x:f>
        <x:v>Damage received reduction</x:v>
      </x:c>
    </x:row>
    <x:row r="144" ht="32" customHeight="1">
      <x:c r="A144" s="365" t="str">
        <x:v>K91</x:v>
      </x:c>
      <x:c r="B144" s="365" t="str">
        <x:v>A†RO/</x:v>
      </x:c>
      <x:c r="C144" s="365" t="str">
        <x:v>Archers</x:v>
      </x:c>
      <x:c r="D144" s="365" t="str">
        <x:v>Elite bowmen</x:v>
      </x:c>
      <x:c r="E144" s="365" t="str">
        <x:v>Archer</x:v>
      </x:c>
      <x:c r="F144" s="365" t="n">
        <x:v>49</x:v>
      </x:c>
      <x:c r="G144" s="365" t="str">
        <x:v>Frost Arrow</x:v>
      </x:c>
      <x:c r="H144" s="365" t="str">
        <x:v>Has a higher probability of activating ice damage</x:v>
      </x:c>
      <x:c r="I144" s="365" t="str">
        <x:v>Unlocked</x:v>
      </x:c>
      <x:c r="J144" s="365" t="str">
        <x:v>02:29.50</x:v>
      </x:c>
      <x:c r="K144" s="365" t="str">
        <x:v>Destroyed 20413 Guards and 22437 other troops; source frame 0150; Source frame: independent_metrics/frames1s/0150.png</x:v>
      </x:c>
      <x:c r="L144" s="365" t="str">
        <x:v>1000025188.mp4</x:v>
      </x:c>
      <x:c r="M144" s="387" t="n">
        <x:f>IF(P144="OK",INDEX('Badge Lookup'!$B$6:$B$55,MATCH(F144,'Badge Lookup'!$A$6:$A$55,0)),0)</x:f>
        <x:v>1400000</x:v>
      </x:c>
      <x:c r="N144" s="387" t="n">
        <x:f>IF(P144="OK",INDEX('Badge Lookup'!$C$6:$C$55,MATCH(F144,'Badge Lookup'!$A$6:$A$55,0)),0)</x:f>
        <x:v>8334300</x:v>
      </x:c>
      <x:c r="O144" s="388" t="n">
        <x:f>IF(P144="OK",INDEX('Badge Lookup'!$D$6:$D$55,MATCH(F144,'Badge Lookup'!$A$6:$A$55,0)),0)</x:f>
        <x:v>55.2</x:v>
      </x:c>
      <x:c r="P144" s="362" t="str">
        <x:f>IF(OR(G144="",F144=""),"Not scored",IF(AND(F144=INT(F144),F144&gt;=1,F144&lt;=50,COUNTIF('Badge Lookup'!$A$6:$A$55,F144)=1),"OK","Check lookup"))</x:f>
        <x:v>OK</x:v>
      </x:c>
      <x:c r="Q144" s="456" t="n">
        <x:f>IF(P144&lt;&gt;"OK","",IF(C144="Guards",-O144,O144))</x:f>
        <x:v>55.2</x:v>
      </x:c>
      <x:c r="R144" s="362" t="str">
        <x:f>IF(P144&lt;&gt;"OK","Not scored",IF(C144="Guards","Damage received reduction","Damage increase"))</x:f>
        <x:v>Damage increase</x:v>
      </x:c>
    </x:row>
    <x:row r="145" ht="32" customHeight="1">
      <x:c r="A145" s="365" t="str">
        <x:v>K91</x:v>
      </x:c>
      <x:c r="B145" s="365" t="str">
        <x:v>A†RO/</x:v>
      </x:c>
      <x:c r="C145" s="365" t="str">
        <x:v>Archers</x:v>
      </x:c>
      <x:c r="D145" s="365" t="str">
        <x:v>Elite</x:v>
      </x:c>
      <x:c r="E145" s="365"/>
      <x:c r="F145" s="365" t="n">
        <x:v>34</x:v>
      </x:c>
      <x:c r="G145" s="365" t="str">
        <x:v>Focus</x:v>
      </x:c>
      <x:c r="H145" s="365" t="str">
        <x:v>Has a higher probability of providing focus damage</x:v>
      </x:c>
      <x:c r="I145" s="365" t="str">
        <x:v>Unlocked</x:v>
      </x:c>
      <x:c r="J145" s="365" t="str">
        <x:v>02:31.50</x:v>
      </x:c>
      <x:c r="K145" s="365" t="str">
        <x:v>Tooltip header displays only Elite; body identifies Elite crossbowmen; destroyed 1296 Guards and 1278 other troops; source frame 0152; Source frame: independent_metrics/frames1s/0152.png</x:v>
      </x:c>
      <x:c r="L145" s="365" t="str">
        <x:v>1000025188.mp4</x:v>
      </x:c>
      <x:c r="M145" s="387" t="n">
        <x:f>IF(P145="OK",INDEX('Badge Lookup'!$B$6:$B$55,MATCH(F145,'Badge Lookup'!$A$6:$A$55,0)),0)</x:f>
        <x:v>120000</x:v>
      </x:c>
      <x:c r="N145" s="387" t="n">
        <x:f>IF(P145="OK",INDEX('Badge Lookup'!$C$6:$C$55,MATCH(F145,'Badge Lookup'!$A$6:$A$55,0)),0)</x:f>
        <x:v>1194300</x:v>
      </x:c>
      <x:c r="O145" s="388" t="n">
        <x:f>IF(P145="OK",INDEX('Badge Lookup'!$D$6:$D$55,MATCH(F145,'Badge Lookup'!$A$6:$A$55,0)),0)</x:f>
        <x:v>16.2</x:v>
      </x:c>
      <x:c r="P145" s="362" t="str">
        <x:f>IF(OR(G145="",F145=""),"Not scored",IF(AND(F145=INT(F145),F145&gt;=1,F145&lt;=50,COUNTIF('Badge Lookup'!$A$6:$A$55,F145)=1),"OK","Check lookup"))</x:f>
        <x:v>OK</x:v>
      </x:c>
      <x:c r="Q145" s="456" t="n">
        <x:f>IF(P145&lt;&gt;"OK","",IF(C145="Guards",-O145,O145))</x:f>
        <x:v>16.2</x:v>
      </x:c>
      <x:c r="R145" s="362" t="str">
        <x:f>IF(P145&lt;&gt;"OK","Not scored",IF(C145="Guards","Damage received reduction","Damage increase"))</x:f>
        <x:v>Damage increase</x:v>
      </x:c>
    </x:row>
    <x:row r="146" ht="32" customHeight="1">
      <x:c r="A146" s="365" t="str">
        <x:v>K91</x:v>
      </x:c>
      <x:c r="B146" s="365" t="str">
        <x:v>Skrapz</x:v>
      </x:c>
      <x:c r="C146" s="365" t="str">
        <x:v>Guards</x:v>
      </x:c>
      <x:c r="D146" s="365" t="str">
        <x:v>Destroyers</x:v>
      </x:c>
      <x:c r="E146" s="365" t="str">
        <x:v>Guard</x:v>
      </x:c>
      <x:c r="F146" s="365" t="n">
        <x:v>40</x:v>
      </x:c>
      <x:c r="G146" s="365" t="str">
        <x:v>Parry</x:v>
      </x:c>
      <x:c r="H146" s="365" t="str">
        <x:v>Provides a parry effect and a certain probability to increase damage</x:v>
      </x:c>
      <x:c r="I146" s="365" t="str">
        <x:v>Unlocked</x:v>
      </x:c>
      <x:c r="J146" s="365" t="str">
        <x:v>02:38.50</x:v>
      </x:c>
      <x:c r="K146" s="365" t="str">
        <x:v>Destroyed 645 Guards and 646 other troops; source frame 0159; Source frame: independent_metrics/frames1s/0159.png</x:v>
      </x:c>
      <x:c r="L146" s="365" t="str">
        <x:v>1000025188.mp4</x:v>
      </x:c>
      <x:c r="M146" s="387" t="n">
        <x:f>IF(P146="OK",INDEX('Badge Lookup'!$B$6:$B$55,MATCH(F146,'Badge Lookup'!$A$6:$A$55,0)),0)</x:f>
        <x:v>240000</x:v>
      </x:c>
      <x:c r="N146" s="387" t="n">
        <x:f>IF(P146="OK",INDEX('Badge Lookup'!$C$6:$C$55,MATCH(F146,'Badge Lookup'!$A$6:$A$55,0)),0)</x:f>
        <x:v>2244300</x:v>
      </x:c>
      <x:c r="O146" s="388" t="n">
        <x:f>IF(P146="OK",INDEX('Badge Lookup'!$D$6:$D$55,MATCH(F146,'Badge Lookup'!$A$6:$A$55,0)),0)</x:f>
        <x:v>27.74</x:v>
      </x:c>
      <x:c r="P146" s="362" t="str">
        <x:f>IF(OR(G146="",F146=""),"Not scored",IF(AND(F146=INT(F146),F146&gt;=1,F146&lt;=50,COUNTIF('Badge Lookup'!$A$6:$A$55,F146)=1),"OK","Check lookup"))</x:f>
        <x:v>OK</x:v>
      </x:c>
      <x:c r="Q146" s="456" t="n">
        <x:f>IF(P146&lt;&gt;"OK","",IF(C146="Guards",-O146,O146))</x:f>
        <x:v>-27.74</x:v>
      </x:c>
      <x:c r="R146" s="362" t="str">
        <x:f>IF(P146&lt;&gt;"OK","Not scored",IF(C146="Guards","Damage received reduction","Damage increase"))</x:f>
        <x:v>Damage received reduction</x:v>
      </x:c>
    </x:row>
    <x:row r="147" ht="32" customHeight="1">
      <x:c r="A147" s="365" t="str">
        <x:v>K91</x:v>
      </x:c>
      <x:c r="B147" s="365" t="str">
        <x:v>Skrapz</x:v>
      </x:c>
      <x:c r="C147" s="365" t="str">
        <x:v>Cavalry</x:v>
      </x:c>
      <x:c r="D147" s="365" t="str">
        <x:v>Eternal knights</x:v>
      </x:c>
      <x:c r="E147" s="365" t="str">
        <x:v>Heavy Cavalry</x:v>
      </x:c>
      <x:c r="F147" s="365" t="n">
        <x:v>50</x:v>
      </x:c>
      <x:c r="G147" s="365" t="str">
        <x:v>Thunder trample</x:v>
      </x:c>
      <x:c r="H147" s="365" t="str">
        <x:v>Has a certain probability of causing trampling damage</x:v>
      </x:c>
      <x:c r="I147" s="365" t="str">
        <x:v>Unlocked</x:v>
      </x:c>
      <x:c r="J147" s="365" t="str">
        <x:v>02:40.50</x:v>
      </x:c>
      <x:c r="K147" s="365" t="str">
        <x:v>Destroyed 12398 Guards and 23527 other troops; source frame 0161; Source frame: independent_metrics/frames1s/0161.png</x:v>
      </x:c>
      <x:c r="L147" s="365" t="str">
        <x:v>1000025188.mp4</x:v>
      </x:c>
      <x:c r="M147" s="387" t="n">
        <x:f>IF(P147="OK",INDEX('Badge Lookup'!$B$6:$B$55,MATCH(F147,'Badge Lookup'!$A$6:$A$55,0)),0)</x:f>
        <x:v>2000000</x:v>
      </x:c>
      <x:c r="N147" s="387" t="n">
        <x:f>IF(P147="OK",INDEX('Badge Lookup'!$C$6:$C$55,MATCH(F147,'Badge Lookup'!$A$6:$A$55,0)),0)</x:f>
        <x:v>10334300</x:v>
      </x:c>
      <x:c r="O147" s="388" t="n">
        <x:f>IF(P147="OK",INDEX('Badge Lookup'!$D$6:$D$55,MATCH(F147,'Badge Lookup'!$A$6:$A$55,0)),0)</x:f>
        <x:v>60</x:v>
      </x:c>
      <x:c r="P147" s="362" t="str">
        <x:f>IF(OR(G147="",F147=""),"Not scored",IF(AND(F147=INT(F147),F147&gt;=1,F147&lt;=50,COUNTIF('Badge Lookup'!$A$6:$A$55,F147)=1),"OK","Check lookup"))</x:f>
        <x:v>OK</x:v>
      </x:c>
      <x:c r="Q147" s="456" t="n">
        <x:f>IF(P147&lt;&gt;"OK","",IF(C147="Guards",-O147,O147))</x:f>
        <x:v>60</x:v>
      </x:c>
      <x:c r="R147" s="362" t="str">
        <x:f>IF(P147&lt;&gt;"OK","Not scored",IF(C147="Guards","Damage received reduction","Damage increase"))</x:f>
        <x:v>Damage increase</x:v>
      </x:c>
    </x:row>
    <x:row r="148" ht="32" customHeight="1">
      <x:c r="A148" s="365" t="str">
        <x:v>K91</x:v>
      </x:c>
      <x:c r="B148" s="365" t="str">
        <x:v>Skrapz</x:v>
      </x:c>
      <x:c r="C148" s="365" t="str">
        <x:v>Archers</x:v>
      </x:c>
      <x:c r="D148" s="365" t="str">
        <x:v>Elite bowmen</x:v>
      </x:c>
      <x:c r="E148" s="365" t="str">
        <x:v>Archer</x:v>
      </x:c>
      <x:c r="F148" s="365" t="n">
        <x:v>45</x:v>
      </x:c>
      <x:c r="G148" s="365" t="str">
        <x:v>Frost Arrow</x:v>
      </x:c>
      <x:c r="H148" s="365" t="str">
        <x:v>Has a higher probability of activating ice damage</x:v>
      </x:c>
      <x:c r="I148" s="365" t="str">
        <x:v>Unlocked</x:v>
      </x:c>
      <x:c r="J148" s="365" t="str">
        <x:v>02:41.50</x:v>
      </x:c>
      <x:c r="K148" s="365" t="str">
        <x:v>Destroyed 14804 Guards and 24075 other troops; source frame 0162; Source frame: independent_metrics/frames1s/0162.png</x:v>
      </x:c>
      <x:c r="L148" s="365" t="str">
        <x:v>1000025188.mp4</x:v>
      </x:c>
      <x:c r="M148" s="387" t="n">
        <x:f>IF(P148="OK",INDEX('Badge Lookup'!$B$6:$B$55,MATCH(F148,'Badge Lookup'!$A$6:$A$55,0)),0)</x:f>
        <x:v>560000</x:v>
      </x:c>
      <x:c r="N148" s="387" t="n">
        <x:f>IF(P148="OK",INDEX('Badge Lookup'!$C$6:$C$55,MATCH(F148,'Badge Lookup'!$A$6:$A$55,0)),0)</x:f>
        <x:v>4284300</x:v>
      </x:c>
      <x:c r="O148" s="388" t="n">
        <x:f>IF(P148="OK",INDEX('Badge Lookup'!$D$6:$D$55,MATCH(F148,'Badge Lookup'!$A$6:$A$55,0)),0)</x:f>
        <x:v>41.98</x:v>
      </x:c>
      <x:c r="P148" s="362" t="str">
        <x:f>IF(OR(G148="",F148=""),"Not scored",IF(AND(F148=INT(F148),F148&gt;=1,F148&lt;=50,COUNTIF('Badge Lookup'!$A$6:$A$55,F148)=1),"OK","Check lookup"))</x:f>
        <x:v>OK</x:v>
      </x:c>
      <x:c r="Q148" s="456" t="n">
        <x:f>IF(P148&lt;&gt;"OK","",IF(C148="Guards",-O148,O148))</x:f>
        <x:v>41.98</x:v>
      </x:c>
      <x:c r="R148" s="362" t="str">
        <x:f>IF(P148&lt;&gt;"OK","Not scored",IF(C148="Guards","Damage received reduction","Damage increase"))</x:f>
        <x:v>Damage increase</x:v>
      </x:c>
    </x:row>
    <x:row r="149" ht="32" customHeight="1">
      <x:c r="A149" s="365" t="str">
        <x:v>K91</x:v>
      </x:c>
      <x:c r="B149" s="365" t="str">
        <x:v>Skrapz</x:v>
      </x:c>
      <x:c r="C149" s="365" t="str">
        <x:v>Siege</x:v>
      </x:c>
      <x:c r="D149" s="365" t="str">
        <x:v>Manglers</x:v>
      </x:c>
      <x:c r="E149" s="365" t="str">
        <x:v>Siege</x:v>
      </x:c>
      <x:c r="F149" s="365" t="n">
        <x:v>45</x:v>
      </x:c>
      <x:c r="G149" s="365" t="str">
        <x:v>Highly toxic</x:v>
      </x:c>
      <x:c r="H149" s="365" t="str">
        <x:v>Inflict continuous toxic damage</x:v>
      </x:c>
      <x:c r="I149" s="365" t="str">
        <x:v>Unlocked</x:v>
      </x:c>
      <x:c r="J149" s="365" t="str">
        <x:v>02:42.50</x:v>
      </x:c>
      <x:c r="K149" s="365" t="str">
        <x:v>Destroyed 6795 Guards and 15938 other troops; source frame 0163; Source frame: independent_metrics/frames1s/0163.png</x:v>
      </x:c>
      <x:c r="L149" s="365" t="str">
        <x:v>1000025188.mp4</x:v>
      </x:c>
      <x:c r="M149" s="387" t="n">
        <x:f>IF(P149="OK",INDEX('Badge Lookup'!$B$6:$B$55,MATCH(F149,'Badge Lookup'!$A$6:$A$55,0)),0)</x:f>
        <x:v>560000</x:v>
      </x:c>
      <x:c r="N149" s="387" t="n">
        <x:f>IF(P149="OK",INDEX('Badge Lookup'!$C$6:$C$55,MATCH(F149,'Badge Lookup'!$A$6:$A$55,0)),0)</x:f>
        <x:v>4284300</x:v>
      </x:c>
      <x:c r="O149" s="388" t="n">
        <x:f>IF(P149="OK",INDEX('Badge Lookup'!$D$6:$D$55,MATCH(F149,'Badge Lookup'!$A$6:$A$55,0)),0)</x:f>
        <x:v>41.98</x:v>
      </x:c>
      <x:c r="P149" s="362" t="str">
        <x:f>IF(OR(G149="",F149=""),"Not scored",IF(AND(F149=INT(F149),F149&gt;=1,F149&lt;=50,COUNTIF('Badge Lookup'!$A$6:$A$55,F149)=1),"OK","Check lookup"))</x:f>
        <x:v>OK</x:v>
      </x:c>
      <x:c r="Q149" s="456" t="n">
        <x:f>IF(P149&lt;&gt;"OK","",IF(C149="Guards",-O149,O149))</x:f>
        <x:v>41.98</x:v>
      </x:c>
      <x:c r="R149" s="362" t="str">
        <x:f>IF(P149&lt;&gt;"OK","Not scored",IF(C149="Guards","Damage received reduction","Damage increase"))</x:f>
        <x:v>Damage increase</x:v>
      </x:c>
    </x:row>
    <x:row r="150" ht="32" customHeight="1">
      <x:c r="A150" s="365" t="str">
        <x:v>K91</x:v>
      </x:c>
      <x:c r="B150" s="365" t="str">
        <x:v>Skrapz</x:v>
      </x:c>
      <x:c r="C150" s="365" t="str">
        <x:v>Cavalry</x:v>
      </x:c>
      <x:c r="D150" s="365" t="str">
        <x:v>Storm cavalry</x:v>
      </x:c>
      <x:c r="E150" s="365" t="str">
        <x:v>Horse archer</x:v>
      </x:c>
      <x:c r="F150" s="365" t="n">
        <x:v>43</x:v>
      </x:c>
      <x:c r="G150" s="365" t="str">
        <x:v>Mounted Archery</x:v>
      </x:c>
      <x:c r="H150" s="365" t="str">
        <x:v>Has a certain probability of causing fly-shooting damage</x:v>
      </x:c>
      <x:c r="I150" s="365" t="str">
        <x:v>Unlocked</x:v>
      </x:c>
      <x:c r="J150" s="365" t="str">
        <x:v>02:43.50</x:v>
      </x:c>
      <x:c r="K150" s="365" t="str">
        <x:v>Destroyed 12824 Guards and 24684 other troops; source frame 0164; Source frame: independent_metrics/frames1s/0164.png</x:v>
      </x:c>
      <x:c r="L150" s="365" t="str">
        <x:v>1000025188.mp4</x:v>
      </x:c>
      <x:c r="M150" s="387" t="n">
        <x:f>IF(P150="OK",INDEX('Badge Lookup'!$B$6:$B$55,MATCH(F150,'Badge Lookup'!$A$6:$A$55,0)),0)</x:f>
        <x:v>400000</x:v>
      </x:c>
      <x:c r="N150" s="387" t="n">
        <x:f>IF(P150="OK",INDEX('Badge Lookup'!$C$6:$C$55,MATCH(F150,'Badge Lookup'!$A$6:$A$55,0)),0)</x:f>
        <x:v>3244300</x:v>
      </x:c>
      <x:c r="O150" s="388" t="n">
        <x:f>IF(P150="OK",INDEX('Badge Lookup'!$D$6:$D$55,MATCH(F150,'Badge Lookup'!$A$6:$A$55,0)),0)</x:f>
        <x:v>35.98</x:v>
      </x:c>
      <x:c r="P150" s="362" t="str">
        <x:f>IF(OR(G150="",F150=""),"Not scored",IF(AND(F150=INT(F150),F150&gt;=1,F150&lt;=50,COUNTIF('Badge Lookup'!$A$6:$A$55,F150)=1),"OK","Check lookup"))</x:f>
        <x:v>OK</x:v>
      </x:c>
      <x:c r="Q150" s="456" t="n">
        <x:f>IF(P150&lt;&gt;"OK","",IF(C150="Guards",-O150,O150))</x:f>
        <x:v>35.98</x:v>
      </x:c>
      <x:c r="R150" s="362" t="str">
        <x:f>IF(P150&lt;&gt;"OK","Not scored",IF(C150="Guards","Damage received reduction","Damage increase"))</x:f>
        <x:v>Damage increase</x:v>
      </x:c>
    </x:row>
    <x:row r="151" ht="32" customHeight="1">
      <x:c r="A151" s="365" t="str">
        <x:v>K91</x:v>
      </x:c>
      <x:c r="B151" s="365" t="str">
        <x:v>JustBlaze</x:v>
      </x:c>
      <x:c r="C151" s="365" t="str">
        <x:v>Guards</x:v>
      </x:c>
      <x:c r="D151" s="365" t="str">
        <x:v>Destroyers</x:v>
      </x:c>
      <x:c r="E151" s="365" t="str">
        <x:v>Guard</x:v>
      </x:c>
      <x:c r="F151" s="365" t="n">
        <x:v>27</x:v>
      </x:c>
      <x:c r="G151" s="365" t="str">
        <x:v>Parry</x:v>
      </x:c>
      <x:c r="H151" s="365" t="str">
        <x:v>Provides a parry effect and a certain probability to increase damage</x:v>
      </x:c>
      <x:c r="I151" s="365" t="str">
        <x:v>Unlocked</x:v>
      </x:c>
      <x:c r="J151" s="365" t="str">
        <x:v>02:51.50</x:v>
      </x:c>
      <x:c r="K151" s="365" t="str">
        <x:v>Destroyed 557 Guards and 618 other troops; source frame 0172; Source frame: independent_metrics/frames1s/0172.png</x:v>
      </x:c>
      <x:c r="L151" s="365" t="str">
        <x:v>1000025188.mp4</x:v>
      </x:c>
      <x:c r="M151" s="387" t="n">
        <x:f>IF(P151="OK",INDEX('Badge Lookup'!$B$6:$B$55,MATCH(F151,'Badge Lookup'!$A$6:$A$55,0)),0)</x:f>
        <x:v>65000</x:v>
      </x:c>
      <x:c r="N151" s="387" t="n">
        <x:f>IF(P151="OK",INDEX('Badge Lookup'!$C$6:$C$55,MATCH(F151,'Badge Lookup'!$A$6:$A$55,0)),0)</x:f>
        <x:v>549300</x:v>
      </x:c>
      <x:c r="O151" s="388" t="n">
        <x:f>IF(P151="OK",INDEX('Badge Lookup'!$D$6:$D$55,MATCH(F151,'Badge Lookup'!$A$6:$A$55,0)),0)</x:f>
        <x:v>7.51</x:v>
      </x:c>
      <x:c r="P151" s="362" t="str">
        <x:f>IF(OR(G151="",F151=""),"Not scored",IF(AND(F151=INT(F151),F151&gt;=1,F151&lt;=50,COUNTIF('Badge Lookup'!$A$6:$A$55,F151)=1),"OK","Check lookup"))</x:f>
        <x:v>OK</x:v>
      </x:c>
      <x:c r="Q151" s="456" t="n">
        <x:f>IF(P151&lt;&gt;"OK","",IF(C151="Guards",-O151,O151))</x:f>
        <x:v>-7.51</x:v>
      </x:c>
      <x:c r="R151" s="362" t="str">
        <x:f>IF(P151&lt;&gt;"OK","Not scored",IF(C151="Guards","Damage received reduction","Damage increase"))</x:f>
        <x:v>Damage received reduction</x:v>
      </x:c>
    </x:row>
    <x:row r="152" ht="32" customHeight="1">
      <x:c r="A152" s="365" t="str">
        <x:v>K91</x:v>
      </x:c>
      <x:c r="B152" s="365" t="str">
        <x:v>JustBlaze</x:v>
      </x:c>
      <x:c r="C152" s="365" t="str">
        <x:v>Cavalry</x:v>
      </x:c>
      <x:c r="D152" s="365" t="str">
        <x:v>Eternal knights</x:v>
      </x:c>
      <x:c r="E152" s="365" t="str">
        <x:v>Heavy Cavalry</x:v>
      </x:c>
      <x:c r="F152" s="365" t="n">
        <x:v>50</x:v>
      </x:c>
      <x:c r="G152" s="365" t="str">
        <x:v>Thunder trample</x:v>
      </x:c>
      <x:c r="H152" s="365" t="str">
        <x:v>Has a certain probability of causing trampling damage</x:v>
      </x:c>
      <x:c r="I152" s="365" t="str">
        <x:v>Unlocked</x:v>
      </x:c>
      <x:c r="J152" s="365" t="str">
        <x:v>02:52.50</x:v>
      </x:c>
      <x:c r="K152" s="365" t="str">
        <x:v>Destroyed 8995 Guards and 15109 other troops; source frame 0173; Source frame: independent_metrics/frames1s/0173.png</x:v>
      </x:c>
      <x:c r="L152" s="365" t="str">
        <x:v>1000025188.mp4</x:v>
      </x:c>
      <x:c r="M152" s="387" t="n">
        <x:f>IF(P152="OK",INDEX('Badge Lookup'!$B$6:$B$55,MATCH(F152,'Badge Lookup'!$A$6:$A$55,0)),0)</x:f>
        <x:v>2000000</x:v>
      </x:c>
      <x:c r="N152" s="387" t="n">
        <x:f>IF(P152="OK",INDEX('Badge Lookup'!$C$6:$C$55,MATCH(F152,'Badge Lookup'!$A$6:$A$55,0)),0)</x:f>
        <x:v>10334300</x:v>
      </x:c>
      <x:c r="O152" s="388" t="n">
        <x:f>IF(P152="OK",INDEX('Badge Lookup'!$D$6:$D$55,MATCH(F152,'Badge Lookup'!$A$6:$A$55,0)),0)</x:f>
        <x:v>60</x:v>
      </x:c>
      <x:c r="P152" s="362" t="str">
        <x:f>IF(OR(G152="",F152=""),"Not scored",IF(AND(F152=INT(F152),F152&gt;=1,F152&lt;=50,COUNTIF('Badge Lookup'!$A$6:$A$55,F152)=1),"OK","Check lookup"))</x:f>
        <x:v>OK</x:v>
      </x:c>
      <x:c r="Q152" s="456" t="n">
        <x:f>IF(P152&lt;&gt;"OK","",IF(C152="Guards",-O152,O152))</x:f>
        <x:v>60</x:v>
      </x:c>
      <x:c r="R152" s="362" t="str">
        <x:f>IF(P152&lt;&gt;"OK","Not scored",IF(C152="Guards","Damage received reduction","Damage increase"))</x:f>
        <x:v>Damage increase</x:v>
      </x:c>
    </x:row>
    <x:row r="153" ht="32" customHeight="1">
      <x:c r="A153" s="365" t="str">
        <x:v>K91</x:v>
      </x:c>
      <x:c r="B153" s="365" t="str">
        <x:v>JustBlaze</x:v>
      </x:c>
      <x:c r="C153" s="365" t="str">
        <x:v>Cavalry</x:v>
      </x:c>
      <x:c r="D153" s="365" t="str">
        <x:v>Storm cavalry</x:v>
      </x:c>
      <x:c r="E153" s="365" t="str">
        <x:v>Horse archer</x:v>
      </x:c>
      <x:c r="F153" s="365" t="n">
        <x:v>47</x:v>
      </x:c>
      <x:c r="G153" s="365" t="str">
        <x:v>Mounted Archery</x:v>
      </x:c>
      <x:c r="H153" s="365" t="str">
        <x:v>Has a certain probability of causing fly-shooting damage</x:v>
      </x:c>
      <x:c r="I153" s="365" t="str">
        <x:v>Unlocked</x:v>
      </x:c>
      <x:c r="J153" s="365" t="str">
        <x:v>02:53.50</x:v>
      </x:c>
      <x:c r="K153" s="365" t="str">
        <x:v>Destroyed 11545 Guards and 21643 other troops; source frame 0174; Source frame: independent_metrics/frames1s/0174.png</x:v>
      </x:c>
      <x:c r="L153" s="365" t="str">
        <x:v>1000025188.mp4</x:v>
      </x:c>
      <x:c r="M153" s="387" t="n">
        <x:f>IF(P153="OK",INDEX('Badge Lookup'!$B$6:$B$55,MATCH(F153,'Badge Lookup'!$A$6:$A$55,0)),0)</x:f>
        <x:v>880000</x:v>
      </x:c>
      <x:c r="N153" s="387" t="n">
        <x:f>IF(P153="OK",INDEX('Badge Lookup'!$C$6:$C$55,MATCH(F153,'Badge Lookup'!$A$6:$A$55,0)),0)</x:f>
        <x:v>5884300</x:v>
      </x:c>
      <x:c r="O153" s="388" t="n">
        <x:f>IF(P153="OK",INDEX('Badge Lookup'!$D$6:$D$55,MATCH(F153,'Badge Lookup'!$A$6:$A$55,0)),0)</x:f>
        <x:v>48.38</x:v>
      </x:c>
      <x:c r="P153" s="362" t="str">
        <x:f>IF(OR(G153="",F153=""),"Not scored",IF(AND(F153=INT(F153),F153&gt;=1,F153&lt;=50,COUNTIF('Badge Lookup'!$A$6:$A$55,F153)=1),"OK","Check lookup"))</x:f>
        <x:v>OK</x:v>
      </x:c>
      <x:c r="Q153" s="456" t="n">
        <x:f>IF(P153&lt;&gt;"OK","",IF(C153="Guards",-O153,O153))</x:f>
        <x:v>48.38</x:v>
      </x:c>
      <x:c r="R153" s="362" t="str">
        <x:f>IF(P153&lt;&gt;"OK","Not scored",IF(C153="Guards","Damage received reduction","Damage increase"))</x:f>
        <x:v>Damage increase</x:v>
      </x:c>
    </x:row>
    <x:row r="154" ht="32" customHeight="1">
      <x:c r="A154" s="365" t="str">
        <x:v>K91</x:v>
      </x:c>
      <x:c r="B154" s="365" t="str">
        <x:v>KaladinTheHerald</x:v>
      </x:c>
      <x:c r="C154" s="365" t="str">
        <x:v>Guards</x:v>
      </x:c>
      <x:c r="D154" s="365" t="str">
        <x:v>Destroyers</x:v>
      </x:c>
      <x:c r="E154" s="365" t="str">
        <x:v>Guard</x:v>
      </x:c>
      <x:c r="F154" s="365" t="n">
        <x:v>36</x:v>
      </x:c>
      <x:c r="G154" s="365" t="str">
        <x:v>Parry</x:v>
      </x:c>
      <x:c r="H154" s="365" t="str">
        <x:v>Provides a parry effect and a certain probability to increase damage</x:v>
      </x:c>
      <x:c r="I154" s="365" t="str">
        <x:v>Unlocked</x:v>
      </x:c>
      <x:c r="J154" s="365" t="str">
        <x:v>02:59.80</x:v>
      </x:c>
      <x:c r="K154" s="365" t="str">
        <x:v>Destroyed 593 Guards and 512 other troops; independently checked at 5 fps; Source frame: independent_metrics/spec_p17_5fps/010.png</x:v>
      </x:c>
      <x:c r="L154" s="365" t="str">
        <x:v>1000025188.mp4</x:v>
      </x:c>
      <x:c r="M154" s="387" t="n">
        <x:f>IF(P154="OK",INDEX('Badge Lookup'!$B$6:$B$55,MATCH(F154,'Badge Lookup'!$A$6:$A$55,0)),0)</x:f>
        <x:v>140000</x:v>
      </x:c>
      <x:c r="N154" s="387" t="n">
        <x:f>IF(P154="OK",INDEX('Badge Lookup'!$C$6:$C$55,MATCH(F154,'Badge Lookup'!$A$6:$A$55,0)),0)</x:f>
        <x:v>1464300</x:v>
      </x:c>
      <x:c r="O154" s="388" t="n">
        <x:f>IF(P154="OK",INDEX('Badge Lookup'!$D$6:$D$55,MATCH(F154,'Badge Lookup'!$A$6:$A$55,0)),0)</x:f>
        <x:v>19.17</x:v>
      </x:c>
      <x:c r="P154" s="362" t="str">
        <x:f>IF(OR(G154="",F154=""),"Not scored",IF(AND(F154=INT(F154),F154&gt;=1,F154&lt;=50,COUNTIF('Badge Lookup'!$A$6:$A$55,F154)=1),"OK","Check lookup"))</x:f>
        <x:v>OK</x:v>
      </x:c>
      <x:c r="Q154" s="456" t="n">
        <x:f>IF(P154&lt;&gt;"OK","",IF(C154="Guards",-O154,O154))</x:f>
        <x:v>-19.17</x:v>
      </x:c>
      <x:c r="R154" s="362" t="str">
        <x:f>IF(P154&lt;&gt;"OK","Not scored",IF(C154="Guards","Damage received reduction","Damage increase"))</x:f>
        <x:v>Damage received reduction</x:v>
      </x:c>
    </x:row>
    <x:row r="155" ht="32" customHeight="1">
      <x:c r="A155" s="365" t="str">
        <x:v>K91</x:v>
      </x:c>
      <x:c r="B155" s="365" t="str">
        <x:v>KaladinTheHerald</x:v>
      </x:c>
      <x:c r="C155" s="365" t="str">
        <x:v>Cavalry</x:v>
      </x:c>
      <x:c r="D155" s="365" t="str">
        <x:v>Eternal knights</x:v>
      </x:c>
      <x:c r="E155" s="365" t="str">
        <x:v>Heavy Cavalry</x:v>
      </x:c>
      <x:c r="F155" s="365" t="n">
        <x:v>50</x:v>
      </x:c>
      <x:c r="G155" s="365" t="str">
        <x:v>Thunder trample</x:v>
      </x:c>
      <x:c r="H155" s="365" t="str">
        <x:v>Has a certain probability of causing trampling damage</x:v>
      </x:c>
      <x:c r="I155" s="365" t="str">
        <x:v>Unlocked</x:v>
      </x:c>
      <x:c r="J155" s="365" t="str">
        <x:v>03:01.00</x:v>
      </x:c>
      <x:c r="K155" s="365" t="str">
        <x:v>Destroyed 10093 Guards and 14166 other troops; independently checked at 5 fps; Source frame: independent_metrics/spec_p17_5fps/016.png</x:v>
      </x:c>
      <x:c r="L155" s="365" t="str">
        <x:v>1000025188.mp4</x:v>
      </x:c>
      <x:c r="M155" s="387" t="n">
        <x:f>IF(P155="OK",INDEX('Badge Lookup'!$B$6:$B$55,MATCH(F155,'Badge Lookup'!$A$6:$A$55,0)),0)</x:f>
        <x:v>2000000</x:v>
      </x:c>
      <x:c r="N155" s="387" t="n">
        <x:f>IF(P155="OK",INDEX('Badge Lookup'!$C$6:$C$55,MATCH(F155,'Badge Lookup'!$A$6:$A$55,0)),0)</x:f>
        <x:v>10334300</x:v>
      </x:c>
      <x:c r="O155" s="388" t="n">
        <x:f>IF(P155="OK",INDEX('Badge Lookup'!$D$6:$D$55,MATCH(F155,'Badge Lookup'!$A$6:$A$55,0)),0)</x:f>
        <x:v>60</x:v>
      </x:c>
      <x:c r="P155" s="362" t="str">
        <x:f>IF(OR(G155="",F155=""),"Not scored",IF(AND(F155=INT(F155),F155&gt;=1,F155&lt;=50,COUNTIF('Badge Lookup'!$A$6:$A$55,F155)=1),"OK","Check lookup"))</x:f>
        <x:v>OK</x:v>
      </x:c>
      <x:c r="Q155" s="456" t="n">
        <x:f>IF(P155&lt;&gt;"OK","",IF(C155="Guards",-O155,O155))</x:f>
        <x:v>60</x:v>
      </x:c>
      <x:c r="R155" s="362" t="str">
        <x:f>IF(P155&lt;&gt;"OK","Not scored",IF(C155="Guards","Damage received reduction","Damage increase"))</x:f>
        <x:v>Damage increase</x:v>
      </x:c>
    </x:row>
    <x:row r="156" ht="32" customHeight="1">
      <x:c r="A156" s="365" t="str">
        <x:v>K91</x:v>
      </x:c>
      <x:c r="B156" s="365" t="str">
        <x:v>KaladinTheHerald</x:v>
      </x:c>
      <x:c r="C156" s="365" t="str">
        <x:v>Cavalry</x:v>
      </x:c>
      <x:c r="D156" s="365" t="str">
        <x:v>Storm cavalry</x:v>
      </x:c>
      <x:c r="E156" s="365" t="str">
        <x:v>Horse archer</x:v>
      </x:c>
      <x:c r="F156" s="365" t="n">
        <x:v>46</x:v>
      </x:c>
      <x:c r="G156" s="365" t="str">
        <x:v>Mounted Archery</x:v>
      </x:c>
      <x:c r="H156" s="365" t="str">
        <x:v>Has a certain probability of causing fly-shooting damage</x:v>
      </x:c>
      <x:c r="I156" s="365" t="str">
        <x:v>Unlocked</x:v>
      </x:c>
      <x:c r="J156" s="365" t="str">
        <x:v>03:02.00</x:v>
      </x:c>
      <x:c r="K156" s="365" t="str">
        <x:v>Destroyed 10437 Guards and 8417 other troops; independently checked at 5 fps; Source frame: independent_metrics/spec_p17_5fps/021.png</x:v>
      </x:c>
      <x:c r="L156" s="365" t="str">
        <x:v>1000025188.mp4</x:v>
      </x:c>
      <x:c r="M156" s="387" t="n">
        <x:f>IF(P156="OK",INDEX('Badge Lookup'!$B$6:$B$55,MATCH(F156,'Badge Lookup'!$A$6:$A$55,0)),0)</x:f>
        <x:v>720000</x:v>
      </x:c>
      <x:c r="N156" s="387" t="n">
        <x:f>IF(P156="OK",INDEX('Badge Lookup'!$C$6:$C$55,MATCH(F156,'Badge Lookup'!$A$6:$A$55,0)),0)</x:f>
        <x:v>5004300</x:v>
      </x:c>
      <x:c r="O156" s="388" t="n">
        <x:f>IF(P156="OK",INDEX('Badge Lookup'!$D$6:$D$55,MATCH(F156,'Badge Lookup'!$A$6:$A$55,0)),0)</x:f>
        <x:v>45.13</x:v>
      </x:c>
      <x:c r="P156" s="362" t="str">
        <x:f>IF(OR(G156="",F156=""),"Not scored",IF(AND(F156=INT(F156),F156&gt;=1,F156&lt;=50,COUNTIF('Badge Lookup'!$A$6:$A$55,F156)=1),"OK","Check lookup"))</x:f>
        <x:v>OK</x:v>
      </x:c>
      <x:c r="Q156" s="456" t="n">
        <x:f>IF(P156&lt;&gt;"OK","",IF(C156="Guards",-O156,O156))</x:f>
        <x:v>45.13</x:v>
      </x:c>
      <x:c r="R156" s="362" t="str">
        <x:f>IF(P156&lt;&gt;"OK","Not scored",IF(C156="Guards","Damage received reduction","Damage increase"))</x:f>
        <x:v>Damage increase</x:v>
      </x:c>
    </x:row>
    <x:row r="157" ht="32" customHeight="1">
      <x:c r="A157" s="365" t="str">
        <x:v>K91</x:v>
      </x:c>
      <x:c r="B157" s="365" t="str">
        <x:v>Crash</x:v>
      </x:c>
      <x:c r="C157" s="365" t="str">
        <x:v>Guards</x:v>
      </x:c>
      <x:c r="D157" s="365" t="str">
        <x:v>Destroyers</x:v>
      </x:c>
      <x:c r="E157" s="365" t="str">
        <x:v>Guard</x:v>
      </x:c>
      <x:c r="F157" s="365" t="n">
        <x:v>31</x:v>
      </x:c>
      <x:c r="G157" s="365" t="str">
        <x:v>Parry</x:v>
      </x:c>
      <x:c r="H157" s="365" t="str">
        <x:v>Provides a parry effect and a certain probability to increase damage</x:v>
      </x:c>
      <x:c r="I157" s="365" t="str">
        <x:v>Unlocked</x:v>
      </x:c>
      <x:c r="J157" s="365" t="str">
        <x:v>03:10.20</x:v>
      </x:c>
      <x:c r="K157" s="365" t="str">
        <x:v>Destroyed 580 Guards and 719 other troops; independently checked at 5 fps; Source frame: independent_metrics/spec_p18_5fps/002.png</x:v>
      </x:c>
      <x:c r="L157" s="365" t="str">
        <x:v>1000025188.mp4</x:v>
      </x:c>
      <x:c r="M157" s="387" t="n">
        <x:f>IF(P157="OK",INDEX('Badge Lookup'!$B$6:$B$55,MATCH(F157,'Badge Lookup'!$A$6:$A$55,0)),0)</x:f>
        <x:v>90000</x:v>
      </x:c>
      <x:c r="N157" s="387" t="n">
        <x:f>IF(P157="OK",INDEX('Badge Lookup'!$C$6:$C$55,MATCH(F157,'Badge Lookup'!$A$6:$A$55,0)),0)</x:f>
        <x:v>864300</x:v>
      </x:c>
      <x:c r="O157" s="388" t="n">
        <x:f>IF(P157="OK",INDEX('Badge Lookup'!$D$6:$D$55,MATCH(F157,'Badge Lookup'!$A$6:$A$55,0)),0)</x:f>
        <x:v>12.09</x:v>
      </x:c>
      <x:c r="P157" s="362" t="str">
        <x:f>IF(OR(G157="",F157=""),"Not scored",IF(AND(F157=INT(F157),F157&gt;=1,F157&lt;=50,COUNTIF('Badge Lookup'!$A$6:$A$55,F157)=1),"OK","Check lookup"))</x:f>
        <x:v>OK</x:v>
      </x:c>
      <x:c r="Q157" s="456" t="n">
        <x:f>IF(P157&lt;&gt;"OK","",IF(C157="Guards",-O157,O157))</x:f>
        <x:v>-12.09</x:v>
      </x:c>
      <x:c r="R157" s="362" t="str">
        <x:f>IF(P157&lt;&gt;"OK","Not scored",IF(C157="Guards","Damage received reduction","Damage increase"))</x:f>
        <x:v>Damage received reduction</x:v>
      </x:c>
    </x:row>
    <x:row r="158" ht="32" customHeight="1">
      <x:c r="A158" s="365" t="str">
        <x:v>K91</x:v>
      </x:c>
      <x:c r="B158" s="365" t="str">
        <x:v>Crash</x:v>
      </x:c>
      <x:c r="C158" s="365" t="str">
        <x:v>Cavalry</x:v>
      </x:c>
      <x:c r="D158" s="365" t="str">
        <x:v>Eternal knights</x:v>
      </x:c>
      <x:c r="E158" s="365" t="str">
        <x:v>Heavy Cavalry</x:v>
      </x:c>
      <x:c r="F158" s="365" t="n">
        <x:v>50</x:v>
      </x:c>
      <x:c r="G158" s="365" t="str">
        <x:v>Thunder trample</x:v>
      </x:c>
      <x:c r="H158" s="365" t="str">
        <x:v>Has a certain probability of causing trampling damage</x:v>
      </x:c>
      <x:c r="I158" s="365" t="str">
        <x:v>Unlocked</x:v>
      </x:c>
      <x:c r="J158" s="365" t="str">
        <x:v>03:11.40</x:v>
      </x:c>
      <x:c r="K158" s="365" t="str">
        <x:v>Destroyed 6374 Guards and 16378 other troops; independently checked at 5 fps; Source frame: independent_metrics/spec_p18_5fps/008.png</x:v>
      </x:c>
      <x:c r="L158" s="365" t="str">
        <x:v>1000025188.mp4</x:v>
      </x:c>
      <x:c r="M158" s="387" t="n">
        <x:f>IF(P158="OK",INDEX('Badge Lookup'!$B$6:$B$55,MATCH(F158,'Badge Lookup'!$A$6:$A$55,0)),0)</x:f>
        <x:v>2000000</x:v>
      </x:c>
      <x:c r="N158" s="387" t="n">
        <x:f>IF(P158="OK",INDEX('Badge Lookup'!$C$6:$C$55,MATCH(F158,'Badge Lookup'!$A$6:$A$55,0)),0)</x:f>
        <x:v>10334300</x:v>
      </x:c>
      <x:c r="O158" s="388" t="n">
        <x:f>IF(P158="OK",INDEX('Badge Lookup'!$D$6:$D$55,MATCH(F158,'Badge Lookup'!$A$6:$A$55,0)),0)</x:f>
        <x:v>60</x:v>
      </x:c>
      <x:c r="P158" s="362" t="str">
        <x:f>IF(OR(G158="",F158=""),"Not scored",IF(AND(F158=INT(F158),F158&gt;=1,F158&lt;=50,COUNTIF('Badge Lookup'!$A$6:$A$55,F158)=1),"OK","Check lookup"))</x:f>
        <x:v>OK</x:v>
      </x:c>
      <x:c r="Q158" s="456" t="n">
        <x:f>IF(P158&lt;&gt;"OK","",IF(C158="Guards",-O158,O158))</x:f>
        <x:v>60</x:v>
      </x:c>
      <x:c r="R158" s="362" t="str">
        <x:f>IF(P158&lt;&gt;"OK","Not scored",IF(C158="Guards","Damage received reduction","Damage increase"))</x:f>
        <x:v>Damage increase</x:v>
      </x:c>
    </x:row>
    <x:row r="159" ht="32" customHeight="1">
      <x:c r="A159" s="365" t="str">
        <x:v>K91</x:v>
      </x:c>
      <x:c r="B159" s="365" t="str">
        <x:v>Crash</x:v>
      </x:c>
      <x:c r="C159" s="365" t="str">
        <x:v>Cavalry</x:v>
      </x:c>
      <x:c r="D159" s="365" t="str">
        <x:v>Storm cavalry</x:v>
      </x:c>
      <x:c r="E159" s="365" t="str">
        <x:v>Horse archer</x:v>
      </x:c>
      <x:c r="F159" s="365" t="n">
        <x:v>37</x:v>
      </x:c>
      <x:c r="G159" s="365" t="str">
        <x:v>Mounted Archery</x:v>
      </x:c>
      <x:c r="H159" s="365" t="str">
        <x:v>Has a certain probability of causing fly-shooting damage</x:v>
      </x:c>
      <x:c r="I159" s="365" t="str">
        <x:v>Unlocked</x:v>
      </x:c>
      <x:c r="J159" s="365" t="str">
        <x:v>03:12.80</x:v>
      </x:c>
      <x:c r="K159" s="365" t="str">
        <x:v>Destroyed 5809 Guards and 7263 other troops; independently checked at 5 fps; Source frame: independent_metrics/spec_p18_5fps/015.png</x:v>
      </x:c>
      <x:c r="L159" s="365" t="str">
        <x:v>1000025188.mp4</x:v>
      </x:c>
      <x:c r="M159" s="387" t="n">
        <x:f>IF(P159="OK",INDEX('Badge Lookup'!$B$6:$B$55,MATCH(F159,'Badge Lookup'!$A$6:$A$55,0)),0)</x:f>
        <x:v>160000</x:v>
      </x:c>
      <x:c r="N159" s="387" t="n">
        <x:f>IF(P159="OK",INDEX('Badge Lookup'!$C$6:$C$55,MATCH(F159,'Badge Lookup'!$A$6:$A$55,0)),0)</x:f>
        <x:v>1624300</x:v>
      </x:c>
      <x:c r="O159" s="388" t="n">
        <x:f>IF(P159="OK",INDEX('Badge Lookup'!$D$6:$D$55,MATCH(F159,'Badge Lookup'!$A$6:$A$55,0)),0)</x:f>
        <x:v>20.73</x:v>
      </x:c>
      <x:c r="P159" s="362" t="str">
        <x:f>IF(OR(G159="",F159=""),"Not scored",IF(AND(F159=INT(F159),F159&gt;=1,F159&lt;=50,COUNTIF('Badge Lookup'!$A$6:$A$55,F159)=1),"OK","Check lookup"))</x:f>
        <x:v>OK</x:v>
      </x:c>
      <x:c r="Q159" s="456" t="n">
        <x:f>IF(P159&lt;&gt;"OK","",IF(C159="Guards",-O159,O159))</x:f>
        <x:v>20.73</x:v>
      </x:c>
      <x:c r="R159" s="362" t="str">
        <x:f>IF(P159&lt;&gt;"OK","Not scored",IF(C159="Guards","Damage received reduction","Damage increase"))</x:f>
        <x:v>Damage increase</x:v>
      </x:c>
    </x:row>
    <x:row r="160" ht="32" customHeight="1">
      <x:c r="A160" s="365" t="str">
        <x:v>K91</x:v>
      </x:c>
      <x:c r="B160" s="365" t="str">
        <x:v>WindRunner</x:v>
      </x:c>
      <x:c r="C160" s="365" t="str">
        <x:v>Guards</x:v>
      </x:c>
      <x:c r="D160" s="365" t="str">
        <x:v>Destroyers</x:v>
      </x:c>
      <x:c r="E160" s="365" t="str">
        <x:v>Guard</x:v>
      </x:c>
      <x:c r="F160" s="365" t="n">
        <x:v>35</x:v>
      </x:c>
      <x:c r="G160" s="365" t="str">
        <x:v>Parry</x:v>
      </x:c>
      <x:c r="H160" s="365" t="str">
        <x:v>Provides a parry effect and a certain probability to increase damage</x:v>
      </x:c>
      <x:c r="I160" s="365" t="str">
        <x:v>Unlocked</x:v>
      </x:c>
      <x:c r="J160" s="365" t="str">
        <x:v>03:19.50</x:v>
      </x:c>
      <x:c r="K160" s="365" t="str">
        <x:v>Destroyed 597 Guards and 518 other troops; source frame 0200; Source frame: independent_metrics/frames1s/0200.png</x:v>
      </x:c>
      <x:c r="L160" s="365" t="str">
        <x:v>1000025188.mp4</x:v>
      </x:c>
      <x:c r="M160" s="387" t="n">
        <x:f>IF(P160="OK",INDEX('Badge Lookup'!$B$6:$B$55,MATCH(F160,'Badge Lookup'!$A$6:$A$55,0)),0)</x:f>
        <x:v>130000</x:v>
      </x:c>
      <x:c r="N160" s="387" t="n">
        <x:f>IF(P160="OK",INDEX('Badge Lookup'!$C$6:$C$55,MATCH(F160,'Badge Lookup'!$A$6:$A$55,0)),0)</x:f>
        <x:v>1324300</x:v>
      </x:c>
      <x:c r="O160" s="388" t="n">
        <x:f>IF(P160="OK",INDEX('Badge Lookup'!$D$6:$D$55,MATCH(F160,'Badge Lookup'!$A$6:$A$55,0)),0)</x:f>
        <x:v>17.66</x:v>
      </x:c>
      <x:c r="P160" s="362" t="str">
        <x:f>IF(OR(G160="",F160=""),"Not scored",IF(AND(F160=INT(F160),F160&gt;=1,F160&lt;=50,COUNTIF('Badge Lookup'!$A$6:$A$55,F160)=1),"OK","Check lookup"))</x:f>
        <x:v>OK</x:v>
      </x:c>
      <x:c r="Q160" s="456" t="n">
        <x:f>IF(P160&lt;&gt;"OK","",IF(C160="Guards",-O160,O160))</x:f>
        <x:v>-17.66</x:v>
      </x:c>
      <x:c r="R160" s="362" t="str">
        <x:f>IF(P160&lt;&gt;"OK","Not scored",IF(C160="Guards","Damage received reduction","Damage increase"))</x:f>
        <x:v>Damage received reduction</x:v>
      </x:c>
    </x:row>
    <x:row r="161" ht="32" customHeight="1">
      <x:c r="A161" s="365" t="str">
        <x:v>K91</x:v>
      </x:c>
      <x:c r="B161" s="365" t="str">
        <x:v>WindRunner</x:v>
      </x:c>
      <x:c r="C161" s="365" t="str">
        <x:v>Archers</x:v>
      </x:c>
      <x:c r="D161" s="365" t="str">
        <x:v>Elite bowmen</x:v>
      </x:c>
      <x:c r="E161" s="365" t="str">
        <x:v>Archer</x:v>
      </x:c>
      <x:c r="F161" s="365" t="n">
        <x:v>50</x:v>
      </x:c>
      <x:c r="G161" s="365" t="str">
        <x:v>Frost Arrow</x:v>
      </x:c>
      <x:c r="H161" s="365" t="str">
        <x:v>Has a higher probability of activating ice damage</x:v>
      </x:c>
      <x:c r="I161" s="365" t="str">
        <x:v>Unlocked</x:v>
      </x:c>
      <x:c r="J161" s="365" t="str">
        <x:v>03:20.50</x:v>
      </x:c>
      <x:c r="K161" s="365" t="str">
        <x:v>Destroyed 23911 Guards and 13025 other troops; source frame 0201; Source frame: independent_metrics/frames1s/0201.png</x:v>
      </x:c>
      <x:c r="L161" s="365" t="str">
        <x:v>1000025188.mp4</x:v>
      </x:c>
      <x:c r="M161" s="387" t="n">
        <x:f>IF(P161="OK",INDEX('Badge Lookup'!$B$6:$B$55,MATCH(F161,'Badge Lookup'!$A$6:$A$55,0)),0)</x:f>
        <x:v>2000000</x:v>
      </x:c>
      <x:c r="N161" s="387" t="n">
        <x:f>IF(P161="OK",INDEX('Badge Lookup'!$C$6:$C$55,MATCH(F161,'Badge Lookup'!$A$6:$A$55,0)),0)</x:f>
        <x:v>10334300</x:v>
      </x:c>
      <x:c r="O161" s="388" t="n">
        <x:f>IF(P161="OK",INDEX('Badge Lookup'!$D$6:$D$55,MATCH(F161,'Badge Lookup'!$A$6:$A$55,0)),0)</x:f>
        <x:v>60</x:v>
      </x:c>
      <x:c r="P161" s="362" t="str">
        <x:f>IF(OR(G161="",F161=""),"Not scored",IF(AND(F161=INT(F161),F161&gt;=1,F161&lt;=50,COUNTIF('Badge Lookup'!$A$6:$A$55,F161)=1),"OK","Check lookup"))</x:f>
        <x:v>OK</x:v>
      </x:c>
      <x:c r="Q161" s="456" t="n">
        <x:f>IF(P161&lt;&gt;"OK","",IF(C161="Guards",-O161,O161))</x:f>
        <x:v>60</x:v>
      </x:c>
      <x:c r="R161" s="362" t="str">
        <x:f>IF(P161&lt;&gt;"OK","Not scored",IF(C161="Guards","Damage received reduction","Damage increase"))</x:f>
        <x:v>Damage increase</x:v>
      </x:c>
    </x:row>
    <x:row r="162" ht="32" customHeight="1">
      <x:c r="A162" s="365" t="str">
        <x:v>K91</x:v>
      </x:c>
      <x:c r="B162" s="365" t="str">
        <x:v>WindRunner</x:v>
      </x:c>
      <x:c r="C162" s="365" t="str">
        <x:v>Archers</x:v>
      </x:c>
      <x:c r="D162" s="365" t="str">
        <x:v>Elite</x:v>
      </x:c>
      <x:c r="E162" s="365"/>
      <x:c r="F162" s="365" t="n">
        <x:v>48</x:v>
      </x:c>
      <x:c r="G162" s="365" t="str">
        <x:v>Focus</x:v>
      </x:c>
      <x:c r="H162" s="365" t="str">
        <x:v>Has a higher probability of providing focus damage</x:v>
      </x:c>
      <x:c r="I162" s="365" t="str">
        <x:v>Unlocked</x:v>
      </x:c>
      <x:c r="J162" s="365" t="str">
        <x:v>03:21.50</x:v>
      </x:c>
      <x:c r="K162" s="365" t="str">
        <x:v>Tooltip header displays only Elite; body identifies Elite crossbowmen; destroyed 3407 Guards and 3064 other troops; source frame 0202; Source frame: independent_metrics/frames1s/0202.png</x:v>
      </x:c>
      <x:c r="L162" s="365" t="str">
        <x:v>1000025188.mp4</x:v>
      </x:c>
      <x:c r="M162" s="387" t="n">
        <x:f>IF(P162="OK",INDEX('Badge Lookup'!$B$6:$B$55,MATCH(F162,'Badge Lookup'!$A$6:$A$55,0)),0)</x:f>
        <x:v>1050000</x:v>
      </x:c>
      <x:c r="N162" s="387" t="n">
        <x:f>IF(P162="OK",INDEX('Badge Lookup'!$C$6:$C$55,MATCH(F162,'Badge Lookup'!$A$6:$A$55,0)),0)</x:f>
        <x:v>6934300</x:v>
      </x:c>
      <x:c r="O162" s="388" t="n">
        <x:f>IF(P162="OK",INDEX('Badge Lookup'!$D$6:$D$55,MATCH(F162,'Badge Lookup'!$A$6:$A$55,0)),0)</x:f>
        <x:v>51.74</x:v>
      </x:c>
      <x:c r="P162" s="362" t="str">
        <x:f>IF(OR(G162="",F162=""),"Not scored",IF(AND(F162=INT(F162),F162&gt;=1,F162&lt;=50,COUNTIF('Badge Lookup'!$A$6:$A$55,F162)=1),"OK","Check lookup"))</x:f>
        <x:v>OK</x:v>
      </x:c>
      <x:c r="Q162" s="456" t="n">
        <x:f>IF(P162&lt;&gt;"OK","",IF(C162="Guards",-O162,O162))</x:f>
        <x:v>51.74</x:v>
      </x:c>
      <x:c r="R162" s="362" t="str">
        <x:f>IF(P162&lt;&gt;"OK","Not scored",IF(C162="Guards","Damage received reduction","Damage increase"))</x:f>
        <x:v>Damage increase</x:v>
      </x:c>
    </x:row>
    <x:row r="163" ht="32" customHeight="1">
      <x:c r="A163" s="365" t="str">
        <x:v>K91</x:v>
      </x:c>
      <x:c r="B163" s="365" t="str">
        <x:v>•Scorpio•NM85</x:v>
      </x:c>
      <x:c r="C163" s="365" t="str">
        <x:v>Guards</x:v>
      </x:c>
      <x:c r="D163" s="365" t="str">
        <x:v>Destroyers</x:v>
      </x:c>
      <x:c r="E163" s="365" t="str">
        <x:v>Guard</x:v>
      </x:c>
      <x:c r="F163" s="365" t="n">
        <x:v>30</x:v>
      </x:c>
      <x:c r="G163" s="365" t="str">
        <x:v>Parry</x:v>
      </x:c>
      <x:c r="H163" s="365" t="str">
        <x:v>Provides a parry effect and a certain probability to increase damage</x:v>
      </x:c>
      <x:c r="I163" s="365" t="str">
        <x:v>Unlocked</x:v>
      </x:c>
      <x:c r="J163" s="365" t="str">
        <x:v>03:29.50</x:v>
      </x:c>
      <x:c r="K163" s="365" t="str">
        <x:v>Destroyed 593 Guards and 903 other troops; source frame 0210; Source frame: independent_metrics/frames1s/0210.png</x:v>
      </x:c>
      <x:c r="L163" s="365" t="str">
        <x:v>1000025188.mp4</x:v>
      </x:c>
      <x:c r="M163" s="387" t="n">
        <x:f>IF(P163="OK",INDEX('Badge Lookup'!$B$6:$B$55,MATCH(F163,'Badge Lookup'!$A$6:$A$55,0)),0)</x:f>
        <x:v>80000</x:v>
      </x:c>
      <x:c r="N163" s="387" t="n">
        <x:f>IF(P163="OK",INDEX('Badge Lookup'!$C$6:$C$55,MATCH(F163,'Badge Lookup'!$A$6:$A$55,0)),0)</x:f>
        <x:v>774300</x:v>
      </x:c>
      <x:c r="O163" s="388" t="n">
        <x:f>IF(P163="OK",INDEX('Badge Lookup'!$D$6:$D$55,MATCH(F163,'Badge Lookup'!$A$6:$A$55,0)),0)</x:f>
        <x:v>10.82</x:v>
      </x:c>
      <x:c r="P163" s="362" t="str">
        <x:f>IF(OR(G163="",F163=""),"Not scored",IF(AND(F163=INT(F163),F163&gt;=1,F163&lt;=50,COUNTIF('Badge Lookup'!$A$6:$A$55,F163)=1),"OK","Check lookup"))</x:f>
        <x:v>OK</x:v>
      </x:c>
      <x:c r="Q163" s="456" t="n">
        <x:f>IF(P163&lt;&gt;"OK","",IF(C163="Guards",-O163,O163))</x:f>
        <x:v>-10.82</x:v>
      </x:c>
      <x:c r="R163" s="362" t="str">
        <x:f>IF(P163&lt;&gt;"OK","Not scored",IF(C163="Guards","Damage received reduction","Damage increase"))</x:f>
        <x:v>Damage received reduction</x:v>
      </x:c>
    </x:row>
    <x:row r="164" ht="32" customHeight="1">
      <x:c r="A164" s="365" t="str">
        <x:v>K91</x:v>
      </x:c>
      <x:c r="B164" s="365" t="str">
        <x:v>•Scorpio•NM85</x:v>
      </x:c>
      <x:c r="C164" s="365" t="str">
        <x:v>Archers</x:v>
      </x:c>
      <x:c r="D164" s="365" t="str">
        <x:v>Elite bowmen</x:v>
      </x:c>
      <x:c r="E164" s="365" t="str">
        <x:v>Archer</x:v>
      </x:c>
      <x:c r="F164" s="365" t="n">
        <x:v>47</x:v>
      </x:c>
      <x:c r="G164" s="365" t="str">
        <x:v>Frost Arrow</x:v>
      </x:c>
      <x:c r="H164" s="365" t="str">
        <x:v>Has a higher probability of activating ice damage</x:v>
      </x:c>
      <x:c r="I164" s="365" t="str">
        <x:v>Unlocked</x:v>
      </x:c>
      <x:c r="J164" s="365" t="str">
        <x:v>03:30.50</x:v>
      </x:c>
      <x:c r="K164" s="365" t="str">
        <x:v>Destroyed 14666 Guards and 16136 other troops; source frame 0211; Source frame: independent_metrics/frames1s/0211.png</x:v>
      </x:c>
      <x:c r="L164" s="365" t="str">
        <x:v>1000025188.mp4</x:v>
      </x:c>
      <x:c r="M164" s="387" t="n">
        <x:f>IF(P164="OK",INDEX('Badge Lookup'!$B$6:$B$55,MATCH(F164,'Badge Lookup'!$A$6:$A$55,0)),0)</x:f>
        <x:v>880000</x:v>
      </x:c>
      <x:c r="N164" s="387" t="n">
        <x:f>IF(P164="OK",INDEX('Badge Lookup'!$C$6:$C$55,MATCH(F164,'Badge Lookup'!$A$6:$A$55,0)),0)</x:f>
        <x:v>5884300</x:v>
      </x:c>
      <x:c r="O164" s="388" t="n">
        <x:f>IF(P164="OK",INDEX('Badge Lookup'!$D$6:$D$55,MATCH(F164,'Badge Lookup'!$A$6:$A$55,0)),0)</x:f>
        <x:v>48.38</x:v>
      </x:c>
      <x:c r="P164" s="362" t="str">
        <x:f>IF(OR(G164="",F164=""),"Not scored",IF(AND(F164=INT(F164),F164&gt;=1,F164&lt;=50,COUNTIF('Badge Lookup'!$A$6:$A$55,F164)=1),"OK","Check lookup"))</x:f>
        <x:v>OK</x:v>
      </x:c>
      <x:c r="Q164" s="456" t="n">
        <x:f>IF(P164&lt;&gt;"OK","",IF(C164="Guards",-O164,O164))</x:f>
        <x:v>48.38</x:v>
      </x:c>
      <x:c r="R164" s="362" t="str">
        <x:f>IF(P164&lt;&gt;"OK","Not scored",IF(C164="Guards","Damage received reduction","Damage increase"))</x:f>
        <x:v>Damage increase</x:v>
      </x:c>
    </x:row>
    <x:row r="165" ht="32" customHeight="1">
      <x:c r="A165" s="365" t="str">
        <x:v>K91</x:v>
      </x:c>
      <x:c r="B165" s="365" t="str">
        <x:v>•Scorpio•NM85</x:v>
      </x:c>
      <x:c r="C165" s="365" t="str">
        <x:v>Archers</x:v>
      </x:c>
      <x:c r="D165" s="365" t="str">
        <x:v>Elite</x:v>
      </x:c>
      <x:c r="E165" s="365"/>
      <x:c r="F165" s="365" t="n">
        <x:v>29</x:v>
      </x:c>
      <x:c r="G165" s="365" t="str">
        <x:v>Focus</x:v>
      </x:c>
      <x:c r="H165" s="365" t="str">
        <x:v>Has a higher probability of providing focus damage</x:v>
      </x:c>
      <x:c r="I165" s="365" t="str">
        <x:v>Unlocked</x:v>
      </x:c>
      <x:c r="J165" s="365" t="str">
        <x:v>03:31.50</x:v>
      </x:c>
      <x:c r="K165" s="365" t="str">
        <x:v>Tooltip header displays only Elite; body identifies Elite crossbowmen; destroyed 556 Guards; no other-troops result line is displayed; source frame 0212; Source frame: independent_metrics/frames1s/0212.png</x:v>
      </x:c>
      <x:c r="L165" s="365" t="str">
        <x:v>1000025188.mp4</x:v>
      </x:c>
      <x:c r="M165" s="387" t="n">
        <x:f>IF(P165="OK",INDEX('Badge Lookup'!$B$6:$B$55,MATCH(F165,'Badge Lookup'!$A$6:$A$55,0)),0)</x:f>
        <x:v>75000</x:v>
      </x:c>
      <x:c r="N165" s="387" t="n">
        <x:f>IF(P165="OK",INDEX('Badge Lookup'!$C$6:$C$55,MATCH(F165,'Badge Lookup'!$A$6:$A$55,0)),0)</x:f>
        <x:v>694300</x:v>
      </x:c>
      <x:c r="O165" s="388" t="n">
        <x:f>IF(P165="OK",INDEX('Badge Lookup'!$D$6:$D$55,MATCH(F165,'Badge Lookup'!$A$6:$A$55,0)),0)</x:f>
        <x:v>9</x:v>
      </x:c>
      <x:c r="P165" s="362" t="str">
        <x:f>IF(OR(G165="",F165=""),"Not scored",IF(AND(F165=INT(F165),F165&gt;=1,F165&lt;=50,COUNTIF('Badge Lookup'!$A$6:$A$55,F165)=1),"OK","Check lookup"))</x:f>
        <x:v>OK</x:v>
      </x:c>
      <x:c r="Q165" s="456" t="n">
        <x:f>IF(P165&lt;&gt;"OK","",IF(C165="Guards",-O165,O165))</x:f>
        <x:v>9</x:v>
      </x:c>
      <x:c r="R165" s="362" t="str">
        <x:f>IF(P165&lt;&gt;"OK","Not scored",IF(C165="Guards","Damage received reduction","Damage increase"))</x:f>
        <x:v>Damage increase</x:v>
      </x:c>
    </x:row>
    <x:row r="166" ht="32" customHeight="1">
      <x:c r="A166" s="365" t="str">
        <x:v>K91</x:v>
      </x:c>
      <x:c r="B166" s="365" t="str">
        <x:v>•BigBoss•NM85</x:v>
      </x:c>
      <x:c r="C166" s="365" t="str">
        <x:v>Guards</x:v>
      </x:c>
      <x:c r="D166" s="365" t="str">
        <x:v>Destroyers</x:v>
      </x:c>
      <x:c r="E166" s="365" t="str">
        <x:v>Guard</x:v>
      </x:c>
      <x:c r="F166" s="365" t="n">
        <x:v>30</x:v>
      </x:c>
      <x:c r="G166" s="365" t="str">
        <x:v>Parry</x:v>
      </x:c>
      <x:c r="H166" s="365" t="str">
        <x:v>Provides a parry effect and a certain probability to increase damage</x:v>
      </x:c>
      <x:c r="I166" s="365" t="str">
        <x:v>Unlocked</x:v>
      </x:c>
      <x:c r="J166" s="365" t="str">
        <x:v>03:37.50</x:v>
      </x:c>
      <x:c r="K166" s="365" t="str">
        <x:v>Destroyed 543 Guards and 554 other troops; source frame 0218; Source frame: independent_metrics/frames1s/0218.png</x:v>
      </x:c>
      <x:c r="L166" s="365" t="str">
        <x:v>1000025188.mp4</x:v>
      </x:c>
      <x:c r="M166" s="387" t="n">
        <x:f>IF(P166="OK",INDEX('Badge Lookup'!$B$6:$B$55,MATCH(F166,'Badge Lookup'!$A$6:$A$55,0)),0)</x:f>
        <x:v>80000</x:v>
      </x:c>
      <x:c r="N166" s="387" t="n">
        <x:f>IF(P166="OK",INDEX('Badge Lookup'!$C$6:$C$55,MATCH(F166,'Badge Lookup'!$A$6:$A$55,0)),0)</x:f>
        <x:v>774300</x:v>
      </x:c>
      <x:c r="O166" s="388" t="n">
        <x:f>IF(P166="OK",INDEX('Badge Lookup'!$D$6:$D$55,MATCH(F166,'Badge Lookup'!$A$6:$A$55,0)),0)</x:f>
        <x:v>10.82</x:v>
      </x:c>
      <x:c r="P166" s="362" t="str">
        <x:f>IF(OR(G166="",F166=""),"Not scored",IF(AND(F166=INT(F166),F166&gt;=1,F166&lt;=50,COUNTIF('Badge Lookup'!$A$6:$A$55,F166)=1),"OK","Check lookup"))</x:f>
        <x:v>OK</x:v>
      </x:c>
      <x:c r="Q166" s="456" t="n">
        <x:f>IF(P166&lt;&gt;"OK","",IF(C166="Guards",-O166,O166))</x:f>
        <x:v>-10.82</x:v>
      </x:c>
      <x:c r="R166" s="362" t="str">
        <x:f>IF(P166&lt;&gt;"OK","Not scored",IF(C166="Guards","Damage received reduction","Damage increase"))</x:f>
        <x:v>Damage received reduction</x:v>
      </x:c>
    </x:row>
    <x:row r="167" ht="32" customHeight="1">
      <x:c r="A167" s="365" t="str">
        <x:v>K91</x:v>
      </x:c>
      <x:c r="B167" s="365" t="str">
        <x:v>•BigBoss•NM85</x:v>
      </x:c>
      <x:c r="C167" s="365" t="str">
        <x:v>Archers</x:v>
      </x:c>
      <x:c r="D167" s="365" t="str">
        <x:v>Elite bowmen</x:v>
      </x:c>
      <x:c r="E167" s="365" t="str">
        <x:v>Archer</x:v>
      </x:c>
      <x:c r="F167" s="365" t="n">
        <x:v>50</x:v>
      </x:c>
      <x:c r="G167" s="365" t="str">
        <x:v>Frost Arrow</x:v>
      </x:c>
      <x:c r="H167" s="365" t="str">
        <x:v>Has a higher probability of activating ice damage</x:v>
      </x:c>
      <x:c r="I167" s="365" t="str">
        <x:v>Unlocked</x:v>
      </x:c>
      <x:c r="J167" s="365" t="str">
        <x:v>03:38.50</x:v>
      </x:c>
      <x:c r="K167" s="365" t="str">
        <x:v>Destroyed 14382 Guards and 10024 other troops; source frame 0219; Source frame: independent_metrics/frames1s/0219.png</x:v>
      </x:c>
      <x:c r="L167" s="365" t="str">
        <x:v>1000025188.mp4</x:v>
      </x:c>
      <x:c r="M167" s="387" t="n">
        <x:f>IF(P167="OK",INDEX('Badge Lookup'!$B$6:$B$55,MATCH(F167,'Badge Lookup'!$A$6:$A$55,0)),0)</x:f>
        <x:v>2000000</x:v>
      </x:c>
      <x:c r="N167" s="387" t="n">
        <x:f>IF(P167="OK",INDEX('Badge Lookup'!$C$6:$C$55,MATCH(F167,'Badge Lookup'!$A$6:$A$55,0)),0)</x:f>
        <x:v>10334300</x:v>
      </x:c>
      <x:c r="O167" s="388" t="n">
        <x:f>IF(P167="OK",INDEX('Badge Lookup'!$D$6:$D$55,MATCH(F167,'Badge Lookup'!$A$6:$A$55,0)),0)</x:f>
        <x:v>60</x:v>
      </x:c>
      <x:c r="P167" s="362" t="str">
        <x:f>IF(OR(G167="",F167=""),"Not scored",IF(AND(F167=INT(F167),F167&gt;=1,F167&lt;=50,COUNTIF('Badge Lookup'!$A$6:$A$55,F167)=1),"OK","Check lookup"))</x:f>
        <x:v>OK</x:v>
      </x:c>
      <x:c r="Q167" s="456" t="n">
        <x:f>IF(P167&lt;&gt;"OK","",IF(C167="Guards",-O167,O167))</x:f>
        <x:v>60</x:v>
      </x:c>
      <x:c r="R167" s="362" t="str">
        <x:f>IF(P167&lt;&gt;"OK","Not scored",IF(C167="Guards","Damage received reduction","Damage increase"))</x:f>
        <x:v>Damage increase</x:v>
      </x:c>
    </x:row>
    <x:row r="168" ht="32" customHeight="1">
      <x:c r="A168" s="365" t="str">
        <x:v>K91</x:v>
      </x:c>
      <x:c r="B168" s="365" t="str">
        <x:v>•BigBoss•NM85</x:v>
      </x:c>
      <x:c r="C168" s="365" t="str">
        <x:v>Archers</x:v>
      </x:c>
      <x:c r="D168" s="365" t="str">
        <x:v>Elite</x:v>
      </x:c>
      <x:c r="E168" s="365"/>
      <x:c r="F168" s="365" t="n">
        <x:v>33</x:v>
      </x:c>
      <x:c r="G168" s="365" t="str">
        <x:v>Focus</x:v>
      </x:c>
      <x:c r="H168" s="365" t="str">
        <x:v>Has a higher probability of providing focus damage</x:v>
      </x:c>
      <x:c r="I168" s="365" t="str">
        <x:v>Unlocked</x:v>
      </x:c>
      <x:c r="J168" s="365" t="str">
        <x:v>03:39.50</x:v>
      </x:c>
      <x:c r="K168" s="365" t="str">
        <x:v>Tooltip header displays only Elite; body identifies Elite crossbowmen; destroyed 561 Guards; no other-troops result line is displayed; source frame 0220; Source frame: independent_metrics/frames1s/0220.png</x:v>
      </x:c>
      <x:c r="L168" s="365" t="str">
        <x:v>1000025188.mp4</x:v>
      </x:c>
      <x:c r="M168" s="387" t="n">
        <x:f>IF(P168="OK",INDEX('Badge Lookup'!$B$6:$B$55,MATCH(F168,'Badge Lookup'!$A$6:$A$55,0)),0)</x:f>
        <x:v>110000</x:v>
      </x:c>
      <x:c r="N168" s="387" t="n">
        <x:f>IF(P168="OK",INDEX('Badge Lookup'!$C$6:$C$55,MATCH(F168,'Badge Lookup'!$A$6:$A$55,0)),0)</x:f>
        <x:v>1074300</x:v>
      </x:c>
      <x:c r="O168" s="388" t="n">
        <x:f>IF(P168="OK",INDEX('Badge Lookup'!$D$6:$D$55,MATCH(F168,'Badge Lookup'!$A$6:$A$55,0)),0)</x:f>
        <x:v>14.78</x:v>
      </x:c>
      <x:c r="P168" s="362" t="str">
        <x:f>IF(OR(G168="",F168=""),"Not scored",IF(AND(F168=INT(F168),F168&gt;=1,F168&lt;=50,COUNTIF('Badge Lookup'!$A$6:$A$55,F168)=1),"OK","Check lookup"))</x:f>
        <x:v>OK</x:v>
      </x:c>
      <x:c r="Q168" s="456" t="n">
        <x:f>IF(P168&lt;&gt;"OK","",IF(C168="Guards",-O168,O168))</x:f>
        <x:v>14.78</x:v>
      </x:c>
      <x:c r="R168" s="362" t="str">
        <x:f>IF(P168&lt;&gt;"OK","Not scored",IF(C168="Guards","Damage received reduction","Damage increase"))</x:f>
        <x:v>Damage increase</x:v>
      </x:c>
    </x:row>
    <x:row r="169" ht="32" customHeight="1">
      <x:c r="A169" s="365" t="str">
        <x:v>K116</x:v>
      </x:c>
      <x:c r="B169" s="365" t="str">
        <x:v>Jesse</x:v>
      </x:c>
      <x:c r="C169" s="365" t="str">
        <x:v>Guards</x:v>
      </x:c>
      <x:c r="D169" s="365" t="str">
        <x:v>Destroyers</x:v>
      </x:c>
      <x:c r="E169" s="365" t="str">
        <x:v>Guard</x:v>
      </x:c>
      <x:c r="F169" s="365" t="n">
        <x:v>50</x:v>
      </x:c>
      <x:c r="G169" s="365" t="str">
        <x:v>Parry</x:v>
      </x:c>
      <x:c r="H169" s="365" t="str">
        <x:v>Provides a parry effect and a certain probability to increase damage</x:v>
      </x:c>
      <x:c r="I169" s="365" t="str">
        <x:v>Unlocked</x:v>
      </x:c>
      <x:c r="J169" s="365" t="str">
        <x:v>00:02.000</x:v>
      </x:c>
      <x:c r="K169" s="365" t="str">
        <x:v>Source frame: frames4/f_00009.jpg</x:v>
      </x:c>
      <x:c r="L169" s="365" t="str">
        <x:v>1000025189.mp4</x:v>
      </x:c>
      <x:c r="M169" s="387" t="n">
        <x:f>IF(P169="OK",INDEX('Badge Lookup'!$B$6:$B$55,MATCH(F169,'Badge Lookup'!$A$6:$A$55,0)),0)</x:f>
        <x:v>2000000</x:v>
      </x:c>
      <x:c r="N169" s="387" t="n">
        <x:f>IF(P169="OK",INDEX('Badge Lookup'!$C$6:$C$55,MATCH(F169,'Badge Lookup'!$A$6:$A$55,0)),0)</x:f>
        <x:v>10334300</x:v>
      </x:c>
      <x:c r="O169" s="388" t="n">
        <x:f>IF(P169="OK",INDEX('Badge Lookup'!$D$6:$D$55,MATCH(F169,'Badge Lookup'!$A$6:$A$55,0)),0)</x:f>
        <x:v>60</x:v>
      </x:c>
      <x:c r="P169" s="362" t="str">
        <x:f>IF(OR(G169="",F169=""),"Not scored",IF(AND(F169=INT(F169),F169&gt;=1,F169&lt;=50,COUNTIF('Badge Lookup'!$A$6:$A$55,F169)=1),"OK","Check lookup"))</x:f>
        <x:v>OK</x:v>
      </x:c>
      <x:c r="Q169" s="456" t="n">
        <x:f>IF(P169&lt;&gt;"OK","",IF(C169="Guards",-O169,O169))</x:f>
        <x:v>-60</x:v>
      </x:c>
      <x:c r="R169" s="362" t="str">
        <x:f>IF(P169&lt;&gt;"OK","Not scored",IF(C169="Guards","Damage received reduction","Damage increase"))</x:f>
        <x:v>Damage received reduction</x:v>
      </x:c>
    </x:row>
    <x:row r="170" ht="32" customHeight="1">
      <x:c r="A170" s="365" t="str">
        <x:v>K116</x:v>
      </x:c>
      <x:c r="B170" s="365" t="str">
        <x:v>Jesse</x:v>
      </x:c>
      <x:c r="C170" s="365" t="str">
        <x:v>Cavalry</x:v>
      </x:c>
      <x:c r="D170" s="365" t="str">
        <x:v>Eternal knights</x:v>
      </x:c>
      <x:c r="E170" s="365" t="str">
        <x:v>Heavy Cavalry</x:v>
      </x:c>
      <x:c r="F170" s="365" t="n">
        <x:v>50</x:v>
      </x:c>
      <x:c r="G170" s="365" t="str">
        <x:v>Thunder trample</x:v>
      </x:c>
      <x:c r="H170" s="365" t="str">
        <x:v>Has a certain probability of causing trampling damage</x:v>
      </x:c>
      <x:c r="I170" s="365" t="str">
        <x:v>Unlocked</x:v>
      </x:c>
      <x:c r="J170" s="365" t="str">
        <x:v>00:03.500</x:v>
      </x:c>
      <x:c r="K170" s="365" t="str">
        <x:v>Source frame: frames4/f_00015.jpg</x:v>
      </x:c>
      <x:c r="L170" s="365" t="str">
        <x:v>1000025189.mp4</x:v>
      </x:c>
      <x:c r="M170" s="387" t="n">
        <x:f>IF(P170="OK",INDEX('Badge Lookup'!$B$6:$B$55,MATCH(F170,'Badge Lookup'!$A$6:$A$55,0)),0)</x:f>
        <x:v>2000000</x:v>
      </x:c>
      <x:c r="N170" s="387" t="n">
        <x:f>IF(P170="OK",INDEX('Badge Lookup'!$C$6:$C$55,MATCH(F170,'Badge Lookup'!$A$6:$A$55,0)),0)</x:f>
        <x:v>10334300</x:v>
      </x:c>
      <x:c r="O170" s="388" t="n">
        <x:f>IF(P170="OK",INDEX('Badge Lookup'!$D$6:$D$55,MATCH(F170,'Badge Lookup'!$A$6:$A$55,0)),0)</x:f>
        <x:v>60</x:v>
      </x:c>
      <x:c r="P170" s="362" t="str">
        <x:f>IF(OR(G170="",F170=""),"Not scored",IF(AND(F170=INT(F170),F170&gt;=1,F170&lt;=50,COUNTIF('Badge Lookup'!$A$6:$A$55,F170)=1),"OK","Check lookup"))</x:f>
        <x:v>OK</x:v>
      </x:c>
      <x:c r="Q170" s="456" t="n">
        <x:f>IF(P170&lt;&gt;"OK","",IF(C170="Guards",-O170,O170))</x:f>
        <x:v>60</x:v>
      </x:c>
      <x:c r="R170" s="362" t="str">
        <x:f>IF(P170&lt;&gt;"OK","Not scored",IF(C170="Guards","Damage received reduction","Damage increase"))</x:f>
        <x:v>Damage increase</x:v>
      </x:c>
    </x:row>
    <x:row r="171" ht="32" customHeight="1">
      <x:c r="A171" s="365" t="str">
        <x:v>K116</x:v>
      </x:c>
      <x:c r="B171" s="365" t="str">
        <x:v>Jesse</x:v>
      </x:c>
      <x:c r="C171" s="365" t="str">
        <x:v>Archers</x:v>
      </x:c>
      <x:c r="D171" s="365" t="str">
        <x:v>Elite bowmen</x:v>
      </x:c>
      <x:c r="E171" s="365" t="str">
        <x:v>Archer</x:v>
      </x:c>
      <x:c r="F171" s="365" t="n">
        <x:v>43</x:v>
      </x:c>
      <x:c r="G171" s="365" t="str">
        <x:v>Frost Arrow</x:v>
      </x:c>
      <x:c r="H171" s="365" t="str">
        <x:v>Has a higher probability of activating ice damage</x:v>
      </x:c>
      <x:c r="I171" s="365" t="str">
        <x:v>Unlocked</x:v>
      </x:c>
      <x:c r="J171" s="365" t="str">
        <x:v>00:04.750</x:v>
      </x:c>
      <x:c r="K171" s="365" t="str">
        <x:v>Source frame: frames4/f_00020.jpg</x:v>
      </x:c>
      <x:c r="L171" s="365" t="str">
        <x:v>1000025189.mp4</x:v>
      </x:c>
      <x:c r="M171" s="387" t="n">
        <x:f>IF(P171="OK",INDEX('Badge Lookup'!$B$6:$B$55,MATCH(F171,'Badge Lookup'!$A$6:$A$55,0)),0)</x:f>
        <x:v>400000</x:v>
      </x:c>
      <x:c r="N171" s="387" t="n">
        <x:f>IF(P171="OK",INDEX('Badge Lookup'!$C$6:$C$55,MATCH(F171,'Badge Lookup'!$A$6:$A$55,0)),0)</x:f>
        <x:v>3244300</x:v>
      </x:c>
      <x:c r="O171" s="388" t="n">
        <x:f>IF(P171="OK",INDEX('Badge Lookup'!$D$6:$D$55,MATCH(F171,'Badge Lookup'!$A$6:$A$55,0)),0)</x:f>
        <x:v>35.98</x:v>
      </x:c>
      <x:c r="P171" s="362" t="str">
        <x:f>IF(OR(G171="",F171=""),"Not scored",IF(AND(F171=INT(F171),F171&gt;=1,F171&lt;=50,COUNTIF('Badge Lookup'!$A$6:$A$55,F171)=1),"OK","Check lookup"))</x:f>
        <x:v>OK</x:v>
      </x:c>
      <x:c r="Q171" s="456" t="n">
        <x:f>IF(P171&lt;&gt;"OK","",IF(C171="Guards",-O171,O171))</x:f>
        <x:v>35.98</x:v>
      </x:c>
      <x:c r="R171" s="362" t="str">
        <x:f>IF(P171&lt;&gt;"OK","Not scored",IF(C171="Guards","Damage received reduction","Damage increase"))</x:f>
        <x:v>Damage increase</x:v>
      </x:c>
    </x:row>
    <x:row r="172" ht="32" customHeight="1">
      <x:c r="A172" s="365" t="str">
        <x:v>K116</x:v>
      </x:c>
      <x:c r="B172" s="365" t="str">
        <x:v>Jesse</x:v>
      </x:c>
      <x:c r="C172" s="365" t="str">
        <x:v>Siege</x:v>
      </x:c>
      <x:c r="D172" s="365" t="str">
        <x:v>Manglers</x:v>
      </x:c>
      <x:c r="E172" s="365" t="str">
        <x:v>Siege</x:v>
      </x:c>
      <x:c r="F172" s="365" t="n">
        <x:v>40</x:v>
      </x:c>
      <x:c r="G172" s="365" t="str">
        <x:v>Highly toxic</x:v>
      </x:c>
      <x:c r="H172" s="365" t="str">
        <x:v>Inflict continuous toxic damage</x:v>
      </x:c>
      <x:c r="I172" s="365" t="str">
        <x:v>Unlocked</x:v>
      </x:c>
      <x:c r="J172" s="365" t="str">
        <x:v>00:06.000</x:v>
      </x:c>
      <x:c r="K172" s="365" t="str">
        <x:v>Source frame: frames4/f_00025.jpg</x:v>
      </x:c>
      <x:c r="L172" s="365" t="str">
        <x:v>1000025189.mp4</x:v>
      </x:c>
      <x:c r="M172" s="387" t="n">
        <x:f>IF(P172="OK",INDEX('Badge Lookup'!$B$6:$B$55,MATCH(F172,'Badge Lookup'!$A$6:$A$55,0)),0)</x:f>
        <x:v>240000</x:v>
      </x:c>
      <x:c r="N172" s="387" t="n">
        <x:f>IF(P172="OK",INDEX('Badge Lookup'!$C$6:$C$55,MATCH(F172,'Badge Lookup'!$A$6:$A$55,0)),0)</x:f>
        <x:v>2244300</x:v>
      </x:c>
      <x:c r="O172" s="388" t="n">
        <x:f>IF(P172="OK",INDEX('Badge Lookup'!$D$6:$D$55,MATCH(F172,'Badge Lookup'!$A$6:$A$55,0)),0)</x:f>
        <x:v>27.74</x:v>
      </x:c>
      <x:c r="P172" s="362" t="str">
        <x:f>IF(OR(G172="",F172=""),"Not scored",IF(AND(F172=INT(F172),F172&gt;=1,F172&lt;=50,COUNTIF('Badge Lookup'!$A$6:$A$55,F172)=1),"OK","Check lookup"))</x:f>
        <x:v>OK</x:v>
      </x:c>
      <x:c r="Q172" s="456" t="n">
        <x:f>IF(P172&lt;&gt;"OK","",IF(C172="Guards",-O172,O172))</x:f>
        <x:v>27.74</x:v>
      </x:c>
      <x:c r="R172" s="362" t="str">
        <x:f>IF(P172&lt;&gt;"OK","Not scored",IF(C172="Guards","Damage received reduction","Damage increase"))</x:f>
        <x:v>Damage increase</x:v>
      </x:c>
    </x:row>
    <x:row r="173" ht="32" customHeight="1">
      <x:c r="A173" s="365" t="str">
        <x:v>K116</x:v>
      </x:c>
      <x:c r="B173" s="365" t="str">
        <x:v>Jesse</x:v>
      </x:c>
      <x:c r="C173" s="365" t="str">
        <x:v>Cavalry</x:v>
      </x:c>
      <x:c r="D173" s="365" t="str">
        <x:v>Storm cavalry</x:v>
      </x:c>
      <x:c r="E173" s="365" t="str">
        <x:v>Horse archer</x:v>
      </x:c>
      <x:c r="F173" s="365" t="n">
        <x:v>46</x:v>
      </x:c>
      <x:c r="G173" s="365" t="str">
        <x:v>Mounted Archery</x:v>
      </x:c>
      <x:c r="H173" s="365" t="str">
        <x:v>Has a certain probability of causing fly-shooting damage</x:v>
      </x:c>
      <x:c r="I173" s="365" t="str">
        <x:v>Unlocked</x:v>
      </x:c>
      <x:c r="J173" s="365" t="str">
        <x:v>00:07.250</x:v>
      </x:c>
      <x:c r="K173" s="365" t="str">
        <x:v>Source frame: frames4/f_00030.jpg</x:v>
      </x:c>
      <x:c r="L173" s="365" t="str">
        <x:v>1000025189.mp4</x:v>
      </x:c>
      <x:c r="M173" s="387" t="n">
        <x:f>IF(P173="OK",INDEX('Badge Lookup'!$B$6:$B$55,MATCH(F173,'Badge Lookup'!$A$6:$A$55,0)),0)</x:f>
        <x:v>720000</x:v>
      </x:c>
      <x:c r="N173" s="387" t="n">
        <x:f>IF(P173="OK",INDEX('Badge Lookup'!$C$6:$C$55,MATCH(F173,'Badge Lookup'!$A$6:$A$55,0)),0)</x:f>
        <x:v>5004300</x:v>
      </x:c>
      <x:c r="O173" s="388" t="n">
        <x:f>IF(P173="OK",INDEX('Badge Lookup'!$D$6:$D$55,MATCH(F173,'Badge Lookup'!$A$6:$A$55,0)),0)</x:f>
        <x:v>45.13</x:v>
      </x:c>
      <x:c r="P173" s="362" t="str">
        <x:f>IF(OR(G173="",F173=""),"Not scored",IF(AND(F173=INT(F173),F173&gt;=1,F173&lt;=50,COUNTIF('Badge Lookup'!$A$6:$A$55,F173)=1),"OK","Check lookup"))</x:f>
        <x:v>OK</x:v>
      </x:c>
      <x:c r="Q173" s="456" t="n">
        <x:f>IF(P173&lt;&gt;"OK","",IF(C173="Guards",-O173,O173))</x:f>
        <x:v>45.13</x:v>
      </x:c>
      <x:c r="R173" s="362" t="str">
        <x:f>IF(P173&lt;&gt;"OK","Not scored",IF(C173="Guards","Damage received reduction","Damage increase"))</x:f>
        <x:v>Damage increase</x:v>
      </x:c>
    </x:row>
    <x:row r="174" ht="32" customHeight="1">
      <x:c r="A174" s="365" t="str">
        <x:v>K116</x:v>
      </x:c>
      <x:c r="B174" s="365" t="str">
        <x:v>Jesse</x:v>
      </x:c>
      <x:c r="C174" s="365" t="str">
        <x:v>Siege</x:v>
      </x:c>
      <x:c r="D174" s="365" t="str">
        <x:v>Guardian siege</x:v>
      </x:c>
      <x:c r="E174" s="365" t="str">
        <x:v>Rams</x:v>
      </x:c>
      <x:c r="F174" s="365" t="n">
        <x:v>24</x:v>
      </x:c>
      <x:c r="G174" s="365" t="str">
        <x:v>Dragonhide</x:v>
      </x:c>
      <x:c r="H174" s="365" t="str">
        <x:v>Increase damage reduction and increase damage</x:v>
      </x:c>
      <x:c r="I174" s="365" t="str">
        <x:v>Unlocked</x:v>
      </x:c>
      <x:c r="J174" s="365" t="str">
        <x:v>00:08.750</x:v>
      </x:c>
      <x:c r="K174" s="365" t="str">
        <x:v>Source frame: frames4/f_00036.jpg</x:v>
      </x:c>
      <x:c r="L174" s="365" t="str">
        <x:v>1000025189.mp4</x:v>
      </x:c>
      <x:c r="M174" s="387" t="n">
        <x:f>IF(P174="OK",INDEX('Badge Lookup'!$B$6:$B$55,MATCH(F174,'Badge Lookup'!$A$6:$A$55,0)),0)</x:f>
        <x:v>50000</x:v>
      </x:c>
      <x:c r="N174" s="387" t="n">
        <x:f>IF(P174="OK",INDEX('Badge Lookup'!$C$6:$C$55,MATCH(F174,'Badge Lookup'!$A$6:$A$55,0)),0)</x:f>
        <x:v>369300</x:v>
      </x:c>
      <x:c r="O174" s="388" t="n">
        <x:f>IF(P174="OK",INDEX('Badge Lookup'!$D$6:$D$55,MATCH(F174,'Badge Lookup'!$A$6:$A$55,0)),0)</x:f>
        <x:v>5.44</x:v>
      </x:c>
      <x:c r="P174" s="362" t="str">
        <x:f>IF(OR(G174="",F174=""),"Not scored",IF(AND(F174=INT(F174),F174&gt;=1,F174&lt;=50,COUNTIF('Badge Lookup'!$A$6:$A$55,F174)=1),"OK","Check lookup"))</x:f>
        <x:v>OK</x:v>
      </x:c>
      <x:c r="Q174" s="456" t="n">
        <x:f>IF(P174&lt;&gt;"OK","",IF(C174="Guards",-O174,O174))</x:f>
        <x:v>5.44</x:v>
      </x:c>
      <x:c r="R174" s="362" t="str">
        <x:f>IF(P174&lt;&gt;"OK","Not scored",IF(C174="Guards","Damage received reduction","Damage increase"))</x:f>
        <x:v>Damage increase</x:v>
      </x:c>
    </x:row>
    <x:row r="175" ht="32" customHeight="1">
      <x:c r="A175" s="365" t="str">
        <x:v>K116</x:v>
      </x:c>
      <x:c r="B175" s="365" t="str">
        <x:v>逍遥大官人</x:v>
      </x:c>
      <x:c r="C175" s="365" t="str">
        <x:v>Guards</x:v>
      </x:c>
      <x:c r="D175" s="365" t="str">
        <x:v>Destroyers</x:v>
      </x:c>
      <x:c r="E175" s="365" t="str">
        <x:v>Guard</x:v>
      </x:c>
      <x:c r="F175" s="365" t="n">
        <x:v>45</x:v>
      </x:c>
      <x:c r="G175" s="365" t="str">
        <x:v>Parry</x:v>
      </x:c>
      <x:c r="H175" s="365" t="str">
        <x:v>Provides a parry effect and a certain probability to increase damage</x:v>
      </x:c>
      <x:c r="I175" s="365" t="str">
        <x:v>Unlocked</x:v>
      </x:c>
      <x:c r="J175" s="365" t="str">
        <x:v>00:16.750</x:v>
      </x:c>
      <x:c r="K175" s="365" t="str">
        <x:v>Source frame: frames4/f_00068.jpg</x:v>
      </x:c>
      <x:c r="L175" s="365" t="str">
        <x:v>1000025189.mp4</x:v>
      </x:c>
      <x:c r="M175" s="387" t="n">
        <x:f>IF(P175="OK",INDEX('Badge Lookup'!$B$6:$B$55,MATCH(F175,'Badge Lookup'!$A$6:$A$55,0)),0)</x:f>
        <x:v>560000</x:v>
      </x:c>
      <x:c r="N175" s="387" t="n">
        <x:f>IF(P175="OK",INDEX('Badge Lookup'!$C$6:$C$55,MATCH(F175,'Badge Lookup'!$A$6:$A$55,0)),0)</x:f>
        <x:v>4284300</x:v>
      </x:c>
      <x:c r="O175" s="388" t="n">
        <x:f>IF(P175="OK",INDEX('Badge Lookup'!$D$6:$D$55,MATCH(F175,'Badge Lookup'!$A$6:$A$55,0)),0)</x:f>
        <x:v>41.98</x:v>
      </x:c>
      <x:c r="P175" s="362" t="str">
        <x:f>IF(OR(G175="",F175=""),"Not scored",IF(AND(F175=INT(F175),F175&gt;=1,F175&lt;=50,COUNTIF('Badge Lookup'!$A$6:$A$55,F175)=1),"OK","Check lookup"))</x:f>
        <x:v>OK</x:v>
      </x:c>
      <x:c r="Q175" s="456" t="n">
        <x:f>IF(P175&lt;&gt;"OK","",IF(C175="Guards",-O175,O175))</x:f>
        <x:v>-41.98</x:v>
      </x:c>
      <x:c r="R175" s="362" t="str">
        <x:f>IF(P175&lt;&gt;"OK","Not scored",IF(C175="Guards","Damage received reduction","Damage increase"))</x:f>
        <x:v>Damage received reduction</x:v>
      </x:c>
    </x:row>
    <x:row r="176" ht="32" customHeight="1">
      <x:c r="A176" s="365" t="str">
        <x:v>K116</x:v>
      </x:c>
      <x:c r="B176" s="365" t="str">
        <x:v>逍遥大官人</x:v>
      </x:c>
      <x:c r="C176" s="365" t="str">
        <x:v>Cavalry</x:v>
      </x:c>
      <x:c r="D176" s="365" t="str">
        <x:v>Eternal knights</x:v>
      </x:c>
      <x:c r="E176" s="365" t="str">
        <x:v>Heavy Cavalry</x:v>
      </x:c>
      <x:c r="F176" s="365" t="n">
        <x:v>29</x:v>
      </x:c>
      <x:c r="G176" s="365" t="str">
        <x:v>Thunder trample</x:v>
      </x:c>
      <x:c r="H176" s="365" t="str">
        <x:v>Has a certain probability of causing trampling damage</x:v>
      </x:c>
      <x:c r="I176" s="365" t="str">
        <x:v>Unlocked</x:v>
      </x:c>
      <x:c r="J176" s="365" t="str">
        <x:v>00:18.250</x:v>
      </x:c>
      <x:c r="K176" s="365" t="str">
        <x:v>Source frame: frames4/f_00074.jpg</x:v>
      </x:c>
      <x:c r="L176" s="365" t="str">
        <x:v>1000025189.mp4</x:v>
      </x:c>
      <x:c r="M176" s="387" t="n">
        <x:f>IF(P176="OK",INDEX('Badge Lookup'!$B$6:$B$55,MATCH(F176,'Badge Lookup'!$A$6:$A$55,0)),0)</x:f>
        <x:v>75000</x:v>
      </x:c>
      <x:c r="N176" s="387" t="n">
        <x:f>IF(P176="OK",INDEX('Badge Lookup'!$C$6:$C$55,MATCH(F176,'Badge Lookup'!$A$6:$A$55,0)),0)</x:f>
        <x:v>694300</x:v>
      </x:c>
      <x:c r="O176" s="388" t="n">
        <x:f>IF(P176="OK",INDEX('Badge Lookup'!$D$6:$D$55,MATCH(F176,'Badge Lookup'!$A$6:$A$55,0)),0)</x:f>
        <x:v>9</x:v>
      </x:c>
      <x:c r="P176" s="362" t="str">
        <x:f>IF(OR(G176="",F176=""),"Not scored",IF(AND(F176=INT(F176),F176&gt;=1,F176&lt;=50,COUNTIF('Badge Lookup'!$A$6:$A$55,F176)=1),"OK","Check lookup"))</x:f>
        <x:v>OK</x:v>
      </x:c>
      <x:c r="Q176" s="456" t="n">
        <x:f>IF(P176&lt;&gt;"OK","",IF(C176="Guards",-O176,O176))</x:f>
        <x:v>9</x:v>
      </x:c>
      <x:c r="R176" s="362" t="str">
        <x:f>IF(P176&lt;&gt;"OK","Not scored",IF(C176="Guards","Damage received reduction","Damage increase"))</x:f>
        <x:v>Damage increase</x:v>
      </x:c>
    </x:row>
    <x:row r="177" ht="32" customHeight="1">
      <x:c r="A177" s="365" t="str">
        <x:v>K116</x:v>
      </x:c>
      <x:c r="B177" s="365" t="str">
        <x:v>逍遥大官人</x:v>
      </x:c>
      <x:c r="C177" s="365" t="str">
        <x:v>Cavalry</x:v>
      </x:c>
      <x:c r="D177" s="365" t="str">
        <x:v>Storm cavalry</x:v>
      </x:c>
      <x:c r="E177" s="365" t="str">
        <x:v>Horse archer</x:v>
      </x:c>
      <x:c r="F177" s="365" t="n">
        <x:v>20</x:v>
      </x:c>
      <x:c r="G177" s="365" t="str">
        <x:v>Mounted Archery</x:v>
      </x:c>
      <x:c r="H177" s="365" t="str">
        <x:v>Has a certain probability of causing fly-shooting damage</x:v>
      </x:c>
      <x:c r="I177" s="365" t="str">
        <x:v>Unlocked</x:v>
      </x:c>
      <x:c r="J177" s="365" t="str">
        <x:v>00:19.500</x:v>
      </x:c>
      <x:c r="K177" s="365" t="str">
        <x:v>Source frame: frames4/f_00079.jpg</x:v>
      </x:c>
      <x:c r="L177" s="365" t="str">
        <x:v>1000025189.mp4</x:v>
      </x:c>
      <x:c r="M177" s="387" t="n">
        <x:f>IF(P177="OK",INDEX('Badge Lookup'!$B$6:$B$55,MATCH(F177,'Badge Lookup'!$A$6:$A$55,0)),0)</x:f>
        <x:v>40000</x:v>
      </x:c>
      <x:c r="N177" s="387" t="n">
        <x:f>IF(P177="OK",INDEX('Badge Lookup'!$C$6:$C$55,MATCH(F177,'Badge Lookup'!$A$6:$A$55,0)),0)</x:f>
        <x:v>184300</x:v>
      </x:c>
      <x:c r="O177" s="388" t="n">
        <x:f>IF(P177="OK",INDEX('Badge Lookup'!$D$6:$D$55,MATCH(F177,'Badge Lookup'!$A$6:$A$55,0)),0)</x:f>
        <x:v>3</x:v>
      </x:c>
      <x:c r="P177" s="362" t="str">
        <x:f>IF(OR(G177="",F177=""),"Not scored",IF(AND(F177=INT(F177),F177&gt;=1,F177&lt;=50,COUNTIF('Badge Lookup'!$A$6:$A$55,F177)=1),"OK","Check lookup"))</x:f>
        <x:v>OK</x:v>
      </x:c>
      <x:c r="Q177" s="456" t="n">
        <x:f>IF(P177&lt;&gt;"OK","",IF(C177="Guards",-O177,O177))</x:f>
        <x:v>3</x:v>
      </x:c>
      <x:c r="R177" s="362" t="str">
        <x:f>IF(P177&lt;&gt;"OK","Not scored",IF(C177="Guards","Damage received reduction","Damage increase"))</x:f>
        <x:v>Damage increase</x:v>
      </x:c>
    </x:row>
    <x:row r="178" ht="32" customHeight="1">
      <x:c r="A178" s="365" t="str">
        <x:v>K116</x:v>
      </x:c>
      <x:c r="B178" s="365" t="str">
        <x:v>苦瓜大王</x:v>
      </x:c>
      <x:c r="C178" s="365" t="str">
        <x:v>Guards</x:v>
      </x:c>
      <x:c r="D178" s="365" t="str">
        <x:v>Destroyers</x:v>
      </x:c>
      <x:c r="E178" s="365" t="str">
        <x:v>Guard</x:v>
      </x:c>
      <x:c r="F178" s="365" t="n">
        <x:v>50</x:v>
      </x:c>
      <x:c r="G178" s="365" t="str">
        <x:v>Parry</x:v>
      </x:c>
      <x:c r="H178" s="365" t="str">
        <x:v>Provides a parry effect and a certain probability to increase damage</x:v>
      </x:c>
      <x:c r="I178" s="365" t="str">
        <x:v>Unlocked</x:v>
      </x:c>
      <x:c r="J178" s="365" t="str">
        <x:v>00:26.750</x:v>
      </x:c>
      <x:c r="K178" s="365" t="str">
        <x:v>Source frame: frames4/f_00108.jpg</x:v>
      </x:c>
      <x:c r="L178" s="365" t="str">
        <x:v>1000025189.mp4</x:v>
      </x:c>
      <x:c r="M178" s="387" t="n">
        <x:f>IF(P178="OK",INDEX('Badge Lookup'!$B$6:$B$55,MATCH(F178,'Badge Lookup'!$A$6:$A$55,0)),0)</x:f>
        <x:v>2000000</x:v>
      </x:c>
      <x:c r="N178" s="387" t="n">
        <x:f>IF(P178="OK",INDEX('Badge Lookup'!$C$6:$C$55,MATCH(F178,'Badge Lookup'!$A$6:$A$55,0)),0)</x:f>
        <x:v>10334300</x:v>
      </x:c>
      <x:c r="O178" s="388" t="n">
        <x:f>IF(P178="OK",INDEX('Badge Lookup'!$D$6:$D$55,MATCH(F178,'Badge Lookup'!$A$6:$A$55,0)),0)</x:f>
        <x:v>60</x:v>
      </x:c>
      <x:c r="P178" s="362" t="str">
        <x:f>IF(OR(G178="",F178=""),"Not scored",IF(AND(F178=INT(F178),F178&gt;=1,F178&lt;=50,COUNTIF('Badge Lookup'!$A$6:$A$55,F178)=1),"OK","Check lookup"))</x:f>
        <x:v>OK</x:v>
      </x:c>
      <x:c r="Q178" s="456" t="n">
        <x:f>IF(P178&lt;&gt;"OK","",IF(C178="Guards",-O178,O178))</x:f>
        <x:v>-60</x:v>
      </x:c>
      <x:c r="R178" s="362" t="str">
        <x:f>IF(P178&lt;&gt;"OK","Not scored",IF(C178="Guards","Damage received reduction","Damage increase"))</x:f>
        <x:v>Damage received reduction</x:v>
      </x:c>
    </x:row>
    <x:row r="179" ht="32" customHeight="1">
      <x:c r="A179" s="365" t="str">
        <x:v>K116</x:v>
      </x:c>
      <x:c r="B179" s="365" t="str">
        <x:v>苦瓜大王</x:v>
      </x:c>
      <x:c r="C179" s="365" t="str">
        <x:v>Cavalry</x:v>
      </x:c>
      <x:c r="D179" s="365" t="str">
        <x:v>Eternal knights</x:v>
      </x:c>
      <x:c r="E179" s="365" t="str">
        <x:v>Heavy Cavalry</x:v>
      </x:c>
      <x:c r="F179" s="365" t="n">
        <x:v>42</x:v>
      </x:c>
      <x:c r="G179" s="365" t="str">
        <x:v>Thunder trample</x:v>
      </x:c>
      <x:c r="H179" s="365" t="str">
        <x:v>Has a certain probability of causing trampling damage</x:v>
      </x:c>
      <x:c r="I179" s="365" t="str">
        <x:v>Unlocked</x:v>
      </x:c>
      <x:c r="J179" s="365" t="str">
        <x:v>00:28.000</x:v>
      </x:c>
      <x:c r="K179" s="365" t="str">
        <x:v>Source frame: frames4/f_00113.jpg</x:v>
      </x:c>
      <x:c r="L179" s="365" t="str">
        <x:v>1000025189.mp4</x:v>
      </x:c>
      <x:c r="M179" s="387" t="n">
        <x:f>IF(P179="OK",INDEX('Badge Lookup'!$B$6:$B$55,MATCH(F179,'Badge Lookup'!$A$6:$A$55,0)),0)</x:f>
        <x:v>320000</x:v>
      </x:c>
      <x:c r="N179" s="387" t="n">
        <x:f>IF(P179="OK",INDEX('Badge Lookup'!$C$6:$C$55,MATCH(F179,'Badge Lookup'!$A$6:$A$55,0)),0)</x:f>
        <x:v>2844300</x:v>
      </x:c>
      <x:c r="O179" s="388" t="n">
        <x:f>IF(P179="OK",INDEX('Badge Lookup'!$D$6:$D$55,MATCH(F179,'Badge Lookup'!$A$6:$A$55,0)),0)</x:f>
        <x:v>33.13</x:v>
      </x:c>
      <x:c r="P179" s="362" t="str">
        <x:f>IF(OR(G179="",F179=""),"Not scored",IF(AND(F179=INT(F179),F179&gt;=1,F179&lt;=50,COUNTIF('Badge Lookup'!$A$6:$A$55,F179)=1),"OK","Check lookup"))</x:f>
        <x:v>OK</x:v>
      </x:c>
      <x:c r="Q179" s="456" t="n">
        <x:f>IF(P179&lt;&gt;"OK","",IF(C179="Guards",-O179,O179))</x:f>
        <x:v>33.13</x:v>
      </x:c>
      <x:c r="R179" s="362" t="str">
        <x:f>IF(P179&lt;&gt;"OK","Not scored",IF(C179="Guards","Damage received reduction","Damage increase"))</x:f>
        <x:v>Damage increase</x:v>
      </x:c>
    </x:row>
    <x:row r="180" ht="32" customHeight="1">
      <x:c r="A180" s="365" t="str">
        <x:v>K116</x:v>
      </x:c>
      <x:c r="B180" s="365" t="str">
        <x:v>苦瓜大王</x:v>
      </x:c>
      <x:c r="C180" s="365" t="str">
        <x:v>Archers</x:v>
      </x:c>
      <x:c r="D180" s="365" t="str">
        <x:v>Elite bowmen</x:v>
      </x:c>
      <x:c r="E180" s="365" t="str">
        <x:v>Archer</x:v>
      </x:c>
      <x:c r="F180" s="365" t="n">
        <x:v>41</x:v>
      </x:c>
      <x:c r="G180" s="365" t="str">
        <x:v>Frost Arrow</x:v>
      </x:c>
      <x:c r="H180" s="365" t="str">
        <x:v>Has a higher probability of activating ice damage</x:v>
      </x:c>
      <x:c r="I180" s="365" t="str">
        <x:v>Unlocked</x:v>
      </x:c>
      <x:c r="J180" s="365" t="str">
        <x:v>00:29.250</x:v>
      </x:c>
      <x:c r="K180" s="365" t="str">
        <x:v>Source frame: frames4/f_00118.jpg</x:v>
      </x:c>
      <x:c r="L180" s="365" t="str">
        <x:v>1000025189.mp4</x:v>
      </x:c>
      <x:c r="M180" s="387" t="n">
        <x:f>IF(P180="OK",INDEX('Badge Lookup'!$B$6:$B$55,MATCH(F180,'Badge Lookup'!$A$6:$A$55,0)),0)</x:f>
        <x:v>280000</x:v>
      </x:c>
      <x:c r="N180" s="387" t="n">
        <x:f>IF(P180="OK",INDEX('Badge Lookup'!$C$6:$C$55,MATCH(F180,'Badge Lookup'!$A$6:$A$55,0)),0)</x:f>
        <x:v>2524300</x:v>
      </x:c>
      <x:c r="O180" s="388" t="n">
        <x:f>IF(P180="OK",INDEX('Badge Lookup'!$D$6:$D$55,MATCH(F180,'Badge Lookup'!$A$6:$A$55,0)),0)</x:f>
        <x:v>30.38</x:v>
      </x:c>
      <x:c r="P180" s="362" t="str">
        <x:f>IF(OR(G180="",F180=""),"Not scored",IF(AND(F180=INT(F180),F180&gt;=1,F180&lt;=50,COUNTIF('Badge Lookup'!$A$6:$A$55,F180)=1),"OK","Check lookup"))</x:f>
        <x:v>OK</x:v>
      </x:c>
      <x:c r="Q180" s="456" t="n">
        <x:f>IF(P180&lt;&gt;"OK","",IF(C180="Guards",-O180,O180))</x:f>
        <x:v>30.38</x:v>
      </x:c>
      <x:c r="R180" s="362" t="str">
        <x:f>IF(P180&lt;&gt;"OK","Not scored",IF(C180="Guards","Damage received reduction","Damage increase"))</x:f>
        <x:v>Damage increase</x:v>
      </x:c>
    </x:row>
    <x:row r="181" ht="32" customHeight="1">
      <x:c r="A181" s="365" t="str">
        <x:v>K116</x:v>
      </x:c>
      <x:c r="B181" s="365" t="str">
        <x:v>汰需尚青</x:v>
      </x:c>
      <x:c r="C181" s="365" t="str">
        <x:v>Cavalry</x:v>
      </x:c>
      <x:c r="D181" s="365" t="str">
        <x:v>Eternal knights</x:v>
      </x:c>
      <x:c r="E181" s="365" t="str">
        <x:v>Heavy Cavalry</x:v>
      </x:c>
      <x:c r="F181" s="365" t="n">
        <x:v>50</x:v>
      </x:c>
      <x:c r="G181" s="365" t="str">
        <x:v>Thunder trample</x:v>
      </x:c>
      <x:c r="H181" s="365" t="str">
        <x:v>Has a certain probability of causing trampling damage</x:v>
      </x:c>
      <x:c r="I181" s="365" t="str">
        <x:v>Unlocked</x:v>
      </x:c>
      <x:c r="J181" s="365" t="str">
        <x:v>01:13.000</x:v>
      </x:c>
      <x:c r="K181" s="365" t="str">
        <x:v>Player name visually confirmed as 汰需尚青; first character is 汰.; Source frame: frames4/f_00293.jpg</x:v>
      </x:c>
      <x:c r="L181" s="365" t="str">
        <x:v>1000025189.mp4</x:v>
      </x:c>
      <x:c r="M181" s="387" t="n">
        <x:f>IF(P181="OK",INDEX('Badge Lookup'!$B$6:$B$55,MATCH(F181,'Badge Lookup'!$A$6:$A$55,0)),0)</x:f>
        <x:v>2000000</x:v>
      </x:c>
      <x:c r="N181" s="387" t="n">
        <x:f>IF(P181="OK",INDEX('Badge Lookup'!$C$6:$C$55,MATCH(F181,'Badge Lookup'!$A$6:$A$55,0)),0)</x:f>
        <x:v>10334300</x:v>
      </x:c>
      <x:c r="O181" s="388" t="n">
        <x:f>IF(P181="OK",INDEX('Badge Lookup'!$D$6:$D$55,MATCH(F181,'Badge Lookup'!$A$6:$A$55,0)),0)</x:f>
        <x:v>60</x:v>
      </x:c>
      <x:c r="P181" s="362" t="str">
        <x:f>IF(OR(G181="",F181=""),"Not scored",IF(AND(F181=INT(F181),F181&gt;=1,F181&lt;=50,COUNTIF('Badge Lookup'!$A$6:$A$55,F181)=1),"OK","Check lookup"))</x:f>
        <x:v>OK</x:v>
      </x:c>
      <x:c r="Q181" s="456" t="n">
        <x:f>IF(P181&lt;&gt;"OK","",IF(C181="Guards",-O181,O181))</x:f>
        <x:v>60</x:v>
      </x:c>
      <x:c r="R181" s="362" t="str">
        <x:f>IF(P181&lt;&gt;"OK","Not scored",IF(C181="Guards","Damage received reduction","Damage increase"))</x:f>
        <x:v>Damage increase</x:v>
      </x:c>
    </x:row>
    <x:row r="182" ht="32" customHeight="1">
      <x:c r="A182" s="365" t="str">
        <x:v>K116</x:v>
      </x:c>
      <x:c r="B182" s="365" t="str">
        <x:v>Yuke</x:v>
      </x:c>
      <x:c r="C182" s="365" t="str">
        <x:v>Guards</x:v>
      </x:c>
      <x:c r="D182" s="365" t="str">
        <x:v>Destroyers</x:v>
      </x:c>
      <x:c r="E182" s="365" t="str">
        <x:v>Guard</x:v>
      </x:c>
      <x:c r="F182" s="365" t="n">
        <x:v>28</x:v>
      </x:c>
      <x:c r="G182" s="365" t="str">
        <x:v>Parry</x:v>
      </x:c>
      <x:c r="H182" s="365" t="str">
        <x:v>Provides a parry effect and a certain probability to increase damage</x:v>
      </x:c>
      <x:c r="I182" s="365" t="str">
        <x:v>Unlocked</x:v>
      </x:c>
      <x:c r="J182" s="365" t="str">
        <x:v>01:34.000</x:v>
      </x:c>
      <x:c r="K182" s="365" t="str">
        <x:v>Source frame: frames4/f_00377.jpg</x:v>
      </x:c>
      <x:c r="L182" s="365" t="str">
        <x:v>1000025189.mp4</x:v>
      </x:c>
      <x:c r="M182" s="387" t="n">
        <x:f>IF(P182="OK",INDEX('Badge Lookup'!$B$6:$B$55,MATCH(F182,'Badge Lookup'!$A$6:$A$55,0)),0)</x:f>
        <x:v>70000</x:v>
      </x:c>
      <x:c r="N182" s="387" t="n">
        <x:f>IF(P182="OK",INDEX('Badge Lookup'!$C$6:$C$55,MATCH(F182,'Badge Lookup'!$A$6:$A$55,0)),0)</x:f>
        <x:v>619300</x:v>
      </x:c>
      <x:c r="O182" s="388" t="n">
        <x:f>IF(P182="OK",INDEX('Badge Lookup'!$D$6:$D$55,MATCH(F182,'Badge Lookup'!$A$6:$A$55,0)),0)</x:f>
        <x:v>8.24</x:v>
      </x:c>
      <x:c r="P182" s="362" t="str">
        <x:f>IF(OR(G182="",F182=""),"Not scored",IF(AND(F182=INT(F182),F182&gt;=1,F182&lt;=50,COUNTIF('Badge Lookup'!$A$6:$A$55,F182)=1),"OK","Check lookup"))</x:f>
        <x:v>OK</x:v>
      </x:c>
      <x:c r="Q182" s="456" t="n">
        <x:f>IF(P182&lt;&gt;"OK","",IF(C182="Guards",-O182,O182))</x:f>
        <x:v>-8.24</x:v>
      </x:c>
      <x:c r="R182" s="362" t="str">
        <x:f>IF(P182&lt;&gt;"OK","Not scored",IF(C182="Guards","Damage received reduction","Damage increase"))</x:f>
        <x:v>Damage received reduction</x:v>
      </x:c>
    </x:row>
    <x:row r="183" ht="32" customHeight="1">
      <x:c r="A183" s="365" t="str">
        <x:v>K116</x:v>
      </x:c>
      <x:c r="B183" s="365" t="str">
        <x:v>不可理喻</x:v>
      </x:c>
      <x:c r="C183" s="365" t="str">
        <x:v>Guards</x:v>
      </x:c>
      <x:c r="D183" s="365" t="str">
        <x:v>Destroyers</x:v>
      </x:c>
      <x:c r="E183" s="365" t="str">
        <x:v>Guard</x:v>
      </x:c>
      <x:c r="F183" s="365" t="n">
        <x:v>46</x:v>
      </x:c>
      <x:c r="G183" s="365" t="str">
        <x:v>Parry</x:v>
      </x:c>
      <x:c r="H183" s="365" t="str">
        <x:v>Provides a parry effect and a certain probability to increase damage</x:v>
      </x:c>
      <x:c r="I183" s="365" t="str">
        <x:v>Unlocked</x:v>
      </x:c>
      <x:c r="J183" s="365" t="str">
        <x:v>01:42.750</x:v>
      </x:c>
      <x:c r="K183" s="365" t="str">
        <x:v>Source frame: frames4/f_00412.jpg</x:v>
      </x:c>
      <x:c r="L183" s="365" t="str">
        <x:v>1000025189.mp4</x:v>
      </x:c>
      <x:c r="M183" s="387" t="n">
        <x:f>IF(P183="OK",INDEX('Badge Lookup'!$B$6:$B$55,MATCH(F183,'Badge Lookup'!$A$6:$A$55,0)),0)</x:f>
        <x:v>720000</x:v>
      </x:c>
      <x:c r="N183" s="387" t="n">
        <x:f>IF(P183="OK",INDEX('Badge Lookup'!$C$6:$C$55,MATCH(F183,'Badge Lookup'!$A$6:$A$55,0)),0)</x:f>
        <x:v>5004300</x:v>
      </x:c>
      <x:c r="O183" s="388" t="n">
        <x:f>IF(P183="OK",INDEX('Badge Lookup'!$D$6:$D$55,MATCH(F183,'Badge Lookup'!$A$6:$A$55,0)),0)</x:f>
        <x:v>45.13</x:v>
      </x:c>
      <x:c r="P183" s="362" t="str">
        <x:f>IF(OR(G183="",F183=""),"Not scored",IF(AND(F183=INT(F183),F183&gt;=1,F183&lt;=50,COUNTIF('Badge Lookup'!$A$6:$A$55,F183)=1),"OK","Check lookup"))</x:f>
        <x:v>OK</x:v>
      </x:c>
      <x:c r="Q183" s="456" t="n">
        <x:f>IF(P183&lt;&gt;"OK","",IF(C183="Guards",-O183,O183))</x:f>
        <x:v>-45.13</x:v>
      </x:c>
      <x:c r="R183" s="362" t="str">
        <x:f>IF(P183&lt;&gt;"OK","Not scored",IF(C183="Guards","Damage received reduction","Damage increase"))</x:f>
        <x:v>Damage received reduction</x:v>
      </x:c>
    </x:row>
    <x:row r="184" ht="32" customHeight="1">
      <x:c r="A184" s="365" t="str">
        <x:v>K116</x:v>
      </x:c>
      <x:c r="B184" s="365" t="str">
        <x:v>不可理喻</x:v>
      </x:c>
      <x:c r="C184" s="365" t="str">
        <x:v>Cavalry</x:v>
      </x:c>
      <x:c r="D184" s="365" t="str">
        <x:v>Eternal knights</x:v>
      </x:c>
      <x:c r="E184" s="365" t="str">
        <x:v>Heavy Cavalry</x:v>
      </x:c>
      <x:c r="F184" s="365" t="n">
        <x:v>46</x:v>
      </x:c>
      <x:c r="G184" s="365" t="str">
        <x:v>Thunder trample</x:v>
      </x:c>
      <x:c r="H184" s="365" t="str">
        <x:v>Has a certain probability of causing trampling damage</x:v>
      </x:c>
      <x:c r="I184" s="365" t="str">
        <x:v>Unlocked</x:v>
      </x:c>
      <x:c r="J184" s="365" t="str">
        <x:v>01:43.750</x:v>
      </x:c>
      <x:c r="K184" s="365" t="str">
        <x:v>Source frame: frames4/f_00416.jpg</x:v>
      </x:c>
      <x:c r="L184" s="365" t="str">
        <x:v>1000025189.mp4</x:v>
      </x:c>
      <x:c r="M184" s="387" t="n">
        <x:f>IF(P184="OK",INDEX('Badge Lookup'!$B$6:$B$55,MATCH(F184,'Badge Lookup'!$A$6:$A$55,0)),0)</x:f>
        <x:v>720000</x:v>
      </x:c>
      <x:c r="N184" s="387" t="n">
        <x:f>IF(P184="OK",INDEX('Badge Lookup'!$C$6:$C$55,MATCH(F184,'Badge Lookup'!$A$6:$A$55,0)),0)</x:f>
        <x:v>5004300</x:v>
      </x:c>
      <x:c r="O184" s="388" t="n">
        <x:f>IF(P184="OK",INDEX('Badge Lookup'!$D$6:$D$55,MATCH(F184,'Badge Lookup'!$A$6:$A$55,0)),0)</x:f>
        <x:v>45.13</x:v>
      </x:c>
      <x:c r="P184" s="362" t="str">
        <x:f>IF(OR(G184="",F184=""),"Not scored",IF(AND(F184=INT(F184),F184&gt;=1,F184&lt;=50,COUNTIF('Badge Lookup'!$A$6:$A$55,F184)=1),"OK","Check lookup"))</x:f>
        <x:v>OK</x:v>
      </x:c>
      <x:c r="Q184" s="456" t="n">
        <x:f>IF(P184&lt;&gt;"OK","",IF(C184="Guards",-O184,O184))</x:f>
        <x:v>45.13</x:v>
      </x:c>
      <x:c r="R184" s="362" t="str">
        <x:f>IF(P184&lt;&gt;"OK","Not scored",IF(C184="Guards","Damage received reduction","Damage increase"))</x:f>
        <x:v>Damage increase</x:v>
      </x:c>
    </x:row>
    <x:row r="185" ht="32" customHeight="1">
      <x:c r="A185" s="365" t="str">
        <x:v>K116</x:v>
      </x:c>
      <x:c r="B185" s="365" t="str">
        <x:v>不可理喻</x:v>
      </x:c>
      <x:c r="C185" s="365" t="str">
        <x:v>Archers</x:v>
      </x:c>
      <x:c r="D185" s="365" t="str">
        <x:v>Elite bowmen</x:v>
      </x:c>
      <x:c r="E185" s="365" t="str">
        <x:v>Archer</x:v>
      </x:c>
      <x:c r="F185" s="365" t="n">
        <x:v>42</x:v>
      </x:c>
      <x:c r="G185" s="365" t="str">
        <x:v>Frost Arrow</x:v>
      </x:c>
      <x:c r="H185" s="365" t="str">
        <x:v>Has a higher probability of activating ice damage</x:v>
      </x:c>
      <x:c r="I185" s="365" t="str">
        <x:v>Unlocked</x:v>
      </x:c>
      <x:c r="J185" s="365" t="str">
        <x:v>01:44.750</x:v>
      </x:c>
      <x:c r="K185" s="365" t="str">
        <x:v>Source frame: frames4/f_00420.jpg</x:v>
      </x:c>
      <x:c r="L185" s="365" t="str">
        <x:v>1000025189.mp4</x:v>
      </x:c>
      <x:c r="M185" s="387" t="n">
        <x:f>IF(P185="OK",INDEX('Badge Lookup'!$B$6:$B$55,MATCH(F185,'Badge Lookup'!$A$6:$A$55,0)),0)</x:f>
        <x:v>320000</x:v>
      </x:c>
      <x:c r="N185" s="387" t="n">
        <x:f>IF(P185="OK",INDEX('Badge Lookup'!$C$6:$C$55,MATCH(F185,'Badge Lookup'!$A$6:$A$55,0)),0)</x:f>
        <x:v>2844300</x:v>
      </x:c>
      <x:c r="O185" s="388" t="n">
        <x:f>IF(P185="OK",INDEX('Badge Lookup'!$D$6:$D$55,MATCH(F185,'Badge Lookup'!$A$6:$A$55,0)),0)</x:f>
        <x:v>33.13</x:v>
      </x:c>
      <x:c r="P185" s="362" t="str">
        <x:f>IF(OR(G185="",F185=""),"Not scored",IF(AND(F185=INT(F185),F185&gt;=1,F185&lt;=50,COUNTIF('Badge Lookup'!$A$6:$A$55,F185)=1),"OK","Check lookup"))</x:f>
        <x:v>OK</x:v>
      </x:c>
      <x:c r="Q185" s="456" t="n">
        <x:f>IF(P185&lt;&gt;"OK","",IF(C185="Guards",-O185,O185))</x:f>
        <x:v>33.13</x:v>
      </x:c>
      <x:c r="R185" s="362" t="str">
        <x:f>IF(P185&lt;&gt;"OK","Not scored",IF(C185="Guards","Damage received reduction","Damage increase"))</x:f>
        <x:v>Damage increase</x:v>
      </x:c>
    </x:row>
    <x:row r="186" ht="32" customHeight="1">
      <x:c r="A186" s="365" t="str">
        <x:v>K116</x:v>
      </x:c>
      <x:c r="B186" s="365" t="str">
        <x:v>不可理喻</x:v>
      </x:c>
      <x:c r="C186" s="365" t="str">
        <x:v>Siege</x:v>
      </x:c>
      <x:c r="D186" s="365" t="str">
        <x:v>Manglers</x:v>
      </x:c>
      <x:c r="E186" s="365" t="str">
        <x:v>Siege</x:v>
      </x:c>
      <x:c r="F186" s="365" t="n">
        <x:v>40</x:v>
      </x:c>
      <x:c r="G186" s="365" t="str">
        <x:v>Highly toxic</x:v>
      </x:c>
      <x:c r="H186" s="365" t="str">
        <x:v>Inflict continuous toxic damage</x:v>
      </x:c>
      <x:c r="I186" s="365" t="str">
        <x:v>Unlocked</x:v>
      </x:c>
      <x:c r="J186" s="365" t="str">
        <x:v>01:45.750</x:v>
      </x:c>
      <x:c r="K186" s="365" t="str">
        <x:v>Source frame: frames4/f_00424.jpg</x:v>
      </x:c>
      <x:c r="L186" s="365" t="str">
        <x:v>1000025189.mp4</x:v>
      </x:c>
      <x:c r="M186" s="387" t="n">
        <x:f>IF(P186="OK",INDEX('Badge Lookup'!$B$6:$B$55,MATCH(F186,'Badge Lookup'!$A$6:$A$55,0)),0)</x:f>
        <x:v>240000</x:v>
      </x:c>
      <x:c r="N186" s="387" t="n">
        <x:f>IF(P186="OK",INDEX('Badge Lookup'!$C$6:$C$55,MATCH(F186,'Badge Lookup'!$A$6:$A$55,0)),0)</x:f>
        <x:v>2244300</x:v>
      </x:c>
      <x:c r="O186" s="388" t="n">
        <x:f>IF(P186="OK",INDEX('Badge Lookup'!$D$6:$D$55,MATCH(F186,'Badge Lookup'!$A$6:$A$55,0)),0)</x:f>
        <x:v>27.74</x:v>
      </x:c>
      <x:c r="P186" s="362" t="str">
        <x:f>IF(OR(G186="",F186=""),"Not scored",IF(AND(F186=INT(F186),F186&gt;=1,F186&lt;=50,COUNTIF('Badge Lookup'!$A$6:$A$55,F186)=1),"OK","Check lookup"))</x:f>
        <x:v>OK</x:v>
      </x:c>
      <x:c r="Q186" s="456" t="n">
        <x:f>IF(P186&lt;&gt;"OK","",IF(C186="Guards",-O186,O186))</x:f>
        <x:v>27.74</x:v>
      </x:c>
      <x:c r="R186" s="362" t="str">
        <x:f>IF(P186&lt;&gt;"OK","Not scored",IF(C186="Guards","Damage received reduction","Damage increase"))</x:f>
        <x:v>Damage increase</x:v>
      </x:c>
    </x:row>
    <x:row r="187" ht="32" customHeight="1">
      <x:c r="A187" s="365" t="str">
        <x:v>K116</x:v>
      </x:c>
      <x:c r="B187" s="365" t="str">
        <x:v>不可理喻</x:v>
      </x:c>
      <x:c r="C187" s="365" t="str">
        <x:v>Cavalry</x:v>
      </x:c>
      <x:c r="D187" s="365" t="str">
        <x:v>Storm cavalry</x:v>
      </x:c>
      <x:c r="E187" s="365" t="str">
        <x:v>Horse archer</x:v>
      </x:c>
      <x:c r="F187" s="365" t="n">
        <x:v>43</x:v>
      </x:c>
      <x:c r="G187" s="365" t="str">
        <x:v>Mounted Archery</x:v>
      </x:c>
      <x:c r="H187" s="365" t="str">
        <x:v>Has a certain probability of causing fly-shooting damage</x:v>
      </x:c>
      <x:c r="I187" s="365" t="str">
        <x:v>Unlocked</x:v>
      </x:c>
      <x:c r="J187" s="365" t="str">
        <x:v>01:46.750</x:v>
      </x:c>
      <x:c r="K187" s="365" t="str">
        <x:v>Source frame: frames4/f_00428.jpg</x:v>
      </x:c>
      <x:c r="L187" s="365" t="str">
        <x:v>1000025189.mp4</x:v>
      </x:c>
      <x:c r="M187" s="387" t="n">
        <x:f>IF(P187="OK",INDEX('Badge Lookup'!$B$6:$B$55,MATCH(F187,'Badge Lookup'!$A$6:$A$55,0)),0)</x:f>
        <x:v>400000</x:v>
      </x:c>
      <x:c r="N187" s="387" t="n">
        <x:f>IF(P187="OK",INDEX('Badge Lookup'!$C$6:$C$55,MATCH(F187,'Badge Lookup'!$A$6:$A$55,0)),0)</x:f>
        <x:v>3244300</x:v>
      </x:c>
      <x:c r="O187" s="388" t="n">
        <x:f>IF(P187="OK",INDEX('Badge Lookup'!$D$6:$D$55,MATCH(F187,'Badge Lookup'!$A$6:$A$55,0)),0)</x:f>
        <x:v>35.98</x:v>
      </x:c>
      <x:c r="P187" s="362" t="str">
        <x:f>IF(OR(G187="",F187=""),"Not scored",IF(AND(F187=INT(F187),F187&gt;=1,F187&lt;=50,COUNTIF('Badge Lookup'!$A$6:$A$55,F187)=1),"OK","Check lookup"))</x:f>
        <x:v>OK</x:v>
      </x:c>
      <x:c r="Q187" s="456" t="n">
        <x:f>IF(P187&lt;&gt;"OK","",IF(C187="Guards",-O187,O187))</x:f>
        <x:v>35.98</x:v>
      </x:c>
      <x:c r="R187" s="362" t="str">
        <x:f>IF(P187&lt;&gt;"OK","Not scored",IF(C187="Guards","Damage received reduction","Damage increase"))</x:f>
        <x:v>Damage increase</x:v>
      </x:c>
    </x:row>
    <x:row r="188" ht="32" customHeight="1">
      <x:c r="A188" s="365" t="str">
        <x:v>K116</x:v>
      </x:c>
      <x:c r="B188" s="365" t="str">
        <x:v>懒洋洋爱看腿</x:v>
      </x:c>
      <x:c r="C188" s="365" t="str">
        <x:v>Guards</x:v>
      </x:c>
      <x:c r="D188" s="365" t="str">
        <x:v>Destroyers</x:v>
      </x:c>
      <x:c r="E188" s="365" t="str">
        <x:v>Guard</x:v>
      </x:c>
      <x:c r="F188" s="365" t="n">
        <x:v>45</x:v>
      </x:c>
      <x:c r="G188" s="365" t="str">
        <x:v>Parry</x:v>
      </x:c>
      <x:c r="H188" s="365" t="str">
        <x:v>Provides a parry effect and a certain probability to increase damage</x:v>
      </x:c>
      <x:c r="I188" s="365" t="str">
        <x:v>Unlocked</x:v>
      </x:c>
      <x:c r="J188" s="365" t="str">
        <x:v>01:54.500</x:v>
      </x:c>
      <x:c r="K188" s="365" t="str">
        <x:v>Source frame: frames4/f_00459.jpg</x:v>
      </x:c>
      <x:c r="L188" s="365" t="str">
        <x:v>1000025189.mp4</x:v>
      </x:c>
      <x:c r="M188" s="387" t="n">
        <x:f>IF(P188="OK",INDEX('Badge Lookup'!$B$6:$B$55,MATCH(F188,'Badge Lookup'!$A$6:$A$55,0)),0)</x:f>
        <x:v>560000</x:v>
      </x:c>
      <x:c r="N188" s="387" t="n">
        <x:f>IF(P188="OK",INDEX('Badge Lookup'!$C$6:$C$55,MATCH(F188,'Badge Lookup'!$A$6:$A$55,0)),0)</x:f>
        <x:v>4284300</x:v>
      </x:c>
      <x:c r="O188" s="388" t="n">
        <x:f>IF(P188="OK",INDEX('Badge Lookup'!$D$6:$D$55,MATCH(F188,'Badge Lookup'!$A$6:$A$55,0)),0)</x:f>
        <x:v>41.98</x:v>
      </x:c>
      <x:c r="P188" s="362" t="str">
        <x:f>IF(OR(G188="",F188=""),"Not scored",IF(AND(F188=INT(F188),F188&gt;=1,F188&lt;=50,COUNTIF('Badge Lookup'!$A$6:$A$55,F188)=1),"OK","Check lookup"))</x:f>
        <x:v>OK</x:v>
      </x:c>
      <x:c r="Q188" s="456" t="n">
        <x:f>IF(P188&lt;&gt;"OK","",IF(C188="Guards",-O188,O188))</x:f>
        <x:v>-41.98</x:v>
      </x:c>
      <x:c r="R188" s="362" t="str">
        <x:f>IF(P188&lt;&gt;"OK","Not scored",IF(C188="Guards","Damage received reduction","Damage increase"))</x:f>
        <x:v>Damage received reduction</x:v>
      </x:c>
    </x:row>
    <x:row r="189" ht="32" customHeight="1">
      <x:c r="A189" s="365" t="str">
        <x:v>K116</x:v>
      </x:c>
      <x:c r="B189" s="365" t="str">
        <x:v>懒洋洋爱看腿</x:v>
      </x:c>
      <x:c r="C189" s="365" t="str">
        <x:v>Cavalry</x:v>
      </x:c>
      <x:c r="D189" s="365" t="str">
        <x:v>Eternal knights</x:v>
      </x:c>
      <x:c r="E189" s="365" t="str">
        <x:v>Heavy Cavalry</x:v>
      </x:c>
      <x:c r="F189" s="365" t="n">
        <x:v>40</x:v>
      </x:c>
      <x:c r="G189" s="365" t="str">
        <x:v>Thunder trample</x:v>
      </x:c>
      <x:c r="H189" s="365" t="str">
        <x:v>Has a certain probability of causing trampling damage</x:v>
      </x:c>
      <x:c r="I189" s="365" t="str">
        <x:v>Unlocked</x:v>
      </x:c>
      <x:c r="J189" s="365" t="str">
        <x:v>01:55.500</x:v>
      </x:c>
      <x:c r="K189" s="365" t="str">
        <x:v>Source frame: frames4/f_00463.jpg</x:v>
      </x:c>
      <x:c r="L189" s="365" t="str">
        <x:v>1000025189.mp4</x:v>
      </x:c>
      <x:c r="M189" s="387" t="n">
        <x:f>IF(P189="OK",INDEX('Badge Lookup'!$B$6:$B$55,MATCH(F189,'Badge Lookup'!$A$6:$A$55,0)),0)</x:f>
        <x:v>240000</x:v>
      </x:c>
      <x:c r="N189" s="387" t="n">
        <x:f>IF(P189="OK",INDEX('Badge Lookup'!$C$6:$C$55,MATCH(F189,'Badge Lookup'!$A$6:$A$55,0)),0)</x:f>
        <x:v>2244300</x:v>
      </x:c>
      <x:c r="O189" s="388" t="n">
        <x:f>IF(P189="OK",INDEX('Badge Lookup'!$D$6:$D$55,MATCH(F189,'Badge Lookup'!$A$6:$A$55,0)),0)</x:f>
        <x:v>27.74</x:v>
      </x:c>
      <x:c r="P189" s="362" t="str">
        <x:f>IF(OR(G189="",F189=""),"Not scored",IF(AND(F189=INT(F189),F189&gt;=1,F189&lt;=50,COUNTIF('Badge Lookup'!$A$6:$A$55,F189)=1),"OK","Check lookup"))</x:f>
        <x:v>OK</x:v>
      </x:c>
      <x:c r="Q189" s="456" t="n">
        <x:f>IF(P189&lt;&gt;"OK","",IF(C189="Guards",-O189,O189))</x:f>
        <x:v>27.74</x:v>
      </x:c>
      <x:c r="R189" s="362" t="str">
        <x:f>IF(P189&lt;&gt;"OK","Not scored",IF(C189="Guards","Damage received reduction","Damage increase"))</x:f>
        <x:v>Damage increase</x:v>
      </x:c>
    </x:row>
    <x:row r="190" ht="32" customHeight="1">
      <x:c r="A190" s="365" t="str">
        <x:v>K116</x:v>
      </x:c>
      <x:c r="B190" s="365" t="str">
        <x:v>懒洋洋爱看腿</x:v>
      </x:c>
      <x:c r="C190" s="365" t="str">
        <x:v>Archers</x:v>
      </x:c>
      <x:c r="D190" s="365" t="str">
        <x:v>Elite bowmen</x:v>
      </x:c>
      <x:c r="E190" s="365" t="str">
        <x:v>Archer</x:v>
      </x:c>
      <x:c r="F190" s="365" t="n">
        <x:v>40</x:v>
      </x:c>
      <x:c r="G190" s="365" t="str">
        <x:v>Frost Arrow</x:v>
      </x:c>
      <x:c r="H190" s="365" t="str">
        <x:v>Has a higher probability of activating ice damage</x:v>
      </x:c>
      <x:c r="I190" s="365" t="str">
        <x:v>Unlocked</x:v>
      </x:c>
      <x:c r="J190" s="365" t="str">
        <x:v>01:56.500</x:v>
      </x:c>
      <x:c r="K190" s="365" t="str">
        <x:v>Source frame: frames4/f_00467.jpg</x:v>
      </x:c>
      <x:c r="L190" s="365" t="str">
        <x:v>1000025189.mp4</x:v>
      </x:c>
      <x:c r="M190" s="387" t="n">
        <x:f>IF(P190="OK",INDEX('Badge Lookup'!$B$6:$B$55,MATCH(F190,'Badge Lookup'!$A$6:$A$55,0)),0)</x:f>
        <x:v>240000</x:v>
      </x:c>
      <x:c r="N190" s="387" t="n">
        <x:f>IF(P190="OK",INDEX('Badge Lookup'!$C$6:$C$55,MATCH(F190,'Badge Lookup'!$A$6:$A$55,0)),0)</x:f>
        <x:v>2244300</x:v>
      </x:c>
      <x:c r="O190" s="388" t="n">
        <x:f>IF(P190="OK",INDEX('Badge Lookup'!$D$6:$D$55,MATCH(F190,'Badge Lookup'!$A$6:$A$55,0)),0)</x:f>
        <x:v>27.74</x:v>
      </x:c>
      <x:c r="P190" s="362" t="str">
        <x:f>IF(OR(G190="",F190=""),"Not scored",IF(AND(F190=INT(F190),F190&gt;=1,F190&lt;=50,COUNTIF('Badge Lookup'!$A$6:$A$55,F190)=1),"OK","Check lookup"))</x:f>
        <x:v>OK</x:v>
      </x:c>
      <x:c r="Q190" s="456" t="n">
        <x:f>IF(P190&lt;&gt;"OK","",IF(C190="Guards",-O190,O190))</x:f>
        <x:v>27.74</x:v>
      </x:c>
      <x:c r="R190" s="362" t="str">
        <x:f>IF(P190&lt;&gt;"OK","Not scored",IF(C190="Guards","Damage received reduction","Damage increase"))</x:f>
        <x:v>Damage increase</x:v>
      </x:c>
    </x:row>
    <x:row r="191" ht="32" customHeight="1">
      <x:c r="A191" s="365" t="str">
        <x:v>K116</x:v>
      </x:c>
      <x:c r="B191" s="365" t="str">
        <x:v>懒洋洋爱看腿</x:v>
      </x:c>
      <x:c r="C191" s="365" t="str">
        <x:v>Siege</x:v>
      </x:c>
      <x:c r="D191" s="365" t="str">
        <x:v>Manglers</x:v>
      </x:c>
      <x:c r="E191" s="365" t="str">
        <x:v>Siege</x:v>
      </x:c>
      <x:c r="F191" s="365" t="n">
        <x:v>40</x:v>
      </x:c>
      <x:c r="G191" s="365" t="str">
        <x:v>Highly toxic</x:v>
      </x:c>
      <x:c r="H191" s="365" t="str">
        <x:v>Inflict continuous toxic damage</x:v>
      </x:c>
      <x:c r="I191" s="365" t="str">
        <x:v>Unlocked</x:v>
      </x:c>
      <x:c r="J191" s="365" t="str">
        <x:v>01:59.000</x:v>
      </x:c>
      <x:c r="K191" s="365" t="str">
        <x:v>Source frame: frames4/f_00477.jpg</x:v>
      </x:c>
      <x:c r="L191" s="365" t="str">
        <x:v>1000025189.mp4</x:v>
      </x:c>
      <x:c r="M191" s="387" t="n">
        <x:f>IF(P191="OK",INDEX('Badge Lookup'!$B$6:$B$55,MATCH(F191,'Badge Lookup'!$A$6:$A$55,0)),0)</x:f>
        <x:v>240000</x:v>
      </x:c>
      <x:c r="N191" s="387" t="n">
        <x:f>IF(P191="OK",INDEX('Badge Lookup'!$C$6:$C$55,MATCH(F191,'Badge Lookup'!$A$6:$A$55,0)),0)</x:f>
        <x:v>2244300</x:v>
      </x:c>
      <x:c r="O191" s="388" t="n">
        <x:f>IF(P191="OK",INDEX('Badge Lookup'!$D$6:$D$55,MATCH(F191,'Badge Lookup'!$A$6:$A$55,0)),0)</x:f>
        <x:v>27.74</x:v>
      </x:c>
      <x:c r="P191" s="362" t="str">
        <x:f>IF(OR(G191="",F191=""),"Not scored",IF(AND(F191=INT(F191),F191&gt;=1,F191&lt;=50,COUNTIF('Badge Lookup'!$A$6:$A$55,F191)=1),"OK","Check lookup"))</x:f>
        <x:v>OK</x:v>
      </x:c>
      <x:c r="Q191" s="456" t="n">
        <x:f>IF(P191&lt;&gt;"OK","",IF(C191="Guards",-O191,O191))</x:f>
        <x:v>27.74</x:v>
      </x:c>
      <x:c r="R191" s="362" t="str">
        <x:f>IF(P191&lt;&gt;"OK","Not scored",IF(C191="Guards","Damage received reduction","Damage increase"))</x:f>
        <x:v>Damage increase</x:v>
      </x:c>
    </x:row>
    <x:row r="192" ht="32" customHeight="1">
      <x:c r="A192" s="365" t="str">
        <x:v>K116</x:v>
      </x:c>
      <x:c r="B192" s="365" t="str">
        <x:v>懒洋洋爱看腿</x:v>
      </x:c>
      <x:c r="C192" s="365" t="str">
        <x:v>Cavalry</x:v>
      </x:c>
      <x:c r="D192" s="365" t="str">
        <x:v>Storm cavalry</x:v>
      </x:c>
      <x:c r="E192" s="365" t="str">
        <x:v>Horse archer</x:v>
      </x:c>
      <x:c r="F192" s="365" t="n">
        <x:v>40</x:v>
      </x:c>
      <x:c r="G192" s="365" t="str">
        <x:v>Mounted Archery</x:v>
      </x:c>
      <x:c r="H192" s="365" t="str">
        <x:v>Has a certain probability of causing fly-shooting damage</x:v>
      </x:c>
      <x:c r="I192" s="365" t="str">
        <x:v>Unlocked</x:v>
      </x:c>
      <x:c r="J192" s="365" t="str">
        <x:v>01:59.750</x:v>
      </x:c>
      <x:c r="K192" s="365" t="str">
        <x:v>Source frame: frames4/f_00480.jpg</x:v>
      </x:c>
      <x:c r="L192" s="365" t="str">
        <x:v>1000025189.mp4</x:v>
      </x:c>
      <x:c r="M192" s="387" t="n">
        <x:f>IF(P192="OK",INDEX('Badge Lookup'!$B$6:$B$55,MATCH(F192,'Badge Lookup'!$A$6:$A$55,0)),0)</x:f>
        <x:v>240000</x:v>
      </x:c>
      <x:c r="N192" s="387" t="n">
        <x:f>IF(P192="OK",INDEX('Badge Lookup'!$C$6:$C$55,MATCH(F192,'Badge Lookup'!$A$6:$A$55,0)),0)</x:f>
        <x:v>2244300</x:v>
      </x:c>
      <x:c r="O192" s="388" t="n">
        <x:f>IF(P192="OK",INDEX('Badge Lookup'!$D$6:$D$55,MATCH(F192,'Badge Lookup'!$A$6:$A$55,0)),0)</x:f>
        <x:v>27.74</x:v>
      </x:c>
      <x:c r="P192" s="362" t="str">
        <x:f>IF(OR(G192="",F192=""),"Not scored",IF(AND(F192=INT(F192),F192&gt;=1,F192&lt;=50,COUNTIF('Badge Lookup'!$A$6:$A$55,F192)=1),"OK","Check lookup"))</x:f>
        <x:v>OK</x:v>
      </x:c>
      <x:c r="Q192" s="456" t="n">
        <x:f>IF(P192&lt;&gt;"OK","",IF(C192="Guards",-O192,O192))</x:f>
        <x:v>27.74</x:v>
      </x:c>
      <x:c r="R192" s="362" t="str">
        <x:f>IF(P192&lt;&gt;"OK","Not scored",IF(C192="Guards","Damage received reduction","Damage increase"))</x:f>
        <x:v>Damage increase</x:v>
      </x:c>
    </x:row>
    <x:row r="193" ht="32" customHeight="1">
      <x:c r="A193" s="365" t="str">
        <x:v>K116</x:v>
      </x:c>
      <x:c r="B193" s="365" t="str">
        <x:v>蜜蜜°</x:v>
      </x:c>
      <x:c r="C193" s="365" t="str">
        <x:v>Guards</x:v>
      </x:c>
      <x:c r="D193" s="365" t="str">
        <x:v>Destroyers</x:v>
      </x:c>
      <x:c r="E193" s="365" t="str">
        <x:v>Guard</x:v>
      </x:c>
      <x:c r="F193" s="365" t="n">
        <x:v>50</x:v>
      </x:c>
      <x:c r="G193" s="365" t="str">
        <x:v>Parry</x:v>
      </x:c>
      <x:c r="H193" s="365" t="str">
        <x:v>Provides a parry effect and a certain probability to increase damage</x:v>
      </x:c>
      <x:c r="I193" s="365" t="str">
        <x:v>Unlocked</x:v>
      </x:c>
      <x:c r="J193" s="365" t="str">
        <x:v>02:05.250</x:v>
      </x:c>
      <x:c r="K193" s="365" t="str">
        <x:v>Source frame: frames4/f_00502.jpg</x:v>
      </x:c>
      <x:c r="L193" s="365" t="str">
        <x:v>1000025189.mp4</x:v>
      </x:c>
      <x:c r="M193" s="387" t="n">
        <x:f>IF(P193="OK",INDEX('Badge Lookup'!$B$6:$B$55,MATCH(F193,'Badge Lookup'!$A$6:$A$55,0)),0)</x:f>
        <x:v>2000000</x:v>
      </x:c>
      <x:c r="N193" s="387" t="n">
        <x:f>IF(P193="OK",INDEX('Badge Lookup'!$C$6:$C$55,MATCH(F193,'Badge Lookup'!$A$6:$A$55,0)),0)</x:f>
        <x:v>10334300</x:v>
      </x:c>
      <x:c r="O193" s="388" t="n">
        <x:f>IF(P193="OK",INDEX('Badge Lookup'!$D$6:$D$55,MATCH(F193,'Badge Lookup'!$A$6:$A$55,0)),0)</x:f>
        <x:v>60</x:v>
      </x:c>
      <x:c r="P193" s="362" t="str">
        <x:f>IF(OR(G193="",F193=""),"Not scored",IF(AND(F193=INT(F193),F193&gt;=1,F193&lt;=50,COUNTIF('Badge Lookup'!$A$6:$A$55,F193)=1),"OK","Check lookup"))</x:f>
        <x:v>OK</x:v>
      </x:c>
      <x:c r="Q193" s="456" t="n">
        <x:f>IF(P193&lt;&gt;"OK","",IF(C193="Guards",-O193,O193))</x:f>
        <x:v>-60</x:v>
      </x:c>
      <x:c r="R193" s="362" t="str">
        <x:f>IF(P193&lt;&gt;"OK","Not scored",IF(C193="Guards","Damage received reduction","Damage increase"))</x:f>
        <x:v>Damage received reduction</x:v>
      </x:c>
    </x:row>
    <x:row r="194" ht="32" customHeight="1">
      <x:c r="A194" s="365" t="str">
        <x:v>K116</x:v>
      </x:c>
      <x:c r="B194" s="365" t="str">
        <x:v>蜜蜜°</x:v>
      </x:c>
      <x:c r="C194" s="365" t="str">
        <x:v>Cavalry</x:v>
      </x:c>
      <x:c r="D194" s="365" t="str">
        <x:v>Eternal knights</x:v>
      </x:c>
      <x:c r="E194" s="365" t="str">
        <x:v>Heavy Cavalry</x:v>
      </x:c>
      <x:c r="F194" s="365" t="n">
        <x:v>41</x:v>
      </x:c>
      <x:c r="G194" s="365" t="str">
        <x:v>Thunder trample</x:v>
      </x:c>
      <x:c r="H194" s="365" t="str">
        <x:v>Has a certain probability of causing trampling damage</x:v>
      </x:c>
      <x:c r="I194" s="365" t="str">
        <x:v>Unlocked</x:v>
      </x:c>
      <x:c r="J194" s="365" t="str">
        <x:v>02:06.250</x:v>
      </x:c>
      <x:c r="K194" s="365" t="str">
        <x:v>Source frame: frames4/f_00506.jpg</x:v>
      </x:c>
      <x:c r="L194" s="365" t="str">
        <x:v>1000025189.mp4</x:v>
      </x:c>
      <x:c r="M194" s="387" t="n">
        <x:f>IF(P194="OK",INDEX('Badge Lookup'!$B$6:$B$55,MATCH(F194,'Badge Lookup'!$A$6:$A$55,0)),0)</x:f>
        <x:v>280000</x:v>
      </x:c>
      <x:c r="N194" s="387" t="n">
        <x:f>IF(P194="OK",INDEX('Badge Lookup'!$C$6:$C$55,MATCH(F194,'Badge Lookup'!$A$6:$A$55,0)),0)</x:f>
        <x:v>2524300</x:v>
      </x:c>
      <x:c r="O194" s="388" t="n">
        <x:f>IF(P194="OK",INDEX('Badge Lookup'!$D$6:$D$55,MATCH(F194,'Badge Lookup'!$A$6:$A$55,0)),0)</x:f>
        <x:v>30.38</x:v>
      </x:c>
      <x:c r="P194" s="362" t="str">
        <x:f>IF(OR(G194="",F194=""),"Not scored",IF(AND(F194=INT(F194),F194&gt;=1,F194&lt;=50,COUNTIF('Badge Lookup'!$A$6:$A$55,F194)=1),"OK","Check lookup"))</x:f>
        <x:v>OK</x:v>
      </x:c>
      <x:c r="Q194" s="456" t="n">
        <x:f>IF(P194&lt;&gt;"OK","",IF(C194="Guards",-O194,O194))</x:f>
        <x:v>30.38</x:v>
      </x:c>
      <x:c r="R194" s="362" t="str">
        <x:f>IF(P194&lt;&gt;"OK","Not scored",IF(C194="Guards","Damage received reduction","Damage increase"))</x:f>
        <x:v>Damage increase</x:v>
      </x:c>
    </x:row>
    <x:row r="195" ht="32" customHeight="1">
      <x:c r="A195" s="365" t="str">
        <x:v>K116</x:v>
      </x:c>
      <x:c r="B195" s="365" t="str">
        <x:v>蜜蜜°</x:v>
      </x:c>
      <x:c r="C195" s="365" t="str">
        <x:v>Archers</x:v>
      </x:c>
      <x:c r="D195" s="365" t="str">
        <x:v>Elite bowmen</x:v>
      </x:c>
      <x:c r="E195" s="365" t="str">
        <x:v>Archer</x:v>
      </x:c>
      <x:c r="F195" s="365" t="n">
        <x:v>40</x:v>
      </x:c>
      <x:c r="G195" s="365" t="str">
        <x:v>Frost Arrow</x:v>
      </x:c>
      <x:c r="H195" s="365" t="str">
        <x:v>Has a higher probability of activating ice damage</x:v>
      </x:c>
      <x:c r="I195" s="365" t="str">
        <x:v>Unlocked</x:v>
      </x:c>
      <x:c r="J195" s="365" t="str">
        <x:v>02:07.250</x:v>
      </x:c>
      <x:c r="K195" s="365" t="str">
        <x:v>Source frame: frames4/f_00510.jpg</x:v>
      </x:c>
      <x:c r="L195" s="365" t="str">
        <x:v>1000025189.mp4</x:v>
      </x:c>
      <x:c r="M195" s="387" t="n">
        <x:f>IF(P195="OK",INDEX('Badge Lookup'!$B$6:$B$55,MATCH(F195,'Badge Lookup'!$A$6:$A$55,0)),0)</x:f>
        <x:v>240000</x:v>
      </x:c>
      <x:c r="N195" s="387" t="n">
        <x:f>IF(P195="OK",INDEX('Badge Lookup'!$C$6:$C$55,MATCH(F195,'Badge Lookup'!$A$6:$A$55,0)),0)</x:f>
        <x:v>2244300</x:v>
      </x:c>
      <x:c r="O195" s="388" t="n">
        <x:f>IF(P195="OK",INDEX('Badge Lookup'!$D$6:$D$55,MATCH(F195,'Badge Lookup'!$A$6:$A$55,0)),0)</x:f>
        <x:v>27.74</x:v>
      </x:c>
      <x:c r="P195" s="362" t="str">
        <x:f>IF(OR(G195="",F195=""),"Not scored",IF(AND(F195=INT(F195),F195&gt;=1,F195&lt;=50,COUNTIF('Badge Lookup'!$A$6:$A$55,F195)=1),"OK","Check lookup"))</x:f>
        <x:v>OK</x:v>
      </x:c>
      <x:c r="Q195" s="456" t="n">
        <x:f>IF(P195&lt;&gt;"OK","",IF(C195="Guards",-O195,O195))</x:f>
        <x:v>27.74</x:v>
      </x:c>
      <x:c r="R195" s="362" t="str">
        <x:f>IF(P195&lt;&gt;"OK","Not scored",IF(C195="Guards","Damage received reduction","Damage increase"))</x:f>
        <x:v>Damage increase</x:v>
      </x:c>
    </x:row>
    <x:row r="196" ht="32" customHeight="1">
      <x:c r="A196" s="365" t="str">
        <x:v>K116</x:v>
      </x:c>
      <x:c r="B196" s="365" t="str">
        <x:v>蜜蜜°</x:v>
      </x:c>
      <x:c r="C196" s="365" t="str">
        <x:v>Cavalry</x:v>
      </x:c>
      <x:c r="D196" s="365" t="str">
        <x:v>Storm cavalry</x:v>
      </x:c>
      <x:c r="E196" s="365" t="str">
        <x:v>Horse archer</x:v>
      </x:c>
      <x:c r="F196" s="365" t="n">
        <x:v>41</x:v>
      </x:c>
      <x:c r="G196" s="365" t="str">
        <x:v>Mounted Archery</x:v>
      </x:c>
      <x:c r="H196" s="365" t="str">
        <x:v>Has a certain probability of causing fly-shooting damage</x:v>
      </x:c>
      <x:c r="I196" s="365" t="str">
        <x:v>Unlocked</x:v>
      </x:c>
      <x:c r="J196" s="365" t="str">
        <x:v>02:08.250</x:v>
      </x:c>
      <x:c r="K196" s="365" t="str">
        <x:v>Source frame: frames4/f_00514.jpg</x:v>
      </x:c>
      <x:c r="L196" s="365" t="str">
        <x:v>1000025189.mp4</x:v>
      </x:c>
      <x:c r="M196" s="387" t="n">
        <x:f>IF(P196="OK",INDEX('Badge Lookup'!$B$6:$B$55,MATCH(F196,'Badge Lookup'!$A$6:$A$55,0)),0)</x:f>
        <x:v>280000</x:v>
      </x:c>
      <x:c r="N196" s="387" t="n">
        <x:f>IF(P196="OK",INDEX('Badge Lookup'!$C$6:$C$55,MATCH(F196,'Badge Lookup'!$A$6:$A$55,0)),0)</x:f>
        <x:v>2524300</x:v>
      </x:c>
      <x:c r="O196" s="388" t="n">
        <x:f>IF(P196="OK",INDEX('Badge Lookup'!$D$6:$D$55,MATCH(F196,'Badge Lookup'!$A$6:$A$55,0)),0)</x:f>
        <x:v>30.38</x:v>
      </x:c>
      <x:c r="P196" s="362" t="str">
        <x:f>IF(OR(G196="",F196=""),"Not scored",IF(AND(F196=INT(F196),F196&gt;=1,F196&lt;=50,COUNTIF('Badge Lookup'!$A$6:$A$55,F196)=1),"OK","Check lookup"))</x:f>
        <x:v>OK</x:v>
      </x:c>
      <x:c r="Q196" s="456" t="n">
        <x:f>IF(P196&lt;&gt;"OK","",IF(C196="Guards",-O196,O196))</x:f>
        <x:v>30.38</x:v>
      </x:c>
      <x:c r="R196" s="362" t="str">
        <x:f>IF(P196&lt;&gt;"OK","Not scored",IF(C196="Guards","Damage received reduction","Damage increase"))</x:f>
        <x:v>Damage increase</x:v>
      </x:c>
    </x:row>
    <x:row r="197" ht="32" customHeight="1">
      <x:c r="A197" s="365" t="str">
        <x:v>K116</x:v>
      </x:c>
      <x:c r="B197" s="365" t="str">
        <x:v>红烧狮子头</x:v>
      </x:c>
      <x:c r="C197" s="365" t="str">
        <x:v>Guards</x:v>
      </x:c>
      <x:c r="D197" s="365" t="str">
        <x:v>Destroyers</x:v>
      </x:c>
      <x:c r="E197" s="365" t="str">
        <x:v>Guard</x:v>
      </x:c>
      <x:c r="F197" s="365" t="n">
        <x:v>50</x:v>
      </x:c>
      <x:c r="G197" s="365" t="str">
        <x:v>Parry</x:v>
      </x:c>
      <x:c r="H197" s="365" t="str">
        <x:v>Provides a parry effect and a certain probability to increase damage</x:v>
      </x:c>
      <x:c r="I197" s="365" t="str">
        <x:v>Unlocked</x:v>
      </x:c>
      <x:c r="J197" s="365" t="str">
        <x:v>02:14.000</x:v>
      </x:c>
      <x:c r="K197" s="365" t="str">
        <x:v>Source frame: frames4/f_00537.jpg</x:v>
      </x:c>
      <x:c r="L197" s="365" t="str">
        <x:v>1000025189.mp4</x:v>
      </x:c>
      <x:c r="M197" s="387" t="n">
        <x:f>IF(P197="OK",INDEX('Badge Lookup'!$B$6:$B$55,MATCH(F197,'Badge Lookup'!$A$6:$A$55,0)),0)</x:f>
        <x:v>2000000</x:v>
      </x:c>
      <x:c r="N197" s="387" t="n">
        <x:f>IF(P197="OK",INDEX('Badge Lookup'!$C$6:$C$55,MATCH(F197,'Badge Lookup'!$A$6:$A$55,0)),0)</x:f>
        <x:v>10334300</x:v>
      </x:c>
      <x:c r="O197" s="388" t="n">
        <x:f>IF(P197="OK",INDEX('Badge Lookup'!$D$6:$D$55,MATCH(F197,'Badge Lookup'!$A$6:$A$55,0)),0)</x:f>
        <x:v>60</x:v>
      </x:c>
      <x:c r="P197" s="362" t="str">
        <x:f>IF(OR(G197="",F197=""),"Not scored",IF(AND(F197=INT(F197),F197&gt;=1,F197&lt;=50,COUNTIF('Badge Lookup'!$A$6:$A$55,F197)=1),"OK","Check lookup"))</x:f>
        <x:v>OK</x:v>
      </x:c>
      <x:c r="Q197" s="456" t="n">
        <x:f>IF(P197&lt;&gt;"OK","",IF(C197="Guards",-O197,O197))</x:f>
        <x:v>-60</x:v>
      </x:c>
      <x:c r="R197" s="362" t="str">
        <x:f>IF(P197&lt;&gt;"OK","Not scored",IF(C197="Guards","Damage received reduction","Damage increase"))</x:f>
        <x:v>Damage received reduction</x:v>
      </x:c>
    </x:row>
    <x:row r="198" ht="32" customHeight="1">
      <x:c r="A198" s="365" t="str">
        <x:v>K116</x:v>
      </x:c>
      <x:c r="B198" s="365" t="str">
        <x:v>红烧狮子头</x:v>
      </x:c>
      <x:c r="C198" s="365" t="str">
        <x:v>Cavalry</x:v>
      </x:c>
      <x:c r="D198" s="365" t="str">
        <x:v>Eternal knights</x:v>
      </x:c>
      <x:c r="E198" s="365" t="str">
        <x:v>Heavy Cavalry</x:v>
      </x:c>
      <x:c r="F198" s="365" t="n">
        <x:v>43</x:v>
      </x:c>
      <x:c r="G198" s="365" t="str">
        <x:v>Thunder trample</x:v>
      </x:c>
      <x:c r="H198" s="365" t="str">
        <x:v>Has a certain probability of causing trampling damage</x:v>
      </x:c>
      <x:c r="I198" s="365" t="str">
        <x:v>Unlocked</x:v>
      </x:c>
      <x:c r="J198" s="365" t="str">
        <x:v>02:15.000</x:v>
      </x:c>
      <x:c r="K198" s="365" t="str">
        <x:v>Source frame: frames4/f_00541.jpg</x:v>
      </x:c>
      <x:c r="L198" s="365" t="str">
        <x:v>1000025189.mp4</x:v>
      </x:c>
      <x:c r="M198" s="387" t="n">
        <x:f>IF(P198="OK",INDEX('Badge Lookup'!$B$6:$B$55,MATCH(F198,'Badge Lookup'!$A$6:$A$55,0)),0)</x:f>
        <x:v>400000</x:v>
      </x:c>
      <x:c r="N198" s="387" t="n">
        <x:f>IF(P198="OK",INDEX('Badge Lookup'!$C$6:$C$55,MATCH(F198,'Badge Lookup'!$A$6:$A$55,0)),0)</x:f>
        <x:v>3244300</x:v>
      </x:c>
      <x:c r="O198" s="388" t="n">
        <x:f>IF(P198="OK",INDEX('Badge Lookup'!$D$6:$D$55,MATCH(F198,'Badge Lookup'!$A$6:$A$55,0)),0)</x:f>
        <x:v>35.98</x:v>
      </x:c>
      <x:c r="P198" s="362" t="str">
        <x:f>IF(OR(G198="",F198=""),"Not scored",IF(AND(F198=INT(F198),F198&gt;=1,F198&lt;=50,COUNTIF('Badge Lookup'!$A$6:$A$55,F198)=1),"OK","Check lookup"))</x:f>
        <x:v>OK</x:v>
      </x:c>
      <x:c r="Q198" s="456" t="n">
        <x:f>IF(P198&lt;&gt;"OK","",IF(C198="Guards",-O198,O198))</x:f>
        <x:v>35.98</x:v>
      </x:c>
      <x:c r="R198" s="362" t="str">
        <x:f>IF(P198&lt;&gt;"OK","Not scored",IF(C198="Guards","Damage received reduction","Damage increase"))</x:f>
        <x:v>Damage increase</x:v>
      </x:c>
    </x:row>
    <x:row r="199" ht="32" customHeight="1">
      <x:c r="A199" s="365" t="str">
        <x:v>K116</x:v>
      </x:c>
      <x:c r="B199" s="365" t="str">
        <x:v>红烧狮子头</x:v>
      </x:c>
      <x:c r="C199" s="365" t="str">
        <x:v>Archers</x:v>
      </x:c>
      <x:c r="D199" s="365" t="str">
        <x:v>Elite bowmen</x:v>
      </x:c>
      <x:c r="E199" s="365" t="str">
        <x:v>Archer</x:v>
      </x:c>
      <x:c r="F199" s="365" t="n">
        <x:v>43</x:v>
      </x:c>
      <x:c r="G199" s="365" t="str">
        <x:v>Frost Arrow</x:v>
      </x:c>
      <x:c r="H199" s="365" t="str">
        <x:v>Has a higher probability of activating ice damage</x:v>
      </x:c>
      <x:c r="I199" s="365" t="str">
        <x:v>Unlocked</x:v>
      </x:c>
      <x:c r="J199" s="365" t="str">
        <x:v>02:15.750</x:v>
      </x:c>
      <x:c r="K199" s="365" t="str">
        <x:v>Source frame: frames4/f_00544.jpg</x:v>
      </x:c>
      <x:c r="L199" s="365" t="str">
        <x:v>1000025189.mp4</x:v>
      </x:c>
      <x:c r="M199" s="387" t="n">
        <x:f>IF(P199="OK",INDEX('Badge Lookup'!$B$6:$B$55,MATCH(F199,'Badge Lookup'!$A$6:$A$55,0)),0)</x:f>
        <x:v>400000</x:v>
      </x:c>
      <x:c r="N199" s="387" t="n">
        <x:f>IF(P199="OK",INDEX('Badge Lookup'!$C$6:$C$55,MATCH(F199,'Badge Lookup'!$A$6:$A$55,0)),0)</x:f>
        <x:v>3244300</x:v>
      </x:c>
      <x:c r="O199" s="388" t="n">
        <x:f>IF(P199="OK",INDEX('Badge Lookup'!$D$6:$D$55,MATCH(F199,'Badge Lookup'!$A$6:$A$55,0)),0)</x:f>
        <x:v>35.98</x:v>
      </x:c>
      <x:c r="P199" s="362" t="str">
        <x:f>IF(OR(G199="",F199=""),"Not scored",IF(AND(F199=INT(F199),F199&gt;=1,F199&lt;=50,COUNTIF('Badge Lookup'!$A$6:$A$55,F199)=1),"OK","Check lookup"))</x:f>
        <x:v>OK</x:v>
      </x:c>
      <x:c r="Q199" s="456" t="n">
        <x:f>IF(P199&lt;&gt;"OK","",IF(C199="Guards",-O199,O199))</x:f>
        <x:v>35.98</x:v>
      </x:c>
      <x:c r="R199" s="362" t="str">
        <x:f>IF(P199&lt;&gt;"OK","Not scored",IF(C199="Guards","Damage received reduction","Damage increase"))</x:f>
        <x:v>Damage increase</x:v>
      </x:c>
    </x:row>
    <x:row r="200" ht="32" customHeight="1">
      <x:c r="A200" s="365" t="str">
        <x:v>K116</x:v>
      </x:c>
      <x:c r="B200" s="365" t="str">
        <x:v>红烧狮子头</x:v>
      </x:c>
      <x:c r="C200" s="365" t="str">
        <x:v>Cavalry</x:v>
      </x:c>
      <x:c r="D200" s="365" t="str">
        <x:v>Storm cavalry</x:v>
      </x:c>
      <x:c r="E200" s="365" t="str">
        <x:v>Horse archer</x:v>
      </x:c>
      <x:c r="F200" s="365" t="n">
        <x:v>31</x:v>
      </x:c>
      <x:c r="G200" s="365" t="str">
        <x:v>Mounted Archery</x:v>
      </x:c>
      <x:c r="H200" s="365" t="str">
        <x:v>Has a certain probability of causing fly-shooting damage</x:v>
      </x:c>
      <x:c r="I200" s="365" t="str">
        <x:v>Unlocked</x:v>
      </x:c>
      <x:c r="J200" s="365" t="str">
        <x:v>02:16.500</x:v>
      </x:c>
      <x:c r="K200" s="365" t="str">
        <x:v>Source frame: frames4/f_00547.jpg</x:v>
      </x:c>
      <x:c r="L200" s="365" t="str">
        <x:v>1000025189.mp4</x:v>
      </x:c>
      <x:c r="M200" s="387" t="n">
        <x:f>IF(P200="OK",INDEX('Badge Lookup'!$B$6:$B$55,MATCH(F200,'Badge Lookup'!$A$6:$A$55,0)),0)</x:f>
        <x:v>90000</x:v>
      </x:c>
      <x:c r="N200" s="387" t="n">
        <x:f>IF(P200="OK",INDEX('Badge Lookup'!$C$6:$C$55,MATCH(F200,'Badge Lookup'!$A$6:$A$55,0)),0)</x:f>
        <x:v>864300</x:v>
      </x:c>
      <x:c r="O200" s="388" t="n">
        <x:f>IF(P200="OK",INDEX('Badge Lookup'!$D$6:$D$55,MATCH(F200,'Badge Lookup'!$A$6:$A$55,0)),0)</x:f>
        <x:v>12.09</x:v>
      </x:c>
      <x:c r="P200" s="362" t="str">
        <x:f>IF(OR(G200="",F200=""),"Not scored",IF(AND(F200=INT(F200),F200&gt;=1,F200&lt;=50,COUNTIF('Badge Lookup'!$A$6:$A$55,F200)=1),"OK","Check lookup"))</x:f>
        <x:v>OK</x:v>
      </x:c>
      <x:c r="Q200" s="456" t="n">
        <x:f>IF(P200&lt;&gt;"OK","",IF(C200="Guards",-O200,O200))</x:f>
        <x:v>12.09</x:v>
      </x:c>
      <x:c r="R200" s="362" t="str">
        <x:f>IF(P200&lt;&gt;"OK","Not scored",IF(C200="Guards","Damage received reduction","Damage increase"))</x:f>
        <x:v>Damage increase</x:v>
      </x:c>
    </x:row>
    <x:row r="201" ht="32" customHeight="1">
      <x:c r="A201" s="365" t="str">
        <x:v>K116</x:v>
      </x:c>
      <x:c r="B201" s="365" t="str">
        <x:v>那时像风一样</x:v>
      </x:c>
      <x:c r="C201" s="365" t="str">
        <x:v>Guards</x:v>
      </x:c>
      <x:c r="D201" s="365" t="str">
        <x:v>Destroyers</x:v>
      </x:c>
      <x:c r="E201" s="365" t="str">
        <x:v>Guard</x:v>
      </x:c>
      <x:c r="F201" s="365" t="n">
        <x:v>45</x:v>
      </x:c>
      <x:c r="G201" s="365" t="str">
        <x:v>Parry</x:v>
      </x:c>
      <x:c r="H201" s="365" t="str">
        <x:v>Provides a parry effect and a certain probability to increase damage</x:v>
      </x:c>
      <x:c r="I201" s="365" t="str">
        <x:v>Unlocked</x:v>
      </x:c>
      <x:c r="J201" s="365" t="str">
        <x:v>02:21.750</x:v>
      </x:c>
      <x:c r="K201" s="365" t="str">
        <x:v>Canonical player spelling supplied by lead extractor.; Source frame: frames4/f_00568.jpg</x:v>
      </x:c>
      <x:c r="L201" s="365" t="str">
        <x:v>1000025189.mp4</x:v>
      </x:c>
      <x:c r="M201" s="387" t="n">
        <x:f>IF(P201="OK",INDEX('Badge Lookup'!$B$6:$B$55,MATCH(F201,'Badge Lookup'!$A$6:$A$55,0)),0)</x:f>
        <x:v>560000</x:v>
      </x:c>
      <x:c r="N201" s="387" t="n">
        <x:f>IF(P201="OK",INDEX('Badge Lookup'!$C$6:$C$55,MATCH(F201,'Badge Lookup'!$A$6:$A$55,0)),0)</x:f>
        <x:v>4284300</x:v>
      </x:c>
      <x:c r="O201" s="388" t="n">
        <x:f>IF(P201="OK",INDEX('Badge Lookup'!$D$6:$D$55,MATCH(F201,'Badge Lookup'!$A$6:$A$55,0)),0)</x:f>
        <x:v>41.98</x:v>
      </x:c>
      <x:c r="P201" s="362" t="str">
        <x:f>IF(OR(G201="",F201=""),"Not scored",IF(AND(F201=INT(F201),F201&gt;=1,F201&lt;=50,COUNTIF('Badge Lookup'!$A$6:$A$55,F201)=1),"OK","Check lookup"))</x:f>
        <x:v>OK</x:v>
      </x:c>
      <x:c r="Q201" s="456" t="n">
        <x:f>IF(P201&lt;&gt;"OK","",IF(C201="Guards",-O201,O201))</x:f>
        <x:v>-41.98</x:v>
      </x:c>
      <x:c r="R201" s="362" t="str">
        <x:f>IF(P201&lt;&gt;"OK","Not scored",IF(C201="Guards","Damage received reduction","Damage increase"))</x:f>
        <x:v>Damage received reduction</x:v>
      </x:c>
    </x:row>
    <x:row r="202" ht="32" customHeight="1">
      <x:c r="A202" s="365" t="str">
        <x:v>K116</x:v>
      </x:c>
      <x:c r="B202" s="365" t="str">
        <x:v>那时像风一样</x:v>
      </x:c>
      <x:c r="C202" s="365" t="str">
        <x:v>Cavalry</x:v>
      </x:c>
      <x:c r="D202" s="365" t="str">
        <x:v>Eternal knights</x:v>
      </x:c>
      <x:c r="E202" s="365" t="str">
        <x:v>Heavy Cavalry</x:v>
      </x:c>
      <x:c r="F202" s="365" t="n">
        <x:v>43</x:v>
      </x:c>
      <x:c r="G202" s="365" t="str">
        <x:v>Thunder trample</x:v>
      </x:c>
      <x:c r="H202" s="365" t="str">
        <x:v>Has a certain probability of causing trampling damage</x:v>
      </x:c>
      <x:c r="I202" s="365" t="str">
        <x:v>Unlocked</x:v>
      </x:c>
      <x:c r="J202" s="365" t="str">
        <x:v>02:22.750</x:v>
      </x:c>
      <x:c r="K202" s="365" t="str">
        <x:v>Canonical player spelling supplied by lead extractor.; Source frame: frames4/f_00572.jpg</x:v>
      </x:c>
      <x:c r="L202" s="365" t="str">
        <x:v>1000025189.mp4</x:v>
      </x:c>
      <x:c r="M202" s="387" t="n">
        <x:f>IF(P202="OK",INDEX('Badge Lookup'!$B$6:$B$55,MATCH(F202,'Badge Lookup'!$A$6:$A$55,0)),0)</x:f>
        <x:v>400000</x:v>
      </x:c>
      <x:c r="N202" s="387" t="n">
        <x:f>IF(P202="OK",INDEX('Badge Lookup'!$C$6:$C$55,MATCH(F202,'Badge Lookup'!$A$6:$A$55,0)),0)</x:f>
        <x:v>3244300</x:v>
      </x:c>
      <x:c r="O202" s="388" t="n">
        <x:f>IF(P202="OK",INDEX('Badge Lookup'!$D$6:$D$55,MATCH(F202,'Badge Lookup'!$A$6:$A$55,0)),0)</x:f>
        <x:v>35.98</x:v>
      </x:c>
      <x:c r="P202" s="362" t="str">
        <x:f>IF(OR(G202="",F202=""),"Not scored",IF(AND(F202=INT(F202),F202&gt;=1,F202&lt;=50,COUNTIF('Badge Lookup'!$A$6:$A$55,F202)=1),"OK","Check lookup"))</x:f>
        <x:v>OK</x:v>
      </x:c>
      <x:c r="Q202" s="456" t="n">
        <x:f>IF(P202&lt;&gt;"OK","",IF(C202="Guards",-O202,O202))</x:f>
        <x:v>35.98</x:v>
      </x:c>
      <x:c r="R202" s="362" t="str">
        <x:f>IF(P202&lt;&gt;"OK","Not scored",IF(C202="Guards","Damage received reduction","Damage increase"))</x:f>
        <x:v>Damage increase</x:v>
      </x:c>
    </x:row>
    <x:row r="203" ht="32" customHeight="1">
      <x:c r="A203" s="365" t="str">
        <x:v>K116</x:v>
      </x:c>
      <x:c r="B203" s="365" t="str">
        <x:v>那时像风一样</x:v>
      </x:c>
      <x:c r="C203" s="365" t="str">
        <x:v>Archers</x:v>
      </x:c>
      <x:c r="D203" s="365" t="str">
        <x:v>Elite bowmen</x:v>
      </x:c>
      <x:c r="E203" s="365" t="str">
        <x:v>Archer</x:v>
      </x:c>
      <x:c r="F203" s="365" t="n">
        <x:v>40</x:v>
      </x:c>
      <x:c r="G203" s="365" t="str">
        <x:v>Frost Arrow</x:v>
      </x:c>
      <x:c r="H203" s="365" t="str">
        <x:v>Has a higher probability of activating ice damage</x:v>
      </x:c>
      <x:c r="I203" s="365" t="str">
        <x:v>Unlocked</x:v>
      </x:c>
      <x:c r="J203" s="365" t="str">
        <x:v>02:23.750</x:v>
      </x:c>
      <x:c r="K203" s="365" t="str">
        <x:v>Canonical player spelling supplied by lead extractor.; Source frame: frames4/f_00576.jpg</x:v>
      </x:c>
      <x:c r="L203" s="365" t="str">
        <x:v>1000025189.mp4</x:v>
      </x:c>
      <x:c r="M203" s="387" t="n">
        <x:f>IF(P203="OK",INDEX('Badge Lookup'!$B$6:$B$55,MATCH(F203,'Badge Lookup'!$A$6:$A$55,0)),0)</x:f>
        <x:v>240000</x:v>
      </x:c>
      <x:c r="N203" s="387" t="n">
        <x:f>IF(P203="OK",INDEX('Badge Lookup'!$C$6:$C$55,MATCH(F203,'Badge Lookup'!$A$6:$A$55,0)),0)</x:f>
        <x:v>2244300</x:v>
      </x:c>
      <x:c r="O203" s="388" t="n">
        <x:f>IF(P203="OK",INDEX('Badge Lookup'!$D$6:$D$55,MATCH(F203,'Badge Lookup'!$A$6:$A$55,0)),0)</x:f>
        <x:v>27.74</x:v>
      </x:c>
      <x:c r="P203" s="362" t="str">
        <x:f>IF(OR(G203="",F203=""),"Not scored",IF(AND(F203=INT(F203),F203&gt;=1,F203&lt;=50,COUNTIF('Badge Lookup'!$A$6:$A$55,F203)=1),"OK","Check lookup"))</x:f>
        <x:v>OK</x:v>
      </x:c>
      <x:c r="Q203" s="456" t="n">
        <x:f>IF(P203&lt;&gt;"OK","",IF(C203="Guards",-O203,O203))</x:f>
        <x:v>27.74</x:v>
      </x:c>
      <x:c r="R203" s="362" t="str">
        <x:f>IF(P203&lt;&gt;"OK","Not scored",IF(C203="Guards","Damage received reduction","Damage increase"))</x:f>
        <x:v>Damage increase</x:v>
      </x:c>
    </x:row>
    <x:row r="204" ht="32" customHeight="1">
      <x:c r="A204" s="365" t="str">
        <x:v>K116</x:v>
      </x:c>
      <x:c r="B204" s="365" t="str">
        <x:v>那时像风一样</x:v>
      </x:c>
      <x:c r="C204" s="365" t="str">
        <x:v>Cavalry</x:v>
      </x:c>
      <x:c r="D204" s="365" t="str">
        <x:v>Storm cavalry</x:v>
      </x:c>
      <x:c r="E204" s="365" t="str">
        <x:v>Horse archer</x:v>
      </x:c>
      <x:c r="F204" s="365" t="n">
        <x:v>43</x:v>
      </x:c>
      <x:c r="G204" s="365" t="str">
        <x:v>Mounted Archery</x:v>
      </x:c>
      <x:c r="H204" s="365" t="str">
        <x:v>Has a certain probability of causing fly-shooting damage</x:v>
      </x:c>
      <x:c r="I204" s="365" t="str">
        <x:v>Unlocked</x:v>
      </x:c>
      <x:c r="J204" s="365" t="str">
        <x:v>02:24.250</x:v>
      </x:c>
      <x:c r="K204" s="365" t="str">
        <x:v>Canonical player spelling supplied by lead extractor.; Source frame: frames4/f_00578.jpg</x:v>
      </x:c>
      <x:c r="L204" s="365" t="str">
        <x:v>1000025189.mp4</x:v>
      </x:c>
      <x:c r="M204" s="387" t="n">
        <x:f>IF(P204="OK",INDEX('Badge Lookup'!$B$6:$B$55,MATCH(F204,'Badge Lookup'!$A$6:$A$55,0)),0)</x:f>
        <x:v>400000</x:v>
      </x:c>
      <x:c r="N204" s="387" t="n">
        <x:f>IF(P204="OK",INDEX('Badge Lookup'!$C$6:$C$55,MATCH(F204,'Badge Lookup'!$A$6:$A$55,0)),0)</x:f>
        <x:v>3244300</x:v>
      </x:c>
      <x:c r="O204" s="388" t="n">
        <x:f>IF(P204="OK",INDEX('Badge Lookup'!$D$6:$D$55,MATCH(F204,'Badge Lookup'!$A$6:$A$55,0)),0)</x:f>
        <x:v>35.98</x:v>
      </x:c>
      <x:c r="P204" s="362" t="str">
        <x:f>IF(OR(G204="",F204=""),"Not scored",IF(AND(F204=INT(F204),F204&gt;=1,F204&lt;=50,COUNTIF('Badge Lookup'!$A$6:$A$55,F204)=1),"OK","Check lookup"))</x:f>
        <x:v>OK</x:v>
      </x:c>
      <x:c r="Q204" s="456" t="n">
        <x:f>IF(P204&lt;&gt;"OK","",IF(C204="Guards",-O204,O204))</x:f>
        <x:v>35.98</x:v>
      </x:c>
      <x:c r="R204" s="362" t="str">
        <x:f>IF(P204&lt;&gt;"OK","Not scored",IF(C204="Guards","Damage received reduction","Damage increase"))</x:f>
        <x:v>Damage increase</x:v>
      </x:c>
    </x:row>
    <x:row r="205" ht="32" customHeight="1">
      <x:c r="A205" s="365" t="str">
        <x:v>K116</x:v>
      </x:c>
      <x:c r="B205" s="365" t="str">
        <x:v>芙蕾魚</x:v>
      </x:c>
      <x:c r="C205" s="365" t="str">
        <x:v>Guards</x:v>
      </x:c>
      <x:c r="D205" s="365" t="str">
        <x:v>Destroyers</x:v>
      </x:c>
      <x:c r="E205" s="365" t="str">
        <x:v>Guard</x:v>
      </x:c>
      <x:c r="F205" s="365" t="n">
        <x:v>35</x:v>
      </x:c>
      <x:c r="G205" s="365" t="str">
        <x:v>Parry</x:v>
      </x:c>
      <x:c r="H205" s="365" t="str">
        <x:v>Provides a parry effect and a certain probability to increase damage</x:v>
      </x:c>
      <x:c r="I205" s="365" t="str">
        <x:v>Unlocked</x:v>
      </x:c>
      <x:c r="J205" s="365" t="str">
        <x:v>02:31.000</x:v>
      </x:c>
      <x:c r="K205" s="365" t="str">
        <x:v>Canonical player reading from independent 4 fps contacts; traditional 魚, medium-confidence name.; Source frame: frames4/f_00605.jpg</x:v>
      </x:c>
      <x:c r="L205" s="365" t="str">
        <x:v>1000025189.mp4</x:v>
      </x:c>
      <x:c r="M205" s="387" t="n">
        <x:f>IF(P205="OK",INDEX('Badge Lookup'!$B$6:$B$55,MATCH(F205,'Badge Lookup'!$A$6:$A$55,0)),0)</x:f>
        <x:v>130000</x:v>
      </x:c>
      <x:c r="N205" s="387" t="n">
        <x:f>IF(P205="OK",INDEX('Badge Lookup'!$C$6:$C$55,MATCH(F205,'Badge Lookup'!$A$6:$A$55,0)),0)</x:f>
        <x:v>1324300</x:v>
      </x:c>
      <x:c r="O205" s="388" t="n">
        <x:f>IF(P205="OK",INDEX('Badge Lookup'!$D$6:$D$55,MATCH(F205,'Badge Lookup'!$A$6:$A$55,0)),0)</x:f>
        <x:v>17.66</x:v>
      </x:c>
      <x:c r="P205" s="362" t="str">
        <x:f>IF(OR(G205="",F205=""),"Not scored",IF(AND(F205=INT(F205),F205&gt;=1,F205&lt;=50,COUNTIF('Badge Lookup'!$A$6:$A$55,F205)=1),"OK","Check lookup"))</x:f>
        <x:v>OK</x:v>
      </x:c>
      <x:c r="Q205" s="456" t="n">
        <x:f>IF(P205&lt;&gt;"OK","",IF(C205="Guards",-O205,O205))</x:f>
        <x:v>-17.66</x:v>
      </x:c>
      <x:c r="R205" s="362" t="str">
        <x:f>IF(P205&lt;&gt;"OK","Not scored",IF(C205="Guards","Damage received reduction","Damage increase"))</x:f>
        <x:v>Damage received reduction</x:v>
      </x:c>
    </x:row>
    <x:row r="206" ht="32" customHeight="1">
      <x:c r="A206" s="365" t="str">
        <x:v>K116</x:v>
      </x:c>
      <x:c r="B206" s="365" t="str">
        <x:v>芙蕾魚</x:v>
      </x:c>
      <x:c r="C206" s="365" t="str">
        <x:v>Cavalry</x:v>
      </x:c>
      <x:c r="D206" s="365" t="str">
        <x:v>Eternal knights</x:v>
      </x:c>
      <x:c r="E206" s="365" t="str">
        <x:v>Heavy Cavalry</x:v>
      </x:c>
      <x:c r="F206" s="365" t="n">
        <x:v>20</x:v>
      </x:c>
      <x:c r="G206" s="365" t="str">
        <x:v>Thunder trample</x:v>
      </x:c>
      <x:c r="H206" s="365" t="str">
        <x:v>Has a certain probability of causing trampling damage</x:v>
      </x:c>
      <x:c r="I206" s="365" t="str">
        <x:v>Unlocked</x:v>
      </x:c>
      <x:c r="J206" s="365" t="str">
        <x:v>02:31.750</x:v>
      </x:c>
      <x:c r="K206" s="365" t="str">
        <x:v>Canonical player reading from independent 4 fps contacts; traditional 魚, medium-confidence name.; Source frame: frames4/f_00608.jpg</x:v>
      </x:c>
      <x:c r="L206" s="365" t="str">
        <x:v>1000025189.mp4</x:v>
      </x:c>
      <x:c r="M206" s="387" t="n">
        <x:f>IF(P206="OK",INDEX('Badge Lookup'!$B$6:$B$55,MATCH(F206,'Badge Lookup'!$A$6:$A$55,0)),0)</x:f>
        <x:v>40000</x:v>
      </x:c>
      <x:c r="N206" s="387" t="n">
        <x:f>IF(P206="OK",INDEX('Badge Lookup'!$C$6:$C$55,MATCH(F206,'Badge Lookup'!$A$6:$A$55,0)),0)</x:f>
        <x:v>184300</x:v>
      </x:c>
      <x:c r="O206" s="388" t="n">
        <x:f>IF(P206="OK",INDEX('Badge Lookup'!$D$6:$D$55,MATCH(F206,'Badge Lookup'!$A$6:$A$55,0)),0)</x:f>
        <x:v>3</x:v>
      </x:c>
      <x:c r="P206" s="362" t="str">
        <x:f>IF(OR(G206="",F206=""),"Not scored",IF(AND(F206=INT(F206),F206&gt;=1,F206&lt;=50,COUNTIF('Badge Lookup'!$A$6:$A$55,F206)=1),"OK","Check lookup"))</x:f>
        <x:v>OK</x:v>
      </x:c>
      <x:c r="Q206" s="456" t="n">
        <x:f>IF(P206&lt;&gt;"OK","",IF(C206="Guards",-O206,O206))</x:f>
        <x:v>3</x:v>
      </x:c>
      <x:c r="R206" s="362" t="str">
        <x:f>IF(P206&lt;&gt;"OK","Not scored",IF(C206="Guards","Damage received reduction","Damage increase"))</x:f>
        <x:v>Damage increase</x:v>
      </x:c>
    </x:row>
    <x:row r="207" ht="32" customHeight="1">
      <x:c r="A207" s="365" t="str">
        <x:v>K116</x:v>
      </x:c>
      <x:c r="B207" s="365" t="str">
        <x:v>芙蕾魚</x:v>
      </x:c>
      <x:c r="C207" s="365" t="str">
        <x:v>Cavalry</x:v>
      </x:c>
      <x:c r="D207" s="365" t="str">
        <x:v>Storm cavalry</x:v>
      </x:c>
      <x:c r="E207" s="365" t="str">
        <x:v>Horse archer</x:v>
      </x:c>
      <x:c r="F207" s="365" t="n">
        <x:v>20</x:v>
      </x:c>
      <x:c r="G207" s="365" t="str">
        <x:v>Mounted Archery</x:v>
      </x:c>
      <x:c r="H207" s="365" t="str">
        <x:v>Has a certain probability of causing fly-shooting damage</x:v>
      </x:c>
      <x:c r="I207" s="365" t="str">
        <x:v>Unlocked</x:v>
      </x:c>
      <x:c r="J207" s="365" t="str">
        <x:v>02:32.500</x:v>
      </x:c>
      <x:c r="K207" s="365" t="str">
        <x:v>Canonical player reading from independent 4 fps contacts; traditional 魚, medium-confidence name.; Source frame: frames4/f_00611.jpg</x:v>
      </x:c>
      <x:c r="L207" s="365" t="str">
        <x:v>1000025189.mp4</x:v>
      </x:c>
      <x:c r="M207" s="387" t="n">
        <x:f>IF(P207="OK",INDEX('Badge Lookup'!$B$6:$B$55,MATCH(F207,'Badge Lookup'!$A$6:$A$55,0)),0)</x:f>
        <x:v>40000</x:v>
      </x:c>
      <x:c r="N207" s="387" t="n">
        <x:f>IF(P207="OK",INDEX('Badge Lookup'!$C$6:$C$55,MATCH(F207,'Badge Lookup'!$A$6:$A$55,0)),0)</x:f>
        <x:v>184300</x:v>
      </x:c>
      <x:c r="O207" s="388" t="n">
        <x:f>IF(P207="OK",INDEX('Badge Lookup'!$D$6:$D$55,MATCH(F207,'Badge Lookup'!$A$6:$A$55,0)),0)</x:f>
        <x:v>3</x:v>
      </x:c>
      <x:c r="P207" s="362" t="str">
        <x:f>IF(OR(G207="",F207=""),"Not scored",IF(AND(F207=INT(F207),F207&gt;=1,F207&lt;=50,COUNTIF('Badge Lookup'!$A$6:$A$55,F207)=1),"OK","Check lookup"))</x:f>
        <x:v>OK</x:v>
      </x:c>
      <x:c r="Q207" s="456" t="n">
        <x:f>IF(P207&lt;&gt;"OK","",IF(C207="Guards",-O207,O207))</x:f>
        <x:v>3</x:v>
      </x:c>
      <x:c r="R207" s="362" t="str">
        <x:f>IF(P207&lt;&gt;"OK","Not scored",IF(C207="Guards","Damage received reduction","Damage increase"))</x:f>
        <x:v>Damage increase</x:v>
      </x:c>
    </x:row>
    <x:row r="208" ht="32" customHeight="1">
      <x:c r="A208" s="365" t="str">
        <x:v>K116</x:v>
      </x:c>
      <x:c r="B208" s="365" t="str">
        <x:v>ALI</x:v>
      </x:c>
      <x:c r="C208" s="365" t="str">
        <x:v>Guards</x:v>
      </x:c>
      <x:c r="D208" s="365" t="str">
        <x:v>Destroyers</x:v>
      </x:c>
      <x:c r="E208" s="365" t="str">
        <x:v>Guard</x:v>
      </x:c>
      <x:c r="F208" s="365" t="n">
        <x:v>49</x:v>
      </x:c>
      <x:c r="G208" s="365" t="str">
        <x:v>Parry</x:v>
      </x:c>
      <x:c r="H208" s="365" t="str">
        <x:v>Provides a parry effect and a certain probability to increase damage</x:v>
      </x:c>
      <x:c r="I208" s="365" t="str">
        <x:v>Unlocked</x:v>
      </x:c>
      <x:c r="J208" s="365" t="str">
        <x:v>02:49.000</x:v>
      </x:c>
      <x:c r="K208" s="365" t="str">
        <x:v>Name confirmed from independent 4 fps contacts.; Source frame: frames4/f_00677.jpg</x:v>
      </x:c>
      <x:c r="L208" s="365" t="str">
        <x:v>1000025189.mp4</x:v>
      </x:c>
      <x:c r="M208" s="387" t="n">
        <x:f>IF(P208="OK",INDEX('Badge Lookup'!$B$6:$B$55,MATCH(F208,'Badge Lookup'!$A$6:$A$55,0)),0)</x:f>
        <x:v>1400000</x:v>
      </x:c>
      <x:c r="N208" s="387" t="n">
        <x:f>IF(P208="OK",INDEX('Badge Lookup'!$C$6:$C$55,MATCH(F208,'Badge Lookup'!$A$6:$A$55,0)),0)</x:f>
        <x:v>8334300</x:v>
      </x:c>
      <x:c r="O208" s="388" t="n">
        <x:f>IF(P208="OK",INDEX('Badge Lookup'!$D$6:$D$55,MATCH(F208,'Badge Lookup'!$A$6:$A$55,0)),0)</x:f>
        <x:v>55.2</x:v>
      </x:c>
      <x:c r="P208" s="362" t="str">
        <x:f>IF(OR(G208="",F208=""),"Not scored",IF(AND(F208=INT(F208),F208&gt;=1,F208&lt;=50,COUNTIF('Badge Lookup'!$A$6:$A$55,F208)=1),"OK","Check lookup"))</x:f>
        <x:v>OK</x:v>
      </x:c>
      <x:c r="Q208" s="456" t="n">
        <x:f>IF(P208&lt;&gt;"OK","",IF(C208="Guards",-O208,O208))</x:f>
        <x:v>-55.2</x:v>
      </x:c>
      <x:c r="R208" s="362" t="str">
        <x:f>IF(P208&lt;&gt;"OK","Not scored",IF(C208="Guards","Damage received reduction","Damage increase"))</x:f>
        <x:v>Damage received reduction</x:v>
      </x:c>
    </x:row>
    <x:row r="209" ht="32" customHeight="1">
      <x:c r="A209" s="365" t="str">
        <x:v>K116</x:v>
      </x:c>
      <x:c r="B209" s="365" t="str">
        <x:v>ALI</x:v>
      </x:c>
      <x:c r="C209" s="365" t="str">
        <x:v>Archers</x:v>
      </x:c>
      <x:c r="D209" s="365" t="str">
        <x:v>Elite bowmen</x:v>
      </x:c>
      <x:c r="E209" s="365" t="str">
        <x:v>Archer</x:v>
      </x:c>
      <x:c r="F209" s="365" t="n">
        <x:v>46</x:v>
      </x:c>
      <x:c r="G209" s="365" t="str">
        <x:v>Frost Arrow</x:v>
      </x:c>
      <x:c r="H209" s="365" t="str">
        <x:v>Has a higher probability of activating ice damage</x:v>
      </x:c>
      <x:c r="I209" s="365" t="str">
        <x:v>Unlocked</x:v>
      </x:c>
      <x:c r="J209" s="365" t="str">
        <x:v>02:49.750</x:v>
      </x:c>
      <x:c r="K209" s="365" t="str">
        <x:v>Name confirmed from independent 4 fps contacts.; Source frame: frames4/f_00680.jpg</x:v>
      </x:c>
      <x:c r="L209" s="365" t="str">
        <x:v>1000025189.mp4</x:v>
      </x:c>
      <x:c r="M209" s="387" t="n">
        <x:f>IF(P209="OK",INDEX('Badge Lookup'!$B$6:$B$55,MATCH(F209,'Badge Lookup'!$A$6:$A$55,0)),0)</x:f>
        <x:v>720000</x:v>
      </x:c>
      <x:c r="N209" s="387" t="n">
        <x:f>IF(P209="OK",INDEX('Badge Lookup'!$C$6:$C$55,MATCH(F209,'Badge Lookup'!$A$6:$A$55,0)),0)</x:f>
        <x:v>5004300</x:v>
      </x:c>
      <x:c r="O209" s="388" t="n">
        <x:f>IF(P209="OK",INDEX('Badge Lookup'!$D$6:$D$55,MATCH(F209,'Badge Lookup'!$A$6:$A$55,0)),0)</x:f>
        <x:v>45.13</x:v>
      </x:c>
      <x:c r="P209" s="362" t="str">
        <x:f>IF(OR(G209="",F209=""),"Not scored",IF(AND(F209=INT(F209),F209&gt;=1,F209&lt;=50,COUNTIF('Badge Lookup'!$A$6:$A$55,F209)=1),"OK","Check lookup"))</x:f>
        <x:v>OK</x:v>
      </x:c>
      <x:c r="Q209" s="456" t="n">
        <x:f>IF(P209&lt;&gt;"OK","",IF(C209="Guards",-O209,O209))</x:f>
        <x:v>45.13</x:v>
      </x:c>
      <x:c r="R209" s="362" t="str">
        <x:f>IF(P209&lt;&gt;"OK","Not scored",IF(C209="Guards","Damage received reduction","Damage increase"))</x:f>
        <x:v>Damage increase</x:v>
      </x:c>
    </x:row>
    <x:row r="210" ht="32" customHeight="1">
      <x:c r="A210" s="365" t="str">
        <x:v>K116</x:v>
      </x:c>
      <x:c r="B210" s="365" t="str">
        <x:v>ALI</x:v>
      </x:c>
      <x:c r="C210" s="365" t="str">
        <x:v>Archers</x:v>
      </x:c>
      <x:c r="D210" s="365" t="str">
        <x:v>Elite</x:v>
      </x:c>
      <x:c r="E210" s="365"/>
      <x:c r="F210" s="365" t="n">
        <x:v>30</x:v>
      </x:c>
      <x:c r="G210" s="365" t="str">
        <x:v>Focus</x:v>
      </x:c>
      <x:c r="H210" s="365" t="str">
        <x:v>Has a higher probability of providing focus damage</x:v>
      </x:c>
      <x:c r="I210" s="365" t="str">
        <x:v>Unlocked</x:v>
      </x:c>
      <x:c r="J210" s="365" t="str">
        <x:v>02:50.500</x:v>
      </x:c>
      <x:c r="K210" s="365" t="str">
        <x:v>Exact visible header is only 'Elite' (apparently truncated). Body text identifies Elite crossbowmen, so troop_type is normalized to Archers.; Source frame: frames4/f_00683.jpg</x:v>
      </x:c>
      <x:c r="L210" s="365" t="str">
        <x:v>1000025189.mp4</x:v>
      </x:c>
      <x:c r="M210" s="387" t="n">
        <x:f>IF(P210="OK",INDEX('Badge Lookup'!$B$6:$B$55,MATCH(F210,'Badge Lookup'!$A$6:$A$55,0)),0)</x:f>
        <x:v>80000</x:v>
      </x:c>
      <x:c r="N210" s="387" t="n">
        <x:f>IF(P210="OK",INDEX('Badge Lookup'!$C$6:$C$55,MATCH(F210,'Badge Lookup'!$A$6:$A$55,0)),0)</x:f>
        <x:v>774300</x:v>
      </x:c>
      <x:c r="O210" s="388" t="n">
        <x:f>IF(P210="OK",INDEX('Badge Lookup'!$D$6:$D$55,MATCH(F210,'Badge Lookup'!$A$6:$A$55,0)),0)</x:f>
        <x:v>10.82</x:v>
      </x:c>
      <x:c r="P210" s="362" t="str">
        <x:f>IF(OR(G210="",F210=""),"Not scored",IF(AND(F210=INT(F210),F210&gt;=1,F210&lt;=50,COUNTIF('Badge Lookup'!$A$6:$A$55,F210)=1),"OK","Check lookup"))</x:f>
        <x:v>OK</x:v>
      </x:c>
      <x:c r="Q210" s="456" t="n">
        <x:f>IF(P210&lt;&gt;"OK","",IF(C210="Guards",-O210,O210))</x:f>
        <x:v>10.82</x:v>
      </x:c>
      <x:c r="R210" s="362" t="str">
        <x:f>IF(P210&lt;&gt;"OK","Not scored",IF(C210="Guards","Damage received reduction","Damage increase"))</x:f>
        <x:v>Damage increase</x:v>
      </x:c>
    </x:row>
    <x:row r="211" ht="32" customHeight="1">
      <x:c r="A211" s="365" t="str">
        <x:v>K116</x:v>
      </x:c>
      <x:c r="B211" s="365" t="str">
        <x:v>不可盾号</x:v>
      </x:c>
      <x:c r="C211" s="365" t="str">
        <x:v>Guards</x:v>
      </x:c>
      <x:c r="D211" s="365" t="str">
        <x:v>Destroyers</x:v>
      </x:c>
      <x:c r="E211" s="365" t="str">
        <x:v>Guard</x:v>
      </x:c>
      <x:c r="F211" s="365" t="n">
        <x:v>40</x:v>
      </x:c>
      <x:c r="G211" s="365" t="str">
        <x:v>Parry</x:v>
      </x:c>
      <x:c r="H211" s="365" t="str">
        <x:v>Provides a parry effect and a certain probability to increase damage</x:v>
      </x:c>
      <x:c r="I211" s="365" t="str">
        <x:v>Unlocked</x:v>
      </x:c>
      <x:c r="J211" s="365" t="str">
        <x:v>02:57.500</x:v>
      </x:c>
      <x:c r="K211" s="365" t="str">
        <x:v>Name confirmed from independent 4 fps contacts.; Source frame: frames4/f_00711.jpg</x:v>
      </x:c>
      <x:c r="L211" s="365" t="str">
        <x:v>1000025189.mp4</x:v>
      </x:c>
      <x:c r="M211" s="387" t="n">
        <x:f>IF(P211="OK",INDEX('Badge Lookup'!$B$6:$B$55,MATCH(F211,'Badge Lookup'!$A$6:$A$55,0)),0)</x:f>
        <x:v>240000</x:v>
      </x:c>
      <x:c r="N211" s="387" t="n">
        <x:f>IF(P211="OK",INDEX('Badge Lookup'!$C$6:$C$55,MATCH(F211,'Badge Lookup'!$A$6:$A$55,0)),0)</x:f>
        <x:v>2244300</x:v>
      </x:c>
      <x:c r="O211" s="388" t="n">
        <x:f>IF(P211="OK",INDEX('Badge Lookup'!$D$6:$D$55,MATCH(F211,'Badge Lookup'!$A$6:$A$55,0)),0)</x:f>
        <x:v>27.74</x:v>
      </x:c>
      <x:c r="P211" s="362" t="str">
        <x:f>IF(OR(G211="",F211=""),"Not scored",IF(AND(F211=INT(F211),F211&gt;=1,F211&lt;=50,COUNTIF('Badge Lookup'!$A$6:$A$55,F211)=1),"OK","Check lookup"))</x:f>
        <x:v>OK</x:v>
      </x:c>
      <x:c r="Q211" s="456" t="n">
        <x:f>IF(P211&lt;&gt;"OK","",IF(C211="Guards",-O211,O211))</x:f>
        <x:v>-27.74</x:v>
      </x:c>
      <x:c r="R211" s="362" t="str">
        <x:f>IF(P211&lt;&gt;"OK","Not scored",IF(C211="Guards","Damage received reduction","Damage increase"))</x:f>
        <x:v>Damage received reduction</x:v>
      </x:c>
    </x:row>
    <x:row r="212" ht="32" customHeight="1">
      <x:c r="A212" s="365" t="str">
        <x:v>K116</x:v>
      </x:c>
      <x:c r="B212" s="365" t="str">
        <x:v>光之使者</x:v>
      </x:c>
      <x:c r="C212" s="365" t="str">
        <x:v>Guards</x:v>
      </x:c>
      <x:c r="D212" s="365" t="str">
        <x:v>Destroyers</x:v>
      </x:c>
      <x:c r="E212" s="365" t="str">
        <x:v>Guard</x:v>
      </x:c>
      <x:c r="F212" s="365" t="n">
        <x:v>50</x:v>
      </x:c>
      <x:c r="G212" s="365" t="str">
        <x:v>Parry</x:v>
      </x:c>
      <x:c r="H212" s="365" t="str">
        <x:v>Provides a parry effect and a certain probability to increase damage</x:v>
      </x:c>
      <x:c r="I212" s="365" t="str">
        <x:v>Unlocked</x:v>
      </x:c>
      <x:c r="J212" s="365" t="str">
        <x:v>03:06.000</x:v>
      </x:c>
      <x:c r="K212" s="365" t="str">
        <x:v>Source frame: frames4/f_00745.jpg</x:v>
      </x:c>
      <x:c r="L212" s="365" t="str">
        <x:v>1000025189.mp4</x:v>
      </x:c>
      <x:c r="M212" s="387" t="n">
        <x:f>IF(P212="OK",INDEX('Badge Lookup'!$B$6:$B$55,MATCH(F212,'Badge Lookup'!$A$6:$A$55,0)),0)</x:f>
        <x:v>2000000</x:v>
      </x:c>
      <x:c r="N212" s="387" t="n">
        <x:f>IF(P212="OK",INDEX('Badge Lookup'!$C$6:$C$55,MATCH(F212,'Badge Lookup'!$A$6:$A$55,0)),0)</x:f>
        <x:v>10334300</x:v>
      </x:c>
      <x:c r="O212" s="388" t="n">
        <x:f>IF(P212="OK",INDEX('Badge Lookup'!$D$6:$D$55,MATCH(F212,'Badge Lookup'!$A$6:$A$55,0)),0)</x:f>
        <x:v>60</x:v>
      </x:c>
      <x:c r="P212" s="362" t="str">
        <x:f>IF(OR(G212="",F212=""),"Not scored",IF(AND(F212=INT(F212),F212&gt;=1,F212&lt;=50,COUNTIF('Badge Lookup'!$A$6:$A$55,F212)=1),"OK","Check lookup"))</x:f>
        <x:v>OK</x:v>
      </x:c>
      <x:c r="Q212" s="456" t="n">
        <x:f>IF(P212&lt;&gt;"OK","",IF(C212="Guards",-O212,O212))</x:f>
        <x:v>-60</x:v>
      </x:c>
      <x:c r="R212" s="362" t="str">
        <x:f>IF(P212&lt;&gt;"OK","Not scored",IF(C212="Guards","Damage received reduction","Damage increase"))</x:f>
        <x:v>Damage received reduction</x:v>
      </x:c>
    </x:row>
    <x:row r="213" ht="32" customHeight="1">
      <x:c r="A213" s="365" t="str">
        <x:v>K116</x:v>
      </x:c>
      <x:c r="B213" s="365" t="str">
        <x:v>光之使者</x:v>
      </x:c>
      <x:c r="C213" s="365" t="str">
        <x:v>Cavalry</x:v>
      </x:c>
      <x:c r="D213" s="365" t="str">
        <x:v>Eternal knights</x:v>
      </x:c>
      <x:c r="E213" s="365" t="str">
        <x:v>Heavy Cavalry</x:v>
      </x:c>
      <x:c r="F213" s="365" t="n">
        <x:v>44</x:v>
      </x:c>
      <x:c r="G213" s="365" t="str">
        <x:v>Thunder trample</x:v>
      </x:c>
      <x:c r="H213" s="365" t="str">
        <x:v>Has a certain probability of causing trampling damage</x:v>
      </x:c>
      <x:c r="I213" s="365" t="str">
        <x:v>Unlocked</x:v>
      </x:c>
      <x:c r="J213" s="365" t="str">
        <x:v>03:07.000</x:v>
      </x:c>
      <x:c r="K213" s="365" t="str">
        <x:v>Source frame: frames4/f_00749.jpg</x:v>
      </x:c>
      <x:c r="L213" s="365" t="str">
        <x:v>1000025189.mp4</x:v>
      </x:c>
      <x:c r="M213" s="387" t="n">
        <x:f>IF(P213="OK",INDEX('Badge Lookup'!$B$6:$B$55,MATCH(F213,'Badge Lookup'!$A$6:$A$55,0)),0)</x:f>
        <x:v>480000</x:v>
      </x:c>
      <x:c r="N213" s="387" t="n">
        <x:f>IF(P213="OK",INDEX('Badge Lookup'!$C$6:$C$55,MATCH(F213,'Badge Lookup'!$A$6:$A$55,0)),0)</x:f>
        <x:v>3724300</x:v>
      </x:c>
      <x:c r="O213" s="388" t="n">
        <x:f>IF(P213="OK",INDEX('Badge Lookup'!$D$6:$D$55,MATCH(F213,'Badge Lookup'!$A$6:$A$55,0)),0)</x:f>
        <x:v>39.93</x:v>
      </x:c>
      <x:c r="P213" s="362" t="str">
        <x:f>IF(OR(G213="",F213=""),"Not scored",IF(AND(F213=INT(F213),F213&gt;=1,F213&lt;=50,COUNTIF('Badge Lookup'!$A$6:$A$55,F213)=1),"OK","Check lookup"))</x:f>
        <x:v>OK</x:v>
      </x:c>
      <x:c r="Q213" s="456" t="n">
        <x:f>IF(P213&lt;&gt;"OK","",IF(C213="Guards",-O213,O213))</x:f>
        <x:v>39.93</x:v>
      </x:c>
      <x:c r="R213" s="362" t="str">
        <x:f>IF(P213&lt;&gt;"OK","Not scored",IF(C213="Guards","Damage received reduction","Damage increase"))</x:f>
        <x:v>Damage increase</x:v>
      </x:c>
    </x:row>
    <x:row r="214" ht="32" customHeight="1">
      <x:c r="A214" s="365" t="str">
        <x:v>K116</x:v>
      </x:c>
      <x:c r="B214" s="365" t="str">
        <x:v>光之使者</x:v>
      </x:c>
      <x:c r="C214" s="365" t="str">
        <x:v>Archers</x:v>
      </x:c>
      <x:c r="D214" s="365" t="str">
        <x:v>Elite bowmen</x:v>
      </x:c>
      <x:c r="E214" s="365" t="str">
        <x:v>Archer</x:v>
      </x:c>
      <x:c r="F214" s="365" t="n">
        <x:v>45</x:v>
      </x:c>
      <x:c r="G214" s="365" t="str">
        <x:v>Frost Arrow</x:v>
      </x:c>
      <x:c r="H214" s="365" t="str">
        <x:v>Has a higher probability of activating ice damage</x:v>
      </x:c>
      <x:c r="I214" s="365" t="str">
        <x:v>Unlocked</x:v>
      </x:c>
      <x:c r="J214" s="365" t="str">
        <x:v>03:08.000</x:v>
      </x:c>
      <x:c r="K214" s="365" t="str">
        <x:v>Source frame: frames4/f_00753.jpg</x:v>
      </x:c>
      <x:c r="L214" s="365" t="str">
        <x:v>1000025189.mp4</x:v>
      </x:c>
      <x:c r="M214" s="387" t="n">
        <x:f>IF(P214="OK",INDEX('Badge Lookup'!$B$6:$B$55,MATCH(F214,'Badge Lookup'!$A$6:$A$55,0)),0)</x:f>
        <x:v>560000</x:v>
      </x:c>
      <x:c r="N214" s="387" t="n">
        <x:f>IF(P214="OK",INDEX('Badge Lookup'!$C$6:$C$55,MATCH(F214,'Badge Lookup'!$A$6:$A$55,0)),0)</x:f>
        <x:v>4284300</x:v>
      </x:c>
      <x:c r="O214" s="388" t="n">
        <x:f>IF(P214="OK",INDEX('Badge Lookup'!$D$6:$D$55,MATCH(F214,'Badge Lookup'!$A$6:$A$55,0)),0)</x:f>
        <x:v>41.98</x:v>
      </x:c>
      <x:c r="P214" s="362" t="str">
        <x:f>IF(OR(G214="",F214=""),"Not scored",IF(AND(F214=INT(F214),F214&gt;=1,F214&lt;=50,COUNTIF('Badge Lookup'!$A$6:$A$55,F214)=1),"OK","Check lookup"))</x:f>
        <x:v>OK</x:v>
      </x:c>
      <x:c r="Q214" s="456" t="n">
        <x:f>IF(P214&lt;&gt;"OK","",IF(C214="Guards",-O214,O214))</x:f>
        <x:v>41.98</x:v>
      </x:c>
      <x:c r="R214" s="362" t="str">
        <x:f>IF(P214&lt;&gt;"OK","Not scored",IF(C214="Guards","Damage received reduction","Damage increase"))</x:f>
        <x:v>Damage increase</x:v>
      </x:c>
    </x:row>
    <x:row r="215" ht="32" customHeight="1">
      <x:c r="A215" s="365" t="str">
        <x:v>K116</x:v>
      </x:c>
      <x:c r="B215" s="365" t="str">
        <x:v>光之使者</x:v>
      </x:c>
      <x:c r="C215" s="365" t="str">
        <x:v>Siege</x:v>
      </x:c>
      <x:c r="D215" s="365" t="str">
        <x:v>Manglers</x:v>
      </x:c>
      <x:c r="E215" s="365" t="str">
        <x:v>Siege</x:v>
      </x:c>
      <x:c r="F215" s="365" t="n">
        <x:v>45</x:v>
      </x:c>
      <x:c r="G215" s="365" t="str">
        <x:v>Highly toxic</x:v>
      </x:c>
      <x:c r="H215" s="365" t="str">
        <x:v>Inflict continuous toxic damage</x:v>
      </x:c>
      <x:c r="I215" s="365" t="str">
        <x:v>Unlocked</x:v>
      </x:c>
      <x:c r="J215" s="365" t="str">
        <x:v>03:08.500</x:v>
      </x:c>
      <x:c r="K215" s="365" t="str">
        <x:v>Source frame: frames4/f_00755.jpg</x:v>
      </x:c>
      <x:c r="L215" s="365" t="str">
        <x:v>1000025189.mp4</x:v>
      </x:c>
      <x:c r="M215" s="387" t="n">
        <x:f>IF(P215="OK",INDEX('Badge Lookup'!$B$6:$B$55,MATCH(F215,'Badge Lookup'!$A$6:$A$55,0)),0)</x:f>
        <x:v>560000</x:v>
      </x:c>
      <x:c r="N215" s="387" t="n">
        <x:f>IF(P215="OK",INDEX('Badge Lookup'!$C$6:$C$55,MATCH(F215,'Badge Lookup'!$A$6:$A$55,0)),0)</x:f>
        <x:v>4284300</x:v>
      </x:c>
      <x:c r="O215" s="388" t="n">
        <x:f>IF(P215="OK",INDEX('Badge Lookup'!$D$6:$D$55,MATCH(F215,'Badge Lookup'!$A$6:$A$55,0)),0)</x:f>
        <x:v>41.98</x:v>
      </x:c>
      <x:c r="P215" s="362" t="str">
        <x:f>IF(OR(G215="",F215=""),"Not scored",IF(AND(F215=INT(F215),F215&gt;=1,F215&lt;=50,COUNTIF('Badge Lookup'!$A$6:$A$55,F215)=1),"OK","Check lookup"))</x:f>
        <x:v>OK</x:v>
      </x:c>
      <x:c r="Q215" s="456" t="n">
        <x:f>IF(P215&lt;&gt;"OK","",IF(C215="Guards",-O215,O215))</x:f>
        <x:v>41.98</x:v>
      </x:c>
      <x:c r="R215" s="362" t="str">
        <x:f>IF(P215&lt;&gt;"OK","Not scored",IF(C215="Guards","Damage received reduction","Damage increase"))</x:f>
        <x:v>Damage increase</x:v>
      </x:c>
    </x:row>
    <x:row r="216" ht="32" customHeight="1">
      <x:c r="A216" s="365" t="str">
        <x:v>K116</x:v>
      </x:c>
      <x:c r="B216" s="365" t="str">
        <x:v>光之使者</x:v>
      </x:c>
      <x:c r="C216" s="365" t="str">
        <x:v>Cavalry</x:v>
      </x:c>
      <x:c r="D216" s="365" t="str">
        <x:v>Storm cavalry</x:v>
      </x:c>
      <x:c r="E216" s="365" t="str">
        <x:v>Horse archer</x:v>
      </x:c>
      <x:c r="F216" s="365" t="n">
        <x:v>45</x:v>
      </x:c>
      <x:c r="G216" s="365" t="str">
        <x:v>Mounted Archery</x:v>
      </x:c>
      <x:c r="H216" s="365" t="str">
        <x:v>Has a certain probability of causing fly-shooting damage</x:v>
      </x:c>
      <x:c r="I216" s="365" t="str">
        <x:v>Unlocked</x:v>
      </x:c>
      <x:c r="J216" s="365" t="str">
        <x:v>03:09.250</x:v>
      </x:c>
      <x:c r="K216" s="365" t="str">
        <x:v>Source frame: frames4/f_00758.jpg</x:v>
      </x:c>
      <x:c r="L216" s="365" t="str">
        <x:v>1000025189.mp4</x:v>
      </x:c>
      <x:c r="M216" s="387" t="n">
        <x:f>IF(P216="OK",INDEX('Badge Lookup'!$B$6:$B$55,MATCH(F216,'Badge Lookup'!$A$6:$A$55,0)),0)</x:f>
        <x:v>560000</x:v>
      </x:c>
      <x:c r="N216" s="387" t="n">
        <x:f>IF(P216="OK",INDEX('Badge Lookup'!$C$6:$C$55,MATCH(F216,'Badge Lookup'!$A$6:$A$55,0)),0)</x:f>
        <x:v>4284300</x:v>
      </x:c>
      <x:c r="O216" s="388" t="n">
        <x:f>IF(P216="OK",INDEX('Badge Lookup'!$D$6:$D$55,MATCH(F216,'Badge Lookup'!$A$6:$A$55,0)),0)</x:f>
        <x:v>41.98</x:v>
      </x:c>
      <x:c r="P216" s="362" t="str">
        <x:f>IF(OR(G216="",F216=""),"Not scored",IF(AND(F216=INT(F216),F216&gt;=1,F216&lt;=50,COUNTIF('Badge Lookup'!$A$6:$A$55,F216)=1),"OK","Check lookup"))</x:f>
        <x:v>OK</x:v>
      </x:c>
      <x:c r="Q216" s="456" t="n">
        <x:f>IF(P216&lt;&gt;"OK","",IF(C216="Guards",-O216,O216))</x:f>
        <x:v>41.98</x:v>
      </x:c>
      <x:c r="R216" s="362" t="str">
        <x:f>IF(P216&lt;&gt;"OK","Not scored",IF(C216="Guards","Damage received reduction","Damage increase"))</x:f>
        <x:v>Damage increase</x:v>
      </x:c>
    </x:row>
    <x:row r="217" ht="32" customHeight="1">
      <x:c r="A217" s="365" t="str">
        <x:v>K116</x:v>
      </x:c>
      <x:c r="B217" s="365" t="str">
        <x:v>逍遥浪四月</x:v>
      </x:c>
      <x:c r="C217" s="365" t="str">
        <x:v>Guards</x:v>
      </x:c>
      <x:c r="D217" s="365" t="str">
        <x:v>Destroyers</x:v>
      </x:c>
      <x:c r="E217" s="365" t="str">
        <x:v>Guard</x:v>
      </x:c>
      <x:c r="F217" s="365" t="n">
        <x:v>40</x:v>
      </x:c>
      <x:c r="G217" s="365" t="str">
        <x:v>Parry</x:v>
      </x:c>
      <x:c r="H217" s="365" t="str">
        <x:v>Provides a parry effect and a certain probability to increase damage</x:v>
      </x:c>
      <x:c r="I217" s="365" t="str">
        <x:v>Unlocked</x:v>
      </x:c>
      <x:c r="J217" s="365" t="str">
        <x:v>03:16.750</x:v>
      </x:c>
      <x:c r="K217" s="365" t="str">
        <x:v>Source frame: frames4/f_00788.jpg</x:v>
      </x:c>
      <x:c r="L217" s="365" t="str">
        <x:v>1000025189.mp4</x:v>
      </x:c>
      <x:c r="M217" s="387" t="n">
        <x:f>IF(P217="OK",INDEX('Badge Lookup'!$B$6:$B$55,MATCH(F217,'Badge Lookup'!$A$6:$A$55,0)),0)</x:f>
        <x:v>240000</x:v>
      </x:c>
      <x:c r="N217" s="387" t="n">
        <x:f>IF(P217="OK",INDEX('Badge Lookup'!$C$6:$C$55,MATCH(F217,'Badge Lookup'!$A$6:$A$55,0)),0)</x:f>
        <x:v>2244300</x:v>
      </x:c>
      <x:c r="O217" s="388" t="n">
        <x:f>IF(P217="OK",INDEX('Badge Lookup'!$D$6:$D$55,MATCH(F217,'Badge Lookup'!$A$6:$A$55,0)),0)</x:f>
        <x:v>27.74</x:v>
      </x:c>
      <x:c r="P217" s="362" t="str">
        <x:f>IF(OR(G217="",F217=""),"Not scored",IF(AND(F217=INT(F217),F217&gt;=1,F217&lt;=50,COUNTIF('Badge Lookup'!$A$6:$A$55,F217)=1),"OK","Check lookup"))</x:f>
        <x:v>OK</x:v>
      </x:c>
      <x:c r="Q217" s="456" t="n">
        <x:f>IF(P217&lt;&gt;"OK","",IF(C217="Guards",-O217,O217))</x:f>
        <x:v>-27.74</x:v>
      </x:c>
      <x:c r="R217" s="362" t="str">
        <x:f>IF(P217&lt;&gt;"OK","Not scored",IF(C217="Guards","Damage received reduction","Damage increase"))</x:f>
        <x:v>Damage received reduction</x:v>
      </x:c>
    </x:row>
    <x:row r="218" ht="32" customHeight="1">
      <x:c r="A218" s="365" t="str">
        <x:v>K116</x:v>
      </x:c>
      <x:c r="B218" s="365" t="str">
        <x:v>逍遥浪四月</x:v>
      </x:c>
      <x:c r="C218" s="365" t="str">
        <x:v>Cavalry</x:v>
      </x:c>
      <x:c r="D218" s="365" t="str">
        <x:v>Eternal knights</x:v>
      </x:c>
      <x:c r="E218" s="365" t="str">
        <x:v>Heavy Cavalry</x:v>
      </x:c>
      <x:c r="F218" s="365" t="n">
        <x:v>40</x:v>
      </x:c>
      <x:c r="G218" s="365" t="str">
        <x:v>Thunder trample</x:v>
      </x:c>
      <x:c r="H218" s="365" t="str">
        <x:v>Has a certain probability of causing trampling damage</x:v>
      </x:c>
      <x:c r="I218" s="365" t="str">
        <x:v>Unlocked</x:v>
      </x:c>
      <x:c r="J218" s="365" t="str">
        <x:v>03:17.750</x:v>
      </x:c>
      <x:c r="K218" s="365" t="str">
        <x:v>Source frame: frames4/f_00792.jpg</x:v>
      </x:c>
      <x:c r="L218" s="365" t="str">
        <x:v>1000025189.mp4</x:v>
      </x:c>
      <x:c r="M218" s="387" t="n">
        <x:f>IF(P218="OK",INDEX('Badge Lookup'!$B$6:$B$55,MATCH(F218,'Badge Lookup'!$A$6:$A$55,0)),0)</x:f>
        <x:v>240000</x:v>
      </x:c>
      <x:c r="N218" s="387" t="n">
        <x:f>IF(P218="OK",INDEX('Badge Lookup'!$C$6:$C$55,MATCH(F218,'Badge Lookup'!$A$6:$A$55,0)),0)</x:f>
        <x:v>2244300</x:v>
      </x:c>
      <x:c r="O218" s="388" t="n">
        <x:f>IF(P218="OK",INDEX('Badge Lookup'!$D$6:$D$55,MATCH(F218,'Badge Lookup'!$A$6:$A$55,0)),0)</x:f>
        <x:v>27.74</x:v>
      </x:c>
      <x:c r="P218" s="362" t="str">
        <x:f>IF(OR(G218="",F218=""),"Not scored",IF(AND(F218=INT(F218),F218&gt;=1,F218&lt;=50,COUNTIF('Badge Lookup'!$A$6:$A$55,F218)=1),"OK","Check lookup"))</x:f>
        <x:v>OK</x:v>
      </x:c>
      <x:c r="Q218" s="456" t="n">
        <x:f>IF(P218&lt;&gt;"OK","",IF(C218="Guards",-O218,O218))</x:f>
        <x:v>27.74</x:v>
      </x:c>
      <x:c r="R218" s="362" t="str">
        <x:f>IF(P218&lt;&gt;"OK","Not scored",IF(C218="Guards","Damage received reduction","Damage increase"))</x:f>
        <x:v>Damage increase</x:v>
      </x:c>
    </x:row>
    <x:row r="219" ht="32" customHeight="1">
      <x:c r="A219" s="365" t="str">
        <x:v>K116</x:v>
      </x:c>
      <x:c r="B219" s="365" t="str">
        <x:v>逍遥浪四月</x:v>
      </x:c>
      <x:c r="C219" s="365" t="str">
        <x:v>Cavalry</x:v>
      </x:c>
      <x:c r="D219" s="365" t="str">
        <x:v>Storm cavalry</x:v>
      </x:c>
      <x:c r="E219" s="365" t="str">
        <x:v>Horse archer</x:v>
      </x:c>
      <x:c r="F219" s="365" t="n">
        <x:v>40</x:v>
      </x:c>
      <x:c r="G219" s="365" t="str">
        <x:v>Mounted Archery</x:v>
      </x:c>
      <x:c r="H219" s="365" t="str">
        <x:v>Has a certain probability of causing fly-shooting damage</x:v>
      </x:c>
      <x:c r="I219" s="365" t="str">
        <x:v>Unlocked</x:v>
      </x:c>
      <x:c r="J219" s="365" t="str">
        <x:v>03:18.500</x:v>
      </x:c>
      <x:c r="K219" s="365" t="str">
        <x:v>Source frame: frames4/f_00795.jpg</x:v>
      </x:c>
      <x:c r="L219" s="365" t="str">
        <x:v>1000025189.mp4</x:v>
      </x:c>
      <x:c r="M219" s="387" t="n">
        <x:f>IF(P219="OK",INDEX('Badge Lookup'!$B$6:$B$55,MATCH(F219,'Badge Lookup'!$A$6:$A$55,0)),0)</x:f>
        <x:v>240000</x:v>
      </x:c>
      <x:c r="N219" s="387" t="n">
        <x:f>IF(P219="OK",INDEX('Badge Lookup'!$C$6:$C$55,MATCH(F219,'Badge Lookup'!$A$6:$A$55,0)),0)</x:f>
        <x:v>2244300</x:v>
      </x:c>
      <x:c r="O219" s="388" t="n">
        <x:f>IF(P219="OK",INDEX('Badge Lookup'!$D$6:$D$55,MATCH(F219,'Badge Lookup'!$A$6:$A$55,0)),0)</x:f>
        <x:v>27.74</x:v>
      </x:c>
      <x:c r="P219" s="362" t="str">
        <x:f>IF(OR(G219="",F219=""),"Not scored",IF(AND(F219=INT(F219),F219&gt;=1,F219&lt;=50,COUNTIF('Badge Lookup'!$A$6:$A$55,F219)=1),"OK","Check lookup"))</x:f>
        <x:v>OK</x:v>
      </x:c>
      <x:c r="Q219" s="456" t="n">
        <x:f>IF(P219&lt;&gt;"OK","",IF(C219="Guards",-O219,O219))</x:f>
        <x:v>27.74</x:v>
      </x:c>
      <x:c r="R219" s="362" t="str">
        <x:f>IF(P219&lt;&gt;"OK","Not scored",IF(C219="Guards","Damage received reduction","Damage increase"))</x:f>
        <x:v>Damage increase</x:v>
      </x:c>
    </x:row>
    <x:row r="220" ht="32" customHeight="1">
      <x:c r="A220" s="365" t="str">
        <x:v>K138</x:v>
      </x:c>
      <x:c r="B220" s="365" t="str">
        <x:v>(RaW)༺博卡Ajax༻</x:v>
      </x:c>
      <x:c r="C220" s="365" t="str">
        <x:v>Guards</x:v>
      </x:c>
      <x:c r="D220" s="365" t="str">
        <x:v>Destroyers</x:v>
      </x:c>
      <x:c r="E220" s="365" t="str">
        <x:v>Guard</x:v>
      </x:c>
      <x:c r="F220" s="365" t="n">
        <x:v>50</x:v>
      </x:c>
      <x:c r="G220" s="365" t="str">
        <x:v>Parry</x:v>
      </x:c>
      <x:c r="H220" s="365" t="str">
        <x:v>Provides a parry effect and a certain probability to increase damage</x:v>
      </x:c>
      <x:c r="I220" s="365" t="str">
        <x:v>Unlocked</x:v>
      </x:c>
      <x:c r="J220" s="365" t="str">
        <x:v>00:02.25</x:v>
      </x:c>
      <x:c r="K220" s="365" t="str">
        <x:v>Visually verified. | Source frame: f_0005.jpg</x:v>
      </x:c>
      <x:c r="L220" s="365" t="str">
        <x:v>K138_1000025064.mp4</x:v>
      </x:c>
      <x:c r="M220" s="387" t="n">
        <x:f>IF(P220="OK",INDEX('Badge Lookup'!$B$6:$B$55,MATCH(F220,'Badge Lookup'!$A$6:$A$55,0)),0)</x:f>
        <x:v>2000000</x:v>
      </x:c>
      <x:c r="N220" s="387" t="n">
        <x:f>IF(P220="OK",INDEX('Badge Lookup'!$C$6:$C$55,MATCH(F220,'Badge Lookup'!$A$6:$A$55,0)),0)</x:f>
        <x:v>10334300</x:v>
      </x:c>
      <x:c r="O220" s="388" t="n">
        <x:f>IF(P220="OK",INDEX('Badge Lookup'!$D$6:$D$55,MATCH(F220,'Badge Lookup'!$A$6:$A$55,0)),0)</x:f>
        <x:v>60</x:v>
      </x:c>
      <x:c r="P220" s="362" t="str">
        <x:f>IF(OR(G220="",F220=""),"Not scored",IF(AND(F220=INT(F220),F220&gt;=1,F220&lt;=50,COUNTIF('Badge Lookup'!$A$6:$A$55,F220)=1),"OK","Check lookup"))</x:f>
        <x:v>OK</x:v>
      </x:c>
      <x:c r="Q220" s="456" t="n">
        <x:f>IF(P220&lt;&gt;"OK","",IF(C220="Guards",-O220,O220))</x:f>
        <x:v>-60</x:v>
      </x:c>
      <x:c r="R220" s="362" t="str">
        <x:f>IF(P220&lt;&gt;"OK","Not scored",IF(C220="Guards","Damage received reduction","Damage increase"))</x:f>
        <x:v>Damage received reduction</x:v>
      </x:c>
    </x:row>
    <x:row r="221" ht="32" customHeight="1">
      <x:c r="A221" s="365" t="str">
        <x:v>K138</x:v>
      </x:c>
      <x:c r="B221" s="365" t="str">
        <x:v>(RaW)༺博卡Ajax༻</x:v>
      </x:c>
      <x:c r="C221" s="365" t="str">
        <x:v>Archers</x:v>
      </x:c>
      <x:c r="D221" s="365" t="str">
        <x:v>Elite bowmen</x:v>
      </x:c>
      <x:c r="E221" s="365" t="str">
        <x:v>Archer</x:v>
      </x:c>
      <x:c r="F221" s="365" t="n">
        <x:v>44</x:v>
      </x:c>
      <x:c r="G221" s="365" t="str">
        <x:v>Frost Arrow</x:v>
      </x:c>
      <x:c r="H221" s="365" t="str">
        <x:v>Has a higher probability of activating ice damage</x:v>
      </x:c>
      <x:c r="I221" s="365" t="str">
        <x:v>Unlocked</x:v>
      </x:c>
      <x:c r="J221" s="365" t="str">
        <x:v>00:04.75</x:v>
      </x:c>
      <x:c r="K221" s="365" t="str">
        <x:v>Visually verified. | Source frame: f_0010.jpg</x:v>
      </x:c>
      <x:c r="L221" s="365" t="str">
        <x:v>K138_1000025064.mp4</x:v>
      </x:c>
      <x:c r="M221" s="387" t="n">
        <x:f>IF(P221="OK",INDEX('Badge Lookup'!$B$6:$B$55,MATCH(F221,'Badge Lookup'!$A$6:$A$55,0)),0)</x:f>
        <x:v>480000</x:v>
      </x:c>
      <x:c r="N221" s="387" t="n">
        <x:f>IF(P221="OK",INDEX('Badge Lookup'!$C$6:$C$55,MATCH(F221,'Badge Lookup'!$A$6:$A$55,0)),0)</x:f>
        <x:v>3724300</x:v>
      </x:c>
      <x:c r="O221" s="388" t="n">
        <x:f>IF(P221="OK",INDEX('Badge Lookup'!$D$6:$D$55,MATCH(F221,'Badge Lookup'!$A$6:$A$55,0)),0)</x:f>
        <x:v>39.93</x:v>
      </x:c>
      <x:c r="P221" s="362" t="str">
        <x:f>IF(OR(G221="",F221=""),"Not scored",IF(AND(F221=INT(F221),F221&gt;=1,F221&lt;=50,COUNTIF('Badge Lookup'!$A$6:$A$55,F221)=1),"OK","Check lookup"))</x:f>
        <x:v>OK</x:v>
      </x:c>
      <x:c r="Q221" s="456" t="n">
        <x:f>IF(P221&lt;&gt;"OK","",IF(C221="Guards",-O221,O221))</x:f>
        <x:v>39.93</x:v>
      </x:c>
      <x:c r="R221" s="362" t="str">
        <x:f>IF(P221&lt;&gt;"OK","Not scored",IF(C221="Guards","Damage received reduction","Damage increase"))</x:f>
        <x:v>Damage increase</x:v>
      </x:c>
    </x:row>
    <x:row r="222" ht="32" customHeight="1">
      <x:c r="A222" s="365" t="str">
        <x:v>K138</x:v>
      </x:c>
      <x:c r="B222" s="365" t="str">
        <x:v>(RaW)༺博卡Ajax༻</x:v>
      </x:c>
      <x:c r="C222" s="365" t="str">
        <x:v>Archers</x:v>
      </x:c>
      <x:c r="D222" s="365" t="str">
        <x:v>Elite</x:v>
      </x:c>
      <x:c r="E222" s="365"/>
      <x:c r="F222" s="365" t="n">
        <x:v>21</x:v>
      </x:c>
      <x:c r="G222" s="365" t="str">
        <x:v>Focus</x:v>
      </x:c>
      <x:c r="H222" s="365" t="str">
        <x:v>Has a higher probability of providing focus damage</x:v>
      </x:c>
      <x:c r="I222" s="365" t="str">
        <x:v>Unlocked</x:v>
      </x:c>
      <x:c r="J222" s="365" t="str">
        <x:v>00:08.25</x:v>
      </x:c>
      <x:c r="K222" s="365" t="str">
        <x:v>Visually verified. Tooltip title displayed only 'Elite'; body identifies Elite crossbowmen. | Source frame: f_0017.jpg</x:v>
      </x:c>
      <x:c r="L222" s="365" t="str">
        <x:v>K138_1000025064.mp4</x:v>
      </x:c>
      <x:c r="M222" s="387" t="n">
        <x:f>IF(P222="OK",INDEX('Badge Lookup'!$B$6:$B$55,MATCH(F222,'Badge Lookup'!$A$6:$A$55,0)),0)</x:f>
        <x:v>42500</x:v>
      </x:c>
      <x:c r="N222" s="387" t="n">
        <x:f>IF(P222="OK",INDEX('Badge Lookup'!$C$6:$C$55,MATCH(F222,'Badge Lookup'!$A$6:$A$55,0)),0)</x:f>
        <x:v>226800</x:v>
      </x:c>
      <x:c r="O222" s="388" t="n">
        <x:f>IF(P222="OK",INDEX('Badge Lookup'!$D$6:$D$55,MATCH(F222,'Badge Lookup'!$A$6:$A$55,0)),0)</x:f>
        <x:v>3.58</x:v>
      </x:c>
      <x:c r="P222" s="362" t="str">
        <x:f>IF(OR(G222="",F222=""),"Not scored",IF(AND(F222=INT(F222),F222&gt;=1,F222&lt;=50,COUNTIF('Badge Lookup'!$A$6:$A$55,F222)=1),"OK","Check lookup"))</x:f>
        <x:v>OK</x:v>
      </x:c>
      <x:c r="Q222" s="456" t="n">
        <x:f>IF(P222&lt;&gt;"OK","",IF(C222="Guards",-O222,O222))</x:f>
        <x:v>3.58</x:v>
      </x:c>
      <x:c r="R222" s="362" t="str">
        <x:f>IF(P222&lt;&gt;"OK","Not scored",IF(C222="Guards","Damage received reduction","Damage increase"))</x:f>
        <x:v>Damage increase</x:v>
      </x:c>
    </x:row>
    <x:row r="223" ht="32" customHeight="1">
      <x:c r="A223" s="365" t="str">
        <x:v>K138</x:v>
      </x:c>
      <x:c r="B223" s="365" t="str">
        <x:v>(RaW)༺博卡Ajax༻</x:v>
      </x:c>
      <x:c r="C223" s="365" t="str">
        <x:v>Cavalry</x:v>
      </x:c>
      <x:c r="D223" s="365" t="str">
        <x:v>Eternal knights</x:v>
      </x:c>
      <x:c r="E223" s="365" t="str">
        <x:v>Heavy Cavalry</x:v>
      </x:c>
      <x:c r="F223" s="365" t="n">
        <x:v>45</x:v>
      </x:c>
      <x:c r="G223" s="365" t="str">
        <x:v>Thunder trample</x:v>
      </x:c>
      <x:c r="H223" s="365" t="str">
        <x:v>Has a certain probability of causing trampling damage</x:v>
      </x:c>
      <x:c r="I223" s="365" t="str">
        <x:v>Unlocked</x:v>
      </x:c>
      <x:c r="J223" s="365" t="str">
        <x:v>00:03.25</x:v>
      </x:c>
      <x:c r="K223" s="365" t="str">
        <x:v>Visually verified. | Source frame: f_0007.jpg</x:v>
      </x:c>
      <x:c r="L223" s="365" t="str">
        <x:v>K138_1000025064.mp4</x:v>
      </x:c>
      <x:c r="M223" s="387" t="n">
        <x:f>IF(P223="OK",INDEX('Badge Lookup'!$B$6:$B$55,MATCH(F223,'Badge Lookup'!$A$6:$A$55,0)),0)</x:f>
        <x:v>560000</x:v>
      </x:c>
      <x:c r="N223" s="387" t="n">
        <x:f>IF(P223="OK",INDEX('Badge Lookup'!$C$6:$C$55,MATCH(F223,'Badge Lookup'!$A$6:$A$55,0)),0)</x:f>
        <x:v>4284300</x:v>
      </x:c>
      <x:c r="O223" s="388" t="n">
        <x:f>IF(P223="OK",INDEX('Badge Lookup'!$D$6:$D$55,MATCH(F223,'Badge Lookup'!$A$6:$A$55,0)),0)</x:f>
        <x:v>41.98</x:v>
      </x:c>
      <x:c r="P223" s="362" t="str">
        <x:f>IF(OR(G223="",F223=""),"Not scored",IF(AND(F223=INT(F223),F223&gt;=1,F223&lt;=50,COUNTIF('Badge Lookup'!$A$6:$A$55,F223)=1),"OK","Check lookup"))</x:f>
        <x:v>OK</x:v>
      </x:c>
      <x:c r="Q223" s="456" t="n">
        <x:f>IF(P223&lt;&gt;"OK","",IF(C223="Guards",-O223,O223))</x:f>
        <x:v>41.98</x:v>
      </x:c>
      <x:c r="R223" s="362" t="str">
        <x:f>IF(P223&lt;&gt;"OK","Not scored",IF(C223="Guards","Damage received reduction","Damage increase"))</x:f>
        <x:v>Damage increase</x:v>
      </x:c>
    </x:row>
    <x:row r="224" ht="32" customHeight="1">
      <x:c r="A224" s="365" t="str">
        <x:v>K138</x:v>
      </x:c>
      <x:c r="B224" s="365" t="str">
        <x:v>(RaW)༺博卡Ajax༻</x:v>
      </x:c>
      <x:c r="C224" s="365" t="str">
        <x:v>Cavalry</x:v>
      </x:c>
      <x:c r="D224" s="365" t="str">
        <x:v>Storm cavalry</x:v>
      </x:c>
      <x:c r="E224" s="365" t="str">
        <x:v>Horse archer</x:v>
      </x:c>
      <x:c r="F224" s="365" t="n">
        <x:v>45</x:v>
      </x:c>
      <x:c r="G224" s="365" t="str">
        <x:v>Mounted Archery</x:v>
      </x:c>
      <x:c r="H224" s="365" t="str">
        <x:v>Has a certain probability of causing fly-shooting damage</x:v>
      </x:c>
      <x:c r="I224" s="365" t="str">
        <x:v>Unlocked</x:v>
      </x:c>
      <x:c r="J224" s="365" t="str">
        <x:v>00:07.25</x:v>
      </x:c>
      <x:c r="K224" s="365" t="str">
        <x:v>Visually verified. | Source frame: f_0015.jpg</x:v>
      </x:c>
      <x:c r="L224" s="365" t="str">
        <x:v>K138_1000025064.mp4</x:v>
      </x:c>
      <x:c r="M224" s="387" t="n">
        <x:f>IF(P224="OK",INDEX('Badge Lookup'!$B$6:$B$55,MATCH(F224,'Badge Lookup'!$A$6:$A$55,0)),0)</x:f>
        <x:v>560000</x:v>
      </x:c>
      <x:c r="N224" s="387" t="n">
        <x:f>IF(P224="OK",INDEX('Badge Lookup'!$C$6:$C$55,MATCH(F224,'Badge Lookup'!$A$6:$A$55,0)),0)</x:f>
        <x:v>4284300</x:v>
      </x:c>
      <x:c r="O224" s="388" t="n">
        <x:f>IF(P224="OK",INDEX('Badge Lookup'!$D$6:$D$55,MATCH(F224,'Badge Lookup'!$A$6:$A$55,0)),0)</x:f>
        <x:v>41.98</x:v>
      </x:c>
      <x:c r="P224" s="362" t="str">
        <x:f>IF(OR(G224="",F224=""),"Not scored",IF(AND(F224=INT(F224),F224&gt;=1,F224&lt;=50,COUNTIF('Badge Lookup'!$A$6:$A$55,F224)=1),"OK","Check lookup"))</x:f>
        <x:v>OK</x:v>
      </x:c>
      <x:c r="Q224" s="456" t="n">
        <x:f>IF(P224&lt;&gt;"OK","",IF(C224="Guards",-O224,O224))</x:f>
        <x:v>41.98</x:v>
      </x:c>
      <x:c r="R224" s="362" t="str">
        <x:f>IF(P224&lt;&gt;"OK","Not scored",IF(C224="Guards","Damage received reduction","Damage increase"))</x:f>
        <x:v>Damage increase</x:v>
      </x:c>
    </x:row>
    <x:row r="225" ht="32" customHeight="1">
      <x:c r="A225" s="365" t="str">
        <x:v>K138</x:v>
      </x:c>
      <x:c r="B225" s="365" t="str">
        <x:v>(RaW)༺博卡Ajax༻</x:v>
      </x:c>
      <x:c r="C225" s="365" t="str">
        <x:v>Siege</x:v>
      </x:c>
      <x:c r="D225" s="365" t="str">
        <x:v>Manglers</x:v>
      </x:c>
      <x:c r="E225" s="365" t="str">
        <x:v>Siege</x:v>
      </x:c>
      <x:c r="F225" s="365" t="n">
        <x:v>30</x:v>
      </x:c>
      <x:c r="G225" s="365" t="str">
        <x:v>Highly toxic</x:v>
      </x:c>
      <x:c r="H225" s="365" t="str">
        <x:v>Inflict continuous toxic damage</x:v>
      </x:c>
      <x:c r="I225" s="365" t="str">
        <x:v>Unlocked</x:v>
      </x:c>
      <x:c r="J225" s="365" t="str">
        <x:v>00:05.75</x:v>
      </x:c>
      <x:c r="K225" s="365" t="str">
        <x:v>Visually verified. | Source frame: f_0012.jpg</x:v>
      </x:c>
      <x:c r="L225" s="365" t="str">
        <x:v>K138_1000025064.mp4</x:v>
      </x:c>
      <x:c r="M225" s="387" t="n">
        <x:f>IF(P225="OK",INDEX('Badge Lookup'!$B$6:$B$55,MATCH(F225,'Badge Lookup'!$A$6:$A$55,0)),0)</x:f>
        <x:v>80000</x:v>
      </x:c>
      <x:c r="N225" s="387" t="n">
        <x:f>IF(P225="OK",INDEX('Badge Lookup'!$C$6:$C$55,MATCH(F225,'Badge Lookup'!$A$6:$A$55,0)),0)</x:f>
        <x:v>774300</x:v>
      </x:c>
      <x:c r="O225" s="388" t="n">
        <x:f>IF(P225="OK",INDEX('Badge Lookup'!$D$6:$D$55,MATCH(F225,'Badge Lookup'!$A$6:$A$55,0)),0)</x:f>
        <x:v>10.82</x:v>
      </x:c>
      <x:c r="P225" s="362" t="str">
        <x:f>IF(OR(G225="",F225=""),"Not scored",IF(AND(F225=INT(F225),F225&gt;=1,F225&lt;=50,COUNTIF('Badge Lookup'!$A$6:$A$55,F225)=1),"OK","Check lookup"))</x:f>
        <x:v>OK</x:v>
      </x:c>
      <x:c r="Q225" s="456" t="n">
        <x:f>IF(P225&lt;&gt;"OK","",IF(C225="Guards",-O225,O225))</x:f>
        <x:v>10.82</x:v>
      </x:c>
      <x:c r="R225" s="362" t="str">
        <x:f>IF(P225&lt;&gt;"OK","Not scored",IF(C225="Guards","Damage received reduction","Damage increase"))</x:f>
        <x:v>Damage increase</x:v>
      </x:c>
    </x:row>
    <x:row r="226" ht="32" customHeight="1">
      <x:c r="A226" s="365" t="str">
        <x:v>K138</x:v>
      </x:c>
      <x:c r="B226" s="365" t="str">
        <x:v>(RaW)Venom毒液</x:v>
      </x:c>
      <x:c r="C226" s="365" t="str">
        <x:v>Guards</x:v>
      </x:c>
      <x:c r="D226" s="365" t="str">
        <x:v>Destroyers</x:v>
      </x:c>
      <x:c r="E226" s="365" t="str">
        <x:v>Guard</x:v>
      </x:c>
      <x:c r="F226" s="365" t="n">
        <x:v>49</x:v>
      </x:c>
      <x:c r="G226" s="365" t="str">
        <x:v>Parry</x:v>
      </x:c>
      <x:c r="H226" s="365" t="str">
        <x:v>Provides a parry effect and a certain probability to increase damage</x:v>
      </x:c>
      <x:c r="I226" s="365" t="str">
        <x:v>Unlocked</x:v>
      </x:c>
      <x:c r="J226" s="365" t="str">
        <x:v>00:20.25</x:v>
      </x:c>
      <x:c r="K226" s="365" t="str">
        <x:v>Visually verified. | Source frame: f_0041.jpg</x:v>
      </x:c>
      <x:c r="L226" s="365" t="str">
        <x:v>K138_1000025064.mp4</x:v>
      </x:c>
      <x:c r="M226" s="387" t="n">
        <x:f>IF(P226="OK",INDEX('Badge Lookup'!$B$6:$B$55,MATCH(F226,'Badge Lookup'!$A$6:$A$55,0)),0)</x:f>
        <x:v>1400000</x:v>
      </x:c>
      <x:c r="N226" s="387" t="n">
        <x:f>IF(P226="OK",INDEX('Badge Lookup'!$C$6:$C$55,MATCH(F226,'Badge Lookup'!$A$6:$A$55,0)),0)</x:f>
        <x:v>8334300</x:v>
      </x:c>
      <x:c r="O226" s="388" t="n">
        <x:f>IF(P226="OK",INDEX('Badge Lookup'!$D$6:$D$55,MATCH(F226,'Badge Lookup'!$A$6:$A$55,0)),0)</x:f>
        <x:v>55.2</x:v>
      </x:c>
      <x:c r="P226" s="362" t="str">
        <x:f>IF(OR(G226="",F226=""),"Not scored",IF(AND(F226=INT(F226),F226&gt;=1,F226&lt;=50,COUNTIF('Badge Lookup'!$A$6:$A$55,F226)=1),"OK","Check lookup"))</x:f>
        <x:v>OK</x:v>
      </x:c>
      <x:c r="Q226" s="456" t="n">
        <x:f>IF(P226&lt;&gt;"OK","",IF(C226="Guards",-O226,O226))</x:f>
        <x:v>-55.2</x:v>
      </x:c>
      <x:c r="R226" s="362" t="str">
        <x:f>IF(P226&lt;&gt;"OK","Not scored",IF(C226="Guards","Damage received reduction","Damage increase"))</x:f>
        <x:v>Damage received reduction</x:v>
      </x:c>
    </x:row>
    <x:row r="227" ht="32" customHeight="1">
      <x:c r="A227" s="365" t="str">
        <x:v>K138</x:v>
      </x:c>
      <x:c r="B227" s="365" t="str">
        <x:v>(RaW)Venom毒液</x:v>
      </x:c>
      <x:c r="C227" s="365" t="str">
        <x:v>Archers</x:v>
      </x:c>
      <x:c r="D227" s="365" t="str">
        <x:v>Elite bowmen</x:v>
      </x:c>
      <x:c r="E227" s="365" t="str">
        <x:v>Archer</x:v>
      </x:c>
      <x:c r="F227" s="365" t="n">
        <x:v>37</x:v>
      </x:c>
      <x:c r="G227" s="365" t="str">
        <x:v>Frost Arrow</x:v>
      </x:c>
      <x:c r="H227" s="365" t="str">
        <x:v>Has a higher probability of activating ice damage</x:v>
      </x:c>
      <x:c r="I227" s="365" t="str">
        <x:v>Unlocked</x:v>
      </x:c>
      <x:c r="J227" s="365" t="str">
        <x:v>00:22.25</x:v>
      </x:c>
      <x:c r="K227" s="365" t="str">
        <x:v>Visually verified. | Source frame: f_0045.jpg</x:v>
      </x:c>
      <x:c r="L227" s="365" t="str">
        <x:v>K138_1000025064.mp4</x:v>
      </x:c>
      <x:c r="M227" s="387" t="n">
        <x:f>IF(P227="OK",INDEX('Badge Lookup'!$B$6:$B$55,MATCH(F227,'Badge Lookup'!$A$6:$A$55,0)),0)</x:f>
        <x:v>160000</x:v>
      </x:c>
      <x:c r="N227" s="387" t="n">
        <x:f>IF(P227="OK",INDEX('Badge Lookup'!$C$6:$C$55,MATCH(F227,'Badge Lookup'!$A$6:$A$55,0)),0)</x:f>
        <x:v>1624300</x:v>
      </x:c>
      <x:c r="O227" s="388" t="n">
        <x:f>IF(P227="OK",INDEX('Badge Lookup'!$D$6:$D$55,MATCH(F227,'Badge Lookup'!$A$6:$A$55,0)),0)</x:f>
        <x:v>20.73</x:v>
      </x:c>
      <x:c r="P227" s="362" t="str">
        <x:f>IF(OR(G227="",F227=""),"Not scored",IF(AND(F227=INT(F227),F227&gt;=1,F227&lt;=50,COUNTIF('Badge Lookup'!$A$6:$A$55,F227)=1),"OK","Check lookup"))</x:f>
        <x:v>OK</x:v>
      </x:c>
      <x:c r="Q227" s="456" t="n">
        <x:f>IF(P227&lt;&gt;"OK","",IF(C227="Guards",-O227,O227))</x:f>
        <x:v>20.73</x:v>
      </x:c>
      <x:c r="R227" s="362" t="str">
        <x:f>IF(P227&lt;&gt;"OK","Not scored",IF(C227="Guards","Damage received reduction","Damage increase"))</x:f>
        <x:v>Damage increase</x:v>
      </x:c>
    </x:row>
    <x:row r="228" ht="32" customHeight="1">
      <x:c r="A228" s="365" t="str">
        <x:v>K138</x:v>
      </x:c>
      <x:c r="B228" s="365" t="str">
        <x:v>(RaW)༺JOJO༻</x:v>
      </x:c>
      <x:c r="C228" s="365" t="str">
        <x:v>Guards</x:v>
      </x:c>
      <x:c r="D228" s="365" t="str">
        <x:v>Destroyers</x:v>
      </x:c>
      <x:c r="E228" s="365" t="str">
        <x:v>Guard</x:v>
      </x:c>
      <x:c r="F228" s="365" t="n">
        <x:v>45</x:v>
      </x:c>
      <x:c r="G228" s="365" t="str">
        <x:v>Parry</x:v>
      </x:c>
      <x:c r="H228" s="365" t="str">
        <x:v>Provides a parry effect and a certain probability to increase damage</x:v>
      </x:c>
      <x:c r="I228" s="365" t="str">
        <x:v>Unlocked</x:v>
      </x:c>
      <x:c r="J228" s="365" t="str">
        <x:v>00:35.75</x:v>
      </x:c>
      <x:c r="K228" s="365" t="str">
        <x:v>Visually verified. | Source frame: f_0072.jpg</x:v>
      </x:c>
      <x:c r="L228" s="365" t="str">
        <x:v>K138_1000025064.mp4</x:v>
      </x:c>
      <x:c r="M228" s="387" t="n">
        <x:f>IF(P228="OK",INDEX('Badge Lookup'!$B$6:$B$55,MATCH(F228,'Badge Lookup'!$A$6:$A$55,0)),0)</x:f>
        <x:v>560000</x:v>
      </x:c>
      <x:c r="N228" s="387" t="n">
        <x:f>IF(P228="OK",INDEX('Badge Lookup'!$C$6:$C$55,MATCH(F228,'Badge Lookup'!$A$6:$A$55,0)),0)</x:f>
        <x:v>4284300</x:v>
      </x:c>
      <x:c r="O228" s="388" t="n">
        <x:f>IF(P228="OK",INDEX('Badge Lookup'!$D$6:$D$55,MATCH(F228,'Badge Lookup'!$A$6:$A$55,0)),0)</x:f>
        <x:v>41.98</x:v>
      </x:c>
      <x:c r="P228" s="362" t="str">
        <x:f>IF(OR(G228="",F228=""),"Not scored",IF(AND(F228=INT(F228),F228&gt;=1,F228&lt;=50,COUNTIF('Badge Lookup'!$A$6:$A$55,F228)=1),"OK","Check lookup"))</x:f>
        <x:v>OK</x:v>
      </x:c>
      <x:c r="Q228" s="456" t="n">
        <x:f>IF(P228&lt;&gt;"OK","",IF(C228="Guards",-O228,O228))</x:f>
        <x:v>-41.98</x:v>
      </x:c>
      <x:c r="R228" s="362" t="str">
        <x:f>IF(P228&lt;&gt;"OK","Not scored",IF(C228="Guards","Damage received reduction","Damage increase"))</x:f>
        <x:v>Damage received reduction</x:v>
      </x:c>
    </x:row>
    <x:row r="229" ht="32" customHeight="1">
      <x:c r="A229" s="365" t="str">
        <x:v>K138</x:v>
      </x:c>
      <x:c r="B229" s="365" t="str">
        <x:v>(RaW)༺JOJO༻</x:v>
      </x:c>
      <x:c r="C229" s="365" t="str">
        <x:v>Archers</x:v>
      </x:c>
      <x:c r="D229" s="365" t="str">
        <x:v>Elite bowmen</x:v>
      </x:c>
      <x:c r="E229" s="365" t="str">
        <x:v>Archer</x:v>
      </x:c>
      <x:c r="F229" s="365" t="n">
        <x:v>41</x:v>
      </x:c>
      <x:c r="G229" s="365" t="str">
        <x:v>Frost Arrow</x:v>
      </x:c>
      <x:c r="H229" s="365" t="str">
        <x:v>Has a higher probability of activating ice damage</x:v>
      </x:c>
      <x:c r="I229" s="365" t="str">
        <x:v>Unlocked</x:v>
      </x:c>
      <x:c r="J229" s="365" t="str">
        <x:v>00:37.25</x:v>
      </x:c>
      <x:c r="K229" s="365" t="str">
        <x:v>Visually verified. | Source frame: f_0075.jpg</x:v>
      </x:c>
      <x:c r="L229" s="365" t="str">
        <x:v>K138_1000025064.mp4</x:v>
      </x:c>
      <x:c r="M229" s="387" t="n">
        <x:f>IF(P229="OK",INDEX('Badge Lookup'!$B$6:$B$55,MATCH(F229,'Badge Lookup'!$A$6:$A$55,0)),0)</x:f>
        <x:v>280000</x:v>
      </x:c>
      <x:c r="N229" s="387" t="n">
        <x:f>IF(P229="OK",INDEX('Badge Lookup'!$C$6:$C$55,MATCH(F229,'Badge Lookup'!$A$6:$A$55,0)),0)</x:f>
        <x:v>2524300</x:v>
      </x:c>
      <x:c r="O229" s="388" t="n">
        <x:f>IF(P229="OK",INDEX('Badge Lookup'!$D$6:$D$55,MATCH(F229,'Badge Lookup'!$A$6:$A$55,0)),0)</x:f>
        <x:v>30.38</x:v>
      </x:c>
      <x:c r="P229" s="362" t="str">
        <x:f>IF(OR(G229="",F229=""),"Not scored",IF(AND(F229=INT(F229),F229&gt;=1,F229&lt;=50,COUNTIF('Badge Lookup'!$A$6:$A$55,F229)=1),"OK","Check lookup"))</x:f>
        <x:v>OK</x:v>
      </x:c>
      <x:c r="Q229" s="456" t="n">
        <x:f>IF(P229&lt;&gt;"OK","",IF(C229="Guards",-O229,O229))</x:f>
        <x:v>30.38</x:v>
      </x:c>
      <x:c r="R229" s="362" t="str">
        <x:f>IF(P229&lt;&gt;"OK","Not scored",IF(C229="Guards","Damage received reduction","Damage increase"))</x:f>
        <x:v>Damage increase</x:v>
      </x:c>
    </x:row>
    <x:row r="230" ht="32" customHeight="1">
      <x:c r="A230" s="365" t="str">
        <x:v>K138</x:v>
      </x:c>
      <x:c r="B230" s="365" t="str">
        <x:v>(RaW)༺JOJO༻</x:v>
      </x:c>
      <x:c r="C230" s="365" t="str">
        <x:v>Cavalry</x:v>
      </x:c>
      <x:c r="D230" s="365" t="str">
        <x:v>Storm cavalry</x:v>
      </x:c>
      <x:c r="E230" s="365" t="str">
        <x:v>Horse archer</x:v>
      </x:c>
      <x:c r="F230" s="365" t="n">
        <x:v>40</x:v>
      </x:c>
      <x:c r="G230" s="365" t="str">
        <x:v>Mounted Archery</x:v>
      </x:c>
      <x:c r="H230" s="365" t="str">
        <x:v>Has a certain probability of causing fly-shooting damage</x:v>
      </x:c>
      <x:c r="I230" s="365" t="str">
        <x:v>Unlocked</x:v>
      </x:c>
      <x:c r="J230" s="365" t="str">
        <x:v>00:39.25</x:v>
      </x:c>
      <x:c r="K230" s="365" t="str">
        <x:v>Visually verified. | Source frame: f_0079.jpg</x:v>
      </x:c>
      <x:c r="L230" s="365" t="str">
        <x:v>K138_1000025064.mp4</x:v>
      </x:c>
      <x:c r="M230" s="387" t="n">
        <x:f>IF(P230="OK",INDEX('Badge Lookup'!$B$6:$B$55,MATCH(F230,'Badge Lookup'!$A$6:$A$55,0)),0)</x:f>
        <x:v>240000</x:v>
      </x:c>
      <x:c r="N230" s="387" t="n">
        <x:f>IF(P230="OK",INDEX('Badge Lookup'!$C$6:$C$55,MATCH(F230,'Badge Lookup'!$A$6:$A$55,0)),0)</x:f>
        <x:v>2244300</x:v>
      </x:c>
      <x:c r="O230" s="388" t="n">
        <x:f>IF(P230="OK",INDEX('Badge Lookup'!$D$6:$D$55,MATCH(F230,'Badge Lookup'!$A$6:$A$55,0)),0)</x:f>
        <x:v>27.74</x:v>
      </x:c>
      <x:c r="P230" s="362" t="str">
        <x:f>IF(OR(G230="",F230=""),"Not scored",IF(AND(F230=INT(F230),F230&gt;=1,F230&lt;=50,COUNTIF('Badge Lookup'!$A$6:$A$55,F230)=1),"OK","Check lookup"))</x:f>
        <x:v>OK</x:v>
      </x:c>
      <x:c r="Q230" s="456" t="n">
        <x:f>IF(P230&lt;&gt;"OK","",IF(C230="Guards",-O230,O230))</x:f>
        <x:v>27.74</x:v>
      </x:c>
      <x:c r="R230" s="362" t="str">
        <x:f>IF(P230&lt;&gt;"OK","Not scored",IF(C230="Guards","Damage received reduction","Damage increase"))</x:f>
        <x:v>Damage increase</x:v>
      </x:c>
    </x:row>
    <x:row r="231" ht="32" customHeight="1">
      <x:c r="A231" s="365" t="str">
        <x:v>K138</x:v>
      </x:c>
      <x:c r="B231" s="365" t="str">
        <x:v>(RaW)SLAP</x:v>
      </x:c>
      <x:c r="C231" s="365" t="str">
        <x:v>Archers</x:v>
      </x:c>
      <x:c r="D231" s="365" t="str">
        <x:v>Elite bowmen</x:v>
      </x:c>
      <x:c r="E231" s="365" t="str">
        <x:v>Archer</x:v>
      </x:c>
      <x:c r="F231" s="365" t="n">
        <x:v>41</x:v>
      </x:c>
      <x:c r="G231" s="365" t="str">
        <x:v>Frost Arrow</x:v>
      </x:c>
      <x:c r="H231" s="365" t="str">
        <x:v>Has a higher probability of activating ice damage</x:v>
      </x:c>
      <x:c r="I231" s="365" t="str">
        <x:v>Unlocked</x:v>
      </x:c>
      <x:c r="J231" s="365" t="str">
        <x:v>00:49.75</x:v>
      </x:c>
      <x:c r="K231" s="365" t="str">
        <x:v>Visually verified. | Source frame: f_0100.jpg</x:v>
      </x:c>
      <x:c r="L231" s="365" t="str">
        <x:v>K138_1000025064.mp4</x:v>
      </x:c>
      <x:c r="M231" s="387" t="n">
        <x:f>IF(P231="OK",INDEX('Badge Lookup'!$B$6:$B$55,MATCH(F231,'Badge Lookup'!$A$6:$A$55,0)),0)</x:f>
        <x:v>280000</x:v>
      </x:c>
      <x:c r="N231" s="387" t="n">
        <x:f>IF(P231="OK",INDEX('Badge Lookup'!$C$6:$C$55,MATCH(F231,'Badge Lookup'!$A$6:$A$55,0)),0)</x:f>
        <x:v>2524300</x:v>
      </x:c>
      <x:c r="O231" s="388" t="n">
        <x:f>IF(P231="OK",INDEX('Badge Lookup'!$D$6:$D$55,MATCH(F231,'Badge Lookup'!$A$6:$A$55,0)),0)</x:f>
        <x:v>30.38</x:v>
      </x:c>
      <x:c r="P231" s="362" t="str">
        <x:f>IF(OR(G231="",F231=""),"Not scored",IF(AND(F231=INT(F231),F231&gt;=1,F231&lt;=50,COUNTIF('Badge Lookup'!$A$6:$A$55,F231)=1),"OK","Check lookup"))</x:f>
        <x:v>OK</x:v>
      </x:c>
      <x:c r="Q231" s="456" t="n">
        <x:f>IF(P231&lt;&gt;"OK","",IF(C231="Guards",-O231,O231))</x:f>
        <x:v>30.38</x:v>
      </x:c>
      <x:c r="R231" s="362" t="str">
        <x:f>IF(P231&lt;&gt;"OK","Not scored",IF(C231="Guards","Damage received reduction","Damage increase"))</x:f>
        <x:v>Damage increase</x:v>
      </x:c>
    </x:row>
    <x:row r="232" ht="32" customHeight="1">
      <x:c r="A232" s="365" t="str">
        <x:v>K138</x:v>
      </x:c>
      <x:c r="B232" s="365" t="str">
        <x:v>(RaW)SLAP</x:v>
      </x:c>
      <x:c r="C232" s="365" t="str">
        <x:v>Cavalry</x:v>
      </x:c>
      <x:c r="D232" s="365" t="str">
        <x:v>Eternal knights</x:v>
      </x:c>
      <x:c r="E232" s="365" t="str">
        <x:v>Heavy Cavalry</x:v>
      </x:c>
      <x:c r="F232" s="365" t="n">
        <x:v>48</x:v>
      </x:c>
      <x:c r="G232" s="365" t="str">
        <x:v>Thunder trample</x:v>
      </x:c>
      <x:c r="H232" s="365" t="str">
        <x:v>Has a certain probability of causing trampling damage</x:v>
      </x:c>
      <x:c r="I232" s="365" t="str">
        <x:v>Unlocked</x:v>
      </x:c>
      <x:c r="J232" s="365" t="str">
        <x:v>00:48.25</x:v>
      </x:c>
      <x:c r="K232" s="365" t="str">
        <x:v>Visually verified. | Source frame: f_0097.jpg</x:v>
      </x:c>
      <x:c r="L232" s="365" t="str">
        <x:v>K138_1000025064.mp4</x:v>
      </x:c>
      <x:c r="M232" s="387" t="n">
        <x:f>IF(P232="OK",INDEX('Badge Lookup'!$B$6:$B$55,MATCH(F232,'Badge Lookup'!$A$6:$A$55,0)),0)</x:f>
        <x:v>1050000</x:v>
      </x:c>
      <x:c r="N232" s="387" t="n">
        <x:f>IF(P232="OK",INDEX('Badge Lookup'!$C$6:$C$55,MATCH(F232,'Badge Lookup'!$A$6:$A$55,0)),0)</x:f>
        <x:v>6934300</x:v>
      </x:c>
      <x:c r="O232" s="388" t="n">
        <x:f>IF(P232="OK",INDEX('Badge Lookup'!$D$6:$D$55,MATCH(F232,'Badge Lookup'!$A$6:$A$55,0)),0)</x:f>
        <x:v>51.74</x:v>
      </x:c>
      <x:c r="P232" s="362" t="str">
        <x:f>IF(OR(G232="",F232=""),"Not scored",IF(AND(F232=INT(F232),F232&gt;=1,F232&lt;=50,COUNTIF('Badge Lookup'!$A$6:$A$55,F232)=1),"OK","Check lookup"))</x:f>
        <x:v>OK</x:v>
      </x:c>
      <x:c r="Q232" s="456" t="n">
        <x:f>IF(P232&lt;&gt;"OK","",IF(C232="Guards",-O232,O232))</x:f>
        <x:v>51.74</x:v>
      </x:c>
      <x:c r="R232" s="362" t="str">
        <x:f>IF(P232&lt;&gt;"OK","Not scored",IF(C232="Guards","Damage received reduction","Damage increase"))</x:f>
        <x:v>Damage increase</x:v>
      </x:c>
    </x:row>
    <x:row r="233" ht="32" customHeight="1">
      <x:c r="A233" s="365" t="str">
        <x:v>K138</x:v>
      </x:c>
      <x:c r="B233" s="365" t="str">
        <x:v>(RaW)SLAP</x:v>
      </x:c>
      <x:c r="C233" s="365" t="str">
        <x:v>Cavalry</x:v>
      </x:c>
      <x:c r="D233" s="365" t="str">
        <x:v>Storm cavalry</x:v>
      </x:c>
      <x:c r="E233" s="365" t="str">
        <x:v>Horse archer</x:v>
      </x:c>
      <x:c r="F233" s="365" t="n">
        <x:v>48</x:v>
      </x:c>
      <x:c r="G233" s="365" t="str">
        <x:v>Mounted Archery</x:v>
      </x:c>
      <x:c r="H233" s="365" t="str">
        <x:v>Has a certain probability of causing fly-shooting damage</x:v>
      </x:c>
      <x:c r="I233" s="365" t="str">
        <x:v>Unlocked</x:v>
      </x:c>
      <x:c r="J233" s="365" t="str">
        <x:v>00:53.25</x:v>
      </x:c>
      <x:c r="K233" s="365" t="str">
        <x:v>Visually verified. | Source frame: f_0107.jpg</x:v>
      </x:c>
      <x:c r="L233" s="365" t="str">
        <x:v>K138_1000025064.mp4</x:v>
      </x:c>
      <x:c r="M233" s="387" t="n">
        <x:f>IF(P233="OK",INDEX('Badge Lookup'!$B$6:$B$55,MATCH(F233,'Badge Lookup'!$A$6:$A$55,0)),0)</x:f>
        <x:v>1050000</x:v>
      </x:c>
      <x:c r="N233" s="387" t="n">
        <x:f>IF(P233="OK",INDEX('Badge Lookup'!$C$6:$C$55,MATCH(F233,'Badge Lookup'!$A$6:$A$55,0)),0)</x:f>
        <x:v>6934300</x:v>
      </x:c>
      <x:c r="O233" s="388" t="n">
        <x:f>IF(P233="OK",INDEX('Badge Lookup'!$D$6:$D$55,MATCH(F233,'Badge Lookup'!$A$6:$A$55,0)),0)</x:f>
        <x:v>51.74</x:v>
      </x:c>
      <x:c r="P233" s="362" t="str">
        <x:f>IF(OR(G233="",F233=""),"Not scored",IF(AND(F233=INT(F233),F233&gt;=1,F233&lt;=50,COUNTIF('Badge Lookup'!$A$6:$A$55,F233)=1),"OK","Check lookup"))</x:f>
        <x:v>OK</x:v>
      </x:c>
      <x:c r="Q233" s="456" t="n">
        <x:f>IF(P233&lt;&gt;"OK","",IF(C233="Guards",-O233,O233))</x:f>
        <x:v>51.74</x:v>
      </x:c>
      <x:c r="R233" s="362" t="str">
        <x:f>IF(P233&lt;&gt;"OK","Not scored",IF(C233="Guards","Damage received reduction","Damage increase"))</x:f>
        <x:v>Damage increase</x:v>
      </x:c>
    </x:row>
    <x:row r="234" ht="32" customHeight="1">
      <x:c r="A234" s="365" t="str">
        <x:v>K138</x:v>
      </x:c>
      <x:c r="B234" s="365" t="str">
        <x:v>(RaW)SLAP</x:v>
      </x:c>
      <x:c r="C234" s="365" t="str">
        <x:v>Siege</x:v>
      </x:c>
      <x:c r="D234" s="365" t="str">
        <x:v>Manglers</x:v>
      </x:c>
      <x:c r="E234" s="365" t="str">
        <x:v>Siege</x:v>
      </x:c>
      <x:c r="F234" s="365" t="n">
        <x:v>41</x:v>
      </x:c>
      <x:c r="G234" s="365" t="str">
        <x:v>Highly toxic</x:v>
      </x:c>
      <x:c r="H234" s="365" t="str">
        <x:v>Inflict continuous toxic damage</x:v>
      </x:c>
      <x:c r="I234" s="365" t="str">
        <x:v>Unlocked</x:v>
      </x:c>
      <x:c r="J234" s="365" t="str">
        <x:v>00:50.75</x:v>
      </x:c>
      <x:c r="K234" s="365" t="str">
        <x:v>Visually verified. | Source frame: f_0102.jpg</x:v>
      </x:c>
      <x:c r="L234" s="365" t="str">
        <x:v>K138_1000025064.mp4</x:v>
      </x:c>
      <x:c r="M234" s="387" t="n">
        <x:f>IF(P234="OK",INDEX('Badge Lookup'!$B$6:$B$55,MATCH(F234,'Badge Lookup'!$A$6:$A$55,0)),0)</x:f>
        <x:v>280000</x:v>
      </x:c>
      <x:c r="N234" s="387" t="n">
        <x:f>IF(P234="OK",INDEX('Badge Lookup'!$C$6:$C$55,MATCH(F234,'Badge Lookup'!$A$6:$A$55,0)),0)</x:f>
        <x:v>2524300</x:v>
      </x:c>
      <x:c r="O234" s="388" t="n">
        <x:f>IF(P234="OK",INDEX('Badge Lookup'!$D$6:$D$55,MATCH(F234,'Badge Lookup'!$A$6:$A$55,0)),0)</x:f>
        <x:v>30.38</x:v>
      </x:c>
      <x:c r="P234" s="362" t="str">
        <x:f>IF(OR(G234="",F234=""),"Not scored",IF(AND(F234=INT(F234),F234&gt;=1,F234&lt;=50,COUNTIF('Badge Lookup'!$A$6:$A$55,F234)=1),"OK","Check lookup"))</x:f>
        <x:v>OK</x:v>
      </x:c>
      <x:c r="Q234" s="456" t="n">
        <x:f>IF(P234&lt;&gt;"OK","",IF(C234="Guards",-O234,O234))</x:f>
        <x:v>30.38</x:v>
      </x:c>
      <x:c r="R234" s="362" t="str">
        <x:f>IF(P234&lt;&gt;"OK","Not scored",IF(C234="Guards","Damage received reduction","Damage increase"))</x:f>
        <x:v>Damage increase</x:v>
      </x:c>
    </x:row>
    <x:row r="235" ht="32" customHeight="1">
      <x:c r="A235" s="365" t="str">
        <x:v>K138</x:v>
      </x:c>
      <x:c r="B235" s="365" t="str">
        <x:v>(RaW)༺Aryz༻</x:v>
      </x:c>
      <x:c r="C235" s="365" t="str">
        <x:v>Archers</x:v>
      </x:c>
      <x:c r="D235" s="365" t="str">
        <x:v>Elite bowmen</x:v>
      </x:c>
      <x:c r="E235" s="365" t="str">
        <x:v>Archer</x:v>
      </x:c>
      <x:c r="F235" s="365" t="n">
        <x:v>40</x:v>
      </x:c>
      <x:c r="G235" s="365" t="str">
        <x:v>Frost Arrow</x:v>
      </x:c>
      <x:c r="H235" s="365" t="str">
        <x:v>Has a higher probability of activating ice damage</x:v>
      </x:c>
      <x:c r="I235" s="365" t="str">
        <x:v>Unlocked</x:v>
      </x:c>
      <x:c r="J235" s="365" t="str">
        <x:v>01:06.75</x:v>
      </x:c>
      <x:c r="K235" s="365" t="str">
        <x:v>Visually verified. | Source frame: f_0134.jpg</x:v>
      </x:c>
      <x:c r="L235" s="365" t="str">
        <x:v>K138_1000025064.mp4</x:v>
      </x:c>
      <x:c r="M235" s="387" t="n">
        <x:f>IF(P235="OK",INDEX('Badge Lookup'!$B$6:$B$55,MATCH(F235,'Badge Lookup'!$A$6:$A$55,0)),0)</x:f>
        <x:v>240000</x:v>
      </x:c>
      <x:c r="N235" s="387" t="n">
        <x:f>IF(P235="OK",INDEX('Badge Lookup'!$C$6:$C$55,MATCH(F235,'Badge Lookup'!$A$6:$A$55,0)),0)</x:f>
        <x:v>2244300</x:v>
      </x:c>
      <x:c r="O235" s="388" t="n">
        <x:f>IF(P235="OK",INDEX('Badge Lookup'!$D$6:$D$55,MATCH(F235,'Badge Lookup'!$A$6:$A$55,0)),0)</x:f>
        <x:v>27.74</x:v>
      </x:c>
      <x:c r="P235" s="362" t="str">
        <x:f>IF(OR(G235="",F235=""),"Not scored",IF(AND(F235=INT(F235),F235&gt;=1,F235&lt;=50,COUNTIF('Badge Lookup'!$A$6:$A$55,F235)=1),"OK","Check lookup"))</x:f>
        <x:v>OK</x:v>
      </x:c>
      <x:c r="Q235" s="456" t="n">
        <x:f>IF(P235&lt;&gt;"OK","",IF(C235="Guards",-O235,O235))</x:f>
        <x:v>27.74</x:v>
      </x:c>
      <x:c r="R235" s="362" t="str">
        <x:f>IF(P235&lt;&gt;"OK","Not scored",IF(C235="Guards","Damage received reduction","Damage increase"))</x:f>
        <x:v>Damage increase</x:v>
      </x:c>
    </x:row>
    <x:row r="236" ht="32" customHeight="1">
      <x:c r="A236" s="365" t="str">
        <x:v>K138</x:v>
      </x:c>
      <x:c r="B236" s="365" t="str">
        <x:v>(RaW)༺Aryz༻</x:v>
      </x:c>
      <x:c r="C236" s="365" t="str">
        <x:v>Cavalry</x:v>
      </x:c>
      <x:c r="D236" s="365" t="str">
        <x:v>Eternal knights</x:v>
      </x:c>
      <x:c r="E236" s="365" t="str">
        <x:v>Heavy Cavalry</x:v>
      </x:c>
      <x:c r="F236" s="365" t="n">
        <x:v>46</x:v>
      </x:c>
      <x:c r="G236" s="365" t="str">
        <x:v>Thunder trample</x:v>
      </x:c>
      <x:c r="H236" s="365" t="str">
        <x:v>Has a certain probability of causing trampling damage</x:v>
      </x:c>
      <x:c r="I236" s="365" t="str">
        <x:v>Unlocked</x:v>
      </x:c>
      <x:c r="J236" s="365" t="str">
        <x:v>01:05.75</x:v>
      </x:c>
      <x:c r="K236" s="365" t="str">
        <x:v>Visually verified. | Source frame: f_0132.jpg</x:v>
      </x:c>
      <x:c r="L236" s="365" t="str">
        <x:v>K138_1000025064.mp4</x:v>
      </x:c>
      <x:c r="M236" s="387" t="n">
        <x:f>IF(P236="OK",INDEX('Badge Lookup'!$B$6:$B$55,MATCH(F236,'Badge Lookup'!$A$6:$A$55,0)),0)</x:f>
        <x:v>720000</x:v>
      </x:c>
      <x:c r="N236" s="387" t="n">
        <x:f>IF(P236="OK",INDEX('Badge Lookup'!$C$6:$C$55,MATCH(F236,'Badge Lookup'!$A$6:$A$55,0)),0)</x:f>
        <x:v>5004300</x:v>
      </x:c>
      <x:c r="O236" s="388" t="n">
        <x:f>IF(P236="OK",INDEX('Badge Lookup'!$D$6:$D$55,MATCH(F236,'Badge Lookup'!$A$6:$A$55,0)),0)</x:f>
        <x:v>45.13</x:v>
      </x:c>
      <x:c r="P236" s="362" t="str">
        <x:f>IF(OR(G236="",F236=""),"Not scored",IF(AND(F236=INT(F236),F236&gt;=1,F236&lt;=50,COUNTIF('Badge Lookup'!$A$6:$A$55,F236)=1),"OK","Check lookup"))</x:f>
        <x:v>OK</x:v>
      </x:c>
      <x:c r="Q236" s="456" t="n">
        <x:f>IF(P236&lt;&gt;"OK","",IF(C236="Guards",-O236,O236))</x:f>
        <x:v>45.13</x:v>
      </x:c>
      <x:c r="R236" s="362" t="str">
        <x:f>IF(P236&lt;&gt;"OK","Not scored",IF(C236="Guards","Damage received reduction","Damage increase"))</x:f>
        <x:v>Damage increase</x:v>
      </x:c>
    </x:row>
    <x:row r="237" ht="32" customHeight="1">
      <x:c r="A237" s="365" t="str">
        <x:v>K138</x:v>
      </x:c>
      <x:c r="B237" s="365" t="str">
        <x:v>(RaW)༺Aryz༻</x:v>
      </x:c>
      <x:c r="C237" s="365" t="str">
        <x:v>Cavalry</x:v>
      </x:c>
      <x:c r="D237" s="365" t="str">
        <x:v>Storm cavalry</x:v>
      </x:c>
      <x:c r="E237" s="365" t="str">
        <x:v>Horse archer</x:v>
      </x:c>
      <x:c r="F237" s="365" t="n">
        <x:v>46</x:v>
      </x:c>
      <x:c r="G237" s="365" t="str">
        <x:v>Mounted Archery</x:v>
      </x:c>
      <x:c r="H237" s="365" t="str">
        <x:v>Has a certain probability of causing fly-shooting damage</x:v>
      </x:c>
      <x:c r="I237" s="365" t="str">
        <x:v>Unlocked</x:v>
      </x:c>
      <x:c r="J237" s="365" t="str">
        <x:v>01:08.75</x:v>
      </x:c>
      <x:c r="K237" s="365" t="str">
        <x:v>Visually verified. | Source frame: f_0138.jpg</x:v>
      </x:c>
      <x:c r="L237" s="365" t="str">
        <x:v>K138_1000025064.mp4</x:v>
      </x:c>
      <x:c r="M237" s="387" t="n">
        <x:f>IF(P237="OK",INDEX('Badge Lookup'!$B$6:$B$55,MATCH(F237,'Badge Lookup'!$A$6:$A$55,0)),0)</x:f>
        <x:v>720000</x:v>
      </x:c>
      <x:c r="N237" s="387" t="n">
        <x:f>IF(P237="OK",INDEX('Badge Lookup'!$C$6:$C$55,MATCH(F237,'Badge Lookup'!$A$6:$A$55,0)),0)</x:f>
        <x:v>5004300</x:v>
      </x:c>
      <x:c r="O237" s="388" t="n">
        <x:f>IF(P237="OK",INDEX('Badge Lookup'!$D$6:$D$55,MATCH(F237,'Badge Lookup'!$A$6:$A$55,0)),0)</x:f>
        <x:v>45.13</x:v>
      </x:c>
      <x:c r="P237" s="362" t="str">
        <x:f>IF(OR(G237="",F237=""),"Not scored",IF(AND(F237=INT(F237),F237&gt;=1,F237&lt;=50,COUNTIF('Badge Lookup'!$A$6:$A$55,F237)=1),"OK","Check lookup"))</x:f>
        <x:v>OK</x:v>
      </x:c>
      <x:c r="Q237" s="456" t="n">
        <x:f>IF(P237&lt;&gt;"OK","",IF(C237="Guards",-O237,O237))</x:f>
        <x:v>45.13</x:v>
      </x:c>
      <x:c r="R237" s="362" t="str">
        <x:f>IF(P237&lt;&gt;"OK","Not scored",IF(C237="Guards","Damage received reduction","Damage increase"))</x:f>
        <x:v>Damage increase</x:v>
      </x:c>
    </x:row>
    <x:row r="238" ht="32" customHeight="1">
      <x:c r="A238" s="365" t="str">
        <x:v>K138</x:v>
      </x:c>
      <x:c r="B238" s="365" t="str">
        <x:v>(RaW)༺Aryz༻</x:v>
      </x:c>
      <x:c r="C238" s="365" t="str">
        <x:v>Siege</x:v>
      </x:c>
      <x:c r="D238" s="365" t="str">
        <x:v>Manglers</x:v>
      </x:c>
      <x:c r="E238" s="365" t="str">
        <x:v>Siege</x:v>
      </x:c>
      <x:c r="F238" s="365" t="n">
        <x:v>42</x:v>
      </x:c>
      <x:c r="G238" s="365" t="str">
        <x:v>Highly toxic</x:v>
      </x:c>
      <x:c r="H238" s="365" t="str">
        <x:v>Inflict continuous toxic damage</x:v>
      </x:c>
      <x:c r="I238" s="365" t="str">
        <x:v>Unlocked</x:v>
      </x:c>
      <x:c r="J238" s="365" t="str">
        <x:v>01:07.75</x:v>
      </x:c>
      <x:c r="K238" s="365" t="str">
        <x:v>Visually verified. | Source frame: f_0136.jpg</x:v>
      </x:c>
      <x:c r="L238" s="365" t="str">
        <x:v>K138_1000025064.mp4</x:v>
      </x:c>
      <x:c r="M238" s="387" t="n">
        <x:f>IF(P238="OK",INDEX('Badge Lookup'!$B$6:$B$55,MATCH(F238,'Badge Lookup'!$A$6:$A$55,0)),0)</x:f>
        <x:v>320000</x:v>
      </x:c>
      <x:c r="N238" s="387" t="n">
        <x:f>IF(P238="OK",INDEX('Badge Lookup'!$C$6:$C$55,MATCH(F238,'Badge Lookup'!$A$6:$A$55,0)),0)</x:f>
        <x:v>2844300</x:v>
      </x:c>
      <x:c r="O238" s="388" t="n">
        <x:f>IF(P238="OK",INDEX('Badge Lookup'!$D$6:$D$55,MATCH(F238,'Badge Lookup'!$A$6:$A$55,0)),0)</x:f>
        <x:v>33.13</x:v>
      </x:c>
      <x:c r="P238" s="362" t="str">
        <x:f>IF(OR(G238="",F238=""),"Not scored",IF(AND(F238=INT(F238),F238&gt;=1,F238&lt;=50,COUNTIF('Badge Lookup'!$A$6:$A$55,F238)=1),"OK","Check lookup"))</x:f>
        <x:v>OK</x:v>
      </x:c>
      <x:c r="Q238" s="456" t="n">
        <x:f>IF(P238&lt;&gt;"OK","",IF(C238="Guards",-O238,O238))</x:f>
        <x:v>33.13</x:v>
      </x:c>
      <x:c r="R238" s="362" t="str">
        <x:f>IF(P238&lt;&gt;"OK","Not scored",IF(C238="Guards","Damage received reduction","Damage increase"))</x:f>
        <x:v>Damage increase</x:v>
      </x:c>
    </x:row>
    <x:row r="239" ht="32" customHeight="1">
      <x:c r="A239" s="365" t="str">
        <x:v>K138</x:v>
      </x:c>
      <x:c r="B239" s="365" t="str">
        <x:v>(RaW)©•SGT©•</x:v>
      </x:c>
      <x:c r="C239" s="365" t="str">
        <x:v>Guards</x:v>
      </x:c>
      <x:c r="D239" s="365" t="str">
        <x:v>Destroyers</x:v>
      </x:c>
      <x:c r="E239" s="365" t="str">
        <x:v>Guard</x:v>
      </x:c>
      <x:c r="F239" s="365" t="n">
        <x:v>47</x:v>
      </x:c>
      <x:c r="G239" s="365" t="str">
        <x:v>Parry</x:v>
      </x:c>
      <x:c r="H239" s="365" t="str">
        <x:v>Provides a parry effect and a certain probability to increase damage</x:v>
      </x:c>
      <x:c r="I239" s="365" t="str">
        <x:v>Unlocked</x:v>
      </x:c>
      <x:c r="J239" s="365" t="str">
        <x:v>01:18.25</x:v>
      </x:c>
      <x:c r="K239" s="365" t="str">
        <x:v>Visually verified; part of the tooltip was crossed by an in-game rally banner, but all requested fields remained legible. | Source frame: f_0157.jpg</x:v>
      </x:c>
      <x:c r="L239" s="365" t="str">
        <x:v>K138_1000025064.mp4</x:v>
      </x:c>
      <x:c r="M239" s="387" t="n">
        <x:f>IF(P239="OK",INDEX('Badge Lookup'!$B$6:$B$55,MATCH(F239,'Badge Lookup'!$A$6:$A$55,0)),0)</x:f>
        <x:v>880000</x:v>
      </x:c>
      <x:c r="N239" s="387" t="n">
        <x:f>IF(P239="OK",INDEX('Badge Lookup'!$C$6:$C$55,MATCH(F239,'Badge Lookup'!$A$6:$A$55,0)),0)</x:f>
        <x:v>5884300</x:v>
      </x:c>
      <x:c r="O239" s="388" t="n">
        <x:f>IF(P239="OK",INDEX('Badge Lookup'!$D$6:$D$55,MATCH(F239,'Badge Lookup'!$A$6:$A$55,0)),0)</x:f>
        <x:v>48.38</x:v>
      </x:c>
      <x:c r="P239" s="362" t="str">
        <x:f>IF(OR(G239="",F239=""),"Not scored",IF(AND(F239=INT(F239),F239&gt;=1,F239&lt;=50,COUNTIF('Badge Lookup'!$A$6:$A$55,F239)=1),"OK","Check lookup"))</x:f>
        <x:v>OK</x:v>
      </x:c>
      <x:c r="Q239" s="456" t="n">
        <x:f>IF(P239&lt;&gt;"OK","",IF(C239="Guards",-O239,O239))</x:f>
        <x:v>-48.38</x:v>
      </x:c>
      <x:c r="R239" s="362" t="str">
        <x:f>IF(P239&lt;&gt;"OK","Not scored",IF(C239="Guards","Damage received reduction","Damage increase"))</x:f>
        <x:v>Damage received reduction</x:v>
      </x:c>
    </x:row>
    <x:row r="240" ht="32" customHeight="1">
      <x:c r="A240" s="365" t="str">
        <x:v>K138</x:v>
      </x:c>
      <x:c r="B240" s="365" t="str">
        <x:v>(RaW)©•SGT©•</x:v>
      </x:c>
      <x:c r="C240" s="365" t="str">
        <x:v>Archers</x:v>
      </x:c>
      <x:c r="D240" s="365" t="str">
        <x:v>Elite bowmen</x:v>
      </x:c>
      <x:c r="E240" s="365" t="str">
        <x:v>Archer</x:v>
      </x:c>
      <x:c r="F240" s="365" t="n">
        <x:v>48</x:v>
      </x:c>
      <x:c r="G240" s="365" t="str">
        <x:v>Frost Arrow</x:v>
      </x:c>
      <x:c r="H240" s="365" t="str">
        <x:v>Has a higher probability of activating ice damage</x:v>
      </x:c>
      <x:c r="I240" s="365" t="str">
        <x:v>Unlocked</x:v>
      </x:c>
      <x:c r="J240" s="365" t="str">
        <x:v>01:19.75</x:v>
      </x:c>
      <x:c r="K240" s="365" t="str">
        <x:v>Visually verified. | Source frame: f_0160.jpg</x:v>
      </x:c>
      <x:c r="L240" s="365" t="str">
        <x:v>K138_1000025064.mp4</x:v>
      </x:c>
      <x:c r="M240" s="387" t="n">
        <x:f>IF(P240="OK",INDEX('Badge Lookup'!$B$6:$B$55,MATCH(F240,'Badge Lookup'!$A$6:$A$55,0)),0)</x:f>
        <x:v>1050000</x:v>
      </x:c>
      <x:c r="N240" s="387" t="n">
        <x:f>IF(P240="OK",INDEX('Badge Lookup'!$C$6:$C$55,MATCH(F240,'Badge Lookup'!$A$6:$A$55,0)),0)</x:f>
        <x:v>6934300</x:v>
      </x:c>
      <x:c r="O240" s="388" t="n">
        <x:f>IF(P240="OK",INDEX('Badge Lookup'!$D$6:$D$55,MATCH(F240,'Badge Lookup'!$A$6:$A$55,0)),0)</x:f>
        <x:v>51.74</x:v>
      </x:c>
      <x:c r="P240" s="362" t="str">
        <x:f>IF(OR(G240="",F240=""),"Not scored",IF(AND(F240=INT(F240),F240&gt;=1,F240&lt;=50,COUNTIF('Badge Lookup'!$A$6:$A$55,F240)=1),"OK","Check lookup"))</x:f>
        <x:v>OK</x:v>
      </x:c>
      <x:c r="Q240" s="456" t="n">
        <x:f>IF(P240&lt;&gt;"OK","",IF(C240="Guards",-O240,O240))</x:f>
        <x:v>51.74</x:v>
      </x:c>
      <x:c r="R240" s="362" t="str">
        <x:f>IF(P240&lt;&gt;"OK","Not scored",IF(C240="Guards","Damage received reduction","Damage increase"))</x:f>
        <x:v>Damage increase</x:v>
      </x:c>
    </x:row>
    <x:row r="241" ht="32" customHeight="1">
      <x:c r="A241" s="365" t="str">
        <x:v>K138</x:v>
      </x:c>
      <x:c r="B241" s="365" t="str">
        <x:v>(RaW)©•SGT©•</x:v>
      </x:c>
      <x:c r="C241" s="365" t="str">
        <x:v>Cavalry</x:v>
      </x:c>
      <x:c r="D241" s="365" t="str">
        <x:v>Storm cavalry</x:v>
      </x:c>
      <x:c r="E241" s="365" t="str">
        <x:v>Horse archer</x:v>
      </x:c>
      <x:c r="F241" s="365" t="n">
        <x:v>23</x:v>
      </x:c>
      <x:c r="G241" s="365" t="str">
        <x:v>Mounted Archery</x:v>
      </x:c>
      <x:c r="H241" s="365" t="str">
        <x:v>Has a certain probability of causing fly-shooting damage</x:v>
      </x:c>
      <x:c r="I241" s="365" t="str">
        <x:v>Unlocked</x:v>
      </x:c>
      <x:c r="J241" s="365" t="str">
        <x:v>01:20.75</x:v>
      </x:c>
      <x:c r="K241" s="365" t="str">
        <x:v>Visually verified; title partly crossed by an in-game rally banner but readable. | Source frame: f_0162.jpg</x:v>
      </x:c>
      <x:c r="L241" s="365" t="str">
        <x:v>K138_1000025064.mp4</x:v>
      </x:c>
      <x:c r="M241" s="387" t="n">
        <x:f>IF(P241="OK",INDEX('Badge Lookup'!$B$6:$B$55,MATCH(F241,'Badge Lookup'!$A$6:$A$55,0)),0)</x:f>
        <x:v>47500</x:v>
      </x:c>
      <x:c r="N241" s="387" t="n">
        <x:f>IF(P241="OK",INDEX('Badge Lookup'!$C$6:$C$55,MATCH(F241,'Badge Lookup'!$A$6:$A$55,0)),0)</x:f>
        <x:v>319300</x:v>
      </x:c>
      <x:c r="O241" s="388" t="n">
        <x:f>IF(P241="OK",INDEX('Badge Lookup'!$D$6:$D$55,MATCH(F241,'Badge Lookup'!$A$6:$A$55,0)),0)</x:f>
        <x:v>4.8</x:v>
      </x:c>
      <x:c r="P241" s="362" t="str">
        <x:f>IF(OR(G241="",F241=""),"Not scored",IF(AND(F241=INT(F241),F241&gt;=1,F241&lt;=50,COUNTIF('Badge Lookup'!$A$6:$A$55,F241)=1),"OK","Check lookup"))</x:f>
        <x:v>OK</x:v>
      </x:c>
      <x:c r="Q241" s="456" t="n">
        <x:f>IF(P241&lt;&gt;"OK","",IF(C241="Guards",-O241,O241))</x:f>
        <x:v>4.8</x:v>
      </x:c>
      <x:c r="R241" s="362" t="str">
        <x:f>IF(P241&lt;&gt;"OK","Not scored",IF(C241="Guards","Damage received reduction","Damage increase"))</x:f>
        <x:v>Damage increase</x:v>
      </x:c>
    </x:row>
    <x:row r="242" ht="32" customHeight="1">
      <x:c r="A242" s="365" t="str">
        <x:v>K138</x:v>
      </x:c>
      <x:c r="B242" s="365" t="str">
        <x:v>(RaW)JØNS</x:v>
      </x:c>
      <x:c r="C242" s="365" t="str">
        <x:v>Guards</x:v>
      </x:c>
      <x:c r="D242" s="365" t="str">
        <x:v>Destroyers</x:v>
      </x:c>
      <x:c r="E242" s="365" t="str">
        <x:v>Guard</x:v>
      </x:c>
      <x:c r="F242" s="365" t="n">
        <x:v>22</x:v>
      </x:c>
      <x:c r="G242" s="365" t="str">
        <x:v>Parry</x:v>
      </x:c>
      <x:c r="H242" s="365" t="str">
        <x:v>Provides a parry effect and a certain probability to increase damage</x:v>
      </x:c>
      <x:c r="I242" s="365" t="str">
        <x:v>Unlocked</x:v>
      </x:c>
      <x:c r="J242" s="365" t="str">
        <x:v>01:28.25</x:v>
      </x:c>
      <x:c r="K242" s="365" t="str">
        <x:v>Visually verified; tooltip crossed by an in-game rally banner, but requested fields are legible. | Source frame: f_0177.jpg</x:v>
      </x:c>
      <x:c r="L242" s="365" t="str">
        <x:v>K138_1000025064.mp4</x:v>
      </x:c>
      <x:c r="M242" s="387" t="n">
        <x:f>IF(P242="OK",INDEX('Badge Lookup'!$B$6:$B$55,MATCH(F242,'Badge Lookup'!$A$6:$A$55,0)),0)</x:f>
        <x:v>45000</x:v>
      </x:c>
      <x:c r="N242" s="387" t="n">
        <x:f>IF(P242="OK",INDEX('Badge Lookup'!$C$6:$C$55,MATCH(F242,'Badge Lookup'!$A$6:$A$55,0)),0)</x:f>
        <x:v>271800</x:v>
      </x:c>
      <x:c r="O242" s="388" t="n">
        <x:f>IF(P242="OK",INDEX('Badge Lookup'!$D$6:$D$55,MATCH(F242,'Badge Lookup'!$A$6:$A$55,0)),0)</x:f>
        <x:v>4.18</x:v>
      </x:c>
      <x:c r="P242" s="362" t="str">
        <x:f>IF(OR(G242="",F242=""),"Not scored",IF(AND(F242=INT(F242),F242&gt;=1,F242&lt;=50,COUNTIF('Badge Lookup'!$A$6:$A$55,F242)=1),"OK","Check lookup"))</x:f>
        <x:v>OK</x:v>
      </x:c>
      <x:c r="Q242" s="456" t="n">
        <x:f>IF(P242&lt;&gt;"OK","",IF(C242="Guards",-O242,O242))</x:f>
        <x:v>-4.18</x:v>
      </x:c>
      <x:c r="R242" s="362" t="str">
        <x:f>IF(P242&lt;&gt;"OK","Not scored",IF(C242="Guards","Damage received reduction","Damage increase"))</x:f>
        <x:v>Damage received reduction</x:v>
      </x:c>
    </x:row>
    <x:row r="243" ht="32" customHeight="1">
      <x:c r="A243" s="365" t="str">
        <x:v>K138</x:v>
      </x:c>
      <x:c r="B243" s="365" t="str">
        <x:v>(RaW)JØNS</x:v>
      </x:c>
      <x:c r="C243" s="365" t="str">
        <x:v>Archers</x:v>
      </x:c>
      <x:c r="D243" s="365" t="str">
        <x:v>Elite bowmen</x:v>
      </x:c>
      <x:c r="E243" s="365" t="str">
        <x:v>Archer</x:v>
      </x:c>
      <x:c r="F243" s="365" t="n">
        <x:v>39</x:v>
      </x:c>
      <x:c r="G243" s="365" t="str">
        <x:v>Frost Arrow</x:v>
      </x:c>
      <x:c r="H243" s="365" t="str">
        <x:v>Has a higher probability of activating ice damage</x:v>
      </x:c>
      <x:c r="I243" s="365" t="str">
        <x:v>Unlocked</x:v>
      </x:c>
      <x:c r="J243" s="365" t="str">
        <x:v>01:29.25</x:v>
      </x:c>
      <x:c r="K243" s="365" t="str">
        <x:v>Visually verified. | Source frame: f_0179.jpg</x:v>
      </x:c>
      <x:c r="L243" s="365" t="str">
        <x:v>K138_1000025064.mp4</x:v>
      </x:c>
      <x:c r="M243" s="387" t="n">
        <x:f>IF(P243="OK",INDEX('Badge Lookup'!$B$6:$B$55,MATCH(F243,'Badge Lookup'!$A$6:$A$55,0)),0)</x:f>
        <x:v>200000</x:v>
      </x:c>
      <x:c r="N243" s="387" t="n">
        <x:f>IF(P243="OK",INDEX('Badge Lookup'!$C$6:$C$55,MATCH(F243,'Badge Lookup'!$A$6:$A$55,0)),0)</x:f>
        <x:v>2004300</x:v>
      </x:c>
      <x:c r="O243" s="388" t="n">
        <x:f>IF(P243="OK",INDEX('Badge Lookup'!$D$6:$D$55,MATCH(F243,'Badge Lookup'!$A$6:$A$55,0)),0)</x:f>
        <x:v>24</x:v>
      </x:c>
      <x:c r="P243" s="362" t="str">
        <x:f>IF(OR(G243="",F243=""),"Not scored",IF(AND(F243=INT(F243),F243&gt;=1,F243&lt;=50,COUNTIF('Badge Lookup'!$A$6:$A$55,F243)=1),"OK","Check lookup"))</x:f>
        <x:v>OK</x:v>
      </x:c>
      <x:c r="Q243" s="456" t="n">
        <x:f>IF(P243&lt;&gt;"OK","",IF(C243="Guards",-O243,O243))</x:f>
        <x:v>24</x:v>
      </x:c>
      <x:c r="R243" s="362" t="str">
        <x:f>IF(P243&lt;&gt;"OK","Not scored",IF(C243="Guards","Damage received reduction","Damage increase"))</x:f>
        <x:v>Damage increase</x:v>
      </x:c>
    </x:row>
    <x:row r="244" ht="32" customHeight="1">
      <x:c r="A244" s="365" t="str">
        <x:v>K138</x:v>
      </x:c>
      <x:c r="B244" s="365" t="str">
        <x:v>(RaW)༺Frankie༻</x:v>
      </x:c>
      <x:c r="C244" s="365" t="str">
        <x:v>Guards</x:v>
      </x:c>
      <x:c r="D244" s="365" t="str">
        <x:v>Destroyers</x:v>
      </x:c>
      <x:c r="E244" s="365" t="str">
        <x:v>Guard</x:v>
      </x:c>
      <x:c r="F244" s="365" t="n">
        <x:v>50</x:v>
      </x:c>
      <x:c r="G244" s="365" t="str">
        <x:v>Parry</x:v>
      </x:c>
      <x:c r="H244" s="365" t="str">
        <x:v>Provides a parry effect and a certain probability to increase damage</x:v>
      </x:c>
      <x:c r="I244" s="365" t="str">
        <x:v>Unlocked</x:v>
      </x:c>
      <x:c r="J244" s="365" t="str">
        <x:v>01:36.75</x:v>
      </x:c>
      <x:c r="K244" s="365" t="str">
        <x:v>Visually verified. | Source frame: f_0194.jpg</x:v>
      </x:c>
      <x:c r="L244" s="365" t="str">
        <x:v>K138_1000025064.mp4</x:v>
      </x:c>
      <x:c r="M244" s="387" t="n">
        <x:f>IF(P244="OK",INDEX('Badge Lookup'!$B$6:$B$55,MATCH(F244,'Badge Lookup'!$A$6:$A$55,0)),0)</x:f>
        <x:v>2000000</x:v>
      </x:c>
      <x:c r="N244" s="387" t="n">
        <x:f>IF(P244="OK",INDEX('Badge Lookup'!$C$6:$C$55,MATCH(F244,'Badge Lookup'!$A$6:$A$55,0)),0)</x:f>
        <x:v>10334300</x:v>
      </x:c>
      <x:c r="O244" s="388" t="n">
        <x:f>IF(P244="OK",INDEX('Badge Lookup'!$D$6:$D$55,MATCH(F244,'Badge Lookup'!$A$6:$A$55,0)),0)</x:f>
        <x:v>60</x:v>
      </x:c>
      <x:c r="P244" s="362" t="str">
        <x:f>IF(OR(G244="",F244=""),"Not scored",IF(AND(F244=INT(F244),F244&gt;=1,F244&lt;=50,COUNTIF('Badge Lookup'!$A$6:$A$55,F244)=1),"OK","Check lookup"))</x:f>
        <x:v>OK</x:v>
      </x:c>
      <x:c r="Q244" s="456" t="n">
        <x:f>IF(P244&lt;&gt;"OK","",IF(C244="Guards",-O244,O244))</x:f>
        <x:v>-60</x:v>
      </x:c>
      <x:c r="R244" s="362" t="str">
        <x:f>IF(P244&lt;&gt;"OK","Not scored",IF(C244="Guards","Damage received reduction","Damage increase"))</x:f>
        <x:v>Damage received reduction</x:v>
      </x:c>
    </x:row>
    <x:row r="245" ht="32" customHeight="1">
      <x:c r="A245" s="365" t="str">
        <x:v>K138</x:v>
      </x:c>
      <x:c r="B245" s="365" t="str">
        <x:v>(RaW)༺Frankie༻</x:v>
      </x:c>
      <x:c r="C245" s="365" t="str">
        <x:v>Archers</x:v>
      </x:c>
      <x:c r="D245" s="365" t="str">
        <x:v>Elite bowmen</x:v>
      </x:c>
      <x:c r="E245" s="365" t="str">
        <x:v>Archer</x:v>
      </x:c>
      <x:c r="F245" s="365" t="n">
        <x:v>33</x:v>
      </x:c>
      <x:c r="G245" s="365" t="str">
        <x:v>Frost Arrow</x:v>
      </x:c>
      <x:c r="H245" s="365" t="str">
        <x:v>Has a higher probability of activating ice damage</x:v>
      </x:c>
      <x:c r="I245" s="365" t="str">
        <x:v>Unlocked</x:v>
      </x:c>
      <x:c r="J245" s="365" t="str">
        <x:v>01:38.75</x:v>
      </x:c>
      <x:c r="K245" s="365" t="str">
        <x:v>Visually verified. | Source frame: f_0198.jpg</x:v>
      </x:c>
      <x:c r="L245" s="365" t="str">
        <x:v>K138_1000025064.mp4</x:v>
      </x:c>
      <x:c r="M245" s="387" t="n">
        <x:f>IF(P245="OK",INDEX('Badge Lookup'!$B$6:$B$55,MATCH(F245,'Badge Lookup'!$A$6:$A$55,0)),0)</x:f>
        <x:v>110000</x:v>
      </x:c>
      <x:c r="N245" s="387" t="n">
        <x:f>IF(P245="OK",INDEX('Badge Lookup'!$C$6:$C$55,MATCH(F245,'Badge Lookup'!$A$6:$A$55,0)),0)</x:f>
        <x:v>1074300</x:v>
      </x:c>
      <x:c r="O245" s="388" t="n">
        <x:f>IF(P245="OK",INDEX('Badge Lookup'!$D$6:$D$55,MATCH(F245,'Badge Lookup'!$A$6:$A$55,0)),0)</x:f>
        <x:v>14.78</x:v>
      </x:c>
      <x:c r="P245" s="362" t="str">
        <x:f>IF(OR(G245="",F245=""),"Not scored",IF(AND(F245=INT(F245),F245&gt;=1,F245&lt;=50,COUNTIF('Badge Lookup'!$A$6:$A$55,F245)=1),"OK","Check lookup"))</x:f>
        <x:v>OK</x:v>
      </x:c>
      <x:c r="Q245" s="456" t="n">
        <x:f>IF(P245&lt;&gt;"OK","",IF(C245="Guards",-O245,O245))</x:f>
        <x:v>14.78</x:v>
      </x:c>
      <x:c r="R245" s="362" t="str">
        <x:f>IF(P245&lt;&gt;"OK","Not scored",IF(C245="Guards","Damage received reduction","Damage increase"))</x:f>
        <x:v>Damage increase</x:v>
      </x:c>
    </x:row>
    <x:row r="246" ht="32" customHeight="1">
      <x:c r="A246" s="365" t="str">
        <x:v>K138</x:v>
      </x:c>
      <x:c r="B246" s="365" t="str">
        <x:v>(RaW)༺Frankie༻</x:v>
      </x:c>
      <x:c r="C246" s="365" t="str">
        <x:v>Cavalry</x:v>
      </x:c>
      <x:c r="D246" s="365" t="str">
        <x:v>Eternal knights</x:v>
      </x:c>
      <x:c r="E246" s="365" t="str">
        <x:v>Heavy Cavalry</x:v>
      </x:c>
      <x:c r="F246" s="365" t="n">
        <x:v>45</x:v>
      </x:c>
      <x:c r="G246" s="365" t="str">
        <x:v>Thunder trample</x:v>
      </x:c>
      <x:c r="H246" s="365" t="str">
        <x:v>Has a certain probability of causing trampling damage</x:v>
      </x:c>
      <x:c r="I246" s="365" t="str">
        <x:v>Unlocked</x:v>
      </x:c>
      <x:c r="J246" s="365" t="str">
        <x:v>01:37.75</x:v>
      </x:c>
      <x:c r="K246" s="365" t="str">
        <x:v>Visually verified. | Source frame: f_0196.jpg</x:v>
      </x:c>
      <x:c r="L246" s="365" t="str">
        <x:v>K138_1000025064.mp4</x:v>
      </x:c>
      <x:c r="M246" s="387" t="n">
        <x:f>IF(P246="OK",INDEX('Badge Lookup'!$B$6:$B$55,MATCH(F246,'Badge Lookup'!$A$6:$A$55,0)),0)</x:f>
        <x:v>560000</x:v>
      </x:c>
      <x:c r="N246" s="387" t="n">
        <x:f>IF(P246="OK",INDEX('Badge Lookup'!$C$6:$C$55,MATCH(F246,'Badge Lookup'!$A$6:$A$55,0)),0)</x:f>
        <x:v>4284300</x:v>
      </x:c>
      <x:c r="O246" s="388" t="n">
        <x:f>IF(P246="OK",INDEX('Badge Lookup'!$D$6:$D$55,MATCH(F246,'Badge Lookup'!$A$6:$A$55,0)),0)</x:f>
        <x:v>41.98</x:v>
      </x:c>
      <x:c r="P246" s="362" t="str">
        <x:f>IF(OR(G246="",F246=""),"Not scored",IF(AND(F246=INT(F246),F246&gt;=1,F246&lt;=50,COUNTIF('Badge Lookup'!$A$6:$A$55,F246)=1),"OK","Check lookup"))</x:f>
        <x:v>OK</x:v>
      </x:c>
      <x:c r="Q246" s="456" t="n">
        <x:f>IF(P246&lt;&gt;"OK","",IF(C246="Guards",-O246,O246))</x:f>
        <x:v>41.98</x:v>
      </x:c>
      <x:c r="R246" s="362" t="str">
        <x:f>IF(P246&lt;&gt;"OK","Not scored",IF(C246="Guards","Damage received reduction","Damage increase"))</x:f>
        <x:v>Damage increase</x:v>
      </x:c>
    </x:row>
    <x:row r="247" ht="32" customHeight="1">
      <x:c r="A247" s="365" t="str">
        <x:v>K138</x:v>
      </x:c>
      <x:c r="B247" s="365" t="str">
        <x:v>(RaW)༺Frankie༻</x:v>
      </x:c>
      <x:c r="C247" s="365" t="str">
        <x:v>Cavalry</x:v>
      </x:c>
      <x:c r="D247" s="365" t="str">
        <x:v>Storm cavalry</x:v>
      </x:c>
      <x:c r="E247" s="365" t="str">
        <x:v>Horse archer</x:v>
      </x:c>
      <x:c r="F247" s="365" t="n">
        <x:v>45</x:v>
      </x:c>
      <x:c r="G247" s="365" t="str">
        <x:v>Mounted Archery</x:v>
      </x:c>
      <x:c r="H247" s="365" t="str">
        <x:v>Has a certain probability of causing fly-shooting damage</x:v>
      </x:c>
      <x:c r="I247" s="365" t="str">
        <x:v>Unlocked</x:v>
      </x:c>
      <x:c r="J247" s="365" t="str">
        <x:v>01:41.25</x:v>
      </x:c>
      <x:c r="K247" s="365" t="str">
        <x:v>Visually verified. | Source frame: f_0203.jpg</x:v>
      </x:c>
      <x:c r="L247" s="365" t="str">
        <x:v>K138_1000025064.mp4</x:v>
      </x:c>
      <x:c r="M247" s="387" t="n">
        <x:f>IF(P247="OK",INDEX('Badge Lookup'!$B$6:$B$55,MATCH(F247,'Badge Lookup'!$A$6:$A$55,0)),0)</x:f>
        <x:v>560000</x:v>
      </x:c>
      <x:c r="N247" s="387" t="n">
        <x:f>IF(P247="OK",INDEX('Badge Lookup'!$C$6:$C$55,MATCH(F247,'Badge Lookup'!$A$6:$A$55,0)),0)</x:f>
        <x:v>4284300</x:v>
      </x:c>
      <x:c r="O247" s="388" t="n">
        <x:f>IF(P247="OK",INDEX('Badge Lookup'!$D$6:$D$55,MATCH(F247,'Badge Lookup'!$A$6:$A$55,0)),0)</x:f>
        <x:v>41.98</x:v>
      </x:c>
      <x:c r="P247" s="362" t="str">
        <x:f>IF(OR(G247="",F247=""),"Not scored",IF(AND(F247=INT(F247),F247&gt;=1,F247&lt;=50,COUNTIF('Badge Lookup'!$A$6:$A$55,F247)=1),"OK","Check lookup"))</x:f>
        <x:v>OK</x:v>
      </x:c>
      <x:c r="Q247" s="456" t="n">
        <x:f>IF(P247&lt;&gt;"OK","",IF(C247="Guards",-O247,O247))</x:f>
        <x:v>41.98</x:v>
      </x:c>
      <x:c r="R247" s="362" t="str">
        <x:f>IF(P247&lt;&gt;"OK","Not scored",IF(C247="Guards","Damage received reduction","Damage increase"))</x:f>
        <x:v>Damage increase</x:v>
      </x:c>
    </x:row>
    <x:row r="248" ht="32" customHeight="1">
      <x:c r="A248" s="365" t="str">
        <x:v>K138</x:v>
      </x:c>
      <x:c r="B248" s="365" t="str">
        <x:v>(RaW)༺Frankie༻</x:v>
      </x:c>
      <x:c r="C248" s="365" t="str">
        <x:v>Siege</x:v>
      </x:c>
      <x:c r="D248" s="365" t="str">
        <x:v>Manglers</x:v>
      </x:c>
      <x:c r="E248" s="365" t="str">
        <x:v>Siege</x:v>
      </x:c>
      <x:c r="F248" s="365" t="n">
        <x:v>31</x:v>
      </x:c>
      <x:c r="G248" s="365" t="str">
        <x:v>Highly toxic</x:v>
      </x:c>
      <x:c r="H248" s="365" t="str">
        <x:v>Inflict continuous toxic damage</x:v>
      </x:c>
      <x:c r="I248" s="365" t="str">
        <x:v>Unlocked</x:v>
      </x:c>
      <x:c r="J248" s="365" t="str">
        <x:v>01:39.75</x:v>
      </x:c>
      <x:c r="K248" s="365" t="str">
        <x:v>Visually verified. | Source frame: f_0200.jpg</x:v>
      </x:c>
      <x:c r="L248" s="365" t="str">
        <x:v>K138_1000025064.mp4</x:v>
      </x:c>
      <x:c r="M248" s="387" t="n">
        <x:f>IF(P248="OK",INDEX('Badge Lookup'!$B$6:$B$55,MATCH(F248,'Badge Lookup'!$A$6:$A$55,0)),0)</x:f>
        <x:v>90000</x:v>
      </x:c>
      <x:c r="N248" s="387" t="n">
        <x:f>IF(P248="OK",INDEX('Badge Lookup'!$C$6:$C$55,MATCH(F248,'Badge Lookup'!$A$6:$A$55,0)),0)</x:f>
        <x:v>864300</x:v>
      </x:c>
      <x:c r="O248" s="388" t="n">
        <x:f>IF(P248="OK",INDEX('Badge Lookup'!$D$6:$D$55,MATCH(F248,'Badge Lookup'!$A$6:$A$55,0)),0)</x:f>
        <x:v>12.09</x:v>
      </x:c>
      <x:c r="P248" s="362" t="str">
        <x:f>IF(OR(G248="",F248=""),"Not scored",IF(AND(F248=INT(F248),F248&gt;=1,F248&lt;=50,COUNTIF('Badge Lookup'!$A$6:$A$55,F248)=1),"OK","Check lookup"))</x:f>
        <x:v>OK</x:v>
      </x:c>
      <x:c r="Q248" s="456" t="n">
        <x:f>IF(P248&lt;&gt;"OK","",IF(C248="Guards",-O248,O248))</x:f>
        <x:v>12.09</x:v>
      </x:c>
      <x:c r="R248" s="362" t="str">
        <x:f>IF(P248&lt;&gt;"OK","Not scored",IF(C248="Guards","Damage received reduction","Damage increase"))</x:f>
        <x:v>Damage increase</x:v>
      </x:c>
    </x:row>
    <x:row r="249" ht="32" customHeight="1">
      <x:c r="A249" s="365" t="str">
        <x:v>K138</x:v>
      </x:c>
      <x:c r="B249" s="365" t="str">
        <x:v>(RaW)Critykal</x:v>
      </x:c>
      <x:c r="C249" s="365" t="str">
        <x:v>Archers</x:v>
      </x:c>
      <x:c r="D249" s="365" t="str">
        <x:v>Elite bowmen</x:v>
      </x:c>
      <x:c r="E249" s="365" t="str">
        <x:v>Archer</x:v>
      </x:c>
      <x:c r="F249" s="365" t="n">
        <x:v>40</x:v>
      </x:c>
      <x:c r="G249" s="365" t="str">
        <x:v>Frost Arrow</x:v>
      </x:c>
      <x:c r="H249" s="365" t="str">
        <x:v>Has a higher probability of activating ice damage</x:v>
      </x:c>
      <x:c r="I249" s="365" t="str">
        <x:v>Unlocked</x:v>
      </x:c>
      <x:c r="J249" s="365" t="str">
        <x:v>01:51.25</x:v>
      </x:c>
      <x:c r="K249" s="365" t="str">
        <x:v>Visually verified. | Source frame: f_0223.jpg</x:v>
      </x:c>
      <x:c r="L249" s="365" t="str">
        <x:v>K138_1000025064.mp4</x:v>
      </x:c>
      <x:c r="M249" s="387" t="n">
        <x:f>IF(P249="OK",INDEX('Badge Lookup'!$B$6:$B$55,MATCH(F249,'Badge Lookup'!$A$6:$A$55,0)),0)</x:f>
        <x:v>240000</x:v>
      </x:c>
      <x:c r="N249" s="387" t="n">
        <x:f>IF(P249="OK",INDEX('Badge Lookup'!$C$6:$C$55,MATCH(F249,'Badge Lookup'!$A$6:$A$55,0)),0)</x:f>
        <x:v>2244300</x:v>
      </x:c>
      <x:c r="O249" s="388" t="n">
        <x:f>IF(P249="OK",INDEX('Badge Lookup'!$D$6:$D$55,MATCH(F249,'Badge Lookup'!$A$6:$A$55,0)),0)</x:f>
        <x:v>27.74</x:v>
      </x:c>
      <x:c r="P249" s="362" t="str">
        <x:f>IF(OR(G249="",F249=""),"Not scored",IF(AND(F249=INT(F249),F249&gt;=1,F249&lt;=50,COUNTIF('Badge Lookup'!$A$6:$A$55,F249)=1),"OK","Check lookup"))</x:f>
        <x:v>OK</x:v>
      </x:c>
      <x:c r="Q249" s="456" t="n">
        <x:f>IF(P249&lt;&gt;"OK","",IF(C249="Guards",-O249,O249))</x:f>
        <x:v>27.74</x:v>
      </x:c>
      <x:c r="R249" s="362" t="str">
        <x:f>IF(P249&lt;&gt;"OK","Not scored",IF(C249="Guards","Damage received reduction","Damage increase"))</x:f>
        <x:v>Damage increase</x:v>
      </x:c>
    </x:row>
    <x:row r="250" ht="32" customHeight="1">
      <x:c r="A250" s="365" t="str">
        <x:v>K138</x:v>
      </x:c>
      <x:c r="B250" s="365" t="str">
        <x:v>(RaW)Critykal</x:v>
      </x:c>
      <x:c r="C250" s="365" t="str">
        <x:v>Cavalry</x:v>
      </x:c>
      <x:c r="D250" s="365" t="str">
        <x:v>Eternal knights</x:v>
      </x:c>
      <x:c r="E250" s="365" t="str">
        <x:v>Heavy Cavalry</x:v>
      </x:c>
      <x:c r="F250" s="365" t="n">
        <x:v>50</x:v>
      </x:c>
      <x:c r="G250" s="365" t="str">
        <x:v>Thunder trample</x:v>
      </x:c>
      <x:c r="H250" s="365" t="str">
        <x:v>Has a certain probability of causing trampling damage</x:v>
      </x:c>
      <x:c r="I250" s="365" t="str">
        <x:v>Unlocked</x:v>
      </x:c>
      <x:c r="J250" s="365" t="str">
        <x:v>01:50.25</x:v>
      </x:c>
      <x:c r="K250" s="365" t="str">
        <x:v>Visually verified. | Source frame: f_0221.jpg</x:v>
      </x:c>
      <x:c r="L250" s="365" t="str">
        <x:v>K138_1000025064.mp4</x:v>
      </x:c>
      <x:c r="M250" s="387" t="n">
        <x:f>IF(P250="OK",INDEX('Badge Lookup'!$B$6:$B$55,MATCH(F250,'Badge Lookup'!$A$6:$A$55,0)),0)</x:f>
        <x:v>2000000</x:v>
      </x:c>
      <x:c r="N250" s="387" t="n">
        <x:f>IF(P250="OK",INDEX('Badge Lookup'!$C$6:$C$55,MATCH(F250,'Badge Lookup'!$A$6:$A$55,0)),0)</x:f>
        <x:v>10334300</x:v>
      </x:c>
      <x:c r="O250" s="388" t="n">
        <x:f>IF(P250="OK",INDEX('Badge Lookup'!$D$6:$D$55,MATCH(F250,'Badge Lookup'!$A$6:$A$55,0)),0)</x:f>
        <x:v>60</x:v>
      </x:c>
      <x:c r="P250" s="362" t="str">
        <x:f>IF(OR(G250="",F250=""),"Not scored",IF(AND(F250=INT(F250),F250&gt;=1,F250&lt;=50,COUNTIF('Badge Lookup'!$A$6:$A$55,F250)=1),"OK","Check lookup"))</x:f>
        <x:v>OK</x:v>
      </x:c>
      <x:c r="Q250" s="456" t="n">
        <x:f>IF(P250&lt;&gt;"OK","",IF(C250="Guards",-O250,O250))</x:f>
        <x:v>60</x:v>
      </x:c>
      <x:c r="R250" s="362" t="str">
        <x:f>IF(P250&lt;&gt;"OK","Not scored",IF(C250="Guards","Damage received reduction","Damage increase"))</x:f>
        <x:v>Damage increase</x:v>
      </x:c>
    </x:row>
    <x:row r="251" ht="32" customHeight="1">
      <x:c r="A251" s="365" t="str">
        <x:v>K138</x:v>
      </x:c>
      <x:c r="B251" s="365" t="str">
        <x:v>(RaW)Critykal</x:v>
      </x:c>
      <x:c r="C251" s="365" t="str">
        <x:v>Cavalry</x:v>
      </x:c>
      <x:c r="D251" s="365" t="str">
        <x:v>Storm cavalry</x:v>
      </x:c>
      <x:c r="E251" s="365" t="str">
        <x:v>Horse archer</x:v>
      </x:c>
      <x:c r="F251" s="365" t="n">
        <x:v>50</x:v>
      </x:c>
      <x:c r="G251" s="365" t="str">
        <x:v>Mounted Archery</x:v>
      </x:c>
      <x:c r="H251" s="365" t="str">
        <x:v>Has a certain probability of causing fly-shooting damage</x:v>
      </x:c>
      <x:c r="I251" s="365" t="str">
        <x:v>Unlocked</x:v>
      </x:c>
      <x:c r="J251" s="365" t="str">
        <x:v>01:53.25</x:v>
      </x:c>
      <x:c r="K251" s="365" t="str">
        <x:v>Visually verified. | Source frame: f_0227.jpg</x:v>
      </x:c>
      <x:c r="L251" s="365" t="str">
        <x:v>K138_1000025064.mp4</x:v>
      </x:c>
      <x:c r="M251" s="387" t="n">
        <x:f>IF(P251="OK",INDEX('Badge Lookup'!$B$6:$B$55,MATCH(F251,'Badge Lookup'!$A$6:$A$55,0)),0)</x:f>
        <x:v>2000000</x:v>
      </x:c>
      <x:c r="N251" s="387" t="n">
        <x:f>IF(P251="OK",INDEX('Badge Lookup'!$C$6:$C$55,MATCH(F251,'Badge Lookup'!$A$6:$A$55,0)),0)</x:f>
        <x:v>10334300</x:v>
      </x:c>
      <x:c r="O251" s="388" t="n">
        <x:f>IF(P251="OK",INDEX('Badge Lookup'!$D$6:$D$55,MATCH(F251,'Badge Lookup'!$A$6:$A$55,0)),0)</x:f>
        <x:v>60</x:v>
      </x:c>
      <x:c r="P251" s="362" t="str">
        <x:f>IF(OR(G251="",F251=""),"Not scored",IF(AND(F251=INT(F251),F251&gt;=1,F251&lt;=50,COUNTIF('Badge Lookup'!$A$6:$A$55,F251)=1),"OK","Check lookup"))</x:f>
        <x:v>OK</x:v>
      </x:c>
      <x:c r="Q251" s="456" t="n">
        <x:f>IF(P251&lt;&gt;"OK","",IF(C251="Guards",-O251,O251))</x:f>
        <x:v>60</x:v>
      </x:c>
      <x:c r="R251" s="362" t="str">
        <x:f>IF(P251&lt;&gt;"OK","Not scored",IF(C251="Guards","Damage received reduction","Damage increase"))</x:f>
        <x:v>Damage increase</x:v>
      </x:c>
    </x:row>
    <x:row r="252" ht="32" customHeight="1">
      <x:c r="A252" s="365" t="str">
        <x:v>K138</x:v>
      </x:c>
      <x:c r="B252" s="365" t="str">
        <x:v>(RaW)Critykal</x:v>
      </x:c>
      <x:c r="C252" s="365" t="str">
        <x:v>Siege</x:v>
      </x:c>
      <x:c r="D252" s="365" t="str">
        <x:v>Manglers</x:v>
      </x:c>
      <x:c r="E252" s="365" t="str">
        <x:v>Siege</x:v>
      </x:c>
      <x:c r="F252" s="365" t="n">
        <x:v>40</x:v>
      </x:c>
      <x:c r="G252" s="365" t="str">
        <x:v>Highly toxic</x:v>
      </x:c>
      <x:c r="H252" s="365" t="str">
        <x:v>Inflict continuous toxic damage</x:v>
      </x:c>
      <x:c r="I252" s="365" t="str">
        <x:v>Unlocked</x:v>
      </x:c>
      <x:c r="J252" s="365" t="str">
        <x:v>01:52.25</x:v>
      </x:c>
      <x:c r="K252" s="365" t="str">
        <x:v>Visually verified. | Source frame: f_0225.jpg</x:v>
      </x:c>
      <x:c r="L252" s="365" t="str">
        <x:v>K138_1000025064.mp4</x:v>
      </x:c>
      <x:c r="M252" s="387" t="n">
        <x:f>IF(P252="OK",INDEX('Badge Lookup'!$B$6:$B$55,MATCH(F252,'Badge Lookup'!$A$6:$A$55,0)),0)</x:f>
        <x:v>240000</x:v>
      </x:c>
      <x:c r="N252" s="387" t="n">
        <x:f>IF(P252="OK",INDEX('Badge Lookup'!$C$6:$C$55,MATCH(F252,'Badge Lookup'!$A$6:$A$55,0)),0)</x:f>
        <x:v>2244300</x:v>
      </x:c>
      <x:c r="O252" s="388" t="n">
        <x:f>IF(P252="OK",INDEX('Badge Lookup'!$D$6:$D$55,MATCH(F252,'Badge Lookup'!$A$6:$A$55,0)),0)</x:f>
        <x:v>27.74</x:v>
      </x:c>
      <x:c r="P252" s="362" t="str">
        <x:f>IF(OR(G252="",F252=""),"Not scored",IF(AND(F252=INT(F252),F252&gt;=1,F252&lt;=50,COUNTIF('Badge Lookup'!$A$6:$A$55,F252)=1),"OK","Check lookup"))</x:f>
        <x:v>OK</x:v>
      </x:c>
      <x:c r="Q252" s="456" t="n">
        <x:f>IF(P252&lt;&gt;"OK","",IF(C252="Guards",-O252,O252))</x:f>
        <x:v>27.74</x:v>
      </x:c>
      <x:c r="R252" s="362" t="str">
        <x:f>IF(P252&lt;&gt;"OK","Not scored",IF(C252="Guards","Damage received reduction","Damage increase"))</x:f>
        <x:v>Damage increase</x:v>
      </x:c>
    </x:row>
    <x:row r="253" ht="32" customHeight="1">
      <x:c r="A253" s="365" t="str">
        <x:v>K138</x:v>
      </x:c>
      <x:c r="B253" s="365" t="str">
        <x:v>(RaW)Maddog</x:v>
      </x:c>
      <x:c r="C253" s="365" t="str">
        <x:v>Guards</x:v>
      </x:c>
      <x:c r="D253" s="365" t="str">
        <x:v>Destroyers</x:v>
      </x:c>
      <x:c r="E253" s="365" t="str">
        <x:v>Guard</x:v>
      </x:c>
      <x:c r="F253" s="365" t="n">
        <x:v>50</x:v>
      </x:c>
      <x:c r="G253" s="365" t="str">
        <x:v>Parry</x:v>
      </x:c>
      <x:c r="H253" s="365" t="str">
        <x:v>Provides a parry effect and a certain probability to increase damage</x:v>
      </x:c>
      <x:c r="I253" s="365" t="str">
        <x:v>Unlocked</x:v>
      </x:c>
      <x:c r="J253" s="365" t="str">
        <x:v>02:02.25</x:v>
      </x:c>
      <x:c r="K253" s="365" t="str">
        <x:v>Visually verified. | Source frame: f_0245.jpg</x:v>
      </x:c>
      <x:c r="L253" s="365" t="str">
        <x:v>K138_1000025064.mp4</x:v>
      </x:c>
      <x:c r="M253" s="387" t="n">
        <x:f>IF(P253="OK",INDEX('Badge Lookup'!$B$6:$B$55,MATCH(F253,'Badge Lookup'!$A$6:$A$55,0)),0)</x:f>
        <x:v>2000000</x:v>
      </x:c>
      <x:c r="N253" s="387" t="n">
        <x:f>IF(P253="OK",INDEX('Badge Lookup'!$C$6:$C$55,MATCH(F253,'Badge Lookup'!$A$6:$A$55,0)),0)</x:f>
        <x:v>10334300</x:v>
      </x:c>
      <x:c r="O253" s="388" t="n">
        <x:f>IF(P253="OK",INDEX('Badge Lookup'!$D$6:$D$55,MATCH(F253,'Badge Lookup'!$A$6:$A$55,0)),0)</x:f>
        <x:v>60</x:v>
      </x:c>
      <x:c r="P253" s="362" t="str">
        <x:f>IF(OR(G253="",F253=""),"Not scored",IF(AND(F253=INT(F253),F253&gt;=1,F253&lt;=50,COUNTIF('Badge Lookup'!$A$6:$A$55,F253)=1),"OK","Check lookup"))</x:f>
        <x:v>OK</x:v>
      </x:c>
      <x:c r="Q253" s="456" t="n">
        <x:f>IF(P253&lt;&gt;"OK","",IF(C253="Guards",-O253,O253))</x:f>
        <x:v>-60</x:v>
      </x:c>
      <x:c r="R253" s="362" t="str">
        <x:f>IF(P253&lt;&gt;"OK","Not scored",IF(C253="Guards","Damage received reduction","Damage increase"))</x:f>
        <x:v>Damage received reduction</x:v>
      </x:c>
    </x:row>
    <x:row r="254" ht="32" customHeight="1">
      <x:c r="A254" s="365" t="str">
        <x:v>K138</x:v>
      </x:c>
      <x:c r="B254" s="365" t="str">
        <x:v>(RaW)Maddog</x:v>
      </x:c>
      <x:c r="C254" s="365" t="str">
        <x:v>Archers</x:v>
      </x:c>
      <x:c r="D254" s="365" t="str">
        <x:v>Elite bowmen</x:v>
      </x:c>
      <x:c r="E254" s="365" t="str">
        <x:v>Archer</x:v>
      </x:c>
      <x:c r="F254" s="365" t="n">
        <x:v>44</x:v>
      </x:c>
      <x:c r="G254" s="365" t="str">
        <x:v>Frost Arrow</x:v>
      </x:c>
      <x:c r="H254" s="365" t="str">
        <x:v>Has a higher probability of activating ice damage</x:v>
      </x:c>
      <x:c r="I254" s="365" t="str">
        <x:v>Unlocked</x:v>
      </x:c>
      <x:c r="J254" s="365" t="str">
        <x:v>02:03.25</x:v>
      </x:c>
      <x:c r="K254" s="365" t="str">
        <x:v>Visually verified. | Source frame: f_0247.jpg</x:v>
      </x:c>
      <x:c r="L254" s="365" t="str">
        <x:v>K138_1000025064.mp4</x:v>
      </x:c>
      <x:c r="M254" s="387" t="n">
        <x:f>IF(P254="OK",INDEX('Badge Lookup'!$B$6:$B$55,MATCH(F254,'Badge Lookup'!$A$6:$A$55,0)),0)</x:f>
        <x:v>480000</x:v>
      </x:c>
      <x:c r="N254" s="387" t="n">
        <x:f>IF(P254="OK",INDEX('Badge Lookup'!$C$6:$C$55,MATCH(F254,'Badge Lookup'!$A$6:$A$55,0)),0)</x:f>
        <x:v>3724300</x:v>
      </x:c>
      <x:c r="O254" s="388" t="n">
        <x:f>IF(P254="OK",INDEX('Badge Lookup'!$D$6:$D$55,MATCH(F254,'Badge Lookup'!$A$6:$A$55,0)),0)</x:f>
        <x:v>39.93</x:v>
      </x:c>
      <x:c r="P254" s="362" t="str">
        <x:f>IF(OR(G254="",F254=""),"Not scored",IF(AND(F254=INT(F254),F254&gt;=1,F254&lt;=50,COUNTIF('Badge Lookup'!$A$6:$A$55,F254)=1),"OK","Check lookup"))</x:f>
        <x:v>OK</x:v>
      </x:c>
      <x:c r="Q254" s="456" t="n">
        <x:f>IF(P254&lt;&gt;"OK","",IF(C254="Guards",-O254,O254))</x:f>
        <x:v>39.93</x:v>
      </x:c>
      <x:c r="R254" s="362" t="str">
        <x:f>IF(P254&lt;&gt;"OK","Not scored",IF(C254="Guards","Damage received reduction","Damage increase"))</x:f>
        <x:v>Damage increase</x:v>
      </x:c>
    </x:row>
    <x:row r="255" ht="32" customHeight="1">
      <x:c r="A255" s="365" t="str">
        <x:v>K138</x:v>
      </x:c>
      <x:c r="B255" s="365" t="str">
        <x:v>(RaW)Maddog</x:v>
      </x:c>
      <x:c r="C255" s="365" t="str">
        <x:v>Cavalry</x:v>
      </x:c>
      <x:c r="D255" s="365" t="str">
        <x:v>Storm cavalry</x:v>
      </x:c>
      <x:c r="E255" s="365" t="str">
        <x:v>Horse archer</x:v>
      </x:c>
      <x:c r="F255" s="365" t="n">
        <x:v>25</x:v>
      </x:c>
      <x:c r="G255" s="365" t="str">
        <x:v>Mounted Archery</x:v>
      </x:c>
      <x:c r="H255" s="365" t="str">
        <x:v>Has a certain probability of causing fly-shooting damage</x:v>
      </x:c>
      <x:c r="I255" s="365" t="str">
        <x:v>Unlocked</x:v>
      </x:c>
      <x:c r="J255" s="365" t="str">
        <x:v>02:04.25</x:v>
      </x:c>
      <x:c r="K255" s="365" t="str">
        <x:v>Visually verified. | Source frame: f_0249.jpg</x:v>
      </x:c>
      <x:c r="L255" s="365" t="str">
        <x:v>K138_1000025064.mp4</x:v>
      </x:c>
      <x:c r="M255" s="387" t="n">
        <x:f>IF(P255="OK",INDEX('Badge Lookup'!$B$6:$B$55,MATCH(F255,'Badge Lookup'!$A$6:$A$55,0)),0)</x:f>
        <x:v>55000</x:v>
      </x:c>
      <x:c r="N255" s="387" t="n">
        <x:f>IF(P255="OK",INDEX('Badge Lookup'!$C$6:$C$55,MATCH(F255,'Badge Lookup'!$A$6:$A$55,0)),0)</x:f>
        <x:v>424300</x:v>
      </x:c>
      <x:c r="O255" s="388" t="n">
        <x:f>IF(P255="OK",INDEX('Badge Lookup'!$D$6:$D$55,MATCH(F255,'Badge Lookup'!$A$6:$A$55,0)),0)</x:f>
        <x:v>6.11</x:v>
      </x:c>
      <x:c r="P255" s="362" t="str">
        <x:f>IF(OR(G255="",F255=""),"Not scored",IF(AND(F255=INT(F255),F255&gt;=1,F255&lt;=50,COUNTIF('Badge Lookup'!$A$6:$A$55,F255)=1),"OK","Check lookup"))</x:f>
        <x:v>OK</x:v>
      </x:c>
      <x:c r="Q255" s="456" t="n">
        <x:f>IF(P255&lt;&gt;"OK","",IF(C255="Guards",-O255,O255))</x:f>
        <x:v>6.11</x:v>
      </x:c>
      <x:c r="R255" s="362" t="str">
        <x:f>IF(P255&lt;&gt;"OK","Not scored",IF(C255="Guards","Damage received reduction","Damage increase"))</x:f>
        <x:v>Damage increase</x:v>
      </x:c>
    </x:row>
    <x:row r="256" ht="32" customHeight="1">
      <x:c r="A256" s="365" t="str">
        <x:v>K138</x:v>
      </x:c>
      <x:c r="B256" s="365" t="str">
        <x:v>(RaW)BEYKOZLU</x:v>
      </x:c>
      <x:c r="C256" s="365" t="str">
        <x:v>Guards</x:v>
      </x:c>
      <x:c r="D256" s="365" t="str">
        <x:v>Destroyers</x:v>
      </x:c>
      <x:c r="E256" s="365" t="str">
        <x:v>Guard</x:v>
      </x:c>
      <x:c r="F256" s="365" t="n">
        <x:v>48</x:v>
      </x:c>
      <x:c r="G256" s="365" t="str">
        <x:v>Parry</x:v>
      </x:c>
      <x:c r="H256" s="365" t="str">
        <x:v>Provides a parry effect and a certain probability to increase damage</x:v>
      </x:c>
      <x:c r="I256" s="365" t="str">
        <x:v>Unlocked</x:v>
      </x:c>
      <x:c r="J256" s="365" t="str">
        <x:v>00:02:12.00</x:v>
      </x:c>
      <x:c r="K256" s="365" t="str">
        <x:v>Visually confirmed; skill shown as Parry(unlocked).</x:v>
      </x:c>
      <x:c r="L256" s="365" t="str">
        <x:v>K138_1000025064.mp4</x:v>
      </x:c>
      <x:c r="M256" s="387" t="n">
        <x:f>IF(P256="OK",INDEX('Badge Lookup'!$B$6:$B$55,MATCH(F256,'Badge Lookup'!$A$6:$A$55,0)),0)</x:f>
        <x:v>1050000</x:v>
      </x:c>
      <x:c r="N256" s="387" t="n">
        <x:f>IF(P256="OK",INDEX('Badge Lookup'!$C$6:$C$55,MATCH(F256,'Badge Lookup'!$A$6:$A$55,0)),0)</x:f>
        <x:v>6934300</x:v>
      </x:c>
      <x:c r="O256" s="388" t="n">
        <x:f>IF(P256="OK",INDEX('Badge Lookup'!$D$6:$D$55,MATCH(F256,'Badge Lookup'!$A$6:$A$55,0)),0)</x:f>
        <x:v>51.74</x:v>
      </x:c>
      <x:c r="P256" s="362" t="str">
        <x:f>IF(OR(G256="",F256=""),"Not scored",IF(AND(F256=INT(F256),F256&gt;=1,F256&lt;=50,COUNTIF('Badge Lookup'!$A$6:$A$55,F256)=1),"OK","Check lookup"))</x:f>
        <x:v>OK</x:v>
      </x:c>
      <x:c r="Q256" s="456" t="n">
        <x:f>IF(P256&lt;&gt;"OK","",IF(C256="Guards",-O256,O256))</x:f>
        <x:v>-51.74</x:v>
      </x:c>
      <x:c r="R256" s="362" t="str">
        <x:f>IF(P256&lt;&gt;"OK","Not scored",IF(C256="Guards","Damage received reduction","Damage increase"))</x:f>
        <x:v>Damage received reduction</x:v>
      </x:c>
    </x:row>
    <x:row r="257" ht="32" customHeight="1">
      <x:c r="A257" s="365" t="str">
        <x:v>K138</x:v>
      </x:c>
      <x:c r="B257" s="365" t="str">
        <x:v>(RaW)BEYKOZLU</x:v>
      </x:c>
      <x:c r="C257" s="365" t="str">
        <x:v>Archers</x:v>
      </x:c>
      <x:c r="D257" s="365" t="str">
        <x:v>Elite bowmen</x:v>
      </x:c>
      <x:c r="E257" s="365" t="str">
        <x:v>Archer</x:v>
      </x:c>
      <x:c r="F257" s="365" t="n">
        <x:v>43</x:v>
      </x:c>
      <x:c r="G257" s="365" t="str">
        <x:v>Frost Arrow</x:v>
      </x:c>
      <x:c r="H257" s="365" t="str">
        <x:v>Has a higher probability of activating ice damage</x:v>
      </x:c>
      <x:c r="I257" s="365" t="str">
        <x:v>Unlocked</x:v>
      </x:c>
      <x:c r="J257" s="365" t="str">
        <x:v>00:02:13.00</x:v>
      </x:c>
      <x:c r="K257" s="365" t="str">
        <x:v>Visually confirmed; skill shown as Frost Arrow(unlocked).</x:v>
      </x:c>
      <x:c r="L257" s="365" t="str">
        <x:v>K138_1000025064.mp4</x:v>
      </x:c>
      <x:c r="M257" s="387" t="n">
        <x:f>IF(P257="OK",INDEX('Badge Lookup'!$B$6:$B$55,MATCH(F257,'Badge Lookup'!$A$6:$A$55,0)),0)</x:f>
        <x:v>400000</x:v>
      </x:c>
      <x:c r="N257" s="387" t="n">
        <x:f>IF(P257="OK",INDEX('Badge Lookup'!$C$6:$C$55,MATCH(F257,'Badge Lookup'!$A$6:$A$55,0)),0)</x:f>
        <x:v>3244300</x:v>
      </x:c>
      <x:c r="O257" s="388" t="n">
        <x:f>IF(P257="OK",INDEX('Badge Lookup'!$D$6:$D$55,MATCH(F257,'Badge Lookup'!$A$6:$A$55,0)),0)</x:f>
        <x:v>35.98</x:v>
      </x:c>
      <x:c r="P257" s="362" t="str">
        <x:f>IF(OR(G257="",F257=""),"Not scored",IF(AND(F257=INT(F257),F257&gt;=1,F257&lt;=50,COUNTIF('Badge Lookup'!$A$6:$A$55,F257)=1),"OK","Check lookup"))</x:f>
        <x:v>OK</x:v>
      </x:c>
      <x:c r="Q257" s="456" t="n">
        <x:f>IF(P257&lt;&gt;"OK","",IF(C257="Guards",-O257,O257))</x:f>
        <x:v>35.98</x:v>
      </x:c>
      <x:c r="R257" s="362" t="str">
        <x:f>IF(P257&lt;&gt;"OK","Not scored",IF(C257="Guards","Damage received reduction","Damage increase"))</x:f>
        <x:v>Damage increase</x:v>
      </x:c>
    </x:row>
    <x:row r="258" ht="32" customHeight="1">
      <x:c r="A258" s="365" t="str">
        <x:v>K138</x:v>
      </x:c>
      <x:c r="B258" s="365" t="str">
        <x:v>(RaW)BEYKOZLU</x:v>
      </x:c>
      <x:c r="C258" s="365" t="str">
        <x:v>Cavalry</x:v>
      </x:c>
      <x:c r="D258" s="365" t="str">
        <x:v>Storm cavalry</x:v>
      </x:c>
      <x:c r="E258" s="365" t="str">
        <x:v>Horse archer</x:v>
      </x:c>
      <x:c r="F258" s="365" t="n">
        <x:v>48</x:v>
      </x:c>
      <x:c r="G258" s="365" t="str">
        <x:v>Mounted Archery</x:v>
      </x:c>
      <x:c r="H258" s="365" t="str">
        <x:v>Has a certain probability of causing fly-shooting damage</x:v>
      </x:c>
      <x:c r="I258" s="365" t="str">
        <x:v>Unlocked</x:v>
      </x:c>
      <x:c r="J258" s="365" t="str">
        <x:v>00:02:14.25</x:v>
      </x:c>
      <x:c r="K258" s="365" t="str">
        <x:v>Visually confirmed; skill shown as Mounted Archery(unlocked).</x:v>
      </x:c>
      <x:c r="L258" s="365" t="str">
        <x:v>K138_1000025064.mp4</x:v>
      </x:c>
      <x:c r="M258" s="387" t="n">
        <x:f>IF(P258="OK",INDEX('Badge Lookup'!$B$6:$B$55,MATCH(F258,'Badge Lookup'!$A$6:$A$55,0)),0)</x:f>
        <x:v>1050000</x:v>
      </x:c>
      <x:c r="N258" s="387" t="n">
        <x:f>IF(P258="OK",INDEX('Badge Lookup'!$C$6:$C$55,MATCH(F258,'Badge Lookup'!$A$6:$A$55,0)),0)</x:f>
        <x:v>6934300</x:v>
      </x:c>
      <x:c r="O258" s="388" t="n">
        <x:f>IF(P258="OK",INDEX('Badge Lookup'!$D$6:$D$55,MATCH(F258,'Badge Lookup'!$A$6:$A$55,0)),0)</x:f>
        <x:v>51.74</x:v>
      </x:c>
      <x:c r="P258" s="362" t="str">
        <x:f>IF(OR(G258="",F258=""),"Not scored",IF(AND(F258=INT(F258),F258&gt;=1,F258&lt;=50,COUNTIF('Badge Lookup'!$A$6:$A$55,F258)=1),"OK","Check lookup"))</x:f>
        <x:v>OK</x:v>
      </x:c>
      <x:c r="Q258" s="456" t="n">
        <x:f>IF(P258&lt;&gt;"OK","",IF(C258="Guards",-O258,O258))</x:f>
        <x:v>51.74</x:v>
      </x:c>
      <x:c r="R258" s="362" t="str">
        <x:f>IF(P258&lt;&gt;"OK","Not scored",IF(C258="Guards","Damage received reduction","Damage increase"))</x:f>
        <x:v>Damage increase</x:v>
      </x:c>
    </x:row>
    <x:row r="259" ht="32" customHeight="1">
      <x:c r="A259" s="365" t="str">
        <x:v>K138</x:v>
      </x:c>
      <x:c r="B259" s="365" t="str">
        <x:v>(RaW)༺ASOS༻</x:v>
      </x:c>
      <x:c r="C259" s="365" t="str">
        <x:v>Guards</x:v>
      </x:c>
      <x:c r="D259" s="365" t="str">
        <x:v>Destroyers</x:v>
      </x:c>
      <x:c r="E259" s="365" t="str">
        <x:v>Guard</x:v>
      </x:c>
      <x:c r="F259" s="365" t="n">
        <x:v>45</x:v>
      </x:c>
      <x:c r="G259" s="365" t="str">
        <x:v>Parry</x:v>
      </x:c>
      <x:c r="H259" s="365" t="str">
        <x:v>Provides a parry effect and a certain probability to increase damage</x:v>
      </x:c>
      <x:c r="I259" s="365" t="str">
        <x:v>Unlocked</x:v>
      </x:c>
      <x:c r="J259" s="365" t="str">
        <x:v>00:02:21.00</x:v>
      </x:c>
      <x:c r="K259" s="365" t="str">
        <x:v>Visually confirmed; skill shown as Parry(unlocked).</x:v>
      </x:c>
      <x:c r="L259" s="365" t="str">
        <x:v>K138_1000025064.mp4</x:v>
      </x:c>
      <x:c r="M259" s="387" t="n">
        <x:f>IF(P259="OK",INDEX('Badge Lookup'!$B$6:$B$55,MATCH(F259,'Badge Lookup'!$A$6:$A$55,0)),0)</x:f>
        <x:v>560000</x:v>
      </x:c>
      <x:c r="N259" s="387" t="n">
        <x:f>IF(P259="OK",INDEX('Badge Lookup'!$C$6:$C$55,MATCH(F259,'Badge Lookup'!$A$6:$A$55,0)),0)</x:f>
        <x:v>4284300</x:v>
      </x:c>
      <x:c r="O259" s="388" t="n">
        <x:f>IF(P259="OK",INDEX('Badge Lookup'!$D$6:$D$55,MATCH(F259,'Badge Lookup'!$A$6:$A$55,0)),0)</x:f>
        <x:v>41.98</x:v>
      </x:c>
      <x:c r="P259" s="362" t="str">
        <x:f>IF(OR(G259="",F259=""),"Not scored",IF(AND(F259=INT(F259),F259&gt;=1,F259&lt;=50,COUNTIF('Badge Lookup'!$A$6:$A$55,F259)=1),"OK","Check lookup"))</x:f>
        <x:v>OK</x:v>
      </x:c>
      <x:c r="Q259" s="456" t="n">
        <x:f>IF(P259&lt;&gt;"OK","",IF(C259="Guards",-O259,O259))</x:f>
        <x:v>-41.98</x:v>
      </x:c>
      <x:c r="R259" s="362" t="str">
        <x:f>IF(P259&lt;&gt;"OK","Not scored",IF(C259="Guards","Damage received reduction","Damage increase"))</x:f>
        <x:v>Damage received reduction</x:v>
      </x:c>
    </x:row>
    <x:row r="260" ht="32" customHeight="1">
      <x:c r="A260" s="365" t="str">
        <x:v>K138</x:v>
      </x:c>
      <x:c r="B260" s="365" t="str">
        <x:v>(RaW)༺ASOS༻</x:v>
      </x:c>
      <x:c r="C260" s="365" t="str">
        <x:v>Archers</x:v>
      </x:c>
      <x:c r="D260" s="365" t="str">
        <x:v>Elite bowmen</x:v>
      </x:c>
      <x:c r="E260" s="365" t="str">
        <x:v>Archer</x:v>
      </x:c>
      <x:c r="F260" s="365" t="n">
        <x:v>46</x:v>
      </x:c>
      <x:c r="G260" s="365" t="str">
        <x:v>Frost Arrow</x:v>
      </x:c>
      <x:c r="H260" s="365" t="str">
        <x:v>Has a higher probability of activating ice damage</x:v>
      </x:c>
      <x:c r="I260" s="365" t="str">
        <x:v>Unlocked</x:v>
      </x:c>
      <x:c r="J260" s="365" t="str">
        <x:v>00:02:21.75</x:v>
      </x:c>
      <x:c r="K260" s="365" t="str">
        <x:v>Visually confirmed; skill shown as Frost Arrow(unlocked). No other specialisation tooltip was opened for this player.</x:v>
      </x:c>
      <x:c r="L260" s="365" t="str">
        <x:v>K138_1000025064.mp4</x:v>
      </x:c>
      <x:c r="M260" s="387" t="n">
        <x:f>IF(P260="OK",INDEX('Badge Lookup'!$B$6:$B$55,MATCH(F260,'Badge Lookup'!$A$6:$A$55,0)),0)</x:f>
        <x:v>720000</x:v>
      </x:c>
      <x:c r="N260" s="387" t="n">
        <x:f>IF(P260="OK",INDEX('Badge Lookup'!$C$6:$C$55,MATCH(F260,'Badge Lookup'!$A$6:$A$55,0)),0)</x:f>
        <x:v>5004300</x:v>
      </x:c>
      <x:c r="O260" s="388" t="n">
        <x:f>IF(P260="OK",INDEX('Badge Lookup'!$D$6:$D$55,MATCH(F260,'Badge Lookup'!$A$6:$A$55,0)),0)</x:f>
        <x:v>45.13</x:v>
      </x:c>
      <x:c r="P260" s="362" t="str">
        <x:f>IF(OR(G260="",F260=""),"Not scored",IF(AND(F260=INT(F260),F260&gt;=1,F260&lt;=50,COUNTIF('Badge Lookup'!$A$6:$A$55,F260)=1),"OK","Check lookup"))</x:f>
        <x:v>OK</x:v>
      </x:c>
      <x:c r="Q260" s="456" t="n">
        <x:f>IF(P260&lt;&gt;"OK","",IF(C260="Guards",-O260,O260))</x:f>
        <x:v>45.13</x:v>
      </x:c>
      <x:c r="R260" s="362" t="str">
        <x:f>IF(P260&lt;&gt;"OK","Not scored",IF(C260="Guards","Damage received reduction","Damage increase"))</x:f>
        <x:v>Damage increase</x:v>
      </x:c>
    </x:row>
    <x:row r="261" ht="32" customHeight="1">
      <x:c r="A261" s="365" t="str">
        <x:v>K138</x:v>
      </x:c>
      <x:c r="B261" s="365" t="str">
        <x:v>(RaW)Nightmare</x:v>
      </x:c>
      <x:c r="C261" s="365" t="str">
        <x:v>Guards</x:v>
      </x:c>
      <x:c r="D261" s="365" t="str">
        <x:v>Destroyers</x:v>
      </x:c>
      <x:c r="E261" s="365" t="str">
        <x:v>Guard</x:v>
      </x:c>
      <x:c r="F261" s="365" t="n">
        <x:v>45</x:v>
      </x:c>
      <x:c r="G261" s="365" t="str">
        <x:v>Parry</x:v>
      </x:c>
      <x:c r="H261" s="365" t="str">
        <x:v>Provides a parry effect and a certain probability to increase damage</x:v>
      </x:c>
      <x:c r="I261" s="365" t="str">
        <x:v>Unlocked</x:v>
      </x:c>
      <x:c r="J261" s="365" t="str">
        <x:v>00:02:29.75</x:v>
      </x:c>
      <x:c r="K261" s="365" t="str">
        <x:v>Visually confirmed; skill shown as Parry(unlocked).</x:v>
      </x:c>
      <x:c r="L261" s="365" t="str">
        <x:v>K138_1000025064.mp4</x:v>
      </x:c>
      <x:c r="M261" s="387" t="n">
        <x:f>IF(P261="OK",INDEX('Badge Lookup'!$B$6:$B$55,MATCH(F261,'Badge Lookup'!$A$6:$A$55,0)),0)</x:f>
        <x:v>560000</x:v>
      </x:c>
      <x:c r="N261" s="387" t="n">
        <x:f>IF(P261="OK",INDEX('Badge Lookup'!$C$6:$C$55,MATCH(F261,'Badge Lookup'!$A$6:$A$55,0)),0)</x:f>
        <x:v>4284300</x:v>
      </x:c>
      <x:c r="O261" s="388" t="n">
        <x:f>IF(P261="OK",INDEX('Badge Lookup'!$D$6:$D$55,MATCH(F261,'Badge Lookup'!$A$6:$A$55,0)),0)</x:f>
        <x:v>41.98</x:v>
      </x:c>
      <x:c r="P261" s="362" t="str">
        <x:f>IF(OR(G261="",F261=""),"Not scored",IF(AND(F261=INT(F261),F261&gt;=1,F261&lt;=50,COUNTIF('Badge Lookup'!$A$6:$A$55,F261)=1),"OK","Check lookup"))</x:f>
        <x:v>OK</x:v>
      </x:c>
      <x:c r="Q261" s="456" t="n">
        <x:f>IF(P261&lt;&gt;"OK","",IF(C261="Guards",-O261,O261))</x:f>
        <x:v>-41.98</x:v>
      </x:c>
      <x:c r="R261" s="362" t="str">
        <x:f>IF(P261&lt;&gt;"OK","Not scored",IF(C261="Guards","Damage received reduction","Damage increase"))</x:f>
        <x:v>Damage received reduction</x:v>
      </x:c>
    </x:row>
    <x:row r="262" ht="32" customHeight="1">
      <x:c r="A262" s="365" t="str">
        <x:v>K138</x:v>
      </x:c>
      <x:c r="B262" s="365" t="str">
        <x:v>(RaW)Nightmare</x:v>
      </x:c>
      <x:c r="C262" s="365" t="str">
        <x:v>Archers</x:v>
      </x:c>
      <x:c r="D262" s="365" t="str">
        <x:v>Elite bowmen</x:v>
      </x:c>
      <x:c r="E262" s="365" t="str">
        <x:v>Archer</x:v>
      </x:c>
      <x:c r="F262" s="365" t="n">
        <x:v>45</x:v>
      </x:c>
      <x:c r="G262" s="365" t="str">
        <x:v>Frost Arrow</x:v>
      </x:c>
      <x:c r="H262" s="365" t="str">
        <x:v>Has a higher probability of activating ice damage</x:v>
      </x:c>
      <x:c r="I262" s="365" t="str">
        <x:v>Unlocked</x:v>
      </x:c>
      <x:c r="J262" s="365" t="str">
        <x:v>00:02:30.75</x:v>
      </x:c>
      <x:c r="K262" s="365" t="str">
        <x:v>Visually confirmed; skill shown as Frost Arrow(unlocked).</x:v>
      </x:c>
      <x:c r="L262" s="365" t="str">
        <x:v>K138_1000025064.mp4</x:v>
      </x:c>
      <x:c r="M262" s="387" t="n">
        <x:f>IF(P262="OK",INDEX('Badge Lookup'!$B$6:$B$55,MATCH(F262,'Badge Lookup'!$A$6:$A$55,0)),0)</x:f>
        <x:v>560000</x:v>
      </x:c>
      <x:c r="N262" s="387" t="n">
        <x:f>IF(P262="OK",INDEX('Badge Lookup'!$C$6:$C$55,MATCH(F262,'Badge Lookup'!$A$6:$A$55,0)),0)</x:f>
        <x:v>4284300</x:v>
      </x:c>
      <x:c r="O262" s="388" t="n">
        <x:f>IF(P262="OK",INDEX('Badge Lookup'!$D$6:$D$55,MATCH(F262,'Badge Lookup'!$A$6:$A$55,0)),0)</x:f>
        <x:v>41.98</x:v>
      </x:c>
      <x:c r="P262" s="362" t="str">
        <x:f>IF(OR(G262="",F262=""),"Not scored",IF(AND(F262=INT(F262),F262&gt;=1,F262&lt;=50,COUNTIF('Badge Lookup'!$A$6:$A$55,F262)=1),"OK","Check lookup"))</x:f>
        <x:v>OK</x:v>
      </x:c>
      <x:c r="Q262" s="456" t="n">
        <x:f>IF(P262&lt;&gt;"OK","",IF(C262="Guards",-O262,O262))</x:f>
        <x:v>41.98</x:v>
      </x:c>
      <x:c r="R262" s="362" t="str">
        <x:f>IF(P262&lt;&gt;"OK","Not scored",IF(C262="Guards","Damage received reduction","Damage increase"))</x:f>
        <x:v>Damage increase</x:v>
      </x:c>
    </x:row>
    <x:row r="263" ht="32" customHeight="1">
      <x:c r="A263" s="365" t="str">
        <x:v>K138</x:v>
      </x:c>
      <x:c r="B263" s="365" t="str">
        <x:v>(RaW)Nightmare</x:v>
      </x:c>
      <x:c r="C263" s="365" t="str">
        <x:v>Cavalry</x:v>
      </x:c>
      <x:c r="D263" s="365" t="str">
        <x:v>Storm cavalry</x:v>
      </x:c>
      <x:c r="E263" s="365" t="str">
        <x:v>Horse archer</x:v>
      </x:c>
      <x:c r="F263" s="365" t="n">
        <x:v>44</x:v>
      </x:c>
      <x:c r="G263" s="365" t="str">
        <x:v>Mounted Archery</x:v>
      </x:c>
      <x:c r="H263" s="365" t="str">
        <x:v>Has a certain probability of causing fly-shooting damage</x:v>
      </x:c>
      <x:c r="I263" s="365" t="str">
        <x:v>Unlocked</x:v>
      </x:c>
      <x:c r="J263" s="365" t="str">
        <x:v>00:02:32.00</x:v>
      </x:c>
      <x:c r="K263" s="365" t="str">
        <x:v>Visually confirmed; skill shown as Mounted Archery(unlocked).</x:v>
      </x:c>
      <x:c r="L263" s="365" t="str">
        <x:v>K138_1000025064.mp4</x:v>
      </x:c>
      <x:c r="M263" s="387" t="n">
        <x:f>IF(P263="OK",INDEX('Badge Lookup'!$B$6:$B$55,MATCH(F263,'Badge Lookup'!$A$6:$A$55,0)),0)</x:f>
        <x:v>480000</x:v>
      </x:c>
      <x:c r="N263" s="387" t="n">
        <x:f>IF(P263="OK",INDEX('Badge Lookup'!$C$6:$C$55,MATCH(F263,'Badge Lookup'!$A$6:$A$55,0)),0)</x:f>
        <x:v>3724300</x:v>
      </x:c>
      <x:c r="O263" s="388" t="n">
        <x:f>IF(P263="OK",INDEX('Badge Lookup'!$D$6:$D$55,MATCH(F263,'Badge Lookup'!$A$6:$A$55,0)),0)</x:f>
        <x:v>39.93</x:v>
      </x:c>
      <x:c r="P263" s="362" t="str">
        <x:f>IF(OR(G263="",F263=""),"Not scored",IF(AND(F263=INT(F263),F263&gt;=1,F263&lt;=50,COUNTIF('Badge Lookup'!$A$6:$A$55,F263)=1),"OK","Check lookup"))</x:f>
        <x:v>OK</x:v>
      </x:c>
      <x:c r="Q263" s="456" t="n">
        <x:f>IF(P263&lt;&gt;"OK","",IF(C263="Guards",-O263,O263))</x:f>
        <x:v>39.93</x:v>
      </x:c>
      <x:c r="R263" s="362" t="str">
        <x:f>IF(P263&lt;&gt;"OK","Not scored",IF(C263="Guards","Damage received reduction","Damage increase"))</x:f>
        <x:v>Damage increase</x:v>
      </x:c>
    </x:row>
    <x:row r="264" ht="32" customHeight="1">
      <x:c r="A264" s="365" t="str">
        <x:v>K138</x:v>
      </x:c>
      <x:c r="B264" s="365" t="str">
        <x:v>(RaW)MARYEL</x:v>
      </x:c>
      <x:c r="C264" s="365" t="str">
        <x:v>Guards</x:v>
      </x:c>
      <x:c r="D264" s="365" t="str">
        <x:v>Destroyers</x:v>
      </x:c>
      <x:c r="E264" s="365" t="str">
        <x:v>Guard</x:v>
      </x:c>
      <x:c r="F264" s="365" t="n">
        <x:v>50</x:v>
      </x:c>
      <x:c r="G264" s="365" t="str">
        <x:v>Parry</x:v>
      </x:c>
      <x:c r="H264" s="365" t="str">
        <x:v>Provides a parry effect and a certain probability to increase damage</x:v>
      </x:c>
      <x:c r="I264" s="365" t="str">
        <x:v>Unlocked</x:v>
      </x:c>
      <x:c r="J264" s="365" t="str">
        <x:v>00:02:40.50</x:v>
      </x:c>
      <x:c r="K264" s="365" t="str">
        <x:v>Visually confirmed; skill shown as Parry(unlocked).</x:v>
      </x:c>
      <x:c r="L264" s="365" t="str">
        <x:v>K138_1000025064.mp4</x:v>
      </x:c>
      <x:c r="M264" s="387" t="n">
        <x:f>IF(P264="OK",INDEX('Badge Lookup'!$B$6:$B$55,MATCH(F264,'Badge Lookup'!$A$6:$A$55,0)),0)</x:f>
        <x:v>2000000</x:v>
      </x:c>
      <x:c r="N264" s="387" t="n">
        <x:f>IF(P264="OK",INDEX('Badge Lookup'!$C$6:$C$55,MATCH(F264,'Badge Lookup'!$A$6:$A$55,0)),0)</x:f>
        <x:v>10334300</x:v>
      </x:c>
      <x:c r="O264" s="388" t="n">
        <x:f>IF(P264="OK",INDEX('Badge Lookup'!$D$6:$D$55,MATCH(F264,'Badge Lookup'!$A$6:$A$55,0)),0)</x:f>
        <x:v>60</x:v>
      </x:c>
      <x:c r="P264" s="362" t="str">
        <x:f>IF(OR(G264="",F264=""),"Not scored",IF(AND(F264=INT(F264),F264&gt;=1,F264&lt;=50,COUNTIF('Badge Lookup'!$A$6:$A$55,F264)=1),"OK","Check lookup"))</x:f>
        <x:v>OK</x:v>
      </x:c>
      <x:c r="Q264" s="456" t="n">
        <x:f>IF(P264&lt;&gt;"OK","",IF(C264="Guards",-O264,O264))</x:f>
        <x:v>-60</x:v>
      </x:c>
      <x:c r="R264" s="362" t="str">
        <x:f>IF(P264&lt;&gt;"OK","Not scored",IF(C264="Guards","Damage received reduction","Damage increase"))</x:f>
        <x:v>Damage received reduction</x:v>
      </x:c>
    </x:row>
    <x:row r="265" ht="32" customHeight="1">
      <x:c r="A265" s="365" t="str">
        <x:v>K138</x:v>
      </x:c>
      <x:c r="B265" s="365" t="str">
        <x:v>(RaW)MARYEL</x:v>
      </x:c>
      <x:c r="C265" s="365" t="str">
        <x:v>Archers</x:v>
      </x:c>
      <x:c r="D265" s="365" t="str">
        <x:v>Elite bowmen</x:v>
      </x:c>
      <x:c r="E265" s="365" t="str">
        <x:v>Archer</x:v>
      </x:c>
      <x:c r="F265" s="365" t="n">
        <x:v>40</x:v>
      </x:c>
      <x:c r="G265" s="365" t="str">
        <x:v>Frost Arrow</x:v>
      </x:c>
      <x:c r="H265" s="365" t="str">
        <x:v>Has a higher probability of activating ice damage</x:v>
      </x:c>
      <x:c r="I265" s="365" t="str">
        <x:v>Unlocked</x:v>
      </x:c>
      <x:c r="J265" s="365" t="str">
        <x:v>00:02:41.50</x:v>
      </x:c>
      <x:c r="K265" s="365" t="str">
        <x:v>Visually confirmed; skill shown as Frost Arrow(unlocked).</x:v>
      </x:c>
      <x:c r="L265" s="365" t="str">
        <x:v>K138_1000025064.mp4</x:v>
      </x:c>
      <x:c r="M265" s="387" t="n">
        <x:f>IF(P265="OK",INDEX('Badge Lookup'!$B$6:$B$55,MATCH(F265,'Badge Lookup'!$A$6:$A$55,0)),0)</x:f>
        <x:v>240000</x:v>
      </x:c>
      <x:c r="N265" s="387" t="n">
        <x:f>IF(P265="OK",INDEX('Badge Lookup'!$C$6:$C$55,MATCH(F265,'Badge Lookup'!$A$6:$A$55,0)),0)</x:f>
        <x:v>2244300</x:v>
      </x:c>
      <x:c r="O265" s="388" t="n">
        <x:f>IF(P265="OK",INDEX('Badge Lookup'!$D$6:$D$55,MATCH(F265,'Badge Lookup'!$A$6:$A$55,0)),0)</x:f>
        <x:v>27.74</x:v>
      </x:c>
      <x:c r="P265" s="362" t="str">
        <x:f>IF(OR(G265="",F265=""),"Not scored",IF(AND(F265=INT(F265),F265&gt;=1,F265&lt;=50,COUNTIF('Badge Lookup'!$A$6:$A$55,F265)=1),"OK","Check lookup"))</x:f>
        <x:v>OK</x:v>
      </x:c>
      <x:c r="Q265" s="456" t="n">
        <x:f>IF(P265&lt;&gt;"OK","",IF(C265="Guards",-O265,O265))</x:f>
        <x:v>27.74</x:v>
      </x:c>
      <x:c r="R265" s="362" t="str">
        <x:f>IF(P265&lt;&gt;"OK","Not scored",IF(C265="Guards","Damage received reduction","Damage increase"))</x:f>
        <x:v>Damage increase</x:v>
      </x:c>
    </x:row>
    <x:row r="266" ht="32" customHeight="1">
      <x:c r="A266" s="365" t="str">
        <x:v>K138</x:v>
      </x:c>
      <x:c r="B266" s="365" t="str">
        <x:v>(RaW)MARYEL</x:v>
      </x:c>
      <x:c r="C266" s="365" t="str">
        <x:v>Cavalry</x:v>
      </x:c>
      <x:c r="D266" s="365" t="str">
        <x:v>Storm cavalry</x:v>
      </x:c>
      <x:c r="E266" s="365" t="str">
        <x:v>Horse archer</x:v>
      </x:c>
      <x:c r="F266" s="365" t="n">
        <x:v>29</x:v>
      </x:c>
      <x:c r="G266" s="365" t="str">
        <x:v>Mounted Archery</x:v>
      </x:c>
      <x:c r="H266" s="365" t="str">
        <x:v>Has a certain probability of causing fly-shooting damage</x:v>
      </x:c>
      <x:c r="I266" s="365" t="str">
        <x:v>Unlocked</x:v>
      </x:c>
      <x:c r="J266" s="365" t="str">
        <x:v>00:02:42.25</x:v>
      </x:c>
      <x:c r="K266" s="365" t="str">
        <x:v>Visually confirmed; skill shown as Mounted Archery(unlocked).</x:v>
      </x:c>
      <x:c r="L266" s="365" t="str">
        <x:v>K138_1000025064.mp4</x:v>
      </x:c>
      <x:c r="M266" s="387" t="n">
        <x:f>IF(P266="OK",INDEX('Badge Lookup'!$B$6:$B$55,MATCH(F266,'Badge Lookup'!$A$6:$A$55,0)),0)</x:f>
        <x:v>75000</x:v>
      </x:c>
      <x:c r="N266" s="387" t="n">
        <x:f>IF(P266="OK",INDEX('Badge Lookup'!$C$6:$C$55,MATCH(F266,'Badge Lookup'!$A$6:$A$55,0)),0)</x:f>
        <x:v>694300</x:v>
      </x:c>
      <x:c r="O266" s="388" t="n">
        <x:f>IF(P266="OK",INDEX('Badge Lookup'!$D$6:$D$55,MATCH(F266,'Badge Lookup'!$A$6:$A$55,0)),0)</x:f>
        <x:v>9</x:v>
      </x:c>
      <x:c r="P266" s="362" t="str">
        <x:f>IF(OR(G266="",F266=""),"Not scored",IF(AND(F266=INT(F266),F266&gt;=1,F266&lt;=50,COUNTIF('Badge Lookup'!$A$6:$A$55,F266)=1),"OK","Check lookup"))</x:f>
        <x:v>OK</x:v>
      </x:c>
      <x:c r="Q266" s="456" t="n">
        <x:f>IF(P266&lt;&gt;"OK","",IF(C266="Guards",-O266,O266))</x:f>
        <x:v>9</x:v>
      </x:c>
      <x:c r="R266" s="362" t="str">
        <x:f>IF(P266&lt;&gt;"OK","Not scored",IF(C266="Guards","Damage received reduction","Damage increase"))</x:f>
        <x:v>Damage increase</x:v>
      </x:c>
    </x:row>
    <x:row r="267" ht="32" customHeight="1">
      <x:c r="A267" s="365" t="str">
        <x:v>K138</x:v>
      </x:c>
      <x:c r="B267" s="365" t="str">
        <x:v>(RaW)༺惊鸿༻</x:v>
      </x:c>
      <x:c r="C267" s="365" t="str">
        <x:v>Archers</x:v>
      </x:c>
      <x:c r="D267" s="365" t="str">
        <x:v>Elite bowmen</x:v>
      </x:c>
      <x:c r="E267" s="365" t="str">
        <x:v>Archer</x:v>
      </x:c>
      <x:c r="F267" s="365" t="n">
        <x:v>46</x:v>
      </x:c>
      <x:c r="G267" s="365" t="str">
        <x:v>Frost Arrow</x:v>
      </x:c>
      <x:c r="H267" s="365" t="str">
        <x:v>Has a higher probability of activating ice damage</x:v>
      </x:c>
      <x:c r="I267" s="365" t="str">
        <x:v>Unlocked</x:v>
      </x:c>
      <x:c r="J267" s="365" t="str">
        <x:v>00:02:51.25</x:v>
      </x:c>
      <x:c r="K267" s="365" t="str">
        <x:v>Visually confirmed; skill shown as Frost Arrow(unlocked).</x:v>
      </x:c>
      <x:c r="L267" s="365" t="str">
        <x:v>K138_1000025064.mp4</x:v>
      </x:c>
      <x:c r="M267" s="387" t="n">
        <x:f>IF(P267="OK",INDEX('Badge Lookup'!$B$6:$B$55,MATCH(F267,'Badge Lookup'!$A$6:$A$55,0)),0)</x:f>
        <x:v>720000</x:v>
      </x:c>
      <x:c r="N267" s="387" t="n">
        <x:f>IF(P267="OK",INDEX('Badge Lookup'!$C$6:$C$55,MATCH(F267,'Badge Lookup'!$A$6:$A$55,0)),0)</x:f>
        <x:v>5004300</x:v>
      </x:c>
      <x:c r="O267" s="388" t="n">
        <x:f>IF(P267="OK",INDEX('Badge Lookup'!$D$6:$D$55,MATCH(F267,'Badge Lookup'!$A$6:$A$55,0)),0)</x:f>
        <x:v>45.13</x:v>
      </x:c>
      <x:c r="P267" s="362" t="str">
        <x:f>IF(OR(G267="",F267=""),"Not scored",IF(AND(F267=INT(F267),F267&gt;=1,F267&lt;=50,COUNTIF('Badge Lookup'!$A$6:$A$55,F267)=1),"OK","Check lookup"))</x:f>
        <x:v>OK</x:v>
      </x:c>
      <x:c r="Q267" s="456" t="n">
        <x:f>IF(P267&lt;&gt;"OK","",IF(C267="Guards",-O267,O267))</x:f>
        <x:v>45.13</x:v>
      </x:c>
      <x:c r="R267" s="362" t="str">
        <x:f>IF(P267&lt;&gt;"OK","Not scored",IF(C267="Guards","Damage received reduction","Damage increase"))</x:f>
        <x:v>Damage increase</x:v>
      </x:c>
    </x:row>
    <x:row r="268" ht="32" customHeight="1">
      <x:c r="A268" s="365" t="str">
        <x:v>K138</x:v>
      </x:c>
      <x:c r="B268" s="365" t="str">
        <x:v>(RaW)༺惊鸿༻</x:v>
      </x:c>
      <x:c r="C268" s="365" t="str">
        <x:v>Cavalry</x:v>
      </x:c>
      <x:c r="D268" s="365" t="str">
        <x:v>Eternal knights</x:v>
      </x:c>
      <x:c r="E268" s="365" t="str">
        <x:v>Heavy Cavalry</x:v>
      </x:c>
      <x:c r="F268" s="365" t="n">
        <x:v>40</x:v>
      </x:c>
      <x:c r="G268" s="365" t="str">
        <x:v>Thunder trample</x:v>
      </x:c>
      <x:c r="H268" s="365" t="str">
        <x:v>Has a certain probability of causing trampling damage</x:v>
      </x:c>
      <x:c r="I268" s="365" t="str">
        <x:v>Unlocked</x:v>
      </x:c>
      <x:c r="J268" s="365" t="str">
        <x:v>00:02:50.00</x:v>
      </x:c>
      <x:c r="K268" s="365" t="str">
        <x:v>Visually confirmed; skill shown as Thunder trample(unlocked).</x:v>
      </x:c>
      <x:c r="L268" s="365" t="str">
        <x:v>K138_1000025064.mp4</x:v>
      </x:c>
      <x:c r="M268" s="387" t="n">
        <x:f>IF(P268="OK",INDEX('Badge Lookup'!$B$6:$B$55,MATCH(F268,'Badge Lookup'!$A$6:$A$55,0)),0)</x:f>
        <x:v>240000</x:v>
      </x:c>
      <x:c r="N268" s="387" t="n">
        <x:f>IF(P268="OK",INDEX('Badge Lookup'!$C$6:$C$55,MATCH(F268,'Badge Lookup'!$A$6:$A$55,0)),0)</x:f>
        <x:v>2244300</x:v>
      </x:c>
      <x:c r="O268" s="388" t="n">
        <x:f>IF(P268="OK",INDEX('Badge Lookup'!$D$6:$D$55,MATCH(F268,'Badge Lookup'!$A$6:$A$55,0)),0)</x:f>
        <x:v>27.74</x:v>
      </x:c>
      <x:c r="P268" s="362" t="str">
        <x:f>IF(OR(G268="",F268=""),"Not scored",IF(AND(F268=INT(F268),F268&gt;=1,F268&lt;=50,COUNTIF('Badge Lookup'!$A$6:$A$55,F268)=1),"OK","Check lookup"))</x:f>
        <x:v>OK</x:v>
      </x:c>
      <x:c r="Q268" s="456" t="n">
        <x:f>IF(P268&lt;&gt;"OK","",IF(C268="Guards",-O268,O268))</x:f>
        <x:v>27.74</x:v>
      </x:c>
      <x:c r="R268" s="362" t="str">
        <x:f>IF(P268&lt;&gt;"OK","Not scored",IF(C268="Guards","Damage received reduction","Damage increase"))</x:f>
        <x:v>Damage increase</x:v>
      </x:c>
    </x:row>
    <x:row r="269" ht="32" customHeight="1">
      <x:c r="A269" s="365" t="str">
        <x:v>K138</x:v>
      </x:c>
      <x:c r="B269" s="365" t="str">
        <x:v>(RaW)༺惊鸿༻</x:v>
      </x:c>
      <x:c r="C269" s="365" t="str">
        <x:v>Cavalry</x:v>
      </x:c>
      <x:c r="D269" s="365" t="str">
        <x:v>Storm cavalry</x:v>
      </x:c>
      <x:c r="E269" s="365" t="str">
        <x:v>Horse archer</x:v>
      </x:c>
      <x:c r="F269" s="365" t="n">
        <x:v>50</x:v>
      </x:c>
      <x:c r="G269" s="365" t="str">
        <x:v>Mounted Archery</x:v>
      </x:c>
      <x:c r="H269" s="365" t="str">
        <x:v>Has a certain probability of causing fly-shooting damage</x:v>
      </x:c>
      <x:c r="I269" s="365" t="str">
        <x:v>Unlocked</x:v>
      </x:c>
      <x:c r="J269" s="365" t="str">
        <x:v>00:02:52.25</x:v>
      </x:c>
      <x:c r="K269" s="365" t="str">
        <x:v>Visually confirmed; skill shown as Mounted Archery(unlocked).</x:v>
      </x:c>
      <x:c r="L269" s="365" t="str">
        <x:v>K138_1000025064.mp4</x:v>
      </x:c>
      <x:c r="M269" s="387" t="n">
        <x:f>IF(P269="OK",INDEX('Badge Lookup'!$B$6:$B$55,MATCH(F269,'Badge Lookup'!$A$6:$A$55,0)),0)</x:f>
        <x:v>2000000</x:v>
      </x:c>
      <x:c r="N269" s="387" t="n">
        <x:f>IF(P269="OK",INDEX('Badge Lookup'!$C$6:$C$55,MATCH(F269,'Badge Lookup'!$A$6:$A$55,0)),0)</x:f>
        <x:v>10334300</x:v>
      </x:c>
      <x:c r="O269" s="388" t="n">
        <x:f>IF(P269="OK",INDEX('Badge Lookup'!$D$6:$D$55,MATCH(F269,'Badge Lookup'!$A$6:$A$55,0)),0)</x:f>
        <x:v>60</x:v>
      </x:c>
      <x:c r="P269" s="362" t="str">
        <x:f>IF(OR(G269="",F269=""),"Not scored",IF(AND(F269=INT(F269),F269&gt;=1,F269&lt;=50,COUNTIF('Badge Lookup'!$A$6:$A$55,F269)=1),"OK","Check lookup"))</x:f>
        <x:v>OK</x:v>
      </x:c>
      <x:c r="Q269" s="456" t="n">
        <x:f>IF(P269&lt;&gt;"OK","",IF(C269="Guards",-O269,O269))</x:f>
        <x:v>60</x:v>
      </x:c>
      <x:c r="R269" s="362" t="str">
        <x:f>IF(P269&lt;&gt;"OK","Not scored",IF(C269="Guards","Damage received reduction","Damage increase"))</x:f>
        <x:v>Damage increase</x:v>
      </x:c>
    </x:row>
    <x:row r="270" ht="32" customHeight="1">
      <x:c r="A270" s="365" t="str">
        <x:v>K138</x:v>
      </x:c>
      <x:c r="B270" s="365" t="str">
        <x:v>(RaW)让世界沐浴在血中</x:v>
      </x:c>
      <x:c r="C270" s="365" t="str">
        <x:v>Guards</x:v>
      </x:c>
      <x:c r="D270" s="365" t="str">
        <x:v>Destroyers</x:v>
      </x:c>
      <x:c r="E270" s="365" t="str">
        <x:v>Guard</x:v>
      </x:c>
      <x:c r="F270" s="365" t="n">
        <x:v>40</x:v>
      </x:c>
      <x:c r="G270" s="365" t="str">
        <x:v>Parry</x:v>
      </x:c>
      <x:c r="H270" s="365" t="str">
        <x:v>Provides a parry effect and a certain probability to increase damage</x:v>
      </x:c>
      <x:c r="I270" s="365" t="str">
        <x:v>unlocked</x:v>
      </x:c>
      <x:c r="J270" s="365" t="str">
        <x:v>02:59.50</x:v>
      </x:c>
      <x:c r="K270" s="365" t="str">
        <x:v>Visually verified from the open tooltip; display header reads Destroyers(Guard). | Source frame: f_0015.jpg</x:v>
      </x:c>
      <x:c r="L270" s="365" t="str">
        <x:v>K138_1000025064.mp4</x:v>
      </x:c>
      <x:c r="M270" s="387" t="n">
        <x:f>IF(P270="OK",INDEX('Badge Lookup'!$B$6:$B$55,MATCH(F270,'Badge Lookup'!$A$6:$A$55,0)),0)</x:f>
        <x:v>240000</x:v>
      </x:c>
      <x:c r="N270" s="387" t="n">
        <x:f>IF(P270="OK",INDEX('Badge Lookup'!$C$6:$C$55,MATCH(F270,'Badge Lookup'!$A$6:$A$55,0)),0)</x:f>
        <x:v>2244300</x:v>
      </x:c>
      <x:c r="O270" s="388" t="n">
        <x:f>IF(P270="OK",INDEX('Badge Lookup'!$D$6:$D$55,MATCH(F270,'Badge Lookup'!$A$6:$A$55,0)),0)</x:f>
        <x:v>27.74</x:v>
      </x:c>
      <x:c r="P270" s="362" t="str">
        <x:f>IF(OR(G270="",F270=""),"Not scored",IF(AND(F270=INT(F270),F270&gt;=1,F270&lt;=50,COUNTIF('Badge Lookup'!$A$6:$A$55,F270)=1),"OK","Check lookup"))</x:f>
        <x:v>OK</x:v>
      </x:c>
      <x:c r="Q270" s="456" t="n">
        <x:f>IF(P270&lt;&gt;"OK","",IF(C270="Guards",-O270,O270))</x:f>
        <x:v>-27.74</x:v>
      </x:c>
      <x:c r="R270" s="362" t="str">
        <x:f>IF(P270&lt;&gt;"OK","Not scored",IF(C270="Guards","Damage received reduction","Damage increase"))</x:f>
        <x:v>Damage received reduction</x:v>
      </x:c>
    </x:row>
    <x:row r="271" ht="32" customHeight="1">
      <x:c r="A271" s="365" t="str">
        <x:v>K138</x:v>
      </x:c>
      <x:c r="B271" s="365" t="str">
        <x:v>(RaW)让世界沐浴在血中</x:v>
      </x:c>
      <x:c r="C271" s="365" t="str">
        <x:v>Archers</x:v>
      </x:c>
      <x:c r="D271" s="365" t="str">
        <x:v>Elite bowmen</x:v>
      </x:c>
      <x:c r="E271" s="365" t="str">
        <x:v>Archer</x:v>
      </x:c>
      <x:c r="F271" s="365" t="n">
        <x:v>35</x:v>
      </x:c>
      <x:c r="G271" s="365" t="str">
        <x:v>Frost Arrow</x:v>
      </x:c>
      <x:c r="H271" s="365" t="str">
        <x:v>Has a higher probability of activating ice damage</x:v>
      </x:c>
      <x:c r="I271" s="365" t="str">
        <x:v>unlocked</x:v>
      </x:c>
      <x:c r="J271" s="365" t="str">
        <x:v>03:01.50</x:v>
      </x:c>
      <x:c r="K271" s="365" t="str">
        <x:v>Visually verified from the open tooltip; display header reads Elite bowmen(Archer). | Source frame: f_0023.jpg</x:v>
      </x:c>
      <x:c r="L271" s="365" t="str">
        <x:v>K138_1000025064.mp4</x:v>
      </x:c>
      <x:c r="M271" s="387" t="n">
        <x:f>IF(P271="OK",INDEX('Badge Lookup'!$B$6:$B$55,MATCH(F271,'Badge Lookup'!$A$6:$A$55,0)),0)</x:f>
        <x:v>130000</x:v>
      </x:c>
      <x:c r="N271" s="387" t="n">
        <x:f>IF(P271="OK",INDEX('Badge Lookup'!$C$6:$C$55,MATCH(F271,'Badge Lookup'!$A$6:$A$55,0)),0)</x:f>
        <x:v>1324300</x:v>
      </x:c>
      <x:c r="O271" s="388" t="n">
        <x:f>IF(P271="OK",INDEX('Badge Lookup'!$D$6:$D$55,MATCH(F271,'Badge Lookup'!$A$6:$A$55,0)),0)</x:f>
        <x:v>17.66</x:v>
      </x:c>
      <x:c r="P271" s="362" t="str">
        <x:f>IF(OR(G271="",F271=""),"Not scored",IF(AND(F271=INT(F271),F271&gt;=1,F271&lt;=50,COUNTIF('Badge Lookup'!$A$6:$A$55,F271)=1),"OK","Check lookup"))</x:f>
        <x:v>OK</x:v>
      </x:c>
      <x:c r="Q271" s="456" t="n">
        <x:f>IF(P271&lt;&gt;"OK","",IF(C271="Guards",-O271,O271))</x:f>
        <x:v>17.66</x:v>
      </x:c>
      <x:c r="R271" s="362" t="str">
        <x:f>IF(P271&lt;&gt;"OK","Not scored",IF(C271="Guards","Damage received reduction","Damage increase"))</x:f>
        <x:v>Damage increase</x:v>
      </x:c>
    </x:row>
    <x:row r="272" ht="32" customHeight="1">
      <x:c r="A272" s="365" t="str">
        <x:v>K138</x:v>
      </x:c>
      <x:c r="B272" s="365" t="str">
        <x:v>(RaW)让世界沐浴在血中</x:v>
      </x:c>
      <x:c r="C272" s="365" t="str">
        <x:v>Cavalry</x:v>
      </x:c>
      <x:c r="D272" s="365" t="str">
        <x:v>Eternal knights</x:v>
      </x:c>
      <x:c r="E272" s="365" t="str">
        <x:v>Heavy Cavalry</x:v>
      </x:c>
      <x:c r="F272" s="365" t="n">
        <x:v>43</x:v>
      </x:c>
      <x:c r="G272" s="365" t="str">
        <x:v>Thunder trample</x:v>
      </x:c>
      <x:c r="H272" s="365" t="str">
        <x:v>Has a certain probability of causing trampling damage</x:v>
      </x:c>
      <x:c r="I272" s="365" t="str">
        <x:v>unlocked</x:v>
      </x:c>
      <x:c r="J272" s="365" t="str">
        <x:v>03:00.50</x:v>
      </x:c>
      <x:c r="K272" s="365" t="str">
        <x:v>Visually verified from the open tooltip; display header reads Eternal knights(Heavy Cavalry). | Source frame: f_0019.jpg</x:v>
      </x:c>
      <x:c r="L272" s="365" t="str">
        <x:v>K138_1000025064.mp4</x:v>
      </x:c>
      <x:c r="M272" s="387" t="n">
        <x:f>IF(P272="OK",INDEX('Badge Lookup'!$B$6:$B$55,MATCH(F272,'Badge Lookup'!$A$6:$A$55,0)),0)</x:f>
        <x:v>400000</x:v>
      </x:c>
      <x:c r="N272" s="387" t="n">
        <x:f>IF(P272="OK",INDEX('Badge Lookup'!$C$6:$C$55,MATCH(F272,'Badge Lookup'!$A$6:$A$55,0)),0)</x:f>
        <x:v>3244300</x:v>
      </x:c>
      <x:c r="O272" s="388" t="n">
        <x:f>IF(P272="OK",INDEX('Badge Lookup'!$D$6:$D$55,MATCH(F272,'Badge Lookup'!$A$6:$A$55,0)),0)</x:f>
        <x:v>35.98</x:v>
      </x:c>
      <x:c r="P272" s="362" t="str">
        <x:f>IF(OR(G272="",F272=""),"Not scored",IF(AND(F272=INT(F272),F272&gt;=1,F272&lt;=50,COUNTIF('Badge Lookup'!$A$6:$A$55,F272)=1),"OK","Check lookup"))</x:f>
        <x:v>OK</x:v>
      </x:c>
      <x:c r="Q272" s="456" t="n">
        <x:f>IF(P272&lt;&gt;"OK","",IF(C272="Guards",-O272,O272))</x:f>
        <x:v>35.98</x:v>
      </x:c>
      <x:c r="R272" s="362" t="str">
        <x:f>IF(P272&lt;&gt;"OK","Not scored",IF(C272="Guards","Damage received reduction","Damage increase"))</x:f>
        <x:v>Damage increase</x:v>
      </x:c>
    </x:row>
    <x:row r="273" ht="32" customHeight="1">
      <x:c r="A273" s="365" t="str">
        <x:v>K138</x:v>
      </x:c>
      <x:c r="B273" s="365" t="str">
        <x:v>(RaW)让世界沐浴在血中</x:v>
      </x:c>
      <x:c r="C273" s="365" t="str">
        <x:v>Cavalry</x:v>
      </x:c>
      <x:c r="D273" s="365" t="str">
        <x:v>Storm cavalry</x:v>
      </x:c>
      <x:c r="E273" s="365" t="str">
        <x:v>Horse archer</x:v>
      </x:c>
      <x:c r="F273" s="365" t="n">
        <x:v>43</x:v>
      </x:c>
      <x:c r="G273" s="365" t="str">
        <x:v>Mounted Archery</x:v>
      </x:c>
      <x:c r="H273" s="365" t="str">
        <x:v>Has a certain probability of causing fly-shooting damage</x:v>
      </x:c>
      <x:c r="I273" s="365" t="str">
        <x:v>unlocked</x:v>
      </x:c>
      <x:c r="J273" s="365" t="str">
        <x:v>03:04.25</x:v>
      </x:c>
      <x:c r="K273" s="365" t="str">
        <x:v>Visually verified from the open tooltip; display header reads Storm cavalry(Horse archer). | Source frame: f_0034.jpg</x:v>
      </x:c>
      <x:c r="L273" s="365" t="str">
        <x:v>K138_1000025064.mp4</x:v>
      </x:c>
      <x:c r="M273" s="387" t="n">
        <x:f>IF(P273="OK",INDEX('Badge Lookup'!$B$6:$B$55,MATCH(F273,'Badge Lookup'!$A$6:$A$55,0)),0)</x:f>
        <x:v>400000</x:v>
      </x:c>
      <x:c r="N273" s="387" t="n">
        <x:f>IF(P273="OK",INDEX('Badge Lookup'!$C$6:$C$55,MATCH(F273,'Badge Lookup'!$A$6:$A$55,0)),0)</x:f>
        <x:v>3244300</x:v>
      </x:c>
      <x:c r="O273" s="388" t="n">
        <x:f>IF(P273="OK",INDEX('Badge Lookup'!$D$6:$D$55,MATCH(F273,'Badge Lookup'!$A$6:$A$55,0)),0)</x:f>
        <x:v>35.98</x:v>
      </x:c>
      <x:c r="P273" s="362" t="str">
        <x:f>IF(OR(G273="",F273=""),"Not scored",IF(AND(F273=INT(F273),F273&gt;=1,F273&lt;=50,COUNTIF('Badge Lookup'!$A$6:$A$55,F273)=1),"OK","Check lookup"))</x:f>
        <x:v>OK</x:v>
      </x:c>
      <x:c r="Q273" s="456" t="n">
        <x:f>IF(P273&lt;&gt;"OK","",IF(C273="Guards",-O273,O273))</x:f>
        <x:v>35.98</x:v>
      </x:c>
      <x:c r="R273" s="362" t="str">
        <x:f>IF(P273&lt;&gt;"OK","Not scored",IF(C273="Guards","Damage received reduction","Damage increase"))</x:f>
        <x:v>Damage increase</x:v>
      </x:c>
    </x:row>
    <x:row r="274" ht="32" customHeight="1">
      <x:c r="A274" s="365" t="str">
        <x:v>K138</x:v>
      </x:c>
      <x:c r="B274" s="365" t="str">
        <x:v>(RaW)让世界沐浴在血中</x:v>
      </x:c>
      <x:c r="C274" s="365" t="str">
        <x:v>Siege</x:v>
      </x:c>
      <x:c r="D274" s="365" t="str">
        <x:v>Manglers</x:v>
      </x:c>
      <x:c r="E274" s="365" t="str">
        <x:v>Siege</x:v>
      </x:c>
      <x:c r="F274" s="365" t="n">
        <x:v>40</x:v>
      </x:c>
      <x:c r="G274" s="365" t="str">
        <x:v>Highly toxic</x:v>
      </x:c>
      <x:c r="H274" s="365" t="str">
        <x:v>Inflict continuous toxic damage</x:v>
      </x:c>
      <x:c r="I274" s="365" t="str">
        <x:v>unlocked</x:v>
      </x:c>
      <x:c r="J274" s="365" t="str">
        <x:v>03:02.50</x:v>
      </x:c>
      <x:c r="K274" s="365" t="str">
        <x:v>Visually verified from the open tooltip; display header reads Manglers(Siege). | Source frame: f_0027.jpg</x:v>
      </x:c>
      <x:c r="L274" s="365" t="str">
        <x:v>K138_1000025064.mp4</x:v>
      </x:c>
      <x:c r="M274" s="387" t="n">
        <x:f>IF(P274="OK",INDEX('Badge Lookup'!$B$6:$B$55,MATCH(F274,'Badge Lookup'!$A$6:$A$55,0)),0)</x:f>
        <x:v>240000</x:v>
      </x:c>
      <x:c r="N274" s="387" t="n">
        <x:f>IF(P274="OK",INDEX('Badge Lookup'!$C$6:$C$55,MATCH(F274,'Badge Lookup'!$A$6:$A$55,0)),0)</x:f>
        <x:v>2244300</x:v>
      </x:c>
      <x:c r="O274" s="388" t="n">
        <x:f>IF(P274="OK",INDEX('Badge Lookup'!$D$6:$D$55,MATCH(F274,'Badge Lookup'!$A$6:$A$55,0)),0)</x:f>
        <x:v>27.74</x:v>
      </x:c>
      <x:c r="P274" s="362" t="str">
        <x:f>IF(OR(G274="",F274=""),"Not scored",IF(AND(F274=INT(F274),F274&gt;=1,F274&lt;=50,COUNTIF('Badge Lookup'!$A$6:$A$55,F274)=1),"OK","Check lookup"))</x:f>
        <x:v>OK</x:v>
      </x:c>
      <x:c r="Q274" s="456" t="n">
        <x:f>IF(P274&lt;&gt;"OK","",IF(C274="Guards",-O274,O274))</x:f>
        <x:v>27.74</x:v>
      </x:c>
      <x:c r="R274" s="362" t="str">
        <x:f>IF(P274&lt;&gt;"OK","Not scored",IF(C274="Guards","Damage received reduction","Damage increase"))</x:f>
        <x:v>Damage increase</x:v>
      </x:c>
    </x:row>
    <x:row r="275" ht="32" customHeight="1">
      <x:c r="A275" s="365" t="str">
        <x:v>K138</x:v>
      </x:c>
      <x:c r="B275" s="365" t="str">
        <x:v>(RaW)YAMI</x:v>
      </x:c>
      <x:c r="C275" s="365" t="str">
        <x:v>Guards</x:v>
      </x:c>
      <x:c r="D275" s="365" t="str">
        <x:v>Destroyers</x:v>
      </x:c>
      <x:c r="E275" s="365" t="str">
        <x:v>Guard</x:v>
      </x:c>
      <x:c r="F275" s="365" t="n">
        <x:v>42</x:v>
      </x:c>
      <x:c r="G275" s="365" t="str">
        <x:v>Parry</x:v>
      </x:c>
      <x:c r="H275" s="365" t="str">
        <x:v>Provides a parry effect and a certain probability to increase damage</x:v>
      </x:c>
      <x:c r="I275" s="365" t="str">
        <x:v>unlocked</x:v>
      </x:c>
      <x:c r="J275" s="365" t="str">
        <x:v>03:11.75</x:v>
      </x:c>
      <x:c r="K275" s="365" t="str">
        <x:v>Visually verified from the open tooltip; display header reads Destroyers(Guard). | Source frame: f_0064.jpg</x:v>
      </x:c>
      <x:c r="L275" s="365" t="str">
        <x:v>K138_1000025064.mp4</x:v>
      </x:c>
      <x:c r="M275" s="387" t="n">
        <x:f>IF(P275="OK",INDEX('Badge Lookup'!$B$6:$B$55,MATCH(F275,'Badge Lookup'!$A$6:$A$55,0)),0)</x:f>
        <x:v>320000</x:v>
      </x:c>
      <x:c r="N275" s="387" t="n">
        <x:f>IF(P275="OK",INDEX('Badge Lookup'!$C$6:$C$55,MATCH(F275,'Badge Lookup'!$A$6:$A$55,0)),0)</x:f>
        <x:v>2844300</x:v>
      </x:c>
      <x:c r="O275" s="388" t="n">
        <x:f>IF(P275="OK",INDEX('Badge Lookup'!$D$6:$D$55,MATCH(F275,'Badge Lookup'!$A$6:$A$55,0)),0)</x:f>
        <x:v>33.13</x:v>
      </x:c>
      <x:c r="P275" s="362" t="str">
        <x:f>IF(OR(G275="",F275=""),"Not scored",IF(AND(F275=INT(F275),F275&gt;=1,F275&lt;=50,COUNTIF('Badge Lookup'!$A$6:$A$55,F275)=1),"OK","Check lookup"))</x:f>
        <x:v>OK</x:v>
      </x:c>
      <x:c r="Q275" s="456" t="n">
        <x:f>IF(P275&lt;&gt;"OK","",IF(C275="Guards",-O275,O275))</x:f>
        <x:v>-33.13</x:v>
      </x:c>
      <x:c r="R275" s="362" t="str">
        <x:f>IF(P275&lt;&gt;"OK","Not scored",IF(C275="Guards","Damage received reduction","Damage increase"))</x:f>
        <x:v>Damage received reduction</x:v>
      </x:c>
    </x:row>
    <x:row r="276" ht="32" customHeight="1">
      <x:c r="A276" s="365" t="str">
        <x:v>K138</x:v>
      </x:c>
      <x:c r="B276" s="365" t="str">
        <x:v>(RaW)YAMI</x:v>
      </x:c>
      <x:c r="C276" s="365" t="str">
        <x:v>Cavalry</x:v>
      </x:c>
      <x:c r="D276" s="365" t="str">
        <x:v>Storm cavalry</x:v>
      </x:c>
      <x:c r="E276" s="365" t="str">
        <x:v>Horse archer</x:v>
      </x:c>
      <x:c r="F276" s="365" t="n">
        <x:v>50</x:v>
      </x:c>
      <x:c r="G276" s="365" t="str">
        <x:v>Mounted Archery</x:v>
      </x:c>
      <x:c r="H276" s="365" t="str">
        <x:v>Has a certain probability of causing fly-shooting damage</x:v>
      </x:c>
      <x:c r="I276" s="365" t="str">
        <x:v>unlocked</x:v>
      </x:c>
      <x:c r="J276" s="365" t="str">
        <x:v>03:14</x:v>
      </x:c>
      <x:c r="K276" s="365" t="str">
        <x:v>Visually verified from the open tooltip; display header reads Storm cavalry(Horse archer). | Source frame: f_0073.jpg</x:v>
      </x:c>
      <x:c r="L276" s="365" t="str">
        <x:v>K138_1000025064.mp4</x:v>
      </x:c>
      <x:c r="M276" s="387" t="n">
        <x:f>IF(P276="OK",INDEX('Badge Lookup'!$B$6:$B$55,MATCH(F276,'Badge Lookup'!$A$6:$A$55,0)),0)</x:f>
        <x:v>2000000</x:v>
      </x:c>
      <x:c r="N276" s="387" t="n">
        <x:f>IF(P276="OK",INDEX('Badge Lookup'!$C$6:$C$55,MATCH(F276,'Badge Lookup'!$A$6:$A$55,0)),0)</x:f>
        <x:v>10334300</x:v>
      </x:c>
      <x:c r="O276" s="388" t="n">
        <x:f>IF(P276="OK",INDEX('Badge Lookup'!$D$6:$D$55,MATCH(F276,'Badge Lookup'!$A$6:$A$55,0)),0)</x:f>
        <x:v>60</x:v>
      </x:c>
      <x:c r="P276" s="362" t="str">
        <x:f>IF(OR(G276="",F276=""),"Not scored",IF(AND(F276=INT(F276),F276&gt;=1,F276&lt;=50,COUNTIF('Badge Lookup'!$A$6:$A$55,F276)=1),"OK","Check lookup"))</x:f>
        <x:v>OK</x:v>
      </x:c>
      <x:c r="Q276" s="456" t="n">
        <x:f>IF(P276&lt;&gt;"OK","",IF(C276="Guards",-O276,O276))</x:f>
        <x:v>60</x:v>
      </x:c>
      <x:c r="R276" s="362" t="str">
        <x:f>IF(P276&lt;&gt;"OK","Not scored",IF(C276="Guards","Damage received reduction","Damage increase"))</x:f>
        <x:v>Damage increase</x:v>
      </x:c>
    </x:row>
    <x:row r="277" ht="32" customHeight="1">
      <x:c r="A277" s="365" t="str">
        <x:v>K138</x:v>
      </x:c>
      <x:c r="B277" s="365" t="str">
        <x:v>(RaW)YAMI</x:v>
      </x:c>
      <x:c r="C277" s="365" t="str">
        <x:v>Siege</x:v>
      </x:c>
      <x:c r="D277" s="365" t="str">
        <x:v>Manglers</x:v>
      </x:c>
      <x:c r="E277" s="365" t="str">
        <x:v>Siege</x:v>
      </x:c>
      <x:c r="F277" s="365" t="n">
        <x:v>40</x:v>
      </x:c>
      <x:c r="G277" s="365" t="str">
        <x:v>Highly toxic</x:v>
      </x:c>
      <x:c r="H277" s="365" t="str">
        <x:v>Inflict continuous toxic damage</x:v>
      </x:c>
      <x:c r="I277" s="365" t="str">
        <x:v>unlocked</x:v>
      </x:c>
      <x:c r="J277" s="365" t="str">
        <x:v>03:13</x:v>
      </x:c>
      <x:c r="K277" s="365" t="str">
        <x:v>Visually verified from the open tooltip; display header reads Manglers(Siege). | Source frame: f_0069.jpg</x:v>
      </x:c>
      <x:c r="L277" s="365" t="str">
        <x:v>K138_1000025064.mp4</x:v>
      </x:c>
      <x:c r="M277" s="387" t="n">
        <x:f>IF(P277="OK",INDEX('Badge Lookup'!$B$6:$B$55,MATCH(F277,'Badge Lookup'!$A$6:$A$55,0)),0)</x:f>
        <x:v>240000</x:v>
      </x:c>
      <x:c r="N277" s="387" t="n">
        <x:f>IF(P277="OK",INDEX('Badge Lookup'!$C$6:$C$55,MATCH(F277,'Badge Lookup'!$A$6:$A$55,0)),0)</x:f>
        <x:v>2244300</x:v>
      </x:c>
      <x:c r="O277" s="388" t="n">
        <x:f>IF(P277="OK",INDEX('Badge Lookup'!$D$6:$D$55,MATCH(F277,'Badge Lookup'!$A$6:$A$55,0)),0)</x:f>
        <x:v>27.74</x:v>
      </x:c>
      <x:c r="P277" s="362" t="str">
        <x:f>IF(OR(G277="",F277=""),"Not scored",IF(AND(F277=INT(F277),F277&gt;=1,F277&lt;=50,COUNTIF('Badge Lookup'!$A$6:$A$55,F277)=1),"OK","Check lookup"))</x:f>
        <x:v>OK</x:v>
      </x:c>
      <x:c r="Q277" s="456" t="n">
        <x:f>IF(P277&lt;&gt;"OK","",IF(C277="Guards",-O277,O277))</x:f>
        <x:v>27.74</x:v>
      </x:c>
      <x:c r="R277" s="362" t="str">
        <x:f>IF(P277&lt;&gt;"OK","Not scored",IF(C277="Guards","Damage received reduction","Damage increase"))</x:f>
        <x:v>Damage increase</x:v>
      </x:c>
    </x:row>
    <x:row r="278" ht="32" customHeight="1">
      <x:c r="A278" s="365" t="str">
        <x:v>K138</x:v>
      </x:c>
      <x:c r="B278" s="365" t="str">
        <x:v>(RaW)༺ⓉⒶⓇⓉⒶⓇ༻</x:v>
      </x:c>
      <x:c r="C278" s="365" t="str">
        <x:v>Guards</x:v>
      </x:c>
      <x:c r="D278" s="365" t="str">
        <x:v>Destroyers</x:v>
      </x:c>
      <x:c r="E278" s="365" t="str">
        <x:v>Guard</x:v>
      </x:c>
      <x:c r="F278" s="365" t="n">
        <x:v>45</x:v>
      </x:c>
      <x:c r="G278" s="365" t="str">
        <x:v>Parry</x:v>
      </x:c>
      <x:c r="H278" s="365" t="str">
        <x:v>Provides a parry effect and a certain probability to increase damage</x:v>
      </x:c>
      <x:c r="I278" s="365" t="str">
        <x:v>unlocked</x:v>
      </x:c>
      <x:c r="J278" s="365" t="str">
        <x:v>03:20.25</x:v>
      </x:c>
      <x:c r="K278" s="365" t="str">
        <x:v>Visually verified from the open tooltip; display header reads Destroyers(Guard). | Source frame: f_0098.jpg</x:v>
      </x:c>
      <x:c r="L278" s="365" t="str">
        <x:v>K138_1000025064.mp4</x:v>
      </x:c>
      <x:c r="M278" s="387" t="n">
        <x:f>IF(P278="OK",INDEX('Badge Lookup'!$B$6:$B$55,MATCH(F278,'Badge Lookup'!$A$6:$A$55,0)),0)</x:f>
        <x:v>560000</x:v>
      </x:c>
      <x:c r="N278" s="387" t="n">
        <x:f>IF(P278="OK",INDEX('Badge Lookup'!$C$6:$C$55,MATCH(F278,'Badge Lookup'!$A$6:$A$55,0)),0)</x:f>
        <x:v>4284300</x:v>
      </x:c>
      <x:c r="O278" s="388" t="n">
        <x:f>IF(P278="OK",INDEX('Badge Lookup'!$D$6:$D$55,MATCH(F278,'Badge Lookup'!$A$6:$A$55,0)),0)</x:f>
        <x:v>41.98</x:v>
      </x:c>
      <x:c r="P278" s="362" t="str">
        <x:f>IF(OR(G278="",F278=""),"Not scored",IF(AND(F278=INT(F278),F278&gt;=1,F278&lt;=50,COUNTIF('Badge Lookup'!$A$6:$A$55,F278)=1),"OK","Check lookup"))</x:f>
        <x:v>OK</x:v>
      </x:c>
      <x:c r="Q278" s="456" t="n">
        <x:f>IF(P278&lt;&gt;"OK","",IF(C278="Guards",-O278,O278))</x:f>
        <x:v>-41.98</x:v>
      </x:c>
      <x:c r="R278" s="362" t="str">
        <x:f>IF(P278&lt;&gt;"OK","Not scored",IF(C278="Guards","Damage received reduction","Damage increase"))</x:f>
        <x:v>Damage received reduction</x:v>
      </x:c>
    </x:row>
    <x:row r="279" ht="32" customHeight="1">
      <x:c r="A279" s="365" t="str">
        <x:v>K138</x:v>
      </x:c>
      <x:c r="B279" s="365" t="str">
        <x:v>(RaW)༺ⓉⒶⓇⓉⒶⓇ༻</x:v>
      </x:c>
      <x:c r="C279" s="365" t="str">
        <x:v>Archers</x:v>
      </x:c>
      <x:c r="D279" s="365" t="str">
        <x:v>Elite bowmen</x:v>
      </x:c>
      <x:c r="E279" s="365" t="str">
        <x:v>Archer</x:v>
      </x:c>
      <x:c r="F279" s="365" t="n">
        <x:v>46</x:v>
      </x:c>
      <x:c r="G279" s="365" t="str">
        <x:v>Frost Arrow</x:v>
      </x:c>
      <x:c r="H279" s="365" t="str">
        <x:v>Has a higher probability of activating ice damage</x:v>
      </x:c>
      <x:c r="I279" s="365" t="str">
        <x:v>unlocked</x:v>
      </x:c>
      <x:c r="J279" s="365" t="str">
        <x:v>03:22</x:v>
      </x:c>
      <x:c r="K279" s="365" t="str">
        <x:v>Visually verified from the open tooltip; display header reads Elite bowmen(Archer). | Source frame: f_0105.jpg</x:v>
      </x:c>
      <x:c r="L279" s="365" t="str">
        <x:v>K138_1000025064.mp4</x:v>
      </x:c>
      <x:c r="M279" s="387" t="n">
        <x:f>IF(P279="OK",INDEX('Badge Lookup'!$B$6:$B$55,MATCH(F279,'Badge Lookup'!$A$6:$A$55,0)),0)</x:f>
        <x:v>720000</x:v>
      </x:c>
      <x:c r="N279" s="387" t="n">
        <x:f>IF(P279="OK",INDEX('Badge Lookup'!$C$6:$C$55,MATCH(F279,'Badge Lookup'!$A$6:$A$55,0)),0)</x:f>
        <x:v>5004300</x:v>
      </x:c>
      <x:c r="O279" s="388" t="n">
        <x:f>IF(P279="OK",INDEX('Badge Lookup'!$D$6:$D$55,MATCH(F279,'Badge Lookup'!$A$6:$A$55,0)),0)</x:f>
        <x:v>45.13</x:v>
      </x:c>
      <x:c r="P279" s="362" t="str">
        <x:f>IF(OR(G279="",F279=""),"Not scored",IF(AND(F279=INT(F279),F279&gt;=1,F279&lt;=50,COUNTIF('Badge Lookup'!$A$6:$A$55,F279)=1),"OK","Check lookup"))</x:f>
        <x:v>OK</x:v>
      </x:c>
      <x:c r="Q279" s="456" t="n">
        <x:f>IF(P279&lt;&gt;"OK","",IF(C279="Guards",-O279,O279))</x:f>
        <x:v>45.13</x:v>
      </x:c>
      <x:c r="R279" s="362" t="str">
        <x:f>IF(P279&lt;&gt;"OK","Not scored",IF(C279="Guards","Damage received reduction","Damage increase"))</x:f>
        <x:v>Damage increase</x:v>
      </x:c>
    </x:row>
    <x:row r="280" ht="32" customHeight="1">
      <x:c r="A280" s="365" t="str">
        <x:v>K138</x:v>
      </x:c>
      <x:c r="B280" s="365" t="str">
        <x:v>(RaW)༺ⓉⒶⓇⓉⒶⓇ༻</x:v>
      </x:c>
      <x:c r="C280" s="365" t="str">
        <x:v>Archers</x:v>
      </x:c>
      <x:c r="D280" s="365" t="str">
        <x:v>Elite</x:v>
      </x:c>
      <x:c r="E280" s="365" t="str">
        <x:v>Crossbowmen (identified in description)</x:v>
      </x:c>
      <x:c r="F280" s="365" t="n">
        <x:v>20</x:v>
      </x:c>
      <x:c r="G280" s="365" t="str">
        <x:v>Focus</x:v>
      </x:c>
      <x:c r="H280" s="365" t="str">
        <x:v>Has a higher probability of providing focus damage</x:v>
      </x:c>
      <x:c r="I280" s="365" t="str">
        <x:v>unlocked</x:v>
      </x:c>
      <x:c r="J280" s="365" t="str">
        <x:v>03:24.75</x:v>
      </x:c>
      <x:c r="K280" s="365" t="str">
        <x:v>Visually verified. The tooltip header displays only 'Elite'; its body identifies the unit as Elite crossbowmen, so troop_type is normalized to Archers. | Source frame: f_0116.jpg</x:v>
      </x:c>
      <x:c r="L280" s="365" t="str">
        <x:v>K138_1000025064.mp4</x:v>
      </x:c>
      <x:c r="M280" s="387" t="n">
        <x:f>IF(P280="OK",INDEX('Badge Lookup'!$B$6:$B$55,MATCH(F280,'Badge Lookup'!$A$6:$A$55,0)),0)</x:f>
        <x:v>40000</x:v>
      </x:c>
      <x:c r="N280" s="387" t="n">
        <x:f>IF(P280="OK",INDEX('Badge Lookup'!$C$6:$C$55,MATCH(F280,'Badge Lookup'!$A$6:$A$55,0)),0)</x:f>
        <x:v>184300</x:v>
      </x:c>
      <x:c r="O280" s="388" t="n">
        <x:f>IF(P280="OK",INDEX('Badge Lookup'!$D$6:$D$55,MATCH(F280,'Badge Lookup'!$A$6:$A$55,0)),0)</x:f>
        <x:v>3</x:v>
      </x:c>
      <x:c r="P280" s="362" t="str">
        <x:f>IF(OR(G280="",F280=""),"Not scored",IF(AND(F280=INT(F280),F280&gt;=1,F280&lt;=50,COUNTIF('Badge Lookup'!$A$6:$A$55,F280)=1),"OK","Check lookup"))</x:f>
        <x:v>OK</x:v>
      </x:c>
      <x:c r="Q280" s="456" t="n">
        <x:f>IF(P280&lt;&gt;"OK","",IF(C280="Guards",-O280,O280))</x:f>
        <x:v>3</x:v>
      </x:c>
      <x:c r="R280" s="362" t="str">
        <x:f>IF(P280&lt;&gt;"OK","Not scored",IF(C280="Guards","Damage received reduction","Damage increase"))</x:f>
        <x:v>Damage increase</x:v>
      </x:c>
    </x:row>
    <x:row r="281" ht="32" customHeight="1">
      <x:c r="A281" s="365" t="str">
        <x:v>K138</x:v>
      </x:c>
      <x:c r="B281" s="365" t="str">
        <x:v>(RaW)༺ⓉⒶⓇⓉⒶⓇ༻</x:v>
      </x:c>
      <x:c r="C281" s="365" t="str">
        <x:v>Cavalry</x:v>
      </x:c>
      <x:c r="D281" s="365" t="str">
        <x:v>Storm cavalry</x:v>
      </x:c>
      <x:c r="E281" s="365" t="str">
        <x:v>Horse archer</x:v>
      </x:c>
      <x:c r="F281" s="365" t="n">
        <x:v>45</x:v>
      </x:c>
      <x:c r="G281" s="365" t="str">
        <x:v>Mounted Archery</x:v>
      </x:c>
      <x:c r="H281" s="365" t="str">
        <x:v>Has a certain probability of causing fly-shooting damage</x:v>
      </x:c>
      <x:c r="I281" s="365" t="str">
        <x:v>unlocked</x:v>
      </x:c>
      <x:c r="J281" s="365" t="str">
        <x:v>03:23.50</x:v>
      </x:c>
      <x:c r="K281" s="365" t="str">
        <x:v>Visually verified from the open tooltip; display header reads Storm cavalry(Horse archer). | Source frame: f_0111.jpg</x:v>
      </x:c>
      <x:c r="L281" s="365" t="str">
        <x:v>K138_1000025064.mp4</x:v>
      </x:c>
      <x:c r="M281" s="387" t="n">
        <x:f>IF(P281="OK",INDEX('Badge Lookup'!$B$6:$B$55,MATCH(F281,'Badge Lookup'!$A$6:$A$55,0)),0)</x:f>
        <x:v>560000</x:v>
      </x:c>
      <x:c r="N281" s="387" t="n">
        <x:f>IF(P281="OK",INDEX('Badge Lookup'!$C$6:$C$55,MATCH(F281,'Badge Lookup'!$A$6:$A$55,0)),0)</x:f>
        <x:v>4284300</x:v>
      </x:c>
      <x:c r="O281" s="388" t="n">
        <x:f>IF(P281="OK",INDEX('Badge Lookup'!$D$6:$D$55,MATCH(F281,'Badge Lookup'!$A$6:$A$55,0)),0)</x:f>
        <x:v>41.98</x:v>
      </x:c>
      <x:c r="P281" s="362" t="str">
        <x:f>IF(OR(G281="",F281=""),"Not scored",IF(AND(F281=INT(F281),F281&gt;=1,F281&lt;=50,COUNTIF('Badge Lookup'!$A$6:$A$55,F281)=1),"OK","Check lookup"))</x:f>
        <x:v>OK</x:v>
      </x:c>
      <x:c r="Q281" s="456" t="n">
        <x:f>IF(P281&lt;&gt;"OK","",IF(C281="Guards",-O281,O281))</x:f>
        <x:v>41.98</x:v>
      </x:c>
      <x:c r="R281" s="362" t="str">
        <x:f>IF(P281&lt;&gt;"OK","Not scored",IF(C281="Guards","Damage received reduction","Damage increase"))</x:f>
        <x:v>Damage increase</x:v>
      </x:c>
    </x:row>
    <x:row r="282" ht="32" customHeight="1">
      <x:c r="A282" s="365" t="str">
        <x:v>K138</x:v>
      </x:c>
      <x:c r="B282" s="365" t="str">
        <x:v>(RaW)PPP_253</x:v>
      </x:c>
      <x:c r="C282" s="365" t="str">
        <x:v>Guards</x:v>
      </x:c>
      <x:c r="D282" s="365" t="str">
        <x:v>Destroyers</x:v>
      </x:c>
      <x:c r="E282" s="365" t="str">
        <x:v>Guard</x:v>
      </x:c>
      <x:c r="F282" s="365" t="n">
        <x:v>45</x:v>
      </x:c>
      <x:c r="G282" s="365" t="str">
        <x:v>Parry</x:v>
      </x:c>
      <x:c r="H282" s="365" t="str">
        <x:v>Provides a parry effect and a certain probability to increase damage</x:v>
      </x:c>
      <x:c r="I282" s="365" t="str">
        <x:v>unlocked</x:v>
      </x:c>
      <x:c r="J282" s="365" t="str">
        <x:v>03:33</x:v>
      </x:c>
      <x:c r="K282" s="365" t="str">
        <x:v>Visually verified from the open tooltip at relative video-extract time 00:00:02.000. | Source frame: f_0005.jpg</x:v>
      </x:c>
      <x:c r="L282" s="365" t="str">
        <x:v>K138_1000025064.mp4</x:v>
      </x:c>
      <x:c r="M282" s="387" t="n">
        <x:f>IF(P282="OK",INDEX('Badge Lookup'!$B$6:$B$55,MATCH(F282,'Badge Lookup'!$A$6:$A$55,0)),0)</x:f>
        <x:v>560000</x:v>
      </x:c>
      <x:c r="N282" s="387" t="n">
        <x:f>IF(P282="OK",INDEX('Badge Lookup'!$C$6:$C$55,MATCH(F282,'Badge Lookup'!$A$6:$A$55,0)),0)</x:f>
        <x:v>4284300</x:v>
      </x:c>
      <x:c r="O282" s="388" t="n">
        <x:f>IF(P282="OK",INDEX('Badge Lookup'!$D$6:$D$55,MATCH(F282,'Badge Lookup'!$A$6:$A$55,0)),0)</x:f>
        <x:v>41.98</x:v>
      </x:c>
      <x:c r="P282" s="362" t="str">
        <x:f>IF(OR(G282="",F282=""),"Not scored",IF(AND(F282=INT(F282),F282&gt;=1,F282&lt;=50,COUNTIF('Badge Lookup'!$A$6:$A$55,F282)=1),"OK","Check lookup"))</x:f>
        <x:v>OK</x:v>
      </x:c>
      <x:c r="Q282" s="456" t="n">
        <x:f>IF(P282&lt;&gt;"OK","",IF(C282="Guards",-O282,O282))</x:f>
        <x:v>-41.98</x:v>
      </x:c>
      <x:c r="R282" s="362" t="str">
        <x:f>IF(P282&lt;&gt;"OK","Not scored",IF(C282="Guards","Damage received reduction","Damage increase"))</x:f>
        <x:v>Damage received reduction</x:v>
      </x:c>
    </x:row>
    <x:row r="283" ht="32" customHeight="1">
      <x:c r="A283" s="365" t="str">
        <x:v>K138</x:v>
      </x:c>
      <x:c r="B283" s="365" t="str">
        <x:v>(RaW)PPP_253</x:v>
      </x:c>
      <x:c r="C283" s="365" t="str">
        <x:v>Archers</x:v>
      </x:c>
      <x:c r="D283" s="365" t="str">
        <x:v>Elite bowmen</x:v>
      </x:c>
      <x:c r="E283" s="365" t="str">
        <x:v>Archer</x:v>
      </x:c>
      <x:c r="F283" s="365" t="n">
        <x:v>45</x:v>
      </x:c>
      <x:c r="G283" s="365" t="str">
        <x:v>Frost Arrow</x:v>
      </x:c>
      <x:c r="H283" s="365" t="str">
        <x:v>Has a higher probability of activating ice damage</x:v>
      </x:c>
      <x:c r="I283" s="365" t="str">
        <x:v>unlocked</x:v>
      </x:c>
      <x:c r="J283" s="365" t="str">
        <x:v>03:34</x:v>
      </x:c>
      <x:c r="K283" s="365" t="str">
        <x:v>Visually verified from the open tooltip at relative video-extract time 00:00:03.000. | Source frame: f_0007.jpg</x:v>
      </x:c>
      <x:c r="L283" s="365" t="str">
        <x:v>K138_1000025064.mp4</x:v>
      </x:c>
      <x:c r="M283" s="387" t="n">
        <x:f>IF(P283="OK",INDEX('Badge Lookup'!$B$6:$B$55,MATCH(F283,'Badge Lookup'!$A$6:$A$55,0)),0)</x:f>
        <x:v>560000</x:v>
      </x:c>
      <x:c r="N283" s="387" t="n">
        <x:f>IF(P283="OK",INDEX('Badge Lookup'!$C$6:$C$55,MATCH(F283,'Badge Lookup'!$A$6:$A$55,0)),0)</x:f>
        <x:v>4284300</x:v>
      </x:c>
      <x:c r="O283" s="388" t="n">
        <x:f>IF(P283="OK",INDEX('Badge Lookup'!$D$6:$D$55,MATCH(F283,'Badge Lookup'!$A$6:$A$55,0)),0)</x:f>
        <x:v>41.98</x:v>
      </x:c>
      <x:c r="P283" s="362" t="str">
        <x:f>IF(OR(G283="",F283=""),"Not scored",IF(AND(F283=INT(F283),F283&gt;=1,F283&lt;=50,COUNTIF('Badge Lookup'!$A$6:$A$55,F283)=1),"OK","Check lookup"))</x:f>
        <x:v>OK</x:v>
      </x:c>
      <x:c r="Q283" s="456" t="n">
        <x:f>IF(P283&lt;&gt;"OK","",IF(C283="Guards",-O283,O283))</x:f>
        <x:v>41.98</x:v>
      </x:c>
      <x:c r="R283" s="362" t="str">
        <x:f>IF(P283&lt;&gt;"OK","Not scored",IF(C283="Guards","Damage received reduction","Damage increase"))</x:f>
        <x:v>Damage increase</x:v>
      </x:c>
    </x:row>
    <x:row r="284" ht="32" customHeight="1">
      <x:c r="A284" s="365" t="str">
        <x:v>K138</x:v>
      </x:c>
      <x:c r="B284" s="365" t="str">
        <x:v>(RaW)GoŁΛ</x:v>
      </x:c>
      <x:c r="C284" s="365" t="str">
        <x:v>Guards</x:v>
      </x:c>
      <x:c r="D284" s="365" t="str">
        <x:v>Destroyers</x:v>
      </x:c>
      <x:c r="E284" s="365" t="str">
        <x:v>Guard</x:v>
      </x:c>
      <x:c r="F284" s="365" t="n">
        <x:v>43</x:v>
      </x:c>
      <x:c r="G284" s="365" t="str">
        <x:v>Parry</x:v>
      </x:c>
      <x:c r="H284" s="365" t="str">
        <x:v>Provides a parry effect and a certain probability to increase damage</x:v>
      </x:c>
      <x:c r="I284" s="365" t="str">
        <x:v>unlocked</x:v>
      </x:c>
      <x:c r="J284" s="365" t="str">
        <x:v>03:40</x:v>
      </x:c>
      <x:c r="K284" s="365" t="str">
        <x:v>Visually verified from the open tooltip at relative video-extract time 00:00:09.000. | Source frame: f_0019.jpg</x:v>
      </x:c>
      <x:c r="L284" s="365" t="str">
        <x:v>K138_1000025064.mp4</x:v>
      </x:c>
      <x:c r="M284" s="387" t="n">
        <x:f>IF(P284="OK",INDEX('Badge Lookup'!$B$6:$B$55,MATCH(F284,'Badge Lookup'!$A$6:$A$55,0)),0)</x:f>
        <x:v>400000</x:v>
      </x:c>
      <x:c r="N284" s="387" t="n">
        <x:f>IF(P284="OK",INDEX('Badge Lookup'!$C$6:$C$55,MATCH(F284,'Badge Lookup'!$A$6:$A$55,0)),0)</x:f>
        <x:v>3244300</x:v>
      </x:c>
      <x:c r="O284" s="388" t="n">
        <x:f>IF(P284="OK",INDEX('Badge Lookup'!$D$6:$D$55,MATCH(F284,'Badge Lookup'!$A$6:$A$55,0)),0)</x:f>
        <x:v>35.98</x:v>
      </x:c>
      <x:c r="P284" s="362" t="str">
        <x:f>IF(OR(G284="",F284=""),"Not scored",IF(AND(F284=INT(F284),F284&gt;=1,F284&lt;=50,COUNTIF('Badge Lookup'!$A$6:$A$55,F284)=1),"OK","Check lookup"))</x:f>
        <x:v>OK</x:v>
      </x:c>
      <x:c r="Q284" s="456" t="n">
        <x:f>IF(P284&lt;&gt;"OK","",IF(C284="Guards",-O284,O284))</x:f>
        <x:v>-35.98</x:v>
      </x:c>
      <x:c r="R284" s="362" t="str">
        <x:f>IF(P284&lt;&gt;"OK","Not scored",IF(C284="Guards","Damage received reduction","Damage increase"))</x:f>
        <x:v>Damage received reduction</x:v>
      </x:c>
    </x:row>
    <x:row r="285" ht="32" customHeight="1">
      <x:c r="A285" s="365" t="str">
        <x:v>K138</x:v>
      </x:c>
      <x:c r="B285" s="365" t="str">
        <x:v>(RaW)GoŁΛ</x:v>
      </x:c>
      <x:c r="C285" s="365" t="str">
        <x:v>Archers</x:v>
      </x:c>
      <x:c r="D285" s="365" t="str">
        <x:v>Elite bowmen</x:v>
      </x:c>
      <x:c r="E285" s="365" t="str">
        <x:v>Archer</x:v>
      </x:c>
      <x:c r="F285" s="365" t="n">
        <x:v>45</x:v>
      </x:c>
      <x:c r="G285" s="365" t="str">
        <x:v>Frost Arrow</x:v>
      </x:c>
      <x:c r="H285" s="365" t="str">
        <x:v>Has a higher probability of activating ice damage</x:v>
      </x:c>
      <x:c r="I285" s="365" t="str">
        <x:v>unlocked</x:v>
      </x:c>
      <x:c r="J285" s="365" t="str">
        <x:v>03:41</x:v>
      </x:c>
      <x:c r="K285" s="365" t="str">
        <x:v>Visually verified from the open tooltip at relative video-extract time 00:00:10.000. | Source frame: f_0021.jpg</x:v>
      </x:c>
      <x:c r="L285" s="365" t="str">
        <x:v>K138_1000025064.mp4</x:v>
      </x:c>
      <x:c r="M285" s="387" t="n">
        <x:f>IF(P285="OK",INDEX('Badge Lookup'!$B$6:$B$55,MATCH(F285,'Badge Lookup'!$A$6:$A$55,0)),0)</x:f>
        <x:v>560000</x:v>
      </x:c>
      <x:c r="N285" s="387" t="n">
        <x:f>IF(P285="OK",INDEX('Badge Lookup'!$C$6:$C$55,MATCH(F285,'Badge Lookup'!$A$6:$A$55,0)),0)</x:f>
        <x:v>4284300</x:v>
      </x:c>
      <x:c r="O285" s="388" t="n">
        <x:f>IF(P285="OK",INDEX('Badge Lookup'!$D$6:$D$55,MATCH(F285,'Badge Lookup'!$A$6:$A$55,0)),0)</x:f>
        <x:v>41.98</x:v>
      </x:c>
      <x:c r="P285" s="362" t="str">
        <x:f>IF(OR(G285="",F285=""),"Not scored",IF(AND(F285=INT(F285),F285&gt;=1,F285&lt;=50,COUNTIF('Badge Lookup'!$A$6:$A$55,F285)=1),"OK","Check lookup"))</x:f>
        <x:v>OK</x:v>
      </x:c>
      <x:c r="Q285" s="456" t="n">
        <x:f>IF(P285&lt;&gt;"OK","",IF(C285="Guards",-O285,O285))</x:f>
        <x:v>41.98</x:v>
      </x:c>
      <x:c r="R285" s="362" t="str">
        <x:f>IF(P285&lt;&gt;"OK","Not scored",IF(C285="Guards","Damage received reduction","Damage increase"))</x:f>
        <x:v>Damage increase</x:v>
      </x:c>
    </x:row>
    <x:row r="286" ht="32" customHeight="1">
      <x:c r="A286" s="365" t="str">
        <x:v>K138</x:v>
      </x:c>
      <x:c r="B286" s="365" t="str">
        <x:v>(RaW)Baqi</x:v>
      </x:c>
      <x:c r="C286" s="365" t="str">
        <x:v>Guards</x:v>
      </x:c>
      <x:c r="D286" s="365" t="str">
        <x:v>Destroyers</x:v>
      </x:c>
      <x:c r="E286" s="365" t="str">
        <x:v>Guard</x:v>
      </x:c>
      <x:c r="F286" s="365" t="n">
        <x:v>42</x:v>
      </x:c>
      <x:c r="G286" s="365" t="str">
        <x:v>Parry</x:v>
      </x:c>
      <x:c r="H286" s="365" t="str">
        <x:v>Provides a parry effect and a certain probability to increase damage</x:v>
      </x:c>
      <x:c r="I286" s="365" t="str">
        <x:v>unlocked</x:v>
      </x:c>
      <x:c r="J286" s="365" t="str">
        <x:v>03:53</x:v>
      </x:c>
      <x:c r="K286" s="365" t="str">
        <x:v>Visually verified from the open tooltip at relative video-extract time 00:00:22.000. | Source frame: f_0045.jpg</x:v>
      </x:c>
      <x:c r="L286" s="365" t="str">
        <x:v>K138_1000025064.mp4</x:v>
      </x:c>
      <x:c r="M286" s="387" t="n">
        <x:f>IF(P286="OK",INDEX('Badge Lookup'!$B$6:$B$55,MATCH(F286,'Badge Lookup'!$A$6:$A$55,0)),0)</x:f>
        <x:v>320000</x:v>
      </x:c>
      <x:c r="N286" s="387" t="n">
        <x:f>IF(P286="OK",INDEX('Badge Lookup'!$C$6:$C$55,MATCH(F286,'Badge Lookup'!$A$6:$A$55,0)),0)</x:f>
        <x:v>2844300</x:v>
      </x:c>
      <x:c r="O286" s="388" t="n">
        <x:f>IF(P286="OK",INDEX('Badge Lookup'!$D$6:$D$55,MATCH(F286,'Badge Lookup'!$A$6:$A$55,0)),0)</x:f>
        <x:v>33.13</x:v>
      </x:c>
      <x:c r="P286" s="362" t="str">
        <x:f>IF(OR(G286="",F286=""),"Not scored",IF(AND(F286=INT(F286),F286&gt;=1,F286&lt;=50,COUNTIF('Badge Lookup'!$A$6:$A$55,F286)=1),"OK","Check lookup"))</x:f>
        <x:v>OK</x:v>
      </x:c>
      <x:c r="Q286" s="456" t="n">
        <x:f>IF(P286&lt;&gt;"OK","",IF(C286="Guards",-O286,O286))</x:f>
        <x:v>-33.13</x:v>
      </x:c>
      <x:c r="R286" s="362" t="str">
        <x:f>IF(P286&lt;&gt;"OK","Not scored",IF(C286="Guards","Damage received reduction","Damage increase"))</x:f>
        <x:v>Damage received reduction</x:v>
      </x:c>
    </x:row>
    <x:row r="287" ht="32" customHeight="1">
      <x:c r="A287" s="365" t="str">
        <x:v>K138</x:v>
      </x:c>
      <x:c r="B287" s="365" t="str">
        <x:v>(RaW)Baqi</x:v>
      </x:c>
      <x:c r="C287" s="365" t="str">
        <x:v>Archers</x:v>
      </x:c>
      <x:c r="D287" s="365" t="str">
        <x:v>Elite bowmen</x:v>
      </x:c>
      <x:c r="E287" s="365" t="str">
        <x:v>Archer</x:v>
      </x:c>
      <x:c r="F287" s="365" t="n">
        <x:v>49</x:v>
      </x:c>
      <x:c r="G287" s="365" t="str">
        <x:v>Frost Arrow</x:v>
      </x:c>
      <x:c r="H287" s="365" t="str">
        <x:v>Has a higher probability of activating ice damage</x:v>
      </x:c>
      <x:c r="I287" s="365" t="str">
        <x:v>unlocked</x:v>
      </x:c>
      <x:c r="J287" s="365" t="str">
        <x:v>03:54</x:v>
      </x:c>
      <x:c r="K287" s="365" t="str">
        <x:v>Visually verified from the open tooltip at relative video-extract time 00:00:23.000. | Source frame: f_0047.jpg</x:v>
      </x:c>
      <x:c r="L287" s="365" t="str">
        <x:v>K138_1000025064.mp4</x:v>
      </x:c>
      <x:c r="M287" s="387" t="n">
        <x:f>IF(P287="OK",INDEX('Badge Lookup'!$B$6:$B$55,MATCH(F287,'Badge Lookup'!$A$6:$A$55,0)),0)</x:f>
        <x:v>1400000</x:v>
      </x:c>
      <x:c r="N287" s="387" t="n">
        <x:f>IF(P287="OK",INDEX('Badge Lookup'!$C$6:$C$55,MATCH(F287,'Badge Lookup'!$A$6:$A$55,0)),0)</x:f>
        <x:v>8334300</x:v>
      </x:c>
      <x:c r="O287" s="388" t="n">
        <x:f>IF(P287="OK",INDEX('Badge Lookup'!$D$6:$D$55,MATCH(F287,'Badge Lookup'!$A$6:$A$55,0)),0)</x:f>
        <x:v>55.2</x:v>
      </x:c>
      <x:c r="P287" s="362" t="str">
        <x:f>IF(OR(G287="",F287=""),"Not scored",IF(AND(F287=INT(F287),F287&gt;=1,F287&lt;=50,COUNTIF('Badge Lookup'!$A$6:$A$55,F287)=1),"OK","Check lookup"))</x:f>
        <x:v>OK</x:v>
      </x:c>
      <x:c r="Q287" s="456" t="n">
        <x:f>IF(P287&lt;&gt;"OK","",IF(C287="Guards",-O287,O287))</x:f>
        <x:v>55.2</x:v>
      </x:c>
      <x:c r="R287" s="362" t="str">
        <x:f>IF(P287&lt;&gt;"OK","Not scored",IF(C287="Guards","Damage received reduction","Damage increase"))</x:f>
        <x:v>Damage increase</x:v>
      </x:c>
    </x:row>
    <x:row r="288" ht="32" customHeight="1">
      <x:c r="A288" s="365" t="str">
        <x:v>K138</x:v>
      </x:c>
      <x:c r="B288" s="365" t="str">
        <x:v>(RaW)Baqi</x:v>
      </x:c>
      <x:c r="C288" s="365" t="str">
        <x:v>Cavalry</x:v>
      </x:c>
      <x:c r="D288" s="365" t="str">
        <x:v>Storm cavalry</x:v>
      </x:c>
      <x:c r="E288" s="365" t="str">
        <x:v>Horse archer</x:v>
      </x:c>
      <x:c r="F288" s="365" t="n">
        <x:v>40</x:v>
      </x:c>
      <x:c r="G288" s="365" t="str">
        <x:v>Mounted Archery</x:v>
      </x:c>
      <x:c r="H288" s="365" t="str">
        <x:v>Has a certain probability of causing fly-shooting damage</x:v>
      </x:c>
      <x:c r="I288" s="365" t="str">
        <x:v>unlocked</x:v>
      </x:c>
      <x:c r="J288" s="365" t="str">
        <x:v>03:55.50</x:v>
      </x:c>
      <x:c r="K288" s="365" t="str">
        <x:v>Visually verified from the open tooltip at relative video-extract time 00:00:24.500. | Source frame: f_0050.jpg</x:v>
      </x:c>
      <x:c r="L288" s="365" t="str">
        <x:v>K138_1000025064.mp4</x:v>
      </x:c>
      <x:c r="M288" s="387" t="n">
        <x:f>IF(P288="OK",INDEX('Badge Lookup'!$B$6:$B$55,MATCH(F288,'Badge Lookup'!$A$6:$A$55,0)),0)</x:f>
        <x:v>240000</x:v>
      </x:c>
      <x:c r="N288" s="387" t="n">
        <x:f>IF(P288="OK",INDEX('Badge Lookup'!$C$6:$C$55,MATCH(F288,'Badge Lookup'!$A$6:$A$55,0)),0)</x:f>
        <x:v>2244300</x:v>
      </x:c>
      <x:c r="O288" s="388" t="n">
        <x:f>IF(P288="OK",INDEX('Badge Lookup'!$D$6:$D$55,MATCH(F288,'Badge Lookup'!$A$6:$A$55,0)),0)</x:f>
        <x:v>27.74</x:v>
      </x:c>
      <x:c r="P288" s="362" t="str">
        <x:f>IF(OR(G288="",F288=""),"Not scored",IF(AND(F288=INT(F288),F288&gt;=1,F288&lt;=50,COUNTIF('Badge Lookup'!$A$6:$A$55,F288)=1),"OK","Check lookup"))</x:f>
        <x:v>OK</x:v>
      </x:c>
      <x:c r="Q288" s="456" t="n">
        <x:f>IF(P288&lt;&gt;"OK","",IF(C288="Guards",-O288,O288))</x:f>
        <x:v>27.74</x:v>
      </x:c>
      <x:c r="R288" s="362" t="str">
        <x:f>IF(P288&lt;&gt;"OK","Not scored",IF(C288="Guards","Damage received reduction","Damage increase"))</x:f>
        <x:v>Damage increase</x:v>
      </x:c>
    </x:row>
    <x:row r="289" ht="32" customHeight="1">
      <x:c r="A289" s="365" t="str">
        <x:v>K138</x:v>
      </x:c>
      <x:c r="B289" s="365" t="str">
        <x:v>(RaW)༺飞K༻</x:v>
      </x:c>
      <x:c r="C289" s="365" t="str">
        <x:v>Guards</x:v>
      </x:c>
      <x:c r="D289" s="365" t="str">
        <x:v>Destroyers</x:v>
      </x:c>
      <x:c r="E289" s="365" t="str">
        <x:v>Guard</x:v>
      </x:c>
      <x:c r="F289" s="365" t="n">
        <x:v>45</x:v>
      </x:c>
      <x:c r="G289" s="365" t="str">
        <x:v>Parry</x:v>
      </x:c>
      <x:c r="H289" s="365" t="str">
        <x:v>Provides a parry effect and a certain probability to increase damage</x:v>
      </x:c>
      <x:c r="I289" s="365" t="str">
        <x:v>unlocked</x:v>
      </x:c>
      <x:c r="J289" s="365" t="str">
        <x:v>04:01.50</x:v>
      </x:c>
      <x:c r="K289" s="365" t="str">
        <x:v>Visually verified from the open tooltip at relative video-extract time 00:00:30.500. | Source frame: f_0062.jpg</x:v>
      </x:c>
      <x:c r="L289" s="365" t="str">
        <x:v>K138_1000025064.mp4</x:v>
      </x:c>
      <x:c r="M289" s="387" t="n">
        <x:f>IF(P289="OK",INDEX('Badge Lookup'!$B$6:$B$55,MATCH(F289,'Badge Lookup'!$A$6:$A$55,0)),0)</x:f>
        <x:v>560000</x:v>
      </x:c>
      <x:c r="N289" s="387" t="n">
        <x:f>IF(P289="OK",INDEX('Badge Lookup'!$C$6:$C$55,MATCH(F289,'Badge Lookup'!$A$6:$A$55,0)),0)</x:f>
        <x:v>4284300</x:v>
      </x:c>
      <x:c r="O289" s="388" t="n">
        <x:f>IF(P289="OK",INDEX('Badge Lookup'!$D$6:$D$55,MATCH(F289,'Badge Lookup'!$A$6:$A$55,0)),0)</x:f>
        <x:v>41.98</x:v>
      </x:c>
      <x:c r="P289" s="362" t="str">
        <x:f>IF(OR(G289="",F289=""),"Not scored",IF(AND(F289=INT(F289),F289&gt;=1,F289&lt;=50,COUNTIF('Badge Lookup'!$A$6:$A$55,F289)=1),"OK","Check lookup"))</x:f>
        <x:v>OK</x:v>
      </x:c>
      <x:c r="Q289" s="456" t="n">
        <x:f>IF(P289&lt;&gt;"OK","",IF(C289="Guards",-O289,O289))</x:f>
        <x:v>-41.98</x:v>
      </x:c>
      <x:c r="R289" s="362" t="str">
        <x:f>IF(P289&lt;&gt;"OK","Not scored",IF(C289="Guards","Damage received reduction","Damage increase"))</x:f>
        <x:v>Damage received reduction</x:v>
      </x:c>
    </x:row>
    <x:row r="290" ht="32" customHeight="1">
      <x:c r="A290" s="365" t="str">
        <x:v>K138</x:v>
      </x:c>
      <x:c r="B290" s="365" t="str">
        <x:v>(RaW)༺飞K༻</x:v>
      </x:c>
      <x:c r="C290" s="365" t="str">
        <x:v>Archers</x:v>
      </x:c>
      <x:c r="D290" s="365" t="str">
        <x:v>Elite bowmen</x:v>
      </x:c>
      <x:c r="E290" s="365" t="str">
        <x:v>Archer</x:v>
      </x:c>
      <x:c r="F290" s="365" t="n">
        <x:v>36</x:v>
      </x:c>
      <x:c r="G290" s="365" t="str">
        <x:v>Frost Arrow</x:v>
      </x:c>
      <x:c r="H290" s="365" t="str">
        <x:v>Has a higher probability of activating ice damage</x:v>
      </x:c>
      <x:c r="I290" s="365" t="str">
        <x:v>unlocked</x:v>
      </x:c>
      <x:c r="J290" s="365" t="str">
        <x:v>04:02.50</x:v>
      </x:c>
      <x:c r="K290" s="365" t="str">
        <x:v>Visually verified from the open tooltip at relative video-extract time 00:00:31.500. | Source frame: f_0064.jpg</x:v>
      </x:c>
      <x:c r="L290" s="365" t="str">
        <x:v>K138_1000025064.mp4</x:v>
      </x:c>
      <x:c r="M290" s="387" t="n">
        <x:f>IF(P290="OK",INDEX('Badge Lookup'!$B$6:$B$55,MATCH(F290,'Badge Lookup'!$A$6:$A$55,0)),0)</x:f>
        <x:v>140000</x:v>
      </x:c>
      <x:c r="N290" s="387" t="n">
        <x:f>IF(P290="OK",INDEX('Badge Lookup'!$C$6:$C$55,MATCH(F290,'Badge Lookup'!$A$6:$A$55,0)),0)</x:f>
        <x:v>1464300</x:v>
      </x:c>
      <x:c r="O290" s="388" t="n">
        <x:f>IF(P290="OK",INDEX('Badge Lookup'!$D$6:$D$55,MATCH(F290,'Badge Lookup'!$A$6:$A$55,0)),0)</x:f>
        <x:v>19.17</x:v>
      </x:c>
      <x:c r="P290" s="362" t="str">
        <x:f>IF(OR(G290="",F290=""),"Not scored",IF(AND(F290=INT(F290),F290&gt;=1,F290&lt;=50,COUNTIF('Badge Lookup'!$A$6:$A$55,F290)=1),"OK","Check lookup"))</x:f>
        <x:v>OK</x:v>
      </x:c>
      <x:c r="Q290" s="456" t="n">
        <x:f>IF(P290&lt;&gt;"OK","",IF(C290="Guards",-O290,O290))</x:f>
        <x:v>19.17</x:v>
      </x:c>
      <x:c r="R290" s="362" t="str">
        <x:f>IF(P290&lt;&gt;"OK","Not scored",IF(C290="Guards","Damage received reduction","Damage increase"))</x:f>
        <x:v>Damage increase</x:v>
      </x:c>
    </x:row>
    <x:row r="291" ht="32" customHeight="1">
      <x:c r="A291" s="365" t="str">
        <x:v>K170</x:v>
      </x:c>
      <x:c r="B291" s="365" t="str">
        <x:v>(AOT)SanSW°</x:v>
      </x:c>
      <x:c r="C291" s="365" t="str">
        <x:v>Guards</x:v>
      </x:c>
      <x:c r="D291" s="365" t="str">
        <x:v>Destroyers</x:v>
      </x:c>
      <x:c r="E291" s="365" t="str">
        <x:v>Guard</x:v>
      </x:c>
      <x:c r="F291" s="365" t="n">
        <x:v>50</x:v>
      </x:c>
      <x:c r="G291" s="365" t="str">
        <x:v>Parry</x:v>
      </x:c>
      <x:c r="H291" s="365" t="str">
        <x:v>Provides a parry effect and a certain probability to increase damage</x:v>
      </x:c>
      <x:c r="I291" s="365" t="str">
        <x:v>Unlocked</x:v>
      </x:c>
      <x:c r="J291" s="365" t="str">
        <x:v>00:04</x:v>
      </x:c>
      <x:c r="K291" s="365" t="str">
        <x:v>Header exactly: Destroyers(Guard)</x:v>
      </x:c>
      <x:c r="L291" s="365" t="str">
        <x:v>1000025098.mp4</x:v>
      </x:c>
      <x:c r="M291" s="387" t="n">
        <x:f>IF(P291="OK",INDEX('Badge Lookup'!$B$6:$B$55,MATCH(F291,'Badge Lookup'!$A$6:$A$55,0)),0)</x:f>
        <x:v>2000000</x:v>
      </x:c>
      <x:c r="N291" s="387" t="n">
        <x:f>IF(P291="OK",INDEX('Badge Lookup'!$C$6:$C$55,MATCH(F291,'Badge Lookup'!$A$6:$A$55,0)),0)</x:f>
        <x:v>10334300</x:v>
      </x:c>
      <x:c r="O291" s="388" t="n">
        <x:f>IF(P291="OK",INDEX('Badge Lookup'!$D$6:$D$55,MATCH(F291,'Badge Lookup'!$A$6:$A$55,0)),0)</x:f>
        <x:v>60</x:v>
      </x:c>
      <x:c r="P291" s="362" t="str">
        <x:f>IF(OR(G291="",F291=""),"Not scored",IF(AND(F291=INT(F291),F291&gt;=1,F291&lt;=50,COUNTIF('Badge Lookup'!$A$6:$A$55,F291)=1),"OK","Check lookup"))</x:f>
        <x:v>OK</x:v>
      </x:c>
      <x:c r="Q291" s="456" t="n">
        <x:f>IF(P291&lt;&gt;"OK","",IF(C291="Guards",-O291,O291))</x:f>
        <x:v>-60</x:v>
      </x:c>
      <x:c r="R291" s="362" t="str">
        <x:f>IF(P291&lt;&gt;"OK","Not scored",IF(C291="Guards","Damage received reduction","Damage increase"))</x:f>
        <x:v>Damage received reduction</x:v>
      </x:c>
    </x:row>
    <x:row r="292" ht="32" customHeight="1">
      <x:c r="A292" s="365" t="str">
        <x:v>K170</x:v>
      </x:c>
      <x:c r="B292" s="365" t="str">
        <x:v>(AOT)SanSW°</x:v>
      </x:c>
      <x:c r="C292" s="365" t="str">
        <x:v>Cavalry</x:v>
      </x:c>
      <x:c r="D292" s="365" t="str">
        <x:v>Eternal knights</x:v>
      </x:c>
      <x:c r="E292" s="365" t="str">
        <x:v>Heavy Cavalry</x:v>
      </x:c>
      <x:c r="F292" s="365" t="n">
        <x:v>49</x:v>
      </x:c>
      <x:c r="G292" s="365" t="str">
        <x:v>Thunder trample</x:v>
      </x:c>
      <x:c r="H292" s="365" t="str">
        <x:v>Has a certain probability of causing trampling damage</x:v>
      </x:c>
      <x:c r="I292" s="365" t="str">
        <x:v>Unlocked</x:v>
      </x:c>
      <x:c r="J292" s="365" t="str">
        <x:v>00:06</x:v>
      </x:c>
      <x:c r="K292" s="365" t="str">
        <x:v>Header exactly: Eternal knights(Heavy Cavalry)</x:v>
      </x:c>
      <x:c r="L292" s="365" t="str">
        <x:v>1000025098.mp4</x:v>
      </x:c>
      <x:c r="M292" s="387" t="n">
        <x:f>IF(P292="OK",INDEX('Badge Lookup'!$B$6:$B$55,MATCH(F292,'Badge Lookup'!$A$6:$A$55,0)),0)</x:f>
        <x:v>1400000</x:v>
      </x:c>
      <x:c r="N292" s="387" t="n">
        <x:f>IF(P292="OK",INDEX('Badge Lookup'!$C$6:$C$55,MATCH(F292,'Badge Lookup'!$A$6:$A$55,0)),0)</x:f>
        <x:v>8334300</x:v>
      </x:c>
      <x:c r="O292" s="388" t="n">
        <x:f>IF(P292="OK",INDEX('Badge Lookup'!$D$6:$D$55,MATCH(F292,'Badge Lookup'!$A$6:$A$55,0)),0)</x:f>
        <x:v>55.2</x:v>
      </x:c>
      <x:c r="P292" s="362" t="str">
        <x:f>IF(OR(G292="",F292=""),"Not scored",IF(AND(F292=INT(F292),F292&gt;=1,F292&lt;=50,COUNTIF('Badge Lookup'!$A$6:$A$55,F292)=1),"OK","Check lookup"))</x:f>
        <x:v>OK</x:v>
      </x:c>
      <x:c r="Q292" s="456" t="n">
        <x:f>IF(P292&lt;&gt;"OK","",IF(C292="Guards",-O292,O292))</x:f>
        <x:v>55.2</x:v>
      </x:c>
      <x:c r="R292" s="362" t="str">
        <x:f>IF(P292&lt;&gt;"OK","Not scored",IF(C292="Guards","Damage received reduction","Damage increase"))</x:f>
        <x:v>Damage increase</x:v>
      </x:c>
    </x:row>
    <x:row r="293" ht="32" customHeight="1">
      <x:c r="A293" s="365" t="str">
        <x:v>K170</x:v>
      </x:c>
      <x:c r="B293" s="365" t="str">
        <x:v>(AOT)SanSW°</x:v>
      </x:c>
      <x:c r="C293" s="365" t="str">
        <x:v>Archers</x:v>
      </x:c>
      <x:c r="D293" s="365" t="str">
        <x:v>Elite bowmen</x:v>
      </x:c>
      <x:c r="E293" s="365" t="str">
        <x:v>Archer</x:v>
      </x:c>
      <x:c r="F293" s="365" t="n">
        <x:v>33</x:v>
      </x:c>
      <x:c r="G293" s="365" t="str">
        <x:v>Frost Arrow</x:v>
      </x:c>
      <x:c r="H293" s="365" t="str">
        <x:v>Has a higher probability of activating ice damage</x:v>
      </x:c>
      <x:c r="I293" s="365" t="str">
        <x:v>Unlocked</x:v>
      </x:c>
      <x:c r="J293" s="365" t="str">
        <x:v>00:08</x:v>
      </x:c>
      <x:c r="K293" s="365" t="str">
        <x:v>Header exactly: Elite bowmen(Archer)</x:v>
      </x:c>
      <x:c r="L293" s="365" t="str">
        <x:v>1000025098.mp4</x:v>
      </x:c>
      <x:c r="M293" s="387" t="n">
        <x:f>IF(P293="OK",INDEX('Badge Lookup'!$B$6:$B$55,MATCH(F293,'Badge Lookup'!$A$6:$A$55,0)),0)</x:f>
        <x:v>110000</x:v>
      </x:c>
      <x:c r="N293" s="387" t="n">
        <x:f>IF(P293="OK",INDEX('Badge Lookup'!$C$6:$C$55,MATCH(F293,'Badge Lookup'!$A$6:$A$55,0)),0)</x:f>
        <x:v>1074300</x:v>
      </x:c>
      <x:c r="O293" s="388" t="n">
        <x:f>IF(P293="OK",INDEX('Badge Lookup'!$D$6:$D$55,MATCH(F293,'Badge Lookup'!$A$6:$A$55,0)),0)</x:f>
        <x:v>14.78</x:v>
      </x:c>
      <x:c r="P293" s="362" t="str">
        <x:f>IF(OR(G293="",F293=""),"Not scored",IF(AND(F293=INT(F293),F293&gt;=1,F293&lt;=50,COUNTIF('Badge Lookup'!$A$6:$A$55,F293)=1),"OK","Check lookup"))</x:f>
        <x:v>OK</x:v>
      </x:c>
      <x:c r="Q293" s="456" t="n">
        <x:f>IF(P293&lt;&gt;"OK","",IF(C293="Guards",-O293,O293))</x:f>
        <x:v>14.78</x:v>
      </x:c>
      <x:c r="R293" s="362" t="str">
        <x:f>IF(P293&lt;&gt;"OK","Not scored",IF(C293="Guards","Damage received reduction","Damage increase"))</x:f>
        <x:v>Damage increase</x:v>
      </x:c>
    </x:row>
    <x:row r="294" ht="32" customHeight="1">
      <x:c r="A294" s="365" t="str">
        <x:v>K170</x:v>
      </x:c>
      <x:c r="B294" s="365" t="str">
        <x:v>(AOT)SanSW°</x:v>
      </x:c>
      <x:c r="C294" s="365" t="str">
        <x:v>Cavalry</x:v>
      </x:c>
      <x:c r="D294" s="365" t="str">
        <x:v>Storm cavalry</x:v>
      </x:c>
      <x:c r="E294" s="365" t="str">
        <x:v>Horse archer</x:v>
      </x:c>
      <x:c r="F294" s="365" t="n">
        <x:v>47</x:v>
      </x:c>
      <x:c r="G294" s="365" t="str">
        <x:v>Mounted Archery</x:v>
      </x:c>
      <x:c r="H294" s="365" t="str">
        <x:v>Has a certain probability of causing fly-shooting damage</x:v>
      </x:c>
      <x:c r="I294" s="365" t="str">
        <x:v>Unlocked</x:v>
      </x:c>
      <x:c r="J294" s="365" t="str">
        <x:v>00:10</x:v>
      </x:c>
      <x:c r="K294" s="365" t="str">
        <x:v>Header exactly: Storm cavalry(Horse archer)</x:v>
      </x:c>
      <x:c r="L294" s="365" t="str">
        <x:v>1000025098.mp4</x:v>
      </x:c>
      <x:c r="M294" s="387" t="n">
        <x:f>IF(P294="OK",INDEX('Badge Lookup'!$B$6:$B$55,MATCH(F294,'Badge Lookup'!$A$6:$A$55,0)),0)</x:f>
        <x:v>880000</x:v>
      </x:c>
      <x:c r="N294" s="387" t="n">
        <x:f>IF(P294="OK",INDEX('Badge Lookup'!$C$6:$C$55,MATCH(F294,'Badge Lookup'!$A$6:$A$55,0)),0)</x:f>
        <x:v>5884300</x:v>
      </x:c>
      <x:c r="O294" s="388" t="n">
        <x:f>IF(P294="OK",INDEX('Badge Lookup'!$D$6:$D$55,MATCH(F294,'Badge Lookup'!$A$6:$A$55,0)),0)</x:f>
        <x:v>48.38</x:v>
      </x:c>
      <x:c r="P294" s="362" t="str">
        <x:f>IF(OR(G294="",F294=""),"Not scored",IF(AND(F294=INT(F294),F294&gt;=1,F294&lt;=50,COUNTIF('Badge Lookup'!$A$6:$A$55,F294)=1),"OK","Check lookup"))</x:f>
        <x:v>OK</x:v>
      </x:c>
      <x:c r="Q294" s="456" t="n">
        <x:f>IF(P294&lt;&gt;"OK","",IF(C294="Guards",-O294,O294))</x:f>
        <x:v>48.38</x:v>
      </x:c>
      <x:c r="R294" s="362" t="str">
        <x:f>IF(P294&lt;&gt;"OK","Not scored",IF(C294="Guards","Damage received reduction","Damage increase"))</x:f>
        <x:v>Damage increase</x:v>
      </x:c>
    </x:row>
    <x:row r="295" ht="32" customHeight="1">
      <x:c r="A295" s="365" t="str">
        <x:v>K170</x:v>
      </x:c>
      <x:c r="B295" s="365" t="str">
        <x:v>(AOT)Fenixx</x:v>
      </x:c>
      <x:c r="C295" s="365" t="str">
        <x:v>Guards</x:v>
      </x:c>
      <x:c r="D295" s="365" t="str">
        <x:v>Destroyers</x:v>
      </x:c>
      <x:c r="E295" s="365" t="str">
        <x:v>Guard</x:v>
      </x:c>
      <x:c r="F295" s="365" t="n">
        <x:v>45</x:v>
      </x:c>
      <x:c r="G295" s="365" t="str">
        <x:v>Parry</x:v>
      </x:c>
      <x:c r="H295" s="365" t="str">
        <x:v>Provides a parry effect and a certain probability to increase damage</x:v>
      </x:c>
      <x:c r="I295" s="365" t="str">
        <x:v>Unlocked</x:v>
      </x:c>
      <x:c r="J295" s="365" t="str">
        <x:v>00:22</x:v>
      </x:c>
      <x:c r="K295" s="365" t="str">
        <x:v>Header exactly: Destroyers(Guard)</x:v>
      </x:c>
      <x:c r="L295" s="365" t="str">
        <x:v>1000025098.mp4</x:v>
      </x:c>
      <x:c r="M295" s="387" t="n">
        <x:f>IF(P295="OK",INDEX('Badge Lookup'!$B$6:$B$55,MATCH(F295,'Badge Lookup'!$A$6:$A$55,0)),0)</x:f>
        <x:v>560000</x:v>
      </x:c>
      <x:c r="N295" s="387" t="n">
        <x:f>IF(P295="OK",INDEX('Badge Lookup'!$C$6:$C$55,MATCH(F295,'Badge Lookup'!$A$6:$A$55,0)),0)</x:f>
        <x:v>4284300</x:v>
      </x:c>
      <x:c r="O295" s="388" t="n">
        <x:f>IF(P295="OK",INDEX('Badge Lookup'!$D$6:$D$55,MATCH(F295,'Badge Lookup'!$A$6:$A$55,0)),0)</x:f>
        <x:v>41.98</x:v>
      </x:c>
      <x:c r="P295" s="362" t="str">
        <x:f>IF(OR(G295="",F295=""),"Not scored",IF(AND(F295=INT(F295),F295&gt;=1,F295&lt;=50,COUNTIF('Badge Lookup'!$A$6:$A$55,F295)=1),"OK","Check lookup"))</x:f>
        <x:v>OK</x:v>
      </x:c>
      <x:c r="Q295" s="456" t="n">
        <x:f>IF(P295&lt;&gt;"OK","",IF(C295="Guards",-O295,O295))</x:f>
        <x:v>-41.98</x:v>
      </x:c>
      <x:c r="R295" s="362" t="str">
        <x:f>IF(P295&lt;&gt;"OK","Not scored",IF(C295="Guards","Damage received reduction","Damage increase"))</x:f>
        <x:v>Damage received reduction</x:v>
      </x:c>
    </x:row>
    <x:row r="296" ht="32" customHeight="1">
      <x:c r="A296" s="365" t="str">
        <x:v>K170</x:v>
      </x:c>
      <x:c r="B296" s="365" t="str">
        <x:v>(AOT)Fenixx</x:v>
      </x:c>
      <x:c r="C296" s="365" t="str">
        <x:v>Cavalry</x:v>
      </x:c>
      <x:c r="D296" s="365" t="str">
        <x:v>Eternal knights</x:v>
      </x:c>
      <x:c r="E296" s="365" t="str">
        <x:v>Heavy Cavalry</x:v>
      </x:c>
      <x:c r="F296" s="365" t="n">
        <x:v>29</x:v>
      </x:c>
      <x:c r="G296" s="365" t="str">
        <x:v>Thunder trample</x:v>
      </x:c>
      <x:c r="H296" s="365" t="str">
        <x:v>Has a certain probability of causing trampling damage</x:v>
      </x:c>
      <x:c r="I296" s="365" t="str">
        <x:v>Unlocked</x:v>
      </x:c>
      <x:c r="J296" s="365" t="str">
        <x:v>00:25</x:v>
      </x:c>
      <x:c r="K296" s="365" t="str">
        <x:v>Header exactly: Eternal knights(Heavy Cavalry)</x:v>
      </x:c>
      <x:c r="L296" s="365" t="str">
        <x:v>1000025098.mp4</x:v>
      </x:c>
      <x:c r="M296" s="387" t="n">
        <x:f>IF(P296="OK",INDEX('Badge Lookup'!$B$6:$B$55,MATCH(F296,'Badge Lookup'!$A$6:$A$55,0)),0)</x:f>
        <x:v>75000</x:v>
      </x:c>
      <x:c r="N296" s="387" t="n">
        <x:f>IF(P296="OK",INDEX('Badge Lookup'!$C$6:$C$55,MATCH(F296,'Badge Lookup'!$A$6:$A$55,0)),0)</x:f>
        <x:v>694300</x:v>
      </x:c>
      <x:c r="O296" s="388" t="n">
        <x:f>IF(P296="OK",INDEX('Badge Lookup'!$D$6:$D$55,MATCH(F296,'Badge Lookup'!$A$6:$A$55,0)),0)</x:f>
        <x:v>9</x:v>
      </x:c>
      <x:c r="P296" s="362" t="str">
        <x:f>IF(OR(G296="",F296=""),"Not scored",IF(AND(F296=INT(F296),F296&gt;=1,F296&lt;=50,COUNTIF('Badge Lookup'!$A$6:$A$55,F296)=1),"OK","Check lookup"))</x:f>
        <x:v>OK</x:v>
      </x:c>
      <x:c r="Q296" s="456" t="n">
        <x:f>IF(P296&lt;&gt;"OK","",IF(C296="Guards",-O296,O296))</x:f>
        <x:v>9</x:v>
      </x:c>
      <x:c r="R296" s="362" t="str">
        <x:f>IF(P296&lt;&gt;"OK","Not scored",IF(C296="Guards","Damage received reduction","Damage increase"))</x:f>
        <x:v>Damage increase</x:v>
      </x:c>
    </x:row>
    <x:row r="297" ht="32" customHeight="1">
      <x:c r="A297" s="365" t="str">
        <x:v>K170</x:v>
      </x:c>
      <x:c r="B297" s="365" t="str">
        <x:v>(AOT)Fenixx</x:v>
      </x:c>
      <x:c r="C297" s="365" t="str">
        <x:v>Archers</x:v>
      </x:c>
      <x:c r="D297" s="365" t="str">
        <x:v>Elite bowmen</x:v>
      </x:c>
      <x:c r="E297" s="365" t="str">
        <x:v>Archer</x:v>
      </x:c>
      <x:c r="F297" s="365" t="n">
        <x:v>35</x:v>
      </x:c>
      <x:c r="G297" s="365" t="str">
        <x:v>Frost Arrow</x:v>
      </x:c>
      <x:c r="H297" s="365" t="str">
        <x:v>Has a higher probability of activating ice damage</x:v>
      </x:c>
      <x:c r="I297" s="365" t="str">
        <x:v>Unlocked</x:v>
      </x:c>
      <x:c r="J297" s="365" t="str">
        <x:v>00:27</x:v>
      </x:c>
      <x:c r="K297" s="365" t="str">
        <x:v>Header exactly: Elite bowmen(Archer)</x:v>
      </x:c>
      <x:c r="L297" s="365" t="str">
        <x:v>1000025098.mp4</x:v>
      </x:c>
      <x:c r="M297" s="387" t="n">
        <x:f>IF(P297="OK",INDEX('Badge Lookup'!$B$6:$B$55,MATCH(F297,'Badge Lookup'!$A$6:$A$55,0)),0)</x:f>
        <x:v>130000</x:v>
      </x:c>
      <x:c r="N297" s="387" t="n">
        <x:f>IF(P297="OK",INDEX('Badge Lookup'!$C$6:$C$55,MATCH(F297,'Badge Lookup'!$A$6:$A$55,0)),0)</x:f>
        <x:v>1324300</x:v>
      </x:c>
      <x:c r="O297" s="388" t="n">
        <x:f>IF(P297="OK",INDEX('Badge Lookup'!$D$6:$D$55,MATCH(F297,'Badge Lookup'!$A$6:$A$55,0)),0)</x:f>
        <x:v>17.66</x:v>
      </x:c>
      <x:c r="P297" s="362" t="str">
        <x:f>IF(OR(G297="",F297=""),"Not scored",IF(AND(F297=INT(F297),F297&gt;=1,F297&lt;=50,COUNTIF('Badge Lookup'!$A$6:$A$55,F297)=1),"OK","Check lookup"))</x:f>
        <x:v>OK</x:v>
      </x:c>
      <x:c r="Q297" s="456" t="n">
        <x:f>IF(P297&lt;&gt;"OK","",IF(C297="Guards",-O297,O297))</x:f>
        <x:v>17.66</x:v>
      </x:c>
      <x:c r="R297" s="362" t="str">
        <x:f>IF(P297&lt;&gt;"OK","Not scored",IF(C297="Guards","Damage received reduction","Damage increase"))</x:f>
        <x:v>Damage increase</x:v>
      </x:c>
    </x:row>
    <x:row r="298" ht="32" customHeight="1">
      <x:c r="A298" s="365" t="str">
        <x:v>K170</x:v>
      </x:c>
      <x:c r="B298" s="365" t="str">
        <x:v>(AOT)Fenixx</x:v>
      </x:c>
      <x:c r="C298" s="365" t="str">
        <x:v>Siege</x:v>
      </x:c>
      <x:c r="D298" s="365" t="str">
        <x:v>Manglers</x:v>
      </x:c>
      <x:c r="E298" s="365" t="str">
        <x:v>Siege</x:v>
      </x:c>
      <x:c r="F298" s="365" t="n">
        <x:v>36</x:v>
      </x:c>
      <x:c r="G298" s="365" t="str">
        <x:v>Highly toxic</x:v>
      </x:c>
      <x:c r="H298" s="365" t="str">
        <x:v>Inflict continuous toxic damage</x:v>
      </x:c>
      <x:c r="I298" s="365" t="str">
        <x:v>Unlocked</x:v>
      </x:c>
      <x:c r="J298" s="365" t="str">
        <x:v>00:29</x:v>
      </x:c>
      <x:c r="K298" s="365" t="str">
        <x:v>Header exactly: Manglers(Siege)</x:v>
      </x:c>
      <x:c r="L298" s="365" t="str">
        <x:v>1000025098.mp4</x:v>
      </x:c>
      <x:c r="M298" s="387" t="n">
        <x:f>IF(P298="OK",INDEX('Badge Lookup'!$B$6:$B$55,MATCH(F298,'Badge Lookup'!$A$6:$A$55,0)),0)</x:f>
        <x:v>140000</x:v>
      </x:c>
      <x:c r="N298" s="387" t="n">
        <x:f>IF(P298="OK",INDEX('Badge Lookup'!$C$6:$C$55,MATCH(F298,'Badge Lookup'!$A$6:$A$55,0)),0)</x:f>
        <x:v>1464300</x:v>
      </x:c>
      <x:c r="O298" s="388" t="n">
        <x:f>IF(P298="OK",INDEX('Badge Lookup'!$D$6:$D$55,MATCH(F298,'Badge Lookup'!$A$6:$A$55,0)),0)</x:f>
        <x:v>19.17</x:v>
      </x:c>
      <x:c r="P298" s="362" t="str">
        <x:f>IF(OR(G298="",F298=""),"Not scored",IF(AND(F298=INT(F298),F298&gt;=1,F298&lt;=50,COUNTIF('Badge Lookup'!$A$6:$A$55,F298)=1),"OK","Check lookup"))</x:f>
        <x:v>OK</x:v>
      </x:c>
      <x:c r="Q298" s="456" t="n">
        <x:f>IF(P298&lt;&gt;"OK","",IF(C298="Guards",-O298,O298))</x:f>
        <x:v>19.17</x:v>
      </x:c>
      <x:c r="R298" s="362" t="str">
        <x:f>IF(P298&lt;&gt;"OK","Not scored",IF(C298="Guards","Damage received reduction","Damage increase"))</x:f>
        <x:v>Damage increase</x:v>
      </x:c>
    </x:row>
    <x:row r="299" ht="32" customHeight="1">
      <x:c r="A299" s="365" t="str">
        <x:v>K170</x:v>
      </x:c>
      <x:c r="B299" s="365" t="str">
        <x:v>(AOT)Fenixx</x:v>
      </x:c>
      <x:c r="C299" s="365" t="str">
        <x:v>Cavalry</x:v>
      </x:c>
      <x:c r="D299" s="365" t="str">
        <x:v>Storm cavalry</x:v>
      </x:c>
      <x:c r="E299" s="365" t="str">
        <x:v>Horse archer</x:v>
      </x:c>
      <x:c r="F299" s="365" t="n">
        <x:v>48</x:v>
      </x:c>
      <x:c r="G299" s="365" t="str">
        <x:v>Mounted Archery</x:v>
      </x:c>
      <x:c r="H299" s="365" t="str">
        <x:v>Has a certain probability of causing fly-shooting damage</x:v>
      </x:c>
      <x:c r="I299" s="365" t="str">
        <x:v>Unlocked</x:v>
      </x:c>
      <x:c r="J299" s="365" t="str">
        <x:v>00:30</x:v>
      </x:c>
      <x:c r="K299" s="365" t="str">
        <x:v>Header exactly: Storm cavalry(Horse archer)</x:v>
      </x:c>
      <x:c r="L299" s="365" t="str">
        <x:v>1000025098.mp4</x:v>
      </x:c>
      <x:c r="M299" s="387" t="n">
        <x:f>IF(P299="OK",INDEX('Badge Lookup'!$B$6:$B$55,MATCH(F299,'Badge Lookup'!$A$6:$A$55,0)),0)</x:f>
        <x:v>1050000</x:v>
      </x:c>
      <x:c r="N299" s="387" t="n">
        <x:f>IF(P299="OK",INDEX('Badge Lookup'!$C$6:$C$55,MATCH(F299,'Badge Lookup'!$A$6:$A$55,0)),0)</x:f>
        <x:v>6934300</x:v>
      </x:c>
      <x:c r="O299" s="388" t="n">
        <x:f>IF(P299="OK",INDEX('Badge Lookup'!$D$6:$D$55,MATCH(F299,'Badge Lookup'!$A$6:$A$55,0)),0)</x:f>
        <x:v>51.74</x:v>
      </x:c>
      <x:c r="P299" s="362" t="str">
        <x:f>IF(OR(G299="",F299=""),"Not scored",IF(AND(F299=INT(F299),F299&gt;=1,F299&lt;=50,COUNTIF('Badge Lookup'!$A$6:$A$55,F299)=1),"OK","Check lookup"))</x:f>
        <x:v>OK</x:v>
      </x:c>
      <x:c r="Q299" s="456" t="n">
        <x:f>IF(P299&lt;&gt;"OK","",IF(C299="Guards",-O299,O299))</x:f>
        <x:v>51.74</x:v>
      </x:c>
      <x:c r="R299" s="362" t="str">
        <x:f>IF(P299&lt;&gt;"OK","Not scored",IF(C299="Guards","Damage received reduction","Damage increase"))</x:f>
        <x:v>Damage increase</x:v>
      </x:c>
    </x:row>
    <x:row r="300" ht="32" customHeight="1">
      <x:c r="A300" s="365" t="str">
        <x:v>K170</x:v>
      </x:c>
      <x:c r="B300" s="365" t="str">
        <x:v>(AOT)D®a©o</x:v>
      </x:c>
      <x:c r="C300" s="365" t="str">
        <x:v>Guards</x:v>
      </x:c>
      <x:c r="D300" s="365" t="str">
        <x:v>Destroyers</x:v>
      </x:c>
      <x:c r="E300" s="365" t="str">
        <x:v>Guard</x:v>
      </x:c>
      <x:c r="F300" s="365" t="n">
        <x:v>45</x:v>
      </x:c>
      <x:c r="G300" s="365" t="str">
        <x:v>Parry</x:v>
      </x:c>
      <x:c r="H300" s="365" t="str">
        <x:v>Provides a parry effect and a certain probability to increase damage</x:v>
      </x:c>
      <x:c r="I300" s="365" t="str">
        <x:v>Unlocked</x:v>
      </x:c>
      <x:c r="J300" s="365" t="str">
        <x:v>00:44</x:v>
      </x:c>
      <x:c r="K300" s="365" t="str">
        <x:v>Header exactly: Destroyers(Guard)</x:v>
      </x:c>
      <x:c r="L300" s="365" t="str">
        <x:v>1000025098.mp4</x:v>
      </x:c>
      <x:c r="M300" s="387" t="n">
        <x:f>IF(P300="OK",INDEX('Badge Lookup'!$B$6:$B$55,MATCH(F300,'Badge Lookup'!$A$6:$A$55,0)),0)</x:f>
        <x:v>560000</x:v>
      </x:c>
      <x:c r="N300" s="387" t="n">
        <x:f>IF(P300="OK",INDEX('Badge Lookup'!$C$6:$C$55,MATCH(F300,'Badge Lookup'!$A$6:$A$55,0)),0)</x:f>
        <x:v>4284300</x:v>
      </x:c>
      <x:c r="O300" s="388" t="n">
        <x:f>IF(P300="OK",INDEX('Badge Lookup'!$D$6:$D$55,MATCH(F300,'Badge Lookup'!$A$6:$A$55,0)),0)</x:f>
        <x:v>41.98</x:v>
      </x:c>
      <x:c r="P300" s="362" t="str">
        <x:f>IF(OR(G300="",F300=""),"Not scored",IF(AND(F300=INT(F300),F300&gt;=1,F300&lt;=50,COUNTIF('Badge Lookup'!$A$6:$A$55,F300)=1),"OK","Check lookup"))</x:f>
        <x:v>OK</x:v>
      </x:c>
      <x:c r="Q300" s="456" t="n">
        <x:f>IF(P300&lt;&gt;"OK","",IF(C300="Guards",-O300,O300))</x:f>
        <x:v>-41.98</x:v>
      </x:c>
      <x:c r="R300" s="362" t="str">
        <x:f>IF(P300&lt;&gt;"OK","Not scored",IF(C300="Guards","Damage received reduction","Damage increase"))</x:f>
        <x:v>Damage received reduction</x:v>
      </x:c>
    </x:row>
    <x:row r="301" ht="32" customHeight="1">
      <x:c r="A301" s="365" t="str">
        <x:v>K170</x:v>
      </x:c>
      <x:c r="B301" s="365" t="str">
        <x:v>(AOT)D®a©o</x:v>
      </x:c>
      <x:c r="C301" s="365" t="str">
        <x:v>Archers</x:v>
      </x:c>
      <x:c r="D301" s="365" t="str">
        <x:v>Elite bowmen</x:v>
      </x:c>
      <x:c r="E301" s="365" t="str">
        <x:v>Archer</x:v>
      </x:c>
      <x:c r="F301" s="365" t="n">
        <x:v>39</x:v>
      </x:c>
      <x:c r="G301" s="365" t="str">
        <x:v>Frost Arrow</x:v>
      </x:c>
      <x:c r="H301" s="365" t="str">
        <x:v>Has a higher probability of activating ice damage</x:v>
      </x:c>
      <x:c r="I301" s="365" t="str">
        <x:v>Unlocked</x:v>
      </x:c>
      <x:c r="J301" s="365" t="str">
        <x:v>00:46</x:v>
      </x:c>
      <x:c r="K301" s="365" t="str">
        <x:v>Header exactly: Elite bowmen(Archer)</x:v>
      </x:c>
      <x:c r="L301" s="365" t="str">
        <x:v>1000025098.mp4</x:v>
      </x:c>
      <x:c r="M301" s="387" t="n">
        <x:f>IF(P301="OK",INDEX('Badge Lookup'!$B$6:$B$55,MATCH(F301,'Badge Lookup'!$A$6:$A$55,0)),0)</x:f>
        <x:v>200000</x:v>
      </x:c>
      <x:c r="N301" s="387" t="n">
        <x:f>IF(P301="OK",INDEX('Badge Lookup'!$C$6:$C$55,MATCH(F301,'Badge Lookup'!$A$6:$A$55,0)),0)</x:f>
        <x:v>2004300</x:v>
      </x:c>
      <x:c r="O301" s="388" t="n">
        <x:f>IF(P301="OK",INDEX('Badge Lookup'!$D$6:$D$55,MATCH(F301,'Badge Lookup'!$A$6:$A$55,0)),0)</x:f>
        <x:v>24</x:v>
      </x:c>
      <x:c r="P301" s="362" t="str">
        <x:f>IF(OR(G301="",F301=""),"Not scored",IF(AND(F301=INT(F301),F301&gt;=1,F301&lt;=50,COUNTIF('Badge Lookup'!$A$6:$A$55,F301)=1),"OK","Check lookup"))</x:f>
        <x:v>OK</x:v>
      </x:c>
      <x:c r="Q301" s="456" t="n">
        <x:f>IF(P301&lt;&gt;"OK","",IF(C301="Guards",-O301,O301))</x:f>
        <x:v>24</x:v>
      </x:c>
      <x:c r="R301" s="362" t="str">
        <x:f>IF(P301&lt;&gt;"OK","Not scored",IF(C301="Guards","Damage received reduction","Damage increase"))</x:f>
        <x:v>Damage increase</x:v>
      </x:c>
    </x:row>
    <x:row r="302" ht="32" customHeight="1">
      <x:c r="A302" s="365" t="str">
        <x:v>K170</x:v>
      </x:c>
      <x:c r="B302" s="365" t="str">
        <x:v>(AOT)D®a©o</x:v>
      </x:c>
      <x:c r="C302" s="365" t="str">
        <x:v>Siege</x:v>
      </x:c>
      <x:c r="D302" s="365" t="str">
        <x:v>Manglers</x:v>
      </x:c>
      <x:c r="E302" s="365" t="str">
        <x:v>Siege</x:v>
      </x:c>
      <x:c r="F302" s="365" t="n">
        <x:v>26</x:v>
      </x:c>
      <x:c r="G302" s="365" t="str">
        <x:v>Highly toxic</x:v>
      </x:c>
      <x:c r="H302" s="365" t="str">
        <x:v>Inflict continuous toxic damage</x:v>
      </x:c>
      <x:c r="I302" s="365" t="str">
        <x:v>Unlocked</x:v>
      </x:c>
      <x:c r="J302" s="365" t="str">
        <x:v>00:47</x:v>
      </x:c>
      <x:c r="K302" s="365" t="str">
        <x:v>Header exactly: Manglers(Siege)</x:v>
      </x:c>
      <x:c r="L302" s="365" t="str">
        <x:v>1000025098.mp4</x:v>
      </x:c>
      <x:c r="M302" s="387" t="n">
        <x:f>IF(P302="OK",INDEX('Badge Lookup'!$B$6:$B$55,MATCH(F302,'Badge Lookup'!$A$6:$A$55,0)),0)</x:f>
        <x:v>60000</x:v>
      </x:c>
      <x:c r="N302" s="387" t="n">
        <x:f>IF(P302="OK",INDEX('Badge Lookup'!$C$6:$C$55,MATCH(F302,'Badge Lookup'!$A$6:$A$55,0)),0)</x:f>
        <x:v>484300</x:v>
      </x:c>
      <x:c r="O302" s="388" t="n">
        <x:f>IF(P302="OK",INDEX('Badge Lookup'!$D$6:$D$55,MATCH(F302,'Badge Lookup'!$A$6:$A$55,0)),0)</x:f>
        <x:v>6.8</x:v>
      </x:c>
      <x:c r="P302" s="362" t="str">
        <x:f>IF(OR(G302="",F302=""),"Not scored",IF(AND(F302=INT(F302),F302&gt;=1,F302&lt;=50,COUNTIF('Badge Lookup'!$A$6:$A$55,F302)=1),"OK","Check lookup"))</x:f>
        <x:v>OK</x:v>
      </x:c>
      <x:c r="Q302" s="456" t="n">
        <x:f>IF(P302&lt;&gt;"OK","",IF(C302="Guards",-O302,O302))</x:f>
        <x:v>6.8</x:v>
      </x:c>
      <x:c r="R302" s="362" t="str">
        <x:f>IF(P302&lt;&gt;"OK","Not scored",IF(C302="Guards","Damage received reduction","Damage increase"))</x:f>
        <x:v>Damage increase</x:v>
      </x:c>
    </x:row>
    <x:row r="303" ht="32" customHeight="1">
      <x:c r="A303" s="365" t="str">
        <x:v>K170</x:v>
      </x:c>
      <x:c r="B303" s="365" t="str">
        <x:v>(AOT)D®a©o</x:v>
      </x:c>
      <x:c r="C303" s="365" t="str">
        <x:v>Cavalry</x:v>
      </x:c>
      <x:c r="D303" s="365" t="str">
        <x:v>Storm cavalry</x:v>
      </x:c>
      <x:c r="E303" s="365" t="str">
        <x:v>Horse archer</x:v>
      </x:c>
      <x:c r="F303" s="365" t="n">
        <x:v>45</x:v>
      </x:c>
      <x:c r="G303" s="365" t="str">
        <x:v>Mounted Archery</x:v>
      </x:c>
      <x:c r="H303" s="365" t="str">
        <x:v>Has a certain probability of causing fly-shooting damage</x:v>
      </x:c>
      <x:c r="I303" s="365" t="str">
        <x:v>Unlocked</x:v>
      </x:c>
      <x:c r="J303" s="365" t="str">
        <x:v>00:49</x:v>
      </x:c>
      <x:c r="K303" s="365" t="str">
        <x:v>Header exactly: Storm cavalry(Horse archer)</x:v>
      </x:c>
      <x:c r="L303" s="365" t="str">
        <x:v>1000025098.mp4</x:v>
      </x:c>
      <x:c r="M303" s="387" t="n">
        <x:f>IF(P303="OK",INDEX('Badge Lookup'!$B$6:$B$55,MATCH(F303,'Badge Lookup'!$A$6:$A$55,0)),0)</x:f>
        <x:v>560000</x:v>
      </x:c>
      <x:c r="N303" s="387" t="n">
        <x:f>IF(P303="OK",INDEX('Badge Lookup'!$C$6:$C$55,MATCH(F303,'Badge Lookup'!$A$6:$A$55,0)),0)</x:f>
        <x:v>4284300</x:v>
      </x:c>
      <x:c r="O303" s="388" t="n">
        <x:f>IF(P303="OK",INDEX('Badge Lookup'!$D$6:$D$55,MATCH(F303,'Badge Lookup'!$A$6:$A$55,0)),0)</x:f>
        <x:v>41.98</x:v>
      </x:c>
      <x:c r="P303" s="362" t="str">
        <x:f>IF(OR(G303="",F303=""),"Not scored",IF(AND(F303=INT(F303),F303&gt;=1,F303&lt;=50,COUNTIF('Badge Lookup'!$A$6:$A$55,F303)=1),"OK","Check lookup"))</x:f>
        <x:v>OK</x:v>
      </x:c>
      <x:c r="Q303" s="456" t="n">
        <x:f>IF(P303&lt;&gt;"OK","",IF(C303="Guards",-O303,O303))</x:f>
        <x:v>41.98</x:v>
      </x:c>
      <x:c r="R303" s="362" t="str">
        <x:f>IF(P303&lt;&gt;"OK","Not scored",IF(C303="Guards","Damage received reduction","Damage increase"))</x:f>
        <x:v>Damage increase</x:v>
      </x:c>
    </x:row>
    <x:row r="304" ht="32" customHeight="1">
      <x:c r="A304" s="365" t="str">
        <x:v>K170</x:v>
      </x:c>
      <x:c r="B304" s="365" t="str">
        <x:v>(AOT)Themechanic</x:v>
      </x:c>
      <x:c r="C304" s="365" t="str">
        <x:v>Guards</x:v>
      </x:c>
      <x:c r="D304" s="365" t="str">
        <x:v>Destroyers</x:v>
      </x:c>
      <x:c r="E304" s="365" t="str">
        <x:v>Guard</x:v>
      </x:c>
      <x:c r="F304" s="365" t="n">
        <x:v>47</x:v>
      </x:c>
      <x:c r="G304" s="365" t="str">
        <x:v>Parry</x:v>
      </x:c>
      <x:c r="H304" s="365" t="str">
        <x:v>Provides a parry effect and a certain probability to increase damage</x:v>
      </x:c>
      <x:c r="I304" s="365" t="str">
        <x:v>Unlocked</x:v>
      </x:c>
      <x:c r="J304" s="365" t="str">
        <x:v>00:57.25</x:v>
      </x:c>
      <x:c r="K304" s="365" t="str">
        <x:v>Header exactly: Destroyers(Guard)</x:v>
      </x:c>
      <x:c r="L304" s="365" t="str">
        <x:v>1000025098.mp4</x:v>
      </x:c>
      <x:c r="M304" s="387" t="n">
        <x:f>IF(P304="OK",INDEX('Badge Lookup'!$B$6:$B$55,MATCH(F304,'Badge Lookup'!$A$6:$A$55,0)),0)</x:f>
        <x:v>880000</x:v>
      </x:c>
      <x:c r="N304" s="387" t="n">
        <x:f>IF(P304="OK",INDEX('Badge Lookup'!$C$6:$C$55,MATCH(F304,'Badge Lookup'!$A$6:$A$55,0)),0)</x:f>
        <x:v>5884300</x:v>
      </x:c>
      <x:c r="O304" s="388" t="n">
        <x:f>IF(P304="OK",INDEX('Badge Lookup'!$D$6:$D$55,MATCH(F304,'Badge Lookup'!$A$6:$A$55,0)),0)</x:f>
        <x:v>48.38</x:v>
      </x:c>
      <x:c r="P304" s="362" t="str">
        <x:f>IF(OR(G304="",F304=""),"Not scored",IF(AND(F304=INT(F304),F304&gt;=1,F304&lt;=50,COUNTIF('Badge Lookup'!$A$6:$A$55,F304)=1),"OK","Check lookup"))</x:f>
        <x:v>OK</x:v>
      </x:c>
      <x:c r="Q304" s="456" t="n">
        <x:f>IF(P304&lt;&gt;"OK","",IF(C304="Guards",-O304,O304))</x:f>
        <x:v>-48.38</x:v>
      </x:c>
      <x:c r="R304" s="362" t="str">
        <x:f>IF(P304&lt;&gt;"OK","Not scored",IF(C304="Guards","Damage received reduction","Damage increase"))</x:f>
        <x:v>Damage received reduction</x:v>
      </x:c>
    </x:row>
    <x:row r="305" ht="32" customHeight="1">
      <x:c r="A305" s="365" t="str">
        <x:v>K170</x:v>
      </x:c>
      <x:c r="B305" s="365" t="str">
        <x:v>(AOT)Themechanic</x:v>
      </x:c>
      <x:c r="C305" s="365" t="str">
        <x:v>Cavalry</x:v>
      </x:c>
      <x:c r="D305" s="365" t="str">
        <x:v>Eternal knights</x:v>
      </x:c>
      <x:c r="E305" s="365" t="str">
        <x:v>Heavy Cavalry</x:v>
      </x:c>
      <x:c r="F305" s="365" t="n">
        <x:v>45</x:v>
      </x:c>
      <x:c r="G305" s="365" t="str">
        <x:v>Thunder trample</x:v>
      </x:c>
      <x:c r="H305" s="365" t="str">
        <x:v>Has a certain probability of causing trampling damage</x:v>
      </x:c>
      <x:c r="I305" s="365" t="str">
        <x:v>Unlocked</x:v>
      </x:c>
      <x:c r="J305" s="365" t="str">
        <x:v>00:58.50</x:v>
      </x:c>
      <x:c r="K305" s="365" t="str">
        <x:v>Header exactly: Eternal knights(Heavy Cavalry)</x:v>
      </x:c>
      <x:c r="L305" s="365" t="str">
        <x:v>1000025098.mp4</x:v>
      </x:c>
      <x:c r="M305" s="387" t="n">
        <x:f>IF(P305="OK",INDEX('Badge Lookup'!$B$6:$B$55,MATCH(F305,'Badge Lookup'!$A$6:$A$55,0)),0)</x:f>
        <x:v>560000</x:v>
      </x:c>
      <x:c r="N305" s="387" t="n">
        <x:f>IF(P305="OK",INDEX('Badge Lookup'!$C$6:$C$55,MATCH(F305,'Badge Lookup'!$A$6:$A$55,0)),0)</x:f>
        <x:v>4284300</x:v>
      </x:c>
      <x:c r="O305" s="388" t="n">
        <x:f>IF(P305="OK",INDEX('Badge Lookup'!$D$6:$D$55,MATCH(F305,'Badge Lookup'!$A$6:$A$55,0)),0)</x:f>
        <x:v>41.98</x:v>
      </x:c>
      <x:c r="P305" s="362" t="str">
        <x:f>IF(OR(G305="",F305=""),"Not scored",IF(AND(F305=INT(F305),F305&gt;=1,F305&lt;=50,COUNTIF('Badge Lookup'!$A$6:$A$55,F305)=1),"OK","Check lookup"))</x:f>
        <x:v>OK</x:v>
      </x:c>
      <x:c r="Q305" s="456" t="n">
        <x:f>IF(P305&lt;&gt;"OK","",IF(C305="Guards",-O305,O305))</x:f>
        <x:v>41.98</x:v>
      </x:c>
      <x:c r="R305" s="362" t="str">
        <x:f>IF(P305&lt;&gt;"OK","Not scored",IF(C305="Guards","Damage received reduction","Damage increase"))</x:f>
        <x:v>Damage increase</x:v>
      </x:c>
    </x:row>
    <x:row r="306" ht="32" customHeight="1">
      <x:c r="A306" s="365" t="str">
        <x:v>K170</x:v>
      </x:c>
      <x:c r="B306" s="365" t="str">
        <x:v>(AOT)Themechanic</x:v>
      </x:c>
      <x:c r="C306" s="365" t="str">
        <x:v>Archers</x:v>
      </x:c>
      <x:c r="D306" s="365" t="str">
        <x:v>Elite bowmen</x:v>
      </x:c>
      <x:c r="E306" s="365" t="str">
        <x:v>Archer</x:v>
      </x:c>
      <x:c r="F306" s="365" t="n">
        <x:v>37</x:v>
      </x:c>
      <x:c r="G306" s="365" t="str">
        <x:v>Frost Arrow</x:v>
      </x:c>
      <x:c r="H306" s="365" t="str">
        <x:v>Has a higher probability of activating ice damage</x:v>
      </x:c>
      <x:c r="I306" s="365" t="str">
        <x:v>Unlocked</x:v>
      </x:c>
      <x:c r="J306" s="365" t="str">
        <x:v>00:59.75</x:v>
      </x:c>
      <x:c r="K306" s="365" t="str">
        <x:v>Header exactly: Elite bowmen(Archer)</x:v>
      </x:c>
      <x:c r="L306" s="365" t="str">
        <x:v>1000025098.mp4</x:v>
      </x:c>
      <x:c r="M306" s="387" t="n">
        <x:f>IF(P306="OK",INDEX('Badge Lookup'!$B$6:$B$55,MATCH(F306,'Badge Lookup'!$A$6:$A$55,0)),0)</x:f>
        <x:v>160000</x:v>
      </x:c>
      <x:c r="N306" s="387" t="n">
        <x:f>IF(P306="OK",INDEX('Badge Lookup'!$C$6:$C$55,MATCH(F306,'Badge Lookup'!$A$6:$A$55,0)),0)</x:f>
        <x:v>1624300</x:v>
      </x:c>
      <x:c r="O306" s="388" t="n">
        <x:f>IF(P306="OK",INDEX('Badge Lookup'!$D$6:$D$55,MATCH(F306,'Badge Lookup'!$A$6:$A$55,0)),0)</x:f>
        <x:v>20.73</x:v>
      </x:c>
      <x:c r="P306" s="362" t="str">
        <x:f>IF(OR(G306="",F306=""),"Not scored",IF(AND(F306=INT(F306),F306&gt;=1,F306&lt;=50,COUNTIF('Badge Lookup'!$A$6:$A$55,F306)=1),"OK","Check lookup"))</x:f>
        <x:v>OK</x:v>
      </x:c>
      <x:c r="Q306" s="456" t="n">
        <x:f>IF(P306&lt;&gt;"OK","",IF(C306="Guards",-O306,O306))</x:f>
        <x:v>20.73</x:v>
      </x:c>
      <x:c r="R306" s="362" t="str">
        <x:f>IF(P306&lt;&gt;"OK","Not scored",IF(C306="Guards","Damage received reduction","Damage increase"))</x:f>
        <x:v>Damage increase</x:v>
      </x:c>
    </x:row>
    <x:row r="307" ht="32" customHeight="1">
      <x:c r="A307" s="365" t="str">
        <x:v>K170</x:v>
      </x:c>
      <x:c r="B307" s="365" t="str">
        <x:v>(AOT)Themechanic</x:v>
      </x:c>
      <x:c r="C307" s="365" t="str">
        <x:v>Cavalry</x:v>
      </x:c>
      <x:c r="D307" s="365" t="str">
        <x:v>Storm cavalry</x:v>
      </x:c>
      <x:c r="E307" s="365" t="str">
        <x:v>Horse archer</x:v>
      </x:c>
      <x:c r="F307" s="365" t="n">
        <x:v>50</x:v>
      </x:c>
      <x:c r="G307" s="365" t="str">
        <x:v>Mounted Archery</x:v>
      </x:c>
      <x:c r="H307" s="365" t="str">
        <x:v>Has a certain probability of causing fly-shooting damage</x:v>
      </x:c>
      <x:c r="I307" s="365" t="str">
        <x:v>Unlocked</x:v>
      </x:c>
      <x:c r="J307" s="365" t="str">
        <x:v>01:01.00</x:v>
      </x:c>
      <x:c r="K307" s="365" t="str">
        <x:v>Header exactly: Storm cavalry(Horse archer)</x:v>
      </x:c>
      <x:c r="L307" s="365" t="str">
        <x:v>1000025098.mp4</x:v>
      </x:c>
      <x:c r="M307" s="387" t="n">
        <x:f>IF(P307="OK",INDEX('Badge Lookup'!$B$6:$B$55,MATCH(F307,'Badge Lookup'!$A$6:$A$55,0)),0)</x:f>
        <x:v>2000000</x:v>
      </x:c>
      <x:c r="N307" s="387" t="n">
        <x:f>IF(P307="OK",INDEX('Badge Lookup'!$C$6:$C$55,MATCH(F307,'Badge Lookup'!$A$6:$A$55,0)),0)</x:f>
        <x:v>10334300</x:v>
      </x:c>
      <x:c r="O307" s="388" t="n">
        <x:f>IF(P307="OK",INDEX('Badge Lookup'!$D$6:$D$55,MATCH(F307,'Badge Lookup'!$A$6:$A$55,0)),0)</x:f>
        <x:v>60</x:v>
      </x:c>
      <x:c r="P307" s="362" t="str">
        <x:f>IF(OR(G307="",F307=""),"Not scored",IF(AND(F307=INT(F307),F307&gt;=1,F307&lt;=50,COUNTIF('Badge Lookup'!$A$6:$A$55,F307)=1),"OK","Check lookup"))</x:f>
        <x:v>OK</x:v>
      </x:c>
      <x:c r="Q307" s="456" t="n">
        <x:f>IF(P307&lt;&gt;"OK","",IF(C307="Guards",-O307,O307))</x:f>
        <x:v>60</x:v>
      </x:c>
      <x:c r="R307" s="362" t="str">
        <x:f>IF(P307&lt;&gt;"OK","Not scored",IF(C307="Guards","Damage received reduction","Damage increase"))</x:f>
        <x:v>Damage increase</x:v>
      </x:c>
    </x:row>
    <x:row r="308" ht="32" customHeight="1">
      <x:c r="A308" s="365" t="str">
        <x:v>K170</x:v>
      </x:c>
      <x:c r="B308" s="365" t="str">
        <x:v>(AOT)Aauudd</x:v>
      </x:c>
      <x:c r="C308" s="365" t="str">
        <x:v>Cavalry</x:v>
      </x:c>
      <x:c r="D308" s="365" t="str">
        <x:v>Eternal knights</x:v>
      </x:c>
      <x:c r="E308" s="365" t="str">
        <x:v>Heavy Cavalry</x:v>
      </x:c>
      <x:c r="F308" s="365" t="n">
        <x:v>31</x:v>
      </x:c>
      <x:c r="G308" s="365" t="str">
        <x:v>Thunder trample</x:v>
      </x:c>
      <x:c r="H308" s="365" t="str">
        <x:v>Has a certain probability of causing trampling damage</x:v>
      </x:c>
      <x:c r="I308" s="365" t="str">
        <x:v>Unlocked</x:v>
      </x:c>
      <x:c r="J308" s="365" t="str">
        <x:v>01:15</x:v>
      </x:c>
      <x:c r="K308" s="365" t="str">
        <x:v>Header exactly: Eternal knights(Heavy Cavalry)</x:v>
      </x:c>
      <x:c r="L308" s="365" t="str">
        <x:v>1000025098.mp4</x:v>
      </x:c>
      <x:c r="M308" s="387" t="n">
        <x:f>IF(P308="OK",INDEX('Badge Lookup'!$B$6:$B$55,MATCH(F308,'Badge Lookup'!$A$6:$A$55,0)),0)</x:f>
        <x:v>90000</x:v>
      </x:c>
      <x:c r="N308" s="387" t="n">
        <x:f>IF(P308="OK",INDEX('Badge Lookup'!$C$6:$C$55,MATCH(F308,'Badge Lookup'!$A$6:$A$55,0)),0)</x:f>
        <x:v>864300</x:v>
      </x:c>
      <x:c r="O308" s="388" t="n">
        <x:f>IF(P308="OK",INDEX('Badge Lookup'!$D$6:$D$55,MATCH(F308,'Badge Lookup'!$A$6:$A$55,0)),0)</x:f>
        <x:v>12.09</x:v>
      </x:c>
      <x:c r="P308" s="362" t="str">
        <x:f>IF(OR(G308="",F308=""),"Not scored",IF(AND(F308=INT(F308),F308&gt;=1,F308&lt;=50,COUNTIF('Badge Lookup'!$A$6:$A$55,F308)=1),"OK","Check lookup"))</x:f>
        <x:v>OK</x:v>
      </x:c>
      <x:c r="Q308" s="456" t="n">
        <x:f>IF(P308&lt;&gt;"OK","",IF(C308="Guards",-O308,O308))</x:f>
        <x:v>12.09</x:v>
      </x:c>
      <x:c r="R308" s="362" t="str">
        <x:f>IF(P308&lt;&gt;"OK","Not scored",IF(C308="Guards","Damage received reduction","Damage increase"))</x:f>
        <x:v>Damage increase</x:v>
      </x:c>
    </x:row>
    <x:row r="309" ht="32" customHeight="1">
      <x:c r="A309" s="365" t="str">
        <x:v>K170</x:v>
      </x:c>
      <x:c r="B309" s="365" t="str">
        <x:v>(AOT)Aauudd</x:v>
      </x:c>
      <x:c r="C309" s="365" t="str">
        <x:v>Archers</x:v>
      </x:c>
      <x:c r="D309" s="365" t="str">
        <x:v>Elite bowmen</x:v>
      </x:c>
      <x:c r="E309" s="365" t="str">
        <x:v>Archer</x:v>
      </x:c>
      <x:c r="F309" s="365" t="n">
        <x:v>21</x:v>
      </x:c>
      <x:c r="G309" s="365" t="str">
        <x:v>Frost Arrow</x:v>
      </x:c>
      <x:c r="H309" s="365" t="str">
        <x:v>Has a higher probability of activating ice damage</x:v>
      </x:c>
      <x:c r="I309" s="365" t="str">
        <x:v>Unlocked</x:v>
      </x:c>
      <x:c r="J309" s="365" t="str">
        <x:v>01:16</x:v>
      </x:c>
      <x:c r="K309" s="365" t="str">
        <x:v>Header exactly: Elite bowmen(Archer)</x:v>
      </x:c>
      <x:c r="L309" s="365" t="str">
        <x:v>1000025098.mp4</x:v>
      </x:c>
      <x:c r="M309" s="387" t="n">
        <x:f>IF(P309="OK",INDEX('Badge Lookup'!$B$6:$B$55,MATCH(F309,'Badge Lookup'!$A$6:$A$55,0)),0)</x:f>
        <x:v>42500</x:v>
      </x:c>
      <x:c r="N309" s="387" t="n">
        <x:f>IF(P309="OK",INDEX('Badge Lookup'!$C$6:$C$55,MATCH(F309,'Badge Lookup'!$A$6:$A$55,0)),0)</x:f>
        <x:v>226800</x:v>
      </x:c>
      <x:c r="O309" s="388" t="n">
        <x:f>IF(P309="OK",INDEX('Badge Lookup'!$D$6:$D$55,MATCH(F309,'Badge Lookup'!$A$6:$A$55,0)),0)</x:f>
        <x:v>3.58</x:v>
      </x:c>
      <x:c r="P309" s="362" t="str">
        <x:f>IF(OR(G309="",F309=""),"Not scored",IF(AND(F309=INT(F309),F309&gt;=1,F309&lt;=50,COUNTIF('Badge Lookup'!$A$6:$A$55,F309)=1),"OK","Check lookup"))</x:f>
        <x:v>OK</x:v>
      </x:c>
      <x:c r="Q309" s="456" t="n">
        <x:f>IF(P309&lt;&gt;"OK","",IF(C309="Guards",-O309,O309))</x:f>
        <x:v>3.58</x:v>
      </x:c>
      <x:c r="R309" s="362" t="str">
        <x:f>IF(P309&lt;&gt;"OK","Not scored",IF(C309="Guards","Damage received reduction","Damage increase"))</x:f>
        <x:v>Damage increase</x:v>
      </x:c>
    </x:row>
    <x:row r="310" ht="32" customHeight="1">
      <x:c r="A310" s="365" t="str">
        <x:v>K170</x:v>
      </x:c>
      <x:c r="B310" s="365" t="str">
        <x:v>(AOT)Aauudd</x:v>
      </x:c>
      <x:c r="C310" s="365" t="str">
        <x:v>Siege</x:v>
      </x:c>
      <x:c r="D310" s="365" t="str">
        <x:v>Manglers</x:v>
      </x:c>
      <x:c r="E310" s="365" t="str">
        <x:v>Siege</x:v>
      </x:c>
      <x:c r="F310" s="365" t="n">
        <x:v>42</x:v>
      </x:c>
      <x:c r="G310" s="365" t="str">
        <x:v>Highly toxic</x:v>
      </x:c>
      <x:c r="H310" s="365" t="str">
        <x:v>Inflict continuous toxic damage</x:v>
      </x:c>
      <x:c r="I310" s="365" t="str">
        <x:v>Unlocked</x:v>
      </x:c>
      <x:c r="J310" s="365" t="str">
        <x:v>01:17</x:v>
      </x:c>
      <x:c r="K310" s="365" t="str">
        <x:v>Header exactly: Manglers(Siege)</x:v>
      </x:c>
      <x:c r="L310" s="365" t="str">
        <x:v>1000025098.mp4</x:v>
      </x:c>
      <x:c r="M310" s="387" t="n">
        <x:f>IF(P310="OK",INDEX('Badge Lookup'!$B$6:$B$55,MATCH(F310,'Badge Lookup'!$A$6:$A$55,0)),0)</x:f>
        <x:v>320000</x:v>
      </x:c>
      <x:c r="N310" s="387" t="n">
        <x:f>IF(P310="OK",INDEX('Badge Lookup'!$C$6:$C$55,MATCH(F310,'Badge Lookup'!$A$6:$A$55,0)),0)</x:f>
        <x:v>2844300</x:v>
      </x:c>
      <x:c r="O310" s="388" t="n">
        <x:f>IF(P310="OK",INDEX('Badge Lookup'!$D$6:$D$55,MATCH(F310,'Badge Lookup'!$A$6:$A$55,0)),0)</x:f>
        <x:v>33.13</x:v>
      </x:c>
      <x:c r="P310" s="362" t="str">
        <x:f>IF(OR(G310="",F310=""),"Not scored",IF(AND(F310=INT(F310),F310&gt;=1,F310&lt;=50,COUNTIF('Badge Lookup'!$A$6:$A$55,F310)=1),"OK","Check lookup"))</x:f>
        <x:v>OK</x:v>
      </x:c>
      <x:c r="Q310" s="456" t="n">
        <x:f>IF(P310&lt;&gt;"OK","",IF(C310="Guards",-O310,O310))</x:f>
        <x:v>33.13</x:v>
      </x:c>
      <x:c r="R310" s="362" t="str">
        <x:f>IF(P310&lt;&gt;"OK","Not scored",IF(C310="Guards","Damage received reduction","Damage increase"))</x:f>
        <x:v>Damage increase</x:v>
      </x:c>
    </x:row>
    <x:row r="311" ht="32" customHeight="1">
      <x:c r="A311" s="365" t="str">
        <x:v>K170</x:v>
      </x:c>
      <x:c r="B311" s="365" t="str">
        <x:v>(AOT)Aauudd</x:v>
      </x:c>
      <x:c r="C311" s="365" t="str">
        <x:v>Cavalry</x:v>
      </x:c>
      <x:c r="D311" s="365" t="str">
        <x:v>Storm cavalry</x:v>
      </x:c>
      <x:c r="E311" s="365" t="str">
        <x:v>Horse archer</x:v>
      </x:c>
      <x:c r="F311" s="365" t="n">
        <x:v>46</x:v>
      </x:c>
      <x:c r="G311" s="365" t="str">
        <x:v>Mounted Archery</x:v>
      </x:c>
      <x:c r="H311" s="365" t="str">
        <x:v>Has a certain probability of causing fly-shooting damage</x:v>
      </x:c>
      <x:c r="I311" s="365" t="str">
        <x:v>Unlocked</x:v>
      </x:c>
      <x:c r="J311" s="365" t="str">
        <x:v>01:17.50</x:v>
      </x:c>
      <x:c r="K311" s="365" t="str">
        <x:v>Header exactly: Storm cavalry(Horse archer)</x:v>
      </x:c>
      <x:c r="L311" s="365" t="str">
        <x:v>1000025098.mp4</x:v>
      </x:c>
      <x:c r="M311" s="387" t="n">
        <x:f>IF(P311="OK",INDEX('Badge Lookup'!$B$6:$B$55,MATCH(F311,'Badge Lookup'!$A$6:$A$55,0)),0)</x:f>
        <x:v>720000</x:v>
      </x:c>
      <x:c r="N311" s="387" t="n">
        <x:f>IF(P311="OK",INDEX('Badge Lookup'!$C$6:$C$55,MATCH(F311,'Badge Lookup'!$A$6:$A$55,0)),0)</x:f>
        <x:v>5004300</x:v>
      </x:c>
      <x:c r="O311" s="388" t="n">
        <x:f>IF(P311="OK",INDEX('Badge Lookup'!$D$6:$D$55,MATCH(F311,'Badge Lookup'!$A$6:$A$55,0)),0)</x:f>
        <x:v>45.13</x:v>
      </x:c>
      <x:c r="P311" s="362" t="str">
        <x:f>IF(OR(G311="",F311=""),"Not scored",IF(AND(F311=INT(F311),F311&gt;=1,F311&lt;=50,COUNTIF('Badge Lookup'!$A$6:$A$55,F311)=1),"OK","Check lookup"))</x:f>
        <x:v>OK</x:v>
      </x:c>
      <x:c r="Q311" s="456" t="n">
        <x:f>IF(P311&lt;&gt;"OK","",IF(C311="Guards",-O311,O311))</x:f>
        <x:v>45.13</x:v>
      </x:c>
      <x:c r="R311" s="362" t="str">
        <x:f>IF(P311&lt;&gt;"OK","Not scored",IF(C311="Guards","Damage received reduction","Damage increase"))</x:f>
        <x:v>Damage increase</x:v>
      </x:c>
    </x:row>
    <x:row r="312" ht="32" customHeight="1">
      <x:c r="A312" s="365" t="str">
        <x:v>K170</x:v>
      </x:c>
      <x:c r="B312" s="365" t="str">
        <x:v>(AOT)Brauni°</x:v>
      </x:c>
      <x:c r="C312" s="365" t="str">
        <x:v>Guards</x:v>
      </x:c>
      <x:c r="D312" s="365" t="str">
        <x:v>Destroyers</x:v>
      </x:c>
      <x:c r="E312" s="365" t="str">
        <x:v>Guard</x:v>
      </x:c>
      <x:c r="F312" s="365" t="n">
        <x:v>40</x:v>
      </x:c>
      <x:c r="G312" s="365" t="str">
        <x:v>Parry</x:v>
      </x:c>
      <x:c r="H312" s="365" t="str">
        <x:v>Provides a parry effect and a certain probability to increase damage</x:v>
      </x:c>
      <x:c r="I312" s="365" t="str">
        <x:v>Unlocked</x:v>
      </x:c>
      <x:c r="J312" s="365" t="str">
        <x:v>01:26.25</x:v>
      </x:c>
      <x:c r="K312" s="365" t="str">
        <x:v>Header exactly: Destroyers(Guard)</x:v>
      </x:c>
      <x:c r="L312" s="365" t="str">
        <x:v>1000025098.mp4</x:v>
      </x:c>
      <x:c r="M312" s="387" t="n">
        <x:f>IF(P312="OK",INDEX('Badge Lookup'!$B$6:$B$55,MATCH(F312,'Badge Lookup'!$A$6:$A$55,0)),0)</x:f>
        <x:v>240000</x:v>
      </x:c>
      <x:c r="N312" s="387" t="n">
        <x:f>IF(P312="OK",INDEX('Badge Lookup'!$C$6:$C$55,MATCH(F312,'Badge Lookup'!$A$6:$A$55,0)),0)</x:f>
        <x:v>2244300</x:v>
      </x:c>
      <x:c r="O312" s="388" t="n">
        <x:f>IF(P312="OK",INDEX('Badge Lookup'!$D$6:$D$55,MATCH(F312,'Badge Lookup'!$A$6:$A$55,0)),0)</x:f>
        <x:v>27.74</x:v>
      </x:c>
      <x:c r="P312" s="362" t="str">
        <x:f>IF(OR(G312="",F312=""),"Not scored",IF(AND(F312=INT(F312),F312&gt;=1,F312&lt;=50,COUNTIF('Badge Lookup'!$A$6:$A$55,F312)=1),"OK","Check lookup"))</x:f>
        <x:v>OK</x:v>
      </x:c>
      <x:c r="Q312" s="456" t="n">
        <x:f>IF(P312&lt;&gt;"OK","",IF(C312="Guards",-O312,O312))</x:f>
        <x:v>-27.74</x:v>
      </x:c>
      <x:c r="R312" s="362" t="str">
        <x:f>IF(P312&lt;&gt;"OK","Not scored",IF(C312="Guards","Damage received reduction","Damage increase"))</x:f>
        <x:v>Damage received reduction</x:v>
      </x:c>
    </x:row>
    <x:row r="313" ht="32" customHeight="1">
      <x:c r="A313" s="365" t="str">
        <x:v>K170</x:v>
      </x:c>
      <x:c r="B313" s="365" t="str">
        <x:v>(AOT)Brauni°</x:v>
      </x:c>
      <x:c r="C313" s="365" t="str">
        <x:v>Archers</x:v>
      </x:c>
      <x:c r="D313" s="365" t="str">
        <x:v>Elite bowmen</x:v>
      </x:c>
      <x:c r="E313" s="365" t="str">
        <x:v>Archer</x:v>
      </x:c>
      <x:c r="F313" s="365" t="n">
        <x:v>44</x:v>
      </x:c>
      <x:c r="G313" s="365" t="str">
        <x:v>Frost Arrow</x:v>
      </x:c>
      <x:c r="H313" s="365" t="str">
        <x:v>Has a higher probability of activating ice damage</x:v>
      </x:c>
      <x:c r="I313" s="365" t="str">
        <x:v>Unlocked</x:v>
      </x:c>
      <x:c r="J313" s="365" t="str">
        <x:v>01:27.50</x:v>
      </x:c>
      <x:c r="K313" s="365" t="str">
        <x:v>Header exactly: Elite bowmen(Archer)</x:v>
      </x:c>
      <x:c r="L313" s="365" t="str">
        <x:v>1000025098.mp4</x:v>
      </x:c>
      <x:c r="M313" s="387" t="n">
        <x:f>IF(P313="OK",INDEX('Badge Lookup'!$B$6:$B$55,MATCH(F313,'Badge Lookup'!$A$6:$A$55,0)),0)</x:f>
        <x:v>480000</x:v>
      </x:c>
      <x:c r="N313" s="387" t="n">
        <x:f>IF(P313="OK",INDEX('Badge Lookup'!$C$6:$C$55,MATCH(F313,'Badge Lookup'!$A$6:$A$55,0)),0)</x:f>
        <x:v>3724300</x:v>
      </x:c>
      <x:c r="O313" s="388" t="n">
        <x:f>IF(P313="OK",INDEX('Badge Lookup'!$D$6:$D$55,MATCH(F313,'Badge Lookup'!$A$6:$A$55,0)),0)</x:f>
        <x:v>39.93</x:v>
      </x:c>
      <x:c r="P313" s="362" t="str">
        <x:f>IF(OR(G313="",F313=""),"Not scored",IF(AND(F313=INT(F313),F313&gt;=1,F313&lt;=50,COUNTIF('Badge Lookup'!$A$6:$A$55,F313)=1),"OK","Check lookup"))</x:f>
        <x:v>OK</x:v>
      </x:c>
      <x:c r="Q313" s="456" t="n">
        <x:f>IF(P313&lt;&gt;"OK","",IF(C313="Guards",-O313,O313))</x:f>
        <x:v>39.93</x:v>
      </x:c>
      <x:c r="R313" s="362" t="str">
        <x:f>IF(P313&lt;&gt;"OK","Not scored",IF(C313="Guards","Damage received reduction","Damage increase"))</x:f>
        <x:v>Damage increase</x:v>
      </x:c>
    </x:row>
    <x:row r="314" ht="32" customHeight="1">
      <x:c r="A314" s="365" t="str">
        <x:v>K170</x:v>
      </x:c>
      <x:c r="B314" s="365" t="str">
        <x:v>(AOT)Brauni°</x:v>
      </x:c>
      <x:c r="C314" s="365" t="str">
        <x:v>Cavalry</x:v>
      </x:c>
      <x:c r="D314" s="365" t="str">
        <x:v>Storm cavalry</x:v>
      </x:c>
      <x:c r="E314" s="365" t="str">
        <x:v>Horse archer</x:v>
      </x:c>
      <x:c r="F314" s="365" t="n">
        <x:v>45</x:v>
      </x:c>
      <x:c r="G314" s="365" t="str">
        <x:v>Mounted Archery</x:v>
      </x:c>
      <x:c r="H314" s="365" t="str">
        <x:v>Has a certain probability of causing fly-shooting damage</x:v>
      </x:c>
      <x:c r="I314" s="365" t="str">
        <x:v>Unlocked</x:v>
      </x:c>
      <x:c r="J314" s="365" t="str">
        <x:v>01:28.50</x:v>
      </x:c>
      <x:c r="K314" s="365" t="str">
        <x:v>Header exactly: Storm cavalry(Horse archer)</x:v>
      </x:c>
      <x:c r="L314" s="365" t="str">
        <x:v>1000025098.mp4</x:v>
      </x:c>
      <x:c r="M314" s="387" t="n">
        <x:f>IF(P314="OK",INDEX('Badge Lookup'!$B$6:$B$55,MATCH(F314,'Badge Lookup'!$A$6:$A$55,0)),0)</x:f>
        <x:v>560000</x:v>
      </x:c>
      <x:c r="N314" s="387" t="n">
        <x:f>IF(P314="OK",INDEX('Badge Lookup'!$C$6:$C$55,MATCH(F314,'Badge Lookup'!$A$6:$A$55,0)),0)</x:f>
        <x:v>4284300</x:v>
      </x:c>
      <x:c r="O314" s="388" t="n">
        <x:f>IF(P314="OK",INDEX('Badge Lookup'!$D$6:$D$55,MATCH(F314,'Badge Lookup'!$A$6:$A$55,0)),0)</x:f>
        <x:v>41.98</x:v>
      </x:c>
      <x:c r="P314" s="362" t="str">
        <x:f>IF(OR(G314="",F314=""),"Not scored",IF(AND(F314=INT(F314),F314&gt;=1,F314&lt;=50,COUNTIF('Badge Lookup'!$A$6:$A$55,F314)=1),"OK","Check lookup"))</x:f>
        <x:v>OK</x:v>
      </x:c>
      <x:c r="Q314" s="456" t="n">
        <x:f>IF(P314&lt;&gt;"OK","",IF(C314="Guards",-O314,O314))</x:f>
        <x:v>41.98</x:v>
      </x:c>
      <x:c r="R314" s="362" t="str">
        <x:f>IF(P314&lt;&gt;"OK","Not scored",IF(C314="Guards","Damage received reduction","Damage increase"))</x:f>
        <x:v>Damage increase</x:v>
      </x:c>
    </x:row>
    <x:row r="315" ht="32" customHeight="1">
      <x:c r="A315" s="365" t="str">
        <x:v>K170</x:v>
      </x:c>
      <x:c r="B315" s="365" t="str">
        <x:v>(AOT)鸣鸣鸣</x:v>
      </x:c>
      <x:c r="C315" s="365" t="str">
        <x:v>Cavalry</x:v>
      </x:c>
      <x:c r="D315" s="365" t="str">
        <x:v>Eternal knights</x:v>
      </x:c>
      <x:c r="E315" s="365" t="str">
        <x:v>Heavy Cavalry</x:v>
      </x:c>
      <x:c r="F315" s="365" t="n">
        <x:v>46</x:v>
      </x:c>
      <x:c r="G315" s="365" t="str">
        <x:v>Thunder trample</x:v>
      </x:c>
      <x:c r="H315" s="365" t="str">
        <x:v>Has a certain probability of causing trampling damage</x:v>
      </x:c>
      <x:c r="I315" s="365" t="str">
        <x:v>Unlocked</x:v>
      </x:c>
      <x:c r="J315" s="365" t="str">
        <x:v>01:49</x:v>
      </x:c>
      <x:c r="K315" s="365" t="str">
        <x:v>Header exactly: Eternal knights(Heavy Cavalry)</x:v>
      </x:c>
      <x:c r="L315" s="365" t="str">
        <x:v>1000025098.mp4</x:v>
      </x:c>
      <x:c r="M315" s="387" t="n">
        <x:f>IF(P315="OK",INDEX('Badge Lookup'!$B$6:$B$55,MATCH(F315,'Badge Lookup'!$A$6:$A$55,0)),0)</x:f>
        <x:v>720000</x:v>
      </x:c>
      <x:c r="N315" s="387" t="n">
        <x:f>IF(P315="OK",INDEX('Badge Lookup'!$C$6:$C$55,MATCH(F315,'Badge Lookup'!$A$6:$A$55,0)),0)</x:f>
        <x:v>5004300</x:v>
      </x:c>
      <x:c r="O315" s="388" t="n">
        <x:f>IF(P315="OK",INDEX('Badge Lookup'!$D$6:$D$55,MATCH(F315,'Badge Lookup'!$A$6:$A$55,0)),0)</x:f>
        <x:v>45.13</x:v>
      </x:c>
      <x:c r="P315" s="362" t="str">
        <x:f>IF(OR(G315="",F315=""),"Not scored",IF(AND(F315=INT(F315),F315&gt;=1,F315&lt;=50,COUNTIF('Badge Lookup'!$A$6:$A$55,F315)=1),"OK","Check lookup"))</x:f>
        <x:v>OK</x:v>
      </x:c>
      <x:c r="Q315" s="456" t="n">
        <x:f>IF(P315&lt;&gt;"OK","",IF(C315="Guards",-O315,O315))</x:f>
        <x:v>45.13</x:v>
      </x:c>
      <x:c r="R315" s="362" t="str">
        <x:f>IF(P315&lt;&gt;"OK","Not scored",IF(C315="Guards","Damage received reduction","Damage increase"))</x:f>
        <x:v>Damage increase</x:v>
      </x:c>
    </x:row>
    <x:row r="316" ht="32" customHeight="1">
      <x:c r="A316" s="365" t="str">
        <x:v>K170</x:v>
      </x:c>
      <x:c r="B316" s="365" t="str">
        <x:v>(AOT)鸣鸣鸣</x:v>
      </x:c>
      <x:c r="C316" s="365" t="str">
        <x:v>Archers</x:v>
      </x:c>
      <x:c r="D316" s="365" t="str">
        <x:v>Elite bowmen</x:v>
      </x:c>
      <x:c r="E316" s="365" t="str">
        <x:v>Archer</x:v>
      </x:c>
      <x:c r="F316" s="365" t="n">
        <x:v>45</x:v>
      </x:c>
      <x:c r="G316" s="365" t="str">
        <x:v>Frost Arrow</x:v>
      </x:c>
      <x:c r="H316" s="365" t="str">
        <x:v>Has a higher probability of activating ice damage</x:v>
      </x:c>
      <x:c r="I316" s="365" t="str">
        <x:v>Unlocked</x:v>
      </x:c>
      <x:c r="J316" s="365" t="str">
        <x:v>01:50</x:v>
      </x:c>
      <x:c r="K316" s="365" t="str">
        <x:v>Header exactly: Elite bowmen(Archer)</x:v>
      </x:c>
      <x:c r="L316" s="365" t="str">
        <x:v>1000025098.mp4</x:v>
      </x:c>
      <x:c r="M316" s="387" t="n">
        <x:f>IF(P316="OK",INDEX('Badge Lookup'!$B$6:$B$55,MATCH(F316,'Badge Lookup'!$A$6:$A$55,0)),0)</x:f>
        <x:v>560000</x:v>
      </x:c>
      <x:c r="N316" s="387" t="n">
        <x:f>IF(P316="OK",INDEX('Badge Lookup'!$C$6:$C$55,MATCH(F316,'Badge Lookup'!$A$6:$A$55,0)),0)</x:f>
        <x:v>4284300</x:v>
      </x:c>
      <x:c r="O316" s="388" t="n">
        <x:f>IF(P316="OK",INDEX('Badge Lookup'!$D$6:$D$55,MATCH(F316,'Badge Lookup'!$A$6:$A$55,0)),0)</x:f>
        <x:v>41.98</x:v>
      </x:c>
      <x:c r="P316" s="362" t="str">
        <x:f>IF(OR(G316="",F316=""),"Not scored",IF(AND(F316=INT(F316),F316&gt;=1,F316&lt;=50,COUNTIF('Badge Lookup'!$A$6:$A$55,F316)=1),"OK","Check lookup"))</x:f>
        <x:v>OK</x:v>
      </x:c>
      <x:c r="Q316" s="456" t="n">
        <x:f>IF(P316&lt;&gt;"OK","",IF(C316="Guards",-O316,O316))</x:f>
        <x:v>41.98</x:v>
      </x:c>
      <x:c r="R316" s="362" t="str">
        <x:f>IF(P316&lt;&gt;"OK","Not scored",IF(C316="Guards","Damage received reduction","Damage increase"))</x:f>
        <x:v>Damage increase</x:v>
      </x:c>
    </x:row>
    <x:row r="317" ht="32" customHeight="1">
      <x:c r="A317" s="365" t="str">
        <x:v>K170</x:v>
      </x:c>
      <x:c r="B317" s="365" t="str">
        <x:v>(AOT)鸣鸣鸣</x:v>
      </x:c>
      <x:c r="C317" s="365" t="str">
        <x:v>Cavalry</x:v>
      </x:c>
      <x:c r="D317" s="365" t="str">
        <x:v>Storm cavalry</x:v>
      </x:c>
      <x:c r="E317" s="365" t="str">
        <x:v>Horse archer</x:v>
      </x:c>
      <x:c r="F317" s="365" t="n">
        <x:v>47</x:v>
      </x:c>
      <x:c r="G317" s="365" t="str">
        <x:v>Mounted Archery</x:v>
      </x:c>
      <x:c r="H317" s="365" t="str">
        <x:v>Has a certain probability of causing fly-shooting damage</x:v>
      </x:c>
      <x:c r="I317" s="365" t="str">
        <x:v>Unlocked</x:v>
      </x:c>
      <x:c r="J317" s="365" t="str">
        <x:v>01:51</x:v>
      </x:c>
      <x:c r="K317" s="365" t="str">
        <x:v>Header exactly: Storm cavalry(Horse archer)</x:v>
      </x:c>
      <x:c r="L317" s="365" t="str">
        <x:v>1000025098.mp4</x:v>
      </x:c>
      <x:c r="M317" s="387" t="n">
        <x:f>IF(P317="OK",INDEX('Badge Lookup'!$B$6:$B$55,MATCH(F317,'Badge Lookup'!$A$6:$A$55,0)),0)</x:f>
        <x:v>880000</x:v>
      </x:c>
      <x:c r="N317" s="387" t="n">
        <x:f>IF(P317="OK",INDEX('Badge Lookup'!$C$6:$C$55,MATCH(F317,'Badge Lookup'!$A$6:$A$55,0)),0)</x:f>
        <x:v>5884300</x:v>
      </x:c>
      <x:c r="O317" s="388" t="n">
        <x:f>IF(P317="OK",INDEX('Badge Lookup'!$D$6:$D$55,MATCH(F317,'Badge Lookup'!$A$6:$A$55,0)),0)</x:f>
        <x:v>48.38</x:v>
      </x:c>
      <x:c r="P317" s="362" t="str">
        <x:f>IF(OR(G317="",F317=""),"Not scored",IF(AND(F317=INT(F317),F317&gt;=1,F317&lt;=50,COUNTIF('Badge Lookup'!$A$6:$A$55,F317)=1),"OK","Check lookup"))</x:f>
        <x:v>OK</x:v>
      </x:c>
      <x:c r="Q317" s="456" t="n">
        <x:f>IF(P317&lt;&gt;"OK","",IF(C317="Guards",-O317,O317))</x:f>
        <x:v>48.38</x:v>
      </x:c>
      <x:c r="R317" s="362" t="str">
        <x:f>IF(P317&lt;&gt;"OK","Not scored",IF(C317="Guards","Damage received reduction","Damage increase"))</x:f>
        <x:v>Damage increase</x:v>
      </x:c>
    </x:row>
    <x:row r="318" ht="32" customHeight="1">
      <x:c r="A318" s="365" t="str">
        <x:v>K170</x:v>
      </x:c>
      <x:c r="B318" s="365" t="str">
        <x:v>(AOT)Panda</x:v>
      </x:c>
      <x:c r="C318" s="365" t="str">
        <x:v>Guards</x:v>
      </x:c>
      <x:c r="D318" s="365" t="str">
        <x:v>Destroyers</x:v>
      </x:c>
      <x:c r="E318" s="365" t="str">
        <x:v>Guard</x:v>
      </x:c>
      <x:c r="F318" s="365" t="n">
        <x:v>50</x:v>
      </x:c>
      <x:c r="G318" s="365" t="str">
        <x:v>Parry</x:v>
      </x:c>
      <x:c r="H318" s="365" t="str">
        <x:v>Provides a parry effect and a certain probability to increase damage</x:v>
      </x:c>
      <x:c r="I318" s="365" t="str">
        <x:v>Unlocked</x:v>
      </x:c>
      <x:c r="J318" s="365" t="str">
        <x:v>02:24.75</x:v>
      </x:c>
      <x:c r="K318" s="365" t="str">
        <x:v>Header exactly: Destroyers(Guard)</x:v>
      </x:c>
      <x:c r="L318" s="365" t="str">
        <x:v>1000025098.mp4</x:v>
      </x:c>
      <x:c r="M318" s="387" t="n">
        <x:f>IF(P318="OK",INDEX('Badge Lookup'!$B$6:$B$55,MATCH(F318,'Badge Lookup'!$A$6:$A$55,0)),0)</x:f>
        <x:v>2000000</x:v>
      </x:c>
      <x:c r="N318" s="387" t="n">
        <x:f>IF(P318="OK",INDEX('Badge Lookup'!$C$6:$C$55,MATCH(F318,'Badge Lookup'!$A$6:$A$55,0)),0)</x:f>
        <x:v>10334300</x:v>
      </x:c>
      <x:c r="O318" s="388" t="n">
        <x:f>IF(P318="OK",INDEX('Badge Lookup'!$D$6:$D$55,MATCH(F318,'Badge Lookup'!$A$6:$A$55,0)),0)</x:f>
        <x:v>60</x:v>
      </x:c>
      <x:c r="P318" s="362" t="str">
        <x:f>IF(OR(G318="",F318=""),"Not scored",IF(AND(F318=INT(F318),F318&gt;=1,F318&lt;=50,COUNTIF('Badge Lookup'!$A$6:$A$55,F318)=1),"OK","Check lookup"))</x:f>
        <x:v>OK</x:v>
      </x:c>
      <x:c r="Q318" s="456" t="n">
        <x:f>IF(P318&lt;&gt;"OK","",IF(C318="Guards",-O318,O318))</x:f>
        <x:v>-60</x:v>
      </x:c>
      <x:c r="R318" s="362" t="str">
        <x:f>IF(P318&lt;&gt;"OK","Not scored",IF(C318="Guards","Damage received reduction","Damage increase"))</x:f>
        <x:v>Damage received reduction</x:v>
      </x:c>
    </x:row>
    <x:row r="319" ht="32" customHeight="1">
      <x:c r="A319" s="365" t="str">
        <x:v>K170</x:v>
      </x:c>
      <x:c r="B319" s="365" t="str">
        <x:v>(AOT)Panda</x:v>
      </x:c>
      <x:c r="C319" s="365" t="str">
        <x:v>Cavalry</x:v>
      </x:c>
      <x:c r="D319" s="365" t="str">
        <x:v>Eternal knights</x:v>
      </x:c>
      <x:c r="E319" s="365" t="str">
        <x:v>Heavy Cavalry</x:v>
      </x:c>
      <x:c r="F319" s="365" t="n">
        <x:v>45</x:v>
      </x:c>
      <x:c r="G319" s="365" t="str">
        <x:v>Thunder trample</x:v>
      </x:c>
      <x:c r="H319" s="365" t="str">
        <x:v>Has a certain probability of causing trampling damage</x:v>
      </x:c>
      <x:c r="I319" s="365" t="str">
        <x:v>Unlocked</x:v>
      </x:c>
      <x:c r="J319" s="365" t="str">
        <x:v>02:26.00</x:v>
      </x:c>
      <x:c r="K319" s="365" t="str">
        <x:v>Header exactly: Eternal knights(Heavy Cavalry)</x:v>
      </x:c>
      <x:c r="L319" s="365" t="str">
        <x:v>1000025098.mp4</x:v>
      </x:c>
      <x:c r="M319" s="387" t="n">
        <x:f>IF(P319="OK",INDEX('Badge Lookup'!$B$6:$B$55,MATCH(F319,'Badge Lookup'!$A$6:$A$55,0)),0)</x:f>
        <x:v>560000</x:v>
      </x:c>
      <x:c r="N319" s="387" t="n">
        <x:f>IF(P319="OK",INDEX('Badge Lookup'!$C$6:$C$55,MATCH(F319,'Badge Lookup'!$A$6:$A$55,0)),0)</x:f>
        <x:v>4284300</x:v>
      </x:c>
      <x:c r="O319" s="388" t="n">
        <x:f>IF(P319="OK",INDEX('Badge Lookup'!$D$6:$D$55,MATCH(F319,'Badge Lookup'!$A$6:$A$55,0)),0)</x:f>
        <x:v>41.98</x:v>
      </x:c>
      <x:c r="P319" s="362" t="str">
        <x:f>IF(OR(G319="",F319=""),"Not scored",IF(AND(F319=INT(F319),F319&gt;=1,F319&lt;=50,COUNTIF('Badge Lookup'!$A$6:$A$55,F319)=1),"OK","Check lookup"))</x:f>
        <x:v>OK</x:v>
      </x:c>
      <x:c r="Q319" s="456" t="n">
        <x:f>IF(P319&lt;&gt;"OK","",IF(C319="Guards",-O319,O319))</x:f>
        <x:v>41.98</x:v>
      </x:c>
      <x:c r="R319" s="362" t="str">
        <x:f>IF(P319&lt;&gt;"OK","Not scored",IF(C319="Guards","Damage received reduction","Damage increase"))</x:f>
        <x:v>Damage increase</x:v>
      </x:c>
    </x:row>
    <x:row r="320" ht="32" customHeight="1">
      <x:c r="A320" s="365" t="str">
        <x:v>K170</x:v>
      </x:c>
      <x:c r="B320" s="365" t="str">
        <x:v>(AOT)Panda</x:v>
      </x:c>
      <x:c r="C320" s="365" t="str">
        <x:v>Siege</x:v>
      </x:c>
      <x:c r="D320" s="365" t="str">
        <x:v>Manglers</x:v>
      </x:c>
      <x:c r="E320" s="365" t="str">
        <x:v>Siege</x:v>
      </x:c>
      <x:c r="F320" s="365" t="n">
        <x:v>39</x:v>
      </x:c>
      <x:c r="G320" s="365" t="str">
        <x:v>Highly toxic</x:v>
      </x:c>
      <x:c r="H320" s="365" t="str">
        <x:v>Inflict continuous toxic damage</x:v>
      </x:c>
      <x:c r="I320" s="365" t="str">
        <x:v>Unlocked</x:v>
      </x:c>
      <x:c r="J320" s="365" t="str">
        <x:v>02:27.25</x:v>
      </x:c>
      <x:c r="K320" s="365" t="str">
        <x:v>Header exactly: Manglers(Siege)</x:v>
      </x:c>
      <x:c r="L320" s="365" t="str">
        <x:v>1000025098.mp4</x:v>
      </x:c>
      <x:c r="M320" s="387" t="n">
        <x:f>IF(P320="OK",INDEX('Badge Lookup'!$B$6:$B$55,MATCH(F320,'Badge Lookup'!$A$6:$A$55,0)),0)</x:f>
        <x:v>200000</x:v>
      </x:c>
      <x:c r="N320" s="387" t="n">
        <x:f>IF(P320="OK",INDEX('Badge Lookup'!$C$6:$C$55,MATCH(F320,'Badge Lookup'!$A$6:$A$55,0)),0)</x:f>
        <x:v>2004300</x:v>
      </x:c>
      <x:c r="O320" s="388" t="n">
        <x:f>IF(P320="OK",INDEX('Badge Lookup'!$D$6:$D$55,MATCH(F320,'Badge Lookup'!$A$6:$A$55,0)),0)</x:f>
        <x:v>24</x:v>
      </x:c>
      <x:c r="P320" s="362" t="str">
        <x:f>IF(OR(G320="",F320=""),"Not scored",IF(AND(F320=INT(F320),F320&gt;=1,F320&lt;=50,COUNTIF('Badge Lookup'!$A$6:$A$55,F320)=1),"OK","Check lookup"))</x:f>
        <x:v>OK</x:v>
      </x:c>
      <x:c r="Q320" s="456" t="n">
        <x:f>IF(P320&lt;&gt;"OK","",IF(C320="Guards",-O320,O320))</x:f>
        <x:v>24</x:v>
      </x:c>
      <x:c r="R320" s="362" t="str">
        <x:f>IF(P320&lt;&gt;"OK","Not scored",IF(C320="Guards","Damage received reduction","Damage increase"))</x:f>
        <x:v>Damage increase</x:v>
      </x:c>
    </x:row>
    <x:row r="321" ht="32" customHeight="1">
      <x:c r="A321" s="365" t="str">
        <x:v>K170</x:v>
      </x:c>
      <x:c r="B321" s="365" t="str">
        <x:v>(AOT)Panda</x:v>
      </x:c>
      <x:c r="C321" s="365" t="str">
        <x:v>Cavalry</x:v>
      </x:c>
      <x:c r="D321" s="365" t="str">
        <x:v>Storm cavalry</x:v>
      </x:c>
      <x:c r="E321" s="365" t="str">
        <x:v>Horse archer</x:v>
      </x:c>
      <x:c r="F321" s="365" t="n">
        <x:v>50</x:v>
      </x:c>
      <x:c r="G321" s="365" t="str">
        <x:v>Mounted Archery</x:v>
      </x:c>
      <x:c r="H321" s="365" t="str">
        <x:v>Has a certain probability of causing fly-shooting damage</x:v>
      </x:c>
      <x:c r="I321" s="365" t="str">
        <x:v>Unlocked</x:v>
      </x:c>
      <x:c r="J321" s="365" t="str">
        <x:v>02:28.00</x:v>
      </x:c>
      <x:c r="K321" s="365" t="str">
        <x:v>Header exactly: Storm cavalry(Horse archer)</x:v>
      </x:c>
      <x:c r="L321" s="365" t="str">
        <x:v>1000025098.mp4</x:v>
      </x:c>
      <x:c r="M321" s="387" t="n">
        <x:f>IF(P321="OK",INDEX('Badge Lookup'!$B$6:$B$55,MATCH(F321,'Badge Lookup'!$A$6:$A$55,0)),0)</x:f>
        <x:v>2000000</x:v>
      </x:c>
      <x:c r="N321" s="387" t="n">
        <x:f>IF(P321="OK",INDEX('Badge Lookup'!$C$6:$C$55,MATCH(F321,'Badge Lookup'!$A$6:$A$55,0)),0)</x:f>
        <x:v>10334300</x:v>
      </x:c>
      <x:c r="O321" s="388" t="n">
        <x:f>IF(P321="OK",INDEX('Badge Lookup'!$D$6:$D$55,MATCH(F321,'Badge Lookup'!$A$6:$A$55,0)),0)</x:f>
        <x:v>60</x:v>
      </x:c>
      <x:c r="P321" s="362" t="str">
        <x:f>IF(OR(G321="",F321=""),"Not scored",IF(AND(F321=INT(F321),F321&gt;=1,F321&lt;=50,COUNTIF('Badge Lookup'!$A$6:$A$55,F321)=1),"OK","Check lookup"))</x:f>
        <x:v>OK</x:v>
      </x:c>
      <x:c r="Q321" s="456" t="n">
        <x:f>IF(P321&lt;&gt;"OK","",IF(C321="Guards",-O321,O321))</x:f>
        <x:v>60</x:v>
      </x:c>
      <x:c r="R321" s="362" t="str">
        <x:f>IF(P321&lt;&gt;"OK","Not scored",IF(C321="Guards","Damage received reduction","Damage increase"))</x:f>
        <x:v>Damage increase</x:v>
      </x:c>
    </x:row>
    <x:row r="322" ht="32" customHeight="1">
      <x:c r="A322" s="365" t="str">
        <x:v>K170</x:v>
      </x:c>
      <x:c r="B322" s="365" t="str">
        <x:v>(AOT)StFruz</x:v>
      </x:c>
      <x:c r="C322" s="365" t="str">
        <x:v>Archers</x:v>
      </x:c>
      <x:c r="D322" s="365" t="str">
        <x:v>Elite bowmen</x:v>
      </x:c>
      <x:c r="E322" s="365" t="str">
        <x:v>Archer</x:v>
      </x:c>
      <x:c r="F322" s="365" t="n">
        <x:v>20</x:v>
      </x:c>
      <x:c r="G322" s="365" t="str">
        <x:v>Frost Arrow</x:v>
      </x:c>
      <x:c r="H322" s="365" t="str">
        <x:v>Has a higher probability of activating ice damage</x:v>
      </x:c>
      <x:c r="I322" s="365" t="str">
        <x:v>Unlocked</x:v>
      </x:c>
      <x:c r="J322" s="365" t="str">
        <x:v>02:36.75</x:v>
      </x:c>
      <x:c r="K322" s="365" t="str">
        <x:v>Header exactly: Elite bowmen(Archer)</x:v>
      </x:c>
      <x:c r="L322" s="365" t="str">
        <x:v>1000025098.mp4</x:v>
      </x:c>
      <x:c r="M322" s="387" t="n">
        <x:f>IF(P322="OK",INDEX('Badge Lookup'!$B$6:$B$55,MATCH(F322,'Badge Lookup'!$A$6:$A$55,0)),0)</x:f>
        <x:v>40000</x:v>
      </x:c>
      <x:c r="N322" s="387" t="n">
        <x:f>IF(P322="OK",INDEX('Badge Lookup'!$C$6:$C$55,MATCH(F322,'Badge Lookup'!$A$6:$A$55,0)),0)</x:f>
        <x:v>184300</x:v>
      </x:c>
      <x:c r="O322" s="388" t="n">
        <x:f>IF(P322="OK",INDEX('Badge Lookup'!$D$6:$D$55,MATCH(F322,'Badge Lookup'!$A$6:$A$55,0)),0)</x:f>
        <x:v>3</x:v>
      </x:c>
      <x:c r="P322" s="362" t="str">
        <x:f>IF(OR(G322="",F322=""),"Not scored",IF(AND(F322=INT(F322),F322&gt;=1,F322&lt;=50,COUNTIF('Badge Lookup'!$A$6:$A$55,F322)=1),"OK","Check lookup"))</x:f>
        <x:v>OK</x:v>
      </x:c>
      <x:c r="Q322" s="456" t="n">
        <x:f>IF(P322&lt;&gt;"OK","",IF(C322="Guards",-O322,O322))</x:f>
        <x:v>3</x:v>
      </x:c>
      <x:c r="R322" s="362" t="str">
        <x:f>IF(P322&lt;&gt;"OK","Not scored",IF(C322="Guards","Damage received reduction","Damage increase"))</x:f>
        <x:v>Damage increase</x:v>
      </x:c>
    </x:row>
    <x:row r="323" ht="32" customHeight="1">
      <x:c r="A323" s="365" t="str">
        <x:v>K170</x:v>
      </x:c>
      <x:c r="B323" s="365" t="str">
        <x:v>(AOT)StFruz</x:v>
      </x:c>
      <x:c r="C323" s="365" t="str">
        <x:v>Siege</x:v>
      </x:c>
      <x:c r="D323" s="365" t="str">
        <x:v>Manglers</x:v>
      </x:c>
      <x:c r="E323" s="365" t="str">
        <x:v>Siege</x:v>
      </x:c>
      <x:c r="F323" s="365" t="n">
        <x:v>32</x:v>
      </x:c>
      <x:c r="G323" s="365" t="str">
        <x:v>Highly toxic</x:v>
      </x:c>
      <x:c r="H323" s="365" t="str">
        <x:v>Inflict continuous toxic damage</x:v>
      </x:c>
      <x:c r="I323" s="365" t="str">
        <x:v>Unlocked</x:v>
      </x:c>
      <x:c r="J323" s="365" t="str">
        <x:v>02:38.00</x:v>
      </x:c>
      <x:c r="K323" s="365" t="str">
        <x:v>Header exactly: Manglers(Siege)</x:v>
      </x:c>
      <x:c r="L323" s="365" t="str">
        <x:v>1000025098.mp4</x:v>
      </x:c>
      <x:c r="M323" s="387" t="n">
        <x:f>IF(P323="OK",INDEX('Badge Lookup'!$B$6:$B$55,MATCH(F323,'Badge Lookup'!$A$6:$A$55,0)),0)</x:f>
        <x:v>100000</x:v>
      </x:c>
      <x:c r="N323" s="387" t="n">
        <x:f>IF(P323="OK",INDEX('Badge Lookup'!$C$6:$C$55,MATCH(F323,'Badge Lookup'!$A$6:$A$55,0)),0)</x:f>
        <x:v>964300</x:v>
      </x:c>
      <x:c r="O323" s="388" t="n">
        <x:f>IF(P323="OK",INDEX('Badge Lookup'!$D$6:$D$55,MATCH(F323,'Badge Lookup'!$A$6:$A$55,0)),0)</x:f>
        <x:v>13.41</x:v>
      </x:c>
      <x:c r="P323" s="362" t="str">
        <x:f>IF(OR(G323="",F323=""),"Not scored",IF(AND(F323=INT(F323),F323&gt;=1,F323&lt;=50,COUNTIF('Badge Lookup'!$A$6:$A$55,F323)=1),"OK","Check lookup"))</x:f>
        <x:v>OK</x:v>
      </x:c>
      <x:c r="Q323" s="456" t="n">
        <x:f>IF(P323&lt;&gt;"OK","",IF(C323="Guards",-O323,O323))</x:f>
        <x:v>13.41</x:v>
      </x:c>
      <x:c r="R323" s="362" t="str">
        <x:f>IF(P323&lt;&gt;"OK","Not scored",IF(C323="Guards","Damage received reduction","Damage increase"))</x:f>
        <x:v>Damage increase</x:v>
      </x:c>
    </x:row>
    <x:row r="324" ht="32" customHeight="1">
      <x:c r="A324" s="365" t="str">
        <x:v>K170</x:v>
      </x:c>
      <x:c r="B324" s="365" t="str">
        <x:v>(AOT)StFruz</x:v>
      </x:c>
      <x:c r="C324" s="365" t="str">
        <x:v>Cavalry</x:v>
      </x:c>
      <x:c r="D324" s="365" t="str">
        <x:v>Storm cavalry</x:v>
      </x:c>
      <x:c r="E324" s="365" t="str">
        <x:v>Horse archer</x:v>
      </x:c>
      <x:c r="F324" s="365" t="n">
        <x:v>44</x:v>
      </x:c>
      <x:c r="G324" s="365" t="str">
        <x:v>Mounted Archery</x:v>
      </x:c>
      <x:c r="H324" s="365" t="str">
        <x:v>Has a certain probability of causing fly-shooting damage</x:v>
      </x:c>
      <x:c r="I324" s="365" t="str">
        <x:v>Unlocked</x:v>
      </x:c>
      <x:c r="J324" s="365" t="str">
        <x:v>02:39.00</x:v>
      </x:c>
      <x:c r="K324" s="365" t="str">
        <x:v>Header exactly: Storm cavalry(Horse archer)</x:v>
      </x:c>
      <x:c r="L324" s="365" t="str">
        <x:v>1000025098.mp4</x:v>
      </x:c>
      <x:c r="M324" s="387" t="n">
        <x:f>IF(P324="OK",INDEX('Badge Lookup'!$B$6:$B$55,MATCH(F324,'Badge Lookup'!$A$6:$A$55,0)),0)</x:f>
        <x:v>480000</x:v>
      </x:c>
      <x:c r="N324" s="387" t="n">
        <x:f>IF(P324="OK",INDEX('Badge Lookup'!$C$6:$C$55,MATCH(F324,'Badge Lookup'!$A$6:$A$55,0)),0)</x:f>
        <x:v>3724300</x:v>
      </x:c>
      <x:c r="O324" s="388" t="n">
        <x:f>IF(P324="OK",INDEX('Badge Lookup'!$D$6:$D$55,MATCH(F324,'Badge Lookup'!$A$6:$A$55,0)),0)</x:f>
        <x:v>39.93</x:v>
      </x:c>
      <x:c r="P324" s="362" t="str">
        <x:f>IF(OR(G324="",F324=""),"Not scored",IF(AND(F324=INT(F324),F324&gt;=1,F324&lt;=50,COUNTIF('Badge Lookup'!$A$6:$A$55,F324)=1),"OK","Check lookup"))</x:f>
        <x:v>OK</x:v>
      </x:c>
      <x:c r="Q324" s="456" t="n">
        <x:f>IF(P324&lt;&gt;"OK","",IF(C324="Guards",-O324,O324))</x:f>
        <x:v>39.93</x:v>
      </x:c>
      <x:c r="R324" s="362" t="str">
        <x:f>IF(P324&lt;&gt;"OK","Not scored",IF(C324="Guards","Damage received reduction","Damage increase"))</x:f>
        <x:v>Damage increase</x:v>
      </x:c>
    </x:row>
    <x:row r="325" ht="32" customHeight="1">
      <x:c r="A325" s="365" t="str">
        <x:v>K170</x:v>
      </x:c>
      <x:c r="B325" s="365" t="str">
        <x:v>(AOT)StFruz</x:v>
      </x:c>
      <x:c r="C325" s="365" t="str">
        <x:v>Siege</x:v>
      </x:c>
      <x:c r="D325" s="365" t="str">
        <x:v>Guardian siege</x:v>
      </x:c>
      <x:c r="E325" s="365" t="str">
        <x:v>Rams</x:v>
      </x:c>
      <x:c r="F325" s="365" t="n">
        <x:v>50</x:v>
      </x:c>
      <x:c r="G325" s="365" t="str">
        <x:v>Dragonhide</x:v>
      </x:c>
      <x:c r="H325" s="365" t="str">
        <x:v>Increase damage reduction and increase damage</x:v>
      </x:c>
      <x:c r="I325" s="365" t="str">
        <x:v>Unlocked</x:v>
      </x:c>
      <x:c r="J325" s="365" t="str">
        <x:v>02:40.25</x:v>
      </x:c>
      <x:c r="K325" s="365" t="str">
        <x:v>Header exactly: Guardian siege(Rams)</x:v>
      </x:c>
      <x:c r="L325" s="365" t="str">
        <x:v>1000025098.mp4</x:v>
      </x:c>
      <x:c r="M325" s="387" t="n">
        <x:f>IF(P325="OK",INDEX('Badge Lookup'!$B$6:$B$55,MATCH(F325,'Badge Lookup'!$A$6:$A$55,0)),0)</x:f>
        <x:v>2000000</x:v>
      </x:c>
      <x:c r="N325" s="387" t="n">
        <x:f>IF(P325="OK",INDEX('Badge Lookup'!$C$6:$C$55,MATCH(F325,'Badge Lookup'!$A$6:$A$55,0)),0)</x:f>
        <x:v>10334300</x:v>
      </x:c>
      <x:c r="O325" s="388" t="n">
        <x:f>IF(P325="OK",INDEX('Badge Lookup'!$D$6:$D$55,MATCH(F325,'Badge Lookup'!$A$6:$A$55,0)),0)</x:f>
        <x:v>60</x:v>
      </x:c>
      <x:c r="P325" s="362" t="str">
        <x:f>IF(OR(G325="",F325=""),"Not scored",IF(AND(F325=INT(F325),F325&gt;=1,F325&lt;=50,COUNTIF('Badge Lookup'!$A$6:$A$55,F325)=1),"OK","Check lookup"))</x:f>
        <x:v>OK</x:v>
      </x:c>
      <x:c r="Q325" s="456" t="n">
        <x:f>IF(P325&lt;&gt;"OK","",IF(C325="Guards",-O325,O325))</x:f>
        <x:v>60</x:v>
      </x:c>
      <x:c r="R325" s="362" t="str">
        <x:f>IF(P325&lt;&gt;"OK","Not scored",IF(C325="Guards","Damage received reduction","Damage increase"))</x:f>
        <x:v>Damage increase</x:v>
      </x:c>
    </x:row>
    <x:row r="326" ht="32" customHeight="1">
      <x:c r="A326" s="365" t="str">
        <x:v>K170</x:v>
      </x:c>
      <x:c r="B326" s="365" t="str">
        <x:v>(AOT)WeleS</x:v>
      </x:c>
      <x:c r="C326" s="365" t="str">
        <x:v>Guards</x:v>
      </x:c>
      <x:c r="D326" s="365" t="str">
        <x:v>Destroyers</x:v>
      </x:c>
      <x:c r="E326" s="365" t="str">
        <x:v>Guard</x:v>
      </x:c>
      <x:c r="F326" s="365" t="n">
        <x:v>48</x:v>
      </x:c>
      <x:c r="G326" s="365" t="str">
        <x:v>Parry</x:v>
      </x:c>
      <x:c r="H326" s="365" t="str">
        <x:v>Provides a parry effect and a certain probability to increase damage</x:v>
      </x:c>
      <x:c r="I326" s="365" t="str">
        <x:v>Unlocked</x:v>
      </x:c>
      <x:c r="J326" s="365" t="str">
        <x:v>02:52.25</x:v>
      </x:c>
      <x:c r="K326" s="365" t="str">
        <x:v>Header exactly: Destroyers(Guard)</x:v>
      </x:c>
      <x:c r="L326" s="365" t="str">
        <x:v>1000025098.mp4</x:v>
      </x:c>
      <x:c r="M326" s="387" t="n">
        <x:f>IF(P326="OK",INDEX('Badge Lookup'!$B$6:$B$55,MATCH(F326,'Badge Lookup'!$A$6:$A$55,0)),0)</x:f>
        <x:v>1050000</x:v>
      </x:c>
      <x:c r="N326" s="387" t="n">
        <x:f>IF(P326="OK",INDEX('Badge Lookup'!$C$6:$C$55,MATCH(F326,'Badge Lookup'!$A$6:$A$55,0)),0)</x:f>
        <x:v>6934300</x:v>
      </x:c>
      <x:c r="O326" s="388" t="n">
        <x:f>IF(P326="OK",INDEX('Badge Lookup'!$D$6:$D$55,MATCH(F326,'Badge Lookup'!$A$6:$A$55,0)),0)</x:f>
        <x:v>51.74</x:v>
      </x:c>
      <x:c r="P326" s="362" t="str">
        <x:f>IF(OR(G326="",F326=""),"Not scored",IF(AND(F326=INT(F326),F326&gt;=1,F326&lt;=50,COUNTIF('Badge Lookup'!$A$6:$A$55,F326)=1),"OK","Check lookup"))</x:f>
        <x:v>OK</x:v>
      </x:c>
      <x:c r="Q326" s="456" t="n">
        <x:f>IF(P326&lt;&gt;"OK","",IF(C326="Guards",-O326,O326))</x:f>
        <x:v>-51.74</x:v>
      </x:c>
      <x:c r="R326" s="362" t="str">
        <x:f>IF(P326&lt;&gt;"OK","Not scored",IF(C326="Guards","Damage received reduction","Damage increase"))</x:f>
        <x:v>Damage received reduction</x:v>
      </x:c>
    </x:row>
    <x:row r="327" ht="32" customHeight="1">
      <x:c r="A327" s="365" t="str">
        <x:v>K170</x:v>
      </x:c>
      <x:c r="B327" s="365" t="str">
        <x:v>(AOT)WeleS</x:v>
      </x:c>
      <x:c r="C327" s="365" t="str">
        <x:v>Archers</x:v>
      </x:c>
      <x:c r="D327" s="365" t="str">
        <x:v>Elite bowmen</x:v>
      </x:c>
      <x:c r="E327" s="365" t="str">
        <x:v>Archer</x:v>
      </x:c>
      <x:c r="F327" s="365" t="n">
        <x:v>49</x:v>
      </x:c>
      <x:c r="G327" s="365" t="str">
        <x:v>Frost Arrow</x:v>
      </x:c>
      <x:c r="H327" s="365" t="str">
        <x:v>Has a higher probability of activating ice damage</x:v>
      </x:c>
      <x:c r="I327" s="365" t="str">
        <x:v>Unlocked</x:v>
      </x:c>
      <x:c r="J327" s="365" t="str">
        <x:v>02:53.50</x:v>
      </x:c>
      <x:c r="K327" s="365" t="str">
        <x:v>Header exactly: Elite bowmen(Archer)</x:v>
      </x:c>
      <x:c r="L327" s="365" t="str">
        <x:v>1000025098.mp4</x:v>
      </x:c>
      <x:c r="M327" s="387" t="n">
        <x:f>IF(P327="OK",INDEX('Badge Lookup'!$B$6:$B$55,MATCH(F327,'Badge Lookup'!$A$6:$A$55,0)),0)</x:f>
        <x:v>1400000</x:v>
      </x:c>
      <x:c r="N327" s="387" t="n">
        <x:f>IF(P327="OK",INDEX('Badge Lookup'!$C$6:$C$55,MATCH(F327,'Badge Lookup'!$A$6:$A$55,0)),0)</x:f>
        <x:v>8334300</x:v>
      </x:c>
      <x:c r="O327" s="388" t="n">
        <x:f>IF(P327="OK",INDEX('Badge Lookup'!$D$6:$D$55,MATCH(F327,'Badge Lookup'!$A$6:$A$55,0)),0)</x:f>
        <x:v>55.2</x:v>
      </x:c>
      <x:c r="P327" s="362" t="str">
        <x:f>IF(OR(G327="",F327=""),"Not scored",IF(AND(F327=INT(F327),F327&gt;=1,F327&lt;=50,COUNTIF('Badge Lookup'!$A$6:$A$55,F327)=1),"OK","Check lookup"))</x:f>
        <x:v>OK</x:v>
      </x:c>
      <x:c r="Q327" s="456" t="n">
        <x:f>IF(P327&lt;&gt;"OK","",IF(C327="Guards",-O327,O327))</x:f>
        <x:v>55.2</x:v>
      </x:c>
      <x:c r="R327" s="362" t="str">
        <x:f>IF(P327&lt;&gt;"OK","Not scored",IF(C327="Guards","Damage received reduction","Damage increase"))</x:f>
        <x:v>Damage increase</x:v>
      </x:c>
    </x:row>
    <x:row r="328" ht="32" customHeight="1">
      <x:c r="A328" s="365" t="str">
        <x:v>K170</x:v>
      </x:c>
      <x:c r="B328" s="365" t="str">
        <x:v>(AOT)WeleS</x:v>
      </x:c>
      <x:c r="C328" s="365" t="str">
        <x:v>Cavalry</x:v>
      </x:c>
      <x:c r="D328" s="365" t="str">
        <x:v>Storm cavalry</x:v>
      </x:c>
      <x:c r="E328" s="365" t="str">
        <x:v>Horse archer</x:v>
      </x:c>
      <x:c r="F328" s="365" t="n">
        <x:v>47</x:v>
      </x:c>
      <x:c r="G328" s="365" t="str">
        <x:v>Mounted Archery</x:v>
      </x:c>
      <x:c r="H328" s="365" t="str">
        <x:v>Has a certain probability of causing fly-shooting damage</x:v>
      </x:c>
      <x:c r="I328" s="365" t="str">
        <x:v>Unlocked</x:v>
      </x:c>
      <x:c r="J328" s="365" t="str">
        <x:v>02:54.75</x:v>
      </x:c>
      <x:c r="K328" s="365" t="str">
        <x:v>Header exactly: Storm cavalry(Horse archer)</x:v>
      </x:c>
      <x:c r="L328" s="365" t="str">
        <x:v>1000025098.mp4</x:v>
      </x:c>
      <x:c r="M328" s="387" t="n">
        <x:f>IF(P328="OK",INDEX('Badge Lookup'!$B$6:$B$55,MATCH(F328,'Badge Lookup'!$A$6:$A$55,0)),0)</x:f>
        <x:v>880000</x:v>
      </x:c>
      <x:c r="N328" s="387" t="n">
        <x:f>IF(P328="OK",INDEX('Badge Lookup'!$C$6:$C$55,MATCH(F328,'Badge Lookup'!$A$6:$A$55,0)),0)</x:f>
        <x:v>5884300</x:v>
      </x:c>
      <x:c r="O328" s="388" t="n">
        <x:f>IF(P328="OK",INDEX('Badge Lookup'!$D$6:$D$55,MATCH(F328,'Badge Lookup'!$A$6:$A$55,0)),0)</x:f>
        <x:v>48.38</x:v>
      </x:c>
      <x:c r="P328" s="362" t="str">
        <x:f>IF(OR(G328="",F328=""),"Not scored",IF(AND(F328=INT(F328),F328&gt;=1,F328&lt;=50,COUNTIF('Badge Lookup'!$A$6:$A$55,F328)=1),"OK","Check lookup"))</x:f>
        <x:v>OK</x:v>
      </x:c>
      <x:c r="Q328" s="456" t="n">
        <x:f>IF(P328&lt;&gt;"OK","",IF(C328="Guards",-O328,O328))</x:f>
        <x:v>48.38</x:v>
      </x:c>
      <x:c r="R328" s="362" t="str">
        <x:f>IF(P328&lt;&gt;"OK","Not scored",IF(C328="Guards","Damage received reduction","Damage increase"))</x:f>
        <x:v>Damage increase</x:v>
      </x:c>
    </x:row>
    <x:row r="329" ht="32" customHeight="1">
      <x:c r="A329" s="365" t="str">
        <x:v>K170</x:v>
      </x:c>
      <x:c r="B329" s="365" t="str">
        <x:v>(AOT)Doctopussy</x:v>
      </x:c>
      <x:c r="C329" s="365" t="str">
        <x:v>Guards</x:v>
      </x:c>
      <x:c r="D329" s="365" t="str">
        <x:v>Destroyers</x:v>
      </x:c>
      <x:c r="E329" s="365" t="str">
        <x:v>Guard</x:v>
      </x:c>
      <x:c r="F329" s="365" t="n">
        <x:v>44</x:v>
      </x:c>
      <x:c r="G329" s="365" t="str">
        <x:v>Parry</x:v>
      </x:c>
      <x:c r="H329" s="365" t="str">
        <x:v>Provides a parry effect and a certain probability to increase damage</x:v>
      </x:c>
      <x:c r="I329" s="365" t="str">
        <x:v>Unlocked</x:v>
      </x:c>
      <x:c r="J329" s="365" t="str">
        <x:v>03:04.25</x:v>
      </x:c>
      <x:c r="K329" s="365" t="str">
        <x:v>Header exactly: Destroyers(Guard)</x:v>
      </x:c>
      <x:c r="L329" s="365" t="str">
        <x:v>1000025098.mp4</x:v>
      </x:c>
      <x:c r="M329" s="387" t="n">
        <x:f>IF(P329="OK",INDEX('Badge Lookup'!$B$6:$B$55,MATCH(F329,'Badge Lookup'!$A$6:$A$55,0)),0)</x:f>
        <x:v>480000</x:v>
      </x:c>
      <x:c r="N329" s="387" t="n">
        <x:f>IF(P329="OK",INDEX('Badge Lookup'!$C$6:$C$55,MATCH(F329,'Badge Lookup'!$A$6:$A$55,0)),0)</x:f>
        <x:v>3724300</x:v>
      </x:c>
      <x:c r="O329" s="388" t="n">
        <x:f>IF(P329="OK",INDEX('Badge Lookup'!$D$6:$D$55,MATCH(F329,'Badge Lookup'!$A$6:$A$55,0)),0)</x:f>
        <x:v>39.93</x:v>
      </x:c>
      <x:c r="P329" s="362" t="str">
        <x:f>IF(OR(G329="",F329=""),"Not scored",IF(AND(F329=INT(F329),F329&gt;=1,F329&lt;=50,COUNTIF('Badge Lookup'!$A$6:$A$55,F329)=1),"OK","Check lookup"))</x:f>
        <x:v>OK</x:v>
      </x:c>
      <x:c r="Q329" s="456" t="n">
        <x:f>IF(P329&lt;&gt;"OK","",IF(C329="Guards",-O329,O329))</x:f>
        <x:v>-39.93</x:v>
      </x:c>
      <x:c r="R329" s="362" t="str">
        <x:f>IF(P329&lt;&gt;"OK","Not scored",IF(C329="Guards","Damage received reduction","Damage increase"))</x:f>
        <x:v>Damage received reduction</x:v>
      </x:c>
    </x:row>
    <x:row r="330" ht="32" customHeight="1">
      <x:c r="A330" s="365" t="str">
        <x:v>K170</x:v>
      </x:c>
      <x:c r="B330" s="365" t="str">
        <x:v>(AOT)Doctopussy</x:v>
      </x:c>
      <x:c r="C330" s="365" t="str">
        <x:v>Archers</x:v>
      </x:c>
      <x:c r="D330" s="365" t="str">
        <x:v>Elite bowmen</x:v>
      </x:c>
      <x:c r="E330" s="365" t="str">
        <x:v>Archer</x:v>
      </x:c>
      <x:c r="F330" s="365" t="n">
        <x:v>43</x:v>
      </x:c>
      <x:c r="G330" s="365" t="str">
        <x:v>Frost Arrow</x:v>
      </x:c>
      <x:c r="H330" s="365" t="str">
        <x:v>Has a higher probability of activating ice damage</x:v>
      </x:c>
      <x:c r="I330" s="365" t="str">
        <x:v>Unlocked</x:v>
      </x:c>
      <x:c r="J330" s="365" t="str">
        <x:v>03:05.50</x:v>
      </x:c>
      <x:c r="K330" s="365" t="str">
        <x:v>Header exactly: Elite bowmen(Archer)</x:v>
      </x:c>
      <x:c r="L330" s="365" t="str">
        <x:v>1000025098.mp4</x:v>
      </x:c>
      <x:c r="M330" s="387" t="n">
        <x:f>IF(P330="OK",INDEX('Badge Lookup'!$B$6:$B$55,MATCH(F330,'Badge Lookup'!$A$6:$A$55,0)),0)</x:f>
        <x:v>400000</x:v>
      </x:c>
      <x:c r="N330" s="387" t="n">
        <x:f>IF(P330="OK",INDEX('Badge Lookup'!$C$6:$C$55,MATCH(F330,'Badge Lookup'!$A$6:$A$55,0)),0)</x:f>
        <x:v>3244300</x:v>
      </x:c>
      <x:c r="O330" s="388" t="n">
        <x:f>IF(P330="OK",INDEX('Badge Lookup'!$D$6:$D$55,MATCH(F330,'Badge Lookup'!$A$6:$A$55,0)),0)</x:f>
        <x:v>35.98</x:v>
      </x:c>
      <x:c r="P330" s="362" t="str">
        <x:f>IF(OR(G330="",F330=""),"Not scored",IF(AND(F330=INT(F330),F330&gt;=1,F330&lt;=50,COUNTIF('Badge Lookup'!$A$6:$A$55,F330)=1),"OK","Check lookup"))</x:f>
        <x:v>OK</x:v>
      </x:c>
      <x:c r="Q330" s="456" t="n">
        <x:f>IF(P330&lt;&gt;"OK","",IF(C330="Guards",-O330,O330))</x:f>
        <x:v>35.98</x:v>
      </x:c>
      <x:c r="R330" s="362" t="str">
        <x:f>IF(P330&lt;&gt;"OK","Not scored",IF(C330="Guards","Damage received reduction","Damage increase"))</x:f>
        <x:v>Damage increase</x:v>
      </x:c>
    </x:row>
    <x:row r="331" ht="32" customHeight="1">
      <x:c r="A331" s="365" t="str">
        <x:v>K170</x:v>
      </x:c>
      <x:c r="B331" s="365" t="str">
        <x:v>(AOT)Doctopussy</x:v>
      </x:c>
      <x:c r="C331" s="365" t="str">
        <x:v>Siege</x:v>
      </x:c>
      <x:c r="D331" s="365" t="str">
        <x:v>Manglers</x:v>
      </x:c>
      <x:c r="E331" s="365" t="str">
        <x:v>Siege</x:v>
      </x:c>
      <x:c r="F331" s="365" t="n">
        <x:v>31</x:v>
      </x:c>
      <x:c r="G331" s="365" t="str">
        <x:v>Highly toxic</x:v>
      </x:c>
      <x:c r="H331" s="365" t="str">
        <x:v>Inflict continuous toxic damage</x:v>
      </x:c>
      <x:c r="I331" s="365" t="str">
        <x:v>Unlocked</x:v>
      </x:c>
      <x:c r="J331" s="365" t="str">
        <x:v>03:06.75</x:v>
      </x:c>
      <x:c r="K331" s="365" t="str">
        <x:v>Header exactly: Manglers(Siege)</x:v>
      </x:c>
      <x:c r="L331" s="365" t="str">
        <x:v>1000025098.mp4</x:v>
      </x:c>
      <x:c r="M331" s="387" t="n">
        <x:f>IF(P331="OK",INDEX('Badge Lookup'!$B$6:$B$55,MATCH(F331,'Badge Lookup'!$A$6:$A$55,0)),0)</x:f>
        <x:v>90000</x:v>
      </x:c>
      <x:c r="N331" s="387" t="n">
        <x:f>IF(P331="OK",INDEX('Badge Lookup'!$C$6:$C$55,MATCH(F331,'Badge Lookup'!$A$6:$A$55,0)),0)</x:f>
        <x:v>864300</x:v>
      </x:c>
      <x:c r="O331" s="388" t="n">
        <x:f>IF(P331="OK",INDEX('Badge Lookup'!$D$6:$D$55,MATCH(F331,'Badge Lookup'!$A$6:$A$55,0)),0)</x:f>
        <x:v>12.09</x:v>
      </x:c>
      <x:c r="P331" s="362" t="str">
        <x:f>IF(OR(G331="",F331=""),"Not scored",IF(AND(F331=INT(F331),F331&gt;=1,F331&lt;=50,COUNTIF('Badge Lookup'!$A$6:$A$55,F331)=1),"OK","Check lookup"))</x:f>
        <x:v>OK</x:v>
      </x:c>
      <x:c r="Q331" s="456" t="n">
        <x:f>IF(P331&lt;&gt;"OK","",IF(C331="Guards",-O331,O331))</x:f>
        <x:v>12.09</x:v>
      </x:c>
      <x:c r="R331" s="362" t="str">
        <x:f>IF(P331&lt;&gt;"OK","Not scored",IF(C331="Guards","Damage received reduction","Damage increase"))</x:f>
        <x:v>Damage increase</x:v>
      </x:c>
    </x:row>
    <x:row r="332" ht="32" customHeight="1">
      <x:c r="A332" s="365" t="str">
        <x:v>K170</x:v>
      </x:c>
      <x:c r="B332" s="365" t="str">
        <x:v>(AOT)Doctopussy</x:v>
      </x:c>
      <x:c r="C332" s="365" t="str">
        <x:v>Cavalry</x:v>
      </x:c>
      <x:c r="D332" s="365" t="str">
        <x:v>Storm cavalry</x:v>
      </x:c>
      <x:c r="E332" s="365" t="str">
        <x:v>Horse archer</x:v>
      </x:c>
      <x:c r="F332" s="365" t="n">
        <x:v>48</x:v>
      </x:c>
      <x:c r="G332" s="365" t="str">
        <x:v>Mounted Archery</x:v>
      </x:c>
      <x:c r="H332" s="365" t="str">
        <x:v>Has a certain probability of causing fly-shooting damage</x:v>
      </x:c>
      <x:c r="I332" s="365" t="str">
        <x:v>Unlocked</x:v>
      </x:c>
      <x:c r="J332" s="365" t="str">
        <x:v>03:08.00</x:v>
      </x:c>
      <x:c r="K332" s="365" t="str">
        <x:v>Header exactly: Storm cavalry(Horse archer)</x:v>
      </x:c>
      <x:c r="L332" s="365" t="str">
        <x:v>1000025098.mp4</x:v>
      </x:c>
      <x:c r="M332" s="387" t="n">
        <x:f>IF(P332="OK",INDEX('Badge Lookup'!$B$6:$B$55,MATCH(F332,'Badge Lookup'!$A$6:$A$55,0)),0)</x:f>
        <x:v>1050000</x:v>
      </x:c>
      <x:c r="N332" s="387" t="n">
        <x:f>IF(P332="OK",INDEX('Badge Lookup'!$C$6:$C$55,MATCH(F332,'Badge Lookup'!$A$6:$A$55,0)),0)</x:f>
        <x:v>6934300</x:v>
      </x:c>
      <x:c r="O332" s="388" t="n">
        <x:f>IF(P332="OK",INDEX('Badge Lookup'!$D$6:$D$55,MATCH(F332,'Badge Lookup'!$A$6:$A$55,0)),0)</x:f>
        <x:v>51.74</x:v>
      </x:c>
      <x:c r="P332" s="362" t="str">
        <x:f>IF(OR(G332="",F332=""),"Not scored",IF(AND(F332=INT(F332),F332&gt;=1,F332&lt;=50,COUNTIF('Badge Lookup'!$A$6:$A$55,F332)=1),"OK","Check lookup"))</x:f>
        <x:v>OK</x:v>
      </x:c>
      <x:c r="Q332" s="456" t="n">
        <x:f>IF(P332&lt;&gt;"OK","",IF(C332="Guards",-O332,O332))</x:f>
        <x:v>51.74</x:v>
      </x:c>
      <x:c r="R332" s="362" t="str">
        <x:f>IF(P332&lt;&gt;"OK","Not scored",IF(C332="Guards","Damage received reduction","Damage increase"))</x:f>
        <x:v>Damage increase</x:v>
      </x:c>
    </x:row>
    <x:row r="333" ht="32" customHeight="1">
      <x:c r="A333" s="365" t="str">
        <x:v>K170</x:v>
      </x:c>
      <x:c r="B333" s="365" t="str">
        <x:v>(AOT)Doctopussy</x:v>
      </x:c>
      <x:c r="C333" s="365" t="str">
        <x:v>Archers</x:v>
      </x:c>
      <x:c r="D333" s="365" t="str">
        <x:v>Elite</x:v>
      </x:c>
      <x:c r="E333" s="365" t="str">
        <x:v>not shown</x:v>
      </x:c>
      <x:c r="F333" s="365" t="n">
        <x:v>11</x:v>
      </x:c>
      <x:c r="G333" s="365" t="str">
        <x:v>Focus</x:v>
      </x:c>
      <x:c r="H333" s="365" t="str">
        <x:v>Has a higher probability of providing focus damage</x:v>
      </x:c>
      <x:c r="I333" s="365" t="str">
        <x:v>Locked</x:v>
      </x:c>
      <x:c r="J333" s="365" t="str">
        <x:v>03:09.25</x:v>
      </x:c>
      <x:c r="K333" s="365" t="str">
        <x:v>Header literally only 'Elite'; body identifies Elite crossbowmen</x:v>
      </x:c>
      <x:c r="L333" s="365" t="str">
        <x:v>1000025098.mp4</x:v>
      </x:c>
      <x:c r="M333" s="387" t="n">
        <x:f>IF(P333="OK",INDEX('Badge Lookup'!$B$6:$B$55,MATCH(F333,'Badge Lookup'!$A$6:$A$55,0)),0)</x:f>
        <x:v>7500</x:v>
      </x:c>
      <x:c r="N333" s="387" t="n">
        <x:f>IF(P333="OK",INDEX('Badge Lookup'!$C$6:$C$55,MATCH(F333,'Badge Lookup'!$A$6:$A$55,0)),0)</x:f>
        <x:v>43000</x:v>
      </x:c>
      <x:c r="O333" s="388" t="n">
        <x:f>IF(P333="OK",INDEX('Badge Lookup'!$D$6:$D$55,MATCH(F333,'Badge Lookup'!$A$6:$A$55,0)),0)</x:f>
        <x:v>0</x:v>
      </x:c>
      <x:c r="P333" s="362" t="str">
        <x:f>IF(OR(G333="",F333=""),"Not scored",IF(AND(F333=INT(F333),F333&gt;=1,F333&lt;=50,COUNTIF('Badge Lookup'!$A$6:$A$55,F333)=1),"OK","Check lookup"))</x:f>
        <x:v>OK</x:v>
      </x:c>
      <x:c r="Q333" s="456" t="n">
        <x:f>IF(P333&lt;&gt;"OK","",IF(C333="Guards",-O333,O333))</x:f>
        <x:v>0</x:v>
      </x:c>
      <x:c r="R333" s="362" t="str">
        <x:f>IF(P333&lt;&gt;"OK","Not scored",IF(C333="Guards","Damage received reduction","Damage increase"))</x:f>
        <x:v>Damage increase</x:v>
      </x:c>
    </x:row>
    <x:row r="334" ht="32" customHeight="1">
      <x:c r="A334" s="365" t="str">
        <x:v>K170</x:v>
      </x:c>
      <x:c r="B334" s="365" t="str">
        <x:v>(AOT)SugarDADDY</x:v>
      </x:c>
      <x:c r="C334" s="365" t="str">
        <x:v>Cavalry</x:v>
      </x:c>
      <x:c r="D334" s="365" t="str">
        <x:v>Eternal knights</x:v>
      </x:c>
      <x:c r="E334" s="365" t="str">
        <x:v>Heavy Cavalry</x:v>
      </x:c>
      <x:c r="F334" s="365" t="n">
        <x:v>40</x:v>
      </x:c>
      <x:c r="G334" s="365" t="str">
        <x:v>Thunder trample</x:v>
      </x:c>
      <x:c r="H334" s="365" t="str">
        <x:v>Has a certain probability of causing trampling damage</x:v>
      </x:c>
      <x:c r="I334" s="365" t="str">
        <x:v>Unlocked</x:v>
      </x:c>
      <x:c r="J334" s="365" t="str">
        <x:v>03:19.00</x:v>
      </x:c>
      <x:c r="K334" s="365" t="str">
        <x:v>Header exactly: Eternal knights(Heavy Cavalry)</x:v>
      </x:c>
      <x:c r="L334" s="365" t="str">
        <x:v>1000025098.mp4</x:v>
      </x:c>
      <x:c r="M334" s="387" t="n">
        <x:f>IF(P334="OK",INDEX('Badge Lookup'!$B$6:$B$55,MATCH(F334,'Badge Lookup'!$A$6:$A$55,0)),0)</x:f>
        <x:v>240000</x:v>
      </x:c>
      <x:c r="N334" s="387" t="n">
        <x:f>IF(P334="OK",INDEX('Badge Lookup'!$C$6:$C$55,MATCH(F334,'Badge Lookup'!$A$6:$A$55,0)),0)</x:f>
        <x:v>2244300</x:v>
      </x:c>
      <x:c r="O334" s="388" t="n">
        <x:f>IF(P334="OK",INDEX('Badge Lookup'!$D$6:$D$55,MATCH(F334,'Badge Lookup'!$A$6:$A$55,0)),0)</x:f>
        <x:v>27.74</x:v>
      </x:c>
      <x:c r="P334" s="362" t="str">
        <x:f>IF(OR(G334="",F334=""),"Not scored",IF(AND(F334=INT(F334),F334&gt;=1,F334&lt;=50,COUNTIF('Badge Lookup'!$A$6:$A$55,F334)=1),"OK","Check lookup"))</x:f>
        <x:v>OK</x:v>
      </x:c>
      <x:c r="Q334" s="456" t="n">
        <x:f>IF(P334&lt;&gt;"OK","",IF(C334="Guards",-O334,O334))</x:f>
        <x:v>27.74</x:v>
      </x:c>
      <x:c r="R334" s="362" t="str">
        <x:f>IF(P334&lt;&gt;"OK","Not scored",IF(C334="Guards","Damage received reduction","Damage increase"))</x:f>
        <x:v>Damage increase</x:v>
      </x:c>
    </x:row>
    <x:row r="335" ht="32" customHeight="1">
      <x:c r="A335" s="365" t="str">
        <x:v>K170</x:v>
      </x:c>
      <x:c r="B335" s="365" t="str">
        <x:v>(AOT)SugarDADDY</x:v>
      </x:c>
      <x:c r="C335" s="365" t="str">
        <x:v>Archers</x:v>
      </x:c>
      <x:c r="D335" s="365" t="str">
        <x:v>Elite bowmen</x:v>
      </x:c>
      <x:c r="E335" s="365" t="str">
        <x:v>Archer</x:v>
      </x:c>
      <x:c r="F335" s="365" t="n">
        <x:v>22</x:v>
      </x:c>
      <x:c r="G335" s="365" t="str">
        <x:v>Frost Arrow</x:v>
      </x:c>
      <x:c r="H335" s="365" t="str">
        <x:v>Has a higher probability of activating ice damage</x:v>
      </x:c>
      <x:c r="I335" s="365" t="str">
        <x:v>Unlocked</x:v>
      </x:c>
      <x:c r="J335" s="365" t="str">
        <x:v>03:20.75</x:v>
      </x:c>
      <x:c r="K335" s="365" t="str">
        <x:v>Header exactly: Elite bowmen(Archer)</x:v>
      </x:c>
      <x:c r="L335" s="365" t="str">
        <x:v>1000025098.mp4</x:v>
      </x:c>
      <x:c r="M335" s="387" t="n">
        <x:f>IF(P335="OK",INDEX('Badge Lookup'!$B$6:$B$55,MATCH(F335,'Badge Lookup'!$A$6:$A$55,0)),0)</x:f>
        <x:v>45000</x:v>
      </x:c>
      <x:c r="N335" s="387" t="n">
        <x:f>IF(P335="OK",INDEX('Badge Lookup'!$C$6:$C$55,MATCH(F335,'Badge Lookup'!$A$6:$A$55,0)),0)</x:f>
        <x:v>271800</x:v>
      </x:c>
      <x:c r="O335" s="388" t="n">
        <x:f>IF(P335="OK",INDEX('Badge Lookup'!$D$6:$D$55,MATCH(F335,'Badge Lookup'!$A$6:$A$55,0)),0)</x:f>
        <x:v>4.18</x:v>
      </x:c>
      <x:c r="P335" s="362" t="str">
        <x:f>IF(OR(G335="",F335=""),"Not scored",IF(AND(F335=INT(F335),F335&gt;=1,F335&lt;=50,COUNTIF('Badge Lookup'!$A$6:$A$55,F335)=1),"OK","Check lookup"))</x:f>
        <x:v>OK</x:v>
      </x:c>
      <x:c r="Q335" s="456" t="n">
        <x:f>IF(P335&lt;&gt;"OK","",IF(C335="Guards",-O335,O335))</x:f>
        <x:v>4.18</x:v>
      </x:c>
      <x:c r="R335" s="362" t="str">
        <x:f>IF(P335&lt;&gt;"OK","Not scored",IF(C335="Guards","Damage received reduction","Damage increase"))</x:f>
        <x:v>Damage increase</x:v>
      </x:c>
    </x:row>
    <x:row r="336" ht="32" customHeight="1">
      <x:c r="A336" s="365" t="str">
        <x:v>K170</x:v>
      </x:c>
      <x:c r="B336" s="365" t="str">
        <x:v>(AOT)SugarDADDY</x:v>
      </x:c>
      <x:c r="C336" s="365" t="str">
        <x:v>Siege</x:v>
      </x:c>
      <x:c r="D336" s="365" t="str">
        <x:v>Manglers</x:v>
      </x:c>
      <x:c r="E336" s="365" t="str">
        <x:v>Siege</x:v>
      </x:c>
      <x:c r="F336" s="365" t="n">
        <x:v>37</x:v>
      </x:c>
      <x:c r="G336" s="365" t="str">
        <x:v>Highly toxic</x:v>
      </x:c>
      <x:c r="H336" s="365" t="str">
        <x:v>Inflict continuous toxic damage</x:v>
      </x:c>
      <x:c r="I336" s="365" t="str">
        <x:v>Unlocked</x:v>
      </x:c>
      <x:c r="J336" s="365" t="str">
        <x:v>03:22.25</x:v>
      </x:c>
      <x:c r="K336" s="365" t="str">
        <x:v>Header exactly: Manglers(Siege)</x:v>
      </x:c>
      <x:c r="L336" s="365" t="str">
        <x:v>1000025098.mp4</x:v>
      </x:c>
      <x:c r="M336" s="387" t="n">
        <x:f>IF(P336="OK",INDEX('Badge Lookup'!$B$6:$B$55,MATCH(F336,'Badge Lookup'!$A$6:$A$55,0)),0)</x:f>
        <x:v>160000</x:v>
      </x:c>
      <x:c r="N336" s="387" t="n">
        <x:f>IF(P336="OK",INDEX('Badge Lookup'!$C$6:$C$55,MATCH(F336,'Badge Lookup'!$A$6:$A$55,0)),0)</x:f>
        <x:v>1624300</x:v>
      </x:c>
      <x:c r="O336" s="388" t="n">
        <x:f>IF(P336="OK",INDEX('Badge Lookup'!$D$6:$D$55,MATCH(F336,'Badge Lookup'!$A$6:$A$55,0)),0)</x:f>
        <x:v>20.73</x:v>
      </x:c>
      <x:c r="P336" s="362" t="str">
        <x:f>IF(OR(G336="",F336=""),"Not scored",IF(AND(F336=INT(F336),F336&gt;=1,F336&lt;=50,COUNTIF('Badge Lookup'!$A$6:$A$55,F336)=1),"OK","Check lookup"))</x:f>
        <x:v>OK</x:v>
      </x:c>
      <x:c r="Q336" s="456" t="n">
        <x:f>IF(P336&lt;&gt;"OK","",IF(C336="Guards",-O336,O336))</x:f>
        <x:v>20.73</x:v>
      </x:c>
      <x:c r="R336" s="362" t="str">
        <x:f>IF(P336&lt;&gt;"OK","Not scored",IF(C336="Guards","Damage received reduction","Damage increase"))</x:f>
        <x:v>Damage increase</x:v>
      </x:c>
    </x:row>
    <x:row r="337" ht="32" customHeight="1">
      <x:c r="A337" s="365" t="str">
        <x:v>K170</x:v>
      </x:c>
      <x:c r="B337" s="365" t="str">
        <x:v>(AOT)SugarDADDY</x:v>
      </x:c>
      <x:c r="C337" s="365" t="str">
        <x:v>Cavalry</x:v>
      </x:c>
      <x:c r="D337" s="365" t="str">
        <x:v>Storm cavalry</x:v>
      </x:c>
      <x:c r="E337" s="365" t="str">
        <x:v>Horse archer</x:v>
      </x:c>
      <x:c r="F337" s="365" t="n">
        <x:v>40</x:v>
      </x:c>
      <x:c r="G337" s="365" t="str">
        <x:v>Mounted Archery</x:v>
      </x:c>
      <x:c r="H337" s="365" t="str">
        <x:v>Has a certain probability of causing fly-shooting damage</x:v>
      </x:c>
      <x:c r="I337" s="365" t="str">
        <x:v>Unlocked</x:v>
      </x:c>
      <x:c r="J337" s="365" t="str">
        <x:v>03:23.50</x:v>
      </x:c>
      <x:c r="K337" s="365" t="str">
        <x:v>Header exactly: Storm cavalry(Horse archer)</x:v>
      </x:c>
      <x:c r="L337" s="365" t="str">
        <x:v>1000025098.mp4</x:v>
      </x:c>
      <x:c r="M337" s="387" t="n">
        <x:f>IF(P337="OK",INDEX('Badge Lookup'!$B$6:$B$55,MATCH(F337,'Badge Lookup'!$A$6:$A$55,0)),0)</x:f>
        <x:v>240000</x:v>
      </x:c>
      <x:c r="N337" s="387" t="n">
        <x:f>IF(P337="OK",INDEX('Badge Lookup'!$C$6:$C$55,MATCH(F337,'Badge Lookup'!$A$6:$A$55,0)),0)</x:f>
        <x:v>2244300</x:v>
      </x:c>
      <x:c r="O337" s="388" t="n">
        <x:f>IF(P337="OK",INDEX('Badge Lookup'!$D$6:$D$55,MATCH(F337,'Badge Lookup'!$A$6:$A$55,0)),0)</x:f>
        <x:v>27.74</x:v>
      </x:c>
      <x:c r="P337" s="362" t="str">
        <x:f>IF(OR(G337="",F337=""),"Not scored",IF(AND(F337=INT(F337),F337&gt;=1,F337&lt;=50,COUNTIF('Badge Lookup'!$A$6:$A$55,F337)=1),"OK","Check lookup"))</x:f>
        <x:v>OK</x:v>
      </x:c>
      <x:c r="Q337" s="456" t="n">
        <x:f>IF(P337&lt;&gt;"OK","",IF(C337="Guards",-O337,O337))</x:f>
        <x:v>27.74</x:v>
      </x:c>
      <x:c r="R337" s="362" t="str">
        <x:f>IF(P337&lt;&gt;"OK","Not scored",IF(C337="Guards","Damage received reduction","Damage increase"))</x:f>
        <x:v>Damage increase</x:v>
      </x:c>
    </x:row>
    <x:row r="338" ht="32" customHeight="1">
      <x:c r="A338" s="365" t="str">
        <x:v>K170</x:v>
      </x:c>
      <x:c r="B338" s="365" t="str">
        <x:v>(AOT)MONKEY</x:v>
      </x:c>
      <x:c r="C338" s="365" t="str">
        <x:v>Guards</x:v>
      </x:c>
      <x:c r="D338" s="365" t="str">
        <x:v>Destroyers</x:v>
      </x:c>
      <x:c r="E338" s="365" t="str">
        <x:v>Guard</x:v>
      </x:c>
      <x:c r="F338" s="365" t="n">
        <x:v>40</x:v>
      </x:c>
      <x:c r="G338" s="365" t="str">
        <x:v>Parry</x:v>
      </x:c>
      <x:c r="H338" s="365" t="str">
        <x:v>Provides a parry effect and a certain probability to increase damage</x:v>
      </x:c>
      <x:c r="I338" s="365" t="str">
        <x:v>Unlocked</x:v>
      </x:c>
      <x:c r="J338" s="365" t="str">
        <x:v>03:32</x:v>
      </x:c>
      <x:c r="K338" s="365" t="str">
        <x:v>Core name normalized; header exactly: Destroyers(Guard)</x:v>
      </x:c>
      <x:c r="L338" s="365" t="str">
        <x:v>1000025098.mp4</x:v>
      </x:c>
      <x:c r="M338" s="387" t="n">
        <x:f>IF(P338="OK",INDEX('Badge Lookup'!$B$6:$B$55,MATCH(F338,'Badge Lookup'!$A$6:$A$55,0)),0)</x:f>
        <x:v>240000</x:v>
      </x:c>
      <x:c r="N338" s="387" t="n">
        <x:f>IF(P338="OK",INDEX('Badge Lookup'!$C$6:$C$55,MATCH(F338,'Badge Lookup'!$A$6:$A$55,0)),0)</x:f>
        <x:v>2244300</x:v>
      </x:c>
      <x:c r="O338" s="388" t="n">
        <x:f>IF(P338="OK",INDEX('Badge Lookup'!$D$6:$D$55,MATCH(F338,'Badge Lookup'!$A$6:$A$55,0)),0)</x:f>
        <x:v>27.74</x:v>
      </x:c>
      <x:c r="P338" s="362" t="str">
        <x:f>IF(OR(G338="",F338=""),"Not scored",IF(AND(F338=INT(F338),F338&gt;=1,F338&lt;=50,COUNTIF('Badge Lookup'!$A$6:$A$55,F338)=1),"OK","Check lookup"))</x:f>
        <x:v>OK</x:v>
      </x:c>
      <x:c r="Q338" s="456" t="n">
        <x:f>IF(P338&lt;&gt;"OK","",IF(C338="Guards",-O338,O338))</x:f>
        <x:v>-27.74</x:v>
      </x:c>
      <x:c r="R338" s="362" t="str">
        <x:f>IF(P338&lt;&gt;"OK","Not scored",IF(C338="Guards","Damage received reduction","Damage increase"))</x:f>
        <x:v>Damage received reduction</x:v>
      </x:c>
    </x:row>
    <x:row r="339" ht="32" customHeight="1">
      <x:c r="A339" s="365" t="str">
        <x:v>K170</x:v>
      </x:c>
      <x:c r="B339" s="365" t="str">
        <x:v>(AOT)MONKEY</x:v>
      </x:c>
      <x:c r="C339" s="365" t="str">
        <x:v>Archers</x:v>
      </x:c>
      <x:c r="D339" s="365" t="str">
        <x:v>Elite bowmen</x:v>
      </x:c>
      <x:c r="E339" s="365" t="str">
        <x:v>Archer</x:v>
      </x:c>
      <x:c r="F339" s="365" t="n">
        <x:v>40</x:v>
      </x:c>
      <x:c r="G339" s="365" t="str">
        <x:v>Frost Arrow</x:v>
      </x:c>
      <x:c r="H339" s="365" t="str">
        <x:v>Has a higher probability of activating ice damage</x:v>
      </x:c>
      <x:c r="I339" s="365" t="str">
        <x:v>Unlocked</x:v>
      </x:c>
      <x:c r="J339" s="365" t="str">
        <x:v>03:33</x:v>
      </x:c>
      <x:c r="K339" s="365" t="str">
        <x:v>Core name normalized; header exactly: Elite bowmen(Archer)</x:v>
      </x:c>
      <x:c r="L339" s="365" t="str">
        <x:v>1000025098.mp4</x:v>
      </x:c>
      <x:c r="M339" s="387" t="n">
        <x:f>IF(P339="OK",INDEX('Badge Lookup'!$B$6:$B$55,MATCH(F339,'Badge Lookup'!$A$6:$A$55,0)),0)</x:f>
        <x:v>240000</x:v>
      </x:c>
      <x:c r="N339" s="387" t="n">
        <x:f>IF(P339="OK",INDEX('Badge Lookup'!$C$6:$C$55,MATCH(F339,'Badge Lookup'!$A$6:$A$55,0)),0)</x:f>
        <x:v>2244300</x:v>
      </x:c>
      <x:c r="O339" s="388" t="n">
        <x:f>IF(P339="OK",INDEX('Badge Lookup'!$D$6:$D$55,MATCH(F339,'Badge Lookup'!$A$6:$A$55,0)),0)</x:f>
        <x:v>27.74</x:v>
      </x:c>
      <x:c r="P339" s="362" t="str">
        <x:f>IF(OR(G339="",F339=""),"Not scored",IF(AND(F339=INT(F339),F339&gt;=1,F339&lt;=50,COUNTIF('Badge Lookup'!$A$6:$A$55,F339)=1),"OK","Check lookup"))</x:f>
        <x:v>OK</x:v>
      </x:c>
      <x:c r="Q339" s="456" t="n">
        <x:f>IF(P339&lt;&gt;"OK","",IF(C339="Guards",-O339,O339))</x:f>
        <x:v>27.74</x:v>
      </x:c>
      <x:c r="R339" s="362" t="str">
        <x:f>IF(P339&lt;&gt;"OK","Not scored",IF(C339="Guards","Damage received reduction","Damage increase"))</x:f>
        <x:v>Damage increase</x:v>
      </x:c>
    </x:row>
    <x:row r="340" ht="32" customHeight="1">
      <x:c r="A340" s="365" t="str">
        <x:v>K170</x:v>
      </x:c>
      <x:c r="B340" s="365" t="str">
        <x:v>(AOT)MONKEY</x:v>
      </x:c>
      <x:c r="C340" s="365" t="str">
        <x:v>Cavalry</x:v>
      </x:c>
      <x:c r="D340" s="365" t="str">
        <x:v>Storm cavalry</x:v>
      </x:c>
      <x:c r="E340" s="365" t="str">
        <x:v>Horse archer</x:v>
      </x:c>
      <x:c r="F340" s="365" t="n">
        <x:v>45</x:v>
      </x:c>
      <x:c r="G340" s="365" t="str">
        <x:v>Mounted Archery</x:v>
      </x:c>
      <x:c r="H340" s="365" t="str">
        <x:v>Has a certain probability of causing fly-shooting damage</x:v>
      </x:c>
      <x:c r="I340" s="365" t="str">
        <x:v>Unlocked</x:v>
      </x:c>
      <x:c r="J340" s="365" t="str">
        <x:v>03:34</x:v>
      </x:c>
      <x:c r="K340" s="365" t="str">
        <x:v>Core name normalized; header exactly: Storm cavalry(Horse archer)</x:v>
      </x:c>
      <x:c r="L340" s="365" t="str">
        <x:v>1000025098.mp4</x:v>
      </x:c>
      <x:c r="M340" s="387" t="n">
        <x:f>IF(P340="OK",INDEX('Badge Lookup'!$B$6:$B$55,MATCH(F340,'Badge Lookup'!$A$6:$A$55,0)),0)</x:f>
        <x:v>560000</x:v>
      </x:c>
      <x:c r="N340" s="387" t="n">
        <x:f>IF(P340="OK",INDEX('Badge Lookup'!$C$6:$C$55,MATCH(F340,'Badge Lookup'!$A$6:$A$55,0)),0)</x:f>
        <x:v>4284300</x:v>
      </x:c>
      <x:c r="O340" s="388" t="n">
        <x:f>IF(P340="OK",INDEX('Badge Lookup'!$D$6:$D$55,MATCH(F340,'Badge Lookup'!$A$6:$A$55,0)),0)</x:f>
        <x:v>41.98</x:v>
      </x:c>
      <x:c r="P340" s="362" t="str">
        <x:f>IF(OR(G340="",F340=""),"Not scored",IF(AND(F340=INT(F340),F340&gt;=1,F340&lt;=50,COUNTIF('Badge Lookup'!$A$6:$A$55,F340)=1),"OK","Check lookup"))</x:f>
        <x:v>OK</x:v>
      </x:c>
      <x:c r="Q340" s="456" t="n">
        <x:f>IF(P340&lt;&gt;"OK","",IF(C340="Guards",-O340,O340))</x:f>
        <x:v>41.98</x:v>
      </x:c>
      <x:c r="R340" s="362" t="str">
        <x:f>IF(P340&lt;&gt;"OK","Not scored",IF(C340="Guards","Damage received reduction","Damage increase"))</x:f>
        <x:v>Damage increase</x:v>
      </x:c>
    </x:row>
    <x:row r="341" ht="32" customHeight="1">
      <x:c r="A341" s="365" t="str">
        <x:v>K170</x:v>
      </x:c>
      <x:c r="B341" s="365" t="str">
        <x:v>(AOT)Paian</x:v>
      </x:c>
      <x:c r="C341" s="365" t="str">
        <x:v>Guards</x:v>
      </x:c>
      <x:c r="D341" s="365" t="str">
        <x:v>Destroyers</x:v>
      </x:c>
      <x:c r="E341" s="365" t="str">
        <x:v>Guard</x:v>
      </x:c>
      <x:c r="F341" s="365" t="n">
        <x:v>40</x:v>
      </x:c>
      <x:c r="G341" s="365" t="str">
        <x:v>Parry</x:v>
      </x:c>
      <x:c r="H341" s="365" t="str">
        <x:v>Provides a parry effect and a certain probability to increase damage</x:v>
      </x:c>
      <x:c r="I341" s="365" t="str">
        <x:v>Unlocked</x:v>
      </x:c>
      <x:c r="J341" s="365" t="str">
        <x:v>03:42</x:v>
      </x:c>
      <x:c r="K341" s="365" t="str">
        <x:v>Header exactly: Destroyers(Guard)</x:v>
      </x:c>
      <x:c r="L341" s="365" t="str">
        <x:v>1000025098.mp4</x:v>
      </x:c>
      <x:c r="M341" s="387" t="n">
        <x:f>IF(P341="OK",INDEX('Badge Lookup'!$B$6:$B$55,MATCH(F341,'Badge Lookup'!$A$6:$A$55,0)),0)</x:f>
        <x:v>240000</x:v>
      </x:c>
      <x:c r="N341" s="387" t="n">
        <x:f>IF(P341="OK",INDEX('Badge Lookup'!$C$6:$C$55,MATCH(F341,'Badge Lookup'!$A$6:$A$55,0)),0)</x:f>
        <x:v>2244300</x:v>
      </x:c>
      <x:c r="O341" s="388" t="n">
        <x:f>IF(P341="OK",INDEX('Badge Lookup'!$D$6:$D$55,MATCH(F341,'Badge Lookup'!$A$6:$A$55,0)),0)</x:f>
        <x:v>27.74</x:v>
      </x:c>
      <x:c r="P341" s="362" t="str">
        <x:f>IF(OR(G341="",F341=""),"Not scored",IF(AND(F341=INT(F341),F341&gt;=1,F341&lt;=50,COUNTIF('Badge Lookup'!$A$6:$A$55,F341)=1),"OK","Check lookup"))</x:f>
        <x:v>OK</x:v>
      </x:c>
      <x:c r="Q341" s="456" t="n">
        <x:f>IF(P341&lt;&gt;"OK","",IF(C341="Guards",-O341,O341))</x:f>
        <x:v>-27.74</x:v>
      </x:c>
      <x:c r="R341" s="362" t="str">
        <x:f>IF(P341&lt;&gt;"OK","Not scored",IF(C341="Guards","Damage received reduction","Damage increase"))</x:f>
        <x:v>Damage received reduction</x:v>
      </x:c>
    </x:row>
    <x:row r="342" ht="32" customHeight="1">
      <x:c r="A342" s="365" t="str">
        <x:v>K170</x:v>
      </x:c>
      <x:c r="B342" s="365" t="str">
        <x:v>(AOT)Paian</x:v>
      </x:c>
      <x:c r="C342" s="365" t="str">
        <x:v>Cavalry</x:v>
      </x:c>
      <x:c r="D342" s="365" t="str">
        <x:v>Storm cavalry</x:v>
      </x:c>
      <x:c r="E342" s="365" t="str">
        <x:v>Horse archer</x:v>
      </x:c>
      <x:c r="F342" s="365" t="n">
        <x:v>43</x:v>
      </x:c>
      <x:c r="G342" s="365" t="str">
        <x:v>Mounted Archery</x:v>
      </x:c>
      <x:c r="H342" s="365" t="str">
        <x:v>Has a certain probability of causing fly-shooting damage</x:v>
      </x:c>
      <x:c r="I342" s="365" t="str">
        <x:v>Unlocked</x:v>
      </x:c>
      <x:c r="J342" s="365" t="str">
        <x:v>03:43</x:v>
      </x:c>
      <x:c r="K342" s="365" t="str">
        <x:v>Header exactly: Storm cavalry(Horse archer)</x:v>
      </x:c>
      <x:c r="L342" s="365" t="str">
        <x:v>1000025098.mp4</x:v>
      </x:c>
      <x:c r="M342" s="387" t="n">
        <x:f>IF(P342="OK",INDEX('Badge Lookup'!$B$6:$B$55,MATCH(F342,'Badge Lookup'!$A$6:$A$55,0)),0)</x:f>
        <x:v>400000</x:v>
      </x:c>
      <x:c r="N342" s="387" t="n">
        <x:f>IF(P342="OK",INDEX('Badge Lookup'!$C$6:$C$55,MATCH(F342,'Badge Lookup'!$A$6:$A$55,0)),0)</x:f>
        <x:v>3244300</x:v>
      </x:c>
      <x:c r="O342" s="388" t="n">
        <x:f>IF(P342="OK",INDEX('Badge Lookup'!$D$6:$D$55,MATCH(F342,'Badge Lookup'!$A$6:$A$55,0)),0)</x:f>
        <x:v>35.98</x:v>
      </x:c>
      <x:c r="P342" s="362" t="str">
        <x:f>IF(OR(G342="",F342=""),"Not scored",IF(AND(F342=INT(F342),F342&gt;=1,F342&lt;=50,COUNTIF('Badge Lookup'!$A$6:$A$55,F342)=1),"OK","Check lookup"))</x:f>
        <x:v>OK</x:v>
      </x:c>
      <x:c r="Q342" s="456" t="n">
        <x:f>IF(P342&lt;&gt;"OK","",IF(C342="Guards",-O342,O342))</x:f>
        <x:v>35.98</x:v>
      </x:c>
      <x:c r="R342" s="362" t="str">
        <x:f>IF(P342&lt;&gt;"OK","Not scored",IF(C342="Guards","Damage received reduction","Damage increase"))</x:f>
        <x:v>Damage increase</x:v>
      </x:c>
    </x:row>
    <x:row r="343" ht="32" customHeight="1">
      <x:c r="A343" s="365" t="str">
        <x:v>K170</x:v>
      </x:c>
      <x:c r="B343" s="365" t="str">
        <x:v>(AOT)Matis</x:v>
      </x:c>
      <x:c r="C343" s="365" t="str">
        <x:v>Guards</x:v>
      </x:c>
      <x:c r="D343" s="365" t="str">
        <x:v>Destroyers</x:v>
      </x:c>
      <x:c r="E343" s="365" t="str">
        <x:v>Guard</x:v>
      </x:c>
      <x:c r="F343" s="365" t="n">
        <x:v>48</x:v>
      </x:c>
      <x:c r="G343" s="365" t="str">
        <x:v>Parry</x:v>
      </x:c>
      <x:c r="H343" s="365" t="str">
        <x:v>Provides a parry effect and a certain probability to increase damage</x:v>
      </x:c>
      <x:c r="I343" s="365" t="str">
        <x:v>Unlocked</x:v>
      </x:c>
      <x:c r="J343" s="365" t="str">
        <x:v>03:52</x:v>
      </x:c>
      <x:c r="K343" s="365" t="str">
        <x:v>Header exactly: Destroyers(Guard)</x:v>
      </x:c>
      <x:c r="L343" s="365" t="str">
        <x:v>1000025098.mp4</x:v>
      </x:c>
      <x:c r="M343" s="387" t="n">
        <x:f>IF(P343="OK",INDEX('Badge Lookup'!$B$6:$B$55,MATCH(F343,'Badge Lookup'!$A$6:$A$55,0)),0)</x:f>
        <x:v>1050000</x:v>
      </x:c>
      <x:c r="N343" s="387" t="n">
        <x:f>IF(P343="OK",INDEX('Badge Lookup'!$C$6:$C$55,MATCH(F343,'Badge Lookup'!$A$6:$A$55,0)),0)</x:f>
        <x:v>6934300</x:v>
      </x:c>
      <x:c r="O343" s="388" t="n">
        <x:f>IF(P343="OK",INDEX('Badge Lookup'!$D$6:$D$55,MATCH(F343,'Badge Lookup'!$A$6:$A$55,0)),0)</x:f>
        <x:v>51.74</x:v>
      </x:c>
      <x:c r="P343" s="362" t="str">
        <x:f>IF(OR(G343="",F343=""),"Not scored",IF(AND(F343=INT(F343),F343&gt;=1,F343&lt;=50,COUNTIF('Badge Lookup'!$A$6:$A$55,F343)=1),"OK","Check lookup"))</x:f>
        <x:v>OK</x:v>
      </x:c>
      <x:c r="Q343" s="456" t="n">
        <x:f>IF(P343&lt;&gt;"OK","",IF(C343="Guards",-O343,O343))</x:f>
        <x:v>-51.74</x:v>
      </x:c>
      <x:c r="R343" s="362" t="str">
        <x:f>IF(P343&lt;&gt;"OK","Not scored",IF(C343="Guards","Damage received reduction","Damage increase"))</x:f>
        <x:v>Damage received reduction</x:v>
      </x:c>
    </x:row>
    <x:row r="344" ht="32" customHeight="1">
      <x:c r="A344" s="365" t="str">
        <x:v>K170</x:v>
      </x:c>
      <x:c r="B344" s="365" t="str">
        <x:v>(AOT)Matis</x:v>
      </x:c>
      <x:c r="C344" s="365" t="str">
        <x:v>Archers</x:v>
      </x:c>
      <x:c r="D344" s="365" t="str">
        <x:v>Elite bowmen</x:v>
      </x:c>
      <x:c r="E344" s="365" t="str">
        <x:v>Archer</x:v>
      </x:c>
      <x:c r="F344" s="365" t="n">
        <x:v>28</x:v>
      </x:c>
      <x:c r="G344" s="365" t="str">
        <x:v>Frost Arrow</x:v>
      </x:c>
      <x:c r="H344" s="365" t="str">
        <x:v>Has a higher probability of activating ice damage</x:v>
      </x:c>
      <x:c r="I344" s="365" t="str">
        <x:v>Unlocked</x:v>
      </x:c>
      <x:c r="J344" s="365" t="str">
        <x:v>03:54</x:v>
      </x:c>
      <x:c r="K344" s="365" t="str">
        <x:v>Header exactly: Elite bowmen(Archer)</x:v>
      </x:c>
      <x:c r="L344" s="365" t="str">
        <x:v>1000025098.mp4</x:v>
      </x:c>
      <x:c r="M344" s="387" t="n">
        <x:f>IF(P344="OK",INDEX('Badge Lookup'!$B$6:$B$55,MATCH(F344,'Badge Lookup'!$A$6:$A$55,0)),0)</x:f>
        <x:v>70000</x:v>
      </x:c>
      <x:c r="N344" s="387" t="n">
        <x:f>IF(P344="OK",INDEX('Badge Lookup'!$C$6:$C$55,MATCH(F344,'Badge Lookup'!$A$6:$A$55,0)),0)</x:f>
        <x:v>619300</x:v>
      </x:c>
      <x:c r="O344" s="388" t="n">
        <x:f>IF(P344="OK",INDEX('Badge Lookup'!$D$6:$D$55,MATCH(F344,'Badge Lookup'!$A$6:$A$55,0)),0)</x:f>
        <x:v>8.24</x:v>
      </x:c>
      <x:c r="P344" s="362" t="str">
        <x:f>IF(OR(G344="",F344=""),"Not scored",IF(AND(F344=INT(F344),F344&gt;=1,F344&lt;=50,COUNTIF('Badge Lookup'!$A$6:$A$55,F344)=1),"OK","Check lookup"))</x:f>
        <x:v>OK</x:v>
      </x:c>
      <x:c r="Q344" s="456" t="n">
        <x:f>IF(P344&lt;&gt;"OK","",IF(C344="Guards",-O344,O344))</x:f>
        <x:v>8.24</x:v>
      </x:c>
      <x:c r="R344" s="362" t="str">
        <x:f>IF(P344&lt;&gt;"OK","Not scored",IF(C344="Guards","Damage received reduction","Damage increase"))</x:f>
        <x:v>Damage increase</x:v>
      </x:c>
    </x:row>
    <x:row r="345" ht="32" customHeight="1">
      <x:c r="A345" s="365" t="str">
        <x:v>K170</x:v>
      </x:c>
      <x:c r="B345" s="365" t="str">
        <x:v>(AOT)Matis</x:v>
      </x:c>
      <x:c r="C345" s="365" t="str">
        <x:v>Cavalry</x:v>
      </x:c>
      <x:c r="D345" s="365" t="str">
        <x:v>Storm cavalry</x:v>
      </x:c>
      <x:c r="E345" s="365" t="str">
        <x:v>Horse archer</x:v>
      </x:c>
      <x:c r="F345" s="365" t="n">
        <x:v>42</x:v>
      </x:c>
      <x:c r="G345" s="365" t="str">
        <x:v>Mounted Archery</x:v>
      </x:c>
      <x:c r="H345" s="365" t="str">
        <x:v>Has a certain probability of causing fly-shooting damage</x:v>
      </x:c>
      <x:c r="I345" s="365" t="str">
        <x:v>Unlocked</x:v>
      </x:c>
      <x:c r="J345" s="365" t="str">
        <x:v>03:55</x:v>
      </x:c>
      <x:c r="K345" s="365" t="str">
        <x:v>Header exactly: Storm cavalry(Horse archer)</x:v>
      </x:c>
      <x:c r="L345" s="365" t="str">
        <x:v>1000025098.mp4</x:v>
      </x:c>
      <x:c r="M345" s="387" t="n">
        <x:f>IF(P345="OK",INDEX('Badge Lookup'!$B$6:$B$55,MATCH(F345,'Badge Lookup'!$A$6:$A$55,0)),0)</x:f>
        <x:v>320000</x:v>
      </x:c>
      <x:c r="N345" s="387" t="n">
        <x:f>IF(P345="OK",INDEX('Badge Lookup'!$C$6:$C$55,MATCH(F345,'Badge Lookup'!$A$6:$A$55,0)),0)</x:f>
        <x:v>2844300</x:v>
      </x:c>
      <x:c r="O345" s="388" t="n">
        <x:f>IF(P345="OK",INDEX('Badge Lookup'!$D$6:$D$55,MATCH(F345,'Badge Lookup'!$A$6:$A$55,0)),0)</x:f>
        <x:v>33.13</x:v>
      </x:c>
      <x:c r="P345" s="362" t="str">
        <x:f>IF(OR(G345="",F345=""),"Not scored",IF(AND(F345=INT(F345),F345&gt;=1,F345&lt;=50,COUNTIF('Badge Lookup'!$A$6:$A$55,F345)=1),"OK","Check lookup"))</x:f>
        <x:v>OK</x:v>
      </x:c>
      <x:c r="Q345" s="456" t="n">
        <x:f>IF(P345&lt;&gt;"OK","",IF(C345="Guards",-O345,O345))</x:f>
        <x:v>33.13</x:v>
      </x:c>
      <x:c r="R345" s="362" t="str">
        <x:f>IF(P345&lt;&gt;"OK","Not scored",IF(C345="Guards","Damage received reduction","Damage increase"))</x:f>
        <x:v>Damage increase</x:v>
      </x:c>
    </x:row>
    <x:row r="346" ht="32" customHeight="1">
      <x:c r="A346" s="365" t="str">
        <x:v>K170</x:v>
      </x:c>
      <x:c r="B346" s="365" t="str">
        <x:v>(AOT)BAT</x:v>
      </x:c>
      <x:c r="C346" s="365" t="str">
        <x:v>Guards</x:v>
      </x:c>
      <x:c r="D346" s="365" t="str">
        <x:v>Destroyers</x:v>
      </x:c>
      <x:c r="E346" s="365" t="str">
        <x:v>Guard</x:v>
      </x:c>
      <x:c r="F346" s="365" t="n">
        <x:v>48</x:v>
      </x:c>
      <x:c r="G346" s="365" t="str">
        <x:v>Parry</x:v>
      </x:c>
      <x:c r="H346" s="365" t="str">
        <x:v>Provides a parry effect and a certain probability to increase damage</x:v>
      </x:c>
      <x:c r="I346" s="365" t="str">
        <x:v>Unlocked</x:v>
      </x:c>
      <x:c r="J346" s="365" t="str">
        <x:v>04:06</x:v>
      </x:c>
      <x:c r="K346" s="365" t="str">
        <x:v>Header exactly: Destroyers(Guard)</x:v>
      </x:c>
      <x:c r="L346" s="365" t="str">
        <x:v>1000025098.mp4</x:v>
      </x:c>
      <x:c r="M346" s="387" t="n">
        <x:f>IF(P346="OK",INDEX('Badge Lookup'!$B$6:$B$55,MATCH(F346,'Badge Lookup'!$A$6:$A$55,0)),0)</x:f>
        <x:v>1050000</x:v>
      </x:c>
      <x:c r="N346" s="387" t="n">
        <x:f>IF(P346="OK",INDEX('Badge Lookup'!$C$6:$C$55,MATCH(F346,'Badge Lookup'!$A$6:$A$55,0)),0)</x:f>
        <x:v>6934300</x:v>
      </x:c>
      <x:c r="O346" s="388" t="n">
        <x:f>IF(P346="OK",INDEX('Badge Lookup'!$D$6:$D$55,MATCH(F346,'Badge Lookup'!$A$6:$A$55,0)),0)</x:f>
        <x:v>51.74</x:v>
      </x:c>
      <x:c r="P346" s="362" t="str">
        <x:f>IF(OR(G346="",F346=""),"Not scored",IF(AND(F346=INT(F346),F346&gt;=1,F346&lt;=50,COUNTIF('Badge Lookup'!$A$6:$A$55,F346)=1),"OK","Check lookup"))</x:f>
        <x:v>OK</x:v>
      </x:c>
      <x:c r="Q346" s="456" t="n">
        <x:f>IF(P346&lt;&gt;"OK","",IF(C346="Guards",-O346,O346))</x:f>
        <x:v>-51.74</x:v>
      </x:c>
      <x:c r="R346" s="362" t="str">
        <x:f>IF(P346&lt;&gt;"OK","Not scored",IF(C346="Guards","Damage received reduction","Damage increase"))</x:f>
        <x:v>Damage received reduction</x:v>
      </x:c>
    </x:row>
    <x:row r="347" ht="32" customHeight="1">
      <x:c r="A347" s="365" t="str">
        <x:v>K170</x:v>
      </x:c>
      <x:c r="B347" s="365" t="str">
        <x:v>(AOT)BAT</x:v>
      </x:c>
      <x:c r="C347" s="365" t="str">
        <x:v>Cavalry</x:v>
      </x:c>
      <x:c r="D347" s="365" t="str">
        <x:v>Eternal knights</x:v>
      </x:c>
      <x:c r="E347" s="365" t="str">
        <x:v>Heavy Cavalry</x:v>
      </x:c>
      <x:c r="F347" s="365" t="n">
        <x:v>43</x:v>
      </x:c>
      <x:c r="G347" s="365" t="str">
        <x:v>Thunder trample</x:v>
      </x:c>
      <x:c r="H347" s="365" t="str">
        <x:v>Has a certain probability of causing trampling damage</x:v>
      </x:c>
      <x:c r="I347" s="365" t="str">
        <x:v>Unlocked</x:v>
      </x:c>
      <x:c r="J347" s="365" t="str">
        <x:v>04:07</x:v>
      </x:c>
      <x:c r="K347" s="365" t="str">
        <x:v>Header exactly: Eternal knights(Heavy Cavalry)</x:v>
      </x:c>
      <x:c r="L347" s="365" t="str">
        <x:v>1000025098.mp4</x:v>
      </x:c>
      <x:c r="M347" s="387" t="n">
        <x:f>IF(P347="OK",INDEX('Badge Lookup'!$B$6:$B$55,MATCH(F347,'Badge Lookup'!$A$6:$A$55,0)),0)</x:f>
        <x:v>400000</x:v>
      </x:c>
      <x:c r="N347" s="387" t="n">
        <x:f>IF(P347="OK",INDEX('Badge Lookup'!$C$6:$C$55,MATCH(F347,'Badge Lookup'!$A$6:$A$55,0)),0)</x:f>
        <x:v>3244300</x:v>
      </x:c>
      <x:c r="O347" s="388" t="n">
        <x:f>IF(P347="OK",INDEX('Badge Lookup'!$D$6:$D$55,MATCH(F347,'Badge Lookup'!$A$6:$A$55,0)),0)</x:f>
        <x:v>35.98</x:v>
      </x:c>
      <x:c r="P347" s="362" t="str">
        <x:f>IF(OR(G347="",F347=""),"Not scored",IF(AND(F347=INT(F347),F347&gt;=1,F347&lt;=50,COUNTIF('Badge Lookup'!$A$6:$A$55,F347)=1),"OK","Check lookup"))</x:f>
        <x:v>OK</x:v>
      </x:c>
      <x:c r="Q347" s="456" t="n">
        <x:f>IF(P347&lt;&gt;"OK","",IF(C347="Guards",-O347,O347))</x:f>
        <x:v>35.98</x:v>
      </x:c>
      <x:c r="R347" s="362" t="str">
        <x:f>IF(P347&lt;&gt;"OK","Not scored",IF(C347="Guards","Damage received reduction","Damage increase"))</x:f>
        <x:v>Damage increase</x:v>
      </x:c>
    </x:row>
    <x:row r="348" ht="32" customHeight="1">
      <x:c r="A348" s="365" t="str">
        <x:v>K170</x:v>
      </x:c>
      <x:c r="B348" s="365" t="str">
        <x:v>(AOT)BAT</x:v>
      </x:c>
      <x:c r="C348" s="365" t="str">
        <x:v>Cavalry</x:v>
      </x:c>
      <x:c r="D348" s="365" t="str">
        <x:v>Storm cavalry</x:v>
      </x:c>
      <x:c r="E348" s="365" t="str">
        <x:v>Horse archer</x:v>
      </x:c>
      <x:c r="F348" s="365" t="n">
        <x:v>40</x:v>
      </x:c>
      <x:c r="G348" s="365" t="str">
        <x:v>Mounted Archery</x:v>
      </x:c>
      <x:c r="H348" s="365" t="str">
        <x:v>Has a certain probability of causing fly-shooting damage</x:v>
      </x:c>
      <x:c r="I348" s="365" t="str">
        <x:v>Unlocked</x:v>
      </x:c>
      <x:c r="J348" s="365" t="str">
        <x:v>04:07.50</x:v>
      </x:c>
      <x:c r="K348" s="365" t="str">
        <x:v>Header exactly: Storm cavalry(Horse archer)</x:v>
      </x:c>
      <x:c r="L348" s="365" t="str">
        <x:v>1000025098.mp4</x:v>
      </x:c>
      <x:c r="M348" s="387" t="n">
        <x:f>IF(P348="OK",INDEX('Badge Lookup'!$B$6:$B$55,MATCH(F348,'Badge Lookup'!$A$6:$A$55,0)),0)</x:f>
        <x:v>240000</x:v>
      </x:c>
      <x:c r="N348" s="387" t="n">
        <x:f>IF(P348="OK",INDEX('Badge Lookup'!$C$6:$C$55,MATCH(F348,'Badge Lookup'!$A$6:$A$55,0)),0)</x:f>
        <x:v>2244300</x:v>
      </x:c>
      <x:c r="O348" s="388" t="n">
        <x:f>IF(P348="OK",INDEX('Badge Lookup'!$D$6:$D$55,MATCH(F348,'Badge Lookup'!$A$6:$A$55,0)),0)</x:f>
        <x:v>27.74</x:v>
      </x:c>
      <x:c r="P348" s="362" t="str">
        <x:f>IF(OR(G348="",F348=""),"Not scored",IF(AND(F348=INT(F348),F348&gt;=1,F348&lt;=50,COUNTIF('Badge Lookup'!$A$6:$A$55,F348)=1),"OK","Check lookup"))</x:f>
        <x:v>OK</x:v>
      </x:c>
      <x:c r="Q348" s="456" t="n">
        <x:f>IF(P348&lt;&gt;"OK","",IF(C348="Guards",-O348,O348))</x:f>
        <x:v>27.74</x:v>
      </x:c>
      <x:c r="R348" s="362" t="str">
        <x:f>IF(P348&lt;&gt;"OK","Not scored",IF(C348="Guards","Damage received reduction","Damage increase"))</x:f>
        <x:v>Damage increase</x:v>
      </x:c>
    </x:row>
    <x:row r="349" ht="32" customHeight="1">
      <x:c r="A349" s="365" t="str">
        <x:v>K170</x:v>
      </x:c>
      <x:c r="B349" s="365" t="str">
        <x:v>(AOT)金木研_254</x:v>
      </x:c>
      <x:c r="C349" s="365" t="str">
        <x:v>Guards</x:v>
      </x:c>
      <x:c r="D349" s="365" t="str">
        <x:v>Destroyers</x:v>
      </x:c>
      <x:c r="E349" s="365" t="str">
        <x:v>Guard</x:v>
      </x:c>
      <x:c r="F349" s="365" t="n">
        <x:v>45</x:v>
      </x:c>
      <x:c r="G349" s="365" t="str">
        <x:v>Parry</x:v>
      </x:c>
      <x:c r="H349" s="365" t="str">
        <x:v>Provides a parry effect and a certain probability to increase damage</x:v>
      </x:c>
      <x:c r="I349" s="365" t="str">
        <x:v>Unlocked</x:v>
      </x:c>
      <x:c r="J349" s="365" t="str">
        <x:v>04:17</x:v>
      </x:c>
      <x:c r="K349" s="365" t="str">
        <x:v>Header exactly: Destroyers(Guard)</x:v>
      </x:c>
      <x:c r="L349" s="365" t="str">
        <x:v>1000025098.mp4</x:v>
      </x:c>
      <x:c r="M349" s="387" t="n">
        <x:f>IF(P349="OK",INDEX('Badge Lookup'!$B$6:$B$55,MATCH(F349,'Badge Lookup'!$A$6:$A$55,0)),0)</x:f>
        <x:v>560000</x:v>
      </x:c>
      <x:c r="N349" s="387" t="n">
        <x:f>IF(P349="OK",INDEX('Badge Lookup'!$C$6:$C$55,MATCH(F349,'Badge Lookup'!$A$6:$A$55,0)),0)</x:f>
        <x:v>4284300</x:v>
      </x:c>
      <x:c r="O349" s="388" t="n">
        <x:f>IF(P349="OK",INDEX('Badge Lookup'!$D$6:$D$55,MATCH(F349,'Badge Lookup'!$A$6:$A$55,0)),0)</x:f>
        <x:v>41.98</x:v>
      </x:c>
      <x:c r="P349" s="362" t="str">
        <x:f>IF(OR(G349="",F349=""),"Not scored",IF(AND(F349=INT(F349),F349&gt;=1,F349&lt;=50,COUNTIF('Badge Lookup'!$A$6:$A$55,F349)=1),"OK","Check lookup"))</x:f>
        <x:v>OK</x:v>
      </x:c>
      <x:c r="Q349" s="456" t="n">
        <x:f>IF(P349&lt;&gt;"OK","",IF(C349="Guards",-O349,O349))</x:f>
        <x:v>-41.98</x:v>
      </x:c>
      <x:c r="R349" s="362" t="str">
        <x:f>IF(P349&lt;&gt;"OK","Not scored",IF(C349="Guards","Damage received reduction","Damage increase"))</x:f>
        <x:v>Damage received reduction</x:v>
      </x:c>
    </x:row>
    <x:row r="350" ht="32" customHeight="1">
      <x:c r="A350" s="365" t="str">
        <x:v>K170</x:v>
      </x:c>
      <x:c r="B350" s="365" t="str">
        <x:v>(AOT)金木研_254</x:v>
      </x:c>
      <x:c r="C350" s="365" t="str">
        <x:v>Cavalry</x:v>
      </x:c>
      <x:c r="D350" s="365" t="str">
        <x:v>Eternal knights</x:v>
      </x:c>
      <x:c r="E350" s="365" t="str">
        <x:v>Heavy Cavalry</x:v>
      </x:c>
      <x:c r="F350" s="365" t="n">
        <x:v>40</x:v>
      </x:c>
      <x:c r="G350" s="365" t="str">
        <x:v>Thunder trample</x:v>
      </x:c>
      <x:c r="H350" s="365" t="str">
        <x:v>Has a certain probability of causing trampling damage</x:v>
      </x:c>
      <x:c r="I350" s="365" t="str">
        <x:v>Unlocked</x:v>
      </x:c>
      <x:c r="J350" s="365" t="str">
        <x:v>04:18</x:v>
      </x:c>
      <x:c r="K350" s="365" t="str">
        <x:v>Header exactly: Eternal knights(Heavy Cavalry)</x:v>
      </x:c>
      <x:c r="L350" s="365" t="str">
        <x:v>1000025098.mp4</x:v>
      </x:c>
      <x:c r="M350" s="387" t="n">
        <x:f>IF(P350="OK",INDEX('Badge Lookup'!$B$6:$B$55,MATCH(F350,'Badge Lookup'!$A$6:$A$55,0)),0)</x:f>
        <x:v>240000</x:v>
      </x:c>
      <x:c r="N350" s="387" t="n">
        <x:f>IF(P350="OK",INDEX('Badge Lookup'!$C$6:$C$55,MATCH(F350,'Badge Lookup'!$A$6:$A$55,0)),0)</x:f>
        <x:v>2244300</x:v>
      </x:c>
      <x:c r="O350" s="388" t="n">
        <x:f>IF(P350="OK",INDEX('Badge Lookup'!$D$6:$D$55,MATCH(F350,'Badge Lookup'!$A$6:$A$55,0)),0)</x:f>
        <x:v>27.74</x:v>
      </x:c>
      <x:c r="P350" s="362" t="str">
        <x:f>IF(OR(G350="",F350=""),"Not scored",IF(AND(F350=INT(F350),F350&gt;=1,F350&lt;=50,COUNTIF('Badge Lookup'!$A$6:$A$55,F350)=1),"OK","Check lookup"))</x:f>
        <x:v>OK</x:v>
      </x:c>
      <x:c r="Q350" s="456" t="n">
        <x:f>IF(P350&lt;&gt;"OK","",IF(C350="Guards",-O350,O350))</x:f>
        <x:v>27.74</x:v>
      </x:c>
      <x:c r="R350" s="362" t="str">
        <x:f>IF(P350&lt;&gt;"OK","Not scored",IF(C350="Guards","Damage received reduction","Damage increase"))</x:f>
        <x:v>Damage increase</x:v>
      </x:c>
    </x:row>
    <x:row r="351" ht="32" customHeight="1">
      <x:c r="A351" s="365" t="str">
        <x:v>K170</x:v>
      </x:c>
      <x:c r="B351" s="365" t="str">
        <x:v>(AOT)金木研_254</x:v>
      </x:c>
      <x:c r="C351" s="365" t="str">
        <x:v>Cavalry</x:v>
      </x:c>
      <x:c r="D351" s="365" t="str">
        <x:v>Storm cavalry</x:v>
      </x:c>
      <x:c r="E351" s="365" t="str">
        <x:v>Horse archer</x:v>
      </x:c>
      <x:c r="F351" s="365" t="n">
        <x:v>48</x:v>
      </x:c>
      <x:c r="G351" s="365" t="str">
        <x:v>Mounted Archery</x:v>
      </x:c>
      <x:c r="H351" s="365" t="str">
        <x:v>Has a certain probability of causing fly-shooting damage</x:v>
      </x:c>
      <x:c r="I351" s="365" t="str">
        <x:v>Unlocked</x:v>
      </x:c>
      <x:c r="J351" s="365" t="str">
        <x:v>04:19</x:v>
      </x:c>
      <x:c r="K351" s="365" t="str">
        <x:v>Header exactly: Storm cavalry(Horse archer)</x:v>
      </x:c>
      <x:c r="L351" s="365" t="str">
        <x:v>1000025098.mp4</x:v>
      </x:c>
      <x:c r="M351" s="387" t="n">
        <x:f>IF(P351="OK",INDEX('Badge Lookup'!$B$6:$B$55,MATCH(F351,'Badge Lookup'!$A$6:$A$55,0)),0)</x:f>
        <x:v>1050000</x:v>
      </x:c>
      <x:c r="N351" s="387" t="n">
        <x:f>IF(P351="OK",INDEX('Badge Lookup'!$C$6:$C$55,MATCH(F351,'Badge Lookup'!$A$6:$A$55,0)),0)</x:f>
        <x:v>6934300</x:v>
      </x:c>
      <x:c r="O351" s="388" t="n">
        <x:f>IF(P351="OK",INDEX('Badge Lookup'!$D$6:$D$55,MATCH(F351,'Badge Lookup'!$A$6:$A$55,0)),0)</x:f>
        <x:v>51.74</x:v>
      </x:c>
      <x:c r="P351" s="362" t="str">
        <x:f>IF(OR(G351="",F351=""),"Not scored",IF(AND(F351=INT(F351),F351&gt;=1,F351&lt;=50,COUNTIF('Badge Lookup'!$A$6:$A$55,F351)=1),"OK","Check lookup"))</x:f>
        <x:v>OK</x:v>
      </x:c>
      <x:c r="Q351" s="456" t="n">
        <x:f>IF(P351&lt;&gt;"OK","",IF(C351="Guards",-O351,O351))</x:f>
        <x:v>51.74</x:v>
      </x:c>
      <x:c r="R351" s="362" t="str">
        <x:f>IF(P351&lt;&gt;"OK","Not scored",IF(C351="Guards","Damage received reduction","Damage increase"))</x:f>
        <x:v>Damage increase</x:v>
      </x:c>
    </x:row>
    <x:row r="352" ht="32" customHeight="1">
      <x:c r="A352" s="365" t="str">
        <x:v>K170</x:v>
      </x:c>
      <x:c r="B352" s="365" t="str">
        <x:v>(AOT)MG·Yu</x:v>
      </x:c>
      <x:c r="C352" s="365" t="str">
        <x:v>Guards</x:v>
      </x:c>
      <x:c r="D352" s="365" t="str">
        <x:v>Destroyers</x:v>
      </x:c>
      <x:c r="E352" s="365" t="str">
        <x:v>Guard</x:v>
      </x:c>
      <x:c r="F352" s="365" t="n">
        <x:v>46</x:v>
      </x:c>
      <x:c r="G352" s="365" t="str">
        <x:v>Parry</x:v>
      </x:c>
      <x:c r="H352" s="365" t="str">
        <x:v>Provides a parry effect and a certain probability to increase damage</x:v>
      </x:c>
      <x:c r="I352" s="365" t="str">
        <x:v>Unlocked</x:v>
      </x:c>
      <x:c r="J352" s="365" t="str">
        <x:v>04:25.25</x:v>
      </x:c>
      <x:c r="K352" s="365" t="str">
        <x:v>Header exactly: Destroyers(Guard)</x:v>
      </x:c>
      <x:c r="L352" s="365" t="str">
        <x:v>1000025098.mp4</x:v>
      </x:c>
      <x:c r="M352" s="387" t="n">
        <x:f>IF(P352="OK",INDEX('Badge Lookup'!$B$6:$B$55,MATCH(F352,'Badge Lookup'!$A$6:$A$55,0)),0)</x:f>
        <x:v>720000</x:v>
      </x:c>
      <x:c r="N352" s="387" t="n">
        <x:f>IF(P352="OK",INDEX('Badge Lookup'!$C$6:$C$55,MATCH(F352,'Badge Lookup'!$A$6:$A$55,0)),0)</x:f>
        <x:v>5004300</x:v>
      </x:c>
      <x:c r="O352" s="388" t="n">
        <x:f>IF(P352="OK",INDEX('Badge Lookup'!$D$6:$D$55,MATCH(F352,'Badge Lookup'!$A$6:$A$55,0)),0)</x:f>
        <x:v>45.13</x:v>
      </x:c>
      <x:c r="P352" s="362" t="str">
        <x:f>IF(OR(G352="",F352=""),"Not scored",IF(AND(F352=INT(F352),F352&gt;=1,F352&lt;=50,COUNTIF('Badge Lookup'!$A$6:$A$55,F352)=1),"OK","Check lookup"))</x:f>
        <x:v>OK</x:v>
      </x:c>
      <x:c r="Q352" s="456" t="n">
        <x:f>IF(P352&lt;&gt;"OK","",IF(C352="Guards",-O352,O352))</x:f>
        <x:v>-45.13</x:v>
      </x:c>
      <x:c r="R352" s="362" t="str">
        <x:f>IF(P352&lt;&gt;"OK","Not scored",IF(C352="Guards","Damage received reduction","Damage increase"))</x:f>
        <x:v>Damage received reduction</x:v>
      </x:c>
    </x:row>
    <x:row r="353" ht="32" customHeight="1">
      <x:c r="A353" s="365" t="str">
        <x:v>K170</x:v>
      </x:c>
      <x:c r="B353" s="365" t="str">
        <x:v>(AOT)MG·Yu</x:v>
      </x:c>
      <x:c r="C353" s="365" t="str">
        <x:v>Cavalry</x:v>
      </x:c>
      <x:c r="D353" s="365" t="str">
        <x:v>Eternal knights</x:v>
      </x:c>
      <x:c r="E353" s="365" t="str">
        <x:v>Heavy Cavalry</x:v>
      </x:c>
      <x:c r="F353" s="365" t="n">
        <x:v>46</x:v>
      </x:c>
      <x:c r="G353" s="365" t="str">
        <x:v>Thunder trample</x:v>
      </x:c>
      <x:c r="H353" s="365" t="str">
        <x:v>Has a certain probability of causing trampling damage</x:v>
      </x:c>
      <x:c r="I353" s="365" t="str">
        <x:v>Unlocked</x:v>
      </x:c>
      <x:c r="J353" s="365" t="str">
        <x:v>04:26.50</x:v>
      </x:c>
      <x:c r="K353" s="365" t="str">
        <x:v>Header exactly: Eternal knights(Heavy Cavalry)</x:v>
      </x:c>
      <x:c r="L353" s="365" t="str">
        <x:v>1000025098.mp4</x:v>
      </x:c>
      <x:c r="M353" s="387" t="n">
        <x:f>IF(P353="OK",INDEX('Badge Lookup'!$B$6:$B$55,MATCH(F353,'Badge Lookup'!$A$6:$A$55,0)),0)</x:f>
        <x:v>720000</x:v>
      </x:c>
      <x:c r="N353" s="387" t="n">
        <x:f>IF(P353="OK",INDEX('Badge Lookup'!$C$6:$C$55,MATCH(F353,'Badge Lookup'!$A$6:$A$55,0)),0)</x:f>
        <x:v>5004300</x:v>
      </x:c>
      <x:c r="O353" s="388" t="n">
        <x:f>IF(P353="OK",INDEX('Badge Lookup'!$D$6:$D$55,MATCH(F353,'Badge Lookup'!$A$6:$A$55,0)),0)</x:f>
        <x:v>45.13</x:v>
      </x:c>
      <x:c r="P353" s="362" t="str">
        <x:f>IF(OR(G353="",F353=""),"Not scored",IF(AND(F353=INT(F353),F353&gt;=1,F353&lt;=50,COUNTIF('Badge Lookup'!$A$6:$A$55,F353)=1),"OK","Check lookup"))</x:f>
        <x:v>OK</x:v>
      </x:c>
      <x:c r="Q353" s="456" t="n">
        <x:f>IF(P353&lt;&gt;"OK","",IF(C353="Guards",-O353,O353))</x:f>
        <x:v>45.13</x:v>
      </x:c>
      <x:c r="R353" s="362" t="str">
        <x:f>IF(P353&lt;&gt;"OK","Not scored",IF(C353="Guards","Damage received reduction","Damage increase"))</x:f>
        <x:v>Damage increase</x:v>
      </x:c>
    </x:row>
    <x:row r="354" ht="32" customHeight="1">
      <x:c r="A354" s="365" t="str">
        <x:v>K170</x:v>
      </x:c>
      <x:c r="B354" s="365" t="str">
        <x:v>(AOT)MG·Yu</x:v>
      </x:c>
      <x:c r="C354" s="365" t="str">
        <x:v>Archers</x:v>
      </x:c>
      <x:c r="D354" s="365" t="str">
        <x:v>Elite bowmen</x:v>
      </x:c>
      <x:c r="E354" s="365" t="str">
        <x:v>Archer</x:v>
      </x:c>
      <x:c r="F354" s="365" t="n">
        <x:v>43</x:v>
      </x:c>
      <x:c r="G354" s="365" t="str">
        <x:v>Frost Arrow</x:v>
      </x:c>
      <x:c r="H354" s="365" t="str">
        <x:v>Has a higher probability of activating ice damage</x:v>
      </x:c>
      <x:c r="I354" s="365" t="str">
        <x:v>Unlocked</x:v>
      </x:c>
      <x:c r="J354" s="365" t="str">
        <x:v>04:27.75</x:v>
      </x:c>
      <x:c r="K354" s="365" t="str">
        <x:v>Header exactly: Elite bowmen(Archer)</x:v>
      </x:c>
      <x:c r="L354" s="365" t="str">
        <x:v>1000025098.mp4</x:v>
      </x:c>
      <x:c r="M354" s="387" t="n">
        <x:f>IF(P354="OK",INDEX('Badge Lookup'!$B$6:$B$55,MATCH(F354,'Badge Lookup'!$A$6:$A$55,0)),0)</x:f>
        <x:v>400000</x:v>
      </x:c>
      <x:c r="N354" s="387" t="n">
        <x:f>IF(P354="OK",INDEX('Badge Lookup'!$C$6:$C$55,MATCH(F354,'Badge Lookup'!$A$6:$A$55,0)),0)</x:f>
        <x:v>3244300</x:v>
      </x:c>
      <x:c r="O354" s="388" t="n">
        <x:f>IF(P354="OK",INDEX('Badge Lookup'!$D$6:$D$55,MATCH(F354,'Badge Lookup'!$A$6:$A$55,0)),0)</x:f>
        <x:v>35.98</x:v>
      </x:c>
      <x:c r="P354" s="362" t="str">
        <x:f>IF(OR(G354="",F354=""),"Not scored",IF(AND(F354=INT(F354),F354&gt;=1,F354&lt;=50,COUNTIF('Badge Lookup'!$A$6:$A$55,F354)=1),"OK","Check lookup"))</x:f>
        <x:v>OK</x:v>
      </x:c>
      <x:c r="Q354" s="456" t="n">
        <x:f>IF(P354&lt;&gt;"OK","",IF(C354="Guards",-O354,O354))</x:f>
        <x:v>35.98</x:v>
      </x:c>
      <x:c r="R354" s="362" t="str">
        <x:f>IF(P354&lt;&gt;"OK","Not scored",IF(C354="Guards","Damage received reduction","Damage increase"))</x:f>
        <x:v>Damage increase</x:v>
      </x:c>
    </x:row>
    <x:row r="355" ht="32" customHeight="1">
      <x:c r="A355" s="365" t="str">
        <x:v>K170</x:v>
      </x:c>
      <x:c r="B355" s="365" t="str">
        <x:v>(AOT)MG·Yu</x:v>
      </x:c>
      <x:c r="C355" s="365" t="str">
        <x:v>Siege</x:v>
      </x:c>
      <x:c r="D355" s="365" t="str">
        <x:v>Manglers</x:v>
      </x:c>
      <x:c r="E355" s="365" t="str">
        <x:v>Siege</x:v>
      </x:c>
      <x:c r="F355" s="365" t="n">
        <x:v>40</x:v>
      </x:c>
      <x:c r="G355" s="365" t="str">
        <x:v>Highly toxic</x:v>
      </x:c>
      <x:c r="H355" s="365" t="str">
        <x:v>Inflict continuous toxic damage</x:v>
      </x:c>
      <x:c r="I355" s="365" t="str">
        <x:v>Unlocked</x:v>
      </x:c>
      <x:c r="J355" s="365" t="str">
        <x:v>04:29.50</x:v>
      </x:c>
      <x:c r="K355" s="365" t="str">
        <x:v>Header exactly: Manglers(Siege)</x:v>
      </x:c>
      <x:c r="L355" s="365" t="str">
        <x:v>1000025098.mp4</x:v>
      </x:c>
      <x:c r="M355" s="387" t="n">
        <x:f>IF(P355="OK",INDEX('Badge Lookup'!$B$6:$B$55,MATCH(F355,'Badge Lookup'!$A$6:$A$55,0)),0)</x:f>
        <x:v>240000</x:v>
      </x:c>
      <x:c r="N355" s="387" t="n">
        <x:f>IF(P355="OK",INDEX('Badge Lookup'!$C$6:$C$55,MATCH(F355,'Badge Lookup'!$A$6:$A$55,0)),0)</x:f>
        <x:v>2244300</x:v>
      </x:c>
      <x:c r="O355" s="388" t="n">
        <x:f>IF(P355="OK",INDEX('Badge Lookup'!$D$6:$D$55,MATCH(F355,'Badge Lookup'!$A$6:$A$55,0)),0)</x:f>
        <x:v>27.74</x:v>
      </x:c>
      <x:c r="P355" s="362" t="str">
        <x:f>IF(OR(G355="",F355=""),"Not scored",IF(AND(F355=INT(F355),F355&gt;=1,F355&lt;=50,COUNTIF('Badge Lookup'!$A$6:$A$55,F355)=1),"OK","Check lookup"))</x:f>
        <x:v>OK</x:v>
      </x:c>
      <x:c r="Q355" s="456" t="n">
        <x:f>IF(P355&lt;&gt;"OK","",IF(C355="Guards",-O355,O355))</x:f>
        <x:v>27.74</x:v>
      </x:c>
      <x:c r="R355" s="362" t="str">
        <x:f>IF(P355&lt;&gt;"OK","Not scored",IF(C355="Guards","Damage received reduction","Damage increase"))</x:f>
        <x:v>Damage increase</x:v>
      </x:c>
    </x:row>
    <x:row r="356" ht="32" customHeight="1">
      <x:c r="A356" s="365" t="str">
        <x:v>K170</x:v>
      </x:c>
      <x:c r="B356" s="365" t="str">
        <x:v>(AOT)MG·Yu</x:v>
      </x:c>
      <x:c r="C356" s="365" t="str">
        <x:v>Cavalry</x:v>
      </x:c>
      <x:c r="D356" s="365" t="str">
        <x:v>Storm cavalry</x:v>
      </x:c>
      <x:c r="E356" s="365" t="str">
        <x:v>Horse archer</x:v>
      </x:c>
      <x:c r="F356" s="365" t="n">
        <x:v>50</x:v>
      </x:c>
      <x:c r="G356" s="365" t="str">
        <x:v>Mounted Archery</x:v>
      </x:c>
      <x:c r="H356" s="365" t="str">
        <x:v>Has a certain probability of causing fly-shooting damage</x:v>
      </x:c>
      <x:c r="I356" s="365" t="str">
        <x:v>Unlocked</x:v>
      </x:c>
      <x:c r="J356" s="365" t="str">
        <x:v>04:30.75</x:v>
      </x:c>
      <x:c r="K356" s="365" t="str">
        <x:v>Header exactly: Storm cavalry(Horse archer)</x:v>
      </x:c>
      <x:c r="L356" s="365" t="str">
        <x:v>1000025098.mp4</x:v>
      </x:c>
      <x:c r="M356" s="387" t="n">
        <x:f>IF(P356="OK",INDEX('Badge Lookup'!$B$6:$B$55,MATCH(F356,'Badge Lookup'!$A$6:$A$55,0)),0)</x:f>
        <x:v>2000000</x:v>
      </x:c>
      <x:c r="N356" s="387" t="n">
        <x:f>IF(P356="OK",INDEX('Badge Lookup'!$C$6:$C$55,MATCH(F356,'Badge Lookup'!$A$6:$A$55,0)),0)</x:f>
        <x:v>10334300</x:v>
      </x:c>
      <x:c r="O356" s="388" t="n">
        <x:f>IF(P356="OK",INDEX('Badge Lookup'!$D$6:$D$55,MATCH(F356,'Badge Lookup'!$A$6:$A$55,0)),0)</x:f>
        <x:v>60</x:v>
      </x:c>
      <x:c r="P356" s="362" t="str">
        <x:f>IF(OR(G356="",F356=""),"Not scored",IF(AND(F356=INT(F356),F356&gt;=1,F356&lt;=50,COUNTIF('Badge Lookup'!$A$6:$A$55,F356)=1),"OK","Check lookup"))</x:f>
        <x:v>OK</x:v>
      </x:c>
      <x:c r="Q356" s="456" t="n">
        <x:f>IF(P356&lt;&gt;"OK","",IF(C356="Guards",-O356,O356))</x:f>
        <x:v>60</x:v>
      </x:c>
      <x:c r="R356" s="362" t="str">
        <x:f>IF(P356&lt;&gt;"OK","Not scored",IF(C356="Guards","Damage received reduction","Damage increase"))</x:f>
        <x:v>Damage increase</x:v>
      </x:c>
    </x:row>
    <x:row r="357" ht="32" customHeight="1">
      <x:c r="A357" s="365" t="str">
        <x:v>K170</x:v>
      </x:c>
      <x:c r="B357" s="365" t="str">
        <x:v>(AOT)Markspoon</x:v>
      </x:c>
      <x:c r="C357" s="365" t="str">
        <x:v>Guards</x:v>
      </x:c>
      <x:c r="D357" s="365" t="str">
        <x:v>Destroyers</x:v>
      </x:c>
      <x:c r="E357" s="365" t="str">
        <x:v>Guard</x:v>
      </x:c>
      <x:c r="F357" s="365" t="n">
        <x:v>45</x:v>
      </x:c>
      <x:c r="G357" s="365" t="str">
        <x:v>Parry</x:v>
      </x:c>
      <x:c r="H357" s="365" t="str">
        <x:v>Provides a parry effect and a certain probability to increase damage</x:v>
      </x:c>
      <x:c r="I357" s="365" t="str">
        <x:v>Unlocked</x:v>
      </x:c>
      <x:c r="J357" s="365" t="str">
        <x:v>04:51.25</x:v>
      </x:c>
      <x:c r="K357" s="365" t="str">
        <x:v>Header exactly: Destroyers(Guard)</x:v>
      </x:c>
      <x:c r="L357" s="365" t="str">
        <x:v>1000025098.mp4</x:v>
      </x:c>
      <x:c r="M357" s="387" t="n">
        <x:f>IF(P357="OK",INDEX('Badge Lookup'!$B$6:$B$55,MATCH(F357,'Badge Lookup'!$A$6:$A$55,0)),0)</x:f>
        <x:v>560000</x:v>
      </x:c>
      <x:c r="N357" s="387" t="n">
        <x:f>IF(P357="OK",INDEX('Badge Lookup'!$C$6:$C$55,MATCH(F357,'Badge Lookup'!$A$6:$A$55,0)),0)</x:f>
        <x:v>4284300</x:v>
      </x:c>
      <x:c r="O357" s="388" t="n">
        <x:f>IF(P357="OK",INDEX('Badge Lookup'!$D$6:$D$55,MATCH(F357,'Badge Lookup'!$A$6:$A$55,0)),0)</x:f>
        <x:v>41.98</x:v>
      </x:c>
      <x:c r="P357" s="362" t="str">
        <x:f>IF(OR(G357="",F357=""),"Not scored",IF(AND(F357=INT(F357),F357&gt;=1,F357&lt;=50,COUNTIF('Badge Lookup'!$A$6:$A$55,F357)=1),"OK","Check lookup"))</x:f>
        <x:v>OK</x:v>
      </x:c>
      <x:c r="Q357" s="456" t="n">
        <x:f>IF(P357&lt;&gt;"OK","",IF(C357="Guards",-O357,O357))</x:f>
        <x:v>-41.98</x:v>
      </x:c>
      <x:c r="R357" s="362" t="str">
        <x:f>IF(P357&lt;&gt;"OK","Not scored",IF(C357="Guards","Damage received reduction","Damage increase"))</x:f>
        <x:v>Damage received reduction</x:v>
      </x:c>
    </x:row>
    <x:row r="358" ht="32" customHeight="1">
      <x:c r="A358" s="365" t="str">
        <x:v>K170</x:v>
      </x:c>
      <x:c r="B358" s="365" t="str">
        <x:v>(AOT)Markspoon</x:v>
      </x:c>
      <x:c r="C358" s="365" t="str">
        <x:v>Archers</x:v>
      </x:c>
      <x:c r="D358" s="365" t="str">
        <x:v>Elite bowmen</x:v>
      </x:c>
      <x:c r="E358" s="365" t="str">
        <x:v>Archer</x:v>
      </x:c>
      <x:c r="F358" s="365" t="n">
        <x:v>46</x:v>
      </x:c>
      <x:c r="G358" s="365" t="str">
        <x:v>Frost Arrow</x:v>
      </x:c>
      <x:c r="H358" s="365" t="str">
        <x:v>Has a higher probability of activating ice damage</x:v>
      </x:c>
      <x:c r="I358" s="365" t="str">
        <x:v>Unlocked</x:v>
      </x:c>
      <x:c r="J358" s="365" t="str">
        <x:v>04:52.00</x:v>
      </x:c>
      <x:c r="K358" s="365" t="str">
        <x:v>Header exactly: Elite bowmen(Archer)</x:v>
      </x:c>
      <x:c r="L358" s="365" t="str">
        <x:v>1000025098.mp4</x:v>
      </x:c>
      <x:c r="M358" s="387" t="n">
        <x:f>IF(P358="OK",INDEX('Badge Lookup'!$B$6:$B$55,MATCH(F358,'Badge Lookup'!$A$6:$A$55,0)),0)</x:f>
        <x:v>720000</x:v>
      </x:c>
      <x:c r="N358" s="387" t="n">
        <x:f>IF(P358="OK",INDEX('Badge Lookup'!$C$6:$C$55,MATCH(F358,'Badge Lookup'!$A$6:$A$55,0)),0)</x:f>
        <x:v>5004300</x:v>
      </x:c>
      <x:c r="O358" s="388" t="n">
        <x:f>IF(P358="OK",INDEX('Badge Lookup'!$D$6:$D$55,MATCH(F358,'Badge Lookup'!$A$6:$A$55,0)),0)</x:f>
        <x:v>45.13</x:v>
      </x:c>
      <x:c r="P358" s="362" t="str">
        <x:f>IF(OR(G358="",F358=""),"Not scored",IF(AND(F358=INT(F358),F358&gt;=1,F358&lt;=50,COUNTIF('Badge Lookup'!$A$6:$A$55,F358)=1),"OK","Check lookup"))</x:f>
        <x:v>OK</x:v>
      </x:c>
      <x:c r="Q358" s="456" t="n">
        <x:f>IF(P358&lt;&gt;"OK","",IF(C358="Guards",-O358,O358))</x:f>
        <x:v>45.13</x:v>
      </x:c>
      <x:c r="R358" s="362" t="str">
        <x:f>IF(P358&lt;&gt;"OK","Not scored",IF(C358="Guards","Damage received reduction","Damage increase"))</x:f>
        <x:v>Damage increase</x:v>
      </x:c>
    </x:row>
    <x:row r="359" ht="32" customHeight="1">
      <x:c r="A359" s="365" t="str">
        <x:v>K170</x:v>
      </x:c>
      <x:c r="B359" s="365" t="str">
        <x:v>(AOT)Markspoon</x:v>
      </x:c>
      <x:c r="C359" s="365" t="str">
        <x:v>Cavalry</x:v>
      </x:c>
      <x:c r="D359" s="365" t="str">
        <x:v>Storm cavalry</x:v>
      </x:c>
      <x:c r="E359" s="365" t="str">
        <x:v>Horse archer</x:v>
      </x:c>
      <x:c r="F359" s="365" t="n">
        <x:v>36</x:v>
      </x:c>
      <x:c r="G359" s="365" t="str">
        <x:v>Mounted Archery</x:v>
      </x:c>
      <x:c r="H359" s="365" t="str">
        <x:v>Has a certain probability of causing fly-shooting damage</x:v>
      </x:c>
      <x:c r="I359" s="365" t="str">
        <x:v>Unlocked</x:v>
      </x:c>
      <x:c r="J359" s="365" t="str">
        <x:v>04:52.75</x:v>
      </x:c>
      <x:c r="K359" s="365" t="str">
        <x:v>Header exactly: Storm cavalry(Horse archer)</x:v>
      </x:c>
      <x:c r="L359" s="365" t="str">
        <x:v>1000025098.mp4</x:v>
      </x:c>
      <x:c r="M359" s="387" t="n">
        <x:f>IF(P359="OK",INDEX('Badge Lookup'!$B$6:$B$55,MATCH(F359,'Badge Lookup'!$A$6:$A$55,0)),0)</x:f>
        <x:v>140000</x:v>
      </x:c>
      <x:c r="N359" s="387" t="n">
        <x:f>IF(P359="OK",INDEX('Badge Lookup'!$C$6:$C$55,MATCH(F359,'Badge Lookup'!$A$6:$A$55,0)),0)</x:f>
        <x:v>1464300</x:v>
      </x:c>
      <x:c r="O359" s="388" t="n">
        <x:f>IF(P359="OK",INDEX('Badge Lookup'!$D$6:$D$55,MATCH(F359,'Badge Lookup'!$A$6:$A$55,0)),0)</x:f>
        <x:v>19.17</x:v>
      </x:c>
      <x:c r="P359" s="362" t="str">
        <x:f>IF(OR(G359="",F359=""),"Not scored",IF(AND(F359=INT(F359),F359&gt;=1,F359&lt;=50,COUNTIF('Badge Lookup'!$A$6:$A$55,F359)=1),"OK","Check lookup"))</x:f>
        <x:v>OK</x:v>
      </x:c>
      <x:c r="Q359" s="456" t="n">
        <x:f>IF(P359&lt;&gt;"OK","",IF(C359="Guards",-O359,O359))</x:f>
        <x:v>19.17</x:v>
      </x:c>
      <x:c r="R359" s="362" t="str">
        <x:f>IF(P359&lt;&gt;"OK","Not scored",IF(C359="Guards","Damage received reduction","Damage increase"))</x:f>
        <x:v>Damage increase</x:v>
      </x:c>
    </x:row>
    <x:row r="360" ht="32" customHeight="1">
      <x:c r="A360" s="365" t="str">
        <x:v>K170</x:v>
      </x:c>
      <x:c r="B360" s="365" t="str">
        <x:v>(AOT)VAB999</x:v>
      </x:c>
      <x:c r="C360" s="365" t="str">
        <x:v>Guards</x:v>
      </x:c>
      <x:c r="D360" s="365" t="str">
        <x:v>Destroyers</x:v>
      </x:c>
      <x:c r="E360" s="365" t="str">
        <x:v>Guard</x:v>
      </x:c>
      <x:c r="F360" s="365" t="n">
        <x:v>46</x:v>
      </x:c>
      <x:c r="G360" s="365" t="str">
        <x:v>Parry</x:v>
      </x:c>
      <x:c r="H360" s="365" t="str">
        <x:v>Provides a parry effect and a certain probability to increase damage</x:v>
      </x:c>
      <x:c r="I360" s="365" t="str">
        <x:v>Unlocked</x:v>
      </x:c>
      <x:c r="J360" s="365" t="str">
        <x:v>04:57.75</x:v>
      </x:c>
      <x:c r="K360" s="365" t="str">
        <x:v>Header exactly: Destroyers(Guard)</x:v>
      </x:c>
      <x:c r="L360" s="365" t="str">
        <x:v>1000025098.mp4</x:v>
      </x:c>
      <x:c r="M360" s="387" t="n">
        <x:f>IF(P360="OK",INDEX('Badge Lookup'!$B$6:$B$55,MATCH(F360,'Badge Lookup'!$A$6:$A$55,0)),0)</x:f>
        <x:v>720000</x:v>
      </x:c>
      <x:c r="N360" s="387" t="n">
        <x:f>IF(P360="OK",INDEX('Badge Lookup'!$C$6:$C$55,MATCH(F360,'Badge Lookup'!$A$6:$A$55,0)),0)</x:f>
        <x:v>5004300</x:v>
      </x:c>
      <x:c r="O360" s="388" t="n">
        <x:f>IF(P360="OK",INDEX('Badge Lookup'!$D$6:$D$55,MATCH(F360,'Badge Lookup'!$A$6:$A$55,0)),0)</x:f>
        <x:v>45.13</x:v>
      </x:c>
      <x:c r="P360" s="362" t="str">
        <x:f>IF(OR(G360="",F360=""),"Not scored",IF(AND(F360=INT(F360),F360&gt;=1,F360&lt;=50,COUNTIF('Badge Lookup'!$A$6:$A$55,F360)=1),"OK","Check lookup"))</x:f>
        <x:v>OK</x:v>
      </x:c>
      <x:c r="Q360" s="456" t="n">
        <x:f>IF(P360&lt;&gt;"OK","",IF(C360="Guards",-O360,O360))</x:f>
        <x:v>-45.13</x:v>
      </x:c>
      <x:c r="R360" s="362" t="str">
        <x:f>IF(P360&lt;&gt;"OK","Not scored",IF(C360="Guards","Damage received reduction","Damage increase"))</x:f>
        <x:v>Damage received reduction</x:v>
      </x:c>
    </x:row>
    <x:row r="361" ht="32" customHeight="1">
      <x:c r="A361" s="365" t="str">
        <x:v>K170</x:v>
      </x:c>
      <x:c r="B361" s="365" t="str">
        <x:v>(AOT)VAB999</x:v>
      </x:c>
      <x:c r="C361" s="365" t="str">
        <x:v>Archers</x:v>
      </x:c>
      <x:c r="D361" s="365" t="str">
        <x:v>Elite bowmen</x:v>
      </x:c>
      <x:c r="E361" s="365" t="str">
        <x:v>Archer</x:v>
      </x:c>
      <x:c r="F361" s="365" t="n">
        <x:v>50</x:v>
      </x:c>
      <x:c r="G361" s="365" t="str">
        <x:v>Frost Arrow</x:v>
      </x:c>
      <x:c r="H361" s="365" t="str">
        <x:v>Has a higher probability of activating ice damage</x:v>
      </x:c>
      <x:c r="I361" s="365" t="str">
        <x:v>Unlocked</x:v>
      </x:c>
      <x:c r="J361" s="365" t="str">
        <x:v>04:58.75</x:v>
      </x:c>
      <x:c r="K361" s="365" t="str">
        <x:v>Header exactly: Elite bowmen(Archer)</x:v>
      </x:c>
      <x:c r="L361" s="365" t="str">
        <x:v>1000025098.mp4</x:v>
      </x:c>
      <x:c r="M361" s="387" t="n">
        <x:f>IF(P361="OK",INDEX('Badge Lookup'!$B$6:$B$55,MATCH(F361,'Badge Lookup'!$A$6:$A$55,0)),0)</x:f>
        <x:v>2000000</x:v>
      </x:c>
      <x:c r="N361" s="387" t="n">
        <x:f>IF(P361="OK",INDEX('Badge Lookup'!$C$6:$C$55,MATCH(F361,'Badge Lookup'!$A$6:$A$55,0)),0)</x:f>
        <x:v>10334300</x:v>
      </x:c>
      <x:c r="O361" s="388" t="n">
        <x:f>IF(P361="OK",INDEX('Badge Lookup'!$D$6:$D$55,MATCH(F361,'Badge Lookup'!$A$6:$A$55,0)),0)</x:f>
        <x:v>60</x:v>
      </x:c>
      <x:c r="P361" s="362" t="str">
        <x:f>IF(OR(G361="",F361=""),"Not scored",IF(AND(F361=INT(F361),F361&gt;=1,F361&lt;=50,COUNTIF('Badge Lookup'!$A$6:$A$55,F361)=1),"OK","Check lookup"))</x:f>
        <x:v>OK</x:v>
      </x:c>
      <x:c r="Q361" s="456" t="n">
        <x:f>IF(P361&lt;&gt;"OK","",IF(C361="Guards",-O361,O361))</x:f>
        <x:v>60</x:v>
      </x:c>
      <x:c r="R361" s="362" t="str">
        <x:f>IF(P361&lt;&gt;"OK","Not scored",IF(C361="Guards","Damage received reduction","Damage increase"))</x:f>
        <x:v>Damage increase</x:v>
      </x:c>
    </x:row>
    <x:row r="362" ht="32" customHeight="1">
      <x:c r="A362" s="365" t="str">
        <x:v>K170</x:v>
      </x:c>
      <x:c r="B362" s="365" t="str">
        <x:v>(AOT)VAB999</x:v>
      </x:c>
      <x:c r="C362" s="365" t="str">
        <x:v>Cavalry</x:v>
      </x:c>
      <x:c r="D362" s="365" t="str">
        <x:v>Storm cavalry</x:v>
      </x:c>
      <x:c r="E362" s="365" t="str">
        <x:v>Horse archer</x:v>
      </x:c>
      <x:c r="F362" s="365" t="n">
        <x:v>40</x:v>
      </x:c>
      <x:c r="G362" s="365" t="str">
        <x:v>Mounted Archery</x:v>
      </x:c>
      <x:c r="H362" s="365" t="str">
        <x:v>Has a certain probability of causing fly-shooting damage</x:v>
      </x:c>
      <x:c r="I362" s="365" t="str">
        <x:v>Unlocked</x:v>
      </x:c>
      <x:c r="J362" s="365" t="str">
        <x:v>04:59.75</x:v>
      </x:c>
      <x:c r="K362" s="365" t="str">
        <x:v>Header exactly: Storm cavalry(Horse archer)</x:v>
      </x:c>
      <x:c r="L362" s="365" t="str">
        <x:v>1000025098.mp4</x:v>
      </x:c>
      <x:c r="M362" s="387" t="n">
        <x:f>IF(P362="OK",INDEX('Badge Lookup'!$B$6:$B$55,MATCH(F362,'Badge Lookup'!$A$6:$A$55,0)),0)</x:f>
        <x:v>240000</x:v>
      </x:c>
      <x:c r="N362" s="387" t="n">
        <x:f>IF(P362="OK",INDEX('Badge Lookup'!$C$6:$C$55,MATCH(F362,'Badge Lookup'!$A$6:$A$55,0)),0)</x:f>
        <x:v>2244300</x:v>
      </x:c>
      <x:c r="O362" s="388" t="n">
        <x:f>IF(P362="OK",INDEX('Badge Lookup'!$D$6:$D$55,MATCH(F362,'Badge Lookup'!$A$6:$A$55,0)),0)</x:f>
        <x:v>27.74</x:v>
      </x:c>
      <x:c r="P362" s="362" t="str">
        <x:f>IF(OR(G362="",F362=""),"Not scored",IF(AND(F362=INT(F362),F362&gt;=1,F362&lt;=50,COUNTIF('Badge Lookup'!$A$6:$A$55,F362)=1),"OK","Check lookup"))</x:f>
        <x:v>OK</x:v>
      </x:c>
      <x:c r="Q362" s="456" t="n">
        <x:f>IF(P362&lt;&gt;"OK","",IF(C362="Guards",-O362,O362))</x:f>
        <x:v>27.74</x:v>
      </x:c>
      <x:c r="R362" s="362" t="str">
        <x:f>IF(P362&lt;&gt;"OK","Not scored",IF(C362="Guards","Damage received reduction","Damage increase"))</x:f>
        <x:v>Damage increase</x:v>
      </x:c>
    </x:row>
    <x:row r="363" ht="32" customHeight="1">
      <x:c r="A363" s="365" t="str">
        <x:v>K170</x:v>
      </x:c>
      <x:c r="B363" s="365" t="str">
        <x:v>(AOT)VAB999</x:v>
      </x:c>
      <x:c r="C363" s="365" t="str">
        <x:v>Archers</x:v>
      </x:c>
      <x:c r="D363" s="365" t="str">
        <x:v>Elite</x:v>
      </x:c>
      <x:c r="E363" s="365" t="str">
        <x:v>not shown</x:v>
      </x:c>
      <x:c r="F363" s="365" t="n">
        <x:v>40</x:v>
      </x:c>
      <x:c r="G363" s="365" t="str">
        <x:v>Focus</x:v>
      </x:c>
      <x:c r="H363" s="365" t="str">
        <x:v>Has a higher probability of providing focus damage</x:v>
      </x:c>
      <x:c r="I363" s="365" t="str">
        <x:v>Unlocked</x:v>
      </x:c>
      <x:c r="J363" s="365" t="str">
        <x:v>05:00.50</x:v>
      </x:c>
      <x:c r="K363" s="365" t="str">
        <x:v>Header literally only 'Elite'; body identifies Elite crossbowmen</x:v>
      </x:c>
      <x:c r="L363" s="365" t="str">
        <x:v>1000025098.mp4</x:v>
      </x:c>
      <x:c r="M363" s="387" t="n">
        <x:f>IF(P363="OK",INDEX('Badge Lookup'!$B$6:$B$55,MATCH(F363,'Badge Lookup'!$A$6:$A$55,0)),0)</x:f>
        <x:v>240000</x:v>
      </x:c>
      <x:c r="N363" s="387" t="n">
        <x:f>IF(P363="OK",INDEX('Badge Lookup'!$C$6:$C$55,MATCH(F363,'Badge Lookup'!$A$6:$A$55,0)),0)</x:f>
        <x:v>2244300</x:v>
      </x:c>
      <x:c r="O363" s="388" t="n">
        <x:f>IF(P363="OK",INDEX('Badge Lookup'!$D$6:$D$55,MATCH(F363,'Badge Lookup'!$A$6:$A$55,0)),0)</x:f>
        <x:v>27.74</x:v>
      </x:c>
      <x:c r="P363" s="362" t="str">
        <x:f>IF(OR(G363="",F363=""),"Not scored",IF(AND(F363=INT(F363),F363&gt;=1,F363&lt;=50,COUNTIF('Badge Lookup'!$A$6:$A$55,F363)=1),"OK","Check lookup"))</x:f>
        <x:v>OK</x:v>
      </x:c>
      <x:c r="Q363" s="456" t="n">
        <x:f>IF(P363&lt;&gt;"OK","",IF(C363="Guards",-O363,O363))</x:f>
        <x:v>27.74</x:v>
      </x:c>
      <x:c r="R363" s="362" t="str">
        <x:f>IF(P363&lt;&gt;"OK","Not scored",IF(C363="Guards","Damage received reduction","Damage increase"))</x:f>
        <x:v>Damage increase</x:v>
      </x:c>
    </x:row>
    <x:row r="364" ht="32" customHeight="1">
      <x:c r="A364" s="365" t="str">
        <x:v>K170</x:v>
      </x:c>
      <x:c r="B364" s="365" t="str">
        <x:v>(AOT)Paian2</x:v>
      </x:c>
      <x:c r="C364" s="365" t="str">
        <x:v>Guards</x:v>
      </x:c>
      <x:c r="D364" s="365" t="str">
        <x:v>Destroyers</x:v>
      </x:c>
      <x:c r="E364" s="365" t="str">
        <x:v>Guard</x:v>
      </x:c>
      <x:c r="F364" s="365" t="n">
        <x:v>45</x:v>
      </x:c>
      <x:c r="G364" s="365" t="str">
        <x:v>Parry</x:v>
      </x:c>
      <x:c r="H364" s="365" t="str">
        <x:v>Provides a parry effect and a certain probability to increase damage</x:v>
      </x:c>
      <x:c r="I364" s="365" t="str">
        <x:v>Unlocked</x:v>
      </x:c>
      <x:c r="J364" s="365" t="str">
        <x:v>05:10.75</x:v>
      </x:c>
      <x:c r="K364" s="365" t="str">
        <x:v>Header exactly: Destroyers(Guard)</x:v>
      </x:c>
      <x:c r="L364" s="365" t="str">
        <x:v>1000025098.mp4</x:v>
      </x:c>
      <x:c r="M364" s="387" t="n">
        <x:f>IF(P364="OK",INDEX('Badge Lookup'!$B$6:$B$55,MATCH(F364,'Badge Lookup'!$A$6:$A$55,0)),0)</x:f>
        <x:v>560000</x:v>
      </x:c>
      <x:c r="N364" s="387" t="n">
        <x:f>IF(P364="OK",INDEX('Badge Lookup'!$C$6:$C$55,MATCH(F364,'Badge Lookup'!$A$6:$A$55,0)),0)</x:f>
        <x:v>4284300</x:v>
      </x:c>
      <x:c r="O364" s="388" t="n">
        <x:f>IF(P364="OK",INDEX('Badge Lookup'!$D$6:$D$55,MATCH(F364,'Badge Lookup'!$A$6:$A$55,0)),0)</x:f>
        <x:v>41.98</x:v>
      </x:c>
      <x:c r="P364" s="362" t="str">
        <x:f>IF(OR(G364="",F364=""),"Not scored",IF(AND(F364=INT(F364),F364&gt;=1,F364&lt;=50,COUNTIF('Badge Lookup'!$A$6:$A$55,F364)=1),"OK","Check lookup"))</x:f>
        <x:v>OK</x:v>
      </x:c>
      <x:c r="Q364" s="456" t="n">
        <x:f>IF(P364&lt;&gt;"OK","",IF(C364="Guards",-O364,O364))</x:f>
        <x:v>-41.98</x:v>
      </x:c>
      <x:c r="R364" s="362" t="str">
        <x:f>IF(P364&lt;&gt;"OK","Not scored",IF(C364="Guards","Damage received reduction","Damage increase"))</x:f>
        <x:v>Damage received reduction</x:v>
      </x:c>
    </x:row>
    <x:row r="365" ht="32" customHeight="1">
      <x:c r="A365" s="365" t="str">
        <x:v>K170</x:v>
      </x:c>
      <x:c r="B365" s="365" t="str">
        <x:v>(AOT)Paian2</x:v>
      </x:c>
      <x:c r="C365" s="365" t="str">
        <x:v>Cavalry</x:v>
      </x:c>
      <x:c r="D365" s="365" t="str">
        <x:v>Storm cavalry</x:v>
      </x:c>
      <x:c r="E365" s="365" t="str">
        <x:v>Horse archer</x:v>
      </x:c>
      <x:c r="F365" s="365" t="n">
        <x:v>46</x:v>
      </x:c>
      <x:c r="G365" s="365" t="str">
        <x:v>Mounted Archery</x:v>
      </x:c>
      <x:c r="H365" s="365" t="str">
        <x:v>Has a certain probability of causing fly-shooting damage</x:v>
      </x:c>
      <x:c r="I365" s="365" t="str">
        <x:v>Unlocked</x:v>
      </x:c>
      <x:c r="J365" s="365" t="str">
        <x:v>05:12.00</x:v>
      </x:c>
      <x:c r="K365" s="365" t="str">
        <x:v>Header exactly: Storm cavalry(Horse archer); T10 siege row present but popup not opened</x:v>
      </x:c>
      <x:c r="L365" s="365" t="str">
        <x:v>1000025098.mp4</x:v>
      </x:c>
      <x:c r="M365" s="387" t="n">
        <x:f>IF(P365="OK",INDEX('Badge Lookup'!$B$6:$B$55,MATCH(F365,'Badge Lookup'!$A$6:$A$55,0)),0)</x:f>
        <x:v>720000</x:v>
      </x:c>
      <x:c r="N365" s="387" t="n">
        <x:f>IF(P365="OK",INDEX('Badge Lookup'!$C$6:$C$55,MATCH(F365,'Badge Lookup'!$A$6:$A$55,0)),0)</x:f>
        <x:v>5004300</x:v>
      </x:c>
      <x:c r="O365" s="388" t="n">
        <x:f>IF(P365="OK",INDEX('Badge Lookup'!$D$6:$D$55,MATCH(F365,'Badge Lookup'!$A$6:$A$55,0)),0)</x:f>
        <x:v>45.13</x:v>
      </x:c>
      <x:c r="P365" s="362" t="str">
        <x:f>IF(OR(G365="",F365=""),"Not scored",IF(AND(F365=INT(F365),F365&gt;=1,F365&lt;=50,COUNTIF('Badge Lookup'!$A$6:$A$55,F365)=1),"OK","Check lookup"))</x:f>
        <x:v>OK</x:v>
      </x:c>
      <x:c r="Q365" s="456" t="n">
        <x:f>IF(P365&lt;&gt;"OK","",IF(C365="Guards",-O365,O365))</x:f>
        <x:v>45.13</x:v>
      </x:c>
      <x:c r="R365" s="362" t="str">
        <x:f>IF(P365&lt;&gt;"OK","Not scored",IF(C365="Guards","Damage received reduction","Damage increase"))</x:f>
        <x:v>Damage increase</x:v>
      </x:c>
    </x:row>
    <x:row r="366" ht="32" customHeight="1">
      <x:c r="A366" s="365" t="str">
        <x:v>K54</x:v>
      </x:c>
      <x:c r="B366" s="365" t="str">
        <x:v>爽歪歪</x:v>
      </x:c>
      <x:c r="C366" s="365" t="str">
        <x:v>Guards</x:v>
      </x:c>
      <x:c r="D366" s="365" t="str">
        <x:v>Destroyers</x:v>
      </x:c>
      <x:c r="E366" s="365" t="str">
        <x:v>Guard</x:v>
      </x:c>
      <x:c r="F366" s="365" t="n">
        <x:v>50</x:v>
      </x:c>
      <x:c r="G366" s="365" t="str">
        <x:v>Parry</x:v>
      </x:c>
      <x:c r="H366" s="365" t="str">
        <x:v>Provides a parry effect and a certain probability to increase damage</x:v>
      </x:c>
      <x:c r="I366" s="365" t="str">
        <x:v>Unlocked</x:v>
      </x:c>
      <x:c r="J366" s="365" t="str">
        <x:v>00:01.40</x:v>
      </x:c>
      <x:c r="K366" s="365" t="str">
        <x:v>High confidence. Visible 00:01.40-00:02.25; Source frame: work/k54_specs_agent/event_frames_final/E001_1.825_Destroyers.jpg</x:v>
      </x:c>
      <x:c r="L366" s="365" t="str">
        <x:v>1000025860.mp4</x:v>
      </x:c>
      <x:c r="M366" s="387" t="n">
        <x:f>IF(P366="OK",INDEX('Badge Lookup'!$B$6:$B$55,MATCH(F366,'Badge Lookup'!$A$6:$A$55,0)),0)</x:f>
        <x:v>2000000</x:v>
      </x:c>
      <x:c r="N366" s="387" t="n">
        <x:f>IF(P366="OK",INDEX('Badge Lookup'!$C$6:$C$55,MATCH(F366,'Badge Lookup'!$A$6:$A$55,0)),0)</x:f>
        <x:v>10334300</x:v>
      </x:c>
      <x:c r="O366" s="388" t="n">
        <x:f>IF(P366="OK",INDEX('Badge Lookup'!$D$6:$D$55,MATCH(F366,'Badge Lookup'!$A$6:$A$55,0)),0)</x:f>
        <x:v>60</x:v>
      </x:c>
      <x:c r="P366" s="362" t="str">
        <x:f>IF(OR(G366="",F366=""),"Not scored",IF(AND(F366=INT(F366),F366&gt;=1,F366&lt;=50,COUNTIF('Badge Lookup'!$A$6:$A$55,F366)=1),"OK","Check lookup"))</x:f>
        <x:v>OK</x:v>
      </x:c>
      <x:c r="Q366" s="456" t="n">
        <x:f>IF(P366&lt;&gt;"OK","",IF(C366="Guards",-O366,O366))</x:f>
        <x:v>-60</x:v>
      </x:c>
      <x:c r="R366" s="362" t="str">
        <x:f>IF(P366&lt;&gt;"OK","Not scored",IF(C366="Guards","Damage received reduction","Damage increase"))</x:f>
        <x:v>Damage received reduction</x:v>
      </x:c>
    </x:row>
    <x:row r="367" ht="32" customHeight="1">
      <x:c r="A367" s="365" t="str">
        <x:v>K54</x:v>
      </x:c>
      <x:c r="B367" s="365" t="str">
        <x:v>爽歪歪</x:v>
      </x:c>
      <x:c r="C367" s="365" t="str">
        <x:v>Cavalry</x:v>
      </x:c>
      <x:c r="D367" s="365" t="str">
        <x:v>Eternal knights</x:v>
      </x:c>
      <x:c r="E367" s="365" t="str">
        <x:v>Heavy Cavalry</x:v>
      </x:c>
      <x:c r="F367" s="365" t="n">
        <x:v>48</x:v>
      </x:c>
      <x:c r="G367" s="365" t="str">
        <x:v>Thunder trample</x:v>
      </x:c>
      <x:c r="H367" s="365" t="str">
        <x:v>Has a certain probability of causing trampling damage</x:v>
      </x:c>
      <x:c r="I367" s="365" t="str">
        <x:v>Unlocked</x:v>
      </x:c>
      <x:c r="J367" s="365" t="str">
        <x:v>00:02.75</x:v>
      </x:c>
      <x:c r="K367" s="365" t="str">
        <x:v>High confidence. Visible 00:02.75-00:03.75; Source frame: work/k54_specs_agent/event_frames_final/E002_3.250_Eternal_knights.jpg</x:v>
      </x:c>
      <x:c r="L367" s="365" t="str">
        <x:v>1000025860.mp4</x:v>
      </x:c>
      <x:c r="M367" s="387" t="n">
        <x:f>IF(P367="OK",INDEX('Badge Lookup'!$B$6:$B$55,MATCH(F367,'Badge Lookup'!$A$6:$A$55,0)),0)</x:f>
        <x:v>1050000</x:v>
      </x:c>
      <x:c r="N367" s="387" t="n">
        <x:f>IF(P367="OK",INDEX('Badge Lookup'!$C$6:$C$55,MATCH(F367,'Badge Lookup'!$A$6:$A$55,0)),0)</x:f>
        <x:v>6934300</x:v>
      </x:c>
      <x:c r="O367" s="388" t="n">
        <x:f>IF(P367="OK",INDEX('Badge Lookup'!$D$6:$D$55,MATCH(F367,'Badge Lookup'!$A$6:$A$55,0)),0)</x:f>
        <x:v>51.74</x:v>
      </x:c>
      <x:c r="P367" s="362" t="str">
        <x:f>IF(OR(G367="",F367=""),"Not scored",IF(AND(F367=INT(F367),F367&gt;=1,F367&lt;=50,COUNTIF('Badge Lookup'!$A$6:$A$55,F367)=1),"OK","Check lookup"))</x:f>
        <x:v>OK</x:v>
      </x:c>
      <x:c r="Q367" s="456" t="n">
        <x:f>IF(P367&lt;&gt;"OK","",IF(C367="Guards",-O367,O367))</x:f>
        <x:v>51.74</x:v>
      </x:c>
      <x:c r="R367" s="362" t="str">
        <x:f>IF(P367&lt;&gt;"OK","Not scored",IF(C367="Guards","Damage received reduction","Damage increase"))</x:f>
        <x:v>Damage increase</x:v>
      </x:c>
    </x:row>
    <x:row r="368" ht="32" customHeight="1">
      <x:c r="A368" s="365" t="str">
        <x:v>K54</x:v>
      </x:c>
      <x:c r="B368" s="365" t="str">
        <x:v>爽歪歪</x:v>
      </x:c>
      <x:c r="C368" s="365" t="str">
        <x:v>Cavalry</x:v>
      </x:c>
      <x:c r="D368" s="365" t="str">
        <x:v>Storm cavalry</x:v>
      </x:c>
      <x:c r="E368" s="365" t="str">
        <x:v>Horse archer</x:v>
      </x:c>
      <x:c r="F368" s="365" t="n">
        <x:v>46</x:v>
      </x:c>
      <x:c r="G368" s="365" t="str">
        <x:v>Mounted Archery</x:v>
      </x:c>
      <x:c r="H368" s="365" t="str">
        <x:v>Has a certain probability of causing fly-shooting damage</x:v>
      </x:c>
      <x:c r="I368" s="365" t="str">
        <x:v>Unlocked</x:v>
      </x:c>
      <x:c r="J368" s="365" t="str">
        <x:v>00:04.20</x:v>
      </x:c>
      <x:c r="K368" s="365" t="str">
        <x:v>High confidence. Visible 00:04.20-00:05.40; Source frame: work/k54_specs_agent/event_frames_final/E003_4.800_Storm_cavalry.jpg</x:v>
      </x:c>
      <x:c r="L368" s="365" t="str">
        <x:v>1000025860.mp4</x:v>
      </x:c>
      <x:c r="M368" s="387" t="n">
        <x:f>IF(P368="OK",INDEX('Badge Lookup'!$B$6:$B$55,MATCH(F368,'Badge Lookup'!$A$6:$A$55,0)),0)</x:f>
        <x:v>720000</x:v>
      </x:c>
      <x:c r="N368" s="387" t="n">
        <x:f>IF(P368="OK",INDEX('Badge Lookup'!$C$6:$C$55,MATCH(F368,'Badge Lookup'!$A$6:$A$55,0)),0)</x:f>
        <x:v>5004300</x:v>
      </x:c>
      <x:c r="O368" s="388" t="n">
        <x:f>IF(P368="OK",INDEX('Badge Lookup'!$D$6:$D$55,MATCH(F368,'Badge Lookup'!$A$6:$A$55,0)),0)</x:f>
        <x:v>45.13</x:v>
      </x:c>
      <x:c r="P368" s="362" t="str">
        <x:f>IF(OR(G368="",F368=""),"Not scored",IF(AND(F368=INT(F368),F368&gt;=1,F368&lt;=50,COUNTIF('Badge Lookup'!$A$6:$A$55,F368)=1),"OK","Check lookup"))</x:f>
        <x:v>OK</x:v>
      </x:c>
      <x:c r="Q368" s="456" t="n">
        <x:f>IF(P368&lt;&gt;"OK","",IF(C368="Guards",-O368,O368))</x:f>
        <x:v>45.13</x:v>
      </x:c>
      <x:c r="R368" s="362" t="str">
        <x:f>IF(P368&lt;&gt;"OK","Not scored",IF(C368="Guards","Damage received reduction","Damage increase"))</x:f>
        <x:v>Damage increase</x:v>
      </x:c>
    </x:row>
    <x:row r="369" ht="32" customHeight="1">
      <x:c r="A369" s="365" t="str">
        <x:v>K54</x:v>
      </x:c>
      <x:c r="B369" s="365" t="str">
        <x:v>極惡九孔</x:v>
      </x:c>
      <x:c r="C369" s="365" t="str">
        <x:v>Guards</x:v>
      </x:c>
      <x:c r="D369" s="365" t="str">
        <x:v>Destroyers</x:v>
      </x:c>
      <x:c r="E369" s="365" t="str">
        <x:v>Guard</x:v>
      </x:c>
      <x:c r="F369" s="365" t="n">
        <x:v>48</x:v>
      </x:c>
      <x:c r="G369" s="365" t="str">
        <x:v>Parry</x:v>
      </x:c>
      <x:c r="H369" s="365" t="str">
        <x:v>Provides a parry effect and a certain probability to increase damage</x:v>
      </x:c>
      <x:c r="I369" s="365" t="str">
        <x:v>Unlocked</x:v>
      </x:c>
      <x:c r="J369" s="365" t="str">
        <x:v>00:14.75</x:v>
      </x:c>
      <x:c r="K369" s="365" t="str">
        <x:v>High confidence; tooltip-only player (no Troop Attribute screen was opened for this profile). Visible 00:14.75-00:15.50; Source frame: work/k54_specs_agent/event_frames_final/E006_15.125_Destroyers.jpg</x:v>
      </x:c>
      <x:c r="L369" s="365" t="str">
        <x:v>1000025860.mp4</x:v>
      </x:c>
      <x:c r="M369" s="387" t="n">
        <x:f>IF(P369="OK",INDEX('Badge Lookup'!$B$6:$B$55,MATCH(F369,'Badge Lookup'!$A$6:$A$55,0)),0)</x:f>
        <x:v>1050000</x:v>
      </x:c>
      <x:c r="N369" s="387" t="n">
        <x:f>IF(P369="OK",INDEX('Badge Lookup'!$C$6:$C$55,MATCH(F369,'Badge Lookup'!$A$6:$A$55,0)),0)</x:f>
        <x:v>6934300</x:v>
      </x:c>
      <x:c r="O369" s="388" t="n">
        <x:f>IF(P369="OK",INDEX('Badge Lookup'!$D$6:$D$55,MATCH(F369,'Badge Lookup'!$A$6:$A$55,0)),0)</x:f>
        <x:v>51.74</x:v>
      </x:c>
      <x:c r="P369" s="362" t="str">
        <x:f>IF(OR(G369="",F369=""),"Not scored",IF(AND(F369=INT(F369),F369&gt;=1,F369&lt;=50,COUNTIF('Badge Lookup'!$A$6:$A$55,F369)=1),"OK","Check lookup"))</x:f>
        <x:v>OK</x:v>
      </x:c>
      <x:c r="Q369" s="456" t="n">
        <x:f>IF(P369&lt;&gt;"OK","",IF(C369="Guards",-O369,O369))</x:f>
        <x:v>-51.74</x:v>
      </x:c>
      <x:c r="R369" s="362" t="str">
        <x:f>IF(P369&lt;&gt;"OK","Not scored",IF(C369="Guards","Damage received reduction","Damage increase"))</x:f>
        <x:v>Damage received reduction</x:v>
      </x:c>
    </x:row>
    <x:row r="370" ht="32" customHeight="1">
      <x:c r="A370" s="365" t="str">
        <x:v>K54</x:v>
      </x:c>
      <x:c r="B370" s="365" t="str">
        <x:v>纵横,,,杀戮</x:v>
      </x:c>
      <x:c r="C370" s="365" t="str">
        <x:v>Cavalry</x:v>
      </x:c>
      <x:c r="D370" s="365" t="str">
        <x:v>Eternal knights</x:v>
      </x:c>
      <x:c r="E370" s="365" t="str">
        <x:v>Heavy Cavalry</x:v>
      </x:c>
      <x:c r="F370" s="365" t="n">
        <x:v>50</x:v>
      </x:c>
      <x:c r="G370" s="365" t="str">
        <x:v>Thunder trample</x:v>
      </x:c>
      <x:c r="H370" s="365" t="str">
        <x:v>Has a certain probability of causing trampling damage</x:v>
      </x:c>
      <x:c r="I370" s="365" t="str">
        <x:v>Unlocked</x:v>
      </x:c>
      <x:c r="J370" s="365" t="str">
        <x:v>00:24.45</x:v>
      </x:c>
      <x:c r="K370" s="365" t="str">
        <x:v>High confidence; the three literal comma characters in the displayed player name are preserved exactly. Visible 00:24.45-00:25.05; Source frame: work/k54_specs_agent/event_frames_final/E007_24.750_Eternal_knights.jpg</x:v>
      </x:c>
      <x:c r="L370" s="365" t="str">
        <x:v>1000025860.mp4</x:v>
      </x:c>
      <x:c r="M370" s="387" t="n">
        <x:f>IF(P370="OK",INDEX('Badge Lookup'!$B$6:$B$55,MATCH(F370,'Badge Lookup'!$A$6:$A$55,0)),0)</x:f>
        <x:v>2000000</x:v>
      </x:c>
      <x:c r="N370" s="387" t="n">
        <x:f>IF(P370="OK",INDEX('Badge Lookup'!$C$6:$C$55,MATCH(F370,'Badge Lookup'!$A$6:$A$55,0)),0)</x:f>
        <x:v>10334300</x:v>
      </x:c>
      <x:c r="O370" s="388" t="n">
        <x:f>IF(P370="OK",INDEX('Badge Lookup'!$D$6:$D$55,MATCH(F370,'Badge Lookup'!$A$6:$A$55,0)),0)</x:f>
        <x:v>60</x:v>
      </x:c>
      <x:c r="P370" s="362" t="str">
        <x:f>IF(OR(G370="",F370=""),"Not scored",IF(AND(F370=INT(F370),F370&gt;=1,F370&lt;=50,COUNTIF('Badge Lookup'!$A$6:$A$55,F370)=1),"OK","Check lookup"))</x:f>
        <x:v>OK</x:v>
      </x:c>
      <x:c r="Q370" s="456" t="n">
        <x:f>IF(P370&lt;&gt;"OK","",IF(C370="Guards",-O370,O370))</x:f>
        <x:v>60</x:v>
      </x:c>
      <x:c r="R370" s="362" t="str">
        <x:f>IF(P370&lt;&gt;"OK","Not scored",IF(C370="Guards","Damage received reduction","Damage increase"))</x:f>
        <x:v>Damage increase</x:v>
      </x:c>
    </x:row>
    <x:row r="371" ht="32" customHeight="1">
      <x:c r="A371" s="365" t="str">
        <x:v>K54</x:v>
      </x:c>
      <x:c r="B371" s="365" t="str">
        <x:v>纵横,,,杀戮</x:v>
      </x:c>
      <x:c r="C371" s="365" t="str">
        <x:v>Archers</x:v>
      </x:c>
      <x:c r="D371" s="365" t="str">
        <x:v>Elite bowmen</x:v>
      </x:c>
      <x:c r="E371" s="365" t="str">
        <x:v>Archer</x:v>
      </x:c>
      <x:c r="F371" s="365" t="n">
        <x:v>50</x:v>
      </x:c>
      <x:c r="G371" s="365" t="str">
        <x:v>Frost Arrow</x:v>
      </x:c>
      <x:c r="H371" s="365" t="str">
        <x:v>Has a higher probability of activating ice damage</x:v>
      </x:c>
      <x:c r="I371" s="365" t="str">
        <x:v>Unlocked</x:v>
      </x:c>
      <x:c r="J371" s="365" t="str">
        <x:v>00:25.45</x:v>
      </x:c>
      <x:c r="K371" s="365" t="str">
        <x:v>High confidence; the three literal comma characters in the displayed player name are preserved exactly. Visible 00:25.45-00:26.60; Source frame: work/k54_specs_agent/event_frames_final/E008_26.025_Elite_bowmen.jpg</x:v>
      </x:c>
      <x:c r="L371" s="365" t="str">
        <x:v>1000025860.mp4</x:v>
      </x:c>
      <x:c r="M371" s="387" t="n">
        <x:f>IF(P371="OK",INDEX('Badge Lookup'!$B$6:$B$55,MATCH(F371,'Badge Lookup'!$A$6:$A$55,0)),0)</x:f>
        <x:v>2000000</x:v>
      </x:c>
      <x:c r="N371" s="387" t="n">
        <x:f>IF(P371="OK",INDEX('Badge Lookup'!$C$6:$C$55,MATCH(F371,'Badge Lookup'!$A$6:$A$55,0)),0)</x:f>
        <x:v>10334300</x:v>
      </x:c>
      <x:c r="O371" s="388" t="n">
        <x:f>IF(P371="OK",INDEX('Badge Lookup'!$D$6:$D$55,MATCH(F371,'Badge Lookup'!$A$6:$A$55,0)),0)</x:f>
        <x:v>60</x:v>
      </x:c>
      <x:c r="P371" s="362" t="str">
        <x:f>IF(OR(G371="",F371=""),"Not scored",IF(AND(F371=INT(F371),F371&gt;=1,F371&lt;=50,COUNTIF('Badge Lookup'!$A$6:$A$55,F371)=1),"OK","Check lookup"))</x:f>
        <x:v>OK</x:v>
      </x:c>
      <x:c r="Q371" s="456" t="n">
        <x:f>IF(P371&lt;&gt;"OK","",IF(C371="Guards",-O371,O371))</x:f>
        <x:v>60</x:v>
      </x:c>
      <x:c r="R371" s="362" t="str">
        <x:f>IF(P371&lt;&gt;"OK","Not scored",IF(C371="Guards","Damage received reduction","Damage increase"))</x:f>
        <x:v>Damage increase</x:v>
      </x:c>
    </x:row>
    <x:row r="372" ht="32" customHeight="1">
      <x:c r="A372" s="365" t="str">
        <x:v>K54</x:v>
      </x:c>
      <x:c r="B372" s="365" t="str">
        <x:v>纵横,,,杀戮</x:v>
      </x:c>
      <x:c r="C372" s="365" t="str">
        <x:v>Siege</x:v>
      </x:c>
      <x:c r="D372" s="365" t="str">
        <x:v>Manglers</x:v>
      </x:c>
      <x:c r="E372" s="365" t="str">
        <x:v>Siege</x:v>
      </x:c>
      <x:c r="F372" s="365" t="n">
        <x:v>50</x:v>
      </x:c>
      <x:c r="G372" s="365" t="str">
        <x:v>Highly toxic</x:v>
      </x:c>
      <x:c r="H372" s="365" t="str">
        <x:v>Inflict continuous toxic damage</x:v>
      </x:c>
      <x:c r="I372" s="365" t="str">
        <x:v>Unlocked</x:v>
      </x:c>
      <x:c r="J372" s="365" t="str">
        <x:v>00:26.95</x:v>
      </x:c>
      <x:c r="K372" s="365" t="str">
        <x:v>High confidence; the three literal comma characters in the displayed player name are preserved exactly. Visible 00:26.95-00:27.95; Source frame: work/k54_specs_agent/event_frames_final/E009_27.450_Manglers.jpg</x:v>
      </x:c>
      <x:c r="L372" s="365" t="str">
        <x:v>1000025860.mp4</x:v>
      </x:c>
      <x:c r="M372" s="387" t="n">
        <x:f>IF(P372="OK",INDEX('Badge Lookup'!$B$6:$B$55,MATCH(F372,'Badge Lookup'!$A$6:$A$55,0)),0)</x:f>
        <x:v>2000000</x:v>
      </x:c>
      <x:c r="N372" s="387" t="n">
        <x:f>IF(P372="OK",INDEX('Badge Lookup'!$C$6:$C$55,MATCH(F372,'Badge Lookup'!$A$6:$A$55,0)),0)</x:f>
        <x:v>10334300</x:v>
      </x:c>
      <x:c r="O372" s="388" t="n">
        <x:f>IF(P372="OK",INDEX('Badge Lookup'!$D$6:$D$55,MATCH(F372,'Badge Lookup'!$A$6:$A$55,0)),0)</x:f>
        <x:v>60</x:v>
      </x:c>
      <x:c r="P372" s="362" t="str">
        <x:f>IF(OR(G372="",F372=""),"Not scored",IF(AND(F372=INT(F372),F372&gt;=1,F372&lt;=50,COUNTIF('Badge Lookup'!$A$6:$A$55,F372)=1),"OK","Check lookup"))</x:f>
        <x:v>OK</x:v>
      </x:c>
      <x:c r="Q372" s="456" t="n">
        <x:f>IF(P372&lt;&gt;"OK","",IF(C372="Guards",-O372,O372))</x:f>
        <x:v>60</x:v>
      </x:c>
      <x:c r="R372" s="362" t="str">
        <x:f>IF(P372&lt;&gt;"OK","Not scored",IF(C372="Guards","Damage received reduction","Damage increase"))</x:f>
        <x:v>Damage increase</x:v>
      </x:c>
    </x:row>
    <x:row r="373" ht="32" customHeight="1">
      <x:c r="A373" s="365" t="str">
        <x:v>K54</x:v>
      </x:c>
      <x:c r="B373" s="365" t="str">
        <x:v>纵横,,,杀戮</x:v>
      </x:c>
      <x:c r="C373" s="365" t="str">
        <x:v>Cavalry</x:v>
      </x:c>
      <x:c r="D373" s="365" t="str">
        <x:v>Storm cavalry</x:v>
      </x:c>
      <x:c r="E373" s="365" t="str">
        <x:v>Horse archer</x:v>
      </x:c>
      <x:c r="F373" s="365" t="n">
        <x:v>50</x:v>
      </x:c>
      <x:c r="G373" s="365" t="str">
        <x:v>Mounted Archery</x:v>
      </x:c>
      <x:c r="H373" s="365" t="str">
        <x:v>Has a certain probability of causing fly-shooting damage</x:v>
      </x:c>
      <x:c r="I373" s="365" t="str">
        <x:v>Unlocked</x:v>
      </x:c>
      <x:c r="J373" s="365" t="str">
        <x:v>00:28.35</x:v>
      </x:c>
      <x:c r="K373" s="365" t="str">
        <x:v>High confidence; the three literal comma characters in the displayed player name are preserved exactly. Visible 00:28.35-00:29.25; Source frame: work/k54_specs_agent/event_frames_final/E010_28.800_Storm_cavalry.jpg</x:v>
      </x:c>
      <x:c r="L373" s="365" t="str">
        <x:v>1000025860.mp4</x:v>
      </x:c>
      <x:c r="M373" s="387" t="n">
        <x:f>IF(P373="OK",INDEX('Badge Lookup'!$B$6:$B$55,MATCH(F373,'Badge Lookup'!$A$6:$A$55,0)),0)</x:f>
        <x:v>2000000</x:v>
      </x:c>
      <x:c r="N373" s="387" t="n">
        <x:f>IF(P373="OK",INDEX('Badge Lookup'!$C$6:$C$55,MATCH(F373,'Badge Lookup'!$A$6:$A$55,0)),0)</x:f>
        <x:v>10334300</x:v>
      </x:c>
      <x:c r="O373" s="388" t="n">
        <x:f>IF(P373="OK",INDEX('Badge Lookup'!$D$6:$D$55,MATCH(F373,'Badge Lookup'!$A$6:$A$55,0)),0)</x:f>
        <x:v>60</x:v>
      </x:c>
      <x:c r="P373" s="362" t="str">
        <x:f>IF(OR(G373="",F373=""),"Not scored",IF(AND(F373=INT(F373),F373&gt;=1,F373&lt;=50,COUNTIF('Badge Lookup'!$A$6:$A$55,F373)=1),"OK","Check lookup"))</x:f>
        <x:v>OK</x:v>
      </x:c>
      <x:c r="Q373" s="456" t="n">
        <x:f>IF(P373&lt;&gt;"OK","",IF(C373="Guards",-O373,O373))</x:f>
        <x:v>60</x:v>
      </x:c>
      <x:c r="R373" s="362" t="str">
        <x:f>IF(P373&lt;&gt;"OK","Not scored",IF(C373="Guards","Damage received reduction","Damage increase"))</x:f>
        <x:v>Damage increase</x:v>
      </x:c>
    </x:row>
    <x:row r="374" ht="32" customHeight="1">
      <x:c r="A374" s="365" t="str">
        <x:v>K54</x:v>
      </x:c>
      <x:c r="B374" s="365" t="str">
        <x:v>纵横,,,大风</x:v>
      </x:c>
      <x:c r="C374" s="365" t="str">
        <x:v>Cavalry</x:v>
      </x:c>
      <x:c r="D374" s="365" t="str">
        <x:v>Eternal knights</x:v>
      </x:c>
      <x:c r="E374" s="365" t="str">
        <x:v>Heavy Cavalry</x:v>
      </x:c>
      <x:c r="F374" s="365" t="n">
        <x:v>50</x:v>
      </x:c>
      <x:c r="G374" s="365" t="str">
        <x:v>Thunder trample</x:v>
      </x:c>
      <x:c r="H374" s="365" t="str">
        <x:v>Has a certain probability of causing trampling damage</x:v>
      </x:c>
      <x:c r="I374" s="365" t="str">
        <x:v>Unlocked</x:v>
      </x:c>
      <x:c r="J374" s="365" t="str">
        <x:v>00:42.90</x:v>
      </x:c>
      <x:c r="K374" s="365" t="str">
        <x:v>High confidence; the three literal comma characters in the displayed player name are preserved exactly. Visible 00:42.90-00:43.45; Source frame: work/k54_specs_agent/event_frames_final/E012_43.175_Eternal_knights.jpg</x:v>
      </x:c>
      <x:c r="L374" s="365" t="str">
        <x:v>1000025860.mp4</x:v>
      </x:c>
      <x:c r="M374" s="387" t="n">
        <x:f>IF(P374="OK",INDEX('Badge Lookup'!$B$6:$B$55,MATCH(F374,'Badge Lookup'!$A$6:$A$55,0)),0)</x:f>
        <x:v>2000000</x:v>
      </x:c>
      <x:c r="N374" s="387" t="n">
        <x:f>IF(P374="OK",INDEX('Badge Lookup'!$C$6:$C$55,MATCH(F374,'Badge Lookup'!$A$6:$A$55,0)),0)</x:f>
        <x:v>10334300</x:v>
      </x:c>
      <x:c r="O374" s="388" t="n">
        <x:f>IF(P374="OK",INDEX('Badge Lookup'!$D$6:$D$55,MATCH(F374,'Badge Lookup'!$A$6:$A$55,0)),0)</x:f>
        <x:v>60</x:v>
      </x:c>
      <x:c r="P374" s="362" t="str">
        <x:f>IF(OR(G374="",F374=""),"Not scored",IF(AND(F374=INT(F374),F374&gt;=1,F374&lt;=50,COUNTIF('Badge Lookup'!$A$6:$A$55,F374)=1),"OK","Check lookup"))</x:f>
        <x:v>OK</x:v>
      </x:c>
      <x:c r="Q374" s="456" t="n">
        <x:f>IF(P374&lt;&gt;"OK","",IF(C374="Guards",-O374,O374))</x:f>
        <x:v>60</x:v>
      </x:c>
      <x:c r="R374" s="362" t="str">
        <x:f>IF(P374&lt;&gt;"OK","Not scored",IF(C374="Guards","Damage received reduction","Damage increase"))</x:f>
        <x:v>Damage increase</x:v>
      </x:c>
    </x:row>
    <x:row r="375" ht="32" customHeight="1">
      <x:c r="A375" s="365" t="str">
        <x:v>K54</x:v>
      </x:c>
      <x:c r="B375" s="365" t="str">
        <x:v>纵横,,,大风</x:v>
      </x:c>
      <x:c r="C375" s="365" t="str">
        <x:v>Archers</x:v>
      </x:c>
      <x:c r="D375" s="365" t="str">
        <x:v>Elite bowmen</x:v>
      </x:c>
      <x:c r="E375" s="365" t="str">
        <x:v>Archer</x:v>
      </x:c>
      <x:c r="F375" s="365" t="n">
        <x:v>50</x:v>
      </x:c>
      <x:c r="G375" s="365" t="str">
        <x:v>Frost Arrow</x:v>
      </x:c>
      <x:c r="H375" s="365" t="str">
        <x:v>Has a higher probability of activating ice damage</x:v>
      </x:c>
      <x:c r="I375" s="365" t="str">
        <x:v>Unlocked</x:v>
      </x:c>
      <x:c r="J375" s="365" t="str">
        <x:v>00:43.80</x:v>
      </x:c>
      <x:c r="K375" s="365" t="str">
        <x:v>High confidence; the three literal comma characters in the displayed player name are preserved exactly. Visible 00:43.80-00:44.30; Source frame: work/k54_specs_agent/event_frames_final/E013_44.050_Elite_bowmen.jpg</x:v>
      </x:c>
      <x:c r="L375" s="365" t="str">
        <x:v>1000025860.mp4</x:v>
      </x:c>
      <x:c r="M375" s="387" t="n">
        <x:f>IF(P375="OK",INDEX('Badge Lookup'!$B$6:$B$55,MATCH(F375,'Badge Lookup'!$A$6:$A$55,0)),0)</x:f>
        <x:v>2000000</x:v>
      </x:c>
      <x:c r="N375" s="387" t="n">
        <x:f>IF(P375="OK",INDEX('Badge Lookup'!$C$6:$C$55,MATCH(F375,'Badge Lookup'!$A$6:$A$55,0)),0)</x:f>
        <x:v>10334300</x:v>
      </x:c>
      <x:c r="O375" s="388" t="n">
        <x:f>IF(P375="OK",INDEX('Badge Lookup'!$D$6:$D$55,MATCH(F375,'Badge Lookup'!$A$6:$A$55,0)),0)</x:f>
        <x:v>60</x:v>
      </x:c>
      <x:c r="P375" s="362" t="str">
        <x:f>IF(OR(G375="",F375=""),"Not scored",IF(AND(F375=INT(F375),F375&gt;=1,F375&lt;=50,COUNTIF('Badge Lookup'!$A$6:$A$55,F375)=1),"OK","Check lookup"))</x:f>
        <x:v>OK</x:v>
      </x:c>
      <x:c r="Q375" s="456" t="n">
        <x:f>IF(P375&lt;&gt;"OK","",IF(C375="Guards",-O375,O375))</x:f>
        <x:v>60</x:v>
      </x:c>
      <x:c r="R375" s="362" t="str">
        <x:f>IF(P375&lt;&gt;"OK","Not scored",IF(C375="Guards","Damage received reduction","Damage increase"))</x:f>
        <x:v>Damage increase</x:v>
      </x:c>
    </x:row>
    <x:row r="376" ht="32" customHeight="1">
      <x:c r="A376" s="365" t="str">
        <x:v>K54</x:v>
      </x:c>
      <x:c r="B376" s="365" t="str">
        <x:v>纵横,,,大风</x:v>
      </x:c>
      <x:c r="C376" s="365" t="str">
        <x:v>Siege</x:v>
      </x:c>
      <x:c r="D376" s="365" t="str">
        <x:v>Manglers</x:v>
      </x:c>
      <x:c r="E376" s="365" t="str">
        <x:v>Siege</x:v>
      </x:c>
      <x:c r="F376" s="365" t="n">
        <x:v>48</x:v>
      </x:c>
      <x:c r="G376" s="365" t="str">
        <x:v>Highly toxic</x:v>
      </x:c>
      <x:c r="H376" s="365" t="str">
        <x:v>Inflict continuous toxic damage</x:v>
      </x:c>
      <x:c r="I376" s="365" t="str">
        <x:v>Unlocked</x:v>
      </x:c>
      <x:c r="J376" s="365" t="str">
        <x:v>00:44.65</x:v>
      </x:c>
      <x:c r="K376" s="365" t="str">
        <x:v>High confidence; the three literal comma characters in the displayed player name are preserved exactly. Visible 00:44.65-00:45.15; Source frame: work/k54_specs_agent/event_frames_final/E014_44.900_Manglers.jpg</x:v>
      </x:c>
      <x:c r="L376" s="365" t="str">
        <x:v>1000025860.mp4</x:v>
      </x:c>
      <x:c r="M376" s="387" t="n">
        <x:f>IF(P376="OK",INDEX('Badge Lookup'!$B$6:$B$55,MATCH(F376,'Badge Lookup'!$A$6:$A$55,0)),0)</x:f>
        <x:v>1050000</x:v>
      </x:c>
      <x:c r="N376" s="387" t="n">
        <x:f>IF(P376="OK",INDEX('Badge Lookup'!$C$6:$C$55,MATCH(F376,'Badge Lookup'!$A$6:$A$55,0)),0)</x:f>
        <x:v>6934300</x:v>
      </x:c>
      <x:c r="O376" s="388" t="n">
        <x:f>IF(P376="OK",INDEX('Badge Lookup'!$D$6:$D$55,MATCH(F376,'Badge Lookup'!$A$6:$A$55,0)),0)</x:f>
        <x:v>51.74</x:v>
      </x:c>
      <x:c r="P376" s="362" t="str">
        <x:f>IF(OR(G376="",F376=""),"Not scored",IF(AND(F376=INT(F376),F376&gt;=1,F376&lt;=50,COUNTIF('Badge Lookup'!$A$6:$A$55,F376)=1),"OK","Check lookup"))</x:f>
        <x:v>OK</x:v>
      </x:c>
      <x:c r="Q376" s="456" t="n">
        <x:f>IF(P376&lt;&gt;"OK","",IF(C376="Guards",-O376,O376))</x:f>
        <x:v>51.74</x:v>
      </x:c>
      <x:c r="R376" s="362" t="str">
        <x:f>IF(P376&lt;&gt;"OK","Not scored",IF(C376="Guards","Damage received reduction","Damage increase"))</x:f>
        <x:v>Damage increase</x:v>
      </x:c>
    </x:row>
    <x:row r="377" ht="32" customHeight="1">
      <x:c r="A377" s="365" t="str">
        <x:v>K54</x:v>
      </x:c>
      <x:c r="B377" s="365" t="str">
        <x:v>纵横,,,大风</x:v>
      </x:c>
      <x:c r="C377" s="365" t="str">
        <x:v>Cavalry</x:v>
      </x:c>
      <x:c r="D377" s="365" t="str">
        <x:v>Storm cavalry</x:v>
      </x:c>
      <x:c r="E377" s="365" t="str">
        <x:v>Horse archer</x:v>
      </x:c>
      <x:c r="F377" s="365" t="n">
        <x:v>46</x:v>
      </x:c>
      <x:c r="G377" s="365" t="str">
        <x:v>Mounted Archery</x:v>
      </x:c>
      <x:c r="H377" s="365" t="str">
        <x:v>Has a certain probability of causing fly-shooting damage</x:v>
      </x:c>
      <x:c r="I377" s="365" t="str">
        <x:v>Unlocked</x:v>
      </x:c>
      <x:c r="J377" s="365" t="str">
        <x:v>00:45.45</x:v>
      </x:c>
      <x:c r="K377" s="365" t="str">
        <x:v>High confidence; the three literal comma characters in the displayed player name are preserved exactly. Visible 00:45.45-00:45.95; Source frame: work/k54_specs_agent/event_frames_final/E015_45.700_Storm_cavalry.jpg</x:v>
      </x:c>
      <x:c r="L377" s="365" t="str">
        <x:v>1000025860.mp4</x:v>
      </x:c>
      <x:c r="M377" s="387" t="n">
        <x:f>IF(P377="OK",INDEX('Badge Lookup'!$B$6:$B$55,MATCH(F377,'Badge Lookup'!$A$6:$A$55,0)),0)</x:f>
        <x:v>720000</x:v>
      </x:c>
      <x:c r="N377" s="387" t="n">
        <x:f>IF(P377="OK",INDEX('Badge Lookup'!$C$6:$C$55,MATCH(F377,'Badge Lookup'!$A$6:$A$55,0)),0)</x:f>
        <x:v>5004300</x:v>
      </x:c>
      <x:c r="O377" s="388" t="n">
        <x:f>IF(P377="OK",INDEX('Badge Lookup'!$D$6:$D$55,MATCH(F377,'Badge Lookup'!$A$6:$A$55,0)),0)</x:f>
        <x:v>45.13</x:v>
      </x:c>
      <x:c r="P377" s="362" t="str">
        <x:f>IF(OR(G377="",F377=""),"Not scored",IF(AND(F377=INT(F377),F377&gt;=1,F377&lt;=50,COUNTIF('Badge Lookup'!$A$6:$A$55,F377)=1),"OK","Check lookup"))</x:f>
        <x:v>OK</x:v>
      </x:c>
      <x:c r="Q377" s="456" t="n">
        <x:f>IF(P377&lt;&gt;"OK","",IF(C377="Guards",-O377,O377))</x:f>
        <x:v>45.13</x:v>
      </x:c>
      <x:c r="R377" s="362" t="str">
        <x:f>IF(P377&lt;&gt;"OK","Not scored",IF(C377="Guards","Damage received reduction","Damage increase"))</x:f>
        <x:v>Damage increase</x:v>
      </x:c>
    </x:row>
    <x:row r="378" ht="32" customHeight="1">
      <x:c r="A378" s="365" t="str">
        <x:v>K54</x:v>
      </x:c>
      <x:c r="B378" s="365" t="str">
        <x:v>Somnium</x:v>
      </x:c>
      <x:c r="C378" s="365" t="str">
        <x:v>Cavalry</x:v>
      </x:c>
      <x:c r="D378" s="365" t="str">
        <x:v>Eternal knights</x:v>
      </x:c>
      <x:c r="E378" s="365" t="str">
        <x:v>Heavy Cavalry</x:v>
      </x:c>
      <x:c r="F378" s="365" t="n">
        <x:v>50</x:v>
      </x:c>
      <x:c r="G378" s="365" t="str">
        <x:v>Thunder trample</x:v>
      </x:c>
      <x:c r="H378" s="365" t="str">
        <x:v>Has a certain probability of causing trampling damage</x:v>
      </x:c>
      <x:c r="I378" s="365" t="str">
        <x:v>Unlocked</x:v>
      </x:c>
      <x:c r="J378" s="365" t="str">
        <x:v>00:53.55</x:v>
      </x:c>
      <x:c r="K378" s="365" t="str">
        <x:v>High confidence. Visible 00:53.55-00:54.15; Source frame: work/k54_specs_agent/event_frames_final/E019_53.850_Eternal_knights.jpg</x:v>
      </x:c>
      <x:c r="L378" s="365" t="str">
        <x:v>1000025860.mp4</x:v>
      </x:c>
      <x:c r="M378" s="387" t="n">
        <x:f>IF(P378="OK",INDEX('Badge Lookup'!$B$6:$B$55,MATCH(F378,'Badge Lookup'!$A$6:$A$55,0)),0)</x:f>
        <x:v>2000000</x:v>
      </x:c>
      <x:c r="N378" s="387" t="n">
        <x:f>IF(P378="OK",INDEX('Badge Lookup'!$C$6:$C$55,MATCH(F378,'Badge Lookup'!$A$6:$A$55,0)),0)</x:f>
        <x:v>10334300</x:v>
      </x:c>
      <x:c r="O378" s="388" t="n">
        <x:f>IF(P378="OK",INDEX('Badge Lookup'!$D$6:$D$55,MATCH(F378,'Badge Lookup'!$A$6:$A$55,0)),0)</x:f>
        <x:v>60</x:v>
      </x:c>
      <x:c r="P378" s="362" t="str">
        <x:f>IF(OR(G378="",F378=""),"Not scored",IF(AND(F378=INT(F378),F378&gt;=1,F378&lt;=50,COUNTIF('Badge Lookup'!$A$6:$A$55,F378)=1),"OK","Check lookup"))</x:f>
        <x:v>OK</x:v>
      </x:c>
      <x:c r="Q378" s="456" t="n">
        <x:f>IF(P378&lt;&gt;"OK","",IF(C378="Guards",-O378,O378))</x:f>
        <x:v>60</x:v>
      </x:c>
      <x:c r="R378" s="362" t="str">
        <x:f>IF(P378&lt;&gt;"OK","Not scored",IF(C378="Guards","Damage received reduction","Damage increase"))</x:f>
        <x:v>Damage increase</x:v>
      </x:c>
    </x:row>
    <x:row r="379" ht="32" customHeight="1">
      <x:c r="A379" s="365" t="str">
        <x:v>K54</x:v>
      </x:c>
      <x:c r="B379" s="365" t="str">
        <x:v>Somnium</x:v>
      </x:c>
      <x:c r="C379" s="365" t="str">
        <x:v>Cavalry</x:v>
      </x:c>
      <x:c r="D379" s="365" t="str">
        <x:v>Storm cavalry</x:v>
      </x:c>
      <x:c r="E379" s="365" t="str">
        <x:v>Horse archer</x:v>
      </x:c>
      <x:c r="F379" s="365" t="n">
        <x:v>38</x:v>
      </x:c>
      <x:c r="G379" s="365" t="str">
        <x:v>Mounted Archery</x:v>
      </x:c>
      <x:c r="H379" s="365" t="str">
        <x:v>Has a certain probability of causing fly-shooting damage</x:v>
      </x:c>
      <x:c r="I379" s="365" t="str">
        <x:v>Unlocked</x:v>
      </x:c>
      <x:c r="J379" s="365" t="str">
        <x:v>00:54.65</x:v>
      </x:c>
      <x:c r="K379" s="365" t="str">
        <x:v>High confidence. Visible 00:54.65-00:54.95; Source frame: work/k54_specs_agent/event_frames_final/E020_54.800_Storm_cavalry.jpg</x:v>
      </x:c>
      <x:c r="L379" s="365" t="str">
        <x:v>1000025860.mp4</x:v>
      </x:c>
      <x:c r="M379" s="387" t="n">
        <x:f>IF(P379="OK",INDEX('Badge Lookup'!$B$6:$B$55,MATCH(F379,'Badge Lookup'!$A$6:$A$55,0)),0)</x:f>
        <x:v>180000</x:v>
      </x:c>
      <x:c r="N379" s="387" t="n">
        <x:f>IF(P379="OK",INDEX('Badge Lookup'!$C$6:$C$55,MATCH(F379,'Badge Lookup'!$A$6:$A$55,0)),0)</x:f>
        <x:v>1804300</x:v>
      </x:c>
      <x:c r="O379" s="388" t="n">
        <x:f>IF(P379="OK",INDEX('Badge Lookup'!$D$6:$D$55,MATCH(F379,'Badge Lookup'!$A$6:$A$55,0)),0)</x:f>
        <x:v>22.34</x:v>
      </x:c>
      <x:c r="P379" s="362" t="str">
        <x:f>IF(OR(G379="",F379=""),"Not scored",IF(AND(F379=INT(F379),F379&gt;=1,F379&lt;=50,COUNTIF('Badge Lookup'!$A$6:$A$55,F379)=1),"OK","Check lookup"))</x:f>
        <x:v>OK</x:v>
      </x:c>
      <x:c r="Q379" s="456" t="n">
        <x:f>IF(P379&lt;&gt;"OK","",IF(C379="Guards",-O379,O379))</x:f>
        <x:v>22.34</x:v>
      </x:c>
      <x:c r="R379" s="362" t="str">
        <x:f>IF(P379&lt;&gt;"OK","Not scored",IF(C379="Guards","Damage received reduction","Damage increase"))</x:f>
        <x:v>Damage increase</x:v>
      </x:c>
    </x:row>
    <x:row r="380" ht="32" customHeight="1">
      <x:c r="A380" s="365" t="str">
        <x:v>K54</x:v>
      </x:c>
      <x:c r="B380" s="365" t="str">
        <x:v>纵横,,,Nike耐克</x:v>
      </x:c>
      <x:c r="C380" s="365" t="str">
        <x:v>Cavalry</x:v>
      </x:c>
      <x:c r="D380" s="365" t="str">
        <x:v>Eternal knights</x:v>
      </x:c>
      <x:c r="E380" s="365" t="str">
        <x:v>Heavy Cavalry</x:v>
      </x:c>
      <x:c r="F380" s="365" t="n">
        <x:v>46</x:v>
      </x:c>
      <x:c r="G380" s="365" t="str">
        <x:v>Thunder trample</x:v>
      </x:c>
      <x:c r="H380" s="365" t="str">
        <x:v>Has a certain probability of causing trampling damage</x:v>
      </x:c>
      <x:c r="I380" s="365" t="str">
        <x:v>Unlocked</x:v>
      </x:c>
      <x:c r="J380" s="365" t="str">
        <x:v>01:01.20</x:v>
      </x:c>
      <x:c r="K380" s="365" t="str">
        <x:v>High confidence; the three literal comma characters in the displayed player name are preserved exactly. Visible 01:01.20-01:01.70; Source frame: work/k54_specs_agent/event_frames_final/E021_61.450_Eternal_knights.jpg</x:v>
      </x:c>
      <x:c r="L380" s="365" t="str">
        <x:v>1000025860.mp4</x:v>
      </x:c>
      <x:c r="M380" s="387" t="n">
        <x:f>IF(P380="OK",INDEX('Badge Lookup'!$B$6:$B$55,MATCH(F380,'Badge Lookup'!$A$6:$A$55,0)),0)</x:f>
        <x:v>720000</x:v>
      </x:c>
      <x:c r="N380" s="387" t="n">
        <x:f>IF(P380="OK",INDEX('Badge Lookup'!$C$6:$C$55,MATCH(F380,'Badge Lookup'!$A$6:$A$55,0)),0)</x:f>
        <x:v>5004300</x:v>
      </x:c>
      <x:c r="O380" s="388" t="n">
        <x:f>IF(P380="OK",INDEX('Badge Lookup'!$D$6:$D$55,MATCH(F380,'Badge Lookup'!$A$6:$A$55,0)),0)</x:f>
        <x:v>45.13</x:v>
      </x:c>
      <x:c r="P380" s="362" t="str">
        <x:f>IF(OR(G380="",F380=""),"Not scored",IF(AND(F380=INT(F380),F380&gt;=1,F380&lt;=50,COUNTIF('Badge Lookup'!$A$6:$A$55,F380)=1),"OK","Check lookup"))</x:f>
        <x:v>OK</x:v>
      </x:c>
      <x:c r="Q380" s="456" t="n">
        <x:f>IF(P380&lt;&gt;"OK","",IF(C380="Guards",-O380,O380))</x:f>
        <x:v>45.13</x:v>
      </x:c>
      <x:c r="R380" s="362" t="str">
        <x:f>IF(P380&lt;&gt;"OK","Not scored",IF(C380="Guards","Damage received reduction","Damage increase"))</x:f>
        <x:v>Damage increase</x:v>
      </x:c>
    </x:row>
    <x:row r="381" ht="32" customHeight="1">
      <x:c r="A381" s="365" t="str">
        <x:v>K54</x:v>
      </x:c>
      <x:c r="B381" s="365" t="str">
        <x:v>纵横,,,Nike耐克</x:v>
      </x:c>
      <x:c r="C381" s="365" t="str">
        <x:v>Archers</x:v>
      </x:c>
      <x:c r="D381" s="365" t="str">
        <x:v>Elite bowmen</x:v>
      </x:c>
      <x:c r="E381" s="365" t="str">
        <x:v>Archer</x:v>
      </x:c>
      <x:c r="F381" s="365" t="n">
        <x:v>45</x:v>
      </x:c>
      <x:c r="G381" s="365" t="str">
        <x:v>Frost Arrow</x:v>
      </x:c>
      <x:c r="H381" s="365" t="str">
        <x:v>Has a higher probability of activating ice damage</x:v>
      </x:c>
      <x:c r="I381" s="365" t="str">
        <x:v>Unlocked</x:v>
      </x:c>
      <x:c r="J381" s="365" t="str">
        <x:v>01:01.95</x:v>
      </x:c>
      <x:c r="K381" s="365" t="str">
        <x:v>High confidence; the three literal comma characters in the displayed player name are preserved exactly. Visible 01:01.95-01:02.50; Source frame: work/k54_specs_agent/event_frames_final/E022_62.225_Elite_bowmen.jpg</x:v>
      </x:c>
      <x:c r="L381" s="365" t="str">
        <x:v>1000025860.mp4</x:v>
      </x:c>
      <x:c r="M381" s="387" t="n">
        <x:f>IF(P381="OK",INDEX('Badge Lookup'!$B$6:$B$55,MATCH(F381,'Badge Lookup'!$A$6:$A$55,0)),0)</x:f>
        <x:v>560000</x:v>
      </x:c>
      <x:c r="N381" s="387" t="n">
        <x:f>IF(P381="OK",INDEX('Badge Lookup'!$C$6:$C$55,MATCH(F381,'Badge Lookup'!$A$6:$A$55,0)),0)</x:f>
        <x:v>4284300</x:v>
      </x:c>
      <x:c r="O381" s="388" t="n">
        <x:f>IF(P381="OK",INDEX('Badge Lookup'!$D$6:$D$55,MATCH(F381,'Badge Lookup'!$A$6:$A$55,0)),0)</x:f>
        <x:v>41.98</x:v>
      </x:c>
      <x:c r="P381" s="362" t="str">
        <x:f>IF(OR(G381="",F381=""),"Not scored",IF(AND(F381=INT(F381),F381&gt;=1,F381&lt;=50,COUNTIF('Badge Lookup'!$A$6:$A$55,F381)=1),"OK","Check lookup"))</x:f>
        <x:v>OK</x:v>
      </x:c>
      <x:c r="Q381" s="456" t="n">
        <x:f>IF(P381&lt;&gt;"OK","",IF(C381="Guards",-O381,O381))</x:f>
        <x:v>41.98</x:v>
      </x:c>
      <x:c r="R381" s="362" t="str">
        <x:f>IF(P381&lt;&gt;"OK","Not scored",IF(C381="Guards","Damage received reduction","Damage increase"))</x:f>
        <x:v>Damage increase</x:v>
      </x:c>
    </x:row>
    <x:row r="382" ht="32" customHeight="1">
      <x:c r="A382" s="365" t="str">
        <x:v>K54</x:v>
      </x:c>
      <x:c r="B382" s="365" t="str">
        <x:v>纵横,,,Nike耐克</x:v>
      </x:c>
      <x:c r="C382" s="365" t="str">
        <x:v>Siege</x:v>
      </x:c>
      <x:c r="D382" s="365" t="str">
        <x:v>Manglers</x:v>
      </x:c>
      <x:c r="E382" s="365" t="str">
        <x:v>Siege</x:v>
      </x:c>
      <x:c r="F382" s="365" t="n">
        <x:v>46</x:v>
      </x:c>
      <x:c r="G382" s="365" t="str">
        <x:v>Highly toxic</x:v>
      </x:c>
      <x:c r="H382" s="365" t="str">
        <x:v>Inflict continuous toxic damage</x:v>
      </x:c>
      <x:c r="I382" s="365" t="str">
        <x:v>Unlocked</x:v>
      </x:c>
      <x:c r="J382" s="365" t="str">
        <x:v>01:02.70</x:v>
      </x:c>
      <x:c r="K382" s="365" t="str">
        <x:v>High confidence; the three literal comma characters in the displayed player name are preserved exactly. Visible 01:02.70-01:03.25; Source frame: work/k54_specs_agent/event_frames_final/E023_62.975_Manglers.jpg</x:v>
      </x:c>
      <x:c r="L382" s="365" t="str">
        <x:v>1000025860.mp4</x:v>
      </x:c>
      <x:c r="M382" s="387" t="n">
        <x:f>IF(P382="OK",INDEX('Badge Lookup'!$B$6:$B$55,MATCH(F382,'Badge Lookup'!$A$6:$A$55,0)),0)</x:f>
        <x:v>720000</x:v>
      </x:c>
      <x:c r="N382" s="387" t="n">
        <x:f>IF(P382="OK",INDEX('Badge Lookup'!$C$6:$C$55,MATCH(F382,'Badge Lookup'!$A$6:$A$55,0)),0)</x:f>
        <x:v>5004300</x:v>
      </x:c>
      <x:c r="O382" s="388" t="n">
        <x:f>IF(P382="OK",INDEX('Badge Lookup'!$D$6:$D$55,MATCH(F382,'Badge Lookup'!$A$6:$A$55,0)),0)</x:f>
        <x:v>45.13</x:v>
      </x:c>
      <x:c r="P382" s="362" t="str">
        <x:f>IF(OR(G382="",F382=""),"Not scored",IF(AND(F382=INT(F382),F382&gt;=1,F382&lt;=50,COUNTIF('Badge Lookup'!$A$6:$A$55,F382)=1),"OK","Check lookup"))</x:f>
        <x:v>OK</x:v>
      </x:c>
      <x:c r="Q382" s="456" t="n">
        <x:f>IF(P382&lt;&gt;"OK","",IF(C382="Guards",-O382,O382))</x:f>
        <x:v>45.13</x:v>
      </x:c>
      <x:c r="R382" s="362" t="str">
        <x:f>IF(P382&lt;&gt;"OK","Not scored",IF(C382="Guards","Damage received reduction","Damage increase"))</x:f>
        <x:v>Damage increase</x:v>
      </x:c>
    </x:row>
    <x:row r="383" ht="32" customHeight="1">
      <x:c r="A383" s="365" t="str">
        <x:v>K54</x:v>
      </x:c>
      <x:c r="B383" s="365" t="str">
        <x:v>纵横,,,Nike耐克</x:v>
      </x:c>
      <x:c r="C383" s="365" t="str">
        <x:v>Cavalry</x:v>
      </x:c>
      <x:c r="D383" s="365" t="str">
        <x:v>Storm cavalry</x:v>
      </x:c>
      <x:c r="E383" s="365" t="str">
        <x:v>Horse archer</x:v>
      </x:c>
      <x:c r="F383" s="365" t="n">
        <x:v>46</x:v>
      </x:c>
      <x:c r="G383" s="365" t="str">
        <x:v>Mounted Archery</x:v>
      </x:c>
      <x:c r="H383" s="365" t="str">
        <x:v>Has a certain probability of causing fly-shooting damage</x:v>
      </x:c>
      <x:c r="I383" s="365" t="str">
        <x:v>Unlocked</x:v>
      </x:c>
      <x:c r="J383" s="365" t="str">
        <x:v>01:03.55</x:v>
      </x:c>
      <x:c r="K383" s="365" t="str">
        <x:v>High confidence; the three literal comma characters in the displayed player name are preserved exactly. Visible 01:03.55-01:03.95; Source frame: work/k54_specs_agent/event_frames_final/E024_63.750_Storm_cavalry.jpg</x:v>
      </x:c>
      <x:c r="L383" s="365" t="str">
        <x:v>1000025860.mp4</x:v>
      </x:c>
      <x:c r="M383" s="387" t="n">
        <x:f>IF(P383="OK",INDEX('Badge Lookup'!$B$6:$B$55,MATCH(F383,'Badge Lookup'!$A$6:$A$55,0)),0)</x:f>
        <x:v>720000</x:v>
      </x:c>
      <x:c r="N383" s="387" t="n">
        <x:f>IF(P383="OK",INDEX('Badge Lookup'!$C$6:$C$55,MATCH(F383,'Badge Lookup'!$A$6:$A$55,0)),0)</x:f>
        <x:v>5004300</x:v>
      </x:c>
      <x:c r="O383" s="388" t="n">
        <x:f>IF(P383="OK",INDEX('Badge Lookup'!$D$6:$D$55,MATCH(F383,'Badge Lookup'!$A$6:$A$55,0)),0)</x:f>
        <x:v>45.13</x:v>
      </x:c>
      <x:c r="P383" s="362" t="str">
        <x:f>IF(OR(G383="",F383=""),"Not scored",IF(AND(F383=INT(F383),F383&gt;=1,F383&lt;=50,COUNTIF('Badge Lookup'!$A$6:$A$55,F383)=1),"OK","Check lookup"))</x:f>
        <x:v>OK</x:v>
      </x:c>
      <x:c r="Q383" s="456" t="n">
        <x:f>IF(P383&lt;&gt;"OK","",IF(C383="Guards",-O383,O383))</x:f>
        <x:v>45.13</x:v>
      </x:c>
      <x:c r="R383" s="362" t="str">
        <x:f>IF(P383&lt;&gt;"OK","Not scored",IF(C383="Guards","Damage received reduction","Damage increase"))</x:f>
        <x:v>Damage increase</x:v>
      </x:c>
    </x:row>
    <x:row r="384" ht="32" customHeight="1">
      <x:c r="A384" s="365" t="str">
        <x:v>K54</x:v>
      </x:c>
      <x:c r="B384" s="365" t="str">
        <x:v>醉红尘</x:v>
      </x:c>
      <x:c r="C384" s="365" t="str">
        <x:v>Cavalry</x:v>
      </x:c>
      <x:c r="D384" s="365" t="str">
        <x:v>Eternal knights</x:v>
      </x:c>
      <x:c r="E384" s="365" t="str">
        <x:v>Heavy Cavalry</x:v>
      </x:c>
      <x:c r="F384" s="365" t="n">
        <x:v>40</x:v>
      </x:c>
      <x:c r="G384" s="365" t="str">
        <x:v>Thunder trample</x:v>
      </x:c>
      <x:c r="H384" s="365" t="str">
        <x:v>Has a certain probability of causing trampling damage</x:v>
      </x:c>
      <x:c r="I384" s="365" t="str">
        <x:v>Unlocked</x:v>
      </x:c>
      <x:c r="J384" s="365" t="str">
        <x:v>01:12.85</x:v>
      </x:c>
      <x:c r="K384" s="365" t="str">
        <x:v>High confidence. Visible 01:12.85-01:13.30; Source frame: work/k54_specs_agent/event_frames_final/E026_73.075_Eternal_knights.jpg</x:v>
      </x:c>
      <x:c r="L384" s="365" t="str">
        <x:v>1000025860.mp4</x:v>
      </x:c>
      <x:c r="M384" s="387" t="n">
        <x:f>IF(P384="OK",INDEX('Badge Lookup'!$B$6:$B$55,MATCH(F384,'Badge Lookup'!$A$6:$A$55,0)),0)</x:f>
        <x:v>240000</x:v>
      </x:c>
      <x:c r="N384" s="387" t="n">
        <x:f>IF(P384="OK",INDEX('Badge Lookup'!$C$6:$C$55,MATCH(F384,'Badge Lookup'!$A$6:$A$55,0)),0)</x:f>
        <x:v>2244300</x:v>
      </x:c>
      <x:c r="O384" s="388" t="n">
        <x:f>IF(P384="OK",INDEX('Badge Lookup'!$D$6:$D$55,MATCH(F384,'Badge Lookup'!$A$6:$A$55,0)),0)</x:f>
        <x:v>27.74</x:v>
      </x:c>
      <x:c r="P384" s="362" t="str">
        <x:f>IF(OR(G384="",F384=""),"Not scored",IF(AND(F384=INT(F384),F384&gt;=1,F384&lt;=50,COUNTIF('Badge Lookup'!$A$6:$A$55,F384)=1),"OK","Check lookup"))</x:f>
        <x:v>OK</x:v>
      </x:c>
      <x:c r="Q384" s="456" t="n">
        <x:f>IF(P384&lt;&gt;"OK","",IF(C384="Guards",-O384,O384))</x:f>
        <x:v>27.74</x:v>
      </x:c>
      <x:c r="R384" s="362" t="str">
        <x:f>IF(P384&lt;&gt;"OK","Not scored",IF(C384="Guards","Damage received reduction","Damage increase"))</x:f>
        <x:v>Damage increase</x:v>
      </x:c>
    </x:row>
    <x:row r="385" ht="32" customHeight="1">
      <x:c r="A385" s="365" t="str">
        <x:v>K54</x:v>
      </x:c>
      <x:c r="B385" s="365" t="str">
        <x:v>醉红尘</x:v>
      </x:c>
      <x:c r="C385" s="365" t="str">
        <x:v>Archers</x:v>
      </x:c>
      <x:c r="D385" s="365" t="str">
        <x:v>Elite bowmen</x:v>
      </x:c>
      <x:c r="E385" s="365" t="str">
        <x:v>Archer</x:v>
      </x:c>
      <x:c r="F385" s="365" t="n">
        <x:v>40</x:v>
      </x:c>
      <x:c r="G385" s="365" t="str">
        <x:v>Frost Arrow</x:v>
      </x:c>
      <x:c r="H385" s="365" t="str">
        <x:v>Has a higher probability of activating ice damage</x:v>
      </x:c>
      <x:c r="I385" s="365" t="str">
        <x:v>Unlocked</x:v>
      </x:c>
      <x:c r="J385" s="365" t="str">
        <x:v>01:13.75</x:v>
      </x:c>
      <x:c r="K385" s="365" t="str">
        <x:v>High confidence. Visible 01:13.75-01:14.05; Source frame: work/k54_specs_agent/event_frames_final/E027_73.900_Elite_bowmen.jpg</x:v>
      </x:c>
      <x:c r="L385" s="365" t="str">
        <x:v>1000025860.mp4</x:v>
      </x:c>
      <x:c r="M385" s="387" t="n">
        <x:f>IF(P385="OK",INDEX('Badge Lookup'!$B$6:$B$55,MATCH(F385,'Badge Lookup'!$A$6:$A$55,0)),0)</x:f>
        <x:v>240000</x:v>
      </x:c>
      <x:c r="N385" s="387" t="n">
        <x:f>IF(P385="OK",INDEX('Badge Lookup'!$C$6:$C$55,MATCH(F385,'Badge Lookup'!$A$6:$A$55,0)),0)</x:f>
        <x:v>2244300</x:v>
      </x:c>
      <x:c r="O385" s="388" t="n">
        <x:f>IF(P385="OK",INDEX('Badge Lookup'!$D$6:$D$55,MATCH(F385,'Badge Lookup'!$A$6:$A$55,0)),0)</x:f>
        <x:v>27.74</x:v>
      </x:c>
      <x:c r="P385" s="362" t="str">
        <x:f>IF(OR(G385="",F385=""),"Not scored",IF(AND(F385=INT(F385),F385&gt;=1,F385&lt;=50,COUNTIF('Badge Lookup'!$A$6:$A$55,F385)=1),"OK","Check lookup"))</x:f>
        <x:v>OK</x:v>
      </x:c>
      <x:c r="Q385" s="456" t="n">
        <x:f>IF(P385&lt;&gt;"OK","",IF(C385="Guards",-O385,O385))</x:f>
        <x:v>27.74</x:v>
      </x:c>
      <x:c r="R385" s="362" t="str">
        <x:f>IF(P385&lt;&gt;"OK","Not scored",IF(C385="Guards","Damage received reduction","Damage increase"))</x:f>
        <x:v>Damage increase</x:v>
      </x:c>
    </x:row>
    <x:row r="386" ht="32" customHeight="1">
      <x:c r="A386" s="365" t="str">
        <x:v>K54</x:v>
      </x:c>
      <x:c r="B386" s="365" t="str">
        <x:v>醉红尘</x:v>
      </x:c>
      <x:c r="C386" s="365" t="str">
        <x:v>Siege</x:v>
      </x:c>
      <x:c r="D386" s="365" t="str">
        <x:v>Manglers</x:v>
      </x:c>
      <x:c r="E386" s="365" t="str">
        <x:v>Siege</x:v>
      </x:c>
      <x:c r="F386" s="365" t="n">
        <x:v>40</x:v>
      </x:c>
      <x:c r="G386" s="365" t="str">
        <x:v>Highly toxic</x:v>
      </x:c>
      <x:c r="H386" s="365" t="str">
        <x:v>Inflict continuous toxic damage</x:v>
      </x:c>
      <x:c r="I386" s="365" t="str">
        <x:v>Unlocked</x:v>
      </x:c>
      <x:c r="J386" s="365" t="str">
        <x:v>01:14.50</x:v>
      </x:c>
      <x:c r="K386" s="365" t="str">
        <x:v>High confidence. Visible 01:14.50-01:14.85; Source frame: work/k54_specs_agent/event_frames_final/E028_74.675_Manglers.jpg</x:v>
      </x:c>
      <x:c r="L386" s="365" t="str">
        <x:v>1000025860.mp4</x:v>
      </x:c>
      <x:c r="M386" s="387" t="n">
        <x:f>IF(P386="OK",INDEX('Badge Lookup'!$B$6:$B$55,MATCH(F386,'Badge Lookup'!$A$6:$A$55,0)),0)</x:f>
        <x:v>240000</x:v>
      </x:c>
      <x:c r="N386" s="387" t="n">
        <x:f>IF(P386="OK",INDEX('Badge Lookup'!$C$6:$C$55,MATCH(F386,'Badge Lookup'!$A$6:$A$55,0)),0)</x:f>
        <x:v>2244300</x:v>
      </x:c>
      <x:c r="O386" s="388" t="n">
        <x:f>IF(P386="OK",INDEX('Badge Lookup'!$D$6:$D$55,MATCH(F386,'Badge Lookup'!$A$6:$A$55,0)),0)</x:f>
        <x:v>27.74</x:v>
      </x:c>
      <x:c r="P386" s="362" t="str">
        <x:f>IF(OR(G386="",F386=""),"Not scored",IF(AND(F386=INT(F386),F386&gt;=1,F386&lt;=50,COUNTIF('Badge Lookup'!$A$6:$A$55,F386)=1),"OK","Check lookup"))</x:f>
        <x:v>OK</x:v>
      </x:c>
      <x:c r="Q386" s="456" t="n">
        <x:f>IF(P386&lt;&gt;"OK","",IF(C386="Guards",-O386,O386))</x:f>
        <x:v>27.74</x:v>
      </x:c>
      <x:c r="R386" s="362" t="str">
        <x:f>IF(P386&lt;&gt;"OK","Not scored",IF(C386="Guards","Damage received reduction","Damage increase"))</x:f>
        <x:v>Damage increase</x:v>
      </x:c>
    </x:row>
    <x:row r="387" ht="32" customHeight="1">
      <x:c r="A387" s="365" t="str">
        <x:v>K54</x:v>
      </x:c>
      <x:c r="B387" s="365" t="str">
        <x:v>醉红尘</x:v>
      </x:c>
      <x:c r="C387" s="365" t="str">
        <x:v>Cavalry</x:v>
      </x:c>
      <x:c r="D387" s="365" t="str">
        <x:v>Storm cavalry</x:v>
      </x:c>
      <x:c r="E387" s="365" t="str">
        <x:v>Horse archer</x:v>
      </x:c>
      <x:c r="F387" s="365" t="n">
        <x:v>34</x:v>
      </x:c>
      <x:c r="G387" s="365" t="str">
        <x:v>Mounted Archery</x:v>
      </x:c>
      <x:c r="H387" s="365" t="str">
        <x:v>Has a certain probability of causing fly-shooting damage</x:v>
      </x:c>
      <x:c r="I387" s="365" t="str">
        <x:v>Unlocked</x:v>
      </x:c>
      <x:c r="J387" s="365" t="str">
        <x:v>01:15.35</x:v>
      </x:c>
      <x:c r="K387" s="365" t="str">
        <x:v>High confidence. Visible 01:15.35-01:15.85; Source frame: work/k54_specs_agent/event_frames_final/E029_75.600_Storm_cavalry.jpg</x:v>
      </x:c>
      <x:c r="L387" s="365" t="str">
        <x:v>1000025860.mp4</x:v>
      </x:c>
      <x:c r="M387" s="387" t="n">
        <x:f>IF(P387="OK",INDEX('Badge Lookup'!$B$6:$B$55,MATCH(F387,'Badge Lookup'!$A$6:$A$55,0)),0)</x:f>
        <x:v>120000</x:v>
      </x:c>
      <x:c r="N387" s="387" t="n">
        <x:f>IF(P387="OK",INDEX('Badge Lookup'!$C$6:$C$55,MATCH(F387,'Badge Lookup'!$A$6:$A$55,0)),0)</x:f>
        <x:v>1194300</x:v>
      </x:c>
      <x:c r="O387" s="388" t="n">
        <x:f>IF(P387="OK",INDEX('Badge Lookup'!$D$6:$D$55,MATCH(F387,'Badge Lookup'!$A$6:$A$55,0)),0)</x:f>
        <x:v>16.2</x:v>
      </x:c>
      <x:c r="P387" s="362" t="str">
        <x:f>IF(OR(G387="",F387=""),"Not scored",IF(AND(F387=INT(F387),F387&gt;=1,F387&lt;=50,COUNTIF('Badge Lookup'!$A$6:$A$55,F387)=1),"OK","Check lookup"))</x:f>
        <x:v>OK</x:v>
      </x:c>
      <x:c r="Q387" s="456" t="n">
        <x:f>IF(P387&lt;&gt;"OK","",IF(C387="Guards",-O387,O387))</x:f>
        <x:v>16.2</x:v>
      </x:c>
      <x:c r="R387" s="362" t="str">
        <x:f>IF(P387&lt;&gt;"OK","Not scored",IF(C387="Guards","Damage received reduction","Damage increase"))</x:f>
        <x:v>Damage increase</x:v>
      </x:c>
    </x:row>
    <x:row r="388" ht="32" customHeight="1">
      <x:c r="A388" s="365" t="str">
        <x:v>K54</x:v>
      </x:c>
      <x:c r="B388" s="365" t="str">
        <x:v>纵横,,,飞哥</x:v>
      </x:c>
      <x:c r="C388" s="365" t="str">
        <x:v>Cavalry</x:v>
      </x:c>
      <x:c r="D388" s="365" t="str">
        <x:v>Eternal knights</x:v>
      </x:c>
      <x:c r="E388" s="365" t="str">
        <x:v>Heavy Cavalry</x:v>
      </x:c>
      <x:c r="F388" s="365" t="n">
        <x:v>40</x:v>
      </x:c>
      <x:c r="G388" s="365" t="str">
        <x:v>Thunder trample</x:v>
      </x:c>
      <x:c r="H388" s="365" t="str">
        <x:v>Has a certain probability of causing trampling damage</x:v>
      </x:c>
      <x:c r="I388" s="365" t="str">
        <x:v>Unlocked</x:v>
      </x:c>
      <x:c r="J388" s="365" t="str">
        <x:v>01:22.50</x:v>
      </x:c>
      <x:c r="K388" s="365" t="str">
        <x:v>High confidence; the three literal comma characters in the displayed player name are preserved exactly. Visible 01:22.50-01:22.95; Source frame: work/k54_specs_agent/event_frames_final/E030_82.725_Eternal_knights.jpg</x:v>
      </x:c>
      <x:c r="L388" s="365" t="str">
        <x:v>1000025860.mp4</x:v>
      </x:c>
      <x:c r="M388" s="387" t="n">
        <x:f>IF(P388="OK",INDEX('Badge Lookup'!$B$6:$B$55,MATCH(F388,'Badge Lookup'!$A$6:$A$55,0)),0)</x:f>
        <x:v>240000</x:v>
      </x:c>
      <x:c r="N388" s="387" t="n">
        <x:f>IF(P388="OK",INDEX('Badge Lookup'!$C$6:$C$55,MATCH(F388,'Badge Lookup'!$A$6:$A$55,0)),0)</x:f>
        <x:v>2244300</x:v>
      </x:c>
      <x:c r="O388" s="388" t="n">
        <x:f>IF(P388="OK",INDEX('Badge Lookup'!$D$6:$D$55,MATCH(F388,'Badge Lookup'!$A$6:$A$55,0)),0)</x:f>
        <x:v>27.74</x:v>
      </x:c>
      <x:c r="P388" s="362" t="str">
        <x:f>IF(OR(G388="",F388=""),"Not scored",IF(AND(F388=INT(F388),F388&gt;=1,F388&lt;=50,COUNTIF('Badge Lookup'!$A$6:$A$55,F388)=1),"OK","Check lookup"))</x:f>
        <x:v>OK</x:v>
      </x:c>
      <x:c r="Q388" s="456" t="n">
        <x:f>IF(P388&lt;&gt;"OK","",IF(C388="Guards",-O388,O388))</x:f>
        <x:v>27.74</x:v>
      </x:c>
      <x:c r="R388" s="362" t="str">
        <x:f>IF(P388&lt;&gt;"OK","Not scored",IF(C388="Guards","Damage received reduction","Damage increase"))</x:f>
        <x:v>Damage increase</x:v>
      </x:c>
    </x:row>
    <x:row r="389" ht="32" customHeight="1">
      <x:c r="A389" s="365" t="str">
        <x:v>K54</x:v>
      </x:c>
      <x:c r="B389" s="365" t="str">
        <x:v>纵横,,,飞哥</x:v>
      </x:c>
      <x:c r="C389" s="365" t="str">
        <x:v>Cavalry</x:v>
      </x:c>
      <x:c r="D389" s="365" t="str">
        <x:v>Storm cavalry</x:v>
      </x:c>
      <x:c r="E389" s="365" t="str">
        <x:v>Horse archer</x:v>
      </x:c>
      <x:c r="F389" s="365" t="n">
        <x:v>41</x:v>
      </x:c>
      <x:c r="G389" s="365" t="str">
        <x:v>Mounted Archery</x:v>
      </x:c>
      <x:c r="H389" s="365" t="str">
        <x:v>Has a certain probability of causing fly-shooting damage</x:v>
      </x:c>
      <x:c r="I389" s="365" t="str">
        <x:v>Unlocked</x:v>
      </x:c>
      <x:c r="J389" s="365" t="str">
        <x:v>01:23.40</x:v>
      </x:c>
      <x:c r="K389" s="365" t="str">
        <x:v>High confidence; the three literal comma characters in the displayed player name are preserved exactly. Visible 01:23.40-01:23.70; Source frame: work/k54_specs_agent/event_frames_final/E031_83.550_Storm_cavalry.jpg</x:v>
      </x:c>
      <x:c r="L389" s="365" t="str">
        <x:v>1000025860.mp4</x:v>
      </x:c>
      <x:c r="M389" s="387" t="n">
        <x:f>IF(P389="OK",INDEX('Badge Lookup'!$B$6:$B$55,MATCH(F389,'Badge Lookup'!$A$6:$A$55,0)),0)</x:f>
        <x:v>280000</x:v>
      </x:c>
      <x:c r="N389" s="387" t="n">
        <x:f>IF(P389="OK",INDEX('Badge Lookup'!$C$6:$C$55,MATCH(F389,'Badge Lookup'!$A$6:$A$55,0)),0)</x:f>
        <x:v>2524300</x:v>
      </x:c>
      <x:c r="O389" s="388" t="n">
        <x:f>IF(P389="OK",INDEX('Badge Lookup'!$D$6:$D$55,MATCH(F389,'Badge Lookup'!$A$6:$A$55,0)),0)</x:f>
        <x:v>30.38</x:v>
      </x:c>
      <x:c r="P389" s="362" t="str">
        <x:f>IF(OR(G389="",F389=""),"Not scored",IF(AND(F389=INT(F389),F389&gt;=1,F389&lt;=50,COUNTIF('Badge Lookup'!$A$6:$A$55,F389)=1),"OK","Check lookup"))</x:f>
        <x:v>OK</x:v>
      </x:c>
      <x:c r="Q389" s="456" t="n">
        <x:f>IF(P389&lt;&gt;"OK","",IF(C389="Guards",-O389,O389))</x:f>
        <x:v>30.38</x:v>
      </x:c>
      <x:c r="R389" s="362" t="str">
        <x:f>IF(P389&lt;&gt;"OK","Not scored",IF(C389="Guards","Damage received reduction","Damage increase"))</x:f>
        <x:v>Damage increase</x:v>
      </x:c>
    </x:row>
    <x:row r="390" ht="32" customHeight="1">
      <x:c r="A390" s="365" t="str">
        <x:v>K54</x:v>
      </x:c>
      <x:c r="B390" s="365" t="str">
        <x:v>纵横,,,金王</x:v>
      </x:c>
      <x:c r="C390" s="365" t="str">
        <x:v>Cavalry</x:v>
      </x:c>
      <x:c r="D390" s="365" t="str">
        <x:v>Eternal knights</x:v>
      </x:c>
      <x:c r="E390" s="365" t="str">
        <x:v>Heavy Cavalry</x:v>
      </x:c>
      <x:c r="F390" s="365" t="n">
        <x:v>46</x:v>
      </x:c>
      <x:c r="G390" s="365" t="str">
        <x:v>Thunder trample</x:v>
      </x:c>
      <x:c r="H390" s="365" t="str">
        <x:v>Has a certain probability of causing trampling damage</x:v>
      </x:c>
      <x:c r="I390" s="365" t="str">
        <x:v>Unlocked</x:v>
      </x:c>
      <x:c r="J390" s="365" t="str">
        <x:v>01:28.80</x:v>
      </x:c>
      <x:c r="K390" s="365" t="str">
        <x:v>High confidence; the three literal comma characters in the displayed player name are preserved exactly. Visible 01:28.80-01:29.20; Source frame: work/k54_specs_agent/event_frames_final/E032_89.000_Eternal_knights.jpg</x:v>
      </x:c>
      <x:c r="L390" s="365" t="str">
        <x:v>1000025860.mp4</x:v>
      </x:c>
      <x:c r="M390" s="387" t="n">
        <x:f>IF(P390="OK",INDEX('Badge Lookup'!$B$6:$B$55,MATCH(F390,'Badge Lookup'!$A$6:$A$55,0)),0)</x:f>
        <x:v>720000</x:v>
      </x:c>
      <x:c r="N390" s="387" t="n">
        <x:f>IF(P390="OK",INDEX('Badge Lookup'!$C$6:$C$55,MATCH(F390,'Badge Lookup'!$A$6:$A$55,0)),0)</x:f>
        <x:v>5004300</x:v>
      </x:c>
      <x:c r="O390" s="388" t="n">
        <x:f>IF(P390="OK",INDEX('Badge Lookup'!$D$6:$D$55,MATCH(F390,'Badge Lookup'!$A$6:$A$55,0)),0)</x:f>
        <x:v>45.13</x:v>
      </x:c>
      <x:c r="P390" s="362" t="str">
        <x:f>IF(OR(G390="",F390=""),"Not scored",IF(AND(F390=INT(F390),F390&gt;=1,F390&lt;=50,COUNTIF('Badge Lookup'!$A$6:$A$55,F390)=1),"OK","Check lookup"))</x:f>
        <x:v>OK</x:v>
      </x:c>
      <x:c r="Q390" s="456" t="n">
        <x:f>IF(P390&lt;&gt;"OK","",IF(C390="Guards",-O390,O390))</x:f>
        <x:v>45.13</x:v>
      </x:c>
      <x:c r="R390" s="362" t="str">
        <x:f>IF(P390&lt;&gt;"OK","Not scored",IF(C390="Guards","Damage received reduction","Damage increase"))</x:f>
        <x:v>Damage increase</x:v>
      </x:c>
    </x:row>
    <x:row r="391" ht="32" customHeight="1">
      <x:c r="A391" s="365" t="str">
        <x:v>K54</x:v>
      </x:c>
      <x:c r="B391" s="365" t="str">
        <x:v>纵横,,,金王</x:v>
      </x:c>
      <x:c r="C391" s="365" t="str">
        <x:v>Archers</x:v>
      </x:c>
      <x:c r="D391" s="365" t="str">
        <x:v>Elite bowmen</x:v>
      </x:c>
      <x:c r="E391" s="365" t="str">
        <x:v>Archer</x:v>
      </x:c>
      <x:c r="F391" s="365" t="n">
        <x:v>45</x:v>
      </x:c>
      <x:c r="G391" s="365" t="str">
        <x:v>Frost Arrow</x:v>
      </x:c>
      <x:c r="H391" s="365" t="str">
        <x:v>Has a higher probability of activating ice damage</x:v>
      </x:c>
      <x:c r="I391" s="365" t="str">
        <x:v>Unlocked</x:v>
      </x:c>
      <x:c r="J391" s="365" t="str">
        <x:v>01:29.55</x:v>
      </x:c>
      <x:c r="K391" s="365" t="str">
        <x:v>High confidence; the three literal comma characters in the displayed player name are preserved exactly. Visible 01:29.55-01:29.95; Source frame: work/k54_specs_agent/event_frames_final/E033_89.750_Elite_bowmen.jpg</x:v>
      </x:c>
      <x:c r="L391" s="365" t="str">
        <x:v>1000025860.mp4</x:v>
      </x:c>
      <x:c r="M391" s="387" t="n">
        <x:f>IF(P391="OK",INDEX('Badge Lookup'!$B$6:$B$55,MATCH(F391,'Badge Lookup'!$A$6:$A$55,0)),0)</x:f>
        <x:v>560000</x:v>
      </x:c>
      <x:c r="N391" s="387" t="n">
        <x:f>IF(P391="OK",INDEX('Badge Lookup'!$C$6:$C$55,MATCH(F391,'Badge Lookup'!$A$6:$A$55,0)),0)</x:f>
        <x:v>4284300</x:v>
      </x:c>
      <x:c r="O391" s="388" t="n">
        <x:f>IF(P391="OK",INDEX('Badge Lookup'!$D$6:$D$55,MATCH(F391,'Badge Lookup'!$A$6:$A$55,0)),0)</x:f>
        <x:v>41.98</x:v>
      </x:c>
      <x:c r="P391" s="362" t="str">
        <x:f>IF(OR(G391="",F391=""),"Not scored",IF(AND(F391=INT(F391),F391&gt;=1,F391&lt;=50,COUNTIF('Badge Lookup'!$A$6:$A$55,F391)=1),"OK","Check lookup"))</x:f>
        <x:v>OK</x:v>
      </x:c>
      <x:c r="Q391" s="456" t="n">
        <x:f>IF(P391&lt;&gt;"OK","",IF(C391="Guards",-O391,O391))</x:f>
        <x:v>41.98</x:v>
      </x:c>
      <x:c r="R391" s="362" t="str">
        <x:f>IF(P391&lt;&gt;"OK","Not scored",IF(C391="Guards","Damage received reduction","Damage increase"))</x:f>
        <x:v>Damage increase</x:v>
      </x:c>
    </x:row>
    <x:row r="392" ht="32" customHeight="1">
      <x:c r="A392" s="365" t="str">
        <x:v>K54</x:v>
      </x:c>
      <x:c r="B392" s="365" t="str">
        <x:v>纵横,,,金王</x:v>
      </x:c>
      <x:c r="C392" s="365" t="str">
        <x:v>Siege</x:v>
      </x:c>
      <x:c r="D392" s="365" t="str">
        <x:v>Manglers</x:v>
      </x:c>
      <x:c r="E392" s="365" t="str">
        <x:v>Siege</x:v>
      </x:c>
      <x:c r="F392" s="365" t="n">
        <x:v>30</x:v>
      </x:c>
      <x:c r="G392" s="365" t="str">
        <x:v>Highly toxic</x:v>
      </x:c>
      <x:c r="H392" s="365" t="str">
        <x:v>Inflict continuous toxic damage</x:v>
      </x:c>
      <x:c r="I392" s="365" t="str">
        <x:v>Unlocked</x:v>
      </x:c>
      <x:c r="J392" s="365" t="str">
        <x:v>01:30.40</x:v>
      </x:c>
      <x:c r="K392" s="365" t="str">
        <x:v>High confidence; the three literal comma characters in the displayed player name are preserved exactly. Visible 01:30.40-01:30.85; Source frame: work/k54_specs_agent/event_frames_final/E034_90.625_Manglers.jpg</x:v>
      </x:c>
      <x:c r="L392" s="365" t="str">
        <x:v>1000025860.mp4</x:v>
      </x:c>
      <x:c r="M392" s="387" t="n">
        <x:f>IF(P392="OK",INDEX('Badge Lookup'!$B$6:$B$55,MATCH(F392,'Badge Lookup'!$A$6:$A$55,0)),0)</x:f>
        <x:v>80000</x:v>
      </x:c>
      <x:c r="N392" s="387" t="n">
        <x:f>IF(P392="OK",INDEX('Badge Lookup'!$C$6:$C$55,MATCH(F392,'Badge Lookup'!$A$6:$A$55,0)),0)</x:f>
        <x:v>774300</x:v>
      </x:c>
      <x:c r="O392" s="388" t="n">
        <x:f>IF(P392="OK",INDEX('Badge Lookup'!$D$6:$D$55,MATCH(F392,'Badge Lookup'!$A$6:$A$55,0)),0)</x:f>
        <x:v>10.82</x:v>
      </x:c>
      <x:c r="P392" s="362" t="str">
        <x:f>IF(OR(G392="",F392=""),"Not scored",IF(AND(F392=INT(F392),F392&gt;=1,F392&lt;=50,COUNTIF('Badge Lookup'!$A$6:$A$55,F392)=1),"OK","Check lookup"))</x:f>
        <x:v>OK</x:v>
      </x:c>
      <x:c r="Q392" s="456" t="n">
        <x:f>IF(P392&lt;&gt;"OK","",IF(C392="Guards",-O392,O392))</x:f>
        <x:v>10.82</x:v>
      </x:c>
      <x:c r="R392" s="362" t="str">
        <x:f>IF(P392&lt;&gt;"OK","Not scored",IF(C392="Guards","Damage received reduction","Damage increase"))</x:f>
        <x:v>Damage increase</x:v>
      </x:c>
    </x:row>
    <x:row r="393" ht="32" customHeight="1">
      <x:c r="A393" s="365" t="str">
        <x:v>K54</x:v>
      </x:c>
      <x:c r="B393" s="365" t="str">
        <x:v>纵横,,,金王</x:v>
      </x:c>
      <x:c r="C393" s="365" t="str">
        <x:v>Cavalry</x:v>
      </x:c>
      <x:c r="D393" s="365" t="str">
        <x:v>Storm cavalry</x:v>
      </x:c>
      <x:c r="E393" s="365" t="str">
        <x:v>Horse archer</x:v>
      </x:c>
      <x:c r="F393" s="365" t="n">
        <x:v>45</x:v>
      </x:c>
      <x:c r="G393" s="365" t="str">
        <x:v>Mounted Archery</x:v>
      </x:c>
      <x:c r="H393" s="365" t="str">
        <x:v>Has a certain probability of causing fly-shooting damage</x:v>
      </x:c>
      <x:c r="I393" s="365" t="str">
        <x:v>Unlocked</x:v>
      </x:c>
      <x:c r="J393" s="365" t="str">
        <x:v>01:31.25</x:v>
      </x:c>
      <x:c r="K393" s="365" t="str">
        <x:v>High confidence; the three literal comma characters in the displayed player name are preserved exactly. Visible 01:31.25-01:31.65; Source frame: work/k54_specs_agent/event_frames_final/E035_91.450_Storm_cavalry.jpg</x:v>
      </x:c>
      <x:c r="L393" s="365" t="str">
        <x:v>1000025860.mp4</x:v>
      </x:c>
      <x:c r="M393" s="387" t="n">
        <x:f>IF(P393="OK",INDEX('Badge Lookup'!$B$6:$B$55,MATCH(F393,'Badge Lookup'!$A$6:$A$55,0)),0)</x:f>
        <x:v>560000</x:v>
      </x:c>
      <x:c r="N393" s="387" t="n">
        <x:f>IF(P393="OK",INDEX('Badge Lookup'!$C$6:$C$55,MATCH(F393,'Badge Lookup'!$A$6:$A$55,0)),0)</x:f>
        <x:v>4284300</x:v>
      </x:c>
      <x:c r="O393" s="388" t="n">
        <x:f>IF(P393="OK",INDEX('Badge Lookup'!$D$6:$D$55,MATCH(F393,'Badge Lookup'!$A$6:$A$55,0)),0)</x:f>
        <x:v>41.98</x:v>
      </x:c>
      <x:c r="P393" s="362" t="str">
        <x:f>IF(OR(G393="",F393=""),"Not scored",IF(AND(F393=INT(F393),F393&gt;=1,F393&lt;=50,COUNTIF('Badge Lookup'!$A$6:$A$55,F393)=1),"OK","Check lookup"))</x:f>
        <x:v>OK</x:v>
      </x:c>
      <x:c r="Q393" s="456" t="n">
        <x:f>IF(P393&lt;&gt;"OK","",IF(C393="Guards",-O393,O393))</x:f>
        <x:v>41.98</x:v>
      </x:c>
      <x:c r="R393" s="362" t="str">
        <x:f>IF(P393&lt;&gt;"OK","Not scored",IF(C393="Guards","Damage received reduction","Damage increase"))</x:f>
        <x:v>Damage increase</x:v>
      </x:c>
    </x:row>
    <x:row r="394" ht="32" customHeight="1">
      <x:c r="A394" s="365" t="str">
        <x:v>K54</x:v>
      </x:c>
      <x:c r="B394" s="365" t="str">
        <x:v>奕星的殺猪盤</x:v>
      </x:c>
      <x:c r="C394" s="365" t="str">
        <x:v>Cavalry</x:v>
      </x:c>
      <x:c r="D394" s="365" t="str">
        <x:v>Eternal knights</x:v>
      </x:c>
      <x:c r="E394" s="365" t="str">
        <x:v>Heavy Cavalry</x:v>
      </x:c>
      <x:c r="F394" s="365" t="n">
        <x:v>45</x:v>
      </x:c>
      <x:c r="G394" s="365" t="str">
        <x:v>Thunder trample</x:v>
      </x:c>
      <x:c r="H394" s="365" t="str">
        <x:v>Has a certain probability of causing trampling damage</x:v>
      </x:c>
      <x:c r="I394" s="365" t="str">
        <x:v>Unlocked</x:v>
      </x:c>
      <x:c r="J394" s="365" t="str">
        <x:v>01:40.75</x:v>
      </x:c>
      <x:c r="K394" s="365" t="str">
        <x:v>High confidence after 3× crop audit of the mixed traditional-Chinese player name. Visible 01:40.75-01:41.25; Source frame: work/k54_specs_agent/event_frames_final/E036_101.000_Eternal_knights.jpg</x:v>
      </x:c>
      <x:c r="L394" s="365" t="str">
        <x:v>1000025860.mp4</x:v>
      </x:c>
      <x:c r="M394" s="387" t="n">
        <x:f>IF(P394="OK",INDEX('Badge Lookup'!$B$6:$B$55,MATCH(F394,'Badge Lookup'!$A$6:$A$55,0)),0)</x:f>
        <x:v>560000</x:v>
      </x:c>
      <x:c r="N394" s="387" t="n">
        <x:f>IF(P394="OK",INDEX('Badge Lookup'!$C$6:$C$55,MATCH(F394,'Badge Lookup'!$A$6:$A$55,0)),0)</x:f>
        <x:v>4284300</x:v>
      </x:c>
      <x:c r="O394" s="388" t="n">
        <x:f>IF(P394="OK",INDEX('Badge Lookup'!$D$6:$D$55,MATCH(F394,'Badge Lookup'!$A$6:$A$55,0)),0)</x:f>
        <x:v>41.98</x:v>
      </x:c>
      <x:c r="P394" s="362" t="str">
        <x:f>IF(OR(G394="",F394=""),"Not scored",IF(AND(F394=INT(F394),F394&gt;=1,F394&lt;=50,COUNTIF('Badge Lookup'!$A$6:$A$55,F394)=1),"OK","Check lookup"))</x:f>
        <x:v>OK</x:v>
      </x:c>
      <x:c r="Q394" s="456" t="n">
        <x:f>IF(P394&lt;&gt;"OK","",IF(C394="Guards",-O394,O394))</x:f>
        <x:v>41.98</x:v>
      </x:c>
      <x:c r="R394" s="362" t="str">
        <x:f>IF(P394&lt;&gt;"OK","Not scored",IF(C394="Guards","Damage received reduction","Damage increase"))</x:f>
        <x:v>Damage increase</x:v>
      </x:c>
    </x:row>
    <x:row r="395" ht="32" customHeight="1">
      <x:c r="A395" s="365" t="str">
        <x:v>K54</x:v>
      </x:c>
      <x:c r="B395" s="365" t="str">
        <x:v>奕星的殺猪盤</x:v>
      </x:c>
      <x:c r="C395" s="365" t="str">
        <x:v>Cavalry</x:v>
      </x:c>
      <x:c r="D395" s="365" t="str">
        <x:v>Storm cavalry</x:v>
      </x:c>
      <x:c r="E395" s="365" t="str">
        <x:v>Horse archer</x:v>
      </x:c>
      <x:c r="F395" s="365" t="n">
        <x:v>45</x:v>
      </x:c>
      <x:c r="G395" s="365" t="str">
        <x:v>Mounted Archery</x:v>
      </x:c>
      <x:c r="H395" s="365" t="str">
        <x:v>Has a certain probability of causing fly-shooting damage</x:v>
      </x:c>
      <x:c r="I395" s="365" t="str">
        <x:v>Unlocked</x:v>
      </x:c>
      <x:c r="J395" s="365" t="str">
        <x:v>01:41.70</x:v>
      </x:c>
      <x:c r="K395" s="365" t="str">
        <x:v>High confidence after 3× crop audit of the mixed traditional-Chinese player name. Visible 01:41.70-01:42.05; Source frame: work/k54_specs_agent/event_frames_final/E037_101.875_Storm_cavalry.jpg</x:v>
      </x:c>
      <x:c r="L395" s="365" t="str">
        <x:v>1000025860.mp4</x:v>
      </x:c>
      <x:c r="M395" s="387" t="n">
        <x:f>IF(P395="OK",INDEX('Badge Lookup'!$B$6:$B$55,MATCH(F395,'Badge Lookup'!$A$6:$A$55,0)),0)</x:f>
        <x:v>560000</x:v>
      </x:c>
      <x:c r="N395" s="387" t="n">
        <x:f>IF(P395="OK",INDEX('Badge Lookup'!$C$6:$C$55,MATCH(F395,'Badge Lookup'!$A$6:$A$55,0)),0)</x:f>
        <x:v>4284300</x:v>
      </x:c>
      <x:c r="O395" s="388" t="n">
        <x:f>IF(P395="OK",INDEX('Badge Lookup'!$D$6:$D$55,MATCH(F395,'Badge Lookup'!$A$6:$A$55,0)),0)</x:f>
        <x:v>41.98</x:v>
      </x:c>
      <x:c r="P395" s="362" t="str">
        <x:f>IF(OR(G395="",F395=""),"Not scored",IF(AND(F395=INT(F395),F395&gt;=1,F395&lt;=50,COUNTIF('Badge Lookup'!$A$6:$A$55,F395)=1),"OK","Check lookup"))</x:f>
        <x:v>OK</x:v>
      </x:c>
      <x:c r="Q395" s="456" t="n">
        <x:f>IF(P395&lt;&gt;"OK","",IF(C395="Guards",-O395,O395))</x:f>
        <x:v>41.98</x:v>
      </x:c>
      <x:c r="R395" s="362" t="str">
        <x:f>IF(P395&lt;&gt;"OK","Not scored",IF(C395="Guards","Damage received reduction","Damage increase"))</x:f>
        <x:v>Damage increase</x:v>
      </x:c>
    </x:row>
    <x:row r="396" ht="32" customHeight="1">
      <x:c r="A396" s="365" t="str">
        <x:v>K54</x:v>
      </x:c>
      <x:c r="B396" s="365" t="str">
        <x:v>纵横,,,离火</x:v>
      </x:c>
      <x:c r="C396" s="365" t="str">
        <x:v>Cavalry</x:v>
      </x:c>
      <x:c r="D396" s="365" t="str">
        <x:v>Eternal knights</x:v>
      </x:c>
      <x:c r="E396" s="365" t="str">
        <x:v>Heavy Cavalry</x:v>
      </x:c>
      <x:c r="F396" s="365" t="n">
        <x:v>45</x:v>
      </x:c>
      <x:c r="G396" s="365" t="str">
        <x:v>Thunder trample</x:v>
      </x:c>
      <x:c r="H396" s="365" t="str">
        <x:v>Has a certain probability of causing trampling damage</x:v>
      </x:c>
      <x:c r="I396" s="365" t="str">
        <x:v>Unlocked</x:v>
      </x:c>
      <x:c r="J396" s="365" t="str">
        <x:v>01:47.55</x:v>
      </x:c>
      <x:c r="K396" s="365" t="str">
        <x:v>High confidence; the three literal comma characters in the displayed player name are preserved exactly. Visible 01:47.55-01:48.05; Source frame: work/k54_specs_agent/event_frames_final/E038_107.800_Eternal_knights.jpg</x:v>
      </x:c>
      <x:c r="L396" s="365" t="str">
        <x:v>1000025860.mp4</x:v>
      </x:c>
      <x:c r="M396" s="387" t="n">
        <x:f>IF(P396="OK",INDEX('Badge Lookup'!$B$6:$B$55,MATCH(F396,'Badge Lookup'!$A$6:$A$55,0)),0)</x:f>
        <x:v>560000</x:v>
      </x:c>
      <x:c r="N396" s="387" t="n">
        <x:f>IF(P396="OK",INDEX('Badge Lookup'!$C$6:$C$55,MATCH(F396,'Badge Lookup'!$A$6:$A$55,0)),0)</x:f>
        <x:v>4284300</x:v>
      </x:c>
      <x:c r="O396" s="388" t="n">
        <x:f>IF(P396="OK",INDEX('Badge Lookup'!$D$6:$D$55,MATCH(F396,'Badge Lookup'!$A$6:$A$55,0)),0)</x:f>
        <x:v>41.98</x:v>
      </x:c>
      <x:c r="P396" s="362" t="str">
        <x:f>IF(OR(G396="",F396=""),"Not scored",IF(AND(F396=INT(F396),F396&gt;=1,F396&lt;=50,COUNTIF('Badge Lookup'!$A$6:$A$55,F396)=1),"OK","Check lookup"))</x:f>
        <x:v>OK</x:v>
      </x:c>
      <x:c r="Q396" s="456" t="n">
        <x:f>IF(P396&lt;&gt;"OK","",IF(C396="Guards",-O396,O396))</x:f>
        <x:v>41.98</x:v>
      </x:c>
      <x:c r="R396" s="362" t="str">
        <x:f>IF(P396&lt;&gt;"OK","Not scored",IF(C396="Guards","Damage received reduction","Damage increase"))</x:f>
        <x:v>Damage increase</x:v>
      </x:c>
    </x:row>
    <x:row r="397" ht="32" customHeight="1">
      <x:c r="A397" s="365" t="str">
        <x:v>K54</x:v>
      </x:c>
      <x:c r="B397" s="365" t="str">
        <x:v>纵横,,,离火</x:v>
      </x:c>
      <x:c r="C397" s="365" t="str">
        <x:v>Archers</x:v>
      </x:c>
      <x:c r="D397" s="365" t="str">
        <x:v>Elite bowmen</x:v>
      </x:c>
      <x:c r="E397" s="365" t="str">
        <x:v>Archer</x:v>
      </x:c>
      <x:c r="F397" s="365" t="n">
        <x:v>43</x:v>
      </x:c>
      <x:c r="G397" s="365" t="str">
        <x:v>Frost Arrow</x:v>
      </x:c>
      <x:c r="H397" s="365" t="str">
        <x:v>Has a higher probability of activating ice damage</x:v>
      </x:c>
      <x:c r="I397" s="365" t="str">
        <x:v>Unlocked</x:v>
      </x:c>
      <x:c r="J397" s="365" t="str">
        <x:v>01:48.45</x:v>
      </x:c>
      <x:c r="K397" s="365" t="str">
        <x:v>High confidence; the three literal comma characters in the displayed player name are preserved exactly. Visible 01:48.45-01:48.90; Source frame: work/k54_specs_agent/event_frames_final/E039_108.675_Elite_bowmen.jpg</x:v>
      </x:c>
      <x:c r="L397" s="365" t="str">
        <x:v>1000025860.mp4</x:v>
      </x:c>
      <x:c r="M397" s="387" t="n">
        <x:f>IF(P397="OK",INDEX('Badge Lookup'!$B$6:$B$55,MATCH(F397,'Badge Lookup'!$A$6:$A$55,0)),0)</x:f>
        <x:v>400000</x:v>
      </x:c>
      <x:c r="N397" s="387" t="n">
        <x:f>IF(P397="OK",INDEX('Badge Lookup'!$C$6:$C$55,MATCH(F397,'Badge Lookup'!$A$6:$A$55,0)),0)</x:f>
        <x:v>3244300</x:v>
      </x:c>
      <x:c r="O397" s="388" t="n">
        <x:f>IF(P397="OK",INDEX('Badge Lookup'!$D$6:$D$55,MATCH(F397,'Badge Lookup'!$A$6:$A$55,0)),0)</x:f>
        <x:v>35.98</x:v>
      </x:c>
      <x:c r="P397" s="362" t="str">
        <x:f>IF(OR(G397="",F397=""),"Not scored",IF(AND(F397=INT(F397),F397&gt;=1,F397&lt;=50,COUNTIF('Badge Lookup'!$A$6:$A$55,F397)=1),"OK","Check lookup"))</x:f>
        <x:v>OK</x:v>
      </x:c>
      <x:c r="Q397" s="456" t="n">
        <x:f>IF(P397&lt;&gt;"OK","",IF(C397="Guards",-O397,O397))</x:f>
        <x:v>35.98</x:v>
      </x:c>
      <x:c r="R397" s="362" t="str">
        <x:f>IF(P397&lt;&gt;"OK","Not scored",IF(C397="Guards","Damage received reduction","Damage increase"))</x:f>
        <x:v>Damage increase</x:v>
      </x:c>
    </x:row>
    <x:row r="398" ht="32" customHeight="1">
      <x:c r="A398" s="365" t="str">
        <x:v>K54</x:v>
      </x:c>
      <x:c r="B398" s="365" t="str">
        <x:v>纵横,,,离火</x:v>
      </x:c>
      <x:c r="C398" s="365" t="str">
        <x:v>Siege</x:v>
      </x:c>
      <x:c r="D398" s="365" t="str">
        <x:v>Manglers</x:v>
      </x:c>
      <x:c r="E398" s="365" t="str">
        <x:v>Siege</x:v>
      </x:c>
      <x:c r="F398" s="365" t="n">
        <x:v>41</x:v>
      </x:c>
      <x:c r="G398" s="365" t="str">
        <x:v>Highly toxic</x:v>
      </x:c>
      <x:c r="H398" s="365" t="str">
        <x:v>Inflict continuous toxic damage</x:v>
      </x:c>
      <x:c r="I398" s="365" t="str">
        <x:v>Unlocked</x:v>
      </x:c>
      <x:c r="J398" s="365" t="str">
        <x:v>01:49.30</x:v>
      </x:c>
      <x:c r="K398" s="365" t="str">
        <x:v>High confidence; the three literal comma characters in the displayed player name are preserved exactly. Visible 01:49.30-01:49.70; Source frame: work/k54_specs_agent/event_frames_final/E040_109.500_Manglers.jpg</x:v>
      </x:c>
      <x:c r="L398" s="365" t="str">
        <x:v>1000025860.mp4</x:v>
      </x:c>
      <x:c r="M398" s="387" t="n">
        <x:f>IF(P398="OK",INDEX('Badge Lookup'!$B$6:$B$55,MATCH(F398,'Badge Lookup'!$A$6:$A$55,0)),0)</x:f>
        <x:v>280000</x:v>
      </x:c>
      <x:c r="N398" s="387" t="n">
        <x:f>IF(P398="OK",INDEX('Badge Lookup'!$C$6:$C$55,MATCH(F398,'Badge Lookup'!$A$6:$A$55,0)),0)</x:f>
        <x:v>2524300</x:v>
      </x:c>
      <x:c r="O398" s="388" t="n">
        <x:f>IF(P398="OK",INDEX('Badge Lookup'!$D$6:$D$55,MATCH(F398,'Badge Lookup'!$A$6:$A$55,0)),0)</x:f>
        <x:v>30.38</x:v>
      </x:c>
      <x:c r="P398" s="362" t="str">
        <x:f>IF(OR(G398="",F398=""),"Not scored",IF(AND(F398=INT(F398),F398&gt;=1,F398&lt;=50,COUNTIF('Badge Lookup'!$A$6:$A$55,F398)=1),"OK","Check lookup"))</x:f>
        <x:v>OK</x:v>
      </x:c>
      <x:c r="Q398" s="456" t="n">
        <x:f>IF(P398&lt;&gt;"OK","",IF(C398="Guards",-O398,O398))</x:f>
        <x:v>30.38</x:v>
      </x:c>
      <x:c r="R398" s="362" t="str">
        <x:f>IF(P398&lt;&gt;"OK","Not scored",IF(C398="Guards","Damage received reduction","Damage increase"))</x:f>
        <x:v>Damage increase</x:v>
      </x:c>
    </x:row>
    <x:row r="399" ht="32" customHeight="1">
      <x:c r="A399" s="365" t="str">
        <x:v>K54</x:v>
      </x:c>
      <x:c r="B399" s="365" t="str">
        <x:v>纵横,,,离火</x:v>
      </x:c>
      <x:c r="C399" s="365" t="str">
        <x:v>Cavalry</x:v>
      </x:c>
      <x:c r="D399" s="365" t="str">
        <x:v>Storm cavalry</x:v>
      </x:c>
      <x:c r="E399" s="365" t="str">
        <x:v>Horse archer</x:v>
      </x:c>
      <x:c r="F399" s="365" t="n">
        <x:v>43</x:v>
      </x:c>
      <x:c r="G399" s="365" t="str">
        <x:v>Mounted Archery</x:v>
      </x:c>
      <x:c r="H399" s="365" t="str">
        <x:v>Has a certain probability of causing fly-shooting damage</x:v>
      </x:c>
      <x:c r="I399" s="365" t="str">
        <x:v>Unlocked</x:v>
      </x:c>
      <x:c r="J399" s="365" t="str">
        <x:v>01:50.15</x:v>
      </x:c>
      <x:c r="K399" s="365" t="str">
        <x:v>High confidence; the three literal comma characters in the displayed player name are preserved exactly. Visible 01:50.15-01:50.50; Source frame: work/k54_specs_agent/event_frames_final/E041_110.325_Storm_cavalry.jpg</x:v>
      </x:c>
      <x:c r="L399" s="365" t="str">
        <x:v>1000025860.mp4</x:v>
      </x:c>
      <x:c r="M399" s="387" t="n">
        <x:f>IF(P399="OK",INDEX('Badge Lookup'!$B$6:$B$55,MATCH(F399,'Badge Lookup'!$A$6:$A$55,0)),0)</x:f>
        <x:v>400000</x:v>
      </x:c>
      <x:c r="N399" s="387" t="n">
        <x:f>IF(P399="OK",INDEX('Badge Lookup'!$C$6:$C$55,MATCH(F399,'Badge Lookup'!$A$6:$A$55,0)),0)</x:f>
        <x:v>3244300</x:v>
      </x:c>
      <x:c r="O399" s="388" t="n">
        <x:f>IF(P399="OK",INDEX('Badge Lookup'!$D$6:$D$55,MATCH(F399,'Badge Lookup'!$A$6:$A$55,0)),0)</x:f>
        <x:v>35.98</x:v>
      </x:c>
      <x:c r="P399" s="362" t="str">
        <x:f>IF(OR(G399="",F399=""),"Not scored",IF(AND(F399=INT(F399),F399&gt;=1,F399&lt;=50,COUNTIF('Badge Lookup'!$A$6:$A$55,F399)=1),"OK","Check lookup"))</x:f>
        <x:v>OK</x:v>
      </x:c>
      <x:c r="Q399" s="456" t="n">
        <x:f>IF(P399&lt;&gt;"OK","",IF(C399="Guards",-O399,O399))</x:f>
        <x:v>35.98</x:v>
      </x:c>
      <x:c r="R399" s="362" t="str">
        <x:f>IF(P399&lt;&gt;"OK","Not scored",IF(C399="Guards","Damage received reduction","Damage increase"))</x:f>
        <x:v>Damage increase</x:v>
      </x:c>
    </x:row>
    <x:row r="400" ht="32" customHeight="1">
      <x:c r="A400" s="365" t="str">
        <x:v>K54</x:v>
      </x:c>
      <x:c r="B400" s="365" t="str">
        <x:v>ony</x:v>
      </x:c>
      <x:c r="C400" s="365" t="str">
        <x:v>Cavalry</x:v>
      </x:c>
      <x:c r="D400" s="365" t="str">
        <x:v>Eternal knights</x:v>
      </x:c>
      <x:c r="E400" s="365" t="str">
        <x:v>Heavy Cavalry</x:v>
      </x:c>
      <x:c r="F400" s="365" t="n">
        <x:v>49</x:v>
      </x:c>
      <x:c r="G400" s="365" t="str">
        <x:v>Thunder trample</x:v>
      </x:c>
      <x:c r="H400" s="365" t="str">
        <x:v>Has a certain probability of causing trampling damage</x:v>
      </x:c>
      <x:c r="I400" s="365" t="str">
        <x:v>Unlocked</x:v>
      </x:c>
      <x:c r="J400" s="365" t="str">
        <x:v>01:56.35</x:v>
      </x:c>
      <x:c r="K400" s="365" t="str">
        <x:v>High confidence; both the battle list and Troop Attribute screen show '(Fer)ony' with no leading f. Visible 01:56.35-01:56.75; Source frame: work/k54_specs_agent/event_frames_final/E043_116.550_Eternal_knights.jpg</x:v>
      </x:c>
      <x:c r="L400" s="365" t="str">
        <x:v>1000025860.mp4</x:v>
      </x:c>
      <x:c r="M400" s="387" t="n">
        <x:f>IF(P400="OK",INDEX('Badge Lookup'!$B$6:$B$55,MATCH(F400,'Badge Lookup'!$A$6:$A$55,0)),0)</x:f>
        <x:v>1400000</x:v>
      </x:c>
      <x:c r="N400" s="387" t="n">
        <x:f>IF(P400="OK",INDEX('Badge Lookup'!$C$6:$C$55,MATCH(F400,'Badge Lookup'!$A$6:$A$55,0)),0)</x:f>
        <x:v>8334300</x:v>
      </x:c>
      <x:c r="O400" s="388" t="n">
        <x:f>IF(P400="OK",INDEX('Badge Lookup'!$D$6:$D$55,MATCH(F400,'Badge Lookup'!$A$6:$A$55,0)),0)</x:f>
        <x:v>55.2</x:v>
      </x:c>
      <x:c r="P400" s="362" t="str">
        <x:f>IF(OR(G400="",F400=""),"Not scored",IF(AND(F400=INT(F400),F400&gt;=1,F400&lt;=50,COUNTIF('Badge Lookup'!$A$6:$A$55,F400)=1),"OK","Check lookup"))</x:f>
        <x:v>OK</x:v>
      </x:c>
      <x:c r="Q400" s="456" t="n">
        <x:f>IF(P400&lt;&gt;"OK","",IF(C400="Guards",-O400,O400))</x:f>
        <x:v>55.2</x:v>
      </x:c>
      <x:c r="R400" s="362" t="str">
        <x:f>IF(P400&lt;&gt;"OK","Not scored",IF(C400="Guards","Damage received reduction","Damage increase"))</x:f>
        <x:v>Damage increase</x:v>
      </x:c>
    </x:row>
    <x:row r="401" ht="32" customHeight="1">
      <x:c r="A401" s="365" t="str">
        <x:v>K54</x:v>
      </x:c>
      <x:c r="B401" s="365" t="str">
        <x:v>ony</x:v>
      </x:c>
      <x:c r="C401" s="365" t="str">
        <x:v>Archers</x:v>
      </x:c>
      <x:c r="D401" s="365" t="str">
        <x:v>Elite bowmen</x:v>
      </x:c>
      <x:c r="E401" s="365" t="str">
        <x:v>Archer</x:v>
      </x:c>
      <x:c r="F401" s="365" t="n">
        <x:v>43</x:v>
      </x:c>
      <x:c r="G401" s="365" t="str">
        <x:v>Frost Arrow</x:v>
      </x:c>
      <x:c r="H401" s="365" t="str">
        <x:v>Has a higher probability of activating ice damage</x:v>
      </x:c>
      <x:c r="I401" s="365" t="str">
        <x:v>Unlocked</x:v>
      </x:c>
      <x:c r="J401" s="365" t="str">
        <x:v>01:57.15</x:v>
      </x:c>
      <x:c r="K401" s="365" t="str">
        <x:v>High confidence; both the battle list and Troop Attribute screen show '(Fer)ony' with no leading f. Visible 01:57.15-01:57.50; Source frame: work/k54_specs_agent/event_frames_final/E044_117.325_Elite_bowmen.jpg</x:v>
      </x:c>
      <x:c r="L401" s="365" t="str">
        <x:v>1000025860.mp4</x:v>
      </x:c>
      <x:c r="M401" s="387" t="n">
        <x:f>IF(P401="OK",INDEX('Badge Lookup'!$B$6:$B$55,MATCH(F401,'Badge Lookup'!$A$6:$A$55,0)),0)</x:f>
        <x:v>400000</x:v>
      </x:c>
      <x:c r="N401" s="387" t="n">
        <x:f>IF(P401="OK",INDEX('Badge Lookup'!$C$6:$C$55,MATCH(F401,'Badge Lookup'!$A$6:$A$55,0)),0)</x:f>
        <x:v>3244300</x:v>
      </x:c>
      <x:c r="O401" s="388" t="n">
        <x:f>IF(P401="OK",INDEX('Badge Lookup'!$D$6:$D$55,MATCH(F401,'Badge Lookup'!$A$6:$A$55,0)),0)</x:f>
        <x:v>35.98</x:v>
      </x:c>
      <x:c r="P401" s="362" t="str">
        <x:f>IF(OR(G401="",F401=""),"Not scored",IF(AND(F401=INT(F401),F401&gt;=1,F401&lt;=50,COUNTIF('Badge Lookup'!$A$6:$A$55,F401)=1),"OK","Check lookup"))</x:f>
        <x:v>OK</x:v>
      </x:c>
      <x:c r="Q401" s="456" t="n">
        <x:f>IF(P401&lt;&gt;"OK","",IF(C401="Guards",-O401,O401))</x:f>
        <x:v>35.98</x:v>
      </x:c>
      <x:c r="R401" s="362" t="str">
        <x:f>IF(P401&lt;&gt;"OK","Not scored",IF(C401="Guards","Damage received reduction","Damage increase"))</x:f>
        <x:v>Damage increase</x:v>
      </x:c>
    </x:row>
    <x:row r="402" ht="32" customHeight="1">
      <x:c r="A402" s="365" t="str">
        <x:v>K54</x:v>
      </x:c>
      <x:c r="B402" s="365" t="str">
        <x:v>ony</x:v>
      </x:c>
      <x:c r="C402" s="365" t="str">
        <x:v>Siege</x:v>
      </x:c>
      <x:c r="D402" s="365" t="str">
        <x:v>Manglers</x:v>
      </x:c>
      <x:c r="E402" s="365" t="str">
        <x:v>Siege</x:v>
      </x:c>
      <x:c r="F402" s="365" t="n">
        <x:v>44</x:v>
      </x:c>
      <x:c r="G402" s="365" t="str">
        <x:v>Highly toxic</x:v>
      </x:c>
      <x:c r="H402" s="365" t="str">
        <x:v>Inflict continuous toxic damage</x:v>
      </x:c>
      <x:c r="I402" s="365" t="str">
        <x:v>Unlocked</x:v>
      </x:c>
      <x:c r="J402" s="365" t="str">
        <x:v>01:57.95</x:v>
      </x:c>
      <x:c r="K402" s="365" t="str">
        <x:v>High confidence; both the battle list and Troop Attribute screen show '(Fer)ony' with no leading f. Visible 01:57.95-01:58.25; Source frame: work/k54_specs_agent/event_frames_final/E045_118.100_Manglers.jpg</x:v>
      </x:c>
      <x:c r="L402" s="365" t="str">
        <x:v>1000025860.mp4</x:v>
      </x:c>
      <x:c r="M402" s="387" t="n">
        <x:f>IF(P402="OK",INDEX('Badge Lookup'!$B$6:$B$55,MATCH(F402,'Badge Lookup'!$A$6:$A$55,0)),0)</x:f>
        <x:v>480000</x:v>
      </x:c>
      <x:c r="N402" s="387" t="n">
        <x:f>IF(P402="OK",INDEX('Badge Lookup'!$C$6:$C$55,MATCH(F402,'Badge Lookup'!$A$6:$A$55,0)),0)</x:f>
        <x:v>3724300</x:v>
      </x:c>
      <x:c r="O402" s="388" t="n">
        <x:f>IF(P402="OK",INDEX('Badge Lookup'!$D$6:$D$55,MATCH(F402,'Badge Lookup'!$A$6:$A$55,0)),0)</x:f>
        <x:v>39.93</x:v>
      </x:c>
      <x:c r="P402" s="362" t="str">
        <x:f>IF(OR(G402="",F402=""),"Not scored",IF(AND(F402=INT(F402),F402&gt;=1,F402&lt;=50,COUNTIF('Badge Lookup'!$A$6:$A$55,F402)=1),"OK","Check lookup"))</x:f>
        <x:v>OK</x:v>
      </x:c>
      <x:c r="Q402" s="456" t="n">
        <x:f>IF(P402&lt;&gt;"OK","",IF(C402="Guards",-O402,O402))</x:f>
        <x:v>39.93</x:v>
      </x:c>
      <x:c r="R402" s="362" t="str">
        <x:f>IF(P402&lt;&gt;"OK","Not scored",IF(C402="Guards","Damage received reduction","Damage increase"))</x:f>
        <x:v>Damage increase</x:v>
      </x:c>
    </x:row>
    <x:row r="403" ht="32" customHeight="1">
      <x:c r="A403" s="365" t="str">
        <x:v>K54</x:v>
      </x:c>
      <x:c r="B403" s="365" t="str">
        <x:v>ony</x:v>
      </x:c>
      <x:c r="C403" s="365" t="str">
        <x:v>Cavalry</x:v>
      </x:c>
      <x:c r="D403" s="365" t="str">
        <x:v>Storm cavalry</x:v>
      </x:c>
      <x:c r="E403" s="365" t="str">
        <x:v>Horse archer</x:v>
      </x:c>
      <x:c r="F403" s="365" t="n">
        <x:v>48</x:v>
      </x:c>
      <x:c r="G403" s="365" t="str">
        <x:v>Mounted Archery</x:v>
      </x:c>
      <x:c r="H403" s="365" t="str">
        <x:v>Has a certain probability of causing fly-shooting damage</x:v>
      </x:c>
      <x:c r="I403" s="365" t="str">
        <x:v>Unlocked</x:v>
      </x:c>
      <x:c r="J403" s="365" t="str">
        <x:v>01:58.70</x:v>
      </x:c>
      <x:c r="K403" s="365" t="str">
        <x:v>High confidence; both the battle list and Troop Attribute screen show '(Fer)ony' with no leading f. Visible 01:58.70-01:59.05; Source frame: work/k54_specs_agent/event_frames_final/E046_118.875_Storm_cavalry.jpg</x:v>
      </x:c>
      <x:c r="L403" s="365" t="str">
        <x:v>1000025860.mp4</x:v>
      </x:c>
      <x:c r="M403" s="387" t="n">
        <x:f>IF(P403="OK",INDEX('Badge Lookup'!$B$6:$B$55,MATCH(F403,'Badge Lookup'!$A$6:$A$55,0)),0)</x:f>
        <x:v>1050000</x:v>
      </x:c>
      <x:c r="N403" s="387" t="n">
        <x:f>IF(P403="OK",INDEX('Badge Lookup'!$C$6:$C$55,MATCH(F403,'Badge Lookup'!$A$6:$A$55,0)),0)</x:f>
        <x:v>6934300</x:v>
      </x:c>
      <x:c r="O403" s="388" t="n">
        <x:f>IF(P403="OK",INDEX('Badge Lookup'!$D$6:$D$55,MATCH(F403,'Badge Lookup'!$A$6:$A$55,0)),0)</x:f>
        <x:v>51.74</x:v>
      </x:c>
      <x:c r="P403" s="362" t="str">
        <x:f>IF(OR(G403="",F403=""),"Not scored",IF(AND(F403=INT(F403),F403&gt;=1,F403&lt;=50,COUNTIF('Badge Lookup'!$A$6:$A$55,F403)=1),"OK","Check lookup"))</x:f>
        <x:v>OK</x:v>
      </x:c>
      <x:c r="Q403" s="456" t="n">
        <x:f>IF(P403&lt;&gt;"OK","",IF(C403="Guards",-O403,O403))</x:f>
        <x:v>51.74</x:v>
      </x:c>
      <x:c r="R403" s="362" t="str">
        <x:f>IF(P403&lt;&gt;"OK","Not scored",IF(C403="Guards","Damage received reduction","Damage increase"))</x:f>
        <x:v>Damage increase</x:v>
      </x:c>
    </x:row>
    <x:row r="404" ht="32" customHeight="1">
      <x:c r="A404" s="365" t="str">
        <x:v>K197</x:v>
      </x:c>
      <x:c r="B404" s="365" t="str">
        <x:v>Хлебушек</x:v>
      </x:c>
      <x:c r="C404" s="365" t="str">
        <x:v>Guards</x:v>
      </x:c>
      <x:c r="D404" s="365" t="str">
        <x:v>Destroyers</x:v>
      </x:c>
      <x:c r="E404" s="365" t="str">
        <x:v>Guard</x:v>
      </x:c>
      <x:c r="F404" s="365" t="n">
        <x:v>50</x:v>
      </x:c>
      <x:c r="G404" s="365" t="str">
        <x:v>Parry</x:v>
      </x:c>
      <x:c r="H404" s="365" t="str">
        <x:v>Provides a parry effect and a certain probability to increase damage</x:v>
      </x:c>
      <x:c r="I404" s="365" t="str">
        <x:v>Unlocked</x:v>
      </x:c>
      <x:c r="J404" s="365" t="str">
        <x:v>00:02.40</x:v>
      </x:c>
      <x:c r="K404" s="365" t="str">
        <x:v>E001; Tier: T10; Visible: 00:01.60-00:03.25; High confidence.; Source frame: representative/E001_2.400.jpg</x:v>
      </x:c>
      <x:c r="L404" s="365" t="str">
        <x:v>1000025871.mp4</x:v>
      </x:c>
      <x:c r="M404" s="387" t="n">
        <x:f>IF(P404="OK",INDEX('Badge Lookup'!$B$6:$B$55,MATCH(F404,'Badge Lookup'!$A$6:$A$55,0)),0)</x:f>
        <x:v>2000000</x:v>
      </x:c>
      <x:c r="N404" s="387" t="n">
        <x:f>IF(P404="OK",INDEX('Badge Lookup'!$C$6:$C$55,MATCH(F404,'Badge Lookup'!$A$6:$A$55,0)),0)</x:f>
        <x:v>10334300</x:v>
      </x:c>
      <x:c r="O404" s="388" t="n">
        <x:f>IF(P404="OK",INDEX('Badge Lookup'!$D$6:$D$55,MATCH(F404,'Badge Lookup'!$A$6:$A$55,0)),0)</x:f>
        <x:v>60</x:v>
      </x:c>
      <x:c r="P404" s="362" t="str">
        <x:f>IF(OR(G404="",F404=""),"Not scored",IF(AND(F404=INT(F404),F404&gt;=1,F404&lt;=50,COUNTIF('Badge Lookup'!$A$6:$A$55,F404)=1),"OK","Check lookup"))</x:f>
        <x:v>OK</x:v>
      </x:c>
      <x:c r="Q404" s="456" t="n">
        <x:f>IF(P404&lt;&gt;"OK","",IF(C404="Guards",-O404,O404))</x:f>
        <x:v>-60</x:v>
      </x:c>
      <x:c r="R404" s="362" t="str">
        <x:f>IF(P404&lt;&gt;"OK","Not scored",IF(C404="Guards","Damage received reduction","Damage increase"))</x:f>
        <x:v>Damage received reduction</x:v>
      </x:c>
    </x:row>
    <x:row r="405" ht="32" customHeight="1">
      <x:c r="A405" s="365" t="str">
        <x:v>K197</x:v>
      </x:c>
      <x:c r="B405" s="365" t="str">
        <x:v>Хлебушек</x:v>
      </x:c>
      <x:c r="C405" s="365" t="str">
        <x:v>Cavalry</x:v>
      </x:c>
      <x:c r="D405" s="365" t="str">
        <x:v>Eternal knights</x:v>
      </x:c>
      <x:c r="E405" s="365" t="str">
        <x:v>Heavy Cavalry</x:v>
      </x:c>
      <x:c r="F405" s="365" t="n">
        <x:v>50</x:v>
      </x:c>
      <x:c r="G405" s="365" t="str">
        <x:v>Thunder trample</x:v>
      </x:c>
      <x:c r="H405" s="365" t="str">
        <x:v>Has a certain probability of causing trampling damage</x:v>
      </x:c>
      <x:c r="I405" s="365" t="str">
        <x:v>Unlocked</x:v>
      </x:c>
      <x:c r="J405" s="365" t="str">
        <x:v>00:04.40</x:v>
      </x:c>
      <x:c r="K405" s="365" t="str">
        <x:v>E002; Tier: T10; Visible: 00:03.60-00:05.20; High confidence.; Source frame: representative/E002_4.400.jpg</x:v>
      </x:c>
      <x:c r="L405" s="365" t="str">
        <x:v>1000025871.mp4</x:v>
      </x:c>
      <x:c r="M405" s="387" t="n">
        <x:f>IF(P405="OK",INDEX('Badge Lookup'!$B$6:$B$55,MATCH(F405,'Badge Lookup'!$A$6:$A$55,0)),0)</x:f>
        <x:v>2000000</x:v>
      </x:c>
      <x:c r="N405" s="387" t="n">
        <x:f>IF(P405="OK",INDEX('Badge Lookup'!$C$6:$C$55,MATCH(F405,'Badge Lookup'!$A$6:$A$55,0)),0)</x:f>
        <x:v>10334300</x:v>
      </x:c>
      <x:c r="O405" s="388" t="n">
        <x:f>IF(P405="OK",INDEX('Badge Lookup'!$D$6:$D$55,MATCH(F405,'Badge Lookup'!$A$6:$A$55,0)),0)</x:f>
        <x:v>60</x:v>
      </x:c>
      <x:c r="P405" s="362" t="str">
        <x:f>IF(OR(G405="",F405=""),"Not scored",IF(AND(F405=INT(F405),F405&gt;=1,F405&lt;=50,COUNTIF('Badge Lookup'!$A$6:$A$55,F405)=1),"OK","Check lookup"))</x:f>
        <x:v>OK</x:v>
      </x:c>
      <x:c r="Q405" s="456" t="n">
        <x:f>IF(P405&lt;&gt;"OK","",IF(C405="Guards",-O405,O405))</x:f>
        <x:v>60</x:v>
      </x:c>
      <x:c r="R405" s="362" t="str">
        <x:f>IF(P405&lt;&gt;"OK","Not scored",IF(C405="Guards","Damage received reduction","Damage increase"))</x:f>
        <x:v>Damage increase</x:v>
      </x:c>
    </x:row>
    <x:row r="406" ht="32" customHeight="1">
      <x:c r="A406" s="365" t="str">
        <x:v>K197</x:v>
      </x:c>
      <x:c r="B406" s="365" t="str">
        <x:v>Хлебушек</x:v>
      </x:c>
      <x:c r="C406" s="365" t="str">
        <x:v>Archers</x:v>
      </x:c>
      <x:c r="D406" s="365" t="str">
        <x:v>Elite bowmen</x:v>
      </x:c>
      <x:c r="E406" s="365" t="str">
        <x:v>Archer</x:v>
      </x:c>
      <x:c r="F406" s="365" t="n">
        <x:v>50</x:v>
      </x:c>
      <x:c r="G406" s="365" t="str">
        <x:v>Frost Arrow</x:v>
      </x:c>
      <x:c r="H406" s="365" t="str">
        <x:v>Has a higher probability of activating ice damage</x:v>
      </x:c>
      <x:c r="I406" s="365" t="str">
        <x:v>Unlocked</x:v>
      </x:c>
      <x:c r="J406" s="365" t="str">
        <x:v>00:06.15</x:v>
      </x:c>
      <x:c r="K406" s="365" t="str">
        <x:v>E003; Tier: T10; Visible: 00:05.90-00:06.45; High confidence.; Source frame: representative/E003_6.150.jpg</x:v>
      </x:c>
      <x:c r="L406" s="365" t="str">
        <x:v>1000025871.mp4</x:v>
      </x:c>
      <x:c r="M406" s="387" t="n">
        <x:f>IF(P406="OK",INDEX('Badge Lookup'!$B$6:$B$55,MATCH(F406,'Badge Lookup'!$A$6:$A$55,0)),0)</x:f>
        <x:v>2000000</x:v>
      </x:c>
      <x:c r="N406" s="387" t="n">
        <x:f>IF(P406="OK",INDEX('Badge Lookup'!$C$6:$C$55,MATCH(F406,'Badge Lookup'!$A$6:$A$55,0)),0)</x:f>
        <x:v>10334300</x:v>
      </x:c>
      <x:c r="O406" s="388" t="n">
        <x:f>IF(P406="OK",INDEX('Badge Lookup'!$D$6:$D$55,MATCH(F406,'Badge Lookup'!$A$6:$A$55,0)),0)</x:f>
        <x:v>60</x:v>
      </x:c>
      <x:c r="P406" s="362" t="str">
        <x:f>IF(OR(G406="",F406=""),"Not scored",IF(AND(F406=INT(F406),F406&gt;=1,F406&lt;=50,COUNTIF('Badge Lookup'!$A$6:$A$55,F406)=1),"OK","Check lookup"))</x:f>
        <x:v>OK</x:v>
      </x:c>
      <x:c r="Q406" s="456" t="n">
        <x:f>IF(P406&lt;&gt;"OK","",IF(C406="Guards",-O406,O406))</x:f>
        <x:v>60</x:v>
      </x:c>
      <x:c r="R406" s="362" t="str">
        <x:f>IF(P406&lt;&gt;"OK","Not scored",IF(C406="Guards","Damage received reduction","Damage increase"))</x:f>
        <x:v>Damage increase</x:v>
      </x:c>
    </x:row>
    <x:row r="407" ht="32" customHeight="1">
      <x:c r="A407" s="365" t="str">
        <x:v>K197</x:v>
      </x:c>
      <x:c r="B407" s="365" t="str">
        <x:v>Хлебушек</x:v>
      </x:c>
      <x:c r="C407" s="365" t="str">
        <x:v>Siege</x:v>
      </x:c>
      <x:c r="D407" s="365" t="str">
        <x:v>Manglers</x:v>
      </x:c>
      <x:c r="E407" s="365" t="str">
        <x:v>Siege</x:v>
      </x:c>
      <x:c r="F407" s="365" t="n">
        <x:v>50</x:v>
      </x:c>
      <x:c r="G407" s="365" t="str">
        <x:v>Highly toxic</x:v>
      </x:c>
      <x:c r="H407" s="365" t="str">
        <x:v>Inflict continuous toxic damage</x:v>
      </x:c>
      <x:c r="I407" s="365" t="str">
        <x:v>Unlocked</x:v>
      </x:c>
      <x:c r="J407" s="365" t="str">
        <x:v>00:07.45</x:v>
      </x:c>
      <x:c r="K407" s="365" t="str">
        <x:v>E004; Tier: T10; Visible: 00:07.20-00:07.70; High confidence.; Source frame: representative/E004_7.450.jpg</x:v>
      </x:c>
      <x:c r="L407" s="365" t="str">
        <x:v>1000025871.mp4</x:v>
      </x:c>
      <x:c r="M407" s="387" t="n">
        <x:f>IF(P407="OK",INDEX('Badge Lookup'!$B$6:$B$55,MATCH(F407,'Badge Lookup'!$A$6:$A$55,0)),0)</x:f>
        <x:v>2000000</x:v>
      </x:c>
      <x:c r="N407" s="387" t="n">
        <x:f>IF(P407="OK",INDEX('Badge Lookup'!$C$6:$C$55,MATCH(F407,'Badge Lookup'!$A$6:$A$55,0)),0)</x:f>
        <x:v>10334300</x:v>
      </x:c>
      <x:c r="O407" s="388" t="n">
        <x:f>IF(P407="OK",INDEX('Badge Lookup'!$D$6:$D$55,MATCH(F407,'Badge Lookup'!$A$6:$A$55,0)),0)</x:f>
        <x:v>60</x:v>
      </x:c>
      <x:c r="P407" s="362" t="str">
        <x:f>IF(OR(G407="",F407=""),"Not scored",IF(AND(F407=INT(F407),F407&gt;=1,F407&lt;=50,COUNTIF('Badge Lookup'!$A$6:$A$55,F407)=1),"OK","Check lookup"))</x:f>
        <x:v>OK</x:v>
      </x:c>
      <x:c r="Q407" s="456" t="n">
        <x:f>IF(P407&lt;&gt;"OK","",IF(C407="Guards",-O407,O407))</x:f>
        <x:v>60</x:v>
      </x:c>
      <x:c r="R407" s="362" t="str">
        <x:f>IF(P407&lt;&gt;"OK","Not scored",IF(C407="Guards","Damage received reduction","Damage increase"))</x:f>
        <x:v>Damage increase</x:v>
      </x:c>
    </x:row>
    <x:row r="408" ht="32" customHeight="1">
      <x:c r="A408" s="365" t="str">
        <x:v>K197</x:v>
      </x:c>
      <x:c r="B408" s="365" t="str">
        <x:v>Хлебушек</x:v>
      </x:c>
      <x:c r="C408" s="365" t="str">
        <x:v>Cavalry</x:v>
      </x:c>
      <x:c r="D408" s="365" t="str">
        <x:v>Storm cavalry</x:v>
      </x:c>
      <x:c r="E408" s="365" t="str">
        <x:v>Horse archer</x:v>
      </x:c>
      <x:c r="F408" s="365" t="n">
        <x:v>50</x:v>
      </x:c>
      <x:c r="G408" s="365" t="str">
        <x:v>Mounted Archery</x:v>
      </x:c>
      <x:c r="H408" s="365" t="str">
        <x:v>Has a certain probability of causing fly-shooting damage</x:v>
      </x:c>
      <x:c r="I408" s="365" t="str">
        <x:v>Unlocked</x:v>
      </x:c>
      <x:c r="J408" s="365" t="str">
        <x:v>00:08.70</x:v>
      </x:c>
      <x:c r="K408" s="365" t="str">
        <x:v>E005; Tier: T9; Visible: 00:08.55-00:09.00; High confidence.; Source frame: representative/E005_8.700.jpg</x:v>
      </x:c>
      <x:c r="L408" s="365" t="str">
        <x:v>1000025871.mp4</x:v>
      </x:c>
      <x:c r="M408" s="387" t="n">
        <x:f>IF(P408="OK",INDEX('Badge Lookup'!$B$6:$B$55,MATCH(F408,'Badge Lookup'!$A$6:$A$55,0)),0)</x:f>
        <x:v>2000000</x:v>
      </x:c>
      <x:c r="N408" s="387" t="n">
        <x:f>IF(P408="OK",INDEX('Badge Lookup'!$C$6:$C$55,MATCH(F408,'Badge Lookup'!$A$6:$A$55,0)),0)</x:f>
        <x:v>10334300</x:v>
      </x:c>
      <x:c r="O408" s="388" t="n">
        <x:f>IF(P408="OK",INDEX('Badge Lookup'!$D$6:$D$55,MATCH(F408,'Badge Lookup'!$A$6:$A$55,0)),0)</x:f>
        <x:v>60</x:v>
      </x:c>
      <x:c r="P408" s="362" t="str">
        <x:f>IF(OR(G408="",F408=""),"Not scored",IF(AND(F408=INT(F408),F408&gt;=1,F408&lt;=50,COUNTIF('Badge Lookup'!$A$6:$A$55,F408)=1),"OK","Check lookup"))</x:f>
        <x:v>OK</x:v>
      </x:c>
      <x:c r="Q408" s="456" t="n">
        <x:f>IF(P408&lt;&gt;"OK","",IF(C408="Guards",-O408,O408))</x:f>
        <x:v>60</x:v>
      </x:c>
      <x:c r="R408" s="362" t="str">
        <x:f>IF(P408&lt;&gt;"OK","Not scored",IF(C408="Guards","Damage received reduction","Damage increase"))</x:f>
        <x:v>Damage increase</x:v>
      </x:c>
    </x:row>
    <x:row r="409" ht="32" customHeight="1">
      <x:c r="A409" s="365" t="str">
        <x:v>K197</x:v>
      </x:c>
      <x:c r="B409" s="365" t="str">
        <x:v>Хлебушек</x:v>
      </x:c>
      <x:c r="C409" s="365" t="str">
        <x:v>Archers</x:v>
      </x:c>
      <x:c r="D409" s="365" t="str">
        <x:v>Elite</x:v>
      </x:c>
      <x:c r="E409" s="365" t="str">
        <x:v>Crossbowmen</x:v>
      </x:c>
      <x:c r="F409" s="365" t="n">
        <x:v>50</x:v>
      </x:c>
      <x:c r="G409" s="365" t="str">
        <x:v>Focus</x:v>
      </x:c>
      <x:c r="H409" s="365" t="str">
        <x:v>Has a higher probability of providing focus damage</x:v>
      </x:c>
      <x:c r="I409" s="365" t="str">
        <x:v>Unlocked</x:v>
      </x:c>
      <x:c r="J409" s="365" t="str">
        <x:v>00:10.00</x:v>
      </x:c>
      <x:c r="K409" s="365" t="str">
        <x:v>E006; Tier: T9; Visible: 00:09.80-00:10.30; High confidence. The tooltip title visibly reads only 'Elite'; the Crossbowmen subtype is stated in the same tooltip's descriptive text and confirmed by its T9 troop row.; Source frame: representative/E006_10.000.jpg</x:v>
      </x:c>
      <x:c r="L409" s="365" t="str">
        <x:v>1000025871.mp4</x:v>
      </x:c>
      <x:c r="M409" s="387" t="n">
        <x:f>IF(P409="OK",INDEX('Badge Lookup'!$B$6:$B$55,MATCH(F409,'Badge Lookup'!$A$6:$A$55,0)),0)</x:f>
        <x:v>2000000</x:v>
      </x:c>
      <x:c r="N409" s="387" t="n">
        <x:f>IF(P409="OK",INDEX('Badge Lookup'!$C$6:$C$55,MATCH(F409,'Badge Lookup'!$A$6:$A$55,0)),0)</x:f>
        <x:v>10334300</x:v>
      </x:c>
      <x:c r="O409" s="388" t="n">
        <x:f>IF(P409="OK",INDEX('Badge Lookup'!$D$6:$D$55,MATCH(F409,'Badge Lookup'!$A$6:$A$55,0)),0)</x:f>
        <x:v>60</x:v>
      </x:c>
      <x:c r="P409" s="362" t="str">
        <x:f>IF(OR(G409="",F409=""),"Not scored",IF(AND(F409=INT(F409),F409&gt;=1,F409&lt;=50,COUNTIF('Badge Lookup'!$A$6:$A$55,F409)=1),"OK","Check lookup"))</x:f>
        <x:v>OK</x:v>
      </x:c>
      <x:c r="Q409" s="456" t="n">
        <x:f>IF(P409&lt;&gt;"OK","",IF(C409="Guards",-O409,O409))</x:f>
        <x:v>60</x:v>
      </x:c>
      <x:c r="R409" s="362" t="str">
        <x:f>IF(P409&lt;&gt;"OK","Not scored",IF(C409="Guards","Damage received reduction","Damage increase"))</x:f>
        <x:v>Damage increase</x:v>
      </x:c>
    </x:row>
    <x:row r="410" ht="32" customHeight="1">
      <x:c r="A410" s="365" t="str">
        <x:v>K197</x:v>
      </x:c>
      <x:c r="B410" s="365" t="str">
        <x:v>Zakmil23139</x:v>
      </x:c>
      <x:c r="C410" s="365" t="str">
        <x:v>Cavalry</x:v>
      </x:c>
      <x:c r="D410" s="365" t="str">
        <x:v>Eternal knights</x:v>
      </x:c>
      <x:c r="E410" s="365" t="str">
        <x:v>Heavy Cavalry</x:v>
      </x:c>
      <x:c r="F410" s="365" t="n">
        <x:v>46</x:v>
      </x:c>
      <x:c r="G410" s="365" t="str">
        <x:v>Thunder trample</x:v>
      </x:c>
      <x:c r="H410" s="365" t="str">
        <x:v>Has a certain probability of causing trampling damage</x:v>
      </x:c>
      <x:c r="I410" s="365" t="str">
        <x:v>Unlocked</x:v>
      </x:c>
      <x:c r="J410" s="365" t="str">
        <x:v>00:22.30</x:v>
      </x:c>
      <x:c r="K410" s="365" t="str">
        <x:v>E009; Tier: T10; Visible: 00:21.90-00:22.75; High confidence.; Source frame: representative/E009_22.300.jpg</x:v>
      </x:c>
      <x:c r="L410" s="365" t="str">
        <x:v>1000025871.mp4</x:v>
      </x:c>
      <x:c r="M410" s="387" t="n">
        <x:f>IF(P410="OK",INDEX('Badge Lookup'!$B$6:$B$55,MATCH(F410,'Badge Lookup'!$A$6:$A$55,0)),0)</x:f>
        <x:v>720000</x:v>
      </x:c>
      <x:c r="N410" s="387" t="n">
        <x:f>IF(P410="OK",INDEX('Badge Lookup'!$C$6:$C$55,MATCH(F410,'Badge Lookup'!$A$6:$A$55,0)),0)</x:f>
        <x:v>5004300</x:v>
      </x:c>
      <x:c r="O410" s="388" t="n">
        <x:f>IF(P410="OK",INDEX('Badge Lookup'!$D$6:$D$55,MATCH(F410,'Badge Lookup'!$A$6:$A$55,0)),0)</x:f>
        <x:v>45.13</x:v>
      </x:c>
      <x:c r="P410" s="362" t="str">
        <x:f>IF(OR(G410="",F410=""),"Not scored",IF(AND(F410=INT(F410),F410&gt;=1,F410&lt;=50,COUNTIF('Badge Lookup'!$A$6:$A$55,F410)=1),"OK","Check lookup"))</x:f>
        <x:v>OK</x:v>
      </x:c>
      <x:c r="Q410" s="456" t="n">
        <x:f>IF(P410&lt;&gt;"OK","",IF(C410="Guards",-O410,O410))</x:f>
        <x:v>45.13</x:v>
      </x:c>
      <x:c r="R410" s="362" t="str">
        <x:f>IF(P410&lt;&gt;"OK","Not scored",IF(C410="Guards","Damage received reduction","Damage increase"))</x:f>
        <x:v>Damage increase</x:v>
      </x:c>
    </x:row>
    <x:row r="411" ht="32" customHeight="1">
      <x:c r="A411" s="365" t="str">
        <x:v>K197</x:v>
      </x:c>
      <x:c r="B411" s="365" t="str">
        <x:v>Zakmil23139</x:v>
      </x:c>
      <x:c r="C411" s="365" t="str">
        <x:v>Archers</x:v>
      </x:c>
      <x:c r="D411" s="365" t="str">
        <x:v>Elite bowmen</x:v>
      </x:c>
      <x:c r="E411" s="365" t="str">
        <x:v>Archer</x:v>
      </x:c>
      <x:c r="F411" s="365" t="n">
        <x:v>50</x:v>
      </x:c>
      <x:c r="G411" s="365" t="str">
        <x:v>Frost Arrow</x:v>
      </x:c>
      <x:c r="H411" s="365" t="str">
        <x:v>Has a higher probability of activating ice damage</x:v>
      </x:c>
      <x:c r="I411" s="365" t="str">
        <x:v>Unlocked</x:v>
      </x:c>
      <x:c r="J411" s="365" t="str">
        <x:v>00:23.45</x:v>
      </x:c>
      <x:c r="K411" s="365" t="str">
        <x:v>E010; Tier: T10; Visible: 00:23.05-00:23.85; High confidence.; Source frame: representative/E010_23.450.jpg</x:v>
      </x:c>
      <x:c r="L411" s="365" t="str">
        <x:v>1000025871.mp4</x:v>
      </x:c>
      <x:c r="M411" s="387" t="n">
        <x:f>IF(P411="OK",INDEX('Badge Lookup'!$B$6:$B$55,MATCH(F411,'Badge Lookup'!$A$6:$A$55,0)),0)</x:f>
        <x:v>2000000</x:v>
      </x:c>
      <x:c r="N411" s="387" t="n">
        <x:f>IF(P411="OK",INDEX('Badge Lookup'!$C$6:$C$55,MATCH(F411,'Badge Lookup'!$A$6:$A$55,0)),0)</x:f>
        <x:v>10334300</x:v>
      </x:c>
      <x:c r="O411" s="388" t="n">
        <x:f>IF(P411="OK",INDEX('Badge Lookup'!$D$6:$D$55,MATCH(F411,'Badge Lookup'!$A$6:$A$55,0)),0)</x:f>
        <x:v>60</x:v>
      </x:c>
      <x:c r="P411" s="362" t="str">
        <x:f>IF(OR(G411="",F411=""),"Not scored",IF(AND(F411=INT(F411),F411&gt;=1,F411&lt;=50,COUNTIF('Badge Lookup'!$A$6:$A$55,F411)=1),"OK","Check lookup"))</x:f>
        <x:v>OK</x:v>
      </x:c>
      <x:c r="Q411" s="456" t="n">
        <x:f>IF(P411&lt;&gt;"OK","",IF(C411="Guards",-O411,O411))</x:f>
        <x:v>60</x:v>
      </x:c>
      <x:c r="R411" s="362" t="str">
        <x:f>IF(P411&lt;&gt;"OK","Not scored",IF(C411="Guards","Damage received reduction","Damage increase"))</x:f>
        <x:v>Damage increase</x:v>
      </x:c>
    </x:row>
    <x:row r="412" ht="32" customHeight="1">
      <x:c r="A412" s="365" t="str">
        <x:v>K197</x:v>
      </x:c>
      <x:c r="B412" s="365" t="str">
        <x:v>Zakmil23139</x:v>
      </x:c>
      <x:c r="C412" s="365" t="str">
        <x:v>Siege</x:v>
      </x:c>
      <x:c r="D412" s="365" t="str">
        <x:v>Manglers</x:v>
      </x:c>
      <x:c r="E412" s="365" t="str">
        <x:v>Siege</x:v>
      </x:c>
      <x:c r="F412" s="365" t="n">
        <x:v>37</x:v>
      </x:c>
      <x:c r="G412" s="365" t="str">
        <x:v>Highly toxic</x:v>
      </x:c>
      <x:c r="H412" s="365" t="str">
        <x:v>Inflict continuous toxic damage</x:v>
      </x:c>
      <x:c r="I412" s="365" t="str">
        <x:v>Unlocked</x:v>
      </x:c>
      <x:c r="J412" s="365" t="str">
        <x:v>00:24.45</x:v>
      </x:c>
      <x:c r="K412" s="365" t="str">
        <x:v>E011; Tier: T10; Visible: 00:24.25-00:24.75; High confidence.; Source frame: representative/E011_24.450.jpg</x:v>
      </x:c>
      <x:c r="L412" s="365" t="str">
        <x:v>1000025871.mp4</x:v>
      </x:c>
      <x:c r="M412" s="387" t="n">
        <x:f>IF(P412="OK",INDEX('Badge Lookup'!$B$6:$B$55,MATCH(F412,'Badge Lookup'!$A$6:$A$55,0)),0)</x:f>
        <x:v>160000</x:v>
      </x:c>
      <x:c r="N412" s="387" t="n">
        <x:f>IF(P412="OK",INDEX('Badge Lookup'!$C$6:$C$55,MATCH(F412,'Badge Lookup'!$A$6:$A$55,0)),0)</x:f>
        <x:v>1624300</x:v>
      </x:c>
      <x:c r="O412" s="388" t="n">
        <x:f>IF(P412="OK",INDEX('Badge Lookup'!$D$6:$D$55,MATCH(F412,'Badge Lookup'!$A$6:$A$55,0)),0)</x:f>
        <x:v>20.73</x:v>
      </x:c>
      <x:c r="P412" s="362" t="str">
        <x:f>IF(OR(G412="",F412=""),"Not scored",IF(AND(F412=INT(F412),F412&gt;=1,F412&lt;=50,COUNTIF('Badge Lookup'!$A$6:$A$55,F412)=1),"OK","Check lookup"))</x:f>
        <x:v>OK</x:v>
      </x:c>
      <x:c r="Q412" s="456" t="n">
        <x:f>IF(P412&lt;&gt;"OK","",IF(C412="Guards",-O412,O412))</x:f>
        <x:v>20.73</x:v>
      </x:c>
      <x:c r="R412" s="362" t="str">
        <x:f>IF(P412&lt;&gt;"OK","Not scored",IF(C412="Guards","Damage received reduction","Damage increase"))</x:f>
        <x:v>Damage increase</x:v>
      </x:c>
    </x:row>
    <x:row r="413" ht="32" customHeight="1">
      <x:c r="A413" s="365" t="str">
        <x:v>K197</x:v>
      </x:c>
      <x:c r="B413" s="365" t="str">
        <x:v>NightFury</x:v>
      </x:c>
      <x:c r="C413" s="365" t="str">
        <x:v>Guards</x:v>
      </x:c>
      <x:c r="D413" s="365" t="str">
        <x:v>Destroyers</x:v>
      </x:c>
      <x:c r="E413" s="365" t="str">
        <x:v>Guard</x:v>
      </x:c>
      <x:c r="F413" s="365" t="n">
        <x:v>34</x:v>
      </x:c>
      <x:c r="G413" s="365" t="str">
        <x:v>Parry</x:v>
      </x:c>
      <x:c r="H413" s="365" t="str">
        <x:v>Provides a parry effect and a certain probability to increase damage</x:v>
      </x:c>
      <x:c r="I413" s="365" t="str">
        <x:v>Unlocked</x:v>
      </x:c>
      <x:c r="J413" s="365" t="str">
        <x:v>00:31.10</x:v>
      </x:c>
      <x:c r="K413" s="365" t="str">
        <x:v>E012; Tier: T10; Visible: 00:30.70-00:31.60; High confidence.; Source frame: representative/E012_31.100.jpg</x:v>
      </x:c>
      <x:c r="L413" s="365" t="str">
        <x:v>1000025871.mp4</x:v>
      </x:c>
      <x:c r="M413" s="387" t="n">
        <x:f>IF(P413="OK",INDEX('Badge Lookup'!$B$6:$B$55,MATCH(F413,'Badge Lookup'!$A$6:$A$55,0)),0)</x:f>
        <x:v>120000</x:v>
      </x:c>
      <x:c r="N413" s="387" t="n">
        <x:f>IF(P413="OK",INDEX('Badge Lookup'!$C$6:$C$55,MATCH(F413,'Badge Lookup'!$A$6:$A$55,0)),0)</x:f>
        <x:v>1194300</x:v>
      </x:c>
      <x:c r="O413" s="388" t="n">
        <x:f>IF(P413="OK",INDEX('Badge Lookup'!$D$6:$D$55,MATCH(F413,'Badge Lookup'!$A$6:$A$55,0)),0)</x:f>
        <x:v>16.2</x:v>
      </x:c>
      <x:c r="P413" s="362" t="str">
        <x:f>IF(OR(G413="",F413=""),"Not scored",IF(AND(F413=INT(F413),F413&gt;=1,F413&lt;=50,COUNTIF('Badge Lookup'!$A$6:$A$55,F413)=1),"OK","Check lookup"))</x:f>
        <x:v>OK</x:v>
      </x:c>
      <x:c r="Q413" s="456" t="n">
        <x:f>IF(P413&lt;&gt;"OK","",IF(C413="Guards",-O413,O413))</x:f>
        <x:v>-16.2</x:v>
      </x:c>
      <x:c r="R413" s="362" t="str">
        <x:f>IF(P413&lt;&gt;"OK","Not scored",IF(C413="Guards","Damage received reduction","Damage increase"))</x:f>
        <x:v>Damage received reduction</x:v>
      </x:c>
    </x:row>
    <x:row r="414" ht="32" customHeight="1">
      <x:c r="A414" s="365" t="str">
        <x:v>K197</x:v>
      </x:c>
      <x:c r="B414" s="365" t="str">
        <x:v>NightFury</x:v>
      </x:c>
      <x:c r="C414" s="365" t="str">
        <x:v>Cavalry</x:v>
      </x:c>
      <x:c r="D414" s="365" t="str">
        <x:v>Eternal knights</x:v>
      </x:c>
      <x:c r="E414" s="365" t="str">
        <x:v>Heavy Cavalry</x:v>
      </x:c>
      <x:c r="F414" s="365" t="n">
        <x:v>50</x:v>
      </x:c>
      <x:c r="G414" s="365" t="str">
        <x:v>Thunder trample</x:v>
      </x:c>
      <x:c r="H414" s="365" t="str">
        <x:v>Has a certain probability of causing trampling damage</x:v>
      </x:c>
      <x:c r="I414" s="365" t="str">
        <x:v>Unlocked</x:v>
      </x:c>
      <x:c r="J414" s="365" t="str">
        <x:v>00:32.10</x:v>
      </x:c>
      <x:c r="K414" s="365" t="str">
        <x:v>E013; Tier: T10; Visible: 00:31.90-00:32.40; High confidence.; Source frame: representative/E013_32.100.jpg</x:v>
      </x:c>
      <x:c r="L414" s="365" t="str">
        <x:v>1000025871.mp4</x:v>
      </x:c>
      <x:c r="M414" s="387" t="n">
        <x:f>IF(P414="OK",INDEX('Badge Lookup'!$B$6:$B$55,MATCH(F414,'Badge Lookup'!$A$6:$A$55,0)),0)</x:f>
        <x:v>2000000</x:v>
      </x:c>
      <x:c r="N414" s="387" t="n">
        <x:f>IF(P414="OK",INDEX('Badge Lookup'!$C$6:$C$55,MATCH(F414,'Badge Lookup'!$A$6:$A$55,0)),0)</x:f>
        <x:v>10334300</x:v>
      </x:c>
      <x:c r="O414" s="388" t="n">
        <x:f>IF(P414="OK",INDEX('Badge Lookup'!$D$6:$D$55,MATCH(F414,'Badge Lookup'!$A$6:$A$55,0)),0)</x:f>
        <x:v>60</x:v>
      </x:c>
      <x:c r="P414" s="362" t="str">
        <x:f>IF(OR(G414="",F414=""),"Not scored",IF(AND(F414=INT(F414),F414&gt;=1,F414&lt;=50,COUNTIF('Badge Lookup'!$A$6:$A$55,F414)=1),"OK","Check lookup"))</x:f>
        <x:v>OK</x:v>
      </x:c>
      <x:c r="Q414" s="456" t="n">
        <x:f>IF(P414&lt;&gt;"OK","",IF(C414="Guards",-O414,O414))</x:f>
        <x:v>60</x:v>
      </x:c>
      <x:c r="R414" s="362" t="str">
        <x:f>IF(P414&lt;&gt;"OK","Not scored",IF(C414="Guards","Damage received reduction","Damage increase"))</x:f>
        <x:v>Damage increase</x:v>
      </x:c>
    </x:row>
    <x:row r="415" ht="32" customHeight="1">
      <x:c r="A415" s="365" t="str">
        <x:v>K197</x:v>
      </x:c>
      <x:c r="B415" s="365" t="str">
        <x:v>Saku</x:v>
      </x:c>
      <x:c r="C415" s="365" t="str">
        <x:v>Cavalry</x:v>
      </x:c>
      <x:c r="D415" s="365" t="str">
        <x:v>Eternal knights</x:v>
      </x:c>
      <x:c r="E415" s="365" t="str">
        <x:v>Heavy Cavalry</x:v>
      </x:c>
      <x:c r="F415" s="365" t="n">
        <x:v>50</x:v>
      </x:c>
      <x:c r="G415" s="365" t="str">
        <x:v>Thunder trample</x:v>
      </x:c>
      <x:c r="H415" s="365" t="str">
        <x:v>Has a certain probability of causing trampling damage</x:v>
      </x:c>
      <x:c r="I415" s="365" t="str">
        <x:v>Unlocked</x:v>
      </x:c>
      <x:c r="J415" s="365" t="str">
        <x:v>00:38.20</x:v>
      </x:c>
      <x:c r="K415" s="365" t="str">
        <x:v>E014; Tier: T10; Visible: 00:37.95-00:38.50; High confidence.; Source frame: representative/E014_38.200.jpg</x:v>
      </x:c>
      <x:c r="L415" s="365" t="str">
        <x:v>1000025871.mp4</x:v>
      </x:c>
      <x:c r="M415" s="387" t="n">
        <x:f>IF(P415="OK",INDEX('Badge Lookup'!$B$6:$B$55,MATCH(F415,'Badge Lookup'!$A$6:$A$55,0)),0)</x:f>
        <x:v>2000000</x:v>
      </x:c>
      <x:c r="N415" s="387" t="n">
        <x:f>IF(P415="OK",INDEX('Badge Lookup'!$C$6:$C$55,MATCH(F415,'Badge Lookup'!$A$6:$A$55,0)),0)</x:f>
        <x:v>10334300</x:v>
      </x:c>
      <x:c r="O415" s="388" t="n">
        <x:f>IF(P415="OK",INDEX('Badge Lookup'!$D$6:$D$55,MATCH(F415,'Badge Lookup'!$A$6:$A$55,0)),0)</x:f>
        <x:v>60</x:v>
      </x:c>
      <x:c r="P415" s="362" t="str">
        <x:f>IF(OR(G415="",F415=""),"Not scored",IF(AND(F415=INT(F415),F415&gt;=1,F415&lt;=50,COUNTIF('Badge Lookup'!$A$6:$A$55,F415)=1),"OK","Check lookup"))</x:f>
        <x:v>OK</x:v>
      </x:c>
      <x:c r="Q415" s="456" t="n">
        <x:f>IF(P415&lt;&gt;"OK","",IF(C415="Guards",-O415,O415))</x:f>
        <x:v>60</x:v>
      </x:c>
      <x:c r="R415" s="362" t="str">
        <x:f>IF(P415&lt;&gt;"OK","Not scored",IF(C415="Guards","Damage received reduction","Damage increase"))</x:f>
        <x:v>Damage increase</x:v>
      </x:c>
    </x:row>
    <x:row r="416" ht="32" customHeight="1">
      <x:c r="A416" s="365" t="str">
        <x:v>K197</x:v>
      </x:c>
      <x:c r="B416" s="365" t="str">
        <x:v>Saku</x:v>
      </x:c>
      <x:c r="C416" s="365" t="str">
        <x:v>Archers</x:v>
      </x:c>
      <x:c r="D416" s="365" t="str">
        <x:v>Elite bowmen</x:v>
      </x:c>
      <x:c r="E416" s="365" t="str">
        <x:v>Archer</x:v>
      </x:c>
      <x:c r="F416" s="365" t="n">
        <x:v>50</x:v>
      </x:c>
      <x:c r="G416" s="365" t="str">
        <x:v>Frost Arrow</x:v>
      </x:c>
      <x:c r="H416" s="365" t="str">
        <x:v>Has a higher probability of activating ice damage</x:v>
      </x:c>
      <x:c r="I416" s="365" t="str">
        <x:v>Unlocked</x:v>
      </x:c>
      <x:c r="J416" s="365" t="str">
        <x:v>00:39.40</x:v>
      </x:c>
      <x:c r="K416" s="365" t="str">
        <x:v>E015; Tier: T10; Visible: 00:39.05-00:39.70; High confidence.; Source frame: representative/E015_39.400.jpg</x:v>
      </x:c>
      <x:c r="L416" s="365" t="str">
        <x:v>1000025871.mp4</x:v>
      </x:c>
      <x:c r="M416" s="387" t="n">
        <x:f>IF(P416="OK",INDEX('Badge Lookup'!$B$6:$B$55,MATCH(F416,'Badge Lookup'!$A$6:$A$55,0)),0)</x:f>
        <x:v>2000000</x:v>
      </x:c>
      <x:c r="N416" s="387" t="n">
        <x:f>IF(P416="OK",INDEX('Badge Lookup'!$C$6:$C$55,MATCH(F416,'Badge Lookup'!$A$6:$A$55,0)),0)</x:f>
        <x:v>10334300</x:v>
      </x:c>
      <x:c r="O416" s="388" t="n">
        <x:f>IF(P416="OK",INDEX('Badge Lookup'!$D$6:$D$55,MATCH(F416,'Badge Lookup'!$A$6:$A$55,0)),0)</x:f>
        <x:v>60</x:v>
      </x:c>
      <x:c r="P416" s="362" t="str">
        <x:f>IF(OR(G416="",F416=""),"Not scored",IF(AND(F416=INT(F416),F416&gt;=1,F416&lt;=50,COUNTIF('Badge Lookup'!$A$6:$A$55,F416)=1),"OK","Check lookup"))</x:f>
        <x:v>OK</x:v>
      </x:c>
      <x:c r="Q416" s="456" t="n">
        <x:f>IF(P416&lt;&gt;"OK","",IF(C416="Guards",-O416,O416))</x:f>
        <x:v>60</x:v>
      </x:c>
      <x:c r="R416" s="362" t="str">
        <x:f>IF(P416&lt;&gt;"OK","Not scored",IF(C416="Guards","Damage received reduction","Damage increase"))</x:f>
        <x:v>Damage increase</x:v>
      </x:c>
    </x:row>
    <x:row r="417" ht="32" customHeight="1">
      <x:c r="A417" s="365" t="str">
        <x:v>K197</x:v>
      </x:c>
      <x:c r="B417" s="365" t="str">
        <x:v>Бапм</x:v>
      </x:c>
      <x:c r="C417" s="365" t="str">
        <x:v>Cavalry</x:v>
      </x:c>
      <x:c r="D417" s="365" t="str">
        <x:v>Eternal knights</x:v>
      </x:c>
      <x:c r="E417" s="365" t="str">
        <x:v>Heavy Cavalry</x:v>
      </x:c>
      <x:c r="F417" s="365" t="n">
        <x:v>50</x:v>
      </x:c>
      <x:c r="G417" s="365" t="str">
        <x:v>Thunder trample</x:v>
      </x:c>
      <x:c r="H417" s="365" t="str">
        <x:v>Has a certain probability of causing trampling damage</x:v>
      </x:c>
      <x:c r="I417" s="365" t="str">
        <x:v>Unlocked</x:v>
      </x:c>
      <x:c r="J417" s="365" t="str">
        <x:v>00:46.45</x:v>
      </x:c>
      <x:c r="K417" s="365" t="str">
        <x:v>E016; Tier: T10; Visible: 00:46.20-00:46.75; High confidence.; Source frame: representative/E016_46.450.jpg</x:v>
      </x:c>
      <x:c r="L417" s="365" t="str">
        <x:v>1000025871.mp4</x:v>
      </x:c>
      <x:c r="M417" s="387" t="n">
        <x:f>IF(P417="OK",INDEX('Badge Lookup'!$B$6:$B$55,MATCH(F417,'Badge Lookup'!$A$6:$A$55,0)),0)</x:f>
        <x:v>2000000</x:v>
      </x:c>
      <x:c r="N417" s="387" t="n">
        <x:f>IF(P417="OK",INDEX('Badge Lookup'!$C$6:$C$55,MATCH(F417,'Badge Lookup'!$A$6:$A$55,0)),0)</x:f>
        <x:v>10334300</x:v>
      </x:c>
      <x:c r="O417" s="388" t="n">
        <x:f>IF(P417="OK",INDEX('Badge Lookup'!$D$6:$D$55,MATCH(F417,'Badge Lookup'!$A$6:$A$55,0)),0)</x:f>
        <x:v>60</x:v>
      </x:c>
      <x:c r="P417" s="362" t="str">
        <x:f>IF(OR(G417="",F417=""),"Not scored",IF(AND(F417=INT(F417),F417&gt;=1,F417&lt;=50,COUNTIF('Badge Lookup'!$A$6:$A$55,F417)=1),"OK","Check lookup"))</x:f>
        <x:v>OK</x:v>
      </x:c>
      <x:c r="Q417" s="456" t="n">
        <x:f>IF(P417&lt;&gt;"OK","",IF(C417="Guards",-O417,O417))</x:f>
        <x:v>60</x:v>
      </x:c>
      <x:c r="R417" s="362" t="str">
        <x:f>IF(P417&lt;&gt;"OK","Not scored",IF(C417="Guards","Damage received reduction","Damage increase"))</x:f>
        <x:v>Damage increase</x:v>
      </x:c>
    </x:row>
    <x:row r="418" ht="32" customHeight="1">
      <x:c r="A418" s="365" t="str">
        <x:v>K197</x:v>
      </x:c>
      <x:c r="B418" s="365" t="str">
        <x:v>Oiuuuuuuuuuuuuu</x:v>
      </x:c>
      <x:c r="C418" s="365" t="str">
        <x:v>Guards</x:v>
      </x:c>
      <x:c r="D418" s="365" t="str">
        <x:v>Destroyers</x:v>
      </x:c>
      <x:c r="E418" s="365" t="str">
        <x:v>Guard</x:v>
      </x:c>
      <x:c r="F418" s="365" t="n">
        <x:v>40</x:v>
      </x:c>
      <x:c r="G418" s="365" t="str">
        <x:v>Parry</x:v>
      </x:c>
      <x:c r="H418" s="365" t="str">
        <x:v>Provides a parry effect and a certain probability to increase damage</x:v>
      </x:c>
      <x:c r="I418" s="365" t="str">
        <x:v>Unlocked</x:v>
      </x:c>
      <x:c r="J418" s="365" t="str">
        <x:v>00:53.75</x:v>
      </x:c>
      <x:c r="K418" s="365" t="str">
        <x:v>E017; Tier: T10; Visible: 00:53.50-00:54.10; High confidence.; Source frame: representative/E017_53.750.jpg</x:v>
      </x:c>
      <x:c r="L418" s="365" t="str">
        <x:v>1000025871.mp4</x:v>
      </x:c>
      <x:c r="M418" s="387" t="n">
        <x:f>IF(P418="OK",INDEX('Badge Lookup'!$B$6:$B$55,MATCH(F418,'Badge Lookup'!$A$6:$A$55,0)),0)</x:f>
        <x:v>240000</x:v>
      </x:c>
      <x:c r="N418" s="387" t="n">
        <x:f>IF(P418="OK",INDEX('Badge Lookup'!$C$6:$C$55,MATCH(F418,'Badge Lookup'!$A$6:$A$55,0)),0)</x:f>
        <x:v>2244300</x:v>
      </x:c>
      <x:c r="O418" s="388" t="n">
        <x:f>IF(P418="OK",INDEX('Badge Lookup'!$D$6:$D$55,MATCH(F418,'Badge Lookup'!$A$6:$A$55,0)),0)</x:f>
        <x:v>27.74</x:v>
      </x:c>
      <x:c r="P418" s="362" t="str">
        <x:f>IF(OR(G418="",F418=""),"Not scored",IF(AND(F418=INT(F418),F418&gt;=1,F418&lt;=50,COUNTIF('Badge Lookup'!$A$6:$A$55,F418)=1),"OK","Check lookup"))</x:f>
        <x:v>OK</x:v>
      </x:c>
      <x:c r="Q418" s="456" t="n">
        <x:f>IF(P418&lt;&gt;"OK","",IF(C418="Guards",-O418,O418))</x:f>
        <x:v>-27.74</x:v>
      </x:c>
      <x:c r="R418" s="362" t="str">
        <x:f>IF(P418&lt;&gt;"OK","Not scored",IF(C418="Guards","Damage received reduction","Damage increase"))</x:f>
        <x:v>Damage received reduction</x:v>
      </x:c>
    </x:row>
    <x:row r="419" ht="32" customHeight="1">
      <x:c r="A419" s="365" t="str">
        <x:v>K197</x:v>
      </x:c>
      <x:c r="B419" s="365" t="str">
        <x:v>Oiuuuuuuuuuuuuu</x:v>
      </x:c>
      <x:c r="C419" s="365" t="str">
        <x:v>Archers</x:v>
      </x:c>
      <x:c r="D419" s="365" t="str">
        <x:v>Elite bowmen</x:v>
      </x:c>
      <x:c r="E419" s="365" t="str">
        <x:v>Archer</x:v>
      </x:c>
      <x:c r="F419" s="365" t="n">
        <x:v>50</x:v>
      </x:c>
      <x:c r="G419" s="365" t="str">
        <x:v>Frost Arrow</x:v>
      </x:c>
      <x:c r="H419" s="365" t="str">
        <x:v>Has a higher probability of activating ice damage</x:v>
      </x:c>
      <x:c r="I419" s="365" t="str">
        <x:v>Unlocked</x:v>
      </x:c>
      <x:c r="J419" s="365" t="str">
        <x:v>00:54.95</x:v>
      </x:c>
      <x:c r="K419" s="365" t="str">
        <x:v>E018; Tier: T10; Visible: 00:54.65-00:55.20; High confidence.; Source frame: representative/E018_54.950.jpg</x:v>
      </x:c>
      <x:c r="L419" s="365" t="str">
        <x:v>1000025871.mp4</x:v>
      </x:c>
      <x:c r="M419" s="387" t="n">
        <x:f>IF(P419="OK",INDEX('Badge Lookup'!$B$6:$B$55,MATCH(F419,'Badge Lookup'!$A$6:$A$55,0)),0)</x:f>
        <x:v>2000000</x:v>
      </x:c>
      <x:c r="N419" s="387" t="n">
        <x:f>IF(P419="OK",INDEX('Badge Lookup'!$C$6:$C$55,MATCH(F419,'Badge Lookup'!$A$6:$A$55,0)),0)</x:f>
        <x:v>10334300</x:v>
      </x:c>
      <x:c r="O419" s="388" t="n">
        <x:f>IF(P419="OK",INDEX('Badge Lookup'!$D$6:$D$55,MATCH(F419,'Badge Lookup'!$A$6:$A$55,0)),0)</x:f>
        <x:v>60</x:v>
      </x:c>
      <x:c r="P419" s="362" t="str">
        <x:f>IF(OR(G419="",F419=""),"Not scored",IF(AND(F419=INT(F419),F419&gt;=1,F419&lt;=50,COUNTIF('Badge Lookup'!$A$6:$A$55,F419)=1),"OK","Check lookup"))</x:f>
        <x:v>OK</x:v>
      </x:c>
      <x:c r="Q419" s="456" t="n">
        <x:f>IF(P419&lt;&gt;"OK","",IF(C419="Guards",-O419,O419))</x:f>
        <x:v>60</x:v>
      </x:c>
      <x:c r="R419" s="362" t="str">
        <x:f>IF(P419&lt;&gt;"OK","Not scored",IF(C419="Guards","Damage received reduction","Damage increase"))</x:f>
        <x:v>Damage increase</x:v>
      </x:c>
    </x:row>
    <x:row r="420" ht="32" customHeight="1">
      <x:c r="A420" s="365" t="str">
        <x:v>K197</x:v>
      </x:c>
      <x:c r="B420" s="365" t="str">
        <x:v>々нυηтєя々</x:v>
      </x:c>
      <x:c r="C420" s="365" t="str">
        <x:v>Archers</x:v>
      </x:c>
      <x:c r="D420" s="365" t="str">
        <x:v>Elite bowmen</x:v>
      </x:c>
      <x:c r="E420" s="365" t="str">
        <x:v>Archer</x:v>
      </x:c>
      <x:c r="F420" s="365" t="n">
        <x:v>46</x:v>
      </x:c>
      <x:c r="G420" s="365" t="str">
        <x:v>Frost Arrow</x:v>
      </x:c>
      <x:c r="H420" s="365" t="str">
        <x:v>Has a higher probability of activating ice damage</x:v>
      </x:c>
      <x:c r="I420" s="365" t="str">
        <x:v>Unlocked</x:v>
      </x:c>
      <x:c r="J420" s="365" t="str">
        <x:v>01:02.25</x:v>
      </x:c>
      <x:c r="K420" s="365" t="str">
        <x:v>E020; Tier: T10; Visible: 01:01.85-01:02.75; High confidence.; Source frame: representative/E020_62.250.jpg</x:v>
      </x:c>
      <x:c r="L420" s="365" t="str">
        <x:v>1000025871.mp4</x:v>
      </x:c>
      <x:c r="M420" s="387" t="n">
        <x:f>IF(P420="OK",INDEX('Badge Lookup'!$B$6:$B$55,MATCH(F420,'Badge Lookup'!$A$6:$A$55,0)),0)</x:f>
        <x:v>720000</x:v>
      </x:c>
      <x:c r="N420" s="387" t="n">
        <x:f>IF(P420="OK",INDEX('Badge Lookup'!$C$6:$C$55,MATCH(F420,'Badge Lookup'!$A$6:$A$55,0)),0)</x:f>
        <x:v>5004300</x:v>
      </x:c>
      <x:c r="O420" s="388" t="n">
        <x:f>IF(P420="OK",INDEX('Badge Lookup'!$D$6:$D$55,MATCH(F420,'Badge Lookup'!$A$6:$A$55,0)),0)</x:f>
        <x:v>45.13</x:v>
      </x:c>
      <x:c r="P420" s="362" t="str">
        <x:f>IF(OR(G420="",F420=""),"Not scored",IF(AND(F420=INT(F420),F420&gt;=1,F420&lt;=50,COUNTIF('Badge Lookup'!$A$6:$A$55,F420)=1),"OK","Check lookup"))</x:f>
        <x:v>OK</x:v>
      </x:c>
      <x:c r="Q420" s="456" t="n">
        <x:f>IF(P420&lt;&gt;"OK","",IF(C420="Guards",-O420,O420))</x:f>
        <x:v>45.13</x:v>
      </x:c>
      <x:c r="R420" s="362" t="str">
        <x:f>IF(P420&lt;&gt;"OK","Not scored",IF(C420="Guards","Damage received reduction","Damage increase"))</x:f>
        <x:v>Damage increase</x:v>
      </x:c>
    </x:row>
    <x:row r="421" ht="32" customHeight="1">
      <x:c r="A421" s="365" t="str">
        <x:v>K197</x:v>
      </x:c>
      <x:c r="B421" s="365" t="str">
        <x:v>Caramel</x:v>
      </x:c>
      <x:c r="C421" s="365" t="str">
        <x:v>Archers</x:v>
      </x:c>
      <x:c r="D421" s="365" t="str">
        <x:v>Elite bowmen</x:v>
      </x:c>
      <x:c r="E421" s="365" t="str">
        <x:v>Archer</x:v>
      </x:c>
      <x:c r="F421" s="365" t="n">
        <x:v>50</x:v>
      </x:c>
      <x:c r="G421" s="365" t="str">
        <x:v>Frost Arrow</x:v>
      </x:c>
      <x:c r="H421" s="365" t="str">
        <x:v>Has a higher probability of activating ice damage</x:v>
      </x:c>
      <x:c r="I421" s="365" t="str">
        <x:v>Unlocked</x:v>
      </x:c>
      <x:c r="J421" s="365" t="str">
        <x:v>01:09.10</x:v>
      </x:c>
      <x:c r="K421" s="365" t="str">
        <x:v>E021; Tier: T10; Visible: 01:08.90-01:09.30; High confidence.; Source frame: representative/E021_69.100.jpg</x:v>
      </x:c>
      <x:c r="L421" s="365" t="str">
        <x:v>1000025871.mp4</x:v>
      </x:c>
      <x:c r="M421" s="387" t="n">
        <x:f>IF(P421="OK",INDEX('Badge Lookup'!$B$6:$B$55,MATCH(F421,'Badge Lookup'!$A$6:$A$55,0)),0)</x:f>
        <x:v>2000000</x:v>
      </x:c>
      <x:c r="N421" s="387" t="n">
        <x:f>IF(P421="OK",INDEX('Badge Lookup'!$C$6:$C$55,MATCH(F421,'Badge Lookup'!$A$6:$A$55,0)),0)</x:f>
        <x:v>10334300</x:v>
      </x:c>
      <x:c r="O421" s="388" t="n">
        <x:f>IF(P421="OK",INDEX('Badge Lookup'!$D$6:$D$55,MATCH(F421,'Badge Lookup'!$A$6:$A$55,0)),0)</x:f>
        <x:v>60</x:v>
      </x:c>
      <x:c r="P421" s="362" t="str">
        <x:f>IF(OR(G421="",F421=""),"Not scored",IF(AND(F421=INT(F421),F421&gt;=1,F421&lt;=50,COUNTIF('Badge Lookup'!$A$6:$A$55,F421)=1),"OK","Check lookup"))</x:f>
        <x:v>OK</x:v>
      </x:c>
      <x:c r="Q421" s="456" t="n">
        <x:f>IF(P421&lt;&gt;"OK","",IF(C421="Guards",-O421,O421))</x:f>
        <x:v>60</x:v>
      </x:c>
      <x:c r="R421" s="362" t="str">
        <x:f>IF(P421&lt;&gt;"OK","Not scored",IF(C421="Guards","Damage received reduction","Damage increase"))</x:f>
        <x:v>Damage increase</x:v>
      </x:c>
    </x:row>
    <x:row r="422" ht="32" customHeight="1">
      <x:c r="A422" s="365" t="str">
        <x:v>K197</x:v>
      </x:c>
      <x:c r="B422" s="365" t="str">
        <x:v>†ŁØRD†</x:v>
      </x:c>
      <x:c r="C422" s="365" t="str">
        <x:v>Archers</x:v>
      </x:c>
      <x:c r="D422" s="365" t="str">
        <x:v>Elite bowmen</x:v>
      </x:c>
      <x:c r="E422" s="365" t="str">
        <x:v>Archer</x:v>
      </x:c>
      <x:c r="F422" s="365" t="n">
        <x:v>49</x:v>
      </x:c>
      <x:c r="G422" s="365" t="str">
        <x:v>Frost Arrow</x:v>
      </x:c>
      <x:c r="H422" s="365" t="str">
        <x:v>Has a higher probability of activating ice damage</x:v>
      </x:c>
      <x:c r="I422" s="365" t="str">
        <x:v>Unlocked</x:v>
      </x:c>
      <x:c r="J422" s="365" t="str">
        <x:v>01:14.95</x:v>
      </x:c>
      <x:c r="K422" s="365" t="str">
        <x:v>E022; Tier: T10; Visible: 01:14.80-01:15.20; High confidence.; Source frame: representative/E022_74.950.jpg</x:v>
      </x:c>
      <x:c r="L422" s="365" t="str">
        <x:v>1000025871.mp4</x:v>
      </x:c>
      <x:c r="M422" s="387" t="n">
        <x:f>IF(P422="OK",INDEX('Badge Lookup'!$B$6:$B$55,MATCH(F422,'Badge Lookup'!$A$6:$A$55,0)),0)</x:f>
        <x:v>1400000</x:v>
      </x:c>
      <x:c r="N422" s="387" t="n">
        <x:f>IF(P422="OK",INDEX('Badge Lookup'!$C$6:$C$55,MATCH(F422,'Badge Lookup'!$A$6:$A$55,0)),0)</x:f>
        <x:v>8334300</x:v>
      </x:c>
      <x:c r="O422" s="388" t="n">
        <x:f>IF(P422="OK",INDEX('Badge Lookup'!$D$6:$D$55,MATCH(F422,'Badge Lookup'!$A$6:$A$55,0)),0)</x:f>
        <x:v>55.2</x:v>
      </x:c>
      <x:c r="P422" s="362" t="str">
        <x:f>IF(OR(G422="",F422=""),"Not scored",IF(AND(F422=INT(F422),F422&gt;=1,F422&lt;=50,COUNTIF('Badge Lookup'!$A$6:$A$55,F422)=1),"OK","Check lookup"))</x:f>
        <x:v>OK</x:v>
      </x:c>
      <x:c r="Q422" s="456" t="n">
        <x:f>IF(P422&lt;&gt;"OK","",IF(C422="Guards",-O422,O422))</x:f>
        <x:v>55.2</x:v>
      </x:c>
      <x:c r="R422" s="362" t="str">
        <x:f>IF(P422&lt;&gt;"OK","Not scored",IF(C422="Guards","Damage received reduction","Damage increase"))</x:f>
        <x:v>Damage increase</x:v>
      </x:c>
    </x:row>
    <x:row r="423" ht="32" customHeight="1">
      <x:c r="A423" s="365" t="str">
        <x:v>K197</x:v>
      </x:c>
      <x:c r="B423" s="365" t="str">
        <x:v>RΣDΣYΣ</x:v>
      </x:c>
      <x:c r="C423" s="365" t="str">
        <x:v>Archers</x:v>
      </x:c>
      <x:c r="D423" s="365" t="str">
        <x:v>Elite bowmen</x:v>
      </x:c>
      <x:c r="E423" s="365" t="str">
        <x:v>Archer</x:v>
      </x:c>
      <x:c r="F423" s="365" t="n">
        <x:v>47</x:v>
      </x:c>
      <x:c r="G423" s="365" t="str">
        <x:v>Frost Arrow</x:v>
      </x:c>
      <x:c r="H423" s="365" t="str">
        <x:v>Has a higher probability of activating ice damage</x:v>
      </x:c>
      <x:c r="I423" s="365" t="str">
        <x:v>Unlocked</x:v>
      </x:c>
      <x:c r="J423" s="365" t="str">
        <x:v>01:20.95</x:v>
      </x:c>
      <x:c r="K423" s="365" t="str">
        <x:v>E023; Tier: T10; Visible: 01:20.50-01:21.45; High confidence.; Source frame: representative/E023_80.950.jpg</x:v>
      </x:c>
      <x:c r="L423" s="365" t="str">
        <x:v>1000025871.mp4</x:v>
      </x:c>
      <x:c r="M423" s="387" t="n">
        <x:f>IF(P423="OK",INDEX('Badge Lookup'!$B$6:$B$55,MATCH(F423,'Badge Lookup'!$A$6:$A$55,0)),0)</x:f>
        <x:v>880000</x:v>
      </x:c>
      <x:c r="N423" s="387" t="n">
        <x:f>IF(P423="OK",INDEX('Badge Lookup'!$C$6:$C$55,MATCH(F423,'Badge Lookup'!$A$6:$A$55,0)),0)</x:f>
        <x:v>5884300</x:v>
      </x:c>
      <x:c r="O423" s="388" t="n">
        <x:f>IF(P423="OK",INDEX('Badge Lookup'!$D$6:$D$55,MATCH(F423,'Badge Lookup'!$A$6:$A$55,0)),0)</x:f>
        <x:v>48.38</x:v>
      </x:c>
      <x:c r="P423" s="362" t="str">
        <x:f>IF(OR(G423="",F423=""),"Not scored",IF(AND(F423=INT(F423),F423&gt;=1,F423&lt;=50,COUNTIF('Badge Lookup'!$A$6:$A$55,F423)=1),"OK","Check lookup"))</x:f>
        <x:v>OK</x:v>
      </x:c>
      <x:c r="Q423" s="456" t="n">
        <x:f>IF(P423&lt;&gt;"OK","",IF(C423="Guards",-O423,O423))</x:f>
        <x:v>48.38</x:v>
      </x:c>
      <x:c r="R423" s="362" t="str">
        <x:f>IF(P423&lt;&gt;"OK","Not scored",IF(C423="Guards","Damage received reduction","Damage increase"))</x:f>
        <x:v>Damage increase</x:v>
      </x:c>
    </x:row>
    <x:row r="424" ht="32" customHeight="1">
      <x:c r="A424" s="365" t="str">
        <x:v>K197</x:v>
      </x:c>
      <x:c r="B424" s="365" t="str">
        <x:v>Loong</x:v>
      </x:c>
      <x:c r="C424" s="365" t="str">
        <x:v>Guards</x:v>
      </x:c>
      <x:c r="D424" s="365" t="str">
        <x:v>Destroyers</x:v>
      </x:c>
      <x:c r="E424" s="365" t="str">
        <x:v>Guard</x:v>
      </x:c>
      <x:c r="F424" s="365" t="n">
        <x:v>49</x:v>
      </x:c>
      <x:c r="G424" s="365" t="str">
        <x:v>Parry</x:v>
      </x:c>
      <x:c r="H424" s="365" t="str">
        <x:v>Provides a parry effect and a certain probability to increase damage</x:v>
      </x:c>
      <x:c r="I424" s="365" t="str">
        <x:v>Unlocked</x:v>
      </x:c>
      <x:c r="J424" s="365" t="str">
        <x:v>01:28.50</x:v>
      </x:c>
      <x:c r="K424" s="365" t="str">
        <x:v>E024; Tier: T10; Visible: 01:28.25-01:28.85; High confidence.; Source frame: representative/E024_88.500.jpg</x:v>
      </x:c>
      <x:c r="L424" s="365" t="str">
        <x:v>1000025871.mp4</x:v>
      </x:c>
      <x:c r="M424" s="387" t="n">
        <x:f>IF(P424="OK",INDEX('Badge Lookup'!$B$6:$B$55,MATCH(F424,'Badge Lookup'!$A$6:$A$55,0)),0)</x:f>
        <x:v>1400000</x:v>
      </x:c>
      <x:c r="N424" s="387" t="n">
        <x:f>IF(P424="OK",INDEX('Badge Lookup'!$C$6:$C$55,MATCH(F424,'Badge Lookup'!$A$6:$A$55,0)),0)</x:f>
        <x:v>8334300</x:v>
      </x:c>
      <x:c r="O424" s="388" t="n">
        <x:f>IF(P424="OK",INDEX('Badge Lookup'!$D$6:$D$55,MATCH(F424,'Badge Lookup'!$A$6:$A$55,0)),0)</x:f>
        <x:v>55.2</x:v>
      </x:c>
      <x:c r="P424" s="362" t="str">
        <x:f>IF(OR(G424="",F424=""),"Not scored",IF(AND(F424=INT(F424),F424&gt;=1,F424&lt;=50,COUNTIF('Badge Lookup'!$A$6:$A$55,F424)=1),"OK","Check lookup"))</x:f>
        <x:v>OK</x:v>
      </x:c>
      <x:c r="Q424" s="456" t="n">
        <x:f>IF(P424&lt;&gt;"OK","",IF(C424="Guards",-O424,O424))</x:f>
        <x:v>-55.2</x:v>
      </x:c>
      <x:c r="R424" s="362" t="str">
        <x:f>IF(P424&lt;&gt;"OK","Not scored",IF(C424="Guards","Damage received reduction","Damage increase"))</x:f>
        <x:v>Damage received reduction</x:v>
      </x:c>
    </x:row>
    <x:row r="425" ht="32" customHeight="1">
      <x:c r="A425" s="365" t="str">
        <x:v>K197</x:v>
      </x:c>
      <x:c r="B425" s="365" t="str">
        <x:v>Loong</x:v>
      </x:c>
      <x:c r="C425" s="365" t="str">
        <x:v>Archers</x:v>
      </x:c>
      <x:c r="D425" s="365" t="str">
        <x:v>Elite bowmen</x:v>
      </x:c>
      <x:c r="E425" s="365" t="str">
        <x:v>Archer</x:v>
      </x:c>
      <x:c r="F425" s="365" t="n">
        <x:v>50</x:v>
      </x:c>
      <x:c r="G425" s="365" t="str">
        <x:v>Frost Arrow</x:v>
      </x:c>
      <x:c r="H425" s="365" t="str">
        <x:v>Has a higher probability of activating ice damage</x:v>
      </x:c>
      <x:c r="I425" s="365" t="str">
        <x:v>Unlocked</x:v>
      </x:c>
      <x:c r="J425" s="365" t="str">
        <x:v>01:30.10</x:v>
      </x:c>
      <x:c r="K425" s="365" t="str">
        <x:v>E025; Tier: T10; Visible: 01:29.95-01:30.35; High confidence.; Source frame: representative/E025_90.100.jpg</x:v>
      </x:c>
      <x:c r="L425" s="365" t="str">
        <x:v>1000025871.mp4</x:v>
      </x:c>
      <x:c r="M425" s="387" t="n">
        <x:f>IF(P425="OK",INDEX('Badge Lookup'!$B$6:$B$55,MATCH(F425,'Badge Lookup'!$A$6:$A$55,0)),0)</x:f>
        <x:v>2000000</x:v>
      </x:c>
      <x:c r="N425" s="387" t="n">
        <x:f>IF(P425="OK",INDEX('Badge Lookup'!$C$6:$C$55,MATCH(F425,'Badge Lookup'!$A$6:$A$55,0)),0)</x:f>
        <x:v>10334300</x:v>
      </x:c>
      <x:c r="O425" s="388" t="n">
        <x:f>IF(P425="OK",INDEX('Badge Lookup'!$D$6:$D$55,MATCH(F425,'Badge Lookup'!$A$6:$A$55,0)),0)</x:f>
        <x:v>60</x:v>
      </x:c>
      <x:c r="P425" s="362" t="str">
        <x:f>IF(OR(G425="",F425=""),"Not scored",IF(AND(F425=INT(F425),F425&gt;=1,F425&lt;=50,COUNTIF('Badge Lookup'!$A$6:$A$55,F425)=1),"OK","Check lookup"))</x:f>
        <x:v>OK</x:v>
      </x:c>
      <x:c r="Q425" s="456" t="n">
        <x:f>IF(P425&lt;&gt;"OK","",IF(C425="Guards",-O425,O425))</x:f>
        <x:v>60</x:v>
      </x:c>
      <x:c r="R425" s="362" t="str">
        <x:f>IF(P425&lt;&gt;"OK","Not scored",IF(C425="Guards","Damage received reduction","Damage increase"))</x:f>
        <x:v>Damage increase</x:v>
      </x:c>
    </x:row>
    <x:row r="426" ht="32" customHeight="1">
      <x:c r="A426" s="365" t="str">
        <x:v>K197</x:v>
      </x:c>
      <x:c r="B426" s="365" t="str">
        <x:v>LUIGUI</x:v>
      </x:c>
      <x:c r="C426" s="365" t="str">
        <x:v>Archers</x:v>
      </x:c>
      <x:c r="D426" s="365" t="str">
        <x:v>Elite bowmen</x:v>
      </x:c>
      <x:c r="E426" s="365" t="str">
        <x:v>Archer</x:v>
      </x:c>
      <x:c r="F426" s="365" t="n">
        <x:v>40</x:v>
      </x:c>
      <x:c r="G426" s="365" t="str">
        <x:v>Frost Arrow</x:v>
      </x:c>
      <x:c r="H426" s="365" t="str">
        <x:v>Has a higher probability of activating ice damage</x:v>
      </x:c>
      <x:c r="I426" s="365" t="str">
        <x:v>Unlocked</x:v>
      </x:c>
      <x:c r="J426" s="365" t="str">
        <x:v>01:37.30</x:v>
      </x:c>
      <x:c r="K426" s="365" t="str">
        <x:v>E026; Tier: T10; Visible: 01:37.10-01:37.50; High confidence.; Source frame: representative/E026_97.300.jpg</x:v>
      </x:c>
      <x:c r="L426" s="365" t="str">
        <x:v>1000025871.mp4</x:v>
      </x:c>
      <x:c r="M426" s="387" t="n">
        <x:f>IF(P426="OK",INDEX('Badge Lookup'!$B$6:$B$55,MATCH(F426,'Badge Lookup'!$A$6:$A$55,0)),0)</x:f>
        <x:v>240000</x:v>
      </x:c>
      <x:c r="N426" s="387" t="n">
        <x:f>IF(P426="OK",INDEX('Badge Lookup'!$C$6:$C$55,MATCH(F426,'Badge Lookup'!$A$6:$A$55,0)),0)</x:f>
        <x:v>2244300</x:v>
      </x:c>
      <x:c r="O426" s="388" t="n">
        <x:f>IF(P426="OK",INDEX('Badge Lookup'!$D$6:$D$55,MATCH(F426,'Badge Lookup'!$A$6:$A$55,0)),0)</x:f>
        <x:v>27.74</x:v>
      </x:c>
      <x:c r="P426" s="362" t="str">
        <x:f>IF(OR(G426="",F426=""),"Not scored",IF(AND(F426=INT(F426),F426&gt;=1,F426&lt;=50,COUNTIF('Badge Lookup'!$A$6:$A$55,F426)=1),"OK","Check lookup"))</x:f>
        <x:v>OK</x:v>
      </x:c>
      <x:c r="Q426" s="456" t="n">
        <x:f>IF(P426&lt;&gt;"OK","",IF(C426="Guards",-O426,O426))</x:f>
        <x:v>27.74</x:v>
      </x:c>
      <x:c r="R426" s="362" t="str">
        <x:f>IF(P426&lt;&gt;"OK","Not scored",IF(C426="Guards","Damage received reduction","Damage increase"))</x:f>
        <x:v>Damage increase</x:v>
      </x:c>
    </x:row>
    <x:row r="427" ht="32" customHeight="1">
      <x:c r="A427" s="365" t="str">
        <x:v>K197</x:v>
      </x:c>
      <x:c r="B427" s="365" t="str">
        <x:v>BocchiT__T</x:v>
      </x:c>
      <x:c r="C427" s="365" t="str">
        <x:v>Archers</x:v>
      </x:c>
      <x:c r="D427" s="365" t="str">
        <x:v>Elite bowmen</x:v>
      </x:c>
      <x:c r="E427" s="365" t="str">
        <x:v>Archer</x:v>
      </x:c>
      <x:c r="F427" s="365" t="n">
        <x:v>50</x:v>
      </x:c>
      <x:c r="G427" s="365" t="str">
        <x:v>Frost Arrow</x:v>
      </x:c>
      <x:c r="H427" s="365" t="str">
        <x:v>Has a higher probability of activating ice damage</x:v>
      </x:c>
      <x:c r="I427" s="365" t="str">
        <x:v>Unlocked</x:v>
      </x:c>
      <x:c r="J427" s="365" t="str">
        <x:v>01:45.45</x:v>
      </x:c>
      <x:c r="K427" s="365" t="str">
        <x:v>E027; Tier: T10; Visible: 01:44.95-01:46.10; High confidence.; Source frame: representative/E027_105.450.jpg</x:v>
      </x:c>
      <x:c r="L427" s="365" t="str">
        <x:v>1000025871.mp4</x:v>
      </x:c>
      <x:c r="M427" s="387" t="n">
        <x:f>IF(P427="OK",INDEX('Badge Lookup'!$B$6:$B$55,MATCH(F427,'Badge Lookup'!$A$6:$A$55,0)),0)</x:f>
        <x:v>2000000</x:v>
      </x:c>
      <x:c r="N427" s="387" t="n">
        <x:f>IF(P427="OK",INDEX('Badge Lookup'!$C$6:$C$55,MATCH(F427,'Badge Lookup'!$A$6:$A$55,0)),0)</x:f>
        <x:v>10334300</x:v>
      </x:c>
      <x:c r="O427" s="388" t="n">
        <x:f>IF(P427="OK",INDEX('Badge Lookup'!$D$6:$D$55,MATCH(F427,'Badge Lookup'!$A$6:$A$55,0)),0)</x:f>
        <x:v>60</x:v>
      </x:c>
      <x:c r="P427" s="362" t="str">
        <x:f>IF(OR(G427="",F427=""),"Not scored",IF(AND(F427=INT(F427),F427&gt;=1,F427&lt;=50,COUNTIF('Badge Lookup'!$A$6:$A$55,F427)=1),"OK","Check lookup"))</x:f>
        <x:v>OK</x:v>
      </x:c>
      <x:c r="Q427" s="456" t="n">
        <x:f>IF(P427&lt;&gt;"OK","",IF(C427="Guards",-O427,O427))</x:f>
        <x:v>60</x:v>
      </x:c>
      <x:c r="R427" s="362" t="str">
        <x:f>IF(P427&lt;&gt;"OK","Not scored",IF(C427="Guards","Damage received reduction","Damage increase"))</x:f>
        <x:v>Damage increase</x:v>
      </x:c>
    </x:row>
    <x:row r="428" ht="32" customHeight="1">
      <x:c r="A428" s="365" t="str">
        <x:v>K197</x:v>
      </x:c>
      <x:c r="B428" s="365" t="str">
        <x:v>-GAMERMAN-</x:v>
      </x:c>
      <x:c r="C428" s="365" t="str">
        <x:v>Cavalry</x:v>
      </x:c>
      <x:c r="D428" s="365" t="str">
        <x:v>Eternal knights</x:v>
      </x:c>
      <x:c r="E428" s="365" t="str">
        <x:v>Heavy Cavalry</x:v>
      </x:c>
      <x:c r="F428" s="365" t="n">
        <x:v>49</x:v>
      </x:c>
      <x:c r="G428" s="365" t="str">
        <x:v>Thunder trample</x:v>
      </x:c>
      <x:c r="H428" s="365" t="str">
        <x:v>Has a certain probability of causing trampling damage</x:v>
      </x:c>
      <x:c r="I428" s="365" t="str">
        <x:v>Unlocked</x:v>
      </x:c>
      <x:c r="J428" s="365" t="str">
        <x:v>01:53.00</x:v>
      </x:c>
      <x:c r="K428" s="365" t="str">
        <x:v>E028; Tier: T10; Visible: 01:52.70-01:53.30; High confidence.; Source frame: representative/E028_113.000.jpg</x:v>
      </x:c>
      <x:c r="L428" s="365" t="str">
        <x:v>1000025871.mp4</x:v>
      </x:c>
      <x:c r="M428" s="387" t="n">
        <x:f>IF(P428="OK",INDEX('Badge Lookup'!$B$6:$B$55,MATCH(F428,'Badge Lookup'!$A$6:$A$55,0)),0)</x:f>
        <x:v>1400000</x:v>
      </x:c>
      <x:c r="N428" s="387" t="n">
        <x:f>IF(P428="OK",INDEX('Badge Lookup'!$C$6:$C$55,MATCH(F428,'Badge Lookup'!$A$6:$A$55,0)),0)</x:f>
        <x:v>8334300</x:v>
      </x:c>
      <x:c r="O428" s="388" t="n">
        <x:f>IF(P428="OK",INDEX('Badge Lookup'!$D$6:$D$55,MATCH(F428,'Badge Lookup'!$A$6:$A$55,0)),0)</x:f>
        <x:v>55.2</x:v>
      </x:c>
      <x:c r="P428" s="362" t="str">
        <x:f>IF(OR(G428="",F428=""),"Not scored",IF(AND(F428=INT(F428),F428&gt;=1,F428&lt;=50,COUNTIF('Badge Lookup'!$A$6:$A$55,F428)=1),"OK","Check lookup"))</x:f>
        <x:v>OK</x:v>
      </x:c>
      <x:c r="Q428" s="456" t="n">
        <x:f>IF(P428&lt;&gt;"OK","",IF(C428="Guards",-O428,O428))</x:f>
        <x:v>55.2</x:v>
      </x:c>
      <x:c r="R428" s="362" t="str">
        <x:f>IF(P428&lt;&gt;"OK","Not scored",IF(C428="Guards","Damage received reduction","Damage increase"))</x:f>
        <x:v>Damage increase</x:v>
      </x:c>
    </x:row>
    <x:row r="429" ht="32" customHeight="1">
      <x:c r="A429" s="365" t="str">
        <x:v>K197</x:v>
      </x:c>
      <x:c r="B429" s="365" t="str">
        <x:v>-GAMERMAN-</x:v>
      </x:c>
      <x:c r="C429" s="365" t="str">
        <x:v>Archers</x:v>
      </x:c>
      <x:c r="D429" s="365" t="str">
        <x:v>Elite bowmen</x:v>
      </x:c>
      <x:c r="E429" s="365" t="str">
        <x:v>Archer</x:v>
      </x:c>
      <x:c r="F429" s="365" t="n">
        <x:v>48</x:v>
      </x:c>
      <x:c r="G429" s="365" t="str">
        <x:v>Frost Arrow</x:v>
      </x:c>
      <x:c r="H429" s="365" t="str">
        <x:v>Has a higher probability of activating ice damage</x:v>
      </x:c>
      <x:c r="I429" s="365" t="str">
        <x:v>Unlocked</x:v>
      </x:c>
      <x:c r="J429" s="365" t="str">
        <x:v>01:54.00</x:v>
      </x:c>
      <x:c r="K429" s="365" t="str">
        <x:v>E029; Tier: T10; Visible: 01:53.80-01:54.25; High confidence.; Source frame: representative/E029_114.000.jpg</x:v>
      </x:c>
      <x:c r="L429" s="365" t="str">
        <x:v>1000025871.mp4</x:v>
      </x:c>
      <x:c r="M429" s="387" t="n">
        <x:f>IF(P429="OK",INDEX('Badge Lookup'!$B$6:$B$55,MATCH(F429,'Badge Lookup'!$A$6:$A$55,0)),0)</x:f>
        <x:v>1050000</x:v>
      </x:c>
      <x:c r="N429" s="387" t="n">
        <x:f>IF(P429="OK",INDEX('Badge Lookup'!$C$6:$C$55,MATCH(F429,'Badge Lookup'!$A$6:$A$55,0)),0)</x:f>
        <x:v>6934300</x:v>
      </x:c>
      <x:c r="O429" s="388" t="n">
        <x:f>IF(P429="OK",INDEX('Badge Lookup'!$D$6:$D$55,MATCH(F429,'Badge Lookup'!$A$6:$A$55,0)),0)</x:f>
        <x:v>51.74</x:v>
      </x:c>
      <x:c r="P429" s="362" t="str">
        <x:f>IF(OR(G429="",F429=""),"Not scored",IF(AND(F429=INT(F429),F429&gt;=1,F429&lt;=50,COUNTIF('Badge Lookup'!$A$6:$A$55,F429)=1),"OK","Check lookup"))</x:f>
        <x:v>OK</x:v>
      </x:c>
      <x:c r="Q429" s="456" t="n">
        <x:f>IF(P429&lt;&gt;"OK","",IF(C429="Guards",-O429,O429))</x:f>
        <x:v>51.74</x:v>
      </x:c>
      <x:c r="R429" s="362" t="str">
        <x:f>IF(P429&lt;&gt;"OK","Not scored",IF(C429="Guards","Damage received reduction","Damage increase"))</x:f>
        <x:v>Damage increase</x:v>
      </x:c>
    </x:row>
    <x:row r="430" ht="32" customHeight="1">
      <x:c r="A430" s="365" t="str">
        <x:v>K197</x:v>
      </x:c>
      <x:c r="B430" s="365" t="str">
        <x:v>-GAMERMAN-</x:v>
      </x:c>
      <x:c r="C430" s="365" t="str">
        <x:v>Siege</x:v>
      </x:c>
      <x:c r="D430" s="365" t="str">
        <x:v>Manglers</x:v>
      </x:c>
      <x:c r="E430" s="365" t="str">
        <x:v>Siege</x:v>
      </x:c>
      <x:c r="F430" s="365" t="n">
        <x:v>50</x:v>
      </x:c>
      <x:c r="G430" s="365" t="str">
        <x:v>Highly toxic</x:v>
      </x:c>
      <x:c r="H430" s="365" t="str">
        <x:v>Inflict continuous toxic damage</x:v>
      </x:c>
      <x:c r="I430" s="365" t="str">
        <x:v>Unlocked</x:v>
      </x:c>
      <x:c r="J430" s="365" t="str">
        <x:v>01:54.90</x:v>
      </x:c>
      <x:c r="K430" s="365" t="str">
        <x:v>E030; Tier: T10; Visible: 01:54.75-01:55.20; High confidence.; Source frame: representative/E030_114.900.jpg</x:v>
      </x:c>
      <x:c r="L430" s="365" t="str">
        <x:v>1000025871.mp4</x:v>
      </x:c>
      <x:c r="M430" s="387" t="n">
        <x:f>IF(P430="OK",INDEX('Badge Lookup'!$B$6:$B$55,MATCH(F430,'Badge Lookup'!$A$6:$A$55,0)),0)</x:f>
        <x:v>2000000</x:v>
      </x:c>
      <x:c r="N430" s="387" t="n">
        <x:f>IF(P430="OK",INDEX('Badge Lookup'!$C$6:$C$55,MATCH(F430,'Badge Lookup'!$A$6:$A$55,0)),0)</x:f>
        <x:v>10334300</x:v>
      </x:c>
      <x:c r="O430" s="388" t="n">
        <x:f>IF(P430="OK",INDEX('Badge Lookup'!$D$6:$D$55,MATCH(F430,'Badge Lookup'!$A$6:$A$55,0)),0)</x:f>
        <x:v>60</x:v>
      </x:c>
      <x:c r="P430" s="362" t="str">
        <x:f>IF(OR(G430="",F430=""),"Not scored",IF(AND(F430=INT(F430),F430&gt;=1,F430&lt;=50,COUNTIF('Badge Lookup'!$A$6:$A$55,F430)=1),"OK","Check lookup"))</x:f>
        <x:v>OK</x:v>
      </x:c>
      <x:c r="Q430" s="456" t="n">
        <x:f>IF(P430&lt;&gt;"OK","",IF(C430="Guards",-O430,O430))</x:f>
        <x:v>60</x:v>
      </x:c>
      <x:c r="R430" s="362" t="str">
        <x:f>IF(P430&lt;&gt;"OK","Not scored",IF(C430="Guards","Damage received reduction","Damage increase"))</x:f>
        <x:v>Damage increase</x:v>
      </x:c>
    </x:row>
    <x:row r="431" ht="32" customHeight="1">
      <x:c r="A431" s="365" t="str">
        <x:v>K197</x:v>
      </x:c>
      <x:c r="B431" s="365" t="str">
        <x:v>-GAMERMAN-</x:v>
      </x:c>
      <x:c r="C431" s="365" t="str">
        <x:v>Cavalry</x:v>
      </x:c>
      <x:c r="D431" s="365" t="str">
        <x:v>Storm cavalry</x:v>
      </x:c>
      <x:c r="E431" s="365" t="str">
        <x:v>Horse archer</x:v>
      </x:c>
      <x:c r="F431" s="365" t="n">
        <x:v>50</x:v>
      </x:c>
      <x:c r="G431" s="365" t="str">
        <x:v>Mounted Archery</x:v>
      </x:c>
      <x:c r="H431" s="365" t="str">
        <x:v>Has a certain probability of causing fly-shooting damage</x:v>
      </x:c>
      <x:c r="I431" s="365" t="str">
        <x:v>Unlocked</x:v>
      </x:c>
      <x:c r="J431" s="365" t="str">
        <x:v>01:56.00</x:v>
      </x:c>
      <x:c r="K431" s="365" t="str">
        <x:v>E031; Tier: T9; Visible: 01:55.75-01:56.30; High confidence.; Source frame: representative/E031_116.000.jpg</x:v>
      </x:c>
      <x:c r="L431" s="365" t="str">
        <x:v>1000025871.mp4</x:v>
      </x:c>
      <x:c r="M431" s="387" t="n">
        <x:f>IF(P431="OK",INDEX('Badge Lookup'!$B$6:$B$55,MATCH(F431,'Badge Lookup'!$A$6:$A$55,0)),0)</x:f>
        <x:v>2000000</x:v>
      </x:c>
      <x:c r="N431" s="387" t="n">
        <x:f>IF(P431="OK",INDEX('Badge Lookup'!$C$6:$C$55,MATCH(F431,'Badge Lookup'!$A$6:$A$55,0)),0)</x:f>
        <x:v>10334300</x:v>
      </x:c>
      <x:c r="O431" s="388" t="n">
        <x:f>IF(P431="OK",INDEX('Badge Lookup'!$D$6:$D$55,MATCH(F431,'Badge Lookup'!$A$6:$A$55,0)),0)</x:f>
        <x:v>60</x:v>
      </x:c>
      <x:c r="P431" s="362" t="str">
        <x:f>IF(OR(G431="",F431=""),"Not scored",IF(AND(F431=INT(F431),F431&gt;=1,F431&lt;=50,COUNTIF('Badge Lookup'!$A$6:$A$55,F431)=1),"OK","Check lookup"))</x:f>
        <x:v>OK</x:v>
      </x:c>
      <x:c r="Q431" s="456" t="n">
        <x:f>IF(P431&lt;&gt;"OK","",IF(C431="Guards",-O431,O431))</x:f>
        <x:v>60</x:v>
      </x:c>
      <x:c r="R431" s="362" t="str">
        <x:f>IF(P431&lt;&gt;"OK","Not scored",IF(C431="Guards","Damage received reduction","Damage increase"))</x:f>
        <x:v>Damage increase</x:v>
      </x:c>
    </x:row>
    <x:row r="432" ht="32" customHeight="1">
      <x:c r="A432" s="365" t="str">
        <x:v>K197</x:v>
      </x:c>
      <x:c r="B432" s="365" t="str">
        <x:v>ღbaby买买买ღ</x:v>
      </x:c>
      <x:c r="C432" s="365" t="str">
        <x:v>Cavalry</x:v>
      </x:c>
      <x:c r="D432" s="365" t="str">
        <x:v>Eternal knights</x:v>
      </x:c>
      <x:c r="E432" s="365" t="str">
        <x:v>Heavy Cavalry</x:v>
      </x:c>
      <x:c r="F432" s="365"/>
      <x:c r="G432" s="365"/>
      <x:c r="H432" s="365"/>
      <x:c r="I432" s="365"/>
      <x:c r="J432" s="365" t="str">
        <x:v>02:02.05</x:v>
      </x:c>
      <x:c r="K432" s="365" t="str">
        <x:v>E032; Tier: T10; Visible: 02:01.85-02:02.35; High confidence. The opened tooltip visibly showed the unit title and battle-description section only; no specialization level, skill, effect or status block was displayed, so those fields are null.; Source frame: representative/E032_122.050.jpg</x:v>
      </x:c>
      <x:c r="L432" s="365" t="str">
        <x:v>1000025871.mp4</x:v>
      </x:c>
      <x:c r="M432" s="387" t="n">
        <x:f>IF(P432="OK",INDEX('Badge Lookup'!$B$6:$B$55,MATCH(F432,'Badge Lookup'!$A$6:$A$55,0)),0)</x:f>
        <x:v>0</x:v>
      </x:c>
      <x:c r="N432" s="387" t="n">
        <x:f>IF(P432="OK",INDEX('Badge Lookup'!$C$6:$C$55,MATCH(F432,'Badge Lookup'!$A$6:$A$55,0)),0)</x:f>
        <x:v>0</x:v>
      </x:c>
      <x:c r="O432" s="388" t="n">
        <x:f>IF(P432="OK",INDEX('Badge Lookup'!$D$6:$D$55,MATCH(F432,'Badge Lookup'!$A$6:$A$55,0)),0)</x:f>
        <x:v>0</x:v>
      </x:c>
      <x:c r="P432" s="362" t="str">
        <x:f>IF(OR(G432="",F432=""),"Not scored",IF(AND(F432=INT(F432),F432&gt;=1,F432&lt;=50,COUNTIF('Badge Lookup'!$A$6:$A$55,F432)=1),"OK","Check lookup"))</x:f>
        <x:v>Not scored</x:v>
      </x:c>
      <x:c r="Q432" s="456" t="str">
        <x:f>IF(P432&lt;&gt;"OK","",IF(C432="Guards",-O432,O432))</x:f>
      </x:c>
      <x:c r="R432" s="362" t="str">
        <x:f>IF(P432&lt;&gt;"OK","Not scored",IF(C432="Guards","Damage received reduction","Damage increase"))</x:f>
        <x:v>Not scored</x:v>
      </x:c>
    </x:row>
    <x:row r="433" ht="32" customHeight="1">
      <x:c r="A433" s="365" t="str">
        <x:v>K197</x:v>
      </x:c>
      <x:c r="B433" s="365" t="str">
        <x:v>ღbaby买买买ღ</x:v>
      </x:c>
      <x:c r="C433" s="365" t="str">
        <x:v>Archers</x:v>
      </x:c>
      <x:c r="D433" s="365" t="str">
        <x:v>Elite bowmen</x:v>
      </x:c>
      <x:c r="E433" s="365" t="str">
        <x:v>Archer</x:v>
      </x:c>
      <x:c r="F433" s="365" t="n">
        <x:v>50</x:v>
      </x:c>
      <x:c r="G433" s="365" t="str">
        <x:v>Frost Arrow</x:v>
      </x:c>
      <x:c r="H433" s="365" t="str">
        <x:v>Has a higher probability of activating ice damage</x:v>
      </x:c>
      <x:c r="I433" s="365" t="str">
        <x:v>Unlocked</x:v>
      </x:c>
      <x:c r="J433" s="365" t="str">
        <x:v>02:03.00</x:v>
      </x:c>
      <x:c r="K433" s="365" t="str">
        <x:v>E033; Tier: T10; Visible: 02:02.75-02:03.20; High confidence.; Source frame: representative/E033_123.000.jpg</x:v>
      </x:c>
      <x:c r="L433" s="365" t="str">
        <x:v>1000025871.mp4</x:v>
      </x:c>
      <x:c r="M433" s="387" t="n">
        <x:f>IF(P433="OK",INDEX('Badge Lookup'!$B$6:$B$55,MATCH(F433,'Badge Lookup'!$A$6:$A$55,0)),0)</x:f>
        <x:v>2000000</x:v>
      </x:c>
      <x:c r="N433" s="387" t="n">
        <x:f>IF(P433="OK",INDEX('Badge Lookup'!$C$6:$C$55,MATCH(F433,'Badge Lookup'!$A$6:$A$55,0)),0)</x:f>
        <x:v>10334300</x:v>
      </x:c>
      <x:c r="O433" s="388" t="n">
        <x:f>IF(P433="OK",INDEX('Badge Lookup'!$D$6:$D$55,MATCH(F433,'Badge Lookup'!$A$6:$A$55,0)),0)</x:f>
        <x:v>60</x:v>
      </x:c>
      <x:c r="P433" s="362" t="str">
        <x:f>IF(OR(G433="",F433=""),"Not scored",IF(AND(F433=INT(F433),F433&gt;=1,F433&lt;=50,COUNTIF('Badge Lookup'!$A$6:$A$55,F433)=1),"OK","Check lookup"))</x:f>
        <x:v>OK</x:v>
      </x:c>
      <x:c r="Q433" s="456" t="n">
        <x:f>IF(P433&lt;&gt;"OK","",IF(C433="Guards",-O433,O433))</x:f>
        <x:v>60</x:v>
      </x:c>
      <x:c r="R433" s="362" t="str">
        <x:f>IF(P433&lt;&gt;"OK","Not scored",IF(C433="Guards","Damage received reduction","Damage increase"))</x:f>
        <x:v>Damage increase</x:v>
      </x:c>
    </x:row>
    <x:row r="434" ht="32" customHeight="1">
      <x:c r="A434" s="365" t="str">
        <x:v>K197</x:v>
      </x:c>
      <x:c r="B434" s="365" t="str">
        <x:v>Viking</x:v>
      </x:c>
      <x:c r="C434" s="365" t="str">
        <x:v>Archers</x:v>
      </x:c>
      <x:c r="D434" s="365" t="str">
        <x:v>Elite bowmen</x:v>
      </x:c>
      <x:c r="E434" s="365" t="str">
        <x:v>Archer</x:v>
      </x:c>
      <x:c r="F434" s="365" t="n">
        <x:v>50</x:v>
      </x:c>
      <x:c r="G434" s="365" t="str">
        <x:v>Frost Arrow</x:v>
      </x:c>
      <x:c r="H434" s="365" t="str">
        <x:v>Has a higher probability of activating ice damage</x:v>
      </x:c>
      <x:c r="I434" s="365" t="str">
        <x:v>Unlocked</x:v>
      </x:c>
      <x:c r="J434" s="365" t="str">
        <x:v>02:11.45</x:v>
      </x:c>
      <x:c r="K434" s="365" t="str">
        <x:v>E035; Tier: T10; Visible: 02:11.20-02:11.70; High confidence.; Source frame: representative/E035_131.450.jpg</x:v>
      </x:c>
      <x:c r="L434" s="365" t="str">
        <x:v>1000025871.mp4</x:v>
      </x:c>
      <x:c r="M434" s="387" t="n">
        <x:f>IF(P434="OK",INDEX('Badge Lookup'!$B$6:$B$55,MATCH(F434,'Badge Lookup'!$A$6:$A$55,0)),0)</x:f>
        <x:v>2000000</x:v>
      </x:c>
      <x:c r="N434" s="387" t="n">
        <x:f>IF(P434="OK",INDEX('Badge Lookup'!$C$6:$C$55,MATCH(F434,'Badge Lookup'!$A$6:$A$55,0)),0)</x:f>
        <x:v>10334300</x:v>
      </x:c>
      <x:c r="O434" s="388" t="n">
        <x:f>IF(P434="OK",INDEX('Badge Lookup'!$D$6:$D$55,MATCH(F434,'Badge Lookup'!$A$6:$A$55,0)),0)</x:f>
        <x:v>60</x:v>
      </x:c>
      <x:c r="P434" s="362" t="str">
        <x:f>IF(OR(G434="",F434=""),"Not scored",IF(AND(F434=INT(F434),F434&gt;=1,F434&lt;=50,COUNTIF('Badge Lookup'!$A$6:$A$55,F434)=1),"OK","Check lookup"))</x:f>
        <x:v>OK</x:v>
      </x:c>
      <x:c r="Q434" s="456" t="n">
        <x:f>IF(P434&lt;&gt;"OK","",IF(C434="Guards",-O434,O434))</x:f>
        <x:v>60</x:v>
      </x:c>
      <x:c r="R434" s="362" t="str">
        <x:f>IF(P434&lt;&gt;"OK","Not scored",IF(C434="Guards","Damage received reduction","Damage increase"))</x:f>
        <x:v>Damage increase</x:v>
      </x:c>
    </x:row>
    <x:row r="435" ht="32" customHeight="1">
      <x:c r="A435" s="365" t="str">
        <x:v>K197</x:v>
      </x:c>
      <x:c r="B435" s="365" t="str">
        <x:v>ღ买买买babyღ</x:v>
      </x:c>
      <x:c r="C435" s="365" t="str">
        <x:v>Guards</x:v>
      </x:c>
      <x:c r="D435" s="365" t="str">
        <x:v>Destroyers</x:v>
      </x:c>
      <x:c r="E435" s="365" t="str">
        <x:v>Guard</x:v>
      </x:c>
      <x:c r="F435" s="365" t="n">
        <x:v>30</x:v>
      </x:c>
      <x:c r="G435" s="365" t="str">
        <x:v>Parry</x:v>
      </x:c>
      <x:c r="H435" s="365" t="str">
        <x:v>Provides a parry effect and a certain probability to increase damage</x:v>
      </x:c>
      <x:c r="I435" s="365" t="str">
        <x:v>Unlocked</x:v>
      </x:c>
      <x:c r="J435" s="365" t="str">
        <x:v>02:20.55</x:v>
      </x:c>
      <x:c r="K435" s="365" t="str">
        <x:v>E037; Tier: T10; Visible: 02:20.30-02:20.85; High confidence.; Source frame: representative/E037_140.550.jpg</x:v>
      </x:c>
      <x:c r="L435" s="365" t="str">
        <x:v>1000025871.mp4</x:v>
      </x:c>
      <x:c r="M435" s="387" t="n">
        <x:f>IF(P435="OK",INDEX('Badge Lookup'!$B$6:$B$55,MATCH(F435,'Badge Lookup'!$A$6:$A$55,0)),0)</x:f>
        <x:v>80000</x:v>
      </x:c>
      <x:c r="N435" s="387" t="n">
        <x:f>IF(P435="OK",INDEX('Badge Lookup'!$C$6:$C$55,MATCH(F435,'Badge Lookup'!$A$6:$A$55,0)),0)</x:f>
        <x:v>774300</x:v>
      </x:c>
      <x:c r="O435" s="388" t="n">
        <x:f>IF(P435="OK",INDEX('Badge Lookup'!$D$6:$D$55,MATCH(F435,'Badge Lookup'!$A$6:$A$55,0)),0)</x:f>
        <x:v>10.82</x:v>
      </x:c>
      <x:c r="P435" s="362" t="str">
        <x:f>IF(OR(G435="",F435=""),"Not scored",IF(AND(F435=INT(F435),F435&gt;=1,F435&lt;=50,COUNTIF('Badge Lookup'!$A$6:$A$55,F435)=1),"OK","Check lookup"))</x:f>
        <x:v>OK</x:v>
      </x:c>
      <x:c r="Q435" s="456" t="n">
        <x:f>IF(P435&lt;&gt;"OK","",IF(C435="Guards",-O435,O435))</x:f>
        <x:v>-10.82</x:v>
      </x:c>
      <x:c r="R435" s="362" t="str">
        <x:f>IF(P435&lt;&gt;"OK","Not scored",IF(C435="Guards","Damage received reduction","Damage increase"))</x:f>
        <x:v>Damage received reduction</x:v>
      </x:c>
    </x:row>
    <x:row r="436" ht="32" customHeight="1">
      <x:c r="A436" s="365" t="str">
        <x:v>K197</x:v>
      </x:c>
      <x:c r="B436" s="365" t="str">
        <x:v>ღ买买买babyღ</x:v>
      </x:c>
      <x:c r="C436" s="365" t="str">
        <x:v>Archers</x:v>
      </x:c>
      <x:c r="D436" s="365" t="str">
        <x:v>Elite bowmen</x:v>
      </x:c>
      <x:c r="E436" s="365" t="str">
        <x:v>Archer</x:v>
      </x:c>
      <x:c r="F436" s="365" t="n">
        <x:v>50</x:v>
      </x:c>
      <x:c r="G436" s="365" t="str">
        <x:v>Frost Arrow</x:v>
      </x:c>
      <x:c r="H436" s="365" t="str">
        <x:v>Has a higher probability of activating ice damage</x:v>
      </x:c>
      <x:c r="I436" s="365" t="str">
        <x:v>Unlocked</x:v>
      </x:c>
      <x:c r="J436" s="365" t="str">
        <x:v>02:21.45</x:v>
      </x:c>
      <x:c r="K436" s="365" t="str">
        <x:v>E038; Tier: T10; Visible: 02:21.25-02:21.65; High confidence.; Source frame: representative/E038_141.450.jpg</x:v>
      </x:c>
      <x:c r="L436" s="365" t="str">
        <x:v>1000025871.mp4</x:v>
      </x:c>
      <x:c r="M436" s="387" t="n">
        <x:f>IF(P436="OK",INDEX('Badge Lookup'!$B$6:$B$55,MATCH(F436,'Badge Lookup'!$A$6:$A$55,0)),0)</x:f>
        <x:v>2000000</x:v>
      </x:c>
      <x:c r="N436" s="387" t="n">
        <x:f>IF(P436="OK",INDEX('Badge Lookup'!$C$6:$C$55,MATCH(F436,'Badge Lookup'!$A$6:$A$55,0)),0)</x:f>
        <x:v>10334300</x:v>
      </x:c>
      <x:c r="O436" s="388" t="n">
        <x:f>IF(P436="OK",INDEX('Badge Lookup'!$D$6:$D$55,MATCH(F436,'Badge Lookup'!$A$6:$A$55,0)),0)</x:f>
        <x:v>60</x:v>
      </x:c>
      <x:c r="P436" s="362" t="str">
        <x:f>IF(OR(G436="",F436=""),"Not scored",IF(AND(F436=INT(F436),F436&gt;=1,F436&lt;=50,COUNTIF('Badge Lookup'!$A$6:$A$55,F436)=1),"OK","Check lookup"))</x:f>
        <x:v>OK</x:v>
      </x:c>
      <x:c r="Q436" s="456" t="n">
        <x:f>IF(P436&lt;&gt;"OK","",IF(C436="Guards",-O436,O436))</x:f>
        <x:v>60</x:v>
      </x:c>
      <x:c r="R436" s="362" t="str">
        <x:f>IF(P436&lt;&gt;"OK","Not scored",IF(C436="Guards","Damage received reduction","Damage increase"))</x:f>
        <x:v>Damage increase</x:v>
      </x:c>
    </x:row>
    <x:row r="437" ht="32" customHeight="1">
      <x:c r="A437" s="365" t="str">
        <x:v>K197</x:v>
      </x:c>
      <x:c r="B437" s="365" t="str">
        <x:v>优乐美</x:v>
      </x:c>
      <x:c r="C437" s="365" t="str">
        <x:v>Cavalry</x:v>
      </x:c>
      <x:c r="D437" s="365" t="str">
        <x:v>Eternal knights</x:v>
      </x:c>
      <x:c r="E437" s="365" t="str">
        <x:v>Heavy Cavalry</x:v>
      </x:c>
      <x:c r="F437" s="365" t="n">
        <x:v>50</x:v>
      </x:c>
      <x:c r="G437" s="365" t="str">
        <x:v>Thunder trample</x:v>
      </x:c>
      <x:c r="H437" s="365" t="str">
        <x:v>Has a certain probability of causing trampling damage</x:v>
      </x:c>
      <x:c r="I437" s="365" t="str">
        <x:v>Unlocked</x:v>
      </x:c>
      <x:c r="J437" s="365" t="str">
        <x:v>02:28.85</x:v>
      </x:c>
      <x:c r="K437" s="365" t="str">
        <x:v>E039; Tier: T10; Visible: 02:28.70-02:29.10; High confidence.; Source frame: representative/E039_148.850.jpg</x:v>
      </x:c>
      <x:c r="L437" s="365" t="str">
        <x:v>1000025871.mp4</x:v>
      </x:c>
      <x:c r="M437" s="387" t="n">
        <x:f>IF(P437="OK",INDEX('Badge Lookup'!$B$6:$B$55,MATCH(F437,'Badge Lookup'!$A$6:$A$55,0)),0)</x:f>
        <x:v>2000000</x:v>
      </x:c>
      <x:c r="N437" s="387" t="n">
        <x:f>IF(P437="OK",INDEX('Badge Lookup'!$C$6:$C$55,MATCH(F437,'Badge Lookup'!$A$6:$A$55,0)),0)</x:f>
        <x:v>10334300</x:v>
      </x:c>
      <x:c r="O437" s="388" t="n">
        <x:f>IF(P437="OK",INDEX('Badge Lookup'!$D$6:$D$55,MATCH(F437,'Badge Lookup'!$A$6:$A$55,0)),0)</x:f>
        <x:v>60</x:v>
      </x:c>
      <x:c r="P437" s="362" t="str">
        <x:f>IF(OR(G437="",F437=""),"Not scored",IF(AND(F437=INT(F437),F437&gt;=1,F437&lt;=50,COUNTIF('Badge Lookup'!$A$6:$A$55,F437)=1),"OK","Check lookup"))</x:f>
        <x:v>OK</x:v>
      </x:c>
      <x:c r="Q437" s="456" t="n">
        <x:f>IF(P437&lt;&gt;"OK","",IF(C437="Guards",-O437,O437))</x:f>
        <x:v>60</x:v>
      </x:c>
      <x:c r="R437" s="362" t="str">
        <x:f>IF(P437&lt;&gt;"OK","Not scored",IF(C437="Guards","Damage received reduction","Damage increase"))</x:f>
        <x:v>Damage increase</x:v>
      </x:c>
    </x:row>
    <x:row r="438" ht="32" customHeight="1">
      <x:c r="A438" s="365" t="str">
        <x:v>K197</x:v>
      </x:c>
      <x:c r="B438" s="365" t="str">
        <x:v>Mira</x:v>
      </x:c>
      <x:c r="C438" s="365" t="str">
        <x:v>Guards</x:v>
      </x:c>
      <x:c r="D438" s="365" t="str">
        <x:v>Destroyers</x:v>
      </x:c>
      <x:c r="E438" s="365" t="str">
        <x:v>Guard</x:v>
      </x:c>
      <x:c r="F438" s="365" t="n">
        <x:v>25</x:v>
      </x:c>
      <x:c r="G438" s="365" t="str">
        <x:v>Parry</x:v>
      </x:c>
      <x:c r="H438" s="365" t="str">
        <x:v>Provides a parry effect and a certain probability to increase damage</x:v>
      </x:c>
      <x:c r="I438" s="365" t="str">
        <x:v>Unlocked</x:v>
      </x:c>
      <x:c r="J438" s="365" t="str">
        <x:v>02:38.30</x:v>
      </x:c>
      <x:c r="K438" s="365" t="str">
        <x:v>E040; Tier: T10; Visible: 02:38.10-02:38.50; High confidence.; Source frame: representative/E040_158.300.jpg</x:v>
      </x:c>
      <x:c r="L438" s="365" t="str">
        <x:v>1000025871.mp4</x:v>
      </x:c>
      <x:c r="M438" s="387" t="n">
        <x:f>IF(P438="OK",INDEX('Badge Lookup'!$B$6:$B$55,MATCH(F438,'Badge Lookup'!$A$6:$A$55,0)),0)</x:f>
        <x:v>55000</x:v>
      </x:c>
      <x:c r="N438" s="387" t="n">
        <x:f>IF(P438="OK",INDEX('Badge Lookup'!$C$6:$C$55,MATCH(F438,'Badge Lookup'!$A$6:$A$55,0)),0)</x:f>
        <x:v>424300</x:v>
      </x:c>
      <x:c r="O438" s="388" t="n">
        <x:f>IF(P438="OK",INDEX('Badge Lookup'!$D$6:$D$55,MATCH(F438,'Badge Lookup'!$A$6:$A$55,0)),0)</x:f>
        <x:v>6.11</x:v>
      </x:c>
      <x:c r="P438" s="362" t="str">
        <x:f>IF(OR(G438="",F438=""),"Not scored",IF(AND(F438=INT(F438),F438&gt;=1,F438&lt;=50,COUNTIF('Badge Lookup'!$A$6:$A$55,F438)=1),"OK","Check lookup"))</x:f>
        <x:v>OK</x:v>
      </x:c>
      <x:c r="Q438" s="456" t="n">
        <x:f>IF(P438&lt;&gt;"OK","",IF(C438="Guards",-O438,O438))</x:f>
        <x:v>-6.11</x:v>
      </x:c>
      <x:c r="R438" s="362" t="str">
        <x:f>IF(P438&lt;&gt;"OK","Not scored",IF(C438="Guards","Damage received reduction","Damage increase"))</x:f>
        <x:v>Damage received reduction</x:v>
      </x:c>
    </x:row>
    <x:row r="439" ht="32" customHeight="1">
      <x:c r="A439" s="365" t="str">
        <x:v>K197</x:v>
      </x:c>
      <x:c r="B439" s="365" t="str">
        <x:v>Mira</x:v>
      </x:c>
      <x:c r="C439" s="365" t="str">
        <x:v>Archers</x:v>
      </x:c>
      <x:c r="D439" s="365" t="str">
        <x:v>Elite bowmen</x:v>
      </x:c>
      <x:c r="E439" s="365" t="str">
        <x:v>Archer</x:v>
      </x:c>
      <x:c r="F439" s="365" t="n">
        <x:v>49</x:v>
      </x:c>
      <x:c r="G439" s="365" t="str">
        <x:v>Frost Arrow</x:v>
      </x:c>
      <x:c r="H439" s="365" t="str">
        <x:v>Has a higher probability of activating ice damage</x:v>
      </x:c>
      <x:c r="I439" s="365" t="str">
        <x:v>Unlocked</x:v>
      </x:c>
      <x:c r="J439" s="365" t="str">
        <x:v>02:40.05</x:v>
      </x:c>
      <x:c r="K439" s="365" t="str">
        <x:v>E041; Tier: T10; Visible: 02:39.80-02:40.30; High confidence.; Source frame: representative/E041_160.050.jpg</x:v>
      </x:c>
      <x:c r="L439" s="365" t="str">
        <x:v>1000025871.mp4</x:v>
      </x:c>
      <x:c r="M439" s="387" t="n">
        <x:f>IF(P439="OK",INDEX('Badge Lookup'!$B$6:$B$55,MATCH(F439,'Badge Lookup'!$A$6:$A$55,0)),0)</x:f>
        <x:v>1400000</x:v>
      </x:c>
      <x:c r="N439" s="387" t="n">
        <x:f>IF(P439="OK",INDEX('Badge Lookup'!$C$6:$C$55,MATCH(F439,'Badge Lookup'!$A$6:$A$55,0)),0)</x:f>
        <x:v>8334300</x:v>
      </x:c>
      <x:c r="O439" s="388" t="n">
        <x:f>IF(P439="OK",INDEX('Badge Lookup'!$D$6:$D$55,MATCH(F439,'Badge Lookup'!$A$6:$A$55,0)),0)</x:f>
        <x:v>55.2</x:v>
      </x:c>
      <x:c r="P439" s="362" t="str">
        <x:f>IF(OR(G439="",F439=""),"Not scored",IF(AND(F439=INT(F439),F439&gt;=1,F439&lt;=50,COUNTIF('Badge Lookup'!$A$6:$A$55,F439)=1),"OK","Check lookup"))</x:f>
        <x:v>OK</x:v>
      </x:c>
      <x:c r="Q439" s="456" t="n">
        <x:f>IF(P439&lt;&gt;"OK","",IF(C439="Guards",-O439,O439))</x:f>
        <x:v>55.2</x:v>
      </x:c>
      <x:c r="R439" s="362" t="str">
        <x:f>IF(P439&lt;&gt;"OK","Not scored",IF(C439="Guards","Damage received reduction","Damage increase"))</x:f>
        <x:v>Damage increase</x:v>
      </x:c>
    </x:row>
    <x:row r="440" ht="32" customHeight="1">
      <x:c r="A440" s="365" t="str">
        <x:v>K176</x:v>
      </x:c>
      <x:c r="B440" s="365" t="str">
        <x:v>苟拓通天肆意妄为</x:v>
      </x:c>
      <x:c r="C440" s="365" t="str">
        <x:v>Guards</x:v>
      </x:c>
      <x:c r="D440" s="365" t="str">
        <x:v>Destroyers</x:v>
      </x:c>
      <x:c r="E440" s="365" t="str">
        <x:v>Guard</x:v>
      </x:c>
      <x:c r="F440" s="365" t="n">
        <x:v>50</x:v>
      </x:c>
      <x:c r="G440" s="365" t="str">
        <x:v>Parry</x:v>
      </x:c>
      <x:c r="H440" s="365" t="str">
        <x:v>Provides a parry effect and a certain probability to increase damage</x:v>
      </x:c>
      <x:c r="I440" s="365" t="str">
        <x:v>Unlocked</x:v>
      </x:c>
      <x:c r="J440" s="365" t="str">
        <x:v>00:02.50</x:v>
      </x:c>
      <x:c r="K440" s="365" t="str">
        <x:v>E001; Tier: T10; Directly visible tooltip; representative frame sampled at 0.5-second resolution.; Source frame: frames05s/h_0005.jpg</x:v>
      </x:c>
      <x:c r="L440" s="365" t="str">
        <x:v>1000025872.mp4</x:v>
      </x:c>
      <x:c r="M440" s="387" t="n">
        <x:f>IF(P440="OK",INDEX('Badge Lookup'!$B$6:$B$55,MATCH(F440,'Badge Lookup'!$A$6:$A$55,0)),0)</x:f>
        <x:v>2000000</x:v>
      </x:c>
      <x:c r="N440" s="387" t="n">
        <x:f>IF(P440="OK",INDEX('Badge Lookup'!$C$6:$C$55,MATCH(F440,'Badge Lookup'!$A$6:$A$55,0)),0)</x:f>
        <x:v>10334300</x:v>
      </x:c>
      <x:c r="O440" s="388" t="n">
        <x:f>IF(P440="OK",INDEX('Badge Lookup'!$D$6:$D$55,MATCH(F440,'Badge Lookup'!$A$6:$A$55,0)),0)</x:f>
        <x:v>60</x:v>
      </x:c>
      <x:c r="P440" s="362" t="str">
        <x:f>IF(OR(G440="",F440=""),"Not scored",IF(AND(F440=INT(F440),F440&gt;=1,F440&lt;=50,COUNTIF('Badge Lookup'!$A$6:$A$55,F440)=1),"OK","Check lookup"))</x:f>
        <x:v>OK</x:v>
      </x:c>
      <x:c r="Q440" s="456" t="n">
        <x:f>IF(P440&lt;&gt;"OK","",IF(C440="Guards",-O440,O440))</x:f>
        <x:v>-60</x:v>
      </x:c>
      <x:c r="R440" s="362" t="str">
        <x:f>IF(P440&lt;&gt;"OK","Not scored",IF(C440="Guards","Damage received reduction","Damage increase"))</x:f>
        <x:v>Damage received reduction</x:v>
      </x:c>
    </x:row>
    <x:row r="441" ht="32" customHeight="1">
      <x:c r="A441" s="365" t="str">
        <x:v>K176</x:v>
      </x:c>
      <x:c r="B441" s="365" t="str">
        <x:v>苟拓通天肆意妄为</x:v>
      </x:c>
      <x:c r="C441" s="365" t="str">
        <x:v>Cavalry</x:v>
      </x:c>
      <x:c r="D441" s="365" t="str">
        <x:v>Eternal knights</x:v>
      </x:c>
      <x:c r="E441" s="365" t="str">
        <x:v>Heavy Cavalry</x:v>
      </x:c>
      <x:c r="F441" s="365" t="n">
        <x:v>48</x:v>
      </x:c>
      <x:c r="G441" s="365" t="str">
        <x:v>Thunder trample</x:v>
      </x:c>
      <x:c r="H441" s="365" t="str">
        <x:v>Has a certain probability of causing trampling damage</x:v>
      </x:c>
      <x:c r="I441" s="365" t="str">
        <x:v>Unlocked</x:v>
      </x:c>
      <x:c r="J441" s="365" t="str">
        <x:v>00:04.50</x:v>
      </x:c>
      <x:c r="K441" s="365" t="str">
        <x:v>E002; Tier: T10; Directly visible tooltip; representative frame sampled at 0.5-second resolution.; Source frame: frames05s/h_0009.jpg</x:v>
      </x:c>
      <x:c r="L441" s="365" t="str">
        <x:v>1000025872.mp4</x:v>
      </x:c>
      <x:c r="M441" s="387" t="n">
        <x:f>IF(P441="OK",INDEX('Badge Lookup'!$B$6:$B$55,MATCH(F441,'Badge Lookup'!$A$6:$A$55,0)),0)</x:f>
        <x:v>1050000</x:v>
      </x:c>
      <x:c r="N441" s="387" t="n">
        <x:f>IF(P441="OK",INDEX('Badge Lookup'!$C$6:$C$55,MATCH(F441,'Badge Lookup'!$A$6:$A$55,0)),0)</x:f>
        <x:v>6934300</x:v>
      </x:c>
      <x:c r="O441" s="388" t="n">
        <x:f>IF(P441="OK",INDEX('Badge Lookup'!$D$6:$D$55,MATCH(F441,'Badge Lookup'!$A$6:$A$55,0)),0)</x:f>
        <x:v>51.74</x:v>
      </x:c>
      <x:c r="P441" s="362" t="str">
        <x:f>IF(OR(G441="",F441=""),"Not scored",IF(AND(F441=INT(F441),F441&gt;=1,F441&lt;=50,COUNTIF('Badge Lookup'!$A$6:$A$55,F441)=1),"OK","Check lookup"))</x:f>
        <x:v>OK</x:v>
      </x:c>
      <x:c r="Q441" s="456" t="n">
        <x:f>IF(P441&lt;&gt;"OK","",IF(C441="Guards",-O441,O441))</x:f>
        <x:v>51.74</x:v>
      </x:c>
      <x:c r="R441" s="362" t="str">
        <x:f>IF(P441&lt;&gt;"OK","Not scored",IF(C441="Guards","Damage received reduction","Damage increase"))</x:f>
        <x:v>Damage increase</x:v>
      </x:c>
    </x:row>
    <x:row r="442" ht="32" customHeight="1">
      <x:c r="A442" s="365" t="str">
        <x:v>K176</x:v>
      </x:c>
      <x:c r="B442" s="365" t="str">
        <x:v>苟拓通天肆意妄为</x:v>
      </x:c>
      <x:c r="C442" s="365" t="str">
        <x:v>Archers</x:v>
      </x:c>
      <x:c r="D442" s="365" t="str">
        <x:v>Elite bowmen</x:v>
      </x:c>
      <x:c r="E442" s="365" t="str">
        <x:v>Archer</x:v>
      </x:c>
      <x:c r="F442" s="365" t="n">
        <x:v>48</x:v>
      </x:c>
      <x:c r="G442" s="365" t="str">
        <x:v>Frost Arrow</x:v>
      </x:c>
      <x:c r="H442" s="365" t="str">
        <x:v>Has a higher probability of activating ice damage</x:v>
      </x:c>
      <x:c r="I442" s="365" t="str">
        <x:v>Unlocked</x:v>
      </x:c>
      <x:c r="J442" s="365" t="str">
        <x:v>00:06.50</x:v>
      </x:c>
      <x:c r="K442" s="365" t="str">
        <x:v>E003; Tier: T10; Directly visible tooltip; representative frame sampled at 0.5-second resolution.; Source frame: frames05s/h_0013.jpg</x:v>
      </x:c>
      <x:c r="L442" s="365" t="str">
        <x:v>1000025872.mp4</x:v>
      </x:c>
      <x:c r="M442" s="387" t="n">
        <x:f>IF(P442="OK",INDEX('Badge Lookup'!$B$6:$B$55,MATCH(F442,'Badge Lookup'!$A$6:$A$55,0)),0)</x:f>
        <x:v>1050000</x:v>
      </x:c>
      <x:c r="N442" s="387" t="n">
        <x:f>IF(P442="OK",INDEX('Badge Lookup'!$C$6:$C$55,MATCH(F442,'Badge Lookup'!$A$6:$A$55,0)),0)</x:f>
        <x:v>6934300</x:v>
      </x:c>
      <x:c r="O442" s="388" t="n">
        <x:f>IF(P442="OK",INDEX('Badge Lookup'!$D$6:$D$55,MATCH(F442,'Badge Lookup'!$A$6:$A$55,0)),0)</x:f>
        <x:v>51.74</x:v>
      </x:c>
      <x:c r="P442" s="362" t="str">
        <x:f>IF(OR(G442="",F442=""),"Not scored",IF(AND(F442=INT(F442),F442&gt;=1,F442&lt;=50,COUNTIF('Badge Lookup'!$A$6:$A$55,F442)=1),"OK","Check lookup"))</x:f>
        <x:v>OK</x:v>
      </x:c>
      <x:c r="Q442" s="456" t="n">
        <x:f>IF(P442&lt;&gt;"OK","",IF(C442="Guards",-O442,O442))</x:f>
        <x:v>51.74</x:v>
      </x:c>
      <x:c r="R442" s="362" t="str">
        <x:f>IF(P442&lt;&gt;"OK","Not scored",IF(C442="Guards","Damage received reduction","Damage increase"))</x:f>
        <x:v>Damage increase</x:v>
      </x:c>
    </x:row>
    <x:row r="443" ht="32" customHeight="1">
      <x:c r="A443" s="365" t="str">
        <x:v>K176</x:v>
      </x:c>
      <x:c r="B443" s="365" t="str">
        <x:v>苟拓通天肆意妄为</x:v>
      </x:c>
      <x:c r="C443" s="365" t="str">
        <x:v>Cavalry</x:v>
      </x:c>
      <x:c r="D443" s="365" t="str">
        <x:v>Storm cavalry</x:v>
      </x:c>
      <x:c r="E443" s="365" t="str">
        <x:v>Horse archer</x:v>
      </x:c>
      <x:c r="F443" s="365" t="n">
        <x:v>48</x:v>
      </x:c>
      <x:c r="G443" s="365" t="str">
        <x:v>Mounted Archery</x:v>
      </x:c>
      <x:c r="H443" s="365" t="str">
        <x:v>Has a certain probability of causing fly-shooting damage</x:v>
      </x:c>
      <x:c r="I443" s="365" t="str">
        <x:v>Unlocked</x:v>
      </x:c>
      <x:c r="J443" s="365" t="str">
        <x:v>00:08.50</x:v>
      </x:c>
      <x:c r="K443" s="365" t="str">
        <x:v>E004; Tier: T9; Directly visible tooltip; representative frame sampled at 0.5-second resolution.; Source frame: frames05s/h_0017.jpg</x:v>
      </x:c>
      <x:c r="L443" s="365" t="str">
        <x:v>1000025872.mp4</x:v>
      </x:c>
      <x:c r="M443" s="387" t="n">
        <x:f>IF(P443="OK",INDEX('Badge Lookup'!$B$6:$B$55,MATCH(F443,'Badge Lookup'!$A$6:$A$55,0)),0)</x:f>
        <x:v>1050000</x:v>
      </x:c>
      <x:c r="N443" s="387" t="n">
        <x:f>IF(P443="OK",INDEX('Badge Lookup'!$C$6:$C$55,MATCH(F443,'Badge Lookup'!$A$6:$A$55,0)),0)</x:f>
        <x:v>6934300</x:v>
      </x:c>
      <x:c r="O443" s="388" t="n">
        <x:f>IF(P443="OK",INDEX('Badge Lookup'!$D$6:$D$55,MATCH(F443,'Badge Lookup'!$A$6:$A$55,0)),0)</x:f>
        <x:v>51.74</x:v>
      </x:c>
      <x:c r="P443" s="362" t="str">
        <x:f>IF(OR(G443="",F443=""),"Not scored",IF(AND(F443=INT(F443),F443&gt;=1,F443&lt;=50,COUNTIF('Badge Lookup'!$A$6:$A$55,F443)=1),"OK","Check lookup"))</x:f>
        <x:v>OK</x:v>
      </x:c>
      <x:c r="Q443" s="456" t="n">
        <x:f>IF(P443&lt;&gt;"OK","",IF(C443="Guards",-O443,O443))</x:f>
        <x:v>51.74</x:v>
      </x:c>
      <x:c r="R443" s="362" t="str">
        <x:f>IF(P443&lt;&gt;"OK","Not scored",IF(C443="Guards","Damage received reduction","Damage increase"))</x:f>
        <x:v>Damage increase</x:v>
      </x:c>
    </x:row>
    <x:row r="444" ht="32" customHeight="1">
      <x:c r="A444" s="365" t="str">
        <x:v>K176</x:v>
      </x:c>
      <x:c r="B444" s="365" t="str">
        <x:v>苟拓通天肆意妄为</x:v>
      </x:c>
      <x:c r="C444" s="365" t="str">
        <x:v>Siege</x:v>
      </x:c>
      <x:c r="D444" s="365" t="str">
        <x:v>Guardian siege</x:v>
      </x:c>
      <x:c r="E444" s="365" t="str">
        <x:v>Rams</x:v>
      </x:c>
      <x:c r="F444" s="365" t="n">
        <x:v>48</x:v>
      </x:c>
      <x:c r="G444" s="365" t="str">
        <x:v>Dragonhide</x:v>
      </x:c>
      <x:c r="H444" s="365" t="str">
        <x:v>Increase damage reduction and increase damage</x:v>
      </x:c>
      <x:c r="I444" s="365" t="str">
        <x:v>Unlocked</x:v>
      </x:c>
      <x:c r="J444" s="365" t="str">
        <x:v>00:09.00</x:v>
      </x:c>
      <x:c r="K444" s="365" t="str">
        <x:v>E005; Tier: T9; Directly visible tooltip; representative frame sampled at 0.5-second resolution. Adjacent same-player tooltip swap separately verified at 00:09.00.; Source frame: frames05s/h_0018.jpg</x:v>
      </x:c>
      <x:c r="L444" s="365" t="str">
        <x:v>1000025872.mp4</x:v>
      </x:c>
      <x:c r="M444" s="387" t="n">
        <x:f>IF(P444="OK",INDEX('Badge Lookup'!$B$6:$B$55,MATCH(F444,'Badge Lookup'!$A$6:$A$55,0)),0)</x:f>
        <x:v>1050000</x:v>
      </x:c>
      <x:c r="N444" s="387" t="n">
        <x:f>IF(P444="OK",INDEX('Badge Lookup'!$C$6:$C$55,MATCH(F444,'Badge Lookup'!$A$6:$A$55,0)),0)</x:f>
        <x:v>6934300</x:v>
      </x:c>
      <x:c r="O444" s="388" t="n">
        <x:f>IF(P444="OK",INDEX('Badge Lookup'!$D$6:$D$55,MATCH(F444,'Badge Lookup'!$A$6:$A$55,0)),0)</x:f>
        <x:v>51.74</x:v>
      </x:c>
      <x:c r="P444" s="362" t="str">
        <x:f>IF(OR(G444="",F444=""),"Not scored",IF(AND(F444=INT(F444),F444&gt;=1,F444&lt;=50,COUNTIF('Badge Lookup'!$A$6:$A$55,F444)=1),"OK","Check lookup"))</x:f>
        <x:v>OK</x:v>
      </x:c>
      <x:c r="Q444" s="456" t="n">
        <x:f>IF(P444&lt;&gt;"OK","",IF(C444="Guards",-O444,O444))</x:f>
        <x:v>51.74</x:v>
      </x:c>
      <x:c r="R444" s="362" t="str">
        <x:f>IF(P444&lt;&gt;"OK","Not scored",IF(C444="Guards","Damage received reduction","Damage increase"))</x:f>
        <x:v>Damage increase</x:v>
      </x:c>
    </x:row>
    <x:row r="445" ht="32" customHeight="1">
      <x:c r="A445" s="365" t="str">
        <x:v>K176</x:v>
      </x:c>
      <x:c r="B445" s="365" t="str">
        <x:v>Evildagger</x:v>
      </x:c>
      <x:c r="C445" s="365" t="str">
        <x:v>Cavalry</x:v>
      </x:c>
      <x:c r="D445" s="365" t="str">
        <x:v>Eternal knights</x:v>
      </x:c>
      <x:c r="E445" s="365" t="str">
        <x:v>Heavy Cavalry</x:v>
      </x:c>
      <x:c r="F445" s="365" t="n">
        <x:v>47</x:v>
      </x:c>
      <x:c r="G445" s="365" t="str">
        <x:v>Thunder trample</x:v>
      </x:c>
      <x:c r="H445" s="365" t="str">
        <x:v>Has a certain probability of causing trampling damage</x:v>
      </x:c>
      <x:c r="I445" s="365" t="str">
        <x:v>Unlocked</x:v>
      </x:c>
      <x:c r="J445" s="365" t="str">
        <x:v>00:17.50</x:v>
      </x:c>
      <x:c r="K445" s="365" t="str">
        <x:v>E006; Tier: T10; Directly visible tooltip; representative frame sampled at 0.5-second resolution.; Source frame: frames05s/h_0035.jpg</x:v>
      </x:c>
      <x:c r="L445" s="365" t="str">
        <x:v>1000025872.mp4</x:v>
      </x:c>
      <x:c r="M445" s="387" t="n">
        <x:f>IF(P445="OK",INDEX('Badge Lookup'!$B$6:$B$55,MATCH(F445,'Badge Lookup'!$A$6:$A$55,0)),0)</x:f>
        <x:v>880000</x:v>
      </x:c>
      <x:c r="N445" s="387" t="n">
        <x:f>IF(P445="OK",INDEX('Badge Lookup'!$C$6:$C$55,MATCH(F445,'Badge Lookup'!$A$6:$A$55,0)),0)</x:f>
        <x:v>5884300</x:v>
      </x:c>
      <x:c r="O445" s="388" t="n">
        <x:f>IF(P445="OK",INDEX('Badge Lookup'!$D$6:$D$55,MATCH(F445,'Badge Lookup'!$A$6:$A$55,0)),0)</x:f>
        <x:v>48.38</x:v>
      </x:c>
      <x:c r="P445" s="362" t="str">
        <x:f>IF(OR(G445="",F445=""),"Not scored",IF(AND(F445=INT(F445),F445&gt;=1,F445&lt;=50,COUNTIF('Badge Lookup'!$A$6:$A$55,F445)=1),"OK","Check lookup"))</x:f>
        <x:v>OK</x:v>
      </x:c>
      <x:c r="Q445" s="456" t="n">
        <x:f>IF(P445&lt;&gt;"OK","",IF(C445="Guards",-O445,O445))</x:f>
        <x:v>48.38</x:v>
      </x:c>
      <x:c r="R445" s="362" t="str">
        <x:f>IF(P445&lt;&gt;"OK","Not scored",IF(C445="Guards","Damage received reduction","Damage increase"))</x:f>
        <x:v>Damage increase</x:v>
      </x:c>
    </x:row>
    <x:row r="446" ht="32" customHeight="1">
      <x:c r="A446" s="365" t="str">
        <x:v>K176</x:v>
      </x:c>
      <x:c r="B446" s="365" t="str">
        <x:v>Evildagger</x:v>
      </x:c>
      <x:c r="C446" s="365" t="str">
        <x:v>Cavalry</x:v>
      </x:c>
      <x:c r="D446" s="365" t="str">
        <x:v>Storm cavalry</x:v>
      </x:c>
      <x:c r="E446" s="365" t="str">
        <x:v>Horse archer</x:v>
      </x:c>
      <x:c r="F446" s="365" t="n">
        <x:v>46</x:v>
      </x:c>
      <x:c r="G446" s="365" t="str">
        <x:v>Mounted Archery</x:v>
      </x:c>
      <x:c r="H446" s="365" t="str">
        <x:v>Has a certain probability of causing fly-shooting damage</x:v>
      </x:c>
      <x:c r="I446" s="365" t="str">
        <x:v>Unlocked</x:v>
      </x:c>
      <x:c r="J446" s="365" t="str">
        <x:v>00:18.50</x:v>
      </x:c>
      <x:c r="K446" s="365" t="str">
        <x:v>E007; Tier: T9; Directly visible tooltip; representative frame sampled at 0.5-second resolution.; Source frame: frames05s/h_0037.jpg</x:v>
      </x:c>
      <x:c r="L446" s="365" t="str">
        <x:v>1000025872.mp4</x:v>
      </x:c>
      <x:c r="M446" s="387" t="n">
        <x:f>IF(P446="OK",INDEX('Badge Lookup'!$B$6:$B$55,MATCH(F446,'Badge Lookup'!$A$6:$A$55,0)),0)</x:f>
        <x:v>720000</x:v>
      </x:c>
      <x:c r="N446" s="387" t="n">
        <x:f>IF(P446="OK",INDEX('Badge Lookup'!$C$6:$C$55,MATCH(F446,'Badge Lookup'!$A$6:$A$55,0)),0)</x:f>
        <x:v>5004300</x:v>
      </x:c>
      <x:c r="O446" s="388" t="n">
        <x:f>IF(P446="OK",INDEX('Badge Lookup'!$D$6:$D$55,MATCH(F446,'Badge Lookup'!$A$6:$A$55,0)),0)</x:f>
        <x:v>45.13</x:v>
      </x:c>
      <x:c r="P446" s="362" t="str">
        <x:f>IF(OR(G446="",F446=""),"Not scored",IF(AND(F446=INT(F446),F446&gt;=1,F446&lt;=50,COUNTIF('Badge Lookup'!$A$6:$A$55,F446)=1),"OK","Check lookup"))</x:f>
        <x:v>OK</x:v>
      </x:c>
      <x:c r="Q446" s="456" t="n">
        <x:f>IF(P446&lt;&gt;"OK","",IF(C446="Guards",-O446,O446))</x:f>
        <x:v>45.13</x:v>
      </x:c>
      <x:c r="R446" s="362" t="str">
        <x:f>IF(P446&lt;&gt;"OK","Not scored",IF(C446="Guards","Damage received reduction","Damage increase"))</x:f>
        <x:v>Damage increase</x:v>
      </x:c>
    </x:row>
    <x:row r="447" ht="32" customHeight="1">
      <x:c r="A447" s="365" t="str">
        <x:v>K176</x:v>
      </x:c>
      <x:c r="B447" s="365" t="str">
        <x:v>༺肥者先食༻</x:v>
      </x:c>
      <x:c r="C447" s="365" t="str">
        <x:v>Guards</x:v>
      </x:c>
      <x:c r="D447" s="365" t="str">
        <x:v>Destroyers</x:v>
      </x:c>
      <x:c r="E447" s="365" t="str">
        <x:v>Guard</x:v>
      </x:c>
      <x:c r="F447" s="365" t="n">
        <x:v>45</x:v>
      </x:c>
      <x:c r="G447" s="365" t="str">
        <x:v>Parry</x:v>
      </x:c>
      <x:c r="H447" s="365" t="str">
        <x:v>Provides a parry effect and a certain probability to increase damage</x:v>
      </x:c>
      <x:c r="I447" s="365" t="str">
        <x:v>Unlocked</x:v>
      </x:c>
      <x:c r="J447" s="365" t="str">
        <x:v>00:24.50</x:v>
      </x:c>
      <x:c r="K447" s="365" t="str">
        <x:v>E009; Tier: T10; Directly visible tooltip; representative frame sampled at 0.5-second resolution.; Source frame: frames05s/h_0049.jpg</x:v>
      </x:c>
      <x:c r="L447" s="365" t="str">
        <x:v>1000025872.mp4</x:v>
      </x:c>
      <x:c r="M447" s="387" t="n">
        <x:f>IF(P447="OK",INDEX('Badge Lookup'!$B$6:$B$55,MATCH(F447,'Badge Lookup'!$A$6:$A$55,0)),0)</x:f>
        <x:v>560000</x:v>
      </x:c>
      <x:c r="N447" s="387" t="n">
        <x:f>IF(P447="OK",INDEX('Badge Lookup'!$C$6:$C$55,MATCH(F447,'Badge Lookup'!$A$6:$A$55,0)),0)</x:f>
        <x:v>4284300</x:v>
      </x:c>
      <x:c r="O447" s="388" t="n">
        <x:f>IF(P447="OK",INDEX('Badge Lookup'!$D$6:$D$55,MATCH(F447,'Badge Lookup'!$A$6:$A$55,0)),0)</x:f>
        <x:v>41.98</x:v>
      </x:c>
      <x:c r="P447" s="362" t="str">
        <x:f>IF(OR(G447="",F447=""),"Not scored",IF(AND(F447=INT(F447),F447&gt;=1,F447&lt;=50,COUNTIF('Badge Lookup'!$A$6:$A$55,F447)=1),"OK","Check lookup"))</x:f>
        <x:v>OK</x:v>
      </x:c>
      <x:c r="Q447" s="456" t="n">
        <x:f>IF(P447&lt;&gt;"OK","",IF(C447="Guards",-O447,O447))</x:f>
        <x:v>-41.98</x:v>
      </x:c>
      <x:c r="R447" s="362" t="str">
        <x:f>IF(P447&lt;&gt;"OK","Not scored",IF(C447="Guards","Damage received reduction","Damage increase"))</x:f>
        <x:v>Damage received reduction</x:v>
      </x:c>
    </x:row>
    <x:row r="448" ht="32" customHeight="1">
      <x:c r="A448" s="365" t="str">
        <x:v>K176</x:v>
      </x:c>
      <x:c r="B448" s="365" t="str">
        <x:v>༺肥者先食༻</x:v>
      </x:c>
      <x:c r="C448" s="365" t="str">
        <x:v>Cavalry</x:v>
      </x:c>
      <x:c r="D448" s="365" t="str">
        <x:v>Eternal knights</x:v>
      </x:c>
      <x:c r="E448" s="365" t="str">
        <x:v>Heavy Cavalry</x:v>
      </x:c>
      <x:c r="F448" s="365" t="n">
        <x:v>42</x:v>
      </x:c>
      <x:c r="G448" s="365" t="str">
        <x:v>Thunder trample</x:v>
      </x:c>
      <x:c r="H448" s="365" t="str">
        <x:v>Has a certain probability of causing trampling damage</x:v>
      </x:c>
      <x:c r="I448" s="365" t="str">
        <x:v>Unlocked</x:v>
      </x:c>
      <x:c r="J448" s="365" t="str">
        <x:v>00:25.50</x:v>
      </x:c>
      <x:c r="K448" s="365" t="str">
        <x:v>E010; Tier: T10; Directly visible tooltip; representative frame sampled at 0.5-second resolution.; Source frame: frames05s/h_0051.jpg</x:v>
      </x:c>
      <x:c r="L448" s="365" t="str">
        <x:v>1000025872.mp4</x:v>
      </x:c>
      <x:c r="M448" s="387" t="n">
        <x:f>IF(P448="OK",INDEX('Badge Lookup'!$B$6:$B$55,MATCH(F448,'Badge Lookup'!$A$6:$A$55,0)),0)</x:f>
        <x:v>320000</x:v>
      </x:c>
      <x:c r="N448" s="387" t="n">
        <x:f>IF(P448="OK",INDEX('Badge Lookup'!$C$6:$C$55,MATCH(F448,'Badge Lookup'!$A$6:$A$55,0)),0)</x:f>
        <x:v>2844300</x:v>
      </x:c>
      <x:c r="O448" s="388" t="n">
        <x:f>IF(P448="OK",INDEX('Badge Lookup'!$D$6:$D$55,MATCH(F448,'Badge Lookup'!$A$6:$A$55,0)),0)</x:f>
        <x:v>33.13</x:v>
      </x:c>
      <x:c r="P448" s="362" t="str">
        <x:f>IF(OR(G448="",F448=""),"Not scored",IF(AND(F448=INT(F448),F448&gt;=1,F448&lt;=50,COUNTIF('Badge Lookup'!$A$6:$A$55,F448)=1),"OK","Check lookup"))</x:f>
        <x:v>OK</x:v>
      </x:c>
      <x:c r="Q448" s="456" t="n">
        <x:f>IF(P448&lt;&gt;"OK","",IF(C448="Guards",-O448,O448))</x:f>
        <x:v>33.13</x:v>
      </x:c>
      <x:c r="R448" s="362" t="str">
        <x:f>IF(P448&lt;&gt;"OK","Not scored",IF(C448="Guards","Damage received reduction","Damage increase"))</x:f>
        <x:v>Damage increase</x:v>
      </x:c>
    </x:row>
    <x:row r="449" ht="32" customHeight="1">
      <x:c r="A449" s="365" t="str">
        <x:v>K176</x:v>
      </x:c>
      <x:c r="B449" s="365" t="str">
        <x:v>༺肥者先食༻</x:v>
      </x:c>
      <x:c r="C449" s="365" t="str">
        <x:v>Archers</x:v>
      </x:c>
      <x:c r="D449" s="365" t="str">
        <x:v>Elite bowmen</x:v>
      </x:c>
      <x:c r="E449" s="365" t="str">
        <x:v>Archer</x:v>
      </x:c>
      <x:c r="F449" s="365" t="n">
        <x:v>40</x:v>
      </x:c>
      <x:c r="G449" s="365" t="str">
        <x:v>Frost Arrow</x:v>
      </x:c>
      <x:c r="H449" s="365" t="str">
        <x:v>Has a higher probability of activating ice damage</x:v>
      </x:c>
      <x:c r="I449" s="365" t="str">
        <x:v>Unlocked</x:v>
      </x:c>
      <x:c r="J449" s="365" t="str">
        <x:v>00:26.50</x:v>
      </x:c>
      <x:c r="K449" s="365" t="str">
        <x:v>E011; Tier: T10; Directly visible tooltip; representative frame sampled at 0.5-second resolution.; Source frame: frames05s/h_0053.jpg</x:v>
      </x:c>
      <x:c r="L449" s="365" t="str">
        <x:v>1000025872.mp4</x:v>
      </x:c>
      <x:c r="M449" s="387" t="n">
        <x:f>IF(P449="OK",INDEX('Badge Lookup'!$B$6:$B$55,MATCH(F449,'Badge Lookup'!$A$6:$A$55,0)),0)</x:f>
        <x:v>240000</x:v>
      </x:c>
      <x:c r="N449" s="387" t="n">
        <x:f>IF(P449="OK",INDEX('Badge Lookup'!$C$6:$C$55,MATCH(F449,'Badge Lookup'!$A$6:$A$55,0)),0)</x:f>
        <x:v>2244300</x:v>
      </x:c>
      <x:c r="O449" s="388" t="n">
        <x:f>IF(P449="OK",INDEX('Badge Lookup'!$D$6:$D$55,MATCH(F449,'Badge Lookup'!$A$6:$A$55,0)),0)</x:f>
        <x:v>27.74</x:v>
      </x:c>
      <x:c r="P449" s="362" t="str">
        <x:f>IF(OR(G449="",F449=""),"Not scored",IF(AND(F449=INT(F449),F449&gt;=1,F449&lt;=50,COUNTIF('Badge Lookup'!$A$6:$A$55,F449)=1),"OK","Check lookup"))</x:f>
        <x:v>OK</x:v>
      </x:c>
      <x:c r="Q449" s="456" t="n">
        <x:f>IF(P449&lt;&gt;"OK","",IF(C449="Guards",-O449,O449))</x:f>
        <x:v>27.74</x:v>
      </x:c>
      <x:c r="R449" s="362" t="str">
        <x:f>IF(P449&lt;&gt;"OK","Not scored",IF(C449="Guards","Damage received reduction","Damage increase"))</x:f>
        <x:v>Damage increase</x:v>
      </x:c>
    </x:row>
    <x:row r="450" ht="32" customHeight="1">
      <x:c r="A450" s="365" t="str">
        <x:v>K176</x:v>
      </x:c>
      <x:c r="B450" s="365" t="str">
        <x:v>༺肥者先食༻</x:v>
      </x:c>
      <x:c r="C450" s="365" t="str">
        <x:v>Siege</x:v>
      </x:c>
      <x:c r="D450" s="365" t="str">
        <x:v>Manglers</x:v>
      </x:c>
      <x:c r="E450" s="365" t="str">
        <x:v>Siege</x:v>
      </x:c>
      <x:c r="F450" s="365" t="n">
        <x:v>24</x:v>
      </x:c>
      <x:c r="G450" s="365" t="str">
        <x:v>Highly toxic</x:v>
      </x:c>
      <x:c r="H450" s="365" t="str">
        <x:v>Inflict continuous toxic damage</x:v>
      </x:c>
      <x:c r="I450" s="365" t="str">
        <x:v>Unlocked</x:v>
      </x:c>
      <x:c r="J450" s="365" t="str">
        <x:v>00:27.00</x:v>
      </x:c>
      <x:c r="K450" s="365" t="str">
        <x:v>E012; Tier: T10; Directly visible tooltip; representative frame sampled at 0.5-second resolution.; Source frame: frames05s/h_0054.jpg</x:v>
      </x:c>
      <x:c r="L450" s="365" t="str">
        <x:v>1000025872.mp4</x:v>
      </x:c>
      <x:c r="M450" s="387" t="n">
        <x:f>IF(P450="OK",INDEX('Badge Lookup'!$B$6:$B$55,MATCH(F450,'Badge Lookup'!$A$6:$A$55,0)),0)</x:f>
        <x:v>50000</x:v>
      </x:c>
      <x:c r="N450" s="387" t="n">
        <x:f>IF(P450="OK",INDEX('Badge Lookup'!$C$6:$C$55,MATCH(F450,'Badge Lookup'!$A$6:$A$55,0)),0)</x:f>
        <x:v>369300</x:v>
      </x:c>
      <x:c r="O450" s="388" t="n">
        <x:f>IF(P450="OK",INDEX('Badge Lookup'!$D$6:$D$55,MATCH(F450,'Badge Lookup'!$A$6:$A$55,0)),0)</x:f>
        <x:v>5.44</x:v>
      </x:c>
      <x:c r="P450" s="362" t="str">
        <x:f>IF(OR(G450="",F450=""),"Not scored",IF(AND(F450=INT(F450),F450&gt;=1,F450&lt;=50,COUNTIF('Badge Lookup'!$A$6:$A$55,F450)=1),"OK","Check lookup"))</x:f>
        <x:v>OK</x:v>
      </x:c>
      <x:c r="Q450" s="456" t="n">
        <x:f>IF(P450&lt;&gt;"OK","",IF(C450="Guards",-O450,O450))</x:f>
        <x:v>5.44</x:v>
      </x:c>
      <x:c r="R450" s="362" t="str">
        <x:f>IF(P450&lt;&gt;"OK","Not scored",IF(C450="Guards","Damage received reduction","Damage increase"))</x:f>
        <x:v>Damage increase</x:v>
      </x:c>
    </x:row>
    <x:row r="451" ht="32" customHeight="1">
      <x:c r="A451" s="365" t="str">
        <x:v>K176</x:v>
      </x:c>
      <x:c r="B451" s="365" t="str">
        <x:v>༺肥者先食༻</x:v>
      </x:c>
      <x:c r="C451" s="365" t="str">
        <x:v>Cavalry</x:v>
      </x:c>
      <x:c r="D451" s="365" t="str">
        <x:v>Storm cavalry</x:v>
      </x:c>
      <x:c r="E451" s="365" t="str">
        <x:v>Horse archer</x:v>
      </x:c>
      <x:c r="F451" s="365" t="n">
        <x:v>43</x:v>
      </x:c>
      <x:c r="G451" s="365" t="str">
        <x:v>Mounted Archery</x:v>
      </x:c>
      <x:c r="H451" s="365" t="str">
        <x:v>Has a certain probability of causing fly-shooting damage</x:v>
      </x:c>
      <x:c r="I451" s="365" t="str">
        <x:v>Unlocked</x:v>
      </x:c>
      <x:c r="J451" s="365" t="str">
        <x:v>00:29.00</x:v>
      </x:c>
      <x:c r="K451" s="365" t="str">
        <x:v>E013; Tier: T9; Directly visible tooltip; representative frame sampled at 0.5-second resolution.; Source frame: frames05s/h_0058.jpg</x:v>
      </x:c>
      <x:c r="L451" s="365" t="str">
        <x:v>1000025872.mp4</x:v>
      </x:c>
      <x:c r="M451" s="387" t="n">
        <x:f>IF(P451="OK",INDEX('Badge Lookup'!$B$6:$B$55,MATCH(F451,'Badge Lookup'!$A$6:$A$55,0)),0)</x:f>
        <x:v>400000</x:v>
      </x:c>
      <x:c r="N451" s="387" t="n">
        <x:f>IF(P451="OK",INDEX('Badge Lookup'!$C$6:$C$55,MATCH(F451,'Badge Lookup'!$A$6:$A$55,0)),0)</x:f>
        <x:v>3244300</x:v>
      </x:c>
      <x:c r="O451" s="388" t="n">
        <x:f>IF(P451="OK",INDEX('Badge Lookup'!$D$6:$D$55,MATCH(F451,'Badge Lookup'!$A$6:$A$55,0)),0)</x:f>
        <x:v>35.98</x:v>
      </x:c>
      <x:c r="P451" s="362" t="str">
        <x:f>IF(OR(G451="",F451=""),"Not scored",IF(AND(F451=INT(F451),F451&gt;=1,F451&lt;=50,COUNTIF('Badge Lookup'!$A$6:$A$55,F451)=1),"OK","Check lookup"))</x:f>
        <x:v>OK</x:v>
      </x:c>
      <x:c r="Q451" s="456" t="n">
        <x:f>IF(P451&lt;&gt;"OK","",IF(C451="Guards",-O451,O451))</x:f>
        <x:v>35.98</x:v>
      </x:c>
      <x:c r="R451" s="362" t="str">
        <x:f>IF(P451&lt;&gt;"OK","Not scored",IF(C451="Guards","Damage received reduction","Damage increase"))</x:f>
        <x:v>Damage increase</x:v>
      </x:c>
    </x:row>
    <x:row r="452" ht="32" customHeight="1">
      <x:c r="A452" s="365" t="str">
        <x:v>K176</x:v>
      </x:c>
      <x:c r="B452" s="365" t="str">
        <x:v>༺璀璨星辰༻</x:v>
      </x:c>
      <x:c r="C452" s="365" t="str">
        <x:v>Guards</x:v>
      </x:c>
      <x:c r="D452" s="365" t="str">
        <x:v>Destroyers</x:v>
      </x:c>
      <x:c r="E452" s="365" t="str">
        <x:v>Guard</x:v>
      </x:c>
      <x:c r="F452" s="365" t="n">
        <x:v>45</x:v>
      </x:c>
      <x:c r="G452" s="365" t="str">
        <x:v>Parry</x:v>
      </x:c>
      <x:c r="H452" s="365" t="str">
        <x:v>Provides a parry effect and a certain probability to increase damage</x:v>
      </x:c>
      <x:c r="I452" s="365" t="str">
        <x:v>Unlocked</x:v>
      </x:c>
      <x:c r="J452" s="365" t="str">
        <x:v>00:36.00</x:v>
      </x:c>
      <x:c r="K452" s="365" t="str">
        <x:v>E015; Tier: T10; Directly visible tooltip; representative frame sampled at 0.5-second resolution.; Source frame: frames05s/h_0072.jpg</x:v>
      </x:c>
      <x:c r="L452" s="365" t="str">
        <x:v>1000025872.mp4</x:v>
      </x:c>
      <x:c r="M452" s="387" t="n">
        <x:f>IF(P452="OK",INDEX('Badge Lookup'!$B$6:$B$55,MATCH(F452,'Badge Lookup'!$A$6:$A$55,0)),0)</x:f>
        <x:v>560000</x:v>
      </x:c>
      <x:c r="N452" s="387" t="n">
        <x:f>IF(P452="OK",INDEX('Badge Lookup'!$C$6:$C$55,MATCH(F452,'Badge Lookup'!$A$6:$A$55,0)),0)</x:f>
        <x:v>4284300</x:v>
      </x:c>
      <x:c r="O452" s="388" t="n">
        <x:f>IF(P452="OK",INDEX('Badge Lookup'!$D$6:$D$55,MATCH(F452,'Badge Lookup'!$A$6:$A$55,0)),0)</x:f>
        <x:v>41.98</x:v>
      </x:c>
      <x:c r="P452" s="362" t="str">
        <x:f>IF(OR(G452="",F452=""),"Not scored",IF(AND(F452=INT(F452),F452&gt;=1,F452&lt;=50,COUNTIF('Badge Lookup'!$A$6:$A$55,F452)=1),"OK","Check lookup"))</x:f>
        <x:v>OK</x:v>
      </x:c>
      <x:c r="Q452" s="456" t="n">
        <x:f>IF(P452&lt;&gt;"OK","",IF(C452="Guards",-O452,O452))</x:f>
        <x:v>-41.98</x:v>
      </x:c>
      <x:c r="R452" s="362" t="str">
        <x:f>IF(P452&lt;&gt;"OK","Not scored",IF(C452="Guards","Damage received reduction","Damage increase"))</x:f>
        <x:v>Damage received reduction</x:v>
      </x:c>
    </x:row>
    <x:row r="453" ht="32" customHeight="1">
      <x:c r="A453" s="365" t="str">
        <x:v>K176</x:v>
      </x:c>
      <x:c r="B453" s="365" t="str">
        <x:v>༺璀璨星辰༻</x:v>
      </x:c>
      <x:c r="C453" s="365" t="str">
        <x:v>Cavalry</x:v>
      </x:c>
      <x:c r="D453" s="365" t="str">
        <x:v>Eternal knights</x:v>
      </x:c>
      <x:c r="E453" s="365" t="str">
        <x:v>Heavy Cavalry</x:v>
      </x:c>
      <x:c r="F453" s="365" t="n">
        <x:v>50</x:v>
      </x:c>
      <x:c r="G453" s="365" t="str">
        <x:v>Thunder trample</x:v>
      </x:c>
      <x:c r="H453" s="365" t="str">
        <x:v>Has a certain probability of causing trampling damage</x:v>
      </x:c>
      <x:c r="I453" s="365" t="str">
        <x:v>Unlocked</x:v>
      </x:c>
      <x:c r="J453" s="365" t="str">
        <x:v>00:37.00</x:v>
      </x:c>
      <x:c r="K453" s="365" t="str">
        <x:v>E016; Tier: T10; Directly visible tooltip; representative frame sampled at 0.5-second resolution.; Source frame: frames05s/h_0074.jpg</x:v>
      </x:c>
      <x:c r="L453" s="365" t="str">
        <x:v>1000025872.mp4</x:v>
      </x:c>
      <x:c r="M453" s="387" t="n">
        <x:f>IF(P453="OK",INDEX('Badge Lookup'!$B$6:$B$55,MATCH(F453,'Badge Lookup'!$A$6:$A$55,0)),0)</x:f>
        <x:v>2000000</x:v>
      </x:c>
      <x:c r="N453" s="387" t="n">
        <x:f>IF(P453="OK",INDEX('Badge Lookup'!$C$6:$C$55,MATCH(F453,'Badge Lookup'!$A$6:$A$55,0)),0)</x:f>
        <x:v>10334300</x:v>
      </x:c>
      <x:c r="O453" s="388" t="n">
        <x:f>IF(P453="OK",INDEX('Badge Lookup'!$D$6:$D$55,MATCH(F453,'Badge Lookup'!$A$6:$A$55,0)),0)</x:f>
        <x:v>60</x:v>
      </x:c>
      <x:c r="P453" s="362" t="str">
        <x:f>IF(OR(G453="",F453=""),"Not scored",IF(AND(F453=INT(F453),F453&gt;=1,F453&lt;=50,COUNTIF('Badge Lookup'!$A$6:$A$55,F453)=1),"OK","Check lookup"))</x:f>
        <x:v>OK</x:v>
      </x:c>
      <x:c r="Q453" s="456" t="n">
        <x:f>IF(P453&lt;&gt;"OK","",IF(C453="Guards",-O453,O453))</x:f>
        <x:v>60</x:v>
      </x:c>
      <x:c r="R453" s="362" t="str">
        <x:f>IF(P453&lt;&gt;"OK","Not scored",IF(C453="Guards","Damage received reduction","Damage increase"))</x:f>
        <x:v>Damage increase</x:v>
      </x:c>
    </x:row>
    <x:row r="454" ht="32" customHeight="1">
      <x:c r="A454" s="365" t="str">
        <x:v>K176</x:v>
      </x:c>
      <x:c r="B454" s="365" t="str">
        <x:v>༺璀璨星辰༻</x:v>
      </x:c>
      <x:c r="C454" s="365" t="str">
        <x:v>Siege</x:v>
      </x:c>
      <x:c r="D454" s="365" t="str">
        <x:v>Manglers</x:v>
      </x:c>
      <x:c r="E454" s="365" t="str">
        <x:v>Siege</x:v>
      </x:c>
      <x:c r="F454" s="365" t="n">
        <x:v>45</x:v>
      </x:c>
      <x:c r="G454" s="365" t="str">
        <x:v>Highly toxic</x:v>
      </x:c>
      <x:c r="H454" s="365" t="str">
        <x:v>Inflict continuous toxic damage</x:v>
      </x:c>
      <x:c r="I454" s="365" t="str">
        <x:v>Unlocked</x:v>
      </x:c>
      <x:c r="J454" s="365" t="str">
        <x:v>00:38.00</x:v>
      </x:c>
      <x:c r="K454" s="365" t="str">
        <x:v>E017; Tier: T10; Directly visible tooltip; representative frame sampled at 0.5-second resolution.; Source frame: frames05s/h_0076.jpg</x:v>
      </x:c>
      <x:c r="L454" s="365" t="str">
        <x:v>1000025872.mp4</x:v>
      </x:c>
      <x:c r="M454" s="387" t="n">
        <x:f>IF(P454="OK",INDEX('Badge Lookup'!$B$6:$B$55,MATCH(F454,'Badge Lookup'!$A$6:$A$55,0)),0)</x:f>
        <x:v>560000</x:v>
      </x:c>
      <x:c r="N454" s="387" t="n">
        <x:f>IF(P454="OK",INDEX('Badge Lookup'!$C$6:$C$55,MATCH(F454,'Badge Lookup'!$A$6:$A$55,0)),0)</x:f>
        <x:v>4284300</x:v>
      </x:c>
      <x:c r="O454" s="388" t="n">
        <x:f>IF(P454="OK",INDEX('Badge Lookup'!$D$6:$D$55,MATCH(F454,'Badge Lookup'!$A$6:$A$55,0)),0)</x:f>
        <x:v>41.98</x:v>
      </x:c>
      <x:c r="P454" s="362" t="str">
        <x:f>IF(OR(G454="",F454=""),"Not scored",IF(AND(F454=INT(F454),F454&gt;=1,F454&lt;=50,COUNTIF('Badge Lookup'!$A$6:$A$55,F454)=1),"OK","Check lookup"))</x:f>
        <x:v>OK</x:v>
      </x:c>
      <x:c r="Q454" s="456" t="n">
        <x:f>IF(P454&lt;&gt;"OK","",IF(C454="Guards",-O454,O454))</x:f>
        <x:v>41.98</x:v>
      </x:c>
      <x:c r="R454" s="362" t="str">
        <x:f>IF(P454&lt;&gt;"OK","Not scored",IF(C454="Guards","Damage received reduction","Damage increase"))</x:f>
        <x:v>Damage increase</x:v>
      </x:c>
    </x:row>
    <x:row r="455" ht="32" customHeight="1">
      <x:c r="A455" s="365" t="str">
        <x:v>K176</x:v>
      </x:c>
      <x:c r="B455" s="365" t="str">
        <x:v>༺璀璨星辰༻</x:v>
      </x:c>
      <x:c r="C455" s="365" t="str">
        <x:v>Cavalry</x:v>
      </x:c>
      <x:c r="D455" s="365" t="str">
        <x:v>Storm cavalry</x:v>
      </x:c>
      <x:c r="E455" s="365" t="str">
        <x:v>Horse archer</x:v>
      </x:c>
      <x:c r="F455" s="365" t="n">
        <x:v>50</x:v>
      </x:c>
      <x:c r="G455" s="365" t="str">
        <x:v>Mounted Archery</x:v>
      </x:c>
      <x:c r="H455" s="365" t="str">
        <x:v>Has a certain probability of causing fly-shooting damage</x:v>
      </x:c>
      <x:c r="I455" s="365" t="str">
        <x:v>Unlocked</x:v>
      </x:c>
      <x:c r="J455" s="365" t="str">
        <x:v>00:39.00</x:v>
      </x:c>
      <x:c r="K455" s="365" t="str">
        <x:v>E018; Tier: T9; Directly visible tooltip; representative frame sampled at 0.5-second resolution.; Source frame: frames05s/h_0078.jpg</x:v>
      </x:c>
      <x:c r="L455" s="365" t="str">
        <x:v>1000025872.mp4</x:v>
      </x:c>
      <x:c r="M455" s="387" t="n">
        <x:f>IF(P455="OK",INDEX('Badge Lookup'!$B$6:$B$55,MATCH(F455,'Badge Lookup'!$A$6:$A$55,0)),0)</x:f>
        <x:v>2000000</x:v>
      </x:c>
      <x:c r="N455" s="387" t="n">
        <x:f>IF(P455="OK",INDEX('Badge Lookup'!$C$6:$C$55,MATCH(F455,'Badge Lookup'!$A$6:$A$55,0)),0)</x:f>
        <x:v>10334300</x:v>
      </x:c>
      <x:c r="O455" s="388" t="n">
        <x:f>IF(P455="OK",INDEX('Badge Lookup'!$D$6:$D$55,MATCH(F455,'Badge Lookup'!$A$6:$A$55,0)),0)</x:f>
        <x:v>60</x:v>
      </x:c>
      <x:c r="P455" s="362" t="str">
        <x:f>IF(OR(G455="",F455=""),"Not scored",IF(AND(F455=INT(F455),F455&gt;=1,F455&lt;=50,COUNTIF('Badge Lookup'!$A$6:$A$55,F455)=1),"OK","Check lookup"))</x:f>
        <x:v>OK</x:v>
      </x:c>
      <x:c r="Q455" s="456" t="n">
        <x:f>IF(P455&lt;&gt;"OK","",IF(C455="Guards",-O455,O455))</x:f>
        <x:v>60</x:v>
      </x:c>
      <x:c r="R455" s="362" t="str">
        <x:f>IF(P455&lt;&gt;"OK","Not scored",IF(C455="Guards","Damage received reduction","Damage increase"))</x:f>
        <x:v>Damage increase</x:v>
      </x:c>
    </x:row>
    <x:row r="456" ht="32" customHeight="1">
      <x:c r="A456" s="365" t="str">
        <x:v>K176</x:v>
      </x:c>
      <x:c r="B456" s="365" t="str">
        <x:v>临兵斗者皆阵列前</x:v>
      </x:c>
      <x:c r="C456" s="365" t="str">
        <x:v>Guards</x:v>
      </x:c>
      <x:c r="D456" s="365" t="str">
        <x:v>Destroyers</x:v>
      </x:c>
      <x:c r="E456" s="365" t="str">
        <x:v>Guard</x:v>
      </x:c>
      <x:c r="F456" s="365" t="n">
        <x:v>45</x:v>
      </x:c>
      <x:c r="G456" s="365" t="str">
        <x:v>Parry</x:v>
      </x:c>
      <x:c r="H456" s="365" t="str">
        <x:v>Provides a parry effect and a certain probability to increase damage</x:v>
      </x:c>
      <x:c r="I456" s="365" t="str">
        <x:v>Unlocked</x:v>
      </x:c>
      <x:c r="J456" s="365" t="str">
        <x:v>00:46.00</x:v>
      </x:c>
      <x:c r="K456" s="365" t="str">
        <x:v>E020; Tier: T10; Directly visible tooltip; representative frame sampled at 0.5-second resolution.; Source frame: frames05s/h_0092.jpg</x:v>
      </x:c>
      <x:c r="L456" s="365" t="str">
        <x:v>1000025872.mp4</x:v>
      </x:c>
      <x:c r="M456" s="387" t="n">
        <x:f>IF(P456="OK",INDEX('Badge Lookup'!$B$6:$B$55,MATCH(F456,'Badge Lookup'!$A$6:$A$55,0)),0)</x:f>
        <x:v>560000</x:v>
      </x:c>
      <x:c r="N456" s="387" t="n">
        <x:f>IF(P456="OK",INDEX('Badge Lookup'!$C$6:$C$55,MATCH(F456,'Badge Lookup'!$A$6:$A$55,0)),0)</x:f>
        <x:v>4284300</x:v>
      </x:c>
      <x:c r="O456" s="388" t="n">
        <x:f>IF(P456="OK",INDEX('Badge Lookup'!$D$6:$D$55,MATCH(F456,'Badge Lookup'!$A$6:$A$55,0)),0)</x:f>
        <x:v>41.98</x:v>
      </x:c>
      <x:c r="P456" s="362" t="str">
        <x:f>IF(OR(G456="",F456=""),"Not scored",IF(AND(F456=INT(F456),F456&gt;=1,F456&lt;=50,COUNTIF('Badge Lookup'!$A$6:$A$55,F456)=1),"OK","Check lookup"))</x:f>
        <x:v>OK</x:v>
      </x:c>
      <x:c r="Q456" s="456" t="n">
        <x:f>IF(P456&lt;&gt;"OK","",IF(C456="Guards",-O456,O456))</x:f>
        <x:v>-41.98</x:v>
      </x:c>
      <x:c r="R456" s="362" t="str">
        <x:f>IF(P456&lt;&gt;"OK","Not scored",IF(C456="Guards","Damage received reduction","Damage increase"))</x:f>
        <x:v>Damage received reduction</x:v>
      </x:c>
    </x:row>
    <x:row r="457" ht="32" customHeight="1">
      <x:c r="A457" s="365" t="str">
        <x:v>K176</x:v>
      </x:c>
      <x:c r="B457" s="365" t="str">
        <x:v>临兵斗者皆阵列前</x:v>
      </x:c>
      <x:c r="C457" s="365" t="str">
        <x:v>Cavalry</x:v>
      </x:c>
      <x:c r="D457" s="365" t="str">
        <x:v>Eternal knights</x:v>
      </x:c>
      <x:c r="E457" s="365" t="str">
        <x:v>Heavy Cavalry</x:v>
      </x:c>
      <x:c r="F457" s="365" t="n">
        <x:v>48</x:v>
      </x:c>
      <x:c r="G457" s="365" t="str">
        <x:v>Thunder trample</x:v>
      </x:c>
      <x:c r="H457" s="365" t="str">
        <x:v>Has a certain probability of causing trampling damage</x:v>
      </x:c>
      <x:c r="I457" s="365" t="str">
        <x:v>Unlocked</x:v>
      </x:c>
      <x:c r="J457" s="365" t="str">
        <x:v>00:47.00</x:v>
      </x:c>
      <x:c r="K457" s="365" t="str">
        <x:v>E021; Tier: T10; Directly visible tooltip; representative frame sampled at 0.5-second resolution. Adjacent same-player tooltip swap separately verified at 00:47.00.; Source frame: frames05s/h_0094.jpg</x:v>
      </x:c>
      <x:c r="L457" s="365" t="str">
        <x:v>1000025872.mp4</x:v>
      </x:c>
      <x:c r="M457" s="387" t="n">
        <x:f>IF(P457="OK",INDEX('Badge Lookup'!$B$6:$B$55,MATCH(F457,'Badge Lookup'!$A$6:$A$55,0)),0)</x:f>
        <x:v>1050000</x:v>
      </x:c>
      <x:c r="N457" s="387" t="n">
        <x:f>IF(P457="OK",INDEX('Badge Lookup'!$C$6:$C$55,MATCH(F457,'Badge Lookup'!$A$6:$A$55,0)),0)</x:f>
        <x:v>6934300</x:v>
      </x:c>
      <x:c r="O457" s="388" t="n">
        <x:f>IF(P457="OK",INDEX('Badge Lookup'!$D$6:$D$55,MATCH(F457,'Badge Lookup'!$A$6:$A$55,0)),0)</x:f>
        <x:v>51.74</x:v>
      </x:c>
      <x:c r="P457" s="362" t="str">
        <x:f>IF(OR(G457="",F457=""),"Not scored",IF(AND(F457=INT(F457),F457&gt;=1,F457&lt;=50,COUNTIF('Badge Lookup'!$A$6:$A$55,F457)=1),"OK","Check lookup"))</x:f>
        <x:v>OK</x:v>
      </x:c>
      <x:c r="Q457" s="456" t="n">
        <x:f>IF(P457&lt;&gt;"OK","",IF(C457="Guards",-O457,O457))</x:f>
        <x:v>51.74</x:v>
      </x:c>
      <x:c r="R457" s="362" t="str">
        <x:f>IF(P457&lt;&gt;"OK","Not scored",IF(C457="Guards","Damage received reduction","Damage increase"))</x:f>
        <x:v>Damage increase</x:v>
      </x:c>
    </x:row>
    <x:row r="458" ht="32" customHeight="1">
      <x:c r="A458" s="365" t="str">
        <x:v>K176</x:v>
      </x:c>
      <x:c r="B458" s="365" t="str">
        <x:v>临兵斗者皆阵列前</x:v>
      </x:c>
      <x:c r="C458" s="365" t="str">
        <x:v>Archers</x:v>
      </x:c>
      <x:c r="D458" s="365" t="str">
        <x:v>Elite bowmen</x:v>
      </x:c>
      <x:c r="E458" s="365" t="str">
        <x:v>Archer</x:v>
      </x:c>
      <x:c r="F458" s="365" t="n">
        <x:v>35</x:v>
      </x:c>
      <x:c r="G458" s="365" t="str">
        <x:v>Frost Arrow</x:v>
      </x:c>
      <x:c r="H458" s="365" t="str">
        <x:v>Has a higher probability of activating ice damage</x:v>
      </x:c>
      <x:c r="I458" s="365" t="str">
        <x:v>Unlocked</x:v>
      </x:c>
      <x:c r="J458" s="365" t="str">
        <x:v>00:48.00</x:v>
      </x:c>
      <x:c r="K458" s="365" t="str">
        <x:v>E022; Tier: T10; Directly visible tooltip; representative frame sampled at 0.5-second resolution.; Source frame: frames05s/h_0096.jpg</x:v>
      </x:c>
      <x:c r="L458" s="365" t="str">
        <x:v>1000025872.mp4</x:v>
      </x:c>
      <x:c r="M458" s="387" t="n">
        <x:f>IF(P458="OK",INDEX('Badge Lookup'!$B$6:$B$55,MATCH(F458,'Badge Lookup'!$A$6:$A$55,0)),0)</x:f>
        <x:v>130000</x:v>
      </x:c>
      <x:c r="N458" s="387" t="n">
        <x:f>IF(P458="OK",INDEX('Badge Lookup'!$C$6:$C$55,MATCH(F458,'Badge Lookup'!$A$6:$A$55,0)),0)</x:f>
        <x:v>1324300</x:v>
      </x:c>
      <x:c r="O458" s="388" t="n">
        <x:f>IF(P458="OK",INDEX('Badge Lookup'!$D$6:$D$55,MATCH(F458,'Badge Lookup'!$A$6:$A$55,0)),0)</x:f>
        <x:v>17.66</x:v>
      </x:c>
      <x:c r="P458" s="362" t="str">
        <x:f>IF(OR(G458="",F458=""),"Not scored",IF(AND(F458=INT(F458),F458&gt;=1,F458&lt;=50,COUNTIF('Badge Lookup'!$A$6:$A$55,F458)=1),"OK","Check lookup"))</x:f>
        <x:v>OK</x:v>
      </x:c>
      <x:c r="Q458" s="456" t="n">
        <x:f>IF(P458&lt;&gt;"OK","",IF(C458="Guards",-O458,O458))</x:f>
        <x:v>17.66</x:v>
      </x:c>
      <x:c r="R458" s="362" t="str">
        <x:f>IF(P458&lt;&gt;"OK","Not scored",IF(C458="Guards","Damage received reduction","Damage increase"))</x:f>
        <x:v>Damage increase</x:v>
      </x:c>
    </x:row>
    <x:row r="459" ht="32" customHeight="1">
      <x:c r="A459" s="365" t="str">
        <x:v>K176</x:v>
      </x:c>
      <x:c r="B459" s="365" t="str">
        <x:v>临兵斗者皆阵列前</x:v>
      </x:c>
      <x:c r="C459" s="365" t="str">
        <x:v>Siege</x:v>
      </x:c>
      <x:c r="D459" s="365" t="str">
        <x:v>Manglers</x:v>
      </x:c>
      <x:c r="E459" s="365" t="str">
        <x:v>Siege</x:v>
      </x:c>
      <x:c r="F459" s="365" t="n">
        <x:v>22</x:v>
      </x:c>
      <x:c r="G459" s="365" t="str">
        <x:v>Highly toxic</x:v>
      </x:c>
      <x:c r="H459" s="365" t="str">
        <x:v>Inflict continuous toxic damage</x:v>
      </x:c>
      <x:c r="I459" s="365" t="str">
        <x:v>Unlocked</x:v>
      </x:c>
      <x:c r="J459" s="365" t="str">
        <x:v>00:49.00</x:v>
      </x:c>
      <x:c r="K459" s="365" t="str">
        <x:v>E023; Tier: T10; Directly visible tooltip; representative frame sampled at 0.5-second resolution.; Source frame: frames05s/h_0098.jpg</x:v>
      </x:c>
      <x:c r="L459" s="365" t="str">
        <x:v>1000025872.mp4</x:v>
      </x:c>
      <x:c r="M459" s="387" t="n">
        <x:f>IF(P459="OK",INDEX('Badge Lookup'!$B$6:$B$55,MATCH(F459,'Badge Lookup'!$A$6:$A$55,0)),0)</x:f>
        <x:v>45000</x:v>
      </x:c>
      <x:c r="N459" s="387" t="n">
        <x:f>IF(P459="OK",INDEX('Badge Lookup'!$C$6:$C$55,MATCH(F459,'Badge Lookup'!$A$6:$A$55,0)),0)</x:f>
        <x:v>271800</x:v>
      </x:c>
      <x:c r="O459" s="388" t="n">
        <x:f>IF(P459="OK",INDEX('Badge Lookup'!$D$6:$D$55,MATCH(F459,'Badge Lookup'!$A$6:$A$55,0)),0)</x:f>
        <x:v>4.18</x:v>
      </x:c>
      <x:c r="P459" s="362" t="str">
        <x:f>IF(OR(G459="",F459=""),"Not scored",IF(AND(F459=INT(F459),F459&gt;=1,F459&lt;=50,COUNTIF('Badge Lookup'!$A$6:$A$55,F459)=1),"OK","Check lookup"))</x:f>
        <x:v>OK</x:v>
      </x:c>
      <x:c r="Q459" s="456" t="n">
        <x:f>IF(P459&lt;&gt;"OK","",IF(C459="Guards",-O459,O459))</x:f>
        <x:v>4.18</x:v>
      </x:c>
      <x:c r="R459" s="362" t="str">
        <x:f>IF(P459&lt;&gt;"OK","Not scored",IF(C459="Guards","Damage received reduction","Damage increase"))</x:f>
        <x:v>Damage increase</x:v>
      </x:c>
    </x:row>
    <x:row r="460" ht="32" customHeight="1">
      <x:c r="A460" s="365" t="str">
        <x:v>K176</x:v>
      </x:c>
      <x:c r="B460" s="365" t="str">
        <x:v>临兵斗者皆阵列前</x:v>
      </x:c>
      <x:c r="C460" s="365" t="str">
        <x:v>Cavalry</x:v>
      </x:c>
      <x:c r="D460" s="365" t="str">
        <x:v>Storm cavalry</x:v>
      </x:c>
      <x:c r="E460" s="365" t="str">
        <x:v>Horse archer</x:v>
      </x:c>
      <x:c r="F460" s="365" t="n">
        <x:v>45</x:v>
      </x:c>
      <x:c r="G460" s="365" t="str">
        <x:v>Mounted Archery</x:v>
      </x:c>
      <x:c r="H460" s="365" t="str">
        <x:v>Has a certain probability of causing fly-shooting damage</x:v>
      </x:c>
      <x:c r="I460" s="365" t="str">
        <x:v>Unlocked</x:v>
      </x:c>
      <x:c r="J460" s="365" t="str">
        <x:v>00:50.00</x:v>
      </x:c>
      <x:c r="K460" s="365" t="str">
        <x:v>E024; Tier: T9; Directly visible tooltip; representative frame sampled at 0.5-second resolution.; Source frame: frames05s/h_0100.jpg</x:v>
      </x:c>
      <x:c r="L460" s="365" t="str">
        <x:v>1000025872.mp4</x:v>
      </x:c>
      <x:c r="M460" s="387" t="n">
        <x:f>IF(P460="OK",INDEX('Badge Lookup'!$B$6:$B$55,MATCH(F460,'Badge Lookup'!$A$6:$A$55,0)),0)</x:f>
        <x:v>560000</x:v>
      </x:c>
      <x:c r="N460" s="387" t="n">
        <x:f>IF(P460="OK",INDEX('Badge Lookup'!$C$6:$C$55,MATCH(F460,'Badge Lookup'!$A$6:$A$55,0)),0)</x:f>
        <x:v>4284300</x:v>
      </x:c>
      <x:c r="O460" s="388" t="n">
        <x:f>IF(P460="OK",INDEX('Badge Lookup'!$D$6:$D$55,MATCH(F460,'Badge Lookup'!$A$6:$A$55,0)),0)</x:f>
        <x:v>41.98</x:v>
      </x:c>
      <x:c r="P460" s="362" t="str">
        <x:f>IF(OR(G460="",F460=""),"Not scored",IF(AND(F460=INT(F460),F460&gt;=1,F460&lt;=50,COUNTIF('Badge Lookup'!$A$6:$A$55,F460)=1),"OK","Check lookup"))</x:f>
        <x:v>OK</x:v>
      </x:c>
      <x:c r="Q460" s="456" t="n">
        <x:f>IF(P460&lt;&gt;"OK","",IF(C460="Guards",-O460,O460))</x:f>
        <x:v>41.98</x:v>
      </x:c>
      <x:c r="R460" s="362" t="str">
        <x:f>IF(P460&lt;&gt;"OK","Not scored",IF(C460="Guards","Damage received reduction","Damage increase"))</x:f>
        <x:v>Damage increase</x:v>
      </x:c>
    </x:row>
    <x:row r="461" ht="32" customHeight="1">
      <x:c r="A461" s="365" t="str">
        <x:v>K176</x:v>
      </x:c>
      <x:c r="B461" s="365" t="str">
        <x:v>梦山河</x:v>
      </x:c>
      <x:c r="C461" s="365" t="str">
        <x:v>Guards</x:v>
      </x:c>
      <x:c r="D461" s="365" t="str">
        <x:v>Destroyers</x:v>
      </x:c>
      <x:c r="E461" s="365" t="str">
        <x:v>Guard</x:v>
      </x:c>
      <x:c r="F461" s="365" t="n">
        <x:v>45</x:v>
      </x:c>
      <x:c r="G461" s="365" t="str">
        <x:v>Parry</x:v>
      </x:c>
      <x:c r="H461" s="365" t="str">
        <x:v>Provides a parry effect and a certain probability to increase damage</x:v>
      </x:c>
      <x:c r="I461" s="365" t="str">
        <x:v>Unlocked</x:v>
      </x:c>
      <x:c r="J461" s="365" t="str">
        <x:v>00:58.00</x:v>
      </x:c>
      <x:c r="K461" s="365" t="str">
        <x:v>E025; Tier: T10; Directly visible tooltip; representative frame sampled at 0.5-second resolution.; Source frame: frames05s/h_0116.jpg</x:v>
      </x:c>
      <x:c r="L461" s="365" t="str">
        <x:v>1000025872.mp4</x:v>
      </x:c>
      <x:c r="M461" s="387" t="n">
        <x:f>IF(P461="OK",INDEX('Badge Lookup'!$B$6:$B$55,MATCH(F461,'Badge Lookup'!$A$6:$A$55,0)),0)</x:f>
        <x:v>560000</x:v>
      </x:c>
      <x:c r="N461" s="387" t="n">
        <x:f>IF(P461="OK",INDEX('Badge Lookup'!$C$6:$C$55,MATCH(F461,'Badge Lookup'!$A$6:$A$55,0)),0)</x:f>
        <x:v>4284300</x:v>
      </x:c>
      <x:c r="O461" s="388" t="n">
        <x:f>IF(P461="OK",INDEX('Badge Lookup'!$D$6:$D$55,MATCH(F461,'Badge Lookup'!$A$6:$A$55,0)),0)</x:f>
        <x:v>41.98</x:v>
      </x:c>
      <x:c r="P461" s="362" t="str">
        <x:f>IF(OR(G461="",F461=""),"Not scored",IF(AND(F461=INT(F461),F461&gt;=1,F461&lt;=50,COUNTIF('Badge Lookup'!$A$6:$A$55,F461)=1),"OK","Check lookup"))</x:f>
        <x:v>OK</x:v>
      </x:c>
      <x:c r="Q461" s="456" t="n">
        <x:f>IF(P461&lt;&gt;"OK","",IF(C461="Guards",-O461,O461))</x:f>
        <x:v>-41.98</x:v>
      </x:c>
      <x:c r="R461" s="362" t="str">
        <x:f>IF(P461&lt;&gt;"OK","Not scored",IF(C461="Guards","Damage received reduction","Damage increase"))</x:f>
        <x:v>Damage received reduction</x:v>
      </x:c>
    </x:row>
    <x:row r="462" ht="32" customHeight="1">
      <x:c r="A462" s="365" t="str">
        <x:v>K176</x:v>
      </x:c>
      <x:c r="B462" s="365" t="str">
        <x:v>梦山河</x:v>
      </x:c>
      <x:c r="C462" s="365" t="str">
        <x:v>Cavalry</x:v>
      </x:c>
      <x:c r="D462" s="365" t="str">
        <x:v>Eternal knights</x:v>
      </x:c>
      <x:c r="E462" s="365" t="str">
        <x:v>Heavy Cavalry</x:v>
      </x:c>
      <x:c r="F462" s="365" t="n">
        <x:v>49</x:v>
      </x:c>
      <x:c r="G462" s="365" t="str">
        <x:v>Thunder trample</x:v>
      </x:c>
      <x:c r="H462" s="365" t="str">
        <x:v>Has a certain probability of causing trampling damage</x:v>
      </x:c>
      <x:c r="I462" s="365" t="str">
        <x:v>Unlocked</x:v>
      </x:c>
      <x:c r="J462" s="365" t="str">
        <x:v>00:59.00</x:v>
      </x:c>
      <x:c r="K462" s="365" t="str">
        <x:v>E026; Tier: T10; Directly visible tooltip; representative frame sampled at 0.5-second resolution.; Source frame: frames05s/h_0118.jpg</x:v>
      </x:c>
      <x:c r="L462" s="365" t="str">
        <x:v>1000025872.mp4</x:v>
      </x:c>
      <x:c r="M462" s="387" t="n">
        <x:f>IF(P462="OK",INDEX('Badge Lookup'!$B$6:$B$55,MATCH(F462,'Badge Lookup'!$A$6:$A$55,0)),0)</x:f>
        <x:v>1400000</x:v>
      </x:c>
      <x:c r="N462" s="387" t="n">
        <x:f>IF(P462="OK",INDEX('Badge Lookup'!$C$6:$C$55,MATCH(F462,'Badge Lookup'!$A$6:$A$55,0)),0)</x:f>
        <x:v>8334300</x:v>
      </x:c>
      <x:c r="O462" s="388" t="n">
        <x:f>IF(P462="OK",INDEX('Badge Lookup'!$D$6:$D$55,MATCH(F462,'Badge Lookup'!$A$6:$A$55,0)),0)</x:f>
        <x:v>55.2</x:v>
      </x:c>
      <x:c r="P462" s="362" t="str">
        <x:f>IF(OR(G462="",F462=""),"Not scored",IF(AND(F462=INT(F462),F462&gt;=1,F462&lt;=50,COUNTIF('Badge Lookup'!$A$6:$A$55,F462)=1),"OK","Check lookup"))</x:f>
        <x:v>OK</x:v>
      </x:c>
      <x:c r="Q462" s="456" t="n">
        <x:f>IF(P462&lt;&gt;"OK","",IF(C462="Guards",-O462,O462))</x:f>
        <x:v>55.2</x:v>
      </x:c>
      <x:c r="R462" s="362" t="str">
        <x:f>IF(P462&lt;&gt;"OK","Not scored",IF(C462="Guards","Damage received reduction","Damage increase"))</x:f>
        <x:v>Damage increase</x:v>
      </x:c>
    </x:row>
    <x:row r="463" ht="32" customHeight="1">
      <x:c r="A463" s="365" t="str">
        <x:v>K176</x:v>
      </x:c>
      <x:c r="B463" s="365" t="str">
        <x:v>梦山河</x:v>
      </x:c>
      <x:c r="C463" s="365" t="str">
        <x:v>Siege</x:v>
      </x:c>
      <x:c r="D463" s="365" t="str">
        <x:v>Manglers</x:v>
      </x:c>
      <x:c r="E463" s="365" t="str">
        <x:v>Siege</x:v>
      </x:c>
      <x:c r="F463" s="365" t="n">
        <x:v>44</x:v>
      </x:c>
      <x:c r="G463" s="365" t="str">
        <x:v>Highly toxic</x:v>
      </x:c>
      <x:c r="H463" s="365" t="str">
        <x:v>Inflict continuous toxic damage</x:v>
      </x:c>
      <x:c r="I463" s="365" t="str">
        <x:v>Unlocked</x:v>
      </x:c>
      <x:c r="J463" s="365" t="str">
        <x:v>01:00.00</x:v>
      </x:c>
      <x:c r="K463" s="365" t="str">
        <x:v>E027; Tier: T10; Directly visible tooltip; representative frame sampled at 0.5-second resolution.; Source frame: frames05s/h_0120.jpg</x:v>
      </x:c>
      <x:c r="L463" s="365" t="str">
        <x:v>1000025872.mp4</x:v>
      </x:c>
      <x:c r="M463" s="387" t="n">
        <x:f>IF(P463="OK",INDEX('Badge Lookup'!$B$6:$B$55,MATCH(F463,'Badge Lookup'!$A$6:$A$55,0)),0)</x:f>
        <x:v>480000</x:v>
      </x:c>
      <x:c r="N463" s="387" t="n">
        <x:f>IF(P463="OK",INDEX('Badge Lookup'!$C$6:$C$55,MATCH(F463,'Badge Lookup'!$A$6:$A$55,0)),0)</x:f>
        <x:v>3724300</x:v>
      </x:c>
      <x:c r="O463" s="388" t="n">
        <x:f>IF(P463="OK",INDEX('Badge Lookup'!$D$6:$D$55,MATCH(F463,'Badge Lookup'!$A$6:$A$55,0)),0)</x:f>
        <x:v>39.93</x:v>
      </x:c>
      <x:c r="P463" s="362" t="str">
        <x:f>IF(OR(G463="",F463=""),"Not scored",IF(AND(F463=INT(F463),F463&gt;=1,F463&lt;=50,COUNTIF('Badge Lookup'!$A$6:$A$55,F463)=1),"OK","Check lookup"))</x:f>
        <x:v>OK</x:v>
      </x:c>
      <x:c r="Q463" s="456" t="n">
        <x:f>IF(P463&lt;&gt;"OK","",IF(C463="Guards",-O463,O463))</x:f>
        <x:v>39.93</x:v>
      </x:c>
      <x:c r="R463" s="362" t="str">
        <x:f>IF(P463&lt;&gt;"OK","Not scored",IF(C463="Guards","Damage received reduction","Damage increase"))</x:f>
        <x:v>Damage increase</x:v>
      </x:c>
    </x:row>
    <x:row r="464" ht="32" customHeight="1">
      <x:c r="A464" s="365" t="str">
        <x:v>K176</x:v>
      </x:c>
      <x:c r="B464" s="365" t="str">
        <x:v>梦山河</x:v>
      </x:c>
      <x:c r="C464" s="365" t="str">
        <x:v>Cavalry</x:v>
      </x:c>
      <x:c r="D464" s="365" t="str">
        <x:v>Storm cavalry</x:v>
      </x:c>
      <x:c r="E464" s="365" t="str">
        <x:v>Horse archer</x:v>
      </x:c>
      <x:c r="F464" s="365" t="n">
        <x:v>49</x:v>
      </x:c>
      <x:c r="G464" s="365" t="str">
        <x:v>Mounted Archery</x:v>
      </x:c>
      <x:c r="H464" s="365" t="str">
        <x:v>Has a certain probability of causing fly-shooting damage</x:v>
      </x:c>
      <x:c r="I464" s="365" t="str">
        <x:v>Unlocked</x:v>
      </x:c>
      <x:c r="J464" s="365" t="str">
        <x:v>01:01.00</x:v>
      </x:c>
      <x:c r="K464" s="365" t="str">
        <x:v>E028; Tier: T9; Directly visible tooltip; representative frame sampled at 0.5-second resolution.; Source frame: frames05s/h_0122.jpg</x:v>
      </x:c>
      <x:c r="L464" s="365" t="str">
        <x:v>1000025872.mp4</x:v>
      </x:c>
      <x:c r="M464" s="387" t="n">
        <x:f>IF(P464="OK",INDEX('Badge Lookup'!$B$6:$B$55,MATCH(F464,'Badge Lookup'!$A$6:$A$55,0)),0)</x:f>
        <x:v>1400000</x:v>
      </x:c>
      <x:c r="N464" s="387" t="n">
        <x:f>IF(P464="OK",INDEX('Badge Lookup'!$C$6:$C$55,MATCH(F464,'Badge Lookup'!$A$6:$A$55,0)),0)</x:f>
        <x:v>8334300</x:v>
      </x:c>
      <x:c r="O464" s="388" t="n">
        <x:f>IF(P464="OK",INDEX('Badge Lookup'!$D$6:$D$55,MATCH(F464,'Badge Lookup'!$A$6:$A$55,0)),0)</x:f>
        <x:v>55.2</x:v>
      </x:c>
      <x:c r="P464" s="362" t="str">
        <x:f>IF(OR(G464="",F464=""),"Not scored",IF(AND(F464=INT(F464),F464&gt;=1,F464&lt;=50,COUNTIF('Badge Lookup'!$A$6:$A$55,F464)=1),"OK","Check lookup"))</x:f>
        <x:v>OK</x:v>
      </x:c>
      <x:c r="Q464" s="456" t="n">
        <x:f>IF(P464&lt;&gt;"OK","",IF(C464="Guards",-O464,O464))</x:f>
        <x:v>55.2</x:v>
      </x:c>
      <x:c r="R464" s="362" t="str">
        <x:f>IF(P464&lt;&gt;"OK","Not scored",IF(C464="Guards","Damage received reduction","Damage increase"))</x:f>
        <x:v>Damage increase</x:v>
      </x:c>
    </x:row>
    <x:row r="465" ht="32" customHeight="1">
      <x:c r="A465" s="365" t="str">
        <x:v>K176</x:v>
      </x:c>
      <x:c r="B465" s="365" t="str">
        <x:v>岑胖子</x:v>
      </x:c>
      <x:c r="C465" s="365" t="str">
        <x:v>Guards</x:v>
      </x:c>
      <x:c r="D465" s="365" t="str">
        <x:v>Destroyers</x:v>
      </x:c>
      <x:c r="E465" s="365" t="str">
        <x:v>Guard</x:v>
      </x:c>
      <x:c r="F465" s="365" t="n">
        <x:v>45</x:v>
      </x:c>
      <x:c r="G465" s="365" t="str">
        <x:v>Parry</x:v>
      </x:c>
      <x:c r="H465" s="365" t="str">
        <x:v>Provides a parry effect and a certain probability to increase damage</x:v>
      </x:c>
      <x:c r="I465" s="365" t="str">
        <x:v>Unlocked</x:v>
      </x:c>
      <x:c r="J465" s="365" t="str">
        <x:v>01:09.00</x:v>
      </x:c>
      <x:c r="K465" s="365" t="str">
        <x:v>E031; Tier: T10; Directly visible tooltip; representative frame sampled at 0.5-second resolution.; Source frame: frames05s/h_0138.jpg</x:v>
      </x:c>
      <x:c r="L465" s="365" t="str">
        <x:v>1000025872.mp4</x:v>
      </x:c>
      <x:c r="M465" s="387" t="n">
        <x:f>IF(P465="OK",INDEX('Badge Lookup'!$B$6:$B$55,MATCH(F465,'Badge Lookup'!$A$6:$A$55,0)),0)</x:f>
        <x:v>560000</x:v>
      </x:c>
      <x:c r="N465" s="387" t="n">
        <x:f>IF(P465="OK",INDEX('Badge Lookup'!$C$6:$C$55,MATCH(F465,'Badge Lookup'!$A$6:$A$55,0)),0)</x:f>
        <x:v>4284300</x:v>
      </x:c>
      <x:c r="O465" s="388" t="n">
        <x:f>IF(P465="OK",INDEX('Badge Lookup'!$D$6:$D$55,MATCH(F465,'Badge Lookup'!$A$6:$A$55,0)),0)</x:f>
        <x:v>41.98</x:v>
      </x:c>
      <x:c r="P465" s="362" t="str">
        <x:f>IF(OR(G465="",F465=""),"Not scored",IF(AND(F465=INT(F465),F465&gt;=1,F465&lt;=50,COUNTIF('Badge Lookup'!$A$6:$A$55,F465)=1),"OK","Check lookup"))</x:f>
        <x:v>OK</x:v>
      </x:c>
      <x:c r="Q465" s="456" t="n">
        <x:f>IF(P465&lt;&gt;"OK","",IF(C465="Guards",-O465,O465))</x:f>
        <x:v>-41.98</x:v>
      </x:c>
      <x:c r="R465" s="362" t="str">
        <x:f>IF(P465&lt;&gt;"OK","Not scored",IF(C465="Guards","Damage received reduction","Damage increase"))</x:f>
        <x:v>Damage received reduction</x:v>
      </x:c>
    </x:row>
    <x:row r="466" ht="32" customHeight="1">
      <x:c r="A466" s="365" t="str">
        <x:v>K176</x:v>
      </x:c>
      <x:c r="B466" s="365" t="str">
        <x:v>岑胖子</x:v>
      </x:c>
      <x:c r="C466" s="365" t="str">
        <x:v>Cavalry</x:v>
      </x:c>
      <x:c r="D466" s="365" t="str">
        <x:v>Eternal knights</x:v>
      </x:c>
      <x:c r="E466" s="365" t="str">
        <x:v>Heavy Cavalry</x:v>
      </x:c>
      <x:c r="F466" s="365" t="n">
        <x:v>45</x:v>
      </x:c>
      <x:c r="G466" s="365" t="str">
        <x:v>Thunder trample</x:v>
      </x:c>
      <x:c r="H466" s="365" t="str">
        <x:v>Has a certain probability of causing trampling damage</x:v>
      </x:c>
      <x:c r="I466" s="365" t="str">
        <x:v>Unlocked</x:v>
      </x:c>
      <x:c r="J466" s="365" t="str">
        <x:v>01:10.00</x:v>
      </x:c>
      <x:c r="K466" s="365" t="str">
        <x:v>E032; Tier: T10; Directly visible tooltip; representative frame sampled at 0.5-second resolution.; Source frame: frames05s/h_0140.jpg</x:v>
      </x:c>
      <x:c r="L466" s="365" t="str">
        <x:v>1000025872.mp4</x:v>
      </x:c>
      <x:c r="M466" s="387" t="n">
        <x:f>IF(P466="OK",INDEX('Badge Lookup'!$B$6:$B$55,MATCH(F466,'Badge Lookup'!$A$6:$A$55,0)),0)</x:f>
        <x:v>560000</x:v>
      </x:c>
      <x:c r="N466" s="387" t="n">
        <x:f>IF(P466="OK",INDEX('Badge Lookup'!$C$6:$C$55,MATCH(F466,'Badge Lookup'!$A$6:$A$55,0)),0)</x:f>
        <x:v>4284300</x:v>
      </x:c>
      <x:c r="O466" s="388" t="n">
        <x:f>IF(P466="OK",INDEX('Badge Lookup'!$D$6:$D$55,MATCH(F466,'Badge Lookup'!$A$6:$A$55,0)),0)</x:f>
        <x:v>41.98</x:v>
      </x:c>
      <x:c r="P466" s="362" t="str">
        <x:f>IF(OR(G466="",F466=""),"Not scored",IF(AND(F466=INT(F466),F466&gt;=1,F466&lt;=50,COUNTIF('Badge Lookup'!$A$6:$A$55,F466)=1),"OK","Check lookup"))</x:f>
        <x:v>OK</x:v>
      </x:c>
      <x:c r="Q466" s="456" t="n">
        <x:f>IF(P466&lt;&gt;"OK","",IF(C466="Guards",-O466,O466))</x:f>
        <x:v>41.98</x:v>
      </x:c>
      <x:c r="R466" s="362" t="str">
        <x:f>IF(P466&lt;&gt;"OK","Not scored",IF(C466="Guards","Damage received reduction","Damage increase"))</x:f>
        <x:v>Damage increase</x:v>
      </x:c>
    </x:row>
    <x:row r="467" ht="32" customHeight="1">
      <x:c r="A467" s="365" t="str">
        <x:v>K176</x:v>
      </x:c>
      <x:c r="B467" s="365" t="str">
        <x:v>岑胖子</x:v>
      </x:c>
      <x:c r="C467" s="365" t="str">
        <x:v>Archers</x:v>
      </x:c>
      <x:c r="D467" s="365" t="str">
        <x:v>Elite bowmen</x:v>
      </x:c>
      <x:c r="E467" s="365" t="str">
        <x:v>Archer</x:v>
      </x:c>
      <x:c r="F467" s="365" t="n">
        <x:v>31</x:v>
      </x:c>
      <x:c r="G467" s="365" t="str">
        <x:v>Frost Arrow</x:v>
      </x:c>
      <x:c r="H467" s="365" t="str">
        <x:v>Has a higher probability of activating ice damage</x:v>
      </x:c>
      <x:c r="I467" s="365" t="str">
        <x:v>Unlocked</x:v>
      </x:c>
      <x:c r="J467" s="365" t="str">
        <x:v>01:11.00</x:v>
      </x:c>
      <x:c r="K467" s="365" t="str">
        <x:v>E033; Tier: T10; Directly visible tooltip; representative frame sampled at 0.5-second resolution.; Source frame: frames05s/h_0142.jpg</x:v>
      </x:c>
      <x:c r="L467" s="365" t="str">
        <x:v>1000025872.mp4</x:v>
      </x:c>
      <x:c r="M467" s="387" t="n">
        <x:f>IF(P467="OK",INDEX('Badge Lookup'!$B$6:$B$55,MATCH(F467,'Badge Lookup'!$A$6:$A$55,0)),0)</x:f>
        <x:v>90000</x:v>
      </x:c>
      <x:c r="N467" s="387" t="n">
        <x:f>IF(P467="OK",INDEX('Badge Lookup'!$C$6:$C$55,MATCH(F467,'Badge Lookup'!$A$6:$A$55,0)),0)</x:f>
        <x:v>864300</x:v>
      </x:c>
      <x:c r="O467" s="388" t="n">
        <x:f>IF(P467="OK",INDEX('Badge Lookup'!$D$6:$D$55,MATCH(F467,'Badge Lookup'!$A$6:$A$55,0)),0)</x:f>
        <x:v>12.09</x:v>
      </x:c>
      <x:c r="P467" s="362" t="str">
        <x:f>IF(OR(G467="",F467=""),"Not scored",IF(AND(F467=INT(F467),F467&gt;=1,F467&lt;=50,COUNTIF('Badge Lookup'!$A$6:$A$55,F467)=1),"OK","Check lookup"))</x:f>
        <x:v>OK</x:v>
      </x:c>
      <x:c r="Q467" s="456" t="n">
        <x:f>IF(P467&lt;&gt;"OK","",IF(C467="Guards",-O467,O467))</x:f>
        <x:v>12.09</x:v>
      </x:c>
      <x:c r="R467" s="362" t="str">
        <x:f>IF(P467&lt;&gt;"OK","Not scored",IF(C467="Guards","Damage received reduction","Damage increase"))</x:f>
        <x:v>Damage increase</x:v>
      </x:c>
    </x:row>
    <x:row r="468" ht="32" customHeight="1">
      <x:c r="A468" s="365" t="str">
        <x:v>K176</x:v>
      </x:c>
      <x:c r="B468" s="365" t="str">
        <x:v>岑胖子</x:v>
      </x:c>
      <x:c r="C468" s="365" t="str">
        <x:v>Siege</x:v>
      </x:c>
      <x:c r="D468" s="365" t="str">
        <x:v>Manglers</x:v>
      </x:c>
      <x:c r="E468" s="365" t="str">
        <x:v>Siege</x:v>
      </x:c>
      <x:c r="F468" s="365" t="n">
        <x:v>20</x:v>
      </x:c>
      <x:c r="G468" s="365" t="str">
        <x:v>Highly toxic</x:v>
      </x:c>
      <x:c r="H468" s="365" t="str">
        <x:v>Inflict continuous toxic damage</x:v>
      </x:c>
      <x:c r="I468" s="365" t="str">
        <x:v>Unlocked</x:v>
      </x:c>
      <x:c r="J468" s="365" t="str">
        <x:v>01:12.00</x:v>
      </x:c>
      <x:c r="K468" s="365" t="str">
        <x:v>E034; Tier: T10; Directly visible tooltip; representative frame sampled at 0.5-second resolution.; Source frame: frames05s/h_0144.jpg</x:v>
      </x:c>
      <x:c r="L468" s="365" t="str">
        <x:v>1000025872.mp4</x:v>
      </x:c>
      <x:c r="M468" s="387" t="n">
        <x:f>IF(P468="OK",INDEX('Badge Lookup'!$B$6:$B$55,MATCH(F468,'Badge Lookup'!$A$6:$A$55,0)),0)</x:f>
        <x:v>40000</x:v>
      </x:c>
      <x:c r="N468" s="387" t="n">
        <x:f>IF(P468="OK",INDEX('Badge Lookup'!$C$6:$C$55,MATCH(F468,'Badge Lookup'!$A$6:$A$55,0)),0)</x:f>
        <x:v>184300</x:v>
      </x:c>
      <x:c r="O468" s="388" t="n">
        <x:f>IF(P468="OK",INDEX('Badge Lookup'!$D$6:$D$55,MATCH(F468,'Badge Lookup'!$A$6:$A$55,0)),0)</x:f>
        <x:v>3</x:v>
      </x:c>
      <x:c r="P468" s="362" t="str">
        <x:f>IF(OR(G468="",F468=""),"Not scored",IF(AND(F468=INT(F468),F468&gt;=1,F468&lt;=50,COUNTIF('Badge Lookup'!$A$6:$A$55,F468)=1),"OK","Check lookup"))</x:f>
        <x:v>OK</x:v>
      </x:c>
      <x:c r="Q468" s="456" t="n">
        <x:f>IF(P468&lt;&gt;"OK","",IF(C468="Guards",-O468,O468))</x:f>
        <x:v>3</x:v>
      </x:c>
      <x:c r="R468" s="362" t="str">
        <x:f>IF(P468&lt;&gt;"OK","Not scored",IF(C468="Guards","Damage received reduction","Damage increase"))</x:f>
        <x:v>Damage increase</x:v>
      </x:c>
    </x:row>
    <x:row r="469" ht="32" customHeight="1">
      <x:c r="A469" s="365" t="str">
        <x:v>K176</x:v>
      </x:c>
      <x:c r="B469" s="365" t="str">
        <x:v>岑胖子</x:v>
      </x:c>
      <x:c r="C469" s="365" t="str">
        <x:v>Cavalry</x:v>
      </x:c>
      <x:c r="D469" s="365" t="str">
        <x:v>Storm cavalry</x:v>
      </x:c>
      <x:c r="E469" s="365" t="str">
        <x:v>Horse archer</x:v>
      </x:c>
      <x:c r="F469" s="365" t="n">
        <x:v>46</x:v>
      </x:c>
      <x:c r="G469" s="365" t="str">
        <x:v>Mounted Archery</x:v>
      </x:c>
      <x:c r="H469" s="365" t="str">
        <x:v>Has a certain probability of causing fly-shooting damage</x:v>
      </x:c>
      <x:c r="I469" s="365" t="str">
        <x:v>Unlocked</x:v>
      </x:c>
      <x:c r="J469" s="365" t="str">
        <x:v>01:12.50</x:v>
      </x:c>
      <x:c r="K469" s="365" t="str">
        <x:v>E035; Tier: T9; Directly visible tooltip; representative frame sampled at 0.5-second resolution.; Source frame: frames05s/h_0145.jpg</x:v>
      </x:c>
      <x:c r="L469" s="365" t="str">
        <x:v>1000025872.mp4</x:v>
      </x:c>
      <x:c r="M469" s="387" t="n">
        <x:f>IF(P469="OK",INDEX('Badge Lookup'!$B$6:$B$55,MATCH(F469,'Badge Lookup'!$A$6:$A$55,0)),0)</x:f>
        <x:v>720000</x:v>
      </x:c>
      <x:c r="N469" s="387" t="n">
        <x:f>IF(P469="OK",INDEX('Badge Lookup'!$C$6:$C$55,MATCH(F469,'Badge Lookup'!$A$6:$A$55,0)),0)</x:f>
        <x:v>5004300</x:v>
      </x:c>
      <x:c r="O469" s="388" t="n">
        <x:f>IF(P469="OK",INDEX('Badge Lookup'!$D$6:$D$55,MATCH(F469,'Badge Lookup'!$A$6:$A$55,0)),0)</x:f>
        <x:v>45.13</x:v>
      </x:c>
      <x:c r="P469" s="362" t="str">
        <x:f>IF(OR(G469="",F469=""),"Not scored",IF(AND(F469=INT(F469),F469&gt;=1,F469&lt;=50,COUNTIF('Badge Lookup'!$A$6:$A$55,F469)=1),"OK","Check lookup"))</x:f>
        <x:v>OK</x:v>
      </x:c>
      <x:c r="Q469" s="456" t="n">
        <x:f>IF(P469&lt;&gt;"OK","",IF(C469="Guards",-O469,O469))</x:f>
        <x:v>45.13</x:v>
      </x:c>
      <x:c r="R469" s="362" t="str">
        <x:f>IF(P469&lt;&gt;"OK","Not scored",IF(C469="Guards","Damage received reduction","Damage increase"))</x:f>
        <x:v>Damage increase</x:v>
      </x:c>
    </x:row>
    <x:row r="470" ht="32" customHeight="1">
      <x:c r="A470" s="365" t="str">
        <x:v>K176</x:v>
      </x:c>
      <x:c r="B470" s="365" t="str">
        <x:v>♱Seraphim織羽♱</x:v>
      </x:c>
      <x:c r="C470" s="365" t="str">
        <x:v>Guards</x:v>
      </x:c>
      <x:c r="D470" s="365" t="str">
        <x:v>Destroyers</x:v>
      </x:c>
      <x:c r="E470" s="365" t="str">
        <x:v>Guard</x:v>
      </x:c>
      <x:c r="F470" s="365" t="n">
        <x:v>45</x:v>
      </x:c>
      <x:c r="G470" s="365" t="str">
        <x:v>Parry</x:v>
      </x:c>
      <x:c r="H470" s="365" t="str">
        <x:v>Provides a parry effect and a certain probability to increase damage</x:v>
      </x:c>
      <x:c r="I470" s="365" t="str">
        <x:v>Unlocked</x:v>
      </x:c>
      <x:c r="J470" s="365" t="str">
        <x:v>01:46.00</x:v>
      </x:c>
      <x:c r="K470" s="365" t="str">
        <x:v>E038; Tier: T10; Directly visible tooltip; representative frame sampled at 0.5-second resolution.; Source frame: frames05s/h_0212.jpg</x:v>
      </x:c>
      <x:c r="L470" s="365" t="str">
        <x:v>1000025872.mp4</x:v>
      </x:c>
      <x:c r="M470" s="387" t="n">
        <x:f>IF(P470="OK",INDEX('Badge Lookup'!$B$6:$B$55,MATCH(F470,'Badge Lookup'!$A$6:$A$55,0)),0)</x:f>
        <x:v>560000</x:v>
      </x:c>
      <x:c r="N470" s="387" t="n">
        <x:f>IF(P470="OK",INDEX('Badge Lookup'!$C$6:$C$55,MATCH(F470,'Badge Lookup'!$A$6:$A$55,0)),0)</x:f>
        <x:v>4284300</x:v>
      </x:c>
      <x:c r="O470" s="388" t="n">
        <x:f>IF(P470="OK",INDEX('Badge Lookup'!$D$6:$D$55,MATCH(F470,'Badge Lookup'!$A$6:$A$55,0)),0)</x:f>
        <x:v>41.98</x:v>
      </x:c>
      <x:c r="P470" s="362" t="str">
        <x:f>IF(OR(G470="",F470=""),"Not scored",IF(AND(F470=INT(F470),F470&gt;=1,F470&lt;=50,COUNTIF('Badge Lookup'!$A$6:$A$55,F470)=1),"OK","Check lookup"))</x:f>
        <x:v>OK</x:v>
      </x:c>
      <x:c r="Q470" s="456" t="n">
        <x:f>IF(P470&lt;&gt;"OK","",IF(C470="Guards",-O470,O470))</x:f>
        <x:v>-41.98</x:v>
      </x:c>
      <x:c r="R470" s="362" t="str">
        <x:f>IF(P470&lt;&gt;"OK","Not scored",IF(C470="Guards","Damage received reduction","Damage increase"))</x:f>
        <x:v>Damage received reduction</x:v>
      </x:c>
    </x:row>
    <x:row r="471" ht="32" customHeight="1">
      <x:c r="A471" s="365" t="str">
        <x:v>K176</x:v>
      </x:c>
      <x:c r="B471" s="365" t="str">
        <x:v>♱Seraphim織羽♱</x:v>
      </x:c>
      <x:c r="C471" s="365" t="str">
        <x:v>Cavalry</x:v>
      </x:c>
      <x:c r="D471" s="365" t="str">
        <x:v>Eternal knights</x:v>
      </x:c>
      <x:c r="E471" s="365" t="str">
        <x:v>Heavy Cavalry</x:v>
      </x:c>
      <x:c r="F471" s="365" t="n">
        <x:v>49</x:v>
      </x:c>
      <x:c r="G471" s="365" t="str">
        <x:v>Thunder trample</x:v>
      </x:c>
      <x:c r="H471" s="365" t="str">
        <x:v>Has a certain probability of causing trampling damage</x:v>
      </x:c>
      <x:c r="I471" s="365" t="str">
        <x:v>Unlocked</x:v>
      </x:c>
      <x:c r="J471" s="365" t="str">
        <x:v>01:47.50</x:v>
      </x:c>
      <x:c r="K471" s="365" t="str">
        <x:v>E039; Tier: T10; Directly visible tooltip; representative frame sampled at 0.5-second resolution.; Source frame: frames05s/h_0215.jpg</x:v>
      </x:c>
      <x:c r="L471" s="365" t="str">
        <x:v>1000025872.mp4</x:v>
      </x:c>
      <x:c r="M471" s="387" t="n">
        <x:f>IF(P471="OK",INDEX('Badge Lookup'!$B$6:$B$55,MATCH(F471,'Badge Lookup'!$A$6:$A$55,0)),0)</x:f>
        <x:v>1400000</x:v>
      </x:c>
      <x:c r="N471" s="387" t="n">
        <x:f>IF(P471="OK",INDEX('Badge Lookup'!$C$6:$C$55,MATCH(F471,'Badge Lookup'!$A$6:$A$55,0)),0)</x:f>
        <x:v>8334300</x:v>
      </x:c>
      <x:c r="O471" s="388" t="n">
        <x:f>IF(P471="OK",INDEX('Badge Lookup'!$D$6:$D$55,MATCH(F471,'Badge Lookup'!$A$6:$A$55,0)),0)</x:f>
        <x:v>55.2</x:v>
      </x:c>
      <x:c r="P471" s="362" t="str">
        <x:f>IF(OR(G471="",F471=""),"Not scored",IF(AND(F471=INT(F471),F471&gt;=1,F471&lt;=50,COUNTIF('Badge Lookup'!$A$6:$A$55,F471)=1),"OK","Check lookup"))</x:f>
        <x:v>OK</x:v>
      </x:c>
      <x:c r="Q471" s="456" t="n">
        <x:f>IF(P471&lt;&gt;"OK","",IF(C471="Guards",-O471,O471))</x:f>
        <x:v>55.2</x:v>
      </x:c>
      <x:c r="R471" s="362" t="str">
        <x:f>IF(P471&lt;&gt;"OK","Not scored",IF(C471="Guards","Damage received reduction","Damage increase"))</x:f>
        <x:v>Damage increase</x:v>
      </x:c>
    </x:row>
    <x:row r="472" ht="32" customHeight="1">
      <x:c r="A472" s="365" t="str">
        <x:v>K176</x:v>
      </x:c>
      <x:c r="B472" s="365" t="str">
        <x:v>♱Seraphim織羽♱</x:v>
      </x:c>
      <x:c r="C472" s="365" t="str">
        <x:v>Siege</x:v>
      </x:c>
      <x:c r="D472" s="365" t="str">
        <x:v>Manglers</x:v>
      </x:c>
      <x:c r="E472" s="365" t="str">
        <x:v>Siege</x:v>
      </x:c>
      <x:c r="F472" s="365" t="n">
        <x:v>40</x:v>
      </x:c>
      <x:c r="G472" s="365" t="str">
        <x:v>Highly toxic</x:v>
      </x:c>
      <x:c r="H472" s="365" t="str">
        <x:v>Inflict continuous toxic damage</x:v>
      </x:c>
      <x:c r="I472" s="365" t="str">
        <x:v>Unlocked</x:v>
      </x:c>
      <x:c r="J472" s="365" t="str">
        <x:v>01:49.50</x:v>
      </x:c>
      <x:c r="K472" s="365" t="str">
        <x:v>E040; Tier: T10; Directly visible tooltip; representative frame sampled at 0.5-second resolution.; Source frame: frames05s/h_0219.jpg</x:v>
      </x:c>
      <x:c r="L472" s="365" t="str">
        <x:v>1000025872.mp4</x:v>
      </x:c>
      <x:c r="M472" s="387" t="n">
        <x:f>IF(P472="OK",INDEX('Badge Lookup'!$B$6:$B$55,MATCH(F472,'Badge Lookup'!$A$6:$A$55,0)),0)</x:f>
        <x:v>240000</x:v>
      </x:c>
      <x:c r="N472" s="387" t="n">
        <x:f>IF(P472="OK",INDEX('Badge Lookup'!$C$6:$C$55,MATCH(F472,'Badge Lookup'!$A$6:$A$55,0)),0)</x:f>
        <x:v>2244300</x:v>
      </x:c>
      <x:c r="O472" s="388" t="n">
        <x:f>IF(P472="OK",INDEX('Badge Lookup'!$D$6:$D$55,MATCH(F472,'Badge Lookup'!$A$6:$A$55,0)),0)</x:f>
        <x:v>27.74</x:v>
      </x:c>
      <x:c r="P472" s="362" t="str">
        <x:f>IF(OR(G472="",F472=""),"Not scored",IF(AND(F472=INT(F472),F472&gt;=1,F472&lt;=50,COUNTIF('Badge Lookup'!$A$6:$A$55,F472)=1),"OK","Check lookup"))</x:f>
        <x:v>OK</x:v>
      </x:c>
      <x:c r="Q472" s="456" t="n">
        <x:f>IF(P472&lt;&gt;"OK","",IF(C472="Guards",-O472,O472))</x:f>
        <x:v>27.74</x:v>
      </x:c>
      <x:c r="R472" s="362" t="str">
        <x:f>IF(P472&lt;&gt;"OK","Not scored",IF(C472="Guards","Damage received reduction","Damage increase"))</x:f>
        <x:v>Damage increase</x:v>
      </x:c>
    </x:row>
    <x:row r="473" ht="32" customHeight="1">
      <x:c r="A473" s="365" t="str">
        <x:v>K176</x:v>
      </x:c>
      <x:c r="B473" s="365" t="str">
        <x:v>♱Seraphim織羽♱</x:v>
      </x:c>
      <x:c r="C473" s="365" t="str">
        <x:v>Cavalry</x:v>
      </x:c>
      <x:c r="D473" s="365" t="str">
        <x:v>Storm cavalry</x:v>
      </x:c>
      <x:c r="E473" s="365" t="str">
        <x:v>Horse archer</x:v>
      </x:c>
      <x:c r="F473" s="365" t="n">
        <x:v>49</x:v>
      </x:c>
      <x:c r="G473" s="365" t="str">
        <x:v>Mounted Archery</x:v>
      </x:c>
      <x:c r="H473" s="365" t="str">
        <x:v>Has a certain probability of causing fly-shooting damage</x:v>
      </x:c>
      <x:c r="I473" s="365" t="str">
        <x:v>Unlocked</x:v>
      </x:c>
      <x:c r="J473" s="365" t="str">
        <x:v>01:51.00</x:v>
      </x:c>
      <x:c r="K473" s="365" t="str">
        <x:v>E041; Tier: T9; Directly visible tooltip; representative frame sampled at 0.5-second resolution.; Source frame: frames05s/h_0222.jpg</x:v>
      </x:c>
      <x:c r="L473" s="365" t="str">
        <x:v>1000025872.mp4</x:v>
      </x:c>
      <x:c r="M473" s="387" t="n">
        <x:f>IF(P473="OK",INDEX('Badge Lookup'!$B$6:$B$55,MATCH(F473,'Badge Lookup'!$A$6:$A$55,0)),0)</x:f>
        <x:v>1400000</x:v>
      </x:c>
      <x:c r="N473" s="387" t="n">
        <x:f>IF(P473="OK",INDEX('Badge Lookup'!$C$6:$C$55,MATCH(F473,'Badge Lookup'!$A$6:$A$55,0)),0)</x:f>
        <x:v>8334300</x:v>
      </x:c>
      <x:c r="O473" s="388" t="n">
        <x:f>IF(P473="OK",INDEX('Badge Lookup'!$D$6:$D$55,MATCH(F473,'Badge Lookup'!$A$6:$A$55,0)),0)</x:f>
        <x:v>55.2</x:v>
      </x:c>
      <x:c r="P473" s="362" t="str">
        <x:f>IF(OR(G473="",F473=""),"Not scored",IF(AND(F473=INT(F473),F473&gt;=1,F473&lt;=50,COUNTIF('Badge Lookup'!$A$6:$A$55,F473)=1),"OK","Check lookup"))</x:f>
        <x:v>OK</x:v>
      </x:c>
      <x:c r="Q473" s="456" t="n">
        <x:f>IF(P473&lt;&gt;"OK","",IF(C473="Guards",-O473,O473))</x:f>
        <x:v>55.2</x:v>
      </x:c>
      <x:c r="R473" s="362" t="str">
        <x:f>IF(P473&lt;&gt;"OK","Not scored",IF(C473="Guards","Damage received reduction","Damage increase"))</x:f>
        <x:v>Damage increase</x:v>
      </x:c>
    </x:row>
    <x:row r="474" ht="32" customHeight="1">
      <x:c r="A474" s="365" t="str">
        <x:v>K176</x:v>
      </x:c>
      <x:c r="B474" s="365" t="str">
        <x:v>ʚ老⑥ɞ</x:v>
      </x:c>
      <x:c r="C474" s="365" t="str">
        <x:v>Cavalry</x:v>
      </x:c>
      <x:c r="D474" s="365" t="str">
        <x:v>Eternal knights</x:v>
      </x:c>
      <x:c r="E474" s="365" t="str">
        <x:v>Heavy Cavalry</x:v>
      </x:c>
      <x:c r="F474" s="365" t="n">
        <x:v>43</x:v>
      </x:c>
      <x:c r="G474" s="365" t="str">
        <x:v>Thunder trample</x:v>
      </x:c>
      <x:c r="H474" s="365" t="str">
        <x:v>Has a certain probability of causing trampling damage</x:v>
      </x:c>
      <x:c r="I474" s="365" t="str">
        <x:v>Unlocked</x:v>
      </x:c>
      <x:c r="J474" s="365" t="str">
        <x:v>02:01.00</x:v>
      </x:c>
      <x:c r="K474" s="365" t="str">
        <x:v>E044; Tier: T10; Directly visible tooltip; representative frame sampled at 0.5-second resolution.; Source frame: frames05s/h_0242.jpg</x:v>
      </x:c>
      <x:c r="L474" s="365" t="str">
        <x:v>1000025872.mp4</x:v>
      </x:c>
      <x:c r="M474" s="387" t="n">
        <x:f>IF(P474="OK",INDEX('Badge Lookup'!$B$6:$B$55,MATCH(F474,'Badge Lookup'!$A$6:$A$55,0)),0)</x:f>
        <x:v>400000</x:v>
      </x:c>
      <x:c r="N474" s="387" t="n">
        <x:f>IF(P474="OK",INDEX('Badge Lookup'!$C$6:$C$55,MATCH(F474,'Badge Lookup'!$A$6:$A$55,0)),0)</x:f>
        <x:v>3244300</x:v>
      </x:c>
      <x:c r="O474" s="388" t="n">
        <x:f>IF(P474="OK",INDEX('Badge Lookup'!$D$6:$D$55,MATCH(F474,'Badge Lookup'!$A$6:$A$55,0)),0)</x:f>
        <x:v>35.98</x:v>
      </x:c>
      <x:c r="P474" s="362" t="str">
        <x:f>IF(OR(G474="",F474=""),"Not scored",IF(AND(F474=INT(F474),F474&gt;=1,F474&lt;=50,COUNTIF('Badge Lookup'!$A$6:$A$55,F474)=1),"OK","Check lookup"))</x:f>
        <x:v>OK</x:v>
      </x:c>
      <x:c r="Q474" s="456" t="n">
        <x:f>IF(P474&lt;&gt;"OK","",IF(C474="Guards",-O474,O474))</x:f>
        <x:v>35.98</x:v>
      </x:c>
      <x:c r="R474" s="362" t="str">
        <x:f>IF(P474&lt;&gt;"OK","Not scored",IF(C474="Guards","Damage received reduction","Damage increase"))</x:f>
        <x:v>Damage increase</x:v>
      </x:c>
    </x:row>
    <x:row r="475" ht="32" customHeight="1">
      <x:c r="A475" s="365" t="str">
        <x:v>K176</x:v>
      </x:c>
      <x:c r="B475" s="365" t="str">
        <x:v>ʚ老⑥ɞ</x:v>
      </x:c>
      <x:c r="C475" s="365" t="str">
        <x:v>Archers</x:v>
      </x:c>
      <x:c r="D475" s="365" t="str">
        <x:v>Elite bowmen</x:v>
      </x:c>
      <x:c r="E475" s="365" t="str">
        <x:v>Archer</x:v>
      </x:c>
      <x:c r="F475" s="365" t="n">
        <x:v>43</x:v>
      </x:c>
      <x:c r="G475" s="365" t="str">
        <x:v>Frost Arrow</x:v>
      </x:c>
      <x:c r="H475" s="365" t="str">
        <x:v>Has a higher probability of activating ice damage</x:v>
      </x:c>
      <x:c r="I475" s="365" t="str">
        <x:v>Unlocked</x:v>
      </x:c>
      <x:c r="J475" s="365" t="str">
        <x:v>02:02.00</x:v>
      </x:c>
      <x:c r="K475" s="365" t="str">
        <x:v>E045; Tier: T10; Directly visible tooltip; representative frame sampled at 0.5-second resolution.; Source frame: frames05s/h_0244.jpg</x:v>
      </x:c>
      <x:c r="L475" s="365" t="str">
        <x:v>1000025872.mp4</x:v>
      </x:c>
      <x:c r="M475" s="387" t="n">
        <x:f>IF(P475="OK",INDEX('Badge Lookup'!$B$6:$B$55,MATCH(F475,'Badge Lookup'!$A$6:$A$55,0)),0)</x:f>
        <x:v>400000</x:v>
      </x:c>
      <x:c r="N475" s="387" t="n">
        <x:f>IF(P475="OK",INDEX('Badge Lookup'!$C$6:$C$55,MATCH(F475,'Badge Lookup'!$A$6:$A$55,0)),0)</x:f>
        <x:v>3244300</x:v>
      </x:c>
      <x:c r="O475" s="388" t="n">
        <x:f>IF(P475="OK",INDEX('Badge Lookup'!$D$6:$D$55,MATCH(F475,'Badge Lookup'!$A$6:$A$55,0)),0)</x:f>
        <x:v>35.98</x:v>
      </x:c>
      <x:c r="P475" s="362" t="str">
        <x:f>IF(OR(G475="",F475=""),"Not scored",IF(AND(F475=INT(F475),F475&gt;=1,F475&lt;=50,COUNTIF('Badge Lookup'!$A$6:$A$55,F475)=1),"OK","Check lookup"))</x:f>
        <x:v>OK</x:v>
      </x:c>
      <x:c r="Q475" s="456" t="n">
        <x:f>IF(P475&lt;&gt;"OK","",IF(C475="Guards",-O475,O475))</x:f>
        <x:v>35.98</x:v>
      </x:c>
      <x:c r="R475" s="362" t="str">
        <x:f>IF(P475&lt;&gt;"OK","Not scored",IF(C475="Guards","Damage received reduction","Damage increase"))</x:f>
        <x:v>Damage increase</x:v>
      </x:c>
    </x:row>
    <x:row r="476" ht="32" customHeight="1">
      <x:c r="A476" s="365" t="str">
        <x:v>K176</x:v>
      </x:c>
      <x:c r="B476" s="365" t="str">
        <x:v>ʚ老⑥ɞ</x:v>
      </x:c>
      <x:c r="C476" s="365" t="str">
        <x:v>Guards</x:v>
      </x:c>
      <x:c r="D476" s="365" t="str">
        <x:v>Immortal spearman</x:v>
      </x:c>
      <x:c r="E476" s="365" t="str">
        <x:v>Spearman</x:v>
      </x:c>
      <x:c r="F476" s="365" t="n">
        <x:v>43</x:v>
      </x:c>
      <x:c r="G476" s="365" t="str">
        <x:v>Bloodthirst Spear</x:v>
      </x:c>
      <x:c r="H476" s="365" t="str">
        <x:v>Has a low probability of initiating bloodthirsty damage</x:v>
      </x:c>
      <x:c r="I476" s="365" t="str">
        <x:v>Unlocked</x:v>
      </x:c>
      <x:c r="J476" s="365" t="str">
        <x:v>02:03.50</x:v>
      </x:c>
      <x:c r="K476" s="365" t="str">
        <x:v>E046; Tier: T9; Directly visible tooltip; representative frame sampled at 0.5-second resolution.; Source frame: frames05s/h_0247.jpg</x:v>
      </x:c>
      <x:c r="L476" s="365" t="str">
        <x:v>1000025872.mp4</x:v>
      </x:c>
      <x:c r="M476" s="387" t="n">
        <x:f>IF(P476="OK",INDEX('Badge Lookup'!$B$6:$B$55,MATCH(F476,'Badge Lookup'!$A$6:$A$55,0)),0)</x:f>
        <x:v>400000</x:v>
      </x:c>
      <x:c r="N476" s="387" t="n">
        <x:f>IF(P476="OK",INDEX('Badge Lookup'!$C$6:$C$55,MATCH(F476,'Badge Lookup'!$A$6:$A$55,0)),0)</x:f>
        <x:v>3244300</x:v>
      </x:c>
      <x:c r="O476" s="388" t="n">
        <x:f>IF(P476="OK",INDEX('Badge Lookup'!$D$6:$D$55,MATCH(F476,'Badge Lookup'!$A$6:$A$55,0)),0)</x:f>
        <x:v>35.98</x:v>
      </x:c>
      <x:c r="P476" s="362" t="str">
        <x:f>IF(OR(G476="",F476=""),"Not scored",IF(AND(F476=INT(F476),F476&gt;=1,F476&lt;=50,COUNTIF('Badge Lookup'!$A$6:$A$55,F476)=1),"OK","Check lookup"))</x:f>
        <x:v>OK</x:v>
      </x:c>
      <x:c r="Q476" s="456" t="n">
        <x:f>IF(P476&lt;&gt;"OK","",IF(C476="Guards",-O476,O476))</x:f>
        <x:v>-35.98</x:v>
      </x:c>
      <x:c r="R476" s="362" t="str">
        <x:f>IF(P476&lt;&gt;"OK","Not scored",IF(C476="Guards","Damage received reduction","Damage increase"))</x:f>
        <x:v>Damage received reduction</x:v>
      </x:c>
    </x:row>
    <x:row r="477" ht="32" customHeight="1">
      <x:c r="A477" s="365" t="str">
        <x:v>K176</x:v>
      </x:c>
      <x:c r="B477" s="365" t="str">
        <x:v>ʚ老⑥ɞ</x:v>
      </x:c>
      <x:c r="C477" s="365" t="str">
        <x:v>Cavalry</x:v>
      </x:c>
      <x:c r="D477" s="365" t="str">
        <x:v>Storm cavalry</x:v>
      </x:c>
      <x:c r="E477" s="365" t="str">
        <x:v>Horse archer</x:v>
      </x:c>
      <x:c r="F477" s="365" t="n">
        <x:v>43</x:v>
      </x:c>
      <x:c r="G477" s="365" t="str">
        <x:v>Mounted Archery</x:v>
      </x:c>
      <x:c r="H477" s="365" t="str">
        <x:v>Has a certain probability of causing fly-shooting damage</x:v>
      </x:c>
      <x:c r="I477" s="365" t="str">
        <x:v>Unlocked</x:v>
      </x:c>
      <x:c r="J477" s="365" t="str">
        <x:v>02:04.50</x:v>
      </x:c>
      <x:c r="K477" s="365" t="str">
        <x:v>E047; Tier: T9; Directly visible tooltip; representative frame sampled at 0.5-second resolution.; Source frame: frames05s/h_0249.jpg</x:v>
      </x:c>
      <x:c r="L477" s="365" t="str">
        <x:v>1000025872.mp4</x:v>
      </x:c>
      <x:c r="M477" s="387" t="n">
        <x:f>IF(P477="OK",INDEX('Badge Lookup'!$B$6:$B$55,MATCH(F477,'Badge Lookup'!$A$6:$A$55,0)),0)</x:f>
        <x:v>400000</x:v>
      </x:c>
      <x:c r="N477" s="387" t="n">
        <x:f>IF(P477="OK",INDEX('Badge Lookup'!$C$6:$C$55,MATCH(F477,'Badge Lookup'!$A$6:$A$55,0)),0)</x:f>
        <x:v>3244300</x:v>
      </x:c>
      <x:c r="O477" s="388" t="n">
        <x:f>IF(P477="OK",INDEX('Badge Lookup'!$D$6:$D$55,MATCH(F477,'Badge Lookup'!$A$6:$A$55,0)),0)</x:f>
        <x:v>35.98</x:v>
      </x:c>
      <x:c r="P477" s="362" t="str">
        <x:f>IF(OR(G477="",F477=""),"Not scored",IF(AND(F477=INT(F477),F477&gt;=1,F477&lt;=50,COUNTIF('Badge Lookup'!$A$6:$A$55,F477)=1),"OK","Check lookup"))</x:f>
        <x:v>OK</x:v>
      </x:c>
      <x:c r="Q477" s="456" t="n">
        <x:f>IF(P477&lt;&gt;"OK","",IF(C477="Guards",-O477,O477))</x:f>
        <x:v>35.98</x:v>
      </x:c>
      <x:c r="R477" s="362" t="str">
        <x:f>IF(P477&lt;&gt;"OK","Not scored",IF(C477="Guards","Damage received reduction","Damage increase"))</x:f>
        <x:v>Damage increase</x:v>
      </x:c>
    </x:row>
    <x:row r="478" ht="32" customHeight="1">
      <x:c r="A478" s="365" t="str">
        <x:v>K176</x:v>
      </x:c>
      <x:c r="B478" s="365" t="str">
        <x:v>ʚ老⑥ɞ</x:v>
      </x:c>
      <x:c r="C478" s="365" t="str">
        <x:v>Siege</x:v>
      </x:c>
      <x:c r="D478" s="365" t="str">
        <x:v>End siege</x:v>
      </x:c>
      <x:c r="E478" s="365" t="str">
        <x:v>Siege</x:v>
      </x:c>
      <x:c r="F478" s="365" t="n">
        <x:v>43</x:v>
      </x:c>
      <x:c r="G478" s="365" t="str">
        <x:v>Highly toxic</x:v>
      </x:c>
      <x:c r="H478" s="365" t="str">
        <x:v>Inflict continuous toxic damage</x:v>
      </x:c>
      <x:c r="I478" s="365" t="str">
        <x:v>Unlocked</x:v>
      </x:c>
      <x:c r="J478" s="365" t="str">
        <x:v>02:06.00</x:v>
      </x:c>
      <x:c r="K478" s="365" t="str">
        <x:v>E049; Tier: T8; Directly visible tooltip; representative frame sampled at 0.5-second resolution.; Source frame: frames05s/h_0252.jpg</x:v>
      </x:c>
      <x:c r="L478" s="365" t="str">
        <x:v>1000025872.mp4</x:v>
      </x:c>
      <x:c r="M478" s="387" t="n">
        <x:f>IF(P478="OK",INDEX('Badge Lookup'!$B$6:$B$55,MATCH(F478,'Badge Lookup'!$A$6:$A$55,0)),0)</x:f>
        <x:v>400000</x:v>
      </x:c>
      <x:c r="N478" s="387" t="n">
        <x:f>IF(P478="OK",INDEX('Badge Lookup'!$C$6:$C$55,MATCH(F478,'Badge Lookup'!$A$6:$A$55,0)),0)</x:f>
        <x:v>3244300</x:v>
      </x:c>
      <x:c r="O478" s="388" t="n">
        <x:f>IF(P478="OK",INDEX('Badge Lookup'!$D$6:$D$55,MATCH(F478,'Badge Lookup'!$A$6:$A$55,0)),0)</x:f>
        <x:v>35.98</x:v>
      </x:c>
      <x:c r="P478" s="362" t="str">
        <x:f>IF(OR(G478="",F478=""),"Not scored",IF(AND(F478=INT(F478),F478&gt;=1,F478&lt;=50,COUNTIF('Badge Lookup'!$A$6:$A$55,F478)=1),"OK","Check lookup"))</x:f>
        <x:v>OK</x:v>
      </x:c>
      <x:c r="Q478" s="456" t="n">
        <x:f>IF(P478&lt;&gt;"OK","",IF(C478="Guards",-O478,O478))</x:f>
        <x:v>35.98</x:v>
      </x:c>
      <x:c r="R478" s="362" t="str">
        <x:f>IF(P478&lt;&gt;"OK","Not scored",IF(C478="Guards","Damage received reduction","Damage increase"))</x:f>
        <x:v>Damage increase</x:v>
      </x:c>
    </x:row>
    <x:row r="479" ht="32" customHeight="1">
      <x:c r="A479" s="365" t="str">
        <x:v>K176</x:v>
      </x:c>
      <x:c r="B479" s="365" t="str">
        <x:v>灰色轨迹</x:v>
      </x:c>
      <x:c r="C479" s="365" t="str">
        <x:v>Guards</x:v>
      </x:c>
      <x:c r="D479" s="365" t="str">
        <x:v>Destroyers</x:v>
      </x:c>
      <x:c r="E479" s="365" t="str">
        <x:v>Guard</x:v>
      </x:c>
      <x:c r="F479" s="365" t="n">
        <x:v>45</x:v>
      </x:c>
      <x:c r="G479" s="365" t="str">
        <x:v>Parry</x:v>
      </x:c>
      <x:c r="H479" s="365" t="str">
        <x:v>Provides a parry effect and a certain probability to increase damage</x:v>
      </x:c>
      <x:c r="I479" s="365" t="str">
        <x:v>Unlocked</x:v>
      </x:c>
      <x:c r="J479" s="365" t="str">
        <x:v>02:11.50</x:v>
      </x:c>
      <x:c r="K479" s="365" t="str">
        <x:v>E050; Tier: T10; Directly visible tooltip; representative frame sampled at 0.5-second resolution.; Source frame: frames05s/h_0263.jpg</x:v>
      </x:c>
      <x:c r="L479" s="365" t="str">
        <x:v>1000025872.mp4</x:v>
      </x:c>
      <x:c r="M479" s="387" t="n">
        <x:f>IF(P479="OK",INDEX('Badge Lookup'!$B$6:$B$55,MATCH(F479,'Badge Lookup'!$A$6:$A$55,0)),0)</x:f>
        <x:v>560000</x:v>
      </x:c>
      <x:c r="N479" s="387" t="n">
        <x:f>IF(P479="OK",INDEX('Badge Lookup'!$C$6:$C$55,MATCH(F479,'Badge Lookup'!$A$6:$A$55,0)),0)</x:f>
        <x:v>4284300</x:v>
      </x:c>
      <x:c r="O479" s="388" t="n">
        <x:f>IF(P479="OK",INDEX('Badge Lookup'!$D$6:$D$55,MATCH(F479,'Badge Lookup'!$A$6:$A$55,0)),0)</x:f>
        <x:v>41.98</x:v>
      </x:c>
      <x:c r="P479" s="362" t="str">
        <x:f>IF(OR(G479="",F479=""),"Not scored",IF(AND(F479=INT(F479),F479&gt;=1,F479&lt;=50,COUNTIF('Badge Lookup'!$A$6:$A$55,F479)=1),"OK","Check lookup"))</x:f>
        <x:v>OK</x:v>
      </x:c>
      <x:c r="Q479" s="456" t="n">
        <x:f>IF(P479&lt;&gt;"OK","",IF(C479="Guards",-O479,O479))</x:f>
        <x:v>-41.98</x:v>
      </x:c>
      <x:c r="R479" s="362" t="str">
        <x:f>IF(P479&lt;&gt;"OK","Not scored",IF(C479="Guards","Damage received reduction","Damage increase"))</x:f>
        <x:v>Damage received reduction</x:v>
      </x:c>
    </x:row>
    <x:row r="480" ht="32" customHeight="1">
      <x:c r="A480" s="365" t="str">
        <x:v>K176</x:v>
      </x:c>
      <x:c r="B480" s="365" t="str">
        <x:v>灰色轨迹</x:v>
      </x:c>
      <x:c r="C480" s="365" t="str">
        <x:v>Cavalry</x:v>
      </x:c>
      <x:c r="D480" s="365" t="str">
        <x:v>Eternal knights</x:v>
      </x:c>
      <x:c r="E480" s="365" t="str">
        <x:v>Heavy Cavalry</x:v>
      </x:c>
      <x:c r="F480" s="365" t="n">
        <x:v>46</x:v>
      </x:c>
      <x:c r="G480" s="365" t="str">
        <x:v>Thunder trample</x:v>
      </x:c>
      <x:c r="H480" s="365" t="str">
        <x:v>Has a certain probability of causing trampling damage</x:v>
      </x:c>
      <x:c r="I480" s="365" t="str">
        <x:v>Unlocked</x:v>
      </x:c>
      <x:c r="J480" s="365" t="str">
        <x:v>02:12.50</x:v>
      </x:c>
      <x:c r="K480" s="365" t="str">
        <x:v>E051; Tier: T10; Directly visible tooltip; representative frame sampled at 0.5-second resolution.; Source frame: frames05s/h_0265.jpg</x:v>
      </x:c>
      <x:c r="L480" s="365" t="str">
        <x:v>1000025872.mp4</x:v>
      </x:c>
      <x:c r="M480" s="387" t="n">
        <x:f>IF(P480="OK",INDEX('Badge Lookup'!$B$6:$B$55,MATCH(F480,'Badge Lookup'!$A$6:$A$55,0)),0)</x:f>
        <x:v>720000</x:v>
      </x:c>
      <x:c r="N480" s="387" t="n">
        <x:f>IF(P480="OK",INDEX('Badge Lookup'!$C$6:$C$55,MATCH(F480,'Badge Lookup'!$A$6:$A$55,0)),0)</x:f>
        <x:v>5004300</x:v>
      </x:c>
      <x:c r="O480" s="388" t="n">
        <x:f>IF(P480="OK",INDEX('Badge Lookup'!$D$6:$D$55,MATCH(F480,'Badge Lookup'!$A$6:$A$55,0)),0)</x:f>
        <x:v>45.13</x:v>
      </x:c>
      <x:c r="P480" s="362" t="str">
        <x:f>IF(OR(G480="",F480=""),"Not scored",IF(AND(F480=INT(F480),F480&gt;=1,F480&lt;=50,COUNTIF('Badge Lookup'!$A$6:$A$55,F480)=1),"OK","Check lookup"))</x:f>
        <x:v>OK</x:v>
      </x:c>
      <x:c r="Q480" s="456" t="n">
        <x:f>IF(P480&lt;&gt;"OK","",IF(C480="Guards",-O480,O480))</x:f>
        <x:v>45.13</x:v>
      </x:c>
      <x:c r="R480" s="362" t="str">
        <x:f>IF(P480&lt;&gt;"OK","Not scored",IF(C480="Guards","Damage received reduction","Damage increase"))</x:f>
        <x:v>Damage increase</x:v>
      </x:c>
    </x:row>
    <x:row r="481" ht="32" customHeight="1">
      <x:c r="A481" s="365" t="str">
        <x:v>K176</x:v>
      </x:c>
      <x:c r="B481" s="365" t="str">
        <x:v>灰色轨迹</x:v>
      </x:c>
      <x:c r="C481" s="365" t="str">
        <x:v>Archers</x:v>
      </x:c>
      <x:c r="D481" s="365" t="str">
        <x:v>Elite bowmen</x:v>
      </x:c>
      <x:c r="E481" s="365" t="str">
        <x:v>Archer</x:v>
      </x:c>
      <x:c r="F481" s="365" t="n">
        <x:v>34</x:v>
      </x:c>
      <x:c r="G481" s="365" t="str">
        <x:v>Frost Arrow</x:v>
      </x:c>
      <x:c r="H481" s="365" t="str">
        <x:v>Has a higher probability of activating ice damage</x:v>
      </x:c>
      <x:c r="I481" s="365" t="str">
        <x:v>Unlocked</x:v>
      </x:c>
      <x:c r="J481" s="365" t="str">
        <x:v>02:13.00</x:v>
      </x:c>
      <x:c r="K481" s="365" t="str">
        <x:v>E052; Tier: T10; Directly visible tooltip; representative frame sampled at 0.5-second resolution.; Source frame: frames05s/h_0266.jpg</x:v>
      </x:c>
      <x:c r="L481" s="365" t="str">
        <x:v>1000025872.mp4</x:v>
      </x:c>
      <x:c r="M481" s="387" t="n">
        <x:f>IF(P481="OK",INDEX('Badge Lookup'!$B$6:$B$55,MATCH(F481,'Badge Lookup'!$A$6:$A$55,0)),0)</x:f>
        <x:v>120000</x:v>
      </x:c>
      <x:c r="N481" s="387" t="n">
        <x:f>IF(P481="OK",INDEX('Badge Lookup'!$C$6:$C$55,MATCH(F481,'Badge Lookup'!$A$6:$A$55,0)),0)</x:f>
        <x:v>1194300</x:v>
      </x:c>
      <x:c r="O481" s="388" t="n">
        <x:f>IF(P481="OK",INDEX('Badge Lookup'!$D$6:$D$55,MATCH(F481,'Badge Lookup'!$A$6:$A$55,0)),0)</x:f>
        <x:v>16.2</x:v>
      </x:c>
      <x:c r="P481" s="362" t="str">
        <x:f>IF(OR(G481="",F481=""),"Not scored",IF(AND(F481=INT(F481),F481&gt;=1,F481&lt;=50,COUNTIF('Badge Lookup'!$A$6:$A$55,F481)=1),"OK","Check lookup"))</x:f>
        <x:v>OK</x:v>
      </x:c>
      <x:c r="Q481" s="456" t="n">
        <x:f>IF(P481&lt;&gt;"OK","",IF(C481="Guards",-O481,O481))</x:f>
        <x:v>16.2</x:v>
      </x:c>
      <x:c r="R481" s="362" t="str">
        <x:f>IF(P481&lt;&gt;"OK","Not scored",IF(C481="Guards","Damage received reduction","Damage increase"))</x:f>
        <x:v>Damage increase</x:v>
      </x:c>
    </x:row>
    <x:row r="482" ht="32" customHeight="1">
      <x:c r="A482" s="365" t="str">
        <x:v>K176</x:v>
      </x:c>
      <x:c r="B482" s="365" t="str">
        <x:v>灰色轨迹</x:v>
      </x:c>
      <x:c r="C482" s="365" t="str">
        <x:v>Siege</x:v>
      </x:c>
      <x:c r="D482" s="365" t="str">
        <x:v>Manglers</x:v>
      </x:c>
      <x:c r="E482" s="365" t="str">
        <x:v>Siege</x:v>
      </x:c>
      <x:c r="F482" s="365" t="n">
        <x:v>25</x:v>
      </x:c>
      <x:c r="G482" s="365" t="str">
        <x:v>Highly toxic</x:v>
      </x:c>
      <x:c r="H482" s="365" t="str">
        <x:v>Inflict continuous toxic damage</x:v>
      </x:c>
      <x:c r="I482" s="365" t="str">
        <x:v>Unlocked</x:v>
      </x:c>
      <x:c r="J482" s="365" t="str">
        <x:v>02:14.00</x:v>
      </x:c>
      <x:c r="K482" s="365" t="str">
        <x:v>E053; Tier: T10; Directly visible tooltip; representative frame sampled at 0.5-second resolution.; Source frame: frames05s/h_0268.jpg</x:v>
      </x:c>
      <x:c r="L482" s="365" t="str">
        <x:v>1000025872.mp4</x:v>
      </x:c>
      <x:c r="M482" s="387" t="n">
        <x:f>IF(P482="OK",INDEX('Badge Lookup'!$B$6:$B$55,MATCH(F482,'Badge Lookup'!$A$6:$A$55,0)),0)</x:f>
        <x:v>55000</x:v>
      </x:c>
      <x:c r="N482" s="387" t="n">
        <x:f>IF(P482="OK",INDEX('Badge Lookup'!$C$6:$C$55,MATCH(F482,'Badge Lookup'!$A$6:$A$55,0)),0)</x:f>
        <x:v>424300</x:v>
      </x:c>
      <x:c r="O482" s="388" t="n">
        <x:f>IF(P482="OK",INDEX('Badge Lookup'!$D$6:$D$55,MATCH(F482,'Badge Lookup'!$A$6:$A$55,0)),0)</x:f>
        <x:v>6.11</x:v>
      </x:c>
      <x:c r="P482" s="362" t="str">
        <x:f>IF(OR(G482="",F482=""),"Not scored",IF(AND(F482=INT(F482),F482&gt;=1,F482&lt;=50,COUNTIF('Badge Lookup'!$A$6:$A$55,F482)=1),"OK","Check lookup"))</x:f>
        <x:v>OK</x:v>
      </x:c>
      <x:c r="Q482" s="456" t="n">
        <x:f>IF(P482&lt;&gt;"OK","",IF(C482="Guards",-O482,O482))</x:f>
        <x:v>6.11</x:v>
      </x:c>
      <x:c r="R482" s="362" t="str">
        <x:f>IF(P482&lt;&gt;"OK","Not scored",IF(C482="Guards","Damage received reduction","Damage increase"))</x:f>
        <x:v>Damage increase</x:v>
      </x:c>
    </x:row>
    <x:row r="483" ht="32" customHeight="1">
      <x:c r="A483" s="365" t="str">
        <x:v>K176</x:v>
      </x:c>
      <x:c r="B483" s="365" t="str">
        <x:v>灰色轨迹</x:v>
      </x:c>
      <x:c r="C483" s="365" t="str">
        <x:v>Cavalry</x:v>
      </x:c>
      <x:c r="D483" s="365" t="str">
        <x:v>Storm cavalry</x:v>
      </x:c>
      <x:c r="E483" s="365" t="str">
        <x:v>Horse archer</x:v>
      </x:c>
      <x:c r="F483" s="365" t="n">
        <x:v>48</x:v>
      </x:c>
      <x:c r="G483" s="365" t="str">
        <x:v>Mounted Archery</x:v>
      </x:c>
      <x:c r="H483" s="365" t="str">
        <x:v>Has a certain probability of causing fly-shooting damage</x:v>
      </x:c>
      <x:c r="I483" s="365" t="str">
        <x:v>Unlocked</x:v>
      </x:c>
      <x:c r="J483" s="365" t="str">
        <x:v>02:15.00</x:v>
      </x:c>
      <x:c r="K483" s="365" t="str">
        <x:v>E054; Tier: T9; Directly visible tooltip; representative frame sampled at 0.5-second resolution.; Source frame: frames05s/h_0270.jpg</x:v>
      </x:c>
      <x:c r="L483" s="365" t="str">
        <x:v>1000025872.mp4</x:v>
      </x:c>
      <x:c r="M483" s="387" t="n">
        <x:f>IF(P483="OK",INDEX('Badge Lookup'!$B$6:$B$55,MATCH(F483,'Badge Lookup'!$A$6:$A$55,0)),0)</x:f>
        <x:v>1050000</x:v>
      </x:c>
      <x:c r="N483" s="387" t="n">
        <x:f>IF(P483="OK",INDEX('Badge Lookup'!$C$6:$C$55,MATCH(F483,'Badge Lookup'!$A$6:$A$55,0)),0)</x:f>
        <x:v>6934300</x:v>
      </x:c>
      <x:c r="O483" s="388" t="n">
        <x:f>IF(P483="OK",INDEX('Badge Lookup'!$D$6:$D$55,MATCH(F483,'Badge Lookup'!$A$6:$A$55,0)),0)</x:f>
        <x:v>51.74</x:v>
      </x:c>
      <x:c r="P483" s="362" t="str">
        <x:f>IF(OR(G483="",F483=""),"Not scored",IF(AND(F483=INT(F483),F483&gt;=1,F483&lt;=50,COUNTIF('Badge Lookup'!$A$6:$A$55,F483)=1),"OK","Check lookup"))</x:f>
        <x:v>OK</x:v>
      </x:c>
      <x:c r="Q483" s="456" t="n">
        <x:f>IF(P483&lt;&gt;"OK","",IF(C483="Guards",-O483,O483))</x:f>
        <x:v>51.74</x:v>
      </x:c>
      <x:c r="R483" s="362" t="str">
        <x:f>IF(P483&lt;&gt;"OK","Not scored",IF(C483="Guards","Damage received reduction","Damage increase"))</x:f>
        <x:v>Damage increase</x:v>
      </x:c>
    </x:row>
    <x:row r="484" ht="32" customHeight="1">
      <x:c r="A484" s="365" t="str">
        <x:v>K176</x:v>
      </x:c>
      <x:c r="B484" s="365" t="str">
        <x:v>罗密欧与猪过夜</x:v>
      </x:c>
      <x:c r="C484" s="365" t="str">
        <x:v>Guards</x:v>
      </x:c>
      <x:c r="D484" s="365" t="str">
        <x:v>Destroyers</x:v>
      </x:c>
      <x:c r="E484" s="365" t="str">
        <x:v>Guard</x:v>
      </x:c>
      <x:c r="F484" s="365" t="n">
        <x:v>45</x:v>
      </x:c>
      <x:c r="G484" s="365" t="str">
        <x:v>Parry</x:v>
      </x:c>
      <x:c r="H484" s="365" t="str">
        <x:v>Provides a parry effect and a certain probability to increase damage</x:v>
      </x:c>
      <x:c r="I484" s="365" t="str">
        <x:v>Unlocked</x:v>
      </x:c>
      <x:c r="J484" s="365" t="str">
        <x:v>02:24.00</x:v>
      </x:c>
      <x:c r="K484" s="365" t="str">
        <x:v>E056; Tier: T10; Directly visible tooltip; representative frame sampled at 0.5-second resolution.; Source frame: frames05s/h_0288.jpg</x:v>
      </x:c>
      <x:c r="L484" s="365" t="str">
        <x:v>1000025872.mp4</x:v>
      </x:c>
      <x:c r="M484" s="387" t="n">
        <x:f>IF(P484="OK",INDEX('Badge Lookup'!$B$6:$B$55,MATCH(F484,'Badge Lookup'!$A$6:$A$55,0)),0)</x:f>
        <x:v>560000</x:v>
      </x:c>
      <x:c r="N484" s="387" t="n">
        <x:f>IF(P484="OK",INDEX('Badge Lookup'!$C$6:$C$55,MATCH(F484,'Badge Lookup'!$A$6:$A$55,0)),0)</x:f>
        <x:v>4284300</x:v>
      </x:c>
      <x:c r="O484" s="388" t="n">
        <x:f>IF(P484="OK",INDEX('Badge Lookup'!$D$6:$D$55,MATCH(F484,'Badge Lookup'!$A$6:$A$55,0)),0)</x:f>
        <x:v>41.98</x:v>
      </x:c>
      <x:c r="P484" s="362" t="str">
        <x:f>IF(OR(G484="",F484=""),"Not scored",IF(AND(F484=INT(F484),F484&gt;=1,F484&lt;=50,COUNTIF('Badge Lookup'!$A$6:$A$55,F484)=1),"OK","Check lookup"))</x:f>
        <x:v>OK</x:v>
      </x:c>
      <x:c r="Q484" s="456" t="n">
        <x:f>IF(P484&lt;&gt;"OK","",IF(C484="Guards",-O484,O484))</x:f>
        <x:v>-41.98</x:v>
      </x:c>
      <x:c r="R484" s="362" t="str">
        <x:f>IF(P484&lt;&gt;"OK","Not scored",IF(C484="Guards","Damage received reduction","Damage increase"))</x:f>
        <x:v>Damage received reduction</x:v>
      </x:c>
    </x:row>
    <x:row r="485" ht="32" customHeight="1">
      <x:c r="A485" s="365" t="str">
        <x:v>K176</x:v>
      </x:c>
      <x:c r="B485" s="365" t="str">
        <x:v>罗密欧与猪过夜</x:v>
      </x:c>
      <x:c r="C485" s="365" t="str">
        <x:v>Cavalry</x:v>
      </x:c>
      <x:c r="D485" s="365" t="str">
        <x:v>Eternal knights</x:v>
      </x:c>
      <x:c r="E485" s="365" t="str">
        <x:v>Heavy Cavalry</x:v>
      </x:c>
      <x:c r="F485" s="365" t="n">
        <x:v>47</x:v>
      </x:c>
      <x:c r="G485" s="365" t="str">
        <x:v>Thunder trample</x:v>
      </x:c>
      <x:c r="H485" s="365" t="str">
        <x:v>Has a certain probability of causing trampling damage</x:v>
      </x:c>
      <x:c r="I485" s="365" t="str">
        <x:v>Unlocked</x:v>
      </x:c>
      <x:c r="J485" s="365" t="str">
        <x:v>02:25.00</x:v>
      </x:c>
      <x:c r="K485" s="365" t="str">
        <x:v>E057; Tier: T10; Directly visible tooltip; representative frame sampled at 0.5-second resolution.; Source frame: frames05s/h_0290.jpg</x:v>
      </x:c>
      <x:c r="L485" s="365" t="str">
        <x:v>1000025872.mp4</x:v>
      </x:c>
      <x:c r="M485" s="387" t="n">
        <x:f>IF(P485="OK",INDEX('Badge Lookup'!$B$6:$B$55,MATCH(F485,'Badge Lookup'!$A$6:$A$55,0)),0)</x:f>
        <x:v>880000</x:v>
      </x:c>
      <x:c r="N485" s="387" t="n">
        <x:f>IF(P485="OK",INDEX('Badge Lookup'!$C$6:$C$55,MATCH(F485,'Badge Lookup'!$A$6:$A$55,0)),0)</x:f>
        <x:v>5884300</x:v>
      </x:c>
      <x:c r="O485" s="388" t="n">
        <x:f>IF(P485="OK",INDEX('Badge Lookup'!$D$6:$D$55,MATCH(F485,'Badge Lookup'!$A$6:$A$55,0)),0)</x:f>
        <x:v>48.38</x:v>
      </x:c>
      <x:c r="P485" s="362" t="str">
        <x:f>IF(OR(G485="",F485=""),"Not scored",IF(AND(F485=INT(F485),F485&gt;=1,F485&lt;=50,COUNTIF('Badge Lookup'!$A$6:$A$55,F485)=1),"OK","Check lookup"))</x:f>
        <x:v>OK</x:v>
      </x:c>
      <x:c r="Q485" s="456" t="n">
        <x:f>IF(P485&lt;&gt;"OK","",IF(C485="Guards",-O485,O485))</x:f>
        <x:v>48.38</x:v>
      </x:c>
      <x:c r="R485" s="362" t="str">
        <x:f>IF(P485&lt;&gt;"OK","Not scored",IF(C485="Guards","Damage received reduction","Damage increase"))</x:f>
        <x:v>Damage increase</x:v>
      </x:c>
    </x:row>
    <x:row r="486" ht="32" customHeight="1">
      <x:c r="A486" s="365" t="str">
        <x:v>K176</x:v>
      </x:c>
      <x:c r="B486" s="365" t="str">
        <x:v>罗密欧与猪过夜</x:v>
      </x:c>
      <x:c r="C486" s="365" t="str">
        <x:v>Siege</x:v>
      </x:c>
      <x:c r="D486" s="365" t="str">
        <x:v>Manglers</x:v>
      </x:c>
      <x:c r="E486" s="365" t="str">
        <x:v>Siege</x:v>
      </x:c>
      <x:c r="F486" s="365" t="n">
        <x:v>42</x:v>
      </x:c>
      <x:c r="G486" s="365" t="str">
        <x:v>Highly toxic</x:v>
      </x:c>
      <x:c r="H486" s="365" t="str">
        <x:v>Inflict continuous toxic damage</x:v>
      </x:c>
      <x:c r="I486" s="365" t="str">
        <x:v>Unlocked</x:v>
      </x:c>
      <x:c r="J486" s="365" t="str">
        <x:v>02:26.00</x:v>
      </x:c>
      <x:c r="K486" s="365" t="str">
        <x:v>E058; Tier: T10; Directly visible tooltip; representative frame sampled at 0.5-second resolution.; Source frame: frames05s/h_0292.jpg</x:v>
      </x:c>
      <x:c r="L486" s="365" t="str">
        <x:v>1000025872.mp4</x:v>
      </x:c>
      <x:c r="M486" s="387" t="n">
        <x:f>IF(P486="OK",INDEX('Badge Lookup'!$B$6:$B$55,MATCH(F486,'Badge Lookup'!$A$6:$A$55,0)),0)</x:f>
        <x:v>320000</x:v>
      </x:c>
      <x:c r="N486" s="387" t="n">
        <x:f>IF(P486="OK",INDEX('Badge Lookup'!$C$6:$C$55,MATCH(F486,'Badge Lookup'!$A$6:$A$55,0)),0)</x:f>
        <x:v>2844300</x:v>
      </x:c>
      <x:c r="O486" s="388" t="n">
        <x:f>IF(P486="OK",INDEX('Badge Lookup'!$D$6:$D$55,MATCH(F486,'Badge Lookup'!$A$6:$A$55,0)),0)</x:f>
        <x:v>33.13</x:v>
      </x:c>
      <x:c r="P486" s="362" t="str">
        <x:f>IF(OR(G486="",F486=""),"Not scored",IF(AND(F486=INT(F486),F486&gt;=1,F486&lt;=50,COUNTIF('Badge Lookup'!$A$6:$A$55,F486)=1),"OK","Check lookup"))</x:f>
        <x:v>OK</x:v>
      </x:c>
      <x:c r="Q486" s="456" t="n">
        <x:f>IF(P486&lt;&gt;"OK","",IF(C486="Guards",-O486,O486))</x:f>
        <x:v>33.13</x:v>
      </x:c>
      <x:c r="R486" s="362" t="str">
        <x:f>IF(P486&lt;&gt;"OK","Not scored",IF(C486="Guards","Damage received reduction","Damage increase"))</x:f>
        <x:v>Damage increase</x:v>
      </x:c>
    </x:row>
    <x:row r="487" ht="32" customHeight="1">
      <x:c r="A487" s="365" t="str">
        <x:v>K176</x:v>
      </x:c>
      <x:c r="B487" s="365" t="str">
        <x:v>罗密欧与猪过夜</x:v>
      </x:c>
      <x:c r="C487" s="365" t="str">
        <x:v>Cavalry</x:v>
      </x:c>
      <x:c r="D487" s="365" t="str">
        <x:v>Storm cavalry</x:v>
      </x:c>
      <x:c r="E487" s="365" t="str">
        <x:v>Horse archer</x:v>
      </x:c>
      <x:c r="F487" s="365" t="n">
        <x:v>47</x:v>
      </x:c>
      <x:c r="G487" s="365" t="str">
        <x:v>Mounted Archery</x:v>
      </x:c>
      <x:c r="H487" s="365" t="str">
        <x:v>Has a certain probability of causing fly-shooting damage</x:v>
      </x:c>
      <x:c r="I487" s="365" t="str">
        <x:v>Unlocked</x:v>
      </x:c>
      <x:c r="J487" s="365" t="str">
        <x:v>02:27.00</x:v>
      </x:c>
      <x:c r="K487" s="365" t="str">
        <x:v>E059; Tier: T9; Directly visible tooltip; representative frame sampled at 0.5-second resolution.; Source frame: frames05s/h_0294.jpg</x:v>
      </x:c>
      <x:c r="L487" s="365" t="str">
        <x:v>1000025872.mp4</x:v>
      </x:c>
      <x:c r="M487" s="387" t="n">
        <x:f>IF(P487="OK",INDEX('Badge Lookup'!$B$6:$B$55,MATCH(F487,'Badge Lookup'!$A$6:$A$55,0)),0)</x:f>
        <x:v>880000</x:v>
      </x:c>
      <x:c r="N487" s="387" t="n">
        <x:f>IF(P487="OK",INDEX('Badge Lookup'!$C$6:$C$55,MATCH(F487,'Badge Lookup'!$A$6:$A$55,0)),0)</x:f>
        <x:v>5884300</x:v>
      </x:c>
      <x:c r="O487" s="388" t="n">
        <x:f>IF(P487="OK",INDEX('Badge Lookup'!$D$6:$D$55,MATCH(F487,'Badge Lookup'!$A$6:$A$55,0)),0)</x:f>
        <x:v>48.38</x:v>
      </x:c>
      <x:c r="P487" s="362" t="str">
        <x:f>IF(OR(G487="",F487=""),"Not scored",IF(AND(F487=INT(F487),F487&gt;=1,F487&lt;=50,COUNTIF('Badge Lookup'!$A$6:$A$55,F487)=1),"OK","Check lookup"))</x:f>
        <x:v>OK</x:v>
      </x:c>
      <x:c r="Q487" s="456" t="n">
        <x:f>IF(P487&lt;&gt;"OK","",IF(C487="Guards",-O487,O487))</x:f>
        <x:v>48.38</x:v>
      </x:c>
      <x:c r="R487" s="362" t="str">
        <x:f>IF(P487&lt;&gt;"OK","Not scored",IF(C487="Guards","Damage received reduction","Damage increase"))</x:f>
        <x:v>Damage increase</x:v>
      </x:c>
    </x:row>
    <x:row r="488" ht="32" customHeight="1">
      <x:c r="A488" s="365" t="str">
        <x:v>K176</x:v>
      </x:c>
      <x:c r="B488" s="365" t="str">
        <x:v>WARBLOOD</x:v>
      </x:c>
      <x:c r="C488" s="365" t="str">
        <x:v>Guards</x:v>
      </x:c>
      <x:c r="D488" s="365" t="str">
        <x:v>Destroyers</x:v>
      </x:c>
      <x:c r="E488" s="365" t="str">
        <x:v>Guard</x:v>
      </x:c>
      <x:c r="F488" s="365" t="n">
        <x:v>49</x:v>
      </x:c>
      <x:c r="G488" s="365" t="str">
        <x:v>Parry</x:v>
      </x:c>
      <x:c r="H488" s="365" t="str">
        <x:v>Provides a parry effect and a certain probability to increase damage</x:v>
      </x:c>
      <x:c r="I488" s="365" t="str">
        <x:v>Unlocked</x:v>
      </x:c>
      <x:c r="J488" s="365" t="str">
        <x:v>02:34.00</x:v>
      </x:c>
      <x:c r="K488" s="365" t="str">
        <x:v>E062; Tier: T10; Directly visible tooltip; representative frame sampled at 0.5-second resolution.; Source frame: frames05s/h_0308.jpg</x:v>
      </x:c>
      <x:c r="L488" s="365" t="str">
        <x:v>1000025872.mp4</x:v>
      </x:c>
      <x:c r="M488" s="387" t="n">
        <x:f>IF(P488="OK",INDEX('Badge Lookup'!$B$6:$B$55,MATCH(F488,'Badge Lookup'!$A$6:$A$55,0)),0)</x:f>
        <x:v>1400000</x:v>
      </x:c>
      <x:c r="N488" s="387" t="n">
        <x:f>IF(P488="OK",INDEX('Badge Lookup'!$C$6:$C$55,MATCH(F488,'Badge Lookup'!$A$6:$A$55,0)),0)</x:f>
        <x:v>8334300</x:v>
      </x:c>
      <x:c r="O488" s="388" t="n">
        <x:f>IF(P488="OK",INDEX('Badge Lookup'!$D$6:$D$55,MATCH(F488,'Badge Lookup'!$A$6:$A$55,0)),0)</x:f>
        <x:v>55.2</x:v>
      </x:c>
      <x:c r="P488" s="362" t="str">
        <x:f>IF(OR(G488="",F488=""),"Not scored",IF(AND(F488=INT(F488),F488&gt;=1,F488&lt;=50,COUNTIF('Badge Lookup'!$A$6:$A$55,F488)=1),"OK","Check lookup"))</x:f>
        <x:v>OK</x:v>
      </x:c>
      <x:c r="Q488" s="456" t="n">
        <x:f>IF(P488&lt;&gt;"OK","",IF(C488="Guards",-O488,O488))</x:f>
        <x:v>-55.2</x:v>
      </x:c>
      <x:c r="R488" s="362" t="str">
        <x:f>IF(P488&lt;&gt;"OK","Not scored",IF(C488="Guards","Damage received reduction","Damage increase"))</x:f>
        <x:v>Damage received reduction</x:v>
      </x:c>
    </x:row>
    <x:row r="489" ht="32" customHeight="1">
      <x:c r="A489" s="365" t="str">
        <x:v>K176</x:v>
      </x:c>
      <x:c r="B489" s="365" t="str">
        <x:v>WARBLOOD</x:v>
      </x:c>
      <x:c r="C489" s="365" t="str">
        <x:v>Cavalry</x:v>
      </x:c>
      <x:c r="D489" s="365" t="str">
        <x:v>Eternal knights</x:v>
      </x:c>
      <x:c r="E489" s="365" t="str">
        <x:v>Heavy Cavalry</x:v>
      </x:c>
      <x:c r="F489" s="365" t="n">
        <x:v>40</x:v>
      </x:c>
      <x:c r="G489" s="365" t="str">
        <x:v>Thunder trample</x:v>
      </x:c>
      <x:c r="H489" s="365" t="str">
        <x:v>Has a certain probability of causing trampling damage</x:v>
      </x:c>
      <x:c r="I489" s="365" t="str">
        <x:v>Unlocked</x:v>
      </x:c>
      <x:c r="J489" s="365" t="str">
        <x:v>02:35.00</x:v>
      </x:c>
      <x:c r="K489" s="365" t="str">
        <x:v>E063; Tier: T10; Directly visible tooltip; representative frame sampled at 0.5-second resolution.; Source frame: frames05s/h_0310.jpg</x:v>
      </x:c>
      <x:c r="L489" s="365" t="str">
        <x:v>1000025872.mp4</x:v>
      </x:c>
      <x:c r="M489" s="387" t="n">
        <x:f>IF(P489="OK",INDEX('Badge Lookup'!$B$6:$B$55,MATCH(F489,'Badge Lookup'!$A$6:$A$55,0)),0)</x:f>
        <x:v>240000</x:v>
      </x:c>
      <x:c r="N489" s="387" t="n">
        <x:f>IF(P489="OK",INDEX('Badge Lookup'!$C$6:$C$55,MATCH(F489,'Badge Lookup'!$A$6:$A$55,0)),0)</x:f>
        <x:v>2244300</x:v>
      </x:c>
      <x:c r="O489" s="388" t="n">
        <x:f>IF(P489="OK",INDEX('Badge Lookup'!$D$6:$D$55,MATCH(F489,'Badge Lookup'!$A$6:$A$55,0)),0)</x:f>
        <x:v>27.74</x:v>
      </x:c>
      <x:c r="P489" s="362" t="str">
        <x:f>IF(OR(G489="",F489=""),"Not scored",IF(AND(F489=INT(F489),F489&gt;=1,F489&lt;=50,COUNTIF('Badge Lookup'!$A$6:$A$55,F489)=1),"OK","Check lookup"))</x:f>
        <x:v>OK</x:v>
      </x:c>
      <x:c r="Q489" s="456" t="n">
        <x:f>IF(P489&lt;&gt;"OK","",IF(C489="Guards",-O489,O489))</x:f>
        <x:v>27.74</x:v>
      </x:c>
      <x:c r="R489" s="362" t="str">
        <x:f>IF(P489&lt;&gt;"OK","Not scored",IF(C489="Guards","Damage received reduction","Damage increase"))</x:f>
        <x:v>Damage increase</x:v>
      </x:c>
    </x:row>
    <x:row r="490" ht="32" customHeight="1">
      <x:c r="A490" s="365" t="str">
        <x:v>K176</x:v>
      </x:c>
      <x:c r="B490" s="365" t="str">
        <x:v>WARBLOOD</x:v>
      </x:c>
      <x:c r="C490" s="365" t="str">
        <x:v>Cavalry</x:v>
      </x:c>
      <x:c r="D490" s="365" t="str">
        <x:v>Storm cavalry</x:v>
      </x:c>
      <x:c r="E490" s="365" t="str">
        <x:v>Horse archer</x:v>
      </x:c>
      <x:c r="F490" s="365" t="n">
        <x:v>34</x:v>
      </x:c>
      <x:c r="G490" s="365" t="str">
        <x:v>Mounted Archery</x:v>
      </x:c>
      <x:c r="H490" s="365" t="str">
        <x:v>Has a certain probability of causing fly-shooting damage</x:v>
      </x:c>
      <x:c r="I490" s="365" t="str">
        <x:v>Unlocked</x:v>
      </x:c>
      <x:c r="J490" s="365" t="str">
        <x:v>02:35.50</x:v>
      </x:c>
      <x:c r="K490" s="365" t="str">
        <x:v>E064; Tier: T9; Directly visible tooltip; representative frame sampled at 0.5-second resolution.; Source frame: frames05s/h_0311.jpg</x:v>
      </x:c>
      <x:c r="L490" s="365" t="str">
        <x:v>1000025872.mp4</x:v>
      </x:c>
      <x:c r="M490" s="387" t="n">
        <x:f>IF(P490="OK",INDEX('Badge Lookup'!$B$6:$B$55,MATCH(F490,'Badge Lookup'!$A$6:$A$55,0)),0)</x:f>
        <x:v>120000</x:v>
      </x:c>
      <x:c r="N490" s="387" t="n">
        <x:f>IF(P490="OK",INDEX('Badge Lookup'!$C$6:$C$55,MATCH(F490,'Badge Lookup'!$A$6:$A$55,0)),0)</x:f>
        <x:v>1194300</x:v>
      </x:c>
      <x:c r="O490" s="388" t="n">
        <x:f>IF(P490="OK",INDEX('Badge Lookup'!$D$6:$D$55,MATCH(F490,'Badge Lookup'!$A$6:$A$55,0)),0)</x:f>
        <x:v>16.2</x:v>
      </x:c>
      <x:c r="P490" s="362" t="str">
        <x:f>IF(OR(G490="",F490=""),"Not scored",IF(AND(F490=INT(F490),F490&gt;=1,F490&lt;=50,COUNTIF('Badge Lookup'!$A$6:$A$55,F490)=1),"OK","Check lookup"))</x:f>
        <x:v>OK</x:v>
      </x:c>
      <x:c r="Q490" s="456" t="n">
        <x:f>IF(P490&lt;&gt;"OK","",IF(C490="Guards",-O490,O490))</x:f>
        <x:v>16.2</x:v>
      </x:c>
      <x:c r="R490" s="362" t="str">
        <x:f>IF(P490&lt;&gt;"OK","Not scored",IF(C490="Guards","Damage received reduction","Damage increase"))</x:f>
        <x:v>Damage increase</x:v>
      </x:c>
    </x:row>
    <x:row r="491" ht="32" customHeight="1">
      <x:c r="A491" s="365" t="str">
        <x:v>K176</x:v>
      </x:c>
      <x:c r="B491" s="365" t="str">
        <x:v>老黑黑</x:v>
      </x:c>
      <x:c r="C491" s="365" t="str">
        <x:v>Guards</x:v>
      </x:c>
      <x:c r="D491" s="365" t="str">
        <x:v>Destroyers</x:v>
      </x:c>
      <x:c r="E491" s="365" t="str">
        <x:v>Guard</x:v>
      </x:c>
      <x:c r="F491" s="365" t="n">
        <x:v>45</x:v>
      </x:c>
      <x:c r="G491" s="365" t="str">
        <x:v>Parry</x:v>
      </x:c>
      <x:c r="H491" s="365" t="str">
        <x:v>Provides a parry effect and a certain probability to increase damage</x:v>
      </x:c>
      <x:c r="I491" s="365" t="str">
        <x:v>Unlocked</x:v>
      </x:c>
      <x:c r="J491" s="365" t="str">
        <x:v>02:44.50</x:v>
      </x:c>
      <x:c r="K491" s="365" t="str">
        <x:v>E066; Tier: T10; Directly visible tooltip; representative frame sampled at 0.5-second resolution.; Source frame: frames05s/h_0329.jpg</x:v>
      </x:c>
      <x:c r="L491" s="365" t="str">
        <x:v>1000025872.mp4</x:v>
      </x:c>
      <x:c r="M491" s="387" t="n">
        <x:f>IF(P491="OK",INDEX('Badge Lookup'!$B$6:$B$55,MATCH(F491,'Badge Lookup'!$A$6:$A$55,0)),0)</x:f>
        <x:v>560000</x:v>
      </x:c>
      <x:c r="N491" s="387" t="n">
        <x:f>IF(P491="OK",INDEX('Badge Lookup'!$C$6:$C$55,MATCH(F491,'Badge Lookup'!$A$6:$A$55,0)),0)</x:f>
        <x:v>4284300</x:v>
      </x:c>
      <x:c r="O491" s="388" t="n">
        <x:f>IF(P491="OK",INDEX('Badge Lookup'!$D$6:$D$55,MATCH(F491,'Badge Lookup'!$A$6:$A$55,0)),0)</x:f>
        <x:v>41.98</x:v>
      </x:c>
      <x:c r="P491" s="362" t="str">
        <x:f>IF(OR(G491="",F491=""),"Not scored",IF(AND(F491=INT(F491),F491&gt;=1,F491&lt;=50,COUNTIF('Badge Lookup'!$A$6:$A$55,F491)=1),"OK","Check lookup"))</x:f>
        <x:v>OK</x:v>
      </x:c>
      <x:c r="Q491" s="456" t="n">
        <x:f>IF(P491&lt;&gt;"OK","",IF(C491="Guards",-O491,O491))</x:f>
        <x:v>-41.98</x:v>
      </x:c>
      <x:c r="R491" s="362" t="str">
        <x:f>IF(P491&lt;&gt;"OK","Not scored",IF(C491="Guards","Damage received reduction","Damage increase"))</x:f>
        <x:v>Damage received reduction</x:v>
      </x:c>
    </x:row>
    <x:row r="492" ht="32" customHeight="1">
      <x:c r="A492" s="365" t="str">
        <x:v>K176</x:v>
      </x:c>
      <x:c r="B492" s="365" t="str">
        <x:v>老黑黑</x:v>
      </x:c>
      <x:c r="C492" s="365" t="str">
        <x:v>Cavalry</x:v>
      </x:c>
      <x:c r="D492" s="365" t="str">
        <x:v>Eternal knights</x:v>
      </x:c>
      <x:c r="E492" s="365" t="str">
        <x:v>Heavy Cavalry</x:v>
      </x:c>
      <x:c r="F492" s="365" t="n">
        <x:v>44</x:v>
      </x:c>
      <x:c r="G492" s="365" t="str">
        <x:v>Thunder trample</x:v>
      </x:c>
      <x:c r="H492" s="365" t="str">
        <x:v>Has a certain probability of causing trampling damage</x:v>
      </x:c>
      <x:c r="I492" s="365" t="str">
        <x:v>Unlocked</x:v>
      </x:c>
      <x:c r="J492" s="365" t="str">
        <x:v>02:45.50</x:v>
      </x:c>
      <x:c r="K492" s="365" t="str">
        <x:v>E067; Tier: T10; Directly visible tooltip; representative frame sampled at 0.5-second resolution.; Source frame: frames05s/h_0331.jpg</x:v>
      </x:c>
      <x:c r="L492" s="365" t="str">
        <x:v>1000025872.mp4</x:v>
      </x:c>
      <x:c r="M492" s="387" t="n">
        <x:f>IF(P492="OK",INDEX('Badge Lookup'!$B$6:$B$55,MATCH(F492,'Badge Lookup'!$A$6:$A$55,0)),0)</x:f>
        <x:v>480000</x:v>
      </x:c>
      <x:c r="N492" s="387" t="n">
        <x:f>IF(P492="OK",INDEX('Badge Lookup'!$C$6:$C$55,MATCH(F492,'Badge Lookup'!$A$6:$A$55,0)),0)</x:f>
        <x:v>3724300</x:v>
      </x:c>
      <x:c r="O492" s="388" t="n">
        <x:f>IF(P492="OK",INDEX('Badge Lookup'!$D$6:$D$55,MATCH(F492,'Badge Lookup'!$A$6:$A$55,0)),0)</x:f>
        <x:v>39.93</x:v>
      </x:c>
      <x:c r="P492" s="362" t="str">
        <x:f>IF(OR(G492="",F492=""),"Not scored",IF(AND(F492=INT(F492),F492&gt;=1,F492&lt;=50,COUNTIF('Badge Lookup'!$A$6:$A$55,F492)=1),"OK","Check lookup"))</x:f>
        <x:v>OK</x:v>
      </x:c>
      <x:c r="Q492" s="456" t="n">
        <x:f>IF(P492&lt;&gt;"OK","",IF(C492="Guards",-O492,O492))</x:f>
        <x:v>39.93</x:v>
      </x:c>
      <x:c r="R492" s="362" t="str">
        <x:f>IF(P492&lt;&gt;"OK","Not scored",IF(C492="Guards","Damage received reduction","Damage increase"))</x:f>
        <x:v>Damage increase</x:v>
      </x:c>
    </x:row>
    <x:row r="493" ht="32" customHeight="1">
      <x:c r="A493" s="365" t="str">
        <x:v>K176</x:v>
      </x:c>
      <x:c r="B493" s="365" t="str">
        <x:v>老黑黑</x:v>
      </x:c>
      <x:c r="C493" s="365" t="str">
        <x:v>Archers</x:v>
      </x:c>
      <x:c r="D493" s="365" t="str">
        <x:v>Elite bowmen</x:v>
      </x:c>
      <x:c r="E493" s="365" t="str">
        <x:v>Archer</x:v>
      </x:c>
      <x:c r="F493" s="365" t="n">
        <x:v>45</x:v>
      </x:c>
      <x:c r="G493" s="365" t="str">
        <x:v>Frost Arrow</x:v>
      </x:c>
      <x:c r="H493" s="365" t="str">
        <x:v>Has a higher probability of activating ice damage</x:v>
      </x:c>
      <x:c r="I493" s="365" t="str">
        <x:v>Unlocked</x:v>
      </x:c>
      <x:c r="J493" s="365" t="str">
        <x:v>02:46.00</x:v>
      </x:c>
      <x:c r="K493" s="365" t="str">
        <x:v>E068; Tier: T10; Directly visible tooltip; representative frame sampled at 0.5-second resolution.; Source frame: frames05s/h_0332.jpg</x:v>
      </x:c>
      <x:c r="L493" s="365" t="str">
        <x:v>1000025872.mp4</x:v>
      </x:c>
      <x:c r="M493" s="387" t="n">
        <x:f>IF(P493="OK",INDEX('Badge Lookup'!$B$6:$B$55,MATCH(F493,'Badge Lookup'!$A$6:$A$55,0)),0)</x:f>
        <x:v>560000</x:v>
      </x:c>
      <x:c r="N493" s="387" t="n">
        <x:f>IF(P493="OK",INDEX('Badge Lookup'!$C$6:$C$55,MATCH(F493,'Badge Lookup'!$A$6:$A$55,0)),0)</x:f>
        <x:v>4284300</x:v>
      </x:c>
      <x:c r="O493" s="388" t="n">
        <x:f>IF(P493="OK",INDEX('Badge Lookup'!$D$6:$D$55,MATCH(F493,'Badge Lookup'!$A$6:$A$55,0)),0)</x:f>
        <x:v>41.98</x:v>
      </x:c>
      <x:c r="P493" s="362" t="str">
        <x:f>IF(OR(G493="",F493=""),"Not scored",IF(AND(F493=INT(F493),F493&gt;=1,F493&lt;=50,COUNTIF('Badge Lookup'!$A$6:$A$55,F493)=1),"OK","Check lookup"))</x:f>
        <x:v>OK</x:v>
      </x:c>
      <x:c r="Q493" s="456" t="n">
        <x:f>IF(P493&lt;&gt;"OK","",IF(C493="Guards",-O493,O493))</x:f>
        <x:v>41.98</x:v>
      </x:c>
      <x:c r="R493" s="362" t="str">
        <x:f>IF(P493&lt;&gt;"OK","Not scored",IF(C493="Guards","Damage received reduction","Damage increase"))</x:f>
        <x:v>Damage increase</x:v>
      </x:c>
    </x:row>
    <x:row r="494" ht="32" customHeight="1">
      <x:c r="A494" s="365" t="str">
        <x:v>K176</x:v>
      </x:c>
      <x:c r="B494" s="365" t="str">
        <x:v>老黑黑</x:v>
      </x:c>
      <x:c r="C494" s="365" t="str">
        <x:v>Siege</x:v>
      </x:c>
      <x:c r="D494" s="365" t="str">
        <x:v>Manglers</x:v>
      </x:c>
      <x:c r="E494" s="365" t="str">
        <x:v>Siege</x:v>
      </x:c>
      <x:c r="F494" s="365" t="n">
        <x:v>25</x:v>
      </x:c>
      <x:c r="G494" s="365" t="str">
        <x:v>Highly toxic</x:v>
      </x:c>
      <x:c r="H494" s="365" t="str">
        <x:v>Inflict continuous toxic damage</x:v>
      </x:c>
      <x:c r="I494" s="365" t="str">
        <x:v>Unlocked</x:v>
      </x:c>
      <x:c r="J494" s="365" t="str">
        <x:v>02:47.00</x:v>
      </x:c>
      <x:c r="K494" s="365" t="str">
        <x:v>E069; Tier: T10; Directly visible tooltip; representative frame sampled at 0.5-second resolution.; Source frame: frames05s/h_0334.jpg</x:v>
      </x:c>
      <x:c r="L494" s="365" t="str">
        <x:v>1000025872.mp4</x:v>
      </x:c>
      <x:c r="M494" s="387" t="n">
        <x:f>IF(P494="OK",INDEX('Badge Lookup'!$B$6:$B$55,MATCH(F494,'Badge Lookup'!$A$6:$A$55,0)),0)</x:f>
        <x:v>55000</x:v>
      </x:c>
      <x:c r="N494" s="387" t="n">
        <x:f>IF(P494="OK",INDEX('Badge Lookup'!$C$6:$C$55,MATCH(F494,'Badge Lookup'!$A$6:$A$55,0)),0)</x:f>
        <x:v>424300</x:v>
      </x:c>
      <x:c r="O494" s="388" t="n">
        <x:f>IF(P494="OK",INDEX('Badge Lookup'!$D$6:$D$55,MATCH(F494,'Badge Lookup'!$A$6:$A$55,0)),0)</x:f>
        <x:v>6.11</x:v>
      </x:c>
      <x:c r="P494" s="362" t="str">
        <x:f>IF(OR(G494="",F494=""),"Not scored",IF(AND(F494=INT(F494),F494&gt;=1,F494&lt;=50,COUNTIF('Badge Lookup'!$A$6:$A$55,F494)=1),"OK","Check lookup"))</x:f>
        <x:v>OK</x:v>
      </x:c>
      <x:c r="Q494" s="456" t="n">
        <x:f>IF(P494&lt;&gt;"OK","",IF(C494="Guards",-O494,O494))</x:f>
        <x:v>6.11</x:v>
      </x:c>
      <x:c r="R494" s="362" t="str">
        <x:f>IF(P494&lt;&gt;"OK","Not scored",IF(C494="Guards","Damage received reduction","Damage increase"))</x:f>
        <x:v>Damage increase</x:v>
      </x:c>
    </x:row>
    <x:row r="495" ht="32" customHeight="1">
      <x:c r="A495" s="365" t="str">
        <x:v>K176</x:v>
      </x:c>
      <x:c r="B495" s="365" t="str">
        <x:v>老黑黑</x:v>
      </x:c>
      <x:c r="C495" s="365" t="str">
        <x:v>Cavalry</x:v>
      </x:c>
      <x:c r="D495" s="365" t="str">
        <x:v>Storm cavalry</x:v>
      </x:c>
      <x:c r="E495" s="365" t="str">
        <x:v>Horse archer</x:v>
      </x:c>
      <x:c r="F495" s="365" t="n">
        <x:v>45</x:v>
      </x:c>
      <x:c r="G495" s="365" t="str">
        <x:v>Mounted Archery</x:v>
      </x:c>
      <x:c r="H495" s="365" t="str">
        <x:v>Has a certain probability of causing fly-shooting damage</x:v>
      </x:c>
      <x:c r="I495" s="365" t="str">
        <x:v>Unlocked</x:v>
      </x:c>
      <x:c r="J495" s="365" t="str">
        <x:v>02:47.50</x:v>
      </x:c>
      <x:c r="K495" s="365" t="str">
        <x:v>E070; Tier: T9; Directly visible tooltip; representative frame sampled at 0.5-second resolution.; Source frame: frames05s/h_0335.jpg</x:v>
      </x:c>
      <x:c r="L495" s="365" t="str">
        <x:v>1000025872.mp4</x:v>
      </x:c>
      <x:c r="M495" s="387" t="n">
        <x:f>IF(P495="OK",INDEX('Badge Lookup'!$B$6:$B$55,MATCH(F495,'Badge Lookup'!$A$6:$A$55,0)),0)</x:f>
        <x:v>560000</x:v>
      </x:c>
      <x:c r="N495" s="387" t="n">
        <x:f>IF(P495="OK",INDEX('Badge Lookup'!$C$6:$C$55,MATCH(F495,'Badge Lookup'!$A$6:$A$55,0)),0)</x:f>
        <x:v>4284300</x:v>
      </x:c>
      <x:c r="O495" s="388" t="n">
        <x:f>IF(P495="OK",INDEX('Badge Lookup'!$D$6:$D$55,MATCH(F495,'Badge Lookup'!$A$6:$A$55,0)),0)</x:f>
        <x:v>41.98</x:v>
      </x:c>
      <x:c r="P495" s="362" t="str">
        <x:f>IF(OR(G495="",F495=""),"Not scored",IF(AND(F495=INT(F495),F495&gt;=1,F495&lt;=50,COUNTIF('Badge Lookup'!$A$6:$A$55,F495)=1),"OK","Check lookup"))</x:f>
        <x:v>OK</x:v>
      </x:c>
      <x:c r="Q495" s="456" t="n">
        <x:f>IF(P495&lt;&gt;"OK","",IF(C495="Guards",-O495,O495))</x:f>
        <x:v>41.98</x:v>
      </x:c>
      <x:c r="R495" s="362" t="str">
        <x:f>IF(P495&lt;&gt;"OK","Not scored",IF(C495="Guards","Damage received reduction","Damage increase"))</x:f>
        <x:v>Damage increase</x:v>
      </x:c>
    </x:row>
    <x:row r="496" ht="32" customHeight="1">
      <x:c r="A496" s="365" t="str">
        <x:v>K176</x:v>
      </x:c>
      <x:c r="B496" s="365" t="str">
        <x:v>温不胜</x:v>
      </x:c>
      <x:c r="C496" s="365" t="str">
        <x:v>Guards</x:v>
      </x:c>
      <x:c r="D496" s="365" t="str">
        <x:v>Destroyers</x:v>
      </x:c>
      <x:c r="E496" s="365" t="str">
        <x:v>Guard</x:v>
      </x:c>
      <x:c r="F496" s="365" t="n">
        <x:v>45</x:v>
      </x:c>
      <x:c r="G496" s="365" t="str">
        <x:v>Parry</x:v>
      </x:c>
      <x:c r="H496" s="365" t="str">
        <x:v>Provides a parry effect and a certain probability to increase damage</x:v>
      </x:c>
      <x:c r="I496" s="365" t="str">
        <x:v>Unlocked</x:v>
      </x:c>
      <x:c r="J496" s="365" t="str">
        <x:v>02:57.00</x:v>
      </x:c>
      <x:c r="K496" s="365" t="str">
        <x:v>E072; Tier: T10; Directly visible tooltip; representative frame sampled at 0.5-second resolution.; Source frame: frames05s/h_0354.jpg</x:v>
      </x:c>
      <x:c r="L496" s="365" t="str">
        <x:v>1000025872.mp4</x:v>
      </x:c>
      <x:c r="M496" s="387" t="n">
        <x:f>IF(P496="OK",INDEX('Badge Lookup'!$B$6:$B$55,MATCH(F496,'Badge Lookup'!$A$6:$A$55,0)),0)</x:f>
        <x:v>560000</x:v>
      </x:c>
      <x:c r="N496" s="387" t="n">
        <x:f>IF(P496="OK",INDEX('Badge Lookup'!$C$6:$C$55,MATCH(F496,'Badge Lookup'!$A$6:$A$55,0)),0)</x:f>
        <x:v>4284300</x:v>
      </x:c>
      <x:c r="O496" s="388" t="n">
        <x:f>IF(P496="OK",INDEX('Badge Lookup'!$D$6:$D$55,MATCH(F496,'Badge Lookup'!$A$6:$A$55,0)),0)</x:f>
        <x:v>41.98</x:v>
      </x:c>
      <x:c r="P496" s="362" t="str">
        <x:f>IF(OR(G496="",F496=""),"Not scored",IF(AND(F496=INT(F496),F496&gt;=1,F496&lt;=50,COUNTIF('Badge Lookup'!$A$6:$A$55,F496)=1),"OK","Check lookup"))</x:f>
        <x:v>OK</x:v>
      </x:c>
      <x:c r="Q496" s="456" t="n">
        <x:f>IF(P496&lt;&gt;"OK","",IF(C496="Guards",-O496,O496))</x:f>
        <x:v>-41.98</x:v>
      </x:c>
      <x:c r="R496" s="362" t="str">
        <x:f>IF(P496&lt;&gt;"OK","Not scored",IF(C496="Guards","Damage received reduction","Damage increase"))</x:f>
        <x:v>Damage received reduction</x:v>
      </x:c>
    </x:row>
    <x:row r="497" ht="32" customHeight="1">
      <x:c r="A497" s="365" t="str">
        <x:v>K176</x:v>
      </x:c>
      <x:c r="B497" s="365" t="str">
        <x:v>温不胜</x:v>
      </x:c>
      <x:c r="C497" s="365" t="str">
        <x:v>Cavalry</x:v>
      </x:c>
      <x:c r="D497" s="365" t="str">
        <x:v>Eternal knights</x:v>
      </x:c>
      <x:c r="E497" s="365" t="str">
        <x:v>Heavy Cavalry</x:v>
      </x:c>
      <x:c r="F497" s="365" t="n">
        <x:v>49</x:v>
      </x:c>
      <x:c r="G497" s="365" t="str">
        <x:v>Thunder trample</x:v>
      </x:c>
      <x:c r="H497" s="365" t="str">
        <x:v>Has a certain probability of causing trampling damage</x:v>
      </x:c>
      <x:c r="I497" s="365" t="str">
        <x:v>Unlocked</x:v>
      </x:c>
      <x:c r="J497" s="365" t="str">
        <x:v>02:57.50</x:v>
      </x:c>
      <x:c r="K497" s="365" t="str">
        <x:v>E073; Tier: T10; Directly visible tooltip; representative frame sampled at 0.5-second resolution.; Source frame: frames05s/h_0355.jpg</x:v>
      </x:c>
      <x:c r="L497" s="365" t="str">
        <x:v>1000025872.mp4</x:v>
      </x:c>
      <x:c r="M497" s="387" t="n">
        <x:f>IF(P497="OK",INDEX('Badge Lookup'!$B$6:$B$55,MATCH(F497,'Badge Lookup'!$A$6:$A$55,0)),0)</x:f>
        <x:v>1400000</x:v>
      </x:c>
      <x:c r="N497" s="387" t="n">
        <x:f>IF(P497="OK",INDEX('Badge Lookup'!$C$6:$C$55,MATCH(F497,'Badge Lookup'!$A$6:$A$55,0)),0)</x:f>
        <x:v>8334300</x:v>
      </x:c>
      <x:c r="O497" s="388" t="n">
        <x:f>IF(P497="OK",INDEX('Badge Lookup'!$D$6:$D$55,MATCH(F497,'Badge Lookup'!$A$6:$A$55,0)),0)</x:f>
        <x:v>55.2</x:v>
      </x:c>
      <x:c r="P497" s="362" t="str">
        <x:f>IF(OR(G497="",F497=""),"Not scored",IF(AND(F497=INT(F497),F497&gt;=1,F497&lt;=50,COUNTIF('Badge Lookup'!$A$6:$A$55,F497)=1),"OK","Check lookup"))</x:f>
        <x:v>OK</x:v>
      </x:c>
      <x:c r="Q497" s="456" t="n">
        <x:f>IF(P497&lt;&gt;"OK","",IF(C497="Guards",-O497,O497))</x:f>
        <x:v>55.2</x:v>
      </x:c>
      <x:c r="R497" s="362" t="str">
        <x:f>IF(P497&lt;&gt;"OK","Not scored",IF(C497="Guards","Damage received reduction","Damage increase"))</x:f>
        <x:v>Damage increase</x:v>
      </x:c>
    </x:row>
    <x:row r="498" ht="32" customHeight="1">
      <x:c r="A498" s="365" t="str">
        <x:v>K176</x:v>
      </x:c>
      <x:c r="B498" s="365" t="str">
        <x:v>我是贤熙</x:v>
      </x:c>
      <x:c r="C498" s="365" t="str">
        <x:v>Cavalry</x:v>
      </x:c>
      <x:c r="D498" s="365" t="str">
        <x:v>Eternal knights</x:v>
      </x:c>
      <x:c r="E498" s="365" t="str">
        <x:v>Heavy Cavalry</x:v>
      </x:c>
      <x:c r="F498" s="365" t="n">
        <x:v>40</x:v>
      </x:c>
      <x:c r="G498" s="365" t="str">
        <x:v>Thunder trample</x:v>
      </x:c>
      <x:c r="H498" s="365" t="str">
        <x:v>Has a certain probability of causing trampling damage</x:v>
      </x:c>
      <x:c r="I498" s="365" t="str">
        <x:v>Unlocked</x:v>
      </x:c>
      <x:c r="J498" s="365" t="str">
        <x:v>03:08.00</x:v>
      </x:c>
      <x:c r="K498" s="365" t="str">
        <x:v>E074; Tier: T10; Directly visible tooltip; representative frame sampled at 0.5-second resolution.; Source frame: frames05s/h_0376.jpg</x:v>
      </x:c>
      <x:c r="L498" s="365" t="str">
        <x:v>1000025872.mp4</x:v>
      </x:c>
      <x:c r="M498" s="387" t="n">
        <x:f>IF(P498="OK",INDEX('Badge Lookup'!$B$6:$B$55,MATCH(F498,'Badge Lookup'!$A$6:$A$55,0)),0)</x:f>
        <x:v>240000</x:v>
      </x:c>
      <x:c r="N498" s="387" t="n">
        <x:f>IF(P498="OK",INDEX('Badge Lookup'!$C$6:$C$55,MATCH(F498,'Badge Lookup'!$A$6:$A$55,0)),0)</x:f>
        <x:v>2244300</x:v>
      </x:c>
      <x:c r="O498" s="388" t="n">
        <x:f>IF(P498="OK",INDEX('Badge Lookup'!$D$6:$D$55,MATCH(F498,'Badge Lookup'!$A$6:$A$55,0)),0)</x:f>
        <x:v>27.74</x:v>
      </x:c>
      <x:c r="P498" s="362" t="str">
        <x:f>IF(OR(G498="",F498=""),"Not scored",IF(AND(F498=INT(F498),F498&gt;=1,F498&lt;=50,COUNTIF('Badge Lookup'!$A$6:$A$55,F498)=1),"OK","Check lookup"))</x:f>
        <x:v>OK</x:v>
      </x:c>
      <x:c r="Q498" s="456" t="n">
        <x:f>IF(P498&lt;&gt;"OK","",IF(C498="Guards",-O498,O498))</x:f>
        <x:v>27.74</x:v>
      </x:c>
      <x:c r="R498" s="362" t="str">
        <x:f>IF(P498&lt;&gt;"OK","Not scored",IF(C498="Guards","Damage received reduction","Damage increase"))</x:f>
        <x:v>Damage increase</x:v>
      </x:c>
    </x:row>
    <x:row r="499" ht="32" customHeight="1">
      <x:c r="A499" s="365" t="str">
        <x:v>K176</x:v>
      </x:c>
      <x:c r="B499" s="365" t="str">
        <x:v>我是贤熙</x:v>
      </x:c>
      <x:c r="C499" s="365" t="str">
        <x:v>Cavalry</x:v>
      </x:c>
      <x:c r="D499" s="365" t="str">
        <x:v>Storm cavalry</x:v>
      </x:c>
      <x:c r="E499" s="365" t="str">
        <x:v>Horse archer</x:v>
      </x:c>
      <x:c r="F499" s="365" t="n">
        <x:v>43</x:v>
      </x:c>
      <x:c r="G499" s="365" t="str">
        <x:v>Mounted Archery</x:v>
      </x:c>
      <x:c r="H499" s="365" t="str">
        <x:v>Has a certain probability of causing fly-shooting damage</x:v>
      </x:c>
      <x:c r="I499" s="365" t="str">
        <x:v>Unlocked</x:v>
      </x:c>
      <x:c r="J499" s="365" t="str">
        <x:v>03:08.50</x:v>
      </x:c>
      <x:c r="K499" s="365" t="str">
        <x:v>E075; Tier: T9; Directly visible tooltip; representative frame sampled at 0.5-second resolution.; Source frame: frames05s/h_0377.jpg</x:v>
      </x:c>
      <x:c r="L499" s="365" t="str">
        <x:v>1000025872.mp4</x:v>
      </x:c>
      <x:c r="M499" s="387" t="n">
        <x:f>IF(P499="OK",INDEX('Badge Lookup'!$B$6:$B$55,MATCH(F499,'Badge Lookup'!$A$6:$A$55,0)),0)</x:f>
        <x:v>400000</x:v>
      </x:c>
      <x:c r="N499" s="387" t="n">
        <x:f>IF(P499="OK",INDEX('Badge Lookup'!$C$6:$C$55,MATCH(F499,'Badge Lookup'!$A$6:$A$55,0)),0)</x:f>
        <x:v>3244300</x:v>
      </x:c>
      <x:c r="O499" s="388" t="n">
        <x:f>IF(P499="OK",INDEX('Badge Lookup'!$D$6:$D$55,MATCH(F499,'Badge Lookup'!$A$6:$A$55,0)),0)</x:f>
        <x:v>35.98</x:v>
      </x:c>
      <x:c r="P499" s="362" t="str">
        <x:f>IF(OR(G499="",F499=""),"Not scored",IF(AND(F499=INT(F499),F499&gt;=1,F499&lt;=50,COUNTIF('Badge Lookup'!$A$6:$A$55,F499)=1),"OK","Check lookup"))</x:f>
        <x:v>OK</x:v>
      </x:c>
      <x:c r="Q499" s="456" t="n">
        <x:f>IF(P499&lt;&gt;"OK","",IF(C499="Guards",-O499,O499))</x:f>
        <x:v>35.98</x:v>
      </x:c>
      <x:c r="R499" s="362" t="str">
        <x:f>IF(P499&lt;&gt;"OK","Not scored",IF(C499="Guards","Damage received reduction","Damage increase"))</x:f>
        <x:v>Damage increase</x:v>
      </x:c>
    </x:row>
    <x:row r="500" ht="32" customHeight="1">
      <x:c r="A500" s="365" t="str">
        <x:v>K176</x:v>
      </x:c>
      <x:c r="B500" s="365" t="str">
        <x:v>金玉其外败絮其中</x:v>
      </x:c>
      <x:c r="C500" s="365" t="str">
        <x:v>Guards</x:v>
      </x:c>
      <x:c r="D500" s="365" t="str">
        <x:v>Destroyers</x:v>
      </x:c>
      <x:c r="E500" s="365" t="str">
        <x:v>Guard</x:v>
      </x:c>
      <x:c r="F500" s="365" t="n">
        <x:v>47</x:v>
      </x:c>
      <x:c r="G500" s="365" t="str">
        <x:v>Parry</x:v>
      </x:c>
      <x:c r="H500" s="365" t="str">
        <x:v>Provides a parry effect and a certain probability to increase damage</x:v>
      </x:c>
      <x:c r="I500" s="365" t="str">
        <x:v>Unlocked</x:v>
      </x:c>
      <x:c r="J500" s="365" t="str">
        <x:v>03:17.00</x:v>
      </x:c>
      <x:c r="K500" s="365" t="str">
        <x:v>E076; Tier: T10; Directly visible tooltip; representative frame sampled at 0.5-second resolution.; Source frame: frames05s/h_0394.jpg</x:v>
      </x:c>
      <x:c r="L500" s="365" t="str">
        <x:v>1000025872.mp4</x:v>
      </x:c>
      <x:c r="M500" s="387" t="n">
        <x:f>IF(P500="OK",INDEX('Badge Lookup'!$B$6:$B$55,MATCH(F500,'Badge Lookup'!$A$6:$A$55,0)),0)</x:f>
        <x:v>880000</x:v>
      </x:c>
      <x:c r="N500" s="387" t="n">
        <x:f>IF(P500="OK",INDEX('Badge Lookup'!$C$6:$C$55,MATCH(F500,'Badge Lookup'!$A$6:$A$55,0)),0)</x:f>
        <x:v>5884300</x:v>
      </x:c>
      <x:c r="O500" s="388" t="n">
        <x:f>IF(P500="OK",INDEX('Badge Lookup'!$D$6:$D$55,MATCH(F500,'Badge Lookup'!$A$6:$A$55,0)),0)</x:f>
        <x:v>48.38</x:v>
      </x:c>
      <x:c r="P500" s="362" t="str">
        <x:f>IF(OR(G500="",F500=""),"Not scored",IF(AND(F500=INT(F500),F500&gt;=1,F500&lt;=50,COUNTIF('Badge Lookup'!$A$6:$A$55,F500)=1),"OK","Check lookup"))</x:f>
        <x:v>OK</x:v>
      </x:c>
      <x:c r="Q500" s="456" t="n">
        <x:f>IF(P500&lt;&gt;"OK","",IF(C500="Guards",-O500,O500))</x:f>
        <x:v>-48.38</x:v>
      </x:c>
      <x:c r="R500" s="362" t="str">
        <x:f>IF(P500&lt;&gt;"OK","Not scored",IF(C500="Guards","Damage received reduction","Damage increase"))</x:f>
        <x:v>Damage received reduction</x:v>
      </x:c>
    </x:row>
    <x:row r="501" ht="32" customHeight="1">
      <x:c r="A501" s="365" t="str">
        <x:v>K176</x:v>
      </x:c>
      <x:c r="B501" s="365" t="str">
        <x:v>金玉其外败絮其中</x:v>
      </x:c>
      <x:c r="C501" s="365" t="str">
        <x:v>Siege</x:v>
      </x:c>
      <x:c r="D501" s="365" t="str">
        <x:v>Manglers</x:v>
      </x:c>
      <x:c r="E501" s="365" t="str">
        <x:v>Siege</x:v>
      </x:c>
      <x:c r="F501" s="365" t="n">
        <x:v>37</x:v>
      </x:c>
      <x:c r="G501" s="365" t="str">
        <x:v>Highly toxic</x:v>
      </x:c>
      <x:c r="H501" s="365" t="str">
        <x:v>Inflict continuous toxic damage</x:v>
      </x:c>
      <x:c r="I501" s="365" t="str">
        <x:v>Unlocked</x:v>
      </x:c>
      <x:c r="J501" s="365" t="str">
        <x:v>03:19.00</x:v>
      </x:c>
      <x:c r="K501" s="365" t="str">
        <x:v>E077; Tier: T10; Directly visible tooltip; representative frame sampled at 0.5-second resolution.; Source frame: frames05s/h_0398.jpg</x:v>
      </x:c>
      <x:c r="L501" s="365" t="str">
        <x:v>1000025872.mp4</x:v>
      </x:c>
      <x:c r="M501" s="387" t="n">
        <x:f>IF(P501="OK",INDEX('Badge Lookup'!$B$6:$B$55,MATCH(F501,'Badge Lookup'!$A$6:$A$55,0)),0)</x:f>
        <x:v>160000</x:v>
      </x:c>
      <x:c r="N501" s="387" t="n">
        <x:f>IF(P501="OK",INDEX('Badge Lookup'!$C$6:$C$55,MATCH(F501,'Badge Lookup'!$A$6:$A$55,0)),0)</x:f>
        <x:v>1624300</x:v>
      </x:c>
      <x:c r="O501" s="388" t="n">
        <x:f>IF(P501="OK",INDEX('Badge Lookup'!$D$6:$D$55,MATCH(F501,'Badge Lookup'!$A$6:$A$55,0)),0)</x:f>
        <x:v>20.73</x:v>
      </x:c>
      <x:c r="P501" s="362" t="str">
        <x:f>IF(OR(G501="",F501=""),"Not scored",IF(AND(F501=INT(F501),F501&gt;=1,F501&lt;=50,COUNTIF('Badge Lookup'!$A$6:$A$55,F501)=1),"OK","Check lookup"))</x:f>
        <x:v>OK</x:v>
      </x:c>
      <x:c r="Q501" s="456" t="n">
        <x:f>IF(P501&lt;&gt;"OK","",IF(C501="Guards",-O501,O501))</x:f>
        <x:v>20.73</x:v>
      </x:c>
      <x:c r="R501" s="362" t="str">
        <x:f>IF(P501&lt;&gt;"OK","Not scored",IF(C501="Guards","Damage received reduction","Damage increase"))</x:f>
        <x:v>Damage increase</x:v>
      </x:c>
    </x:row>
    <x:row r="502" ht="32" customHeight="1">
      <x:c r="A502" s="365" t="str">
        <x:v>K176</x:v>
      </x:c>
      <x:c r="B502" s="365" t="str">
        <x:v>金玉其外败絮其中</x:v>
      </x:c>
      <x:c r="C502" s="365" t="str">
        <x:v>Cavalry</x:v>
      </x:c>
      <x:c r="D502" s="365" t="str">
        <x:v>Storm cavalry</x:v>
      </x:c>
      <x:c r="E502" s="365" t="str">
        <x:v>Horse archer</x:v>
      </x:c>
      <x:c r="F502" s="365" t="n">
        <x:v>48</x:v>
      </x:c>
      <x:c r="G502" s="365" t="str">
        <x:v>Mounted Archery</x:v>
      </x:c>
      <x:c r="H502" s="365" t="str">
        <x:v>Has a certain probability of causing fly-shooting damage</x:v>
      </x:c>
      <x:c r="I502" s="365" t="str">
        <x:v>Unlocked</x:v>
      </x:c>
      <x:c r="J502" s="365" t="str">
        <x:v>03:19.50</x:v>
      </x:c>
      <x:c r="K502" s="365" t="str">
        <x:v>E078; Tier: T9; Directly visible tooltip; representative frame sampled at 0.5-second resolution.; Source frame: frames05s/h_0399.jpg</x:v>
      </x:c>
      <x:c r="L502" s="365" t="str">
        <x:v>1000025872.mp4</x:v>
      </x:c>
      <x:c r="M502" s="387" t="n">
        <x:f>IF(P502="OK",INDEX('Badge Lookup'!$B$6:$B$55,MATCH(F502,'Badge Lookup'!$A$6:$A$55,0)),0)</x:f>
        <x:v>1050000</x:v>
      </x:c>
      <x:c r="N502" s="387" t="n">
        <x:f>IF(P502="OK",INDEX('Badge Lookup'!$C$6:$C$55,MATCH(F502,'Badge Lookup'!$A$6:$A$55,0)),0)</x:f>
        <x:v>6934300</x:v>
      </x:c>
      <x:c r="O502" s="388" t="n">
        <x:f>IF(P502="OK",INDEX('Badge Lookup'!$D$6:$D$55,MATCH(F502,'Badge Lookup'!$A$6:$A$55,0)),0)</x:f>
        <x:v>51.74</x:v>
      </x:c>
      <x:c r="P502" s="362" t="str">
        <x:f>IF(OR(G502="",F502=""),"Not scored",IF(AND(F502=INT(F502),F502&gt;=1,F502&lt;=50,COUNTIF('Badge Lookup'!$A$6:$A$55,F502)=1),"OK","Check lookup"))</x:f>
        <x:v>OK</x:v>
      </x:c>
      <x:c r="Q502" s="456" t="n">
        <x:f>IF(P502&lt;&gt;"OK","",IF(C502="Guards",-O502,O502))</x:f>
        <x:v>51.74</x:v>
      </x:c>
      <x:c r="R502" s="362" t="str">
        <x:f>IF(P502&lt;&gt;"OK","Not scored",IF(C502="Guards","Damage received reduction","Damage increase"))</x:f>
        <x:v>Damage increase</x:v>
      </x:c>
    </x:row>
    <x:row r="503" ht="32" customHeight="1">
      <x:c r="A503" s="365" t="str">
        <x:v>K176</x:v>
      </x:c>
      <x:c r="B503" s="365" t="str">
        <x:v>金玉其外败絮其中</x:v>
      </x:c>
      <x:c r="C503" s="365" t="str">
        <x:v>Cavalry</x:v>
      </x:c>
      <x:c r="D503" s="365" t="str">
        <x:v>Roman knights</x:v>
      </x:c>
      <x:c r="E503" s="365" t="str">
        <x:v>Heavy Cavalry</x:v>
      </x:c>
      <x:c r="F503" s="365" t="n">
        <x:v>48</x:v>
      </x:c>
      <x:c r="G503" s="365" t="str">
        <x:v>Thunder trample</x:v>
      </x:c>
      <x:c r="H503" s="365" t="str">
        <x:v>Has a certain probability of causing trampling damage</x:v>
      </x:c>
      <x:c r="I503" s="365" t="str">
        <x:v>Unlocked</x:v>
      </x:c>
      <x:c r="J503" s="365" t="str">
        <x:v>03:20.00</x:v>
      </x:c>
      <x:c r="K503" s="365" t="str">
        <x:v>E079; Tier: T8; Directly visible tooltip; representative frame sampled at 0.5-second resolution.; Source frame: frames05s/h_0400.jpg</x:v>
      </x:c>
      <x:c r="L503" s="365" t="str">
        <x:v>1000025872.mp4</x:v>
      </x:c>
      <x:c r="M503" s="387" t="n">
        <x:f>IF(P503="OK",INDEX('Badge Lookup'!$B$6:$B$55,MATCH(F503,'Badge Lookup'!$A$6:$A$55,0)),0)</x:f>
        <x:v>1050000</x:v>
      </x:c>
      <x:c r="N503" s="387" t="n">
        <x:f>IF(P503="OK",INDEX('Badge Lookup'!$C$6:$C$55,MATCH(F503,'Badge Lookup'!$A$6:$A$55,0)),0)</x:f>
        <x:v>6934300</x:v>
      </x:c>
      <x:c r="O503" s="388" t="n">
        <x:f>IF(P503="OK",INDEX('Badge Lookup'!$D$6:$D$55,MATCH(F503,'Badge Lookup'!$A$6:$A$55,0)),0)</x:f>
        <x:v>51.74</x:v>
      </x:c>
      <x:c r="P503" s="362" t="str">
        <x:f>IF(OR(G503="",F503=""),"Not scored",IF(AND(F503=INT(F503),F503&gt;=1,F503&lt;=50,COUNTIF('Badge Lookup'!$A$6:$A$55,F503)=1),"OK","Check lookup"))</x:f>
        <x:v>OK</x:v>
      </x:c>
      <x:c r="Q503" s="456" t="n">
        <x:f>IF(P503&lt;&gt;"OK","",IF(C503="Guards",-O503,O503))</x:f>
        <x:v>51.74</x:v>
      </x:c>
      <x:c r="R503" s="362" t="str">
        <x:f>IF(P503&lt;&gt;"OK","Not scored",IF(C503="Guards","Damage received reduction","Damage increase"))</x:f>
        <x:v>Damage increase</x:v>
      </x:c>
    </x:row>
    <x:row r="504" ht="32" customHeight="1">
      <x:c r="A504" s="365" t="str">
        <x:v>K176</x:v>
      </x:c>
      <x:c r="B504" s="365" t="str">
        <x:v>温水煮青蛙</x:v>
      </x:c>
      <x:c r="C504" s="365" t="str">
        <x:v>Guards</x:v>
      </x:c>
      <x:c r="D504" s="365" t="str">
        <x:v>Destroyers</x:v>
      </x:c>
      <x:c r="E504" s="365" t="str">
        <x:v>Guard</x:v>
      </x:c>
      <x:c r="F504" s="365" t="n">
        <x:v>46</x:v>
      </x:c>
      <x:c r="G504" s="365" t="str">
        <x:v>Parry</x:v>
      </x:c>
      <x:c r="H504" s="365" t="str">
        <x:v>Provides a parry effect and a certain probability to increase damage</x:v>
      </x:c>
      <x:c r="I504" s="365" t="str">
        <x:v>Unlocked</x:v>
      </x:c>
      <x:c r="J504" s="365" t="str">
        <x:v>03:27.00</x:v>
      </x:c>
      <x:c r="K504" s="365" t="str">
        <x:v>E081; Tier: T10; Directly visible tooltip; representative frame sampled at 0.5-second resolution.; Source frame: frames05s/h_0414.jpg</x:v>
      </x:c>
      <x:c r="L504" s="365" t="str">
        <x:v>1000025872.mp4</x:v>
      </x:c>
      <x:c r="M504" s="387" t="n">
        <x:f>IF(P504="OK",INDEX('Badge Lookup'!$B$6:$B$55,MATCH(F504,'Badge Lookup'!$A$6:$A$55,0)),0)</x:f>
        <x:v>720000</x:v>
      </x:c>
      <x:c r="N504" s="387" t="n">
        <x:f>IF(P504="OK",INDEX('Badge Lookup'!$C$6:$C$55,MATCH(F504,'Badge Lookup'!$A$6:$A$55,0)),0)</x:f>
        <x:v>5004300</x:v>
      </x:c>
      <x:c r="O504" s="388" t="n">
        <x:f>IF(P504="OK",INDEX('Badge Lookup'!$D$6:$D$55,MATCH(F504,'Badge Lookup'!$A$6:$A$55,0)),0)</x:f>
        <x:v>45.13</x:v>
      </x:c>
      <x:c r="P504" s="362" t="str">
        <x:f>IF(OR(G504="",F504=""),"Not scored",IF(AND(F504=INT(F504),F504&gt;=1,F504&lt;=50,COUNTIF('Badge Lookup'!$A$6:$A$55,F504)=1),"OK","Check lookup"))</x:f>
        <x:v>OK</x:v>
      </x:c>
      <x:c r="Q504" s="456" t="n">
        <x:f>IF(P504&lt;&gt;"OK","",IF(C504="Guards",-O504,O504))</x:f>
        <x:v>-45.13</x:v>
      </x:c>
      <x:c r="R504" s="362" t="str">
        <x:f>IF(P504&lt;&gt;"OK","Not scored",IF(C504="Guards","Damage received reduction","Damage increase"))</x:f>
        <x:v>Damage received reduction</x:v>
      </x:c>
    </x:row>
    <x:row r="505" ht="32" customHeight="1">
      <x:c r="A505" s="365" t="str">
        <x:v>K176</x:v>
      </x:c>
      <x:c r="B505" s="365" t="str">
        <x:v>温水煮青蛙</x:v>
      </x:c>
      <x:c r="C505" s="365" t="str">
        <x:v>Cavalry</x:v>
      </x:c>
      <x:c r="D505" s="365" t="str">
        <x:v>Eternal knights</x:v>
      </x:c>
      <x:c r="E505" s="365" t="str">
        <x:v>Heavy Cavalry</x:v>
      </x:c>
      <x:c r="F505" s="365" t="n">
        <x:v>47</x:v>
      </x:c>
      <x:c r="G505" s="365" t="str">
        <x:v>Thunder trample</x:v>
      </x:c>
      <x:c r="H505" s="365" t="str">
        <x:v>Has a certain probability of causing trampling damage</x:v>
      </x:c>
      <x:c r="I505" s="365" t="str">
        <x:v>Unlocked</x:v>
      </x:c>
      <x:c r="J505" s="365" t="str">
        <x:v>03:27.50</x:v>
      </x:c>
      <x:c r="K505" s="365" t="str">
        <x:v>E082; Tier: T10; Directly visible tooltip; representative frame sampled at 0.5-second resolution.; Source frame: frames05s/h_0415.jpg</x:v>
      </x:c>
      <x:c r="L505" s="365" t="str">
        <x:v>1000025872.mp4</x:v>
      </x:c>
      <x:c r="M505" s="387" t="n">
        <x:f>IF(P505="OK",INDEX('Badge Lookup'!$B$6:$B$55,MATCH(F505,'Badge Lookup'!$A$6:$A$55,0)),0)</x:f>
        <x:v>880000</x:v>
      </x:c>
      <x:c r="N505" s="387" t="n">
        <x:f>IF(P505="OK",INDEX('Badge Lookup'!$C$6:$C$55,MATCH(F505,'Badge Lookup'!$A$6:$A$55,0)),0)</x:f>
        <x:v>5884300</x:v>
      </x:c>
      <x:c r="O505" s="388" t="n">
        <x:f>IF(P505="OK",INDEX('Badge Lookup'!$D$6:$D$55,MATCH(F505,'Badge Lookup'!$A$6:$A$55,0)),0)</x:f>
        <x:v>48.38</x:v>
      </x:c>
      <x:c r="P505" s="362" t="str">
        <x:f>IF(OR(G505="",F505=""),"Not scored",IF(AND(F505=INT(F505),F505&gt;=1,F505&lt;=50,COUNTIF('Badge Lookup'!$A$6:$A$55,F505)=1),"OK","Check lookup"))</x:f>
        <x:v>OK</x:v>
      </x:c>
      <x:c r="Q505" s="456" t="n">
        <x:f>IF(P505&lt;&gt;"OK","",IF(C505="Guards",-O505,O505))</x:f>
        <x:v>48.38</x:v>
      </x:c>
      <x:c r="R505" s="362" t="str">
        <x:f>IF(P505&lt;&gt;"OK","Not scored",IF(C505="Guards","Damage received reduction","Damage increase"))</x:f>
        <x:v>Damage increase</x:v>
      </x:c>
    </x:row>
    <x:row r="506" ht="32" customHeight="1">
      <x:c r="A506" s="365" t="str">
        <x:v>K176</x:v>
      </x:c>
      <x:c r="B506" s="365" t="str">
        <x:v>温水煮青蛙</x:v>
      </x:c>
      <x:c r="C506" s="365" t="str">
        <x:v>Siege</x:v>
      </x:c>
      <x:c r="D506" s="365" t="str">
        <x:v>Manglers</x:v>
      </x:c>
      <x:c r="E506" s="365" t="str">
        <x:v>Siege</x:v>
      </x:c>
      <x:c r="F506" s="365" t="n">
        <x:v>26</x:v>
      </x:c>
      <x:c r="G506" s="365" t="str">
        <x:v>Highly toxic</x:v>
      </x:c>
      <x:c r="H506" s="365" t="str">
        <x:v>Inflict continuous toxic damage</x:v>
      </x:c>
      <x:c r="I506" s="365" t="str">
        <x:v>Unlocked</x:v>
      </x:c>
      <x:c r="J506" s="365" t="str">
        <x:v>03:28.50</x:v>
      </x:c>
      <x:c r="K506" s="365" t="str">
        <x:v>E083; Tier: T10; Directly visible tooltip; representative frame sampled at 0.5-second resolution.; Source frame: frames05s/h_0417.jpg</x:v>
      </x:c>
      <x:c r="L506" s="365" t="str">
        <x:v>1000025872.mp4</x:v>
      </x:c>
      <x:c r="M506" s="387" t="n">
        <x:f>IF(P506="OK",INDEX('Badge Lookup'!$B$6:$B$55,MATCH(F506,'Badge Lookup'!$A$6:$A$55,0)),0)</x:f>
        <x:v>60000</x:v>
      </x:c>
      <x:c r="N506" s="387" t="n">
        <x:f>IF(P506="OK",INDEX('Badge Lookup'!$C$6:$C$55,MATCH(F506,'Badge Lookup'!$A$6:$A$55,0)),0)</x:f>
        <x:v>484300</x:v>
      </x:c>
      <x:c r="O506" s="388" t="n">
        <x:f>IF(P506="OK",INDEX('Badge Lookup'!$D$6:$D$55,MATCH(F506,'Badge Lookup'!$A$6:$A$55,0)),0)</x:f>
        <x:v>6.8</x:v>
      </x:c>
      <x:c r="P506" s="362" t="str">
        <x:f>IF(OR(G506="",F506=""),"Not scored",IF(AND(F506=INT(F506),F506&gt;=1,F506&lt;=50,COUNTIF('Badge Lookup'!$A$6:$A$55,F506)=1),"OK","Check lookup"))</x:f>
        <x:v>OK</x:v>
      </x:c>
      <x:c r="Q506" s="456" t="n">
        <x:f>IF(P506&lt;&gt;"OK","",IF(C506="Guards",-O506,O506))</x:f>
        <x:v>6.8</x:v>
      </x:c>
      <x:c r="R506" s="362" t="str">
        <x:f>IF(P506&lt;&gt;"OK","Not scored",IF(C506="Guards","Damage received reduction","Damage increase"))</x:f>
        <x:v>Damage increase</x:v>
      </x:c>
    </x:row>
    <x:row r="507" ht="32" customHeight="1">
      <x:c r="A507" s="365" t="str">
        <x:v>K176</x:v>
      </x:c>
      <x:c r="B507" s="365" t="str">
        <x:v>温水煮青蛙</x:v>
      </x:c>
      <x:c r="C507" s="365" t="str">
        <x:v>Cavalry</x:v>
      </x:c>
      <x:c r="D507" s="365" t="str">
        <x:v>Storm cavalry</x:v>
      </x:c>
      <x:c r="E507" s="365" t="str">
        <x:v>Horse archer</x:v>
      </x:c>
      <x:c r="F507" s="365" t="n">
        <x:v>48</x:v>
      </x:c>
      <x:c r="G507" s="365" t="str">
        <x:v>Mounted Archery</x:v>
      </x:c>
      <x:c r="H507" s="365" t="str">
        <x:v>Has a certain probability of causing fly-shooting damage</x:v>
      </x:c>
      <x:c r="I507" s="365" t="str">
        <x:v>Unlocked</x:v>
      </x:c>
      <x:c r="J507" s="365" t="str">
        <x:v>03:29.00</x:v>
      </x:c>
      <x:c r="K507" s="365" t="str">
        <x:v>E084; Tier: T9; Directly visible tooltip; representative frame sampled at 0.5-second resolution.; Source frame: frames05s/h_0418.jpg</x:v>
      </x:c>
      <x:c r="L507" s="365" t="str">
        <x:v>1000025872.mp4</x:v>
      </x:c>
      <x:c r="M507" s="387" t="n">
        <x:f>IF(P507="OK",INDEX('Badge Lookup'!$B$6:$B$55,MATCH(F507,'Badge Lookup'!$A$6:$A$55,0)),0)</x:f>
        <x:v>1050000</x:v>
      </x:c>
      <x:c r="N507" s="387" t="n">
        <x:f>IF(P507="OK",INDEX('Badge Lookup'!$C$6:$C$55,MATCH(F507,'Badge Lookup'!$A$6:$A$55,0)),0)</x:f>
        <x:v>6934300</x:v>
      </x:c>
      <x:c r="O507" s="388" t="n">
        <x:f>IF(P507="OK",INDEX('Badge Lookup'!$D$6:$D$55,MATCH(F507,'Badge Lookup'!$A$6:$A$55,0)),0)</x:f>
        <x:v>51.74</x:v>
      </x:c>
      <x:c r="P507" s="362" t="str">
        <x:f>IF(OR(G507="",F507=""),"Not scored",IF(AND(F507=INT(F507),F507&gt;=1,F507&lt;=50,COUNTIF('Badge Lookup'!$A$6:$A$55,F507)=1),"OK","Check lookup"))</x:f>
        <x:v>OK</x:v>
      </x:c>
      <x:c r="Q507" s="456" t="n">
        <x:f>IF(P507&lt;&gt;"OK","",IF(C507="Guards",-O507,O507))</x:f>
        <x:v>51.74</x:v>
      </x:c>
      <x:c r="R507" s="362" t="str">
        <x:f>IF(P507&lt;&gt;"OK","Not scored",IF(C507="Guards","Damage received reduction","Damage increase"))</x:f>
        <x:v>Damage increase</x:v>
      </x:c>
    </x:row>
    <x:row r="508" ht="32" customHeight="1">
      <x:c r="A508" s="365" t="str">
        <x:v>K176</x:v>
      </x:c>
      <x:c r="B508" s="365" t="str">
        <x:v>我于杀戮之中绽放</x:v>
      </x:c>
      <x:c r="C508" s="365" t="str">
        <x:v>Guards</x:v>
      </x:c>
      <x:c r="D508" s="365" t="str">
        <x:v>Destroyers</x:v>
      </x:c>
      <x:c r="E508" s="365" t="str">
        <x:v>Guard</x:v>
      </x:c>
      <x:c r="F508" s="365" t="n">
        <x:v>48</x:v>
      </x:c>
      <x:c r="G508" s="365" t="str">
        <x:v>Parry</x:v>
      </x:c>
      <x:c r="H508" s="365" t="str">
        <x:v>Provides a parry effect and a certain probability to increase damage</x:v>
      </x:c>
      <x:c r="I508" s="365" t="str">
        <x:v>Unlocked</x:v>
      </x:c>
      <x:c r="J508" s="365" t="str">
        <x:v>03:50.00</x:v>
      </x:c>
      <x:c r="K508" s="365" t="str">
        <x:v>E087; Tier: T10; Directly visible tooltip; representative frame sampled at 0.5-second resolution.; Source frame: frames05s/h_0460.jpg</x:v>
      </x:c>
      <x:c r="L508" s="365" t="str">
        <x:v>1000025872.mp4</x:v>
      </x:c>
      <x:c r="M508" s="387" t="n">
        <x:f>IF(P508="OK",INDEX('Badge Lookup'!$B$6:$B$55,MATCH(F508,'Badge Lookup'!$A$6:$A$55,0)),0)</x:f>
        <x:v>1050000</x:v>
      </x:c>
      <x:c r="N508" s="387" t="n">
        <x:f>IF(P508="OK",INDEX('Badge Lookup'!$C$6:$C$55,MATCH(F508,'Badge Lookup'!$A$6:$A$55,0)),0)</x:f>
        <x:v>6934300</x:v>
      </x:c>
      <x:c r="O508" s="388" t="n">
        <x:f>IF(P508="OK",INDEX('Badge Lookup'!$D$6:$D$55,MATCH(F508,'Badge Lookup'!$A$6:$A$55,0)),0)</x:f>
        <x:v>51.74</x:v>
      </x:c>
      <x:c r="P508" s="362" t="str">
        <x:f>IF(OR(G508="",F508=""),"Not scored",IF(AND(F508=INT(F508),F508&gt;=1,F508&lt;=50,COUNTIF('Badge Lookup'!$A$6:$A$55,F508)=1),"OK","Check lookup"))</x:f>
        <x:v>OK</x:v>
      </x:c>
      <x:c r="Q508" s="456" t="n">
        <x:f>IF(P508&lt;&gt;"OK","",IF(C508="Guards",-O508,O508))</x:f>
        <x:v>-51.74</x:v>
      </x:c>
      <x:c r="R508" s="362" t="str">
        <x:f>IF(P508&lt;&gt;"OK","Not scored",IF(C508="Guards","Damage received reduction","Damage increase"))</x:f>
        <x:v>Damage received reduction</x:v>
      </x:c>
    </x:row>
    <x:row r="509" ht="32" customHeight="1">
      <x:c r="A509" s="365" t="str">
        <x:v>K176</x:v>
      </x:c>
      <x:c r="B509" s="365" t="str">
        <x:v>我于杀戮之中绽放</x:v>
      </x:c>
      <x:c r="C509" s="365" t="str">
        <x:v>Cavalry</x:v>
      </x:c>
      <x:c r="D509" s="365" t="str">
        <x:v>Eternal knights</x:v>
      </x:c>
      <x:c r="E509" s="365" t="str">
        <x:v>Heavy Cavalry</x:v>
      </x:c>
      <x:c r="F509" s="365" t="n">
        <x:v>47</x:v>
      </x:c>
      <x:c r="G509" s="365" t="str">
        <x:v>Thunder trample</x:v>
      </x:c>
      <x:c r="H509" s="365" t="str">
        <x:v>Has a certain probability of causing trampling damage</x:v>
      </x:c>
      <x:c r="I509" s="365" t="str">
        <x:v>Unlocked</x:v>
      </x:c>
      <x:c r="J509" s="365" t="str">
        <x:v>03:50.50</x:v>
      </x:c>
      <x:c r="K509" s="365" t="str">
        <x:v>E088; Tier: T10; Directly visible tooltip; representative frame sampled at 0.5-second resolution.; Source frame: frames05s/h_0461.jpg</x:v>
      </x:c>
      <x:c r="L509" s="365" t="str">
        <x:v>1000025872.mp4</x:v>
      </x:c>
      <x:c r="M509" s="387" t="n">
        <x:f>IF(P509="OK",INDEX('Badge Lookup'!$B$6:$B$55,MATCH(F509,'Badge Lookup'!$A$6:$A$55,0)),0)</x:f>
        <x:v>880000</x:v>
      </x:c>
      <x:c r="N509" s="387" t="n">
        <x:f>IF(P509="OK",INDEX('Badge Lookup'!$C$6:$C$55,MATCH(F509,'Badge Lookup'!$A$6:$A$55,0)),0)</x:f>
        <x:v>5884300</x:v>
      </x:c>
      <x:c r="O509" s="388" t="n">
        <x:f>IF(P509="OK",INDEX('Badge Lookup'!$D$6:$D$55,MATCH(F509,'Badge Lookup'!$A$6:$A$55,0)),0)</x:f>
        <x:v>48.38</x:v>
      </x:c>
      <x:c r="P509" s="362" t="str">
        <x:f>IF(OR(G509="",F509=""),"Not scored",IF(AND(F509=INT(F509),F509&gt;=1,F509&lt;=50,COUNTIF('Badge Lookup'!$A$6:$A$55,F509)=1),"OK","Check lookup"))</x:f>
        <x:v>OK</x:v>
      </x:c>
      <x:c r="Q509" s="456" t="n">
        <x:f>IF(P509&lt;&gt;"OK","",IF(C509="Guards",-O509,O509))</x:f>
        <x:v>48.38</x:v>
      </x:c>
      <x:c r="R509" s="362" t="str">
        <x:f>IF(P509&lt;&gt;"OK","Not scored",IF(C509="Guards","Damage received reduction","Damage increase"))</x:f>
        <x:v>Damage increase</x:v>
      </x:c>
    </x:row>
    <x:row r="510" ht="32" customHeight="1">
      <x:c r="A510" s="365" t="str">
        <x:v>K176</x:v>
      </x:c>
      <x:c r="B510" s="365" t="str">
        <x:v>我于杀戮之中绽放</x:v>
      </x:c>
      <x:c r="C510" s="365" t="str">
        <x:v>Siege</x:v>
      </x:c>
      <x:c r="D510" s="365" t="str">
        <x:v>Manglers</x:v>
      </x:c>
      <x:c r="E510" s="365" t="str">
        <x:v>Siege</x:v>
      </x:c>
      <x:c r="F510" s="365" t="n">
        <x:v>40</x:v>
      </x:c>
      <x:c r="G510" s="365" t="str">
        <x:v>Highly toxic</x:v>
      </x:c>
      <x:c r="H510" s="365" t="str">
        <x:v>Inflict continuous toxic damage</x:v>
      </x:c>
      <x:c r="I510" s="365" t="str">
        <x:v>Unlocked</x:v>
      </x:c>
      <x:c r="J510" s="365" t="str">
        <x:v>03:51.50</x:v>
      </x:c>
      <x:c r="K510" s="365" t="str">
        <x:v>E089; Tier: T10; Directly visible tooltip; representative frame sampled at 0.5-second resolution.; Source frame: frames05s/h_0463.jpg</x:v>
      </x:c>
      <x:c r="L510" s="365" t="str">
        <x:v>1000025872.mp4</x:v>
      </x:c>
      <x:c r="M510" s="387" t="n">
        <x:f>IF(P510="OK",INDEX('Badge Lookup'!$B$6:$B$55,MATCH(F510,'Badge Lookup'!$A$6:$A$55,0)),0)</x:f>
        <x:v>240000</x:v>
      </x:c>
      <x:c r="N510" s="387" t="n">
        <x:f>IF(P510="OK",INDEX('Badge Lookup'!$C$6:$C$55,MATCH(F510,'Badge Lookup'!$A$6:$A$55,0)),0)</x:f>
        <x:v>2244300</x:v>
      </x:c>
      <x:c r="O510" s="388" t="n">
        <x:f>IF(P510="OK",INDEX('Badge Lookup'!$D$6:$D$55,MATCH(F510,'Badge Lookup'!$A$6:$A$55,0)),0)</x:f>
        <x:v>27.74</x:v>
      </x:c>
      <x:c r="P510" s="362" t="str">
        <x:f>IF(OR(G510="",F510=""),"Not scored",IF(AND(F510=INT(F510),F510&gt;=1,F510&lt;=50,COUNTIF('Badge Lookup'!$A$6:$A$55,F510)=1),"OK","Check lookup"))</x:f>
        <x:v>OK</x:v>
      </x:c>
      <x:c r="Q510" s="456" t="n">
        <x:f>IF(P510&lt;&gt;"OK","",IF(C510="Guards",-O510,O510))</x:f>
        <x:v>27.74</x:v>
      </x:c>
      <x:c r="R510" s="362" t="str">
        <x:f>IF(P510&lt;&gt;"OK","Not scored",IF(C510="Guards","Damage received reduction","Damage increase"))</x:f>
        <x:v>Damage increase</x:v>
      </x:c>
    </x:row>
    <x:row r="511" ht="32" customHeight="1">
      <x:c r="A511" s="365" t="str">
        <x:v>K176</x:v>
      </x:c>
      <x:c r="B511" s="365" t="str">
        <x:v>我于杀戮之中绽放</x:v>
      </x:c>
      <x:c r="C511" s="365" t="str">
        <x:v>Cavalry</x:v>
      </x:c>
      <x:c r="D511" s="365" t="str">
        <x:v>Storm cavalry</x:v>
      </x:c>
      <x:c r="E511" s="365" t="str">
        <x:v>Horse archer</x:v>
      </x:c>
      <x:c r="F511" s="365" t="n">
        <x:v>46</x:v>
      </x:c>
      <x:c r="G511" s="365" t="str">
        <x:v>Mounted Archery</x:v>
      </x:c>
      <x:c r="H511" s="365" t="str">
        <x:v>Has a certain probability of causing fly-shooting damage</x:v>
      </x:c>
      <x:c r="I511" s="365" t="str">
        <x:v>Unlocked</x:v>
      </x:c>
      <x:c r="J511" s="365" t="str">
        <x:v>03:52.00</x:v>
      </x:c>
      <x:c r="K511" s="365" t="str">
        <x:v>E090; Tier: T9; Directly visible tooltip; representative frame sampled at 0.5-second resolution.; Source frame: frames05s/h_0464.jpg</x:v>
      </x:c>
      <x:c r="L511" s="365" t="str">
        <x:v>1000025872.mp4</x:v>
      </x:c>
      <x:c r="M511" s="387" t="n">
        <x:f>IF(P511="OK",INDEX('Badge Lookup'!$B$6:$B$55,MATCH(F511,'Badge Lookup'!$A$6:$A$55,0)),0)</x:f>
        <x:v>720000</x:v>
      </x:c>
      <x:c r="N511" s="387" t="n">
        <x:f>IF(P511="OK",INDEX('Badge Lookup'!$C$6:$C$55,MATCH(F511,'Badge Lookup'!$A$6:$A$55,0)),0)</x:f>
        <x:v>5004300</x:v>
      </x:c>
      <x:c r="O511" s="388" t="n">
        <x:f>IF(P511="OK",INDEX('Badge Lookup'!$D$6:$D$55,MATCH(F511,'Badge Lookup'!$A$6:$A$55,0)),0)</x:f>
        <x:v>45.13</x:v>
      </x:c>
      <x:c r="P511" s="362" t="str">
        <x:f>IF(OR(G511="",F511=""),"Not scored",IF(AND(F511=INT(F511),F511&gt;=1,F511&lt;=50,COUNTIF('Badge Lookup'!$A$6:$A$55,F511)=1),"OK","Check lookup"))</x:f>
        <x:v>OK</x:v>
      </x:c>
      <x:c r="Q511" s="456" t="n">
        <x:f>IF(P511&lt;&gt;"OK","",IF(C511="Guards",-O511,O511))</x:f>
        <x:v>45.13</x:v>
      </x:c>
      <x:c r="R511" s="362" t="str">
        <x:f>IF(P511&lt;&gt;"OK","Not scored",IF(C511="Guards","Damage received reduction","Damage increase"))</x:f>
        <x:v>Damage increase</x:v>
      </x:c>
    </x:row>
    <x:row r="512" ht="32" customHeight="1">
      <x:c r="A512" s="365" t="str">
        <x:v>K176</x:v>
      </x:c>
      <x:c r="B512" s="365" t="str">
        <x:v>璀璨星芒</x:v>
      </x:c>
      <x:c r="C512" s="365" t="str">
        <x:v>Guards</x:v>
      </x:c>
      <x:c r="D512" s="365" t="str">
        <x:v>Destroyers</x:v>
      </x:c>
      <x:c r="E512" s="365" t="str">
        <x:v>Guard</x:v>
      </x:c>
      <x:c r="F512" s="365" t="n">
        <x:v>45</x:v>
      </x:c>
      <x:c r="G512" s="365" t="str">
        <x:v>Parry</x:v>
      </x:c>
      <x:c r="H512" s="365" t="str">
        <x:v>Provides a parry effect and a certain probability to increase damage</x:v>
      </x:c>
      <x:c r="I512" s="365" t="str">
        <x:v>Unlocked</x:v>
      </x:c>
      <x:c r="J512" s="365" t="str">
        <x:v>03:59.00</x:v>
      </x:c>
      <x:c r="K512" s="365" t="str">
        <x:v>E093; Tier: T10; Directly visible tooltip; representative frame sampled at 0.5-second resolution.; Source frame: frames05s/h_0478.jpg</x:v>
      </x:c>
      <x:c r="L512" s="365" t="str">
        <x:v>1000025872.mp4</x:v>
      </x:c>
      <x:c r="M512" s="387" t="n">
        <x:f>IF(P512="OK",INDEX('Badge Lookup'!$B$6:$B$55,MATCH(F512,'Badge Lookup'!$A$6:$A$55,0)),0)</x:f>
        <x:v>560000</x:v>
      </x:c>
      <x:c r="N512" s="387" t="n">
        <x:f>IF(P512="OK",INDEX('Badge Lookup'!$C$6:$C$55,MATCH(F512,'Badge Lookup'!$A$6:$A$55,0)),0)</x:f>
        <x:v>4284300</x:v>
      </x:c>
      <x:c r="O512" s="388" t="n">
        <x:f>IF(P512="OK",INDEX('Badge Lookup'!$D$6:$D$55,MATCH(F512,'Badge Lookup'!$A$6:$A$55,0)),0)</x:f>
        <x:v>41.98</x:v>
      </x:c>
      <x:c r="P512" s="362" t="str">
        <x:f>IF(OR(G512="",F512=""),"Not scored",IF(AND(F512=INT(F512),F512&gt;=1,F512&lt;=50,COUNTIF('Badge Lookup'!$A$6:$A$55,F512)=1),"OK","Check lookup"))</x:f>
        <x:v>OK</x:v>
      </x:c>
      <x:c r="Q512" s="456" t="n">
        <x:f>IF(P512&lt;&gt;"OK","",IF(C512="Guards",-O512,O512))</x:f>
        <x:v>-41.98</x:v>
      </x:c>
      <x:c r="R512" s="362" t="str">
        <x:f>IF(P512&lt;&gt;"OK","Not scored",IF(C512="Guards","Damage received reduction","Damage increase"))</x:f>
        <x:v>Damage received reduction</x:v>
      </x:c>
    </x:row>
    <x:row r="513" ht="32" customHeight="1">
      <x:c r="A513" s="365" t="str">
        <x:v>K176</x:v>
      </x:c>
      <x:c r="B513" s="365" t="str">
        <x:v>璀璨星芒</x:v>
      </x:c>
      <x:c r="C513" s="365" t="str">
        <x:v>Cavalry</x:v>
      </x:c>
      <x:c r="D513" s="365" t="str">
        <x:v>Eternal knights</x:v>
      </x:c>
      <x:c r="E513" s="365" t="str">
        <x:v>Heavy Cavalry</x:v>
      </x:c>
      <x:c r="F513" s="365" t="n">
        <x:v>46</x:v>
      </x:c>
      <x:c r="G513" s="365" t="str">
        <x:v>Thunder trample</x:v>
      </x:c>
      <x:c r="H513" s="365" t="str">
        <x:v>Has a certain probability of causing trampling damage</x:v>
      </x:c>
      <x:c r="I513" s="365" t="str">
        <x:v>Unlocked</x:v>
      </x:c>
      <x:c r="J513" s="365" t="str">
        <x:v>03:59.50</x:v>
      </x:c>
      <x:c r="K513" s="365" t="str">
        <x:v>E094; Tier: T10; Directly visible tooltip; representative frame sampled at 0.5-second resolution.; Source frame: frames05s/h_0479.jpg</x:v>
      </x:c>
      <x:c r="L513" s="365" t="str">
        <x:v>1000025872.mp4</x:v>
      </x:c>
      <x:c r="M513" s="387" t="n">
        <x:f>IF(P513="OK",INDEX('Badge Lookup'!$B$6:$B$55,MATCH(F513,'Badge Lookup'!$A$6:$A$55,0)),0)</x:f>
        <x:v>720000</x:v>
      </x:c>
      <x:c r="N513" s="387" t="n">
        <x:f>IF(P513="OK",INDEX('Badge Lookup'!$C$6:$C$55,MATCH(F513,'Badge Lookup'!$A$6:$A$55,0)),0)</x:f>
        <x:v>5004300</x:v>
      </x:c>
      <x:c r="O513" s="388" t="n">
        <x:f>IF(P513="OK",INDEX('Badge Lookup'!$D$6:$D$55,MATCH(F513,'Badge Lookup'!$A$6:$A$55,0)),0)</x:f>
        <x:v>45.13</x:v>
      </x:c>
      <x:c r="P513" s="362" t="str">
        <x:f>IF(OR(G513="",F513=""),"Not scored",IF(AND(F513=INT(F513),F513&gt;=1,F513&lt;=50,COUNTIF('Badge Lookup'!$A$6:$A$55,F513)=1),"OK","Check lookup"))</x:f>
        <x:v>OK</x:v>
      </x:c>
      <x:c r="Q513" s="456" t="n">
        <x:f>IF(P513&lt;&gt;"OK","",IF(C513="Guards",-O513,O513))</x:f>
        <x:v>45.13</x:v>
      </x:c>
      <x:c r="R513" s="362" t="str">
        <x:f>IF(P513&lt;&gt;"OK","Not scored",IF(C513="Guards","Damage received reduction","Damage increase"))</x:f>
        <x:v>Damage increase</x:v>
      </x:c>
    </x:row>
    <x:row r="514" ht="32" customHeight="1">
      <x:c r="A514" s="365" t="str">
        <x:v>K176</x:v>
      </x:c>
      <x:c r="B514" s="365" t="str">
        <x:v>璀璨星芒</x:v>
      </x:c>
      <x:c r="C514" s="365" t="str">
        <x:v>Archers</x:v>
      </x:c>
      <x:c r="D514" s="365" t="str">
        <x:v>Elite bowmen</x:v>
      </x:c>
      <x:c r="E514" s="365" t="str">
        <x:v>Archer</x:v>
      </x:c>
      <x:c r="F514" s="365" t="n">
        <x:v>40</x:v>
      </x:c>
      <x:c r="G514" s="365" t="str">
        <x:v>Frost Arrow</x:v>
      </x:c>
      <x:c r="H514" s="365" t="str">
        <x:v>Has a higher probability of activating ice damage</x:v>
      </x:c>
      <x:c r="I514" s="365" t="str">
        <x:v>Unlocked</x:v>
      </x:c>
      <x:c r="J514" s="365" t="str">
        <x:v>04:00.00</x:v>
      </x:c>
      <x:c r="K514" s="365" t="str">
        <x:v>E095; Tier: T10; Directly visible tooltip; representative frame sampled at 0.5-second resolution.; Source frame: frames05s/h_0480.jpg</x:v>
      </x:c>
      <x:c r="L514" s="365" t="str">
        <x:v>1000025872.mp4</x:v>
      </x:c>
      <x:c r="M514" s="387" t="n">
        <x:f>IF(P514="OK",INDEX('Badge Lookup'!$B$6:$B$55,MATCH(F514,'Badge Lookup'!$A$6:$A$55,0)),0)</x:f>
        <x:v>240000</x:v>
      </x:c>
      <x:c r="N514" s="387" t="n">
        <x:f>IF(P514="OK",INDEX('Badge Lookup'!$C$6:$C$55,MATCH(F514,'Badge Lookup'!$A$6:$A$55,0)),0)</x:f>
        <x:v>2244300</x:v>
      </x:c>
      <x:c r="O514" s="388" t="n">
        <x:f>IF(P514="OK",INDEX('Badge Lookup'!$D$6:$D$55,MATCH(F514,'Badge Lookup'!$A$6:$A$55,0)),0)</x:f>
        <x:v>27.74</x:v>
      </x:c>
      <x:c r="P514" s="362" t="str">
        <x:f>IF(OR(G514="",F514=""),"Not scored",IF(AND(F514=INT(F514),F514&gt;=1,F514&lt;=50,COUNTIF('Badge Lookup'!$A$6:$A$55,F514)=1),"OK","Check lookup"))</x:f>
        <x:v>OK</x:v>
      </x:c>
      <x:c r="Q514" s="456" t="n">
        <x:f>IF(P514&lt;&gt;"OK","",IF(C514="Guards",-O514,O514))</x:f>
        <x:v>27.74</x:v>
      </x:c>
      <x:c r="R514" s="362" t="str">
        <x:f>IF(P514&lt;&gt;"OK","Not scored",IF(C514="Guards","Damage received reduction","Damage increase"))</x:f>
        <x:v>Damage increase</x:v>
      </x:c>
    </x:row>
    <x:row r="515" ht="32" customHeight="1">
      <x:c r="A515" s="365" t="str">
        <x:v>K176</x:v>
      </x:c>
      <x:c r="B515" s="365" t="str">
        <x:v>璀璨星芒</x:v>
      </x:c>
      <x:c r="C515" s="365" t="str">
        <x:v>Siege</x:v>
      </x:c>
      <x:c r="D515" s="365" t="str">
        <x:v>End siege</x:v>
      </x:c>
      <x:c r="E515" s="365" t="str">
        <x:v>Siege</x:v>
      </x:c>
      <x:c r="F515" s="365" t="n">
        <x:v>40</x:v>
      </x:c>
      <x:c r="G515" s="365" t="str">
        <x:v>Highly toxic</x:v>
      </x:c>
      <x:c r="H515" s="365" t="str">
        <x:v>Inflict continuous toxic damage</x:v>
      </x:c>
      <x:c r="I515" s="365" t="str">
        <x:v>Unlocked</x:v>
      </x:c>
      <x:c r="J515" s="365" t="str">
        <x:v>04:02.50</x:v>
      </x:c>
      <x:c r="K515" s="365" t="str">
        <x:v>E096; Tier: T8; Directly visible tooltip; representative frame sampled at 0.5-second resolution.; Source frame: frames05s/h_0485.jpg</x:v>
      </x:c>
      <x:c r="L515" s="365" t="str">
        <x:v>1000025872.mp4</x:v>
      </x:c>
      <x:c r="M515" s="387" t="n">
        <x:f>IF(P515="OK",INDEX('Badge Lookup'!$B$6:$B$55,MATCH(F515,'Badge Lookup'!$A$6:$A$55,0)),0)</x:f>
        <x:v>240000</x:v>
      </x:c>
      <x:c r="N515" s="387" t="n">
        <x:f>IF(P515="OK",INDEX('Badge Lookup'!$C$6:$C$55,MATCH(F515,'Badge Lookup'!$A$6:$A$55,0)),0)</x:f>
        <x:v>2244300</x:v>
      </x:c>
      <x:c r="O515" s="388" t="n">
        <x:f>IF(P515="OK",INDEX('Badge Lookup'!$D$6:$D$55,MATCH(F515,'Badge Lookup'!$A$6:$A$55,0)),0)</x:f>
        <x:v>27.74</x:v>
      </x:c>
      <x:c r="P515" s="362" t="str">
        <x:f>IF(OR(G515="",F515=""),"Not scored",IF(AND(F515=INT(F515),F515&gt;=1,F515&lt;=50,COUNTIF('Badge Lookup'!$A$6:$A$55,F515)=1),"OK","Check lookup"))</x:f>
        <x:v>OK</x:v>
      </x:c>
      <x:c r="Q515" s="456" t="n">
        <x:f>IF(P515&lt;&gt;"OK","",IF(C515="Guards",-O515,O515))</x:f>
        <x:v>27.74</x:v>
      </x:c>
      <x:c r="R515" s="362" t="str">
        <x:f>IF(P515&lt;&gt;"OK","Not scored",IF(C515="Guards","Damage received reduction","Damage increase"))</x:f>
        <x:v>Damage increase</x:v>
      </x:c>
    </x:row>
    <x:row r="516" ht="32" customHeight="1">
      <x:c r="A516" s="365" t="str">
        <x:v>K176</x:v>
      </x:c>
      <x:c r="B516" s="365" t="str">
        <x:v>「鳥傷」</x:v>
      </x:c>
      <x:c r="C516" s="365" t="str">
        <x:v>Guards</x:v>
      </x:c>
      <x:c r="D516" s="365" t="str">
        <x:v>Destroyers</x:v>
      </x:c>
      <x:c r="E516" s="365" t="str">
        <x:v>Guard</x:v>
      </x:c>
      <x:c r="F516" s="365" t="n">
        <x:v>45</x:v>
      </x:c>
      <x:c r="G516" s="365" t="str">
        <x:v>Parry</x:v>
      </x:c>
      <x:c r="H516" s="365" t="str">
        <x:v>Provides a parry effect and a certain probability to increase damage</x:v>
      </x:c>
      <x:c r="I516" s="365" t="str">
        <x:v>Unlocked</x:v>
      </x:c>
      <x:c r="J516" s="365" t="str">
        <x:v>04:12.50</x:v>
      </x:c>
      <x:c r="K516" s="365" t="str">
        <x:v>E097; Tier: T10; Directly visible tooltip; representative frame sampled at 0.5-second resolution.; Source frame: frames05s/h_0505.jpg</x:v>
      </x:c>
      <x:c r="L516" s="365" t="str">
        <x:v>1000025872.mp4</x:v>
      </x:c>
      <x:c r="M516" s="387" t="n">
        <x:f>IF(P516="OK",INDEX('Badge Lookup'!$B$6:$B$55,MATCH(F516,'Badge Lookup'!$A$6:$A$55,0)),0)</x:f>
        <x:v>560000</x:v>
      </x:c>
      <x:c r="N516" s="387" t="n">
        <x:f>IF(P516="OK",INDEX('Badge Lookup'!$C$6:$C$55,MATCH(F516,'Badge Lookup'!$A$6:$A$55,0)),0)</x:f>
        <x:v>4284300</x:v>
      </x:c>
      <x:c r="O516" s="388" t="n">
        <x:f>IF(P516="OK",INDEX('Badge Lookup'!$D$6:$D$55,MATCH(F516,'Badge Lookup'!$A$6:$A$55,0)),0)</x:f>
        <x:v>41.98</x:v>
      </x:c>
      <x:c r="P516" s="362" t="str">
        <x:f>IF(OR(G516="",F516=""),"Not scored",IF(AND(F516=INT(F516),F516&gt;=1,F516&lt;=50,COUNTIF('Badge Lookup'!$A$6:$A$55,F516)=1),"OK","Check lookup"))</x:f>
        <x:v>OK</x:v>
      </x:c>
      <x:c r="Q516" s="456" t="n">
        <x:f>IF(P516&lt;&gt;"OK","",IF(C516="Guards",-O516,O516))</x:f>
        <x:v>-41.98</x:v>
      </x:c>
      <x:c r="R516" s="362" t="str">
        <x:f>IF(P516&lt;&gt;"OK","Not scored",IF(C516="Guards","Damage received reduction","Damage increase"))</x:f>
        <x:v>Damage received reduction</x:v>
      </x:c>
    </x:row>
    <x:row r="517" ht="32" customHeight="1">
      <x:c r="A517" s="365" t="str">
        <x:v>K176</x:v>
      </x:c>
      <x:c r="B517" s="365" t="str">
        <x:v>「鳥傷」</x:v>
      </x:c>
      <x:c r="C517" s="365" t="str">
        <x:v>Archers</x:v>
      </x:c>
      <x:c r="D517" s="365" t="str">
        <x:v>Elite bowmen</x:v>
      </x:c>
      <x:c r="E517" s="365" t="str">
        <x:v>Archer</x:v>
      </x:c>
      <x:c r="F517" s="365" t="n">
        <x:v>40</x:v>
      </x:c>
      <x:c r="G517" s="365" t="str">
        <x:v>Frost Arrow</x:v>
      </x:c>
      <x:c r="H517" s="365" t="str">
        <x:v>Has a higher probability of activating ice damage</x:v>
      </x:c>
      <x:c r="I517" s="365" t="str">
        <x:v>Unlocked</x:v>
      </x:c>
      <x:c r="J517" s="365" t="str">
        <x:v>04:14.00</x:v>
      </x:c>
      <x:c r="K517" s="365" t="str">
        <x:v>E098; Tier: T10; Directly visible tooltip; representative frame sampled at 0.5-second resolution.; Source frame: frames05s/h_0508.jpg</x:v>
      </x:c>
      <x:c r="L517" s="365" t="str">
        <x:v>1000025872.mp4</x:v>
      </x:c>
      <x:c r="M517" s="387" t="n">
        <x:f>IF(P517="OK",INDEX('Badge Lookup'!$B$6:$B$55,MATCH(F517,'Badge Lookup'!$A$6:$A$55,0)),0)</x:f>
        <x:v>240000</x:v>
      </x:c>
      <x:c r="N517" s="387" t="n">
        <x:f>IF(P517="OK",INDEX('Badge Lookup'!$C$6:$C$55,MATCH(F517,'Badge Lookup'!$A$6:$A$55,0)),0)</x:f>
        <x:v>2244300</x:v>
      </x:c>
      <x:c r="O517" s="388" t="n">
        <x:f>IF(P517="OK",INDEX('Badge Lookup'!$D$6:$D$55,MATCH(F517,'Badge Lookup'!$A$6:$A$55,0)),0)</x:f>
        <x:v>27.74</x:v>
      </x:c>
      <x:c r="P517" s="362" t="str">
        <x:f>IF(OR(G517="",F517=""),"Not scored",IF(AND(F517=INT(F517),F517&gt;=1,F517&lt;=50,COUNTIF('Badge Lookup'!$A$6:$A$55,F517)=1),"OK","Check lookup"))</x:f>
        <x:v>OK</x:v>
      </x:c>
      <x:c r="Q517" s="456" t="n">
        <x:f>IF(P517&lt;&gt;"OK","",IF(C517="Guards",-O517,O517))</x:f>
        <x:v>27.74</x:v>
      </x:c>
      <x:c r="R517" s="362" t="str">
        <x:f>IF(P517&lt;&gt;"OK","Not scored",IF(C517="Guards","Damage received reduction","Damage increase"))</x:f>
        <x:v>Damage increase</x:v>
      </x:c>
    </x:row>
    <x:row r="518" ht="32" customHeight="1">
      <x:c r="A518" s="365" t="str">
        <x:v>K176</x:v>
      </x:c>
      <x:c r="B518" s="365" t="str">
        <x:v>「鳥傷」</x:v>
      </x:c>
      <x:c r="C518" s="365" t="str">
        <x:v>Siege</x:v>
      </x:c>
      <x:c r="D518" s="365" t="str">
        <x:v>Manglers</x:v>
      </x:c>
      <x:c r="E518" s="365" t="str">
        <x:v>Siege</x:v>
      </x:c>
      <x:c r="F518" s="365" t="n">
        <x:v>46</x:v>
      </x:c>
      <x:c r="G518" s="365" t="str">
        <x:v>Highly toxic</x:v>
      </x:c>
      <x:c r="H518" s="365" t="str">
        <x:v>Inflict continuous toxic damage</x:v>
      </x:c>
      <x:c r="I518" s="365" t="str">
        <x:v>Unlocked</x:v>
      </x:c>
      <x:c r="J518" s="365" t="str">
        <x:v>04:14.50</x:v>
      </x:c>
      <x:c r="K518" s="365" t="str">
        <x:v>E099; Tier: T10; Directly visible tooltip; representative frame sampled at 0.5-second resolution.; Source frame: frames05s/h_0509.jpg</x:v>
      </x:c>
      <x:c r="L518" s="365" t="str">
        <x:v>1000025872.mp4</x:v>
      </x:c>
      <x:c r="M518" s="387" t="n">
        <x:f>IF(P518="OK",INDEX('Badge Lookup'!$B$6:$B$55,MATCH(F518,'Badge Lookup'!$A$6:$A$55,0)),0)</x:f>
        <x:v>720000</x:v>
      </x:c>
      <x:c r="N518" s="387" t="n">
        <x:f>IF(P518="OK",INDEX('Badge Lookup'!$C$6:$C$55,MATCH(F518,'Badge Lookup'!$A$6:$A$55,0)),0)</x:f>
        <x:v>5004300</x:v>
      </x:c>
      <x:c r="O518" s="388" t="n">
        <x:f>IF(P518="OK",INDEX('Badge Lookup'!$D$6:$D$55,MATCH(F518,'Badge Lookup'!$A$6:$A$55,0)),0)</x:f>
        <x:v>45.13</x:v>
      </x:c>
      <x:c r="P518" s="362" t="str">
        <x:f>IF(OR(G518="",F518=""),"Not scored",IF(AND(F518=INT(F518),F518&gt;=1,F518&lt;=50,COUNTIF('Badge Lookup'!$A$6:$A$55,F518)=1),"OK","Check lookup"))</x:f>
        <x:v>OK</x:v>
      </x:c>
      <x:c r="Q518" s="456" t="n">
        <x:f>IF(P518&lt;&gt;"OK","",IF(C518="Guards",-O518,O518))</x:f>
        <x:v>45.13</x:v>
      </x:c>
      <x:c r="R518" s="362" t="str">
        <x:f>IF(P518&lt;&gt;"OK","Not scored",IF(C518="Guards","Damage received reduction","Damage increase"))</x:f>
        <x:v>Damage increase</x:v>
      </x:c>
    </x:row>
    <x:row r="519" ht="32" customHeight="1">
      <x:c r="A519" s="365" t="str">
        <x:v>K176</x:v>
      </x:c>
      <x:c r="B519" s="365" t="str">
        <x:v>「鳥傷」</x:v>
      </x:c>
      <x:c r="C519" s="365" t="str">
        <x:v>Cavalry</x:v>
      </x:c>
      <x:c r="D519" s="365" t="str">
        <x:v>Storm cavalry</x:v>
      </x:c>
      <x:c r="E519" s="365" t="str">
        <x:v>Horse archer</x:v>
      </x:c>
      <x:c r="F519" s="365" t="n">
        <x:v>50</x:v>
      </x:c>
      <x:c r="G519" s="365" t="str">
        <x:v>Mounted Archery</x:v>
      </x:c>
      <x:c r="H519" s="365" t="str">
        <x:v>Has a certain probability of causing fly-shooting damage</x:v>
      </x:c>
      <x:c r="I519" s="365" t="str">
        <x:v>Unlocked</x:v>
      </x:c>
      <x:c r="J519" s="365" t="str">
        <x:v>04:15.00</x:v>
      </x:c>
      <x:c r="K519" s="365" t="str">
        <x:v>E100; Tier: T9; Directly visible tooltip; representative frame sampled at 0.5-second resolution.; Source frame: frames05s/h_0510.jpg</x:v>
      </x:c>
      <x:c r="L519" s="365" t="str">
        <x:v>1000025872.mp4</x:v>
      </x:c>
      <x:c r="M519" s="387" t="n">
        <x:f>IF(P519="OK",INDEX('Badge Lookup'!$B$6:$B$55,MATCH(F519,'Badge Lookup'!$A$6:$A$55,0)),0)</x:f>
        <x:v>2000000</x:v>
      </x:c>
      <x:c r="N519" s="387" t="n">
        <x:f>IF(P519="OK",INDEX('Badge Lookup'!$C$6:$C$55,MATCH(F519,'Badge Lookup'!$A$6:$A$55,0)),0)</x:f>
        <x:v>10334300</x:v>
      </x:c>
      <x:c r="O519" s="388" t="n">
        <x:f>IF(P519="OK",INDEX('Badge Lookup'!$D$6:$D$55,MATCH(F519,'Badge Lookup'!$A$6:$A$55,0)),0)</x:f>
        <x:v>60</x:v>
      </x:c>
      <x:c r="P519" s="362" t="str">
        <x:f>IF(OR(G519="",F519=""),"Not scored",IF(AND(F519=INT(F519),F519&gt;=1,F519&lt;=50,COUNTIF('Badge Lookup'!$A$6:$A$55,F519)=1),"OK","Check lookup"))</x:f>
        <x:v>OK</x:v>
      </x:c>
      <x:c r="Q519" s="456" t="n">
        <x:f>IF(P519&lt;&gt;"OK","",IF(C519="Guards",-O519,O519))</x:f>
        <x:v>60</x:v>
      </x:c>
      <x:c r="R519" s="362" t="str">
        <x:f>IF(P519&lt;&gt;"OK","Not scored",IF(C519="Guards","Damage received reduction","Damage increase"))</x:f>
        <x:v>Damage increase</x:v>
      </x:c>
    </x:row>
    <x:row r="520" ht="22" customHeight="1">
      <x:c r="A520" s="771" t="str">
        <x:v>K138</x:v>
      </x:c>
      <x:c r="B520" s="771" t="str">
        <x:v>(RaW)Leprechaun</x:v>
      </x:c>
      <x:c r="C520" s="771" t="str">
        <x:v>Guards</x:v>
      </x:c>
      <x:c r="D520" s="771" t="str">
        <x:v>Destroyers</x:v>
      </x:c>
      <x:c r="E520" s="771" t="str">
        <x:v>Guard</x:v>
      </x:c>
      <x:c r="F520" s="779" t="n">
        <x:v>50</x:v>
      </x:c>
      <x:c r="G520" s="771" t="str">
        <x:v>Parry</x:v>
      </x:c>
      <x:c r="H520" s="785" t="str">
        <x:v>Provides a parry effect and a certain probability to increase damage</x:v>
      </x:c>
      <x:c r="I520" s="771" t="str">
        <x:v>Unlocked</x:v>
      </x:c>
      <x:c r="J520" s="771" t="str">
        <x:v>00:04.00</x:v>
      </x:c>
      <x:c r="K520" s="785" t="str">
        <x:v>Directly visible tooltip; deduplicated by skill. Source frame near 00:11.50.</x:v>
      </x:c>
      <x:c r="L520" s="771" t="str">
        <x:v>1000025953.mp4</x:v>
      </x:c>
      <x:c r="M520" s="781" t="n">
        <x:f>IF(P520="OK",INDEX('Badge Lookup'!$B$6:$B$55,MATCH(F520,'Badge Lookup'!$A$6:$A$55,0)),0)</x:f>
        <x:v>2000000</x:v>
      </x:c>
      <x:c r="N520" s="781" t="n">
        <x:f>IF(P520="OK",INDEX('Badge Lookup'!$C$6:$C$55,MATCH(F520,'Badge Lookup'!$A$6:$A$55,0)),0)</x:f>
        <x:v>10334300</x:v>
      </x:c>
      <x:c r="O520" s="783" t="n">
        <x:f>IF(P520="OK",INDEX('Badge Lookup'!$D$6:$D$55,MATCH(F520,'Badge Lookup'!$A$6:$A$55,0)),0)</x:f>
        <x:v>60</x:v>
      </x:c>
      <x:c r="P520" s="772" t="str">
        <x:f>IF(OR(G520="",F520=""),"Not scored",IF(AND(F520=INT(F520),F520&gt;=1,F520&lt;=50,COUNTIF('Badge Lookup'!$A$6:$A$55,F520)=1),"OK","Check lookup"))</x:f>
        <x:v>OK</x:v>
      </x:c>
      <x:c r="Q520" s="898" t="n">
        <x:f>IF(P520&lt;&gt;"OK","",IF(C520="Guards",-O520,O520))</x:f>
        <x:v>-60</x:v>
      </x:c>
      <x:c r="R520" s="772" t="str">
        <x:f>IF(P520&lt;&gt;"OK","Not scored",IF(C520="Guards","Damage received reduction","Damage increase"))</x:f>
        <x:v>Damage received reduction</x:v>
      </x:c>
    </x:row>
    <x:row r="521" ht="22" customHeight="1">
      <x:c r="A521" s="774" t="str">
        <x:v>K138</x:v>
      </x:c>
      <x:c r="B521" s="774" t="str">
        <x:v>(RaW)Leprechaun</x:v>
      </x:c>
      <x:c r="C521" s="774" t="str">
        <x:v>Cavalry</x:v>
      </x:c>
      <x:c r="D521" s="774" t="str">
        <x:v>Storm cavalry</x:v>
      </x:c>
      <x:c r="E521" s="774" t="str">
        <x:v>Horse archer</x:v>
      </x:c>
      <x:c r="F521" s="780" t="n">
        <x:v>50</x:v>
      </x:c>
      <x:c r="G521" s="774" t="str">
        <x:v>Mounted Archery</x:v>
      </x:c>
      <x:c r="H521" s="786" t="str">
        <x:v>Has a certain probability of causing fly-shooting damage</x:v>
      </x:c>
      <x:c r="I521" s="774" t="str">
        <x:v>Unlocked</x:v>
      </x:c>
      <x:c r="J521" s="774" t="str">
        <x:v>00:05.00</x:v>
      </x:c>
      <x:c r="K521" s="786" t="str">
        <x:v>Directly visible tooltip; repeated troop tiers are retained only in the Raw tab and counted once here.</x:v>
      </x:c>
      <x:c r="L521" s="774" t="str">
        <x:v>1000025953.mp4</x:v>
      </x:c>
      <x:c r="M521" s="781" t="n">
        <x:f>IF(P521="OK",INDEX('Badge Lookup'!$B$6:$B$55,MATCH(F521,'Badge Lookup'!$A$6:$A$55,0)),0)</x:f>
        <x:v>2000000</x:v>
      </x:c>
      <x:c r="N521" s="781" t="n">
        <x:f>IF(P521="OK",INDEX('Badge Lookup'!$C$6:$C$55,MATCH(F521,'Badge Lookup'!$A$6:$A$55,0)),0)</x:f>
        <x:v>10334300</x:v>
      </x:c>
      <x:c r="O521" s="783" t="n">
        <x:f>IF(P521="OK",INDEX('Badge Lookup'!$D$6:$D$55,MATCH(F521,'Badge Lookup'!$A$6:$A$55,0)),0)</x:f>
        <x:v>60</x:v>
      </x:c>
      <x:c r="P521" s="772" t="str">
        <x:f>IF(OR(G521="",F521=""),"Not scored",IF(AND(F521=INT(F521),F521&gt;=1,F521&lt;=50,COUNTIF('Badge Lookup'!$A$6:$A$55,F521)=1),"OK","Check lookup"))</x:f>
        <x:v>OK</x:v>
      </x:c>
      <x:c r="Q521" s="898" t="n">
        <x:f>IF(P521&lt;&gt;"OK","",IF(C521="Guards",-O521,O521))</x:f>
        <x:v>60</x:v>
      </x:c>
      <x:c r="R521" s="772" t="str">
        <x:f>IF(P521&lt;&gt;"OK","Not scored",IF(C521="Guards","Damage received reduction","Damage increase"))</x:f>
        <x:v>Damage increase</x:v>
      </x:c>
    </x:row>
    <x:row r="522" ht="22" customHeight="1">
      <x:c r="A522" s="771" t="str">
        <x:v>K138</x:v>
      </x:c>
      <x:c r="B522" s="771" t="str">
        <x:v>(RaW)༺TsuStark༻</x:v>
      </x:c>
      <x:c r="C522" s="771" t="str">
        <x:v>Guards</x:v>
      </x:c>
      <x:c r="D522" s="771" t="str">
        <x:v>Destroyers</x:v>
      </x:c>
      <x:c r="E522" s="771" t="str">
        <x:v>Guard</x:v>
      </x:c>
      <x:c r="F522" s="779" t="n">
        <x:v>42</x:v>
      </x:c>
      <x:c r="G522" s="771" t="str">
        <x:v>Parry</x:v>
      </x:c>
      <x:c r="H522" s="785" t="str">
        <x:v>Provides a parry effect and a certain probability to increase damage</x:v>
      </x:c>
      <x:c r="I522" s="771" t="str">
        <x:v>Unlocked</x:v>
      </x:c>
      <x:c r="J522" s="771" t="str">
        <x:v>00:21.00</x:v>
      </x:c>
      <x:c r="K522" s="785" t="str">
        <x:v>Directly visible tooltip; deduplicated by skill. Source frame near 00:23.50.</x:v>
      </x:c>
      <x:c r="L522" s="771" t="str">
        <x:v>1000025953.mp4</x:v>
      </x:c>
      <x:c r="M522" s="781" t="n">
        <x:f>IF(P522="OK",INDEX('Badge Lookup'!$B$6:$B$55,MATCH(F522,'Badge Lookup'!$A$6:$A$55,0)),0)</x:f>
        <x:v>320000</x:v>
      </x:c>
      <x:c r="N522" s="781" t="n">
        <x:f>IF(P522="OK",INDEX('Badge Lookup'!$C$6:$C$55,MATCH(F522,'Badge Lookup'!$A$6:$A$55,0)),0)</x:f>
        <x:v>2844300</x:v>
      </x:c>
      <x:c r="O522" s="783" t="n">
        <x:f>IF(P522="OK",INDEX('Badge Lookup'!$D$6:$D$55,MATCH(F522,'Badge Lookup'!$A$6:$A$55,0)),0)</x:f>
        <x:v>33.13</x:v>
      </x:c>
      <x:c r="P522" s="772" t="str">
        <x:f>IF(OR(G522="",F522=""),"Not scored",IF(AND(F522=INT(F522),F522&gt;=1,F522&lt;=50,COUNTIF('Badge Lookup'!$A$6:$A$55,F522)=1),"OK","Check lookup"))</x:f>
        <x:v>OK</x:v>
      </x:c>
      <x:c r="Q522" s="898" t="n">
        <x:f>IF(P522&lt;&gt;"OK","",IF(C522="Guards",-O522,O522))</x:f>
        <x:v>-33.13</x:v>
      </x:c>
      <x:c r="R522" s="772" t="str">
        <x:f>IF(P522&lt;&gt;"OK","Not scored",IF(C522="Guards","Damage received reduction","Damage increase"))</x:f>
        <x:v>Damage received reduction</x:v>
      </x:c>
    </x:row>
    <x:row r="523" ht="22" customHeight="1">
      <x:c r="A523" s="774" t="str">
        <x:v>K138</x:v>
      </x:c>
      <x:c r="B523" s="774" t="str">
        <x:v>(RaW)༺TsuStark༻</x:v>
      </x:c>
      <x:c r="C523" s="774" t="str">
        <x:v>Cavalry</x:v>
      </x:c>
      <x:c r="D523" s="774" t="str">
        <x:v>Storm cavalry</x:v>
      </x:c>
      <x:c r="E523" s="774" t="str">
        <x:v>Horse archer</x:v>
      </x:c>
      <x:c r="F523" s="780" t="n">
        <x:v>44</x:v>
      </x:c>
      <x:c r="G523" s="774" t="str">
        <x:v>Mounted Archery</x:v>
      </x:c>
      <x:c r="H523" s="786" t="str">
        <x:v>Has a certain probability of causing fly-shooting damage</x:v>
      </x:c>
      <x:c r="I523" s="774" t="str">
        <x:v>Unlocked</x:v>
      </x:c>
      <x:c r="J523" s="774" t="str">
        <x:v>00:22.00</x:v>
      </x:c>
      <x:c r="K523" s="786" t="str">
        <x:v>Directly visible tooltip; repeated troop tiers are retained only in the Raw tab and counted once here.</x:v>
      </x:c>
      <x:c r="L523" s="774" t="str">
        <x:v>1000025953.mp4</x:v>
      </x:c>
      <x:c r="M523" s="781" t="n">
        <x:f>IF(P523="OK",INDEX('Badge Lookup'!$B$6:$B$55,MATCH(F523,'Badge Lookup'!$A$6:$A$55,0)),0)</x:f>
        <x:v>480000</x:v>
      </x:c>
      <x:c r="N523" s="781" t="n">
        <x:f>IF(P523="OK",INDEX('Badge Lookup'!$C$6:$C$55,MATCH(F523,'Badge Lookup'!$A$6:$A$55,0)),0)</x:f>
        <x:v>3724300</x:v>
      </x:c>
      <x:c r="O523" s="783" t="n">
        <x:f>IF(P523="OK",INDEX('Badge Lookup'!$D$6:$D$55,MATCH(F523,'Badge Lookup'!$A$6:$A$55,0)),0)</x:f>
        <x:v>39.93</x:v>
      </x:c>
      <x:c r="P523" s="772" t="str">
        <x:f>IF(OR(G523="",F523=""),"Not scored",IF(AND(F523=INT(F523),F523&gt;=1,F523&lt;=50,COUNTIF('Badge Lookup'!$A$6:$A$55,F523)=1),"OK","Check lookup"))</x:f>
        <x:v>OK</x:v>
      </x:c>
      <x:c r="Q523" s="898" t="n">
        <x:f>IF(P523&lt;&gt;"OK","",IF(C523="Guards",-O523,O523))</x:f>
        <x:v>39.93</x:v>
      </x:c>
      <x:c r="R523" s="772" t="str">
        <x:f>IF(P523&lt;&gt;"OK","Not scored",IF(C523="Guards","Damage received reduction","Damage increase"))</x:f>
        <x:v>Damage increase</x:v>
      </x:c>
    </x:row>
    <x:row r="524" ht="22" customHeight="1">
      <x:c r="A524" s="771" t="str">
        <x:v>K138</x:v>
      </x:c>
      <x:c r="B524" s="771" t="str">
        <x:v>(RaW)ⓀⒶⓃⓃⓄⓃ</x:v>
      </x:c>
      <x:c r="C524" s="771" t="str">
        <x:v>Guards</x:v>
      </x:c>
      <x:c r="D524" s="771" t="str">
        <x:v>Destroyers</x:v>
      </x:c>
      <x:c r="E524" s="771" t="str">
        <x:v>Guard</x:v>
      </x:c>
      <x:c r="F524" s="779" t="n">
        <x:v>42</x:v>
      </x:c>
      <x:c r="G524" s="771" t="str">
        <x:v>Parry</x:v>
      </x:c>
      <x:c r="H524" s="785" t="str">
        <x:v>Provides a parry effect and a certain probability to increase damage</x:v>
      </x:c>
      <x:c r="I524" s="771" t="str">
        <x:v>Unlocked</x:v>
      </x:c>
      <x:c r="J524" s="771" t="str">
        <x:v>00:33.00</x:v>
      </x:c>
      <x:c r="K524" s="785" t="str">
        <x:v>Directly visible tooltip; deduplicated by skill. Source frame near 00:35.50.</x:v>
      </x:c>
      <x:c r="L524" s="771" t="str">
        <x:v>1000025953.mp4</x:v>
      </x:c>
      <x:c r="M524" s="781" t="n">
        <x:f>IF(P524="OK",INDEX('Badge Lookup'!$B$6:$B$55,MATCH(F524,'Badge Lookup'!$A$6:$A$55,0)),0)</x:f>
        <x:v>320000</x:v>
      </x:c>
      <x:c r="N524" s="781" t="n">
        <x:f>IF(P524="OK",INDEX('Badge Lookup'!$C$6:$C$55,MATCH(F524,'Badge Lookup'!$A$6:$A$55,0)),0)</x:f>
        <x:v>2844300</x:v>
      </x:c>
      <x:c r="O524" s="783" t="n">
        <x:f>IF(P524="OK",INDEX('Badge Lookup'!$D$6:$D$55,MATCH(F524,'Badge Lookup'!$A$6:$A$55,0)),0)</x:f>
        <x:v>33.13</x:v>
      </x:c>
      <x:c r="P524" s="772" t="str">
        <x:f>IF(OR(G524="",F524=""),"Not scored",IF(AND(F524=INT(F524),F524&gt;=1,F524&lt;=50,COUNTIF('Badge Lookup'!$A$6:$A$55,F524)=1),"OK","Check lookup"))</x:f>
        <x:v>OK</x:v>
      </x:c>
      <x:c r="Q524" s="898" t="n">
        <x:f>IF(P524&lt;&gt;"OK","",IF(C524="Guards",-O524,O524))</x:f>
        <x:v>-33.13</x:v>
      </x:c>
      <x:c r="R524" s="772" t="str">
        <x:f>IF(P524&lt;&gt;"OK","Not scored",IF(C524="Guards","Damage received reduction","Damage increase"))</x:f>
        <x:v>Damage received reduction</x:v>
      </x:c>
    </x:row>
    <x:row r="525" ht="22" customHeight="1">
      <x:c r="A525" s="774" t="str">
        <x:v>K138</x:v>
      </x:c>
      <x:c r="B525" s="774" t="str">
        <x:v>(RaW)ⓀⒶⓃⓃⓄⓃ</x:v>
      </x:c>
      <x:c r="C525" s="774" t="str">
        <x:v>Cavalry</x:v>
      </x:c>
      <x:c r="D525" s="774" t="str">
        <x:v>Storm cavalry</x:v>
      </x:c>
      <x:c r="E525" s="774" t="str">
        <x:v>Horse archer</x:v>
      </x:c>
      <x:c r="F525" s="780" t="n">
        <x:v>46</x:v>
      </x:c>
      <x:c r="G525" s="774" t="str">
        <x:v>Mounted Archery</x:v>
      </x:c>
      <x:c r="H525" s="786" t="str">
        <x:v>Has a certain probability of causing fly-shooting damage</x:v>
      </x:c>
      <x:c r="I525" s="774" t="str">
        <x:v>Unlocked</x:v>
      </x:c>
      <x:c r="J525" s="774" t="str">
        <x:v>00:34.00</x:v>
      </x:c>
      <x:c r="K525" s="786" t="str">
        <x:v>Directly visible tooltip; repeated troop tiers are retained only in the Raw tab and counted once here.</x:v>
      </x:c>
      <x:c r="L525" s="774" t="str">
        <x:v>1000025953.mp4</x:v>
      </x:c>
      <x:c r="M525" s="781" t="n">
        <x:f>IF(P525="OK",INDEX('Badge Lookup'!$B$6:$B$55,MATCH(F525,'Badge Lookup'!$A$6:$A$55,0)),0)</x:f>
        <x:v>720000</x:v>
      </x:c>
      <x:c r="N525" s="781" t="n">
        <x:f>IF(P525="OK",INDEX('Badge Lookup'!$C$6:$C$55,MATCH(F525,'Badge Lookup'!$A$6:$A$55,0)),0)</x:f>
        <x:v>5004300</x:v>
      </x:c>
      <x:c r="O525" s="783" t="n">
        <x:f>IF(P525="OK",INDEX('Badge Lookup'!$D$6:$D$55,MATCH(F525,'Badge Lookup'!$A$6:$A$55,0)),0)</x:f>
        <x:v>45.13</x:v>
      </x:c>
      <x:c r="P525" s="772" t="str">
        <x:f>IF(OR(G525="",F525=""),"Not scored",IF(AND(F525=INT(F525),F525&gt;=1,F525&lt;=50,COUNTIF('Badge Lookup'!$A$6:$A$55,F525)=1),"OK","Check lookup"))</x:f>
        <x:v>OK</x:v>
      </x:c>
      <x:c r="Q525" s="898" t="n">
        <x:f>IF(P525&lt;&gt;"OK","",IF(C525="Guards",-O525,O525))</x:f>
        <x:v>45.13</x:v>
      </x:c>
      <x:c r="R525" s="772" t="str">
        <x:f>IF(P525&lt;&gt;"OK","Not scored",IF(C525="Guards","Damage received reduction","Damage increase"))</x:f>
        <x:v>Damage increase</x:v>
      </x:c>
    </x:row>
    <x:row r="526" ht="22" customHeight="1">
      <x:c r="A526" s="771" t="str">
        <x:v>K138</x:v>
      </x:c>
      <x:c r="B526" s="771" t="str">
        <x:v>(RaW)Des</x:v>
      </x:c>
      <x:c r="C526" s="771" t="str">
        <x:v>Guards</x:v>
      </x:c>
      <x:c r="D526" s="771" t="str">
        <x:v>Destroyers</x:v>
      </x:c>
      <x:c r="E526" s="771" t="str">
        <x:v>Guard</x:v>
      </x:c>
      <x:c r="F526" s="779" t="n">
        <x:v>50</x:v>
      </x:c>
      <x:c r="G526" s="771" t="str">
        <x:v>Parry</x:v>
      </x:c>
      <x:c r="H526" s="785" t="str">
        <x:v>Provides a parry effect and a certain probability to increase damage</x:v>
      </x:c>
      <x:c r="I526" s="771" t="str">
        <x:v>Unlocked</x:v>
      </x:c>
      <x:c r="J526" s="771" t="str">
        <x:v>00:53.50</x:v>
      </x:c>
      <x:c r="K526" s="785" t="str">
        <x:v>Directly visible tooltip; deduplicated by skill. Source frame near 00:55.50.</x:v>
      </x:c>
      <x:c r="L526" s="771" t="str">
        <x:v>1000025953.mp4</x:v>
      </x:c>
      <x:c r="M526" s="781" t="n">
        <x:f>IF(P526="OK",INDEX('Badge Lookup'!$B$6:$B$55,MATCH(F526,'Badge Lookup'!$A$6:$A$55,0)),0)</x:f>
        <x:v>2000000</x:v>
      </x:c>
      <x:c r="N526" s="781" t="n">
        <x:f>IF(P526="OK",INDEX('Badge Lookup'!$C$6:$C$55,MATCH(F526,'Badge Lookup'!$A$6:$A$55,0)),0)</x:f>
        <x:v>10334300</x:v>
      </x:c>
      <x:c r="O526" s="783" t="n">
        <x:f>IF(P526="OK",INDEX('Badge Lookup'!$D$6:$D$55,MATCH(F526,'Badge Lookup'!$A$6:$A$55,0)),0)</x:f>
        <x:v>60</x:v>
      </x:c>
      <x:c r="P526" s="772" t="str">
        <x:f>IF(OR(G526="",F526=""),"Not scored",IF(AND(F526=INT(F526),F526&gt;=1,F526&lt;=50,COUNTIF('Badge Lookup'!$A$6:$A$55,F526)=1),"OK","Check lookup"))</x:f>
        <x:v>OK</x:v>
      </x:c>
      <x:c r="Q526" s="898" t="n">
        <x:f>IF(P526&lt;&gt;"OK","",IF(C526="Guards",-O526,O526))</x:f>
        <x:v>-60</x:v>
      </x:c>
      <x:c r="R526" s="772" t="str">
        <x:f>IF(P526&lt;&gt;"OK","Not scored",IF(C526="Guards","Damage received reduction","Damage increase"))</x:f>
        <x:v>Damage received reduction</x:v>
      </x:c>
    </x:row>
    <x:row r="527" ht="22" customHeight="1">
      <x:c r="A527" s="774" t="str">
        <x:v>K138</x:v>
      </x:c>
      <x:c r="B527" s="774" t="str">
        <x:v>(RaW)Des</x:v>
      </x:c>
      <x:c r="C527" s="774" t="str">
        <x:v>Cavalry</x:v>
      </x:c>
      <x:c r="D527" s="774" t="str">
        <x:v>Storm cavalry</x:v>
      </x:c>
      <x:c r="E527" s="774" t="str">
        <x:v>Horse archer</x:v>
      </x:c>
      <x:c r="F527" s="780" t="n">
        <x:v>50</x:v>
      </x:c>
      <x:c r="G527" s="774" t="str">
        <x:v>Mounted Archery</x:v>
      </x:c>
      <x:c r="H527" s="786" t="str">
        <x:v>Has a certain probability of causing fly-shooting damage</x:v>
      </x:c>
      <x:c r="I527" s="774" t="str">
        <x:v>Unlocked</x:v>
      </x:c>
      <x:c r="J527" s="774" t="str">
        <x:v>00:54.50</x:v>
      </x:c>
      <x:c r="K527" s="786" t="str">
        <x:v>Directly visible tooltip; repeated troop tiers are retained only in the Raw tab and counted once here.</x:v>
      </x:c>
      <x:c r="L527" s="774" t="str">
        <x:v>1000025953.mp4</x:v>
      </x:c>
      <x:c r="M527" s="781" t="n">
        <x:f>IF(P527="OK",INDEX('Badge Lookup'!$B$6:$B$55,MATCH(F527,'Badge Lookup'!$A$6:$A$55,0)),0)</x:f>
        <x:v>2000000</x:v>
      </x:c>
      <x:c r="N527" s="781" t="n">
        <x:f>IF(P527="OK",INDEX('Badge Lookup'!$C$6:$C$55,MATCH(F527,'Badge Lookup'!$A$6:$A$55,0)),0)</x:f>
        <x:v>10334300</x:v>
      </x:c>
      <x:c r="O527" s="783" t="n">
        <x:f>IF(P527="OK",INDEX('Badge Lookup'!$D$6:$D$55,MATCH(F527,'Badge Lookup'!$A$6:$A$55,0)),0)</x:f>
        <x:v>60</x:v>
      </x:c>
      <x:c r="P527" s="772" t="str">
        <x:f>IF(OR(G527="",F527=""),"Not scored",IF(AND(F527=INT(F527),F527&gt;=1,F527&lt;=50,COUNTIF('Badge Lookup'!$A$6:$A$55,F527)=1),"OK","Check lookup"))</x:f>
        <x:v>OK</x:v>
      </x:c>
      <x:c r="Q527" s="898" t="n">
        <x:f>IF(P527&lt;&gt;"OK","",IF(C527="Guards",-O527,O527))</x:f>
        <x:v>60</x:v>
      </x:c>
      <x:c r="R527" s="772" t="str">
        <x:f>IF(P527&lt;&gt;"OK","Not scored",IF(C527="Guards","Damage received reduction","Damage increase"))</x:f>
        <x:v>Damage increase</x:v>
      </x:c>
    </x:row>
    <x:row r="528" ht="32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 ht="32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 ht="32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 ht="32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 ht="32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 ht="32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 ht="32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 ht="32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 ht="32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 ht="32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 ht="32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 ht="32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 ht="32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 ht="32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 ht="32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 ht="32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 ht="32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 ht="32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 ht="32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 ht="32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 ht="32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 ht="32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 ht="32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 ht="32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 ht="32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 ht="32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 ht="32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 ht="32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 ht="32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 ht="32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 ht="32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 ht="32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 ht="32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 ht="32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 ht="32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 ht="32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 ht="32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 ht="32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 ht="32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 ht="32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 ht="32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 ht="32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 ht="32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 ht="32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 ht="32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 ht="32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 ht="32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 ht="32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 ht="32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 ht="32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 ht="32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 ht="32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 ht="32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 ht="32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 ht="32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 ht="32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 ht="32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 ht="32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 ht="32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 ht="32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 ht="32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 ht="32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 ht="32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 ht="32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 ht="32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 ht="32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 ht="32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 ht="32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 ht="32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 ht="32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 ht="32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 ht="32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 ht="32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 ht="32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 ht="32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</x:sheetData>
  <x:mergeCells>
    <x:mergeCell ref="A1:R1"/>
    <x:mergeCell ref="A2:R2"/>
  </x:mergeCells>
  <x:conditionalFormatting sqref="P6:P519">
    <x:cfRule type="containsText" dxfId="5" priority="1" operator="containsText" text="Not scored"/>
    <x:cfRule type="containsText" dxfId="6" priority="2" operator="containsText" text="Check lookup"/>
  </x:conditionalFormatting>
  <x:conditionalFormatting sqref="Q6:Q519">
    <x:cfRule type="cellIs" dxfId="13" priority="3" operator="lessThan">
      <x:formula>0</x:formula>
    </x:cfRule>
    <x:cfRule type="cellIs" dxfId="14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e51624e08548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6" hidden="0" customWidth="1"/>
  </x:cols>
  <x:sheetData>
    <x:row r="1" ht="30" customHeight="1">
      <x:c r="A1" s="3" t="str">
        <x:v>Damage-Only Player Ranking — All Rival Kingdoms</x:v>
      </x:c>
      <x:c r="B1" s="3" t="str">
        <x:v>Damage-Only Player Ranking — All Rival Kingdoms</x:v>
      </x:c>
      <x:c r="C1" s="3" t="str">
        <x:v>Damage-Only Player Ranking — All Rival Kingdoms</x:v>
      </x:c>
      <x:c r="D1" s="3" t="str">
        <x:v>Damage-Only Player Ranking — All Rival Kingdoms</x:v>
      </x:c>
      <x:c r="E1" s="3" t="str">
        <x:v>Damage-Only Player Ranking — All Rival Kingdoms</x:v>
      </x:c>
      <x:c r="F1" s="3" t="str">
        <x:v>Damage-Only Player Ranking — All Rival Kingdoms</x:v>
      </x:c>
      <x:c r="G1" s="3" t="str">
        <x:v>Damage-Only Player Ranking — All Rival Kingdoms</x:v>
      </x:c>
      <x:c r="H1" s="3" t="str">
        <x:v>Damage-Only Player Ranking — All Rival Kingdoms</x:v>
      </x:c>
      <x:c r="I1" s="3" t="str">
        <x:v>Damage-Only Player Ranking — All Rival Kingdoms</x:v>
      </x:c>
      <x:c r="J1" s="3" t="str">
        <x:v>Damage-Only Player Ranking — All Rival Kingdoms</x:v>
      </x:c>
    </x:row>
    <x:row r="2" ht="24" customHeight="1">
      <x:c r="A2" s="7" t="str">
        <x:v>Guards, health, defence, protection blessings, revive and lethal-hit rate are excluded</x:v>
      </x:c>
      <x:c r="B2" s="7" t="str">
        <x:v>Guards, health, defence, protection blessings, revive and lethal-hit rate are excluded</x:v>
      </x:c>
      <x:c r="C2" s="7" t="str">
        <x:v>Guards, health, defence, protection blessings, revive and lethal-hit rate are excluded</x:v>
      </x:c>
      <x:c r="D2" s="7" t="str">
        <x:v>Guards, health, defence, protection blessings, revive and lethal-hit rate are excluded</x:v>
      </x:c>
      <x:c r="E2" s="7" t="str">
        <x:v>Guards, health, defence, protection blessings, revive and lethal-hit rate are excluded</x:v>
      </x:c>
      <x:c r="F2" s="7" t="str">
        <x:v>Guards, health, defence, protection blessings, revive and lethal-hit rate are excluded</x:v>
      </x:c>
      <x:c r="G2" s="7" t="str">
        <x:v>Guards, health, defence, protection blessings, revive and lethal-hit rate are excluded</x:v>
      </x:c>
      <x:c r="H2" s="7" t="str">
        <x:v>Guards, health, defence, protection blessings, revive and lethal-hit rate are excluded</x:v>
      </x:c>
      <x:c r="I2" s="7" t="str">
        <x:v>Guards, health, defence, protection blessings, revive and lethal-hit rate are excluded</x:v>
      </x:c>
      <x:c r="J2" s="7" t="str">
        <x:v>Guards, health, defence, protection blessings, revive and lethal-hit rate are excluded</x:v>
      </x:c>
    </x:row>
    <x:row r="4" ht="32" customHeight="1">
      <x:c r="A4" s="118" t="str">
        <x:v>Score model: General 30% · Cavalry 25% · Archers 25% · Siege 20%. Each group uses Attack, Damage, Damage Received and Attack Blessing; top-end performance is weighted more heavily.</x:v>
      </x:c>
      <x:c r="B4" s="118" t="str">
        <x:v>Score model: General 30% · Cavalry 25% · Archers 25% · Siege 20%. Each group uses Attack, Damage, Damage Received and Attack Blessing; top-end performance is weighted more heavily.</x:v>
      </x:c>
      <x:c r="C4" s="118" t="str">
        <x:v>Score model: General 30% · Cavalry 25% · Archers 25% · Siege 20%. Each group uses Attack, Damage, Damage Received and Attack Blessing; top-end performance is weighted more heavily.</x:v>
      </x:c>
      <x:c r="D4" s="118" t="str">
        <x:v>Score model: General 30% · Cavalry 25% · Archers 25% · Siege 20%. Each group uses Attack, Damage, Damage Received and Attack Blessing; top-end performance is weighted more heavily.</x:v>
      </x:c>
      <x:c r="E4" s="118" t="str">
        <x:v>Score model: General 30% · Cavalry 25% · Archers 25% · Siege 20%. Each group uses Attack, Damage, Damage Received and Attack Blessing; top-end performance is weighted more heavily.</x:v>
      </x:c>
      <x:c r="F4" s="118" t="str">
        <x:v>Score model: General 30% · Cavalry 25% · Archers 25% · Siege 20%. Each group uses Attack, Damage, Damage Received and Attack Blessing; top-end performance is weighted more heavily.</x:v>
      </x:c>
      <x:c r="G4" s="118" t="str">
        <x:v>Score model: General 30% · Cavalry 25% · Archers 25% · Siege 20%. Each group uses Attack, Damage, Damage Received and Attack Blessing; top-end performance is weighted more heavily.</x:v>
      </x:c>
      <x:c r="H4" s="118" t="str">
        <x:v>Score model: General 30% · Cavalry 25% · Archers 25% · Siege 20%. Each group uses Attack, Damage, Damage Received and Attack Blessing; top-end performance is weighted more heavily.</x:v>
      </x:c>
      <x:c r="I4" s="118" t="str">
        <x:v>Score model: General 30% · Cavalry 25% · Archers 25% · Siege 20%. Each group uses Attack, Damage, Damage Received and Attack Blessing; top-end performance is weighted more heavily.</x:v>
      </x:c>
      <x:c r="J4" s="118" t="str">
        <x:v>Score model: General 30% · Cavalry 25% · Archers 25% · Siege 20%. Each group uses Attack, Damage, Damage Received and Attack Blessing; top-end performance is weighted more heavily.</x:v>
      </x:c>
    </x:row>
    <x:row r="5" ht="28" customHeight="1">
      <x:c r="A5" s="42" t="str">
        <x:v>Rank</x:v>
      </x:c>
      <x:c r="B5" s="42" t="str">
        <x:v>Server</x:v>
      </x:c>
      <x:c r="C5" s="42" t="str">
        <x:v>Player</x:v>
      </x:c>
      <x:c r="D5" s="42" t="str">
        <x:v>Damage Score</x:v>
      </x:c>
      <x:c r="E5" s="42" t="str">
        <x:v>General</x:v>
      </x:c>
      <x:c r="F5" s="42" t="str">
        <x:v>Cavalry</x:v>
      </x:c>
      <x:c r="G5" s="42" t="str">
        <x:v>Archers</x:v>
      </x:c>
      <x:c r="H5" s="42" t="str">
        <x:v>Siege</x:v>
      </x:c>
      <x:c r="I5" s="42" t="str">
        <x:v>Strongest Area</x:v>
      </x:c>
      <x:c r="J5" s="42" t="str">
        <x:v>Tier</x:v>
      </x:c>
    </x:row>
    <x:row r="6" ht="18" customHeight="1">
      <x:c r="A6" s="43" t="n">
        <x:v>1</x:v>
      </x:c>
      <x:c r="B6" s="43" t="str">
        <x:v>K197</x:v>
      </x:c>
      <x:c r="C6" s="43" t="str">
        <x:v>Хлебушек</x:v>
      </x:c>
      <x:c r="D6" s="146" t="n">
        <x:v>95.91360373979555</x:v>
      </x:c>
      <x:c r="E6" s="146" t="n">
        <x:v>92.1801298001945</x:v>
      </x:c>
      <x:c r="F6" s="146" t="n">
        <x:v>99.4752754804029</x:v>
      </x:c>
      <x:c r="G6" s="146" t="n">
        <x:v>95.4441001452279</x:v>
      </x:c>
      <x:c r="H6" s="146" t="n">
        <x:v>97.6486044666474</x:v>
      </x:c>
      <x:c r="I6" s="43" t="str">
        <x:v>Cavalry</x:v>
      </x:c>
      <x:c r="J6" s="43" t="str">
        <x:v>Damage leader</x:v>
      </x:c>
    </x:row>
    <x:row r="7" ht="18" customHeight="1">
      <x:c r="A7" s="43" t="n">
        <x:v>2</x:v>
      </x:c>
      <x:c r="B7" s="43" t="str">
        <x:v>K54</x:v>
      </x:c>
      <x:c r="C7" s="43" t="str">
        <x:v>爽歪歪</x:v>
      </x:c>
      <x:c r="D7" s="146" t="n">
        <x:v>90.59251222390677</x:v>
      </x:c>
      <x:c r="E7" s="146" t="n">
        <x:v>91.91717126127797</x:v>
      </x:c>
      <x:c r="F7" s="146" t="n">
        <x:v>96.21621431268018</x:v>
      </x:c>
      <x:c r="G7" s="146" t="n">
        <x:v>80.42153216184767</x:v>
      </x:c>
      <x:c r="H7" s="146" t="n">
        <x:v>94.28962113445706</x:v>
      </x:c>
      <x:c r="I7" s="43" t="str">
        <x:v>Cavalry</x:v>
      </x:c>
      <x:c r="J7" s="43" t="str">
        <x:v>Damage leader</x:v>
      </x:c>
    </x:row>
    <x:row r="8" ht="18" customHeight="1">
      <x:c r="A8" s="43" t="n">
        <x:v>3</x:v>
      </x:c>
      <x:c r="B8" s="43" t="str">
        <x:v>K54</x:v>
      </x:c>
      <x:c r="C8" s="43" t="str">
        <x:v>纵横,,,大风</x:v>
      </x:c>
      <x:c r="D8" s="146" t="n">
        <x:v>90.35953554869256</x:v>
      </x:c>
      <x:c r="E8" s="146" t="n">
        <x:v>91.6554052805974</x:v>
      </x:c>
      <x:c r="F8" s="146" t="n">
        <x:v>92.56224131576161</x:v>
      </x:c>
      <x:c r="G8" s="146" t="n">
        <x:v>82.53558381172209</x:v>
      </x:c>
      <x:c r="H8" s="146" t="n">
        <x:v>95.44228841321204</x:v>
      </x:c>
      <x:c r="I8" s="43" t="str">
        <x:v>Siege</x:v>
      </x:c>
      <x:c r="J8" s="43" t="str">
        <x:v>Damage leader</x:v>
      </x:c>
    </x:row>
    <x:row r="9" ht="18" customHeight="1">
      <x:c r="A9" s="43" t="n">
        <x:v>4</x:v>
      </x:c>
      <x:c r="B9" s="43" t="str">
        <x:v>K91</x:v>
      </x:c>
      <x:c r="C9" s="43" t="str">
        <x:v>•Pain•</x:v>
      </x:c>
      <x:c r="D9" s="146" t="n">
        <x:v>88.02618236163738</x:v>
      </x:c>
      <x:c r="E9" s="146" t="n">
        <x:v>83.21197057800467</x:v>
      </x:c>
      <x:c r="F9" s="146" t="n">
        <x:v>97.25430830247726</x:v>
      </x:c>
      <x:c r="G9" s="146" t="n">
        <x:v>79.94733671772428</x:v>
      </x:c>
      <x:c r="H9" s="146" t="n">
        <x:v>93.81089966592793</x:v>
      </x:c>
      <x:c r="I9" s="43" t="str">
        <x:v>Cavalry</x:v>
      </x:c>
      <x:c r="J9" s="43" t="str">
        <x:v>Elite</x:v>
      </x:c>
    </x:row>
    <x:row r="10" ht="18" customHeight="1">
      <x:c r="A10" s="43" t="n">
        <x:v>5</x:v>
      </x:c>
      <x:c r="B10" s="43" t="str">
        <x:v>K116</x:v>
      </x:c>
      <x:c r="C10" s="43" t="str">
        <x:v>Jesse</x:v>
      </x:c>
      <x:c r="D10" s="146" t="n">
        <x:v>86.23605080293748</x:v>
      </x:c>
      <x:c r="E10" s="146" t="n">
        <x:v>87.06203699403109</x:v>
      </x:c>
      <x:c r="F10" s="146" t="n">
        <x:v>90.61208321638406</x:v>
      </x:c>
      <x:c r="G10" s="146" t="n">
        <x:v>79.790817206788</x:v>
      </x:c>
      <x:c r="H10" s="146" t="n">
        <x:v>87.58357299467565</x:v>
      </x:c>
      <x:c r="I10" s="43" t="str">
        <x:v>Cavalry</x:v>
      </x:c>
      <x:c r="J10" s="43" t="str">
        <x:v>Elite</x:v>
      </x:c>
    </x:row>
    <x:row r="11" ht="18" customHeight="1">
      <x:c r="A11" s="43" t="n">
        <x:v>6</x:v>
      </x:c>
      <x:c r="B11" s="43" t="str">
        <x:v>K54</x:v>
      </x:c>
      <x:c r="C11" s="43" t="str">
        <x:v>醉红尘</x:v>
      </x:c>
      <x:c r="D11" s="146" t="n">
        <x:v>84.59402175815462</x:v>
      </x:c>
      <x:c r="E11" s="146" t="n">
        <x:v>82.22970548921651</x:v>
      </x:c>
      <x:c r="F11" s="146" t="n">
        <x:v>90.26638455796666</x:v>
      </x:c>
      <x:c r="G11" s="146" t="n">
        <x:v>74.44736608491931</x:v>
      </x:c>
      <x:c r="H11" s="146" t="n">
        <x:v>93.73336225334094</x:v>
      </x:c>
      <x:c r="I11" s="43" t="str">
        <x:v>Siege</x:v>
      </x:c>
      <x:c r="J11" s="43" t="str">
        <x:v>Elite</x:v>
      </x:c>
    </x:row>
    <x:row r="12" ht="18" customHeight="1">
      <x:c r="A12" s="43" t="n">
        <x:v>7</x:v>
      </x:c>
      <x:c r="B12" s="43" t="str">
        <x:v>K54</x:v>
      </x:c>
      <x:c r="C12" s="43" t="str">
        <x:v>纵横,,,杀戮</x:v>
      </x:c>
      <x:c r="D12" s="146" t="n">
        <x:v>83.29928845520064</x:v>
      </x:c>
      <x:c r="E12" s="146" t="n">
        <x:v>84.02901847127582</x:v>
      </x:c>
      <x:c r="F12" s="146" t="n">
        <x:v>86.66096300422547</x:v>
      </x:c>
      <x:c r="G12" s="146" t="n">
        <x:v>75.4957778037903</x:v>
      </x:c>
      <x:c r="H12" s="146" t="n">
        <x:v>87.75698855906975</x:v>
      </x:c>
      <x:c r="I12" s="43" t="str">
        <x:v>Siege</x:v>
      </x:c>
      <x:c r="J12" s="43" t="str">
        <x:v>Elite</x:v>
      </x:c>
    </x:row>
    <x:row r="13" ht="18" customHeight="1">
      <x:c r="A13" s="43" t="n">
        <x:v>8</x:v>
      </x:c>
      <x:c r="B13" s="43" t="str">
        <x:v>K197</x:v>
      </x:c>
      <x:c r="C13" s="43" t="str">
        <x:v>-GAMERMAN-</x:v>
      </x:c>
      <x:c r="D13" s="146" t="n">
        <x:v>82.59821651882257</x:v>
      </x:c>
      <x:c r="E13" s="146" t="n">
        <x:v>79.13469515616893</x:v>
      </x:c>
      <x:c r="F13" s="146" t="n">
        <x:v>85.94606637188221</x:v>
      </x:c>
      <x:c r="G13" s="146" t="n">
        <x:v>75.89423907384571</x:v>
      </x:c>
      <x:c r="H13" s="146" t="n">
        <x:v>91.98865805269952</x:v>
      </x:c>
      <x:c r="I13" s="43" t="str">
        <x:v>Siege</x:v>
      </x:c>
      <x:c r="J13" s="43" t="str">
        <x:v>Elite</x:v>
      </x:c>
    </x:row>
    <x:row r="14" ht="18" customHeight="1">
      <x:c r="A14" s="43" t="n">
        <x:v>9</x:v>
      </x:c>
      <x:c r="B14" s="43" t="str">
        <x:v>K60</x:v>
      </x:c>
      <x:c r="C14" s="43" t="str">
        <x:v>InFlames</x:v>
      </x:c>
      <x:c r="D14" s="146" t="n">
        <x:v>80.48613371322558</x:v>
      </x:c>
      <x:c r="E14" s="146" t="n">
        <x:v>73.8211326149577</x:v>
      </x:c>
      <x:c r="F14" s="146" t="n">
        <x:v>91.13640409321863</x:v>
      </x:c>
      <x:c r="G14" s="146" t="n">
        <x:v>72.67589983637566</x:v>
      </x:c>
      <x:c r="H14" s="146" t="n">
        <x:v>86.93358973169848</x:v>
      </x:c>
      <x:c r="I14" s="43" t="str">
        <x:v>Cavalry</x:v>
      </x:c>
      <x:c r="J14" s="43" t="str">
        <x:v>Elite</x:v>
      </x:c>
    </x:row>
    <x:row r="15" ht="18" customHeight="1">
      <x:c r="A15" s="43" t="n">
        <x:v>10</x:v>
      </x:c>
      <x:c r="B15" s="43" t="str">
        <x:v>K60</x:v>
      </x:c>
      <x:c r="C15" s="43" t="str">
        <x:v>°Silent°</x:v>
      </x:c>
      <x:c r="D15" s="146" t="n">
        <x:v>79.71646497569995</x:v>
      </x:c>
      <x:c r="E15" s="146" t="n">
        <x:v>80.72039502514134</x:v>
      </x:c>
      <x:c r="F15" s="146" t="n">
        <x:v>71.10528124875842</x:v>
      </x:c>
      <x:c r="G15" s="146" t="n">
        <x:v>81.6885745307435</x:v>
      </x:c>
      <x:c r="H15" s="146" t="n">
        <x:v>86.50941261641034</x:v>
      </x:c>
      <x:c r="I15" s="43" t="str">
        <x:v>Siege</x:v>
      </x:c>
      <x:c r="J15" s="43" t="str">
        <x:v>Elite</x:v>
      </x:c>
    </x:row>
    <x:row r="16" ht="18" customHeight="1">
      <x:c r="A16" s="43" t="n">
        <x:v>11</x:v>
      </x:c>
      <x:c r="B16" s="43" t="str">
        <x:v>K170</x:v>
      </x:c>
      <x:c r="C16" s="43" t="str">
        <x:v>(AOT)MG·Yu</x:v>
      </x:c>
      <x:c r="D16" s="146" t="n">
        <x:v>78.02639599571137</x:v>
      </x:c>
      <x:c r="E16" s="146" t="n">
        <x:v>71.89888462352363</x:v>
      </x:c>
      <x:c r="F16" s="146" t="n">
        <x:v>80.14709519969438</x:v>
      </x:c>
      <x:c r="G16" s="146" t="n">
        <x:v>85.75665486225816</x:v>
      </x:c>
      <x:c r="H16" s="146" t="n">
        <x:v>74.90396546583075</x:v>
      </x:c>
      <x:c r="I16" s="43" t="str">
        <x:v>Archers</x:v>
      </x:c>
      <x:c r="J16" s="43" t="str">
        <x:v>Strong</x:v>
      </x:c>
    </x:row>
    <x:row r="17" ht="18" customHeight="1">
      <x:c r="A17" s="43" t="n">
        <x:v>12</x:v>
      </x:c>
      <x:c r="B17" s="43" t="str">
        <x:v>K60</x:v>
      </x:c>
      <x:c r="C17" s="43" t="str">
        <x:v>CerialKiller</x:v>
      </x:c>
      <x:c r="D17" s="146" t="n">
        <x:v>76.84662515480584</x:v>
      </x:c>
      <x:c r="E17" s="146" t="n">
        <x:v>76.13670030473452</x:v>
      </x:c>
      <x:c r="F17" s="146" t="n">
        <x:v>66.38099996277316</x:v>
      </x:c>
      <x:c r="G17" s="146" t="n">
        <x:v>87.52123824050305</x:v>
      </x:c>
      <x:c r="H17" s="146" t="n">
        <x:v>77.6502775628321</x:v>
      </x:c>
      <x:c r="I17" s="43" t="str">
        <x:v>Archers</x:v>
      </x:c>
      <x:c r="J17" s="43" t="str">
        <x:v>Strong</x:v>
      </x:c>
    </x:row>
    <x:row r="18" ht="18" customHeight="1">
      <x:c r="A18" s="43" t="n">
        <x:v>13</x:v>
      </x:c>
      <x:c r="B18" s="43" t="str">
        <x:v>K176</x:v>
      </x:c>
      <x:c r="C18" s="43" t="str">
        <x:v>苟拓通天肆意妄为</x:v>
      </x:c>
      <x:c r="D18" s="146" t="n">
        <x:v>74.6550009636016</x:v>
      </x:c>
      <x:c r="E18" s="146" t="n">
        <x:v>78.40966198342831</x:v>
      </x:c>
      <x:c r="F18" s="146" t="n">
        <x:v>71.94705469729159</x:v>
      </x:c>
      <x:c r="G18" s="146" t="n">
        <x:v>74.36631179746419</x:v>
      </x:c>
      <x:c r="H18" s="146" t="n">
        <x:v>72.76880372442082</x:v>
      </x:c>
      <x:c r="I18" s="43" t="str">
        <x:v>General</x:v>
      </x:c>
      <x:c r="J18" s="43" t="str">
        <x:v>Strong</x:v>
      </x:c>
    </x:row>
    <x:row r="19" ht="18" customHeight="1">
      <x:c r="A19" s="43" t="n">
        <x:v>14</x:v>
      </x:c>
      <x:c r="B19" s="43" t="str">
        <x:v>K91</x:v>
      </x:c>
      <x:c r="C19" s="43" t="str">
        <x:v>Skrapz</x:v>
      </x:c>
      <x:c r="D19" s="146" t="n">
        <x:v>74.1153012436833</x:v>
      </x:c>
      <x:c r="E19" s="146" t="n">
        <x:v>72.57787397948967</x:v>
      </x:c>
      <x:c r="F19" s="146" t="n">
        <x:v>76.80911816149788</x:v>
      </x:c>
      <x:c r="G19" s="146" t="n">
        <x:v>66.05713356360289</x:v>
      </x:c>
      <x:c r="H19" s="146" t="n">
        <x:v>83.12688059280606</x:v>
      </x:c>
      <x:c r="I19" s="43" t="str">
        <x:v>Siege</x:v>
      </x:c>
      <x:c r="J19" s="43" t="str">
        <x:v>Strong</x:v>
      </x:c>
    </x:row>
    <x:row r="20" ht="18" customHeight="1">
      <x:c r="A20" s="43" t="n">
        <x:v>15</x:v>
      </x:c>
      <x:c r="B20" s="43" t="str">
        <x:v>K116</x:v>
      </x:c>
      <x:c r="C20" s="43" t="str">
        <x:v>汰需尚青</x:v>
      </x:c>
      <x:c r="D20" s="146" t="n">
        <x:v>73.51121670450894</x:v>
      </x:c>
      <x:c r="E20" s="146" t="n">
        <x:v>74.80189847825122</x:v>
      </x:c>
      <x:c r="F20" s="146" t="n">
        <x:v>68.12174662830262</x:v>
      </x:c>
      <x:c r="G20" s="146" t="n">
        <x:v>82.58528527704438</x:v>
      </x:c>
      <x:c r="H20" s="146" t="n">
        <x:v>66.96944592348412</x:v>
      </x:c>
      <x:c r="I20" s="43" t="str">
        <x:v>Archers</x:v>
      </x:c>
      <x:c r="J20" s="43" t="str">
        <x:v>Strong</x:v>
      </x:c>
    </x:row>
    <x:row r="21" ht="18" customHeight="1">
      <x:c r="A21" s="43" t="n">
        <x:v>16</x:v>
      </x:c>
      <x:c r="B21" s="43" t="str">
        <x:v>K197</x:v>
      </x:c>
      <x:c r="C21" s="43" t="str">
        <x:v>Saku</x:v>
      </x:c>
      <x:c r="D21" s="146" t="n">
        <x:v>72.07804558540336</x:v>
      </x:c>
      <x:c r="E21" s="146" t="n">
        <x:v>69.08808681037657</x:v>
      </x:c>
      <x:c r="F21" s="146" t="n">
        <x:v>66.87028928733716</x:v>
      </x:c>
      <x:c r="G21" s="146" t="n">
        <x:v>82.20618015524065</x:v>
      </x:c>
      <x:c r="H21" s="146" t="n">
        <x:v>70.41251090822968</x:v>
      </x:c>
      <x:c r="I21" s="43" t="str">
        <x:v>Archers</x:v>
      </x:c>
      <x:c r="J21" s="43" t="str">
        <x:v>Strong</x:v>
      </x:c>
    </x:row>
    <x:row r="22" ht="18" customHeight="1">
      <x:c r="A22" s="43" t="n">
        <x:v>17</x:v>
      </x:c>
      <x:c r="B22" s="43" t="str">
        <x:v>K138</x:v>
      </x:c>
      <x:c r="C22" s="43" t="str">
        <x:v>(RaW)SLAP</x:v>
      </x:c>
      <x:c r="D22" s="146" t="n">
        <x:v>71.81698755004226</x:v>
      </x:c>
      <x:c r="E22" s="146" t="n">
        <x:v>73.73447934939875</x:v>
      </x:c>
      <x:c r="F22" s="146" t="n">
        <x:v>75.97776730945193</x:v>
      </x:c>
      <x:c r="G22" s="146" t="n">
        <x:v>55.817692075445706</x:v>
      </x:c>
      <x:c r="H22" s="146" t="n">
        <x:v>83.73889449499111</x:v>
      </x:c>
      <x:c r="I22" s="43" t="str">
        <x:v>Siege</x:v>
      </x:c>
      <x:c r="J22" s="43" t="str">
        <x:v>Strong</x:v>
      </x:c>
    </x:row>
    <x:row r="23" ht="18" customHeight="1">
      <x:c r="A23" s="43" t="n">
        <x:v>18</x:v>
      </x:c>
      <x:c r="B23" s="43" t="str">
        <x:v>K138</x:v>
      </x:c>
      <x:c r="C23" s="43" t="str">
        <x:v>(RaW)Critykal</x:v>
      </x:c>
      <x:c r="D23" s="146" t="n">
        <x:v>70.01890276708751</x:v>
      </x:c>
      <x:c r="E23" s="146" t="n">
        <x:v>62.334244661817685</x:v>
      </x:c>
      <x:c r="F23" s="146" t="n">
        <x:v>86.52735624782937</x:v>
      </x:c>
      <x:c r="G23" s="146" t="n">
        <x:v>54.20368516176944</x:v>
      </x:c>
      <x:c r="H23" s="146" t="n">
        <x:v>80.6793450807125</x:v>
      </x:c>
      <x:c r="I23" s="43" t="str">
        <x:v>Cavalry</x:v>
      </x:c>
      <x:c r="J23" s="43" t="str">
        <x:v>Strong</x:v>
      </x:c>
    </x:row>
    <x:row r="24" ht="18" customHeight="1">
      <x:c r="A24" s="43" t="n">
        <x:v>19</x:v>
      </x:c>
      <x:c r="B24" s="43" t="str">
        <x:v>K54</x:v>
      </x:c>
      <x:c r="C24" s="43" t="str">
        <x:v>纵横,,,金王</x:v>
      </x:c>
      <x:c r="D24" s="146" t="n">
        <x:v>65.84445450216218</x:v>
      </x:c>
      <x:c r="E24" s="146" t="n">
        <x:v>65.72114741339809</x:v>
      </x:c>
      <x:c r="F24" s="146" t="n">
        <x:v>74.25596345243517</x:v>
      </x:c>
      <x:c r="G24" s="146" t="n">
        <x:v>52.83809503307382</x:v>
      </x:c>
      <x:c r="H24" s="146" t="n">
        <x:v>71.77297828382754</x:v>
      </x:c>
      <x:c r="I24" s="43" t="str">
        <x:v>Cavalry</x:v>
      </x:c>
      <x:c r="J24" s="43" t="str">
        <x:v>Strong</x:v>
      </x:c>
    </x:row>
    <x:row r="25" ht="18" customHeight="1">
      <x:c r="A25" s="43" t="n">
        <x:v>20</x:v>
      </x:c>
      <x:c r="B25" s="43" t="str">
        <x:v>K138</x:v>
      </x:c>
      <x:c r="C25" s="43" t="str">
        <x:v>(RaW)༺Frankie༻</x:v>
      </x:c>
      <x:c r="D25" s="146" t="n">
        <x:v>65.68395763961792</x:v>
      </x:c>
      <x:c r="E25" s="146" t="n">
        <x:v>67.46626767289588</x:v>
      </x:c>
      <x:c r="F25" s="146" t="n">
        <x:v>68.42773379290682</x:v>
      </x:c>
      <x:c r="G25" s="146" t="n">
        <x:v>48.052769787744964</x:v>
      </x:c>
      <x:c r="H25" s="146" t="n">
        <x:v>81.61975721293106</x:v>
      </x:c>
      <x:c r="I25" s="43" t="str">
        <x:v>Siege</x:v>
      </x:c>
      <x:c r="J25" s="43" t="str">
        <x:v>Strong</x:v>
      </x:c>
    </x:row>
    <x:row r="26" ht="18" customHeight="1">
      <x:c r="A26" s="43" t="n">
        <x:v>21</x:v>
      </x:c>
      <x:c r="B26" s="43" t="str">
        <x:v>K176</x:v>
      </x:c>
      <x:c r="C26" s="43" t="str">
        <x:v>༺璀璨星辰༻</x:v>
      </x:c>
      <x:c r="D26" s="146" t="n">
        <x:v>64.93121799270996</x:v>
      </x:c>
      <x:c r="E26" s="146" t="n">
        <x:v>76.14028865318565</x:v>
      </x:c>
      <x:c r="F26" s="146" t="n">
        <x:v>79.29568642628453</x:v>
      </x:c>
      <x:c r="G26" s="146" t="n">
        <x:v>28.041749381716333</x:v>
      </x:c>
      <x:c r="H26" s="146" t="n">
        <x:v>76.27386222377027</x:v>
      </x:c>
      <x:c r="I26" s="43" t="str">
        <x:v>Cavalry</x:v>
      </x:c>
      <x:c r="J26" s="43" t="str">
        <x:v>Strong</x:v>
      </x:c>
    </x:row>
    <x:row r="27" ht="18" customHeight="1">
      <x:c r="A27" s="43" t="n">
        <x:v>22</x:v>
      </x:c>
      <x:c r="B27" s="43" t="str">
        <x:v>K60</x:v>
      </x:c>
      <x:c r="C27" s="43" t="str">
        <x:v>RONINtrike</x:v>
      </x:c>
      <x:c r="D27" s="146" t="n">
        <x:v>62.93001010227725</x:v>
      </x:c>
      <x:c r="E27" s="146" t="n">
        <x:v>66.12440285507394</x:v>
      </x:c>
      <x:c r="F27" s="146" t="n">
        <x:v>54.32333403920977</x:v>
      </x:c>
      <x:c r="G27" s="146" t="n">
        <x:v>56.63996587909625</x:v>
      </x:c>
      <x:c r="H27" s="146" t="n">
        <x:v>76.75932133089285</x:v>
      </x:c>
      <x:c r="I27" s="43" t="str">
        <x:v>Siege</x:v>
      </x:c>
      <x:c r="J27" s="43" t="str">
        <x:v>Strong</x:v>
      </x:c>
    </x:row>
    <x:row r="28" ht="18" customHeight="1">
      <x:c r="A28" s="43" t="n">
        <x:v>23</x:v>
      </x:c>
      <x:c r="B28" s="43" t="str">
        <x:v>K116</x:v>
      </x:c>
      <x:c r="C28" s="43" t="str">
        <x:v>光之使者</x:v>
      </x:c>
      <x:c r="D28" s="146" t="n">
        <x:v>61.935915675614496</x:v>
      </x:c>
      <x:c r="E28" s="146" t="n">
        <x:v>78.1526845133952</x:v>
      </x:c>
      <x:c r="F28" s="146" t="n">
        <x:v>44.668649139635214</x:v>
      </x:c>
      <x:c r="G28" s="146" t="n">
        <x:v>48.60122508440778</x:v>
      </x:c>
      <x:c r="H28" s="146" t="n">
        <x:v>75.86320882792592</x:v>
      </x:c>
      <x:c r="I28" s="43" t="str">
        <x:v>General</x:v>
      </x:c>
      <x:c r="J28" s="43" t="str">
        <x:v>Strong</x:v>
      </x:c>
    </x:row>
    <x:row r="29" ht="18" customHeight="1">
      <x:c r="A29" s="43" t="n">
        <x:v>24</x:v>
      </x:c>
      <x:c r="B29" s="43" t="str">
        <x:v>K60</x:v>
      </x:c>
      <x:c r="C29" s="43" t="str">
        <x:v>#14 元气满满 (148,500)</x:v>
      </x:c>
      <x:c r="D29" s="146" t="n">
        <x:v>61.93565335294709</x:v>
      </x:c>
      <x:c r="E29" s="146" t="n">
        <x:v>52.5998882692936</x:v>
      </x:c>
      <x:c r="F29" s="146" t="n">
        <x:v>62.51257386094298</x:v>
      </x:c>
      <x:c r="G29" s="146" t="n">
        <x:v>62.21010996921622</x:v>
      </x:c>
      <x:c r="H29" s="146" t="n">
        <x:v>74.87507957309607</x:v>
      </x:c>
      <x:c r="I29" s="43" t="str">
        <x:v>Siege</x:v>
      </x:c>
      <x:c r="J29" s="43" t="str">
        <x:v>Strong</x:v>
      </x:c>
    </x:row>
    <x:row r="30" ht="18" customHeight="1">
      <x:c r="A30" s="43" t="n">
        <x:v>25</x:v>
      </x:c>
      <x:c r="B30" s="43" t="str">
        <x:v>K138</x:v>
      </x:c>
      <x:c r="C30" s="43" t="str">
        <x:v>(RaW)༺博卡Ajax༻</x:v>
      </x:c>
      <x:c r="D30" s="146" t="n">
        <x:v>59.800104594484544</x:v>
      </x:c>
      <x:c r="E30" s="146" t="n">
        <x:v>74.20580411841198</x:v>
      </x:c>
      <x:c r="F30" s="146" t="n">
        <x:v>63.01981816105629</x:v>
      </x:c>
      <x:c r="G30" s="146" t="n">
        <x:v>27.70993987078848</x:v>
      </x:c>
      <x:c r="H30" s="146" t="n">
        <x:v>74.27961925499878</x:v>
      </x:c>
      <x:c r="I30" s="43" t="str">
        <x:v>Siege</x:v>
      </x:c>
      <x:c r="J30" s="43" t="str">
        <x:v>Strong</x:v>
      </x:c>
    </x:row>
    <x:row r="31" ht="18" customHeight="1">
      <x:c r="A31" s="43" t="n">
        <x:v>26</x:v>
      </x:c>
      <x:c r="B31" s="43" t="str">
        <x:v>K176</x:v>
      </x:c>
      <x:c r="C31" s="43" t="str">
        <x:v>ʚ老⑥ɞ</x:v>
      </x:c>
      <x:c r="D31" s="146" t="n">
        <x:v>59.52746294675677</x:v>
      </x:c>
      <x:c r="E31" s="146" t="n">
        <x:v>60.85995484370282</x:v>
      </x:c>
      <x:c r="F31" s="146" t="n">
        <x:v>63.38351328699037</x:v>
      </x:c>
      <x:c r="G31" s="146" t="n">
        <x:v>46.20481105465894</x:v>
      </x:c>
      <x:c r="H31" s="146" t="n">
        <x:v>69.36197704116799</x:v>
      </x:c>
      <x:c r="I31" s="43" t="str">
        <x:v>Siege</x:v>
      </x:c>
      <x:c r="J31" s="43" t="str">
        <x:v>Depth</x:v>
      </x:c>
    </x:row>
    <x:row r="32" ht="18" customHeight="1">
      <x:c r="A32" s="43" t="n">
        <x:v>27</x:v>
      </x:c>
      <x:c r="B32" s="43" t="str">
        <x:v>K170</x:v>
      </x:c>
      <x:c r="C32" s="43" t="str">
        <x:v>(AOT)StFruz</x:v>
      </x:c>
      <x:c r="D32" s="146" t="n">
        <x:v>57.58631452293807</x:v>
      </x:c>
      <x:c r="E32" s="146" t="n">
        <x:v>43.519046508832766</x:v>
      </x:c>
      <x:c r="F32" s="146" t="n">
        <x:v>58.48128898384802</x:v>
      </x:c>
      <x:c r="G32" s="146" t="n">
        <x:v>61.811560019862135</x:v>
      </x:c>
      <x:c r="H32" s="146" t="n">
        <x:v>72.2869415968035</x:v>
      </x:c>
      <x:c r="I32" s="43" t="str">
        <x:v>Siege</x:v>
      </x:c>
      <x:c r="J32" s="43" t="str">
        <x:v>Depth</x:v>
      </x:c>
    </x:row>
    <x:row r="33" ht="18" customHeight="1">
      <x:c r="A33" s="43" t="n">
        <x:v>28</x:v>
      </x:c>
      <x:c r="B33" s="43" t="str">
        <x:v>K54</x:v>
      </x:c>
      <x:c r="C33" s="43" t="str">
        <x:v>纵横,,,Nike耐克</x:v>
      </x:c>
      <x:c r="D33" s="146" t="n">
        <x:v>56.70455364829482</x:v>
      </x:c>
      <x:c r="E33" s="146" t="n">
        <x:v>54.54476393283966</x:v>
      </x:c>
      <x:c r="F33" s="146" t="n">
        <x:v>67.03620552582092</x:v>
      </x:c>
      <x:c r="G33" s="146" t="n">
        <x:v>40.052989978871</x:v>
      </x:c>
      <x:c r="H33" s="146" t="n">
        <x:v>67.84412796134973</x:v>
      </x:c>
      <x:c r="I33" s="43" t="str">
        <x:v>Siege</x:v>
      </x:c>
      <x:c r="J33" s="43" t="str">
        <x:v>Depth</x:v>
      </x:c>
    </x:row>
    <x:row r="34" ht="18" customHeight="1">
      <x:c r="A34" s="43" t="n">
        <x:v>29</x:v>
      </x:c>
      <x:c r="B34" s="43" t="str">
        <x:v>K176</x:v>
      </x:c>
      <x:c r="C34" s="43" t="str">
        <x:v>♱Seraphim織羽♱</x:v>
      </x:c>
      <x:c r="D34" s="146" t="n">
        <x:v>55.36990211394185</x:v>
      </x:c>
      <x:c r="E34" s="146" t="n">
        <x:v>63.932935392721205</x:v>
      </x:c>
      <x:c r="F34" s="146" t="n">
        <x:v>59.54253731940671</x:v>
      </x:c>
      <x:c r="G34" s="146" t="n">
        <x:v>31.855065269236995</x:v>
      </x:c>
      <x:c r="H34" s="146" t="n">
        <x:v>66.70310424482277</x:v>
      </x:c>
      <x:c r="I34" s="43" t="str">
        <x:v>Siege</x:v>
      </x:c>
      <x:c r="J34" s="43" t="str">
        <x:v>Depth</x:v>
      </x:c>
    </x:row>
    <x:row r="35" ht="18" customHeight="1">
      <x:c r="A35" s="43" t="n">
        <x:v>30</x:v>
      </x:c>
      <x:c r="B35" s="43" t="str">
        <x:v>K170</x:v>
      </x:c>
      <x:c r="C35" s="43" t="str">
        <x:v>(AOT)WeleS</x:v>
      </x:c>
      <x:c r="D35" s="146" t="n">
        <x:v>54.75042271157102</x:v>
      </x:c>
      <x:c r="E35" s="146" t="n">
        <x:v>63.41864797276726</x:v>
      </x:c>
      <x:c r="F35" s="146" t="n">
        <x:v>29.37381192544761</x:v>
      </x:c>
      <x:c r="G35" s="146" t="n">
        <x:v>63.381260699462615</x:v>
      </x:c>
      <x:c r="H35" s="146" t="n">
        <x:v>62.68030081756642</x:v>
      </x:c>
      <x:c r="I35" s="43" t="str">
        <x:v>General</x:v>
      </x:c>
      <x:c r="J35" s="43" t="str">
        <x:v>Depth</x:v>
      </x:c>
    </x:row>
    <x:row r="36" ht="18" customHeight="1">
      <x:c r="A36" s="43" t="n">
        <x:v>31</x:v>
      </x:c>
      <x:c r="B36" s="43" t="str">
        <x:v>K170</x:v>
      </x:c>
      <x:c r="C36" s="43" t="str">
        <x:v>(AOT)aweirdmind</x:v>
      </x:c>
      <x:c r="D36" s="146" t="n">
        <x:v>54.077189324317835</x:v>
      </x:c>
      <x:c r="E36" s="146" t="n">
        <x:v>51.48697962675621</x:v>
      </x:c>
      <x:c r="F36" s="146" t="n">
        <x:v>64.30827216183636</x:v>
      </x:c>
      <x:c r="G36" s="146" t="n">
        <x:v>46.58064171099085</x:v>
      </x:c>
      <x:c r="H36" s="146" t="n">
        <x:v>54.54433484042087</x:v>
      </x:c>
      <x:c r="I36" s="43" t="str">
        <x:v>Cavalry</x:v>
      </x:c>
      <x:c r="J36" s="43" t="str">
        <x:v>Depth</x:v>
      </x:c>
    </x:row>
    <x:row r="37" ht="18" customHeight="1">
      <x:c r="A37" s="43" t="n">
        <x:v>32</x:v>
      </x:c>
      <x:c r="B37" s="43" t="str">
        <x:v>K197</x:v>
      </x:c>
      <x:c r="C37" s="43" t="str">
        <x:v>Loong</x:v>
      </x:c>
      <x:c r="D37" s="146" t="n">
        <x:v>52.80868986988936</x:v>
      </x:c>
      <x:c r="E37" s="146" t="n">
        <x:v>77.70364321794014</x:v>
      </x:c>
      <x:c r="F37" s="146" t="n">
        <x:v>32.72750204198792</x:v>
      </x:c>
      <x:c r="G37" s="146" t="n">
        <x:v>69.32879024777691</x:v>
      </x:c>
      <x:c r="H37" s="146" t="n">
        <x:v>19.91761916033056</x:v>
      </x:c>
      <x:c r="I37" s="43" t="str">
        <x:v>General</x:v>
      </x:c>
      <x:c r="J37" s="43" t="str">
        <x:v>Depth</x:v>
      </x:c>
    </x:row>
    <x:row r="38" ht="18" customHeight="1">
      <x:c r="A38" s="43" t="n">
        <x:v>33</x:v>
      </x:c>
      <x:c r="B38" s="43" t="str">
        <x:v>K138</x:v>
      </x:c>
      <x:c r="C38" s="43" t="str">
        <x:v>(RaW)让世界沐浴在血中</x:v>
      </x:c>
      <x:c r="D38" s="146" t="n">
        <x:v>51.306379270432686</x:v>
      </x:c>
      <x:c r="E38" s="146" t="n">
        <x:v>35.63093661039508</x:v>
      </x:c>
      <x:c r="F38" s="146" t="n">
        <x:v>56.552536086699384</x:v>
      </x:c>
      <x:c r="G38" s="146" t="n">
        <x:v>44.56328770416497</x:v>
      </x:c>
      <x:c r="H38" s="146" t="n">
        <x:v>76.69071169799037</x:v>
      </x:c>
      <x:c r="I38" s="43" t="str">
        <x:v>Siege</x:v>
      </x:c>
      <x:c r="J38" s="43" t="str">
        <x:v>Depth</x:v>
      </x:c>
    </x:row>
    <x:row r="39" ht="18" customHeight="1">
      <x:c r="A39" s="43" t="n">
        <x:v>34</x:v>
      </x:c>
      <x:c r="B39" s="43" t="str">
        <x:v>K60</x:v>
      </x:c>
      <x:c r="C39" s="43" t="str">
        <x:v>AAB</x:v>
      </x:c>
      <x:c r="D39" s="146" t="n">
        <x:v>51.119755815029464</x:v>
      </x:c>
      <x:c r="E39" s="146" t="n">
        <x:v>50.43228213239094</x:v>
      </x:c>
      <x:c r="F39" s="146" t="n">
        <x:v>61.07536714629486</x:v>
      </x:c>
      <x:c r="G39" s="146" t="n">
        <x:v>38.888311697450646</x:v>
      </x:c>
      <x:c r="H39" s="146" t="n">
        <x:v>54.99575732187905</x:v>
      </x:c>
      <x:c r="I39" s="43" t="str">
        <x:v>Cavalry</x:v>
      </x:c>
      <x:c r="J39" s="43" t="str">
        <x:v>Depth</x:v>
      </x:c>
    </x:row>
    <x:row r="40" ht="18" customHeight="1">
      <x:c r="A40" s="43" t="n">
        <x:v>35</x:v>
      </x:c>
      <x:c r="B40" s="43" t="str">
        <x:v>K60</x:v>
      </x:c>
      <x:c r="C40" s="43" t="str">
        <x:v>Дерог</x:v>
      </x:c>
      <x:c r="D40" s="146" t="n">
        <x:v>50.25410876641924</x:v>
      </x:c>
      <x:c r="E40" s="146" t="n">
        <x:v>54.272072431068</x:v>
      </x:c>
      <x:c r="F40" s="146" t="n">
        <x:v>46.80920061305943</x:v>
      </x:c>
      <x:c r="G40" s="146" t="n">
        <x:v>37.32894112547113</x:v>
      </x:c>
      <x:c r="H40" s="146" t="n">
        <x:v>64.68975801233104</x:v>
      </x:c>
      <x:c r="I40" s="43" t="str">
        <x:v>Siege</x:v>
      </x:c>
      <x:c r="J40" s="43" t="str">
        <x:v>Depth</x:v>
      </x:c>
    </x:row>
    <x:row r="41" ht="18" customHeight="1">
      <x:c r="A41" s="43" t="n">
        <x:v>36</x:v>
      </x:c>
      <x:c r="B41" s="43" t="str">
        <x:v>K138</x:v>
      </x:c>
      <x:c r="C41" s="43" t="str">
        <x:v>(RaW)ϟCrozyϟ</x:v>
      </x:c>
      <x:c r="D41" s="146" t="n">
        <x:v>50.1418264380782</x:v>
      </x:c>
      <x:c r="E41" s="146" t="n">
        <x:v>51.39551368700122</x:v>
      </x:c>
      <x:c r="F41" s="146" t="n">
        <x:v>44.066078480263414</x:v>
      </x:c>
      <x:c r="G41" s="146" t="n">
        <x:v>53.62040841853494</x:v>
      </x:c>
      <x:c r="H41" s="146" t="n">
        <x:v>51.507753036391215</x:v>
      </x:c>
      <x:c r="I41" s="43" t="str">
        <x:v>Archers</x:v>
      </x:c>
      <x:c r="J41" s="43" t="str">
        <x:v>Depth</x:v>
      </x:c>
    </x:row>
    <x:row r="42" ht="18" customHeight="1">
      <x:c r="A42" s="43" t="n">
        <x:v>37</x:v>
      </x:c>
      <x:c r="B42" s="43" t="str">
        <x:v>K116</x:v>
      </x:c>
      <x:c r="C42" s="43" t="str">
        <x:v>懒洋洋爱看腿</x:v>
      </x:c>
      <x:c r="D42" s="146" t="n">
        <x:v>50.09457153921274</x:v>
      </x:c>
      <x:c r="E42" s="146" t="n">
        <x:v>53.66518564174689</x:v>
      </x:c>
      <x:c r="F42" s="146" t="n">
        <x:v>44.73970372055231</x:v>
      </x:c>
      <x:c r="G42" s="146" t="n">
        <x:v>53.160480478498755</x:v>
      </x:c>
      <x:c r="H42" s="146" t="n">
        <x:v>47.599848984629546</x:v>
      </x:c>
      <x:c r="I42" s="43" t="str">
        <x:v>General</x:v>
      </x:c>
      <x:c r="J42" s="43" t="str">
        <x:v>Depth</x:v>
      </x:c>
    </x:row>
    <x:row r="43" ht="18" customHeight="1">
      <x:c r="A43" s="43" t="n">
        <x:v>38</x:v>
      </x:c>
      <x:c r="B43" s="43" t="str">
        <x:v>K54</x:v>
      </x:c>
      <x:c r="C43" s="43" t="str">
        <x:v>ony</x:v>
      </x:c>
      <x:c r="D43" s="146" t="n">
        <x:v>50.075452994910115</x:v>
      </x:c>
      <x:c r="E43" s="146" t="n">
        <x:v>64.63691472574841</x:v>
      </x:c>
      <x:c r="F43" s="146" t="n">
        <x:v>55.16780935745932</x:v>
      </x:c>
      <x:c r="G43" s="146" t="n">
        <x:v>13.132176858349565</x:v>
      </x:c>
      <x:c r="H43" s="146" t="n">
        <x:v>68.04691011616686</x:v>
      </x:c>
      <x:c r="I43" s="43" t="str">
        <x:v>Siege</x:v>
      </x:c>
      <x:c r="J43" s="43" t="str">
        <x:v>Depth</x:v>
      </x:c>
    </x:row>
    <x:row r="44" ht="18" customHeight="1">
      <x:c r="A44" s="43" t="n">
        <x:v>39</x:v>
      </x:c>
      <x:c r="B44" s="43" t="str">
        <x:v>K138</x:v>
      </x:c>
      <x:c r="C44" s="43" t="str">
        <x:v>(RaW)༺Aryz༻</x:v>
      </x:c>
      <x:c r="D44" s="146" t="n">
        <x:v>49.8796708491429</x:v>
      </x:c>
      <x:c r="E44" s="146" t="n">
        <x:v>37.40136240729026</x:v>
      </x:c>
      <x:c r="F44" s="146" t="n">
        <x:v>55.388317042804175</x:v>
      </x:c>
      <x:c r="G44" s="146" t="n">
        <x:v>49.10728171634052</x:v>
      </x:c>
      <x:c r="H44" s="146" t="n">
        <x:v>62.676812185848235</x:v>
      </x:c>
      <x:c r="I44" s="43" t="str">
        <x:v>Siege</x:v>
      </x:c>
      <x:c r="J44" s="43" t="str">
        <x:v>Depth</x:v>
      </x:c>
    </x:row>
    <x:row r="45" ht="18" customHeight="1">
      <x:c r="A45" s="43" t="n">
        <x:v>40</x:v>
      </x:c>
      <x:c r="B45" s="43" t="str">
        <x:v>K116</x:v>
      </x:c>
      <x:c r="C45" s="43" t="str">
        <x:v>不可理喻</x:v>
      </x:c>
      <x:c r="D45" s="146" t="n">
        <x:v>49.36654716988052</x:v>
      </x:c>
      <x:c r="E45" s="146" t="n">
        <x:v>45.28805983495796</x:v>
      </x:c>
      <x:c r="F45" s="146" t="n">
        <x:v>51.222992370487304</x:v>
      </x:c>
      <x:c r="G45" s="146" t="n">
        <x:v>40.25261679055468</x:v>
      </x:c>
      <x:c r="H45" s="146" t="n">
        <x:v>64.55613464566318</x:v>
      </x:c>
      <x:c r="I45" s="43" t="str">
        <x:v>Siege</x:v>
      </x:c>
      <x:c r="J45" s="43" t="str">
        <x:v>Depth</x:v>
      </x:c>
    </x:row>
    <x:row r="46" ht="18" customHeight="1">
      <x:c r="A46" s="43" t="n">
        <x:v>41</x:v>
      </x:c>
      <x:c r="B46" s="43" t="str">
        <x:v>K60</x:v>
      </x:c>
      <x:c r="C46" s="43" t="str">
        <x:v>邪恶的Xero</x:v>
      </x:c>
      <x:c r="D46" s="146" t="n">
        <x:v>49.085292217314326</x:v>
      </x:c>
      <x:c r="E46" s="146" t="n">
        <x:v>37.02547123793992</x:v>
      </x:c>
      <x:c r="F46" s="146" t="n">
        <x:v>51.04247726133417</x:v>
      </x:c>
      <x:c r="G46" s="146" t="n">
        <x:v>66.35558642702689</x:v>
      </x:c>
      <x:c r="H46" s="146" t="n">
        <x:v>43.14067461921044</x:v>
      </x:c>
      <x:c r="I46" s="43" t="str">
        <x:v>Archers</x:v>
      </x:c>
      <x:c r="J46" s="43" t="str">
        <x:v>Depth</x:v>
      </x:c>
    </x:row>
    <x:row r="47" ht="18" customHeight="1">
      <x:c r="A47" s="43" t="n">
        <x:v>42</x:v>
      </x:c>
      <x:c r="B47" s="43" t="str">
        <x:v>K116</x:v>
      </x:c>
      <x:c r="C47" s="43" t="str">
        <x:v>苦瓜大王</x:v>
      </x:c>
      <x:c r="D47" s="146" t="n">
        <x:v>48.95507557494766</x:v>
      </x:c>
      <x:c r="E47" s="146" t="n">
        <x:v>46.51006568050994</x:v>
      </x:c>
      <x:c r="F47" s="146" t="n">
        <x:v>53.45986033518297</x:v>
      </x:c>
      <x:c r="G47" s="146" t="n">
        <x:v>46.24299450537571</x:v>
      </x:c>
      <x:c r="H47" s="146" t="n">
        <x:v>50.38171080327503</x:v>
      </x:c>
      <x:c r="I47" s="43" t="str">
        <x:v>Cavalry</x:v>
      </x:c>
      <x:c r="J47" s="43" t="str">
        <x:v>Depth</x:v>
      </x:c>
    </x:row>
    <x:row r="48" ht="18" customHeight="1">
      <x:c r="A48" s="43" t="n">
        <x:v>43</x:v>
      </x:c>
      <x:c r="B48" s="43" t="str">
        <x:v>K170</x:v>
      </x:c>
      <x:c r="C48" s="43" t="str">
        <x:v>(AOT)SanSW°</x:v>
      </x:c>
      <x:c r="D48" s="146" t="n">
        <x:v>48.2444663229847</x:v>
      </x:c>
      <x:c r="E48" s="146" t="n">
        <x:v>58.812419429214074</x:v>
      </x:c>
      <x:c r="F48" s="146" t="n">
        <x:v>54.51347127675623</x:v>
      </x:c>
      <x:c r="G48" s="146" t="n">
        <x:v>35.16580574342008</x:v>
      </x:c>
      <x:c r="H48" s="146" t="n">
        <x:v>40.90460619588202</x:v>
      </x:c>
      <x:c r="I48" s="43" t="str">
        <x:v>General</x:v>
      </x:c>
      <x:c r="J48" s="43" t="str">
        <x:v>Depth</x:v>
      </x:c>
    </x:row>
    <x:row r="49" ht="18" customHeight="1">
      <x:c r="A49" s="43" t="n">
        <x:v>44</x:v>
      </x:c>
      <x:c r="B49" s="43" t="str">
        <x:v>K91</x:v>
      </x:c>
      <x:c r="C49" s="43" t="str">
        <x:v>KaladinTheHerald</x:v>
      </x:c>
      <x:c r="D49" s="146" t="n">
        <x:v>47.6848805513122</x:v>
      </x:c>
      <x:c r="E49" s="146" t="n">
        <x:v>52.28266881213053</x:v>
      </x:c>
      <x:c r="F49" s="146" t="n">
        <x:v>70.3590992084569</x:v>
      </x:c>
      <x:c r="G49" s="146" t="n">
        <x:v>32.93348897063866</x:v>
      </x:c>
      <x:c r="H49" s="146" t="n">
        <x:v>30.884664314495716</x:v>
      </x:c>
      <x:c r="I49" s="43" t="str">
        <x:v>Cavalry</x:v>
      </x:c>
      <x:c r="J49" s="43" t="str">
        <x:v>Depth</x:v>
      </x:c>
    </x:row>
    <x:row r="50" ht="18" customHeight="1">
      <x:c r="A50" s="43" t="n">
        <x:v>45</x:v>
      </x:c>
      <x:c r="B50" s="43" t="str">
        <x:v>K170</x:v>
      </x:c>
      <x:c r="C50" s="43" t="str">
        <x:v>(AOT)Themechanic</x:v>
      </x:c>
      <x:c r="D50" s="146" t="n">
        <x:v>47.43006227481062</x:v>
      </x:c>
      <x:c r="E50" s="146" t="n">
        <x:v>31.730246556090073</x:v>
      </x:c>
      <x:c r="F50" s="146" t="n">
        <x:v>41.056754102511924</x:v>
      </x:c>
      <x:c r="G50" s="146" t="n">
        <x:v>70.80235437876577</x:v>
      </x:c>
      <x:c r="H50" s="146" t="n">
        <x:v>49.73105593832089</x:v>
      </x:c>
      <x:c r="I50" s="43" t="str">
        <x:v>Archers</x:v>
      </x:c>
      <x:c r="J50" s="43" t="str">
        <x:v>Depth</x:v>
      </x:c>
    </x:row>
    <x:row r="51" ht="18" customHeight="1">
      <x:c r="A51" s="43" t="n">
        <x:v>46</x:v>
      </x:c>
      <x:c r="B51" s="43" t="str">
        <x:v>K197</x:v>
      </x:c>
      <x:c r="C51" s="43" t="str">
        <x:v>ღbaby买买买ღ</x:v>
      </x:c>
      <x:c r="D51" s="146" t="n">
        <x:v>46.6151581891425</x:v>
      </x:c>
      <x:c r="E51" s="146" t="n">
        <x:v>73.73345353646631</x:v>
      </x:c>
      <x:c r="F51" s="146" t="n">
        <x:v>16.6834516751667</x:v>
      </x:c>
      <x:c r="G51" s="146" t="n">
        <x:v>73.6493068370379</x:v>
      </x:c>
      <x:c r="H51" s="146" t="n">
        <x:v>9.559662500757302</x:v>
      </x:c>
      <x:c r="I51" s="43" t="str">
        <x:v>General</x:v>
      </x:c>
      <x:c r="J51" s="43" t="str">
        <x:v>Depth</x:v>
      </x:c>
    </x:row>
    <x:row r="52" ht="18" customHeight="1">
      <x:c r="A52" s="43" t="n">
        <x:v>47</x:v>
      </x:c>
      <x:c r="B52" s="43" t="str">
        <x:v>K197</x:v>
      </x:c>
      <x:c r="C52" s="43" t="str">
        <x:v>Zakmil23139</x:v>
      </x:c>
      <x:c r="D52" s="146" t="n">
        <x:v>46.2139673208184</x:v>
      </x:c>
      <x:c r="E52" s="146" t="n">
        <x:v>54.589525736286646</x:v>
      </x:c>
      <x:c r="F52" s="146" t="n">
        <x:v>36.67001500573696</x:v>
      </x:c>
      <x:c r="G52" s="146" t="n">
        <x:v>51.69965379005441</x:v>
      </x:c>
      <x:c r="H52" s="146" t="n">
        <x:v>38.72346200492281</x:v>
      </x:c>
      <x:c r="I52" s="43" t="str">
        <x:v>General</x:v>
      </x:c>
      <x:c r="J52" s="43" t="str">
        <x:v>Depth</x:v>
      </x:c>
    </x:row>
    <x:row r="53" ht="18" customHeight="1">
      <x:c r="A53" s="43" t="n">
        <x:v>48</x:v>
      </x:c>
      <x:c r="B53" s="43" t="str">
        <x:v>K170</x:v>
      </x:c>
      <x:c r="C53" s="43" t="str">
        <x:v>(AOT)Panda</x:v>
      </x:c>
      <x:c r="D53" s="146" t="n">
        <x:v>45.8842722011278</x:v>
      </x:c>
      <x:c r="E53" s="146" t="n">
        <x:v>41.90472930515008</x:v>
      </x:c>
      <x:c r="F53" s="146" t="n">
        <x:v>53.58683575590368</x:v>
      </x:c>
      <x:c r="G53" s="146" t="n">
        <x:v>37.121430623257076</x:v>
      </x:c>
      <x:c r="H53" s="146" t="n">
        <x:v>53.17893407396295</x:v>
      </x:c>
      <x:c r="I53" s="43" t="str">
        <x:v>Cavalry</x:v>
      </x:c>
      <x:c r="J53" s="43" t="str">
        <x:v>Depth</x:v>
      </x:c>
    </x:row>
    <x:row r="54" ht="18" customHeight="1">
      <x:c r="A54" s="43" t="n">
        <x:v>49</x:v>
      </x:c>
      <x:c r="B54" s="43" t="str">
        <x:v>K176</x:v>
      </x:c>
      <x:c r="C54" s="43" t="str">
        <x:v>我于杀戮之中绽放</x:v>
      </x:c>
      <x:c r="D54" s="146" t="n">
        <x:v>45.026270983900254</x:v>
      </x:c>
      <x:c r="E54" s="146" t="n">
        <x:v>42.273773407861924</x:v>
      </x:c>
      <x:c r="F54" s="146" t="n">
        <x:v>65.75588767098682</x:v>
      </x:c>
      <x:c r="G54" s="146" t="n">
        <x:v>11.041385525417049</x:v>
      </x:c>
      <x:c r="H54" s="146" t="n">
        <x:v>65.72410331220352</x:v>
      </x:c>
      <x:c r="I54" s="43" t="str">
        <x:v>Cavalry</x:v>
      </x:c>
      <x:c r="J54" s="43" t="str">
        <x:v>Depth</x:v>
      </x:c>
    </x:row>
    <x:row r="55" ht="18" customHeight="1">
      <x:c r="A55" s="43" t="n">
        <x:v>50</x:v>
      </x:c>
      <x:c r="B55" s="43" t="str">
        <x:v>K116</x:v>
      </x:c>
      <x:c r="C55" s="43" t="str">
        <x:v>独守孤城</x:v>
      </x:c>
      <x:c r="D55" s="146" t="n">
        <x:v>44.95725249759674</x:v>
      </x:c>
      <x:c r="E55" s="146" t="n">
        <x:v>36.76737168294421</x:v>
      </x:c>
      <x:c r="F55" s="146" t="n">
        <x:v>43.54029788243181</x:v>
      </x:c>
      <x:c r="G55" s="146" t="n">
        <x:v>47.61614062652807</x:v>
      </x:c>
      <x:c r="H55" s="146" t="n">
        <x:v>55.689656827367514</x:v>
      </x:c>
      <x:c r="I55" s="43" t="str">
        <x:v>Siege</x:v>
      </x:c>
      <x:c r="J55" s="43" t="str">
        <x:v>Depth</x:v>
      </x:c>
    </x:row>
    <x:row r="56" ht="18" customHeight="1">
      <x:c r="A56" s="43" t="n">
        <x:v>51</x:v>
      </x:c>
      <x:c r="B56" s="43" t="str">
        <x:v>K60</x:v>
      </x:c>
      <x:c r="C56" s="43" t="str">
        <x:v>#11 元气满满 (122,000)</x:v>
      </x:c>
      <x:c r="D56" s="146" t="n">
        <x:v>44.7977029277328</x:v>
      </x:c>
      <x:c r="E56" s="146" t="n">
        <x:v>47.790277363989674</x:v>
      </x:c>
      <x:c r="F56" s="146" t="n">
        <x:v>44.87113249769018</x:v>
      </x:c>
      <x:c r="G56" s="146" t="n">
        <x:v>52.885227366831415</x:v>
      </x:c>
      <x:c r="H56" s="146" t="n">
        <x:v>30.107648762027488</x:v>
      </x:c>
      <x:c r="I56" s="43" t="str">
        <x:v>Archers</x:v>
      </x:c>
      <x:c r="J56" s="43" t="str">
        <x:v>Depth</x:v>
      </x:c>
    </x:row>
    <x:row r="57" ht="18" customHeight="1">
      <x:c r="A57" s="43" t="n">
        <x:v>52</x:v>
      </x:c>
      <x:c r="B57" s="43" t="str">
        <x:v>K170</x:v>
      </x:c>
      <x:c r="C57" s="43" t="str">
        <x:v>(AOT)SugarDADDY</x:v>
      </x:c>
      <x:c r="D57" s="146" t="n">
        <x:v>44.49147086264604</x:v>
      </x:c>
      <x:c r="E57" s="146" t="n">
        <x:v>36.50057109876416</x:v>
      </x:c>
      <x:c r="F57" s="146" t="n">
        <x:v>70.77027342331594</x:v>
      </x:c>
      <x:c r="G57" s="146" t="n">
        <x:v>5.60672197015544</x:v>
      </x:c>
      <x:c r="H57" s="146" t="n">
        <x:v>72.23525342324476</x:v>
      </x:c>
      <x:c r="I57" s="43" t="str">
        <x:v>Siege</x:v>
      </x:c>
      <x:c r="J57" s="43" t="str">
        <x:v>Depth</x:v>
      </x:c>
    </x:row>
    <x:row r="58" ht="18" customHeight="1">
      <x:c r="A58" s="43" t="n">
        <x:v>53</x:v>
      </x:c>
      <x:c r="B58" s="43" t="str">
        <x:v>K91</x:v>
      </x:c>
      <x:c r="C58" s="43" t="str">
        <x:v>λTλ⁵⁷βЄЧ</x:v>
      </x:c>
      <x:c r="D58" s="146" t="n">
        <x:v>44.01865903303578</x:v>
      </x:c>
      <x:c r="E58" s="146" t="n">
        <x:v>62.957115352771936</x:v>
      </x:c>
      <x:c r="F58" s="146" t="n">
        <x:v>17.323539718722856</x:v>
      </x:c>
      <x:c r="G58" s="146" t="n">
        <x:v>68.92207153537454</x:v>
      </x:c>
      <x:c r="H58" s="146" t="n">
        <x:v>17.850608068399254</x:v>
      </x:c>
      <x:c r="I58" s="43" t="str">
        <x:v>Archers</x:v>
      </x:c>
      <x:c r="J58" s="43" t="str">
        <x:v>Depth</x:v>
      </x:c>
    </x:row>
    <x:row r="59" ht="18" customHeight="1">
      <x:c r="A59" s="43" t="n">
        <x:v>54</x:v>
      </x:c>
      <x:c r="B59" s="43" t="str">
        <x:v>K60</x:v>
      </x:c>
      <x:c r="C59" s="43" t="str">
        <x:v>kvisteer</x:v>
      </x:c>
      <x:c r="D59" s="146" t="n">
        <x:v>43.93422850921941</x:v>
      </x:c>
      <x:c r="E59" s="146" t="n">
        <x:v>51.29006456832326</x:v>
      </x:c>
      <x:c r="F59" s="146" t="n">
        <x:v>38.69471501082612</x:v>
      </x:c>
      <x:c r="G59" s="146" t="n">
        <x:v>55.49140768551557</x:v>
      </x:c>
      <x:c r="H59" s="146" t="n">
        <x:v>25.00339232318501</x:v>
      </x:c>
      <x:c r="I59" s="43" t="str">
        <x:v>Archers</x:v>
      </x:c>
      <x:c r="J59" s="43" t="str">
        <x:v>Depth</x:v>
      </x:c>
    </x:row>
    <x:row r="60" ht="18" customHeight="1">
      <x:c r="A60" s="43" t="n">
        <x:v>55</x:v>
      </x:c>
      <x:c r="B60" s="43" t="str">
        <x:v>K170</x:v>
      </x:c>
      <x:c r="C60" s="43" t="str">
        <x:v>(AOT)鸣鸣鸣</x:v>
      </x:c>
      <x:c r="D60" s="146" t="n">
        <x:v>43.70971631568308</x:v>
      </x:c>
      <x:c r="E60" s="146" t="n">
        <x:v>45.12603878258789</x:v>
      </x:c>
      <x:c r="F60" s="146" t="n">
        <x:v>37.5667550573146</x:v>
      </x:c>
      <x:c r="G60" s="146" t="n">
        <x:v>49.69274481160735</x:v>
      </x:c>
      <x:c r="H60" s="146" t="n">
        <x:v>41.78514856838112</x:v>
      </x:c>
      <x:c r="I60" s="43" t="str">
        <x:v>Archers</x:v>
      </x:c>
      <x:c r="J60" s="43" t="str">
        <x:v>Depth</x:v>
      </x:c>
    </x:row>
    <x:row r="61" ht="18" customHeight="1">
      <x:c r="A61" s="43" t="n">
        <x:v>56</x:v>
      </x:c>
      <x:c r="B61" s="43" t="str">
        <x:v>K176</x:v>
      </x:c>
      <x:c r="C61" s="43" t="str">
        <x:v>灰色轨迹</x:v>
      </x:c>
      <x:c r="D61" s="146" t="n">
        <x:v>43.67930256767838</x:v>
      </x:c>
      <x:c r="E61" s="146" t="n">
        <x:v>34.23099455716009</x:v>
      </x:c>
      <x:c r="F61" s="146" t="n">
        <x:v>48.012638305584325</x:v>
      </x:c>
      <x:c r="G61" s="146" t="n">
        <x:v>38.87063400693566</x:v>
      </x:c>
      <x:c r="H61" s="146" t="n">
        <x:v>58.44593061200178</x:v>
      </x:c>
      <x:c r="I61" s="43" t="str">
        <x:v>Siege</x:v>
      </x:c>
      <x:c r="J61" s="43" t="str">
        <x:v>Depth</x:v>
      </x:c>
    </x:row>
    <x:row r="62" ht="18" customHeight="1">
      <x:c r="A62" s="43" t="n">
        <x:v>57</x:v>
      </x:c>
      <x:c r="B62" s="43" t="str">
        <x:v>K138</x:v>
      </x:c>
      <x:c r="C62" s="43" t="str">
        <x:v>(RaW)Maddog</x:v>
      </x:c>
      <x:c r="D62" s="146" t="n">
        <x:v>43.31558793100489</x:v>
      </x:c>
      <x:c r="E62" s="146" t="n">
        <x:v>43.38860671855774</x:v>
      </x:c>
      <x:c r="F62" s="146" t="n">
        <x:v>35.45765341072867</x:v>
      </x:c>
      <x:c r="G62" s="146" t="n">
        <x:v>41.83296826753597</x:v>
      </x:c>
      <x:c r="H62" s="146" t="n">
        <x:v>54.88175247935708</x:v>
      </x:c>
      <x:c r="I62" s="43" t="str">
        <x:v>Siege</x:v>
      </x:c>
      <x:c r="J62" s="43" t="str">
        <x:v>Depth</x:v>
      </x:c>
    </x:row>
    <x:row r="63" ht="18" customHeight="1">
      <x:c r="A63" s="43" t="n">
        <x:v>58</x:v>
      </x:c>
      <x:c r="B63" s="43" t="str">
        <x:v>K170</x:v>
      </x:c>
      <x:c r="C63" s="43" t="str">
        <x:v>(AOT)Kelley</x:v>
      </x:c>
      <x:c r="D63" s="146" t="n">
        <x:v>43.12987650905824</x:v>
      </x:c>
      <x:c r="E63" s="146" t="n">
        <x:v>26.787966802473605</x:v>
      </x:c>
      <x:c r="F63" s="146" t="n">
        <x:v>51.40954096592638</x:v>
      </x:c>
      <x:c r="G63" s="146" t="n">
        <x:v>47.09767335189136</x:v>
      </x:c>
      <x:c r="H63" s="146" t="n">
        <x:v>52.333414444308616</x:v>
      </x:c>
      <x:c r="I63" s="43" t="str">
        <x:v>Siege</x:v>
      </x:c>
      <x:c r="J63" s="43" t="str">
        <x:v>Depth</x:v>
      </x:c>
    </x:row>
    <x:row r="64" ht="18" customHeight="1">
      <x:c r="A64" s="43" t="n">
        <x:v>59</x:v>
      </x:c>
      <x:c r="B64" s="43" t="str">
        <x:v>K170</x:v>
      </x:c>
      <x:c r="C64" s="43" t="str">
        <x:v>(AOT)Doctopussy</x:v>
      </x:c>
      <x:c r="D64" s="146" t="n">
        <x:v>42.2900156327845</x:v>
      </x:c>
      <x:c r="E64" s="146" t="n">
        <x:v>37.2602680299153</x:v>
      </x:c>
      <x:c r="F64" s="146" t="n">
        <x:v>38.330128936555916</x:v>
      </x:c>
      <x:c r="G64" s="146" t="n">
        <x:v>52.05540135808298</x:v>
      </x:c>
      <x:c r="H64" s="146" t="n">
        <x:v>42.57776325075096</x:v>
      </x:c>
      <x:c r="I64" s="43" t="str">
        <x:v>Archers</x:v>
      </x:c>
      <x:c r="J64" s="43" t="str">
        <x:v>Depth</x:v>
      </x:c>
    </x:row>
    <x:row r="65" ht="18" customHeight="1">
      <x:c r="A65" s="43" t="n">
        <x:v>60</x:v>
      </x:c>
      <x:c r="B65" s="43" t="str">
        <x:v>K176</x:v>
      </x:c>
      <x:c r="C65" s="43" t="str">
        <x:v>梦山河</x:v>
      </x:c>
      <x:c r="D65" s="146" t="n">
        <x:v>41.59490192895056</x:v>
      </x:c>
      <x:c r="E65" s="146" t="n">
        <x:v>34.078590869610856</x:v>
      </x:c>
      <x:c r="F65" s="146" t="n">
        <x:v>73.55154503726905</x:v>
      </x:c>
      <x:c r="G65" s="146" t="n">
        <x:v>0.7244841655699905</x:v>
      </x:c>
      <x:c r="H65" s="146" t="n">
        <x:v>64.01158683678774</x:v>
      </x:c>
      <x:c r="I65" s="43" t="str">
        <x:v>Cavalry</x:v>
      </x:c>
      <x:c r="J65" s="43" t="str">
        <x:v>Depth</x:v>
      </x:c>
    </x:row>
    <x:row r="66" ht="18" customHeight="1">
      <x:c r="A66" s="43" t="n">
        <x:v>61</x:v>
      </x:c>
      <x:c r="B66" s="43" t="str">
        <x:v>K170</x:v>
      </x:c>
      <x:c r="C66" s="43" t="str">
        <x:v>(AOT)VAB999</x:v>
      </x:c>
      <x:c r="D66" s="146" t="n">
        <x:v>41.512573470257756</x:v>
      </x:c>
      <x:c r="E66" s="146" t="n">
        <x:v>35.53239046440183</x:v>
      </x:c>
      <x:c r="F66" s="146" t="n">
        <x:v>9.264430173313606</x:v>
      </x:c>
      <x:c r="G66" s="146" t="n">
        <x:v>79.76464817315588</x:v>
      </x:c>
      <x:c r="H66" s="146" t="n">
        <x:v>42.977933721599186</x:v>
      </x:c>
      <x:c r="I66" s="43" t="str">
        <x:v>Archers</x:v>
      </x:c>
      <x:c r="J66" s="43" t="str">
        <x:v>Depth</x:v>
      </x:c>
    </x:row>
    <x:row r="67" ht="18" customHeight="1">
      <x:c r="A67" s="43" t="n">
        <x:v>62</x:v>
      </x:c>
      <x:c r="B67" s="43" t="str">
        <x:v>K197</x:v>
      </x:c>
      <x:c r="C67" s="43" t="str">
        <x:v>BocchiT__T</x:v>
      </x:c>
      <x:c r="D67" s="146" t="n">
        <x:v>41.363734688698855</x:v>
      </x:c>
      <x:c r="E67" s="146" t="n">
        <x:v>46.577442007634374</x:v>
      </x:c>
      <x:c r="F67" s="146" t="n">
        <x:v>19.143158527734773</x:v>
      </x:c>
      <x:c r="G67" s="146" t="n">
        <x:v>60.04361194815598</x:v>
      </x:c>
      <x:c r="H67" s="146" t="n">
        <x:v>37.969047337179255</x:v>
      </x:c>
      <x:c r="I67" s="43" t="str">
        <x:v>Archers</x:v>
      </x:c>
      <x:c r="J67" s="43" t="str">
        <x:v>Depth</x:v>
      </x:c>
    </x:row>
    <x:row r="68" ht="18" customHeight="1">
      <x:c r="A68" s="43" t="n">
        <x:v>63</x:v>
      </x:c>
      <x:c r="B68" s="43" t="str">
        <x:v>K60</x:v>
      </x:c>
      <x:c r="C68" s="43" t="str">
        <x:v>雪Snowy</x:v>
      </x:c>
      <x:c r="D68" s="146" t="n">
        <x:v>41.193787077332004</x:v>
      </x:c>
      <x:c r="E68" s="146" t="n">
        <x:v>53.99805430067056</x:v>
      </x:c>
      <x:c r="F68" s="146" t="n">
        <x:v>44.77739360175682</x:v>
      </x:c>
      <x:c r="G68" s="146" t="n">
        <x:v>39.775292320983446</x:v>
      </x:c>
      <x:c r="H68" s="146" t="n">
        <x:v>19.280996532228844</x:v>
      </x:c>
      <x:c r="I68" s="43" t="str">
        <x:v>General</x:v>
      </x:c>
      <x:c r="J68" s="43" t="str">
        <x:v>Depth</x:v>
      </x:c>
    </x:row>
    <x:row r="69" ht="18" customHeight="1">
      <x:c r="A69" s="43" t="n">
        <x:v>64</x:v>
      </x:c>
      <x:c r="B69" s="43" t="str">
        <x:v>K138</x:v>
      </x:c>
      <x:c r="C69" s="43" t="str">
        <x:v>(RaW)YAMI</x:v>
      </x:c>
      <x:c r="D69" s="146" t="n">
        <x:v>40.93357871813271</x:v>
      </x:c>
      <x:c r="E69" s="146" t="n">
        <x:v>46.920265187741315</x:v>
      </x:c>
      <x:c r="F69" s="146" t="n">
        <x:v>49.391092655028984</x:v>
      </x:c>
      <x:c r="G69" s="146" t="n">
        <x:v>5.813707786304848</x:v>
      </x:c>
      <x:c r="H69" s="146" t="n">
        <x:v>65.2814952573843</x:v>
      </x:c>
      <x:c r="I69" s="43" t="str">
        <x:v>Siege</x:v>
      </x:c>
      <x:c r="J69" s="43" t="str">
        <x:v>Depth</x:v>
      </x:c>
    </x:row>
    <x:row r="70" ht="18" customHeight="1">
      <x:c r="A70" s="43" t="n">
        <x:v>65</x:v>
      </x:c>
      <x:c r="B70" s="43" t="str">
        <x:v>K176</x:v>
      </x:c>
      <x:c r="C70" s="43" t="str">
        <x:v>金玉其外败絮其中</x:v>
      </x:c>
      <x:c r="D70" s="146" t="n">
        <x:v>40.29176267710042</x:v>
      </x:c>
      <x:c r="E70" s="146" t="n">
        <x:v>36.03699398195788</x:v>
      </x:c>
      <x:c r="F70" s="146" t="n">
        <x:v>58.46485207330354</x:v>
      </x:c>
      <x:c r="G70" s="146" t="n">
        <x:v>11.169406335246224</x:v>
      </x:c>
      <x:c r="H70" s="146" t="n">
        <x:v>60.3604994018781</x:v>
      </x:c>
      <x:c r="I70" s="43" t="str">
        <x:v>Siege</x:v>
      </x:c>
      <x:c r="J70" s="43" t="str">
        <x:v>Depth</x:v>
      </x:c>
    </x:row>
    <x:row r="71" ht="18" customHeight="1">
      <x:c r="A71" s="43" t="n">
        <x:v>66</x:v>
      </x:c>
      <x:c r="B71" s="43" t="str">
        <x:v>K60</x:v>
      </x:c>
      <x:c r="C71" s="43" t="str">
        <x:v>MoonLight</x:v>
      </x:c>
      <x:c r="D71" s="146" t="n">
        <x:v>39.218503534276174</x:v>
      </x:c>
      <x:c r="E71" s="146" t="n">
        <x:v>45.27038632802002</x:v>
      </x:c>
      <x:c r="F71" s="146" t="n">
        <x:v>40.570419836162586</x:v>
      </x:c>
      <x:c r="G71" s="146" t="n">
        <x:v>46.7438598109033</x:v>
      </x:c>
      <x:c r="H71" s="146" t="n">
        <x:v>19.044088620518497</x:v>
      </x:c>
      <x:c r="I71" s="43" t="str">
        <x:v>Archers</x:v>
      </x:c>
      <x:c r="J71" s="43" t="str">
        <x:v>Depth</x:v>
      </x:c>
    </x:row>
    <x:row r="72" ht="18" customHeight="1">
      <x:c r="A72" s="43" t="n">
        <x:v>67</x:v>
      </x:c>
      <x:c r="B72" s="43" t="str">
        <x:v>K197</x:v>
      </x:c>
      <x:c r="C72" s="43" t="str">
        <x:v>Oiuuuuuuuuuuuuu</x:v>
      </x:c>
      <x:c r="D72" s="146" t="n">
        <x:v>38.926655142430285</x:v>
      </x:c>
      <x:c r="E72" s="146" t="n">
        <x:v>61.22456156659767</x:v>
      </x:c>
      <x:c r="F72" s="146" t="n">
        <x:v>13.350253226162545</x:v>
      </x:c>
      <x:c r="G72" s="146" t="n">
        <x:v>55.295835261479354</x:v>
      </x:c>
      <x:c r="H72" s="146" t="n">
        <x:v>16.98882275270253</x:v>
      </x:c>
      <x:c r="I72" s="43" t="str">
        <x:v>General</x:v>
      </x:c>
      <x:c r="J72" s="43" t="str">
        <x:v>Depth</x:v>
      </x:c>
    </x:row>
    <x:row r="73" ht="18" customHeight="1">
      <x:c r="A73" s="43" t="n">
        <x:v>68</x:v>
      </x:c>
      <x:c r="B73" s="43" t="str">
        <x:v>K176</x:v>
      </x:c>
      <x:c r="C73" s="43" t="str">
        <x:v>「鳥傷」</x:v>
      </x:c>
      <x:c r="D73" s="146" t="n">
        <x:v>38.90202682216152</x:v>
      </x:c>
      <x:c r="E73" s="146" t="n">
        <x:v>34.823461499860905</x:v>
      </x:c>
      <x:c r="F73" s="146" t="n">
        <x:v>38.88943259771357</x:v>
      </x:c>
      <x:c r="G73" s="146" t="n">
        <x:v>26.97555473382728</x:v>
      </x:c>
      <x:c r="H73" s="146" t="n">
        <x:v>59.943707696590145</x:v>
      </x:c>
      <x:c r="I73" s="43" t="str">
        <x:v>Siege</x:v>
      </x:c>
      <x:c r="J73" s="43" t="str">
        <x:v>Depth</x:v>
      </x:c>
    </x:row>
    <x:row r="74" ht="18" customHeight="1">
      <x:c r="A74" s="43" t="n">
        <x:v>69</x:v>
      </x:c>
      <x:c r="B74" s="43" t="str">
        <x:v>K116</x:v>
      </x:c>
      <x:c r="C74" s="43" t="str">
        <x:v>那时像风一样</x:v>
      </x:c>
      <x:c r="D74" s="146" t="n">
        <x:v>38.631273646491486</x:v>
      </x:c>
      <x:c r="E74" s="146" t="n">
        <x:v>28.7844916704836</x:v>
      </x:c>
      <x:c r="F74" s="146" t="n">
        <x:v>55.338682695232336</x:v>
      </x:c>
      <x:c r="G74" s="146" t="n">
        <x:v>22.78904987393477</x:v>
      </x:c>
      <x:c r="H74" s="146" t="n">
        <x:v>52.31996501527314</x:v>
      </x:c>
      <x:c r="I74" s="43" t="str">
        <x:v>Cavalry</x:v>
      </x:c>
      <x:c r="J74" s="43" t="str">
        <x:v>Depth</x:v>
      </x:c>
    </x:row>
    <x:row r="75" ht="18" customHeight="1">
      <x:c r="A75" s="43" t="n">
        <x:v>70</x:v>
      </x:c>
      <x:c r="B75" s="43" t="str">
        <x:v>K170</x:v>
      </x:c>
      <x:c r="C75" s="43" t="str">
        <x:v>(AOT)Fenixx</x:v>
      </x:c>
      <x:c r="D75" s="146" t="n">
        <x:v>38.400431895850524</x:v>
      </x:c>
      <x:c r="E75" s="146" t="n">
        <x:v>27.247224786559634</x:v>
      </x:c>
      <x:c r="F75" s="146" t="n">
        <x:v>37.32221943797264</x:v>
      </x:c>
      <x:c r="G75" s="146" t="n">
        <x:v>43.94039228060714</x:v>
      </x:c>
      <x:c r="H75" s="146" t="n">
        <x:v>49.55305765118844</x:v>
      </x:c>
      <x:c r="I75" s="43" t="str">
        <x:v>Siege</x:v>
      </x:c>
      <x:c r="J75" s="43" t="str">
        <x:v>Depth</x:v>
      </x:c>
    </x:row>
    <x:row r="76" ht="18" customHeight="1">
      <x:c r="A76" s="43" t="n">
        <x:v>71</x:v>
      </x:c>
      <x:c r="B76" s="43" t="str">
        <x:v>K138</x:v>
      </x:c>
      <x:c r="C76" s="43" t="str">
        <x:v>(RaW)©•SGT©•</x:v>
      </x:c>
      <x:c r="D76" s="146" t="n">
        <x:v>38.24021238523045</x:v>
      </x:c>
      <x:c r="E76" s="146" t="n">
        <x:v>31.15763301985516</x:v>
      </x:c>
      <x:c r="F76" s="146" t="n">
        <x:v>37.06896400789919</x:v>
      </x:c>
      <x:c r="G76" s="146" t="n">
        <x:v>65.11796538689873</x:v>
      </x:c>
      <x:c r="H76" s="146" t="n">
        <x:v>16.730950652872085</x:v>
      </x:c>
      <x:c r="I76" s="43" t="str">
        <x:v>Archers</x:v>
      </x:c>
      <x:c r="J76" s="43" t="str">
        <x:v>Depth</x:v>
      </x:c>
    </x:row>
    <x:row r="77" ht="18" customHeight="1">
      <x:c r="A77" s="43" t="n">
        <x:v>72</x:v>
      </x:c>
      <x:c r="B77" s="43" t="str">
        <x:v>K116</x:v>
      </x:c>
      <x:c r="C77" s="43" t="str">
        <x:v>蜜蜜°</x:v>
      </x:c>
      <x:c r="D77" s="146" t="n">
        <x:v>37.93939643874457</x:v>
      </x:c>
      <x:c r="E77" s="146" t="n">
        <x:v>37.92188818641861</x:v>
      </x:c>
      <x:c r="F77" s="146" t="n">
        <x:v>30.236483183782134</x:v>
      </x:c>
      <x:c r="G77" s="146" t="n">
        <x:v>23.707899655101663</x:v>
      </x:c>
      <x:c r="H77" s="146" t="n">
        <x:v>65.38367136549019</x:v>
      </x:c>
      <x:c r="I77" s="43" t="str">
        <x:v>Siege</x:v>
      </x:c>
      <x:c r="J77" s="43" t="str">
        <x:v>Depth</x:v>
      </x:c>
    </x:row>
    <x:row r="78" ht="18" customHeight="1">
      <x:c r="A78" s="43" t="n">
        <x:v>73</x:v>
      </x:c>
      <x:c r="B78" s="43" t="str">
        <x:v>K138</x:v>
      </x:c>
      <x:c r="C78" s="43" t="str">
        <x:v>(RaW)༺惊鸿༻</x:v>
      </x:c>
      <x:c r="D78" s="146" t="n">
        <x:v>37.88880194531949</x:v>
      </x:c>
      <x:c r="E78" s="146" t="n">
        <x:v>42.01163938383482</x:v>
      </x:c>
      <x:c r="F78" s="146" t="n">
        <x:v>28.741293759063733</x:v>
      </x:c>
      <x:c r="G78" s="146" t="n">
        <x:v>57.59785544974359</x:v>
      </x:c>
      <x:c r="H78" s="146" t="n">
        <x:v>18.50261413983606</x:v>
      </x:c>
      <x:c r="I78" s="43" t="str">
        <x:v>Archers</x:v>
      </x:c>
      <x:c r="J78" s="43" t="str">
        <x:v>Depth</x:v>
      </x:c>
    </x:row>
    <x:row r="79" ht="18" customHeight="1">
      <x:c r="A79" s="43" t="n">
        <x:v>74</x:v>
      </x:c>
      <x:c r="B79" s="43" t="str">
        <x:v>K170</x:v>
      </x:c>
      <x:c r="C79" s="43" t="str">
        <x:v>(AOT)MONKEY</x:v>
      </x:c>
      <x:c r="D79" s="146" t="n">
        <x:v>37.85431675851686</x:v>
      </x:c>
      <x:c r="E79" s="146" t="n">
        <x:v>42.984931393739885</x:v>
      </x:c>
      <x:c r="F79" s="146" t="n">
        <x:v>27.601701461075315</x:v>
      </x:c>
      <x:c r="G79" s="146" t="n">
        <x:v>42.256163694491256</x:v>
      </x:c>
      <x:c r="H79" s="146" t="n">
        <x:v>37.47185525751625</x:v>
      </x:c>
      <x:c r="I79" s="43" t="str">
        <x:v>General</x:v>
      </x:c>
      <x:c r="J79" s="43" t="str">
        <x:v>Depth</x:v>
      </x:c>
    </x:row>
    <x:row r="80" ht="18" customHeight="1">
      <x:c r="A80" s="43" t="n">
        <x:v>75</x:v>
      </x:c>
      <x:c r="B80" s="43" t="str">
        <x:v>K60</x:v>
      </x:c>
      <x:c r="C80" s="43" t="str">
        <x:v>Legendⁱᵃᵐ</x:v>
      </x:c>
      <x:c r="D80" s="146" t="n">
        <x:v>37.40392974134681</x:v>
      </x:c>
      <x:c r="E80" s="146" t="n">
        <x:v>39.41896363877765</x:v>
      </x:c>
      <x:c r="F80" s="146" t="n">
        <x:v>48.97974288564643</x:v>
      </x:c>
      <x:c r="G80" s="146" t="n">
        <x:v>33.42258721059474</x:v>
      </x:c>
      <x:c r="H80" s="146" t="n">
        <x:v>24.8882906282661</x:v>
      </x:c>
      <x:c r="I80" s="43" t="str">
        <x:v>Cavalry</x:v>
      </x:c>
      <x:c r="J80" s="43" t="str">
        <x:v>Depth</x:v>
      </x:c>
    </x:row>
    <x:row r="81" ht="18" customHeight="1">
      <x:c r="A81" s="43" t="n">
        <x:v>76</x:v>
      </x:c>
      <x:c r="B81" s="43" t="str">
        <x:v>K91</x:v>
      </x:c>
      <x:c r="C81" s="43" t="str">
        <x:v>TÜRK 81</x:v>
      </x:c>
      <x:c r="D81" s="146" t="n">
        <x:v>36.94023497402641</x:v>
      </x:c>
      <x:c r="E81" s="146" t="n">
        <x:v>53.02030974641414</x:v>
      </x:c>
      <x:c r="F81" s="146" t="n">
        <x:v>17.318346306937066</x:v>
      </x:c>
      <x:c r="G81" s="146" t="n">
        <x:v>59.95573577053546</x:v>
      </x:c>
      <x:c r="H81" s="146" t="n">
        <x:v>8.57810765367021</x:v>
      </x:c>
      <x:c r="I81" s="43" t="str">
        <x:v>Archers</x:v>
      </x:c>
      <x:c r="J81" s="43" t="str">
        <x:v>Depth</x:v>
      </x:c>
    </x:row>
    <x:row r="82" ht="18" customHeight="1">
      <x:c r="A82" s="43" t="n">
        <x:v>77</x:v>
      </x:c>
      <x:c r="B82" s="43" t="str">
        <x:v>K176</x:v>
      </x:c>
      <x:c r="C82" s="43" t="str">
        <x:v>三月的心思你别猜</x:v>
      </x:c>
      <x:c r="D82" s="146" t="n">
        <x:v>36.68490270262463</x:v>
      </x:c>
      <x:c r="E82" s="146" t="n">
        <x:v>29.63205990861955</x:v>
      </x:c>
      <x:c r="F82" s="146" t="n">
        <x:v>58.41552814302367</x:v>
      </x:c>
      <x:c r="G82" s="146" t="n">
        <x:v>2.5708635980033723</x:v>
      </x:c>
      <x:c r="H82" s="146" t="n">
        <x:v>62.743433973910044</x:v>
      </x:c>
      <x:c r="I82" s="43" t="str">
        <x:v>Siege</x:v>
      </x:c>
      <x:c r="J82" s="43" t="str">
        <x:v>Depth</x:v>
      </x:c>
    </x:row>
    <x:row r="83" ht="18" customHeight="1">
      <x:c r="A83" s="43" t="n">
        <x:v>78</x:v>
      </x:c>
      <x:c r="B83" s="43" t="str">
        <x:v>K60</x:v>
      </x:c>
      <x:c r="C83" s="43" t="str">
        <x:v>ΨRØÇKYΨ</x:v>
      </x:c>
      <x:c r="D83" s="146" t="n">
        <x:v>36.05610124717816</x:v>
      </x:c>
      <x:c r="E83" s="146" t="n">
        <x:v>33.516311688388846</x:v>
      </x:c>
      <x:c r="F83" s="146" t="n">
        <x:v>55.54359294267993</x:v>
      </x:c>
      <x:c r="G83" s="146" t="n">
        <x:v>26.388774348877504</x:v>
      </x:c>
      <x:c r="H83" s="146" t="n">
        <x:v>27.590579588860734</x:v>
      </x:c>
      <x:c r="I83" s="43" t="str">
        <x:v>Cavalry</x:v>
      </x:c>
      <x:c r="J83" s="43" t="str">
        <x:v>Depth</x:v>
      </x:c>
    </x:row>
    <x:row r="84" ht="18" customHeight="1">
      <x:c r="A84" s="43" t="n">
        <x:v>79</x:v>
      </x:c>
      <x:c r="B84" s="43" t="str">
        <x:v>K54</x:v>
      </x:c>
      <x:c r="C84" s="43" t="str">
        <x:v>纵横,,,离火</x:v>
      </x:c>
      <x:c r="D84" s="146" t="n">
        <x:v>35.93282416692956</x:v>
      </x:c>
      <x:c r="E84" s="146" t="n">
        <x:v>36.841108525631356</x:v>
      </x:c>
      <x:c r="F84" s="146" t="n">
        <x:v>29.7698449491938</x:v>
      </x:c>
      <x:c r="G84" s="146" t="n">
        <x:v>21.850312049056964</x:v>
      </x:c>
      <x:c r="H84" s="146" t="n">
        <x:v>59.87726179838729</x:v>
      </x:c>
      <x:c r="I84" s="43" t="str">
        <x:v>Siege</x:v>
      </x:c>
      <x:c r="J84" s="43" t="str">
        <x:v>Depth</x:v>
      </x:c>
    </x:row>
    <x:row r="85" ht="18" customHeight="1">
      <x:c r="A85" s="43" t="n">
        <x:v>80</x:v>
      </x:c>
      <x:c r="B85" s="43" t="str">
        <x:v>K197</x:v>
      </x:c>
      <x:c r="C85" s="43" t="str">
        <x:v>ღ买买买babyღ</x:v>
      </x:c>
      <x:c r="D85" s="146" t="n">
        <x:v>35.64043301073459</x:v>
      </x:c>
      <x:c r="E85" s="146" t="n">
        <x:v>51.554714010216486</x:v>
      </x:c>
      <x:c r="F85" s="146" t="n">
        <x:v>21.444353597545195</x:v>
      </x:c>
      <x:c r="G85" s="146" t="n">
        <x:v>52.10931990808756</x:v>
      </x:c>
      <x:c r="H85" s="146" t="n">
        <x:v>8.928002156307283</x:v>
      </x:c>
      <x:c r="I85" s="43" t="str">
        <x:v>Archers</x:v>
      </x:c>
      <x:c r="J85" s="43" t="str">
        <x:v>Depth</x:v>
      </x:c>
    </x:row>
    <x:row r="86" ht="18" customHeight="1">
      <x:c r="A86" s="43" t="n">
        <x:v>81</x:v>
      </x:c>
      <x:c r="B86" s="43" t="str">
        <x:v>K116</x:v>
      </x:c>
      <x:c r="C86" s="43" t="str">
        <x:v>山君</x:v>
      </x:c>
      <x:c r="D86" s="146" t="n">
        <x:v>34.2788866243418</x:v>
      </x:c>
      <x:c r="E86" s="146" t="n">
        <x:v>23.150456635982728</x:v>
      </x:c>
      <x:c r="F86" s="146" t="n">
        <x:v>51.0320844381033</x:v>
      </x:c>
      <x:c r="G86" s="146" t="n">
        <x:v>22.02185554412715</x:v>
      </x:c>
      <x:c r="H86" s="146" t="n">
        <x:v>45.351323189946854</x:v>
      </x:c>
      <x:c r="I86" s="43" t="str">
        <x:v>Cavalry</x:v>
      </x:c>
      <x:c r="J86" s="43" t="str">
        <x:v>Depth</x:v>
      </x:c>
    </x:row>
    <x:row r="87" ht="18" customHeight="1">
      <x:c r="A87" s="43" t="n">
        <x:v>82</x:v>
      </x:c>
      <x:c r="B87" s="43" t="str">
        <x:v>K60</x:v>
      </x:c>
      <x:c r="C87" s="43" t="str">
        <x:v>Crixus</x:v>
      </x:c>
      <x:c r="D87" s="146" t="n">
        <x:v>33.86175367215779</x:v>
      </x:c>
      <x:c r="E87" s="146" t="n">
        <x:v>39.25190628073969</x:v>
      </x:c>
      <x:c r="F87" s="146" t="n">
        <x:v>39.81466063152947</x:v>
      </x:c>
      <x:c r="G87" s="146" t="n">
        <x:v>37.28955624001807</x:v>
      </x:c>
      <x:c r="H87" s="146" t="n">
        <x:v>14.05063785024498</x:v>
      </x:c>
      <x:c r="I87" s="43" t="str">
        <x:v>Cavalry</x:v>
      </x:c>
      <x:c r="J87" s="43" t="str">
        <x:v>Depth</x:v>
      </x:c>
    </x:row>
    <x:row r="88" ht="18" customHeight="1">
      <x:c r="A88" s="43" t="n">
        <x:v>83</x:v>
      </x:c>
      <x:c r="B88" s="43" t="str">
        <x:v>K116</x:v>
      </x:c>
      <x:c r="C88" s="43" t="str">
        <x:v>红烧狮子头</x:v>
      </x:c>
      <x:c r="D88" s="146" t="n">
        <x:v>33.353894415318464</x:v>
      </x:c>
      <x:c r="E88" s="146" t="n">
        <x:v>28.312672481916984</x:v>
      </x:c>
      <x:c r="F88" s="146" t="n">
        <x:v>42.45323912395742</x:v>
      </x:c>
      <x:c r="G88" s="146" t="n">
        <x:v>19.528584224226837</x:v>
      </x:c>
      <x:c r="H88" s="146" t="n">
        <x:v>46.82318416848655</x:v>
      </x:c>
      <x:c r="I88" s="43" t="str">
        <x:v>Siege</x:v>
      </x:c>
      <x:c r="J88" s="43" t="str">
        <x:v>Depth</x:v>
      </x:c>
    </x:row>
    <x:row r="89" ht="18" customHeight="1">
      <x:c r="A89" s="43" t="n">
        <x:v>84</x:v>
      </x:c>
      <x:c r="B89" s="43" t="str">
        <x:v>K91</x:v>
      </x:c>
      <x:c r="C89" s="43" t="str">
        <x:v>Nixxx</x:v>
      </x:c>
      <x:c r="D89" s="146" t="n">
        <x:v>33.28639470193158</x:v>
      </x:c>
      <x:c r="E89" s="146" t="n">
        <x:v>36.67357785824379</x:v>
      </x:c>
      <x:c r="F89" s="146" t="n">
        <x:v>3.7486506459248856</x:v>
      </x:c>
      <x:c r="G89" s="146" t="n">
        <x:v>76.75248265095786</x:v>
      </x:c>
      <x:c r="H89" s="146" t="n">
        <x:v>10.795190101188773</x:v>
      </x:c>
      <x:c r="I89" s="43" t="str">
        <x:v>Archers</x:v>
      </x:c>
      <x:c r="J89" s="43" t="str">
        <x:v>Depth</x:v>
      </x:c>
    </x:row>
    <x:row r="90" ht="18" customHeight="1">
      <x:c r="A90" s="43" t="n">
        <x:v>85</x:v>
      </x:c>
      <x:c r="B90" s="43" t="str">
        <x:v>K138</x:v>
      </x:c>
      <x:c r="C90" s="43" t="str">
        <x:v>(RaW)Baqi</x:v>
      </x:c>
      <x:c r="D90" s="146" t="n">
        <x:v>33.15188904345831</x:v>
      </x:c>
      <x:c r="E90" s="146" t="n">
        <x:v>33.0069983386623</x:v>
      </x:c>
      <x:c r="F90" s="146" t="n">
        <x:v>22.19399893624019</x:v>
      </x:c>
      <x:c r="G90" s="146" t="n">
        <x:v>38.277327496304686</x:v>
      </x:c>
      <x:c r="H90" s="146" t="n">
        <x:v>40.65978966861703</x:v>
      </x:c>
      <x:c r="I90" s="43" t="str">
        <x:v>Siege</x:v>
      </x:c>
      <x:c r="J90" s="43" t="str">
        <x:v>Depth</x:v>
      </x:c>
    </x:row>
    <x:row r="91" ht="18" customHeight="1">
      <x:c r="A91" s="43" t="n">
        <x:v>86</x:v>
      </x:c>
      <x:c r="B91" s="43" t="str">
        <x:v>K138</x:v>
      </x:c>
      <x:c r="C91" s="43" t="str">
        <x:v>(RaW)MARYEL</x:v>
      </x:c>
      <x:c r="D91" s="146" t="n">
        <x:v>31.980691980762884</x:v>
      </x:c>
      <x:c r="E91" s="146" t="n">
        <x:v>36.51703698177596</x:v>
      </x:c>
      <x:c r="F91" s="146" t="n">
        <x:v>17.51407900572987</x:v>
      </x:c>
      <x:c r="G91" s="146" t="n">
        <x:v>33.396482389128835</x:v>
      </x:c>
      <x:c r="H91" s="146" t="n">
        <x:v>41.4897026875771</x:v>
      </x:c>
      <x:c r="I91" s="43" t="str">
        <x:v>Siege</x:v>
      </x:c>
      <x:c r="J91" s="43" t="str">
        <x:v>Depth</x:v>
      </x:c>
    </x:row>
    <x:row r="92" ht="18" customHeight="1">
      <x:c r="A92" s="43" t="n">
        <x:v>87</x:v>
      </x:c>
      <x:c r="B92" s="43" t="str">
        <x:v>K91</x:v>
      </x:c>
      <x:c r="C92" s="43" t="str">
        <x:v>Milhaus</x:v>
      </x:c>
      <x:c r="D92" s="146" t="n">
        <x:v>31.94937081731657</x:v>
      </x:c>
      <x:c r="E92" s="146" t="n">
        <x:v>37.1787596162801</x:v>
      </x:c>
      <x:c r="F92" s="146" t="n">
        <x:v>4.629008883258851</x:v>
      </x:c>
      <x:c r="G92" s="146" t="n">
        <x:v>61.720798056134434</x:v>
      </x:c>
      <x:c r="H92" s="146" t="n">
        <x:v>21.041455987921097</x:v>
      </x:c>
      <x:c r="I92" s="43" t="str">
        <x:v>Archers</x:v>
      </x:c>
      <x:c r="J92" s="43" t="str">
        <x:v>Depth</x:v>
      </x:c>
    </x:row>
    <x:row r="93" ht="18" customHeight="1">
      <x:c r="A93" s="43" t="n">
        <x:v>88</x:v>
      </x:c>
      <x:c r="B93" s="43" t="str">
        <x:v>K91</x:v>
      </x:c>
      <x:c r="C93" s="43" t="str">
        <x:v>JustBlaze</x:v>
      </x:c>
      <x:c r="D93" s="146" t="n">
        <x:v>31.6601723230136</x:v>
      </x:c>
      <x:c r="E93" s="146" t="n">
        <x:v>28.967416438683436</x:v>
      </x:c>
      <x:c r="F93" s="146" t="n">
        <x:v>32.185477682836776</x:v>
      </x:c>
      <x:c r="G93" s="146" t="n">
        <x:v>42.33172278940705</x:v>
      </x:c>
      <x:c r="H93" s="146" t="n">
        <x:v>21.703236366738068</x:v>
      </x:c>
      <x:c r="I93" s="43" t="str">
        <x:v>Archers</x:v>
      </x:c>
      <x:c r="J93" s="43" t="str">
        <x:v>Depth</x:v>
      </x:c>
    </x:row>
    <x:row r="94" ht="18" customHeight="1">
      <x:c r="A94" s="43" t="n">
        <x:v>89</x:v>
      </x:c>
      <x:c r="B94" s="43" t="str">
        <x:v>K60</x:v>
      </x:c>
      <x:c r="C94" s="43" t="str">
        <x:v>陰影Sam</x:v>
      </x:c>
      <x:c r="D94" s="146" t="n">
        <x:v>31.269901716916266</x:v>
      </x:c>
      <x:c r="E94" s="146" t="n">
        <x:v>28.182911842432468</x:v>
      </x:c>
      <x:c r="F94" s="146" t="n">
        <x:v>32.86711869171926</x:v>
      </x:c>
      <x:c r="G94" s="146" t="n">
        <x:v>46.94250672709151</x:v>
      </x:c>
      <x:c r="H94" s="146" t="n">
        <x:v>14.313109047419164</x:v>
      </x:c>
      <x:c r="I94" s="43" t="str">
        <x:v>Archers</x:v>
      </x:c>
      <x:c r="J94" s="43" t="str">
        <x:v>Depth</x:v>
      </x:c>
    </x:row>
    <x:row r="95" ht="18" customHeight="1">
      <x:c r="A95" s="43" t="n">
        <x:v>90</x:v>
      </x:c>
      <x:c r="B95" s="43" t="str">
        <x:v>K138</x:v>
      </x:c>
      <x:c r="C95" s="43" t="str">
        <x:v>(RaW)Des</x:v>
      </x:c>
      <x:c r="D95" s="146" t="n">
        <x:v>30.822453542201238</x:v>
      </x:c>
      <x:c r="E95" s="146" t="n">
        <x:v>32.35059428150201</x:v>
      </x:c>
      <x:c r="F95" s="146" t="n">
        <x:v>20.41011036664375</x:v>
      </x:c>
      <x:c r="G95" s="146" t="n">
        <x:v>46.123193883422815</x:v>
      </x:c>
      <x:c r="H95" s="146" t="n">
        <x:v>22.419745976169956</x:v>
      </x:c>
      <x:c r="I95" s="43" t="str">
        <x:v>Archers</x:v>
      </x:c>
      <x:c r="J95" s="43" t="str">
        <x:v>Depth</x:v>
      </x:c>
    </x:row>
    <x:row r="96" ht="18" customHeight="1">
      <x:c r="A96" s="43" t="n">
        <x:v>91</x:v>
      </x:c>
      <x:c r="B96" s="43" t="str">
        <x:v>K176</x:v>
      </x:c>
      <x:c r="C96" s="43" t="str">
        <x:v>岑胖子</x:v>
      </x:c>
      <x:c r="D96" s="146" t="n">
        <x:v>29.880194910807163</x:v>
      </x:c>
      <x:c r="E96" s="146" t="n">
        <x:v>16.79427210765362</x:v>
      </x:c>
      <x:c r="F96" s="146" t="n">
        <x:v>28.74829449539473</x:v>
      </x:c>
      <x:c r="G96" s="146" t="n">
        <x:v>37.74461758733065</x:v>
      </x:c>
      <x:c r="H96" s="146" t="n">
        <x:v>41.09342628914866</x:v>
      </x:c>
      <x:c r="I96" s="43" t="str">
        <x:v>Siege</x:v>
      </x:c>
      <x:c r="J96" s="43" t="str">
        <x:v>Depth</x:v>
      </x:c>
    </x:row>
    <x:row r="97" ht="18" customHeight="1">
      <x:c r="A97" s="43" t="n">
        <x:v>92</x:v>
      </x:c>
      <x:c r="B97" s="43" t="str">
        <x:v>K176</x:v>
      </x:c>
      <x:c r="C97" s="43" t="str">
        <x:v>Evildagger</x:v>
      </x:c>
      <x:c r="D97" s="146" t="n">
        <x:v>29.834345828426628</x:v>
      </x:c>
      <x:c r="E97" s="146" t="n">
        <x:v>20.912867490403663</x:v>
      </x:c>
      <x:c r="F97" s="146" t="n">
        <x:v>39.982772601594775</x:v>
      </x:c>
      <x:c r="G97" s="146" t="n">
        <x:v>8.892863557235309</x:v>
      </x:c>
      <x:c r="H97" s="146" t="n">
        <x:v>56.70788270799004</x:v>
      </x:c>
      <x:c r="I97" s="43" t="str">
        <x:v>Siege</x:v>
      </x:c>
      <x:c r="J97" s="43" t="str">
        <x:v>Depth</x:v>
      </x:c>
    </x:row>
    <x:row r="98" ht="18" customHeight="1">
      <x:c r="A98" s="43" t="n">
        <x:v>93</x:v>
      </x:c>
      <x:c r="B98" s="43" t="str">
        <x:v>K176</x:v>
      </x:c>
      <x:c r="C98" s="43" t="str">
        <x:v>璀璨星芒</x:v>
      </x:c>
      <x:c r="D98" s="146" t="n">
        <x:v>29.67050611165907</x:v>
      </x:c>
      <x:c r="E98" s="146" t="n">
        <x:v>29.074013086662582</x:v>
      </x:c>
      <x:c r="F98" s="146" t="n">
        <x:v>27.84454716133579</x:v>
      </x:c>
      <x:c r="G98" s="146" t="n">
        <x:v>25.838378621492165</x:v>
      </x:c>
      <x:c r="H98" s="146" t="n">
        <x:v>37.637853699766524</x:v>
      </x:c>
      <x:c r="I98" s="43" t="str">
        <x:v>Siege</x:v>
      </x:c>
      <x:c r="J98" s="43" t="str">
        <x:v>Depth</x:v>
      </x:c>
    </x:row>
    <x:row r="99" ht="18" customHeight="1">
      <x:c r="A99" s="43" t="n">
        <x:v>94</x:v>
      </x:c>
      <x:c r="B99" s="43" t="str">
        <x:v>K116</x:v>
      </x:c>
      <x:c r="C99" s="43" t="str">
        <x:v>开始摆烂</x:v>
      </x:c>
      <x:c r="D99" s="146" t="n">
        <x:v>28.96402014566906</x:v>
      </x:c>
      <x:c r="E99" s="146" t="n">
        <x:v>16.490280646624214</x:v>
      </x:c>
      <x:c r="F99" s="146" t="n">
        <x:v>52.36245928908178</x:v>
      </x:c>
      <x:c r="G99" s="146" t="n">
        <x:v>16.979281154731527</x:v>
      </x:c>
      <x:c r="H99" s="146" t="n">
        <x:v>33.40750420364236</x:v>
      </x:c>
      <x:c r="I99" s="43" t="str">
        <x:v>Cavalry</x:v>
      </x:c>
      <x:c r="J99" s="43" t="str">
        <x:v>Depth</x:v>
      </x:c>
    </x:row>
    <x:row r="100" ht="18" customHeight="1">
      <x:c r="A100" s="43" t="n">
        <x:v>95</x:v>
      </x:c>
      <x:c r="B100" s="43" t="str">
        <x:v>K170</x:v>
      </x:c>
      <x:c r="C100" s="43" t="str">
        <x:v>(AOT)D®a©o</x:v>
      </x:c>
      <x:c r="D100" s="146" t="n">
        <x:v>28.8295160526318</x:v>
      </x:c>
      <x:c r="E100" s="146" t="n">
        <x:v>21.98429481802244</x:v>
      </x:c>
      <x:c r="F100" s="146" t="n">
        <x:v>27.801386788629834</x:v>
      </x:c>
      <x:c r="G100" s="146" t="n">
        <x:v>36.5726534992795</x:v>
      </x:c>
      <x:c r="H100" s="146" t="n">
        <x:v>30.703587676238676</x:v>
      </x:c>
      <x:c r="I100" s="43" t="str">
        <x:v>Archers</x:v>
      </x:c>
      <x:c r="J100" s="43" t="str">
        <x:v>Depth</x:v>
      </x:c>
    </x:row>
    <x:row r="101" ht="18" customHeight="1">
      <x:c r="A101" s="43" t="n">
        <x:v>96</x:v>
      </x:c>
      <x:c r="B101" s="43" t="str">
        <x:v>K138</x:v>
      </x:c>
      <x:c r="C101" s="43" t="str">
        <x:v>(RaW)BEYKOZLU</x:v>
      </x:c>
      <x:c r="D101" s="146" t="n">
        <x:v>28.26295468831115</x:v>
      </x:c>
      <x:c r="E101" s="146" t="n">
        <x:v>16.275971368619473</x:v>
      </x:c>
      <x:c r="F101" s="146" t="n">
        <x:v>42.37423322564135</x:v>
      </x:c>
      <x:c r="G101" s="146" t="n">
        <x:v>20.075717196423717</x:v>
      </x:c>
      <x:c r="H101" s="146" t="n">
        <x:v>38.83837836104521</x:v>
      </x:c>
      <x:c r="I101" s="43" t="str">
        <x:v>Cavalry</x:v>
      </x:c>
      <x:c r="J101" s="43" t="str">
        <x:v>Depth</x:v>
      </x:c>
    </x:row>
    <x:row r="102" ht="18" customHeight="1">
      <x:c r="A102" s="43" t="n">
        <x:v>97</x:v>
      </x:c>
      <x:c r="B102" s="43" t="str">
        <x:v>K60</x:v>
      </x:c>
      <x:c r="C102" s="43" t="str">
        <x:v>KingSkorpioN</x:v>
      </x:c>
      <x:c r="D102" s="146" t="n">
        <x:v>28.2208142139371</x:v>
      </x:c>
      <x:c r="E102" s="146" t="n">
        <x:v>37.59806730995597</x:v>
      </x:c>
      <x:c r="F102" s="146" t="n">
        <x:v>18.39190420015884</x:v>
      </x:c>
      <x:c r="G102" s="146" t="n">
        <x:v>38.05640002516522</x:v>
      </x:c>
      <x:c r="H102" s="146" t="n">
        <x:v>14.14658982309648</x:v>
      </x:c>
      <x:c r="I102" s="43" t="str">
        <x:v>Archers</x:v>
      </x:c>
      <x:c r="J102" s="43" t="str">
        <x:v>Depth</x:v>
      </x:c>
    </x:row>
    <x:row r="103" ht="18" customHeight="1">
      <x:c r="A103" s="43" t="n">
        <x:v>98</x:v>
      </x:c>
      <x:c r="B103" s="43" t="str">
        <x:v>K60</x:v>
      </x:c>
      <x:c r="C103" s="43" t="str">
        <x:v>Ёжик</x:v>
      </x:c>
      <x:c r="D103" s="146" t="n">
        <x:v>27.86812671923257</x:v>
      </x:c>
      <x:c r="E103" s="146" t="n">
        <x:v>32.66610448283268</x:v>
      </x:c>
      <x:c r="F103" s="146" t="n">
        <x:v>32.76086613011106</x:v>
      </x:c>
      <x:c r="G103" s="146" t="n">
        <x:v>18.48524291223256</x:v>
      </x:c>
      <x:c r="H103" s="146" t="n">
        <x:v>26.283840568984285</x:v>
      </x:c>
      <x:c r="I103" s="43" t="str">
        <x:v>Cavalry</x:v>
      </x:c>
      <x:c r="J103" s="43" t="str">
        <x:v>Depth</x:v>
      </x:c>
    </x:row>
    <x:row r="104" ht="18" customHeight="1">
      <x:c r="A104" s="43" t="n">
        <x:v>99</x:v>
      </x:c>
      <x:c r="B104" s="43" t="str">
        <x:v>K60</x:v>
      </x:c>
      <x:c r="C104" s="43" t="str">
        <x:v>Λžtěč (Aztec)</x:v>
      </x:c>
      <x:c r="D104" s="146" t="n">
        <x:v>27.265513102027388</x:v>
      </x:c>
      <x:c r="E104" s="146" t="n">
        <x:v>38.200657221017394</x:v>
      </x:c>
      <x:c r="F104" s="146" t="n">
        <x:v>24.83582913232068</x:v>
      </x:c>
      <x:c r="G104" s="146" t="n">
        <x:v>29.186943211788964</x:v>
      </x:c>
      <x:c r="H104" s="146" t="n">
        <x:v>11.498114248473799</x:v>
      </x:c>
      <x:c r="I104" s="43" t="str">
        <x:v>General</x:v>
      </x:c>
      <x:c r="J104" s="43" t="str">
        <x:v>Depth</x:v>
      </x:c>
    </x:row>
    <x:row r="105" ht="18" customHeight="1">
      <x:c r="A105" s="43" t="n">
        <x:v>100</x:v>
      </x:c>
      <x:c r="B105" s="43" t="str">
        <x:v>K60</x:v>
      </x:c>
      <x:c r="C105" s="43" t="str">
        <x:v>Jepp</x:v>
      </x:c>
      <x:c r="D105" s="146" t="n">
        <x:v>27.06853831031173</x:v>
      </x:c>
      <x:c r="E105" s="146" t="n">
        <x:v>19.067947318279238</x:v>
      </x:c>
      <x:c r="F105" s="146" t="n">
        <x:v>31.549537397305855</x:v>
      </x:c>
      <x:c r="G105" s="146" t="n">
        <x:v>43.22044229600601</x:v>
      </x:c>
      <x:c r="H105" s="146" t="n">
        <x:v>13.278295957499957</x:v>
      </x:c>
      <x:c r="I105" s="43" t="str">
        <x:v>Archers</x:v>
      </x:c>
      <x:c r="J105" s="43" t="str">
        <x:v>Depth</x:v>
      </x:c>
    </x:row>
    <x:row r="106" ht="18" customHeight="1">
      <x:c r="A106" s="43" t="n">
        <x:v>101</x:v>
      </x:c>
      <x:c r="B106" s="43" t="str">
        <x:v>K197</x:v>
      </x:c>
      <x:c r="C106" s="43" t="str">
        <x:v>々нυηтєя々</x:v>
      </x:c>
      <x:c r="D106" s="146" t="n">
        <x:v>26.96737621422173</x:v>
      </x:c>
      <x:c r="E106" s="146" t="n">
        <x:v>33.84136409321921</x:v>
      </x:c>
      <x:c r="F106" s="146" t="n">
        <x:v>8.736763645998172</x:v>
      </x:c>
      <x:c r="G106" s="146" t="n">
        <x:v>52.648130140372764</x:v>
      </x:c>
      <x:c r="H106" s="146" t="n">
        <x:v>7.343717698316139</x:v>
      </x:c>
      <x:c r="I106" s="43" t="str">
        <x:v>Archers</x:v>
      </x:c>
      <x:c r="J106" s="43" t="str">
        <x:v>Depth</x:v>
      </x:c>
    </x:row>
    <x:row r="107" ht="18" customHeight="1">
      <x:c r="A107" s="43" t="n">
        <x:v>102</x:v>
      </x:c>
      <x:c r="B107" s="43" t="str">
        <x:v>K170</x:v>
      </x:c>
      <x:c r="C107" s="43" t="str">
        <x:v>(AOT)Aauudd</x:v>
      </x:c>
      <x:c r="D107" s="146" t="n">
        <x:v>26.505210164961074</x:v>
      </x:c>
      <x:c r="E107" s="146" t="n">
        <x:v>25.083840009053777</x:v>
      </x:c>
      <x:c r="F107" s="146" t="n">
        <x:v>20.41648011815783</x:v>
      </x:c>
      <x:c r="G107" s="146" t="n">
        <x:v>24.046596624340406</x:v>
      </x:c>
      <x:c r="H107" s="146" t="n">
        <x:v>39.32144488310192</x:v>
      </x:c>
      <x:c r="I107" s="43" t="str">
        <x:v>Siege</x:v>
      </x:c>
      <x:c r="J107" s="43" t="str">
        <x:v>Depth</x:v>
      </x:c>
    </x:row>
    <x:row r="108" ht="18" customHeight="1">
      <x:c r="A108" s="43" t="n">
        <x:v>103</x:v>
      </x:c>
      <x:c r="B108" s="43" t="str">
        <x:v>K60</x:v>
      </x:c>
      <x:c r="C108" s="43" t="str">
        <x:v>Blud</x:v>
      </x:c>
      <x:c r="D108" s="146" t="n">
        <x:v>26.38652688853583</x:v>
      </x:c>
      <x:c r="E108" s="146" t="n">
        <x:v>36.1867646825266</x:v>
      </x:c>
      <x:c r="F108" s="146" t="n">
        <x:v>28.303745777893234</x:v>
      </x:c>
      <x:c r="G108" s="146" t="n">
        <x:v>22.163585586690537</x:v>
      </x:c>
      <x:c r="H108" s="146" t="n">
        <x:v>14.568323213159513</x:v>
      </x:c>
      <x:c r="I108" s="43" t="str">
        <x:v>General</x:v>
      </x:c>
      <x:c r="J108" s="43" t="str">
        <x:v>Depth</x:v>
      </x:c>
    </x:row>
    <x:row r="109" ht="18" customHeight="1">
      <x:c r="A109" s="43" t="n">
        <x:v>104</x:v>
      </x:c>
      <x:c r="B109" s="43" t="str">
        <x:v>K138</x:v>
      </x:c>
      <x:c r="C109" s="43" t="str">
        <x:v>(RaW)༺JOJO༻</x:v>
      </x:c>
      <x:c r="D109" s="146" t="n">
        <x:v>26.338417762488437</x:v>
      </x:c>
      <x:c r="E109" s="146" t="n">
        <x:v>23.797388983131725</x:v>
      </x:c>
      <x:c r="F109" s="146" t="n">
        <x:v>28.4461465009163</x:v>
      </x:c>
      <x:c r="G109" s="146" t="n">
        <x:v>23.378800437201285</x:v>
      </x:c>
      <x:c r="H109" s="146" t="n">
        <x:v>31.21482166509762</x:v>
      </x:c>
      <x:c r="I109" s="43" t="str">
        <x:v>Siege</x:v>
      </x:c>
      <x:c r="J109" s="43" t="str">
        <x:v>Depth</x:v>
      </x:c>
    </x:row>
    <x:row r="110" ht="18" customHeight="1">
      <x:c r="A110" s="43" t="n">
        <x:v>105</x:v>
      </x:c>
      <x:c r="B110" s="43" t="str">
        <x:v>K91</x:v>
      </x:c>
      <x:c r="C110" s="43" t="str">
        <x:v>Antoni</x:v>
      </x:c>
      <x:c r="D110" s="146" t="n">
        <x:v>26.30657958831202</x:v>
      </x:c>
      <x:c r="E110" s="146" t="n">
        <x:v>41.25089955494186</x:v>
      </x:c>
      <x:c r="F110" s="146" t="n">
        <x:v>16.278864011179202</x:v>
      </x:c>
      <x:c r="G110" s="146" t="n">
        <x:v>26.792680197378946</x:v>
      </x:c>
      <x:c r="H110" s="146" t="n">
        <x:v>15.817118348449615</x:v>
      </x:c>
      <x:c r="I110" s="43" t="str">
        <x:v>General</x:v>
      </x:c>
      <x:c r="J110" s="43" t="str">
        <x:v>Depth</x:v>
      </x:c>
    </x:row>
    <x:row r="111" ht="18" customHeight="1">
      <x:c r="A111" s="43" t="n">
        <x:v>106</x:v>
      </x:c>
      <x:c r="B111" s="43" t="str">
        <x:v>K176</x:v>
      </x:c>
      <x:c r="C111" s="43" t="str">
        <x:v>温水煮青蛙</x:v>
      </x:c>
      <x:c r="D111" s="146" t="n">
        <x:v>25.96950975401836</x:v>
      </x:c>
      <x:c r="E111" s="146" t="n">
        <x:v>7.8062110780477205</x:v>
      </x:c>
      <x:c r="F111" s="146" t="n">
        <x:v>44.47232683401602</x:v>
      </x:c>
      <x:c r="G111" s="146" t="n">
        <x:v>13.719262569863751</x:v>
      </x:c>
      <x:c r="H111" s="146" t="n">
        <x:v>45.398745398170504</x:v>
      </x:c>
      <x:c r="I111" s="43" t="str">
        <x:v>Siege</x:v>
      </x:c>
      <x:c r="J111" s="43" t="str">
        <x:v>Depth</x:v>
      </x:c>
    </x:row>
    <x:row r="112" ht="18" customHeight="1">
      <x:c r="A112" s="43" t="n">
        <x:v>107</x:v>
      </x:c>
      <x:c r="B112" s="43" t="str">
        <x:v>K91</x:v>
      </x:c>
      <x:c r="C112" s="43" t="str">
        <x:v>•BigBoss•NM85</x:v>
      </x:c>
      <x:c r="D112" s="146" t="n">
        <x:v>25.057020752465064</x:v>
      </x:c>
      <x:c r="E112" s="146" t="n">
        <x:v>33.857160046789645</x:v>
      </x:c>
      <x:c r="F112" s="146" t="n">
        <x:v>4.917916051350327</x:v>
      </x:c>
      <x:c r="G112" s="146" t="n">
        <x:v>40.73071995164697</x:v>
      </x:c>
      <x:c r="H112" s="146" t="n">
        <x:v>17.438568688394234</x:v>
      </x:c>
      <x:c r="I112" s="43" t="str">
        <x:v>Archers</x:v>
      </x:c>
      <x:c r="J112" s="43" t="str">
        <x:v>Depth</x:v>
      </x:c>
    </x:row>
    <x:row r="113" ht="18" customHeight="1">
      <x:c r="A113" s="43" t="n">
        <x:v>108</x:v>
      </x:c>
      <x:c r="B113" s="43" t="str">
        <x:v>K197</x:v>
      </x:c>
      <x:c r="C113" s="43" t="str">
        <x:v>RΣDΣYΣ</x:v>
      </x:c>
      <x:c r="D113" s="146" t="n">
        <x:v>25.04580469423326</x:v>
      </x:c>
      <x:c r="E113" s="146" t="n">
        <x:v>29.625607630262166</x:v>
      </x:c>
      <x:c r="F113" s="146" t="n">
        <x:v>8.409043556670422</x:v>
      </x:c>
      <x:c r="G113" s="146" t="n">
        <x:v>45.8463162142736</x:v>
      </x:c>
      <x:c r="H113" s="146" t="n">
        <x:v>12.97141231209303</x:v>
      </x:c>
      <x:c r="I113" s="43" t="str">
        <x:v>Archers</x:v>
      </x:c>
      <x:c r="J113" s="43" t="str">
        <x:v>Depth</x:v>
      </x:c>
    </x:row>
    <x:row r="114" ht="18" customHeight="1">
      <x:c r="A114" s="43" t="n">
        <x:v>109</x:v>
      </x:c>
      <x:c r="B114" s="43" t="str">
        <x:v>K197</x:v>
      </x:c>
      <x:c r="C114" s="43" t="str">
        <x:v>Mira</x:v>
      </x:c>
      <x:c r="D114" s="146" t="n">
        <x:v>24.712222699959558</x:v>
      </x:c>
      <x:c r="E114" s="146" t="n">
        <x:v>31.19381939461652</x:v>
      </x:c>
      <x:c r="F114" s="146" t="n">
        <x:v>6.268372542715062</x:v>
      </x:c>
      <x:c r="G114" s="146" t="n">
        <x:v>51.86234016612364</x:v>
      </x:c>
      <x:c r="H114" s="146" t="n">
        <x:v>4.106993521824631</x:v>
      </x:c>
      <x:c r="I114" s="43" t="str">
        <x:v>Archers</x:v>
      </x:c>
      <x:c r="J114" s="43" t="str">
        <x:v>Depth</x:v>
      </x:c>
    </x:row>
    <x:row r="115" ht="18" customHeight="1">
      <x:c r="A115" s="43" t="n">
        <x:v>110</x:v>
      </x:c>
      <x:c r="B115" s="43" t="str">
        <x:v>K54</x:v>
      </x:c>
      <x:c r="C115" s="43" t="str">
        <x:v>Somnium</x:v>
      </x:c>
      <x:c r="D115" s="146" t="n">
        <x:v>24.134361416593777</x:v>
      </x:c>
      <x:c r="E115" s="146" t="n">
        <x:v>23.79248142964468</x:v>
      </x:c>
      <x:c r="F115" s="146" t="n">
        <x:v>52.1222770236235</x:v>
      </x:c>
      <x:c r="G115" s="146" t="n">
        <x:v>5.54540214298873</x:v>
      </x:c>
      <x:c r="H115" s="146" t="n">
        <x:v>12.898485980236568</x:v>
      </x:c>
      <x:c r="I115" s="43" t="str">
        <x:v>Cavalry</x:v>
      </x:c>
      <x:c r="J115" s="43" t="str">
        <x:v>Depth</x:v>
      </x:c>
    </x:row>
    <x:row r="116" ht="18" customHeight="1">
      <x:c r="A116" s="43" t="n">
        <x:v>111</x:v>
      </x:c>
      <x:c r="B116" s="43" t="str">
        <x:v>K91</x:v>
      </x:c>
      <x:c r="C116" s="43" t="str">
        <x:v>金灵蛇</x:v>
      </x:c>
      <x:c r="D116" s="146" t="n">
        <x:v>24.129147936047552</x:v>
      </x:c>
      <x:c r="E116" s="146" t="n">
        <x:v>44.118769195469895</x:v>
      </x:c>
      <x:c r="F116" s="146" t="n">
        <x:v>3.3603622680362757</x:v>
      </x:c>
      <x:c r="G116" s="146" t="n">
        <x:v>37.05134487463936</x:v>
      </x:c>
      <x:c r="H116" s="146" t="n">
        <x:v>3.9529519586883612</x:v>
      </x:c>
      <x:c r="I116" s="43" t="str">
        <x:v>General</x:v>
      </x:c>
      <x:c r="J116" s="43" t="str">
        <x:v>Depth</x:v>
      </x:c>
    </x:row>
    <x:row r="117" ht="18" customHeight="1">
      <x:c r="A117" s="43" t="n">
        <x:v>112</x:v>
      </x:c>
      <x:c r="B117" s="43" t="str">
        <x:v>K91</x:v>
      </x:c>
      <x:c r="C117" s="43" t="str">
        <x:v>AMANTIS</x:v>
      </x:c>
      <x:c r="D117" s="146" t="n">
        <x:v>24.034664687207577</x:v>
      </x:c>
      <x:c r="E117" s="146" t="n">
        <x:v>28.3133906112991</x:v>
      </x:c>
      <x:c r="F117" s="146" t="n">
        <x:v>5.669022880030326</x:v>
      </x:c>
      <x:c r="G117" s="146" t="n">
        <x:v>50.89145007950274</x:v>
      </x:c>
      <x:c r="H117" s="146" t="n">
        <x:v>7.002646319672911</x:v>
      </x:c>
      <x:c r="I117" s="43" t="str">
        <x:v>Archers</x:v>
      </x:c>
      <x:c r="J117" s="43" t="str">
        <x:v>Depth</x:v>
      </x:c>
    </x:row>
    <x:row r="118" ht="18" customHeight="1">
      <x:c r="A118" s="43" t="n">
        <x:v>113</x:v>
      </x:c>
      <x:c r="B118" s="43" t="str">
        <x:v>K176</x:v>
      </x:c>
      <x:c r="C118" s="43" t="str">
        <x:v>临兵斗者皆阵列前</x:v>
      </x:c>
      <x:c r="D118" s="146" t="n">
        <x:v>23.995082079889748</x:v>
      </x:c>
      <x:c r="E118" s="146" t="n">
        <x:v>15.216844287564994</x:v>
      </x:c>
      <x:c r="F118" s="146" t="n">
        <x:v>29.231039187694414</x:v>
      </x:c>
      <x:c r="G118" s="146" t="n">
        <x:v>21.75013790058213</x:v>
      </x:c>
      <x:c r="H118" s="146" t="n">
        <x:v>33.42367260775557</x:v>
      </x:c>
      <x:c r="I118" s="43" t="str">
        <x:v>Siege</x:v>
      </x:c>
      <x:c r="J118" s="43" t="str">
        <x:v>Depth</x:v>
      </x:c>
    </x:row>
    <x:row r="119" ht="18" customHeight="1">
      <x:c r="A119" s="43" t="n">
        <x:v>114</x:v>
      </x:c>
      <x:c r="B119" s="43" t="str">
        <x:v>K176</x:v>
      </x:c>
      <x:c r="C119" s="43" t="str">
        <x:v>温不胜</x:v>
      </x:c>
      <x:c r="D119" s="146" t="n">
        <x:v>23.784738601748874</x:v>
      </x:c>
      <x:c r="E119" s="146" t="n">
        <x:v>11.66844044715429</x:v>
      </x:c>
      <x:c r="F119" s="146" t="n">
        <x:v>28.746579215294496</x:v>
      </x:c>
      <x:c r="G119" s="146" t="n">
        <x:v>24.761953541129927</x:v>
      </x:c>
      <x:c r="H119" s="146" t="n">
        <x:v>34.5353663924824</x:v>
      </x:c>
      <x:c r="I119" s="43" t="str">
        <x:v>Siege</x:v>
      </x:c>
      <x:c r="J119" s="43" t="str">
        <x:v>Depth</x:v>
      </x:c>
    </x:row>
    <x:row r="120" ht="18" customHeight="1">
      <x:c r="A120" s="43" t="n">
        <x:v>115</x:v>
      </x:c>
      <x:c r="B120" s="43" t="str">
        <x:v>K176</x:v>
      </x:c>
      <x:c r="C120" s="43" t="str">
        <x:v>罗密欧与猪过夜</x:v>
      </x:c>
      <x:c r="D120" s="146" t="n">
        <x:v>23.70409445065659</x:v>
      </x:c>
      <x:c r="E120" s="146" t="n">
        <x:v>6.104435456238571</x:v>
      </x:c>
      <x:c r="F120" s="146" t="n">
        <x:v>50.46854292580755</x:v>
      </x:c>
      <x:c r="G120" s="146" t="n">
        <x:v>0.6669690182055139</x:v>
      </x:c>
      <x:c r="H120" s="146" t="n">
        <x:v>45.444429138908774</x:v>
      </x:c>
      <x:c r="I120" s="43" t="str">
        <x:v>Cavalry</x:v>
      </x:c>
      <x:c r="J120" s="43" t="str">
        <x:v>Depth</x:v>
      </x:c>
    </x:row>
    <x:row r="121" ht="18" customHeight="1">
      <x:c r="A121" s="43" t="n">
        <x:v>116</x:v>
      </x:c>
      <x:c r="B121" s="43" t="str">
        <x:v>K197</x:v>
      </x:c>
      <x:c r="C121" s="43" t="str">
        <x:v>Viking</x:v>
      </x:c>
      <x:c r="D121" s="146" t="n">
        <x:v>22.76650825242643</x:v>
      </x:c>
      <x:c r="E121" s="146" t="n">
        <x:v>29.998654337138333</x:v>
      </x:c>
      <x:c r="F121" s="146" t="n">
        <x:v>5.275278365382766</x:v>
      </x:c>
      <x:c r="G121" s="146" t="n">
        <x:v>42.581399822882396</x:v>
      </x:c>
      <x:c r="H121" s="146" t="n">
        <x:v>9.01371202109318</x:v>
      </x:c>
      <x:c r="I121" s="43" t="str">
        <x:v>Archers</x:v>
      </x:c>
      <x:c r="J121" s="43" t="str">
        <x:v>Depth</x:v>
      </x:c>
    </x:row>
    <x:row r="122" ht="18" customHeight="1">
      <x:c r="A122" s="43" t="n">
        <x:v>117</x:v>
      </x:c>
      <x:c r="B122" s="43" t="str">
        <x:v>K176</x:v>
      </x:c>
      <x:c r="C122" s="43" t="str">
        <x:v>老黑黑</x:v>
      </x:c>
      <x:c r="D122" s="146" t="n">
        <x:v>22.435027139213247</x:v>
      </x:c>
      <x:c r="E122" s="146" t="n">
        <x:v>16.368973775759315</x:v>
      </x:c>
      <x:c r="F122" s="146" t="n">
        <x:v>18.607824476955347</x:v>
      </x:c>
      <x:c r="G122" s="146" t="n">
        <x:v>29.167955217121985</x:v>
      </x:c>
      <x:c r="H122" s="146" t="n">
        <x:v>27.901950414830594</x:v>
      </x:c>
      <x:c r="I122" s="43" t="str">
        <x:v>Archers</x:v>
      </x:c>
      <x:c r="J122" s="43" t="str">
        <x:v>Depth</x:v>
      </x:c>
    </x:row>
    <x:row r="123" ht="18" customHeight="1">
      <x:c r="A123" s="43" t="n">
        <x:v>118</x:v>
      </x:c>
      <x:c r="B123" s="43" t="str">
        <x:v>K91</x:v>
      </x:c>
      <x:c r="C123" s="43" t="str">
        <x:v>•Scorpio•NM85</x:v>
      </x:c>
      <x:c r="D123" s="146" t="n">
        <x:v>22.359120093358527</x:v>
      </x:c>
      <x:c r="E123" s="146" t="n">
        <x:v>26.113644088041887</x:v>
      </x:c>
      <x:c r="F123" s="146" t="n">
        <x:v>12.761399009124805</x:v>
      </x:c>
      <x:c r="G123" s="146" t="n">
        <x:v>31.055057040519795</x:v>
      </x:c>
      <x:c r="H123" s="146" t="n">
        <x:v>17.85456427267406</x:v>
      </x:c>
      <x:c r="I123" s="43" t="str">
        <x:v>Archers</x:v>
      </x:c>
      <x:c r="J123" s="43" t="str">
        <x:v>Depth</x:v>
      </x:c>
    </x:row>
    <x:row r="124" ht="18" customHeight="1">
      <x:c r="A124" s="43" t="n">
        <x:v>119</x:v>
      </x:c>
      <x:c r="B124" s="43" t="str">
        <x:v>K170</x:v>
      </x:c>
      <x:c r="C124" s="43" t="str">
        <x:v>(AOT)Matis</x:v>
      </x:c>
      <x:c r="D124" s="146" t="n">
        <x:v>22.09184983619095</x:v>
      </x:c>
      <x:c r="E124" s="146" t="n">
        <x:v>18.9774358735504</x:v>
      </x:c>
      <x:c r="F124" s="146" t="n">
        <x:v>15.579232206953247</x:v>
      </x:c>
      <x:c r="G124" s="146" t="n">
        <x:v>28.935425699713665</x:v>
      </x:c>
      <x:c r="H124" s="146" t="n">
        <x:v>26.3497729872955</x:v>
      </x:c>
      <x:c r="I124" s="43" t="str">
        <x:v>Archers</x:v>
      </x:c>
      <x:c r="J124" s="43" t="str">
        <x:v>Depth</x:v>
      </x:c>
    </x:row>
    <x:row r="125" ht="18" customHeight="1">
      <x:c r="A125" s="43" t="n">
        <x:v>120</x:v>
      </x:c>
      <x:c r="B125" s="43" t="str">
        <x:v>K60</x:v>
      </x:c>
      <x:c r="C125" s="43" t="str">
        <x:v>༺۝Foxik۝༻</x:v>
      </x:c>
      <x:c r="D125" s="146" t="n">
        <x:v>22.00047410430975</x:v>
      </x:c>
      <x:c r="E125" s="146" t="n">
        <x:v>15.73212216450096</x:v>
      </x:c>
      <x:c r="F125" s="146" t="n">
        <x:v>26.321185213480735</x:v>
      </x:c>
      <x:c r="G125" s="146" t="n">
        <x:v>32.410670524513634</x:v>
      </x:c>
      <x:c r="H125" s="146" t="n">
        <x:v>12.989367602304341</x:v>
      </x:c>
      <x:c r="I125" s="43" t="str">
        <x:v>Archers</x:v>
      </x:c>
      <x:c r="J125" s="43" t="str">
        <x:v>Depth</x:v>
      </x:c>
    </x:row>
    <x:row r="126" ht="18" customHeight="1">
      <x:c r="A126" s="43" t="n">
        <x:v>121</x:v>
      </x:c>
      <x:c r="B126" s="43" t="str">
        <x:v>K60</x:v>
      </x:c>
      <x:c r="C126" s="43" t="str">
        <x:v>Lare</x:v>
      </x:c>
      <x:c r="D126" s="146" t="n">
        <x:v>20.733822875720655</x:v>
      </x:c>
      <x:c r="E126" s="146" t="n">
        <x:v>20.009208365789807</x:v>
      </x:c>
      <x:c r="F126" s="146" t="n">
        <x:v>43.79445435556852</x:v>
      </x:c>
      <x:c r="G126" s="146" t="n">
        <x:v>6.990842884389189</x:v>
      </x:c>
      <x:c r="H126" s="146" t="n">
        <x:v>10.173680279971416</x:v>
      </x:c>
      <x:c r="I126" s="43" t="str">
        <x:v>Cavalry</x:v>
      </x:c>
      <x:c r="J126" s="43" t="str">
        <x:v>Depth</x:v>
      </x:c>
    </x:row>
    <x:row r="127" ht="18" customHeight="1">
      <x:c r="A127" s="43" t="n">
        <x:v>122</x:v>
      </x:c>
      <x:c r="B127" s="43" t="str">
        <x:v>K60</x:v>
      </x:c>
      <x:c r="C127" s="43" t="str">
        <x:v>Hitt</x:v>
      </x:c>
      <x:c r="D127" s="146" t="n">
        <x:v>20.237031956612928</x:v>
      </x:c>
      <x:c r="E127" s="146" t="n">
        <x:v>16.246053810839744</x:v>
      </x:c>
      <x:c r="F127" s="146" t="n">
        <x:v>28.89144031816817</x:v>
      </x:c>
      <x:c r="G127" s="146" t="n">
        <x:v>25.765993785716</x:v>
      </x:c>
      <x:c r="H127" s="146" t="n">
        <x:v>8.494286436949817</x:v>
      </x:c>
      <x:c r="I127" s="43" t="str">
        <x:v>Cavalry</x:v>
      </x:c>
      <x:c r="J127" s="43" t="str">
        <x:v>Depth</x:v>
      </x:c>
    </x:row>
    <x:row r="128" ht="18" customHeight="1">
      <x:c r="A128" s="43" t="n">
        <x:v>123</x:v>
      </x:c>
      <x:c r="B128" s="43" t="str">
        <x:v>K138</x:v>
      </x:c>
      <x:c r="C128" s="43" t="str">
        <x:v>(RaW)༺ⓉⒶⓇⓉⒶⓇ༻</x:v>
      </x:c>
      <x:c r="D128" s="146" t="n">
        <x:v>19.94422759180381</x:v>
      </x:c>
      <x:c r="E128" s="146" t="n">
        <x:v>20.033792447590976</x:v>
      </x:c>
      <x:c r="F128" s="146" t="n">
        <x:v>13.967920819154275</x:v>
      </x:c>
      <x:c r="G128" s="146" t="n">
        <x:v>20.71720088408206</x:v>
      </x:c>
      <x:c r="H128" s="146" t="n">
        <x:v>26.314047158587158</x:v>
      </x:c>
      <x:c r="I128" s="43" t="str">
        <x:v>Siege</x:v>
      </x:c>
      <x:c r="J128" s="43" t="str">
        <x:v>Depth</x:v>
      </x:c>
    </x:row>
    <x:row r="129" ht="18" customHeight="1">
      <x:c r="A129" s="43" t="n">
        <x:v>124</x:v>
      </x:c>
      <x:c r="B129" s="43" t="str">
        <x:v>K170</x:v>
      </x:c>
      <x:c r="C129" s="43" t="str">
        <x:v>(AOT)Markspoon</x:v>
      </x:c>
      <x:c r="D129" s="146" t="n">
        <x:v>19.727781137674672</x:v>
      </x:c>
      <x:c r="E129" s="146" t="n">
        <x:v>9.43127242662266</x:v>
      </x:c>
      <x:c r="F129" s="146" t="n">
        <x:v>11.686100765694416</x:v>
      </x:c>
      <x:c r="G129" s="146" t="n">
        <x:v>34.854557732834536</x:v>
      </x:c>
      <x:c r="H129" s="146" t="n">
        <x:v>26.31617392527818</x:v>
      </x:c>
      <x:c r="I129" s="43" t="str">
        <x:v>Archers</x:v>
      </x:c>
      <x:c r="J129" s="43" t="str">
        <x:v>Depth</x:v>
      </x:c>
    </x:row>
    <x:row r="130" ht="18" customHeight="1">
      <x:c r="A130" s="43" t="n">
        <x:v>125</x:v>
      </x:c>
      <x:c r="B130" s="43" t="str">
        <x:v>K170</x:v>
      </x:c>
      <x:c r="C130" s="43" t="str">
        <x:v>(AOT)金木研_254</x:v>
      </x:c>
      <x:c r="D130" s="146" t="n">
        <x:v>19.420740227038415</x:v>
      </x:c>
      <x:c r="E130" s="146" t="n">
        <x:v>15.878563225913712</x:v>
      </x:c>
      <x:c r="F130" s="146" t="n">
        <x:v>39.03380922742115</x:v>
      </x:c>
      <x:c r="G130" s="146" t="n">
        <x:v>8.907099016667429</x:v>
      </x:c>
      <x:c r="H130" s="146" t="n">
        <x:v>13.35972099121077</x:v>
      </x:c>
      <x:c r="I130" s="43" t="str">
        <x:v>Cavalry</x:v>
      </x:c>
      <x:c r="J130" s="43" t="str">
        <x:v>Depth</x:v>
      </x:c>
    </x:row>
    <x:row r="131" ht="18" customHeight="1">
      <x:c r="A131" s="43" t="n">
        <x:v>126</x:v>
      </x:c>
      <x:c r="B131" s="43" t="str">
        <x:v>K54</x:v>
      </x:c>
      <x:c r="C131" s="43" t="str">
        <x:v>奕星的殺猪盤</x:v>
      </x:c>
      <x:c r="D131" s="146" t="n">
        <x:v>19.184771668506777</x:v>
      </x:c>
      <x:c r="E131" s="146" t="n">
        <x:v>9.912257651104198</x:v>
      </x:c>
      <x:c r="F131" s="146" t="n">
        <x:v>38.46308459177043</x:v>
      </x:c>
      <x:c r="G131" s="146" t="n">
        <x:v>0.2755440705957384</x:v>
      </x:c>
      <x:c r="H131" s="146" t="n">
        <x:v>32.63218603791987</x:v>
      </x:c>
      <x:c r="I131" s="43" t="str">
        <x:v>Cavalry</x:v>
      </x:c>
      <x:c r="J131" s="43" t="str">
        <x:v>Depth</x:v>
      </x:c>
    </x:row>
    <x:row r="132" ht="18" customHeight="1">
      <x:c r="A132" s="43" t="n">
        <x:v>127</x:v>
      </x:c>
      <x:c r="B132" s="43" t="str">
        <x:v>K170</x:v>
      </x:c>
      <x:c r="C132" s="43" t="str">
        <x:v>(AOT)BAT</x:v>
      </x:c>
      <x:c r="D132" s="146" t="n">
        <x:v>18.878553720734587</x:v>
      </x:c>
      <x:c r="E132" s="146" t="n">
        <x:v>17.59218808503659</x:v>
      </x:c>
      <x:c r="F132" s="146" t="n">
        <x:v>45.25222411874884</x:v>
      </x:c>
      <x:c r="G132" s="146" t="n">
        <x:v>3.676272524578082</x:v>
      </x:c>
      <x:c r="H132" s="146" t="n">
        <x:v>6.843865671959395</x:v>
      </x:c>
      <x:c r="I132" s="43" t="str">
        <x:v>Cavalry</x:v>
      </x:c>
      <x:c r="J132" s="43" t="str">
        <x:v>Depth</x:v>
      </x:c>
    </x:row>
    <x:row r="133" ht="18" customHeight="1">
      <x:c r="A133" s="43" t="n">
        <x:v>128</x:v>
      </x:c>
      <x:c r="B133" s="43" t="str">
        <x:v>K176</x:v>
      </x:c>
      <x:c r="C133" s="43" t="str">
        <x:v>༺肥者先食༻</x:v>
      </x:c>
      <x:c r="D133" s="146" t="n">
        <x:v>18.533824556644483</x:v>
      </x:c>
      <x:c r="E133" s="146" t="n">
        <x:v>11.291776101637344</x:v>
      </x:c>
      <x:c r="F133" s="146" t="n">
        <x:v>24.023220915207265</x:v>
      </x:c>
      <x:c r="G133" s="146" t="n">
        <x:v>24.077407110025163</x:v>
      </x:c>
      <x:c r="H133" s="146" t="n">
        <x:v>15.605673599225856</x:v>
      </x:c>
      <x:c r="I133" s="43" t="str">
        <x:v>Archers</x:v>
      </x:c>
      <x:c r="J133" s="43" t="str">
        <x:v>Depth</x:v>
      </x:c>
    </x:row>
    <x:row r="134" ht="18" customHeight="1">
      <x:c r="A134" s="43" t="n">
        <x:v>129</x:v>
      </x:c>
      <x:c r="B134" s="43" t="str">
        <x:v>K60</x:v>
      </x:c>
      <x:c r="C134" s="43" t="str">
        <x:v>Houdini</x:v>
      </x:c>
      <x:c r="D134" s="146" t="n">
        <x:v>18.360915363594202</x:v>
      </x:c>
      <x:c r="E134" s="146" t="n">
        <x:v>15.593851963257306</x:v>
      </x:c>
      <x:c r="F134" s="146" t="n">
        <x:v>26.49545639359082</x:v>
      </x:c>
      <x:c r="G134" s="146" t="n">
        <x:v>23.191255272708386</x:v>
      </x:c>
      <x:c r="H134" s="146" t="n">
        <x:v>6.305409290211032</x:v>
      </x:c>
      <x:c r="I134" s="43" t="str">
        <x:v>Cavalry</x:v>
      </x:c>
      <x:c r="J134" s="43" t="str">
        <x:v>Depth</x:v>
      </x:c>
    </x:row>
    <x:row r="135" ht="18" customHeight="1">
      <x:c r="A135" s="43" t="n">
        <x:v>130</x:v>
      </x:c>
      <x:c r="B135" s="43" t="str">
        <x:v>K91</x:v>
      </x:c>
      <x:c r="C135" s="43" t="str">
        <x:v>Trinità</x:v>
      </x:c>
      <x:c r="D135" s="146" t="n">
        <x:v>18.287551045385143</x:v>
      </x:c>
      <x:c r="E135" s="146" t="n">
        <x:v>13.059182169690242</x:v>
      </x:c>
      <x:c r="F135" s="146" t="n">
        <x:v>17.838328531057257</x:v>
      </x:c>
      <x:c r="G135" s="146" t="n">
        <x:v>22.41912120100198</x:v>
      </x:c>
      <x:c r="H135" s="146" t="n">
        <x:v>21.527169807316305</x:v>
      </x:c>
      <x:c r="I135" s="43" t="str">
        <x:v>Archers</x:v>
      </x:c>
      <x:c r="J135" s="43" t="str">
        <x:v>Depth</x:v>
      </x:c>
    </x:row>
    <x:row r="136" ht="18" customHeight="1">
      <x:c r="A136" s="43" t="n">
        <x:v>131</x:v>
      </x:c>
      <x:c r="B136" s="43" t="str">
        <x:v>K138</x:v>
      </x:c>
      <x:c r="C136" s="43" t="str">
        <x:v>(RaW)GoŁΛ</x:v>
      </x:c>
      <x:c r="D136" s="146" t="n">
        <x:v>18.26377795542344</x:v>
      </x:c>
      <x:c r="E136" s="146" t="n">
        <x:v>9.561466750440882</x:v>
      </x:c>
      <x:c r="F136" s="146" t="n">
        <x:v>7.098830614458832</x:v>
      </x:c>
      <x:c r="G136" s="146" t="n">
        <x:v>49.39256544053398</x:v>
      </x:c>
      <x:c r="H136" s="146" t="n">
        <x:v>6.3624445827148595</x:v>
      </x:c>
      <x:c r="I136" s="43" t="str">
        <x:v>Archers</x:v>
      </x:c>
      <x:c r="J136" s="43" t="str">
        <x:v>Depth</x:v>
      </x:c>
    </x:row>
    <x:row r="137" ht="18" customHeight="1">
      <x:c r="A137" s="43" t="n">
        <x:v>132</x:v>
      </x:c>
      <x:c r="B137" s="43" t="str">
        <x:v>K197</x:v>
      </x:c>
      <x:c r="C137" s="43" t="str">
        <x:v>NightFury</x:v>
      </x:c>
      <x:c r="D137" s="146" t="n">
        <x:v>17.99341568709921</x:v>
      </x:c>
      <x:c r="E137" s="146" t="n">
        <x:v>13.357872567534226</x:v>
      </x:c>
      <x:c r="F137" s="146" t="n">
        <x:v>41.852379493164904</x:v>
      </x:c>
      <x:c r="G137" s="146" t="n">
        <x:v>5.846125926037405</x:v>
      </x:c>
      <x:c r="H137" s="146" t="n">
        <x:v>10.307137810191826</x:v>
      </x:c>
      <x:c r="I137" s="43" t="str">
        <x:v>Cavalry</x:v>
      </x:c>
      <x:c r="J137" s="43" t="str">
        <x:v>Depth</x:v>
      </x:c>
    </x:row>
    <x:row r="138" ht="18" customHeight="1">
      <x:c r="A138" s="43" t="n">
        <x:v>133</x:v>
      </x:c>
      <x:c r="B138" s="43" t="str">
        <x:v>K138</x:v>
      </x:c>
      <x:c r="C138" s="43" t="str">
        <x:v>(RaW)Nightmare</x:v>
      </x:c>
      <x:c r="D138" s="146" t="n">
        <x:v>17.681085966201618</x:v>
      </x:c>
      <x:c r="E138" s="146" t="n">
        <x:v>8.328042570375631</x:v>
      </x:c>
      <x:c r="F138" s="146" t="n">
        <x:v>24.41338034325477</x:v>
      </x:c>
      <x:c r="G138" s="146" t="n">
        <x:v>24.68000112431414</x:v>
      </x:c>
      <x:c r="H138" s="146" t="n">
        <x:v>14.546639140983512</x:v>
      </x:c>
      <x:c r="I138" s="43" t="str">
        <x:v>Archers</x:v>
      </x:c>
      <x:c r="J138" s="43" t="str">
        <x:v>Depth</x:v>
      </x:c>
    </x:row>
    <x:row r="139" ht="18" customHeight="1">
      <x:c r="A139" s="43" t="n">
        <x:v>134</x:v>
      </x:c>
      <x:c r="B139" s="43" t="str">
        <x:v>K116</x:v>
      </x:c>
      <x:c r="C139" s="43" t="str">
        <x:v>Derek</x:v>
      </x:c>
      <x:c r="D139" s="146" t="n">
        <x:v>17.181456449824864</x:v>
      </x:c>
      <x:c r="E139" s="146" t="n">
        <x:v>18.475790801317597</x:v>
      </x:c>
      <x:c r="F139" s="146" t="n">
        <x:v>32.0957971224658</x:v>
      </x:c>
      <x:c r="G139" s="146" t="n">
        <x:v>0.8160094890101641</x:v>
      </x:c>
      <x:c r="H139" s="146" t="n">
        <x:v>17.053837782802972</x:v>
      </x:c>
      <x:c r="I139" s="43" t="str">
        <x:v>Cavalry</x:v>
      </x:c>
      <x:c r="J139" s="43" t="str">
        <x:v>Depth</x:v>
      </x:c>
    </x:row>
    <x:row r="140" ht="18" customHeight="1">
      <x:c r="A140" s="43" t="n">
        <x:v>135</x:v>
      </x:c>
      <x:c r="B140" s="43" t="str">
        <x:v>K197</x:v>
      </x:c>
      <x:c r="C140" s="43" t="str">
        <x:v>优乐美</x:v>
      </x:c>
      <x:c r="D140" s="146" t="n">
        <x:v>16.94017588449127</x:v>
      </x:c>
      <x:c r="E140" s="146" t="n">
        <x:v>24.375053386731693</x:v>
      </x:c>
      <x:c r="F140" s="146" t="n">
        <x:v>33.20001855083977</x:v>
      </x:c>
      <x:c r="G140" s="146" t="n">
        <x:v>2.022290823518827</x:v>
      </x:c>
      <x:c r="H140" s="146" t="n">
        <x:v>4.110412624410564</x:v>
      </x:c>
      <x:c r="I140" s="43" t="str">
        <x:v>Cavalry</x:v>
      </x:c>
      <x:c r="J140" s="43" t="str">
        <x:v>Depth</x:v>
      </x:c>
    </x:row>
    <x:row r="141" ht="18" customHeight="1">
      <x:c r="A141" s="43" t="n">
        <x:v>136</x:v>
      </x:c>
      <x:c r="B141" s="43" t="str">
        <x:v>K176</x:v>
      </x:c>
      <x:c r="C141" s="43" t="str">
        <x:v>顺顺顺</x:v>
      </x:c>
      <x:c r="D141" s="146" t="n">
        <x:v>16.617942832018272</x:v>
      </x:c>
      <x:c r="E141" s="146" t="n">
        <x:v>12.34296164628663</x:v>
      </x:c>
      <x:c r="F141" s="146" t="n">
        <x:v>10.989459270285654</x:v>
      </x:c>
      <x:c r="G141" s="146" t="n">
        <x:v>14.422629076080426</x:v>
      </x:c>
      <x:c r="H141" s="146" t="n">
        <x:v>32.810161257703825</x:v>
      </x:c>
      <x:c r="I141" s="43" t="str">
        <x:v>Siege</x:v>
      </x:c>
      <x:c r="J141" s="43" t="str">
        <x:v>Depth</x:v>
      </x:c>
    </x:row>
    <x:row r="142" ht="18" customHeight="1">
      <x:c r="A142" s="43" t="n">
        <x:v>137</x:v>
      </x:c>
      <x:c r="B142" s="43" t="str">
        <x:v>K138</x:v>
      </x:c>
      <x:c r="C142" s="43" t="str">
        <x:v>(RaW)༺飞K༻</x:v>
      </x:c>
      <x:c r="D142" s="146" t="n">
        <x:v>16.54222722123695</x:v>
      </x:c>
      <x:c r="E142" s="146" t="n">
        <x:v>16.36177147450158</x:v>
      </x:c>
      <x:c r="F142" s="146" t="n">
        <x:v>3.5618435056992146</x:v>
      </x:c>
      <x:c r="G142" s="146" t="n">
        <x:v>41.38889374905384</x:v>
      </x:c>
      <x:c r="H142" s="146" t="n">
        <x:v>1.9800573259910559</x:v>
      </x:c>
      <x:c r="I142" s="43" t="str">
        <x:v>Archers</x:v>
      </x:c>
      <x:c r="J142" s="43" t="str">
        <x:v>Depth</x:v>
      </x:c>
    </x:row>
    <x:row r="143" ht="18" customHeight="1">
      <x:c r="A143" s="43" t="n">
        <x:v>138</x:v>
      </x:c>
      <x:c r="B143" s="43" t="str">
        <x:v>K116</x:v>
      </x:c>
      <x:c r="C143" s="43" t="str">
        <x:v>逍遥浪四月</x:v>
      </x:c>
      <x:c r="D143" s="146" t="n">
        <x:v>15.298955919027144</x:v>
      </x:c>
      <x:c r="E143" s="146" t="n">
        <x:v>11.879892765938644</x:v>
      </x:c>
      <x:c r="F143" s="146" t="n">
        <x:v>18.674178695346804</x:v>
      </x:c>
      <x:c r="G143" s="146" t="n">
        <x:v>10.396490463052189</x:v>
      </x:c>
      <x:c r="H143" s="146" t="n">
        <x:v>22.33660399822901</x:v>
      </x:c>
      <x:c r="I143" s="43" t="str">
        <x:v>Siege</x:v>
      </x:c>
      <x:c r="J143" s="43" t="str">
        <x:v>Depth</x:v>
      </x:c>
    </x:row>
    <x:row r="144" ht="18" customHeight="1">
      <x:c r="A144" s="43" t="n">
        <x:v>139</x:v>
      </x:c>
      <x:c r="B144" s="43" t="str">
        <x:v>K91</x:v>
      </x:c>
      <x:c r="C144" s="43" t="str">
        <x:v>WindRunner</x:v>
      </x:c>
      <x:c r="D144" s="146" t="n">
        <x:v>15.073501516224006</x:v>
      </x:c>
      <x:c r="E144" s="146" t="n">
        <x:v>17.879805582223714</x:v>
      </x:c>
      <x:c r="F144" s="146" t="n">
        <x:v>1.4350785276886031</x:v>
      </x:c>
      <x:c r="G144" s="146" t="n">
        <x:v>35.58930977066443</x:v>
      </x:c>
      <x:c r="H144" s="146" t="n">
        <x:v>2.267313834843168</x:v>
      </x:c>
      <x:c r="I144" s="43" t="str">
        <x:v>Archers</x:v>
      </x:c>
      <x:c r="J144" s="43" t="str">
        <x:v>Depth</x:v>
      </x:c>
    </x:row>
    <x:row r="145" ht="18" customHeight="1">
      <x:c r="A145" s="43" t="n">
        <x:v>140</x:v>
      </x:c>
      <x:c r="B145" s="43" t="str">
        <x:v>K138</x:v>
      </x:c>
      <x:c r="C145" s="43" t="str">
        <x:v>(RaW)PPP_253</x:v>
      </x:c>
      <x:c r="D145" s="146" t="n">
        <x:v>14.947159206804013</x:v>
      </x:c>
      <x:c r="E145" s="146" t="n">
        <x:v>13.580066644711009</x:v>
      </x:c>
      <x:c r="F145" s="146" t="n">
        <x:v>0.17714619143170288</x:v>
      </x:c>
      <x:c r="G145" s="146" t="n">
        <x:v>33.961399094128424</x:v>
      </x:c>
      <x:c r="H145" s="146" t="n">
        <x:v>11.6925144600034</x:v>
      </x:c>
      <x:c r="I145" s="43" t="str">
        <x:v>Archers</x:v>
      </x:c>
      <x:c r="J145" s="43" t="str">
        <x:v>Depth</x:v>
      </x:c>
    </x:row>
    <x:row r="146" ht="18" customHeight="1">
      <x:c r="A146" s="43" t="n">
        <x:v>141</x:v>
      </x:c>
      <x:c r="B146" s="43" t="str">
        <x:v>K170</x:v>
      </x:c>
      <x:c r="C146" s="43" t="str">
        <x:v>(AOT)Brauni°</x:v>
      </x:c>
      <x:c r="D146" s="146" t="n">
        <x:v>14.610459127556377</x:v>
      </x:c>
      <x:c r="E146" s="146" t="n">
        <x:v>13.66950941824539</x:v>
      </x:c>
      <x:c r="F146" s="146" t="n">
        <x:v>8.111856204100281</x:v>
      </x:c>
      <x:c r="G146" s="146" t="n">
        <x:v>27.563423512283727</x:v>
      </x:c>
      <x:c r="H146" s="146" t="n">
        <x:v>7.953931864933785</x:v>
      </x:c>
      <x:c r="I146" s="43" t="str">
        <x:v>Archers</x:v>
      </x:c>
      <x:c r="J146" s="43" t="str">
        <x:v>Depth</x:v>
      </x:c>
    </x:row>
    <x:row r="147" ht="18" customHeight="1">
      <x:c r="A147" s="43" t="n">
        <x:v>142</x:v>
      </x:c>
      <x:c r="B147" s="43" t="str">
        <x:v>K91</x:v>
      </x:c>
      <x:c r="C147" s="43" t="str">
        <x:v>A†RO/</x:v>
      </x:c>
      <x:c r="D147" s="146" t="n">
        <x:v>14.522962903808299</x:v>
      </x:c>
      <x:c r="E147" s="146" t="n">
        <x:v>17.19698847158589</x:v>
      </x:c>
      <x:c r="F147" s="146" t="n">
        <x:v>2.2292350130820284</x:v>
      </x:c>
      <x:c r="G147" s="146" t="n">
        <x:v>32.410613991860075</x:v>
      </x:c>
      <x:c r="H147" s="146" t="n">
        <x:v>3.5195205554850295</x:v>
      </x:c>
      <x:c r="I147" s="43" t="str">
        <x:v>Archers</x:v>
      </x:c>
      <x:c r="J147" s="43" t="str">
        <x:v>Depth</x:v>
      </x:c>
    </x:row>
    <x:row r="148" ht="18" customHeight="1">
      <x:c r="A148" s="43" t="n">
        <x:v>143</x:v>
      </x:c>
      <x:c r="B148" s="43" t="str">
        <x:v>K91</x:v>
      </x:c>
      <x:c r="C148" s="43" t="str">
        <x:v>TatyToy</x:v>
      </x:c>
      <x:c r="D148" s="146" t="n">
        <x:v>13.988792561457744</x:v>
      </x:c>
      <x:c r="E148" s="146" t="n">
        <x:v>21.82534557845626</x:v>
      </x:c>
      <x:c r="F148" s="146" t="n">
        <x:v>2.3452916612208377</x:v>
      </x:c>
      <x:c r="G148" s="146" t="n">
        <x:v>21.58144795226358</x:v>
      </x:c>
      <x:c r="H148" s="146" t="n">
        <x:v>7.297519922748802</x:v>
      </x:c>
      <x:c r="I148" s="43" t="str">
        <x:v>General</x:v>
      </x:c>
      <x:c r="J148" s="43" t="str">
        <x:v>Depth</x:v>
      </x:c>
    </x:row>
    <x:row r="149" ht="18" customHeight="1">
      <x:c r="A149" s="43" t="n">
        <x:v>144</x:v>
      </x:c>
      <x:c r="B149" s="43" t="str">
        <x:v>K170</x:v>
      </x:c>
      <x:c r="C149" s="43" t="str">
        <x:v>(AOT)Paian2</x:v>
      </x:c>
      <x:c r="D149" s="146" t="n">
        <x:v>13.788133640861004</x:v>
      </x:c>
      <x:c r="E149" s="146" t="n">
        <x:v>20.666333413975945</x:v>
      </x:c>
      <x:c r="F149" s="146" t="n">
        <x:v>4.945139197671158</x:v>
      </x:c>
      <x:c r="G149" s="146" t="n">
        <x:v>16.24877717298189</x:v>
      </x:c>
      <x:c r="H149" s="146" t="n">
        <x:v>11.448772620024794</x:v>
      </x:c>
      <x:c r="I149" s="43" t="str">
        <x:v>General</x:v>
      </x:c>
      <x:c r="J149" s="43" t="str">
        <x:v>Depth</x:v>
      </x:c>
    </x:row>
    <x:row r="150" ht="18" customHeight="1">
      <x:c r="A150" s="43" t="n">
        <x:v>145</x:v>
      </x:c>
      <x:c r="B150" s="43" t="str">
        <x:v>K138</x:v>
      </x:c>
      <x:c r="C150" s="43" t="str">
        <x:v>(RaW)ⓀⒶⓃⓃⓄⓃ</x:v>
      </x:c>
      <x:c r="D150" s="146" t="n">
        <x:v>12.68455790565887</x:v>
      </x:c>
      <x:c r="E150" s="146" t="n">
        <x:v>13.894152634989954</x:v>
      </x:c>
      <x:c r="F150" s="146" t="n">
        <x:v>14.569570849966015</x:v>
      </x:c>
      <x:c r="G150" s="146" t="n">
        <x:v>13.37868325531547</x:v>
      </x:c>
      <x:c r="H150" s="146" t="n">
        <x:v>7.646242944207562</x:v>
      </x:c>
      <x:c r="I150" s="43" t="str">
        <x:v>Cavalry</x:v>
      </x:c>
      <x:c r="J150" s="43" t="str">
        <x:v>Depth</x:v>
      </x:c>
    </x:row>
    <x:row r="151" ht="18" customHeight="1">
      <x:c r="A151" s="43" t="n">
        <x:v>146</x:v>
      </x:c>
      <x:c r="B151" s="43" t="str">
        <x:v>K176</x:v>
      </x:c>
      <x:c r="C151" s="43" t="str">
        <x:v>WARBLOOD</x:v>
      </x:c>
      <x:c r="D151" s="146" t="n">
        <x:v>12.613229923448133</x:v>
      </x:c>
      <x:c r="E151" s="146" t="n">
        <x:v>6.501348741324535</x:v>
      </x:c>
      <x:c r="F151" s="146" t="n">
        <x:v>28.17207130801195</x:v>
      </x:c>
      <x:c r="G151" s="146" t="n">
        <x:v>4.072590781159431</x:v>
      </x:c>
      <x:c r="H151" s="146" t="n">
        <x:v>13.008298893789624</x:v>
      </x:c>
      <x:c r="I151" s="43" t="str">
        <x:v>Cavalry</x:v>
      </x:c>
      <x:c r="J151" s="43" t="str">
        <x:v>Depth</x:v>
      </x:c>
    </x:row>
    <x:row r="152" ht="18" customHeight="1">
      <x:c r="A152" s="43" t="n">
        <x:v>147</x:v>
      </x:c>
      <x:c r="B152" s="43" t="str">
        <x:v>K138</x:v>
      </x:c>
      <x:c r="C152" s="43" t="str">
        <x:v>(RaW)Leprechaun</x:v>
      </x:c>
      <x:c r="D152" s="146" t="n">
        <x:v>12.235156592408122</x:v>
      </x:c>
      <x:c r="E152" s="146" t="n">
        <x:v>17.949517998230878</x:v>
      </x:c>
      <x:c r="F152" s="146" t="n">
        <x:v>20.44034264057021</x:v>
      </x:c>
      <x:c r="G152" s="146" t="n">
        <x:v>2.561152419158468</x:v>
      </x:c>
      <x:c r="H152" s="146" t="n">
        <x:v>5.499637140033455</x:v>
      </x:c>
      <x:c r="I152" s="43" t="str">
        <x:v>Cavalry</x:v>
      </x:c>
      <x:c r="J152" s="43" t="str">
        <x:v>Depth</x:v>
      </x:c>
    </x:row>
    <x:row r="153" ht="18" customHeight="1">
      <x:c r="A153" s="43" t="n">
        <x:v>148</x:v>
      </x:c>
      <x:c r="B153" s="43" t="str">
        <x:v>K91</x:v>
      </x:c>
      <x:c r="C153" s="43" t="str">
        <x:v>†LORD•ZARIEL†</x:v>
      </x:c>
      <x:c r="D153" s="146" t="n">
        <x:v>11.992736536122559</x:v>
      </x:c>
      <x:c r="E153" s="146" t="n">
        <x:v>13.656966190783326</x:v>
      </x:c>
      <x:c r="F153" s="146" t="n">
        <x:v>5.039250383526149</x:v>
      </x:c>
      <x:c r="G153" s="146" t="n">
        <x:v>23.46096385241061</x:v>
      </x:c>
      <x:c r="H153" s="146" t="n">
        <x:v>3.8529655995168635</x:v>
      </x:c>
      <x:c r="I153" s="43" t="str">
        <x:v>Archers</x:v>
      </x:c>
      <x:c r="J153" s="43" t="str">
        <x:v>Depth</x:v>
      </x:c>
    </x:row>
    <x:row r="154" ht="18" customHeight="1">
      <x:c r="A154" s="43" t="n">
        <x:v>149</x:v>
      </x:c>
      <x:c r="B154" s="43" t="str">
        <x:v>K138</x:v>
      </x:c>
      <x:c r="C154" s="43" t="str">
        <x:v>(RaW)༺TsuStark༻</x:v>
      </x:c>
      <x:c r="D154" s="146" t="n">
        <x:v>11.890411960187288</x:v>
      </x:c>
      <x:c r="E154" s="146" t="n">
        <x:v>13.572802346352109</x:v>
      </x:c>
      <x:c r="F154" s="146" t="n">
        <x:v>13.200963839873863</x:v>
      </x:c>
      <x:c r="G154" s="146" t="n">
        <x:v>12.92775058737984</x:v>
      </x:c>
      <x:c r="H154" s="146" t="n">
        <x:v>6.431963247341146</x:v>
      </x:c>
      <x:c r="I154" s="43" t="str">
        <x:v>General</x:v>
      </x:c>
      <x:c r="J154" s="43" t="str">
        <x:v>Depth</x:v>
      </x:c>
    </x:row>
    <x:row r="155" ht="18" customHeight="1">
      <x:c r="A155" s="43" t="n">
        <x:v>150</x:v>
      </x:c>
      <x:c r="B155" s="43" t="str">
        <x:v>K138</x:v>
      </x:c>
      <x:c r="C155" s="43" t="str">
        <x:v>(RaW)Venom毒液</x:v>
      </x:c>
      <x:c r="D155" s="146" t="n">
        <x:v>11.41666207849143</x:v>
      </x:c>
      <x:c r="E155" s="146" t="n">
        <x:v>3.1082211773601953</x:v>
      </x:c>
      <x:c r="F155" s="146" t="n">
        <x:v>6.105181003345378</x:v>
      </x:c>
      <x:c r="G155" s="146" t="n">
        <x:v>23.381729939052466</x:v>
      </x:c>
      <x:c r="H155" s="146" t="n">
        <x:v>15.562339948419554</x:v>
      </x:c>
      <x:c r="I155" s="43" t="str">
        <x:v>Archers</x:v>
      </x:c>
      <x:c r="J155" s="43" t="str">
        <x:v>Depth</x:v>
      </x:c>
    </x:row>
    <x:row r="156" ht="18" customHeight="1">
      <x:c r="A156" s="43" t="n">
        <x:v>151</x:v>
      </x:c>
      <x:c r="B156" s="43" t="str">
        <x:v>K116</x:v>
      </x:c>
      <x:c r="C156" s="43" t="str">
        <x:v>Yuke</x:v>
      </x:c>
      <x:c r="D156" s="146" t="n">
        <x:v>10.525331950622123</x:v>
      </x:c>
      <x:c r="E156" s="146" t="n">
        <x:v>11.55998860106499</x:v>
      </x:c>
      <x:c r="F156" s="146" t="n">
        <x:v>0.8202166113573863</x:v>
      </x:c>
      <x:c r="G156" s="146" t="n">
        <x:v>22.22898340726951</x:v>
      </x:c>
      <x:c r="H156" s="146" t="n">
        <x:v>6.475176828229505</x:v>
      </x:c>
      <x:c r="I156" s="43" t="str">
        <x:v>Archers</x:v>
      </x:c>
      <x:c r="J156" s="43" t="str">
        <x:v>Depth</x:v>
      </x:c>
    </x:row>
    <x:row r="157" ht="18" customHeight="1">
      <x:c r="A157" s="43" t="n">
        <x:v>152</x:v>
      </x:c>
      <x:c r="B157" s="43" t="str">
        <x:v>K197</x:v>
      </x:c>
      <x:c r="C157" s="43" t="str">
        <x:v>†ŁØRD†</x:v>
      </x:c>
      <x:c r="D157" s="146" t="n">
        <x:v>10.328705000844627</x:v>
      </x:c>
      <x:c r="E157" s="146" t="n">
        <x:v>10.188594078913372</x:v>
      </x:c>
      <x:c r="F157" s="146" t="n">
        <x:v>3.9912825730485846</x:v>
      </x:c>
      <x:c r="G157" s="146" t="n">
        <x:v>23.070995306330286</x:v>
      </x:c>
      <x:c r="H157" s="146" t="n">
        <x:v>2.5327865366294877</x:v>
      </x:c>
      <x:c r="I157" s="43" t="str">
        <x:v>Archers</x:v>
      </x:c>
      <x:c r="J157" s="43" t="str">
        <x:v>Depth</x:v>
      </x:c>
    </x:row>
    <x:row r="158" ht="18" customHeight="1">
      <x:c r="A158" s="43" t="n">
        <x:v>153</x:v>
      </x:c>
      <x:c r="B158" s="43" t="str">
        <x:v>K91</x:v>
      </x:c>
      <x:c r="C158" s="43" t="str">
        <x:v>Nico•</x:v>
      </x:c>
      <x:c r="D158" s="146" t="n">
        <x:v>9.489358437716328</x:v>
      </x:c>
      <x:c r="E158" s="146" t="n">
        <x:v>8.067945203409252</x:v>
      </x:c>
      <x:c r="F158" s="146" t="n">
        <x:v>5.276497215664472</x:v>
      </x:c>
      <x:c r="G158" s="146" t="n">
        <x:v>20.921955541658257</x:v>
      </x:c>
      <x:c r="H158" s="146" t="n">
        <x:v>2.5968084368143542</x:v>
      </x:c>
      <x:c r="I158" s="43" t="str">
        <x:v>Archers</x:v>
      </x:c>
      <x:c r="J158" s="43" t="str">
        <x:v>Depth</x:v>
      </x:c>
    </x:row>
    <x:row r="159" ht="18" customHeight="1">
      <x:c r="A159" s="43" t="n">
        <x:v>154</x:v>
      </x:c>
      <x:c r="B159" s="43" t="str">
        <x:v>K197</x:v>
      </x:c>
      <x:c r="C159" s="43" t="str">
        <x:v>Бапм</x:v>
      </x:c>
      <x:c r="D159" s="146" t="n">
        <x:v>8.789004364959519</x:v>
      </x:c>
      <x:c r="E159" s="146" t="n">
        <x:v>7.05516578226711</x:v>
      </x:c>
      <x:c r="F159" s="146" t="n">
        <x:v>25.237351384566917</x:v>
      </x:c>
      <x:c r="G159" s="146" t="n">
        <x:v>0.03984394481948593</x:v>
      </x:c>
      <x:c r="H159" s="146" t="n">
        <x:v>1.7657789896639204</x:v>
      </x:c>
      <x:c r="I159" s="43" t="str">
        <x:v>Cavalry</x:v>
      </x:c>
      <x:c r="J159" s="43" t="str">
        <x:v>Depth</x:v>
      </x:c>
    </x:row>
    <x:row r="160" ht="18" customHeight="1">
      <x:c r="A160" s="43" t="n">
        <x:v>155</x:v>
      </x:c>
      <x:c r="B160" s="43" t="str">
        <x:v>K170</x:v>
      </x:c>
      <x:c r="C160" s="43" t="str">
        <x:v>(AOT)Paian</x:v>
      </x:c>
      <x:c r="D160" s="146" t="n">
        <x:v>8.6263810139254</x:v>
      </x:c>
      <x:c r="E160" s="146" t="n">
        <x:v>13.080665940389697</x:v>
      </x:c>
      <x:c r="F160" s="146" t="n">
        <x:v>3.9038415034297156</x:v>
      </x:c>
      <x:c r="G160" s="146" t="n">
        <x:v>8.013948287690317</x:v>
      </x:c>
      <x:c r="H160" s="146" t="n">
        <x:v>8.613668920142413</x:v>
      </x:c>
      <x:c r="I160" s="43" t="str">
        <x:v>General</x:v>
      </x:c>
      <x:c r="J160" s="43" t="str">
        <x:v>Depth</x:v>
      </x:c>
    </x:row>
    <x:row r="161" ht="18" customHeight="1">
      <x:c r="A161" s="43" t="n">
        <x:v>156</x:v>
      </x:c>
      <x:c r="B161" s="43" t="str">
        <x:v>K138</x:v>
      </x:c>
      <x:c r="C161" s="43" t="str">
        <x:v>(RaW)JØNS</x:v>
      </x:c>
      <x:c r="D161" s="146" t="n">
        <x:v>8.177050284571413</x:v>
      </x:c>
      <x:c r="E161" s="146" t="n">
        <x:v>8.724316393146498</x:v>
      </x:c>
      <x:c r="F161" s="146" t="n">
        <x:v>0.08625245191300004</x:v>
      </x:c>
      <x:c r="G161" s="146" t="n">
        <x:v>20.633698339276417</x:v>
      </x:c>
      <x:c r="H161" s="146" t="n">
        <x:v>1.8988383441505459</x:v>
      </x:c>
      <x:c r="I161" s="43" t="str">
        <x:v>Archers</x:v>
      </x:c>
      <x:c r="J161" s="43" t="str">
        <x:v>Depth</x:v>
      </x:c>
    </x:row>
    <x:row r="162" ht="18" customHeight="1">
      <x:c r="A162" s="43" t="n">
        <x:v>157</x:v>
      </x:c>
      <x:c r="B162" s="43" t="str">
        <x:v>K91</x:v>
      </x:c>
      <x:c r="C162" s="43" t="str">
        <x:v>Crash</x:v>
      </x:c>
      <x:c r="D162" s="146" t="n">
        <x:v>8.006347614007392</x:v>
      </x:c>
      <x:c r="E162" s="146" t="n">
        <x:v>3.357520273981264</x:v>
      </x:c>
      <x:c r="F162" s="146" t="n">
        <x:v>20.301111956151463</x:v>
      </x:c>
      <x:c r="G162" s="146" t="n">
        <x:v>1.5459495764555462</x:v>
      </x:c>
      <x:c r="H162" s="146" t="n">
        <x:v>7.686630743306301</x:v>
      </x:c>
      <x:c r="I162" s="43" t="str">
        <x:v>Cavalry</x:v>
      </x:c>
      <x:c r="J162" s="43" t="str">
        <x:v>Depth</x:v>
      </x:c>
    </x:row>
    <x:row r="163" ht="18" customHeight="1">
      <x:c r="A163" s="43" t="n">
        <x:v>158</x:v>
      </x:c>
      <x:c r="B163" s="43" t="str">
        <x:v>K116</x:v>
      </x:c>
      <x:c r="C163" s="43" t="str">
        <x:v>陶渊明</x:v>
      </x:c>
      <x:c r="D163" s="146" t="n">
        <x:v>7.045890562322528</x:v>
      </x:c>
      <x:c r="E163" s="146" t="n">
        <x:v>0.6624183981921398</x:v>
      </x:c>
      <x:c r="F163" s="146" t="n">
        <x:v>12.028208958498752</x:v>
      </x:c>
      <x:c r="G163" s="146" t="n">
        <x:v>2.8549525677209475</x:v>
      </x:c>
      <x:c r="H163" s="146" t="n">
        <x:v>15.631873306549805</x:v>
      </x:c>
      <x:c r="I163" s="43" t="str">
        <x:v>Siege</x:v>
      </x:c>
      <x:c r="J163" s="43" t="str">
        <x:v>Depth</x:v>
      </x:c>
    </x:row>
    <x:row r="164" ht="18" customHeight="1">
      <x:c r="A164" s="43" t="n">
        <x:v>159</x:v>
      </x:c>
      <x:c r="B164" s="43" t="str">
        <x:v>K197</x:v>
      </x:c>
      <x:c r="C164" s="43" t="str">
        <x:v>Caramel</x:v>
      </x:c>
      <x:c r="D164" s="146" t="n">
        <x:v>6.444982082539248</x:v>
      </x:c>
      <x:c r="E164" s="146" t="n">
        <x:v>3.779988492449954</x:v>
      </x:c>
      <x:c r="F164" s="146" t="n">
        <x:v>0.3110614814715815</x:v>
      </x:c>
      <x:c r="G164" s="146" t="n">
        <x:v>19.721392510834722</x:v>
      </x:c>
      <x:c r="H164" s="146" t="n">
        <x:v>1.51436018363843</x:v>
      </x:c>
      <x:c r="I164" s="43" t="str">
        <x:v>Archers</x:v>
      </x:c>
      <x:c r="J164" s="43" t="str">
        <x:v>Depth</x:v>
      </x:c>
    </x:row>
    <x:row r="165" ht="18" customHeight="1">
      <x:c r="A165" s="43" t="n">
        <x:v>160</x:v>
      </x:c>
      <x:c r="B165" s="43" t="str">
        <x:v>K54</x:v>
      </x:c>
      <x:c r="C165" s="43" t="str">
        <x:v>纵横,,,飞哥</x:v>
      </x:c>
      <x:c r="D165" s="146" t="n">
        <x:v>6.340245812034121</x:v>
      </x:c>
      <x:c r="E165" s="146" t="n">
        <x:v>0.8050292650986468</x:v>
      </x:c>
      <x:c r="F165" s="146" t="n">
        <x:v>19.73834771249679</x:v>
      </x:c>
      <x:c r="G165" s="146" t="n">
        <x:v>0.2532744380894333</x:v>
      </x:c>
      <x:c r="H165" s="146" t="n">
        <x:v>5.504157474289856</x:v>
      </x:c>
      <x:c r="I165" s="43" t="str">
        <x:v>Cavalry</x:v>
      </x:c>
      <x:c r="J165" s="43" t="str">
        <x:v>Depth</x:v>
      </x:c>
    </x:row>
    <x:row r="166" ht="18" customHeight="1">
      <x:c r="A166" s="43" t="n">
        <x:v>161</x:v>
      </x:c>
      <x:c r="B166" s="43" t="str">
        <x:v>K176</x:v>
      </x:c>
      <x:c r="C166" s="43" t="str">
        <x:v>我是贤熙</x:v>
      </x:c>
      <x:c r="D166" s="146" t="n">
        <x:v>6.302288665826884</x:v>
      </x:c>
      <x:c r="E166" s="146" t="n">
        <x:v>1.5800521393656424</x:v>
      </x:c>
      <x:c r="F166" s="146" t="n">
        <x:v>8.670319996988088</x:v>
      </x:c>
      <x:c r="G166" s="146" t="n">
        <x:v>0.596231517455995</x:v>
      </x:c>
      <x:c r="H166" s="146" t="n">
        <x:v>17.55817572703085</x:v>
      </x:c>
      <x:c r="I166" s="43" t="str">
        <x:v>Siege</x:v>
      </x:c>
      <x:c r="J166" s="43" t="str">
        <x:v>Depth</x:v>
      </x:c>
    </x:row>
    <x:row r="167" ht="18" customHeight="1">
      <x:c r="A167" s="43" t="n">
        <x:v>162</x:v>
      </x:c>
      <x:c r="B167" s="43" t="str">
        <x:v>K138</x:v>
      </x:c>
      <x:c r="C167" s="43" t="str">
        <x:v>(RaW)༺ASOS༻</x:v>
      </x:c>
      <x:c r="D167" s="146" t="n">
        <x:v>5.343323185473773</x:v>
      </x:c>
      <x:c r="E167" s="146" t="n">
        <x:v>6.506398105136359</x:v>
      </x:c>
      <x:c r="F167" s="146" t="n">
        <x:v>0.3745701653212957</x:v>
      </x:c>
      <x:c r="G167" s="146" t="n">
        <x:v>11.933517265342708</x:v>
      </x:c>
      <x:c r="H167" s="146" t="n">
        <x:v>1.5719094813343222</x:v>
      </x:c>
      <x:c r="I167" s="43" t="str">
        <x:v>Archers</x:v>
      </x:c>
      <x:c r="J167" s="43" t="str">
        <x:v>Depth</x:v>
      </x:c>
    </x:row>
    <x:row r="168" ht="18" customHeight="1">
      <x:c r="A168" s="43" t="n">
        <x:v>163</x:v>
      </x:c>
      <x:c r="B168" s="43" t="str">
        <x:v>K116</x:v>
      </x:c>
      <x:c r="C168" s="43" t="str">
        <x:v>芙蕾魚</x:v>
      </x:c>
      <x:c r="D168" s="146" t="n">
        <x:v>4.1493188908131975</x:v>
      </x:c>
      <x:c r="E168" s="146" t="n">
        <x:v>0.1863828547386023</x:v>
      </x:c>
      <x:c r="F168" s="146" t="n">
        <x:v>7.212905946544814</x:v>
      </x:c>
      <x:c r="G168" s="146" t="n">
        <x:v>0.4151969948745169</x:v>
      </x:c>
      <x:c r="H168" s="146" t="n">
        <x:v>10.931891495183919</x:v>
      </x:c>
      <x:c r="I168" s="43" t="str">
        <x:v>Siege</x:v>
      </x:c>
      <x:c r="J168" s="43" t="str">
        <x:v>Depth</x:v>
      </x:c>
    </x:row>
    <x:row r="169">
      <x:c r="A169" s="780" t="n">
        <x:v>164</x:v>
      </x:c>
      <x:c r="B169" s="774" t="str">
        <x:v>K116</x:v>
      </x:c>
      <x:c r="C169" s="774" t="str">
        <x:v>逍遥大官人</x:v>
      </x:c>
      <x:c r="D169" s="787" t="n">
        <x:v>4.117121318973453</x:v>
      </x:c>
      <x:c r="E169" s="787" t="n">
        <x:v>1.2059595981283564</x:v>
      </x:c>
      <x:c r="F169" s="787" t="n">
        <x:v>6.661282507303044</x:v>
      </x:c>
      <x:c r="G169" s="787" t="n">
        <x:v>0.9125885830164142</x:v>
      </x:c>
      <x:c r="H169" s="787" t="n">
        <x:v>9.309328334775405</x:v>
      </x:c>
      <x:c r="I169" s="774" t="str">
        <x:v>Siege</x:v>
      </x:c>
      <x:c r="J169" s="774" t="str">
        <x:v>Depth</x:v>
      </x:c>
    </x:row>
    <x:row r="170">
      <x:c r="A170" s="779" t="n">
        <x:v>165</x:v>
      </x:c>
      <x:c r="B170" s="771" t="str">
        <x:v>K116</x:v>
      </x:c>
      <x:c r="C170" s="771" t="str">
        <x:v>ALI</x:v>
      </x:c>
      <x:c r="D170" s="788" t="n">
        <x:v>2.775366208924507</x:v>
      </x:c>
      <x:c r="E170" s="788" t="n">
        <x:v>3.5968354741682202</x:v>
      </x:c>
      <x:c r="F170" s="788" t="n">
        <x:v>0.07332271414680597</x:v>
      </x:c>
      <x:c r="G170" s="788" t="n">
        <x:v>5.707235387342021</x:v>
      </x:c>
      <x:c r="H170" s="788" t="n">
        <x:v>1.2558802065091705</x:v>
      </x:c>
      <x:c r="I170" s="771" t="str">
        <x:v>Archers</x:v>
      </x:c>
      <x:c r="J170" s="771" t="str">
        <x:v>Depth</x:v>
      </x:c>
    </x:row>
    <x:row r="171">
      <x:c r="A171" s="780" t="n">
        <x:v>166</x:v>
      </x:c>
      <x:c r="B171" s="774" t="str">
        <x:v>K197</x:v>
      </x:c>
      <x:c r="C171" s="774" t="str">
        <x:v>LUIGUI</x:v>
      </x:c>
      <x:c r="D171" s="787" t="n">
        <x:v>1.8874858912706736</x:v>
      </x:c>
      <x:c r="E171" s="787" t="n">
        <x:v>0.6825245037589327</x:v>
      </x:c>
      <x:c r="F171" s="787" t="n">
        <x:v>0.15880434994385711</x:v>
      </x:c>
      <x:c r="G171" s="787" t="n">
        <x:v>6.3743132466634504</x:v>
      </x:c>
      <x:c r="H171" s="787" t="n">
        <x:v>0.24724570495583464</x:v>
      </x:c>
      <x:c r="I171" s="774" t="str">
        <x:v>Archers</x:v>
      </x:c>
      <x:c r="J171" s="774" t="str">
        <x:v>Depth</x:v>
      </x:c>
    </x:row>
    <x:row r="172">
      <x:c r="A172" s="779" t="n">
        <x:v>167</x:v>
      </x:c>
      <x:c r="B172" s="771" t="str">
        <x:v>K116</x:v>
      </x:c>
      <x:c r="C172" s="771" t="str">
        <x:v>不可盾号</x:v>
      </x:c>
      <x:c r="D172" s="788" t="n">
        <x:v>0.3797290825823813</x:v>
      </x:c>
      <x:c r="E172" s="788" t="n">
        <x:v>0.15714797347040815</x:v>
      </x:c>
      <x:c r="F172" s="788" t="n">
        <x:v>0.003256498291061079</x:v>
      </x:c>
      <x:c r="G172" s="788" t="n">
        <x:v>1.3244770652411255</x:v>
      </x:c>
      <x:c r="H172" s="788" t="n">
        <x:v>0.003256498291061079</x:v>
      </x:c>
      <x:c r="I172" s="771" t="str">
        <x:v>Archers</x:v>
      </x:c>
      <x:c r="J172" s="771" t="str">
        <x:v>Depth</x:v>
      </x:c>
    </x:row>
  </x:sheetData>
  <x:mergeCells>
    <x:mergeCell ref="A1:J1"/>
    <x:mergeCell ref="A2:J2"/>
    <x:mergeCell ref="A4:J4"/>
  </x:mergeCells>
  <x:conditionalFormatting sqref="D6:D16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6cdb11facbc49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</x:cols>
  <x:sheetData>
    <x:row r="1" ht="30" customHeight="1">
      <x:c r="A1" s="3" t="str">
        <x:v>Top 25 Total Damage — Each Rival Kingdom</x:v>
      </x:c>
      <x:c r="B1" s="3" t="str">
        <x:v>Top 25 Total Damage — Each Rival Kingdom</x:v>
      </x:c>
      <x:c r="C1" s="3" t="str">
        <x:v>Top 25 Total Damage — Each Rival Kingdom</x:v>
      </x:c>
      <x:c r="D1" s="3" t="str">
        <x:v>Top 25 Total Damage — Each Rival Kingdom</x:v>
      </x:c>
      <x:c r="E1" s="3" t="str">
        <x:v>Top 25 Total Damage — Each Rival Kingdom</x:v>
      </x:c>
      <x:c r="F1" s="3" t="str">
        <x:v>Top 25 Total Damage — Each Rival Kingdom</x:v>
      </x:c>
      <x:c r="G1" s="3" t="str">
        <x:v>Top 25 Total Damage — Each Rival Kingdom</x:v>
      </x:c>
      <x:c r="H1" s="3" t="str">
        <x:v>Top 25 Total Damage — Each Rival Kingdom</x:v>
      </x:c>
    </x:row>
    <x:row r="2" ht="24" customHeight="1">
      <x:c r="A2" s="7" t="str">
        <x:v>Raw score = Cavalry Damage + Archer Damage + Siege Damage</x:v>
      </x:c>
      <x:c r="B2" s="7" t="str">
        <x:v>Raw score = Cavalry Damage + Archer Damage + Siege Damage</x:v>
      </x:c>
      <x:c r="C2" s="7" t="str">
        <x:v>Raw score = Cavalry Damage + Archer Damage + Siege Damage</x:v>
      </x:c>
      <x:c r="D2" s="7" t="str">
        <x:v>Raw score = Cavalry Damage + Archer Damage + Siege Damage</x:v>
      </x:c>
      <x:c r="E2" s="7" t="str">
        <x:v>Raw score = Cavalry Damage + Archer Damage + Siege Damage</x:v>
      </x:c>
      <x:c r="F2" s="7" t="str">
        <x:v>Raw score = Cavalry Damage + Archer Damage + Siege Damage</x:v>
      </x:c>
      <x:c r="G2" s="7" t="str">
        <x:v>Raw score = Cavalry Damage + Archer Damage + Siege Damage</x:v>
      </x:c>
      <x:c r="H2" s="7" t="str">
        <x:v>Raw score = Cavalry Damage + Archer Damage + Siege Damage</x:v>
      </x:c>
    </x:row>
    <x:row r="4" ht="32" customHeight="1">
      <x:c r="A4" s="118" t="str">
        <x:v>Ranks are based only on the three displayed damage percentages. A kingdom with fewer than 25 recorded players shows every eligible player; missing damage values are not treated as zero.</x:v>
      </x:c>
      <x:c r="B4" s="118" t="str">
        <x:v>Ranks are based only on the three displayed damage percentages. A kingdom with fewer than 25 recorded players shows every eligible player; missing damage values are not treated as zero.</x:v>
      </x:c>
      <x:c r="C4" s="118" t="str">
        <x:v>Ranks are based only on the three displayed damage percentages. A kingdom with fewer than 25 recorded players shows every eligible player; missing damage values are not treated as zero.</x:v>
      </x:c>
      <x:c r="D4" s="118" t="str">
        <x:v>Ranks are based only on the three displayed damage percentages. A kingdom with fewer than 25 recorded players shows every eligible player; missing damage values are not treated as zero.</x:v>
      </x:c>
      <x:c r="E4" s="118" t="str">
        <x:v>Ranks are based only on the three displayed damage percentages. A kingdom with fewer than 25 recorded players shows every eligible player; missing damage values are not treated as zero.</x:v>
      </x:c>
      <x:c r="F4" s="118" t="str">
        <x:v>Ranks are based only on the three displayed damage percentages. A kingdom with fewer than 25 recorded players shows every eligible player; missing damage values are not treated as zero.</x:v>
      </x:c>
      <x:c r="G4" s="118" t="str">
        <x:v>Ranks are based only on the three displayed damage percentages. A kingdom with fewer than 25 recorded players shows every eligible player; missing damage values are not treated as zero.</x:v>
      </x:c>
      <x:c r="H4" s="118" t="str">
        <x:v>Ranks are based only on the three displayed damage percentages. A kingdom with fewer than 25 recorded players shows every eligible player; missing damage values are not treated as zero.</x:v>
      </x:c>
    </x:row>
    <x:row r="5" ht="28" customHeight="1">
      <x:c r="A5" s="42" t="str">
        <x:v>Server Rank</x:v>
      </x:c>
      <x:c r="B5" s="42" t="str">
        <x:v>Overall Rank</x:v>
      </x:c>
      <x:c r="C5" s="42" t="str">
        <x:v>Server</x:v>
      </x:c>
      <x:c r="D5" s="42" t="str">
        <x:v>Player</x:v>
      </x:c>
      <x:c r="E5" s="42" t="str">
        <x:v>Cavalry Damage</x:v>
      </x:c>
      <x:c r="F5" s="42" t="str">
        <x:v>Archer Damage</x:v>
      </x:c>
      <x:c r="G5" s="42" t="str">
        <x:v>Siege Damage</x:v>
      </x:c>
      <x:c r="H5" s="42" t="str">
        <x:v>Total Damage</x:v>
      </x:c>
    </x:row>
    <x:row r="6" ht="18" customHeight="1">
      <x:c r="A6" s="43" t="n">
        <x:v>1</x:v>
      </x:c>
      <x:c r="B6" s="43" t="n">
        <x:v>1</x:v>
      </x:c>
      <x:c r="C6" s="43" t="str">
        <x:v>K197</x:v>
      </x:c>
      <x:c r="D6" s="43" t="str">
        <x:v>Хлебушек</x:v>
      </x:c>
      <x:c r="E6" s="44" t="n">
        <x:v>2.275</x:v>
      </x:c>
      <x:c r="F6" s="44" t="n">
        <x:v>2.045</x:v>
      </x:c>
      <x:c r="G6" s="44" t="n">
        <x:v>2.045</x:v>
      </x:c>
      <x:c r="H6" s="44" t="n">
        <x:v>6.365</x:v>
      </x:c>
    </x:row>
    <x:row r="7" ht="18" customHeight="1">
      <x:c r="A7" s="43" t="n">
        <x:v>1</x:v>
      </x:c>
      <x:c r="B7" s="43" t="n">
        <x:v>2</x:v>
      </x:c>
      <x:c r="C7" s="43" t="str">
        <x:v>K91</x:v>
      </x:c>
      <x:c r="D7" s="43" t="str">
        <x:v>•Pain•</x:v>
      </x:c>
      <x:c r="E7" s="44" t="n">
        <x:v>2.145</x:v>
      </x:c>
      <x:c r="F7" s="44" t="n">
        <x:v>2.145</x:v>
      </x:c>
      <x:c r="G7" s="44" t="n">
        <x:v>2.045</x:v>
      </x:c>
      <x:c r="H7" s="44" t="n">
        <x:v>6.335</x:v>
      </x:c>
    </x:row>
    <x:row r="8" ht="18" customHeight="1">
      <x:c r="A8" s="43" t="n">
        <x:v>1</x:v>
      </x:c>
      <x:c r="B8" s="43" t="n">
        <x:v>3</x:v>
      </x:c>
      <x:c r="C8" s="43" t="str">
        <x:v>K60</x:v>
      </x:c>
      <x:c r="D8" s="43" t="str">
        <x:v>InFlames</x:v>
      </x:c>
      <x:c r="E8" s="44" t="n">
        <x:v>2.1075</x:v>
      </x:c>
      <x:c r="F8" s="44" t="n">
        <x:v>2.045</x:v>
      </x:c>
      <x:c r="G8" s="44" t="n">
        <x:v>2.0075</x:v>
      </x:c>
      <x:c r="H8" s="44" t="n">
        <x:v>6.16</x:v>
      </x:c>
    </x:row>
    <x:row r="9" ht="18" customHeight="1">
      <x:c r="A9" s="43" t="n">
        <x:v>1</x:v>
      </x:c>
      <x:c r="B9" s="43" t="n">
        <x:v>4</x:v>
      </x:c>
      <x:c r="C9" s="43" t="str">
        <x:v>K54</x:v>
      </x:c>
      <x:c r="D9" s="43" t="str">
        <x:v>爽歪歪</x:v>
      </x:c>
      <x:c r="E9" s="44" t="n">
        <x:v>2.045</x:v>
      </x:c>
      <x:c r="F9" s="44" t="n">
        <x:v>2.045</x:v>
      </x:c>
      <x:c r="G9" s="44" t="n">
        <x:v>2.045</x:v>
      </x:c>
      <x:c r="H9" s="44" t="n">
        <x:v>6.135</x:v>
      </x:c>
    </x:row>
    <x:row r="10" ht="18" customHeight="1">
      <x:c r="A10" s="43" t="n">
        <x:v>1</x:v>
      </x:c>
      <x:c r="B10" s="43" t="n">
        <x:v>5</x:v>
      </x:c>
      <x:c r="C10" s="43" t="str">
        <x:v>K116</x:v>
      </x:c>
      <x:c r="D10" s="43" t="str">
        <x:v>Jesse</x:v>
      </x:c>
      <x:c r="E10" s="44" t="n">
        <x:v>2.1075</x:v>
      </x:c>
      <x:c r="F10" s="44" t="n">
        <x:v>2.045</x:v>
      </x:c>
      <x:c r="G10" s="44" t="n">
        <x:v>1.935</x:v>
      </x:c>
      <x:c r="H10" s="44" t="n">
        <x:v>6.0875</x:v>
      </x:c>
    </x:row>
    <x:row r="11" ht="18" customHeight="1">
      <x:c r="A11" s="43" t="n">
        <x:v>2</x:v>
      </x:c>
      <x:c r="B11" s="43" t="n">
        <x:v>6</x:v>
      </x:c>
      <x:c r="C11" s="43" t="str">
        <x:v>K54</x:v>
      </x:c>
      <x:c r="D11" s="43" t="str">
        <x:v>纵横,,,杀戮</x:v>
      </x:c>
      <x:c r="E11" s="44" t="n">
        <x:v>2.08</x:v>
      </x:c>
      <x:c r="F11" s="44" t="n">
        <x:v>2.08</x:v>
      </x:c>
      <x:c r="G11" s="44" t="n">
        <x:v>1.7875</x:v>
      </x:c>
      <x:c r="H11" s="44" t="n">
        <x:v>5.9475</x:v>
      </x:c>
    </x:row>
    <x:row r="12" ht="18" customHeight="1">
      <x:c r="A12" s="43" t="n">
        <x:v>2</x:v>
      </x:c>
      <x:c r="B12" s="43" t="n">
        <x:v>7</x:v>
      </x:c>
      <x:c r="C12" s="43" t="str">
        <x:v>K197</x:v>
      </x:c>
      <x:c r="D12" s="43" t="str">
        <x:v>-GAMERMAN-</x:v>
      </x:c>
      <x:c r="E12" s="44" t="n">
        <x:v>2.04</x:v>
      </x:c>
      <x:c r="F12" s="44" t="n">
        <x:v>1.915</x:v>
      </x:c>
      <x:c r="G12" s="44" t="n">
        <x:v>1.8675</x:v>
      </x:c>
      <x:c r="H12" s="44" t="n">
        <x:v>5.8225</x:v>
      </x:c>
    </x:row>
    <x:row r="13" ht="18" customHeight="1">
      <x:c r="A13" s="43" t="n">
        <x:v>2</x:v>
      </x:c>
      <x:c r="B13" s="43" t="n">
        <x:v>8</x:v>
      </x:c>
      <x:c r="C13" s="43" t="str">
        <x:v>K60</x:v>
      </x:c>
      <x:c r="D13" s="43" t="str">
        <x:v>°Silent°</x:v>
      </x:c>
      <x:c r="E13" s="44" t="n">
        <x:v>1.9775</x:v>
      </x:c>
      <x:c r="F13" s="44" t="n">
        <x:v>2.015</x:v>
      </x:c>
      <x:c r="G13" s="44" t="n">
        <x:v>1.7675</x:v>
      </x:c>
      <x:c r="H13" s="44" t="n">
        <x:v>5.76</x:v>
      </x:c>
    </x:row>
    <x:row r="14" ht="18" customHeight="1">
      <x:c r="A14" s="43" t="n">
        <x:v>3</x:v>
      </x:c>
      <x:c r="B14" s="43" t="n">
        <x:v>9</x:v>
      </x:c>
      <x:c r="C14" s="43" t="str">
        <x:v>K54</x:v>
      </x:c>
      <x:c r="D14" s="43" t="str">
        <x:v>醉红尘</x:v>
      </x:c>
      <x:c r="E14" s="44" t="n">
        <x:v>1.915</x:v>
      </x:c>
      <x:c r="F14" s="44" t="n">
        <x:v>1.915</x:v>
      </x:c>
      <x:c r="G14" s="44" t="n">
        <x:v>1.915</x:v>
      </x:c>
      <x:c r="H14" s="44" t="n">
        <x:v>5.745</x:v>
      </x:c>
    </x:row>
    <x:row r="15" ht="18" customHeight="1">
      <x:c r="A15" s="43" t="n">
        <x:v>1</x:v>
      </x:c>
      <x:c r="B15" s="43" t="n">
        <x:v>10</x:v>
      </x:c>
      <x:c r="C15" s="43" t="str">
        <x:v>K170</x:v>
      </x:c>
      <x:c r="D15" s="43" t="str">
        <x:v>(AOT)MG·Yu</x:v>
      </x:c>
      <x:c r="E15" s="44" t="n">
        <x:v>1.9975</x:v>
      </x:c>
      <x:c r="F15" s="44" t="n">
        <x:v>2.035</x:v>
      </x:c>
      <x:c r="G15" s="44" t="n">
        <x:v>1.635</x:v>
      </x:c>
      <x:c r="H15" s="44" t="n">
        <x:v>5.6675</x:v>
      </x:c>
    </x:row>
    <x:row r="16" ht="18" customHeight="1">
      <x:c r="A16" s="43" t="n">
        <x:v>1</x:v>
      </x:c>
      <x:c r="B16" s="43" t="n">
        <x:v>11</x:v>
      </x:c>
      <x:c r="C16" s="43" t="str">
        <x:v>K138</x:v>
      </x:c>
      <x:c r="D16" s="43" t="str">
        <x:v>(RaW)Critykal</x:v>
      </x:c>
      <x:c r="E16" s="44" t="n">
        <x:v>1.9275</x:v>
      </x:c>
      <x:c r="F16" s="44" t="n">
        <x:v>1.8875</x:v>
      </x:c>
      <x:c r="G16" s="44" t="n">
        <x:v>1.7675</x:v>
      </x:c>
      <x:c r="H16" s="44" t="n">
        <x:v>5.5825</x:v>
      </x:c>
    </x:row>
    <x:row r="17" ht="18" customHeight="1">
      <x:c r="A17" s="43" t="n">
        <x:v>2</x:v>
      </x:c>
      <x:c r="B17" s="43" t="n">
        <x:v>12</x:v>
      </x:c>
      <x:c r="C17" s="43" t="str">
        <x:v>K138</x:v>
      </x:c>
      <x:c r="D17" s="43" t="str">
        <x:v>(RaW)SLAP</x:v>
      </x:c>
      <x:c r="E17" s="44" t="n">
        <x:v>1.865</x:v>
      </x:c>
      <x:c r="F17" s="44" t="n">
        <x:v>1.8875</x:v>
      </x:c>
      <x:c r="G17" s="44" t="n">
        <x:v>1.8075</x:v>
      </x:c>
      <x:c r="H17" s="44" t="n">
        <x:v>5.5600000000000005</x:v>
      </x:c>
    </x:row>
    <x:row r="18" ht="18" customHeight="1">
      <x:c r="A18" s="43" t="n">
        <x:v>4</x:v>
      </x:c>
      <x:c r="B18" s="43" t="n">
        <x:v>13</x:v>
      </x:c>
      <x:c r="C18" s="43" t="str">
        <x:v>K54</x:v>
      </x:c>
      <x:c r="D18" s="43" t="str">
        <x:v>纵横,,,大风</x:v>
      </x:c>
      <x:c r="E18" s="44" t="n">
        <x:v>1.825</x:v>
      </x:c>
      <x:c r="F18" s="44" t="n">
        <x:v>1.825</x:v>
      </x:c>
      <x:c r="G18" s="44" t="n">
        <x:v>1.8975</x:v>
      </x:c>
      <x:c r="H18" s="44" t="n">
        <x:v>5.547499999999999</x:v>
      </x:c>
    </x:row>
    <x:row r="19" ht="18" customHeight="1">
      <x:c r="A19" s="43" t="n">
        <x:v>3</x:v>
      </x:c>
      <x:c r="B19" s="43" t="n">
        <x:v>14</x:v>
      </x:c>
      <x:c r="C19" s="43" t="str">
        <x:v>K60</x:v>
      </x:c>
      <x:c r="D19" s="43" t="str">
        <x:v>RONINtrike</x:v>
      </x:c>
      <x:c r="E19" s="44" t="n">
        <x:v>1.825</x:v>
      </x:c>
      <x:c r="F19" s="44" t="n">
        <x:v>1.9275</x:v>
      </x:c>
      <x:c r="G19" s="44" t="n">
        <x:v>1.7675</x:v>
      </x:c>
      <x:c r="H19" s="44" t="n">
        <x:v>5.52</x:v>
      </x:c>
    </x:row>
    <x:row r="20" ht="18" customHeight="1">
      <x:c r="A20" s="43" t="n">
        <x:v>1</x:v>
      </x:c>
      <x:c r="B20" s="43" t="n">
        <x:v>15</x:v>
      </x:c>
      <x:c r="C20" s="43" t="str">
        <x:v>K176</x:v>
      </x:c>
      <x:c r="D20" s="43" t="str">
        <x:v>苟拓通天肆意妄为</x:v>
      </x:c>
      <x:c r="E20" s="44" t="n">
        <x:v>1.805</x:v>
      </x:c>
      <x:c r="F20" s="44" t="n">
        <x:v>1.8675</x:v>
      </x:c>
      <x:c r="G20" s="44" t="n">
        <x:v>1.805</x:v>
      </x:c>
      <x:c r="H20" s="44" t="n">
        <x:v>5.4775</x:v>
      </x:c>
    </x:row>
    <x:row r="21" ht="18" customHeight="1">
      <x:c r="A21" s="43" t="n">
        <x:v>4</x:v>
      </x:c>
      <x:c r="B21" s="43" t="n">
        <x:v>16</x:v>
      </x:c>
      <x:c r="C21" s="43" t="str">
        <x:v>K60</x:v>
      </x:c>
      <x:c r="D21" s="43" t="str">
        <x:v>CerialKiller</x:v>
      </x:c>
      <x:c r="E21" s="44" t="n">
        <x:v>1.805</x:v>
      </x:c>
      <x:c r="F21" s="44" t="n">
        <x:v>1.93</x:v>
      </x:c>
      <x:c r="G21" s="44" t="n">
        <x:v>1.695</x:v>
      </x:c>
      <x:c r="H21" s="44" t="n">
        <x:v>5.43</x:v>
      </x:c>
    </x:row>
    <x:row r="22" ht="18" customHeight="1">
      <x:c r="A22" s="43" t="n">
        <x:v>2</x:v>
      </x:c>
      <x:c r="B22" s="43" t="n">
        <x:v>17</x:v>
      </x:c>
      <x:c r="C22" s="43" t="str">
        <x:v>K170</x:v>
      </x:c>
      <x:c r="D22" s="43" t="str">
        <x:v>(AOT)StFruz</x:v>
      </x:c>
      <x:c r="E22" s="44" t="n">
        <x:v>1.845</x:v>
      </x:c>
      <x:c r="F22" s="44" t="n">
        <x:v>1.8875</x:v>
      </x:c>
      <x:c r="G22" s="44" t="n">
        <x:v>1.6425</x:v>
      </x:c>
      <x:c r="H22" s="44" t="n">
        <x:v>5.375</x:v>
      </x:c>
    </x:row>
    <x:row r="23" ht="18" customHeight="1">
      <x:c r="A23" s="43" t="n">
        <x:v>3</x:v>
      </x:c>
      <x:c r="B23" s="43" t="n">
        <x:v>18</x:v>
      </x:c>
      <x:c r="C23" s="43" t="str">
        <x:v>K138</x:v>
      </x:c>
      <x:c r="D23" s="43" t="str">
        <x:v>(RaW)让世界沐浴在血中</x:v>
      </x:c>
      <x:c r="E23" s="44" t="n">
        <x:v>1.85</x:v>
      </x:c>
      <x:c r="F23" s="44" t="n">
        <x:v>1.845</x:v>
      </x:c>
      <x:c r="G23" s="44" t="n">
        <x:v>1.6575</x:v>
      </x:c>
      <x:c r="H23" s="44" t="n">
        <x:v>5.3525</x:v>
      </x:c>
    </x:row>
    <x:row r="24" ht="18" customHeight="1">
      <x:c r="A24" s="43" t="n">
        <x:v>3</x:v>
      </x:c>
      <x:c r="B24" s="43" t="n">
        <x:v>19</x:v>
      </x:c>
      <x:c r="C24" s="43" t="str">
        <x:v>K170</x:v>
      </x:c>
      <x:c r="D24" s="43" t="str">
        <x:v>(AOT)Themechanic</x:v>
      </x:c>
      <x:c r="E24" s="44" t="n">
        <x:v>1.825</x:v>
      </x:c>
      <x:c r="F24" s="44" t="n">
        <x:v>1.9275</x:v>
      </x:c>
      <x:c r="G24" s="44" t="n">
        <x:v>1.56</x:v>
      </x:c>
      <x:c r="H24" s="44" t="n">
        <x:v>5.3125</x:v>
      </x:c>
    </x:row>
    <x:row r="25" ht="18" customHeight="1">
      <x:c r="A25" s="43" t="n">
        <x:v>5</x:v>
      </x:c>
      <x:c r="B25" s="43" t="n">
        <x:v>20</x:v>
      </x:c>
      <x:c r="C25" s="43" t="str">
        <x:v>K60</x:v>
      </x:c>
      <x:c r="D25" s="43" t="str">
        <x:v>#14 元气满满 (148,500)</x:v>
      </x:c>
      <x:c r="E25" s="44" t="n">
        <x:v>1.74</x:v>
      </x:c>
      <x:c r="F25" s="44" t="n">
        <x:v>1.7775</x:v>
      </x:c>
      <x:c r="G25" s="44" t="n">
        <x:v>1.6575</x:v>
      </x:c>
      <x:c r="H25" s="44" t="n">
        <x:v>5.175</x:v>
      </x:c>
    </x:row>
    <x:row r="26" ht="18" customHeight="1">
      <x:c r="A26" s="43" t="n">
        <x:v>4</x:v>
      </x:c>
      <x:c r="B26" s="43" t="n">
        <x:v>21</x:v>
      </x:c>
      <x:c r="C26" s="43" t="str">
        <x:v>K138</x:v>
      </x:c>
      <x:c r="D26" s="43" t="str">
        <x:v>(RaW)༺Aryz༻</x:v>
      </x:c>
      <x:c r="E26" s="44" t="n">
        <x:v>1.74</x:v>
      </x:c>
      <x:c r="F26" s="44" t="n">
        <x:v>1.7775</x:v>
      </x:c>
      <x:c r="G26" s="44" t="n">
        <x:v>1.6575</x:v>
      </x:c>
      <x:c r="H26" s="44" t="n">
        <x:v>5.175</x:v>
      </x:c>
    </x:row>
    <x:row r="27" ht="18" customHeight="1">
      <x:c r="A27" s="43" t="n">
        <x:v>4</x:v>
      </x:c>
      <x:c r="B27" s="43" t="n">
        <x:v>22</x:v>
      </x:c>
      <x:c r="C27" s="43" t="str">
        <x:v>K170</x:v>
      </x:c>
      <x:c r="D27" s="43" t="str">
        <x:v>(AOT)aweirdmind</x:v>
      </x:c>
      <x:c r="E27" s="44" t="n">
        <x:v>1.765</x:v>
      </x:c>
      <x:c r="F27" s="44" t="n">
        <x:v>1.84</x:v>
      </x:c>
      <x:c r="G27" s="44" t="n">
        <x:v>1.56</x:v>
      </x:c>
      <x:c r="H27" s="44" t="n">
        <x:v>5.165</x:v>
      </x:c>
    </x:row>
    <x:row r="28" ht="18" customHeight="1">
      <x:c r="A28" s="43" t="n">
        <x:v>5</x:v>
      </x:c>
      <x:c r="B28" s="43" t="n">
        <x:v>23</x:v>
      </x:c>
      <x:c r="C28" s="43" t="str">
        <x:v>K138</x:v>
      </x:c>
      <x:c r="D28" s="43" t="str">
        <x:v>(RaW)༺博卡Ajax༻</x:v>
      </x:c>
      <x:c r="E28" s="44" t="n">
        <x:v>1.6575</x:v>
      </x:c>
      <x:c r="F28" s="44" t="n">
        <x:v>1.735</x:v>
      </x:c>
      <x:c r="G28" s="44" t="n">
        <x:v>1.7675</x:v>
      </x:c>
      <x:c r="H28" s="44" t="n">
        <x:v>5.16</x:v>
      </x:c>
    </x:row>
    <x:row r="29" ht="18" customHeight="1">
      <x:c r="A29" s="43" t="n">
        <x:v>5</x:v>
      </x:c>
      <x:c r="B29" s="43" t="n">
        <x:v>24</x:v>
      </x:c>
      <x:c r="C29" s="43" t="str">
        <x:v>K170</x:v>
      </x:c>
      <x:c r="D29" s="43" t="str">
        <x:v>(AOT)Kelley</x:v>
      </x:c>
      <x:c r="E29" s="44" t="n">
        <x:v>1.72</x:v>
      </x:c>
      <x:c r="F29" s="44" t="n">
        <x:v>1.8275</x:v>
      </x:c>
      <x:c r="G29" s="44" t="n">
        <x:v>1.595</x:v>
      </x:c>
      <x:c r="H29" s="44" t="n">
        <x:v>5.1425</x:v>
      </x:c>
    </x:row>
    <x:row r="30" ht="18" customHeight="1">
      <x:c r="A30" s="43" t="n">
        <x:v>6</x:v>
      </x:c>
      <x:c r="B30" s="43" t="n">
        <x:v>25</x:v>
      </x:c>
      <x:c r="C30" s="43" t="str">
        <x:v>K170</x:v>
      </x:c>
      <x:c r="D30" s="43" t="str">
        <x:v>(AOT)鸣鸣鸣</x:v>
      </x:c>
      <x:c r="E30" s="44" t="n">
        <x:v>1.7175</x:v>
      </x:c>
      <x:c r="F30" s="44" t="n">
        <x:v>1.8575</x:v>
      </x:c>
      <x:c r="G30" s="44" t="n">
        <x:v>1.56</x:v>
      </x:c>
      <x:c r="H30" s="44" t="n">
        <x:v>5.135</x:v>
      </x:c>
    </x:row>
    <x:row r="31" ht="18" customHeight="1">
      <x:c r="A31" s="43" t="n">
        <x:v>6</x:v>
      </x:c>
      <x:c r="B31" s="43" t="n">
        <x:v>26</x:v>
      </x:c>
      <x:c r="C31" s="43" t="str">
        <x:v>K138</x:v>
      </x:c>
      <x:c r="D31" s="43" t="str">
        <x:v>(RaW)Maddog</x:v>
      </x:c>
      <x:c r="E31" s="44" t="n">
        <x:v>1.705</x:v>
      </x:c>
      <x:c r="F31" s="44" t="n">
        <x:v>1.76</x:v>
      </x:c>
      <x:c r="G31" s="44" t="n">
        <x:v>1.6575</x:v>
      </x:c>
      <x:c r="H31" s="44" t="n">
        <x:v>5.1225</x:v>
      </x:c>
    </x:row>
    <x:row r="32" ht="18" customHeight="1">
      <x:c r="A32" s="43" t="n">
        <x:v>6</x:v>
      </x:c>
      <x:c r="B32" s="43" t="n">
        <x:v>27</x:v>
      </x:c>
      <x:c r="C32" s="43" t="str">
        <x:v>K60</x:v>
      </x:c>
      <x:c r="D32" s="43" t="str">
        <x:v>邪恶的Xero</x:v>
      </x:c>
      <x:c r="E32" s="44" t="n">
        <x:v>1.78</x:v>
      </x:c>
      <x:c r="F32" s="44" t="n">
        <x:v>1.7775</x:v>
      </x:c>
      <x:c r="G32" s="44" t="n">
        <x:v>1.56</x:v>
      </x:c>
      <x:c r="H32" s="44" t="n">
        <x:v>5.1175</x:v>
      </x:c>
    </x:row>
    <x:row r="33" ht="18" customHeight="1">
      <x:c r="A33" s="43" t="n">
        <x:v>7</x:v>
      </x:c>
      <x:c r="B33" s="43" t="n">
        <x:v>28</x:v>
      </x:c>
      <x:c r="C33" s="43" t="str">
        <x:v>K138</x:v>
      </x:c>
      <x:c r="D33" s="43" t="str">
        <x:v>(RaW)༺Frankie༻</x:v>
      </x:c>
      <x:c r="E33" s="44" t="n">
        <x:v>1.74</x:v>
      </x:c>
      <x:c r="F33" s="44" t="n">
        <x:v>1.715</x:v>
      </x:c>
      <x:c r="G33" s="44" t="n">
        <x:v>1.6575</x:v>
      </x:c>
      <x:c r="H33" s="44" t="n">
        <x:v>5.1125</x:v>
      </x:c>
    </x:row>
    <x:row r="34" ht="18" customHeight="1">
      <x:c r="A34" s="43" t="n">
        <x:v>7</x:v>
      </x:c>
      <x:c r="B34" s="43" t="n">
        <x:v>29</x:v>
      </x:c>
      <x:c r="C34" s="43" t="str">
        <x:v>K60</x:v>
      </x:c>
      <x:c r="D34" s="43" t="str">
        <x:v>Дерог</x:v>
      </x:c>
      <x:c r="E34" s="44" t="n">
        <x:v>1.74</x:v>
      </x:c>
      <x:c r="F34" s="44" t="n">
        <x:v>1.755</x:v>
      </x:c>
      <x:c r="G34" s="44" t="n">
        <x:v>1.6</x:v>
      </x:c>
      <x:c r="H34" s="44" t="n">
        <x:v>5.095000000000001</x:v>
      </x:c>
    </x:row>
    <x:row r="35" ht="18" customHeight="1">
      <x:c r="A35" s="43" t="n">
        <x:v>3</x:v>
      </x:c>
      <x:c r="B35" s="43" t="n">
        <x:v>30</x:v>
      </x:c>
      <x:c r="C35" s="43" t="str">
        <x:v>K197</x:v>
      </x:c>
      <x:c r="D35" s="43" t="str">
        <x:v>Saku</x:v>
      </x:c>
      <x:c r="E35" s="44" t="n">
        <x:v>1.74</x:v>
      </x:c>
      <x:c r="F35" s="44" t="n">
        <x:v>1.7775</x:v>
      </x:c>
      <x:c r="G35" s="44" t="n">
        <x:v>1.56</x:v>
      </x:c>
      <x:c r="H35" s="44" t="n">
        <x:v>5.077500000000001</x:v>
      </x:c>
    </x:row>
    <x:row r="36" ht="18" customHeight="1">
      <x:c r="A36" s="43" t="n">
        <x:v>2</x:v>
      </x:c>
      <x:c r="B36" s="43" t="n">
        <x:v>31</x:v>
      </x:c>
      <x:c r="C36" s="43" t="str">
        <x:v>K91</x:v>
      </x:c>
      <x:c r="D36" s="43" t="str">
        <x:v>Skrapz</x:v>
      </x:c>
      <x:c r="E36" s="44" t="n">
        <x:v>1.695</x:v>
      </x:c>
      <x:c r="F36" s="44" t="n">
        <x:v>1.695</x:v>
      </x:c>
      <x:c r="G36" s="44" t="n">
        <x:v>1.6575</x:v>
      </x:c>
      <x:c r="H36" s="44" t="n">
        <x:v>5.0475</x:v>
      </x:c>
    </x:row>
    <x:row r="37" ht="18" customHeight="1">
      <x:c r="A37" s="43" t="n">
        <x:v>5</x:v>
      </x:c>
      <x:c r="B37" s="43" t="n">
        <x:v>32</x:v>
      </x:c>
      <x:c r="C37" s="43" t="str">
        <x:v>K54</x:v>
      </x:c>
      <x:c r="D37" s="43" t="str">
        <x:v>纵横,,,金王</x:v>
      </x:c>
      <x:c r="E37" s="44" t="n">
        <x:v>1.695</x:v>
      </x:c>
      <x:c r="F37" s="44" t="n">
        <x:v>1.72</x:v>
      </x:c>
      <x:c r="G37" s="44" t="n">
        <x:v>1.6225</x:v>
      </x:c>
      <x:c r="H37" s="44" t="n">
        <x:v>5.0375</x:v>
      </x:c>
    </x:row>
    <x:row r="38" ht="18" customHeight="1">
      <x:c r="A38" s="43" t="n">
        <x:v>7</x:v>
      </x:c>
      <x:c r="B38" s="43" t="n">
        <x:v>33</x:v>
      </x:c>
      <x:c r="C38" s="43" t="str">
        <x:v>K170</x:v>
      </x:c>
      <x:c r="D38" s="43" t="str">
        <x:v>(AOT)Doctopussy</x:v>
      </x:c>
      <x:c r="E38" s="44" t="n">
        <x:v>1.7175</x:v>
      </x:c>
      <x:c r="F38" s="44" t="n">
        <x:v>1.8025</x:v>
      </x:c>
      <x:c r="G38" s="44" t="n">
        <x:v>1.505</x:v>
      </x:c>
      <x:c r="H38" s="44" t="n">
        <x:v>5.025</x:v>
      </x:c>
    </x:row>
    <x:row r="39" ht="18" customHeight="1">
      <x:c r="A39" s="43" t="n">
        <x:v>8</x:v>
      </x:c>
      <x:c r="B39" s="43" t="n">
        <x:v>34</x:v>
      </x:c>
      <x:c r="C39" s="43" t="str">
        <x:v>K60</x:v>
      </x:c>
      <x:c r="D39" s="43" t="str">
        <x:v>AAB</x:v>
      </x:c>
      <x:c r="E39" s="44" t="n">
        <x:v>1.78</x:v>
      </x:c>
      <x:c r="F39" s="44" t="n">
        <x:v>1.715</x:v>
      </x:c>
      <x:c r="G39" s="44" t="n">
        <x:v>1.52</x:v>
      </x:c>
      <x:c r="H39" s="44" t="n">
        <x:v>5.015000000000001</x:v>
      </x:c>
    </x:row>
    <x:row r="40" ht="18" customHeight="1">
      <x:c r="A40" s="43" t="n">
        <x:v>8</x:v>
      </x:c>
      <x:c r="B40" s="43" t="n">
        <x:v>35</x:v>
      </x:c>
      <x:c r="C40" s="43" t="str">
        <x:v>K138</x:v>
      </x:c>
      <x:c r="D40" s="43" t="str">
        <x:v>(RaW)༺JOJO༻</x:v>
      </x:c>
      <x:c r="E40" s="44" t="n">
        <x:v>1.7175</x:v>
      </x:c>
      <x:c r="F40" s="44" t="n">
        <x:v>1.715</x:v>
      </x:c>
      <x:c r="G40" s="44" t="n">
        <x:v>1.56</x:v>
      </x:c>
      <x:c r="H40" s="44" t="n">
        <x:v>4.9925</x:v>
      </x:c>
    </x:row>
    <x:row r="41" ht="18" customHeight="1">
      <x:c r="A41" s="43" t="n">
        <x:v>2</x:v>
      </x:c>
      <x:c r="B41" s="43" t="n">
        <x:v>36</x:v>
      </x:c>
      <x:c r="C41" s="43" t="str">
        <x:v>K116</x:v>
      </x:c>
      <x:c r="D41" s="43" t="str">
        <x:v>汰需尚青</x:v>
      </x:c>
      <x:c r="E41" s="44" t="n">
        <x:v>1.685</x:v>
      </x:c>
      <x:c r="F41" s="44" t="n">
        <x:v>1.8475</x:v>
      </x:c>
      <x:c r="G41" s="44" t="n">
        <x:v>1.365</x:v>
      </x:c>
      <x:c r="H41" s="44" t="n">
        <x:v>4.8975</x:v>
      </x:c>
    </x:row>
    <x:row r="42" ht="18" customHeight="1">
      <x:c r="A42" s="43" t="n">
        <x:v>3</x:v>
      </x:c>
      <x:c r="B42" s="43" t="n">
        <x:v>37</x:v>
      </x:c>
      <x:c r="C42" s="43" t="str">
        <x:v>K116</x:v>
      </x:c>
      <x:c r="D42" s="43" t="str">
        <x:v>开始摆烂</x:v>
      </x:c>
      <x:c r="E42" s="44" t="n">
        <x:v>1.73</x:v>
      </x:c>
      <x:c r="F42" s="44" t="n">
        <x:v>1.675</x:v>
      </x:c>
      <x:c r="G42" s="44" t="n">
        <x:v>1.4475</x:v>
      </x:c>
      <x:c r="H42" s="44" t="n">
        <x:v>4.8525</x:v>
      </x:c>
    </x:row>
    <x:row r="43" ht="18" customHeight="1">
      <x:c r="A43" s="43" t="n">
        <x:v>8</x:v>
      </x:c>
      <x:c r="B43" s="43" t="n">
        <x:v>38</x:v>
      </x:c>
      <x:c r="C43" s="43" t="str">
        <x:v>K170</x:v>
      </x:c>
      <x:c r="D43" s="43" t="str">
        <x:v>(AOT)Fenixx</x:v>
      </x:c>
      <x:c r="E43" s="44" t="n">
        <x:v>1.61</x:v>
      </x:c>
      <x:c r="F43" s="44" t="n">
        <x:v>1.735</x:v>
      </x:c>
      <x:c r="G43" s="44" t="n">
        <x:v>1.47</x:v>
      </x:c>
      <x:c r="H43" s="44" t="n">
        <x:v>4.815</x:v>
      </x:c>
    </x:row>
    <x:row r="44" ht="18" customHeight="1">
      <x:c r="A44" s="43" t="n">
        <x:v>2</x:v>
      </x:c>
      <x:c r="B44" s="43" t="n">
        <x:v>39</x:v>
      </x:c>
      <x:c r="C44" s="43" t="str">
        <x:v>K176</x:v>
      </x:c>
      <x:c r="D44" s="43" t="str">
        <x:v>ʚ老⑥ɞ</x:v>
      </x:c>
      <x:c r="E44" s="44" t="n">
        <x:v>1.61</x:v>
      </x:c>
      <x:c r="F44" s="44" t="n">
        <x:v>1.565</x:v>
      </x:c>
      <x:c r="G44" s="44" t="n">
        <x:v>1.6375</x:v>
      </x:c>
      <x:c r="H44" s="44" t="n">
        <x:v>4.8125</x:v>
      </x:c>
    </x:row>
    <x:row r="45" ht="18" customHeight="1">
      <x:c r="A45" s="43" t="n">
        <x:v>9</x:v>
      </x:c>
      <x:c r="B45" s="43" t="n">
        <x:v>40</x:v>
      </x:c>
      <x:c r="C45" s="43" t="str">
        <x:v>K170</x:v>
      </x:c>
      <x:c r="D45" s="43" t="str">
        <x:v>(AOT)MONKEY</x:v>
      </x:c>
      <x:c r="E45" s="44" t="n">
        <x:v>1.59</x:v>
      </x:c>
      <x:c r="F45" s="44" t="n">
        <x:v>1.745</x:v>
      </x:c>
      <x:c r="G45" s="44" t="n">
        <x:v>1.465</x:v>
      </x:c>
      <x:c r="H45" s="44" t="n">
        <x:v>4.8</x:v>
      </x:c>
    </x:row>
    <x:row r="46" ht="18" customHeight="1">
      <x:c r="A46" s="43" t="n">
        <x:v>6</x:v>
      </x:c>
      <x:c r="B46" s="43" t="n">
        <x:v>41</x:v>
      </x:c>
      <x:c r="C46" s="43" t="str">
        <x:v>K54</x:v>
      </x:c>
      <x:c r="D46" s="43" t="str">
        <x:v>纵横,,,Nike耐克</x:v>
      </x:c>
      <x:c r="E46" s="44" t="n">
        <x:v>1.6725</x:v>
      </x:c>
      <x:c r="F46" s="44" t="n">
        <x:v>1.5475</x:v>
      </x:c>
      <x:c r="G46" s="44" t="n">
        <x:v>1.465</x:v>
      </x:c>
      <x:c r="H46" s="44" t="n">
        <x:v>4.6850000000000005</x:v>
      </x:c>
    </x:row>
    <x:row r="47" ht="18" customHeight="1">
      <x:c r="A47" s="43" t="n">
        <x:v>10</x:v>
      </x:c>
      <x:c r="B47" s="43" t="n">
        <x:v>42</x:v>
      </x:c>
      <x:c r="C47" s="43" t="str">
        <x:v>K170</x:v>
      </x:c>
      <x:c r="D47" s="43" t="str">
        <x:v>(AOT)VAB999</x:v>
      </x:c>
      <x:c r="E47" s="44" t="n">
        <x:v>1.465</x:v>
      </x:c>
      <x:c r="F47" s="44" t="n">
        <x:v>1.745</x:v>
      </x:c>
      <x:c r="G47" s="44" t="n">
        <x:v>1.465</x:v>
      </x:c>
      <x:c r="H47" s="44" t="n">
        <x:v>4.675</x:v>
      </x:c>
    </x:row>
    <x:row r="48" ht="18" customHeight="1">
      <x:c r="A48" s="43" t="n">
        <x:v>3</x:v>
      </x:c>
      <x:c r="B48" s="43" t="n">
        <x:v>43</x:v>
      </x:c>
      <x:c r="C48" s="43" t="str">
        <x:v>K176</x:v>
      </x:c>
      <x:c r="D48" s="43" t="str">
        <x:v>灰色轨迹</x:v>
      </x:c>
      <x:c r="E48" s="44" t="n">
        <x:v>1.5475</x:v>
      </x:c>
      <x:c r="F48" s="44" t="n">
        <x:v>1.59</x:v>
      </x:c>
      <x:c r="G48" s="44" t="n">
        <x:v>1.5275</x:v>
      </x:c>
      <x:c r="H48" s="44" t="n">
        <x:v>4.665</x:v>
      </x:c>
    </x:row>
    <x:row r="49" ht="18" customHeight="1">
      <x:c r="A49" s="43" t="n">
        <x:v>4</x:v>
      </x:c>
      <x:c r="B49" s="43" t="n">
        <x:v>44</x:v>
      </x:c>
      <x:c r="C49" s="43" t="str">
        <x:v>K176</x:v>
      </x:c>
      <x:c r="D49" s="43" t="str">
        <x:v>「鳥傷」</x:v>
      </x:c>
      <x:c r="E49" s="44" t="n">
        <x:v>1.565</x:v>
      </x:c>
      <x:c r="F49" s="44" t="n">
        <x:v>1.6075</x:v>
      </x:c>
      <x:c r="G49" s="44" t="n">
        <x:v>1.4825</x:v>
      </x:c>
      <x:c r="H49" s="44" t="n">
        <x:v>4.654999999999999</x:v>
      </x:c>
    </x:row>
    <x:row r="50" ht="18" customHeight="1">
      <x:c r="A50" s="43" t="n">
        <x:v>4</x:v>
      </x:c>
      <x:c r="B50" s="43" t="n">
        <x:v>45</x:v>
      </x:c>
      <x:c r="C50" s="43" t="str">
        <x:v>K116</x:v>
      </x:c>
      <x:c r="D50" s="43" t="str">
        <x:v>那时像风一样</x:v>
      </x:c>
      <x:c r="E50" s="44" t="n">
        <x:v>1.6675</x:v>
      </x:c>
      <x:c r="F50" s="44" t="n">
        <x:v>1.565</x:v>
      </x:c>
      <x:c r="G50" s="44" t="n">
        <x:v>1.42</x:v>
      </x:c>
      <x:c r="H50" s="44" t="n">
        <x:v>4.6525</x:v>
      </x:c>
    </x:row>
    <x:row r="51" ht="18" customHeight="1">
      <x:c r="A51" s="43" t="n">
        <x:v>4</x:v>
      </x:c>
      <x:c r="B51" s="43" t="n">
        <x:v>46</x:v>
      </x:c>
      <x:c r="C51" s="43" t="str">
        <x:v>K197</x:v>
      </x:c>
      <x:c r="D51" s="43" t="str">
        <x:v>BocchiT__T</x:v>
      </x:c>
      <x:c r="E51" s="44" t="n">
        <x:v>1.5275</x:v>
      </x:c>
      <x:c r="F51" s="44" t="n">
        <x:v>1.735</x:v>
      </x:c>
      <x:c r="G51" s="44" t="n">
        <x:v>1.39</x:v>
      </x:c>
      <x:c r="H51" s="44" t="n">
        <x:v>4.6525</x:v>
      </x:c>
    </x:row>
    <x:row r="52" ht="18" customHeight="1">
      <x:c r="A52" s="43" t="n">
        <x:v>11</x:v>
      </x:c>
      <x:c r="B52" s="43" t="n">
        <x:v>47</x:v>
      </x:c>
      <x:c r="C52" s="43" t="str">
        <x:v>K170</x:v>
      </x:c>
      <x:c r="D52" s="43" t="str">
        <x:v>(AOT)WeleS</x:v>
      </x:c>
      <x:c r="E52" s="44" t="n">
        <x:v>1.4275</x:v>
      </x:c>
      <x:c r="F52" s="44" t="n">
        <x:v>1.735</x:v>
      </x:c>
      <x:c r="G52" s="44" t="n">
        <x:v>1.485</x:v>
      </x:c>
      <x:c r="H52" s="44" t="n">
        <x:v>4.6475</x:v>
      </x:c>
    </x:row>
    <x:row r="53" ht="18" customHeight="1">
      <x:c r="A53" s="43" t="n">
        <x:v>12</x:v>
      </x:c>
      <x:c r="B53" s="43" t="n">
        <x:v>48</x:v>
      </x:c>
      <x:c r="C53" s="43" t="str">
        <x:v>K170</x:v>
      </x:c>
      <x:c r="D53" s="43" t="str">
        <x:v>(AOT)SugarDADDY</x:v>
      </x:c>
      <x:c r="E53" s="44" t="n">
        <x:v>1.6525</x:v>
      </x:c>
      <x:c r="F53" s="44" t="n">
        <x:v>1.465</x:v>
      </x:c>
      <x:c r="G53" s="44" t="n">
        <x:v>1.5275</x:v>
      </x:c>
      <x:c r="H53" s="44" t="n">
        <x:v>4.6450000000000005</x:v>
      </x:c>
    </x:row>
    <x:row r="54" ht="18" customHeight="1">
      <x:c r="A54" s="43" t="n">
        <x:v>5</x:v>
      </x:c>
      <x:c r="B54" s="43" t="n">
        <x:v>49</x:v>
      </x:c>
      <x:c r="C54" s="43" t="str">
        <x:v>K176</x:v>
      </x:c>
      <x:c r="D54" s="43" t="str">
        <x:v>༺璀璨星辰༻</x:v>
      </x:c>
      <x:c r="E54" s="44" t="n">
        <x:v>1.6525</x:v>
      </x:c>
      <x:c r="F54" s="44" t="n">
        <x:v>1.465</x:v>
      </x:c>
      <x:c r="G54" s="44" t="n">
        <x:v>1.5275</x:v>
      </x:c>
      <x:c r="H54" s="44" t="n">
        <x:v>4.6450000000000005</x:v>
      </x:c>
    </x:row>
    <x:row r="55" ht="18" customHeight="1">
      <x:c r="A55" s="43" t="n">
        <x:v>6</x:v>
      </x:c>
      <x:c r="B55" s="43" t="n">
        <x:v>50</x:v>
      </x:c>
      <x:c r="C55" s="43" t="str">
        <x:v>K176</x:v>
      </x:c>
      <x:c r="D55" s="43" t="str">
        <x:v>金玉其外败絮其中</x:v>
      </x:c>
      <x:c r="E55" s="44" t="n">
        <x:v>1.6675</x:v>
      </x:c>
      <x:c r="F55" s="44" t="n">
        <x:v>1.4825</x:v>
      </x:c>
      <x:c r="G55" s="44" t="n">
        <x:v>1.4825</x:v>
      </x:c>
      <x:c r="H55" s="44" t="n">
        <x:v>4.6325</x:v>
      </x:c>
    </x:row>
    <x:row r="56" ht="18" customHeight="1">
      <x:c r="A56" s="43" t="n">
        <x:v>5</x:v>
      </x:c>
      <x:c r="B56" s="43" t="n">
        <x:v>51</x:v>
      </x:c>
      <x:c r="C56" s="43" t="str">
        <x:v>K116</x:v>
      </x:c>
      <x:c r="D56" s="43" t="str">
        <x:v>山君</x:v>
      </x:c>
      <x:c r="E56" s="44" t="n">
        <x:v>1.6275</x:v>
      </x:c>
      <x:c r="F56" s="44" t="n">
        <x:v>1.565</x:v>
      </x:c>
      <x:c r="G56" s="44" t="n">
        <x:v>1.42</x:v>
      </x:c>
      <x:c r="H56" s="44" t="n">
        <x:v>4.6125</x:v>
      </x:c>
    </x:row>
    <x:row r="57" ht="18" customHeight="1">
      <x:c r="A57" s="43" t="n">
        <x:v>6</x:v>
      </x:c>
      <x:c r="B57" s="43" t="n">
        <x:v>52</x:v>
      </x:c>
      <x:c r="C57" s="43" t="str">
        <x:v>K116</x:v>
      </x:c>
      <x:c r="D57" s="43" t="str">
        <x:v>独守孤城</x:v>
      </x:c>
      <x:c r="E57" s="44" t="n">
        <x:v>1.5025</x:v>
      </x:c>
      <x:c r="F57" s="44" t="n">
        <x:v>1.6275</x:v>
      </x:c>
      <x:c r="G57" s="44" t="n">
        <x:v>1.4825</x:v>
      </x:c>
      <x:c r="H57" s="44" t="n">
        <x:v>4.6125</x:v>
      </x:c>
    </x:row>
    <x:row r="58" ht="18" customHeight="1">
      <x:c r="A58" s="43" t="n">
        <x:v>7</x:v>
      </x:c>
      <x:c r="B58" s="43" t="n">
        <x:v>53</x:v>
      </x:c>
      <x:c r="C58" s="43" t="str">
        <x:v>K116</x:v>
      </x:c>
      <x:c r="D58" s="43" t="str">
        <x:v>不可理喻</x:v>
      </x:c>
      <x:c r="E58" s="44" t="n">
        <x:v>1.565</x:v>
      </x:c>
      <x:c r="F58" s="44" t="n">
        <x:v>1.565</x:v>
      </x:c>
      <x:c r="G58" s="44" t="n">
        <x:v>1.4825</x:v>
      </x:c>
      <x:c r="H58" s="44" t="n">
        <x:v>4.6125</x:v>
      </x:c>
    </x:row>
    <x:row r="59" ht="18" customHeight="1">
      <x:c r="A59" s="43" t="n">
        <x:v>13</x:v>
      </x:c>
      <x:c r="B59" s="43" t="n">
        <x:v>54</x:v>
      </x:c>
      <x:c r="C59" s="43" t="str">
        <x:v>K170</x:v>
      </x:c>
      <x:c r="D59" s="43" t="str">
        <x:v>(AOT)Panda</x:v>
      </x:c>
      <x:c r="E59" s="44" t="n">
        <x:v>1.6275</x:v>
      </x:c>
      <x:c r="F59" s="44" t="n">
        <x:v>1.565</x:v>
      </x:c>
      <x:c r="G59" s="44" t="n">
        <x:v>1.42</x:v>
      </x:c>
      <x:c r="H59" s="44" t="n">
        <x:v>4.6125</x:v>
      </x:c>
    </x:row>
    <x:row r="60" ht="18" customHeight="1">
      <x:c r="A60" s="43" t="n">
        <x:v>7</x:v>
      </x:c>
      <x:c r="B60" s="43" t="n">
        <x:v>55</x:v>
      </x:c>
      <x:c r="C60" s="43" t="str">
        <x:v>K176</x:v>
      </x:c>
      <x:c r="D60" s="43" t="str">
        <x:v>岑胖子</x:v>
      </x:c>
      <x:c r="E60" s="44" t="n">
        <x:v>1.565</x:v>
      </x:c>
      <x:c r="F60" s="44" t="n">
        <x:v>1.6275</x:v>
      </x:c>
      <x:c r="G60" s="44" t="n">
        <x:v>1.42</x:v>
      </x:c>
      <x:c r="H60" s="44" t="n">
        <x:v>4.6125</x:v>
      </x:c>
    </x:row>
    <x:row r="61" ht="18" customHeight="1">
      <x:c r="A61" s="43" t="n">
        <x:v>8</x:v>
      </x:c>
      <x:c r="B61" s="43" t="n">
        <x:v>56</x:v>
      </x:c>
      <x:c r="C61" s="43" t="str">
        <x:v>K176</x:v>
      </x:c>
      <x:c r="D61" s="43" t="str">
        <x:v>♱Seraphim織羽♱</x:v>
      </x:c>
      <x:c r="E61" s="44" t="n">
        <x:v>1.5475</x:v>
      </x:c>
      <x:c r="F61" s="44" t="n">
        <x:v>1.59</x:v>
      </x:c>
      <x:c r="G61" s="44" t="n">
        <x:v>1.465</x:v>
      </x:c>
      <x:c r="H61" s="44" t="n">
        <x:v>4.6025</x:v>
      </x:c>
    </x:row>
    <x:row r="62" ht="18" customHeight="1">
      <x:c r="A62" s="43" t="n">
        <x:v>8</x:v>
      </x:c>
      <x:c r="B62" s="43" t="n">
        <x:v>57</x:v>
      </x:c>
      <x:c r="C62" s="43" t="str">
        <x:v>K116</x:v>
      </x:c>
      <x:c r="D62" s="43" t="str">
        <x:v>光之使者</x:v>
      </x:c>
      <x:c r="E62" s="44" t="n">
        <x:v>1.545</x:v>
      </x:c>
      <x:c r="F62" s="44" t="n">
        <x:v>1.545</x:v>
      </x:c>
      <x:c r="G62" s="44" t="n">
        <x:v>1.4825</x:v>
      </x:c>
      <x:c r="H62" s="44" t="n">
        <x:v>4.5725</x:v>
      </x:c>
    </x:row>
    <x:row r="63" ht="18" customHeight="1">
      <x:c r="A63" s="43" t="n">
        <x:v>9</x:v>
      </x:c>
      <x:c r="B63" s="43" t="n">
        <x:v>58</x:v>
      </x:c>
      <x:c r="C63" s="43" t="str">
        <x:v>K176</x:v>
      </x:c>
      <x:c r="D63" s="43" t="str">
        <x:v>我于杀戮之中绽放</x:v>
      </x:c>
      <x:c r="E63" s="44" t="n">
        <x:v>1.6075</x:v>
      </x:c>
      <x:c r="F63" s="44" t="n">
        <x:v>1.4825</x:v>
      </x:c>
      <x:c r="G63" s="44" t="n">
        <x:v>1.4825</x:v>
      </x:c>
      <x:c r="H63" s="44" t="n">
        <x:v>4.5725</x:v>
      </x:c>
    </x:row>
    <x:row r="64" ht="18" customHeight="1">
      <x:c r="A64" s="43" t="n">
        <x:v>14</x:v>
      </x:c>
      <x:c r="B64" s="43" t="n">
        <x:v>59</x:v>
      </x:c>
      <x:c r="C64" s="43" t="str">
        <x:v>K170</x:v>
      </x:c>
      <x:c r="D64" s="43" t="str">
        <x:v>(AOT)SanSW°</x:v>
      </x:c>
      <x:c r="E64" s="44" t="n">
        <x:v>1.6275</x:v>
      </x:c>
      <x:c r="F64" s="44" t="n">
        <x:v>1.565</x:v>
      </x:c>
      <x:c r="G64" s="44" t="n">
        <x:v>1.375</x:v>
      </x:c>
      <x:c r="H64" s="44" t="n">
        <x:v>4.5675</x:v>
      </x:c>
    </x:row>
    <x:row r="65" ht="18" customHeight="1">
      <x:c r="A65" s="43" t="n">
        <x:v>9</x:v>
      </x:c>
      <x:c r="B65" s="43" t="n">
        <x:v>60</x:v>
      </x:c>
      <x:c r="C65" s="43" t="str">
        <x:v>K138</x:v>
      </x:c>
      <x:c r="D65" s="43" t="str">
        <x:v>(RaW)Baqi</x:v>
      </x:c>
      <x:c r="E65" s="44" t="n">
        <x:v>1.5025</x:v>
      </x:c>
      <x:c r="F65" s="44" t="n">
        <x:v>1.6675</x:v>
      </x:c>
      <x:c r="G65" s="44" t="n">
        <x:v>1.385</x:v>
      </x:c>
      <x:c r="H65" s="44" t="n">
        <x:v>4.555</x:v>
      </x:c>
    </x:row>
    <x:row r="66" ht="18" customHeight="1">
      <x:c r="A66" s="43" t="n">
        <x:v>15</x:v>
      </x:c>
      <x:c r="B66" s="43" t="n">
        <x:v>61</x:v>
      </x:c>
      <x:c r="C66" s="43" t="str">
        <x:v>K170</x:v>
      </x:c>
      <x:c r="D66" s="43" t="str">
        <x:v>(AOT)D®a©o</x:v>
      </x:c>
      <x:c r="E66" s="44" t="n">
        <x:v>1.5425</x:v>
      </x:c>
      <x:c r="F66" s="44" t="n">
        <x:v>1.6675</x:v>
      </x:c>
      <x:c r="G66" s="44" t="n">
        <x:v>1.345</x:v>
      </x:c>
      <x:c r="H66" s="44" t="n">
        <x:v>4.555</x:v>
      </x:c>
    </x:row>
    <x:row r="67" ht="18" customHeight="1">
      <x:c r="A67" s="43" t="n">
        <x:v>16</x:v>
      </x:c>
      <x:c r="B67" s="43" t="n">
        <x:v>62</x:v>
      </x:c>
      <x:c r="C67" s="43" t="str">
        <x:v>K170</x:v>
      </x:c>
      <x:c r="D67" s="43" t="str">
        <x:v>(AOT)Markspoon</x:v>
      </x:c>
      <x:c r="E67" s="44" t="n">
        <x:v>1.5425</x:v>
      </x:c>
      <x:c r="F67" s="44" t="n">
        <x:v>1.6275</x:v>
      </x:c>
      <x:c r="G67" s="44" t="n">
        <x:v>1.385</x:v>
      </x:c>
      <x:c r="H67" s="44" t="n">
        <x:v>4.555</x:v>
      </x:c>
    </x:row>
    <x:row r="68" ht="18" customHeight="1">
      <x:c r="A68" s="43" t="n">
        <x:v>10</x:v>
      </x:c>
      <x:c r="B68" s="43" t="n">
        <x:v>63</x:v>
      </x:c>
      <x:c r="C68" s="43" t="str">
        <x:v>K176</x:v>
      </x:c>
      <x:c r="D68" s="43" t="str">
        <x:v>璀璨星芒</x:v>
      </x:c>
      <x:c r="E68" s="44" t="n">
        <x:v>1.565</x:v>
      </x:c>
      <x:c r="F68" s="44" t="n">
        <x:v>1.565</x:v>
      </x:c>
      <x:c r="G68" s="44" t="n">
        <x:v>1.42</x:v>
      </x:c>
      <x:c r="H68" s="44" t="n">
        <x:v>4.55</x:v>
      </x:c>
    </x:row>
    <x:row r="69" ht="18" customHeight="1">
      <x:c r="A69" s="43" t="n">
        <x:v>17</x:v>
      </x:c>
      <x:c r="B69" s="43" t="n">
        <x:v>64</x:v>
      </x:c>
      <x:c r="C69" s="43" t="str">
        <x:v>K170</x:v>
      </x:c>
      <x:c r="D69" s="43" t="str">
        <x:v>(AOT)Matis</x:v>
      </x:c>
      <x:c r="E69" s="44" t="n">
        <x:v>1.5425</x:v>
      </x:c>
      <x:c r="F69" s="44" t="n">
        <x:v>1.6275</x:v>
      </x:c>
      <x:c r="G69" s="44" t="n">
        <x:v>1.37</x:v>
      </x:c>
      <x:c r="H69" s="44" t="n">
        <x:v>4.54</x:v>
      </x:c>
    </x:row>
    <x:row r="70" ht="18" customHeight="1">
      <x:c r="A70" s="43" t="n">
        <x:v>10</x:v>
      </x:c>
      <x:c r="B70" s="43" t="n">
        <x:v>65</x:v>
      </x:c>
      <x:c r="C70" s="43" t="str">
        <x:v>K138</x:v>
      </x:c>
      <x:c r="D70" s="43" t="str">
        <x:v>(RaW)ϟCrozyϟ</x:v>
      </x:c>
      <x:c r="E70" s="44" t="n">
        <x:v>1.545</x:v>
      </x:c>
      <x:c r="F70" s="44" t="n">
        <x:v>1.5825</x:v>
      </x:c>
      <x:c r="G70" s="44" t="n">
        <x:v>1.4075</x:v>
      </x:c>
      <x:c r="H70" s="44" t="n">
        <x:v>4.535</x:v>
      </x:c>
    </x:row>
    <x:row r="71" ht="18" customHeight="1">
      <x:c r="A71" s="43" t="n">
        <x:v>9</x:v>
      </x:c>
      <x:c r="B71" s="43" t="n">
        <x:v>66</x:v>
      </x:c>
      <x:c r="C71" s="43" t="str">
        <x:v>K116</x:v>
      </x:c>
      <x:c r="D71" s="43" t="str">
        <x:v>懒洋洋爱看腿</x:v>
      </x:c>
      <x:c r="E71" s="44" t="n">
        <x:v>1.5225</x:v>
      </x:c>
      <x:c r="F71" s="44" t="n">
        <x:v>1.605</x:v>
      </x:c>
      <x:c r="G71" s="44" t="n">
        <x:v>1.405</x:v>
      </x:c>
      <x:c r="H71" s="44" t="n">
        <x:v>4.5325</x:v>
      </x:c>
    </x:row>
    <x:row r="72" ht="18" customHeight="1">
      <x:c r="A72" s="43" t="n">
        <x:v>11</x:v>
      </x:c>
      <x:c r="B72" s="43" t="n">
        <x:v>67</x:v>
      </x:c>
      <x:c r="C72" s="43" t="str">
        <x:v>K138</x:v>
      </x:c>
      <x:c r="D72" s="43" t="str">
        <x:v>(RaW)MARYEL</x:v>
      </x:c>
      <x:c r="E72" s="44" t="n">
        <x:v>1.5425</x:v>
      </x:c>
      <x:c r="F72" s="44" t="n">
        <x:v>1.605</x:v>
      </x:c>
      <x:c r="G72" s="44" t="n">
        <x:v>1.385</x:v>
      </x:c>
      <x:c r="H72" s="44" t="n">
        <x:v>4.5325</x:v>
      </x:c>
    </x:row>
    <x:row r="73" ht="18" customHeight="1">
      <x:c r="A73" s="43" t="n">
        <x:v>18</x:v>
      </x:c>
      <x:c r="B73" s="43" t="n">
        <x:v>68</x:v>
      </x:c>
      <x:c r="C73" s="43" t="str">
        <x:v>K170</x:v>
      </x:c>
      <x:c r="D73" s="43" t="str">
        <x:v>(AOT)Aauudd</x:v>
      </x:c>
      <x:c r="E73" s="44" t="n">
        <x:v>1.5225</x:v>
      </x:c>
      <x:c r="F73" s="44" t="n">
        <x:v>1.6075</x:v>
      </x:c>
      <x:c r="G73" s="44" t="n">
        <x:v>1.385</x:v>
      </x:c>
      <x:c r="H73" s="44" t="n">
        <x:v>4.515</x:v>
      </x:c>
    </x:row>
    <x:row r="74" ht="18" customHeight="1">
      <x:c r="A74" s="43" t="n">
        <x:v>12</x:v>
      </x:c>
      <x:c r="B74" s="43" t="n">
        <x:v>69</x:v>
      </x:c>
      <x:c r="C74" s="43" t="str">
        <x:v>K138</x:v>
      </x:c>
      <x:c r="D74" s="43" t="str">
        <x:v>(RaW)YAMI</x:v>
      </x:c>
      <x:c r="E74" s="44" t="n">
        <x:v>1.585</x:v>
      </x:c>
      <x:c r="F74" s="44" t="n">
        <x:v>1.48</x:v>
      </x:c>
      <x:c r="G74" s="44" t="n">
        <x:v>1.4475</x:v>
      </x:c>
      <x:c r="H74" s="44" t="n">
        <x:v>4.5125</x:v>
      </x:c>
    </x:row>
    <x:row r="75" ht="18" customHeight="1">
      <x:c r="A75" s="43" t="n">
        <x:v>10</x:v>
      </x:c>
      <x:c r="B75" s="43" t="n">
        <x:v>70</x:v>
      </x:c>
      <x:c r="C75" s="43" t="str">
        <x:v>K116</x:v>
      </x:c>
      <x:c r="D75" s="43" t="str">
        <x:v>红烧狮子头</x:v>
      </x:c>
      <x:c r="E75" s="44" t="n">
        <x:v>1.5925</x:v>
      </x:c>
      <x:c r="F75" s="44" t="n">
        <x:v>1.48</x:v>
      </x:c>
      <x:c r="G75" s="44" t="n">
        <x:v>1.425</x:v>
      </x:c>
      <x:c r="H75" s="44" t="n">
        <x:v>4.4975</x:v>
      </x:c>
    </x:row>
    <x:row r="76" ht="18" customHeight="1">
      <x:c r="A76" s="43" t="n">
        <x:v>13</x:v>
      </x:c>
      <x:c r="B76" s="43" t="n">
        <x:v>71</x:v>
      </x:c>
      <x:c r="C76" s="43" t="str">
        <x:v>K138</x:v>
      </x:c>
      <x:c r="D76" s="43" t="str">
        <x:v>(RaW)BEYKOZLU</x:v>
      </x:c>
      <x:c r="E76" s="44" t="n">
        <x:v>1.565</x:v>
      </x:c>
      <x:c r="F76" s="44" t="n">
        <x:v>1.5225</x:v>
      </x:c>
      <x:c r="G76" s="44" t="n">
        <x:v>1.385</x:v>
      </x:c>
      <x:c r="H76" s="44" t="n">
        <x:v>4.4725</x:v>
      </x:c>
    </x:row>
    <x:row r="77" ht="18" customHeight="1">
      <x:c r="A77" s="43" t="n">
        <x:v>11</x:v>
      </x:c>
      <x:c r="B77" s="43" t="n">
        <x:v>72</x:v>
      </x:c>
      <x:c r="C77" s="43" t="str">
        <x:v>K116</x:v>
      </x:c>
      <x:c r="D77" s="43" t="str">
        <x:v>苦瓜大王</x:v>
      </x:c>
      <x:c r="E77" s="44" t="n">
        <x:v>1.5125</x:v>
      </x:c>
      <x:c r="F77" s="44" t="n">
        <x:v>1.5525</x:v>
      </x:c>
      <x:c r="G77" s="44" t="n">
        <x:v>1.39</x:v>
      </x:c>
      <x:c r="H77" s="44" t="n">
        <x:v>4.455</x:v>
      </x:c>
    </x:row>
    <x:row r="78" ht="18" customHeight="1">
      <x:c r="A78" s="43" t="n">
        <x:v>11</x:v>
      </x:c>
      <x:c r="B78" s="43" t="n">
        <x:v>73</x:v>
      </x:c>
      <x:c r="C78" s="43" t="str">
        <x:v>K176</x:v>
      </x:c>
      <x:c r="D78" s="43" t="str">
        <x:v>Evildagger</x:v>
      </x:c>
      <x:c r="E78" s="44" t="n">
        <x:v>1.5075</x:v>
      </x:c>
      <x:c r="F78" s="44" t="n">
        <x:v>1.4875</x:v>
      </x:c>
      <x:c r="G78" s="44" t="n">
        <x:v>1.46</x:v>
      </x:c>
      <x:c r="H78" s="44" t="n">
        <x:v>4.455</x:v>
      </x:c>
    </x:row>
    <x:row r="79" ht="18" customHeight="1">
      <x:c r="A79" s="43" t="n">
        <x:v>7</x:v>
      </x:c>
      <x:c r="B79" s="43" t="n">
        <x:v>74</x:v>
      </x:c>
      <x:c r="C79" s="43" t="str">
        <x:v>K54</x:v>
      </x:c>
      <x:c r="D79" s="43" t="str">
        <x:v>ony</x:v>
      </x:c>
      <x:c r="E79" s="44" t="n">
        <x:v>1.4975</x:v>
      </x:c>
      <x:c r="F79" s="44" t="n">
        <x:v>1.5275</x:v>
      </x:c>
      <x:c r="G79" s="44" t="n">
        <x:v>1.4275</x:v>
      </x:c>
      <x:c r="H79" s="44" t="n">
        <x:v>4.452500000000001</x:v>
      </x:c>
    </x:row>
    <x:row r="80" ht="18" customHeight="1">
      <x:c r="A80" s="43" t="n">
        <x:v>12</x:v>
      </x:c>
      <x:c r="B80" s="43" t="n">
        <x:v>75</x:v>
      </x:c>
      <x:c r="C80" s="43" t="str">
        <x:v>K116</x:v>
      </x:c>
      <x:c r="D80" s="43" t="str">
        <x:v>蜜蜜°</x:v>
      </x:c>
      <x:c r="E80" s="44" t="n">
        <x:v>1.4875</x:v>
      </x:c>
      <x:c r="F80" s="44" t="n">
        <x:v>1.5075</x:v>
      </x:c>
      <x:c r="G80" s="44" t="n">
        <x:v>1.4475</x:v>
      </x:c>
      <x:c r="H80" s="44" t="n">
        <x:v>4.4425</x:v>
      </x:c>
    </x:row>
    <x:row r="81" ht="18" customHeight="1">
      <x:c r="A81" s="43" t="n">
        <x:v>12</x:v>
      </x:c>
      <x:c r="B81" s="43" t="n">
        <x:v>76</x:v>
      </x:c>
      <x:c r="C81" s="43" t="str">
        <x:v>K176</x:v>
      </x:c>
      <x:c r="D81" s="43" t="str">
        <x:v>温水煮青蛙</x:v>
      </x:c>
      <x:c r="E81" s="44" t="n">
        <x:v>1.5925</x:v>
      </x:c>
      <x:c r="F81" s="44" t="n">
        <x:v>1.3975</x:v>
      </x:c>
      <x:c r="G81" s="44" t="n">
        <x:v>1.385</x:v>
      </x:c>
      <x:c r="H81" s="44" t="n">
        <x:v>4.375</x:v>
      </x:c>
    </x:row>
    <x:row r="82" ht="18" customHeight="1">
      <x:c r="A82" s="43" t="n">
        <x:v>13</x:v>
      </x:c>
      <x:c r="B82" s="43" t="n">
        <x:v>77</x:v>
      </x:c>
      <x:c r="C82" s="43" t="str">
        <x:v>K176</x:v>
      </x:c>
      <x:c r="D82" s="43" t="str">
        <x:v>临兵斗者皆阵列前</x:v>
      </x:c>
      <x:c r="E82" s="44" t="n">
        <x:v>1.4675</x:v>
      </x:c>
      <x:c r="F82" s="44" t="n">
        <x:v>1.48</x:v>
      </x:c>
      <x:c r="G82" s="44" t="n">
        <x:v>1.385</x:v>
      </x:c>
      <x:c r="H82" s="44" t="n">
        <x:v>4.3325</x:v>
      </x:c>
    </x:row>
    <x:row r="83" ht="18" customHeight="1">
      <x:c r="A83" s="43" t="n">
        <x:v>3</x:v>
      </x:c>
      <x:c r="B83" s="43" t="n">
        <x:v>78</x:v>
      </x:c>
      <x:c r="C83" s="43" t="str">
        <x:v>K91</x:v>
      </x:c>
      <x:c r="D83" s="43" t="str">
        <x:v>Milhaus</x:v>
      </x:c>
      <x:c r="E83" s="44" t="n">
        <x:v>1.4675</x:v>
      </x:c>
      <x:c r="F83" s="44" t="n">
        <x:v>1.605</x:v>
      </x:c>
      <x:c r="G83" s="44" t="n">
        <x:v>1.23</x:v>
      </x:c>
      <x:c r="H83" s="44" t="n">
        <x:v>4.3025</x:v>
      </x:c>
    </x:row>
    <x:row r="84" ht="18" customHeight="1">
      <x:c r="A84" s="43" t="n">
        <x:v>9</x:v>
      </x:c>
      <x:c r="B84" s="43" t="n">
        <x:v>79</x:v>
      </x:c>
      <x:c r="C84" s="43" t="str">
        <x:v>K60</x:v>
      </x:c>
      <x:c r="D84" s="43" t="str">
        <x:v>MoonLight</x:v>
      </x:c>
      <x:c r="E84" s="44" t="n">
        <x:v>1.72</x:v>
      </x:c>
      <x:c r="F84" s="44" t="n">
        <x:v>1.89</x:v>
      </x:c>
      <x:c r="G84" s="44" t="n">
        <x:v>0.685</x:v>
      </x:c>
      <x:c r="H84" s="44" t="n">
        <x:v>4.295</x:v>
      </x:c>
    </x:row>
    <x:row r="85" ht="18" customHeight="1">
      <x:c r="A85" s="43" t="n">
        <x:v>14</x:v>
      </x:c>
      <x:c r="B85" s="43" t="n">
        <x:v>80</x:v>
      </x:c>
      <x:c r="C85" s="43" t="str">
        <x:v>K138</x:v>
      </x:c>
      <x:c r="D85" s="43" t="str">
        <x:v>(RaW)Des</x:v>
      </x:c>
      <x:c r="E85" s="44" t="n">
        <x:v>1.4925</x:v>
      </x:c>
      <x:c r="F85" s="44" t="n">
        <x:v>1.6375</x:v>
      </x:c>
      <x:c r="G85" s="44" t="n">
        <x:v>1.11</x:v>
      </x:c>
      <x:c r="H85" s="44" t="n">
        <x:v>4.24</x:v>
      </x:c>
    </x:row>
    <x:row r="86" ht="18" customHeight="1">
      <x:c r="A86" s="43" t="n">
        <x:v>15</x:v>
      </x:c>
      <x:c r="B86" s="43" t="n">
        <x:v>81</x:v>
      </x:c>
      <x:c r="C86" s="43" t="str">
        <x:v>K138</x:v>
      </x:c>
      <x:c r="D86" s="43" t="str">
        <x:v>(RaW)Nightmare</x:v>
      </x:c>
      <x:c r="E86" s="44" t="n">
        <x:v>1.675</x:v>
      </x:c>
      <x:c r="F86" s="44" t="n">
        <x:v>1.7375</x:v>
      </x:c>
      <x:c r="G86" s="44" t="n">
        <x:v>0.8</x:v>
      </x:c>
      <x:c r="H86" s="44" t="n">
        <x:v>4.2125</x:v>
      </x:c>
    </x:row>
    <x:row r="87" ht="18" customHeight="1">
      <x:c r="A87" s="43" t="n">
        <x:v>10</x:v>
      </x:c>
      <x:c r="B87" s="43" t="n">
        <x:v>82</x:v>
      </x:c>
      <x:c r="C87" s="43" t="str">
        <x:v>K60</x:v>
      </x:c>
      <x:c r="D87" s="43" t="str">
        <x:v>kvisteer</x:v>
      </x:c>
      <x:c r="E87" s="44" t="n">
        <x:v>1.7175</x:v>
      </x:c>
      <x:c r="F87" s="44" t="n">
        <x:v>1.8175</x:v>
      </x:c>
      <x:c r="G87" s="44" t="n">
        <x:v>0.645</x:v>
      </x:c>
      <x:c r="H87" s="44" t="n">
        <x:v>4.18</x:v>
      </x:c>
    </x:row>
    <x:row r="88" ht="18" customHeight="1">
      <x:c r="A88" s="43" t="n">
        <x:v>14</x:v>
      </x:c>
      <x:c r="B88" s="43" t="n">
        <x:v>83</x:v>
      </x:c>
      <x:c r="C88" s="43" t="str">
        <x:v>K176</x:v>
      </x:c>
      <x:c r="D88" s="43" t="str">
        <x:v>温不胜</x:v>
      </x:c>
      <x:c r="E88" s="44" t="n">
        <x:v>1.43</x:v>
      </x:c>
      <x:c r="F88" s="44" t="n">
        <x:v>1.46</x:v>
      </x:c>
      <x:c r="G88" s="44" t="n">
        <x:v>1.285</x:v>
      </x:c>
      <x:c r="H88" s="44" t="n">
        <x:v>4.175</x:v>
      </x:c>
    </x:row>
    <x:row r="89" ht="18" customHeight="1">
      <x:c r="A89" s="43" t="n">
        <x:v>16</x:v>
      </x:c>
      <x:c r="B89" s="43" t="n">
        <x:v>84</x:v>
      </x:c>
      <x:c r="C89" s="43" t="str">
        <x:v>K138</x:v>
      </x:c>
      <x:c r="D89" s="43" t="str">
        <x:v>(RaW)Venom毒液</x:v>
      </x:c>
      <x:c r="E89" s="44" t="n">
        <x:v>1.465</x:v>
      </x:c>
      <x:c r="F89" s="44" t="n">
        <x:v>1.525</x:v>
      </x:c>
      <x:c r="G89" s="44" t="n">
        <x:v>1.167</x:v>
      </x:c>
      <x:c r="H89" s="44" t="n">
        <x:v>4.157</x:v>
      </x:c>
    </x:row>
    <x:row r="90" ht="18" customHeight="1">
      <x:c r="A90" s="43" t="n">
        <x:v>15</x:v>
      </x:c>
      <x:c r="B90" s="43" t="n">
        <x:v>85</x:v>
      </x:c>
      <x:c r="C90" s="43" t="str">
        <x:v>K176</x:v>
      </x:c>
      <x:c r="D90" s="43" t="str">
        <x:v>梦山河</x:v>
      </x:c>
      <x:c r="E90" s="44" t="n">
        <x:v>1.755</x:v>
      </x:c>
      <x:c r="F90" s="44" t="n">
        <x:v>0.7825</x:v>
      </x:c>
      <x:c r="G90" s="44" t="n">
        <x:v>1.595</x:v>
      </x:c>
      <x:c r="H90" s="44" t="n">
        <x:v>4.132499999999999</x:v>
      </x:c>
    </x:row>
    <x:row r="91" ht="18" customHeight="1">
      <x:c r="A91" s="43" t="n">
        <x:v>17</x:v>
      </x:c>
      <x:c r="B91" s="43" t="n">
        <x:v>86</x:v>
      </x:c>
      <x:c r="C91" s="43" t="str">
        <x:v>K138</x:v>
      </x:c>
      <x:c r="D91" s="43" t="str">
        <x:v>(RaW)©•SGT©•</x:v>
      </x:c>
      <x:c r="E91" s="44" t="n">
        <x:v>1.7175</x:v>
      </x:c>
      <x:c r="F91" s="44" t="n">
        <x:v>1.755</x:v>
      </x:c>
      <x:c r="G91" s="44" t="n">
        <x:v>0.645</x:v>
      </x:c>
      <x:c r="H91" s="44" t="n">
        <x:v>4.1175</x:v>
      </x:c>
    </x:row>
    <x:row r="92" ht="18" customHeight="1">
      <x:c r="A92" s="43" t="n">
        <x:v>16</x:v>
      </x:c>
      <x:c r="B92" s="43" t="n">
        <x:v>87</x:v>
      </x:c>
      <x:c r="C92" s="43" t="str">
        <x:v>K176</x:v>
      </x:c>
      <x:c r="D92" s="43" t="str">
        <x:v>老黑黑</x:v>
      </x:c>
      <x:c r="E92" s="44" t="n">
        <x:v>1.3475</x:v>
      </x:c>
      <x:c r="F92" s="44" t="n">
        <x:v>1.48</x:v>
      </x:c>
      <x:c r="G92" s="44" t="n">
        <x:v>1.285</x:v>
      </x:c>
      <x:c r="H92" s="44" t="n">
        <x:v>4.1125</x:v>
      </x:c>
    </x:row>
    <x:row r="93" ht="18" customHeight="1">
      <x:c r="A93" s="43" t="n">
        <x:v>11</x:v>
      </x:c>
      <x:c r="B93" s="43" t="n">
        <x:v>88</x:v>
      </x:c>
      <x:c r="C93" s="43" t="str">
        <x:v>K60</x:v>
      </x:c>
      <x:c r="D93" s="43" t="str">
        <x:v>Crixus</x:v>
      </x:c>
      <x:c r="E93" s="44" t="n">
        <x:v>1.705</x:v>
      </x:c>
      <x:c r="F93" s="44" t="n">
        <x:v>1.77</x:v>
      </x:c>
      <x:c r="G93" s="44" t="n">
        <x:v>0.63</x:v>
      </x:c>
      <x:c r="H93" s="44" t="n">
        <x:v>4.105</x:v>
      </x:c>
    </x:row>
    <x:row r="94" ht="18" customHeight="1">
      <x:c r="A94" s="43" t="n">
        <x:v>12</x:v>
      </x:c>
      <x:c r="B94" s="43" t="n">
        <x:v>89</x:v>
      </x:c>
      <x:c r="C94" s="43" t="str">
        <x:v>K60</x:v>
      </x:c>
      <x:c r="D94" s="43" t="str">
        <x:v>#11 元气满满 (122,000)</x:v>
      </x:c>
      <x:c r="E94" s="44" t="n">
        <x:v>1.6825</x:v>
      </x:c>
      <x:c r="F94" s="44" t="n">
        <x:v>1.76</x:v>
      </x:c>
      <x:c r="G94" s="44" t="n">
        <x:v>0.645</x:v>
      </x:c>
      <x:c r="H94" s="44" t="n">
        <x:v>4.0875</x:v>
      </x:c>
    </x:row>
    <x:row r="95" ht="18" customHeight="1">
      <x:c r="A95" s="43" t="n">
        <x:v>4</x:v>
      </x:c>
      <x:c r="B95" s="43" t="n">
        <x:v>90</x:v>
      </x:c>
      <x:c r="C95" s="43" t="str">
        <x:v>K91</x:v>
      </x:c>
      <x:c r="D95" s="43" t="str">
        <x:v>KaladinTheHerald</x:v>
      </x:c>
      <x:c r="E95" s="44" t="n">
        <x:v>1.6525</x:v>
      </x:c>
      <x:c r="F95" s="44" t="n">
        <x:v>1.6575</x:v>
      </x:c>
      <x:c r="G95" s="44" t="n">
        <x:v>0.7</x:v>
      </x:c>
      <x:c r="H95" s="44" t="n">
        <x:v>4.01</x:v>
      </x:c>
    </x:row>
    <x:row r="96" ht="18" customHeight="1">
      <x:c r="A96" s="43" t="n">
        <x:v>13</x:v>
      </x:c>
      <x:c r="B96" s="43" t="n">
        <x:v>91</x:v>
      </x:c>
      <x:c r="C96" s="43" t="str">
        <x:v>K60</x:v>
      </x:c>
      <x:c r="D96" s="43" t="str">
        <x:v>雪Snowy</x:v>
      </x:c>
      <x:c r="E96" s="44" t="n">
        <x:v>1.6725</x:v>
      </x:c>
      <x:c r="F96" s="44" t="n">
        <x:v>1.7125</x:v>
      </x:c>
      <x:c r="G96" s="44" t="n">
        <x:v>0.59</x:v>
      </x:c>
      <x:c r="H96" s="44" t="n">
        <x:v>3.9749999999999996</x:v>
      </x:c>
    </x:row>
    <x:row r="97" ht="18" customHeight="1">
      <x:c r="A97" s="43" t="n">
        <x:v>18</x:v>
      </x:c>
      <x:c r="B97" s="43" t="n">
        <x:v>92</x:v>
      </x:c>
      <x:c r="C97" s="43" t="str">
        <x:v>K138</x:v>
      </x:c>
      <x:c r="D97" s="43" t="str">
        <x:v>(RaW)༺惊鸿༻</x:v>
      </x:c>
      <x:c r="E97" s="44" t="n">
        <x:v>1.6525</x:v>
      </x:c>
      <x:c r="F97" s="44" t="n">
        <x:v>1.775</x:v>
      </x:c>
      <x:c r="G97" s="44" t="n">
        <x:v>0.545</x:v>
      </x:c>
      <x:c r="H97" s="44" t="n">
        <x:v>3.9725</x:v>
      </x:c>
    </x:row>
    <x:row r="98" ht="18" customHeight="1">
      <x:c r="A98" s="43" t="n">
        <x:v>19</x:v>
      </x:c>
      <x:c r="B98" s="43" t="n">
        <x:v>93</x:v>
      </x:c>
      <x:c r="C98" s="43" t="str">
        <x:v>K170</x:v>
      </x:c>
      <x:c r="D98" s="43" t="str">
        <x:v>(AOT)金木研_254</x:v>
      </x:c>
      <x:c r="E98" s="44" t="n">
        <x:v>1.6275</x:v>
      </x:c>
      <x:c r="F98" s="44" t="n">
        <x:v>1.4825</x:v>
      </x:c>
      <x:c r="G98" s="44" t="n">
        <x:v>0.859</x:v>
      </x:c>
      <x:c r="H98" s="44" t="n">
        <x:v>3.969</x:v>
      </x:c>
    </x:row>
    <x:row r="99" ht="18" customHeight="1">
      <x:c r="A99" s="43" t="n">
        <x:v>14</x:v>
      </x:c>
      <x:c r="B99" s="43" t="n">
        <x:v>94</x:v>
      </x:c>
      <x:c r="C99" s="43" t="str">
        <x:v>K60</x:v>
      </x:c>
      <x:c r="D99" s="43" t="str">
        <x:v>Jepp</x:v>
      </x:c>
      <x:c r="E99" s="44" t="n">
        <x:v>1.605</x:v>
      </x:c>
      <x:c r="F99" s="44" t="n">
        <x:v>1.69</x:v>
      </x:c>
      <x:c r="G99" s="44" t="n">
        <x:v>0.605</x:v>
      </x:c>
      <x:c r="H99" s="44" t="n">
        <x:v>3.9</x:v>
      </x:c>
    </x:row>
    <x:row r="100" ht="18" customHeight="1">
      <x:c r="A100" s="43" t="n">
        <x:v>19</x:v>
      </x:c>
      <x:c r="B100" s="43" t="n">
        <x:v>95</x:v>
      </x:c>
      <x:c r="C100" s="43" t="str">
        <x:v>K138</x:v>
      </x:c>
      <x:c r="D100" s="43" t="str">
        <x:v>(RaW)༺ⓉⒶⓇⓉⒶⓇ༻</x:v>
      </x:c>
      <x:c r="E100" s="44" t="n">
        <x:v>1.48</x:v>
      </x:c>
      <x:c r="F100" s="44" t="n">
        <x:v>1.605</x:v>
      </x:c>
      <x:c r="G100" s="44" t="n">
        <x:v>0.815</x:v>
      </x:c>
      <x:c r="H100" s="44" t="n">
        <x:v>3.9</x:v>
      </x:c>
    </x:row>
    <x:row r="101" ht="18" customHeight="1">
      <x:c r="A101" s="43" t="n">
        <x:v>8</x:v>
      </x:c>
      <x:c r="B101" s="43" t="n">
        <x:v>96</x:v>
      </x:c>
      <x:c r="C101" s="43" t="str">
        <x:v>K54</x:v>
      </x:c>
      <x:c r="D101" s="43" t="str">
        <x:v>纵横,,,离火</x:v>
      </x:c>
      <x:c r="E101" s="44" t="n">
        <x:v>1.3</x:v>
      </x:c>
      <x:c r="F101" s="44" t="n">
        <x:v>1.3</x:v>
      </x:c>
      <x:c r="G101" s="44" t="n">
        <x:v>1.285</x:v>
      </x:c>
      <x:c r="H101" s="44" t="n">
        <x:v>3.885</x:v>
      </x:c>
    </x:row>
    <x:row r="102" ht="18" customHeight="1">
      <x:c r="A102" s="43" t="n">
        <x:v>5</x:v>
      </x:c>
      <x:c r="B102" s="43" t="n">
        <x:v>97</x:v>
      </x:c>
      <x:c r="C102" s="43" t="str">
        <x:v>K197</x:v>
      </x:c>
      <x:c r="D102" s="43" t="str">
        <x:v>ღbaby买买买ღ</x:v>
      </x:c>
      <x:c r="E102" s="44" t="n">
        <x:v>1.5975</x:v>
      </x:c>
      <x:c r="F102" s="44" t="n">
        <x:v>1.74</x:v>
      </x:c>
      <x:c r="G102" s="44" t="n">
        <x:v>0.53</x:v>
      </x:c>
      <x:c r="H102" s="44" t="n">
        <x:v>3.8674999999999997</x:v>
      </x:c>
    </x:row>
    <x:row r="103" ht="18" customHeight="1">
      <x:c r="A103" s="43" t="n">
        <x:v>15</x:v>
      </x:c>
      <x:c r="B103" s="43" t="n">
        <x:v>98</x:v>
      </x:c>
      <x:c r="C103" s="43" t="str">
        <x:v>K60</x:v>
      </x:c>
      <x:c r="D103" s="43" t="str">
        <x:v>陰影Sam</x:v>
      </x:c>
      <x:c r="E103" s="44" t="n">
        <x:v>1.61</x:v>
      </x:c>
      <x:c r="F103" s="44" t="n">
        <x:v>1.6975</x:v>
      </x:c>
      <x:c r="G103" s="44" t="n">
        <x:v>0.515</x:v>
      </x:c>
      <x:c r="H103" s="44" t="n">
        <x:v>3.8225000000000002</x:v>
      </x:c>
    </x:row>
    <x:row r="104" ht="18" customHeight="1">
      <x:c r="A104" s="43" t="n">
        <x:v>16</x:v>
      </x:c>
      <x:c r="B104" s="43" t="n">
        <x:v>99</x:v>
      </x:c>
      <x:c r="C104" s="43" t="str">
        <x:v>K60</x:v>
      </x:c>
      <x:c r="D104" s="43" t="str">
        <x:v>Hitt</x:v>
      </x:c>
      <x:c r="E104" s="44" t="n">
        <x:v>1.605</x:v>
      </x:c>
      <x:c r="F104" s="44" t="n">
        <x:v>1.6675</x:v>
      </x:c>
      <x:c r="G104" s="44" t="n">
        <x:v>0.545</x:v>
      </x:c>
      <x:c r="H104" s="44" t="n">
        <x:v>3.8175</x:v>
      </x:c>
    </x:row>
    <x:row r="105" ht="18" customHeight="1">
      <x:c r="A105" s="43" t="n">
        <x:v>6</x:v>
      </x:c>
      <x:c r="B105" s="43" t="n">
        <x:v>100</x:v>
      </x:c>
      <x:c r="C105" s="43" t="str">
        <x:v>K197</x:v>
      </x:c>
      <x:c r="D105" s="43" t="str">
        <x:v>Loong</x:v>
      </x:c>
      <x:c r="E105" s="44" t="n">
        <x:v>1.5475</x:v>
      </x:c>
      <x:c r="F105" s="44" t="n">
        <x:v>1.6725</x:v>
      </x:c>
      <x:c r="G105" s="44" t="n">
        <x:v>0.595</x:v>
      </x:c>
      <x:c r="H105" s="44" t="n">
        <x:v>3.8150000000000004</x:v>
      </x:c>
    </x:row>
    <x:row r="106" ht="18" customHeight="1">
      <x:c r="A106" s="43" t="n">
        <x:v>5</x:v>
      </x:c>
      <x:c r="B106" s="43" t="n">
        <x:v>101</x:v>
      </x:c>
      <x:c r="C106" s="43" t="str">
        <x:v>K91</x:v>
      </x:c>
      <x:c r="D106" s="43" t="str">
        <x:v>λTλ⁵⁷βЄЧ</x:v>
      </x:c>
      <x:c r="E106" s="44" t="n">
        <x:v>1.5025</x:v>
      </x:c>
      <x:c r="F106" s="44" t="n">
        <x:v>1.6675</x:v>
      </x:c>
      <x:c r="G106" s="44" t="n">
        <x:v>0.62</x:v>
      </x:c>
      <x:c r="H106" s="44" t="n">
        <x:v>3.79</x:v>
      </x:c>
    </x:row>
    <x:row r="107" ht="18" customHeight="1">
      <x:c r="A107" s="43" t="n">
        <x:v>17</x:v>
      </x:c>
      <x:c r="B107" s="43" t="n">
        <x:v>102</x:v>
      </x:c>
      <x:c r="C107" s="43" t="str">
        <x:v>K60</x:v>
      </x:c>
      <x:c r="D107" s="43" t="str">
        <x:v>Houdini</x:v>
      </x:c>
      <x:c r="E107" s="44" t="n">
        <x:v>1.565</x:v>
      </x:c>
      <x:c r="F107" s="44" t="n">
        <x:v>1.6675</x:v>
      </x:c>
      <x:c r="G107" s="44" t="n">
        <x:v>0.545</x:v>
      </x:c>
      <x:c r="H107" s="44" t="n">
        <x:v>3.7775</x:v>
      </x:c>
    </x:row>
    <x:row r="108" ht="18" customHeight="1">
      <x:c r="A108" s="43" t="n">
        <x:v>18</x:v>
      </x:c>
      <x:c r="B108" s="43" t="n">
        <x:v>103</x:v>
      </x:c>
      <x:c r="C108" s="43" t="str">
        <x:v>K60</x:v>
      </x:c>
      <x:c r="D108" s="43" t="str">
        <x:v>KingSkorpioN</x:v>
      </x:c>
      <x:c r="E108" s="44" t="n">
        <x:v>1.5475</x:v>
      </x:c>
      <x:c r="F108" s="44" t="n">
        <x:v>1.6725</x:v>
      </x:c>
      <x:c r="G108" s="44" t="n">
        <x:v>0.555</x:v>
      </x:c>
      <x:c r="H108" s="44" t="n">
        <x:v>3.7750000000000004</x:v>
      </x:c>
    </x:row>
    <x:row r="109" ht="18" customHeight="1">
      <x:c r="A109" s="43" t="n">
        <x:v>19</x:v>
      </x:c>
      <x:c r="B109" s="43" t="n">
        <x:v>104</x:v>
      </x:c>
      <x:c r="C109" s="43" t="str">
        <x:v>K60</x:v>
      </x:c>
      <x:c r="D109" s="43" t="str">
        <x:v>Legendⁱᵃᵐ</x:v>
      </x:c>
      <x:c r="E109" s="44" t="n">
        <x:v>1.5825</x:v>
      </x:c>
      <x:c r="F109" s="44" t="n">
        <x:v>1.6675</x:v>
      </x:c>
      <x:c r="G109" s="44" t="n">
        <x:v>0.51</x:v>
      </x:c>
      <x:c r="H109" s="44" t="n">
        <x:v>3.76</x:v>
      </x:c>
    </x:row>
    <x:row r="110" ht="18" customHeight="1">
      <x:c r="A110" s="43" t="n">
        <x:v>20</x:v>
      </x:c>
      <x:c r="B110" s="43" t="n">
        <x:v>105</x:v>
      </x:c>
      <x:c r="C110" s="43" t="str">
        <x:v>K60</x:v>
      </x:c>
      <x:c r="D110" s="43" t="str">
        <x:v>ΨRØÇKYΨ</x:v>
      </x:c>
      <x:c r="E110" s="44" t="n">
        <x:v>1.6675</x:v>
      </x:c>
      <x:c r="F110" s="44" t="n">
        <x:v>1.5425</x:v>
      </x:c>
      <x:c r="G110" s="44" t="n">
        <x:v>0.545</x:v>
      </x:c>
      <x:c r="H110" s="44" t="n">
        <x:v>3.755</x:v>
      </x:c>
    </x:row>
    <x:row r="111" ht="18" customHeight="1">
      <x:c r="A111" s="43" t="n">
        <x:v>7</x:v>
      </x:c>
      <x:c r="B111" s="43" t="n">
        <x:v>106</x:v>
      </x:c>
      <x:c r="C111" s="43" t="str">
        <x:v>K197</x:v>
      </x:c>
      <x:c r="D111" s="43" t="str">
        <x:v>Zakmil23139</x:v>
      </x:c>
      <x:c r="E111" s="44" t="n">
        <x:v>1.5475</x:v>
      </x:c>
      <x:c r="F111" s="44" t="n">
        <x:v>1.5875</x:v>
      </x:c>
      <x:c r="G111" s="44" t="n">
        <x:v>0.61</x:v>
      </x:c>
      <x:c r="H111" s="44" t="n">
        <x:v>3.7449999999999997</x:v>
      </x:c>
    </x:row>
    <x:row r="112" ht="18" customHeight="1">
      <x:c r="A112" s="43" t="n">
        <x:v>8</x:v>
      </x:c>
      <x:c r="B112" s="43" t="n">
        <x:v>107</x:v>
      </x:c>
      <x:c r="C112" s="43" t="str">
        <x:v>K197</x:v>
      </x:c>
      <x:c r="D112" s="43" t="str">
        <x:v>Oiuuuuuuuuuuuuu</x:v>
      </x:c>
      <x:c r="E112" s="44" t="n">
        <x:v>1.5275</x:v>
      </x:c>
      <x:c r="F112" s="44" t="n">
        <x:v>1.6525</x:v>
      </x:c>
      <x:c r="G112" s="44" t="n">
        <x:v>0.555</x:v>
      </x:c>
      <x:c r="H112" s="44" t="n">
        <x:v>3.7350000000000003</x:v>
      </x:c>
    </x:row>
    <x:row r="113" ht="18" customHeight="1">
      <x:c r="A113" s="43" t="n">
        <x:v>6</x:v>
      </x:c>
      <x:c r="B113" s="43" t="n">
        <x:v>108</x:v>
      </x:c>
      <x:c r="C113" s="43" t="str">
        <x:v>K91</x:v>
      </x:c>
      <x:c r="D113" s="43" t="str">
        <x:v>TÜRK 81</x:v>
      </x:c>
      <x:c r="E113" s="44" t="n">
        <x:v>1.4825</x:v>
      </x:c>
      <x:c r="F113" s="44" t="n">
        <x:v>1.69</x:v>
      </x:c>
      <x:c r="G113" s="44" t="n">
        <x:v>0.545</x:v>
      </x:c>
      <x:c r="H113" s="44" t="n">
        <x:v>3.7175</x:v>
      </x:c>
    </x:row>
    <x:row r="114" ht="18" customHeight="1">
      <x:c r="A114" s="43" t="n">
        <x:v>7</x:v>
      </x:c>
      <x:c r="B114" s="43" t="n">
        <x:v>109</x:v>
      </x:c>
      <x:c r="C114" s="43" t="str">
        <x:v>K91</x:v>
      </x:c>
      <x:c r="D114" s="43" t="str">
        <x:v>JustBlaze</x:v>
      </x:c>
      <x:c r="E114" s="44" t="n">
        <x:v>1.4825</x:v>
      </x:c>
      <x:c r="F114" s="44" t="n">
        <x:v>1.69</x:v>
      </x:c>
      <x:c r="G114" s="44" t="n">
        <x:v>0.545</x:v>
      </x:c>
      <x:c r="H114" s="44" t="n">
        <x:v>3.7175</x:v>
      </x:c>
    </x:row>
    <x:row r="115" ht="18" customHeight="1">
      <x:c r="A115" s="43" t="n">
        <x:v>21</x:v>
      </x:c>
      <x:c r="B115" s="43" t="n">
        <x:v>110</x:v>
      </x:c>
      <x:c r="C115" s="43" t="str">
        <x:v>K60</x:v>
      </x:c>
      <x:c r="D115" s="43" t="str">
        <x:v>Λžtěč (Aztec)</x:v>
      </x:c>
      <x:c r="E115" s="44" t="n">
        <x:v>1.5825</x:v>
      </x:c>
      <x:c r="F115" s="44" t="n">
        <x:v>1.645</x:v>
      </x:c>
      <x:c r="G115" s="44" t="n">
        <x:v>0.47</x:v>
      </x:c>
      <x:c r="H115" s="44" t="n">
        <x:v>3.6975</x:v>
      </x:c>
    </x:row>
    <x:row r="116" ht="18" customHeight="1">
      <x:c r="A116" s="43" t="n">
        <x:v>13</x:v>
      </x:c>
      <x:c r="B116" s="43" t="n">
        <x:v>111</x:v>
      </x:c>
      <x:c r="C116" s="43" t="str">
        <x:v>K116</x:v>
      </x:c>
      <x:c r="D116" s="43" t="str">
        <x:v>逍遥浪四月</x:v>
      </x:c>
      <x:c r="E116" s="44" t="n">
        <x:v>1.4725</x:v>
      </x:c>
      <x:c r="F116" s="44" t="n">
        <x:v>1.4075</x:v>
      </x:c>
      <x:c r="G116" s="44" t="n">
        <x:v>0.805</x:v>
      </x:c>
      <x:c r="H116" s="44" t="n">
        <x:v>3.685</x:v>
      </x:c>
    </x:row>
    <x:row r="117" ht="18" customHeight="1">
      <x:c r="A117" s="43" t="n">
        <x:v>22</x:v>
      </x:c>
      <x:c r="B117" s="43" t="n">
        <x:v>112</x:v>
      </x:c>
      <x:c r="C117" s="43" t="str">
        <x:v>K60</x:v>
      </x:c>
      <x:c r="D117" s="43" t="str">
        <x:v>Ёжик</x:v>
      </x:c>
      <x:c r="E117" s="44" t="n">
        <x:v>1.605</x:v>
      </x:c>
      <x:c r="F117" s="44" t="n">
        <x:v>1.5425</x:v>
      </x:c>
      <x:c r="G117" s="44" t="n">
        <x:v>0.5325</x:v>
      </x:c>
      <x:c r="H117" s="44" t="n">
        <x:v>3.6799999999999997</x:v>
      </x:c>
    </x:row>
    <x:row r="118" ht="18" customHeight="1">
      <x:c r="A118" s="43" t="n">
        <x:v>23</x:v>
      </x:c>
      <x:c r="B118" s="43" t="n">
        <x:v>113</x:v>
      </x:c>
      <x:c r="C118" s="43" t="str">
        <x:v>K60</x:v>
      </x:c>
      <x:c r="D118" s="43" t="str">
        <x:v>Blud</x:v>
      </x:c>
      <x:c r="E118" s="44" t="n">
        <x:v>1.5425</x:v>
      </x:c>
      <x:c r="F118" s="44" t="n">
        <x:v>1.6275</x:v>
      </x:c>
      <x:c r="G118" s="44" t="n">
        <x:v>0.51</x:v>
      </x:c>
      <x:c r="H118" s="44" t="n">
        <x:v>3.6799999999999997</x:v>
      </x:c>
    </x:row>
    <x:row r="119" ht="18" customHeight="1">
      <x:c r="A119" s="43" t="n">
        <x:v>24</x:v>
      </x:c>
      <x:c r="B119" s="43" t="n">
        <x:v>114</x:v>
      </x:c>
      <x:c r="C119" s="43" t="str">
        <x:v>K60</x:v>
      </x:c>
      <x:c r="D119" s="43" t="str">
        <x:v>Lare</x:v>
      </x:c>
      <x:c r="E119" s="44" t="n">
        <x:v>1.605</x:v>
      </x:c>
      <x:c r="F119" s="44" t="n">
        <x:v>1.5225</x:v>
      </x:c>
      <x:c r="G119" s="44" t="n">
        <x:v>0.545</x:v>
      </x:c>
      <x:c r="H119" s="44" t="n">
        <x:v>3.6725</x:v>
      </x:c>
    </x:row>
    <x:row r="120" ht="18" customHeight="1">
      <x:c r="A120" s="43" t="n">
        <x:v>9</x:v>
      </x:c>
      <x:c r="B120" s="43" t="n">
        <x:v>115</x:v>
      </x:c>
      <x:c r="C120" s="43" t="str">
        <x:v>K197</x:v>
      </x:c>
      <x:c r="D120" s="43" t="str">
        <x:v>ღ买买买babyღ</x:v>
      </x:c>
      <x:c r="E120" s="44" t="n">
        <x:v>1.5275</x:v>
      </x:c>
      <x:c r="F120" s="44" t="n">
        <x:v>1.635</x:v>
      </x:c>
      <x:c r="G120" s="44" t="n">
        <x:v>0.5</x:v>
      </x:c>
      <x:c r="H120" s="44" t="n">
        <x:v>3.6625</x:v>
      </x:c>
    </x:row>
    <x:row r="121" ht="18" customHeight="1">
      <x:c r="A121" s="43" t="n">
        <x:v>25</x:v>
      </x:c>
      <x:c r="B121" s="43" t="n">
        <x:v>116</x:v>
      </x:c>
      <x:c r="C121" s="43" t="str">
        <x:v>K60</x:v>
      </x:c>
      <x:c r="D121" s="43" t="str">
        <x:v>༺۝Foxik۝༻</x:v>
      </x:c>
      <x:c r="E121" s="44" t="n">
        <x:v>1.5325</x:v>
      </x:c>
      <x:c r="F121" s="44" t="n">
        <x:v>1.605</x:v>
      </x:c>
      <x:c r="G121" s="44" t="n">
        <x:v>0.51</x:v>
      </x:c>
      <x:c r="H121" s="44" t="n">
        <x:v>3.6475</x:v>
      </x:c>
    </x:row>
    <x:row r="122" ht="18" customHeight="1">
      <x:c r="A122" s="43" t="n">
        <x:v>10</x:v>
      </x:c>
      <x:c r="B122" s="43" t="n">
        <x:v>117</x:v>
      </x:c>
      <x:c r="C122" s="43" t="str">
        <x:v>K197</x:v>
      </x:c>
      <x:c r="D122" s="43" t="str">
        <x:v>Viking</x:v>
      </x:c>
      <x:c r="E122" s="44" t="n">
        <x:v>1.44</x:v>
      </x:c>
      <x:c r="F122" s="44" t="n">
        <x:v>1.69</x:v>
      </x:c>
      <x:c r="G122" s="44" t="n">
        <x:v>0.51</x:v>
      </x:c>
      <x:c r="H122" s="44" t="n">
        <x:v>3.6399999999999997</x:v>
      </x:c>
    </x:row>
    <x:row r="123" ht="18" customHeight="1">
      <x:c r="A123" s="43" t="n">
        <x:v>8</x:v>
      </x:c>
      <x:c r="B123" s="43" t="n">
        <x:v>118</x:v>
      </x:c>
      <x:c r="C123" s="43" t="str">
        <x:v>K91</x:v>
      </x:c>
      <x:c r="D123" s="43" t="str">
        <x:v>Nixxx</x:v>
      </x:c>
      <x:c r="E123" s="44" t="n">
        <x:v>1.42</x:v>
      </x:c>
      <x:c r="F123" s="44" t="n">
        <x:v>1.67</x:v>
      </x:c>
      <x:c r="G123" s="44" t="n">
        <x:v>0.545</x:v>
      </x:c>
      <x:c r="H123" s="44" t="n">
        <x:v>3.635</x:v>
      </x:c>
    </x:row>
    <x:row r="124" ht="18" customHeight="1">
      <x:c r="A124" s="43" t="n">
        <x:v>9</x:v>
      </x:c>
      <x:c r="B124" s="43" t="n">
        <x:v>119</x:v>
      </x:c>
      <x:c r="C124" s="43" t="str">
        <x:v>K91</x:v>
      </x:c>
      <x:c r="D124" s="43" t="str">
        <x:v>Antoni</x:v>
      </x:c>
      <x:c r="E124" s="44" t="n">
        <x:v>1.4825</x:v>
      </x:c>
      <x:c r="F124" s="44" t="n">
        <x:v>1.5425</x:v>
      </x:c>
      <x:c r="G124" s="44" t="n">
        <x:v>0.6075</x:v>
      </x:c>
      <x:c r="H124" s="44" t="n">
        <x:v>3.6325</x:v>
      </x:c>
    </x:row>
    <x:row r="125" ht="18" customHeight="1">
      <x:c r="A125" s="43" t="n">
        <x:v>11</x:v>
      </x:c>
      <x:c r="B125" s="43" t="n">
        <x:v>120</x:v>
      </x:c>
      <x:c r="C125" s="43" t="str">
        <x:v>K197</x:v>
      </x:c>
      <x:c r="D125" s="43" t="str">
        <x:v>々нυηтєя々</x:v>
      </x:c>
      <x:c r="E125" s="44" t="n">
        <x:v>1.4825</x:v>
      </x:c>
      <x:c r="F125" s="44" t="n">
        <x:v>1.6675</x:v>
      </x:c>
      <x:c r="G125" s="44" t="n">
        <x:v>0.47</x:v>
      </x:c>
      <x:c r="H125" s="44" t="n">
        <x:v>3.62</x:v>
      </x:c>
    </x:row>
    <x:row r="126" ht="18" customHeight="1">
      <x:c r="A126" s="43" t="n">
        <x:v>10</x:v>
      </x:c>
      <x:c r="B126" s="43" t="n">
        <x:v>121</x:v>
      </x:c>
      <x:c r="C126" s="43" t="str">
        <x:v>K91</x:v>
      </x:c>
      <x:c r="D126" s="43" t="str">
        <x:v>AMANTIS</x:v>
      </x:c>
      <x:c r="E126" s="44" t="n">
        <x:v>1.5025</x:v>
      </x:c>
      <x:c r="F126" s="44" t="n">
        <x:v>1.605</x:v>
      </x:c>
      <x:c r="G126" s="44" t="n">
        <x:v>0.51</x:v>
      </x:c>
      <x:c r="H126" s="44" t="n">
        <x:v>3.6174999999999997</x:v>
      </x:c>
    </x:row>
    <x:row r="127" ht="18" customHeight="1">
      <x:c r="A127" s="43" t="n">
        <x:v>20</x:v>
      </x:c>
      <x:c r="B127" s="43" t="n">
        <x:v>122</x:v>
      </x:c>
      <x:c r="C127" s="43" t="str">
        <x:v>K138</x:v>
      </x:c>
      <x:c r="D127" s="43" t="str">
        <x:v>(RaW)༺TsuStark༻</x:v>
      </x:c>
      <x:c r="E127" s="44" t="n">
        <x:v>1.5075</x:v>
      </x:c>
      <x:c r="F127" s="44" t="n">
        <x:v>1.645</x:v>
      </x:c>
      <x:c r="G127" s="44" t="n">
        <x:v>0.455</x:v>
      </x:c>
      <x:c r="H127" s="44" t="n">
        <x:v>3.6075</x:v>
      </x:c>
    </x:row>
    <x:row r="128" ht="18" customHeight="1">
      <x:c r="A128" s="43" t="n">
        <x:v>21</x:v>
      </x:c>
      <x:c r="B128" s="43" t="n">
        <x:v>123</x:v>
      </x:c>
      <x:c r="C128" s="43" t="str">
        <x:v>K138</x:v>
      </x:c>
      <x:c r="D128" s="43" t="str">
        <x:v>(RaW)ⓀⒶⓃⓃⓄⓃ</x:v>
      </x:c>
      <x:c r="E128" s="44" t="n">
        <x:v>1.5075</x:v>
      </x:c>
      <x:c r="F128" s="44" t="n">
        <x:v>1.645</x:v>
      </x:c>
      <x:c r="G128" s="44" t="n">
        <x:v>0.455</x:v>
      </x:c>
      <x:c r="H128" s="44" t="n">
        <x:v>3.6075</x:v>
      </x:c>
    </x:row>
    <x:row r="129" ht="18" customHeight="1">
      <x:c r="A129" s="43" t="n">
        <x:v>11</x:v>
      </x:c>
      <x:c r="B129" s="43" t="n">
        <x:v>124</x:v>
      </x:c>
      <x:c r="C129" s="43" t="str">
        <x:v>K91</x:v>
      </x:c>
      <x:c r="D129" s="43" t="str">
        <x:v>•Scorpio•NM85</x:v>
      </x:c>
      <x:c r="E129" s="44" t="n">
        <x:v>1.5225</x:v>
      </x:c>
      <x:c r="F129" s="44" t="n">
        <x:v>1.565</x:v>
      </x:c>
      <x:c r="G129" s="44" t="n">
        <x:v>0.51</x:v>
      </x:c>
      <x:c r="H129" s="44" t="n">
        <x:v>3.5975</x:v>
      </x:c>
    </x:row>
    <x:row r="130" ht="18" customHeight="1">
      <x:c r="A130" s="43" t="n">
        <x:v>17</x:v>
      </x:c>
      <x:c r="B130" s="43" t="n">
        <x:v>125</x:v>
      </x:c>
      <x:c r="C130" s="43" t="str">
        <x:v>K176</x:v>
      </x:c>
      <x:c r="D130" s="43" t="str">
        <x:v>༺肥者先食༻</x:v>
      </x:c>
      <x:c r="E130" s="44" t="n">
        <x:v>1.4675</x:v>
      </x:c>
      <x:c r="F130" s="44" t="n">
        <x:v>1.5225</x:v>
      </x:c>
      <x:c r="G130" s="44" t="n">
        <x:v>0.605</x:v>
      </x:c>
      <x:c r="H130" s="44" t="n">
        <x:v>3.595</x:v>
      </x:c>
    </x:row>
    <x:row r="131" ht="18" customHeight="1">
      <x:c r="A131" s="43" t="n">
        <x:v>12</x:v>
      </x:c>
      <x:c r="B131" s="43" t="n">
        <x:v>126</x:v>
      </x:c>
      <x:c r="C131" s="43" t="str">
        <x:v>K197</x:v>
      </x:c>
      <x:c r="D131" s="43" t="str">
        <x:v>NightFury</x:v>
      </x:c>
      <x:c r="E131" s="44" t="n">
        <x:v>1.6425</x:v>
      </x:c>
      <x:c r="F131" s="44" t="n">
        <x:v>1.4975</x:v>
      </x:c>
      <x:c r="G131" s="44" t="n">
        <x:v>0.45049999999999996</x:v>
      </x:c>
      <x:c r="H131" s="44" t="n">
        <x:v>3.5905</x:v>
      </x:c>
    </x:row>
    <x:row r="132" ht="18" customHeight="1">
      <x:c r="A132" s="43" t="n">
        <x:v>20</x:v>
      </x:c>
      <x:c r="B132" s="43" t="n">
        <x:v>127</x:v>
      </x:c>
      <x:c r="C132" s="43" t="str">
        <x:v>K170</x:v>
      </x:c>
      <x:c r="D132" s="43" t="str">
        <x:v>(AOT)Brauni°</x:v>
      </x:c>
      <x:c r="E132" s="44" t="n">
        <x:v>1.4625</x:v>
      </x:c>
      <x:c r="F132" s="44" t="n">
        <x:v>1.655</x:v>
      </x:c>
      <x:c r="G132" s="44" t="n">
        <x:v>0.47</x:v>
      </x:c>
      <x:c r="H132" s="44" t="n">
        <x:v>3.5874999999999995</x:v>
      </x:c>
    </x:row>
    <x:row r="133" ht="18" customHeight="1">
      <x:c r="A133" s="43" t="n">
        <x:v>18</x:v>
      </x:c>
      <x:c r="B133" s="43" t="n">
        <x:v>128</x:v>
      </x:c>
      <x:c r="C133" s="43" t="str">
        <x:v>K176</x:v>
      </x:c>
      <x:c r="D133" s="43" t="str">
        <x:v>三月的心思你别猜</x:v>
      </x:c>
      <x:c r="E133" s="44" t="n">
        <x:v>1.545</x:v>
      </x:c>
      <x:c r="F133" s="44" t="n">
        <x:v>0.6075</x:v>
      </x:c>
      <x:c r="G133" s="44" t="n">
        <x:v>1.42</x:v>
      </x:c>
      <x:c r="H133" s="44" t="n">
        <x:v>3.5725</x:v>
      </x:c>
    </x:row>
    <x:row r="134" ht="18" customHeight="1">
      <x:c r="A134" s="43" t="n">
        <x:v>22</x:v>
      </x:c>
      <x:c r="B134" s="43" t="n">
        <x:v>129</x:v>
      </x:c>
      <x:c r="C134" s="43" t="str">
        <x:v>K138</x:v>
      </x:c>
      <x:c r="D134" s="43" t="str">
        <x:v>(RaW)GoŁΛ</x:v>
      </x:c>
      <x:c r="E134" s="44" t="n">
        <x:v>1.5075</x:v>
      </x:c>
      <x:c r="F134" s="44" t="n">
        <x:v>1.605</x:v>
      </x:c>
      <x:c r="G134" s="44" t="n">
        <x:v>0.455</x:v>
      </x:c>
      <x:c r="H134" s="44" t="n">
        <x:v>3.5675</x:v>
      </x:c>
    </x:row>
    <x:row r="135" ht="18" customHeight="1">
      <x:c r="A135" s="43" t="n">
        <x:v>19</x:v>
      </x:c>
      <x:c r="B135" s="43" t="n">
        <x:v>130</x:v>
      </x:c>
      <x:c r="C135" s="43" t="str">
        <x:v>K176</x:v>
      </x:c>
      <x:c r="D135" s="43" t="str">
        <x:v>罗密欧与猪过夜</x:v>
      </x:c>
      <x:c r="E135" s="44" t="n">
        <x:v>1.655</x:v>
      </x:c>
      <x:c r="F135" s="44" t="n">
        <x:v>0.5225</x:v>
      </x:c>
      <x:c r="G135" s="44" t="n">
        <x:v>1.385</x:v>
      </x:c>
      <x:c r="H135" s="44" t="n">
        <x:v>3.5625</x:v>
      </x:c>
    </x:row>
    <x:row r="136" ht="18" customHeight="1">
      <x:c r="A136" s="43" t="n">
        <x:v>20</x:v>
      </x:c>
      <x:c r="B136" s="43" t="n">
        <x:v>131</x:v>
      </x:c>
      <x:c r="C136" s="43" t="str">
        <x:v>K176</x:v>
      </x:c>
      <x:c r="D136" s="43" t="str">
        <x:v>我是贤熙</x:v>
      </x:c>
      <x:c r="E136" s="44" t="n">
        <x:v>1.454</x:v>
      </x:c>
      <x:c r="F136" s="44" t="n">
        <x:v>0.88</x:v>
      </x:c>
      <x:c r="G136" s="44" t="n">
        <x:v>1.2</x:v>
      </x:c>
      <x:c r="H136" s="44" t="n">
        <x:v>3.534</x:v>
      </x:c>
    </x:row>
    <x:row r="137" ht="18" customHeight="1">
      <x:c r="A137" s="43" t="n">
        <x:v>21</x:v>
      </x:c>
      <x:c r="B137" s="43" t="n">
        <x:v>132</x:v>
      </x:c>
      <x:c r="C137" s="43" t="str">
        <x:v>K170</x:v>
      </x:c>
      <x:c r="D137" s="43" t="str">
        <x:v>(AOT)BAT</x:v>
      </x:c>
      <x:c r="E137" s="44" t="n">
        <x:v>1.5475</x:v>
      </x:c>
      <x:c r="F137" s="44" t="n">
        <x:v>1.505</x:v>
      </x:c>
      <x:c r="G137" s="44" t="n">
        <x:v>0.47</x:v>
      </x:c>
      <x:c r="H137" s="44" t="n">
        <x:v>3.5225</x:v>
      </x:c>
    </x:row>
    <x:row r="138" ht="18" customHeight="1">
      <x:c r="A138" s="43" t="n">
        <x:v>14</x:v>
      </x:c>
      <x:c r="B138" s="43" t="n">
        <x:v>133</x:v>
      </x:c>
      <x:c r="C138" s="43" t="str">
        <x:v>K116</x:v>
      </x:c>
      <x:c r="D138" s="43" t="str">
        <x:v>陶渊明</x:v>
      </x:c>
      <x:c r="E138" s="44" t="n">
        <x:v>1.4315</x:v>
      </x:c>
      <x:c r="F138" s="44" t="n">
        <x:v>1.2975</x:v>
      </x:c>
      <x:c r="G138" s="44" t="n">
        <x:v>0.7915000000000001</x:v>
      </x:c>
      <x:c r="H138" s="44" t="n">
        <x:v>3.5205</x:v>
      </x:c>
    </x:row>
    <x:row r="139" ht="18" customHeight="1">
      <x:c r="A139" s="43" t="n">
        <x:v>12</x:v>
      </x:c>
      <x:c r="B139" s="43" t="n">
        <x:v>134</x:v>
      </x:c>
      <x:c r="C139" s="43" t="str">
        <x:v>K91</x:v>
      </x:c>
      <x:c r="D139" s="43" t="str">
        <x:v>金灵蛇</x:v>
      </x:c>
      <x:c r="E139" s="44" t="n">
        <x:v>1.425</x:v>
      </x:c>
      <x:c r="F139" s="44" t="n">
        <x:v>1.61</x:v>
      </x:c>
      <x:c r="G139" s="44" t="n">
        <x:v>0.47</x:v>
      </x:c>
      <x:c r="H139" s="44" t="n">
        <x:v>3.505</x:v>
      </x:c>
    </x:row>
    <x:row r="140" ht="18" customHeight="1">
      <x:c r="A140" s="43" t="n">
        <x:v>9</x:v>
      </x:c>
      <x:c r="B140" s="43" t="n">
        <x:v>135</x:v>
      </x:c>
      <x:c r="C140" s="43" t="str">
        <x:v>K54</x:v>
      </x:c>
      <x:c r="D140" s="43" t="str">
        <x:v>Somnium</x:v>
      </x:c>
      <x:c r="E140" s="44" t="n">
        <x:v>1.53</x:v>
      </x:c>
      <x:c r="F140" s="44" t="n">
        <x:v>1.46</x:v>
      </x:c>
      <x:c r="G140" s="44" t="n">
        <x:v>0.51</x:v>
      </x:c>
      <x:c r="H140" s="44" t="n">
        <x:v>3.5</x:v>
      </x:c>
    </x:row>
    <x:row r="141" ht="18" customHeight="1">
      <x:c r="A141" s="43" t="n">
        <x:v>13</x:v>
      </x:c>
      <x:c r="B141" s="43" t="n">
        <x:v>136</x:v>
      </x:c>
      <x:c r="C141" s="43" t="str">
        <x:v>K197</x:v>
      </x:c>
      <x:c r="D141" s="43" t="str">
        <x:v>Mira</x:v>
      </x:c>
      <x:c r="E141" s="44" t="n">
        <x:v>1.3825</x:v>
      </x:c>
      <x:c r="F141" s="44" t="n">
        <x:v>1.6675</x:v>
      </x:c>
      <x:c r="G141" s="44" t="n">
        <x:v>0.41</x:v>
      </x:c>
      <x:c r="H141" s="44" t="n">
        <x:v>3.46</x:v>
      </x:c>
    </x:row>
    <x:row r="142" ht="18" customHeight="1">
      <x:c r="A142" s="43" t="n">
        <x:v>14</x:v>
      </x:c>
      <x:c r="B142" s="43" t="n">
        <x:v>137</x:v>
      </x:c>
      <x:c r="C142" s="43" t="str">
        <x:v>K197</x:v>
      </x:c>
      <x:c r="D142" s="43" t="str">
        <x:v>†ŁØRD†</x:v>
      </x:c>
      <x:c r="E142" s="44" t="n">
        <x:v>1.425</x:v>
      </x:c>
      <x:c r="F142" s="44" t="n">
        <x:v>1.5475</x:v>
      </x:c>
      <x:c r="G142" s="44" t="n">
        <x:v>0.47</x:v>
      </x:c>
      <x:c r="H142" s="44" t="n">
        <x:v>3.4425</x:v>
      </x:c>
    </x:row>
    <x:row r="143" ht="18" customHeight="1">
      <x:c r="A143" s="43" t="n">
        <x:v>15</x:v>
      </x:c>
      <x:c r="B143" s="43" t="n">
        <x:v>138</x:v>
      </x:c>
      <x:c r="C143" s="43" t="str">
        <x:v>K197</x:v>
      </x:c>
      <x:c r="D143" s="43" t="str">
        <x:v>RΣDΣYΣ</x:v>
      </x:c>
      <x:c r="E143" s="44" t="n">
        <x:v>1.4025</x:v>
      </x:c>
      <x:c r="F143" s="44" t="n">
        <x:v>1.6675</x:v>
      </x:c>
      <x:c r="G143" s="44" t="n">
        <x:v>0.37</x:v>
      </x:c>
      <x:c r="H143" s="44" t="n">
        <x:v>3.4400000000000004</x:v>
      </x:c>
    </x:row>
    <x:row r="144" ht="18" customHeight="1">
      <x:c r="A144" s="43" t="n">
        <x:v>13</x:v>
      </x:c>
      <x:c r="B144" s="43" t="n">
        <x:v>139</x:v>
      </x:c>
      <x:c r="C144" s="43" t="str">
        <x:v>K91</x:v>
      </x:c>
      <x:c r="D144" s="43" t="str">
        <x:v>Trinità</x:v>
      </x:c>
      <x:c r="E144" s="44" t="n">
        <x:v>1.4575</x:v>
      </x:c>
      <x:c r="F144" s="44" t="n">
        <x:v>1.52</x:v>
      </x:c>
      <x:c r="G144" s="44" t="n">
        <x:v>0.46</x:v>
      </x:c>
      <x:c r="H144" s="44" t="n">
        <x:v>3.4375</x:v>
      </x:c>
    </x:row>
    <x:row r="145" ht="18" customHeight="1">
      <x:c r="A145" s="43" t="n">
        <x:v>14</x:v>
      </x:c>
      <x:c r="B145" s="43" t="n">
        <x:v>140</x:v>
      </x:c>
      <x:c r="C145" s="43" t="str">
        <x:v>K91</x:v>
      </x:c>
      <x:c r="D145" s="43" t="str">
        <x:v>†LORD•ZARIEL†</x:v>
      </x:c>
      <x:c r="E145" s="44" t="n">
        <x:v>1.4075</x:v>
      </x:c>
      <x:c r="F145" s="44" t="n">
        <x:v>1.4675</x:v>
      </x:c>
      <x:c r="G145" s="44" t="n">
        <x:v>0.51</x:v>
      </x:c>
      <x:c r="H145" s="44" t="n">
        <x:v>3.385</x:v>
      </x:c>
    </x:row>
    <x:row r="146" ht="18" customHeight="1">
      <x:c r="A146" s="43" t="n">
        <x:v>15</x:v>
      </x:c>
      <x:c r="B146" s="43" t="n">
        <x:v>141</x:v>
      </x:c>
      <x:c r="C146" s="43" t="str">
        <x:v>K91</x:v>
      </x:c>
      <x:c r="D146" s="43" t="str">
        <x:v>A†RO/</x:v>
      </x:c>
      <x:c r="E146" s="44" t="n">
        <x:v>1.355</x:v>
      </x:c>
      <x:c r="F146" s="44" t="n">
        <x:v>1.56</x:v>
      </x:c>
      <x:c r="G146" s="44" t="n">
        <x:v>0.46</x:v>
      </x:c>
      <x:c r="H146" s="44" t="n">
        <x:v>3.375</x:v>
      </x:c>
    </x:row>
    <x:row r="147" ht="18" customHeight="1">
      <x:c r="A147" s="43" t="n">
        <x:v>16</x:v>
      </x:c>
      <x:c r="B147" s="43" t="n">
        <x:v>142</x:v>
      </x:c>
      <x:c r="C147" s="43" t="str">
        <x:v>K91</x:v>
      </x:c>
      <x:c r="D147" s="43" t="str">
        <x:v>WindRunner</x:v>
      </x:c>
      <x:c r="E147" s="44" t="n">
        <x:v>1.365</x:v>
      </x:c>
      <x:c r="F147" s="44" t="n">
        <x:v>1.57</x:v>
      </x:c>
      <x:c r="G147" s="44" t="n">
        <x:v>0.41</x:v>
      </x:c>
      <x:c r="H147" s="44" t="n">
        <x:v>3.345</x:v>
      </x:c>
    </x:row>
    <x:row r="148" ht="18" customHeight="1">
      <x:c r="A148" s="43" t="n">
        <x:v>15</x:v>
      </x:c>
      <x:c r="B148" s="43" t="n">
        <x:v>143</x:v>
      </x:c>
      <x:c r="C148" s="43" t="str">
        <x:v>K116</x:v>
      </x:c>
      <x:c r="D148" s="43" t="str">
        <x:v>Derek</x:v>
      </x:c>
      <x:c r="E148" s="44" t="n">
        <x:v>1.55</x:v>
      </x:c>
      <x:c r="F148" s="44" t="n">
        <x:v>0.8484999999999999</x:v>
      </x:c>
      <x:c r="G148" s="44" t="n">
        <x:v>0.9175</x:v>
      </x:c>
      <x:c r="H148" s="44" t="n">
        <x:v>3.316</x:v>
      </x:c>
    </x:row>
    <x:row r="149" ht="18" customHeight="1">
      <x:c r="A149" s="43" t="n">
        <x:v>22</x:v>
      </x:c>
      <x:c r="B149" s="43" t="n">
        <x:v>144</x:v>
      </x:c>
      <x:c r="C149" s="43" t="str">
        <x:v>K170</x:v>
      </x:c>
      <x:c r="D149" s="43" t="str">
        <x:v>(AOT)Paian</x:v>
      </x:c>
      <x:c r="E149" s="44" t="n">
        <x:v>1.39</x:v>
      </x:c>
      <x:c r="F149" s="44" t="n">
        <x:v>1.485</x:v>
      </x:c>
      <x:c r="G149" s="44" t="n">
        <x:v>0.435</x:v>
      </x:c>
      <x:c r="H149" s="44" t="n">
        <x:v>3.31</x:v>
      </x:c>
    </x:row>
    <x:row r="150" ht="18" customHeight="1">
      <x:c r="A150" s="43" t="n">
        <x:v>10</x:v>
      </x:c>
      <x:c r="B150" s="43" t="n">
        <x:v>145</x:v>
      </x:c>
      <x:c r="C150" s="43" t="str">
        <x:v>K54</x:v>
      </x:c>
      <x:c r="D150" s="43" t="str">
        <x:v>奕星的殺猪盤</x:v>
      </x:c>
      <x:c r="E150" s="44" t="n">
        <x:v>1.4975</x:v>
      </x:c>
      <x:c r="F150" s="44" t="n">
        <x:v>0.445</x:v>
      </x:c>
      <x:c r="G150" s="44" t="n">
        <x:v>1.35</x:v>
      </x:c>
      <x:c r="H150" s="44" t="n">
        <x:v>3.2925000000000004</x:v>
      </x:c>
    </x:row>
    <x:row r="151" ht="18" customHeight="1">
      <x:c r="A151" s="43" t="n">
        <x:v>23</x:v>
      </x:c>
      <x:c r="B151" s="43" t="n">
        <x:v>146</x:v>
      </x:c>
      <x:c r="C151" s="43" t="str">
        <x:v>K138</x:v>
      </x:c>
      <x:c r="D151" s="43" t="str">
        <x:v>(RaW)༺飞K༻</x:v>
      </x:c>
      <x:c r="E151" s="44" t="n">
        <x:v>1.4175</x:v>
      </x:c>
      <x:c r="F151" s="44" t="n">
        <x:v>1.48</x:v>
      </x:c>
      <x:c r="G151" s="44" t="n">
        <x:v>0.395</x:v>
      </x:c>
      <x:c r="H151" s="44" t="n">
        <x:v>3.2925</x:v>
      </x:c>
    </x:row>
    <x:row r="152" ht="18" customHeight="1">
      <x:c r="A152" s="43" t="n">
        <x:v>21</x:v>
      </x:c>
      <x:c r="B152" s="43" t="n">
        <x:v>147</x:v>
      </x:c>
      <x:c r="C152" s="43" t="str">
        <x:v>K176</x:v>
      </x:c>
      <x:c r="D152" s="43" t="str">
        <x:v>顺顺顺</x:v>
      </x:c>
      <x:c r="E152" s="44" t="n">
        <x:v>1.4025</x:v>
      </x:c>
      <x:c r="F152" s="44" t="n">
        <x:v>0.55</x:v>
      </x:c>
      <x:c r="G152" s="44" t="n">
        <x:v>1.335</x:v>
      </x:c>
      <x:c r="H152" s="44" t="n">
        <x:v>3.2875</x:v>
      </x:c>
    </x:row>
    <x:row r="153" ht="18" customHeight="1">
      <x:c r="A153" s="43" t="n">
        <x:v>16</x:v>
      </x:c>
      <x:c r="B153" s="43" t="n">
        <x:v>148</x:v>
      </x:c>
      <x:c r="C153" s="43" t="str">
        <x:v>K197</x:v>
      </x:c>
      <x:c r="D153" s="43" t="str">
        <x:v>优乐美</x:v>
      </x:c>
      <x:c r="E153" s="44" t="n">
        <x:v>1.455</x:v>
      </x:c>
      <x:c r="F153" s="44" t="n">
        <x:v>1.278</x:v>
      </x:c>
      <x:c r="G153" s="44" t="n">
        <x:v>0.51</x:v>
      </x:c>
      <x:c r="H153" s="44" t="n">
        <x:v>3.2430000000000003</x:v>
      </x:c>
    </x:row>
    <x:row r="154" ht="18" customHeight="1">
      <x:c r="A154" s="43" t="n">
        <x:v>17</x:v>
      </x:c>
      <x:c r="B154" s="43" t="n">
        <x:v>149</x:v>
      </x:c>
      <x:c r="C154" s="43" t="str">
        <x:v>K91</x:v>
      </x:c>
      <x:c r="D154" s="43" t="str">
        <x:v>Nico•</x:v>
      </x:c>
      <x:c r="E154" s="44" t="n">
        <x:v>1.3825</x:v>
      </x:c>
      <x:c r="F154" s="44" t="n">
        <x:v>1.47</x:v>
      </x:c>
      <x:c r="G154" s="44" t="n">
        <x:v>0.35</x:v>
      </x:c>
      <x:c r="H154" s="44" t="n">
        <x:v>3.2025</x:v>
      </x:c>
    </x:row>
    <x:row r="155" ht="18" customHeight="1">
      <x:c r="A155" s="43" t="n">
        <x:v>23</x:v>
      </x:c>
      <x:c r="B155" s="43" t="n">
        <x:v>150</x:v>
      </x:c>
      <x:c r="C155" s="43" t="str">
        <x:v>K170</x:v>
      </x:c>
      <x:c r="D155" s="43" t="str">
        <x:v>(AOT)Paian2</x:v>
      </x:c>
      <x:c r="E155" s="44" t="n">
        <x:v>1.29</x:v>
      </x:c>
      <x:c r="F155" s="44" t="n">
        <x:v>1.5075</x:v>
      </x:c>
      <x:c r="G155" s="44" t="n">
        <x:v>0.335</x:v>
      </x:c>
      <x:c r="H155" s="44" t="n">
        <x:v>3.1325000000000003</x:v>
      </x:c>
    </x:row>
    <x:row r="156" ht="18" customHeight="1">
      <x:c r="A156" s="43" t="n">
        <x:v>18</x:v>
      </x:c>
      <x:c r="B156" s="43" t="n">
        <x:v>151</x:v>
      </x:c>
      <x:c r="C156" s="43" t="str">
        <x:v>K91</x:v>
      </x:c>
      <x:c r="D156" s="43" t="str">
        <x:v>TatyToy</x:v>
      </x:c>
      <x:c r="E156" s="44" t="n">
        <x:v>1.135</x:v>
      </x:c>
      <x:c r="F156" s="44" t="n">
        <x:v>1.5025</x:v>
      </x:c>
      <x:c r="G156" s="44" t="n">
        <x:v>0.475</x:v>
      </x:c>
      <x:c r="H156" s="44" t="n">
        <x:v>3.1125000000000003</x:v>
      </x:c>
    </x:row>
    <x:row r="157" ht="18" customHeight="1">
      <x:c r="A157" s="43" t="n">
        <x:v>19</x:v>
      </x:c>
      <x:c r="B157" s="43" t="n">
        <x:v>152</x:v>
      </x:c>
      <x:c r="C157" s="43" t="str">
        <x:v>K91</x:v>
      </x:c>
      <x:c r="D157" s="43" t="str">
        <x:v>•BigBoss•NM85</x:v>
      </x:c>
      <x:c r="E157" s="44" t="n">
        <x:v>1.1525</x:v>
      </x:c>
      <x:c r="F157" s="44" t="n">
        <x:v>1.4375</x:v>
      </x:c>
      <x:c r="G157" s="44" t="n">
        <x:v>0.475</x:v>
      </x:c>
      <x:c r="H157" s="44" t="n">
        <x:v>3.065</x:v>
      </x:c>
    </x:row>
    <x:row r="158" ht="18" customHeight="1">
      <x:c r="A158" s="43" t="n">
        <x:v>24</x:v>
      </x:c>
      <x:c r="B158" s="43" t="n">
        <x:v>153</x:v>
      </x:c>
      <x:c r="C158" s="43" t="str">
        <x:v>K138</x:v>
      </x:c>
      <x:c r="D158" s="43" t="str">
        <x:v>(RaW)PPP_253</x:v>
      </x:c>
      <x:c r="E158" s="44" t="n">
        <x:v>0.7815</x:v>
      </x:c>
      <x:c r="F158" s="44" t="n">
        <x:v>1.4775</x:v>
      </x:c>
      <x:c r="G158" s="44" t="n">
        <x:v>0.7165</x:v>
      </x:c>
      <x:c r="H158" s="44" t="n">
        <x:v>2.9755</x:v>
      </x:c>
    </x:row>
    <x:row r="159" ht="18" customHeight="1">
      <x:c r="A159" s="43" t="n">
        <x:v>25</x:v>
      </x:c>
      <x:c r="B159" s="43" t="n">
        <x:v>154</x:v>
      </x:c>
      <x:c r="C159" s="43" t="str">
        <x:v>K138</x:v>
      </x:c>
      <x:c r="D159" s="43" t="str">
        <x:v>(RaW)༺ASOS༻</x:v>
      </x:c>
      <x:c r="E159" s="44" t="n">
        <x:v>1.025</x:v>
      </x:c>
      <x:c r="F159" s="44" t="n">
        <x:v>1.5025</x:v>
      </x:c>
      <x:c r="G159" s="44" t="n">
        <x:v>0.37</x:v>
      </x:c>
      <x:c r="H159" s="44" t="n">
        <x:v>2.8975</x:v>
      </x:c>
    </x:row>
    <x:row r="160" ht="18" customHeight="1">
      <x:c r="A160" s="43" t="n">
        <x:v>16</x:v>
      </x:c>
      <x:c r="B160" s="43" t="n">
        <x:v>155</x:v>
      </x:c>
      <x:c r="C160" s="43" t="str">
        <x:v>K116</x:v>
      </x:c>
      <x:c r="D160" s="43" t="str">
        <x:v>Yuke</x:v>
      </x:c>
      <x:c r="E160" s="44" t="n">
        <x:v>0.7965000000000001</x:v>
      </x:c>
      <x:c r="F160" s="44" t="n">
        <x:v>1.38</x:v>
      </x:c>
      <x:c r="G160" s="44" t="n">
        <x:v>0.6085</x:v>
      </x:c>
      <x:c r="H160" s="44" t="n">
        <x:v>2.785</x:v>
      </x:c>
    </x:row>
    <x:row r="161" ht="18" customHeight="1">
      <x:c r="A161" s="43" t="n">
        <x:v>20</x:v>
      </x:c>
      <x:c r="B161" s="43" t="n">
        <x:v>156</x:v>
      </x:c>
      <x:c r="C161" s="43" t="str">
        <x:v>K91</x:v>
      </x:c>
      <x:c r="D161" s="43" t="str">
        <x:v>Crash</x:v>
      </x:c>
      <x:c r="E161" s="44" t="n">
        <x:v>1.53</x:v>
      </x:c>
      <x:c r="F161" s="44" t="n">
        <x:v>0.5625</x:v>
      </x:c>
      <x:c r="G161" s="44" t="n">
        <x:v>0.475</x:v>
      </x:c>
      <x:c r="H161" s="44" t="n">
        <x:v>2.5675000000000003</x:v>
      </x:c>
    </x:row>
    <x:row r="162" ht="18" customHeight="1">
      <x:c r="A162" s="43" t="n">
        <x:v>26</x:v>
      </x:c>
      <x:c r="B162" s="43" t="n">
        <x:v>157</x:v>
      </x:c>
      <x:c r="C162" s="43" t="str">
        <x:v>K138</x:v>
      </x:c>
      <x:c r="D162" s="43" t="str">
        <x:v>(RaW)Leprechaun</x:v>
      </x:c>
      <x:c r="E162" s="44" t="n">
        <x:v>1.4775</x:v>
      </x:c>
      <x:c r="F162" s="44" t="n">
        <x:v>0.605</x:v>
      </x:c>
      <x:c r="G162" s="44" t="n">
        <x:v>0.455</x:v>
      </x:c>
      <x:c r="H162" s="44" t="n">
        <x:v>2.5375</x:v>
      </x:c>
    </x:row>
    <x:row r="163" ht="18" customHeight="1">
      <x:c r="A163" s="43" t="n">
        <x:v>17</x:v>
      </x:c>
      <x:c r="B163" s="43" t="n">
        <x:v>158</x:v>
      </x:c>
      <x:c r="C163" s="43" t="str">
        <x:v>K116</x:v>
      </x:c>
      <x:c r="D163" s="43" t="str">
        <x:v>逍遥大官人</x:v>
      </x:c>
      <x:c r="E163" s="44" t="n">
        <x:v>1.4465000000000001</x:v>
      </x:c>
      <x:c r="F163" s="44" t="n">
        <x:v>0.6915</x:v>
      </x:c>
      <x:c r="G163" s="44" t="n">
        <x:v>0.3715</x:v>
      </x:c>
      <x:c r="H163" s="44" t="n">
        <x:v>2.5095</x:v>
      </x:c>
    </x:row>
    <x:row r="164" ht="18" customHeight="1">
      <x:c r="A164" s="43" t="n">
        <x:v>11</x:v>
      </x:c>
      <x:c r="B164" s="43" t="n">
        <x:v>159</x:v>
      </x:c>
      <x:c r="C164" s="43" t="str">
        <x:v>K54</x:v>
      </x:c>
      <x:c r="D164" s="43" t="str">
        <x:v>纵横,,,飞哥</x:v>
      </x:c>
      <x:c r="E164" s="44" t="n">
        <x:v>1.38</x:v>
      </x:c>
      <x:c r="F164" s="44" t="n">
        <x:v>0.527</x:v>
      </x:c>
      <x:c r="G164" s="44" t="n">
        <x:v>0.501</x:v>
      </x:c>
      <x:c r="H164" s="44" t="n">
        <x:v>2.408</x:v>
      </x:c>
    </x:row>
    <x:row r="165" ht="18" customHeight="1">
      <x:c r="A165" s="43" t="n">
        <x:v>17</x:v>
      </x:c>
      <x:c r="B165" s="43" t="n">
        <x:v>160</x:v>
      </x:c>
      <x:c r="C165" s="43" t="str">
        <x:v>K197</x:v>
      </x:c>
      <x:c r="D165" s="43" t="str">
        <x:v>Бапм</x:v>
      </x:c>
      <x:c r="E165" s="44" t="n">
        <x:v>1.5225</x:v>
      </x:c>
      <x:c r="F165" s="44" t="n">
        <x:v>0.365</x:v>
      </x:c>
      <x:c r="G165" s="44" t="n">
        <x:v>0.385</x:v>
      </x:c>
      <x:c r="H165" s="44" t="n">
        <x:v>2.2725</x:v>
      </x:c>
    </x:row>
    <x:row r="166" ht="18" customHeight="1">
      <x:c r="A166" s="43" t="n">
        <x:v>18</x:v>
      </x:c>
      <x:c r="B166" s="43" t="n">
        <x:v>161</x:v>
      </x:c>
      <x:c r="C166" s="43" t="str">
        <x:v>K116</x:v>
      </x:c>
      <x:c r="D166" s="43" t="str">
        <x:v>ALI</x:v>
      </x:c>
      <x:c r="E166" s="44" t="n">
        <x:v>0.38799999999999996</x:v>
      </x:c>
      <x:c r="F166" s="44" t="n">
        <x:v>1.4435</x:v>
      </x:c>
      <x:c r="G166" s="44" t="n">
        <x:v>0.4235</x:v>
      </x:c>
      <x:c r="H166" s="44" t="n">
        <x:v>2.255</x:v>
      </x:c>
    </x:row>
    <x:row r="167" ht="18" customHeight="1">
      <x:c r="A167" s="43" t="n">
        <x:v>18</x:v>
      </x:c>
      <x:c r="B167" s="43" t="n">
        <x:v>162</x:v>
      </x:c>
      <x:c r="C167" s="43" t="str">
        <x:v>K197</x:v>
      </x:c>
      <x:c r="D167" s="43" t="str">
        <x:v>Caramel</x:v>
      </x:c>
      <x:c r="E167" s="44" t="n">
        <x:v>0.4225</x:v>
      </x:c>
      <x:c r="F167" s="44" t="n">
        <x:v>1.5375</x:v>
      </x:c>
      <x:c r="G167" s="44" t="n">
        <x:v>0.23850000000000002</x:v>
      </x:c>
      <x:c r="H167" s="44" t="n">
        <x:v>2.1985</x:v>
      </x:c>
    </x:row>
    <x:row r="168" ht="18" customHeight="1">
      <x:c r="A168" s="43" t="n">
        <x:v>22</x:v>
      </x:c>
      <x:c r="B168" s="43" t="n">
        <x:v>163</x:v>
      </x:c>
      <x:c r="C168" s="43" t="str">
        <x:v>K176</x:v>
      </x:c>
      <x:c r="D168" s="43" t="str">
        <x:v>WARBLOOD</x:v>
      </x:c>
      <x:c r="E168" s="44" t="n">
        <x:v>1.4025</x:v>
      </x:c>
      <x:c r="F168" s="44" t="n">
        <x:v>0.405</x:v>
      </x:c>
      <x:c r="G168" s="44" t="n">
        <x:v>0.365</x:v>
      </x:c>
      <x:c r="H168" s="44" t="n">
        <x:v>2.1725000000000003</x:v>
      </x:c>
    </x:row>
    <x:row r="169">
      <x:c r="A169" s="780" t="n">
        <x:v>27</x:v>
      </x:c>
      <x:c r="B169" s="780" t="n">
        <x:v>164</x:v>
      </x:c>
      <x:c r="C169" s="774" t="str">
        <x:v>K138</x:v>
      </x:c>
      <x:c r="D169" s="774" t="str">
        <x:v>(RaW)JØNS</x:v>
      </x:c>
      <x:c r="E169" s="778" t="n">
        <x:v>0.335</x:v>
      </x:c>
      <x:c r="F169" s="778" t="n">
        <x:v>1.44</x:v>
      </x:c>
      <x:c r="G169" s="778" t="n">
        <x:v>0.3385</x:v>
      </x:c>
      <x:c r="H169" s="778" t="n">
        <x:v>2.1135</x:v>
      </x:c>
    </x:row>
    <x:row r="170">
      <x:c r="A170" s="779" t="n">
        <x:v>19</x:v>
      </x:c>
      <x:c r="B170" s="779" t="n">
        <x:v>165</x:v>
      </x:c>
      <x:c r="C170" s="771" t="str">
        <x:v>K116</x:v>
      </x:c>
      <x:c r="D170" s="771" t="str">
        <x:v>芙蕾魚</x:v>
      </x:c>
      <x:c r="E170" s="777" t="n">
        <x:v>1.27</x:v>
      </x:c>
      <x:c r="F170" s="777" t="n">
        <x:v>0.42</x:v>
      </x:c>
      <x:c r="G170" s="777" t="n">
        <x:v>0.395</x:v>
      </x:c>
      <x:c r="H170" s="777" t="n">
        <x:v>2.085</x:v>
      </x:c>
    </x:row>
    <x:row r="171">
      <x:c r="A171" s="780" t="n">
        <x:v>19</x:v>
      </x:c>
      <x:c r="B171" s="780" t="n">
        <x:v>166</x:v>
      </x:c>
      <x:c r="C171" s="774" t="str">
        <x:v>K197</x:v>
      </x:c>
      <x:c r="D171" s="774" t="str">
        <x:v>LUIGUI</x:v>
      </x:c>
      <x:c r="E171" s="778" t="n">
        <x:v>0.3115</x:v>
      </x:c>
      <x:c r="F171" s="778" t="n">
        <x:v>1.315</x:v>
      </x:c>
      <x:c r="G171" s="778" t="n">
        <x:v>0.2965</x:v>
      </x:c>
      <x:c r="H171" s="778" t="n">
        <x:v>1.923</x:v>
      </x:c>
    </x:row>
    <x:row r="172">
      <x:c r="A172" s="779" t="n">
        <x:v>20</x:v>
      </x:c>
      <x:c r="B172" s="779" t="n">
        <x:v>167</x:v>
      </x:c>
      <x:c r="C172" s="771" t="str">
        <x:v>K116</x:v>
      </x:c>
      <x:c r="D172" s="771" t="str">
        <x:v>不可盾号</x:v>
      </x:c>
      <x:c r="E172" s="777" t="n">
        <x:v>0.2065</x:v>
      </x:c>
      <x:c r="F172" s="777" t="n">
        <x:v>1.0635</x:v>
      </x:c>
      <x:c r="G172" s="777" t="n">
        <x:v>0.165</x:v>
      </x:c>
      <x:c r="H172" s="777" t="n">
        <x:v>1.4349999999999998</x:v>
      </x:c>
    </x:row>
  </x:sheetData>
  <x:mergeCells>
    <x:mergeCell ref="A1:H1"/>
    <x:mergeCell ref="A2:H2"/>
    <x:mergeCell ref="A4:H4"/>
  </x:mergeCells>
  <x:conditionalFormatting sqref="H6:H16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01893a020ea48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</x:cols>
  <x:sheetData>
    <x:row r="1" ht="30" customHeight="1">
      <x:c r="A1" s="3" t="str">
        <x:v>K60 vs K91 vs K116 vs K138 vs K170 vs K54 vs K197 vs K176 — Damage Comparison Dashboard</x:v>
      </x:c>
      <x:c r="B1" s="3" t="str">
        <x:v>K60 vs K91 vs K116 vs K138 vs K170 vs K54 vs K197 vs K176 — Damage Comparison Dashboard</x:v>
      </x:c>
      <x:c r="C1" s="3" t="str">
        <x:v>K60 vs K91 vs K116 vs K138 vs K170 vs K54 vs K197 vs K176 — Damage Comparison Dashboard</x:v>
      </x:c>
      <x:c r="D1" s="3" t="str">
        <x:v>K60 vs K91 vs K116 vs K138 vs K170 vs K54 vs K197 vs K176 — Damage Comparison Dashboard</x:v>
      </x:c>
      <x:c r="E1" s="3" t="str">
        <x:v>K60 vs K91 vs K116 vs K138 vs K170 vs K54 vs K197 vs K176 — Damage Comparison Dashboard</x:v>
      </x:c>
      <x:c r="F1" s="3" t="str">
        <x:v>K60 vs K91 vs K116 vs K138 vs K170 vs K54 vs K197 vs K176 — Damage Comparison Dashboard</x:v>
      </x:c>
      <x:c r="G1" s="3" t="str">
        <x:v>K60 vs K91 vs K116 vs K138 vs K170 vs K54 vs K197 vs K176 — Damage Comparison Dashboard</x:v>
      </x:c>
      <x:c r="H1" s="3" t="str">
        <x:v>K60 vs K91 vs K116 vs K138 vs K170 vs K54 vs K197 vs K176 — Damage Comparison Dashboard</x:v>
      </x:c>
      <x:c r="I1" s="3" t="str">
        <x:v>K60 vs K91 vs K116 vs K138 vs K170 vs K54 vs K197 vs K176 — Damage Comparison Dashboard</x:v>
      </x:c>
      <x:c r="J1" s="3" t="str">
        <x:v>K60 vs K91 vs K116 vs K138 vs K170 vs K54 vs K197 vs K176 — Damage Comparison Dashboard</x:v>
      </x:c>
      <x:c r="K1" s="3" t="str">
        <x:v>K60 vs K91 vs K116 vs K138 vs K170 vs K54 vs K197 vs K176 — Damage Comparison Dashboard</x:v>
      </x:c>
      <x:c r="L1" s="3" t="str">
        <x:v>K60 vs K91 vs K116 vs K138 vs K170 vs K54 vs K197 vs K176 — Damage Comparison Dashboard</x:v>
      </x:c>
      <x:c r="M1" s="3" t="str">
        <x:v>K60 vs K91 vs K116 vs K138 vs K170 vs K54 vs K197 vs K176 — Damage Comparison Dashboard</x:v>
      </x:c>
      <x:c r="N1" s="3" t="str">
        <x:v>K60 vs K91 vs K116 vs K138 vs K170 vs K54 vs K197 vs K176 — Damage Comparison Dashboard</x:v>
      </x:c>
      <x:c r="O1" s="3" t="str">
        <x:v>K60 vs K91 vs K116 vs K138 vs K170 vs K54 vs K197 vs K176 — Damage Comparison Dashboard</x:v>
      </x:c>
      <x:c r="P1" s="3" t="str">
        <x:v>K60 vs K91 vs K116 vs K138 vs K170 vs K54 vs K197 vs K176 — Damage Comparison Dashboard</x:v>
      </x:c>
      <x:c r="Q1" s="3" t="str">
        <x:v>K60 vs K91 vs K116 vs K138 vs K170 vs K54 vs K197 vs K176 — Damage Comparison Dashboard</x:v>
      </x:c>
      <x:c r="R1" s="3" t="str">
        <x:v>K60 vs K91 vs K116 vs K138 vs K170 vs K54 vs K197 vs K176 — Damage Comparison Dashboard</x:v>
      </x:c>
      <x:c r="S1" s="3" t="str">
        <x:v>K60 vs K91 vs K116 vs K138 vs K170 vs K54 vs K197 vs K176 — Damage Comparison Dashboard</x:v>
      </x:c>
      <x:c r="T1" s="3" t="str">
        <x:v>K60 vs K91 vs K116 vs K138 vs K170 vs K54 vs K197 vs K176 — Damage Comparison Dashboard</x:v>
      </x:c>
      <x:c r="U1" s="3" t="str">
        <x:v>K60 vs K91 vs K116 vs K138 vs K170 vs K54 vs K197 vs K176 — Damage Comparison Dashboard</x:v>
      </x:c>
      <x:c r="V1" s="3" t="str">
        <x:v>K60 vs K91 vs K116 vs K138 vs K170 vs K54 vs K197 vs K176 — Damage Comparison Dashboard</x:v>
      </x:c>
      <x:c r="W1" s="3" t="str">
        <x:v>K60 vs K91 vs K116 vs K138 vs K170 vs K54 vs K197 vs K176 — Damage Comparison Dashboard</x:v>
      </x:c>
      <x:c r="X1" s="3" t="str">
        <x:v>K60 vs K91 vs K116 vs K138 vs K170 vs K54 vs K197 vs K176 — Damage Comparison Dashboard</x:v>
      </x:c>
      <x:c r="Y1" s="3" t="str">
        <x:v>K60 vs K91 vs K116 vs K138 vs K170 vs K54 vs K197 vs K176 — Damage Comparison Dashboard</x:v>
      </x:c>
      <x:c r="Z1" s="3" t="str">
        <x:v>K60 vs K91 vs K116 vs K138 vs K170 vs K54 vs K197 vs K176 — Damage Comparison Dashboard</x:v>
      </x:c>
      <x:c r="AA1" s="3" t="str">
        <x:v>K60 vs K91 vs K116 vs K138 vs K170 vs K54 vs K197 vs K176 — Damage Comparison Dashboard</x:v>
      </x:c>
      <x:c r="AB1" s="3" t="str">
        <x:v>K60 vs K91 vs K116 vs K138 vs K170 vs K54 vs K197 vs K176 — Damage Comparison Dashboard</x:v>
      </x:c>
      <x:c r="AC1" s="3" t="str">
        <x:v>K60 vs K91 vs K116 vs K138 vs K170 vs K54 vs K197 vs K176 — Damage Comparison Dashboard</x:v>
      </x:c>
      <x:c r="AD1" s="3" t="str">
        <x:v>K60 vs K91 vs K116 vs K138 vs K170 vs K54 vs K197 vs K176 — Damage Comparison Dashboard</x:v>
      </x:c>
      <x:c r="AE1" s="3" t="str">
        <x:v>K60 vs K91 vs K116 vs K138 vs K170 vs K54 vs K197 vs K176 — Damage Comparison Dashboard</x:v>
      </x:c>
      <x:c r="AF1" s="3" t="str">
        <x:v>K60 vs K91 vs K116 vs K138 vs K170 vs K54 vs K197 vs K176 — Damage Comparison Dashboard</x:v>
      </x:c>
      <x:c r="AG1" s="3" t="str">
        <x:v>K60 vs K91 vs K116 vs K138 vs K170 vs K54 vs K197 vs K176 — Damage Comparison Dashboard</x:v>
      </x:c>
      <x:c r="AH1" s="3" t="str">
        <x:v>K60 vs K91 vs K116 vs K138 vs K170 vs K54 vs K197 vs K176 — Damage Comparison Dashboard</x:v>
      </x:c>
      <x:c r="AI1" s="3" t="str">
        <x:v>K60 vs K91 vs K116 vs K138 vs K170 vs K54 vs K197 vs K176 — Damage Comparison Dashboard</x:v>
      </x:c>
      <x:c r="AJ1" s="3" t="str">
        <x:v>K60 vs K91 vs K116 vs K138 vs K170 vs K54 vs K197 vs K176 — Damage Comparison Dashboard</x:v>
      </x:c>
    </x:row>
    <x:row r="2" ht="24" customHeight="1">
      <x:c r="A2" s="7" t="str">
        <x:v>Damage-only comparison; guards, health, defence, protection blessings, revive and lethal-hit rate are excluded</x:v>
      </x:c>
      <x:c r="B2" s="7" t="str">
        <x:v>Damage-only comparison; guards, health, defence, protection blessings, revive and lethal-hit rate are excluded</x:v>
      </x:c>
      <x:c r="C2" s="7" t="str">
        <x:v>Damage-only comparison; guards, health, defence, protection blessings, revive and lethal-hit rate are excluded</x:v>
      </x:c>
      <x:c r="D2" s="7" t="str">
        <x:v>Damage-only comparison; guards, health, defence, protection blessings, revive and lethal-hit rate are excluded</x:v>
      </x:c>
      <x:c r="E2" s="7" t="str">
        <x:v>Damage-only comparison; guards, health, defence, protection blessings, revive and lethal-hit rate are excluded</x:v>
      </x:c>
      <x:c r="F2" s="7" t="str">
        <x:v>Damage-only comparison; guards, health, defence, protection blessings, revive and lethal-hit rate are excluded</x:v>
      </x:c>
      <x:c r="G2" s="7" t="str">
        <x:v>Damage-only comparison; guards, health, defence, protection blessings, revive and lethal-hit rate are excluded</x:v>
      </x:c>
      <x:c r="H2" s="7" t="str">
        <x:v>Damage-only comparison; guards, health, defence, protection blessings, revive and lethal-hit rate are excluded</x:v>
      </x:c>
      <x:c r="I2" s="7" t="str">
        <x:v>Damage-only comparison; guards, health, defence, protection blessings, revive and lethal-hit rate are excluded</x:v>
      </x:c>
      <x:c r="J2" s="7" t="str">
        <x:v>Damage-only comparison; guards, health, defence, protection blessings, revive and lethal-hit rate are excluded</x:v>
      </x:c>
      <x:c r="K2" s="7" t="str">
        <x:v>Damage-only comparison; guards, health, defence, protection blessings, revive and lethal-hit rate are excluded</x:v>
      </x:c>
      <x:c r="L2" s="7" t="str">
        <x:v>Damage-only comparison; guards, health, defence, protection blessings, revive and lethal-hit rate are excluded</x:v>
      </x:c>
      <x:c r="M2" s="7" t="str">
        <x:v>Damage-only comparison; guards, health, defence, protection blessings, revive and lethal-hit rate are excluded</x:v>
      </x:c>
      <x:c r="N2" s="7" t="str">
        <x:v>Damage-only comparison; guards, health, defence, protection blessings, revive and lethal-hit rate are excluded</x:v>
      </x:c>
      <x:c r="O2" s="7" t="str">
        <x:v>Damage-only comparison; guards, health, defence, protection blessings, revive and lethal-hit rate are excluded</x:v>
      </x:c>
      <x:c r="P2" s="7" t="str">
        <x:v>Damage-only comparison; guards, health, defence, protection blessings, revive and lethal-hit rate are excluded</x:v>
      </x:c>
      <x:c r="Q2" s="7" t="str">
        <x:v>Damage-only comparison; guards, health, defence, protection blessings, revive and lethal-hit rate are excluded</x:v>
      </x:c>
      <x:c r="R2" s="7" t="str">
        <x:v>Damage-only comparison; guards, health, defence, protection blessings, revive and lethal-hit rate are excluded</x:v>
      </x:c>
      <x:c r="S2" s="7" t="str">
        <x:v>Damage-only comparison; guards, health, defence, protection blessings, revive and lethal-hit rate are excluded</x:v>
      </x:c>
      <x:c r="T2" s="7" t="str">
        <x:v>Damage-only comparison; guards, health, defence, protection blessings, revive and lethal-hit rate are excluded</x:v>
      </x:c>
      <x:c r="U2" s="7" t="str">
        <x:v>Damage-only comparison; guards, health, defence, protection blessings, revive and lethal-hit rate are excluded</x:v>
      </x:c>
      <x:c r="V2" s="7" t="str">
        <x:v>Damage-only comparison; guards, health, defence, protection blessings, revive and lethal-hit rate are excluded</x:v>
      </x:c>
      <x:c r="W2" s="7" t="str">
        <x:v>Damage-only comparison; guards, health, defence, protection blessings, revive and lethal-hit rate are excluded</x:v>
      </x:c>
      <x:c r="X2" s="7" t="str">
        <x:v>Damage-only comparison; guards, health, defence, protection blessings, revive and lethal-hit rate are excluded</x:v>
      </x:c>
      <x:c r="Y2" s="7" t="str">
        <x:v>Damage-only comparison; guards, health, defence, protection blessings, revive and lethal-hit rate are excluded</x:v>
      </x:c>
      <x:c r="Z2" s="7" t="str">
        <x:v>Damage-only comparison; guards, health, defence, protection blessings, revive and lethal-hit rate are excluded</x:v>
      </x:c>
      <x:c r="AA2" s="7" t="str">
        <x:v>Damage-only comparison; guards, health, defence, protection blessings, revive and lethal-hit rate are excluded</x:v>
      </x:c>
      <x:c r="AB2" s="7" t="str">
        <x:v>Damage-only comparison; guards, health, defence, protection blessings, revive and lethal-hit rate are excluded</x:v>
      </x:c>
      <x:c r="AC2" s="7" t="str">
        <x:v>Damage-only comparison; guards, health, defence, protection blessings, revive and lethal-hit rate are excluded</x:v>
      </x:c>
      <x:c r="AD2" s="7" t="str">
        <x:v>Damage-only comparison; guards, health, defence, protection blessings, revive and lethal-hit rate are excluded</x:v>
      </x:c>
      <x:c r="AE2" s="7" t="str">
        <x:v>Damage-only comparison; guards, health, defence, protection blessings, revive and lethal-hit rate are excluded</x:v>
      </x:c>
      <x:c r="AF2" s="7" t="str">
        <x:v>Damage-only comparison; guards, health, defence, protection blessings, revive and lethal-hit rate are excluded</x:v>
      </x:c>
      <x:c r="AG2" s="7" t="str">
        <x:v>Damage-only comparison; guards, health, defence, protection blessings, revive and lethal-hit rate are excluded</x:v>
      </x:c>
      <x:c r="AH2" s="7" t="str">
        <x:v>Damage-only comparison; guards, health, defence, protection blessings, revive and lethal-hit rate are excluded</x:v>
      </x:c>
      <x:c r="AI2" s="7" t="str">
        <x:v>Damage-only comparison; guards, health, defence, protection blessings, revive and lethal-hit rate are excluded</x:v>
      </x:c>
      <x:c r="AJ2" s="7" t="str">
        <x:v>Damage-only comparison; guards, health, defence, protection blessings, revive and lethal-hit rate are excluded</x:v>
      </x:c>
    </x:row>
    <x:row r="4" ht="24" customHeight="1">
      <x:c r="A4" s="792" t="str">
        <x:v>Overall leader</x:v>
      </x:c>
      <x:c r="B4" s="792" t="str">
        <x:v>Overall damage leader</x:v>
      </x:c>
      <x:c r="C4" s="792" t="str">
        <x:v>Overall damage leader</x:v>
      </x:c>
      <x:c r="D4" s="792" t="str">
        <x:v>Overall damage leader</x:v>
      </x:c>
      <x:c r="E4" s="792" t="str">
        <x:v>K60 Top 5</x:v>
      </x:c>
      <x:c r="F4" s="792" t="str">
        <x:v>K60 Top 5 average</x:v>
      </x:c>
      <x:c r="G4" s="792" t="str">
        <x:v>K60 Top 5 average</x:v>
      </x:c>
      <x:c r="H4" s="792" t="str">
        <x:v>K60 Top 5 average</x:v>
      </x:c>
      <x:c r="I4" s="792" t="str">
        <x:v>K91 Top 5</x:v>
      </x:c>
      <x:c r="J4" s="792" t="str">
        <x:v>K91 Top 5 average</x:v>
      </x:c>
      <x:c r="K4" s="792" t="str">
        <x:v>K91 Top 5 average</x:v>
      </x:c>
      <x:c r="L4" s="792" t="str">
        <x:v>K91 Top 5 average</x:v>
      </x:c>
      <x:c r="M4" s="792" t="str">
        <x:v>K116 Top 5</x:v>
      </x:c>
      <x:c r="N4" s="792" t="str">
        <x:v>K116 Top 5 average</x:v>
      </x:c>
      <x:c r="O4" s="792" t="str">
        <x:v>K116 Top 5 average</x:v>
      </x:c>
      <x:c r="P4" s="792" t="str">
        <x:v>K116 Top 5 average</x:v>
      </x:c>
      <x:c r="Q4" s="792" t="str">
        <x:v>K138 Top 5</x:v>
      </x:c>
      <x:c r="R4" s="792" t="str">
        <x:v>K138 Top 5 average</x:v>
      </x:c>
      <x:c r="S4" s="792" t="str">
        <x:v>K138 Top 5 average</x:v>
      </x:c>
      <x:c r="T4" s="792" t="str">
        <x:v>K138 Top 5 average</x:v>
      </x:c>
      <x:c r="U4" s="792" t="str">
        <x:v>K170 Top 5</x:v>
      </x:c>
      <x:c r="V4" s="792" t="str">
        <x:v>K170 Top 5 average</x:v>
      </x:c>
      <x:c r="W4" s="792" t="str">
        <x:v>K170 Top 5 average</x:v>
      </x:c>
      <x:c r="X4" s="792" t="str">
        <x:v>K170 Top 5 average</x:v>
      </x:c>
      <x:c r="Y4" s="792" t="str">
        <x:v>K54 Top 5</x:v>
      </x:c>
      <x:c r="Z4" s="792" t="str">
        <x:v>K54 Top 5 average</x:v>
      </x:c>
      <x:c r="AA4" s="792" t="str">
        <x:v>K54 Top 5 average</x:v>
      </x:c>
      <x:c r="AB4" s="792" t="str">
        <x:v>K54 Top 5 average</x:v>
      </x:c>
      <x:c r="AC4" s="792" t="str">
        <x:v>K197 Top 5</x:v>
      </x:c>
      <x:c r="AD4" s="792" t="str">
        <x:v>K197 Top 5 average</x:v>
      </x:c>
      <x:c r="AE4" s="792" t="str">
        <x:v>K197 Top 5 average</x:v>
      </x:c>
      <x:c r="AF4" s="792" t="str">
        <x:v>K197 Top 5 average</x:v>
      </x:c>
      <x:c r="AG4" s="792" t="str">
        <x:v>K176 Top 5</x:v>
      </x:c>
      <x:c r="AH4" s="792" t="str">
        <x:v>K176 Top 5 average</x:v>
      </x:c>
      <x:c r="AI4" s="792" t="str">
        <x:v>K176 Top 5 average</x:v>
      </x:c>
      <x:c r="AJ4" s="792" t="str">
        <x:v>K176 Top 5 average</x:v>
      </x:c>
      <x:c r="AL4" s="42" t="str">
        <x:v>Player</x:v>
      </x:c>
      <x:c r="AM4" s="42" t="str">
        <x:v>K60</x:v>
      </x:c>
      <x:c r="AN4" s="42" t="str">
        <x:v>K91</x:v>
      </x:c>
      <x:c r="AO4" s="42" t="str">
        <x:v>K116</x:v>
      </x:c>
      <x:c r="AP4" s="42" t="str">
        <x:v>K138</x:v>
      </x:c>
      <x:c r="AQ4" s="42" t="str">
        <x:v>K170</x:v>
      </x:c>
      <x:c r="AR4" s="42" t="str">
        <x:v>K54</x:v>
      </x:c>
      <x:c r="AS4" s="42" t="str">
        <x:v>K197</x:v>
      </x:c>
      <x:c r="AT4" s="42" t="str">
        <x:v>K176</x:v>
      </x:c>
      <x:c r="AV4" s="42" t="str">
        <x:v>Elite lens</x:v>
      </x:c>
      <x:c r="AW4" s="42" t="str">
        <x:v>K60</x:v>
      </x:c>
      <x:c r="AX4" s="42" t="str">
        <x:v>K91</x:v>
      </x:c>
      <x:c r="AY4" s="42" t="str">
        <x:v>K116</x:v>
      </x:c>
      <x:c r="AZ4" s="42" t="str">
        <x:v>K138</x:v>
      </x:c>
      <x:c r="BA4" s="42" t="str">
        <x:v>K170</x:v>
      </x:c>
      <x:c r="BB4" s="42" t="str">
        <x:v>K54</x:v>
      </x:c>
      <x:c r="BC4" s="42" t="str">
        <x:v>K197</x:v>
      </x:c>
      <x:c r="BD4" s="42" t="str">
        <x:v>K176</x:v>
      </x:c>
      <x:c r="BF4" s="42" t="str">
        <x:v>Damage group</x:v>
      </x:c>
      <x:c r="BG4" s="42" t="str">
        <x:v>K60</x:v>
      </x:c>
      <x:c r="BH4" s="42" t="str">
        <x:v>K91</x:v>
      </x:c>
      <x:c r="BI4" s="42" t="str">
        <x:v>K116</x:v>
      </x:c>
      <x:c r="BJ4" s="42" t="str">
        <x:v>K138</x:v>
      </x:c>
      <x:c r="BK4" s="42" t="str">
        <x:v>K170</x:v>
      </x:c>
      <x:c r="BL4" s="42" t="str">
        <x:v>K54</x:v>
      </x:c>
      <x:c r="BM4" s="42" t="str">
        <x:v>K197</x:v>
      </x:c>
      <x:c r="BN4" s="42" t="str">
        <x:v>K176</x:v>
      </x:c>
      <x:c r="BP4" s="42" t="str">
        <x:v>Kingdom</x:v>
      </x:c>
      <x:c r="BQ4" s="42" t="str">
        <x:v>Top roster raw total avg</x:v>
      </x:c>
    </x:row>
    <x:row r="5" ht="24" customHeight="1">
      <x:c r="A5" s="792" t="str">
        <x:v>Overall damage leader</x:v>
      </x:c>
      <x:c r="B5" s="792" t="str">
        <x:v>Overall damage leader</x:v>
      </x:c>
      <x:c r="C5" s="792" t="str">
        <x:v>Overall damage leader</x:v>
      </x:c>
      <x:c r="D5" s="792" t="str">
        <x:v>Overall damage leader</x:v>
      </x:c>
      <x:c r="E5" s="792" t="str">
        <x:v>K60 Top 5 average</x:v>
      </x:c>
      <x:c r="F5" s="792" t="str">
        <x:v>K60 Top 5 average</x:v>
      </x:c>
      <x:c r="G5" s="792" t="str">
        <x:v>K60 Top 5 average</x:v>
      </x:c>
      <x:c r="H5" s="792" t="str">
        <x:v>K60 Top 5 average</x:v>
      </x:c>
      <x:c r="I5" s="792" t="str">
        <x:v>K91 Top 5 average</x:v>
      </x:c>
      <x:c r="J5" s="792" t="str">
        <x:v>K91 Top 5 average</x:v>
      </x:c>
      <x:c r="K5" s="792" t="str">
        <x:v>K91 Top 5 average</x:v>
      </x:c>
      <x:c r="L5" s="792" t="str">
        <x:v>K91 Top 5 average</x:v>
      </x:c>
      <x:c r="M5" s="792" t="str">
        <x:v>K116 Top 5 average</x:v>
      </x:c>
      <x:c r="N5" s="792" t="str">
        <x:v>K116 Top 5 average</x:v>
      </x:c>
      <x:c r="O5" s="792" t="str">
        <x:v>K116 Top 5 average</x:v>
      </x:c>
      <x:c r="P5" s="792" t="str">
        <x:v>K116 Top 5 average</x:v>
      </x:c>
      <x:c r="Q5" s="792" t="str">
        <x:v>K138 Top 5 average</x:v>
      </x:c>
      <x:c r="R5" s="792" t="str">
        <x:v>K138 Top 5 average</x:v>
      </x:c>
      <x:c r="S5" s="792" t="str">
        <x:v>K138 Top 5 average</x:v>
      </x:c>
      <x:c r="T5" s="792" t="str">
        <x:v>K138 Top 5 average</x:v>
      </x:c>
      <x:c r="U5" s="792" t="str">
        <x:v>K170 Top 5 average</x:v>
      </x:c>
      <x:c r="V5" s="792" t="str">
        <x:v>K170 Top 5 average</x:v>
      </x:c>
      <x:c r="W5" s="792" t="str">
        <x:v>K170 Top 5 average</x:v>
      </x:c>
      <x:c r="X5" s="792" t="str">
        <x:v>K170 Top 5 average</x:v>
      </x:c>
      <x:c r="Y5" s="792" t="str">
        <x:v>K54 Top 5 average</x:v>
      </x:c>
      <x:c r="Z5" s="792" t="str">
        <x:v>K54 Top 5 average</x:v>
      </x:c>
      <x:c r="AA5" s="792" t="str">
        <x:v>K54 Top 5 average</x:v>
      </x:c>
      <x:c r="AB5" s="792" t="str">
        <x:v>K54 Top 5 average</x:v>
      </x:c>
      <x:c r="AC5" s="792" t="str">
        <x:v>K197 Top 5 average</x:v>
      </x:c>
      <x:c r="AD5" s="792" t="str">
        <x:v>K197 Top 5 average</x:v>
      </x:c>
      <x:c r="AE5" s="792" t="str">
        <x:v>K197 Top 5 average</x:v>
      </x:c>
      <x:c r="AF5" s="792" t="str">
        <x:v>K197 Top 5 average</x:v>
      </x:c>
      <x:c r="AG5" s="792" t="str">
        <x:v>K176 Top 5 average</x:v>
      </x:c>
      <x:c r="AH5" s="792" t="str">
        <x:v>K176 Top 5 average</x:v>
      </x:c>
      <x:c r="AI5" s="792" t="str">
        <x:v>K176 Top 5 average</x:v>
      </x:c>
      <x:c r="AJ5" s="792" t="str">
        <x:v>K176 Top 5 average</x:v>
      </x:c>
      <x:c r="AL5" s="226" t="str">
        <x:v>#1 Хлебушек</x:v>
      </x:c>
      <x:c r="AM5" s="226"/>
      <x:c r="AN5" s="226"/>
      <x:c r="AO5" s="226"/>
      <x:c r="AP5" s="226"/>
      <x:c r="AQ5" s="226"/>
      <x:c r="AR5" s="226"/>
      <x:c r="AS5" s="226" t="n">
        <x:v>95.91360373979555</x:v>
      </x:c>
      <x:c r="AT5" s="226"/>
      <x:c r="AU5" s="226"/>
      <x:c r="AV5" s="226" t="str">
        <x:v>Best</x:v>
      </x:c>
      <x:c r="AW5" s="226" t="n">
        <x:v>80.48613371322558</x:v>
      </x:c>
      <x:c r="AX5" s="226" t="n">
        <x:v>88.02618236163738</x:v>
      </x:c>
      <x:c r="AY5" s="226" t="n">
        <x:v>86.23605080293748</x:v>
      </x:c>
      <x:c r="AZ5" s="226" t="n">
        <x:v>71.81698755004226</x:v>
      </x:c>
      <x:c r="BA5" s="226" t="n">
        <x:v>78.02639599571137</x:v>
      </x:c>
      <x:c r="BB5" s="226" t="n">
        <x:v>90.59251222390677</x:v>
      </x:c>
      <x:c r="BC5" s="226" t="n">
        <x:v>95.91360373979555</x:v>
      </x:c>
      <x:c r="BD5" s="226" t="n">
        <x:v>74.6550009636016</x:v>
      </x:c>
      <x:c r="BE5" s="226"/>
      <x:c r="BF5" s="226" t="str">
        <x:v>General</x:v>
      </x:c>
      <x:c r="BG5" s="226" t="n">
        <x:v>76.89274264827786</x:v>
      </x:c>
      <x:c r="BH5" s="226" t="n">
        <x:v>69.35750445654163</x:v>
      </x:c>
      <x:c r="BI5" s="226" t="n">
        <x:v>80.00553999522585</x:v>
      </x:c>
      <x:c r="BJ5" s="226" t="n">
        <x:v>67.84499722803743</x:v>
      </x:c>
      <x:c r="BK5" s="226" t="n">
        <x:v>59.61219303504121</x:v>
      </x:c>
      <x:c r="BL5" s="226" t="n">
        <x:v>88.60076067703062</x:v>
      </x:c>
      <x:c r="BM5" s="226" t="n">
        <x:v>80.13430392224667</x:v>
      </x:c>
      <x:c r="BN5" s="226" t="n">
        <x:v>71.80330182677227</x:v>
      </x:c>
      <x:c r="BO5" s="226"/>
      <x:c r="BP5" s="226" t="str">
        <x:v>K60</x:v>
      </x:c>
      <x:c r="BQ5" s="227" t="n">
        <x:v>4.356</x:v>
      </x:c>
    </x:row>
    <x:row r="6">
      <x:c r="A6" s="193" t="str">
        <x:v>Хлебушек · K197 · 95.9</x:v>
      </x:c>
      <x:c r="B6" s="194" t="str">
        <x:v>Хлебушек · K197 · 95.8</x:v>
      </x:c>
      <x:c r="C6" s="194" t="str">
        <x:v>Хлебушек · K197 · 95.8</x:v>
      </x:c>
      <x:c r="D6" s="195" t="str">
        <x:v>Хлебушек · K197 · 95.8</x:v>
      </x:c>
      <x:c r="E6" s="193" t="str">
        <x:v>72.4</x:v>
      </x:c>
      <x:c r="F6" s="194" t="str">
        <x:v>72.0</x:v>
      </x:c>
      <x:c r="G6" s="194" t="str">
        <x:v>72.0</x:v>
      </x:c>
      <x:c r="H6" s="195" t="str">
        <x:v>72.0</x:v>
      </x:c>
      <x:c r="I6" s="193" t="str">
        <x:v>58.2</x:v>
      </x:c>
      <x:c r="J6" s="194" t="str">
        <x:v>57.7</x:v>
      </x:c>
      <x:c r="K6" s="194" t="str">
        <x:v>57.7</x:v>
      </x:c>
      <x:c r="L6" s="195" t="str">
        <x:v>57.7</x:v>
      </x:c>
      <x:c r="M6" s="193" t="str">
        <x:v>64.2</x:v>
      </x:c>
      <x:c r="N6" s="194" t="str">
        <x:v>63.8</x:v>
      </x:c>
      <x:c r="O6" s="194" t="str">
        <x:v>63.8</x:v>
      </x:c>
      <x:c r="P6" s="195" t="str">
        <x:v>63.8</x:v>
      </x:c>
      <x:c r="Q6" s="193" t="str">
        <x:v>63.7</x:v>
      </x:c>
      <x:c r="R6" s="194" t="str">
        <x:v>63.1</x:v>
      </x:c>
      <x:c r="S6" s="194" t="str">
        <x:v>63.1</x:v>
      </x:c>
      <x:c r="T6" s="195" t="str">
        <x:v>63.1</x:v>
      </x:c>
      <x:c r="U6" s="193" t="str">
        <x:v>58.5</x:v>
      </x:c>
      <x:c r="V6" s="194" t="str">
        <x:v>58.0</x:v>
      </x:c>
      <x:c r="W6" s="194" t="str">
        <x:v>58.0</x:v>
      </x:c>
      <x:c r="X6" s="195" t="str">
        <x:v>58.0</x:v>
      </x:c>
      <x:c r="Y6" s="193" t="str">
        <x:v>82.9</x:v>
      </x:c>
      <x:c r="Z6" s="194" t="str">
        <x:v>82.6</x:v>
      </x:c>
      <x:c r="AA6" s="194" t="str">
        <x:v>82.6</x:v>
      </x:c>
      <x:c r="AB6" s="195" t="str">
        <x:v>82.6</x:v>
      </x:c>
      <x:c r="AC6" s="193" t="str">
        <x:v>70.0</x:v>
      </x:c>
      <x:c r="AD6" s="194" t="str">
        <x:v>69.6</x:v>
      </x:c>
      <x:c r="AE6" s="194" t="str">
        <x:v>69.6</x:v>
      </x:c>
      <x:c r="AF6" s="195" t="str">
        <x:v>69.6</x:v>
      </x:c>
      <x:c r="AG6" s="193" t="str">
        <x:v>59.9</x:v>
      </x:c>
      <x:c r="AH6" s="194" t="str">
        <x:v>59.4</x:v>
      </x:c>
      <x:c r="AI6" s="194" t="str">
        <x:v>59.4</x:v>
      </x:c>
      <x:c r="AJ6" s="195" t="str">
        <x:v>59.4</x:v>
      </x:c>
      <x:c r="AL6" s="226" t="str">
        <x:v>#2 爽歪歪</x:v>
      </x:c>
      <x:c r="AM6" s="226"/>
      <x:c r="AN6" s="226"/>
      <x:c r="AO6" s="226"/>
      <x:c r="AP6" s="226"/>
      <x:c r="AQ6" s="226"/>
      <x:c r="AR6" s="226" t="n">
        <x:v>90.59251222390677</x:v>
      </x:c>
      <x:c r="AS6" s="226"/>
      <x:c r="AT6" s="226"/>
      <x:c r="AU6" s="226"/>
      <x:c r="AV6" s="226" t="str">
        <x:v>Top 3</x:v>
      </x:c>
      <x:c r="AW6" s="226" t="n">
        <x:v>79.52733138028394</x:v>
      </x:c>
      <x:c r="AX6" s="226" t="n">
        <x:v>75.78465766418613</x:v>
      </x:c>
      <x:c r="AY6" s="226" t="n">
        <x:v>77.55857354794432</x:v>
      </x:c>
      <x:c r="AZ6" s="226" t="n">
        <x:v>70.05095613307097</x:v>
      </x:c>
      <x:c r="BA6" s="226" t="n">
        <x:v>67.23917689705131</x:v>
      </x:c>
      <x:c r="BB6" s="226" t="n">
        <x:v>89.32292112819208</x:v>
      </x:c>
      <x:c r="BC6" s="226" t="n">
        <x:v>87.15187594262522</x:v>
      </x:c>
      <x:c r="BD6" s="226" t="n">
        <x:v>68.71235846896514</x:v>
      </x:c>
      <x:c r="BE6" s="226"/>
      <x:c r="BF6" s="226" t="str">
        <x:v>Cavalry</x:v>
      </x:c>
      <x:c r="BG6" s="226" t="n">
        <x:v>76.20756176825007</x:v>
      </x:c>
      <x:c r="BH6" s="226" t="n">
        <x:v>81.474175224144</x:v>
      </x:c>
      <x:c r="BI6" s="226" t="n">
        <x:v>67.8008263281073</x:v>
      </x:c>
      <x:c r="BJ6" s="226" t="n">
        <x:v>76.97761911672937</x:v>
      </x:c>
      <x:c r="BK6" s="226" t="n">
        <x:v>56.00073203633</x:v>
      </x:c>
      <x:c r="BL6" s="226" t="n">
        <x:v>93.01494672880283</x:v>
      </x:c>
      <x:c r="BM6" s="226" t="n">
        <x:v>84.09721037987408</x:v>
      </x:c>
      <x:c r="BN6" s="226" t="n">
        <x:v>71.54208480352217</x:v>
      </x:c>
      <x:c r="BO6" s="226"/>
      <x:c r="BP6" s="226" t="str">
        <x:v>K91</x:v>
      </x:c>
      <x:c r="BQ6" s="227" t="n">
        <x:v>3.7198749999999996</x:v>
      </x:c>
    </x:row>
    <x:row r="7">
      <x:c r="A7" s="196" t="str">
        <x:v>Хлебушек · K197 · 95.8</x:v>
      </x:c>
      <x:c r="B7" s="197" t="str">
        <x:v>Хлебушек · K197 · 95.8</x:v>
      </x:c>
      <x:c r="C7" s="197" t="str">
        <x:v>Хлебушек · K197 · 95.8</x:v>
      </x:c>
      <x:c r="D7" s="198" t="str">
        <x:v>Хлебушек · K197 · 95.8</x:v>
      </x:c>
      <x:c r="E7" s="196" t="str">
        <x:v>72.0</x:v>
      </x:c>
      <x:c r="F7" s="197" t="str">
        <x:v>72.0</x:v>
      </x:c>
      <x:c r="G7" s="197" t="str">
        <x:v>72.0</x:v>
      </x:c>
      <x:c r="H7" s="198" t="str">
        <x:v>72.0</x:v>
      </x:c>
      <x:c r="I7" s="196" t="str">
        <x:v>57.7</x:v>
      </x:c>
      <x:c r="J7" s="197" t="str">
        <x:v>57.7</x:v>
      </x:c>
      <x:c r="K7" s="197" t="str">
        <x:v>57.7</x:v>
      </x:c>
      <x:c r="L7" s="198" t="str">
        <x:v>57.7</x:v>
      </x:c>
      <x:c r="M7" s="196" t="str">
        <x:v>63.8</x:v>
      </x:c>
      <x:c r="N7" s="197" t="str">
        <x:v>63.8</x:v>
      </x:c>
      <x:c r="O7" s="197" t="str">
        <x:v>63.8</x:v>
      </x:c>
      <x:c r="P7" s="198" t="str">
        <x:v>63.8</x:v>
      </x:c>
      <x:c r="Q7" s="196" t="str">
        <x:v>63.1</x:v>
      </x:c>
      <x:c r="R7" s="197" t="str">
        <x:v>63.1</x:v>
      </x:c>
      <x:c r="S7" s="197" t="str">
        <x:v>63.1</x:v>
      </x:c>
      <x:c r="T7" s="198" t="str">
        <x:v>63.1</x:v>
      </x:c>
      <x:c r="U7" s="196" t="str">
        <x:v>58.0</x:v>
      </x:c>
      <x:c r="V7" s="197" t="str">
        <x:v>58.0</x:v>
      </x:c>
      <x:c r="W7" s="197" t="str">
        <x:v>58.0</x:v>
      </x:c>
      <x:c r="X7" s="198" t="str">
        <x:v>58.0</x:v>
      </x:c>
      <x:c r="Y7" s="196" t="str">
        <x:v>82.6</x:v>
      </x:c>
      <x:c r="Z7" s="197" t="str">
        <x:v>82.6</x:v>
      </x:c>
      <x:c r="AA7" s="197" t="str">
        <x:v>82.6</x:v>
      </x:c>
      <x:c r="AB7" s="198" t="str">
        <x:v>82.6</x:v>
      </x:c>
      <x:c r="AC7" s="196" t="str">
        <x:v>69.6</x:v>
      </x:c>
      <x:c r="AD7" s="197" t="str">
        <x:v>69.6</x:v>
      </x:c>
      <x:c r="AE7" s="197" t="str">
        <x:v>69.6</x:v>
      </x:c>
      <x:c r="AF7" s="198" t="str">
        <x:v>69.6</x:v>
      </x:c>
      <x:c r="AG7" s="196" t="str">
        <x:v>59.4</x:v>
      </x:c>
      <x:c r="AH7" s="197" t="str">
        <x:v>59.4</x:v>
      </x:c>
      <x:c r="AI7" s="197" t="str">
        <x:v>59.4</x:v>
      </x:c>
      <x:c r="AJ7" s="198" t="str">
        <x:v>59.4</x:v>
      </x:c>
      <x:c r="AL7" s="226" t="str">
        <x:v>#3 纵横,,,大风</x:v>
      </x:c>
      <x:c r="AM7" s="226"/>
      <x:c r="AN7" s="226"/>
      <x:c r="AO7" s="226"/>
      <x:c r="AP7" s="226"/>
      <x:c r="AQ7" s="226"/>
      <x:c r="AR7" s="226" t="n">
        <x:v>90.35953554869256</x:v>
      </x:c>
      <x:c r="AS7" s="226"/>
      <x:c r="AT7" s="226"/>
      <x:c r="AU7" s="226"/>
      <x:c r="AV7" s="226" t="str">
        <x:v>Top 5</x:v>
      </x:c>
      <x:c r="AW7" s="226" t="n">
        <x:v>72.38297745979115</x:v>
      </x:c>
      <x:c r="AX7" s="226" t="n">
        <x:v>58.15705163273901</x:v>
      </x:c>
      <x:c r="AY7" s="226" t="n">
        <x:v>64.22886037843082</x:v>
      </x:c>
      <x:c r="AZ7" s="226" t="n">
        <x:v>63.72526636433298</x:v>
      </x:c>
      <x:c r="BA7" s="226" t="n">
        <x:v>58.5369577755046</x:v>
      </x:c>
      <x:c r="BB7" s="226" t="n">
        <x:v>82.93796249762336</x:v>
      </x:c>
      <x:c r="BC7" s="226" t="n">
        <x:v>70.00274278061066</x:v>
      </x:c>
      <x:c r="BD7" s="226" t="n">
        <x:v>59.90197100018209</x:v>
      </x:c>
      <x:c r="BE7" s="226"/>
      <x:c r="BF7" s="226" t="str">
        <x:v>Archers</x:v>
      </x:c>
      <x:c r="BG7" s="226" t="n">
        <x:v>80.62857086920741</x:v>
      </x:c>
      <x:c r="BH7" s="226" t="n">
        <x:v>59.64598641732194</x:v>
      </x:c>
      <x:c r="BI7" s="226" t="n">
        <x:v>70.32577585608006</x:v>
      </x:c>
      <x:c r="BJ7" s="226" t="n">
        <x:v>52.691382341653366</x:v>
      </x:c>
      <x:c r="BK7" s="226" t="n">
        <x:v>70.31649186052763</x:v>
      </x:c>
      <x:c r="BL7" s="226" t="n">
        <x:v>79.13482735282969</x:v>
      </x:c>
      <x:c r="BM7" s="226" t="n">
        <x:v>84.51483979143809</x:v>
      </x:c>
      <x:c r="BN7" s="226" t="n">
        <x:v>49.53762407794648</x:v>
      </x:c>
      <x:c r="BO7" s="226"/>
      <x:c r="BP7" s="226" t="str">
        <x:v>K116</x:v>
      </x:c>
      <x:c r="BQ7" s="227" t="n">
        <x:v>3.9209249999999995</x:v>
      </x:c>
    </x:row>
    <x:row r="8">
      <x:c r="AL8" s="226" t="str">
        <x:v>#4 •Pain•</x:v>
      </x:c>
      <x:c r="AM8" s="226"/>
      <x:c r="AN8" s="226" t="n">
        <x:v>88.02618236163738</x:v>
      </x:c>
      <x:c r="AO8" s="226"/>
      <x:c r="AP8" s="226"/>
      <x:c r="AQ8" s="226"/>
      <x:c r="AR8" s="226"/>
      <x:c r="AS8" s="226"/>
      <x:c r="AT8" s="226"/>
      <x:c r="AU8" s="226"/>
      <x:c r="AV8" s="226" t="str">
        <x:v>Top 10</x:v>
      </x:c>
      <x:c r="AW8" s="226" t="n">
        <x:v>60.110597553467095</x:v>
      </x:c>
      <x:c r="AX8" s="226" t="n">
        <x:v>43.904479634673386</x:v>
      </x:c>
      <x:c r="AY8" s="226" t="n">
        <x:v>52.59061866742765</x:v>
      </x:c>
      <x:c r="AZ8" s="226" t="n">
        <x:v>54.113720814325404</x:v>
      </x:c>
      <x:c r="BA8" s="226" t="n">
        <x:v>51.73301870408487</x:v>
      </x:c>
      <x:c r="BB8" s="226" t="n">
        <x:v>60.07217763833519</x:v>
      </x:c>
      <x:c r="BC8" s="226" t="n">
        <x:v>53.91258802799572</x:v>
      </x:c>
      <x:c r="BD8" s="226" t="n">
        <x:v>50.0662751699426</x:v>
      </x:c>
      <x:c r="BE8" s="226"/>
      <x:c r="BF8" s="226" t="str">
        <x:v>Siege</x:v>
      </x:c>
      <x:c r="BG8" s="226" t="n">
        <x:v>83.69775997031364</x:v>
      </x:c>
      <x:c r="BH8" s="226" t="n">
        <x:v>69.27414819107658</x:v>
      </x:c>
      <x:c r="BI8" s="226" t="n">
        <x:v>76.80540924869523</x:v>
      </x:c>
      <x:c r="BJ8" s="226" t="n">
        <x:v>82.01266559621156</x:v>
      </x:c>
      <x:c r="BK8" s="226" t="n">
        <x:v>69.95706929340024</x:v>
      </x:c>
      <x:c r="BL8" s="226" t="n">
        <x:v>94.48842393367</x:v>
      </x:c>
      <x:c r="BM8" s="226" t="n">
        <x:v>86.6832578091922</x:v>
      </x:c>
      <x:c r="BN8" s="226" t="n">
        <x:v>72.80154766311969</x:v>
      </x:c>
      <x:c r="BO8" s="226"/>
      <x:c r="BP8" s="226" t="str">
        <x:v>K138</x:v>
      </x:c>
      <x:c r="BQ8" s="227" t="n">
        <x:v>4.2171666666666665</x:v>
      </x:c>
    </x:row>
    <x:row r="9">
      <x:c r="AL9" s="226" t="str">
        <x:v>#5 Jesse</x:v>
      </x:c>
      <x:c r="AM9" s="226"/>
      <x:c r="AN9" s="226"/>
      <x:c r="AO9" s="226" t="n">
        <x:v>86.23605080293748</x:v>
      </x:c>
      <x:c r="AP9" s="226"/>
      <x:c r="AQ9" s="226"/>
      <x:c r="AR9" s="226"/>
      <x:c r="AS9" s="226"/>
      <x:c r="AT9" s="226"/>
      <x:c r="AU9" s="226"/>
      <x:c r="AV9" s="226"/>
      <x:c r="AW9" s="226"/>
      <x:c r="AX9" s="226"/>
      <x:c r="AY9" s="226"/>
      <x:c r="AZ9" s="226"/>
      <x:c r="BA9" s="226"/>
      <x:c r="BB9" s="226"/>
      <x:c r="BC9" s="226"/>
      <x:c r="BD9" s="226"/>
      <x:c r="BE9" s="226"/>
      <x:c r="BF9" s="226"/>
      <x:c r="BG9" s="226"/>
      <x:c r="BH9" s="226"/>
      <x:c r="BI9" s="226"/>
      <x:c r="BJ9" s="226"/>
      <x:c r="BK9" s="226"/>
      <x:c r="BL9" s="226"/>
      <x:c r="BM9" s="226"/>
      <x:c r="BN9" s="226"/>
      <x:c r="BO9" s="226"/>
      <x:c r="BP9" s="226" t="str">
        <x:v>K170</x:v>
      </x:c>
      <x:c r="BQ9" s="227" t="n">
        <x:v>4.577021739130435</x:v>
      </x:c>
    </x:row>
    <x:row r="10">
      <x:c r="A10" s="217" t="str">
        <x:v>Хлебушек (K197) leads the relative damage model at 95.9. K54 leads the Top 5 average. K138's strongest elite damage area is Siege.</x:v>
      </x:c>
      <x:c r="B10" s="218" t="str">
        <x:v>Хлебушек (K197) leads the relative damage model at 95.8. K54 leads the Top 5 average. K138's strongest elite damage area is Siege.</x:v>
      </x:c>
      <x:c r="C10" s="218" t="str">
        <x:v>Хлебушек (K197) leads the relative damage model at 95.8. K54 leads the Top 5 average. K138's strongest elite damage area is Siege.</x:v>
      </x:c>
      <x:c r="D10" s="218" t="str">
        <x:v>Хлебушек (K197) leads the relative damage model at 95.8. K54 leads the Top 5 average. K138's strongest elite damage area is Siege.</x:v>
      </x:c>
      <x:c r="E10" s="218" t="str">
        <x:v>Хлебушек (K197) leads the relative damage model at 95.8. K54 leads the Top 5 average. K138's strongest elite damage area is Siege.</x:v>
      </x:c>
      <x:c r="F10" s="218" t="str">
        <x:v>Хлебушек (K197) leads the relative damage model at 95.8. K54 leads the Top 5 average. K138's strongest elite damage area is Siege.</x:v>
      </x:c>
      <x:c r="G10" s="218" t="str">
        <x:v>Хлебушек (K197) leads the relative damage model at 95.8. K54 leads the Top 5 average. K138's strongest elite damage area is Siege.</x:v>
      </x:c>
      <x:c r="H10" s="218" t="str">
        <x:v>Хлебушек (K197) leads the relative damage model at 95.8. K54 leads the Top 5 average. K138's strongest elite damage area is Siege.</x:v>
      </x:c>
      <x:c r="I10" s="218" t="str">
        <x:v>Хлебушек (K197) leads the relative damage model at 95.8. K54 leads the Top 5 average. K138's strongest elite damage area is Siege.</x:v>
      </x:c>
      <x:c r="J10" s="218" t="str">
        <x:v>Хлебушек (K197) leads the relative damage model at 95.8. K54 leads the Top 5 average. K138's strongest elite damage area is Siege.</x:v>
      </x:c>
      <x:c r="K10" s="218" t="str">
        <x:v>Хлебушек (K197) leads the relative damage model at 95.8. K54 leads the Top 5 average. K138's strongest elite damage area is Siege.</x:v>
      </x:c>
      <x:c r="L10" s="218" t="str">
        <x:v>Хлебушек (K197) leads the relative damage model at 95.8. K54 leads the Top 5 average. K138's strongest elite damage area is Siege.</x:v>
      </x:c>
      <x:c r="M10" s="218" t="str">
        <x:v>Хлебушек (K197) leads the relative damage model at 95.8. K54 leads the Top 5 average. K138's strongest elite damage area is Siege.</x:v>
      </x:c>
      <x:c r="N10" s="218" t="str">
        <x:v>Хлебушек (K197) leads the relative damage model at 95.8. K54 leads the Top 5 average. K138's strongest elite damage area is Siege.</x:v>
      </x:c>
      <x:c r="O10" s="218" t="str">
        <x:v>Хлебушек (K197) leads the relative damage model at 95.8. K54 leads the Top 5 average. K138's strongest elite damage area is Siege.</x:v>
      </x:c>
      <x:c r="P10" s="218" t="str">
        <x:v>Хлебушек (K197) leads the relative damage model at 95.8. K54 leads the Top 5 average. K138's strongest elite damage area is Siege.</x:v>
      </x:c>
      <x:c r="Q10" s="218" t="str">
        <x:v>Хлебушек (K197) leads the relative damage model at 95.8. K54 leads the Top 5 average. K138's strongest elite damage area is Siege.</x:v>
      </x:c>
      <x:c r="R10" s="218" t="str">
        <x:v>Хлебушек (K197) leads the relative damage model at 95.8. K54 leads the Top 5 average. K138's strongest elite damage area is Siege.</x:v>
      </x:c>
      <x:c r="S10" s="218" t="str">
        <x:v>Хлебушек (K197) leads the relative damage model at 95.8. K54 leads the Top 5 average. K138's strongest elite damage area is Siege.</x:v>
      </x:c>
      <x:c r="T10" s="218" t="str">
        <x:v>Хлебушек (K197) leads the relative damage model at 95.8. K54 leads the Top 5 average. K138's strongest elite damage area is Siege.</x:v>
      </x:c>
      <x:c r="U10" s="218" t="str">
        <x:v>Хлебушек (K197) leads the relative damage model at 95.8. K54 leads the Top 5 average. K138's strongest elite damage area is Siege.</x:v>
      </x:c>
      <x:c r="V10" s="218" t="str">
        <x:v>Хлебушек (K197) leads the relative damage model at 95.8. K54 leads the Top 5 average. K138's strongest elite damage area is Siege.</x:v>
      </x:c>
      <x:c r="W10" s="218" t="str">
        <x:v>Хлебушек (K197) leads the relative damage model at 95.8. K54 leads the Top 5 average. K138's strongest elite damage area is Siege.</x:v>
      </x:c>
      <x:c r="X10" s="218" t="str">
        <x:v>Хлебушек (K197) leads the relative damage model at 95.8. K54 leads the Top 5 average. K138's strongest elite damage area is Siege.</x:v>
      </x:c>
      <x:c r="Y10" s="218" t="str">
        <x:v>Хлебушек (K197) leads the relative damage model at 95.8. K54 leads the Top 5 average. K138's strongest elite damage area is Siege.</x:v>
      </x:c>
      <x:c r="Z10" s="218" t="str">
        <x:v>Хлебушек (K197) leads the relative damage model at 95.8. K54 leads the Top 5 average. K138's strongest elite damage area is Siege.</x:v>
      </x:c>
      <x:c r="AA10" s="218" t="str">
        <x:v>Хлебушек (K197) leads the relative damage model at 95.8. K54 leads the Top 5 average. K138's strongest elite damage area is Siege.</x:v>
      </x:c>
      <x:c r="AB10" s="218" t="str">
        <x:v>Хлебушек (K197) leads the relative damage model at 95.8. K54 leads the Top 5 average. K138's strongest elite damage area is Siege.</x:v>
      </x:c>
      <x:c r="AC10" s="218" t="str">
        <x:v>Хлебушек (K197) leads the relative damage model at 95.8. K54 leads the Top 5 average. K138's strongest elite damage area is Siege.</x:v>
      </x:c>
      <x:c r="AD10" s="218" t="str">
        <x:v>Хлебушек (K197) leads the relative damage model at 95.8. K54 leads the Top 5 average. K138's strongest elite damage area is Siege.</x:v>
      </x:c>
      <x:c r="AE10" s="218" t="str">
        <x:v>Хлебушек (K197) leads the relative damage model at 95.8. K54 leads the Top 5 average. K138's strongest elite damage area is Siege.</x:v>
      </x:c>
      <x:c r="AF10" s="218" t="str">
        <x:v>Хлебушек (K197) leads the relative damage model at 95.8. K54 leads the Top 5 average. K138's strongest elite damage area is Siege.</x:v>
      </x:c>
      <x:c r="AG10" s="218" t="str">
        <x:v>Хлебушек (K197) leads the relative damage model at 95.8. K54 leads the Top 5 average. K138's strongest elite damage area is Siege.</x:v>
      </x:c>
      <x:c r="AH10" s="218" t="str">
        <x:v>Хлебушек (K197) leads the relative damage model at 95.8. K54 leads the Top 5 average. K138's strongest elite damage area is Siege.</x:v>
      </x:c>
      <x:c r="AI10" s="218" t="str">
        <x:v>Хлебушек (K197) leads the relative damage model at 95.8. K54 leads the Top 5 average. K138's strongest elite damage area is Siege.</x:v>
      </x:c>
      <x:c r="AJ10" s="219" t="str">
        <x:v>Хлебушек (K197) leads the relative damage model at 95.8. K54 leads the Top 5 average. K138's strongest elite damage area is Siege.</x:v>
      </x:c>
      <x:c r="AL10" s="226" t="str">
        <x:v>#6 醉红尘</x:v>
      </x:c>
      <x:c r="AM10" s="226"/>
      <x:c r="AN10" s="226"/>
      <x:c r="AO10" s="226"/>
      <x:c r="AP10" s="226"/>
      <x:c r="AQ10" s="226"/>
      <x:c r="AR10" s="226" t="n">
        <x:v>84.59402175815462</x:v>
      </x:c>
      <x:c r="AS10" s="226"/>
      <x:c r="AT10" s="226"/>
      <x:c r="AU10" s="226"/>
      <x:c r="AV10" s="226"/>
      <x:c r="AW10" s="226"/>
      <x:c r="AX10" s="226"/>
      <x:c r="AY10" s="226"/>
      <x:c r="AZ10" s="226"/>
      <x:c r="BA10" s="226"/>
      <x:c r="BB10" s="226"/>
      <x:c r="BC10" s="226"/>
      <x:c r="BD10" s="226"/>
      <x:c r="BE10" s="226"/>
      <x:c r="BF10" s="226"/>
      <x:c r="BG10" s="226"/>
      <x:c r="BH10" s="226"/>
      <x:c r="BI10" s="226"/>
      <x:c r="BJ10" s="226"/>
      <x:c r="BK10" s="226"/>
      <x:c r="BL10" s="226"/>
      <x:c r="BM10" s="226"/>
      <x:c r="BN10" s="226"/>
      <x:c r="BO10" s="226"/>
      <x:c r="BP10" s="226" t="str">
        <x:v>K54</x:v>
      </x:c>
      <x:c r="BQ10" s="227" t="n">
        <x:v>4.603227272727273</x:v>
      </x:c>
    </x:row>
    <x:row r="11">
      <x:c r="A11" s="220" t="str">
        <x:v>Хлебушек (K197) leads the relative damage model at 95.8. K54 leads the Top 5 average. K138's strongest elite damage area is Siege.</x:v>
      </x:c>
      <x:c r="B11" s="221" t="str">
        <x:v>Хлебушек (K197) leads the relative damage model at 95.8. K54 leads the Top 5 average. K138's strongest elite damage area is Siege.</x:v>
      </x:c>
      <x:c r="C11" s="221" t="str">
        <x:v>Хлебушек (K197) leads the relative damage model at 95.8. K54 leads the Top 5 average. K138's strongest elite damage area is Siege.</x:v>
      </x:c>
      <x:c r="D11" s="221" t="str">
        <x:v>Хлебушек (K197) leads the relative damage model at 95.8. K54 leads the Top 5 average. K138's strongest elite damage area is Siege.</x:v>
      </x:c>
      <x:c r="E11" s="221" t="str">
        <x:v>Хлебушек (K197) leads the relative damage model at 95.8. K54 leads the Top 5 average. K138's strongest elite damage area is Siege.</x:v>
      </x:c>
      <x:c r="F11" s="221" t="str">
        <x:v>Хлебушек (K197) leads the relative damage model at 95.8. K54 leads the Top 5 average. K138's strongest elite damage area is Siege.</x:v>
      </x:c>
      <x:c r="G11" s="221" t="str">
        <x:v>Хлебушек (K197) leads the relative damage model at 95.8. K54 leads the Top 5 average. K138's strongest elite damage area is Siege.</x:v>
      </x:c>
      <x:c r="H11" s="221" t="str">
        <x:v>Хлебушек (K197) leads the relative damage model at 95.8. K54 leads the Top 5 average. K138's strongest elite damage area is Siege.</x:v>
      </x:c>
      <x:c r="I11" s="221" t="str">
        <x:v>Хлебушек (K197) leads the relative damage model at 95.8. K54 leads the Top 5 average. K138's strongest elite damage area is Siege.</x:v>
      </x:c>
      <x:c r="J11" s="221" t="str">
        <x:v>Хлебушек (K197) leads the relative damage model at 95.8. K54 leads the Top 5 average. K138's strongest elite damage area is Siege.</x:v>
      </x:c>
      <x:c r="K11" s="221" t="str">
        <x:v>Хлебушек (K197) leads the relative damage model at 95.8. K54 leads the Top 5 average. K138's strongest elite damage area is Siege.</x:v>
      </x:c>
      <x:c r="L11" s="221" t="str">
        <x:v>Хлебушек (K197) leads the relative damage model at 95.8. K54 leads the Top 5 average. K138's strongest elite damage area is Siege.</x:v>
      </x:c>
      <x:c r="M11" s="221" t="str">
        <x:v>Хлебушек (K197) leads the relative damage model at 95.8. K54 leads the Top 5 average. K138's strongest elite damage area is Siege.</x:v>
      </x:c>
      <x:c r="N11" s="221" t="str">
        <x:v>Хлебушек (K197) leads the relative damage model at 95.8. K54 leads the Top 5 average. K138's strongest elite damage area is Siege.</x:v>
      </x:c>
      <x:c r="O11" s="221" t="str">
        <x:v>Хлебушек (K197) leads the relative damage model at 95.8. K54 leads the Top 5 average. K138's strongest elite damage area is Siege.</x:v>
      </x:c>
      <x:c r="P11" s="221" t="str">
        <x:v>Хлебушек (K197) leads the relative damage model at 95.8. K54 leads the Top 5 average. K138's strongest elite damage area is Siege.</x:v>
      </x:c>
      <x:c r="Q11" s="221" t="str">
        <x:v>Хлебушек (K197) leads the relative damage model at 95.8. K54 leads the Top 5 average. K138's strongest elite damage area is Siege.</x:v>
      </x:c>
      <x:c r="R11" s="221" t="str">
        <x:v>Хлебушек (K197) leads the relative damage model at 95.8. K54 leads the Top 5 average. K138's strongest elite damage area is Siege.</x:v>
      </x:c>
      <x:c r="S11" s="221" t="str">
        <x:v>Хлебушек (K197) leads the relative damage model at 95.8. K54 leads the Top 5 average. K138's strongest elite damage area is Siege.</x:v>
      </x:c>
      <x:c r="T11" s="221" t="str">
        <x:v>Хлебушек (K197) leads the relative damage model at 95.8. K54 leads the Top 5 average. K138's strongest elite damage area is Siege.</x:v>
      </x:c>
      <x:c r="U11" s="221" t="str">
        <x:v>Хлебушек (K197) leads the relative damage model at 95.8. K54 leads the Top 5 average. K138's strongest elite damage area is Siege.</x:v>
      </x:c>
      <x:c r="V11" s="221" t="str">
        <x:v>Хлебушек (K197) leads the relative damage model at 95.8. K54 leads the Top 5 average. K138's strongest elite damage area is Siege.</x:v>
      </x:c>
      <x:c r="W11" s="221" t="str">
        <x:v>Хлебушек (K197) leads the relative damage model at 95.8. K54 leads the Top 5 average. K138's strongest elite damage area is Siege.</x:v>
      </x:c>
      <x:c r="X11" s="221" t="str">
        <x:v>Хлебушек (K197) leads the relative damage model at 95.8. K54 leads the Top 5 average. K138's strongest elite damage area is Siege.</x:v>
      </x:c>
      <x:c r="Y11" s="221" t="str">
        <x:v>Хлебушек (K197) leads the relative damage model at 95.8. K54 leads the Top 5 average. K138's strongest elite damage area is Siege.</x:v>
      </x:c>
      <x:c r="Z11" s="221" t="str">
        <x:v>Хлебушек (K197) leads the relative damage model at 95.8. K54 leads the Top 5 average. K138's strongest elite damage area is Siege.</x:v>
      </x:c>
      <x:c r="AA11" s="221" t="str">
        <x:v>Хлебушек (K197) leads the relative damage model at 95.8. K54 leads the Top 5 average. K138's strongest elite damage area is Siege.</x:v>
      </x:c>
      <x:c r="AB11" s="221" t="str">
        <x:v>Хлебушек (K197) leads the relative damage model at 95.8. K54 leads the Top 5 average. K138's strongest elite damage area is Siege.</x:v>
      </x:c>
      <x:c r="AC11" s="221" t="str">
        <x:v>Хлебушек (K197) leads the relative damage model at 95.8. K54 leads the Top 5 average. K138's strongest elite damage area is Siege.</x:v>
      </x:c>
      <x:c r="AD11" s="221" t="str">
        <x:v>Хлебушек (K197) leads the relative damage model at 95.8. K54 leads the Top 5 average. K138's strongest elite damage area is Siege.</x:v>
      </x:c>
      <x:c r="AE11" s="221" t="str">
        <x:v>Хлебушек (K197) leads the relative damage model at 95.8. K54 leads the Top 5 average. K138's strongest elite damage area is Siege.</x:v>
      </x:c>
      <x:c r="AF11" s="221" t="str">
        <x:v>Хлебушек (K197) leads the relative damage model at 95.8. K54 leads the Top 5 average. K138's strongest elite damage area is Siege.</x:v>
      </x:c>
      <x:c r="AG11" s="221" t="str">
        <x:v>Хлебушек (K197) leads the relative damage model at 95.8. K54 leads the Top 5 average. K138's strongest elite damage area is Siege.</x:v>
      </x:c>
      <x:c r="AH11" s="221" t="str">
        <x:v>Хлебушек (K197) leads the relative damage model at 95.8. K54 leads the Top 5 average. K138's strongest elite damage area is Siege.</x:v>
      </x:c>
      <x:c r="AI11" s="221" t="str">
        <x:v>Хлебушек (K197) leads the relative damage model at 95.8. K54 leads the Top 5 average. K138's strongest elite damage area is Siege.</x:v>
      </x:c>
      <x:c r="AJ11" s="222" t="str">
        <x:v>Хлебушек (K197) leads the relative damage model at 95.8. K54 leads the Top 5 average. K138's strongest elite damage area is Siege.</x:v>
      </x:c>
      <x:c r="AL11" s="226" t="str">
        <x:v>#7 纵横,,,杀戮</x:v>
      </x:c>
      <x:c r="AM11" s="226"/>
      <x:c r="AN11" s="226"/>
      <x:c r="AO11" s="226"/>
      <x:c r="AP11" s="226"/>
      <x:c r="AQ11" s="226"/>
      <x:c r="AR11" s="226" t="n">
        <x:v>83.29928845520064</x:v>
      </x:c>
      <x:c r="AS11" s="226"/>
      <x:c r="AT11" s="226"/>
      <x:c r="AU11" s="226"/>
      <x:c r="AV11" s="226"/>
      <x:c r="AW11" s="226"/>
      <x:c r="AX11" s="226"/>
      <x:c r="AY11" s="226"/>
      <x:c r="AZ11" s="226"/>
      <x:c r="BA11" s="226"/>
      <x:c r="BB11" s="226"/>
      <x:c r="BC11" s="226"/>
      <x:c r="BD11" s="226"/>
      <x:c r="BE11" s="226"/>
      <x:c r="BF11" s="226"/>
      <x:c r="BG11" s="226"/>
      <x:c r="BH11" s="226"/>
      <x:c r="BI11" s="226"/>
      <x:c r="BJ11" s="226"/>
      <x:c r="BK11" s="226"/>
      <x:c r="BL11" s="226"/>
      <x:c r="BM11" s="226"/>
      <x:c r="BN11" s="226"/>
      <x:c r="BO11" s="226"/>
      <x:c r="BP11" s="226" t="str">
        <x:v>K197</x:v>
      </x:c>
      <x:c r="BQ11" s="227" t="n">
        <x:v>3.7669736842105257</x:v>
      </x:c>
    </x:row>
    <x:row r="12">
      <x:c r="A12" s="223" t="str">
        <x:v>Хлебушек (K197) leads the relative damage model at 95.8. K54 leads the Top 5 average. K138's strongest elite damage area is Siege.</x:v>
      </x:c>
      <x:c r="B12" s="224" t="str">
        <x:v>Хлебушек (K197) leads the relative damage model at 95.8. K54 leads the Top 5 average. K138's strongest elite damage area is Siege.</x:v>
      </x:c>
      <x:c r="C12" s="224" t="str">
        <x:v>Хлебушек (K197) leads the relative damage model at 95.8. K54 leads the Top 5 average. K138's strongest elite damage area is Siege.</x:v>
      </x:c>
      <x:c r="D12" s="224" t="str">
        <x:v>Хлебушек (K197) leads the relative damage model at 95.8. K54 leads the Top 5 average. K138's strongest elite damage area is Siege.</x:v>
      </x:c>
      <x:c r="E12" s="224" t="str">
        <x:v>Хлебушек (K197) leads the relative damage model at 95.8. K54 leads the Top 5 average. K138's strongest elite damage area is Siege.</x:v>
      </x:c>
      <x:c r="F12" s="224" t="str">
        <x:v>Хлебушек (K197) leads the relative damage model at 95.8. K54 leads the Top 5 average. K138's strongest elite damage area is Siege.</x:v>
      </x:c>
      <x:c r="G12" s="224" t="str">
        <x:v>Хлебушек (K197) leads the relative damage model at 95.8. K54 leads the Top 5 average. K138's strongest elite damage area is Siege.</x:v>
      </x:c>
      <x:c r="H12" s="224" t="str">
        <x:v>Хлебушек (K197) leads the relative damage model at 95.8. K54 leads the Top 5 average. K138's strongest elite damage area is Siege.</x:v>
      </x:c>
      <x:c r="I12" s="224" t="str">
        <x:v>Хлебушек (K197) leads the relative damage model at 95.8. K54 leads the Top 5 average. K138's strongest elite damage area is Siege.</x:v>
      </x:c>
      <x:c r="J12" s="224" t="str">
        <x:v>Хлебушек (K197) leads the relative damage model at 95.8. K54 leads the Top 5 average. K138's strongest elite damage area is Siege.</x:v>
      </x:c>
      <x:c r="K12" s="224" t="str">
        <x:v>Хлебушек (K197) leads the relative damage model at 95.8. K54 leads the Top 5 average. K138's strongest elite damage area is Siege.</x:v>
      </x:c>
      <x:c r="L12" s="224" t="str">
        <x:v>Хлебушек (K197) leads the relative damage model at 95.8. K54 leads the Top 5 average. K138's strongest elite damage area is Siege.</x:v>
      </x:c>
      <x:c r="M12" s="224" t="str">
        <x:v>Хлебушек (K197) leads the relative damage model at 95.8. K54 leads the Top 5 average. K138's strongest elite damage area is Siege.</x:v>
      </x:c>
      <x:c r="N12" s="224" t="str">
        <x:v>Хлебушек (K197) leads the relative damage model at 95.8. K54 leads the Top 5 average. K138's strongest elite damage area is Siege.</x:v>
      </x:c>
      <x:c r="O12" s="224" t="str">
        <x:v>Хлебушек (K197) leads the relative damage model at 95.8. K54 leads the Top 5 average. K138's strongest elite damage area is Siege.</x:v>
      </x:c>
      <x:c r="P12" s="224" t="str">
        <x:v>Хлебушек (K197) leads the relative damage model at 95.8. K54 leads the Top 5 average. K138's strongest elite damage area is Siege.</x:v>
      </x:c>
      <x:c r="Q12" s="224" t="str">
        <x:v>Хлебушек (K197) leads the relative damage model at 95.8. K54 leads the Top 5 average. K138's strongest elite damage area is Siege.</x:v>
      </x:c>
      <x:c r="R12" s="224" t="str">
        <x:v>Хлебушек (K197) leads the relative damage model at 95.8. K54 leads the Top 5 average. K138's strongest elite damage area is Siege.</x:v>
      </x:c>
      <x:c r="S12" s="224" t="str">
        <x:v>Хлебушек (K197) leads the relative damage model at 95.8. K54 leads the Top 5 average. K138's strongest elite damage area is Siege.</x:v>
      </x:c>
      <x:c r="T12" s="224" t="str">
        <x:v>Хлебушек (K197) leads the relative damage model at 95.8. K54 leads the Top 5 average. K138's strongest elite damage area is Siege.</x:v>
      </x:c>
      <x:c r="U12" s="224" t="str">
        <x:v>Хлебушек (K197) leads the relative damage model at 95.8. K54 leads the Top 5 average. K138's strongest elite damage area is Siege.</x:v>
      </x:c>
      <x:c r="V12" s="224" t="str">
        <x:v>Хлебушек (K197) leads the relative damage model at 95.8. K54 leads the Top 5 average. K138's strongest elite damage area is Siege.</x:v>
      </x:c>
      <x:c r="W12" s="224" t="str">
        <x:v>Хлебушек (K197) leads the relative damage model at 95.8. K54 leads the Top 5 average. K138's strongest elite damage area is Siege.</x:v>
      </x:c>
      <x:c r="X12" s="224" t="str">
        <x:v>Хлебушек (K197) leads the relative damage model at 95.8. K54 leads the Top 5 average. K138's strongest elite damage area is Siege.</x:v>
      </x:c>
      <x:c r="Y12" s="224" t="str">
        <x:v>Хлебушек (K197) leads the relative damage model at 95.8. K54 leads the Top 5 average. K138's strongest elite damage area is Siege.</x:v>
      </x:c>
      <x:c r="Z12" s="224" t="str">
        <x:v>Хлебушек (K197) leads the relative damage model at 95.8. K54 leads the Top 5 average. K138's strongest elite damage area is Siege.</x:v>
      </x:c>
      <x:c r="AA12" s="224" t="str">
        <x:v>Хлебушек (K197) leads the relative damage model at 95.8. K54 leads the Top 5 average. K138's strongest elite damage area is Siege.</x:v>
      </x:c>
      <x:c r="AB12" s="224" t="str">
        <x:v>Хлебушек (K197) leads the relative damage model at 95.8. K54 leads the Top 5 average. K138's strongest elite damage area is Siege.</x:v>
      </x:c>
      <x:c r="AC12" s="224" t="str">
        <x:v>Хлебушек (K197) leads the relative damage model at 95.8. K54 leads the Top 5 average. K138's strongest elite damage area is Siege.</x:v>
      </x:c>
      <x:c r="AD12" s="224" t="str">
        <x:v>Хлебушек (K197) leads the relative damage model at 95.8. K54 leads the Top 5 average. K138's strongest elite damage area is Siege.</x:v>
      </x:c>
      <x:c r="AE12" s="224" t="str">
        <x:v>Хлебушек (K197) leads the relative damage model at 95.8. K54 leads the Top 5 average. K138's strongest elite damage area is Siege.</x:v>
      </x:c>
      <x:c r="AF12" s="224" t="str">
        <x:v>Хлебушек (K197) leads the relative damage model at 95.8. K54 leads the Top 5 average. K138's strongest elite damage area is Siege.</x:v>
      </x:c>
      <x:c r="AG12" s="224" t="str">
        <x:v>Хлебушек (K197) leads the relative damage model at 95.8. K54 leads the Top 5 average. K138's strongest elite damage area is Siege.</x:v>
      </x:c>
      <x:c r="AH12" s="224" t="str">
        <x:v>Хлебушек (K197) leads the relative damage model at 95.8. K54 leads the Top 5 average. K138's strongest elite damage area is Siege.</x:v>
      </x:c>
      <x:c r="AI12" s="224" t="str">
        <x:v>Хлебушек (K197) leads the relative damage model at 95.8. K54 leads the Top 5 average. K138's strongest elite damage area is Siege.</x:v>
      </x:c>
      <x:c r="AJ12" s="225" t="str">
        <x:v>Хлебушек (K197) leads the relative damage model at 95.8. K54 leads the Top 5 average. K138's strongest elite damage area is Siege.</x:v>
      </x:c>
      <x:c r="AL12" s="226" t="str">
        <x:v>#8 -GAMERMAN-</x:v>
      </x:c>
      <x:c r="AM12" s="226"/>
      <x:c r="AN12" s="226"/>
      <x:c r="AO12" s="226"/>
      <x:c r="AP12" s="226"/>
      <x:c r="AQ12" s="226"/>
      <x:c r="AR12" s="226"/>
      <x:c r="AS12" s="226" t="n">
        <x:v>82.59821651882257</x:v>
      </x:c>
      <x:c r="AT12" s="226"/>
      <x:c r="AU12" s="226"/>
      <x:c r="AV12" s="226"/>
      <x:c r="AW12" s="226"/>
      <x:c r="AX12" s="226"/>
      <x:c r="AY12" s="226"/>
      <x:c r="AZ12" s="226"/>
      <x:c r="BA12" s="226"/>
      <x:c r="BB12" s="226"/>
      <x:c r="BC12" s="226"/>
      <x:c r="BD12" s="226"/>
      <x:c r="BE12" s="226"/>
      <x:c r="BF12" s="226"/>
      <x:c r="BG12" s="226"/>
      <x:c r="BH12" s="226"/>
      <x:c r="BI12" s="226"/>
      <x:c r="BJ12" s="226"/>
      <x:c r="BK12" s="226"/>
      <x:c r="BL12" s="226"/>
      <x:c r="BM12" s="226"/>
      <x:c r="BN12" s="226"/>
      <x:c r="BO12" s="226"/>
      <x:c r="BP12" s="226" t="str">
        <x:v>K176</x:v>
      </x:c>
      <x:c r="BQ12" s="227" t="n">
        <x:v>4.205977272727272</x:v>
      </x:c>
    </x:row>
    <x:row r="13">
      <x:c r="AL13" s="226" t="str">
        <x:v>#9 InFlames</x:v>
      </x:c>
      <x:c r="AM13" s="226" t="n">
        <x:v>80.48613371322558</x:v>
      </x:c>
      <x:c r="AN13" s="226"/>
      <x:c r="AO13" s="226"/>
      <x:c r="AP13" s="226"/>
      <x:c r="AQ13" s="226"/>
      <x:c r="AR13" s="226"/>
      <x:c r="AS13" s="226"/>
      <x:c r="AT13" s="226"/>
      <x:c r="AU13" s="226"/>
      <x:c r="AV13" s="226"/>
      <x:c r="AW13" s="226"/>
      <x:c r="AX13" s="226"/>
      <x:c r="AY13" s="226"/>
      <x:c r="AZ13" s="226"/>
      <x:c r="BA13" s="226"/>
      <x:c r="BB13" s="226"/>
      <x:c r="BC13" s="226"/>
      <x:c r="BD13" s="226"/>
      <x:c r="BE13" s="226"/>
      <x:c r="BF13" s="226"/>
      <x:c r="BG13" s="226"/>
      <x:c r="BH13" s="226"/>
      <x:c r="BI13" s="226"/>
      <x:c r="BJ13" s="226"/>
      <x:c r="BK13" s="226"/>
      <x:c r="BL13" s="226"/>
      <x:c r="BM13" s="226"/>
      <x:c r="BN13" s="226"/>
      <x:c r="BO13" s="226"/>
      <x:c r="BP13" s="226"/>
      <x:c r="BQ13" s="226"/>
    </x:row>
    <x:row r="14">
      <x:c r="AL14" s="226" t="str">
        <x:v>#10 °Silent°</x:v>
      </x:c>
      <x:c r="AM14" s="226" t="n">
        <x:v>79.71646497569995</x:v>
      </x:c>
      <x:c r="AN14" s="226"/>
      <x:c r="AO14" s="226"/>
      <x:c r="AP14" s="226"/>
      <x:c r="AQ14" s="226"/>
      <x:c r="AR14" s="226"/>
      <x:c r="AS14" s="226"/>
      <x:c r="AT14" s="226"/>
      <x:c r="AU14" s="226"/>
      <x:c r="AV14" s="226"/>
      <x:c r="AW14" s="226"/>
      <x:c r="AX14" s="226"/>
      <x:c r="AY14" s="226"/>
      <x:c r="AZ14" s="226"/>
      <x:c r="BA14" s="226"/>
      <x:c r="BB14" s="226"/>
      <x:c r="BC14" s="226"/>
      <x:c r="BD14" s="226"/>
      <x:c r="BE14" s="226"/>
      <x:c r="BF14" s="226"/>
      <x:c r="BG14" s="226"/>
      <x:c r="BH14" s="226"/>
      <x:c r="BI14" s="226"/>
      <x:c r="BJ14" s="226"/>
      <x:c r="BK14" s="226"/>
      <x:c r="BL14" s="226"/>
      <x:c r="BM14" s="226"/>
      <x:c r="BN14" s="226"/>
      <x:c r="BO14" s="226"/>
      <x:c r="BP14" s="226"/>
      <x:c r="BQ14" s="226"/>
    </x:row>
    <x:row r="15">
      <x:c r="AL15" s="226" t="str">
        <x:v>#11 (AOT)MG·Yu</x:v>
      </x:c>
      <x:c r="AM15" s="226"/>
      <x:c r="AN15" s="226"/>
      <x:c r="AO15" s="226"/>
      <x:c r="AP15" s="226"/>
      <x:c r="AQ15" s="226" t="n">
        <x:v>78.02639599571137</x:v>
      </x:c>
      <x:c r="AR15" s="226"/>
      <x:c r="AS15" s="226"/>
      <x:c r="AT15" s="226"/>
      <x:c r="AU15" s="226"/>
      <x:c r="AV15" s="226"/>
      <x:c r="AW15" s="226"/>
      <x:c r="AX15" s="226"/>
      <x:c r="AY15" s="226"/>
      <x:c r="AZ15" s="226"/>
      <x:c r="BA15" s="226"/>
      <x:c r="BB15" s="226"/>
      <x:c r="BC15" s="226"/>
      <x:c r="BD15" s="226"/>
      <x:c r="BE15" s="226"/>
      <x:c r="BF15" s="226"/>
      <x:c r="BG15" s="226"/>
      <x:c r="BH15" s="226"/>
      <x:c r="BI15" s="226"/>
      <x:c r="BJ15" s="226"/>
      <x:c r="BK15" s="226"/>
      <x:c r="BL15" s="226"/>
      <x:c r="BM15" s="226"/>
      <x:c r="BN15" s="226"/>
      <x:c r="BO15" s="226"/>
      <x:c r="BP15" s="226"/>
      <x:c r="BQ15" s="226"/>
    </x:row>
    <x:row r="16">
      <x:c r="AL16" s="226" t="str">
        <x:v>#12 CerialKiller</x:v>
      </x:c>
      <x:c r="AM16" s="226" t="n">
        <x:v>76.84662515480584</x:v>
      </x:c>
      <x:c r="AN16" s="226"/>
      <x:c r="AO16" s="226"/>
      <x:c r="AP16" s="226"/>
      <x:c r="AQ16" s="226"/>
      <x:c r="AR16" s="226"/>
      <x:c r="AS16" s="226"/>
      <x:c r="AT16" s="226"/>
      <x:c r="AU16" s="226"/>
      <x:c r="AV16" s="226"/>
      <x:c r="AW16" s="226"/>
      <x:c r="AX16" s="226"/>
      <x:c r="AY16" s="226"/>
      <x:c r="AZ16" s="226"/>
      <x:c r="BA16" s="226"/>
      <x:c r="BB16" s="226"/>
      <x:c r="BC16" s="226"/>
      <x:c r="BD16" s="226"/>
      <x:c r="BE16" s="226"/>
      <x:c r="BF16" s="226"/>
      <x:c r="BG16" s="226"/>
      <x:c r="BH16" s="226"/>
      <x:c r="BI16" s="226"/>
      <x:c r="BJ16" s="226"/>
      <x:c r="BK16" s="226"/>
      <x:c r="BL16" s="226"/>
      <x:c r="BM16" s="226"/>
      <x:c r="BN16" s="226"/>
      <x:c r="BO16" s="226"/>
      <x:c r="BP16" s="226"/>
      <x:c r="BQ16" s="226"/>
    </x:row>
    <x:row r="17">
      <x:c r="AL17" s="226"/>
      <x:c r="AM17" s="226"/>
      <x:c r="AN17" s="226"/>
      <x:c r="AO17" s="226"/>
      <x:c r="AP17" s="226"/>
      <x:c r="AQ17" s="226"/>
      <x:c r="AR17" s="226"/>
      <x:c r="AS17" s="226"/>
      <x:c r="AT17" s="226"/>
      <x:c r="AU17" s="226"/>
      <x:c r="AV17" s="226"/>
      <x:c r="AW17" s="226"/>
      <x:c r="AX17" s="226"/>
      <x:c r="AY17" s="226"/>
      <x:c r="AZ17" s="226"/>
      <x:c r="BA17" s="226"/>
      <x:c r="BB17" s="226"/>
      <x:c r="BC17" s="226"/>
      <x:c r="BD17" s="226"/>
      <x:c r="BE17" s="226"/>
      <x:c r="BF17" s="226"/>
      <x:c r="BG17" s="226"/>
      <x:c r="BH17" s="226"/>
      <x:c r="BI17" s="226"/>
      <x:c r="BJ17" s="226"/>
      <x:c r="BK17" s="226"/>
      <x:c r="BL17" s="226"/>
      <x:c r="BM17" s="226"/>
      <x:c r="BN17" s="226"/>
      <x:c r="BO17" s="226"/>
      <x:c r="BP17" s="226"/>
      <x:c r="BQ17" s="226"/>
    </x:row>
    <x:row r="18">
      <x:c r="AL18" s="226"/>
      <x:c r="AM18" s="226"/>
      <x:c r="AN18" s="226"/>
      <x:c r="AO18" s="226"/>
      <x:c r="AP18" s="226"/>
      <x:c r="AQ18" s="226"/>
      <x:c r="AR18" s="226"/>
      <x:c r="AS18" s="226"/>
      <x:c r="AT18" s="226"/>
      <x:c r="AU18" s="226"/>
      <x:c r="AV18" s="226"/>
      <x:c r="AW18" s="226"/>
      <x:c r="AX18" s="226"/>
      <x:c r="AY18" s="226"/>
      <x:c r="AZ18" s="226"/>
      <x:c r="BA18" s="226"/>
      <x:c r="BB18" s="226"/>
      <x:c r="BC18" s="226"/>
      <x:c r="BD18" s="226"/>
      <x:c r="BE18" s="226"/>
      <x:c r="BF18" s="226"/>
      <x:c r="BG18" s="226"/>
      <x:c r="BH18" s="226"/>
      <x:c r="BI18" s="226"/>
      <x:c r="BJ18" s="226"/>
      <x:c r="BK18" s="226"/>
      <x:c r="BL18" s="226"/>
      <x:c r="BM18" s="226"/>
      <x:c r="BN18" s="226"/>
      <x:c r="BO18" s="226"/>
      <x:c r="BP18" s="226"/>
      <x:c r="BQ18" s="226"/>
    </x:row>
    <x:row r="19">
      <x:c r="AL19" s="226"/>
      <x:c r="AM19" s="226"/>
      <x:c r="AN19" s="226"/>
      <x:c r="AO19" s="226"/>
      <x:c r="AP19" s="226"/>
      <x:c r="AQ19" s="226"/>
      <x:c r="AR19" s="226"/>
      <x:c r="AS19" s="226"/>
      <x:c r="AT19" s="226"/>
      <x:c r="AU19" s="226"/>
      <x:c r="AV19" s="226"/>
      <x:c r="AW19" s="226"/>
      <x:c r="AX19" s="226"/>
      <x:c r="AY19" s="226"/>
      <x:c r="AZ19" s="226"/>
      <x:c r="BA19" s="226"/>
      <x:c r="BB19" s="226"/>
      <x:c r="BC19" s="226"/>
      <x:c r="BD19" s="226"/>
      <x:c r="BE19" s="226"/>
      <x:c r="BF19" s="226"/>
      <x:c r="BG19" s="226"/>
      <x:c r="BH19" s="226"/>
      <x:c r="BI19" s="226"/>
      <x:c r="BJ19" s="226"/>
      <x:c r="BK19" s="226"/>
      <x:c r="BL19" s="226"/>
      <x:c r="BM19" s="226"/>
      <x:c r="BN19" s="226"/>
      <x:c r="BO19" s="226"/>
      <x:c r="BP19" s="226"/>
      <x:c r="BQ19" s="226"/>
    </x:row>
    <x:row r="20">
      <x:c r="AL20" s="226"/>
      <x:c r="AM20" s="226"/>
      <x:c r="AN20" s="226"/>
      <x:c r="AO20" s="226"/>
      <x:c r="AP20" s="226"/>
      <x:c r="AQ20" s="226"/>
      <x:c r="AR20" s="226"/>
      <x:c r="AS20" s="226"/>
      <x:c r="AT20" s="226"/>
      <x:c r="AU20" s="226"/>
      <x:c r="AV20" s="226"/>
      <x:c r="AW20" s="226"/>
      <x:c r="AX20" s="226"/>
      <x:c r="AY20" s="226"/>
      <x:c r="AZ20" s="226"/>
      <x:c r="BA20" s="226"/>
      <x:c r="BB20" s="226"/>
      <x:c r="BC20" s="226"/>
      <x:c r="BD20" s="226"/>
      <x:c r="BE20" s="226"/>
      <x:c r="BF20" s="226"/>
      <x:c r="BG20" s="226"/>
      <x:c r="BH20" s="226"/>
      <x:c r="BI20" s="226"/>
      <x:c r="BJ20" s="226"/>
      <x:c r="BK20" s="226"/>
      <x:c r="BL20" s="226"/>
      <x:c r="BM20" s="226"/>
      <x:c r="BN20" s="226"/>
      <x:c r="BO20" s="226"/>
      <x:c r="BP20" s="226"/>
      <x:c r="BQ20" s="226"/>
    </x:row>
  </x:sheetData>
  <x:mergeCells>
    <x:mergeCell ref="A1:AJ1"/>
    <x:mergeCell ref="A2:AJ2"/>
    <x:mergeCell ref="A4:D5"/>
    <x:mergeCell ref="A6:D7"/>
    <x:mergeCell ref="E4:H5"/>
    <x:mergeCell ref="E6:H7"/>
    <x:mergeCell ref="I4:L5"/>
    <x:mergeCell ref="I6:L7"/>
    <x:mergeCell ref="M4:P5"/>
    <x:mergeCell ref="M6:P7"/>
    <x:mergeCell ref="Q4:T5"/>
    <x:mergeCell ref="Q6:T7"/>
    <x:mergeCell ref="U4:X5"/>
    <x:mergeCell ref="U6:X7"/>
    <x:mergeCell ref="Y4:AB5"/>
    <x:mergeCell ref="Y6:AB7"/>
    <x:mergeCell ref="AC4:AF5"/>
    <x:mergeCell ref="AC6:AF7"/>
    <x:mergeCell ref="AG4:AJ5"/>
    <x:mergeCell ref="AG6:AJ7"/>
    <x:mergeCell ref="A10:AJ12"/>
  </x:mergeCells>
  <x:pageMargins left="0.7" right="0.7" top="0.75" bottom="0.75" header="0.3" footer="0.3"/>
  <x:drawing xmlns:r="http://schemas.openxmlformats.org/officeDocument/2006/relationships" r:id="Rd2055f75e7204324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0" hidden="0" customWidth="1"/>
    <x:col min="4" max="4" width="12" hidden="0" customWidth="1"/>
    <x:col min="5" max="5" width="3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 ht="30" customHeight="1">
      <x:c r="A1" s="3" t="str">
        <x:v>Kingdom KPI — Scalable Rival Comparison</x:v>
      </x:c>
      <x:c r="B1" s="3" t="str">
        <x:v>Kingdom KPI — Scalable Rival Comparison</x:v>
      </x:c>
      <x:c r="C1" s="3" t="str">
        <x:v>Kingdom KPI — Scalable Rival Comparison</x:v>
      </x:c>
      <x:c r="D1" s="3" t="str">
        <x:v>Kingdom KPI — Scalable Rival Comparison</x:v>
      </x:c>
      <x:c r="E1" s="3" t="str">
        <x:v>Kingdom KPI — Scalable Rival Comparison</x:v>
      </x:c>
      <x:c r="F1" s="3" t="str">
        <x:v>Kingdom KPI — Scalable Rival Comparison</x:v>
      </x:c>
      <x:c r="G1" s="3" t="str">
        <x:v>Kingdom KPI — Scalable Rival Comparison</x:v>
      </x:c>
      <x:c r="H1" s="3" t="str">
        <x:v>Kingdom KPI — Scalable Rival Comparison</x:v>
      </x:c>
      <x:c r="I1" s="3" t="str">
        <x:v>Kingdom KPI — Scalable Rival Comparison</x:v>
      </x:c>
      <x:c r="J1" s="3" t="str">
        <x:v>Kingdom KPI — Scalable Rival Comparison</x:v>
      </x:c>
      <x:c r="K1" s="3" t="str">
        <x:v>Kingdom KPI — Scalable Rival Comparison</x:v>
      </x:c>
      <x:c r="L1" s="3" t="str">
        <x:v>Kingdom KPI — Scalable Rival Comparison</x:v>
      </x:c>
      <x:c r="M1" s="3" t="str">
        <x:v>Kingdom KPI — Scalable Rival Comparison</x:v>
      </x:c>
    </x:row>
    <x:row r="2" ht="24" customHeight="1">
      <x:c r="A2" s="7" t="str">
        <x:v>One row per kingdom and metric, with 8-server ranks for each comparison lens</x:v>
      </x:c>
      <x:c r="B2" s="7" t="str">
        <x:v>One row per kingdom and metric, with 8-server ranks for each comparison lens</x:v>
      </x:c>
      <x:c r="C2" s="7" t="str">
        <x:v>One row per kingdom and metric, with 8-server ranks for each comparison lens</x:v>
      </x:c>
      <x:c r="D2" s="7" t="str">
        <x:v>One row per kingdom and metric, with 8-server ranks for each comparison lens</x:v>
      </x:c>
      <x:c r="E2" s="7" t="str">
        <x:v>One row per kingdom and metric, with 8-server ranks for each comparison lens</x:v>
      </x:c>
      <x:c r="F2" s="7" t="str">
        <x:v>One row per kingdom and metric, with 8-server ranks for each comparison lens</x:v>
      </x:c>
      <x:c r="G2" s="7" t="str">
        <x:v>One row per kingdom and metric, with 8-server ranks for each comparison lens</x:v>
      </x:c>
      <x:c r="H2" s="7" t="str">
        <x:v>One row per kingdom and metric, with 8-server ranks for each comparison lens</x:v>
      </x:c>
      <x:c r="I2" s="7" t="str">
        <x:v>One row per kingdom and metric, with 8-server ranks for each comparison lens</x:v>
      </x:c>
      <x:c r="J2" s="7" t="str">
        <x:v>One row per kingdom and metric, with 8-server ranks for each comparison lens</x:v>
      </x:c>
      <x:c r="K2" s="7" t="str">
        <x:v>One row per kingdom and metric, with 8-server ranks for each comparison lens</x:v>
      </x:c>
      <x:c r="L2" s="7" t="str">
        <x:v>One row per kingdom and metric, with 8-server ranks for each comparison lens</x:v>
      </x:c>
      <x:c r="M2" s="7" t="str">
        <x:v>One row per kingdom and metric, with 8-server ranks for each comparison lens</x:v>
      </x:c>
    </x:row>
    <x:row r="5" ht="30" customHeight="1">
      <x:c r="A5" s="42" t="str">
        <x:v>Category</x:v>
      </x:c>
      <x:c r="B5" s="42" t="str">
        <x:v>Metric</x:v>
      </x:c>
      <x:c r="C5" s="42" t="str">
        <x:v>Better</x:v>
      </x:c>
      <x:c r="D5" s="42" t="str">
        <x:v>Kingdom</x:v>
      </x:c>
      <x:c r="E5" s="42" t="str">
        <x:v>Best Player</x:v>
      </x:c>
      <x:c r="F5" s="42" t="str">
        <x:v>Best</x:v>
      </x:c>
      <x:c r="G5" s="42" t="str">
        <x:v>Elite Top 3</x:v>
      </x:c>
      <x:c r="H5" s="42" t="str">
        <x:v>Top 5 Avg</x:v>
      </x:c>
      <x:c r="I5" s="42" t="str">
        <x:v>Median</x:v>
      </x:c>
      <x:c r="J5" s="42" t="str">
        <x:v>Best Rank</x:v>
      </x:c>
      <x:c r="K5" s="42" t="str">
        <x:v>Elite Rank</x:v>
      </x:c>
      <x:c r="L5" s="42" t="str">
        <x:v>Top 5 Rank</x:v>
      </x:c>
      <x:c r="M5" s="42" t="str">
        <x:v>Median Rank</x:v>
      </x:c>
    </x:row>
    <x:row r="6" ht="18" customHeight="1">
      <x:c r="A6" s="43" t="str">
        <x:v>General</x:v>
      </x:c>
      <x:c r="B6" s="43" t="str">
        <x:v>Troop Attack</x:v>
      </x:c>
      <x:c r="C6" s="43" t="str">
        <x:v>Higher</x:v>
      </x:c>
      <x:c r="D6" s="43" t="str">
        <x:v>K60</x:v>
      </x:c>
      <x:c r="E6" s="43" t="str">
        <x:v>InFlames</x:v>
      </x:c>
      <x:c r="F6" s="44" t="n">
        <x:v>4.356</x:v>
      </x:c>
      <x:c r="G6" s="44" t="n">
        <x:v>4.3178</x:v>
      </x:c>
      <x:c r="H6" s="44" t="n">
        <x:v>4.120659999999999</x:v>
      </x:c>
      <x:c r="I6" s="44" t="n">
        <x:v>3.2285</x:v>
      </x:c>
      <x:c r="J6" s="43" t="n">
        <x:v>6</x:v>
      </x:c>
      <x:c r="K6" s="43" t="n">
        <x:v>4</x:v>
      </x:c>
      <x:c r="L6" s="43" t="n">
        <x:v>2</x:v>
      </x:c>
      <x:c r="M6" s="43" t="n">
        <x:v>5</x:v>
      </x:c>
    </x:row>
    <x:row r="7" ht="18" customHeight="1">
      <x:c r="A7" s="43" t="str">
        <x:v>General</x:v>
      </x:c>
      <x:c r="B7" s="43" t="str">
        <x:v>Troop Attack</x:v>
      </x:c>
      <x:c r="C7" s="43" t="str">
        <x:v>Higher</x:v>
      </x:c>
      <x:c r="D7" s="43" t="str">
        <x:v>K91</x:v>
      </x:c>
      <x:c r="E7" s="43" t="str">
        <x:v>•Pain•</x:v>
      </x:c>
      <x:c r="F7" s="44" t="n">
        <x:v>4.541</x:v>
      </x:c>
      <x:c r="G7" s="44" t="n">
        <x:v>4.15308</x:v>
      </x:c>
      <x:c r="H7" s="44" t="n">
        <x:v>3.87466</x:v>
      </x:c>
      <x:c r="I7" s="44" t="n">
        <x:v>3.4545999999999997</x:v>
      </x:c>
      <x:c r="J7" s="43" t="n">
        <x:v>4</x:v>
      </x:c>
      <x:c r="K7" s="43" t="n">
        <x:v>6</x:v>
      </x:c>
      <x:c r="L7" s="43" t="n">
        <x:v>6</x:v>
      </x:c>
      <x:c r="M7" s="43" t="n">
        <x:v>2</x:v>
      </x:c>
    </x:row>
    <x:row r="8" ht="18" customHeight="1">
      <x:c r="A8" s="43" t="str">
        <x:v>General</x:v>
      </x:c>
      <x:c r="B8" s="43" t="str">
        <x:v>Troop Attack</x:v>
      </x:c>
      <x:c r="C8" s="43" t="str">
        <x:v>Higher</x:v>
      </x:c>
      <x:c r="D8" s="43" t="str">
        <x:v>K116</x:v>
      </x:c>
      <x:c r="E8" s="43" t="str">
        <x:v>Jesse</x:v>
      </x:c>
      <x:c r="F8" s="44" t="n">
        <x:v>4.891</x:v>
      </x:c>
      <x:c r="G8" s="44" t="n">
        <x:v>4.5845</x:v>
      </x:c>
      <x:c r="H8" s="44" t="n">
        <x:v>4.0925</x:v>
      </x:c>
      <x:c r="I8" s="44" t="n">
        <x:v>3.21725</x:v>
      </x:c>
      <x:c r="J8" s="43" t="n">
        <x:v>3</x:v>
      </x:c>
      <x:c r="K8" s="43" t="n">
        <x:v>2</x:v>
      </x:c>
      <x:c r="L8" s="43" t="n">
        <x:v>3</x:v>
      </x:c>
      <x:c r="M8" s="43" t="n">
        <x:v>6</x:v>
      </x:c>
    </x:row>
    <x:row r="9" ht="18" customHeight="1">
      <x:c r="A9" s="43" t="str">
        <x:v>General</x:v>
      </x:c>
      <x:c r="B9" s="43" t="str">
        <x:v>Troop Attack</x:v>
      </x:c>
      <x:c r="C9" s="43" t="str">
        <x:v>Higher</x:v>
      </x:c>
      <x:c r="D9" s="43" t="str">
        <x:v>K138</x:v>
      </x:c>
      <x:c r="E9" s="43" t="str">
        <x:v>(RaW)Critykal</x:v>
      </x:c>
      <x:c r="F9" s="44" t="n">
        <x:v>4.1785</x:v>
      </x:c>
      <x:c r="G9" s="44" t="n">
        <x:v>3.9799999999999995</x:v>
      </x:c>
      <x:c r="H9" s="44" t="n">
        <x:v>3.8106999999999998</x:v>
      </x:c>
      <x:c r="I9" s="44" t="n">
        <x:v>3.0821</x:v>
      </x:c>
      <x:c r="J9" s="43" t="n">
        <x:v>7</x:v>
      </x:c>
      <x:c r="K9" s="43" t="n">
        <x:v>7</x:v>
      </x:c>
      <x:c r="L9" s="43" t="n">
        <x:v>7</x:v>
      </x:c>
      <x:c r="M9" s="43" t="n">
        <x:v>8</x:v>
      </x:c>
    </x:row>
    <x:row r="10" ht="18" customHeight="1">
      <x:c r="A10" s="43" t="str">
        <x:v>General</x:v>
      </x:c>
      <x:c r="B10" s="43" t="str">
        <x:v>Troop Attack</x:v>
      </x:c>
      <x:c r="C10" s="43" t="str">
        <x:v>Higher</x:v>
      </x:c>
      <x:c r="D10" s="43" t="str">
        <x:v>K170</x:v>
      </x:c>
      <x:c r="E10" s="43" t="str">
        <x:v>(AOT)SanSW°</x:v>
      </x:c>
      <x:c r="F10" s="44" t="n">
        <x:v>3.9871</x:v>
      </x:c>
      <x:c r="G10" s="44" t="n">
        <x:v>3.8506299999999998</x:v>
      </x:c>
      <x:c r="H10" s="44" t="n">
        <x:v>3.7064399999999997</x:v>
      </x:c>
      <x:c r="I10" s="44" t="n">
        <x:v>3.1985</x:v>
      </x:c>
      <x:c r="J10" s="43" t="n">
        <x:v>8</x:v>
      </x:c>
      <x:c r="K10" s="43" t="n">
        <x:v>8</x:v>
      </x:c>
      <x:c r="L10" s="43" t="n">
        <x:v>8</x:v>
      </x:c>
      <x:c r="M10" s="43" t="n">
        <x:v>7</x:v>
      </x:c>
    </x:row>
    <x:row r="11" ht="18" customHeight="1">
      <x:c r="A11" s="43" t="str">
        <x:v>General</x:v>
      </x:c>
      <x:c r="B11" s="43" t="str">
        <x:v>Troop Attack</x:v>
      </x:c>
      <x:c r="C11" s="43" t="str">
        <x:v>Higher</x:v>
      </x:c>
      <x:c r="D11" s="43" t="str">
        <x:v>K54</x:v>
      </x:c>
      <x:c r="E11" s="43" t="str">
        <x:v>爽歪歪</x:v>
      </x:c>
      <x:c r="F11" s="44" t="n">
        <x:v>5.125900000000001</x:v>
      </x:c>
      <x:c r="G11" s="44" t="n">
        <x:v>4.9259</x:v>
      </x:c>
      <x:c r="H11" s="44" t="n">
        <x:v>4.5034</x:v>
      </x:c>
      <x:c r="I11" s="44" t="n">
        <x:v>3.7434</x:v>
      </x:c>
      <x:c r="J11" s="43" t="n">
        <x:v>2</x:v>
      </x:c>
      <x:c r="K11" s="43" t="n">
        <x:v>1</x:v>
      </x:c>
      <x:c r="L11" s="43" t="n">
        <x:v>1</x:v>
      </x:c>
      <x:c r="M11" s="43" t="n">
        <x:v>1</x:v>
      </x:c>
    </x:row>
    <x:row r="12" ht="18" customHeight="1">
      <x:c r="A12" s="43" t="str">
        <x:v>General</x:v>
      </x:c>
      <x:c r="B12" s="43" t="str">
        <x:v>Troop Attack</x:v>
      </x:c>
      <x:c r="C12" s="43" t="str">
        <x:v>Higher</x:v>
      </x:c>
      <x:c r="D12" s="43" t="str">
        <x:v>K197</x:v>
      </x:c>
      <x:c r="E12" s="43" t="str">
        <x:v>Хлебушек</x:v>
      </x:c>
      <x:c r="F12" s="44" t="n">
        <x:v>5.141</x:v>
      </x:c>
      <x:c r="G12" s="44" t="n">
        <x:v>4.50775</x:v>
      </x:c>
      <x:c r="H12" s="44" t="n">
        <x:v>4.05044</x:v>
      </x:c>
      <x:c r="I12" s="44" t="n">
        <x:v>3.4471</x:v>
      </x:c>
      <x:c r="J12" s="43" t="n">
        <x:v>1</x:v>
      </x:c>
      <x:c r="K12" s="43" t="n">
        <x:v>3</x:v>
      </x:c>
      <x:c r="L12" s="43" t="n">
        <x:v>5</x:v>
      </x:c>
      <x:c r="M12" s="43" t="n">
        <x:v>3</x:v>
      </x:c>
    </x:row>
    <x:row r="13" ht="18" customHeight="1">
      <x:c r="A13" s="43" t="str">
        <x:v>General</x:v>
      </x:c>
      <x:c r="B13" s="43" t="str">
        <x:v>Troop Attack</x:v>
      </x:c>
      <x:c r="C13" s="43" t="str">
        <x:v>Higher</x:v>
      </x:c>
      <x:c r="D13" s="43" t="str">
        <x:v>K176</x:v>
      </x:c>
      <x:c r="E13" s="43" t="str">
        <x:v>苟拓通天肆意妄为</x:v>
      </x:c>
      <x:c r="F13" s="44" t="n">
        <x:v>4.5396</x:v>
      </x:c>
      <x:c r="G13" s="44" t="n">
        <x:v>4.31405</x:v>
      </x:c>
      <x:c r="H13" s="44" t="n">
        <x:v>4.07922</x:v>
      </x:c>
      <x:c r="I13" s="44" t="n">
        <x:v>3.2822500000000003</x:v>
      </x:c>
      <x:c r="J13" s="43" t="n">
        <x:v>5</x:v>
      </x:c>
      <x:c r="K13" s="43" t="n">
        <x:v>5</x:v>
      </x:c>
      <x:c r="L13" s="43" t="n">
        <x:v>4</x:v>
      </x:c>
      <x:c r="M13" s="43" t="n">
        <x:v>4</x:v>
      </x:c>
    </x:row>
    <x:row r="14" ht="18" customHeight="1">
      <x:c r="A14" s="43" t="str">
        <x:v>General</x:v>
      </x:c>
      <x:c r="B14" s="43" t="str">
        <x:v>Troop Health</x:v>
      </x:c>
      <x:c r="C14" s="43" t="str">
        <x:v>Higher</x:v>
      </x:c>
      <x:c r="D14" s="43" t="str">
        <x:v>K60</x:v>
      </x:c>
      <x:c r="E14" s="43" t="str">
        <x:v>InFlames</x:v>
      </x:c>
      <x:c r="F14" s="44" t="n">
        <x:v>3.3735</x:v>
      </x:c>
      <x:c r="G14" s="44" t="n">
        <x:v>3.26325</x:v>
      </x:c>
      <x:c r="H14" s="44" t="n">
        <x:v>3.097</x:v>
      </x:c>
      <x:c r="I14" s="44" t="n">
        <x:v>2.716</x:v>
      </x:c>
      <x:c r="J14" s="43" t="n">
        <x:v>6</x:v>
      </x:c>
      <x:c r="K14" s="43" t="n">
        <x:v>7</x:v>
      </x:c>
      <x:c r="L14" s="43" t="n">
        <x:v>7</x:v>
      </x:c>
      <x:c r="M14" s="43" t="n">
        <x:v>4</x:v>
      </x:c>
    </x:row>
    <x:row r="15" ht="18" customHeight="1">
      <x:c r="A15" s="43" t="str">
        <x:v>General</x:v>
      </x:c>
      <x:c r="B15" s="43" t="str">
        <x:v>Troop Health</x:v>
      </x:c>
      <x:c r="C15" s="43" t="str">
        <x:v>Higher</x:v>
      </x:c>
      <x:c r="D15" s="43" t="str">
        <x:v>K91</x:v>
      </x:c>
      <x:c r="E15" s="43" t="str">
        <x:v>•Pain•</x:v>
      </x:c>
      <x:c r="F15" s="44" t="n">
        <x:v>4.141</x:v>
      </x:c>
      <x:c r="G15" s="44" t="n">
        <x:v>3.62225</x:v>
      </x:c>
      <x:c r="H15" s="44" t="n">
        <x:v>3.1835000000000004</x:v>
      </x:c>
      <x:c r="I15" s="44" t="n">
        <x:v>2.4785</x:v>
      </x:c>
      <x:c r="J15" s="43" t="n">
        <x:v>3</x:v>
      </x:c>
      <x:c r="K15" s="43" t="n">
        <x:v>5</x:v>
      </x:c>
      <x:c r="L15" s="43" t="n">
        <x:v>5</x:v>
      </x:c>
      <x:c r="M15" s="43" t="n">
        <x:v>7</x:v>
      </x:c>
    </x:row>
    <x:row r="16" ht="18" customHeight="1">
      <x:c r="A16" s="43" t="str">
        <x:v>General</x:v>
      </x:c>
      <x:c r="B16" s="43" t="str">
        <x:v>Troop Health</x:v>
      </x:c>
      <x:c r="C16" s="43" t="str">
        <x:v>Higher</x:v>
      </x:c>
      <x:c r="D16" s="43" t="str">
        <x:v>K116</x:v>
      </x:c>
      <x:c r="E16" s="43" t="str">
        <x:v>光之使者</x:v>
      </x:c>
      <x:c r="F16" s="44" t="n">
        <x:v>4.061</x:v>
      </x:c>
      <x:c r="G16" s="44" t="n">
        <x:v>3.95475</x:v>
      </x:c>
      <x:c r="H16" s="44" t="n">
        <x:v>3.6085000000000003</x:v>
      </x:c>
      <x:c r="I16" s="44" t="n">
        <x:v>2.7485</x:v>
      </x:c>
      <x:c r="J16" s="43" t="n">
        <x:v>4</x:v>
      </x:c>
      <x:c r="K16" s="43" t="n">
        <x:v>3</x:v>
      </x:c>
      <x:c r="L16" s="43" t="n">
        <x:v>3</x:v>
      </x:c>
      <x:c r="M16" s="43" t="n">
        <x:v>3</x:v>
      </x:c>
    </x:row>
    <x:row r="17" ht="18" customHeight="1">
      <x:c r="A17" s="43" t="str">
        <x:v>General</x:v>
      </x:c>
      <x:c r="B17" s="43" t="str">
        <x:v>Troop Health</x:v>
      </x:c>
      <x:c r="C17" s="43" t="str">
        <x:v>Higher</x:v>
      </x:c>
      <x:c r="D17" s="43" t="str">
        <x:v>K138</x:v>
      </x:c>
      <x:c r="E17" s="43" t="str">
        <x:v>(RaW)༺博卡Ajax༻</x:v>
      </x:c>
      <x:c r="F17" s="44" t="n">
        <x:v>3.3235</x:v>
      </x:c>
      <x:c r="G17" s="44" t="n">
        <x:v>3.2779800000000003</x:v>
      </x:c>
      <x:c r="H17" s="44" t="n">
        <x:v>3.1659800000000002</x:v>
      </x:c>
      <x:c r="I17" s="44" t="n">
        <x:v>2.581</x:v>
      </x:c>
      <x:c r="J17" s="43" t="n">
        <x:v>7</x:v>
      </x:c>
      <x:c r="K17" s="43" t="n">
        <x:v>6</x:v>
      </x:c>
      <x:c r="L17" s="43" t="n">
        <x:v>6</x:v>
      </x:c>
      <x:c r="M17" s="43" t="n">
        <x:v>6</x:v>
      </x:c>
    </x:row>
    <x:row r="18" ht="18" customHeight="1">
      <x:c r="A18" s="43" t="str">
        <x:v>General</x:v>
      </x:c>
      <x:c r="B18" s="43" t="str">
        <x:v>Troop Health</x:v>
      </x:c>
      <x:c r="C18" s="43" t="str">
        <x:v>Higher</x:v>
      </x:c>
      <x:c r="D18" s="43" t="str">
        <x:v>K170</x:v>
      </x:c>
      <x:c r="E18" s="43" t="str">
        <x:v>(AOT)MG·Yu</x:v>
      </x:c>
      <x:c r="F18" s="44" t="n">
        <x:v>3.2485</x:v>
      </x:c>
      <x:c r="G18" s="44" t="n">
        <x:v>3.1740000000000004</x:v>
      </x:c>
      <x:c r="H18" s="44" t="n">
        <x:v>3.0635000000000003</x:v>
      </x:c>
      <x:c r="I18" s="44" t="n">
        <x:v>2.611</x:v>
      </x:c>
      <x:c r="J18" s="43" t="n">
        <x:v>8</x:v>
      </x:c>
      <x:c r="K18" s="43" t="n">
        <x:v>8</x:v>
      </x:c>
      <x:c r="L18" s="43" t="n">
        <x:v>8</x:v>
      </x:c>
      <x:c r="M18" s="43" t="n">
        <x:v>5</x:v>
      </x:c>
    </x:row>
    <x:row r="19" ht="18" customHeight="1">
      <x:c r="A19" s="43" t="str">
        <x:v>General</x:v>
      </x:c>
      <x:c r="B19" s="43" t="str">
        <x:v>Troop Health</x:v>
      </x:c>
      <x:c r="C19" s="43" t="str">
        <x:v>Higher</x:v>
      </x:c>
      <x:c r="D19" s="43" t="str">
        <x:v>K54</x:v>
      </x:c>
      <x:c r="E19" s="43" t="str">
        <x:v>爽歪歪</x:v>
      </x:c>
      <x:c r="F19" s="44" t="n">
        <x:v>4.5259</x:v>
      </x:c>
      <x:c r="G19" s="44" t="n">
        <x:v>4.3559</x:v>
      </x:c>
      <x:c r="H19" s="44" t="n">
        <x:v>4.0684</x:v>
      </x:c>
      <x:c r="I19" s="44" t="n">
        <x:v>3.3284</x:v>
      </x:c>
      <x:c r="J19" s="43" t="n">
        <x:v>2</x:v>
      </x:c>
      <x:c r="K19" s="43" t="n">
        <x:v>1</x:v>
      </x:c>
      <x:c r="L19" s="43" t="n">
        <x:v>1</x:v>
      </x:c>
      <x:c r="M19" s="43" t="n">
        <x:v>1</x:v>
      </x:c>
    </x:row>
    <x:row r="20" ht="18" customHeight="1">
      <x:c r="A20" s="43" t="str">
        <x:v>General</x:v>
      </x:c>
      <x:c r="B20" s="43" t="str">
        <x:v>Troop Health</x:v>
      </x:c>
      <x:c r="C20" s="43" t="str">
        <x:v>Higher</x:v>
      </x:c>
      <x:c r="D20" s="43" t="str">
        <x:v>K197</x:v>
      </x:c>
      <x:c r="E20" s="43" t="str">
        <x:v>Хлебушек</x:v>
      </x:c>
      <x:c r="F20" s="44" t="n">
        <x:v>4.941</x:v>
      </x:c>
      <x:c r="G20" s="44" t="n">
        <x:v>4.3515</x:v>
      </x:c>
      <x:c r="H20" s="44" t="n">
        <x:v>3.5755000000000003</x:v>
      </x:c>
      <x:c r="I20" s="44" t="n">
        <x:v>2.467</x:v>
      </x:c>
      <x:c r="J20" s="43" t="n">
        <x:v>1</x:v>
      </x:c>
      <x:c r="K20" s="43" t="n">
        <x:v>2</x:v>
      </x:c>
      <x:c r="L20" s="43" t="n">
        <x:v>4</x:v>
      </x:c>
      <x:c r="M20" s="43" t="n">
        <x:v>8</x:v>
      </x:c>
    </x:row>
    <x:row r="21" ht="18" customHeight="1">
      <x:c r="A21" s="43" t="str">
        <x:v>General</x:v>
      </x:c>
      <x:c r="B21" s="43" t="str">
        <x:v>Troop Health</x:v>
      </x:c>
      <x:c r="C21" s="43" t="str">
        <x:v>Higher</x:v>
      </x:c>
      <x:c r="D21" s="43" t="str">
        <x:v>K176</x:v>
      </x:c>
      <x:c r="E21" s="43" t="str">
        <x:v>苟拓通天肆意妄为</x:v>
      </x:c>
      <x:c r="F21" s="44" t="n">
        <x:v>4.0185</x:v>
      </x:c>
      <x:c r="G21" s="44" t="n">
        <x:v>3.8170000000000006</x:v>
      </x:c>
      <x:c r="H21" s="44" t="n">
        <x:v>3.6405000000000003</x:v>
      </x:c>
      <x:c r="I21" s="44" t="n">
        <x:v>2.816</x:v>
      </x:c>
      <x:c r="J21" s="43" t="n">
        <x:v>5</x:v>
      </x:c>
      <x:c r="K21" s="43" t="n">
        <x:v>4</x:v>
      </x:c>
      <x:c r="L21" s="43" t="n">
        <x:v>2</x:v>
      </x:c>
      <x:c r="M21" s="43" t="n">
        <x:v>2</x:v>
      </x:c>
    </x:row>
    <x:row r="22" ht="18" customHeight="1">
      <x:c r="A22" s="43" t="str">
        <x:v>General</x:v>
      </x:c>
      <x:c r="B22" s="43" t="str">
        <x:v>Troop Defense</x:v>
      </x:c>
      <x:c r="C22" s="43" t="str">
        <x:v>Higher</x:v>
      </x:c>
      <x:c r="D22" s="43" t="str">
        <x:v>K60</x:v>
      </x:c>
      <x:c r="E22" s="43" t="str">
        <x:v>CerialKiller</x:v>
      </x:c>
      <x:c r="F22" s="44" t="n">
        <x:v>4.191</x:v>
      </x:c>
      <x:c r="G22" s="44" t="n">
        <x:v>3.9012499999999997</x:v>
      </x:c>
      <x:c r="H22" s="44" t="n">
        <x:v>3.5215000000000005</x:v>
      </x:c>
      <x:c r="I22" s="44" t="n">
        <x:v>2.981</x:v>
      </x:c>
      <x:c r="J22" s="43" t="n">
        <x:v>6</x:v>
      </x:c>
      <x:c r="K22" s="43" t="n">
        <x:v>5</x:v>
      </x:c>
      <x:c r="L22" s="43" t="n">
        <x:v>6</x:v>
      </x:c>
      <x:c r="M22" s="43" t="n">
        <x:v>4</x:v>
      </x:c>
    </x:row>
    <x:row r="23" ht="18" customHeight="1">
      <x:c r="A23" s="43" t="str">
        <x:v>General</x:v>
      </x:c>
      <x:c r="B23" s="43" t="str">
        <x:v>Troop Defense</x:v>
      </x:c>
      <x:c r="C23" s="43" t="str">
        <x:v>Higher</x:v>
      </x:c>
      <x:c r="D23" s="43" t="str">
        <x:v>K91</x:v>
      </x:c>
      <x:c r="E23" s="43" t="str">
        <x:v>•Pain•</x:v>
      </x:c>
      <x:c r="F23" s="44" t="n">
        <x:v>4.2410000000000005</x:v>
      </x:c>
      <x:c r="G23" s="44" t="n">
        <x:v>3.89825</x:v>
      </x:c>
      <x:c r="H23" s="44" t="n">
        <x:v>3.5295</x:v>
      </x:c>
      <x:c r="I23" s="44" t="n">
        <x:v>2.781</x:v>
      </x:c>
      <x:c r="J23" s="43" t="n">
        <x:v>5</x:v>
      </x:c>
      <x:c r="K23" s="43" t="n">
        <x:v>6</x:v>
      </x:c>
      <x:c r="L23" s="43" t="n">
        <x:v>5</x:v>
      </x:c>
      <x:c r="M23" s="43" t="n">
        <x:v>8</x:v>
      </x:c>
    </x:row>
    <x:row r="24" ht="18" customHeight="1">
      <x:c r="A24" s="43" t="str">
        <x:v>General</x:v>
      </x:c>
      <x:c r="B24" s="43" t="str">
        <x:v>Troop Defense</x:v>
      </x:c>
      <x:c r="C24" s="43" t="str">
        <x:v>Higher</x:v>
      </x:c>
      <x:c r="D24" s="43" t="str">
        <x:v>K116</x:v>
      </x:c>
      <x:c r="E24" s="43" t="str">
        <x:v>汰需尚青</x:v>
      </x:c>
      <x:c r="F24" s="44" t="n">
        <x:v>4.3285</x:v>
      </x:c>
      <x:c r="G24" s="44" t="n">
        <x:v>4.21325</x:v>
      </x:c>
      <x:c r="H24" s="44" t="n">
        <x:v>3.91</x:v>
      </x:c>
      <x:c r="I24" s="44" t="n">
        <x:v>3.0410000000000004</x:v>
      </x:c>
      <x:c r="J24" s="43" t="n">
        <x:v>4</x:v>
      </x:c>
      <x:c r="K24" s="43" t="n">
        <x:v>4</x:v>
      </x:c>
      <x:c r="L24" s="43" t="n">
        <x:v>3</x:v>
      </x:c>
      <x:c r="M24" s="43" t="n">
        <x:v>3</x:v>
      </x:c>
    </x:row>
    <x:row r="25" ht="18" customHeight="1">
      <x:c r="A25" s="43" t="str">
        <x:v>General</x:v>
      </x:c>
      <x:c r="B25" s="43" t="str">
        <x:v>Troop Defense</x:v>
      </x:c>
      <x:c r="C25" s="43" t="str">
        <x:v>Higher</x:v>
      </x:c>
      <x:c r="D25" s="43" t="str">
        <x:v>K138</x:v>
      </x:c>
      <x:c r="E25" s="43" t="str">
        <x:v>(RaW)ϟCrozyϟ</x:v>
      </x:c>
      <x:c r="F25" s="44" t="n">
        <x:v>3.5334</x:v>
      </x:c>
      <x:c r="G25" s="44" t="n">
        <x:v>3.46645</x:v>
      </x:c>
      <x:c r="H25" s="44" t="n">
        <x:v>3.35298</x:v>
      </x:c>
      <x:c r="I25" s="44" t="n">
        <x:v>2.866</x:v>
      </x:c>
      <x:c r="J25" s="43" t="n">
        <x:v>8</x:v>
      </x:c>
      <x:c r="K25" s="43" t="n">
        <x:v>8</x:v>
      </x:c>
      <x:c r="L25" s="43" t="n">
        <x:v>8</x:v>
      </x:c>
      <x:c r="M25" s="43" t="n">
        <x:v>7</x:v>
      </x:c>
    </x:row>
    <x:row r="26" ht="18" customHeight="1">
      <x:c r="A26" s="43" t="str">
        <x:v>General</x:v>
      </x:c>
      <x:c r="B26" s="43" t="str">
        <x:v>Troop Defense</x:v>
      </x:c>
      <x:c r="C26" s="43" t="str">
        <x:v>Higher</x:v>
      </x:c>
      <x:c r="D26" s="43" t="str">
        <x:v>K170</x:v>
      </x:c>
      <x:c r="E26" s="43" t="str">
        <x:v>(AOT)SanSW°</x:v>
      </x:c>
      <x:c r="F26" s="44" t="n">
        <x:v>3.8085</x:v>
      </x:c>
      <x:c r="G26" s="44" t="n">
        <x:v>3.68725</x:v>
      </x:c>
      <x:c r="H26" s="44" t="n">
        <x:v>3.493</x:v>
      </x:c>
      <x:c r="I26" s="44" t="n">
        <x:v>2.891</x:v>
      </x:c>
      <x:c r="J26" s="43" t="n">
        <x:v>7</x:v>
      </x:c>
      <x:c r="K26" s="43" t="n">
        <x:v>7</x:v>
      </x:c>
      <x:c r="L26" s="43" t="n">
        <x:v>7</x:v>
      </x:c>
      <x:c r="M26" s="43" t="n">
        <x:v>5</x:v>
      </x:c>
    </x:row>
    <x:row r="27" ht="18" customHeight="1">
      <x:c r="A27" s="43" t="str">
        <x:v>General</x:v>
      </x:c>
      <x:c r="B27" s="43" t="str">
        <x:v>Troop Defense</x:v>
      </x:c>
      <x:c r="C27" s="43" t="str">
        <x:v>Higher</x:v>
      </x:c>
      <x:c r="D27" s="43" t="str">
        <x:v>K54</x:v>
      </x:c>
      <x:c r="E27" s="43" t="str">
        <x:v>爽歪歪</x:v>
      </x:c>
      <x:c r="F27" s="44" t="n">
        <x:v>5.0759</x:v>
      </x:c>
      <x:c r="G27" s="44" t="n">
        <x:v>4.690899999999999</x:v>
      </x:c>
      <x:c r="H27" s="44" t="n">
        <x:v>4.2009</x:v>
      </x:c>
      <x:c r="I27" s="44" t="n">
        <x:v>3.4433999999999996</x:v>
      </x:c>
      <x:c r="J27" s="43" t="n">
        <x:v>2</x:v>
      </x:c>
      <x:c r="K27" s="43" t="n">
        <x:v>1</x:v>
      </x:c>
      <x:c r="L27" s="43" t="n">
        <x:v>1</x:v>
      </x:c>
      <x:c r="M27" s="43" t="n">
        <x:v>1</x:v>
      </x:c>
    </x:row>
    <x:row r="28" ht="18" customHeight="1">
      <x:c r="A28" s="43" t="str">
        <x:v>General</x:v>
      </x:c>
      <x:c r="B28" s="43" t="str">
        <x:v>Troop Defense</x:v>
      </x:c>
      <x:c r="C28" s="43" t="str">
        <x:v>Higher</x:v>
      </x:c>
      <x:c r="D28" s="43" t="str">
        <x:v>K197</x:v>
      </x:c>
      <x:c r="E28" s="43" t="str">
        <x:v>Хлебушек</x:v>
      </x:c>
      <x:c r="F28" s="44" t="n">
        <x:v>5.141</x:v>
      </x:c>
      <x:c r="G28" s="44" t="n">
        <x:v>4.3785</x:v>
      </x:c>
      <x:c r="H28" s="44" t="n">
        <x:v>3.7515</x:v>
      </x:c>
      <x:c r="I28" s="44" t="n">
        <x:v>2.891</x:v>
      </x:c>
      <x:c r="J28" s="43" t="n">
        <x:v>1</x:v>
      </x:c>
      <x:c r="K28" s="43" t="n">
        <x:v>2</x:v>
      </x:c>
      <x:c r="L28" s="43" t="n">
        <x:v>4</x:v>
      </x:c>
      <x:c r="M28" s="43" t="n">
        <x:v>5</x:v>
      </x:c>
    </x:row>
    <x:row r="29" ht="18" customHeight="1">
      <x:c r="A29" s="43" t="str">
        <x:v>General</x:v>
      </x:c>
      <x:c r="B29" s="43" t="str">
        <x:v>Troop Defense</x:v>
      </x:c>
      <x:c r="C29" s="43" t="str">
        <x:v>Higher</x:v>
      </x:c>
      <x:c r="D29" s="43" t="str">
        <x:v>K176</x:v>
      </x:c>
      <x:c r="E29" s="43" t="str">
        <x:v>苟拓通天肆意妄为</x:v>
      </x:c>
      <x:c r="F29" s="44" t="n">
        <x:v>4.5285</x:v>
      </x:c>
      <x:c r="G29" s="44" t="n">
        <x:v>4.2925</x:v>
      </x:c>
      <x:c r="H29" s="44" t="n">
        <x:v>4.009500000000001</x:v>
      </x:c>
      <x:c r="I29" s="44" t="n">
        <x:v>3.0835000000000004</x:v>
      </x:c>
      <x:c r="J29" s="43" t="n">
        <x:v>3</x:v>
      </x:c>
      <x:c r="K29" s="43" t="n">
        <x:v>3</x:v>
      </x:c>
      <x:c r="L29" s="43" t="n">
        <x:v>2</x:v>
      </x:c>
      <x:c r="M29" s="43" t="n">
        <x:v>2</x:v>
      </x:c>
    </x:row>
    <x:row r="30" ht="18" customHeight="1">
      <x:c r="A30" s="43" t="str">
        <x:v>General</x:v>
      </x:c>
      <x:c r="B30" s="43" t="str">
        <x:v>Troop Damage</x:v>
      </x:c>
      <x:c r="C30" s="43" t="str">
        <x:v>Higher</x:v>
      </x:c>
      <x:c r="D30" s="43" t="str">
        <x:v>K60</x:v>
      </x:c>
      <x:c r="E30" s="43" t="str">
        <x:v>InFlames</x:v>
      </x:c>
      <x:c r="F30" s="44" t="n">
        <x:v>0.475</x:v>
      </x:c>
      <x:c r="G30" s="44" t="n">
        <x:v>0.45625000000000004</x:v>
      </x:c>
      <x:c r="H30" s="44" t="n">
        <x:v>0.445</x:v>
      </x:c>
      <x:c r="I30" s="44" t="n">
        <x:v>0.4375</x:v>
      </x:c>
      <x:c r="J30" s="43" t="n">
        <x:v>1</x:v>
      </x:c>
      <x:c r="K30" s="43" t="n">
        <x:v>2</x:v>
      </x:c>
      <x:c r="L30" s="43" t="n">
        <x:v>2</x:v>
      </x:c>
      <x:c r="M30" s="43" t="n">
        <x:v>1</x:v>
      </x:c>
    </x:row>
    <x:row r="31" ht="18" customHeight="1">
      <x:c r="A31" s="43" t="str">
        <x:v>General</x:v>
      </x:c>
      <x:c r="B31" s="43" t="str">
        <x:v>Troop Damage</x:v>
      </x:c>
      <x:c r="C31" s="43" t="str">
        <x:v>Higher</x:v>
      </x:c>
      <x:c r="D31" s="43" t="str">
        <x:v>K91</x:v>
      </x:c>
      <x:c r="E31" s="43" t="str">
        <x:v>•Pain•</x:v>
      </x:c>
      <x:c r="F31" s="44" t="n">
        <x:v>0.475</x:v>
      </x:c>
      <x:c r="G31" s="44" t="n">
        <x:v>0.45625000000000004</x:v>
      </x:c>
      <x:c r="H31" s="44" t="n">
        <x:v>0.43600000000000005</x:v>
      </x:c>
      <x:c r="I31" s="44" t="n">
        <x:v>0.415</x:v>
      </x:c>
      <x:c r="J31" s="43" t="n">
        <x:v>1</x:v>
      </x:c>
      <x:c r="K31" s="43" t="n">
        <x:v>2</x:v>
      </x:c>
      <x:c r="L31" s="43" t="n">
        <x:v>8</x:v>
      </x:c>
      <x:c r="M31" s="43" t="n">
        <x:v>4</x:v>
      </x:c>
    </x:row>
    <x:row r="32" ht="18" customHeight="1">
      <x:c r="A32" s="43" t="str">
        <x:v>General</x:v>
      </x:c>
      <x:c r="B32" s="43" t="str">
        <x:v>Troop Damage</x:v>
      </x:c>
      <x:c r="C32" s="43" t="str">
        <x:v>Higher</x:v>
      </x:c>
      <x:c r="D32" s="43" t="str">
        <x:v>K116</x:v>
      </x:c>
      <x:c r="E32" s="43" t="str">
        <x:v>Jesse</x:v>
      </x:c>
      <x:c r="F32" s="44" t="n">
        <x:v>0.475</x:v>
      </x:c>
      <x:c r="G32" s="44" t="n">
        <x:v>0.45625000000000004</x:v>
      </x:c>
      <x:c r="H32" s="44" t="n">
        <x:v>0.4405</x:v>
      </x:c>
      <x:c r="I32" s="44" t="n">
        <x:v>0.415</x:v>
      </x:c>
      <x:c r="J32" s="43" t="n">
        <x:v>1</x:v>
      </x:c>
      <x:c r="K32" s="43" t="n">
        <x:v>2</x:v>
      </x:c>
      <x:c r="L32" s="43" t="n">
        <x:v>4</x:v>
      </x:c>
      <x:c r="M32" s="43" t="n">
        <x:v>4</x:v>
      </x:c>
    </x:row>
    <x:row r="33" ht="18" customHeight="1">
      <x:c r="A33" s="43" t="str">
        <x:v>General</x:v>
      </x:c>
      <x:c r="B33" s="43" t="str">
        <x:v>Troop Damage</x:v>
      </x:c>
      <x:c r="C33" s="43" t="str">
        <x:v>Higher</x:v>
      </x:c>
      <x:c r="D33" s="43" t="str">
        <x:v>K138</x:v>
      </x:c>
      <x:c r="E33" s="43" t="str">
        <x:v>(RaW)༺博卡Ajax༻ (+10 tied)</x:v>
      </x:c>
      <x:c r="F33" s="44" t="n">
        <x:v>0.4375</x:v>
      </x:c>
      <x:c r="G33" s="44" t="n">
        <x:v>0.4375</x:v>
      </x:c>
      <x:c r="H33" s="44" t="n">
        <x:v>0.4375</x:v>
      </x:c>
      <x:c r="I33" s="44" t="n">
        <x:v>0.415</x:v>
      </x:c>
      <x:c r="J33" s="43" t="n">
        <x:v>6</x:v>
      </x:c>
      <x:c r="K33" s="43" t="n">
        <x:v>6</x:v>
      </x:c>
      <x:c r="L33" s="43" t="n">
        <x:v>5</x:v>
      </x:c>
      <x:c r="M33" s="43" t="n">
        <x:v>4</x:v>
      </x:c>
    </x:row>
    <x:row r="34" ht="18" customHeight="1">
      <x:c r="A34" s="43" t="str">
        <x:v>General</x:v>
      </x:c>
      <x:c r="B34" s="43" t="str">
        <x:v>Troop Damage</x:v>
      </x:c>
      <x:c r="C34" s="43" t="str">
        <x:v>Higher</x:v>
      </x:c>
      <x:c r="D34" s="43" t="str">
        <x:v>K170</x:v>
      </x:c>
      <x:c r="E34" s="43" t="str">
        <x:v>(AOT)SanSW° (+12 tied)</x:v>
      </x:c>
      <x:c r="F34" s="44" t="n">
        <x:v>0.4375</x:v>
      </x:c>
      <x:c r="G34" s="44" t="n">
        <x:v>0.4375</x:v>
      </x:c>
      <x:c r="H34" s="44" t="n">
        <x:v>0.4375</x:v>
      </x:c>
      <x:c r="I34" s="44" t="n">
        <x:v>0.4375</x:v>
      </x:c>
      <x:c r="J34" s="43" t="n">
        <x:v>6</x:v>
      </x:c>
      <x:c r="K34" s="43" t="n">
        <x:v>6</x:v>
      </x:c>
      <x:c r="L34" s="43" t="n">
        <x:v>5</x:v>
      </x:c>
      <x:c r="M34" s="43" t="n">
        <x:v>1</x:v>
      </x:c>
    </x:row>
    <x:row r="35" ht="18" customHeight="1">
      <x:c r="A35" s="43" t="str">
        <x:v>General</x:v>
      </x:c>
      <x:c r="B35" s="43" t="str">
        <x:v>Troop Damage</x:v>
      </x:c>
      <x:c r="C35" s="43" t="str">
        <x:v>Higher</x:v>
      </x:c>
      <x:c r="D35" s="43" t="str">
        <x:v>K54</x:v>
      </x:c>
      <x:c r="E35" s="43" t="str">
        <x:v>爽歪歪 (+2 tied)</x:v>
      </x:c>
      <x:c r="F35" s="44" t="n">
        <x:v>0.475</x:v>
      </x:c>
      <x:c r="G35" s="44" t="n">
        <x:v>0.475</x:v>
      </x:c>
      <x:c r="H35" s="44" t="n">
        <x:v>0.45999999999999996</x:v>
      </x:c>
      <x:c r="I35" s="44" t="n">
        <x:v>0.4375</x:v>
      </x:c>
      <x:c r="J35" s="43" t="n">
        <x:v>1</x:v>
      </x:c>
      <x:c r="K35" s="43" t="n">
        <x:v>1</x:v>
      </x:c>
      <x:c r="L35" s="43" t="n">
        <x:v>1</x:v>
      </x:c>
      <x:c r="M35" s="43" t="n">
        <x:v>1</x:v>
      </x:c>
    </x:row>
    <x:row r="36" ht="18" customHeight="1">
      <x:c r="A36" s="43" t="str">
        <x:v>General</x:v>
      </x:c>
      <x:c r="B36" s="43" t="str">
        <x:v>Troop Damage</x:v>
      </x:c>
      <x:c r="C36" s="43" t="str">
        <x:v>Higher</x:v>
      </x:c>
      <x:c r="D36" s="43" t="str">
        <x:v>K197</x:v>
      </x:c>
      <x:c r="E36" s="43" t="str">
        <x:v>Хлебушек</x:v>
      </x:c>
      <x:c r="F36" s="44" t="n">
        <x:v>0.475</x:v>
      </x:c>
      <x:c r="G36" s="44" t="n">
        <x:v>0.45625000000000004</x:v>
      </x:c>
      <x:c r="H36" s="44" t="n">
        <x:v>0.445</x:v>
      </x:c>
      <x:c r="I36" s="44" t="n">
        <x:v>0.415</x:v>
      </x:c>
      <x:c r="J36" s="43" t="n">
        <x:v>1</x:v>
      </x:c>
      <x:c r="K36" s="43" t="n">
        <x:v>2</x:v>
      </x:c>
      <x:c r="L36" s="43" t="n">
        <x:v>2</x:v>
      </x:c>
      <x:c r="M36" s="43" t="n">
        <x:v>4</x:v>
      </x:c>
    </x:row>
    <x:row r="37" ht="18" customHeight="1">
      <x:c r="A37" s="43" t="str">
        <x:v>General</x:v>
      </x:c>
      <x:c r="B37" s="43" t="str">
        <x:v>Troop Damage</x:v>
      </x:c>
      <x:c r="C37" s="43" t="str">
        <x:v>Higher</x:v>
      </x:c>
      <x:c r="D37" s="43" t="str">
        <x:v>K176</x:v>
      </x:c>
      <x:c r="E37" s="43" t="str">
        <x:v>苟拓通天肆意妄为 (+4 tied)</x:v>
      </x:c>
      <x:c r="F37" s="44" t="n">
        <x:v>0.4375</x:v>
      </x:c>
      <x:c r="G37" s="44" t="n">
        <x:v>0.4375</x:v>
      </x:c>
      <x:c r="H37" s="44" t="n">
        <x:v>0.4375</x:v>
      </x:c>
      <x:c r="I37" s="44" t="n">
        <x:v>0.415</x:v>
      </x:c>
      <x:c r="J37" s="43" t="n">
        <x:v>6</x:v>
      </x:c>
      <x:c r="K37" s="43" t="n">
        <x:v>6</x:v>
      </x:c>
      <x:c r="L37" s="43" t="n">
        <x:v>5</x:v>
      </x:c>
      <x:c r="M37" s="43" t="n">
        <x:v>4</x:v>
      </x:c>
    </x:row>
    <x:row r="38" ht="18" customHeight="1">
      <x:c r="A38" s="43" t="str">
        <x:v>General</x:v>
      </x:c>
      <x:c r="B38" s="43" t="str">
        <x:v>Troop Damage Received</x:v>
      </x:c>
      <x:c r="C38" s="43" t="str">
        <x:v>Lower</x:v>
      </x:c>
      <x:c r="D38" s="43" t="str">
        <x:v>K60</x:v>
      </x:c>
      <x:c r="E38" s="43" t="str">
        <x:v>CerialKiller (+2 tied)</x:v>
      </x:c>
      <x:c r="F38" s="44" t="n">
        <x:v>-0.475</x:v>
      </x:c>
      <x:c r="G38" s="44" t="n">
        <x:v>-0.475</x:v>
      </x:c>
      <x:c r="H38" s="44" t="n">
        <x:v>-0.45999999999999996</x:v>
      </x:c>
      <x:c r="I38" s="44" t="n">
        <x:v>-0.415</x:v>
      </x:c>
      <x:c r="J38" s="43" t="n">
        <x:v>1</x:v>
      </x:c>
      <x:c r="K38" s="43" t="n">
        <x:v>1</x:v>
      </x:c>
      <x:c r="L38" s="43" t="n">
        <x:v>1</x:v>
      </x:c>
      <x:c r="M38" s="43" t="n">
        <x:v>1</x:v>
      </x:c>
    </x:row>
    <x:row r="39" ht="18" customHeight="1">
      <x:c r="A39" s="43" t="str">
        <x:v>General</x:v>
      </x:c>
      <x:c r="B39" s="43" t="str">
        <x:v>Troop Damage Received</x:v>
      </x:c>
      <x:c r="C39" s="43" t="str">
        <x:v>Lower</x:v>
      </x:c>
      <x:c r="D39" s="43" t="str">
        <x:v>K91</x:v>
      </x:c>
      <x:c r="E39" s="43" t="str">
        <x:v>•Pain• (+1 tied)</x:v>
      </x:c>
      <x:c r="F39" s="44" t="n">
        <x:v>-0.475</x:v>
      </x:c>
      <x:c r="G39" s="44" t="n">
        <x:v>-0.4675</x:v>
      </x:c>
      <x:c r="H39" s="44" t="n">
        <x:v>-0.44349999999999995</x:v>
      </x:c>
      <x:c r="I39" s="44" t="n">
        <x:v>-0.415</x:v>
      </x:c>
      <x:c r="J39" s="43" t="n">
        <x:v>1</x:v>
      </x:c>
      <x:c r="K39" s="43" t="n">
        <x:v>3</x:v>
      </x:c>
      <x:c r="L39" s="43" t="n">
        <x:v>4</x:v>
      </x:c>
      <x:c r="M39" s="43" t="n">
        <x:v>1</x:v>
      </x:c>
    </x:row>
    <x:row r="40" ht="18" customHeight="1">
      <x:c r="A40" s="43" t="str">
        <x:v>General</x:v>
      </x:c>
      <x:c r="B40" s="43" t="str">
        <x:v>Troop Damage Received</x:v>
      </x:c>
      <x:c r="C40" s="43" t="str">
        <x:v>Lower</x:v>
      </x:c>
      <x:c r="D40" s="43" t="str">
        <x:v>K116</x:v>
      </x:c>
      <x:c r="E40" s="43" t="str">
        <x:v>Jesse (+2 tied)</x:v>
      </x:c>
      <x:c r="F40" s="44" t="n">
        <x:v>-0.4375</x:v>
      </x:c>
      <x:c r="G40" s="44" t="n">
        <x:v>-0.4375</x:v>
      </x:c>
      <x:c r="H40" s="44" t="n">
        <x:v>-0.4285</x:v>
      </x:c>
      <x:c r="I40" s="44" t="n">
        <x:v>-0.415</x:v>
      </x:c>
      <x:c r="J40" s="43" t="n">
        <x:v>5</x:v>
      </x:c>
      <x:c r="K40" s="43" t="n">
        <x:v>5</x:v>
      </x:c>
      <x:c r="L40" s="43" t="n">
        <x:v>7</x:v>
      </x:c>
      <x:c r="M40" s="43" t="n">
        <x:v>1</x:v>
      </x:c>
    </x:row>
    <x:row r="41" ht="18" customHeight="1">
      <x:c r="A41" s="43" t="str">
        <x:v>General</x:v>
      </x:c>
      <x:c r="B41" s="43" t="str">
        <x:v>Troop Damage Received</x:v>
      </x:c>
      <x:c r="C41" s="43" t="str">
        <x:v>Lower</x:v>
      </x:c>
      <x:c r="D41" s="43" t="str">
        <x:v>K138</x:v>
      </x:c>
      <x:c r="E41" s="43" t="str">
        <x:v>(RaW)༺博卡Ajax༻ (+4 tied)</x:v>
      </x:c>
      <x:c r="F41" s="44" t="n">
        <x:v>-0.4375</x:v>
      </x:c>
      <x:c r="G41" s="44" t="n">
        <x:v>-0.4375</x:v>
      </x:c>
      <x:c r="H41" s="44" t="n">
        <x:v>-0.4375</x:v>
      </x:c>
      <x:c r="I41" s="44" t="n">
        <x:v>-0.415</x:v>
      </x:c>
      <x:c r="J41" s="43" t="n">
        <x:v>5</x:v>
      </x:c>
      <x:c r="K41" s="43" t="n">
        <x:v>5</x:v>
      </x:c>
      <x:c r="L41" s="43" t="n">
        <x:v>5</x:v>
      </x:c>
      <x:c r="M41" s="43" t="n">
        <x:v>1</x:v>
      </x:c>
    </x:row>
    <x:row r="42" ht="18" customHeight="1">
      <x:c r="A42" s="43" t="str">
        <x:v>General</x:v>
      </x:c>
      <x:c r="B42" s="43" t="str">
        <x:v>Troop Damage Received</x:v>
      </x:c>
      <x:c r="C42" s="43" t="str">
        <x:v>Lower</x:v>
      </x:c>
      <x:c r="D42" s="43" t="str">
        <x:v>K170</x:v>
      </x:c>
      <x:c r="E42" s="43" t="str">
        <x:v>(AOT)SanSW° (+5 tied)</x:v>
      </x:c>
      <x:c r="F42" s="44" t="n">
        <x:v>-0.4375</x:v>
      </x:c>
      <x:c r="G42" s="44" t="n">
        <x:v>-0.4375</x:v>
      </x:c>
      <x:c r="H42" s="44" t="n">
        <x:v>-0.4375</x:v>
      </x:c>
      <x:c r="I42" s="44" t="n">
        <x:v>-0.415</x:v>
      </x:c>
      <x:c r="J42" s="43" t="n">
        <x:v>5</x:v>
      </x:c>
      <x:c r="K42" s="43" t="n">
        <x:v>5</x:v>
      </x:c>
      <x:c r="L42" s="43" t="n">
        <x:v>5</x:v>
      </x:c>
      <x:c r="M42" s="43" t="n">
        <x:v>1</x:v>
      </x:c>
    </x:row>
    <x:row r="43" ht="18" customHeight="1">
      <x:c r="A43" s="43" t="str">
        <x:v>General</x:v>
      </x:c>
      <x:c r="B43" s="43" t="str">
        <x:v>Troop Damage Received</x:v>
      </x:c>
      <x:c r="C43" s="43" t="str">
        <x:v>Lower</x:v>
      </x:c>
      <x:c r="D43" s="43" t="str">
        <x:v>K54</x:v>
      </x:c>
      <x:c r="E43" s="43" t="str">
        <x:v>爽歪歪 (+2 tied)</x:v>
      </x:c>
      <x:c r="F43" s="44" t="n">
        <x:v>-0.475</x:v>
      </x:c>
      <x:c r="G43" s="44" t="n">
        <x:v>-0.475</x:v>
      </x:c>
      <x:c r="H43" s="44" t="n">
        <x:v>-0.45999999999999996</x:v>
      </x:c>
      <x:c r="I43" s="44" t="n">
        <x:v>-0.415</x:v>
      </x:c>
      <x:c r="J43" s="43" t="n">
        <x:v>1</x:v>
      </x:c>
      <x:c r="K43" s="43" t="n">
        <x:v>1</x:v>
      </x:c>
      <x:c r="L43" s="43" t="n">
        <x:v>1</x:v>
      </x:c>
      <x:c r="M43" s="43" t="n">
        <x:v>1</x:v>
      </x:c>
    </x:row>
    <x:row r="44" ht="18" customHeight="1">
      <x:c r="A44" s="43" t="str">
        <x:v>General</x:v>
      </x:c>
      <x:c r="B44" s="43" t="str">
        <x:v>Troop Damage Received</x:v>
      </x:c>
      <x:c r="C44" s="43" t="str">
        <x:v>Lower</x:v>
      </x:c>
      <x:c r="D44" s="43" t="str">
        <x:v>K197</x:v>
      </x:c>
      <x:c r="E44" s="43" t="str">
        <x:v>Хлебушек (+1 tied)</x:v>
      </x:c>
      <x:c r="F44" s="44" t="n">
        <x:v>-0.475</x:v>
      </x:c>
      <x:c r="G44" s="44" t="n">
        <x:v>-0.4675</x:v>
      </x:c>
      <x:c r="H44" s="44" t="n">
        <x:v>-0.4525</x:v>
      </x:c>
      <x:c r="I44" s="44" t="n">
        <x:v>-0.415</x:v>
      </x:c>
      <x:c r="J44" s="43" t="n">
        <x:v>1</x:v>
      </x:c>
      <x:c r="K44" s="43" t="n">
        <x:v>3</x:v>
      </x:c>
      <x:c r="L44" s="43" t="n">
        <x:v>3</x:v>
      </x:c>
      <x:c r="M44" s="43" t="n">
        <x:v>1</x:v>
      </x:c>
    </x:row>
    <x:row r="45" ht="18" customHeight="1">
      <x:c r="A45" s="43" t="str">
        <x:v>General</x:v>
      </x:c>
      <x:c r="B45" s="43" t="str">
        <x:v>Troop Damage Received</x:v>
      </x:c>
      <x:c r="C45" s="43" t="str">
        <x:v>Lower</x:v>
      </x:c>
      <x:c r="D45" s="43" t="str">
        <x:v>K176</x:v>
      </x:c>
      <x:c r="E45" s="43" t="str">
        <x:v>苟拓通天肆意妄为 (+2 tied)</x:v>
      </x:c>
      <x:c r="F45" s="44" t="n">
        <x:v>-0.4375</x:v>
      </x:c>
      <x:c r="G45" s="44" t="n">
        <x:v>-0.4375</x:v>
      </x:c>
      <x:c r="H45" s="44" t="n">
        <x:v>-0.4285</x:v>
      </x:c>
      <x:c r="I45" s="44" t="n">
        <x:v>-0.415</x:v>
      </x:c>
      <x:c r="J45" s="43" t="n">
        <x:v>5</x:v>
      </x:c>
      <x:c r="K45" s="43" t="n">
        <x:v>5</x:v>
      </x:c>
      <x:c r="L45" s="43" t="n">
        <x:v>7</x:v>
      </x:c>
      <x:c r="M45" s="43" t="n">
        <x:v>1</x:v>
      </x:c>
    </x:row>
    <x:row r="46" ht="18" customHeight="1">
      <x:c r="A46" s="43" t="str">
        <x:v>General</x:v>
      </x:c>
      <x:c r="B46" s="43" t="str">
        <x:v>Troop Attack Blessing</x:v>
      </x:c>
      <x:c r="C46" s="43" t="str">
        <x:v>Higher</x:v>
      </x:c>
      <x:c r="D46" s="43" t="str">
        <x:v>K60</x:v>
      </x:c>
      <x:c r="E46" s="43" t="str">
        <x:v>Crixus (+9 tied)</x:v>
      </x:c>
      <x:c r="F46" s="44" t="n">
        <x:v>6</x:v>
      </x:c>
      <x:c r="G46" s="44" t="n">
        <x:v>6</x:v>
      </x:c>
      <x:c r="H46" s="44" t="n">
        <x:v>6</x:v>
      </x:c>
      <x:c r="I46" s="44" t="n">
        <x:v>5.7552</x:v>
      </x:c>
      <x:c r="J46" s="43" t="n">
        <x:v>4</x:v>
      </x:c>
      <x:c r="K46" s="43" t="n">
        <x:v>4</x:v>
      </x:c>
      <x:c r="L46" s="43" t="n">
        <x:v>4</x:v>
      </x:c>
      <x:c r="M46" s="43" t="n">
        <x:v>2</x:v>
      </x:c>
    </x:row>
    <x:row r="47" ht="18" customHeight="1">
      <x:c r="A47" s="43" t="str">
        <x:v>General</x:v>
      </x:c>
      <x:c r="B47" s="43" t="str">
        <x:v>Troop Attack Blessing</x:v>
      </x:c>
      <x:c r="C47" s="43" t="str">
        <x:v>Higher</x:v>
      </x:c>
      <x:c r="D47" s="43" t="str">
        <x:v>K91</x:v>
      </x:c>
      <x:c r="E47" s="43" t="str">
        <x:v>TÜRK 81</x:v>
      </x:c>
      <x:c r="F47" s="44" t="n">
        <x:v>6.01</x:v>
      </x:c>
      <x:c r="G47" s="44" t="n">
        <x:v>6.005</x:v>
      </x:c>
      <x:c r="H47" s="44" t="n">
        <x:v>6.002</x:v>
      </x:c>
      <x:c r="I47" s="44" t="n">
        <x:v>5.1525</x:v>
      </x:c>
      <x:c r="J47" s="43" t="n">
        <x:v>1</x:v>
      </x:c>
      <x:c r="K47" s="43" t="n">
        <x:v>2</x:v>
      </x:c>
      <x:c r="L47" s="43" t="n">
        <x:v>2</x:v>
      </x:c>
      <x:c r="M47" s="43" t="n">
        <x:v>4</x:v>
      </x:c>
    </x:row>
    <x:row r="48" ht="18" customHeight="1">
      <x:c r="A48" s="43" t="str">
        <x:v>General</x:v>
      </x:c>
      <x:c r="B48" s="43" t="str">
        <x:v>Troop Attack Blessing</x:v>
      </x:c>
      <x:c r="C48" s="43" t="str">
        <x:v>Higher</x:v>
      </x:c>
      <x:c r="D48" s="43" t="str">
        <x:v>K116</x:v>
      </x:c>
      <x:c r="E48" s="43" t="str">
        <x:v>懒洋洋爱看腿</x:v>
      </x:c>
      <x:c r="F48" s="44" t="n">
        <x:v>6.01</x:v>
      </x:c>
      <x:c r="G48" s="44" t="n">
        <x:v>6.005</x:v>
      </x:c>
      <x:c r="H48" s="44" t="n">
        <x:v>6.002</x:v>
      </x:c>
      <x:c r="I48" s="44" t="n">
        <x:v>4.487</x:v>
      </x:c>
      <x:c r="J48" s="43" t="n">
        <x:v>1</x:v>
      </x:c>
      <x:c r="K48" s="43" t="n">
        <x:v>2</x:v>
      </x:c>
      <x:c r="L48" s="43" t="n">
        <x:v>2</x:v>
      </x:c>
      <x:c r="M48" s="43" t="n">
        <x:v>5</x:v>
      </x:c>
    </x:row>
    <x:row r="49" ht="18" customHeight="1">
      <x:c r="A49" s="43" t="str">
        <x:v>General</x:v>
      </x:c>
      <x:c r="B49" s="43" t="str">
        <x:v>Troop Attack Blessing</x:v>
      </x:c>
      <x:c r="C49" s="43" t="str">
        <x:v>Higher</x:v>
      </x:c>
      <x:c r="D49" s="43" t="str">
        <x:v>K138</x:v>
      </x:c>
      <x:c r="E49" s="43" t="str">
        <x:v>(RaW)༺博卡Ajax༻ (+5 tied)</x:v>
      </x:c>
      <x:c r="F49" s="44" t="n">
        <x:v>6</x:v>
      </x:c>
      <x:c r="G49" s="44" t="n">
        <x:v>6</x:v>
      </x:c>
      <x:c r="H49" s="44" t="n">
        <x:v>6</x:v>
      </x:c>
      <x:c r="I49" s="44" t="n">
        <x:v>4.4288</x:v>
      </x:c>
      <x:c r="J49" s="43" t="n">
        <x:v>4</x:v>
      </x:c>
      <x:c r="K49" s="43" t="n">
        <x:v>4</x:v>
      </x:c>
      <x:c r="L49" s="43" t="n">
        <x:v>4</x:v>
      </x:c>
      <x:c r="M49" s="43" t="n">
        <x:v>6</x:v>
      </x:c>
    </x:row>
    <x:row r="50" ht="18" customHeight="1">
      <x:c r="A50" s="43" t="str">
        <x:v>General</x:v>
      </x:c>
      <x:c r="B50" s="43" t="str">
        <x:v>Troop Attack Blessing</x:v>
      </x:c>
      <x:c r="C50" s="43" t="str">
        <x:v>Higher</x:v>
      </x:c>
      <x:c r="D50" s="43" t="str">
        <x:v>K170</x:v>
      </x:c>
      <x:c r="E50" s="43" t="str">
        <x:v>(AOT)MG·Yu</x:v>
      </x:c>
      <x:c r="F50" s="44" t="n">
        <x:v>6</x:v>
      </x:c>
      <x:c r="G50" s="44" t="n">
        <x:v>5.83592</x:v>
      </x:c>
      <x:c r="H50" s="44" t="n">
        <x:v>5.61648</x:v>
      </x:c>
      <x:c r="I50" s="44" t="n">
        <x:v>4.2332</x:v>
      </x:c>
      <x:c r="J50" s="43" t="n">
        <x:v>4</x:v>
      </x:c>
      <x:c r="K50" s="43" t="n">
        <x:v>8</x:v>
      </x:c>
      <x:c r="L50" s="43" t="n">
        <x:v>8</x:v>
      </x:c>
      <x:c r="M50" s="43" t="n">
        <x:v>8</x:v>
      </x:c>
    </x:row>
    <x:row r="51" ht="18" customHeight="1">
      <x:c r="A51" s="43" t="str">
        <x:v>General</x:v>
      </x:c>
      <x:c r="B51" s="43" t="str">
        <x:v>Troop Attack Blessing</x:v>
      </x:c>
      <x:c r="C51" s="43" t="str">
        <x:v>Higher</x:v>
      </x:c>
      <x:c r="D51" s="43" t="str">
        <x:v>K54</x:v>
      </x:c>
      <x:c r="E51" s="43" t="str">
        <x:v>爽歪歪 (+6 tied)</x:v>
      </x:c>
      <x:c r="F51" s="44" t="n">
        <x:v>6</x:v>
      </x:c>
      <x:c r="G51" s="44" t="n">
        <x:v>6</x:v>
      </x:c>
      <x:c r="H51" s="44" t="n">
        <x:v>6</x:v>
      </x:c>
      <x:c r="I51" s="44" t="n">
        <x:v>6</x:v>
      </x:c>
      <x:c r="J51" s="43" t="n">
        <x:v>4</x:v>
      </x:c>
      <x:c r="K51" s="43" t="n">
        <x:v>4</x:v>
      </x:c>
      <x:c r="L51" s="43" t="n">
        <x:v>4</x:v>
      </x:c>
      <x:c r="M51" s="43" t="n">
        <x:v>1</x:v>
      </x:c>
    </x:row>
    <x:row r="52" ht="18" customHeight="1">
      <x:c r="A52" s="43" t="str">
        <x:v>General</x:v>
      </x:c>
      <x:c r="B52" s="43" t="str">
        <x:v>Troop Attack Blessing</x:v>
      </x:c>
      <x:c r="C52" s="43" t="str">
        <x:v>Higher</x:v>
      </x:c>
      <x:c r="D52" s="43" t="str">
        <x:v>K197</x:v>
      </x:c>
      <x:c r="E52" s="43" t="str">
        <x:v>Loong (+1 tied)</x:v>
      </x:c>
      <x:c r="F52" s="44" t="n">
        <x:v>6.01</x:v>
      </x:c>
      <x:c r="G52" s="44" t="n">
        <x:v>6.008</x:v>
      </x:c>
      <x:c r="H52" s="44" t="n">
        <x:v>6.004</x:v>
      </x:c>
      <x:c r="I52" s="44" t="n">
        <x:v>5.2408</x:v>
      </x:c>
      <x:c r="J52" s="43" t="n">
        <x:v>1</x:v>
      </x:c>
      <x:c r="K52" s="43" t="n">
        <x:v>1</x:v>
      </x:c>
      <x:c r="L52" s="43" t="n">
        <x:v>1</x:v>
      </x:c>
      <x:c r="M52" s="43" t="n">
        <x:v>3</x:v>
      </x:c>
    </x:row>
    <x:row r="53" ht="18" customHeight="1">
      <x:c r="A53" s="43" t="str">
        <x:v>General</x:v>
      </x:c>
      <x:c r="B53" s="43" t="str">
        <x:v>Troop Attack Blessing</x:v>
      </x:c>
      <x:c r="C53" s="43" t="str">
        <x:v>Higher</x:v>
      </x:c>
      <x:c r="D53" s="43" t="str">
        <x:v>K176</x:v>
      </x:c>
      <x:c r="E53" s="43" t="str">
        <x:v>苟拓通天肆意妄为 (+1 tied)</x:v>
      </x:c>
      <x:c r="F53" s="44" t="n">
        <x:v>6</x:v>
      </x:c>
      <x:c r="G53" s="44" t="n">
        <x:v>5.97896</x:v>
      </x:c>
      <x:c r="H53" s="44" t="n">
        <x:v>5.7612</x:v>
      </x:c>
      <x:c r="I53" s="44" t="n">
        <x:v>4.391</x:v>
      </x:c>
      <x:c r="J53" s="43" t="n">
        <x:v>4</x:v>
      </x:c>
      <x:c r="K53" s="43" t="n">
        <x:v>7</x:v>
      </x:c>
      <x:c r="L53" s="43" t="n">
        <x:v>7</x:v>
      </x:c>
      <x:c r="M53" s="43" t="n">
        <x:v>7</x:v>
      </x:c>
    </x:row>
    <x:row r="54" ht="18" customHeight="1">
      <x:c r="A54" s="43" t="str">
        <x:v>General</x:v>
      </x:c>
      <x:c r="B54" s="43" t="str">
        <x:v>Troop Protection Blessing</x:v>
      </x:c>
      <x:c r="C54" s="43" t="str">
        <x:v>Higher</x:v>
      </x:c>
      <x:c r="D54" s="43" t="str">
        <x:v>K60</x:v>
      </x:c>
      <x:c r="E54" s="43" t="str">
        <x:v>CerialKiller (+1 tied)</x:v>
      </x:c>
      <x:c r="F54" s="44" t="n">
        <x:v>6</x:v>
      </x:c>
      <x:c r="G54" s="44" t="n">
        <x:v>5.8848</x:v>
      </x:c>
      <x:c r="H54" s="44" t="n">
        <x:v>5.20904</x:v>
      </x:c>
      <x:c r="I54" s="44" t="n">
        <x:v>2.8352</x:v>
      </x:c>
      <x:c r="J54" s="43" t="n">
        <x:v>3</x:v>
      </x:c>
      <x:c r="K54" s="43" t="n">
        <x:v>3</x:v>
      </x:c>
      <x:c r="L54" s="43" t="n">
        <x:v>4</x:v>
      </x:c>
      <x:c r="M54" s="43" t="n">
        <x:v>5</x:v>
      </x:c>
    </x:row>
    <x:row r="55" ht="18" customHeight="1">
      <x:c r="A55" s="43" t="str">
        <x:v>General</x:v>
      </x:c>
      <x:c r="B55" s="43" t="str">
        <x:v>Troop Protection Blessing</x:v>
      </x:c>
      <x:c r="C55" s="43" t="str">
        <x:v>Higher</x:v>
      </x:c>
      <x:c r="D55" s="43" t="str">
        <x:v>K91</x:v>
      </x:c>
      <x:c r="E55" s="43" t="str">
        <x:v>•Pain•</x:v>
      </x:c>
      <x:c r="F55" s="44" t="n">
        <x:v>6</x:v>
      </x:c>
      <x:c r="G55" s="44" t="n">
        <x:v>4.79892</x:v>
      </x:c>
      <x:c r="H55" s="44" t="n">
        <x:v>3.44544</x:v>
      </x:c>
      <x:c r="I55" s="44" t="n">
        <x:v>1.3284</x:v>
      </x:c>
      <x:c r="J55" s="43" t="n">
        <x:v>3</x:v>
      </x:c>
      <x:c r="K55" s="43" t="n">
        <x:v>7</x:v>
      </x:c>
      <x:c r="L55" s="43" t="n">
        <x:v>8</x:v>
      </x:c>
      <x:c r="M55" s="43" t="n">
        <x:v>7</x:v>
      </x:c>
    </x:row>
    <x:row r="56" ht="18" customHeight="1">
      <x:c r="A56" s="43" t="str">
        <x:v>General</x:v>
      </x:c>
      <x:c r="B56" s="43" t="str">
        <x:v>Troop Protection Blessing</x:v>
      </x:c>
      <x:c r="C56" s="43" t="str">
        <x:v>Higher</x:v>
      </x:c>
      <x:c r="D56" s="43" t="str">
        <x:v>K116</x:v>
      </x:c>
      <x:c r="E56" s="43" t="str">
        <x:v>Jesse (+1 tied)</x:v>
      </x:c>
      <x:c r="F56" s="44" t="n">
        <x:v>6.01</x:v>
      </x:c>
      <x:c r="G56" s="44" t="n">
        <x:v>6.008</x:v>
      </x:c>
      <x:c r="H56" s="44" t="n">
        <x:v>5.5594399999999995</x:v>
      </x:c>
      <x:c r="I56" s="44" t="n">
        <x:v>3.0418000000000003</x:v>
      </x:c>
      <x:c r="J56" s="43" t="n">
        <x:v>1</x:v>
      </x:c>
      <x:c r="K56" s="43" t="n">
        <x:v>1</x:v>
      </x:c>
      <x:c r="L56" s="43" t="n">
        <x:v>2</x:v>
      </x:c>
      <x:c r="M56" s="43" t="n">
        <x:v>4</x:v>
      </x:c>
    </x:row>
    <x:row r="57" ht="18" customHeight="1">
      <x:c r="A57" s="43" t="str">
        <x:v>General</x:v>
      </x:c>
      <x:c r="B57" s="43" t="str">
        <x:v>Troop Protection Blessing</x:v>
      </x:c>
      <x:c r="C57" s="43" t="str">
        <x:v>Higher</x:v>
      </x:c>
      <x:c r="D57" s="43" t="str">
        <x:v>K138</x:v>
      </x:c>
      <x:c r="E57" s="43" t="str">
        <x:v>(RaW)ϟCrozyϟ</x:v>
      </x:c>
      <x:c r="F57" s="44" t="n">
        <x:v>6</x:v>
      </x:c>
      <x:c r="G57" s="44" t="n">
        <x:v>5.4107199999999995</x:v>
      </x:c>
      <x:c r="H57" s="44" t="n">
        <x:v>4.814559999999999</x:v>
      </x:c>
      <x:c r="I57" s="44" t="n">
        <x:v>2.7136</x:v>
      </x:c>
      <x:c r="J57" s="43" t="n">
        <x:v>3</x:v>
      </x:c>
      <x:c r="K57" s="43" t="n">
        <x:v>6</x:v>
      </x:c>
      <x:c r="L57" s="43" t="n">
        <x:v>6</x:v>
      </x:c>
      <x:c r="M57" s="43" t="n">
        <x:v>6</x:v>
      </x:c>
    </x:row>
    <x:row r="58" ht="18" customHeight="1">
      <x:c r="A58" s="43" t="str">
        <x:v>General</x:v>
      </x:c>
      <x:c r="B58" s="43" t="str">
        <x:v>Troop Protection Blessing</x:v>
      </x:c>
      <x:c r="C58" s="43" t="str">
        <x:v>Higher</x:v>
      </x:c>
      <x:c r="D58" s="43" t="str">
        <x:v>K170</x:v>
      </x:c>
      <x:c r="E58" s="43" t="str">
        <x:v>(AOT)SanSW° (+1 tied)</x:v>
      </x:c>
      <x:c r="F58" s="44" t="n">
        <x:v>6</x:v>
      </x:c>
      <x:c r="G58" s="44" t="n">
        <x:v>5.8738399999999995</x:v>
      </x:c>
      <x:c r="H58" s="44" t="n">
        <x:v>5.1855199999999995</x:v>
      </x:c>
      <x:c r="I58" s="44" t="n">
        <x:v>3.0612</x:v>
      </x:c>
      <x:c r="J58" s="43" t="n">
        <x:v>3</x:v>
      </x:c>
      <x:c r="K58" s="43" t="n">
        <x:v>5</x:v>
      </x:c>
      <x:c r="L58" s="43" t="n">
        <x:v>5</x:v>
      </x:c>
      <x:c r="M58" s="43" t="n">
        <x:v>3</x:v>
      </x:c>
    </x:row>
    <x:row r="59" ht="18" customHeight="1">
      <x:c r="A59" s="43" t="str">
        <x:v>General</x:v>
      </x:c>
      <x:c r="B59" s="43" t="str">
        <x:v>Troop Protection Blessing</x:v>
      </x:c>
      <x:c r="C59" s="43" t="str">
        <x:v>Higher</x:v>
      </x:c>
      <x:c r="D59" s="43" t="str">
        <x:v>K54</x:v>
      </x:c>
      <x:c r="E59" s="43" t="str">
        <x:v>爽歪歪 (+3 tied)</x:v>
      </x:c>
      <x:c r="F59" s="44" t="n">
        <x:v>6</x:v>
      </x:c>
      <x:c r="G59" s="44" t="n">
        <x:v>6</x:v>
      </x:c>
      <x:c r="H59" s="44" t="n">
        <x:v>5.7854399999999995</x:v>
      </x:c>
      <x:c r="I59" s="44" t="n">
        <x:v>4.376</x:v>
      </x:c>
      <x:c r="J59" s="43" t="n">
        <x:v>3</x:v>
      </x:c>
      <x:c r="K59" s="43" t="n">
        <x:v>2</x:v>
      </x:c>
      <x:c r="L59" s="43" t="n">
        <x:v>1</x:v>
      </x:c>
      <x:c r="M59" s="43" t="n">
        <x:v>1</x:v>
      </x:c>
    </x:row>
    <x:row r="60" ht="18" customHeight="1">
      <x:c r="A60" s="43" t="str">
        <x:v>General</x:v>
      </x:c>
      <x:c r="B60" s="43" t="str">
        <x:v>Troop Protection Blessing</x:v>
      </x:c>
      <x:c r="C60" s="43" t="str">
        <x:v>Higher</x:v>
      </x:c>
      <x:c r="D60" s="43" t="str">
        <x:v>K197</x:v>
      </x:c>
      <x:c r="E60" s="43" t="str">
        <x:v>Хлебушек</x:v>
      </x:c>
      <x:c r="F60" s="44" t="n">
        <x:v>6</x:v>
      </x:c>
      <x:c r="G60" s="44" t="n">
        <x:v>4.7171199999999995</x:v>
      </x:c>
      <x:c r="H60" s="44" t="n">
        <x:v>3.4716800000000005</x:v>
      </x:c>
      <x:c r="I60" s="44" t="n">
        <x:v>1.2795999999999998</x:v>
      </x:c>
      <x:c r="J60" s="43" t="n">
        <x:v>3</x:v>
      </x:c>
      <x:c r="K60" s="43" t="n">
        <x:v>8</x:v>
      </x:c>
      <x:c r="L60" s="43" t="n">
        <x:v>7</x:v>
      </x:c>
      <x:c r="M60" s="43" t="n">
        <x:v>8</x:v>
      </x:c>
    </x:row>
    <x:row r="61" ht="18" customHeight="1">
      <x:c r="A61" s="43" t="str">
        <x:v>General</x:v>
      </x:c>
      <x:c r="B61" s="43" t="str">
        <x:v>Troop Protection Blessing</x:v>
      </x:c>
      <x:c r="C61" s="43" t="str">
        <x:v>Higher</x:v>
      </x:c>
      <x:c r="D61" s="43" t="str">
        <x:v>K176</x:v>
      </x:c>
      <x:c r="E61" s="43" t="str">
        <x:v>三月的心思你别猜</x:v>
      </x:c>
      <x:c r="F61" s="44" t="n">
        <x:v>6.01</x:v>
      </x:c>
      <x:c r="G61" s="44" t="n">
        <x:v>5.88364</x:v>
      </x:c>
      <x:c r="H61" s="44" t="n">
        <x:v>5.3720799999999995</x:v>
      </x:c>
      <x:c r="I61" s="44" t="n">
        <x:v>3.2594000000000003</x:v>
      </x:c>
      <x:c r="J61" s="43" t="n">
        <x:v>1</x:v>
      </x:c>
      <x:c r="K61" s="43" t="n">
        <x:v>4</x:v>
      </x:c>
      <x:c r="L61" s="43" t="n">
        <x:v>3</x:v>
      </x:c>
      <x:c r="M61" s="43" t="n">
        <x:v>2</x:v>
      </x:c>
    </x:row>
    <x:row r="62" ht="18" customHeight="1">
      <x:c r="A62" s="43" t="str">
        <x:v>Guards / Infantry</x:v>
      </x:c>
      <x:c r="B62" s="43" t="str">
        <x:v>Infantry Attack</x:v>
      </x:c>
      <x:c r="C62" s="43" t="str">
        <x:v>Higher</x:v>
      </x:c>
      <x:c r="D62" s="43" t="str">
        <x:v>K60</x:v>
      </x:c>
      <x:c r="E62" s="43" t="str">
        <x:v>CerialKiller</x:v>
      </x:c>
      <x:c r="F62" s="44" t="n">
        <x:v>20.347</x:v>
      </x:c>
      <x:c r="G62" s="44" t="n">
        <x:v>19.394000000000002</x:v>
      </x:c>
      <x:c r="H62" s="44" t="n">
        <x:v>17.6184</x:v>
      </x:c>
      <x:c r="I62" s="44" t="n">
        <x:v>11.51</x:v>
      </x:c>
      <x:c r="J62" s="43" t="n">
        <x:v>5</x:v>
      </x:c>
      <x:c r="K62" s="43" t="n">
        <x:v>5</x:v>
      </x:c>
      <x:c r="L62" s="43" t="n">
        <x:v>3</x:v>
      </x:c>
      <x:c r="M62" s="43" t="n">
        <x:v>4</x:v>
      </x:c>
    </x:row>
    <x:row r="63" ht="18" customHeight="1">
      <x:c r="A63" s="43" t="str">
        <x:v>Guards / Infantry</x:v>
      </x:c>
      <x:c r="B63" s="43" t="str">
        <x:v>Infantry Attack</x:v>
      </x:c>
      <x:c r="C63" s="43" t="str">
        <x:v>Higher</x:v>
      </x:c>
      <x:c r="D63" s="43" t="str">
        <x:v>K91</x:v>
      </x:c>
      <x:c r="E63" s="43" t="str">
        <x:v>•Pain•</x:v>
      </x:c>
      <x:c r="F63" s="44" t="n">
        <x:v>17.132</x:v>
      </x:c>
      <x:c r="G63" s="44" t="n">
        <x:v>16.3615</x:v>
      </x:c>
      <x:c r="H63" s="44" t="n">
        <x:v>14.465399999999999</x:v>
      </x:c>
      <x:c r="I63" s="44" t="n">
        <x:v>8.8695</x:v>
      </x:c>
      <x:c r="J63" s="43" t="n">
        <x:v>6</x:v>
      </x:c>
      <x:c r="K63" s="43" t="n">
        <x:v>6</x:v>
      </x:c>
      <x:c r="L63" s="43" t="n">
        <x:v>7</x:v>
      </x:c>
      <x:c r="M63" s="43" t="n">
        <x:v>7</x:v>
      </x:c>
    </x:row>
    <x:row r="64" ht="18" customHeight="1">
      <x:c r="A64" s="43" t="str">
        <x:v>Guards / Infantry</x:v>
      </x:c>
      <x:c r="B64" s="43" t="str">
        <x:v>Infantry Attack</x:v>
      </x:c>
      <x:c r="C64" s="43" t="str">
        <x:v>Higher</x:v>
      </x:c>
      <x:c r="D64" s="43" t="str">
        <x:v>K116</x:v>
      </x:c>
      <x:c r="E64" s="43" t="str">
        <x:v>汰需尚青</x:v>
      </x:c>
      <x:c r="F64" s="44" t="n">
        <x:v>21.267</x:v>
      </x:c>
      <x:c r="G64" s="44" t="n">
        <x:v>19.964</x:v>
      </x:c>
      <x:c r="H64" s="44" t="n">
        <x:v>18.152</x:v>
      </x:c>
      <x:c r="I64" s="44" t="n">
        <x:v>12.563500000000001</x:v>
      </x:c>
      <x:c r="J64" s="43" t="n">
        <x:v>4</x:v>
      </x:c>
      <x:c r="K64" s="43" t="n">
        <x:v>3</x:v>
      </x:c>
      <x:c r="L64" s="43" t="n">
        <x:v>1</x:v>
      </x:c>
      <x:c r="M64" s="43" t="n">
        <x:v>1</x:v>
      </x:c>
    </x:row>
    <x:row r="65" ht="18" customHeight="1">
      <x:c r="A65" s="43" t="str">
        <x:v>Guards / Infantry</x:v>
      </x:c>
      <x:c r="B65" s="43" t="str">
        <x:v>Infantry Attack</x:v>
      </x:c>
      <x:c r="C65" s="43" t="str">
        <x:v>Higher</x:v>
      </x:c>
      <x:c r="D65" s="43" t="str">
        <x:v>K138</x:v>
      </x:c>
      <x:c r="E65" s="43" t="str">
        <x:v>(RaW)༺Frankie༻</x:v>
      </x:c>
      <x:c r="F65" s="44" t="n">
        <x:v>16.65</x:v>
      </x:c>
      <x:c r="G65" s="44" t="n">
        <x:v>16.191</x:v>
      </x:c>
      <x:c r="H65" s="44" t="n">
        <x:v>14.898000000000001</x:v>
      </x:c>
      <x:c r="I65" s="44" t="n">
        <x:v>10.695</x:v>
      </x:c>
      <x:c r="J65" s="43" t="n">
        <x:v>8</x:v>
      </x:c>
      <x:c r="K65" s="43" t="n">
        <x:v>7</x:v>
      </x:c>
      <x:c r="L65" s="43" t="n">
        <x:v>6</x:v>
      </x:c>
      <x:c r="M65" s="43" t="n">
        <x:v>5</x:v>
      </x:c>
    </x:row>
    <x:row r="66" ht="18" customHeight="1">
      <x:c r="A66" s="43" t="str">
        <x:v>Guards / Infantry</x:v>
      </x:c>
      <x:c r="B66" s="43" t="str">
        <x:v>Infantry Attack</x:v>
      </x:c>
      <x:c r="C66" s="43" t="str">
        <x:v>Higher</x:v>
      </x:c>
      <x:c r="D66" s="43" t="str">
        <x:v>K170</x:v>
      </x:c>
      <x:c r="E66" s="43" t="str">
        <x:v>(AOT)VAB999</x:v>
      </x:c>
      <x:c r="F66" s="44" t="n">
        <x:v>16.827</x:v>
      </x:c>
      <x:c r="G66" s="44" t="n">
        <x:v>15.674100000000001</x:v>
      </x:c>
      <x:c r="H66" s="44" t="n">
        <x:v>14.2132</x:v>
      </x:c>
      <x:c r="I66" s="44" t="n">
        <x:v>8.692</x:v>
      </x:c>
      <x:c r="J66" s="43" t="n">
        <x:v>7</x:v>
      </x:c>
      <x:c r="K66" s="43" t="n">
        <x:v>8</x:v>
      </x:c>
      <x:c r="L66" s="43" t="n">
        <x:v>8</x:v>
      </x:c>
      <x:c r="M66" s="43" t="n">
        <x:v>8</x:v>
      </x:c>
    </x:row>
    <x:row r="67" ht="18" customHeight="1">
      <x:c r="A67" s="43" t="str">
        <x:v>Guards / Infantry</x:v>
      </x:c>
      <x:c r="B67" s="43" t="str">
        <x:v>Infantry Attack</x:v>
      </x:c>
      <x:c r="C67" s="43" t="str">
        <x:v>Higher</x:v>
      </x:c>
      <x:c r="D67" s="43" t="str">
        <x:v>K54</x:v>
      </x:c>
      <x:c r="E67" s="43" t="str">
        <x:v>爽歪歪</x:v>
      </x:c>
      <x:c r="F67" s="44" t="n">
        <x:v>26.206999999999997</x:v>
      </x:c>
      <x:c r="G67" s="44" t="n">
        <x:v>22.4229</x:v>
      </x:c>
      <x:c r="H67" s="44" t="n">
        <x:v>17.558600000000002</x:v>
      </x:c>
      <x:c r="I67" s="44" t="n">
        <x:v>12.187000000000001</x:v>
      </x:c>
      <x:c r="J67" s="43" t="n">
        <x:v>1</x:v>
      </x:c>
      <x:c r="K67" s="43" t="n">
        <x:v>1</x:v>
      </x:c>
      <x:c r="L67" s="43" t="n">
        <x:v>4</x:v>
      </x:c>
      <x:c r="M67" s="43" t="n">
        <x:v>2</x:v>
      </x:c>
    </x:row>
    <x:row r="68" ht="18" customHeight="1">
      <x:c r="A68" s="43" t="str">
        <x:v>Guards / Infantry</x:v>
      </x:c>
      <x:c r="B68" s="43" t="str">
        <x:v>Infantry Attack</x:v>
      </x:c>
      <x:c r="C68" s="43" t="str">
        <x:v>Higher</x:v>
      </x:c>
      <x:c r="D68" s="43" t="str">
        <x:v>K197</x:v>
      </x:c>
      <x:c r="E68" s="43" t="str">
        <x:v>Хлебушек</x:v>
      </x:c>
      <x:c r="F68" s="44" t="n">
        <x:v>24.622</x:v>
      </x:c>
      <x:c r="G68" s="44" t="n">
        <x:v>20.9969</x:v>
      </x:c>
      <x:c r="H68" s="44" t="n">
        <x:v>18.0038</x:v>
      </x:c>
      <x:c r="I68" s="44" t="n">
        <x:v>9.165</x:v>
      </x:c>
      <x:c r="J68" s="43" t="n">
        <x:v>2</x:v>
      </x:c>
      <x:c r="K68" s="43" t="n">
        <x:v>2</x:v>
      </x:c>
      <x:c r="L68" s="43" t="n">
        <x:v>2</x:v>
      </x:c>
      <x:c r="M68" s="43" t="n">
        <x:v>6</x:v>
      </x:c>
    </x:row>
    <x:row r="69" ht="18" customHeight="1">
      <x:c r="A69" s="43" t="str">
        <x:v>Guards / Infantry</x:v>
      </x:c>
      <x:c r="B69" s="43" t="str">
        <x:v>Infantry Attack</x:v>
      </x:c>
      <x:c r="C69" s="43" t="str">
        <x:v>Higher</x:v>
      </x:c>
      <x:c r="D69" s="43" t="str">
        <x:v>K176</x:v>
      </x:c>
      <x:c r="E69" s="43" t="str">
        <x:v>苟拓通天肆意妄为</x:v>
      </x:c>
      <x:c r="F69" s="44" t="n">
        <x:v>22.701999999999998</x:v>
      </x:c>
      <x:c r="G69" s="44" t="n">
        <x:v>19.4345</x:v>
      </x:c>
      <x:c r="H69" s="44" t="n">
        <x:v>16.415799999999997</x:v>
      </x:c>
      <x:c r="I69" s="44" t="n">
        <x:v>11.7375</x:v>
      </x:c>
      <x:c r="J69" s="43" t="n">
        <x:v>3</x:v>
      </x:c>
      <x:c r="K69" s="43" t="n">
        <x:v>4</x:v>
      </x:c>
      <x:c r="L69" s="43" t="n">
        <x:v>5</x:v>
      </x:c>
      <x:c r="M69" s="43" t="n">
        <x:v>3</x:v>
      </x:c>
    </x:row>
    <x:row r="70" ht="18" customHeight="1">
      <x:c r="A70" s="43" t="str">
        <x:v>Guards / Infantry</x:v>
      </x:c>
      <x:c r="B70" s="43" t="str">
        <x:v>Infantry Health</x:v>
      </x:c>
      <x:c r="C70" s="43" t="str">
        <x:v>Higher</x:v>
      </x:c>
      <x:c r="D70" s="43" t="str">
        <x:v>K60</x:v>
      </x:c>
      <x:c r="E70" s="43" t="str">
        <x:v>CerialKiller</x:v>
      </x:c>
      <x:c r="F70" s="44" t="n">
        <x:v>26.6192</x:v>
      </x:c>
      <x:c r="G70" s="44" t="n">
        <x:v>23.987199999999998</x:v>
      </x:c>
      <x:c r="H70" s="44" t="n">
        <x:v>21.060360000000003</x:v>
      </x:c>
      <x:c r="I70" s="44" t="n">
        <x:v>14.935</x:v>
      </x:c>
      <x:c r="J70" s="43" t="n">
        <x:v>4</x:v>
      </x:c>
      <x:c r="K70" s="43" t="n">
        <x:v>7</x:v>
      </x:c>
      <x:c r="L70" s="43" t="n">
        <x:v>5</x:v>
      </x:c>
      <x:c r="M70" s="43" t="n">
        <x:v>6</x:v>
      </x:c>
    </x:row>
    <x:row r="71" ht="18" customHeight="1">
      <x:c r="A71" s="43" t="str">
        <x:v>Guards / Infantry</x:v>
      </x:c>
      <x:c r="B71" s="43" t="str">
        <x:v>Infantry Health</x:v>
      </x:c>
      <x:c r="C71" s="43" t="str">
        <x:v>Higher</x:v>
      </x:c>
      <x:c r="D71" s="43" t="str">
        <x:v>K91</x:v>
      </x:c>
      <x:c r="E71" s="43" t="str">
        <x:v>•Pain•</x:v>
      </x:c>
      <x:c r="F71" s="44" t="n">
        <x:v>26.45</x:v>
      </x:c>
      <x:c r="G71" s="44" t="n">
        <x:v>24.0446</x:v>
      </x:c>
      <x:c r="H71" s="44" t="n">
        <x:v>21.5856</x:v>
      </x:c>
      <x:c r="I71" s="44" t="n">
        <x:v>16.28765</x:v>
      </x:c>
      <x:c r="J71" s="43" t="n">
        <x:v>6</x:v>
      </x:c>
      <x:c r="K71" s="43" t="n">
        <x:v>6</x:v>
      </x:c>
      <x:c r="L71" s="43" t="n">
        <x:v>4</x:v>
      </x:c>
      <x:c r="M71" s="43" t="n">
        <x:v>4</x:v>
      </x:c>
    </x:row>
    <x:row r="72" ht="18" customHeight="1">
      <x:c r="A72" s="43" t="str">
        <x:v>Guards / Infantry</x:v>
      </x:c>
      <x:c r="B72" s="43" t="str">
        <x:v>Infantry Health</x:v>
      </x:c>
      <x:c r="C72" s="43" t="str">
        <x:v>Higher</x:v>
      </x:c>
      <x:c r="D72" s="43" t="str">
        <x:v>K116</x:v>
      </x:c>
      <x:c r="E72" s="43" t="str">
        <x:v>Jesse</x:v>
      </x:c>
      <x:c r="F72" s="44" t="n">
        <x:v>26.39</x:v>
      </x:c>
      <x:c r="G72" s="44" t="n">
        <x:v>24.70684</x:v>
      </x:c>
      <x:c r="H72" s="44" t="n">
        <x:v>22.78908</x:v>
      </x:c>
      <x:c r="I72" s="44" t="n">
        <x:v>17.7992</x:v>
      </x:c>
      <x:c r="J72" s="43" t="n">
        <x:v>7</x:v>
      </x:c>
      <x:c r="K72" s="43" t="n">
        <x:v>4</x:v>
      </x:c>
      <x:c r="L72" s="43" t="n">
        <x:v>1</x:v>
      </x:c>
      <x:c r="M72" s="43" t="n">
        <x:v>2</x:v>
      </x:c>
    </x:row>
    <x:row r="73" ht="18" customHeight="1">
      <x:c r="A73" s="43" t="str">
        <x:v>Guards / Infantry</x:v>
      </x:c>
      <x:c r="B73" s="43" t="str">
        <x:v>Infantry Health</x:v>
      </x:c>
      <x:c r="C73" s="43" t="str">
        <x:v>Higher</x:v>
      </x:c>
      <x:c r="D73" s="43" t="str">
        <x:v>K138</x:v>
      </x:c>
      <x:c r="E73" s="43" t="str">
        <x:v>(RaW)ϟCrozyϟ</x:v>
      </x:c>
      <x:c r="F73" s="44" t="n">
        <x:v>25.6092</x:v>
      </x:c>
      <x:c r="G73" s="44" t="n">
        <x:v>23.05744</x:v>
      </x:c>
      <x:c r="H73" s="44" t="n">
        <x:v>20.30866</x:v>
      </x:c>
      <x:c r="I73" s="44" t="n">
        <x:v>15.81</x:v>
      </x:c>
      <x:c r="J73" s="43" t="n">
        <x:v>8</x:v>
      </x:c>
      <x:c r="K73" s="43" t="n">
        <x:v>8</x:v>
      </x:c>
      <x:c r="L73" s="43" t="n">
        <x:v>8</x:v>
      </x:c>
      <x:c r="M73" s="43" t="n">
        <x:v>5</x:v>
      </x:c>
    </x:row>
    <x:row r="74" ht="18" customHeight="1">
      <x:c r="A74" s="43" t="str">
        <x:v>Guards / Infantry</x:v>
      </x:c>
      <x:c r="B74" s="43" t="str">
        <x:v>Infantry Health</x:v>
      </x:c>
      <x:c r="C74" s="43" t="str">
        <x:v>Higher</x:v>
      </x:c>
      <x:c r="D74" s="43" t="str">
        <x:v>K170</x:v>
      </x:c>
      <x:c r="E74" s="43" t="str">
        <x:v>(AOT)SanSW°</x:v>
      </x:c>
      <x:c r="F74" s="44" t="n">
        <x:v>28.4105</x:v>
      </x:c>
      <x:c r="G74" s="44" t="n">
        <x:v>24.60898</x:v>
      </x:c>
      <x:c r="H74" s="44" t="n">
        <x:v>20.844600000000003</x:v>
      </x:c>
      <x:c r="I74" s="44" t="n">
        <x:v>13.112</x:v>
      </x:c>
      <x:c r="J74" s="43" t="n">
        <x:v>3</x:v>
      </x:c>
      <x:c r="K74" s="43" t="n">
        <x:v>5</x:v>
      </x:c>
      <x:c r="L74" s="43" t="n">
        <x:v>7</x:v>
      </x:c>
      <x:c r="M74" s="43" t="n">
        <x:v>8</x:v>
      </x:c>
    </x:row>
    <x:row r="75" ht="18" customHeight="1">
      <x:c r="A75" s="43" t="str">
        <x:v>Guards / Infantry</x:v>
      </x:c>
      <x:c r="B75" s="43" t="str">
        <x:v>Infantry Health</x:v>
      </x:c>
      <x:c r="C75" s="43" t="str">
        <x:v>Higher</x:v>
      </x:c>
      <x:c r="D75" s="43" t="str">
        <x:v>K54</x:v>
      </x:c>
      <x:c r="E75" s="43" t="str">
        <x:v>爽歪歪</x:v>
      </x:c>
      <x:c r="F75" s="44" t="n">
        <x:v>29.84</x:v>
      </x:c>
      <x:c r="G75" s="44" t="n">
        <x:v>26.85824</x:v>
      </x:c>
      <x:c r="H75" s="44" t="n">
        <x:v>20.958779999999997</x:v>
      </x:c>
      <x:c r="I75" s="44" t="n">
        <x:v>14.1099</x:v>
      </x:c>
      <x:c r="J75" s="43" t="n">
        <x:v>1</x:v>
      </x:c>
      <x:c r="K75" s="43" t="n">
        <x:v>1</x:v>
      </x:c>
      <x:c r="L75" s="43" t="n">
        <x:v>6</x:v>
      </x:c>
      <x:c r="M75" s="43" t="n">
        <x:v>7</x:v>
      </x:c>
    </x:row>
    <x:row r="76" ht="18" customHeight="1">
      <x:c r="A76" s="43" t="str">
        <x:v>Guards / Infantry</x:v>
      </x:c>
      <x:c r="B76" s="43" t="str">
        <x:v>Infantry Health</x:v>
      </x:c>
      <x:c r="C76" s="43" t="str">
        <x:v>Higher</x:v>
      </x:c>
      <x:c r="D76" s="43" t="str">
        <x:v>K197</x:v>
      </x:c>
      <x:c r="E76" s="43" t="str">
        <x:v>Хлебушек</x:v>
      </x:c>
      <x:c r="F76" s="44" t="n">
        <x:v>29.695</x:v>
      </x:c>
      <x:c r="G76" s="44" t="n">
        <x:v>25.8331</x:v>
      </x:c>
      <x:c r="H76" s="44" t="n">
        <x:v>22.42236</x:v>
      </x:c>
      <x:c r="I76" s="44" t="n">
        <x:v>17.3854</x:v>
      </x:c>
      <x:c r="J76" s="43" t="n">
        <x:v>2</x:v>
      </x:c>
      <x:c r="K76" s="43" t="n">
        <x:v>2</x:v>
      </x:c>
      <x:c r="L76" s="43" t="n">
        <x:v>3</x:v>
      </x:c>
      <x:c r="M76" s="43" t="n">
        <x:v>3</x:v>
      </x:c>
    </x:row>
    <x:row r="77" ht="18" customHeight="1">
      <x:c r="A77" s="43" t="str">
        <x:v>Guards / Infantry</x:v>
      </x:c>
      <x:c r="B77" s="43" t="str">
        <x:v>Infantry Health</x:v>
      </x:c>
      <x:c r="C77" s="43" t="str">
        <x:v>Higher</x:v>
      </x:c>
      <x:c r="D77" s="43" t="str">
        <x:v>K176</x:v>
      </x:c>
      <x:c r="E77" s="43" t="str">
        <x:v>苟拓通天肆意妄为</x:v>
      </x:c>
      <x:c r="F77" s="44" t="n">
        <x:v>26.561300000000003</x:v>
      </x:c>
      <x:c r="G77" s="44" t="n">
        <x:v>24.71725</x:v>
      </x:c>
      <x:c r="H77" s="44" t="n">
        <x:v>22.66362</x:v>
      </x:c>
      <x:c r="I77" s="44" t="n">
        <x:v>18.271700000000003</x:v>
      </x:c>
      <x:c r="J77" s="43" t="n">
        <x:v>5</x:v>
      </x:c>
      <x:c r="K77" s="43" t="n">
        <x:v>3</x:v>
      </x:c>
      <x:c r="L77" s="43" t="n">
        <x:v>2</x:v>
      </x:c>
      <x:c r="M77" s="43" t="n">
        <x:v>1</x:v>
      </x:c>
    </x:row>
    <x:row r="78" ht="18" customHeight="1">
      <x:c r="A78" s="43" t="str">
        <x:v>Guards / Infantry</x:v>
      </x:c>
      <x:c r="B78" s="43" t="str">
        <x:v>Infantry Defense</x:v>
      </x:c>
      <x:c r="C78" s="43" t="str">
        <x:v>Higher</x:v>
      </x:c>
      <x:c r="D78" s="43" t="str">
        <x:v>K60</x:v>
      </x:c>
      <x:c r="E78" s="43" t="str">
        <x:v>CerialKiller</x:v>
      </x:c>
      <x:c r="F78" s="44" t="n">
        <x:v>19.582</x:v>
      </x:c>
      <x:c r="G78" s="44" t="n">
        <x:v>17.111</x:v>
      </x:c>
      <x:c r="H78" s="44" t="n">
        <x:v>14.53674</x:v>
      </x:c>
      <x:c r="I78" s="44" t="n">
        <x:v>9.8849</x:v>
      </x:c>
      <x:c r="J78" s="43" t="n">
        <x:v>6</x:v>
      </x:c>
      <x:c r="K78" s="43" t="n">
        <x:v>7</x:v>
      </x:c>
      <x:c r="L78" s="43" t="n">
        <x:v>8</x:v>
      </x:c>
      <x:c r="M78" s="43" t="n">
        <x:v>8</x:v>
      </x:c>
    </x:row>
    <x:row r="79" ht="18" customHeight="1">
      <x:c r="A79" s="43" t="str">
        <x:v>Guards / Infantry</x:v>
      </x:c>
      <x:c r="B79" s="43" t="str">
        <x:v>Infantry Defense</x:v>
      </x:c>
      <x:c r="C79" s="43" t="str">
        <x:v>Higher</x:v>
      </x:c>
      <x:c r="D79" s="43" t="str">
        <x:v>K91</x:v>
      </x:c>
      <x:c r="E79" s="43" t="str">
        <x:v>•Pain•</x:v>
      </x:c>
      <x:c r="F79" s="44" t="n">
        <x:v>22.726999999999997</x:v>
      </x:c>
      <x:c r="G79" s="44" t="n">
        <x:v>18.658849999999997</x:v>
      </x:c>
      <x:c r="H79" s="44" t="n">
        <x:v>15.48996</x:v>
      </x:c>
      <x:c r="I79" s="44" t="n">
        <x:v>11.33745</x:v>
      </x:c>
      <x:c r="J79" s="43" t="n">
        <x:v>3</x:v>
      </x:c>
      <x:c r="K79" s="43" t="n">
        <x:v>4</x:v>
      </x:c>
      <x:c r="L79" s="43" t="n">
        <x:v>7</x:v>
      </x:c>
      <x:c r="M79" s="43" t="n">
        <x:v>6</x:v>
      </x:c>
    </x:row>
    <x:row r="80" ht="18" customHeight="1">
      <x:c r="A80" s="43" t="str">
        <x:v>Guards / Infantry</x:v>
      </x:c>
      <x:c r="B80" s="43" t="str">
        <x:v>Infantry Defense</x:v>
      </x:c>
      <x:c r="C80" s="43" t="str">
        <x:v>Higher</x:v>
      </x:c>
      <x:c r="D80" s="43" t="str">
        <x:v>K116</x:v>
      </x:c>
      <x:c r="E80" s="43" t="str">
        <x:v>Jesse</x:v>
      </x:c>
      <x:c r="F80" s="44" t="n">
        <x:v>20.866999999999997</x:v>
      </x:c>
      <x:c r="G80" s="44" t="n">
        <x:v>19.732</x:v>
      </x:c>
      <x:c r="H80" s="44" t="n">
        <x:v>18.57584</x:v>
      </x:c>
      <x:c r="I80" s="44" t="n">
        <x:v>13.36885</x:v>
      </x:c>
      <x:c r="J80" s="43" t="n">
        <x:v>5</x:v>
      </x:c>
      <x:c r="K80" s="43" t="n">
        <x:v>3</x:v>
      </x:c>
      <x:c r="L80" s="43" t="n">
        <x:v>1</x:v>
      </x:c>
      <x:c r="M80" s="43" t="n">
        <x:v>2</x:v>
      </x:c>
    </x:row>
    <x:row r="81" ht="18" customHeight="1">
      <x:c r="A81" s="43" t="str">
        <x:v>Guards / Infantry</x:v>
      </x:c>
      <x:c r="B81" s="43" t="str">
        <x:v>Infantry Defense</x:v>
      </x:c>
      <x:c r="C81" s="43" t="str">
        <x:v>Higher</x:v>
      </x:c>
      <x:c r="D81" s="43" t="str">
        <x:v>K138</x:v>
      </x:c>
      <x:c r="E81" s="43" t="str">
        <x:v>(RaW)ϟCrozyϟ</x:v>
      </x:c>
      <x:c r="F81" s="44" t="n">
        <x:v>19.3099</x:v>
      </x:c>
      <x:c r="G81" s="44" t="n">
        <x:v>17.989549999999998</x:v>
      </x:c>
      <x:c r="H81" s="44" t="n">
        <x:v>17.02968</x:v>
      </x:c>
      <x:c r="I81" s="44" t="n">
        <x:v>12.285</x:v>
      </x:c>
      <x:c r="J81" s="43" t="n">
        <x:v>7</x:v>
      </x:c>
      <x:c r="K81" s="43" t="n">
        <x:v>6</x:v>
      </x:c>
      <x:c r="L81" s="43" t="n">
        <x:v>4</x:v>
      </x:c>
      <x:c r="M81" s="43" t="n">
        <x:v>4</x:v>
      </x:c>
    </x:row>
    <x:row r="82" ht="18" customHeight="1">
      <x:c r="A82" s="43" t="str">
        <x:v>Guards / Infantry</x:v>
      </x:c>
      <x:c r="B82" s="43" t="str">
        <x:v>Infantry Defense</x:v>
      </x:c>
      <x:c r="C82" s="43" t="str">
        <x:v>Higher</x:v>
      </x:c>
      <x:c r="D82" s="43" t="str">
        <x:v>K170</x:v>
      </x:c>
      <x:c r="E82" s="43" t="str">
        <x:v>(AOT)SanSW°</x:v>
      </x:c>
      <x:c r="F82" s="44" t="n">
        <x:v>16.6407</x:v>
      </x:c>
      <x:c r="G82" s="44" t="n">
        <x:v>16.491059999999997</x:v>
      </x:c>
      <x:c r="H82" s="44" t="n">
        <x:v>15.59448</x:v>
      </x:c>
      <x:c r="I82" s="44" t="n">
        <x:v>13.0549</x:v>
      </x:c>
      <x:c r="J82" s="43" t="n">
        <x:v>8</x:v>
      </x:c>
      <x:c r="K82" s="43" t="n">
        <x:v>8</x:v>
      </x:c>
      <x:c r="L82" s="43" t="n">
        <x:v>5</x:v>
      </x:c>
      <x:c r="M82" s="43" t="n">
        <x:v>3</x:v>
      </x:c>
    </x:row>
    <x:row r="83" ht="18" customHeight="1">
      <x:c r="A83" s="43" t="str">
        <x:v>Guards / Infantry</x:v>
      </x:c>
      <x:c r="B83" s="43" t="str">
        <x:v>Infantry Defense</x:v>
      </x:c>
      <x:c r="C83" s="43" t="str">
        <x:v>Higher</x:v>
      </x:c>
      <x:c r="D83" s="43" t="str">
        <x:v>K54</x:v>
      </x:c>
      <x:c r="E83" s="43" t="str">
        <x:v>爽歪歪</x:v>
      </x:c>
      <x:c r="F83" s="44" t="n">
        <x:v>26.151999999999997</x:v>
      </x:c>
      <x:c r="G83" s="44" t="n">
        <x:v>21.987109999999998</x:v>
      </x:c>
      <x:c r="H83" s="44" t="n">
        <x:v>17.96074</x:v>
      </x:c>
      <x:c r="I83" s="44" t="n">
        <x:v>13.572000000000001</x:v>
      </x:c>
      <x:c r="J83" s="43" t="n">
        <x:v>1</x:v>
      </x:c>
      <x:c r="K83" s="43" t="n">
        <x:v>1</x:v>
      </x:c>
      <x:c r="L83" s="43" t="n">
        <x:v>2</x:v>
      </x:c>
      <x:c r="M83" s="43" t="n">
        <x:v>1</x:v>
      </x:c>
    </x:row>
    <x:row r="84" ht="18" customHeight="1">
      <x:c r="A84" s="43" t="str">
        <x:v>Guards / Infantry</x:v>
      </x:c>
      <x:c r="B84" s="43" t="str">
        <x:v>Infantry Defense</x:v>
      </x:c>
      <x:c r="C84" s="43" t="str">
        <x:v>Higher</x:v>
      </x:c>
      <x:c r="D84" s="43" t="str">
        <x:v>K197</x:v>
      </x:c>
      <x:c r="E84" s="43" t="str">
        <x:v>Хлебушек</x:v>
      </x:c>
      <x:c r="F84" s="44" t="n">
        <x:v>25.987</x:v>
      </x:c>
      <x:c r="G84" s="44" t="n">
        <x:v>21.31385</x:v>
      </x:c>
      <x:c r="H84" s="44" t="n">
        <x:v>17.82806</x:v>
      </x:c>
      <x:c r="I84" s="44" t="n">
        <x:v>12.135</x:v>
      </x:c>
      <x:c r="J84" s="43" t="n">
        <x:v>2</x:v>
      </x:c>
      <x:c r="K84" s="43" t="n">
        <x:v>2</x:v>
      </x:c>
      <x:c r="L84" s="43" t="n">
        <x:v>3</x:v>
      </x:c>
      <x:c r="M84" s="43" t="n">
        <x:v>5</x:v>
      </x:c>
    </x:row>
    <x:row r="85" ht="18" customHeight="1">
      <x:c r="A85" s="43" t="str">
        <x:v>Guards / Infantry</x:v>
      </x:c>
      <x:c r="B85" s="43" t="str">
        <x:v>Infantry Defense</x:v>
      </x:c>
      <x:c r="C85" s="43" t="str">
        <x:v>Higher</x:v>
      </x:c>
      <x:c r="D85" s="43" t="str">
        <x:v>K176</x:v>
      </x:c>
      <x:c r="E85" s="43" t="str">
        <x:v>苟拓通天肆意妄为</x:v>
      </x:c>
      <x:c r="F85" s="44" t="n">
        <x:v>21.029899999999998</x:v>
      </x:c>
      <x:c r="G85" s="44" t="n">
        <x:v>18.10969</x:v>
      </x:c>
      <x:c r="H85" s="44" t="n">
        <x:v>15.5408</x:v>
      </x:c>
      <x:c r="I85" s="44" t="n">
        <x:v>11.068200000000001</x:v>
      </x:c>
      <x:c r="J85" s="43" t="n">
        <x:v>4</x:v>
      </x:c>
      <x:c r="K85" s="43" t="n">
        <x:v>5</x:v>
      </x:c>
      <x:c r="L85" s="43" t="n">
        <x:v>6</x:v>
      </x:c>
      <x:c r="M85" s="43" t="n">
        <x:v>7</x:v>
      </x:c>
    </x:row>
    <x:row r="86" ht="18" customHeight="1">
      <x:c r="A86" s="43" t="str">
        <x:v>Guards / Infantry</x:v>
      </x:c>
      <x:c r="B86" s="43" t="str">
        <x:v>Infantry Damage</x:v>
      </x:c>
      <x:c r="C86" s="43" t="str">
        <x:v>Higher</x:v>
      </x:c>
      <x:c r="D86" s="43" t="str">
        <x:v>K60</x:v>
      </x:c>
      <x:c r="E86" s="43" t="str">
        <x:v>InFlames</x:v>
      </x:c>
      <x:c r="F86" s="44" t="n">
        <x:v>1.965</x:v>
      </x:c>
      <x:c r="G86" s="44" t="n">
        <x:v>1.867</x:v>
      </x:c>
      <x:c r="H86" s="44" t="n">
        <x:v>1.6975000000000002</x:v>
      </x:c>
      <x:c r="I86" s="44" t="n">
        <x:v>0.5525</x:v>
      </x:c>
      <x:c r="J86" s="43" t="n">
        <x:v>1</x:v>
      </x:c>
      <x:c r="K86" s="43" t="n">
        <x:v>3</x:v>
      </x:c>
      <x:c r="L86" s="43" t="n">
        <x:v>2</x:v>
      </x:c>
      <x:c r="M86" s="43" t="n">
        <x:v>7</x:v>
      </x:c>
    </x:row>
    <x:row r="87" ht="18" customHeight="1">
      <x:c r="A87" s="43" t="str">
        <x:v>Guards / Infantry</x:v>
      </x:c>
      <x:c r="B87" s="43" t="str">
        <x:v>Infantry Damage</x:v>
      </x:c>
      <x:c r="C87" s="43" t="str">
        <x:v>Higher</x:v>
      </x:c>
      <x:c r="D87" s="43" t="str">
        <x:v>K91</x:v>
      </x:c>
      <x:c r="E87" s="43" t="str">
        <x:v>•Pain•</x:v>
      </x:c>
      <x:c r="F87" s="44" t="n">
        <x:v>1.865</x:v>
      </x:c>
      <x:c r="G87" s="44" t="n">
        <x:v>1.65225</x:v>
      </x:c>
      <x:c r="H87" s="44" t="n">
        <x:v>1.399</x:v>
      </x:c>
      <x:c r="I87" s="44" t="n">
        <x:v>0.5525</x:v>
      </x:c>
      <x:c r="J87" s="43" t="n">
        <x:v>5</x:v>
      </x:c>
      <x:c r="K87" s="43" t="n">
        <x:v>6</x:v>
      </x:c>
      <x:c r="L87" s="43" t="n">
        <x:v>8</x:v>
      </x:c>
      <x:c r="M87" s="43" t="n">
        <x:v>7</x:v>
      </x:c>
    </x:row>
    <x:row r="88" ht="18" customHeight="1">
      <x:c r="A88" s="43" t="str">
        <x:v>Guards / Infantry</x:v>
      </x:c>
      <x:c r="B88" s="43" t="str">
        <x:v>Infantry Damage</x:v>
      </x:c>
      <x:c r="C88" s="43" t="str">
        <x:v>Higher</x:v>
      </x:c>
      <x:c r="D88" s="43" t="str">
        <x:v>K116</x:v>
      </x:c>
      <x:c r="E88" s="43" t="str">
        <x:v>Jesse (+1 tied)</x:v>
      </x:c>
      <x:c r="F88" s="44" t="n">
        <x:v>1.965</x:v>
      </x:c>
      <x:c r="G88" s="44" t="n">
        <x:v>1.893</x:v>
      </x:c>
      <x:c r="H88" s="44" t="n">
        <x:v>1.6855</x:v>
      </x:c>
      <x:c r="I88" s="44" t="n">
        <x:v>1.365</x:v>
      </x:c>
      <x:c r="J88" s="43" t="n">
        <x:v>1</x:v>
      </x:c>
      <x:c r="K88" s="43" t="n">
        <x:v>1</x:v>
      </x:c>
      <x:c r="L88" s="43" t="n">
        <x:v>3</x:v>
      </x:c>
      <x:c r="M88" s="43" t="n">
        <x:v>3</x:v>
      </x:c>
    </x:row>
    <x:row r="89" ht="18" customHeight="1">
      <x:c r="A89" s="43" t="str">
        <x:v>Guards / Infantry</x:v>
      </x:c>
      <x:c r="B89" s="43" t="str">
        <x:v>Infantry Damage</x:v>
      </x:c>
      <x:c r="C89" s="43" t="str">
        <x:v>Higher</x:v>
      </x:c>
      <x:c r="D89" s="43" t="str">
        <x:v>K138</x:v>
      </x:c>
      <x:c r="E89" s="43" t="str">
        <x:v>(RaW)让世界沐浴在血中</x:v>
      </x:c>
      <x:c r="F89" s="44" t="n">
        <x:v>1.6675</x:v>
      </x:c>
      <x:c r="G89" s="44" t="n">
        <x:v>1.64825</x:v>
      </x:c>
      <x:c r="H89" s="44" t="n">
        <x:v>1.5980000000000003</x:v>
      </x:c>
      <x:c r="I89" s="44" t="n">
        <x:v>1.365</x:v>
      </x:c>
      <x:c r="J89" s="43" t="n">
        <x:v>8</x:v>
      </x:c>
      <x:c r="K89" s="43" t="n">
        <x:v>7</x:v>
      </x:c>
      <x:c r="L89" s="43" t="n">
        <x:v>5</x:v>
      </x:c>
      <x:c r="M89" s="43" t="n">
        <x:v>3</x:v>
      </x:c>
    </x:row>
    <x:row r="90" ht="18" customHeight="1">
      <x:c r="A90" s="43" t="str">
        <x:v>Guards / Infantry</x:v>
      </x:c>
      <x:c r="B90" s="43" t="str">
        <x:v>Infantry Damage</x:v>
      </x:c>
      <x:c r="C90" s="43" t="str">
        <x:v>Higher</x:v>
      </x:c>
      <x:c r="D90" s="43" t="str">
        <x:v>K170</x:v>
      </x:c>
      <x:c r="E90" s="43" t="str">
        <x:v>(AOT)MG·Yu</x:v>
      </x:c>
      <x:c r="F90" s="44" t="n">
        <x:v>1.9075</x:v>
      </x:c>
      <x:c r="G90" s="44" t="n">
        <x:v>1.775</x:v>
      </x:c>
      <x:c r="H90" s="44" t="n">
        <x:v>1.611</x:v>
      </x:c>
      <x:c r="I90" s="44" t="n">
        <x:v>1.385</x:v>
      </x:c>
      <x:c r="J90" s="43" t="n">
        <x:v>4</x:v>
      </x:c>
      <x:c r="K90" s="43" t="n">
        <x:v>4</x:v>
      </x:c>
      <x:c r="L90" s="43" t="n">
        <x:v>4</x:v>
      </x:c>
      <x:c r="M90" s="43" t="n">
        <x:v>2</x:v>
      </x:c>
    </x:row>
    <x:row r="91" ht="18" customHeight="1">
      <x:c r="A91" s="43" t="str">
        <x:v>Guards / Infantry</x:v>
      </x:c>
      <x:c r="B91" s="43" t="str">
        <x:v>Infantry Damage</x:v>
      </x:c>
      <x:c r="C91" s="43" t="str">
        <x:v>Higher</x:v>
      </x:c>
      <x:c r="D91" s="43" t="str">
        <x:v>K54</x:v>
      </x:c>
      <x:c r="E91" s="43" t="str">
        <x:v>爽歪歪 (+1 tied)</x:v>
      </x:c>
      <x:c r="F91" s="44" t="n">
        <x:v>1.965</x:v>
      </x:c>
      <x:c r="G91" s="44" t="n">
        <x:v>1.893</x:v>
      </x:c>
      <x:c r="H91" s="44" t="n">
        <x:v>1.6985</x:v>
      </x:c>
      <x:c r="I91" s="44" t="n">
        <x:v>1.4275</x:v>
      </x:c>
      <x:c r="J91" s="43" t="n">
        <x:v>1</x:v>
      </x:c>
      <x:c r="K91" s="43" t="n">
        <x:v>1</x:v>
      </x:c>
      <x:c r="L91" s="43" t="n">
        <x:v>1</x:v>
      </x:c>
      <x:c r="M91" s="43" t="n">
        <x:v>1</x:v>
      </x:c>
    </x:row>
    <x:row r="92" ht="18" customHeight="1">
      <x:c r="A92" s="43" t="str">
        <x:v>Guards / Infantry</x:v>
      </x:c>
      <x:c r="B92" s="43" t="str">
        <x:v>Infantry Damage</x:v>
      </x:c>
      <x:c r="C92" s="43" t="str">
        <x:v>Higher</x:v>
      </x:c>
      <x:c r="D92" s="43" t="str">
        <x:v>K197</x:v>
      </x:c>
      <x:c r="E92" s="43" t="str">
        <x:v>Хлебушек</x:v>
      </x:c>
      <x:c r="F92" s="44" t="n">
        <x:v>1.845</x:v>
      </x:c>
      <x:c r="G92" s="44" t="n">
        <x:v>1.6675</x:v>
      </x:c>
      <x:c r="H92" s="44" t="n">
        <x:v>1.54</x:v>
      </x:c>
      <x:c r="I92" s="44" t="n">
        <x:v>0.5725</x:v>
      </x:c>
      <x:c r="J92" s="43" t="n">
        <x:v>6</x:v>
      </x:c>
      <x:c r="K92" s="43" t="n">
        <x:v>5</x:v>
      </x:c>
      <x:c r="L92" s="43" t="n">
        <x:v>6</x:v>
      </x:c>
      <x:c r="M92" s="43" t="n">
        <x:v>6</x:v>
      </x:c>
    </x:row>
    <x:row r="93" ht="18" customHeight="1">
      <x:c r="A93" s="43" t="str">
        <x:v>Guards / Infantry</x:v>
      </x:c>
      <x:c r="B93" s="43" t="str">
        <x:v>Infantry Damage</x:v>
      </x:c>
      <x:c r="C93" s="43" t="str">
        <x:v>Higher</x:v>
      </x:c>
      <x:c r="D93" s="43" t="str">
        <x:v>K176</x:v>
      </x:c>
      <x:c r="E93" s="43" t="str">
        <x:v>苟拓通天肆意妄为</x:v>
      </x:c>
      <x:c r="F93" s="44" t="n">
        <x:v>1.725</x:v>
      </x:c>
      <x:c r="G93" s="44" t="n">
        <x:v>1.5862500000000002</x:v>
      </x:c>
      <x:c r="H93" s="44" t="n">
        <x:v>1.495</x:v>
      </x:c>
      <x:c r="I93" s="44" t="n">
        <x:v>1.305</x:v>
      </x:c>
      <x:c r="J93" s="43" t="n">
        <x:v>7</x:v>
      </x:c>
      <x:c r="K93" s="43" t="n">
        <x:v>8</x:v>
      </x:c>
      <x:c r="L93" s="43" t="n">
        <x:v>7</x:v>
      </x:c>
      <x:c r="M93" s="43" t="n">
        <x:v>5</x:v>
      </x:c>
    </x:row>
    <x:row r="94" ht="18" customHeight="1">
      <x:c r="A94" s="43" t="str">
        <x:v>Guards / Infantry</x:v>
      </x:c>
      <x:c r="B94" s="43" t="str">
        <x:v>Infantry Damage Received</x:v>
      </x:c>
      <x:c r="C94" s="43" t="str">
        <x:v>Lower</x:v>
      </x:c>
      <x:c r="D94" s="43" t="str">
        <x:v>K60</x:v>
      </x:c>
      <x:c r="E94" s="43" t="str">
        <x:v>CerialKiller</x:v>
      </x:c>
      <x:c r="F94" s="44" t="n">
        <x:v>-2.19</x:v>
      </x:c>
      <x:c r="G94" s="44" t="n">
        <x:v>-2.101</x:v>
      </x:c>
      <x:c r="H94" s="44" t="n">
        <x:v>-1.8795000000000002</x:v>
      </x:c>
      <x:c r="I94" s="44" t="n">
        <x:v>-0.6875</x:v>
      </x:c>
      <x:c r="J94" s="43" t="n">
        <x:v>4</x:v>
      </x:c>
      <x:c r="K94" s="43" t="n">
        <x:v>2</x:v>
      </x:c>
      <x:c r="L94" s="43" t="n">
        <x:v>2</x:v>
      </x:c>
      <x:c r="M94" s="43" t="n">
        <x:v>7</x:v>
      </x:c>
    </x:row>
    <x:row r="95" ht="18" customHeight="1">
      <x:c r="A95" s="43" t="str">
        <x:v>Guards / Infantry</x:v>
      </x:c>
      <x:c r="B95" s="43" t="str">
        <x:v>Infantry Damage Received</x:v>
      </x:c>
      <x:c r="C95" s="43" t="str">
        <x:v>Lower</x:v>
      </x:c>
      <x:c r="D95" s="43" t="str">
        <x:v>K91</x:v>
      </x:c>
      <x:c r="E95" s="43" t="str">
        <x:v>•Pain•</x:v>
      </x:c>
      <x:c r="F95" s="44" t="n">
        <x:v>-2.365</x:v>
      </x:c>
      <x:c r="G95" s="44" t="n">
        <x:v>-2.0765000000000002</x:v>
      </x:c>
      <x:c r="H95" s="44" t="n">
        <x:v>-1.6675</x:v>
      </x:c>
      <x:c r="I95" s="44" t="n">
        <x:v>-0.6625</x:v>
      </x:c>
      <x:c r="J95" s="43" t="n">
        <x:v>1</x:v>
      </x:c>
      <x:c r="K95" s="43" t="n">
        <x:v>3</x:v>
      </x:c>
      <x:c r="L95" s="43" t="n">
        <x:v>8</x:v>
      </x:c>
      <x:c r="M95" s="43" t="n">
        <x:v>8</x:v>
      </x:c>
    </x:row>
    <x:row r="96" ht="18" customHeight="1">
      <x:c r="A96" s="43" t="str">
        <x:v>Guards / Infantry</x:v>
      </x:c>
      <x:c r="B96" s="43" t="str">
        <x:v>Infantry Damage Received</x:v>
      </x:c>
      <x:c r="C96" s="43" t="str">
        <x:v>Lower</x:v>
      </x:c>
      <x:c r="D96" s="43" t="str">
        <x:v>K116</x:v>
      </x:c>
      <x:c r="E96" s="43" t="str">
        <x:v>Jesse</x:v>
      </x:c>
      <x:c r="F96" s="44" t="n">
        <x:v>-2.16</x:v>
      </x:c>
      <x:c r="G96" s="44" t="n">
        <x:v>-1.99925</x:v>
      </x:c>
      <x:c r="H96" s="44" t="n">
        <x:v>-1.7905000000000002</x:v>
      </x:c>
      <x:c r="I96" s="44" t="n">
        <x:v>-1.545</x:v>
      </x:c>
      <x:c r="J96" s="43" t="n">
        <x:v>5</x:v>
      </x:c>
      <x:c r="K96" s="43" t="n">
        <x:v>5</x:v>
      </x:c>
      <x:c r="L96" s="43" t="n">
        <x:v>5</x:v>
      </x:c>
      <x:c r="M96" s="43" t="n">
        <x:v>1</x:v>
      </x:c>
    </x:row>
    <x:row r="97" ht="18" customHeight="1">
      <x:c r="A97" s="43" t="str">
        <x:v>Guards / Infantry</x:v>
      </x:c>
      <x:c r="B97" s="43" t="str">
        <x:v>Infantry Damage Received</x:v>
      </x:c>
      <x:c r="C97" s="43" t="str">
        <x:v>Lower</x:v>
      </x:c>
      <x:c r="D97" s="43" t="str">
        <x:v>K138</x:v>
      </x:c>
      <x:c r="E97" s="43" t="str">
        <x:v>(RaW)ϟCrozyϟ</x:v>
      </x:c>
      <x:c r="F97" s="44" t="n">
        <x:v>-2.16</x:v>
      </x:c>
      <x:c r="G97" s="44" t="n">
        <x:v>-1.97825</x:v>
      </x:c>
      <x:c r="H97" s="44" t="n">
        <x:v>-1.8290000000000002</x:v>
      </x:c>
      <x:c r="I97" s="44" t="n">
        <x:v>-1.5225</x:v>
      </x:c>
      <x:c r="J97" s="43" t="n">
        <x:v>5</x:v>
      </x:c>
      <x:c r="K97" s="43" t="n">
        <x:v>6</x:v>
      </x:c>
      <x:c r="L97" s="43" t="n">
        <x:v>3</x:v>
      </x:c>
      <x:c r="M97" s="43" t="n">
        <x:v>3</x:v>
      </x:c>
    </x:row>
    <x:row r="98" ht="18" customHeight="1">
      <x:c r="A98" s="43" t="str">
        <x:v>Guards / Infantry</x:v>
      </x:c>
      <x:c r="B98" s="43" t="str">
        <x:v>Infantry Damage Received</x:v>
      </x:c>
      <x:c r="C98" s="43" t="str">
        <x:v>Lower</x:v>
      </x:c>
      <x:c r="D98" s="43" t="str">
        <x:v>K170</x:v>
      </x:c>
      <x:c r="E98" s="43" t="str">
        <x:v>(AOT)SanSW°</x:v>
      </x:c>
      <x:c r="F98" s="44" t="n">
        <x:v>-2.115</x:v>
      </x:c>
      <x:c r="G98" s="44" t="n">
        <x:v>-1.9465000000000001</x:v>
      </x:c>
      <x:c r="H98" s="44" t="n">
        <x:v>-1.8065000000000002</x:v>
      </x:c>
      <x:c r="I98" s="44" t="n">
        <x:v>-1.515</x:v>
      </x:c>
      <x:c r="J98" s="43" t="n">
        <x:v>7</x:v>
      </x:c>
      <x:c r="K98" s="43" t="n">
        <x:v>7</x:v>
      </x:c>
      <x:c r="L98" s="43" t="n">
        <x:v>4</x:v>
      </x:c>
      <x:c r="M98" s="43" t="n">
        <x:v>4</x:v>
      </x:c>
    </x:row>
    <x:row r="99" ht="18" customHeight="1">
      <x:c r="A99" s="43" t="str">
        <x:v>Guards / Infantry</x:v>
      </x:c>
      <x:c r="B99" s="43" t="str">
        <x:v>Infantry Damage Received</x:v>
      </x:c>
      <x:c r="C99" s="43" t="str">
        <x:v>Lower</x:v>
      </x:c>
      <x:c r="D99" s="43" t="str">
        <x:v>K54</x:v>
      </x:c>
      <x:c r="E99" s="43" t="str">
        <x:v>爽歪歪 (+1 tied)</x:v>
      </x:c>
      <x:c r="F99" s="44" t="n">
        <x:v>-2.365</x:v>
      </x:c>
      <x:c r="G99" s="44" t="n">
        <x:v>-2.2830000000000004</x:v>
      </x:c>
      <x:c r="H99" s="44" t="n">
        <x:v>-2.0100000000000002</x:v>
      </x:c>
      <x:c r="I99" s="44" t="n">
        <x:v>-1.545</x:v>
      </x:c>
      <x:c r="J99" s="43" t="n">
        <x:v>1</x:v>
      </x:c>
      <x:c r="K99" s="43" t="n">
        <x:v>1</x:v>
      </x:c>
      <x:c r="L99" s="43" t="n">
        <x:v>1</x:v>
      </x:c>
      <x:c r="M99" s="43" t="n">
        <x:v>1</x:v>
      </x:c>
    </x:row>
    <x:row r="100" ht="18" customHeight="1">
      <x:c r="A100" s="43" t="str">
        <x:v>Guards / Infantry</x:v>
      </x:c>
      <x:c r="B100" s="43" t="str">
        <x:v>Infantry Damage Received</x:v>
      </x:c>
      <x:c r="C100" s="43" t="str">
        <x:v>Lower</x:v>
      </x:c>
      <x:c r="D100" s="43" t="str">
        <x:v>K197</x:v>
      </x:c>
      <x:c r="E100" s="43" t="str">
        <x:v>Хлебушек</x:v>
      </x:c>
      <x:c r="F100" s="44" t="n">
        <x:v>-2.345</x:v>
      </x:c>
      <x:c r="G100" s="44" t="n">
        <x:v>-2.023</x:v>
      </x:c>
      <x:c r="H100" s="44" t="n">
        <x:v>-1.7535</x:v>
      </x:c>
      <x:c r="I100" s="44" t="n">
        <x:v>-0.75</x:v>
      </x:c>
      <x:c r="J100" s="43" t="n">
        <x:v>3</x:v>
      </x:c>
      <x:c r="K100" s="43" t="n">
        <x:v>4</x:v>
      </x:c>
      <x:c r="L100" s="43" t="n">
        <x:v>7</x:v>
      </x:c>
      <x:c r="M100" s="43" t="n">
        <x:v>6</x:v>
      </x:c>
    </x:row>
    <x:row r="101" ht="18" customHeight="1">
      <x:c r="A101" s="43" t="str">
        <x:v>Guards / Infantry</x:v>
      </x:c>
      <x:c r="B101" s="43" t="str">
        <x:v>Infantry Damage Received</x:v>
      </x:c>
      <x:c r="C101" s="43" t="str">
        <x:v>Lower</x:v>
      </x:c>
      <x:c r="D101" s="43" t="str">
        <x:v>K176</x:v>
      </x:c>
      <x:c r="E101" s="43" t="str">
        <x:v>苟拓通天肆意妄为</x:v>
      </x:c>
      <x:c r="F101" s="44" t="n">
        <x:v>-2.035</x:v>
      </x:c>
      <x:c r="G101" s="44" t="n">
        <x:v>-1.927</x:v>
      </x:c>
      <x:c r="H101" s="44" t="n">
        <x:v>-1.759</x:v>
      </x:c>
      <x:c r="I101" s="44" t="n">
        <x:v>-1.4</x:v>
      </x:c>
      <x:c r="J101" s="43" t="n">
        <x:v>8</x:v>
      </x:c>
      <x:c r="K101" s="43" t="n">
        <x:v>8</x:v>
      </x:c>
      <x:c r="L101" s="43" t="n">
        <x:v>6</x:v>
      </x:c>
      <x:c r="M101" s="43" t="n">
        <x:v>5</x:v>
      </x:c>
    </x:row>
    <x:row r="102" ht="18" customHeight="1">
      <x:c r="A102" s="43" t="str">
        <x:v>Guards / Infantry</x:v>
      </x:c>
      <x:c r="B102" s="43" t="str">
        <x:v>Infantry Attack Blessing</x:v>
      </x:c>
      <x:c r="C102" s="43" t="str">
        <x:v>Higher</x:v>
      </x:c>
      <x:c r="D102" s="43" t="str">
        <x:v>K60</x:v>
      </x:c>
      <x:c r="E102" s="43" t="str">
        <x:v>CerialKiller</x:v>
      </x:c>
      <x:c r="F102" s="44" t="n">
        <x:v>3.96</x:v>
      </x:c>
      <x:c r="G102" s="44" t="n">
        <x:v>3.153</x:v>
      </x:c>
      <x:c r="H102" s="44" t="n">
        <x:v>2.492</x:v>
      </x:c>
      <x:c r="I102" s="44" t="n">
        <x:v>1.1</x:v>
      </x:c>
      <x:c r="J102" s="43" t="n">
        <x:v>6</x:v>
      </x:c>
      <x:c r="K102" s="43" t="n">
        <x:v>6</x:v>
      </x:c>
      <x:c r="L102" s="43" t="n">
        <x:v>6</x:v>
      </x:c>
      <x:c r="M102" s="43" t="n">
        <x:v>8</x:v>
      </x:c>
    </x:row>
    <x:row r="103" ht="18" customHeight="1">
      <x:c r="A103" s="43" t="str">
        <x:v>Guards / Infantry</x:v>
      </x:c>
      <x:c r="B103" s="43" t="str">
        <x:v>Infantry Attack Blessing</x:v>
      </x:c>
      <x:c r="C103" s="43" t="str">
        <x:v>Higher</x:v>
      </x:c>
      <x:c r="D103" s="43" t="str">
        <x:v>K91</x:v>
      </x:c>
      <x:c r="E103" s="43" t="str">
        <x:v>•Pain•</x:v>
      </x:c>
      <x:c r="F103" s="44" t="n">
        <x:v>7.14</x:v>
      </x:c>
      <x:c r="G103" s="44" t="n">
        <x:v>5.324</x:v>
      </x:c>
      <x:c r="H103" s="44" t="n">
        <x:v>3.5780000000000003</x:v>
      </x:c>
      <x:c r="I103" s="44" t="n">
        <x:v>1.4</x:v>
      </x:c>
      <x:c r="J103" s="43" t="n">
        <x:v>3</x:v>
      </x:c>
      <x:c r="K103" s="43" t="n">
        <x:v>5</x:v>
      </x:c>
      <x:c r="L103" s="43" t="n">
        <x:v>5</x:v>
      </x:c>
      <x:c r="M103" s="43" t="n">
        <x:v>4</x:v>
      </x:c>
    </x:row>
    <x:row r="104" ht="18" customHeight="1">
      <x:c r="A104" s="43" t="str">
        <x:v>Guards / Infantry</x:v>
      </x:c>
      <x:c r="B104" s="43" t="str">
        <x:v>Infantry Attack Blessing</x:v>
      </x:c>
      <x:c r="C104" s="43" t="str">
        <x:v>Higher</x:v>
      </x:c>
      <x:c r="D104" s="43" t="str">
        <x:v>K116</x:v>
      </x:c>
      <x:c r="E104" s="43" t="str">
        <x:v>Jesse (+2 tied)</x:v>
      </x:c>
      <x:c r="F104" s="44" t="n">
        <x:v>7</x:v>
      </x:c>
      <x:c r="G104" s="44" t="n">
        <x:v>7</x:v>
      </x:c>
      <x:c r="H104" s="44" t="n">
        <x:v>5.856</x:v>
      </x:c>
      <x:c r="I104" s="44" t="n">
        <x:v>1.56</x:v>
      </x:c>
      <x:c r="J104" s="43" t="n">
        <x:v>4</x:v>
      </x:c>
      <x:c r="K104" s="43" t="n">
        <x:v>3</x:v>
      </x:c>
      <x:c r="L104" s="43" t="n">
        <x:v>2</x:v>
      </x:c>
      <x:c r="M104" s="43" t="n">
        <x:v>3</x:v>
      </x:c>
    </x:row>
    <x:row r="105" ht="18" customHeight="1">
      <x:c r="A105" s="43" t="str">
        <x:v>Guards / Infantry</x:v>
      </x:c>
      <x:c r="B105" s="43" t="str">
        <x:v>Infantry Attack Blessing</x:v>
      </x:c>
      <x:c r="C105" s="43" t="str">
        <x:v>Higher</x:v>
      </x:c>
      <x:c r="D105" s="43" t="str">
        <x:v>K138</x:v>
      </x:c>
      <x:c r="E105" s="43" t="str">
        <x:v>(RaW)Critykal</x:v>
      </x:c>
      <x:c r="F105" s="44" t="n">
        <x:v>3.47</x:v>
      </x:c>
      <x:c r="G105" s="44" t="n">
        <x:v>2.92</x:v>
      </x:c>
      <x:c r="H105" s="44" t="n">
        <x:v>2.4899999999999998</x:v>
      </x:c>
      <x:c r="I105" s="44" t="n">
        <x:v>1.21</x:v>
      </x:c>
      <x:c r="J105" s="43" t="n">
        <x:v>7</x:v>
      </x:c>
      <x:c r="K105" s="43" t="n">
        <x:v>7</x:v>
      </x:c>
      <x:c r="L105" s="43" t="n">
        <x:v>7</x:v>
      </x:c>
      <x:c r="M105" s="43" t="n">
        <x:v>6</x:v>
      </x:c>
    </x:row>
    <x:row r="106" ht="18" customHeight="1">
      <x:c r="A106" s="43" t="str">
        <x:v>Guards / Infantry</x:v>
      </x:c>
      <x:c r="B106" s="43" t="str">
        <x:v>Infantry Attack Blessing</x:v>
      </x:c>
      <x:c r="C106" s="43" t="str">
        <x:v>Higher</x:v>
      </x:c>
      <x:c r="D106" s="43" t="str">
        <x:v>K170</x:v>
      </x:c>
      <x:c r="E106" s="43" t="str">
        <x:v>(AOT)Panda</x:v>
      </x:c>
      <x:c r="F106" s="44" t="n">
        <x:v>2.54</x:v>
      </x:c>
      <x:c r="G106" s="44" t="n">
        <x:v>2.505</x:v>
      </x:c>
      <x:c r="H106" s="44" t="n">
        <x:v>2.2600000000000002</x:v>
      </x:c>
      <x:c r="I106" s="44" t="n">
        <x:v>1.25</x:v>
      </x:c>
      <x:c r="J106" s="43" t="n">
        <x:v>8</x:v>
      </x:c>
      <x:c r="K106" s="43" t="n">
        <x:v>8</x:v>
      </x:c>
      <x:c r="L106" s="43" t="n">
        <x:v>8</x:v>
      </x:c>
      <x:c r="M106" s="43" t="n">
        <x:v>5</x:v>
      </x:c>
    </x:row>
    <x:row r="107" ht="18" customHeight="1">
      <x:c r="A107" s="43" t="str">
        <x:v>Guards / Infantry</x:v>
      </x:c>
      <x:c r="B107" s="43" t="str">
        <x:v>Infantry Attack Blessing</x:v>
      </x:c>
      <x:c r="C107" s="43" t="str">
        <x:v>Higher</x:v>
      </x:c>
      <x:c r="D107" s="43" t="str">
        <x:v>K54</x:v>
      </x:c>
      <x:c r="E107" s="43" t="str">
        <x:v>爽歪歪 (+1 tied)</x:v>
      </x:c>
      <x:c r="F107" s="44" t="n">
        <x:v>9</x:v>
      </x:c>
      <x:c r="G107" s="44" t="n">
        <x:v>8.6</x:v>
      </x:c>
      <x:c r="H107" s="44" t="n">
        <x:v>6.794</x:v>
      </x:c>
      <x:c r="I107" s="44" t="n">
        <x:v>2.45</x:v>
      </x:c>
      <x:c r="J107" s="43" t="n">
        <x:v>1</x:v>
      </x:c>
      <x:c r="K107" s="43" t="n">
        <x:v>1</x:v>
      </x:c>
      <x:c r="L107" s="43" t="n">
        <x:v>1</x:v>
      </x:c>
      <x:c r="M107" s="43" t="n">
        <x:v>1</x:v>
      </x:c>
    </x:row>
    <x:row r="108" ht="18" customHeight="1">
      <x:c r="A108" s="43" t="str">
        <x:v>Guards / Infantry</x:v>
      </x:c>
      <x:c r="B108" s="43" t="str">
        <x:v>Infantry Attack Blessing</x:v>
      </x:c>
      <x:c r="C108" s="43" t="str">
        <x:v>Higher</x:v>
      </x:c>
      <x:c r="D108" s="43" t="str">
        <x:v>K197</x:v>
      </x:c>
      <x:c r="E108" s="43" t="str">
        <x:v>Хлебушек</x:v>
      </x:c>
      <x:c r="F108" s="44" t="n">
        <x:v>9</x:v>
      </x:c>
      <x:c r="G108" s="44" t="n">
        <x:v>7.676</x:v>
      </x:c>
      <x:c r="H108" s="44" t="n">
        <x:v>5.394</x:v>
      </x:c>
      <x:c r="I108" s="44" t="n">
        <x:v>1.11</x:v>
      </x:c>
      <x:c r="J108" s="43" t="n">
        <x:v>1</x:v>
      </x:c>
      <x:c r="K108" s="43" t="n">
        <x:v>2</x:v>
      </x:c>
      <x:c r="L108" s="43" t="n">
        <x:v>3</x:v>
      </x:c>
      <x:c r="M108" s="43" t="n">
        <x:v>7</x:v>
      </x:c>
    </x:row>
    <x:row r="109" ht="18" customHeight="1">
      <x:c r="A109" s="43" t="str">
        <x:v>Guards / Infantry</x:v>
      </x:c>
      <x:c r="B109" s="43" t="str">
        <x:v>Infantry Attack Blessing</x:v>
      </x:c>
      <x:c r="C109" s="43" t="str">
        <x:v>Higher</x:v>
      </x:c>
      <x:c r="D109" s="43" t="str">
        <x:v>K176</x:v>
      </x:c>
      <x:c r="E109" s="43" t="str">
        <x:v>苟拓通天肆意妄为</x:v>
      </x:c>
      <x:c r="F109" s="44" t="n">
        <x:v>7</x:v>
      </x:c>
      <x:c r="G109" s="44" t="n">
        <x:v>5.856</x:v>
      </x:c>
      <x:c r="H109" s="44" t="n">
        <x:v>4.566</x:v>
      </x:c>
      <x:c r="I109" s="44" t="n">
        <x:v>1.605</x:v>
      </x:c>
      <x:c r="J109" s="43" t="n">
        <x:v>4</x:v>
      </x:c>
      <x:c r="K109" s="43" t="n">
        <x:v>4</x:v>
      </x:c>
      <x:c r="L109" s="43" t="n">
        <x:v>4</x:v>
      </x:c>
      <x:c r="M109" s="43" t="n">
        <x:v>2</x:v>
      </x:c>
    </x:row>
    <x:row r="110" ht="18" customHeight="1">
      <x:c r="A110" s="43" t="str">
        <x:v>Guards / Infantry</x:v>
      </x:c>
      <x:c r="B110" s="43" t="str">
        <x:v>Infantry Protection Blessing</x:v>
      </x:c>
      <x:c r="C110" s="43" t="str">
        <x:v>Higher</x:v>
      </x:c>
      <x:c r="D110" s="43" t="str">
        <x:v>K60</x:v>
      </x:c>
      <x:c r="E110" s="43" t="str">
        <x:v>InFlames</x:v>
      </x:c>
      <x:c r="F110" s="44" t="n">
        <x:v>7.28</x:v>
      </x:c>
      <x:c r="G110" s="44" t="n">
        <x:v>7.140000000000001</x:v>
      </x:c>
      <x:c r="H110" s="44" t="n">
        <x:v>7.056</x:v>
      </x:c>
      <x:c r="I110" s="44" t="n">
        <x:v>3.22</x:v>
      </x:c>
      <x:c r="J110" s="43" t="n">
        <x:v>6</x:v>
      </x:c>
      <x:c r="K110" s="43" t="n">
        <x:v>6</x:v>
      </x:c>
      <x:c r="L110" s="43" t="n">
        <x:v>5</x:v>
      </x:c>
      <x:c r="M110" s="43" t="n">
        <x:v>7</x:v>
      </x:c>
    </x:row>
    <x:row r="111" ht="18" customHeight="1">
      <x:c r="A111" s="43" t="str">
        <x:v>Guards / Infantry</x:v>
      </x:c>
      <x:c r="B111" s="43" t="str">
        <x:v>Infantry Protection Blessing</x:v>
      </x:c>
      <x:c r="C111" s="43" t="str">
        <x:v>Higher</x:v>
      </x:c>
      <x:c r="D111" s="43" t="str">
        <x:v>K91</x:v>
      </x:c>
      <x:c r="E111" s="43" t="str">
        <x:v>•Pain•</x:v>
      </x:c>
      <x:c r="F111" s="44" t="n">
        <x:v>9</x:v>
      </x:c>
      <x:c r="G111" s="44" t="n">
        <x:v>7.851999999999999</x:v>
      </x:c>
      <x:c r="H111" s="44" t="n">
        <x:v>6.76</x:v>
      </x:c>
      <x:c r="I111" s="44" t="n">
        <x:v>3.045</x:v>
      </x:c>
      <x:c r="J111" s="43" t="n">
        <x:v>1</x:v>
      </x:c>
      <x:c r="K111" s="43" t="n">
        <x:v>5</x:v>
      </x:c>
      <x:c r="L111" s="43" t="n">
        <x:v>7</x:v>
      </x:c>
      <x:c r="M111" s="43" t="n">
        <x:v>8</x:v>
      </x:c>
    </x:row>
    <x:row r="112" ht="18" customHeight="1">
      <x:c r="A112" s="43" t="str">
        <x:v>Guards / Infantry</x:v>
      </x:c>
      <x:c r="B112" s="43" t="str">
        <x:v>Infantry Protection Blessing</x:v>
      </x:c>
      <x:c r="C112" s="43" t="str">
        <x:v>Higher</x:v>
      </x:c>
      <x:c r="D112" s="43" t="str">
        <x:v>K116</x:v>
      </x:c>
      <x:c r="E112" s="43" t="str">
        <x:v>Jesse</x:v>
      </x:c>
      <x:c r="F112" s="44" t="n">
        <x:v>9</x:v>
      </x:c>
      <x:c r="G112" s="44" t="n">
        <x:v>8</x:v>
      </x:c>
      <x:c r="H112" s="44" t="n">
        <x:v>7.4</x:v>
      </x:c>
      <x:c r="I112" s="44" t="n">
        <x:v>4.16</x:v>
      </x:c>
      <x:c r="J112" s="43" t="n">
        <x:v>1</x:v>
      </x:c>
      <x:c r="K112" s="43" t="n">
        <x:v>3</x:v>
      </x:c>
      <x:c r="L112" s="43" t="n">
        <x:v>3</x:v>
      </x:c>
      <x:c r="M112" s="43" t="n">
        <x:v>3</x:v>
      </x:c>
    </x:row>
    <x:row r="113" ht="18" customHeight="1">
      <x:c r="A113" s="43" t="str">
        <x:v>Guards / Infantry</x:v>
      </x:c>
      <x:c r="B113" s="43" t="str">
        <x:v>Infantry Protection Blessing</x:v>
      </x:c>
      <x:c r="C113" s="43" t="str">
        <x:v>Higher</x:v>
      </x:c>
      <x:c r="D113" s="43" t="str">
        <x:v>K138</x:v>
      </x:c>
      <x:c r="E113" s="43" t="str">
        <x:v>(RaW)༺博卡Ajax༻ (+4 tied)</x:v>
      </x:c>
      <x:c r="F113" s="44" t="n">
        <x:v>7</x:v>
      </x:c>
      <x:c r="G113" s="44" t="n">
        <x:v>7</x:v>
      </x:c>
      <x:c r="H113" s="44" t="n">
        <x:v>7</x:v>
      </x:c>
      <x:c r="I113" s="44" t="n">
        <x:v>3.51</x:v>
      </x:c>
      <x:c r="J113" s="43" t="n">
        <x:v>7</x:v>
      </x:c>
      <x:c r="K113" s="43" t="n">
        <x:v>7</x:v>
      </x:c>
      <x:c r="L113" s="43" t="n">
        <x:v>6</x:v>
      </x:c>
      <x:c r="M113" s="43" t="n">
        <x:v>5</x:v>
      </x:c>
    </x:row>
    <x:row r="114" ht="18" customHeight="1">
      <x:c r="A114" s="43" t="str">
        <x:v>Guards / Infantry</x:v>
      </x:c>
      <x:c r="B114" s="43" t="str">
        <x:v>Infantry Protection Blessing</x:v>
      </x:c>
      <x:c r="C114" s="43" t="str">
        <x:v>Higher</x:v>
      </x:c>
      <x:c r="D114" s="43" t="str">
        <x:v>K170</x:v>
      </x:c>
      <x:c r="E114" s="43" t="str">
        <x:v>(AOT)SanSW° (+2 tied)</x:v>
      </x:c>
      <x:c r="F114" s="44" t="n">
        <x:v>7</x:v>
      </x:c>
      <x:c r="G114" s="44" t="n">
        <x:v>7</x:v>
      </x:c>
      <x:c r="H114" s="44" t="n">
        <x:v>6.492</x:v>
      </x:c>
      <x:c r="I114" s="44" t="n">
        <x:v>3.83</x:v>
      </x:c>
      <x:c r="J114" s="43" t="n">
        <x:v>7</x:v>
      </x:c>
      <x:c r="K114" s="43" t="n">
        <x:v>7</x:v>
      </x:c>
      <x:c r="L114" s="43" t="n">
        <x:v>8</x:v>
      </x:c>
      <x:c r="M114" s="43" t="n">
        <x:v>4</x:v>
      </x:c>
    </x:row>
    <x:row r="115" ht="18" customHeight="1">
      <x:c r="A115" s="43" t="str">
        <x:v>Guards / Infantry</x:v>
      </x:c>
      <x:c r="B115" s="43" t="str">
        <x:v>Infantry Protection Blessing</x:v>
      </x:c>
      <x:c r="C115" s="43" t="str">
        <x:v>Higher</x:v>
      </x:c>
      <x:c r="D115" s="43" t="str">
        <x:v>K54</x:v>
      </x:c>
      <x:c r="E115" s="43" t="str">
        <x:v>爽歪歪 (+1 tied)</x:v>
      </x:c>
      <x:c r="F115" s="44" t="n">
        <x:v>9</x:v>
      </x:c>
      <x:c r="G115" s="44" t="n">
        <x:v>8.6</x:v>
      </x:c>
      <x:c r="H115" s="44" t="n">
        <x:v>7.632</x:v>
      </x:c>
      <x:c r="I115" s="44" t="n">
        <x:v>6.16</x:v>
      </x:c>
      <x:c r="J115" s="43" t="n">
        <x:v>1</x:v>
      </x:c>
      <x:c r="K115" s="43" t="n">
        <x:v>1</x:v>
      </x:c>
      <x:c r="L115" s="43" t="n">
        <x:v>1</x:v>
      </x:c>
      <x:c r="M115" s="43" t="n">
        <x:v>1</x:v>
      </x:c>
    </x:row>
    <x:row r="116" ht="18" customHeight="1">
      <x:c r="A116" s="43" t="str">
        <x:v>Guards / Infantry</x:v>
      </x:c>
      <x:c r="B116" s="43" t="str">
        <x:v>Infantry Protection Blessing</x:v>
      </x:c>
      <x:c r="C116" s="43" t="str">
        <x:v>Higher</x:v>
      </x:c>
      <x:c r="D116" s="43" t="str">
        <x:v>K197</x:v>
      </x:c>
      <x:c r="E116" s="43" t="str">
        <x:v>Хлебушек (+1 tied)</x:v>
      </x:c>
      <x:c r="F116" s="44" t="n">
        <x:v>9</x:v>
      </x:c>
      <x:c r="G116" s="44" t="n">
        <x:v>8.6</x:v>
      </x:c>
      <x:c r="H116" s="44" t="n">
        <x:v>7.418000000000001</x:v>
      </x:c>
      <x:c r="I116" s="44" t="n">
        <x:v>3.23</x:v>
      </x:c>
      <x:c r="J116" s="43" t="n">
        <x:v>1</x:v>
      </x:c>
      <x:c r="K116" s="43" t="n">
        <x:v>1</x:v>
      </x:c>
      <x:c r="L116" s="43" t="n">
        <x:v>2</x:v>
      </x:c>
      <x:c r="M116" s="43" t="n">
        <x:v>6</x:v>
      </x:c>
    </x:row>
    <x:row r="117" ht="18" customHeight="1">
      <x:c r="A117" s="43" t="str">
        <x:v>Guards / Infantry</x:v>
      </x:c>
      <x:c r="B117" s="43" t="str">
        <x:v>Infantry Protection Blessing</x:v>
      </x:c>
      <x:c r="C117" s="43" t="str">
        <x:v>Higher</x:v>
      </x:c>
      <x:c r="D117" s="43" t="str">
        <x:v>K176</x:v>
      </x:c>
      <x:c r="E117" s="43" t="str">
        <x:v>苟拓通天肆意妄为</x:v>
      </x:c>
      <x:c r="F117" s="44" t="n">
        <x:v>9</x:v>
      </x:c>
      <x:c r="G117" s="44" t="n">
        <x:v>8</x:v>
      </x:c>
      <x:c r="H117" s="44" t="n">
        <x:v>7.353999999999999</x:v>
      </x:c>
      <x:c r="I117" s="44" t="n">
        <x:v>4.18</x:v>
      </x:c>
      <x:c r="J117" s="43" t="n">
        <x:v>1</x:v>
      </x:c>
      <x:c r="K117" s="43" t="n">
        <x:v>3</x:v>
      </x:c>
      <x:c r="L117" s="43" t="n">
        <x:v>4</x:v>
      </x:c>
      <x:c r="M117" s="43" t="n">
        <x:v>2</x:v>
      </x:c>
    </x:row>
    <x:row r="118" ht="18" customHeight="1">
      <x:c r="A118" s="43" t="str">
        <x:v>Cavalry</x:v>
      </x:c>
      <x:c r="B118" s="43" t="str">
        <x:v>Cavalry Attack</x:v>
      </x:c>
      <x:c r="C118" s="43" t="str">
        <x:v>Higher</x:v>
      </x:c>
      <x:c r="D118" s="43" t="str">
        <x:v>K60</x:v>
      </x:c>
      <x:c r="E118" s="43" t="str">
        <x:v>InFlames</x:v>
      </x:c>
      <x:c r="F118" s="44" t="n">
        <x:v>25.652</x:v>
      </x:c>
      <x:c r="G118" s="44" t="n">
        <x:v>24.91005</x:v>
      </x:c>
      <x:c r="H118" s="44" t="n">
        <x:v>23.8547</x:v>
      </x:c>
      <x:c r="I118" s="44" t="n">
        <x:v>21.367</x:v>
      </x:c>
      <x:c r="J118" s="43" t="n">
        <x:v>6</x:v>
      </x:c>
      <x:c r="K118" s="43" t="n">
        <x:v>7</x:v>
      </x:c>
      <x:c r="L118" s="43" t="n">
        <x:v>7</x:v>
      </x:c>
      <x:c r="M118" s="43" t="n">
        <x:v>5</x:v>
      </x:c>
    </x:row>
    <x:row r="119" ht="18" customHeight="1">
      <x:c r="A119" s="43" t="str">
        <x:v>Cavalry</x:v>
      </x:c>
      <x:c r="B119" s="43" t="str">
        <x:v>Cavalry Attack</x:v>
      </x:c>
      <x:c r="C119" s="43" t="str">
        <x:v>Higher</x:v>
      </x:c>
      <x:c r="D119" s="43" t="str">
        <x:v>K91</x:v>
      </x:c>
      <x:c r="E119" s="43" t="str">
        <x:v>•Pain•</x:v>
      </x:c>
      <x:c r="F119" s="44" t="n">
        <x:v>27.3435</x:v>
      </x:c>
      <x:c r="G119" s="44" t="n">
        <x:v>25.53925</x:v>
      </x:c>
      <x:c r="H119" s="44" t="n">
        <x:v>23.3243</x:v>
      </x:c>
      <x:c r="I119" s="44" t="n">
        <x:v>12.0075</x:v>
      </x:c>
      <x:c r="J119" s="43" t="n">
        <x:v>4</x:v>
      </x:c>
      <x:c r="K119" s="43" t="n">
        <x:v>4</x:v>
      </x:c>
      <x:c r="L119" s="43" t="n">
        <x:v>8</x:v>
      </x:c>
      <x:c r="M119" s="43" t="n">
        <x:v>8</x:v>
      </x:c>
    </x:row>
    <x:row r="120" ht="18" customHeight="1">
      <x:c r="A120" s="43" t="str">
        <x:v>Cavalry</x:v>
      </x:c>
      <x:c r="B120" s="43" t="str">
        <x:v>Cavalry Attack</x:v>
      </x:c>
      <x:c r="C120" s="43" t="str">
        <x:v>Higher</x:v>
      </x:c>
      <x:c r="D120" s="43" t="str">
        <x:v>K116</x:v>
      </x:c>
      <x:c r="E120" s="43" t="str">
        <x:v>Jesse</x:v>
      </x:c>
      <x:c r="F120" s="44" t="n">
        <x:v>24.4335</x:v>
      </x:c>
      <x:c r="G120" s="44" t="n">
        <x:v>24.3366</x:v>
      </x:c>
      <x:c r="H120" s="44" t="n">
        <x:v>24.0567</x:v>
      </x:c>
      <x:c r="I120" s="44" t="n">
        <x:v>21.5435</x:v>
      </x:c>
      <x:c r="J120" s="43" t="n">
        <x:v>8</x:v>
      </x:c>
      <x:c r="K120" s="43" t="n">
        <x:v>8</x:v>
      </x:c>
      <x:c r="L120" s="43" t="n">
        <x:v>6</x:v>
      </x:c>
      <x:c r="M120" s="43" t="n">
        <x:v>3</x:v>
      </x:c>
    </x:row>
    <x:row r="121" ht="18" customHeight="1">
      <x:c r="A121" s="43" t="str">
        <x:v>Cavalry</x:v>
      </x:c>
      <x:c r="B121" s="43" t="str">
        <x:v>Cavalry Attack</x:v>
      </x:c>
      <x:c r="C121" s="43" t="str">
        <x:v>Higher</x:v>
      </x:c>
      <x:c r="D121" s="43" t="str">
        <x:v>K138</x:v>
      </x:c>
      <x:c r="E121" s="43" t="str">
        <x:v>(RaW)Critykal</x:v>
      </x:c>
      <x:c r="F121" s="44" t="n">
        <x:v>26.4455</x:v>
      </x:c>
      <x:c r="G121" s="44" t="n">
        <x:v>25.5168</x:v>
      </x:c>
      <x:c r="H121" s="44" t="n">
        <x:v>24.6751</x:v>
      </x:c>
      <x:c r="I121" s="44" t="n">
        <x:v>21.167</x:v>
      </x:c>
      <x:c r="J121" s="43" t="n">
        <x:v>5</x:v>
      </x:c>
      <x:c r="K121" s="43" t="n">
        <x:v>5</x:v>
      </x:c>
      <x:c r="L121" s="43" t="n">
        <x:v>3</x:v>
      </x:c>
      <x:c r="M121" s="43" t="n">
        <x:v>6</x:v>
      </x:c>
    </x:row>
    <x:row r="122" ht="18" customHeight="1">
      <x:c r="A122" s="43" t="str">
        <x:v>Cavalry</x:v>
      </x:c>
      <x:c r="B122" s="43" t="str">
        <x:v>Cavalry Attack</x:v>
      </x:c>
      <x:c r="C122" s="43" t="str">
        <x:v>Higher</x:v>
      </x:c>
      <x:c r="D122" s="43" t="str">
        <x:v>K170</x:v>
      </x:c>
      <x:c r="E122" s="43" t="str">
        <x:v>(AOT)MG·Yu</x:v>
      </x:c>
      <x:c r="F122" s="44" t="n">
        <x:v>25.552</x:v>
      </x:c>
      <x:c r="G122" s="44" t="n">
        <x:v>25.14425</x:v>
      </x:c>
      <x:c r="H122" s="44" t="n">
        <x:v>24.266799999999996</x:v>
      </x:c>
      <x:c r="I122" s="44" t="n">
        <x:v>21.392</x:v>
      </x:c>
      <x:c r="J122" s="43" t="n">
        <x:v>7</x:v>
      </x:c>
      <x:c r="K122" s="43" t="n">
        <x:v>6</x:v>
      </x:c>
      <x:c r="L122" s="43" t="n">
        <x:v>4</x:v>
      </x:c>
      <x:c r="M122" s="43" t="n">
        <x:v>4</x:v>
      </x:c>
    </x:row>
    <x:row r="123" ht="18" customHeight="1">
      <x:c r="A123" s="43" t="str">
        <x:v>Cavalry</x:v>
      </x:c>
      <x:c r="B123" s="43" t="str">
        <x:v>Cavalry Attack</x:v>
      </x:c>
      <x:c r="C123" s="43" t="str">
        <x:v>Higher</x:v>
      </x:c>
      <x:c r="D123" s="43" t="str">
        <x:v>K54</x:v>
      </x:c>
      <x:c r="E123" s="43" t="str">
        <x:v>纵横,,,大风</x:v>
      </x:c>
      <x:c r="F123" s="44" t="n">
        <x:v>29.020500000000002</x:v>
      </x:c>
      <x:c r="G123" s="44" t="n">
        <x:v>28.4724</x:v>
      </x:c>
      <x:c r="H123" s="44" t="n">
        <x:v>27.6141</x:v>
      </x:c>
      <x:c r="I123" s="44" t="n">
        <x:v>26.110500000000002</x:v>
      </x:c>
      <x:c r="J123" s="43" t="n">
        <x:v>2</x:v>
      </x:c>
      <x:c r="K123" s="43" t="n">
        <x:v>1</x:v>
      </x:c>
      <x:c r="L123" s="43" t="n">
        <x:v>1</x:v>
      </x:c>
      <x:c r="M123" s="43" t="n">
        <x:v>1</x:v>
      </x:c>
    </x:row>
    <x:row r="124" ht="18" customHeight="1">
      <x:c r="A124" s="43" t="str">
        <x:v>Cavalry</x:v>
      </x:c>
      <x:c r="B124" s="43" t="str">
        <x:v>Cavalry Attack</x:v>
      </x:c>
      <x:c r="C124" s="43" t="str">
        <x:v>Higher</x:v>
      </x:c>
      <x:c r="D124" s="43" t="str">
        <x:v>K197</x:v>
      </x:c>
      <x:c r="E124" s="43" t="str">
        <x:v>Хлебушек</x:v>
      </x:c>
      <x:c r="F124" s="44" t="n">
        <x:v>29.883499999999998</x:v>
      </x:c>
      <x:c r="G124" s="44" t="n">
        <x:v>26.649949999999997</x:v>
      </x:c>
      <x:c r="H124" s="44" t="n">
        <x:v>24.154200000000003</x:v>
      </x:c>
      <x:c r="I124" s="44" t="n">
        <x:v>13.45</x:v>
      </x:c>
      <x:c r="J124" s="43" t="n">
        <x:v>1</x:v>
      </x:c>
      <x:c r="K124" s="43" t="n">
        <x:v>3</x:v>
      </x:c>
      <x:c r="L124" s="43" t="n">
        <x:v>5</x:v>
      </x:c>
      <x:c r="M124" s="43" t="n">
        <x:v>7</x:v>
      </x:c>
    </x:row>
    <x:row r="125" ht="18" customHeight="1">
      <x:c r="A125" s="43" t="str">
        <x:v>Cavalry</x:v>
      </x:c>
      <x:c r="B125" s="43" t="str">
        <x:v>Cavalry Attack</x:v>
      </x:c>
      <x:c r="C125" s="43" t="str">
        <x:v>Higher</x:v>
      </x:c>
      <x:c r="D125" s="43" t="str">
        <x:v>K176</x:v>
      </x:c>
      <x:c r="E125" s="43" t="str">
        <x:v>༺璀璨星辰༻</x:v>
      </x:c>
      <x:c r="F125" s="44" t="n">
        <x:v>27.822</x:v>
      </x:c>
      <x:c r="G125" s="44" t="n">
        <x:v>27.078</x:v>
      </x:c>
      <x:c r="H125" s="44" t="n">
        <x:v>26.169999999999998</x:v>
      </x:c>
      <x:c r="I125" s="44" t="n">
        <x:v>23.362</x:v>
      </x:c>
      <x:c r="J125" s="43" t="n">
        <x:v>3</x:v>
      </x:c>
      <x:c r="K125" s="43" t="n">
        <x:v>2</x:v>
      </x:c>
      <x:c r="L125" s="43" t="n">
        <x:v>2</x:v>
      </x:c>
      <x:c r="M125" s="43" t="n">
        <x:v>2</x:v>
      </x:c>
    </x:row>
    <x:row r="126" ht="18" customHeight="1">
      <x:c r="A126" s="43" t="str">
        <x:v>Cavalry</x:v>
      </x:c>
      <x:c r="B126" s="43" t="str">
        <x:v>Cavalry Health</x:v>
      </x:c>
      <x:c r="C126" s="43" t="str">
        <x:v>Higher</x:v>
      </x:c>
      <x:c r="D126" s="43" t="str">
        <x:v>K60</x:v>
      </x:c>
      <x:c r="E126" s="43" t="str">
        <x:v>#11 元气满满 (122,000)</x:v>
      </x:c>
      <x:c r="F126" s="44" t="n">
        <x:v>18.552</x:v>
      </x:c>
      <x:c r="G126" s="44" t="n">
        <x:v>18.357</x:v>
      </x:c>
      <x:c r="H126" s="44" t="n">
        <x:v>18.009999999999998</x:v>
      </x:c>
      <x:c r="I126" s="44" t="n">
        <x:v>15.432</x:v>
      </x:c>
      <x:c r="J126" s="43" t="n">
        <x:v>8</x:v>
      </x:c>
      <x:c r="K126" s="43" t="n">
        <x:v>8</x:v>
      </x:c>
      <x:c r="L126" s="43" t="n">
        <x:v>4</x:v>
      </x:c>
      <x:c r="M126" s="43" t="n">
        <x:v>3</x:v>
      </x:c>
    </x:row>
    <x:row r="127" ht="18" customHeight="1">
      <x:c r="A127" s="43" t="str">
        <x:v>Cavalry</x:v>
      </x:c>
      <x:c r="B127" s="43" t="str">
        <x:v>Cavalry Health</x:v>
      </x:c>
      <x:c r="C127" s="43" t="str">
        <x:v>Higher</x:v>
      </x:c>
      <x:c r="D127" s="43" t="str">
        <x:v>K91</x:v>
      </x:c>
      <x:c r="E127" s="43" t="str">
        <x:v>•Pain•</x:v>
      </x:c>
      <x:c r="F127" s="44" t="n">
        <x:v>21.28</x:v>
      </x:c>
      <x:c r="G127" s="44" t="n">
        <x:v>18.967</x:v>
      </x:c>
      <x:c r="H127" s="44" t="n">
        <x:v>16.804</x:v>
      </x:c>
      <x:c r="I127" s="44" t="n">
        <x:v>10.365</x:v>
      </x:c>
      <x:c r="J127" s="43" t="n">
        <x:v>2</x:v>
      </x:c>
      <x:c r="K127" s="43" t="n">
        <x:v>3</x:v>
      </x:c>
      <x:c r="L127" s="43" t="n">
        <x:v>8</x:v>
      </x:c>
      <x:c r="M127" s="43" t="n">
        <x:v>8</x:v>
      </x:c>
    </x:row>
    <x:row r="128" ht="18" customHeight="1">
      <x:c r="A128" s="43" t="str">
        <x:v>Cavalry</x:v>
      </x:c>
      <x:c r="B128" s="43" t="str">
        <x:v>Cavalry Health</x:v>
      </x:c>
      <x:c r="C128" s="43" t="str">
        <x:v>Higher</x:v>
      </x:c>
      <x:c r="D128" s="43" t="str">
        <x:v>K116</x:v>
      </x:c>
      <x:c r="E128" s="43" t="str">
        <x:v>Jesse</x:v>
      </x:c>
      <x:c r="F128" s="44" t="n">
        <x:v>19.08</x:v>
      </x:c>
      <x:c r="G128" s="44" t="n">
        <x:v>18.695549999999997</x:v>
      </x:c>
      <x:c r="H128" s="44" t="n">
        <x:v>17.819499999999998</x:v>
      </x:c>
      <x:c r="I128" s="44" t="n">
        <x:v>14.665</x:v>
      </x:c>
      <x:c r="J128" s="43" t="n">
        <x:v>6</x:v>
      </x:c>
      <x:c r="K128" s="43" t="n">
        <x:v>7</x:v>
      </x:c>
      <x:c r="L128" s="43" t="n">
        <x:v>6</x:v>
      </x:c>
      <x:c r="M128" s="43" t="n">
        <x:v>4</x:v>
      </x:c>
    </x:row>
    <x:row r="129" ht="18" customHeight="1">
      <x:c r="A129" s="43" t="str">
        <x:v>Cavalry</x:v>
      </x:c>
      <x:c r="B129" s="43" t="str">
        <x:v>Cavalry Health</x:v>
      </x:c>
      <x:c r="C129" s="43" t="str">
        <x:v>Higher</x:v>
      </x:c>
      <x:c r="D129" s="43" t="str">
        <x:v>K138</x:v>
      </x:c>
      <x:c r="E129" s="43" t="str">
        <x:v>(RaW)༺博卡Ajax༻</x:v>
      </x:c>
      <x:c r="F129" s="44" t="n">
        <x:v>19.372</x:v>
      </x:c>
      <x:c r="G129" s="44" t="n">
        <x:v>18.8199</x:v>
      </x:c>
      <x:c r="H129" s="44" t="n">
        <x:v>18.086599999999997</x:v>
      </x:c>
      <x:c r="I129" s="44" t="n">
        <x:v>14.272</x:v>
      </x:c>
      <x:c r="J129" s="43" t="n">
        <x:v>4</x:v>
      </x:c>
      <x:c r="K129" s="43" t="n">
        <x:v>6</x:v>
      </x:c>
      <x:c r="L129" s="43" t="n">
        <x:v>3</x:v>
      </x:c>
      <x:c r="M129" s="43" t="n">
        <x:v>6</x:v>
      </x:c>
    </x:row>
    <x:row r="130" ht="18" customHeight="1">
      <x:c r="A130" s="43" t="str">
        <x:v>Cavalry</x:v>
      </x:c>
      <x:c r="B130" s="43" t="str">
        <x:v>Cavalry Health</x:v>
      </x:c>
      <x:c r="C130" s="43" t="str">
        <x:v>Higher</x:v>
      </x:c>
      <x:c r="D130" s="43" t="str">
        <x:v>K170</x:v>
      </x:c>
      <x:c r="E130" s="43" t="str">
        <x:v>(AOT)MG·Yu</x:v>
      </x:c>
      <x:c r="F130" s="44" t="n">
        <x:v>19.05</x:v>
      </x:c>
      <x:c r="G130" s="44" t="n">
        <x:v>18.9045</x:v>
      </x:c>
      <x:c r="H130" s="44" t="n">
        <x:v>18.591</x:v>
      </x:c>
      <x:c r="I130" s="44" t="n">
        <x:v>16.492</x:v>
      </x:c>
      <x:c r="J130" s="43" t="n">
        <x:v>7</x:v>
      </x:c>
      <x:c r="K130" s="43" t="n">
        <x:v>4</x:v>
      </x:c>
      <x:c r="L130" s="43" t="n">
        <x:v>1</x:v>
      </x:c>
      <x:c r="M130" s="43" t="n">
        <x:v>1</x:v>
      </x:c>
    </x:row>
    <x:row r="131" ht="18" customHeight="1">
      <x:c r="A131" s="43" t="str">
        <x:v>Cavalry</x:v>
      </x:c>
      <x:c r="B131" s="43" t="str">
        <x:v>Cavalry Health</x:v>
      </x:c>
      <x:c r="C131" s="43" t="str">
        <x:v>Higher</x:v>
      </x:c>
      <x:c r="D131" s="43" t="str">
        <x:v>K54</x:v>
      </x:c>
      <x:c r="E131" s="43" t="str">
        <x:v>爽歪歪</x:v>
      </x:c>
      <x:c r="F131" s="44" t="n">
        <x:v>21.45</x:v>
      </x:c>
      <x:c r="G131" s="44" t="n">
        <x:v>20.151</x:v>
      </x:c>
      <x:c r="H131" s="44" t="n">
        <x:v>17.978699999999996</x:v>
      </x:c>
      <x:c r="I131" s="44" t="n">
        <x:v>14.6</x:v>
      </x:c>
      <x:c r="J131" s="43" t="n">
        <x:v>1</x:v>
      </x:c>
      <x:c r="K131" s="43" t="n">
        <x:v>1</x:v>
      </x:c>
      <x:c r="L131" s="43" t="n">
        <x:v>5</x:v>
      </x:c>
      <x:c r="M131" s="43" t="n">
        <x:v>5</x:v>
      </x:c>
    </x:row>
    <x:row r="132" ht="18" customHeight="1">
      <x:c r="A132" s="43" t="str">
        <x:v>Cavalry</x:v>
      </x:c>
      <x:c r="B132" s="43" t="str">
        <x:v>Cavalry Health</x:v>
      </x:c>
      <x:c r="C132" s="43" t="str">
        <x:v>Higher</x:v>
      </x:c>
      <x:c r="D132" s="43" t="str">
        <x:v>K197</x:v>
      </x:c>
      <x:c r="E132" s="43" t="str">
        <x:v>Хлебушек</x:v>
      </x:c>
      <x:c r="F132" s="44" t="n">
        <x:v>19.32</x:v>
      </x:c>
      <x:c r="G132" s="44" t="n">
        <x:v>18.84515</x:v>
      </x:c>
      <x:c r="H132" s="44" t="n">
        <x:v>17.7661</x:v>
      </x:c>
      <x:c r="I132" s="44" t="n">
        <x:v>10.71</x:v>
      </x:c>
      <x:c r="J132" s="43" t="n">
        <x:v>5</x:v>
      </x:c>
      <x:c r="K132" s="43" t="n">
        <x:v>5</x:v>
      </x:c>
      <x:c r="L132" s="43" t="n">
        <x:v>7</x:v>
      </x:c>
      <x:c r="M132" s="43" t="n">
        <x:v>7</x:v>
      </x:c>
    </x:row>
    <x:row r="133" ht="18" customHeight="1">
      <x:c r="A133" s="43" t="str">
        <x:v>Cavalry</x:v>
      </x:c>
      <x:c r="B133" s="43" t="str">
        <x:v>Cavalry Health</x:v>
      </x:c>
      <x:c r="C133" s="43" t="str">
        <x:v>Higher</x:v>
      </x:c>
      <x:c r="D133" s="43" t="str">
        <x:v>K176</x:v>
      </x:c>
      <x:c r="E133" s="43" t="str">
        <x:v>苟拓通天肆意妄为</x:v>
      </x:c>
      <x:c r="F133" s="44" t="n">
        <x:v>19.985</x:v>
      </x:c>
      <x:c r="G133" s="44" t="n">
        <x:v>19.378999999999998</x:v>
      </x:c>
      <x:c r="H133" s="44" t="n">
        <x:v>18.329</x:v>
      </x:c>
      <x:c r="I133" s="44" t="n">
        <x:v>15.775</x:v>
      </x:c>
      <x:c r="J133" s="43" t="n">
        <x:v>3</x:v>
      </x:c>
      <x:c r="K133" s="43" t="n">
        <x:v>2</x:v>
      </x:c>
      <x:c r="L133" s="43" t="n">
        <x:v>2</x:v>
      </x:c>
      <x:c r="M133" s="43" t="n">
        <x:v>2</x:v>
      </x:c>
    </x:row>
    <x:row r="134" ht="18" customHeight="1">
      <x:c r="A134" s="43" t="str">
        <x:v>Cavalry</x:v>
      </x:c>
      <x:c r="B134" s="43" t="str">
        <x:v>Cavalry Defense</x:v>
      </x:c>
      <x:c r="C134" s="43" t="str">
        <x:v>Higher</x:v>
      </x:c>
      <x:c r="D134" s="43" t="str">
        <x:v>K60</x:v>
      </x:c>
      <x:c r="E134" s="43" t="str">
        <x:v>InFlames</x:v>
      </x:c>
      <x:c r="F134" s="44" t="n">
        <x:v>14.047</x:v>
      </x:c>
      <x:c r="G134" s="44" t="n">
        <x:v>13.5195</x:v>
      </x:c>
      <x:c r="H134" s="44" t="n">
        <x:v>13.1394</x:v>
      </x:c>
      <x:c r="I134" s="44" t="n">
        <x:v>12.1</x:v>
      </x:c>
      <x:c r="J134" s="43" t="n">
        <x:v>7</x:v>
      </x:c>
      <x:c r="K134" s="43" t="n">
        <x:v>7</x:v>
      </x:c>
      <x:c r="L134" s="43" t="n">
        <x:v>7</x:v>
      </x:c>
      <x:c r="M134" s="43" t="n">
        <x:v>2</x:v>
      </x:c>
    </x:row>
    <x:row r="135" ht="18" customHeight="1">
      <x:c r="A135" s="43" t="str">
        <x:v>Cavalry</x:v>
      </x:c>
      <x:c r="B135" s="43" t="str">
        <x:v>Cavalry Defense</x:v>
      </x:c>
      <x:c r="C135" s="43" t="str">
        <x:v>Higher</x:v>
      </x:c>
      <x:c r="D135" s="43" t="str">
        <x:v>K91</x:v>
      </x:c>
      <x:c r="E135" s="43" t="str">
        <x:v>•Pain•</x:v>
      </x:c>
      <x:c r="F135" s="44" t="n">
        <x:v>18.15</x:v>
      </x:c>
      <x:c r="G135" s="44" t="n">
        <x:v>16.8485</x:v>
      </x:c>
      <x:c r="H135" s="44" t="n">
        <x:v>15.3796</x:v>
      </x:c>
      <x:c r="I135" s="44" t="n">
        <x:v>7.007</x:v>
      </x:c>
      <x:c r="J135" s="43" t="n">
        <x:v>2</x:v>
      </x:c>
      <x:c r="K135" s="43" t="n">
        <x:v>1</x:v>
      </x:c>
      <x:c r="L135" s="43" t="n">
        <x:v>2</x:v>
      </x:c>
      <x:c r="M135" s="43" t="n">
        <x:v>8</x:v>
      </x:c>
    </x:row>
    <x:row r="136" ht="18" customHeight="1">
      <x:c r="A136" s="43" t="str">
        <x:v>Cavalry</x:v>
      </x:c>
      <x:c r="B136" s="43" t="str">
        <x:v>Cavalry Defense</x:v>
      </x:c>
      <x:c r="C136" s="43" t="str">
        <x:v>Higher</x:v>
      </x:c>
      <x:c r="D136" s="43" t="str">
        <x:v>K116</x:v>
      </x:c>
      <x:c r="E136" s="43" t="str">
        <x:v>那时像风一样</x:v>
      </x:c>
      <x:c r="F136" s="44" t="n">
        <x:v>16.412</x:v>
      </x:c>
      <x:c r="G136" s="44" t="n">
        <x:v>16.1749</x:v>
      </x:c>
      <x:c r="H136" s="44" t="n">
        <x:v>14.902199999999999</x:v>
      </x:c>
      <x:c r="I136" s="44" t="n">
        <x:v>11.004999999999999</x:v>
      </x:c>
      <x:c r="J136" s="43" t="n">
        <x:v>4</x:v>
      </x:c>
      <x:c r="K136" s="43" t="n">
        <x:v>3</x:v>
      </x:c>
      <x:c r="L136" s="43" t="n">
        <x:v>3</x:v>
      </x:c>
      <x:c r="M136" s="43" t="n">
        <x:v>3</x:v>
      </x:c>
    </x:row>
    <x:row r="137" ht="18" customHeight="1">
      <x:c r="A137" s="43" t="str">
        <x:v>Cavalry</x:v>
      </x:c>
      <x:c r="B137" s="43" t="str">
        <x:v>Cavalry Defense</x:v>
      </x:c>
      <x:c r="C137" s="43" t="str">
        <x:v>Higher</x:v>
      </x:c>
      <x:c r="D137" s="43" t="str">
        <x:v>K138</x:v>
      </x:c>
      <x:c r="E137" s="43" t="str">
        <x:v>(RaW)༺博卡Ajax༻</x:v>
      </x:c>
      <x:c r="F137" s="44" t="n">
        <x:v>13.385</x:v>
      </x:c>
      <x:c r="G137" s="44" t="n">
        <x:v>12.918500000000002</x:v>
      </x:c>
      <x:c r="H137" s="44" t="n">
        <x:v>12.155899999999999</x:v>
      </x:c>
      <x:c r="I137" s="44" t="n">
        <x:v>8.6235</x:v>
      </x:c>
      <x:c r="J137" s="43" t="n">
        <x:v>8</x:v>
      </x:c>
      <x:c r="K137" s="43" t="n">
        <x:v>8</x:v>
      </x:c>
      <x:c r="L137" s="43" t="n">
        <x:v>8</x:v>
      </x:c>
      <x:c r="M137" s="43" t="n">
        <x:v>6</x:v>
      </x:c>
    </x:row>
    <x:row r="138" ht="18" customHeight="1">
      <x:c r="A138" s="43" t="str">
        <x:v>Cavalry</x:v>
      </x:c>
      <x:c r="B138" s="43" t="str">
        <x:v>Cavalry Defense</x:v>
      </x:c>
      <x:c r="C138" s="43" t="str">
        <x:v>Higher</x:v>
      </x:c>
      <x:c r="D138" s="43" t="str">
        <x:v>K170</x:v>
      </x:c>
      <x:c r="E138" s="43" t="str">
        <x:v>(AOT)MG·Yu</x:v>
      </x:c>
      <x:c r="F138" s="44" t="n">
        <x:v>18.657</x:v>
      </x:c>
      <x:c r="G138" s="44" t="n">
        <x:v>16.14895</x:v>
      </x:c>
      <x:c r="H138" s="44" t="n">
        <x:v>13.9969</x:v>
      </x:c>
      <x:c r="I138" s="44" t="n">
        <x:v>9.66</x:v>
      </x:c>
      <x:c r="J138" s="43" t="n">
        <x:v>1</x:v>
      </x:c>
      <x:c r="K138" s="43" t="n">
        <x:v>4</x:v>
      </x:c>
      <x:c r="L138" s="43" t="n">
        <x:v>4</x:v>
      </x:c>
      <x:c r="M138" s="43" t="n">
        <x:v>5</x:v>
      </x:c>
    </x:row>
    <x:row r="139" ht="18" customHeight="1">
      <x:c r="A139" s="43" t="str">
        <x:v>Cavalry</x:v>
      </x:c>
      <x:c r="B139" s="43" t="str">
        <x:v>Cavalry Defense</x:v>
      </x:c>
      <x:c r="C139" s="43" t="str">
        <x:v>Higher</x:v>
      </x:c>
      <x:c r="D139" s="43" t="str">
        <x:v>K54</x:v>
      </x:c>
      <x:c r="E139" s="43" t="str">
        <x:v>醉红尘</x:v>
      </x:c>
      <x:c r="F139" s="44" t="n">
        <x:v>16.227</x:v>
      </x:c>
      <x:c r="G139" s="44" t="n">
        <x:v>14.9929</x:v>
      </x:c>
      <x:c r="H139" s="44" t="n">
        <x:v>13.1816</x:v>
      </x:c>
      <x:c r="I139" s="44" t="n">
        <x:v>10.567</x:v>
      </x:c>
      <x:c r="J139" s="43" t="n">
        <x:v>5</x:v>
      </x:c>
      <x:c r="K139" s="43" t="n">
        <x:v>6</x:v>
      </x:c>
      <x:c r="L139" s="43" t="n">
        <x:v>6</x:v>
      </x:c>
      <x:c r="M139" s="43" t="n">
        <x:v>4</x:v>
      </x:c>
    </x:row>
    <x:row r="140" ht="18" customHeight="1">
      <x:c r="A140" s="43" t="str">
        <x:v>Cavalry</x:v>
      </x:c>
      <x:c r="B140" s="43" t="str">
        <x:v>Cavalry Defense</x:v>
      </x:c>
      <x:c r="C140" s="43" t="str">
        <x:v>Higher</x:v>
      </x:c>
      <x:c r="D140" s="43" t="str">
        <x:v>K197</x:v>
      </x:c>
      <x:c r="E140" s="43" t="str">
        <x:v>Хлебушек</x:v>
      </x:c>
      <x:c r="F140" s="44" t="n">
        <x:v>16.08</x:v>
      </x:c>
      <x:c r="G140" s="44" t="n">
        <x:v>15.6545</x:v>
      </x:c>
      <x:c r="H140" s="44" t="n">
        <x:v>13.767199999999999</x:v>
      </x:c>
      <x:c r="I140" s="44" t="n">
        <x:v>7.407</x:v>
      </x:c>
      <x:c r="J140" s="43" t="n">
        <x:v>6</x:v>
      </x:c>
      <x:c r="K140" s="43" t="n">
        <x:v>5</x:v>
      </x:c>
      <x:c r="L140" s="43" t="n">
        <x:v>5</x:v>
      </x:c>
      <x:c r="M140" s="43" t="n">
        <x:v>7</x:v>
      </x:c>
    </x:row>
    <x:row r="141" ht="18" customHeight="1">
      <x:c r="A141" s="43" t="str">
        <x:v>Cavalry</x:v>
      </x:c>
      <x:c r="B141" s="43" t="str">
        <x:v>Cavalry Defense</x:v>
      </x:c>
      <x:c r="C141" s="43" t="str">
        <x:v>Higher</x:v>
      </x:c>
      <x:c r="D141" s="43" t="str">
        <x:v>K176</x:v>
      </x:c>
      <x:c r="E141" s="43" t="str">
        <x:v>♱Seraphim織羽♱</x:v>
      </x:c>
      <x:c r="F141" s="44" t="n">
        <x:v>17.307000000000002</x:v>
      </x:c>
      <x:c r="G141" s="44" t="n">
        <x:v>16.596</x:v>
      </x:c>
      <x:c r="H141" s="44" t="n">
        <x:v>15.963</x:v>
      </x:c>
      <x:c r="I141" s="44" t="n">
        <x:v>14.732</x:v>
      </x:c>
      <x:c r="J141" s="43" t="n">
        <x:v>3</x:v>
      </x:c>
      <x:c r="K141" s="43" t="n">
        <x:v>2</x:v>
      </x:c>
      <x:c r="L141" s="43" t="n">
        <x:v>1</x:v>
      </x:c>
      <x:c r="M141" s="43" t="n">
        <x:v>1</x:v>
      </x:c>
    </x:row>
    <x:row r="142" ht="18" customHeight="1">
      <x:c r="A142" s="43" t="str">
        <x:v>Cavalry</x:v>
      </x:c>
      <x:c r="B142" s="43" t="str">
        <x:v>Cavalry Damage</x:v>
      </x:c>
      <x:c r="C142" s="43" t="str">
        <x:v>Higher</x:v>
      </x:c>
      <x:c r="D142" s="43" t="str">
        <x:v>K60</x:v>
      </x:c>
      <x:c r="E142" s="43" t="str">
        <x:v>InFlames</x:v>
      </x:c>
      <x:c r="F142" s="44" t="n">
        <x:v>2.1075</x:v>
      </x:c>
      <x:c r="G142" s="44" t="n">
        <x:v>2.0119999999999996</x:v>
      </x:c>
      <x:c r="H142" s="44" t="n">
        <x:v>1.8989999999999998</x:v>
      </x:c>
      <x:c r="I142" s="44" t="n">
        <x:v>1.6725</x:v>
      </x:c>
      <x:c r="J142" s="43" t="n">
        <x:v>3</x:v>
      </x:c>
      <x:c r="K142" s="43" t="n">
        <x:v>3</x:v>
      </x:c>
      <x:c r="L142" s="43" t="n">
        <x:v>2</x:v>
      </x:c>
      <x:c r="M142" s="43" t="n">
        <x:v>1</x:v>
      </x:c>
    </x:row>
    <x:row r="143" ht="18" customHeight="1">
      <x:c r="A143" s="43" t="str">
        <x:v>Cavalry</x:v>
      </x:c>
      <x:c r="B143" s="43" t="str">
        <x:v>Cavalry Damage</x:v>
      </x:c>
      <x:c r="C143" s="43" t="str">
        <x:v>Higher</x:v>
      </x:c>
      <x:c r="D143" s="43" t="str">
        <x:v>K91</x:v>
      </x:c>
      <x:c r="E143" s="43" t="str">
        <x:v>•Pain•</x:v>
      </x:c>
      <x:c r="F143" s="44" t="n">
        <x:v>2.145</x:v>
      </x:c>
      <x:c r="G143" s="44" t="n">
        <x:v>1.9115</x:v>
      </x:c>
      <x:c r="H143" s="44" t="n">
        <x:v>1.709</x:v>
      </x:c>
      <x:c r="I143" s="44" t="n">
        <x:v>1.475</x:v>
      </x:c>
      <x:c r="J143" s="43" t="n">
        <x:v>2</x:v>
      </x:c>
      <x:c r="K143" s="43" t="n">
        <x:v>5</x:v>
      </x:c>
      <x:c r="L143" s="43" t="n">
        <x:v>7</x:v>
      </x:c>
      <x:c r="M143" s="43" t="n">
        <x:v>8</x:v>
      </x:c>
    </x:row>
    <x:row r="144" ht="18" customHeight="1">
      <x:c r="A144" s="43" t="str">
        <x:v>Cavalry</x:v>
      </x:c>
      <x:c r="B144" s="43" t="str">
        <x:v>Cavalry Damage</x:v>
      </x:c>
      <x:c r="C144" s="43" t="str">
        <x:v>Higher</x:v>
      </x:c>
      <x:c r="D144" s="43" t="str">
        <x:v>K116</x:v>
      </x:c>
      <x:c r="E144" s="43" t="str">
        <x:v>Jesse</x:v>
      </x:c>
      <x:c r="F144" s="44" t="n">
        <x:v>2.1075</x:v>
      </x:c>
      <x:c r="G144" s="44" t="n">
        <x:v>1.90975</x:v>
      </x:c>
      <x:c r="H144" s="44" t="n">
        <x:v>1.7634999999999998</x:v>
      </x:c>
      <x:c r="I144" s="44" t="n">
        <x:v>1.5175</x:v>
      </x:c>
      <x:c r="J144" s="43" t="n">
        <x:v>3</x:v>
      </x:c>
      <x:c r="K144" s="43" t="n">
        <x:v>6</x:v>
      </x:c>
      <x:c r="L144" s="43" t="n">
        <x:v>6</x:v>
      </x:c>
      <x:c r="M144" s="43" t="n">
        <x:v>7</x:v>
      </x:c>
    </x:row>
    <x:row r="145" ht="18" customHeight="1">
      <x:c r="A145" s="43" t="str">
        <x:v>Cavalry</x:v>
      </x:c>
      <x:c r="B145" s="43" t="str">
        <x:v>Cavalry Damage</x:v>
      </x:c>
      <x:c r="C145" s="43" t="str">
        <x:v>Higher</x:v>
      </x:c>
      <x:c r="D145" s="43" t="str">
        <x:v>K138</x:v>
      </x:c>
      <x:c r="E145" s="43" t="str">
        <x:v>(RaW)Critykal</x:v>
      </x:c>
      <x:c r="F145" s="44" t="n">
        <x:v>1.9275</x:v>
      </x:c>
      <x:c r="G145" s="44" t="n">
        <x:v>1.89325</x:v>
      </x:c>
      <x:c r="H145" s="44" t="n">
        <x:v>1.8245</x:v>
      </x:c>
      <x:c r="I145" s="44" t="n">
        <x:v>1.545</x:v>
      </x:c>
      <x:c r="J145" s="43" t="n">
        <x:v>7</x:v>
      </x:c>
      <x:c r="K145" s="43" t="n">
        <x:v>7</x:v>
      </x:c>
      <x:c r="L145" s="43" t="n">
        <x:v>5</x:v>
      </x:c>
      <x:c r="M145" s="43" t="n">
        <x:v>5</x:v>
      </x:c>
    </x:row>
    <x:row r="146" ht="18" customHeight="1">
      <x:c r="A146" s="43" t="str">
        <x:v>Cavalry</x:v>
      </x:c>
      <x:c r="B146" s="43" t="str">
        <x:v>Cavalry Damage</x:v>
      </x:c>
      <x:c r="C146" s="43" t="str">
        <x:v>Higher</x:v>
      </x:c>
      <x:c r="D146" s="43" t="str">
        <x:v>K170</x:v>
      </x:c>
      <x:c r="E146" s="43" t="str">
        <x:v>(AOT)MG·Yu</x:v>
      </x:c>
      <x:c r="F146" s="44" t="n">
        <x:v>1.9975</x:v>
      </x:c>
      <x:c r="G146" s="44" t="n">
        <x:v>1.91725</x:v>
      </x:c>
      <x:c r="H146" s="44" t="n">
        <x:v>1.8305</x:v>
      </x:c>
      <x:c r="I146" s="44" t="n">
        <x:v>1.61</x:v>
      </x:c>
      <x:c r="J146" s="43" t="n">
        <x:v>6</x:v>
      </x:c>
      <x:c r="K146" s="43" t="n">
        <x:v>4</x:v>
      </x:c>
      <x:c r="L146" s="43" t="n">
        <x:v>4</x:v>
      </x:c>
      <x:c r="M146" s="43" t="n">
        <x:v>3</x:v>
      </x:c>
    </x:row>
    <x:row r="147" ht="18" customHeight="1">
      <x:c r="A147" s="43" t="str">
        <x:v>Cavalry</x:v>
      </x:c>
      <x:c r="B147" s="43" t="str">
        <x:v>Cavalry Damage</x:v>
      </x:c>
      <x:c r="C147" s="43" t="str">
        <x:v>Higher</x:v>
      </x:c>
      <x:c r="D147" s="43" t="str">
        <x:v>K54</x:v>
      </x:c>
      <x:c r="E147" s="43" t="str">
        <x:v>纵横,,,杀戮</x:v>
      </x:c>
      <x:c r="F147" s="44" t="n">
        <x:v>2.08</x:v>
      </x:c>
      <x:c r="G147" s="44" t="n">
        <x:v>2.0365</x:v>
      </x:c>
      <x:c r="H147" s="44" t="n">
        <x:v>1.9120000000000001</x:v>
      </x:c>
      <x:c r="I147" s="44" t="n">
        <x:v>1.6725</x:v>
      </x:c>
      <x:c r="J147" s="43" t="n">
        <x:v>5</x:v>
      </x:c>
      <x:c r="K147" s="43" t="n">
        <x:v>2</x:v>
      </x:c>
      <x:c r="L147" s="43" t="n">
        <x:v>1</x:v>
      </x:c>
      <x:c r="M147" s="43" t="n">
        <x:v>1</x:v>
      </x:c>
    </x:row>
    <x:row r="148" ht="18" customHeight="1">
      <x:c r="A148" s="43" t="str">
        <x:v>Cavalry</x:v>
      </x:c>
      <x:c r="B148" s="43" t="str">
        <x:v>Cavalry Damage</x:v>
      </x:c>
      <x:c r="C148" s="43" t="str">
        <x:v>Higher</x:v>
      </x:c>
      <x:c r="D148" s="43" t="str">
        <x:v>K197</x:v>
      </x:c>
      <x:c r="E148" s="43" t="str">
        <x:v>Хлебушек</x:v>
      </x:c>
      <x:c r="F148" s="44" t="n">
        <x:v>2.275</x:v>
      </x:c>
      <x:c r="G148" s="44" t="n">
        <x:v>2.0974999999999997</x:v>
      </x:c>
      <x:c r="H148" s="44" t="n">
        <x:v>1.859</x:v>
      </x:c>
      <x:c r="I148" s="44" t="n">
        <x:v>1.5275</x:v>
      </x:c>
      <x:c r="J148" s="43" t="n">
        <x:v>1</x:v>
      </x:c>
      <x:c r="K148" s="43" t="n">
        <x:v>1</x:v>
      </x:c>
      <x:c r="L148" s="43" t="n">
        <x:v>3</x:v>
      </x:c>
      <x:c r="M148" s="43" t="n">
        <x:v>6</x:v>
      </x:c>
    </x:row>
    <x:row r="149" ht="18" customHeight="1">
      <x:c r="A149" s="43" t="str">
        <x:v>Cavalry</x:v>
      </x:c>
      <x:c r="B149" s="43" t="str">
        <x:v>Cavalry Damage</x:v>
      </x:c>
      <x:c r="C149" s="43" t="str">
        <x:v>Higher</x:v>
      </x:c>
      <x:c r="D149" s="43" t="str">
        <x:v>K176</x:v>
      </x:c>
      <x:c r="E149" s="43" t="str">
        <x:v>苟拓通天肆意妄为</x:v>
      </x:c>
      <x:c r="F149" s="44" t="n">
        <x:v>1.805</x:v>
      </x:c>
      <x:c r="G149" s="44" t="n">
        <x:v>1.7624999999999997</x:v>
      </x:c>
      <x:c r="H149" s="44" t="n">
        <x:v>1.707</x:v>
      </x:c>
      <x:c r="I149" s="44" t="n">
        <x:v>1.55625</x:v>
      </x:c>
      <x:c r="J149" s="43" t="n">
        <x:v>8</x:v>
      </x:c>
      <x:c r="K149" s="43" t="n">
        <x:v>8</x:v>
      </x:c>
      <x:c r="L149" s="43" t="n">
        <x:v>8</x:v>
      </x:c>
      <x:c r="M149" s="43" t="n">
        <x:v>4</x:v>
      </x:c>
    </x:row>
    <x:row r="150" ht="18" customHeight="1">
      <x:c r="A150" s="43" t="str">
        <x:v>Cavalry</x:v>
      </x:c>
      <x:c r="B150" s="43" t="str">
        <x:v>Cavalry Damage Received</x:v>
      </x:c>
      <x:c r="C150" s="43" t="str">
        <x:v>Lower</x:v>
      </x:c>
      <x:c r="D150" s="43" t="str">
        <x:v>K60</x:v>
      </x:c>
      <x:c r="E150" s="43" t="str">
        <x:v>CerialKiller</x:v>
      </x:c>
      <x:c r="F150" s="44" t="n">
        <x:v>-1.945</x:v>
      </x:c>
      <x:c r="G150" s="44" t="n">
        <x:v>-1.879</x:v>
      </x:c>
      <x:c r="H150" s="44" t="n">
        <x:v>-1.6940000000000002</x:v>
      </x:c>
      <x:c r="I150" s="44" t="n">
        <x:v>-1.3475</x:v>
      </x:c>
      <x:c r="J150" s="43" t="n">
        <x:v>4</x:v>
      </x:c>
      <x:c r="K150" s="43" t="n">
        <x:v>3</x:v>
      </x:c>
      <x:c r="L150" s="43" t="n">
        <x:v>3</x:v>
      </x:c>
      <x:c r="M150" s="43" t="n">
        <x:v>2</x:v>
      </x:c>
    </x:row>
    <x:row r="151" ht="18" customHeight="1">
      <x:c r="A151" s="43" t="str">
        <x:v>Cavalry</x:v>
      </x:c>
      <x:c r="B151" s="43" t="str">
        <x:v>Cavalry Damage Received</x:v>
      </x:c>
      <x:c r="C151" s="43" t="str">
        <x:v>Lower</x:v>
      </x:c>
      <x:c r="D151" s="43" t="str">
        <x:v>K91</x:v>
      </x:c>
      <x:c r="E151" s="43" t="str">
        <x:v>•Pain•</x:v>
      </x:c>
      <x:c r="F151" s="44" t="n">
        <x:v>-1.965</x:v>
      </x:c>
      <x:c r="G151" s="44" t="n">
        <x:v>-1.8605</x:v>
      </x:c>
      <x:c r="H151" s="44" t="n">
        <x:v>-1.642</x:v>
      </x:c>
      <x:c r="I151" s="44" t="n">
        <x:v>-1.2662499999999999</x:v>
      </x:c>
      <x:c r="J151" s="43" t="n">
        <x:v>2</x:v>
      </x:c>
      <x:c r="K151" s="43" t="n">
        <x:v>4</x:v>
      </x:c>
      <x:c r="L151" s="43" t="n">
        <x:v>4</x:v>
      </x:c>
      <x:c r="M151" s="43" t="n">
        <x:v>8</x:v>
      </x:c>
    </x:row>
    <x:row r="152" ht="18" customHeight="1">
      <x:c r="A152" s="43" t="str">
        <x:v>Cavalry</x:v>
      </x:c>
      <x:c r="B152" s="43" t="str">
        <x:v>Cavalry Damage Received</x:v>
      </x:c>
      <x:c r="C152" s="43" t="str">
        <x:v>Lower</x:v>
      </x:c>
      <x:c r="D152" s="43" t="str">
        <x:v>K116</x:v>
      </x:c>
      <x:c r="E152" s="43" t="str">
        <x:v>Jesse</x:v>
      </x:c>
      <x:c r="F152" s="44" t="n">
        <x:v>-1.725</x:v>
      </x:c>
      <x:c r="G152" s="44" t="n">
        <x:v>-1.5890000000000002</x:v>
      </x:c>
      <x:c r="H152" s="44" t="n">
        <x:v>-1.4674999999999998</x:v>
      </x:c>
      <x:c r="I152" s="44" t="n">
        <x:v>-1.3475</x:v>
      </x:c>
      <x:c r="J152" s="43" t="n">
        <x:v>5</x:v>
      </x:c>
      <x:c r="K152" s="43" t="n">
        <x:v>8</x:v>
      </x:c>
      <x:c r="L152" s="43" t="n">
        <x:v>8</x:v>
      </x:c>
      <x:c r="M152" s="43" t="n">
        <x:v>2</x:v>
      </x:c>
    </x:row>
    <x:row r="153" ht="18" customHeight="1">
      <x:c r="A153" s="43" t="str">
        <x:v>Cavalry</x:v>
      </x:c>
      <x:c r="B153" s="43" t="str">
        <x:v>Cavalry Damage Received</x:v>
      </x:c>
      <x:c r="C153" s="43" t="str">
        <x:v>Lower</x:v>
      </x:c>
      <x:c r="D153" s="43" t="str">
        <x:v>K138</x:v>
      </x:c>
      <x:c r="E153" s="43" t="str">
        <x:v>(RaW)Critykal</x:v>
      </x:c>
      <x:c r="F153" s="44" t="n">
        <x:v>-1.705</x:v>
      </x:c>
      <x:c r="G153" s="44" t="n">
        <x:v>-1.6737499999999998</x:v>
      </x:c>
      <x:c r="H153" s="44" t="n">
        <x:v>-1.5705</x:v>
      </x:c>
      <x:c r="I153" s="44" t="n">
        <x:v>-1.305</x:v>
      </x:c>
      <x:c r="J153" s="43" t="n">
        <x:v>7</x:v>
      </x:c>
      <x:c r="K153" s="43" t="n">
        <x:v>6</x:v>
      </x:c>
      <x:c r="L153" s="43" t="n">
        <x:v>6</x:v>
      </x:c>
      <x:c r="M153" s="43" t="n">
        <x:v>6</x:v>
      </x:c>
    </x:row>
    <x:row r="154" ht="18" customHeight="1">
      <x:c r="A154" s="43" t="str">
        <x:v>Cavalry</x:v>
      </x:c>
      <x:c r="B154" s="43" t="str">
        <x:v>Cavalry Damage Received</x:v>
      </x:c>
      <x:c r="C154" s="43" t="str">
        <x:v>Lower</x:v>
      </x:c>
      <x:c r="D154" s="43" t="str">
        <x:v>K170</x:v>
      </x:c>
      <x:c r="E154" s="43" t="str">
        <x:v>(AOT)MG·Yu</x:v>
      </x:c>
      <x:c r="F154" s="44" t="n">
        <x:v>-1.705</x:v>
      </x:c>
      <x:c r="G154" s="44" t="n">
        <x:v>-1.69775</x:v>
      </x:c>
      <x:c r="H154" s="44" t="n">
        <x:v>-1.5885</x:v>
      </x:c>
      <x:c r="I154" s="44" t="n">
        <x:v>-1.3475</x:v>
      </x:c>
      <x:c r="J154" s="43" t="n">
        <x:v>7</x:v>
      </x:c>
      <x:c r="K154" s="43" t="n">
        <x:v>5</x:v>
      </x:c>
      <x:c r="L154" s="43" t="n">
        <x:v>5</x:v>
      </x:c>
      <x:c r="M154" s="43" t="n">
        <x:v>2</x:v>
      </x:c>
    </x:row>
    <x:row r="155" ht="18" customHeight="1">
      <x:c r="A155" s="43" t="str">
        <x:v>Cavalry</x:v>
      </x:c>
      <x:c r="B155" s="43" t="str">
        <x:v>Cavalry Damage Received</x:v>
      </x:c>
      <x:c r="C155" s="43" t="str">
        <x:v>Lower</x:v>
      </x:c>
      <x:c r="D155" s="43" t="str">
        <x:v>K54</x:v>
      </x:c>
      <x:c r="E155" s="43" t="str">
        <x:v>纵横,,,大风 (+1 tied)</x:v>
      </x:c>
      <x:c r="F155" s="44" t="n">
        <x:v>-1.965</x:v>
      </x:c>
      <x:c r="G155" s="44" t="n">
        <x:v>-1.961</x:v>
      </x:c>
      <x:c r="H155" s="44" t="n">
        <x:v>-1.7625</x:v>
      </x:c>
      <x:c r="I155" s="44" t="n">
        <x:v>-1.4175</x:v>
      </x:c>
      <x:c r="J155" s="43" t="n">
        <x:v>2</x:v>
      </x:c>
      <x:c r="K155" s="43" t="n">
        <x:v>1</x:v>
      </x:c>
      <x:c r="L155" s="43" t="n">
        <x:v>1</x:v>
      </x:c>
      <x:c r="M155" s="43" t="n">
        <x:v>1</x:v>
      </x:c>
    </x:row>
    <x:row r="156" ht="18" customHeight="1">
      <x:c r="A156" s="43" t="str">
        <x:v>Cavalry</x:v>
      </x:c>
      <x:c r="B156" s="43" t="str">
        <x:v>Cavalry Damage Received</x:v>
      </x:c>
      <x:c r="C156" s="43" t="str">
        <x:v>Lower</x:v>
      </x:c>
      <x:c r="D156" s="43" t="str">
        <x:v>K197</x:v>
      </x:c>
      <x:c r="E156" s="43" t="str">
        <x:v>Хлебушек</x:v>
      </x:c>
      <x:c r="F156" s="44" t="n">
        <x:v>-1.975</x:v>
      </x:c>
      <x:c r="G156" s="44" t="n">
        <x:v>-1.9184999999999999</x:v>
      </x:c>
      <x:c r="H156" s="44" t="n">
        <x:v>-1.6965000000000003</x:v>
      </x:c>
      <x:c r="I156" s="44" t="n">
        <x:v>-1.305</x:v>
      </x:c>
      <x:c r="J156" s="43" t="n">
        <x:v>1</x:v>
      </x:c>
      <x:c r="K156" s="43" t="n">
        <x:v>2</x:v>
      </x:c>
      <x:c r="L156" s="43" t="n">
        <x:v>2</x:v>
      </x:c>
      <x:c r="M156" s="43" t="n">
        <x:v>6</x:v>
      </x:c>
    </x:row>
    <x:row r="157" ht="18" customHeight="1">
      <x:c r="A157" s="43" t="str">
        <x:v>Cavalry</x:v>
      </x:c>
      <x:c r="B157" s="43" t="str">
        <x:v>Cavalry Damage Received</x:v>
      </x:c>
      <x:c r="C157" s="43" t="str">
        <x:v>Lower</x:v>
      </x:c>
      <x:c r="D157" s="43" t="str">
        <x:v>K176</x:v>
      </x:c>
      <x:c r="E157" s="43" t="str">
        <x:v>苟拓通天肆意妄为</x:v>
      </x:c>
      <x:c r="F157" s="44" t="n">
        <x:v>-1.725</x:v>
      </x:c>
      <x:c r="G157" s="44" t="n">
        <x:v>-1.6175000000000002</x:v>
      </x:c>
      <x:c r="H157" s="44" t="n">
        <x:v>-1.504</x:v>
      </x:c>
      <x:c r="I157" s="44" t="n">
        <x:v>-1.32625</x:v>
      </x:c>
      <x:c r="J157" s="43" t="n">
        <x:v>5</x:v>
      </x:c>
      <x:c r="K157" s="43" t="n">
        <x:v>7</x:v>
      </x:c>
      <x:c r="L157" s="43" t="n">
        <x:v>7</x:v>
      </x:c>
      <x:c r="M157" s="43" t="n">
        <x:v>5</x:v>
      </x:c>
    </x:row>
    <x:row r="158" ht="18" customHeight="1">
      <x:c r="A158" s="43" t="str">
        <x:v>Cavalry</x:v>
      </x:c>
      <x:c r="B158" s="43" t="str">
        <x:v>Cavalry Attack Blessing</x:v>
      </x:c>
      <x:c r="C158" s="43" t="str">
        <x:v>Higher</x:v>
      </x:c>
      <x:c r="D158" s="43" t="str">
        <x:v>K60</x:v>
      </x:c>
      <x:c r="E158" s="43" t="str">
        <x:v>InFlames</x:v>
      </x:c>
      <x:c r="F158" s="44" t="n">
        <x:v>8.03</x:v>
      </x:c>
      <x:c r="G158" s="44" t="n">
        <x:v>7</x:v>
      </x:c>
      <x:c r="H158" s="44" t="n">
        <x:v>6.192</x:v>
      </x:c>
      <x:c r="I158" s="44" t="n">
        <x:v>4.13</x:v>
      </x:c>
      <x:c r="J158" s="43" t="n">
        <x:v>6</x:v>
      </x:c>
      <x:c r="K158" s="43" t="n">
        <x:v>6</x:v>
      </x:c>
      <x:c r="L158" s="43" t="n">
        <x:v>5</x:v>
      </x:c>
      <x:c r="M158" s="43" t="n">
        <x:v>4</x:v>
      </x:c>
    </x:row>
    <x:row r="159" ht="18" customHeight="1">
      <x:c r="A159" s="43" t="str">
        <x:v>Cavalry</x:v>
      </x:c>
      <x:c r="B159" s="43" t="str">
        <x:v>Cavalry Attack Blessing</x:v>
      </x:c>
      <x:c r="C159" s="43" t="str">
        <x:v>Higher</x:v>
      </x:c>
      <x:c r="D159" s="43" t="str">
        <x:v>K91</x:v>
      </x:c>
      <x:c r="E159" s="43" t="str">
        <x:v>•Pain•</x:v>
      </x:c>
      <x:c r="F159" s="44" t="n">
        <x:v>9</x:v>
      </x:c>
      <x:c r="G159" s="44" t="n">
        <x:v>7.75</x:v>
      </x:c>
      <x:c r="H159" s="44" t="n">
        <x:v>6.066</x:v>
      </x:c>
      <x:c r="I159" s="44" t="n">
        <x:v>2.285</x:v>
      </x:c>
      <x:c r="J159" s="43" t="n">
        <x:v>1</x:v>
      </x:c>
      <x:c r="K159" s="43" t="n">
        <x:v>4</x:v>
      </x:c>
      <x:c r="L159" s="43" t="n">
        <x:v>6</x:v>
      </x:c>
      <x:c r="M159" s="43" t="n">
        <x:v>8</x:v>
      </x:c>
    </x:row>
    <x:row r="160" ht="18" customHeight="1">
      <x:c r="A160" s="43" t="str">
        <x:v>Cavalry</x:v>
      </x:c>
      <x:c r="B160" s="43" t="str">
        <x:v>Cavalry Attack Blessing</x:v>
      </x:c>
      <x:c r="C160" s="43" t="str">
        <x:v>Higher</x:v>
      </x:c>
      <x:c r="D160" s="43" t="str">
        <x:v>K116</x:v>
      </x:c>
      <x:c r="E160" s="43" t="str">
        <x:v>Jesse</x:v>
      </x:c>
      <x:c r="F160" s="44" t="n">
        <x:v>9</x:v>
      </x:c>
      <x:c r="G160" s="44" t="n">
        <x:v>8</x:v>
      </x:c>
      <x:c r="H160" s="44" t="n">
        <x:v>7.4</x:v>
      </x:c>
      <x:c r="I160" s="44" t="n">
        <x:v>4.52</x:v>
      </x:c>
      <x:c r="J160" s="43" t="n">
        <x:v>1</x:v>
      </x:c>
      <x:c r="K160" s="43" t="n">
        <x:v>2</x:v>
      </x:c>
      <x:c r="L160" s="43" t="n">
        <x:v>2</x:v>
      </x:c>
      <x:c r="M160" s="43" t="n">
        <x:v>2</x:v>
      </x:c>
    </x:row>
    <x:row r="161" ht="18" customHeight="1">
      <x:c r="A161" s="43" t="str">
        <x:v>Cavalry</x:v>
      </x:c>
      <x:c r="B161" s="43" t="str">
        <x:v>Cavalry Attack Blessing</x:v>
      </x:c>
      <x:c r="C161" s="43" t="str">
        <x:v>Higher</x:v>
      </x:c>
      <x:c r="D161" s="43" t="str">
        <x:v>K138</x:v>
      </x:c>
      <x:c r="E161" s="43" t="str">
        <x:v>(RaW)Critykal</x:v>
      </x:c>
      <x:c r="F161" s="44" t="n">
        <x:v>6.03</x:v>
      </x:c>
      <x:c r="G161" s="44" t="n">
        <x:v>5.779</x:v>
      </x:c>
      <x:c r="H161" s="44" t="n">
        <x:v>5.504</x:v>
      </x:c>
      <x:c r="I161" s="44" t="n">
        <x:v>2.67</x:v>
      </x:c>
      <x:c r="J161" s="43" t="n">
        <x:v>7</x:v>
      </x:c>
      <x:c r="K161" s="43" t="n">
        <x:v>8</x:v>
      </x:c>
      <x:c r="L161" s="43" t="n">
        <x:v>8</x:v>
      </x:c>
      <x:c r="M161" s="43" t="n">
        <x:v>6</x:v>
      </x:c>
    </x:row>
    <x:row r="162" ht="18" customHeight="1">
      <x:c r="A162" s="43" t="str">
        <x:v>Cavalry</x:v>
      </x:c>
      <x:c r="B162" s="43" t="str">
        <x:v>Cavalry Attack Blessing</x:v>
      </x:c>
      <x:c r="C162" s="43" t="str">
        <x:v>Higher</x:v>
      </x:c>
      <x:c r="D162" s="43" t="str">
        <x:v>K170</x:v>
      </x:c>
      <x:c r="E162" s="43" t="str">
        <x:v>(AOT)SanSW°</x:v>
      </x:c>
      <x:c r="F162" s="44" t="n">
        <x:v>6.03</x:v>
      </x:c>
      <x:c r="G162" s="44" t="n">
        <x:v>5.9590000000000005</x:v>
      </x:c>
      <x:c r="H162" s="44" t="n">
        <x:v>5.69</x:v>
      </x:c>
      <x:c r="I162" s="44" t="n">
        <x:v>3.2</x:v>
      </x:c>
      <x:c r="J162" s="43" t="n">
        <x:v>7</x:v>
      </x:c>
      <x:c r="K162" s="43" t="n">
        <x:v>7</x:v>
      </x:c>
      <x:c r="L162" s="43" t="n">
        <x:v>7</x:v>
      </x:c>
      <x:c r="M162" s="43" t="n">
        <x:v>5</x:v>
      </x:c>
    </x:row>
    <x:row r="163" ht="18" customHeight="1">
      <x:c r="A163" s="43" t="str">
        <x:v>Cavalry</x:v>
      </x:c>
      <x:c r="B163" s="43" t="str">
        <x:v>Cavalry Attack Blessing</x:v>
      </x:c>
      <x:c r="C163" s="43" t="str">
        <x:v>Higher</x:v>
      </x:c>
      <x:c r="D163" s="43" t="str">
        <x:v>K54</x:v>
      </x:c>
      <x:c r="E163" s="43" t="str">
        <x:v>爽歪歪 (+1 tied)</x:v>
      </x:c>
      <x:c r="F163" s="44" t="n">
        <x:v>9</x:v>
      </x:c>
      <x:c r="G163" s="44" t="n">
        <x:v>8.6</x:v>
      </x:c>
      <x:c r="H163" s="44" t="n">
        <x:v>7.426</x:v>
      </x:c>
      <x:c r="I163" s="44" t="n">
        <x:v>6.03</x:v>
      </x:c>
      <x:c r="J163" s="43" t="n">
        <x:v>1</x:v>
      </x:c>
      <x:c r="K163" s="43" t="n">
        <x:v>1</x:v>
      </x:c>
      <x:c r="L163" s="43" t="n">
        <x:v>1</x:v>
      </x:c>
      <x:c r="M163" s="43" t="n">
        <x:v>1</x:v>
      </x:c>
    </x:row>
    <x:row r="164" ht="18" customHeight="1">
      <x:c r="A164" s="43" t="str">
        <x:v>Cavalry</x:v>
      </x:c>
      <x:c r="B164" s="43" t="str">
        <x:v>Cavalry Attack Blessing</x:v>
      </x:c>
      <x:c r="C164" s="43" t="str">
        <x:v>Higher</x:v>
      </x:c>
      <x:c r="D164" s="43" t="str">
        <x:v>K197</x:v>
      </x:c>
      <x:c r="E164" s="43" t="str">
        <x:v>Хлебушек</x:v>
      </x:c>
      <x:c r="F164" s="44" t="n">
        <x:v>9</x:v>
      </x:c>
      <x:c r="G164" s="44" t="n">
        <x:v>7.862</x:v>
      </x:c>
      <x:c r="H164" s="44" t="n">
        <x:v>6.545999999999999</x:v>
      </x:c>
      <x:c r="I164" s="44" t="n">
        <x:v>2.49</x:v>
      </x:c>
      <x:c r="J164" s="43" t="n">
        <x:v>1</x:v>
      </x:c>
      <x:c r="K164" s="43" t="n">
        <x:v>3</x:v>
      </x:c>
      <x:c r="L164" s="43" t="n">
        <x:v>4</x:v>
      </x:c>
      <x:c r="M164" s="43" t="n">
        <x:v>7</x:v>
      </x:c>
    </x:row>
    <x:row r="165" ht="18" customHeight="1">
      <x:c r="A165" s="43" t="str">
        <x:v>Cavalry</x:v>
      </x:c>
      <x:c r="B165" s="43" t="str">
        <x:v>Cavalry Attack Blessing</x:v>
      </x:c>
      <x:c r="C165" s="43" t="str">
        <x:v>Higher</x:v>
      </x:c>
      <x:c r="D165" s="43" t="str">
        <x:v>K176</x:v>
      </x:c>
      <x:c r="E165" s="43" t="str">
        <x:v>苟拓通天肆意妄为</x:v>
      </x:c>
      <x:c r="F165" s="44" t="n">
        <x:v>8.21</x:v>
      </x:c>
      <x:c r="G165" s="44" t="n">
        <x:v>7.457</x:v>
      </x:c>
      <x:c r="H165" s="44" t="n">
        <x:v>6.758</x:v>
      </x:c>
      <x:c r="I165" s="44" t="n">
        <x:v>4.279999999999999</x:v>
      </x:c>
      <x:c r="J165" s="43" t="n">
        <x:v>5</x:v>
      </x:c>
      <x:c r="K165" s="43" t="n">
        <x:v>5</x:v>
      </x:c>
      <x:c r="L165" s="43" t="n">
        <x:v>3</x:v>
      </x:c>
      <x:c r="M165" s="43" t="n">
        <x:v>3</x:v>
      </x:c>
    </x:row>
    <x:row r="166" ht="18" customHeight="1">
      <x:c r="A166" s="43" t="str">
        <x:v>Cavalry</x:v>
      </x:c>
      <x:c r="B166" s="43" t="str">
        <x:v>Cavalry Protection Blessing</x:v>
      </x:c>
      <x:c r="C166" s="43" t="str">
        <x:v>Higher</x:v>
      </x:c>
      <x:c r="D166" s="43" t="str">
        <x:v>K60</x:v>
      </x:c>
      <x:c r="E166" s="43" t="str">
        <x:v>CerialKiller</x:v>
      </x:c>
      <x:c r="F166" s="44" t="n">
        <x:v>5.01</x:v>
      </x:c>
      <x:c r="G166" s="44" t="n">
        <x:v>4.587</x:v>
      </x:c>
      <x:c r="H166" s="44" t="n">
        <x:v>4.102</x:v>
      </x:c>
      <x:c r="I166" s="44" t="n">
        <x:v>2.31</x:v>
      </x:c>
      <x:c r="J166" s="43" t="n">
        <x:v>5</x:v>
      </x:c>
      <x:c r="K166" s="43" t="n">
        <x:v>6</x:v>
      </x:c>
      <x:c r="L166" s="43" t="n">
        <x:v>6</x:v>
      </x:c>
      <x:c r="M166" s="43" t="n">
        <x:v>4</x:v>
      </x:c>
    </x:row>
    <x:row r="167" ht="18" customHeight="1">
      <x:c r="A167" s="43" t="str">
        <x:v>Cavalry</x:v>
      </x:c>
      <x:c r="B167" s="43" t="str">
        <x:v>Cavalry Protection Blessing</x:v>
      </x:c>
      <x:c r="C167" s="43" t="str">
        <x:v>Higher</x:v>
      </x:c>
      <x:c r="D167" s="43" t="str">
        <x:v>K91</x:v>
      </x:c>
      <x:c r="E167" s="43" t="str">
        <x:v>•Pain•</x:v>
      </x:c>
      <x:c r="F167" s="44" t="n">
        <x:v>9</x:v>
      </x:c>
      <x:c r="G167" s="44" t="n">
        <x:v>6.8180000000000005</x:v>
      </x:c>
      <x:c r="H167" s="44" t="n">
        <x:v>4.532</x:v>
      </x:c>
      <x:c r="I167" s="44" t="n">
        <x:v>1.22</x:v>
      </x:c>
      <x:c r="J167" s="43" t="n">
        <x:v>1</x:v>
      </x:c>
      <x:c r="K167" s="43" t="n">
        <x:v>4</x:v>
      </x:c>
      <x:c r="L167" s="43" t="n">
        <x:v>4</x:v>
      </x:c>
      <x:c r="M167" s="43" t="n">
        <x:v>8</x:v>
      </x:c>
    </x:row>
    <x:row r="168" ht="18" customHeight="1">
      <x:c r="A168" s="43" t="str">
        <x:v>Cavalry</x:v>
      </x:c>
      <x:c r="B168" s="43" t="str">
        <x:v>Cavalry Protection Blessing</x:v>
      </x:c>
      <x:c r="C168" s="43" t="str">
        <x:v>Higher</x:v>
      </x:c>
      <x:c r="D168" s="43" t="str">
        <x:v>K116</x:v>
      </x:c>
      <x:c r="E168" s="43" t="str">
        <x:v>Jesse</x:v>
      </x:c>
      <x:c r="F168" s="44" t="n">
        <x:v>9</x:v>
      </x:c>
      <x:c r="G168" s="44" t="n">
        <x:v>8</x:v>
      </x:c>
      <x:c r="H168" s="44" t="n">
        <x:v>6.544</x:v>
      </x:c>
      <x:c r="I168" s="44" t="n">
        <x:v>2.725</x:v>
      </x:c>
      <x:c r="J168" s="43" t="n">
        <x:v>1</x:v>
      </x:c>
      <x:c r="K168" s="43" t="n">
        <x:v>2</x:v>
      </x:c>
      <x:c r="L168" s="43" t="n">
        <x:v>2</x:v>
      </x:c>
      <x:c r="M168" s="43" t="n">
        <x:v>3</x:v>
      </x:c>
    </x:row>
    <x:row r="169" ht="18" customHeight="1">
      <x:c r="A169" s="43" t="str">
        <x:v>Cavalry</x:v>
      </x:c>
      <x:c r="B169" s="43" t="str">
        <x:v>Cavalry Protection Blessing</x:v>
      </x:c>
      <x:c r="C169" s="43" t="str">
        <x:v>Higher</x:v>
      </x:c>
      <x:c r="D169" s="43" t="str">
        <x:v>K138</x:v>
      </x:c>
      <x:c r="E169" s="43" t="str">
        <x:v>(RaW)༺Frankie༻</x:v>
      </x:c>
      <x:c r="F169" s="44" t="n">
        <x:v>4.2</x:v>
      </x:c>
      <x:c r="G169" s="44" t="n">
        <x:v>4.0680000000000005</x:v>
      </x:c>
      <x:c r="H169" s="44" t="n">
        <x:v>3.682</x:v>
      </x:c>
      <x:c r="I169" s="44" t="n">
        <x:v>1.3</x:v>
      </x:c>
      <x:c r="J169" s="43" t="n">
        <x:v>7</x:v>
      </x:c>
      <x:c r="K169" s="43" t="n">
        <x:v>7</x:v>
      </x:c>
      <x:c r="L169" s="43" t="n">
        <x:v>7</x:v>
      </x:c>
      <x:c r="M169" s="43" t="n">
        <x:v>7</x:v>
      </x:c>
    </x:row>
    <x:row r="170" ht="18" customHeight="1">
      <x:c r="A170" s="43" t="str">
        <x:v>Cavalry</x:v>
      </x:c>
      <x:c r="B170" s="43" t="str">
        <x:v>Cavalry Protection Blessing</x:v>
      </x:c>
      <x:c r="C170" s="43" t="str">
        <x:v>Higher</x:v>
      </x:c>
      <x:c r="D170" s="43" t="str">
        <x:v>K170</x:v>
      </x:c>
      <x:c r="E170" s="43" t="str">
        <x:v>(AOT)SanSW°</x:v>
      </x:c>
      <x:c r="F170" s="44" t="n">
        <x:v>3.89</x:v>
      </x:c>
      <x:c r="G170" s="44" t="n">
        <x:v>3.738</x:v>
      </x:c>
      <x:c r="H170" s="44" t="n">
        <x:v>3.466</x:v>
      </x:c>
      <x:c r="I170" s="44" t="n">
        <x:v>1.94</x:v>
      </x:c>
      <x:c r="J170" s="43" t="n">
        <x:v>8</x:v>
      </x:c>
      <x:c r="K170" s="43" t="n">
        <x:v>8</x:v>
      </x:c>
      <x:c r="L170" s="43" t="n">
        <x:v>8</x:v>
      </x:c>
      <x:c r="M170" s="43" t="n">
        <x:v>5</x:v>
      </x:c>
    </x:row>
    <x:row r="171" ht="18" customHeight="1">
      <x:c r="A171" s="43" t="str">
        <x:v>Cavalry</x:v>
      </x:c>
      <x:c r="B171" s="43" t="str">
        <x:v>Cavalry Protection Blessing</x:v>
      </x:c>
      <x:c r="C171" s="43" t="str">
        <x:v>Higher</x:v>
      </x:c>
      <x:c r="D171" s="43" t="str">
        <x:v>K54</x:v>
      </x:c>
      <x:c r="E171" s="43" t="str">
        <x:v>爽歪歪 (+1 tied)</x:v>
      </x:c>
      <x:c r="F171" s="44" t="n">
        <x:v>9</x:v>
      </x:c>
      <x:c r="G171" s="44" t="n">
        <x:v>8.6</x:v>
      </x:c>
      <x:c r="H171" s="44" t="n">
        <x:v>7.2219999999999995</x:v>
      </x:c>
      <x:c r="I171" s="44" t="n">
        <x:v>3.85</x:v>
      </x:c>
      <x:c r="J171" s="43" t="n">
        <x:v>1</x:v>
      </x:c>
      <x:c r="K171" s="43" t="n">
        <x:v>1</x:v>
      </x:c>
      <x:c r="L171" s="43" t="n">
        <x:v>1</x:v>
      </x:c>
      <x:c r="M171" s="43" t="n">
        <x:v>1</x:v>
      </x:c>
    </x:row>
    <x:row r="172" ht="18" customHeight="1">
      <x:c r="A172" s="43" t="str">
        <x:v>Cavalry</x:v>
      </x:c>
      <x:c r="B172" s="43" t="str">
        <x:v>Cavalry Protection Blessing</x:v>
      </x:c>
      <x:c r="C172" s="43" t="str">
        <x:v>Higher</x:v>
      </x:c>
      <x:c r="D172" s="43" t="str">
        <x:v>K197</x:v>
      </x:c>
      <x:c r="E172" s="43" t="str">
        <x:v>Хлебушек</x:v>
      </x:c>
      <x:c r="F172" s="44" t="n">
        <x:v>9</x:v>
      </x:c>
      <x:c r="G172" s="44" t="n">
        <x:v>7.548</x:v>
      </x:c>
      <x:c r="H172" s="44" t="n">
        <x:v>5.228</x:v>
      </x:c>
      <x:c r="I172" s="44" t="n">
        <x:v>1.35</x:v>
      </x:c>
      <x:c r="J172" s="43" t="n">
        <x:v>1</x:v>
      </x:c>
      <x:c r="K172" s="43" t="n">
        <x:v>3</x:v>
      </x:c>
      <x:c r="L172" s="43" t="n">
        <x:v>3</x:v>
      </x:c>
      <x:c r="M172" s="43" t="n">
        <x:v>6</x:v>
      </x:c>
    </x:row>
    <x:row r="173" ht="18" customHeight="1">
      <x:c r="A173" s="43" t="str">
        <x:v>Cavalry</x:v>
      </x:c>
      <x:c r="B173" s="43" t="str">
        <x:v>Cavalry Protection Blessing</x:v>
      </x:c>
      <x:c r="C173" s="43" t="str">
        <x:v>Higher</x:v>
      </x:c>
      <x:c r="D173" s="43" t="str">
        <x:v>K176</x:v>
      </x:c>
      <x:c r="E173" s="43" t="str">
        <x:v>苟拓通天肆意妄为</x:v>
      </x:c>
      <x:c r="F173" s="44" t="n">
        <x:v>4.89</x:v>
      </x:c>
      <x:c r="G173" s="44" t="n">
        <x:v>4.699999999999999</x:v>
      </x:c>
      <x:c r="H173" s="44" t="n">
        <x:v>4.384</x:v>
      </x:c>
      <x:c r="I173" s="44" t="n">
        <x:v>2.77</x:v>
      </x:c>
      <x:c r="J173" s="43" t="n">
        <x:v>6</x:v>
      </x:c>
      <x:c r="K173" s="43" t="n">
        <x:v>5</x:v>
      </x:c>
      <x:c r="L173" s="43" t="n">
        <x:v>5</x:v>
      </x:c>
      <x:c r="M173" s="43" t="n">
        <x:v>2</x:v>
      </x:c>
    </x:row>
    <x:row r="174" ht="18" customHeight="1">
      <x:c r="A174" s="43" t="str">
        <x:v>Archers</x:v>
      </x:c>
      <x:c r="B174" s="43" t="str">
        <x:v>Archer Attack</x:v>
      </x:c>
      <x:c r="C174" s="43" t="str">
        <x:v>Higher</x:v>
      </x:c>
      <x:c r="D174" s="43" t="str">
        <x:v>K60</x:v>
      </x:c>
      <x:c r="E174" s="43" t="str">
        <x:v>CerialKiller</x:v>
      </x:c>
      <x:c r="F174" s="44" t="n">
        <x:v>24.43</x:v>
      </x:c>
      <x:c r="G174" s="44" t="n">
        <x:v>23.676</x:v>
      </x:c>
      <x:c r="H174" s="44" t="n">
        <x:v>22.808000000000003</x:v>
      </x:c>
      <x:c r="I174" s="44" t="n">
        <x:v>20.88</x:v>
      </x:c>
      <x:c r="J174" s="43" t="n">
        <x:v>4</x:v>
      </x:c>
      <x:c r="K174" s="43" t="n">
        <x:v>5</x:v>
      </x:c>
      <x:c r="L174" s="43" t="n">
        <x:v>5</x:v>
      </x:c>
      <x:c r="M174" s="43" t="n">
        <x:v>3</x:v>
      </x:c>
    </x:row>
    <x:row r="175" ht="18" customHeight="1">
      <x:c r="A175" s="43" t="str">
        <x:v>Archers</x:v>
      </x:c>
      <x:c r="B175" s="43" t="str">
        <x:v>Archer Attack</x:v>
      </x:c>
      <x:c r="C175" s="43" t="str">
        <x:v>Higher</x:v>
      </x:c>
      <x:c r="D175" s="43" t="str">
        <x:v>K91</x:v>
      </x:c>
      <x:c r="E175" s="43" t="str">
        <x:v>Nixxx</x:v>
      </x:c>
      <x:c r="F175" s="44" t="n">
        <x:v>26.805500000000002</x:v>
      </x:c>
      <x:c r="G175" s="44" t="n">
        <x:v>26.5755</x:v>
      </x:c>
      <x:c r="H175" s="44" t="n">
        <x:v>25.8675</x:v>
      </x:c>
      <x:c r="I175" s="44" t="n">
        <x:v>22.710500000000003</x:v>
      </x:c>
      <x:c r="J175" s="43" t="n">
        <x:v>1</x:v>
      </x:c>
      <x:c r="K175" s="43" t="n">
        <x:v>2</x:v>
      </x:c>
      <x:c r="L175" s="43" t="n">
        <x:v>2</x:v>
      </x:c>
      <x:c r="M175" s="43" t="n">
        <x:v>2</x:v>
      </x:c>
    </x:row>
    <x:row r="176" ht="18" customHeight="1">
      <x:c r="A176" s="43" t="str">
        <x:v>Archers</x:v>
      </x:c>
      <x:c r="B176" s="43" t="str">
        <x:v>Archer Attack</x:v>
      </x:c>
      <x:c r="C176" s="43" t="str">
        <x:v>Higher</x:v>
      </x:c>
      <x:c r="D176" s="43" t="str">
        <x:v>K116</x:v>
      </x:c>
      <x:c r="E176" s="43" t="str">
        <x:v>汰需尚青</x:v>
      </x:c>
      <x:c r="F176" s="44" t="n">
        <x:v>22.465</x:v>
      </x:c>
      <x:c r="G176" s="44" t="n">
        <x:v>22.3579</x:v>
      </x:c>
      <x:c r="H176" s="44" t="n">
        <x:v>22.055600000000002</x:v>
      </x:c>
      <x:c r="I176" s="44" t="n">
        <x:v>20.1455</x:v>
      </x:c>
      <x:c r="J176" s="43" t="n">
        <x:v>7</x:v>
      </x:c>
      <x:c r="K176" s="43" t="n">
        <x:v>7</x:v>
      </x:c>
      <x:c r="L176" s="43" t="n">
        <x:v>7</x:v>
      </x:c>
      <x:c r="M176" s="43" t="n">
        <x:v>6</x:v>
      </x:c>
    </x:row>
    <x:row r="177" ht="18" customHeight="1">
      <x:c r="A177" s="43" t="str">
        <x:v>Archers</x:v>
      </x:c>
      <x:c r="B177" s="43" t="str">
        <x:v>Archer Attack</x:v>
      </x:c>
      <x:c r="C177" s="43" t="str">
        <x:v>Higher</x:v>
      </x:c>
      <x:c r="D177" s="43" t="str">
        <x:v>K138</x:v>
      </x:c>
      <x:c r="E177" s="43" t="str">
        <x:v>(RaW)༺飞K༻</x:v>
      </x:c>
      <x:c r="F177" s="44" t="n">
        <x:v>23.9955</x:v>
      </x:c>
      <x:c r="G177" s="44" t="n">
        <x:v>23.72245</x:v>
      </x:c>
      <x:c r="H177" s="44" t="n">
        <x:v>23.3038</x:v>
      </x:c>
      <x:c r="I177" s="44" t="n">
        <x:v>20.615</x:v>
      </x:c>
      <x:c r="J177" s="43" t="n">
        <x:v>6</x:v>
      </x:c>
      <x:c r="K177" s="43" t="n">
        <x:v>4</x:v>
      </x:c>
      <x:c r="L177" s="43" t="n">
        <x:v>4</x:v>
      </x:c>
      <x:c r="M177" s="43" t="n">
        <x:v>4</x:v>
      </x:c>
    </x:row>
    <x:row r="178" ht="18" customHeight="1">
      <x:c r="A178" s="43" t="str">
        <x:v>Archers</x:v>
      </x:c>
      <x:c r="B178" s="43" t="str">
        <x:v>Archer Attack</x:v>
      </x:c>
      <x:c r="C178" s="43" t="str">
        <x:v>Higher</x:v>
      </x:c>
      <x:c r="D178" s="43" t="str">
        <x:v>K170</x:v>
      </x:c>
      <x:c r="E178" s="43" t="str">
        <x:v>(AOT)VAB999</x:v>
      </x:c>
      <x:c r="F178" s="44" t="n">
        <x:v>24.8285</x:v>
      </x:c>
      <x:c r="G178" s="44" t="n">
        <x:v>24.38845</x:v>
      </x:c>
      <x:c r="H178" s="44" t="n">
        <x:v>23.4851</x:v>
      </x:c>
      <x:c r="I178" s="44" t="n">
        <x:v>20.2185</x:v>
      </x:c>
      <x:c r="J178" s="43" t="n">
        <x:v>3</x:v>
      </x:c>
      <x:c r="K178" s="43" t="n">
        <x:v>3</x:v>
      </x:c>
      <x:c r="L178" s="43" t="n">
        <x:v>3</x:v>
      </x:c>
      <x:c r="M178" s="43" t="n">
        <x:v>5</x:v>
      </x:c>
    </x:row>
    <x:row r="179" ht="18" customHeight="1">
      <x:c r="A179" s="43" t="str">
        <x:v>Archers</x:v>
      </x:c>
      <x:c r="B179" s="43" t="str">
        <x:v>Archer Attack</x:v>
      </x:c>
      <x:c r="C179" s="43" t="str">
        <x:v>Higher</x:v>
      </x:c>
      <x:c r="D179" s="43" t="str">
        <x:v>K54</x:v>
      </x:c>
      <x:c r="E179" s="43" t="str">
        <x:v>纵横,,,杀戮</x:v>
      </x:c>
      <x:c r="F179" s="44" t="n">
        <x:v>24.385</x:v>
      </x:c>
      <x:c r="G179" s="44" t="n">
        <x:v>23.519000000000002</x:v>
      </x:c>
      <x:c r="H179" s="44" t="n">
        <x:v>22.093</x:v>
      </x:c>
      <x:c r="I179" s="44" t="n">
        <x:v>20.065</x:v>
      </x:c>
      <x:c r="J179" s="43" t="n">
        <x:v>5</x:v>
      </x:c>
      <x:c r="K179" s="43" t="n">
        <x:v>6</x:v>
      </x:c>
      <x:c r="L179" s="43" t="n">
        <x:v>6</x:v>
      </x:c>
      <x:c r="M179" s="43" t="n">
        <x:v>7</x:v>
      </x:c>
    </x:row>
    <x:row r="180" ht="18" customHeight="1">
      <x:c r="A180" s="43" t="str">
        <x:v>Archers</x:v>
      </x:c>
      <x:c r="B180" s="43" t="str">
        <x:v>Archer Attack</x:v>
      </x:c>
      <x:c r="C180" s="43" t="str">
        <x:v>Higher</x:v>
      </x:c>
      <x:c r="D180" s="43" t="str">
        <x:v>K197</x:v>
      </x:c>
      <x:c r="E180" s="43" t="str">
        <x:v>Loong</x:v>
      </x:c>
      <x:c r="F180" s="44" t="n">
        <x:v>26.710500000000003</x:v>
      </x:c>
      <x:c r="G180" s="44" t="n">
        <x:v>26.594350000000002</x:v>
      </x:c>
      <x:c r="H180" s="44" t="n">
        <x:v>26.334400000000006</x:v>
      </x:c>
      <x:c r="I180" s="44" t="n">
        <x:v>23.750500000000002</x:v>
      </x:c>
      <x:c r="J180" s="43" t="n">
        <x:v>2</x:v>
      </x:c>
      <x:c r="K180" s="43" t="n">
        <x:v>1</x:v>
      </x:c>
      <x:c r="L180" s="43" t="n">
        <x:v>1</x:v>
      </x:c>
      <x:c r="M180" s="43" t="n">
        <x:v>1</x:v>
      </x:c>
    </x:row>
    <x:row r="181" ht="18" customHeight="1">
      <x:c r="A181" s="43" t="str">
        <x:v>Archers</x:v>
      </x:c>
      <x:c r="B181" s="43" t="str">
        <x:v>Archer Attack</x:v>
      </x:c>
      <x:c r="C181" s="43" t="str">
        <x:v>Higher</x:v>
      </x:c>
      <x:c r="D181" s="43" t="str">
        <x:v>K176</x:v>
      </x:c>
      <x:c r="E181" s="43" t="str">
        <x:v>灰色轨迹</x:v>
      </x:c>
      <x:c r="F181" s="44" t="n">
        <x:v>21.54</x:v>
      </x:c>
      <x:c r="G181" s="44" t="n">
        <x:v>21.4015</x:v>
      </x:c>
      <x:c r="H181" s="44" t="n">
        <x:v>21.225</x:v>
      </x:c>
      <x:c r="I181" s="44" t="n">
        <x:v>19.735</x:v>
      </x:c>
      <x:c r="J181" s="43" t="n">
        <x:v>8</x:v>
      </x:c>
      <x:c r="K181" s="43" t="n">
        <x:v>8</x:v>
      </x:c>
      <x:c r="L181" s="43" t="n">
        <x:v>8</x:v>
      </x:c>
      <x:c r="M181" s="43" t="n">
        <x:v>8</x:v>
      </x:c>
    </x:row>
    <x:row r="182" ht="18" customHeight="1">
      <x:c r="A182" s="43" t="str">
        <x:v>Archers</x:v>
      </x:c>
      <x:c r="B182" s="43" t="str">
        <x:v>Archer Health</x:v>
      </x:c>
      <x:c r="C182" s="43" t="str">
        <x:v>Higher</x:v>
      </x:c>
      <x:c r="D182" s="43" t="str">
        <x:v>K60</x:v>
      </x:c>
      <x:c r="E182" s="43" t="str">
        <x:v>邪恶的Xero</x:v>
      </x:c>
      <x:c r="F182" s="44" t="n">
        <x:v>17.5635</x:v>
      </x:c>
      <x:c r="G182" s="44" t="n">
        <x:v>17.532500000000002</x:v>
      </x:c>
      <x:c r="H182" s="44" t="n">
        <x:v>17.4655</x:v>
      </x:c>
      <x:c r="I182" s="44" t="n">
        <x:v>16.4885</x:v>
      </x:c>
      <x:c r="J182" s="43" t="n">
        <x:v>6</x:v>
      </x:c>
      <x:c r="K182" s="43" t="n">
        <x:v>5</x:v>
      </x:c>
      <x:c r="L182" s="43" t="n">
        <x:v>5</x:v>
      </x:c>
      <x:c r="M182" s="43" t="n">
        <x:v>3</x:v>
      </x:c>
    </x:row>
    <x:row r="183" ht="18" customHeight="1">
      <x:c r="A183" s="43" t="str">
        <x:v>Archers</x:v>
      </x:c>
      <x:c r="B183" s="43" t="str">
        <x:v>Archer Health</x:v>
      </x:c>
      <x:c r="C183" s="43" t="str">
        <x:v>Higher</x:v>
      </x:c>
      <x:c r="D183" s="43" t="str">
        <x:v>K91</x:v>
      </x:c>
      <x:c r="E183" s="43" t="str">
        <x:v>λTλ⁵⁷βЄЧ</x:v>
      </x:c>
      <x:c r="F183" s="44" t="n">
        <x:v>20.826999999999998</x:v>
      </x:c>
      <x:c r="G183" s="44" t="n">
        <x:v>20.239</x:v>
      </x:c>
      <x:c r="H183" s="44" t="n">
        <x:v>19.437</x:v>
      </x:c>
      <x:c r="I183" s="44" t="n">
        <x:v>16.912</x:v>
      </x:c>
      <x:c r="J183" s="43" t="n">
        <x:v>1</x:v>
      </x:c>
      <x:c r="K183" s="43" t="n">
        <x:v>2</x:v>
      </x:c>
      <x:c r="L183" s="43" t="n">
        <x:v>2</x:v>
      </x:c>
      <x:c r="M183" s="43" t="n">
        <x:v>2</x:v>
      </x:c>
    </x:row>
    <x:row r="184" ht="18" customHeight="1">
      <x:c r="A184" s="43" t="str">
        <x:v>Archers</x:v>
      </x:c>
      <x:c r="B184" s="43" t="str">
        <x:v>Archer Health</x:v>
      </x:c>
      <x:c r="C184" s="43" t="str">
        <x:v>Higher</x:v>
      </x:c>
      <x:c r="D184" s="43" t="str">
        <x:v>K116</x:v>
      </x:c>
      <x:c r="E184" s="43" t="str">
        <x:v>山君</x:v>
      </x:c>
      <x:c r="F184" s="44" t="n">
        <x:v>17.1835</x:v>
      </x:c>
      <x:c r="G184" s="44" t="n">
        <x:v>16.79675</x:v>
      </x:c>
      <x:c r="H184" s="44" t="n">
        <x:v>15.990699999999999</x:v>
      </x:c>
      <x:c r="I184" s="44" t="n">
        <x:v>12.559249999999999</x:v>
      </x:c>
      <x:c r="J184" s="43" t="n">
        <x:v>8</x:v>
      </x:c>
      <x:c r="K184" s="43" t="n">
        <x:v>7</x:v>
      </x:c>
      <x:c r="L184" s="43" t="n">
        <x:v>7</x:v>
      </x:c>
      <x:c r="M184" s="43" t="n">
        <x:v>8</x:v>
      </x:c>
    </x:row>
    <x:row r="185" ht="18" customHeight="1">
      <x:c r="A185" s="43" t="str">
        <x:v>Archers</x:v>
      </x:c>
      <x:c r="B185" s="43" t="str">
        <x:v>Archer Health</x:v>
      </x:c>
      <x:c r="C185" s="43" t="str">
        <x:v>Higher</x:v>
      </x:c>
      <x:c r="D185" s="43" t="str">
        <x:v>K138</x:v>
      </x:c>
      <x:c r="E185" s="43" t="str">
        <x:v>(RaW)ϟCrozyϟ</x:v>
      </x:c>
      <x:c r="F185" s="44" t="n">
        <x:v>19.207</x:v>
      </x:c>
      <x:c r="G185" s="44" t="n">
        <x:v>18.30025</x:v>
      </x:c>
      <x:c r="H185" s="44" t="n">
        <x:v>17.6839</x:v>
      </x:c>
      <x:c r="I185" s="44" t="n">
        <x:v>16.177</x:v>
      </x:c>
      <x:c r="J185" s="43" t="n">
        <x:v>3</x:v>
      </x:c>
      <x:c r="K185" s="43" t="n">
        <x:v>4</x:v>
      </x:c>
      <x:c r="L185" s="43" t="n">
        <x:v>4</x:v>
      </x:c>
      <x:c r="M185" s="43" t="n">
        <x:v>4</x:v>
      </x:c>
    </x:row>
    <x:row r="186" ht="18" customHeight="1">
      <x:c r="A186" s="43" t="str">
        <x:v>Archers</x:v>
      </x:c>
      <x:c r="B186" s="43" t="str">
        <x:v>Archer Health</x:v>
      </x:c>
      <x:c r="C186" s="43" t="str">
        <x:v>Higher</x:v>
      </x:c>
      <x:c r="D186" s="43" t="str">
        <x:v>K170</x:v>
      </x:c>
      <x:c r="E186" s="43" t="str">
        <x:v>(AOT)MG·Yu</x:v>
      </x:c>
      <x:c r="F186" s="44" t="n">
        <x:v>18.885</x:v>
      </x:c>
      <x:c r="G186" s="44" t="n">
        <x:v>18.329250000000002</x:v>
      </x:c>
      <x:c r="H186" s="44" t="n">
        <x:v>17.7791</x:v>
      </x:c>
      <x:c r="I186" s="44" t="n">
        <x:v>15.3435</x:v>
      </x:c>
      <x:c r="J186" s="43" t="n">
        <x:v>4</x:v>
      </x:c>
      <x:c r="K186" s="43" t="n">
        <x:v>3</x:v>
      </x:c>
      <x:c r="L186" s="43" t="n">
        <x:v>3</x:v>
      </x:c>
      <x:c r="M186" s="43" t="n">
        <x:v>5</x:v>
      </x:c>
    </x:row>
    <x:row r="187" ht="18" customHeight="1">
      <x:c r="A187" s="43" t="str">
        <x:v>Archers</x:v>
      </x:c>
      <x:c r="B187" s="43" t="str">
        <x:v>Archer Health</x:v>
      </x:c>
      <x:c r="C187" s="43" t="str">
        <x:v>Higher</x:v>
      </x:c>
      <x:c r="D187" s="43" t="str">
        <x:v>K54</x:v>
      </x:c>
      <x:c r="E187" s="43" t="str">
        <x:v>纵横,,,大风</x:v>
      </x:c>
      <x:c r="F187" s="44" t="n">
        <x:v>18.09</x:v>
      </x:c>
      <x:c r="G187" s="44" t="n">
        <x:v>17.102</x:v>
      </x:c>
      <x:c r="H187" s="44" t="n">
        <x:v>15.682999999999998</x:v>
      </x:c>
      <x:c r="I187" s="44" t="n">
        <x:v>13.48</x:v>
      </x:c>
      <x:c r="J187" s="43" t="n">
        <x:v>5</x:v>
      </x:c>
      <x:c r="K187" s="43" t="n">
        <x:v>6</x:v>
      </x:c>
      <x:c r="L187" s="43" t="n">
        <x:v>8</x:v>
      </x:c>
      <x:c r="M187" s="43" t="n">
        <x:v>6</x:v>
      </x:c>
    </x:row>
    <x:row r="188" ht="18" customHeight="1">
      <x:c r="A188" s="43" t="str">
        <x:v>Archers</x:v>
      </x:c>
      <x:c r="B188" s="43" t="str">
        <x:v>Archer Health</x:v>
      </x:c>
      <x:c r="C188" s="43" t="str">
        <x:v>Higher</x:v>
      </x:c>
      <x:c r="D188" s="43" t="str">
        <x:v>K197</x:v>
      </x:c>
      <x:c r="E188" s="43" t="str">
        <x:v>Saku</x:v>
      </x:c>
      <x:c r="F188" s="44" t="n">
        <x:v>20.697</x:v>
      </x:c>
      <x:c r="G188" s="44" t="n">
        <x:v>20.292</x:v>
      </x:c>
      <x:c r="H188" s="44" t="n">
        <x:v>19.775000000000002</x:v>
      </x:c>
      <x:c r="I188" s="44" t="n">
        <x:v>17.947</x:v>
      </x:c>
      <x:c r="J188" s="43" t="n">
        <x:v>2</x:v>
      </x:c>
      <x:c r="K188" s="43" t="n">
        <x:v>1</x:v>
      </x:c>
      <x:c r="L188" s="43" t="n">
        <x:v>1</x:v>
      </x:c>
      <x:c r="M188" s="43" t="n">
        <x:v>1</x:v>
      </x:c>
    </x:row>
    <x:row r="189" ht="18" customHeight="1">
      <x:c r="A189" s="43" t="str">
        <x:v>Archers</x:v>
      </x:c>
      <x:c r="B189" s="43" t="str">
        <x:v>Archer Health</x:v>
      </x:c>
      <x:c r="C189" s="43" t="str">
        <x:v>Higher</x:v>
      </x:c>
      <x:c r="D189" s="43" t="str">
        <x:v>K176</x:v>
      </x:c>
      <x:c r="E189" s="43" t="str">
        <x:v>♱Seraphim織羽♱</x:v>
      </x:c>
      <x:c r="F189" s="44" t="n">
        <x:v>17.315</x:v>
      </x:c>
      <x:c r="G189" s="44" t="n">
        <x:v>16.6585</x:v>
      </x:c>
      <x:c r="H189" s="44" t="n">
        <x:v>16.149</x:v>
      </x:c>
      <x:c r="I189" s="44" t="n">
        <x:v>13.2725</x:v>
      </x:c>
      <x:c r="J189" s="43" t="n">
        <x:v>7</x:v>
      </x:c>
      <x:c r="K189" s="43" t="n">
        <x:v>8</x:v>
      </x:c>
      <x:c r="L189" s="43" t="n">
        <x:v>6</x:v>
      </x:c>
      <x:c r="M189" s="43" t="n">
        <x:v>7</x:v>
      </x:c>
    </x:row>
    <x:row r="190" ht="18" customHeight="1">
      <x:c r="A190" s="43" t="str">
        <x:v>Archers</x:v>
      </x:c>
      <x:c r="B190" s="43" t="str">
        <x:v>Archer Defense</x:v>
      </x:c>
      <x:c r="C190" s="43" t="str">
        <x:v>Higher</x:v>
      </x:c>
      <x:c r="D190" s="43" t="str">
        <x:v>K60</x:v>
      </x:c>
      <x:c r="E190" s="43" t="str">
        <x:v>Crixus</x:v>
      </x:c>
      <x:c r="F190" s="44" t="n">
        <x:v>12.965</x:v>
      </x:c>
      <x:c r="G190" s="44" t="n">
        <x:v>12.666999999999998</x:v>
      </x:c>
      <x:c r="H190" s="44" t="n">
        <x:v>12.260000000000002</x:v>
      </x:c>
      <x:c r="I190" s="44" t="n">
        <x:v>10.26</x:v>
      </x:c>
      <x:c r="J190" s="43" t="n">
        <x:v>8</x:v>
      </x:c>
      <x:c r="K190" s="43" t="n">
        <x:v>7</x:v>
      </x:c>
      <x:c r="L190" s="43" t="n">
        <x:v>6</x:v>
      </x:c>
      <x:c r="M190" s="43" t="n">
        <x:v>3</x:v>
      </x:c>
    </x:row>
    <x:row r="191" ht="18" customHeight="1">
      <x:c r="A191" s="43" t="str">
        <x:v>Archers</x:v>
      </x:c>
      <x:c r="B191" s="43" t="str">
        <x:v>Archer Defense</x:v>
      </x:c>
      <x:c r="C191" s="43" t="str">
        <x:v>Higher</x:v>
      </x:c>
      <x:c r="D191" s="43" t="str">
        <x:v>K91</x:v>
      </x:c>
      <x:c r="E191" s="43" t="str">
        <x:v>•Pain•</x:v>
      </x:c>
      <x:c r="F191" s="44" t="n">
        <x:v>15.0435</x:v>
      </x:c>
      <x:c r="G191" s="44" t="n">
        <x:v>13.280750000000001</x:v>
      </x:c>
      <x:c r="H191" s="44" t="n">
        <x:v>11.7407</x:v>
      </x:c>
      <x:c r="I191" s="44" t="n">
        <x:v>8.775</x:v>
      </x:c>
      <x:c r="J191" s="43" t="n">
        <x:v>4</x:v>
      </x:c>
      <x:c r="K191" s="43" t="n">
        <x:v>6</x:v>
      </x:c>
      <x:c r="L191" s="43" t="n">
        <x:v>7</x:v>
      </x:c>
      <x:c r="M191" s="43" t="n">
        <x:v>8</x:v>
      </x:c>
    </x:row>
    <x:row r="192" ht="18" customHeight="1">
      <x:c r="A192" s="43" t="str">
        <x:v>Archers</x:v>
      </x:c>
      <x:c r="B192" s="43" t="str">
        <x:v>Archer Defense</x:v>
      </x:c>
      <x:c r="C192" s="43" t="str">
        <x:v>Higher</x:v>
      </x:c>
      <x:c r="D192" s="43" t="str">
        <x:v>K116</x:v>
      </x:c>
      <x:c r="E192" s="43" t="str">
        <x:v>光之使者</x:v>
      </x:c>
      <x:c r="F192" s="44" t="n">
        <x:v>15.113499999999998</x:v>
      </x:c>
      <x:c r="G192" s="44" t="n">
        <x:v>14.794</x:v>
      </x:c>
      <x:c r="H192" s="44" t="n">
        <x:v>14.104499999999998</x:v>
      </x:c>
      <x:c r="I192" s="44" t="n">
        <x:v>10.366</x:v>
      </x:c>
      <x:c r="J192" s="43" t="n">
        <x:v>3</x:v>
      </x:c>
      <x:c r="K192" s="43" t="n">
        <x:v>1</x:v>
      </x:c>
      <x:c r="L192" s="43" t="n">
        <x:v>1</x:v>
      </x:c>
      <x:c r="M192" s="43" t="n">
        <x:v>2</x:v>
      </x:c>
    </x:row>
    <x:row r="193" ht="18" customHeight="1">
      <x:c r="A193" s="43" t="str">
        <x:v>Archers</x:v>
      </x:c>
      <x:c r="B193" s="43" t="str">
        <x:v>Archer Defense</x:v>
      </x:c>
      <x:c r="C193" s="43" t="str">
        <x:v>Higher</x:v>
      </x:c>
      <x:c r="D193" s="43" t="str">
        <x:v>K138</x:v>
      </x:c>
      <x:c r="E193" s="43" t="str">
        <x:v>(RaW)༺惊鸿༻</x:v>
      </x:c>
      <x:c r="F193" s="44" t="n">
        <x:v>14.2485</x:v>
      </x:c>
      <x:c r="G193" s="44" t="n">
        <x:v>13.47745</x:v>
      </x:c>
      <x:c r="H193" s="44" t="n">
        <x:v>12.939400000000001</x:v>
      </x:c>
      <x:c r="I193" s="44" t="n">
        <x:v>9.965</x:v>
      </x:c>
      <x:c r="J193" s="43" t="n">
        <x:v>5</x:v>
      </x:c>
      <x:c r="K193" s="43" t="n">
        <x:v>5</x:v>
      </x:c>
      <x:c r="L193" s="43" t="n">
        <x:v>5</x:v>
      </x:c>
      <x:c r="M193" s="43" t="n">
        <x:v>5</x:v>
      </x:c>
    </x:row>
    <x:row r="194" ht="18" customHeight="1">
      <x:c r="A194" s="43" t="str">
        <x:v>Archers</x:v>
      </x:c>
      <x:c r="B194" s="43" t="str">
        <x:v>Archer Defense</x:v>
      </x:c>
      <x:c r="C194" s="43" t="str">
        <x:v>Higher</x:v>
      </x:c>
      <x:c r="D194" s="43" t="str">
        <x:v>K170</x:v>
      </x:c>
      <x:c r="E194" s="43" t="str">
        <x:v>(AOT)鸣鸣鸣</x:v>
      </x:c>
      <x:c r="F194" s="44" t="n">
        <x:v>13.8635</x:v>
      </x:c>
      <x:c r="G194" s="44" t="n">
        <x:v>13.5648</x:v>
      </x:c>
      <x:c r="H194" s="44" t="n">
        <x:v>13.1264</x:v>
      </x:c>
      <x:c r="I194" s="44" t="n">
        <x:v>10.1735</x:v>
      </x:c>
      <x:c r="J194" s="43" t="n">
        <x:v>6</x:v>
      </x:c>
      <x:c r="K194" s="43" t="n">
        <x:v>4</x:v>
      </x:c>
      <x:c r="L194" s="43" t="n">
        <x:v>4</x:v>
      </x:c>
      <x:c r="M194" s="43" t="n">
        <x:v>4</x:v>
      </x:c>
    </x:row>
    <x:row r="195" ht="18" customHeight="1">
      <x:c r="A195" s="43" t="str">
        <x:v>Archers</x:v>
      </x:c>
      <x:c r="B195" s="43" t="str">
        <x:v>Archer Defense</x:v>
      </x:c>
      <x:c r="C195" s="43" t="str">
        <x:v>Higher</x:v>
      </x:c>
      <x:c r="D195" s="43" t="str">
        <x:v>K54</x:v>
      </x:c>
      <x:c r="E195" s="43" t="str">
        <x:v>爽歪歪</x:v>
      </x:c>
      <x:c r="F195" s="44" t="n">
        <x:v>15.4935</x:v>
      </x:c>
      <x:c r="G195" s="44" t="n">
        <x:v>14.665799999999999</x:v>
      </x:c>
      <x:c r="H195" s="44" t="n">
        <x:v>13.397799999999998</x:v>
      </x:c>
      <x:c r="I195" s="44" t="n">
        <x:v>11.833499999999999</x:v>
      </x:c>
      <x:c r="J195" s="43" t="n">
        <x:v>2</x:v>
      </x:c>
      <x:c r="K195" s="43" t="n">
        <x:v>3</x:v>
      </x:c>
      <x:c r="L195" s="43" t="n">
        <x:v>2</x:v>
      </x:c>
      <x:c r="M195" s="43" t="n">
        <x:v>1</x:v>
      </x:c>
    </x:row>
    <x:row r="196" ht="18" customHeight="1">
      <x:c r="A196" s="43" t="str">
        <x:v>Archers</x:v>
      </x:c>
      <x:c r="B196" s="43" t="str">
        <x:v>Archer Defense</x:v>
      </x:c>
      <x:c r="C196" s="43" t="str">
        <x:v>Higher</x:v>
      </x:c>
      <x:c r="D196" s="43" t="str">
        <x:v>K197</x:v>
      </x:c>
      <x:c r="E196" s="43" t="str">
        <x:v>Хлебушек</x:v>
      </x:c>
      <x:c r="F196" s="44" t="n">
        <x:v>15.9935</x:v>
      </x:c>
      <x:c r="G196" s="44" t="n">
        <x:v>14.675749999999999</x:v>
      </x:c>
      <x:c r="H196" s="44" t="n">
        <x:v>13.246699999999999</x:v>
      </x:c>
      <x:c r="I196" s="44" t="n">
        <x:v>9.277000000000001</x:v>
      </x:c>
      <x:c r="J196" s="43" t="n">
        <x:v>1</x:v>
      </x:c>
      <x:c r="K196" s="43" t="n">
        <x:v>2</x:v>
      </x:c>
      <x:c r="L196" s="43" t="n">
        <x:v>3</x:v>
      </x:c>
      <x:c r="M196" s="43" t="n">
        <x:v>6</x:v>
      </x:c>
    </x:row>
    <x:row r="197" ht="18" customHeight="1">
      <x:c r="A197" s="43" t="str">
        <x:v>Archers</x:v>
      </x:c>
      <x:c r="B197" s="43" t="str">
        <x:v>Archer Defense</x:v>
      </x:c>
      <x:c r="C197" s="43" t="str">
        <x:v>Higher</x:v>
      </x:c>
      <x:c r="D197" s="43" t="str">
        <x:v>K176</x:v>
      </x:c>
      <x:c r="E197" s="43" t="str">
        <x:v>ʚ老⑥ɞ</x:v>
      </x:c>
      <x:c r="F197" s="44" t="n">
        <x:v>13.195</x:v>
      </x:c>
      <x:c r="G197" s="44" t="n">
        <x:v>12.2062</x:v>
      </x:c>
      <x:c r="H197" s="44" t="n">
        <x:v>11.403699999999999</x:v>
      </x:c>
      <x:c r="I197" s="44" t="n">
        <x:v>9.1425</x:v>
      </x:c>
      <x:c r="J197" s="43" t="n">
        <x:v>7</x:v>
      </x:c>
      <x:c r="K197" s="43" t="n">
        <x:v>8</x:v>
      </x:c>
      <x:c r="L197" s="43" t="n">
        <x:v>8</x:v>
      </x:c>
      <x:c r="M197" s="43" t="n">
        <x:v>7</x:v>
      </x:c>
    </x:row>
    <x:row r="198" ht="18" customHeight="1">
      <x:c r="A198" s="43" t="str">
        <x:v>Archers</x:v>
      </x:c>
      <x:c r="B198" s="43" t="str">
        <x:v>Archer Damage</x:v>
      </x:c>
      <x:c r="C198" s="43" t="str">
        <x:v>Higher</x:v>
      </x:c>
      <x:c r="D198" s="43" t="str">
        <x:v>K60</x:v>
      </x:c>
      <x:c r="E198" s="43" t="str">
        <x:v>InFlames</x:v>
      </x:c>
      <x:c r="F198" s="44" t="n">
        <x:v>2.045</x:v>
      </x:c>
      <x:c r="G198" s="44" t="n">
        <x:v>2.013</x:v>
      </x:c>
      <x:c r="H198" s="44" t="n">
        <x:v>1.9615000000000002</x:v>
      </x:c>
      <x:c r="I198" s="44" t="n">
        <x:v>1.7125</x:v>
      </x:c>
      <x:c r="J198" s="43" t="n">
        <x:v>3</x:v>
      </x:c>
      <x:c r="K198" s="43" t="n">
        <x:v>2</x:v>
      </x:c>
      <x:c r="L198" s="43" t="n">
        <x:v>1</x:v>
      </x:c>
      <x:c r="M198" s="43" t="n">
        <x:v>1</x:v>
      </x:c>
    </x:row>
    <x:row r="199" ht="18" customHeight="1">
      <x:c r="A199" s="43" t="str">
        <x:v>Archers</x:v>
      </x:c>
      <x:c r="B199" s="43" t="str">
        <x:v>Archer Damage</x:v>
      </x:c>
      <x:c r="C199" s="43" t="str">
        <x:v>Higher</x:v>
      </x:c>
      <x:c r="D199" s="43" t="str">
        <x:v>K91</x:v>
      </x:c>
      <x:c r="E199" s="43" t="str">
        <x:v>•Pain•</x:v>
      </x:c>
      <x:c r="F199" s="44" t="n">
        <x:v>2.145</x:v>
      </x:c>
      <x:c r="G199" s="44" t="n">
        <x:v>1.919</x:v>
      </x:c>
      <x:c r="H199" s="44" t="n">
        <x:v>1.7779999999999998</x:v>
      </x:c>
      <x:c r="I199" s="44" t="n">
        <x:v>1.5875</x:v>
      </x:c>
      <x:c r="J199" s="43" t="n">
        <x:v>1</x:v>
      </x:c>
      <x:c r="K199" s="43" t="n">
        <x:v>5</x:v>
      </x:c>
      <x:c r="L199" s="43" t="n">
        <x:v>6</x:v>
      </x:c>
      <x:c r="M199" s="43" t="n">
        <x:v>5</x:v>
      </x:c>
    </x:row>
    <x:row r="200" ht="18" customHeight="1">
      <x:c r="A200" s="43" t="str">
        <x:v>Archers</x:v>
      </x:c>
      <x:c r="B200" s="43" t="str">
        <x:v>Archer Damage</x:v>
      </x:c>
      <x:c r="C200" s="43" t="str">
        <x:v>Higher</x:v>
      </x:c>
      <x:c r="D200" s="43" t="str">
        <x:v>K116</x:v>
      </x:c>
      <x:c r="E200" s="43" t="str">
        <x:v>Jesse</x:v>
      </x:c>
      <x:c r="F200" s="44" t="n">
        <x:v>2.045</x:v>
      </x:c>
      <x:c r="G200" s="44" t="n">
        <x:v>1.9117499999999998</x:v>
      </x:c>
      <x:c r="H200" s="44" t="n">
        <x:v>1.7600000000000002</x:v>
      </x:c>
      <x:c r="I200" s="44" t="n">
        <x:v>1.52625</x:v>
      </x:c>
      <x:c r="J200" s="43" t="n">
        <x:v>3</x:v>
      </x:c>
      <x:c r="K200" s="43" t="n">
        <x:v>6</x:v>
      </x:c>
      <x:c r="L200" s="43" t="n">
        <x:v>7</x:v>
      </x:c>
      <x:c r="M200" s="43" t="n">
        <x:v>7</x:v>
      </x:c>
    </x:row>
    <x:row r="201" ht="18" customHeight="1">
      <x:c r="A201" s="43" t="str">
        <x:v>Archers</x:v>
      </x:c>
      <x:c r="B201" s="43" t="str">
        <x:v>Archer Damage</x:v>
      </x:c>
      <x:c r="C201" s="43" t="str">
        <x:v>Higher</x:v>
      </x:c>
      <x:c r="D201" s="43" t="str">
        <x:v>K138</x:v>
      </x:c>
      <x:c r="E201" s="43" t="str">
        <x:v>(RaW)SLAP (+1 tied)</x:v>
      </x:c>
      <x:c r="F201" s="44" t="n">
        <x:v>1.8875</x:v>
      </x:c>
      <x:c r="G201" s="44" t="n">
        <x:v>1.8789999999999998</x:v>
      </x:c>
      <x:c r="H201" s="44" t="n">
        <x:v>1.8344999999999998</x:v>
      </x:c>
      <x:c r="I201" s="44" t="n">
        <x:v>1.645</x:v>
      </x:c>
      <x:c r="J201" s="43" t="n">
        <x:v>7</x:v>
      </x:c>
      <x:c r="K201" s="43" t="n">
        <x:v>7</x:v>
      </x:c>
      <x:c r="L201" s="43" t="n">
        <x:v>5</x:v>
      </x:c>
      <x:c r="M201" s="43" t="n">
        <x:v>4</x:v>
      </x:c>
    </x:row>
    <x:row r="202" ht="18" customHeight="1">
      <x:c r="A202" s="43" t="str">
        <x:v>Archers</x:v>
      </x:c>
      <x:c r="B202" s="43" t="str">
        <x:v>Archer Damage</x:v>
      </x:c>
      <x:c r="C202" s="43" t="str">
        <x:v>Higher</x:v>
      </x:c>
      <x:c r="D202" s="43" t="str">
        <x:v>K170</x:v>
      </x:c>
      <x:c r="E202" s="43" t="str">
        <x:v>(AOT)MG·Yu</x:v>
      </x:c>
      <x:c r="F202" s="44" t="n">
        <x:v>2.035</x:v>
      </x:c>
      <x:c r="G202" s="44" t="n">
        <x:v>1.97325</x:v>
      </x:c>
      <x:c r="H202" s="44" t="n">
        <x:v>1.9095000000000002</x:v>
      </x:c>
      <x:c r="I202" s="44" t="n">
        <x:v>1.6675</x:v>
      </x:c>
      <x:c r="J202" s="43" t="n">
        <x:v>6</x:v>
      </x:c>
      <x:c r="K202" s="43" t="n">
        <x:v>3</x:v>
      </x:c>
      <x:c r="L202" s="43" t="n">
        <x:v>3</x:v>
      </x:c>
      <x:c r="M202" s="43" t="n">
        <x:v>2</x:v>
      </x:c>
    </x:row>
    <x:row r="203" ht="18" customHeight="1">
      <x:c r="A203" s="43" t="str">
        <x:v>Archers</x:v>
      </x:c>
      <x:c r="B203" s="43" t="str">
        <x:v>Archer Damage</x:v>
      </x:c>
      <x:c r="C203" s="43" t="str">
        <x:v>Higher</x:v>
      </x:c>
      <x:c r="D203" s="43" t="str">
        <x:v>K54</x:v>
      </x:c>
      <x:c r="E203" s="43" t="str">
        <x:v>纵横,,,杀戮</x:v>
      </x:c>
      <x:c r="F203" s="44" t="n">
        <x:v>2.08</x:v>
      </x:c>
      <x:c r="G203" s="44" t="n">
        <x:v>2.0365</x:v>
      </x:c>
      <x:c r="H203" s="44" t="n">
        <x:v>1.9170000000000003</x:v>
      </x:c>
      <x:c r="I203" s="44" t="n">
        <x:v>1.5475</x:v>
      </x:c>
      <x:c r="J203" s="43" t="n">
        <x:v>2</x:v>
      </x:c>
      <x:c r="K203" s="43" t="n">
        <x:v>1</x:v>
      </x:c>
      <x:c r="L203" s="43" t="n">
        <x:v>2</x:v>
      </x:c>
      <x:c r="M203" s="43" t="n">
        <x:v>6</x:v>
      </x:c>
    </x:row>
    <x:row r="204" ht="18" customHeight="1">
      <x:c r="A204" s="43" t="str">
        <x:v>Archers</x:v>
      </x:c>
      <x:c r="B204" s="43" t="str">
        <x:v>Archer Damage</x:v>
      </x:c>
      <x:c r="C204" s="43" t="str">
        <x:v>Higher</x:v>
      </x:c>
      <x:c r="D204" s="43" t="str">
        <x:v>K197</x:v>
      </x:c>
      <x:c r="E204" s="43" t="str">
        <x:v>Хлебушек</x:v>
      </x:c>
      <x:c r="F204" s="44" t="n">
        <x:v>2.045</x:v>
      </x:c>
      <x:c r="G204" s="44" t="n">
        <x:v>1.9525000000000001</x:v>
      </x:c>
      <x:c r="H204" s="44" t="n">
        <x:v>1.8425</x:v>
      </x:c>
      <x:c r="I204" s="44" t="n">
        <x:v>1.6675</x:v>
      </x:c>
      <x:c r="J204" s="43" t="n">
        <x:v>3</x:v>
      </x:c>
      <x:c r="K204" s="43" t="n">
        <x:v>4</x:v>
      </x:c>
      <x:c r="L204" s="43" t="n">
        <x:v>4</x:v>
      </x:c>
      <x:c r="M204" s="43" t="n">
        <x:v>2</x:v>
      </x:c>
    </x:row>
    <x:row r="205" ht="18" customHeight="1">
      <x:c r="A205" s="43" t="str">
        <x:v>Archers</x:v>
      </x:c>
      <x:c r="B205" s="43" t="str">
        <x:v>Archer Damage</x:v>
      </x:c>
      <x:c r="C205" s="43" t="str">
        <x:v>Higher</x:v>
      </x:c>
      <x:c r="D205" s="43" t="str">
        <x:v>K176</x:v>
      </x:c>
      <x:c r="E205" s="43" t="str">
        <x:v>苟拓通天肆意妄为</x:v>
      </x:c>
      <x:c r="F205" s="44" t="n">
        <x:v>1.8675</x:v>
      </x:c>
      <x:c r="G205" s="44" t="n">
        <x:v>1.7435</x:v>
      </x:c>
      <x:c r="H205" s="44" t="n">
        <x:v>1.6565</x:v>
      </x:c>
      <x:c r="I205" s="44" t="n">
        <x:v>1.48125</x:v>
      </x:c>
      <x:c r="J205" s="43" t="n">
        <x:v>8</x:v>
      </x:c>
      <x:c r="K205" s="43" t="n">
        <x:v>8</x:v>
      </x:c>
      <x:c r="L205" s="43" t="n">
        <x:v>8</x:v>
      </x:c>
      <x:c r="M205" s="43" t="n">
        <x:v>8</x:v>
      </x:c>
    </x:row>
    <x:row r="206" ht="18" customHeight="1">
      <x:c r="A206" s="43" t="str">
        <x:v>Archers</x:v>
      </x:c>
      <x:c r="B206" s="43" t="str">
        <x:v>Archer Damage Received</x:v>
      </x:c>
      <x:c r="C206" s="43" t="str">
        <x:v>Lower</x:v>
      </x:c>
      <x:c r="D206" s="43" t="str">
        <x:v>K60</x:v>
      </x:c>
      <x:c r="E206" s="43" t="str">
        <x:v>CerialKiller</x:v>
      </x:c>
      <x:c r="F206" s="44" t="n">
        <x:v>-1.9275</x:v>
      </x:c>
      <x:c r="G206" s="44" t="n">
        <x:v>-1.82625</x:v>
      </x:c>
      <x:c r="H206" s="44" t="n">
        <x:v>-1.672</x:v>
      </x:c>
      <x:c r="I206" s="44" t="n">
        <x:v>-1.4475</x:v>
      </x:c>
      <x:c r="J206" s="43" t="n">
        <x:v>5</x:v>
      </x:c>
      <x:c r="K206" s="43" t="n">
        <x:v>3</x:v>
      </x:c>
      <x:c r="L206" s="43" t="n">
        <x:v>2</x:v>
      </x:c>
      <x:c r="M206" s="43" t="n">
        <x:v>1</x:v>
      </x:c>
    </x:row>
    <x:row r="207" ht="18" customHeight="1">
      <x:c r="A207" s="43" t="str">
        <x:v>Archers</x:v>
      </x:c>
      <x:c r="B207" s="43" t="str">
        <x:v>Archer Damage Received</x:v>
      </x:c>
      <x:c r="C207" s="43" t="str">
        <x:v>Lower</x:v>
      </x:c>
      <x:c r="D207" s="43" t="str">
        <x:v>K91</x:v>
      </x:c>
      <x:c r="E207" s="43" t="str">
        <x:v>•Pain•</x:v>
      </x:c>
      <x:c r="F207" s="44" t="n">
        <x:v>-1.945</x:v>
      </x:c>
      <x:c r="G207" s="44" t="n">
        <x:v>-1.77875</x:v>
      </x:c>
      <x:c r="H207" s="44" t="n">
        <x:v>-1.6280000000000001</x:v>
      </x:c>
      <x:c r="I207" s="44" t="n">
        <x:v>-1.43625</x:v>
      </x:c>
      <x:c r="J207" s="43" t="n">
        <x:v>2</x:v>
      </x:c>
      <x:c r="K207" s="43" t="n">
        <x:v>4</x:v>
      </x:c>
      <x:c r="L207" s="43" t="n">
        <x:v>4</x:v>
      </x:c>
      <x:c r="M207" s="43" t="n">
        <x:v>3</x:v>
      </x:c>
    </x:row>
    <x:row r="208" ht="18" customHeight="1">
      <x:c r="A208" s="43" t="str">
        <x:v>Archers</x:v>
      </x:c>
      <x:c r="B208" s="43" t="str">
        <x:v>Archer Damage Received</x:v>
      </x:c>
      <x:c r="C208" s="43" t="str">
        <x:v>Lower</x:v>
      </x:c>
      <x:c r="D208" s="43" t="str">
        <x:v>K116</x:v>
      </x:c>
      <x:c r="E208" s="43" t="str">
        <x:v>Jesse (+1 tied)</x:v>
      </x:c>
      <x:c r="F208" s="44" t="n">
        <x:v>-1.945</x:v>
      </x:c>
      <x:c r="G208" s="44" t="n">
        <x:v>-1.8455000000000001</x:v>
      </x:c>
      <x:c r="H208" s="44" t="n">
        <x:v>-1.6465</x:v>
      </x:c>
      <x:c r="I208" s="44" t="n">
        <x:v>-1.385</x:v>
      </x:c>
      <x:c r="J208" s="43" t="n">
        <x:v>2</x:v>
      </x:c>
      <x:c r="K208" s="43" t="n">
        <x:v>2</x:v>
      </x:c>
      <x:c r="L208" s="43" t="n">
        <x:v>3</x:v>
      </x:c>
      <x:c r="M208" s="43" t="n">
        <x:v>8</x:v>
      </x:c>
    </x:row>
    <x:row r="209" ht="18" customHeight="1">
      <x:c r="A209" s="43" t="str">
        <x:v>Archers</x:v>
      </x:c>
      <x:c r="B209" s="43" t="str">
        <x:v>Archer Damage Received</x:v>
      </x:c>
      <x:c r="C209" s="43" t="str">
        <x:v>Lower</x:v>
      </x:c>
      <x:c r="D209" s="43" t="str">
        <x:v>K138</x:v>
      </x:c>
      <x:c r="E209" s="43" t="str">
        <x:v>(RaW)ϟCrozyϟ</x:v>
      </x:c>
      <x:c r="F209" s="44" t="n">
        <x:v>-1.865</x:v>
      </x:c>
      <x:c r="G209" s="44" t="n">
        <x:v>-1.68375</x:v>
      </x:c>
      <x:c r="H209" s="44" t="n">
        <x:v>-1.568</x:v>
      </x:c>
      <x:c r="I209" s="44" t="n">
        <x:v>-1.43</x:v>
      </x:c>
      <x:c r="J209" s="43" t="n">
        <x:v>8</x:v>
      </x:c>
      <x:c r="K209" s="43" t="n">
        <x:v>8</x:v>
      </x:c>
      <x:c r="L209" s="43" t="n">
        <x:v>6</x:v>
      </x:c>
      <x:c r="M209" s="43" t="n">
        <x:v>4</x:v>
      </x:c>
    </x:row>
    <x:row r="210" ht="18" customHeight="1">
      <x:c r="A210" s="43" t="str">
        <x:v>Archers</x:v>
      </x:c>
      <x:c r="B210" s="43" t="str">
        <x:v>Archer Damage Received</x:v>
      </x:c>
      <x:c r="C210" s="43" t="str">
        <x:v>Lower</x:v>
      </x:c>
      <x:c r="D210" s="43" t="str">
        <x:v>K170</x:v>
      </x:c>
      <x:c r="E210" s="43" t="str">
        <x:v>(AOT)SanSW°</x:v>
      </x:c>
      <x:c r="F210" s="44" t="n">
        <x:v>-1.9075</x:v>
      </x:c>
      <x:c r="G210" s="44" t="n">
        <x:v>-1.7005000000000001</x:v>
      </x:c>
      <x:c r="H210" s="44" t="n">
        <x:v>-1.5670000000000002</x:v>
      </x:c>
      <x:c r="I210" s="44" t="n">
        <x:v>-1.4475</x:v>
      </x:c>
      <x:c r="J210" s="43" t="n">
        <x:v>6</x:v>
      </x:c>
      <x:c r="K210" s="43" t="n">
        <x:v>6</x:v>
      </x:c>
      <x:c r="L210" s="43" t="n">
        <x:v>7</x:v>
      </x:c>
      <x:c r="M210" s="43" t="n">
        <x:v>1</x:v>
      </x:c>
    </x:row>
    <x:row r="211" ht="18" customHeight="1">
      <x:c r="A211" s="43" t="str">
        <x:v>Archers</x:v>
      </x:c>
      <x:c r="B211" s="43" t="str">
        <x:v>Archer Damage Received</x:v>
      </x:c>
      <x:c r="C211" s="43" t="str">
        <x:v>Lower</x:v>
      </x:c>
      <x:c r="D211" s="43" t="str">
        <x:v>K54</x:v>
      </x:c>
      <x:c r="E211" s="43" t="str">
        <x:v>爽歪歪</x:v>
      </x:c>
      <x:c r="F211" s="44" t="n">
        <x:v>-1.965</x:v>
      </x:c>
      <x:c r="G211" s="44" t="n">
        <x:v>-1.9120000000000001</x:v>
      </x:c>
      <x:c r="H211" s="44" t="n">
        <x:v>-1.707</x:v>
      </x:c>
      <x:c r="I211" s="44" t="n">
        <x:v>-1.4275</x:v>
      </x:c>
      <x:c r="J211" s="43" t="n">
        <x:v>1</x:v>
      </x:c>
      <x:c r="K211" s="43" t="n">
        <x:v>1</x:v>
      </x:c>
      <x:c r="L211" s="43" t="n">
        <x:v>1</x:v>
      </x:c>
      <x:c r="M211" s="43" t="n">
        <x:v>5</x:v>
      </x:c>
    </x:row>
    <x:row r="212" ht="18" customHeight="1">
      <x:c r="A212" s="43" t="str">
        <x:v>Archers</x:v>
      </x:c>
      <x:c r="B212" s="43" t="str">
        <x:v>Archer Damage Received</x:v>
      </x:c>
      <x:c r="C212" s="43" t="str">
        <x:v>Lower</x:v>
      </x:c>
      <x:c r="D212" s="43" t="str">
        <x:v>K197</x:v>
      </x:c>
      <x:c r="E212" s="43" t="str">
        <x:v>Хлебушек</x:v>
      </x:c>
      <x:c r="F212" s="44" t="n">
        <x:v>-1.875</x:v>
      </x:c>
      <x:c r="G212" s="44" t="n">
        <x:v>-1.688</x:v>
      </x:c>
      <x:c r="H212" s="44" t="n">
        <x:v>-1.5619999999999998</x:v>
      </x:c>
      <x:c r="I212" s="44" t="n">
        <x:v>-1.4075</x:v>
      </x:c>
      <x:c r="J212" s="43" t="n">
        <x:v>7</x:v>
      </x:c>
      <x:c r="K212" s="43" t="n">
        <x:v>7</x:v>
      </x:c>
      <x:c r="L212" s="43" t="n">
        <x:v>8</x:v>
      </x:c>
      <x:c r="M212" s="43" t="n">
        <x:v>7</x:v>
      </x:c>
    </x:row>
    <x:row r="213" ht="18" customHeight="1">
      <x:c r="A213" s="43" t="str">
        <x:v>Archers</x:v>
      </x:c>
      <x:c r="B213" s="43" t="str">
        <x:v>Archer Damage Received</x:v>
      </x:c>
      <x:c r="C213" s="43" t="str">
        <x:v>Lower</x:v>
      </x:c>
      <x:c r="D213" s="43" t="str">
        <x:v>K176</x:v>
      </x:c>
      <x:c r="E213" s="43" t="str">
        <x:v>苟拓通天肆意妄为</x:v>
      </x:c>
      <x:c r="F213" s="44" t="n">
        <x:v>-1.945</x:v>
      </x:c>
      <x:c r="G213" s="44" t="n">
        <x:v>-1.7435</x:v>
      </x:c>
      <x:c r="H213" s="44" t="n">
        <x:v>-1.5784999999999998</x:v>
      </x:c>
      <x:c r="I213" s="44" t="n">
        <x:v>-1.4275</x:v>
      </x:c>
      <x:c r="J213" s="43" t="n">
        <x:v>2</x:v>
      </x:c>
      <x:c r="K213" s="43" t="n">
        <x:v>5</x:v>
      </x:c>
      <x:c r="L213" s="43" t="n">
        <x:v>5</x:v>
      </x:c>
      <x:c r="M213" s="43" t="n">
        <x:v>5</x:v>
      </x:c>
    </x:row>
    <x:row r="214" ht="18" customHeight="1">
      <x:c r="A214" s="43" t="str">
        <x:v>Archers</x:v>
      </x:c>
      <x:c r="B214" s="43" t="str">
        <x:v>Archer Attack Blessing</x:v>
      </x:c>
      <x:c r="C214" s="43" t="str">
        <x:v>Higher</x:v>
      </x:c>
      <x:c r="D214" s="43" t="str">
        <x:v>K60</x:v>
      </x:c>
      <x:c r="E214" s="43" t="str">
        <x:v>CerialKiller</x:v>
      </x:c>
      <x:c r="F214" s="44" t="n">
        <x:v>6.26</x:v>
      </x:c>
      <x:c r="G214" s="44" t="n">
        <x:v>6.189</x:v>
      </x:c>
      <x:c r="H214" s="44" t="n">
        <x:v>6.052</x:v>
      </x:c>
      <x:c r="I214" s="44" t="n">
        <x:v>4.98</x:v>
      </x:c>
      <x:c r="J214" s="43" t="n">
        <x:v>7</x:v>
      </x:c>
      <x:c r="K214" s="43" t="n">
        <x:v>7</x:v>
      </x:c>
      <x:c r="L214" s="43" t="n">
        <x:v>6</x:v>
      </x:c>
      <x:c r="M214" s="43" t="n">
        <x:v>2</x:v>
      </x:c>
    </x:row>
    <x:row r="215" ht="18" customHeight="1">
      <x:c r="A215" s="43" t="str">
        <x:v>Archers</x:v>
      </x:c>
      <x:c r="B215" s="43" t="str">
        <x:v>Archer Attack Blessing</x:v>
      </x:c>
      <x:c r="C215" s="43" t="str">
        <x:v>Higher</x:v>
      </x:c>
      <x:c r="D215" s="43" t="str">
        <x:v>K91</x:v>
      </x:c>
      <x:c r="E215" s="43" t="str">
        <x:v>•Pain•</x:v>
      </x:c>
      <x:c r="F215" s="44" t="n">
        <x:v>9</x:v>
      </x:c>
      <x:c r="G215" s="44" t="n">
        <x:v>7.816</x:v>
      </x:c>
      <x:c r="H215" s="44" t="n">
        <x:v>6.7219999999999995</x:v>
      </x:c>
      <x:c r="I215" s="44" t="n">
        <x:v>4.279999999999999</x:v>
      </x:c>
      <x:c r="J215" s="43" t="n">
        <x:v>1</x:v>
      </x:c>
      <x:c r="K215" s="43" t="n">
        <x:v>4</x:v>
      </x:c>
      <x:c r="L215" s="43" t="n">
        <x:v>4</x:v>
      </x:c>
      <x:c r="M215" s="43" t="n">
        <x:v>5</x:v>
      </x:c>
    </x:row>
    <x:row r="216" ht="18" customHeight="1">
      <x:c r="A216" s="43" t="str">
        <x:v>Archers</x:v>
      </x:c>
      <x:c r="B216" s="43" t="str">
        <x:v>Archer Attack Blessing</x:v>
      </x:c>
      <x:c r="C216" s="43" t="str">
        <x:v>Higher</x:v>
      </x:c>
      <x:c r="D216" s="43" t="str">
        <x:v>K116</x:v>
      </x:c>
      <x:c r="E216" s="43" t="str">
        <x:v>Jesse</x:v>
      </x:c>
      <x:c r="F216" s="44" t="n">
        <x:v>9</x:v>
      </x:c>
      <x:c r="G216" s="44" t="n">
        <x:v>8</x:v>
      </x:c>
      <x:c r="H216" s="44" t="n">
        <x:v>7.343999999999999</x:v>
      </x:c>
      <x:c r="I216" s="44" t="n">
        <x:v>4.035</x:v>
      </x:c>
      <x:c r="J216" s="43" t="n">
        <x:v>1</x:v>
      </x:c>
      <x:c r="K216" s="43" t="n">
        <x:v>3</x:v>
      </x:c>
      <x:c r="L216" s="43" t="n">
        <x:v>3</x:v>
      </x:c>
      <x:c r="M216" s="43" t="n">
        <x:v>7</x:v>
      </x:c>
    </x:row>
    <x:row r="217" ht="18" customHeight="1">
      <x:c r="A217" s="43" t="str">
        <x:v>Archers</x:v>
      </x:c>
      <x:c r="B217" s="43" t="str">
        <x:v>Archer Attack Blessing</x:v>
      </x:c>
      <x:c r="C217" s="43" t="str">
        <x:v>Higher</x:v>
      </x:c>
      <x:c r="D217" s="43" t="str">
        <x:v>K138</x:v>
      </x:c>
      <x:c r="E217" s="43" t="str">
        <x:v>(RaW)༺惊鸿༻</x:v>
      </x:c>
      <x:c r="F217" s="44" t="n">
        <x:v>6.26</x:v>
      </x:c>
      <x:c r="G217" s="44" t="n">
        <x:v>6.16</x:v>
      </x:c>
      <x:c r="H217" s="44" t="n">
        <x:v>6.034000000000001</x:v>
      </x:c>
      <x:c r="I217" s="44" t="n">
        <x:v>3.37</x:v>
      </x:c>
      <x:c r="J217" s="43" t="n">
        <x:v>7</x:v>
      </x:c>
      <x:c r="K217" s="43" t="n">
        <x:v>8</x:v>
      </x:c>
      <x:c r="L217" s="43" t="n">
        <x:v>7</x:v>
      </x:c>
      <x:c r="M217" s="43" t="n">
        <x:v>8</x:v>
      </x:c>
    </x:row>
    <x:row r="218" ht="18" customHeight="1">
      <x:c r="A218" s="43" t="str">
        <x:v>Archers</x:v>
      </x:c>
      <x:c r="B218" s="43" t="str">
        <x:v>Archer Attack Blessing</x:v>
      </x:c>
      <x:c r="C218" s="43" t="str">
        <x:v>Higher</x:v>
      </x:c>
      <x:c r="D218" s="43" t="str">
        <x:v>K170</x:v>
      </x:c>
      <x:c r="E218" s="43" t="str">
        <x:v>(AOT)MG·Yu</x:v>
      </x:c>
      <x:c r="F218" s="44" t="n">
        <x:v>7</x:v>
      </x:c>
      <x:c r="G218" s="44" t="n">
        <x:v>6.747</x:v>
      </x:c>
      <x:c r="H218" s="44" t="n">
        <x:v>6.382000000000001</x:v>
      </x:c>
      <x:c r="I218" s="44" t="n">
        <x:v>4.98</x:v>
      </x:c>
      <x:c r="J218" s="43" t="n">
        <x:v>6</x:v>
      </x:c>
      <x:c r="K218" s="43" t="n">
        <x:v>6</x:v>
      </x:c>
      <x:c r="L218" s="43" t="n">
        <x:v>5</x:v>
      </x:c>
      <x:c r="M218" s="43" t="n">
        <x:v>2</x:v>
      </x:c>
    </x:row>
    <x:row r="219" ht="18" customHeight="1">
      <x:c r="A219" s="43" t="str">
        <x:v>Archers</x:v>
      </x:c>
      <x:c r="B219" s="43" t="str">
        <x:v>Archer Attack Blessing</x:v>
      </x:c>
      <x:c r="C219" s="43" t="str">
        <x:v>Higher</x:v>
      </x:c>
      <x:c r="D219" s="43" t="str">
        <x:v>K54</x:v>
      </x:c>
      <x:c r="E219" s="43" t="str">
        <x:v>爽歪歪 (+1 tied)</x:v>
      </x:c>
      <x:c r="F219" s="44" t="n">
        <x:v>9</x:v>
      </x:c>
      <x:c r="G219" s="44" t="n">
        <x:v>8.6</x:v>
      </x:c>
      <x:c r="H219" s="44" t="n">
        <x:v>7.426</x:v>
      </x:c>
      <x:c r="I219" s="44" t="n">
        <x:v>6.03</x:v>
      </x:c>
      <x:c r="J219" s="43" t="n">
        <x:v>1</x:v>
      </x:c>
      <x:c r="K219" s="43" t="n">
        <x:v>1</x:v>
      </x:c>
      <x:c r="L219" s="43" t="n">
        <x:v>2</x:v>
      </x:c>
      <x:c r="M219" s="43" t="n">
        <x:v>1</x:v>
      </x:c>
    </x:row>
    <x:row r="220" ht="18" customHeight="1">
      <x:c r="A220" s="43" t="str">
        <x:v>Archers</x:v>
      </x:c>
      <x:c r="B220" s="43" t="str">
        <x:v>Archer Attack Blessing</x:v>
      </x:c>
      <x:c r="C220" s="43" t="str">
        <x:v>Higher</x:v>
      </x:c>
      <x:c r="D220" s="43" t="str">
        <x:v>K197</x:v>
      </x:c>
      <x:c r="E220" s="43" t="str">
        <x:v>Хлебушек (+1 tied)</x:v>
      </x:c>
      <x:c r="F220" s="44" t="n">
        <x:v>9</x:v>
      </x:c>
      <x:c r="G220" s="44" t="n">
        <x:v>8.6</x:v>
      </x:c>
      <x:c r="H220" s="44" t="n">
        <x:v>7.672</x:v>
      </x:c>
      <x:c r="I220" s="44" t="n">
        <x:v>4.91</x:v>
      </x:c>
      <x:c r="J220" s="43" t="n">
        <x:v>1</x:v>
      </x:c>
      <x:c r="K220" s="43" t="n">
        <x:v>1</x:v>
      </x:c>
      <x:c r="L220" s="43" t="n">
        <x:v>1</x:v>
      </x:c>
      <x:c r="M220" s="43" t="n">
        <x:v>4</x:v>
      </x:c>
    </x:row>
    <x:row r="221" ht="18" customHeight="1">
      <x:c r="A221" s="43" t="str">
        <x:v>Archers</x:v>
      </x:c>
      <x:c r="B221" s="43" t="str">
        <x:v>Archer Attack Blessing</x:v>
      </x:c>
      <x:c r="C221" s="43" t="str">
        <x:v>Higher</x:v>
      </x:c>
      <x:c r="D221" s="43" t="str">
        <x:v>K176</x:v>
      </x:c>
      <x:c r="E221" s="43" t="str">
        <x:v>苟拓通天肆意妄为</x:v>
      </x:c>
      <x:c r="F221" s="44" t="n">
        <x:v>9</x:v>
      </x:c>
      <x:c r="G221" s="44" t="n">
        <x:v>7.44</x:v>
      </x:c>
      <x:c r="H221" s="44" t="n">
        <x:v>5.988</x:v>
      </x:c>
      <x:c r="I221" s="44" t="n">
        <x:v>4.09</x:v>
      </x:c>
      <x:c r="J221" s="43" t="n">
        <x:v>1</x:v>
      </x:c>
      <x:c r="K221" s="43" t="n">
        <x:v>5</x:v>
      </x:c>
      <x:c r="L221" s="43" t="n">
        <x:v>8</x:v>
      </x:c>
      <x:c r="M221" s="43" t="n">
        <x:v>6</x:v>
      </x:c>
    </x:row>
    <x:row r="222" ht="18" customHeight="1">
      <x:c r="A222" s="43" t="str">
        <x:v>Archers</x:v>
      </x:c>
      <x:c r="B222" s="43" t="str">
        <x:v>Archer Protection Blessing</x:v>
      </x:c>
      <x:c r="C222" s="43" t="str">
        <x:v>Higher</x:v>
      </x:c>
      <x:c r="D222" s="43" t="str">
        <x:v>K60</x:v>
      </x:c>
      <x:c r="E222" s="43" t="str">
        <x:v>CerialKiller</x:v>
      </x:c>
      <x:c r="F222" s="44" t="n">
        <x:v>4.42</x:v>
      </x:c>
      <x:c r="G222" s="44" t="n">
        <x:v>4.1659999999999995</x:v>
      </x:c>
      <x:c r="H222" s="44" t="n">
        <x:v>3.718</x:v>
      </x:c>
      <x:c r="I222" s="44" t="n">
        <x:v>2.57</x:v>
      </x:c>
      <x:c r="J222" s="43" t="n">
        <x:v>6</x:v>
      </x:c>
      <x:c r="K222" s="43" t="n">
        <x:v>5</x:v>
      </x:c>
      <x:c r="L222" s="43" t="n">
        <x:v>6</x:v>
      </x:c>
      <x:c r="M222" s="43" t="n">
        <x:v>4</x:v>
      </x:c>
    </x:row>
    <x:row r="223" ht="18" customHeight="1">
      <x:c r="A223" s="43" t="str">
        <x:v>Archers</x:v>
      </x:c>
      <x:c r="B223" s="43" t="str">
        <x:v>Archer Protection Blessing</x:v>
      </x:c>
      <x:c r="C223" s="43" t="str">
        <x:v>Higher</x:v>
      </x:c>
      <x:c r="D223" s="43" t="str">
        <x:v>K91</x:v>
      </x:c>
      <x:c r="E223" s="43" t="str">
        <x:v>•Pain•</x:v>
      </x:c>
      <x:c r="F223" s="44" t="n">
        <x:v>6.63</x:v>
      </x:c>
      <x:c r="G223" s="44" t="n">
        <x:v>5.668</x:v>
      </x:c>
      <x:c r="H223" s="44" t="n">
        <x:v>4.564</x:v>
      </x:c>
      <x:c r="I223" s="44" t="n">
        <x:v>2.66</x:v>
      </x:c>
      <x:c r="J223" s="43" t="n">
        <x:v>4</x:v>
      </x:c>
      <x:c r="K223" s="43" t="n">
        <x:v>4</x:v>
      </x:c>
      <x:c r="L223" s="43" t="n">
        <x:v>4</x:v>
      </x:c>
      <x:c r="M223" s="43" t="n">
        <x:v>2</x:v>
      </x:c>
    </x:row>
    <x:row r="224" ht="18" customHeight="1">
      <x:c r="A224" s="43" t="str">
        <x:v>Archers</x:v>
      </x:c>
      <x:c r="B224" s="43" t="str">
        <x:v>Archer Protection Blessing</x:v>
      </x:c>
      <x:c r="C224" s="43" t="str">
        <x:v>Higher</x:v>
      </x:c>
      <x:c r="D224" s="43" t="str">
        <x:v>K116</x:v>
      </x:c>
      <x:c r="E224" s="43" t="str">
        <x:v>Jesse (+2 tied)</x:v>
      </x:c>
      <x:c r="F224" s="44" t="n">
        <x:v>7</x:v>
      </x:c>
      <x:c r="G224" s="44" t="n">
        <x:v>7</x:v>
      </x:c>
      <x:c r="H224" s="44" t="n">
        <x:v>5.728</x:v>
      </x:c>
      <x:c r="I224" s="44" t="n">
        <x:v>2.0549999999999997</x:v>
      </x:c>
      <x:c r="J224" s="43" t="n">
        <x:v>3</x:v>
      </x:c>
      <x:c r="K224" s="43" t="n">
        <x:v>3</x:v>
      </x:c>
      <x:c r="L224" s="43" t="n">
        <x:v>2</x:v>
      </x:c>
      <x:c r="M224" s="43" t="n">
        <x:v>7</x:v>
      </x:c>
    </x:row>
    <x:row r="225" ht="18" customHeight="1">
      <x:c r="A225" s="43" t="str">
        <x:v>Archers</x:v>
      </x:c>
      <x:c r="B225" s="43" t="str">
        <x:v>Archer Protection Blessing</x:v>
      </x:c>
      <x:c r="C225" s="43" t="str">
        <x:v>Higher</x:v>
      </x:c>
      <x:c r="D225" s="43" t="str">
        <x:v>K138</x:v>
      </x:c>
      <x:c r="E225" s="43" t="str">
        <x:v>(RaW)Critykal</x:v>
      </x:c>
      <x:c r="F225" s="44" t="n">
        <x:v>3.74</x:v>
      </x:c>
      <x:c r="G225" s="44" t="n">
        <x:v>3.6400000000000006</x:v>
      </x:c>
      <x:c r="H225" s="44" t="n">
        <x:v>3.566</x:v>
      </x:c>
      <x:c r="I225" s="44" t="n">
        <x:v>1.97</x:v>
      </x:c>
      <x:c r="J225" s="43" t="n">
        <x:v>8</x:v>
      </x:c>
      <x:c r="K225" s="43" t="n">
        <x:v>8</x:v>
      </x:c>
      <x:c r="L225" s="43" t="n">
        <x:v>7</x:v>
      </x:c>
      <x:c r="M225" s="43" t="n">
        <x:v>8</x:v>
      </x:c>
    </x:row>
    <x:row r="226" ht="18" customHeight="1">
      <x:c r="A226" s="43" t="str">
        <x:v>Archers</x:v>
      </x:c>
      <x:c r="B226" s="43" t="str">
        <x:v>Archer Protection Blessing</x:v>
      </x:c>
      <x:c r="C226" s="43" t="str">
        <x:v>Higher</x:v>
      </x:c>
      <x:c r="D226" s="43" t="str">
        <x:v>K170</x:v>
      </x:c>
      <x:c r="E226" s="43" t="str">
        <x:v>(AOT)Kelley</x:v>
      </x:c>
      <x:c r="F226" s="44" t="n">
        <x:v>4.08</x:v>
      </x:c>
      <x:c r="G226" s="44" t="n">
        <x:v>3.997</x:v>
      </x:c>
      <x:c r="H226" s="44" t="n">
        <x:v>3.8180000000000005</x:v>
      </x:c>
      <x:c r="I226" s="44" t="n">
        <x:v>2.54</x:v>
      </x:c>
      <x:c r="J226" s="43" t="n">
        <x:v>7</x:v>
      </x:c>
      <x:c r="K226" s="43" t="n">
        <x:v>7</x:v>
      </x:c>
      <x:c r="L226" s="43" t="n">
        <x:v>5</x:v>
      </x:c>
      <x:c r="M226" s="43" t="n">
        <x:v>5</x:v>
      </x:c>
    </x:row>
    <x:row r="227" ht="18" customHeight="1">
      <x:c r="A227" s="43" t="str">
        <x:v>Archers</x:v>
      </x:c>
      <x:c r="B227" s="43" t="str">
        <x:v>Archer Protection Blessing</x:v>
      </x:c>
      <x:c r="C227" s="43" t="str">
        <x:v>Higher</x:v>
      </x:c>
      <x:c r="D227" s="43" t="str">
        <x:v>K54</x:v>
      </x:c>
      <x:c r="E227" s="43" t="str">
        <x:v>爽歪歪 (+1 tied)</x:v>
      </x:c>
      <x:c r="F227" s="44" t="n">
        <x:v>9</x:v>
      </x:c>
      <x:c r="G227" s="44" t="n">
        <x:v>8.6</x:v>
      </x:c>
      <x:c r="H227" s="44" t="n">
        <x:v>7.104000000000001</x:v>
      </x:c>
      <x:c r="I227" s="44" t="n">
        <x:v>4.1</x:v>
      </x:c>
      <x:c r="J227" s="43" t="n">
        <x:v>1</x:v>
      </x:c>
      <x:c r="K227" s="43" t="n">
        <x:v>1</x:v>
      </x:c>
      <x:c r="L227" s="43" t="n">
        <x:v>1</x:v>
      </x:c>
      <x:c r="M227" s="43" t="n">
        <x:v>1</x:v>
      </x:c>
    </x:row>
    <x:row r="228" ht="18" customHeight="1">
      <x:c r="A228" s="43" t="str">
        <x:v>Archers</x:v>
      </x:c>
      <x:c r="B228" s="43" t="str">
        <x:v>Archer Protection Blessing</x:v>
      </x:c>
      <x:c r="C228" s="43" t="str">
        <x:v>Higher</x:v>
      </x:c>
      <x:c r="D228" s="43" t="str">
        <x:v>K197</x:v>
      </x:c>
      <x:c r="E228" s="43" t="str">
        <x:v>Хлебушек</x:v>
      </x:c>
      <x:c r="F228" s="44" t="n">
        <x:v>9</x:v>
      </x:c>
      <x:c r="G228" s="44" t="n">
        <x:v>7.2059999999999995</x:v>
      </x:c>
      <x:c r="H228" s="44" t="n">
        <x:v>5.538</x:v>
      </x:c>
      <x:c r="I228" s="44" t="n">
        <x:v>2.66</x:v>
      </x:c>
      <x:c r="J228" s="43" t="n">
        <x:v>1</x:v>
      </x:c>
      <x:c r="K228" s="43" t="n">
        <x:v>2</x:v>
      </x:c>
      <x:c r="L228" s="43" t="n">
        <x:v>3</x:v>
      </x:c>
      <x:c r="M228" s="43" t="n">
        <x:v>2</x:v>
      </x:c>
    </x:row>
    <x:row r="229" ht="18" customHeight="1">
      <x:c r="A229" s="43" t="str">
        <x:v>Archers</x:v>
      </x:c>
      <x:c r="B229" s="43" t="str">
        <x:v>Archer Protection Blessing</x:v>
      </x:c>
      <x:c r="C229" s="43" t="str">
        <x:v>Higher</x:v>
      </x:c>
      <x:c r="D229" s="43" t="str">
        <x:v>K176</x:v>
      </x:c>
      <x:c r="E229" s="43" t="str">
        <x:v>ʚ老⑥ɞ</x:v>
      </x:c>
      <x:c r="F229" s="44" t="n">
        <x:v>4.48</x:v>
      </x:c>
      <x:c r="G229" s="44" t="n">
        <x:v>4.033</x:v>
      </x:c>
      <x:c r="H229" s="44" t="n">
        <x:v>3.406</x:v>
      </x:c>
      <x:c r="I229" s="44" t="n">
        <x:v>2.12</x:v>
      </x:c>
      <x:c r="J229" s="43" t="n">
        <x:v>5</x:v>
      </x:c>
      <x:c r="K229" s="43" t="n">
        <x:v>6</x:v>
      </x:c>
      <x:c r="L229" s="43" t="n">
        <x:v>8</x:v>
      </x:c>
      <x:c r="M229" s="43" t="n">
        <x:v>6</x:v>
      </x:c>
    </x:row>
    <x:row r="230" ht="18" customHeight="1">
      <x:c r="A230" s="43" t="str">
        <x:v>Siege</x:v>
      </x:c>
      <x:c r="B230" s="43" t="str">
        <x:v>Siege Attack</x:v>
      </x:c>
      <x:c r="C230" s="43" t="str">
        <x:v>Higher</x:v>
      </x:c>
      <x:c r="D230" s="43" t="str">
        <x:v>K60</x:v>
      </x:c>
      <x:c r="E230" s="43" t="str">
        <x:v>InFlames</x:v>
      </x:c>
      <x:c r="F230" s="44" t="n">
        <x:v>22.1435</x:v>
      </x:c>
      <x:c r="G230" s="44" t="n">
        <x:v>21.94785</x:v>
      </x:c>
      <x:c r="H230" s="44" t="n">
        <x:v>21.5319</x:v>
      </x:c>
      <x:c r="I230" s="44" t="n">
        <x:v>14.15</x:v>
      </x:c>
      <x:c r="J230" s="43" t="n">
        <x:v>3</x:v>
      </x:c>
      <x:c r="K230" s="43" t="n">
        <x:v>2</x:v>
      </x:c>
      <x:c r="L230" s="43" t="n">
        <x:v>2</x:v>
      </x:c>
      <x:c r="M230" s="43" t="n">
        <x:v>4</x:v>
      </x:c>
    </x:row>
    <x:row r="231" ht="18" customHeight="1">
      <x:c r="A231" s="43" t="str">
        <x:v>Siege</x:v>
      </x:c>
      <x:c r="B231" s="43" t="str">
        <x:v>Siege Attack</x:v>
      </x:c>
      <x:c r="C231" s="43" t="str">
        <x:v>Higher</x:v>
      </x:c>
      <x:c r="D231" s="43" t="str">
        <x:v>K91</x:v>
      </x:c>
      <x:c r="E231" s="43" t="str">
        <x:v>•Pain•</x:v>
      </x:c>
      <x:c r="F231" s="44" t="n">
        <x:v>18.47</x:v>
      </x:c>
      <x:c r="G231" s="44" t="n">
        <x:v>17.507749999999998</x:v>
      </x:c>
      <x:c r="H231" s="44" t="n">
        <x:v>15.834800000000001</x:v>
      </x:c>
      <x:c r="I231" s="44" t="n">
        <x:v>11.01625</x:v>
      </x:c>
      <x:c r="J231" s="43" t="n">
        <x:v>8</x:v>
      </x:c>
      <x:c r="K231" s="43" t="n">
        <x:v>8</x:v>
      </x:c>
      <x:c r="L231" s="43" t="n">
        <x:v>8</x:v>
      </x:c>
      <x:c r="M231" s="43" t="n">
        <x:v>7</x:v>
      </x:c>
    </x:row>
    <x:row r="232" ht="18" customHeight="1">
      <x:c r="A232" s="43" t="str">
        <x:v>Siege</x:v>
      </x:c>
      <x:c r="B232" s="43" t="str">
        <x:v>Siege Attack</x:v>
      </x:c>
      <x:c r="C232" s="43" t="str">
        <x:v>Higher</x:v>
      </x:c>
      <x:c r="D232" s="43" t="str">
        <x:v>K116</x:v>
      </x:c>
      <x:c r="E232" s="43" t="str">
        <x:v>光之使者</x:v>
      </x:c>
      <x:c r="F232" s="44" t="n">
        <x:v>19.07</x:v>
      </x:c>
      <x:c r="G232" s="44" t="n">
        <x:v>18.39</x:v>
      </x:c>
      <x:c r="H232" s="44" t="n">
        <x:v>17.6544</x:v>
      </x:c>
      <x:c r="I232" s="44" t="n">
        <x:v>14.690000000000001</x:v>
      </x:c>
      <x:c r="J232" s="43" t="n">
        <x:v>6</x:v>
      </x:c>
      <x:c r="K232" s="43" t="n">
        <x:v>6</x:v>
      </x:c>
      <x:c r="L232" s="43" t="n">
        <x:v>5</x:v>
      </x:c>
      <x:c r="M232" s="43" t="n">
        <x:v>3</x:v>
      </x:c>
    </x:row>
    <x:row r="233" ht="18" customHeight="1">
      <x:c r="A233" s="43" t="str">
        <x:v>Siege</x:v>
      </x:c>
      <x:c r="B233" s="43" t="str">
        <x:v>Siege Attack</x:v>
      </x:c>
      <x:c r="C233" s="43" t="str">
        <x:v>Higher</x:v>
      </x:c>
      <x:c r="D233" s="43" t="str">
        <x:v>K138</x:v>
      </x:c>
      <x:c r="E233" s="43" t="str">
        <x:v>(RaW)让世界沐浴在血中</x:v>
      </x:c>
      <x:c r="F233" s="44" t="n">
        <x:v>20.5585</x:v>
      </x:c>
      <x:c r="G233" s="44" t="n">
        <x:v>20.4665</x:v>
      </x:c>
      <x:c r="H233" s="44" t="n">
        <x:v>19.4538</x:v>
      </x:c>
      <x:c r="I233" s="44" t="n">
        <x:v>12.59</x:v>
      </x:c>
      <x:c r="J233" s="43" t="n">
        <x:v>4</x:v>
      </x:c>
      <x:c r="K233" s="43" t="n">
        <x:v>4</x:v>
      </x:c>
      <x:c r="L233" s="43" t="n">
        <x:v>3</x:v>
      </x:c>
      <x:c r="M233" s="43" t="n">
        <x:v>6</x:v>
      </x:c>
    </x:row>
    <x:row r="234" ht="18" customHeight="1">
      <x:c r="A234" s="43" t="str">
        <x:v>Siege</x:v>
      </x:c>
      <x:c r="B234" s="43" t="str">
        <x:v>Siege Attack</x:v>
      </x:c>
      <x:c r="C234" s="43" t="str">
        <x:v>Higher</x:v>
      </x:c>
      <x:c r="D234" s="43" t="str">
        <x:v>K170</x:v>
      </x:c>
      <x:c r="E234" s="43" t="str">
        <x:v>(AOT)StFruz</x:v>
      </x:c>
      <x:c r="F234" s="44" t="n">
        <x:v>20.025</x:v>
      </x:c>
      <x:c r="G234" s="44" t="n">
        <x:v>18.88225</x:v>
      </x:c>
      <x:c r="H234" s="44" t="n">
        <x:v>17.1164</x:v>
      </x:c>
      <x:c r="I234" s="44" t="n">
        <x:v>13.66</x:v>
      </x:c>
      <x:c r="J234" s="43" t="n">
        <x:v>5</x:v>
      </x:c>
      <x:c r="K234" s="43" t="n">
        <x:v>5</x:v>
      </x:c>
      <x:c r="L234" s="43" t="n">
        <x:v>7</x:v>
      </x:c>
      <x:c r="M234" s="43" t="n">
        <x:v>5</x:v>
      </x:c>
    </x:row>
    <x:row r="235" ht="18" customHeight="1">
      <x:c r="A235" s="43" t="str">
        <x:v>Siege</x:v>
      </x:c>
      <x:c r="B235" s="43" t="str">
        <x:v>Siege Attack</x:v>
      </x:c>
      <x:c r="C235" s="43" t="str">
        <x:v>Higher</x:v>
      </x:c>
      <x:c r="D235" s="43" t="str">
        <x:v>K54</x:v>
      </x:c>
      <x:c r="E235" s="43" t="str">
        <x:v>纵横,,,杀戮</x:v>
      </x:c>
      <x:c r="F235" s="44" t="n">
        <x:v>23.8535</x:v>
      </x:c>
      <x:c r="G235" s="44" t="n">
        <x:v>22.959500000000002</x:v>
      </x:c>
      <x:c r="H235" s="44" t="n">
        <x:v>21.685499999999998</x:v>
      </x:c>
      <x:c r="I235" s="44" t="n">
        <x:v>20.0685</x:v>
      </x:c>
      <x:c r="J235" s="43" t="n">
        <x:v>1</x:v>
      </x:c>
      <x:c r="K235" s="43" t="n">
        <x:v>1</x:v>
      </x:c>
      <x:c r="L235" s="43" t="n">
        <x:v>1</x:v>
      </x:c>
      <x:c r="M235" s="43" t="n">
        <x:v>1</x:v>
      </x:c>
    </x:row>
    <x:row r="236" ht="18" customHeight="1">
      <x:c r="A236" s="43" t="str">
        <x:v>Siege</x:v>
      </x:c>
      <x:c r="B236" s="43" t="str">
        <x:v>Siege Attack</x:v>
      </x:c>
      <x:c r="C236" s="43" t="str">
        <x:v>Higher</x:v>
      </x:c>
      <x:c r="D236" s="43" t="str">
        <x:v>K197</x:v>
      </x:c>
      <x:c r="E236" s="43" t="str">
        <x:v>Хлебушек</x:v>
      </x:c>
      <x:c r="F236" s="44" t="n">
        <x:v>22.89</x:v>
      </x:c>
      <x:c r="G236" s="44" t="n">
        <x:v>20.85305</x:v>
      </x:c>
      <x:c r="H236" s="44" t="n">
        <x:v>17.599899999999998</x:v>
      </x:c>
      <x:c r="I236" s="44" t="n">
        <x:v>10.417</x:v>
      </x:c>
      <x:c r="J236" s="43" t="n">
        <x:v>2</x:v>
      </x:c>
      <x:c r="K236" s="43" t="n">
        <x:v>3</x:v>
      </x:c>
      <x:c r="L236" s="43" t="n">
        <x:v>6</x:v>
      </x:c>
      <x:c r="M236" s="43" t="n">
        <x:v>8</x:v>
      </x:c>
    </x:row>
    <x:row r="237" ht="18" customHeight="1">
      <x:c r="A237" s="43" t="str">
        <x:v>Siege</x:v>
      </x:c>
      <x:c r="B237" s="43" t="str">
        <x:v>Siege Attack</x:v>
      </x:c>
      <x:c r="C237" s="43" t="str">
        <x:v>Higher</x:v>
      </x:c>
      <x:c r="D237" s="43" t="str">
        <x:v>K176</x:v>
      </x:c>
      <x:c r="E237" s="43" t="str">
        <x:v>♱Seraphim織羽♱</x:v>
      </x:c>
      <x:c r="F237" s="44" t="n">
        <x:v>18.743499999999997</x:v>
      </x:c>
      <x:c r="G237" s="44" t="n">
        <x:v>18.386499999999998</x:v>
      </x:c>
      <x:c r="H237" s="44" t="n">
        <x:v>18.0048</x:v>
      </x:c>
      <x:c r="I237" s="44" t="n">
        <x:v>15.315999999999999</x:v>
      </x:c>
      <x:c r="J237" s="43" t="n">
        <x:v>7</x:v>
      </x:c>
      <x:c r="K237" s="43" t="n">
        <x:v>7</x:v>
      </x:c>
      <x:c r="L237" s="43" t="n">
        <x:v>4</x:v>
      </x:c>
      <x:c r="M237" s="43" t="n">
        <x:v>2</x:v>
      </x:c>
    </x:row>
    <x:row r="238" ht="18" customHeight="1">
      <x:c r="A238" s="43" t="str">
        <x:v>Siege</x:v>
      </x:c>
      <x:c r="B238" s="43" t="str">
        <x:v>Siege Health</x:v>
      </x:c>
      <x:c r="C238" s="43" t="str">
        <x:v>Higher</x:v>
      </x:c>
      <x:c r="D238" s="43" t="str">
        <x:v>K60</x:v>
      </x:c>
      <x:c r="E238" s="43" t="str">
        <x:v>CerialKiller</x:v>
      </x:c>
      <x:c r="F238" s="44" t="n">
        <x:v>13.327</x:v>
      </x:c>
      <x:c r="G238" s="44" t="n">
        <x:v>12.3296</x:v>
      </x:c>
      <x:c r="H238" s="44" t="n">
        <x:v>11.4536</x:v>
      </x:c>
      <x:c r="I238" s="44" t="n">
        <x:v>6.88</x:v>
      </x:c>
      <x:c r="J238" s="43" t="n">
        <x:v>6</x:v>
      </x:c>
      <x:c r="K238" s="43" t="n">
        <x:v>5</x:v>
      </x:c>
      <x:c r="L238" s="43" t="n">
        <x:v>1</x:v>
      </x:c>
      <x:c r="M238" s="43" t="n">
        <x:v>3</x:v>
      </x:c>
    </x:row>
    <x:row r="239" ht="18" customHeight="1">
      <x:c r="A239" s="43" t="str">
        <x:v>Siege</x:v>
      </x:c>
      <x:c r="B239" s="43" t="str">
        <x:v>Siege Health</x:v>
      </x:c>
      <x:c r="C239" s="43" t="str">
        <x:v>Higher</x:v>
      </x:c>
      <x:c r="D239" s="43" t="str">
        <x:v>K91</x:v>
      </x:c>
      <x:c r="E239" s="43" t="str">
        <x:v>•Pain•</x:v>
      </x:c>
      <x:c r="F239" s="44" t="n">
        <x:v>12.915</x:v>
      </x:c>
      <x:c r="G239" s="44" t="n">
        <x:v>11.075999999999999</x:v>
      </x:c>
      <x:c r="H239" s="44" t="n">
        <x:v>9.1644</x:v>
      </x:c>
      <x:c r="I239" s="44" t="n">
        <x:v>6.3420000000000005</x:v>
      </x:c>
      <x:c r="J239" s="43" t="n">
        <x:v>7</x:v>
      </x:c>
      <x:c r="K239" s="43" t="n">
        <x:v>8</x:v>
      </x:c>
      <x:c r="L239" s="43" t="n">
        <x:v>8</x:v>
      </x:c>
      <x:c r="M239" s="43" t="n">
        <x:v>5</x:v>
      </x:c>
    </x:row>
    <x:row r="240" ht="18" customHeight="1">
      <x:c r="A240" s="43" t="str">
        <x:v>Siege</x:v>
      </x:c>
      <x:c r="B240" s="43" t="str">
        <x:v>Siege Health</x:v>
      </x:c>
      <x:c r="C240" s="43" t="str">
        <x:v>Higher</x:v>
      </x:c>
      <x:c r="D240" s="43" t="str">
        <x:v>K116</x:v>
      </x:c>
      <x:c r="E240" s="43" t="str">
        <x:v>Jesse</x:v>
      </x:c>
      <x:c r="F240" s="44" t="n">
        <x:v>12.64</x:v>
      </x:c>
      <x:c r="G240" s="44" t="n">
        <x:v>12.3085</x:v>
      </x:c>
      <x:c r="H240" s="44" t="n">
        <x:v>10.833</x:v>
      </x:c>
      <x:c r="I240" s="44" t="n">
        <x:v>6.945</x:v>
      </x:c>
      <x:c r="J240" s="43" t="n">
        <x:v>8</x:v>
      </x:c>
      <x:c r="K240" s="43" t="n">
        <x:v>6</x:v>
      </x:c>
      <x:c r="L240" s="43" t="n">
        <x:v>5</x:v>
      </x:c>
      <x:c r="M240" s="43" t="n">
        <x:v>2</x:v>
      </x:c>
    </x:row>
    <x:row r="241" ht="18" customHeight="1">
      <x:c r="A241" s="43" t="str">
        <x:v>Siege</x:v>
      </x:c>
      <x:c r="B241" s="43" t="str">
        <x:v>Siege Health</x:v>
      </x:c>
      <x:c r="C241" s="43" t="str">
        <x:v>Higher</x:v>
      </x:c>
      <x:c r="D241" s="43" t="str">
        <x:v>K138</x:v>
      </x:c>
      <x:c r="E241" s="43" t="str">
        <x:v>(RaW)ϟCrozyϟ</x:v>
      </x:c>
      <x:c r="F241" s="44" t="n">
        <x:v>13.722</x:v>
      </x:c>
      <x:c r="G241" s="44" t="n">
        <x:v>11.7085</x:v>
      </x:c>
      <x:c r="H241" s="44" t="n">
        <x:v>10.0304</x:v>
      </x:c>
      <x:c r="I241" s="44" t="n">
        <x:v>5.975</x:v>
      </x:c>
      <x:c r="J241" s="43" t="n">
        <x:v>5</x:v>
      </x:c>
      <x:c r="K241" s="43" t="n">
        <x:v>7</x:v>
      </x:c>
      <x:c r="L241" s="43" t="n">
        <x:v>7</x:v>
      </x:c>
      <x:c r="M241" s="43" t="n">
        <x:v>7</x:v>
      </x:c>
    </x:row>
    <x:row r="242" ht="18" customHeight="1">
      <x:c r="A242" s="43" t="str">
        <x:v>Siege</x:v>
      </x:c>
      <x:c r="B242" s="43" t="str">
        <x:v>Siege Health</x:v>
      </x:c>
      <x:c r="C242" s="43" t="str">
        <x:v>Higher</x:v>
      </x:c>
      <x:c r="D242" s="43" t="str">
        <x:v>K170</x:v>
      </x:c>
      <x:c r="E242" s="43" t="str">
        <x:v>(AOT)StFruz</x:v>
      </x:c>
      <x:c r="F242" s="44" t="n">
        <x:v>14.847</x:v>
      </x:c>
      <x:c r="G242" s="44" t="n">
        <x:v>13.1406</x:v>
      </x:c>
      <x:c r="H242" s="44" t="n">
        <x:v>10.989799999999999</x:v>
      </x:c>
      <x:c r="I242" s="44" t="n">
        <x:v>5.89</x:v>
      </x:c>
      <x:c r="J242" s="43" t="n">
        <x:v>3</x:v>
      </x:c>
      <x:c r="K242" s="43" t="n">
        <x:v>3</x:v>
      </x:c>
      <x:c r="L242" s="43" t="n">
        <x:v>4</x:v>
      </x:c>
      <x:c r="M242" s="43" t="n">
        <x:v>8</x:v>
      </x:c>
    </x:row>
    <x:row r="243" ht="18" customHeight="1">
      <x:c r="A243" s="43" t="str">
        <x:v>Siege</x:v>
      </x:c>
      <x:c r="B243" s="43" t="str">
        <x:v>Siege Health</x:v>
      </x:c>
      <x:c r="C243" s="43" t="str">
        <x:v>Higher</x:v>
      </x:c>
      <x:c r="D243" s="43" t="str">
        <x:v>K54</x:v>
      </x:c>
      <x:c r="E243" s="43" t="str">
        <x:v>爽歪歪</x:v>
      </x:c>
      <x:c r="F243" s="44" t="n">
        <x:v>14.585</x:v>
      </x:c>
      <x:c r="G243" s="44" t="n">
        <x:v>12.986</x:v>
      </x:c>
      <x:c r="H243" s="44" t="n">
        <x:v>10.110000000000001</x:v>
      </x:c>
      <x:c r="I243" s="44" t="n">
        <x:v>6.4</x:v>
      </x:c>
      <x:c r="J243" s="43" t="n">
        <x:v>4</x:v>
      </x:c>
      <x:c r="K243" s="43" t="n">
        <x:v>4</x:v>
      </x:c>
      <x:c r="L243" s="43" t="n">
        <x:v>6</x:v>
      </x:c>
      <x:c r="M243" s="43" t="n">
        <x:v>4</x:v>
      </x:c>
    </x:row>
    <x:row r="244" ht="18" customHeight="1">
      <x:c r="A244" s="43" t="str">
        <x:v>Siege</x:v>
      </x:c>
      <x:c r="B244" s="43" t="str">
        <x:v>Siege Health</x:v>
      </x:c>
      <x:c r="C244" s="43" t="str">
        <x:v>Higher</x:v>
      </x:c>
      <x:c r="D244" s="43" t="str">
        <x:v>K197</x:v>
      </x:c>
      <x:c r="E244" s="43" t="str">
        <x:v>Хлебушек</x:v>
      </x:c>
      <x:c r="F244" s="44" t="n">
        <x:v>15.44</x:v>
      </x:c>
      <x:c r="G244" s="44" t="n">
        <x:v>13.719999999999999</x:v>
      </x:c>
      <x:c r="H244" s="44" t="n">
        <x:v>11.159999999999998</x:v>
      </x:c>
      <x:c r="I244" s="44" t="n">
        <x:v>6.335</x:v>
      </x:c>
      <x:c r="J244" s="43" t="n">
        <x:v>2</x:v>
      </x:c>
      <x:c r="K244" s="43" t="n">
        <x:v>1</x:v>
      </x:c>
      <x:c r="L244" s="43" t="n">
        <x:v>3</x:v>
      </x:c>
      <x:c r="M244" s="43" t="n">
        <x:v>6</x:v>
      </x:c>
    </x:row>
    <x:row r="245" ht="18" customHeight="1">
      <x:c r="A245" s="43" t="str">
        <x:v>Siege</x:v>
      </x:c>
      <x:c r="B245" s="43" t="str">
        <x:v>Siege Health</x:v>
      </x:c>
      <x:c r="C245" s="43" t="str">
        <x:v>Higher</x:v>
      </x:c>
      <x:c r="D245" s="43" t="str">
        <x:v>K176</x:v>
      </x:c>
      <x:c r="E245" s="43" t="str">
        <x:v>苟拓通天肆意妄为</x:v>
      </x:c>
      <x:c r="F245" s="44" t="n">
        <x:v>16.252</x:v>
      </x:c>
      <x:c r="G245" s="44" t="n">
        <x:v>13.145499999999998</x:v>
      </x:c>
      <x:c r="H245" s="44" t="n">
        <x:v>11.2604</x:v>
      </x:c>
      <x:c r="I245" s="44" t="n">
        <x:v>8.307500000000001</x:v>
      </x:c>
      <x:c r="J245" s="43" t="n">
        <x:v>1</x:v>
      </x:c>
      <x:c r="K245" s="43" t="n">
        <x:v>2</x:v>
      </x:c>
      <x:c r="L245" s="43" t="n">
        <x:v>2</x:v>
      </x:c>
      <x:c r="M245" s="43" t="n">
        <x:v>1</x:v>
      </x:c>
    </x:row>
    <x:row r="246" ht="18" customHeight="1">
      <x:c r="A246" s="43" t="str">
        <x:v>Siege</x:v>
      </x:c>
      <x:c r="B246" s="43" t="str">
        <x:v>Siege Defense</x:v>
      </x:c>
      <x:c r="C246" s="43" t="str">
        <x:v>Higher</x:v>
      </x:c>
      <x:c r="D246" s="43" t="str">
        <x:v>K60</x:v>
      </x:c>
      <x:c r="E246" s="43" t="str">
        <x:v>°Silent°</x:v>
      </x:c>
      <x:c r="F246" s="44" t="n">
        <x:v>13.635</x:v>
      </x:c>
      <x:c r="G246" s="44" t="n">
        <x:v>13.463999999999999</x:v>
      </x:c>
      <x:c r="H246" s="44" t="n">
        <x:v>12.549000000000001</x:v>
      </x:c>
      <x:c r="I246" s="44" t="n">
        <x:v>9.46</x:v>
      </x:c>
      <x:c r="J246" s="43" t="n">
        <x:v>7</x:v>
      </x:c>
      <x:c r="K246" s="43" t="n">
        <x:v>7</x:v>
      </x:c>
      <x:c r="L246" s="43" t="n">
        <x:v>6</x:v>
      </x:c>
      <x:c r="M246" s="43" t="n">
        <x:v>6</x:v>
      </x:c>
    </x:row>
    <x:row r="247" ht="18" customHeight="1">
      <x:c r="A247" s="43" t="str">
        <x:v>Siege</x:v>
      </x:c>
      <x:c r="B247" s="43" t="str">
        <x:v>Siege Defense</x:v>
      </x:c>
      <x:c r="C247" s="43" t="str">
        <x:v>Higher</x:v>
      </x:c>
      <x:c r="D247" s="43" t="str">
        <x:v>K91</x:v>
      </x:c>
      <x:c r="E247" s="43" t="str">
        <x:v>•Pain•</x:v>
      </x:c>
      <x:c r="F247" s="44" t="n">
        <x:v>15.575</x:v>
      </x:c>
      <x:c r="G247" s="44" t="n">
        <x:v>13.979</x:v>
      </x:c>
      <x:c r="H247" s="44" t="n">
        <x:v>11.466</x:v>
      </x:c>
      <x:c r="I247" s="44" t="n">
        <x:v>4.145</x:v>
      </x:c>
      <x:c r="J247" s="43" t="n">
        <x:v>4</x:v>
      </x:c>
      <x:c r="K247" s="43" t="n">
        <x:v>5</x:v>
      </x:c>
      <x:c r="L247" s="43" t="n">
        <x:v>8</x:v>
      </x:c>
      <x:c r="M247" s="43" t="n">
        <x:v>8</x:v>
      </x:c>
    </x:row>
    <x:row r="248" ht="18" customHeight="1">
      <x:c r="A248" s="43" t="str">
        <x:v>Siege</x:v>
      </x:c>
      <x:c r="B248" s="43" t="str">
        <x:v>Siege Defense</x:v>
      </x:c>
      <x:c r="C248" s="43" t="str">
        <x:v>Higher</x:v>
      </x:c>
      <x:c r="D248" s="43" t="str">
        <x:v>K116</x:v>
      </x:c>
      <x:c r="E248" s="43" t="str">
        <x:v>Jesse</x:v>
      </x:c>
      <x:c r="F248" s="44" t="n">
        <x:v>16.86</x:v>
      </x:c>
      <x:c r="G248" s="44" t="n">
        <x:v>16.535999999999998</x:v>
      </x:c>
      <x:c r="H248" s="44" t="n">
        <x:v>14.806000000000001</x:v>
      </x:c>
      <x:c r="I248" s="44" t="n">
        <x:v>10.975</x:v>
      </x:c>
      <x:c r="J248" s="43" t="n">
        <x:v>3</x:v>
      </x:c>
      <x:c r="K248" s="43" t="n">
        <x:v>2</x:v>
      </x:c>
      <x:c r="L248" s="43" t="n">
        <x:v>2</x:v>
      </x:c>
      <x:c r="M248" s="43" t="n">
        <x:v>3</x:v>
      </x:c>
    </x:row>
    <x:row r="249" ht="18" customHeight="1">
      <x:c r="A249" s="43" t="str">
        <x:v>Siege</x:v>
      </x:c>
      <x:c r="B249" s="43" t="str">
        <x:v>Siege Defense</x:v>
      </x:c>
      <x:c r="C249" s="43" t="str">
        <x:v>Higher</x:v>
      </x:c>
      <x:c r="D249" s="43" t="str">
        <x:v>K138</x:v>
      </x:c>
      <x:c r="E249" s="43" t="str">
        <x:v>(RaW)༺Frankie༻</x:v>
      </x:c>
      <x:c r="F249" s="44" t="n">
        <x:v>12.885</x:v>
      </x:c>
      <x:c r="G249" s="44" t="n">
        <x:v>12.74</x:v>
      </x:c>
      <x:c r="H249" s="44" t="n">
        <x:v>12.337</x:v>
      </x:c>
      <x:c r="I249" s="44" t="n">
        <x:v>9.565</x:v>
      </x:c>
      <x:c r="J249" s="43" t="n">
        <x:v>8</x:v>
      </x:c>
      <x:c r="K249" s="43" t="n">
        <x:v>8</x:v>
      </x:c>
      <x:c r="L249" s="43" t="n">
        <x:v>7</x:v>
      </x:c>
      <x:c r="M249" s="43" t="n">
        <x:v>5</x:v>
      </x:c>
    </x:row>
    <x:row r="250" ht="18" customHeight="1">
      <x:c r="A250" s="43" t="str">
        <x:v>Siege</x:v>
      </x:c>
      <x:c r="B250" s="43" t="str">
        <x:v>Siege Defense</x:v>
      </x:c>
      <x:c r="C250" s="43" t="str">
        <x:v>Higher</x:v>
      </x:c>
      <x:c r="D250" s="43" t="str">
        <x:v>K170</x:v>
      </x:c>
      <x:c r="E250" s="43" t="str">
        <x:v>(AOT)StFruz</x:v>
      </x:c>
      <x:c r="F250" s="44" t="n">
        <x:v>14.102</x:v>
      </x:c>
      <x:c r="G250" s="44" t="n">
        <x:v>13.769</x:v>
      </x:c>
      <x:c r="H250" s="44" t="n">
        <x:v>12.928400000000002</x:v>
      </x:c>
      <x:c r="I250" s="44" t="n">
        <x:v>9.73</x:v>
      </x:c>
      <x:c r="J250" s="43" t="n">
        <x:v>6</x:v>
      </x:c>
      <x:c r="K250" s="43" t="n">
        <x:v>6</x:v>
      </x:c>
      <x:c r="L250" s="43" t="n">
        <x:v>5</x:v>
      </x:c>
      <x:c r="M250" s="43" t="n">
        <x:v>4</x:v>
      </x:c>
    </x:row>
    <x:row r="251" ht="18" customHeight="1">
      <x:c r="A251" s="43" t="str">
        <x:v>Siege</x:v>
      </x:c>
      <x:c r="B251" s="43" t="str">
        <x:v>Siege Defense</x:v>
      </x:c>
      <x:c r="C251" s="43" t="str">
        <x:v>Higher</x:v>
      </x:c>
      <x:c r="D251" s="43" t="str">
        <x:v>K54</x:v>
      </x:c>
      <x:c r="E251" s="43" t="str">
        <x:v>纵横,,,大风</x:v>
      </x:c>
      <x:c r="F251" s="44" t="n">
        <x:v>17.05</x:v>
      </x:c>
      <x:c r="G251" s="44" t="n">
        <x:v>16.715000000000003</x:v>
      </x:c>
      <x:c r="H251" s="44" t="n">
        <x:v>15.664000000000001</x:v>
      </x:c>
      <x:c r="I251" s="44" t="n">
        <x:v>12.645</x:v>
      </x:c>
      <x:c r="J251" s="43" t="n">
        <x:v>2</x:v>
      </x:c>
      <x:c r="K251" s="43" t="n">
        <x:v>1</x:v>
      </x:c>
      <x:c r="L251" s="43" t="n">
        <x:v>1</x:v>
      </x:c>
      <x:c r="M251" s="43" t="n">
        <x:v>1</x:v>
      </x:c>
    </x:row>
    <x:row r="252" ht="18" customHeight="1">
      <x:c r="A252" s="43" t="str">
        <x:v>Siege</x:v>
      </x:c>
      <x:c r="B252" s="43" t="str">
        <x:v>Siege Defense</x:v>
      </x:c>
      <x:c r="C252" s="43" t="str">
        <x:v>Higher</x:v>
      </x:c>
      <x:c r="D252" s="43" t="str">
        <x:v>K197</x:v>
      </x:c>
      <x:c r="E252" s="43" t="str">
        <x:v>Хлебушек</x:v>
      </x:c>
      <x:c r="F252" s="44" t="n">
        <x:v>18.405</x:v>
      </x:c>
      <x:c r="G252" s="44" t="n">
        <x:v>15.6155</x:v>
      </x:c>
      <x:c r="H252" s="44" t="n">
        <x:v>13.136</x:v>
      </x:c>
      <x:c r="I252" s="44" t="n">
        <x:v>4.405</x:v>
      </x:c>
      <x:c r="J252" s="43" t="n">
        <x:v>1</x:v>
      </x:c>
      <x:c r="K252" s="43" t="n">
        <x:v>3</x:v>
      </x:c>
      <x:c r="L252" s="43" t="n">
        <x:v>4</x:v>
      </x:c>
      <x:c r="M252" s="43" t="n">
        <x:v>7</x:v>
      </x:c>
    </x:row>
    <x:row r="253" ht="18" customHeight="1">
      <x:c r="A253" s="43" t="str">
        <x:v>Siege</x:v>
      </x:c>
      <x:c r="B253" s="43" t="str">
        <x:v>Siege Defense</x:v>
      </x:c>
      <x:c r="C253" s="43" t="str">
        <x:v>Higher</x:v>
      </x:c>
      <x:c r="D253" s="43" t="str">
        <x:v>K176</x:v>
      </x:c>
      <x:c r="E253" s="43" t="str">
        <x:v>༺璀璨星辰༻</x:v>
      </x:c>
      <x:c r="F253" s="44" t="n">
        <x:v>14.86</x:v>
      </x:c>
      <x:c r="G253" s="44" t="n">
        <x:v>14.37</x:v>
      </x:c>
      <x:c r="H253" s="44" t="n">
        <x:v>13.924000000000001</x:v>
      </x:c>
      <x:c r="I253" s="44" t="n">
        <x:v>11.5625</x:v>
      </x:c>
      <x:c r="J253" s="43" t="n">
        <x:v>5</x:v>
      </x:c>
      <x:c r="K253" s="43" t="n">
        <x:v>4</x:v>
      </x:c>
      <x:c r="L253" s="43" t="n">
        <x:v>3</x:v>
      </x:c>
      <x:c r="M253" s="43" t="n">
        <x:v>2</x:v>
      </x:c>
    </x:row>
    <x:row r="254" ht="18" customHeight="1">
      <x:c r="A254" s="43" t="str">
        <x:v>Siege</x:v>
      </x:c>
      <x:c r="B254" s="43" t="str">
        <x:v>Siege Damage</x:v>
      </x:c>
      <x:c r="C254" s="43" t="str">
        <x:v>Higher</x:v>
      </x:c>
      <x:c r="D254" s="43" t="str">
        <x:v>K60</x:v>
      </x:c>
      <x:c r="E254" s="43" t="str">
        <x:v>InFlames</x:v>
      </x:c>
      <x:c r="F254" s="44" t="n">
        <x:v>2.0075</x:v>
      </x:c>
      <x:c r="G254" s="44" t="n">
        <x:v>1.8874999999999997</x:v>
      </x:c>
      <x:c r="H254" s="44" t="n">
        <x:v>1.7790000000000004</x:v>
      </x:c>
      <x:c r="I254" s="44" t="n">
        <x:v>0.605</x:v>
      </x:c>
      <x:c r="J254" s="43" t="n">
        <x:v>4</x:v>
      </x:c>
      <x:c r="K254" s="43" t="n">
        <x:v>3</x:v>
      </x:c>
      <x:c r="L254" s="43" t="n">
        <x:v>2</x:v>
      </x:c>
      <x:c r="M254" s="43" t="n">
        <x:v>6</x:v>
      </x:c>
    </x:row>
    <x:row r="255" ht="18" customHeight="1">
      <x:c r="A255" s="43" t="str">
        <x:v>Siege</x:v>
      </x:c>
      <x:c r="B255" s="43" t="str">
        <x:v>Siege Damage</x:v>
      </x:c>
      <x:c r="C255" s="43" t="str">
        <x:v>Higher</x:v>
      </x:c>
      <x:c r="D255" s="43" t="str">
        <x:v>K91</x:v>
      </x:c>
      <x:c r="E255" s="43" t="str">
        <x:v>•Pain•</x:v>
      </x:c>
      <x:c r="F255" s="44" t="n">
        <x:v>2.045</x:v>
      </x:c>
      <x:c r="G255" s="44" t="n">
        <x:v>1.76575</x:v>
      </x:c>
      <x:c r="H255" s="44" t="n">
        <x:v>1.2505</x:v>
      </x:c>
      <x:c r="I255" s="44" t="n">
        <x:v>0.51</x:v>
      </x:c>
      <x:c r="J255" s="43" t="n">
        <x:v>1</x:v>
      </x:c>
      <x:c r="K255" s="43" t="n">
        <x:v>5</x:v>
      </x:c>
      <x:c r="L255" s="43" t="n">
        <x:v>8</x:v>
      </x:c>
      <x:c r="M255" s="43" t="n">
        <x:v>7</x:v>
      </x:c>
    </x:row>
    <x:row r="256" ht="18" customHeight="1">
      <x:c r="A256" s="43" t="str">
        <x:v>Siege</x:v>
      </x:c>
      <x:c r="B256" s="43" t="str">
        <x:v>Siege Damage</x:v>
      </x:c>
      <x:c r="C256" s="43" t="str">
        <x:v>Higher</x:v>
      </x:c>
      <x:c r="D256" s="43" t="str">
        <x:v>K116</x:v>
      </x:c>
      <x:c r="E256" s="43" t="str">
        <x:v>Jesse</x:v>
      </x:c>
      <x:c r="F256" s="44" t="n">
        <x:v>1.935</x:v>
      </x:c>
      <x:c r="G256" s="44" t="n">
        <x:v>1.70875</x:v>
      </x:c>
      <x:c r="H256" s="44" t="n">
        <x:v>1.566</x:v>
      </x:c>
      <x:c r="I256" s="44" t="n">
        <x:v>1.3975</x:v>
      </x:c>
      <x:c r="J256" s="43" t="n">
        <x:v>5</x:v>
      </x:c>
      <x:c r="K256" s="43" t="n">
        <x:v>7</x:v>
      </x:c>
      <x:c r="L256" s="43" t="n">
        <x:v>6</x:v>
      </x:c>
      <x:c r="M256" s="43" t="n">
        <x:v>4</x:v>
      </x:c>
    </x:row>
    <x:row r="257" ht="18" customHeight="1">
      <x:c r="A257" s="43" t="str">
        <x:v>Siege</x:v>
      </x:c>
      <x:c r="B257" s="43" t="str">
        <x:v>Siege Damage</x:v>
      </x:c>
      <x:c r="C257" s="43" t="str">
        <x:v>Higher</x:v>
      </x:c>
      <x:c r="D257" s="43" t="str">
        <x:v>K138</x:v>
      </x:c>
      <x:c r="E257" s="43" t="str">
        <x:v>(RaW)SLAP</x:v>
      </x:c>
      <x:c r="F257" s="44" t="n">
        <x:v>1.8075</x:v>
      </x:c>
      <x:c r="G257" s="44" t="n">
        <x:v>1.7875</x:v>
      </x:c>
      <x:c r="H257" s="44" t="n">
        <x:v>1.7315</x:v>
      </x:c>
      <x:c r="I257" s="44" t="n">
        <x:v>1.167</x:v>
      </x:c>
      <x:c r="J257" s="43" t="n">
        <x:v>6</x:v>
      </x:c>
      <x:c r="K257" s="43" t="n">
        <x:v>4</x:v>
      </x:c>
      <x:c r="L257" s="43" t="n">
        <x:v>3</x:v>
      </x:c>
      <x:c r="M257" s="43" t="n">
        <x:v>5</x:v>
      </x:c>
    </x:row>
    <x:row r="258" ht="18" customHeight="1">
      <x:c r="A258" s="43" t="str">
        <x:v>Siege</x:v>
      </x:c>
      <x:c r="B258" s="43" t="str">
        <x:v>Siege Damage</x:v>
      </x:c>
      <x:c r="C258" s="43" t="str">
        <x:v>Higher</x:v>
      </x:c>
      <x:c r="D258" s="43" t="str">
        <x:v>K170</x:v>
      </x:c>
      <x:c r="E258" s="43" t="str">
        <x:v>(AOT)StFruz</x:v>
      </x:c>
      <x:c r="F258" s="44" t="n">
        <x:v>1.6425</x:v>
      </x:c>
      <x:c r="G258" s="44" t="n">
        <x:v>1.63075</x:v>
      </x:c>
      <x:c r="H258" s="44" t="n">
        <x:v>1.5985</x:v>
      </x:c>
      <x:c r="I258" s="44" t="n">
        <x:v>1.465</x:v>
      </x:c>
      <x:c r="J258" s="43" t="n">
        <x:v>8</x:v>
      </x:c>
      <x:c r="K258" s="43" t="n">
        <x:v>8</x:v>
      </x:c>
      <x:c r="L258" s="43" t="n">
        <x:v>5</x:v>
      </x:c>
      <x:c r="M258" s="43" t="n">
        <x:v>1</x:v>
      </x:c>
    </x:row>
    <x:row r="259" ht="18" customHeight="1">
      <x:c r="A259" s="43" t="str">
        <x:v>Siege</x:v>
      </x:c>
      <x:c r="B259" s="43" t="str">
        <x:v>Siege Damage</x:v>
      </x:c>
      <x:c r="C259" s="43" t="str">
        <x:v>Higher</x:v>
      </x:c>
      <x:c r="D259" s="43" t="str">
        <x:v>K54</x:v>
      </x:c>
      <x:c r="E259" s="43" t="str">
        <x:v>爽歪歪</x:v>
      </x:c>
      <x:c r="F259" s="44" t="n">
        <x:v>2.045</x:v>
      </x:c>
      <x:c r="G259" s="44" t="n">
        <x:v>1.9765</x:v>
      </x:c>
      <x:c r="H259" s="44" t="n">
        <x:v>1.8535</x:v>
      </x:c>
      <x:c r="I259" s="44" t="n">
        <x:v>1.465</x:v>
      </x:c>
      <x:c r="J259" s="43" t="n">
        <x:v>1</x:v>
      </x:c>
      <x:c r="K259" s="43" t="n">
        <x:v>1</x:v>
      </x:c>
      <x:c r="L259" s="43" t="n">
        <x:v>1</x:v>
      </x:c>
      <x:c r="M259" s="43" t="n">
        <x:v>1</x:v>
      </x:c>
    </x:row>
    <x:row r="260" ht="18" customHeight="1">
      <x:c r="A260" s="43" t="str">
        <x:v>Siege</x:v>
      </x:c>
      <x:c r="B260" s="43" t="str">
        <x:v>Siege Damage</x:v>
      </x:c>
      <x:c r="C260" s="43" t="str">
        <x:v>Higher</x:v>
      </x:c>
      <x:c r="D260" s="43" t="str">
        <x:v>K197</x:v>
      </x:c>
      <x:c r="E260" s="43" t="str">
        <x:v>Хлебушек</x:v>
      </x:c>
      <x:c r="F260" s="44" t="n">
        <x:v>2.045</x:v>
      </x:c>
      <x:c r="G260" s="44" t="n">
        <x:v>1.89475</x:v>
      </x:c>
      <x:c r="H260" s="44" t="n">
        <x:v>1.4945</x:v>
      </x:c>
      <x:c r="I260" s="44" t="n">
        <x:v>0.51</x:v>
      </x:c>
      <x:c r="J260" s="43" t="n">
        <x:v>1</x:v>
      </x:c>
      <x:c r="K260" s="43" t="n">
        <x:v>2</x:v>
      </x:c>
      <x:c r="L260" s="43" t="n">
        <x:v>7</x:v>
      </x:c>
      <x:c r="M260" s="43" t="n">
        <x:v>7</x:v>
      </x:c>
    </x:row>
    <x:row r="261" ht="18" customHeight="1">
      <x:c r="A261" s="43" t="str">
        <x:v>Siege</x:v>
      </x:c>
      <x:c r="B261" s="43" t="str">
        <x:v>Siege Damage</x:v>
      </x:c>
      <x:c r="C261" s="43" t="str">
        <x:v>Higher</x:v>
      </x:c>
      <x:c r="D261" s="43" t="str">
        <x:v>K176</x:v>
      </x:c>
      <x:c r="E261" s="43" t="str">
        <x:v>苟拓通天肆意妄为</x:v>
      </x:c>
      <x:c r="F261" s="44" t="n">
        <x:v>1.805</x:v>
      </x:c>
      <x:c r="G261" s="44" t="n">
        <x:v>1.7127499999999998</x:v>
      </x:c>
      <x:c r="H261" s="44" t="n">
        <x:v>1.6184999999999998</x:v>
      </x:c>
      <x:c r="I261" s="44" t="n">
        <x:v>1.42</x:v>
      </x:c>
      <x:c r="J261" s="43" t="n">
        <x:v>7</x:v>
      </x:c>
      <x:c r="K261" s="43" t="n">
        <x:v>6</x:v>
      </x:c>
      <x:c r="L261" s="43" t="n">
        <x:v>4</x:v>
      </x:c>
      <x:c r="M261" s="43" t="n">
        <x:v>3</x:v>
      </x:c>
    </x:row>
    <x:row r="262" ht="18" customHeight="1">
      <x:c r="A262" s="43" t="str">
        <x:v>Siege</x:v>
      </x:c>
      <x:c r="B262" s="43" t="str">
        <x:v>Siege Damage Received</x:v>
      </x:c>
      <x:c r="C262" s="43" t="str">
        <x:v>Lower</x:v>
      </x:c>
      <x:c r="D262" s="43" t="str">
        <x:v>K60</x:v>
      </x:c>
      <x:c r="E262" s="43" t="str">
        <x:v>CerialKiller (+1 tied)</x:v>
      </x:c>
      <x:c r="F262" s="44" t="n">
        <x:v>-1.845</x:v>
      </x:c>
      <x:c r="G262" s="44" t="n">
        <x:v>-1.8094999999999999</x:v>
      </x:c>
      <x:c r="H262" s="44" t="n">
        <x:v>-1.6015000000000001</x:v>
      </x:c>
      <x:c r="I262" s="44" t="n">
        <x:v>-0.41</x:v>
      </x:c>
      <x:c r="J262" s="43" t="n">
        <x:v>3</x:v>
      </x:c>
      <x:c r="K262" s="43" t="n">
        <x:v>2</x:v>
      </x:c>
      <x:c r="L262" s="43" t="n">
        <x:v>2</x:v>
      </x:c>
      <x:c r="M262" s="43" t="n">
        <x:v>6</x:v>
      </x:c>
    </x:row>
    <x:row r="263" ht="18" customHeight="1">
      <x:c r="A263" s="43" t="str">
        <x:v>Siege</x:v>
      </x:c>
      <x:c r="B263" s="43" t="str">
        <x:v>Siege Damage Received</x:v>
      </x:c>
      <x:c r="C263" s="43" t="str">
        <x:v>Lower</x:v>
      </x:c>
      <x:c r="D263" s="43" t="str">
        <x:v>K91</x:v>
      </x:c>
      <x:c r="E263" s="43" t="str">
        <x:v>•Pain•</x:v>
      </x:c>
      <x:c r="F263" s="44" t="n">
        <x:v>-1.945</x:v>
      </x:c>
      <x:c r="G263" s="44" t="n">
        <x:v>-1.66675</x:v>
      </x:c>
      <x:c r="H263" s="44" t="n">
        <x:v>-1.1595</x:v>
      </x:c>
      <x:c r="I263" s="44" t="n">
        <x:v>-0.25</x:v>
      </x:c>
      <x:c r="J263" s="43" t="n">
        <x:v>1</x:v>
      </x:c>
      <x:c r="K263" s="43" t="n">
        <x:v>4</x:v>
      </x:c>
      <x:c r="L263" s="43" t="n">
        <x:v>8</x:v>
      </x:c>
      <x:c r="M263" s="43" t="n">
        <x:v>8</x:v>
      </x:c>
    </x:row>
    <x:row r="264" ht="18" customHeight="1">
      <x:c r="A264" s="43" t="str">
        <x:v>Siege</x:v>
      </x:c>
      <x:c r="B264" s="43" t="str">
        <x:v>Siege Damage Received</x:v>
      </x:c>
      <x:c r="C264" s="43" t="str">
        <x:v>Lower</x:v>
      </x:c>
      <x:c r="D264" s="43" t="str">
        <x:v>K116</x:v>
      </x:c>
      <x:c r="E264" s="43" t="str">
        <x:v>Jesse</x:v>
      </x:c>
      <x:c r="F264" s="44" t="n">
        <x:v>-1.605</x:v>
      </x:c>
      <x:c r="G264" s="44" t="n">
        <x:v>-1.4815</x:v>
      </x:c>
      <x:c r="H264" s="44" t="n">
        <x:v>-1.3855</x:v>
      </x:c>
      <x:c r="I264" s="44" t="n">
        <x:v>-1.285</x:v>
      </x:c>
      <x:c r="J264" s="43" t="n">
        <x:v>7</x:v>
      </x:c>
      <x:c r="K264" s="43" t="n">
        <x:v>8</x:v>
      </x:c>
      <x:c r="L264" s="43" t="n">
        <x:v>7</x:v>
      </x:c>
      <x:c r="M264" s="43" t="n">
        <x:v>2</x:v>
      </x:c>
    </x:row>
    <x:row r="265" ht="18" customHeight="1">
      <x:c r="A265" s="43" t="str">
        <x:v>Siege</x:v>
      </x:c>
      <x:c r="B265" s="43" t="str">
        <x:v>Siege Damage Received</x:v>
      </x:c>
      <x:c r="C265" s="43" t="str">
        <x:v>Lower</x:v>
      </x:c>
      <x:c r="D265" s="43" t="str">
        <x:v>K138</x:v>
      </x:c>
      <x:c r="E265" s="43" t="str">
        <x:v>(RaW)Critykal (+1 tied)</x:v>
      </x:c>
      <x:c r="F265" s="44" t="n">
        <x:v>-1.6675</x:v>
      </x:c>
      <x:c r="G265" s="44" t="n">
        <x:v>-1.655</x:v>
      </x:c>
      <x:c r="H265" s="44" t="n">
        <x:v>-1.542</x:v>
      </x:c>
      <x:c r="I265" s="44" t="n">
        <x:v>-1.032</x:v>
      </x:c>
      <x:c r="J265" s="43" t="n">
        <x:v>5</x:v>
      </x:c>
      <x:c r="K265" s="43" t="n">
        <x:v>5</x:v>
      </x:c>
      <x:c r="L265" s="43" t="n">
        <x:v>3</x:v>
      </x:c>
      <x:c r="M265" s="43" t="n">
        <x:v>5</x:v>
      </x:c>
    </x:row>
    <x:row r="266" ht="18" customHeight="1">
      <x:c r="A266" s="43" t="str">
        <x:v>Siege</x:v>
      </x:c>
      <x:c r="B266" s="43" t="str">
        <x:v>Siege Damage Received</x:v>
      </x:c>
      <x:c r="C266" s="43" t="str">
        <x:v>Lower</x:v>
      </x:c>
      <x:c r="D266" s="43" t="str">
        <x:v>K170</x:v>
      </x:c>
      <x:c r="E266" s="43" t="str">
        <x:v>(AOT)SanSW° (+2 tied)</x:v>
      </x:c>
      <x:c r="F266" s="44" t="n">
        <x:v>-1.605</x:v>
      </x:c>
      <x:c r="G266" s="44" t="n">
        <x:v>-1.605</x:v>
      </x:c>
      <x:c r="H266" s="44" t="n">
        <x:v>-1.509</x:v>
      </x:c>
      <x:c r="I266" s="44" t="n">
        <x:v>-1.285</x:v>
      </x:c>
      <x:c r="J266" s="43" t="n">
        <x:v>7</x:v>
      </x:c>
      <x:c r="K266" s="43" t="n">
        <x:v>6</x:v>
      </x:c>
      <x:c r="L266" s="43" t="n">
        <x:v>4</x:v>
      </x:c>
      <x:c r="M266" s="43" t="n">
        <x:v>2</x:v>
      </x:c>
    </x:row>
    <x:row r="267" ht="18" customHeight="1">
      <x:c r="A267" s="43" t="str">
        <x:v>Siege</x:v>
      </x:c>
      <x:c r="B267" s="43" t="str">
        <x:v>Siege Damage Received</x:v>
      </x:c>
      <x:c r="C267" s="43" t="str">
        <x:v>Lower</x:v>
      </x:c>
      <x:c r="D267" s="43" t="str">
        <x:v>K54</x:v>
      </x:c>
      <x:c r="E267" s="43" t="str">
        <x:v>爽歪歪 (+1 tied)</x:v>
      </x:c>
      <x:c r="F267" s="44" t="n">
        <x:v>-1.945</x:v>
      </x:c>
      <x:c r="G267" s="44" t="n">
        <x:v>-1.9375</x:v>
      </x:c>
      <x:c r="H267" s="44" t="n">
        <x:v>-1.7055</x:v>
      </x:c>
      <x:c r="I267" s="44" t="n">
        <x:v>-1.3475</x:v>
      </x:c>
      <x:c r="J267" s="43" t="n">
        <x:v>1</x:v>
      </x:c>
      <x:c r="K267" s="43" t="n">
        <x:v>1</x:v>
      </x:c>
      <x:c r="L267" s="43" t="n">
        <x:v>1</x:v>
      </x:c>
      <x:c r="M267" s="43" t="n">
        <x:v>1</x:v>
      </x:c>
    </x:row>
    <x:row r="268" ht="18" customHeight="1">
      <x:c r="A268" s="43" t="str">
        <x:v>Siege</x:v>
      </x:c>
      <x:c r="B268" s="43" t="str">
        <x:v>Siege Damage Received</x:v>
      </x:c>
      <x:c r="C268" s="43" t="str">
        <x:v>Lower</x:v>
      </x:c>
      <x:c r="D268" s="43" t="str">
        <x:v>K197</x:v>
      </x:c>
      <x:c r="E268" s="43" t="str">
        <x:v>Хлебушек (+1 tied)</x:v>
      </x:c>
      <x:c r="F268" s="44" t="n">
        <x:v>-1.845</x:v>
      </x:c>
      <x:c r="G268" s="44" t="n">
        <x:v>-1.797</x:v>
      </x:c>
      <x:c r="H268" s="44" t="n">
        <x:v>-1.4215</x:v>
      </x:c>
      <x:c r="I268" s="44" t="n">
        <x:v>-0.41</x:v>
      </x:c>
      <x:c r="J268" s="43" t="n">
        <x:v>3</x:v>
      </x:c>
      <x:c r="K268" s="43" t="n">
        <x:v>3</x:v>
      </x:c>
      <x:c r="L268" s="43" t="n">
        <x:v>5</x:v>
      </x:c>
      <x:c r="M268" s="43" t="n">
        <x:v>6</x:v>
      </x:c>
    </x:row>
    <x:row r="269" ht="18" customHeight="1">
      <x:c r="A269" s="43" t="str">
        <x:v>Siege</x:v>
      </x:c>
      <x:c r="B269" s="43" t="str">
        <x:v>Siege Damage Received</x:v>
      </x:c>
      <x:c r="C269" s="43" t="str">
        <x:v>Lower</x:v>
      </x:c>
      <x:c r="D269" s="43" t="str">
        <x:v>K176</x:v>
      </x:c>
      <x:c r="E269" s="43" t="str">
        <x:v>苟拓通天肆意妄为</x:v>
      </x:c>
      <x:c r="F269" s="44" t="n">
        <x:v>-1.6675</x:v>
      </x:c>
      <x:c r="G269" s="44" t="n">
        <x:v>-1.5162499999999999</x:v>
      </x:c>
      <x:c r="H269" s="44" t="n">
        <x:v>-1.4015</x:v>
      </x:c>
      <x:c r="I269" s="44" t="n">
        <x:v>-1.145</x:v>
      </x:c>
      <x:c r="J269" s="43" t="n">
        <x:v>5</x:v>
      </x:c>
      <x:c r="K269" s="43" t="n">
        <x:v>7</x:v>
      </x:c>
      <x:c r="L269" s="43" t="n">
        <x:v>6</x:v>
      </x:c>
      <x:c r="M269" s="43" t="n">
        <x:v>4</x:v>
      </x:c>
    </x:row>
    <x:row r="270" ht="18" customHeight="1">
      <x:c r="A270" s="43" t="str">
        <x:v>Siege</x:v>
      </x:c>
      <x:c r="B270" s="43" t="str">
        <x:v>Siege Attack Blessing</x:v>
      </x:c>
      <x:c r="C270" s="43" t="str">
        <x:v>Higher</x:v>
      </x:c>
      <x:c r="D270" s="43" t="str">
        <x:v>K60</x:v>
      </x:c>
      <x:c r="E270" s="43" t="str">
        <x:v>CerialKiller</x:v>
      </x:c>
      <x:c r="F270" s="44" t="n">
        <x:v>7</x:v>
      </x:c>
      <x:c r="G270" s="44" t="n">
        <x:v>5.646</x:v>
      </x:c>
      <x:c r="H270" s="44" t="n">
        <x:v>4.470000000000001</x:v>
      </x:c>
      <x:c r="I270" s="44" t="n">
        <x:v>1.2</x:v>
      </x:c>
      <x:c r="J270" s="43" t="n">
        <x:v>4</x:v>
      </x:c>
      <x:c r="K270" s="43" t="n">
        <x:v>6</x:v>
      </x:c>
      <x:c r="L270" s="43" t="n">
        <x:v>5</x:v>
      </x:c>
      <x:c r="M270" s="43" t="n">
        <x:v>5</x:v>
      </x:c>
    </x:row>
    <x:row r="271" ht="18" customHeight="1">
      <x:c r="A271" s="43" t="str">
        <x:v>Siege</x:v>
      </x:c>
      <x:c r="B271" s="43" t="str">
        <x:v>Siege Attack Blessing</x:v>
      </x:c>
      <x:c r="C271" s="43" t="str">
        <x:v>Higher</x:v>
      </x:c>
      <x:c r="D271" s="43" t="str">
        <x:v>K91</x:v>
      </x:c>
      <x:c r="E271" s="43" t="str">
        <x:v>•Pain•</x:v>
      </x:c>
      <x:c r="F271" s="44" t="n">
        <x:v>9</x:v>
      </x:c>
      <x:c r="G271" s="44" t="n">
        <x:v>6.859</x:v>
      </x:c>
      <x:c r="H271" s="44" t="n">
        <x:v>4.198</x:v>
      </x:c>
      <x:c r="I271" s="44" t="n">
        <x:v>1.08</x:v>
      </x:c>
      <x:c r="J271" s="43" t="n">
        <x:v>1</x:v>
      </x:c>
      <x:c r="K271" s="43" t="n">
        <x:v>4</x:v>
      </x:c>
      <x:c r="L271" s="43" t="n">
        <x:v>7</x:v>
      </x:c>
      <x:c r="M271" s="43" t="n">
        <x:v>6</x:v>
      </x:c>
    </x:row>
    <x:row r="272" ht="18" customHeight="1">
      <x:c r="A272" s="43" t="str">
        <x:v>Siege</x:v>
      </x:c>
      <x:c r="B272" s="43" t="str">
        <x:v>Siege Attack Blessing</x:v>
      </x:c>
      <x:c r="C272" s="43" t="str">
        <x:v>Higher</x:v>
      </x:c>
      <x:c r="D272" s="43" t="str">
        <x:v>K116</x:v>
      </x:c>
      <x:c r="E272" s="43" t="str">
        <x:v>Jesse (+2 tied)</x:v>
      </x:c>
      <x:c r="F272" s="44" t="n">
        <x:v>7</x:v>
      </x:c>
      <x:c r="G272" s="44" t="n">
        <x:v>7</x:v>
      </x:c>
      <x:c r="H272" s="44" t="n">
        <x:v>6.394</x:v>
      </x:c>
      <x:c r="I272" s="44" t="n">
        <x:v>1.54</x:v>
      </x:c>
      <x:c r="J272" s="43" t="n">
        <x:v>4</x:v>
      </x:c>
      <x:c r="K272" s="43" t="n">
        <x:v>3</x:v>
      </x:c>
      <x:c r="L272" s="43" t="n">
        <x:v>2</x:v>
      </x:c>
      <x:c r="M272" s="43" t="n">
        <x:v>3</x:v>
      </x:c>
    </x:row>
    <x:row r="273" ht="18" customHeight="1">
      <x:c r="A273" s="43" t="str">
        <x:v>Siege</x:v>
      </x:c>
      <x:c r="B273" s="43" t="str">
        <x:v>Siege Attack Blessing</x:v>
      </x:c>
      <x:c r="C273" s="43" t="str">
        <x:v>Higher</x:v>
      </x:c>
      <x:c r="D273" s="43" t="str">
        <x:v>K138</x:v>
      </x:c>
      <x:c r="E273" s="43" t="str">
        <x:v>(RaW)SLAP</x:v>
      </x:c>
      <x:c r="F273" s="44" t="n">
        <x:v>4.76</x:v>
      </x:c>
      <x:c r="G273" s="44" t="n">
        <x:v>4.544</x:v>
      </x:c>
      <x:c r="H273" s="44" t="n">
        <x:v>4.3420000000000005</x:v>
      </x:c>
      <x:c r="I273" s="44" t="n">
        <x:v>1.08</x:v>
      </x:c>
      <x:c r="J273" s="43" t="n">
        <x:v>8</x:v>
      </x:c>
      <x:c r="K273" s="43" t="n">
        <x:v>7</x:v>
      </x:c>
      <x:c r="L273" s="43" t="n">
        <x:v>6</x:v>
      </x:c>
      <x:c r="M273" s="43" t="n">
        <x:v>6</x:v>
      </x:c>
    </x:row>
    <x:row r="274" ht="18" customHeight="1">
      <x:c r="A274" s="43" t="str">
        <x:v>Siege</x:v>
      </x:c>
      <x:c r="B274" s="43" t="str">
        <x:v>Siege Attack Blessing</x:v>
      </x:c>
      <x:c r="C274" s="43" t="str">
        <x:v>Higher</x:v>
      </x:c>
      <x:c r="D274" s="43" t="str">
        <x:v>K170</x:v>
      </x:c>
      <x:c r="E274" s="43" t="str">
        <x:v>(AOT)SugarDADDY</x:v>
      </x:c>
      <x:c r="F274" s="44" t="n">
        <x:v>4.81</x:v>
      </x:c>
      <x:c r="G274" s="44" t="n">
        <x:v>4.372</x:v>
      </x:c>
      <x:c r="H274" s="44" t="n">
        <x:v>3.6759999999999997</x:v>
      </x:c>
      <x:c r="I274" s="44" t="n">
        <x:v>1.31</x:v>
      </x:c>
      <x:c r="J274" s="43" t="n">
        <x:v>7</x:v>
      </x:c>
      <x:c r="K274" s="43" t="n">
        <x:v>8</x:v>
      </x:c>
      <x:c r="L274" s="43" t="n">
        <x:v>8</x:v>
      </x:c>
      <x:c r="M274" s="43" t="n">
        <x:v>4</x:v>
      </x:c>
    </x:row>
    <x:row r="275" ht="18" customHeight="1">
      <x:c r="A275" s="43" t="str">
        <x:v>Siege</x:v>
      </x:c>
      <x:c r="B275" s="43" t="str">
        <x:v>Siege Attack Blessing</x:v>
      </x:c>
      <x:c r="C275" s="43" t="str">
        <x:v>Higher</x:v>
      </x:c>
      <x:c r="D275" s="43" t="str">
        <x:v>K54</x:v>
      </x:c>
      <x:c r="E275" s="43" t="str">
        <x:v>爽歪歪 (+1 tied)</x:v>
      </x:c>
      <x:c r="F275" s="44" t="n">
        <x:v>9</x:v>
      </x:c>
      <x:c r="G275" s="44" t="n">
        <x:v>8.6</x:v>
      </x:c>
      <x:c r="H275" s="44" t="n">
        <x:v>7.426</x:v>
      </x:c>
      <x:c r="I275" s="44" t="n">
        <x:v>4.91</x:v>
      </x:c>
      <x:c r="J275" s="43" t="n">
        <x:v>1</x:v>
      </x:c>
      <x:c r="K275" s="43" t="n">
        <x:v>1</x:v>
      </x:c>
      <x:c r="L275" s="43" t="n">
        <x:v>1</x:v>
      </x:c>
      <x:c r="M275" s="43" t="n">
        <x:v>1</x:v>
      </x:c>
    </x:row>
    <x:row r="276" ht="18" customHeight="1">
      <x:c r="A276" s="43" t="str">
        <x:v>Siege</x:v>
      </x:c>
      <x:c r="B276" s="43" t="str">
        <x:v>Siege Attack Blessing</x:v>
      </x:c>
      <x:c r="C276" s="43" t="str">
        <x:v>Higher</x:v>
      </x:c>
      <x:c r="D276" s="43" t="str">
        <x:v>K197</x:v>
      </x:c>
      <x:c r="E276" s="43" t="str">
        <x:v>Хлебушек</x:v>
      </x:c>
      <x:c r="F276" s="44" t="n">
        <x:v>9</x:v>
      </x:c>
      <x:c r="G276" s="44" t="n">
        <x:v>7.314</x:v>
      </x:c>
      <x:c r="H276" s="44" t="n">
        <x:v>4.878</x:v>
      </x:c>
      <x:c r="I276" s="44" t="n">
        <x:v>0.94</x:v>
      </x:c>
      <x:c r="J276" s="43" t="n">
        <x:v>1</x:v>
      </x:c>
      <x:c r="K276" s="43" t="n">
        <x:v>2</x:v>
      </x:c>
      <x:c r="L276" s="43" t="n">
        <x:v>4</x:v>
      </x:c>
      <x:c r="M276" s="43" t="n">
        <x:v>8</x:v>
      </x:c>
    </x:row>
    <x:row r="277" ht="18" customHeight="1">
      <x:c r="A277" s="43" t="str">
        <x:v>Siege</x:v>
      </x:c>
      <x:c r="B277" s="43" t="str">
        <x:v>Siege Attack Blessing</x:v>
      </x:c>
      <x:c r="C277" s="43" t="str">
        <x:v>Higher</x:v>
      </x:c>
      <x:c r="D277" s="43" t="str">
        <x:v>K176</x:v>
      </x:c>
      <x:c r="E277" s="43" t="str">
        <x:v>苟拓通天肆意妄为</x:v>
      </x:c>
      <x:c r="F277" s="44" t="n">
        <x:v>6.64</x:v>
      </x:c>
      <x:c r="G277" s="44" t="n">
        <x:v>6.359</x:v>
      </x:c>
      <x:c r="H277" s="44" t="n">
        <x:v>5.6659999999999995</x:v>
      </x:c>
      <x:c r="I277" s="44" t="n">
        <x:v>2.24</x:v>
      </x:c>
      <x:c r="J277" s="43" t="n">
        <x:v>6</x:v>
      </x:c>
      <x:c r="K277" s="43" t="n">
        <x:v>5</x:v>
      </x:c>
      <x:c r="L277" s="43" t="n">
        <x:v>3</x:v>
      </x:c>
      <x:c r="M277" s="43" t="n">
        <x:v>2</x:v>
      </x:c>
    </x:row>
    <x:row r="278" ht="18" customHeight="1">
      <x:c r="A278" s="43" t="str">
        <x:v>Siege</x:v>
      </x:c>
      <x:c r="B278" s="43" t="str">
        <x:v>Siege Protection Blessing</x:v>
      </x:c>
      <x:c r="C278" s="43" t="str">
        <x:v>Higher</x:v>
      </x:c>
      <x:c r="D278" s="43" t="str">
        <x:v>K60</x:v>
      </x:c>
      <x:c r="E278" s="43" t="str">
        <x:v>CerialKiller</x:v>
      </x:c>
      <x:c r="F278" s="44" t="n">
        <x:v>3.07</x:v>
      </x:c>
      <x:c r="G278" s="44" t="n">
        <x:v>2.528</x:v>
      </x:c>
      <x:c r="H278" s="44" t="n">
        <x:v>2.1079999999999997</x:v>
      </x:c>
      <x:c r="I278" s="44" t="n">
        <x:v>0.81</x:v>
      </x:c>
      <x:c r="J278" s="43" t="n">
        <x:v>6</x:v>
      </x:c>
      <x:c r="K278" s="43" t="n">
        <x:v>7</x:v>
      </x:c>
      <x:c r="L278" s="43" t="n">
        <x:v>7</x:v>
      </x:c>
      <x:c r="M278" s="43" t="n">
        <x:v>5</x:v>
      </x:c>
    </x:row>
    <x:row r="279" ht="18" customHeight="1">
      <x:c r="A279" s="43" t="str">
        <x:v>Siege</x:v>
      </x:c>
      <x:c r="B279" s="43" t="str">
        <x:v>Siege Protection Blessing</x:v>
      </x:c>
      <x:c r="C279" s="43" t="str">
        <x:v>Higher</x:v>
      </x:c>
      <x:c r="D279" s="43" t="str">
        <x:v>K91</x:v>
      </x:c>
      <x:c r="E279" s="43" t="str">
        <x:v>•Pain•</x:v>
      </x:c>
      <x:c r="F279" s="44" t="n">
        <x:v>7.88</x:v>
      </x:c>
      <x:c r="G279" s="44" t="n">
        <x:v>5.18</x:v>
      </x:c>
      <x:c r="H279" s="44" t="n">
        <x:v>2.8499999999999996</x:v>
      </x:c>
      <x:c r="I279" s="44" t="n">
        <x:v>0.665</x:v>
      </x:c>
      <x:c r="J279" s="43" t="n">
        <x:v>3</x:v>
      </x:c>
      <x:c r="K279" s="43" t="n">
        <x:v>4</x:v>
      </x:c>
      <x:c r="L279" s="43" t="n">
        <x:v>4</x:v>
      </x:c>
      <x:c r="M279" s="43" t="n">
        <x:v>8</x:v>
      </x:c>
    </x:row>
    <x:row r="280" ht="18" customHeight="1">
      <x:c r="A280" s="43" t="str">
        <x:v>Siege</x:v>
      </x:c>
      <x:c r="B280" s="43" t="str">
        <x:v>Siege Protection Blessing</x:v>
      </x:c>
      <x:c r="C280" s="43" t="str">
        <x:v>Higher</x:v>
      </x:c>
      <x:c r="D280" s="43" t="str">
        <x:v>K116</x:v>
      </x:c>
      <x:c r="E280" s="43" t="str">
        <x:v>Jesse (+1 tied)</x:v>
      </x:c>
      <x:c r="F280" s="44" t="n">
        <x:v>7</x:v>
      </x:c>
      <x:c r="G280" s="44" t="n">
        <x:v>6.859999999999999</x:v>
      </x:c>
      <x:c r="H280" s="44" t="n">
        <x:v>5.348000000000001</x:v>
      </x:c>
      <x:c r="I280" s="44" t="n">
        <x:v>0.865</x:v>
      </x:c>
      <x:c r="J280" s="43" t="n">
        <x:v>4</x:v>
      </x:c>
      <x:c r="K280" s="43" t="n">
        <x:v>2</x:v>
      </x:c>
      <x:c r="L280" s="43" t="n">
        <x:v>2</x:v>
      </x:c>
      <x:c r="M280" s="43" t="n">
        <x:v>4</x:v>
      </x:c>
    </x:row>
    <x:row r="281" ht="18" customHeight="1">
      <x:c r="A281" s="43" t="str">
        <x:v>Siege</x:v>
      </x:c>
      <x:c r="B281" s="43" t="str">
        <x:v>Siege Protection Blessing</x:v>
      </x:c>
      <x:c r="C281" s="43" t="str">
        <x:v>Higher</x:v>
      </x:c>
      <x:c r="D281" s="43" t="str">
        <x:v>K138</x:v>
      </x:c>
      <x:c r="E281" s="43" t="str">
        <x:v>(RaW)ϟCrozyϟ</x:v>
      </x:c>
      <x:c r="F281" s="44" t="n">
        <x:v>3.71</x:v>
      </x:c>
      <x:c r="G281" s="44" t="n">
        <x:v>3.035</x:v>
      </x:c>
      <x:c r="H281" s="44" t="n">
        <x:v>2.4899999999999998</x:v>
      </x:c>
      <x:c r="I281" s="44" t="n">
        <x:v>0.81</x:v>
      </x:c>
      <x:c r="J281" s="43" t="n">
        <x:v>5</x:v>
      </x:c>
      <x:c r="K281" s="43" t="n">
        <x:v>5</x:v>
      </x:c>
      <x:c r="L281" s="43" t="n">
        <x:v>5</x:v>
      </x:c>
      <x:c r="M281" s="43" t="n">
        <x:v>5</x:v>
      </x:c>
    </x:row>
    <x:row r="282" ht="18" customHeight="1">
      <x:c r="A282" s="43" t="str">
        <x:v>Siege</x:v>
      </x:c>
      <x:c r="B282" s="43" t="str">
        <x:v>Siege Protection Blessing</x:v>
      </x:c>
      <x:c r="C282" s="43" t="str">
        <x:v>Higher</x:v>
      </x:c>
      <x:c r="D282" s="43" t="str">
        <x:v>K170</x:v>
      </x:c>
      <x:c r="E282" s="43" t="str">
        <x:v>(AOT)WeleS</x:v>
      </x:c>
      <x:c r="F282" s="44" t="n">
        <x:v>2.56</x:v>
      </x:c>
      <x:c r="G282" s="44" t="n">
        <x:v>2.287</x:v>
      </x:c>
      <x:c r="H282" s="44" t="n">
        <x:v>1.876</x:v>
      </x:c>
      <x:c r="I282" s="44" t="n">
        <x:v>0.96</x:v>
      </x:c>
      <x:c r="J282" s="43" t="n">
        <x:v>8</x:v>
      </x:c>
      <x:c r="K282" s="43" t="n">
        <x:v>8</x:v>
      </x:c>
      <x:c r="L282" s="43" t="n">
        <x:v>8</x:v>
      </x:c>
      <x:c r="M282" s="43" t="n">
        <x:v>3</x:v>
      </x:c>
    </x:row>
    <x:row r="283" ht="18" customHeight="1">
      <x:c r="A283" s="43" t="str">
        <x:v>Siege</x:v>
      </x:c>
      <x:c r="B283" s="43" t="str">
        <x:v>Siege Protection Blessing</x:v>
      </x:c>
      <x:c r="C283" s="43" t="str">
        <x:v>Higher</x:v>
      </x:c>
      <x:c r="D283" s="43" t="str">
        <x:v>K54</x:v>
      </x:c>
      <x:c r="E283" s="43" t="str">
        <x:v>爽歪歪</x:v>
      </x:c>
      <x:c r="F283" s="44" t="n">
        <x:v>9</x:v>
      </x:c>
      <x:c r="G283" s="44" t="n">
        <x:v>8</x:v>
      </x:c>
      <x:c r="H283" s="44" t="n">
        <x:v>6.5200000000000005</x:v>
      </x:c>
      <x:c r="I283" s="44" t="n">
        <x:v>2.13</x:v>
      </x:c>
      <x:c r="J283" s="43" t="n">
        <x:v>1</x:v>
      </x:c>
      <x:c r="K283" s="43" t="n">
        <x:v>1</x:v>
      </x:c>
      <x:c r="L283" s="43" t="n">
        <x:v>1</x:v>
      </x:c>
      <x:c r="M283" s="43" t="n">
        <x:v>1</x:v>
      </x:c>
    </x:row>
    <x:row r="284" ht="18" customHeight="1">
      <x:c r="A284" s="43" t="str">
        <x:v>Siege</x:v>
      </x:c>
      <x:c r="B284" s="43" t="str">
        <x:v>Siege Protection Blessing</x:v>
      </x:c>
      <x:c r="C284" s="43" t="str">
        <x:v>Higher</x:v>
      </x:c>
      <x:c r="D284" s="43" t="str">
        <x:v>K197</x:v>
      </x:c>
      <x:c r="E284" s="43" t="str">
        <x:v>Хлебушек</x:v>
      </x:c>
      <x:c r="F284" s="44" t="n">
        <x:v>9</x:v>
      </x:c>
      <x:c r="G284" s="44" t="n">
        <x:v>6.016</x:v>
      </x:c>
      <x:c r="H284" s="44" t="n">
        <x:v>3.464</x:v>
      </x:c>
      <x:c r="I284" s="44" t="n">
        <x:v>0.67</x:v>
      </x:c>
      <x:c r="J284" s="43" t="n">
        <x:v>1</x:v>
      </x:c>
      <x:c r="K284" s="43" t="n">
        <x:v>3</x:v>
      </x:c>
      <x:c r="L284" s="43" t="n">
        <x:v>3</x:v>
      </x:c>
      <x:c r="M284" s="43" t="n">
        <x:v>7</x:v>
      </x:c>
    </x:row>
    <x:row r="285" ht="18" customHeight="1">
      <x:c r="A285" s="43" t="str">
        <x:v>Siege</x:v>
      </x:c>
      <x:c r="B285" s="43" t="str">
        <x:v>Siege Protection Blessing</x:v>
      </x:c>
      <x:c r="C285" s="43" t="str">
        <x:v>Higher</x:v>
      </x:c>
      <x:c r="D285" s="43" t="str">
        <x:v>K176</x:v>
      </x:c>
      <x:c r="E285" s="43" t="str">
        <x:v>༺璀璨星辰༻</x:v>
      </x:c>
      <x:c r="F285" s="44" t="n">
        <x:v>2.95</x:v>
      </x:c>
      <x:c r="G285" s="44" t="n">
        <x:v>2.754</x:v>
      </x:c>
      <x:c r="H285" s="44" t="n">
        <x:v>2.4</x:v>
      </x:c>
      <x:c r="I285" s="44" t="n">
        <x:v>1.26</x:v>
      </x:c>
      <x:c r="J285" s="43" t="n">
        <x:v>7</x:v>
      </x:c>
      <x:c r="K285" s="43" t="n">
        <x:v>6</x:v>
      </x:c>
      <x:c r="L285" s="43" t="n">
        <x:v>6</x:v>
      </x:c>
      <x:c r="M285" s="43" t="n">
        <x:v>2</x:v>
      </x:c>
    </x:row>
    <x:row r="286" ht="18" customHeight="1">
      <x:c r="A286" s="43" t="str">
        <x:v>Other</x:v>
      </x:c>
      <x:c r="B286" s="43" t="str">
        <x:v>Revive</x:v>
      </x:c>
      <x:c r="C286" s="43" t="str">
        <x:v>Higher</x:v>
      </x:c>
      <x:c r="D286" s="43" t="str">
        <x:v>K60</x:v>
      </x:c>
      <x:c r="E286" s="43" t="str">
        <x:v>All 25 tied</x:v>
      </x:c>
      <x:c r="F286" s="44" t="n">
        <x:v>0.26</x:v>
      </x:c>
      <x:c r="G286" s="44" t="n">
        <x:v>0.26</x:v>
      </x:c>
      <x:c r="H286" s="44" t="n">
        <x:v>0.26</x:v>
      </x:c>
      <x:c r="I286" s="44" t="n">
        <x:v>0.26</x:v>
      </x:c>
      <x:c r="J286" s="43" t="n">
        <x:v>5</x:v>
      </x:c>
      <x:c r="K286" s="43" t="n">
        <x:v>5</x:v>
      </x:c>
      <x:c r="L286" s="43" t="n">
        <x:v>5</x:v>
      </x:c>
      <x:c r="M286" s="43" t="n">
        <x:v>1</x:v>
      </x:c>
    </x:row>
    <x:row r="287" ht="18" customHeight="1">
      <x:c r="A287" s="43" t="str">
        <x:v>Other</x:v>
      </x:c>
      <x:c r="B287" s="43" t="str">
        <x:v>Revive</x:v>
      </x:c>
      <x:c r="C287" s="43" t="str">
        <x:v>Higher</x:v>
      </x:c>
      <x:c r="D287" s="43" t="str">
        <x:v>K91</x:v>
      </x:c>
      <x:c r="E287" s="43" t="str">
        <x:v>All 20 tied</x:v>
      </x:c>
      <x:c r="F287" s="44" t="n">
        <x:v>0.26</x:v>
      </x:c>
      <x:c r="G287" s="44" t="n">
        <x:v>0.26</x:v>
      </x:c>
      <x:c r="H287" s="44" t="n">
        <x:v>0.26</x:v>
      </x:c>
      <x:c r="I287" s="44" t="n">
        <x:v>0.26</x:v>
      </x:c>
      <x:c r="J287" s="43" t="n">
        <x:v>5</x:v>
      </x:c>
      <x:c r="K287" s="43" t="n">
        <x:v>5</x:v>
      </x:c>
      <x:c r="L287" s="43" t="n">
        <x:v>5</x:v>
      </x:c>
      <x:c r="M287" s="43" t="n">
        <x:v>1</x:v>
      </x:c>
    </x:row>
    <x:row r="288" ht="18" customHeight="1">
      <x:c r="A288" s="43" t="str">
        <x:v>Other</x:v>
      </x:c>
      <x:c r="B288" s="43" t="str">
        <x:v>Revive</x:v>
      </x:c>
      <x:c r="C288" s="43" t="str">
        <x:v>Higher</x:v>
      </x:c>
      <x:c r="D288" s="43" t="str">
        <x:v>K116</x:v>
      </x:c>
      <x:c r="E288" s="43" t="str">
        <x:v>汰需尚青 (+1 tied)</x:v>
      </x:c>
      <x:c r="F288" s="44" t="n">
        <x:v>0.46</x:v>
      </x:c>
      <x:c r="G288" s="44" t="n">
        <x:v>0.424</x:v>
      </x:c>
      <x:c r="H288" s="44" t="n">
        <x:v>0.34400000000000003</x:v>
      </x:c>
      <x:c r="I288" s="44" t="n">
        <x:v>0.26</x:v>
      </x:c>
      <x:c r="J288" s="43" t="n">
        <x:v>1</x:v>
      </x:c>
      <x:c r="K288" s="43" t="n">
        <x:v>2</x:v>
      </x:c>
      <x:c r="L288" s="43" t="n">
        <x:v>2</x:v>
      </x:c>
      <x:c r="M288" s="43" t="n">
        <x:v>1</x:v>
      </x:c>
    </x:row>
    <x:row r="289" ht="18" customHeight="1">
      <x:c r="A289" s="43" t="str">
        <x:v>Other</x:v>
      </x:c>
      <x:c r="B289" s="43" t="str">
        <x:v>Revive</x:v>
      </x:c>
      <x:c r="C289" s="43" t="str">
        <x:v>Higher</x:v>
      </x:c>
      <x:c r="D289" s="43" t="str">
        <x:v>K138</x:v>
      </x:c>
      <x:c r="E289" s="43" t="str">
        <x:v>(RaW)༺博卡Ajax༻ (+25 tied)</x:v>
      </x:c>
      <x:c r="F289" s="44" t="n">
        <x:v>0.26</x:v>
      </x:c>
      <x:c r="G289" s="44" t="n">
        <x:v>0.26</x:v>
      </x:c>
      <x:c r="H289" s="44" t="n">
        <x:v>0.26</x:v>
      </x:c>
      <x:c r="I289" s="44" t="n">
        <x:v>0.26</x:v>
      </x:c>
      <x:c r="J289" s="43" t="n">
        <x:v>5</x:v>
      </x:c>
      <x:c r="K289" s="43" t="n">
        <x:v>5</x:v>
      </x:c>
      <x:c r="L289" s="43" t="n">
        <x:v>5</x:v>
      </x:c>
      <x:c r="M289" s="43" t="n">
        <x:v>1</x:v>
      </x:c>
    </x:row>
    <x:row r="290" ht="18" customHeight="1">
      <x:c r="A290" s="43" t="str">
        <x:v>Other</x:v>
      </x:c>
      <x:c r="B290" s="43" t="str">
        <x:v>Revive</x:v>
      </x:c>
      <x:c r="C290" s="43" t="str">
        <x:v>Higher</x:v>
      </x:c>
      <x:c r="D290" s="43" t="str">
        <x:v>K170</x:v>
      </x:c>
      <x:c r="E290" s="43" t="str">
        <x:v>(AOT)StFruz</x:v>
      </x:c>
      <x:c r="F290" s="44" t="n">
        <x:v>0.46</x:v>
      </x:c>
      <x:c r="G290" s="44" t="n">
        <x:v>0.36</x:v>
      </x:c>
      <x:c r="H290" s="44" t="n">
        <x:v>0.3</x:v>
      </x:c>
      <x:c r="I290" s="44" t="n">
        <x:v>0.26</x:v>
      </x:c>
      <x:c r="J290" s="43" t="n">
        <x:v>1</x:v>
      </x:c>
      <x:c r="K290" s="43" t="n">
        <x:v>3</x:v>
      </x:c>
      <x:c r="L290" s="43" t="n">
        <x:v>3</x:v>
      </x:c>
      <x:c r="M290" s="43" t="n">
        <x:v>1</x:v>
      </x:c>
    </x:row>
    <x:row r="291" ht="18" customHeight="1">
      <x:c r="A291" s="43" t="str">
        <x:v>Other</x:v>
      </x:c>
      <x:c r="B291" s="43" t="str">
        <x:v>Revive</x:v>
      </x:c>
      <x:c r="C291" s="43" t="str">
        <x:v>Higher</x:v>
      </x:c>
      <x:c r="D291" s="43" t="str">
        <x:v>K54</x:v>
      </x:c>
      <x:c r="E291" s="43" t="str">
        <x:v>纵横,,,Nike耐克</x:v>
      </x:c>
      <x:c r="F291" s="44" t="n">
        <x:v>0.46</x:v>
      </x:c>
      <x:c r="G291" s="44" t="n">
        <x:v>0.36</x:v>
      </x:c>
      <x:c r="H291" s="44" t="n">
        <x:v>0.3</x:v>
      </x:c>
      <x:c r="I291" s="44" t="n">
        <x:v>0.26</x:v>
      </x:c>
      <x:c r="J291" s="43" t="n">
        <x:v>1</x:v>
      </x:c>
      <x:c r="K291" s="43" t="n">
        <x:v>3</x:v>
      </x:c>
      <x:c r="L291" s="43" t="n">
        <x:v>3</x:v>
      </x:c>
      <x:c r="M291" s="43" t="n">
        <x:v>1</x:v>
      </x:c>
    </x:row>
    <x:row r="292" ht="18" customHeight="1">
      <x:c r="A292" s="43" t="str">
        <x:v>Other</x:v>
      </x:c>
      <x:c r="B292" s="43" t="str">
        <x:v>Revive</x:v>
      </x:c>
      <x:c r="C292" s="43" t="str">
        <x:v>Higher</x:v>
      </x:c>
      <x:c r="D292" s="43" t="str">
        <x:v>K197</x:v>
      </x:c>
      <x:c r="E292" s="43" t="str">
        <x:v>Хлебушек (+16 tied)</x:v>
      </x:c>
      <x:c r="F292" s="44" t="n">
        <x:v>0.26</x:v>
      </x:c>
      <x:c r="G292" s="44" t="n">
        <x:v>0.26</x:v>
      </x:c>
      <x:c r="H292" s="44" t="n">
        <x:v>0.26</x:v>
      </x:c>
      <x:c r="I292" s="44" t="n">
        <x:v>0.26</x:v>
      </x:c>
      <x:c r="J292" s="43" t="n">
        <x:v>5</x:v>
      </x:c>
      <x:c r="K292" s="43" t="n">
        <x:v>5</x:v>
      </x:c>
      <x:c r="L292" s="43" t="n">
        <x:v>5</x:v>
      </x:c>
      <x:c r="M292" s="43" t="n">
        <x:v>1</x:v>
      </x:c>
    </x:row>
    <x:row r="293" ht="18" customHeight="1">
      <x:c r="A293" s="43" t="str">
        <x:v>Other</x:v>
      </x:c>
      <x:c r="B293" s="43" t="str">
        <x:v>Revive</x:v>
      </x:c>
      <x:c r="C293" s="43" t="str">
        <x:v>Higher</x:v>
      </x:c>
      <x:c r="D293" s="43" t="str">
        <x:v>K176</x:v>
      </x:c>
      <x:c r="E293" s="43" t="str">
        <x:v>梦山河 (+3 tied)</x:v>
      </x:c>
      <x:c r="F293" s="44" t="n">
        <x:v>0.46</x:v>
      </x:c>
      <x:c r="G293" s="44" t="n">
        <x:v>0.46</x:v>
      </x:c>
      <x:c r="H293" s="44" t="n">
        <x:v>0.42000000000000004</x:v>
      </x:c>
      <x:c r="I293" s="44" t="n">
        <x:v>0.26</x:v>
      </x:c>
      <x:c r="J293" s="43" t="n">
        <x:v>1</x:v>
      </x:c>
      <x:c r="K293" s="43" t="n">
        <x:v>1</x:v>
      </x:c>
      <x:c r="L293" s="43" t="n">
        <x:v>1</x:v>
      </x:c>
      <x:c r="M293" s="43" t="n">
        <x:v>1</x:v>
      </x:c>
    </x:row>
    <x:row r="294" ht="18" customHeight="1">
      <x:c r="A294" s="43" t="str">
        <x:v>Other</x:v>
      </x:c>
      <x:c r="B294" s="43" t="str">
        <x:v>Lethal Hit Rate</x:v>
      </x:c>
      <x:c r="C294" s="43" t="str">
        <x:v>Higher</x:v>
      </x:c>
      <x:c r="D294" s="43" t="str">
        <x:v>K60</x:v>
      </x:c>
      <x:c r="E294" s="43" t="str">
        <x:v>Дерог (+1 tied)</x:v>
      </x:c>
      <x:c r="F294" s="44" t="n">
        <x:v>0.255</x:v>
      </x:c>
      <x:c r="G294" s="44" t="n">
        <x:v>0.254</x:v>
      </x:c>
      <x:c r="H294" s="44" t="n">
        <x:v>0.252</x:v>
      </x:c>
      <x:c r="I294" s="44" t="n">
        <x:v>0.24</x:v>
      </x:c>
      <x:c r="J294" s="43" t="n">
        <x:v>1</x:v>
      </x:c>
      <x:c r="K294" s="43" t="n">
        <x:v>1</x:v>
      </x:c>
      <x:c r="L294" s="43" t="n">
        <x:v>1</x:v>
      </x:c>
      <x:c r="M294" s="43" t="n">
        <x:v>1</x:v>
      </x:c>
    </x:row>
    <x:row r="295" ht="18" customHeight="1">
      <x:c r="A295" s="43" t="str">
        <x:v>Other</x:v>
      </x:c>
      <x:c r="B295" s="43" t="str">
        <x:v>Lethal Hit Rate</x:v>
      </x:c>
      <x:c r="C295" s="43" t="str">
        <x:v>Higher</x:v>
      </x:c>
      <x:c r="D295" s="43" t="str">
        <x:v>K91</x:v>
      </x:c>
      <x:c r="E295" s="43" t="str">
        <x:v>•Pain•</x:v>
      </x:c>
      <x:c r="F295" s="44" t="n">
        <x:v>0.255</x:v>
      </x:c>
      <x:c r="G295" s="44" t="n">
        <x:v>0.2515</x:v>
      </x:c>
      <x:c r="H295" s="44" t="n">
        <x:v>0.24699999999999997</x:v>
      </x:c>
      <x:c r="I295" s="44" t="n">
        <x:v>0.2275</x:v>
      </x:c>
      <x:c r="J295" s="43" t="n">
        <x:v>1</x:v>
      </x:c>
      <x:c r="K295" s="43" t="n">
        <x:v>4</x:v>
      </x:c>
      <x:c r="L295" s="43" t="n">
        <x:v>3</x:v>
      </x:c>
      <x:c r="M295" s="43" t="n">
        <x:v>6</x:v>
      </x:c>
    </x:row>
    <x:row r="296" ht="18" customHeight="1">
      <x:c r="A296" s="43" t="str">
        <x:v>Other</x:v>
      </x:c>
      <x:c r="B296" s="43" t="str">
        <x:v>Lethal Hit Rate</x:v>
      </x:c>
      <x:c r="C296" s="43" t="str">
        <x:v>Higher</x:v>
      </x:c>
      <x:c r="D296" s="43" t="str">
        <x:v>K116</x:v>
      </x:c>
      <x:c r="E296" s="43" t="str">
        <x:v>光之使者</x:v>
      </x:c>
      <x:c r="F296" s="44" t="n">
        <x:v>0.245</x:v>
      </x:c>
      <x:c r="G296" s="44" t="n">
        <x:v>0.2415</x:v>
      </x:c>
      <x:c r="H296" s="44" t="n">
        <x:v>0.238</x:v>
      </x:c>
      <x:c r="I296" s="44" t="n">
        <x:v>0.2175</x:v>
      </x:c>
      <x:c r="J296" s="43" t="n">
        <x:v>8</x:v>
      </x:c>
      <x:c r="K296" s="43" t="n">
        <x:v>8</x:v>
      </x:c>
      <x:c r="L296" s="43" t="n">
        <x:v>8</x:v>
      </x:c>
      <x:c r="M296" s="43" t="n">
        <x:v>8</x:v>
      </x:c>
    </x:row>
    <x:row r="297" ht="18" customHeight="1">
      <x:c r="A297" s="43" t="str">
        <x:v>Other</x:v>
      </x:c>
      <x:c r="B297" s="43" t="str">
        <x:v>Lethal Hit Rate</x:v>
      </x:c>
      <x:c r="C297" s="43" t="str">
        <x:v>Higher</x:v>
      </x:c>
      <x:c r="D297" s="43" t="str">
        <x:v>K138</x:v>
      </x:c>
      <x:c r="E297" s="43" t="str">
        <x:v>(RaW)༺JOJO༻</x:v>
      </x:c>
      <x:c r="F297" s="44" t="n">
        <x:v>0.25</x:v>
      </x:c>
      <x:c r="G297" s="44" t="n">
        <x:v>0.2475</x:v>
      </x:c>
      <x:c r="H297" s="44" t="n">
        <x:v>0.244</x:v>
      </x:c>
      <x:c r="I297" s="44" t="n">
        <x:v>0.235</x:v>
      </x:c>
      <x:c r="J297" s="43" t="n">
        <x:v>5</x:v>
      </x:c>
      <x:c r="K297" s="43" t="n">
        <x:v>6</x:v>
      </x:c>
      <x:c r="L297" s="43" t="n">
        <x:v>6</x:v>
      </x:c>
      <x:c r="M297" s="43" t="n">
        <x:v>2</x:v>
      </x:c>
    </x:row>
    <x:row r="298" ht="18" customHeight="1">
      <x:c r="A298" s="43" t="str">
        <x:v>Other</x:v>
      </x:c>
      <x:c r="B298" s="43" t="str">
        <x:v>Lethal Hit Rate</x:v>
      </x:c>
      <x:c r="C298" s="43" t="str">
        <x:v>Higher</x:v>
      </x:c>
      <x:c r="D298" s="43" t="str">
        <x:v>K170</x:v>
      </x:c>
      <x:c r="E298" s="43" t="str">
        <x:v>(AOT)SanSW° (+1 tied)</x:v>
      </x:c>
      <x:c r="F298" s="44" t="n">
        <x:v>0.255</x:v>
      </x:c>
      <x:c r="G298" s="44" t="n">
        <x:v>0.254</x:v>
      </x:c>
      <x:c r="H298" s="44" t="n">
        <x:v>0.251</x:v>
      </x:c>
      <x:c r="I298" s="44" t="n">
        <x:v>0.235</x:v>
      </x:c>
      <x:c r="J298" s="43" t="n">
        <x:v>1</x:v>
      </x:c>
      <x:c r="K298" s="43" t="n">
        <x:v>1</x:v>
      </x:c>
      <x:c r="L298" s="43" t="n">
        <x:v>2</x:v>
      </x:c>
      <x:c r="M298" s="43" t="n">
        <x:v>2</x:v>
      </x:c>
    </x:row>
    <x:row r="299" ht="18" customHeight="1">
      <x:c r="A299" s="43" t="str">
        <x:v>Other</x:v>
      </x:c>
      <x:c r="B299" s="43" t="str">
        <x:v>Lethal Hit Rate</x:v>
      </x:c>
      <x:c r="C299" s="43" t="str">
        <x:v>Higher</x:v>
      </x:c>
      <x:c r="D299" s="43" t="str">
        <x:v>K54</x:v>
      </x:c>
      <x:c r="E299" s="43" t="str">
        <x:v>ony</x:v>
      </x:c>
      <x:c r="F299" s="44" t="n">
        <x:v>0.255</x:v>
      </x:c>
      <x:c r="G299" s="44" t="n">
        <x:v>0.2525</x:v>
      </x:c>
      <x:c r="H299" s="44" t="n">
        <x:v>0.24699999999999997</x:v>
      </x:c>
      <x:c r="I299" s="44" t="n">
        <x:v>0.225</x:v>
      </x:c>
      <x:c r="J299" s="43" t="n">
        <x:v>1</x:v>
      </x:c>
      <x:c r="K299" s="43" t="n">
        <x:v>3</x:v>
      </x:c>
      <x:c r="L299" s="43" t="n">
        <x:v>3</x:v>
      </x:c>
      <x:c r="M299" s="43" t="n">
        <x:v>7</x:v>
      </x:c>
    </x:row>
    <x:row r="300" ht="18" customHeight="1">
      <x:c r="A300" s="43" t="str">
        <x:v>Other</x:v>
      </x:c>
      <x:c r="B300" s="43" t="str">
        <x:v>Lethal Hit Rate</x:v>
      </x:c>
      <x:c r="C300" s="43" t="str">
        <x:v>Higher</x:v>
      </x:c>
      <x:c r="D300" s="43" t="str">
        <x:v>K197</x:v>
      </x:c>
      <x:c r="E300" s="43" t="str">
        <x:v>Saku</x:v>
      </x:c>
      <x:c r="F300" s="44" t="n">
        <x:v>0.25</x:v>
      </x:c>
      <x:c r="G300" s="44" t="n">
        <x:v>0.2465</x:v>
      </x:c>
      <x:c r="H300" s="44" t="n">
        <x:v>0.24299999999999997</x:v>
      </x:c>
      <x:c r="I300" s="44" t="n">
        <x:v>0.23</x:v>
      </x:c>
      <x:c r="J300" s="43" t="n">
        <x:v>5</x:v>
      </x:c>
      <x:c r="K300" s="43" t="n">
        <x:v>7</x:v>
      </x:c>
      <x:c r="L300" s="43" t="n">
        <x:v>7</x:v>
      </x:c>
      <x:c r="M300" s="43" t="n">
        <x:v>5</x:v>
      </x:c>
    </x:row>
    <x:row r="301" ht="18" customHeight="1">
      <x:c r="A301" s="43" t="str">
        <x:v>Other</x:v>
      </x:c>
      <x:c r="B301" s="43" t="str">
        <x:v>Lethal Hit Rate</x:v>
      </x:c>
      <x:c r="C301" s="43" t="str">
        <x:v>Higher</x:v>
      </x:c>
      <x:c r="D301" s="43" t="str">
        <x:v>K176</x:v>
      </x:c>
      <x:c r="E301" s="43" t="str">
        <x:v>三月的心思你别猜 (+1 tied)</x:v>
      </x:c>
      <x:c r="F301" s="44" t="n">
        <x:v>0.25</x:v>
      </x:c>
      <x:c r="G301" s="44" t="n">
        <x:v>0.249</x:v>
      </x:c>
      <x:c r="H301" s="44" t="n">
        <x:v>0.246</x:v>
      </x:c>
      <x:c r="I301" s="44" t="n">
        <x:v>0.235</x:v>
      </x:c>
      <x:c r="J301" s="43" t="n">
        <x:v>5</x:v>
      </x:c>
      <x:c r="K301" s="43" t="n">
        <x:v>5</x:v>
      </x:c>
      <x:c r="L301" s="43" t="n">
        <x:v>5</x:v>
      </x:c>
      <x:c r="M301" s="43" t="n">
        <x:v>2</x:v>
      </x:c>
    </x:row>
    <x:row r="302" ht="18" customHeight="1">
      <x:c r="A302" s="43" t="str">
        <x:v>Shared Battle Modifiers</x:v>
      </x:c>
      <x:c r="B302" s="43" t="str">
        <x:v>Guards block damage</x:v>
      </x:c>
      <x:c r="C302" s="43" t="str">
        <x:v>Lower</x:v>
      </x:c>
      <x:c r="D302" s="43" t="str">
        <x:v>K60</x:v>
      </x:c>
      <x:c r="E302" s="43" t="str">
        <x:v>All 25 tied</x:v>
      </x:c>
      <x:c r="F302" s="44" t="n">
        <x:v>-1.2188</x:v>
      </x:c>
      <x:c r="G302" s="44" t="n">
        <x:v>-1.2188</x:v>
      </x:c>
      <x:c r="H302" s="44" t="n">
        <x:v>-1.2188</x:v>
      </x:c>
      <x:c r="I302" s="44" t="n">
        <x:v>-1.2188</x:v>
      </x:c>
      <x:c r="J302" s="43" t="n">
        <x:v>1</x:v>
      </x:c>
      <x:c r="K302" s="43" t="n">
        <x:v>1</x:v>
      </x:c>
      <x:c r="L302" s="43" t="n">
        <x:v>1</x:v>
      </x:c>
      <x:c r="M302" s="43" t="n">
        <x:v>1</x:v>
      </x:c>
    </x:row>
    <x:row r="303" ht="18" customHeight="1">
      <x:c r="A303" s="43" t="str">
        <x:v>Shared Battle Modifiers</x:v>
      </x:c>
      <x:c r="B303" s="43" t="str">
        <x:v>Guards block damage</x:v>
      </x:c>
      <x:c r="C303" s="43" t="str">
        <x:v>Lower</x:v>
      </x:c>
      <x:c r="D303" s="43" t="str">
        <x:v>K91</x:v>
      </x:c>
      <x:c r="E303" s="43" t="str">
        <x:v>All 20 tied</x:v>
      </x:c>
      <x:c r="F303" s="44" t="n">
        <x:v>-1.2187999999999999</x:v>
      </x:c>
      <x:c r="G303" s="44" t="n">
        <x:v>-1.2187999999999999</x:v>
      </x:c>
      <x:c r="H303" s="44" t="n">
        <x:v>-1.2187999999999999</x:v>
      </x:c>
      <x:c r="I303" s="44" t="n">
        <x:v>-1.2187999999999999</x:v>
      </x:c>
      <x:c r="J303" s="43" t="n">
        <x:v>4</x:v>
      </x:c>
      <x:c r="K303" s="43" t="n">
        <x:v>4</x:v>
      </x:c>
      <x:c r="L303" s="43" t="n">
        <x:v>4</x:v>
      </x:c>
      <x:c r="M303" s="43" t="n">
        <x:v>4</x:v>
      </x:c>
    </x:row>
    <x:row r="304" ht="18" customHeight="1">
      <x:c r="A304" s="43" t="str">
        <x:v>Shared Battle Modifiers</x:v>
      </x:c>
      <x:c r="B304" s="43" t="str">
        <x:v>Guards block damage</x:v>
      </x:c>
      <x:c r="C304" s="43" t="str">
        <x:v>Lower</x:v>
      </x:c>
      <x:c r="D304" s="43" t="str">
        <x:v>K116</x:v>
      </x:c>
      <x:c r="E304" s="43" t="str">
        <x:v>All 20 tied</x:v>
      </x:c>
      <x:c r="F304" s="44" t="n">
        <x:v>-1.2187999999999999</x:v>
      </x:c>
      <x:c r="G304" s="44" t="n">
        <x:v>-1.2187999999999999</x:v>
      </x:c>
      <x:c r="H304" s="44" t="n">
        <x:v>-1.2187999999999999</x:v>
      </x:c>
      <x:c r="I304" s="44" t="n">
        <x:v>-1.2187999999999999</x:v>
      </x:c>
      <x:c r="J304" s="43" t="n">
        <x:v>4</x:v>
      </x:c>
      <x:c r="K304" s="43" t="n">
        <x:v>4</x:v>
      </x:c>
      <x:c r="L304" s="43" t="n">
        <x:v>4</x:v>
      </x:c>
      <x:c r="M304" s="43" t="n">
        <x:v>4</x:v>
      </x:c>
    </x:row>
    <x:row r="305" ht="18" customHeight="1">
      <x:c r="A305" s="43" t="str">
        <x:v>Shared Battle Modifiers</x:v>
      </x:c>
      <x:c r="B305" s="43" t="str">
        <x:v>Guards block damage</x:v>
      </x:c>
      <x:c r="C305" s="43" t="str">
        <x:v>Lower</x:v>
      </x:c>
      <x:c r="D305" s="43" t="str">
        <x:v>K138</x:v>
      </x:c>
      <x:c r="E305" s="43" t="str">
        <x:v>(RaW)༺博卡Ajax༻ (+25 tied)</x:v>
      </x:c>
      <x:c r="F305" s="44" t="n">
        <x:v>-1.2188</x:v>
      </x:c>
      <x:c r="G305" s="44" t="n">
        <x:v>-1.2188</x:v>
      </x:c>
      <x:c r="H305" s="44" t="n">
        <x:v>-1.2188</x:v>
      </x:c>
      <x:c r="I305" s="44" t="n">
        <x:v>-1.2188</x:v>
      </x:c>
      <x:c r="J305" s="43" t="n">
        <x:v>1</x:v>
      </x:c>
      <x:c r="K305" s="43" t="n">
        <x:v>1</x:v>
      </x:c>
      <x:c r="L305" s="43" t="n">
        <x:v>1</x:v>
      </x:c>
      <x:c r="M305" s="43" t="n">
        <x:v>1</x:v>
      </x:c>
    </x:row>
    <x:row r="306" ht="18" customHeight="1">
      <x:c r="A306" s="43" t="str">
        <x:v>Shared Battle Modifiers</x:v>
      </x:c>
      <x:c r="B306" s="43" t="str">
        <x:v>Guards block damage</x:v>
      </x:c>
      <x:c r="C306" s="43" t="str">
        <x:v>Lower</x:v>
      </x:c>
      <x:c r="D306" s="43" t="str">
        <x:v>K170</x:v>
      </x:c>
      <x:c r="E306" s="43" t="str">
        <x:v>(AOT)SanSW° (+20 tied)</x:v>
      </x:c>
      <x:c r="F306" s="44" t="n">
        <x:v>-1.2188</x:v>
      </x:c>
      <x:c r="G306" s="44" t="n">
        <x:v>-1.2188</x:v>
      </x:c>
      <x:c r="H306" s="44" t="n">
        <x:v>-1.2188</x:v>
      </x:c>
      <x:c r="I306" s="44" t="n">
        <x:v>-1.2188</x:v>
      </x:c>
      <x:c r="J306" s="43" t="n">
        <x:v>1</x:v>
      </x:c>
      <x:c r="K306" s="43" t="n">
        <x:v>1</x:v>
      </x:c>
      <x:c r="L306" s="43" t="n">
        <x:v>1</x:v>
      </x:c>
      <x:c r="M306" s="43" t="n">
        <x:v>1</x:v>
      </x:c>
    </x:row>
    <x:row r="307" ht="18" customHeight="1">
      <x:c r="A307" s="43" t="str">
        <x:v>Shared Battle Modifiers</x:v>
      </x:c>
      <x:c r="B307" s="43" t="str">
        <x:v>Guards block damage</x:v>
      </x:c>
      <x:c r="C307" s="43" t="str">
        <x:v>Lower</x:v>
      </x:c>
      <x:c r="D307" s="43" t="str">
        <x:v>K54</x:v>
      </x:c>
      <x:c r="E307" s="43" t="str">
        <x:v>All 11 tied</x:v>
      </x:c>
      <x:c r="F307" s="44" t="n">
        <x:v>-1.2187999999999999</x:v>
      </x:c>
      <x:c r="G307" s="44" t="n">
        <x:v>-1.2187999999999999</x:v>
      </x:c>
      <x:c r="H307" s="44" t="n">
        <x:v>-1.2187999999999999</x:v>
      </x:c>
      <x:c r="I307" s="44" t="n">
        <x:v>-1.2187999999999999</x:v>
      </x:c>
      <x:c r="J307" s="43" t="n">
        <x:v>4</x:v>
      </x:c>
      <x:c r="K307" s="43" t="n">
        <x:v>4</x:v>
      </x:c>
      <x:c r="L307" s="43" t="n">
        <x:v>4</x:v>
      </x:c>
      <x:c r="M307" s="43" t="n">
        <x:v>4</x:v>
      </x:c>
    </x:row>
    <x:row r="308" ht="18" customHeight="1">
      <x:c r="A308" s="43" t="str">
        <x:v>Shared Battle Modifiers</x:v>
      </x:c>
      <x:c r="B308" s="43" t="str">
        <x:v>Guards block damage</x:v>
      </x:c>
      <x:c r="C308" s="43" t="str">
        <x:v>Lower</x:v>
      </x:c>
      <x:c r="D308" s="43" t="str">
        <x:v>K197</x:v>
      </x:c>
      <x:c r="E308" s="43" t="str">
        <x:v>All 19 tied</x:v>
      </x:c>
      <x:c r="F308" s="44" t="n">
        <x:v>-1.2187999999999999</x:v>
      </x:c>
      <x:c r="G308" s="44" t="n">
        <x:v>-1.2187999999999999</x:v>
      </x:c>
      <x:c r="H308" s="44" t="n">
        <x:v>-1.2187999999999999</x:v>
      </x:c>
      <x:c r="I308" s="44" t="n">
        <x:v>-1.2187999999999999</x:v>
      </x:c>
      <x:c r="J308" s="43" t="n">
        <x:v>4</x:v>
      </x:c>
      <x:c r="K308" s="43" t="n">
        <x:v>4</x:v>
      </x:c>
      <x:c r="L308" s="43" t="n">
        <x:v>4</x:v>
      </x:c>
      <x:c r="M308" s="43" t="n">
        <x:v>4</x:v>
      </x:c>
    </x:row>
    <x:row r="309" ht="18" customHeight="1">
      <x:c r="A309" s="43" t="str">
        <x:v>Shared Battle Modifiers</x:v>
      </x:c>
      <x:c r="B309" s="43" t="str">
        <x:v>Guards block damage</x:v>
      </x:c>
      <x:c r="C309" s="43" t="str">
        <x:v>Lower</x:v>
      </x:c>
      <x:c r="D309" s="43" t="str">
        <x:v>K176</x:v>
      </x:c>
      <x:c r="E309" s="43" t="str">
        <x:v>All 22 tied</x:v>
      </x:c>
      <x:c r="F309" s="44" t="n">
        <x:v>-1.2187999999999999</x:v>
      </x:c>
      <x:c r="G309" s="44" t="n">
        <x:v>-1.2187999999999999</x:v>
      </x:c>
      <x:c r="H309" s="44" t="n">
        <x:v>-1.2187999999999999</x:v>
      </x:c>
      <x:c r="I309" s="44" t="n">
        <x:v>-1.2187999999999999</x:v>
      </x:c>
      <x:c r="J309" s="43" t="n">
        <x:v>4</x:v>
      </x:c>
      <x:c r="K309" s="43" t="n">
        <x:v>4</x:v>
      </x:c>
      <x:c r="L309" s="43" t="n">
        <x:v>4</x:v>
      </x:c>
      <x:c r="M309" s="43" t="n">
        <x:v>4</x:v>
      </x:c>
    </x:row>
    <x:row r="310" ht="18" customHeight="1">
      <x:c r="A310" s="43" t="str">
        <x:v>Shared Battle Modifiers</x:v>
      </x:c>
      <x:c r="B310" s="43" t="str">
        <x:v>Heavy Cavalry Damage</x:v>
      </x:c>
      <x:c r="C310" s="43" t="str">
        <x:v>Higher</x:v>
      </x:c>
      <x:c r="D310" s="43" t="str">
        <x:v>K60</x:v>
      </x:c>
      <x:c r="E310" s="43" t="str">
        <x:v>All 25 tied</x:v>
      </x:c>
      <x:c r="F310" s="44" t="n">
        <x:v>0.9653</x:v>
      </x:c>
      <x:c r="G310" s="44" t="n">
        <x:v>0.9653</x:v>
      </x:c>
      <x:c r="H310" s="44" t="n">
        <x:v>0.9653</x:v>
      </x:c>
      <x:c r="I310" s="44" t="n">
        <x:v>0.9653</x:v>
      </x:c>
      <x:c r="J310" s="43" t="n">
        <x:v>4</x:v>
      </x:c>
      <x:c r="K310" s="43" t="n">
        <x:v>4</x:v>
      </x:c>
      <x:c r="L310" s="43" t="n">
        <x:v>4</x:v>
      </x:c>
      <x:c r="M310" s="43" t="n">
        <x:v>4</x:v>
      </x:c>
    </x:row>
    <x:row r="311" ht="18" customHeight="1">
      <x:c r="A311" s="43" t="str">
        <x:v>Shared Battle Modifiers</x:v>
      </x:c>
      <x:c r="B311" s="43" t="str">
        <x:v>Heavy Cavalry Damage</x:v>
      </x:c>
      <x:c r="C311" s="43" t="str">
        <x:v>Higher</x:v>
      </x:c>
      <x:c r="D311" s="43" t="str">
        <x:v>K91</x:v>
      </x:c>
      <x:c r="E311" s="43" t="str">
        <x:v>All 20 tied</x:v>
      </x:c>
      <x:c r="F311" s="44" t="n">
        <x:v>0.9653</x:v>
      </x:c>
      <x:c r="G311" s="44" t="n">
        <x:v>0.9653</x:v>
      </x:c>
      <x:c r="H311" s="44" t="n">
        <x:v>0.9653</x:v>
      </x:c>
      <x:c r="I311" s="44" t="n">
        <x:v>0.9653</x:v>
      </x:c>
      <x:c r="J311" s="43" t="n">
        <x:v>4</x:v>
      </x:c>
      <x:c r="K311" s="43" t="n">
        <x:v>4</x:v>
      </x:c>
      <x:c r="L311" s="43" t="n">
        <x:v>4</x:v>
      </x:c>
      <x:c r="M311" s="43" t="n">
        <x:v>4</x:v>
      </x:c>
    </x:row>
    <x:row r="312" ht="18" customHeight="1">
      <x:c r="A312" s="43" t="str">
        <x:v>Shared Battle Modifiers</x:v>
      </x:c>
      <x:c r="B312" s="43" t="str">
        <x:v>Heavy Cavalry Damage</x:v>
      </x:c>
      <x:c r="C312" s="43" t="str">
        <x:v>Higher</x:v>
      </x:c>
      <x:c r="D312" s="43" t="str">
        <x:v>K116</x:v>
      </x:c>
      <x:c r="E312" s="43" t="str">
        <x:v>All 20 tied</x:v>
      </x:c>
      <x:c r="F312" s="44" t="n">
        <x:v>1.2187999999999999</x:v>
      </x:c>
      <x:c r="G312" s="44" t="n">
        <x:v>1.2187999999999999</x:v>
      </x:c>
      <x:c r="H312" s="44" t="n">
        <x:v>1.2187999999999999</x:v>
      </x:c>
      <x:c r="I312" s="44" t="n">
        <x:v>1.2187999999999999</x:v>
      </x:c>
      <x:c r="J312" s="43" t="n">
        <x:v>1</x:v>
      </x:c>
      <x:c r="K312" s="43" t="n">
        <x:v>1</x:v>
      </x:c>
      <x:c r="L312" s="43" t="n">
        <x:v>1</x:v>
      </x:c>
      <x:c r="M312" s="43" t="n">
        <x:v>1</x:v>
      </x:c>
    </x:row>
    <x:row r="313" ht="18" customHeight="1">
      <x:c r="A313" s="43" t="str">
        <x:v>Shared Battle Modifiers</x:v>
      </x:c>
      <x:c r="B313" s="43" t="str">
        <x:v>Heavy Cavalry Damage</x:v>
      </x:c>
      <x:c r="C313" s="43" t="str">
        <x:v>Higher</x:v>
      </x:c>
      <x:c r="D313" s="43" t="str">
        <x:v>K138</x:v>
      </x:c>
      <x:c r="E313" s="43" t="str">
        <x:v>(RaW)༺博卡Ajax༻ (+25 tied)</x:v>
      </x:c>
      <x:c r="F313" s="44" t="n">
        <x:v>0.9653</x:v>
      </x:c>
      <x:c r="G313" s="44" t="n">
        <x:v>0.9653</x:v>
      </x:c>
      <x:c r="H313" s="44" t="n">
        <x:v>0.9653</x:v>
      </x:c>
      <x:c r="I313" s="44" t="n">
        <x:v>0.9653</x:v>
      </x:c>
      <x:c r="J313" s="43" t="n">
        <x:v>4</x:v>
      </x:c>
      <x:c r="K313" s="43" t="n">
        <x:v>4</x:v>
      </x:c>
      <x:c r="L313" s="43" t="n">
        <x:v>4</x:v>
      </x:c>
      <x:c r="M313" s="43" t="n">
        <x:v>4</x:v>
      </x:c>
    </x:row>
    <x:row r="314" ht="18" customHeight="1">
      <x:c r="A314" s="43" t="str">
        <x:v>Shared Battle Modifiers</x:v>
      </x:c>
      <x:c r="B314" s="43" t="str">
        <x:v>Heavy Cavalry Damage</x:v>
      </x:c>
      <x:c r="C314" s="43" t="str">
        <x:v>Higher</x:v>
      </x:c>
      <x:c r="D314" s="43" t="str">
        <x:v>K170</x:v>
      </x:c>
      <x:c r="E314" s="43" t="str">
        <x:v>(AOT)SanSW° (+21 tied)</x:v>
      </x:c>
      <x:c r="F314" s="44" t="n">
        <x:v>0.9653</x:v>
      </x:c>
      <x:c r="G314" s="44" t="n">
        <x:v>0.9653</x:v>
      </x:c>
      <x:c r="H314" s="44" t="n">
        <x:v>0.9653</x:v>
      </x:c>
      <x:c r="I314" s="44" t="n">
        <x:v>0.9653</x:v>
      </x:c>
      <x:c r="J314" s="43" t="n">
        <x:v>4</x:v>
      </x:c>
      <x:c r="K314" s="43" t="n">
        <x:v>4</x:v>
      </x:c>
      <x:c r="L314" s="43" t="n">
        <x:v>4</x:v>
      </x:c>
      <x:c r="M314" s="43" t="n">
        <x:v>4</x:v>
      </x:c>
    </x:row>
    <x:row r="315" ht="18" customHeight="1">
      <x:c r="A315" s="43" t="str">
        <x:v>Shared Battle Modifiers</x:v>
      </x:c>
      <x:c r="B315" s="43" t="str">
        <x:v>Heavy Cavalry Damage</x:v>
      </x:c>
      <x:c r="C315" s="43" t="str">
        <x:v>Higher</x:v>
      </x:c>
      <x:c r="D315" s="43" t="str">
        <x:v>K54</x:v>
      </x:c>
      <x:c r="E315" s="43" t="str">
        <x:v>All 11 tied</x:v>
      </x:c>
      <x:c r="F315" s="44" t="n">
        <x:v>1.2187999999999999</x:v>
      </x:c>
      <x:c r="G315" s="44" t="n">
        <x:v>1.2187999999999999</x:v>
      </x:c>
      <x:c r="H315" s="44" t="n">
        <x:v>1.2187999999999999</x:v>
      </x:c>
      <x:c r="I315" s="44" t="n">
        <x:v>1.2187999999999999</x:v>
      </x:c>
      <x:c r="J315" s="43" t="n">
        <x:v>1</x:v>
      </x:c>
      <x:c r="K315" s="43" t="n">
        <x:v>1</x:v>
      </x:c>
      <x:c r="L315" s="43" t="n">
        <x:v>1</x:v>
      </x:c>
      <x:c r="M315" s="43" t="n">
        <x:v>1</x:v>
      </x:c>
    </x:row>
    <x:row r="316" ht="18" customHeight="1">
      <x:c r="A316" s="43" t="str">
        <x:v>Shared Battle Modifiers</x:v>
      </x:c>
      <x:c r="B316" s="43" t="str">
        <x:v>Heavy Cavalry Damage</x:v>
      </x:c>
      <x:c r="C316" s="43" t="str">
        <x:v>Higher</x:v>
      </x:c>
      <x:c r="D316" s="43" t="str">
        <x:v>K197</x:v>
      </x:c>
      <x:c r="E316" s="43" t="str">
        <x:v>All 19 tied</x:v>
      </x:c>
      <x:c r="F316" s="44" t="n">
        <x:v>1.2187999999999999</x:v>
      </x:c>
      <x:c r="G316" s="44" t="n">
        <x:v>1.2187999999999999</x:v>
      </x:c>
      <x:c r="H316" s="44" t="n">
        <x:v>1.2187999999999999</x:v>
      </x:c>
      <x:c r="I316" s="44" t="n">
        <x:v>1.2187999999999999</x:v>
      </x:c>
      <x:c r="J316" s="43" t="n">
        <x:v>1</x:v>
      </x:c>
      <x:c r="K316" s="43" t="n">
        <x:v>1</x:v>
      </x:c>
      <x:c r="L316" s="43" t="n">
        <x:v>1</x:v>
      </x:c>
      <x:c r="M316" s="43" t="n">
        <x:v>1</x:v>
      </x:c>
    </x:row>
    <x:row r="317" ht="18" customHeight="1">
      <x:c r="A317" s="43" t="str">
        <x:v>Shared Battle Modifiers</x:v>
      </x:c>
      <x:c r="B317" s="43" t="str">
        <x:v>Heavy Cavalry Damage</x:v>
      </x:c>
      <x:c r="C317" s="43" t="str">
        <x:v>Higher</x:v>
      </x:c>
      <x:c r="D317" s="43" t="str">
        <x:v>K176</x:v>
      </x:c>
      <x:c r="E317" s="43" t="str">
        <x:v>All 22 tied</x:v>
      </x:c>
      <x:c r="F317" s="44" t="n">
        <x:v>0.9653</x:v>
      </x:c>
      <x:c r="G317" s="44" t="n">
        <x:v>0.9653</x:v>
      </x:c>
      <x:c r="H317" s="44" t="n">
        <x:v>0.9653</x:v>
      </x:c>
      <x:c r="I317" s="44" t="n">
        <x:v>0.9653</x:v>
      </x:c>
      <x:c r="J317" s="43" t="n">
        <x:v>4</x:v>
      </x:c>
      <x:c r="K317" s="43" t="n">
        <x:v>4</x:v>
      </x:c>
      <x:c r="L317" s="43" t="n">
        <x:v>4</x:v>
      </x:c>
      <x:c r="M317" s="43" t="n">
        <x:v>4</x:v>
      </x:c>
    </x:row>
    <x:row r="318" ht="18" customHeight="1">
      <x:c r="A318" s="43" t="str">
        <x:v>Shared Battle Modifiers</x:v>
      </x:c>
      <x:c r="B318" s="43" t="str">
        <x:v>Horse archers Damage</x:v>
      </x:c>
      <x:c r="C318" s="43" t="str">
        <x:v>Higher</x:v>
      </x:c>
      <x:c r="D318" s="43" t="str">
        <x:v>K60</x:v>
      </x:c>
      <x:c r="E318" s="43" t="str">
        <x:v>All 25 tied</x:v>
      </x:c>
      <x:c r="F318" s="44" t="n">
        <x:v>0.9653</x:v>
      </x:c>
      <x:c r="G318" s="44" t="n">
        <x:v>0.9653</x:v>
      </x:c>
      <x:c r="H318" s="44" t="n">
        <x:v>0.9653</x:v>
      </x:c>
      <x:c r="I318" s="44" t="n">
        <x:v>0.9653</x:v>
      </x:c>
      <x:c r="J318" s="43" t="n">
        <x:v>3</x:v>
      </x:c>
      <x:c r="K318" s="43" t="n">
        <x:v>3</x:v>
      </x:c>
      <x:c r="L318" s="43" t="n">
        <x:v>3</x:v>
      </x:c>
      <x:c r="M318" s="43" t="n">
        <x:v>3</x:v>
      </x:c>
    </x:row>
    <x:row r="319" ht="18" customHeight="1">
      <x:c r="A319" s="43" t="str">
        <x:v>Shared Battle Modifiers</x:v>
      </x:c>
      <x:c r="B319" s="43" t="str">
        <x:v>Horse archers Damage</x:v>
      </x:c>
      <x:c r="C319" s="43" t="str">
        <x:v>Higher</x:v>
      </x:c>
      <x:c r="D319" s="43" t="str">
        <x:v>K91</x:v>
      </x:c>
      <x:c r="E319" s="43" t="str">
        <x:v>All 20 tied</x:v>
      </x:c>
      <x:c r="F319" s="44" t="n">
        <x:v>1.2187999999999999</x:v>
      </x:c>
      <x:c r="G319" s="44" t="n">
        <x:v>1.2187999999999999</x:v>
      </x:c>
      <x:c r="H319" s="44" t="n">
        <x:v>1.2187999999999999</x:v>
      </x:c>
      <x:c r="I319" s="44" t="n">
        <x:v>1.2187999999999999</x:v>
      </x:c>
      <x:c r="J319" s="43" t="n">
        <x:v>1</x:v>
      </x:c>
      <x:c r="K319" s="43" t="n">
        <x:v>1</x:v>
      </x:c>
      <x:c r="L319" s="43" t="n">
        <x:v>1</x:v>
      </x:c>
      <x:c r="M319" s="43" t="n">
        <x:v>1</x:v>
      </x:c>
    </x:row>
    <x:row r="320" ht="18" customHeight="1">
      <x:c r="A320" s="43" t="str">
        <x:v>Shared Battle Modifiers</x:v>
      </x:c>
      <x:c r="B320" s="43" t="str">
        <x:v>Horse archers Damage</x:v>
      </x:c>
      <x:c r="C320" s="43" t="str">
        <x:v>Higher</x:v>
      </x:c>
      <x:c r="D320" s="43" t="str">
        <x:v>K116</x:v>
      </x:c>
      <x:c r="E320" s="43" t="str">
        <x:v>All 20 tied</x:v>
      </x:c>
      <x:c r="F320" s="44" t="n">
        <x:v>0.9653</x:v>
      </x:c>
      <x:c r="G320" s="44" t="n">
        <x:v>0.9653</x:v>
      </x:c>
      <x:c r="H320" s="44" t="n">
        <x:v>0.9653</x:v>
      </x:c>
      <x:c r="I320" s="44" t="n">
        <x:v>0.9653</x:v>
      </x:c>
      <x:c r="J320" s="43" t="n">
        <x:v>3</x:v>
      </x:c>
      <x:c r="K320" s="43" t="n">
        <x:v>3</x:v>
      </x:c>
      <x:c r="L320" s="43" t="n">
        <x:v>3</x:v>
      </x:c>
      <x:c r="M320" s="43" t="n">
        <x:v>3</x:v>
      </x:c>
    </x:row>
    <x:row r="321" ht="18" customHeight="1">
      <x:c r="A321" s="43" t="str">
        <x:v>Shared Battle Modifiers</x:v>
      </x:c>
      <x:c r="B321" s="43" t="str">
        <x:v>Horse archers Damage</x:v>
      </x:c>
      <x:c r="C321" s="43" t="str">
        <x:v>Higher</x:v>
      </x:c>
      <x:c r="D321" s="43" t="str">
        <x:v>K138</x:v>
      </x:c>
      <x:c r="E321" s="43" t="str">
        <x:v>All 26 tied</x:v>
      </x:c>
      <x:c r="F321" s="44" t="n">
        <x:v>0.9653</x:v>
      </x:c>
      <x:c r="G321" s="44" t="n">
        <x:v>0.9653</x:v>
      </x:c>
      <x:c r="H321" s="44" t="n">
        <x:v>0.9653</x:v>
      </x:c>
      <x:c r="I321" s="44" t="n">
        <x:v>0.9653</x:v>
      </x:c>
      <x:c r="J321" s="43" t="n">
        <x:v>3</x:v>
      </x:c>
      <x:c r="K321" s="43" t="n">
        <x:v>3</x:v>
      </x:c>
      <x:c r="L321" s="43" t="n">
        <x:v>3</x:v>
      </x:c>
      <x:c r="M321" s="43" t="n">
        <x:v>3</x:v>
      </x:c>
    </x:row>
    <x:row r="322" ht="18" customHeight="1">
      <x:c r="A322" s="43" t="str">
        <x:v>Shared Battle Modifiers</x:v>
      </x:c>
      <x:c r="B322" s="43" t="str">
        <x:v>Horse archers Damage</x:v>
      </x:c>
      <x:c r="C322" s="43" t="str">
        <x:v>Higher</x:v>
      </x:c>
      <x:c r="D322" s="43" t="str">
        <x:v>K170</x:v>
      </x:c>
      <x:c r="E322" s="43" t="str">
        <x:v>(AOT)SanSW° (+21 tied)</x:v>
      </x:c>
      <x:c r="F322" s="44" t="n">
        <x:v>0.9653</x:v>
      </x:c>
      <x:c r="G322" s="44" t="n">
        <x:v>0.9653</x:v>
      </x:c>
      <x:c r="H322" s="44" t="n">
        <x:v>0.9653</x:v>
      </x:c>
      <x:c r="I322" s="44" t="n">
        <x:v>0.9653</x:v>
      </x:c>
      <x:c r="J322" s="43" t="n">
        <x:v>3</x:v>
      </x:c>
      <x:c r="K322" s="43" t="n">
        <x:v>3</x:v>
      </x:c>
      <x:c r="L322" s="43" t="n">
        <x:v>3</x:v>
      </x:c>
      <x:c r="M322" s="43" t="n">
        <x:v>3</x:v>
      </x:c>
    </x:row>
    <x:row r="323" ht="18" customHeight="1">
      <x:c r="A323" s="43" t="str">
        <x:v>Shared Battle Modifiers</x:v>
      </x:c>
      <x:c r="B323" s="43" t="str">
        <x:v>Horse archers Damage</x:v>
      </x:c>
      <x:c r="C323" s="43" t="str">
        <x:v>Higher</x:v>
      </x:c>
      <x:c r="D323" s="43" t="str">
        <x:v>K54</x:v>
      </x:c>
      <x:c r="E323" s="43" t="str">
        <x:v>All 11 tied</x:v>
      </x:c>
      <x:c r="F323" s="44" t="n">
        <x:v>1.2187999999999999</x:v>
      </x:c>
      <x:c r="G323" s="44" t="n">
        <x:v>1.2187999999999999</x:v>
      </x:c>
      <x:c r="H323" s="44" t="n">
        <x:v>1.2187999999999999</x:v>
      </x:c>
      <x:c r="I323" s="44" t="n">
        <x:v>1.2187999999999999</x:v>
      </x:c>
      <x:c r="J323" s="43" t="n">
        <x:v>1</x:v>
      </x:c>
      <x:c r="K323" s="43" t="n">
        <x:v>1</x:v>
      </x:c>
      <x:c r="L323" s="43" t="n">
        <x:v>1</x:v>
      </x:c>
      <x:c r="M323" s="43" t="n">
        <x:v>1</x:v>
      </x:c>
    </x:row>
    <x:row r="324" ht="18" customHeight="1">
      <x:c r="A324" s="43" t="str">
        <x:v>Shared Battle Modifiers</x:v>
      </x:c>
      <x:c r="B324" s="43" t="str">
        <x:v>Horse archers Damage</x:v>
      </x:c>
      <x:c r="C324" s="43" t="str">
        <x:v>Higher</x:v>
      </x:c>
      <x:c r="D324" s="43" t="str">
        <x:v>K197</x:v>
      </x:c>
      <x:c r="E324" s="43" t="str">
        <x:v>All 19 tied</x:v>
      </x:c>
      <x:c r="F324" s="44" t="n">
        <x:v>0.9653</x:v>
      </x:c>
      <x:c r="G324" s="44" t="n">
        <x:v>0.9653</x:v>
      </x:c>
      <x:c r="H324" s="44" t="n">
        <x:v>0.9653</x:v>
      </x:c>
      <x:c r="I324" s="44" t="n">
        <x:v>0.9653</x:v>
      </x:c>
      <x:c r="J324" s="43" t="n">
        <x:v>3</x:v>
      </x:c>
      <x:c r="K324" s="43" t="n">
        <x:v>3</x:v>
      </x:c>
      <x:c r="L324" s="43" t="n">
        <x:v>3</x:v>
      </x:c>
      <x:c r="M324" s="43" t="n">
        <x:v>3</x:v>
      </x:c>
    </x:row>
    <x:row r="325" ht="18" customHeight="1">
      <x:c r="A325" s="43" t="str">
        <x:v>Shared Battle Modifiers</x:v>
      </x:c>
      <x:c r="B325" s="43" t="str">
        <x:v>Horse archers Damage</x:v>
      </x:c>
      <x:c r="C325" s="43" t="str">
        <x:v>Higher</x:v>
      </x:c>
      <x:c r="D325" s="43" t="str">
        <x:v>K176</x:v>
      </x:c>
      <x:c r="E325" s="43" t="str">
        <x:v>All 22 tied</x:v>
      </x:c>
      <x:c r="F325" s="44" t="n">
        <x:v>0.9653</x:v>
      </x:c>
      <x:c r="G325" s="44" t="n">
        <x:v>0.9653</x:v>
      </x:c>
      <x:c r="H325" s="44" t="n">
        <x:v>0.9653</x:v>
      </x:c>
      <x:c r="I325" s="44" t="n">
        <x:v>0.9653</x:v>
      </x:c>
      <x:c r="J325" s="43" t="n">
        <x:v>3</x:v>
      </x:c>
      <x:c r="K325" s="43" t="n">
        <x:v>3</x:v>
      </x:c>
      <x:c r="L325" s="43" t="n">
        <x:v>3</x:v>
      </x:c>
      <x:c r="M325" s="43" t="n">
        <x:v>3</x:v>
      </x:c>
    </x:row>
    <x:row r="326" ht="18" customHeight="1">
      <x:c r="A326" s="43" t="str">
        <x:v>Shared Battle Modifiers</x:v>
      </x:c>
      <x:c r="B326" s="43" t="str">
        <x:v>Archer attack speed</x:v>
      </x:c>
      <x:c r="C326" s="43" t="str">
        <x:v>Higher</x:v>
      </x:c>
      <x:c r="D326" s="43" t="str">
        <x:v>K60</x:v>
      </x:c>
      <x:c r="E326" s="43" t="str">
        <x:v>All 25 tied</x:v>
      </x:c>
      <x:c r="F326" s="44" t="n">
        <x:v>0.9653</x:v>
      </x:c>
      <x:c r="G326" s="44" t="n">
        <x:v>0.9653</x:v>
      </x:c>
      <x:c r="H326" s="44" t="n">
        <x:v>0.9653</x:v>
      </x:c>
      <x:c r="I326" s="44" t="n">
        <x:v>0.9653</x:v>
      </x:c>
      <x:c r="J326" s="43" t="n">
        <x:v>5</x:v>
      </x:c>
      <x:c r="K326" s="43" t="n">
        <x:v>5</x:v>
      </x:c>
      <x:c r="L326" s="43" t="n">
        <x:v>5</x:v>
      </x:c>
      <x:c r="M326" s="43" t="n">
        <x:v>4</x:v>
      </x:c>
    </x:row>
    <x:row r="327" ht="18" customHeight="1">
      <x:c r="A327" s="43" t="str">
        <x:v>Shared Battle Modifiers</x:v>
      </x:c>
      <x:c r="B327" s="43" t="str">
        <x:v>Archer attack speed</x:v>
      </x:c>
      <x:c r="C327" s="43" t="str">
        <x:v>Higher</x:v>
      </x:c>
      <x:c r="D327" s="43" t="str">
        <x:v>K91</x:v>
      </x:c>
      <x:c r="E327" s="43" t="str">
        <x:v>All 20 tied</x:v>
      </x:c>
      <x:c r="F327" s="44" t="n">
        <x:v>1.2187999999999999</x:v>
      </x:c>
      <x:c r="G327" s="44" t="n">
        <x:v>1.2187999999999999</x:v>
      </x:c>
      <x:c r="H327" s="44" t="n">
        <x:v>1.2187999999999999</x:v>
      </x:c>
      <x:c r="I327" s="44" t="n">
        <x:v>1.2187999999999999</x:v>
      </x:c>
      <x:c r="J327" s="43" t="n">
        <x:v>2</x:v>
      </x:c>
      <x:c r="K327" s="43" t="n">
        <x:v>1</x:v>
      </x:c>
      <x:c r="L327" s="43" t="n">
        <x:v>1</x:v>
      </x:c>
      <x:c r="M327" s="43" t="n">
        <x:v>1</x:v>
      </x:c>
    </x:row>
    <x:row r="328" ht="18" customHeight="1">
      <x:c r="A328" s="43" t="str">
        <x:v>Shared Battle Modifiers</x:v>
      </x:c>
      <x:c r="B328" s="43" t="str">
        <x:v>Archer attack speed</x:v>
      </x:c>
      <x:c r="C328" s="43" t="str">
        <x:v>Higher</x:v>
      </x:c>
      <x:c r="D328" s="43" t="str">
        <x:v>K116</x:v>
      </x:c>
      <x:c r="E328" s="43" t="str">
        <x:v>All 20 tied</x:v>
      </x:c>
      <x:c r="F328" s="44" t="n">
        <x:v>1.2187999999999999</x:v>
      </x:c>
      <x:c r="G328" s="44" t="n">
        <x:v>1.2187999999999999</x:v>
      </x:c>
      <x:c r="H328" s="44" t="n">
        <x:v>1.2187999999999999</x:v>
      </x:c>
      <x:c r="I328" s="44" t="n">
        <x:v>1.2187999999999999</x:v>
      </x:c>
      <x:c r="J328" s="43" t="n">
        <x:v>2</x:v>
      </x:c>
      <x:c r="K328" s="43" t="n">
        <x:v>1</x:v>
      </x:c>
      <x:c r="L328" s="43" t="n">
        <x:v>1</x:v>
      </x:c>
      <x:c r="M328" s="43" t="n">
        <x:v>1</x:v>
      </x:c>
    </x:row>
    <x:row r="329" ht="18" customHeight="1">
      <x:c r="A329" s="43" t="str">
        <x:v>Shared Battle Modifiers</x:v>
      </x:c>
      <x:c r="B329" s="43" t="str">
        <x:v>Archer attack speed</x:v>
      </x:c>
      <x:c r="C329" s="43" t="str">
        <x:v>Higher</x:v>
      </x:c>
      <x:c r="D329" s="43" t="str">
        <x:v>K138</x:v>
      </x:c>
      <x:c r="E329" s="43" t="str">
        <x:v>(RaW)ϟCrozyϟ</x:v>
      </x:c>
      <x:c r="F329" s="44" t="n">
        <x:v>1.2188</x:v>
      </x:c>
      <x:c r="G329" s="44" t="n">
        <x:v>1.09205</x:v>
      </x:c>
      <x:c r="H329" s="44" t="n">
        <x:v>1.016</x:v>
      </x:c>
      <x:c r="I329" s="44" t="n">
        <x:v>0.9653</x:v>
      </x:c>
      <x:c r="J329" s="43" t="n">
        <x:v>1</x:v>
      </x:c>
      <x:c r="K329" s="43" t="n">
        <x:v>4</x:v>
      </x:c>
      <x:c r="L329" s="43" t="n">
        <x:v>4</x:v>
      </x:c>
      <x:c r="M329" s="43" t="n">
        <x:v>4</x:v>
      </x:c>
    </x:row>
    <x:row r="330" ht="18" customHeight="1">
      <x:c r="A330" s="43" t="str">
        <x:v>Shared Battle Modifiers</x:v>
      </x:c>
      <x:c r="B330" s="43" t="str">
        <x:v>Archer attack speed</x:v>
      </x:c>
      <x:c r="C330" s="43" t="str">
        <x:v>Higher</x:v>
      </x:c>
      <x:c r="D330" s="43" t="str">
        <x:v>K170</x:v>
      </x:c>
      <x:c r="E330" s="43" t="str">
        <x:v>(AOT)MG·Yu</x:v>
      </x:c>
      <x:c r="F330" s="44" t="n">
        <x:v>0.9653</x:v>
      </x:c>
      <x:c r="G330" s="44" t="n">
        <x:v>0.8955700000000001</x:v>
      </x:c>
      <x:c r="H330" s="44" t="n">
        <x:v>0.8323400000000001</x:v>
      </x:c>
      <x:c r="I330" s="44" t="n">
        <x:v>0.78</x:v>
      </x:c>
      <x:c r="J330" s="43" t="n">
        <x:v>5</x:v>
      </x:c>
      <x:c r="K330" s="43" t="n">
        <x:v>8</x:v>
      </x:c>
      <x:c r="L330" s="43" t="n">
        <x:v>8</x:v>
      </x:c>
      <x:c r="M330" s="43" t="n">
        <x:v>8</x:v>
      </x:c>
    </x:row>
    <x:row r="331" ht="18" customHeight="1">
      <x:c r="A331" s="43" t="str">
        <x:v>Shared Battle Modifiers</x:v>
      </x:c>
      <x:c r="B331" s="43" t="str">
        <x:v>Archer attack speed</x:v>
      </x:c>
      <x:c r="C331" s="43" t="str">
        <x:v>Higher</x:v>
      </x:c>
      <x:c r="D331" s="43" t="str">
        <x:v>K54</x:v>
      </x:c>
      <x:c r="E331" s="43" t="str">
        <x:v>All 11 tied</x:v>
      </x:c>
      <x:c r="F331" s="44" t="n">
        <x:v>0.9107999999999999</x:v>
      </x:c>
      <x:c r="G331" s="44" t="n">
        <x:v>0.9107999999999999</x:v>
      </x:c>
      <x:c r="H331" s="44" t="n">
        <x:v>0.9107999999999998</x:v>
      </x:c>
      <x:c r="I331" s="44" t="n">
        <x:v>0.9107999999999999</x:v>
      </x:c>
      <x:c r="J331" s="43" t="n">
        <x:v>8</x:v>
      </x:c>
      <x:c r="K331" s="43" t="n">
        <x:v>7</x:v>
      </x:c>
      <x:c r="L331" s="43" t="n">
        <x:v>7</x:v>
      </x:c>
      <x:c r="M331" s="43" t="n">
        <x:v>7</x:v>
      </x:c>
    </x:row>
    <x:row r="332" ht="18" customHeight="1">
      <x:c r="A332" s="43" t="str">
        <x:v>Shared Battle Modifiers</x:v>
      </x:c>
      <x:c r="B332" s="43" t="str">
        <x:v>Archer attack speed</x:v>
      </x:c>
      <x:c r="C332" s="43" t="str">
        <x:v>Higher</x:v>
      </x:c>
      <x:c r="D332" s="43" t="str">
        <x:v>K197</x:v>
      </x:c>
      <x:c r="E332" s="43" t="str">
        <x:v>All 19 tied</x:v>
      </x:c>
      <x:c r="F332" s="44" t="n">
        <x:v>1.2187999999999999</x:v>
      </x:c>
      <x:c r="G332" s="44" t="n">
        <x:v>1.2187999999999999</x:v>
      </x:c>
      <x:c r="H332" s="44" t="n">
        <x:v>1.2187999999999999</x:v>
      </x:c>
      <x:c r="I332" s="44" t="n">
        <x:v>1.2187999999999999</x:v>
      </x:c>
      <x:c r="J332" s="43" t="n">
        <x:v>2</x:v>
      </x:c>
      <x:c r="K332" s="43" t="n">
        <x:v>1</x:v>
      </x:c>
      <x:c r="L332" s="43" t="n">
        <x:v>1</x:v>
      </x:c>
      <x:c r="M332" s="43" t="n">
        <x:v>1</x:v>
      </x:c>
    </x:row>
    <x:row r="333" ht="18" customHeight="1">
      <x:c r="A333" s="43" t="str">
        <x:v>Shared Battle Modifiers</x:v>
      </x:c>
      <x:c r="B333" s="43" t="str">
        <x:v>Archer attack speed</x:v>
      </x:c>
      <x:c r="C333" s="43" t="str">
        <x:v>Higher</x:v>
      </x:c>
      <x:c r="D333" s="43" t="str">
        <x:v>K176</x:v>
      </x:c>
      <x:c r="E333" s="43" t="str">
        <x:v>All 22 tied</x:v>
      </x:c>
      <x:c r="F333" s="44" t="n">
        <x:v>0.9653</x:v>
      </x:c>
      <x:c r="G333" s="44" t="n">
        <x:v>0.9653</x:v>
      </x:c>
      <x:c r="H333" s="44" t="n">
        <x:v>0.9653</x:v>
      </x:c>
      <x:c r="I333" s="44" t="n">
        <x:v>0.9653</x:v>
      </x:c>
      <x:c r="J333" s="43" t="n">
        <x:v>5</x:v>
      </x:c>
      <x:c r="K333" s="43" t="n">
        <x:v>5</x:v>
      </x:c>
      <x:c r="L333" s="43" t="n">
        <x:v>5</x:v>
      </x:c>
      <x:c r="M333" s="43" t="n">
        <x:v>4</x:v>
      </x:c>
    </x:row>
    <x:row r="334" ht="18" customHeight="1">
      <x:c r="A334" s="43" t="str">
        <x:v>Shared Battle Modifiers</x:v>
      </x:c>
      <x:c r="B334" s="43" t="str">
        <x:v>Rams Health</x:v>
      </x:c>
      <x:c r="C334" s="43" t="str">
        <x:v>Higher</x:v>
      </x:c>
      <x:c r="D334" s="43" t="str">
        <x:v>K60</x:v>
      </x:c>
      <x:c r="E334" s="43" t="str">
        <x:v>All 25 tied</x:v>
      </x:c>
      <x:c r="F334" s="44" t="n">
        <x:v>0.6989</x:v>
      </x:c>
      <x:c r="G334" s="44" t="n">
        <x:v>0.6989</x:v>
      </x:c>
      <x:c r="H334" s="44" t="n">
        <x:v>0.6989</x:v>
      </x:c>
      <x:c r="I334" s="44" t="n">
        <x:v>0.6989</x:v>
      </x:c>
      <x:c r="J334" s="43" t="n">
        <x:v>2</x:v>
      </x:c>
      <x:c r="K334" s="43" t="n">
        <x:v>2</x:v>
      </x:c>
      <x:c r="L334" s="43" t="n">
        <x:v>2</x:v>
      </x:c>
      <x:c r="M334" s="43" t="n">
        <x:v>2</x:v>
      </x:c>
    </x:row>
    <x:row r="335" ht="18" customHeight="1">
      <x:c r="A335" s="43" t="str">
        <x:v>Shared Battle Modifiers</x:v>
      </x:c>
      <x:c r="B335" s="43" t="str">
        <x:v>Rams Health</x:v>
      </x:c>
      <x:c r="C335" s="43" t="str">
        <x:v>Higher</x:v>
      </x:c>
      <x:c r="D335" s="43" t="str">
        <x:v>K91</x:v>
      </x:c>
      <x:c r="E335" s="43"/>
      <x:c r="F335" s="44"/>
      <x:c r="G335" s="44"/>
      <x:c r="H335" s="44"/>
      <x:c r="I335" s="44"/>
      <x:c r="J335" s="43"/>
      <x:c r="K335" s="43"/>
      <x:c r="L335" s="43"/>
      <x:c r="M335" s="43"/>
    </x:row>
    <x:row r="336" ht="18" customHeight="1">
      <x:c r="A336" s="43" t="str">
        <x:v>Shared Battle Modifiers</x:v>
      </x:c>
      <x:c r="B336" s="43" t="str">
        <x:v>Rams Health</x:v>
      </x:c>
      <x:c r="C336" s="43" t="str">
        <x:v>Higher</x:v>
      </x:c>
      <x:c r="D336" s="43" t="str">
        <x:v>K116</x:v>
      </x:c>
      <x:c r="E336" s="43"/>
      <x:c r="F336" s="44"/>
      <x:c r="G336" s="44"/>
      <x:c r="H336" s="44"/>
      <x:c r="I336" s="44"/>
      <x:c r="J336" s="43"/>
      <x:c r="K336" s="43"/>
      <x:c r="L336" s="43"/>
      <x:c r="M336" s="43"/>
    </x:row>
    <x:row r="337" ht="18" customHeight="1">
      <x:c r="A337" s="43" t="str">
        <x:v>Shared Battle Modifiers</x:v>
      </x:c>
      <x:c r="B337" s="43" t="str">
        <x:v>Rams Health</x:v>
      </x:c>
      <x:c r="C337" s="43" t="str">
        <x:v>Higher</x:v>
      </x:c>
      <x:c r="D337" s="43" t="str">
        <x:v>K138</x:v>
      </x:c>
      <x:c r="E337" s="43"/>
      <x:c r="F337" s="44"/>
      <x:c r="G337" s="44"/>
      <x:c r="H337" s="44"/>
      <x:c r="I337" s="44"/>
      <x:c r="J337" s="43"/>
      <x:c r="K337" s="43"/>
      <x:c r="L337" s="43"/>
      <x:c r="M337" s="43"/>
    </x:row>
    <x:row r="338" ht="18" customHeight="1">
      <x:c r="A338" s="43" t="str">
        <x:v>Shared Battle Modifiers</x:v>
      </x:c>
      <x:c r="B338" s="43" t="str">
        <x:v>Rams Health</x:v>
      </x:c>
      <x:c r="C338" s="43" t="str">
        <x:v>Higher</x:v>
      </x:c>
      <x:c r="D338" s="43" t="str">
        <x:v>K170</x:v>
      </x:c>
      <x:c r="E338" s="43" t="str">
        <x:v>(AOT)StFruz</x:v>
      </x:c>
      <x:c r="F338" s="44" t="n">
        <x:v>0.9653</x:v>
      </x:c>
      <x:c r="G338" s="44" t="n">
        <x:v>0.9653</x:v>
      </x:c>
      <x:c r="H338" s="44" t="n">
        <x:v>0.9653</x:v>
      </x:c>
      <x:c r="I338" s="44" t="n">
        <x:v>0.9653</x:v>
      </x:c>
      <x:c r="J338" s="43" t="n">
        <x:v>1</x:v>
      </x:c>
      <x:c r="K338" s="43" t="n">
        <x:v>1</x:v>
      </x:c>
      <x:c r="L338" s="43" t="n">
        <x:v>1</x:v>
      </x:c>
      <x:c r="M338" s="43" t="n">
        <x:v>1</x:v>
      </x:c>
    </x:row>
    <x:row r="339" ht="18" customHeight="1">
      <x:c r="A339" s="43" t="str">
        <x:v>Shared Battle Modifiers</x:v>
      </x:c>
      <x:c r="B339" s="43" t="str">
        <x:v>Rams Health</x:v>
      </x:c>
      <x:c r="C339" s="43" t="str">
        <x:v>Higher</x:v>
      </x:c>
      <x:c r="D339" s="43" t="str">
        <x:v>K54</x:v>
      </x:c>
      <x:c r="E339" s="43"/>
      <x:c r="F339" s="44"/>
      <x:c r="G339" s="44"/>
      <x:c r="H339" s="44"/>
      <x:c r="I339" s="44"/>
      <x:c r="J339" s="43"/>
      <x:c r="K339" s="43"/>
      <x:c r="L339" s="43"/>
      <x:c r="M339" s="43"/>
    </x:row>
    <x:row r="340" ht="18" customHeight="1">
      <x:c r="A340" s="43" t="str">
        <x:v>Shared Battle Modifiers</x:v>
      </x:c>
      <x:c r="B340" s="43" t="str">
        <x:v>Rams Health</x:v>
      </x:c>
      <x:c r="C340" s="43" t="str">
        <x:v>Higher</x:v>
      </x:c>
      <x:c r="D340" s="43" t="str">
        <x:v>K197</x:v>
      </x:c>
      <x:c r="E340" s="43"/>
      <x:c r="F340" s="44"/>
      <x:c r="G340" s="44"/>
      <x:c r="H340" s="44"/>
      <x:c r="I340" s="44"/>
      <x:c r="J340" s="43"/>
      <x:c r="K340" s="43"/>
      <x:c r="L340" s="43"/>
      <x:c r="M340" s="43"/>
    </x:row>
    <x:row r="341" ht="18" customHeight="1">
      <x:c r="A341" s="43" t="str">
        <x:v>Shared Battle Modifiers</x:v>
      </x:c>
      <x:c r="B341" s="43" t="str">
        <x:v>Rams Health</x:v>
      </x:c>
      <x:c r="C341" s="43" t="str">
        <x:v>Higher</x:v>
      </x:c>
      <x:c r="D341" s="43" t="str">
        <x:v>K176</x:v>
      </x:c>
      <x:c r="E341" s="43"/>
      <x:c r="F341" s="44"/>
      <x:c r="G341" s="44"/>
      <x:c r="H341" s="44"/>
      <x:c r="I341" s="44"/>
      <x:c r="J341" s="43"/>
      <x:c r="K341" s="43"/>
      <x:c r="L341" s="43"/>
      <x:c r="M341" s="43"/>
    </x:row>
    <x:row r="342" ht="18" customHeight="1">
      <x:c r="A342" s="43" t="str">
        <x:v>Shared Battle Modifiers</x:v>
      </x:c>
      <x:c r="B342" s="43" t="str">
        <x:v>Siege Damage (Lion)</x:v>
      </x:c>
      <x:c r="C342" s="43" t="str">
        <x:v>Higher</x:v>
      </x:c>
      <x:c r="D342" s="43" t="str">
        <x:v>K60</x:v>
      </x:c>
      <x:c r="E342" s="43" t="str">
        <x:v>All 25 tied</x:v>
      </x:c>
      <x:c r="F342" s="44" t="n">
        <x:v>0.6989</x:v>
      </x:c>
      <x:c r="G342" s="44" t="n">
        <x:v>0.6989</x:v>
      </x:c>
      <x:c r="H342" s="44" t="n">
        <x:v>0.6989</x:v>
      </x:c>
      <x:c r="I342" s="44" t="n">
        <x:v>0.6989</x:v>
      </x:c>
      <x:c r="J342" s="43" t="n">
        <x:v>8</x:v>
      </x:c>
      <x:c r="K342" s="43" t="n">
        <x:v>8</x:v>
      </x:c>
      <x:c r="L342" s="43" t="n">
        <x:v>7</x:v>
      </x:c>
      <x:c r="M342" s="43" t="n">
        <x:v>7</x:v>
      </x:c>
    </x:row>
    <x:row r="343" ht="18" customHeight="1">
      <x:c r="A343" s="43" t="str">
        <x:v>Shared Battle Modifiers</x:v>
      </x:c>
      <x:c r="B343" s="43" t="str">
        <x:v>Siege Damage (Lion)</x:v>
      </x:c>
      <x:c r="C343" s="43" t="str">
        <x:v>Higher</x:v>
      </x:c>
      <x:c r="D343" s="43" t="str">
        <x:v>K91</x:v>
      </x:c>
      <x:c r="E343" s="43" t="str">
        <x:v>All 20 tied</x:v>
      </x:c>
      <x:c r="F343" s="44" t="n">
        <x:v>0.9653</x:v>
      </x:c>
      <x:c r="G343" s="44" t="n">
        <x:v>0.9653</x:v>
      </x:c>
      <x:c r="H343" s="44" t="n">
        <x:v>0.9653</x:v>
      </x:c>
      <x:c r="I343" s="44" t="n">
        <x:v>0.9653</x:v>
      </x:c>
      <x:c r="J343" s="43" t="n">
        <x:v>3</x:v>
      </x:c>
      <x:c r="K343" s="43" t="n">
        <x:v>3</x:v>
      </x:c>
      <x:c r="L343" s="43" t="n">
        <x:v>3</x:v>
      </x:c>
      <x:c r="M343" s="43" t="n">
        <x:v>3</x:v>
      </x:c>
    </x:row>
    <x:row r="344" ht="18" customHeight="1">
      <x:c r="A344" s="43" t="str">
        <x:v>Shared Battle Modifiers</x:v>
      </x:c>
      <x:c r="B344" s="43" t="str">
        <x:v>Siege Damage (Lion)</x:v>
      </x:c>
      <x:c r="C344" s="43" t="str">
        <x:v>Higher</x:v>
      </x:c>
      <x:c r="D344" s="43" t="str">
        <x:v>K116</x:v>
      </x:c>
      <x:c r="E344" s="43" t="str">
        <x:v>All 20 tied</x:v>
      </x:c>
      <x:c r="F344" s="44" t="n">
        <x:v>1.2187999999999999</x:v>
      </x:c>
      <x:c r="G344" s="44" t="n">
        <x:v>1.2187999999999999</x:v>
      </x:c>
      <x:c r="H344" s="44" t="n">
        <x:v>1.2187999999999999</x:v>
      </x:c>
      <x:c r="I344" s="44" t="n">
        <x:v>1.2187999999999999</x:v>
      </x:c>
      <x:c r="J344" s="43" t="n">
        <x:v>1</x:v>
      </x:c>
      <x:c r="K344" s="43" t="n">
        <x:v>1</x:v>
      </x:c>
      <x:c r="L344" s="43" t="n">
        <x:v>1</x:v>
      </x:c>
      <x:c r="M344" s="43" t="n">
        <x:v>1</x:v>
      </x:c>
    </x:row>
    <x:row r="345" ht="18" customHeight="1">
      <x:c r="A345" s="43" t="str">
        <x:v>Shared Battle Modifiers</x:v>
      </x:c>
      <x:c r="B345" s="43" t="str">
        <x:v>Siege Damage (Lion)</x:v>
      </x:c>
      <x:c r="C345" s="43" t="str">
        <x:v>Higher</x:v>
      </x:c>
      <x:c r="D345" s="43" t="str">
        <x:v>K138</x:v>
      </x:c>
      <x:c r="E345" s="43" t="str">
        <x:v>(RaW)ϟCrozyϟ (+4 tied)</x:v>
      </x:c>
      <x:c r="F345" s="44" t="n">
        <x:v>0.9653</x:v>
      </x:c>
      <x:c r="G345" s="44" t="n">
        <x:v>0.9653</x:v>
      </x:c>
      <x:c r="H345" s="44" t="n">
        <x:v>0.9653</x:v>
      </x:c>
      <x:c r="I345" s="44" t="n">
        <x:v>0.8029</x:v>
      </x:c>
      <x:c r="J345" s="43" t="n">
        <x:v>3</x:v>
      </x:c>
      <x:c r="K345" s="43" t="n">
        <x:v>3</x:v>
      </x:c>
      <x:c r="L345" s="43" t="n">
        <x:v>3</x:v>
      </x:c>
      <x:c r="M345" s="43" t="n">
        <x:v>6</x:v>
      </x:c>
    </x:row>
    <x:row r="346" ht="18" customHeight="1">
      <x:c r="A346" s="43" t="str">
        <x:v>Shared Battle Modifiers</x:v>
      </x:c>
      <x:c r="B346" s="43" t="str">
        <x:v>Siege Damage (Lion)</x:v>
      </x:c>
      <x:c r="C346" s="43" t="str">
        <x:v>Higher</x:v>
      </x:c>
      <x:c r="D346" s="43" t="str">
        <x:v>K170</x:v>
      </x:c>
      <x:c r="E346" s="43" t="str">
        <x:v>(AOT)StFruz</x:v>
      </x:c>
      <x:c r="F346" s="44" t="n">
        <x:v>0.8029</x:v>
      </x:c>
      <x:c r="G346" s="44" t="n">
        <x:v>0.7344299999999999</x:v>
      </x:c>
      <x:c r="H346" s="44" t="n">
        <x:v>0.6342399999999999</x:v>
      </x:c>
      <x:c r="I346" s="44" t="n">
        <x:v>0.5393</x:v>
      </x:c>
      <x:c r="J346" s="43" t="n">
        <x:v>7</x:v>
      </x:c>
      <x:c r="K346" s="43" t="n">
        <x:v>7</x:v>
      </x:c>
      <x:c r="L346" s="43" t="n">
        <x:v>8</x:v>
      </x:c>
      <x:c r="M346" s="43" t="n">
        <x:v>8</x:v>
      </x:c>
    </x:row>
    <x:row r="347" ht="18" customHeight="1">
      <x:c r="A347" s="43" t="str">
        <x:v>Shared Battle Modifiers</x:v>
      </x:c>
      <x:c r="B347" s="43" t="str">
        <x:v>Siege Damage (Lion)</x:v>
      </x:c>
      <x:c r="C347" s="43" t="str">
        <x:v>Higher</x:v>
      </x:c>
      <x:c r="D347" s="43" t="str">
        <x:v>K54</x:v>
      </x:c>
      <x:c r="E347" s="43" t="str">
        <x:v>All 11 tied</x:v>
      </x:c>
      <x:c r="F347" s="44" t="n">
        <x:v>0.9653</x:v>
      </x:c>
      <x:c r="G347" s="44" t="n">
        <x:v>0.9653</x:v>
      </x:c>
      <x:c r="H347" s="44" t="n">
        <x:v>0.9653</x:v>
      </x:c>
      <x:c r="I347" s="44" t="n">
        <x:v>0.9653</x:v>
      </x:c>
      <x:c r="J347" s="43" t="n">
        <x:v>3</x:v>
      </x:c>
      <x:c r="K347" s="43" t="n">
        <x:v>3</x:v>
      </x:c>
      <x:c r="L347" s="43" t="n">
        <x:v>3</x:v>
      </x:c>
      <x:c r="M347" s="43" t="n">
        <x:v>3</x:v>
      </x:c>
    </x:row>
    <x:row r="348" ht="18" customHeight="1">
      <x:c r="A348" s="43" t="str">
        <x:v>Shared Battle Modifiers</x:v>
      </x:c>
      <x:c r="B348" s="43" t="str">
        <x:v>Siege Damage (Lion)</x:v>
      </x:c>
      <x:c r="C348" s="43" t="str">
        <x:v>Higher</x:v>
      </x:c>
      <x:c r="D348" s="43" t="str">
        <x:v>K197</x:v>
      </x:c>
      <x:c r="E348" s="43" t="str">
        <x:v>All 19 tied</x:v>
      </x:c>
      <x:c r="F348" s="44" t="n">
        <x:v>1.2187999999999999</x:v>
      </x:c>
      <x:c r="G348" s="44" t="n">
        <x:v>1.2187999999999999</x:v>
      </x:c>
      <x:c r="H348" s="44" t="n">
        <x:v>1.2187999999999999</x:v>
      </x:c>
      <x:c r="I348" s="44" t="n">
        <x:v>1.2187999999999999</x:v>
      </x:c>
      <x:c r="J348" s="43" t="n">
        <x:v>1</x:v>
      </x:c>
      <x:c r="K348" s="43" t="n">
        <x:v>1</x:v>
      </x:c>
      <x:c r="L348" s="43" t="n">
        <x:v>1</x:v>
      </x:c>
      <x:c r="M348" s="43" t="n">
        <x:v>1</x:v>
      </x:c>
    </x:row>
    <x:row r="349" ht="18" customHeight="1">
      <x:c r="A349" s="43" t="str">
        <x:v>Shared Battle Modifiers</x:v>
      </x:c>
      <x:c r="B349" s="43" t="str">
        <x:v>Siege Damage (Lion)</x:v>
      </x:c>
      <x:c r="C349" s="43" t="str">
        <x:v>Higher</x:v>
      </x:c>
      <x:c r="D349" s="43" t="str">
        <x:v>K176</x:v>
      </x:c>
      <x:c r="E349" s="43" t="str">
        <x:v>All 22 tied</x:v>
      </x:c>
      <x:c r="F349" s="44" t="n">
        <x:v>0.9107999999999999</x:v>
      </x:c>
      <x:c r="G349" s="44" t="n">
        <x:v>0.9107999999999999</x:v>
      </x:c>
      <x:c r="H349" s="44" t="n">
        <x:v>0.9107999999999998</x:v>
      </x:c>
      <x:c r="I349" s="44" t="n">
        <x:v>0.9107999999999999</x:v>
      </x:c>
      <x:c r="J349" s="43" t="n">
        <x:v>6</x:v>
      </x:c>
      <x:c r="K349" s="43" t="n">
        <x:v>6</x:v>
      </x:c>
      <x:c r="L349" s="43" t="n">
        <x:v>6</x:v>
      </x:c>
      <x:c r="M349" s="43" t="n">
        <x:v>5</x:v>
      </x:c>
    </x:row>
    <x:row r="350" ht="18" customHeight="1">
      <x:c r="A350" s="43" t="str">
        <x:v>Shared Battle Modifiers</x:v>
      </x:c>
      <x:c r="B350" s="43" t="str">
        <x:v>March Capacity modifier</x:v>
      </x:c>
      <x:c r="C350" s="43" t="str">
        <x:v>Higher</x:v>
      </x:c>
      <x:c r="D350" s="43" t="str">
        <x:v>K60</x:v>
      </x:c>
      <x:c r="E350" s="43" t="str">
        <x:v>All 25 tied</x:v>
      </x:c>
      <x:c r="F350" s="174" t="n">
        <x:v>0</x:v>
      </x:c>
      <x:c r="G350" s="174" t="n">
        <x:v>0</x:v>
      </x:c>
      <x:c r="H350" s="174" t="n">
        <x:v>0</x:v>
      </x:c>
      <x:c r="I350" s="174" t="n">
        <x:v>0</x:v>
      </x:c>
      <x:c r="J350" s="43" t="n">
        <x:v>8</x:v>
      </x:c>
      <x:c r="K350" s="43" t="n">
        <x:v>8</x:v>
      </x:c>
      <x:c r="L350" s="43" t="n">
        <x:v>8</x:v>
      </x:c>
      <x:c r="M350" s="43" t="n">
        <x:v>8</x:v>
      </x:c>
    </x:row>
    <x:row r="351" ht="18" customHeight="1">
      <x:c r="A351" s="43" t="str">
        <x:v>Shared Battle Modifiers</x:v>
      </x:c>
      <x:c r="B351" s="43" t="str">
        <x:v>March Capacity modifier</x:v>
      </x:c>
      <x:c r="C351" s="43" t="str">
        <x:v>Higher</x:v>
      </x:c>
      <x:c r="D351" s="43" t="str">
        <x:v>K91</x:v>
      </x:c>
      <x:c r="E351" s="43" t="str">
        <x:v>All 20 tied</x:v>
      </x:c>
      <x:c r="F351" s="174" t="n">
        <x:v>32148</x:v>
      </x:c>
      <x:c r="G351" s="174" t="n">
        <x:v>32148</x:v>
      </x:c>
      <x:c r="H351" s="174" t="n">
        <x:v>32148</x:v>
      </x:c>
      <x:c r="I351" s="174" t="n">
        <x:v>32148</x:v>
      </x:c>
      <x:c r="J351" s="43" t="n">
        <x:v>5</x:v>
      </x:c>
      <x:c r="K351" s="43" t="n">
        <x:v>5</x:v>
      </x:c>
      <x:c r="L351" s="43" t="n">
        <x:v>5</x:v>
      </x:c>
      <x:c r="M351" s="43" t="n">
        <x:v>5</x:v>
      </x:c>
    </x:row>
    <x:row r="352" ht="18" customHeight="1">
      <x:c r="A352" s="43" t="str">
        <x:v>Shared Battle Modifiers</x:v>
      </x:c>
      <x:c r="B352" s="43" t="str">
        <x:v>March Capacity modifier</x:v>
      </x:c>
      <x:c r="C352" s="43" t="str">
        <x:v>Higher</x:v>
      </x:c>
      <x:c r="D352" s="43" t="str">
        <x:v>K116</x:v>
      </x:c>
      <x:c r="E352" s="43" t="str">
        <x:v>All 20 tied</x:v>
      </x:c>
      <x:c r="F352" s="174" t="n">
        <x:v>39216</x:v>
      </x:c>
      <x:c r="G352" s="174" t="n">
        <x:v>39216</x:v>
      </x:c>
      <x:c r="H352" s="174" t="n">
        <x:v>39216</x:v>
      </x:c>
      <x:c r="I352" s="174" t="n">
        <x:v>39216</x:v>
      </x:c>
      <x:c r="J352" s="43" t="n">
        <x:v>1</x:v>
      </x:c>
      <x:c r="K352" s="43" t="n">
        <x:v>1</x:v>
      </x:c>
      <x:c r="L352" s="43" t="n">
        <x:v>1</x:v>
      </x:c>
      <x:c r="M352" s="43" t="n">
        <x:v>1</x:v>
      </x:c>
    </x:row>
    <x:row r="353" ht="18" customHeight="1">
      <x:c r="A353" s="43" t="str">
        <x:v>Shared Battle Modifiers</x:v>
      </x:c>
      <x:c r="B353" s="43" t="str">
        <x:v>March Capacity modifier</x:v>
      </x:c>
      <x:c r="C353" s="43" t="str">
        <x:v>Higher</x:v>
      </x:c>
      <x:c r="D353" s="43" t="str">
        <x:v>K138</x:v>
      </x:c>
      <x:c r="E353" s="43" t="str">
        <x:v>(RaW)༺博卡Ajax༻ (+25 tied)</x:v>
      </x:c>
      <x:c r="F353" s="174" t="n">
        <x:v>39216</x:v>
      </x:c>
      <x:c r="G353" s="174" t="n">
        <x:v>39216</x:v>
      </x:c>
      <x:c r="H353" s="174" t="n">
        <x:v>39216</x:v>
      </x:c>
      <x:c r="I353" s="174" t="n">
        <x:v>39216</x:v>
      </x:c>
      <x:c r="J353" s="43" t="n">
        <x:v>1</x:v>
      </x:c>
      <x:c r="K353" s="43" t="n">
        <x:v>1</x:v>
      </x:c>
      <x:c r="L353" s="43" t="n">
        <x:v>1</x:v>
      </x:c>
      <x:c r="M353" s="43" t="n">
        <x:v>1</x:v>
      </x:c>
    </x:row>
    <x:row r="354" ht="18" customHeight="1">
      <x:c r="A354" s="43" t="str">
        <x:v>Shared Battle Modifiers</x:v>
      </x:c>
      <x:c r="B354" s="43" t="str">
        <x:v>March Capacity modifier</x:v>
      </x:c>
      <x:c r="C354" s="43" t="str">
        <x:v>Higher</x:v>
      </x:c>
      <x:c r="D354" s="43" t="str">
        <x:v>K170</x:v>
      </x:c>
      <x:c r="E354" s="43" t="str">
        <x:v>(AOT)MG·Yu</x:v>
      </x:c>
      <x:c r="F354" s="174" t="n">
        <x:v>31992</x:v>
      </x:c>
      <x:c r="G354" s="174" t="n">
        <x:v>16596</x:v>
      </x:c>
      <x:c r="H354" s="174" t="n">
        <x:v>7358.4</x:v>
      </x:c>
      <x:c r="I354" s="174" t="n">
        <x:v>1200</x:v>
      </x:c>
      <x:c r="J354" s="43" t="n">
        <x:v>6</x:v>
      </x:c>
      <x:c r="K354" s="43" t="n">
        <x:v>7</x:v>
      </x:c>
      <x:c r="L354" s="43" t="n">
        <x:v>7</x:v>
      </x:c>
      <x:c r="M354" s="43" t="n">
        <x:v>7</x:v>
      </x:c>
    </x:row>
    <x:row r="355" ht="18" customHeight="1">
      <x:c r="A355" s="43" t="str">
        <x:v>Shared Battle Modifiers</x:v>
      </x:c>
      <x:c r="B355" s="43" t="str">
        <x:v>March Capacity modifier</x:v>
      </x:c>
      <x:c r="C355" s="43" t="str">
        <x:v>Higher</x:v>
      </x:c>
      <x:c r="D355" s="43" t="str">
        <x:v>K54</x:v>
      </x:c>
      <x:c r="E355" s="43" t="str">
        <x:v>All 11 tied</x:v>
      </x:c>
      <x:c r="F355" s="174" t="n">
        <x:v>39216</x:v>
      </x:c>
      <x:c r="G355" s="174" t="n">
        <x:v>39216</x:v>
      </x:c>
      <x:c r="H355" s="174" t="n">
        <x:v>39216</x:v>
      </x:c>
      <x:c r="I355" s="174" t="n">
        <x:v>39216</x:v>
      </x:c>
      <x:c r="J355" s="43" t="n">
        <x:v>1</x:v>
      </x:c>
      <x:c r="K355" s="43" t="n">
        <x:v>1</x:v>
      </x:c>
      <x:c r="L355" s="43" t="n">
        <x:v>1</x:v>
      </x:c>
      <x:c r="M355" s="43" t="n">
        <x:v>1</x:v>
      </x:c>
    </x:row>
    <x:row r="356" ht="18" customHeight="1">
      <x:c r="A356" s="43" t="str">
        <x:v>Shared Battle Modifiers</x:v>
      </x:c>
      <x:c r="B356" s="43" t="str">
        <x:v>March Capacity modifier</x:v>
      </x:c>
      <x:c r="C356" s="43" t="str">
        <x:v>Higher</x:v>
      </x:c>
      <x:c r="D356" s="43" t="str">
        <x:v>K197</x:v>
      </x:c>
      <x:c r="E356" s="43" t="str">
        <x:v>All 19 tied</x:v>
      </x:c>
      <x:c r="F356" s="174" t="n">
        <x:v>39216</x:v>
      </x:c>
      <x:c r="G356" s="174" t="n">
        <x:v>39216</x:v>
      </x:c>
      <x:c r="H356" s="174" t="n">
        <x:v>39216</x:v>
      </x:c>
      <x:c r="I356" s="174" t="n">
        <x:v>39216</x:v>
      </x:c>
      <x:c r="J356" s="43" t="n">
        <x:v>1</x:v>
      </x:c>
      <x:c r="K356" s="43" t="n">
        <x:v>1</x:v>
      </x:c>
      <x:c r="L356" s="43" t="n">
        <x:v>1</x:v>
      </x:c>
      <x:c r="M356" s="43" t="n">
        <x:v>1</x:v>
      </x:c>
    </x:row>
    <x:row r="357" ht="18" customHeight="1">
      <x:c r="A357" s="43" t="str">
        <x:v>Shared Battle Modifiers</x:v>
      </x:c>
      <x:c r="B357" s="43" t="str">
        <x:v>March Capacity modifier</x:v>
      </x:c>
      <x:c r="C357" s="43" t="str">
        <x:v>Higher</x:v>
      </x:c>
      <x:c r="D357" s="43" t="str">
        <x:v>K176</x:v>
      </x:c>
      <x:c r="E357" s="43" t="str">
        <x:v>All 22 tied</x:v>
      </x:c>
      <x:c r="F357" s="174" t="n">
        <x:v>25800</x:v>
      </x:c>
      <x:c r="G357" s="174" t="n">
        <x:v>25800</x:v>
      </x:c>
      <x:c r="H357" s="174" t="n">
        <x:v>25800</x:v>
      </x:c>
      <x:c r="I357" s="174" t="n">
        <x:v>25800</x:v>
      </x:c>
      <x:c r="J357" s="43" t="n">
        <x:v>7</x:v>
      </x:c>
      <x:c r="K357" s="43" t="n">
        <x:v>6</x:v>
      </x:c>
      <x:c r="L357" s="43" t="n">
        <x:v>6</x:v>
      </x:c>
      <x:c r="M357" s="43" t="n">
        <x:v>6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83882a00b134d7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0" hidden="0" customWidth="1"/>
    <x:col min="4" max="4" width="18" hidden="0" customWidth="1"/>
    <x:col min="5" max="5" width="14" hidden="0" customWidth="1"/>
    <x:col min="6" max="6" width="8" hidden="0" customWidth="1"/>
    <x:col min="7" max="7" width="14" hidden="0" customWidth="1"/>
    <x:col min="8" max="8" width="8" hidden="0" customWidth="1"/>
    <x:col min="9" max="9" width="14" hidden="0" customWidth="1"/>
    <x:col min="10" max="10" width="8" hidden="0" customWidth="1"/>
    <x:col min="11" max="11" width="14" hidden="0" customWidth="1"/>
    <x:col min="12" max="12" width="8" hidden="0" customWidth="1"/>
    <x:col min="13" max="13" width="14" hidden="0" customWidth="1"/>
    <x:col min="14" max="14" width="8" hidden="0" customWidth="1"/>
    <x:col min="15" max="15" width="14" hidden="0" customWidth="1"/>
    <x:col min="16" max="16" width="8" hidden="0" customWidth="1"/>
    <x:col min="17" max="17" width="14" hidden="0" customWidth="1"/>
    <x:col min="18" max="18" width="8" hidden="0" customWidth="1"/>
    <x:col min="19" max="19" width="14" hidden="0" customWidth="1"/>
    <x:col min="20" max="20" width="8" hidden="0" customWidth="1"/>
    <x:col min="21" max="21" width="13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30" customHeight="1">
      <x:c r="A1" s="3" t="str">
        <x:v>Kingdom Average &amp; Strength-Band Comparison</x:v>
      </x:c>
      <x:c r="B1" s="3" t="str">
        <x:v>Kingdom Average &amp; Strength-Band Comparison</x:v>
      </x:c>
      <x:c r="C1" s="3" t="str">
        <x:v>Kingdom Average &amp; Strength-Band Comparison</x:v>
      </x:c>
      <x:c r="D1" s="3" t="str">
        <x:v>Kingdom Average &amp; Strength-Band Comparison</x:v>
      </x:c>
      <x:c r="E1" s="3" t="str">
        <x:v>Kingdom Average &amp; Strength-Band Comparison</x:v>
      </x:c>
      <x:c r="F1" s="3" t="str">
        <x:v>Kingdom Average &amp; Strength-Band Comparison</x:v>
      </x:c>
      <x:c r="G1" s="3" t="str">
        <x:v>Kingdom Average &amp; Strength-Band Comparison</x:v>
      </x:c>
      <x:c r="H1" s="3" t="str">
        <x:v>Kingdom Average &amp; Strength-Band Comparison</x:v>
      </x:c>
      <x:c r="I1" s="3" t="str">
        <x:v>Kingdom Average &amp; Strength-Band Comparison</x:v>
      </x:c>
      <x:c r="J1" s="3" t="str">
        <x:v>Kingdom Average &amp; Strength-Band Comparison</x:v>
      </x:c>
      <x:c r="K1" s="3" t="str">
        <x:v>Kingdom Average &amp; Strength-Band Comparison</x:v>
      </x:c>
      <x:c r="L1" s="3" t="str">
        <x:v>Kingdom Average &amp; Strength-Band Comparison</x:v>
      </x:c>
      <x:c r="M1" s="3" t="str">
        <x:v>Kingdom Average &amp; Strength-Band Comparison</x:v>
      </x:c>
      <x:c r="N1" s="3" t="str">
        <x:v>Kingdom Average &amp; Strength-Band Comparison</x:v>
      </x:c>
      <x:c r="O1" s="3" t="str">
        <x:v>Kingdom Average &amp; Strength-Band Comparison</x:v>
      </x:c>
      <x:c r="P1" s="3" t="str">
        <x:v>Kingdom Average &amp; Strength-Band Comparison</x:v>
      </x:c>
      <x:c r="Q1" s="3" t="str">
        <x:v>Kingdom Average &amp; Strength-Band Comparison</x:v>
      </x:c>
      <x:c r="R1" s="3" t="str">
        <x:v>Kingdom Average &amp; Strength-Band Comparison</x:v>
      </x:c>
      <x:c r="S1" s="3" t="str">
        <x:v>Kingdom Average &amp; Strength-Band Comparison</x:v>
      </x:c>
      <x:c r="T1" s="3" t="str">
        <x:v>Kingdom Average &amp; Strength-Band Comparison</x:v>
      </x:c>
      <x:c r="U1" s="3" t="str">
        <x:v>Kingdom Average &amp; Strength-Band Comparison</x:v>
      </x:c>
      <x:c r="V1" s="3" t="str">
        <x:v>Kingdom Average &amp; Strength-Band Comparison</x:v>
      </x:c>
      <x:c r="W1" s="3" t="str">
        <x:v>Kingdom Average &amp; Strength-Band Comparison</x:v>
      </x:c>
      <x:c r="X1" s="3" t="str">
        <x:v>Kingdom Average &amp; Strength-Band Comparison</x:v>
      </x:c>
      <x:c r="Y1" s="3" t="str">
        <x:v>Kingdom Average &amp; Strength-Band Comparison</x:v>
      </x:c>
      <x:c r="Z1" s="3" t="str">
        <x:v>Kingdom Average &amp; Strength-Band Comparison</x:v>
      </x:c>
      <x:c r="AA1" s="3" t="str">
        <x:v>Kingdom Average &amp; Strength-Band Comparison</x:v>
      </x:c>
      <x:c r="AB1" s="3" t="str">
        <x:v>Kingdom Average &amp; Strength-Band Comparison</x:v>
      </x:c>
      <x:c r="AC1" s="3" t="str">
        <x:v>Kingdom Average &amp; Strength-Band Comparison</x:v>
      </x:c>
    </x:row>
    <x:row r="2" ht="24" customHeight="1">
      <x:c r="A2" s="7" t="str">
        <x:v>Every recorded metric compared as Best Player, Top 5, Top 15 and All Players across 8 kingdoms</x:v>
      </x:c>
      <x:c r="B2" s="7" t="str">
        <x:v>Every recorded metric compared as Best Player, Top 5, Top 15 and All Players across 8 kingdoms</x:v>
      </x:c>
      <x:c r="C2" s="7" t="str">
        <x:v>Every recorded metric compared as Best Player, Top 5, Top 15 and All Players across 8 kingdoms</x:v>
      </x:c>
      <x:c r="D2" s="7" t="str">
        <x:v>Every recorded metric compared as Best Player, Top 5, Top 15 and All Players across 8 kingdoms</x:v>
      </x:c>
      <x:c r="E2" s="7" t="str">
        <x:v>Every recorded metric compared as Best Player, Top 5, Top 15 and All Players across 8 kingdoms</x:v>
      </x:c>
      <x:c r="F2" s="7" t="str">
        <x:v>Every recorded metric compared as Best Player, Top 5, Top 15 and All Players across 8 kingdoms</x:v>
      </x:c>
      <x:c r="G2" s="7" t="str">
        <x:v>Every recorded metric compared as Best Player, Top 5, Top 15 and All Players across 8 kingdoms</x:v>
      </x:c>
      <x:c r="H2" s="7" t="str">
        <x:v>Every recorded metric compared as Best Player, Top 5, Top 15 and All Players across 8 kingdoms</x:v>
      </x:c>
      <x:c r="I2" s="7" t="str">
        <x:v>Every recorded metric compared as Best Player, Top 5, Top 15 and All Players across 8 kingdoms</x:v>
      </x:c>
      <x:c r="J2" s="7" t="str">
        <x:v>Every recorded metric compared as Best Player, Top 5, Top 15 and All Players across 8 kingdoms</x:v>
      </x:c>
      <x:c r="K2" s="7" t="str">
        <x:v>Every recorded metric compared as Best Player, Top 5, Top 15 and All Players across 8 kingdoms</x:v>
      </x:c>
      <x:c r="L2" s="7" t="str">
        <x:v>Every recorded metric compared as Best Player, Top 5, Top 15 and All Players across 8 kingdoms</x:v>
      </x:c>
      <x:c r="M2" s="7" t="str">
        <x:v>Every recorded metric compared as Best Player, Top 5, Top 15 and All Players across 8 kingdoms</x:v>
      </x:c>
      <x:c r="N2" s="7" t="str">
        <x:v>Every recorded metric compared as Best Player, Top 5, Top 15 and All Players across 8 kingdoms</x:v>
      </x:c>
      <x:c r="O2" s="7" t="str">
        <x:v>Every recorded metric compared as Best Player, Top 5, Top 15 and All Players across 8 kingdoms</x:v>
      </x:c>
      <x:c r="P2" s="7" t="str">
        <x:v>Every recorded metric compared as Best Player, Top 5, Top 15 and All Players across 8 kingdoms</x:v>
      </x:c>
      <x:c r="Q2" s="7" t="str">
        <x:v>Every recorded metric compared as Best Player, Top 5, Top 15 and All Players across 8 kingdoms</x:v>
      </x:c>
      <x:c r="R2" s="7" t="str">
        <x:v>Every recorded metric compared as Best Player, Top 5, Top 15 and All Players across 8 kingdoms</x:v>
      </x:c>
      <x:c r="S2" s="7" t="str">
        <x:v>Every recorded metric compared as Best Player, Top 5, Top 15 and All Players across 8 kingdoms</x:v>
      </x:c>
      <x:c r="T2" s="7" t="str">
        <x:v>Every recorded metric compared as Best Player, Top 5, Top 15 and All Players across 8 kingdoms</x:v>
      </x:c>
      <x:c r="U2" s="7" t="str">
        <x:v>Every recorded metric compared as Best Player, Top 5, Top 15 and All Players across 8 kingdoms</x:v>
      </x:c>
      <x:c r="V2" s="7" t="str">
        <x:v>Every recorded metric compared as Best Player, Top 5, Top 15 and All Players across 8 kingdoms</x:v>
      </x:c>
      <x:c r="W2" s="7" t="str">
        <x:v>Every recorded metric compared as Best Player, Top 5, Top 15 and All Players across 8 kingdoms</x:v>
      </x:c>
      <x:c r="X2" s="7" t="str">
        <x:v>Every recorded metric compared as Best Player, Top 5, Top 15 and All Players across 8 kingdoms</x:v>
      </x:c>
      <x:c r="Y2" s="7" t="str">
        <x:v>Every recorded metric compared as Best Player, Top 5, Top 15 and All Players across 8 kingdoms</x:v>
      </x:c>
      <x:c r="Z2" s="7" t="str">
        <x:v>Every recorded metric compared as Best Player, Top 5, Top 15 and All Players across 8 kingdoms</x:v>
      </x:c>
      <x:c r="AA2" s="7" t="str">
        <x:v>Every recorded metric compared as Best Player, Top 5, Top 15 and All Players across 8 kingdoms</x:v>
      </x:c>
      <x:c r="AB2" s="7" t="str">
        <x:v>Every recorded metric compared as Best Player, Top 5, Top 15 and All Players across 8 kingdoms</x:v>
      </x:c>
      <x:c r="AC2" s="7" t="str">
        <x:v>Every recorded metric compared as Best Player, Top 5, Top 15 and All Players across 8 kingdoms</x:v>
      </x:c>
    </x:row>
    <x:row r="4" ht="24" customHeight="1">
      <x:c r="A4" s="42" t="str">
        <x:v>Strength Band</x:v>
      </x:c>
      <x:c r="B4" s="42" t="str">
        <x:v>K60</x:v>
      </x:c>
      <x:c r="C4" s="42" t="str">
        <x:v>K91</x:v>
      </x:c>
      <x:c r="D4" s="42" t="str">
        <x:v>K116</x:v>
      </x:c>
      <x:c r="E4" s="42" t="str">
        <x:v>K138</x:v>
      </x:c>
      <x:c r="F4" s="42" t="str">
        <x:v>K170</x:v>
      </x:c>
      <x:c r="G4" s="42" t="str">
        <x:v>K54</x:v>
      </x:c>
      <x:c r="H4" s="42" t="str">
        <x:v>K197</x:v>
      </x:c>
      <x:c r="I4" s="42" t="str">
        <x:v>K176</x:v>
      </x:c>
      <x:c r="J4" s="42" t="str">
        <x:v>Ties</x:v>
      </x:c>
      <x:c r="K4" s="42" t="str">
        <x:v>Comparable</x:v>
      </x:c>
      <x:c r="L4" s="137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M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N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O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P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Q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R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S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T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U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V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W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X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Y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Z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A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B4" s="138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C4" s="139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</x:row>
    <x:row r="5" ht="20" customHeight="1">
      <x:c r="A5" s="43" t="str">
        <x:v>Best player</x:v>
      </x:c>
      <x:c r="B5" s="43" t="n">
        <x:v>0</x:v>
      </x:c>
      <x:c r="C5" s="43" t="n">
        <x:v>3</x:v>
      </x:c>
      <x:c r="D5" s="43" t="n">
        <x:v>0</x:v>
      </x:c>
      <x:c r="E5" s="43" t="n">
        <x:v>0</x:v>
      </x:c>
      <x:c r="F5" s="43" t="n">
        <x:v>2</x:v>
      </x:c>
      <x:c r="G5" s="43" t="n">
        <x:v>6</x:v>
      </x:c>
      <x:c r="H5" s="43" t="n">
        <x:v>8</x:v>
      </x:c>
      <x:c r="I5" s="43" t="n">
        <x:v>1</x:v>
      </x:c>
      <x:c r="J5" s="43" t="n">
        <x:v>24</x:v>
      </x:c>
      <x:c r="K5" s="43" t="n">
        <x:v>43</x:v>
      </x:c>
      <x:c r="L5" s="140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M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N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O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P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Q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R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S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T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U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V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W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X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Y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Z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A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B5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C5" s="142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</x:row>
    <x:row r="6" ht="20" customHeight="1">
      <x:c r="A6" s="43" t="str">
        <x:v>Top 5 average</x:v>
      </x:c>
      <x:c r="B6" s="43" t="n">
        <x:v>3</x:v>
      </x:c>
      <x:c r="C6" s="43" t="n">
        <x:v>0</x:v>
      </x:c>
      <x:c r="D6" s="43" t="n">
        <x:v>4</x:v>
      </x:c>
      <x:c r="E6" s="43" t="n">
        <x:v>0</x:v>
      </x:c>
      <x:c r="F6" s="43" t="n">
        <x:v>2</x:v>
      </x:c>
      <x:c r="G6" s="43" t="n">
        <x:v>22</x:v>
      </x:c>
      <x:c r="H6" s="43" t="n">
        <x:v>4</x:v>
      </x:c>
      <x:c r="I6" s="43" t="n">
        <x:v>2</x:v>
      </x:c>
      <x:c r="J6" s="43" t="n">
        <x:v>7</x:v>
      </x:c>
      <x:c r="K6" s="43" t="n">
        <x:v>43</x:v>
      </x:c>
      <x:c r="L6" s="140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M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N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O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P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Q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R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S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T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U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V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W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X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Y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Z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A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B6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C6" s="142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</x:row>
    <x:row r="7" ht="20" customHeight="1">
      <x:c r="A7" s="43" t="str">
        <x:v>Top 15 average</x:v>
      </x:c>
      <x:c r="B7" s="43" t="n">
        <x:v>6</x:v>
      </x:c>
      <x:c r="C7" s="43" t="n">
        <x:v>1</x:v>
      </x:c>
      <x:c r="D7" s="43" t="n">
        <x:v>4</x:v>
      </x:c>
      <x:c r="E7" s="43" t="n">
        <x:v>2</x:v>
      </x:c>
      <x:c r="F7" s="43" t="n">
        <x:v>3</x:v>
      </x:c>
      <x:c r="G7" s="43" t="n">
        <x:v>15</x:v>
      </x:c>
      <x:c r="H7" s="43" t="n">
        <x:v>2</x:v>
      </x:c>
      <x:c r="I7" s="43" t="n">
        <x:v>5</x:v>
      </x:c>
      <x:c r="J7" s="43" t="n">
        <x:v>6</x:v>
      </x:c>
      <x:c r="K7" s="43" t="n">
        <x:v>43</x:v>
      </x:c>
      <x:c r="L7" s="140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M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N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O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P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Q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R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S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T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U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V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W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X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Y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Z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A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B7" s="141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C7" s="142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</x:row>
    <x:row r="8" ht="20" customHeight="1">
      <x:c r="A8" s="43" t="str">
        <x:v>All players mean</x:v>
      </x:c>
      <x:c r="B8" s="43" t="n">
        <x:v>4</x:v>
      </x:c>
      <x:c r="C8" s="43" t="n">
        <x:v>1</x:v>
      </x:c>
      <x:c r="D8" s="43" t="n">
        <x:v>0</x:v>
      </x:c>
      <x:c r="E8" s="43" t="n">
        <x:v>0</x:v>
      </x:c>
      <x:c r="F8" s="43" t="n">
        <x:v>2</x:v>
      </x:c>
      <x:c r="G8" s="43" t="n">
        <x:v>26</x:v>
      </x:c>
      <x:c r="H8" s="43" t="n">
        <x:v>1</x:v>
      </x:c>
      <x:c r="I8" s="43" t="n">
        <x:v>4</x:v>
      </x:c>
      <x:c r="J8" s="43" t="n">
        <x:v>6</x:v>
      </x:c>
      <x:c r="K8" s="43" t="n">
        <x:v>43</x:v>
      </x:c>
      <x:c r="L8" s="143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M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N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O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P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Q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R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S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T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U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V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W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X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Y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Z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A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B8" s="144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  <x:c r="AC8" s="145" t="str">
        <x:v>How the bands work
Each metric is ranked separately. Best Player is the strongest single value; Top 5 and Top 15 average the strongest available observations; All Players describes roster depth. Damage Received and Guards block damage rank lower/more-negative values as stronger. Blanks are excluded.</x:v>
      </x:c>
    </x:row>
    <x:row r="12" ht="24" customHeight="1">
      <x:c r="A12" s="42" t="str">
        <x:v>Strength Band</x:v>
      </x:c>
      <x:c r="B12" s="42" t="str">
        <x:v>K60</x:v>
      </x:c>
      <x:c r="C12" s="42" t="str">
        <x:v>K91</x:v>
      </x:c>
      <x:c r="D12" s="42" t="str">
        <x:v>K116</x:v>
      </x:c>
      <x:c r="E12" s="42" t="str">
        <x:v>K138</x:v>
      </x:c>
      <x:c r="F12" s="42" t="str">
        <x:v>K170</x:v>
      </x:c>
      <x:c r="G12" s="42" t="str">
        <x:v>K54</x:v>
      </x:c>
      <x:c r="H12" s="42" t="str">
        <x:v>K197</x:v>
      </x:c>
      <x:c r="I12" s="42" t="str">
        <x:v>K176</x:v>
      </x:c>
      <x:c r="J12" s="217" t="str">
        <x:v>Archer Attack Blessing focus
Best-player leader: Tie. All-player depth leader: K54. The detailed table below shows the exact sample size used in every band and K138's positive or negative edge against each rival.</x:v>
      </x:c>
      <x:c r="K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L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M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N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O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P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Q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R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S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T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U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V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W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X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Y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Z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AA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AB12" s="218" t="str">
        <x:v>Archer Attack Blessing focus
Best-player leader: Tie. All-player depth leader: K54. The detailed table below shows the exact sample size used in every band and K138's positive or negative edge against each rival.</x:v>
      </x:c>
      <x:c r="AC12" s="219" t="str">
        <x:v>Archer Attack Blessing focus
Best-player leader: Tie. All-player depth leader: K54. The detailed table below shows the exact sample size used in every band and K138's positive or negative edge against each rival.</x:v>
      </x:c>
    </x:row>
    <x:row r="13">
      <x:c r="A13" t="str">
        <x:v>Best player</x:v>
      </x:c>
      <x:c r="B13" s="228" t="n">
        <x:v>6.26</x:v>
      </x:c>
      <x:c r="C13" s="228" t="n">
        <x:v>9</x:v>
      </x:c>
      <x:c r="D13" s="228" t="n">
        <x:v>9</x:v>
      </x:c>
      <x:c r="E13" s="228" t="n">
        <x:v>6.26</x:v>
      </x:c>
      <x:c r="F13" s="228" t="n">
        <x:v>7</x:v>
      </x:c>
      <x:c r="G13" s="228" t="n">
        <x:v>9</x:v>
      </x:c>
      <x:c r="H13" s="228" t="n">
        <x:v>9</x:v>
      </x:c>
      <x:c r="I13" s="228" t="n">
        <x:v>9</x:v>
      </x:c>
      <x:c r="J13" s="220" t="str">
        <x:v>Archer Attack Blessing focus
Best-player leader: Tie. All-player depth leader: K54. The detailed table below shows the exact sample size used in every band and K138's positive or negative edge against each rival.</x:v>
      </x:c>
      <x:c r="K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L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M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N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O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P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Q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R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S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T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U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V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W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X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Y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Z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AA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AB13" s="221" t="str">
        <x:v>Archer Attack Blessing focus
Best-player leader: Tie. All-player depth leader: K54. The detailed table below shows the exact sample size used in every band and K138's positive or negative edge against each rival.</x:v>
      </x:c>
      <x:c r="AC13" s="222" t="str">
        <x:v>Archer Attack Blessing focus
Best-player leader: Tie. All-player depth leader: K54. The detailed table below shows the exact sample size used in every band and K138's positive or negative edge against each rival.</x:v>
      </x:c>
    </x:row>
    <x:row r="14">
      <x:c r="A14" t="str">
        <x:v>Top 5 average</x:v>
      </x:c>
      <x:c r="B14" s="228" t="n">
        <x:v>6.052</x:v>
      </x:c>
      <x:c r="C14" s="228" t="n">
        <x:v>6.7219999999999995</x:v>
      </x:c>
      <x:c r="D14" s="228" t="n">
        <x:v>7.343999999999999</x:v>
      </x:c>
      <x:c r="E14" s="228" t="n">
        <x:v>6.034000000000001</x:v>
      </x:c>
      <x:c r="F14" s="228" t="n">
        <x:v>6.382000000000001</x:v>
      </x:c>
      <x:c r="G14" s="228" t="n">
        <x:v>7.426</x:v>
      </x:c>
      <x:c r="H14" s="228" t="n">
        <x:v>7.672</x:v>
      </x:c>
      <x:c r="I14" s="228" t="n">
        <x:v>5.988</x:v>
      </x:c>
      <x:c r="J14" s="220" t="str">
        <x:v>Archer Attack Blessing focus
Best-player leader: Tie. All-player depth leader: K54. The detailed table below shows the exact sample size used in every band and K138's positive or negative edge against each rival.</x:v>
      </x:c>
      <x:c r="K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L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M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N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O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P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Q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R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S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T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U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V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W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X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Y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Z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AA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AB14" s="221" t="str">
        <x:v>Archer Attack Blessing focus
Best-player leader: Tie. All-player depth leader: K54. The detailed table below shows the exact sample size used in every band and K138's positive or negative edge against each rival.</x:v>
      </x:c>
      <x:c r="AC14" s="222" t="str">
        <x:v>Archer Attack Blessing focus
Best-player leader: Tie. All-player depth leader: K54. The detailed table below shows the exact sample size used in every band and K138's positive or negative edge against each rival.</x:v>
      </x:c>
    </x:row>
    <x:row r="15">
      <x:c r="A15" t="str">
        <x:v>Top 15 average</x:v>
      </x:c>
      <x:c r="B15" s="228" t="n">
        <x:v>5.404</x:v>
      </x:c>
      <x:c r="C15" s="228" t="n">
        <x:v>5.1706666666666665</x:v>
      </x:c>
      <x:c r="D15" s="228" t="n">
        <x:v>5.158666666666665</x:v>
      </x:c>
      <x:c r="E15" s="228" t="n">
        <x:v>4.946000000000001</x:v>
      </x:c>
      <x:c r="F15" s="228" t="n">
        <x:v>5.453333333333334</x:v>
      </x:c>
      <x:c r="G15" s="228" t="n">
        <x:v>5.258181818181819</x:v>
      </x:c>
      <x:c r="H15" s="228" t="n">
        <x:v>5.506666666666666</x:v>
      </x:c>
      <x:c r="I15" s="228" t="n">
        <x:v>4.748666666666667</x:v>
      </x:c>
      <x:c r="J15" s="220" t="str">
        <x:v>Archer Attack Blessing focus
Best-player leader: Tie. All-player depth leader: K54. The detailed table below shows the exact sample size used in every band and K138's positive or negative edge against each rival.</x:v>
      </x:c>
      <x:c r="K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L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M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N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O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P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Q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R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S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T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U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V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W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X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Y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Z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AA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AB15" s="221" t="str">
        <x:v>Archer Attack Blessing focus
Best-player leader: Tie. All-player depth leader: K54. The detailed table below shows the exact sample size used in every band and K138's positive or negative edge against each rival.</x:v>
      </x:c>
      <x:c r="AC15" s="222" t="str">
        <x:v>Archer Attack Blessing focus
Best-player leader: Tie. All-player depth leader: K54. The detailed table below shows the exact sample size used in every band and K138's positive or negative edge against each rival.</x:v>
      </x:c>
    </x:row>
    <x:row r="16">
      <x:c r="A16" t="str">
        <x:v>All players mean</x:v>
      </x:c>
      <x:c r="B16" s="228" t="n">
        <x:v>4.868400000000001</x:v>
      </x:c>
      <x:c r="C16" s="228" t="n">
        <x:v>4.632</x:v>
      </x:c>
      <x:c r="D16" s="228" t="n">
        <x:v>4.222749999999999</x:v>
      </x:c>
      <x:c r="E16" s="228" t="n">
        <x:v>4.100370370370371</x:v>
      </x:c>
      <x:c r="F16" s="228" t="n">
        <x:v>4.605652173913044</x:v>
      </x:c>
      <x:c r="G16" s="228" t="n">
        <x:v>5.258181818181819</x:v>
      </x:c>
      <x:c r="H16" s="228" t="n">
        <x:v>4.6594736842105275</x:v>
      </x:c>
      <x:c r="I16" s="228" t="n">
        <x:v>3.8872727272727277</x:v>
      </x:c>
      <x:c r="J16" s="223" t="str">
        <x:v>Archer Attack Blessing focus
Best-player leader: Tie. All-player depth leader: K54. The detailed table below shows the exact sample size used in every band and K138's positive or negative edge against each rival.</x:v>
      </x:c>
      <x:c r="K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L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M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N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O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P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Q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R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S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T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U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V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W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X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Y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Z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AA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AB16" s="224" t="str">
        <x:v>Archer Attack Blessing focus
Best-player leader: Tie. All-player depth leader: K54. The detailed table below shows the exact sample size used in every band and K138's positive or negative edge against each rival.</x:v>
      </x:c>
      <x:c r="AC16" s="225" t="str">
        <x:v>Archer Attack Blessing focus
Best-player leader: Tie. All-player depth leader: K54. The detailed table below shows the exact sample size used in every band and K138's positive or negative edge against each rival.</x:v>
      </x:c>
    </x:row>
    <x:row r="36" ht="30" customHeight="1">
      <x:c r="A36" s="42" t="str">
        <x:v>Category</x:v>
      </x:c>
      <x:c r="B36" s="42" t="str">
        <x:v>Metric</x:v>
      </x:c>
      <x:c r="C36" s="42" t="str">
        <x:v>Better</x:v>
      </x:c>
      <x:c r="D36" s="42" t="str">
        <x:v>Strength Band</x:v>
      </x:c>
      <x:c r="E36" s="42" t="str">
        <x:v>K60 Value</x:v>
      </x:c>
      <x:c r="F36" s="42" t="str">
        <x:v>K60 n</x:v>
      </x:c>
      <x:c r="G36" s="42" t="str">
        <x:v>K91 Value</x:v>
      </x:c>
      <x:c r="H36" s="42" t="str">
        <x:v>K91 n</x:v>
      </x:c>
      <x:c r="I36" s="42" t="str">
        <x:v>K116 Value</x:v>
      </x:c>
      <x:c r="J36" s="42" t="str">
        <x:v>K116 n</x:v>
      </x:c>
      <x:c r="K36" s="42" t="str">
        <x:v>K138 Value</x:v>
      </x:c>
      <x:c r="L36" s="42" t="str">
        <x:v>K138 n</x:v>
      </x:c>
      <x:c r="M36" s="42" t="str">
        <x:v>K170 Value</x:v>
      </x:c>
      <x:c r="N36" s="42" t="str">
        <x:v>K170 n</x:v>
      </x:c>
      <x:c r="O36" s="42" t="str">
        <x:v>K54 Value</x:v>
      </x:c>
      <x:c r="P36" s="42" t="str">
        <x:v>K54 n</x:v>
      </x:c>
      <x:c r="Q36" s="42" t="str">
        <x:v>K197 Value</x:v>
      </x:c>
      <x:c r="R36" s="42" t="str">
        <x:v>K197 n</x:v>
      </x:c>
      <x:c r="S36" s="42" t="str">
        <x:v>K176 Value</x:v>
      </x:c>
      <x:c r="T36" s="42" t="str">
        <x:v>K176 n</x:v>
      </x:c>
      <x:c r="U36" s="42" t="str">
        <x:v>Leader</x:v>
      </x:c>
      <x:c r="V36" s="42" t="str">
        <x:v>K138 Edge vs K60</x:v>
      </x:c>
      <x:c r="W36" s="42" t="str">
        <x:v>K138 Edge vs K91</x:v>
      </x:c>
      <x:c r="X36" s="42" t="str">
        <x:v>K138 Edge vs K116</x:v>
      </x:c>
      <x:c r="Y36" s="42" t="str">
        <x:v>K138 Edge vs K170</x:v>
      </x:c>
      <x:c r="Z36" s="42" t="str">
        <x:v>K138 Edge vs K54</x:v>
      </x:c>
      <x:c r="AA36" s="42" t="str">
        <x:v>K138 Edge vs K197</x:v>
      </x:c>
      <x:c r="AB36" s="42" t="str">
        <x:v>K138 Edge vs K176</x:v>
      </x:c>
      <x:c r="AC36" s="42" t="str">
        <x:v>Coverage</x:v>
      </x:c>
    </x:row>
    <x:row r="37" ht="18" customHeight="1">
      <x:c r="A37" s="43" t="str">
        <x:v>General</x:v>
      </x:c>
      <x:c r="B37" s="43" t="str">
        <x:v>Troop Attack</x:v>
      </x:c>
      <x:c r="C37" s="43" t="str">
        <x:v>Higher</x:v>
      </x:c>
      <x:c r="D37" s="43" t="str">
        <x:v>Best player</x:v>
      </x:c>
      <x:c r="E37" s="44" t="n">
        <x:v>4.356</x:v>
      </x:c>
      <x:c r="F37" s="43" t="n">
        <x:v>1</x:v>
      </x:c>
      <x:c r="G37" s="44" t="n">
        <x:v>4.541</x:v>
      </x:c>
      <x:c r="H37" s="43" t="n">
        <x:v>1</x:v>
      </x:c>
      <x:c r="I37" s="44" t="n">
        <x:v>4.891</x:v>
      </x:c>
      <x:c r="J37" s="43" t="n">
        <x:v>1</x:v>
      </x:c>
      <x:c r="K37" s="44" t="n">
        <x:v>4.1785</x:v>
      </x:c>
      <x:c r="L37" s="43" t="n">
        <x:v>1</x:v>
      </x:c>
      <x:c r="M37" s="44" t="n">
        <x:v>3.9871</x:v>
      </x:c>
      <x:c r="N37" s="43" t="n">
        <x:v>1</x:v>
      </x:c>
      <x:c r="O37" s="44" t="n">
        <x:v>5.125900000000001</x:v>
      </x:c>
      <x:c r="P37" s="43" t="n">
        <x:v>1</x:v>
      </x:c>
      <x:c r="Q37" s="44" t="n">
        <x:v>5.141</x:v>
      </x:c>
      <x:c r="R37" s="43" t="n">
        <x:v>1</x:v>
      </x:c>
      <x:c r="S37" s="44" t="n">
        <x:v>4.5396</x:v>
      </x:c>
      <x:c r="T37" s="43" t="n">
        <x:v>1</x:v>
      </x:c>
      <x:c r="U37" s="43" t="str">
        <x:v>K197</x:v>
      </x:c>
      <x:c r="V37" s="44" t="n">
        <x:v>-0.1775000000000002</x:v>
      </x:c>
      <x:c r="W37" s="44" t="n">
        <x:v>-0.3625000000000007</x:v>
      </x:c>
      <x:c r="X37" s="44" t="n">
        <x:v>-0.7125000000000004</x:v>
      </x:c>
      <x:c r="Y37" s="44" t="n">
        <x:v>0.1913999999999998</x:v>
      </x:c>
      <x:c r="Z37" s="44" t="n">
        <x:v>-0.9474000000000009</x:v>
      </x:c>
      <x:c r="AA37" s="44" t="n">
        <x:v>-0.9625000000000004</x:v>
      </x:c>
      <x:c r="AB37" s="44" t="n">
        <x:v>-0.3611000000000004</x:v>
      </x:c>
      <x:c r="AC37" s="43" t="str">
        <x:v>Full</x:v>
      </x:c>
    </x:row>
    <x:row r="38" ht="18" customHeight="1">
      <x:c r="A38" s="43" t="str">
        <x:v>General</x:v>
      </x:c>
      <x:c r="B38" s="43" t="str">
        <x:v>Troop Attack</x:v>
      </x:c>
      <x:c r="C38" s="43" t="str">
        <x:v>Higher</x:v>
      </x:c>
      <x:c r="D38" s="43" t="str">
        <x:v>Top 5 average</x:v>
      </x:c>
      <x:c r="E38" s="44" t="n">
        <x:v>4.120659999999999</x:v>
      </x:c>
      <x:c r="F38" s="43" t="n">
        <x:v>5</x:v>
      </x:c>
      <x:c r="G38" s="44" t="n">
        <x:v>3.87466</x:v>
      </x:c>
      <x:c r="H38" s="43" t="n">
        <x:v>5</x:v>
      </x:c>
      <x:c r="I38" s="44" t="n">
        <x:v>4.0925</x:v>
      </x:c>
      <x:c r="J38" s="43" t="n">
        <x:v>5</x:v>
      </x:c>
      <x:c r="K38" s="44" t="n">
        <x:v>3.8106999999999998</x:v>
      </x:c>
      <x:c r="L38" s="43" t="n">
        <x:v>5</x:v>
      </x:c>
      <x:c r="M38" s="44" t="n">
        <x:v>3.7064399999999997</x:v>
      </x:c>
      <x:c r="N38" s="43" t="n">
        <x:v>5</x:v>
      </x:c>
      <x:c r="O38" s="44" t="n">
        <x:v>4.5034</x:v>
      </x:c>
      <x:c r="P38" s="43" t="n">
        <x:v>5</x:v>
      </x:c>
      <x:c r="Q38" s="44" t="n">
        <x:v>4.05044</x:v>
      </x:c>
      <x:c r="R38" s="43" t="n">
        <x:v>5</x:v>
      </x:c>
      <x:c r="S38" s="44" t="n">
        <x:v>4.07922</x:v>
      </x:c>
      <x:c r="T38" s="43" t="n">
        <x:v>5</x:v>
      </x:c>
      <x:c r="U38" s="43" t="str">
        <x:v>K54</x:v>
      </x:c>
      <x:c r="V38" s="44" t="n">
        <x:v>-0.30995999999999935</x:v>
      </x:c>
      <x:c r="W38" s="44" t="n">
        <x:v>-0.06396000000000024</x:v>
      </x:c>
      <x:c r="X38" s="44" t="n">
        <x:v>-0.2818000000000005</x:v>
      </x:c>
      <x:c r="Y38" s="44" t="n">
        <x:v>0.10426000000000002</x:v>
      </x:c>
      <x:c r="Z38" s="44" t="n">
        <x:v>-0.6927000000000003</x:v>
      </x:c>
      <x:c r="AA38" s="44" t="n">
        <x:v>-0.2397400000000003</x:v>
      </x:c>
      <x:c r="AB38" s="44" t="n">
        <x:v>-0.26852000000000054</x:v>
      </x:c>
      <x:c r="AC38" s="43" t="str">
        <x:v>Full</x:v>
      </x:c>
    </x:row>
    <x:row r="39" ht="18" customHeight="1">
      <x:c r="A39" s="43" t="str">
        <x:v>General</x:v>
      </x:c>
      <x:c r="B39" s="43" t="str">
        <x:v>Troop Attack</x:v>
      </x:c>
      <x:c r="C39" s="43" t="str">
        <x:v>Higher</x:v>
      </x:c>
      <x:c r="D39" s="43" t="str">
        <x:v>Top 15 average</x:v>
      </x:c>
      <x:c r="E39" s="44" t="n">
        <x:v>3.5822933333333333</x:v>
      </x:c>
      <x:c r="F39" s="43" t="n">
        <x:v>15</x:v>
      </x:c>
      <x:c r="G39" s="44" t="n">
        <x:v>3.5931400000000004</x:v>
      </x:c>
      <x:c r="H39" s="43" t="n">
        <x:v>15</x:v>
      </x:c>
      <x:c r="I39" s="44" t="n">
        <x:v>3.5266466666666663</x:v>
      </x:c>
      <x:c r="J39" s="43" t="n">
        <x:v>15</x:v>
      </x:c>
      <x:c r="K39" s="44" t="n">
        <x:v>3.4186400000000003</x:v>
      </x:c>
      <x:c r="L39" s="43" t="n">
        <x:v>15</x:v>
      </x:c>
      <x:c r="M39" s="44" t="n">
        <x:v>3.40242</x:v>
      </x:c>
      <x:c r="N39" s="43" t="n">
        <x:v>15</x:v>
      </x:c>
      <x:c r="O39" s="44" t="n">
        <x:v>3.8506727272727272</x:v>
      </x:c>
      <x:c r="P39" s="43" t="n">
        <x:v>11</x:v>
      </x:c>
      <x:c r="Q39" s="44" t="n">
        <x:v>3.5953266666666663</x:v>
      </x:c>
      <x:c r="R39" s="43" t="n">
        <x:v>15</x:v>
      </x:c>
      <x:c r="S39" s="44" t="n">
        <x:v>3.6002400000000003</x:v>
      </x:c>
      <x:c r="T39" s="43" t="n">
        <x:v>15</x:v>
      </x:c>
      <x:c r="U39" s="43" t="str">
        <x:v>K54</x:v>
      </x:c>
      <x:c r="V39" s="44" t="n">
        <x:v>-0.16365333333333298</x:v>
      </x:c>
      <x:c r="W39" s="44" t="n">
        <x:v>-0.1745000000000001</x:v>
      </x:c>
      <x:c r="X39" s="44" t="n">
        <x:v>-0.10800666666666592</x:v>
      </x:c>
      <x:c r="Y39" s="44" t="n">
        <x:v>0.016220000000000123</x:v>
      </x:c>
      <x:c r="Z39" s="44" t="n">
        <x:v>-0.4320327272727269</x:v>
      </x:c>
      <x:c r="AA39" s="44" t="n">
        <x:v>-0.176686666666666</x:v>
      </x:c>
      <x:c r="AB39" s="44" t="n">
        <x:v>-0.18159999999999998</x:v>
      </x:c>
      <x:c r="AC39" s="43" t="str">
        <x:v>Full</x:v>
      </x:c>
    </x:row>
    <x:row r="40" ht="18" customHeight="1">
      <x:c r="A40" s="43" t="str">
        <x:v>General</x:v>
      </x:c>
      <x:c r="B40" s="43" t="str">
        <x:v>Troop Attack</x:v>
      </x:c>
      <x:c r="C40" s="43" t="str">
        <x:v>Higher</x:v>
      </x:c>
      <x:c r="D40" s="43" t="str">
        <x:v>All players mean</x:v>
      </x:c>
      <x:c r="E40" s="44" t="n">
        <x:v>3.313276</x:v>
      </x:c>
      <x:c r="F40" s="43" t="n">
        <x:v>25</x:v>
      </x:c>
      <x:c r="G40" s="44" t="n">
        <x:v>3.4259700000000004</x:v>
      </x:c>
      <x:c r="H40" s="43" t="n">
        <x:v>20</x:v>
      </x:c>
      <x:c r="I40" s="44" t="n">
        <x:v>3.24224</x:v>
      </x:c>
      <x:c r="J40" s="43" t="n">
        <x:v>20</x:v>
      </x:c>
      <x:c r="K40" s="44" t="n">
        <x:v>3.167496296296296</x:v>
      </x:c>
      <x:c r="L40" s="43" t="n">
        <x:v>27</x:v>
      </x:c>
      <x:c r="M40" s="44" t="n">
        <x:v>3.2381217391304347</x:v>
      </x:c>
      <x:c r="N40" s="43" t="n">
        <x:v>23</x:v>
      </x:c>
      <x:c r="O40" s="44" t="n">
        <x:v>3.8506727272727272</x:v>
      </x:c>
      <x:c r="P40" s="43" t="n">
        <x:v>11</x:v>
      </x:c>
      <x:c r="Q40" s="44" t="n">
        <x:v>3.426636842105263</x:v>
      </x:c>
      <x:c r="R40" s="43" t="n">
        <x:v>19</x:v>
      </x:c>
      <x:c r="S40" s="44" t="n">
        <x:v>3.3607090909090904</x:v>
      </x:c>
      <x:c r="T40" s="43" t="n">
        <x:v>22</x:v>
      </x:c>
      <x:c r="U40" s="43" t="str">
        <x:v>K54</x:v>
      </x:c>
      <x:c r="V40" s="44" t="n">
        <x:v>-0.1457797037037043</x:v>
      </x:c>
      <x:c r="W40" s="44" t="n">
        <x:v>-0.2584737037037046</x:v>
      </x:c>
      <x:c r="X40" s="44" t="n">
        <x:v>-0.07474370370370398</x:v>
      </x:c>
      <x:c r="Y40" s="44" t="n">
        <x:v>-0.07062544283413885</x:v>
      </x:c>
      <x:c r="Z40" s="44" t="n">
        <x:v>-0.6831764309764314</x:v>
      </x:c>
      <x:c r="AA40" s="44" t="n">
        <x:v>-0.2591405458089673</x:v>
      </x:c>
      <x:c r="AB40" s="44" t="n">
        <x:v>-0.1932127946127946</x:v>
      </x:c>
      <x:c r="AC40" s="43" t="str">
        <x:v>Full</x:v>
      </x:c>
    </x:row>
    <x:row r="41" ht="18" customHeight="1">
      <x:c r="A41" s="43" t="str">
        <x:v>General</x:v>
      </x:c>
      <x:c r="B41" s="43" t="str">
        <x:v>Troop Health</x:v>
      </x:c>
      <x:c r="C41" s="43" t="str">
        <x:v>Higher</x:v>
      </x:c>
      <x:c r="D41" s="43" t="str">
        <x:v>Best player</x:v>
      </x:c>
      <x:c r="E41" s="44" t="n">
        <x:v>3.3735</x:v>
      </x:c>
      <x:c r="F41" s="43" t="n">
        <x:v>1</x:v>
      </x:c>
      <x:c r="G41" s="44" t="n">
        <x:v>4.141</x:v>
      </x:c>
      <x:c r="H41" s="43" t="n">
        <x:v>1</x:v>
      </x:c>
      <x:c r="I41" s="44" t="n">
        <x:v>4.061</x:v>
      </x:c>
      <x:c r="J41" s="43" t="n">
        <x:v>1</x:v>
      </x:c>
      <x:c r="K41" s="44" t="n">
        <x:v>3.3235</x:v>
      </x:c>
      <x:c r="L41" s="43" t="n">
        <x:v>1</x:v>
      </x:c>
      <x:c r="M41" s="44" t="n">
        <x:v>3.2485</x:v>
      </x:c>
      <x:c r="N41" s="43" t="n">
        <x:v>1</x:v>
      </x:c>
      <x:c r="O41" s="44" t="n">
        <x:v>4.5259</x:v>
      </x:c>
      <x:c r="P41" s="43" t="n">
        <x:v>1</x:v>
      </x:c>
      <x:c r="Q41" s="44" t="n">
        <x:v>4.941</x:v>
      </x:c>
      <x:c r="R41" s="43" t="n">
        <x:v>1</x:v>
      </x:c>
      <x:c r="S41" s="44" t="n">
        <x:v>4.0185</x:v>
      </x:c>
      <x:c r="T41" s="43" t="n">
        <x:v>1</x:v>
      </x:c>
      <x:c r="U41" s="43" t="str">
        <x:v>K197</x:v>
      </x:c>
      <x:c r="V41" s="44" t="n">
        <x:v>-0.04999999999999982</x:v>
      </x:c>
      <x:c r="W41" s="44" t="n">
        <x:v>-0.8174999999999999</x:v>
      </x:c>
      <x:c r="X41" s="44" t="n">
        <x:v>-0.7374999999999998</x:v>
      </x:c>
      <x:c r="Y41" s="44" t="n">
        <x:v>0.07500000000000018</x:v>
      </x:c>
      <x:c r="Z41" s="44" t="n">
        <x:v>-1.2024</x:v>
      </x:c>
      <x:c r="AA41" s="44" t="n">
        <x:v>-1.6174999999999997</x:v>
      </x:c>
      <x:c r="AB41" s="44" t="n">
        <x:v>-0.6950000000000003</x:v>
      </x:c>
      <x:c r="AC41" s="43" t="str">
        <x:v>Full</x:v>
      </x:c>
    </x:row>
    <x:row r="42" ht="18" customHeight="1">
      <x:c r="A42" s="43" t="str">
        <x:v>General</x:v>
      </x:c>
      <x:c r="B42" s="43" t="str">
        <x:v>Troop Health</x:v>
      </x:c>
      <x:c r="C42" s="43" t="str">
        <x:v>Higher</x:v>
      </x:c>
      <x:c r="D42" s="43" t="str">
        <x:v>Top 5 average</x:v>
      </x:c>
      <x:c r="E42" s="44" t="n">
        <x:v>3.097</x:v>
      </x:c>
      <x:c r="F42" s="43" t="n">
        <x:v>5</x:v>
      </x:c>
      <x:c r="G42" s="44" t="n">
        <x:v>3.1835000000000004</x:v>
      </x:c>
      <x:c r="H42" s="43" t="n">
        <x:v>5</x:v>
      </x:c>
      <x:c r="I42" s="44" t="n">
        <x:v>3.6085000000000003</x:v>
      </x:c>
      <x:c r="J42" s="43" t="n">
        <x:v>5</x:v>
      </x:c>
      <x:c r="K42" s="44" t="n">
        <x:v>3.1659800000000002</x:v>
      </x:c>
      <x:c r="L42" s="43" t="n">
        <x:v>5</x:v>
      </x:c>
      <x:c r="M42" s="44" t="n">
        <x:v>3.0635000000000003</x:v>
      </x:c>
      <x:c r="N42" s="43" t="n">
        <x:v>5</x:v>
      </x:c>
      <x:c r="O42" s="44" t="n">
        <x:v>4.0684</x:v>
      </x:c>
      <x:c r="P42" s="43" t="n">
        <x:v>5</x:v>
      </x:c>
      <x:c r="Q42" s="44" t="n">
        <x:v>3.5755000000000003</x:v>
      </x:c>
      <x:c r="R42" s="43" t="n">
        <x:v>5</x:v>
      </x:c>
      <x:c r="S42" s="44" t="n">
        <x:v>3.6405000000000003</x:v>
      </x:c>
      <x:c r="T42" s="43" t="n">
        <x:v>5</x:v>
      </x:c>
      <x:c r="U42" s="43" t="str">
        <x:v>K54</x:v>
      </x:c>
      <x:c r="V42" s="44" t="n">
        <x:v>0.06898000000000026</x:v>
      </x:c>
      <x:c r="W42" s="44" t="n">
        <x:v>-0.017520000000000202</x:v>
      </x:c>
      <x:c r="X42" s="44" t="n">
        <x:v>-0.44252</x:v>
      </x:c>
      <x:c r="Y42" s="44" t="n">
        <x:v>0.1024799999999999</x:v>
      </x:c>
      <x:c r="Z42" s="44" t="n">
        <x:v>-0.9024199999999993</x:v>
      </x:c>
      <x:c r="AA42" s="44" t="n">
        <x:v>-0.4095200000000001</x:v>
      </x:c>
      <x:c r="AB42" s="44" t="n">
        <x:v>-0.47452000000000005</x:v>
      </x:c>
      <x:c r="AC42" s="43" t="str">
        <x:v>Full</x:v>
      </x:c>
    </x:row>
    <x:row r="43" ht="18" customHeight="1">
      <x:c r="A43" s="43" t="str">
        <x:v>General</x:v>
      </x:c>
      <x:c r="B43" s="43" t="str">
        <x:v>Troop Health</x:v>
      </x:c>
      <x:c r="C43" s="43" t="str">
        <x:v>Higher</x:v>
      </x:c>
      <x:c r="D43" s="43" t="str">
        <x:v>Top 15 average</x:v>
      </x:c>
      <x:c r="E43" s="44" t="n">
        <x:v>2.8801666666666668</x:v>
      </x:c>
      <x:c r="F43" s="43" t="n">
        <x:v>15</x:v>
      </x:c>
      <x:c r="G43" s="44" t="n">
        <x:v>2.7468333333333335</x:v>
      </x:c>
      <x:c r="H43" s="43" t="n">
        <x:v>15</x:v>
      </x:c>
      <x:c r="I43" s="44" t="n">
        <x:v>3.0361666666666665</x:v>
      </x:c>
      <x:c r="J43" s="43" t="n">
        <x:v>15</x:v>
      </x:c>
      <x:c r="K43" s="44" t="n">
        <x:v>2.8469933333333333</x:v>
      </x:c>
      <x:c r="L43" s="43" t="n">
        <x:v>15</x:v>
      </x:c>
      <x:c r="M43" s="44" t="n">
        <x:v>2.808033333333333</x:v>
      </x:c>
      <x:c r="N43" s="43" t="n">
        <x:v>15</x:v>
      </x:c>
      <x:c r="O43" s="44" t="n">
        <x:v>3.3261272727272724</x:v>
      </x:c>
      <x:c r="P43" s="43" t="n">
        <x:v>11</x:v>
      </x:c>
      <x:c r="Q43" s="44" t="n">
        <x:v>2.829566666666666</x:v>
      </x:c>
      <x:c r="R43" s="43" t="n">
        <x:v>15</x:v>
      </x:c>
      <x:c r="S43" s="44" t="n">
        <x:v>3.1248333333333336</x:v>
      </x:c>
      <x:c r="T43" s="43" t="n">
        <x:v>15</x:v>
      </x:c>
      <x:c r="U43" s="43" t="str">
        <x:v>K54</x:v>
      </x:c>
      <x:c r="V43" s="44" t="n">
        <x:v>-0.0331733333333335</x:v>
      </x:c>
      <x:c r="W43" s="44" t="n">
        <x:v>0.1001599999999998</x:v>
      </x:c>
      <x:c r="X43" s="44" t="n">
        <x:v>-0.1891733333333332</x:v>
      </x:c>
      <x:c r="Y43" s="44" t="n">
        <x:v>0.03896000000000033</x:v>
      </x:c>
      <x:c r="Z43" s="44" t="n">
        <x:v>-0.4791339393939391</x:v>
      </x:c>
      <x:c r="AA43" s="44" t="n">
        <x:v>0.017426666666667145</x:v>
      </x:c>
      <x:c r="AB43" s="44" t="n">
        <x:v>-0.2778400000000003</x:v>
      </x:c>
      <x:c r="AC43" s="43" t="str">
        <x:v>Full</x:v>
      </x:c>
    </x:row>
    <x:row r="44" ht="18" customHeight="1">
      <x:c r="A44" s="43" t="str">
        <x:v>General</x:v>
      </x:c>
      <x:c r="B44" s="43" t="str">
        <x:v>Troop Health</x:v>
      </x:c>
      <x:c r="C44" s="43" t="str">
        <x:v>Higher</x:v>
      </x:c>
      <x:c r="D44" s="43" t="str">
        <x:v>All players mean</x:v>
      </x:c>
      <x:c r="E44" s="44" t="n">
        <x:v>2.7179</x:v>
      </x:c>
      <x:c r="F44" s="43" t="n">
        <x:v>25</x:v>
      </x:c>
      <x:c r="G44" s="44" t="n">
        <x:v>2.6130749999999994</x:v>
      </x:c>
      <x:c r="H44" s="43" t="n">
        <x:v>20</x:v>
      </x:c>
      <x:c r="I44" s="44" t="n">
        <x:v>2.784375</x:v>
      </x:c>
      <x:c r="J44" s="43" t="n">
        <x:v>20</x:v>
      </x:c>
      <x:c r="K44" s="44" t="n">
        <x:v>2.5933296296296287</x:v>
      </x:c>
      <x:c r="L44" s="43" t="n">
        <x:v>27</x:v>
      </x:c>
      <x:c r="M44" s="44" t="n">
        <x:v>2.6440217391304346</x:v>
      </x:c>
      <x:c r="N44" s="43" t="n">
        <x:v>23</x:v>
      </x:c>
      <x:c r="O44" s="44" t="n">
        <x:v>3.3261272727272724</x:v>
      </x:c>
      <x:c r="P44" s="43" t="n">
        <x:v>11</x:v>
      </x:c>
      <x:c r="Q44" s="44" t="n">
        <x:v>2.675394736842105</x:v>
      </x:c>
      <x:c r="R44" s="43" t="n">
        <x:v>19</x:v>
      </x:c>
      <x:c r="S44" s="44" t="n">
        <x:v>2.9067954545454544</x:v>
      </x:c>
      <x:c r="T44" s="43" t="n">
        <x:v>22</x:v>
      </x:c>
      <x:c r="U44" s="43" t="str">
        <x:v>K54</x:v>
      </x:c>
      <x:c r="V44" s="44" t="n">
        <x:v>-0.12457037037037155</x:v>
      </x:c>
      <x:c r="W44" s="44" t="n">
        <x:v>-0.01974537037037072</x:v>
      </x:c>
      <x:c r="X44" s="44" t="n">
        <x:v>-0.19104537037037117</x:v>
      </x:c>
      <x:c r="Y44" s="44" t="n">
        <x:v>-0.05069210950080594</x:v>
      </x:c>
      <x:c r="Z44" s="44" t="n">
        <x:v>-0.7327976430976437</x:v>
      </x:c>
      <x:c r="AA44" s="44" t="n">
        <x:v>-0.08206510721247628</x:v>
      </x:c>
      <x:c r="AB44" s="44" t="n">
        <x:v>-0.31346582491582575</x:v>
      </x:c>
      <x:c r="AC44" s="43" t="str">
        <x:v>Full</x:v>
      </x:c>
    </x:row>
    <x:row r="45" ht="18" customHeight="1">
      <x:c r="A45" s="43" t="str">
        <x:v>General</x:v>
      </x:c>
      <x:c r="B45" s="43" t="str">
        <x:v>Troop Defense</x:v>
      </x:c>
      <x:c r="C45" s="43" t="str">
        <x:v>Higher</x:v>
      </x:c>
      <x:c r="D45" s="43" t="str">
        <x:v>Best player</x:v>
      </x:c>
      <x:c r="E45" s="44" t="n">
        <x:v>4.191</x:v>
      </x:c>
      <x:c r="F45" s="43" t="n">
        <x:v>1</x:v>
      </x:c>
      <x:c r="G45" s="44" t="n">
        <x:v>4.2410000000000005</x:v>
      </x:c>
      <x:c r="H45" s="43" t="n">
        <x:v>1</x:v>
      </x:c>
      <x:c r="I45" s="44" t="n">
        <x:v>4.3285</x:v>
      </x:c>
      <x:c r="J45" s="43" t="n">
        <x:v>1</x:v>
      </x:c>
      <x:c r="K45" s="44" t="n">
        <x:v>3.5334</x:v>
      </x:c>
      <x:c r="L45" s="43" t="n">
        <x:v>1</x:v>
      </x:c>
      <x:c r="M45" s="44" t="n">
        <x:v>3.8085</x:v>
      </x:c>
      <x:c r="N45" s="43" t="n">
        <x:v>1</x:v>
      </x:c>
      <x:c r="O45" s="44" t="n">
        <x:v>5.0759</x:v>
      </x:c>
      <x:c r="P45" s="43" t="n">
        <x:v>1</x:v>
      </x:c>
      <x:c r="Q45" s="44" t="n">
        <x:v>5.141</x:v>
      </x:c>
      <x:c r="R45" s="43" t="n">
        <x:v>1</x:v>
      </x:c>
      <x:c r="S45" s="44" t="n">
        <x:v>4.5285</x:v>
      </x:c>
      <x:c r="T45" s="43" t="n">
        <x:v>1</x:v>
      </x:c>
      <x:c r="U45" s="43" t="str">
        <x:v>K197</x:v>
      </x:c>
      <x:c r="V45" s="44" t="n">
        <x:v>-0.6576</x:v>
      </x:c>
      <x:c r="W45" s="44" t="n">
        <x:v>-0.7076000000000007</x:v>
      </x:c>
      <x:c r="X45" s="44" t="n">
        <x:v>-0.7951000000000001</x:v>
      </x:c>
      <x:c r="Y45" s="44" t="n">
        <x:v>-0.2751000000000001</x:v>
      </x:c>
      <x:c r="Z45" s="44" t="n">
        <x:v>-1.5425</x:v>
      </x:c>
      <x:c r="AA45" s="44" t="n">
        <x:v>-1.6076000000000001</x:v>
      </x:c>
      <x:c r="AB45" s="44" t="n">
        <x:v>-0.9951000000000003</x:v>
      </x:c>
      <x:c r="AC45" s="43" t="str">
        <x:v>Full</x:v>
      </x:c>
    </x:row>
    <x:row r="46" ht="18" customHeight="1">
      <x:c r="A46" s="43" t="str">
        <x:v>General</x:v>
      </x:c>
      <x:c r="B46" s="43" t="str">
        <x:v>Troop Defense</x:v>
      </x:c>
      <x:c r="C46" s="43" t="str">
        <x:v>Higher</x:v>
      </x:c>
      <x:c r="D46" s="43" t="str">
        <x:v>Top 5 average</x:v>
      </x:c>
      <x:c r="E46" s="44" t="n">
        <x:v>3.5215000000000005</x:v>
      </x:c>
      <x:c r="F46" s="43" t="n">
        <x:v>5</x:v>
      </x:c>
      <x:c r="G46" s="44" t="n">
        <x:v>3.5295</x:v>
      </x:c>
      <x:c r="H46" s="43" t="n">
        <x:v>5</x:v>
      </x:c>
      <x:c r="I46" s="44" t="n">
        <x:v>3.91</x:v>
      </x:c>
      <x:c r="J46" s="43" t="n">
        <x:v>5</x:v>
      </x:c>
      <x:c r="K46" s="44" t="n">
        <x:v>3.35298</x:v>
      </x:c>
      <x:c r="L46" s="43" t="n">
        <x:v>5</x:v>
      </x:c>
      <x:c r="M46" s="44" t="n">
        <x:v>3.493</x:v>
      </x:c>
      <x:c r="N46" s="43" t="n">
        <x:v>5</x:v>
      </x:c>
      <x:c r="O46" s="44" t="n">
        <x:v>4.2009</x:v>
      </x:c>
      <x:c r="P46" s="43" t="n">
        <x:v>5</x:v>
      </x:c>
      <x:c r="Q46" s="44" t="n">
        <x:v>3.7515</x:v>
      </x:c>
      <x:c r="R46" s="43" t="n">
        <x:v>5</x:v>
      </x:c>
      <x:c r="S46" s="44" t="n">
        <x:v>4.009500000000001</x:v>
      </x:c>
      <x:c r="T46" s="43" t="n">
        <x:v>5</x:v>
      </x:c>
      <x:c r="U46" s="43" t="str">
        <x:v>K54</x:v>
      </x:c>
      <x:c r="V46" s="44" t="n">
        <x:v>-0.16852000000000045</x:v>
      </x:c>
      <x:c r="W46" s="44" t="n">
        <x:v>-0.17652</x:v>
      </x:c>
      <x:c r="X46" s="44" t="n">
        <x:v>-0.5570200000000001</x:v>
      </x:c>
      <x:c r="Y46" s="44" t="n">
        <x:v>-0.1400199999999998</x:v>
      </x:c>
      <x:c r="Z46" s="44" t="n">
        <x:v>-0.8479199999999998</x:v>
      </x:c>
      <x:c r="AA46" s="44" t="n">
        <x:v>-0.39852</x:v>
      </x:c>
      <x:c r="AB46" s="44" t="n">
        <x:v>-0.6565200000000009</x:v>
      </x:c>
      <x:c r="AC46" s="43" t="str">
        <x:v>Full</x:v>
      </x:c>
    </x:row>
    <x:row r="47" ht="18" customHeight="1">
      <x:c r="A47" s="43" t="str">
        <x:v>General</x:v>
      </x:c>
      <x:c r="B47" s="43" t="str">
        <x:v>Troop Defense</x:v>
      </x:c>
      <x:c r="C47" s="43" t="str">
        <x:v>Higher</x:v>
      </x:c>
      <x:c r="D47" s="43" t="str">
        <x:v>Top 15 average</x:v>
      </x:c>
      <x:c r="E47" s="44" t="n">
        <x:v>3.1893333333333342</x:v>
      </x:c>
      <x:c r="F47" s="43" t="n">
        <x:v>15</x:v>
      </x:c>
      <x:c r="G47" s="44" t="n">
        <x:v>3.046166666666667</x:v>
      </x:c>
      <x:c r="H47" s="43" t="n">
        <x:v>15</x:v>
      </x:c>
      <x:c r="I47" s="44" t="n">
        <x:v>3.3271666666666664</x:v>
      </x:c>
      <x:c r="J47" s="43" t="n">
        <x:v>15</x:v>
      </x:c>
      <x:c r="K47" s="44" t="n">
        <x:v>3.1271599999999995</x:v>
      </x:c>
      <x:c r="L47" s="43" t="n">
        <x:v>15</x:v>
      </x:c>
      <x:c r="M47" s="44" t="n">
        <x:v>3.127033333333332</x:v>
      </x:c>
      <x:c r="N47" s="43" t="n">
        <x:v>15</x:v>
      </x:c>
      <x:c r="O47" s="44" t="n">
        <x:v>3.6156727272727265</x:v>
      </x:c>
      <x:c r="P47" s="43" t="n">
        <x:v>11</x:v>
      </x:c>
      <x:c r="Q47" s="44" t="n">
        <x:v>3.1611666666666665</x:v>
      </x:c>
      <x:c r="R47" s="43" t="n">
        <x:v>15</x:v>
      </x:c>
      <x:c r="S47" s="44" t="n">
        <x:v>3.4331666666666663</x:v>
      </x:c>
      <x:c r="T47" s="43" t="n">
        <x:v>15</x:v>
      </x:c>
      <x:c r="U47" s="43" t="str">
        <x:v>K54</x:v>
      </x:c>
      <x:c r="V47" s="44" t="n">
        <x:v>-0.062173333333334746</x:v>
      </x:c>
      <x:c r="W47" s="44" t="n">
        <x:v>0.08099333333333236</x:v>
      </x:c>
      <x:c r="X47" s="44" t="n">
        <x:v>-0.2000066666666669</x:v>
      </x:c>
      <x:c r="Y47" s="44" t="n">
        <x:v>0.00012666666666749649</x:v>
      </x:c>
      <x:c r="Z47" s="44" t="n">
        <x:v>-0.488512727272727</x:v>
      </x:c>
      <x:c r="AA47" s="44" t="n">
        <x:v>-0.03400666666666696</x:v>
      </x:c>
      <x:c r="AB47" s="44" t="n">
        <x:v>-0.30600666666666676</x:v>
      </x:c>
      <x:c r="AC47" s="43" t="str">
        <x:v>Full</x:v>
      </x:c>
    </x:row>
    <x:row r="48" ht="18" customHeight="1">
      <x:c r="A48" s="43" t="str">
        <x:v>General</x:v>
      </x:c>
      <x:c r="B48" s="43" t="str">
        <x:v>Troop Defense</x:v>
      </x:c>
      <x:c r="C48" s="43" t="str">
        <x:v>Higher</x:v>
      </x:c>
      <x:c r="D48" s="43" t="str">
        <x:v>All players mean</x:v>
      </x:c>
      <x:c r="E48" s="44" t="n">
        <x:v>3.016900000000001</x:v>
      </x:c>
      <x:c r="F48" s="43" t="n">
        <x:v>25</x:v>
      </x:c>
      <x:c r="G48" s="44" t="n">
        <x:v>2.9098250000000005</x:v>
      </x:c>
      <x:c r="H48" s="43" t="n">
        <x:v>20</x:v>
      </x:c>
      <x:c r="I48" s="44" t="n">
        <x:v>3.081875</x:v>
      </x:c>
      <x:c r="J48" s="43" t="n">
        <x:v>20</x:v>
      </x:c>
      <x:c r="K48" s="44" t="n">
        <x:v>2.883514814814814</x:v>
      </x:c>
      <x:c r="L48" s="43" t="n">
        <x:v>27</x:v>
      </x:c>
      <x:c r="M48" s="44" t="n">
        <x:v>2.941847826086955</x:v>
      </x:c>
      <x:c r="N48" s="43" t="n">
        <x:v>23</x:v>
      </x:c>
      <x:c r="O48" s="44" t="n">
        <x:v>3.6156727272727265</x:v>
      </x:c>
      <x:c r="P48" s="43" t="n">
        <x:v>11</x:v>
      </x:c>
      <x:c r="Q48" s="44" t="n">
        <x:v>2.9934999999999996</x:v>
      </x:c>
      <x:c r="R48" s="43" t="n">
        <x:v>19</x:v>
      </x:c>
      <x:c r="S48" s="44" t="n">
        <x:v>3.2217954545454544</x:v>
      </x:c>
      <x:c r="T48" s="43" t="n">
        <x:v>22</x:v>
      </x:c>
      <x:c r="U48" s="43" t="str">
        <x:v>K54</x:v>
      </x:c>
      <x:c r="V48" s="44" t="n">
        <x:v>-0.13338518518518683</x:v>
      </x:c>
      <x:c r="W48" s="44" t="n">
        <x:v>-0.026310185185186352</x:v>
      </x:c>
      <x:c r="X48" s="44" t="n">
        <x:v>-0.19836018518518594</x:v>
      </x:c>
      <x:c r="Y48" s="44" t="n">
        <x:v>-0.058333011272140745</x:v>
      </x:c>
      <x:c r="Z48" s="44" t="n">
        <x:v>-0.7321579124579123</x:v>
      </x:c>
      <x:c r="AA48" s="44" t="n">
        <x:v>-0.10998518518518541</x:v>
      </x:c>
      <x:c r="AB48" s="44" t="n">
        <x:v>-0.33828063973064015</x:v>
      </x:c>
      <x:c r="AC48" s="43" t="str">
        <x:v>Full</x:v>
      </x:c>
    </x:row>
    <x:row r="49" ht="18" customHeight="1">
      <x:c r="A49" s="43" t="str">
        <x:v>General</x:v>
      </x:c>
      <x:c r="B49" s="43" t="str">
        <x:v>Troop Damage</x:v>
      </x:c>
      <x:c r="C49" s="43" t="str">
        <x:v>Higher</x:v>
      </x:c>
      <x:c r="D49" s="43" t="str">
        <x:v>Best player</x:v>
      </x:c>
      <x:c r="E49" s="44" t="n">
        <x:v>0.475</x:v>
      </x:c>
      <x:c r="F49" s="43" t="n">
        <x:v>1</x:v>
      </x:c>
      <x:c r="G49" s="44" t="n">
        <x:v>0.475</x:v>
      </x:c>
      <x:c r="H49" s="43" t="n">
        <x:v>1</x:v>
      </x:c>
      <x:c r="I49" s="44" t="n">
        <x:v>0.475</x:v>
      </x:c>
      <x:c r="J49" s="43" t="n">
        <x:v>1</x:v>
      </x:c>
      <x:c r="K49" s="44" t="n">
        <x:v>0.4375</x:v>
      </x:c>
      <x:c r="L49" s="43" t="n">
        <x:v>1</x:v>
      </x:c>
      <x:c r="M49" s="44" t="n">
        <x:v>0.4375</x:v>
      </x:c>
      <x:c r="N49" s="43" t="n">
        <x:v>1</x:v>
      </x:c>
      <x:c r="O49" s="44" t="n">
        <x:v>0.475</x:v>
      </x:c>
      <x:c r="P49" s="43" t="n">
        <x:v>1</x:v>
      </x:c>
      <x:c r="Q49" s="44" t="n">
        <x:v>0.475</x:v>
      </x:c>
      <x:c r="R49" s="43" t="n">
        <x:v>1</x:v>
      </x:c>
      <x:c r="S49" s="44" t="n">
        <x:v>0.4375</x:v>
      </x:c>
      <x:c r="T49" s="43" t="n">
        <x:v>1</x:v>
      </x:c>
      <x:c r="U49" s="43" t="str">
        <x:v>Tie</x:v>
      </x:c>
      <x:c r="V49" s="44" t="n">
        <x:v>-0.03749999999999998</x:v>
      </x:c>
      <x:c r="W49" s="44" t="n">
        <x:v>-0.03749999999999998</x:v>
      </x:c>
      <x:c r="X49" s="44" t="n">
        <x:v>-0.03749999999999998</x:v>
      </x:c>
      <x:c r="Y49" s="44" t="n">
        <x:v>0</x:v>
      </x:c>
      <x:c r="Z49" s="44" t="n">
        <x:v>-0.03749999999999998</x:v>
      </x:c>
      <x:c r="AA49" s="44" t="n">
        <x:v>-0.03749999999999998</x:v>
      </x:c>
      <x:c r="AB49" s="44" t="n">
        <x:v>0</x:v>
      </x:c>
      <x:c r="AC49" s="43" t="str">
        <x:v>Full</x:v>
      </x:c>
    </x:row>
    <x:row r="50" ht="18" customHeight="1">
      <x:c r="A50" s="43" t="str">
        <x:v>General</x:v>
      </x:c>
      <x:c r="B50" s="43" t="str">
        <x:v>Troop Damage</x:v>
      </x:c>
      <x:c r="C50" s="43" t="str">
        <x:v>Higher</x:v>
      </x:c>
      <x:c r="D50" s="43" t="str">
        <x:v>Top 5 average</x:v>
      </x:c>
      <x:c r="E50" s="44" t="n">
        <x:v>0.445</x:v>
      </x:c>
      <x:c r="F50" s="43" t="n">
        <x:v>5</x:v>
      </x:c>
      <x:c r="G50" s="44" t="n">
        <x:v>0.43600000000000005</x:v>
      </x:c>
      <x:c r="H50" s="43" t="n">
        <x:v>5</x:v>
      </x:c>
      <x:c r="I50" s="44" t="n">
        <x:v>0.4405</x:v>
      </x:c>
      <x:c r="J50" s="43" t="n">
        <x:v>5</x:v>
      </x:c>
      <x:c r="K50" s="44" t="n">
        <x:v>0.4375</x:v>
      </x:c>
      <x:c r="L50" s="43" t="n">
        <x:v>5</x:v>
      </x:c>
      <x:c r="M50" s="44" t="n">
        <x:v>0.4375</x:v>
      </x:c>
      <x:c r="N50" s="43" t="n">
        <x:v>5</x:v>
      </x:c>
      <x:c r="O50" s="44" t="n">
        <x:v>0.45999999999999996</x:v>
      </x:c>
      <x:c r="P50" s="43" t="n">
        <x:v>5</x:v>
      </x:c>
      <x:c r="Q50" s="44" t="n">
        <x:v>0.445</x:v>
      </x:c>
      <x:c r="R50" s="43" t="n">
        <x:v>5</x:v>
      </x:c>
      <x:c r="S50" s="44" t="n">
        <x:v>0.4375</x:v>
      </x:c>
      <x:c r="T50" s="43" t="n">
        <x:v>5</x:v>
      </x:c>
      <x:c r="U50" s="43" t="str">
        <x:v>K54</x:v>
      </x:c>
      <x:c r="V50" s="44" t="n">
        <x:v>-0.007500000000000007</x:v>
      </x:c>
      <x:c r="W50" s="44" t="n">
        <x:v>0.0014999999999999458</x:v>
      </x:c>
      <x:c r="X50" s="44" t="n">
        <x:v>-0.0030000000000000027</x:v>
      </x:c>
      <x:c r="Y50" s="44" t="n">
        <x:v>0</x:v>
      </x:c>
      <x:c r="Z50" s="44" t="n">
        <x:v>-0.022499999999999964</x:v>
      </x:c>
      <x:c r="AA50" s="44" t="n">
        <x:v>-0.007500000000000007</x:v>
      </x:c>
      <x:c r="AB50" s="44" t="n">
        <x:v>0</x:v>
      </x:c>
      <x:c r="AC50" s="43" t="str">
        <x:v>Full</x:v>
      </x:c>
    </x:row>
    <x:row r="51" ht="18" customHeight="1">
      <x:c r="A51" s="43" t="str">
        <x:v>General</x:v>
      </x:c>
      <x:c r="B51" s="43" t="str">
        <x:v>Troop Damage</x:v>
      </x:c>
      <x:c r="C51" s="43" t="str">
        <x:v>Higher</x:v>
      </x:c>
      <x:c r="D51" s="43" t="str">
        <x:v>Top 15 average</x:v>
      </x:c>
      <x:c r="E51" s="44" t="n">
        <x:v>0.44</x:v>
      </x:c>
      <x:c r="F51" s="43" t="n">
        <x:v>15</x:v>
      </x:c>
      <x:c r="G51" s="44" t="n">
        <x:v>0.422</x:v>
      </x:c>
      <x:c r="H51" s="43" t="n">
        <x:v>15</x:v>
      </x:c>
      <x:c r="I51" s="44" t="n">
        <x:v>0.42250000000000004</x:v>
      </x:c>
      <x:c r="J51" s="43" t="n">
        <x:v>15</x:v>
      </x:c>
      <x:c r="K51" s="44" t="n">
        <x:v>0.4315</x:v>
      </x:c>
      <x:c r="L51" s="43" t="n">
        <x:v>15</x:v>
      </x:c>
      <x:c r="M51" s="44" t="n">
        <x:v>0.4345</x:v>
      </x:c>
      <x:c r="N51" s="43" t="n">
        <x:v>15</x:v>
      </x:c>
      <x:c r="O51" s="44" t="n">
        <x:v>0.43318181818181817</x:v>
      </x:c>
      <x:c r="P51" s="43" t="n">
        <x:v>11</x:v>
      </x:c>
      <x:c r="Q51" s="44" t="n">
        <x:v>0.431</x:v>
      </x:c>
      <x:c r="R51" s="43" t="n">
        <x:v>15</x:v>
      </x:c>
      <x:c r="S51" s="44" t="n">
        <x:v>0.42150000000000004</x:v>
      </x:c>
      <x:c r="T51" s="43" t="n">
        <x:v>15</x:v>
      </x:c>
      <x:c r="U51" s="43" t="str">
        <x:v>K60</x:v>
      </x:c>
      <x:c r="V51" s="44" t="n">
        <x:v>-0.008500000000000008</x:v>
      </x:c>
      <x:c r="W51" s="44" t="n">
        <x:v>0.009500000000000008</x:v>
      </x:c>
      <x:c r="X51" s="44" t="n">
        <x:v>0.008999999999999952</x:v>
      </x:c>
      <x:c r="Y51" s="44" t="n">
        <x:v>-0.0030000000000000027</x:v>
      </x:c>
      <x:c r="Z51" s="44" t="n">
        <x:v>-0.0016818181818181732</x:v>
      </x:c>
      <x:c r="AA51" s="44" t="n">
        <x:v>0.0005000000000000004</x:v>
      </x:c>
      <x:c r="AB51" s="44" t="n">
        <x:v>0.009999999999999953</x:v>
      </x:c>
      <x:c r="AC51" s="43" t="str">
        <x:v>Full</x:v>
      </x:c>
    </x:row>
    <x:row r="52" ht="18" customHeight="1">
      <x:c r="A52" s="43" t="str">
        <x:v>General</x:v>
      </x:c>
      <x:c r="B52" s="43" t="str">
        <x:v>Troop Damage</x:v>
      </x:c>
      <x:c r="C52" s="43" t="str">
        <x:v>Higher</x:v>
      </x:c>
      <x:c r="D52" s="43" t="str">
        <x:v>All players mean</x:v>
      </x:c>
      <x:c r="E52" s="44" t="n">
        <x:v>0.4308999999999997</x:v>
      </x:c>
      <x:c r="F52" s="43" t="n">
        <x:v>25</x:v>
      </x:c>
      <x:c r="G52" s="44" t="n">
        <x:v>0.4160000000000001</x:v>
      </x:c>
      <x:c r="H52" s="43" t="n">
        <x:v>20</x:v>
      </x:c>
      <x:c r="I52" s="44" t="n">
        <x:v>0.393625</x:v>
      </x:c>
      <x:c r="J52" s="43" t="n">
        <x:v>20</x:v>
      </x:c>
      <x:c r="K52" s="44" t="n">
        <x:v>0.4221296296296295</x:v>
      </x:c>
      <x:c r="L52" s="43" t="n">
        <x:v>27</x:v>
      </x:c>
      <x:c r="M52" s="44" t="n">
        <x:v>0.42706521739130426</x:v>
      </x:c>
      <x:c r="N52" s="43" t="n">
        <x:v>23</x:v>
      </x:c>
      <x:c r="O52" s="44" t="n">
        <x:v>0.43318181818181817</x:v>
      </x:c>
      <x:c r="P52" s="43" t="n">
        <x:v>11</x:v>
      </x:c>
      <x:c r="Q52" s="44" t="n">
        <x:v>0.42394736842105263</x:v>
      </x:c>
      <x:c r="R52" s="43" t="n">
        <x:v>19</x:v>
      </x:c>
      <x:c r="S52" s="44" t="n">
        <x:v>0.4130681818181819</x:v>
      </x:c>
      <x:c r="T52" s="43" t="n">
        <x:v>22</x:v>
      </x:c>
      <x:c r="U52" s="43" t="str">
        <x:v>K54</x:v>
      </x:c>
      <x:c r="V52" s="44" t="n">
        <x:v>-0.008770370370370206</x:v>
      </x:c>
      <x:c r="W52" s="44" t="n">
        <x:v>0.0061296296296294295</x:v>
      </x:c>
      <x:c r="X52" s="44" t="n">
        <x:v>0.02850462962962952</x:v>
      </x:c>
      <x:c r="Y52" s="44" t="n">
        <x:v>-0.004935587761674742</x:v>
      </x:c>
      <x:c r="Z52" s="44" t="n">
        <x:v>-0.011052188552188646</x:v>
      </x:c>
      <x:c r="AA52" s="44" t="n">
        <x:v>-0.001817738791423107</x:v>
      </x:c>
      <x:c r="AB52" s="44" t="n">
        <x:v>0.009061447811447632</x:v>
      </x:c>
      <x:c r="AC52" s="43" t="str">
        <x:v>Full</x:v>
      </x:c>
    </x:row>
    <x:row r="53" ht="18" customHeight="1">
      <x:c r="A53" s="43" t="str">
        <x:v>General</x:v>
      </x:c>
      <x:c r="B53" s="43" t="str">
        <x:v>Troop Damage Received</x:v>
      </x:c>
      <x:c r="C53" s="43" t="str">
        <x:v>Lower</x:v>
      </x:c>
      <x:c r="D53" s="43" t="str">
        <x:v>Best player</x:v>
      </x:c>
      <x:c r="E53" s="44" t="n">
        <x:v>-0.475</x:v>
      </x:c>
      <x:c r="F53" s="43" t="n">
        <x:v>1</x:v>
      </x:c>
      <x:c r="G53" s="44" t="n">
        <x:v>-0.475</x:v>
      </x:c>
      <x:c r="H53" s="43" t="n">
        <x:v>1</x:v>
      </x:c>
      <x:c r="I53" s="44" t="n">
        <x:v>-0.4375</x:v>
      </x:c>
      <x:c r="J53" s="43" t="n">
        <x:v>1</x:v>
      </x:c>
      <x:c r="K53" s="44" t="n">
        <x:v>-0.4375</x:v>
      </x:c>
      <x:c r="L53" s="43" t="n">
        <x:v>1</x:v>
      </x:c>
      <x:c r="M53" s="44" t="n">
        <x:v>-0.4375</x:v>
      </x:c>
      <x:c r="N53" s="43" t="n">
        <x:v>1</x:v>
      </x:c>
      <x:c r="O53" s="44" t="n">
        <x:v>-0.475</x:v>
      </x:c>
      <x:c r="P53" s="43" t="n">
        <x:v>1</x:v>
      </x:c>
      <x:c r="Q53" s="44" t="n">
        <x:v>-0.475</x:v>
      </x:c>
      <x:c r="R53" s="43" t="n">
        <x:v>1</x:v>
      </x:c>
      <x:c r="S53" s="44" t="n">
        <x:v>-0.4375</x:v>
      </x:c>
      <x:c r="T53" s="43" t="n">
        <x:v>1</x:v>
      </x:c>
      <x:c r="U53" s="43" t="str">
        <x:v>Tie</x:v>
      </x:c>
      <x:c r="V53" s="44" t="n">
        <x:v>0.03749999999999998</x:v>
      </x:c>
      <x:c r="W53" s="44" t="n">
        <x:v>0.03749999999999998</x:v>
      </x:c>
      <x:c r="X53" s="44" t="n">
        <x:v>0</x:v>
      </x:c>
      <x:c r="Y53" s="44" t="n">
        <x:v>0</x:v>
      </x:c>
      <x:c r="Z53" s="44" t="n">
        <x:v>0.03749999999999998</x:v>
      </x:c>
      <x:c r="AA53" s="44" t="n">
        <x:v>0.03749999999999998</x:v>
      </x:c>
      <x:c r="AB53" s="44" t="n">
        <x:v>0</x:v>
      </x:c>
      <x:c r="AC53" s="43" t="str">
        <x:v>Full</x:v>
      </x:c>
    </x:row>
    <x:row r="54" ht="18" customHeight="1">
      <x:c r="A54" s="43" t="str">
        <x:v>General</x:v>
      </x:c>
      <x:c r="B54" s="43" t="str">
        <x:v>Troop Damage Received</x:v>
      </x:c>
      <x:c r="C54" s="43" t="str">
        <x:v>Lower</x:v>
      </x:c>
      <x:c r="D54" s="43" t="str">
        <x:v>Top 5 average</x:v>
      </x:c>
      <x:c r="E54" s="44" t="n">
        <x:v>-0.45999999999999996</x:v>
      </x:c>
      <x:c r="F54" s="43" t="n">
        <x:v>5</x:v>
      </x:c>
      <x:c r="G54" s="44" t="n">
        <x:v>-0.44349999999999995</x:v>
      </x:c>
      <x:c r="H54" s="43" t="n">
        <x:v>5</x:v>
      </x:c>
      <x:c r="I54" s="44" t="n">
        <x:v>-0.4285</x:v>
      </x:c>
      <x:c r="J54" s="43" t="n">
        <x:v>5</x:v>
      </x:c>
      <x:c r="K54" s="44" t="n">
        <x:v>-0.4375</x:v>
      </x:c>
      <x:c r="L54" s="43" t="n">
        <x:v>5</x:v>
      </x:c>
      <x:c r="M54" s="44" t="n">
        <x:v>-0.4375</x:v>
      </x:c>
      <x:c r="N54" s="43" t="n">
        <x:v>5</x:v>
      </x:c>
      <x:c r="O54" s="44" t="n">
        <x:v>-0.45999999999999996</x:v>
      </x:c>
      <x:c r="P54" s="43" t="n">
        <x:v>5</x:v>
      </x:c>
      <x:c r="Q54" s="44" t="n">
        <x:v>-0.4525</x:v>
      </x:c>
      <x:c r="R54" s="43" t="n">
        <x:v>5</x:v>
      </x:c>
      <x:c r="S54" s="44" t="n">
        <x:v>-0.4285</x:v>
      </x:c>
      <x:c r="T54" s="43" t="n">
        <x:v>5</x:v>
      </x:c>
      <x:c r="U54" s="43" t="str">
        <x:v>Tie</x:v>
      </x:c>
      <x:c r="V54" s="44" t="n">
        <x:v>0.022499999999999964</x:v>
      </x:c>
      <x:c r="W54" s="44" t="n">
        <x:v>0.00599999999999995</x:v>
      </x:c>
      <x:c r="X54" s="44" t="n">
        <x:v>-0.009000000000000008</x:v>
      </x:c>
      <x:c r="Y54" s="44" t="n">
        <x:v>0</x:v>
      </x:c>
      <x:c r="Z54" s="44" t="n">
        <x:v>0.022499999999999964</x:v>
      </x:c>
      <x:c r="AA54" s="44" t="n">
        <x:v>0.015000000000000013</x:v>
      </x:c>
      <x:c r="AB54" s="44" t="n">
        <x:v>-0.009000000000000008</x:v>
      </x:c>
      <x:c r="AC54" s="43" t="str">
        <x:v>Full</x:v>
      </x:c>
    </x:row>
    <x:row r="55" ht="18" customHeight="1">
      <x:c r="A55" s="43" t="str">
        <x:v>General</x:v>
      </x:c>
      <x:c r="B55" s="43" t="str">
        <x:v>Troop Damage Received</x:v>
      </x:c>
      <x:c r="C55" s="43" t="str">
        <x:v>Lower</x:v>
      </x:c>
      <x:c r="D55" s="43" t="str">
        <x:v>Top 15 average</x:v>
      </x:c>
      <x:c r="E55" s="44" t="n">
        <x:v>-0.43</x:v>
      </x:c>
      <x:c r="F55" s="43" t="n">
        <x:v>15</x:v>
      </x:c>
      <x:c r="G55" s="44" t="n">
        <x:v>-0.42050000000000004</x:v>
      </x:c>
      <x:c r="H55" s="43" t="n">
        <x:v>15</x:v>
      </x:c>
      <x:c r="I55" s="44" t="n">
        <x:v>-0.4175000000000001</x:v>
      </x:c>
      <x:c r="J55" s="43" t="n">
        <x:v>15</x:v>
      </x:c>
      <x:c r="K55" s="44" t="n">
        <x:v>-0.42250000000000004</x:v>
      </x:c>
      <x:c r="L55" s="43" t="n">
        <x:v>15</x:v>
      </x:c>
      <x:c r="M55" s="44" t="n">
        <x:v>-0.42400000000000004</x:v>
      </x:c>
      <x:c r="N55" s="43" t="n">
        <x:v>15</x:v>
      </x:c>
      <x:c r="O55" s="44" t="n">
        <x:v>-0.4304545454545454</x:v>
      </x:c>
      <x:c r="P55" s="43" t="n">
        <x:v>11</x:v>
      </x:c>
      <x:c r="Q55" s="44" t="n">
        <x:v>-0.4255000000000001</x:v>
      </x:c>
      <x:c r="R55" s="43" t="n">
        <x:v>15</x:v>
      </x:c>
      <x:c r="S55" s="44" t="n">
        <x:v>-0.41850000000000004</x:v>
      </x:c>
      <x:c r="T55" s="43" t="n">
        <x:v>15</x:v>
      </x:c>
      <x:c r="U55" s="43" t="str">
        <x:v>K54</x:v>
      </x:c>
      <x:c r="V55" s="44" t="n">
        <x:v>0.007499999999999951</x:v>
      </x:c>
      <x:c r="W55" s="44" t="n">
        <x:v>-0.0020000000000000018</x:v>
      </x:c>
      <x:c r="X55" s="44" t="n">
        <x:v>-0.004999999999999949</x:v>
      </x:c>
      <x:c r="Y55" s="44" t="n">
        <x:v>0.0015000000000000013</x:v>
      </x:c>
      <x:c r="Z55" s="44" t="n">
        <x:v>0.00795454545454538</x:v>
      </x:c>
      <x:c r="AA55" s="44" t="n">
        <x:v>0.003000000000000058</x:v>
      </x:c>
      <x:c r="AB55" s="44" t="n">
        <x:v>-0.0040000000000000036</x:v>
      </x:c>
      <x:c r="AC55" s="43" t="str">
        <x:v>Full</x:v>
      </x:c>
    </x:row>
    <x:row r="56" ht="18" customHeight="1">
      <x:c r="A56" s="43" t="str">
        <x:v>General</x:v>
      </x:c>
      <x:c r="B56" s="43" t="str">
        <x:v>Troop Damage Received</x:v>
      </x:c>
      <x:c r="C56" s="43" t="str">
        <x:v>Lower</x:v>
      </x:c>
      <x:c r="D56" s="43" t="str">
        <x:v>All players mean</x:v>
      </x:c>
      <x:c r="E56" s="44" t="n">
        <x:v>-0.4223999999999999</x:v>
      </x:c>
      <x:c r="F56" s="43" t="n">
        <x:v>25</x:v>
      </x:c>
      <x:c r="G56" s="44" t="n">
        <x:v>-0.412875</x:v>
      </x:c>
      <x:c r="H56" s="43" t="n">
        <x:v>20</x:v>
      </x:c>
      <x:c r="I56" s="44" t="n">
        <x:v>-0.40925</x:v>
      </x:c>
      <x:c r="J56" s="43" t="n">
        <x:v>20</x:v>
      </x:c>
      <x:c r="K56" s="44" t="n">
        <x:v>-0.40157407407407414</x:v>
      </x:c>
      <x:c r="L56" s="43" t="n">
        <x:v>27</x:v>
      </x:c>
      <x:c r="M56" s="44" t="n">
        <x:v>-0.36630434782608706</x:v>
      </x:c>
      <x:c r="N56" s="43" t="n">
        <x:v>23</x:v>
      </x:c>
      <x:c r="O56" s="44" t="n">
        <x:v>-0.4304545454545454</x:v>
      </x:c>
      <x:c r="P56" s="43" t="n">
        <x:v>11</x:v>
      </x:c>
      <x:c r="Q56" s="44" t="n">
        <x:v>-0.40368421052631587</x:v>
      </x:c>
      <x:c r="R56" s="43" t="n">
        <x:v>19</x:v>
      </x:c>
      <x:c r="S56" s="44" t="n">
        <x:v>-0.4098863636363637</x:v>
      </x:c>
      <x:c r="T56" s="43" t="n">
        <x:v>22</x:v>
      </x:c>
      <x:c r="U56" s="43" t="str">
        <x:v>K54</x:v>
      </x:c>
      <x:c r="V56" s="44" t="n">
        <x:v>0.020825925925925748</x:v>
      </x:c>
      <x:c r="W56" s="44" t="n">
        <x:v>0.011300925925925853</x:v>
      </x:c>
      <x:c r="X56" s="44" t="n">
        <x:v>0.007675925925925864</x:v>
      </x:c>
      <x:c r="Y56" s="44" t="n">
        <x:v>-0.03526972624798708</x:v>
      </x:c>
      <x:c r="Z56" s="44" t="n">
        <x:v>0.028880471380471284</x:v>
      </x:c>
      <x:c r="AA56" s="44" t="n">
        <x:v>0.0021101364522417287</x:v>
      </x:c>
      <x:c r="AB56" s="44" t="n">
        <x:v>0.008312289562289576</x:v>
      </x:c>
      <x:c r="AC56" s="43" t="str">
        <x:v>Full</x:v>
      </x:c>
    </x:row>
    <x:row r="57" ht="18" customHeight="1">
      <x:c r="A57" s="43" t="str">
        <x:v>General</x:v>
      </x:c>
      <x:c r="B57" s="43" t="str">
        <x:v>Troop Attack Blessing</x:v>
      </x:c>
      <x:c r="C57" s="43" t="str">
        <x:v>Higher</x:v>
      </x:c>
      <x:c r="D57" s="43" t="str">
        <x:v>Best player</x:v>
      </x:c>
      <x:c r="E57" s="44" t="n">
        <x:v>6</x:v>
      </x:c>
      <x:c r="F57" s="43" t="n">
        <x:v>1</x:v>
      </x:c>
      <x:c r="G57" s="44" t="n">
        <x:v>6.01</x:v>
      </x:c>
      <x:c r="H57" s="43" t="n">
        <x:v>1</x:v>
      </x:c>
      <x:c r="I57" s="44" t="n">
        <x:v>6.01</x:v>
      </x:c>
      <x:c r="J57" s="43" t="n">
        <x:v>1</x:v>
      </x:c>
      <x:c r="K57" s="44" t="n">
        <x:v>6</x:v>
      </x:c>
      <x:c r="L57" s="43" t="n">
        <x:v>1</x:v>
      </x:c>
      <x:c r="M57" s="44" t="n">
        <x:v>6</x:v>
      </x:c>
      <x:c r="N57" s="43" t="n">
        <x:v>1</x:v>
      </x:c>
      <x:c r="O57" s="44" t="n">
        <x:v>6</x:v>
      </x:c>
      <x:c r="P57" s="43" t="n">
        <x:v>1</x:v>
      </x:c>
      <x:c r="Q57" s="44" t="n">
        <x:v>6.01</x:v>
      </x:c>
      <x:c r="R57" s="43" t="n">
        <x:v>1</x:v>
      </x:c>
      <x:c r="S57" s="44" t="n">
        <x:v>6</x:v>
      </x:c>
      <x:c r="T57" s="43" t="n">
        <x:v>1</x:v>
      </x:c>
      <x:c r="U57" s="43" t="str">
        <x:v>Tie</x:v>
      </x:c>
      <x:c r="V57" s="44" t="n">
        <x:v>0</x:v>
      </x:c>
      <x:c r="W57" s="44" t="n">
        <x:v>-0.009999999999999787</x:v>
      </x:c>
      <x:c r="X57" s="44" t="n">
        <x:v>-0.009999999999999787</x:v>
      </x:c>
      <x:c r="Y57" s="44" t="n">
        <x:v>0</x:v>
      </x:c>
      <x:c r="Z57" s="44" t="n">
        <x:v>0</x:v>
      </x:c>
      <x:c r="AA57" s="44" t="n">
        <x:v>-0.009999999999999787</x:v>
      </x:c>
      <x:c r="AB57" s="44" t="n">
        <x:v>0</x:v>
      </x:c>
      <x:c r="AC57" s="43" t="str">
        <x:v>Full</x:v>
      </x:c>
    </x:row>
    <x:row r="58" ht="18" customHeight="1">
      <x:c r="A58" s="43" t="str">
        <x:v>General</x:v>
      </x:c>
      <x:c r="B58" s="43" t="str">
        <x:v>Troop Attack Blessing</x:v>
      </x:c>
      <x:c r="C58" s="43" t="str">
        <x:v>Higher</x:v>
      </x:c>
      <x:c r="D58" s="43" t="str">
        <x:v>Top 5 average</x:v>
      </x:c>
      <x:c r="E58" s="44" t="n">
        <x:v>6</x:v>
      </x:c>
      <x:c r="F58" s="43" t="n">
        <x:v>5</x:v>
      </x:c>
      <x:c r="G58" s="44" t="n">
        <x:v>6.002</x:v>
      </x:c>
      <x:c r="H58" s="43" t="n">
        <x:v>5</x:v>
      </x:c>
      <x:c r="I58" s="44" t="n">
        <x:v>6.002</x:v>
      </x:c>
      <x:c r="J58" s="43" t="n">
        <x:v>5</x:v>
      </x:c>
      <x:c r="K58" s="44" t="n">
        <x:v>6</x:v>
      </x:c>
      <x:c r="L58" s="43" t="n">
        <x:v>5</x:v>
      </x:c>
      <x:c r="M58" s="44" t="n">
        <x:v>5.61648</x:v>
      </x:c>
      <x:c r="N58" s="43" t="n">
        <x:v>5</x:v>
      </x:c>
      <x:c r="O58" s="44" t="n">
        <x:v>6</x:v>
      </x:c>
      <x:c r="P58" s="43" t="n">
        <x:v>5</x:v>
      </x:c>
      <x:c r="Q58" s="44" t="n">
        <x:v>6.004</x:v>
      </x:c>
      <x:c r="R58" s="43" t="n">
        <x:v>5</x:v>
      </x:c>
      <x:c r="S58" s="44" t="n">
        <x:v>5.7612</x:v>
      </x:c>
      <x:c r="T58" s="43" t="n">
        <x:v>5</x:v>
      </x:c>
      <x:c r="U58" s="43" t="str">
        <x:v>K197</x:v>
      </x:c>
      <x:c r="V58" s="44" t="n">
        <x:v>0</x:v>
      </x:c>
      <x:c r="W58" s="44" t="n">
        <x:v>-0.0019999999999997797</x:v>
      </x:c>
      <x:c r="X58" s="44" t="n">
        <x:v>-0.0019999999999997797</x:v>
      </x:c>
      <x:c r="Y58" s="44" t="n">
        <x:v>0.38351999999999986</x:v>
      </x:c>
      <x:c r="Z58" s="44" t="n">
        <x:v>0</x:v>
      </x:c>
      <x:c r="AA58" s="44" t="n">
        <x:v>-0.0039999999999995595</x:v>
      </x:c>
      <x:c r="AB58" s="44" t="n">
        <x:v>0.23880000000000035</x:v>
      </x:c>
      <x:c r="AC58" s="43" t="str">
        <x:v>Full</x:v>
      </x:c>
    </x:row>
    <x:row r="59" ht="18" customHeight="1">
      <x:c r="A59" s="43" t="str">
        <x:v>General</x:v>
      </x:c>
      <x:c r="B59" s="43" t="str">
        <x:v>Troop Attack Blessing</x:v>
      </x:c>
      <x:c r="C59" s="43" t="str">
        <x:v>Higher</x:v>
      </x:c>
      <x:c r="D59" s="43" t="str">
        <x:v>Top 15 average</x:v>
      </x:c>
      <x:c r="E59" s="44" t="n">
        <x:v>5.859680000000001</x:v>
      </x:c>
      <x:c r="F59" s="43" t="n">
        <x:v>15</x:v>
      </x:c>
      <x:c r="G59" s="44" t="n">
        <x:v>5.42616</x:v>
      </x:c>
      <x:c r="H59" s="43" t="n">
        <x:v>15</x:v>
      </x:c>
      <x:c r="I59" s="44" t="n">
        <x:v>5.002173333333333</x:v>
      </x:c>
      <x:c r="J59" s="43" t="n">
        <x:v>15</x:v>
      </x:c>
      <x:c r="K59" s="44" t="n">
        <x:v>5.242853333333333</x:v>
      </x:c>
      <x:c r="L59" s="43" t="n">
        <x:v>15</x:v>
      </x:c>
      <x:c r="M59" s="44" t="n">
        <x:v>4.925693333333333</x:v>
      </x:c>
      <x:c r="N59" s="43" t="n">
        <x:v>15</x:v>
      </x:c>
      <x:c r="O59" s="44" t="n">
        <x:v>5.307927272727273</x:v>
      </x:c>
      <x:c r="P59" s="43" t="n">
        <x:v>11</x:v>
      </x:c>
      <x:c r="Q59" s="44" t="n">
        <x:v>5.51992</x:v>
      </x:c>
      <x:c r="R59" s="43" t="n">
        <x:v>15</x:v>
      </x:c>
      <x:c r="S59" s="44" t="n">
        <x:v>5.000146666666666</x:v>
      </x:c>
      <x:c r="T59" s="43" t="n">
        <x:v>15</x:v>
      </x:c>
      <x:c r="U59" s="43" t="str">
        <x:v>K60</x:v>
      </x:c>
      <x:c r="V59" s="44" t="n">
        <x:v>-0.6168266666666682</x:v>
      </x:c>
      <x:c r="W59" s="44" t="n">
        <x:v>-0.18330666666666762</x:v>
      </x:c>
      <x:c r="X59" s="44" t="n">
        <x:v>0.24067999999999934</x:v>
      </x:c>
      <x:c r="Y59" s="44" t="n">
        <x:v>0.31715999999999944</x:v>
      </x:c>
      <x:c r="Z59" s="44" t="n">
        <x:v>-0.06507393939394035</x:v>
      </x:c>
      <x:c r="AA59" s="44" t="n">
        <x:v>-0.27706666666666724</x:v>
      </x:c>
      <x:c r="AB59" s="44" t="n">
        <x:v>0.24270666666666685</x:v>
      </x:c>
      <x:c r="AC59" s="43" t="str">
        <x:v>Full</x:v>
      </x:c>
    </x:row>
    <x:row r="60" ht="18" customHeight="1">
      <x:c r="A60" s="43" t="str">
        <x:v>General</x:v>
      </x:c>
      <x:c r="B60" s="43" t="str">
        <x:v>Troop Attack Blessing</x:v>
      </x:c>
      <x:c r="C60" s="43" t="str">
        <x:v>Higher</x:v>
      </x:c>
      <x:c r="D60" s="43" t="str">
        <x:v>All players mean</x:v>
      </x:c>
      <x:c r="E60" s="44" t="n">
        <x:v>5.110992000000001</x:v>
      </x:c>
      <x:c r="F60" s="43" t="n">
        <x:v>25</x:v>
      </x:c>
      <x:c r="G60" s="44" t="n">
        <x:v>5.10605</x:v>
      </x:c>
      <x:c r="H60" s="43" t="n">
        <x:v>20</x:v>
      </x:c>
      <x:c r="I60" s="44" t="n">
        <x:v>4.27473</x:v>
      </x:c>
      <x:c r="J60" s="43" t="n">
        <x:v>20</x:v>
      </x:c>
      <x:c r="K60" s="44" t="n">
        <x:v>4.374999999999999</x:v>
      </x:c>
      <x:c r="L60" s="43" t="n">
        <x:v>27</x:v>
      </x:c>
      <x:c r="M60" s="44" t="n">
        <x:v>4.377226086956522</x:v>
      </x:c>
      <x:c r="N60" s="43" t="n">
        <x:v>23</x:v>
      </x:c>
      <x:c r="O60" s="44" t="n">
        <x:v>5.307927272727273</x:v>
      </x:c>
      <x:c r="P60" s="43" t="n">
        <x:v>11</x:v>
      </x:c>
      <x:c r="Q60" s="44" t="n">
        <x:v>4.930642105263158</x:v>
      </x:c>
      <x:c r="R60" s="43" t="n">
        <x:v>19</x:v>
      </x:c>
      <x:c r="S60" s="44" t="n">
        <x:v>4.4813090909090905</x:v>
      </x:c>
      <x:c r="T60" s="43" t="n">
        <x:v>22</x:v>
      </x:c>
      <x:c r="U60" s="43" t="str">
        <x:v>K54</x:v>
      </x:c>
      <x:c r="V60" s="44" t="n">
        <x:v>-0.7359920000000022</x:v>
      </x:c>
      <x:c r="W60" s="44" t="n">
        <x:v>-0.7310500000000006</x:v>
      </x:c>
      <x:c r="X60" s="44" t="n">
        <x:v>0.1002699999999992</x:v>
      </x:c>
      <x:c r="Y60" s="44" t="n">
        <x:v>-0.0022260869565231545</x:v>
      </x:c>
      <x:c r="Z60" s="44" t="n">
        <x:v>-0.9329272727272739</x:v>
      </x:c>
      <x:c r="AA60" s="44" t="n">
        <x:v>-0.5556421052631588</x:v>
      </x:c>
      <x:c r="AB60" s="44" t="n">
        <x:v>-0.10630909090909135</x:v>
      </x:c>
      <x:c r="AC60" s="43" t="str">
        <x:v>Full</x:v>
      </x:c>
    </x:row>
    <x:row r="61" ht="18" customHeight="1">
      <x:c r="A61" s="43" t="str">
        <x:v>General</x:v>
      </x:c>
      <x:c r="B61" s="43" t="str">
        <x:v>Troop Protection Blessing</x:v>
      </x:c>
      <x:c r="C61" s="43" t="str">
        <x:v>Higher</x:v>
      </x:c>
      <x:c r="D61" s="43" t="str">
        <x:v>Best player</x:v>
      </x:c>
      <x:c r="E61" s="44" t="n">
        <x:v>6</x:v>
      </x:c>
      <x:c r="F61" s="43" t="n">
        <x:v>1</x:v>
      </x:c>
      <x:c r="G61" s="44" t="n">
        <x:v>6</x:v>
      </x:c>
      <x:c r="H61" s="43" t="n">
        <x:v>1</x:v>
      </x:c>
      <x:c r="I61" s="44" t="n">
        <x:v>6.01</x:v>
      </x:c>
      <x:c r="J61" s="43" t="n">
        <x:v>1</x:v>
      </x:c>
      <x:c r="K61" s="44" t="n">
        <x:v>6</x:v>
      </x:c>
      <x:c r="L61" s="43" t="n">
        <x:v>1</x:v>
      </x:c>
      <x:c r="M61" s="44" t="n">
        <x:v>6</x:v>
      </x:c>
      <x:c r="N61" s="43" t="n">
        <x:v>1</x:v>
      </x:c>
      <x:c r="O61" s="44" t="n">
        <x:v>6</x:v>
      </x:c>
      <x:c r="P61" s="43" t="n">
        <x:v>1</x:v>
      </x:c>
      <x:c r="Q61" s="44" t="n">
        <x:v>6</x:v>
      </x:c>
      <x:c r="R61" s="43" t="n">
        <x:v>1</x:v>
      </x:c>
      <x:c r="S61" s="44" t="n">
        <x:v>6.01</x:v>
      </x:c>
      <x:c r="T61" s="43" t="n">
        <x:v>1</x:v>
      </x:c>
      <x:c r="U61" s="43" t="str">
        <x:v>Tie</x:v>
      </x:c>
      <x:c r="V61" s="44" t="n">
        <x:v>0</x:v>
      </x:c>
      <x:c r="W61" s="44" t="n">
        <x:v>0</x:v>
      </x:c>
      <x:c r="X61" s="44" t="n">
        <x:v>-0.009999999999999787</x:v>
      </x:c>
      <x:c r="Y61" s="44" t="n">
        <x:v>0</x:v>
      </x:c>
      <x:c r="Z61" s="44" t="n">
        <x:v>0</x:v>
      </x:c>
      <x:c r="AA61" s="44" t="n">
        <x:v>0</x:v>
      </x:c>
      <x:c r="AB61" s="44" t="n">
        <x:v>-0.009999999999999787</x:v>
      </x:c>
      <x:c r="AC61" s="43" t="str">
        <x:v>Full</x:v>
      </x:c>
    </x:row>
    <x:row r="62" ht="18" customHeight="1">
      <x:c r="A62" s="43" t="str">
        <x:v>General</x:v>
      </x:c>
      <x:c r="B62" s="43" t="str">
        <x:v>Troop Protection Blessing</x:v>
      </x:c>
      <x:c r="C62" s="43" t="str">
        <x:v>Higher</x:v>
      </x:c>
      <x:c r="D62" s="43" t="str">
        <x:v>Top 5 average</x:v>
      </x:c>
      <x:c r="E62" s="44" t="n">
        <x:v>5.20904</x:v>
      </x:c>
      <x:c r="F62" s="43" t="n">
        <x:v>5</x:v>
      </x:c>
      <x:c r="G62" s="44" t="n">
        <x:v>3.44544</x:v>
      </x:c>
      <x:c r="H62" s="43" t="n">
        <x:v>5</x:v>
      </x:c>
      <x:c r="I62" s="44" t="n">
        <x:v>5.5594399999999995</x:v>
      </x:c>
      <x:c r="J62" s="43" t="n">
        <x:v>5</x:v>
      </x:c>
      <x:c r="K62" s="44" t="n">
        <x:v>4.814559999999999</x:v>
      </x:c>
      <x:c r="L62" s="43" t="n">
        <x:v>5</x:v>
      </x:c>
      <x:c r="M62" s="44" t="n">
        <x:v>5.1855199999999995</x:v>
      </x:c>
      <x:c r="N62" s="43" t="n">
        <x:v>5</x:v>
      </x:c>
      <x:c r="O62" s="44" t="n">
        <x:v>5.7854399999999995</x:v>
      </x:c>
      <x:c r="P62" s="43" t="n">
        <x:v>5</x:v>
      </x:c>
      <x:c r="Q62" s="44" t="n">
        <x:v>3.4716800000000005</x:v>
      </x:c>
      <x:c r="R62" s="43" t="n">
        <x:v>5</x:v>
      </x:c>
      <x:c r="S62" s="44" t="n">
        <x:v>5.3720799999999995</x:v>
      </x:c>
      <x:c r="T62" s="43" t="n">
        <x:v>5</x:v>
      </x:c>
      <x:c r="U62" s="43" t="str">
        <x:v>K54</x:v>
      </x:c>
      <x:c r="V62" s="44" t="n">
        <x:v>-0.3944800000000006</x:v>
      </x:c>
      <x:c r="W62" s="44" t="n">
        <x:v>1.3691199999999992</x:v>
      </x:c>
      <x:c r="X62" s="44" t="n">
        <x:v>-0.7448800000000002</x:v>
      </x:c>
      <x:c r="Y62" s="44" t="n">
        <x:v>-0.3709600000000002</x:v>
      </x:c>
      <x:c r="Z62" s="44" t="n">
        <x:v>-0.9708800000000002</x:v>
      </x:c>
      <x:c r="AA62" s="44" t="n">
        <x:v>1.3428799999999987</x:v>
      </x:c>
      <x:c r="AB62" s="44" t="n">
        <x:v>-0.5575200000000002</x:v>
      </x:c>
      <x:c r="AC62" s="43" t="str">
        <x:v>Full</x:v>
      </x:c>
    </x:row>
    <x:row r="63" ht="18" customHeight="1">
      <x:c r="A63" s="43" t="str">
        <x:v>General</x:v>
      </x:c>
      <x:c r="B63" s="43" t="str">
        <x:v>Troop Protection Blessing</x:v>
      </x:c>
      <x:c r="C63" s="43" t="str">
        <x:v>Higher</x:v>
      </x:c>
      <x:c r="D63" s="43" t="str">
        <x:v>Top 15 average</x:v>
      </x:c>
      <x:c r="E63" s="44" t="n">
        <x:v>3.8253600000000003</x:v>
      </x:c>
      <x:c r="F63" s="43" t="n">
        <x:v>15</x:v>
      </x:c>
      <x:c r="G63" s="44" t="n">
        <x:v>1.9962933333333333</x:v>
      </x:c>
      <x:c r="H63" s="43" t="n">
        <x:v>15</x:v>
      </x:c>
      <x:c r="I63" s="44" t="n">
        <x:v>4.053680000000001</x:v>
      </x:c>
      <x:c r="J63" s="43" t="n">
        <x:v>15</x:v>
      </x:c>
      <x:c r="K63" s="44" t="n">
        <x:v>3.696239999999999</x:v>
      </x:c>
      <x:c r="L63" s="43" t="n">
        <x:v>15</x:v>
      </x:c>
      <x:c r="M63" s="44" t="n">
        <x:v>3.9287866666666664</x:v>
      </x:c>
      <x:c r="N63" s="43" t="n">
        <x:v>15</x:v>
      </x:c>
      <x:c r="O63" s="44" t="n">
        <x:v>4.161418181818181</x:v>
      </x:c>
      <x:c r="P63" s="43" t="n">
        <x:v>11</x:v>
      </x:c>
      <x:c r="Q63" s="44" t="n">
        <x:v>1.9921733333333331</x:v>
      </x:c>
      <x:c r="R63" s="43" t="n">
        <x:v>15</x:v>
      </x:c>
      <x:c r="S63" s="44" t="n">
        <x:v>4.176493333333332</x:v>
      </x:c>
      <x:c r="T63" s="43" t="n">
        <x:v>15</x:v>
      </x:c>
      <x:c r="U63" s="43" t="str">
        <x:v>K176</x:v>
      </x:c>
      <x:c r="V63" s="44" t="n">
        <x:v>-0.12912000000000123</x:v>
      </x:c>
      <x:c r="W63" s="44" t="n">
        <x:v>1.6999466666666658</x:v>
      </x:c>
      <x:c r="X63" s="44" t="n">
        <x:v>-0.35744000000000176</x:v>
      </x:c>
      <x:c r="Y63" s="44" t="n">
        <x:v>-0.23254666666666735</x:v>
      </x:c>
      <x:c r="Z63" s="44" t="n">
        <x:v>-0.46517818181818216</x:v>
      </x:c>
      <x:c r="AA63" s="44" t="n">
        <x:v>1.704066666666666</x:v>
      </x:c>
      <x:c r="AB63" s="44" t="n">
        <x:v>-0.4802533333333332</x:v>
      </x:c>
      <x:c r="AC63" s="43" t="str">
        <x:v>Full</x:v>
      </x:c>
    </x:row>
    <x:row r="64" ht="18" customHeight="1">
      <x:c r="A64" s="43" t="str">
        <x:v>General</x:v>
      </x:c>
      <x:c r="B64" s="43" t="str">
        <x:v>Troop Protection Blessing</x:v>
      </x:c>
      <x:c r="C64" s="43" t="str">
        <x:v>Higher</x:v>
      </x:c>
      <x:c r="D64" s="43" t="str">
        <x:v>All players mean</x:v>
      </x:c>
      <x:c r="E64" s="44" t="n">
        <x:v>3.247136</x:v>
      </x:c>
      <x:c r="F64" s="43" t="n">
        <x:v>25</x:v>
      </x:c>
      <x:c r="G64" s="44" t="n">
        <x:v>1.54641</x:v>
      </x:c>
      <x:c r="H64" s="43" t="n">
        <x:v>20</x:v>
      </x:c>
      <x:c r="I64" s="44" t="n">
        <x:v>3.4833400000000005</x:v>
      </x:c>
      <x:c r="J64" s="43" t="n">
        <x:v>20</x:v>
      </x:c>
      <x:c r="K64" s="44" t="n">
        <x:v>2.9071555555555553</x:v>
      </x:c>
      <x:c r="L64" s="43" t="n">
        <x:v>27</x:v>
      </x:c>
      <x:c r="M64" s="44" t="n">
        <x:v>2.9949043478260866</x:v>
      </x:c>
      <x:c r="N64" s="43" t="n">
        <x:v>23</x:v>
      </x:c>
      <x:c r="O64" s="44" t="n">
        <x:v>4.161418181818181</x:v>
      </x:c>
      <x:c r="P64" s="43" t="n">
        <x:v>11</x:v>
      </x:c>
      <x:c r="Q64" s="44" t="n">
        <x:v>1.609842105263158</x:v>
      </x:c>
      <x:c r="R64" s="43" t="n">
        <x:v>19</x:v>
      </x:c>
      <x:c r="S64" s="44" t="n">
        <x:v>3.647581818181818</x:v>
      </x:c>
      <x:c r="T64" s="43" t="n">
        <x:v>22</x:v>
      </x:c>
      <x:c r="U64" s="43" t="str">
        <x:v>K54</x:v>
      </x:c>
      <x:c r="V64" s="44" t="n">
        <x:v>-0.33998044444444453</x:v>
      </x:c>
      <x:c r="W64" s="44" t="n">
        <x:v>1.3607455555555552</x:v>
      </x:c>
      <x:c r="X64" s="44" t="n">
        <x:v>-0.5761844444444453</x:v>
      </x:c>
      <x:c r="Y64" s="44" t="n">
        <x:v>-0.08774879227053134</x:v>
      </x:c>
      <x:c r="Z64" s="44" t="n">
        <x:v>-1.254262626262626</x:v>
      </x:c>
      <x:c r="AA64" s="44" t="n">
        <x:v>1.2973134502923973</x:v>
      </x:c>
      <x:c r="AB64" s="44" t="n">
        <x:v>-0.7404262626262628</x:v>
      </x:c>
      <x:c r="AC64" s="43" t="str">
        <x:v>Full</x:v>
      </x:c>
    </x:row>
    <x:row r="65" ht="18" customHeight="1">
      <x:c r="A65" s="43" t="str">
        <x:v>Guards / Infantry</x:v>
      </x:c>
      <x:c r="B65" s="43" t="str">
        <x:v>Infantry Attack</x:v>
      </x:c>
      <x:c r="C65" s="43" t="str">
        <x:v>Higher</x:v>
      </x:c>
      <x:c r="D65" s="43" t="str">
        <x:v>Best player</x:v>
      </x:c>
      <x:c r="E65" s="44" t="n">
        <x:v>20.347</x:v>
      </x:c>
      <x:c r="F65" s="43" t="n">
        <x:v>1</x:v>
      </x:c>
      <x:c r="G65" s="44" t="n">
        <x:v>17.132</x:v>
      </x:c>
      <x:c r="H65" s="43" t="n">
        <x:v>1</x:v>
      </x:c>
      <x:c r="I65" s="44" t="n">
        <x:v>21.267</x:v>
      </x:c>
      <x:c r="J65" s="43" t="n">
        <x:v>1</x:v>
      </x:c>
      <x:c r="K65" s="44" t="n">
        <x:v>16.65</x:v>
      </x:c>
      <x:c r="L65" s="43" t="n">
        <x:v>1</x:v>
      </x:c>
      <x:c r="M65" s="44" t="n">
        <x:v>16.827</x:v>
      </x:c>
      <x:c r="N65" s="43" t="n">
        <x:v>1</x:v>
      </x:c>
      <x:c r="O65" s="44" t="n">
        <x:v>26.206999999999997</x:v>
      </x:c>
      <x:c r="P65" s="43" t="n">
        <x:v>1</x:v>
      </x:c>
      <x:c r="Q65" s="44" t="n">
        <x:v>24.622</x:v>
      </x:c>
      <x:c r="R65" s="43" t="n">
        <x:v>1</x:v>
      </x:c>
      <x:c r="S65" s="44" t="n">
        <x:v>22.701999999999998</x:v>
      </x:c>
      <x:c r="T65" s="43" t="n">
        <x:v>1</x:v>
      </x:c>
      <x:c r="U65" s="43" t="str">
        <x:v>K54</x:v>
      </x:c>
      <x:c r="V65" s="44" t="n">
        <x:v>-3.6970000000000027</x:v>
      </x:c>
      <x:c r="W65" s="44" t="n">
        <x:v>-0.48200000000000287</x:v>
      </x:c>
      <x:c r="X65" s="44" t="n">
        <x:v>-4.617000000000001</x:v>
      </x:c>
      <x:c r="Y65" s="44" t="n">
        <x:v>-0.17700000000000315</x:v>
      </x:c>
      <x:c r="Z65" s="44" t="n">
        <x:v>-9.556999999999999</x:v>
      </x:c>
      <x:c r="AA65" s="44" t="n">
        <x:v>-7.972000000000001</x:v>
      </x:c>
      <x:c r="AB65" s="44" t="n">
        <x:v>-6.052</x:v>
      </x:c>
      <x:c r="AC65" s="43" t="str">
        <x:v>Full</x:v>
      </x:c>
    </x:row>
    <x:row r="66" ht="18" customHeight="1">
      <x:c r="A66" s="43" t="str">
        <x:v>Guards / Infantry</x:v>
      </x:c>
      <x:c r="B66" s="43" t="str">
        <x:v>Infantry Attack</x:v>
      </x:c>
      <x:c r="C66" s="43" t="str">
        <x:v>Higher</x:v>
      </x:c>
      <x:c r="D66" s="43" t="str">
        <x:v>Top 5 average</x:v>
      </x:c>
      <x:c r="E66" s="44" t="n">
        <x:v>17.6184</x:v>
      </x:c>
      <x:c r="F66" s="43" t="n">
        <x:v>5</x:v>
      </x:c>
      <x:c r="G66" s="44" t="n">
        <x:v>14.465399999999999</x:v>
      </x:c>
      <x:c r="H66" s="43" t="n">
        <x:v>5</x:v>
      </x:c>
      <x:c r="I66" s="44" t="n">
        <x:v>18.152</x:v>
      </x:c>
      <x:c r="J66" s="43" t="n">
        <x:v>5</x:v>
      </x:c>
      <x:c r="K66" s="44" t="n">
        <x:v>14.898000000000001</x:v>
      </x:c>
      <x:c r="L66" s="43" t="n">
        <x:v>5</x:v>
      </x:c>
      <x:c r="M66" s="44" t="n">
        <x:v>14.2132</x:v>
      </x:c>
      <x:c r="N66" s="43" t="n">
        <x:v>5</x:v>
      </x:c>
      <x:c r="O66" s="44" t="n">
        <x:v>17.558600000000002</x:v>
      </x:c>
      <x:c r="P66" s="43" t="n">
        <x:v>5</x:v>
      </x:c>
      <x:c r="Q66" s="44" t="n">
        <x:v>18.0038</x:v>
      </x:c>
      <x:c r="R66" s="43" t="n">
        <x:v>5</x:v>
      </x:c>
      <x:c r="S66" s="44" t="n">
        <x:v>16.415799999999997</x:v>
      </x:c>
      <x:c r="T66" s="43" t="n">
        <x:v>5</x:v>
      </x:c>
      <x:c r="U66" s="43" t="str">
        <x:v>K116</x:v>
      </x:c>
      <x:c r="V66" s="44" t="n">
        <x:v>-2.7203999999999997</x:v>
      </x:c>
      <x:c r="W66" s="44" t="n">
        <x:v>0.43260000000000254</x:v>
      </x:c>
      <x:c r="X66" s="44" t="n">
        <x:v>-3.2539999999999996</x:v>
      </x:c>
      <x:c r="Y66" s="44" t="n">
        <x:v>0.684800000000001</x:v>
      </x:c>
      <x:c r="Z66" s="44" t="n">
        <x:v>-2.6606000000000005</x:v>
      </x:c>
      <x:c r="AA66" s="44" t="n">
        <x:v>-3.105799999999997</x:v>
      </x:c>
      <x:c r="AB66" s="44" t="n">
        <x:v>-1.5177999999999958</x:v>
      </x:c>
      <x:c r="AC66" s="43" t="str">
        <x:v>Full</x:v>
      </x:c>
    </x:row>
    <x:row r="67" ht="18" customHeight="1">
      <x:c r="A67" s="43" t="str">
        <x:v>Guards / Infantry</x:v>
      </x:c>
      <x:c r="B67" s="43" t="str">
        <x:v>Infantry Attack</x:v>
      </x:c>
      <x:c r="C67" s="43" t="str">
        <x:v>Higher</x:v>
      </x:c>
      <x:c r="D67" s="43" t="str">
        <x:v>Top 15 average</x:v>
      </x:c>
      <x:c r="E67" s="44" t="n">
        <x:v>13.871266666666665</x:v>
      </x:c>
      <x:c r="F67" s="43" t="n">
        <x:v>15</x:v>
      </x:c>
      <x:c r="G67" s="44" t="n">
        <x:v>10.841333333333335</x:v>
      </x:c>
      <x:c r="H67" s="43" t="n">
        <x:v>15</x:v>
      </x:c>
      <x:c r="I67" s="44" t="n">
        <x:v>14.345666666666668</x:v>
      </x:c>
      <x:c r="J67" s="43" t="n">
        <x:v>15</x:v>
      </x:c>
      <x:c r="K67" s="44" t="n">
        <x:v>12.6442</x:v>
      </x:c>
      <x:c r="L67" s="43" t="n">
        <x:v>15</x:v>
      </x:c>
      <x:c r="M67" s="44" t="n">
        <x:v>10.927800000000001</x:v>
      </x:c>
      <x:c r="N67" s="43" t="n">
        <x:v>15</x:v>
      </x:c>
      <x:c r="O67" s="44" t="n">
        <x:v>12.965909090909088</x:v>
      </x:c>
      <x:c r="P67" s="43" t="n">
        <x:v>11</x:v>
      </x:c>
      <x:c r="Q67" s="44" t="n">
        <x:v>11.868466666666666</x:v>
      </x:c>
      <x:c r="R67" s="43" t="n">
        <x:v>15</x:v>
      </x:c>
      <x:c r="S67" s="44" t="n">
        <x:v>13.495933333333332</x:v>
      </x:c>
      <x:c r="T67" s="43" t="n">
        <x:v>15</x:v>
      </x:c>
      <x:c r="U67" s="43" t="str">
        <x:v>K116</x:v>
      </x:c>
      <x:c r="V67" s="44" t="n">
        <x:v>-1.2270666666666656</x:v>
      </x:c>
      <x:c r="W67" s="44" t="n">
        <x:v>1.8028666666666648</x:v>
      </x:c>
      <x:c r="X67" s="44" t="n">
        <x:v>-1.7014666666666685</x:v>
      </x:c>
      <x:c r="Y67" s="44" t="n">
        <x:v>1.7163999999999984</x:v>
      </x:c>
      <x:c r="Z67" s="44" t="n">
        <x:v>-0.3217090909090885</x:v>
      </x:c>
      <x:c r="AA67" s="44" t="n">
        <x:v>0.7757333333333332</x:v>
      </x:c>
      <x:c r="AB67" s="44" t="n">
        <x:v>-0.8517333333333319</x:v>
      </x:c>
      <x:c r="AC67" s="43" t="str">
        <x:v>Full</x:v>
      </x:c>
    </x:row>
    <x:row r="68" ht="18" customHeight="1">
      <x:c r="A68" s="43" t="str">
        <x:v>Guards / Infantry</x:v>
      </x:c>
      <x:c r="B68" s="43" t="str">
        <x:v>Infantry Attack</x:v>
      </x:c>
      <x:c r="C68" s="43" t="str">
        <x:v>Higher</x:v>
      </x:c>
      <x:c r="D68" s="43" t="str">
        <x:v>All players mean</x:v>
      </x:c>
      <x:c r="E68" s="44" t="n">
        <x:v>12.41376</x:v>
      </x:c>
      <x:c r="F68" s="43" t="n">
        <x:v>25</x:v>
      </x:c>
      <x:c r="G68" s="44" t="n">
        <x:v>9.778250000000003</x:v>
      </x:c>
      <x:c r="H68" s="43" t="n">
        <x:v>20</x:v>
      </x:c>
      <x:c r="I68" s="44" t="n">
        <x:v>12.61325</x:v>
      </x:c>
      <x:c r="J68" s="43" t="n">
        <x:v>20</x:v>
      </x:c>
      <x:c r="K68" s="44" t="n">
        <x:v>10.999629629629625</x:v>
      </x:c>
      <x:c r="L68" s="43" t="n">
        <x:v>27</x:v>
      </x:c>
      <x:c r="M68" s="44" t="n">
        <x:v>9.53830434782609</x:v>
      </x:c>
      <x:c r="N68" s="43" t="n">
        <x:v>23</x:v>
      </x:c>
      <x:c r="O68" s="44" t="n">
        <x:v>12.965909090909088</x:v>
      </x:c>
      <x:c r="P68" s="43" t="n">
        <x:v>11</x:v>
      </x:c>
      <x:c r="Q68" s="44" t="n">
        <x:v>10.735526315789475</x:v>
      </x:c>
      <x:c r="R68" s="43" t="n">
        <x:v>19</x:v>
      </x:c>
      <x:c r="S68" s="44" t="n">
        <x:v>12.421772727272726</x:v>
      </x:c>
      <x:c r="T68" s="43" t="n">
        <x:v>22</x:v>
      </x:c>
      <x:c r="U68" s="43" t="str">
        <x:v>K54</x:v>
      </x:c>
      <x:c r="V68" s="44" t="n">
        <x:v>-1.4141303703703745</x:v>
      </x:c>
      <x:c r="W68" s="44" t="n">
        <x:v>1.221379629629622</x:v>
      </x:c>
      <x:c r="X68" s="44" t="n">
        <x:v>-1.6136203703703753</x:v>
      </x:c>
      <x:c r="Y68" s="44" t="n">
        <x:v>1.4613252818035356</x:v>
      </x:c>
      <x:c r="Z68" s="44" t="n">
        <x:v>-1.9662794612794627</x:v>
      </x:c>
      <x:c r="AA68" s="44" t="n">
        <x:v>0.26410331384015073</x:v>
      </x:c>
      <x:c r="AB68" s="44" t="n">
        <x:v>-1.4221430976431009</x:v>
      </x:c>
      <x:c r="AC68" s="43" t="str">
        <x:v>Full</x:v>
      </x:c>
    </x:row>
    <x:row r="69" ht="18" customHeight="1">
      <x:c r="A69" s="43" t="str">
        <x:v>Guards / Infantry</x:v>
      </x:c>
      <x:c r="B69" s="43" t="str">
        <x:v>Infantry Health</x:v>
      </x:c>
      <x:c r="C69" s="43" t="str">
        <x:v>Higher</x:v>
      </x:c>
      <x:c r="D69" s="43" t="str">
        <x:v>Best player</x:v>
      </x:c>
      <x:c r="E69" s="44" t="n">
        <x:v>26.6192</x:v>
      </x:c>
      <x:c r="F69" s="43" t="n">
        <x:v>1</x:v>
      </x:c>
      <x:c r="G69" s="44" t="n">
        <x:v>26.45</x:v>
      </x:c>
      <x:c r="H69" s="43" t="n">
        <x:v>1</x:v>
      </x:c>
      <x:c r="I69" s="44" t="n">
        <x:v>26.39</x:v>
      </x:c>
      <x:c r="J69" s="43" t="n">
        <x:v>1</x:v>
      </x:c>
      <x:c r="K69" s="44" t="n">
        <x:v>25.6092</x:v>
      </x:c>
      <x:c r="L69" s="43" t="n">
        <x:v>1</x:v>
      </x:c>
      <x:c r="M69" s="44" t="n">
        <x:v>28.4105</x:v>
      </x:c>
      <x:c r="N69" s="43" t="n">
        <x:v>1</x:v>
      </x:c>
      <x:c r="O69" s="44" t="n">
        <x:v>29.84</x:v>
      </x:c>
      <x:c r="P69" s="43" t="n">
        <x:v>1</x:v>
      </x:c>
      <x:c r="Q69" s="44" t="n">
        <x:v>29.695</x:v>
      </x:c>
      <x:c r="R69" s="43" t="n">
        <x:v>1</x:v>
      </x:c>
      <x:c r="S69" s="44" t="n">
        <x:v>26.561300000000003</x:v>
      </x:c>
      <x:c r="T69" s="43" t="n">
        <x:v>1</x:v>
      </x:c>
      <x:c r="U69" s="43" t="str">
        <x:v>K54</x:v>
      </x:c>
      <x:c r="V69" s="44" t="n">
        <x:v>-1.009999999999998</x:v>
      </x:c>
      <x:c r="W69" s="44" t="n">
        <x:v>-0.840799999999998</x:v>
      </x:c>
      <x:c r="X69" s="44" t="n">
        <x:v>-0.7807999999999993</x:v>
      </x:c>
      <x:c r="Y69" s="44" t="n">
        <x:v>-2.8012999999999977</x:v>
      </x:c>
      <x:c r="Z69" s="44" t="n">
        <x:v>-4.230799999999999</x:v>
      </x:c>
      <x:c r="AA69" s="44" t="n">
        <x:v>-4.085799999999999</x:v>
      </x:c>
      <x:c r="AB69" s="44" t="n">
        <x:v>-0.9521000000000015</x:v>
      </x:c>
      <x:c r="AC69" s="43" t="str">
        <x:v>Full</x:v>
      </x:c>
    </x:row>
    <x:row r="70" ht="18" customHeight="1">
      <x:c r="A70" s="43" t="str">
        <x:v>Guards / Infantry</x:v>
      </x:c>
      <x:c r="B70" s="43" t="str">
        <x:v>Infantry Health</x:v>
      </x:c>
      <x:c r="C70" s="43" t="str">
        <x:v>Higher</x:v>
      </x:c>
      <x:c r="D70" s="43" t="str">
        <x:v>Top 5 average</x:v>
      </x:c>
      <x:c r="E70" s="44" t="n">
        <x:v>21.060360000000003</x:v>
      </x:c>
      <x:c r="F70" s="43" t="n">
        <x:v>5</x:v>
      </x:c>
      <x:c r="G70" s="44" t="n">
        <x:v>21.5856</x:v>
      </x:c>
      <x:c r="H70" s="43" t="n">
        <x:v>5</x:v>
      </x:c>
      <x:c r="I70" s="44" t="n">
        <x:v>22.78908</x:v>
      </x:c>
      <x:c r="J70" s="43" t="n">
        <x:v>5</x:v>
      </x:c>
      <x:c r="K70" s="44" t="n">
        <x:v>20.30866</x:v>
      </x:c>
      <x:c r="L70" s="43" t="n">
        <x:v>5</x:v>
      </x:c>
      <x:c r="M70" s="44" t="n">
        <x:v>20.844600000000003</x:v>
      </x:c>
      <x:c r="N70" s="43" t="n">
        <x:v>5</x:v>
      </x:c>
      <x:c r="O70" s="44" t="n">
        <x:v>20.958779999999997</x:v>
      </x:c>
      <x:c r="P70" s="43" t="n">
        <x:v>5</x:v>
      </x:c>
      <x:c r="Q70" s="44" t="n">
        <x:v>22.42236</x:v>
      </x:c>
      <x:c r="R70" s="43" t="n">
        <x:v>5</x:v>
      </x:c>
      <x:c r="S70" s="44" t="n">
        <x:v>22.66362</x:v>
      </x:c>
      <x:c r="T70" s="43" t="n">
        <x:v>5</x:v>
      </x:c>
      <x:c r="U70" s="43" t="str">
        <x:v>K116</x:v>
      </x:c>
      <x:c r="V70" s="44" t="n">
        <x:v>-0.7517000000000031</x:v>
      </x:c>
      <x:c r="W70" s="44" t="n">
        <x:v>-1.2769399999999997</x:v>
      </x:c>
      <x:c r="X70" s="44" t="n">
        <x:v>-2.4804199999999987</x:v>
      </x:c>
      <x:c r="Y70" s="44" t="n">
        <x:v>-0.5359400000000036</x:v>
      </x:c>
      <x:c r="Z70" s="44" t="n">
        <x:v>-0.6501199999999976</x:v>
      </x:c>
      <x:c r="AA70" s="44" t="n">
        <x:v>-2.1137000000000015</x:v>
      </x:c>
      <x:c r="AB70" s="44" t="n">
        <x:v>-2.354960000000002</x:v>
      </x:c>
      <x:c r="AC70" s="43" t="str">
        <x:v>Full</x:v>
      </x:c>
    </x:row>
    <x:row r="71" ht="18" customHeight="1">
      <x:c r="A71" s="43" t="str">
        <x:v>Guards / Infantry</x:v>
      </x:c>
      <x:c r="B71" s="43" t="str">
        <x:v>Infantry Health</x:v>
      </x:c>
      <x:c r="C71" s="43" t="str">
        <x:v>Higher</x:v>
      </x:c>
      <x:c r="D71" s="43" t="str">
        <x:v>Top 15 average</x:v>
      </x:c>
      <x:c r="E71" s="44" t="n">
        <x:v>17.432399999999998</x:v>
      </x:c>
      <x:c r="F71" s="43" t="n">
        <x:v>15</x:v>
      </x:c>
      <x:c r="G71" s="44" t="n">
        <x:v>18.245019999999997</x:v>
      </x:c>
      <x:c r="H71" s="43" t="n">
        <x:v>15</x:v>
      </x:c>
      <x:c r="I71" s="44" t="n">
        <x:v>19.45225333333333</x:v>
      </x:c>
      <x:c r="J71" s="43" t="n">
        <x:v>15</x:v>
      </x:c>
      <x:c r="K71" s="44" t="n">
        <x:v>17.788006666666668</x:v>
      </x:c>
      <x:c r="L71" s="43" t="n">
        <x:v>15</x:v>
      </x:c>
      <x:c r="M71" s="44" t="n">
        <x:v>16.39510666666667</x:v>
      </x:c>
      <x:c r="N71" s="43" t="n">
        <x:v>15</x:v>
      </x:c>
      <x:c r="O71" s="44" t="n">
        <x:v>16.112890909090908</x:v>
      </x:c>
      <x:c r="P71" s="43" t="n">
        <x:v>11</x:v>
      </x:c>
      <x:c r="Q71" s="44" t="n">
        <x:v>18.772466666666666</x:v>
      </x:c>
      <x:c r="R71" s="43" t="n">
        <x:v>15</x:v>
      </x:c>
      <x:c r="S71" s="44" t="n">
        <x:v>19.964153333333332</x:v>
      </x:c>
      <x:c r="T71" s="43" t="n">
        <x:v>15</x:v>
      </x:c>
      <x:c r="U71" s="43" t="str">
        <x:v>K176</x:v>
      </x:c>
      <x:c r="V71" s="44" t="n">
        <x:v>0.3556066666666702</x:v>
      </x:c>
      <x:c r="W71" s="44" t="n">
        <x:v>-0.45701333333332883</x:v>
      </x:c>
      <x:c r="X71" s="44" t="n">
        <x:v>-1.6642466666666635</x:v>
      </x:c>
      <x:c r="Y71" s="44" t="n">
        <x:v>1.3928999999999974</x:v>
      </x:c>
      <x:c r="Z71" s="44" t="n">
        <x:v>1.6751157575757603</x:v>
      </x:c>
      <x:c r="AA71" s="44" t="n">
        <x:v>-0.9844599999999986</x:v>
      </x:c>
      <x:c r="AB71" s="44" t="n">
        <x:v>-2.1761466666666642</x:v>
      </x:c>
      <x:c r="AC71" s="43" t="str">
        <x:v>Full</x:v>
      </x:c>
    </x:row>
    <x:row r="72" ht="18" customHeight="1">
      <x:c r="A72" s="43" t="str">
        <x:v>Guards / Infantry</x:v>
      </x:c>
      <x:c r="B72" s="43" t="str">
        <x:v>Infantry Health</x:v>
      </x:c>
      <x:c r="C72" s="43" t="str">
        <x:v>Higher</x:v>
      </x:c>
      <x:c r="D72" s="43" t="str">
        <x:v>All players mean</x:v>
      </x:c>
      <x:c r="E72" s="44" t="n">
        <x:v>15.856752000000002</x:v>
      </x:c>
      <x:c r="F72" s="43" t="n">
        <x:v>25</x:v>
      </x:c>
      <x:c r="G72" s="44" t="n">
        <x:v>17.366155</x:v>
      </x:c>
      <x:c r="H72" s="43" t="n">
        <x:v>20</x:v>
      </x:c>
      <x:c r="I72" s="44" t="n">
        <x:v>17.674235</x:v>
      </x:c>
      <x:c r="J72" s="43" t="n">
        <x:v>20</x:v>
      </x:c>
      <x:c r="K72" s="44" t="n">
        <x:v>15.784981481481482</x:v>
      </x:c>
      <x:c r="L72" s="43" t="n">
        <x:v>27</x:v>
      </x:c>
      <x:c r="M72" s="44" t="n">
        <x:v>14.16570434782609</x:v>
      </x:c>
      <x:c r="N72" s="43" t="n">
        <x:v>23</x:v>
      </x:c>
      <x:c r="O72" s="44" t="n">
        <x:v>16.112890909090908</x:v>
      </x:c>
      <x:c r="P72" s="43" t="n">
        <x:v>11</x:v>
      </x:c>
      <x:c r="Q72" s="44" t="n">
        <x:v>17.153</x:v>
      </x:c>
      <x:c r="R72" s="43" t="n">
        <x:v>19</x:v>
      </x:c>
      <x:c r="S72" s="44" t="n">
        <x:v>18.721372727272723</x:v>
      </x:c>
      <x:c r="T72" s="43" t="n">
        <x:v>22</x:v>
      </x:c>
      <x:c r="U72" s="43" t="str">
        <x:v>K176</x:v>
      </x:c>
      <x:c r="V72" s="44" t="n">
        <x:v>-0.07177051851851957</x:v>
      </x:c>
      <x:c r="W72" s="44" t="n">
        <x:v>-1.5811735185185167</x:v>
      </x:c>
      <x:c r="X72" s="44" t="n">
        <x:v>-1.889253518518517</x:v>
      </x:c>
      <x:c r="Y72" s="44" t="n">
        <x:v>1.6192771336553928</x:v>
      </x:c>
      <x:c r="Z72" s="44" t="n">
        <x:v>-0.3279094276094252</x:v>
      </x:c>
      <x:c r="AA72" s="44" t="n">
        <x:v>-1.3680185185185163</x:v>
      </x:c>
      <x:c r="AB72" s="44" t="n">
        <x:v>-2.9363912457912402</x:v>
      </x:c>
      <x:c r="AC72" s="43" t="str">
        <x:v>Full</x:v>
      </x:c>
    </x:row>
    <x:row r="73" ht="18" customHeight="1">
      <x:c r="A73" s="43" t="str">
        <x:v>Guards / Infantry</x:v>
      </x:c>
      <x:c r="B73" s="43" t="str">
        <x:v>Infantry Defense</x:v>
      </x:c>
      <x:c r="C73" s="43" t="str">
        <x:v>Higher</x:v>
      </x:c>
      <x:c r="D73" s="43" t="str">
        <x:v>Best player</x:v>
      </x:c>
      <x:c r="E73" s="44" t="n">
        <x:v>19.582</x:v>
      </x:c>
      <x:c r="F73" s="43" t="n">
        <x:v>1</x:v>
      </x:c>
      <x:c r="G73" s="44" t="n">
        <x:v>22.726999999999997</x:v>
      </x:c>
      <x:c r="H73" s="43" t="n">
        <x:v>1</x:v>
      </x:c>
      <x:c r="I73" s="44" t="n">
        <x:v>20.866999999999997</x:v>
      </x:c>
      <x:c r="J73" s="43" t="n">
        <x:v>1</x:v>
      </x:c>
      <x:c r="K73" s="44" t="n">
        <x:v>19.3099</x:v>
      </x:c>
      <x:c r="L73" s="43" t="n">
        <x:v>1</x:v>
      </x:c>
      <x:c r="M73" s="44" t="n">
        <x:v>16.6407</x:v>
      </x:c>
      <x:c r="N73" s="43" t="n">
        <x:v>1</x:v>
      </x:c>
      <x:c r="O73" s="44" t="n">
        <x:v>26.151999999999997</x:v>
      </x:c>
      <x:c r="P73" s="43" t="n">
        <x:v>1</x:v>
      </x:c>
      <x:c r="Q73" s="44" t="n">
        <x:v>25.987</x:v>
      </x:c>
      <x:c r="R73" s="43" t="n">
        <x:v>1</x:v>
      </x:c>
      <x:c r="S73" s="44" t="n">
        <x:v>21.029899999999998</x:v>
      </x:c>
      <x:c r="T73" s="43" t="n">
        <x:v>1</x:v>
      </x:c>
      <x:c r="U73" s="43" t="str">
        <x:v>K54</x:v>
      </x:c>
      <x:c r="V73" s="44" t="n">
        <x:v>-0.2721000000000018</x:v>
      </x:c>
      <x:c r="W73" s="44" t="n">
        <x:v>-3.417099999999998</x:v>
      </x:c>
      <x:c r="X73" s="44" t="n">
        <x:v>-1.5570999999999984</x:v>
      </x:c>
      <x:c r="Y73" s="44" t="n">
        <x:v>2.6692</x:v>
      </x:c>
      <x:c r="Z73" s="44" t="n">
        <x:v>-6.8420999999999985</x:v>
      </x:c>
      <x:c r="AA73" s="44" t="n">
        <x:v>-6.677099999999999</x:v>
      </x:c>
      <x:c r="AB73" s="44" t="n">
        <x:v>-1.7199999999999989</x:v>
      </x:c>
      <x:c r="AC73" s="43" t="str">
        <x:v>Full</x:v>
      </x:c>
    </x:row>
    <x:row r="74" ht="18" customHeight="1">
      <x:c r="A74" s="43" t="str">
        <x:v>Guards / Infantry</x:v>
      </x:c>
      <x:c r="B74" s="43" t="str">
        <x:v>Infantry Defense</x:v>
      </x:c>
      <x:c r="C74" s="43" t="str">
        <x:v>Higher</x:v>
      </x:c>
      <x:c r="D74" s="43" t="str">
        <x:v>Top 5 average</x:v>
      </x:c>
      <x:c r="E74" s="44" t="n">
        <x:v>14.53674</x:v>
      </x:c>
      <x:c r="F74" s="43" t="n">
        <x:v>5</x:v>
      </x:c>
      <x:c r="G74" s="44" t="n">
        <x:v>15.48996</x:v>
      </x:c>
      <x:c r="H74" s="43" t="n">
        <x:v>5</x:v>
      </x:c>
      <x:c r="I74" s="44" t="n">
        <x:v>18.57584</x:v>
      </x:c>
      <x:c r="J74" s="43" t="n">
        <x:v>5</x:v>
      </x:c>
      <x:c r="K74" s="44" t="n">
        <x:v>17.02968</x:v>
      </x:c>
      <x:c r="L74" s="43" t="n">
        <x:v>5</x:v>
      </x:c>
      <x:c r="M74" s="44" t="n">
        <x:v>15.59448</x:v>
      </x:c>
      <x:c r="N74" s="43" t="n">
        <x:v>5</x:v>
      </x:c>
      <x:c r="O74" s="44" t="n">
        <x:v>17.96074</x:v>
      </x:c>
      <x:c r="P74" s="43" t="n">
        <x:v>5</x:v>
      </x:c>
      <x:c r="Q74" s="44" t="n">
        <x:v>17.82806</x:v>
      </x:c>
      <x:c r="R74" s="43" t="n">
        <x:v>5</x:v>
      </x:c>
      <x:c r="S74" s="44" t="n">
        <x:v>15.5408</x:v>
      </x:c>
      <x:c r="T74" s="43" t="n">
        <x:v>5</x:v>
      </x:c>
      <x:c r="U74" s="43" t="str">
        <x:v>K116</x:v>
      </x:c>
      <x:c r="V74" s="44" t="n">
        <x:v>2.492939999999999</x:v>
      </x:c>
      <x:c r="W74" s="44" t="n">
        <x:v>1.539719999999999</x:v>
      </x:c>
      <x:c r="X74" s="44" t="n">
        <x:v>-1.5461600000000004</x:v>
      </x:c>
      <x:c r="Y74" s="44" t="n">
        <x:v>1.4351999999999983</x:v>
      </x:c>
      <x:c r="Z74" s="44" t="n">
        <x:v>-0.9310600000000022</x:v>
      </x:c>
      <x:c r="AA74" s="44" t="n">
        <x:v>-0.7983800000000016</x:v>
      </x:c>
      <x:c r="AB74" s="44" t="n">
        <x:v>1.4888799999999982</x:v>
      </x:c>
      <x:c r="AC74" s="43" t="str">
        <x:v>Full</x:v>
      </x:c>
    </x:row>
    <x:row r="75" ht="18" customHeight="1">
      <x:c r="A75" s="43" t="str">
        <x:v>Guards / Infantry</x:v>
      </x:c>
      <x:c r="B75" s="43" t="str">
        <x:v>Infantry Defense</x:v>
      </x:c>
      <x:c r="C75" s="43" t="str">
        <x:v>Higher</x:v>
      </x:c>
      <x:c r="D75" s="43" t="str">
        <x:v>Top 15 average</x:v>
      </x:c>
      <x:c r="E75" s="44" t="n">
        <x:v>11.854953333333333</x:v>
      </x:c>
      <x:c r="F75" s="43" t="n">
        <x:v>15</x:v>
      </x:c>
      <x:c r="G75" s="44" t="n">
        <x:v>12.668306666666668</x:v>
      </x:c>
      <x:c r="H75" s="43" t="n">
        <x:v>15</x:v>
      </x:c>
      <x:c r="I75" s="44" t="n">
        <x:v>15.310200000000004</x:v>
      </x:c>
      <x:c r="J75" s="43" t="n">
        <x:v>15</x:v>
      </x:c>
      <x:c r="K75" s="44" t="n">
        <x:v>14.545006666666666</x:v>
      </x:c>
      <x:c r="L75" s="43" t="n">
        <x:v>15</x:v>
      </x:c>
      <x:c r="M75" s="44" t="n">
        <x:v>13.896113333333334</x:v>
      </x:c>
      <x:c r="N75" s="43" t="n">
        <x:v>15</x:v>
      </x:c>
      <x:c r="O75" s="44" t="n">
        <x:v>14.95597272727273</x:v>
      </x:c>
      <x:c r="P75" s="43" t="n">
        <x:v>11</x:v>
      </x:c>
      <x:c r="Q75" s="44" t="n">
        <x:v>14.14446</x:v>
      </x:c>
      <x:c r="R75" s="43" t="n">
        <x:v>15</x:v>
      </x:c>
      <x:c r="S75" s="44" t="n">
        <x:v>12.701400000000003</x:v>
      </x:c>
      <x:c r="T75" s="43" t="n">
        <x:v>15</x:v>
      </x:c>
      <x:c r="U75" s="43" t="str">
        <x:v>K116</x:v>
      </x:c>
      <x:c r="V75" s="44" t="n">
        <x:v>2.690053333333333</x:v>
      </x:c>
      <x:c r="W75" s="44" t="n">
        <x:v>1.8766999999999978</x:v>
      </x:c>
      <x:c r="X75" s="44" t="n">
        <x:v>-0.7651933333333378</x:v>
      </x:c>
      <x:c r="Y75" s="44" t="n">
        <x:v>0.6488933333333318</x:v>
      </x:c>
      <x:c r="Z75" s="44" t="n">
        <x:v>-0.41096606060606433</x:v>
      </x:c>
      <x:c r="AA75" s="44" t="n">
        <x:v>0.4005466666666653</x:v>
      </x:c>
      <x:c r="AB75" s="44" t="n">
        <x:v>1.8436066666666626</x:v>
      </x:c>
      <x:c r="AC75" s="43" t="str">
        <x:v>Full</x:v>
      </x:c>
    </x:row>
    <x:row r="76" ht="18" customHeight="1">
      <x:c r="A76" s="43" t="str">
        <x:v>Guards / Infantry</x:v>
      </x:c>
      <x:c r="B76" s="43" t="str">
        <x:v>Infantry Defense</x:v>
      </x:c>
      <x:c r="C76" s="43" t="str">
        <x:v>Higher</x:v>
      </x:c>
      <x:c r="D76" s="43" t="str">
        <x:v>All players mean</x:v>
      </x:c>
      <x:c r="E76" s="44" t="n">
        <x:v>10.782735999999998</x:v>
      </x:c>
      <x:c r="F76" s="43" t="n">
        <x:v>25</x:v>
      </x:c>
      <x:c r="G76" s="44" t="n">
        <x:v>11.706655000000001</x:v>
      </x:c>
      <x:c r="H76" s="43" t="n">
        <x:v>20</x:v>
      </x:c>
      <x:c r="I76" s="44" t="n">
        <x:v>13.975215000000002</x:v>
      </x:c>
      <x:c r="J76" s="43" t="n">
        <x:v>20</x:v>
      </x:c>
      <x:c r="K76" s="44" t="n">
        <x:v>13.053233333333333</x:v>
      </x:c>
      <x:c r="L76" s="43" t="n">
        <x:v>27</x:v>
      </x:c>
      <x:c r="M76" s="44" t="n">
        <x:v>12.768830434782608</x:v>
      </x:c>
      <x:c r="N76" s="43" t="n">
        <x:v>23</x:v>
      </x:c>
      <x:c r="O76" s="44" t="n">
        <x:v>14.95597272727273</x:v>
      </x:c>
      <x:c r="P76" s="43" t="n">
        <x:v>11</x:v>
      </x:c>
      <x:c r="Q76" s="44" t="n">
        <x:v>13.224526315789474</x:v>
      </x:c>
      <x:c r="R76" s="43" t="n">
        <x:v>19</x:v>
      </x:c>
      <x:c r="S76" s="44" t="n">
        <x:v>11.623677272727276</x:v>
      </x:c>
      <x:c r="T76" s="43" t="n">
        <x:v>22</x:v>
      </x:c>
      <x:c r="U76" s="43" t="str">
        <x:v>K54</x:v>
      </x:c>
      <x:c r="V76" s="44" t="n">
        <x:v>2.270497333333335</x:v>
      </x:c>
      <x:c r="W76" s="44" t="n">
        <x:v>1.3465783333333317</x:v>
      </x:c>
      <x:c r="X76" s="44" t="n">
        <x:v>-0.9219816666666691</x:v>
      </x:c>
      <x:c r="Y76" s="44" t="n">
        <x:v>0.2844028985507254</x:v>
      </x:c>
      <x:c r="Z76" s="44" t="n">
        <x:v>-1.902739393939397</x:v>
      </x:c>
      <x:c r="AA76" s="44" t="n">
        <x:v>-0.17129298245614066</x:v>
      </x:c>
      <x:c r="AB76" s="44" t="n">
        <x:v>1.4295560606060569</x:v>
      </x:c>
      <x:c r="AC76" s="43" t="str">
        <x:v>Full</x:v>
      </x:c>
    </x:row>
    <x:row r="77" ht="18" customHeight="1">
      <x:c r="A77" s="43" t="str">
        <x:v>Guards / Infantry</x:v>
      </x:c>
      <x:c r="B77" s="43" t="str">
        <x:v>Infantry Damage</x:v>
      </x:c>
      <x:c r="C77" s="43" t="str">
        <x:v>Higher</x:v>
      </x:c>
      <x:c r="D77" s="43" t="str">
        <x:v>Best player</x:v>
      </x:c>
      <x:c r="E77" s="44" t="n">
        <x:v>1.965</x:v>
      </x:c>
      <x:c r="F77" s="43" t="n">
        <x:v>1</x:v>
      </x:c>
      <x:c r="G77" s="44" t="n">
        <x:v>1.865</x:v>
      </x:c>
      <x:c r="H77" s="43" t="n">
        <x:v>1</x:v>
      </x:c>
      <x:c r="I77" s="44" t="n">
        <x:v>1.965</x:v>
      </x:c>
      <x:c r="J77" s="43" t="n">
        <x:v>1</x:v>
      </x:c>
      <x:c r="K77" s="44" t="n">
        <x:v>1.6675</x:v>
      </x:c>
      <x:c r="L77" s="43" t="n">
        <x:v>1</x:v>
      </x:c>
      <x:c r="M77" s="44" t="n">
        <x:v>1.9075</x:v>
      </x:c>
      <x:c r="N77" s="43" t="n">
        <x:v>1</x:v>
      </x:c>
      <x:c r="O77" s="44" t="n">
        <x:v>1.965</x:v>
      </x:c>
      <x:c r="P77" s="43" t="n">
        <x:v>1</x:v>
      </x:c>
      <x:c r="Q77" s="44" t="n">
        <x:v>1.845</x:v>
      </x:c>
      <x:c r="R77" s="43" t="n">
        <x:v>1</x:v>
      </x:c>
      <x:c r="S77" s="44" t="n">
        <x:v>1.725</x:v>
      </x:c>
      <x:c r="T77" s="43" t="n">
        <x:v>1</x:v>
      </x:c>
      <x:c r="U77" s="43" t="str">
        <x:v>Tie</x:v>
      </x:c>
      <x:c r="V77" s="44" t="n">
        <x:v>-0.2975000000000001</x:v>
      </x:c>
      <x:c r="W77" s="44" t="n">
        <x:v>-0.1975</x:v>
      </x:c>
      <x:c r="X77" s="44" t="n">
        <x:v>-0.2975000000000001</x:v>
      </x:c>
      <x:c r="Y77" s="44" t="n">
        <x:v>-0.24</x:v>
      </x:c>
      <x:c r="Z77" s="44" t="n">
        <x:v>-0.2975000000000001</x:v>
      </x:c>
      <x:c r="AA77" s="44" t="n">
        <x:v>-0.1775</x:v>
      </x:c>
      <x:c r="AB77" s="44" t="n">
        <x:v>-0.05750000000000011</x:v>
      </x:c>
      <x:c r="AC77" s="43" t="str">
        <x:v>Full</x:v>
      </x:c>
    </x:row>
    <x:row r="78" ht="18" customHeight="1">
      <x:c r="A78" s="43" t="str">
        <x:v>Guards / Infantry</x:v>
      </x:c>
      <x:c r="B78" s="43" t="str">
        <x:v>Infantry Damage</x:v>
      </x:c>
      <x:c r="C78" s="43" t="str">
        <x:v>Higher</x:v>
      </x:c>
      <x:c r="D78" s="43" t="str">
        <x:v>Top 5 average</x:v>
      </x:c>
      <x:c r="E78" s="44" t="n">
        <x:v>1.6975000000000002</x:v>
      </x:c>
      <x:c r="F78" s="43" t="n">
        <x:v>5</x:v>
      </x:c>
      <x:c r="G78" s="44" t="n">
        <x:v>1.399</x:v>
      </x:c>
      <x:c r="H78" s="43" t="n">
        <x:v>5</x:v>
      </x:c>
      <x:c r="I78" s="44" t="n">
        <x:v>1.6855</x:v>
      </x:c>
      <x:c r="J78" s="43" t="n">
        <x:v>5</x:v>
      </x:c>
      <x:c r="K78" s="44" t="n">
        <x:v>1.5980000000000003</x:v>
      </x:c>
      <x:c r="L78" s="43" t="n">
        <x:v>5</x:v>
      </x:c>
      <x:c r="M78" s="44" t="n">
        <x:v>1.611</x:v>
      </x:c>
      <x:c r="N78" s="43" t="n">
        <x:v>5</x:v>
      </x:c>
      <x:c r="O78" s="44" t="n">
        <x:v>1.6985</x:v>
      </x:c>
      <x:c r="P78" s="43" t="n">
        <x:v>5</x:v>
      </x:c>
      <x:c r="Q78" s="44" t="n">
        <x:v>1.54</x:v>
      </x:c>
      <x:c r="R78" s="43" t="n">
        <x:v>5</x:v>
      </x:c>
      <x:c r="S78" s="44" t="n">
        <x:v>1.495</x:v>
      </x:c>
      <x:c r="T78" s="43" t="n">
        <x:v>5</x:v>
      </x:c>
      <x:c r="U78" s="43" t="str">
        <x:v>K54</x:v>
      </x:c>
      <x:c r="V78" s="44" t="n">
        <x:v>-0.09949999999999992</x:v>
      </x:c>
      <x:c r="W78" s="44" t="n">
        <x:v>0.1990000000000003</x:v>
      </x:c>
      <x:c r="X78" s="44" t="n">
        <x:v>-0.08749999999999969</x:v>
      </x:c>
      <x:c r="Y78" s="44" t="n">
        <x:v>-0.012999999999999678</x:v>
      </x:c>
      <x:c r="Z78" s="44" t="n">
        <x:v>-0.10049999999999959</x:v>
      </x:c>
      <x:c r="AA78" s="44" t="n">
        <x:v>0.058000000000000274</x:v>
      </x:c>
      <x:c r="AB78" s="44" t="n">
        <x:v>0.1030000000000002</x:v>
      </x:c>
      <x:c r="AC78" s="43" t="str">
        <x:v>Full</x:v>
      </x:c>
    </x:row>
    <x:row r="79" ht="18" customHeight="1">
      <x:c r="A79" s="43" t="str">
        <x:v>Guards / Infantry</x:v>
      </x:c>
      <x:c r="B79" s="43" t="str">
        <x:v>Infantry Damage</x:v>
      </x:c>
      <x:c r="C79" s="43" t="str">
        <x:v>Higher</x:v>
      </x:c>
      <x:c r="D79" s="43" t="str">
        <x:v>Top 15 average</x:v>
      </x:c>
      <x:c r="E79" s="44" t="n">
        <x:v>1.181733333333333</x:v>
      </x:c>
      <x:c r="F79" s="43" t="n">
        <x:v>15</x:v>
      </x:c>
      <x:c r="G79" s="44" t="n">
        <x:v>0.8380333333333334</x:v>
      </x:c>
      <x:c r="H79" s="43" t="n">
        <x:v>15</x:v>
      </x:c>
      <x:c r="I79" s="44" t="n">
        <x:v>1.4749999999999999</x:v>
      </x:c>
      <x:c r="J79" s="43" t="n">
        <x:v>15</x:v>
      </x:c>
      <x:c r="K79" s="44" t="n">
        <x:v>1.4745</x:v>
      </x:c>
      <x:c r="L79" s="43" t="n">
        <x:v>15</x:v>
      </x:c>
      <x:c r="M79" s="44" t="n">
        <x:v>1.4634999999999998</x:v>
      </x:c>
      <x:c r="N79" s="43" t="n">
        <x:v>15</x:v>
      </x:c>
      <x:c r="O79" s="44" t="n">
        <x:v>1.4102272727272727</x:v>
      </x:c>
      <x:c r="P79" s="43" t="n">
        <x:v>11</x:v>
      </x:c>
      <x:c r="Q79" s="44" t="n">
        <x:v>1.0824666666666665</x:v>
      </x:c>
      <x:c r="R79" s="43" t="n">
        <x:v>15</x:v>
      </x:c>
      <x:c r="S79" s="44" t="n">
        <x:v>1.2910000000000001</x:v>
      </x:c>
      <x:c r="T79" s="43" t="n">
        <x:v>15</x:v>
      </x:c>
      <x:c r="U79" s="43" t="str">
        <x:v>K116</x:v>
      </x:c>
      <x:c r="V79" s="44" t="n">
        <x:v>0.29276666666666684</x:v>
      </x:c>
      <x:c r="W79" s="44" t="n">
        <x:v>0.6364666666666665</x:v>
      </x:c>
      <x:c r="X79" s="44" t="n">
        <x:v>-0.0004999999999999449</x:v>
      </x:c>
      <x:c r="Y79" s="44" t="n">
        <x:v>0.01100000000000012</x:v>
      </x:c>
      <x:c r="Z79" s="44" t="n">
        <x:v>0.06427272727272726</x:v>
      </x:c>
      <x:c r="AA79" s="44" t="n">
        <x:v>0.39203333333333346</x:v>
      </x:c>
      <x:c r="AB79" s="44" t="n">
        <x:v>0.18349999999999977</x:v>
      </x:c>
      <x:c r="AC79" s="43" t="str">
        <x:v>Full</x:v>
      </x:c>
    </x:row>
    <x:row r="80" ht="18" customHeight="1">
      <x:c r="A80" s="43" t="str">
        <x:v>Guards / Infantry</x:v>
      </x:c>
      <x:c r="B80" s="43" t="str">
        <x:v>Infantry Damage</x:v>
      </x:c>
      <x:c r="C80" s="43" t="str">
        <x:v>Higher</x:v>
      </x:c>
      <x:c r="D80" s="43" t="str">
        <x:v>All players mean</x:v>
      </x:c>
      <x:c r="E80" s="44" t="n">
        <x:v>0.9050399999999992</x:v>
      </x:c>
      <x:c r="F80" s="43" t="n">
        <x:v>25</x:v>
      </x:c>
      <x:c r="G80" s="44" t="n">
        <x:v>0.7340250000000001</x:v>
      </x:c>
      <x:c r="H80" s="43" t="n">
        <x:v>20</x:v>
      </x:c>
      <x:c r="I80" s="44" t="n">
        <x:v>1.4023749999999997</x:v>
      </x:c>
      <x:c r="J80" s="43" t="n">
        <x:v>20</x:v>
      </x:c>
      <x:c r="K80" s="44" t="n">
        <x:v>1.2674999999999998</x:v>
      </x:c>
      <x:c r="L80" s="43" t="n">
        <x:v>27</x:v>
      </x:c>
      <x:c r="M80" s="44" t="n">
        <x:v>1.1198913043478256</x:v>
      </x:c>
      <x:c r="N80" s="43" t="n">
        <x:v>23</x:v>
      </x:c>
      <x:c r="O80" s="44" t="n">
        <x:v>1.4102272727272727</x:v>
      </x:c>
      <x:c r="P80" s="43" t="n">
        <x:v>11</x:v>
      </x:c>
      <x:c r="Q80" s="44" t="n">
        <x:v>0.937736842105263</x:v>
      </x:c>
      <x:c r="R80" s="43" t="n">
        <x:v>19</x:v>
      </x:c>
      <x:c r="S80" s="44" t="n">
        <x:v>1.0449090909090908</x:v>
      </x:c>
      <x:c r="T80" s="43" t="n">
        <x:v>22</x:v>
      </x:c>
      <x:c r="U80" s="43" t="str">
        <x:v>K54</x:v>
      </x:c>
      <x:c r="V80" s="44" t="n">
        <x:v>0.36246000000000067</x:v>
      </x:c>
      <x:c r="W80" s="44" t="n">
        <x:v>0.5334749999999997</x:v>
      </x:c>
      <x:c r="X80" s="44" t="n">
        <x:v>-0.13487499999999986</x:v>
      </x:c>
      <x:c r="Y80" s="44" t="n">
        <x:v>0.14760869565217427</x:v>
      </x:c>
      <x:c r="Z80" s="44" t="n">
        <x:v>-0.1427272727272728</x:v>
      </x:c>
      <x:c r="AA80" s="44" t="n">
        <x:v>0.32976315789473687</x:v>
      </x:c>
      <x:c r="AB80" s="44" t="n">
        <x:v>0.22259090909090906</x:v>
      </x:c>
      <x:c r="AC80" s="43" t="str">
        <x:v>Full</x:v>
      </x:c>
    </x:row>
    <x:row r="81" ht="18" customHeight="1">
      <x:c r="A81" s="43" t="str">
        <x:v>Guards / Infantry</x:v>
      </x:c>
      <x:c r="B81" s="43" t="str">
        <x:v>Infantry Damage Received</x:v>
      </x:c>
      <x:c r="C81" s="43" t="str">
        <x:v>Lower</x:v>
      </x:c>
      <x:c r="D81" s="43" t="str">
        <x:v>Best player</x:v>
      </x:c>
      <x:c r="E81" s="44" t="n">
        <x:v>-2.19</x:v>
      </x:c>
      <x:c r="F81" s="43" t="n">
        <x:v>1</x:v>
      </x:c>
      <x:c r="G81" s="44" t="n">
        <x:v>-2.365</x:v>
      </x:c>
      <x:c r="H81" s="43" t="n">
        <x:v>1</x:v>
      </x:c>
      <x:c r="I81" s="44" t="n">
        <x:v>-2.16</x:v>
      </x:c>
      <x:c r="J81" s="43" t="n">
        <x:v>1</x:v>
      </x:c>
      <x:c r="K81" s="44" t="n">
        <x:v>-2.16</x:v>
      </x:c>
      <x:c r="L81" s="43" t="n">
        <x:v>1</x:v>
      </x:c>
      <x:c r="M81" s="44" t="n">
        <x:v>-2.115</x:v>
      </x:c>
      <x:c r="N81" s="43" t="n">
        <x:v>1</x:v>
      </x:c>
      <x:c r="O81" s="44" t="n">
        <x:v>-2.365</x:v>
      </x:c>
      <x:c r="P81" s="43" t="n">
        <x:v>1</x:v>
      </x:c>
      <x:c r="Q81" s="44" t="n">
        <x:v>-2.345</x:v>
      </x:c>
      <x:c r="R81" s="43" t="n">
        <x:v>1</x:v>
      </x:c>
      <x:c r="S81" s="44" t="n">
        <x:v>-2.035</x:v>
      </x:c>
      <x:c r="T81" s="43" t="n">
        <x:v>1</x:v>
      </x:c>
      <x:c r="U81" s="43" t="str">
        <x:v>Tie</x:v>
      </x:c>
      <x:c r="V81" s="44" t="n">
        <x:v>0.029999999999999805</x:v>
      </x:c>
      <x:c r="W81" s="44" t="n">
        <x:v>0.20500000000000007</x:v>
      </x:c>
      <x:c r="X81" s="44" t="n">
        <x:v>0</x:v>
      </x:c>
      <x:c r="Y81" s="44" t="n">
        <x:v>-0.04499999999999993</x:v>
      </x:c>
      <x:c r="Z81" s="44" t="n">
        <x:v>0.20500000000000007</x:v>
      </x:c>
      <x:c r="AA81" s="44" t="n">
        <x:v>0.18500000000000005</x:v>
      </x:c>
      <x:c r="AB81" s="44" t="n">
        <x:v>-0.125</x:v>
      </x:c>
      <x:c r="AC81" s="43" t="str">
        <x:v>Full</x:v>
      </x:c>
    </x:row>
    <x:row r="82" ht="18" customHeight="1">
      <x:c r="A82" s="43" t="str">
        <x:v>Guards / Infantry</x:v>
      </x:c>
      <x:c r="B82" s="43" t="str">
        <x:v>Infantry Damage Received</x:v>
      </x:c>
      <x:c r="C82" s="43" t="str">
        <x:v>Lower</x:v>
      </x:c>
      <x:c r="D82" s="43" t="str">
        <x:v>Top 5 average</x:v>
      </x:c>
      <x:c r="E82" s="44" t="n">
        <x:v>-1.8795000000000002</x:v>
      </x:c>
      <x:c r="F82" s="43" t="n">
        <x:v>5</x:v>
      </x:c>
      <x:c r="G82" s="44" t="n">
        <x:v>-1.6675</x:v>
      </x:c>
      <x:c r="H82" s="43" t="n">
        <x:v>5</x:v>
      </x:c>
      <x:c r="I82" s="44" t="n">
        <x:v>-1.7905000000000002</x:v>
      </x:c>
      <x:c r="J82" s="43" t="n">
        <x:v>5</x:v>
      </x:c>
      <x:c r="K82" s="44" t="n">
        <x:v>-1.8290000000000002</x:v>
      </x:c>
      <x:c r="L82" s="43" t="n">
        <x:v>5</x:v>
      </x:c>
      <x:c r="M82" s="44" t="n">
        <x:v>-1.8065000000000002</x:v>
      </x:c>
      <x:c r="N82" s="43" t="n">
        <x:v>5</x:v>
      </x:c>
      <x:c r="O82" s="44" t="n">
        <x:v>-2.0100000000000002</x:v>
      </x:c>
      <x:c r="P82" s="43" t="n">
        <x:v>5</x:v>
      </x:c>
      <x:c r="Q82" s="44" t="n">
        <x:v>-1.7535</x:v>
      </x:c>
      <x:c r="R82" s="43" t="n">
        <x:v>5</x:v>
      </x:c>
      <x:c r="S82" s="44" t="n">
        <x:v>-1.759</x:v>
      </x:c>
      <x:c r="T82" s="43" t="n">
        <x:v>5</x:v>
      </x:c>
      <x:c r="U82" s="43" t="str">
        <x:v>K54</x:v>
      </x:c>
      <x:c r="V82" s="44" t="n">
        <x:v>0.05049999999999999</x:v>
      </x:c>
      <x:c r="W82" s="44" t="n">
        <x:v>-0.1615000000000002</x:v>
      </x:c>
      <x:c r="X82" s="44" t="n">
        <x:v>-0.03849999999999998</x:v>
      </x:c>
      <x:c r="Y82" s="44" t="n">
        <x:v>-0.022499999999999964</x:v>
      </x:c>
      <x:c r="Z82" s="44" t="n">
        <x:v>0.18100000000000005</x:v>
      </x:c>
      <x:c r="AA82" s="44" t="n">
        <x:v>-0.07550000000000012</x:v>
      </x:c>
      <x:c r="AB82" s="44" t="n">
        <x:v>-0.07000000000000028</x:v>
      </x:c>
      <x:c r="AC82" s="43" t="str">
        <x:v>Full</x:v>
      </x:c>
    </x:row>
    <x:row r="83" ht="18" customHeight="1">
      <x:c r="A83" s="43" t="str">
        <x:v>Guards / Infantry</x:v>
      </x:c>
      <x:c r="B83" s="43" t="str">
        <x:v>Infantry Damage Received</x:v>
      </x:c>
      <x:c r="C83" s="43" t="str">
        <x:v>Lower</x:v>
      </x:c>
      <x:c r="D83" s="43" t="str">
        <x:v>Top 15 average</x:v>
      </x:c>
      <x:c r="E83" s="44" t="n">
        <x:v>-1.3471666666666666</x:v>
      </x:c>
      <x:c r="F83" s="43" t="n">
        <x:v>15</x:v>
      </x:c>
      <x:c r="G83" s="44" t="n">
        <x:v>-0.9965</x:v>
      </x:c>
      <x:c r="H83" s="43" t="n">
        <x:v>15</x:v>
      </x:c>
      <x:c r="I83" s="44" t="n">
        <x:v>-1.6151000000000004</x:v>
      </x:c>
      <x:c r="J83" s="43" t="n">
        <x:v>15</x:v>
      </x:c>
      <x:c r="K83" s="44" t="n">
        <x:v>-1.653</x:v>
      </x:c>
      <x:c r="L83" s="43" t="n">
        <x:v>15</x:v>
      </x:c>
      <x:c r="M83" s="44" t="n">
        <x:v>-1.621666666666667</x:v>
      </x:c>
      <x:c r="N83" s="43" t="n">
        <x:v>15</x:v>
      </x:c>
      <x:c r="O83" s="44" t="n">
        <x:v>-1.6170454545454545</x:v>
      </x:c>
      <x:c r="P83" s="43" t="n">
        <x:v>11</x:v>
      </x:c>
      <x:c r="Q83" s="44" t="n">
        <x:v>-1.1544666666666668</x:v>
      </x:c>
      <x:c r="R83" s="43" t="n">
        <x:v>15</x:v>
      </x:c>
      <x:c r="S83" s="44" t="n">
        <x:v>-1.4537666666666667</x:v>
      </x:c>
      <x:c r="T83" s="43" t="n">
        <x:v>15</x:v>
      </x:c>
      <x:c r="U83" s="43" t="str">
        <x:v>K138</x:v>
      </x:c>
      <x:c r="V83" s="44" t="n">
        <x:v>-0.3058333333333334</x:v>
      </x:c>
      <x:c r="W83" s="44" t="n">
        <x:v>-0.6565</x:v>
      </x:c>
      <x:c r="X83" s="44" t="n">
        <x:v>-0.0378999999999996</x:v>
      </x:c>
      <x:c r="Y83" s="44" t="n">
        <x:v>-0.03133333333333299</x:v>
      </x:c>
      <x:c r="Z83" s="44" t="n">
        <x:v>-0.03595454545454557</x:v>
      </x:c>
      <x:c r="AA83" s="44" t="n">
        <x:v>-0.4985333333333333</x:v>
      </x:c>
      <x:c r="AB83" s="44" t="n">
        <x:v>-0.19923333333333337</x:v>
      </x:c>
      <x:c r="AC83" s="43" t="str">
        <x:v>Full</x:v>
      </x:c>
    </x:row>
    <x:row r="84" ht="18" customHeight="1">
      <x:c r="A84" s="43" t="str">
        <x:v>Guards / Infantry</x:v>
      </x:c>
      <x:c r="B84" s="43" t="str">
        <x:v>Infantry Damage Received</x:v>
      </x:c>
      <x:c r="C84" s="43" t="str">
        <x:v>Lower</x:v>
      </x:c>
      <x:c r="D84" s="43" t="str">
        <x:v>All players mean</x:v>
      </x:c>
      <x:c r="E84" s="44" t="n">
        <x:v>-1.0557400000000003</x:v>
      </x:c>
      <x:c r="F84" s="43" t="n">
        <x:v>25</x:v>
      </x:c>
      <x:c r="G84" s="44" t="n">
        <x:v>-0.8806500000000002</x:v>
      </x:c>
      <x:c r="H84" s="43" t="n">
        <x:v>20</x:v>
      </x:c>
      <x:c r="I84" s="44" t="n">
        <x:v>-1.5351500000000002</x:v>
      </x:c>
      <x:c r="J84" s="43" t="n">
        <x:v>20</x:v>
      </x:c>
      <x:c r="K84" s="44" t="n">
        <x:v>-1.4070370370370373</x:v>
      </x:c>
      <x:c r="L84" s="43" t="n">
        <x:v>27</x:v>
      </x:c>
      <x:c r="M84" s="44" t="n">
        <x:v>-1.2863043478260874</x:v>
      </x:c>
      <x:c r="N84" s="43" t="n">
        <x:v>23</x:v>
      </x:c>
      <x:c r="O84" s="44" t="n">
        <x:v>-1.6170454545454545</x:v>
      </x:c>
      <x:c r="P84" s="43" t="n">
        <x:v>11</x:v>
      </x:c>
      <x:c r="Q84" s="44" t="n">
        <x:v>-1.0178157894736841</x:v>
      </x:c>
      <x:c r="R84" s="43" t="n">
        <x:v>19</x:v>
      </x:c>
      <x:c r="S84" s="44" t="n">
        <x:v>-1.1975909090909094</x:v>
      </x:c>
      <x:c r="T84" s="43" t="n">
        <x:v>22</x:v>
      </x:c>
      <x:c r="U84" s="43" t="str">
        <x:v>K54</x:v>
      </x:c>
      <x:c r="V84" s="44" t="n">
        <x:v>-0.35129703703703696</x:v>
      </x:c>
      <x:c r="W84" s="44" t="n">
        <x:v>-0.5263870370370372</x:v>
      </x:c>
      <x:c r="X84" s="44" t="n">
        <x:v>0.12811296296296293</x:v>
      </x:c>
      <x:c r="Y84" s="44" t="n">
        <x:v>-0.12073268921094993</x:v>
      </x:c>
      <x:c r="Z84" s="44" t="n">
        <x:v>0.21000841750841714</x:v>
      </x:c>
      <x:c r="AA84" s="44" t="n">
        <x:v>-0.3892212475633532</x:v>
      </x:c>
      <x:c r="AB84" s="44" t="n">
        <x:v>-0.20944612794612794</x:v>
      </x:c>
      <x:c r="AC84" s="43" t="str">
        <x:v>Full</x:v>
      </x:c>
    </x:row>
    <x:row r="85" ht="18" customHeight="1">
      <x:c r="A85" s="43" t="str">
        <x:v>Guards / Infantry</x:v>
      </x:c>
      <x:c r="B85" s="43" t="str">
        <x:v>Infantry Attack Blessing</x:v>
      </x:c>
      <x:c r="C85" s="43" t="str">
        <x:v>Higher</x:v>
      </x:c>
      <x:c r="D85" s="43" t="str">
        <x:v>Best player</x:v>
      </x:c>
      <x:c r="E85" s="44" t="n">
        <x:v>3.96</x:v>
      </x:c>
      <x:c r="F85" s="43" t="n">
        <x:v>1</x:v>
      </x:c>
      <x:c r="G85" s="44" t="n">
        <x:v>7.14</x:v>
      </x:c>
      <x:c r="H85" s="43" t="n">
        <x:v>1</x:v>
      </x:c>
      <x:c r="I85" s="44" t="n">
        <x:v>7</x:v>
      </x:c>
      <x:c r="J85" s="43" t="n">
        <x:v>1</x:v>
      </x:c>
      <x:c r="K85" s="44" t="n">
        <x:v>3.47</x:v>
      </x:c>
      <x:c r="L85" s="43" t="n">
        <x:v>1</x:v>
      </x:c>
      <x:c r="M85" s="44" t="n">
        <x:v>2.54</x:v>
      </x:c>
      <x:c r="N85" s="43" t="n">
        <x:v>1</x:v>
      </x:c>
      <x:c r="O85" s="44" t="n">
        <x:v>9</x:v>
      </x:c>
      <x:c r="P85" s="43" t="n">
        <x:v>1</x:v>
      </x:c>
      <x:c r="Q85" s="44" t="n">
        <x:v>9</x:v>
      </x:c>
      <x:c r="R85" s="43" t="n">
        <x:v>1</x:v>
      </x:c>
      <x:c r="S85" s="44" t="n">
        <x:v>7</x:v>
      </x:c>
      <x:c r="T85" s="43" t="n">
        <x:v>1</x:v>
      </x:c>
      <x:c r="U85" s="43" t="str">
        <x:v>Tie</x:v>
      </x:c>
      <x:c r="V85" s="44" t="n">
        <x:v>-0.48999999999999977</x:v>
      </x:c>
      <x:c r="W85" s="44" t="n">
        <x:v>-3.6699999999999995</x:v>
      </x:c>
      <x:c r="X85" s="44" t="n">
        <x:v>-3.53</x:v>
      </x:c>
      <x:c r="Y85" s="44" t="n">
        <x:v>0.9300000000000002</x:v>
      </x:c>
      <x:c r="Z85" s="44" t="n">
        <x:v>-5.529999999999999</x:v>
      </x:c>
      <x:c r="AA85" s="44" t="n">
        <x:v>-5.529999999999999</x:v>
      </x:c>
      <x:c r="AB85" s="44" t="n">
        <x:v>-3.53</x:v>
      </x:c>
      <x:c r="AC85" s="43" t="str">
        <x:v>Full</x:v>
      </x:c>
    </x:row>
    <x:row r="86" ht="18" customHeight="1">
      <x:c r="A86" s="43" t="str">
        <x:v>Guards / Infantry</x:v>
      </x:c>
      <x:c r="B86" s="43" t="str">
        <x:v>Infantry Attack Blessing</x:v>
      </x:c>
      <x:c r="C86" s="43" t="str">
        <x:v>Higher</x:v>
      </x:c>
      <x:c r="D86" s="43" t="str">
        <x:v>Top 5 average</x:v>
      </x:c>
      <x:c r="E86" s="44" t="n">
        <x:v>2.492</x:v>
      </x:c>
      <x:c r="F86" s="43" t="n">
        <x:v>5</x:v>
      </x:c>
      <x:c r="G86" s="44" t="n">
        <x:v>3.5780000000000003</x:v>
      </x:c>
      <x:c r="H86" s="43" t="n">
        <x:v>5</x:v>
      </x:c>
      <x:c r="I86" s="44" t="n">
        <x:v>5.856</x:v>
      </x:c>
      <x:c r="J86" s="43" t="n">
        <x:v>5</x:v>
      </x:c>
      <x:c r="K86" s="44" t="n">
        <x:v>2.4899999999999998</x:v>
      </x:c>
      <x:c r="L86" s="43" t="n">
        <x:v>5</x:v>
      </x:c>
      <x:c r="M86" s="44" t="n">
        <x:v>2.2600000000000002</x:v>
      </x:c>
      <x:c r="N86" s="43" t="n">
        <x:v>5</x:v>
      </x:c>
      <x:c r="O86" s="44" t="n">
        <x:v>6.794</x:v>
      </x:c>
      <x:c r="P86" s="43" t="n">
        <x:v>5</x:v>
      </x:c>
      <x:c r="Q86" s="44" t="n">
        <x:v>5.394</x:v>
      </x:c>
      <x:c r="R86" s="43" t="n">
        <x:v>5</x:v>
      </x:c>
      <x:c r="S86" s="44" t="n">
        <x:v>4.566</x:v>
      </x:c>
      <x:c r="T86" s="43" t="n">
        <x:v>5</x:v>
      </x:c>
      <x:c r="U86" s="43" t="str">
        <x:v>K54</x:v>
      </x:c>
      <x:c r="V86" s="44" t="n">
        <x:v>-0.002000000000000224</x:v>
      </x:c>
      <x:c r="W86" s="44" t="n">
        <x:v>-1.0880000000000005</x:v>
      </x:c>
      <x:c r="X86" s="44" t="n">
        <x:v>-3.366</x:v>
      </x:c>
      <x:c r="Y86" s="44" t="n">
        <x:v>0.22999999999999954</x:v>
      </x:c>
      <x:c r="Z86" s="44" t="n">
        <x:v>-4.304</x:v>
      </x:c>
      <x:c r="AA86" s="44" t="n">
        <x:v>-2.9040000000000004</x:v>
      </x:c>
      <x:c r="AB86" s="44" t="n">
        <x:v>-2.076</x:v>
      </x:c>
      <x:c r="AC86" s="43" t="str">
        <x:v>Full</x:v>
      </x:c>
    </x:row>
    <x:row r="87" ht="18" customHeight="1">
      <x:c r="A87" s="43" t="str">
        <x:v>Guards / Infantry</x:v>
      </x:c>
      <x:c r="B87" s="43" t="str">
        <x:v>Infantry Attack Blessing</x:v>
      </x:c>
      <x:c r="C87" s="43" t="str">
        <x:v>Higher</x:v>
      </x:c>
      <x:c r="D87" s="43" t="str">
        <x:v>Top 15 average</x:v>
      </x:c>
      <x:c r="E87" s="44" t="n">
        <x:v>1.647333333333333</x:v>
      </x:c>
      <x:c r="F87" s="43" t="n">
        <x:v>15</x:v>
      </x:c>
      <x:c r="G87" s="44" t="n">
        <x:v>2.102</x:v>
      </x:c>
      <x:c r="H87" s="43" t="n">
        <x:v>15</x:v>
      </x:c>
      <x:c r="I87" s="44" t="n">
        <x:v>3.016666666666667</x:v>
      </x:c>
      <x:c r="J87" s="43" t="n">
        <x:v>15</x:v>
      </x:c>
      <x:c r="K87" s="44" t="n">
        <x:v>1.7899999999999994</x:v>
      </x:c>
      <x:c r="L87" s="43" t="n">
        <x:v>15</x:v>
      </x:c>
      <x:c r="M87" s="44" t="n">
        <x:v>1.7053333333333334</x:v>
      </x:c>
      <x:c r="N87" s="43" t="n">
        <x:v>15</x:v>
      </x:c>
      <x:c r="O87" s="44" t="n">
        <x:v>3.872727272727272</x:v>
      </x:c>
      <x:c r="P87" s="43" t="n">
        <x:v>11</x:v>
      </x:c>
      <x:c r="Q87" s="44" t="n">
        <x:v>2.5939999999999994</x:v>
      </x:c>
      <x:c r="R87" s="43" t="n">
        <x:v>15</x:v>
      </x:c>
      <x:c r="S87" s="44" t="n">
        <x:v>2.7326666666666664</x:v>
      </x:c>
      <x:c r="T87" s="43" t="n">
        <x:v>15</x:v>
      </x:c>
      <x:c r="U87" s="43" t="str">
        <x:v>K54</x:v>
      </x:c>
      <x:c r="V87" s="44" t="n">
        <x:v>0.14266666666666628</x:v>
      </x:c>
      <x:c r="W87" s="44" t="n">
        <x:v>-0.3120000000000005</x:v>
      </x:c>
      <x:c r="X87" s="44" t="n">
        <x:v>-1.2266666666666677</x:v>
      </x:c>
      <x:c r="Y87" s="44" t="n">
        <x:v>0.084666666666666</x:v>
      </x:c>
      <x:c r="Z87" s="44" t="n">
        <x:v>-2.082727272727273</x:v>
      </x:c>
      <x:c r="AA87" s="44" t="n">
        <x:v>-0.804</x:v>
      </x:c>
      <x:c r="AB87" s="44" t="n">
        <x:v>-0.942666666666667</x:v>
      </x:c>
      <x:c r="AC87" s="43" t="str">
        <x:v>Full</x:v>
      </x:c>
    </x:row>
    <x:row r="88" ht="18" customHeight="1">
      <x:c r="A88" s="43" t="str">
        <x:v>Guards / Infantry</x:v>
      </x:c>
      <x:c r="B88" s="43" t="str">
        <x:v>Infantry Attack Blessing</x:v>
      </x:c>
      <x:c r="C88" s="43" t="str">
        <x:v>Higher</x:v>
      </x:c>
      <x:c r="D88" s="43" t="str">
        <x:v>All players mean</x:v>
      </x:c>
      <x:c r="E88" s="44" t="n">
        <x:v>1.3503999999999998</x:v>
      </x:c>
      <x:c r="F88" s="43" t="n">
        <x:v>25</x:v>
      </x:c>
      <x:c r="G88" s="44" t="n">
        <x:v>1.7790000000000004</x:v>
      </x:c>
      <x:c r="H88" s="43" t="n">
        <x:v>20</x:v>
      </x:c>
      <x:c r="I88" s="44" t="n">
        <x:v>2.4157500000000005</x:v>
      </x:c>
      <x:c r="J88" s="43" t="n">
        <x:v>20</x:v>
      </x:c>
      <x:c r="K88" s="44" t="n">
        <x:v>1.3822222222222218</x:v>
      </x:c>
      <x:c r="L88" s="43" t="n">
        <x:v>27</x:v>
      </x:c>
      <x:c r="M88" s="44" t="n">
        <x:v>1.4191304347826084</x:v>
      </x:c>
      <x:c r="N88" s="43" t="n">
        <x:v>23</x:v>
      </x:c>
      <x:c r="O88" s="44" t="n">
        <x:v>3.872727272727272</x:v>
      </x:c>
      <x:c r="P88" s="43" t="n">
        <x:v>11</x:v>
      </x:c>
      <x:c r="Q88" s="44" t="n">
        <x:v>2.206315789473684</x:v>
      </x:c>
      <x:c r="R88" s="43" t="n">
        <x:v>19</x:v>
      </x:c>
      <x:c r="S88" s="44" t="n">
        <x:v>2.1172727272727268</x:v>
      </x:c>
      <x:c r="T88" s="43" t="n">
        <x:v>22</x:v>
      </x:c>
      <x:c r="U88" s="43" t="str">
        <x:v>K54</x:v>
      </x:c>
      <x:c r="V88" s="44" t="n">
        <x:v>0.031822222222221974</x:v>
      </x:c>
      <x:c r="W88" s="44" t="n">
        <x:v>-0.39677777777777856</x:v>
      </x:c>
      <x:c r="X88" s="44" t="n">
        <x:v>-1.0335277777777787</x:v>
      </x:c>
      <x:c r="Y88" s="44" t="n">
        <x:v>-0.036908212560386566</x:v>
      </x:c>
      <x:c r="Z88" s="44" t="n">
        <x:v>-2.4905050505050506</x:v>
      </x:c>
      <x:c r="AA88" s="44" t="n">
        <x:v>-0.824093567251462</x:v>
      </x:c>
      <x:c r="AB88" s="44" t="n">
        <x:v>-0.735050505050505</x:v>
      </x:c>
      <x:c r="AC88" s="43" t="str">
        <x:v>Full</x:v>
      </x:c>
    </x:row>
    <x:row r="89" ht="18" customHeight="1">
      <x:c r="A89" s="43" t="str">
        <x:v>Guards / Infantry</x:v>
      </x:c>
      <x:c r="B89" s="43" t="str">
        <x:v>Infantry Protection Blessing</x:v>
      </x:c>
      <x:c r="C89" s="43" t="str">
        <x:v>Higher</x:v>
      </x:c>
      <x:c r="D89" s="43" t="str">
        <x:v>Best player</x:v>
      </x:c>
      <x:c r="E89" s="44" t="n">
        <x:v>7.28</x:v>
      </x:c>
      <x:c r="F89" s="43" t="n">
        <x:v>1</x:v>
      </x:c>
      <x:c r="G89" s="44" t="n">
        <x:v>9</x:v>
      </x:c>
      <x:c r="H89" s="43" t="n">
        <x:v>1</x:v>
      </x:c>
      <x:c r="I89" s="44" t="n">
        <x:v>9</x:v>
      </x:c>
      <x:c r="J89" s="43" t="n">
        <x:v>1</x:v>
      </x:c>
      <x:c r="K89" s="44" t="n">
        <x:v>7</x:v>
      </x:c>
      <x:c r="L89" s="43" t="n">
        <x:v>1</x:v>
      </x:c>
      <x:c r="M89" s="44" t="n">
        <x:v>7</x:v>
      </x:c>
      <x:c r="N89" s="43" t="n">
        <x:v>1</x:v>
      </x:c>
      <x:c r="O89" s="44" t="n">
        <x:v>9</x:v>
      </x:c>
      <x:c r="P89" s="43" t="n">
        <x:v>1</x:v>
      </x:c>
      <x:c r="Q89" s="44" t="n">
        <x:v>9</x:v>
      </x:c>
      <x:c r="R89" s="43" t="n">
        <x:v>1</x:v>
      </x:c>
      <x:c r="S89" s="44" t="n">
        <x:v>9</x:v>
      </x:c>
      <x:c r="T89" s="43" t="n">
        <x:v>1</x:v>
      </x:c>
      <x:c r="U89" s="43" t="str">
        <x:v>Tie</x:v>
      </x:c>
      <x:c r="V89" s="44" t="n">
        <x:v>-0.28000000000000025</x:v>
      </x:c>
      <x:c r="W89" s="44" t="n">
        <x:v>-2</x:v>
      </x:c>
      <x:c r="X89" s="44" t="n">
        <x:v>-2</x:v>
      </x:c>
      <x:c r="Y89" s="44" t="n">
        <x:v>0</x:v>
      </x:c>
      <x:c r="Z89" s="44" t="n">
        <x:v>-2</x:v>
      </x:c>
      <x:c r="AA89" s="44" t="n">
        <x:v>-2</x:v>
      </x:c>
      <x:c r="AB89" s="44" t="n">
        <x:v>-2</x:v>
      </x:c>
      <x:c r="AC89" s="43" t="str">
        <x:v>Full</x:v>
      </x:c>
    </x:row>
    <x:row r="90" ht="18" customHeight="1">
      <x:c r="A90" s="43" t="str">
        <x:v>Guards / Infantry</x:v>
      </x:c>
      <x:c r="B90" s="43" t="str">
        <x:v>Infantry Protection Blessing</x:v>
      </x:c>
      <x:c r="C90" s="43" t="str">
        <x:v>Higher</x:v>
      </x:c>
      <x:c r="D90" s="43" t="str">
        <x:v>Top 5 average</x:v>
      </x:c>
      <x:c r="E90" s="44" t="n">
        <x:v>7.056</x:v>
      </x:c>
      <x:c r="F90" s="43" t="n">
        <x:v>5</x:v>
      </x:c>
      <x:c r="G90" s="44" t="n">
        <x:v>6.76</x:v>
      </x:c>
      <x:c r="H90" s="43" t="n">
        <x:v>5</x:v>
      </x:c>
      <x:c r="I90" s="44" t="n">
        <x:v>7.4</x:v>
      </x:c>
      <x:c r="J90" s="43" t="n">
        <x:v>5</x:v>
      </x:c>
      <x:c r="K90" s="44" t="n">
        <x:v>7</x:v>
      </x:c>
      <x:c r="L90" s="43" t="n">
        <x:v>5</x:v>
      </x:c>
      <x:c r="M90" s="44" t="n">
        <x:v>6.492</x:v>
      </x:c>
      <x:c r="N90" s="43" t="n">
        <x:v>5</x:v>
      </x:c>
      <x:c r="O90" s="44" t="n">
        <x:v>7.632</x:v>
      </x:c>
      <x:c r="P90" s="43" t="n">
        <x:v>5</x:v>
      </x:c>
      <x:c r="Q90" s="44" t="n">
        <x:v>7.418000000000001</x:v>
      </x:c>
      <x:c r="R90" s="43" t="n">
        <x:v>5</x:v>
      </x:c>
      <x:c r="S90" s="44" t="n">
        <x:v>7.353999999999999</x:v>
      </x:c>
      <x:c r="T90" s="43" t="n">
        <x:v>5</x:v>
      </x:c>
      <x:c r="U90" s="43" t="str">
        <x:v>K54</x:v>
      </x:c>
      <x:c r="V90" s="44" t="n">
        <x:v>-0.05600000000000005</x:v>
      </x:c>
      <x:c r="W90" s="44" t="n">
        <x:v>0.2400000000000002</x:v>
      </x:c>
      <x:c r="X90" s="44" t="n">
        <x:v>-0.40000000000000036</x:v>
      </x:c>
      <x:c r="Y90" s="44" t="n">
        <x:v>0.508</x:v>
      </x:c>
      <x:c r="Z90" s="44" t="n">
        <x:v>-0.6319999999999997</x:v>
      </x:c>
      <x:c r="AA90" s="44" t="n">
        <x:v>-0.41800000000000104</x:v>
      </x:c>
      <x:c r="AB90" s="44" t="n">
        <x:v>-0.3539999999999992</x:v>
      </x:c>
      <x:c r="AC90" s="43" t="str">
        <x:v>Full</x:v>
      </x:c>
    </x:row>
    <x:row r="91" ht="18" customHeight="1">
      <x:c r="A91" s="43" t="str">
        <x:v>Guards / Infantry</x:v>
      </x:c>
      <x:c r="B91" s="43" t="str">
        <x:v>Infantry Protection Blessing</x:v>
      </x:c>
      <x:c r="C91" s="43" t="str">
        <x:v>Higher</x:v>
      </x:c>
      <x:c r="D91" s="43" t="str">
        <x:v>Top 15 average</x:v>
      </x:c>
      <x:c r="E91" s="44" t="n">
        <x:v>4.9093333333333335</x:v>
      </x:c>
      <x:c r="F91" s="43" t="n">
        <x:v>15</x:v>
      </x:c>
      <x:c r="G91" s="44" t="n">
        <x:v>4.636666666666667</x:v>
      </x:c>
      <x:c r="H91" s="43" t="n">
        <x:v>15</x:v>
      </x:c>
      <x:c r="I91" s="44" t="n">
        <x:v>5.326666666666666</x:v>
      </x:c>
      <x:c r="J91" s="43" t="n">
        <x:v>15</x:v>
      </x:c>
      <x:c r="K91" s="44" t="n">
        <x:v>5.308000000000002</x:v>
      </x:c>
      <x:c r="L91" s="43" t="n">
        <x:v>15</x:v>
      </x:c>
      <x:c r="M91" s="44" t="n">
        <x:v>5.006666666666667</x:v>
      </x:c>
      <x:c r="N91" s="43" t="n">
        <x:v>15</x:v>
      </x:c>
      <x:c r="O91" s="44" t="n">
        <x:v>6.033636363636362</x:v>
      </x:c>
      <x:c r="P91" s="43" t="n">
        <x:v>11</x:v>
      </x:c>
      <x:c r="Q91" s="44" t="n">
        <x:v>4.486666666666666</x:v>
      </x:c>
      <x:c r="R91" s="43" t="n">
        <x:v>15</x:v>
      </x:c>
      <x:c r="S91" s="44" t="n">
        <x:v>5.503333333333333</x:v>
      </x:c>
      <x:c r="T91" s="43" t="n">
        <x:v>15</x:v>
      </x:c>
      <x:c r="U91" s="43" t="str">
        <x:v>K54</x:v>
      </x:c>
      <x:c r="V91" s="44" t="n">
        <x:v>0.39866666666666806</x:v>
      </x:c>
      <x:c r="W91" s="44" t="n">
        <x:v>0.6713333333333349</x:v>
      </x:c>
      <x:c r="X91" s="44" t="n">
        <x:v>-0.01866666666666461</x:v>
      </x:c>
      <x:c r="Y91" s="44" t="n">
        <x:v>0.3013333333333348</x:v>
      </x:c>
      <x:c r="Z91" s="44" t="n">
        <x:v>-0.7256363636363607</x:v>
      </x:c>
      <x:c r="AA91" s="44" t="n">
        <x:v>0.8213333333333352</x:v>
      </x:c>
      <x:c r="AB91" s="44" t="n">
        <x:v>-0.19533333333333136</x:v>
      </x:c>
      <x:c r="AC91" s="43" t="str">
        <x:v>Full</x:v>
      </x:c>
    </x:row>
    <x:row r="92" ht="18" customHeight="1">
      <x:c r="A92" s="43" t="str">
        <x:v>Guards / Infantry</x:v>
      </x:c>
      <x:c r="B92" s="43" t="str">
        <x:v>Infantry Protection Blessing</x:v>
      </x:c>
      <x:c r="C92" s="43" t="str">
        <x:v>Higher</x:v>
      </x:c>
      <x:c r="D92" s="43" t="str">
        <x:v>All players mean</x:v>
      </x:c>
      <x:c r="E92" s="44" t="n">
        <x:v>3.8172</x:v>
      </x:c>
      <x:c r="F92" s="43" t="n">
        <x:v>25</x:v>
      </x:c>
      <x:c r="G92" s="44" t="n">
        <x:v>3.9814999999999996</x:v>
      </x:c>
      <x:c r="H92" s="43" t="n">
        <x:v>20</x:v>
      </x:c>
      <x:c r="I92" s="44" t="n">
        <x:v>4.448249999999999</x:v>
      </x:c>
      <x:c r="J92" s="43" t="n">
        <x:v>20</x:v>
      </x:c>
      <x:c r="K92" s="44" t="n">
        <x:v>4.005925925925926</x:v>
      </x:c>
      <x:c r="L92" s="43" t="n">
        <x:v>27</x:v>
      </x:c>
      <x:c r="M92" s="44" t="n">
        <x:v>4.139565217391305</x:v>
      </x:c>
      <x:c r="N92" s="43" t="n">
        <x:v>23</x:v>
      </x:c>
      <x:c r="O92" s="44" t="n">
        <x:v>6.033636363636362</x:v>
      </x:c>
      <x:c r="P92" s="43" t="n">
        <x:v>11</x:v>
      </x:c>
      <x:c r="Q92" s="44" t="n">
        <x:v>3.8857894736842105</x:v>
      </x:c>
      <x:c r="R92" s="43" t="n">
        <x:v>19</x:v>
      </x:c>
      <x:c r="S92" s="44" t="n">
        <x:v>4.597727272727272</x:v>
      </x:c>
      <x:c r="T92" s="43" t="n">
        <x:v>22</x:v>
      </x:c>
      <x:c r="U92" s="43" t="str">
        <x:v>K54</x:v>
      </x:c>
      <x:c r="V92" s="44" t="n">
        <x:v>0.18872592592592552</x:v>
      </x:c>
      <x:c r="W92" s="44" t="n">
        <x:v>0.024425925925926073</x:v>
      </x:c>
      <x:c r="X92" s="44" t="n">
        <x:v>-0.44232407407407326</x:v>
      </x:c>
      <x:c r="Y92" s="44" t="n">
        <x:v>-0.13363929146537945</x:v>
      </x:c>
      <x:c r="Z92" s="44" t="n">
        <x:v>-2.0277104377104367</x:v>
      </x:c>
      <x:c r="AA92" s="44" t="n">
        <x:v>0.12013645224171521</x:v>
      </x:c>
      <x:c r="AB92" s="44" t="n">
        <x:v>-0.5918013468013461</x:v>
      </x:c>
      <x:c r="AC92" s="43" t="str">
        <x:v>Full</x:v>
      </x:c>
    </x:row>
    <x:row r="93" ht="18" customHeight="1">
      <x:c r="A93" s="43" t="str">
        <x:v>Cavalry</x:v>
      </x:c>
      <x:c r="B93" s="43" t="str">
        <x:v>Cavalry Attack</x:v>
      </x:c>
      <x:c r="C93" s="43" t="str">
        <x:v>Higher</x:v>
      </x:c>
      <x:c r="D93" s="43" t="str">
        <x:v>Best player</x:v>
      </x:c>
      <x:c r="E93" s="44" t="n">
        <x:v>25.652</x:v>
      </x:c>
      <x:c r="F93" s="43" t="n">
        <x:v>1</x:v>
      </x:c>
      <x:c r="G93" s="44" t="n">
        <x:v>27.3435</x:v>
      </x:c>
      <x:c r="H93" s="43" t="n">
        <x:v>1</x:v>
      </x:c>
      <x:c r="I93" s="44" t="n">
        <x:v>24.4335</x:v>
      </x:c>
      <x:c r="J93" s="43" t="n">
        <x:v>1</x:v>
      </x:c>
      <x:c r="K93" s="44" t="n">
        <x:v>26.4455</x:v>
      </x:c>
      <x:c r="L93" s="43" t="n">
        <x:v>1</x:v>
      </x:c>
      <x:c r="M93" s="44" t="n">
        <x:v>25.552</x:v>
      </x:c>
      <x:c r="N93" s="43" t="n">
        <x:v>1</x:v>
      </x:c>
      <x:c r="O93" s="44" t="n">
        <x:v>29.020500000000002</x:v>
      </x:c>
      <x:c r="P93" s="43" t="n">
        <x:v>1</x:v>
      </x:c>
      <x:c r="Q93" s="44" t="n">
        <x:v>29.883499999999998</x:v>
      </x:c>
      <x:c r="R93" s="43" t="n">
        <x:v>1</x:v>
      </x:c>
      <x:c r="S93" s="44" t="n">
        <x:v>27.822</x:v>
      </x:c>
      <x:c r="T93" s="43" t="n">
        <x:v>1</x:v>
      </x:c>
      <x:c r="U93" s="43" t="str">
        <x:v>K197</x:v>
      </x:c>
      <x:c r="V93" s="44" t="n">
        <x:v>0.7934999999999981</x:v>
      </x:c>
      <x:c r="W93" s="44" t="n">
        <x:v>-0.8979999999999997</x:v>
      </x:c>
      <x:c r="X93" s="44" t="n">
        <x:v>2.0120000000000005</x:v>
      </x:c>
      <x:c r="Y93" s="44" t="n">
        <x:v>0.8934999999999995</x:v>
      </x:c>
      <x:c r="Z93" s="44" t="n">
        <x:v>-2.575000000000003</x:v>
      </x:c>
      <x:c r="AA93" s="44" t="n">
        <x:v>-3.437999999999999</x:v>
      </x:c>
      <x:c r="AB93" s="44" t="n">
        <x:v>-1.3765</x:v>
      </x:c>
      <x:c r="AC93" s="43" t="str">
        <x:v>Full</x:v>
      </x:c>
    </x:row>
    <x:row r="94" ht="18" customHeight="1">
      <x:c r="A94" s="43" t="str">
        <x:v>Cavalry</x:v>
      </x:c>
      <x:c r="B94" s="43" t="str">
        <x:v>Cavalry Attack</x:v>
      </x:c>
      <x:c r="C94" s="43" t="str">
        <x:v>Higher</x:v>
      </x:c>
      <x:c r="D94" s="43" t="str">
        <x:v>Top 5 average</x:v>
      </x:c>
      <x:c r="E94" s="44" t="n">
        <x:v>23.8547</x:v>
      </x:c>
      <x:c r="F94" s="43" t="n">
        <x:v>5</x:v>
      </x:c>
      <x:c r="G94" s="44" t="n">
        <x:v>23.3243</x:v>
      </x:c>
      <x:c r="H94" s="43" t="n">
        <x:v>5</x:v>
      </x:c>
      <x:c r="I94" s="44" t="n">
        <x:v>24.0567</x:v>
      </x:c>
      <x:c r="J94" s="43" t="n">
        <x:v>5</x:v>
      </x:c>
      <x:c r="K94" s="44" t="n">
        <x:v>24.6751</x:v>
      </x:c>
      <x:c r="L94" s="43" t="n">
        <x:v>5</x:v>
      </x:c>
      <x:c r="M94" s="44" t="n">
        <x:v>24.266799999999996</x:v>
      </x:c>
      <x:c r="N94" s="43" t="n">
        <x:v>5</x:v>
      </x:c>
      <x:c r="O94" s="44" t="n">
        <x:v>27.6141</x:v>
      </x:c>
      <x:c r="P94" s="43" t="n">
        <x:v>5</x:v>
      </x:c>
      <x:c r="Q94" s="44" t="n">
        <x:v>24.154200000000003</x:v>
      </x:c>
      <x:c r="R94" s="43" t="n">
        <x:v>5</x:v>
      </x:c>
      <x:c r="S94" s="44" t="n">
        <x:v>26.169999999999998</x:v>
      </x:c>
      <x:c r="T94" s="43" t="n">
        <x:v>5</x:v>
      </x:c>
      <x:c r="U94" s="43" t="str">
        <x:v>K54</x:v>
      </x:c>
      <x:c r="V94" s="44" t="n">
        <x:v>0.8203999999999994</x:v>
      </x:c>
      <x:c r="W94" s="44" t="n">
        <x:v>1.3507999999999996</x:v>
      </x:c>
      <x:c r="X94" s="44" t="n">
        <x:v>0.6184000000000012</x:v>
      </x:c>
      <x:c r="Y94" s="44" t="n">
        <x:v>0.4083000000000041</x:v>
      </x:c>
      <x:c r="Z94" s="44" t="n">
        <x:v>-2.939</x:v>
      </x:c>
      <x:c r="AA94" s="44" t="n">
        <x:v>0.5208999999999975</x:v>
      </x:c>
      <x:c r="AB94" s="44" t="n">
        <x:v>-1.4948999999999977</x:v>
      </x:c>
      <x:c r="AC94" s="43" t="str">
        <x:v>Full</x:v>
      </x:c>
    </x:row>
    <x:row r="95" ht="18" customHeight="1">
      <x:c r="A95" s="43" t="str">
        <x:v>Cavalry</x:v>
      </x:c>
      <x:c r="B95" s="43" t="str">
        <x:v>Cavalry Attack</x:v>
      </x:c>
      <x:c r="C95" s="43" t="str">
        <x:v>Higher</x:v>
      </x:c>
      <x:c r="D95" s="43" t="str">
        <x:v>Top 15 average</x:v>
      </x:c>
      <x:c r="E95" s="44" t="n">
        <x:v>22.648233333333334</x:v>
      </x:c>
      <x:c r="F95" s="43" t="n">
        <x:v>15</x:v>
      </x:c>
      <x:c r="G95" s="44" t="n">
        <x:v>16.342566666666666</x:v>
      </x:c>
      <x:c r="H95" s="43" t="n">
        <x:v>15</x:v>
      </x:c>
      <x:c r="I95" s="44" t="n">
        <x:v>22.10193333333334</x:v>
      </x:c>
      <x:c r="J95" s="43" t="n">
        <x:v>15</x:v>
      </x:c>
      <x:c r="K95" s="44" t="n">
        <x:v>22.853966666666665</x:v>
      </x:c>
      <x:c r="L95" s="43" t="n">
        <x:v>15</x:v>
      </x:c>
      <x:c r="M95" s="44" t="n">
        <x:v>22.636866666666666</x:v>
      </x:c>
      <x:c r="N95" s="43" t="n">
        <x:v>15</x:v>
      </x:c>
      <x:c r="O95" s="44" t="n">
        <x:v>25.75590909090909</x:v>
      </x:c>
      <x:c r="P95" s="43" t="n">
        <x:v>11</x:v>
      </x:c>
      <x:c r="Q95" s="44" t="n">
        <x:v>17.601633333333336</x:v>
      </x:c>
      <x:c r="R95" s="43" t="n">
        <x:v>15</x:v>
      </x:c>
      <x:c r="S95" s="44" t="n">
        <x:v>24.49576666666667</x:v>
      </x:c>
      <x:c r="T95" s="43" t="n">
        <x:v>15</x:v>
      </x:c>
      <x:c r="U95" s="43" t="str">
        <x:v>K54</x:v>
      </x:c>
      <x:c r="V95" s="44" t="n">
        <x:v>0.2057333333333311</x:v>
      </x:c>
      <x:c r="W95" s="44" t="n">
        <x:v>6.511399999999998</x:v>
      </x:c>
      <x:c r="X95" s="44" t="n">
        <x:v>0.7520333333333262</x:v>
      </x:c>
      <x:c r="Y95" s="44" t="n">
        <x:v>0.21709999999999852</x:v>
      </x:c>
      <x:c r="Z95" s="44" t="n">
        <x:v>-2.9019424242424243</x:v>
      </x:c>
      <x:c r="AA95" s="44" t="n">
        <x:v>5.252333333333329</x:v>
      </x:c>
      <x:c r="AB95" s="44" t="n">
        <x:v>-1.6418000000000035</x:v>
      </x:c>
      <x:c r="AC95" s="43" t="str">
        <x:v>Full</x:v>
      </x:c>
    </x:row>
    <x:row r="96" ht="18" customHeight="1">
      <x:c r="A96" s="43" t="str">
        <x:v>Cavalry</x:v>
      </x:c>
      <x:c r="B96" s="43" t="str">
        <x:v>Cavalry Attack</x:v>
      </x:c>
      <x:c r="C96" s="43" t="str">
        <x:v>Higher</x:v>
      </x:c>
      <x:c r="D96" s="43" t="str">
        <x:v>All players mean</x:v>
      </x:c>
      <x:c r="E96" s="44" t="n">
        <x:v>21.82076000000001</x:v>
      </x:c>
      <x:c r="F96" s="43" t="n">
        <x:v>25</x:v>
      </x:c>
      <x:c r="G96" s="44" t="n">
        <x:v>14.982925</x:v>
      </x:c>
      <x:c r="H96" s="43" t="n">
        <x:v>20</x:v>
      </x:c>
      <x:c r="I96" s="44" t="n">
        <x:v>19.7326</x:v>
      </x:c>
      <x:c r="J96" s="43" t="n">
        <x:v>20</x:v>
      </x:c>
      <x:c r="K96" s="44" t="n">
        <x:v>19.389370370370372</x:v>
      </x:c>
      <x:c r="L96" s="43" t="n">
        <x:v>27</x:v>
      </x:c>
      <x:c r="M96" s="44" t="n">
        <x:v>21.114478260869568</x:v>
      </x:c>
      <x:c r="N96" s="43" t="n">
        <x:v>23</x:v>
      </x:c>
      <x:c r="O96" s="44" t="n">
        <x:v>25.75590909090909</x:v>
      </x:c>
      <x:c r="P96" s="43" t="n">
        <x:v>11</x:v>
      </x:c>
      <x:c r="Q96" s="44" t="n">
        <x:v>15.98234210526316</x:v>
      </x:c>
      <x:c r="R96" s="43" t="n">
        <x:v>19</x:v>
      </x:c>
      <x:c r="S96" s="44" t="n">
        <x:v>23.39106818181818</x:v>
      </x:c>
      <x:c r="T96" s="43" t="n">
        <x:v>22</x:v>
      </x:c>
      <x:c r="U96" s="43" t="str">
        <x:v>K54</x:v>
      </x:c>
      <x:c r="V96" s="44" t="n">
        <x:v>-2.4313896296296384</x:v>
      </x:c>
      <x:c r="W96" s="44" t="n">
        <x:v>4.406445370370372</x:v>
      </x:c>
      <x:c r="X96" s="44" t="n">
        <x:v>-0.34322962962962933</x:v>
      </x:c>
      <x:c r="Y96" s="44" t="n">
        <x:v>-1.7251078904991957</x:v>
      </x:c>
      <x:c r="Z96" s="44" t="n">
        <x:v>-6.366538720538717</x:v>
      </x:c>
      <x:c r="AA96" s="44" t="n">
        <x:v>3.407028265107213</x:v>
      </x:c>
      <x:c r="AB96" s="44" t="n">
        <x:v>-4.001697811447809</x:v>
      </x:c>
      <x:c r="AC96" s="43" t="str">
        <x:v>Full</x:v>
      </x:c>
    </x:row>
    <x:row r="97" ht="18" customHeight="1">
      <x:c r="A97" s="43" t="str">
        <x:v>Cavalry</x:v>
      </x:c>
      <x:c r="B97" s="43" t="str">
        <x:v>Cavalry Health</x:v>
      </x:c>
      <x:c r="C97" s="43" t="str">
        <x:v>Higher</x:v>
      </x:c>
      <x:c r="D97" s="43" t="str">
        <x:v>Best player</x:v>
      </x:c>
      <x:c r="E97" s="44" t="n">
        <x:v>18.552</x:v>
      </x:c>
      <x:c r="F97" s="43" t="n">
        <x:v>1</x:v>
      </x:c>
      <x:c r="G97" s="44" t="n">
        <x:v>21.28</x:v>
      </x:c>
      <x:c r="H97" s="43" t="n">
        <x:v>1</x:v>
      </x:c>
      <x:c r="I97" s="44" t="n">
        <x:v>19.08</x:v>
      </x:c>
      <x:c r="J97" s="43" t="n">
        <x:v>1</x:v>
      </x:c>
      <x:c r="K97" s="44" t="n">
        <x:v>19.372</x:v>
      </x:c>
      <x:c r="L97" s="43" t="n">
        <x:v>1</x:v>
      </x:c>
      <x:c r="M97" s="44" t="n">
        <x:v>19.05</x:v>
      </x:c>
      <x:c r="N97" s="43" t="n">
        <x:v>1</x:v>
      </x:c>
      <x:c r="O97" s="44" t="n">
        <x:v>21.45</x:v>
      </x:c>
      <x:c r="P97" s="43" t="n">
        <x:v>1</x:v>
      </x:c>
      <x:c r="Q97" s="44" t="n">
        <x:v>19.32</x:v>
      </x:c>
      <x:c r="R97" s="43" t="n">
        <x:v>1</x:v>
      </x:c>
      <x:c r="S97" s="44" t="n">
        <x:v>19.985</x:v>
      </x:c>
      <x:c r="T97" s="43" t="n">
        <x:v>1</x:v>
      </x:c>
      <x:c r="U97" s="43" t="str">
        <x:v>K54</x:v>
      </x:c>
      <x:c r="V97" s="44" t="n">
        <x:v>0.8200000000000003</x:v>
      </x:c>
      <x:c r="W97" s="44" t="n">
        <x:v>-1.9080000000000013</x:v>
      </x:c>
      <x:c r="X97" s="44" t="n">
        <x:v>0.2920000000000016</x:v>
      </x:c>
      <x:c r="Y97" s="44" t="n">
        <x:v>0.3219999999999992</x:v>
      </x:c>
      <x:c r="Z97" s="44" t="n">
        <x:v>-2.0779999999999994</x:v>
      </x:c>
      <x:c r="AA97" s="44" t="n">
        <x:v>0.0519999999999996</x:v>
      </x:c>
      <x:c r="AB97" s="44" t="n">
        <x:v>-0.6129999999999995</x:v>
      </x:c>
      <x:c r="AC97" s="43" t="str">
        <x:v>Full</x:v>
      </x:c>
    </x:row>
    <x:row r="98" ht="18" customHeight="1">
      <x:c r="A98" s="43" t="str">
        <x:v>Cavalry</x:v>
      </x:c>
      <x:c r="B98" s="43" t="str">
        <x:v>Cavalry Health</x:v>
      </x:c>
      <x:c r="C98" s="43" t="str">
        <x:v>Higher</x:v>
      </x:c>
      <x:c r="D98" s="43" t="str">
        <x:v>Top 5 average</x:v>
      </x:c>
      <x:c r="E98" s="44" t="n">
        <x:v>18.009999999999998</x:v>
      </x:c>
      <x:c r="F98" s="43" t="n">
        <x:v>5</x:v>
      </x:c>
      <x:c r="G98" s="44" t="n">
        <x:v>16.804</x:v>
      </x:c>
      <x:c r="H98" s="43" t="n">
        <x:v>5</x:v>
      </x:c>
      <x:c r="I98" s="44" t="n">
        <x:v>17.819499999999998</x:v>
      </x:c>
      <x:c r="J98" s="43" t="n">
        <x:v>5</x:v>
      </x:c>
      <x:c r="K98" s="44" t="n">
        <x:v>18.086599999999997</x:v>
      </x:c>
      <x:c r="L98" s="43" t="n">
        <x:v>5</x:v>
      </x:c>
      <x:c r="M98" s="44" t="n">
        <x:v>18.591</x:v>
      </x:c>
      <x:c r="N98" s="43" t="n">
        <x:v>5</x:v>
      </x:c>
      <x:c r="O98" s="44" t="n">
        <x:v>17.978699999999996</x:v>
      </x:c>
      <x:c r="P98" s="43" t="n">
        <x:v>5</x:v>
      </x:c>
      <x:c r="Q98" s="44" t="n">
        <x:v>17.7661</x:v>
      </x:c>
      <x:c r="R98" s="43" t="n">
        <x:v>5</x:v>
      </x:c>
      <x:c r="S98" s="44" t="n">
        <x:v>18.329</x:v>
      </x:c>
      <x:c r="T98" s="43" t="n">
        <x:v>5</x:v>
      </x:c>
      <x:c r="U98" s="43" t="str">
        <x:v>K170</x:v>
      </x:c>
      <x:c r="V98" s="44" t="n">
        <x:v>0.07659999999999911</x:v>
      </x:c>
      <x:c r="W98" s="44" t="n">
        <x:v>1.2825999999999986</x:v>
      </x:c>
      <x:c r="X98" s="44" t="n">
        <x:v>0.2670999999999992</x:v>
      </x:c>
      <x:c r="Y98" s="44" t="n">
        <x:v>-0.504400000000004</x:v>
      </x:c>
      <x:c r="Z98" s="44" t="n">
        <x:v>0.10790000000000077</x:v>
      </x:c>
      <x:c r="AA98" s="44" t="n">
        <x:v>0.32049999999999557</x:v>
      </x:c>
      <x:c r="AB98" s="44" t="n">
        <x:v>-0.2424000000000035</x:v>
      </x:c>
      <x:c r="AC98" s="43" t="str">
        <x:v>Full</x:v>
      </x:c>
    </x:row>
    <x:row r="99" ht="18" customHeight="1">
      <x:c r="A99" s="43" t="str">
        <x:v>Cavalry</x:v>
      </x:c>
      <x:c r="B99" s="43" t="str">
        <x:v>Cavalry Health</x:v>
      </x:c>
      <x:c r="C99" s="43" t="str">
        <x:v>Higher</x:v>
      </x:c>
      <x:c r="D99" s="43" t="str">
        <x:v>Top 15 average</x:v>
      </x:c>
      <x:c r="E99" s="44" t="n">
        <x:v>16.804866666666666</x:v>
      </x:c>
      <x:c r="F99" s="43" t="n">
        <x:v>15</x:v>
      </x:c>
      <x:c r="G99" s="44" t="n">
        <x:v>12.81466666666667</x:v>
      </x:c>
      <x:c r="H99" s="43" t="n">
        <x:v>15</x:v>
      </x:c>
      <x:c r="I99" s="44" t="n">
        <x:v>15.603633333333333</x:v>
      </x:c>
      <x:c r="J99" s="43" t="n">
        <x:v>15</x:v>
      </x:c>
      <x:c r="K99" s="44" t="n">
        <x:v>16.369733333333333</x:v>
      </x:c>
      <x:c r="L99" s="43" t="n">
        <x:v>15</x:v>
      </x:c>
      <x:c r="M99" s="44" t="n">
        <x:v>17.416266666666665</x:v>
      </x:c>
      <x:c r="N99" s="43" t="n">
        <x:v>15</x:v>
      </x:c>
      <x:c r="O99" s="44" t="n">
        <x:v>15.816681818181818</x:v>
      </x:c>
      <x:c r="P99" s="43" t="n">
        <x:v>11</x:v>
      </x:c>
      <x:c r="Q99" s="44" t="n">
        <x:v>13.265600000000003</x:v>
      </x:c>
      <x:c r="R99" s="43" t="n">
        <x:v>15</x:v>
      </x:c>
      <x:c r="S99" s="44" t="n">
        <x:v>16.798333333333332</x:v>
      </x:c>
      <x:c r="T99" s="43" t="n">
        <x:v>15</x:v>
      </x:c>
      <x:c r="U99" s="43" t="str">
        <x:v>K170</x:v>
      </x:c>
      <x:c r="V99" s="44" t="n">
        <x:v>-0.43513333333333293</x:v>
      </x:c>
      <x:c r="W99" s="44" t="n">
        <x:v>3.5550666666666633</x:v>
      </x:c>
      <x:c r="X99" s="44" t="n">
        <x:v>0.7660999999999998</x:v>
      </x:c>
      <x:c r="Y99" s="44" t="n">
        <x:v>-1.0465333333333326</x:v>
      </x:c>
      <x:c r="Z99" s="44" t="n">
        <x:v>0.5530515151515143</x:v>
      </x:c>
      <x:c r="AA99" s="44" t="n">
        <x:v>3.10413333333333</x:v>
      </x:c>
      <x:c r="AB99" s="44" t="n">
        <x:v>-0.4285999999999994</x:v>
      </x:c>
      <x:c r="AC99" s="43" t="str">
        <x:v>Full</x:v>
      </x:c>
    </x:row>
    <x:row r="100" ht="18" customHeight="1">
      <x:c r="A100" s="43" t="str">
        <x:v>Cavalry</x:v>
      </x:c>
      <x:c r="B100" s="43" t="str">
        <x:v>Cavalry Health</x:v>
      </x:c>
      <x:c r="C100" s="43" t="str">
        <x:v>Higher</x:v>
      </x:c>
      <x:c r="D100" s="43" t="str">
        <x:v>All players mean</x:v>
      </x:c>
      <x:c r="E100" s="44" t="n">
        <x:v>15.852799999999997</x:v>
      </x:c>
      <x:c r="F100" s="43" t="n">
        <x:v>25</x:v>
      </x:c>
      <x:c r="G100" s="44" t="n">
        <x:v>11.934000000000001</x:v>
      </x:c>
      <x:c r="H100" s="43" t="n">
        <x:v>20</x:v>
      </x:c>
      <x:c r="I100" s="44" t="n">
        <x:v>14.202474999999998</x:v>
      </x:c>
      <x:c r="J100" s="43" t="n">
        <x:v>20</x:v>
      </x:c>
      <x:c r="K100" s="44" t="n">
        <x:v>14.117777777777777</x:v>
      </x:c>
      <x:c r="L100" s="43" t="n">
        <x:v>27</x:v>
      </x:c>
      <x:c r="M100" s="44" t="n">
        <x:v>16.22765217391304</x:v>
      </x:c>
      <x:c r="N100" s="43" t="n">
        <x:v>23</x:v>
      </x:c>
      <x:c r="O100" s="44" t="n">
        <x:v>15.816681818181818</x:v>
      </x:c>
      <x:c r="P100" s="43" t="n">
        <x:v>11</x:v>
      </x:c>
      <x:c r="Q100" s="44" t="n">
        <x:v>12.231789473684211</x:v>
      </x:c>
      <x:c r="R100" s="43" t="n">
        <x:v>19</x:v>
      </x:c>
      <x:c r="S100" s="44" t="n">
        <x:v>16.005454545454548</x:v>
      </x:c>
      <x:c r="T100" s="43" t="n">
        <x:v>22</x:v>
      </x:c>
      <x:c r="U100" s="43" t="str">
        <x:v>K170</x:v>
      </x:c>
      <x:c r="V100" s="44" t="n">
        <x:v>-1.73502222222222</x:v>
      </x:c>
      <x:c r="W100" s="44" t="n">
        <x:v>2.1837777777777756</x:v>
      </x:c>
      <x:c r="X100" s="44" t="n">
        <x:v>-0.08469722222222131</x:v>
      </x:c>
      <x:c r="Y100" s="44" t="n">
        <x:v>-2.109874396135263</x:v>
      </x:c>
      <x:c r="Z100" s="44" t="n">
        <x:v>-1.6989040404040416</x:v>
      </x:c>
      <x:c r="AA100" s="44" t="n">
        <x:v>1.8859883040935657</x:v>
      </x:c>
      <x:c r="AB100" s="44" t="n">
        <x:v>-1.887676767676771</x:v>
      </x:c>
      <x:c r="AC100" s="43" t="str">
        <x:v>Full</x:v>
      </x:c>
    </x:row>
    <x:row r="101" ht="18" customHeight="1">
      <x:c r="A101" s="43" t="str">
        <x:v>Cavalry</x:v>
      </x:c>
      <x:c r="B101" s="43" t="str">
        <x:v>Cavalry Defense</x:v>
      </x:c>
      <x:c r="C101" s="43" t="str">
        <x:v>Higher</x:v>
      </x:c>
      <x:c r="D101" s="43" t="str">
        <x:v>Best player</x:v>
      </x:c>
      <x:c r="E101" s="44" t="n">
        <x:v>14.047</x:v>
      </x:c>
      <x:c r="F101" s="43" t="n">
        <x:v>1</x:v>
      </x:c>
      <x:c r="G101" s="44" t="n">
        <x:v>18.15</x:v>
      </x:c>
      <x:c r="H101" s="43" t="n">
        <x:v>1</x:v>
      </x:c>
      <x:c r="I101" s="44" t="n">
        <x:v>16.412</x:v>
      </x:c>
      <x:c r="J101" s="43" t="n">
        <x:v>1</x:v>
      </x:c>
      <x:c r="K101" s="44" t="n">
        <x:v>13.385</x:v>
      </x:c>
      <x:c r="L101" s="43" t="n">
        <x:v>1</x:v>
      </x:c>
      <x:c r="M101" s="44" t="n">
        <x:v>18.657</x:v>
      </x:c>
      <x:c r="N101" s="43" t="n">
        <x:v>1</x:v>
      </x:c>
      <x:c r="O101" s="44" t="n">
        <x:v>16.227</x:v>
      </x:c>
      <x:c r="P101" s="43" t="n">
        <x:v>1</x:v>
      </x:c>
      <x:c r="Q101" s="44" t="n">
        <x:v>16.08</x:v>
      </x:c>
      <x:c r="R101" s="43" t="n">
        <x:v>1</x:v>
      </x:c>
      <x:c r="S101" s="44" t="n">
        <x:v>17.307000000000002</x:v>
      </x:c>
      <x:c r="T101" s="43" t="n">
        <x:v>1</x:v>
      </x:c>
      <x:c r="U101" s="43" t="str">
        <x:v>K170</x:v>
      </x:c>
      <x:c r="V101" s="44" t="n">
        <x:v>-0.6620000000000008</x:v>
      </x:c>
      <x:c r="W101" s="44" t="n">
        <x:v>-4.764999999999999</x:v>
      </x:c>
      <x:c r="X101" s="44" t="n">
        <x:v>-3.0269999999999992</x:v>
      </x:c>
      <x:c r="Y101" s="44" t="n">
        <x:v>-5.272</x:v>
      </x:c>
      <x:c r="Z101" s="44" t="n">
        <x:v>-2.8420000000000005</x:v>
      </x:c>
      <x:c r="AA101" s="44" t="n">
        <x:v>-2.6949999999999985</x:v>
      </x:c>
      <x:c r="AB101" s="44" t="n">
        <x:v>-3.9220000000000024</x:v>
      </x:c>
      <x:c r="AC101" s="43" t="str">
        <x:v>Full</x:v>
      </x:c>
    </x:row>
    <x:row r="102" ht="18" customHeight="1">
      <x:c r="A102" s="43" t="str">
        <x:v>Cavalry</x:v>
      </x:c>
      <x:c r="B102" s="43" t="str">
        <x:v>Cavalry Defense</x:v>
      </x:c>
      <x:c r="C102" s="43" t="str">
        <x:v>Higher</x:v>
      </x:c>
      <x:c r="D102" s="43" t="str">
        <x:v>Top 5 average</x:v>
      </x:c>
      <x:c r="E102" s="44" t="n">
        <x:v>13.1394</x:v>
      </x:c>
      <x:c r="F102" s="43" t="n">
        <x:v>5</x:v>
      </x:c>
      <x:c r="G102" s="44" t="n">
        <x:v>15.3796</x:v>
      </x:c>
      <x:c r="H102" s="43" t="n">
        <x:v>5</x:v>
      </x:c>
      <x:c r="I102" s="44" t="n">
        <x:v>14.902199999999999</x:v>
      </x:c>
      <x:c r="J102" s="43" t="n">
        <x:v>5</x:v>
      </x:c>
      <x:c r="K102" s="44" t="n">
        <x:v>12.155899999999999</x:v>
      </x:c>
      <x:c r="L102" s="43" t="n">
        <x:v>5</x:v>
      </x:c>
      <x:c r="M102" s="44" t="n">
        <x:v>13.9969</x:v>
      </x:c>
      <x:c r="N102" s="43" t="n">
        <x:v>5</x:v>
      </x:c>
      <x:c r="O102" s="44" t="n">
        <x:v>13.1816</x:v>
      </x:c>
      <x:c r="P102" s="43" t="n">
        <x:v>5</x:v>
      </x:c>
      <x:c r="Q102" s="44" t="n">
        <x:v>13.767199999999999</x:v>
      </x:c>
      <x:c r="R102" s="43" t="n">
        <x:v>5</x:v>
      </x:c>
      <x:c r="S102" s="44" t="n">
        <x:v>15.963</x:v>
      </x:c>
      <x:c r="T102" s="43" t="n">
        <x:v>5</x:v>
      </x:c>
      <x:c r="U102" s="43" t="str">
        <x:v>K176</x:v>
      </x:c>
      <x:c r="V102" s="44" t="n">
        <x:v>-0.9835000000000012</x:v>
      </x:c>
      <x:c r="W102" s="44" t="n">
        <x:v>-3.223700000000001</x:v>
      </x:c>
      <x:c r="X102" s="44" t="n">
        <x:v>-2.7462999999999997</x:v>
      </x:c>
      <x:c r="Y102" s="44" t="n">
        <x:v>-1.841000000000001</x:v>
      </x:c>
      <x:c r="Z102" s="44" t="n">
        <x:v>-1.0257000000000005</x:v>
      </x:c>
      <x:c r="AA102" s="44" t="n">
        <x:v>-1.6113</x:v>
      </x:c>
      <x:c r="AB102" s="44" t="n">
        <x:v>-3.8071</x:v>
      </x:c>
      <x:c r="AC102" s="43" t="str">
        <x:v>Full</x:v>
      </x:c>
    </x:row>
    <x:row r="103" ht="18" customHeight="1">
      <x:c r="A103" s="43" t="str">
        <x:v>Cavalry</x:v>
      </x:c>
      <x:c r="B103" s="43" t="str">
        <x:v>Cavalry Defense</x:v>
      </x:c>
      <x:c r="C103" s="43" t="str">
        <x:v>Higher</x:v>
      </x:c>
      <x:c r="D103" s="43" t="str">
        <x:v>Top 15 average</x:v>
      </x:c>
      <x:c r="E103" s="44" t="n">
        <x:v>12.534133333333331</x:v>
      </x:c>
      <x:c r="F103" s="43" t="n">
        <x:v>15</x:v>
      </x:c>
      <x:c r="G103" s="44" t="n">
        <x:v>10.398866666666667</x:v>
      </x:c>
      <x:c r="H103" s="43" t="n">
        <x:v>15</x:v>
      </x:c>
      <x:c r="I103" s="44" t="n">
        <x:v>12.2808</x:v>
      </x:c>
      <x:c r="J103" s="43" t="n">
        <x:v>15</x:v>
      </x:c>
      <x:c r="K103" s="44" t="n">
        <x:v>10.264133333333335</x:v>
      </x:c>
      <x:c r="L103" s="43" t="n">
        <x:v>15</x:v>
      </x:c>
      <x:c r="M103" s="44" t="n">
        <x:v>11.528033333333331</x:v>
      </x:c>
      <x:c r="N103" s="43" t="n">
        <x:v>15</x:v>
      </x:c>
      <x:c r="O103" s="44" t="n">
        <x:v>11.432272727272727</x:v>
      </x:c>
      <x:c r="P103" s="43" t="n">
        <x:v>11</x:v>
      </x:c>
      <x:c r="Q103" s="44" t="n">
        <x:v>9.665133333333332</x:v>
      </x:c>
      <x:c r="R103" s="43" t="n">
        <x:v>15</x:v>
      </x:c>
      <x:c r="S103" s="44" t="n">
        <x:v>15.218433333333333</x:v>
      </x:c>
      <x:c r="T103" s="43" t="n">
        <x:v>15</x:v>
      </x:c>
      <x:c r="U103" s="43" t="str">
        <x:v>K176</x:v>
      </x:c>
      <x:c r="V103" s="44" t="n">
        <x:v>-2.269999999999996</x:v>
      </x:c>
      <x:c r="W103" s="44" t="n">
        <x:v>-0.13473333333333137</x:v>
      </x:c>
      <x:c r="X103" s="44" t="n">
        <x:v>-2.016666666666664</x:v>
      </x:c>
      <x:c r="Y103" s="44" t="n">
        <x:v>-1.263899999999996</x:v>
      </x:c>
      <x:c r="Z103" s="44" t="n">
        <x:v>-1.1681393939393914</x:v>
      </x:c>
      <x:c r="AA103" s="44" t="n">
        <x:v>0.5990000000000038</x:v>
      </x:c>
      <x:c r="AB103" s="44" t="n">
        <x:v>-4.954299999999998</x:v>
      </x:c>
      <x:c r="AC103" s="43" t="str">
        <x:v>Full</x:v>
      </x:c>
    </x:row>
    <x:row r="104" ht="18" customHeight="1">
      <x:c r="A104" s="43" t="str">
        <x:v>Cavalry</x:v>
      </x:c>
      <x:c r="B104" s="43" t="str">
        <x:v>Cavalry Defense</x:v>
      </x:c>
      <x:c r="C104" s="43" t="str">
        <x:v>Higher</x:v>
      </x:c>
      <x:c r="D104" s="43" t="str">
        <x:v>All players mean</x:v>
      </x:c>
      <x:c r="E104" s="44" t="n">
        <x:v>11.73388</x:v>
      </x:c>
      <x:c r="F104" s="43" t="n">
        <x:v>25</x:v>
      </x:c>
      <x:c r="G104" s="44" t="n">
        <x:v>9.195475</x:v>
      </x:c>
      <x:c r="H104" s="43" t="n">
        <x:v>20</x:v>
      </x:c>
      <x:c r="I104" s="44" t="n">
        <x:v>11.025475</x:v>
      </x:c>
      <x:c r="J104" s="43" t="n">
        <x:v>20</x:v>
      </x:c>
      <x:c r="K104" s="44" t="n">
        <x:v>8.816814814814816</x:v>
      </x:c>
      <x:c r="L104" s="43" t="n">
        <x:v>27</x:v>
      </x:c>
      <x:c r="M104" s="44" t="n">
        <x:v>10.115478260869564</x:v>
      </x:c>
      <x:c r="N104" s="43" t="n">
        <x:v>23</x:v>
      </x:c>
      <x:c r="O104" s="44" t="n">
        <x:v>11.432272727272727</x:v>
      </x:c>
      <x:c r="P104" s="43" t="n">
        <x:v>11</x:v>
      </x:c>
      <x:c r="Q104" s="44" t="n">
        <x:v>8.602605263157892</x:v>
      </x:c>
      <x:c r="R104" s="43" t="n">
        <x:v>19</x:v>
      </x:c>
      <x:c r="S104" s="44" t="n">
        <x:v>14.543340909090908</x:v>
      </x:c>
      <x:c r="T104" s="43" t="n">
        <x:v>22</x:v>
      </x:c>
      <x:c r="U104" s="43" t="str">
        <x:v>K176</x:v>
      </x:c>
      <x:c r="V104" s="44" t="n">
        <x:v>-2.9170651851851837</x:v>
      </x:c>
      <x:c r="W104" s="44" t="n">
        <x:v>-0.3786601851851845</x:v>
      </x:c>
      <x:c r="X104" s="44" t="n">
        <x:v>-2.2086601851851846</x:v>
      </x:c>
      <x:c r="Y104" s="44" t="n">
        <x:v>-1.2986634460547481</x:v>
      </x:c>
      <x:c r="Z104" s="44" t="n">
        <x:v>-2.615457912457911</x:v>
      </x:c>
      <x:c r="AA104" s="44" t="n">
        <x:v>0.21420955165692313</x:v>
      </x:c>
      <x:c r="AB104" s="44" t="n">
        <x:v>-5.7265260942760925</x:v>
      </x:c>
      <x:c r="AC104" s="43" t="str">
        <x:v>Full</x:v>
      </x:c>
    </x:row>
    <x:row r="105" ht="18" customHeight="1">
      <x:c r="A105" s="43" t="str">
        <x:v>Cavalry</x:v>
      </x:c>
      <x:c r="B105" s="43" t="str">
        <x:v>Cavalry Damage</x:v>
      </x:c>
      <x:c r="C105" s="43" t="str">
        <x:v>Higher</x:v>
      </x:c>
      <x:c r="D105" s="43" t="str">
        <x:v>Best player</x:v>
      </x:c>
      <x:c r="E105" s="44" t="n">
        <x:v>2.1075</x:v>
      </x:c>
      <x:c r="F105" s="43" t="n">
        <x:v>1</x:v>
      </x:c>
      <x:c r="G105" s="44" t="n">
        <x:v>2.145</x:v>
      </x:c>
      <x:c r="H105" s="43" t="n">
        <x:v>1</x:v>
      </x:c>
      <x:c r="I105" s="44" t="n">
        <x:v>2.1075</x:v>
      </x:c>
      <x:c r="J105" s="43" t="n">
        <x:v>1</x:v>
      </x:c>
      <x:c r="K105" s="44" t="n">
        <x:v>1.9275</x:v>
      </x:c>
      <x:c r="L105" s="43" t="n">
        <x:v>1</x:v>
      </x:c>
      <x:c r="M105" s="44" t="n">
        <x:v>1.9975</x:v>
      </x:c>
      <x:c r="N105" s="43" t="n">
        <x:v>1</x:v>
      </x:c>
      <x:c r="O105" s="44" t="n">
        <x:v>2.08</x:v>
      </x:c>
      <x:c r="P105" s="43" t="n">
        <x:v>1</x:v>
      </x:c>
      <x:c r="Q105" s="44" t="n">
        <x:v>2.275</x:v>
      </x:c>
      <x:c r="R105" s="43" t="n">
        <x:v>1</x:v>
      </x:c>
      <x:c r="S105" s="44" t="n">
        <x:v>1.805</x:v>
      </x:c>
      <x:c r="T105" s="43" t="n">
        <x:v>1</x:v>
      </x:c>
      <x:c r="U105" s="43" t="str">
        <x:v>K197</x:v>
      </x:c>
      <x:c r="V105" s="44" t="n">
        <x:v>-0.17999999999999994</x:v>
      </x:c>
      <x:c r="W105" s="44" t="n">
        <x:v>-0.21750000000000003</x:v>
      </x:c>
      <x:c r="X105" s="44" t="n">
        <x:v>-0.17999999999999994</x:v>
      </x:c>
      <x:c r="Y105" s="44" t="n">
        <x:v>-0.07000000000000006</x:v>
      </x:c>
      <x:c r="Z105" s="44" t="n">
        <x:v>-0.15250000000000008</x:v>
      </x:c>
      <x:c r="AA105" s="44" t="n">
        <x:v>-0.3474999999999999</x:v>
      </x:c>
      <x:c r="AB105" s="44" t="n">
        <x:v>0.12250000000000005</x:v>
      </x:c>
      <x:c r="AC105" s="43" t="str">
        <x:v>Full</x:v>
      </x:c>
    </x:row>
    <x:row r="106" ht="18" customHeight="1">
      <x:c r="A106" s="43" t="str">
        <x:v>Cavalry</x:v>
      </x:c>
      <x:c r="B106" s="43" t="str">
        <x:v>Cavalry Damage</x:v>
      </x:c>
      <x:c r="C106" s="43" t="str">
        <x:v>Higher</x:v>
      </x:c>
      <x:c r="D106" s="43" t="str">
        <x:v>Top 5 average</x:v>
      </x:c>
      <x:c r="E106" s="44" t="n">
        <x:v>1.8989999999999998</x:v>
      </x:c>
      <x:c r="F106" s="43" t="n">
        <x:v>5</x:v>
      </x:c>
      <x:c r="G106" s="44" t="n">
        <x:v>1.709</x:v>
      </x:c>
      <x:c r="H106" s="43" t="n">
        <x:v>5</x:v>
      </x:c>
      <x:c r="I106" s="44" t="n">
        <x:v>1.7634999999999998</x:v>
      </x:c>
      <x:c r="J106" s="43" t="n">
        <x:v>5</x:v>
      </x:c>
      <x:c r="K106" s="44" t="n">
        <x:v>1.8245</x:v>
      </x:c>
      <x:c r="L106" s="43" t="n">
        <x:v>5</x:v>
      </x:c>
      <x:c r="M106" s="44" t="n">
        <x:v>1.8305</x:v>
      </x:c>
      <x:c r="N106" s="43" t="n">
        <x:v>5</x:v>
      </x:c>
      <x:c r="O106" s="44" t="n">
        <x:v>1.9120000000000001</x:v>
      </x:c>
      <x:c r="P106" s="43" t="n">
        <x:v>5</x:v>
      </x:c>
      <x:c r="Q106" s="44" t="n">
        <x:v>1.859</x:v>
      </x:c>
      <x:c r="R106" s="43" t="n">
        <x:v>5</x:v>
      </x:c>
      <x:c r="S106" s="44" t="n">
        <x:v>1.707</x:v>
      </x:c>
      <x:c r="T106" s="43" t="n">
        <x:v>5</x:v>
      </x:c>
      <x:c r="U106" s="43" t="str">
        <x:v>K54</x:v>
      </x:c>
      <x:c r="V106" s="44" t="n">
        <x:v>-0.07449999999999979</x:v>
      </x:c>
      <x:c r="W106" s="44" t="n">
        <x:v>0.11549999999999994</x:v>
      </x:c>
      <x:c r="X106" s="44" t="n">
        <x:v>0.061000000000000165</x:v>
      </x:c>
      <x:c r="Y106" s="44" t="n">
        <x:v>-0.006000000000000005</x:v>
      </x:c>
      <x:c r="Z106" s="44" t="n">
        <x:v>-0.08750000000000013</x:v>
      </x:c>
      <x:c r="AA106" s="44" t="n">
        <x:v>-0.034499999999999975</x:v>
      </x:c>
      <x:c r="AB106" s="44" t="n">
        <x:v>0.11749999999999994</x:v>
      </x:c>
      <x:c r="AC106" s="43" t="str">
        <x:v>Full</x:v>
      </x:c>
    </x:row>
    <x:row r="107" ht="18" customHeight="1">
      <x:c r="A107" s="43" t="str">
        <x:v>Cavalry</x:v>
      </x:c>
      <x:c r="B107" s="43" t="str">
        <x:v>Cavalry Damage</x:v>
      </x:c>
      <x:c r="C107" s="43" t="str">
        <x:v>Higher</x:v>
      </x:c>
      <x:c r="D107" s="43" t="str">
        <x:v>Top 15 average</x:v>
      </x:c>
      <x:c r="E107" s="44" t="n">
        <x:v>1.7686666666666668</x:v>
      </x:c>
      <x:c r="F107" s="43" t="n">
        <x:v>15</x:v>
      </x:c>
      <x:c r="G107" s="44" t="n">
        <x:v>1.5449999999999997</x:v>
      </x:c>
      <x:c r="H107" s="43" t="n">
        <x:v>15</x:v>
      </x:c>
      <x:c r="I107" s="44" t="n">
        <x:v>1.6009333333333333</x:v>
      </x:c>
      <x:c r="J107" s="43" t="n">
        <x:v>15</x:v>
      </x:c>
      <x:c r="K107" s="44" t="n">
        <x:v>1.6990000000000003</x:v>
      </x:c>
      <x:c r="L107" s="43" t="n">
        <x:v>15</x:v>
      </x:c>
      <x:c r="M107" s="44" t="n">
        <x:v>1.6941666666666666</x:v>
      </x:c>
      <x:c r="N107" s="43" t="n">
        <x:v>15</x:v>
      </x:c>
      <x:c r="O107" s="44" t="n">
        <x:v>1.6761363636363635</x:v>
      </x:c>
      <x:c r="P107" s="43" t="n">
        <x:v>11</x:v>
      </x:c>
      <x:c r="Q107" s="44" t="n">
        <x:v>1.6198333333333332</x:v>
      </x:c>
      <x:c r="R107" s="43" t="n">
        <x:v>15</x:v>
      </x:c>
      <x:c r="S107" s="44" t="n">
        <x:v>1.6125</x:v>
      </x:c>
      <x:c r="T107" s="43" t="n">
        <x:v>15</x:v>
      </x:c>
      <x:c r="U107" s="43" t="str">
        <x:v>K60</x:v>
      </x:c>
      <x:c r="V107" s="44" t="n">
        <x:v>-0.06966666666666654</x:v>
      </x:c>
      <x:c r="W107" s="44" t="n">
        <x:v>0.15400000000000058</x:v>
      </x:c>
      <x:c r="X107" s="44" t="n">
        <x:v>0.09806666666666697</x:v>
      </x:c>
      <x:c r="Y107" s="44" t="n">
        <x:v>0.004833333333333689</x:v>
      </x:c>
      <x:c r="Z107" s="44" t="n">
        <x:v>0.022863636363636752</x:v>
      </x:c>
      <x:c r="AA107" s="44" t="n">
        <x:v>0.07916666666666705</x:v>
      </x:c>
      <x:c r="AB107" s="44" t="n">
        <x:v>0.08650000000000024</x:v>
      </x:c>
      <x:c r="AC107" s="43" t="str">
        <x:v>Full</x:v>
      </x:c>
    </x:row>
    <x:row r="108" ht="18" customHeight="1">
      <x:c r="A108" s="43" t="str">
        <x:v>Cavalry</x:v>
      </x:c>
      <x:c r="B108" s="43" t="str">
        <x:v>Cavalry Damage</x:v>
      </x:c>
      <x:c r="C108" s="43" t="str">
        <x:v>Higher</x:v>
      </x:c>
      <x:c r="D108" s="43" t="str">
        <x:v>All players mean</x:v>
      </x:c>
      <x:c r="E108" s="44" t="n">
        <x:v>1.6921000000000002</x:v>
      </x:c>
      <x:c r="F108" s="43" t="n">
        <x:v>25</x:v>
      </x:c>
      <x:c r="G108" s="44" t="n">
        <x:v>1.4782499999999998</x:v>
      </x:c>
      <x:c r="H108" s="43" t="n">
        <x:v>20</x:v>
      </x:c>
      <x:c r="I108" s="44" t="n">
        <x:v>1.405325</x:v>
      </x:c>
      <x:c r="J108" s="43" t="n">
        <x:v>20</x:v>
      </x:c>
      <x:c r="K108" s="44" t="n">
        <x:v>1.517925925925926</x:v>
      </x:c>
      <x:c r="L108" s="43" t="n">
        <x:v>27</x:v>
      </x:c>
      <x:c r="M108" s="44" t="n">
        <x:v>1.6110869565217392</x:v>
      </x:c>
      <x:c r="N108" s="43" t="n">
        <x:v>23</x:v>
      </x:c>
      <x:c r="O108" s="44" t="n">
        <x:v>1.6761363636363635</x:v>
      </x:c>
      <x:c r="P108" s="43" t="n">
        <x:v>11</x:v>
      </x:c>
      <x:c r="Q108" s="44" t="n">
        <x:v>1.4640263157894735</x:v>
      </x:c>
      <x:c r="R108" s="43" t="n">
        <x:v>19</x:v>
      </x:c>
      <x:c r="S108" s="44" t="n">
        <x:v>1.552681818181818</x:v>
      </x:c>
      <x:c r="T108" s="43" t="n">
        <x:v>22</x:v>
      </x:c>
      <x:c r="U108" s="43" t="str">
        <x:v>K60</x:v>
      </x:c>
      <x:c r="V108" s="44" t="n">
        <x:v>-0.17417407407407426</x:v>
      </x:c>
      <x:c r="W108" s="44" t="n">
        <x:v>0.03967592592592606</x:v>
      </x:c>
      <x:c r="X108" s="44" t="n">
        <x:v>0.11260092592592597</x:v>
      </x:c>
      <x:c r="Y108" s="44" t="n">
        <x:v>-0.09316103059581327</x:v>
      </x:c>
      <x:c r="Z108" s="44" t="n">
        <x:v>-0.15821043771043763</x:v>
      </x:c>
      <x:c r="AA108" s="44" t="n">
        <x:v>0.05389961013645239</x:v>
      </x:c>
      <x:c r="AB108" s="44" t="n">
        <x:v>-0.03475589225589215</x:v>
      </x:c>
      <x:c r="AC108" s="43" t="str">
        <x:v>Full</x:v>
      </x:c>
    </x:row>
    <x:row r="109" ht="18" customHeight="1">
      <x:c r="A109" s="43" t="str">
        <x:v>Cavalry</x:v>
      </x:c>
      <x:c r="B109" s="43" t="str">
        <x:v>Cavalry Damage Received</x:v>
      </x:c>
      <x:c r="C109" s="43" t="str">
        <x:v>Lower</x:v>
      </x:c>
      <x:c r="D109" s="43" t="str">
        <x:v>Best player</x:v>
      </x:c>
      <x:c r="E109" s="44" t="n">
        <x:v>-1.945</x:v>
      </x:c>
      <x:c r="F109" s="43" t="n">
        <x:v>1</x:v>
      </x:c>
      <x:c r="G109" s="44" t="n">
        <x:v>-1.965</x:v>
      </x:c>
      <x:c r="H109" s="43" t="n">
        <x:v>1</x:v>
      </x:c>
      <x:c r="I109" s="44" t="n">
        <x:v>-1.725</x:v>
      </x:c>
      <x:c r="J109" s="43" t="n">
        <x:v>1</x:v>
      </x:c>
      <x:c r="K109" s="44" t="n">
        <x:v>-1.705</x:v>
      </x:c>
      <x:c r="L109" s="43" t="n">
        <x:v>1</x:v>
      </x:c>
      <x:c r="M109" s="44" t="n">
        <x:v>-1.705</x:v>
      </x:c>
      <x:c r="N109" s="43" t="n">
        <x:v>1</x:v>
      </x:c>
      <x:c r="O109" s="44" t="n">
        <x:v>-1.965</x:v>
      </x:c>
      <x:c r="P109" s="43" t="n">
        <x:v>1</x:v>
      </x:c>
      <x:c r="Q109" s="44" t="n">
        <x:v>-1.975</x:v>
      </x:c>
      <x:c r="R109" s="43" t="n">
        <x:v>1</x:v>
      </x:c>
      <x:c r="S109" s="44" t="n">
        <x:v>-1.725</x:v>
      </x:c>
      <x:c r="T109" s="43" t="n">
        <x:v>1</x:v>
      </x:c>
      <x:c r="U109" s="43" t="str">
        <x:v>K197</x:v>
      </x:c>
      <x:c r="V109" s="44" t="n">
        <x:v>0.24</x:v>
      </x:c>
      <x:c r="W109" s="44" t="n">
        <x:v>0.26</x:v>
      </x:c>
      <x:c r="X109" s="44" t="n">
        <x:v>0.020000000000000018</x:v>
      </x:c>
      <x:c r="Y109" s="44" t="n">
        <x:v>0</x:v>
      </x:c>
      <x:c r="Z109" s="44" t="n">
        <x:v>0.26</x:v>
      </x:c>
      <x:c r="AA109" s="44" t="n">
        <x:v>0.27</x:v>
      </x:c>
      <x:c r="AB109" s="44" t="n">
        <x:v>0.020000000000000018</x:v>
      </x:c>
      <x:c r="AC109" s="43" t="str">
        <x:v>Full</x:v>
      </x:c>
    </x:row>
    <x:row r="110" ht="18" customHeight="1">
      <x:c r="A110" s="43" t="str">
        <x:v>Cavalry</x:v>
      </x:c>
      <x:c r="B110" s="43" t="str">
        <x:v>Cavalry Damage Received</x:v>
      </x:c>
      <x:c r="C110" s="43" t="str">
        <x:v>Lower</x:v>
      </x:c>
      <x:c r="D110" s="43" t="str">
        <x:v>Top 5 average</x:v>
      </x:c>
      <x:c r="E110" s="44" t="n">
        <x:v>-1.6940000000000002</x:v>
      </x:c>
      <x:c r="F110" s="43" t="n">
        <x:v>5</x:v>
      </x:c>
      <x:c r="G110" s="44" t="n">
        <x:v>-1.642</x:v>
      </x:c>
      <x:c r="H110" s="43" t="n">
        <x:v>5</x:v>
      </x:c>
      <x:c r="I110" s="44" t="n">
        <x:v>-1.4674999999999998</x:v>
      </x:c>
      <x:c r="J110" s="43" t="n">
        <x:v>5</x:v>
      </x:c>
      <x:c r="K110" s="44" t="n">
        <x:v>-1.5705</x:v>
      </x:c>
      <x:c r="L110" s="43" t="n">
        <x:v>5</x:v>
      </x:c>
      <x:c r="M110" s="44" t="n">
        <x:v>-1.5885</x:v>
      </x:c>
      <x:c r="N110" s="43" t="n">
        <x:v>5</x:v>
      </x:c>
      <x:c r="O110" s="44" t="n">
        <x:v>-1.7625</x:v>
      </x:c>
      <x:c r="P110" s="43" t="n">
        <x:v>5</x:v>
      </x:c>
      <x:c r="Q110" s="44" t="n">
        <x:v>-1.6965000000000003</x:v>
      </x:c>
      <x:c r="R110" s="43" t="n">
        <x:v>5</x:v>
      </x:c>
      <x:c r="S110" s="44" t="n">
        <x:v>-1.504</x:v>
      </x:c>
      <x:c r="T110" s="43" t="n">
        <x:v>5</x:v>
      </x:c>
      <x:c r="U110" s="43" t="str">
        <x:v>K54</x:v>
      </x:c>
      <x:c r="V110" s="44" t="n">
        <x:v>0.12350000000000017</x:v>
      </x:c>
      <x:c r="W110" s="44" t="n">
        <x:v>0.0714999999999999</x:v>
      </x:c>
      <x:c r="X110" s="44" t="n">
        <x:v>-0.1030000000000002</x:v>
      </x:c>
      <x:c r="Y110" s="44" t="n">
        <x:v>0.018000000000000016</x:v>
      </x:c>
      <x:c r="Z110" s="44" t="n">
        <x:v>0.19199999999999995</x:v>
      </x:c>
      <x:c r="AA110" s="44" t="n">
        <x:v>0.12600000000000033</x:v>
      </x:c>
      <x:c r="AB110" s="44" t="n">
        <x:v>-0.0665</x:v>
      </x:c>
      <x:c r="AC110" s="43" t="str">
        <x:v>Full</x:v>
      </x:c>
    </x:row>
    <x:row r="111" ht="18" customHeight="1">
      <x:c r="A111" s="43" t="str">
        <x:v>Cavalry</x:v>
      </x:c>
      <x:c r="B111" s="43" t="str">
        <x:v>Cavalry Damage Received</x:v>
      </x:c>
      <x:c r="C111" s="43" t="str">
        <x:v>Lower</x:v>
      </x:c>
      <x:c r="D111" s="43" t="str">
        <x:v>Top 15 average</x:v>
      </x:c>
      <x:c r="E111" s="44" t="n">
        <x:v>-1.473833333333333</x:v>
      </x:c>
      <x:c r="F111" s="43" t="n">
        <x:v>15</x:v>
      </x:c>
      <x:c r="G111" s="44" t="n">
        <x:v>-1.3996666666666668</x:v>
      </x:c>
      <x:c r="H111" s="43" t="n">
        <x:v>15</x:v>
      </x:c>
      <x:c r="I111" s="44" t="n">
        <x:v>-1.3755</x:v>
      </x:c>
      <x:c r="J111" s="43" t="n">
        <x:v>15</x:v>
      </x:c>
      <x:c r="K111" s="44" t="n">
        <x:v>-1.4203333333333332</x:v>
      </x:c>
      <x:c r="L111" s="43" t="n">
        <x:v>15</x:v>
      </x:c>
      <x:c r="M111" s="44" t="n">
        <x:v>-1.4393333333333334</x:v>
      </x:c>
      <x:c r="N111" s="43" t="n">
        <x:v>15</x:v>
      </x:c>
      <x:c r="O111" s="44" t="n">
        <x:v>-1.5090909090909093</x:v>
      </x:c>
      <x:c r="P111" s="43" t="n">
        <x:v>11</x:v>
      </x:c>
      <x:c r="Q111" s="44" t="n">
        <x:v>-1.4441666666666668</x:v>
      </x:c>
      <x:c r="R111" s="43" t="n">
        <x:v>15</x:v>
      </x:c>
      <x:c r="S111" s="44" t="n">
        <x:v>-1.392666666666667</x:v>
      </x:c>
      <x:c r="T111" s="43" t="n">
        <x:v>15</x:v>
      </x:c>
      <x:c r="U111" s="43" t="str">
        <x:v>K54</x:v>
      </x:c>
      <x:c r="V111" s="44" t="n">
        <x:v>0.05349999999999988</x:v>
      </x:c>
      <x:c r="W111" s="44" t="n">
        <x:v>-0.02066666666666639</x:v>
      </x:c>
      <x:c r="X111" s="44" t="n">
        <x:v>-0.04483333333333328</x:v>
      </x:c>
      <x:c r="Y111" s="44" t="n">
        <x:v>0.019000000000000128</x:v>
      </x:c>
      <x:c r="Z111" s="44" t="n">
        <x:v>0.08875757575757603</x:v>
      </x:c>
      <x:c r="AA111" s="44" t="n">
        <x:v>0.023833333333333595</x:v>
      </x:c>
      <x:c r="AB111" s="44" t="n">
        <x:v>-0.027666666666666284</x:v>
      </x:c>
      <x:c r="AC111" s="43" t="str">
        <x:v>Full</x:v>
      </x:c>
    </x:row>
    <x:row r="112" ht="18" customHeight="1">
      <x:c r="A112" s="43" t="str">
        <x:v>Cavalry</x:v>
      </x:c>
      <x:c r="B112" s="43" t="str">
        <x:v>Cavalry Damage Received</x:v>
      </x:c>
      <x:c r="C112" s="43" t="str">
        <x:v>Lower</x:v>
      </x:c>
      <x:c r="D112" s="43" t="str">
        <x:v>All players mean</x:v>
      </x:c>
      <x:c r="E112" s="44" t="n">
        <x:v>-1.4003999999999999</x:v>
      </x:c>
      <x:c r="F112" s="43" t="n">
        <x:v>25</x:v>
      </x:c>
      <x:c r="G112" s="44" t="n">
        <x:v>-1.3287499999999999</x:v>
      </x:c>
      <x:c r="H112" s="43" t="n">
        <x:v>20</x:v>
      </x:c>
      <x:c r="I112" s="44" t="n">
        <x:v>-1.2109</x:v>
      </x:c>
      <x:c r="J112" s="43" t="n">
        <x:v>20</x:v>
      </x:c>
      <x:c r="K112" s="44" t="n">
        <x:v>-1.2750925925925929</x:v>
      </x:c>
      <x:c r="L112" s="43" t="n">
        <x:v>27</x:v>
      </x:c>
      <x:c r="M112" s="44" t="n">
        <x:v>-1.3717391304347826</x:v>
      </x:c>
      <x:c r="N112" s="43" t="n">
        <x:v>23</x:v>
      </x:c>
      <x:c r="O112" s="44" t="n">
        <x:v>-1.5090909090909093</x:v>
      </x:c>
      <x:c r="P112" s="43" t="n">
        <x:v>11</x:v>
      </x:c>
      <x:c r="Q112" s="44" t="n">
        <x:v>-1.299342105263158</x:v>
      </x:c>
      <x:c r="R112" s="43" t="n">
        <x:v>19</x:v>
      </x:c>
      <x:c r="S112" s="44" t="n">
        <x:v>-1.3365909090909092</x:v>
      </x:c>
      <x:c r="T112" s="43" t="n">
        <x:v>22</x:v>
      </x:c>
      <x:c r="U112" s="43" t="str">
        <x:v>K54</x:v>
      </x:c>
      <x:c r="V112" s="44" t="n">
        <x:v>0.12530740740740698</x:v>
      </x:c>
      <x:c r="W112" s="44" t="n">
        <x:v>0.05365740740740699</x:v>
      </x:c>
      <x:c r="X112" s="44" t="n">
        <x:v>-0.0641925925925928</x:v>
      </x:c>
      <x:c r="Y112" s="44" t="n">
        <x:v>0.09664653784218968</x:v>
      </x:c>
      <x:c r="Z112" s="44" t="n">
        <x:v>0.23399831649831637</x:v>
      </x:c>
      <x:c r="AA112" s="44" t="n">
        <x:v>0.024249512670565077</x:v>
      </x:c>
      <x:c r="AB112" s="44" t="n">
        <x:v>0.061498316498316274</x:v>
      </x:c>
      <x:c r="AC112" s="43" t="str">
        <x:v>Full</x:v>
      </x:c>
    </x:row>
    <x:row r="113" ht="18" customHeight="1">
      <x:c r="A113" s="43" t="str">
        <x:v>Cavalry</x:v>
      </x:c>
      <x:c r="B113" s="43" t="str">
        <x:v>Cavalry Attack Blessing</x:v>
      </x:c>
      <x:c r="C113" s="43" t="str">
        <x:v>Higher</x:v>
      </x:c>
      <x:c r="D113" s="43" t="str">
        <x:v>Best player</x:v>
      </x:c>
      <x:c r="E113" s="44" t="n">
        <x:v>8.03</x:v>
      </x:c>
      <x:c r="F113" s="43" t="n">
        <x:v>1</x:v>
      </x:c>
      <x:c r="G113" s="44" t="n">
        <x:v>9</x:v>
      </x:c>
      <x:c r="H113" s="43" t="n">
        <x:v>1</x:v>
      </x:c>
      <x:c r="I113" s="44" t="n">
        <x:v>9</x:v>
      </x:c>
      <x:c r="J113" s="43" t="n">
        <x:v>1</x:v>
      </x:c>
      <x:c r="K113" s="44" t="n">
        <x:v>6.03</x:v>
      </x:c>
      <x:c r="L113" s="43" t="n">
        <x:v>1</x:v>
      </x:c>
      <x:c r="M113" s="44" t="n">
        <x:v>6.03</x:v>
      </x:c>
      <x:c r="N113" s="43" t="n">
        <x:v>1</x:v>
      </x:c>
      <x:c r="O113" s="44" t="n">
        <x:v>9</x:v>
      </x:c>
      <x:c r="P113" s="43" t="n">
        <x:v>1</x:v>
      </x:c>
      <x:c r="Q113" s="44" t="n">
        <x:v>9</x:v>
      </x:c>
      <x:c r="R113" s="43" t="n">
        <x:v>1</x:v>
      </x:c>
      <x:c r="S113" s="44" t="n">
        <x:v>8.21</x:v>
      </x:c>
      <x:c r="T113" s="43" t="n">
        <x:v>1</x:v>
      </x:c>
      <x:c r="U113" s="43" t="str">
        <x:v>Tie</x:v>
      </x:c>
      <x:c r="V113" s="44" t="n">
        <x:v>-1.9999999999999991</x:v>
      </x:c>
      <x:c r="W113" s="44" t="n">
        <x:v>-2.9699999999999998</x:v>
      </x:c>
      <x:c r="X113" s="44" t="n">
        <x:v>-2.9699999999999998</x:v>
      </x:c>
      <x:c r="Y113" s="44" t="n">
        <x:v>0</x:v>
      </x:c>
      <x:c r="Z113" s="44" t="n">
        <x:v>-2.9699999999999998</x:v>
      </x:c>
      <x:c r="AA113" s="44" t="n">
        <x:v>-2.9699999999999998</x:v>
      </x:c>
      <x:c r="AB113" s="44" t="n">
        <x:v>-2.1800000000000006</x:v>
      </x:c>
      <x:c r="AC113" s="43" t="str">
        <x:v>Full</x:v>
      </x:c>
    </x:row>
    <x:row r="114" ht="18" customHeight="1">
      <x:c r="A114" s="43" t="str">
        <x:v>Cavalry</x:v>
      </x:c>
      <x:c r="B114" s="43" t="str">
        <x:v>Cavalry Attack Blessing</x:v>
      </x:c>
      <x:c r="C114" s="43" t="str">
        <x:v>Higher</x:v>
      </x:c>
      <x:c r="D114" s="43" t="str">
        <x:v>Top 5 average</x:v>
      </x:c>
      <x:c r="E114" s="44" t="n">
        <x:v>6.192</x:v>
      </x:c>
      <x:c r="F114" s="43" t="n">
        <x:v>5</x:v>
      </x:c>
      <x:c r="G114" s="44" t="n">
        <x:v>6.066</x:v>
      </x:c>
      <x:c r="H114" s="43" t="n">
        <x:v>5</x:v>
      </x:c>
      <x:c r="I114" s="44" t="n">
        <x:v>7.4</x:v>
      </x:c>
      <x:c r="J114" s="43" t="n">
        <x:v>5</x:v>
      </x:c>
      <x:c r="K114" s="44" t="n">
        <x:v>5.504</x:v>
      </x:c>
      <x:c r="L114" s="43" t="n">
        <x:v>5</x:v>
      </x:c>
      <x:c r="M114" s="44" t="n">
        <x:v>5.69</x:v>
      </x:c>
      <x:c r="N114" s="43" t="n">
        <x:v>5</x:v>
      </x:c>
      <x:c r="O114" s="44" t="n">
        <x:v>7.426</x:v>
      </x:c>
      <x:c r="P114" s="43" t="n">
        <x:v>5</x:v>
      </x:c>
      <x:c r="Q114" s="44" t="n">
        <x:v>6.545999999999999</x:v>
      </x:c>
      <x:c r="R114" s="43" t="n">
        <x:v>5</x:v>
      </x:c>
      <x:c r="S114" s="44" t="n">
        <x:v>6.758</x:v>
      </x:c>
      <x:c r="T114" s="43" t="n">
        <x:v>5</x:v>
      </x:c>
      <x:c r="U114" s="43" t="str">
        <x:v>K54</x:v>
      </x:c>
      <x:c r="V114" s="44" t="n">
        <x:v>-0.6880000000000006</x:v>
      </x:c>
      <x:c r="W114" s="44" t="n">
        <x:v>-0.5620000000000003</x:v>
      </x:c>
      <x:c r="X114" s="44" t="n">
        <x:v>-1.8960000000000008</x:v>
      </x:c>
      <x:c r="Y114" s="44" t="n">
        <x:v>-0.18600000000000083</x:v>
      </x:c>
      <x:c r="Z114" s="44" t="n">
        <x:v>-1.9220000000000006</x:v>
      </x:c>
      <x:c r="AA114" s="44" t="n">
        <x:v>-1.0419999999999998</x:v>
      </x:c>
      <x:c r="AB114" s="44" t="n">
        <x:v>-1.2540000000000004</x:v>
      </x:c>
      <x:c r="AC114" s="43" t="str">
        <x:v>Full</x:v>
      </x:c>
    </x:row>
    <x:row r="115" ht="18" customHeight="1">
      <x:c r="A115" s="43" t="str">
        <x:v>Cavalry</x:v>
      </x:c>
      <x:c r="B115" s="43" t="str">
        <x:v>Cavalry Attack Blessing</x:v>
      </x:c>
      <x:c r="C115" s="43" t="str">
        <x:v>Higher</x:v>
      </x:c>
      <x:c r="D115" s="43" t="str">
        <x:v>Top 15 average</x:v>
      </x:c>
      <x:c r="E115" s="44" t="n">
        <x:v>5.078</x:v>
      </x:c>
      <x:c r="F115" s="43" t="n">
        <x:v>15</x:v>
      </x:c>
      <x:c r="G115" s="44" t="n">
        <x:v>3.5726666666666658</x:v>
      </x:c>
      <x:c r="H115" s="43" t="n">
        <x:v>15</x:v>
      </x:c>
      <x:c r="I115" s="44" t="n">
        <x:v>5.473333333333333</x:v>
      </x:c>
      <x:c r="J115" s="43" t="n">
        <x:v>15</x:v>
      </x:c>
      <x:c r="K115" s="44" t="n">
        <x:v>4.188666666666667</x:v>
      </x:c>
      <x:c r="L115" s="43" t="n">
        <x:v>15</x:v>
      </x:c>
      <x:c r="M115" s="44" t="n">
        <x:v>4.252666666666666</x:v>
      </x:c>
      <x:c r="N115" s="43" t="n">
        <x:v>15</x:v>
      </x:c>
      <x:c r="O115" s="44" t="n">
        <x:v>6.168181818181819</x:v>
      </x:c>
      <x:c r="P115" s="43" t="n">
        <x:v>11</x:v>
      </x:c>
      <x:c r="Q115" s="44" t="n">
        <x:v>3.7093333333333334</x:v>
      </x:c>
      <x:c r="R115" s="43" t="n">
        <x:v>15</x:v>
      </x:c>
      <x:c r="S115" s="44" t="n">
        <x:v>5.465999999999999</x:v>
      </x:c>
      <x:c r="T115" s="43" t="n">
        <x:v>15</x:v>
      </x:c>
      <x:c r="U115" s="43" t="str">
        <x:v>K54</x:v>
      </x:c>
      <x:c r="V115" s="44" t="n">
        <x:v>-0.8893333333333331</x:v>
      </x:c>
      <x:c r="W115" s="44" t="n">
        <x:v>0.6160000000000014</x:v>
      </x:c>
      <x:c r="X115" s="44" t="n">
        <x:v>-1.2846666666666655</x:v>
      </x:c>
      <x:c r="Y115" s="44" t="n">
        <x:v>-0.06399999999999917</x:v>
      </x:c>
      <x:c r="Z115" s="44" t="n">
        <x:v>-1.9795151515151517</x:v>
      </x:c>
      <x:c r="AA115" s="44" t="n">
        <x:v>0.47933333333333383</x:v>
      </x:c>
      <x:c r="AB115" s="44" t="n">
        <x:v>-1.277333333333332</x:v>
      </x:c>
      <x:c r="AC115" s="43" t="str">
        <x:v>Full</x:v>
      </x:c>
    </x:row>
    <x:row r="116" ht="18" customHeight="1">
      <x:c r="A116" s="43" t="str">
        <x:v>Cavalry</x:v>
      </x:c>
      <x:c r="B116" s="43" t="str">
        <x:v>Cavalry Attack Blessing</x:v>
      </x:c>
      <x:c r="C116" s="43" t="str">
        <x:v>Higher</x:v>
      </x:c>
      <x:c r="D116" s="43" t="str">
        <x:v>All players mean</x:v>
      </x:c>
      <x:c r="E116" s="44" t="n">
        <x:v>4.3748000000000005</x:v>
      </x:c>
      <x:c r="F116" s="43" t="n">
        <x:v>25</x:v>
      </x:c>
      <x:c r="G116" s="44" t="n">
        <x:v>2.9509999999999996</x:v>
      </x:c>
      <x:c r="H116" s="43" t="n">
        <x:v>20</x:v>
      </x:c>
      <x:c r="I116" s="44" t="n">
        <x:v>4.4632499999999995</x:v>
      </x:c>
      <x:c r="J116" s="43" t="n">
        <x:v>20</x:v>
      </x:c>
      <x:c r="K116" s="44" t="n">
        <x:v>3.0337037037037047</x:v>
      </x:c>
      <x:c r="L116" s="43" t="n">
        <x:v>27</x:v>
      </x:c>
      <x:c r="M116" s="44" t="n">
        <x:v>3.402608695652174</x:v>
      </x:c>
      <x:c r="N116" s="43" t="n">
        <x:v>23</x:v>
      </x:c>
      <x:c r="O116" s="44" t="n">
        <x:v>6.168181818181819</x:v>
      </x:c>
      <x:c r="P116" s="43" t="n">
        <x:v>11</x:v>
      </x:c>
      <x:c r="Q116" s="44" t="n">
        <x:v>3.1242105263157893</x:v>
      </x:c>
      <x:c r="R116" s="43" t="n">
        <x:v>19</x:v>
      </x:c>
      <x:c r="S116" s="44" t="n">
        <x:v>4.835454545454545</x:v>
      </x:c>
      <x:c r="T116" s="43" t="n">
        <x:v>22</x:v>
      </x:c>
      <x:c r="U116" s="43" t="str">
        <x:v>K54</x:v>
      </x:c>
      <x:c r="V116" s="44" t="n">
        <x:v>-1.3410962962962958</x:v>
      </x:c>
      <x:c r="W116" s="44" t="n">
        <x:v>0.08270370370370506</x:v>
      </x:c>
      <x:c r="X116" s="44" t="n">
        <x:v>-1.4295462962962948</x:v>
      </x:c>
      <x:c r="Y116" s="44" t="n">
        <x:v>-0.36890499194846926</x:v>
      </x:c>
      <x:c r="Z116" s="44" t="n">
        <x:v>-3.134478114478114</x:v>
      </x:c>
      <x:c r="AA116" s="44" t="n">
        <x:v>-0.09050682261208465</x:v>
      </x:c>
      <x:c r="AB116" s="44" t="n">
        <x:v>-1.8017508417508403</x:v>
      </x:c>
      <x:c r="AC116" s="43" t="str">
        <x:v>Full</x:v>
      </x:c>
    </x:row>
    <x:row r="117" ht="18" customHeight="1">
      <x:c r="A117" s="43" t="str">
        <x:v>Cavalry</x:v>
      </x:c>
      <x:c r="B117" s="43" t="str">
        <x:v>Cavalry Protection Blessing</x:v>
      </x:c>
      <x:c r="C117" s="43" t="str">
        <x:v>Higher</x:v>
      </x:c>
      <x:c r="D117" s="43" t="str">
        <x:v>Best player</x:v>
      </x:c>
      <x:c r="E117" s="44" t="n">
        <x:v>5.01</x:v>
      </x:c>
      <x:c r="F117" s="43" t="n">
        <x:v>1</x:v>
      </x:c>
      <x:c r="G117" s="44" t="n">
        <x:v>9</x:v>
      </x:c>
      <x:c r="H117" s="43" t="n">
        <x:v>1</x:v>
      </x:c>
      <x:c r="I117" s="44" t="n">
        <x:v>9</x:v>
      </x:c>
      <x:c r="J117" s="43" t="n">
        <x:v>1</x:v>
      </x:c>
      <x:c r="K117" s="44" t="n">
        <x:v>4.2</x:v>
      </x:c>
      <x:c r="L117" s="43" t="n">
        <x:v>1</x:v>
      </x:c>
      <x:c r="M117" s="44" t="n">
        <x:v>3.89</x:v>
      </x:c>
      <x:c r="N117" s="43" t="n">
        <x:v>1</x:v>
      </x:c>
      <x:c r="O117" s="44" t="n">
        <x:v>9</x:v>
      </x:c>
      <x:c r="P117" s="43" t="n">
        <x:v>1</x:v>
      </x:c>
      <x:c r="Q117" s="44" t="n">
        <x:v>9</x:v>
      </x:c>
      <x:c r="R117" s="43" t="n">
        <x:v>1</x:v>
      </x:c>
      <x:c r="S117" s="44" t="n">
        <x:v>4.89</x:v>
      </x:c>
      <x:c r="T117" s="43" t="n">
        <x:v>1</x:v>
      </x:c>
      <x:c r="U117" s="43" t="str">
        <x:v>Tie</x:v>
      </x:c>
      <x:c r="V117" s="44" t="n">
        <x:v>-0.8099999999999996</x:v>
      </x:c>
      <x:c r="W117" s="44" t="n">
        <x:v>-4.8</x:v>
      </x:c>
      <x:c r="X117" s="44" t="n">
        <x:v>-4.8</x:v>
      </x:c>
      <x:c r="Y117" s="44" t="n">
        <x:v>0.31000000000000005</x:v>
      </x:c>
      <x:c r="Z117" s="44" t="n">
        <x:v>-4.8</x:v>
      </x:c>
      <x:c r="AA117" s="44" t="n">
        <x:v>-4.8</x:v>
      </x:c>
      <x:c r="AB117" s="44" t="n">
        <x:v>-0.6899999999999995</x:v>
      </x:c>
      <x:c r="AC117" s="43" t="str">
        <x:v>Full</x:v>
      </x:c>
    </x:row>
    <x:row r="118" ht="18" customHeight="1">
      <x:c r="A118" s="43" t="str">
        <x:v>Cavalry</x:v>
      </x:c>
      <x:c r="B118" s="43" t="str">
        <x:v>Cavalry Protection Blessing</x:v>
      </x:c>
      <x:c r="C118" s="43" t="str">
        <x:v>Higher</x:v>
      </x:c>
      <x:c r="D118" s="43" t="str">
        <x:v>Top 5 average</x:v>
      </x:c>
      <x:c r="E118" s="44" t="n">
        <x:v>4.102</x:v>
      </x:c>
      <x:c r="F118" s="43" t="n">
        <x:v>5</x:v>
      </x:c>
      <x:c r="G118" s="44" t="n">
        <x:v>4.532</x:v>
      </x:c>
      <x:c r="H118" s="43" t="n">
        <x:v>5</x:v>
      </x:c>
      <x:c r="I118" s="44" t="n">
        <x:v>6.544</x:v>
      </x:c>
      <x:c r="J118" s="43" t="n">
        <x:v>5</x:v>
      </x:c>
      <x:c r="K118" s="44" t="n">
        <x:v>3.682</x:v>
      </x:c>
      <x:c r="L118" s="43" t="n">
        <x:v>5</x:v>
      </x:c>
      <x:c r="M118" s="44" t="n">
        <x:v>3.466</x:v>
      </x:c>
      <x:c r="N118" s="43" t="n">
        <x:v>5</x:v>
      </x:c>
      <x:c r="O118" s="44" t="n">
        <x:v>7.2219999999999995</x:v>
      </x:c>
      <x:c r="P118" s="43" t="n">
        <x:v>5</x:v>
      </x:c>
      <x:c r="Q118" s="44" t="n">
        <x:v>5.228</x:v>
      </x:c>
      <x:c r="R118" s="43" t="n">
        <x:v>5</x:v>
      </x:c>
      <x:c r="S118" s="44" t="n">
        <x:v>4.384</x:v>
      </x:c>
      <x:c r="T118" s="43" t="n">
        <x:v>5</x:v>
      </x:c>
      <x:c r="U118" s="43" t="str">
        <x:v>K54</x:v>
      </x:c>
      <x:c r="V118" s="44" t="n">
        <x:v>-0.4200000000000004</x:v>
      </x:c>
      <x:c r="W118" s="44" t="n">
        <x:v>-0.8500000000000001</x:v>
      </x:c>
      <x:c r="X118" s="44" t="n">
        <x:v>-2.8619999999999997</x:v>
      </x:c>
      <x:c r="Y118" s="44" t="n">
        <x:v>0.21599999999999975</x:v>
      </x:c>
      <x:c r="Z118" s="44" t="n">
        <x:v>-3.5399999999999996</x:v>
      </x:c>
      <x:c r="AA118" s="44" t="n">
        <x:v>-1.5459999999999998</x:v>
      </x:c>
      <x:c r="AB118" s="44" t="n">
        <x:v>-0.7020000000000004</x:v>
      </x:c>
      <x:c r="AC118" s="43" t="str">
        <x:v>Full</x:v>
      </x:c>
    </x:row>
    <x:row r="119" ht="18" customHeight="1">
      <x:c r="A119" s="43" t="str">
        <x:v>Cavalry</x:v>
      </x:c>
      <x:c r="B119" s="43" t="str">
        <x:v>Cavalry Protection Blessing</x:v>
      </x:c>
      <x:c r="C119" s="43" t="str">
        <x:v>Higher</x:v>
      </x:c>
      <x:c r="D119" s="43" t="str">
        <x:v>Top 15 average</x:v>
      </x:c>
      <x:c r="E119" s="44" t="n">
        <x:v>3.1826666666666674</x:v>
      </x:c>
      <x:c r="F119" s="43" t="n">
        <x:v>15</x:v>
      </x:c>
      <x:c r="G119" s="44" t="n">
        <x:v>2.404666666666667</x:v>
      </x:c>
      <x:c r="H119" s="43" t="n">
        <x:v>15</x:v>
      </x:c>
      <x:c r="I119" s="44" t="n">
        <x:v>3.9736666666666665</x:v>
      </x:c>
      <x:c r="J119" s="43" t="n">
        <x:v>15</x:v>
      </x:c>
      <x:c r="K119" s="44" t="n">
        <x:v>2.5406666666666666</x:v>
      </x:c>
      <x:c r="L119" s="43" t="n">
        <x:v>15</x:v>
      </x:c>
      <x:c r="M119" s="44" t="n">
        <x:v>2.5406666666666666</x:v>
      </x:c>
      <x:c r="N119" s="43" t="n">
        <x:v>15</x:v>
      </x:c>
      <x:c r="O119" s="44" t="n">
        <x:v>5.080909090909091</x:v>
      </x:c>
      <x:c r="P119" s="43" t="n">
        <x:v>11</x:v>
      </x:c>
      <x:c r="Q119" s="44" t="n">
        <x:v>2.687333333333333</x:v>
      </x:c>
      <x:c r="R119" s="43" t="n">
        <x:v>15</x:v>
      </x:c>
      <x:c r="S119" s="44" t="n">
        <x:v>3.442666666666667</x:v>
      </x:c>
      <x:c r="T119" s="43" t="n">
        <x:v>15</x:v>
      </x:c>
      <x:c r="U119" s="43" t="str">
        <x:v>K54</x:v>
      </x:c>
      <x:c r="V119" s="44" t="n">
        <x:v>-0.6420000000000008</x:v>
      </x:c>
      <x:c r="W119" s="44" t="n">
        <x:v>0.13599999999999968</x:v>
      </x:c>
      <x:c r="X119" s="44" t="n">
        <x:v>-1.4329999999999998</x:v>
      </x:c>
      <x:c r="Y119" s="44" t="n">
        <x:v>0</x:v>
      </x:c>
      <x:c r="Z119" s="44" t="n">
        <x:v>-2.5402424242424244</x:v>
      </x:c>
      <x:c r="AA119" s="44" t="n">
        <x:v>-0.1466666666666665</x:v>
      </x:c>
      <x:c r="AB119" s="44" t="n">
        <x:v>-0.9020000000000006</x:v>
      </x:c>
      <x:c r="AC119" s="43" t="str">
        <x:v>Full</x:v>
      </x:c>
    </x:row>
    <x:row r="120" ht="18" customHeight="1">
      <x:c r="A120" s="43" t="str">
        <x:v>Cavalry</x:v>
      </x:c>
      <x:c r="B120" s="43" t="str">
        <x:v>Cavalry Protection Blessing</x:v>
      </x:c>
      <x:c r="C120" s="43" t="str">
        <x:v>Higher</x:v>
      </x:c>
      <x:c r="D120" s="43" t="str">
        <x:v>All players mean</x:v>
      </x:c>
      <x:c r="E120" s="44" t="n">
        <x:v>2.6124</x:v>
      </x:c>
      <x:c r="F120" s="43" t="n">
        <x:v>25</x:v>
      </x:c>
      <x:c r="G120" s="44" t="n">
        <x:v>1.9705000000000006</x:v>
      </x:c>
      <x:c r="H120" s="43" t="n">
        <x:v>20</x:v>
      </x:c>
      <x:c r="I120" s="44" t="n">
        <x:v>3.2087499999999998</x:v>
      </x:c>
      <x:c r="J120" s="43" t="n">
        <x:v>20</x:v>
      </x:c>
      <x:c r="K120" s="44" t="n">
        <x:v>1.8244444444444445</x:v>
      </x:c>
      <x:c r="L120" s="43" t="n">
        <x:v>27</x:v>
      </x:c>
      <x:c r="M120" s="44" t="n">
        <x:v>2.0586956521739133</x:v>
      </x:c>
      <x:c r="N120" s="43" t="n">
        <x:v>23</x:v>
      </x:c>
      <x:c r="O120" s="44" t="n">
        <x:v>5.080909090909091</x:v>
      </x:c>
      <x:c r="P120" s="43" t="n">
        <x:v>11</x:v>
      </x:c>
      <x:c r="Q120" s="44" t="n">
        <x:v>2.2278947368421047</x:v>
      </x:c>
      <x:c r="R120" s="43" t="n">
        <x:v>19</x:v>
      </x:c>
      <x:c r="S120" s="44" t="n">
        <x:v>2.976818181818182</x:v>
      </x:c>
      <x:c r="T120" s="43" t="n">
        <x:v>22</x:v>
      </x:c>
      <x:c r="U120" s="43" t="str">
        <x:v>K54</x:v>
      </x:c>
      <x:c r="V120" s="44" t="n">
        <x:v>-0.7879555555555555</x:v>
      </x:c>
      <x:c r="W120" s="44" t="n">
        <x:v>-0.14605555555555605</x:v>
      </x:c>
      <x:c r="X120" s="44" t="n">
        <x:v>-1.3843055555555552</x:v>
      </x:c>
      <x:c r="Y120" s="44" t="n">
        <x:v>-0.23425120772946872</x:v>
      </x:c>
      <x:c r="Z120" s="44" t="n">
        <x:v>-3.2564646464646465</x:v>
      </x:c>
      <x:c r="AA120" s="44" t="n">
        <x:v>-0.40345029239766017</x:v>
      </x:c>
      <x:c r="AB120" s="44" t="n">
        <x:v>-1.1523737373737375</x:v>
      </x:c>
      <x:c r="AC120" s="43" t="str">
        <x:v>Full</x:v>
      </x:c>
    </x:row>
    <x:row r="121" ht="18" customHeight="1">
      <x:c r="A121" s="43" t="str">
        <x:v>Archers</x:v>
      </x:c>
      <x:c r="B121" s="43" t="str">
        <x:v>Archer Attack</x:v>
      </x:c>
      <x:c r="C121" s="43" t="str">
        <x:v>Higher</x:v>
      </x:c>
      <x:c r="D121" s="43" t="str">
        <x:v>Best player</x:v>
      </x:c>
      <x:c r="E121" s="44" t="n">
        <x:v>24.43</x:v>
      </x:c>
      <x:c r="F121" s="43" t="n">
        <x:v>1</x:v>
      </x:c>
      <x:c r="G121" s="44" t="n">
        <x:v>26.805500000000002</x:v>
      </x:c>
      <x:c r="H121" s="43" t="n">
        <x:v>1</x:v>
      </x:c>
      <x:c r="I121" s="44" t="n">
        <x:v>22.465</x:v>
      </x:c>
      <x:c r="J121" s="43" t="n">
        <x:v>1</x:v>
      </x:c>
      <x:c r="K121" s="44" t="n">
        <x:v>23.9955</x:v>
      </x:c>
      <x:c r="L121" s="43" t="n">
        <x:v>1</x:v>
      </x:c>
      <x:c r="M121" s="44" t="n">
        <x:v>24.8285</x:v>
      </x:c>
      <x:c r="N121" s="43" t="n">
        <x:v>1</x:v>
      </x:c>
      <x:c r="O121" s="44" t="n">
        <x:v>24.385</x:v>
      </x:c>
      <x:c r="P121" s="43" t="n">
        <x:v>1</x:v>
      </x:c>
      <x:c r="Q121" s="44" t="n">
        <x:v>26.710500000000003</x:v>
      </x:c>
      <x:c r="R121" s="43" t="n">
        <x:v>1</x:v>
      </x:c>
      <x:c r="S121" s="44" t="n">
        <x:v>21.54</x:v>
      </x:c>
      <x:c r="T121" s="43" t="n">
        <x:v>1</x:v>
      </x:c>
      <x:c r="U121" s="43" t="str">
        <x:v>K91</x:v>
      </x:c>
      <x:c r="V121" s="44" t="n">
        <x:v>-0.4344999999999999</x:v>
      </x:c>
      <x:c r="W121" s="44" t="n">
        <x:v>-2.8100000000000023</x:v>
      </x:c>
      <x:c r="X121" s="44" t="n">
        <x:v>1.5305</x:v>
      </x:c>
      <x:c r="Y121" s="44" t="n">
        <x:v>-0.8329999999999984</x:v>
      </x:c>
      <x:c r="Z121" s="44" t="n">
        <x:v>-0.38950000000000173</x:v>
      </x:c>
      <x:c r="AA121" s="44" t="n">
        <x:v>-2.7150000000000034</x:v>
      </x:c>
      <x:c r="AB121" s="44" t="n">
        <x:v>2.4555000000000007</x:v>
      </x:c>
      <x:c r="AC121" s="43" t="str">
        <x:v>Full</x:v>
      </x:c>
    </x:row>
    <x:row r="122" ht="18" customHeight="1">
      <x:c r="A122" s="43" t="str">
        <x:v>Archers</x:v>
      </x:c>
      <x:c r="B122" s="43" t="str">
        <x:v>Archer Attack</x:v>
      </x:c>
      <x:c r="C122" s="43" t="str">
        <x:v>Higher</x:v>
      </x:c>
      <x:c r="D122" s="43" t="str">
        <x:v>Top 5 average</x:v>
      </x:c>
      <x:c r="E122" s="44" t="n">
        <x:v>22.808000000000003</x:v>
      </x:c>
      <x:c r="F122" s="43" t="n">
        <x:v>5</x:v>
      </x:c>
      <x:c r="G122" s="44" t="n">
        <x:v>25.8675</x:v>
      </x:c>
      <x:c r="H122" s="43" t="n">
        <x:v>5</x:v>
      </x:c>
      <x:c r="I122" s="44" t="n">
        <x:v>22.055600000000002</x:v>
      </x:c>
      <x:c r="J122" s="43" t="n">
        <x:v>5</x:v>
      </x:c>
      <x:c r="K122" s="44" t="n">
        <x:v>23.3038</x:v>
      </x:c>
      <x:c r="L122" s="43" t="n">
        <x:v>5</x:v>
      </x:c>
      <x:c r="M122" s="44" t="n">
        <x:v>23.4851</x:v>
      </x:c>
      <x:c r="N122" s="43" t="n">
        <x:v>5</x:v>
      </x:c>
      <x:c r="O122" s="44" t="n">
        <x:v>22.093</x:v>
      </x:c>
      <x:c r="P122" s="43" t="n">
        <x:v>5</x:v>
      </x:c>
      <x:c r="Q122" s="44" t="n">
        <x:v>26.334400000000006</x:v>
      </x:c>
      <x:c r="R122" s="43" t="n">
        <x:v>5</x:v>
      </x:c>
      <x:c r="S122" s="44" t="n">
        <x:v>21.225</x:v>
      </x:c>
      <x:c r="T122" s="43" t="n">
        <x:v>5</x:v>
      </x:c>
      <x:c r="U122" s="43" t="str">
        <x:v>K197</x:v>
      </x:c>
      <x:c r="V122" s="44" t="n">
        <x:v>0.4957999999999956</x:v>
      </x:c>
      <x:c r="W122" s="44" t="n">
        <x:v>-2.5637000000000008</x:v>
      </x:c>
      <x:c r="X122" s="44" t="n">
        <x:v>1.248199999999997</x:v>
      </x:c>
      <x:c r="Y122" s="44" t="n">
        <x:v>-0.18130000000000024</x:v>
      </x:c>
      <x:c r="Z122" s="44" t="n">
        <x:v>1.210799999999999</x:v>
      </x:c>
      <x:c r="AA122" s="44" t="n">
        <x:v>-3.030600000000007</x:v>
      </x:c>
      <x:c r="AB122" s="44" t="n">
        <x:v>2.0787999999999975</x:v>
      </x:c>
      <x:c r="AC122" s="43" t="str">
        <x:v>Full</x:v>
      </x:c>
    </x:row>
    <x:row r="123" ht="18" customHeight="1">
      <x:c r="A123" s="43" t="str">
        <x:v>Archers</x:v>
      </x:c>
      <x:c r="B123" s="43" t="str">
        <x:v>Archer Attack</x:v>
      </x:c>
      <x:c r="C123" s="43" t="str">
        <x:v>Higher</x:v>
      </x:c>
      <x:c r="D123" s="43" t="str">
        <x:v>Top 15 average</x:v>
      </x:c>
      <x:c r="E123" s="44" t="n">
        <x:v>21.75</x:v>
      </x:c>
      <x:c r="F123" s="43" t="n">
        <x:v>15</x:v>
      </x:c>
      <x:c r="G123" s="44" t="n">
        <x:v>23.765133333333335</x:v>
      </x:c>
      <x:c r="H123" s="43" t="n">
        <x:v>15</x:v>
      </x:c>
      <x:c r="I123" s="44" t="n">
        <x:v>20.365166666666667</x:v>
      </x:c>
      <x:c r="J123" s="43" t="n">
        <x:v>15</x:v>
      </x:c>
      <x:c r="K123" s="44" t="n">
        <x:v>21.91283333333333</x:v>
      </x:c>
      <x:c r="L123" s="43" t="n">
        <x:v>15</x:v>
      </x:c>
      <x:c r="M123" s="44" t="n">
        <x:v>21.71606666666667</x:v>
      </x:c>
      <x:c r="N123" s="43" t="n">
        <x:v>15</x:v>
      </x:c>
      <x:c r="O123" s="44" t="n">
        <x:v>18.879272727272728</x:v>
      </x:c>
      <x:c r="P123" s="43" t="n">
        <x:v>11</x:v>
      </x:c>
      <x:c r="Q123" s="44" t="n">
        <x:v>24.33893333333333</x:v>
      </x:c>
      <x:c r="R123" s="43" t="n">
        <x:v>15</x:v>
      </x:c>
      <x:c r="S123" s="44" t="n">
        <x:v>19.8729</x:v>
      </x:c>
      <x:c r="T123" s="43" t="n">
        <x:v>15</x:v>
      </x:c>
      <x:c r="U123" s="43" t="str">
        <x:v>K197</x:v>
      </x:c>
      <x:c r="V123" s="44" t="n">
        <x:v>0.1628333333333316</x:v>
      </x:c>
      <x:c r="W123" s="44" t="n">
        <x:v>-1.8523000000000032</x:v>
      </x:c>
      <x:c r="X123" s="44" t="n">
        <x:v>1.5476666666666645</x:v>
      </x:c>
      <x:c r="Y123" s="44" t="n">
        <x:v>0.19676666666666165</x:v>
      </x:c>
      <x:c r="Z123" s="44" t="n">
        <x:v>3.033560606060604</x:v>
      </x:c>
      <x:c r="AA123" s="44" t="n">
        <x:v>-2.426099999999998</x:v>
      </x:c>
      <x:c r="AB123" s="44" t="n">
        <x:v>2.0399333333333303</x:v>
      </x:c>
      <x:c r="AC123" s="43" t="str">
        <x:v>Full</x:v>
      </x:c>
    </x:row>
    <x:row r="124" ht="18" customHeight="1">
      <x:c r="A124" s="43" t="str">
        <x:v>Archers</x:v>
      </x:c>
      <x:c r="B124" s="43" t="str">
        <x:v>Archer Attack</x:v>
      </x:c>
      <x:c r="C124" s="43" t="str">
        <x:v>Higher</x:v>
      </x:c>
      <x:c r="D124" s="43" t="str">
        <x:v>All players mean</x:v>
      </x:c>
      <x:c r="E124" s="44" t="n">
        <x:v>20.829799999999995</x:v>
      </x:c>
      <x:c r="F124" s="43" t="n">
        <x:v>25</x:v>
      </x:c>
      <x:c r="G124" s="44" t="n">
        <x:v>22.0571</x:v>
      </x:c>
      <x:c r="H124" s="43" t="n">
        <x:v>20</x:v>
      </x:c>
      <x:c r="I124" s="44" t="n">
        <x:v>18.640975</x:v>
      </x:c>
      <x:c r="J124" s="43" t="n">
        <x:v>20</x:v>
      </x:c>
      <x:c r="K124" s="44" t="n">
        <x:v>20.338259259259257</x:v>
      </x:c>
      <x:c r="L124" s="43" t="n">
        <x:v>27</x:v>
      </x:c>
      <x:c r="M124" s="44" t="n">
        <x:v>19.9084347826087</x:v>
      </x:c>
      <x:c r="N124" s="43" t="n">
        <x:v>23</x:v>
      </x:c>
      <x:c r="O124" s="44" t="n">
        <x:v>18.879272727272728</x:v>
      </x:c>
      <x:c r="P124" s="43" t="n">
        <x:v>11</x:v>
      </x:c>
      <x:c r="Q124" s="44" t="n">
        <x:v>22.113473684210522</x:v>
      </x:c>
      <x:c r="R124" s="43" t="n">
        <x:v>19</x:v>
      </x:c>
      <x:c r="S124" s="44" t="n">
        <x:v>18.15231818181818</x:v>
      </x:c>
      <x:c r="T124" s="43" t="n">
        <x:v>22</x:v>
      </x:c>
      <x:c r="U124" s="43" t="str">
        <x:v>K197</x:v>
      </x:c>
      <x:c r="V124" s="44" t="n">
        <x:v>-0.4915407407407386</x:v>
      </x:c>
      <x:c r="W124" s="44" t="n">
        <x:v>-1.7188407407407418</x:v>
      </x:c>
      <x:c r="X124" s="44" t="n">
        <x:v>1.6972842592592556</x:v>
      </x:c>
      <x:c r="Y124" s="44" t="n">
        <x:v>0.42982447665055545</x:v>
      </x:c>
      <x:c r="Z124" s="44" t="n">
        <x:v>1.458986531986529</x:v>
      </x:c>
      <x:c r="AA124" s="44" t="n">
        <x:v>-1.7752144249512654</x:v>
      </x:c>
      <x:c r="AB124" s="44" t="n">
        <x:v>2.1859410774410755</x:v>
      </x:c>
      <x:c r="AC124" s="43" t="str">
        <x:v>Full</x:v>
      </x:c>
    </x:row>
    <x:row r="125" ht="18" customHeight="1">
      <x:c r="A125" s="43" t="str">
        <x:v>Archers</x:v>
      </x:c>
      <x:c r="B125" s="43" t="str">
        <x:v>Archer Health</x:v>
      </x:c>
      <x:c r="C125" s="43" t="str">
        <x:v>Higher</x:v>
      </x:c>
      <x:c r="D125" s="43" t="str">
        <x:v>Best player</x:v>
      </x:c>
      <x:c r="E125" s="44" t="n">
        <x:v>17.5635</x:v>
      </x:c>
      <x:c r="F125" s="43" t="n">
        <x:v>1</x:v>
      </x:c>
      <x:c r="G125" s="44" t="n">
        <x:v>20.826999999999998</x:v>
      </x:c>
      <x:c r="H125" s="43" t="n">
        <x:v>1</x:v>
      </x:c>
      <x:c r="I125" s="44" t="n">
        <x:v>17.1835</x:v>
      </x:c>
      <x:c r="J125" s="43" t="n">
        <x:v>1</x:v>
      </x:c>
      <x:c r="K125" s="44" t="n">
        <x:v>19.207</x:v>
      </x:c>
      <x:c r="L125" s="43" t="n">
        <x:v>1</x:v>
      </x:c>
      <x:c r="M125" s="44" t="n">
        <x:v>18.885</x:v>
      </x:c>
      <x:c r="N125" s="43" t="n">
        <x:v>1</x:v>
      </x:c>
      <x:c r="O125" s="44" t="n">
        <x:v>18.09</x:v>
      </x:c>
      <x:c r="P125" s="43" t="n">
        <x:v>1</x:v>
      </x:c>
      <x:c r="Q125" s="44" t="n">
        <x:v>20.697</x:v>
      </x:c>
      <x:c r="R125" s="43" t="n">
        <x:v>1</x:v>
      </x:c>
      <x:c r="S125" s="44" t="n">
        <x:v>17.315</x:v>
      </x:c>
      <x:c r="T125" s="43" t="n">
        <x:v>1</x:v>
      </x:c>
      <x:c r="U125" s="43" t="str">
        <x:v>K91</x:v>
      </x:c>
      <x:c r="V125" s="44" t="n">
        <x:v>1.6434999999999995</x:v>
      </x:c>
      <x:c r="W125" s="44" t="n">
        <x:v>-1.6199999999999974</x:v>
      </x:c>
      <x:c r="X125" s="44" t="n">
        <x:v>2.023500000000002</x:v>
      </x:c>
      <x:c r="Y125" s="44" t="n">
        <x:v>0.3219999999999992</x:v>
      </x:c>
      <x:c r="Z125" s="44" t="n">
        <x:v>1.1170000000000009</x:v>
      </x:c>
      <x:c r="AA125" s="44" t="n">
        <x:v>-1.4899999999999984</x:v>
      </x:c>
      <x:c r="AB125" s="44" t="n">
        <x:v>1.8919999999999995</x:v>
      </x:c>
      <x:c r="AC125" s="43" t="str">
        <x:v>Full</x:v>
      </x:c>
    </x:row>
    <x:row r="126" ht="18" customHeight="1">
      <x:c r="A126" s="43" t="str">
        <x:v>Archers</x:v>
      </x:c>
      <x:c r="B126" s="43" t="str">
        <x:v>Archer Health</x:v>
      </x:c>
      <x:c r="C126" s="43" t="str">
        <x:v>Higher</x:v>
      </x:c>
      <x:c r="D126" s="43" t="str">
        <x:v>Top 5 average</x:v>
      </x:c>
      <x:c r="E126" s="44" t="n">
        <x:v>17.4655</x:v>
      </x:c>
      <x:c r="F126" s="43" t="n">
        <x:v>5</x:v>
      </x:c>
      <x:c r="G126" s="44" t="n">
        <x:v>19.437</x:v>
      </x:c>
      <x:c r="H126" s="43" t="n">
        <x:v>5</x:v>
      </x:c>
      <x:c r="I126" s="44" t="n">
        <x:v>15.990699999999999</x:v>
      </x:c>
      <x:c r="J126" s="43" t="n">
        <x:v>5</x:v>
      </x:c>
      <x:c r="K126" s="44" t="n">
        <x:v>17.6839</x:v>
      </x:c>
      <x:c r="L126" s="43" t="n">
        <x:v>5</x:v>
      </x:c>
      <x:c r="M126" s="44" t="n">
        <x:v>17.7791</x:v>
      </x:c>
      <x:c r="N126" s="43" t="n">
        <x:v>5</x:v>
      </x:c>
      <x:c r="O126" s="44" t="n">
        <x:v>15.682999999999998</x:v>
      </x:c>
      <x:c r="P126" s="43" t="n">
        <x:v>5</x:v>
      </x:c>
      <x:c r="Q126" s="44" t="n">
        <x:v>19.775000000000002</x:v>
      </x:c>
      <x:c r="R126" s="43" t="n">
        <x:v>5</x:v>
      </x:c>
      <x:c r="S126" s="44" t="n">
        <x:v>16.149</x:v>
      </x:c>
      <x:c r="T126" s="43" t="n">
        <x:v>5</x:v>
      </x:c>
      <x:c r="U126" s="43" t="str">
        <x:v>K197</x:v>
      </x:c>
      <x:c r="V126" s="44" t="n">
        <x:v>0.2184000000000026</x:v>
      </x:c>
      <x:c r="W126" s="44" t="n">
        <x:v>-1.7530999999999999</x:v>
      </x:c>
      <x:c r="X126" s="44" t="n">
        <x:v>1.6932000000000027</x:v>
      </x:c>
      <x:c r="Y126" s="44" t="n">
        <x:v>-0.0951999999999984</x:v>
      </x:c>
      <x:c r="Z126" s="44" t="n">
        <x:v>2.0009000000000032</x:v>
      </x:c>
      <x:c r="AA126" s="44" t="n">
        <x:v>-2.091100000000001</x:v>
      </x:c>
      <x:c r="AB126" s="44" t="n">
        <x:v>1.5349000000000004</x:v>
      </x:c>
      <x:c r="AC126" s="43" t="str">
        <x:v>Full</x:v>
      </x:c>
    </x:row>
    <x:row r="127" ht="18" customHeight="1">
      <x:c r="A127" s="43" t="str">
        <x:v>Archers</x:v>
      </x:c>
      <x:c r="B127" s="43" t="str">
        <x:v>Archer Health</x:v>
      </x:c>
      <x:c r="C127" s="43" t="str">
        <x:v>Higher</x:v>
      </x:c>
      <x:c r="D127" s="43" t="str">
        <x:v>Top 15 average</x:v>
      </x:c>
      <x:c r="E127" s="44" t="n">
        <x:v>16.96683333333333</x:v>
      </x:c>
      <x:c r="F127" s="43" t="n">
        <x:v>15</x:v>
      </x:c>
      <x:c r="G127" s="44" t="n">
        <x:v>17.62706666666667</x:v>
      </x:c>
      <x:c r="H127" s="43" t="n">
        <x:v>15</x:v>
      </x:c>
      <x:c r="I127" s="44" t="n">
        <x:v>13.674133333333335</x:v>
      </x:c>
      <x:c r="J127" s="43" t="n">
        <x:v>15</x:v>
      </x:c>
      <x:c r="K127" s="44" t="n">
        <x:v>16.91543333333333</x:v>
      </x:c>
      <x:c r="L127" s="43" t="n">
        <x:v>15</x:v>
      </x:c>
      <x:c r="M127" s="44" t="n">
        <x:v>16.29956666666667</x:v>
      </x:c>
      <x:c r="N127" s="43" t="n">
        <x:v>15</x:v>
      </x:c>
      <x:c r="O127" s="44" t="n">
        <x:v>13.046999999999997</x:v>
      </x:c>
      <x:c r="P127" s="43" t="n">
        <x:v>11</x:v>
      </x:c>
      <x:c r="Q127" s="44" t="n">
        <x:v>17.571000000000005</x:v>
      </x:c>
      <x:c r="R127" s="43" t="n">
        <x:v>15</x:v>
      </x:c>
      <x:c r="S127" s="44" t="n">
        <x:v>14.728333333333333</x:v>
      </x:c>
      <x:c r="T127" s="43" t="n">
        <x:v>15</x:v>
      </x:c>
      <x:c r="U127" s="43" t="str">
        <x:v>K91</x:v>
      </x:c>
      <x:c r="V127" s="44" t="n">
        <x:v>-0.051400000000001</x:v>
      </x:c>
      <x:c r="W127" s="44" t="n">
        <x:v>-0.7116333333333422</x:v>
      </x:c>
      <x:c r="X127" s="44" t="n">
        <x:v>3.2412999999999936</x:v>
      </x:c>
      <x:c r="Y127" s="44" t="n">
        <x:v>0.6158666666666583</x:v>
      </x:c>
      <x:c r="Z127" s="44" t="n">
        <x:v>3.868433333333332</x:v>
      </x:c>
      <x:c r="AA127" s="44" t="n">
        <x:v>-0.655566666666676</x:v>
      </x:c>
      <x:c r="AB127" s="44" t="n">
        <x:v>2.1870999999999956</x:v>
      </x:c>
      <x:c r="AC127" s="43" t="str">
        <x:v>Full</x:v>
      </x:c>
    </x:row>
    <x:row r="128" ht="18" customHeight="1">
      <x:c r="A128" s="43" t="str">
        <x:v>Archers</x:v>
      </x:c>
      <x:c r="B128" s="43" t="str">
        <x:v>Archer Health</x:v>
      </x:c>
      <x:c r="C128" s="43" t="str">
        <x:v>Higher</x:v>
      </x:c>
      <x:c r="D128" s="43" t="str">
        <x:v>All players mean</x:v>
      </x:c>
      <x:c r="E128" s="44" t="n">
        <x:v>16.0992</x:v>
      </x:c>
      <x:c r="F128" s="43" t="n">
        <x:v>25</x:v>
      </x:c>
      <x:c r="G128" s="44" t="n">
        <x:v>16.153800000000004</x:v>
      </x:c>
      <x:c r="H128" s="43" t="n">
        <x:v>20</x:v>
      </x:c>
      <x:c r="I128" s="44" t="n">
        <x:v>12.4457</x:v>
      </x:c>
      <x:c r="J128" s="43" t="n">
        <x:v>20</x:v>
      </x:c>
      <x:c r="K128" s="44" t="n">
        <x:v>15.062277777777776</x:v>
      </x:c>
      <x:c r="L128" s="43" t="n">
        <x:v>27</x:v>
      </x:c>
      <x:c r="M128" s="44" t="n">
        <x:v>14.567326086956518</x:v>
      </x:c>
      <x:c r="N128" s="43" t="n">
        <x:v>23</x:v>
      </x:c>
      <x:c r="O128" s="44" t="n">
        <x:v>13.046999999999997</x:v>
      </x:c>
      <x:c r="P128" s="43" t="n">
        <x:v>11</x:v>
      </x:c>
      <x:c r="Q128" s="44" t="n">
        <x:v>15.649684210526319</x:v>
      </x:c>
      <x:c r="R128" s="43" t="n">
        <x:v>19</x:v>
      </x:c>
      <x:c r="S128" s="44" t="n">
        <x:v>13.350227272727272</x:v>
      </x:c>
      <x:c r="T128" s="43" t="n">
        <x:v>22</x:v>
      </x:c>
      <x:c r="U128" s="43" t="str">
        <x:v>K91</x:v>
      </x:c>
      <x:c r="V128" s="44" t="n">
        <x:v>-1.0369222222222234</x:v>
      </x:c>
      <x:c r="W128" s="44" t="n">
        <x:v>-1.0915222222222276</x:v>
      </x:c>
      <x:c r="X128" s="44" t="n">
        <x:v>2.616577777777776</x:v>
      </x:c>
      <x:c r="Y128" s="44" t="n">
        <x:v>0.49495169082125834</x:v>
      </x:c>
      <x:c r="Z128" s="44" t="n">
        <x:v>2.0152777777777793</x:v>
      </x:c>
      <x:c r="AA128" s="44" t="n">
        <x:v>-0.5874064327485424</x:v>
      </x:c>
      <x:c r="AB128" s="44" t="n">
        <x:v>1.7120505050505042</x:v>
      </x:c>
      <x:c r="AC128" s="43" t="str">
        <x:v>Full</x:v>
      </x:c>
    </x:row>
    <x:row r="129" ht="18" customHeight="1">
      <x:c r="A129" s="43" t="str">
        <x:v>Archers</x:v>
      </x:c>
      <x:c r="B129" s="43" t="str">
        <x:v>Archer Defense</x:v>
      </x:c>
      <x:c r="C129" s="43" t="str">
        <x:v>Higher</x:v>
      </x:c>
      <x:c r="D129" s="43" t="str">
        <x:v>Best player</x:v>
      </x:c>
      <x:c r="E129" s="44" t="n">
        <x:v>12.965</x:v>
      </x:c>
      <x:c r="F129" s="43" t="n">
        <x:v>1</x:v>
      </x:c>
      <x:c r="G129" s="44" t="n">
        <x:v>15.0435</x:v>
      </x:c>
      <x:c r="H129" s="43" t="n">
        <x:v>1</x:v>
      </x:c>
      <x:c r="I129" s="44" t="n">
        <x:v>15.113499999999998</x:v>
      </x:c>
      <x:c r="J129" s="43" t="n">
        <x:v>1</x:v>
      </x:c>
      <x:c r="K129" s="44" t="n">
        <x:v>14.2485</x:v>
      </x:c>
      <x:c r="L129" s="43" t="n">
        <x:v>1</x:v>
      </x:c>
      <x:c r="M129" s="44" t="n">
        <x:v>13.8635</x:v>
      </x:c>
      <x:c r="N129" s="43" t="n">
        <x:v>1</x:v>
      </x:c>
      <x:c r="O129" s="44" t="n">
        <x:v>15.4935</x:v>
      </x:c>
      <x:c r="P129" s="43" t="n">
        <x:v>1</x:v>
      </x:c>
      <x:c r="Q129" s="44" t="n">
        <x:v>15.9935</x:v>
      </x:c>
      <x:c r="R129" s="43" t="n">
        <x:v>1</x:v>
      </x:c>
      <x:c r="S129" s="44" t="n">
        <x:v>13.195</x:v>
      </x:c>
      <x:c r="T129" s="43" t="n">
        <x:v>1</x:v>
      </x:c>
      <x:c r="U129" s="43" t="str">
        <x:v>K197</x:v>
      </x:c>
      <x:c r="V129" s="44" t="n">
        <x:v>1.2835</x:v>
      </x:c>
      <x:c r="W129" s="44" t="n">
        <x:v>-0.7949999999999999</x:v>
      </x:c>
      <x:c r="X129" s="44" t="n">
        <x:v>-0.8649999999999984</x:v>
      </x:c>
      <x:c r="Y129" s="44" t="n">
        <x:v>0.3849999999999998</x:v>
      </x:c>
      <x:c r="Z129" s="44" t="n">
        <x:v>-1.2449999999999992</x:v>
      </x:c>
      <x:c r="AA129" s="44" t="n">
        <x:v>-1.7449999999999992</x:v>
      </x:c>
      <x:c r="AB129" s="44" t="n">
        <x:v>1.0534999999999997</x:v>
      </x:c>
      <x:c r="AC129" s="43" t="str">
        <x:v>Full</x:v>
      </x:c>
    </x:row>
    <x:row r="130" ht="18" customHeight="1">
      <x:c r="A130" s="43" t="str">
        <x:v>Archers</x:v>
      </x:c>
      <x:c r="B130" s="43" t="str">
        <x:v>Archer Defense</x:v>
      </x:c>
      <x:c r="C130" s="43" t="str">
        <x:v>Higher</x:v>
      </x:c>
      <x:c r="D130" s="43" t="str">
        <x:v>Top 5 average</x:v>
      </x:c>
      <x:c r="E130" s="44" t="n">
        <x:v>12.260000000000002</x:v>
      </x:c>
      <x:c r="F130" s="43" t="n">
        <x:v>5</x:v>
      </x:c>
      <x:c r="G130" s="44" t="n">
        <x:v>11.7407</x:v>
      </x:c>
      <x:c r="H130" s="43" t="n">
        <x:v>5</x:v>
      </x:c>
      <x:c r="I130" s="44" t="n">
        <x:v>14.104499999999998</x:v>
      </x:c>
      <x:c r="J130" s="43" t="n">
        <x:v>5</x:v>
      </x:c>
      <x:c r="K130" s="44" t="n">
        <x:v>12.939400000000001</x:v>
      </x:c>
      <x:c r="L130" s="43" t="n">
        <x:v>5</x:v>
      </x:c>
      <x:c r="M130" s="44" t="n">
        <x:v>13.1264</x:v>
      </x:c>
      <x:c r="N130" s="43" t="n">
        <x:v>5</x:v>
      </x:c>
      <x:c r="O130" s="44" t="n">
        <x:v>13.397799999999998</x:v>
      </x:c>
      <x:c r="P130" s="43" t="n">
        <x:v>5</x:v>
      </x:c>
      <x:c r="Q130" s="44" t="n">
        <x:v>13.246699999999999</x:v>
      </x:c>
      <x:c r="R130" s="43" t="n">
        <x:v>5</x:v>
      </x:c>
      <x:c r="S130" s="44" t="n">
        <x:v>11.403699999999999</x:v>
      </x:c>
      <x:c r="T130" s="43" t="n">
        <x:v>5</x:v>
      </x:c>
      <x:c r="U130" s="43" t="str">
        <x:v>K116</x:v>
      </x:c>
      <x:c r="V130" s="44" t="n">
        <x:v>0.6793999999999993</x:v>
      </x:c>
      <x:c r="W130" s="44" t="n">
        <x:v>1.1987000000000005</x:v>
      </x:c>
      <x:c r="X130" s="44" t="n">
        <x:v>-1.1650999999999971</x:v>
      </x:c>
      <x:c r="Y130" s="44" t="n">
        <x:v>-0.1869999999999994</x:v>
      </x:c>
      <x:c r="Z130" s="44" t="n">
        <x:v>-0.4583999999999975</x:v>
      </x:c>
      <x:c r="AA130" s="44" t="n">
        <x:v>-0.3072999999999979</x:v>
      </x:c>
      <x:c r="AB130" s="44" t="n">
        <x:v>1.535700000000002</x:v>
      </x:c>
      <x:c r="AC130" s="43" t="str">
        <x:v>Full</x:v>
      </x:c>
    </x:row>
    <x:row r="131" ht="18" customHeight="1">
      <x:c r="A131" s="43" t="str">
        <x:v>Archers</x:v>
      </x:c>
      <x:c r="B131" s="43" t="str">
        <x:v>Archer Defense</x:v>
      </x:c>
      <x:c r="C131" s="43" t="str">
        <x:v>Higher</x:v>
      </x:c>
      <x:c r="D131" s="43" t="str">
        <x:v>Top 15 average</x:v>
      </x:c>
      <x:c r="E131" s="44" t="n">
        <x:v>11.275566666666666</x:v>
      </x:c>
      <x:c r="F131" s="43" t="n">
        <x:v>15</x:v>
      </x:c>
      <x:c r="G131" s="44" t="n">
        <x:v>9.908366666666664</x:v>
      </x:c>
      <x:c r="H131" s="43" t="n">
        <x:v>15</x:v>
      </x:c>
      <x:c r="I131" s="44" t="n">
        <x:v>11.715033333333333</x:v>
      </x:c>
      <x:c r="J131" s="43" t="n">
        <x:v>15</x:v>
      </x:c>
      <x:c r="K131" s="44" t="n">
        <x:v>11.633266666666666</x:v>
      </x:c>
      <x:c r="L131" s="43" t="n">
        <x:v>15</x:v>
      </x:c>
      <x:c r="M131" s="44" t="n">
        <x:v>11.617633333333332</x:v>
      </x:c>
      <x:c r="N131" s="43" t="n">
        <x:v>15</x:v>
      </x:c>
      <x:c r="O131" s="44" t="n">
        <x:v>11.431363636363637</x:v>
      </x:c>
      <x:c r="P131" s="43" t="n">
        <x:v>11</x:v>
      </x:c>
      <x:c r="Q131" s="44" t="n">
        <x:v>10.744066666666665</x:v>
      </x:c>
      <x:c r="R131" s="43" t="n">
        <x:v>15</x:v>
      </x:c>
      <x:c r="S131" s="44" t="n">
        <x:v>9.972233333333334</x:v>
      </x:c>
      <x:c r="T131" s="43" t="n">
        <x:v>15</x:v>
      </x:c>
      <x:c r="U131" s="43" t="str">
        <x:v>K116</x:v>
      </x:c>
      <x:c r="V131" s="44" t="n">
        <x:v>0.35769999999999946</x:v>
      </x:c>
      <x:c r="W131" s="44" t="n">
        <x:v>1.7249000000000017</x:v>
      </x:c>
      <x:c r="X131" s="44" t="n">
        <x:v>-0.08176666666666677</x:v>
      </x:c>
      <x:c r="Y131" s="44" t="n">
        <x:v>0.01563333333333361</x:v>
      </x:c>
      <x:c r="Z131" s="44" t="n">
        <x:v>0.20190303030302914</x:v>
      </x:c>
      <x:c r="AA131" s="44" t="n">
        <x:v>0.8892000000000007</x:v>
      </x:c>
      <x:c r="AB131" s="44" t="n">
        <x:v>1.6610333333333323</x:v>
      </x:c>
      <x:c r="AC131" s="43" t="str">
        <x:v>Full</x:v>
      </x:c>
    </x:row>
    <x:row r="132" ht="18" customHeight="1">
      <x:c r="A132" s="43" t="str">
        <x:v>Archers</x:v>
      </x:c>
      <x:c r="B132" s="43" t="str">
        <x:v>Archer Defense</x:v>
      </x:c>
      <x:c r="C132" s="43" t="str">
        <x:v>Higher</x:v>
      </x:c>
      <x:c r="D132" s="43" t="str">
        <x:v>All players mean</x:v>
      </x:c>
      <x:c r="E132" s="44" t="n">
        <x:v>10.417879999999998</x:v>
      </x:c>
      <x:c r="F132" s="43" t="n">
        <x:v>25</x:v>
      </x:c>
      <x:c r="G132" s="44" t="n">
        <x:v>9.272524999999998</x:v>
      </x:c>
      <x:c r="H132" s="43" t="n">
        <x:v>20</x:v>
      </x:c>
      <x:c r="I132" s="44" t="n">
        <x:v>10.192874999999997</x:v>
      </x:c>
      <x:c r="J132" s="43" t="n">
        <x:v>20</x:v>
      </x:c>
      <x:c r="K132" s="44" t="n">
        <x:v>10.19111111111111</x:v>
      </x:c>
      <x:c r="L132" s="43" t="n">
        <x:v>27</x:v>
      </x:c>
      <x:c r="M132" s="44" t="n">
        <x:v>10.022739130434783</x:v>
      </x:c>
      <x:c r="N132" s="43" t="n">
        <x:v>23</x:v>
      </x:c>
      <x:c r="O132" s="44" t="n">
        <x:v>11.431363636363637</x:v>
      </x:c>
      <x:c r="P132" s="43" t="n">
        <x:v>11</x:v>
      </x:c>
      <x:c r="Q132" s="44" t="n">
        <x:v>10.117026315789472</x:v>
      </x:c>
      <x:c r="R132" s="43" t="n">
        <x:v>19</x:v>
      </x:c>
      <x:c r="S132" s="44" t="n">
        <x:v>9.215840909090907</x:v>
      </x:c>
      <x:c r="T132" s="43" t="n">
        <x:v>22</x:v>
      </x:c>
      <x:c r="U132" s="43" t="str">
        <x:v>K54</x:v>
      </x:c>
      <x:c r="V132" s="44" t="n">
        <x:v>-0.2267688888888877</x:v>
      </x:c>
      <x:c r="W132" s="44" t="n">
        <x:v>0.9185861111111127</x:v>
      </x:c>
      <x:c r="X132" s="44" t="n">
        <x:v>-0.0017638888888864557</x:v>
      </x:c>
      <x:c r="Y132" s="44" t="n">
        <x:v>0.1683719806763282</x:v>
      </x:c>
      <x:c r="Z132" s="44" t="n">
        <x:v>-1.2402525252525258</x:v>
      </x:c>
      <x:c r="AA132" s="44" t="n">
        <x:v>0.07408479532163881</x:v>
      </x:c>
      <x:c r="AB132" s="44" t="n">
        <x:v>0.9752702020202033</x:v>
      </x:c>
      <x:c r="AC132" s="43" t="str">
        <x:v>Full</x:v>
      </x:c>
    </x:row>
    <x:row r="133" ht="18" customHeight="1">
      <x:c r="A133" s="43" t="str">
        <x:v>Archers</x:v>
      </x:c>
      <x:c r="B133" s="43" t="str">
        <x:v>Archer Damage</x:v>
      </x:c>
      <x:c r="C133" s="43" t="str">
        <x:v>Higher</x:v>
      </x:c>
      <x:c r="D133" s="43" t="str">
        <x:v>Best player</x:v>
      </x:c>
      <x:c r="E133" s="44" t="n">
        <x:v>2.045</x:v>
      </x:c>
      <x:c r="F133" s="43" t="n">
        <x:v>1</x:v>
      </x:c>
      <x:c r="G133" s="44" t="n">
        <x:v>2.145</x:v>
      </x:c>
      <x:c r="H133" s="43" t="n">
        <x:v>1</x:v>
      </x:c>
      <x:c r="I133" s="44" t="n">
        <x:v>2.045</x:v>
      </x:c>
      <x:c r="J133" s="43" t="n">
        <x:v>1</x:v>
      </x:c>
      <x:c r="K133" s="44" t="n">
        <x:v>1.8875</x:v>
      </x:c>
      <x:c r="L133" s="43" t="n">
        <x:v>1</x:v>
      </x:c>
      <x:c r="M133" s="44" t="n">
        <x:v>2.035</x:v>
      </x:c>
      <x:c r="N133" s="43" t="n">
        <x:v>1</x:v>
      </x:c>
      <x:c r="O133" s="44" t="n">
        <x:v>2.08</x:v>
      </x:c>
      <x:c r="P133" s="43" t="n">
        <x:v>1</x:v>
      </x:c>
      <x:c r="Q133" s="44" t="n">
        <x:v>2.045</x:v>
      </x:c>
      <x:c r="R133" s="43" t="n">
        <x:v>1</x:v>
      </x:c>
      <x:c r="S133" s="44" t="n">
        <x:v>1.8675</x:v>
      </x:c>
      <x:c r="T133" s="43" t="n">
        <x:v>1</x:v>
      </x:c>
      <x:c r="U133" s="43" t="str">
        <x:v>K91</x:v>
      </x:c>
      <x:c r="V133" s="44" t="n">
        <x:v>-0.15749999999999997</x:v>
      </x:c>
      <x:c r="W133" s="44" t="n">
        <x:v>-0.25750000000000006</x:v>
      </x:c>
      <x:c r="X133" s="44" t="n">
        <x:v>-0.15749999999999997</x:v>
      </x:c>
      <x:c r="Y133" s="44" t="n">
        <x:v>-0.1475000000000002</x:v>
      </x:c>
      <x:c r="Z133" s="44" t="n">
        <x:v>-0.19250000000000012</x:v>
      </x:c>
      <x:c r="AA133" s="44" t="n">
        <x:v>-0.15749999999999997</x:v>
      </x:c>
      <x:c r="AB133" s="44" t="n">
        <x:v>0.020000000000000018</x:v>
      </x:c>
      <x:c r="AC133" s="43" t="str">
        <x:v>Full</x:v>
      </x:c>
    </x:row>
    <x:row r="134" ht="18" customHeight="1">
      <x:c r="A134" s="43" t="str">
        <x:v>Archers</x:v>
      </x:c>
      <x:c r="B134" s="43" t="str">
        <x:v>Archer Damage</x:v>
      </x:c>
      <x:c r="C134" s="43" t="str">
        <x:v>Higher</x:v>
      </x:c>
      <x:c r="D134" s="43" t="str">
        <x:v>Top 5 average</x:v>
      </x:c>
      <x:c r="E134" s="44" t="n">
        <x:v>1.9615000000000002</x:v>
      </x:c>
      <x:c r="F134" s="43" t="n">
        <x:v>5</x:v>
      </x:c>
      <x:c r="G134" s="44" t="n">
        <x:v>1.7779999999999998</x:v>
      </x:c>
      <x:c r="H134" s="43" t="n">
        <x:v>5</x:v>
      </x:c>
      <x:c r="I134" s="44" t="n">
        <x:v>1.7600000000000002</x:v>
      </x:c>
      <x:c r="J134" s="43" t="n">
        <x:v>5</x:v>
      </x:c>
      <x:c r="K134" s="44" t="n">
        <x:v>1.8344999999999998</x:v>
      </x:c>
      <x:c r="L134" s="43" t="n">
        <x:v>5</x:v>
      </x:c>
      <x:c r="M134" s="44" t="n">
        <x:v>1.9095000000000002</x:v>
      </x:c>
      <x:c r="N134" s="43" t="n">
        <x:v>5</x:v>
      </x:c>
      <x:c r="O134" s="44" t="n">
        <x:v>1.9170000000000003</x:v>
      </x:c>
      <x:c r="P134" s="43" t="n">
        <x:v>5</x:v>
      </x:c>
      <x:c r="Q134" s="44" t="n">
        <x:v>1.8425</x:v>
      </x:c>
      <x:c r="R134" s="43" t="n">
        <x:v>5</x:v>
      </x:c>
      <x:c r="S134" s="44" t="n">
        <x:v>1.6565</x:v>
      </x:c>
      <x:c r="T134" s="43" t="n">
        <x:v>5</x:v>
      </x:c>
      <x:c r="U134" s="43" t="str">
        <x:v>K60</x:v>
      </x:c>
      <x:c r="V134" s="44" t="n">
        <x:v>-0.12700000000000045</x:v>
      </x:c>
      <x:c r="W134" s="44" t="n">
        <x:v>0.056499999999999995</x:v>
      </x:c>
      <x:c r="X134" s="44" t="n">
        <x:v>0.07449999999999957</x:v>
      </x:c>
      <x:c r="Y134" s="44" t="n">
        <x:v>-0.0750000000000004</x:v>
      </x:c>
      <x:c r="Z134" s="44" t="n">
        <x:v>-0.08250000000000046</x:v>
      </x:c>
      <x:c r="AA134" s="44" t="n">
        <x:v>-0.00800000000000023</x:v>
      </x:c>
      <x:c r="AB134" s="44" t="n">
        <x:v>0.17799999999999971</x:v>
      </x:c>
      <x:c r="AC134" s="43" t="str">
        <x:v>Full</x:v>
      </x:c>
    </x:row>
    <x:row r="135" ht="18" customHeight="1">
      <x:c r="A135" s="43" t="str">
        <x:v>Archers</x:v>
      </x:c>
      <x:c r="B135" s="43" t="str">
        <x:v>Archer Damage</x:v>
      </x:c>
      <x:c r="C135" s="43" t="str">
        <x:v>Higher</x:v>
      </x:c>
      <x:c r="D135" s="43" t="str">
        <x:v>Top 15 average</x:v>
      </x:c>
      <x:c r="E135" s="44" t="n">
        <x:v>1.8186666666666667</x:v>
      </x:c>
      <x:c r="F135" s="43" t="n">
        <x:v>15</x:v>
      </x:c>
      <x:c r="G135" s="44" t="n">
        <x:v>1.6528333333333334</x:v>
      </x:c>
      <x:c r="H135" s="43" t="n">
        <x:v>15</x:v>
      </x:c>
      <x:c r="I135" s="44" t="n">
        <x:v>1.5874</x:v>
      </x:c>
      <x:c r="J135" s="43" t="n">
        <x:v>15</x:v>
      </x:c>
      <x:c r="K135" s="44" t="n">
        <x:v>1.7456666666666665</x:v>
      </x:c>
      <x:c r="L135" s="43" t="n">
        <x:v>15</x:v>
      </x:c>
      <x:c r="M135" s="44" t="n">
        <x:v>1.7810000000000004</x:v>
      </x:c>
      <x:c r="N135" s="43" t="n">
        <x:v>15</x:v>
      </x:c>
      <x:c r="O135" s="44" t="n">
        <x:v>1.490181818181818</x:v>
      </x:c>
      <x:c r="P135" s="43" t="n">
        <x:v>11</x:v>
      </x:c>
      <x:c r="Q135" s="44" t="n">
        <x:v>1.7025000000000001</x:v>
      </x:c>
      <x:c r="R135" s="43" t="n">
        <x:v>15</x:v>
      </x:c>
      <x:c r="S135" s="44" t="n">
        <x:v>1.5515</x:v>
      </x:c>
      <x:c r="T135" s="43" t="n">
        <x:v>15</x:v>
      </x:c>
      <x:c r="U135" s="43" t="str">
        <x:v>K60</x:v>
      </x:c>
      <x:c r="V135" s="44" t="n">
        <x:v>-0.07300000000000018</x:v>
      </x:c>
      <x:c r="W135" s="44" t="n">
        <x:v>0.0928333333333331</x:v>
      </x:c>
      <x:c r="X135" s="44" t="n">
        <x:v>0.15826666666666656</x:v>
      </x:c>
      <x:c r="Y135" s="44" t="n">
        <x:v>-0.03533333333333388</x:v>
      </x:c>
      <x:c r="Z135" s="44" t="n">
        <x:v>0.2554848484848484</x:v>
      </x:c>
      <x:c r="AA135" s="44" t="n">
        <x:v>0.04316666666666635</x:v>
      </x:c>
      <x:c r="AB135" s="44" t="n">
        <x:v>0.19416666666666638</x:v>
      </x:c>
      <x:c r="AC135" s="43" t="str">
        <x:v>Full</x:v>
      </x:c>
    </x:row>
    <x:row r="136" ht="18" customHeight="1">
      <x:c r="A136" s="43" t="str">
        <x:v>Archers</x:v>
      </x:c>
      <x:c r="B136" s="43" t="str">
        <x:v>Archer Damage</x:v>
      </x:c>
      <x:c r="C136" s="43" t="str">
        <x:v>Higher</x:v>
      </x:c>
      <x:c r="D136" s="43" t="str">
        <x:v>All players mean</x:v>
      </x:c>
      <x:c r="E136" s="44" t="n">
        <x:v>1.7375999999999996</x:v>
      </x:c>
      <x:c r="F136" s="43" t="n">
        <x:v>25</x:v>
      </x:c>
      <x:c r="G136" s="44" t="n">
        <x:v>1.561625</x:v>
      </x:c>
      <x:c r="H136" s="43" t="n">
        <x:v>20</x:v>
      </x:c>
      <x:c r="I136" s="44" t="n">
        <x:v>1.4066000000000003</x:v>
      </x:c>
      <x:c r="J136" s="43" t="n">
        <x:v>20</x:v>
      </x:c>
      <x:c r="K136" s="44" t="n">
        <x:v>1.61537037037037</x:v>
      </x:c>
      <x:c r="L136" s="43" t="n">
        <x:v>27</x:v>
      </x:c>
      <x:c r="M136" s="44" t="n">
        <x:v>1.6911956521739138</x:v>
      </x:c>
      <x:c r="N136" s="43" t="n">
        <x:v>23</x:v>
      </x:c>
      <x:c r="O136" s="44" t="n">
        <x:v>1.490181818181818</x:v>
      </x:c>
      <x:c r="P136" s="43" t="n">
        <x:v>11</x:v>
      </x:c>
      <x:c r="Q136" s="44" t="n">
        <x:v>1.578578947368421</x:v>
      </x:c>
      <x:c r="R136" s="43" t="n">
        <x:v>19</x:v>
      </x:c>
      <x:c r="S136" s="44" t="n">
        <x:v>1.2917045454545457</x:v>
      </x:c>
      <x:c r="T136" s="43" t="n">
        <x:v>22</x:v>
      </x:c>
      <x:c r="U136" s="43" t="str">
        <x:v>K60</x:v>
      </x:c>
      <x:c r="V136" s="44" t="n">
        <x:v>-0.12222962962962969</x:v>
      </x:c>
      <x:c r="W136" s="44" t="n">
        <x:v>0.05374537037036986</x:v>
      </x:c>
      <x:c r="X136" s="44" t="n">
        <x:v>0.2087703703703696</x:v>
      </x:c>
      <x:c r="Y136" s="44" t="n">
        <x:v>-0.07582528180354386</x:v>
      </x:c>
      <x:c r="Z136" s="44" t="n">
        <x:v>0.12518855218855185</x:v>
      </x:c>
      <x:c r="AA136" s="44" t="n">
        <x:v>0.03679142300194882</x:v>
      </x:c>
      <x:c r="AB136" s="44" t="n">
        <x:v>0.3236658249158242</x:v>
      </x:c>
      <x:c r="AC136" s="43" t="str">
        <x:v>Full</x:v>
      </x:c>
    </x:row>
    <x:row r="137" ht="18" customHeight="1">
      <x:c r="A137" s="43" t="str">
        <x:v>Archers</x:v>
      </x:c>
      <x:c r="B137" s="43" t="str">
        <x:v>Archer Damage Received</x:v>
      </x:c>
      <x:c r="C137" s="43" t="str">
        <x:v>Lower</x:v>
      </x:c>
      <x:c r="D137" s="43" t="str">
        <x:v>Best player</x:v>
      </x:c>
      <x:c r="E137" s="44" t="n">
        <x:v>-1.9275</x:v>
      </x:c>
      <x:c r="F137" s="43" t="n">
        <x:v>1</x:v>
      </x:c>
      <x:c r="G137" s="44" t="n">
        <x:v>-1.945</x:v>
      </x:c>
      <x:c r="H137" s="43" t="n">
        <x:v>1</x:v>
      </x:c>
      <x:c r="I137" s="44" t="n">
        <x:v>-1.945</x:v>
      </x:c>
      <x:c r="J137" s="43" t="n">
        <x:v>1</x:v>
      </x:c>
      <x:c r="K137" s="44" t="n">
        <x:v>-1.865</x:v>
      </x:c>
      <x:c r="L137" s="43" t="n">
        <x:v>1</x:v>
      </x:c>
      <x:c r="M137" s="44" t="n">
        <x:v>-1.9075</x:v>
      </x:c>
      <x:c r="N137" s="43" t="n">
        <x:v>1</x:v>
      </x:c>
      <x:c r="O137" s="44" t="n">
        <x:v>-1.965</x:v>
      </x:c>
      <x:c r="P137" s="43" t="n">
        <x:v>1</x:v>
      </x:c>
      <x:c r="Q137" s="44" t="n">
        <x:v>-1.875</x:v>
      </x:c>
      <x:c r="R137" s="43" t="n">
        <x:v>1</x:v>
      </x:c>
      <x:c r="S137" s="44" t="n">
        <x:v>-1.945</x:v>
      </x:c>
      <x:c r="T137" s="43" t="n">
        <x:v>1</x:v>
      </x:c>
      <x:c r="U137" s="43" t="str">
        <x:v>K54</x:v>
      </x:c>
      <x:c r="V137" s="44" t="n">
        <x:v>0.0625</x:v>
      </x:c>
      <x:c r="W137" s="44" t="n">
        <x:v>0.08000000000000007</x:v>
      </x:c>
      <x:c r="X137" s="44" t="n">
        <x:v>0.08000000000000007</x:v>
      </x:c>
      <x:c r="Y137" s="44" t="n">
        <x:v>0.04249999999999998</x:v>
      </x:c>
      <x:c r="Z137" s="44" t="n">
        <x:v>0.10000000000000009</x:v>
      </x:c>
      <x:c r="AA137" s="44" t="n">
        <x:v>0.010000000000000009</x:v>
      </x:c>
      <x:c r="AB137" s="44" t="n">
        <x:v>0.08000000000000007</x:v>
      </x:c>
      <x:c r="AC137" s="43" t="str">
        <x:v>Full</x:v>
      </x:c>
    </x:row>
    <x:row r="138" ht="18" customHeight="1">
      <x:c r="A138" s="43" t="str">
        <x:v>Archers</x:v>
      </x:c>
      <x:c r="B138" s="43" t="str">
        <x:v>Archer Damage Received</x:v>
      </x:c>
      <x:c r="C138" s="43" t="str">
        <x:v>Lower</x:v>
      </x:c>
      <x:c r="D138" s="43" t="str">
        <x:v>Top 5 average</x:v>
      </x:c>
      <x:c r="E138" s="44" t="n">
        <x:v>-1.672</x:v>
      </x:c>
      <x:c r="F138" s="43" t="n">
        <x:v>5</x:v>
      </x:c>
      <x:c r="G138" s="44" t="n">
        <x:v>-1.6280000000000001</x:v>
      </x:c>
      <x:c r="H138" s="43" t="n">
        <x:v>5</x:v>
      </x:c>
      <x:c r="I138" s="44" t="n">
        <x:v>-1.6465</x:v>
      </x:c>
      <x:c r="J138" s="43" t="n">
        <x:v>5</x:v>
      </x:c>
      <x:c r="K138" s="44" t="n">
        <x:v>-1.568</x:v>
      </x:c>
      <x:c r="L138" s="43" t="n">
        <x:v>5</x:v>
      </x:c>
      <x:c r="M138" s="44" t="n">
        <x:v>-1.5670000000000002</x:v>
      </x:c>
      <x:c r="N138" s="43" t="n">
        <x:v>5</x:v>
      </x:c>
      <x:c r="O138" s="44" t="n">
        <x:v>-1.707</x:v>
      </x:c>
      <x:c r="P138" s="43" t="n">
        <x:v>5</x:v>
      </x:c>
      <x:c r="Q138" s="44" t="n">
        <x:v>-1.5619999999999998</x:v>
      </x:c>
      <x:c r="R138" s="43" t="n">
        <x:v>5</x:v>
      </x:c>
      <x:c r="S138" s="44" t="n">
        <x:v>-1.5784999999999998</x:v>
      </x:c>
      <x:c r="T138" s="43" t="n">
        <x:v>5</x:v>
      </x:c>
      <x:c r="U138" s="43" t="str">
        <x:v>K54</x:v>
      </x:c>
      <x:c r="V138" s="44" t="n">
        <x:v>0.10399999999999987</x:v>
      </x:c>
      <x:c r="W138" s="44" t="n">
        <x:v>0.06000000000000005</x:v>
      </x:c>
      <x:c r="X138" s="44" t="n">
        <x:v>0.07850000000000001</x:v>
      </x:c>
      <x:c r="Y138" s="44" t="n">
        <x:v>-0.0009999999999998899</x:v>
      </x:c>
      <x:c r="Z138" s="44" t="n">
        <x:v>0.139</x:v>
      </x:c>
      <x:c r="AA138" s="44" t="n">
        <x:v>-0.006000000000000227</x:v>
      </x:c>
      <x:c r="AB138" s="44" t="n">
        <x:v>0.010499999999999732</x:v>
      </x:c>
      <x:c r="AC138" s="43" t="str">
        <x:v>Full</x:v>
      </x:c>
    </x:row>
    <x:row r="139" ht="18" customHeight="1">
      <x:c r="A139" s="43" t="str">
        <x:v>Archers</x:v>
      </x:c>
      <x:c r="B139" s="43" t="str">
        <x:v>Archer Damage Received</x:v>
      </x:c>
      <x:c r="C139" s="43" t="str">
        <x:v>Lower</x:v>
      </x:c>
      <x:c r="D139" s="43" t="str">
        <x:v>Top 15 average</x:v>
      </x:c>
      <x:c r="E139" s="44" t="n">
        <x:v>-1.517</x:v>
      </x:c>
      <x:c r="F139" s="43" t="n">
        <x:v>15</x:v>
      </x:c>
      <x:c r="G139" s="44" t="n">
        <x:v>-1.4938333333333333</x:v>
      </x:c>
      <x:c r="H139" s="43" t="n">
        <x:v>15</x:v>
      </x:c>
      <x:c r="I139" s="44" t="n">
        <x:v>-1.469</x:v>
      </x:c>
      <x:c r="J139" s="43" t="n">
        <x:v>15</x:v>
      </x:c>
      <x:c r="K139" s="44" t="n">
        <x:v>-1.483666666666667</x:v>
      </x:c>
      <x:c r="L139" s="43" t="n">
        <x:v>15</x:v>
      </x:c>
      <x:c r="M139" s="44" t="n">
        <x:v>-1.483</x:v>
      </x:c>
      <x:c r="N139" s="43" t="n">
        <x:v>15</x:v>
      </x:c>
      <x:c r="O139" s="44" t="n">
        <x:v>-1.3424545454545453</x:v>
      </x:c>
      <x:c r="P139" s="43" t="n">
        <x:v>11</x:v>
      </x:c>
      <x:c r="Q139" s="44" t="n">
        <x:v>-1.4546666666666666</x:v>
      </x:c>
      <x:c r="R139" s="43" t="n">
        <x:v>15</x:v>
      </x:c>
      <x:c r="S139" s="44" t="n">
        <x:v>-1.4738333333333329</x:v>
      </x:c>
      <x:c r="T139" s="43" t="n">
        <x:v>15</x:v>
      </x:c>
      <x:c r="U139" s="43" t="str">
        <x:v>K60</x:v>
      </x:c>
      <x:c r="V139" s="44" t="n">
        <x:v>0.03333333333333299</x:v>
      </x:c>
      <x:c r="W139" s="44" t="n">
        <x:v>0.010166666666666435</x:v>
      </x:c>
      <x:c r="X139" s="44" t="n">
        <x:v>-0.014666666666666828</x:v>
      </x:c>
      <x:c r="Y139" s="44" t="n">
        <x:v>-0.0006666666666668153</x:v>
      </x:c>
      <x:c r="Z139" s="44" t="n">
        <x:v>-0.14121212121212157</x:v>
      </x:c>
      <x:c r="AA139" s="44" t="n">
        <x:v>-0.02900000000000036</x:v>
      </x:c>
      <x:c r="AB139" s="44" t="n">
        <x:v>-0.009833333333334027</x:v>
      </x:c>
      <x:c r="AC139" s="43" t="str">
        <x:v>Full</x:v>
      </x:c>
    </x:row>
    <x:row r="140" ht="18" customHeight="1">
      <x:c r="A140" s="43" t="str">
        <x:v>Archers</x:v>
      </x:c>
      <x:c r="B140" s="43" t="str">
        <x:v>Archer Damage Received</x:v>
      </x:c>
      <x:c r="C140" s="43" t="str">
        <x:v>Lower</x:v>
      </x:c>
      <x:c r="D140" s="43" t="str">
        <x:v>All players mean</x:v>
      </x:c>
      <x:c r="E140" s="44" t="n">
        <x:v>-1.4480999999999997</x:v>
      </x:c>
      <x:c r="F140" s="43" t="n">
        <x:v>25</x:v>
      </x:c>
      <x:c r="G140" s="44" t="n">
        <x:v>-1.40875</x:v>
      </x:c>
      <x:c r="H140" s="43" t="n">
        <x:v>20</x:v>
      </x:c>
      <x:c r="I140" s="44" t="n">
        <x:v>-1.308125</x:v>
      </x:c>
      <x:c r="J140" s="43" t="n">
        <x:v>20</x:v>
      </x:c>
      <x:c r="K140" s="44" t="n">
        <x:v>-1.3662962962962966</x:v>
      </x:c>
      <x:c r="L140" s="43" t="n">
        <x:v>27</x:v>
      </x:c>
      <x:c r="M140" s="44" t="n">
        <x:v>-1.4233695652173914</x:v>
      </x:c>
      <x:c r="N140" s="43" t="n">
        <x:v>23</x:v>
      </x:c>
      <x:c r="O140" s="44" t="n">
        <x:v>-1.3424545454545453</x:v>
      </x:c>
      <x:c r="P140" s="43" t="n">
        <x:v>11</x:v>
      </x:c>
      <x:c r="Q140" s="44" t="n">
        <x:v>-1.3685789473684211</x:v>
      </x:c>
      <x:c r="R140" s="43" t="n">
        <x:v>19</x:v>
      </x:c>
      <x:c r="S140" s="44" t="n">
        <x:v>-1.2062499999999994</x:v>
      </x:c>
      <x:c r="T140" s="43" t="n">
        <x:v>22</x:v>
      </x:c>
      <x:c r="U140" s="43" t="str">
        <x:v>K60</x:v>
      </x:c>
      <x:c r="V140" s="44" t="n">
        <x:v>0.08180370370370316</x:v>
      </x:c>
      <x:c r="W140" s="44" t="n">
        <x:v>0.04245370370370338</x:v>
      </x:c>
      <x:c r="X140" s="44" t="n">
        <x:v>-0.05817129629629658</x:v>
      </x:c>
      <x:c r="Y140" s="44" t="n">
        <x:v>0.05707326892109488</x:v>
      </x:c>
      <x:c r="Z140" s="44" t="n">
        <x:v>-0.02384175084175122</x:v>
      </x:c>
      <x:c r="AA140" s="44" t="n">
        <x:v>0.002282651072124553</x:v>
      </x:c>
      <x:c r="AB140" s="44" t="n">
        <x:v>-0.16004629629629719</x:v>
      </x:c>
      <x:c r="AC140" s="43" t="str">
        <x:v>Full</x:v>
      </x:c>
    </x:row>
    <x:row r="141" ht="18" customHeight="1">
      <x:c r="A141" s="43" t="str">
        <x:v>Archers</x:v>
      </x:c>
      <x:c r="B141" s="43" t="str">
        <x:v>Archer Attack Blessing</x:v>
      </x:c>
      <x:c r="C141" s="43" t="str">
        <x:v>Higher</x:v>
      </x:c>
      <x:c r="D141" s="43" t="str">
        <x:v>Best player</x:v>
      </x:c>
      <x:c r="E141" s="44" t="n">
        <x:v>6.26</x:v>
      </x:c>
      <x:c r="F141" s="43" t="n">
        <x:v>1</x:v>
      </x:c>
      <x:c r="G141" s="44" t="n">
        <x:v>9</x:v>
      </x:c>
      <x:c r="H141" s="43" t="n">
        <x:v>1</x:v>
      </x:c>
      <x:c r="I141" s="44" t="n">
        <x:v>9</x:v>
      </x:c>
      <x:c r="J141" s="43" t="n">
        <x:v>1</x:v>
      </x:c>
      <x:c r="K141" s="44" t="n">
        <x:v>6.26</x:v>
      </x:c>
      <x:c r="L141" s="43" t="n">
        <x:v>1</x:v>
      </x:c>
      <x:c r="M141" s="44" t="n">
        <x:v>7</x:v>
      </x:c>
      <x:c r="N141" s="43" t="n">
        <x:v>1</x:v>
      </x:c>
      <x:c r="O141" s="44" t="n">
        <x:v>9</x:v>
      </x:c>
      <x:c r="P141" s="43" t="n">
        <x:v>1</x:v>
      </x:c>
      <x:c r="Q141" s="44" t="n">
        <x:v>9</x:v>
      </x:c>
      <x:c r="R141" s="43" t="n">
        <x:v>1</x:v>
      </x:c>
      <x:c r="S141" s="44" t="n">
        <x:v>9</x:v>
      </x:c>
      <x:c r="T141" s="43" t="n">
        <x:v>1</x:v>
      </x:c>
      <x:c r="U141" s="43" t="str">
        <x:v>Tie</x:v>
      </x:c>
      <x:c r="V141" s="44" t="n">
        <x:v>0</x:v>
      </x:c>
      <x:c r="W141" s="44" t="n">
        <x:v>-2.74</x:v>
      </x:c>
      <x:c r="X141" s="44" t="n">
        <x:v>-2.74</x:v>
      </x:c>
      <x:c r="Y141" s="44" t="n">
        <x:v>-0.7400000000000002</x:v>
      </x:c>
      <x:c r="Z141" s="44" t="n">
        <x:v>-2.74</x:v>
      </x:c>
      <x:c r="AA141" s="44" t="n">
        <x:v>-2.74</x:v>
      </x:c>
      <x:c r="AB141" s="44" t="n">
        <x:v>-2.74</x:v>
      </x:c>
      <x:c r="AC141" s="43" t="str">
        <x:v>Full</x:v>
      </x:c>
    </x:row>
    <x:row r="142" ht="18" customHeight="1">
      <x:c r="A142" s="43" t="str">
        <x:v>Archers</x:v>
      </x:c>
      <x:c r="B142" s="43" t="str">
        <x:v>Archer Attack Blessing</x:v>
      </x:c>
      <x:c r="C142" s="43" t="str">
        <x:v>Higher</x:v>
      </x:c>
      <x:c r="D142" s="43" t="str">
        <x:v>Top 5 average</x:v>
      </x:c>
      <x:c r="E142" s="44" t="n">
        <x:v>6.052</x:v>
      </x:c>
      <x:c r="F142" s="43" t="n">
        <x:v>5</x:v>
      </x:c>
      <x:c r="G142" s="44" t="n">
        <x:v>6.7219999999999995</x:v>
      </x:c>
      <x:c r="H142" s="43" t="n">
        <x:v>5</x:v>
      </x:c>
      <x:c r="I142" s="44" t="n">
        <x:v>7.343999999999999</x:v>
      </x:c>
      <x:c r="J142" s="43" t="n">
        <x:v>5</x:v>
      </x:c>
      <x:c r="K142" s="44" t="n">
        <x:v>6.034000000000001</x:v>
      </x:c>
      <x:c r="L142" s="43" t="n">
        <x:v>5</x:v>
      </x:c>
      <x:c r="M142" s="44" t="n">
        <x:v>6.382000000000001</x:v>
      </x:c>
      <x:c r="N142" s="43" t="n">
        <x:v>5</x:v>
      </x:c>
      <x:c r="O142" s="44" t="n">
        <x:v>7.426</x:v>
      </x:c>
      <x:c r="P142" s="43" t="n">
        <x:v>5</x:v>
      </x:c>
      <x:c r="Q142" s="44" t="n">
        <x:v>7.672</x:v>
      </x:c>
      <x:c r="R142" s="43" t="n">
        <x:v>5</x:v>
      </x:c>
      <x:c r="S142" s="44" t="n">
        <x:v>5.988</x:v>
      </x:c>
      <x:c r="T142" s="43" t="n">
        <x:v>5</x:v>
      </x:c>
      <x:c r="U142" s="43" t="str">
        <x:v>K197</x:v>
      </x:c>
      <x:c r="V142" s="44" t="n">
        <x:v>-0.017999999999998906</x:v>
      </x:c>
      <x:c r="W142" s="44" t="n">
        <x:v>-0.6879999999999988</x:v>
      </x:c>
      <x:c r="X142" s="44" t="n">
        <x:v>-1.3099999999999987</x:v>
      </x:c>
      <x:c r="Y142" s="44" t="n">
        <x:v>-0.34799999999999986</x:v>
      </x:c>
      <x:c r="Z142" s="44" t="n">
        <x:v>-1.3919999999999995</x:v>
      </x:c>
      <x:c r="AA142" s="44" t="n">
        <x:v>-1.637999999999999</x:v>
      </x:c>
      <x:c r="AB142" s="44" t="n">
        <x:v>0.04600000000000026</x:v>
      </x:c>
      <x:c r="AC142" s="43" t="str">
        <x:v>Full</x:v>
      </x:c>
    </x:row>
    <x:row r="143" ht="18" customHeight="1">
      <x:c r="A143" s="43" t="str">
        <x:v>Archers</x:v>
      </x:c>
      <x:c r="B143" s="43" t="str">
        <x:v>Archer Attack Blessing</x:v>
      </x:c>
      <x:c r="C143" s="43" t="str">
        <x:v>Higher</x:v>
      </x:c>
      <x:c r="D143" s="43" t="str">
        <x:v>Top 15 average</x:v>
      </x:c>
      <x:c r="E143" s="44" t="n">
        <x:v>5.404</x:v>
      </x:c>
      <x:c r="F143" s="43" t="n">
        <x:v>15</x:v>
      </x:c>
      <x:c r="G143" s="44" t="n">
        <x:v>5.1706666666666665</x:v>
      </x:c>
      <x:c r="H143" s="43" t="n">
        <x:v>15</x:v>
      </x:c>
      <x:c r="I143" s="44" t="n">
        <x:v>5.158666666666665</x:v>
      </x:c>
      <x:c r="J143" s="43" t="n">
        <x:v>15</x:v>
      </x:c>
      <x:c r="K143" s="44" t="n">
        <x:v>4.946000000000001</x:v>
      </x:c>
      <x:c r="L143" s="43" t="n">
        <x:v>15</x:v>
      </x:c>
      <x:c r="M143" s="44" t="n">
        <x:v>5.453333333333334</x:v>
      </x:c>
      <x:c r="N143" s="43" t="n">
        <x:v>15</x:v>
      </x:c>
      <x:c r="O143" s="44" t="n">
        <x:v>5.258181818181819</x:v>
      </x:c>
      <x:c r="P143" s="43" t="n">
        <x:v>11</x:v>
      </x:c>
      <x:c r="Q143" s="44" t="n">
        <x:v>5.506666666666666</x:v>
      </x:c>
      <x:c r="R143" s="43" t="n">
        <x:v>15</x:v>
      </x:c>
      <x:c r="S143" s="44" t="n">
        <x:v>4.748666666666667</x:v>
      </x:c>
      <x:c r="T143" s="43" t="n">
        <x:v>15</x:v>
      </x:c>
      <x:c r="U143" s="43" t="str">
        <x:v>K197</x:v>
      </x:c>
      <x:c r="V143" s="44" t="n">
        <x:v>-0.4579999999999993</x:v>
      </x:c>
      <x:c r="W143" s="44" t="n">
        <x:v>-0.2246666666666659</x:v>
      </x:c>
      <x:c r="X143" s="44" t="n">
        <x:v>-0.21266666666666456</x:v>
      </x:c>
      <x:c r="Y143" s="44" t="n">
        <x:v>-0.5073333333333334</x:v>
      </x:c>
      <x:c r="Z143" s="44" t="n">
        <x:v>-0.3121818181818181</x:v>
      </x:c>
      <x:c r="AA143" s="44" t="n">
        <x:v>-0.5606666666666653</x:v>
      </x:c>
      <x:c r="AB143" s="44" t="n">
        <x:v>0.1973333333333338</x:v>
      </x:c>
      <x:c r="AC143" s="43" t="str">
        <x:v>Full</x:v>
      </x:c>
    </x:row>
    <x:row r="144" ht="18" customHeight="1">
      <x:c r="A144" s="43" t="str">
        <x:v>Archers</x:v>
      </x:c>
      <x:c r="B144" s="43" t="str">
        <x:v>Archer Attack Blessing</x:v>
      </x:c>
      <x:c r="C144" s="43" t="str">
        <x:v>Higher</x:v>
      </x:c>
      <x:c r="D144" s="43" t="str">
        <x:v>All players mean</x:v>
      </x:c>
      <x:c r="E144" s="44" t="n">
        <x:v>4.868400000000001</x:v>
      </x:c>
      <x:c r="F144" s="43" t="n">
        <x:v>25</x:v>
      </x:c>
      <x:c r="G144" s="44" t="n">
        <x:v>4.632</x:v>
      </x:c>
      <x:c r="H144" s="43" t="n">
        <x:v>20</x:v>
      </x:c>
      <x:c r="I144" s="44" t="n">
        <x:v>4.222749999999999</x:v>
      </x:c>
      <x:c r="J144" s="43" t="n">
        <x:v>20</x:v>
      </x:c>
      <x:c r="K144" s="44" t="n">
        <x:v>4.100370370370371</x:v>
      </x:c>
      <x:c r="L144" s="43" t="n">
        <x:v>27</x:v>
      </x:c>
      <x:c r="M144" s="44" t="n">
        <x:v>4.605652173913044</x:v>
      </x:c>
      <x:c r="N144" s="43" t="n">
        <x:v>23</x:v>
      </x:c>
      <x:c r="O144" s="44" t="n">
        <x:v>5.258181818181819</x:v>
      </x:c>
      <x:c r="P144" s="43" t="n">
        <x:v>11</x:v>
      </x:c>
      <x:c r="Q144" s="44" t="n">
        <x:v>4.6594736842105275</x:v>
      </x:c>
      <x:c r="R144" s="43" t="n">
        <x:v>19</x:v>
      </x:c>
      <x:c r="S144" s="44" t="n">
        <x:v>3.8872727272727277</x:v>
      </x:c>
      <x:c r="T144" s="43" t="n">
        <x:v>22</x:v>
      </x:c>
      <x:c r="U144" s="43" t="str">
        <x:v>K54</x:v>
      </x:c>
      <x:c r="V144" s="44" t="n">
        <x:v>-0.7680296296296305</x:v>
      </x:c>
      <x:c r="W144" s="44" t="n">
        <x:v>-0.531629629629629</x:v>
      </x:c>
      <x:c r="X144" s="44" t="n">
        <x:v>-0.122379629629628</x:v>
      </x:c>
      <x:c r="Y144" s="44" t="n">
        <x:v>-0.5052818035426734</x:v>
      </x:c>
      <x:c r="Z144" s="44" t="n">
        <x:v>-1.157811447811448</x:v>
      </x:c>
      <x:c r="AA144" s="44" t="n">
        <x:v>-0.5591033138401569</x:v>
      </x:c>
      <x:c r="AB144" s="44" t="n">
        <x:v>0.213097643097643</x:v>
      </x:c>
      <x:c r="AC144" s="43" t="str">
        <x:v>Full</x:v>
      </x:c>
    </x:row>
    <x:row r="145" ht="18" customHeight="1">
      <x:c r="A145" s="43" t="str">
        <x:v>Archers</x:v>
      </x:c>
      <x:c r="B145" s="43" t="str">
        <x:v>Archer Protection Blessing</x:v>
      </x:c>
      <x:c r="C145" s="43" t="str">
        <x:v>Higher</x:v>
      </x:c>
      <x:c r="D145" s="43" t="str">
        <x:v>Best player</x:v>
      </x:c>
      <x:c r="E145" s="44" t="n">
        <x:v>4.42</x:v>
      </x:c>
      <x:c r="F145" s="43" t="n">
        <x:v>1</x:v>
      </x:c>
      <x:c r="G145" s="44" t="n">
        <x:v>6.63</x:v>
      </x:c>
      <x:c r="H145" s="43" t="n">
        <x:v>1</x:v>
      </x:c>
      <x:c r="I145" s="44" t="n">
        <x:v>7</x:v>
      </x:c>
      <x:c r="J145" s="43" t="n">
        <x:v>1</x:v>
      </x:c>
      <x:c r="K145" s="44" t="n">
        <x:v>3.74</x:v>
      </x:c>
      <x:c r="L145" s="43" t="n">
        <x:v>1</x:v>
      </x:c>
      <x:c r="M145" s="44" t="n">
        <x:v>4.08</x:v>
      </x:c>
      <x:c r="N145" s="43" t="n">
        <x:v>1</x:v>
      </x:c>
      <x:c r="O145" s="44" t="n">
        <x:v>9</x:v>
      </x:c>
      <x:c r="P145" s="43" t="n">
        <x:v>1</x:v>
      </x:c>
      <x:c r="Q145" s="44" t="n">
        <x:v>9</x:v>
      </x:c>
      <x:c r="R145" s="43" t="n">
        <x:v>1</x:v>
      </x:c>
      <x:c r="S145" s="44" t="n">
        <x:v>4.48</x:v>
      </x:c>
      <x:c r="T145" s="43" t="n">
        <x:v>1</x:v>
      </x:c>
      <x:c r="U145" s="43" t="str">
        <x:v>Tie</x:v>
      </x:c>
      <x:c r="V145" s="44" t="n">
        <x:v>-0.6799999999999997</x:v>
      </x:c>
      <x:c r="W145" s="44" t="n">
        <x:v>-2.8899999999999997</x:v>
      </x:c>
      <x:c r="X145" s="44" t="n">
        <x:v>-3.26</x:v>
      </x:c>
      <x:c r="Y145" s="44" t="n">
        <x:v>-0.33999999999999986</x:v>
      </x:c>
      <x:c r="Z145" s="44" t="n">
        <x:v>-5.26</x:v>
      </x:c>
      <x:c r="AA145" s="44" t="n">
        <x:v>-5.26</x:v>
      </x:c>
      <x:c r="AB145" s="44" t="n">
        <x:v>-0.7400000000000002</x:v>
      </x:c>
      <x:c r="AC145" s="43" t="str">
        <x:v>Full</x:v>
      </x:c>
    </x:row>
    <x:row r="146" ht="18" customHeight="1">
      <x:c r="A146" s="43" t="str">
        <x:v>Archers</x:v>
      </x:c>
      <x:c r="B146" s="43" t="str">
        <x:v>Archer Protection Blessing</x:v>
      </x:c>
      <x:c r="C146" s="43" t="str">
        <x:v>Higher</x:v>
      </x:c>
      <x:c r="D146" s="43" t="str">
        <x:v>Top 5 average</x:v>
      </x:c>
      <x:c r="E146" s="44" t="n">
        <x:v>3.718</x:v>
      </x:c>
      <x:c r="F146" s="43" t="n">
        <x:v>5</x:v>
      </x:c>
      <x:c r="G146" s="44" t="n">
        <x:v>4.564</x:v>
      </x:c>
      <x:c r="H146" s="43" t="n">
        <x:v>5</x:v>
      </x:c>
      <x:c r="I146" s="44" t="n">
        <x:v>5.728</x:v>
      </x:c>
      <x:c r="J146" s="43" t="n">
        <x:v>5</x:v>
      </x:c>
      <x:c r="K146" s="44" t="n">
        <x:v>3.566</x:v>
      </x:c>
      <x:c r="L146" s="43" t="n">
        <x:v>5</x:v>
      </x:c>
      <x:c r="M146" s="44" t="n">
        <x:v>3.8180000000000005</x:v>
      </x:c>
      <x:c r="N146" s="43" t="n">
        <x:v>5</x:v>
      </x:c>
      <x:c r="O146" s="44" t="n">
        <x:v>7.104000000000001</x:v>
      </x:c>
      <x:c r="P146" s="43" t="n">
        <x:v>5</x:v>
      </x:c>
      <x:c r="Q146" s="44" t="n">
        <x:v>5.538</x:v>
      </x:c>
      <x:c r="R146" s="43" t="n">
        <x:v>5</x:v>
      </x:c>
      <x:c r="S146" s="44" t="n">
        <x:v>3.406</x:v>
      </x:c>
      <x:c r="T146" s="43" t="n">
        <x:v>5</x:v>
      </x:c>
      <x:c r="U146" s="43" t="str">
        <x:v>K54</x:v>
      </x:c>
      <x:c r="V146" s="44" t="n">
        <x:v>-0.15200000000000014</x:v>
      </x:c>
      <x:c r="W146" s="44" t="n">
        <x:v>-0.9980000000000002</x:v>
      </x:c>
      <x:c r="X146" s="44" t="n">
        <x:v>-2.162</x:v>
      </x:c>
      <x:c r="Y146" s="44" t="n">
        <x:v>-0.25200000000000067</x:v>
      </x:c>
      <x:c r="Z146" s="44" t="n">
        <x:v>-3.538000000000001</x:v>
      </x:c>
      <x:c r="AA146" s="44" t="n">
        <x:v>-1.9720000000000004</x:v>
      </x:c>
      <x:c r="AB146" s="44" t="n">
        <x:v>0.1599999999999997</x:v>
      </x:c>
      <x:c r="AC146" s="43" t="str">
        <x:v>Full</x:v>
      </x:c>
    </x:row>
    <x:row r="147" ht="18" customHeight="1">
      <x:c r="A147" s="43" t="str">
        <x:v>Archers</x:v>
      </x:c>
      <x:c r="B147" s="43" t="str">
        <x:v>Archer Protection Blessing</x:v>
      </x:c>
      <x:c r="C147" s="43" t="str">
        <x:v>Higher</x:v>
      </x:c>
      <x:c r="D147" s="43" t="str">
        <x:v>Top 15 average</x:v>
      </x:c>
      <x:c r="E147" s="44" t="n">
        <x:v>3.0940000000000003</x:v>
      </x:c>
      <x:c r="F147" s="43" t="n">
        <x:v>15</x:v>
      </x:c>
      <x:c r="G147" s="44" t="n">
        <x:v>3.322</x:v>
      </x:c>
      <x:c r="H147" s="43" t="n">
        <x:v>15</x:v>
      </x:c>
      <x:c r="I147" s="44" t="n">
        <x:v>3.401333333333334</x:v>
      </x:c>
      <x:c r="J147" s="43" t="n">
        <x:v>15</x:v>
      </x:c>
      <x:c r="K147" s="44" t="n">
        <x:v>2.723333333333333</x:v>
      </x:c>
      <x:c r="L147" s="43" t="n">
        <x:v>15</x:v>
      </x:c>
      <x:c r="M147" s="44" t="n">
        <x:v>3.124</x:v>
      </x:c>
      <x:c r="N147" s="43" t="n">
        <x:v>15</x:v>
      </x:c>
      <x:c r="O147" s="44" t="n">
        <x:v>4.308181818181819</x:v>
      </x:c>
      <x:c r="P147" s="43" t="n">
        <x:v>11</x:v>
      </x:c>
      <x:c r="Q147" s="44" t="n">
        <x:v>3.503333333333333</x:v>
      </x:c>
      <x:c r="R147" s="43" t="n">
        <x:v>15</x:v>
      </x:c>
      <x:c r="S147" s="44" t="n">
        <x:v>2.5813333333333337</x:v>
      </x:c>
      <x:c r="T147" s="43" t="n">
        <x:v>15</x:v>
      </x:c>
      <x:c r="U147" s="43" t="str">
        <x:v>K54</x:v>
      </x:c>
      <x:c r="V147" s="44" t="n">
        <x:v>-0.37066666666666714</x:v>
      </x:c>
      <x:c r="W147" s="44" t="n">
        <x:v>-0.5986666666666669</x:v>
      </x:c>
      <x:c r="X147" s="44" t="n">
        <x:v>-0.6780000000000008</x:v>
      </x:c>
      <x:c r="Y147" s="44" t="n">
        <x:v>-0.40066666666666695</x:v>
      </x:c>
      <x:c r="Z147" s="44" t="n">
        <x:v>-1.5848484848484854</x:v>
      </x:c>
      <x:c r="AA147" s="44" t="n">
        <x:v>-0.7799999999999998</x:v>
      </x:c>
      <x:c r="AB147" s="44" t="n">
        <x:v>0.14199999999999946</x:v>
      </x:c>
      <x:c r="AC147" s="43" t="str">
        <x:v>Full</x:v>
      </x:c>
    </x:row>
    <x:row r="148" ht="18" customHeight="1">
      <x:c r="A148" s="43" t="str">
        <x:v>Archers</x:v>
      </x:c>
      <x:c r="B148" s="43" t="str">
        <x:v>Archer Protection Blessing</x:v>
      </x:c>
      <x:c r="C148" s="43" t="str">
        <x:v>Higher</x:v>
      </x:c>
      <x:c r="D148" s="43" t="str">
        <x:v>All players mean</x:v>
      </x:c>
      <x:c r="E148" s="44" t="n">
        <x:v>2.6779999999999995</x:v>
      </x:c>
      <x:c r="F148" s="43" t="n">
        <x:v>25</x:v>
      </x:c>
      <x:c r="G148" s="44" t="n">
        <x:v>2.9189999999999996</x:v>
      </x:c>
      <x:c r="H148" s="43" t="n">
        <x:v>20</x:v>
      </x:c>
      <x:c r="I148" s="44" t="n">
        <x:v>2.7652500000000004</x:v>
      </x:c>
      <x:c r="J148" s="43" t="n">
        <x:v>20</x:v>
      </x:c>
      <x:c r="K148" s="44" t="n">
        <x:v>2.2629629629629626</x:v>
      </x:c>
      <x:c r="L148" s="43" t="n">
        <x:v>27</x:v>
      </x:c>
      <x:c r="M148" s="44" t="n">
        <x:v>2.5652173913043472</x:v>
      </x:c>
      <x:c r="N148" s="43" t="n">
        <x:v>23</x:v>
      </x:c>
      <x:c r="O148" s="44" t="n">
        <x:v>4.308181818181819</x:v>
      </x:c>
      <x:c r="P148" s="43" t="n">
        <x:v>11</x:v>
      </x:c>
      <x:c r="Q148" s="44" t="n">
        <x:v>2.9489473684210528</x:v>
      </x:c>
      <x:c r="R148" s="43" t="n">
        <x:v>19</x:v>
      </x:c>
      <x:c r="S148" s="44" t="n">
        <x:v>2.087272727272728</x:v>
      </x:c>
      <x:c r="T148" s="43" t="n">
        <x:v>22</x:v>
      </x:c>
      <x:c r="U148" s="43" t="str">
        <x:v>K54</x:v>
      </x:c>
      <x:c r="V148" s="44" t="n">
        <x:v>-0.41503703703703687</x:v>
      </x:c>
      <x:c r="W148" s="44" t="n">
        <x:v>-0.656037037037037</x:v>
      </x:c>
      <x:c r="X148" s="44" t="n">
        <x:v>-0.5022870370370378</x:v>
      </x:c>
      <x:c r="Y148" s="44" t="n">
        <x:v>-0.3022544283413846</x:v>
      </x:c>
      <x:c r="Z148" s="44" t="n">
        <x:v>-2.045218855218856</x:v>
      </x:c>
      <x:c r="AA148" s="44" t="n">
        <x:v>-0.6859844054580901</x:v>
      </x:c>
      <x:c r="AB148" s="44" t="n">
        <x:v>0.1756902356902348</x:v>
      </x:c>
      <x:c r="AC148" s="43" t="str">
        <x:v>Full</x:v>
      </x:c>
    </x:row>
    <x:row r="149" ht="18" customHeight="1">
      <x:c r="A149" s="43" t="str">
        <x:v>Siege</x:v>
      </x:c>
      <x:c r="B149" s="43" t="str">
        <x:v>Siege Attack</x:v>
      </x:c>
      <x:c r="C149" s="43" t="str">
        <x:v>Higher</x:v>
      </x:c>
      <x:c r="D149" s="43" t="str">
        <x:v>Best player</x:v>
      </x:c>
      <x:c r="E149" s="44" t="n">
        <x:v>22.1435</x:v>
      </x:c>
      <x:c r="F149" s="43" t="n">
        <x:v>1</x:v>
      </x:c>
      <x:c r="G149" s="44" t="n">
        <x:v>18.47</x:v>
      </x:c>
      <x:c r="H149" s="43" t="n">
        <x:v>1</x:v>
      </x:c>
      <x:c r="I149" s="44" t="n">
        <x:v>19.07</x:v>
      </x:c>
      <x:c r="J149" s="43" t="n">
        <x:v>1</x:v>
      </x:c>
      <x:c r="K149" s="44" t="n">
        <x:v>20.5585</x:v>
      </x:c>
      <x:c r="L149" s="43" t="n">
        <x:v>1</x:v>
      </x:c>
      <x:c r="M149" s="44" t="n">
        <x:v>20.025</x:v>
      </x:c>
      <x:c r="N149" s="43" t="n">
        <x:v>1</x:v>
      </x:c>
      <x:c r="O149" s="44" t="n">
        <x:v>23.8535</x:v>
      </x:c>
      <x:c r="P149" s="43" t="n">
        <x:v>1</x:v>
      </x:c>
      <x:c r="Q149" s="44" t="n">
        <x:v>22.89</x:v>
      </x:c>
      <x:c r="R149" s="43" t="n">
        <x:v>1</x:v>
      </x:c>
      <x:c r="S149" s="44" t="n">
        <x:v>18.743499999999997</x:v>
      </x:c>
      <x:c r="T149" s="43" t="n">
        <x:v>1</x:v>
      </x:c>
      <x:c r="U149" s="43" t="str">
        <x:v>K54</x:v>
      </x:c>
      <x:c r="V149" s="44" t="n">
        <x:v>-1.5850000000000009</x:v>
      </x:c>
      <x:c r="W149" s="44" t="n">
        <x:v>2.0885</x:v>
      </x:c>
      <x:c r="X149" s="44" t="n">
        <x:v>1.4884999999999984</x:v>
      </x:c>
      <x:c r="Y149" s="44" t="n">
        <x:v>0.5335000000000001</x:v>
      </x:c>
      <x:c r="Z149" s="44" t="n">
        <x:v>-3.2950000000000017</x:v>
      </x:c>
      <x:c r="AA149" s="44" t="n">
        <x:v>-2.331500000000002</x:v>
      </x:c>
      <x:c r="AB149" s="44" t="n">
        <x:v>1.8150000000000013</x:v>
      </x:c>
      <x:c r="AC149" s="43" t="str">
        <x:v>Full</x:v>
      </x:c>
    </x:row>
    <x:row r="150" ht="18" customHeight="1">
      <x:c r="A150" s="43" t="str">
        <x:v>Siege</x:v>
      </x:c>
      <x:c r="B150" s="43" t="str">
        <x:v>Siege Attack</x:v>
      </x:c>
      <x:c r="C150" s="43" t="str">
        <x:v>Higher</x:v>
      </x:c>
      <x:c r="D150" s="43" t="str">
        <x:v>Top 5 average</x:v>
      </x:c>
      <x:c r="E150" s="44" t="n">
        <x:v>21.5319</x:v>
      </x:c>
      <x:c r="F150" s="43" t="n">
        <x:v>5</x:v>
      </x:c>
      <x:c r="G150" s="44" t="n">
        <x:v>15.834800000000001</x:v>
      </x:c>
      <x:c r="H150" s="43" t="n">
        <x:v>5</x:v>
      </x:c>
      <x:c r="I150" s="44" t="n">
        <x:v>17.6544</x:v>
      </x:c>
      <x:c r="J150" s="43" t="n">
        <x:v>5</x:v>
      </x:c>
      <x:c r="K150" s="44" t="n">
        <x:v>19.4538</x:v>
      </x:c>
      <x:c r="L150" s="43" t="n">
        <x:v>5</x:v>
      </x:c>
      <x:c r="M150" s="44" t="n">
        <x:v>17.1164</x:v>
      </x:c>
      <x:c r="N150" s="43" t="n">
        <x:v>5</x:v>
      </x:c>
      <x:c r="O150" s="44" t="n">
        <x:v>21.685499999999998</x:v>
      </x:c>
      <x:c r="P150" s="43" t="n">
        <x:v>5</x:v>
      </x:c>
      <x:c r="Q150" s="44" t="n">
        <x:v>17.599899999999998</x:v>
      </x:c>
      <x:c r="R150" s="43" t="n">
        <x:v>5</x:v>
      </x:c>
      <x:c r="S150" s="44" t="n">
        <x:v>18.0048</x:v>
      </x:c>
      <x:c r="T150" s="43" t="n">
        <x:v>5</x:v>
      </x:c>
      <x:c r="U150" s="43" t="str">
        <x:v>K54</x:v>
      </x:c>
      <x:c r="V150" s="44" t="n">
        <x:v>-2.078099999999999</x:v>
      </x:c>
      <x:c r="W150" s="44" t="n">
        <x:v>3.6189999999999998</x:v>
      </x:c>
      <x:c r="X150" s="44" t="n">
        <x:v>1.799400000000002</x:v>
      </x:c>
      <x:c r="Y150" s="44" t="n">
        <x:v>2.3374000000000024</x:v>
      </x:c>
      <x:c r="Z150" s="44" t="n">
        <x:v>-2.2316999999999965</x:v>
      </x:c>
      <x:c r="AA150" s="44" t="n">
        <x:v>1.853900000000003</x:v>
      </x:c>
      <x:c r="AB150" s="44" t="n">
        <x:v>1.4490000000000016</x:v>
      </x:c>
      <x:c r="AC150" s="43" t="str">
        <x:v>Full</x:v>
      </x:c>
    </x:row>
    <x:row r="151" ht="18" customHeight="1">
      <x:c r="A151" s="43" t="str">
        <x:v>Siege</x:v>
      </x:c>
      <x:c r="B151" s="43" t="str">
        <x:v>Siege Attack</x:v>
      </x:c>
      <x:c r="C151" s="43" t="str">
        <x:v>Higher</x:v>
      </x:c>
      <x:c r="D151" s="43" t="str">
        <x:v>Top 15 average</x:v>
      </x:c>
      <x:c r="E151" s="44" t="n">
        <x:v>16.762766666666668</x:v>
      </x:c>
      <x:c r="F151" s="43" t="n">
        <x:v>15</x:v>
      </x:c>
      <x:c r="G151" s="44" t="n">
        <x:v>12.621933333333336</x:v>
      </x:c>
      <x:c r="H151" s="43" t="n">
        <x:v>15</x:v>
      </x:c>
      <x:c r="I151" s="44" t="n">
        <x:v>15.399300000000002</x:v>
      </x:c>
      <x:c r="J151" s="43" t="n">
        <x:v>15</x:v>
      </x:c>
      <x:c r="K151" s="44" t="n">
        <x:v>16.125166666666665</x:v>
      </x:c>
      <x:c r="L151" s="43" t="n">
        <x:v>15</x:v>
      </x:c>
      <x:c r="M151" s="44" t="n">
        <x:v>15.060033333333335</x:v>
      </x:c>
      <x:c r="N151" s="43" t="n">
        <x:v>15</x:v>
      </x:c>
      <x:c r="O151" s="44" t="n">
        <x:v>18.68227272727273</x:v>
      </x:c>
      <x:c r="P151" s="43" t="n">
        <x:v>11</x:v>
      </x:c>
      <x:c r="Q151" s="44" t="n">
        <x:v>12.942866666666667</x:v>
      </x:c>
      <x:c r="R151" s="43" t="n">
        <x:v>15</x:v>
      </x:c>
      <x:c r="S151" s="44" t="n">
        <x:v>16.62193333333333</x:v>
      </x:c>
      <x:c r="T151" s="43" t="n">
        <x:v>15</x:v>
      </x:c>
      <x:c r="U151" s="43" t="str">
        <x:v>K54</x:v>
      </x:c>
      <x:c r="V151" s="44" t="n">
        <x:v>-0.6376000000000026</x:v>
      </x:c>
      <x:c r="W151" s="44" t="n">
        <x:v>3.5032333333333288</x:v>
      </x:c>
      <x:c r="X151" s="44" t="n">
        <x:v>0.7258666666666631</x:v>
      </x:c>
      <x:c r="Y151" s="44" t="n">
        <x:v>1.0651333333333302</x:v>
      </x:c>
      <x:c r="Z151" s="44" t="n">
        <x:v>-2.5571060606060634</x:v>
      </x:c>
      <x:c r="AA151" s="44" t="n">
        <x:v>3.182299999999998</x:v>
      </x:c>
      <x:c r="AB151" s="44" t="n">
        <x:v>-0.4967666666666659</x:v>
      </x:c>
      <x:c r="AC151" s="43" t="str">
        <x:v>Full</x:v>
      </x:c>
    </x:row>
    <x:row r="152" ht="18" customHeight="1">
      <x:c r="A152" s="43" t="str">
        <x:v>Siege</x:v>
      </x:c>
      <x:c r="B152" s="43" t="str">
        <x:v>Siege Attack</x:v>
      </x:c>
      <x:c r="C152" s="43" t="str">
        <x:v>Higher</x:v>
      </x:c>
      <x:c r="D152" s="43" t="str">
        <x:v>All players mean</x:v>
      </x:c>
      <x:c r="E152" s="44" t="n">
        <x:v>14.823059999999998</x:v>
      </x:c>
      <x:c r="F152" s="43" t="n">
        <x:v>25</x:v>
      </x:c>
      <x:c r="G152" s="44" t="n">
        <x:v>11.8952</x:v>
      </x:c>
      <x:c r="H152" s="43" t="n">
        <x:v>20</x:v>
      </x:c>
      <x:c r="I152" s="44" t="n">
        <x:v>13.8747</x:v>
      </x:c>
      <x:c r="J152" s="43" t="n">
        <x:v>20</x:v>
      </x:c>
      <x:c r="K152" s="44" t="n">
        <x:v>13.591074074074074</x:v>
      </x:c>
      <x:c r="L152" s="43" t="n">
        <x:v>27</x:v>
      </x:c>
      <x:c r="M152" s="44" t="n">
        <x:v>13.553891304347825</x:v>
      </x:c>
      <x:c r="N152" s="43" t="n">
        <x:v>23</x:v>
      </x:c>
      <x:c r="O152" s="44" t="n">
        <x:v>18.68227272727273</x:v>
      </x:c>
      <x:c r="P152" s="43" t="n">
        <x:v>11</x:v>
      </x:c>
      <x:c r="Q152" s="44" t="n">
        <x:v>12.167026315789473</x:v>
      </x:c>
      <x:c r="R152" s="43" t="n">
        <x:v>19</x:v>
      </x:c>
      <x:c r="S152" s="44" t="n">
        <x:v>15.554090909090904</x:v>
      </x:c>
      <x:c r="T152" s="43" t="n">
        <x:v>22</x:v>
      </x:c>
      <x:c r="U152" s="43" t="str">
        <x:v>K54</x:v>
      </x:c>
      <x:c r="V152" s="44" t="n">
        <x:v>-1.2319859259259243</x:v>
      </x:c>
      <x:c r="W152" s="44" t="n">
        <x:v>1.695874074074073</x:v>
      </x:c>
      <x:c r="X152" s="44" t="n">
        <x:v>-0.28362592592592684</x:v>
      </x:c>
      <x:c r="Y152" s="44" t="n">
        <x:v>0.037182769726248566</x:v>
      </x:c>
      <x:c r="Z152" s="44" t="n">
        <x:v>-5.091198653198655</x:v>
      </x:c>
      <x:c r="AA152" s="44" t="n">
        <x:v>1.4240477582846012</x:v>
      </x:c>
      <x:c r="AB152" s="44" t="n">
        <x:v>-1.9630168350168304</x:v>
      </x:c>
      <x:c r="AC152" s="43" t="str">
        <x:v>Full</x:v>
      </x:c>
    </x:row>
    <x:row r="153" ht="18" customHeight="1">
      <x:c r="A153" s="43" t="str">
        <x:v>Siege</x:v>
      </x:c>
      <x:c r="B153" s="43" t="str">
        <x:v>Siege Health</x:v>
      </x:c>
      <x:c r="C153" s="43" t="str">
        <x:v>Higher</x:v>
      </x:c>
      <x:c r="D153" s="43" t="str">
        <x:v>Best player</x:v>
      </x:c>
      <x:c r="E153" s="44" t="n">
        <x:v>13.327</x:v>
      </x:c>
      <x:c r="F153" s="43" t="n">
        <x:v>1</x:v>
      </x:c>
      <x:c r="G153" s="44" t="n">
        <x:v>12.915</x:v>
      </x:c>
      <x:c r="H153" s="43" t="n">
        <x:v>1</x:v>
      </x:c>
      <x:c r="I153" s="44" t="n">
        <x:v>12.64</x:v>
      </x:c>
      <x:c r="J153" s="43" t="n">
        <x:v>1</x:v>
      </x:c>
      <x:c r="K153" s="44" t="n">
        <x:v>13.722</x:v>
      </x:c>
      <x:c r="L153" s="43" t="n">
        <x:v>1</x:v>
      </x:c>
      <x:c r="M153" s="44" t="n">
        <x:v>14.847</x:v>
      </x:c>
      <x:c r="N153" s="43" t="n">
        <x:v>1</x:v>
      </x:c>
      <x:c r="O153" s="44" t="n">
        <x:v>14.585</x:v>
      </x:c>
      <x:c r="P153" s="43" t="n">
        <x:v>1</x:v>
      </x:c>
      <x:c r="Q153" s="44" t="n">
        <x:v>15.44</x:v>
      </x:c>
      <x:c r="R153" s="43" t="n">
        <x:v>1</x:v>
      </x:c>
      <x:c r="S153" s="44" t="n">
        <x:v>16.252</x:v>
      </x:c>
      <x:c r="T153" s="43" t="n">
        <x:v>1</x:v>
      </x:c>
      <x:c r="U153" s="43" t="str">
        <x:v>K176</x:v>
      </x:c>
      <x:c r="V153" s="44" t="n">
        <x:v>0.3949999999999996</x:v>
      </x:c>
      <x:c r="W153" s="44" t="n">
        <x:v>0.8070000000000004</x:v>
      </x:c>
      <x:c r="X153" s="44" t="n">
        <x:v>1.081999999999999</x:v>
      </x:c>
      <x:c r="Y153" s="44" t="n">
        <x:v>-1.125</x:v>
      </x:c>
      <x:c r="Z153" s="44" t="n">
        <x:v>-0.8630000000000013</x:v>
      </x:c>
      <x:c r="AA153" s="44" t="n">
        <x:v>-1.718</x:v>
      </x:c>
      <x:c r="AB153" s="44" t="n">
        <x:v>-2.5299999999999994</x:v>
      </x:c>
      <x:c r="AC153" s="43" t="str">
        <x:v>Full</x:v>
      </x:c>
    </x:row>
    <x:row r="154" ht="18" customHeight="1">
      <x:c r="A154" s="43" t="str">
        <x:v>Siege</x:v>
      </x:c>
      <x:c r="B154" s="43" t="str">
        <x:v>Siege Health</x:v>
      </x:c>
      <x:c r="C154" s="43" t="str">
        <x:v>Higher</x:v>
      </x:c>
      <x:c r="D154" s="43" t="str">
        <x:v>Top 5 average</x:v>
      </x:c>
      <x:c r="E154" s="44" t="n">
        <x:v>11.4536</x:v>
      </x:c>
      <x:c r="F154" s="43" t="n">
        <x:v>5</x:v>
      </x:c>
      <x:c r="G154" s="44" t="n">
        <x:v>9.1644</x:v>
      </x:c>
      <x:c r="H154" s="43" t="n">
        <x:v>5</x:v>
      </x:c>
      <x:c r="I154" s="44" t="n">
        <x:v>10.833</x:v>
      </x:c>
      <x:c r="J154" s="43" t="n">
        <x:v>5</x:v>
      </x:c>
      <x:c r="K154" s="44" t="n">
        <x:v>10.0304</x:v>
      </x:c>
      <x:c r="L154" s="43" t="n">
        <x:v>5</x:v>
      </x:c>
      <x:c r="M154" s="44" t="n">
        <x:v>10.989799999999999</x:v>
      </x:c>
      <x:c r="N154" s="43" t="n">
        <x:v>5</x:v>
      </x:c>
      <x:c r="O154" s="44" t="n">
        <x:v>10.110000000000001</x:v>
      </x:c>
      <x:c r="P154" s="43" t="n">
        <x:v>5</x:v>
      </x:c>
      <x:c r="Q154" s="44" t="n">
        <x:v>11.159999999999998</x:v>
      </x:c>
      <x:c r="R154" s="43" t="n">
        <x:v>5</x:v>
      </x:c>
      <x:c r="S154" s="44" t="n">
        <x:v>11.2604</x:v>
      </x:c>
      <x:c r="T154" s="43" t="n">
        <x:v>5</x:v>
      </x:c>
      <x:c r="U154" s="43" t="str">
        <x:v>K60</x:v>
      </x:c>
      <x:c r="V154" s="44" t="n">
        <x:v>-1.4231999999999996</x:v>
      </x:c>
      <x:c r="W154" s="44" t="n">
        <x:v>0.8659999999999997</x:v>
      </x:c>
      <x:c r="X154" s="44" t="n">
        <x:v>-0.8026</x:v>
      </x:c>
      <x:c r="Y154" s="44" t="n">
        <x:v>-0.9593999999999987</x:v>
      </x:c>
      <x:c r="Z154" s="44" t="n">
        <x:v>-0.079600000000001</x:v>
      </x:c>
      <x:c r="AA154" s="44" t="n">
        <x:v>-1.1295999999999982</x:v>
      </x:c>
      <x:c r="AB154" s="44" t="n">
        <x:v>-1.2300000000000004</x:v>
      </x:c>
      <x:c r="AC154" s="43" t="str">
        <x:v>Full</x:v>
      </x:c>
    </x:row>
    <x:row r="155" ht="18" customHeight="1">
      <x:c r="A155" s="43" t="str">
        <x:v>Siege</x:v>
      </x:c>
      <x:c r="B155" s="43" t="str">
        <x:v>Siege Health</x:v>
      </x:c>
      <x:c r="C155" s="43" t="str">
        <x:v>Higher</x:v>
      </x:c>
      <x:c r="D155" s="43" t="str">
        <x:v>Top 15 average</x:v>
      </x:c>
      <x:c r="E155" s="44" t="n">
        <x:v>8.584533333333333</x:v>
      </x:c>
      <x:c r="F155" s="43" t="n">
        <x:v>15</x:v>
      </x:c>
      <x:c r="G155" s="44" t="n">
        <x:v>7.269533333333333</x:v>
      </x:c>
      <x:c r="H155" s="43" t="n">
        <x:v>15</x:v>
      </x:c>
      <x:c r="I155" s="44" t="n">
        <x:v>8.362866666666665</x:v>
      </x:c>
      <x:c r="J155" s="43" t="n">
        <x:v>15</x:v>
      </x:c>
      <x:c r="K155" s="44" t="n">
        <x:v>8.0464</x:v>
      </x:c>
      <x:c r="L155" s="43" t="n">
        <x:v>15</x:v>
      </x:c>
      <x:c r="M155" s="44" t="n">
        <x:v>7.847066666666666</x:v>
      </x:c>
      <x:c r="N155" s="43" t="n">
        <x:v>15</x:v>
      </x:c>
      <x:c r="O155" s="44" t="n">
        <x:v>7.154545454545455</x:v>
      </x:c>
      <x:c r="P155" s="43" t="n">
        <x:v>11</x:v>
      </x:c>
      <x:c r="Q155" s="44" t="n">
        <x:v>7.793866666666665</x:v>
      </x:c>
      <x:c r="R155" s="43" t="n">
        <x:v>15</x:v>
      </x:c>
      <x:c r="S155" s="44" t="n">
        <x:v>9.5058</x:v>
      </x:c>
      <x:c r="T155" s="43" t="n">
        <x:v>15</x:v>
      </x:c>
      <x:c r="U155" s="43" t="str">
        <x:v>K176</x:v>
      </x:c>
      <x:c r="V155" s="44" t="n">
        <x:v>-0.5381333333333327</x:v>
      </x:c>
      <x:c r="W155" s="44" t="n">
        <x:v>0.7768666666666668</x:v>
      </x:c>
      <x:c r="X155" s="44" t="n">
        <x:v>-0.3164666666666651</x:v>
      </x:c>
      <x:c r="Y155" s="44" t="n">
        <x:v>0.19933333333333447</x:v>
      </x:c>
      <x:c r="Z155" s="44" t="n">
        <x:v>0.891854545454545</x:v>
      </x:c>
      <x:c r="AA155" s="44" t="n">
        <x:v>0.25253333333333483</x:v>
      </x:c>
      <x:c r="AB155" s="44" t="n">
        <x:v>-1.4594000000000005</x:v>
      </x:c>
      <x:c r="AC155" s="43" t="str">
        <x:v>Full</x:v>
      </x:c>
    </x:row>
    <x:row r="156" ht="18" customHeight="1">
      <x:c r="A156" s="43" t="str">
        <x:v>Siege</x:v>
      </x:c>
      <x:c r="B156" s="43" t="str">
        <x:v>Siege Health</x:v>
      </x:c>
      <x:c r="C156" s="43" t="str">
        <x:v>Higher</x:v>
      </x:c>
      <x:c r="D156" s="43" t="str">
        <x:v>All players mean</x:v>
      </x:c>
      <x:c r="E156" s="44" t="n">
        <x:v>7.636920000000001</x:v>
      </x:c>
      <x:c r="F156" s="43" t="n">
        <x:v>25</x:v>
      </x:c>
      <x:c r="G156" s="44" t="n">
        <x:v>6.816400000000002</x:v>
      </x:c>
      <x:c r="H156" s="43" t="n">
        <x:v>20</x:v>
      </x:c>
      <x:c r="I156" s="44" t="n">
        <x:v>7.5815</x:v>
      </x:c>
      <x:c r="J156" s="43" t="n">
        <x:v>20</x:v>
      </x:c>
      <x:c r="K156" s="44" t="n">
        <x:v>6.419074074074074</x:v>
      </x:c>
      <x:c r="L156" s="43" t="n">
        <x:v>27</x:v>
      </x:c>
      <x:c r="M156" s="44" t="n">
        <x:v>6.537434782608695</x:v>
      </x:c>
      <x:c r="N156" s="43" t="n">
        <x:v>23</x:v>
      </x:c>
      <x:c r="O156" s="44" t="n">
        <x:v>7.154545454545455</x:v>
      </x:c>
      <x:c r="P156" s="43" t="n">
        <x:v>11</x:v>
      </x:c>
      <x:c r="Q156" s="44" t="n">
        <x:v>7.010894736842105</x:v>
      </x:c>
      <x:c r="R156" s="43" t="n">
        <x:v>19</x:v>
      </x:c>
      <x:c r="S156" s="44" t="n">
        <x:v>8.660545454545455</x:v>
      </x:c>
      <x:c r="T156" s="43" t="n">
        <x:v>22</x:v>
      </x:c>
      <x:c r="U156" s="43" t="str">
        <x:v>K176</x:v>
      </x:c>
      <x:c r="V156" s="44" t="n">
        <x:v>-1.2178459259259267</x:v>
      </x:c>
      <x:c r="W156" s="44" t="n">
        <x:v>-0.3973259259259274</x:v>
      </x:c>
      <x:c r="X156" s="44" t="n">
        <x:v>-1.162425925925926</x:v>
      </x:c>
      <x:c r="Y156" s="44" t="n">
        <x:v>-0.11836070853462122</x:v>
      </x:c>
      <x:c r="Z156" s="44" t="n">
        <x:v>-0.735471380471381</x:v>
      </x:c>
      <x:c r="AA156" s="44" t="n">
        <x:v>-0.5918206627680309</x:v>
      </x:c>
      <x:c r="AB156" s="44" t="n">
        <x:v>-2.2414713804713804</x:v>
      </x:c>
      <x:c r="AC156" s="43" t="str">
        <x:v>Full</x:v>
      </x:c>
    </x:row>
    <x:row r="157" ht="18" customHeight="1">
      <x:c r="A157" s="43" t="str">
        <x:v>Siege</x:v>
      </x:c>
      <x:c r="B157" s="43" t="str">
        <x:v>Siege Defense</x:v>
      </x:c>
      <x:c r="C157" s="43" t="str">
        <x:v>Higher</x:v>
      </x:c>
      <x:c r="D157" s="43" t="str">
        <x:v>Best player</x:v>
      </x:c>
      <x:c r="E157" s="44" t="n">
        <x:v>13.635</x:v>
      </x:c>
      <x:c r="F157" s="43" t="n">
        <x:v>1</x:v>
      </x:c>
      <x:c r="G157" s="44" t="n">
        <x:v>15.575</x:v>
      </x:c>
      <x:c r="H157" s="43" t="n">
        <x:v>1</x:v>
      </x:c>
      <x:c r="I157" s="44" t="n">
        <x:v>16.86</x:v>
      </x:c>
      <x:c r="J157" s="43" t="n">
        <x:v>1</x:v>
      </x:c>
      <x:c r="K157" s="44" t="n">
        <x:v>12.885</x:v>
      </x:c>
      <x:c r="L157" s="43" t="n">
        <x:v>1</x:v>
      </x:c>
      <x:c r="M157" s="44" t="n">
        <x:v>14.102</x:v>
      </x:c>
      <x:c r="N157" s="43" t="n">
        <x:v>1</x:v>
      </x:c>
      <x:c r="O157" s="44" t="n">
        <x:v>17.05</x:v>
      </x:c>
      <x:c r="P157" s="43" t="n">
        <x:v>1</x:v>
      </x:c>
      <x:c r="Q157" s="44" t="n">
        <x:v>18.405</x:v>
      </x:c>
      <x:c r="R157" s="43" t="n">
        <x:v>1</x:v>
      </x:c>
      <x:c r="S157" s="44" t="n">
        <x:v>14.86</x:v>
      </x:c>
      <x:c r="T157" s="43" t="n">
        <x:v>1</x:v>
      </x:c>
      <x:c r="U157" s="43" t="str">
        <x:v>K197</x:v>
      </x:c>
      <x:c r="V157" s="44" t="n">
        <x:v>-0.75</x:v>
      </x:c>
      <x:c r="W157" s="44" t="n">
        <x:v>-2.6899999999999995</x:v>
      </x:c>
      <x:c r="X157" s="44" t="n">
        <x:v>-3.9749999999999996</x:v>
      </x:c>
      <x:c r="Y157" s="44" t="n">
        <x:v>-1.2170000000000005</x:v>
      </x:c>
      <x:c r="Z157" s="44" t="n">
        <x:v>-4.165000000000001</x:v>
      </x:c>
      <x:c r="AA157" s="44" t="n">
        <x:v>-5.520000000000001</x:v>
      </x:c>
      <x:c r="AB157" s="44" t="n">
        <x:v>-1.9749999999999996</x:v>
      </x:c>
      <x:c r="AC157" s="43" t="str">
        <x:v>Full</x:v>
      </x:c>
    </x:row>
    <x:row r="158" ht="18" customHeight="1">
      <x:c r="A158" s="43" t="str">
        <x:v>Siege</x:v>
      </x:c>
      <x:c r="B158" s="43" t="str">
        <x:v>Siege Defense</x:v>
      </x:c>
      <x:c r="C158" s="43" t="str">
        <x:v>Higher</x:v>
      </x:c>
      <x:c r="D158" s="43" t="str">
        <x:v>Top 5 average</x:v>
      </x:c>
      <x:c r="E158" s="44" t="n">
        <x:v>12.549000000000001</x:v>
      </x:c>
      <x:c r="F158" s="43" t="n">
        <x:v>5</x:v>
      </x:c>
      <x:c r="G158" s="44" t="n">
        <x:v>11.466</x:v>
      </x:c>
      <x:c r="H158" s="43" t="n">
        <x:v>5</x:v>
      </x:c>
      <x:c r="I158" s="44" t="n">
        <x:v>14.806000000000001</x:v>
      </x:c>
      <x:c r="J158" s="43" t="n">
        <x:v>5</x:v>
      </x:c>
      <x:c r="K158" s="44" t="n">
        <x:v>12.337</x:v>
      </x:c>
      <x:c r="L158" s="43" t="n">
        <x:v>5</x:v>
      </x:c>
      <x:c r="M158" s="44" t="n">
        <x:v>12.928400000000002</x:v>
      </x:c>
      <x:c r="N158" s="43" t="n">
        <x:v>5</x:v>
      </x:c>
      <x:c r="O158" s="44" t="n">
        <x:v>15.664000000000001</x:v>
      </x:c>
      <x:c r="P158" s="43" t="n">
        <x:v>5</x:v>
      </x:c>
      <x:c r="Q158" s="44" t="n">
        <x:v>13.136</x:v>
      </x:c>
      <x:c r="R158" s="43" t="n">
        <x:v>5</x:v>
      </x:c>
      <x:c r="S158" s="44" t="n">
        <x:v>13.924000000000001</x:v>
      </x:c>
      <x:c r="T158" s="43" t="n">
        <x:v>5</x:v>
      </x:c>
      <x:c r="U158" s="43" t="str">
        <x:v>K54</x:v>
      </x:c>
      <x:c r="V158" s="44" t="n">
        <x:v>-0.21200000000000152</x:v>
      </x:c>
      <x:c r="W158" s="44" t="n">
        <x:v>0.8710000000000004</x:v>
      </x:c>
      <x:c r="X158" s="44" t="n">
        <x:v>-2.469000000000001</x:v>
      </x:c>
      <x:c r="Y158" s="44" t="n">
        <x:v>-0.5914000000000019</x:v>
      </x:c>
      <x:c r="Z158" s="44" t="n">
        <x:v>-3.3270000000000017</x:v>
      </x:c>
      <x:c r="AA158" s="44" t="n">
        <x:v>-0.7989999999999995</x:v>
      </x:c>
      <x:c r="AB158" s="44" t="n">
        <x:v>-1.5870000000000015</x:v>
      </x:c>
      <x:c r="AC158" s="43" t="str">
        <x:v>Full</x:v>
      </x:c>
    </x:row>
    <x:row r="159" ht="18" customHeight="1">
      <x:c r="A159" s="43" t="str">
        <x:v>Siege</x:v>
      </x:c>
      <x:c r="B159" s="43" t="str">
        <x:v>Siege Defense</x:v>
      </x:c>
      <x:c r="C159" s="43" t="str">
        <x:v>Higher</x:v>
      </x:c>
      <x:c r="D159" s="43" t="str">
        <x:v>Top 15 average</x:v>
      </x:c>
      <x:c r="E159" s="44" t="n">
        <x:v>10.629666666666669</x:v>
      </x:c>
      <x:c r="F159" s="43" t="n">
        <x:v>15</x:v>
      </x:c>
      <x:c r="G159" s="44" t="n">
        <x:v>6.825666666666667</x:v>
      </x:c>
      <x:c r="H159" s="43" t="n">
        <x:v>15</x:v>
      </x:c>
      <x:c r="I159" s="44" t="n">
        <x:v>12.144333333333332</x:v>
      </x:c>
      <x:c r="J159" s="43" t="n">
        <x:v>15</x:v>
      </x:c>
      <x:c r="K159" s="44" t="n">
        <x:v>11.071133333333334</x:v>
      </x:c>
      <x:c r="L159" s="43" t="n">
        <x:v>15</x:v>
      </x:c>
      <x:c r="M159" s="44" t="n">
        <x:v>11.186799999999998</x:v>
      </x:c>
      <x:c r="N159" s="43" t="n">
        <x:v>15</x:v>
      </x:c>
      <x:c r="O159" s="44" t="n">
        <x:v>13.084545454545456</x:v>
      </x:c>
      <x:c r="P159" s="43" t="n">
        <x:v>11</x:v>
      </x:c>
      <x:c r="Q159" s="44" t="n">
        <x:v>8.058466666666666</x:v>
      </x:c>
      <x:c r="R159" s="43" t="n">
        <x:v>15</x:v>
      </x:c>
      <x:c r="S159" s="44" t="n">
        <x:v>12.5858</x:v>
      </x:c>
      <x:c r="T159" s="43" t="n">
        <x:v>15</x:v>
      </x:c>
      <x:c r="U159" s="43" t="str">
        <x:v>K54</x:v>
      </x:c>
      <x:c r="V159" s="44" t="n">
        <x:v>0.4414666666666651</x:v>
      </x:c>
      <x:c r="W159" s="44" t="n">
        <x:v>4.245466666666667</x:v>
      </x:c>
      <x:c r="X159" s="44" t="n">
        <x:v>-1.0731999999999982</x:v>
      </x:c>
      <x:c r="Y159" s="44" t="n">
        <x:v>-0.11566666666666414</x:v>
      </x:c>
      <x:c r="Z159" s="44" t="n">
        <x:v>-2.013412121212122</x:v>
      </x:c>
      <x:c r="AA159" s="44" t="n">
        <x:v>3.012666666666668</x:v>
      </x:c>
      <x:c r="AB159" s="44" t="n">
        <x:v>-1.5146666666666668</x:v>
      </x:c>
      <x:c r="AC159" s="43" t="str">
        <x:v>Full</x:v>
      </x:c>
    </x:row>
    <x:row r="160" ht="18" customHeight="1">
      <x:c r="A160" s="43" t="str">
        <x:v>Siege</x:v>
      </x:c>
      <x:c r="B160" s="43" t="str">
        <x:v>Siege Defense</x:v>
      </x:c>
      <x:c r="C160" s="43" t="str">
        <x:v>Higher</x:v>
      </x:c>
      <x:c r="D160" s="43" t="str">
        <x:v>All players mean</x:v>
      </x:c>
      <x:c r="E160" s="44" t="n">
        <x:v>9.800400000000003</x:v>
      </x:c>
      <x:c r="F160" s="43" t="n">
        <x:v>25</x:v>
      </x:c>
      <x:c r="G160" s="44" t="n">
        <x:v>5.914</x:v>
      </x:c>
      <x:c r="H160" s="43" t="n">
        <x:v>20</x:v>
      </x:c>
      <x:c r="I160" s="44" t="n">
        <x:v>10.33975</x:v>
      </x:c>
      <x:c r="J160" s="43" t="n">
        <x:v>20</x:v>
      </x:c>
      <x:c r="K160" s="44" t="n">
        <x:v>9.109888888888886</x:v>
      </x:c>
      <x:c r="L160" s="43" t="n">
        <x:v>27</x:v>
      </x:c>
      <x:c r="M160" s="44" t="n">
        <x:v>10.169217391304349</x:v>
      </x:c>
      <x:c r="N160" s="43" t="n">
        <x:v>23</x:v>
      </x:c>
      <x:c r="O160" s="44" t="n">
        <x:v>13.084545454545456</x:v>
      </x:c>
      <x:c r="P160" s="43" t="n">
        <x:v>11</x:v>
      </x:c>
      <x:c r="Q160" s="44" t="n">
        <x:v>6.932210526315788</x:v>
      </x:c>
      <x:c r="R160" s="43" t="n">
        <x:v>19</x:v>
      </x:c>
      <x:c r="S160" s="44" t="n">
        <x:v>11.523954545454545</x:v>
      </x:c>
      <x:c r="T160" s="43" t="n">
        <x:v>22</x:v>
      </x:c>
      <x:c r="U160" s="43" t="str">
        <x:v>K54</x:v>
      </x:c>
      <x:c r="V160" s="44" t="n">
        <x:v>-0.6905111111111175</x:v>
      </x:c>
      <x:c r="W160" s="44" t="n">
        <x:v>3.195888888888886</x:v>
      </x:c>
      <x:c r="X160" s="44" t="n">
        <x:v>-1.2298611111111146</x:v>
      </x:c>
      <x:c r="Y160" s="44" t="n">
        <x:v>-1.0593285024154628</x:v>
      </x:c>
      <x:c r="Z160" s="44" t="n">
        <x:v>-3.97465656565657</x:v>
      </x:c>
      <x:c r="AA160" s="44" t="n">
        <x:v>2.177678362573098</x:v>
      </x:c>
      <x:c r="AB160" s="44" t="n">
        <x:v>-2.4140656565656595</x:v>
      </x:c>
      <x:c r="AC160" s="43" t="str">
        <x:v>Full</x:v>
      </x:c>
    </x:row>
    <x:row r="161" ht="18" customHeight="1">
      <x:c r="A161" s="43" t="str">
        <x:v>Siege</x:v>
      </x:c>
      <x:c r="B161" s="43" t="str">
        <x:v>Siege Damage</x:v>
      </x:c>
      <x:c r="C161" s="43" t="str">
        <x:v>Higher</x:v>
      </x:c>
      <x:c r="D161" s="43" t="str">
        <x:v>Best player</x:v>
      </x:c>
      <x:c r="E161" s="44" t="n">
        <x:v>2.0075</x:v>
      </x:c>
      <x:c r="F161" s="43" t="n">
        <x:v>1</x:v>
      </x:c>
      <x:c r="G161" s="44" t="n">
        <x:v>2.045</x:v>
      </x:c>
      <x:c r="H161" s="43" t="n">
        <x:v>1</x:v>
      </x:c>
      <x:c r="I161" s="44" t="n">
        <x:v>1.935</x:v>
      </x:c>
      <x:c r="J161" s="43" t="n">
        <x:v>1</x:v>
      </x:c>
      <x:c r="K161" s="44" t="n">
        <x:v>1.8075</x:v>
      </x:c>
      <x:c r="L161" s="43" t="n">
        <x:v>1</x:v>
      </x:c>
      <x:c r="M161" s="44" t="n">
        <x:v>1.6425</x:v>
      </x:c>
      <x:c r="N161" s="43" t="n">
        <x:v>1</x:v>
      </x:c>
      <x:c r="O161" s="44" t="n">
        <x:v>2.045</x:v>
      </x:c>
      <x:c r="P161" s="43" t="n">
        <x:v>1</x:v>
      </x:c>
      <x:c r="Q161" s="44" t="n">
        <x:v>2.045</x:v>
      </x:c>
      <x:c r="R161" s="43" t="n">
        <x:v>1</x:v>
      </x:c>
      <x:c r="S161" s="44" t="n">
        <x:v>1.805</x:v>
      </x:c>
      <x:c r="T161" s="43" t="n">
        <x:v>1</x:v>
      </x:c>
      <x:c r="U161" s="43" t="str">
        <x:v>Tie</x:v>
      </x:c>
      <x:c r="V161" s="44" t="n">
        <x:v>-0.19999999999999973</x:v>
      </x:c>
      <x:c r="W161" s="44" t="n">
        <x:v>-0.23749999999999982</x:v>
      </x:c>
      <x:c r="X161" s="44" t="n">
        <x:v>-0.12749999999999995</x:v>
      </x:c>
      <x:c r="Y161" s="44" t="n">
        <x:v>0.16500000000000004</x:v>
      </x:c>
      <x:c r="Z161" s="44" t="n">
        <x:v>-0.23749999999999982</x:v>
      </x:c>
      <x:c r="AA161" s="44" t="n">
        <x:v>-0.23749999999999982</x:v>
      </x:c>
      <x:c r="AB161" s="44" t="n">
        <x:v>0.0025000000000001688</x:v>
      </x:c>
      <x:c r="AC161" s="43" t="str">
        <x:v>Full</x:v>
      </x:c>
    </x:row>
    <x:row r="162" ht="18" customHeight="1">
      <x:c r="A162" s="43" t="str">
        <x:v>Siege</x:v>
      </x:c>
      <x:c r="B162" s="43" t="str">
        <x:v>Siege Damage</x:v>
      </x:c>
      <x:c r="C162" s="43" t="str">
        <x:v>Higher</x:v>
      </x:c>
      <x:c r="D162" s="43" t="str">
        <x:v>Top 5 average</x:v>
      </x:c>
      <x:c r="E162" s="44" t="n">
        <x:v>1.7790000000000004</x:v>
      </x:c>
      <x:c r="F162" s="43" t="n">
        <x:v>5</x:v>
      </x:c>
      <x:c r="G162" s="44" t="n">
        <x:v>1.2505</x:v>
      </x:c>
      <x:c r="H162" s="43" t="n">
        <x:v>5</x:v>
      </x:c>
      <x:c r="I162" s="44" t="n">
        <x:v>1.566</x:v>
      </x:c>
      <x:c r="J162" s="43" t="n">
        <x:v>5</x:v>
      </x:c>
      <x:c r="K162" s="44" t="n">
        <x:v>1.7315</x:v>
      </x:c>
      <x:c r="L162" s="43" t="n">
        <x:v>5</x:v>
      </x:c>
      <x:c r="M162" s="44" t="n">
        <x:v>1.5985</x:v>
      </x:c>
      <x:c r="N162" s="43" t="n">
        <x:v>5</x:v>
      </x:c>
      <x:c r="O162" s="44" t="n">
        <x:v>1.8535</x:v>
      </x:c>
      <x:c r="P162" s="43" t="n">
        <x:v>5</x:v>
      </x:c>
      <x:c r="Q162" s="44" t="n">
        <x:v>1.4945</x:v>
      </x:c>
      <x:c r="R162" s="43" t="n">
        <x:v>5</x:v>
      </x:c>
      <x:c r="S162" s="44" t="n">
        <x:v>1.6184999999999998</x:v>
      </x:c>
      <x:c r="T162" s="43" t="n">
        <x:v>5</x:v>
      </x:c>
      <x:c r="U162" s="43" t="str">
        <x:v>K54</x:v>
      </x:c>
      <x:c r="V162" s="44" t="n">
        <x:v>-0.04750000000000032</x:v>
      </x:c>
      <x:c r="W162" s="44" t="n">
        <x:v>0.4810000000000001</x:v>
      </x:c>
      <x:c r="X162" s="44" t="n">
        <x:v>0.16549999999999998</x:v>
      </x:c>
      <x:c r="Y162" s="44" t="n">
        <x:v>0.133</x:v>
      </x:c>
      <x:c r="Z162" s="44" t="n">
        <x:v>-0.12199999999999989</x:v>
      </x:c>
      <x:c r="AA162" s="44" t="n">
        <x:v>0.2370000000000001</x:v>
      </x:c>
      <x:c r="AB162" s="44" t="n">
        <x:v>0.11300000000000021</x:v>
      </x:c>
      <x:c r="AC162" s="43" t="str">
        <x:v>Full</x:v>
      </x:c>
    </x:row>
    <x:row r="163" ht="18" customHeight="1">
      <x:c r="A163" s="43" t="str">
        <x:v>Siege</x:v>
      </x:c>
      <x:c r="B163" s="43" t="str">
        <x:v>Siege Damage</x:v>
      </x:c>
      <x:c r="C163" s="43" t="str">
        <x:v>Higher</x:v>
      </x:c>
      <x:c r="D163" s="43" t="str">
        <x:v>Top 15 average</x:v>
      </x:c>
      <x:c r="E163" s="44" t="n">
        <x:v>1.1953333333333334</x:v>
      </x:c>
      <x:c r="F163" s="43" t="n">
        <x:v>15</x:v>
      </x:c>
      <x:c r="G163" s="44" t="n">
        <x:v>0.7633333333333332</x:v>
      </x:c>
      <x:c r="H163" s="43" t="n">
        <x:v>15</x:v>
      </x:c>
      <x:c r="I163" s="44" t="n">
        <x:v>1.3477666666666663</x:v>
      </x:c>
      <x:c r="J163" s="43" t="n">
        <x:v>15</x:v>
      </x:c>
      <x:c r="K163" s="44" t="n">
        <x:v>1.5213000000000005</x:v>
      </x:c>
      <x:c r="L163" s="43" t="n">
        <x:v>15</x:v>
      </x:c>
      <x:c r="M163" s="44" t="n">
        <x:v>1.5106666666666668</x:v>
      </x:c>
      <x:c r="N163" s="43" t="n">
        <x:v>15</x:v>
      </x:c>
      <x:c r="O163" s="44" t="n">
        <x:v>1.436909090909091</x:v>
      </x:c>
      <x:c r="P163" s="43" t="n">
        <x:v>11</x:v>
      </x:c>
      <x:c r="Q163" s="44" t="n">
        <x:v>0.8315333333333333</x:v>
      </x:c>
      <x:c r="R163" s="43" t="n">
        <x:v>15</x:v>
      </x:c>
      <x:c r="S163" s="44" t="n">
        <x:v>1.499666666666667</x:v>
      </x:c>
      <x:c r="T163" s="43" t="n">
        <x:v>15</x:v>
      </x:c>
      <x:c r="U163" s="43" t="str">
        <x:v>K138</x:v>
      </x:c>
      <x:c r="V163" s="44" t="n">
        <x:v>0.3259666666666672</x:v>
      </x:c>
      <x:c r="W163" s="44" t="n">
        <x:v>0.7579666666666673</x:v>
      </x:c>
      <x:c r="X163" s="44" t="n">
        <x:v>0.1735333333333342</x:v>
      </x:c>
      <x:c r="Y163" s="44" t="n">
        <x:v>0.010633333333333717</x:v>
      </x:c>
      <x:c r="Z163" s="44" t="n">
        <x:v>0.08439090909090963</x:v>
      </x:c>
      <x:c r="AA163" s="44" t="n">
        <x:v>0.6897666666666672</x:v>
      </x:c>
      <x:c r="AB163" s="44" t="n">
        <x:v>0.021633333333333615</x:v>
      </x:c>
      <x:c r="AC163" s="43" t="str">
        <x:v>Full</x:v>
      </x:c>
    </x:row>
    <x:row r="164" ht="18" customHeight="1">
      <x:c r="A164" s="43" t="str">
        <x:v>Siege</x:v>
      </x:c>
      <x:c r="B164" s="43" t="str">
        <x:v>Siege Damage</x:v>
      </x:c>
      <x:c r="C164" s="43" t="str">
        <x:v>Higher</x:v>
      </x:c>
      <x:c r="D164" s="43" t="str">
        <x:v>All players mean</x:v>
      </x:c>
      <x:c r="E164" s="44" t="n">
        <x:v>0.9263000000000003</x:v>
      </x:c>
      <x:c r="F164" s="43" t="n">
        <x:v>25</x:v>
      </x:c>
      <x:c r="G164" s="44" t="n">
        <x:v>0.6799999999999999</x:v>
      </x:c>
      <x:c r="H164" s="43" t="n">
        <x:v>20</x:v>
      </x:c>
      <x:c r="I164" s="44" t="n">
        <x:v>1.1089999999999998</x:v>
      </x:c>
      <x:c r="J164" s="43" t="n">
        <x:v>20</x:v>
      </x:c>
      <x:c r="K164" s="44" t="n">
        <x:v>1.0838703703703705</x:v>
      </x:c>
      <x:c r="L164" s="43" t="n">
        <x:v>27</x:v>
      </x:c>
      <x:c r="M164" s="44" t="n">
        <x:v>1.2747391304347826</x:v>
      </x:c>
      <x:c r="N164" s="43" t="n">
        <x:v>23</x:v>
      </x:c>
      <x:c r="O164" s="44" t="n">
        <x:v>1.436909090909091</x:v>
      </x:c>
      <x:c r="P164" s="43" t="n">
        <x:v>11</x:v>
      </x:c>
      <x:c r="Q164" s="44" t="n">
        <x:v>0.7243684210526316</x:v>
      </x:c>
      <x:c r="R164" s="43" t="n">
        <x:v>19</x:v>
      </x:c>
      <x:c r="S164" s="44" t="n">
        <x:v>1.3615909090909093</x:v>
      </x:c>
      <x:c r="T164" s="43" t="n">
        <x:v>22</x:v>
      </x:c>
      <x:c r="U164" s="43" t="str">
        <x:v>K54</x:v>
      </x:c>
      <x:c r="V164" s="44" t="n">
        <x:v>0.15757037037037014</x:v>
      </x:c>
      <x:c r="W164" s="44" t="n">
        <x:v>0.40387037037037055</x:v>
      </x:c>
      <x:c r="X164" s="44" t="n">
        <x:v>-0.02512962962962928</x:v>
      </x:c>
      <x:c r="Y164" s="44" t="n">
        <x:v>-0.1908687600644121</x:v>
      </x:c>
      <x:c r="Z164" s="44" t="n">
        <x:v>-0.35303872053872043</x:v>
      </x:c>
      <x:c r="AA164" s="44" t="n">
        <x:v>0.35950194931773893</x:v>
      </x:c>
      <x:c r="AB164" s="44" t="n">
        <x:v>-0.2777205387205388</x:v>
      </x:c>
      <x:c r="AC164" s="43" t="str">
        <x:v>Full</x:v>
      </x:c>
    </x:row>
    <x:row r="165" ht="18" customHeight="1">
      <x:c r="A165" s="43" t="str">
        <x:v>Siege</x:v>
      </x:c>
      <x:c r="B165" s="43" t="str">
        <x:v>Siege Damage Received</x:v>
      </x:c>
      <x:c r="C165" s="43" t="str">
        <x:v>Lower</x:v>
      </x:c>
      <x:c r="D165" s="43" t="str">
        <x:v>Best player</x:v>
      </x:c>
      <x:c r="E165" s="44" t="n">
        <x:v>-1.845</x:v>
      </x:c>
      <x:c r="F165" s="43" t="n">
        <x:v>1</x:v>
      </x:c>
      <x:c r="G165" s="44" t="n">
        <x:v>-1.945</x:v>
      </x:c>
      <x:c r="H165" s="43" t="n">
        <x:v>1</x:v>
      </x:c>
      <x:c r="I165" s="44" t="n">
        <x:v>-1.605</x:v>
      </x:c>
      <x:c r="J165" s="43" t="n">
        <x:v>1</x:v>
      </x:c>
      <x:c r="K165" s="44" t="n">
        <x:v>-1.6675</x:v>
      </x:c>
      <x:c r="L165" s="43" t="n">
        <x:v>1</x:v>
      </x:c>
      <x:c r="M165" s="44" t="n">
        <x:v>-1.605</x:v>
      </x:c>
      <x:c r="N165" s="43" t="n">
        <x:v>1</x:v>
      </x:c>
      <x:c r="O165" s="44" t="n">
        <x:v>-1.945</x:v>
      </x:c>
      <x:c r="P165" s="43" t="n">
        <x:v>1</x:v>
      </x:c>
      <x:c r="Q165" s="44" t="n">
        <x:v>-1.845</x:v>
      </x:c>
      <x:c r="R165" s="43" t="n">
        <x:v>1</x:v>
      </x:c>
      <x:c r="S165" s="44" t="n">
        <x:v>-1.6675</x:v>
      </x:c>
      <x:c r="T165" s="43" t="n">
        <x:v>1</x:v>
      </x:c>
      <x:c r="U165" s="43" t="str">
        <x:v>Tie</x:v>
      </x:c>
      <x:c r="V165" s="44" t="n">
        <x:v>0.1775</x:v>
      </x:c>
      <x:c r="W165" s="44" t="n">
        <x:v>0.2775000000000001</x:v>
      </x:c>
      <x:c r="X165" s="44" t="n">
        <x:v>-0.0625</x:v>
      </x:c>
      <x:c r="Y165" s="44" t="n">
        <x:v>-0.0625</x:v>
      </x:c>
      <x:c r="Z165" s="44" t="n">
        <x:v>0.2775000000000001</x:v>
      </x:c>
      <x:c r="AA165" s="44" t="n">
        <x:v>0.1775</x:v>
      </x:c>
      <x:c r="AB165" s="44" t="n">
        <x:v>0</x:v>
      </x:c>
      <x:c r="AC165" s="43" t="str">
        <x:v>Full</x:v>
      </x:c>
    </x:row>
    <x:row r="166" ht="18" customHeight="1">
      <x:c r="A166" s="43" t="str">
        <x:v>Siege</x:v>
      </x:c>
      <x:c r="B166" s="43" t="str">
        <x:v>Siege Damage Received</x:v>
      </x:c>
      <x:c r="C166" s="43" t="str">
        <x:v>Lower</x:v>
      </x:c>
      <x:c r="D166" s="43" t="str">
        <x:v>Top 5 average</x:v>
      </x:c>
      <x:c r="E166" s="44" t="n">
        <x:v>-1.6015000000000001</x:v>
      </x:c>
      <x:c r="F166" s="43" t="n">
        <x:v>5</x:v>
      </x:c>
      <x:c r="G166" s="44" t="n">
        <x:v>-1.1595</x:v>
      </x:c>
      <x:c r="H166" s="43" t="n">
        <x:v>5</x:v>
      </x:c>
      <x:c r="I166" s="44" t="n">
        <x:v>-1.3855</x:v>
      </x:c>
      <x:c r="J166" s="43" t="n">
        <x:v>5</x:v>
      </x:c>
      <x:c r="K166" s="44" t="n">
        <x:v>-1.542</x:v>
      </x:c>
      <x:c r="L166" s="43" t="n">
        <x:v>5</x:v>
      </x:c>
      <x:c r="M166" s="44" t="n">
        <x:v>-1.509</x:v>
      </x:c>
      <x:c r="N166" s="43" t="n">
        <x:v>5</x:v>
      </x:c>
      <x:c r="O166" s="44" t="n">
        <x:v>-1.7055</x:v>
      </x:c>
      <x:c r="P166" s="43" t="n">
        <x:v>5</x:v>
      </x:c>
      <x:c r="Q166" s="44" t="n">
        <x:v>-1.4215</x:v>
      </x:c>
      <x:c r="R166" s="43" t="n">
        <x:v>5</x:v>
      </x:c>
      <x:c r="S166" s="44" t="n">
        <x:v>-1.4015</x:v>
      </x:c>
      <x:c r="T166" s="43" t="n">
        <x:v>5</x:v>
      </x:c>
      <x:c r="U166" s="43" t="str">
        <x:v>K54</x:v>
      </x:c>
      <x:c r="V166" s="44" t="n">
        <x:v>0.05950000000000011</x:v>
      </x:c>
      <x:c r="W166" s="44" t="n">
        <x:v>-0.38250000000000006</x:v>
      </x:c>
      <x:c r="X166" s="44" t="n">
        <x:v>-0.15650000000000008</x:v>
      </x:c>
      <x:c r="Y166" s="44" t="n">
        <x:v>-0.03300000000000014</x:v>
      </x:c>
      <x:c r="Z166" s="44" t="n">
        <x:v>0.16349999999999998</x:v>
      </x:c>
      <x:c r="AA166" s="44" t="n">
        <x:v>-0.12050000000000005</x:v>
      </x:c>
      <x:c r="AB166" s="44" t="n">
        <x:v>-0.14050000000000007</x:v>
      </x:c>
      <x:c r="AC166" s="43" t="str">
        <x:v>Full</x:v>
      </x:c>
    </x:row>
    <x:row r="167" ht="18" customHeight="1">
      <x:c r="A167" s="43" t="str">
        <x:v>Siege</x:v>
      </x:c>
      <x:c r="B167" s="43" t="str">
        <x:v>Siege Damage Received</x:v>
      </x:c>
      <x:c r="C167" s="43" t="str">
        <x:v>Lower</x:v>
      </x:c>
      <x:c r="D167" s="43" t="str">
        <x:v>Top 15 average</x:v>
      </x:c>
      <x:c r="E167" s="44" t="n">
        <x:v>-0.9968333333333333</x:v>
      </x:c>
      <x:c r="F167" s="43" t="n">
        <x:v>15</x:v>
      </x:c>
      <x:c r="G167" s="44" t="n">
        <x:v>-0.6</x:v>
      </x:c>
      <x:c r="H167" s="43" t="n">
        <x:v>15</x:v>
      </x:c>
      <x:c r="I167" s="44" t="n">
        <x:v>-1.1938333333333335</x:v>
      </x:c>
      <x:c r="J167" s="43" t="n">
        <x:v>15</x:v>
      </x:c>
      <x:c r="K167" s="44" t="n">
        <x:v>-1.3244666666666667</x:v>
      </x:c>
      <x:c r="L167" s="43" t="n">
        <x:v>15</x:v>
      </x:c>
      <x:c r="M167" s="44" t="n">
        <x:v>-1.3598333333333334</x:v>
      </x:c>
      <x:c r="N167" s="43" t="n">
        <x:v>15</x:v>
      </x:c>
      <x:c r="O167" s="44" t="n">
        <x:v>-1.2787272727272727</x:v>
      </x:c>
      <x:c r="P167" s="43" t="n">
        <x:v>11</x:v>
      </x:c>
      <x:c r="Q167" s="44" t="n">
        <x:v>-0.7489666666666667</x:v>
      </x:c>
      <x:c r="R167" s="43" t="n">
        <x:v>15</x:v>
      </x:c>
      <x:c r="S167" s="44" t="n">
        <x:v>-1.2731666666666668</x:v>
      </x:c>
      <x:c r="T167" s="43" t="n">
        <x:v>15</x:v>
      </x:c>
      <x:c r="U167" s="43" t="str">
        <x:v>K170</x:v>
      </x:c>
      <x:c r="V167" s="44" t="n">
        <x:v>-0.32763333333333333</x:v>
      </x:c>
      <x:c r="W167" s="44" t="n">
        <x:v>-0.7244666666666667</x:v>
      </x:c>
      <x:c r="X167" s="44" t="n">
        <x:v>-0.13063333333333316</x:v>
      </x:c>
      <x:c r="Y167" s="44" t="n">
        <x:v>0.03536666666666677</x:v>
      </x:c>
      <x:c r="Z167" s="44" t="n">
        <x:v>-0.04573939393939397</x:v>
      </x:c>
      <x:c r="AA167" s="44" t="n">
        <x:v>-0.5755</x:v>
      </x:c>
      <x:c r="AB167" s="44" t="n">
        <x:v>-0.0512999999999999</x:v>
      </x:c>
      <x:c r="AC167" s="43" t="str">
        <x:v>Full</x:v>
      </x:c>
    </x:row>
    <x:row r="168" ht="18" customHeight="1">
      <x:c r="A168" s="43" t="str">
        <x:v>Siege</x:v>
      </x:c>
      <x:c r="B168" s="43" t="str">
        <x:v>Siege Damage Received</x:v>
      </x:c>
      <x:c r="C168" s="43" t="str">
        <x:v>Lower</x:v>
      </x:c>
      <x:c r="D168" s="43" t="str">
        <x:v>All players mean</x:v>
      </x:c>
      <x:c r="E168" s="44" t="n">
        <x:v>-0.7451000000000001</x:v>
      </x:c>
      <x:c r="F168" s="43" t="n">
        <x:v>25</x:v>
      </x:c>
      <x:c r="G168" s="44" t="n">
        <x:v>-0.5105000000000001</x:v>
      </x:c>
      <x:c r="H168" s="43" t="n">
        <x:v>20</x:v>
      </x:c>
      <x:c r="I168" s="44" t="n">
        <x:v>-0.945725</x:v>
      </x:c>
      <x:c r="J168" s="43" t="n">
        <x:v>20</x:v>
      </x:c>
      <x:c r="K168" s="44" t="n">
        <x:v>-0.9022962962962963</x:v>
      </x:c>
      <x:c r="L168" s="43" t="n">
        <x:v>27</x:v>
      </x:c>
      <x:c r="M168" s="44" t="n">
        <x:v>-1.1196304347826087</x:v>
      </x:c>
      <x:c r="N168" s="43" t="n">
        <x:v>23</x:v>
      </x:c>
      <x:c r="O168" s="44" t="n">
        <x:v>-1.2787272727272727</x:v>
      </x:c>
      <x:c r="P168" s="43" t="n">
        <x:v>11</x:v>
      </x:c>
      <x:c r="Q168" s="44" t="n">
        <x:v>-0.6333947368421053</x:v>
      </x:c>
      <x:c r="R168" s="43" t="n">
        <x:v>19</x:v>
      </x:c>
      <x:c r="S168" s="44" t="n">
        <x:v>-1.1417045454545454</x:v>
      </x:c>
      <x:c r="T168" s="43" t="n">
        <x:v>22</x:v>
      </x:c>
      <x:c r="U168" s="43" t="str">
        <x:v>K54</x:v>
      </x:c>
      <x:c r="V168" s="44" t="n">
        <x:v>-0.15719629629629617</x:v>
      </x:c>
      <x:c r="W168" s="44" t="n">
        <x:v>-0.3917962962962962</x:v>
      </x:c>
      <x:c r="X168" s="44" t="n">
        <x:v>0.043428703703703775</x:v>
      </x:c>
      <x:c r="Y168" s="44" t="n">
        <x:v>0.21733413848631244</x:v>
      </x:c>
      <x:c r="Z168" s="44" t="n">
        <x:v>0.37643097643097645</x:v>
      </x:c>
      <x:c r="AA168" s="44" t="n">
        <x:v>-0.2689015594541909</x:v>
      </x:c>
      <x:c r="AB168" s="44" t="n">
        <x:v>0.2394082491582491</x:v>
      </x:c>
      <x:c r="AC168" s="43" t="str">
        <x:v>Full</x:v>
      </x:c>
    </x:row>
    <x:row r="169" ht="18" customHeight="1">
      <x:c r="A169" s="43" t="str">
        <x:v>Siege</x:v>
      </x:c>
      <x:c r="B169" s="43" t="str">
        <x:v>Siege Attack Blessing</x:v>
      </x:c>
      <x:c r="C169" s="43" t="str">
        <x:v>Higher</x:v>
      </x:c>
      <x:c r="D169" s="43" t="str">
        <x:v>Best player</x:v>
      </x:c>
      <x:c r="E169" s="44" t="n">
        <x:v>7</x:v>
      </x:c>
      <x:c r="F169" s="43" t="n">
        <x:v>1</x:v>
      </x:c>
      <x:c r="G169" s="44" t="n">
        <x:v>9</x:v>
      </x:c>
      <x:c r="H169" s="43" t="n">
        <x:v>1</x:v>
      </x:c>
      <x:c r="I169" s="44" t="n">
        <x:v>7</x:v>
      </x:c>
      <x:c r="J169" s="43" t="n">
        <x:v>1</x:v>
      </x:c>
      <x:c r="K169" s="44" t="n">
        <x:v>4.76</x:v>
      </x:c>
      <x:c r="L169" s="43" t="n">
        <x:v>1</x:v>
      </x:c>
      <x:c r="M169" s="44" t="n">
        <x:v>4.81</x:v>
      </x:c>
      <x:c r="N169" s="43" t="n">
        <x:v>1</x:v>
      </x:c>
      <x:c r="O169" s="44" t="n">
        <x:v>9</x:v>
      </x:c>
      <x:c r="P169" s="43" t="n">
        <x:v>1</x:v>
      </x:c>
      <x:c r="Q169" s="44" t="n">
        <x:v>9</x:v>
      </x:c>
      <x:c r="R169" s="43" t="n">
        <x:v>1</x:v>
      </x:c>
      <x:c r="S169" s="44" t="n">
        <x:v>6.64</x:v>
      </x:c>
      <x:c r="T169" s="43" t="n">
        <x:v>1</x:v>
      </x:c>
      <x:c r="U169" s="43" t="str">
        <x:v>Tie</x:v>
      </x:c>
      <x:c r="V169" s="44" t="n">
        <x:v>-2.24</x:v>
      </x:c>
      <x:c r="W169" s="44" t="n">
        <x:v>-4.24</x:v>
      </x:c>
      <x:c r="X169" s="44" t="n">
        <x:v>-2.24</x:v>
      </x:c>
      <x:c r="Y169" s="44" t="n">
        <x:v>-0.04999999999999982</x:v>
      </x:c>
      <x:c r="Z169" s="44" t="n">
        <x:v>-4.24</x:v>
      </x:c>
      <x:c r="AA169" s="44" t="n">
        <x:v>-4.24</x:v>
      </x:c>
      <x:c r="AB169" s="44" t="n">
        <x:v>-1.88</x:v>
      </x:c>
      <x:c r="AC169" s="43" t="str">
        <x:v>Full</x:v>
      </x:c>
    </x:row>
    <x:row r="170" ht="18" customHeight="1">
      <x:c r="A170" s="43" t="str">
        <x:v>Siege</x:v>
      </x:c>
      <x:c r="B170" s="43" t="str">
        <x:v>Siege Attack Blessing</x:v>
      </x:c>
      <x:c r="C170" s="43" t="str">
        <x:v>Higher</x:v>
      </x:c>
      <x:c r="D170" s="43" t="str">
        <x:v>Top 5 average</x:v>
      </x:c>
      <x:c r="E170" s="44" t="n">
        <x:v>4.470000000000001</x:v>
      </x:c>
      <x:c r="F170" s="43" t="n">
        <x:v>5</x:v>
      </x:c>
      <x:c r="G170" s="44" t="n">
        <x:v>4.198</x:v>
      </x:c>
      <x:c r="H170" s="43" t="n">
        <x:v>5</x:v>
      </x:c>
      <x:c r="I170" s="44" t="n">
        <x:v>6.394</x:v>
      </x:c>
      <x:c r="J170" s="43" t="n">
        <x:v>5</x:v>
      </x:c>
      <x:c r="K170" s="44" t="n">
        <x:v>4.3420000000000005</x:v>
      </x:c>
      <x:c r="L170" s="43" t="n">
        <x:v>5</x:v>
      </x:c>
      <x:c r="M170" s="44" t="n">
        <x:v>3.6759999999999997</x:v>
      </x:c>
      <x:c r="N170" s="43" t="n">
        <x:v>5</x:v>
      </x:c>
      <x:c r="O170" s="44" t="n">
        <x:v>7.426</x:v>
      </x:c>
      <x:c r="P170" s="43" t="n">
        <x:v>5</x:v>
      </x:c>
      <x:c r="Q170" s="44" t="n">
        <x:v>4.878</x:v>
      </x:c>
      <x:c r="R170" s="43" t="n">
        <x:v>5</x:v>
      </x:c>
      <x:c r="S170" s="44" t="n">
        <x:v>5.6659999999999995</x:v>
      </x:c>
      <x:c r="T170" s="43" t="n">
        <x:v>5</x:v>
      </x:c>
      <x:c r="U170" s="43" t="str">
        <x:v>K54</x:v>
      </x:c>
      <x:c r="V170" s="44" t="n">
        <x:v>-0.1280000000000001</x:v>
      </x:c>
      <x:c r="W170" s="44" t="n">
        <x:v>0.14400000000000013</x:v>
      </x:c>
      <x:c r="X170" s="44" t="n">
        <x:v>-2.0519999999999996</x:v>
      </x:c>
      <x:c r="Y170" s="44" t="n">
        <x:v>0.6660000000000008</x:v>
      </x:c>
      <x:c r="Z170" s="44" t="n">
        <x:v>-3.0839999999999996</x:v>
      </x:c>
      <x:c r="AA170" s="44" t="n">
        <x:v>-0.5359999999999996</x:v>
      </x:c>
      <x:c r="AB170" s="44" t="n">
        <x:v>-1.323999999999999</x:v>
      </x:c>
      <x:c r="AC170" s="43" t="str">
        <x:v>Full</x:v>
      </x:c>
    </x:row>
    <x:row r="171" ht="18" customHeight="1">
      <x:c r="A171" s="43" t="str">
        <x:v>Siege</x:v>
      </x:c>
      <x:c r="B171" s="43" t="str">
        <x:v>Siege Attack Blessing</x:v>
      </x:c>
      <x:c r="C171" s="43" t="str">
        <x:v>Higher</x:v>
      </x:c>
      <x:c r="D171" s="43" t="str">
        <x:v>Top 15 average</x:v>
      </x:c>
      <x:c r="E171" s="44" t="n">
        <x:v>2.5233333333333334</x:v>
      </x:c>
      <x:c r="F171" s="43" t="n">
        <x:v>15</x:v>
      </x:c>
      <x:c r="G171" s="44" t="n">
        <x:v>2.1140000000000003</x:v>
      </x:c>
      <x:c r="H171" s="43" t="n">
        <x:v>15</x:v>
      </x:c>
      <x:c r="I171" s="44" t="n">
        <x:v>3.1770000000000014</x:v>
      </x:c>
      <x:c r="J171" s="43" t="n">
        <x:v>15</x:v>
      </x:c>
      <x:c r="K171" s="44" t="n">
        <x:v>2.7413333333333343</x:v>
      </x:c>
      <x:c r="L171" s="43" t="n">
        <x:v>15</x:v>
      </x:c>
      <x:c r="M171" s="44" t="n">
        <x:v>2.261333333333334</x:v>
      </x:c>
      <x:c r="N171" s="43" t="n">
        <x:v>15</x:v>
      </x:c>
      <x:c r="O171" s="44" t="n">
        <x:v>4.5181818181818185</x:v>
      </x:c>
      <x:c r="P171" s="43" t="n">
        <x:v>11</x:v>
      </x:c>
      <x:c r="Q171" s="44" t="n">
        <x:v>2.2659999999999996</x:v>
      </x:c>
      <x:c r="R171" s="43" t="n">
        <x:v>15</x:v>
      </x:c>
      <x:c r="S171" s="44" t="n">
        <x:v>3.592</x:v>
      </x:c>
      <x:c r="T171" s="43" t="n">
        <x:v>15</x:v>
      </x:c>
      <x:c r="U171" s="43" t="str">
        <x:v>K54</x:v>
      </x:c>
      <x:c r="V171" s="44" t="n">
        <x:v>0.21800000000000086</x:v>
      </x:c>
      <x:c r="W171" s="44" t="n">
        <x:v>0.627333333333334</x:v>
      </x:c>
      <x:c r="X171" s="44" t="n">
        <x:v>-0.4356666666666671</x:v>
      </x:c>
      <x:c r="Y171" s="44" t="n">
        <x:v>0.4800000000000004</x:v>
      </x:c>
      <x:c r="Z171" s="44" t="n">
        <x:v>-1.7768484848484842</x:v>
      </x:c>
      <x:c r="AA171" s="44" t="n">
        <x:v>0.4753333333333347</x:v>
      </x:c>
      <x:c r="AB171" s="44" t="n">
        <x:v>-0.8506666666666658</x:v>
      </x:c>
      <x:c r="AC171" s="43" t="str">
        <x:v>Full</x:v>
      </x:c>
    </x:row>
    <x:row r="172" ht="18" customHeight="1">
      <x:c r="A172" s="43" t="str">
        <x:v>Siege</x:v>
      </x:c>
      <x:c r="B172" s="43" t="str">
        <x:v>Siege Attack Blessing</x:v>
      </x:c>
      <x:c r="C172" s="43" t="str">
        <x:v>Higher</x:v>
      </x:c>
      <x:c r="D172" s="43" t="str">
        <x:v>All players mean</x:v>
      </x:c>
      <x:c r="E172" s="44" t="n">
        <x:v>1.8056000000000003</x:v>
      </x:c>
      <x:c r="F172" s="43" t="n">
        <x:v>25</x:v>
      </x:c>
      <x:c r="G172" s="44" t="n">
        <x:v>1.767</x:v>
      </x:c>
      <x:c r="H172" s="43" t="n">
        <x:v>20</x:v>
      </x:c>
      <x:c r="I172" s="44" t="n">
        <x:v>2.517250000000001</x:v>
      </x:c>
      <x:c r="J172" s="43" t="n">
        <x:v>20</x:v>
      </x:c>
      <x:c r="K172" s="44" t="n">
        <x:v>1.816666666666667</x:v>
      </x:c>
      <x:c r="L172" s="43" t="n">
        <x:v>27</x:v>
      </x:c>
      <x:c r="M172" s="44" t="n">
        <x:v>1.7534782608695654</x:v>
      </x:c>
      <x:c r="N172" s="43" t="n">
        <x:v>23</x:v>
      </x:c>
      <x:c r="O172" s="44" t="n">
        <x:v>4.5181818181818185</x:v>
      </x:c>
      <x:c r="P172" s="43" t="n">
        <x:v>11</x:v>
      </x:c>
      <x:c r="Q172" s="44" t="n">
        <x:v>1.881578947368421</x:v>
      </x:c>
      <x:c r="R172" s="43" t="n">
        <x:v>19</x:v>
      </x:c>
      <x:c r="S172" s="44" t="n">
        <x:v>2.7725000000000004</x:v>
      </x:c>
      <x:c r="T172" s="43" t="n">
        <x:v>22</x:v>
      </x:c>
      <x:c r="U172" s="43" t="str">
        <x:v>K54</x:v>
      </x:c>
      <x:c r="V172" s="44" t="n">
        <x:v>0.01106666666666678</x:v>
      </x:c>
      <x:c r="W172" s="44" t="n">
        <x:v>0.04966666666666719</x:v>
      </x:c>
      <x:c r="X172" s="44" t="n">
        <x:v>-0.700583333333334</x:v>
      </x:c>
      <x:c r="Y172" s="44" t="n">
        <x:v>0.06318840579710172</x:v>
      </x:c>
      <x:c r="Z172" s="44" t="n">
        <x:v>-2.701515151515151</x:v>
      </x:c>
      <x:c r="AA172" s="44" t="n">
        <x:v>-0.06491228070175392</x:v>
      </x:c>
      <x:c r="AB172" s="44" t="n">
        <x:v>-0.9558333333333333</x:v>
      </x:c>
      <x:c r="AC172" s="43" t="str">
        <x:v>Full</x:v>
      </x:c>
    </x:row>
    <x:row r="173" ht="18" customHeight="1">
      <x:c r="A173" s="43" t="str">
        <x:v>Siege</x:v>
      </x:c>
      <x:c r="B173" s="43" t="str">
        <x:v>Siege Protection Blessing</x:v>
      </x:c>
      <x:c r="C173" s="43" t="str">
        <x:v>Higher</x:v>
      </x:c>
      <x:c r="D173" s="43" t="str">
        <x:v>Best player</x:v>
      </x:c>
      <x:c r="E173" s="44" t="n">
        <x:v>3.07</x:v>
      </x:c>
      <x:c r="F173" s="43" t="n">
        <x:v>1</x:v>
      </x:c>
      <x:c r="G173" s="44" t="n">
        <x:v>7.88</x:v>
      </x:c>
      <x:c r="H173" s="43" t="n">
        <x:v>1</x:v>
      </x:c>
      <x:c r="I173" s="44" t="n">
        <x:v>7</x:v>
      </x:c>
      <x:c r="J173" s="43" t="n">
        <x:v>1</x:v>
      </x:c>
      <x:c r="K173" s="44" t="n">
        <x:v>3.71</x:v>
      </x:c>
      <x:c r="L173" s="43" t="n">
        <x:v>1</x:v>
      </x:c>
      <x:c r="M173" s="44" t="n">
        <x:v>2.56</x:v>
      </x:c>
      <x:c r="N173" s="43" t="n">
        <x:v>1</x:v>
      </x:c>
      <x:c r="O173" s="44" t="n">
        <x:v>9</x:v>
      </x:c>
      <x:c r="P173" s="43" t="n">
        <x:v>1</x:v>
      </x:c>
      <x:c r="Q173" s="44" t="n">
        <x:v>9</x:v>
      </x:c>
      <x:c r="R173" s="43" t="n">
        <x:v>1</x:v>
      </x:c>
      <x:c r="S173" s="44" t="n">
        <x:v>2.95</x:v>
      </x:c>
      <x:c r="T173" s="43" t="n">
        <x:v>1</x:v>
      </x:c>
      <x:c r="U173" s="43" t="str">
        <x:v>Tie</x:v>
      </x:c>
      <x:c r="V173" s="44" t="n">
        <x:v>0.6400000000000001</x:v>
      </x:c>
      <x:c r="W173" s="44" t="n">
        <x:v>-4.17</x:v>
      </x:c>
      <x:c r="X173" s="44" t="n">
        <x:v>-3.29</x:v>
      </x:c>
      <x:c r="Y173" s="44" t="n">
        <x:v>1.15</x:v>
      </x:c>
      <x:c r="Z173" s="44" t="n">
        <x:v>-5.29</x:v>
      </x:c>
      <x:c r="AA173" s="44" t="n">
        <x:v>-5.29</x:v>
      </x:c>
      <x:c r="AB173" s="44" t="n">
        <x:v>0.7599999999999998</x:v>
      </x:c>
      <x:c r="AC173" s="43" t="str">
        <x:v>Full</x:v>
      </x:c>
    </x:row>
    <x:row r="174" ht="18" customHeight="1">
      <x:c r="A174" s="43" t="str">
        <x:v>Siege</x:v>
      </x:c>
      <x:c r="B174" s="43" t="str">
        <x:v>Siege Protection Blessing</x:v>
      </x:c>
      <x:c r="C174" s="43" t="str">
        <x:v>Higher</x:v>
      </x:c>
      <x:c r="D174" s="43" t="str">
        <x:v>Top 5 average</x:v>
      </x:c>
      <x:c r="E174" s="44" t="n">
        <x:v>2.1079999999999997</x:v>
      </x:c>
      <x:c r="F174" s="43" t="n">
        <x:v>5</x:v>
      </x:c>
      <x:c r="G174" s="44" t="n">
        <x:v>2.8499999999999996</x:v>
      </x:c>
      <x:c r="H174" s="43" t="n">
        <x:v>5</x:v>
      </x:c>
      <x:c r="I174" s="44" t="n">
        <x:v>5.348000000000001</x:v>
      </x:c>
      <x:c r="J174" s="43" t="n">
        <x:v>5</x:v>
      </x:c>
      <x:c r="K174" s="44" t="n">
        <x:v>2.4899999999999998</x:v>
      </x:c>
      <x:c r="L174" s="43" t="n">
        <x:v>5</x:v>
      </x:c>
      <x:c r="M174" s="44" t="n">
        <x:v>1.876</x:v>
      </x:c>
      <x:c r="N174" s="43" t="n">
        <x:v>5</x:v>
      </x:c>
      <x:c r="O174" s="44" t="n">
        <x:v>6.5200000000000005</x:v>
      </x:c>
      <x:c r="P174" s="43" t="n">
        <x:v>5</x:v>
      </x:c>
      <x:c r="Q174" s="44" t="n">
        <x:v>3.464</x:v>
      </x:c>
      <x:c r="R174" s="43" t="n">
        <x:v>5</x:v>
      </x:c>
      <x:c r="S174" s="44" t="n">
        <x:v>2.4</x:v>
      </x:c>
      <x:c r="T174" s="43" t="n">
        <x:v>5</x:v>
      </x:c>
      <x:c r="U174" s="43" t="str">
        <x:v>K54</x:v>
      </x:c>
      <x:c r="V174" s="44" t="n">
        <x:v>0.3820000000000001</x:v>
      </x:c>
      <x:c r="W174" s="44" t="n">
        <x:v>-0.3599999999999999</x:v>
      </x:c>
      <x:c r="X174" s="44" t="n">
        <x:v>-2.858000000000001</x:v>
      </x:c>
      <x:c r="Y174" s="44" t="n">
        <x:v>0.6139999999999999</x:v>
      </x:c>
      <x:c r="Z174" s="44" t="n">
        <x:v>-4.030000000000001</x:v>
      </x:c>
      <x:c r="AA174" s="44" t="n">
        <x:v>-0.9740000000000002</x:v>
      </x:c>
      <x:c r="AB174" s="44" t="n">
        <x:v>0.08999999999999986</x:v>
      </x:c>
      <x:c r="AC174" s="43" t="str">
        <x:v>Full</x:v>
      </x:c>
    </x:row>
    <x:row r="175" ht="18" customHeight="1">
      <x:c r="A175" s="43" t="str">
        <x:v>Siege</x:v>
      </x:c>
      <x:c r="B175" s="43" t="str">
        <x:v>Siege Protection Blessing</x:v>
      </x:c>
      <x:c r="C175" s="43" t="str">
        <x:v>Higher</x:v>
      </x:c>
      <x:c r="D175" s="43" t="str">
        <x:v>Top 15 average</x:v>
      </x:c>
      <x:c r="E175" s="44" t="n">
        <x:v>1.3493333333333333</x:v>
      </x:c>
      <x:c r="F175" s="43" t="n">
        <x:v>15</x:v>
      </x:c>
      <x:c r="G175" s="44" t="n">
        <x:v>1.4173333333333333</x:v>
      </x:c>
      <x:c r="H175" s="43" t="n">
        <x:v>15</x:v>
      </x:c>
      <x:c r="I175" s="44" t="n">
        <x:v>2.405666666666667</x:v>
      </x:c>
      <x:c r="J175" s="43" t="n">
        <x:v>15</x:v>
      </x:c>
      <x:c r="K175" s="44" t="n">
        <x:v>1.569333333333333</x:v>
      </x:c>
      <x:c r="L175" s="43" t="n">
        <x:v>15</x:v>
      </x:c>
      <x:c r="M175" s="44" t="n">
        <x:v>1.3000000000000003</x:v>
      </x:c>
      <x:c r="N175" s="43" t="n">
        <x:v>15</x:v>
      </x:c>
      <x:c r="O175" s="44" t="n">
        <x:v>3.578181818181818</x:v>
      </x:c>
      <x:c r="P175" s="43" t="n">
        <x:v>11</x:v>
      </x:c>
      <x:c r="Q175" s="44" t="n">
        <x:v>1.6013333333333335</x:v>
      </x:c>
      <x:c r="R175" s="43" t="n">
        <x:v>15</x:v>
      </x:c>
      <x:c r="S175" s="44" t="n">
        <x:v>1.6793333333333333</x:v>
      </x:c>
      <x:c r="T175" s="43" t="n">
        <x:v>15</x:v>
      </x:c>
      <x:c r="U175" s="43" t="str">
        <x:v>K54</x:v>
      </x:c>
      <x:c r="V175" s="44" t="n">
        <x:v>0.21999999999999975</x:v>
      </x:c>
      <x:c r="W175" s="44" t="n">
        <x:v>0.1519999999999997</x:v>
      </x:c>
      <x:c r="X175" s="44" t="n">
        <x:v>-0.8363333333333338</x:v>
      </x:c>
      <x:c r="Y175" s="44" t="n">
        <x:v>0.26933333333333276</x:v>
      </x:c>
      <x:c r="Z175" s="44" t="n">
        <x:v>-2.0088484848484853</x:v>
      </x:c>
      <x:c r="AA175" s="44" t="n">
        <x:v>-0.03200000000000047</x:v>
      </x:c>
      <x:c r="AB175" s="44" t="n">
        <x:v>-0.11000000000000032</x:v>
      </x:c>
      <x:c r="AC175" s="43" t="str">
        <x:v>Full</x:v>
      </x:c>
    </x:row>
    <x:row r="176" ht="18" customHeight="1">
      <x:c r="A176" s="43" t="str">
        <x:v>Siege</x:v>
      </x:c>
      <x:c r="B176" s="43" t="str">
        <x:v>Siege Protection Blessing</x:v>
      </x:c>
      <x:c r="C176" s="43" t="str">
        <x:v>Higher</x:v>
      </x:c>
      <x:c r="D176" s="43" t="str">
        <x:v>All players mean</x:v>
      </x:c>
      <x:c r="E176" s="44" t="n">
        <x:v>1.0272</x:v>
      </x:c>
      <x:c r="F176" s="43" t="n">
        <x:v>25</x:v>
      </x:c>
      <x:c r="G176" s="44" t="n">
        <x:v>1.2014999999999998</x:v>
      </x:c>
      <x:c r="H176" s="43" t="n">
        <x:v>20</x:v>
      </x:c>
      <x:c r="I176" s="44" t="n">
        <x:v>1.9092500000000006</x:v>
      </x:c>
      <x:c r="J176" s="43" t="n">
        <x:v>20</x:v>
      </x:c>
      <x:c r="K176" s="44" t="n">
        <x:v>1.1070370370370368</x:v>
      </x:c>
      <x:c r="L176" s="43" t="n">
        <x:v>27</x:v>
      </x:c>
      <x:c r="M176" s="44" t="n">
        <x:v>1.0347826086956524</x:v>
      </x:c>
      <x:c r="N176" s="43" t="n">
        <x:v>23</x:v>
      </x:c>
      <x:c r="O176" s="44" t="n">
        <x:v>3.578181818181818</x:v>
      </x:c>
      <x:c r="P176" s="43" t="n">
        <x:v>11</x:v>
      </x:c>
      <x:c r="Q176" s="44" t="n">
        <x:v>1.3405263157894738</x:v>
      </x:c>
      <x:c r="R176" s="43" t="n">
        <x:v>19</x:v>
      </x:c>
      <x:c r="S176" s="44" t="n">
        <x:v>1.345227272727273</x:v>
      </x:c>
      <x:c r="T176" s="43" t="n">
        <x:v>22</x:v>
      </x:c>
      <x:c r="U176" s="43" t="str">
        <x:v>K54</x:v>
      </x:c>
      <x:c r="V176" s="44" t="n">
        <x:v>0.07983703703703693</x:v>
      </x:c>
      <x:c r="W176" s="44" t="n">
        <x:v>-0.09446296296296297</x:v>
      </x:c>
      <x:c r="X176" s="44" t="n">
        <x:v>-0.8022129629629637</x:v>
      </x:c>
      <x:c r="Y176" s="44" t="n">
        <x:v>0.0722544283413844</x:v>
      </x:c>
      <x:c r="Z176" s="44" t="n">
        <x:v>-2.4711447811447815</x:v>
      </x:c>
      <x:c r="AA176" s="44" t="n">
        <x:v>-0.23348927875243697</x:v>
      </x:c>
      <x:c r="AB176" s="44" t="n">
        <x:v>-0.23819023569023612</x:v>
      </x:c>
      <x:c r="AC176" s="43" t="str">
        <x:v>Full</x:v>
      </x:c>
    </x:row>
    <x:row r="177" ht="18" customHeight="1">
      <x:c r="A177" s="43" t="str">
        <x:v>Other</x:v>
      </x:c>
      <x:c r="B177" s="43" t="str">
        <x:v>Revive</x:v>
      </x:c>
      <x:c r="C177" s="43" t="str">
        <x:v>Higher</x:v>
      </x:c>
      <x:c r="D177" s="43" t="str">
        <x:v>Best player</x:v>
      </x:c>
      <x:c r="E177" s="44" t="n">
        <x:v>0.26</x:v>
      </x:c>
      <x:c r="F177" s="43" t="n">
        <x:v>1</x:v>
      </x:c>
      <x:c r="G177" s="44" t="n">
        <x:v>0.26</x:v>
      </x:c>
      <x:c r="H177" s="43" t="n">
        <x:v>1</x:v>
      </x:c>
      <x:c r="I177" s="44" t="n">
        <x:v>0.46</x:v>
      </x:c>
      <x:c r="J177" s="43" t="n">
        <x:v>1</x:v>
      </x:c>
      <x:c r="K177" s="44" t="n">
        <x:v>0.26</x:v>
      </x:c>
      <x:c r="L177" s="43" t="n">
        <x:v>1</x:v>
      </x:c>
      <x:c r="M177" s="44" t="n">
        <x:v>0.46</x:v>
      </x:c>
      <x:c r="N177" s="43" t="n">
        <x:v>1</x:v>
      </x:c>
      <x:c r="O177" s="44" t="n">
        <x:v>0.46</x:v>
      </x:c>
      <x:c r="P177" s="43" t="n">
        <x:v>1</x:v>
      </x:c>
      <x:c r="Q177" s="44" t="n">
        <x:v>0.26</x:v>
      </x:c>
      <x:c r="R177" s="43" t="n">
        <x:v>1</x:v>
      </x:c>
      <x:c r="S177" s="44" t="n">
        <x:v>0.46</x:v>
      </x:c>
      <x:c r="T177" s="43" t="n">
        <x:v>1</x:v>
      </x:c>
      <x:c r="U177" s="43" t="str">
        <x:v>Tie</x:v>
      </x:c>
      <x:c r="V177" s="44" t="n">
        <x:v>0</x:v>
      </x:c>
      <x:c r="W177" s="44" t="n">
        <x:v>0</x:v>
      </x:c>
      <x:c r="X177" s="44" t="n">
        <x:v>-0.2</x:v>
      </x:c>
      <x:c r="Y177" s="44" t="n">
        <x:v>-0.2</x:v>
      </x:c>
      <x:c r="Z177" s="44" t="n">
        <x:v>-0.2</x:v>
      </x:c>
      <x:c r="AA177" s="44" t="n">
        <x:v>0</x:v>
      </x:c>
      <x:c r="AB177" s="44" t="n">
        <x:v>-0.2</x:v>
      </x:c>
      <x:c r="AC177" s="43" t="str">
        <x:v>Full</x:v>
      </x:c>
    </x:row>
    <x:row r="178" ht="18" customHeight="1">
      <x:c r="A178" s="43" t="str">
        <x:v>Other</x:v>
      </x:c>
      <x:c r="B178" s="43" t="str">
        <x:v>Revive</x:v>
      </x:c>
      <x:c r="C178" s="43" t="str">
        <x:v>Higher</x:v>
      </x:c>
      <x:c r="D178" s="43" t="str">
        <x:v>Top 5 average</x:v>
      </x:c>
      <x:c r="E178" s="44" t="n">
        <x:v>0.26</x:v>
      </x:c>
      <x:c r="F178" s="43" t="n">
        <x:v>5</x:v>
      </x:c>
      <x:c r="G178" s="44" t="n">
        <x:v>0.26</x:v>
      </x:c>
      <x:c r="H178" s="43" t="n">
        <x:v>5</x:v>
      </x:c>
      <x:c r="I178" s="44" t="n">
        <x:v>0.34400000000000003</x:v>
      </x:c>
      <x:c r="J178" s="43" t="n">
        <x:v>5</x:v>
      </x:c>
      <x:c r="K178" s="44" t="n">
        <x:v>0.26</x:v>
      </x:c>
      <x:c r="L178" s="43" t="n">
        <x:v>5</x:v>
      </x:c>
      <x:c r="M178" s="44" t="n">
        <x:v>0.3</x:v>
      </x:c>
      <x:c r="N178" s="43" t="n">
        <x:v>5</x:v>
      </x:c>
      <x:c r="O178" s="44" t="n">
        <x:v>0.3</x:v>
      </x:c>
      <x:c r="P178" s="43" t="n">
        <x:v>5</x:v>
      </x:c>
      <x:c r="Q178" s="44" t="n">
        <x:v>0.26</x:v>
      </x:c>
      <x:c r="R178" s="43" t="n">
        <x:v>5</x:v>
      </x:c>
      <x:c r="S178" s="44" t="n">
        <x:v>0.42000000000000004</x:v>
      </x:c>
      <x:c r="T178" s="43" t="n">
        <x:v>5</x:v>
      </x:c>
      <x:c r="U178" s="43" t="str">
        <x:v>K176</x:v>
      </x:c>
      <x:c r="V178" s="44" t="n">
        <x:v>0</x:v>
      </x:c>
      <x:c r="W178" s="44" t="n">
        <x:v>0</x:v>
      </x:c>
      <x:c r="X178" s="44" t="n">
        <x:v>-0.08400000000000002</x:v>
      </x:c>
      <x:c r="Y178" s="44" t="n">
        <x:v>-0.03999999999999998</x:v>
      </x:c>
      <x:c r="Z178" s="44" t="n">
        <x:v>-0.03999999999999998</x:v>
      </x:c>
      <x:c r="AA178" s="44" t="n">
        <x:v>0</x:v>
      </x:c>
      <x:c r="AB178" s="44" t="n">
        <x:v>-0.16000000000000003</x:v>
      </x:c>
      <x:c r="AC178" s="43" t="str">
        <x:v>Full</x:v>
      </x:c>
    </x:row>
    <x:row r="179" ht="18" customHeight="1">
      <x:c r="A179" s="43" t="str">
        <x:v>Other</x:v>
      </x:c>
      <x:c r="B179" s="43" t="str">
        <x:v>Revive</x:v>
      </x:c>
      <x:c r="C179" s="43" t="str">
        <x:v>Higher</x:v>
      </x:c>
      <x:c r="D179" s="43" t="str">
        <x:v>Top 15 average</x:v>
      </x:c>
      <x:c r="E179" s="44" t="n">
        <x:v>0.2599999999999999</x:v>
      </x:c>
      <x:c r="F179" s="43" t="n">
        <x:v>15</x:v>
      </x:c>
      <x:c r="G179" s="44" t="n">
        <x:v>0.2599999999999999</x:v>
      </x:c>
      <x:c r="H179" s="43" t="n">
        <x:v>15</x:v>
      </x:c>
      <x:c r="I179" s="44" t="n">
        <x:v>0.2879999999999999</x:v>
      </x:c>
      <x:c r="J179" s="43" t="n">
        <x:v>15</x:v>
      </x:c>
      <x:c r="K179" s="44" t="n">
        <x:v>0.2599999999999999</x:v>
      </x:c>
      <x:c r="L179" s="43" t="n">
        <x:v>15</x:v>
      </x:c>
      <x:c r="M179" s="44" t="n">
        <x:v>0.27333333333333326</x:v>
      </x:c>
      <x:c r="N179" s="43" t="n">
        <x:v>15</x:v>
      </x:c>
      <x:c r="O179" s="44" t="n">
        <x:v>0.27818181818181814</x:v>
      </x:c>
      <x:c r="P179" s="43" t="n">
        <x:v>11</x:v>
      </x:c>
      <x:c r="Q179" s="44" t="n">
        <x:v>0.2599999999999999</x:v>
      </x:c>
      <x:c r="R179" s="43" t="n">
        <x:v>15</x:v>
      </x:c>
      <x:c r="S179" s="44" t="n">
        <x:v>0.31333333333333324</x:v>
      </x:c>
      <x:c r="T179" s="43" t="n">
        <x:v>15</x:v>
      </x:c>
      <x:c r="U179" s="43" t="str">
        <x:v>K176</x:v>
      </x:c>
      <x:c r="V179" s="44" t="n">
        <x:v>0</x:v>
      </x:c>
      <x:c r="W179" s="44" t="n">
        <x:v>0</x:v>
      </x:c>
      <x:c r="X179" s="44" t="n">
        <x:v>-0.028000000000000025</x:v>
      </x:c>
      <x:c r="Y179" s="44" t="n">
        <x:v>-0.013333333333333364</x:v>
      </x:c>
      <x:c r="Z179" s="44" t="n">
        <x:v>-0.018181818181818243</x:v>
      </x:c>
      <x:c r="AA179" s="44" t="n">
        <x:v>0</x:v>
      </x:c>
      <x:c r="AB179" s="44" t="n">
        <x:v>-0.053333333333333344</x:v>
      </x:c>
      <x:c r="AC179" s="43" t="str">
        <x:v>Full</x:v>
      </x:c>
    </x:row>
    <x:row r="180" ht="18" customHeight="1">
      <x:c r="A180" s="43" t="str">
        <x:v>Other</x:v>
      </x:c>
      <x:c r="B180" s="43" t="str">
        <x:v>Revive</x:v>
      </x:c>
      <x:c r="C180" s="43" t="str">
        <x:v>Higher</x:v>
      </x:c>
      <x:c r="D180" s="43" t="str">
        <x:v>All players mean</x:v>
      </x:c>
      <x:c r="E180" s="44" t="n">
        <x:v>0.25999999999999984</x:v>
      </x:c>
      <x:c r="F180" s="43" t="n">
        <x:v>25</x:v>
      </x:c>
      <x:c r="G180" s="44" t="n">
        <x:v>0.2599999999999999</x:v>
      </x:c>
      <x:c r="H180" s="43" t="n">
        <x:v>20</x:v>
      </x:c>
      <x:c r="I180" s="44" t="n">
        <x:v>0.2754999999999999</x:v>
      </x:c>
      <x:c r="J180" s="43" t="n">
        <x:v>20</x:v>
      </x:c>
      <x:c r="K180" s="44" t="n">
        <x:v>0.2594444444444443</x:v>
      </x:c>
      <x:c r="L180" s="43" t="n">
        <x:v>27</x:v>
      </x:c>
      <x:c r="M180" s="44" t="n">
        <x:v>0.2686956521739129</x:v>
      </x:c>
      <x:c r="N180" s="43" t="n">
        <x:v>23</x:v>
      </x:c>
      <x:c r="O180" s="44" t="n">
        <x:v>0.27818181818181814</x:v>
      </x:c>
      <x:c r="P180" s="43" t="n">
        <x:v>11</x:v>
      </x:c>
      <x:c r="Q180" s="44" t="n">
        <x:v>0.2584210526315789</x:v>
      </x:c>
      <x:c r="R180" s="43" t="n">
        <x:v>19</x:v>
      </x:c>
      <x:c r="S180" s="44" t="n">
        <x:v>0.29568181818181805</x:v>
      </x:c>
      <x:c r="T180" s="43" t="n">
        <x:v>22</x:v>
      </x:c>
      <x:c r="U180" s="43" t="str">
        <x:v>K176</x:v>
      </x:c>
      <x:c r="V180" s="44" t="n">
        <x:v>-0.0005555555555555314</x:v>
      </x:c>
      <x:c r="W180" s="44" t="n">
        <x:v>-0.0005555555555555869</x:v>
      </x:c>
      <x:c r="X180" s="44" t="n">
        <x:v>-0.0160555555555556</x:v>
      </x:c>
      <x:c r="Y180" s="44" t="n">
        <x:v>-0.00925120772946858</x:v>
      </x:c>
      <x:c r="Z180" s="44" t="n">
        <x:v>-0.01873737373737383</x:v>
      </x:c>
      <x:c r="AA180" s="44" t="n">
        <x:v>0.0010233918128654262</x:v>
      </x:c>
      <x:c r="AB180" s="44" t="n">
        <x:v>-0.036237373737373735</x:v>
      </x:c>
      <x:c r="AC180" s="43" t="str">
        <x:v>Full</x:v>
      </x:c>
    </x:row>
    <x:row r="181" ht="18" customHeight="1">
      <x:c r="A181" s="43" t="str">
        <x:v>Other</x:v>
      </x:c>
      <x:c r="B181" s="43" t="str">
        <x:v>Lethal Hit Rate</x:v>
      </x:c>
      <x:c r="C181" s="43" t="str">
        <x:v>Higher</x:v>
      </x:c>
      <x:c r="D181" s="43" t="str">
        <x:v>Best player</x:v>
      </x:c>
      <x:c r="E181" s="44" t="n">
        <x:v>0.255</x:v>
      </x:c>
      <x:c r="F181" s="43" t="n">
        <x:v>1</x:v>
      </x:c>
      <x:c r="G181" s="44" t="n">
        <x:v>0.255</x:v>
      </x:c>
      <x:c r="H181" s="43" t="n">
        <x:v>1</x:v>
      </x:c>
      <x:c r="I181" s="44" t="n">
        <x:v>0.245</x:v>
      </x:c>
      <x:c r="J181" s="43" t="n">
        <x:v>1</x:v>
      </x:c>
      <x:c r="K181" s="44" t="n">
        <x:v>0.25</x:v>
      </x:c>
      <x:c r="L181" s="43" t="n">
        <x:v>1</x:v>
      </x:c>
      <x:c r="M181" s="44" t="n">
        <x:v>0.255</x:v>
      </x:c>
      <x:c r="N181" s="43" t="n">
        <x:v>1</x:v>
      </x:c>
      <x:c r="O181" s="44" t="n">
        <x:v>0.255</x:v>
      </x:c>
      <x:c r="P181" s="43" t="n">
        <x:v>1</x:v>
      </x:c>
      <x:c r="Q181" s="44" t="n">
        <x:v>0.25</x:v>
      </x:c>
      <x:c r="R181" s="43" t="n">
        <x:v>1</x:v>
      </x:c>
      <x:c r="S181" s="44" t="n">
        <x:v>0.25</x:v>
      </x:c>
      <x:c r="T181" s="43" t="n">
        <x:v>1</x:v>
      </x:c>
      <x:c r="U181" s="43" t="str">
        <x:v>Tie</x:v>
      </x:c>
      <x:c r="V181" s="44" t="n">
        <x:v>-0.0050000000000000044</x:v>
      </x:c>
      <x:c r="W181" s="44" t="n">
        <x:v>-0.0050000000000000044</x:v>
      </x:c>
      <x:c r="X181" s="44" t="n">
        <x:v>0.0050000000000000044</x:v>
      </x:c>
      <x:c r="Y181" s="44" t="n">
        <x:v>-0.0050000000000000044</x:v>
      </x:c>
      <x:c r="Z181" s="44" t="n">
        <x:v>-0.0050000000000000044</x:v>
      </x:c>
      <x:c r="AA181" s="44" t="n">
        <x:v>0</x:v>
      </x:c>
      <x:c r="AB181" s="44" t="n">
        <x:v>0</x:v>
      </x:c>
      <x:c r="AC181" s="43" t="str">
        <x:v>Full</x:v>
      </x:c>
    </x:row>
    <x:row r="182" ht="18" customHeight="1">
      <x:c r="A182" s="43" t="str">
        <x:v>Other</x:v>
      </x:c>
      <x:c r="B182" s="43" t="str">
        <x:v>Lethal Hit Rate</x:v>
      </x:c>
      <x:c r="C182" s="43" t="str">
        <x:v>Higher</x:v>
      </x:c>
      <x:c r="D182" s="43" t="str">
        <x:v>Top 5 average</x:v>
      </x:c>
      <x:c r="E182" s="44" t="n">
        <x:v>0.252</x:v>
      </x:c>
      <x:c r="F182" s="43" t="n">
        <x:v>5</x:v>
      </x:c>
      <x:c r="G182" s="44" t="n">
        <x:v>0.24699999999999997</x:v>
      </x:c>
      <x:c r="H182" s="43" t="n">
        <x:v>5</x:v>
      </x:c>
      <x:c r="I182" s="44" t="n">
        <x:v>0.238</x:v>
      </x:c>
      <x:c r="J182" s="43" t="n">
        <x:v>5</x:v>
      </x:c>
      <x:c r="K182" s="44" t="n">
        <x:v>0.244</x:v>
      </x:c>
      <x:c r="L182" s="43" t="n">
        <x:v>5</x:v>
      </x:c>
      <x:c r="M182" s="44" t="n">
        <x:v>0.251</x:v>
      </x:c>
      <x:c r="N182" s="43" t="n">
        <x:v>5</x:v>
      </x:c>
      <x:c r="O182" s="44" t="n">
        <x:v>0.24699999999999997</x:v>
      </x:c>
      <x:c r="P182" s="43" t="n">
        <x:v>5</x:v>
      </x:c>
      <x:c r="Q182" s="44" t="n">
        <x:v>0.24299999999999997</x:v>
      </x:c>
      <x:c r="R182" s="43" t="n">
        <x:v>5</x:v>
      </x:c>
      <x:c r="S182" s="44" t="n">
        <x:v>0.246</x:v>
      </x:c>
      <x:c r="T182" s="43" t="n">
        <x:v>5</x:v>
      </x:c>
      <x:c r="U182" s="43" t="str">
        <x:v>K60</x:v>
      </x:c>
      <x:c r="V182" s="44" t="n">
        <x:v>-0.008000000000000007</x:v>
      </x:c>
      <x:c r="W182" s="44" t="n">
        <x:v>-0.002999999999999975</x:v>
      </x:c>
      <x:c r="X182" s="44" t="n">
        <x:v>0.006000000000000005</x:v>
      </x:c>
      <x:c r="Y182" s="44" t="n">
        <x:v>-0.007000000000000006</x:v>
      </x:c>
      <x:c r="Z182" s="44" t="n">
        <x:v>-0.002999999999999975</x:v>
      </x:c>
      <x:c r="AA182" s="44" t="n">
        <x:v>0.0010000000000000286</x:v>
      </x:c>
      <x:c r="AB182" s="44" t="n">
        <x:v>-0.0020000000000000018</x:v>
      </x:c>
      <x:c r="AC182" s="43" t="str">
        <x:v>Full</x:v>
      </x:c>
    </x:row>
    <x:row r="183" ht="18" customHeight="1">
      <x:c r="A183" s="43" t="str">
        <x:v>Other</x:v>
      </x:c>
      <x:c r="B183" s="43" t="str">
        <x:v>Lethal Hit Rate</x:v>
      </x:c>
      <x:c r="C183" s="43" t="str">
        <x:v>Higher</x:v>
      </x:c>
      <x:c r="D183" s="43" t="str">
        <x:v>Top 15 average</x:v>
      </x:c>
      <x:c r="E183" s="44" t="n">
        <x:v>0.24600000000000008</x:v>
      </x:c>
      <x:c r="F183" s="43" t="n">
        <x:v>15</x:v>
      </x:c>
      <x:c r="G183" s="44" t="n">
        <x:v>0.2346666666666667</x:v>
      </x:c>
      <x:c r="H183" s="43" t="n">
        <x:v>15</x:v>
      </x:c>
      <x:c r="I183" s="44" t="n">
        <x:v>0.225</x:v>
      </x:c>
      <x:c r="J183" s="43" t="n">
        <x:v>15</x:v>
      </x:c>
      <x:c r="K183" s="44" t="n">
        <x:v>0.2396666666666666</x:v>
      </x:c>
      <x:c r="L183" s="43" t="n">
        <x:v>15</x:v>
      </x:c>
      <x:c r="M183" s="44" t="n">
        <x:v>0.24133333333333332</x:v>
      </x:c>
      <x:c r="N183" s="43" t="n">
        <x:v>15</x:v>
      </x:c>
      <x:c r="O183" s="44" t="n">
        <x:v>0.22863636363636364</x:v>
      </x:c>
      <x:c r="P183" s="43" t="n">
        <x:v>11</x:v>
      </x:c>
      <x:c r="Q183" s="44" t="n">
        <x:v>0.23233333333333336</x:v>
      </x:c>
      <x:c r="R183" s="43" t="n">
        <x:v>15</x:v>
      </x:c>
      <x:c r="S183" s="44" t="n">
        <x:v>0.2393333333333333</x:v>
      </x:c>
      <x:c r="T183" s="43" t="n">
        <x:v>15</x:v>
      </x:c>
      <x:c r="U183" s="43" t="str">
        <x:v>K60</x:v>
      </x:c>
      <x:c r="V183" s="44" t="n">
        <x:v>-0.0063333333333334685</x:v>
      </x:c>
      <x:c r="W183" s="44" t="n">
        <x:v>0.004999999999999921</x:v>
      </x:c>
      <x:c r="X183" s="44" t="n">
        <x:v>0.014666666666666606</x:v>
      </x:c>
      <x:c r="Y183" s="44" t="n">
        <x:v>-0.0016666666666667052</x:v>
      </x:c>
      <x:c r="Z183" s="44" t="n">
        <x:v>0.011030303030302974</x:v>
      </x:c>
      <x:c r="AA183" s="44" t="n">
        <x:v>0.007333333333333247</x:v>
      </x:c>
      <x:c r="AB183" s="44" t="n">
        <x:v>0.0003333333333333244</x:v>
      </x:c>
      <x:c r="AC183" s="43" t="str">
        <x:v>Full</x:v>
      </x:c>
    </x:row>
    <x:row r="184" ht="18" customHeight="1">
      <x:c r="A184" s="43" t="str">
        <x:v>Other</x:v>
      </x:c>
      <x:c r="B184" s="43" t="str">
        <x:v>Lethal Hit Rate</x:v>
      </x:c>
      <x:c r="C184" s="43" t="str">
        <x:v>Higher</x:v>
      </x:c>
      <x:c r="D184" s="43" t="str">
        <x:v>All players mean</x:v>
      </x:c>
      <x:c r="E184" s="44" t="n">
        <x:v>0.24040000000000009</x:v>
      </x:c>
      <x:c r="F184" s="43" t="n">
        <x:v>25</x:v>
      </x:c>
      <x:c r="G184" s="44" t="n">
        <x:v>0.22925000000000004</x:v>
      </x:c>
      <x:c r="H184" s="43" t="n">
        <x:v>20</x:v>
      </x:c>
      <x:c r="I184" s="44" t="n">
        <x:v>0.20600000000000002</x:v>
      </x:c>
      <x:c r="J184" s="43" t="n">
        <x:v>20</x:v>
      </x:c>
      <x:c r="K184" s="44" t="n">
        <x:v>0.227037037037037</x:v>
      </x:c>
      <x:c r="L184" s="43" t="n">
        <x:v>27</x:v>
      </x:c>
      <x:c r="M184" s="44" t="n">
        <x:v>0.23347826086956514</x:v>
      </x:c>
      <x:c r="N184" s="43" t="n">
        <x:v>23</x:v>
      </x:c>
      <x:c r="O184" s="44" t="n">
        <x:v>0.22863636363636364</x:v>
      </x:c>
      <x:c r="P184" s="43" t="n">
        <x:v>11</x:v>
      </x:c>
      <x:c r="Q184" s="44" t="n">
        <x:v>0.22210526315789478</x:v>
      </x:c>
      <x:c r="R184" s="43" t="n">
        <x:v>19</x:v>
      </x:c>
      <x:c r="S184" s="44" t="n">
        <x:v>0.22772727272727267</x:v>
      </x:c>
      <x:c r="T184" s="43" t="n">
        <x:v>22</x:v>
      </x:c>
      <x:c r="U184" s="43" t="str">
        <x:v>K60</x:v>
      </x:c>
      <x:c r="V184" s="44" t="n">
        <x:v>-0.013362962962963076</x:v>
      </x:c>
      <x:c r="W184" s="44" t="n">
        <x:v>-0.0022129629629630276</x:v>
      </x:c>
      <x:c r="X184" s="44" t="n">
        <x:v>0.021037037037036993</x:v>
      </x:c>
      <x:c r="Y184" s="44" t="n">
        <x:v>-0.006441223832528126</x:v>
      </x:c>
      <x:c r="Z184" s="44" t="n">
        <x:v>-0.0015993265993266281</x:v>
      </x:c>
      <x:c r="AA184" s="44" t="n">
        <x:v>0.004931773879142232</x:v>
      </x:c>
      <x:c r="AB184" s="44" t="n">
        <x:v>-0.0006902356902356577</x:v>
      </x:c>
      <x:c r="AC184" s="43" t="str">
        <x:v>Full</x:v>
      </x:c>
    </x:row>
    <x:row r="185" ht="18" customHeight="1">
      <x:c r="A185" s="43" t="str">
        <x:v>Shared Battle Modifiers</x:v>
      </x:c>
      <x:c r="B185" s="43" t="str">
        <x:v>Guards block damage</x:v>
      </x:c>
      <x:c r="C185" s="43" t="str">
        <x:v>Lower</x:v>
      </x:c>
      <x:c r="D185" s="43" t="str">
        <x:v>Best player</x:v>
      </x:c>
      <x:c r="E185" s="44" t="n">
        <x:v>-1.2188</x:v>
      </x:c>
      <x:c r="F185" s="43" t="n">
        <x:v>1</x:v>
      </x:c>
      <x:c r="G185" s="44" t="n">
        <x:v>-1.2187999999999999</x:v>
      </x:c>
      <x:c r="H185" s="43" t="n">
        <x:v>1</x:v>
      </x:c>
      <x:c r="I185" s="44" t="n">
        <x:v>-1.2187999999999999</x:v>
      </x:c>
      <x:c r="J185" s="43" t="n">
        <x:v>1</x:v>
      </x:c>
      <x:c r="K185" s="44" t="n">
        <x:v>-1.2188</x:v>
      </x:c>
      <x:c r="L185" s="43" t="n">
        <x:v>1</x:v>
      </x:c>
      <x:c r="M185" s="44" t="n">
        <x:v>-1.2188</x:v>
      </x:c>
      <x:c r="N185" s="43" t="n">
        <x:v>1</x:v>
      </x:c>
      <x:c r="O185" s="44" t="n">
        <x:v>-1.2187999999999999</x:v>
      </x:c>
      <x:c r="P185" s="43" t="n">
        <x:v>1</x:v>
      </x:c>
      <x:c r="Q185" s="44" t="n">
        <x:v>-1.2187999999999999</x:v>
      </x:c>
      <x:c r="R185" s="43" t="n">
        <x:v>1</x:v>
      </x:c>
      <x:c r="S185" s="44" t="n">
        <x:v>-1.2187999999999999</x:v>
      </x:c>
      <x:c r="T185" s="43" t="n">
        <x:v>1</x:v>
      </x:c>
      <x:c r="U185" s="43" t="str">
        <x:v>Tie</x:v>
      </x:c>
      <x:c r="V185" s="44" t="n">
        <x:v>0</x:v>
      </x:c>
      <x:c r="W185" s="44" t="n">
        <x:v>-2.220446049250313e-16</x:v>
      </x:c>
      <x:c r="X185" s="44" t="n">
        <x:v>-2.220446049250313e-16</x:v>
      </x:c>
      <x:c r="Y185" s="44" t="n">
        <x:v>0</x:v>
      </x:c>
      <x:c r="Z185" s="44" t="n">
        <x:v>-2.220446049250313e-16</x:v>
      </x:c>
      <x:c r="AA185" s="44" t="n">
        <x:v>-2.220446049250313e-16</x:v>
      </x:c>
      <x:c r="AB185" s="44" t="n">
        <x:v>-2.220446049250313e-16</x:v>
      </x:c>
      <x:c r="AC185" s="43" t="str">
        <x:v>Full</x:v>
      </x:c>
    </x:row>
    <x:row r="186" ht="18" customHeight="1">
      <x:c r="A186" s="43" t="str">
        <x:v>Shared Battle Modifiers</x:v>
      </x:c>
      <x:c r="B186" s="43" t="str">
        <x:v>Guards block damage</x:v>
      </x:c>
      <x:c r="C186" s="43" t="str">
        <x:v>Lower</x:v>
      </x:c>
      <x:c r="D186" s="43" t="str">
        <x:v>Top 5 average</x:v>
      </x:c>
      <x:c r="E186" s="44" t="n">
        <x:v>-1.2188</x:v>
      </x:c>
      <x:c r="F186" s="43" t="n">
        <x:v>5</x:v>
      </x:c>
      <x:c r="G186" s="44" t="n">
        <x:v>-1.2187999999999999</x:v>
      </x:c>
      <x:c r="H186" s="43" t="n">
        <x:v>5</x:v>
      </x:c>
      <x:c r="I186" s="44" t="n">
        <x:v>-1.2187999999999999</x:v>
      </x:c>
      <x:c r="J186" s="43" t="n">
        <x:v>5</x:v>
      </x:c>
      <x:c r="K186" s="44" t="n">
        <x:v>-1.2188</x:v>
      </x:c>
      <x:c r="L186" s="43" t="n">
        <x:v>5</x:v>
      </x:c>
      <x:c r="M186" s="44" t="n">
        <x:v>-1.2188</x:v>
      </x:c>
      <x:c r="N186" s="43" t="n">
        <x:v>5</x:v>
      </x:c>
      <x:c r="O186" s="44" t="n">
        <x:v>-1.2187999999999999</x:v>
      </x:c>
      <x:c r="P186" s="43" t="n">
        <x:v>5</x:v>
      </x:c>
      <x:c r="Q186" s="44" t="n">
        <x:v>-1.2187999999999999</x:v>
      </x:c>
      <x:c r="R186" s="43" t="n">
        <x:v>5</x:v>
      </x:c>
      <x:c r="S186" s="44" t="n">
        <x:v>-1.2187999999999999</x:v>
      </x:c>
      <x:c r="T186" s="43" t="n">
        <x:v>5</x:v>
      </x:c>
      <x:c r="U186" s="43" t="str">
        <x:v>Tie</x:v>
      </x:c>
      <x:c r="V186" s="44" t="n">
        <x:v>0</x:v>
      </x:c>
      <x:c r="W186" s="44" t="n">
        <x:v>-2.220446049250313e-16</x:v>
      </x:c>
      <x:c r="X186" s="44" t="n">
        <x:v>-2.220446049250313e-16</x:v>
      </x:c>
      <x:c r="Y186" s="44" t="n">
        <x:v>0</x:v>
      </x:c>
      <x:c r="Z186" s="44" t="n">
        <x:v>-2.220446049250313e-16</x:v>
      </x:c>
      <x:c r="AA186" s="44" t="n">
        <x:v>-2.220446049250313e-16</x:v>
      </x:c>
      <x:c r="AB186" s="44" t="n">
        <x:v>-2.220446049250313e-16</x:v>
      </x:c>
      <x:c r="AC186" s="43" t="str">
        <x:v>Full</x:v>
      </x:c>
    </x:row>
    <x:row r="187" ht="18" customHeight="1">
      <x:c r="A187" s="43" t="str">
        <x:v>Shared Battle Modifiers</x:v>
      </x:c>
      <x:c r="B187" s="43" t="str">
        <x:v>Guards block damage</x:v>
      </x:c>
      <x:c r="C187" s="43" t="str">
        <x:v>Lower</x:v>
      </x:c>
      <x:c r="D187" s="43" t="str">
        <x:v>Top 15 average</x:v>
      </x:c>
      <x:c r="E187" s="44" t="n">
        <x:v>-1.2188000000000003</x:v>
      </x:c>
      <x:c r="F187" s="43" t="n">
        <x:v>15</x:v>
      </x:c>
      <x:c r="G187" s="44" t="n">
        <x:v>-1.2187999999999997</x:v>
      </x:c>
      <x:c r="H187" s="43" t="n">
        <x:v>15</x:v>
      </x:c>
      <x:c r="I187" s="44" t="n">
        <x:v>-1.2187999999999997</x:v>
      </x:c>
      <x:c r="J187" s="43" t="n">
        <x:v>15</x:v>
      </x:c>
      <x:c r="K187" s="44" t="n">
        <x:v>-1.2188000000000003</x:v>
      </x:c>
      <x:c r="L187" s="43" t="n">
        <x:v>15</x:v>
      </x:c>
      <x:c r="M187" s="44" t="n">
        <x:v>-1.2188000000000003</x:v>
      </x:c>
      <x:c r="N187" s="43" t="n">
        <x:v>15</x:v>
      </x:c>
      <x:c r="O187" s="44" t="n">
        <x:v>-1.2187999999999999</x:v>
      </x:c>
      <x:c r="P187" s="43" t="n">
        <x:v>11</x:v>
      </x:c>
      <x:c r="Q187" s="44" t="n">
        <x:v>-1.2187999999999997</x:v>
      </x:c>
      <x:c r="R187" s="43" t="n">
        <x:v>15</x:v>
      </x:c>
      <x:c r="S187" s="44" t="n">
        <x:v>-1.2187999999999997</x:v>
      </x:c>
      <x:c r="T187" s="43" t="n">
        <x:v>15</x:v>
      </x:c>
      <x:c r="U187" s="43" t="str">
        <x:v>Tie</x:v>
      </x:c>
      <x:c r="V187" s="44" t="n">
        <x:v>0</x:v>
      </x:c>
      <x:c r="W187" s="44" t="n">
        <x:v>-6.661338147750939e-16</x:v>
      </x:c>
      <x:c r="X187" s="44" t="n">
        <x:v>-6.661338147750939e-16</x:v>
      </x:c>
      <x:c r="Y187" s="44" t="n">
        <x:v>0</x:v>
      </x:c>
      <x:c r="Z187" s="44" t="n">
        <x:v>-4.440892098500626e-16</x:v>
      </x:c>
      <x:c r="AA187" s="44" t="n">
        <x:v>-6.661338147750939e-16</x:v>
      </x:c>
      <x:c r="AB187" s="44" t="n">
        <x:v>-6.661338147750939e-16</x:v>
      </x:c>
      <x:c r="AC187" s="43" t="str">
        <x:v>Full</x:v>
      </x:c>
    </x:row>
    <x:row r="188" ht="18" customHeight="1">
      <x:c r="A188" s="43" t="str">
        <x:v>Shared Battle Modifiers</x:v>
      </x:c>
      <x:c r="B188" s="43" t="str">
        <x:v>Guards block damage</x:v>
      </x:c>
      <x:c r="C188" s="43" t="str">
        <x:v>Lower</x:v>
      </x:c>
      <x:c r="D188" s="43" t="str">
        <x:v>All players mean</x:v>
      </x:c>
      <x:c r="E188" s="44" t="n">
        <x:v>-1.2188000000000008</x:v>
      </x:c>
      <x:c r="F188" s="43" t="n">
        <x:v>25</x:v>
      </x:c>
      <x:c r="G188" s="44" t="n">
        <x:v>-1.2188000000000003</x:v>
      </x:c>
      <x:c r="H188" s="43" t="n">
        <x:v>20</x:v>
      </x:c>
      <x:c r="I188" s="44" t="n">
        <x:v>-1.2188000000000003</x:v>
      </x:c>
      <x:c r="J188" s="43" t="n">
        <x:v>20</x:v>
      </x:c>
      <x:c r="K188" s="44" t="n">
        <x:v>-1.2094111111111119</x:v>
      </x:c>
      <x:c r="L188" s="43" t="n">
        <x:v>27</x:v>
      </x:c>
      <x:c r="M188" s="44" t="n">
        <x:v>-1.1547869565217397</x:v>
      </x:c>
      <x:c r="N188" s="43" t="n">
        <x:v>23</x:v>
      </x:c>
      <x:c r="O188" s="44" t="n">
        <x:v>-1.2187999999999999</x:v>
      </x:c>
      <x:c r="P188" s="43" t="n">
        <x:v>11</x:v>
      </x:c>
      <x:c r="Q188" s="44" t="n">
        <x:v>-1.2188</x:v>
      </x:c>
      <x:c r="R188" s="43" t="n">
        <x:v>19</x:v>
      </x:c>
      <x:c r="S188" s="44" t="n">
        <x:v>-1.2188000000000003</x:v>
      </x:c>
      <x:c r="T188" s="43" t="n">
        <x:v>22</x:v>
      </x:c>
      <x:c r="U188" s="43" t="str">
        <x:v>Tie</x:v>
      </x:c>
      <x:c r="V188" s="44" t="n">
        <x:v>0.009388888888888891</x:v>
      </x:c>
      <x:c r="W188" s="44" t="n">
        <x:v>0.009388888888888447</x:v>
      </x:c>
      <x:c r="X188" s="44" t="n">
        <x:v>0.009388888888888447</x:v>
      </x:c>
      <x:c r="Y188" s="44" t="n">
        <x:v>-0.0546241545893722</x:v>
      </x:c>
      <x:c r="Z188" s="44" t="n">
        <x:v>0.009388888888888003</x:v>
      </x:c>
      <x:c r="AA188" s="44" t="n">
        <x:v>0.009388888888888225</x:v>
      </x:c>
      <x:c r="AB188" s="44" t="n">
        <x:v>0.009388888888888447</x:v>
      </x:c>
      <x:c r="AC188" s="43" t="str">
        <x:v>Full</x:v>
      </x:c>
    </x:row>
    <x:row r="189" ht="18" customHeight="1">
      <x:c r="A189" s="43" t="str">
        <x:v>Shared Battle Modifiers</x:v>
      </x:c>
      <x:c r="B189" s="43" t="str">
        <x:v>Heavy Cavalry Damage</x:v>
      </x:c>
      <x:c r="C189" s="43" t="str">
        <x:v>Higher</x:v>
      </x:c>
      <x:c r="D189" s="43" t="str">
        <x:v>Best player</x:v>
      </x:c>
      <x:c r="E189" s="44" t="n">
        <x:v>0.9653</x:v>
      </x:c>
      <x:c r="F189" s="43" t="n">
        <x:v>1</x:v>
      </x:c>
      <x:c r="G189" s="44" t="n">
        <x:v>0.9653</x:v>
      </x:c>
      <x:c r="H189" s="43" t="n">
        <x:v>1</x:v>
      </x:c>
      <x:c r="I189" s="44" t="n">
        <x:v>1.2187999999999999</x:v>
      </x:c>
      <x:c r="J189" s="43" t="n">
        <x:v>1</x:v>
      </x:c>
      <x:c r="K189" s="44" t="n">
        <x:v>0.9653</x:v>
      </x:c>
      <x:c r="L189" s="43" t="n">
        <x:v>1</x:v>
      </x:c>
      <x:c r="M189" s="44" t="n">
        <x:v>0.9653</x:v>
      </x:c>
      <x:c r="N189" s="43" t="n">
        <x:v>1</x:v>
      </x:c>
      <x:c r="O189" s="44" t="n">
        <x:v>1.2187999999999999</x:v>
      </x:c>
      <x:c r="P189" s="43" t="n">
        <x:v>1</x:v>
      </x:c>
      <x:c r="Q189" s="44" t="n">
        <x:v>1.2187999999999999</x:v>
      </x:c>
      <x:c r="R189" s="43" t="n">
        <x:v>1</x:v>
      </x:c>
      <x:c r="S189" s="44" t="n">
        <x:v>0.9653</x:v>
      </x:c>
      <x:c r="T189" s="43" t="n">
        <x:v>1</x:v>
      </x:c>
      <x:c r="U189" s="43" t="str">
        <x:v>Tie</x:v>
      </x:c>
      <x:c r="V189" s="44" t="n">
        <x:v>0</x:v>
      </x:c>
      <x:c r="W189" s="44" t="n">
        <x:v>0</x:v>
      </x:c>
      <x:c r="X189" s="44" t="n">
        <x:v>-0.25349999999999984</x:v>
      </x:c>
      <x:c r="Y189" s="44" t="n">
        <x:v>0</x:v>
      </x:c>
      <x:c r="Z189" s="44" t="n">
        <x:v>-0.25349999999999984</x:v>
      </x:c>
      <x:c r="AA189" s="44" t="n">
        <x:v>-0.25349999999999984</x:v>
      </x:c>
      <x:c r="AB189" s="44" t="n">
        <x:v>0</x:v>
      </x:c>
      <x:c r="AC189" s="43" t="str">
        <x:v>Full</x:v>
      </x:c>
    </x:row>
    <x:row r="190" ht="18" customHeight="1">
      <x:c r="A190" s="43" t="str">
        <x:v>Shared Battle Modifiers</x:v>
      </x:c>
      <x:c r="B190" s="43" t="str">
        <x:v>Heavy Cavalry Damage</x:v>
      </x:c>
      <x:c r="C190" s="43" t="str">
        <x:v>Higher</x:v>
      </x:c>
      <x:c r="D190" s="43" t="str">
        <x:v>Top 5 average</x:v>
      </x:c>
      <x:c r="E190" s="44" t="n">
        <x:v>0.9653</x:v>
      </x:c>
      <x:c r="F190" s="43" t="n">
        <x:v>5</x:v>
      </x:c>
      <x:c r="G190" s="44" t="n">
        <x:v>0.9653</x:v>
      </x:c>
      <x:c r="H190" s="43" t="n">
        <x:v>5</x:v>
      </x:c>
      <x:c r="I190" s="44" t="n">
        <x:v>1.2187999999999999</x:v>
      </x:c>
      <x:c r="J190" s="43" t="n">
        <x:v>5</x:v>
      </x:c>
      <x:c r="K190" s="44" t="n">
        <x:v>0.9653</x:v>
      </x:c>
      <x:c r="L190" s="43" t="n">
        <x:v>5</x:v>
      </x:c>
      <x:c r="M190" s="44" t="n">
        <x:v>0.9653</x:v>
      </x:c>
      <x:c r="N190" s="43" t="n">
        <x:v>5</x:v>
      </x:c>
      <x:c r="O190" s="44" t="n">
        <x:v>1.2187999999999999</x:v>
      </x:c>
      <x:c r="P190" s="43" t="n">
        <x:v>5</x:v>
      </x:c>
      <x:c r="Q190" s="44" t="n">
        <x:v>1.2187999999999999</x:v>
      </x:c>
      <x:c r="R190" s="43" t="n">
        <x:v>5</x:v>
      </x:c>
      <x:c r="S190" s="44" t="n">
        <x:v>0.9653</x:v>
      </x:c>
      <x:c r="T190" s="43" t="n">
        <x:v>5</x:v>
      </x:c>
      <x:c r="U190" s="43" t="str">
        <x:v>Tie</x:v>
      </x:c>
      <x:c r="V190" s="44" t="n">
        <x:v>0</x:v>
      </x:c>
      <x:c r="W190" s="44" t="n">
        <x:v>0</x:v>
      </x:c>
      <x:c r="X190" s="44" t="n">
        <x:v>-0.25349999999999984</x:v>
      </x:c>
      <x:c r="Y190" s="44" t="n">
        <x:v>0</x:v>
      </x:c>
      <x:c r="Z190" s="44" t="n">
        <x:v>-0.25349999999999984</x:v>
      </x:c>
      <x:c r="AA190" s="44" t="n">
        <x:v>-0.25349999999999984</x:v>
      </x:c>
      <x:c r="AB190" s="44" t="n">
        <x:v>0</x:v>
      </x:c>
      <x:c r="AC190" s="43" t="str">
        <x:v>Full</x:v>
      </x:c>
    </x:row>
    <x:row r="191" ht="18" customHeight="1">
      <x:c r="A191" s="43" t="str">
        <x:v>Shared Battle Modifiers</x:v>
      </x:c>
      <x:c r="B191" s="43" t="str">
        <x:v>Heavy Cavalry Damage</x:v>
      </x:c>
      <x:c r="C191" s="43" t="str">
        <x:v>Higher</x:v>
      </x:c>
      <x:c r="D191" s="43" t="str">
        <x:v>Top 15 average</x:v>
      </x:c>
      <x:c r="E191" s="44" t="n">
        <x:v>0.9652999999999996</x:v>
      </x:c>
      <x:c r="F191" s="43" t="n">
        <x:v>15</x:v>
      </x:c>
      <x:c r="G191" s="44" t="n">
        <x:v>0.9652999999999996</x:v>
      </x:c>
      <x:c r="H191" s="43" t="n">
        <x:v>15</x:v>
      </x:c>
      <x:c r="I191" s="44" t="n">
        <x:v>1.2187999999999997</x:v>
      </x:c>
      <x:c r="J191" s="43" t="n">
        <x:v>15</x:v>
      </x:c>
      <x:c r="K191" s="44" t="n">
        <x:v>0.9652999999999996</x:v>
      </x:c>
      <x:c r="L191" s="43" t="n">
        <x:v>15</x:v>
      </x:c>
      <x:c r="M191" s="44" t="n">
        <x:v>0.9652999999999996</x:v>
      </x:c>
      <x:c r="N191" s="43" t="n">
        <x:v>15</x:v>
      </x:c>
      <x:c r="O191" s="44" t="n">
        <x:v>1.2187999999999999</x:v>
      </x:c>
      <x:c r="P191" s="43" t="n">
        <x:v>11</x:v>
      </x:c>
      <x:c r="Q191" s="44" t="n">
        <x:v>1.2187999999999997</x:v>
      </x:c>
      <x:c r="R191" s="43" t="n">
        <x:v>15</x:v>
      </x:c>
      <x:c r="S191" s="44" t="n">
        <x:v>0.9652999999999996</x:v>
      </x:c>
      <x:c r="T191" s="43" t="n">
        <x:v>15</x:v>
      </x:c>
      <x:c r="U191" s="43" t="str">
        <x:v>Tie</x:v>
      </x:c>
      <x:c r="V191" s="44" t="n">
        <x:v>0</x:v>
      </x:c>
      <x:c r="W191" s="44" t="n">
        <x:v>0</x:v>
      </x:c>
      <x:c r="X191" s="44" t="n">
        <x:v>-0.25350000000000006</x:v>
      </x:c>
      <x:c r="Y191" s="44" t="n">
        <x:v>0</x:v>
      </x:c>
      <x:c r="Z191" s="44" t="n">
        <x:v>-0.2535000000000003</x:v>
      </x:c>
      <x:c r="AA191" s="44" t="n">
        <x:v>-0.25350000000000006</x:v>
      </x:c>
      <x:c r="AB191" s="44" t="n">
        <x:v>0</x:v>
      </x:c>
      <x:c r="AC191" s="43" t="str">
        <x:v>Full</x:v>
      </x:c>
    </x:row>
    <x:row r="192" ht="18" customHeight="1">
      <x:c r="A192" s="43" t="str">
        <x:v>Shared Battle Modifiers</x:v>
      </x:c>
      <x:c r="B192" s="43" t="str">
        <x:v>Heavy Cavalry Damage</x:v>
      </x:c>
      <x:c r="C192" s="43" t="str">
        <x:v>Higher</x:v>
      </x:c>
      <x:c r="D192" s="43" t="str">
        <x:v>All players mean</x:v>
      </x:c>
      <x:c r="E192" s="44" t="n">
        <x:v>0.9652999999999995</x:v>
      </x:c>
      <x:c r="F192" s="43" t="n">
        <x:v>25</x:v>
      </x:c>
      <x:c r="G192" s="44" t="n">
        <x:v>0.9652999999999995</x:v>
      </x:c>
      <x:c r="H192" s="43" t="n">
        <x:v>20</x:v>
      </x:c>
      <x:c r="I192" s="44" t="n">
        <x:v>1.2188000000000003</x:v>
      </x:c>
      <x:c r="J192" s="43" t="n">
        <x:v>20</x:v>
      </x:c>
      <x:c r="K192" s="44" t="n">
        <x:v>0.9447666666666662</x:v>
      </x:c>
      <x:c r="L192" s="43" t="n">
        <x:v>27</x:v>
      </x:c>
      <x:c r="M192" s="44" t="n">
        <x:v>0.9373608695652169</x:v>
      </x:c>
      <x:c r="N192" s="43" t="n">
        <x:v>23</x:v>
      </x:c>
      <x:c r="O192" s="44" t="n">
        <x:v>1.2187999999999999</x:v>
      </x:c>
      <x:c r="P192" s="43" t="n">
        <x:v>11</x:v>
      </x:c>
      <x:c r="Q192" s="44" t="n">
        <x:v>1.2188</x:v>
      </x:c>
      <x:c r="R192" s="43" t="n">
        <x:v>19</x:v>
      </x:c>
      <x:c r="S192" s="44" t="n">
        <x:v>0.9652999999999995</x:v>
      </x:c>
      <x:c r="T192" s="43" t="n">
        <x:v>22</x:v>
      </x:c>
      <x:c r="U192" s="43" t="str">
        <x:v>Tie</x:v>
      </x:c>
      <x:c r="V192" s="44" t="n">
        <x:v>-0.020533333333333292</x:v>
      </x:c>
      <x:c r="W192" s="44" t="n">
        <x:v>-0.020533333333333292</x:v>
      </x:c>
      <x:c r="X192" s="44" t="n">
        <x:v>-0.27403333333333413</x:v>
      </x:c>
      <x:c r="Y192" s="44" t="n">
        <x:v>0.007405797101449285</x:v>
      </x:c>
      <x:c r="Z192" s="44" t="n">
        <x:v>-0.2740333333333337</x:v>
      </x:c>
      <x:c r="AA192" s="44" t="n">
        <x:v>-0.2740333333333339</x:v>
      </x:c>
      <x:c r="AB192" s="44" t="n">
        <x:v>-0.020533333333333292</x:v>
      </x:c>
      <x:c r="AC192" s="43" t="str">
        <x:v>Full</x:v>
      </x:c>
    </x:row>
    <x:row r="193" ht="18" customHeight="1">
      <x:c r="A193" s="43" t="str">
        <x:v>Shared Battle Modifiers</x:v>
      </x:c>
      <x:c r="B193" s="43" t="str">
        <x:v>Horse archers Damage</x:v>
      </x:c>
      <x:c r="C193" s="43" t="str">
        <x:v>Higher</x:v>
      </x:c>
      <x:c r="D193" s="43" t="str">
        <x:v>Best player</x:v>
      </x:c>
      <x:c r="E193" s="44" t="n">
        <x:v>0.9653</x:v>
      </x:c>
      <x:c r="F193" s="43" t="n">
        <x:v>1</x:v>
      </x:c>
      <x:c r="G193" s="44" t="n">
        <x:v>1.2187999999999999</x:v>
      </x:c>
      <x:c r="H193" s="43" t="n">
        <x:v>1</x:v>
      </x:c>
      <x:c r="I193" s="44" t="n">
        <x:v>0.9653</x:v>
      </x:c>
      <x:c r="J193" s="43" t="n">
        <x:v>1</x:v>
      </x:c>
      <x:c r="K193" s="44" t="n">
        <x:v>0.9653</x:v>
      </x:c>
      <x:c r="L193" s="43" t="n">
        <x:v>1</x:v>
      </x:c>
      <x:c r="M193" s="44" t="n">
        <x:v>0.9653</x:v>
      </x:c>
      <x:c r="N193" s="43" t="n">
        <x:v>1</x:v>
      </x:c>
      <x:c r="O193" s="44" t="n">
        <x:v>1.2187999999999999</x:v>
      </x:c>
      <x:c r="P193" s="43" t="n">
        <x:v>1</x:v>
      </x:c>
      <x:c r="Q193" s="44" t="n">
        <x:v>0.9653</x:v>
      </x:c>
      <x:c r="R193" s="43" t="n">
        <x:v>1</x:v>
      </x:c>
      <x:c r="S193" s="44" t="n">
        <x:v>0.9653</x:v>
      </x:c>
      <x:c r="T193" s="43" t="n">
        <x:v>1</x:v>
      </x:c>
      <x:c r="U193" s="43" t="str">
        <x:v>Tie</x:v>
      </x:c>
      <x:c r="V193" s="44" t="n">
        <x:v>0</x:v>
      </x:c>
      <x:c r="W193" s="44" t="n">
        <x:v>-0.25349999999999984</x:v>
      </x:c>
      <x:c r="X193" s="44" t="n">
        <x:v>0</x:v>
      </x:c>
      <x:c r="Y193" s="44" t="n">
        <x:v>0</x:v>
      </x:c>
      <x:c r="Z193" s="44" t="n">
        <x:v>-0.25349999999999984</x:v>
      </x:c>
      <x:c r="AA193" s="44" t="n">
        <x:v>0</x:v>
      </x:c>
      <x:c r="AB193" s="44" t="n">
        <x:v>0</x:v>
      </x:c>
      <x:c r="AC193" s="43" t="str">
        <x:v>Full</x:v>
      </x:c>
    </x:row>
    <x:row r="194" ht="18" customHeight="1">
      <x:c r="A194" s="43" t="str">
        <x:v>Shared Battle Modifiers</x:v>
      </x:c>
      <x:c r="B194" s="43" t="str">
        <x:v>Horse archers Damage</x:v>
      </x:c>
      <x:c r="C194" s="43" t="str">
        <x:v>Higher</x:v>
      </x:c>
      <x:c r="D194" s="43" t="str">
        <x:v>Top 5 average</x:v>
      </x:c>
      <x:c r="E194" s="44" t="n">
        <x:v>0.9653</x:v>
      </x:c>
      <x:c r="F194" s="43" t="n">
        <x:v>5</x:v>
      </x:c>
      <x:c r="G194" s="44" t="n">
        <x:v>1.2187999999999999</x:v>
      </x:c>
      <x:c r="H194" s="43" t="n">
        <x:v>5</x:v>
      </x:c>
      <x:c r="I194" s="44" t="n">
        <x:v>0.9653</x:v>
      </x:c>
      <x:c r="J194" s="43" t="n">
        <x:v>5</x:v>
      </x:c>
      <x:c r="K194" s="44" t="n">
        <x:v>0.9653</x:v>
      </x:c>
      <x:c r="L194" s="43" t="n">
        <x:v>5</x:v>
      </x:c>
      <x:c r="M194" s="44" t="n">
        <x:v>0.9653</x:v>
      </x:c>
      <x:c r="N194" s="43" t="n">
        <x:v>5</x:v>
      </x:c>
      <x:c r="O194" s="44" t="n">
        <x:v>1.2187999999999999</x:v>
      </x:c>
      <x:c r="P194" s="43" t="n">
        <x:v>5</x:v>
      </x:c>
      <x:c r="Q194" s="44" t="n">
        <x:v>0.9653</x:v>
      </x:c>
      <x:c r="R194" s="43" t="n">
        <x:v>5</x:v>
      </x:c>
      <x:c r="S194" s="44" t="n">
        <x:v>0.9653</x:v>
      </x:c>
      <x:c r="T194" s="43" t="n">
        <x:v>5</x:v>
      </x:c>
      <x:c r="U194" s="43" t="str">
        <x:v>Tie</x:v>
      </x:c>
      <x:c r="V194" s="44" t="n">
        <x:v>0</x:v>
      </x:c>
      <x:c r="W194" s="44" t="n">
        <x:v>-0.25349999999999984</x:v>
      </x:c>
      <x:c r="X194" s="44" t="n">
        <x:v>0</x:v>
      </x:c>
      <x:c r="Y194" s="44" t="n">
        <x:v>0</x:v>
      </x:c>
      <x:c r="Z194" s="44" t="n">
        <x:v>-0.25349999999999984</x:v>
      </x:c>
      <x:c r="AA194" s="44" t="n">
        <x:v>0</x:v>
      </x:c>
      <x:c r="AB194" s="44" t="n">
        <x:v>0</x:v>
      </x:c>
      <x:c r="AC194" s="43" t="str">
        <x:v>Full</x:v>
      </x:c>
    </x:row>
    <x:row r="195" ht="18" customHeight="1">
      <x:c r="A195" s="43" t="str">
        <x:v>Shared Battle Modifiers</x:v>
      </x:c>
      <x:c r="B195" s="43" t="str">
        <x:v>Horse archers Damage</x:v>
      </x:c>
      <x:c r="C195" s="43" t="str">
        <x:v>Higher</x:v>
      </x:c>
      <x:c r="D195" s="43" t="str">
        <x:v>Top 15 average</x:v>
      </x:c>
      <x:c r="E195" s="44" t="n">
        <x:v>0.9652999999999996</x:v>
      </x:c>
      <x:c r="F195" s="43" t="n">
        <x:v>15</x:v>
      </x:c>
      <x:c r="G195" s="44" t="n">
        <x:v>1.2187999999999997</x:v>
      </x:c>
      <x:c r="H195" s="43" t="n">
        <x:v>15</x:v>
      </x:c>
      <x:c r="I195" s="44" t="n">
        <x:v>0.9652999999999996</x:v>
      </x:c>
      <x:c r="J195" s="43" t="n">
        <x:v>15</x:v>
      </x:c>
      <x:c r="K195" s="44" t="n">
        <x:v>0.9652999999999996</x:v>
      </x:c>
      <x:c r="L195" s="43" t="n">
        <x:v>15</x:v>
      </x:c>
      <x:c r="M195" s="44" t="n">
        <x:v>0.9652999999999996</x:v>
      </x:c>
      <x:c r="N195" s="43" t="n">
        <x:v>15</x:v>
      </x:c>
      <x:c r="O195" s="44" t="n">
        <x:v>1.2187999999999999</x:v>
      </x:c>
      <x:c r="P195" s="43" t="n">
        <x:v>11</x:v>
      </x:c>
      <x:c r="Q195" s="44" t="n">
        <x:v>0.9652999999999996</x:v>
      </x:c>
      <x:c r="R195" s="43" t="n">
        <x:v>15</x:v>
      </x:c>
      <x:c r="S195" s="44" t="n">
        <x:v>0.9652999999999996</x:v>
      </x:c>
      <x:c r="T195" s="43" t="n">
        <x:v>15</x:v>
      </x:c>
      <x:c r="U195" s="43" t="str">
        <x:v>Tie</x:v>
      </x:c>
      <x:c r="V195" s="44" t="n">
        <x:v>0</x:v>
      </x:c>
      <x:c r="W195" s="44" t="n">
        <x:v>-0.25350000000000006</x:v>
      </x:c>
      <x:c r="X195" s="44" t="n">
        <x:v>0</x:v>
      </x:c>
      <x:c r="Y195" s="44" t="n">
        <x:v>0</x:v>
      </x:c>
      <x:c r="Z195" s="44" t="n">
        <x:v>-0.2535000000000003</x:v>
      </x:c>
      <x:c r="AA195" s="44" t="n">
        <x:v>0</x:v>
      </x:c>
      <x:c r="AB195" s="44" t="n">
        <x:v>0</x:v>
      </x:c>
      <x:c r="AC195" s="43" t="str">
        <x:v>Full</x:v>
      </x:c>
    </x:row>
    <x:row r="196" ht="18" customHeight="1">
      <x:c r="A196" s="43" t="str">
        <x:v>Shared Battle Modifiers</x:v>
      </x:c>
      <x:c r="B196" s="43" t="str">
        <x:v>Horse archers Damage</x:v>
      </x:c>
      <x:c r="C196" s="43" t="str">
        <x:v>Higher</x:v>
      </x:c>
      <x:c r="D196" s="43" t="str">
        <x:v>All players mean</x:v>
      </x:c>
      <x:c r="E196" s="44" t="n">
        <x:v>0.9652999999999995</x:v>
      </x:c>
      <x:c r="F196" s="43" t="n">
        <x:v>25</x:v>
      </x:c>
      <x:c r="G196" s="44" t="n">
        <x:v>1.2188000000000003</x:v>
      </x:c>
      <x:c r="H196" s="43" t="n">
        <x:v>20</x:v>
      </x:c>
      <x:c r="I196" s="44" t="n">
        <x:v>0.9652999999999995</x:v>
      </x:c>
      <x:c r="J196" s="43" t="n">
        <x:v>20</x:v>
      </x:c>
      <x:c r="K196" s="44" t="n">
        <x:v>0.9652999999999994</x:v>
      </x:c>
      <x:c r="L196" s="43" t="n">
        <x:v>26</x:v>
      </x:c>
      <x:c r="M196" s="44" t="n">
        <x:v>0.9605652173913038</x:v>
      </x:c>
      <x:c r="N196" s="43" t="n">
        <x:v>23</x:v>
      </x:c>
      <x:c r="O196" s="44" t="n">
        <x:v>1.2187999999999999</x:v>
      </x:c>
      <x:c r="P196" s="43" t="n">
        <x:v>11</x:v>
      </x:c>
      <x:c r="Q196" s="44" t="n">
        <x:v>0.9652999999999995</x:v>
      </x:c>
      <x:c r="R196" s="43" t="n">
        <x:v>19</x:v>
      </x:c>
      <x:c r="S196" s="44" t="n">
        <x:v>0.9652999999999995</x:v>
      </x:c>
      <x:c r="T196" s="43" t="n">
        <x:v>22</x:v>
      </x:c>
      <x:c r="U196" s="43" t="str">
        <x:v>Tie</x:v>
      </x:c>
      <x:c r="V196" s="44" t="n">
        <x:v>-1.1102230246251565e-16</x:v>
      </x:c>
      <x:c r="W196" s="44" t="n">
        <x:v>-0.25350000000000095</x:v>
      </x:c>
      <x:c r="X196" s="44" t="n">
        <x:v>-1.1102230246251565e-16</x:v>
      </x:c>
      <x:c r="Y196" s="44" t="n">
        <x:v>0.004734782608695531</x:v>
      </x:c>
      <x:c r="Z196" s="44" t="n">
        <x:v>-0.2535000000000005</x:v>
      </x:c>
      <x:c r="AA196" s="44" t="n">
        <x:v>-1.1102230246251565e-16</x:v>
      </x:c>
      <x:c r="AB196" s="44" t="n">
        <x:v>-1.1102230246251565e-16</x:v>
      </x:c>
      <x:c r="AC196" s="43" t="str">
        <x:v>Full</x:v>
      </x:c>
    </x:row>
    <x:row r="197" ht="18" customHeight="1">
      <x:c r="A197" s="43" t="str">
        <x:v>Shared Battle Modifiers</x:v>
      </x:c>
      <x:c r="B197" s="43" t="str">
        <x:v>Archer attack speed</x:v>
      </x:c>
      <x:c r="C197" s="43" t="str">
        <x:v>Higher</x:v>
      </x:c>
      <x:c r="D197" s="43" t="str">
        <x:v>Best player</x:v>
      </x:c>
      <x:c r="E197" s="44" t="n">
        <x:v>0.9653</x:v>
      </x:c>
      <x:c r="F197" s="43" t="n">
        <x:v>1</x:v>
      </x:c>
      <x:c r="G197" s="44" t="n">
        <x:v>1.2187999999999999</x:v>
      </x:c>
      <x:c r="H197" s="43" t="n">
        <x:v>1</x:v>
      </x:c>
      <x:c r="I197" s="44" t="n">
        <x:v>1.2187999999999999</x:v>
      </x:c>
      <x:c r="J197" s="43" t="n">
        <x:v>1</x:v>
      </x:c>
      <x:c r="K197" s="44" t="n">
        <x:v>1.2188</x:v>
      </x:c>
      <x:c r="L197" s="43" t="n">
        <x:v>1</x:v>
      </x:c>
      <x:c r="M197" s="44" t="n">
        <x:v>0.9653</x:v>
      </x:c>
      <x:c r="N197" s="43" t="n">
        <x:v>1</x:v>
      </x:c>
      <x:c r="O197" s="44" t="n">
        <x:v>0.9107999999999999</x:v>
      </x:c>
      <x:c r="P197" s="43" t="n">
        <x:v>1</x:v>
      </x:c>
      <x:c r="Q197" s="44" t="n">
        <x:v>1.2187999999999999</x:v>
      </x:c>
      <x:c r="R197" s="43" t="n">
        <x:v>1</x:v>
      </x:c>
      <x:c r="S197" s="44" t="n">
        <x:v>0.9653</x:v>
      </x:c>
      <x:c r="T197" s="43" t="n">
        <x:v>1</x:v>
      </x:c>
      <x:c r="U197" s="43" t="str">
        <x:v>Tie</x:v>
      </x:c>
      <x:c r="V197" s="44" t="n">
        <x:v>0.25350000000000006</x:v>
      </x:c>
      <x:c r="W197" s="44" t="n">
        <x:v>2.220446049250313e-16</x:v>
      </x:c>
      <x:c r="X197" s="44" t="n">
        <x:v>2.220446049250313e-16</x:v>
      </x:c>
      <x:c r="Y197" s="44" t="n">
        <x:v>0.25350000000000006</x:v>
      </x:c>
      <x:c r="Z197" s="44" t="n">
        <x:v>0.30800000000000016</x:v>
      </x:c>
      <x:c r="AA197" s="44" t="n">
        <x:v>2.220446049250313e-16</x:v>
      </x:c>
      <x:c r="AB197" s="44" t="n">
        <x:v>0.25350000000000006</x:v>
      </x:c>
      <x:c r="AC197" s="43" t="str">
        <x:v>Full</x:v>
      </x:c>
    </x:row>
    <x:row r="198" ht="18" customHeight="1">
      <x:c r="A198" s="43" t="str">
        <x:v>Shared Battle Modifiers</x:v>
      </x:c>
      <x:c r="B198" s="43" t="str">
        <x:v>Archer attack speed</x:v>
      </x:c>
      <x:c r="C198" s="43" t="str">
        <x:v>Higher</x:v>
      </x:c>
      <x:c r="D198" s="43" t="str">
        <x:v>Top 5 average</x:v>
      </x:c>
      <x:c r="E198" s="44" t="n">
        <x:v>0.9653</x:v>
      </x:c>
      <x:c r="F198" s="43" t="n">
        <x:v>5</x:v>
      </x:c>
      <x:c r="G198" s="44" t="n">
        <x:v>1.2187999999999999</x:v>
      </x:c>
      <x:c r="H198" s="43" t="n">
        <x:v>5</x:v>
      </x:c>
      <x:c r="I198" s="44" t="n">
        <x:v>1.2187999999999999</x:v>
      </x:c>
      <x:c r="J198" s="43" t="n">
        <x:v>5</x:v>
      </x:c>
      <x:c r="K198" s="44" t="n">
        <x:v>1.016</x:v>
      </x:c>
      <x:c r="L198" s="43" t="n">
        <x:v>5</x:v>
      </x:c>
      <x:c r="M198" s="44" t="n">
        <x:v>0.8323400000000001</x:v>
      </x:c>
      <x:c r="N198" s="43" t="n">
        <x:v>5</x:v>
      </x:c>
      <x:c r="O198" s="44" t="n">
        <x:v>0.9107999999999998</x:v>
      </x:c>
      <x:c r="P198" s="43" t="n">
        <x:v>5</x:v>
      </x:c>
      <x:c r="Q198" s="44" t="n">
        <x:v>1.2187999999999999</x:v>
      </x:c>
      <x:c r="R198" s="43" t="n">
        <x:v>5</x:v>
      </x:c>
      <x:c r="S198" s="44" t="n">
        <x:v>0.9653</x:v>
      </x:c>
      <x:c r="T198" s="43" t="n">
        <x:v>5</x:v>
      </x:c>
      <x:c r="U198" s="43" t="str">
        <x:v>Tie</x:v>
      </x:c>
      <x:c r="V198" s="44" t="n">
        <x:v>0.05069999999999997</x:v>
      </x:c>
      <x:c r="W198" s="44" t="n">
        <x:v>-0.20279999999999987</x:v>
      </x:c>
      <x:c r="X198" s="44" t="n">
        <x:v>-0.20279999999999987</x:v>
      </x:c>
      <x:c r="Y198" s="44" t="n">
        <x:v>0.18365999999999993</x:v>
      </x:c>
      <x:c r="Z198" s="44" t="n">
        <x:v>0.10520000000000018</x:v>
      </x:c>
      <x:c r="AA198" s="44" t="n">
        <x:v>-0.20279999999999987</x:v>
      </x:c>
      <x:c r="AB198" s="44" t="n">
        <x:v>0.05069999999999997</x:v>
      </x:c>
      <x:c r="AC198" s="43" t="str">
        <x:v>Full</x:v>
      </x:c>
    </x:row>
    <x:row r="199" ht="18" customHeight="1">
      <x:c r="A199" s="43" t="str">
        <x:v>Shared Battle Modifiers</x:v>
      </x:c>
      <x:c r="B199" s="43" t="str">
        <x:v>Archer attack speed</x:v>
      </x:c>
      <x:c r="C199" s="43" t="str">
        <x:v>Higher</x:v>
      </x:c>
      <x:c r="D199" s="43" t="str">
        <x:v>Top 15 average</x:v>
      </x:c>
      <x:c r="E199" s="44" t="n">
        <x:v>0.9652999999999996</x:v>
      </x:c>
      <x:c r="F199" s="43" t="n">
        <x:v>15</x:v>
      </x:c>
      <x:c r="G199" s="44" t="n">
        <x:v>1.2187999999999997</x:v>
      </x:c>
      <x:c r="H199" s="43" t="n">
        <x:v>15</x:v>
      </x:c>
      <x:c r="I199" s="44" t="n">
        <x:v>1.2187999999999997</x:v>
      </x:c>
      <x:c r="J199" s="43" t="n">
        <x:v>15</x:v>
      </x:c>
      <x:c r="K199" s="44" t="n">
        <x:v>0.9821999999999999</x:v>
      </x:c>
      <x:c r="L199" s="43" t="n">
        <x:v>15</x:v>
      </x:c>
      <x:c r="M199" s="44" t="n">
        <x:v>0.7974466666666665</x:v>
      </x:c>
      <x:c r="N199" s="43" t="n">
        <x:v>15</x:v>
      </x:c>
      <x:c r="O199" s="44" t="n">
        <x:v>0.9107999999999999</x:v>
      </x:c>
      <x:c r="P199" s="43" t="n">
        <x:v>11</x:v>
      </x:c>
      <x:c r="Q199" s="44" t="n">
        <x:v>1.2187999999999997</x:v>
      </x:c>
      <x:c r="R199" s="43" t="n">
        <x:v>15</x:v>
      </x:c>
      <x:c r="S199" s="44" t="n">
        <x:v>0.9652999999999996</x:v>
      </x:c>
      <x:c r="T199" s="43" t="n">
        <x:v>15</x:v>
      </x:c>
      <x:c r="U199" s="43" t="str">
        <x:v>Tie</x:v>
      </x:c>
      <x:c r="V199" s="44" t="n">
        <x:v>0.016900000000000248</x:v>
      </x:c>
      <x:c r="W199" s="44" t="n">
        <x:v>-0.2365999999999998</x:v>
      </x:c>
      <x:c r="X199" s="44" t="n">
        <x:v>-0.2365999999999998</x:v>
      </x:c>
      <x:c r="Y199" s="44" t="n">
        <x:v>0.18475333333333332</x:v>
      </x:c>
      <x:c r="Z199" s="44" t="n">
        <x:v>0.07139999999999991</x:v>
      </x:c>
      <x:c r="AA199" s="44" t="n">
        <x:v>-0.2365999999999998</x:v>
      </x:c>
      <x:c r="AB199" s="44" t="n">
        <x:v>0.016900000000000248</x:v>
      </x:c>
      <x:c r="AC199" s="43" t="str">
        <x:v>Full</x:v>
      </x:c>
    </x:row>
    <x:row r="200" ht="18" customHeight="1">
      <x:c r="A200" s="43" t="str">
        <x:v>Shared Battle Modifiers</x:v>
      </x:c>
      <x:c r="B200" s="43" t="str">
        <x:v>Archer attack speed</x:v>
      </x:c>
      <x:c r="C200" s="43" t="str">
        <x:v>Higher</x:v>
      </x:c>
      <x:c r="D200" s="43" t="str">
        <x:v>All players mean</x:v>
      </x:c>
      <x:c r="E200" s="44" t="n">
        <x:v>0.9652999999999995</x:v>
      </x:c>
      <x:c r="F200" s="43" t="n">
        <x:v>25</x:v>
      </x:c>
      <x:c r="G200" s="44" t="n">
        <x:v>1.2188000000000003</x:v>
      </x:c>
      <x:c r="H200" s="43" t="n">
        <x:v>20</x:v>
      </x:c>
      <x:c r="I200" s="44" t="n">
        <x:v>1.2188000000000003</x:v>
      </x:c>
      <x:c r="J200" s="43" t="n">
        <x:v>20</x:v>
      </x:c>
      <x:c r="K200" s="44" t="n">
        <x:v>0.9763217391304344</x:v>
      </x:c>
      <x:c r="L200" s="43" t="n">
        <x:v>23</x:v>
      </x:c>
      <x:c r="M200" s="44" t="n">
        <x:v>0.7913782608695652</x:v>
      </x:c>
      <x:c r="N200" s="43" t="n">
        <x:v>23</x:v>
      </x:c>
      <x:c r="O200" s="44" t="n">
        <x:v>0.9107999999999999</x:v>
      </x:c>
      <x:c r="P200" s="43" t="n">
        <x:v>11</x:v>
      </x:c>
      <x:c r="Q200" s="44" t="n">
        <x:v>1.2188</x:v>
      </x:c>
      <x:c r="R200" s="43" t="n">
        <x:v>19</x:v>
      </x:c>
      <x:c r="S200" s="44" t="n">
        <x:v>0.9652999999999995</x:v>
      </x:c>
      <x:c r="T200" s="43" t="n">
        <x:v>22</x:v>
      </x:c>
      <x:c r="U200" s="43" t="str">
        <x:v>Tie</x:v>
      </x:c>
      <x:c r="V200" s="44" t="n">
        <x:v>0.011021739130434915</x:v>
      </x:c>
      <x:c r="W200" s="44" t="n">
        <x:v>-0.24247826086956592</x:v>
      </x:c>
      <x:c r="X200" s="44" t="n">
        <x:v>-0.24247826086956592</x:v>
      </x:c>
      <x:c r="Y200" s="44" t="n">
        <x:v>0.1849434782608692</x:v>
      </x:c>
      <x:c r="Z200" s="44" t="n">
        <x:v>0.06552173913043446</x:v>
      </x:c>
      <x:c r="AA200" s="44" t="n">
        <x:v>-0.2424782608695657</x:v>
      </x:c>
      <x:c r="AB200" s="44" t="n">
        <x:v>0.011021739130434915</x:v>
      </x:c>
      <x:c r="AC200" s="43" t="str">
        <x:v>Full</x:v>
      </x:c>
    </x:row>
    <x:row r="201" ht="18" customHeight="1">
      <x:c r="A201" s="43" t="str">
        <x:v>Shared Battle Modifiers</x:v>
      </x:c>
      <x:c r="B201" s="43" t="str">
        <x:v>Rams Health</x:v>
      </x:c>
      <x:c r="C201" s="43" t="str">
        <x:v>Higher</x:v>
      </x:c>
      <x:c r="D201" s="43" t="str">
        <x:v>Best player</x:v>
      </x:c>
      <x:c r="E201" s="44" t="n">
        <x:v>0.6989</x:v>
      </x:c>
      <x:c r="F201" s="43" t="n">
        <x:v>1</x:v>
      </x:c>
      <x:c r="G201" s="44"/>
      <x:c r="H201" s="43" t="n">
        <x:v>0</x:v>
      </x:c>
      <x:c r="I201" s="44"/>
      <x:c r="J201" s="43" t="n">
        <x:v>0</x:v>
      </x:c>
      <x:c r="K201" s="44"/>
      <x:c r="L201" s="43" t="n">
        <x:v>0</x:v>
      </x:c>
      <x:c r="M201" s="44" t="n">
        <x:v>0.9653</x:v>
      </x:c>
      <x:c r="N201" s="43" t="n">
        <x:v>1</x:v>
      </x:c>
      <x:c r="O201" s="44"/>
      <x:c r="P201" s="43" t="n">
        <x:v>0</x:v>
      </x:c>
      <x:c r="Q201" s="44"/>
      <x:c r="R201" s="43" t="n">
        <x:v>0</x:v>
      </x:c>
      <x:c r="S201" s="44"/>
      <x:c r="T201" s="43" t="n">
        <x:v>0</x:v>
      </x:c>
      <x:c r="U201" s="43" t="str">
        <x:v>K170</x:v>
      </x:c>
      <x:c r="V201" s="44"/>
      <x:c r="W201" s="44"/>
      <x:c r="X201" s="44"/>
      <x:c r="Y201" s="44"/>
      <x:c r="Z201" s="44"/>
      <x:c r="AA201" s="44"/>
      <x:c r="AB201" s="44"/>
      <x:c r="AC201" s="43" t="str">
        <x:v>Insufficient</x:v>
      </x:c>
    </x:row>
    <x:row r="202" ht="18" customHeight="1">
      <x:c r="A202" s="43" t="str">
        <x:v>Shared Battle Modifiers</x:v>
      </x:c>
      <x:c r="B202" s="43" t="str">
        <x:v>Rams Health</x:v>
      </x:c>
      <x:c r="C202" s="43" t="str">
        <x:v>Higher</x:v>
      </x:c>
      <x:c r="D202" s="43" t="str">
        <x:v>Top 5 average</x:v>
      </x:c>
      <x:c r="E202" s="44" t="n">
        <x:v>0.6989</x:v>
      </x:c>
      <x:c r="F202" s="43" t="n">
        <x:v>5</x:v>
      </x:c>
      <x:c r="G202" s="44"/>
      <x:c r="H202" s="43" t="n">
        <x:v>0</x:v>
      </x:c>
      <x:c r="I202" s="44"/>
      <x:c r="J202" s="43" t="n">
        <x:v>0</x:v>
      </x:c>
      <x:c r="K202" s="44"/>
      <x:c r="L202" s="43" t="n">
        <x:v>0</x:v>
      </x:c>
      <x:c r="M202" s="44" t="n">
        <x:v>0.9653</x:v>
      </x:c>
      <x:c r="N202" s="43" t="n">
        <x:v>1</x:v>
      </x:c>
      <x:c r="O202" s="44"/>
      <x:c r="P202" s="43" t="n">
        <x:v>0</x:v>
      </x:c>
      <x:c r="Q202" s="44"/>
      <x:c r="R202" s="43" t="n">
        <x:v>0</x:v>
      </x:c>
      <x:c r="S202" s="44"/>
      <x:c r="T202" s="43" t="n">
        <x:v>0</x:v>
      </x:c>
      <x:c r="U202" s="43" t="str">
        <x:v>K170</x:v>
      </x:c>
      <x:c r="V202" s="44"/>
      <x:c r="W202" s="44"/>
      <x:c r="X202" s="44"/>
      <x:c r="Y202" s="44"/>
      <x:c r="Z202" s="44"/>
      <x:c r="AA202" s="44"/>
      <x:c r="AB202" s="44"/>
      <x:c r="AC202" s="43" t="str">
        <x:v>Insufficient</x:v>
      </x:c>
    </x:row>
    <x:row r="203" ht="18" customHeight="1">
      <x:c r="A203" s="43" t="str">
        <x:v>Shared Battle Modifiers</x:v>
      </x:c>
      <x:c r="B203" s="43" t="str">
        <x:v>Rams Health</x:v>
      </x:c>
      <x:c r="C203" s="43" t="str">
        <x:v>Higher</x:v>
      </x:c>
      <x:c r="D203" s="43" t="str">
        <x:v>Top 15 average</x:v>
      </x:c>
      <x:c r="E203" s="44" t="n">
        <x:v>0.6989</x:v>
      </x:c>
      <x:c r="F203" s="43" t="n">
        <x:v>15</x:v>
      </x:c>
      <x:c r="G203" s="44"/>
      <x:c r="H203" s="43" t="n">
        <x:v>0</x:v>
      </x:c>
      <x:c r="I203" s="44"/>
      <x:c r="J203" s="43" t="n">
        <x:v>0</x:v>
      </x:c>
      <x:c r="K203" s="44"/>
      <x:c r="L203" s="43" t="n">
        <x:v>0</x:v>
      </x:c>
      <x:c r="M203" s="44" t="n">
        <x:v>0.9653</x:v>
      </x:c>
      <x:c r="N203" s="43" t="n">
        <x:v>1</x:v>
      </x:c>
      <x:c r="O203" s="44"/>
      <x:c r="P203" s="43" t="n">
        <x:v>0</x:v>
      </x:c>
      <x:c r="Q203" s="44"/>
      <x:c r="R203" s="43" t="n">
        <x:v>0</x:v>
      </x:c>
      <x:c r="S203" s="44"/>
      <x:c r="T203" s="43" t="n">
        <x:v>0</x:v>
      </x:c>
      <x:c r="U203" s="43" t="str">
        <x:v>K170</x:v>
      </x:c>
      <x:c r="V203" s="44"/>
      <x:c r="W203" s="44"/>
      <x:c r="X203" s="44"/>
      <x:c r="Y203" s="44"/>
      <x:c r="Z203" s="44"/>
      <x:c r="AA203" s="44"/>
      <x:c r="AB203" s="44"/>
      <x:c r="AC203" s="43" t="str">
        <x:v>Insufficient</x:v>
      </x:c>
    </x:row>
    <x:row r="204" ht="18" customHeight="1">
      <x:c r="A204" s="43" t="str">
        <x:v>Shared Battle Modifiers</x:v>
      </x:c>
      <x:c r="B204" s="43" t="str">
        <x:v>Rams Health</x:v>
      </x:c>
      <x:c r="C204" s="43" t="str">
        <x:v>Higher</x:v>
      </x:c>
      <x:c r="D204" s="43" t="str">
        <x:v>All players mean</x:v>
      </x:c>
      <x:c r="E204" s="44" t="n">
        <x:v>0.6988999999999999</x:v>
      </x:c>
      <x:c r="F204" s="43" t="n">
        <x:v>25</x:v>
      </x:c>
      <x:c r="G204" s="44"/>
      <x:c r="H204" s="43" t="n">
        <x:v>0</x:v>
      </x:c>
      <x:c r="I204" s="44"/>
      <x:c r="J204" s="43" t="n">
        <x:v>0</x:v>
      </x:c>
      <x:c r="K204" s="44"/>
      <x:c r="L204" s="43" t="n">
        <x:v>0</x:v>
      </x:c>
      <x:c r="M204" s="44" t="n">
        <x:v>0.9653</x:v>
      </x:c>
      <x:c r="N204" s="43" t="n">
        <x:v>1</x:v>
      </x:c>
      <x:c r="O204" s="44"/>
      <x:c r="P204" s="43" t="n">
        <x:v>0</x:v>
      </x:c>
      <x:c r="Q204" s="44"/>
      <x:c r="R204" s="43" t="n">
        <x:v>0</x:v>
      </x:c>
      <x:c r="S204" s="44"/>
      <x:c r="T204" s="43" t="n">
        <x:v>0</x:v>
      </x:c>
      <x:c r="U204" s="43" t="str">
        <x:v>K170</x:v>
      </x:c>
      <x:c r="V204" s="44"/>
      <x:c r="W204" s="44"/>
      <x:c r="X204" s="44"/>
      <x:c r="Y204" s="44"/>
      <x:c r="Z204" s="44"/>
      <x:c r="AA204" s="44"/>
      <x:c r="AB204" s="44"/>
      <x:c r="AC204" s="43" t="str">
        <x:v>Insufficient</x:v>
      </x:c>
    </x:row>
    <x:row r="205" ht="18" customHeight="1">
      <x:c r="A205" s="43" t="str">
        <x:v>Shared Battle Modifiers</x:v>
      </x:c>
      <x:c r="B205" s="43" t="str">
        <x:v>Siege Damage (Lion)</x:v>
      </x:c>
      <x:c r="C205" s="43" t="str">
        <x:v>Higher</x:v>
      </x:c>
      <x:c r="D205" s="43" t="str">
        <x:v>Best player</x:v>
      </x:c>
      <x:c r="E205" s="44" t="n">
        <x:v>0.6989</x:v>
      </x:c>
      <x:c r="F205" s="43" t="n">
        <x:v>1</x:v>
      </x:c>
      <x:c r="G205" s="44" t="n">
        <x:v>0.9653</x:v>
      </x:c>
      <x:c r="H205" s="43" t="n">
        <x:v>1</x:v>
      </x:c>
      <x:c r="I205" s="44" t="n">
        <x:v>1.2187999999999999</x:v>
      </x:c>
      <x:c r="J205" s="43" t="n">
        <x:v>1</x:v>
      </x:c>
      <x:c r="K205" s="44" t="n">
        <x:v>0.9653</x:v>
      </x:c>
      <x:c r="L205" s="43" t="n">
        <x:v>1</x:v>
      </x:c>
      <x:c r="M205" s="44" t="n">
        <x:v>0.8029</x:v>
      </x:c>
      <x:c r="N205" s="43" t="n">
        <x:v>1</x:v>
      </x:c>
      <x:c r="O205" s="44" t="n">
        <x:v>0.9653</x:v>
      </x:c>
      <x:c r="P205" s="43" t="n">
        <x:v>1</x:v>
      </x:c>
      <x:c r="Q205" s="44" t="n">
        <x:v>1.2187999999999999</x:v>
      </x:c>
      <x:c r="R205" s="43" t="n">
        <x:v>1</x:v>
      </x:c>
      <x:c r="S205" s="44" t="n">
        <x:v>0.9107999999999999</x:v>
      </x:c>
      <x:c r="T205" s="43" t="n">
        <x:v>1</x:v>
      </x:c>
      <x:c r="U205" s="43" t="str">
        <x:v>Tie</x:v>
      </x:c>
      <x:c r="V205" s="44" t="n">
        <x:v>0.2664000000000001</x:v>
      </x:c>
      <x:c r="W205" s="44" t="n">
        <x:v>0</x:v>
      </x:c>
      <x:c r="X205" s="44" t="n">
        <x:v>-0.25349999999999984</x:v>
      </x:c>
      <x:c r="Y205" s="44" t="n">
        <x:v>0.1624000000000001</x:v>
      </x:c>
      <x:c r="Z205" s="44" t="n">
        <x:v>0</x:v>
      </x:c>
      <x:c r="AA205" s="44" t="n">
        <x:v>-0.25349999999999984</x:v>
      </x:c>
      <x:c r="AB205" s="44" t="n">
        <x:v>0.054500000000000104</x:v>
      </x:c>
      <x:c r="AC205" s="43" t="str">
        <x:v>Full</x:v>
      </x:c>
    </x:row>
    <x:row r="206" ht="18" customHeight="1">
      <x:c r="A206" s="43" t="str">
        <x:v>Shared Battle Modifiers</x:v>
      </x:c>
      <x:c r="B206" s="43" t="str">
        <x:v>Siege Damage (Lion)</x:v>
      </x:c>
      <x:c r="C206" s="43" t="str">
        <x:v>Higher</x:v>
      </x:c>
      <x:c r="D206" s="43" t="str">
        <x:v>Top 5 average</x:v>
      </x:c>
      <x:c r="E206" s="44" t="n">
        <x:v>0.6989</x:v>
      </x:c>
      <x:c r="F206" s="43" t="n">
        <x:v>5</x:v>
      </x:c>
      <x:c r="G206" s="44" t="n">
        <x:v>0.9653</x:v>
      </x:c>
      <x:c r="H206" s="43" t="n">
        <x:v>5</x:v>
      </x:c>
      <x:c r="I206" s="44" t="n">
        <x:v>1.2187999999999999</x:v>
      </x:c>
      <x:c r="J206" s="43" t="n">
        <x:v>5</x:v>
      </x:c>
      <x:c r="K206" s="44" t="n">
        <x:v>0.9653</x:v>
      </x:c>
      <x:c r="L206" s="43" t="n">
        <x:v>5</x:v>
      </x:c>
      <x:c r="M206" s="44" t="n">
        <x:v>0.6342399999999999</x:v>
      </x:c>
      <x:c r="N206" s="43" t="n">
        <x:v>5</x:v>
      </x:c>
      <x:c r="O206" s="44" t="n">
        <x:v>0.9653</x:v>
      </x:c>
      <x:c r="P206" s="43" t="n">
        <x:v>5</x:v>
      </x:c>
      <x:c r="Q206" s="44" t="n">
        <x:v>1.2187999999999999</x:v>
      </x:c>
      <x:c r="R206" s="43" t="n">
        <x:v>5</x:v>
      </x:c>
      <x:c r="S206" s="44" t="n">
        <x:v>0.9107999999999998</x:v>
      </x:c>
      <x:c r="T206" s="43" t="n">
        <x:v>5</x:v>
      </x:c>
      <x:c r="U206" s="43" t="str">
        <x:v>Tie</x:v>
      </x:c>
      <x:c r="V206" s="44" t="n">
        <x:v>0.2664000000000001</x:v>
      </x:c>
      <x:c r="W206" s="44" t="n">
        <x:v>0</x:v>
      </x:c>
      <x:c r="X206" s="44" t="n">
        <x:v>-0.25349999999999984</x:v>
      </x:c>
      <x:c r="Y206" s="44" t="n">
        <x:v>0.33106000000000013</x:v>
      </x:c>
      <x:c r="Z206" s="44" t="n">
        <x:v>0</x:v>
      </x:c>
      <x:c r="AA206" s="44" t="n">
        <x:v>-0.25349999999999984</x:v>
      </x:c>
      <x:c r="AB206" s="44" t="n">
        <x:v>0.054500000000000215</x:v>
      </x:c>
      <x:c r="AC206" s="43" t="str">
        <x:v>Full</x:v>
      </x:c>
    </x:row>
    <x:row r="207" ht="18" customHeight="1">
      <x:c r="A207" s="43" t="str">
        <x:v>Shared Battle Modifiers</x:v>
      </x:c>
      <x:c r="B207" s="43" t="str">
        <x:v>Siege Damage (Lion)</x:v>
      </x:c>
      <x:c r="C207" s="43" t="str">
        <x:v>Higher</x:v>
      </x:c>
      <x:c r="D207" s="43" t="str">
        <x:v>Top 15 average</x:v>
      </x:c>
      <x:c r="E207" s="44" t="n">
        <x:v>0.6989</x:v>
      </x:c>
      <x:c r="F207" s="43" t="n">
        <x:v>15</x:v>
      </x:c>
      <x:c r="G207" s="44" t="n">
        <x:v>0.9652999999999996</x:v>
      </x:c>
      <x:c r="H207" s="43" t="n">
        <x:v>15</x:v>
      </x:c>
      <x:c r="I207" s="44" t="n">
        <x:v>1.2187999999999997</x:v>
      </x:c>
      <x:c r="J207" s="43" t="n">
        <x:v>15</x:v>
      </x:c>
      <x:c r="K207" s="44" t="n">
        <x:v>0.8570333333333331</x:v>
      </x:c>
      <x:c r="L207" s="43" t="n">
        <x:v>15</x:v>
      </x:c>
      <x:c r="M207" s="44" t="n">
        <x:v>0.5709466666666666</x:v>
      </x:c>
      <x:c r="N207" s="43" t="n">
        <x:v>15</x:v>
      </x:c>
      <x:c r="O207" s="44" t="n">
        <x:v>0.9652999999999998</x:v>
      </x:c>
      <x:c r="P207" s="43" t="n">
        <x:v>11</x:v>
      </x:c>
      <x:c r="Q207" s="44" t="n">
        <x:v>1.2187999999999997</x:v>
      </x:c>
      <x:c r="R207" s="43" t="n">
        <x:v>15</x:v>
      </x:c>
      <x:c r="S207" s="44" t="n">
        <x:v>0.9107999999999999</x:v>
      </x:c>
      <x:c r="T207" s="43" t="n">
        <x:v>15</x:v>
      </x:c>
      <x:c r="U207" s="43" t="str">
        <x:v>Tie</x:v>
      </x:c>
      <x:c r="V207" s="44" t="n">
        <x:v>0.15813333333333313</x:v>
      </x:c>
      <x:c r="W207" s="44" t="n">
        <x:v>-0.10826666666666651</x:v>
      </x:c>
      <x:c r="X207" s="44" t="n">
        <x:v>-0.36176666666666657</x:v>
      </x:c>
      <x:c r="Y207" s="44" t="n">
        <x:v>0.2860866666666665</x:v>
      </x:c>
      <x:c r="Z207" s="44" t="n">
        <x:v>-0.10826666666666673</x:v>
      </x:c>
      <x:c r="AA207" s="44" t="n">
        <x:v>-0.36176666666666657</x:v>
      </x:c>
      <x:c r="AB207" s="44" t="n">
        <x:v>-0.05376666666666685</x:v>
      </x:c>
      <x:c r="AC207" s="43" t="str">
        <x:v>Full</x:v>
      </x:c>
    </x:row>
    <x:row r="208" ht="18" customHeight="1">
      <x:c r="A208" s="43" t="str">
        <x:v>Shared Battle Modifiers</x:v>
      </x:c>
      <x:c r="B208" s="43" t="str">
        <x:v>Siege Damage (Lion)</x:v>
      </x:c>
      <x:c r="C208" s="43" t="str">
        <x:v>Higher</x:v>
      </x:c>
      <x:c r="D208" s="43" t="str">
        <x:v>All players mean</x:v>
      </x:c>
      <x:c r="E208" s="44" t="n">
        <x:v>0.6988999999999999</x:v>
      </x:c>
      <x:c r="F208" s="43" t="n">
        <x:v>25</x:v>
      </x:c>
      <x:c r="G208" s="44" t="n">
        <x:v>0.9652999999999995</x:v>
      </x:c>
      <x:c r="H208" s="43" t="n">
        <x:v>20</x:v>
      </x:c>
      <x:c r="I208" s="44" t="n">
        <x:v>1.2188000000000003</x:v>
      </x:c>
      <x:c r="J208" s="43" t="n">
        <x:v>20</x:v>
      </x:c>
      <x:c r="K208" s="44" t="n">
        <x:v>0.8329740740740741</x:v>
      </x:c>
      <x:c r="L208" s="43" t="n">
        <x:v>27</x:v>
      </x:c>
      <x:c r="M208" s="44" t="n">
        <x:v>0.5599391304347828</x:v>
      </x:c>
      <x:c r="N208" s="43" t="n">
        <x:v>23</x:v>
      </x:c>
      <x:c r="O208" s="44" t="n">
        <x:v>0.9652999999999998</x:v>
      </x:c>
      <x:c r="P208" s="43" t="n">
        <x:v>11</x:v>
      </x:c>
      <x:c r="Q208" s="44" t="n">
        <x:v>1.2188</x:v>
      </x:c>
      <x:c r="R208" s="43" t="n">
        <x:v>19</x:v>
      </x:c>
      <x:c r="S208" s="44" t="n">
        <x:v>0.9107999999999996</x:v>
      </x:c>
      <x:c r="T208" s="43" t="n">
        <x:v>22</x:v>
      </x:c>
      <x:c r="U208" s="43" t="str">
        <x:v>Tie</x:v>
      </x:c>
      <x:c r="V208" s="44" t="n">
        <x:v>0.13407407407407423</x:v>
      </x:c>
      <x:c r="W208" s="44" t="n">
        <x:v>-0.1323259259259254</x:v>
      </x:c>
      <x:c r="X208" s="44" t="n">
        <x:v>-0.38582592592592624</x:v>
      </x:c>
      <x:c r="Y208" s="44" t="n">
        <x:v>0.27303494363929126</x:v>
      </x:c>
      <x:c r="Z208" s="44" t="n">
        <x:v>-0.13232592592592574</x:v>
      </x:c>
      <x:c r="AA208" s="44" t="n">
        <x:v>-0.385825925925926</x:v>
      </x:c>
      <x:c r="AB208" s="44" t="n">
        <x:v>-0.07782592592592552</x:v>
      </x:c>
      <x:c r="AC208" s="43" t="str">
        <x:v>Full</x:v>
      </x:c>
    </x:row>
    <x:row r="209" ht="18" customHeight="1">
      <x:c r="A209" s="43" t="str">
        <x:v>Shared Battle Modifiers</x:v>
      </x:c>
      <x:c r="B209" s="43" t="str">
        <x:v>March Capacity modifier</x:v>
      </x:c>
      <x:c r="C209" s="43" t="str">
        <x:v>Higher</x:v>
      </x:c>
      <x:c r="D209" s="43" t="str">
        <x:v>Best player</x:v>
      </x:c>
      <x:c r="E209" s="174" t="n">
        <x:v>0</x:v>
      </x:c>
      <x:c r="F209" s="43" t="n">
        <x:v>1</x:v>
      </x:c>
      <x:c r="G209" s="174" t="n">
        <x:v>32148</x:v>
      </x:c>
      <x:c r="H209" s="43" t="n">
        <x:v>1</x:v>
      </x:c>
      <x:c r="I209" s="174" t="n">
        <x:v>39216</x:v>
      </x:c>
      <x:c r="J209" s="43" t="n">
        <x:v>1</x:v>
      </x:c>
      <x:c r="K209" s="174" t="n">
        <x:v>39216</x:v>
      </x:c>
      <x:c r="L209" s="43" t="n">
        <x:v>1</x:v>
      </x:c>
      <x:c r="M209" s="174" t="n">
        <x:v>31992</x:v>
      </x:c>
      <x:c r="N209" s="43" t="n">
        <x:v>1</x:v>
      </x:c>
      <x:c r="O209" s="174" t="n">
        <x:v>39216</x:v>
      </x:c>
      <x:c r="P209" s="43" t="n">
        <x:v>1</x:v>
      </x:c>
      <x:c r="Q209" s="174" t="n">
        <x:v>39216</x:v>
      </x:c>
      <x:c r="R209" s="43" t="n">
        <x:v>1</x:v>
      </x:c>
      <x:c r="S209" s="174" t="n">
        <x:v>25800</x:v>
      </x:c>
      <x:c r="T209" s="43" t="n">
        <x:v>1</x:v>
      </x:c>
      <x:c r="U209" s="43" t="str">
        <x:v>Tie</x:v>
      </x:c>
      <x:c r="V209" s="174" t="n">
        <x:v>39216</x:v>
      </x:c>
      <x:c r="W209" s="174" t="n">
        <x:v>7068</x:v>
      </x:c>
      <x:c r="X209" s="174" t="n">
        <x:v>0</x:v>
      </x:c>
      <x:c r="Y209" s="174" t="n">
        <x:v>7224</x:v>
      </x:c>
      <x:c r="Z209" s="174" t="n">
        <x:v>0</x:v>
      </x:c>
      <x:c r="AA209" s="174" t="n">
        <x:v>0</x:v>
      </x:c>
      <x:c r="AB209" s="174" t="n">
        <x:v>13416</x:v>
      </x:c>
      <x:c r="AC209" s="43" t="str">
        <x:v>Check K60 zeros</x:v>
      </x:c>
    </x:row>
    <x:row r="210" ht="18" customHeight="1">
      <x:c r="A210" s="43" t="str">
        <x:v>Shared Battle Modifiers</x:v>
      </x:c>
      <x:c r="B210" s="43" t="str">
        <x:v>March Capacity modifier</x:v>
      </x:c>
      <x:c r="C210" s="43" t="str">
        <x:v>Higher</x:v>
      </x:c>
      <x:c r="D210" s="43" t="str">
        <x:v>Top 5 average</x:v>
      </x:c>
      <x:c r="E210" s="174" t="n">
        <x:v>0</x:v>
      </x:c>
      <x:c r="F210" s="43" t="n">
        <x:v>5</x:v>
      </x:c>
      <x:c r="G210" s="174" t="n">
        <x:v>32148</x:v>
      </x:c>
      <x:c r="H210" s="43" t="n">
        <x:v>5</x:v>
      </x:c>
      <x:c r="I210" s="174" t="n">
        <x:v>39216</x:v>
      </x:c>
      <x:c r="J210" s="43" t="n">
        <x:v>5</x:v>
      </x:c>
      <x:c r="K210" s="174" t="n">
        <x:v>39216</x:v>
      </x:c>
      <x:c r="L210" s="43" t="n">
        <x:v>5</x:v>
      </x:c>
      <x:c r="M210" s="174" t="n">
        <x:v>7358.4</x:v>
      </x:c>
      <x:c r="N210" s="43" t="n">
        <x:v>5</x:v>
      </x:c>
      <x:c r="O210" s="174" t="n">
        <x:v>39216</x:v>
      </x:c>
      <x:c r="P210" s="43" t="n">
        <x:v>5</x:v>
      </x:c>
      <x:c r="Q210" s="174" t="n">
        <x:v>39216</x:v>
      </x:c>
      <x:c r="R210" s="43" t="n">
        <x:v>5</x:v>
      </x:c>
      <x:c r="S210" s="174" t="n">
        <x:v>25800</x:v>
      </x:c>
      <x:c r="T210" s="43" t="n">
        <x:v>5</x:v>
      </x:c>
      <x:c r="U210" s="43" t="str">
        <x:v>Tie</x:v>
      </x:c>
      <x:c r="V210" s="174" t="n">
        <x:v>39216</x:v>
      </x:c>
      <x:c r="W210" s="174" t="n">
        <x:v>7068</x:v>
      </x:c>
      <x:c r="X210" s="174" t="n">
        <x:v>0</x:v>
      </x:c>
      <x:c r="Y210" s="174" t="n">
        <x:v>31857.6</x:v>
      </x:c>
      <x:c r="Z210" s="174" t="n">
        <x:v>0</x:v>
      </x:c>
      <x:c r="AA210" s="174" t="n">
        <x:v>0</x:v>
      </x:c>
      <x:c r="AB210" s="174" t="n">
        <x:v>13416</x:v>
      </x:c>
      <x:c r="AC210" s="43" t="str">
        <x:v>Check K60 zeros</x:v>
      </x:c>
    </x:row>
    <x:row r="211" ht="18" customHeight="1">
      <x:c r="A211" s="43" t="str">
        <x:v>Shared Battle Modifiers</x:v>
      </x:c>
      <x:c r="B211" s="43" t="str">
        <x:v>March Capacity modifier</x:v>
      </x:c>
      <x:c r="C211" s="43" t="str">
        <x:v>Higher</x:v>
      </x:c>
      <x:c r="D211" s="43" t="str">
        <x:v>Top 15 average</x:v>
      </x:c>
      <x:c r="E211" s="174" t="n">
        <x:v>0</x:v>
      </x:c>
      <x:c r="F211" s="43" t="n">
        <x:v>15</x:v>
      </x:c>
      <x:c r="G211" s="174" t="n">
        <x:v>32148</x:v>
      </x:c>
      <x:c r="H211" s="43" t="n">
        <x:v>15</x:v>
      </x:c>
      <x:c r="I211" s="174" t="n">
        <x:v>39216</x:v>
      </x:c>
      <x:c r="J211" s="43" t="n">
        <x:v>15</x:v>
      </x:c>
      <x:c r="K211" s="174" t="n">
        <x:v>39216</x:v>
      </x:c>
      <x:c r="L211" s="43" t="n">
        <x:v>15</x:v>
      </x:c>
      <x:c r="M211" s="174" t="n">
        <x:v>3252.8</x:v>
      </x:c>
      <x:c r="N211" s="43" t="n">
        <x:v>15</x:v>
      </x:c>
      <x:c r="O211" s="174" t="n">
        <x:v>39216</x:v>
      </x:c>
      <x:c r="P211" s="43" t="n">
        <x:v>11</x:v>
      </x:c>
      <x:c r="Q211" s="174" t="n">
        <x:v>39216</x:v>
      </x:c>
      <x:c r="R211" s="43" t="n">
        <x:v>15</x:v>
      </x:c>
      <x:c r="S211" s="174" t="n">
        <x:v>25800</x:v>
      </x:c>
      <x:c r="T211" s="43" t="n">
        <x:v>15</x:v>
      </x:c>
      <x:c r="U211" s="43" t="str">
        <x:v>Tie</x:v>
      </x:c>
      <x:c r="V211" s="174" t="n">
        <x:v>39216</x:v>
      </x:c>
      <x:c r="W211" s="174" t="n">
        <x:v>7068</x:v>
      </x:c>
      <x:c r="X211" s="174" t="n">
        <x:v>0</x:v>
      </x:c>
      <x:c r="Y211" s="174" t="n">
        <x:v>35963.2</x:v>
      </x:c>
      <x:c r="Z211" s="174" t="n">
        <x:v>0</x:v>
      </x:c>
      <x:c r="AA211" s="174" t="n">
        <x:v>0</x:v>
      </x:c>
      <x:c r="AB211" s="174" t="n">
        <x:v>13416</x:v>
      </x:c>
      <x:c r="AC211" s="43" t="str">
        <x:v>Check K60 zeros</x:v>
      </x:c>
    </x:row>
    <x:row r="212" ht="18" customHeight="1">
      <x:c r="A212" s="43" t="str">
        <x:v>Shared Battle Modifiers</x:v>
      </x:c>
      <x:c r="B212" s="43" t="str">
        <x:v>March Capacity modifier</x:v>
      </x:c>
      <x:c r="C212" s="43" t="str">
        <x:v>Higher</x:v>
      </x:c>
      <x:c r="D212" s="43" t="str">
        <x:v>All players mean</x:v>
      </x:c>
      <x:c r="E212" s="174" t="n">
        <x:v>0</x:v>
      </x:c>
      <x:c r="F212" s="43" t="n">
        <x:v>25</x:v>
      </x:c>
      <x:c r="G212" s="174" t="n">
        <x:v>32148</x:v>
      </x:c>
      <x:c r="H212" s="43" t="n">
        <x:v>20</x:v>
      </x:c>
      <x:c r="I212" s="174" t="n">
        <x:v>39216</x:v>
      </x:c>
      <x:c r="J212" s="43" t="n">
        <x:v>20</x:v>
      </x:c>
      <x:c r="K212" s="174" t="n">
        <x:v>39101.333333333336</x:v>
      </x:c>
      <x:c r="L212" s="43" t="n">
        <x:v>27</x:v>
      </x:c>
      <x:c r="M212" s="174" t="n">
        <x:v>2486.608695652174</x:v>
      </x:c>
      <x:c r="N212" s="43" t="n">
        <x:v>23</x:v>
      </x:c>
      <x:c r="O212" s="174" t="n">
        <x:v>39216</x:v>
      </x:c>
      <x:c r="P212" s="43" t="n">
        <x:v>11</x:v>
      </x:c>
      <x:c r="Q212" s="174" t="n">
        <x:v>39216</x:v>
      </x:c>
      <x:c r="R212" s="43" t="n">
        <x:v>19</x:v>
      </x:c>
      <x:c r="S212" s="174" t="n">
        <x:v>25800</x:v>
      </x:c>
      <x:c r="T212" s="43" t="n">
        <x:v>22</x:v>
      </x:c>
      <x:c r="U212" s="43" t="str">
        <x:v>Tie</x:v>
      </x:c>
      <x:c r="V212" s="174" t="n">
        <x:v>39101.333333333336</x:v>
      </x:c>
      <x:c r="W212" s="174" t="n">
        <x:v>6953.333333333336</x:v>
      </x:c>
      <x:c r="X212" s="174" t="n">
        <x:v>-114.66666666666424</x:v>
      </x:c>
      <x:c r="Y212" s="174" t="n">
        <x:v>36614.72463768116</x:v>
      </x:c>
      <x:c r="Z212" s="174" t="n">
        <x:v>-114.66666666666424</x:v>
      </x:c>
      <x:c r="AA212" s="174" t="n">
        <x:v>-114.66666666666424</x:v>
      </x:c>
      <x:c r="AB212" s="174" t="n">
        <x:v>13301.333333333336</x:v>
      </x:c>
      <x:c r="AC212" s="43" t="str">
        <x:v>Check K60 zeros</x:v>
      </x:c>
    </x:row>
  </x:sheetData>
  <x:mergeCells>
    <x:mergeCell ref="A1:AC1"/>
    <x:mergeCell ref="A2:AC2"/>
    <x:mergeCell ref="L4:AC8"/>
    <x:mergeCell ref="J12:AC16"/>
  </x:mergeCells>
  <x:conditionalFormatting sqref="V37:AB2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1e8c56dfa2df4605"/>
  <x:tableParts count="1">
    <x:tablePart xmlns:r="http://schemas.openxmlformats.org/officeDocument/2006/relationships" r:id="R14351c93b2bd45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7" hidden="0" customWidth="1"/>
    <x:col min="14" max="14" width="27" hidden="0" customWidth="1"/>
    <x:col min="15" max="15" width="12" hidden="0" customWidth="1"/>
    <x:col min="16" max="16" width="38" hidden="0" customWidth="1"/>
  </x:cols>
  <x:sheetData>
    <x:row r="1" ht="28" customHeight="1">
      <x:c r="A1" s="231" t="str">
        <x:v>Tank &amp; Control Model</x:v>
      </x:c>
      <x:c r="B1" s="231"/>
      <x:c r="C1" s="231"/>
      <x:c r="D1" s="231"/>
      <x:c r="E1" s="231"/>
      <x:c r="F1" s="231"/>
      <x:c r="G1" s="231"/>
      <x:c r="H1" s="231"/>
      <x:c r="I1" s="231"/>
      <x:c r="J1" s="231"/>
      <x:c r="K1" s="231"/>
      <x:c r="L1" s="231"/>
    </x:row>
    <x:row r="2" ht="32" customHeight="1">
      <x:c r="A2" s="235" t="str">
        <x:v>Eligible tank = Infantry Protection Blessing of 700% or higher. Event ranking includes control; throne strength uses the strongest qualifying rally starter.</x:v>
      </x:c>
      <x:c r="B2" s="235"/>
      <x:c r="C2" s="235"/>
      <x:c r="D2" s="235"/>
      <x:c r="E2" s="235"/>
      <x:c r="F2" s="235"/>
      <x:c r="G2" s="235"/>
      <x:c r="H2" s="235"/>
      <x:c r="I2" s="235"/>
      <x:c r="J2" s="235"/>
      <x:c r="K2" s="235"/>
      <x:c r="L2" s="235"/>
    </x:row>
    <x:row r="4">
      <x:c r="A4" s="237" t="str">
        <x:v>Kingdom summary</x:v>
      </x:c>
      <x:c r="B4" s="237"/>
      <x:c r="C4" s="237"/>
      <x:c r="D4" s="237"/>
      <x:c r="E4" s="237"/>
      <x:c r="F4" s="237"/>
      <x:c r="G4" s="237"/>
      <x:c r="H4" s="237"/>
      <x:c r="I4" s="237"/>
      <x:c r="J4" s="237"/>
      <x:c r="K4" s="237"/>
      <x:c r="L4" s="237"/>
      <x:c r="N4" s="236" t="str">
        <x:v>Visible model assumptions</x:v>
      </x:c>
      <x:c r="O4" s="236"/>
      <x:c r="P4" s="236"/>
    </x:row>
    <x:row r="5" ht="32" customHeight="1">
      <x:c r="A5" s="243" t="str">
        <x:v>Kingdom</x:v>
      </x:c>
      <x:c r="B5" s="243" t="str">
        <x:v>Tanks ≥700%</x:v>
      </x:c>
      <x:c r="C5" s="243" t="str">
        <x:v>Main Tank</x:v>
      </x:c>
      <x:c r="D5" s="243" t="str">
        <x:v>Main Tank Score</x:v>
      </x:c>
      <x:c r="E5" s="243" t="str">
        <x:v>Backup Quality</x:v>
      </x:c>
      <x:c r="F5" s="243" t="str">
        <x:v>Count Score</x:v>
      </x:c>
      <x:c r="G5" s="243" t="str">
        <x:v>Tank Control</x:v>
      </x:c>
      <x:c r="H5" s="243" t="str">
        <x:v>Tank Impact</x:v>
      </x:c>
      <x:c r="I5" s="243" t="str">
        <x:v>Offense</x:v>
      </x:c>
      <x:c r="J5" s="243" t="str">
        <x:v>Event Strength</x:v>
      </x:c>
      <x:c r="K5" s="243" t="str">
        <x:v>Throne Strength</x:v>
      </x:c>
      <x:c r="L5" s="243" t="str">
        <x:v>Event Rank</x:v>
      </x:c>
      <x:c r="N5" s="240" t="str">
        <x:v>Assumption</x:v>
      </x:c>
      <x:c r="O5" s="240" t="str">
        <x:v>Value</x:v>
      </x:c>
      <x:c r="P5" s="240" t="str">
        <x:v>Purpose</x:v>
      </x:c>
    </x:row>
    <x:row r="6">
      <x:c r="A6" s="260" t="str">
        <x:v>K54</x:v>
      </x:c>
      <x:c r="B6" s="271" t="n">
        <x:f>COUNTIFS($A$23:$A$189,A6,$C$23:$C$189,"Yes")</x:f>
        <x:v>4</x:v>
      </x:c>
      <x:c r="C6" s="272" t="str">
        <x:v>爽歪歪</x:v>
      </x:c>
      <x:c r="D6" s="273" t="n">
        <x:f>SUMIFS($L$23:$L$189,$A$23:$A$189,A6,$C$23:$C$189,"Yes",$M$23:$M$189,1)</x:f>
        <x:v>94.52688397207652</x:v>
      </x:c>
      <x:c r="E6" s="273" t="n">
        <x:f>IF(B6&gt;1,(SUMIFS($L$23:$L$189,$A$23:$A$189,A6,$C$23:$C$189,"Yes")-D6)/(B6-1),0)</x:f>
        <x:v>39.84783906934365</x:v>
      </x:c>
      <x:c r="F6" s="273" t="n">
        <x:f>100*MIN(B6/$O$8,1)</x:f>
        <x:v>80</x:v>
      </x:c>
      <x:c r="G6" s="273" t="n">
        <x:f>$O$9*F6+$O$10*E6</x:f>
        <x:v>67.95435172080309</x:v>
      </x:c>
      <x:c r="H6" s="273" t="n">
        <x:f>$O$11*D6+$O$12*G6</x:f>
        <x:v>87.88375090925817</x:v>
      </x:c>
      <x:c r="I6" s="273" t="n">
        <x:v>78.70931920517701</x:v>
      </x:c>
      <x:c r="J6" s="273" t="n">
        <x:f>$O$13*I6+$O$14*H6</x:f>
        <x:v>82.83781347201354</x:v>
      </x:c>
      <x:c r="K6" s="273" t="n">
        <x:f>$O$13*I6+$O$14*D6</x:f>
        <x:v>85.8272233502818</x:v>
      </x:c>
      <x:c r="L6" s="271" t="n">
        <x:f>1+COUNTIF($J$6:$J$13,"&gt;"&amp;J6)</x:f>
        <x:v>1</x:v>
      </x:c>
      <x:c r="N6" s="305" t="str">
        <x:v>Protection threshold</x:v>
      </x:c>
      <x:c r="O6" s="306" t="n">
        <x:v>7</x:v>
      </x:c>
      <x:c r="P6" s="305" t="str">
        <x:v>Only this field decides tank eligibility</x:v>
      </x:c>
    </x:row>
    <x:row r="7">
      <x:c r="A7" s="262" t="str">
        <x:v>K197</x:v>
      </x:c>
      <x:c r="B7" s="271" t="n">
        <x:f>COUNTIFS($A$23:$A$189,A7,$C$23:$C$189,"Yes")</x:f>
        <x:v>4</x:v>
      </x:c>
      <x:c r="C7" s="272" t="str">
        <x:v>Хлебушек</x:v>
      </x:c>
      <x:c r="D7" s="273" t="n">
        <x:f>SUMIFS($L$23:$L$189,$A$23:$A$189,A7,$C$23:$C$189,"Yes",$M$23:$M$189,1)</x:f>
        <x:v>89.05376794415304</x:v>
      </x:c>
      <x:c r="E7" s="273" t="n">
        <x:f>IF(B7&gt;1,(SUMIFS($L$23:$L$189,$A$23:$A$189,A7,$C$23:$C$189,"Yes")-D7)/(B7-1),0)</x:f>
        <x:v>26.054031896959845</x:v>
      </x:c>
      <x:c r="F7" s="273" t="n">
        <x:f>100*MIN(B7/$O$8,1)</x:f>
        <x:v>80</x:v>
      </x:c>
      <x:c r="G7" s="273" t="n">
        <x:f>$O$9*F7+$O$10*E7</x:f>
        <x:v>63.81620956908795</x:v>
      </x:c>
      <x:c r="H7" s="273" t="n">
        <x:f>$O$11*D7+$O$12*G7</x:f>
        <x:v>82.74437835038677</x:v>
      </x:c>
      <x:c r="I7" s="273" t="n">
        <x:v>70.17756808543625</x:v>
      </x:c>
      <x:c r="J7" s="273" t="n">
        <x:f>$O$13*I7+$O$14*H7</x:f>
        <x:v>75.832632704664</x:v>
      </x:c>
      <x:c r="K7" s="273" t="n">
        <x:f>$O$13*I7+$O$14*D7</x:f>
        <x:v>78.67185802185881</x:v>
      </x:c>
      <x:c r="L7" s="271" t="n">
        <x:f>1+COUNTIF($J$6:$J$13,"&gt;"&amp;J7)</x:f>
        <x:v>2</x:v>
      </x:c>
      <x:c r="N7" s="305" t="str">
        <x:v>Percentile power</x:v>
      </x:c>
      <x:c r="O7" s="307" t="n">
        <x:v>1.75</x:v>
      </x:c>
      <x:c r="P7" s="305" t="str">
        <x:v>Emphasises top-end Guard stats</x:v>
      </x:c>
    </x:row>
    <x:row r="8">
      <x:c r="A8" s="263" t="str">
        <x:v>K116</x:v>
      </x:c>
      <x:c r="B8" s="271" t="n">
        <x:f>COUNTIFS($A$23:$A$189,A8,$C$23:$C$189,"Yes")</x:f>
        <x:v>5</x:v>
      </x:c>
      <x:c r="C8" s="272" t="str">
        <x:v>Jesse</x:v>
      </x:c>
      <x:c r="D8" s="273" t="n">
        <x:f>SUMIFS($L$23:$L$189,$A$23:$A$189,A8,$C$23:$C$189,"Yes",$M$23:$M$189,1)</x:f>
        <x:v>74.28901926266018</x:v>
      </x:c>
      <x:c r="E8" s="273" t="n">
        <x:f>IF(B8&gt;1,(SUMIFS($L$23:$L$189,$A$23:$A$189,A8,$C$23:$C$189,"Yes")-D8)/(B8-1),0)</x:f>
        <x:v>26.711670795625185</x:v>
      </x:c>
      <x:c r="F8" s="273" t="n">
        <x:f>100*MIN(B8/$O$8,1)</x:f>
        <x:v>100</x:v>
      </x:c>
      <x:c r="G8" s="273" t="n">
        <x:f>$O$9*F8+$O$10*E8</x:f>
        <x:v>78.01350123868755</x:v>
      </x:c>
      <x:c r="H8" s="273" t="n">
        <x:f>$O$11*D8+$O$12*G8</x:f>
        <x:v>75.22013975666701</x:v>
      </x:c>
      <x:c r="I8" s="273" t="n">
        <x:v>63.806729005607515</x:v>
      </x:c>
      <x:c r="J8" s="273" t="n">
        <x:f>$O$13*I8+$O$14*H8</x:f>
        <x:v>68.94276384358429</x:v>
      </x:c>
      <x:c r="K8" s="273" t="n">
        <x:f>$O$13*I8+$O$14*D8</x:f>
        <x:v>68.52375962128122</x:v>
      </x:c>
      <x:c r="L8" s="271" t="n">
        <x:f>1+COUNTIF($J$6:$J$13,"&gt;"&amp;J8)</x:f>
        <x:v>3</x:v>
      </x:c>
      <x:c r="N8" s="305" t="str">
        <x:v>Tank count target</x:v>
      </x:c>
      <x:c r="O8" s="308" t="n">
        <x:v>5</x:v>
      </x:c>
      <x:c r="P8" s="305" t="str">
        <x:v>Five tanks gives a 100 Count Score</x:v>
      </x:c>
    </x:row>
    <x:row r="9">
      <x:c r="A9" s="264" t="str">
        <x:v>K60</x:v>
      </x:c>
      <x:c r="B9" s="271" t="n">
        <x:f>COUNTIFS($A$23:$A$189,A9,$C$23:$C$189,"Yes")</x:f>
        <x:v>5</x:v>
      </x:c>
      <x:c r="C9" s="272" t="str">
        <x:v>CerialKiller</x:v>
      </x:c>
      <x:c r="D9" s="273" t="n">
        <x:f>SUMIFS($L$23:$L$189,$A$23:$A$189,A9,$C$23:$C$189,"Yes",$M$23:$M$189,1)</x:f>
        <x:v>60.82790461700929</x:v>
      </x:c>
      <x:c r="E9" s="273" t="n">
        <x:f>IF(B9&gt;1,(SUMIFS($L$23:$L$189,$A$23:$A$189,A9,$C$23:$C$189,"Yes")-D9)/(B9-1),0)</x:f>
        <x:v>18.383775241917775</x:v>
      </x:c>
      <x:c r="F9" s="273" t="n">
        <x:f>100*MIN(B9/$O$8,1)</x:f>
        <x:v>100</x:v>
      </x:c>
      <x:c r="G9" s="273" t="n">
        <x:f>$O$9*F9+$O$10*E9</x:f>
        <x:v>75.51513257257534</x:v>
      </x:c>
      <x:c r="H9" s="273" t="n">
        <x:f>$O$11*D9+$O$12*G9</x:f>
        <x:v>64.4997116059008</x:v>
      </x:c>
      <x:c r="I9" s="273" t="n">
        <x:v>67.79864359741353</x:v>
      </x:c>
      <x:c r="J9" s="273" t="n">
        <x:f>$O$13*I9+$O$14*H9</x:f>
        <x:v>66.3141242012328</x:v>
      </x:c>
      <x:c r="K9" s="273" t="n">
        <x:f>$O$13*I9+$O$14*D9</x:f>
        <x:v>64.66181105623161</x:v>
      </x:c>
      <x:c r="L9" s="271" t="n">
        <x:f>1+COUNTIF($J$6:$J$13,"&gt;"&amp;J9)</x:f>
        <x:v>4</x:v>
      </x:c>
      <x:c r="N9" s="305" t="str">
        <x:v>Count in Control</x:v>
      </x:c>
      <x:c r="O9" s="306" t="n">
        <x:v>0.7</x:v>
      </x:c>
      <x:c r="P9" s="305" t="str">
        <x:v>More tanks means more map/rally control</x:v>
      </x:c>
    </x:row>
    <x:row r="10">
      <x:c r="A10" s="265" t="str">
        <x:v>K91</x:v>
      </x:c>
      <x:c r="B10" s="271" t="n">
        <x:f>COUNTIFS($A$23:$A$189,A10,$C$23:$C$189,"Yes")</x:f>
        <x:v>2</x:v>
      </x:c>
      <x:c r="C10" s="272" t="str">
        <x:v>•Pain•</x:v>
      </x:c>
      <x:c r="D10" s="273" t="n">
        <x:f>SUMIFS($L$23:$L$189,$A$23:$A$189,A10,$C$23:$C$189,"Yes",$M$23:$M$189,1)</x:f>
        <x:v>83.9303893784542</x:v>
      </x:c>
      <x:c r="E10" s="273" t="n">
        <x:f>IF(B10&gt;1,(SUMIFS($L$23:$L$189,$A$23:$A$189,A10,$C$23:$C$189,"Yes")-D10)/(B10-1),0)</x:f>
        <x:v>28.506871945286193</x:v>
      </x:c>
      <x:c r="F10" s="273" t="n">
        <x:f>100*MIN(B10/$O$8,1)</x:f>
        <x:v>40</x:v>
      </x:c>
      <x:c r="G10" s="273" t="n">
        <x:f>$O$9*F10+$O$10*E10</x:f>
        <x:v>36.552061583585854</x:v>
      </x:c>
      <x:c r="H10" s="273" t="n">
        <x:f>$O$11*D10+$O$12*G10</x:f>
        <x:v>72.0858074297371</x:v>
      </x:c>
      <x:c r="I10" s="273" t="n">
        <x:v>57.927831493337024</x:v>
      </x:c>
      <x:c r="J10" s="273" t="n">
        <x:f>$O$13*I10+$O$14*H10</x:f>
        <x:v>64.29892066471706</x:v>
      </x:c>
      <x:c r="K10" s="273" t="n">
        <x:f>$O$13*I10+$O$14*D10</x:f>
        <x:v>69.62898254163976</x:v>
      </x:c>
      <x:c r="L10" s="271" t="n">
        <x:f>1+COUNTIF($J$6:$J$13,"&gt;"&amp;J10)</x:f>
        <x:v>5</x:v>
      </x:c>
      <x:c r="N10" s="305" t="str">
        <x:v>Backup quality in Control</x:v>
      </x:c>
      <x:c r="O10" s="306" t="n">
        <x:v>0.3</x:v>
      </x:c>
      <x:c r="P10" s="305" t="str">
        <x:v>Rewards stronger additional starters</x:v>
      </x:c>
    </x:row>
    <x:row r="11">
      <x:c r="A11" s="266" t="str">
        <x:v>K176</x:v>
      </x:c>
      <x:c r="B11" s="271" t="n">
        <x:f>COUNTIFS($A$23:$A$189,A11,$C$23:$C$189,"Yes")</x:f>
        <x:v>4</x:v>
      </x:c>
      <x:c r="C11" s="272" t="str">
        <x:v>苟拓通天肆意妄为</x:v>
      </x:c>
      <x:c r="D11" s="273" t="n">
        <x:f>SUMIFS($L$23:$L$189,$A$23:$A$189,A11,$C$23:$C$189,"Yes",$M$23:$M$189,1)</x:f>
        <x:v>73.93669792686401</x:v>
      </x:c>
      <x:c r="E11" s="273" t="n">
        <x:f>IF(B11&gt;1,(SUMIFS($L$23:$L$189,$A$23:$A$189,A11,$C$23:$C$189,"Yes")-D11)/(B11-1),0)</x:f>
        <x:v>20.90094722666376</x:v>
      </x:c>
      <x:c r="F11" s="273" t="n">
        <x:f>100*MIN(B11/$O$8,1)</x:f>
        <x:v>80</x:v>
      </x:c>
      <x:c r="G11" s="273" t="n">
        <x:f>$O$9*F11+$O$10*E11</x:f>
        <x:v>62.27028416799913</x:v>
      </x:c>
      <x:c r="H11" s="273" t="n">
        <x:f>$O$11*D11+$O$12*G11</x:f>
        <x:v>71.02009448714779</x:v>
      </x:c>
      <x:c r="I11" s="273" t="n">
        <x:v>57.256873979809825</x:v>
      </x:c>
      <x:c r="J11" s="273" t="n">
        <x:f>$O$13*I11+$O$14*H11</x:f>
        <x:v>63.45032320811191</x:v>
      </x:c>
      <x:c r="K11" s="273" t="n">
        <x:f>$O$13*I11+$O$14*D11</x:f>
        <x:v>64.76279475598422</x:v>
      </x:c>
      <x:c r="L11" s="271" t="n">
        <x:f>1+COUNTIF($J$6:$J$13,"&gt;"&amp;J11)</x:f>
        <x:v>6</x:v>
      </x:c>
      <x:c r="N11" s="305" t="str">
        <x:v>Main Tank in Tank Impact</x:v>
      </x:c>
      <x:c r="O11" s="306" t="n">
        <x:v>0.75</x:v>
      </x:c>
      <x:c r="P11" s="305" t="str">
        <x:v>Will of Caesar / throne rally starter</x:v>
      </x:c>
    </x:row>
    <x:row r="12">
      <x:c r="A12" s="267" t="str">
        <x:v>K138</x:v>
      </x:c>
      <x:c r="B12" s="271" t="n">
        <x:f>COUNTIFS($A$23:$A$189,A12,$C$23:$C$189,"Yes")</x:f>
        <x:v>5</x:v>
      </x:c>
      <x:c r="C12" s="272" t="str">
        <x:v>(RaW)ϟCrozyϟ</x:v>
      </x:c>
      <x:c r="D12" s="273" t="n">
        <x:f>SUMIFS($L$23:$L$189,$A$23:$A$189,A12,$C$23:$C$189,"Yes",$M$23:$M$189,1)</x:f>
        <x:v>52.973218922766854</x:v>
      </x:c>
      <x:c r="E12" s="273" t="n">
        <x:f>IF(B12&gt;1,(SUMIFS($L$23:$L$189,$A$23:$A$189,A12,$C$23:$C$189,"Yes")-D12)/(B12-1),0)</x:f>
        <x:v>17.52442864602945</x:v>
      </x:c>
      <x:c r="F12" s="273" t="n">
        <x:f>100*MIN(B12/$O$8,1)</x:f>
        <x:v>100</x:v>
      </x:c>
      <x:c r="G12" s="273" t="n">
        <x:f>$O$9*F12+$O$10*E12</x:f>
        <x:v>75.25732859380884</x:v>
      </x:c>
      <x:c r="H12" s="273" t="n">
        <x:f>$O$11*D12+$O$12*G12</x:f>
        <x:v>58.54424634052735</x:v>
      </x:c>
      <x:c r="I12" s="273" t="n">
        <x:v>61.554874689681014</x:v>
      </x:c>
      <x:c r="J12" s="273" t="n">
        <x:f>$O$13*I12+$O$14*H12</x:f>
        <x:v>60.20009193256187</x:v>
      </x:c>
      <x:c r="K12" s="273" t="n">
        <x:f>$O$13*I12+$O$14*D12</x:f>
        <x:v>57.69312959456964</x:v>
      </x:c>
      <x:c r="L12" s="271" t="n">
        <x:f>1+COUNTIF($J$6:$J$13,"&gt;"&amp;J12)</x:f>
        <x:v>7</x:v>
      </x:c>
      <x:c r="N12" s="305" t="str">
        <x:v>Tank Control in Tank Impact</x:v>
      </x:c>
      <x:c r="O12" s="306" t="n">
        <x:v>0.25</x:v>
      </x:c>
      <x:c r="P12" s="305" t="str">
        <x:v>Wider event-control contribution</x:v>
      </x:c>
    </x:row>
    <x:row r="13">
      <x:c r="A13" s="268" t="str">
        <x:v>K170</x:v>
      </x:c>
      <x:c r="B13" s="271" t="n">
        <x:f>COUNTIFS($A$23:$A$189,A13,$C$23:$C$189,"Yes")</x:f>
        <x:v>3</x:v>
      </x:c>
      <x:c r="C13" s="272" t="str">
        <x:v>(AOT)SanSW°</x:v>
      </x:c>
      <x:c r="D13" s="273" t="n">
        <x:f>SUMIFS($L$23:$L$189,$A$23:$A$189,A13,$C$23:$C$189,"Yes",$M$23:$M$189,1)</x:f>
        <x:v>53.24285509054768</x:v>
      </x:c>
      <x:c r="E13" s="273" t="n">
        <x:f>IF(B13&gt;1,(SUMIFS($L$23:$L$189,$A$23:$A$189,A13,$C$23:$C$189,"Yes")-D13)/(B13-1),0)</x:f>
        <x:v>14.630107310548823</x:v>
      </x:c>
      <x:c r="F13" s="273" t="n">
        <x:f>100*MIN(B13/$O$8,1)</x:f>
        <x:v>60</x:v>
      </x:c>
      <x:c r="G13" s="273" t="n">
        <x:f>$O$9*F13+$O$10*E13</x:f>
        <x:v>46.389032193164645</x:v>
      </x:c>
      <x:c r="H13" s="273" t="n">
        <x:f>$O$11*D13+$O$12*G13</x:f>
        <x:v>51.52939936620192</x:v>
      </x:c>
      <x:c r="I13" s="273" t="n">
        <x:v>56.88070357022704</x:v>
      </x:c>
      <x:c r="J13" s="273" t="n">
        <x:f>$O$13*I13+$O$14*H13</x:f>
        <x:v>54.47261667841574</x:v>
      </x:c>
      <x:c r="K13" s="273" t="n">
        <x:f>$O$13*I13+$O$14*D13</x:f>
        <x:v>55.243671754371334</x:v>
      </x:c>
      <x:c r="L13" s="271" t="n">
        <x:f>1+COUNTIF($J$6:$J$13,"&gt;"&amp;J13)</x:f>
        <x:v>8</x:v>
      </x:c>
      <x:c r="N13" s="305" t="str">
        <x:v>Offense in Event Strength</x:v>
      </x:c>
      <x:c r="O13" s="306" t="n">
        <x:v>0.55</x:v>
      </x:c>
      <x:c r="P13" s="305" t="str">
        <x:v>Existing damage model contribution</x:v>
      </x:c>
    </x:row>
    <x:row r="14">
      <x:c r="N14" s="305" t="str">
        <x:v>Tank Impact in Event Strength</x:v>
      </x:c>
      <x:c r="O14" s="306" t="n">
        <x:v>0.45</x:v>
      </x:c>
      <x:c r="P14" s="305" t="str">
        <x:v>Main starter plus control</x:v>
      </x:c>
    </x:row>
    <x:row r="15">
      <x:c r="A15" s="275" t="str">
        <x:v>How to read it</x:v>
      </x:c>
      <x:c r="B15" s="275"/>
      <x:c r="C15" s="275"/>
      <x:c r="D15" s="275"/>
      <x:c r="E15" s="275"/>
      <x:c r="F15" s="275"/>
      <x:c r="G15" s="275"/>
      <x:c r="H15" s="275"/>
      <x:c r="I15" s="275"/>
      <x:c r="J15" s="275"/>
      <x:c r="K15" s="275"/>
      <x:c r="L15" s="275"/>
      <x:c r="N15" s="305" t="str">
        <x:v>Probability scale</x:v>
      </x:c>
      <x:c r="O15" s="309" t="n">
        <x:v>15</x:v>
      </x:c>
      <x:c r="P15" s="305" t="str">
        <x:v>Logistic matchup sensitivity</x:v>
      </x:c>
    </x:row>
    <x:row r="16">
      <x:c r="A16" s="296" t="str">
        <x:v>Main Tank is the strongest qualifying Guard profile and carries 75% of Tank Impact because Will of Caesar gives the rally starter’s Guard statistics to the rally. Tank Control carries 25% and rewards both the number of qualifying tanks and the quality of the backups. Event Strength includes control; Throne Strength deliberately excludes it, so having more tanks improves map control without automatically making that kingdom the favourite in the decisive throne rally.</x:v>
      </x:c>
      <x:c r="B16" s="297"/>
      <x:c r="C16" s="297"/>
      <x:c r="D16" s="297"/>
      <x:c r="E16" s="297"/>
      <x:c r="F16" s="297"/>
      <x:c r="G16" s="297"/>
      <x:c r="H16" s="297"/>
      <x:c r="I16" s="297"/>
      <x:c r="J16" s="297"/>
      <x:c r="K16" s="297"/>
      <x:c r="L16" s="298"/>
      <x:c r="N16" s="305" t="str">
        <x:v>Minimum probability</x:v>
      </x:c>
      <x:c r="O16" s="306" t="n">
        <x:v>0.2</x:v>
      </x:c>
      <x:c r="P16" s="305" t="str">
        <x:v>Conservative floor</x:v>
      </x:c>
    </x:row>
    <x:row r="17">
      <x:c r="A17" s="299"/>
      <x:c r="B17" s="300"/>
      <x:c r="C17" s="300"/>
      <x:c r="D17" s="300"/>
      <x:c r="E17" s="300"/>
      <x:c r="F17" s="300"/>
      <x:c r="G17" s="300"/>
      <x:c r="H17" s="300"/>
      <x:c r="I17" s="300"/>
      <x:c r="J17" s="300"/>
      <x:c r="K17" s="300"/>
      <x:c r="L17" s="301"/>
      <x:c r="N17" s="305" t="str">
        <x:v>Maximum probability</x:v>
      </x:c>
      <x:c r="O17" s="306" t="n">
        <x:v>0.8</x:v>
      </x:c>
      <x:c r="P17" s="305" t="str">
        <x:v>Conservative ceiling</x:v>
      </x:c>
    </x:row>
    <x:row r="18">
      <x:c r="A18" s="299"/>
      <x:c r="B18" s="300"/>
      <x:c r="C18" s="300"/>
      <x:c r="D18" s="300"/>
      <x:c r="E18" s="300"/>
      <x:c r="F18" s="300"/>
      <x:c r="G18" s="300"/>
      <x:c r="H18" s="300"/>
      <x:c r="I18" s="300"/>
      <x:c r="J18" s="300"/>
      <x:c r="K18" s="300"/>
      <x:c r="L18" s="301"/>
      <x:c r="N18" s="305" t="str">
        <x:v>Eligible tank profiles</x:v>
      </x:c>
      <x:c r="O18" s="308" t="n">
        <x:f>COUNTIF($C$23:$C$189,"Yes")</x:f>
        <x:v>32</x:v>
      </x:c>
      <x:c r="P18" s="305" t="str">
        <x:v>Calculated from the current snapshots</x:v>
      </x:c>
    </x:row>
    <x:row r="19">
      <x:c r="A19" s="302"/>
      <x:c r="B19" s="303"/>
      <x:c r="C19" s="303"/>
      <x:c r="D19" s="303"/>
      <x:c r="E19" s="303"/>
      <x:c r="F19" s="303"/>
      <x:c r="G19" s="303"/>
      <x:c r="H19" s="303"/>
      <x:c r="I19" s="303"/>
      <x:c r="J19" s="303"/>
      <x:c r="K19" s="303"/>
      <x:c r="L19" s="304"/>
    </x:row>
    <x:row r="21">
      <x:c r="A21" s="237" t="str">
        <x:v>Player-level tank audit</x:v>
      </x:c>
      <x:c r="B21" s="237"/>
      <x:c r="C21" s="237"/>
      <x:c r="D21" s="237"/>
      <x:c r="E21" s="237"/>
      <x:c r="F21" s="237"/>
      <x:c r="G21" s="237"/>
      <x:c r="H21" s="237"/>
      <x:c r="I21" s="237"/>
      <x:c r="J21" s="237"/>
      <x:c r="K21" s="237"/>
      <x:c r="L21" s="237"/>
      <x:c r="M21" s="237"/>
    </x:row>
    <x:row r="22" ht="34" customHeight="1">
      <x:c r="A22" s="310" t="str">
        <x:v>Kingdom</x:v>
      </x:c>
      <x:c r="B22" s="310" t="str">
        <x:v>Player</x:v>
      </x:c>
      <x:c r="C22" s="310" t="str">
        <x:v>Eligible ≥700%</x:v>
      </x:c>
      <x:c r="D22" s="310" t="str">
        <x:v>Inf Health</x:v>
      </x:c>
      <x:c r="E22" s="310" t="str">
        <x:v>Inf Defense</x:v>
      </x:c>
      <x:c r="F22" s="310" t="str">
        <x:v>Inf Damage Received</x:v>
      </x:c>
      <x:c r="G22" s="310" t="str">
        <x:v>Inf Protection</x:v>
      </x:c>
      <x:c r="H22" s="310" t="str">
        <x:v>Health Score</x:v>
      </x:c>
      <x:c r="I22" s="310" t="str">
        <x:v>Defense Score</x:v>
      </x:c>
      <x:c r="J22" s="310" t="str">
        <x:v>Damage Received Score</x:v>
      </x:c>
      <x:c r="K22" s="310" t="str">
        <x:v>Protection Score</x:v>
      </x:c>
      <x:c r="L22" s="310" t="str">
        <x:v>Guard Tank Score</x:v>
      </x:c>
      <x:c r="M22" s="310" t="str">
        <x:v>Kingdom Tank Rank</x:v>
      </x:c>
    </x:row>
    <x:row r="23">
      <x:c r="A23" s="311" t="str">
        <x:f>'All Stats'!A6</x:f>
        <x:v>K60</x:v>
      </x:c>
      <x:c r="B23" s="311" t="str">
        <x:f>'All Stats'!B6</x:f>
        <x:v>CerialKiller</x:v>
      </x:c>
      <x:c r="C23" s="315" t="str">
        <x:f>IF(G23&gt;=$O$6,"Yes","No")</x:f>
        <x:v>Yes</x:v>
      </x:c>
      <x:c r="D23" s="312" t="n">
        <x:f>'All Stats'!L6</x:f>
        <x:v>26.6192</x:v>
      </x:c>
      <x:c r="E23" s="312" t="n">
        <x:f>'All Stats'!M6</x:f>
        <x:v>19.582</x:v>
      </x:c>
      <x:c r="F23" s="312" t="n">
        <x:f>'All Stats'!O6</x:f>
        <x:v>-2.19</x:v>
      </x:c>
      <x:c r="G23" s="312" t="n">
        <x:f>'All Stats'!Q6</x:f>
        <x:v>7</x:v>
      </x:c>
      <x:c r="H23" s="316" t="n">
        <x:f>IF(C23="Yes",100*((COUNTIFS($C$23:$C$189,"Yes",$D$23:$D$189,"&lt;"&amp;D23)+(COUNTIFS($C$23:$C$189,"Yes",$D$23:$D$189,D23)-1)/2)/($O$18-1))^$O$7,"")</x:f>
        <x:v>78.52421854051717</x:v>
      </x:c>
      <x:c r="I23" s="316" t="n">
        <x:f>IF(C23="Yes",100*((COUNTIFS($C$23:$C$189,"Yes",$E$23:$E$189,"&lt;"&amp;E23)+(COUNTIFS($C$23:$C$189,"Yes",$E$23:$E$189,E23)-1)/2)/($O$18-1))^$O$7,"")</x:f>
        <x:v>68.62969217715195</x:v>
      </x:c>
      <x:c r="J23" s="316" t="n">
        <x:f>IF(C23="Yes",100*((COUNTIFS($C$23:$C$189,"Yes",$F$23:$F$189,"&gt;"&amp;F23)+(COUNTIFS($C$23:$C$189,"Yes",$F$23:$F$189,F23)-1)/2)/($O$18-1))^$O$7,"")</x:f>
        <x:v>78.52421854051717</x:v>
      </x:c>
      <x:c r="K23" s="316" t="n">
        <x:f>IF(C23="Yes",100*((COUNTIFS($C$23:$C$189,"Yes",$G$23:$G$189,"&lt;"&amp;G23)+(COUNTIFS($C$23:$C$189,"Yes",$G$23:$G$189,G23)-1)/2)/($O$18-1))^$O$7,"")</x:f>
        <x:v>17.63348920985086</x:v>
      </x:c>
      <x:c r="L23" s="316" t="n">
        <x:f>IF(C23="Yes",AVERAGE(H23:K23),"")</x:f>
        <x:v>60.82790461700929</x:v>
      </x:c>
      <x:c r="M23" s="317" t="n">
        <x:f>IF(C23="Yes",1+COUNTIFS($A$23:$A$189,A23,$C$23:$C$189,"Yes",$L$23:$L$189,"&gt;"&amp;L23),"")</x:f>
        <x:v>1</x:v>
      </x:c>
    </x:row>
    <x:row r="24">
      <x:c r="A24" s="311" t="str">
        <x:f>'All Stats'!A7</x:f>
        <x:v>K60</x:v>
      </x:c>
      <x:c r="B24" s="311" t="str">
        <x:f>'All Stats'!B7</x:f>
        <x:v>Hitt</x:v>
      </x:c>
      <x:c r="C24" s="315" t="str">
        <x:f>IF(G24&gt;=$O$6,"Yes","No")</x:f>
        <x:v>No</x:v>
      </x:c>
      <x:c r="D24" s="312" t="n">
        <x:f>'All Stats'!L7</x:f>
        <x:v>13.9657</x:v>
      </x:c>
      <x:c r="E24" s="312" t="n">
        <x:f>'All Stats'!M7</x:f>
        <x:v>9.3349</x:v>
      </x:c>
      <x:c r="F24" s="312" t="n">
        <x:f>'All Stats'!O7</x:f>
        <x:v>-0.635</x:v>
      </x:c>
      <x:c r="G24" s="312" t="n">
        <x:f>'All Stats'!Q7</x:f>
        <x:v>2.46</x:v>
      </x:c>
      <x:c r="H24" s="316" t="str">
        <x:f>IF(C24="Yes",100*((COUNTIFS($C$23:$C$189,"Yes",$D$23:$D$189,"&lt;"&amp;D24)+(COUNTIFS($C$23:$C$189,"Yes",$D$23:$D$189,D24)-1)/2)/($O$18-1))^$O$7,"")</x:f>
      </x:c>
      <x:c r="I24" s="316" t="str">
        <x:f>IF(C24="Yes",100*((COUNTIFS($C$23:$C$189,"Yes",$E$23:$E$189,"&lt;"&amp;E24)+(COUNTIFS($C$23:$C$189,"Yes",$E$23:$E$189,E24)-1)/2)/($O$18-1))^$O$7,"")</x:f>
      </x:c>
      <x:c r="J24" s="316" t="str">
        <x:f>IF(C24="Yes",100*((COUNTIFS($C$23:$C$189,"Yes",$F$23:$F$189,"&gt;"&amp;F24)+(COUNTIFS($C$23:$C$189,"Yes",$F$23:$F$189,F24)-1)/2)/($O$18-1))^$O$7,"")</x:f>
      </x:c>
      <x:c r="K24" s="316" t="str">
        <x:f>IF(C24="Yes",100*((COUNTIFS($C$23:$C$189,"Yes",$G$23:$G$189,"&lt;"&amp;G24)+(COUNTIFS($C$23:$C$189,"Yes",$G$23:$G$189,G24)-1)/2)/($O$18-1))^$O$7,"")</x:f>
      </x:c>
      <x:c r="L24" s="316" t="str">
        <x:f>IF(C24="Yes",AVERAGE(H24:K24),"")</x:f>
      </x:c>
      <x:c r="M24" s="317" t="str">
        <x:f>IF(C24="Yes",1+COUNTIFS($A$23:$A$189,A24,$C$23:$C$189,"Yes",$L$23:$L$189,"&gt;"&amp;L24),"")</x:f>
      </x:c>
    </x:row>
    <x:row r="25">
      <x:c r="A25" s="311" t="str">
        <x:f>'All Stats'!A8</x:f>
        <x:v>K60</x:v>
      </x:c>
      <x:c r="B25" s="311" t="str">
        <x:f>'All Stats'!B8</x:f>
        <x:v>Λžtěč (Aztec)</x:v>
      </x:c>
      <x:c r="C25" s="315" t="str">
        <x:f>IF(G25&gt;=$O$6,"Yes","No")</x:f>
        <x:v>No</x:v>
      </x:c>
      <x:c r="D25" s="312" t="n">
        <x:f>'All Stats'!L8</x:f>
        <x:v>13.785</x:v>
      </x:c>
      <x:c r="E25" s="312" t="n">
        <x:f>'All Stats'!M8</x:f>
        <x:v>9.1299</x:v>
      </x:c>
      <x:c r="F25" s="312" t="n">
        <x:f>'All Stats'!O8</x:f>
        <x:v>-0.6</x:v>
      </x:c>
      <x:c r="G25" s="312" t="n">
        <x:f>'All Stats'!Q8</x:f>
        <x:v>4.45</x:v>
      </x:c>
      <x:c r="H25" s="316" t="str">
        <x:f>IF(C25="Yes",100*((COUNTIFS($C$23:$C$189,"Yes",$D$23:$D$189,"&lt;"&amp;D25)+(COUNTIFS($C$23:$C$189,"Yes",$D$23:$D$189,D25)-1)/2)/($O$18-1))^$O$7,"")</x:f>
      </x:c>
      <x:c r="I25" s="316" t="str">
        <x:f>IF(C25="Yes",100*((COUNTIFS($C$23:$C$189,"Yes",$E$23:$E$189,"&lt;"&amp;E25)+(COUNTIFS($C$23:$C$189,"Yes",$E$23:$E$189,E25)-1)/2)/($O$18-1))^$O$7,"")</x:f>
      </x:c>
      <x:c r="J25" s="316" t="str">
        <x:f>IF(C25="Yes",100*((COUNTIFS($C$23:$C$189,"Yes",$F$23:$F$189,"&gt;"&amp;F25)+(COUNTIFS($C$23:$C$189,"Yes",$F$23:$F$189,F25)-1)/2)/($O$18-1))^$O$7,"")</x:f>
      </x:c>
      <x:c r="K25" s="316" t="str">
        <x:f>IF(C25="Yes",100*((COUNTIFS($C$23:$C$189,"Yes",$G$23:$G$189,"&lt;"&amp;G25)+(COUNTIFS($C$23:$C$189,"Yes",$G$23:$G$189,G25)-1)/2)/($O$18-1))^$O$7,"")</x:f>
      </x:c>
      <x:c r="L25" s="316" t="str">
        <x:f>IF(C25="Yes",AVERAGE(H25:K25),"")</x:f>
      </x:c>
      <x:c r="M25" s="317" t="str">
        <x:f>IF(C25="Yes",1+COUNTIFS($A$23:$A$189,A25,$C$23:$C$189,"Yes",$L$23:$L$189,"&gt;"&amp;L25),"")</x:f>
      </x:c>
    </x:row>
    <x:row r="26">
      <x:c r="A26" s="311" t="str">
        <x:f>'All Stats'!A9</x:f>
        <x:v>K60</x:v>
      </x:c>
      <x:c r="B26" s="311" t="str">
        <x:f>'All Stats'!B9</x:f>
        <x:v>MoonLight</x:v>
      </x:c>
      <x:c r="C26" s="315" t="str">
        <x:f>IF(G26&gt;=$O$6,"Yes","No")</x:f>
        <x:v>No</x:v>
      </x:c>
      <x:c r="D26" s="312" t="n">
        <x:f>'All Stats'!L9</x:f>
        <x:v>16.405</x:v>
      </x:c>
      <x:c r="E26" s="312" t="n">
        <x:f>'All Stats'!M9</x:f>
        <x:v>10.8099</x:v>
      </x:c>
      <x:c r="F26" s="312" t="n">
        <x:f>'All Stats'!O9</x:f>
        <x:v>-0.675</x:v>
      </x:c>
      <x:c r="G26" s="312" t="n">
        <x:f>'All Stats'!Q9</x:f>
        <x:v>2.56</x:v>
      </x:c>
      <x:c r="H26" s="316" t="str">
        <x:f>IF(C26="Yes",100*((COUNTIFS($C$23:$C$189,"Yes",$D$23:$D$189,"&lt;"&amp;D26)+(COUNTIFS($C$23:$C$189,"Yes",$D$23:$D$189,D26)-1)/2)/($O$18-1))^$O$7,"")</x:f>
      </x:c>
      <x:c r="I26" s="316" t="str">
        <x:f>IF(C26="Yes",100*((COUNTIFS($C$23:$C$189,"Yes",$E$23:$E$189,"&lt;"&amp;E26)+(COUNTIFS($C$23:$C$189,"Yes",$E$23:$E$189,E26)-1)/2)/($O$18-1))^$O$7,"")</x:f>
      </x:c>
      <x:c r="J26" s="316" t="str">
        <x:f>IF(C26="Yes",100*((COUNTIFS($C$23:$C$189,"Yes",$F$23:$F$189,"&gt;"&amp;F26)+(COUNTIFS($C$23:$C$189,"Yes",$F$23:$F$189,F26)-1)/2)/($O$18-1))^$O$7,"")</x:f>
      </x:c>
      <x:c r="K26" s="316" t="str">
        <x:f>IF(C26="Yes",100*((COUNTIFS($C$23:$C$189,"Yes",$G$23:$G$189,"&lt;"&amp;G26)+(COUNTIFS($C$23:$C$189,"Yes",$G$23:$G$189,G26)-1)/2)/($O$18-1))^$O$7,"")</x:f>
      </x:c>
      <x:c r="L26" s="316" t="str">
        <x:f>IF(C26="Yes",AVERAGE(H26:K26),"")</x:f>
      </x:c>
      <x:c r="M26" s="317" t="str">
        <x:f>IF(C26="Yes",1+COUNTIFS($A$23:$A$189,A26,$C$23:$C$189,"Yes",$L$23:$L$189,"&gt;"&amp;L26),"")</x:f>
      </x:c>
    </x:row>
    <x:row r="27">
      <x:c r="A27" s="311" t="str">
        <x:f>'All Stats'!A10</x:f>
        <x:v>K60</x:v>
      </x:c>
      <x:c r="B27" s="311" t="str">
        <x:f>'All Stats'!B10</x:f>
        <x:v>KingSkorpioN</x:v>
      </x:c>
      <x:c r="C27" s="315" t="str">
        <x:f>IF(G27&gt;=$O$6,"Yes","No")</x:f>
        <x:v>No</x:v>
      </x:c>
      <x:c r="D27" s="312" t="n">
        <x:f>'All Stats'!L10</x:f>
        <x:v>14.935</x:v>
      </x:c>
      <x:c r="E27" s="312" t="n">
        <x:f>'All Stats'!M10</x:f>
        <x:v>10.2199</x:v>
      </x:c>
      <x:c r="F27" s="312" t="n">
        <x:f>'All Stats'!O10</x:f>
        <x:v>-0.6125</x:v>
      </x:c>
      <x:c r="G27" s="312" t="n">
        <x:f>'All Stats'!Q10</x:f>
        <x:v>2.77</x:v>
      </x:c>
      <x:c r="H27" s="316" t="str">
        <x:f>IF(C27="Yes",100*((COUNTIFS($C$23:$C$189,"Yes",$D$23:$D$189,"&lt;"&amp;D27)+(COUNTIFS($C$23:$C$189,"Yes",$D$23:$D$189,D27)-1)/2)/($O$18-1))^$O$7,"")</x:f>
      </x:c>
      <x:c r="I27" s="316" t="str">
        <x:f>IF(C27="Yes",100*((COUNTIFS($C$23:$C$189,"Yes",$E$23:$E$189,"&lt;"&amp;E27)+(COUNTIFS($C$23:$C$189,"Yes",$E$23:$E$189,E27)-1)/2)/($O$18-1))^$O$7,"")</x:f>
      </x:c>
      <x:c r="J27" s="316" t="str">
        <x:f>IF(C27="Yes",100*((COUNTIFS($C$23:$C$189,"Yes",$F$23:$F$189,"&gt;"&amp;F27)+(COUNTIFS($C$23:$C$189,"Yes",$F$23:$F$189,F27)-1)/2)/($O$18-1))^$O$7,"")</x:f>
      </x:c>
      <x:c r="K27" s="316" t="str">
        <x:f>IF(C27="Yes",100*((COUNTIFS($C$23:$C$189,"Yes",$G$23:$G$189,"&lt;"&amp;G27)+(COUNTIFS($C$23:$C$189,"Yes",$G$23:$G$189,G27)-1)/2)/($O$18-1))^$O$7,"")</x:f>
      </x:c>
      <x:c r="L27" s="316" t="str">
        <x:f>IF(C27="Yes",AVERAGE(H27:K27),"")</x:f>
      </x:c>
      <x:c r="M27" s="317" t="str">
        <x:f>IF(C27="Yes",1+COUNTIFS($A$23:$A$189,A27,$C$23:$C$189,"Yes",$L$23:$L$189,"&gt;"&amp;L27),"")</x:f>
      </x:c>
    </x:row>
    <x:row r="28">
      <x:c r="A28" s="311" t="str">
        <x:f>'All Stats'!A11</x:f>
        <x:v>K60</x:v>
      </x:c>
      <x:c r="B28" s="311" t="str">
        <x:f>'All Stats'!B11</x:f>
        <x:v>Crixus</x:v>
      </x:c>
      <x:c r="C28" s="315" t="str">
        <x:f>IF(G28&gt;=$O$6,"Yes","No")</x:f>
        <x:v>No</x:v>
      </x:c>
      <x:c r="D28" s="312" t="n">
        <x:f>'All Stats'!L11</x:f>
        <x:v>15.005</x:v>
      </x:c>
      <x:c r="E28" s="312" t="n">
        <x:f>'All Stats'!M11</x:f>
        <x:v>9.7499</x:v>
      </x:c>
      <x:c r="F28" s="312" t="n">
        <x:f>'All Stats'!O11</x:f>
        <x:v>-1.13</x:v>
      </x:c>
      <x:c r="G28" s="312" t="n">
        <x:f>'All Stats'!Q11</x:f>
        <x:v>1.71</x:v>
      </x:c>
      <x:c r="H28" s="316" t="str">
        <x:f>IF(C28="Yes",100*((COUNTIFS($C$23:$C$189,"Yes",$D$23:$D$189,"&lt;"&amp;D28)+(COUNTIFS($C$23:$C$189,"Yes",$D$23:$D$189,D28)-1)/2)/($O$18-1))^$O$7,"")</x:f>
      </x:c>
      <x:c r="I28" s="316" t="str">
        <x:f>IF(C28="Yes",100*((COUNTIFS($C$23:$C$189,"Yes",$E$23:$E$189,"&lt;"&amp;E28)+(COUNTIFS($C$23:$C$189,"Yes",$E$23:$E$189,E28)-1)/2)/($O$18-1))^$O$7,"")</x:f>
      </x:c>
      <x:c r="J28" s="316" t="str">
        <x:f>IF(C28="Yes",100*((COUNTIFS($C$23:$C$189,"Yes",$F$23:$F$189,"&gt;"&amp;F28)+(COUNTIFS($C$23:$C$189,"Yes",$F$23:$F$189,F28)-1)/2)/($O$18-1))^$O$7,"")</x:f>
      </x:c>
      <x:c r="K28" s="316" t="str">
        <x:f>IF(C28="Yes",100*((COUNTIFS($C$23:$C$189,"Yes",$G$23:$G$189,"&lt;"&amp;G28)+(COUNTIFS($C$23:$C$189,"Yes",$G$23:$G$189,G28)-1)/2)/($O$18-1))^$O$7,"")</x:f>
      </x:c>
      <x:c r="L28" s="316" t="str">
        <x:f>IF(C28="Yes",AVERAGE(H28:K28),"")</x:f>
      </x:c>
      <x:c r="M28" s="317" t="str">
        <x:f>IF(C28="Yes",1+COUNTIFS($A$23:$A$189,A28,$C$23:$C$189,"Yes",$L$23:$L$189,"&gt;"&amp;L28),"")</x:f>
      </x:c>
    </x:row>
    <x:row r="29">
      <x:c r="A29" s="311" t="str">
        <x:f>'All Stats'!A12</x:f>
        <x:v>K60</x:v>
      </x:c>
      <x:c r="B29" s="311" t="str">
        <x:f>'All Stats'!B12</x:f>
        <x:v>Ёжик</x:v>
      </x:c>
      <x:c r="C29" s="315" t="str">
        <x:f>IF(G29&gt;=$O$6,"Yes","No")</x:f>
        <x:v>No</x:v>
      </x:c>
      <x:c r="D29" s="312" t="n">
        <x:f>'All Stats'!L12</x:f>
        <x:v>13.935</x:v>
      </x:c>
      <x:c r="E29" s="312" t="n">
        <x:f>'All Stats'!M12</x:f>
        <x:v>9.5399</x:v>
      </x:c>
      <x:c r="F29" s="312" t="n">
        <x:f>'All Stats'!O12</x:f>
        <x:v>-0.6475</x:v>
      </x:c>
      <x:c r="G29" s="312" t="n">
        <x:f>'All Stats'!Q12</x:f>
        <x:v>2.73</x:v>
      </x:c>
      <x:c r="H29" s="316" t="str">
        <x:f>IF(C29="Yes",100*((COUNTIFS($C$23:$C$189,"Yes",$D$23:$D$189,"&lt;"&amp;D29)+(COUNTIFS($C$23:$C$189,"Yes",$D$23:$D$189,D29)-1)/2)/($O$18-1))^$O$7,"")</x:f>
      </x:c>
      <x:c r="I29" s="316" t="str">
        <x:f>IF(C29="Yes",100*((COUNTIFS($C$23:$C$189,"Yes",$E$23:$E$189,"&lt;"&amp;E29)+(COUNTIFS($C$23:$C$189,"Yes",$E$23:$E$189,E29)-1)/2)/($O$18-1))^$O$7,"")</x:f>
      </x:c>
      <x:c r="J29" s="316" t="str">
        <x:f>IF(C29="Yes",100*((COUNTIFS($C$23:$C$189,"Yes",$F$23:$F$189,"&gt;"&amp;F29)+(COUNTIFS($C$23:$C$189,"Yes",$F$23:$F$189,F29)-1)/2)/($O$18-1))^$O$7,"")</x:f>
      </x:c>
      <x:c r="K29" s="316" t="str">
        <x:f>IF(C29="Yes",100*((COUNTIFS($C$23:$C$189,"Yes",$G$23:$G$189,"&lt;"&amp;G29)+(COUNTIFS($C$23:$C$189,"Yes",$G$23:$G$189,G29)-1)/2)/($O$18-1))^$O$7,"")</x:f>
      </x:c>
      <x:c r="L29" s="316" t="str">
        <x:f>IF(C29="Yes",AVERAGE(H29:K29),"")</x:f>
      </x:c>
      <x:c r="M29" s="317" t="str">
        <x:f>IF(C29="Yes",1+COUNTIFS($A$23:$A$189,A29,$C$23:$C$189,"Yes",$L$23:$L$189,"&gt;"&amp;L29),"")</x:f>
      </x:c>
    </x:row>
    <x:row r="30">
      <x:c r="A30" s="311" t="str">
        <x:f>'All Stats'!A13</x:f>
        <x:v>K60</x:v>
      </x:c>
      <x:c r="B30" s="311" t="str">
        <x:f>'All Stats'!B13</x:f>
        <x:v>༺۝Foxik۝༻</x:v>
      </x:c>
      <x:c r="C30" s="315" t="str">
        <x:f>IF(G30&gt;=$O$6,"Yes","No")</x:f>
        <x:v>No</x:v>
      </x:c>
      <x:c r="D30" s="312" t="n">
        <x:f>'All Stats'!L13</x:f>
        <x:v>14.6</x:v>
      </x:c>
      <x:c r="E30" s="312" t="n">
        <x:f>'All Stats'!M13</x:f>
        <x:v>9.8849</x:v>
      </x:c>
      <x:c r="F30" s="312" t="n">
        <x:f>'All Stats'!O13</x:f>
        <x:v>-0.67</x:v>
      </x:c>
      <x:c r="G30" s="312" t="n">
        <x:f>'All Stats'!Q13</x:f>
        <x:v>3.05</x:v>
      </x:c>
      <x:c r="H30" s="316" t="str">
        <x:f>IF(C30="Yes",100*((COUNTIFS($C$23:$C$189,"Yes",$D$23:$D$189,"&lt;"&amp;D30)+(COUNTIFS($C$23:$C$189,"Yes",$D$23:$D$189,D30)-1)/2)/($O$18-1))^$O$7,"")</x:f>
      </x:c>
      <x:c r="I30" s="316" t="str">
        <x:f>IF(C30="Yes",100*((COUNTIFS($C$23:$C$189,"Yes",$E$23:$E$189,"&lt;"&amp;E30)+(COUNTIFS($C$23:$C$189,"Yes",$E$23:$E$189,E30)-1)/2)/($O$18-1))^$O$7,"")</x:f>
      </x:c>
      <x:c r="J30" s="316" t="str">
        <x:f>IF(C30="Yes",100*((COUNTIFS($C$23:$C$189,"Yes",$F$23:$F$189,"&gt;"&amp;F30)+(COUNTIFS($C$23:$C$189,"Yes",$F$23:$F$189,F30)-1)/2)/($O$18-1))^$O$7,"")</x:f>
      </x:c>
      <x:c r="K30" s="316" t="str">
        <x:f>IF(C30="Yes",100*((COUNTIFS($C$23:$C$189,"Yes",$G$23:$G$189,"&lt;"&amp;G30)+(COUNTIFS($C$23:$C$189,"Yes",$G$23:$G$189,G30)-1)/2)/($O$18-1))^$O$7,"")</x:f>
      </x:c>
      <x:c r="L30" s="316" t="str">
        <x:f>IF(C30="Yes",AVERAGE(H30:K30),"")</x:f>
      </x:c>
      <x:c r="M30" s="317" t="str">
        <x:f>IF(C30="Yes",1+COUNTIFS($A$23:$A$189,A30,$C$23:$C$189,"Yes",$L$23:$L$189,"&gt;"&amp;L30),"")</x:f>
      </x:c>
    </x:row>
    <x:row r="31">
      <x:c r="A31" s="311" t="str">
        <x:f>'All Stats'!A14</x:f>
        <x:v>K60</x:v>
      </x:c>
      <x:c r="B31" s="311" t="str">
        <x:f>'All Stats'!B14</x:f>
        <x:v>Houdini</x:v>
      </x:c>
      <x:c r="C31" s="315" t="str">
        <x:f>IF(G31&gt;=$O$6,"Yes","No")</x:f>
        <x:v>No</x:v>
      </x:c>
      <x:c r="D31" s="312" t="n">
        <x:f>'All Stats'!L14</x:f>
        <x:v>12.9507</x:v>
      </x:c>
      <x:c r="E31" s="312" t="n">
        <x:f>'All Stats'!M14</x:f>
        <x:v>8.3642</x:v>
      </x:c>
      <x:c r="F31" s="312" t="n">
        <x:f>'All Stats'!O14</x:f>
        <x:v>-0.635</x:v>
      </x:c>
      <x:c r="G31" s="312" t="n">
        <x:f>'All Stats'!Q14</x:f>
        <x:v>1.12</x:v>
      </x:c>
      <x:c r="H31" s="316" t="str">
        <x:f>IF(C31="Yes",100*((COUNTIFS($C$23:$C$189,"Yes",$D$23:$D$189,"&lt;"&amp;D31)+(COUNTIFS($C$23:$C$189,"Yes",$D$23:$D$189,D31)-1)/2)/($O$18-1))^$O$7,"")</x:f>
      </x:c>
      <x:c r="I31" s="316" t="str">
        <x:f>IF(C31="Yes",100*((COUNTIFS($C$23:$C$189,"Yes",$E$23:$E$189,"&lt;"&amp;E31)+(COUNTIFS($C$23:$C$189,"Yes",$E$23:$E$189,E31)-1)/2)/($O$18-1))^$O$7,"")</x:f>
      </x:c>
      <x:c r="J31" s="316" t="str">
        <x:f>IF(C31="Yes",100*((COUNTIFS($C$23:$C$189,"Yes",$F$23:$F$189,"&gt;"&amp;F31)+(COUNTIFS($C$23:$C$189,"Yes",$F$23:$F$189,F31)-1)/2)/($O$18-1))^$O$7,"")</x:f>
      </x:c>
      <x:c r="K31" s="316" t="str">
        <x:f>IF(C31="Yes",100*((COUNTIFS($C$23:$C$189,"Yes",$G$23:$G$189,"&lt;"&amp;G31)+(COUNTIFS($C$23:$C$189,"Yes",$G$23:$G$189,G31)-1)/2)/($O$18-1))^$O$7,"")</x:f>
      </x:c>
      <x:c r="L31" s="316" t="str">
        <x:f>IF(C31="Yes",AVERAGE(H31:K31),"")</x:f>
      </x:c>
      <x:c r="M31" s="317" t="str">
        <x:f>IF(C31="Yes",1+COUNTIFS($A$23:$A$189,A31,$C$23:$C$189,"Yes",$L$23:$L$189,"&gt;"&amp;L31),"")</x:f>
      </x:c>
    </x:row>
    <x:row r="32">
      <x:c r="A32" s="311" t="str">
        <x:f>'All Stats'!A15</x:f>
        <x:v>K60</x:v>
      </x:c>
      <x:c r="B32" s="311" t="str">
        <x:f>'All Stats'!B15</x:f>
        <x:v>Дерог</x:v>
      </x:c>
      <x:c r="C32" s="315" t="str">
        <x:f>IF(G32&gt;=$O$6,"Yes","No")</x:f>
        <x:v>No</x:v>
      </x:c>
      <x:c r="D32" s="312" t="n">
        <x:f>'All Stats'!L15</x:f>
        <x:v>18.2492</x:v>
      </x:c>
      <x:c r="E32" s="312" t="n">
        <x:f>'All Stats'!M15</x:f>
        <x:v>10.8657</x:v>
      </x:c>
      <x:c r="F32" s="312" t="n">
        <x:f>'All Stats'!O15</x:f>
        <x:v>-1.5725</x:v>
      </x:c>
      <x:c r="G32" s="312" t="n">
        <x:f>'All Stats'!Q15</x:f>
        <x:v>5.17</x:v>
      </x:c>
      <x:c r="H32" s="316" t="str">
        <x:f>IF(C32="Yes",100*((COUNTIFS($C$23:$C$189,"Yes",$D$23:$D$189,"&lt;"&amp;D32)+(COUNTIFS($C$23:$C$189,"Yes",$D$23:$D$189,D32)-1)/2)/($O$18-1))^$O$7,"")</x:f>
      </x:c>
      <x:c r="I32" s="316" t="str">
        <x:f>IF(C32="Yes",100*((COUNTIFS($C$23:$C$189,"Yes",$E$23:$E$189,"&lt;"&amp;E32)+(COUNTIFS($C$23:$C$189,"Yes",$E$23:$E$189,E32)-1)/2)/($O$18-1))^$O$7,"")</x:f>
      </x:c>
      <x:c r="J32" s="316" t="str">
        <x:f>IF(C32="Yes",100*((COUNTIFS($C$23:$C$189,"Yes",$F$23:$F$189,"&gt;"&amp;F32)+(COUNTIFS($C$23:$C$189,"Yes",$F$23:$F$189,F32)-1)/2)/($O$18-1))^$O$7,"")</x:f>
      </x:c>
      <x:c r="K32" s="316" t="str">
        <x:f>IF(C32="Yes",100*((COUNTIFS($C$23:$C$189,"Yes",$G$23:$G$189,"&lt;"&amp;G32)+(COUNTIFS($C$23:$C$189,"Yes",$G$23:$G$189,G32)-1)/2)/($O$18-1))^$O$7,"")</x:f>
      </x:c>
      <x:c r="L32" s="316" t="str">
        <x:f>IF(C32="Yes",AVERAGE(H32:K32),"")</x:f>
      </x:c>
      <x:c r="M32" s="317" t="str">
        <x:f>IF(C32="Yes",1+COUNTIFS($A$23:$A$189,A32,$C$23:$C$189,"Yes",$L$23:$L$189,"&gt;"&amp;L32),"")</x:f>
      </x:c>
    </x:row>
    <x:row r="33">
      <x:c r="A33" s="311" t="str">
        <x:f>'All Stats'!A16</x:f>
        <x:v>K60</x:v>
      </x:c>
      <x:c r="B33" s="311" t="str">
        <x:v>#11 元气满满 (122,000)</x:v>
      </x:c>
      <x:c r="C33" s="315" t="str">
        <x:f>IF(G33&gt;=$O$6,"Yes","No")</x:f>
        <x:v>No</x:v>
      </x:c>
      <x:c r="D33" s="312" t="n">
        <x:f>'All Stats'!L16</x:f>
        <x:v>16.405</x:v>
      </x:c>
      <x:c r="E33" s="312" t="n">
        <x:f>'All Stats'!M16</x:f>
        <x:v>11.4699</x:v>
      </x:c>
      <x:c r="F33" s="312" t="n">
        <x:f>'All Stats'!O16</x:f>
        <x:v>-1.545</x:v>
      </x:c>
      <x:c r="G33" s="312" t="n">
        <x:f>'All Stats'!Q16</x:f>
        <x:v>2.64</x:v>
      </x:c>
      <x:c r="H33" s="316" t="str">
        <x:f>IF(C33="Yes",100*((COUNTIFS($C$23:$C$189,"Yes",$D$23:$D$189,"&lt;"&amp;D33)+(COUNTIFS($C$23:$C$189,"Yes",$D$23:$D$189,D33)-1)/2)/($O$18-1))^$O$7,"")</x:f>
      </x:c>
      <x:c r="I33" s="316" t="str">
        <x:f>IF(C33="Yes",100*((COUNTIFS($C$23:$C$189,"Yes",$E$23:$E$189,"&lt;"&amp;E33)+(COUNTIFS($C$23:$C$189,"Yes",$E$23:$E$189,E33)-1)/2)/($O$18-1))^$O$7,"")</x:f>
      </x:c>
      <x:c r="J33" s="316" t="str">
        <x:f>IF(C33="Yes",100*((COUNTIFS($C$23:$C$189,"Yes",$F$23:$F$189,"&gt;"&amp;F33)+(COUNTIFS($C$23:$C$189,"Yes",$F$23:$F$189,F33)-1)/2)/($O$18-1))^$O$7,"")</x:f>
      </x:c>
      <x:c r="K33" s="316" t="str">
        <x:f>IF(C33="Yes",100*((COUNTIFS($C$23:$C$189,"Yes",$G$23:$G$189,"&lt;"&amp;G33)+(COUNTIFS($C$23:$C$189,"Yes",$G$23:$G$189,G33)-1)/2)/($O$18-1))^$O$7,"")</x:f>
      </x:c>
      <x:c r="L33" s="316" t="str">
        <x:f>IF(C33="Yes",AVERAGE(H33:K33),"")</x:f>
      </x:c>
      <x:c r="M33" s="317" t="str">
        <x:f>IF(C33="Yes",1+COUNTIFS($A$23:$A$189,A33,$C$23:$C$189,"Yes",$L$23:$L$189,"&gt;"&amp;L33),"")</x:f>
      </x:c>
    </x:row>
    <x:row r="34">
      <x:c r="A34" s="311" t="str">
        <x:f>'All Stats'!A17</x:f>
        <x:v>K60</x:v>
      </x:c>
      <x:c r="B34" s="311" t="str">
        <x:f>'All Stats'!B17</x:f>
        <x:v>邪恶的Xero</x:v>
      </x:c>
      <x:c r="C34" s="315" t="str">
        <x:f>IF(G34&gt;=$O$6,"Yes","No")</x:f>
        <x:v>No</x:v>
      </x:c>
      <x:c r="D34" s="312" t="n">
        <x:f>'All Stats'!L17</x:f>
        <x:v>16.325</x:v>
      </x:c>
      <x:c r="E34" s="312" t="n">
        <x:f>'All Stats'!M17</x:f>
        <x:v>11.4299</x:v>
      </x:c>
      <x:c r="F34" s="312" t="n">
        <x:f>'All Stats'!O17</x:f>
        <x:v>-1.585</x:v>
      </x:c>
      <x:c r="G34" s="312" t="n">
        <x:f>'All Stats'!Q17</x:f>
        <x:v>2.23</x:v>
      </x:c>
      <x:c r="H34" s="316" t="str">
        <x:f>IF(C34="Yes",100*((COUNTIFS($C$23:$C$189,"Yes",$D$23:$D$189,"&lt;"&amp;D34)+(COUNTIFS($C$23:$C$189,"Yes",$D$23:$D$189,D34)-1)/2)/($O$18-1))^$O$7,"")</x:f>
      </x:c>
      <x:c r="I34" s="316" t="str">
        <x:f>IF(C34="Yes",100*((COUNTIFS($C$23:$C$189,"Yes",$E$23:$E$189,"&lt;"&amp;E34)+(COUNTIFS($C$23:$C$189,"Yes",$E$23:$E$189,E34)-1)/2)/($O$18-1))^$O$7,"")</x:f>
      </x:c>
      <x:c r="J34" s="316" t="str">
        <x:f>IF(C34="Yes",100*((COUNTIFS($C$23:$C$189,"Yes",$F$23:$F$189,"&gt;"&amp;F34)+(COUNTIFS($C$23:$C$189,"Yes",$F$23:$F$189,F34)-1)/2)/($O$18-1))^$O$7,"")</x:f>
      </x:c>
      <x:c r="K34" s="316" t="str">
        <x:f>IF(C34="Yes",100*((COUNTIFS($C$23:$C$189,"Yes",$G$23:$G$189,"&lt;"&amp;G34)+(COUNTIFS($C$23:$C$189,"Yes",$G$23:$G$189,G34)-1)/2)/($O$18-1))^$O$7,"")</x:f>
      </x:c>
      <x:c r="L34" s="316" t="str">
        <x:f>IF(C34="Yes",AVERAGE(H34:K34),"")</x:f>
      </x:c>
      <x:c r="M34" s="317" t="str">
        <x:f>IF(C34="Yes",1+COUNTIFS($A$23:$A$189,A34,$C$23:$C$189,"Yes",$L$23:$L$189,"&gt;"&amp;L34),"")</x:f>
      </x:c>
    </x:row>
    <x:row r="35">
      <x:c r="A35" s="311" t="str">
        <x:f>'All Stats'!A18</x:f>
        <x:v>K60</x:v>
      </x:c>
      <x:c r="B35" s="311" t="str">
        <x:f>'All Stats'!B18</x:f>
        <x:v>AAB</x:v>
      </x:c>
      <x:c r="C35" s="315" t="str">
        <x:f>IF(G35&gt;=$O$6,"Yes","No")</x:f>
        <x:v>No</x:v>
      </x:c>
      <x:c r="D35" s="312" t="n">
        <x:f>'All Stats'!L18</x:f>
        <x:v>17.835</x:v>
      </x:c>
      <x:c r="E35" s="312" t="n">
        <x:f>'All Stats'!M18</x:f>
        <x:v>12.4399</x:v>
      </x:c>
      <x:c r="F35" s="312" t="n">
        <x:f>'All Stats'!O18</x:f>
        <x:v>-1.6175</x:v>
      </x:c>
      <x:c r="G35" s="312" t="n">
        <x:f>'All Stats'!Q18</x:f>
        <x:v>4.04</x:v>
      </x:c>
      <x:c r="H35" s="316" t="str">
        <x:f>IF(C35="Yes",100*((COUNTIFS($C$23:$C$189,"Yes",$D$23:$D$189,"&lt;"&amp;D35)+(COUNTIFS($C$23:$C$189,"Yes",$D$23:$D$189,D35)-1)/2)/($O$18-1))^$O$7,"")</x:f>
      </x:c>
      <x:c r="I35" s="316" t="str">
        <x:f>IF(C35="Yes",100*((COUNTIFS($C$23:$C$189,"Yes",$E$23:$E$189,"&lt;"&amp;E35)+(COUNTIFS($C$23:$C$189,"Yes",$E$23:$E$189,E35)-1)/2)/($O$18-1))^$O$7,"")</x:f>
      </x:c>
      <x:c r="J35" s="316" t="str">
        <x:f>IF(C35="Yes",100*((COUNTIFS($C$23:$C$189,"Yes",$F$23:$F$189,"&gt;"&amp;F35)+(COUNTIFS($C$23:$C$189,"Yes",$F$23:$F$189,F35)-1)/2)/($O$18-1))^$O$7,"")</x:f>
      </x:c>
      <x:c r="K35" s="316" t="str">
        <x:f>IF(C35="Yes",100*((COUNTIFS($C$23:$C$189,"Yes",$G$23:$G$189,"&lt;"&amp;G35)+(COUNTIFS($C$23:$C$189,"Yes",$G$23:$G$189,G35)-1)/2)/($O$18-1))^$O$7,"")</x:f>
      </x:c>
      <x:c r="L35" s="316" t="str">
        <x:f>IF(C35="Yes",AVERAGE(H35:K35),"")</x:f>
      </x:c>
      <x:c r="M35" s="317" t="str">
        <x:f>IF(C35="Yes",1+COUNTIFS($A$23:$A$189,A35,$C$23:$C$189,"Yes",$L$23:$L$189,"&gt;"&amp;L35),"")</x:f>
      </x:c>
    </x:row>
    <x:row r="36">
      <x:c r="A36" s="311" t="str">
        <x:f>'All Stats'!A19</x:f>
        <x:v>K60</x:v>
      </x:c>
      <x:c r="B36" s="311" t="str">
        <x:v>#14 元气满满 (148,500)</x:v>
      </x:c>
      <x:c r="C36" s="315" t="str">
        <x:f>IF(G36&gt;=$O$6,"Yes","No")</x:f>
        <x:v>No</x:v>
      </x:c>
      <x:c r="D36" s="312" t="n">
        <x:f>'All Stats'!L19</x:f>
        <x:v>11.0107</x:v>
      </x:c>
      <x:c r="E36" s="312" t="n">
        <x:f>'All Stats'!M19</x:f>
        <x:v>14.8162</x:v>
      </x:c>
      <x:c r="F36" s="312" t="n">
        <x:f>'All Stats'!O19</x:f>
        <x:v>-1.6075</x:v>
      </x:c>
      <x:c r="G36" s="312" t="n">
        <x:f>'All Stats'!Q19</x:f>
        <x:v>4.17</x:v>
      </x:c>
      <x:c r="H36" s="316" t="str">
        <x:f>IF(C36="Yes",100*((COUNTIFS($C$23:$C$189,"Yes",$D$23:$D$189,"&lt;"&amp;D36)+(COUNTIFS($C$23:$C$189,"Yes",$D$23:$D$189,D36)-1)/2)/($O$18-1))^$O$7,"")</x:f>
      </x:c>
      <x:c r="I36" s="316" t="str">
        <x:f>IF(C36="Yes",100*((COUNTIFS($C$23:$C$189,"Yes",$E$23:$E$189,"&lt;"&amp;E36)+(COUNTIFS($C$23:$C$189,"Yes",$E$23:$E$189,E36)-1)/2)/($O$18-1))^$O$7,"")</x:f>
      </x:c>
      <x:c r="J36" s="316" t="str">
        <x:f>IF(C36="Yes",100*((COUNTIFS($C$23:$C$189,"Yes",$F$23:$F$189,"&gt;"&amp;F36)+(COUNTIFS($C$23:$C$189,"Yes",$F$23:$F$189,F36)-1)/2)/($O$18-1))^$O$7,"")</x:f>
      </x:c>
      <x:c r="K36" s="316" t="str">
        <x:f>IF(C36="Yes",100*((COUNTIFS($C$23:$C$189,"Yes",$G$23:$G$189,"&lt;"&amp;G36)+(COUNTIFS($C$23:$C$189,"Yes",$G$23:$G$189,G36)-1)/2)/($O$18-1))^$O$7,"")</x:f>
      </x:c>
      <x:c r="L36" s="316" t="str">
        <x:f>IF(C36="Yes",AVERAGE(H36:K36),"")</x:f>
      </x:c>
      <x:c r="M36" s="317" t="str">
        <x:f>IF(C36="Yes",1+COUNTIFS($A$23:$A$189,A36,$C$23:$C$189,"Yes",$L$23:$L$189,"&gt;"&amp;L36),"")</x:f>
      </x:c>
    </x:row>
    <x:row r="37">
      <x:c r="A37" s="311" t="str">
        <x:f>'All Stats'!A20</x:f>
        <x:v>K60</x:v>
      </x:c>
      <x:c r="B37" s="311" t="str">
        <x:f>'All Stats'!B20</x:f>
        <x:v>InFlames</x:v>
      </x:c>
      <x:c r="C37" s="315" t="str">
        <x:f>IF(G37&gt;=$O$6,"Yes","No")</x:f>
        <x:v>Yes</x:v>
      </x:c>
      <x:c r="D37" s="312" t="n">
        <x:f>'All Stats'!L20</x:f>
        <x:v>21.5792</x:v>
      </x:c>
      <x:c r="E37" s="312" t="n">
        <x:f>'All Stats'!M20</x:f>
        <x:v>14.3757</x:v>
      </x:c>
      <x:c r="F37" s="312" t="n">
        <x:f>'All Stats'!O20</x:f>
        <x:v>-1.8875</x:v>
      </x:c>
      <x:c r="G37" s="312" t="n">
        <x:f>'All Stats'!Q20</x:f>
        <x:v>7.28</x:v>
      </x:c>
      <x:c r="H37" s="316" t="n">
        <x:f>IF(C37="Yes",100*((COUNTIFS($C$23:$C$189,"Yes",$D$23:$D$189,"&lt;"&amp;D37)+(COUNTIFS($C$23:$C$189,"Yes",$D$23:$D$189,D37)-1)/2)/($O$18-1))^$O$7,"")</x:f>
        <x:v>38.622814629949836</x:v>
      </x:c>
      <x:c r="I37" s="316" t="n">
        <x:f>IF(C37="Yes",100*((COUNTIFS($C$23:$C$189,"Yes",$E$23:$E$189,"&lt;"&amp;E37)+(COUNTIFS($C$23:$C$189,"Yes",$E$23:$E$189,E37)-1)/2)/($O$18-1))^$O$7,"")</x:f>
        <x:v>13.80756307398405</x:v>
      </x:c>
      <x:c r="J37" s="316" t="n">
        <x:f>IF(C37="Yes",100*((COUNTIFS($C$23:$C$189,"Yes",$F$23:$F$189,"&gt;"&amp;F37)+(COUNTIFS($C$23:$C$189,"Yes",$F$23:$F$189,F37)-1)/2)/($O$18-1))^$O$7,"")</x:f>
        <x:v>34.94641646516784</x:v>
      </x:c>
      <x:c r="K37" s="316" t="n">
        <x:f>IF(C37="Yes",100*((COUNTIFS($C$23:$C$189,"Yes",$G$23:$G$189,"&lt;"&amp;G37)+(COUNTIFS($C$23:$C$189,"Yes",$G$23:$G$189,G37)-1)/2)/($O$18-1))^$O$7,"")</x:f>
        <x:v>63.89791816325506</x:v>
      </x:c>
      <x:c r="L37" s="316" t="n">
        <x:f>IF(C37="Yes",AVERAGE(H37:K37),"")</x:f>
        <x:v>37.818678083089196</x:v>
      </x:c>
      <x:c r="M37" s="317" t="n">
        <x:f>IF(C37="Yes",1+COUNTIFS($A$23:$A$189,A37,$C$23:$C$189,"Yes",$L$23:$L$189,"&gt;"&amp;L37),"")</x:f>
        <x:v>2</x:v>
      </x:c>
    </x:row>
    <x:row r="38">
      <x:c r="A38" s="311" t="str">
        <x:f>'All Stats'!A21</x:f>
        <x:v>K60</x:v>
      </x:c>
      <x:c r="B38" s="311" t="str">
        <x:f>'All Stats'!B21</x:f>
        <x:v>ΨRØÇKYΨ</x:v>
      </x:c>
      <x:c r="C38" s="315" t="str">
        <x:f>IF(G38&gt;=$O$6,"Yes","No")</x:f>
        <x:v>No</x:v>
      </x:c>
      <x:c r="D38" s="312" t="n">
        <x:f>'All Stats'!L21</x:f>
        <x:v>13.505</x:v>
      </x:c>
      <x:c r="E38" s="312" t="n">
        <x:f>'All Stats'!M21</x:f>
        <x:v>8.8599</x:v>
      </x:c>
      <x:c r="F38" s="312" t="n">
        <x:f>'All Stats'!O21</x:f>
        <x:v>-0.6075</x:v>
      </x:c>
      <x:c r="G38" s="312" t="n">
        <x:f>'All Stats'!Q21</x:f>
        <x:v>3.38</x:v>
      </x:c>
      <x:c r="H38" s="316" t="str">
        <x:f>IF(C38="Yes",100*((COUNTIFS($C$23:$C$189,"Yes",$D$23:$D$189,"&lt;"&amp;D38)+(COUNTIFS($C$23:$C$189,"Yes",$D$23:$D$189,D38)-1)/2)/($O$18-1))^$O$7,"")</x:f>
      </x:c>
      <x:c r="I38" s="316" t="str">
        <x:f>IF(C38="Yes",100*((COUNTIFS($C$23:$C$189,"Yes",$E$23:$E$189,"&lt;"&amp;E38)+(COUNTIFS($C$23:$C$189,"Yes",$E$23:$E$189,E38)-1)/2)/($O$18-1))^$O$7,"")</x:f>
      </x:c>
      <x:c r="J38" s="316" t="str">
        <x:f>IF(C38="Yes",100*((COUNTIFS($C$23:$C$189,"Yes",$F$23:$F$189,"&gt;"&amp;F38)+(COUNTIFS($C$23:$C$189,"Yes",$F$23:$F$189,F38)-1)/2)/($O$18-1))^$O$7,"")</x:f>
      </x:c>
      <x:c r="K38" s="316" t="str">
        <x:f>IF(C38="Yes",100*((COUNTIFS($C$23:$C$189,"Yes",$G$23:$G$189,"&lt;"&amp;G38)+(COUNTIFS($C$23:$C$189,"Yes",$G$23:$G$189,G38)-1)/2)/($O$18-1))^$O$7,"")</x:f>
      </x:c>
      <x:c r="L38" s="316" t="str">
        <x:f>IF(C38="Yes",AVERAGE(H38:K38),"")</x:f>
      </x:c>
      <x:c r="M38" s="317" t="str">
        <x:f>IF(C38="Yes",1+COUNTIFS($A$23:$A$189,A38,$C$23:$C$189,"Yes",$L$23:$L$189,"&gt;"&amp;L38),"")</x:f>
      </x:c>
    </x:row>
    <x:row r="39">
      <x:c r="A39" s="311" t="str">
        <x:f>'All Stats'!A22</x:f>
        <x:v>K60</x:v>
      </x:c>
      <x:c r="B39" s="311" t="str">
        <x:f>'All Stats'!B22</x:f>
        <x:v>Jepp</x:v>
      </x:c>
      <x:c r="C39" s="315" t="str">
        <x:f>IF(G39&gt;=$O$6,"Yes","No")</x:f>
        <x:v>No</x:v>
      </x:c>
      <x:c r="D39" s="312" t="n">
        <x:f>'All Stats'!L22</x:f>
        <x:v>13.755</x:v>
      </x:c>
      <x:c r="E39" s="312" t="n">
        <x:f>'All Stats'!M22</x:f>
        <x:v>9.5099</x:v>
      </x:c>
      <x:c r="F39" s="312" t="n">
        <x:f>'All Stats'!O22</x:f>
        <x:v>-0.626</x:v>
      </x:c>
      <x:c r="G39" s="312" t="n">
        <x:f>'All Stats'!Q22</x:f>
        <x:v>2.68</x:v>
      </x:c>
      <x:c r="H39" s="316" t="str">
        <x:f>IF(C39="Yes",100*((COUNTIFS($C$23:$C$189,"Yes",$D$23:$D$189,"&lt;"&amp;D39)+(COUNTIFS($C$23:$C$189,"Yes",$D$23:$D$189,D39)-1)/2)/($O$18-1))^$O$7,"")</x:f>
      </x:c>
      <x:c r="I39" s="316" t="str">
        <x:f>IF(C39="Yes",100*((COUNTIFS($C$23:$C$189,"Yes",$E$23:$E$189,"&lt;"&amp;E39)+(COUNTIFS($C$23:$C$189,"Yes",$E$23:$E$189,E39)-1)/2)/($O$18-1))^$O$7,"")</x:f>
      </x:c>
      <x:c r="J39" s="316" t="str">
        <x:f>IF(C39="Yes",100*((COUNTIFS($C$23:$C$189,"Yes",$F$23:$F$189,"&gt;"&amp;F39)+(COUNTIFS($C$23:$C$189,"Yes",$F$23:$F$189,F39)-1)/2)/($O$18-1))^$O$7,"")</x:f>
      </x:c>
      <x:c r="K39" s="316" t="str">
        <x:f>IF(C39="Yes",100*((COUNTIFS($C$23:$C$189,"Yes",$G$23:$G$189,"&lt;"&amp;G39)+(COUNTIFS($C$23:$C$189,"Yes",$G$23:$G$189,G39)-1)/2)/($O$18-1))^$O$7,"")</x:f>
      </x:c>
      <x:c r="L39" s="316" t="str">
        <x:f>IF(C39="Yes",AVERAGE(H39:K39),"")</x:f>
      </x:c>
      <x:c r="M39" s="317" t="str">
        <x:f>IF(C39="Yes",1+COUNTIFS($A$23:$A$189,A39,$C$23:$C$189,"Yes",$L$23:$L$189,"&gt;"&amp;L39),"")</x:f>
      </x:c>
    </x:row>
    <x:row r="40">
      <x:c r="A40" s="311" t="str">
        <x:f>'All Stats'!A23</x:f>
        <x:v>K60</x:v>
      </x:c>
      <x:c r="B40" s="311" t="str">
        <x:f>'All Stats'!B23</x:f>
        <x:v>kvisteer</x:v>
      </x:c>
      <x:c r="C40" s="315" t="str">
        <x:f>IF(G40&gt;=$O$6,"Yes","No")</x:f>
        <x:v>No</x:v>
      </x:c>
      <x:c r="D40" s="312" t="n">
        <x:f>'All Stats'!L23</x:f>
        <x:v>15.135</x:v>
      </x:c>
      <x:c r="E40" s="312" t="n">
        <x:f>'All Stats'!M23</x:f>
        <x:v>11.2399</x:v>
      </x:c>
      <x:c r="F40" s="312" t="n">
        <x:f>'All Stats'!O23</x:f>
        <x:v>-0.75</x:v>
      </x:c>
      <x:c r="G40" s="312" t="n">
        <x:f>'All Stats'!Q23</x:f>
        <x:v>4.07</x:v>
      </x:c>
      <x:c r="H40" s="316" t="str">
        <x:f>IF(C40="Yes",100*((COUNTIFS($C$23:$C$189,"Yes",$D$23:$D$189,"&lt;"&amp;D40)+(COUNTIFS($C$23:$C$189,"Yes",$D$23:$D$189,D40)-1)/2)/($O$18-1))^$O$7,"")</x:f>
      </x:c>
      <x:c r="I40" s="316" t="str">
        <x:f>IF(C40="Yes",100*((COUNTIFS($C$23:$C$189,"Yes",$E$23:$E$189,"&lt;"&amp;E40)+(COUNTIFS($C$23:$C$189,"Yes",$E$23:$E$189,E40)-1)/2)/($O$18-1))^$O$7,"")</x:f>
      </x:c>
      <x:c r="J40" s="316" t="str">
        <x:f>IF(C40="Yes",100*((COUNTIFS($C$23:$C$189,"Yes",$F$23:$F$189,"&gt;"&amp;F40)+(COUNTIFS($C$23:$C$189,"Yes",$F$23:$F$189,F40)-1)/2)/($O$18-1))^$O$7,"")</x:f>
      </x:c>
      <x:c r="K40" s="316" t="str">
        <x:f>IF(C40="Yes",100*((COUNTIFS($C$23:$C$189,"Yes",$G$23:$G$189,"&lt;"&amp;G40)+(COUNTIFS($C$23:$C$189,"Yes",$G$23:$G$189,G40)-1)/2)/($O$18-1))^$O$7,"")</x:f>
      </x:c>
      <x:c r="L40" s="316" t="str">
        <x:f>IF(C40="Yes",AVERAGE(H40:K40),"")</x:f>
      </x:c>
      <x:c r="M40" s="317" t="str">
        <x:f>IF(C40="Yes",1+COUNTIFS($A$23:$A$189,A40,$C$23:$C$189,"Yes",$L$23:$L$189,"&gt;"&amp;L40),"")</x:f>
      </x:c>
    </x:row>
    <x:row r="41">
      <x:c r="A41" s="311" t="str">
        <x:f>'All Stats'!A24</x:f>
        <x:v>K60</x:v>
      </x:c>
      <x:c r="B41" s="311" t="str">
        <x:f>'All Stats'!B24</x:f>
        <x:v>Blud</x:v>
      </x:c>
      <x:c r="C41" s="315" t="str">
        <x:f>IF(G41&gt;=$O$6,"Yes","No")</x:f>
        <x:v>No</x:v>
      </x:c>
      <x:c r="D41" s="312" t="n">
        <x:f>'All Stats'!L24</x:f>
        <x:v>15.185</x:v>
      </x:c>
      <x:c r="E41" s="312" t="n">
        <x:f>'All Stats'!M24</x:f>
        <x:v>10.1099</x:v>
      </x:c>
      <x:c r="F41" s="312" t="n">
        <x:f>'All Stats'!O24</x:f>
        <x:v>-0.7</x:v>
      </x:c>
      <x:c r="G41" s="312" t="n">
        <x:f>'All Stats'!Q24</x:f>
        <x:v>4.04</x:v>
      </x:c>
      <x:c r="H41" s="316" t="str">
        <x:f>IF(C41="Yes",100*((COUNTIFS($C$23:$C$189,"Yes",$D$23:$D$189,"&lt;"&amp;D41)+(COUNTIFS($C$23:$C$189,"Yes",$D$23:$D$189,D41)-1)/2)/($O$18-1))^$O$7,"")</x:f>
      </x:c>
      <x:c r="I41" s="316" t="str">
        <x:f>IF(C41="Yes",100*((COUNTIFS($C$23:$C$189,"Yes",$E$23:$E$189,"&lt;"&amp;E41)+(COUNTIFS($C$23:$C$189,"Yes",$E$23:$E$189,E41)-1)/2)/($O$18-1))^$O$7,"")</x:f>
      </x:c>
      <x:c r="J41" s="316" t="str">
        <x:f>IF(C41="Yes",100*((COUNTIFS($C$23:$C$189,"Yes",$F$23:$F$189,"&gt;"&amp;F41)+(COUNTIFS($C$23:$C$189,"Yes",$F$23:$F$189,F41)-1)/2)/($O$18-1))^$O$7,"")</x:f>
      </x:c>
      <x:c r="K41" s="316" t="str">
        <x:f>IF(C41="Yes",100*((COUNTIFS($C$23:$C$189,"Yes",$G$23:$G$189,"&lt;"&amp;G41)+(COUNTIFS($C$23:$C$189,"Yes",$G$23:$G$189,G41)-1)/2)/($O$18-1))^$O$7,"")</x:f>
      </x:c>
      <x:c r="L41" s="316" t="str">
        <x:f>IF(C41="Yes",AVERAGE(H41:K41),"")</x:f>
      </x:c>
      <x:c r="M41" s="317" t="str">
        <x:f>IF(C41="Yes",1+COUNTIFS($A$23:$A$189,A41,$C$23:$C$189,"Yes",$L$23:$L$189,"&gt;"&amp;L41),"")</x:f>
      </x:c>
    </x:row>
    <x:row r="42">
      <x:c r="A42" s="311" t="str">
        <x:f>'All Stats'!A25</x:f>
        <x:v>K60</x:v>
      </x:c>
      <x:c r="B42" s="311" t="str">
        <x:f>'All Stats'!B25</x:f>
        <x:v>陰影Sam</x:v>
      </x:c>
      <x:c r="C42" s="315" t="str">
        <x:f>IF(G42&gt;=$O$6,"Yes","No")</x:f>
        <x:v>No</x:v>
      </x:c>
      <x:c r="D42" s="312" t="n">
        <x:f>'All Stats'!L25</x:f>
        <x:v>13.935</x:v>
      </x:c>
      <x:c r="E42" s="312" t="n">
        <x:f>'All Stats'!M25</x:f>
        <x:v>8.9699</x:v>
      </x:c>
      <x:c r="F42" s="312" t="n">
        <x:f>'All Stats'!O25</x:f>
        <x:v>-0.6875</x:v>
      </x:c>
      <x:c r="G42" s="312" t="n">
        <x:f>'All Stats'!Q25</x:f>
        <x:v>3.22</x:v>
      </x:c>
      <x:c r="H42" s="316" t="str">
        <x:f>IF(C42="Yes",100*((COUNTIFS($C$23:$C$189,"Yes",$D$23:$D$189,"&lt;"&amp;D42)+(COUNTIFS($C$23:$C$189,"Yes",$D$23:$D$189,D42)-1)/2)/($O$18-1))^$O$7,"")</x:f>
      </x:c>
      <x:c r="I42" s="316" t="str">
        <x:f>IF(C42="Yes",100*((COUNTIFS($C$23:$C$189,"Yes",$E$23:$E$189,"&lt;"&amp;E42)+(COUNTIFS($C$23:$C$189,"Yes",$E$23:$E$189,E42)-1)/2)/($O$18-1))^$O$7,"")</x:f>
      </x:c>
      <x:c r="J42" s="316" t="str">
        <x:f>IF(C42="Yes",100*((COUNTIFS($C$23:$C$189,"Yes",$F$23:$F$189,"&gt;"&amp;F42)+(COUNTIFS($C$23:$C$189,"Yes",$F$23:$F$189,F42)-1)/2)/($O$18-1))^$O$7,"")</x:f>
      </x:c>
      <x:c r="K42" s="316" t="str">
        <x:f>IF(C42="Yes",100*((COUNTIFS($C$23:$C$189,"Yes",$G$23:$G$189,"&lt;"&amp;G42)+(COUNTIFS($C$23:$C$189,"Yes",$G$23:$G$189,G42)-1)/2)/($O$18-1))^$O$7,"")</x:f>
      </x:c>
      <x:c r="L42" s="316" t="str">
        <x:f>IF(C42="Yes",AVERAGE(H42:K42),"")</x:f>
      </x:c>
      <x:c r="M42" s="317" t="str">
        <x:f>IF(C42="Yes",1+COUNTIFS($A$23:$A$189,A42,$C$23:$C$189,"Yes",$L$23:$L$189,"&gt;"&amp;L42),"")</x:f>
      </x:c>
    </x:row>
    <x:row r="43">
      <x:c r="A43" s="311" t="str">
        <x:f>'All Stats'!A26</x:f>
        <x:v>K60</x:v>
      </x:c>
      <x:c r="B43" s="311" t="str">
        <x:f>'All Stats'!B26</x:f>
        <x:v>RONINtrike</x:v>
      </x:c>
      <x:c r="C43" s="315" t="str">
        <x:f>IF(G43&gt;=$O$6,"Yes","No")</x:f>
        <x:v>Yes</x:v>
      </x:c>
      <x:c r="D43" s="312" t="n">
        <x:f>'All Stats'!L26</x:f>
        <x:v>17.4692</x:v>
      </x:c>
      <x:c r="E43" s="312" t="n">
        <x:f>'All Stats'!M26</x:f>
        <x:v>9.4457</x:v>
      </x:c>
      <x:c r="F43" s="312" t="n">
        <x:f>'All Stats'!O26</x:f>
        <x:v>-1.485</x:v>
      </x:c>
      <x:c r="G43" s="312" t="n">
        <x:f>'All Stats'!Q26</x:f>
        <x:v>7</x:v>
      </x:c>
      <x:c r="H43" s="316" t="n">
        <x:f>IF(C43="Yes",100*((COUNTIFS($C$23:$C$189,"Yes",$D$23:$D$189,"&lt;"&amp;D43)+(COUNTIFS($C$23:$C$189,"Yes",$D$23:$D$189,D43)-1)/2)/($O$18-1))^$O$7,"")</x:f>
        <x:v>2.7779346226693145</x:v>
      </x:c>
      <x:c r="I43" s="316" t="n">
        <x:f>IF(C43="Yes",100*((COUNTIFS($C$23:$C$189,"Yes",$E$23:$E$189,"&lt;"&amp;E43)+(COUNTIFS($C$23:$C$189,"Yes",$E$23:$E$189,E43)-1)/2)/($O$18-1))^$O$7,"")</x:f>
        <x:v>0</x:v>
      </x:c>
      <x:c r="J43" s="316" t="n">
        <x:f>IF(C43="Yes",100*((COUNTIFS($C$23:$C$189,"Yes",$F$23:$F$189,"&gt;"&amp;F43)+(COUNTIFS($C$23:$C$189,"Yes",$F$23:$F$189,F43)-1)/2)/($O$18-1))^$O$7,"")</x:f>
        <x:v>0.825884904572687</x:v>
      </x:c>
      <x:c r="K43" s="316" t="n">
        <x:f>IF(C43="Yes",100*((COUNTIFS($C$23:$C$189,"Yes",$G$23:$G$189,"&lt;"&amp;G43)+(COUNTIFS($C$23:$C$189,"Yes",$G$23:$G$189,G43)-1)/2)/($O$18-1))^$O$7,"")</x:f>
        <x:v>17.63348920985086</x:v>
      </x:c>
      <x:c r="L43" s="316" t="n">
        <x:f>IF(C43="Yes",AVERAGE(H43:K43),"")</x:f>
        <x:v>5.309327184273216</x:v>
      </x:c>
      <x:c r="M43" s="317" t="n">
        <x:f>IF(C43="Yes",1+COUNTIFS($A$23:$A$189,A43,$C$23:$C$189,"Yes",$L$23:$L$189,"&gt;"&amp;L43),"")</x:f>
        <x:v>4</x:v>
      </x:c>
    </x:row>
    <x:row r="44">
      <x:c r="A44" s="311" t="str">
        <x:f>'All Stats'!A27</x:f>
        <x:v>K60</x:v>
      </x:c>
      <x:c r="B44" s="311" t="str">
        <x:f>'All Stats'!B27</x:f>
        <x:v>雪Snowy</x:v>
      </x:c>
      <x:c r="C44" s="315" t="str">
        <x:f>IF(G44&gt;=$O$6,"Yes","No")</x:f>
        <x:v>No</x:v>
      </x:c>
      <x:c r="D44" s="312" t="n">
        <x:f>'All Stats'!L27</x:f>
        <x:v>14.72</x:v>
      </x:c>
      <x:c r="E44" s="312" t="n">
        <x:f>'All Stats'!M27</x:f>
        <x:v>9.5749</x:v>
      </x:c>
      <x:c r="F44" s="312" t="n">
        <x:f>'All Stats'!O27</x:f>
        <x:v>-0.635</x:v>
      </x:c>
      <x:c r="G44" s="312" t="n">
        <x:f>'All Stats'!Q27</x:f>
        <x:v>2.32</x:v>
      </x:c>
      <x:c r="H44" s="316" t="str">
        <x:f>IF(C44="Yes",100*((COUNTIFS($C$23:$C$189,"Yes",$D$23:$D$189,"&lt;"&amp;D44)+(COUNTIFS($C$23:$C$189,"Yes",$D$23:$D$189,D44)-1)/2)/($O$18-1))^$O$7,"")</x:f>
      </x:c>
      <x:c r="I44" s="316" t="str">
        <x:f>IF(C44="Yes",100*((COUNTIFS($C$23:$C$189,"Yes",$E$23:$E$189,"&lt;"&amp;E44)+(COUNTIFS($C$23:$C$189,"Yes",$E$23:$E$189,E44)-1)/2)/($O$18-1))^$O$7,"")</x:f>
      </x:c>
      <x:c r="J44" s="316" t="str">
        <x:f>IF(C44="Yes",100*((COUNTIFS($C$23:$C$189,"Yes",$F$23:$F$189,"&gt;"&amp;F44)+(COUNTIFS($C$23:$C$189,"Yes",$F$23:$F$189,F44)-1)/2)/($O$18-1))^$O$7,"")</x:f>
      </x:c>
      <x:c r="K44" s="316" t="str">
        <x:f>IF(C44="Yes",100*((COUNTIFS($C$23:$C$189,"Yes",$G$23:$G$189,"&lt;"&amp;G44)+(COUNTIFS($C$23:$C$189,"Yes",$G$23:$G$189,G44)-1)/2)/($O$18-1))^$O$7,"")</x:f>
      </x:c>
      <x:c r="L44" s="316" t="str">
        <x:f>IF(C44="Yes",AVERAGE(H44:K44),"")</x:f>
      </x:c>
      <x:c r="M44" s="317" t="str">
        <x:f>IF(C44="Yes",1+COUNTIFS($A$23:$A$189,A44,$C$23:$C$189,"Yes",$L$23:$L$189,"&gt;"&amp;L44),"")</x:f>
      </x:c>
    </x:row>
    <x:row r="45">
      <x:c r="A45" s="311" t="str">
        <x:f>'All Stats'!A28</x:f>
        <x:v>K60</x:v>
      </x:c>
      <x:c r="B45" s="311" t="str">
        <x:f>'All Stats'!B28</x:f>
        <x:v>Lare</x:v>
      </x:c>
      <x:c r="C45" s="315" t="str">
        <x:f>IF(G45&gt;=$O$6,"Yes","No")</x:f>
        <x:v>No</x:v>
      </x:c>
      <x:c r="D45" s="312" t="n">
        <x:f>'All Stats'!L28</x:f>
        <x:v>13.7157</x:v>
      </x:c>
      <x:c r="E45" s="312" t="n">
        <x:f>'All Stats'!M28</x:f>
        <x:v>9.1099</x:v>
      </x:c>
      <x:c r="F45" s="312" t="n">
        <x:f>'All Stats'!O28</x:f>
        <x:v>-0.5175</x:v>
      </x:c>
      <x:c r="G45" s="312" t="n">
        <x:f>'All Stats'!Q28</x:f>
        <x:v>1.34</x:v>
      </x:c>
      <x:c r="H45" s="316" t="str">
        <x:f>IF(C45="Yes",100*((COUNTIFS($C$23:$C$189,"Yes",$D$23:$D$189,"&lt;"&amp;D45)+(COUNTIFS($C$23:$C$189,"Yes",$D$23:$D$189,D45)-1)/2)/($O$18-1))^$O$7,"")</x:f>
      </x:c>
      <x:c r="I45" s="316" t="str">
        <x:f>IF(C45="Yes",100*((COUNTIFS($C$23:$C$189,"Yes",$E$23:$E$189,"&lt;"&amp;E45)+(COUNTIFS($C$23:$C$189,"Yes",$E$23:$E$189,E45)-1)/2)/($O$18-1))^$O$7,"")</x:f>
      </x:c>
      <x:c r="J45" s="316" t="str">
        <x:f>IF(C45="Yes",100*((COUNTIFS($C$23:$C$189,"Yes",$F$23:$F$189,"&gt;"&amp;F45)+(COUNTIFS($C$23:$C$189,"Yes",$F$23:$F$189,F45)-1)/2)/($O$18-1))^$O$7,"")</x:f>
      </x:c>
      <x:c r="K45" s="316" t="str">
        <x:f>IF(C45="Yes",100*((COUNTIFS($C$23:$C$189,"Yes",$G$23:$G$189,"&lt;"&amp;G45)+(COUNTIFS($C$23:$C$189,"Yes",$G$23:$G$189,G45)-1)/2)/($O$18-1))^$O$7,"")</x:f>
      </x:c>
      <x:c r="L45" s="316" t="str">
        <x:f>IF(C45="Yes",AVERAGE(H45:K45),"")</x:f>
      </x:c>
      <x:c r="M45" s="317" t="str">
        <x:f>IF(C45="Yes",1+COUNTIFS($A$23:$A$189,A45,$C$23:$C$189,"Yes",$L$23:$L$189,"&gt;"&amp;L45),"")</x:f>
      </x:c>
    </x:row>
    <x:row r="46">
      <x:c r="A46" s="311" t="str">
        <x:f>'All Stats'!A29</x:f>
        <x:v>K60</x:v>
      </x:c>
      <x:c r="B46" s="311" t="str">
        <x:f>'All Stats'!B29</x:f>
        <x:v>Legendⁱᵃᵐ</x:v>
      </x:c>
      <x:c r="C46" s="315" t="str">
        <x:f>IF(G46&gt;=$O$6,"Yes","No")</x:f>
        <x:v>Yes</x:v>
      </x:c>
      <x:c r="D46" s="312" t="n">
        <x:f>'All Stats'!L29</x:f>
        <x:v>14.375</x:v>
      </x:c>
      <x:c r="E46" s="312" t="n">
        <x:f>'All Stats'!M29</x:f>
        <x:v>9.4799</x:v>
      </x:c>
      <x:c r="F46" s="312" t="n">
        <x:f>'All Stats'!O29</x:f>
        <x:v>-0.68</x:v>
      </x:c>
      <x:c r="G46" s="312" t="n">
        <x:f>'All Stats'!Q29</x:f>
        <x:v>7</x:v>
      </x:c>
      <x:c r="H46" s="316" t="n">
        <x:f>IF(C46="Yes",100*((COUNTIFS($C$23:$C$189,"Yes",$D$23:$D$189,"&lt;"&amp;D46)+(COUNTIFS($C$23:$C$189,"Yes",$D$23:$D$189,D46)-1)/2)/($O$18-1))^$O$7,"")</x:f>
        <x:v>0.2455370511727957</x:v>
      </x:c>
      <x:c r="I46" s="316" t="n">
        <x:f>IF(C46="Yes",100*((COUNTIFS($C$23:$C$189,"Yes",$E$23:$E$189,"&lt;"&amp;E46)+(COUNTIFS($C$23:$C$189,"Yes",$E$23:$E$189,E46)-1)/2)/($O$18-1))^$O$7,"")</x:f>
        <x:v>0.2455370511727957</x:v>
      </x:c>
      <x:c r="J46" s="316" t="n">
        <x:f>IF(C46="Yes",100*((COUNTIFS($C$23:$C$189,"Yes",$F$23:$F$189,"&gt;"&amp;F46)+(COUNTIFS($C$23:$C$189,"Yes",$F$23:$F$189,F46)-1)/2)/($O$18-1))^$O$7,"")</x:f>
        <x:v>0</x:v>
      </x:c>
      <x:c r="K46" s="316" t="n">
        <x:f>IF(C46="Yes",100*((COUNTIFS($C$23:$C$189,"Yes",$G$23:$G$189,"&lt;"&amp;G46)+(COUNTIFS($C$23:$C$189,"Yes",$G$23:$G$189,G46)-1)/2)/($O$18-1))^$O$7,"")</x:f>
        <x:v>17.63348920985086</x:v>
      </x:c>
      <x:c r="L46" s="316" t="n">
        <x:f>IF(C46="Yes",AVERAGE(H46:K46),"")</x:f>
        <x:v>4.5311408280491134</x:v>
      </x:c>
      <x:c r="M46" s="317" t="n">
        <x:f>IF(C46="Yes",1+COUNTIFS($A$23:$A$189,A46,$C$23:$C$189,"Yes",$L$23:$L$189,"&gt;"&amp;L46),"")</x:f>
        <x:v>5</x:v>
      </x:c>
    </x:row>
    <x:row r="47">
      <x:c r="A47" s="311" t="str">
        <x:f>'All Stats'!A30</x:f>
        <x:v>K60</x:v>
      </x:c>
      <x:c r="B47" s="311" t="str">
        <x:f>'All Stats'!B30</x:f>
        <x:v>°Silent°</x:v>
      </x:c>
      <x:c r="C47" s="315" t="str">
        <x:f>IF(G47&gt;=$O$6,"Yes","No")</x:f>
        <x:v>Yes</x:v>
      </x:c>
      <x:c r="D47" s="312" t="n">
        <x:f>'All Stats'!L30</x:f>
        <x:v>21.0192</x:v>
      </x:c>
      <x:c r="E47" s="312" t="n">
        <x:f>'All Stats'!M30</x:f>
        <x:v>11.2557</x:v>
      </x:c>
      <x:c r="F47" s="312" t="n">
        <x:f>'All Stats'!O30</x:f>
        <x:v>-2.095</x:v>
      </x:c>
      <x:c r="G47" s="312" t="n">
        <x:f>'All Stats'!Q30</x:f>
        <x:v>7</x:v>
      </x:c>
      <x:c r="H47" s="316" t="n">
        <x:f>IF(C47="Yes",100*((COUNTIFS($C$23:$C$189,"Yes",$D$23:$D$189,"&lt;"&amp;D47)+(COUNTIFS($C$23:$C$189,"Yes",$D$23:$D$189,D47)-1)/2)/($O$18-1))^$O$7,"")</x:f>
        <x:v>24.879468496596104</x:v>
      </x:c>
      <x:c r="I47" s="316" t="n">
        <x:f>IF(C47="Yes",100*((COUNTIFS($C$23:$C$189,"Yes",$E$23:$E$189,"&lt;"&amp;E47)+(COUNTIFS($C$23:$C$189,"Yes",$E$23:$E$189,E47)-1)/2)/($O$18-1))^$O$7,"")</x:f>
        <x:v>1.6791103226767623</x:v>
      </x:c>
      <x:c r="J47" s="316" t="n">
        <x:f>IF(C47="Yes",100*((COUNTIFS($C$23:$C$189,"Yes",$F$23:$F$189,"&gt;"&amp;F47)+(COUNTIFS($C$23:$C$189,"Yes",$F$23:$F$189,F47)-1)/2)/($O$18-1))^$O$7,"")</x:f>
        <x:v>59.311751459914575</x:v>
      </x:c>
      <x:c r="K47" s="316" t="n">
        <x:f>IF(C47="Yes",100*((COUNTIFS($C$23:$C$189,"Yes",$G$23:$G$189,"&lt;"&amp;G47)+(COUNTIFS($C$23:$C$189,"Yes",$G$23:$G$189,G47)-1)/2)/($O$18-1))^$O$7,"")</x:f>
        <x:v>17.63348920985086</x:v>
      </x:c>
      <x:c r="L47" s="316" t="n">
        <x:f>IF(C47="Yes",AVERAGE(H47:K47),"")</x:f>
        <x:v>25.875954872259577</x:v>
      </x:c>
      <x:c r="M47" s="317" t="n">
        <x:f>IF(C47="Yes",1+COUNTIFS($A$23:$A$189,A47,$C$23:$C$189,"Yes",$L$23:$L$189,"&gt;"&amp;L47),"")</x:f>
        <x:v>3</x:v>
      </x:c>
    </x:row>
    <x:row r="48">
      <x:c r="A48" s="311" t="str">
        <x:f>'All Stats'!A31</x:f>
        <x:v>K91</x:v>
      </x:c>
      <x:c r="B48" s="311" t="str">
        <x:f>'All Stats'!B31</x:f>
        <x:v>•Pain•</x:v>
      </x:c>
      <x:c r="C48" s="315" t="str">
        <x:f>IF(G48&gt;=$O$6,"Yes","No")</x:f>
        <x:v>Yes</x:v>
      </x:c>
      <x:c r="D48" s="312" t="n">
        <x:f>'All Stats'!L31</x:f>
        <x:v>26.45</x:v>
      </x:c>
      <x:c r="E48" s="312" t="n">
        <x:f>'All Stats'!M31</x:f>
        <x:v>22.726999999999997</x:v>
      </x:c>
      <x:c r="F48" s="312" t="n">
        <x:f>'All Stats'!O31</x:f>
        <x:v>-2.365</x:v>
      </x:c>
      <x:c r="G48" s="312" t="n">
        <x:f>'All Stats'!Q31</x:f>
        <x:v>9</x:v>
      </x:c>
      <x:c r="H48" s="316" t="n">
        <x:f>IF(C48="Yes",100*((COUNTIFS($C$23:$C$189,"Yes",$D$23:$D$189,"&lt;"&amp;D48)+(COUNTIFS($C$23:$C$189,"Yes",$D$23:$D$189,D48)-1)/2)/($O$18-1))^$O$7,"")</x:f>
        <x:v>68.62969217715195</x:v>
      </x:c>
      <x:c r="I48" s="316" t="n">
        <x:f>IF(C48="Yes",100*((COUNTIFS($C$23:$C$189,"Yes",$E$23:$E$189,"&lt;"&amp;E48)+(COUNTIFS($C$23:$C$189,"Yes",$E$23:$E$189,E48)-1)/2)/($O$18-1))^$O$7,"")</x:f>
        <x:v>88.98432944835876</x:v>
      </x:c>
      <x:c r="J48" s="316" t="n">
        <x:f>IF(C48="Yes",100*((COUNTIFS($C$23:$C$189,"Yes",$F$23:$F$189,"&gt;"&amp;F48)+(COUNTIFS($C$23:$C$189,"Yes",$F$23:$F$189,F48)-1)/2)/($O$18-1))^$O$7,"")</x:f>
        <x:v>94.42331239948454</x:v>
      </x:c>
      <x:c r="K48" s="316" t="n">
        <x:f>IF(C48="Yes",100*((COUNTIFS($C$23:$C$189,"Yes",$G$23:$G$189,"&lt;"&amp;G48)+(COUNTIFS($C$23:$C$189,"Yes",$G$23:$G$189,G48)-1)/2)/($O$18-1))^$O$7,"")</x:f>
        <x:v>83.68422348882154</x:v>
      </x:c>
      <x:c r="L48" s="316" t="n">
        <x:f>IF(C48="Yes",AVERAGE(H48:K48),"")</x:f>
        <x:v>83.9303893784542</x:v>
      </x:c>
      <x:c r="M48" s="317" t="n">
        <x:f>IF(C48="Yes",1+COUNTIFS($A$23:$A$189,A48,$C$23:$C$189,"Yes",$L$23:$L$189,"&gt;"&amp;L48),"")</x:f>
        <x:v>1</x:v>
      </x:c>
    </x:row>
    <x:row r="49">
      <x:c r="A49" s="311" t="str">
        <x:f>'All Stats'!A32</x:f>
        <x:v>K91</x:v>
      </x:c>
      <x:c r="B49" s="311" t="str">
        <x:f>'All Stats'!B32</x:f>
        <x:v>Trinità</x:v>
      </x:c>
      <x:c r="C49" s="315" t="str">
        <x:f>IF(G49&gt;=$O$6,"Yes","No")</x:f>
        <x:v>No</x:v>
      </x:c>
      <x:c r="D49" s="312" t="n">
        <x:f>'All Stats'!L32</x:f>
        <x:v>18.3792</x:v>
      </x:c>
      <x:c r="E49" s="312" t="n">
        <x:f>'All Stats'!M32</x:f>
        <x:v>11.4407</x:v>
      </x:c>
      <x:c r="F49" s="312" t="n">
        <x:f>'All Stats'!O32</x:f>
        <x:v>-0.5275</x:v>
      </x:c>
      <x:c r="G49" s="312" t="n">
        <x:f>'All Stats'!Q32</x:f>
        <x:v>5.88</x:v>
      </x:c>
      <x:c r="H49" s="316" t="str">
        <x:f>IF(C49="Yes",100*((COUNTIFS($C$23:$C$189,"Yes",$D$23:$D$189,"&lt;"&amp;D49)+(COUNTIFS($C$23:$C$189,"Yes",$D$23:$D$189,D49)-1)/2)/($O$18-1))^$O$7,"")</x:f>
      </x:c>
      <x:c r="I49" s="316" t="str">
        <x:f>IF(C49="Yes",100*((COUNTIFS($C$23:$C$189,"Yes",$E$23:$E$189,"&lt;"&amp;E49)+(COUNTIFS($C$23:$C$189,"Yes",$E$23:$E$189,E49)-1)/2)/($O$18-1))^$O$7,"")</x:f>
      </x:c>
      <x:c r="J49" s="316" t="str">
        <x:f>IF(C49="Yes",100*((COUNTIFS($C$23:$C$189,"Yes",$F$23:$F$189,"&gt;"&amp;F49)+(COUNTIFS($C$23:$C$189,"Yes",$F$23:$F$189,F49)-1)/2)/($O$18-1))^$O$7,"")</x:f>
      </x:c>
      <x:c r="K49" s="316" t="str">
        <x:f>IF(C49="Yes",100*((COUNTIFS($C$23:$C$189,"Yes",$G$23:$G$189,"&lt;"&amp;G49)+(COUNTIFS($C$23:$C$189,"Yes",$G$23:$G$189,G49)-1)/2)/($O$18-1))^$O$7,"")</x:f>
      </x:c>
      <x:c r="L49" s="316" t="str">
        <x:f>IF(C49="Yes",AVERAGE(H49:K49),"")</x:f>
      </x:c>
      <x:c r="M49" s="317" t="str">
        <x:f>IF(C49="Yes",1+COUNTIFS($A$23:$A$189,A49,$C$23:$C$189,"Yes",$L$23:$L$189,"&gt;"&amp;L49),"")</x:f>
      </x:c>
    </x:row>
    <x:row r="50">
      <x:c r="A50" s="311" t="str">
        <x:f>'All Stats'!A33</x:f>
        <x:v>K91</x:v>
      </x:c>
      <x:c r="B50" s="311" t="str">
        <x:f>'All Stats'!B33</x:f>
        <x:v>λTλ⁵⁷βЄЧ</x:v>
      </x:c>
      <x:c r="C50" s="315" t="str">
        <x:f>IF(G50&gt;=$O$6,"Yes","No")</x:f>
        <x:v>No</x:v>
      </x:c>
      <x:c r="D50" s="312" t="n">
        <x:f>'All Stats'!L33</x:f>
        <x:v>18.1254</x:v>
      </x:c>
      <x:c r="E50" s="312" t="n">
        <x:f>'All Stats'!M33</x:f>
        <x:v>12.560699999999999</x:v>
      </x:c>
      <x:c r="F50" s="312" t="n">
        <x:f>'All Stats'!O33</x:f>
        <x:v>-1.545</x:v>
      </x:c>
      <x:c r="G50" s="312" t="n">
        <x:f>'All Stats'!Q33</x:f>
        <x:v>5.02</x:v>
      </x:c>
      <x:c r="H50" s="316" t="str">
        <x:f>IF(C50="Yes",100*((COUNTIFS($C$23:$C$189,"Yes",$D$23:$D$189,"&lt;"&amp;D50)+(COUNTIFS($C$23:$C$189,"Yes",$D$23:$D$189,D50)-1)/2)/($O$18-1))^$O$7,"")</x:f>
      </x:c>
      <x:c r="I50" s="316" t="str">
        <x:f>IF(C50="Yes",100*((COUNTIFS($C$23:$C$189,"Yes",$E$23:$E$189,"&lt;"&amp;E50)+(COUNTIFS($C$23:$C$189,"Yes",$E$23:$E$189,E50)-1)/2)/($O$18-1))^$O$7,"")</x:f>
      </x:c>
      <x:c r="J50" s="316" t="str">
        <x:f>IF(C50="Yes",100*((COUNTIFS($C$23:$C$189,"Yes",$F$23:$F$189,"&gt;"&amp;F50)+(COUNTIFS($C$23:$C$189,"Yes",$F$23:$F$189,F50)-1)/2)/($O$18-1))^$O$7,"")</x:f>
      </x:c>
      <x:c r="K50" s="316" t="str">
        <x:f>IF(C50="Yes",100*((COUNTIFS($C$23:$C$189,"Yes",$G$23:$G$189,"&lt;"&amp;G50)+(COUNTIFS($C$23:$C$189,"Yes",$G$23:$G$189,G50)-1)/2)/($O$18-1))^$O$7,"")</x:f>
      </x:c>
      <x:c r="L50" s="316" t="str">
        <x:f>IF(C50="Yes",AVERAGE(H50:K50),"")</x:f>
      </x:c>
      <x:c r="M50" s="317" t="str">
        <x:f>IF(C50="Yes",1+COUNTIFS($A$23:$A$189,A50,$C$23:$C$189,"Yes",$L$23:$L$189,"&gt;"&amp;L50),"")</x:f>
      </x:c>
    </x:row>
    <x:row r="51">
      <x:c r="A51" s="311" t="str">
        <x:f>'All Stats'!A34</x:f>
        <x:v>K91</x:v>
      </x:c>
      <x:c r="B51" s="311" t="str">
        <x:f>'All Stats'!B34</x:f>
        <x:v>Antoni</x:v>
      </x:c>
      <x:c r="C51" s="315" t="str">
        <x:f>IF(G51&gt;=$O$6,"Yes","No")</x:f>
        <x:v>No</x:v>
      </x:c>
      <x:c r="D51" s="312" t="n">
        <x:f>'All Stats'!L34</x:f>
        <x:v>15.465399999999999</x:v>
      </x:c>
      <x:c r="E51" s="312" t="n">
        <x:f>'All Stats'!M34</x:f>
        <x:v>10.890699999999999</x:v>
      </x:c>
      <x:c r="F51" s="312" t="n">
        <x:f>'All Stats'!O34</x:f>
        <x:v>-0.5505</x:v>
      </x:c>
      <x:c r="G51" s="312" t="n">
        <x:f>'All Stats'!Q34</x:f>
        <x:v>2.63</x:v>
      </x:c>
      <x:c r="H51" s="316" t="str">
        <x:f>IF(C51="Yes",100*((COUNTIFS($C$23:$C$189,"Yes",$D$23:$D$189,"&lt;"&amp;D51)+(COUNTIFS($C$23:$C$189,"Yes",$D$23:$D$189,D51)-1)/2)/($O$18-1))^$O$7,"")</x:f>
      </x:c>
      <x:c r="I51" s="316" t="str">
        <x:f>IF(C51="Yes",100*((COUNTIFS($C$23:$C$189,"Yes",$E$23:$E$189,"&lt;"&amp;E51)+(COUNTIFS($C$23:$C$189,"Yes",$E$23:$E$189,E51)-1)/2)/($O$18-1))^$O$7,"")</x:f>
      </x:c>
      <x:c r="J51" s="316" t="str">
        <x:f>IF(C51="Yes",100*((COUNTIFS($C$23:$C$189,"Yes",$F$23:$F$189,"&gt;"&amp;F51)+(COUNTIFS($C$23:$C$189,"Yes",$F$23:$F$189,F51)-1)/2)/($O$18-1))^$O$7,"")</x:f>
      </x:c>
      <x:c r="K51" s="316" t="str">
        <x:f>IF(C51="Yes",100*((COUNTIFS($C$23:$C$189,"Yes",$G$23:$G$189,"&lt;"&amp;G51)+(COUNTIFS($C$23:$C$189,"Yes",$G$23:$G$189,G51)-1)/2)/($O$18-1))^$O$7,"")</x:f>
      </x:c>
      <x:c r="L51" s="316" t="str">
        <x:f>IF(C51="Yes",AVERAGE(H51:K51),"")</x:f>
      </x:c>
      <x:c r="M51" s="317" t="str">
        <x:f>IF(C51="Yes",1+COUNTIFS($A$23:$A$189,A51,$C$23:$C$189,"Yes",$L$23:$L$189,"&gt;"&amp;L51),"")</x:f>
      </x:c>
    </x:row>
    <x:row r="52">
      <x:c r="A52" s="311" t="str">
        <x:f>'All Stats'!A35</x:f>
        <x:v>K91</x:v>
      </x:c>
      <x:c r="B52" s="311" t="str">
        <x:f>'All Stats'!B35</x:f>
        <x:v>Nixxx</x:v>
      </x:c>
      <x:c r="C52" s="315" t="str">
        <x:f>IF(G52&gt;=$O$6,"Yes","No")</x:f>
        <x:v>No</x:v>
      </x:c>
      <x:c r="D52" s="312" t="n">
        <x:f>'All Stats'!L35</x:f>
        <x:v>16.4104</x:v>
      </x:c>
      <x:c r="E52" s="312" t="n">
        <x:f>'All Stats'!M35</x:f>
        <x:v>11.8057</x:v>
      </x:c>
      <x:c r="F52" s="312" t="n">
        <x:f>'All Stats'!O35</x:f>
        <x:v>-0.67</x:v>
      </x:c>
      <x:c r="G52" s="312" t="n">
        <x:f>'All Stats'!Q35</x:f>
        <x:v>3.44</x:v>
      </x:c>
      <x:c r="H52" s="316" t="str">
        <x:f>IF(C52="Yes",100*((COUNTIFS($C$23:$C$189,"Yes",$D$23:$D$189,"&lt;"&amp;D52)+(COUNTIFS($C$23:$C$189,"Yes",$D$23:$D$189,D52)-1)/2)/($O$18-1))^$O$7,"")</x:f>
      </x:c>
      <x:c r="I52" s="316" t="str">
        <x:f>IF(C52="Yes",100*((COUNTIFS($C$23:$C$189,"Yes",$E$23:$E$189,"&lt;"&amp;E52)+(COUNTIFS($C$23:$C$189,"Yes",$E$23:$E$189,E52)-1)/2)/($O$18-1))^$O$7,"")</x:f>
      </x:c>
      <x:c r="J52" s="316" t="str">
        <x:f>IF(C52="Yes",100*((COUNTIFS($C$23:$C$189,"Yes",$F$23:$F$189,"&gt;"&amp;F52)+(COUNTIFS($C$23:$C$189,"Yes",$F$23:$F$189,F52)-1)/2)/($O$18-1))^$O$7,"")</x:f>
      </x:c>
      <x:c r="K52" s="316" t="str">
        <x:f>IF(C52="Yes",100*((COUNTIFS($C$23:$C$189,"Yes",$G$23:$G$189,"&lt;"&amp;G52)+(COUNTIFS($C$23:$C$189,"Yes",$G$23:$G$189,G52)-1)/2)/($O$18-1))^$O$7,"")</x:f>
      </x:c>
      <x:c r="L52" s="316" t="str">
        <x:f>IF(C52="Yes",AVERAGE(H52:K52),"")</x:f>
      </x:c>
      <x:c r="M52" s="317" t="str">
        <x:f>IF(C52="Yes",1+COUNTIFS($A$23:$A$189,A52,$C$23:$C$189,"Yes",$L$23:$L$189,"&gt;"&amp;L52),"")</x:f>
      </x:c>
    </x:row>
    <x:row r="53">
      <x:c r="A53" s="311" t="str">
        <x:f>'All Stats'!A36</x:f>
        <x:v>K91</x:v>
      </x:c>
      <x:c r="B53" s="311" t="str">
        <x:f>'All Stats'!B36</x:f>
        <x:v>TatyToy</x:v>
      </x:c>
      <x:c r="C53" s="315" t="str">
        <x:f>IF(G53&gt;=$O$6,"Yes","No")</x:f>
        <x:v>No</x:v>
      </x:c>
      <x:c r="D53" s="312" t="n">
        <x:f>'All Stats'!L36</x:f>
        <x:v>14.5504</x:v>
      </x:c>
      <x:c r="E53" s="312" t="n">
        <x:f>'All Stats'!M36</x:f>
        <x:v>9.0557</x:v>
      </x:c>
      <x:c r="F53" s="312" t="n">
        <x:f>'All Stats'!O36</x:f>
        <x:v>-0.4875</x:v>
      </x:c>
      <x:c r="G53" s="312" t="n">
        <x:f>'All Stats'!Q36</x:f>
        <x:v>2.03</x:v>
      </x:c>
      <x:c r="H53" s="316" t="str">
        <x:f>IF(C53="Yes",100*((COUNTIFS($C$23:$C$189,"Yes",$D$23:$D$189,"&lt;"&amp;D53)+(COUNTIFS($C$23:$C$189,"Yes",$D$23:$D$189,D53)-1)/2)/($O$18-1))^$O$7,"")</x:f>
      </x:c>
      <x:c r="I53" s="316" t="str">
        <x:f>IF(C53="Yes",100*((COUNTIFS($C$23:$C$189,"Yes",$E$23:$E$189,"&lt;"&amp;E53)+(COUNTIFS($C$23:$C$189,"Yes",$E$23:$E$189,E53)-1)/2)/($O$18-1))^$O$7,"")</x:f>
      </x:c>
      <x:c r="J53" s="316" t="str">
        <x:f>IF(C53="Yes",100*((COUNTIFS($C$23:$C$189,"Yes",$F$23:$F$189,"&gt;"&amp;F53)+(COUNTIFS($C$23:$C$189,"Yes",$F$23:$F$189,F53)-1)/2)/($O$18-1))^$O$7,"")</x:f>
      </x:c>
      <x:c r="K53" s="316" t="str">
        <x:f>IF(C53="Yes",100*((COUNTIFS($C$23:$C$189,"Yes",$G$23:$G$189,"&lt;"&amp;G53)+(COUNTIFS($C$23:$C$189,"Yes",$G$23:$G$189,G53)-1)/2)/($O$18-1))^$O$7,"")</x:f>
      </x:c>
      <x:c r="L53" s="316" t="str">
        <x:f>IF(C53="Yes",AVERAGE(H53:K53),"")</x:f>
      </x:c>
      <x:c r="M53" s="317" t="str">
        <x:f>IF(C53="Yes",1+COUNTIFS($A$23:$A$189,A53,$C$23:$C$189,"Yes",$L$23:$L$189,"&gt;"&amp;L53),"")</x:f>
      </x:c>
    </x:row>
    <x:row r="54">
      <x:c r="A54" s="311" t="str">
        <x:f>'All Stats'!A37</x:f>
        <x:v>K91</x:v>
      </x:c>
      <x:c r="B54" s="311" t="str">
        <x:f>'All Stats'!B37</x:f>
        <x:v>AMANTIS</x:v>
      </x:c>
      <x:c r="C54" s="315" t="str">
        <x:f>IF(G54&gt;=$O$6,"Yes","No")</x:f>
        <x:v>No</x:v>
      </x:c>
      <x:c r="D54" s="312" t="n">
        <x:f>'All Stats'!L37</x:f>
        <x:v>15.8354</x:v>
      </x:c>
      <x:c r="E54" s="312" t="n">
        <x:f>'All Stats'!M37</x:f>
        <x:v>10.740699999999999</x:v>
      </x:c>
      <x:c r="F54" s="312" t="n">
        <x:f>'All Stats'!O37</x:f>
        <x:v>-0.585</x:v>
      </x:c>
      <x:c r="G54" s="312" t="n">
        <x:f>'All Stats'!Q37</x:f>
        <x:v>2.56</x:v>
      </x:c>
      <x:c r="H54" s="316" t="str">
        <x:f>IF(C54="Yes",100*((COUNTIFS($C$23:$C$189,"Yes",$D$23:$D$189,"&lt;"&amp;D54)+(COUNTIFS($C$23:$C$189,"Yes",$D$23:$D$189,D54)-1)/2)/($O$18-1))^$O$7,"")</x:f>
      </x:c>
      <x:c r="I54" s="316" t="str">
        <x:f>IF(C54="Yes",100*((COUNTIFS($C$23:$C$189,"Yes",$E$23:$E$189,"&lt;"&amp;E54)+(COUNTIFS($C$23:$C$189,"Yes",$E$23:$E$189,E54)-1)/2)/($O$18-1))^$O$7,"")</x:f>
      </x:c>
      <x:c r="J54" s="316" t="str">
        <x:f>IF(C54="Yes",100*((COUNTIFS($C$23:$C$189,"Yes",$F$23:$F$189,"&gt;"&amp;F54)+(COUNTIFS($C$23:$C$189,"Yes",$F$23:$F$189,F54)-1)/2)/($O$18-1))^$O$7,"")</x:f>
      </x:c>
      <x:c r="K54" s="316" t="str">
        <x:f>IF(C54="Yes",100*((COUNTIFS($C$23:$C$189,"Yes",$G$23:$G$189,"&lt;"&amp;G54)+(COUNTIFS($C$23:$C$189,"Yes",$G$23:$G$189,G54)-1)/2)/($O$18-1))^$O$7,"")</x:f>
      </x:c>
      <x:c r="L54" s="316" t="str">
        <x:f>IF(C54="Yes",AVERAGE(H54:K54),"")</x:f>
      </x:c>
      <x:c r="M54" s="317" t="str">
        <x:f>IF(C54="Yes",1+COUNTIFS($A$23:$A$189,A54,$C$23:$C$189,"Yes",$L$23:$L$189,"&gt;"&amp;L54),"")</x:f>
      </x:c>
    </x:row>
    <x:row r="55">
      <x:c r="A55" s="311" t="str">
        <x:f>'All Stats'!A38</x:f>
        <x:v>K91</x:v>
      </x:c>
      <x:c r="B55" s="311" t="str">
        <x:f>'All Stats'!B38</x:f>
        <x:v>Milhaus</x:v>
      </x:c>
      <x:c r="C55" s="315" t="str">
        <x:f>IF(G55&gt;=$O$6,"Yes","No")</x:f>
        <x:v>No</x:v>
      </x:c>
      <x:c r="D55" s="312" t="n">
        <x:f>'All Stats'!L38</x:f>
        <x:v>19.4054</x:v>
      </x:c>
      <x:c r="E55" s="312" t="n">
        <x:f>'All Stats'!M38</x:f>
        <x:v>14.970699999999999</x:v>
      </x:c>
      <x:c r="F55" s="312" t="n">
        <x:f>'All Stats'!O38</x:f>
        <x:v>-1.4375</x:v>
      </x:c>
      <x:c r="G55" s="312" t="n">
        <x:f>'All Stats'!Q38</x:f>
        <x:v>5.66</x:v>
      </x:c>
      <x:c r="H55" s="316" t="str">
        <x:f>IF(C55="Yes",100*((COUNTIFS($C$23:$C$189,"Yes",$D$23:$D$189,"&lt;"&amp;D55)+(COUNTIFS($C$23:$C$189,"Yes",$D$23:$D$189,D55)-1)/2)/($O$18-1))^$O$7,"")</x:f>
      </x:c>
      <x:c r="I55" s="316" t="str">
        <x:f>IF(C55="Yes",100*((COUNTIFS($C$23:$C$189,"Yes",$E$23:$E$189,"&lt;"&amp;E55)+(COUNTIFS($C$23:$C$189,"Yes",$E$23:$E$189,E55)-1)/2)/($O$18-1))^$O$7,"")</x:f>
      </x:c>
      <x:c r="J55" s="316" t="str">
        <x:f>IF(C55="Yes",100*((COUNTIFS($C$23:$C$189,"Yes",$F$23:$F$189,"&gt;"&amp;F55)+(COUNTIFS($C$23:$C$189,"Yes",$F$23:$F$189,F55)-1)/2)/($O$18-1))^$O$7,"")</x:f>
      </x:c>
      <x:c r="K55" s="316" t="str">
        <x:f>IF(C55="Yes",100*((COUNTIFS($C$23:$C$189,"Yes",$G$23:$G$189,"&lt;"&amp;G55)+(COUNTIFS($C$23:$C$189,"Yes",$G$23:$G$189,G55)-1)/2)/($O$18-1))^$O$7,"")</x:f>
      </x:c>
      <x:c r="L55" s="316" t="str">
        <x:f>IF(C55="Yes",AVERAGE(H55:K55),"")</x:f>
      </x:c>
      <x:c r="M55" s="317" t="str">
        <x:f>IF(C55="Yes",1+COUNTIFS($A$23:$A$189,A55,$C$23:$C$189,"Yes",$L$23:$L$189,"&gt;"&amp;L55),"")</x:f>
      </x:c>
    </x:row>
    <x:row r="56">
      <x:c r="A56" s="311" t="str">
        <x:f>'All Stats'!A39</x:f>
        <x:v>K91</x:v>
      </x:c>
      <x:c r="B56" s="311" t="str">
        <x:f>'All Stats'!B39</x:f>
        <x:v>金灵蛇</x:v>
      </x:c>
      <x:c r="C56" s="315" t="str">
        <x:f>IF(G56&gt;=$O$6,"Yes","No")</x:f>
        <x:v>No</x:v>
      </x:c>
      <x:c r="D56" s="312" t="n">
        <x:f>'All Stats'!L39</x:f>
        <x:v>17.290399999999998</x:v>
      </x:c>
      <x:c r="E56" s="312" t="n">
        <x:f>'All Stats'!M39</x:f>
        <x:v>11.3157</x:v>
      </x:c>
      <x:c r="F56" s="312" t="n">
        <x:f>'All Stats'!O39</x:f>
        <x:v>-1.04</x:v>
      </x:c>
      <x:c r="G56" s="312" t="n">
        <x:f>'All Stats'!Q39</x:f>
        <x:v>2.49</x:v>
      </x:c>
      <x:c r="H56" s="316" t="str">
        <x:f>IF(C56="Yes",100*((COUNTIFS($C$23:$C$189,"Yes",$D$23:$D$189,"&lt;"&amp;D56)+(COUNTIFS($C$23:$C$189,"Yes",$D$23:$D$189,D56)-1)/2)/($O$18-1))^$O$7,"")</x:f>
      </x:c>
      <x:c r="I56" s="316" t="str">
        <x:f>IF(C56="Yes",100*((COUNTIFS($C$23:$C$189,"Yes",$E$23:$E$189,"&lt;"&amp;E56)+(COUNTIFS($C$23:$C$189,"Yes",$E$23:$E$189,E56)-1)/2)/($O$18-1))^$O$7,"")</x:f>
      </x:c>
      <x:c r="J56" s="316" t="str">
        <x:f>IF(C56="Yes",100*((COUNTIFS($C$23:$C$189,"Yes",$F$23:$F$189,"&gt;"&amp;F56)+(COUNTIFS($C$23:$C$189,"Yes",$F$23:$F$189,F56)-1)/2)/($O$18-1))^$O$7,"")</x:f>
      </x:c>
      <x:c r="K56" s="316" t="str">
        <x:f>IF(C56="Yes",100*((COUNTIFS($C$23:$C$189,"Yes",$G$23:$G$189,"&lt;"&amp;G56)+(COUNTIFS($C$23:$C$189,"Yes",$G$23:$G$189,G56)-1)/2)/($O$18-1))^$O$7,"")</x:f>
      </x:c>
      <x:c r="L56" s="316" t="str">
        <x:f>IF(C56="Yes",AVERAGE(H56:K56),"")</x:f>
      </x:c>
      <x:c r="M56" s="317" t="str">
        <x:f>IF(C56="Yes",1+COUNTIFS($A$23:$A$189,A56,$C$23:$C$189,"Yes",$L$23:$L$189,"&gt;"&amp;L56),"")</x:f>
      </x:c>
    </x:row>
    <x:row r="57">
      <x:c r="A57" s="311" t="str">
        <x:f>'All Stats'!A40</x:f>
        <x:v>K91</x:v>
      </x:c>
      <x:c r="B57" s="311" t="str">
        <x:f>'All Stats'!B40</x:f>
        <x:v>Nico•</x:v>
      </x:c>
      <x:c r="C57" s="315" t="str">
        <x:f>IF(G57&gt;=$O$6,"Yes","No")</x:f>
        <x:v>No</x:v>
      </x:c>
      <x:c r="D57" s="312" t="n">
        <x:f>'All Stats'!L40</x:f>
        <x:v>14.1754</x:v>
      </x:c>
      <x:c r="E57" s="312" t="n">
        <x:f>'All Stats'!M40</x:f>
        <x:v>9.5707</x:v>
      </x:c>
      <x:c r="F57" s="312" t="n">
        <x:f>'All Stats'!O40</x:f>
        <x:v>-0.5475</x:v>
      </x:c>
      <x:c r="G57" s="312" t="n">
        <x:f>'All Stats'!Q40</x:f>
        <x:v>3.03</x:v>
      </x:c>
      <x:c r="H57" s="316" t="str">
        <x:f>IF(C57="Yes",100*((COUNTIFS($C$23:$C$189,"Yes",$D$23:$D$189,"&lt;"&amp;D57)+(COUNTIFS($C$23:$C$189,"Yes",$D$23:$D$189,D57)-1)/2)/($O$18-1))^$O$7,"")</x:f>
      </x:c>
      <x:c r="I57" s="316" t="str">
        <x:f>IF(C57="Yes",100*((COUNTIFS($C$23:$C$189,"Yes",$E$23:$E$189,"&lt;"&amp;E57)+(COUNTIFS($C$23:$C$189,"Yes",$E$23:$E$189,E57)-1)/2)/($O$18-1))^$O$7,"")</x:f>
      </x:c>
      <x:c r="J57" s="316" t="str">
        <x:f>IF(C57="Yes",100*((COUNTIFS($C$23:$C$189,"Yes",$F$23:$F$189,"&gt;"&amp;F57)+(COUNTIFS($C$23:$C$189,"Yes",$F$23:$F$189,F57)-1)/2)/($O$18-1))^$O$7,"")</x:f>
      </x:c>
      <x:c r="K57" s="316" t="str">
        <x:f>IF(C57="Yes",100*((COUNTIFS($C$23:$C$189,"Yes",$G$23:$G$189,"&lt;"&amp;G57)+(COUNTIFS($C$23:$C$189,"Yes",$G$23:$G$189,G57)-1)/2)/($O$18-1))^$O$7,"")</x:f>
      </x:c>
      <x:c r="L57" s="316" t="str">
        <x:f>IF(C57="Yes",AVERAGE(H57:K57),"")</x:f>
      </x:c>
      <x:c r="M57" s="317" t="str">
        <x:f>IF(C57="Yes",1+COUNTIFS($A$23:$A$189,A57,$C$23:$C$189,"Yes",$L$23:$L$189,"&gt;"&amp;L57),"")</x:f>
      </x:c>
    </x:row>
    <x:row r="58">
      <x:c r="A58" s="311" t="str">
        <x:f>'All Stats'!A41</x:f>
        <x:v>K91</x:v>
      </x:c>
      <x:c r="B58" s="311" t="str">
        <x:f>'All Stats'!B41</x:f>
        <x:v>†LORD•ZARIEL†</x:v>
      </x:c>
      <x:c r="C58" s="315" t="str">
        <x:f>IF(G58&gt;=$O$6,"Yes","No")</x:f>
        <x:v>No</x:v>
      </x:c>
      <x:c r="D58" s="312" t="n">
        <x:f>'All Stats'!L41</x:f>
        <x:v>14.9154</x:v>
      </x:c>
      <x:c r="E58" s="312" t="n">
        <x:f>'All Stats'!M41</x:f>
        <x:v>9.950700000000001</x:v>
      </x:c>
      <x:c r="F58" s="312" t="n">
        <x:f>'All Stats'!O41</x:f>
        <x:v>-0.5825</x:v>
      </x:c>
      <x:c r="G58" s="312" t="n">
        <x:f>'All Stats'!Q41</x:f>
        <x:v>1.87</x:v>
      </x:c>
      <x:c r="H58" s="316" t="str">
        <x:f>IF(C58="Yes",100*((COUNTIFS($C$23:$C$189,"Yes",$D$23:$D$189,"&lt;"&amp;D58)+(COUNTIFS($C$23:$C$189,"Yes",$D$23:$D$189,D58)-1)/2)/($O$18-1))^$O$7,"")</x:f>
      </x:c>
      <x:c r="I58" s="316" t="str">
        <x:f>IF(C58="Yes",100*((COUNTIFS($C$23:$C$189,"Yes",$E$23:$E$189,"&lt;"&amp;E58)+(COUNTIFS($C$23:$C$189,"Yes",$E$23:$E$189,E58)-1)/2)/($O$18-1))^$O$7,"")</x:f>
      </x:c>
      <x:c r="J58" s="316" t="str">
        <x:f>IF(C58="Yes",100*((COUNTIFS($C$23:$C$189,"Yes",$F$23:$F$189,"&gt;"&amp;F58)+(COUNTIFS($C$23:$C$189,"Yes",$F$23:$F$189,F58)-1)/2)/($O$18-1))^$O$7,"")</x:f>
      </x:c>
      <x:c r="K58" s="316" t="str">
        <x:f>IF(C58="Yes",100*((COUNTIFS($C$23:$C$189,"Yes",$G$23:$G$189,"&lt;"&amp;G58)+(COUNTIFS($C$23:$C$189,"Yes",$G$23:$G$189,G58)-1)/2)/($O$18-1))^$O$7,"")</x:f>
      </x:c>
      <x:c r="L58" s="316" t="str">
        <x:f>IF(C58="Yes",AVERAGE(H58:K58),"")</x:f>
      </x:c>
      <x:c r="M58" s="317" t="str">
        <x:f>IF(C58="Yes",1+COUNTIFS($A$23:$A$189,A58,$C$23:$C$189,"Yes",$L$23:$L$189,"&gt;"&amp;L58),"")</x:f>
      </x:c>
    </x:row>
    <x:row r="59">
      <x:c r="A59" s="311" t="str">
        <x:f>'All Stats'!A42</x:f>
        <x:v>K91</x:v>
      </x:c>
      <x:c r="B59" s="311" t="str">
        <x:f>'All Stats'!B42</x:f>
        <x:v>TÜRK 81</x:v>
      </x:c>
      <x:c r="C59" s="315" t="str">
        <x:f>IF(G59&gt;=$O$6,"Yes","No")</x:f>
        <x:v>No</x:v>
      </x:c>
      <x:c r="D59" s="312" t="n">
        <x:f>'All Stats'!L42</x:f>
        <x:v>17.2454</x:v>
      </x:c>
      <x:c r="E59" s="312" t="n">
        <x:f>'All Stats'!M42</x:f>
        <x:v>11.6807</x:v>
      </x:c>
      <x:c r="F59" s="312" t="n">
        <x:f>'All Stats'!O42</x:f>
        <x:v>-0.67</x:v>
      </x:c>
      <x:c r="G59" s="312" t="n">
        <x:f>'All Stats'!Q42</x:f>
        <x:v>2.81</x:v>
      </x:c>
      <x:c r="H59" s="316" t="str">
        <x:f>IF(C59="Yes",100*((COUNTIFS($C$23:$C$189,"Yes",$D$23:$D$189,"&lt;"&amp;D59)+(COUNTIFS($C$23:$C$189,"Yes",$D$23:$D$189,D59)-1)/2)/($O$18-1))^$O$7,"")</x:f>
      </x:c>
      <x:c r="I59" s="316" t="str">
        <x:f>IF(C59="Yes",100*((COUNTIFS($C$23:$C$189,"Yes",$E$23:$E$189,"&lt;"&amp;E59)+(COUNTIFS($C$23:$C$189,"Yes",$E$23:$E$189,E59)-1)/2)/($O$18-1))^$O$7,"")</x:f>
      </x:c>
      <x:c r="J59" s="316" t="str">
        <x:f>IF(C59="Yes",100*((COUNTIFS($C$23:$C$189,"Yes",$F$23:$F$189,"&gt;"&amp;F59)+(COUNTIFS($C$23:$C$189,"Yes",$F$23:$F$189,F59)-1)/2)/($O$18-1))^$O$7,"")</x:f>
      </x:c>
      <x:c r="K59" s="316" t="str">
        <x:f>IF(C59="Yes",100*((COUNTIFS($C$23:$C$189,"Yes",$G$23:$G$189,"&lt;"&amp;G59)+(COUNTIFS($C$23:$C$189,"Yes",$G$23:$G$189,G59)-1)/2)/($O$18-1))^$O$7,"")</x:f>
      </x:c>
      <x:c r="L59" s="316" t="str">
        <x:f>IF(C59="Yes",AVERAGE(H59:K59),"")</x:f>
      </x:c>
      <x:c r="M59" s="317" t="str">
        <x:f>IF(C59="Yes",1+COUNTIFS($A$23:$A$189,A59,$C$23:$C$189,"Yes",$L$23:$L$189,"&gt;"&amp;L59),"")</x:f>
      </x:c>
    </x:row>
    <x:row r="60">
      <x:c r="A60" s="311" t="str">
        <x:f>'All Stats'!A43</x:f>
        <x:v>K91</x:v>
      </x:c>
      <x:c r="B60" s="311" t="str">
        <x:f>'All Stats'!B43</x:f>
        <x:v>A†RO/</x:v>
      </x:c>
      <x:c r="C60" s="315" t="str">
        <x:f>IF(G60&gt;=$O$6,"Yes","No")</x:f>
        <x:v>No</x:v>
      </x:c>
      <x:c r="D60" s="312" t="n">
        <x:f>'All Stats'!L43</x:f>
        <x:v>15.4354</x:v>
      </x:c>
      <x:c r="E60" s="312" t="n">
        <x:f>'All Stats'!M43</x:f>
        <x:v>11.0307</x:v>
      </x:c>
      <x:c r="F60" s="312" t="n">
        <x:f>'All Stats'!O43</x:f>
        <x:v>-0.6</x:v>
      </x:c>
      <x:c r="G60" s="312" t="n">
        <x:f>'All Stats'!Q43</x:f>
        <x:v>1.82</x:v>
      </x:c>
      <x:c r="H60" s="316" t="str">
        <x:f>IF(C60="Yes",100*((COUNTIFS($C$23:$C$189,"Yes",$D$23:$D$189,"&lt;"&amp;D60)+(COUNTIFS($C$23:$C$189,"Yes",$D$23:$D$189,D60)-1)/2)/($O$18-1))^$O$7,"")</x:f>
      </x:c>
      <x:c r="I60" s="316" t="str">
        <x:f>IF(C60="Yes",100*((COUNTIFS($C$23:$C$189,"Yes",$E$23:$E$189,"&lt;"&amp;E60)+(COUNTIFS($C$23:$C$189,"Yes",$E$23:$E$189,E60)-1)/2)/($O$18-1))^$O$7,"")</x:f>
      </x:c>
      <x:c r="J60" s="316" t="str">
        <x:f>IF(C60="Yes",100*((COUNTIFS($C$23:$C$189,"Yes",$F$23:$F$189,"&gt;"&amp;F60)+(COUNTIFS($C$23:$C$189,"Yes",$F$23:$F$189,F60)-1)/2)/($O$18-1))^$O$7,"")</x:f>
      </x:c>
      <x:c r="K60" s="316" t="str">
        <x:f>IF(C60="Yes",100*((COUNTIFS($C$23:$C$189,"Yes",$G$23:$G$189,"&lt;"&amp;G60)+(COUNTIFS($C$23:$C$189,"Yes",$G$23:$G$189,G60)-1)/2)/($O$18-1))^$O$7,"")</x:f>
      </x:c>
      <x:c r="L60" s="316" t="str">
        <x:f>IF(C60="Yes",AVERAGE(H60:K60),"")</x:f>
      </x:c>
      <x:c r="M60" s="317" t="str">
        <x:f>IF(C60="Yes",1+COUNTIFS($A$23:$A$189,A60,$C$23:$C$189,"Yes",$L$23:$L$189,"&gt;"&amp;L60),"")</x:f>
      </x:c>
    </x:row>
    <x:row r="61">
      <x:c r="A61" s="311" t="str">
        <x:f>'All Stats'!A44</x:f>
        <x:v>K91</x:v>
      </x:c>
      <x:c r="B61" s="311" t="str">
        <x:f>'All Stats'!B44</x:f>
        <x:v>Skrapz</x:v>
      </x:c>
      <x:c r="C61" s="315" t="str">
        <x:f>IF(G61&gt;=$O$6,"Yes","No")</x:f>
        <x:v>Yes</x:v>
      </x:c>
      <x:c r="D61" s="312" t="n">
        <x:f>'All Stats'!L44</x:f>
        <x:v>22.1792</x:v>
      </x:c>
      <x:c r="E61" s="312" t="n">
        <x:f>'All Stats'!M44</x:f>
        <x:v>14.0207</x:v>
      </x:c>
      <x:c r="F61" s="312" t="n">
        <x:f>'All Stats'!O44</x:f>
        <x:v>-1.95</x:v>
      </x:c>
      <x:c r="G61" s="312" t="n">
        <x:f>'All Stats'!Q44</x:f>
        <x:v>7</x:v>
      </x:c>
      <x:c r="H61" s="316" t="n">
        <x:f>IF(C61="Yes",100*((COUNTIFS($C$23:$C$189,"Yes",$D$23:$D$189,"&lt;"&amp;D61)+(COUNTIFS($C$23:$C$189,"Yes",$D$23:$D$189,D61)-1)/2)/($O$18-1))^$O$7,"")</x:f>
        <x:v>42.455683540726014</x:v>
      </x:c>
      <x:c r="I61" s="316" t="n">
        <x:f>IF(C61="Yes",100*((COUNTIFS($C$23:$C$189,"Yes",$E$23:$E$189,"&lt;"&amp;E61)+(COUNTIFS($C$23:$C$189,"Yes",$E$23:$E$189,E61)-1)/2)/($O$18-1))^$O$7,"")</x:f>
        <x:v>11.482631489841884</x:v>
      </x:c>
      <x:c r="J61" s="316" t="n">
        <x:f>IF(C61="Yes",100*((COUNTIFS($C$23:$C$189,"Yes",$F$23:$F$189,"&gt;"&amp;F61)+(COUNTIFS($C$23:$C$189,"Yes",$F$23:$F$189,F61)-1)/2)/($O$18-1))^$O$7,"")</x:f>
        <x:v>42.455683540726014</x:v>
      </x:c>
      <x:c r="K61" s="316" t="n">
        <x:f>IF(C61="Yes",100*((COUNTIFS($C$23:$C$189,"Yes",$G$23:$G$189,"&lt;"&amp;G61)+(COUNTIFS($C$23:$C$189,"Yes",$G$23:$G$189,G61)-1)/2)/($O$18-1))^$O$7,"")</x:f>
        <x:v>17.63348920985086</x:v>
      </x:c>
      <x:c r="L61" s="316" t="n">
        <x:f>IF(C61="Yes",AVERAGE(H61:K61),"")</x:f>
        <x:v>28.506871945286193</x:v>
      </x:c>
      <x:c r="M61" s="317" t="n">
        <x:f>IF(C61="Yes",1+COUNTIFS($A$23:$A$189,A61,$C$23:$C$189,"Yes",$L$23:$L$189,"&gt;"&amp;L61),"")</x:f>
        <x:v>2</x:v>
      </x:c>
    </x:row>
    <x:row r="62">
      <x:c r="A62" s="311" t="str">
        <x:f>'All Stats'!A45</x:f>
        <x:v>K91</x:v>
      </x:c>
      <x:c r="B62" s="311" t="str">
        <x:f>'All Stats'!B45</x:f>
        <x:v>JustBlaze</x:v>
      </x:c>
      <x:c r="C62" s="315" t="str">
        <x:f>IF(G62&gt;=$O$6,"Yes","No")</x:f>
        <x:v>No</x:v>
      </x:c>
      <x:c r="D62" s="312" t="n">
        <x:f>'All Stats'!L45</x:f>
        <x:v>19.0642</x:v>
      </x:c>
      <x:c r="E62" s="312" t="n">
        <x:f>'All Stats'!M45</x:f>
        <x:v>12.185699999999999</x:v>
      </x:c>
      <x:c r="F62" s="312" t="n">
        <x:f>'All Stats'!O45</x:f>
        <x:v>-0.67</x:v>
      </x:c>
      <x:c r="G62" s="312" t="n">
        <x:f>'All Stats'!Q45</x:f>
        <x:v>4.73</x:v>
      </x:c>
      <x:c r="H62" s="316" t="str">
        <x:f>IF(C62="Yes",100*((COUNTIFS($C$23:$C$189,"Yes",$D$23:$D$189,"&lt;"&amp;D62)+(COUNTIFS($C$23:$C$189,"Yes",$D$23:$D$189,D62)-1)/2)/($O$18-1))^$O$7,"")</x:f>
      </x:c>
      <x:c r="I62" s="316" t="str">
        <x:f>IF(C62="Yes",100*((COUNTIFS($C$23:$C$189,"Yes",$E$23:$E$189,"&lt;"&amp;E62)+(COUNTIFS($C$23:$C$189,"Yes",$E$23:$E$189,E62)-1)/2)/($O$18-1))^$O$7,"")</x:f>
      </x:c>
      <x:c r="J62" s="316" t="str">
        <x:f>IF(C62="Yes",100*((COUNTIFS($C$23:$C$189,"Yes",$F$23:$F$189,"&gt;"&amp;F62)+(COUNTIFS($C$23:$C$189,"Yes",$F$23:$F$189,F62)-1)/2)/($O$18-1))^$O$7,"")</x:f>
      </x:c>
      <x:c r="K62" s="316" t="str">
        <x:f>IF(C62="Yes",100*((COUNTIFS($C$23:$C$189,"Yes",$G$23:$G$189,"&lt;"&amp;G62)+(COUNTIFS($C$23:$C$189,"Yes",$G$23:$G$189,G62)-1)/2)/($O$18-1))^$O$7,"")</x:f>
      </x:c>
      <x:c r="L62" s="316" t="str">
        <x:f>IF(C62="Yes",AVERAGE(H62:K62),"")</x:f>
      </x:c>
      <x:c r="M62" s="317" t="str">
        <x:f>IF(C62="Yes",1+COUNTIFS($A$23:$A$189,A62,$C$23:$C$189,"Yes",$L$23:$L$189,"&gt;"&amp;L62),"")</x:f>
      </x:c>
    </x:row>
    <x:row r="63">
      <x:c r="A63" s="311" t="str">
        <x:f>'All Stats'!A46</x:f>
        <x:v>K91</x:v>
      </x:c>
      <x:c r="B63" s="311" t="str">
        <x:f>'All Stats'!B46</x:f>
        <x:v>KaladinTheHerald</x:v>
      </x:c>
      <x:c r="C63" s="315" t="str">
        <x:f>IF(G63&gt;=$O$6,"Yes","No")</x:f>
        <x:v>No</x:v>
      </x:c>
      <x:c r="D63" s="312" t="n">
        <x:f>'All Stats'!L46</x:f>
        <x:v>20.8292</x:v>
      </x:c>
      <x:c r="E63" s="312" t="n">
        <x:f>'All Stats'!M46</x:f>
        <x:v>13.1707</x:v>
      </x:c>
      <x:c r="F63" s="312" t="n">
        <x:f>'All Stats'!O46</x:f>
        <x:v>-0.945</x:v>
      </x:c>
      <x:c r="G63" s="312" t="n">
        <x:f>'All Stats'!Q46</x:f>
        <x:v>6.26</x:v>
      </x:c>
      <x:c r="H63" s="316" t="str">
        <x:f>IF(C63="Yes",100*((COUNTIFS($C$23:$C$189,"Yes",$D$23:$D$189,"&lt;"&amp;D63)+(COUNTIFS($C$23:$C$189,"Yes",$D$23:$D$189,D63)-1)/2)/($O$18-1))^$O$7,"")</x:f>
      </x:c>
      <x:c r="I63" s="316" t="str">
        <x:f>IF(C63="Yes",100*((COUNTIFS($C$23:$C$189,"Yes",$E$23:$E$189,"&lt;"&amp;E63)+(COUNTIFS($C$23:$C$189,"Yes",$E$23:$E$189,E63)-1)/2)/($O$18-1))^$O$7,"")</x:f>
      </x:c>
      <x:c r="J63" s="316" t="str">
        <x:f>IF(C63="Yes",100*((COUNTIFS($C$23:$C$189,"Yes",$F$23:$F$189,"&gt;"&amp;F63)+(COUNTIFS($C$23:$C$189,"Yes",$F$23:$F$189,F63)-1)/2)/($O$18-1))^$O$7,"")</x:f>
      </x:c>
      <x:c r="K63" s="316" t="str">
        <x:f>IF(C63="Yes",100*((COUNTIFS($C$23:$C$189,"Yes",$G$23:$G$189,"&lt;"&amp;G63)+(COUNTIFS($C$23:$C$189,"Yes",$G$23:$G$189,G63)-1)/2)/($O$18-1))^$O$7,"")</x:f>
      </x:c>
      <x:c r="L63" s="316" t="str">
        <x:f>IF(C63="Yes",AVERAGE(H63:K63),"")</x:f>
      </x:c>
      <x:c r="M63" s="317" t="str">
        <x:f>IF(C63="Yes",1+COUNTIFS($A$23:$A$189,A63,$C$23:$C$189,"Yes",$L$23:$L$189,"&gt;"&amp;L63),"")</x:f>
      </x:c>
    </x:row>
    <x:row r="64">
      <x:c r="A64" s="311" t="str">
        <x:f>'All Stats'!A47</x:f>
        <x:v>K91</x:v>
      </x:c>
      <x:c r="B64" s="311" t="str">
        <x:f>'All Stats'!B47</x:f>
        <x:v>Crash</x:v>
      </x:c>
      <x:c r="C64" s="315" t="str">
        <x:f>IF(G64&gt;=$O$6,"Yes","No")</x:f>
        <x:v>No</x:v>
      </x:c>
      <x:c r="D64" s="312" t="n">
        <x:f>'All Stats'!L47</x:f>
        <x:v>16.1649</x:v>
      </x:c>
      <x:c r="E64" s="312" t="n">
        <x:f>'All Stats'!M47</x:f>
        <x:v>7.3707</x:v>
      </x:c>
      <x:c r="F64" s="312" t="n">
        <x:f>'All Stats'!O47</x:f>
        <x:v>-0.5625</x:v>
      </x:c>
      <x:c r="G64" s="312" t="n">
        <x:f>'All Stats'!Q47</x:f>
        <x:v>3.06</x:v>
      </x:c>
      <x:c r="H64" s="316" t="str">
        <x:f>IF(C64="Yes",100*((COUNTIFS($C$23:$C$189,"Yes",$D$23:$D$189,"&lt;"&amp;D64)+(COUNTIFS($C$23:$C$189,"Yes",$D$23:$D$189,D64)-1)/2)/($O$18-1))^$O$7,"")</x:f>
      </x:c>
      <x:c r="I64" s="316" t="str">
        <x:f>IF(C64="Yes",100*((COUNTIFS($C$23:$C$189,"Yes",$E$23:$E$189,"&lt;"&amp;E64)+(COUNTIFS($C$23:$C$189,"Yes",$E$23:$E$189,E64)-1)/2)/($O$18-1))^$O$7,"")</x:f>
      </x:c>
      <x:c r="J64" s="316" t="str">
        <x:f>IF(C64="Yes",100*((COUNTIFS($C$23:$C$189,"Yes",$F$23:$F$189,"&gt;"&amp;F64)+(COUNTIFS($C$23:$C$189,"Yes",$F$23:$F$189,F64)-1)/2)/($O$18-1))^$O$7,"")</x:f>
      </x:c>
      <x:c r="K64" s="316" t="str">
        <x:f>IF(C64="Yes",100*((COUNTIFS($C$23:$C$189,"Yes",$G$23:$G$189,"&lt;"&amp;G64)+(COUNTIFS($C$23:$C$189,"Yes",$G$23:$G$189,G64)-1)/2)/($O$18-1))^$O$7,"")</x:f>
      </x:c>
      <x:c r="L64" s="316" t="str">
        <x:f>IF(C64="Yes",AVERAGE(H64:K64),"")</x:f>
      </x:c>
      <x:c r="M64" s="317" t="str">
        <x:f>IF(C64="Yes",1+COUNTIFS($A$23:$A$189,A64,$C$23:$C$189,"Yes",$L$23:$L$189,"&gt;"&amp;L64),"")</x:f>
      </x:c>
    </x:row>
    <x:row r="65">
      <x:c r="A65" s="311" t="str">
        <x:f>'All Stats'!A48</x:f>
        <x:v>K91</x:v>
      </x:c>
      <x:c r="B65" s="311" t="str">
        <x:f>'All Stats'!B48</x:f>
        <x:v>WindRunner</x:v>
      </x:c>
      <x:c r="C65" s="315" t="str">
        <x:f>IF(G65&gt;=$O$6,"Yes","No")</x:f>
        <x:v>No</x:v>
      </x:c>
      <x:c r="D65" s="312" t="n">
        <x:f>'All Stats'!L48</x:f>
        <x:v>15.3954</x:v>
      </x:c>
      <x:c r="E65" s="312" t="n">
        <x:f>'All Stats'!M48</x:f>
        <x:v>10.125</x:v>
      </x:c>
      <x:c r="F65" s="312" t="n">
        <x:f>'All Stats'!O48</x:f>
        <x:v>-0.5525</x:v>
      </x:c>
      <x:c r="G65" s="312" t="n">
        <x:f>'All Stats'!Q48</x:f>
        <x:v>1.87</x:v>
      </x:c>
      <x:c r="H65" s="316" t="str">
        <x:f>IF(C65="Yes",100*((COUNTIFS($C$23:$C$189,"Yes",$D$23:$D$189,"&lt;"&amp;D65)+(COUNTIFS($C$23:$C$189,"Yes",$D$23:$D$189,D65)-1)/2)/($O$18-1))^$O$7,"")</x:f>
      </x:c>
      <x:c r="I65" s="316" t="str">
        <x:f>IF(C65="Yes",100*((COUNTIFS($C$23:$C$189,"Yes",$E$23:$E$189,"&lt;"&amp;E65)+(COUNTIFS($C$23:$C$189,"Yes",$E$23:$E$189,E65)-1)/2)/($O$18-1))^$O$7,"")</x:f>
      </x:c>
      <x:c r="J65" s="316" t="str">
        <x:f>IF(C65="Yes",100*((COUNTIFS($C$23:$C$189,"Yes",$F$23:$F$189,"&gt;"&amp;F65)+(COUNTIFS($C$23:$C$189,"Yes",$F$23:$F$189,F65)-1)/2)/($O$18-1))^$O$7,"")</x:f>
      </x:c>
      <x:c r="K65" s="316" t="str">
        <x:f>IF(C65="Yes",100*((COUNTIFS($C$23:$C$189,"Yes",$G$23:$G$189,"&lt;"&amp;G65)+(COUNTIFS($C$23:$C$189,"Yes",$G$23:$G$189,G65)-1)/2)/($O$18-1))^$O$7,"")</x:f>
      </x:c>
      <x:c r="L65" s="316" t="str">
        <x:f>IF(C65="Yes",AVERAGE(H65:K65),"")</x:f>
      </x:c>
      <x:c r="M65" s="317" t="str">
        <x:f>IF(C65="Yes",1+COUNTIFS($A$23:$A$189,A65,$C$23:$C$189,"Yes",$L$23:$L$189,"&gt;"&amp;L65),"")</x:f>
      </x:c>
    </x:row>
    <x:row r="66">
      <x:c r="A66" s="311" t="str">
        <x:f>'All Stats'!A49</x:f>
        <x:v>K91</x:v>
      </x:c>
      <x:c r="B66" s="311" t="str">
        <x:f>'All Stats'!B49</x:f>
        <x:v>•Scorpio•NM85</x:v>
      </x:c>
      <x:c r="C66" s="315" t="str">
        <x:f>IF(G66&gt;=$O$6,"Yes","No")</x:f>
        <x:v>No</x:v>
      </x:c>
      <x:c r="D66" s="312" t="n">
        <x:f>'All Stats'!L49</x:f>
        <x:v>15.3954</x:v>
      </x:c>
      <x:c r="E66" s="312" t="n">
        <x:f>'All Stats'!M49</x:f>
        <x:v>8.1607</x:v>
      </x:c>
      <x:c r="F66" s="312" t="n">
        <x:f>'All Stats'!O49</x:f>
        <x:v>-0.6575</x:v>
      </x:c>
      <x:c r="G66" s="312" t="n">
        <x:f>'All Stats'!Q49</x:f>
        <x:v>3.01</x:v>
      </x:c>
      <x:c r="H66" s="316" t="str">
        <x:f>IF(C66="Yes",100*((COUNTIFS($C$23:$C$189,"Yes",$D$23:$D$189,"&lt;"&amp;D66)+(COUNTIFS($C$23:$C$189,"Yes",$D$23:$D$189,D66)-1)/2)/($O$18-1))^$O$7,"")</x:f>
      </x:c>
      <x:c r="I66" s="316" t="str">
        <x:f>IF(C66="Yes",100*((COUNTIFS($C$23:$C$189,"Yes",$E$23:$E$189,"&lt;"&amp;E66)+(COUNTIFS($C$23:$C$189,"Yes",$E$23:$E$189,E66)-1)/2)/($O$18-1))^$O$7,"")</x:f>
      </x:c>
      <x:c r="J66" s="316" t="str">
        <x:f>IF(C66="Yes",100*((COUNTIFS($C$23:$C$189,"Yes",$F$23:$F$189,"&gt;"&amp;F66)+(COUNTIFS($C$23:$C$189,"Yes",$F$23:$F$189,F66)-1)/2)/($O$18-1))^$O$7,"")</x:f>
      </x:c>
      <x:c r="K66" s="316" t="str">
        <x:f>IF(C66="Yes",100*((COUNTIFS($C$23:$C$189,"Yes",$G$23:$G$189,"&lt;"&amp;G66)+(COUNTIFS($C$23:$C$189,"Yes",$G$23:$G$189,G66)-1)/2)/($O$18-1))^$O$7,"")</x:f>
      </x:c>
      <x:c r="L66" s="316" t="str">
        <x:f>IF(C66="Yes",AVERAGE(H66:K66),"")</x:f>
      </x:c>
      <x:c r="M66" s="317" t="str">
        <x:f>IF(C66="Yes",1+COUNTIFS($A$23:$A$189,A66,$C$23:$C$189,"Yes",$L$23:$L$189,"&gt;"&amp;L66),"")</x:f>
      </x:c>
    </x:row>
    <x:row r="67">
      <x:c r="A67" s="311" t="str">
        <x:f>'All Stats'!A50</x:f>
        <x:v>K91</x:v>
      </x:c>
      <x:c r="B67" s="311" t="str">
        <x:f>'All Stats'!B50</x:f>
        <x:v>•BigBoss•NM85</x:v>
      </x:c>
      <x:c r="C67" s="315" t="str">
        <x:f>IF(G67&gt;=$O$6,"Yes","No")</x:f>
        <x:v>No</x:v>
      </x:c>
      <x:c r="D67" s="312" t="n">
        <x:f>'All Stats'!L50</x:f>
        <x:v>14.611199999999998</x:v>
      </x:c>
      <x:c r="E67" s="312" t="n">
        <x:f>'All Stats'!M50</x:f>
        <x:v>11.359200000000001</x:v>
      </x:c>
      <x:c r="F67" s="312" t="n">
        <x:f>'All Stats'!O50</x:f>
        <x:v>-0.6675</x:v>
      </x:c>
      <x:c r="G67" s="312" t="n">
        <x:f>'All Stats'!Q50</x:f>
        <x:v>5.46</x:v>
      </x:c>
      <x:c r="H67" s="316" t="str">
        <x:f>IF(C67="Yes",100*((COUNTIFS($C$23:$C$189,"Yes",$D$23:$D$189,"&lt;"&amp;D67)+(COUNTIFS($C$23:$C$189,"Yes",$D$23:$D$189,D67)-1)/2)/($O$18-1))^$O$7,"")</x:f>
      </x:c>
      <x:c r="I67" s="316" t="str">
        <x:f>IF(C67="Yes",100*((COUNTIFS($C$23:$C$189,"Yes",$E$23:$E$189,"&lt;"&amp;E67)+(COUNTIFS($C$23:$C$189,"Yes",$E$23:$E$189,E67)-1)/2)/($O$18-1))^$O$7,"")</x:f>
      </x:c>
      <x:c r="J67" s="316" t="str">
        <x:f>IF(C67="Yes",100*((COUNTIFS($C$23:$C$189,"Yes",$F$23:$F$189,"&gt;"&amp;F67)+(COUNTIFS($C$23:$C$189,"Yes",$F$23:$F$189,F67)-1)/2)/($O$18-1))^$O$7,"")</x:f>
      </x:c>
      <x:c r="K67" s="316" t="str">
        <x:f>IF(C67="Yes",100*((COUNTIFS($C$23:$C$189,"Yes",$G$23:$G$189,"&lt;"&amp;G67)+(COUNTIFS($C$23:$C$189,"Yes",$G$23:$G$189,G67)-1)/2)/($O$18-1))^$O$7,"")</x:f>
      </x:c>
      <x:c r="L67" s="316" t="str">
        <x:f>IF(C67="Yes",AVERAGE(H67:K67),"")</x:f>
      </x:c>
      <x:c r="M67" s="317" t="str">
        <x:f>IF(C67="Yes",1+COUNTIFS($A$23:$A$189,A67,$C$23:$C$189,"Yes",$L$23:$L$189,"&gt;"&amp;L67),"")</x:f>
      </x:c>
    </x:row>
    <x:row r="68">
      <x:c r="A68" s="311" t="str">
        <x:f>'All Stats'!A51</x:f>
        <x:v>K116</x:v>
      </x:c>
      <x:c r="B68" s="311" t="str">
        <x:f>'All Stats'!B51</x:f>
        <x:v>Jesse</x:v>
      </x:c>
      <x:c r="C68" s="315" t="str">
        <x:f>IF(G68&gt;=$O$6,"Yes","No")</x:f>
        <x:v>Yes</x:v>
      </x:c>
      <x:c r="D68" s="312" t="n">
        <x:f>'All Stats'!L51</x:f>
        <x:v>26.39</x:v>
      </x:c>
      <x:c r="E68" s="312" t="n">
        <x:f>'All Stats'!M51</x:f>
        <x:v>20.866999999999997</x:v>
      </x:c>
      <x:c r="F68" s="312" t="n">
        <x:f>'All Stats'!O51</x:f>
        <x:v>-2.16</x:v>
      </x:c>
      <x:c r="G68" s="312" t="n">
        <x:f>'All Stats'!Q51</x:f>
        <x:v>9</x:v>
      </x:c>
      <x:c r="H68" s="316" t="n">
        <x:f>IF(C68="Yes",100*((COUNTIFS($C$23:$C$189,"Yes",$D$23:$D$189,"&lt;"&amp;D68)+(COUNTIFS($C$23:$C$189,"Yes",$D$23:$D$189,D68)-1)/2)/($O$18-1))^$O$7,"")</x:f>
        <x:v>63.89791816325506</x:v>
      </x:c>
      <x:c r="I68" s="316" t="n">
        <x:f>IF(C68="Yes",100*((COUNTIFS($C$23:$C$189,"Yes",$E$23:$E$189,"&lt;"&amp;E68)+(COUNTIFS($C$23:$C$189,"Yes",$E$23:$E$189,E68)-1)/2)/($O$18-1))^$O$7,"")</x:f>
        <x:v>78.52421854051717</x:v>
      </x:c>
      <x:c r="J68" s="316" t="n">
        <x:f>IF(C68="Yes",100*((COUNTIFS($C$23:$C$189,"Yes",$F$23:$F$189,"&gt;"&amp;F68)+(COUNTIFS($C$23:$C$189,"Yes",$F$23:$F$189,F68)-1)/2)/($O$18-1))^$O$7,"")</x:f>
        <x:v>71.04971685804692</x:v>
      </x:c>
      <x:c r="K68" s="316" t="n">
        <x:f>IF(C68="Yes",100*((COUNTIFS($C$23:$C$189,"Yes",$G$23:$G$189,"&lt;"&amp;G68)+(COUNTIFS($C$23:$C$189,"Yes",$G$23:$G$189,G68)-1)/2)/($O$18-1))^$O$7,"")</x:f>
        <x:v>83.68422348882154</x:v>
      </x:c>
      <x:c r="L68" s="316" t="n">
        <x:f>IF(C68="Yes",AVERAGE(H68:K68),"")</x:f>
        <x:v>74.28901926266018</x:v>
      </x:c>
      <x:c r="M68" s="317" t="n">
        <x:f>IF(C68="Yes",1+COUNTIFS($A$23:$A$189,A68,$C$23:$C$189,"Yes",$L$23:$L$189,"&gt;"&amp;L68),"")</x:f>
        <x:v>1</x:v>
      </x:c>
    </x:row>
    <x:row r="69">
      <x:c r="A69" s="311" t="str">
        <x:f>'All Stats'!A52</x:f>
        <x:v>K116</x:v>
      </x:c>
      <x:c r="B69" s="311" t="str">
        <x:f>'All Stats'!B52</x:f>
        <x:v>逍遥大官人</x:v>
      </x:c>
      <x:c r="C69" s="315" t="str">
        <x:f>IF(G69&gt;=$O$6,"Yes","No")</x:f>
        <x:v>No</x:v>
      </x:c>
      <x:c r="D69" s="312" t="n">
        <x:f>'All Stats'!L52</x:f>
        <x:v>19.9842</x:v>
      </x:c>
      <x:c r="E69" s="312" t="n">
        <x:f>'All Stats'!M52</x:f>
        <x:v>12.3607</x:v>
      </x:c>
      <x:c r="F69" s="312" t="n">
        <x:f>'All Stats'!O52</x:f>
        <x:v>-1.4465000000000001</x:v>
      </x:c>
      <x:c r="G69" s="312" t="n">
        <x:f>'All Stats'!Q52</x:f>
        <x:v>2.52</x:v>
      </x:c>
      <x:c r="H69" s="316" t="str">
        <x:f>IF(C69="Yes",100*((COUNTIFS($C$23:$C$189,"Yes",$D$23:$D$189,"&lt;"&amp;D69)+(COUNTIFS($C$23:$C$189,"Yes",$D$23:$D$189,D69)-1)/2)/($O$18-1))^$O$7,"")</x:f>
      </x:c>
      <x:c r="I69" s="316" t="str">
        <x:f>IF(C69="Yes",100*((COUNTIFS($C$23:$C$189,"Yes",$E$23:$E$189,"&lt;"&amp;E69)+(COUNTIFS($C$23:$C$189,"Yes",$E$23:$E$189,E69)-1)/2)/($O$18-1))^$O$7,"")</x:f>
      </x:c>
      <x:c r="J69" s="316" t="str">
        <x:f>IF(C69="Yes",100*((COUNTIFS($C$23:$C$189,"Yes",$F$23:$F$189,"&gt;"&amp;F69)+(COUNTIFS($C$23:$C$189,"Yes",$F$23:$F$189,F69)-1)/2)/($O$18-1))^$O$7,"")</x:f>
      </x:c>
      <x:c r="K69" s="316" t="str">
        <x:f>IF(C69="Yes",100*((COUNTIFS($C$23:$C$189,"Yes",$G$23:$G$189,"&lt;"&amp;G69)+(COUNTIFS($C$23:$C$189,"Yes",$G$23:$G$189,G69)-1)/2)/($O$18-1))^$O$7,"")</x:f>
      </x:c>
      <x:c r="L69" s="316" t="str">
        <x:f>IF(C69="Yes",AVERAGE(H69:K69),"")</x:f>
      </x:c>
      <x:c r="M69" s="317" t="str">
        <x:f>IF(C69="Yes",1+COUNTIFS($A$23:$A$189,A69,$C$23:$C$189,"Yes",$L$23:$L$189,"&gt;"&amp;L69),"")</x:f>
      </x:c>
    </x:row>
    <x:row r="70">
      <x:c r="A70" s="311" t="str">
        <x:f>'All Stats'!A53</x:f>
        <x:v>K116</x:v>
      </x:c>
      <x:c r="B70" s="311" t="str">
        <x:f>'All Stats'!B53</x:f>
        <x:v>苦瓜大王</x:v>
      </x:c>
      <x:c r="C70" s="315" t="str">
        <x:f>IF(G70&gt;=$O$6,"Yes","No")</x:f>
        <x:v>Yes</x:v>
      </x:c>
      <x:c r="D70" s="312" t="n">
        <x:f>'All Stats'!L53</x:f>
        <x:v>20.49</x:v>
      </x:c>
      <x:c r="E70" s="312" t="n">
        <x:f>'All Stats'!M53</x:f>
        <x:v>17.087</x:v>
      </x:c>
      <x:c r="F70" s="312" t="n">
        <x:f>'All Stats'!O53</x:f>
        <x:v>-1.585</x:v>
      </x:c>
      <x:c r="G70" s="312" t="n">
        <x:f>'All Stats'!Q53</x:f>
        <x:v>7</x:v>
      </x:c>
      <x:c r="H70" s="316" t="n">
        <x:f>IF(C70="Yes",100*((COUNTIFS($C$23:$C$189,"Yes",$D$23:$D$189,"&lt;"&amp;D70)+(COUNTIFS($C$23:$C$189,"Yes",$D$23:$D$189,D70)-1)/2)/($O$18-1))^$O$7,"")</x:f>
        <x:v>16.313766232786957</x:v>
      </x:c>
      <x:c r="I70" s="316" t="n">
        <x:f>IF(C70="Yes",100*((COUNTIFS($C$23:$C$189,"Yes",$E$23:$E$189,"&lt;"&amp;E70)+(COUNTIFS($C$23:$C$189,"Yes",$E$23:$E$189,E70)-1)/2)/($O$18-1))^$O$7,"")</x:f>
        <x:v>46.44292116921099</x:v>
      </x:c>
      <x:c r="J70" s="316" t="n">
        <x:f>IF(C70="Yes",100*((COUNTIFS($C$23:$C$189,"Yes",$F$23:$F$189,"&gt;"&amp;F70)+(COUNTIFS($C$23:$C$189,"Yes",$F$23:$F$189,F70)-1)/2)/($O$18-1))^$O$7,"")</x:f>
        <x:v>6.497038045364036</x:v>
      </x:c>
      <x:c r="K70" s="316" t="n">
        <x:f>IF(C70="Yes",100*((COUNTIFS($C$23:$C$189,"Yes",$G$23:$G$189,"&lt;"&amp;G70)+(COUNTIFS($C$23:$C$189,"Yes",$G$23:$G$189,G70)-1)/2)/($O$18-1))^$O$7,"")</x:f>
        <x:v>17.63348920985086</x:v>
      </x:c>
      <x:c r="L70" s="316" t="n">
        <x:f>IF(C70="Yes",AVERAGE(H70:K70),"")</x:f>
        <x:v>21.721803664303213</x:v>
      </x:c>
      <x:c r="M70" s="317" t="n">
        <x:f>IF(C70="Yes",1+COUNTIFS($A$23:$A$189,A70,$C$23:$C$189,"Yes",$L$23:$L$189,"&gt;"&amp;L70),"")</x:f>
        <x:v>4</x:v>
      </x:c>
    </x:row>
    <x:row r="71">
      <x:c r="A71" s="311" t="str">
        <x:f>'All Stats'!A54</x:f>
        <x:v>K116</x:v>
      </x:c>
      <x:c r="B71" s="311" t="str">
        <x:f>'All Stats'!B54</x:f>
        <x:v>Derek</x:v>
      </x:c>
      <x:c r="C71" s="315" t="str">
        <x:f>IF(G71&gt;=$O$6,"Yes","No")</x:f>
        <x:v>No</x:v>
      </x:c>
      <x:c r="D71" s="312" t="n">
        <x:f>'All Stats'!L54</x:f>
        <x:v>18.7307</x:v>
      </x:c>
      <x:c r="E71" s="312" t="n">
        <x:f>'All Stats'!M54</x:f>
        <x:v>15.387</x:v>
      </x:c>
      <x:c r="F71" s="312" t="n">
        <x:f>'All Stats'!O54</x:f>
        <x:v>-1.565</x:v>
      </x:c>
      <x:c r="G71" s="312" t="n">
        <x:f>'All Stats'!Q54</x:f>
        <x:v>2.85</x:v>
      </x:c>
      <x:c r="H71" s="316" t="str">
        <x:f>IF(C71="Yes",100*((COUNTIFS($C$23:$C$189,"Yes",$D$23:$D$189,"&lt;"&amp;D71)+(COUNTIFS($C$23:$C$189,"Yes",$D$23:$D$189,D71)-1)/2)/($O$18-1))^$O$7,"")</x:f>
      </x:c>
      <x:c r="I71" s="316" t="str">
        <x:f>IF(C71="Yes",100*((COUNTIFS($C$23:$C$189,"Yes",$E$23:$E$189,"&lt;"&amp;E71)+(COUNTIFS($C$23:$C$189,"Yes",$E$23:$E$189,E71)-1)/2)/($O$18-1))^$O$7,"")</x:f>
      </x:c>
      <x:c r="J71" s="316" t="str">
        <x:f>IF(C71="Yes",100*((COUNTIFS($C$23:$C$189,"Yes",$F$23:$F$189,"&gt;"&amp;F71)+(COUNTIFS($C$23:$C$189,"Yes",$F$23:$F$189,F71)-1)/2)/($O$18-1))^$O$7,"")</x:f>
      </x:c>
      <x:c r="K71" s="316" t="str">
        <x:f>IF(C71="Yes",100*((COUNTIFS($C$23:$C$189,"Yes",$G$23:$G$189,"&lt;"&amp;G71)+(COUNTIFS($C$23:$C$189,"Yes",$G$23:$G$189,G71)-1)/2)/($O$18-1))^$O$7,"")</x:f>
      </x:c>
      <x:c r="L71" s="316" t="str">
        <x:f>IF(C71="Yes",AVERAGE(H71:K71),"")</x:f>
      </x:c>
      <x:c r="M71" s="317" t="str">
        <x:f>IF(C71="Yes",1+COUNTIFS($A$23:$A$189,A71,$C$23:$C$189,"Yes",$L$23:$L$189,"&gt;"&amp;L71),"")</x:f>
      </x:c>
    </x:row>
    <x:row r="72">
      <x:c r="A72" s="311" t="str">
        <x:f>'All Stats'!A55</x:f>
        <x:v>K116</x:v>
      </x:c>
      <x:c r="B72" s="311" t="str">
        <x:f>'All Stats'!B55</x:f>
        <x:v>陶渊明</x:v>
      </x:c>
      <x:c r="C72" s="315" t="str">
        <x:f>IF(G72&gt;=$O$6,"Yes","No")</x:f>
        <x:v>No</x:v>
      </x:c>
      <x:c r="D72" s="312" t="n">
        <x:f>'All Stats'!L55</x:f>
        <x:v>16.2607</x:v>
      </x:c>
      <x:c r="E72" s="312" t="n">
        <x:f>'All Stats'!M55</x:f>
        <x:v>13.567</x:v>
      </x:c>
      <x:c r="F72" s="312" t="n">
        <x:f>'All Stats'!O55</x:f>
        <x:v>-1.3625</x:v>
      </x:c>
      <x:c r="G72" s="312" t="n">
        <x:f>'All Stats'!Q55</x:f>
        <x:v>2.07</x:v>
      </x:c>
      <x:c r="H72" s="316" t="str">
        <x:f>IF(C72="Yes",100*((COUNTIFS($C$23:$C$189,"Yes",$D$23:$D$189,"&lt;"&amp;D72)+(COUNTIFS($C$23:$C$189,"Yes",$D$23:$D$189,D72)-1)/2)/($O$18-1))^$O$7,"")</x:f>
      </x:c>
      <x:c r="I72" s="316" t="str">
        <x:f>IF(C72="Yes",100*((COUNTIFS($C$23:$C$189,"Yes",$E$23:$E$189,"&lt;"&amp;E72)+(COUNTIFS($C$23:$C$189,"Yes",$E$23:$E$189,E72)-1)/2)/($O$18-1))^$O$7,"")</x:f>
      </x:c>
      <x:c r="J72" s="316" t="str">
        <x:f>IF(C72="Yes",100*((COUNTIFS($C$23:$C$189,"Yes",$F$23:$F$189,"&gt;"&amp;F72)+(COUNTIFS($C$23:$C$189,"Yes",$F$23:$F$189,F72)-1)/2)/($O$18-1))^$O$7,"")</x:f>
      </x:c>
      <x:c r="K72" s="316" t="str">
        <x:f>IF(C72="Yes",100*((COUNTIFS($C$23:$C$189,"Yes",$G$23:$G$189,"&lt;"&amp;G72)+(COUNTIFS($C$23:$C$189,"Yes",$G$23:$G$189,G72)-1)/2)/($O$18-1))^$O$7,"")</x:f>
      </x:c>
      <x:c r="L72" s="316" t="str">
        <x:f>IF(C72="Yes",AVERAGE(H72:K72),"")</x:f>
      </x:c>
      <x:c r="M72" s="317" t="str">
        <x:f>IF(C72="Yes",1+COUNTIFS($A$23:$A$189,A72,$C$23:$C$189,"Yes",$L$23:$L$189,"&gt;"&amp;L72),"")</x:f>
      </x:c>
    </x:row>
    <x:row r="73">
      <x:c r="A73" s="311" t="str">
        <x:f>'All Stats'!A56</x:f>
        <x:v>K116</x:v>
      </x:c>
      <x:c r="B73" s="311" t="str">
        <x:f>'All Stats'!B56</x:f>
        <x:v>开始摆烂</x:v>
      </x:c>
      <x:c r="C73" s="315" t="str">
        <x:f>IF(G73&gt;=$O$6,"Yes","No")</x:f>
        <x:v>No</x:v>
      </x:c>
      <x:c r="D73" s="312" t="n">
        <x:f>'All Stats'!L56</x:f>
        <x:v>11.1742</x:v>
      </x:c>
      <x:c r="E73" s="312" t="n">
        <x:f>'All Stats'!M56</x:f>
        <x:v>15.7412</x:v>
      </x:c>
      <x:c r="F73" s="312" t="n">
        <x:f>'All Stats'!O56</x:f>
        <x:v>-1.51</x:v>
      </x:c>
      <x:c r="G73" s="312" t="n">
        <x:f>'All Stats'!Q56</x:f>
        <x:v>3.75</x:v>
      </x:c>
      <x:c r="H73" s="316" t="str">
        <x:f>IF(C73="Yes",100*((COUNTIFS($C$23:$C$189,"Yes",$D$23:$D$189,"&lt;"&amp;D73)+(COUNTIFS($C$23:$C$189,"Yes",$D$23:$D$189,D73)-1)/2)/($O$18-1))^$O$7,"")</x:f>
      </x:c>
      <x:c r="I73" s="316" t="str">
        <x:f>IF(C73="Yes",100*((COUNTIFS($C$23:$C$189,"Yes",$E$23:$E$189,"&lt;"&amp;E73)+(COUNTIFS($C$23:$C$189,"Yes",$E$23:$E$189,E73)-1)/2)/($O$18-1))^$O$7,"")</x:f>
      </x:c>
      <x:c r="J73" s="316" t="str">
        <x:f>IF(C73="Yes",100*((COUNTIFS($C$23:$C$189,"Yes",$F$23:$F$189,"&gt;"&amp;F73)+(COUNTIFS($C$23:$C$189,"Yes",$F$23:$F$189,F73)-1)/2)/($O$18-1))^$O$7,"")</x:f>
      </x:c>
      <x:c r="K73" s="316" t="str">
        <x:f>IF(C73="Yes",100*((COUNTIFS($C$23:$C$189,"Yes",$G$23:$G$189,"&lt;"&amp;G73)+(COUNTIFS($C$23:$C$189,"Yes",$G$23:$G$189,G73)-1)/2)/($O$18-1))^$O$7,"")</x:f>
      </x:c>
      <x:c r="L73" s="316" t="str">
        <x:f>IF(C73="Yes",AVERAGE(H73:K73),"")</x:f>
      </x:c>
      <x:c r="M73" s="317" t="str">
        <x:f>IF(C73="Yes",1+COUNTIFS($A$23:$A$189,A73,$C$23:$C$189,"Yes",$L$23:$L$189,"&gt;"&amp;L73),"")</x:f>
      </x:c>
    </x:row>
    <x:row r="74">
      <x:c r="A74" s="311" t="str">
        <x:f>'All Stats'!A57</x:f>
        <x:v>K116</x:v>
      </x:c>
      <x:c r="B74" s="311" t="str">
        <x:f>'All Stats'!B57</x:f>
        <x:v>山君</x:v>
      </x:c>
      <x:c r="C74" s="315" t="str">
        <x:f>IF(G74&gt;=$O$6,"Yes","No")</x:f>
        <x:v>No</x:v>
      </x:c>
      <x:c r="D74" s="312" t="n">
        <x:f>'All Stats'!L57</x:f>
        <x:v>11.1257</x:v>
      </x:c>
      <x:c r="E74" s="312" t="n">
        <x:f>'All Stats'!M57</x:f>
        <x:v>13.941199999999998</x:v>
      </x:c>
      <x:c r="F74" s="312" t="n">
        <x:f>'All Stats'!O57</x:f>
        <x:v>-1.545</x:v>
      </x:c>
      <x:c r="G74" s="312" t="n">
        <x:f>'All Stats'!Q57</x:f>
        <x:v>4.12</x:v>
      </x:c>
      <x:c r="H74" s="316" t="str">
        <x:f>IF(C74="Yes",100*((COUNTIFS($C$23:$C$189,"Yes",$D$23:$D$189,"&lt;"&amp;D74)+(COUNTIFS($C$23:$C$189,"Yes",$D$23:$D$189,D74)-1)/2)/($O$18-1))^$O$7,"")</x:f>
      </x:c>
      <x:c r="I74" s="316" t="str">
        <x:f>IF(C74="Yes",100*((COUNTIFS($C$23:$C$189,"Yes",$E$23:$E$189,"&lt;"&amp;E74)+(COUNTIFS($C$23:$C$189,"Yes",$E$23:$E$189,E74)-1)/2)/($O$18-1))^$O$7,"")</x:f>
      </x:c>
      <x:c r="J74" s="316" t="str">
        <x:f>IF(C74="Yes",100*((COUNTIFS($C$23:$C$189,"Yes",$F$23:$F$189,"&gt;"&amp;F74)+(COUNTIFS($C$23:$C$189,"Yes",$F$23:$F$189,F74)-1)/2)/($O$18-1))^$O$7,"")</x:f>
      </x:c>
      <x:c r="K74" s="316" t="str">
        <x:f>IF(C74="Yes",100*((COUNTIFS($C$23:$C$189,"Yes",$G$23:$G$189,"&lt;"&amp;G74)+(COUNTIFS($C$23:$C$189,"Yes",$G$23:$G$189,G74)-1)/2)/($O$18-1))^$O$7,"")</x:f>
      </x:c>
      <x:c r="L74" s="316" t="str">
        <x:f>IF(C74="Yes",AVERAGE(H74:K74),"")</x:f>
      </x:c>
      <x:c r="M74" s="317" t="str">
        <x:f>IF(C74="Yes",1+COUNTIFS($A$23:$A$189,A74,$C$23:$C$189,"Yes",$L$23:$L$189,"&gt;"&amp;L74),"")</x:f>
      </x:c>
    </x:row>
    <x:row r="75">
      <x:c r="A75" s="311" t="str">
        <x:f>'All Stats'!A58</x:f>
        <x:v>K116</x:v>
      </x:c>
      <x:c r="B75" s="311" t="str">
        <x:f>'All Stats'!B58</x:f>
        <x:v>汰需尚青</x:v>
      </x:c>
      <x:c r="C75" s="315" t="str">
        <x:f>IF(G75&gt;=$O$6,"Yes","No")</x:f>
        <x:v>Yes</x:v>
      </x:c>
      <x:c r="D75" s="312" t="n">
        <x:f>'All Stats'!L58</x:f>
        <x:v>20.86</x:v>
      </x:c>
      <x:c r="E75" s="312" t="n">
        <x:f>'All Stats'!M58</x:f>
        <x:v>18.117</x:v>
      </x:c>
      <x:c r="F75" s="312" t="n">
        <x:f>'All Stats'!O58</x:f>
        <x:v>-1.9925</x:v>
      </x:c>
      <x:c r="G75" s="312" t="n">
        <x:f>'All Stats'!Q58</x:f>
        <x:v>7</x:v>
      </x:c>
      <x:c r="H75" s="316" t="n">
        <x:f>IF(C75="Yes",100*((COUNTIFS($C$23:$C$189,"Yes",$D$23:$D$189,"&lt;"&amp;D75)+(COUNTIFS($C$23:$C$189,"Yes",$D$23:$D$189,D75)-1)/2)/($O$18-1))^$O$7,"")</x:f>
        <x:v>18.99696472840113</x:v>
      </x:c>
      <x:c r="I75" s="316" t="n">
        <x:f>IF(C75="Yes",100*((COUNTIFS($C$23:$C$189,"Yes",$E$23:$E$189,"&lt;"&amp;E75)+(COUNTIFS($C$23:$C$189,"Yes",$E$23:$E$189,E75)-1)/2)/($O$18-1))^$O$7,"")</x:f>
        <x:v>54.872750177750596</x:v>
      </x:c>
      <x:c r="J75" s="316" t="n">
        <x:f>IF(C75="Yes",100*((COUNTIFS($C$23:$C$189,"Yes",$F$23:$F$189,"&gt;"&amp;F75)+(COUNTIFS($C$23:$C$189,"Yes",$F$23:$F$189,F75)-1)/2)/($O$18-1))^$O$7,"")</x:f>
        <x:v>50.582559560112564</x:v>
      </x:c>
      <x:c r="K75" s="316" t="n">
        <x:f>IF(C75="Yes",100*((COUNTIFS($C$23:$C$189,"Yes",$G$23:$G$189,"&lt;"&amp;G75)+(COUNTIFS($C$23:$C$189,"Yes",$G$23:$G$189,G75)-1)/2)/($O$18-1))^$O$7,"")</x:f>
        <x:v>17.63348920985086</x:v>
      </x:c>
      <x:c r="L75" s="316" t="n">
        <x:f>IF(C75="Yes",AVERAGE(H75:K75),"")</x:f>
        <x:v>35.52144091902879</x:v>
      </x:c>
      <x:c r="M75" s="317" t="n">
        <x:f>IF(C75="Yes",1+COUNTIFS($A$23:$A$189,A75,$C$23:$C$189,"Yes",$L$23:$L$189,"&gt;"&amp;L75),"")</x:f>
        <x:v>2</x:v>
      </x:c>
    </x:row>
    <x:row r="76">
      <x:c r="A76" s="311" t="str">
        <x:f>'All Stats'!A59</x:f>
        <x:v>K116</x:v>
      </x:c>
      <x:c r="B76" s="311" t="str">
        <x:f>'All Stats'!B59</x:f>
        <x:v>独守孤城</x:v>
      </x:c>
      <x:c r="C76" s="315" t="str">
        <x:f>IF(G76&gt;=$O$6,"Yes","No")</x:f>
        <x:v>No</x:v>
      </x:c>
      <x:c r="D76" s="312" t="n">
        <x:f>'All Stats'!L59</x:f>
        <x:v>12.0699</x:v>
      </x:c>
      <x:c r="E76" s="312" t="n">
        <x:f>'All Stats'!M59</x:f>
        <x:v>13.077</x:v>
      </x:c>
      <x:c r="F76" s="312" t="n">
        <x:f>'All Stats'!O59</x:f>
        <x:v>-1.545</x:v>
      </x:c>
      <x:c r="G76" s="312" t="n">
        <x:f>'All Stats'!Q59</x:f>
        <x:v>4.21</x:v>
      </x:c>
      <x:c r="H76" s="316" t="str">
        <x:f>IF(C76="Yes",100*((COUNTIFS($C$23:$C$189,"Yes",$D$23:$D$189,"&lt;"&amp;D76)+(COUNTIFS($C$23:$C$189,"Yes",$D$23:$D$189,D76)-1)/2)/($O$18-1))^$O$7,"")</x:f>
      </x:c>
      <x:c r="I76" s="316" t="str">
        <x:f>IF(C76="Yes",100*((COUNTIFS($C$23:$C$189,"Yes",$E$23:$E$189,"&lt;"&amp;E76)+(COUNTIFS($C$23:$C$189,"Yes",$E$23:$E$189,E76)-1)/2)/($O$18-1))^$O$7,"")</x:f>
      </x:c>
      <x:c r="J76" s="316" t="str">
        <x:f>IF(C76="Yes",100*((COUNTIFS($C$23:$C$189,"Yes",$F$23:$F$189,"&gt;"&amp;F76)+(COUNTIFS($C$23:$C$189,"Yes",$F$23:$F$189,F76)-1)/2)/($O$18-1))^$O$7,"")</x:f>
      </x:c>
      <x:c r="K76" s="316" t="str">
        <x:f>IF(C76="Yes",100*((COUNTIFS($C$23:$C$189,"Yes",$G$23:$G$189,"&lt;"&amp;G76)+(COUNTIFS($C$23:$C$189,"Yes",$G$23:$G$189,G76)-1)/2)/($O$18-1))^$O$7,"")</x:f>
      </x:c>
      <x:c r="L76" s="316" t="str">
        <x:f>IF(C76="Yes",AVERAGE(H76:K76),"")</x:f>
      </x:c>
      <x:c r="M76" s="317" t="str">
        <x:f>IF(C76="Yes",1+COUNTIFS($A$23:$A$189,A76,$C$23:$C$189,"Yes",$L$23:$L$189,"&gt;"&amp;L76),"")</x:f>
      </x:c>
    </x:row>
    <x:row r="77">
      <x:c r="A77" s="311" t="str">
        <x:f>'All Stats'!A60</x:f>
        <x:v>K116</x:v>
      </x:c>
      <x:c r="B77" s="311" t="str">
        <x:f>'All Stats'!B60</x:f>
        <x:v>Yuke</x:v>
      </x:c>
      <x:c r="C77" s="315" t="str">
        <x:f>IF(G77&gt;=$O$6,"Yes","No")</x:f>
        <x:v>No</x:v>
      </x:c>
      <x:c r="D77" s="312" t="n">
        <x:f>'All Stats'!L60</x:f>
        <x:v>12.871199999999998</x:v>
      </x:c>
      <x:c r="E77" s="312" t="n">
        <x:f>'All Stats'!M60</x:f>
        <x:v>9.7142</x:v>
      </x:c>
      <x:c r="F77" s="312" t="n">
        <x:f>'All Stats'!O60</x:f>
        <x:v>-1.3265</x:v>
      </x:c>
      <x:c r="G77" s="312" t="n">
        <x:f>'All Stats'!Q60</x:f>
        <x:v>1.32</x:v>
      </x:c>
      <x:c r="H77" s="316" t="str">
        <x:f>IF(C77="Yes",100*((COUNTIFS($C$23:$C$189,"Yes",$D$23:$D$189,"&lt;"&amp;D77)+(COUNTIFS($C$23:$C$189,"Yes",$D$23:$D$189,D77)-1)/2)/($O$18-1))^$O$7,"")</x:f>
      </x:c>
      <x:c r="I77" s="316" t="str">
        <x:f>IF(C77="Yes",100*((COUNTIFS($C$23:$C$189,"Yes",$E$23:$E$189,"&lt;"&amp;E77)+(COUNTIFS($C$23:$C$189,"Yes",$E$23:$E$189,E77)-1)/2)/($O$18-1))^$O$7,"")</x:f>
      </x:c>
      <x:c r="J77" s="316" t="str">
        <x:f>IF(C77="Yes",100*((COUNTIFS($C$23:$C$189,"Yes",$F$23:$F$189,"&gt;"&amp;F77)+(COUNTIFS($C$23:$C$189,"Yes",$F$23:$F$189,F77)-1)/2)/($O$18-1))^$O$7,"")</x:f>
      </x:c>
      <x:c r="K77" s="316" t="str">
        <x:f>IF(C77="Yes",100*((COUNTIFS($C$23:$C$189,"Yes",$G$23:$G$189,"&lt;"&amp;G77)+(COUNTIFS($C$23:$C$189,"Yes",$G$23:$G$189,G77)-1)/2)/($O$18-1))^$O$7,"")</x:f>
      </x:c>
      <x:c r="L77" s="316" t="str">
        <x:f>IF(C77="Yes",AVERAGE(H77:K77),"")</x:f>
      </x:c>
      <x:c r="M77" s="317" t="str">
        <x:f>IF(C77="Yes",1+COUNTIFS($A$23:$A$189,A77,$C$23:$C$189,"Yes",$L$23:$L$189,"&gt;"&amp;L77),"")</x:f>
      </x:c>
    </x:row>
    <x:row r="78">
      <x:c r="A78" s="311" t="str">
        <x:f>'All Stats'!A61</x:f>
        <x:v>K116</x:v>
      </x:c>
      <x:c r="B78" s="311" t="str">
        <x:f>'All Stats'!B61</x:f>
        <x:v>不可理喻</x:v>
      </x:c>
      <x:c r="C78" s="315" t="str">
        <x:f>IF(G78&gt;=$O$6,"Yes","No")</x:f>
        <x:v>Yes</x:v>
      </x:c>
      <x:c r="D78" s="312" t="n">
        <x:f>'All Stats'!L61</x:f>
        <x:v>21.3642</x:v>
      </x:c>
      <x:c r="E78" s="312" t="n">
        <x:f>'All Stats'!M61</x:f>
        <x:v>13.1707</x:v>
      </x:c>
      <x:c r="F78" s="312" t="n">
        <x:f>'All Stats'!O61</x:f>
        <x:v>-1.585</x:v>
      </x:c>
      <x:c r="G78" s="312" t="n">
        <x:f>'All Stats'!Q61</x:f>
        <x:v>7</x:v>
      </x:c>
      <x:c r="H78" s="316" t="n">
        <x:f>IF(C78="Yes",100*((COUNTIFS($C$23:$C$189,"Yes",$D$23:$D$189,"&lt;"&amp;D78)+(COUNTIFS($C$23:$C$189,"Yes",$D$23:$D$189,D78)-1)/2)/($O$18-1))^$O$7,"")</x:f>
        <x:v>34.94641646516784</x:v>
      </x:c>
      <x:c r="I78" s="316" t="n">
        <x:f>IF(C78="Yes",100*((COUNTIFS($C$23:$C$189,"Yes",$E$23:$E$189,"&lt;"&amp;E78)+(COUNTIFS($C$23:$C$189,"Yes",$E$23:$E$189,E78)-1)/2)/($O$18-1))^$O$7,"")</x:f>
        <x:v>4.105013062107669</x:v>
      </x:c>
      <x:c r="J78" s="316" t="n">
        <x:f>IF(C78="Yes",100*((COUNTIFS($C$23:$C$189,"Yes",$F$23:$F$189,"&gt;"&amp;F78)+(COUNTIFS($C$23:$C$189,"Yes",$F$23:$F$189,F78)-1)/2)/($O$18-1))^$O$7,"")</x:f>
        <x:v>6.497038045364036</x:v>
      </x:c>
      <x:c r="K78" s="316" t="n">
        <x:f>IF(C78="Yes",100*((COUNTIFS($C$23:$C$189,"Yes",$G$23:$G$189,"&lt;"&amp;G78)+(COUNTIFS($C$23:$C$189,"Yes",$G$23:$G$189,G78)-1)/2)/($O$18-1))^$O$7,"")</x:f>
        <x:v>17.63348920985086</x:v>
      </x:c>
      <x:c r="L78" s="316" t="n">
        <x:f>IF(C78="Yes",AVERAGE(H78:K78),"")</x:f>
        <x:v>15.7954891956226</x:v>
      </x:c>
      <x:c r="M78" s="317" t="n">
        <x:f>IF(C78="Yes",1+COUNTIFS($A$23:$A$189,A78,$C$23:$C$189,"Yes",$L$23:$L$189,"&gt;"&amp;L78),"")</x:f>
        <x:v>5</x:v>
      </x:c>
    </x:row>
    <x:row r="79">
      <x:c r="A79" s="311" t="str">
        <x:f>'All Stats'!A62</x:f>
        <x:v>K116</x:v>
      </x:c>
      <x:c r="B79" s="311" t="str">
        <x:f>'All Stats'!B62</x:f>
        <x:v>懒洋洋爱看腿</x:v>
      </x:c>
      <x:c r="C79" s="315" t="str">
        <x:f>IF(G79&gt;=$O$6,"Yes","No")</x:f>
        <x:v>No</x:v>
      </x:c>
      <x:c r="D79" s="312" t="n">
        <x:f>'All Stats'!L62</x:f>
        <x:v>15.7957</x:v>
      </x:c>
      <x:c r="E79" s="312" t="n">
        <x:f>'All Stats'!M62</x:f>
        <x:v>17.891199999999998</x:v>
      </x:c>
      <x:c r="F79" s="312" t="n">
        <x:f>'All Stats'!O62</x:f>
        <x:v>-1.6075</x:v>
      </x:c>
      <x:c r="G79" s="312" t="n">
        <x:f>'All Stats'!Q62</x:f>
        <x:v>6.16</x:v>
      </x:c>
      <x:c r="H79" s="316" t="str">
        <x:f>IF(C79="Yes",100*((COUNTIFS($C$23:$C$189,"Yes",$D$23:$D$189,"&lt;"&amp;D79)+(COUNTIFS($C$23:$C$189,"Yes",$D$23:$D$189,D79)-1)/2)/($O$18-1))^$O$7,"")</x:f>
      </x:c>
      <x:c r="I79" s="316" t="str">
        <x:f>IF(C79="Yes",100*((COUNTIFS($C$23:$C$189,"Yes",$E$23:$E$189,"&lt;"&amp;E79)+(COUNTIFS($C$23:$C$189,"Yes",$E$23:$E$189,E79)-1)/2)/($O$18-1))^$O$7,"")</x:f>
      </x:c>
      <x:c r="J79" s="316" t="str">
        <x:f>IF(C79="Yes",100*((COUNTIFS($C$23:$C$189,"Yes",$F$23:$F$189,"&gt;"&amp;F79)+(COUNTIFS($C$23:$C$189,"Yes",$F$23:$F$189,F79)-1)/2)/($O$18-1))^$O$7,"")</x:f>
      </x:c>
      <x:c r="K79" s="316" t="str">
        <x:f>IF(C79="Yes",100*((COUNTIFS($C$23:$C$189,"Yes",$G$23:$G$189,"&lt;"&amp;G79)+(COUNTIFS($C$23:$C$189,"Yes",$G$23:$G$189,G79)-1)/2)/($O$18-1))^$O$7,"")</x:f>
      </x:c>
      <x:c r="L79" s="316" t="str">
        <x:f>IF(C79="Yes",AVERAGE(H79:K79),"")</x:f>
      </x:c>
      <x:c r="M79" s="317" t="str">
        <x:f>IF(C79="Yes",1+COUNTIFS($A$23:$A$189,A79,$C$23:$C$189,"Yes",$L$23:$L$189,"&gt;"&amp;L79),"")</x:f>
      </x:c>
    </x:row>
    <x:row r="80">
      <x:c r="A80" s="311" t="str">
        <x:f>'All Stats'!A63</x:f>
        <x:v>K116</x:v>
      </x:c>
      <x:c r="B80" s="311" t="str">
        <x:f>'All Stats'!B63</x:f>
        <x:v>蜜蜜°</x:v>
      </x:c>
      <x:c r="C80" s="315" t="str">
        <x:f>IF(G80&gt;=$O$6,"Yes","No")</x:f>
        <x:v>No</x:v>
      </x:c>
      <x:c r="D80" s="312" t="n">
        <x:f>'All Stats'!L63</x:f>
        <x:v>14.4599</x:v>
      </x:c>
      <x:c r="E80" s="312" t="n">
        <x:f>'All Stats'!M63</x:f>
        <x:v>15.647</x:v>
      </x:c>
      <x:c r="F80" s="312" t="n">
        <x:f>'All Stats'!O63</x:f>
        <x:v>-1.4875</x:v>
      </x:c>
      <x:c r="G80" s="312" t="n">
        <x:f>'All Stats'!Q63</x:f>
        <x:v>6.3</x:v>
      </x:c>
      <x:c r="H80" s="316" t="str">
        <x:f>IF(C80="Yes",100*((COUNTIFS($C$23:$C$189,"Yes",$D$23:$D$189,"&lt;"&amp;D80)+(COUNTIFS($C$23:$C$189,"Yes",$D$23:$D$189,D80)-1)/2)/($O$18-1))^$O$7,"")</x:f>
      </x:c>
      <x:c r="I80" s="316" t="str">
        <x:f>IF(C80="Yes",100*((COUNTIFS($C$23:$C$189,"Yes",$E$23:$E$189,"&lt;"&amp;E80)+(COUNTIFS($C$23:$C$189,"Yes",$E$23:$E$189,E80)-1)/2)/($O$18-1))^$O$7,"")</x:f>
      </x:c>
      <x:c r="J80" s="316" t="str">
        <x:f>IF(C80="Yes",100*((COUNTIFS($C$23:$C$189,"Yes",$F$23:$F$189,"&gt;"&amp;F80)+(COUNTIFS($C$23:$C$189,"Yes",$F$23:$F$189,F80)-1)/2)/($O$18-1))^$O$7,"")</x:f>
      </x:c>
      <x:c r="K80" s="316" t="str">
        <x:f>IF(C80="Yes",100*((COUNTIFS($C$23:$C$189,"Yes",$G$23:$G$189,"&lt;"&amp;G80)+(COUNTIFS($C$23:$C$189,"Yes",$G$23:$G$189,G80)-1)/2)/($O$18-1))^$O$7,"")</x:f>
      </x:c>
      <x:c r="L80" s="316" t="str">
        <x:f>IF(C80="Yes",AVERAGE(H80:K80),"")</x:f>
      </x:c>
      <x:c r="M80" s="317" t="str">
        <x:f>IF(C80="Yes",1+COUNTIFS($A$23:$A$189,A80,$C$23:$C$189,"Yes",$L$23:$L$189,"&gt;"&amp;L80),"")</x:f>
      </x:c>
    </x:row>
    <x:row r="81">
      <x:c r="A81" s="311" t="str">
        <x:f>'All Stats'!A64</x:f>
        <x:v>K116</x:v>
      </x:c>
      <x:c r="B81" s="311" t="str">
        <x:f>'All Stats'!B64</x:f>
        <x:v>红烧狮子头</x:v>
      </x:c>
      <x:c r="C81" s="315" t="str">
        <x:f>IF(G81&gt;=$O$6,"Yes","No")</x:f>
        <x:v>No</x:v>
      </x:c>
      <x:c r="D81" s="312" t="n">
        <x:f>'All Stats'!L64</x:f>
        <x:v>18.4342</x:v>
      </x:c>
      <x:c r="E81" s="312" t="n">
        <x:f>'All Stats'!M64</x:f>
        <x:v>10.310699999999999</x:v>
      </x:c>
      <x:c r="F81" s="312" t="n">
        <x:f>'All Stats'!O64</x:f>
        <x:v>-1.6075</x:v>
      </x:c>
      <x:c r="G81" s="312" t="n">
        <x:f>'All Stats'!Q64</x:f>
        <x:v>4.76</x:v>
      </x:c>
      <x:c r="H81" s="316" t="str">
        <x:f>IF(C81="Yes",100*((COUNTIFS($C$23:$C$189,"Yes",$D$23:$D$189,"&lt;"&amp;D81)+(COUNTIFS($C$23:$C$189,"Yes",$D$23:$D$189,D81)-1)/2)/($O$18-1))^$O$7,"")</x:f>
      </x:c>
      <x:c r="I81" s="316" t="str">
        <x:f>IF(C81="Yes",100*((COUNTIFS($C$23:$C$189,"Yes",$E$23:$E$189,"&lt;"&amp;E81)+(COUNTIFS($C$23:$C$189,"Yes",$E$23:$E$189,E81)-1)/2)/($O$18-1))^$O$7,"")</x:f>
      </x:c>
      <x:c r="J81" s="316" t="str">
        <x:f>IF(C81="Yes",100*((COUNTIFS($C$23:$C$189,"Yes",$F$23:$F$189,"&gt;"&amp;F81)+(COUNTIFS($C$23:$C$189,"Yes",$F$23:$F$189,F81)-1)/2)/($O$18-1))^$O$7,"")</x:f>
      </x:c>
      <x:c r="K81" s="316" t="str">
        <x:f>IF(C81="Yes",100*((COUNTIFS($C$23:$C$189,"Yes",$G$23:$G$189,"&lt;"&amp;G81)+(COUNTIFS($C$23:$C$189,"Yes",$G$23:$G$189,G81)-1)/2)/($O$18-1))^$O$7,"")</x:f>
      </x:c>
      <x:c r="L81" s="316" t="str">
        <x:f>IF(C81="Yes",AVERAGE(H81:K81),"")</x:f>
      </x:c>
      <x:c r="M81" s="317" t="str">
        <x:f>IF(C81="Yes",1+COUNTIFS($A$23:$A$189,A81,$C$23:$C$189,"Yes",$L$23:$L$189,"&gt;"&amp;L81),"")</x:f>
      </x:c>
    </x:row>
    <x:row r="82">
      <x:c r="A82" s="311" t="str">
        <x:f>'All Stats'!A65</x:f>
        <x:v>K116</x:v>
      </x:c>
      <x:c r="B82" s="311" t="str">
        <x:f>'All Stats'!B65</x:f>
        <x:v>那时像风一样</x:v>
      </x:c>
      <x:c r="C82" s="315" t="str">
        <x:f>IF(G82&gt;=$O$6,"Yes","No")</x:f>
        <x:v>No</x:v>
      </x:c>
      <x:c r="D82" s="312" t="n">
        <x:f>'All Stats'!L65</x:f>
        <x:v>19.0242</x:v>
      </x:c>
      <x:c r="E82" s="312" t="n">
        <x:f>'All Stats'!M65</x:f>
        <x:v>11.150699999999999</x:v>
      </x:c>
      <x:c r="F82" s="312" t="n">
        <x:f>'All Stats'!O65</x:f>
        <x:v>-1.545</x:v>
      </x:c>
      <x:c r="G82" s="312" t="n">
        <x:f>'All Stats'!Q65</x:f>
        <x:v>4.2</x:v>
      </x:c>
      <x:c r="H82" s="316" t="str">
        <x:f>IF(C82="Yes",100*((COUNTIFS($C$23:$C$189,"Yes",$D$23:$D$189,"&lt;"&amp;D82)+(COUNTIFS($C$23:$C$189,"Yes",$D$23:$D$189,D82)-1)/2)/($O$18-1))^$O$7,"")</x:f>
      </x:c>
      <x:c r="I82" s="316" t="str">
        <x:f>IF(C82="Yes",100*((COUNTIFS($C$23:$C$189,"Yes",$E$23:$E$189,"&lt;"&amp;E82)+(COUNTIFS($C$23:$C$189,"Yes",$E$23:$E$189,E82)-1)/2)/($O$18-1))^$O$7,"")</x:f>
      </x:c>
      <x:c r="J82" s="316" t="str">
        <x:f>IF(C82="Yes",100*((COUNTIFS($C$23:$C$189,"Yes",$F$23:$F$189,"&gt;"&amp;F82)+(COUNTIFS($C$23:$C$189,"Yes",$F$23:$F$189,F82)-1)/2)/($O$18-1))^$O$7,"")</x:f>
      </x:c>
      <x:c r="K82" s="316" t="str">
        <x:f>IF(C82="Yes",100*((COUNTIFS($C$23:$C$189,"Yes",$G$23:$G$189,"&lt;"&amp;G82)+(COUNTIFS($C$23:$C$189,"Yes",$G$23:$G$189,G82)-1)/2)/($O$18-1))^$O$7,"")</x:f>
      </x:c>
      <x:c r="L82" s="316" t="str">
        <x:f>IF(C82="Yes",AVERAGE(H82:K82),"")</x:f>
      </x:c>
      <x:c r="M82" s="317" t="str">
        <x:f>IF(C82="Yes",1+COUNTIFS($A$23:$A$189,A82,$C$23:$C$189,"Yes",$L$23:$L$189,"&gt;"&amp;L82),"")</x:f>
      </x:c>
    </x:row>
    <x:row r="83">
      <x:c r="A83" s="311" t="str">
        <x:f>'All Stats'!A66</x:f>
        <x:v>K116</x:v>
      </x:c>
      <x:c r="B83" s="311" t="str">
        <x:f>'All Stats'!B66</x:f>
        <x:v>芙蕾魚</x:v>
      </x:c>
      <x:c r="C83" s="315" t="str">
        <x:f>IF(G83&gt;=$O$6,"Yes","No")</x:f>
        <x:v>No</x:v>
      </x:c>
      <x:c r="D83" s="312" t="n">
        <x:f>'All Stats'!L66</x:f>
        <x:v>17.1642</x:v>
      </x:c>
      <x:c r="E83" s="312" t="n">
        <x:f>'All Stats'!M66</x:f>
        <x:v>10.155700000000001</x:v>
      </x:c>
      <x:c r="F83" s="312" t="n">
        <x:f>'All Stats'!O66</x:f>
        <x:v>-1.265</x:v>
      </x:c>
      <x:c r="G83" s="312" t="n">
        <x:f>'All Stats'!Q66</x:f>
        <x:v>2.77</x:v>
      </x:c>
      <x:c r="H83" s="316" t="str">
        <x:f>IF(C83="Yes",100*((COUNTIFS($C$23:$C$189,"Yes",$D$23:$D$189,"&lt;"&amp;D83)+(COUNTIFS($C$23:$C$189,"Yes",$D$23:$D$189,D83)-1)/2)/($O$18-1))^$O$7,"")</x:f>
      </x:c>
      <x:c r="I83" s="316" t="str">
        <x:f>IF(C83="Yes",100*((COUNTIFS($C$23:$C$189,"Yes",$E$23:$E$189,"&lt;"&amp;E83)+(COUNTIFS($C$23:$C$189,"Yes",$E$23:$E$189,E83)-1)/2)/($O$18-1))^$O$7,"")</x:f>
      </x:c>
      <x:c r="J83" s="316" t="str">
        <x:f>IF(C83="Yes",100*((COUNTIFS($C$23:$C$189,"Yes",$F$23:$F$189,"&gt;"&amp;F83)+(COUNTIFS($C$23:$C$189,"Yes",$F$23:$F$189,F83)-1)/2)/($O$18-1))^$O$7,"")</x:f>
      </x:c>
      <x:c r="K83" s="316" t="str">
        <x:f>IF(C83="Yes",100*((COUNTIFS($C$23:$C$189,"Yes",$G$23:$G$189,"&lt;"&amp;G83)+(COUNTIFS($C$23:$C$189,"Yes",$G$23:$G$189,G83)-1)/2)/($O$18-1))^$O$7,"")</x:f>
      </x:c>
      <x:c r="L83" s="316" t="str">
        <x:f>IF(C83="Yes",AVERAGE(H83:K83),"")</x:f>
      </x:c>
      <x:c r="M83" s="317" t="str">
        <x:f>IF(C83="Yes",1+COUNTIFS($A$23:$A$189,A83,$C$23:$C$189,"Yes",$L$23:$L$189,"&gt;"&amp;L83),"")</x:f>
      </x:c>
    </x:row>
    <x:row r="84">
      <x:c r="A84" s="311" t="str">
        <x:f>'All Stats'!A67</x:f>
        <x:v>K116</x:v>
      </x:c>
      <x:c r="B84" s="311" t="str">
        <x:f>'All Stats'!B67</x:f>
        <x:v>ALI</x:v>
      </x:c>
      <x:c r="C84" s="315" t="str">
        <x:f>IF(G84&gt;=$O$6,"Yes","No")</x:f>
        <x:v>No</x:v>
      </x:c>
      <x:c r="D84" s="312" t="n">
        <x:f>'All Stats'!L67</x:f>
        <x:v>21.2012</x:v>
      </x:c>
      <x:c r="E84" s="312" t="n">
        <x:f>'All Stats'!M67</x:f>
        <x:v>12.465</x:v>
      </x:c>
      <x:c r="F84" s="312" t="n">
        <x:f>'All Stats'!O67</x:f>
        <x:v>-1.48</x:v>
      </x:c>
      <x:c r="G84" s="312" t="n">
        <x:f>'All Stats'!Q67</x:f>
        <x:v>1.83</x:v>
      </x:c>
      <x:c r="H84" s="316" t="str">
        <x:f>IF(C84="Yes",100*((COUNTIFS($C$23:$C$189,"Yes",$D$23:$D$189,"&lt;"&amp;D84)+(COUNTIFS($C$23:$C$189,"Yes",$D$23:$D$189,D84)-1)/2)/($O$18-1))^$O$7,"")</x:f>
      </x:c>
      <x:c r="I84" s="316" t="str">
        <x:f>IF(C84="Yes",100*((COUNTIFS($C$23:$C$189,"Yes",$E$23:$E$189,"&lt;"&amp;E84)+(COUNTIFS($C$23:$C$189,"Yes",$E$23:$E$189,E84)-1)/2)/($O$18-1))^$O$7,"")</x:f>
      </x:c>
      <x:c r="J84" s="316" t="str">
        <x:f>IF(C84="Yes",100*((COUNTIFS($C$23:$C$189,"Yes",$F$23:$F$189,"&gt;"&amp;F84)+(COUNTIFS($C$23:$C$189,"Yes",$F$23:$F$189,F84)-1)/2)/($O$18-1))^$O$7,"")</x:f>
      </x:c>
      <x:c r="K84" s="316" t="str">
        <x:f>IF(C84="Yes",100*((COUNTIFS($C$23:$C$189,"Yes",$G$23:$G$189,"&lt;"&amp;G84)+(COUNTIFS($C$23:$C$189,"Yes",$G$23:$G$189,G84)-1)/2)/($O$18-1))^$O$7,"")</x:f>
      </x:c>
      <x:c r="L84" s="316" t="str">
        <x:f>IF(C84="Yes",AVERAGE(H84:K84),"")</x:f>
      </x:c>
      <x:c r="M84" s="317" t="str">
        <x:f>IF(C84="Yes",1+COUNTIFS($A$23:$A$189,A84,$C$23:$C$189,"Yes",$L$23:$L$189,"&gt;"&amp;L84),"")</x:f>
      </x:c>
    </x:row>
    <x:row r="85">
      <x:c r="A85" s="311" t="str">
        <x:f>'All Stats'!A68</x:f>
        <x:v>K116</x:v>
      </x:c>
      <x:c r="B85" s="311" t="str">
        <x:f>'All Stats'!B68</x:f>
        <x:v>不可盾号</x:v>
      </x:c>
      <x:c r="C85" s="315" t="str">
        <x:f>IF(G85&gt;=$O$6,"Yes","No")</x:f>
        <x:v>No</x:v>
      </x:c>
      <x:c r="D85" s="312" t="n">
        <x:f>'All Stats'!L68</x:f>
        <x:v>16.8045</x:v>
      </x:c>
      <x:c r="E85" s="312" t="n">
        <x:f>'All Stats'!M68</x:f>
        <x:v>8.52</x:v>
      </x:c>
      <x:c r="F85" s="312" t="n">
        <x:f>'All Stats'!O68</x:f>
        <x:v>-1.125</x:v>
      </x:c>
      <x:c r="G85" s="312" t="n">
        <x:f>'All Stats'!Q68</x:f>
        <x:v>1.325</x:v>
      </x:c>
      <x:c r="H85" s="316" t="str">
        <x:f>IF(C85="Yes",100*((COUNTIFS($C$23:$C$189,"Yes",$D$23:$D$189,"&lt;"&amp;D85)+(COUNTIFS($C$23:$C$189,"Yes",$D$23:$D$189,D85)-1)/2)/($O$18-1))^$O$7,"")</x:f>
      </x:c>
      <x:c r="I85" s="316" t="str">
        <x:f>IF(C85="Yes",100*((COUNTIFS($C$23:$C$189,"Yes",$E$23:$E$189,"&lt;"&amp;E85)+(COUNTIFS($C$23:$C$189,"Yes",$E$23:$E$189,E85)-1)/2)/($O$18-1))^$O$7,"")</x:f>
      </x:c>
      <x:c r="J85" s="316" t="str">
        <x:f>IF(C85="Yes",100*((COUNTIFS($C$23:$C$189,"Yes",$F$23:$F$189,"&gt;"&amp;F85)+(COUNTIFS($C$23:$C$189,"Yes",$F$23:$F$189,F85)-1)/2)/($O$18-1))^$O$7,"")</x:f>
      </x:c>
      <x:c r="K85" s="316" t="str">
        <x:f>IF(C85="Yes",100*((COUNTIFS($C$23:$C$189,"Yes",$G$23:$G$189,"&lt;"&amp;G85)+(COUNTIFS($C$23:$C$189,"Yes",$G$23:$G$189,G85)-1)/2)/($O$18-1))^$O$7,"")</x:f>
      </x:c>
      <x:c r="L85" s="316" t="str">
        <x:f>IF(C85="Yes",AVERAGE(H85:K85),"")</x:f>
      </x:c>
      <x:c r="M85" s="317" t="str">
        <x:f>IF(C85="Yes",1+COUNTIFS($A$23:$A$189,A85,$C$23:$C$189,"Yes",$L$23:$L$189,"&gt;"&amp;L85),"")</x:f>
      </x:c>
    </x:row>
    <x:row r="86">
      <x:c r="A86" s="311" t="str">
        <x:f>'All Stats'!A69</x:f>
        <x:v>K116</x:v>
      </x:c>
      <x:c r="B86" s="311" t="str">
        <x:f>'All Stats'!B69</x:f>
        <x:v>光之使者</x:v>
      </x:c>
      <x:c r="C86" s="315" t="str">
        <x:f>IF(G86&gt;=$O$6,"Yes","No")</x:f>
        <x:v>Yes</x:v>
      </x:c>
      <x:c r="D86" s="312" t="n">
        <x:f>'All Stats'!L69</x:f>
        <x:v>24.13</x:v>
      </x:c>
      <x:c r="E86" s="312" t="n">
        <x:f>'All Stats'!M69</x:f>
        <x:v>18.917</x:v>
      </x:c>
      <x:c r="F86" s="312" t="n">
        <x:f>'All Stats'!O69</x:f>
        <x:v>-1.565</x:v>
      </x:c>
      <x:c r="G86" s="312" t="n">
        <x:f>'All Stats'!Q69</x:f>
        <x:v>7</x:v>
      </x:c>
      <x:c r="H86" s="316" t="n">
        <x:f>IF(C86="Yes",100*((COUNTIFS($C$23:$C$189,"Yes",$D$23:$D$189,"&lt;"&amp;D86)+(COUNTIFS($C$23:$C$189,"Yes",$D$23:$D$189,D86)-1)/2)/($O$18-1))^$O$7,"")</x:f>
        <x:v>54.872750177750596</x:v>
      </x:c>
      <x:c r="I86" s="316" t="n">
        <x:f>IF(C86="Yes",100*((COUNTIFS($C$23:$C$189,"Yes",$E$23:$E$189,"&lt;"&amp;E86)+(COUNTIFS($C$23:$C$189,"Yes",$E$23:$E$189,E86)-1)/2)/($O$18-1))^$O$7,"")</x:f>
        <x:v>59.311751459914575</x:v>
      </x:c>
      <x:c r="J86" s="316" t="n">
        <x:f>IF(C86="Yes",100*((COUNTIFS($C$23:$C$189,"Yes",$F$23:$F$189,"&gt;"&amp;F86)+(COUNTIFS($C$23:$C$189,"Yes",$F$23:$F$189,F86)-1)/2)/($O$18-1))^$O$7,"")</x:f>
        <x:v>3.413806766668566</x:v>
      </x:c>
      <x:c r="K86" s="316" t="n">
        <x:f>IF(C86="Yes",100*((COUNTIFS($C$23:$C$189,"Yes",$G$23:$G$189,"&lt;"&amp;G86)+(COUNTIFS($C$23:$C$189,"Yes",$G$23:$G$189,G86)-1)/2)/($O$18-1))^$O$7,"")</x:f>
        <x:v>17.63348920985086</x:v>
      </x:c>
      <x:c r="L86" s="316" t="n">
        <x:f>IF(C86="Yes",AVERAGE(H86:K86),"")</x:f>
        <x:v>33.80794940354615</x:v>
      </x:c>
      <x:c r="M86" s="317" t="n">
        <x:f>IF(C86="Yes",1+COUNTIFS($A$23:$A$189,A86,$C$23:$C$189,"Yes",$L$23:$L$189,"&gt;"&amp;L86),"")</x:f>
        <x:v>3</x:v>
      </x:c>
    </x:row>
    <x:row r="87">
      <x:c r="A87" s="311" t="str">
        <x:f>'All Stats'!A70</x:f>
        <x:v>K116</x:v>
      </x:c>
      <x:c r="B87" s="311" t="str">
        <x:f>'All Stats'!B70</x:f>
        <x:v>逍遥浪四月</x:v>
      </x:c>
      <x:c r="C87" s="315" t="str">
        <x:f>IF(G87&gt;=$O$6,"Yes","No")</x:f>
        <x:v>No</x:v>
      </x:c>
      <x:c r="D87" s="312" t="n">
        <x:f>'All Stats'!L70</x:f>
        <x:v>15.15</x:v>
      </x:c>
      <x:c r="E87" s="312" t="n">
        <x:f>'All Stats'!M70</x:f>
        <x:v>11.417</x:v>
      </x:c>
      <x:c r="F87" s="312" t="n">
        <x:f>'All Stats'!O70</x:f>
        <x:v>-1.3975</x:v>
      </x:c>
      <x:c r="G87" s="312" t="n">
        <x:f>'All Stats'!Q70</x:f>
        <x:v>3.78</x:v>
      </x:c>
      <x:c r="H87" s="316" t="str">
        <x:f>IF(C87="Yes",100*((COUNTIFS($C$23:$C$189,"Yes",$D$23:$D$189,"&lt;"&amp;D87)+(COUNTIFS($C$23:$C$189,"Yes",$D$23:$D$189,D87)-1)/2)/($O$18-1))^$O$7,"")</x:f>
      </x:c>
      <x:c r="I87" s="316" t="str">
        <x:f>IF(C87="Yes",100*((COUNTIFS($C$23:$C$189,"Yes",$E$23:$E$189,"&lt;"&amp;E87)+(COUNTIFS($C$23:$C$189,"Yes",$E$23:$E$189,E87)-1)/2)/($O$18-1))^$O$7,"")</x:f>
      </x:c>
      <x:c r="J87" s="316" t="str">
        <x:f>IF(C87="Yes",100*((COUNTIFS($C$23:$C$189,"Yes",$F$23:$F$189,"&gt;"&amp;F87)+(COUNTIFS($C$23:$C$189,"Yes",$F$23:$F$189,F87)-1)/2)/($O$18-1))^$O$7,"")</x:f>
      </x:c>
      <x:c r="K87" s="316" t="str">
        <x:f>IF(C87="Yes",100*((COUNTIFS($C$23:$C$189,"Yes",$G$23:$G$189,"&lt;"&amp;G87)+(COUNTIFS($C$23:$C$189,"Yes",$G$23:$G$189,G87)-1)/2)/($O$18-1))^$O$7,"")</x:f>
      </x:c>
      <x:c r="L87" s="316" t="str">
        <x:f>IF(C87="Yes",AVERAGE(H87:K87),"")</x:f>
      </x:c>
      <x:c r="M87" s="317" t="str">
        <x:f>IF(C87="Yes",1+COUNTIFS($A$23:$A$189,A87,$C$23:$C$189,"Yes",$L$23:$L$189,"&gt;"&amp;L87),"")</x:f>
      </x:c>
    </x:row>
    <x:row r="88">
      <x:c r="A88" s="311" t="str">
        <x:f>'All Stats'!A71</x:f>
        <x:v>K138</x:v>
      </x:c>
      <x:c r="B88" s="311" t="str">
        <x:f>'All Stats'!B71</x:f>
        <x:v>(RaW)༺博卡Ajax༻</x:v>
      </x:c>
      <x:c r="C88" s="315" t="str">
        <x:f>IF(G88&gt;=$O$6,"Yes","No")</x:f>
        <x:v>Yes</x:v>
      </x:c>
      <x:c r="D88" s="312" t="n">
        <x:f>'All Stats'!L71</x:f>
        <x:v>21.06</x:v>
      </x:c>
      <x:c r="E88" s="312" t="n">
        <x:f>'All Stats'!M71</x:f>
        <x:v>16.3449</x:v>
      </x:c>
      <x:c r="F88" s="312" t="n">
        <x:f>'All Stats'!O71</x:f>
        <x:v>-1.675</x:v>
      </x:c>
      <x:c r="G88" s="312" t="n">
        <x:f>'All Stats'!Q71</x:f>
        <x:v>7</x:v>
      </x:c>
      <x:c r="H88" s="316" t="n">
        <x:f>IF(C88="Yes",100*((COUNTIFS($C$23:$C$189,"Yes",$D$23:$D$189,"&lt;"&amp;D88)+(COUNTIFS($C$23:$C$189,"Yes",$D$23:$D$189,D88)-1)/2)/($O$18-1))^$O$7,"")</x:f>
        <x:v>28.07221873189792</x:v>
      </x:c>
      <x:c r="I88" s="316" t="n">
        <x:f>IF(C88="Yes",100*((COUNTIFS($C$23:$C$189,"Yes",$E$23:$E$189,"&lt;"&amp;E88)+(COUNTIFS($C$23:$C$189,"Yes",$E$23:$E$189,E88)-1)/2)/($O$18-1))^$O$7,"")</x:f>
        <x:v>34.94641646516784</x:v>
      </x:c>
      <x:c r="J88" s="316" t="n">
        <x:f>IF(C88="Yes",100*((COUNTIFS($C$23:$C$189,"Yes",$F$23:$F$189,"&gt;"&amp;F88)+(COUNTIFS($C$23:$C$189,"Yes",$F$23:$F$189,F88)-1)/2)/($O$18-1))^$O$7,"")</x:f>
        <x:v>13.80756307398405</x:v>
      </x:c>
      <x:c r="K88" s="316" t="n">
        <x:f>IF(C88="Yes",100*((COUNTIFS($C$23:$C$189,"Yes",$G$23:$G$189,"&lt;"&amp;G88)+(COUNTIFS($C$23:$C$189,"Yes",$G$23:$G$189,G88)-1)/2)/($O$18-1))^$O$7,"")</x:f>
        <x:v>17.63348920985086</x:v>
      </x:c>
      <x:c r="L88" s="316" t="n">
        <x:f>IF(C88="Yes",AVERAGE(H88:K88),"")</x:f>
        <x:v>23.614921870225167</x:v>
      </x:c>
      <x:c r="M88" s="317" t="n">
        <x:f>IF(C88="Yes",1+COUNTIFS($A$23:$A$189,A88,$C$23:$C$189,"Yes",$L$23:$L$189,"&gt;"&amp;L88),"")</x:f>
        <x:v>2</x:v>
      </x:c>
    </x:row>
    <x:row r="89">
      <x:c r="A89" s="311" t="str">
        <x:f>'All Stats'!A72</x:f>
        <x:v>K138</x:v>
      </x:c>
      <x:c r="B89" s="311" t="str">
        <x:f>'All Stats'!B72</x:f>
        <x:v>(RaW)Venom毒液</x:v>
      </x:c>
      <x:c r="C89" s="315" t="str">
        <x:f>IF(G89&gt;=$O$6,"Yes","No")</x:f>
        <x:v>No</x:v>
      </x:c>
      <x:c r="D89" s="312" t="n">
        <x:f>'All Stats'!L72</x:f>
        <x:v>15.7162</x:v>
      </x:c>
      <x:c r="E89" s="312" t="n">
        <x:f>'All Stats'!M72</x:f>
        <x:v>11.9907</x:v>
      </x:c>
      <x:c r="F89" s="312" t="n">
        <x:f>'All Stats'!O72</x:f>
        <x:v>-1.38</x:v>
      </x:c>
      <x:c r="G89" s="312" t="n">
        <x:f>'All Stats'!Q72</x:f>
        <x:v>2.39</x:v>
      </x:c>
      <x:c r="H89" s="316" t="str">
        <x:f>IF(C89="Yes",100*((COUNTIFS($C$23:$C$189,"Yes",$D$23:$D$189,"&lt;"&amp;D89)+(COUNTIFS($C$23:$C$189,"Yes",$D$23:$D$189,D89)-1)/2)/($O$18-1))^$O$7,"")</x:f>
      </x:c>
      <x:c r="I89" s="316" t="str">
        <x:f>IF(C89="Yes",100*((COUNTIFS($C$23:$C$189,"Yes",$E$23:$E$189,"&lt;"&amp;E89)+(COUNTIFS($C$23:$C$189,"Yes",$E$23:$E$189,E89)-1)/2)/($O$18-1))^$O$7,"")</x:f>
      </x:c>
      <x:c r="J89" s="316" t="str">
        <x:f>IF(C89="Yes",100*((COUNTIFS($C$23:$C$189,"Yes",$F$23:$F$189,"&gt;"&amp;F89)+(COUNTIFS($C$23:$C$189,"Yes",$F$23:$F$189,F89)-1)/2)/($O$18-1))^$O$7,"")</x:f>
      </x:c>
      <x:c r="K89" s="316" t="str">
        <x:f>IF(C89="Yes",100*((COUNTIFS($C$23:$C$189,"Yes",$G$23:$G$189,"&lt;"&amp;G89)+(COUNTIFS($C$23:$C$189,"Yes",$G$23:$G$189,G89)-1)/2)/($O$18-1))^$O$7,"")</x:f>
      </x:c>
      <x:c r="L89" s="316" t="str">
        <x:f>IF(C89="Yes",AVERAGE(H89:K89),"")</x:f>
      </x:c>
      <x:c r="M89" s="317" t="str">
        <x:f>IF(C89="Yes",1+COUNTIFS($A$23:$A$189,A89,$C$23:$C$189,"Yes",$L$23:$L$189,"&gt;"&amp;L89),"")</x:f>
      </x:c>
    </x:row>
    <x:row r="90">
      <x:c r="A90" s="311" t="str">
        <x:f>'All Stats'!A73</x:f>
        <x:v>K138</x:v>
      </x:c>
      <x:c r="B90" s="311" t="str">
        <x:f>'All Stats'!B73</x:f>
        <x:v>(RaW)༺JOJO༻</x:v>
      </x:c>
      <x:c r="C90" s="315" t="str">
        <x:f>IF(G90&gt;=$O$6,"Yes","No")</x:f>
        <x:v>No</x:v>
      </x:c>
      <x:c r="D90" s="312" t="n">
        <x:f>'All Stats'!L73</x:f>
        <x:v>15.3607</x:v>
      </x:c>
      <x:c r="E90" s="312" t="n">
        <x:f>'All Stats'!M73</x:f>
        <x:v>10.5042</x:v>
      </x:c>
      <x:c r="F90" s="312" t="n">
        <x:f>'All Stats'!O73</x:f>
        <x:v>-1.48</x:v>
      </x:c>
      <x:c r="G90" s="312" t="n">
        <x:f>'All Stats'!Q73</x:f>
        <x:v>2</x:v>
      </x:c>
      <x:c r="H90" s="316" t="str">
        <x:f>IF(C90="Yes",100*((COUNTIFS($C$23:$C$189,"Yes",$D$23:$D$189,"&lt;"&amp;D90)+(COUNTIFS($C$23:$C$189,"Yes",$D$23:$D$189,D90)-1)/2)/($O$18-1))^$O$7,"")</x:f>
      </x:c>
      <x:c r="I90" s="316" t="str">
        <x:f>IF(C90="Yes",100*((COUNTIFS($C$23:$C$189,"Yes",$E$23:$E$189,"&lt;"&amp;E90)+(COUNTIFS($C$23:$C$189,"Yes",$E$23:$E$189,E90)-1)/2)/($O$18-1))^$O$7,"")</x:f>
      </x:c>
      <x:c r="J90" s="316" t="str">
        <x:f>IF(C90="Yes",100*((COUNTIFS($C$23:$C$189,"Yes",$F$23:$F$189,"&gt;"&amp;F90)+(COUNTIFS($C$23:$C$189,"Yes",$F$23:$F$189,F90)-1)/2)/($O$18-1))^$O$7,"")</x:f>
      </x:c>
      <x:c r="K90" s="316" t="str">
        <x:f>IF(C90="Yes",100*((COUNTIFS($C$23:$C$189,"Yes",$G$23:$G$189,"&lt;"&amp;G90)+(COUNTIFS($C$23:$C$189,"Yes",$G$23:$G$189,G90)-1)/2)/($O$18-1))^$O$7,"")</x:f>
      </x:c>
      <x:c r="L90" s="316" t="str">
        <x:f>IF(C90="Yes",AVERAGE(H90:K90),"")</x:f>
      </x:c>
      <x:c r="M90" s="317" t="str">
        <x:f>IF(C90="Yes",1+COUNTIFS($A$23:$A$189,A90,$C$23:$C$189,"Yes",$L$23:$L$189,"&gt;"&amp;L90),"")</x:f>
      </x:c>
    </x:row>
    <x:row r="91">
      <x:c r="A91" s="311" t="str">
        <x:f>'All Stats'!A74</x:f>
        <x:v>K138</x:v>
      </x:c>
      <x:c r="B91" s="311" t="str">
        <x:f>'All Stats'!B74</x:f>
        <x:v>(RaW)SLAP</x:v>
      </x:c>
      <x:c r="C91" s="315" t="str">
        <x:f>IF(G91&gt;=$O$6,"Yes","No")</x:f>
        <x:v>Yes</x:v>
      </x:c>
      <x:c r="D91" s="312" t="n">
        <x:f>'All Stats'!L74</x:f>
        <x:v>13.6699</x:v>
      </x:c>
      <x:c r="E91" s="312" t="n">
        <x:f>'All Stats'!M74</x:f>
        <x:v>13.347</x:v>
      </x:c>
      <x:c r="F91" s="312" t="n">
        <x:f>'All Stats'!O74</x:f>
        <x:v>-1.7175</x:v>
      </x:c>
      <x:c r="G91" s="312" t="n">
        <x:f>'All Stats'!Q74</x:f>
        <x:v>7</x:v>
      </x:c>
      <x:c r="H91" s="316" t="n">
        <x:f>IF(C91="Yes",100*((COUNTIFS($C$23:$C$189,"Yes",$D$23:$D$189,"&lt;"&amp;D91)+(COUNTIFS($C$23:$C$189,"Yes",$D$23:$D$189,D91)-1)/2)/($O$18-1))^$O$7,"")</x:f>
        <x:v>0</x:v>
      </x:c>
      <x:c r="I91" s="316" t="n">
        <x:f>IF(C91="Yes",100*((COUNTIFS($C$23:$C$189,"Yes",$E$23:$E$189,"&lt;"&amp;E91)+(COUNTIFS($C$23:$C$189,"Yes",$E$23:$E$189,E91)-1)/2)/($O$18-1))^$O$7,"")</x:f>
        <x:v>5.64783140461759</x:v>
      </x:c>
      <x:c r="J91" s="316" t="n">
        <x:f>IF(C91="Yes",100*((COUNTIFS($C$23:$C$189,"Yes",$F$23:$F$189,"&gt;"&amp;F91)+(COUNTIFS($C$23:$C$189,"Yes",$F$23:$F$189,F91)-1)/2)/($O$18-1))^$O$7,"")</x:f>
        <x:v>21.853344008454474</x:v>
      </x:c>
      <x:c r="K91" s="316" t="n">
        <x:f>IF(C91="Yes",100*((COUNTIFS($C$23:$C$189,"Yes",$G$23:$G$189,"&lt;"&amp;G91)+(COUNTIFS($C$23:$C$189,"Yes",$G$23:$G$189,G91)-1)/2)/($O$18-1))^$O$7,"")</x:f>
        <x:v>17.63348920985086</x:v>
      </x:c>
      <x:c r="L91" s="316" t="n">
        <x:f>IF(C91="Yes",AVERAGE(H91:K91),"")</x:f>
        <x:v>11.283666155730732</x:v>
      </x:c>
      <x:c r="M91" s="317" t="n">
        <x:f>IF(C91="Yes",1+COUNTIFS($A$23:$A$189,A91,$C$23:$C$189,"Yes",$L$23:$L$189,"&gt;"&amp;L91),"")</x:f>
        <x:v>5</x:v>
      </x:c>
    </x:row>
    <x:row r="92">
      <x:c r="A92" s="311" t="str">
        <x:f>'All Stats'!A75</x:f>
        <x:v>K138</x:v>
      </x:c>
      <x:c r="B92" s="311" t="str">
        <x:f>'All Stats'!B75</x:f>
        <x:v>(RaW)༺Aryz༻</x:v>
      </x:c>
      <x:c r="C92" s="315" t="str">
        <x:f>IF(G92&gt;=$O$6,"Yes","No")</x:f>
        <x:v>No</x:v>
      </x:c>
      <x:c r="D92" s="312" t="n">
        <x:f>'All Stats'!L75</x:f>
        <x:v>15.81</x:v>
      </x:c>
      <x:c r="E92" s="312" t="n">
        <x:f>'All Stats'!M75</x:f>
        <x:v>10.6649</x:v>
      </x:c>
      <x:c r="F92" s="312" t="n">
        <x:f>'All Stats'!O75</x:f>
        <x:v>-1.5225</x:v>
      </x:c>
      <x:c r="G92" s="312" t="n">
        <x:f>'All Stats'!Q75</x:f>
        <x:v>3.28</x:v>
      </x:c>
      <x:c r="H92" s="316" t="str">
        <x:f>IF(C92="Yes",100*((COUNTIFS($C$23:$C$189,"Yes",$D$23:$D$189,"&lt;"&amp;D92)+(COUNTIFS($C$23:$C$189,"Yes",$D$23:$D$189,D92)-1)/2)/($O$18-1))^$O$7,"")</x:f>
      </x:c>
      <x:c r="I92" s="316" t="str">
        <x:f>IF(C92="Yes",100*((COUNTIFS($C$23:$C$189,"Yes",$E$23:$E$189,"&lt;"&amp;E92)+(COUNTIFS($C$23:$C$189,"Yes",$E$23:$E$189,E92)-1)/2)/($O$18-1))^$O$7,"")</x:f>
      </x:c>
      <x:c r="J92" s="316" t="str">
        <x:f>IF(C92="Yes",100*((COUNTIFS($C$23:$C$189,"Yes",$F$23:$F$189,"&gt;"&amp;F92)+(COUNTIFS($C$23:$C$189,"Yes",$F$23:$F$189,F92)-1)/2)/($O$18-1))^$O$7,"")</x:f>
      </x:c>
      <x:c r="K92" s="316" t="str">
        <x:f>IF(C92="Yes",100*((COUNTIFS($C$23:$C$189,"Yes",$G$23:$G$189,"&lt;"&amp;G92)+(COUNTIFS($C$23:$C$189,"Yes",$G$23:$G$189,G92)-1)/2)/($O$18-1))^$O$7,"")</x:f>
      </x:c>
      <x:c r="L92" s="316" t="str">
        <x:f>IF(C92="Yes",AVERAGE(H92:K92),"")</x:f>
      </x:c>
      <x:c r="M92" s="317" t="str">
        <x:f>IF(C92="Yes",1+COUNTIFS($A$23:$A$189,A92,$C$23:$C$189,"Yes",$L$23:$L$189,"&gt;"&amp;L92),"")</x:f>
      </x:c>
    </x:row>
    <x:row r="93">
      <x:c r="A93" s="311" t="str">
        <x:f>'All Stats'!A76</x:f>
        <x:v>K138</x:v>
      </x:c>
      <x:c r="B93" s="311" t="str">
        <x:f>'All Stats'!B76</x:f>
        <x:v>(RaW)©•SGT©•</x:v>
      </x:c>
      <x:c r="C93" s="315" t="str">
        <x:f>IF(G93&gt;=$O$6,"Yes","No")</x:f>
        <x:v>No</x:v>
      </x:c>
      <x:c r="D93" s="312" t="n">
        <x:f>'All Stats'!L76</x:f>
        <x:v>13.182</x:v>
      </x:c>
      <x:c r="E93" s="312" t="n">
        <x:f>'All Stats'!M76</x:f>
        <x:v>12.3149</x:v>
      </x:c>
      <x:c r="F93" s="312" t="n">
        <x:f>'All Stats'!O76</x:f>
        <x:v>-1.6525</x:v>
      </x:c>
      <x:c r="G93" s="312" t="n">
        <x:f>'All Stats'!Q76</x:f>
        <x:v>4.33</x:v>
      </x:c>
      <x:c r="H93" s="316" t="str">
        <x:f>IF(C93="Yes",100*((COUNTIFS($C$23:$C$189,"Yes",$D$23:$D$189,"&lt;"&amp;D93)+(COUNTIFS($C$23:$C$189,"Yes",$D$23:$D$189,D93)-1)/2)/($O$18-1))^$O$7,"")</x:f>
      </x:c>
      <x:c r="I93" s="316" t="str">
        <x:f>IF(C93="Yes",100*((COUNTIFS($C$23:$C$189,"Yes",$E$23:$E$189,"&lt;"&amp;E93)+(COUNTIFS($C$23:$C$189,"Yes",$E$23:$E$189,E93)-1)/2)/($O$18-1))^$O$7,"")</x:f>
      </x:c>
      <x:c r="J93" s="316" t="str">
        <x:f>IF(C93="Yes",100*((COUNTIFS($C$23:$C$189,"Yes",$F$23:$F$189,"&gt;"&amp;F93)+(COUNTIFS($C$23:$C$189,"Yes",$F$23:$F$189,F93)-1)/2)/($O$18-1))^$O$7,"")</x:f>
      </x:c>
      <x:c r="K93" s="316" t="str">
        <x:f>IF(C93="Yes",100*((COUNTIFS($C$23:$C$189,"Yes",$G$23:$G$189,"&lt;"&amp;G93)+(COUNTIFS($C$23:$C$189,"Yes",$G$23:$G$189,G93)-1)/2)/($O$18-1))^$O$7,"")</x:f>
      </x:c>
      <x:c r="L93" s="316" t="str">
        <x:f>IF(C93="Yes",AVERAGE(H93:K93),"")</x:f>
      </x:c>
      <x:c r="M93" s="317" t="str">
        <x:f>IF(C93="Yes",1+COUNTIFS($A$23:$A$189,A93,$C$23:$C$189,"Yes",$L$23:$L$189,"&gt;"&amp;L93),"")</x:f>
      </x:c>
    </x:row>
    <x:row r="94">
      <x:c r="A94" s="311" t="str">
        <x:f>'All Stats'!A77</x:f>
        <x:v>K138</x:v>
      </x:c>
      <x:c r="B94" s="311" t="str">
        <x:f>'All Stats'!B77</x:f>
        <x:v>(RaW)JØNS</x:v>
      </x:c>
      <x:c r="C94" s="315" t="str">
        <x:f>IF(G94&gt;=$O$6,"Yes","No")</x:f>
        <x:v>No</x:v>
      </x:c>
      <x:c r="D94" s="312" t="n">
        <x:f>'All Stats'!L77</x:f>
        <x:v>16.5104</x:v>
      </x:c>
      <x:c r="E94" s="312" t="n">
        <x:f>'All Stats'!M77</x:f>
        <x:v>11.7607</x:v>
      </x:c>
      <x:c r="F94" s="312" t="n">
        <x:f>'All Stats'!O77</x:f>
        <x:v>-1.42</x:v>
      </x:c>
      <x:c r="G94" s="312" t="n">
        <x:f>'All Stats'!Q77</x:f>
        <x:v>2.15</x:v>
      </x:c>
      <x:c r="H94" s="316" t="str">
        <x:f>IF(C94="Yes",100*((COUNTIFS($C$23:$C$189,"Yes",$D$23:$D$189,"&lt;"&amp;D94)+(COUNTIFS($C$23:$C$189,"Yes",$D$23:$D$189,D94)-1)/2)/($O$18-1))^$O$7,"")</x:f>
      </x:c>
      <x:c r="I94" s="316" t="str">
        <x:f>IF(C94="Yes",100*((COUNTIFS($C$23:$C$189,"Yes",$E$23:$E$189,"&lt;"&amp;E94)+(COUNTIFS($C$23:$C$189,"Yes",$E$23:$E$189,E94)-1)/2)/($O$18-1))^$O$7,"")</x:f>
      </x:c>
      <x:c r="J94" s="316" t="str">
        <x:f>IF(C94="Yes",100*((COUNTIFS($C$23:$C$189,"Yes",$F$23:$F$189,"&gt;"&amp;F94)+(COUNTIFS($C$23:$C$189,"Yes",$F$23:$F$189,F94)-1)/2)/($O$18-1))^$O$7,"")</x:f>
      </x:c>
      <x:c r="K94" s="316" t="str">
        <x:f>IF(C94="Yes",100*((COUNTIFS($C$23:$C$189,"Yes",$G$23:$G$189,"&lt;"&amp;G94)+(COUNTIFS($C$23:$C$189,"Yes",$G$23:$G$189,G94)-1)/2)/($O$18-1))^$O$7,"")</x:f>
      </x:c>
      <x:c r="L94" s="316" t="str">
        <x:f>IF(C94="Yes",AVERAGE(H94:K94),"")</x:f>
      </x:c>
      <x:c r="M94" s="317" t="str">
        <x:f>IF(C94="Yes",1+COUNTIFS($A$23:$A$189,A94,$C$23:$C$189,"Yes",$L$23:$L$189,"&gt;"&amp;L94),"")</x:f>
      </x:c>
    </x:row>
    <x:row r="95">
      <x:c r="A95" s="311" t="str">
        <x:f>'All Stats'!A78</x:f>
        <x:v>K138</x:v>
      </x:c>
      <x:c r="B95" s="311" t="str">
        <x:f>'All Stats'!B78</x:f>
        <x:v>(RaW)༺Frankie༻</x:v>
      </x:c>
      <x:c r="C95" s="315" t="str">
        <x:f>IF(G95&gt;=$O$6,"Yes","No")</x:f>
        <x:v>Yes</x:v>
      </x:c>
      <x:c r="D95" s="312" t="n">
        <x:f>'All Stats'!L78</x:f>
        <x:v>19.6742</x:v>
      </x:c>
      <x:c r="E95" s="312" t="n">
        <x:f>'All Stats'!M78</x:f>
        <x:v>11.1907</x:v>
      </x:c>
      <x:c r="F95" s="312" t="n">
        <x:f>'All Stats'!O78</x:f>
        <x:v>-1.7975</x:v>
      </x:c>
      <x:c r="G95" s="312" t="n">
        <x:f>'All Stats'!Q78</x:f>
        <x:v>7</x:v>
      </x:c>
      <x:c r="H95" s="316" t="n">
        <x:f>IF(C95="Yes",100*((COUNTIFS($C$23:$C$189,"Yes",$D$23:$D$189,"&lt;"&amp;D95)+(COUNTIFS($C$23:$C$189,"Yes",$D$23:$D$189,D95)-1)/2)/($O$18-1))^$O$7,"")</x:f>
        <x:v>11.482631489841884</x:v>
      </x:c>
      <x:c r="I95" s="316" t="n">
        <x:f>IF(C95="Yes",100*((COUNTIFS($C$23:$C$189,"Yes",$E$23:$E$189,"&lt;"&amp;E95)+(COUNTIFS($C$23:$C$189,"Yes",$E$23:$E$189,E95)-1)/2)/($O$18-1))^$O$7,"")</x:f>
        <x:v>0.825884904572687</x:v>
      </x:c>
      <x:c r="J95" s="316" t="n">
        <x:f>IF(C95="Yes",100*((COUNTIFS($C$23:$C$189,"Yes",$F$23:$F$189,"&gt;"&amp;F95)+(COUNTIFS($C$23:$C$189,"Yes",$F$23:$F$189,F95)-1)/2)/($O$18-1))^$O$7,"")</x:f>
        <x:v>31.42874255011785</x:v>
      </x:c>
      <x:c r="K95" s="316" t="n">
        <x:f>IF(C95="Yes",100*((COUNTIFS($C$23:$C$189,"Yes",$G$23:$G$189,"&lt;"&amp;G95)+(COUNTIFS($C$23:$C$189,"Yes",$G$23:$G$189,G95)-1)/2)/($O$18-1))^$O$7,"")</x:f>
        <x:v>17.63348920985086</x:v>
      </x:c>
      <x:c r="L95" s="316" t="n">
        <x:f>IF(C95="Yes",AVERAGE(H95:K95),"")</x:f>
        <x:v>15.34268703859582</x:v>
      </x:c>
      <x:c r="M95" s="317" t="n">
        <x:f>IF(C95="Yes",1+COUNTIFS($A$23:$A$189,A95,$C$23:$C$189,"Yes",$L$23:$L$189,"&gt;"&amp;L95),"")</x:f>
        <x:v>4</x:v>
      </x:c>
    </x:row>
    <x:row r="96">
      <x:c r="A96" s="311" t="str">
        <x:f>'All Stats'!A79</x:f>
        <x:v>K138</x:v>
      </x:c>
      <x:c r="B96" s="311" t="str">
        <x:f>'All Stats'!B79</x:f>
        <x:v>(RaW)Critykal</x:v>
      </x:c>
      <x:c r="C96" s="315" t="str">
        <x:f>IF(G96&gt;=$O$6,"Yes","No")</x:f>
        <x:v>Yes</x:v>
      </x:c>
      <x:c r="D96" s="312" t="n">
        <x:f>'All Stats'!L79</x:f>
        <x:v>17.6399</x:v>
      </x:c>
      <x:c r="E96" s="312" t="n">
        <x:f>'All Stats'!M79</x:f>
        <x:v>15.657</x:v>
      </x:c>
      <x:c r="F96" s="312" t="n">
        <x:f>'All Stats'!O79</x:f>
        <x:v>-1.795</x:v>
      </x:c>
      <x:c r="G96" s="312" t="n">
        <x:f>'All Stats'!Q79</x:f>
        <x:v>7</x:v>
      </x:c>
      <x:c r="H96" s="316" t="n">
        <x:f>IF(C96="Yes",100*((COUNTIFS($C$23:$C$189,"Yes",$D$23:$D$189,"&lt;"&amp;D96)+(COUNTIFS($C$23:$C$189,"Yes",$D$23:$D$189,D96)-1)/2)/($O$18-1))^$O$7,"")</x:f>
        <x:v>5.64783140461759</x:v>
      </x:c>
      <x:c r="I96" s="316" t="n">
        <x:f>IF(C96="Yes",100*((COUNTIFS($C$23:$C$189,"Yes",$E$23:$E$189,"&lt;"&amp;E96)+(COUNTIFS($C$23:$C$189,"Yes",$E$23:$E$189,E96)-1)/2)/($O$18-1))^$O$7,"")</x:f>
        <x:v>28.07221873189792</x:v>
      </x:c>
      <x:c r="J96" s="316" t="n">
        <x:f>IF(C96="Yes",100*((COUNTIFS($C$23:$C$189,"Yes",$F$23:$F$189,"&gt;"&amp;F96)+(COUNTIFS($C$23:$C$189,"Yes",$F$23:$F$189,F96)-1)/2)/($O$18-1))^$O$7,"")</x:f>
        <x:v>28.07221873189792</x:v>
      </x:c>
      <x:c r="K96" s="316" t="n">
        <x:f>IF(C96="Yes",100*((COUNTIFS($C$23:$C$189,"Yes",$G$23:$G$189,"&lt;"&amp;G96)+(COUNTIFS($C$23:$C$189,"Yes",$G$23:$G$189,G96)-1)/2)/($O$18-1))^$O$7,"")</x:f>
        <x:v>17.63348920985086</x:v>
      </x:c>
      <x:c r="L96" s="316" t="n">
        <x:f>IF(C96="Yes",AVERAGE(H96:K96),"")</x:f>
        <x:v>19.856439519566074</x:v>
      </x:c>
      <x:c r="M96" s="317" t="n">
        <x:f>IF(C96="Yes",1+COUNTIFS($A$23:$A$189,A96,$C$23:$C$189,"Yes",$L$23:$L$189,"&gt;"&amp;L96),"")</x:f>
        <x:v>3</x:v>
      </x:c>
    </x:row>
    <x:row r="97">
      <x:c r="A97" s="311" t="str">
        <x:f>'All Stats'!A80</x:f>
        <x:v>K138</x:v>
      </x:c>
      <x:c r="B97" s="311" t="str">
        <x:f>'All Stats'!B80</x:f>
        <x:v>(RaW)Maddog</x:v>
      </x:c>
      <x:c r="C97" s="315" t="str">
        <x:f>IF(G97&gt;=$O$6,"Yes","No")</x:f>
        <x:v>No</x:v>
      </x:c>
      <x:c r="D97" s="312" t="n">
        <x:f>'All Stats'!L80</x:f>
        <x:v>17.52</x:v>
      </x:c>
      <x:c r="E97" s="312" t="n">
        <x:f>'All Stats'!M80</x:f>
        <x:v>12.8049</x:v>
      </x:c>
      <x:c r="F97" s="312" t="n">
        <x:f>'All Stats'!O80</x:f>
        <x:v>-1.55</x:v>
      </x:c>
      <x:c r="G97" s="312" t="n">
        <x:f>'All Stats'!Q80</x:f>
        <x:v>6.03</x:v>
      </x:c>
      <x:c r="H97" s="316" t="str">
        <x:f>IF(C97="Yes",100*((COUNTIFS($C$23:$C$189,"Yes",$D$23:$D$189,"&lt;"&amp;D97)+(COUNTIFS($C$23:$C$189,"Yes",$D$23:$D$189,D97)-1)/2)/($O$18-1))^$O$7,"")</x:f>
      </x:c>
      <x:c r="I97" s="316" t="str">
        <x:f>IF(C97="Yes",100*((COUNTIFS($C$23:$C$189,"Yes",$E$23:$E$189,"&lt;"&amp;E97)+(COUNTIFS($C$23:$C$189,"Yes",$E$23:$E$189,E97)-1)/2)/($O$18-1))^$O$7,"")</x:f>
      </x:c>
      <x:c r="J97" s="316" t="str">
        <x:f>IF(C97="Yes",100*((COUNTIFS($C$23:$C$189,"Yes",$F$23:$F$189,"&gt;"&amp;F97)+(COUNTIFS($C$23:$C$189,"Yes",$F$23:$F$189,F97)-1)/2)/($O$18-1))^$O$7,"")</x:f>
      </x:c>
      <x:c r="K97" s="316" t="str">
        <x:f>IF(C97="Yes",100*((COUNTIFS($C$23:$C$189,"Yes",$G$23:$G$189,"&lt;"&amp;G97)+(COUNTIFS($C$23:$C$189,"Yes",$G$23:$G$189,G97)-1)/2)/($O$18-1))^$O$7,"")</x:f>
      </x:c>
      <x:c r="L97" s="316" t="str">
        <x:f>IF(C97="Yes",AVERAGE(H97:K97),"")</x:f>
      </x:c>
      <x:c r="M97" s="317" t="str">
        <x:f>IF(C97="Yes",1+COUNTIFS($A$23:$A$189,A97,$C$23:$C$189,"Yes",$L$23:$L$189,"&gt;"&amp;L97),"")</x:f>
      </x:c>
    </x:row>
    <x:row r="98">
      <x:c r="A98" s="311" t="str">
        <x:f>'All Stats'!A81</x:f>
        <x:v>K138</x:v>
      </x:c>
      <x:c r="B98" s="311" t="str">
        <x:f>'All Stats'!B81</x:f>
        <x:v>(RaW)BEYKOZLU</x:v>
      </x:c>
      <x:c r="C98" s="315" t="str">
        <x:f>IF(G98&gt;=$O$6,"Yes","No")</x:f>
        <x:v>No</x:v>
      </x:c>
      <x:c r="D98" s="312" t="n">
        <x:f>'All Stats'!L81</x:f>
        <x:v>15.472</x:v>
      </x:c>
      <x:c r="E98" s="312" t="n">
        <x:f>'All Stats'!M81</x:f>
        <x:v>14.7849</x:v>
      </x:c>
      <x:c r="F98" s="312" t="n">
        <x:f>'All Stats'!O81</x:f>
        <x:v>-1.545</x:v>
      </x:c>
      <x:c r="G98" s="312" t="n">
        <x:f>'All Stats'!Q81</x:f>
        <x:v>4.03</x:v>
      </x:c>
      <x:c r="H98" s="316" t="str">
        <x:f>IF(C98="Yes",100*((COUNTIFS($C$23:$C$189,"Yes",$D$23:$D$189,"&lt;"&amp;D98)+(COUNTIFS($C$23:$C$189,"Yes",$D$23:$D$189,D98)-1)/2)/($O$18-1))^$O$7,"")</x:f>
      </x:c>
      <x:c r="I98" s="316" t="str">
        <x:f>IF(C98="Yes",100*((COUNTIFS($C$23:$C$189,"Yes",$E$23:$E$189,"&lt;"&amp;E98)+(COUNTIFS($C$23:$C$189,"Yes",$E$23:$E$189,E98)-1)/2)/($O$18-1))^$O$7,"")</x:f>
      </x:c>
      <x:c r="J98" s="316" t="str">
        <x:f>IF(C98="Yes",100*((COUNTIFS($C$23:$C$189,"Yes",$F$23:$F$189,"&gt;"&amp;F98)+(COUNTIFS($C$23:$C$189,"Yes",$F$23:$F$189,F98)-1)/2)/($O$18-1))^$O$7,"")</x:f>
      </x:c>
      <x:c r="K98" s="316" t="str">
        <x:f>IF(C98="Yes",100*((COUNTIFS($C$23:$C$189,"Yes",$G$23:$G$189,"&lt;"&amp;G98)+(COUNTIFS($C$23:$C$189,"Yes",$G$23:$G$189,G98)-1)/2)/($O$18-1))^$O$7,"")</x:f>
      </x:c>
      <x:c r="L98" s="316" t="str">
        <x:f>IF(C98="Yes",AVERAGE(H98:K98),"")</x:f>
      </x:c>
      <x:c r="M98" s="317" t="str">
        <x:f>IF(C98="Yes",1+COUNTIFS($A$23:$A$189,A98,$C$23:$C$189,"Yes",$L$23:$L$189,"&gt;"&amp;L98),"")</x:f>
      </x:c>
    </x:row>
    <x:row r="99">
      <x:c r="A99" s="311" t="str">
        <x:f>'All Stats'!A82</x:f>
        <x:v>K138</x:v>
      </x:c>
      <x:c r="B99" s="311" t="str">
        <x:f>'All Stats'!B82</x:f>
        <x:v>(RaW)༺ASOS༻</x:v>
      </x:c>
      <x:c r="C99" s="315" t="str">
        <x:f>IF(G99&gt;=$O$6,"Yes","No")</x:f>
        <x:v>No</x:v>
      </x:c>
      <x:c r="D99" s="312" t="n">
        <x:f>'All Stats'!L82</x:f>
        <x:v>15.9549</x:v>
      </x:c>
      <x:c r="E99" s="312" t="n">
        <x:f>'All Stats'!M82</x:f>
        <x:v>10.8592</x:v>
      </x:c>
      <x:c r="F99" s="312" t="n">
        <x:f>'All Stats'!O82</x:f>
        <x:v>-0.545</x:v>
      </x:c>
      <x:c r="G99" s="312" t="n">
        <x:f>'All Stats'!Q82</x:f>
        <x:v>1.82</x:v>
      </x:c>
      <x:c r="H99" s="316" t="str">
        <x:f>IF(C99="Yes",100*((COUNTIFS($C$23:$C$189,"Yes",$D$23:$D$189,"&lt;"&amp;D99)+(COUNTIFS($C$23:$C$189,"Yes",$D$23:$D$189,D99)-1)/2)/($O$18-1))^$O$7,"")</x:f>
      </x:c>
      <x:c r="I99" s="316" t="str">
        <x:f>IF(C99="Yes",100*((COUNTIFS($C$23:$C$189,"Yes",$E$23:$E$189,"&lt;"&amp;E99)+(COUNTIFS($C$23:$C$189,"Yes",$E$23:$E$189,E99)-1)/2)/($O$18-1))^$O$7,"")</x:f>
      </x:c>
      <x:c r="J99" s="316" t="str">
        <x:f>IF(C99="Yes",100*((COUNTIFS($C$23:$C$189,"Yes",$F$23:$F$189,"&gt;"&amp;F99)+(COUNTIFS($C$23:$C$189,"Yes",$F$23:$F$189,F99)-1)/2)/($O$18-1))^$O$7,"")</x:f>
      </x:c>
      <x:c r="K99" s="316" t="str">
        <x:f>IF(C99="Yes",100*((COUNTIFS($C$23:$C$189,"Yes",$G$23:$G$189,"&lt;"&amp;G99)+(COUNTIFS($C$23:$C$189,"Yes",$G$23:$G$189,G99)-1)/2)/($O$18-1))^$O$7,"")</x:f>
      </x:c>
      <x:c r="L99" s="316" t="str">
        <x:f>IF(C99="Yes",AVERAGE(H99:K99),"")</x:f>
      </x:c>
      <x:c r="M99" s="317" t="str">
        <x:f>IF(C99="Yes",1+COUNTIFS($A$23:$A$189,A99,$C$23:$C$189,"Yes",$L$23:$L$189,"&gt;"&amp;L99),"")</x:f>
      </x:c>
    </x:row>
    <x:row r="100">
      <x:c r="A100" s="311" t="str">
        <x:f>'All Stats'!A83</x:f>
        <x:v>K138</x:v>
      </x:c>
      <x:c r="B100" s="311" t="str">
        <x:f>'All Stats'!B83</x:f>
        <x:v>(RaW)Nightmare</x:v>
      </x:c>
      <x:c r="C100" s="315" t="str">
        <x:f>IF(G100&gt;=$O$6,"Yes","No")</x:f>
        <x:v>No</x:v>
      </x:c>
      <x:c r="D100" s="312" t="n">
        <x:f>'All Stats'!L83</x:f>
        <x:v>15.8107</x:v>
      </x:c>
      <x:c r="E100" s="312" t="n">
        <x:f>'All Stats'!M83</x:f>
        <x:v>11.8449</x:v>
      </x:c>
      <x:c r="F100" s="312" t="n">
        <x:f>'All Stats'!O83</x:f>
        <x:v>-1.48</x:v>
      </x:c>
      <x:c r="G100" s="312" t="n">
        <x:f>'All Stats'!Q83</x:f>
        <x:v>1.88</x:v>
      </x:c>
      <x:c r="H100" s="316" t="str">
        <x:f>IF(C100="Yes",100*((COUNTIFS($C$23:$C$189,"Yes",$D$23:$D$189,"&lt;"&amp;D100)+(COUNTIFS($C$23:$C$189,"Yes",$D$23:$D$189,D100)-1)/2)/($O$18-1))^$O$7,"")</x:f>
      </x:c>
      <x:c r="I100" s="316" t="str">
        <x:f>IF(C100="Yes",100*((COUNTIFS($C$23:$C$189,"Yes",$E$23:$E$189,"&lt;"&amp;E100)+(COUNTIFS($C$23:$C$189,"Yes",$E$23:$E$189,E100)-1)/2)/($O$18-1))^$O$7,"")</x:f>
      </x:c>
      <x:c r="J100" s="316" t="str">
        <x:f>IF(C100="Yes",100*((COUNTIFS($C$23:$C$189,"Yes",$F$23:$F$189,"&gt;"&amp;F100)+(COUNTIFS($C$23:$C$189,"Yes",$F$23:$F$189,F100)-1)/2)/($O$18-1))^$O$7,"")</x:f>
      </x:c>
      <x:c r="K100" s="316" t="str">
        <x:f>IF(C100="Yes",100*((COUNTIFS($C$23:$C$189,"Yes",$G$23:$G$189,"&lt;"&amp;G100)+(COUNTIFS($C$23:$C$189,"Yes",$G$23:$G$189,G100)-1)/2)/($O$18-1))^$O$7,"")</x:f>
      </x:c>
      <x:c r="L100" s="316" t="str">
        <x:f>IF(C100="Yes",AVERAGE(H100:K100),"")</x:f>
      </x:c>
      <x:c r="M100" s="317" t="str">
        <x:f>IF(C100="Yes",1+COUNTIFS($A$23:$A$189,A100,$C$23:$C$189,"Yes",$L$23:$L$189,"&gt;"&amp;L100),"")</x:f>
      </x:c>
    </x:row>
    <x:row r="101">
      <x:c r="A101" s="311" t="str">
        <x:f>'All Stats'!A84</x:f>
        <x:v>K138</x:v>
      </x:c>
      <x:c r="B101" s="311" t="str">
        <x:f>'All Stats'!B84</x:f>
        <x:v>(RaW)MARYEL</x:v>
      </x:c>
      <x:c r="C101" s="315" t="str">
        <x:f>IF(G101&gt;=$O$6,"Yes","No")</x:f>
        <x:v>No</x:v>
      </x:c>
      <x:c r="D101" s="312" t="n">
        <x:f>'All Stats'!L84</x:f>
        <x:v>17.52</x:v>
      </x:c>
      <x:c r="E101" s="312" t="n">
        <x:f>'All Stats'!M84</x:f>
        <x:v>12.8049</x:v>
      </x:c>
      <x:c r="F101" s="312" t="n">
        <x:f>'All Stats'!O84</x:f>
        <x:v>-1.585</x:v>
      </x:c>
      <x:c r="G101" s="312" t="n">
        <x:f>'All Stats'!Q84</x:f>
        <x:v>4.56</x:v>
      </x:c>
      <x:c r="H101" s="316" t="str">
        <x:f>IF(C101="Yes",100*((COUNTIFS($C$23:$C$189,"Yes",$D$23:$D$189,"&lt;"&amp;D101)+(COUNTIFS($C$23:$C$189,"Yes",$D$23:$D$189,D101)-1)/2)/($O$18-1))^$O$7,"")</x:f>
      </x:c>
      <x:c r="I101" s="316" t="str">
        <x:f>IF(C101="Yes",100*((COUNTIFS($C$23:$C$189,"Yes",$E$23:$E$189,"&lt;"&amp;E101)+(COUNTIFS($C$23:$C$189,"Yes",$E$23:$E$189,E101)-1)/2)/($O$18-1))^$O$7,"")</x:f>
      </x:c>
      <x:c r="J101" s="316" t="str">
        <x:f>IF(C101="Yes",100*((COUNTIFS($C$23:$C$189,"Yes",$F$23:$F$189,"&gt;"&amp;F101)+(COUNTIFS($C$23:$C$189,"Yes",$F$23:$F$189,F101)-1)/2)/($O$18-1))^$O$7,"")</x:f>
      </x:c>
      <x:c r="K101" s="316" t="str">
        <x:f>IF(C101="Yes",100*((COUNTIFS($C$23:$C$189,"Yes",$G$23:$G$189,"&lt;"&amp;G101)+(COUNTIFS($C$23:$C$189,"Yes",$G$23:$G$189,G101)-1)/2)/($O$18-1))^$O$7,"")</x:f>
      </x:c>
      <x:c r="L101" s="316" t="str">
        <x:f>IF(C101="Yes",AVERAGE(H101:K101),"")</x:f>
      </x:c>
      <x:c r="M101" s="317" t="str">
        <x:f>IF(C101="Yes",1+COUNTIFS($A$23:$A$189,A101,$C$23:$C$189,"Yes",$L$23:$L$189,"&gt;"&amp;L101),"")</x:f>
      </x:c>
    </x:row>
    <x:row r="102">
      <x:c r="A102" s="311" t="str">
        <x:f>'All Stats'!A85</x:f>
        <x:v>K138</x:v>
      </x:c>
      <x:c r="B102" s="311" t="str">
        <x:f>'All Stats'!B85</x:f>
        <x:v>(RaW)༺惊鸿༻</x:v>
      </x:c>
      <x:c r="C102" s="315" t="str">
        <x:f>IF(G102&gt;=$O$6,"Yes","No")</x:f>
        <x:v>No</x:v>
      </x:c>
      <x:c r="D102" s="312" t="n">
        <x:f>'All Stats'!L85</x:f>
        <x:v>11.4099</x:v>
      </x:c>
      <x:c r="E102" s="312" t="n">
        <x:f>'All Stats'!M85</x:f>
        <x:v>12.397</x:v>
      </x:c>
      <x:c r="F102" s="312" t="n">
        <x:f>'All Stats'!O85</x:f>
        <x:v>-0.7525</x:v>
      </x:c>
      <x:c r="G102" s="312" t="n">
        <x:f>'All Stats'!Q85</x:f>
        <x:v>4.11</x:v>
      </x:c>
      <x:c r="H102" s="316" t="str">
        <x:f>IF(C102="Yes",100*((COUNTIFS($C$23:$C$189,"Yes",$D$23:$D$189,"&lt;"&amp;D102)+(COUNTIFS($C$23:$C$189,"Yes",$D$23:$D$189,D102)-1)/2)/($O$18-1))^$O$7,"")</x:f>
      </x:c>
      <x:c r="I102" s="316" t="str">
        <x:f>IF(C102="Yes",100*((COUNTIFS($C$23:$C$189,"Yes",$E$23:$E$189,"&lt;"&amp;E102)+(COUNTIFS($C$23:$C$189,"Yes",$E$23:$E$189,E102)-1)/2)/($O$18-1))^$O$7,"")</x:f>
      </x:c>
      <x:c r="J102" s="316" t="str">
        <x:f>IF(C102="Yes",100*((COUNTIFS($C$23:$C$189,"Yes",$F$23:$F$189,"&gt;"&amp;F102)+(COUNTIFS($C$23:$C$189,"Yes",$F$23:$F$189,F102)-1)/2)/($O$18-1))^$O$7,"")</x:f>
      </x:c>
      <x:c r="K102" s="316" t="str">
        <x:f>IF(C102="Yes",100*((COUNTIFS($C$23:$C$189,"Yes",$G$23:$G$189,"&lt;"&amp;G102)+(COUNTIFS($C$23:$C$189,"Yes",$G$23:$G$189,G102)-1)/2)/($O$18-1))^$O$7,"")</x:f>
      </x:c>
      <x:c r="L102" s="316" t="str">
        <x:f>IF(C102="Yes",AVERAGE(H102:K102),"")</x:f>
      </x:c>
      <x:c r="M102" s="317" t="str">
        <x:f>IF(C102="Yes",1+COUNTIFS($A$23:$A$189,A102,$C$23:$C$189,"Yes",$L$23:$L$189,"&gt;"&amp;L102),"")</x:f>
      </x:c>
    </x:row>
    <x:row r="103">
      <x:c r="A103" s="311" t="str">
        <x:f>'All Stats'!A86</x:f>
        <x:v>K138</x:v>
      </x:c>
      <x:c r="B103" s="311" t="str">
        <x:f>'All Stats'!B86</x:f>
        <x:v>(RaW)让世界沐浴在血中</x:v>
      </x:c>
      <x:c r="C103" s="315" t="str">
        <x:f>IF(G103&gt;=$O$6,"Yes","No")</x:f>
        <x:v>No</x:v>
      </x:c>
      <x:c r="D103" s="312" t="n">
        <x:f>'All Stats'!L86</x:f>
        <x:v>17.2042</x:v>
      </x:c>
      <x:c r="E103" s="312" t="n">
        <x:f>'All Stats'!M86</x:f>
        <x:v>10.0007</x:v>
      </x:c>
      <x:c r="F103" s="312" t="n">
        <x:f>'All Stats'!O86</x:f>
        <x:v>-1.47</x:v>
      </x:c>
      <x:c r="G103" s="312" t="n">
        <x:f>'All Stats'!Q86</x:f>
        <x:v>5.42</x:v>
      </x:c>
      <x:c r="H103" s="316" t="str">
        <x:f>IF(C103="Yes",100*((COUNTIFS($C$23:$C$189,"Yes",$D$23:$D$189,"&lt;"&amp;D103)+(COUNTIFS($C$23:$C$189,"Yes",$D$23:$D$189,D103)-1)/2)/($O$18-1))^$O$7,"")</x:f>
      </x:c>
      <x:c r="I103" s="316" t="str">
        <x:f>IF(C103="Yes",100*((COUNTIFS($C$23:$C$189,"Yes",$E$23:$E$189,"&lt;"&amp;E103)+(COUNTIFS($C$23:$C$189,"Yes",$E$23:$E$189,E103)-1)/2)/($O$18-1))^$O$7,"")</x:f>
      </x:c>
      <x:c r="J103" s="316" t="str">
        <x:f>IF(C103="Yes",100*((COUNTIFS($C$23:$C$189,"Yes",$F$23:$F$189,"&gt;"&amp;F103)+(COUNTIFS($C$23:$C$189,"Yes",$F$23:$F$189,F103)-1)/2)/($O$18-1))^$O$7,"")</x:f>
      </x:c>
      <x:c r="K103" s="316" t="str">
        <x:f>IF(C103="Yes",100*((COUNTIFS($C$23:$C$189,"Yes",$G$23:$G$189,"&lt;"&amp;G103)+(COUNTIFS($C$23:$C$189,"Yes",$G$23:$G$189,G103)-1)/2)/($O$18-1))^$O$7,"")</x:f>
      </x:c>
      <x:c r="L103" s="316" t="str">
        <x:f>IF(C103="Yes",AVERAGE(H103:K103),"")</x:f>
      </x:c>
      <x:c r="M103" s="317" t="str">
        <x:f>IF(C103="Yes",1+COUNTIFS($A$23:$A$189,A103,$C$23:$C$189,"Yes",$L$23:$L$189,"&gt;"&amp;L103),"")</x:f>
      </x:c>
    </x:row>
    <x:row r="104">
      <x:c r="A104" s="311" t="str">
        <x:f>'All Stats'!A87</x:f>
        <x:v>K138</x:v>
      </x:c>
      <x:c r="B104" s="311" t="str">
        <x:f>'All Stats'!B87</x:f>
        <x:v>(RaW)YAMI</x:v>
      </x:c>
      <x:c r="C104" s="315" t="str">
        <x:f>IF(G104&gt;=$O$6,"Yes","No")</x:f>
        <x:v>No</x:v>
      </x:c>
      <x:c r="D104" s="312" t="n">
        <x:f>'All Stats'!L87</x:f>
        <x:v>10.3657</x:v>
      </x:c>
      <x:c r="E104" s="312" t="n">
        <x:f>'All Stats'!M87</x:f>
        <x:v>12.1462</x:v>
      </x:c>
      <x:c r="F104" s="312" t="n">
        <x:f>'All Stats'!O87</x:f>
        <x:v>-0.5525</x:v>
      </x:c>
      <x:c r="G104" s="312" t="n">
        <x:f>'All Stats'!Q87</x:f>
        <x:v>5.46</x:v>
      </x:c>
      <x:c r="H104" s="316" t="str">
        <x:f>IF(C104="Yes",100*((COUNTIFS($C$23:$C$189,"Yes",$D$23:$D$189,"&lt;"&amp;D104)+(COUNTIFS($C$23:$C$189,"Yes",$D$23:$D$189,D104)-1)/2)/($O$18-1))^$O$7,"")</x:f>
      </x:c>
      <x:c r="I104" s="316" t="str">
        <x:f>IF(C104="Yes",100*((COUNTIFS($C$23:$C$189,"Yes",$E$23:$E$189,"&lt;"&amp;E104)+(COUNTIFS($C$23:$C$189,"Yes",$E$23:$E$189,E104)-1)/2)/($O$18-1))^$O$7,"")</x:f>
      </x:c>
      <x:c r="J104" s="316" t="str">
        <x:f>IF(C104="Yes",100*((COUNTIFS($C$23:$C$189,"Yes",$F$23:$F$189,"&gt;"&amp;F104)+(COUNTIFS($C$23:$C$189,"Yes",$F$23:$F$189,F104)-1)/2)/($O$18-1))^$O$7,"")</x:f>
      </x:c>
      <x:c r="K104" s="316" t="str">
        <x:f>IF(C104="Yes",100*((COUNTIFS($C$23:$C$189,"Yes",$G$23:$G$189,"&lt;"&amp;G104)+(COUNTIFS($C$23:$C$189,"Yes",$G$23:$G$189,G104)-1)/2)/($O$18-1))^$O$7,"")</x:f>
      </x:c>
      <x:c r="L104" s="316" t="str">
        <x:f>IF(C104="Yes",AVERAGE(H104:K104),"")</x:f>
      </x:c>
      <x:c r="M104" s="317" t="str">
        <x:f>IF(C104="Yes",1+COUNTIFS($A$23:$A$189,A104,$C$23:$C$189,"Yes",$L$23:$L$189,"&gt;"&amp;L104),"")</x:f>
      </x:c>
    </x:row>
    <x:row r="105">
      <x:c r="A105" s="311" t="str">
        <x:f>'All Stats'!A88</x:f>
        <x:v>K138</x:v>
      </x:c>
      <x:c r="B105" s="311" t="str">
        <x:f>'All Stats'!B88</x:f>
        <x:v>(RaW)༺ⓉⒶⓇⓉⒶⓇ༻</x:v>
      </x:c>
      <x:c r="C105" s="315" t="str">
        <x:f>IF(G105&gt;=$O$6,"Yes","No")</x:f>
        <x:v>No</x:v>
      </x:c>
      <x:c r="D105" s="312" t="n">
        <x:f>'All Stats'!L88</x:f>
        <x:v>17.56</x:v>
      </x:c>
      <x:c r="E105" s="312" t="n">
        <x:f>'All Stats'!M88</x:f>
        <x:v>11.9149</x:v>
      </x:c>
      <x:c r="F105" s="312" t="n">
        <x:f>'All Stats'!O88</x:f>
        <x:v>-1.5275</x:v>
      </x:c>
      <x:c r="G105" s="312" t="n">
        <x:f>'All Stats'!Q88</x:f>
        <x:v>3.89</x:v>
      </x:c>
      <x:c r="H105" s="316" t="str">
        <x:f>IF(C105="Yes",100*((COUNTIFS($C$23:$C$189,"Yes",$D$23:$D$189,"&lt;"&amp;D105)+(COUNTIFS($C$23:$C$189,"Yes",$D$23:$D$189,D105)-1)/2)/($O$18-1))^$O$7,"")</x:f>
      </x:c>
      <x:c r="I105" s="316" t="str">
        <x:f>IF(C105="Yes",100*((COUNTIFS($C$23:$C$189,"Yes",$E$23:$E$189,"&lt;"&amp;E105)+(COUNTIFS($C$23:$C$189,"Yes",$E$23:$E$189,E105)-1)/2)/($O$18-1))^$O$7,"")</x:f>
      </x:c>
      <x:c r="J105" s="316" t="str">
        <x:f>IF(C105="Yes",100*((COUNTIFS($C$23:$C$189,"Yes",$F$23:$F$189,"&gt;"&amp;F105)+(COUNTIFS($C$23:$C$189,"Yes",$F$23:$F$189,F105)-1)/2)/($O$18-1))^$O$7,"")</x:f>
      </x:c>
      <x:c r="K105" s="316" t="str">
        <x:f>IF(C105="Yes",100*((COUNTIFS($C$23:$C$189,"Yes",$G$23:$G$189,"&lt;"&amp;G105)+(COUNTIFS($C$23:$C$189,"Yes",$G$23:$G$189,G105)-1)/2)/($O$18-1))^$O$7,"")</x:f>
      </x:c>
      <x:c r="L105" s="316" t="str">
        <x:f>IF(C105="Yes",AVERAGE(H105:K105),"")</x:f>
      </x:c>
      <x:c r="M105" s="317" t="str">
        <x:f>IF(C105="Yes",1+COUNTIFS($A$23:$A$189,A105,$C$23:$C$189,"Yes",$L$23:$L$189,"&gt;"&amp;L105),"")</x:f>
      </x:c>
    </x:row>
    <x:row r="106">
      <x:c r="A106" s="311" t="str">
        <x:f>'All Stats'!A89</x:f>
        <x:v>K138</x:v>
      </x:c>
      <x:c r="B106" s="311" t="str">
        <x:f>'All Stats'!B89</x:f>
        <x:v>(RaW)PPP_253</x:v>
      </x:c>
      <x:c r="C106" s="315" t="str">
        <x:f>IF(G106&gt;=$O$6,"Yes","No")</x:f>
        <x:v>No</x:v>
      </x:c>
      <x:c r="D106" s="312" t="n">
        <x:f>'All Stats'!L89</x:f>
        <x:v>16.9404</x:v>
      </x:c>
      <x:c r="E106" s="312" t="n">
        <x:f>'All Stats'!M89</x:f>
        <x:v>12.285</x:v>
      </x:c>
      <x:c r="F106" s="312" t="n">
        <x:f>'All Stats'!O89</x:f>
        <x:v>-1.5775</x:v>
      </x:c>
      <x:c r="G106" s="312" t="n">
        <x:f>'All Stats'!Q89</x:f>
        <x:v>1.82</x:v>
      </x:c>
      <x:c r="H106" s="316" t="str">
        <x:f>IF(C106="Yes",100*((COUNTIFS($C$23:$C$189,"Yes",$D$23:$D$189,"&lt;"&amp;D106)+(COUNTIFS($C$23:$C$189,"Yes",$D$23:$D$189,D106)-1)/2)/($O$18-1))^$O$7,"")</x:f>
      </x:c>
      <x:c r="I106" s="316" t="str">
        <x:f>IF(C106="Yes",100*((COUNTIFS($C$23:$C$189,"Yes",$E$23:$E$189,"&lt;"&amp;E106)+(COUNTIFS($C$23:$C$189,"Yes",$E$23:$E$189,E106)-1)/2)/($O$18-1))^$O$7,"")</x:f>
      </x:c>
      <x:c r="J106" s="316" t="str">
        <x:f>IF(C106="Yes",100*((COUNTIFS($C$23:$C$189,"Yes",$F$23:$F$189,"&gt;"&amp;F106)+(COUNTIFS($C$23:$C$189,"Yes",$F$23:$F$189,F106)-1)/2)/($O$18-1))^$O$7,"")</x:f>
      </x:c>
      <x:c r="K106" s="316" t="str">
        <x:f>IF(C106="Yes",100*((COUNTIFS($C$23:$C$189,"Yes",$G$23:$G$189,"&lt;"&amp;G106)+(COUNTIFS($C$23:$C$189,"Yes",$G$23:$G$189,G106)-1)/2)/($O$18-1))^$O$7,"")</x:f>
      </x:c>
      <x:c r="L106" s="316" t="str">
        <x:f>IF(C106="Yes",AVERAGE(H106:K106),"")</x:f>
      </x:c>
      <x:c r="M106" s="317" t="str">
        <x:f>IF(C106="Yes",1+COUNTIFS($A$23:$A$189,A106,$C$23:$C$189,"Yes",$L$23:$L$189,"&gt;"&amp;L106),"")</x:f>
      </x:c>
    </x:row>
    <x:row r="107">
      <x:c r="A107" s="311" t="str">
        <x:f>'All Stats'!A90</x:f>
        <x:v>K138</x:v>
      </x:c>
      <x:c r="B107" s="311" t="str">
        <x:f>'All Stats'!B90</x:f>
        <x:v>(RaW)GoŁΛ</x:v>
      </x:c>
      <x:c r="C107" s="315" t="str">
        <x:f>IF(G107&gt;=$O$6,"Yes","No")</x:f>
        <x:v>No</x:v>
      </x:c>
      <x:c r="D107" s="312" t="n">
        <x:f>'All Stats'!L90</x:f>
        <x:v>13.3162</x:v>
      </x:c>
      <x:c r="E107" s="312" t="n">
        <x:f>'All Stats'!M90</x:f>
        <x:v>10.9707</x:v>
      </x:c>
      <x:c r="F107" s="312" t="n">
        <x:f>'All Stats'!O90</x:f>
        <x:v>-0.585</x:v>
      </x:c>
      <x:c r="G107" s="312" t="n">
        <x:f>'All Stats'!Q90</x:f>
        <x:v>2.15</x:v>
      </x:c>
      <x:c r="H107" s="316" t="str">
        <x:f>IF(C107="Yes",100*((COUNTIFS($C$23:$C$189,"Yes",$D$23:$D$189,"&lt;"&amp;D107)+(COUNTIFS($C$23:$C$189,"Yes",$D$23:$D$189,D107)-1)/2)/($O$18-1))^$O$7,"")</x:f>
      </x:c>
      <x:c r="I107" s="316" t="str">
        <x:f>IF(C107="Yes",100*((COUNTIFS($C$23:$C$189,"Yes",$E$23:$E$189,"&lt;"&amp;E107)+(COUNTIFS($C$23:$C$189,"Yes",$E$23:$E$189,E107)-1)/2)/($O$18-1))^$O$7,"")</x:f>
      </x:c>
      <x:c r="J107" s="316" t="str">
        <x:f>IF(C107="Yes",100*((COUNTIFS($C$23:$C$189,"Yes",$F$23:$F$189,"&gt;"&amp;F107)+(COUNTIFS($C$23:$C$189,"Yes",$F$23:$F$189,F107)-1)/2)/($O$18-1))^$O$7,"")</x:f>
      </x:c>
      <x:c r="K107" s="316" t="str">
        <x:f>IF(C107="Yes",100*((COUNTIFS($C$23:$C$189,"Yes",$G$23:$G$189,"&lt;"&amp;G107)+(COUNTIFS($C$23:$C$189,"Yes",$G$23:$G$189,G107)-1)/2)/($O$18-1))^$O$7,"")</x:f>
      </x:c>
      <x:c r="L107" s="316" t="str">
        <x:f>IF(C107="Yes",AVERAGE(H107:K107),"")</x:f>
      </x:c>
      <x:c r="M107" s="317" t="str">
        <x:f>IF(C107="Yes",1+COUNTIFS($A$23:$A$189,A107,$C$23:$C$189,"Yes",$L$23:$L$189,"&gt;"&amp;L107),"")</x:f>
      </x:c>
    </x:row>
    <x:row r="108">
      <x:c r="A108" s="311" t="str">
        <x:f>'All Stats'!A91</x:f>
        <x:v>K138</x:v>
      </x:c>
      <x:c r="B108" s="311" t="str">
        <x:f>'All Stats'!B91</x:f>
        <x:v>(RaW)Baqi</x:v>
      </x:c>
      <x:c r="C108" s="315" t="str">
        <x:f>IF(G108&gt;=$O$6,"Yes","No")</x:f>
        <x:v>No</x:v>
      </x:c>
      <x:c r="D108" s="312" t="n">
        <x:f>'All Stats'!L91</x:f>
        <x:v>16.29</x:v>
      </x:c>
      <x:c r="E108" s="312" t="n">
        <x:f>'All Stats'!M91</x:f>
        <x:v>12.1449</x:v>
      </x:c>
      <x:c r="F108" s="312" t="n">
        <x:f>'All Stats'!O91</x:f>
        <x:v>-1.625</x:v>
      </x:c>
      <x:c r="G108" s="312" t="n">
        <x:f>'All Stats'!Q91</x:f>
        <x:v>3.21</x:v>
      </x:c>
      <x:c r="H108" s="316" t="str">
        <x:f>IF(C108="Yes",100*((COUNTIFS($C$23:$C$189,"Yes",$D$23:$D$189,"&lt;"&amp;D108)+(COUNTIFS($C$23:$C$189,"Yes",$D$23:$D$189,D108)-1)/2)/($O$18-1))^$O$7,"")</x:f>
      </x:c>
      <x:c r="I108" s="316" t="str">
        <x:f>IF(C108="Yes",100*((COUNTIFS($C$23:$C$189,"Yes",$E$23:$E$189,"&lt;"&amp;E108)+(COUNTIFS($C$23:$C$189,"Yes",$E$23:$E$189,E108)-1)/2)/($O$18-1))^$O$7,"")</x:f>
      </x:c>
      <x:c r="J108" s="316" t="str">
        <x:f>IF(C108="Yes",100*((COUNTIFS($C$23:$C$189,"Yes",$F$23:$F$189,"&gt;"&amp;F108)+(COUNTIFS($C$23:$C$189,"Yes",$F$23:$F$189,F108)-1)/2)/($O$18-1))^$O$7,"")</x:f>
      </x:c>
      <x:c r="K108" s="316" t="str">
        <x:f>IF(C108="Yes",100*((COUNTIFS($C$23:$C$189,"Yes",$G$23:$G$189,"&lt;"&amp;G108)+(COUNTIFS($C$23:$C$189,"Yes",$G$23:$G$189,G108)-1)/2)/($O$18-1))^$O$7,"")</x:f>
      </x:c>
      <x:c r="L108" s="316" t="str">
        <x:f>IF(C108="Yes",AVERAGE(H108:K108),"")</x:f>
      </x:c>
      <x:c r="M108" s="317" t="str">
        <x:f>IF(C108="Yes",1+COUNTIFS($A$23:$A$189,A108,$C$23:$C$189,"Yes",$L$23:$L$189,"&gt;"&amp;L108),"")</x:f>
      </x:c>
    </x:row>
    <x:row r="109">
      <x:c r="A109" s="311" t="str">
        <x:f>'All Stats'!A92</x:f>
        <x:v>K138</x:v>
      </x:c>
      <x:c r="B109" s="311" t="str">
        <x:f>'All Stats'!B92</x:f>
        <x:v>(RaW)༺飞K༻</x:v>
      </x:c>
      <x:c r="C109" s="315" t="str">
        <x:f>IF(G109&gt;=$O$6,"Yes","No")</x:f>
        <x:v>No</x:v>
      </x:c>
      <x:c r="D109" s="312" t="n">
        <x:f>'All Stats'!L92</x:f>
        <x:v>15.5704</x:v>
      </x:c>
      <x:c r="E109" s="312" t="n">
        <x:f>'All Stats'!M92</x:f>
        <x:v>10.4157</x:v>
      </x:c>
      <x:c r="F109" s="312" t="n">
        <x:f>'All Stats'!O92</x:f>
        <x:v>-0.64</x:v>
      </x:c>
      <x:c r="G109" s="312" t="n">
        <x:f>'All Stats'!Q92</x:f>
        <x:v>3.01</x:v>
      </x:c>
      <x:c r="H109" s="316" t="str">
        <x:f>IF(C109="Yes",100*((COUNTIFS($C$23:$C$189,"Yes",$D$23:$D$189,"&lt;"&amp;D109)+(COUNTIFS($C$23:$C$189,"Yes",$D$23:$D$189,D109)-1)/2)/($O$18-1))^$O$7,"")</x:f>
      </x:c>
      <x:c r="I109" s="316" t="str">
        <x:f>IF(C109="Yes",100*((COUNTIFS($C$23:$C$189,"Yes",$E$23:$E$189,"&lt;"&amp;E109)+(COUNTIFS($C$23:$C$189,"Yes",$E$23:$E$189,E109)-1)/2)/($O$18-1))^$O$7,"")</x:f>
      </x:c>
      <x:c r="J109" s="316" t="str">
        <x:f>IF(C109="Yes",100*((COUNTIFS($C$23:$C$189,"Yes",$F$23:$F$189,"&gt;"&amp;F109)+(COUNTIFS($C$23:$C$189,"Yes",$F$23:$F$189,F109)-1)/2)/($O$18-1))^$O$7,"")</x:f>
      </x:c>
      <x:c r="K109" s="316" t="str">
        <x:f>IF(C109="Yes",100*((COUNTIFS($C$23:$C$189,"Yes",$G$23:$G$189,"&lt;"&amp;G109)+(COUNTIFS($C$23:$C$189,"Yes",$G$23:$G$189,G109)-1)/2)/($O$18-1))^$O$7,"")</x:f>
      </x:c>
      <x:c r="L109" s="316" t="str">
        <x:f>IF(C109="Yes",AVERAGE(H109:K109),"")</x:f>
      </x:c>
      <x:c r="M109" s="317" t="str">
        <x:f>IF(C109="Yes",1+COUNTIFS($A$23:$A$189,A109,$C$23:$C$189,"Yes",$L$23:$L$189,"&gt;"&amp;L109),"")</x:f>
      </x:c>
    </x:row>
    <x:row r="110">
      <x:c r="A110" s="311" t="str">
        <x:f>'All Stats'!A93</x:f>
        <x:v>K138</x:v>
      </x:c>
      <x:c r="B110" s="311" t="str">
        <x:f>'All Stats'!B93</x:f>
        <x:v>(RaW)ϟCrozyϟ</x:v>
      </x:c>
      <x:c r="C110" s="315" t="str">
        <x:f>IF(G110&gt;=$O$6,"Yes","No")</x:f>
        <x:v>Yes</x:v>
      </x:c>
      <x:c r="D110" s="312" t="n">
        <x:f>'All Stats'!L93</x:f>
        <x:v>25.6092</x:v>
      </x:c>
      <x:c r="E110" s="312" t="n">
        <x:f>'All Stats'!M93</x:f>
        <x:v>19.3099</x:v>
      </x:c>
      <x:c r="F110" s="312" t="n">
        <x:f>'All Stats'!O93</x:f>
        <x:v>-2.16</x:v>
      </x:c>
      <x:c r="G110" s="312" t="n">
        <x:f>'All Stats'!Q93</x:f>
        <x:v>7</x:v>
      </x:c>
      <x:c r="H110" s="316" t="n">
        <x:f>IF(C110="Yes",100*((COUNTIFS($C$23:$C$189,"Yes",$D$23:$D$189,"&lt;"&amp;D110)+(COUNTIFS($C$23:$C$189,"Yes",$D$23:$D$189,D110)-1)/2)/($O$18-1))^$O$7,"")</x:f>
        <x:v>59.311751459914575</x:v>
      </x:c>
      <x:c r="I110" s="316" t="n">
        <x:f>IF(C110="Yes",100*((COUNTIFS($C$23:$C$189,"Yes",$E$23:$E$189,"&lt;"&amp;E110)+(COUNTIFS($C$23:$C$189,"Yes",$E$23:$E$189,E110)-1)/2)/($O$18-1))^$O$7,"")</x:f>
        <x:v>63.89791816325506</x:v>
      </x:c>
      <x:c r="J110" s="316" t="n">
        <x:f>IF(C110="Yes",100*((COUNTIFS($C$23:$C$189,"Yes",$F$23:$F$189,"&gt;"&amp;F110)+(COUNTIFS($C$23:$C$189,"Yes",$F$23:$F$189,F110)-1)/2)/($O$18-1))^$O$7,"")</x:f>
        <x:v>71.04971685804692</x:v>
      </x:c>
      <x:c r="K110" s="316" t="n">
        <x:f>IF(C110="Yes",100*((COUNTIFS($C$23:$C$189,"Yes",$G$23:$G$189,"&lt;"&amp;G110)+(COUNTIFS($C$23:$C$189,"Yes",$G$23:$G$189,G110)-1)/2)/($O$18-1))^$O$7,"")</x:f>
        <x:v>17.63348920985086</x:v>
      </x:c>
      <x:c r="L110" s="316" t="n">
        <x:f>IF(C110="Yes",AVERAGE(H110:K110),"")</x:f>
        <x:v>52.973218922766854</x:v>
      </x:c>
      <x:c r="M110" s="317" t="n">
        <x:f>IF(C110="Yes",1+COUNTIFS($A$23:$A$189,A110,$C$23:$C$189,"Yes",$L$23:$L$189,"&gt;"&amp;L110),"")</x:f>
        <x:v>1</x:v>
      </x:c>
    </x:row>
    <x:row r="111">
      <x:c r="A111" s="311" t="str">
        <x:f>'All Stats'!A94</x:f>
        <x:v>K170</x:v>
      </x:c>
      <x:c r="B111" s="311" t="str">
        <x:f>'All Stats'!B94</x:f>
        <x:v>(AOT)SanSW°</x:v>
      </x:c>
      <x:c r="C111" s="315" t="str">
        <x:f>IF(G111&gt;=$O$6,"Yes","No")</x:f>
        <x:v>Yes</x:v>
      </x:c>
      <x:c r="D111" s="312" t="n">
        <x:f>'All Stats'!L94</x:f>
        <x:v>28.4105</x:v>
      </x:c>
      <x:c r="E111" s="312" t="n">
        <x:f>'All Stats'!M94</x:f>
        <x:v>16.6407</x:v>
      </x:c>
      <x:c r="F111" s="312" t="n">
        <x:f>'All Stats'!O94</x:f>
        <x:v>-2.115</x:v>
      </x:c>
      <x:c r="G111" s="312" t="n">
        <x:f>'All Stats'!Q94</x:f>
        <x:v>7</x:v>
      </x:c>
      <x:c r="H111" s="316" t="n">
        <x:f>IF(C111="Yes",100*((COUNTIFS($C$23:$C$189,"Yes",$D$23:$D$189,"&lt;"&amp;D111)+(COUNTIFS($C$23:$C$189,"Yes",$D$23:$D$189,D111)-1)/2)/($O$18-1))^$O$7,"")</x:f>
        <x:v>88.98432944835876</x:v>
      </x:c>
      <x:c r="I111" s="316" t="n">
        <x:f>IF(C111="Yes",100*((COUNTIFS($C$23:$C$189,"Yes",$E$23:$E$189,"&lt;"&amp;E111)+(COUNTIFS($C$23:$C$189,"Yes",$E$23:$E$189,E111)-1)/2)/($O$18-1))^$O$7,"")</x:f>
        <x:v>42.455683540726014</x:v>
      </x:c>
      <x:c r="J111" s="316" t="n">
        <x:f>IF(C111="Yes",100*((COUNTIFS($C$23:$C$189,"Yes",$F$23:$F$189,"&gt;"&amp;F111)+(COUNTIFS($C$23:$C$189,"Yes",$F$23:$F$189,F111)-1)/2)/($O$18-1))^$O$7,"")</x:f>
        <x:v>63.89791816325506</x:v>
      </x:c>
      <x:c r="K111" s="316" t="n">
        <x:f>IF(C111="Yes",100*((COUNTIFS($C$23:$C$189,"Yes",$G$23:$G$189,"&lt;"&amp;G111)+(COUNTIFS($C$23:$C$189,"Yes",$G$23:$G$189,G111)-1)/2)/($O$18-1))^$O$7,"")</x:f>
        <x:v>17.63348920985086</x:v>
      </x:c>
      <x:c r="L111" s="316" t="n">
        <x:f>IF(C111="Yes",AVERAGE(H111:K111),"")</x:f>
        <x:v>53.24285509054768</x:v>
      </x:c>
      <x:c r="M111" s="317" t="n">
        <x:f>IF(C111="Yes",1+COUNTIFS($A$23:$A$189,A111,$C$23:$C$189,"Yes",$L$23:$L$189,"&gt;"&amp;L111),"")</x:f>
        <x:v>1</x:v>
      </x:c>
    </x:row>
    <x:row r="112">
      <x:c r="A112" s="311" t="str">
        <x:f>'All Stats'!A95</x:f>
        <x:v>K170</x:v>
      </x:c>
      <x:c r="B112" s="311" t="str">
        <x:f>'All Stats'!B95</x:f>
        <x:v>(AOT)Fenixx</x:v>
      </x:c>
      <x:c r="C112" s="315" t="str">
        <x:f>IF(G112&gt;=$O$6,"Yes","No")</x:f>
        <x:v>No</x:v>
      </x:c>
      <x:c r="D112" s="312" t="n">
        <x:f>'All Stats'!L95</x:f>
        <x:v>7.5657</x:v>
      </x:c>
      <x:c r="E112" s="312" t="n">
        <x:f>'All Stats'!M95</x:f>
        <x:v>11.5412</x:v>
      </x:c>
      <x:c r="F112" s="312" t="n">
        <x:f>'All Stats'!O95</x:f>
        <x:v>-0.64</x:v>
      </x:c>
      <x:c r="G112" s="312" t="n">
        <x:f>'All Stats'!Q95</x:f>
        <x:v>4.55</x:v>
      </x:c>
      <x:c r="H112" s="316" t="str">
        <x:f>IF(C112="Yes",100*((COUNTIFS($C$23:$C$189,"Yes",$D$23:$D$189,"&lt;"&amp;D112)+(COUNTIFS($C$23:$C$189,"Yes",$D$23:$D$189,D112)-1)/2)/($O$18-1))^$O$7,"")</x:f>
      </x:c>
      <x:c r="I112" s="316" t="str">
        <x:f>IF(C112="Yes",100*((COUNTIFS($C$23:$C$189,"Yes",$E$23:$E$189,"&lt;"&amp;E112)+(COUNTIFS($C$23:$C$189,"Yes",$E$23:$E$189,E112)-1)/2)/($O$18-1))^$O$7,"")</x:f>
      </x:c>
      <x:c r="J112" s="316" t="str">
        <x:f>IF(C112="Yes",100*((COUNTIFS($C$23:$C$189,"Yes",$F$23:$F$189,"&gt;"&amp;F112)+(COUNTIFS($C$23:$C$189,"Yes",$F$23:$F$189,F112)-1)/2)/($O$18-1))^$O$7,"")</x:f>
      </x:c>
      <x:c r="K112" s="316" t="str">
        <x:f>IF(C112="Yes",100*((COUNTIFS($C$23:$C$189,"Yes",$G$23:$G$189,"&lt;"&amp;G112)+(COUNTIFS($C$23:$C$189,"Yes",$G$23:$G$189,G112)-1)/2)/($O$18-1))^$O$7,"")</x:f>
      </x:c>
      <x:c r="L112" s="316" t="str">
        <x:f>IF(C112="Yes",AVERAGE(H112:K112),"")</x:f>
      </x:c>
      <x:c r="M112" s="317" t="str">
        <x:f>IF(C112="Yes",1+COUNTIFS($A$23:$A$189,A112,$C$23:$C$189,"Yes",$L$23:$L$189,"&gt;"&amp;L112),"")</x:f>
      </x:c>
    </x:row>
    <x:row r="113">
      <x:c r="A113" s="311" t="str">
        <x:f>'All Stats'!A96</x:f>
        <x:v>K170</x:v>
      </x:c>
      <x:c r="B113" s="311" t="str">
        <x:f>'All Stats'!B96</x:f>
        <x:v>(AOT)D®a©o</x:v>
      </x:c>
      <x:c r="C113" s="315" t="str">
        <x:f>IF(G113&gt;=$O$6,"Yes","No")</x:f>
        <x:v>No</x:v>
      </x:c>
      <x:c r="D113" s="312" t="n">
        <x:f>'All Stats'!L96</x:f>
        <x:v>8.9857</x:v>
      </x:c>
      <x:c r="E113" s="312" t="n">
        <x:f>'All Stats'!M96</x:f>
        <x:v>12.5412</x:v>
      </x:c>
      <x:c r="F113" s="312" t="n">
        <x:f>'All Stats'!O96</x:f>
        <x:v>-0.71</x:v>
      </x:c>
      <x:c r="G113" s="312" t="n">
        <x:f>'All Stats'!Q96</x:f>
        <x:v>3.83</x:v>
      </x:c>
      <x:c r="H113" s="316" t="str">
        <x:f>IF(C113="Yes",100*((COUNTIFS($C$23:$C$189,"Yes",$D$23:$D$189,"&lt;"&amp;D113)+(COUNTIFS($C$23:$C$189,"Yes",$D$23:$D$189,D113)-1)/2)/($O$18-1))^$O$7,"")</x:f>
      </x:c>
      <x:c r="I113" s="316" t="str">
        <x:f>IF(C113="Yes",100*((COUNTIFS($C$23:$C$189,"Yes",$E$23:$E$189,"&lt;"&amp;E113)+(COUNTIFS($C$23:$C$189,"Yes",$E$23:$E$189,E113)-1)/2)/($O$18-1))^$O$7,"")</x:f>
      </x:c>
      <x:c r="J113" s="316" t="str">
        <x:f>IF(C113="Yes",100*((COUNTIFS($C$23:$C$189,"Yes",$F$23:$F$189,"&gt;"&amp;F113)+(COUNTIFS($C$23:$C$189,"Yes",$F$23:$F$189,F113)-1)/2)/($O$18-1))^$O$7,"")</x:f>
      </x:c>
      <x:c r="K113" s="316" t="str">
        <x:f>IF(C113="Yes",100*((COUNTIFS($C$23:$C$189,"Yes",$G$23:$G$189,"&lt;"&amp;G113)+(COUNTIFS($C$23:$C$189,"Yes",$G$23:$G$189,G113)-1)/2)/($O$18-1))^$O$7,"")</x:f>
      </x:c>
      <x:c r="L113" s="316" t="str">
        <x:f>IF(C113="Yes",AVERAGE(H113:K113),"")</x:f>
      </x:c>
      <x:c r="M113" s="317" t="str">
        <x:f>IF(C113="Yes",1+COUNTIFS($A$23:$A$189,A113,$C$23:$C$189,"Yes",$L$23:$L$189,"&gt;"&amp;L113),"")</x:f>
      </x:c>
    </x:row>
    <x:row r="114">
      <x:c r="A114" s="311" t="str">
        <x:f>'All Stats'!A97</x:f>
        <x:v>K170</x:v>
      </x:c>
      <x:c r="B114" s="311" t="str">
        <x:f>'All Stats'!B97</x:f>
        <x:v>(AOT)Themechanic</x:v>
      </x:c>
      <x:c r="C114" s="315" t="str">
        <x:f>IF(G114&gt;=$O$6,"Yes","No")</x:f>
        <x:v>No</x:v>
      </x:c>
      <x:c r="D114" s="312" t="n">
        <x:f>'All Stats'!L97</x:f>
        <x:v>12.722</x:v>
      </x:c>
      <x:c r="E114" s="312" t="n">
        <x:f>'All Stats'!M97</x:f>
        <x:v>10.9149</x:v>
      </x:c>
      <x:c r="F114" s="312" t="n">
        <x:f>'All Stats'!O97</x:f>
        <x:v>-1.515</x:v>
      </x:c>
      <x:c r="G114" s="312" t="n">
        <x:f>'All Stats'!Q97</x:f>
        <x:v>3.09</x:v>
      </x:c>
      <x:c r="H114" s="316" t="str">
        <x:f>IF(C114="Yes",100*((COUNTIFS($C$23:$C$189,"Yes",$D$23:$D$189,"&lt;"&amp;D114)+(COUNTIFS($C$23:$C$189,"Yes",$D$23:$D$189,D114)-1)/2)/($O$18-1))^$O$7,"")</x:f>
      </x:c>
      <x:c r="I114" s="316" t="str">
        <x:f>IF(C114="Yes",100*((COUNTIFS($C$23:$C$189,"Yes",$E$23:$E$189,"&lt;"&amp;E114)+(COUNTIFS($C$23:$C$189,"Yes",$E$23:$E$189,E114)-1)/2)/($O$18-1))^$O$7,"")</x:f>
      </x:c>
      <x:c r="J114" s="316" t="str">
        <x:f>IF(C114="Yes",100*((COUNTIFS($C$23:$C$189,"Yes",$F$23:$F$189,"&gt;"&amp;F114)+(COUNTIFS($C$23:$C$189,"Yes",$F$23:$F$189,F114)-1)/2)/($O$18-1))^$O$7,"")</x:f>
      </x:c>
      <x:c r="K114" s="316" t="str">
        <x:f>IF(C114="Yes",100*((COUNTIFS($C$23:$C$189,"Yes",$G$23:$G$189,"&lt;"&amp;G114)+(COUNTIFS($C$23:$C$189,"Yes",$G$23:$G$189,G114)-1)/2)/($O$18-1))^$O$7,"")</x:f>
      </x:c>
      <x:c r="L114" s="316" t="str">
        <x:f>IF(C114="Yes",AVERAGE(H114:K114),"")</x:f>
      </x:c>
      <x:c r="M114" s="317" t="str">
        <x:f>IF(C114="Yes",1+COUNTIFS($A$23:$A$189,A114,$C$23:$C$189,"Yes",$L$23:$L$189,"&gt;"&amp;L114),"")</x:f>
      </x:c>
    </x:row>
    <x:row r="115">
      <x:c r="A115" s="311" t="str">
        <x:f>'All Stats'!A98</x:f>
        <x:v>K170</x:v>
      </x:c>
      <x:c r="B115" s="311" t="str">
        <x:f>'All Stats'!B98</x:f>
        <x:v>(AOT)Aauudd</x:v>
      </x:c>
      <x:c r="C115" s="315" t="str">
        <x:f>IF(G115&gt;=$O$6,"Yes","No")</x:f>
        <x:v>Yes</x:v>
      </x:c>
      <x:c r="D115" s="312" t="n">
        <x:f>'All Stats'!L98</x:f>
        <x:v>16.722</x:v>
      </x:c>
      <x:c r="E115" s="312" t="n">
        <x:f>'All Stats'!M98</x:f>
        <x:v>16.5349</x:v>
      </x:c>
      <x:c r="F115" s="312" t="n">
        <x:f>'All Stats'!O98</x:f>
        <x:v>-1.6675</x:v>
      </x:c>
      <x:c r="G115" s="312" t="n">
        <x:f>'All Stats'!Q98</x:f>
        <x:v>7</x:v>
      </x:c>
      <x:c r="H115" s="316" t="n">
        <x:f>IF(C115="Yes",100*((COUNTIFS($C$23:$C$189,"Yes",$D$23:$D$189,"&lt;"&amp;D115)+(COUNTIFS($C$23:$C$189,"Yes",$D$23:$D$189,D115)-1)/2)/($O$18-1))^$O$7,"")</x:f>
        <x:v>1.6791103226767623</x:v>
      </x:c>
      <x:c r="I115" s="316" t="n">
        <x:f>IF(C115="Yes",100*((COUNTIFS($C$23:$C$189,"Yes",$E$23:$E$189,"&lt;"&amp;E115)+(COUNTIFS($C$23:$C$189,"Yes",$E$23:$E$189,E115)-1)/2)/($O$18-1))^$O$7,"")</x:f>
        <x:v>38.622814629949836</x:v>
      </x:c>
      <x:c r="J115" s="316" t="n">
        <x:f>IF(C115="Yes",100*((COUNTIFS($C$23:$C$189,"Yes",$F$23:$F$189,"&gt;"&amp;F115)+(COUNTIFS($C$23:$C$189,"Yes",$F$23:$F$189,F115)-1)/2)/($O$18-1))^$O$7,"")</x:f>
        <x:v>10.38963177605646</x:v>
      </x:c>
      <x:c r="K115" s="316" t="n">
        <x:f>IF(C115="Yes",100*((COUNTIFS($C$23:$C$189,"Yes",$G$23:$G$189,"&lt;"&amp;G115)+(COUNTIFS($C$23:$C$189,"Yes",$G$23:$G$189,G115)-1)/2)/($O$18-1))^$O$7,"")</x:f>
        <x:v>17.63348920985086</x:v>
      </x:c>
      <x:c r="L115" s="316" t="n">
        <x:f>IF(C115="Yes",AVERAGE(H115:K115),"")</x:f>
        <x:v>17.08126148463348</x:v>
      </x:c>
      <x:c r="M115" s="317" t="n">
        <x:f>IF(C115="Yes",1+COUNTIFS($A$23:$A$189,A115,$C$23:$C$189,"Yes",$L$23:$L$189,"&gt;"&amp;L115),"")</x:f>
        <x:v>2</x:v>
      </x:c>
    </x:row>
    <x:row r="116">
      <x:c r="A116" s="311" t="str">
        <x:f>'All Stats'!A99</x:f>
        <x:v>K170</x:v>
      </x:c>
      <x:c r="B116" s="311" t="str">
        <x:f>'All Stats'!B99</x:f>
        <x:v>(AOT)Brauni°</x:v>
      </x:c>
      <x:c r="C116" s="315" t="str">
        <x:f>IF(G116&gt;=$O$6,"Yes","No")</x:f>
        <x:v>No</x:v>
      </x:c>
      <x:c r="D116" s="312" t="n">
        <x:f>'All Stats'!L99</x:f>
        <x:v>9.9957</x:v>
      </x:c>
      <x:c r="E116" s="312" t="n">
        <x:f>'All Stats'!M99</x:f>
        <x:v>13.1312</x:v>
      </x:c>
      <x:c r="F116" s="312" t="n">
        <x:f>'All Stats'!O99</x:f>
        <x:v>-1.34</x:v>
      </x:c>
      <x:c r="G116" s="312" t="n">
        <x:f>'All Stats'!Q99</x:f>
        <x:v>1.45</x:v>
      </x:c>
      <x:c r="H116" s="316" t="str">
        <x:f>IF(C116="Yes",100*((COUNTIFS($C$23:$C$189,"Yes",$D$23:$D$189,"&lt;"&amp;D116)+(COUNTIFS($C$23:$C$189,"Yes",$D$23:$D$189,D116)-1)/2)/($O$18-1))^$O$7,"")</x:f>
      </x:c>
      <x:c r="I116" s="316" t="str">
        <x:f>IF(C116="Yes",100*((COUNTIFS($C$23:$C$189,"Yes",$E$23:$E$189,"&lt;"&amp;E116)+(COUNTIFS($C$23:$C$189,"Yes",$E$23:$E$189,E116)-1)/2)/($O$18-1))^$O$7,"")</x:f>
      </x:c>
      <x:c r="J116" s="316" t="str">
        <x:f>IF(C116="Yes",100*((COUNTIFS($C$23:$C$189,"Yes",$F$23:$F$189,"&gt;"&amp;F116)+(COUNTIFS($C$23:$C$189,"Yes",$F$23:$F$189,F116)-1)/2)/($O$18-1))^$O$7,"")</x:f>
      </x:c>
      <x:c r="K116" s="316" t="str">
        <x:f>IF(C116="Yes",100*((COUNTIFS($C$23:$C$189,"Yes",$G$23:$G$189,"&lt;"&amp;G116)+(COUNTIFS($C$23:$C$189,"Yes",$G$23:$G$189,G116)-1)/2)/($O$18-1))^$O$7,"")</x:f>
      </x:c>
      <x:c r="L116" s="316" t="str">
        <x:f>IF(C116="Yes",AVERAGE(H116:K116),"")</x:f>
      </x:c>
      <x:c r="M116" s="317" t="str">
        <x:f>IF(C116="Yes",1+COUNTIFS($A$23:$A$189,A116,$C$23:$C$189,"Yes",$L$23:$L$189,"&gt;"&amp;L116),"")</x:f>
      </x:c>
    </x:row>
    <x:row r="117">
      <x:c r="A117" s="311" t="str">
        <x:f>'All Stats'!A100</x:f>
        <x:v>K170</x:v>
      </x:c>
      <x:c r="B117" s="311" t="str">
        <x:f>'All Stats'!B100</x:f>
        <x:v>(AOT)Kelley</x:v>
      </x:c>
      <x:c r="C117" s="315" t="str">
        <x:f>IF(G117&gt;=$O$6,"Yes","No")</x:f>
        <x:v>No</x:v>
      </x:c>
      <x:c r="D117" s="312" t="n">
        <x:f>'All Stats'!L100</x:f>
        <x:v>15.202</x:v>
      </x:c>
      <x:c r="E117" s="312" t="n">
        <x:f>'All Stats'!M100</x:f>
        <x:v>13.0549</x:v>
      </x:c>
      <x:c r="F117" s="312" t="n">
        <x:f>'All Stats'!O100</x:f>
        <x:v>-1.4475</x:v>
      </x:c>
      <x:c r="G117" s="312" t="n">
        <x:f>'All Stats'!Q100</x:f>
        <x:v>5.09</x:v>
      </x:c>
      <x:c r="H117" s="316" t="str">
        <x:f>IF(C117="Yes",100*((COUNTIFS($C$23:$C$189,"Yes",$D$23:$D$189,"&lt;"&amp;D117)+(COUNTIFS($C$23:$C$189,"Yes",$D$23:$D$189,D117)-1)/2)/($O$18-1))^$O$7,"")</x:f>
      </x:c>
      <x:c r="I117" s="316" t="str">
        <x:f>IF(C117="Yes",100*((COUNTIFS($C$23:$C$189,"Yes",$E$23:$E$189,"&lt;"&amp;E117)+(COUNTIFS($C$23:$C$189,"Yes",$E$23:$E$189,E117)-1)/2)/($O$18-1))^$O$7,"")</x:f>
      </x:c>
      <x:c r="J117" s="316" t="str">
        <x:f>IF(C117="Yes",100*((COUNTIFS($C$23:$C$189,"Yes",$F$23:$F$189,"&gt;"&amp;F117)+(COUNTIFS($C$23:$C$189,"Yes",$F$23:$F$189,F117)-1)/2)/($O$18-1))^$O$7,"")</x:f>
      </x:c>
      <x:c r="K117" s="316" t="str">
        <x:f>IF(C117="Yes",100*((COUNTIFS($C$23:$C$189,"Yes",$G$23:$G$189,"&lt;"&amp;G117)+(COUNTIFS($C$23:$C$189,"Yes",$G$23:$G$189,G117)-1)/2)/($O$18-1))^$O$7,"")</x:f>
      </x:c>
      <x:c r="L117" s="316" t="str">
        <x:f>IF(C117="Yes",AVERAGE(H117:K117),"")</x:f>
      </x:c>
      <x:c r="M117" s="317" t="str">
        <x:f>IF(C117="Yes",1+COUNTIFS($A$23:$A$189,A117,$C$23:$C$189,"Yes",$L$23:$L$189,"&gt;"&amp;L117),"")</x:f>
      </x:c>
    </x:row>
    <x:row r="118">
      <x:c r="A118" s="311" t="str">
        <x:f>'All Stats'!A101</x:f>
        <x:v>K170</x:v>
      </x:c>
      <x:c r="B118" s="311" t="str">
        <x:f>'All Stats'!B101</x:f>
        <x:v>(AOT)鸣鸣鸣</x:v>
      </x:c>
      <x:c r="C118" s="315" t="str">
        <x:f>IF(G118&gt;=$O$6,"Yes","No")</x:f>
        <x:v>No</x:v>
      </x:c>
      <x:c r="D118" s="312" t="n">
        <x:f>'All Stats'!L101</x:f>
        <x:v>13.112</x:v>
      </x:c>
      <x:c r="E118" s="312" t="n">
        <x:f>'All Stats'!M101</x:f>
        <x:v>12.7449</x:v>
      </x:c>
      <x:c r="F118" s="312" t="n">
        <x:f>'All Stats'!O101</x:f>
        <x:v>-0.76</x:v>
      </x:c>
      <x:c r="G118" s="312" t="n">
        <x:f>'All Stats'!Q101</x:f>
        <x:v>2.79</x:v>
      </x:c>
      <x:c r="H118" s="316" t="str">
        <x:f>IF(C118="Yes",100*((COUNTIFS($C$23:$C$189,"Yes",$D$23:$D$189,"&lt;"&amp;D118)+(COUNTIFS($C$23:$C$189,"Yes",$D$23:$D$189,D118)-1)/2)/($O$18-1))^$O$7,"")</x:f>
      </x:c>
      <x:c r="I118" s="316" t="str">
        <x:f>IF(C118="Yes",100*((COUNTIFS($C$23:$C$189,"Yes",$E$23:$E$189,"&lt;"&amp;E118)+(COUNTIFS($C$23:$C$189,"Yes",$E$23:$E$189,E118)-1)/2)/($O$18-1))^$O$7,"")</x:f>
      </x:c>
      <x:c r="J118" s="316" t="str">
        <x:f>IF(C118="Yes",100*((COUNTIFS($C$23:$C$189,"Yes",$F$23:$F$189,"&gt;"&amp;F118)+(COUNTIFS($C$23:$C$189,"Yes",$F$23:$F$189,F118)-1)/2)/($O$18-1))^$O$7,"")</x:f>
      </x:c>
      <x:c r="K118" s="316" t="str">
        <x:f>IF(C118="Yes",100*((COUNTIFS($C$23:$C$189,"Yes",$G$23:$G$189,"&lt;"&amp;G118)+(COUNTIFS($C$23:$C$189,"Yes",$G$23:$G$189,G118)-1)/2)/($O$18-1))^$O$7,"")</x:f>
      </x:c>
      <x:c r="L118" s="316" t="str">
        <x:f>IF(C118="Yes",AVERAGE(H118:K118),"")</x:f>
      </x:c>
      <x:c r="M118" s="317" t="str">
        <x:f>IF(C118="Yes",1+COUNTIFS($A$23:$A$189,A118,$C$23:$C$189,"Yes",$L$23:$L$189,"&gt;"&amp;L118),"")</x:f>
      </x:c>
    </x:row>
    <x:row r="119">
      <x:c r="A119" s="311" t="str">
        <x:f>'All Stats'!A102</x:f>
        <x:v>K170</x:v>
      </x:c>
      <x:c r="B119" s="311" t="str">
        <x:f>'All Stats'!B102</x:f>
        <x:v>(AOT)aweirdmind</x:v>
      </x:c>
      <x:c r="C119" s="315" t="str">
        <x:f>IF(G119&gt;=$O$6,"Yes","No")</x:f>
        <x:v>No</x:v>
      </x:c>
      <x:c r="D119" s="312" t="n">
        <x:f>'All Stats'!L102</x:f>
        <x:v>13.6562</x:v>
      </x:c>
      <x:c r="E119" s="312" t="n">
        <x:f>'All Stats'!M102</x:f>
        <x:v>9.2007</x:v>
      </x:c>
      <x:c r="F119" s="312" t="n">
        <x:f>'All Stats'!O102</x:f>
        <x:v>-0.73</x:v>
      </x:c>
      <x:c r="G119" s="312" t="n">
        <x:f>'All Stats'!Q102</x:f>
        <x:v>3.51</x:v>
      </x:c>
      <x:c r="H119" s="316" t="str">
        <x:f>IF(C119="Yes",100*((COUNTIFS($C$23:$C$189,"Yes",$D$23:$D$189,"&lt;"&amp;D119)+(COUNTIFS($C$23:$C$189,"Yes",$D$23:$D$189,D119)-1)/2)/($O$18-1))^$O$7,"")</x:f>
      </x:c>
      <x:c r="I119" s="316" t="str">
        <x:f>IF(C119="Yes",100*((COUNTIFS($C$23:$C$189,"Yes",$E$23:$E$189,"&lt;"&amp;E119)+(COUNTIFS($C$23:$C$189,"Yes",$E$23:$E$189,E119)-1)/2)/($O$18-1))^$O$7,"")</x:f>
      </x:c>
      <x:c r="J119" s="316" t="str">
        <x:f>IF(C119="Yes",100*((COUNTIFS($C$23:$C$189,"Yes",$F$23:$F$189,"&gt;"&amp;F119)+(COUNTIFS($C$23:$C$189,"Yes",$F$23:$F$189,F119)-1)/2)/($O$18-1))^$O$7,"")</x:f>
      </x:c>
      <x:c r="K119" s="316" t="str">
        <x:f>IF(C119="Yes",100*((COUNTIFS($C$23:$C$189,"Yes",$G$23:$G$189,"&lt;"&amp;G119)+(COUNTIFS($C$23:$C$189,"Yes",$G$23:$G$189,G119)-1)/2)/($O$18-1))^$O$7,"")</x:f>
      </x:c>
      <x:c r="L119" s="316" t="str">
        <x:f>IF(C119="Yes",AVERAGE(H119:K119),"")</x:f>
      </x:c>
      <x:c r="M119" s="317" t="str">
        <x:f>IF(C119="Yes",1+COUNTIFS($A$23:$A$189,A119,$C$23:$C$189,"Yes",$L$23:$L$189,"&gt;"&amp;L119),"")</x:f>
      </x:c>
    </x:row>
    <x:row r="120">
      <x:c r="A120" s="311" t="str">
        <x:f>'All Stats'!A103</x:f>
        <x:v>K170</x:v>
      </x:c>
      <x:c r="B120" s="311" t="str">
        <x:f>'All Stats'!B103</x:f>
        <x:v>(AOT)Panda</x:v>
      </x:c>
      <x:c r="C120" s="315" t="str">
        <x:f>IF(G120&gt;=$O$6,"Yes","No")</x:f>
        <x:v>Yes</x:v>
      </x:c>
      <x:c r="D120" s="312" t="n">
        <x:f>'All Stats'!L103</x:f>
        <x:v>17.57</x:v>
      </x:c>
      <x:c r="E120" s="312" t="n">
        <x:f>'All Stats'!M103</x:f>
        <x:v>13.6749</x:v>
      </x:c>
      <x:c r="F120" s="312" t="n">
        <x:f>'All Stats'!O103</x:f>
        <x:v>-1.715</x:v>
      </x:c>
      <x:c r="G120" s="312" t="n">
        <x:f>'All Stats'!Q103</x:f>
        <x:v>7</x:v>
      </x:c>
      <x:c r="H120" s="316" t="n">
        <x:f>IF(C120="Yes",100*((COUNTIFS($C$23:$C$189,"Yes",$D$23:$D$189,"&lt;"&amp;D120)+(COUNTIFS($C$23:$C$189,"Yes",$D$23:$D$189,D120)-1)/2)/($O$18-1))^$O$7,"")</x:f>
        <x:v>4.105013062107669</x:v>
      </x:c>
      <x:c r="I120" s="316" t="n">
        <x:f>IF(C120="Yes",100*((COUNTIFS($C$23:$C$189,"Yes",$E$23:$E$189,"&lt;"&amp;E120)+(COUNTIFS($C$23:$C$189,"Yes",$E$23:$E$189,E120)-1)/2)/($O$18-1))^$O$7,"")</x:f>
        <x:v>9.343821064047228</x:v>
      </x:c>
      <x:c r="J120" s="316" t="n">
        <x:f>IF(C120="Yes",100*((COUNTIFS($C$23:$C$189,"Yes",$F$23:$F$189,"&gt;"&amp;F120)+(COUNTIFS($C$23:$C$189,"Yes",$F$23:$F$189,F120)-1)/2)/($O$18-1))^$O$7,"")</x:f>
        <x:v>17.63348920985086</x:v>
      </x:c>
      <x:c r="K120" s="316" t="n">
        <x:f>IF(C120="Yes",100*((COUNTIFS($C$23:$C$189,"Yes",$G$23:$G$189,"&lt;"&amp;G120)+(COUNTIFS($C$23:$C$189,"Yes",$G$23:$G$189,G120)-1)/2)/($O$18-1))^$O$7,"")</x:f>
        <x:v>17.63348920985086</x:v>
      </x:c>
      <x:c r="L120" s="316" t="n">
        <x:f>IF(C120="Yes",AVERAGE(H120:K120),"")</x:f>
        <x:v>12.178953136464155</x:v>
      </x:c>
      <x:c r="M120" s="317" t="n">
        <x:f>IF(C120="Yes",1+COUNTIFS($A$23:$A$189,A120,$C$23:$C$189,"Yes",$L$23:$L$189,"&gt;"&amp;L120),"")</x:f>
        <x:v>3</x:v>
      </x:c>
    </x:row>
    <x:row r="121">
      <x:c r="A121" s="311" t="str">
        <x:f>'All Stats'!A104</x:f>
        <x:v>K170</x:v>
      </x:c>
      <x:c r="B121" s="311" t="str">
        <x:f>'All Stats'!B104</x:f>
        <x:v>(AOT)StFruz</x:v>
      </x:c>
      <x:c r="C121" s="315" t="str">
        <x:f>IF(G121&gt;=$O$6,"Yes","No")</x:f>
        <x:v>No</x:v>
      </x:c>
      <x:c r="D121" s="312" t="n">
        <x:f>'All Stats'!L104</x:f>
        <x:v>16.62</x:v>
      </x:c>
      <x:c r="E121" s="312" t="n">
        <x:f>'All Stats'!M104</x:f>
        <x:v>12.2249</x:v>
      </x:c>
      <x:c r="F121" s="312" t="n">
        <x:f>'All Stats'!O104</x:f>
        <x:v>-1.715</x:v>
      </x:c>
      <x:c r="G121" s="312" t="n">
        <x:f>'All Stats'!Q104</x:f>
        <x:v>4.04</x:v>
      </x:c>
      <x:c r="H121" s="316" t="str">
        <x:f>IF(C121="Yes",100*((COUNTIFS($C$23:$C$189,"Yes",$D$23:$D$189,"&lt;"&amp;D121)+(COUNTIFS($C$23:$C$189,"Yes",$D$23:$D$189,D121)-1)/2)/($O$18-1))^$O$7,"")</x:f>
      </x:c>
      <x:c r="I121" s="316" t="str">
        <x:f>IF(C121="Yes",100*((COUNTIFS($C$23:$C$189,"Yes",$E$23:$E$189,"&lt;"&amp;E121)+(COUNTIFS($C$23:$C$189,"Yes",$E$23:$E$189,E121)-1)/2)/($O$18-1))^$O$7,"")</x:f>
      </x:c>
      <x:c r="J121" s="316" t="str">
        <x:f>IF(C121="Yes",100*((COUNTIFS($C$23:$C$189,"Yes",$F$23:$F$189,"&gt;"&amp;F121)+(COUNTIFS($C$23:$C$189,"Yes",$F$23:$F$189,F121)-1)/2)/($O$18-1))^$O$7,"")</x:f>
      </x:c>
      <x:c r="K121" s="316" t="str">
        <x:f>IF(C121="Yes",100*((COUNTIFS($C$23:$C$189,"Yes",$G$23:$G$189,"&lt;"&amp;G121)+(COUNTIFS($C$23:$C$189,"Yes",$G$23:$G$189,G121)-1)/2)/($O$18-1))^$O$7,"")</x:f>
      </x:c>
      <x:c r="L121" s="316" t="str">
        <x:f>IF(C121="Yes",AVERAGE(H121:K121),"")</x:f>
      </x:c>
      <x:c r="M121" s="317" t="str">
        <x:f>IF(C121="Yes",1+COUNTIFS($A$23:$A$189,A121,$C$23:$C$189,"Yes",$L$23:$L$189,"&gt;"&amp;L121),"")</x:f>
      </x:c>
    </x:row>
    <x:row r="122">
      <x:c r="A122" s="311" t="str">
        <x:f>'All Stats'!A105</x:f>
        <x:v>K170</x:v>
      </x:c>
      <x:c r="B122" s="311" t="str">
        <x:f>'All Stats'!B105</x:f>
        <x:v>(AOT)WeleS</x:v>
      </x:c>
      <x:c r="C122" s="315" t="str">
        <x:f>IF(G122&gt;=$O$6,"Yes","No")</x:f>
        <x:v>No</x:v>
      </x:c>
      <x:c r="D122" s="312" t="n">
        <x:f>'All Stats'!L105</x:f>
        <x:v>14.272</x:v>
      </x:c>
      <x:c r="E122" s="312" t="n">
        <x:f>'All Stats'!M105</x:f>
        <x:v>13.5849</x:v>
      </x:c>
      <x:c r="F122" s="312" t="n">
        <x:f>'All Stats'!O105</x:f>
        <x:v>-1.6525</x:v>
      </x:c>
      <x:c r="G122" s="312" t="n">
        <x:f>'All Stats'!Q105</x:f>
        <x:v>3.52</x:v>
      </x:c>
      <x:c r="H122" s="316" t="str">
        <x:f>IF(C122="Yes",100*((COUNTIFS($C$23:$C$189,"Yes",$D$23:$D$189,"&lt;"&amp;D122)+(COUNTIFS($C$23:$C$189,"Yes",$D$23:$D$189,D122)-1)/2)/($O$18-1))^$O$7,"")</x:f>
      </x:c>
      <x:c r="I122" s="316" t="str">
        <x:f>IF(C122="Yes",100*((COUNTIFS($C$23:$C$189,"Yes",$E$23:$E$189,"&lt;"&amp;E122)+(COUNTIFS($C$23:$C$189,"Yes",$E$23:$E$189,E122)-1)/2)/($O$18-1))^$O$7,"")</x:f>
      </x:c>
      <x:c r="J122" s="316" t="str">
        <x:f>IF(C122="Yes",100*((COUNTIFS($C$23:$C$189,"Yes",$F$23:$F$189,"&gt;"&amp;F122)+(COUNTIFS($C$23:$C$189,"Yes",$F$23:$F$189,F122)-1)/2)/($O$18-1))^$O$7,"")</x:f>
      </x:c>
      <x:c r="K122" s="316" t="str">
        <x:f>IF(C122="Yes",100*((COUNTIFS($C$23:$C$189,"Yes",$G$23:$G$189,"&lt;"&amp;G122)+(COUNTIFS($C$23:$C$189,"Yes",$G$23:$G$189,G122)-1)/2)/($O$18-1))^$O$7,"")</x:f>
      </x:c>
      <x:c r="L122" s="316" t="str">
        <x:f>IF(C122="Yes",AVERAGE(H122:K122),"")</x:f>
      </x:c>
      <x:c r="M122" s="317" t="str">
        <x:f>IF(C122="Yes",1+COUNTIFS($A$23:$A$189,A122,$C$23:$C$189,"Yes",$L$23:$L$189,"&gt;"&amp;L122),"")</x:f>
      </x:c>
    </x:row>
    <x:row r="123">
      <x:c r="A123" s="311" t="str">
        <x:f>'All Stats'!A106</x:f>
        <x:v>K170</x:v>
      </x:c>
      <x:c r="B123" s="311" t="str">
        <x:f>'All Stats'!B106</x:f>
        <x:v>(AOT)Doctopussy</x:v>
      </x:c>
      <x:c r="C123" s="315" t="str">
        <x:f>IF(G123&gt;=$O$6,"Yes","No")</x:f>
        <x:v>No</x:v>
      </x:c>
      <x:c r="D123" s="312" t="n">
        <x:f>'All Stats'!L106</x:f>
        <x:v>10.4557</x:v>
      </x:c>
      <x:c r="E123" s="312" t="n">
        <x:f>'All Stats'!M106</x:f>
        <x:v>13.2212</x:v>
      </x:c>
      <x:c r="F123" s="312" t="n">
        <x:f>'All Stats'!O106</x:f>
        <x:v>-0.7375</x:v>
      </x:c>
      <x:c r="G123" s="312" t="n">
        <x:f>'All Stats'!Q106</x:f>
        <x:v>5.19</x:v>
      </x:c>
      <x:c r="H123" s="316" t="str">
        <x:f>IF(C123="Yes",100*((COUNTIFS($C$23:$C$189,"Yes",$D$23:$D$189,"&lt;"&amp;D123)+(COUNTIFS($C$23:$C$189,"Yes",$D$23:$D$189,D123)-1)/2)/($O$18-1))^$O$7,"")</x:f>
      </x:c>
      <x:c r="I123" s="316" t="str">
        <x:f>IF(C123="Yes",100*((COUNTIFS($C$23:$C$189,"Yes",$E$23:$E$189,"&lt;"&amp;E123)+(COUNTIFS($C$23:$C$189,"Yes",$E$23:$E$189,E123)-1)/2)/($O$18-1))^$O$7,"")</x:f>
      </x:c>
      <x:c r="J123" s="316" t="str">
        <x:f>IF(C123="Yes",100*((COUNTIFS($C$23:$C$189,"Yes",$F$23:$F$189,"&gt;"&amp;F123)+(COUNTIFS($C$23:$C$189,"Yes",$F$23:$F$189,F123)-1)/2)/($O$18-1))^$O$7,"")</x:f>
      </x:c>
      <x:c r="K123" s="316" t="str">
        <x:f>IF(C123="Yes",100*((COUNTIFS($C$23:$C$189,"Yes",$G$23:$G$189,"&lt;"&amp;G123)+(COUNTIFS($C$23:$C$189,"Yes",$G$23:$G$189,G123)-1)/2)/($O$18-1))^$O$7,"")</x:f>
      </x:c>
      <x:c r="L123" s="316" t="str">
        <x:f>IF(C123="Yes",AVERAGE(H123:K123),"")</x:f>
      </x:c>
      <x:c r="M123" s="317" t="str">
        <x:f>IF(C123="Yes",1+COUNTIFS($A$23:$A$189,A123,$C$23:$C$189,"Yes",$L$23:$L$189,"&gt;"&amp;L123),"")</x:f>
      </x:c>
    </x:row>
    <x:row r="124">
      <x:c r="A124" s="311" t="str">
        <x:f>'All Stats'!A107</x:f>
        <x:v>K170</x:v>
      </x:c>
      <x:c r="B124" s="311" t="str">
        <x:f>'All Stats'!B107</x:f>
        <x:v>(AOT)SugarDADDY</x:v>
      </x:c>
      <x:c r="C124" s="315" t="str">
        <x:f>IF(G124&gt;=$O$6,"Yes","No")</x:f>
        <x:v>No</x:v>
      </x:c>
      <x:c r="D124" s="312" t="n">
        <x:f>'All Stats'!L107</x:f>
        <x:v>12.0899</x:v>
      </x:c>
      <x:c r="E124" s="312" t="n">
        <x:f>'All Stats'!M107</x:f>
        <x:v>13.087</x:v>
      </x:c>
      <x:c r="F124" s="312" t="n">
        <x:f>'All Stats'!O107</x:f>
        <x:v>-1.565</x:v>
      </x:c>
      <x:c r="G124" s="312" t="n">
        <x:f>'All Stats'!Q107</x:f>
        <x:v>5.32</x:v>
      </x:c>
      <x:c r="H124" s="316" t="str">
        <x:f>IF(C124="Yes",100*((COUNTIFS($C$23:$C$189,"Yes",$D$23:$D$189,"&lt;"&amp;D124)+(COUNTIFS($C$23:$C$189,"Yes",$D$23:$D$189,D124)-1)/2)/($O$18-1))^$O$7,"")</x:f>
      </x:c>
      <x:c r="I124" s="316" t="str">
        <x:f>IF(C124="Yes",100*((COUNTIFS($C$23:$C$189,"Yes",$E$23:$E$189,"&lt;"&amp;E124)+(COUNTIFS($C$23:$C$189,"Yes",$E$23:$E$189,E124)-1)/2)/($O$18-1))^$O$7,"")</x:f>
      </x:c>
      <x:c r="J124" s="316" t="str">
        <x:f>IF(C124="Yes",100*((COUNTIFS($C$23:$C$189,"Yes",$F$23:$F$189,"&gt;"&amp;F124)+(COUNTIFS($C$23:$C$189,"Yes",$F$23:$F$189,F124)-1)/2)/($O$18-1))^$O$7,"")</x:f>
      </x:c>
      <x:c r="K124" s="316" t="str">
        <x:f>IF(C124="Yes",100*((COUNTIFS($C$23:$C$189,"Yes",$G$23:$G$189,"&lt;"&amp;G124)+(COUNTIFS($C$23:$C$189,"Yes",$G$23:$G$189,G124)-1)/2)/($O$18-1))^$O$7,"")</x:f>
      </x:c>
      <x:c r="L124" s="316" t="str">
        <x:f>IF(C124="Yes",AVERAGE(H124:K124),"")</x:f>
      </x:c>
      <x:c r="M124" s="317" t="str">
        <x:f>IF(C124="Yes",1+COUNTIFS($A$23:$A$189,A124,$C$23:$C$189,"Yes",$L$23:$L$189,"&gt;"&amp;L124),"")</x:f>
      </x:c>
    </x:row>
    <x:row r="125">
      <x:c r="A125" s="311" t="str">
        <x:f>'All Stats'!A108</x:f>
        <x:v>K170</x:v>
      </x:c>
      <x:c r="B125" s="311" t="str">
        <x:f>'All Stats'!B108</x:f>
        <x:v>(AOT)MONKEY</x:v>
      </x:c>
      <x:c r="C125" s="315" t="str">
        <x:f>IF(G125&gt;=$O$6,"Yes","No")</x:f>
        <x:v>No</x:v>
      </x:c>
      <x:c r="D125" s="312" t="n">
        <x:f>'All Stats'!L108</x:f>
        <x:v>13.7262</x:v>
      </x:c>
      <x:c r="E125" s="312" t="n">
        <x:f>'All Stats'!M108</x:f>
        <x:v>10.9742</x:v>
      </x:c>
      <x:c r="F125" s="312" t="n">
        <x:f>'All Stats'!O108</x:f>
        <x:v>-1.545</x:v>
      </x:c>
      <x:c r="G125" s="312" t="n">
        <x:f>'All Stats'!Q108</x:f>
        <x:v>2.52</x:v>
      </x:c>
      <x:c r="H125" s="316" t="str">
        <x:f>IF(C125="Yes",100*((COUNTIFS($C$23:$C$189,"Yes",$D$23:$D$189,"&lt;"&amp;D125)+(COUNTIFS($C$23:$C$189,"Yes",$D$23:$D$189,D125)-1)/2)/($O$18-1))^$O$7,"")</x:f>
      </x:c>
      <x:c r="I125" s="316" t="str">
        <x:f>IF(C125="Yes",100*((COUNTIFS($C$23:$C$189,"Yes",$E$23:$E$189,"&lt;"&amp;E125)+(COUNTIFS($C$23:$C$189,"Yes",$E$23:$E$189,E125)-1)/2)/($O$18-1))^$O$7,"")</x:f>
      </x:c>
      <x:c r="J125" s="316" t="str">
        <x:f>IF(C125="Yes",100*((COUNTIFS($C$23:$C$189,"Yes",$F$23:$F$189,"&gt;"&amp;F125)+(COUNTIFS($C$23:$C$189,"Yes",$F$23:$F$189,F125)-1)/2)/($O$18-1))^$O$7,"")</x:f>
      </x:c>
      <x:c r="K125" s="316" t="str">
        <x:f>IF(C125="Yes",100*((COUNTIFS($C$23:$C$189,"Yes",$G$23:$G$189,"&lt;"&amp;G125)+(COUNTIFS($C$23:$C$189,"Yes",$G$23:$G$189,G125)-1)/2)/($O$18-1))^$O$7,"")</x:f>
      </x:c>
      <x:c r="L125" s="316" t="str">
        <x:f>IF(C125="Yes",AVERAGE(H125:K125),"")</x:f>
      </x:c>
      <x:c r="M125" s="317" t="str">
        <x:f>IF(C125="Yes",1+COUNTIFS($A$23:$A$189,A125,$C$23:$C$189,"Yes",$L$23:$L$189,"&gt;"&amp;L125),"")</x:f>
      </x:c>
    </x:row>
    <x:row r="126">
      <x:c r="A126" s="311" t="str">
        <x:f>'All Stats'!A109</x:f>
        <x:v>K170</x:v>
      </x:c>
      <x:c r="B126" s="311" t="str">
        <x:f>'All Stats'!B109</x:f>
        <x:v>(AOT)Paian</x:v>
      </x:c>
      <x:c r="C126" s="315" t="str">
        <x:f>IF(G126&gt;=$O$6,"Yes","No")</x:f>
        <x:v>No</x:v>
      </x:c>
      <x:c r="D126" s="312" t="n">
        <x:f>'All Stats'!L109</x:f>
        <x:v>10.322</x:v>
      </x:c>
      <x:c r="E126" s="312" t="n">
        <x:f>'All Stats'!M109</x:f>
        <x:v>8.1499</x:v>
      </x:c>
      <x:c r="F126" s="312" t="n">
        <x:f>'All Stats'!O109</x:f>
        <x:v>-0.45</x:v>
      </x:c>
      <x:c r="G126" s="312" t="n">
        <x:f>'All Stats'!Q109</x:f>
        <x:v>3.15</x:v>
      </x:c>
      <x:c r="H126" s="316" t="str">
        <x:f>IF(C126="Yes",100*((COUNTIFS($C$23:$C$189,"Yes",$D$23:$D$189,"&lt;"&amp;D126)+(COUNTIFS($C$23:$C$189,"Yes",$D$23:$D$189,D126)-1)/2)/($O$18-1))^$O$7,"")</x:f>
      </x:c>
      <x:c r="I126" s="316" t="str">
        <x:f>IF(C126="Yes",100*((COUNTIFS($C$23:$C$189,"Yes",$E$23:$E$189,"&lt;"&amp;E126)+(COUNTIFS($C$23:$C$189,"Yes",$E$23:$E$189,E126)-1)/2)/($O$18-1))^$O$7,"")</x:f>
      </x:c>
      <x:c r="J126" s="316" t="str">
        <x:f>IF(C126="Yes",100*((COUNTIFS($C$23:$C$189,"Yes",$F$23:$F$189,"&gt;"&amp;F126)+(COUNTIFS($C$23:$C$189,"Yes",$F$23:$F$189,F126)-1)/2)/($O$18-1))^$O$7,"")</x:f>
      </x:c>
      <x:c r="K126" s="316" t="str">
        <x:f>IF(C126="Yes",100*((COUNTIFS($C$23:$C$189,"Yes",$G$23:$G$189,"&lt;"&amp;G126)+(COUNTIFS($C$23:$C$189,"Yes",$G$23:$G$189,G126)-1)/2)/($O$18-1))^$O$7,"")</x:f>
      </x:c>
      <x:c r="L126" s="316" t="str">
        <x:f>IF(C126="Yes",AVERAGE(H126:K126),"")</x:f>
      </x:c>
      <x:c r="M126" s="317" t="str">
        <x:f>IF(C126="Yes",1+COUNTIFS($A$23:$A$189,A126,$C$23:$C$189,"Yes",$L$23:$L$189,"&gt;"&amp;L126),"")</x:f>
      </x:c>
    </x:row>
    <x:row r="127">
      <x:c r="A127" s="311" t="str">
        <x:f>'All Stats'!A110</x:f>
        <x:v>K170</x:v>
      </x:c>
      <x:c r="B127" s="311" t="str">
        <x:f>'All Stats'!B110</x:f>
        <x:v>(AOT)Matis</x:v>
      </x:c>
      <x:c r="C127" s="315" t="str">
        <x:f>IF(G127&gt;=$O$6,"Yes","No")</x:f>
        <x:v>No</x:v>
      </x:c>
      <x:c r="D127" s="312" t="n">
        <x:f>'All Stats'!L110</x:f>
        <x:v>10.2457</x:v>
      </x:c>
      <x:c r="E127" s="312" t="n">
        <x:f>'All Stats'!M110</x:f>
        <x:v>13.2042</x:v>
      </x:c>
      <x:c r="F127" s="312" t="n">
        <x:f>'All Stats'!O110</x:f>
        <x:v>-0.71</x:v>
      </x:c>
      <x:c r="G127" s="312" t="n">
        <x:f>'All Stats'!Q110</x:f>
        <x:v>2.67</x:v>
      </x:c>
      <x:c r="H127" s="316" t="str">
        <x:f>IF(C127="Yes",100*((COUNTIFS($C$23:$C$189,"Yes",$D$23:$D$189,"&lt;"&amp;D127)+(COUNTIFS($C$23:$C$189,"Yes",$D$23:$D$189,D127)-1)/2)/($O$18-1))^$O$7,"")</x:f>
      </x:c>
      <x:c r="I127" s="316" t="str">
        <x:f>IF(C127="Yes",100*((COUNTIFS($C$23:$C$189,"Yes",$E$23:$E$189,"&lt;"&amp;E127)+(COUNTIFS($C$23:$C$189,"Yes",$E$23:$E$189,E127)-1)/2)/($O$18-1))^$O$7,"")</x:f>
      </x:c>
      <x:c r="J127" s="316" t="str">
        <x:f>IF(C127="Yes",100*((COUNTIFS($C$23:$C$189,"Yes",$F$23:$F$189,"&gt;"&amp;F127)+(COUNTIFS($C$23:$C$189,"Yes",$F$23:$F$189,F127)-1)/2)/($O$18-1))^$O$7,"")</x:f>
      </x:c>
      <x:c r="K127" s="316" t="str">
        <x:f>IF(C127="Yes",100*((COUNTIFS($C$23:$C$189,"Yes",$G$23:$G$189,"&lt;"&amp;G127)+(COUNTIFS($C$23:$C$189,"Yes",$G$23:$G$189,G127)-1)/2)/($O$18-1))^$O$7,"")</x:f>
      </x:c>
      <x:c r="L127" s="316" t="str">
        <x:f>IF(C127="Yes",AVERAGE(H127:K127),"")</x:f>
      </x:c>
      <x:c r="M127" s="317" t="str">
        <x:f>IF(C127="Yes",1+COUNTIFS($A$23:$A$189,A127,$C$23:$C$189,"Yes",$L$23:$L$189,"&gt;"&amp;L127),"")</x:f>
      </x:c>
    </x:row>
    <x:row r="128">
      <x:c r="A128" s="311" t="str">
        <x:f>'All Stats'!A111</x:f>
        <x:v>K170</x:v>
      </x:c>
      <x:c r="B128" s="311" t="str">
        <x:f>'All Stats'!B111</x:f>
        <x:v>(AOT)BAT</x:v>
      </x:c>
      <x:c r="C128" s="315" t="str">
        <x:f>IF(G128&gt;=$O$6,"Yes","No")</x:f>
        <x:v>No</x:v>
      </x:c>
      <x:c r="D128" s="312" t="n">
        <x:f>'All Stats'!L111</x:f>
        <x:v>10.2242</x:v>
      </x:c>
      <x:c r="E128" s="312" t="n">
        <x:f>'All Stats'!M111</x:f>
        <x:v>16.0512</x:v>
      </x:c>
      <x:c r="F128" s="312" t="n">
        <x:f>'All Stats'!O111</x:f>
        <x:v>-1.4875</x:v>
      </x:c>
      <x:c r="G128" s="312" t="n">
        <x:f>'All Stats'!Q111</x:f>
        <x:v>3.03</x:v>
      </x:c>
      <x:c r="H128" s="316" t="str">
        <x:f>IF(C128="Yes",100*((COUNTIFS($C$23:$C$189,"Yes",$D$23:$D$189,"&lt;"&amp;D128)+(COUNTIFS($C$23:$C$189,"Yes",$D$23:$D$189,D128)-1)/2)/($O$18-1))^$O$7,"")</x:f>
      </x:c>
      <x:c r="I128" s="316" t="str">
        <x:f>IF(C128="Yes",100*((COUNTIFS($C$23:$C$189,"Yes",$E$23:$E$189,"&lt;"&amp;E128)+(COUNTIFS($C$23:$C$189,"Yes",$E$23:$E$189,E128)-1)/2)/($O$18-1))^$O$7,"")</x:f>
      </x:c>
      <x:c r="J128" s="316" t="str">
        <x:f>IF(C128="Yes",100*((COUNTIFS($C$23:$C$189,"Yes",$F$23:$F$189,"&gt;"&amp;F128)+(COUNTIFS($C$23:$C$189,"Yes",$F$23:$F$189,F128)-1)/2)/($O$18-1))^$O$7,"")</x:f>
      </x:c>
      <x:c r="K128" s="316" t="str">
        <x:f>IF(C128="Yes",100*((COUNTIFS($C$23:$C$189,"Yes",$G$23:$G$189,"&lt;"&amp;G128)+(COUNTIFS($C$23:$C$189,"Yes",$G$23:$G$189,G128)-1)/2)/($O$18-1))^$O$7,"")</x:f>
      </x:c>
      <x:c r="L128" s="316" t="str">
        <x:f>IF(C128="Yes",AVERAGE(H128:K128),"")</x:f>
      </x:c>
      <x:c r="M128" s="317" t="str">
        <x:f>IF(C128="Yes",1+COUNTIFS($A$23:$A$189,A128,$C$23:$C$189,"Yes",$L$23:$L$189,"&gt;"&amp;L128),"")</x:f>
      </x:c>
    </x:row>
    <x:row r="129">
      <x:c r="A129" s="311" t="str">
        <x:f>'All Stats'!A112</x:f>
        <x:v>K170</x:v>
      </x:c>
      <x:c r="B129" s="311" t="str">
        <x:f>'All Stats'!B112</x:f>
        <x:v>(AOT)金木研_254</x:v>
      </x:c>
      <x:c r="C129" s="315" t="str">
        <x:f>IF(G129&gt;=$O$6,"Yes","No")</x:f>
        <x:v>No</x:v>
      </x:c>
      <x:c r="D129" s="312" t="n">
        <x:f>'All Stats'!L112</x:f>
        <x:v>16.3192</x:v>
      </x:c>
      <x:c r="E129" s="312" t="n">
        <x:f>'All Stats'!M112</x:f>
        <x:v>14.0949</x:v>
      </x:c>
      <x:c r="F129" s="312" t="n">
        <x:f>'All Stats'!O112</x:f>
        <x:v>-1.6075</x:v>
      </x:c>
      <x:c r="G129" s="312" t="n">
        <x:f>'All Stats'!Q112</x:f>
        <x:v>2.45</x:v>
      </x:c>
      <x:c r="H129" s="316" t="str">
        <x:f>IF(C129="Yes",100*((COUNTIFS($C$23:$C$189,"Yes",$D$23:$D$189,"&lt;"&amp;D129)+(COUNTIFS($C$23:$C$189,"Yes",$D$23:$D$189,D129)-1)/2)/($O$18-1))^$O$7,"")</x:f>
      </x:c>
      <x:c r="I129" s="316" t="str">
        <x:f>IF(C129="Yes",100*((COUNTIFS($C$23:$C$189,"Yes",$E$23:$E$189,"&lt;"&amp;E129)+(COUNTIFS($C$23:$C$189,"Yes",$E$23:$E$189,E129)-1)/2)/($O$18-1))^$O$7,"")</x:f>
      </x:c>
      <x:c r="J129" s="316" t="str">
        <x:f>IF(C129="Yes",100*((COUNTIFS($C$23:$C$189,"Yes",$F$23:$F$189,"&gt;"&amp;F129)+(COUNTIFS($C$23:$C$189,"Yes",$F$23:$F$189,F129)-1)/2)/($O$18-1))^$O$7,"")</x:f>
      </x:c>
      <x:c r="K129" s="316" t="str">
        <x:f>IF(C129="Yes",100*((COUNTIFS($C$23:$C$189,"Yes",$G$23:$G$189,"&lt;"&amp;G129)+(COUNTIFS($C$23:$C$189,"Yes",$G$23:$G$189,G129)-1)/2)/($O$18-1))^$O$7,"")</x:f>
      </x:c>
      <x:c r="L129" s="316" t="str">
        <x:f>IF(C129="Yes",AVERAGE(H129:K129),"")</x:f>
      </x:c>
      <x:c r="M129" s="317" t="str">
        <x:f>IF(C129="Yes",1+COUNTIFS($A$23:$A$189,A129,$C$23:$C$189,"Yes",$L$23:$L$189,"&gt;"&amp;L129),"")</x:f>
      </x:c>
    </x:row>
    <x:row r="130">
      <x:c r="A130" s="311" t="str">
        <x:f>'All Stats'!A113</x:f>
        <x:v>K170</x:v>
      </x:c>
      <x:c r="B130" s="311" t="str">
        <x:f>'All Stats'!B113</x:f>
        <x:v>(AOT)MG·Yu</x:v>
      </x:c>
      <x:c r="C130" s="315" t="str">
        <x:f>IF(G130&gt;=$O$6,"Yes","No")</x:f>
        <x:v>No</x:v>
      </x:c>
      <x:c r="D130" s="312" t="n">
        <x:f>'All Stats'!L113</x:f>
        <x:v>20.5242</x:v>
      </x:c>
      <x:c r="E130" s="312" t="n">
        <x:f>'All Stats'!M113</x:f>
        <x:v>11.1207</x:v>
      </x:c>
      <x:c r="F130" s="312" t="n">
        <x:f>'All Stats'!O113</x:f>
        <x:v>-1.82</x:v>
      </x:c>
      <x:c r="G130" s="312" t="n">
        <x:f>'All Stats'!Q113</x:f>
        <x:v>6.03</x:v>
      </x:c>
      <x:c r="H130" s="316" t="str">
        <x:f>IF(C130="Yes",100*((COUNTIFS($C$23:$C$189,"Yes",$D$23:$D$189,"&lt;"&amp;D130)+(COUNTIFS($C$23:$C$189,"Yes",$D$23:$D$189,D130)-1)/2)/($O$18-1))^$O$7,"")</x:f>
      </x:c>
      <x:c r="I130" s="316" t="str">
        <x:f>IF(C130="Yes",100*((COUNTIFS($C$23:$C$189,"Yes",$E$23:$E$189,"&lt;"&amp;E130)+(COUNTIFS($C$23:$C$189,"Yes",$E$23:$E$189,E130)-1)/2)/($O$18-1))^$O$7,"")</x:f>
      </x:c>
      <x:c r="J130" s="316" t="str">
        <x:f>IF(C130="Yes",100*((COUNTIFS($C$23:$C$189,"Yes",$F$23:$F$189,"&gt;"&amp;F130)+(COUNTIFS($C$23:$C$189,"Yes",$F$23:$F$189,F130)-1)/2)/($O$18-1))^$O$7,"")</x:f>
      </x:c>
      <x:c r="K130" s="316" t="str">
        <x:f>IF(C130="Yes",100*((COUNTIFS($C$23:$C$189,"Yes",$G$23:$G$189,"&lt;"&amp;G130)+(COUNTIFS($C$23:$C$189,"Yes",$G$23:$G$189,G130)-1)/2)/($O$18-1))^$O$7,"")</x:f>
      </x:c>
      <x:c r="L130" s="316" t="str">
        <x:f>IF(C130="Yes",AVERAGE(H130:K130),"")</x:f>
      </x:c>
      <x:c r="M130" s="317" t="str">
        <x:f>IF(C130="Yes",1+COUNTIFS($A$23:$A$189,A130,$C$23:$C$189,"Yes",$L$23:$L$189,"&gt;"&amp;L130),"")</x:f>
      </x:c>
    </x:row>
    <x:row r="131">
      <x:c r="A131" s="311" t="str">
        <x:f>'All Stats'!A114</x:f>
        <x:v>K170</x:v>
      </x:c>
      <x:c r="B131" s="311" t="str">
        <x:f>'All Stats'!B114</x:f>
        <x:v>(AOT)Markspoon</x:v>
      </x:c>
      <x:c r="C131" s="315" t="str">
        <x:f>IF(G131&gt;=$O$6,"Yes","No")</x:f>
        <x:v>No</x:v>
      </x:c>
      <x:c r="D131" s="312" t="n">
        <x:f>'All Stats'!L114</x:f>
        <x:v>12.972</x:v>
      </x:c>
      <x:c r="E131" s="312" t="n">
        <x:f>'All Stats'!M114</x:f>
        <x:v>11.7749</x:v>
      </x:c>
      <x:c r="F131" s="312" t="n">
        <x:f>'All Stats'!O114</x:f>
        <x:v>-1.555</x:v>
      </x:c>
      <x:c r="G131" s="312" t="n">
        <x:f>'All Stats'!Q114</x:f>
        <x:v>2.11</x:v>
      </x:c>
      <x:c r="H131" s="316" t="str">
        <x:f>IF(C131="Yes",100*((COUNTIFS($C$23:$C$189,"Yes",$D$23:$D$189,"&lt;"&amp;D131)+(COUNTIFS($C$23:$C$189,"Yes",$D$23:$D$189,D131)-1)/2)/($O$18-1))^$O$7,"")</x:f>
      </x:c>
      <x:c r="I131" s="316" t="str">
        <x:f>IF(C131="Yes",100*((COUNTIFS($C$23:$C$189,"Yes",$E$23:$E$189,"&lt;"&amp;E131)+(COUNTIFS($C$23:$C$189,"Yes",$E$23:$E$189,E131)-1)/2)/($O$18-1))^$O$7,"")</x:f>
      </x:c>
      <x:c r="J131" s="316" t="str">
        <x:f>IF(C131="Yes",100*((COUNTIFS($C$23:$C$189,"Yes",$F$23:$F$189,"&gt;"&amp;F131)+(COUNTIFS($C$23:$C$189,"Yes",$F$23:$F$189,F131)-1)/2)/($O$18-1))^$O$7,"")</x:f>
      </x:c>
      <x:c r="K131" s="316" t="str">
        <x:f>IF(C131="Yes",100*((COUNTIFS($C$23:$C$189,"Yes",$G$23:$G$189,"&lt;"&amp;G131)+(COUNTIFS($C$23:$C$189,"Yes",$G$23:$G$189,G131)-1)/2)/($O$18-1))^$O$7,"")</x:f>
      </x:c>
      <x:c r="L131" s="316" t="str">
        <x:f>IF(C131="Yes",AVERAGE(H131:K131),"")</x:f>
      </x:c>
      <x:c r="M131" s="317" t="str">
        <x:f>IF(C131="Yes",1+COUNTIFS($A$23:$A$189,A131,$C$23:$C$189,"Yes",$L$23:$L$189,"&gt;"&amp;L131),"")</x:f>
      </x:c>
    </x:row>
    <x:row r="132">
      <x:c r="A132" s="311" t="str">
        <x:f>'All Stats'!A115</x:f>
        <x:v>K170</x:v>
      </x:c>
      <x:c r="B132" s="311" t="str">
        <x:f>'All Stats'!B115</x:f>
        <x:v>(AOT)VAB999</x:v>
      </x:c>
      <x:c r="C132" s="315" t="str">
        <x:f>IF(G132&gt;=$O$6,"Yes","No")</x:f>
        <x:v>No</x:v>
      </x:c>
      <x:c r="D132" s="312" t="n">
        <x:f>'All Stats'!L115</x:f>
        <x:v>20.9963</x:v>
      </x:c>
      <x:c r="E132" s="312" t="n">
        <x:f>'All Stats'!M115</x:f>
        <x:v>14.6507</x:v>
      </x:c>
      <x:c r="F132" s="312" t="n">
        <x:f>'All Stats'!O115</x:f>
        <x:v>-1.5775</x:v>
      </x:c>
      <x:c r="G132" s="312" t="n">
        <x:f>'All Stats'!Q115</x:f>
        <x:v>5.43</x:v>
      </x:c>
      <x:c r="H132" s="316" t="str">
        <x:f>IF(C132="Yes",100*((COUNTIFS($C$23:$C$189,"Yes",$D$23:$D$189,"&lt;"&amp;D132)+(COUNTIFS($C$23:$C$189,"Yes",$D$23:$D$189,D132)-1)/2)/($O$18-1))^$O$7,"")</x:f>
      </x:c>
      <x:c r="I132" s="316" t="str">
        <x:f>IF(C132="Yes",100*((COUNTIFS($C$23:$C$189,"Yes",$E$23:$E$189,"&lt;"&amp;E132)+(COUNTIFS($C$23:$C$189,"Yes",$E$23:$E$189,E132)-1)/2)/($O$18-1))^$O$7,"")</x:f>
      </x:c>
      <x:c r="J132" s="316" t="str">
        <x:f>IF(C132="Yes",100*((COUNTIFS($C$23:$C$189,"Yes",$F$23:$F$189,"&gt;"&amp;F132)+(COUNTIFS($C$23:$C$189,"Yes",$F$23:$F$189,F132)-1)/2)/($O$18-1))^$O$7,"")</x:f>
      </x:c>
      <x:c r="K132" s="316" t="str">
        <x:f>IF(C132="Yes",100*((COUNTIFS($C$23:$C$189,"Yes",$G$23:$G$189,"&lt;"&amp;G132)+(COUNTIFS($C$23:$C$189,"Yes",$G$23:$G$189,G132)-1)/2)/($O$18-1))^$O$7,"")</x:f>
      </x:c>
      <x:c r="L132" s="316" t="str">
        <x:f>IF(C132="Yes",AVERAGE(H132:K132),"")</x:f>
      </x:c>
      <x:c r="M132" s="317" t="str">
        <x:f>IF(C132="Yes",1+COUNTIFS($A$23:$A$189,A132,$C$23:$C$189,"Yes",$L$23:$L$189,"&gt;"&amp;L132),"")</x:f>
      </x:c>
    </x:row>
    <x:row r="133">
      <x:c r="A133" s="311" t="str">
        <x:f>'All Stats'!A116</x:f>
        <x:v>K170</x:v>
      </x:c>
      <x:c r="B133" s="311" t="str">
        <x:f>'All Stats'!B116</x:f>
        <x:v>(AOT)Paian2</x:v>
      </x:c>
      <x:c r="C133" s="315" t="str">
        <x:f>IF(G133&gt;=$O$6,"Yes","No")</x:f>
        <x:v>No</x:v>
      </x:c>
      <x:c r="D133" s="312" t="n">
        <x:f>'All Stats'!L116</x:f>
        <x:v>13.102</x:v>
      </x:c>
      <x:c r="E133" s="312" t="n">
        <x:f>'All Stats'!M116</x:f>
        <x:v>11.5649</x:v>
      </x:c>
      <x:c r="F133" s="312" t="n">
        <x:f>'All Stats'!O116</x:f>
        <x:v>-0.5225</x:v>
      </x:c>
      <x:c r="G133" s="312" t="n">
        <x:f>'All Stats'!Q116</x:f>
        <x:v>4.44</x:v>
      </x:c>
      <x:c r="H133" s="316" t="str">
        <x:f>IF(C133="Yes",100*((COUNTIFS($C$23:$C$189,"Yes",$D$23:$D$189,"&lt;"&amp;D133)+(COUNTIFS($C$23:$C$189,"Yes",$D$23:$D$189,D133)-1)/2)/($O$18-1))^$O$7,"")</x:f>
      </x:c>
      <x:c r="I133" s="316" t="str">
        <x:f>IF(C133="Yes",100*((COUNTIFS($C$23:$C$189,"Yes",$E$23:$E$189,"&lt;"&amp;E133)+(COUNTIFS($C$23:$C$189,"Yes",$E$23:$E$189,E133)-1)/2)/($O$18-1))^$O$7,"")</x:f>
      </x:c>
      <x:c r="J133" s="316" t="str">
        <x:f>IF(C133="Yes",100*((COUNTIFS($C$23:$C$189,"Yes",$F$23:$F$189,"&gt;"&amp;F133)+(COUNTIFS($C$23:$C$189,"Yes",$F$23:$F$189,F133)-1)/2)/($O$18-1))^$O$7,"")</x:f>
      </x:c>
      <x:c r="K133" s="316" t="str">
        <x:f>IF(C133="Yes",100*((COUNTIFS($C$23:$C$189,"Yes",$G$23:$G$189,"&lt;"&amp;G133)+(COUNTIFS($C$23:$C$189,"Yes",$G$23:$G$189,G133)-1)/2)/($O$18-1))^$O$7,"")</x:f>
      </x:c>
      <x:c r="L133" s="316" t="str">
        <x:f>IF(C133="Yes",AVERAGE(H133:K133),"")</x:f>
      </x:c>
      <x:c r="M133" s="317" t="str">
        <x:f>IF(C133="Yes",1+COUNTIFS($A$23:$A$189,A133,$C$23:$C$189,"Yes",$L$23:$L$189,"&gt;"&amp;L133),"")</x:f>
      </x:c>
    </x:row>
    <x:row r="134">
      <x:c r="A134" s="311" t="str">
        <x:f>'All Stats'!A117</x:f>
        <x:v>K54</x:v>
      </x:c>
      <x:c r="B134" s="311" t="str">
        <x:f>'All Stats'!B117</x:f>
        <x:v>爽歪歪</x:v>
      </x:c>
      <x:c r="C134" s="315" t="str">
        <x:f>IF(G134&gt;=$O$6,"Yes","No")</x:f>
        <x:v>Yes</x:v>
      </x:c>
      <x:c r="D134" s="312" t="n">
        <x:f>'All Stats'!L117</x:f>
        <x:v>29.84</x:v>
      </x:c>
      <x:c r="E134" s="312" t="n">
        <x:f>'All Stats'!M117</x:f>
        <x:v>26.151999999999997</x:v>
      </x:c>
      <x:c r="F134" s="312" t="n">
        <x:f>'All Stats'!O117</x:f>
        <x:v>-2.365</x:v>
      </x:c>
      <x:c r="G134" s="312" t="n">
        <x:f>'All Stats'!Q117</x:f>
        <x:v>9</x:v>
      </x:c>
      <x:c r="H134" s="316" t="n">
        <x:f>IF(C134="Yes",100*((COUNTIFS($C$23:$C$189,"Yes",$D$23:$D$189,"&lt;"&amp;D134)+(COUNTIFS($C$23:$C$189,"Yes",$D$23:$D$189,D134)-1)/2)/($O$18-1))^$O$7,"")</x:f>
        <x:v>100</x:v>
      </x:c>
      <x:c r="I134" s="316" t="n">
        <x:f>IF(C134="Yes",100*((COUNTIFS($C$23:$C$189,"Yes",$E$23:$E$189,"&lt;"&amp;E134)+(COUNTIFS($C$23:$C$189,"Yes",$E$23:$E$189,E134)-1)/2)/($O$18-1))^$O$7,"")</x:f>
        <x:v>100</x:v>
      </x:c>
      <x:c r="J134" s="316" t="n">
        <x:f>IF(C134="Yes",100*((COUNTIFS($C$23:$C$189,"Yes",$F$23:$F$189,"&gt;"&amp;F134)+(COUNTIFS($C$23:$C$189,"Yes",$F$23:$F$189,F134)-1)/2)/($O$18-1))^$O$7,"")</x:f>
        <x:v>94.42331239948454</x:v>
      </x:c>
      <x:c r="K134" s="316" t="n">
        <x:f>IF(C134="Yes",100*((COUNTIFS($C$23:$C$189,"Yes",$G$23:$G$189,"&lt;"&amp;G134)+(COUNTIFS($C$23:$C$189,"Yes",$G$23:$G$189,G134)-1)/2)/($O$18-1))^$O$7,"")</x:f>
        <x:v>83.68422348882154</x:v>
      </x:c>
      <x:c r="L134" s="316" t="n">
        <x:f>IF(C134="Yes",AVERAGE(H134:K134),"")</x:f>
        <x:v>94.52688397207652</x:v>
      </x:c>
      <x:c r="M134" s="317" t="n">
        <x:f>IF(C134="Yes",1+COUNTIFS($A$23:$A$189,A134,$C$23:$C$189,"Yes",$L$23:$L$189,"&gt;"&amp;L134),"")</x:f>
        <x:v>1</x:v>
      </x:c>
    </x:row>
    <x:row r="135">
      <x:c r="A135" s="311" t="str">
        <x:f>'All Stats'!A118</x:f>
        <x:v>K54</x:v>
      </x:c>
      <x:c r="B135" s="311" t="str">
        <x:f>'All Stats'!B118</x:f>
        <x:v>纵横,,,杀戮</x:v>
      </x:c>
      <x:c r="C135" s="315" t="str">
        <x:f>IF(G135&gt;=$O$6,"Yes","No")</x:f>
        <x:v>Yes</x:v>
      </x:c>
      <x:c r="D135" s="312" t="n">
        <x:f>'All Stats'!L118</x:f>
        <x:v>15.0899</x:v>
      </x:c>
      <x:c r="E135" s="312" t="n">
        <x:f>'All Stats'!M118</x:f>
        <x:v>14.592</x:v>
      </x:c>
      <x:c r="F135" s="312" t="n">
        <x:f>'All Stats'!O118</x:f>
        <x:v>-1.715</x:v>
      </x:c>
      <x:c r="G135" s="312" t="n">
        <x:f>'All Stats'!Q118</x:f>
        <x:v>7</x:v>
      </x:c>
      <x:c r="H135" s="316" t="n">
        <x:f>IF(C135="Yes",100*((COUNTIFS($C$23:$C$189,"Yes",$D$23:$D$189,"&lt;"&amp;D135)+(COUNTIFS($C$23:$C$189,"Yes",$D$23:$D$189,D135)-1)/2)/($O$18-1))^$O$7,"")</x:f>
        <x:v>0.825884904572687</x:v>
      </x:c>
      <x:c r="I135" s="316" t="n">
        <x:f>IF(C135="Yes",100*((COUNTIFS($C$23:$C$189,"Yes",$E$23:$E$189,"&lt;"&amp;E135)+(COUNTIFS($C$23:$C$189,"Yes",$E$23:$E$189,E135)-1)/2)/($O$18-1))^$O$7,"")</x:f>
        <x:v>16.313766232786957</x:v>
      </x:c>
      <x:c r="J135" s="316" t="n">
        <x:f>IF(C135="Yes",100*((COUNTIFS($C$23:$C$189,"Yes",$F$23:$F$189,"&gt;"&amp;F135)+(COUNTIFS($C$23:$C$189,"Yes",$F$23:$F$189,F135)-1)/2)/($O$18-1))^$O$7,"")</x:f>
        <x:v>17.63348920985086</x:v>
      </x:c>
      <x:c r="K135" s="316" t="n">
        <x:f>IF(C135="Yes",100*((COUNTIFS($C$23:$C$189,"Yes",$G$23:$G$189,"&lt;"&amp;G135)+(COUNTIFS($C$23:$C$189,"Yes",$G$23:$G$189,G135)-1)/2)/($O$18-1))^$O$7,"")</x:f>
        <x:v>17.63348920985086</x:v>
      </x:c>
      <x:c r="L135" s="316" t="n">
        <x:f>IF(C135="Yes",AVERAGE(H135:K135),"")</x:f>
        <x:v>13.101657389265341</x:v>
      </x:c>
      <x:c r="M135" s="317" t="n">
        <x:f>IF(C135="Yes",1+COUNTIFS($A$23:$A$189,A135,$C$23:$C$189,"Yes",$L$23:$L$189,"&gt;"&amp;L135),"")</x:f>
        <x:v>4</x:v>
      </x:c>
    </x:row>
    <x:row r="136">
      <x:c r="A136" s="311" t="str">
        <x:f>'All Stats'!A119</x:f>
        <x:v>K54</x:v>
      </x:c>
      <x:c r="B136" s="311" t="str">
        <x:f>'All Stats'!B119</x:f>
        <x:v>纵横,,,大风</x:v>
      </x:c>
      <x:c r="C136" s="315" t="str">
        <x:f>IF(G136&gt;=$O$6,"Yes","No")</x:f>
        <x:v>Yes</x:v>
      </x:c>
      <x:c r="D136" s="312" t="n">
        <x:f>'All Stats'!L119</x:f>
        <x:v>17.6999</x:v>
      </x:c>
      <x:c r="E136" s="312" t="n">
        <x:f>'All Stats'!M119</x:f>
        <x:v>14.682</x:v>
      </x:c>
      <x:c r="F136" s="312" t="n">
        <x:f>'All Stats'!O119</x:f>
        <x:v>-1.955</x:v>
      </x:c>
      <x:c r="G136" s="312" t="n">
        <x:f>'All Stats'!Q119</x:f>
        <x:v>7</x:v>
      </x:c>
      <x:c r="H136" s="316" t="n">
        <x:f>IF(C136="Yes",100*((COUNTIFS($C$23:$C$189,"Yes",$D$23:$D$189,"&lt;"&amp;D136)+(COUNTIFS($C$23:$C$189,"Yes",$D$23:$D$189,D136)-1)/2)/($O$18-1))^$O$7,"")</x:f>
        <x:v>7.3967102384095345</x:v>
      </x:c>
      <x:c r="I136" s="316" t="n">
        <x:f>IF(C136="Yes",100*((COUNTIFS($C$23:$C$189,"Yes",$E$23:$E$189,"&lt;"&amp;E136)+(COUNTIFS($C$23:$C$189,"Yes",$E$23:$E$189,E136)-1)/2)/($O$18-1))^$O$7,"")</x:f>
        <x:v>18.99696472840113</x:v>
      </x:c>
      <x:c r="J136" s="316" t="n">
        <x:f>IF(C136="Yes",100*((COUNTIFS($C$23:$C$189,"Yes",$F$23:$F$189,"&gt;"&amp;F136)+(COUNTIFS($C$23:$C$189,"Yes",$F$23:$F$189,F136)-1)/2)/($O$18-1))^$O$7,"")</x:f>
        <x:v>46.44292116921099</x:v>
      </x:c>
      <x:c r="K136" s="316" t="n">
        <x:f>IF(C136="Yes",100*((COUNTIFS($C$23:$C$189,"Yes",$G$23:$G$189,"&lt;"&amp;G136)+(COUNTIFS($C$23:$C$189,"Yes",$G$23:$G$189,G136)-1)/2)/($O$18-1))^$O$7,"")</x:f>
        <x:v>17.63348920985086</x:v>
      </x:c>
      <x:c r="L136" s="316" t="n">
        <x:f>IF(C136="Yes",AVERAGE(H136:K136),"")</x:f>
        <x:v>22.61752133646813</x:v>
      </x:c>
      <x:c r="M136" s="317" t="n">
        <x:f>IF(C136="Yes",1+COUNTIFS($A$23:$A$189,A136,$C$23:$C$189,"Yes",$L$23:$L$189,"&gt;"&amp;L136),"")</x:f>
        <x:v>3</x:v>
      </x:c>
    </x:row>
    <x:row r="137">
      <x:c r="A137" s="311" t="str">
        <x:f>'All Stats'!A120</x:f>
        <x:v>K54</x:v>
      </x:c>
      <x:c r="B137" s="311" t="str">
        <x:f>'All Stats'!B120</x:f>
        <x:v>Somnium</x:v>
      </x:c>
      <x:c r="C137" s="315" t="str">
        <x:f>IF(G137&gt;=$O$6,"Yes","No")</x:f>
        <x:v>No</x:v>
      </x:c>
      <x:c r="D137" s="312" t="n">
        <x:f>'All Stats'!L120</x:f>
        <x:v>12.8099</x:v>
      </x:c>
      <x:c r="E137" s="312" t="n">
        <x:f>'All Stats'!M120</x:f>
        <x:v>13.572000000000001</x:v>
      </x:c>
      <x:c r="F137" s="312" t="n">
        <x:f>'All Stats'!O120</x:f>
        <x:v>-0.645</x:v>
      </x:c>
      <x:c r="G137" s="312" t="n">
        <x:f>'All Stats'!Q120</x:f>
        <x:v>3.94</x:v>
      </x:c>
      <x:c r="H137" s="316" t="str">
        <x:f>IF(C137="Yes",100*((COUNTIFS($C$23:$C$189,"Yes",$D$23:$D$189,"&lt;"&amp;D137)+(COUNTIFS($C$23:$C$189,"Yes",$D$23:$D$189,D137)-1)/2)/($O$18-1))^$O$7,"")</x:f>
      </x:c>
      <x:c r="I137" s="316" t="str">
        <x:f>IF(C137="Yes",100*((COUNTIFS($C$23:$C$189,"Yes",$E$23:$E$189,"&lt;"&amp;E137)+(COUNTIFS($C$23:$C$189,"Yes",$E$23:$E$189,E137)-1)/2)/($O$18-1))^$O$7,"")</x:f>
      </x:c>
      <x:c r="J137" s="316" t="str">
        <x:f>IF(C137="Yes",100*((COUNTIFS($C$23:$C$189,"Yes",$F$23:$F$189,"&gt;"&amp;F137)+(COUNTIFS($C$23:$C$189,"Yes",$F$23:$F$189,F137)-1)/2)/($O$18-1))^$O$7,"")</x:f>
      </x:c>
      <x:c r="K137" s="316" t="str">
        <x:f>IF(C137="Yes",100*((COUNTIFS($C$23:$C$189,"Yes",$G$23:$G$189,"&lt;"&amp;G137)+(COUNTIFS($C$23:$C$189,"Yes",$G$23:$G$189,G137)-1)/2)/($O$18-1))^$O$7,"")</x:f>
      </x:c>
      <x:c r="L137" s="316" t="str">
        <x:f>IF(C137="Yes",AVERAGE(H137:K137),"")</x:f>
      </x:c>
      <x:c r="M137" s="317" t="str">
        <x:f>IF(C137="Yes",1+COUNTIFS($A$23:$A$189,A137,$C$23:$C$189,"Yes",$L$23:$L$189,"&gt;"&amp;L137),"")</x:f>
      </x:c>
    </x:row>
    <x:row r="138">
      <x:c r="A138" s="311" t="str">
        <x:f>'All Stats'!A121</x:f>
        <x:v>K54</x:v>
      </x:c>
      <x:c r="B138" s="311" t="str">
        <x:f>'All Stats'!B121</x:f>
        <x:v>纵横,,,Nike耐克</x:v>
      </x:c>
      <x:c r="C138" s="315" t="str">
        <x:f>IF(G138&gt;=$O$6,"Yes","No")</x:f>
        <x:v>No</x:v>
      </x:c>
      <x:c r="D138" s="312" t="n">
        <x:f>'All Stats'!L121</x:f>
        <x:v>11.6699</x:v>
      </x:c>
      <x:c r="E138" s="312" t="n">
        <x:f>'All Stats'!M121</x:f>
        <x:v>11.942</x:v>
      </x:c>
      <x:c r="F138" s="312" t="n">
        <x:f>'All Stats'!O121</x:f>
        <x:v>-1.545</x:v>
      </x:c>
      <x:c r="G138" s="312" t="n">
        <x:f>'All Stats'!Q121</x:f>
        <x:v>6.16</x:v>
      </x:c>
      <x:c r="H138" s="316" t="str">
        <x:f>IF(C138="Yes",100*((COUNTIFS($C$23:$C$189,"Yes",$D$23:$D$189,"&lt;"&amp;D138)+(COUNTIFS($C$23:$C$189,"Yes",$D$23:$D$189,D138)-1)/2)/($O$18-1))^$O$7,"")</x:f>
      </x:c>
      <x:c r="I138" s="316" t="str">
        <x:f>IF(C138="Yes",100*((COUNTIFS($C$23:$C$189,"Yes",$E$23:$E$189,"&lt;"&amp;E138)+(COUNTIFS($C$23:$C$189,"Yes",$E$23:$E$189,E138)-1)/2)/($O$18-1))^$O$7,"")</x:f>
      </x:c>
      <x:c r="J138" s="316" t="str">
        <x:f>IF(C138="Yes",100*((COUNTIFS($C$23:$C$189,"Yes",$F$23:$F$189,"&gt;"&amp;F138)+(COUNTIFS($C$23:$C$189,"Yes",$F$23:$F$189,F138)-1)/2)/($O$18-1))^$O$7,"")</x:f>
      </x:c>
      <x:c r="K138" s="316" t="str">
        <x:f>IF(C138="Yes",100*((COUNTIFS($C$23:$C$189,"Yes",$G$23:$G$189,"&lt;"&amp;G138)+(COUNTIFS($C$23:$C$189,"Yes",$G$23:$G$189,G138)-1)/2)/($O$18-1))^$O$7,"")</x:f>
      </x:c>
      <x:c r="L138" s="316" t="str">
        <x:f>IF(C138="Yes",AVERAGE(H138:K138),"")</x:f>
      </x:c>
      <x:c r="M138" s="317" t="str">
        <x:f>IF(C138="Yes",1+COUNTIFS($A$23:$A$189,A138,$C$23:$C$189,"Yes",$L$23:$L$189,"&gt;"&amp;L138),"")</x:f>
      </x:c>
    </x:row>
    <x:row r="139">
      <x:c r="A139" s="311" t="str">
        <x:f>'All Stats'!A122</x:f>
        <x:v>K54</x:v>
      </x:c>
      <x:c r="B139" s="311" t="str">
        <x:f>'All Stats'!B122</x:f>
        <x:v>醉红尘</x:v>
      </x:c>
      <x:c r="C139" s="315" t="str">
        <x:f>IF(G139&gt;=$O$6,"Yes","No")</x:f>
        <x:v>Yes</x:v>
      </x:c>
      <x:c r="D139" s="312" t="n">
        <x:f>'All Stats'!L122</x:f>
        <x:v>27.9942</x:v>
      </x:c>
      <x:c r="E139" s="312" t="n">
        <x:f>'All Stats'!M122</x:f>
        <x:v>19.9157</x:v>
      </x:c>
      <x:c r="F139" s="312" t="n">
        <x:f>'All Stats'!O122</x:f>
        <x:v>-2.365</x:v>
      </x:c>
      <x:c r="G139" s="312" t="n">
        <x:f>'All Stats'!Q122</x:f>
        <x:v>9</x:v>
      </x:c>
      <x:c r="H139" s="316" t="n">
        <x:f>IF(C139="Yes",100*((COUNTIFS($C$23:$C$189,"Yes",$D$23:$D$189,"&lt;"&amp;D139)+(COUNTIFS($C$23:$C$189,"Yes",$D$23:$D$189,D139)-1)/2)/($O$18-1))^$O$7,"")</x:f>
        <x:v>83.68422348882154</x:v>
      </x:c>
      <x:c r="I139" s="316" t="n">
        <x:f>IF(C139="Yes",100*((COUNTIFS($C$23:$C$189,"Yes",$E$23:$E$189,"&lt;"&amp;E139)+(COUNTIFS($C$23:$C$189,"Yes",$E$23:$E$189,E139)-1)/2)/($O$18-1))^$O$7,"")</x:f>
        <x:v>73.50559455206242</x:v>
      </x:c>
      <x:c r="J139" s="316" t="n">
        <x:f>IF(C139="Yes",100*((COUNTIFS($C$23:$C$189,"Yes",$F$23:$F$189,"&gt;"&amp;F139)+(COUNTIFS($C$23:$C$189,"Yes",$F$23:$F$189,F139)-1)/2)/($O$18-1))^$O$7,"")</x:f>
        <x:v>94.42331239948454</x:v>
      </x:c>
      <x:c r="K139" s="316" t="n">
        <x:f>IF(C139="Yes",100*((COUNTIFS($C$23:$C$189,"Yes",$G$23:$G$189,"&lt;"&amp;G139)+(COUNTIFS($C$23:$C$189,"Yes",$G$23:$G$189,G139)-1)/2)/($O$18-1))^$O$7,"")</x:f>
        <x:v>83.68422348882154</x:v>
      </x:c>
      <x:c r="L139" s="316" t="n">
        <x:f>IF(C139="Yes",AVERAGE(H139:K139),"")</x:f>
        <x:v>83.8243384822975</x:v>
      </x:c>
      <x:c r="M139" s="317" t="n">
        <x:f>IF(C139="Yes",1+COUNTIFS($A$23:$A$189,A139,$C$23:$C$189,"Yes",$L$23:$L$189,"&gt;"&amp;L139),"")</x:f>
        <x:v>2</x:v>
      </x:c>
    </x:row>
    <x:row r="140">
      <x:c r="A140" s="311" t="str">
        <x:f>'All Stats'!A123</x:f>
        <x:v>K54</x:v>
      </x:c>
      <x:c r="B140" s="311" t="str">
        <x:f>'All Stats'!B123</x:f>
        <x:v>纵横,,,飞哥</x:v>
      </x:c>
      <x:c r="C140" s="315" t="str">
        <x:f>IF(G140&gt;=$O$6,"Yes","No")</x:f>
        <x:v>No</x:v>
      </x:c>
      <x:c r="D140" s="312" t="n">
        <x:f>'All Stats'!L123</x:f>
        <x:v>9.7584</x:v>
      </x:c>
      <x:c r="E140" s="312" t="n">
        <x:f>'All Stats'!M123</x:f>
        <x:v>12.772</x:v>
      </x:c>
      <x:c r="F140" s="312" t="n">
        <x:f>'All Stats'!O123</x:f>
        <x:v>-1.36</x:v>
      </x:c>
      <x:c r="G140" s="312" t="n">
        <x:f>'All Stats'!Q123</x:f>
        <x:v>3.62</x:v>
      </x:c>
      <x:c r="H140" s="316" t="str">
        <x:f>IF(C140="Yes",100*((COUNTIFS($C$23:$C$189,"Yes",$D$23:$D$189,"&lt;"&amp;D140)+(COUNTIFS($C$23:$C$189,"Yes",$D$23:$D$189,D140)-1)/2)/($O$18-1))^$O$7,"")</x:f>
      </x:c>
      <x:c r="I140" s="316" t="str">
        <x:f>IF(C140="Yes",100*((COUNTIFS($C$23:$C$189,"Yes",$E$23:$E$189,"&lt;"&amp;E140)+(COUNTIFS($C$23:$C$189,"Yes",$E$23:$E$189,E140)-1)/2)/($O$18-1))^$O$7,"")</x:f>
      </x:c>
      <x:c r="J140" s="316" t="str">
        <x:f>IF(C140="Yes",100*((COUNTIFS($C$23:$C$189,"Yes",$F$23:$F$189,"&gt;"&amp;F140)+(COUNTIFS($C$23:$C$189,"Yes",$F$23:$F$189,F140)-1)/2)/($O$18-1))^$O$7,"")</x:f>
      </x:c>
      <x:c r="K140" s="316" t="str">
        <x:f>IF(C140="Yes",100*((COUNTIFS($C$23:$C$189,"Yes",$G$23:$G$189,"&lt;"&amp;G140)+(COUNTIFS($C$23:$C$189,"Yes",$G$23:$G$189,G140)-1)/2)/($O$18-1))^$O$7,"")</x:f>
      </x:c>
      <x:c r="L140" s="316" t="str">
        <x:f>IF(C140="Yes",AVERAGE(H140:K140),"")</x:f>
      </x:c>
      <x:c r="M140" s="317" t="str">
        <x:f>IF(C140="Yes",1+COUNTIFS($A$23:$A$189,A140,$C$23:$C$189,"Yes",$L$23:$L$189,"&gt;"&amp;L140),"")</x:f>
      </x:c>
    </x:row>
    <x:row r="141">
      <x:c r="A141" s="311" t="str">
        <x:f>'All Stats'!A124</x:f>
        <x:v>K54</x:v>
      </x:c>
      <x:c r="B141" s="311" t="str">
        <x:f>'All Stats'!B124</x:f>
        <x:v>纵横,,,金王</x:v>
      </x:c>
      <x:c r="C141" s="315" t="str">
        <x:f>IF(G141&gt;=$O$6,"Yes","No")</x:f>
        <x:v>No</x:v>
      </x:c>
      <x:c r="D141" s="312" t="n">
        <x:f>'All Stats'!L124</x:f>
        <x:v>14.1699</x:v>
      </x:c>
      <x:c r="E141" s="312" t="n">
        <x:f>'All Stats'!M124</x:f>
        <x:v>12.652000000000001</x:v>
      </x:c>
      <x:c r="F141" s="312" t="n">
        <x:f>'All Stats'!O124</x:f>
        <x:v>-1.65</x:v>
      </x:c>
      <x:c r="G141" s="312" t="n">
        <x:f>'All Stats'!Q124</x:f>
        <x:v>6.16</x:v>
      </x:c>
      <x:c r="H141" s="316" t="str">
        <x:f>IF(C141="Yes",100*((COUNTIFS($C$23:$C$189,"Yes",$D$23:$D$189,"&lt;"&amp;D141)+(COUNTIFS($C$23:$C$189,"Yes",$D$23:$D$189,D141)-1)/2)/($O$18-1))^$O$7,"")</x:f>
      </x:c>
      <x:c r="I141" s="316" t="str">
        <x:f>IF(C141="Yes",100*((COUNTIFS($C$23:$C$189,"Yes",$E$23:$E$189,"&lt;"&amp;E141)+(COUNTIFS($C$23:$C$189,"Yes",$E$23:$E$189,E141)-1)/2)/($O$18-1))^$O$7,"")</x:f>
      </x:c>
      <x:c r="J141" s="316" t="str">
        <x:f>IF(C141="Yes",100*((COUNTIFS($C$23:$C$189,"Yes",$F$23:$F$189,"&gt;"&amp;F141)+(COUNTIFS($C$23:$C$189,"Yes",$F$23:$F$189,F141)-1)/2)/($O$18-1))^$O$7,"")</x:f>
      </x:c>
      <x:c r="K141" s="316" t="str">
        <x:f>IF(C141="Yes",100*((COUNTIFS($C$23:$C$189,"Yes",$G$23:$G$189,"&lt;"&amp;G141)+(COUNTIFS($C$23:$C$189,"Yes",$G$23:$G$189,G141)-1)/2)/($O$18-1))^$O$7,"")</x:f>
      </x:c>
      <x:c r="L141" s="316" t="str">
        <x:f>IF(C141="Yes",AVERAGE(H141:K141),"")</x:f>
      </x:c>
      <x:c r="M141" s="317" t="str">
        <x:f>IF(C141="Yes",1+COUNTIFS($A$23:$A$189,A141,$C$23:$C$189,"Yes",$L$23:$L$189,"&gt;"&amp;L141),"")</x:f>
      </x:c>
    </x:row>
    <x:row r="142">
      <x:c r="A142" s="311" t="str">
        <x:f>'All Stats'!A125</x:f>
        <x:v>K54</x:v>
      </x:c>
      <x:c r="B142" s="311" t="str">
        <x:f>'All Stats'!B125</x:f>
        <x:v>奕星的殺猪盤</x:v>
      </x:c>
      <x:c r="C142" s="315" t="str">
        <x:f>IF(G142&gt;=$O$6,"Yes","No")</x:f>
        <x:v>No</x:v>
      </x:c>
      <x:c r="D142" s="312" t="n">
        <x:f>'All Stats'!L125</x:f>
        <x:v>14.1099</x:v>
      </x:c>
      <x:c r="E142" s="312" t="n">
        <x:f>'All Stats'!M125</x:f>
        <x:v>14.462</x:v>
      </x:c>
      <x:c r="F142" s="312" t="n">
        <x:f>'All Stats'!O125</x:f>
        <x:v>-1.42</x:v>
      </x:c>
      <x:c r="G142" s="312" t="n">
        <x:f>'All Stats'!Q125</x:f>
        <x:v>4</x:v>
      </x:c>
      <x:c r="H142" s="316" t="str">
        <x:f>IF(C142="Yes",100*((COUNTIFS($C$23:$C$189,"Yes",$D$23:$D$189,"&lt;"&amp;D142)+(COUNTIFS($C$23:$C$189,"Yes",$D$23:$D$189,D142)-1)/2)/($O$18-1))^$O$7,"")</x:f>
      </x:c>
      <x:c r="I142" s="316" t="str">
        <x:f>IF(C142="Yes",100*((COUNTIFS($C$23:$C$189,"Yes",$E$23:$E$189,"&lt;"&amp;E142)+(COUNTIFS($C$23:$C$189,"Yes",$E$23:$E$189,E142)-1)/2)/($O$18-1))^$O$7,"")</x:f>
      </x:c>
      <x:c r="J142" s="316" t="str">
        <x:f>IF(C142="Yes",100*((COUNTIFS($C$23:$C$189,"Yes",$F$23:$F$189,"&gt;"&amp;F142)+(COUNTIFS($C$23:$C$189,"Yes",$F$23:$F$189,F142)-1)/2)/($O$18-1))^$O$7,"")</x:f>
      </x:c>
      <x:c r="K142" s="316" t="str">
        <x:f>IF(C142="Yes",100*((COUNTIFS($C$23:$C$189,"Yes",$G$23:$G$189,"&lt;"&amp;G142)+(COUNTIFS($C$23:$C$189,"Yes",$G$23:$G$189,G142)-1)/2)/($O$18-1))^$O$7,"")</x:f>
      </x:c>
      <x:c r="L142" s="316" t="str">
        <x:f>IF(C142="Yes",AVERAGE(H142:K142),"")</x:f>
      </x:c>
      <x:c r="M142" s="317" t="str">
        <x:f>IF(C142="Yes",1+COUNTIFS($A$23:$A$189,A142,$C$23:$C$189,"Yes",$L$23:$L$189,"&gt;"&amp;L142),"")</x:f>
      </x:c>
    </x:row>
    <x:row r="143">
      <x:c r="A143" s="311" t="str">
        <x:f>'All Stats'!A126</x:f>
        <x:v>K54</x:v>
      </x:c>
      <x:c r="B143" s="311" t="str">
        <x:f>'All Stats'!B126</x:f>
        <x:v>纵横,,,离火</x:v>
      </x:c>
      <x:c r="C143" s="315" t="str">
        <x:f>IF(G143&gt;=$O$6,"Yes","No")</x:f>
        <x:v>No</x:v>
      </x:c>
      <x:c r="D143" s="312" t="n">
        <x:f>'All Stats'!L126</x:f>
        <x:v>11.4099</x:v>
      </x:c>
      <x:c r="E143" s="312" t="n">
        <x:f>'All Stats'!M126</x:f>
        <x:v>11.262</x:v>
      </x:c>
      <x:c r="F143" s="312" t="n">
        <x:f>'All Stats'!O126</x:f>
        <x:v>-1.32</x:v>
      </x:c>
      <x:c r="G143" s="312" t="n">
        <x:f>'All Stats'!Q126</x:f>
        <x:v>6.1</x:v>
      </x:c>
      <x:c r="H143" s="316" t="str">
        <x:f>IF(C143="Yes",100*((COUNTIFS($C$23:$C$189,"Yes",$D$23:$D$189,"&lt;"&amp;D143)+(COUNTIFS($C$23:$C$189,"Yes",$D$23:$D$189,D143)-1)/2)/($O$18-1))^$O$7,"")</x:f>
      </x:c>
      <x:c r="I143" s="316" t="str">
        <x:f>IF(C143="Yes",100*((COUNTIFS($C$23:$C$189,"Yes",$E$23:$E$189,"&lt;"&amp;E143)+(COUNTIFS($C$23:$C$189,"Yes",$E$23:$E$189,E143)-1)/2)/($O$18-1))^$O$7,"")</x:f>
      </x:c>
      <x:c r="J143" s="316" t="str">
        <x:f>IF(C143="Yes",100*((COUNTIFS($C$23:$C$189,"Yes",$F$23:$F$189,"&gt;"&amp;F143)+(COUNTIFS($C$23:$C$189,"Yes",$F$23:$F$189,F143)-1)/2)/($O$18-1))^$O$7,"")</x:f>
      </x:c>
      <x:c r="K143" s="316" t="str">
        <x:f>IF(C143="Yes",100*((COUNTIFS($C$23:$C$189,"Yes",$G$23:$G$189,"&lt;"&amp;G143)+(COUNTIFS($C$23:$C$189,"Yes",$G$23:$G$189,G143)-1)/2)/($O$18-1))^$O$7,"")</x:f>
      </x:c>
      <x:c r="L143" s="316" t="str">
        <x:f>IF(C143="Yes",AVERAGE(H143:K143),"")</x:f>
      </x:c>
      <x:c r="M143" s="317" t="str">
        <x:f>IF(C143="Yes",1+COUNTIFS($A$23:$A$189,A143,$C$23:$C$189,"Yes",$L$23:$L$189,"&gt;"&amp;L143),"")</x:f>
      </x:c>
    </x:row>
    <x:row r="144">
      <x:c r="A144" s="311" t="str">
        <x:f>'All Stats'!A127</x:f>
        <x:v>K54</x:v>
      </x:c>
      <x:c r="B144" s="311" t="str">
        <x:f>'All Stats'!B127</x:f>
        <x:v>ony</x:v>
      </x:c>
      <x:c r="C144" s="315" t="str">
        <x:f>IF(G144&gt;=$O$6,"Yes","No")</x:f>
        <x:v>No</x:v>
      </x:c>
      <x:c r="D144" s="312" t="n">
        <x:f>'All Stats'!L127</x:f>
        <x:v>12.6899</x:v>
      </x:c>
      <x:c r="E144" s="312" t="n">
        <x:f>'All Stats'!M127</x:f>
        <x:v>12.512</x:v>
      </x:c>
      <x:c r="F144" s="312" t="n">
        <x:f>'All Stats'!O127</x:f>
        <x:v>-1.4475</x:v>
      </x:c>
      <x:c r="G144" s="312" t="n">
        <x:f>'All Stats'!Q127</x:f>
        <x:v>4.39</x:v>
      </x:c>
      <x:c r="H144" s="316" t="str">
        <x:f>IF(C144="Yes",100*((COUNTIFS($C$23:$C$189,"Yes",$D$23:$D$189,"&lt;"&amp;D144)+(COUNTIFS($C$23:$C$189,"Yes",$D$23:$D$189,D144)-1)/2)/($O$18-1))^$O$7,"")</x:f>
      </x:c>
      <x:c r="I144" s="316" t="str">
        <x:f>IF(C144="Yes",100*((COUNTIFS($C$23:$C$189,"Yes",$E$23:$E$189,"&lt;"&amp;E144)+(COUNTIFS($C$23:$C$189,"Yes",$E$23:$E$189,E144)-1)/2)/($O$18-1))^$O$7,"")</x:f>
      </x:c>
      <x:c r="J144" s="316" t="str">
        <x:f>IF(C144="Yes",100*((COUNTIFS($C$23:$C$189,"Yes",$F$23:$F$189,"&gt;"&amp;F144)+(COUNTIFS($C$23:$C$189,"Yes",$F$23:$F$189,F144)-1)/2)/($O$18-1))^$O$7,"")</x:f>
      </x:c>
      <x:c r="K144" s="316" t="str">
        <x:f>IF(C144="Yes",100*((COUNTIFS($C$23:$C$189,"Yes",$G$23:$G$189,"&lt;"&amp;G144)+(COUNTIFS($C$23:$C$189,"Yes",$G$23:$G$189,G144)-1)/2)/($O$18-1))^$O$7,"")</x:f>
      </x:c>
      <x:c r="L144" s="316" t="str">
        <x:f>IF(C144="Yes",AVERAGE(H144:K144),"")</x:f>
      </x:c>
      <x:c r="M144" s="317" t="str">
        <x:f>IF(C144="Yes",1+COUNTIFS($A$23:$A$189,A144,$C$23:$C$189,"Yes",$L$23:$L$189,"&gt;"&amp;L144),"")</x:f>
      </x:c>
    </x:row>
    <x:row r="145">
      <x:c r="A145" s="311" t="str">
        <x:f>'All Stats'!A128</x:f>
        <x:v>K197</x:v>
      </x:c>
      <x:c r="B145" s="311" t="str">
        <x:f>'All Stats'!B128</x:f>
        <x:v>Хлебушек</x:v>
      </x:c>
      <x:c r="C145" s="315" t="str">
        <x:f>IF(G145&gt;=$O$6,"Yes","No")</x:f>
        <x:v>Yes</x:v>
      </x:c>
      <x:c r="D145" s="312" t="n">
        <x:f>'All Stats'!L128</x:f>
        <x:v>29.695</x:v>
      </x:c>
      <x:c r="E145" s="312" t="n">
        <x:f>'All Stats'!M128</x:f>
        <x:v>25.987</x:v>
      </x:c>
      <x:c r="F145" s="312" t="n">
        <x:f>'All Stats'!O128</x:f>
        <x:v>-2.345</x:v>
      </x:c>
      <x:c r="G145" s="312" t="n">
        <x:f>'All Stats'!Q128</x:f>
        <x:v>9</x:v>
      </x:c>
      <x:c r="H145" s="316" t="n">
        <x:f>IF(C145="Yes",100*((COUNTIFS($C$23:$C$189,"Yes",$D$23:$D$189,"&lt;"&amp;D145)+(COUNTIFS($C$23:$C$189,"Yes",$D$23:$D$189,D145)-1)/2)/($O$18-1))^$O$7,"")</x:f>
        <x:v>94.42331239948454</x:v>
      </x:c>
      <x:c r="I145" s="316" t="n">
        <x:f>IF(C145="Yes",100*((COUNTIFS($C$23:$C$189,"Yes",$E$23:$E$189,"&lt;"&amp;E145)+(COUNTIFS($C$23:$C$189,"Yes",$E$23:$E$189,E145)-1)/2)/($O$18-1))^$O$7,"")</x:f>
        <x:v>94.42331239948454</x:v>
      </x:c>
      <x:c r="J145" s="316" t="n">
        <x:f>IF(C145="Yes",100*((COUNTIFS($C$23:$C$189,"Yes",$F$23:$F$189,"&gt;"&amp;F145)+(COUNTIFS($C$23:$C$189,"Yes",$F$23:$F$189,F145)-1)/2)/($O$18-1))^$O$7,"")</x:f>
        <x:v>83.68422348882154</x:v>
      </x:c>
      <x:c r="K145" s="316" t="n">
        <x:f>IF(C145="Yes",100*((COUNTIFS($C$23:$C$189,"Yes",$G$23:$G$189,"&lt;"&amp;G145)+(COUNTIFS($C$23:$C$189,"Yes",$G$23:$G$189,G145)-1)/2)/($O$18-1))^$O$7,"")</x:f>
        <x:v>83.68422348882154</x:v>
      </x:c>
      <x:c r="L145" s="316" t="n">
        <x:f>IF(C145="Yes",AVERAGE(H145:K145),"")</x:f>
        <x:v>89.05376794415304</x:v>
      </x:c>
      <x:c r="M145" s="317" t="n">
        <x:f>IF(C145="Yes",1+COUNTIFS($A$23:$A$189,A145,$C$23:$C$189,"Yes",$L$23:$L$189,"&gt;"&amp;L145),"")</x:f>
        <x:v>1</x:v>
      </x:c>
    </x:row>
    <x:row r="146">
      <x:c r="A146" s="311" t="str">
        <x:f>'All Stats'!A129</x:f>
        <x:v>K197</x:v>
      </x:c>
      <x:c r="B146" s="311" t="str">
        <x:f>'All Stats'!B129</x:f>
        <x:v>Zakmil23139</x:v>
      </x:c>
      <x:c r="C146" s="315" t="str">
        <x:f>IF(G146&gt;=$O$6,"Yes","No")</x:f>
        <x:v>Yes</x:v>
      </x:c>
      <x:c r="D146" s="312" t="n">
        <x:f>'All Stats'!L129</x:f>
        <x:v>20.999200000000002</x:v>
      </x:c>
      <x:c r="E146" s="312" t="n">
        <x:f>'All Stats'!M129</x:f>
        <x:v>15.9207</x:v>
      </x:c>
      <x:c r="F146" s="312" t="n">
        <x:f>'All Stats'!O129</x:f>
        <x:v>-1.4875</x:v>
      </x:c>
      <x:c r="G146" s="312" t="n">
        <x:f>'All Stats'!Q129</x:f>
        <x:v>7</x:v>
      </x:c>
      <x:c r="H146" s="316" t="n">
        <x:f>IF(C146="Yes",100*((COUNTIFS($C$23:$C$189,"Yes",$D$23:$D$189,"&lt;"&amp;D146)+(COUNTIFS($C$23:$C$189,"Yes",$D$23:$D$189,D146)-1)/2)/($O$18-1))^$O$7,"")</x:f>
        <x:v>21.853344008454474</x:v>
      </x:c>
      <x:c r="I146" s="316" t="n">
        <x:f>IF(C146="Yes",100*((COUNTIFS($C$23:$C$189,"Yes",$E$23:$E$189,"&lt;"&amp;E146)+(COUNTIFS($C$23:$C$189,"Yes",$E$23:$E$189,E146)-1)/2)/($O$18-1))^$O$7,"")</x:f>
        <x:v>31.42874255011785</x:v>
      </x:c>
      <x:c r="J146" s="316" t="n">
        <x:f>IF(C146="Yes",100*((COUNTIFS($C$23:$C$189,"Yes",$F$23:$F$189,"&gt;"&amp;F146)+(COUNTIFS($C$23:$C$189,"Yes",$F$23:$F$189,F146)-1)/2)/($O$18-1))^$O$7,"")</x:f>
        <x:v>1.6791103226767623</x:v>
      </x:c>
      <x:c r="K146" s="316" t="n">
        <x:f>IF(C146="Yes",100*((COUNTIFS($C$23:$C$189,"Yes",$G$23:$G$189,"&lt;"&amp;G146)+(COUNTIFS($C$23:$C$189,"Yes",$G$23:$G$189,G146)-1)/2)/($O$18-1))^$O$7,"")</x:f>
        <x:v>17.63348920985086</x:v>
      </x:c>
      <x:c r="L146" s="316" t="n">
        <x:f>IF(C146="Yes",AVERAGE(H146:K146),"")</x:f>
        <x:v>18.148671522774986</x:v>
      </x:c>
      <x:c r="M146" s="317" t="n">
        <x:f>IF(C146="Yes",1+COUNTIFS($A$23:$A$189,A146,$C$23:$C$189,"Yes",$L$23:$L$189,"&gt;"&amp;L146),"")</x:f>
        <x:v>3</x:v>
      </x:c>
    </x:row>
    <x:row r="147">
      <x:c r="A147" s="311" t="str">
        <x:f>'All Stats'!A130</x:f>
        <x:v>K197</x:v>
      </x:c>
      <x:c r="B147" s="311" t="str">
        <x:f>'All Stats'!B130</x:f>
        <x:v>NightFury</x:v>
      </x:c>
      <x:c r="C147" s="315" t="str">
        <x:f>IF(G147&gt;=$O$6,"Yes","No")</x:f>
        <x:v>No</x:v>
      </x:c>
      <x:c r="D147" s="312" t="n">
        <x:f>'All Stats'!L130</x:f>
        <x:v>18.9592</x:v>
      </x:c>
      <x:c r="E147" s="312" t="n">
        <x:f>'All Stats'!M130</x:f>
        <x:v>11.9607</x:v>
      </x:c>
      <x:c r="F147" s="312" t="n">
        <x:f>'All Stats'!O130</x:f>
        <x:v>-1.57</x:v>
      </x:c>
      <x:c r="G147" s="312" t="n">
        <x:f>'All Stats'!Q130</x:f>
        <x:v>1.75</x:v>
      </x:c>
      <x:c r="H147" s="316" t="str">
        <x:f>IF(C147="Yes",100*((COUNTIFS($C$23:$C$189,"Yes",$D$23:$D$189,"&lt;"&amp;D147)+(COUNTIFS($C$23:$C$189,"Yes",$D$23:$D$189,D147)-1)/2)/($O$18-1))^$O$7,"")</x:f>
      </x:c>
      <x:c r="I147" s="316" t="str">
        <x:f>IF(C147="Yes",100*((COUNTIFS($C$23:$C$189,"Yes",$E$23:$E$189,"&lt;"&amp;E147)+(COUNTIFS($C$23:$C$189,"Yes",$E$23:$E$189,E147)-1)/2)/($O$18-1))^$O$7,"")</x:f>
      </x:c>
      <x:c r="J147" s="316" t="str">
        <x:f>IF(C147="Yes",100*((COUNTIFS($C$23:$C$189,"Yes",$F$23:$F$189,"&gt;"&amp;F147)+(COUNTIFS($C$23:$C$189,"Yes",$F$23:$F$189,F147)-1)/2)/($O$18-1))^$O$7,"")</x:f>
      </x:c>
      <x:c r="K147" s="316" t="str">
        <x:f>IF(C147="Yes",100*((COUNTIFS($C$23:$C$189,"Yes",$G$23:$G$189,"&lt;"&amp;G147)+(COUNTIFS($C$23:$C$189,"Yes",$G$23:$G$189,G147)-1)/2)/($O$18-1))^$O$7,"")</x:f>
      </x:c>
      <x:c r="L147" s="316" t="str">
        <x:f>IF(C147="Yes",AVERAGE(H147:K147),"")</x:f>
      </x:c>
      <x:c r="M147" s="317" t="str">
        <x:f>IF(C147="Yes",1+COUNTIFS($A$23:$A$189,A147,$C$23:$C$189,"Yes",$L$23:$L$189,"&gt;"&amp;L147),"")</x:f>
      </x:c>
    </x:row>
    <x:row r="148">
      <x:c r="A148" s="311" t="str">
        <x:f>'All Stats'!A131</x:f>
        <x:v>K197</x:v>
      </x:c>
      <x:c r="B148" s="311" t="str">
        <x:f>'All Stats'!B131</x:f>
        <x:v>Saku</x:v>
      </x:c>
      <x:c r="C148" s="315" t="str">
        <x:f>IF(G148&gt;=$O$6,"Yes","No")</x:f>
        <x:v>Yes</x:v>
      </x:c>
      <x:c r="D148" s="312" t="n">
        <x:f>'All Stats'!L131</x:f>
        <x:v>19.8392</x:v>
      </x:c>
      <x:c r="E148" s="312" t="n">
        <x:f>'All Stats'!M131</x:f>
        <x:v>12.240699999999999</x:v>
      </x:c>
      <x:c r="F148" s="312" t="n">
        <x:f>'All Stats'!O131</x:f>
        <x:v>-1.775</x:v>
      </x:c>
      <x:c r="G148" s="312" t="n">
        <x:f>'All Stats'!Q131</x:f>
        <x:v>7</x:v>
      </x:c>
      <x:c r="H148" s="316" t="n">
        <x:f>IF(C148="Yes",100*((COUNTIFS($C$23:$C$189,"Yes",$D$23:$D$189,"&lt;"&amp;D148)+(COUNTIFS($C$23:$C$189,"Yes",$D$23:$D$189,D148)-1)/2)/($O$18-1))^$O$7,"")</x:f>
        <x:v>13.80756307398405</x:v>
      </x:c>
      <x:c r="I148" s="316" t="n">
        <x:f>IF(C148="Yes",100*((COUNTIFS($C$23:$C$189,"Yes",$E$23:$E$189,"&lt;"&amp;E148)+(COUNTIFS($C$23:$C$189,"Yes",$E$23:$E$189,E148)-1)/2)/($O$18-1))^$O$7,"")</x:f>
        <x:v>2.7779346226693145</x:v>
      </x:c>
      <x:c r="J148" s="316" t="n">
        <x:f>IF(C148="Yes",100*((COUNTIFS($C$23:$C$189,"Yes",$F$23:$F$189,"&gt;"&amp;F148)+(COUNTIFS($C$23:$C$189,"Yes",$F$23:$F$189,F148)-1)/2)/($O$18-1))^$O$7,"")</x:f>
        <x:v>24.879468496596104</x:v>
      </x:c>
      <x:c r="K148" s="316" t="n">
        <x:f>IF(C148="Yes",100*((COUNTIFS($C$23:$C$189,"Yes",$G$23:$G$189,"&lt;"&amp;G148)+(COUNTIFS($C$23:$C$189,"Yes",$G$23:$G$189,G148)-1)/2)/($O$18-1))^$O$7,"")</x:f>
        <x:v>17.63348920985086</x:v>
      </x:c>
      <x:c r="L148" s="316" t="n">
        <x:f>IF(C148="Yes",AVERAGE(H148:K148),"")</x:f>
        <x:v>14.774613850775083</x:v>
      </x:c>
      <x:c r="M148" s="317" t="n">
        <x:f>IF(C148="Yes",1+COUNTIFS($A$23:$A$189,A148,$C$23:$C$189,"Yes",$L$23:$L$189,"&gt;"&amp;L148),"")</x:f>
        <x:v>4</x:v>
      </x:c>
    </x:row>
    <x:row r="149">
      <x:c r="A149" s="311" t="str">
        <x:f>'All Stats'!A132</x:f>
        <x:v>K197</x:v>
      </x:c>
      <x:c r="B149" s="311" t="str">
        <x:f>'All Stats'!B132</x:f>
        <x:v>Бапм</x:v>
      </x:c>
      <x:c r="C149" s="315" t="str">
        <x:f>IF(G149&gt;=$O$6,"Yes","No")</x:f>
        <x:v>No</x:v>
      </x:c>
      <x:c r="D149" s="312" t="n">
        <x:f>'All Stats'!L132</x:f>
        <x:v>9.8734</x:v>
      </x:c>
      <x:c r="E149" s="312" t="n">
        <x:f>'All Stats'!M132</x:f>
        <x:v>11.637</x:v>
      </x:c>
      <x:c r="F149" s="312" t="n">
        <x:f>'All Stats'!O132</x:f>
        <x:v>-0.5825</x:v>
      </x:c>
      <x:c r="G149" s="312" t="n">
        <x:f>'All Stats'!Q132</x:f>
        <x:v>2.01</x:v>
      </x:c>
      <x:c r="H149" s="316" t="str">
        <x:f>IF(C149="Yes",100*((COUNTIFS($C$23:$C$189,"Yes",$D$23:$D$189,"&lt;"&amp;D149)+(COUNTIFS($C$23:$C$189,"Yes",$D$23:$D$189,D149)-1)/2)/($O$18-1))^$O$7,"")</x:f>
      </x:c>
      <x:c r="I149" s="316" t="str">
        <x:f>IF(C149="Yes",100*((COUNTIFS($C$23:$C$189,"Yes",$E$23:$E$189,"&lt;"&amp;E149)+(COUNTIFS($C$23:$C$189,"Yes",$E$23:$E$189,E149)-1)/2)/($O$18-1))^$O$7,"")</x:f>
      </x:c>
      <x:c r="J149" s="316" t="str">
        <x:f>IF(C149="Yes",100*((COUNTIFS($C$23:$C$189,"Yes",$F$23:$F$189,"&gt;"&amp;F149)+(COUNTIFS($C$23:$C$189,"Yes",$F$23:$F$189,F149)-1)/2)/($O$18-1))^$O$7,"")</x:f>
      </x:c>
      <x:c r="K149" s="316" t="str">
        <x:f>IF(C149="Yes",100*((COUNTIFS($C$23:$C$189,"Yes",$G$23:$G$189,"&lt;"&amp;G149)+(COUNTIFS($C$23:$C$189,"Yes",$G$23:$G$189,G149)-1)/2)/($O$18-1))^$O$7,"")</x:f>
      </x:c>
      <x:c r="L149" s="316" t="str">
        <x:f>IF(C149="Yes",AVERAGE(H149:K149),"")</x:f>
      </x:c>
      <x:c r="M149" s="317" t="str">
        <x:f>IF(C149="Yes",1+COUNTIFS($A$23:$A$189,A149,$C$23:$C$189,"Yes",$L$23:$L$189,"&gt;"&amp;L149),"")</x:f>
      </x:c>
    </x:row>
    <x:row r="150">
      <x:c r="A150" s="311" t="str">
        <x:f>'All Stats'!A133</x:f>
        <x:v>K197</x:v>
      </x:c>
      <x:c r="B150" s="311" t="str">
        <x:f>'All Stats'!B133</x:f>
        <x:v>Oiuuuuuuuuuuuuu</x:v>
      </x:c>
      <x:c r="C150" s="315" t="str">
        <x:f>IF(G150&gt;=$O$6,"Yes","No")</x:f>
        <x:v>No</x:v>
      </x:c>
      <x:c r="D150" s="312" t="n">
        <x:f>'All Stats'!L133</x:f>
        <x:v>17.7454</x:v>
      </x:c>
      <x:c r="E150" s="312" t="n">
        <x:f>'All Stats'!M133</x:f>
        <x:v>13.1657</x:v>
      </x:c>
      <x:c r="F150" s="312" t="n">
        <x:f>'All Stats'!O133</x:f>
        <x:v>-0.7925</x:v>
      </x:c>
      <x:c r="G150" s="312" t="n">
        <x:f>'All Stats'!Q133</x:f>
        <x:v>3.23</x:v>
      </x:c>
      <x:c r="H150" s="316" t="str">
        <x:f>IF(C150="Yes",100*((COUNTIFS($C$23:$C$189,"Yes",$D$23:$D$189,"&lt;"&amp;D150)+(COUNTIFS($C$23:$C$189,"Yes",$D$23:$D$189,D150)-1)/2)/($O$18-1))^$O$7,"")</x:f>
      </x:c>
      <x:c r="I150" s="316" t="str">
        <x:f>IF(C150="Yes",100*((COUNTIFS($C$23:$C$189,"Yes",$E$23:$E$189,"&lt;"&amp;E150)+(COUNTIFS($C$23:$C$189,"Yes",$E$23:$E$189,E150)-1)/2)/($O$18-1))^$O$7,"")</x:f>
      </x:c>
      <x:c r="J150" s="316" t="str">
        <x:f>IF(C150="Yes",100*((COUNTIFS($C$23:$C$189,"Yes",$F$23:$F$189,"&gt;"&amp;F150)+(COUNTIFS($C$23:$C$189,"Yes",$F$23:$F$189,F150)-1)/2)/($O$18-1))^$O$7,"")</x:f>
      </x:c>
      <x:c r="K150" s="316" t="str">
        <x:f>IF(C150="Yes",100*((COUNTIFS($C$23:$C$189,"Yes",$G$23:$G$189,"&lt;"&amp;G150)+(COUNTIFS($C$23:$C$189,"Yes",$G$23:$G$189,G150)-1)/2)/($O$18-1))^$O$7,"")</x:f>
      </x:c>
      <x:c r="L150" s="316" t="str">
        <x:f>IF(C150="Yes",AVERAGE(H150:K150),"")</x:f>
      </x:c>
      <x:c r="M150" s="317" t="str">
        <x:f>IF(C150="Yes",1+COUNTIFS($A$23:$A$189,A150,$C$23:$C$189,"Yes",$L$23:$L$189,"&gt;"&amp;L150),"")</x:f>
      </x:c>
    </x:row>
    <x:row r="151">
      <x:c r="A151" s="311" t="str">
        <x:f>'All Stats'!A134</x:f>
        <x:v>K197</x:v>
      </x:c>
      <x:c r="B151" s="311" t="str">
        <x:f>'All Stats'!B134</x:f>
        <x:v>々нυηтєя々</x:v>
      </x:c>
      <x:c r="C151" s="315" t="str">
        <x:f>IF(G151&gt;=$O$6,"Yes","No")</x:f>
        <x:v>No</x:v>
      </x:c>
      <x:c r="D151" s="312" t="n">
        <x:f>'All Stats'!L134</x:f>
        <x:v>17.3854</x:v>
      </x:c>
      <x:c r="E151" s="312" t="n">
        <x:f>'All Stats'!M134</x:f>
        <x:v>11.83</x:v>
      </x:c>
      <x:c r="F151" s="312" t="n">
        <x:f>'All Stats'!O134</x:f>
        <x:v>-0.75</x:v>
      </x:c>
      <x:c r="G151" s="312" t="n">
        <x:f>'All Stats'!Q134</x:f>
        <x:v>3.38</x:v>
      </x:c>
      <x:c r="H151" s="316" t="str">
        <x:f>IF(C151="Yes",100*((COUNTIFS($C$23:$C$189,"Yes",$D$23:$D$189,"&lt;"&amp;D151)+(COUNTIFS($C$23:$C$189,"Yes",$D$23:$D$189,D151)-1)/2)/($O$18-1))^$O$7,"")</x:f>
      </x:c>
      <x:c r="I151" s="316" t="str">
        <x:f>IF(C151="Yes",100*((COUNTIFS($C$23:$C$189,"Yes",$E$23:$E$189,"&lt;"&amp;E151)+(COUNTIFS($C$23:$C$189,"Yes",$E$23:$E$189,E151)-1)/2)/($O$18-1))^$O$7,"")</x:f>
      </x:c>
      <x:c r="J151" s="316" t="str">
        <x:f>IF(C151="Yes",100*((COUNTIFS($C$23:$C$189,"Yes",$F$23:$F$189,"&gt;"&amp;F151)+(COUNTIFS($C$23:$C$189,"Yes",$F$23:$F$189,F151)-1)/2)/($O$18-1))^$O$7,"")</x:f>
      </x:c>
      <x:c r="K151" s="316" t="str">
        <x:f>IF(C151="Yes",100*((COUNTIFS($C$23:$C$189,"Yes",$G$23:$G$189,"&lt;"&amp;G151)+(COUNTIFS($C$23:$C$189,"Yes",$G$23:$G$189,G151)-1)/2)/($O$18-1))^$O$7,"")</x:f>
      </x:c>
      <x:c r="L151" s="316" t="str">
        <x:f>IF(C151="Yes",AVERAGE(H151:K151),"")</x:f>
      </x:c>
      <x:c r="M151" s="317" t="str">
        <x:f>IF(C151="Yes",1+COUNTIFS($A$23:$A$189,A151,$C$23:$C$189,"Yes",$L$23:$L$189,"&gt;"&amp;L151),"")</x:f>
      </x:c>
    </x:row>
    <x:row r="152">
      <x:c r="A152" s="311" t="str">
        <x:f>'All Stats'!A135</x:f>
        <x:v>K197</x:v>
      </x:c>
      <x:c r="B152" s="311" t="str">
        <x:f>'All Stats'!B135</x:f>
        <x:v>Caramel</x:v>
      </x:c>
      <x:c r="C152" s="315" t="str">
        <x:f>IF(G152&gt;=$O$6,"Yes","No")</x:f>
        <x:v>No</x:v>
      </x:c>
      <x:c r="D152" s="312" t="n">
        <x:f>'All Stats'!L135</x:f>
        <x:v>13.1312</x:v>
      </x:c>
      <x:c r="E152" s="312" t="n">
        <x:f>'All Stats'!M135</x:f>
        <x:v>9.8942</x:v>
      </x:c>
      <x:c r="F152" s="312" t="n">
        <x:f>'All Stats'!O135</x:f>
        <x:v>-0.485</x:v>
      </x:c>
      <x:c r="G152" s="312" t="n">
        <x:f>'All Stats'!Q135</x:f>
        <x:v>1.66</x:v>
      </x:c>
      <x:c r="H152" s="316" t="str">
        <x:f>IF(C152="Yes",100*((COUNTIFS($C$23:$C$189,"Yes",$D$23:$D$189,"&lt;"&amp;D152)+(COUNTIFS($C$23:$C$189,"Yes",$D$23:$D$189,D152)-1)/2)/($O$18-1))^$O$7,"")</x:f>
      </x:c>
      <x:c r="I152" s="316" t="str">
        <x:f>IF(C152="Yes",100*((COUNTIFS($C$23:$C$189,"Yes",$E$23:$E$189,"&lt;"&amp;E152)+(COUNTIFS($C$23:$C$189,"Yes",$E$23:$E$189,E152)-1)/2)/($O$18-1))^$O$7,"")</x:f>
      </x:c>
      <x:c r="J152" s="316" t="str">
        <x:f>IF(C152="Yes",100*((COUNTIFS($C$23:$C$189,"Yes",$F$23:$F$189,"&gt;"&amp;F152)+(COUNTIFS($C$23:$C$189,"Yes",$F$23:$F$189,F152)-1)/2)/($O$18-1))^$O$7,"")</x:f>
      </x:c>
      <x:c r="K152" s="316" t="str">
        <x:f>IF(C152="Yes",100*((COUNTIFS($C$23:$C$189,"Yes",$G$23:$G$189,"&lt;"&amp;G152)+(COUNTIFS($C$23:$C$189,"Yes",$G$23:$G$189,G152)-1)/2)/($O$18-1))^$O$7,"")</x:f>
      </x:c>
      <x:c r="L152" s="316" t="str">
        <x:f>IF(C152="Yes",AVERAGE(H152:K152),"")</x:f>
      </x:c>
      <x:c r="M152" s="317" t="str">
        <x:f>IF(C152="Yes",1+COUNTIFS($A$23:$A$189,A152,$C$23:$C$189,"Yes",$L$23:$L$189,"&gt;"&amp;L152),"")</x:f>
      </x:c>
    </x:row>
    <x:row r="153">
      <x:c r="A153" s="311" t="str">
        <x:f>'All Stats'!A136</x:f>
        <x:v>K197</x:v>
      </x:c>
      <x:c r="B153" s="311" t="str">
        <x:f>'All Stats'!B136</x:f>
        <x:v>†ŁØRD†</x:v>
      </x:c>
      <x:c r="C153" s="315" t="str">
        <x:f>IF(G153&gt;=$O$6,"Yes","No")</x:f>
        <x:v>No</x:v>
      </x:c>
      <x:c r="D153" s="312" t="n">
        <x:f>'All Stats'!L136</x:f>
        <x:v>15.2412</x:v>
      </x:c>
      <x:c r="E153" s="312" t="n">
        <x:f>'All Stats'!M136</x:f>
        <x:v>13.0749</x:v>
      </x:c>
      <x:c r="F153" s="312" t="n">
        <x:f>'All Stats'!O136</x:f>
        <x:v>-1.475</x:v>
      </x:c>
      <x:c r="G153" s="312" t="n">
        <x:f>'All Stats'!Q136</x:f>
        <x:v>1.75</x:v>
      </x:c>
      <x:c r="H153" s="316" t="str">
        <x:f>IF(C153="Yes",100*((COUNTIFS($C$23:$C$189,"Yes",$D$23:$D$189,"&lt;"&amp;D153)+(COUNTIFS($C$23:$C$189,"Yes",$D$23:$D$189,D153)-1)/2)/($O$18-1))^$O$7,"")</x:f>
      </x:c>
      <x:c r="I153" s="316" t="str">
        <x:f>IF(C153="Yes",100*((COUNTIFS($C$23:$C$189,"Yes",$E$23:$E$189,"&lt;"&amp;E153)+(COUNTIFS($C$23:$C$189,"Yes",$E$23:$E$189,E153)-1)/2)/($O$18-1))^$O$7,"")</x:f>
      </x:c>
      <x:c r="J153" s="316" t="str">
        <x:f>IF(C153="Yes",100*((COUNTIFS($C$23:$C$189,"Yes",$F$23:$F$189,"&gt;"&amp;F153)+(COUNTIFS($C$23:$C$189,"Yes",$F$23:$F$189,F153)-1)/2)/($O$18-1))^$O$7,"")</x:f>
      </x:c>
      <x:c r="K153" s="316" t="str">
        <x:f>IF(C153="Yes",100*((COUNTIFS($C$23:$C$189,"Yes",$G$23:$G$189,"&lt;"&amp;G153)+(COUNTIFS($C$23:$C$189,"Yes",$G$23:$G$189,G153)-1)/2)/($O$18-1))^$O$7,"")</x:f>
      </x:c>
      <x:c r="L153" s="316" t="str">
        <x:f>IF(C153="Yes",AVERAGE(H153:K153),"")</x:f>
      </x:c>
      <x:c r="M153" s="317" t="str">
        <x:f>IF(C153="Yes",1+COUNTIFS($A$23:$A$189,A153,$C$23:$C$189,"Yes",$L$23:$L$189,"&gt;"&amp;L153),"")</x:f>
      </x:c>
    </x:row>
    <x:row r="154">
      <x:c r="A154" s="311" t="str">
        <x:f>'All Stats'!A137</x:f>
        <x:v>K197</x:v>
      </x:c>
      <x:c r="B154" s="311" t="str">
        <x:f>'All Stats'!B137</x:f>
        <x:v>RΣDΣYΣ</x:v>
      </x:c>
      <x:c r="C154" s="315" t="str">
        <x:f>IF(G154&gt;=$O$6,"Yes","No")</x:f>
        <x:v>No</x:v>
      </x:c>
      <x:c r="D154" s="312" t="n">
        <x:f>'All Stats'!L137</x:f>
        <x:v>18.745</x:v>
      </x:c>
      <x:c r="E154" s="312" t="n">
        <x:f>'All Stats'!M137</x:f>
        <x:v>14.817</x:v>
      </x:c>
      <x:c r="F154" s="312" t="n">
        <x:f>'All Stats'!O137</x:f>
        <x:v>-0.7725</x:v>
      </x:c>
      <x:c r="G154" s="312" t="n">
        <x:f>'All Stats'!Q137</x:f>
        <x:v>5.04</x:v>
      </x:c>
      <x:c r="H154" s="316" t="str">
        <x:f>IF(C154="Yes",100*((COUNTIFS($C$23:$C$189,"Yes",$D$23:$D$189,"&lt;"&amp;D154)+(COUNTIFS($C$23:$C$189,"Yes",$D$23:$D$189,D154)-1)/2)/($O$18-1))^$O$7,"")</x:f>
      </x:c>
      <x:c r="I154" s="316" t="str">
        <x:f>IF(C154="Yes",100*((COUNTIFS($C$23:$C$189,"Yes",$E$23:$E$189,"&lt;"&amp;E154)+(COUNTIFS($C$23:$C$189,"Yes",$E$23:$E$189,E154)-1)/2)/($O$18-1))^$O$7,"")</x:f>
      </x:c>
      <x:c r="J154" s="316" t="str">
        <x:f>IF(C154="Yes",100*((COUNTIFS($C$23:$C$189,"Yes",$F$23:$F$189,"&gt;"&amp;F154)+(COUNTIFS($C$23:$C$189,"Yes",$F$23:$F$189,F154)-1)/2)/($O$18-1))^$O$7,"")</x:f>
      </x:c>
      <x:c r="K154" s="316" t="str">
        <x:f>IF(C154="Yes",100*((COUNTIFS($C$23:$C$189,"Yes",$G$23:$G$189,"&lt;"&amp;G154)+(COUNTIFS($C$23:$C$189,"Yes",$G$23:$G$189,G154)-1)/2)/($O$18-1))^$O$7,"")</x:f>
      </x:c>
      <x:c r="L154" s="316" t="str">
        <x:f>IF(C154="Yes",AVERAGE(H154:K154),"")</x:f>
      </x:c>
      <x:c r="M154" s="317" t="str">
        <x:f>IF(C154="Yes",1+COUNTIFS($A$23:$A$189,A154,$C$23:$C$189,"Yes",$L$23:$L$189,"&gt;"&amp;L154),"")</x:f>
      </x:c>
    </x:row>
    <x:row r="155">
      <x:c r="A155" s="311" t="str">
        <x:f>'All Stats'!A138</x:f>
        <x:v>K197</x:v>
      </x:c>
      <x:c r="B155" s="311" t="str">
        <x:f>'All Stats'!B138</x:f>
        <x:v>Loong</x:v>
      </x:c>
      <x:c r="C155" s="315" t="str">
        <x:f>IF(G155&gt;=$O$6,"Yes","No")</x:f>
        <x:v>No</x:v>
      </x:c>
      <x:c r="D155" s="312" t="n">
        <x:f>'All Stats'!L138</x:f>
        <x:v>17.8812</x:v>
      </x:c>
      <x:c r="E155" s="312" t="n">
        <x:f>'All Stats'!M138</x:f>
        <x:v>15.2949</x:v>
      </x:c>
      <x:c r="F155" s="312" t="n">
        <x:f>'All Stats'!O138</x:f>
        <x:v>-1.59</x:v>
      </x:c>
      <x:c r="G155" s="312" t="n">
        <x:f>'All Stats'!Q138</x:f>
        <x:v>5.09</x:v>
      </x:c>
      <x:c r="H155" s="316" t="str">
        <x:f>IF(C155="Yes",100*((COUNTIFS($C$23:$C$189,"Yes",$D$23:$D$189,"&lt;"&amp;D155)+(COUNTIFS($C$23:$C$189,"Yes",$D$23:$D$189,D155)-1)/2)/($O$18-1))^$O$7,"")</x:f>
      </x:c>
      <x:c r="I155" s="316" t="str">
        <x:f>IF(C155="Yes",100*((COUNTIFS($C$23:$C$189,"Yes",$E$23:$E$189,"&lt;"&amp;E155)+(COUNTIFS($C$23:$C$189,"Yes",$E$23:$E$189,E155)-1)/2)/($O$18-1))^$O$7,"")</x:f>
      </x:c>
      <x:c r="J155" s="316" t="str">
        <x:f>IF(C155="Yes",100*((COUNTIFS($C$23:$C$189,"Yes",$F$23:$F$189,"&gt;"&amp;F155)+(COUNTIFS($C$23:$C$189,"Yes",$F$23:$F$189,F155)-1)/2)/($O$18-1))^$O$7,"")</x:f>
      </x:c>
      <x:c r="K155" s="316" t="str">
        <x:f>IF(C155="Yes",100*((COUNTIFS($C$23:$C$189,"Yes",$G$23:$G$189,"&lt;"&amp;G155)+(COUNTIFS($C$23:$C$189,"Yes",$G$23:$G$189,G155)-1)/2)/($O$18-1))^$O$7,"")</x:f>
      </x:c>
      <x:c r="L155" s="316" t="str">
        <x:f>IF(C155="Yes",AVERAGE(H155:K155),"")</x:f>
      </x:c>
      <x:c r="M155" s="317" t="str">
        <x:f>IF(C155="Yes",1+COUNTIFS($A$23:$A$189,A155,$C$23:$C$189,"Yes",$L$23:$L$189,"&gt;"&amp;L155),"")</x:f>
      </x:c>
    </x:row>
    <x:row r="156">
      <x:c r="A156" s="311" t="str">
        <x:f>'All Stats'!A139</x:f>
        <x:v>K197</x:v>
      </x:c>
      <x:c r="B156" s="311" t="str">
        <x:f>'All Stats'!B139</x:f>
        <x:v>LUIGUI</x:v>
      </x:c>
      <x:c r="C156" s="315" t="str">
        <x:f>IF(G156&gt;=$O$6,"Yes","No")</x:f>
        <x:v>No</x:v>
      </x:c>
      <x:c r="D156" s="312" t="n">
        <x:f>'All Stats'!L139</x:f>
        <x:v>11.916199999999998</x:v>
      </x:c>
      <x:c r="E156" s="312" t="n">
        <x:f>'All Stats'!M139</x:f>
        <x:v>9.5992</x:v>
      </x:c>
      <x:c r="F156" s="312" t="n">
        <x:f>'All Stats'!O139</x:f>
        <x:v>-0.3515</x:v>
      </x:c>
      <x:c r="G156" s="312" t="n">
        <x:f>'All Stats'!Q139</x:f>
        <x:v>1.62</x:v>
      </x:c>
      <x:c r="H156" s="316" t="str">
        <x:f>IF(C156="Yes",100*((COUNTIFS($C$23:$C$189,"Yes",$D$23:$D$189,"&lt;"&amp;D156)+(COUNTIFS($C$23:$C$189,"Yes",$D$23:$D$189,D156)-1)/2)/($O$18-1))^$O$7,"")</x:f>
      </x:c>
      <x:c r="I156" s="316" t="str">
        <x:f>IF(C156="Yes",100*((COUNTIFS($C$23:$C$189,"Yes",$E$23:$E$189,"&lt;"&amp;E156)+(COUNTIFS($C$23:$C$189,"Yes",$E$23:$E$189,E156)-1)/2)/($O$18-1))^$O$7,"")</x:f>
      </x:c>
      <x:c r="J156" s="316" t="str">
        <x:f>IF(C156="Yes",100*((COUNTIFS($C$23:$C$189,"Yes",$F$23:$F$189,"&gt;"&amp;F156)+(COUNTIFS($C$23:$C$189,"Yes",$F$23:$F$189,F156)-1)/2)/($O$18-1))^$O$7,"")</x:f>
      </x:c>
      <x:c r="K156" s="316" t="str">
        <x:f>IF(C156="Yes",100*((COUNTIFS($C$23:$C$189,"Yes",$G$23:$G$189,"&lt;"&amp;G156)+(COUNTIFS($C$23:$C$189,"Yes",$G$23:$G$189,G156)-1)/2)/($O$18-1))^$O$7,"")</x:f>
      </x:c>
      <x:c r="L156" s="316" t="str">
        <x:f>IF(C156="Yes",AVERAGE(H156:K156),"")</x:f>
      </x:c>
      <x:c r="M156" s="317" t="str">
        <x:f>IF(C156="Yes",1+COUNTIFS($A$23:$A$189,A156,$C$23:$C$189,"Yes",$L$23:$L$189,"&gt;"&amp;L156),"")</x:f>
      </x:c>
    </x:row>
    <x:row r="157">
      <x:c r="A157" s="311" t="str">
        <x:f>'All Stats'!A140</x:f>
        <x:v>K197</x:v>
      </x:c>
      <x:c r="B157" s="311" t="str">
        <x:f>'All Stats'!B140</x:f>
        <x:v>BocchiT__T</x:v>
      </x:c>
      <x:c r="C157" s="315" t="str">
        <x:f>IF(G157&gt;=$O$6,"Yes","No")</x:f>
        <x:v>No</x:v>
      </x:c>
      <x:c r="D157" s="312" t="n">
        <x:f>'All Stats'!L140</x:f>
        <x:v>15.635399999999999</x:v>
      </x:c>
      <x:c r="E157" s="312" t="n">
        <x:f>'All Stats'!M140</x:f>
        <x:v>10.2507</x:v>
      </x:c>
      <x:c r="F157" s="312" t="n">
        <x:f>'All Stats'!O140</x:f>
        <x:v>-0.6125</x:v>
      </x:c>
      <x:c r="G157" s="312" t="n">
        <x:f>'All Stats'!Q140</x:f>
        <x:v>2.3</x:v>
      </x:c>
      <x:c r="H157" s="316" t="str">
        <x:f>IF(C157="Yes",100*((COUNTIFS($C$23:$C$189,"Yes",$D$23:$D$189,"&lt;"&amp;D157)+(COUNTIFS($C$23:$C$189,"Yes",$D$23:$D$189,D157)-1)/2)/($O$18-1))^$O$7,"")</x:f>
      </x:c>
      <x:c r="I157" s="316" t="str">
        <x:f>IF(C157="Yes",100*((COUNTIFS($C$23:$C$189,"Yes",$E$23:$E$189,"&lt;"&amp;E157)+(COUNTIFS($C$23:$C$189,"Yes",$E$23:$E$189,E157)-1)/2)/($O$18-1))^$O$7,"")</x:f>
      </x:c>
      <x:c r="J157" s="316" t="str">
        <x:f>IF(C157="Yes",100*((COUNTIFS($C$23:$C$189,"Yes",$F$23:$F$189,"&gt;"&amp;F157)+(COUNTIFS($C$23:$C$189,"Yes",$F$23:$F$189,F157)-1)/2)/($O$18-1))^$O$7,"")</x:f>
      </x:c>
      <x:c r="K157" s="316" t="str">
        <x:f>IF(C157="Yes",100*((COUNTIFS($C$23:$C$189,"Yes",$G$23:$G$189,"&lt;"&amp;G157)+(COUNTIFS($C$23:$C$189,"Yes",$G$23:$G$189,G157)-1)/2)/($O$18-1))^$O$7,"")</x:f>
      </x:c>
      <x:c r="L157" s="316" t="str">
        <x:f>IF(C157="Yes",AVERAGE(H157:K157),"")</x:f>
      </x:c>
      <x:c r="M157" s="317" t="str">
        <x:f>IF(C157="Yes",1+COUNTIFS($A$23:$A$189,A157,$C$23:$C$189,"Yes",$L$23:$L$189,"&gt;"&amp;L157),"")</x:f>
      </x:c>
    </x:row>
    <x:row r="158">
      <x:c r="A158" s="311" t="str">
        <x:f>'All Stats'!A141</x:f>
        <x:v>K197</x:v>
      </x:c>
      <x:c r="B158" s="311" t="str">
        <x:f>'All Stats'!B141</x:f>
        <x:v>-GAMERMAN-</x:v>
      </x:c>
      <x:c r="C158" s="315" t="str">
        <x:f>IF(G158&gt;=$O$6,"Yes","No")</x:f>
        <x:v>Yes</x:v>
      </x:c>
      <x:c r="D158" s="312" t="n">
        <x:f>'All Stats'!L141</x:f>
        <x:v>22.6192</x:v>
      </x:c>
      <x:c r="E158" s="312" t="n">
        <x:f>'All Stats'!M141</x:f>
        <x:v>17.1207</x:v>
      </x:c>
      <x:c r="F158" s="312" t="n">
        <x:f>'All Stats'!O141</x:f>
        <x:v>-1.2894999999999999</x:v>
      </x:c>
      <x:c r="G158" s="312" t="n">
        <x:f>'All Stats'!Q141</x:f>
        <x:v>9</x:v>
      </x:c>
      <x:c r="H158" s="316" t="n">
        <x:f>IF(C158="Yes",100*((COUNTIFS($C$23:$C$189,"Yes",$D$23:$D$189,"&lt;"&amp;D158)+(COUNTIFS($C$23:$C$189,"Yes",$D$23:$D$189,D158)-1)/2)/($O$18-1))^$O$7,"")</x:f>
        <x:v>46.44292116921099</x:v>
      </x:c>
      <x:c r="I158" s="316" t="n">
        <x:f>IF(C158="Yes",100*((COUNTIFS($C$23:$C$189,"Yes",$E$23:$E$189,"&lt;"&amp;E158)+(COUNTIFS($C$23:$C$189,"Yes",$E$23:$E$189,E158)-1)/2)/($O$18-1))^$O$7,"")</x:f>
        <x:v>50.582559560112564</x:v>
      </x:c>
      <x:c r="J158" s="316" t="n">
        <x:f>IF(C158="Yes",100*((COUNTIFS($C$23:$C$189,"Yes",$F$23:$F$189,"&gt;"&amp;F158)+(COUNTIFS($C$23:$C$189,"Yes",$F$23:$F$189,F158)-1)/2)/($O$18-1))^$O$7,"")</x:f>
        <x:v>0.2455370511727957</x:v>
      </x:c>
      <x:c r="K158" s="316" t="n">
        <x:f>IF(C158="Yes",100*((COUNTIFS($C$23:$C$189,"Yes",$G$23:$G$189,"&lt;"&amp;G158)+(COUNTIFS($C$23:$C$189,"Yes",$G$23:$G$189,G158)-1)/2)/($O$18-1))^$O$7,"")</x:f>
        <x:v>83.68422348882154</x:v>
      </x:c>
      <x:c r="L158" s="316" t="n">
        <x:f>IF(C158="Yes",AVERAGE(H158:K158),"")</x:f>
        <x:v>45.238810317329474</x:v>
      </x:c>
      <x:c r="M158" s="317" t="n">
        <x:f>IF(C158="Yes",1+COUNTIFS($A$23:$A$189,A158,$C$23:$C$189,"Yes",$L$23:$L$189,"&gt;"&amp;L158),"")</x:f>
        <x:v>2</x:v>
      </x:c>
    </x:row>
    <x:row r="159">
      <x:c r="A159" s="311" t="str">
        <x:f>'All Stats'!A142</x:f>
        <x:v>K197</x:v>
      </x:c>
      <x:c r="B159" s="311" t="str">
        <x:f>'All Stats'!B142</x:f>
        <x:v>ღbaby买买买ღ</x:v>
      </x:c>
      <x:c r="C159" s="315" t="str">
        <x:f>IF(G159&gt;=$O$6,"Yes","No")</x:f>
        <x:v>No</x:v>
      </x:c>
      <x:c r="D159" s="312" t="n">
        <x:f>'All Stats'!L142</x:f>
        <x:v>17.595399999999998</x:v>
      </x:c>
      <x:c r="E159" s="312" t="n">
        <x:f>'All Stats'!M142</x:f>
        <x:v>11.8507</x:v>
      </x:c>
      <x:c r="F159" s="312" t="n">
        <x:f>'All Stats'!O142</x:f>
        <x:v>-0.71</x:v>
      </x:c>
      <x:c r="G159" s="312" t="n">
        <x:f>'All Stats'!Q142</x:f>
        <x:v>3.57</x:v>
      </x:c>
      <x:c r="H159" s="316" t="str">
        <x:f>IF(C159="Yes",100*((COUNTIFS($C$23:$C$189,"Yes",$D$23:$D$189,"&lt;"&amp;D159)+(COUNTIFS($C$23:$C$189,"Yes",$D$23:$D$189,D159)-1)/2)/($O$18-1))^$O$7,"")</x:f>
      </x:c>
      <x:c r="I159" s="316" t="str">
        <x:f>IF(C159="Yes",100*((COUNTIFS($C$23:$C$189,"Yes",$E$23:$E$189,"&lt;"&amp;E159)+(COUNTIFS($C$23:$C$189,"Yes",$E$23:$E$189,E159)-1)/2)/($O$18-1))^$O$7,"")</x:f>
      </x:c>
      <x:c r="J159" s="316" t="str">
        <x:f>IF(C159="Yes",100*((COUNTIFS($C$23:$C$189,"Yes",$F$23:$F$189,"&gt;"&amp;F159)+(COUNTIFS($C$23:$C$189,"Yes",$F$23:$F$189,F159)-1)/2)/($O$18-1))^$O$7,"")</x:f>
      </x:c>
      <x:c r="K159" s="316" t="str">
        <x:f>IF(C159="Yes",100*((COUNTIFS($C$23:$C$189,"Yes",$G$23:$G$189,"&lt;"&amp;G159)+(COUNTIFS($C$23:$C$189,"Yes",$G$23:$G$189,G159)-1)/2)/($O$18-1))^$O$7,"")</x:f>
      </x:c>
      <x:c r="L159" s="316" t="str">
        <x:f>IF(C159="Yes",AVERAGE(H159:K159),"")</x:f>
      </x:c>
      <x:c r="M159" s="317" t="str">
        <x:f>IF(C159="Yes",1+COUNTIFS($A$23:$A$189,A159,$C$23:$C$189,"Yes",$L$23:$L$189,"&gt;"&amp;L159),"")</x:f>
      </x:c>
    </x:row>
    <x:row r="160">
      <x:c r="A160" s="311" t="str">
        <x:f>'All Stats'!A143</x:f>
        <x:v>K197</x:v>
      </x:c>
      <x:c r="B160" s="311" t="str">
        <x:f>'All Stats'!B143</x:f>
        <x:v>Viking</x:v>
      </x:c>
      <x:c r="C160" s="315" t="str">
        <x:f>IF(G160&gt;=$O$6,"Yes","No")</x:f>
        <x:v>No</x:v>
      </x:c>
      <x:c r="D160" s="312" t="n">
        <x:f>'All Stats'!L143</x:f>
        <x:v>14.8954</x:v>
      </x:c>
      <x:c r="E160" s="312" t="n">
        <x:f>'All Stats'!M143</x:f>
        <x:v>9.355</x:v>
      </x:c>
      <x:c r="F160" s="312" t="n">
        <x:f>'All Stats'!O143</x:f>
        <x:v>-0.6925</x:v>
      </x:c>
      <x:c r="G160" s="312" t="n">
        <x:f>'All Stats'!Q143</x:f>
        <x:v>2.82</x:v>
      </x:c>
      <x:c r="H160" s="316" t="str">
        <x:f>IF(C160="Yes",100*((COUNTIFS($C$23:$C$189,"Yes",$D$23:$D$189,"&lt;"&amp;D160)+(COUNTIFS($C$23:$C$189,"Yes",$D$23:$D$189,D160)-1)/2)/($O$18-1))^$O$7,"")</x:f>
      </x:c>
      <x:c r="I160" s="316" t="str">
        <x:f>IF(C160="Yes",100*((COUNTIFS($C$23:$C$189,"Yes",$E$23:$E$189,"&lt;"&amp;E160)+(COUNTIFS($C$23:$C$189,"Yes",$E$23:$E$189,E160)-1)/2)/($O$18-1))^$O$7,"")</x:f>
      </x:c>
      <x:c r="J160" s="316" t="str">
        <x:f>IF(C160="Yes",100*((COUNTIFS($C$23:$C$189,"Yes",$F$23:$F$189,"&gt;"&amp;F160)+(COUNTIFS($C$23:$C$189,"Yes",$F$23:$F$189,F160)-1)/2)/($O$18-1))^$O$7,"")</x:f>
      </x:c>
      <x:c r="K160" s="316" t="str">
        <x:f>IF(C160="Yes",100*((COUNTIFS($C$23:$C$189,"Yes",$G$23:$G$189,"&lt;"&amp;G160)+(COUNTIFS($C$23:$C$189,"Yes",$G$23:$G$189,G160)-1)/2)/($O$18-1))^$O$7,"")</x:f>
      </x:c>
      <x:c r="L160" s="316" t="str">
        <x:f>IF(C160="Yes",AVERAGE(H160:K160),"")</x:f>
      </x:c>
      <x:c r="M160" s="317" t="str">
        <x:f>IF(C160="Yes",1+COUNTIFS($A$23:$A$189,A160,$C$23:$C$189,"Yes",$L$23:$L$189,"&gt;"&amp;L160),"")</x:f>
      </x:c>
    </x:row>
    <x:row r="161">
      <x:c r="A161" s="311" t="str">
        <x:f>'All Stats'!A144</x:f>
        <x:v>K197</x:v>
      </x:c>
      <x:c r="B161" s="311" t="str">
        <x:f>'All Stats'!B144</x:f>
        <x:v>ღ买买买babyღ</x:v>
      </x:c>
      <x:c r="C161" s="315" t="str">
        <x:f>IF(G161&gt;=$O$6,"Yes","No")</x:f>
        <x:v>No</x:v>
      </x:c>
      <x:c r="D161" s="312" t="n">
        <x:f>'All Stats'!L144</x:f>
        <x:v>17.3554</x:v>
      </x:c>
      <x:c r="E161" s="312" t="n">
        <x:f>'All Stats'!M144</x:f>
        <x:v>12.135</x:v>
      </x:c>
      <x:c r="F161" s="312" t="n">
        <x:f>'All Stats'!O144</x:f>
        <x:v>-0.74</x:v>
      </x:c>
      <x:c r="G161" s="312" t="n">
        <x:f>'All Stats'!Q144</x:f>
        <x:v>4.17</x:v>
      </x:c>
      <x:c r="H161" s="316" t="str">
        <x:f>IF(C161="Yes",100*((COUNTIFS($C$23:$C$189,"Yes",$D$23:$D$189,"&lt;"&amp;D161)+(COUNTIFS($C$23:$C$189,"Yes",$D$23:$D$189,D161)-1)/2)/($O$18-1))^$O$7,"")</x:f>
      </x:c>
      <x:c r="I161" s="316" t="str">
        <x:f>IF(C161="Yes",100*((COUNTIFS($C$23:$C$189,"Yes",$E$23:$E$189,"&lt;"&amp;E161)+(COUNTIFS($C$23:$C$189,"Yes",$E$23:$E$189,E161)-1)/2)/($O$18-1))^$O$7,"")</x:f>
      </x:c>
      <x:c r="J161" s="316" t="str">
        <x:f>IF(C161="Yes",100*((COUNTIFS($C$23:$C$189,"Yes",$F$23:$F$189,"&gt;"&amp;F161)+(COUNTIFS($C$23:$C$189,"Yes",$F$23:$F$189,F161)-1)/2)/($O$18-1))^$O$7,"")</x:f>
      </x:c>
      <x:c r="K161" s="316" t="str">
        <x:f>IF(C161="Yes",100*((COUNTIFS($C$23:$C$189,"Yes",$G$23:$G$189,"&lt;"&amp;G161)+(COUNTIFS($C$23:$C$189,"Yes",$G$23:$G$189,G161)-1)/2)/($O$18-1))^$O$7,"")</x:f>
      </x:c>
      <x:c r="L161" s="316" t="str">
        <x:f>IF(C161="Yes",AVERAGE(H161:K161),"")</x:f>
      </x:c>
      <x:c r="M161" s="317" t="str">
        <x:f>IF(C161="Yes",1+COUNTIFS($A$23:$A$189,A161,$C$23:$C$189,"Yes",$L$23:$L$189,"&gt;"&amp;L161),"")</x:f>
      </x:c>
    </x:row>
    <x:row r="162">
      <x:c r="A162" s="311" t="str">
        <x:f>'All Stats'!A145</x:f>
        <x:v>K197</x:v>
      </x:c>
      <x:c r="B162" s="311" t="str">
        <x:f>'All Stats'!B145</x:f>
        <x:v>优乐美</x:v>
      </x:c>
      <x:c r="C162" s="315" t="str">
        <x:f>IF(G162&gt;=$O$6,"Yes","No")</x:f>
        <x:v>No</x:v>
      </x:c>
      <x:c r="D162" s="312" t="n">
        <x:f>'All Stats'!L145</x:f>
        <x:v>9.3992</x:v>
      </x:c>
      <x:c r="E162" s="312" t="n">
        <x:f>'All Stats'!M145</x:f>
        <x:v>13.781199999999998</x:v>
      </x:c>
      <x:c r="F162" s="312" t="n">
        <x:f>'All Stats'!O145</x:f>
        <x:v>-0.6025</x:v>
      </x:c>
      <x:c r="G162" s="312" t="n">
        <x:f>'All Stats'!Q145</x:f>
        <x:v>1.94</x:v>
      </x:c>
      <x:c r="H162" s="316" t="str">
        <x:f>IF(C162="Yes",100*((COUNTIFS($C$23:$C$189,"Yes",$D$23:$D$189,"&lt;"&amp;D162)+(COUNTIFS($C$23:$C$189,"Yes",$D$23:$D$189,D162)-1)/2)/($O$18-1))^$O$7,"")</x:f>
      </x:c>
      <x:c r="I162" s="316" t="str">
        <x:f>IF(C162="Yes",100*((COUNTIFS($C$23:$C$189,"Yes",$E$23:$E$189,"&lt;"&amp;E162)+(COUNTIFS($C$23:$C$189,"Yes",$E$23:$E$189,E162)-1)/2)/($O$18-1))^$O$7,"")</x:f>
      </x:c>
      <x:c r="J162" s="316" t="str">
        <x:f>IF(C162="Yes",100*((COUNTIFS($C$23:$C$189,"Yes",$F$23:$F$189,"&gt;"&amp;F162)+(COUNTIFS($C$23:$C$189,"Yes",$F$23:$F$189,F162)-1)/2)/($O$18-1))^$O$7,"")</x:f>
      </x:c>
      <x:c r="K162" s="316" t="str">
        <x:f>IF(C162="Yes",100*((COUNTIFS($C$23:$C$189,"Yes",$G$23:$G$189,"&lt;"&amp;G162)+(COUNTIFS($C$23:$C$189,"Yes",$G$23:$G$189,G162)-1)/2)/($O$18-1))^$O$7,"")</x:f>
      </x:c>
      <x:c r="L162" s="316" t="str">
        <x:f>IF(C162="Yes",AVERAGE(H162:K162),"")</x:f>
      </x:c>
      <x:c r="M162" s="317" t="str">
        <x:f>IF(C162="Yes",1+COUNTIFS($A$23:$A$189,A162,$C$23:$C$189,"Yes",$L$23:$L$189,"&gt;"&amp;L162),"")</x:f>
      </x:c>
    </x:row>
    <x:row r="163">
      <x:c r="A163" s="311" t="str">
        <x:f>'All Stats'!A146</x:f>
        <x:v>K197</x:v>
      </x:c>
      <x:c r="B163" s="311" t="str">
        <x:f>'All Stats'!B146</x:f>
        <x:v>Mira</x:v>
      </x:c>
      <x:c r="C163" s="315" t="str">
        <x:f>IF(G163&gt;=$O$6,"Yes","No")</x:f>
        <x:v>No</x:v>
      </x:c>
      <x:c r="D163" s="312" t="n">
        <x:f>'All Stats'!L146</x:f>
        <x:v>16.9954</x:v>
      </x:c>
      <x:c r="E163" s="312" t="n">
        <x:f>'All Stats'!M146</x:f>
        <x:v>11.3507</x:v>
      </x:c>
      <x:c r="F163" s="312" t="n">
        <x:f>'All Stats'!O146</x:f>
        <x:v>-0.715</x:v>
      </x:c>
      <x:c r="G163" s="312" t="n">
        <x:f>'All Stats'!Q146</x:f>
        <x:v>1.5</x:v>
      </x:c>
      <x:c r="H163" s="316" t="str">
        <x:f>IF(C163="Yes",100*((COUNTIFS($C$23:$C$189,"Yes",$D$23:$D$189,"&lt;"&amp;D163)+(COUNTIFS($C$23:$C$189,"Yes",$D$23:$D$189,D163)-1)/2)/($O$18-1))^$O$7,"")</x:f>
      </x:c>
      <x:c r="I163" s="316" t="str">
        <x:f>IF(C163="Yes",100*((COUNTIFS($C$23:$C$189,"Yes",$E$23:$E$189,"&lt;"&amp;E163)+(COUNTIFS($C$23:$C$189,"Yes",$E$23:$E$189,E163)-1)/2)/($O$18-1))^$O$7,"")</x:f>
      </x:c>
      <x:c r="J163" s="316" t="str">
        <x:f>IF(C163="Yes",100*((COUNTIFS($C$23:$C$189,"Yes",$F$23:$F$189,"&gt;"&amp;F163)+(COUNTIFS($C$23:$C$189,"Yes",$F$23:$F$189,F163)-1)/2)/($O$18-1))^$O$7,"")</x:f>
      </x:c>
      <x:c r="K163" s="316" t="str">
        <x:f>IF(C163="Yes",100*((COUNTIFS($C$23:$C$189,"Yes",$G$23:$G$189,"&lt;"&amp;G163)+(COUNTIFS($C$23:$C$189,"Yes",$G$23:$G$189,G163)-1)/2)/($O$18-1))^$O$7,"")</x:f>
      </x:c>
      <x:c r="L163" s="316" t="str">
        <x:f>IF(C163="Yes",AVERAGE(H163:K163),"")</x:f>
      </x:c>
      <x:c r="M163" s="317" t="str">
        <x:f>IF(C163="Yes",1+COUNTIFS($A$23:$A$189,A163,$C$23:$C$189,"Yes",$L$23:$L$189,"&gt;"&amp;L163),"")</x:f>
      </x:c>
    </x:row>
    <x:row r="164">
      <x:c r="A164" s="311" t="str">
        <x:f>'All Stats'!A147</x:f>
        <x:v>K176</x:v>
      </x:c>
      <x:c r="B164" s="311" t="str">
        <x:f>'All Stats'!B147</x:f>
        <x:v>苟拓通天肆意妄为</x:v>
      </x:c>
      <x:c r="C164" s="315" t="str">
        <x:f>IF(G164&gt;=$O$6,"Yes","No")</x:f>
        <x:v>Yes</x:v>
      </x:c>
      <x:c r="D164" s="312" t="n">
        <x:f>'All Stats'!L147</x:f>
        <x:v>26.561300000000003</x:v>
      </x:c>
      <x:c r="E164" s="312" t="n">
        <x:f>'All Stats'!M147</x:f>
        <x:v>21.029899999999998</x:v>
      </x:c>
      <x:c r="F164" s="312" t="n">
        <x:f>'All Stats'!O147</x:f>
        <x:v>-2.035</x:v>
      </x:c>
      <x:c r="G164" s="312" t="n">
        <x:f>'All Stats'!Q147</x:f>
        <x:v>9</x:v>
      </x:c>
      <x:c r="H164" s="316" t="n">
        <x:f>IF(C164="Yes",100*((COUNTIFS($C$23:$C$189,"Yes",$D$23:$D$189,"&lt;"&amp;D164)+(COUNTIFS($C$23:$C$189,"Yes",$D$23:$D$189,D164)-1)/2)/($O$18-1))^$O$7,"")</x:f>
        <x:v>73.50559455206242</x:v>
      </x:c>
      <x:c r="I164" s="316" t="n">
        <x:f>IF(C164="Yes",100*((COUNTIFS($C$23:$C$189,"Yes",$E$23:$E$189,"&lt;"&amp;E164)+(COUNTIFS($C$23:$C$189,"Yes",$E$23:$E$189,E164)-1)/2)/($O$18-1))^$O$7,"")</x:f>
        <x:v>83.68422348882154</x:v>
      </x:c>
      <x:c r="J164" s="316" t="n">
        <x:f>IF(C164="Yes",100*((COUNTIFS($C$23:$C$189,"Yes",$F$23:$F$189,"&gt;"&amp;F164)+(COUNTIFS($C$23:$C$189,"Yes",$F$23:$F$189,F164)-1)/2)/($O$18-1))^$O$7,"")</x:f>
        <x:v>54.872750177750596</x:v>
      </x:c>
      <x:c r="K164" s="316" t="n">
        <x:f>IF(C164="Yes",100*((COUNTIFS($C$23:$C$189,"Yes",$G$23:$G$189,"&lt;"&amp;G164)+(COUNTIFS($C$23:$C$189,"Yes",$G$23:$G$189,G164)-1)/2)/($O$18-1))^$O$7,"")</x:f>
        <x:v>83.68422348882154</x:v>
      </x:c>
      <x:c r="L164" s="316" t="n">
        <x:f>IF(C164="Yes",AVERAGE(H164:K164),"")</x:f>
        <x:v>73.93669792686401</x:v>
      </x:c>
      <x:c r="M164" s="317" t="n">
        <x:f>IF(C164="Yes",1+COUNTIFS($A$23:$A$189,A164,$C$23:$C$189,"Yes",$L$23:$L$189,"&gt;"&amp;L164),"")</x:f>
        <x:v>1</x:v>
      </x:c>
    </x:row>
    <x:row r="165">
      <x:c r="A165" s="311" t="str">
        <x:f>'All Stats'!A148</x:f>
        <x:v>K176</x:v>
      </x:c>
      <x:c r="B165" s="311" t="str">
        <x:f>'All Stats'!B148</x:f>
        <x:v>Evildagger</x:v>
      </x:c>
      <x:c r="C165" s="315" t="str">
        <x:f>IF(G165&gt;=$O$6,"Yes","No")</x:f>
        <x:v>No</x:v>
      </x:c>
      <x:c r="D165" s="312" t="n">
        <x:f>'All Stats'!L148</x:f>
        <x:v>20.7192</x:v>
      </x:c>
      <x:c r="E165" s="312" t="n">
        <x:f>'All Stats'!M148</x:f>
        <x:v>12.2557</x:v>
      </x:c>
      <x:c r="F165" s="312" t="n">
        <x:f>'All Stats'!O148</x:f>
        <x:v>-1.4875</x:v>
      </x:c>
      <x:c r="G165" s="312" t="n">
        <x:f>'All Stats'!Q148</x:f>
        <x:v>3.76</x:v>
      </x:c>
      <x:c r="H165" s="316" t="str">
        <x:f>IF(C165="Yes",100*((COUNTIFS($C$23:$C$189,"Yes",$D$23:$D$189,"&lt;"&amp;D165)+(COUNTIFS($C$23:$C$189,"Yes",$D$23:$D$189,D165)-1)/2)/($O$18-1))^$O$7,"")</x:f>
      </x:c>
      <x:c r="I165" s="316" t="str">
        <x:f>IF(C165="Yes",100*((COUNTIFS($C$23:$C$189,"Yes",$E$23:$E$189,"&lt;"&amp;E165)+(COUNTIFS($C$23:$C$189,"Yes",$E$23:$E$189,E165)-1)/2)/($O$18-1))^$O$7,"")</x:f>
      </x:c>
      <x:c r="J165" s="316" t="str">
        <x:f>IF(C165="Yes",100*((COUNTIFS($C$23:$C$189,"Yes",$F$23:$F$189,"&gt;"&amp;F165)+(COUNTIFS($C$23:$C$189,"Yes",$F$23:$F$189,F165)-1)/2)/($O$18-1))^$O$7,"")</x:f>
      </x:c>
      <x:c r="K165" s="316" t="str">
        <x:f>IF(C165="Yes",100*((COUNTIFS($C$23:$C$189,"Yes",$G$23:$G$189,"&lt;"&amp;G165)+(COUNTIFS($C$23:$C$189,"Yes",$G$23:$G$189,G165)-1)/2)/($O$18-1))^$O$7,"")</x:f>
      </x:c>
      <x:c r="L165" s="316" t="str">
        <x:f>IF(C165="Yes",AVERAGE(H165:K165),"")</x:f>
      </x:c>
      <x:c r="M165" s="317" t="str">
        <x:f>IF(C165="Yes",1+COUNTIFS($A$23:$A$189,A165,$C$23:$C$189,"Yes",$L$23:$L$189,"&gt;"&amp;L165),"")</x:f>
      </x:c>
    </x:row>
    <x:row r="166">
      <x:c r="A166" s="311" t="str">
        <x:f>'All Stats'!A149</x:f>
        <x:v>K176</x:v>
      </x:c>
      <x:c r="B166" s="311" t="str">
        <x:f>'All Stats'!B149</x:f>
        <x:v>༺肥者先食༻</x:v>
      </x:c>
      <x:c r="C166" s="315" t="str">
        <x:f>IF(G166&gt;=$O$6,"Yes","No")</x:f>
        <x:v>No</x:v>
      </x:c>
      <x:c r="D166" s="312" t="n">
        <x:f>'All Stats'!L149</x:f>
        <x:v>16.5299</x:v>
      </x:c>
      <x:c r="E166" s="312" t="n">
        <x:f>'All Stats'!M149</x:f>
        <x:v>10.155700000000001</x:v>
      </x:c>
      <x:c r="F166" s="312" t="n">
        <x:f>'All Stats'!O149</x:f>
        <x:v>-1.52</x:v>
      </x:c>
      <x:c r="G166" s="312" t="n">
        <x:f>'All Stats'!Q149</x:f>
        <x:v>3.35</x:v>
      </x:c>
      <x:c r="H166" s="316" t="str">
        <x:f>IF(C166="Yes",100*((COUNTIFS($C$23:$C$189,"Yes",$D$23:$D$189,"&lt;"&amp;D166)+(COUNTIFS($C$23:$C$189,"Yes",$D$23:$D$189,D166)-1)/2)/($O$18-1))^$O$7,"")</x:f>
      </x:c>
      <x:c r="I166" s="316" t="str">
        <x:f>IF(C166="Yes",100*((COUNTIFS($C$23:$C$189,"Yes",$E$23:$E$189,"&lt;"&amp;E166)+(COUNTIFS($C$23:$C$189,"Yes",$E$23:$E$189,E166)-1)/2)/($O$18-1))^$O$7,"")</x:f>
      </x:c>
      <x:c r="J166" s="316" t="str">
        <x:f>IF(C166="Yes",100*((COUNTIFS($C$23:$C$189,"Yes",$F$23:$F$189,"&gt;"&amp;F166)+(COUNTIFS($C$23:$C$189,"Yes",$F$23:$F$189,F166)-1)/2)/($O$18-1))^$O$7,"")</x:f>
      </x:c>
      <x:c r="K166" s="316" t="str">
        <x:f>IF(C166="Yes",100*((COUNTIFS($C$23:$C$189,"Yes",$G$23:$G$189,"&lt;"&amp;G166)+(COUNTIFS($C$23:$C$189,"Yes",$G$23:$G$189,G166)-1)/2)/($O$18-1))^$O$7,"")</x:f>
      </x:c>
      <x:c r="L166" s="316" t="str">
        <x:f>IF(C166="Yes",AVERAGE(H166:K166),"")</x:f>
      </x:c>
      <x:c r="M166" s="317" t="str">
        <x:f>IF(C166="Yes",1+COUNTIFS($A$23:$A$189,A166,$C$23:$C$189,"Yes",$L$23:$L$189,"&gt;"&amp;L166),"")</x:f>
      </x:c>
    </x:row>
    <x:row r="167">
      <x:c r="A167" s="311" t="str">
        <x:f>'All Stats'!A150</x:f>
        <x:v>K176</x:v>
      </x:c>
      <x:c r="B167" s="311" t="str">
        <x:f>'All Stats'!B150</x:f>
        <x:v>༺璀璨星辰༻</x:v>
      </x:c>
      <x:c r="C167" s="315" t="str">
        <x:f>IF(G167&gt;=$O$6,"Yes","No")</x:f>
        <x:v>Yes</x:v>
      </x:c>
      <x:c r="D167" s="312" t="n">
        <x:f>'All Stats'!L150</x:f>
        <x:v>24.0092</x:v>
      </x:c>
      <x:c r="E167" s="312" t="n">
        <x:f>'All Stats'!M150</x:f>
        <x:v>15.095699999999999</x:v>
      </x:c>
      <x:c r="F167" s="312" t="n">
        <x:f>'All Stats'!O150</x:f>
        <x:v>-1.92</x:v>
      </x:c>
      <x:c r="G167" s="312" t="n">
        <x:f>'All Stats'!Q150</x:f>
        <x:v>7</x:v>
      </x:c>
      <x:c r="H167" s="316" t="n">
        <x:f>IF(C167="Yes",100*((COUNTIFS($C$23:$C$189,"Yes",$D$23:$D$189,"&lt;"&amp;D167)+(COUNTIFS($C$23:$C$189,"Yes",$D$23:$D$189,D167)-1)/2)/($O$18-1))^$O$7,"")</x:f>
        <x:v>50.582559560112564</x:v>
      </x:c>
      <x:c r="I167" s="316" t="n">
        <x:f>IF(C167="Yes",100*((COUNTIFS($C$23:$C$189,"Yes",$E$23:$E$189,"&lt;"&amp;E167)+(COUNTIFS($C$23:$C$189,"Yes",$E$23:$E$189,E167)-1)/2)/($O$18-1))^$O$7,"")</x:f>
        <x:v>21.853344008454474</x:v>
      </x:c>
      <x:c r="J167" s="316" t="n">
        <x:f>IF(C167="Yes",100*((COUNTIFS($C$23:$C$189,"Yes",$F$23:$F$189,"&gt;"&amp;F167)+(COUNTIFS($C$23:$C$189,"Yes",$F$23:$F$189,F167)-1)/2)/($O$18-1))^$O$7,"")</x:f>
        <x:v>38.622814629949836</x:v>
      </x:c>
      <x:c r="K167" s="316" t="n">
        <x:f>IF(C167="Yes",100*((COUNTIFS($C$23:$C$189,"Yes",$G$23:$G$189,"&lt;"&amp;G167)+(COUNTIFS($C$23:$C$189,"Yes",$G$23:$G$189,G167)-1)/2)/($O$18-1))^$O$7,"")</x:f>
        <x:v>17.63348920985086</x:v>
      </x:c>
      <x:c r="L167" s="316" t="n">
        <x:f>IF(C167="Yes",AVERAGE(H167:K167),"")</x:f>
        <x:v>32.17305185209194</x:v>
      </x:c>
      <x:c r="M167" s="317" t="n">
        <x:f>IF(C167="Yes",1+COUNTIFS($A$23:$A$189,A167,$C$23:$C$189,"Yes",$L$23:$L$189,"&gt;"&amp;L167),"")</x:f>
        <x:v>2</x:v>
      </x:c>
    </x:row>
    <x:row r="168">
      <x:c r="A168" s="311" t="str">
        <x:f>'All Stats'!A151</x:f>
        <x:v>K176</x:v>
      </x:c>
      <x:c r="B168" s="311" t="str">
        <x:f>'All Stats'!B151</x:f>
        <x:v>临兵斗者皆阵列前</x:v>
      </x:c>
      <x:c r="C168" s="315" t="str">
        <x:f>IF(G168&gt;=$O$6,"Yes","No")</x:f>
        <x:v>No</x:v>
      </x:c>
      <x:c r="D168" s="312" t="n">
        <x:f>'All Stats'!L151</x:f>
        <x:v>15.9192</x:v>
      </x:c>
      <x:c r="E168" s="312" t="n">
        <x:f>'All Stats'!M151</x:f>
        <x:v>9.7657</x:v>
      </x:c>
      <x:c r="F168" s="312" t="n">
        <x:f>'All Stats'!O151</x:f>
        <x:v>-0.64</x:v>
      </x:c>
      <x:c r="G168" s="312" t="n">
        <x:f>'All Stats'!Q151</x:f>
        <x:v>3.19</x:v>
      </x:c>
      <x:c r="H168" s="316" t="str">
        <x:f>IF(C168="Yes",100*((COUNTIFS($C$23:$C$189,"Yes",$D$23:$D$189,"&lt;"&amp;D168)+(COUNTIFS($C$23:$C$189,"Yes",$D$23:$D$189,D168)-1)/2)/($O$18-1))^$O$7,"")</x:f>
      </x:c>
      <x:c r="I168" s="316" t="str">
        <x:f>IF(C168="Yes",100*((COUNTIFS($C$23:$C$189,"Yes",$E$23:$E$189,"&lt;"&amp;E168)+(COUNTIFS($C$23:$C$189,"Yes",$E$23:$E$189,E168)-1)/2)/($O$18-1))^$O$7,"")</x:f>
      </x:c>
      <x:c r="J168" s="316" t="str">
        <x:f>IF(C168="Yes",100*((COUNTIFS($C$23:$C$189,"Yes",$F$23:$F$189,"&gt;"&amp;F168)+(COUNTIFS($C$23:$C$189,"Yes",$F$23:$F$189,F168)-1)/2)/($O$18-1))^$O$7,"")</x:f>
      </x:c>
      <x:c r="K168" s="316" t="str">
        <x:f>IF(C168="Yes",100*((COUNTIFS($C$23:$C$189,"Yes",$G$23:$G$189,"&lt;"&amp;G168)+(COUNTIFS($C$23:$C$189,"Yes",$G$23:$G$189,G168)-1)/2)/($O$18-1))^$O$7,"")</x:f>
      </x:c>
      <x:c r="L168" s="316" t="str">
        <x:f>IF(C168="Yes",AVERAGE(H168:K168),"")</x:f>
      </x:c>
      <x:c r="M168" s="317" t="str">
        <x:f>IF(C168="Yes",1+COUNTIFS($A$23:$A$189,A168,$C$23:$C$189,"Yes",$L$23:$L$189,"&gt;"&amp;L168),"")</x:f>
      </x:c>
    </x:row>
    <x:row r="169">
      <x:c r="A169" s="311" t="str">
        <x:f>'All Stats'!A152</x:f>
        <x:v>K176</x:v>
      </x:c>
      <x:c r="B169" s="311" t="str">
        <x:f>'All Stats'!B152</x:f>
        <x:v>梦山河</x:v>
      </x:c>
      <x:c r="C169" s="315" t="str">
        <x:f>IF(G169&gt;=$O$6,"Yes","No")</x:f>
        <x:v>No</x:v>
      </x:c>
      <x:c r="D169" s="312" t="n">
        <x:f>'All Stats'!L152</x:f>
        <x:v>18.5599</x:v>
      </x:c>
      <x:c r="E169" s="312" t="n">
        <x:f>'All Stats'!M152</x:f>
        <x:v>11.0557</x:v>
      </x:c>
      <x:c r="F169" s="312" t="n">
        <x:f>'All Stats'!O152</x:f>
        <x:v>-0.675</x:v>
      </x:c>
      <x:c r="G169" s="312" t="n">
        <x:f>'All Stats'!Q152</x:f>
        <x:v>3.75</x:v>
      </x:c>
      <x:c r="H169" s="316" t="str">
        <x:f>IF(C169="Yes",100*((COUNTIFS($C$23:$C$189,"Yes",$D$23:$D$189,"&lt;"&amp;D169)+(COUNTIFS($C$23:$C$189,"Yes",$D$23:$D$189,D169)-1)/2)/($O$18-1))^$O$7,"")</x:f>
      </x:c>
      <x:c r="I169" s="316" t="str">
        <x:f>IF(C169="Yes",100*((COUNTIFS($C$23:$C$189,"Yes",$E$23:$E$189,"&lt;"&amp;E169)+(COUNTIFS($C$23:$C$189,"Yes",$E$23:$E$189,E169)-1)/2)/($O$18-1))^$O$7,"")</x:f>
      </x:c>
      <x:c r="J169" s="316" t="str">
        <x:f>IF(C169="Yes",100*((COUNTIFS($C$23:$C$189,"Yes",$F$23:$F$189,"&gt;"&amp;F169)+(COUNTIFS($C$23:$C$189,"Yes",$F$23:$F$189,F169)-1)/2)/($O$18-1))^$O$7,"")</x:f>
      </x:c>
      <x:c r="K169" s="316" t="str">
        <x:f>IF(C169="Yes",100*((COUNTIFS($C$23:$C$189,"Yes",$G$23:$G$189,"&lt;"&amp;G169)+(COUNTIFS($C$23:$C$189,"Yes",$G$23:$G$189,G169)-1)/2)/($O$18-1))^$O$7,"")</x:f>
      </x:c>
      <x:c r="L169" s="316" t="str">
        <x:f>IF(C169="Yes",AVERAGE(H169:K169),"")</x:f>
      </x:c>
      <x:c r="M169" s="317" t="str">
        <x:f>IF(C169="Yes",1+COUNTIFS($A$23:$A$189,A169,$C$23:$C$189,"Yes",$L$23:$L$189,"&gt;"&amp;L169),"")</x:f>
      </x:c>
    </x:row>
    <x:row r="170">
      <x:c r="A170" s="311" t="str">
        <x:f>'All Stats'!A153</x:f>
        <x:v>K176</x:v>
      </x:c>
      <x:c r="B170" s="311" t="str">
        <x:f>'All Stats'!B153</x:f>
        <x:v>岑胖子</x:v>
      </x:c>
      <x:c r="C170" s="315" t="str">
        <x:f>IF(G170&gt;=$O$6,"Yes","No")</x:f>
        <x:v>No</x:v>
      </x:c>
      <x:c r="D170" s="312" t="n">
        <x:f>'All Stats'!L153</x:f>
        <x:v>15.9899</x:v>
      </x:c>
      <x:c r="E170" s="312" t="n">
        <x:f>'All Stats'!M153</x:f>
        <x:v>8.5457</x:v>
      </x:c>
      <x:c r="F170" s="312" t="n">
        <x:f>'All Stats'!O153</x:f>
        <x:v>-0.68</x:v>
      </x:c>
      <x:c r="G170" s="312" t="n">
        <x:f>'All Stats'!Q153</x:f>
        <x:v>3.03</x:v>
      </x:c>
      <x:c r="H170" s="316" t="str">
        <x:f>IF(C170="Yes",100*((COUNTIFS($C$23:$C$189,"Yes",$D$23:$D$189,"&lt;"&amp;D170)+(COUNTIFS($C$23:$C$189,"Yes",$D$23:$D$189,D170)-1)/2)/($O$18-1))^$O$7,"")</x:f>
      </x:c>
      <x:c r="I170" s="316" t="str">
        <x:f>IF(C170="Yes",100*((COUNTIFS($C$23:$C$189,"Yes",$E$23:$E$189,"&lt;"&amp;E170)+(COUNTIFS($C$23:$C$189,"Yes",$E$23:$E$189,E170)-1)/2)/($O$18-1))^$O$7,"")</x:f>
      </x:c>
      <x:c r="J170" s="316" t="str">
        <x:f>IF(C170="Yes",100*((COUNTIFS($C$23:$C$189,"Yes",$F$23:$F$189,"&gt;"&amp;F170)+(COUNTIFS($C$23:$C$189,"Yes",$F$23:$F$189,F170)-1)/2)/($O$18-1))^$O$7,"")</x:f>
      </x:c>
      <x:c r="K170" s="316" t="str">
        <x:f>IF(C170="Yes",100*((COUNTIFS($C$23:$C$189,"Yes",$G$23:$G$189,"&lt;"&amp;G170)+(COUNTIFS($C$23:$C$189,"Yes",$G$23:$G$189,G170)-1)/2)/($O$18-1))^$O$7,"")</x:f>
      </x:c>
      <x:c r="L170" s="316" t="str">
        <x:f>IF(C170="Yes",AVERAGE(H170:K170),"")</x:f>
      </x:c>
      <x:c r="M170" s="317" t="str">
        <x:f>IF(C170="Yes",1+COUNTIFS($A$23:$A$189,A170,$C$23:$C$189,"Yes",$L$23:$L$189,"&gt;"&amp;L170),"")</x:f>
      </x:c>
    </x:row>
    <x:row r="171">
      <x:c r="A171" s="311" t="str">
        <x:f>'All Stats'!A154</x:f>
        <x:v>K176</x:v>
      </x:c>
      <x:c r="B171" s="311" t="str">
        <x:f>'All Stats'!B154</x:f>
        <x:v>三月的心思你别猜</x:v>
      </x:c>
      <x:c r="C171" s="315" t="str">
        <x:f>IF(G171&gt;=$O$6,"Yes","No")</x:f>
        <x:v>Yes</x:v>
      </x:c>
      <x:c r="D171" s="312" t="n">
        <x:f>'All Stats'!L154</x:f>
        <x:v>19.475</x:v>
      </x:c>
      <x:c r="E171" s="312" t="n">
        <x:f>'All Stats'!M154</x:f>
        <x:v>15.252</x:v>
      </x:c>
      <x:c r="F171" s="312" t="n">
        <x:f>'All Stats'!O154</x:f>
        <x:v>-1.6675</x:v>
      </x:c>
      <x:c r="G171" s="312" t="n">
        <x:f>'All Stats'!Q154</x:f>
        <x:v>7</x:v>
      </x:c>
      <x:c r="H171" s="316" t="n">
        <x:f>IF(C171="Yes",100*((COUNTIFS($C$23:$C$189,"Yes",$D$23:$D$189,"&lt;"&amp;D171)+(COUNTIFS($C$23:$C$189,"Yes",$D$23:$D$189,D171)-1)/2)/($O$18-1))^$O$7,"")</x:f>
        <x:v>9.343821064047228</x:v>
      </x:c>
      <x:c r="I171" s="316" t="n">
        <x:f>IF(C171="Yes",100*((COUNTIFS($C$23:$C$189,"Yes",$E$23:$E$189,"&lt;"&amp;E171)+(COUNTIFS($C$23:$C$189,"Yes",$E$23:$E$189,E171)-1)/2)/($O$18-1))^$O$7,"")</x:f>
        <x:v>24.879468496596104</x:v>
      </x:c>
      <x:c r="J171" s="316" t="n">
        <x:f>IF(C171="Yes",100*((COUNTIFS($C$23:$C$189,"Yes",$F$23:$F$189,"&gt;"&amp;F171)+(COUNTIFS($C$23:$C$189,"Yes",$F$23:$F$189,F171)-1)/2)/($O$18-1))^$O$7,"")</x:f>
        <x:v>10.38963177605646</x:v>
      </x:c>
      <x:c r="K171" s="316" t="n">
        <x:f>IF(C171="Yes",100*((COUNTIFS($C$23:$C$189,"Yes",$G$23:$G$189,"&lt;"&amp;G171)+(COUNTIFS($C$23:$C$189,"Yes",$G$23:$G$189,G171)-1)/2)/($O$18-1))^$O$7,"")</x:f>
        <x:v>17.63348920985086</x:v>
      </x:c>
      <x:c r="L171" s="316" t="n">
        <x:f>IF(C171="Yes",AVERAGE(H171:K171),"")</x:f>
        <x:v>15.561602636637662</x:v>
      </x:c>
      <x:c r="M171" s="317" t="n">
        <x:f>IF(C171="Yes",1+COUNTIFS($A$23:$A$189,A171,$C$23:$C$189,"Yes",$L$23:$L$189,"&gt;"&amp;L171),"")</x:f>
        <x:v>3</x:v>
      </x:c>
    </x:row>
    <x:row r="172">
      <x:c r="A172" s="311" t="str">
        <x:f>'All Stats'!A155</x:f>
        <x:v>K176</x:v>
      </x:c>
      <x:c r="B172" s="311" t="str">
        <x:f>'All Stats'!B155</x:f>
        <x:v>顺顺顺</x:v>
      </x:c>
      <x:c r="C172" s="315" t="str">
        <x:f>IF(G172&gt;=$O$6,"Yes","No")</x:f>
        <x:v>No</x:v>
      </x:c>
      <x:c r="D172" s="312" t="n">
        <x:f>'All Stats'!L155</x:f>
        <x:v>16.9892</x:v>
      </x:c>
      <x:c r="E172" s="312" t="n">
        <x:f>'All Stats'!M155</x:f>
        <x:v>10.425699999999999</x:v>
      </x:c>
      <x:c r="F172" s="312" t="n">
        <x:f>'All Stats'!O155</x:f>
        <x:v>-1.4025</x:v>
      </x:c>
      <x:c r="G172" s="312" t="n">
        <x:f>'All Stats'!Q155</x:f>
        <x:v>5.28</x:v>
      </x:c>
      <x:c r="H172" s="316" t="str">
        <x:f>IF(C172="Yes",100*((COUNTIFS($C$23:$C$189,"Yes",$D$23:$D$189,"&lt;"&amp;D172)+(COUNTIFS($C$23:$C$189,"Yes",$D$23:$D$189,D172)-1)/2)/($O$18-1))^$O$7,"")</x:f>
      </x:c>
      <x:c r="I172" s="316" t="str">
        <x:f>IF(C172="Yes",100*((COUNTIFS($C$23:$C$189,"Yes",$E$23:$E$189,"&lt;"&amp;E172)+(COUNTIFS($C$23:$C$189,"Yes",$E$23:$E$189,E172)-1)/2)/($O$18-1))^$O$7,"")</x:f>
      </x:c>
      <x:c r="J172" s="316" t="str">
        <x:f>IF(C172="Yes",100*((COUNTIFS($C$23:$C$189,"Yes",$F$23:$F$189,"&gt;"&amp;F172)+(COUNTIFS($C$23:$C$189,"Yes",$F$23:$F$189,F172)-1)/2)/($O$18-1))^$O$7,"")</x:f>
      </x:c>
      <x:c r="K172" s="316" t="str">
        <x:f>IF(C172="Yes",100*((COUNTIFS($C$23:$C$189,"Yes",$G$23:$G$189,"&lt;"&amp;G172)+(COUNTIFS($C$23:$C$189,"Yes",$G$23:$G$189,G172)-1)/2)/($O$18-1))^$O$7,"")</x:f>
      </x:c>
      <x:c r="L172" s="316" t="str">
        <x:f>IF(C172="Yes",AVERAGE(H172:K172),"")</x:f>
      </x:c>
      <x:c r="M172" s="317" t="str">
        <x:f>IF(C172="Yes",1+COUNTIFS($A$23:$A$189,A172,$C$23:$C$189,"Yes",$L$23:$L$189,"&gt;"&amp;L172),"")</x:f>
      </x:c>
    </x:row>
    <x:row r="173">
      <x:c r="A173" s="311" t="str">
        <x:f>'All Stats'!A156</x:f>
        <x:v>K176</x:v>
      </x:c>
      <x:c r="B173" s="311" t="str">
        <x:f>'All Stats'!B156</x:f>
        <x:v>♱Seraphim織羽♱</x:v>
      </x:c>
      <x:c r="C173" s="315" t="str">
        <x:f>IF(G173&gt;=$O$6,"Yes","No")</x:f>
        <x:v>No</x:v>
      </x:c>
      <x:c r="D173" s="312" t="n">
        <x:f>'All Stats'!L156</x:f>
        <x:v>18.2242</x:v>
      </x:c>
      <x:c r="E173" s="312" t="n">
        <x:f>'All Stats'!M156</x:f>
        <x:v>9.8057</x:v>
      </x:c>
      <x:c r="F173" s="312" t="n">
        <x:f>'All Stats'!O156</x:f>
        <x:v>-0.7775</x:v>
      </x:c>
      <x:c r="G173" s="312" t="n">
        <x:f>'All Stats'!Q156</x:f>
        <x:v>4.15</x:v>
      </x:c>
      <x:c r="H173" s="316" t="str">
        <x:f>IF(C173="Yes",100*((COUNTIFS($C$23:$C$189,"Yes",$D$23:$D$189,"&lt;"&amp;D173)+(COUNTIFS($C$23:$C$189,"Yes",$D$23:$D$189,D173)-1)/2)/($O$18-1))^$O$7,"")</x:f>
      </x:c>
      <x:c r="I173" s="316" t="str">
        <x:f>IF(C173="Yes",100*((COUNTIFS($C$23:$C$189,"Yes",$E$23:$E$189,"&lt;"&amp;E173)+(COUNTIFS($C$23:$C$189,"Yes",$E$23:$E$189,E173)-1)/2)/($O$18-1))^$O$7,"")</x:f>
      </x:c>
      <x:c r="J173" s="316" t="str">
        <x:f>IF(C173="Yes",100*((COUNTIFS($C$23:$C$189,"Yes",$F$23:$F$189,"&gt;"&amp;F173)+(COUNTIFS($C$23:$C$189,"Yes",$F$23:$F$189,F173)-1)/2)/($O$18-1))^$O$7,"")</x:f>
      </x:c>
      <x:c r="K173" s="316" t="str">
        <x:f>IF(C173="Yes",100*((COUNTIFS($C$23:$C$189,"Yes",$G$23:$G$189,"&lt;"&amp;G173)+(COUNTIFS($C$23:$C$189,"Yes",$G$23:$G$189,G173)-1)/2)/($O$18-1))^$O$7,"")</x:f>
      </x:c>
      <x:c r="L173" s="316" t="str">
        <x:f>IF(C173="Yes",AVERAGE(H173:K173),"")</x:f>
      </x:c>
      <x:c r="M173" s="317" t="str">
        <x:f>IF(C173="Yes",1+COUNTIFS($A$23:$A$189,A173,$C$23:$C$189,"Yes",$L$23:$L$189,"&gt;"&amp;L173),"")</x:f>
      </x:c>
    </x:row>
    <x:row r="174">
      <x:c r="A174" s="311" t="str">
        <x:f>'All Stats'!A157</x:f>
        <x:v>K176</x:v>
      </x:c>
      <x:c r="B174" s="311" t="str">
        <x:f>'All Stats'!B157</x:f>
        <x:v>ʚ老⑥ɞ</x:v>
      </x:c>
      <x:c r="C174" s="315" t="str">
        <x:f>IF(G174&gt;=$O$6,"Yes","No")</x:f>
        <x:v>No</x:v>
      </x:c>
      <x:c r="D174" s="312" t="n">
        <x:f>'All Stats'!L157</x:f>
        <x:v>20.479200000000002</x:v>
      </x:c>
      <x:c r="E174" s="312" t="n">
        <x:f>'All Stats'!M157</x:f>
        <x:v>12.3857</x:v>
      </x:c>
      <x:c r="F174" s="312" t="n">
        <x:f>'All Stats'!O157</x:f>
        <x:v>-1.6075</x:v>
      </x:c>
      <x:c r="G174" s="312" t="n">
        <x:f>'All Stats'!Q157</x:f>
        <x:v>6.77</x:v>
      </x:c>
      <x:c r="H174" s="316" t="str">
        <x:f>IF(C174="Yes",100*((COUNTIFS($C$23:$C$189,"Yes",$D$23:$D$189,"&lt;"&amp;D174)+(COUNTIFS($C$23:$C$189,"Yes",$D$23:$D$189,D174)-1)/2)/($O$18-1))^$O$7,"")</x:f>
      </x:c>
      <x:c r="I174" s="316" t="str">
        <x:f>IF(C174="Yes",100*((COUNTIFS($C$23:$C$189,"Yes",$E$23:$E$189,"&lt;"&amp;E174)+(COUNTIFS($C$23:$C$189,"Yes",$E$23:$E$189,E174)-1)/2)/($O$18-1))^$O$7,"")</x:f>
      </x:c>
      <x:c r="J174" s="316" t="str">
        <x:f>IF(C174="Yes",100*((COUNTIFS($C$23:$C$189,"Yes",$F$23:$F$189,"&gt;"&amp;F174)+(COUNTIFS($C$23:$C$189,"Yes",$F$23:$F$189,F174)-1)/2)/($O$18-1))^$O$7,"")</x:f>
      </x:c>
      <x:c r="K174" s="316" t="str">
        <x:f>IF(C174="Yes",100*((COUNTIFS($C$23:$C$189,"Yes",$G$23:$G$189,"&lt;"&amp;G174)+(COUNTIFS($C$23:$C$189,"Yes",$G$23:$G$189,G174)-1)/2)/($O$18-1))^$O$7,"")</x:f>
      </x:c>
      <x:c r="L174" s="316" t="str">
        <x:f>IF(C174="Yes",AVERAGE(H174:K174),"")</x:f>
      </x:c>
      <x:c r="M174" s="317" t="str">
        <x:f>IF(C174="Yes",1+COUNTIFS($A$23:$A$189,A174,$C$23:$C$189,"Yes",$L$23:$L$189,"&gt;"&amp;L174),"")</x:f>
      </x:c>
    </x:row>
    <x:row r="175">
      <x:c r="A175" s="311" t="str">
        <x:f>'All Stats'!A158</x:f>
        <x:v>K176</x:v>
      </x:c>
      <x:c r="B175" s="311" t="str">
        <x:f>'All Stats'!B158</x:f>
        <x:v>灰色轨迹</x:v>
      </x:c>
      <x:c r="C175" s="315" t="str">
        <x:f>IF(G175&gt;=$O$6,"Yes","No")</x:f>
        <x:v>No</x:v>
      </x:c>
      <x:c r="D175" s="312" t="n">
        <x:f>'All Stats'!L158</x:f>
        <x:v>17.6092</x:v>
      </x:c>
      <x:c r="E175" s="312" t="n">
        <x:f>'All Stats'!M158</x:f>
        <x:v>8.1957</x:v>
      </x:c>
      <x:c r="F175" s="312" t="n">
        <x:f>'All Stats'!O158</x:f>
        <x:v>-0.67</x:v>
      </x:c>
      <x:c r="G175" s="312" t="n">
        <x:f>'All Stats'!Q158</x:f>
        <x:v>2.91</x:v>
      </x:c>
      <x:c r="H175" s="316" t="str">
        <x:f>IF(C175="Yes",100*((COUNTIFS($C$23:$C$189,"Yes",$D$23:$D$189,"&lt;"&amp;D175)+(COUNTIFS($C$23:$C$189,"Yes",$D$23:$D$189,D175)-1)/2)/($O$18-1))^$O$7,"")</x:f>
      </x:c>
      <x:c r="I175" s="316" t="str">
        <x:f>IF(C175="Yes",100*((COUNTIFS($C$23:$C$189,"Yes",$E$23:$E$189,"&lt;"&amp;E175)+(COUNTIFS($C$23:$C$189,"Yes",$E$23:$E$189,E175)-1)/2)/($O$18-1))^$O$7,"")</x:f>
      </x:c>
      <x:c r="J175" s="316" t="str">
        <x:f>IF(C175="Yes",100*((COUNTIFS($C$23:$C$189,"Yes",$F$23:$F$189,"&gt;"&amp;F175)+(COUNTIFS($C$23:$C$189,"Yes",$F$23:$F$189,F175)-1)/2)/($O$18-1))^$O$7,"")</x:f>
      </x:c>
      <x:c r="K175" s="316" t="str">
        <x:f>IF(C175="Yes",100*((COUNTIFS($C$23:$C$189,"Yes",$G$23:$G$189,"&lt;"&amp;G175)+(COUNTIFS($C$23:$C$189,"Yes",$G$23:$G$189,G175)-1)/2)/($O$18-1))^$O$7,"")</x:f>
      </x:c>
      <x:c r="L175" s="316" t="str">
        <x:f>IF(C175="Yes",AVERAGE(H175:K175),"")</x:f>
      </x:c>
      <x:c r="M175" s="317" t="str">
        <x:f>IF(C175="Yes",1+COUNTIFS($A$23:$A$189,A175,$C$23:$C$189,"Yes",$L$23:$L$189,"&gt;"&amp;L175),"")</x:f>
      </x:c>
    </x:row>
    <x:row r="176">
      <x:c r="A176" s="311" t="str">
        <x:f>'All Stats'!A159</x:f>
        <x:v>K176</x:v>
      </x:c>
      <x:c r="B176" s="311" t="str">
        <x:f>'All Stats'!B159</x:f>
        <x:v>罗密欧与猪过夜</x:v>
      </x:c>
      <x:c r="C176" s="315" t="str">
        <x:f>IF(G176&gt;=$O$6,"Yes","No")</x:f>
        <x:v>No</x:v>
      </x:c>
      <x:c r="D176" s="312" t="n">
        <x:f>'All Stats'!L159</x:f>
        <x:v>16.7199</x:v>
      </x:c>
      <x:c r="E176" s="312" t="n">
        <x:f>'All Stats'!M159</x:f>
        <x:v>11.095699999999999</x:v>
      </x:c>
      <x:c r="F176" s="312" t="n">
        <x:f>'All Stats'!O159</x:f>
        <x:v>-0.585</x:v>
      </x:c>
      <x:c r="G176" s="312" t="n">
        <x:f>'All Stats'!Q159</x:f>
        <x:v>3.92</x:v>
      </x:c>
      <x:c r="H176" s="316" t="str">
        <x:f>IF(C176="Yes",100*((COUNTIFS($C$23:$C$189,"Yes",$D$23:$D$189,"&lt;"&amp;D176)+(COUNTIFS($C$23:$C$189,"Yes",$D$23:$D$189,D176)-1)/2)/($O$18-1))^$O$7,"")</x:f>
      </x:c>
      <x:c r="I176" s="316" t="str">
        <x:f>IF(C176="Yes",100*((COUNTIFS($C$23:$C$189,"Yes",$E$23:$E$189,"&lt;"&amp;E176)+(COUNTIFS($C$23:$C$189,"Yes",$E$23:$E$189,E176)-1)/2)/($O$18-1))^$O$7,"")</x:f>
      </x:c>
      <x:c r="J176" s="316" t="str">
        <x:f>IF(C176="Yes",100*((COUNTIFS($C$23:$C$189,"Yes",$F$23:$F$189,"&gt;"&amp;F176)+(COUNTIFS($C$23:$C$189,"Yes",$F$23:$F$189,F176)-1)/2)/($O$18-1))^$O$7,"")</x:f>
      </x:c>
      <x:c r="K176" s="316" t="str">
        <x:f>IF(C176="Yes",100*((COUNTIFS($C$23:$C$189,"Yes",$G$23:$G$189,"&lt;"&amp;G176)+(COUNTIFS($C$23:$C$189,"Yes",$G$23:$G$189,G176)-1)/2)/($O$18-1))^$O$7,"")</x:f>
      </x:c>
      <x:c r="L176" s="316" t="str">
        <x:f>IF(C176="Yes",AVERAGE(H176:K176),"")</x:f>
      </x:c>
      <x:c r="M176" s="317" t="str">
        <x:f>IF(C176="Yes",1+COUNTIFS($A$23:$A$189,A176,$C$23:$C$189,"Yes",$L$23:$L$189,"&gt;"&amp;L176),"")</x:f>
      </x:c>
    </x:row>
    <x:row r="177">
      <x:c r="A177" s="311" t="str">
        <x:f>'All Stats'!A160</x:f>
        <x:v>K176</x:v>
      </x:c>
      <x:c r="B177" s="311" t="str">
        <x:f>'All Stats'!B160</x:f>
        <x:v>WARBLOOD</x:v>
      </x:c>
      <x:c r="C177" s="315" t="str">
        <x:f>IF(G177&gt;=$O$6,"Yes","No")</x:f>
        <x:v>No</x:v>
      </x:c>
      <x:c r="D177" s="312" t="n">
        <x:f>'All Stats'!L160</x:f>
        <x:v>18.319200000000002</x:v>
      </x:c>
      <x:c r="E177" s="312" t="n">
        <x:f>'All Stats'!M160</x:f>
        <x:v>11.0807</x:v>
      </x:c>
      <x:c r="F177" s="312" t="n">
        <x:f>'All Stats'!O160</x:f>
        <x:v>-1.3975</x:v>
      </x:c>
      <x:c r="G177" s="312" t="n">
        <x:f>'All Stats'!Q160</x:f>
        <x:v>6.02</x:v>
      </x:c>
      <x:c r="H177" s="316" t="str">
        <x:f>IF(C177="Yes",100*((COUNTIFS($C$23:$C$189,"Yes",$D$23:$D$189,"&lt;"&amp;D177)+(COUNTIFS($C$23:$C$189,"Yes",$D$23:$D$189,D177)-1)/2)/($O$18-1))^$O$7,"")</x:f>
      </x:c>
      <x:c r="I177" s="316" t="str">
        <x:f>IF(C177="Yes",100*((COUNTIFS($C$23:$C$189,"Yes",$E$23:$E$189,"&lt;"&amp;E177)+(COUNTIFS($C$23:$C$189,"Yes",$E$23:$E$189,E177)-1)/2)/($O$18-1))^$O$7,"")</x:f>
      </x:c>
      <x:c r="J177" s="316" t="str">
        <x:f>IF(C177="Yes",100*((COUNTIFS($C$23:$C$189,"Yes",$F$23:$F$189,"&gt;"&amp;F177)+(COUNTIFS($C$23:$C$189,"Yes",$F$23:$F$189,F177)-1)/2)/($O$18-1))^$O$7,"")</x:f>
      </x:c>
      <x:c r="K177" s="316" t="str">
        <x:f>IF(C177="Yes",100*((COUNTIFS($C$23:$C$189,"Yes",$G$23:$G$189,"&lt;"&amp;G177)+(COUNTIFS($C$23:$C$189,"Yes",$G$23:$G$189,G177)-1)/2)/($O$18-1))^$O$7,"")</x:f>
      </x:c>
      <x:c r="L177" s="316" t="str">
        <x:f>IF(C177="Yes",AVERAGE(H177:K177),"")</x:f>
      </x:c>
      <x:c r="M177" s="317" t="str">
        <x:f>IF(C177="Yes",1+COUNTIFS($A$23:$A$189,A177,$C$23:$C$189,"Yes",$L$23:$L$189,"&gt;"&amp;L177),"")</x:f>
      </x:c>
    </x:row>
    <x:row r="178">
      <x:c r="A178" s="311" t="str">
        <x:f>'All Stats'!A161</x:f>
        <x:v>K176</x:v>
      </x:c>
      <x:c r="B178" s="311" t="str">
        <x:f>'All Stats'!B161</x:f>
        <x:v>老黑黑</x:v>
      </x:c>
      <x:c r="C178" s="315" t="str">
        <x:f>IF(G178&gt;=$O$6,"Yes","No")</x:f>
        <x:v>No</x:v>
      </x:c>
      <x:c r="D178" s="312" t="n">
        <x:f>'All Stats'!L161</x:f>
        <x:v>17.0192</x:v>
      </x:c>
      <x:c r="E178" s="312" t="n">
        <x:f>'All Stats'!M161</x:f>
        <x:v>10.265699999999999</x:v>
      </x:c>
      <x:c r="F178" s="312" t="n">
        <x:f>'All Stats'!O161</x:f>
        <x:v>-1.4775</x:v>
      </x:c>
      <x:c r="G178" s="312" t="n">
        <x:f>'All Stats'!Q161</x:f>
        <x:v>3.6</x:v>
      </x:c>
      <x:c r="H178" s="316" t="str">
        <x:f>IF(C178="Yes",100*((COUNTIFS($C$23:$C$189,"Yes",$D$23:$D$189,"&lt;"&amp;D178)+(COUNTIFS($C$23:$C$189,"Yes",$D$23:$D$189,D178)-1)/2)/($O$18-1))^$O$7,"")</x:f>
      </x:c>
      <x:c r="I178" s="316" t="str">
        <x:f>IF(C178="Yes",100*((COUNTIFS($C$23:$C$189,"Yes",$E$23:$E$189,"&lt;"&amp;E178)+(COUNTIFS($C$23:$C$189,"Yes",$E$23:$E$189,E178)-1)/2)/($O$18-1))^$O$7,"")</x:f>
      </x:c>
      <x:c r="J178" s="316" t="str">
        <x:f>IF(C178="Yes",100*((COUNTIFS($C$23:$C$189,"Yes",$F$23:$F$189,"&gt;"&amp;F178)+(COUNTIFS($C$23:$C$189,"Yes",$F$23:$F$189,F178)-1)/2)/($O$18-1))^$O$7,"")</x:f>
      </x:c>
      <x:c r="K178" s="316" t="str">
        <x:f>IF(C178="Yes",100*((COUNTIFS($C$23:$C$189,"Yes",$G$23:$G$189,"&lt;"&amp;G178)+(COUNTIFS($C$23:$C$189,"Yes",$G$23:$G$189,G178)-1)/2)/($O$18-1))^$O$7,"")</x:f>
      </x:c>
      <x:c r="L178" s="316" t="str">
        <x:f>IF(C178="Yes",AVERAGE(H178:K178),"")</x:f>
      </x:c>
      <x:c r="M178" s="317" t="str">
        <x:f>IF(C178="Yes",1+COUNTIFS($A$23:$A$189,A178,$C$23:$C$189,"Yes",$L$23:$L$189,"&gt;"&amp;L178),"")</x:f>
      </x:c>
    </x:row>
    <x:row r="179">
      <x:c r="A179" s="311" t="str">
        <x:f>'All Stats'!A162</x:f>
        <x:v>K176</x:v>
      </x:c>
      <x:c r="B179" s="311" t="str">
        <x:f>'All Stats'!B162</x:f>
        <x:v>温不胜</x:v>
      </x:c>
      <x:c r="C179" s="315" t="str">
        <x:f>IF(G179&gt;=$O$6,"Yes","No")</x:f>
        <x:v>No</x:v>
      </x:c>
      <x:c r="D179" s="312" t="n">
        <x:f>'All Stats'!L162</x:f>
        <x:v>14.9199</x:v>
      </x:c>
      <x:c r="E179" s="312" t="n">
        <x:f>'All Stats'!M162</x:f>
        <x:v>8.4657</x:v>
      </x:c>
      <x:c r="F179" s="312" t="n">
        <x:f>'All Stats'!O162</x:f>
        <x:v>-0.625</x:v>
      </x:c>
      <x:c r="G179" s="312" t="n">
        <x:f>'All Stats'!Q162</x:f>
        <x:v>4.21</x:v>
      </x:c>
      <x:c r="H179" s="316" t="str">
        <x:f>IF(C179="Yes",100*((COUNTIFS($C$23:$C$189,"Yes",$D$23:$D$189,"&lt;"&amp;D179)+(COUNTIFS($C$23:$C$189,"Yes",$D$23:$D$189,D179)-1)/2)/($O$18-1))^$O$7,"")</x:f>
      </x:c>
      <x:c r="I179" s="316" t="str">
        <x:f>IF(C179="Yes",100*((COUNTIFS($C$23:$C$189,"Yes",$E$23:$E$189,"&lt;"&amp;E179)+(COUNTIFS($C$23:$C$189,"Yes",$E$23:$E$189,E179)-1)/2)/($O$18-1))^$O$7,"")</x:f>
      </x:c>
      <x:c r="J179" s="316" t="str">
        <x:f>IF(C179="Yes",100*((COUNTIFS($C$23:$C$189,"Yes",$F$23:$F$189,"&gt;"&amp;F179)+(COUNTIFS($C$23:$C$189,"Yes",$F$23:$F$189,F179)-1)/2)/($O$18-1))^$O$7,"")</x:f>
      </x:c>
      <x:c r="K179" s="316" t="str">
        <x:f>IF(C179="Yes",100*((COUNTIFS($C$23:$C$189,"Yes",$G$23:$G$189,"&lt;"&amp;G179)+(COUNTIFS($C$23:$C$189,"Yes",$G$23:$G$189,G179)-1)/2)/($O$18-1))^$O$7,"")</x:f>
      </x:c>
      <x:c r="L179" s="316" t="str">
        <x:f>IF(C179="Yes",AVERAGE(H179:K179),"")</x:f>
      </x:c>
      <x:c r="M179" s="317" t="str">
        <x:f>IF(C179="Yes",1+COUNTIFS($A$23:$A$189,A179,$C$23:$C$189,"Yes",$L$23:$L$189,"&gt;"&amp;L179),"")</x:f>
      </x:c>
    </x:row>
    <x:row r="180">
      <x:c r="A180" s="311" t="str">
        <x:f>'All Stats'!A163</x:f>
        <x:v>K176</x:v>
      </x:c>
      <x:c r="B180" s="311" t="str">
        <x:f>'All Stats'!B163</x:f>
        <x:v>我是贤熙</x:v>
      </x:c>
      <x:c r="C180" s="315" t="str">
        <x:f>IF(G180&gt;=$O$6,"Yes","No")</x:f>
        <x:v>No</x:v>
      </x:c>
      <x:c r="D180" s="312" t="n">
        <x:f>'All Stats'!L163</x:f>
        <x:v>16.0542</x:v>
      </x:c>
      <x:c r="E180" s="312" t="n">
        <x:f>'All Stats'!M163</x:f>
        <x:v>10.6107</x:v>
      </x:c>
      <x:c r="F180" s="312" t="n">
        <x:f>'All Stats'!O163</x:f>
        <x:v>-1.3265</x:v>
      </x:c>
      <x:c r="G180" s="312" t="n">
        <x:f>'All Stats'!Q163</x:f>
        <x:v>0.86</x:v>
      </x:c>
      <x:c r="H180" s="316" t="str">
        <x:f>IF(C180="Yes",100*((COUNTIFS($C$23:$C$189,"Yes",$D$23:$D$189,"&lt;"&amp;D180)+(COUNTIFS($C$23:$C$189,"Yes",$D$23:$D$189,D180)-1)/2)/($O$18-1))^$O$7,"")</x:f>
      </x:c>
      <x:c r="I180" s="316" t="str">
        <x:f>IF(C180="Yes",100*((COUNTIFS($C$23:$C$189,"Yes",$E$23:$E$189,"&lt;"&amp;E180)+(COUNTIFS($C$23:$C$189,"Yes",$E$23:$E$189,E180)-1)/2)/($O$18-1))^$O$7,"")</x:f>
      </x:c>
      <x:c r="J180" s="316" t="str">
        <x:f>IF(C180="Yes",100*((COUNTIFS($C$23:$C$189,"Yes",$F$23:$F$189,"&gt;"&amp;F180)+(COUNTIFS($C$23:$C$189,"Yes",$F$23:$F$189,F180)-1)/2)/($O$18-1))^$O$7,"")</x:f>
      </x:c>
      <x:c r="K180" s="316" t="str">
        <x:f>IF(C180="Yes",100*((COUNTIFS($C$23:$C$189,"Yes",$G$23:$G$189,"&lt;"&amp;G180)+(COUNTIFS($C$23:$C$189,"Yes",$G$23:$G$189,G180)-1)/2)/($O$18-1))^$O$7,"")</x:f>
      </x:c>
      <x:c r="L180" s="316" t="str">
        <x:f>IF(C180="Yes",AVERAGE(H180:K180),"")</x:f>
      </x:c>
      <x:c r="M180" s="317" t="str">
        <x:f>IF(C180="Yes",1+COUNTIFS($A$23:$A$189,A180,$C$23:$C$189,"Yes",$L$23:$L$189,"&gt;"&amp;L180),"")</x:f>
      </x:c>
    </x:row>
    <x:row r="181">
      <x:c r="A181" s="311" t="str">
        <x:f>'All Stats'!A164</x:f>
        <x:v>K176</x:v>
      </x:c>
      <x:c r="B181" s="311" t="str">
        <x:f>'All Stats'!B164</x:f>
        <x:v>金玉其外败絮其中</x:v>
      </x:c>
      <x:c r="C181" s="315" t="str">
        <x:f>IF(G181&gt;=$O$6,"Yes","No")</x:f>
        <x:v>No</x:v>
      </x:c>
      <x:c r="D181" s="312" t="n">
        <x:f>'All Stats'!L164</x:f>
        <x:v>20.5642</x:v>
      </x:c>
      <x:c r="E181" s="312" t="n">
        <x:f>'All Stats'!M164</x:f>
        <x:v>12.8707</x:v>
      </x:c>
      <x:c r="F181" s="312" t="n">
        <x:f>'All Stats'!O164</x:f>
        <x:v>-0.6755</x:v>
      </x:c>
      <x:c r="G181" s="312" t="n">
        <x:f>'All Stats'!Q164</x:f>
        <x:v>5.6</x:v>
      </x:c>
      <x:c r="H181" s="316" t="str">
        <x:f>IF(C181="Yes",100*((COUNTIFS($C$23:$C$189,"Yes",$D$23:$D$189,"&lt;"&amp;D181)+(COUNTIFS($C$23:$C$189,"Yes",$D$23:$D$189,D181)-1)/2)/($O$18-1))^$O$7,"")</x:f>
      </x:c>
      <x:c r="I181" s="316" t="str">
        <x:f>IF(C181="Yes",100*((COUNTIFS($C$23:$C$189,"Yes",$E$23:$E$189,"&lt;"&amp;E181)+(COUNTIFS($C$23:$C$189,"Yes",$E$23:$E$189,E181)-1)/2)/($O$18-1))^$O$7,"")</x:f>
      </x:c>
      <x:c r="J181" s="316" t="str">
        <x:f>IF(C181="Yes",100*((COUNTIFS($C$23:$C$189,"Yes",$F$23:$F$189,"&gt;"&amp;F181)+(COUNTIFS($C$23:$C$189,"Yes",$F$23:$F$189,F181)-1)/2)/($O$18-1))^$O$7,"")</x:f>
      </x:c>
      <x:c r="K181" s="316" t="str">
        <x:f>IF(C181="Yes",100*((COUNTIFS($C$23:$C$189,"Yes",$G$23:$G$189,"&lt;"&amp;G181)+(COUNTIFS($C$23:$C$189,"Yes",$G$23:$G$189,G181)-1)/2)/($O$18-1))^$O$7,"")</x:f>
      </x:c>
      <x:c r="L181" s="316" t="str">
        <x:f>IF(C181="Yes",AVERAGE(H181:K181),"")</x:f>
      </x:c>
      <x:c r="M181" s="317" t="str">
        <x:f>IF(C181="Yes",1+COUNTIFS($A$23:$A$189,A181,$C$23:$C$189,"Yes",$L$23:$L$189,"&gt;"&amp;L181),"")</x:f>
      </x:c>
    </x:row>
    <x:row r="182">
      <x:c r="A182" s="311" t="str">
        <x:f>'All Stats'!A165</x:f>
        <x:v>K176</x:v>
      </x:c>
      <x:c r="B182" s="311" t="str">
        <x:f>'All Stats'!B165</x:f>
        <x:v>温水煮青蛙</x:v>
      </x:c>
      <x:c r="C182" s="315" t="str">
        <x:f>IF(G182&gt;=$O$6,"Yes","No")</x:f>
        <x:v>No</x:v>
      </x:c>
      <x:c r="D182" s="312" t="n">
        <x:f>'All Stats'!L165</x:f>
        <x:v>18.9049</x:v>
      </x:c>
      <x:c r="E182" s="312" t="n">
        <x:f>'All Stats'!M165</x:f>
        <x:v>11.8757</x:v>
      </x:c>
      <x:c r="F182" s="312" t="n">
        <x:f>'All Stats'!O165</x:f>
        <x:v>-1.515</x:v>
      </x:c>
      <x:c r="G182" s="312" t="n">
        <x:f>'All Stats'!Q165</x:f>
        <x:v>4.33</x:v>
      </x:c>
      <x:c r="H182" s="316" t="str">
        <x:f>IF(C182="Yes",100*((COUNTIFS($C$23:$C$189,"Yes",$D$23:$D$189,"&lt;"&amp;D182)+(COUNTIFS($C$23:$C$189,"Yes",$D$23:$D$189,D182)-1)/2)/($O$18-1))^$O$7,"")</x:f>
      </x:c>
      <x:c r="I182" s="316" t="str">
        <x:f>IF(C182="Yes",100*((COUNTIFS($C$23:$C$189,"Yes",$E$23:$E$189,"&lt;"&amp;E182)+(COUNTIFS($C$23:$C$189,"Yes",$E$23:$E$189,E182)-1)/2)/($O$18-1))^$O$7,"")</x:f>
      </x:c>
      <x:c r="J182" s="316" t="str">
        <x:f>IF(C182="Yes",100*((COUNTIFS($C$23:$C$189,"Yes",$F$23:$F$189,"&gt;"&amp;F182)+(COUNTIFS($C$23:$C$189,"Yes",$F$23:$F$189,F182)-1)/2)/($O$18-1))^$O$7,"")</x:f>
      </x:c>
      <x:c r="K182" s="316" t="str">
        <x:f>IF(C182="Yes",100*((COUNTIFS($C$23:$C$189,"Yes",$G$23:$G$189,"&lt;"&amp;G182)+(COUNTIFS($C$23:$C$189,"Yes",$G$23:$G$189,G182)-1)/2)/($O$18-1))^$O$7,"")</x:f>
      </x:c>
      <x:c r="L182" s="316" t="str">
        <x:f>IF(C182="Yes",AVERAGE(H182:K182),"")</x:f>
      </x:c>
      <x:c r="M182" s="317" t="str">
        <x:f>IF(C182="Yes",1+COUNTIFS($A$23:$A$189,A182,$C$23:$C$189,"Yes",$L$23:$L$189,"&gt;"&amp;L182),"")</x:f>
      </x:c>
    </x:row>
    <x:row r="183">
      <x:c r="A183" s="311" t="str">
        <x:f>'All Stats'!A166</x:f>
        <x:v>K176</x:v>
      </x:c>
      <x:c r="B183" s="311" t="str">
        <x:f>'All Stats'!B166</x:f>
        <x:v>我于杀戮之中绽放</x:v>
      </x:c>
      <x:c r="C183" s="315" t="str">
        <x:f>IF(G183&gt;=$O$6,"Yes","No")</x:f>
        <x:v>Yes</x:v>
      </x:c>
      <x:c r="D183" s="312" t="n">
        <x:f>'All Stats'!L166</x:f>
        <x:v>21.1692</x:v>
      </x:c>
      <x:c r="E183" s="312" t="n">
        <x:f>'All Stats'!M166</x:f>
        <x:v>13.4557</x:v>
      </x:c>
      <x:c r="F183" s="312" t="n">
        <x:f>'All Stats'!O166</x:f>
        <x:v>-1.565</x:v>
      </x:c>
      <x:c r="G183" s="312" t="n">
        <x:f>'All Stats'!Q166</x:f>
        <x:v>7</x:v>
      </x:c>
      <x:c r="H183" s="316" t="n">
        <x:f>IF(C183="Yes",100*((COUNTIFS($C$23:$C$189,"Yes",$D$23:$D$189,"&lt;"&amp;D183)+(COUNTIFS($C$23:$C$189,"Yes",$D$23:$D$189,D183)-1)/2)/($O$18-1))^$O$7,"")</x:f>
        <x:v>31.42874255011785</x:v>
      </x:c>
      <x:c r="I183" s="316" t="n">
        <x:f>IF(C183="Yes",100*((COUNTIFS($C$23:$C$189,"Yes",$E$23:$E$189,"&lt;"&amp;E183)+(COUNTIFS($C$23:$C$189,"Yes",$E$23:$E$189,E183)-1)/2)/($O$18-1))^$O$7,"")</x:f>
        <x:v>7.3967102384095345</x:v>
      </x:c>
      <x:c r="J183" s="316" t="n">
        <x:f>IF(C183="Yes",100*((COUNTIFS($C$23:$C$189,"Yes",$F$23:$F$189,"&gt;"&amp;F183)+(COUNTIFS($C$23:$C$189,"Yes",$F$23:$F$189,F183)-1)/2)/($O$18-1))^$O$7,"")</x:f>
        <x:v>3.413806766668566</x:v>
      </x:c>
      <x:c r="K183" s="316" t="n">
        <x:f>IF(C183="Yes",100*((COUNTIFS($C$23:$C$189,"Yes",$G$23:$G$189,"&lt;"&amp;G183)+(COUNTIFS($C$23:$C$189,"Yes",$G$23:$G$189,G183)-1)/2)/($O$18-1))^$O$7,"")</x:f>
        <x:v>17.63348920985086</x:v>
      </x:c>
      <x:c r="L183" s="316" t="n">
        <x:f>IF(C183="Yes",AVERAGE(H183:K183),"")</x:f>
        <x:v>14.968187191261702</x:v>
      </x:c>
      <x:c r="M183" s="317" t="n">
        <x:f>IF(C183="Yes",1+COUNTIFS($A$23:$A$189,A183,$C$23:$C$189,"Yes",$L$23:$L$189,"&gt;"&amp;L183),"")</x:f>
        <x:v>4</x:v>
      </x:c>
    </x:row>
    <x:row r="184">
      <x:c r="A184" s="311" t="str">
        <x:f>'All Stats'!A167</x:f>
        <x:v>K176</x:v>
      </x:c>
      <x:c r="B184" s="311" t="str">
        <x:f>'All Stats'!B167</x:f>
        <x:v>璀璨星芒</x:v>
      </x:c>
      <x:c r="C184" s="315" t="str">
        <x:f>IF(G184&gt;=$O$6,"Yes","No")</x:f>
        <x:v>No</x:v>
      </x:c>
      <x:c r="D184" s="312" t="n">
        <x:f>'All Stats'!L167</x:f>
        <x:v>16.2749</x:v>
      </x:c>
      <x:c r="E184" s="312" t="n">
        <x:f>'All Stats'!M167</x:f>
        <x:v>10.5857</x:v>
      </x:c>
      <x:c r="F184" s="312" t="n">
        <x:f>'All Stats'!O167</x:f>
        <x:v>-1.4275</x:v>
      </x:c>
      <x:c r="G184" s="312" t="n">
        <x:f>'All Stats'!Q167</x:f>
        <x:v>1.66</x:v>
      </x:c>
      <x:c r="H184" s="316" t="str">
        <x:f>IF(C184="Yes",100*((COUNTIFS($C$23:$C$189,"Yes",$D$23:$D$189,"&lt;"&amp;D184)+(COUNTIFS($C$23:$C$189,"Yes",$D$23:$D$189,D184)-1)/2)/($O$18-1))^$O$7,"")</x:f>
      </x:c>
      <x:c r="I184" s="316" t="str">
        <x:f>IF(C184="Yes",100*((COUNTIFS($C$23:$C$189,"Yes",$E$23:$E$189,"&lt;"&amp;E184)+(COUNTIFS($C$23:$C$189,"Yes",$E$23:$E$189,E184)-1)/2)/($O$18-1))^$O$7,"")</x:f>
      </x:c>
      <x:c r="J184" s="316" t="str">
        <x:f>IF(C184="Yes",100*((COUNTIFS($C$23:$C$189,"Yes",$F$23:$F$189,"&gt;"&amp;F184)+(COUNTIFS($C$23:$C$189,"Yes",$F$23:$F$189,F184)-1)/2)/($O$18-1))^$O$7,"")</x:f>
      </x:c>
      <x:c r="K184" s="316" t="str">
        <x:f>IF(C184="Yes",100*((COUNTIFS($C$23:$C$189,"Yes",$G$23:$G$189,"&lt;"&amp;G184)+(COUNTIFS($C$23:$C$189,"Yes",$G$23:$G$189,G184)-1)/2)/($O$18-1))^$O$7,"")</x:f>
      </x:c>
      <x:c r="L184" s="316" t="str">
        <x:f>IF(C184="Yes",AVERAGE(H184:K184),"")</x:f>
      </x:c>
      <x:c r="M184" s="317" t="str">
        <x:f>IF(C184="Yes",1+COUNTIFS($A$23:$A$189,A184,$C$23:$C$189,"Yes",$L$23:$L$189,"&gt;"&amp;L184),"")</x:f>
      </x:c>
    </x:row>
    <x:row r="185">
      <x:c r="A185" s="311" t="str">
        <x:f>'All Stats'!A168</x:f>
        <x:v>K176</x:v>
      </x:c>
      <x:c r="B185" s="311" t="str">
        <x:f>'All Stats'!B168</x:f>
        <x:v>「鳥傷」</x:v>
      </x:c>
      <x:c r="C185" s="315" t="str">
        <x:f>IF(G185&gt;=$O$6,"Yes","No")</x:f>
        <x:v>No</x:v>
      </x:c>
      <x:c r="D185" s="312" t="n">
        <x:f>'All Stats'!L168</x:f>
        <x:v>20.8592</x:v>
      </x:c>
      <x:c r="E185" s="312" t="n">
        <x:f>'All Stats'!M168</x:f>
        <x:v>11.445699999999999</x:v>
      </x:c>
      <x:c r="F185" s="312" t="n">
        <x:f>'All Stats'!O168</x:f>
        <x:v>-0.67</x:v>
      </x:c>
      <x:c r="G185" s="312" t="n">
        <x:f>'All Stats'!Q168</x:f>
        <x:v>4.76</x:v>
      </x:c>
      <x:c r="H185" s="316" t="str">
        <x:f>IF(C185="Yes",100*((COUNTIFS($C$23:$C$189,"Yes",$D$23:$D$189,"&lt;"&amp;D185)+(COUNTIFS($C$23:$C$189,"Yes",$D$23:$D$189,D185)-1)/2)/($O$18-1))^$O$7,"")</x:f>
      </x:c>
      <x:c r="I185" s="316" t="str">
        <x:f>IF(C185="Yes",100*((COUNTIFS($C$23:$C$189,"Yes",$E$23:$E$189,"&lt;"&amp;E185)+(COUNTIFS($C$23:$C$189,"Yes",$E$23:$E$189,E185)-1)/2)/($O$18-1))^$O$7,"")</x:f>
      </x:c>
      <x:c r="J185" s="316" t="str">
        <x:f>IF(C185="Yes",100*((COUNTIFS($C$23:$C$189,"Yes",$F$23:$F$189,"&gt;"&amp;F185)+(COUNTIFS($C$23:$C$189,"Yes",$F$23:$F$189,F185)-1)/2)/($O$18-1))^$O$7,"")</x:f>
      </x:c>
      <x:c r="K185" s="316" t="str">
        <x:f>IF(C185="Yes",100*((COUNTIFS($C$23:$C$189,"Yes",$G$23:$G$189,"&lt;"&amp;G185)+(COUNTIFS($C$23:$C$189,"Yes",$G$23:$G$189,G185)-1)/2)/($O$18-1))^$O$7,"")</x:f>
      </x:c>
      <x:c r="L185" s="316" t="str">
        <x:f>IF(C185="Yes",AVERAGE(H185:K185),"")</x:f>
      </x:c>
      <x:c r="M185" s="317" t="str">
        <x:f>IF(C185="Yes",1+COUNTIFS($A$23:$A$189,A185,$C$23:$C$189,"Yes",$L$23:$L$189,"&gt;"&amp;L185),"")</x:f>
      </x:c>
    </x:row>
    <x:row r="186">
      <x:c r="A186" s="771" t="str">
        <x:f>'All Stats'!A169</x:f>
        <x:v>K138</x:v>
      </x:c>
      <x:c r="B186" s="771" t="str">
        <x:f>'All Stats'!B169</x:f>
        <x:v>(RaW)Leprechaun</x:v>
      </x:c>
      <x:c r="C186" s="771" t="str">
        <x:f>IF(G186&gt;=$O$6,"Yes","No")</x:f>
        <x:v>No</x:v>
      </x:c>
      <x:c r="D186" s="777" t="n">
        <x:f>'All Stats'!L169</x:f>
        <x:v>11.1742</x:v>
      </x:c>
      <x:c r="E186" s="777" t="n">
        <x:f>'All Stats'!M169</x:f>
        <x:v>16.7212</x:v>
      </x:c>
      <x:c r="F186" s="777" t="n">
        <x:f>'All Stats'!O169</x:f>
        <x:v>-1.455</x:v>
      </x:c>
      <x:c r="G186" s="777" t="n">
        <x:f>'All Stats'!Q169</x:f>
        <x:v>2.38</x:v>
      </x:c>
      <x:c r="H186" s="788" t="str">
        <x:f>IF(C186="Yes",100*((COUNTIFS($C$23:$C$189,"Yes",$D$23:$D$189,"&lt;"&amp;D186)+(COUNTIFS($C$23:$C$189,"Yes",$D$23:$D$189,D186)-1)/2)/($O$18-1))^$O$7,"")</x:f>
      </x:c>
      <x:c r="I186" s="788" t="str">
        <x:f>IF(C186="Yes",100*((COUNTIFS($C$23:$C$189,"Yes",$E$23:$E$189,"&lt;"&amp;E186)+(COUNTIFS($C$23:$C$189,"Yes",$E$23:$E$189,E186)-1)/2)/($O$18-1))^$O$7,"")</x:f>
      </x:c>
      <x:c r="J186" s="788" t="str">
        <x:f>IF(C186="Yes",100*((COUNTIFS($C$23:$C$189,"Yes",$F$23:$F$189,"&gt;"&amp;F186)+(COUNTIFS($C$23:$C$189,"Yes",$F$23:$F$189,F186)-1)/2)/($O$18-1))^$O$7,"")</x:f>
      </x:c>
      <x:c r="K186" s="788" t="str">
        <x:f>IF(C186="Yes",100*((COUNTIFS($C$23:$C$189,"Yes",$G$23:$G$189,"&lt;"&amp;G186)+(COUNTIFS($C$23:$C$189,"Yes",$G$23:$G$189,G186)-1)/2)/($O$18-1))^$O$7,"")</x:f>
      </x:c>
      <x:c r="L186" s="788" t="str">
        <x:f>IF(C186="Yes",AVERAGE(H186:K186),"")</x:f>
      </x:c>
      <x:c r="M186" s="779" t="str">
        <x:f>IF(C186="Yes",1+COUNTIFS($A$23:$A$189,A186,$C$23:$C$189,"Yes",$L$23:$L$189,"&gt;"&amp;L186),"")</x:f>
      </x:c>
      <x:c r="N186"/>
      <x:c r="O186"/>
      <x:c r="P186"/>
    </x:row>
    <x:row r="187">
      <x:c r="A187" s="774" t="str">
        <x:f>'All Stats'!A170</x:f>
        <x:v>K138</x:v>
      </x:c>
      <x:c r="B187" s="774" t="str">
        <x:f>'All Stats'!B170</x:f>
        <x:v>(RaW)༺TsuStark༻</x:v>
      </x:c>
      <x:c r="C187" s="774" t="str">
        <x:f>IF(G187&gt;=$O$6,"Yes","No")</x:f>
        <x:v>No</x:v>
      </x:c>
      <x:c r="D187" s="778" t="n">
        <x:f>'All Stats'!L170</x:f>
        <x:v>14.612</x:v>
      </x:c>
      <x:c r="E187" s="778" t="n">
        <x:f>'All Stats'!M170</x:f>
        <x:v>14.4849</x:v>
      </x:c>
      <x:c r="F187" s="778" t="n">
        <x:f>'All Stats'!O170</x:f>
        <x:v>-1.4575</x:v>
      </x:c>
      <x:c r="G187" s="778" t="n">
        <x:f>'All Stats'!Q170</x:f>
        <x:v>2.85</x:v>
      </x:c>
      <x:c r="H187" s="787" t="str">
        <x:f>IF(C187="Yes",100*((COUNTIFS($C$23:$C$189,"Yes",$D$23:$D$189,"&lt;"&amp;D187)+(COUNTIFS($C$23:$C$189,"Yes",$D$23:$D$189,D187)-1)/2)/($O$18-1))^$O$7,"")</x:f>
      </x:c>
      <x:c r="I187" s="787" t="str">
        <x:f>IF(C187="Yes",100*((COUNTIFS($C$23:$C$189,"Yes",$E$23:$E$189,"&lt;"&amp;E187)+(COUNTIFS($C$23:$C$189,"Yes",$E$23:$E$189,E187)-1)/2)/($O$18-1))^$O$7,"")</x:f>
      </x:c>
      <x:c r="J187" s="787" t="str">
        <x:f>IF(C187="Yes",100*((COUNTIFS($C$23:$C$189,"Yes",$F$23:$F$189,"&gt;"&amp;F187)+(COUNTIFS($C$23:$C$189,"Yes",$F$23:$F$189,F187)-1)/2)/($O$18-1))^$O$7,"")</x:f>
      </x:c>
      <x:c r="K187" s="787" t="str">
        <x:f>IF(C187="Yes",100*((COUNTIFS($C$23:$C$189,"Yes",$G$23:$G$189,"&lt;"&amp;G187)+(COUNTIFS($C$23:$C$189,"Yes",$G$23:$G$189,G187)-1)/2)/($O$18-1))^$O$7,"")</x:f>
      </x:c>
      <x:c r="L187" s="787" t="str">
        <x:f>IF(C187="Yes",AVERAGE(H187:K187),"")</x:f>
      </x:c>
      <x:c r="M187" s="780" t="str">
        <x:f>IF(C187="Yes",1+COUNTIFS($A$23:$A$189,A187,$C$23:$C$189,"Yes",$L$23:$L$189,"&gt;"&amp;L187),"")</x:f>
      </x:c>
      <x:c r="N187"/>
      <x:c r="O187"/>
      <x:c r="P187"/>
    </x:row>
    <x:row r="188">
      <x:c r="A188" s="771" t="str">
        <x:f>'All Stats'!A171</x:f>
        <x:v>K138</x:v>
      </x:c>
      <x:c r="B188" s="771" t="str">
        <x:f>'All Stats'!B171</x:f>
        <x:v>(RaW)ⓀⒶⓃⓃⓄⓃ</x:v>
      </x:c>
      <x:c r="C188" s="771" t="str">
        <x:f>IF(G188&gt;=$O$6,"Yes","No")</x:f>
        <x:v>No</x:v>
      </x:c>
      <x:c r="D188" s="777" t="n">
        <x:f>'All Stats'!L171</x:f>
        <x:v>12.5457</x:v>
      </x:c>
      <x:c r="E188" s="777" t="n">
        <x:f>'All Stats'!M171</x:f>
        <x:v>16.5912</x:v>
      </x:c>
      <x:c r="F188" s="777" t="n">
        <x:f>'All Stats'!O171</x:f>
        <x:v>-1.4575</x:v>
      </x:c>
      <x:c r="G188" s="777" t="n">
        <x:f>'All Stats'!Q171</x:f>
        <x:v>2.88</x:v>
      </x:c>
      <x:c r="H188" s="788" t="str">
        <x:f>IF(C188="Yes",100*((COUNTIFS($C$23:$C$189,"Yes",$D$23:$D$189,"&lt;"&amp;D188)+(COUNTIFS($C$23:$C$189,"Yes",$D$23:$D$189,D188)-1)/2)/($O$18-1))^$O$7,"")</x:f>
      </x:c>
      <x:c r="I188" s="788" t="str">
        <x:f>IF(C188="Yes",100*((COUNTIFS($C$23:$C$189,"Yes",$E$23:$E$189,"&lt;"&amp;E188)+(COUNTIFS($C$23:$C$189,"Yes",$E$23:$E$189,E188)-1)/2)/($O$18-1))^$O$7,"")</x:f>
      </x:c>
      <x:c r="J188" s="788" t="str">
        <x:f>IF(C188="Yes",100*((COUNTIFS($C$23:$C$189,"Yes",$F$23:$F$189,"&gt;"&amp;F188)+(COUNTIFS($C$23:$C$189,"Yes",$F$23:$F$189,F188)-1)/2)/($O$18-1))^$O$7,"")</x:f>
      </x:c>
      <x:c r="K188" s="788" t="str">
        <x:f>IF(C188="Yes",100*((COUNTIFS($C$23:$C$189,"Yes",$G$23:$G$189,"&lt;"&amp;G188)+(COUNTIFS($C$23:$C$189,"Yes",$G$23:$G$189,G188)-1)/2)/($O$18-1))^$O$7,"")</x:f>
      </x:c>
      <x:c r="L188" s="788" t="str">
        <x:f>IF(C188="Yes",AVERAGE(H188:K188),"")</x:f>
      </x:c>
      <x:c r="M188" s="779" t="str">
        <x:f>IF(C188="Yes",1+COUNTIFS($A$23:$A$189,A188,$C$23:$C$189,"Yes",$L$23:$L$189,"&gt;"&amp;L188),"")</x:f>
      </x:c>
      <x:c r="N188"/>
      <x:c r="O188"/>
      <x:c r="P188"/>
    </x:row>
    <x:row r="189">
      <x:c r="A189" s="774" t="str">
        <x:f>'All Stats'!A172</x:f>
        <x:v>K138</x:v>
      </x:c>
      <x:c r="B189" s="774" t="str">
        <x:f>'All Stats'!B172</x:f>
        <x:v>(RaW)Des</x:v>
      </x:c>
      <x:c r="C189" s="774" t="str">
        <x:f>IF(G189&gt;=$O$6,"Yes","No")</x:f>
        <x:v>No</x:v>
      </x:c>
      <x:c r="D189" s="778" t="n">
        <x:f>'All Stats'!L172</x:f>
        <x:v>12.695699999999999</x:v>
      </x:c>
      <x:c r="E189" s="778" t="n">
        <x:f>'All Stats'!M172</x:f>
        <x:v>16.1812</x:v>
      </x:c>
      <x:c r="F189" s="778" t="n">
        <x:f>'All Stats'!O172</x:f>
        <x:v>-1.585</x:v>
      </x:c>
      <x:c r="G189" s="778" t="n">
        <x:f>'All Stats'!Q172</x:f>
        <x:v>3.51</x:v>
      </x:c>
      <x:c r="H189" s="787" t="str">
        <x:f>IF(C189="Yes",100*((COUNTIFS($C$23:$C$189,"Yes",$D$23:$D$189,"&lt;"&amp;D189)+(COUNTIFS($C$23:$C$189,"Yes",$D$23:$D$189,D189)-1)/2)/($O$18-1))^$O$7,"")</x:f>
      </x:c>
      <x:c r="I189" s="787" t="str">
        <x:f>IF(C189="Yes",100*((COUNTIFS($C$23:$C$189,"Yes",$E$23:$E$189,"&lt;"&amp;E189)+(COUNTIFS($C$23:$C$189,"Yes",$E$23:$E$189,E189)-1)/2)/($O$18-1))^$O$7,"")</x:f>
      </x:c>
      <x:c r="J189" s="787" t="str">
        <x:f>IF(C189="Yes",100*((COUNTIFS($C$23:$C$189,"Yes",$F$23:$F$189,"&gt;"&amp;F189)+(COUNTIFS($C$23:$C$189,"Yes",$F$23:$F$189,F189)-1)/2)/($O$18-1))^$O$7,"")</x:f>
      </x:c>
      <x:c r="K189" s="787" t="str">
        <x:f>IF(C189="Yes",100*((COUNTIFS($C$23:$C$189,"Yes",$G$23:$G$189,"&lt;"&amp;G189)+(COUNTIFS($C$23:$C$189,"Yes",$G$23:$G$189,G189)-1)/2)/($O$18-1))^$O$7,"")</x:f>
      </x:c>
      <x:c r="L189" s="787" t="str">
        <x:f>IF(C189="Yes",AVERAGE(H189:K189),"")</x:f>
      </x:c>
      <x:c r="M189" s="780" t="str">
        <x:f>IF(C189="Yes",1+COUNTIFS($A$23:$A$189,A189,$C$23:$C$189,"Yes",$L$23:$L$189,"&gt;"&amp;L189),"")</x:f>
      </x:c>
      <x:c r="N189"/>
      <x:c r="O189"/>
      <x:c r="P189"/>
    </x:row>
  </x:sheetData>
  <x:mergeCells>
    <x:mergeCell ref="A1:L1"/>
    <x:mergeCell ref="A2:L2"/>
    <x:mergeCell ref="A4:L4"/>
    <x:mergeCell ref="A15:L15"/>
    <x:mergeCell ref="A16:L19"/>
    <x:mergeCell ref="N4:P4"/>
    <x:mergeCell ref="A21:M21"/>
  </x:mergeCells>
  <x:conditionalFormatting sqref="D6:K13">
    <x:cfRule type="colorScale" priority="1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L23:L185">
    <x:cfRule type="colorScale" priority="2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6c4e78f4d4614882"/>
    <x:tablePart xmlns:r="http://schemas.openxmlformats.org/officeDocument/2006/relationships" r:id="R9b84cc49b85a408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4" hidden="0" customWidth="1"/>
    <x:col min="4" max="4" width="24" hidden="0" customWidth="1"/>
    <x:col min="5" max="5" width="18" hidden="0" customWidth="1"/>
    <x:col min="6" max="6" width="9" hidden="0" customWidth="1"/>
    <x:col min="7" max="7" width="22" hidden="0" customWidth="1"/>
    <x:col min="8" max="8" width="54" hidden="0" customWidth="1"/>
    <x:col min="9" max="9" width="13" hidden="0" customWidth="1"/>
    <x:col min="10" max="10" width="18" hidden="0" customWidth="1"/>
    <x:col min="11" max="11" width="45" hidden="0" customWidth="1"/>
    <x:col min="12" max="12" width="30" hidden="0" customWidth="1"/>
  </x:cols>
  <x:sheetData>
    <x:row r="1" ht="28" customHeight="1">
      <x:c r="A1" s="351" t="str">
        <x:v>Specialisation Skills — Raw Sightings</x:v>
      </x:c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</x:row>
    <x:row r="2" ht="38" customHeight="1">
      <x:c r="A2" s="355" t="str">
        <x:v>Original tooltip sightings preserved exactly for audit. Repeated unit tiers are intentionally retained here and must not be counted more than once.</x:v>
      </x:c>
      <x:c r="B2" s="355"/>
      <x:c r="C2" s="355"/>
      <x:c r="D2" s="355"/>
      <x:c r="E2" s="355"/>
      <x:c r="F2" s="355"/>
      <x:c r="G2" s="355"/>
      <x:c r="H2" s="355"/>
      <x:c r="I2" s="355"/>
      <x:c r="J2" s="355"/>
      <x:c r="K2" s="355"/>
      <x:c r="L2" s="355"/>
    </x:row>
    <x:row r="5" ht="32" customHeight="1">
      <x:c r="A5" s="361" t="str">
        <x:v>Server</x:v>
      </x:c>
      <x:c r="B5" s="361" t="str">
        <x:v>Player</x:v>
      </x:c>
      <x:c r="C5" s="361" t="str">
        <x:v>Troop Type</x:v>
      </x:c>
      <x:c r="D5" s="361" t="str">
        <x:v>Specialisation</x:v>
      </x:c>
      <x:c r="E5" s="361" t="str">
        <x:v>Displayed Subtype</x:v>
      </x:c>
      <x:c r="F5" s="361" t="str">
        <x:v>Level</x:v>
      </x:c>
      <x:c r="G5" s="361" t="str">
        <x:v>Skill</x:v>
      </x:c>
      <x:c r="H5" s="361" t="str">
        <x:v>Skill Effect</x:v>
      </x:c>
      <x:c r="I5" s="361" t="str">
        <x:v>Status</x:v>
      </x:c>
      <x:c r="J5" s="361" t="str">
        <x:v>Video Timestamp</x:v>
      </x:c>
      <x:c r="K5" s="361" t="str">
        <x:v>Notes</x:v>
      </x:c>
      <x:c r="L5" s="361" t="str">
        <x:v>Source Video</x:v>
      </x:c>
    </x:row>
    <x:row r="6" ht="32" customHeight="1">
      <x:c r="A6" s="362" t="str">
        <x:v>K60</x:v>
      </x:c>
      <x:c r="B6" s="362" t="str">
        <x:v>CerialKiller</x:v>
      </x:c>
      <x:c r="C6" s="362" t="str">
        <x:v>Guards</x:v>
      </x:c>
      <x:c r="D6" s="362" t="str">
        <x:v>Destroyers</x:v>
      </x:c>
      <x:c r="E6" s="362" t="str">
        <x:v>Guard</x:v>
      </x:c>
      <x:c r="F6" s="362" t="n">
        <x:v>50</x:v>
      </x:c>
      <x:c r="G6" s="362" t="str">
        <x:v>Parry</x:v>
      </x:c>
      <x:c r="H6" s="362" t="str">
        <x:v>Provides a parry effect and a certain probability to increase damage</x:v>
      </x:c>
      <x:c r="I6" s="362" t="str">
        <x:v>Unlocked</x:v>
      </x:c>
      <x:c r="J6" s="362" t="str">
        <x:v>00:19.0</x:v>
      </x:c>
      <x:c r="K6" s="362"/>
      <x:c r="L6" s="362" t="str">
        <x:v>K60_SVID_20260828_001858_1.mp4</x:v>
      </x:c>
    </x:row>
    <x:row r="7" ht="32" customHeight="1">
      <x:c r="A7" s="362" t="str">
        <x:v>K60</x:v>
      </x:c>
      <x:c r="B7" s="362" t="str">
        <x:v>CerialKiller</x:v>
      </x:c>
      <x:c r="C7" s="362" t="str">
        <x:v>Archers</x:v>
      </x:c>
      <x:c r="D7" s="362" t="str">
        <x:v>Elite bowmen</x:v>
      </x:c>
      <x:c r="E7" s="362" t="str">
        <x:v>Archer</x:v>
      </x:c>
      <x:c r="F7" s="362" t="n">
        <x:v>46</x:v>
      </x:c>
      <x:c r="G7" s="362" t="str">
        <x:v>Frost Arrow</x:v>
      </x:c>
      <x:c r="H7" s="362" t="str">
        <x:v>Has a higher probability of activating ice damage</x:v>
      </x:c>
      <x:c r="I7" s="362" t="str">
        <x:v>Unlocked</x:v>
      </x:c>
      <x:c r="J7" s="362" t="str">
        <x:v>00:22.5</x:v>
      </x:c>
      <x:c r="K7" s="362"/>
      <x:c r="L7" s="362" t="str">
        <x:v>K60_SVID_20260828_001858_1.mp4</x:v>
      </x:c>
    </x:row>
    <x:row r="8" ht="32" customHeight="1">
      <x:c r="A8" s="362" t="str">
        <x:v>K60</x:v>
      </x:c>
      <x:c r="B8" s="362" t="str">
        <x:v>CerialKiller</x:v>
      </x:c>
      <x:c r="C8" s="362" t="str">
        <x:v>Archers</x:v>
      </x:c>
      <x:c r="D8" s="362" t="str">
        <x:v>Marksmen</x:v>
      </x:c>
      <x:c r="E8" s="362" t="str">
        <x:v>Archer</x:v>
      </x:c>
      <x:c r="F8" s="362" t="n">
        <x:v>46</x:v>
      </x:c>
      <x:c r="G8" s="362" t="str">
        <x:v>Frost Arrow</x:v>
      </x:c>
      <x:c r="H8" s="362" t="str">
        <x:v>Has a higher probability of activating ice damage</x:v>
      </x:c>
      <x:c r="I8" s="362" t="str">
        <x:v>Unlocked</x:v>
      </x:c>
      <x:c r="J8" s="362" t="str">
        <x:v>00:25.5</x:v>
      </x:c>
      <x:c r="K8" s="362"/>
      <x:c r="L8" s="362" t="str">
        <x:v>K60_SVID_20260828_001858_1.mp4</x:v>
      </x:c>
    </x:row>
    <x:row r="9" ht="32" customHeight="1">
      <x:c r="A9" s="362" t="str">
        <x:v>K60</x:v>
      </x:c>
      <x:c r="B9" s="362" t="str">
        <x:v>CerialKiller</x:v>
      </x:c>
      <x:c r="C9" s="362" t="str">
        <x:v>Cavalry</x:v>
      </x:c>
      <x:c r="D9" s="362" t="str">
        <x:v>Eternal knights</x:v>
      </x:c>
      <x:c r="E9" s="362" t="str">
        <x:v>Heavy Cavalry</x:v>
      </x:c>
      <x:c r="F9" s="362" t="n">
        <x:v>46</x:v>
      </x:c>
      <x:c r="G9" s="362" t="str">
        <x:v>Thunder trample</x:v>
      </x:c>
      <x:c r="H9" s="362" t="str">
        <x:v>Has a certain probability of causing trampling damage</x:v>
      </x:c>
      <x:c r="I9" s="362" t="str">
        <x:v>Unlocked</x:v>
      </x:c>
      <x:c r="J9" s="362" t="str">
        <x:v>00:20.5</x:v>
      </x:c>
      <x:c r="K9" s="362"/>
      <x:c r="L9" s="362" t="str">
        <x:v>K60_SVID_20260828_001858_1.mp4</x:v>
      </x:c>
    </x:row>
    <x:row r="10" ht="32" customHeight="1">
      <x:c r="A10" s="362" t="str">
        <x:v>K60</x:v>
      </x:c>
      <x:c r="B10" s="362" t="str">
        <x:v>CerialKiller</x:v>
      </x:c>
      <x:c r="C10" s="362" t="str">
        <x:v>Cavalry</x:v>
      </x:c>
      <x:c r="D10" s="362" t="str">
        <x:v>Storm cavalry</x:v>
      </x:c>
      <x:c r="E10" s="362" t="str">
        <x:v>Horse archer</x:v>
      </x:c>
      <x:c r="F10" s="362" t="n">
        <x:v>46</x:v>
      </x:c>
      <x:c r="G10" s="362" t="str">
        <x:v>Mounted Archery</x:v>
      </x:c>
      <x:c r="H10" s="362" t="str">
        <x:v>Has a certain probability of causing fly-shooting damage</x:v>
      </x:c>
      <x:c r="I10" s="362" t="str">
        <x:v>Unlocked</x:v>
      </x:c>
      <x:c r="J10" s="362" t="str">
        <x:v>00:24.0</x:v>
      </x:c>
      <x:c r="K10" s="362"/>
      <x:c r="L10" s="362" t="str">
        <x:v>K60_SVID_20260828_001858_1.mp4</x:v>
      </x:c>
    </x:row>
    <x:row r="11" ht="32" customHeight="1">
      <x:c r="A11" s="362" t="str">
        <x:v>K60</x:v>
      </x:c>
      <x:c r="B11" s="362" t="str">
        <x:v>CerialKiller</x:v>
      </x:c>
      <x:c r="C11" s="362" t="str">
        <x:v>Cavalry</x:v>
      </x:c>
      <x:c r="D11" s="362" t="str">
        <x:v>Royal banderium</x:v>
      </x:c>
      <x:c r="E11" s="362" t="str">
        <x:v>Horse archer</x:v>
      </x:c>
      <x:c r="F11" s="362" t="n">
        <x:v>46</x:v>
      </x:c>
      <x:c r="G11" s="362" t="str">
        <x:v>Mounted Archery</x:v>
      </x:c>
      <x:c r="H11" s="362" t="str">
        <x:v>Has a certain probability of causing fly-shooting damage</x:v>
      </x:c>
      <x:c r="I11" s="362" t="str">
        <x:v>Unlocked</x:v>
      </x:c>
      <x:c r="J11" s="362" t="str">
        <x:v>00:27.5</x:v>
      </x:c>
      <x:c r="K11" s="362"/>
      <x:c r="L11" s="362" t="str">
        <x:v>K60_SVID_20260828_001858_1.mp4</x:v>
      </x:c>
    </x:row>
    <x:row r="12" ht="32" customHeight="1">
      <x:c r="A12" s="362" t="str">
        <x:v>K60</x:v>
      </x:c>
      <x:c r="B12" s="362" t="str">
        <x:v>Hitt</x:v>
      </x:c>
      <x:c r="C12" s="362" t="str">
        <x:v>Guards</x:v>
      </x:c>
      <x:c r="D12" s="362" t="str">
        <x:v>Destroyers</x:v>
      </x:c>
      <x:c r="E12" s="362" t="str">
        <x:v>Guard</x:v>
      </x:c>
      <x:c r="F12" s="362" t="n">
        <x:v>40</x:v>
      </x:c>
      <x:c r="G12" s="362" t="str">
        <x:v>Parry</x:v>
      </x:c>
      <x:c r="H12" s="362" t="str">
        <x:v>Provides a parry effect and a certain probability to increase damage</x:v>
      </x:c>
      <x:c r="I12" s="362" t="str">
        <x:v>Unlocked</x:v>
      </x:c>
      <x:c r="J12" s="362" t="str">
        <x:v>00:36.0</x:v>
      </x:c>
      <x:c r="K12" s="362"/>
      <x:c r="L12" s="362" t="str">
        <x:v>K60_SVID_20260828_001858_1.mp4</x:v>
      </x:c>
    </x:row>
    <x:row r="13" ht="32" customHeight="1">
      <x:c r="A13" s="362" t="str">
        <x:v>K60</x:v>
      </x:c>
      <x:c r="B13" s="362" t="str">
        <x:v>Hitt</x:v>
      </x:c>
      <x:c r="C13" s="362" t="str">
        <x:v>Archers</x:v>
      </x:c>
      <x:c r="D13" s="362" t="str">
        <x:v>Elite bowmen</x:v>
      </x:c>
      <x:c r="E13" s="362" t="str">
        <x:v>Archer</x:v>
      </x:c>
      <x:c r="F13" s="362" t="n">
        <x:v>40</x:v>
      </x:c>
      <x:c r="G13" s="362" t="str">
        <x:v>Frost Arrow</x:v>
      </x:c>
      <x:c r="H13" s="362" t="str">
        <x:v>Has a higher probability of activating ice damage</x:v>
      </x:c>
      <x:c r="I13" s="362" t="str">
        <x:v>Unlocked</x:v>
      </x:c>
      <x:c r="J13" s="362" t="str">
        <x:v>00:39.0</x:v>
      </x:c>
      <x:c r="K13" s="362"/>
      <x:c r="L13" s="362" t="str">
        <x:v>K60_SVID_20260828_001858_1.mp4</x:v>
      </x:c>
    </x:row>
    <x:row r="14" ht="32" customHeight="1">
      <x:c r="A14" s="362" t="str">
        <x:v>K60</x:v>
      </x:c>
      <x:c r="B14" s="362" t="str">
        <x:v>Hitt</x:v>
      </x:c>
      <x:c r="C14" s="362" t="str">
        <x:v>Cavalry</x:v>
      </x:c>
      <x:c r="D14" s="362" t="str">
        <x:v>Eternal knights</x:v>
      </x:c>
      <x:c r="E14" s="362" t="str">
        <x:v>Heavy Cavalry</x:v>
      </x:c>
      <x:c r="F14" s="362" t="n">
        <x:v>44</x:v>
      </x:c>
      <x:c r="G14" s="362" t="str">
        <x:v>Thunder trample</x:v>
      </x:c>
      <x:c r="H14" s="362" t="str">
        <x:v>Has a certain probability of causing trampling damage</x:v>
      </x:c>
      <x:c r="I14" s="362" t="str">
        <x:v>Unlocked</x:v>
      </x:c>
      <x:c r="J14" s="362" t="str">
        <x:v>00:37.5</x:v>
      </x:c>
      <x:c r="K14" s="362"/>
      <x:c r="L14" s="362" t="str">
        <x:v>K60_SVID_20260828_001858_1.mp4</x:v>
      </x:c>
    </x:row>
    <x:row r="15" ht="32" customHeight="1">
      <x:c r="A15" s="362" t="str">
        <x:v>K60</x:v>
      </x:c>
      <x:c r="B15" s="362" t="str">
        <x:v>Hitt</x:v>
      </x:c>
      <x:c r="C15" s="362" t="str">
        <x:v>Cavalry</x:v>
      </x:c>
      <x:c r="D15" s="362" t="str">
        <x:v>Storm cavalry</x:v>
      </x:c>
      <x:c r="E15" s="362" t="str">
        <x:v>Horse archer</x:v>
      </x:c>
      <x:c r="F15" s="362" t="n">
        <x:v>43</x:v>
      </x:c>
      <x:c r="G15" s="362" t="str">
        <x:v>Mounted Archery</x:v>
      </x:c>
      <x:c r="H15" s="362" t="str">
        <x:v>Has a certain probability of causing fly-shooting damage</x:v>
      </x:c>
      <x:c r="I15" s="362" t="str">
        <x:v>Unlocked</x:v>
      </x:c>
      <x:c r="J15" s="362" t="str">
        <x:v>00:40.0</x:v>
      </x:c>
      <x:c r="K15" s="362"/>
      <x:c r="L15" s="362" t="str">
        <x:v>K60_SVID_20260828_001858_1.mp4</x:v>
      </x:c>
    </x:row>
    <x:row r="16" ht="32" customHeight="1">
      <x:c r="A16" s="362" t="str">
        <x:v>K60</x:v>
      </x:c>
      <x:c r="B16" s="362" t="str">
        <x:v>Λžtěč (Aztec)</x:v>
      </x:c>
      <x:c r="C16" s="362" t="str">
        <x:v>Guards</x:v>
      </x:c>
      <x:c r="D16" s="362" t="str">
        <x:v>Destroyers</x:v>
      </x:c>
      <x:c r="E16" s="362" t="str">
        <x:v>Guard</x:v>
      </x:c>
      <x:c r="F16" s="362" t="n">
        <x:v>40</x:v>
      </x:c>
      <x:c r="G16" s="362" t="str">
        <x:v>Parry</x:v>
      </x:c>
      <x:c r="H16" s="362" t="str">
        <x:v>Provides a parry effect and a certain probability to increase damage</x:v>
      </x:c>
      <x:c r="I16" s="362" t="str">
        <x:v>Unlocked</x:v>
      </x:c>
      <x:c r="J16" s="362" t="str">
        <x:v>00:47.5</x:v>
      </x:c>
      <x:c r="K16" s="362"/>
      <x:c r="L16" s="362" t="str">
        <x:v>K60_SVID_20260828_001858_1.mp4</x:v>
      </x:c>
    </x:row>
    <x:row r="17" ht="32" customHeight="1">
      <x:c r="A17" s="362" t="str">
        <x:v>K60</x:v>
      </x:c>
      <x:c r="B17" s="362" t="str">
        <x:v>Λžtěč (Aztec)</x:v>
      </x:c>
      <x:c r="C17" s="362" t="str">
        <x:v>Archers</x:v>
      </x:c>
      <x:c r="D17" s="362" t="str">
        <x:v>Elite bowmen</x:v>
      </x:c>
      <x:c r="E17" s="362" t="str">
        <x:v>Archer</x:v>
      </x:c>
      <x:c r="F17" s="362" t="n">
        <x:v>40</x:v>
      </x:c>
      <x:c r="G17" s="362" t="str">
        <x:v>Frost Arrow</x:v>
      </x:c>
      <x:c r="H17" s="362" t="str">
        <x:v>Has a higher probability of activating ice damage</x:v>
      </x:c>
      <x:c r="I17" s="362" t="str">
        <x:v>Unlocked</x:v>
      </x:c>
      <x:c r="J17" s="362" t="str">
        <x:v>00:49.5</x:v>
      </x:c>
      <x:c r="K17" s="362"/>
      <x:c r="L17" s="362" t="str">
        <x:v>K60_SVID_20260828_001858_1.mp4</x:v>
      </x:c>
    </x:row>
    <x:row r="18" ht="32" customHeight="1">
      <x:c r="A18" s="362" t="str">
        <x:v>K60</x:v>
      </x:c>
      <x:c r="B18" s="362" t="str">
        <x:v>Λžtěč (Aztec)</x:v>
      </x:c>
      <x:c r="C18" s="362" t="str">
        <x:v>Cavalry</x:v>
      </x:c>
      <x:c r="D18" s="362" t="str">
        <x:v>Eternal knights</x:v>
      </x:c>
      <x:c r="E18" s="362" t="str">
        <x:v>Heavy Cavalry</x:v>
      </x:c>
      <x:c r="F18" s="362" t="n">
        <x:v>44</x:v>
      </x:c>
      <x:c r="G18" s="362" t="str">
        <x:v>Thunder trample</x:v>
      </x:c>
      <x:c r="H18" s="362" t="str">
        <x:v>Has a certain probability of causing trampling damage</x:v>
      </x:c>
      <x:c r="I18" s="362" t="str">
        <x:v>Unlocked</x:v>
      </x:c>
      <x:c r="J18" s="362" t="str">
        <x:v>00:48.5</x:v>
      </x:c>
      <x:c r="K18" s="362"/>
      <x:c r="L18" s="362" t="str">
        <x:v>K60_SVID_20260828_001858_1.mp4</x:v>
      </x:c>
    </x:row>
    <x:row r="19" ht="32" customHeight="1">
      <x:c r="A19" s="362" t="str">
        <x:v>K60</x:v>
      </x:c>
      <x:c r="B19" s="362" t="str">
        <x:v>Λžtěč (Aztec)</x:v>
      </x:c>
      <x:c r="C19" s="362" t="str">
        <x:v>Cavalry</x:v>
      </x:c>
      <x:c r="D19" s="362" t="str">
        <x:v>Storm cavalry</x:v>
      </x:c>
      <x:c r="E19" s="362" t="str">
        <x:v>Horse archer</x:v>
      </x:c>
      <x:c r="F19" s="362" t="n">
        <x:v>44</x:v>
      </x:c>
      <x:c r="G19" s="362" t="str">
        <x:v>Mounted Archery</x:v>
      </x:c>
      <x:c r="H19" s="362" t="str">
        <x:v>Has a certain probability of causing fly-shooting damage</x:v>
      </x:c>
      <x:c r="I19" s="362" t="str">
        <x:v>Unlocked</x:v>
      </x:c>
      <x:c r="J19" s="362" t="str">
        <x:v>00:50.5</x:v>
      </x:c>
      <x:c r="K19" s="362"/>
      <x:c r="L19" s="362" t="str">
        <x:v>K60_SVID_20260828_001858_1.mp4</x:v>
      </x:c>
    </x:row>
    <x:row r="20" ht="32" customHeight="1">
      <x:c r="A20" s="362" t="str">
        <x:v>K60</x:v>
      </x:c>
      <x:c r="B20" s="362" t="str">
        <x:v>MoonLight</x:v>
      </x:c>
      <x:c r="C20" s="362" t="str">
        <x:v>Guards</x:v>
      </x:c>
      <x:c r="D20" s="362" t="str">
        <x:v>Destroyers</x:v>
      </x:c>
      <x:c r="E20" s="362" t="str">
        <x:v>Guard</x:v>
      </x:c>
      <x:c r="F20" s="362" t="n">
        <x:v>40</x:v>
      </x:c>
      <x:c r="G20" s="362" t="str">
        <x:v>Parry</x:v>
      </x:c>
      <x:c r="H20" s="362" t="str">
        <x:v>Provides a parry effect and a certain probability to increase damage</x:v>
      </x:c>
      <x:c r="I20" s="362" t="str">
        <x:v>Unlocked</x:v>
      </x:c>
      <x:c r="J20" s="362" t="str">
        <x:v>00:57.5</x:v>
      </x:c>
      <x:c r="K20" s="362"/>
      <x:c r="L20" s="362" t="str">
        <x:v>K60_SVID_20260828_001858_1.mp4</x:v>
      </x:c>
    </x:row>
    <x:row r="21" ht="32" customHeight="1">
      <x:c r="A21" s="362" t="str">
        <x:v>K60</x:v>
      </x:c>
      <x:c r="B21" s="362" t="str">
        <x:v>MoonLight</x:v>
      </x:c>
      <x:c r="C21" s="362" t="str">
        <x:v>Archers</x:v>
      </x:c>
      <x:c r="D21" s="362" t="str">
        <x:v>Elite bowmen</x:v>
      </x:c>
      <x:c r="E21" s="362" t="str">
        <x:v>Archer</x:v>
      </x:c>
      <x:c r="F21" s="362" t="n">
        <x:v>41</x:v>
      </x:c>
      <x:c r="G21" s="362" t="str">
        <x:v>Frost Arrow</x:v>
      </x:c>
      <x:c r="H21" s="362" t="str">
        <x:v>Has a higher probability of activating ice damage</x:v>
      </x:c>
      <x:c r="I21" s="362" t="str">
        <x:v>Unlocked</x:v>
      </x:c>
      <x:c r="J21" s="362" t="str">
        <x:v>00:59.5</x:v>
      </x:c>
      <x:c r="K21" s="362"/>
      <x:c r="L21" s="362" t="str">
        <x:v>K60_SVID_20260828_001858_1.mp4</x:v>
      </x:c>
    </x:row>
    <x:row r="22" ht="32" customHeight="1">
      <x:c r="A22" s="362" t="str">
        <x:v>K60</x:v>
      </x:c>
      <x:c r="B22" s="362" t="str">
        <x:v>MoonLight</x:v>
      </x:c>
      <x:c r="C22" s="362" t="str">
        <x:v>Cavalry</x:v>
      </x:c>
      <x:c r="D22" s="362" t="str">
        <x:v>Eternal knights</x:v>
      </x:c>
      <x:c r="E22" s="362" t="str">
        <x:v>Heavy Cavalry</x:v>
      </x:c>
      <x:c r="F22" s="362" t="n">
        <x:v>43</x:v>
      </x:c>
      <x:c r="G22" s="362" t="str">
        <x:v>Thunder trample</x:v>
      </x:c>
      <x:c r="H22" s="362" t="str">
        <x:v>Has a certain probability of causing trampling damage</x:v>
      </x:c>
      <x:c r="I22" s="362" t="str">
        <x:v>Unlocked</x:v>
      </x:c>
      <x:c r="J22" s="362" t="str">
        <x:v>00:58.5</x:v>
      </x:c>
      <x:c r="K22" s="362"/>
      <x:c r="L22" s="362" t="str">
        <x:v>K60_SVID_20260828_001858_1.mp4</x:v>
      </x:c>
    </x:row>
    <x:row r="23" ht="32" customHeight="1">
      <x:c r="A23" s="362" t="str">
        <x:v>K60</x:v>
      </x:c>
      <x:c r="B23" s="362" t="str">
        <x:v>KingSkorpioN</x:v>
      </x:c>
      <x:c r="C23" s="362" t="str">
        <x:v>Guards</x:v>
      </x:c>
      <x:c r="D23" s="362" t="str">
        <x:v>Destroyers</x:v>
      </x:c>
      <x:c r="E23" s="362" t="str">
        <x:v>Guard</x:v>
      </x:c>
      <x:c r="F23" s="362" t="n">
        <x:v>40</x:v>
      </x:c>
      <x:c r="G23" s="362" t="str">
        <x:v>Parry</x:v>
      </x:c>
      <x:c r="H23" s="362" t="str">
        <x:v>Provides a parry effect and a certain probability to increase damage</x:v>
      </x:c>
      <x:c r="I23" s="362" t="str">
        <x:v>Unlocked</x:v>
      </x:c>
      <x:c r="J23" s="362" t="str">
        <x:v>01:06.5</x:v>
      </x:c>
      <x:c r="K23" s="362"/>
      <x:c r="L23" s="362" t="str">
        <x:v>K60_SVID_20260828_001858_1.mp4</x:v>
      </x:c>
    </x:row>
    <x:row r="24" ht="32" customHeight="1">
      <x:c r="A24" s="362" t="str">
        <x:v>K60</x:v>
      </x:c>
      <x:c r="B24" s="362" t="str">
        <x:v>KingSkorpioN</x:v>
      </x:c>
      <x:c r="C24" s="362" t="str">
        <x:v>Archers</x:v>
      </x:c>
      <x:c r="D24" s="362" t="str">
        <x:v>Elite bowmen</x:v>
      </x:c>
      <x:c r="E24" s="362" t="str">
        <x:v>Archer</x:v>
      </x:c>
      <x:c r="F24" s="362" t="n">
        <x:v>42</x:v>
      </x:c>
      <x:c r="G24" s="362" t="str">
        <x:v>Frost Arrow</x:v>
      </x:c>
      <x:c r="H24" s="362" t="str">
        <x:v>Has a higher probability of activating ice damage</x:v>
      </x:c>
      <x:c r="I24" s="362" t="str">
        <x:v>Unlocked</x:v>
      </x:c>
      <x:c r="J24" s="362" t="str">
        <x:v>01:08.5</x:v>
      </x:c>
      <x:c r="K24" s="362"/>
      <x:c r="L24" s="362" t="str">
        <x:v>K60_SVID_20260828_001858_1.mp4</x:v>
      </x:c>
    </x:row>
    <x:row r="25" ht="32" customHeight="1">
      <x:c r="A25" s="362" t="str">
        <x:v>K60</x:v>
      </x:c>
      <x:c r="B25" s="362" t="str">
        <x:v>KingSkorpioN</x:v>
      </x:c>
      <x:c r="C25" s="362" t="str">
        <x:v>Cavalry</x:v>
      </x:c>
      <x:c r="D25" s="362" t="str">
        <x:v>Eternal knights</x:v>
      </x:c>
      <x:c r="E25" s="362" t="str">
        <x:v>Heavy Cavalry</x:v>
      </x:c>
      <x:c r="F25" s="362" t="n">
        <x:v>46</x:v>
      </x:c>
      <x:c r="G25" s="362" t="str">
        <x:v>Thunder trample</x:v>
      </x:c>
      <x:c r="H25" s="362" t="str">
        <x:v>Has a certain probability of causing trampling damage</x:v>
      </x:c>
      <x:c r="I25" s="362" t="str">
        <x:v>Unlocked</x:v>
      </x:c>
      <x:c r="J25" s="362" t="str">
        <x:v>01:07.5</x:v>
      </x:c>
      <x:c r="K25" s="362"/>
      <x:c r="L25" s="362" t="str">
        <x:v>K60_SVID_20260828_001858_1.mp4</x:v>
      </x:c>
    </x:row>
    <x:row r="26" ht="32" customHeight="1">
      <x:c r="A26" s="362" t="str">
        <x:v>K60</x:v>
      </x:c>
      <x:c r="B26" s="362" t="str">
        <x:v>Crixus</x:v>
      </x:c>
      <x:c r="C26" s="362" t="str">
        <x:v>Guards</x:v>
      </x:c>
      <x:c r="D26" s="362" t="str">
        <x:v>Destroyers</x:v>
      </x:c>
      <x:c r="E26" s="362" t="str">
        <x:v>Guard</x:v>
      </x:c>
      <x:c r="F26" s="362" t="n">
        <x:v>40</x:v>
      </x:c>
      <x:c r="G26" s="362" t="str">
        <x:v>Parry</x:v>
      </x:c>
      <x:c r="H26" s="362" t="str">
        <x:v>Provides a parry effect and a certain probability to increase damage</x:v>
      </x:c>
      <x:c r="I26" s="362" t="str">
        <x:v>Unlocked</x:v>
      </x:c>
      <x:c r="J26" s="362" t="str">
        <x:v>01:15.0</x:v>
      </x:c>
      <x:c r="K26" s="362"/>
      <x:c r="L26" s="362" t="str">
        <x:v>K60_SVID_20260828_001858_1.mp4</x:v>
      </x:c>
    </x:row>
    <x:row r="27" ht="32" customHeight="1">
      <x:c r="A27" s="362" t="str">
        <x:v>K60</x:v>
      </x:c>
      <x:c r="B27" s="362" t="str">
        <x:v>Crixus</x:v>
      </x:c>
      <x:c r="C27" s="362" t="str">
        <x:v>Archers</x:v>
      </x:c>
      <x:c r="D27" s="362" t="str">
        <x:v>Elite bowmen</x:v>
      </x:c>
      <x:c r="E27" s="362" t="str">
        <x:v>Archer</x:v>
      </x:c>
      <x:c r="F27" s="362" t="n">
        <x:v>41</x:v>
      </x:c>
      <x:c r="G27" s="362" t="str">
        <x:v>Frost Arrow</x:v>
      </x:c>
      <x:c r="H27" s="362" t="str">
        <x:v>Has a higher probability of activating ice damage</x:v>
      </x:c>
      <x:c r="I27" s="362" t="str">
        <x:v>Unlocked</x:v>
      </x:c>
      <x:c r="J27" s="362" t="str">
        <x:v>01:17.0</x:v>
      </x:c>
      <x:c r="K27" s="362"/>
      <x:c r="L27" s="362" t="str">
        <x:v>K60_SVID_20260828_001858_1.mp4</x:v>
      </x:c>
    </x:row>
    <x:row r="28" ht="32" customHeight="1">
      <x:c r="A28" s="362" t="str">
        <x:v>K60</x:v>
      </x:c>
      <x:c r="B28" s="362" t="str">
        <x:v>Crixus</x:v>
      </x:c>
      <x:c r="C28" s="362" t="str">
        <x:v>Archers</x:v>
      </x:c>
      <x:c r="D28" s="362" t="str">
        <x:v>Marksmen</x:v>
      </x:c>
      <x:c r="E28" s="362" t="str">
        <x:v>Archer</x:v>
      </x:c>
      <x:c r="F28" s="362" t="n">
        <x:v>41</x:v>
      </x:c>
      <x:c r="G28" s="362" t="str">
        <x:v>Frost Arrow</x:v>
      </x:c>
      <x:c r="H28" s="362" t="str">
        <x:v>Has a higher probability of activating ice damage</x:v>
      </x:c>
      <x:c r="I28" s="362" t="str">
        <x:v>Unlocked</x:v>
      </x:c>
      <x:c r="J28" s="362" t="str">
        <x:v>01:18.5</x:v>
      </x:c>
      <x:c r="K28" s="362"/>
      <x:c r="L28" s="362" t="str">
        <x:v>K60_SVID_20260828_001858_1.mp4</x:v>
      </x:c>
    </x:row>
    <x:row r="29" ht="32" customHeight="1">
      <x:c r="A29" s="362" t="str">
        <x:v>K60</x:v>
      </x:c>
      <x:c r="B29" s="362" t="str">
        <x:v>Crixus</x:v>
      </x:c>
      <x:c r="C29" s="362" t="str">
        <x:v>Cavalry</x:v>
      </x:c>
      <x:c r="D29" s="362" t="str">
        <x:v>Eternal knights</x:v>
      </x:c>
      <x:c r="E29" s="362" t="str">
        <x:v>Heavy Cavalry</x:v>
      </x:c>
      <x:c r="F29" s="362" t="n">
        <x:v>44</x:v>
      </x:c>
      <x:c r="G29" s="362" t="str">
        <x:v>Thunder trample</x:v>
      </x:c>
      <x:c r="H29" s="362" t="str">
        <x:v>Has a certain probability of causing trampling damage</x:v>
      </x:c>
      <x:c r="I29" s="362" t="str">
        <x:v>Unlocked</x:v>
      </x:c>
      <x:c r="J29" s="362" t="str">
        <x:v>01:16.0</x:v>
      </x:c>
      <x:c r="K29" s="362"/>
      <x:c r="L29" s="362" t="str">
        <x:v>K60_SVID_20260828_001858_1.mp4</x:v>
      </x:c>
    </x:row>
    <x:row r="30" ht="32" customHeight="1">
      <x:c r="A30" s="362" t="str">
        <x:v>K60</x:v>
      </x:c>
      <x:c r="B30" s="362" t="str">
        <x:v>Crixus</x:v>
      </x:c>
      <x:c r="C30" s="362" t="str">
        <x:v>Cavalry</x:v>
      </x:c>
      <x:c r="D30" s="362" t="str">
        <x:v>Royal banderium</x:v>
      </x:c>
      <x:c r="E30" s="362" t="str">
        <x:v>Horse archer</x:v>
      </x:c>
      <x:c r="F30" s="362" t="n">
        <x:v>44</x:v>
      </x:c>
      <x:c r="G30" s="362" t="str">
        <x:v>Mounted Archery</x:v>
      </x:c>
      <x:c r="H30" s="362" t="str">
        <x:v>Has a certain probability of causing fly-shooting damage</x:v>
      </x:c>
      <x:c r="I30" s="362" t="str">
        <x:v>Unlocked</x:v>
      </x:c>
      <x:c r="J30" s="362" t="str">
        <x:v>01:19.5</x:v>
      </x:c>
      <x:c r="K30" s="362"/>
      <x:c r="L30" s="362" t="str">
        <x:v>K60_SVID_20260828_001858_1.mp4</x:v>
      </x:c>
    </x:row>
    <x:row r="31" ht="32" customHeight="1">
      <x:c r="A31" s="362" t="str">
        <x:v>K60</x:v>
      </x:c>
      <x:c r="B31" s="362" t="str">
        <x:v>Ёжик</x:v>
      </x:c>
      <x:c r="C31" s="362" t="str">
        <x:v>Guards</x:v>
      </x:c>
      <x:c r="D31" s="362" t="str">
        <x:v>Destroyers</x:v>
      </x:c>
      <x:c r="E31" s="362" t="str">
        <x:v>Guard</x:v>
      </x:c>
      <x:c r="F31" s="362" t="n">
        <x:v>40</x:v>
      </x:c>
      <x:c r="G31" s="362" t="str">
        <x:v>Parry</x:v>
      </x:c>
      <x:c r="H31" s="362" t="str">
        <x:v>Provides a parry effect and a certain probability to increase damage</x:v>
      </x:c>
      <x:c r="I31" s="362" t="str">
        <x:v>Unlocked</x:v>
      </x:c>
      <x:c r="J31" s="362" t="str">
        <x:v>01:27.0</x:v>
      </x:c>
      <x:c r="K31" s="362"/>
      <x:c r="L31" s="362" t="str">
        <x:v>K60_SVID_20260828_001858_1.mp4</x:v>
      </x:c>
    </x:row>
    <x:row r="32" ht="32" customHeight="1">
      <x:c r="A32" s="362" t="str">
        <x:v>K60</x:v>
      </x:c>
      <x:c r="B32" s="362" t="str">
        <x:v>Ёжик</x:v>
      </x:c>
      <x:c r="C32" s="362" t="str">
        <x:v>Archers</x:v>
      </x:c>
      <x:c r="D32" s="362" t="str">
        <x:v>Elite bowmen</x:v>
      </x:c>
      <x:c r="E32" s="362" t="str">
        <x:v>Archer</x:v>
      </x:c>
      <x:c r="F32" s="362" t="n">
        <x:v>40</x:v>
      </x:c>
      <x:c r="G32" s="362" t="str">
        <x:v>Frost Arrow</x:v>
      </x:c>
      <x:c r="H32" s="362" t="str">
        <x:v>Has a higher probability of activating ice damage</x:v>
      </x:c>
      <x:c r="I32" s="362" t="str">
        <x:v>Unlocked</x:v>
      </x:c>
      <x:c r="J32" s="362" t="str">
        <x:v>01:29.0</x:v>
      </x:c>
      <x:c r="K32" s="362"/>
      <x:c r="L32" s="362" t="str">
        <x:v>K60_SVID_20260828_001858_1.mp4</x:v>
      </x:c>
    </x:row>
    <x:row r="33" ht="32" customHeight="1">
      <x:c r="A33" s="362" t="str">
        <x:v>K60</x:v>
      </x:c>
      <x:c r="B33" s="362" t="str">
        <x:v>Ёжик</x:v>
      </x:c>
      <x:c r="C33" s="362" t="str">
        <x:v>Cavalry</x:v>
      </x:c>
      <x:c r="D33" s="362" t="str">
        <x:v>Eternal knights</x:v>
      </x:c>
      <x:c r="E33" s="362" t="str">
        <x:v>Heavy Cavalry</x:v>
      </x:c>
      <x:c r="F33" s="362" t="n">
        <x:v>45</x:v>
      </x:c>
      <x:c r="G33" s="362" t="str">
        <x:v>Thunder trample</x:v>
      </x:c>
      <x:c r="H33" s="362" t="str">
        <x:v>Has a certain probability of causing trampling damage</x:v>
      </x:c>
      <x:c r="I33" s="362" t="str">
        <x:v>Unlocked</x:v>
      </x:c>
      <x:c r="J33" s="362" t="str">
        <x:v>01:28.0</x:v>
      </x:c>
      <x:c r="K33" s="362"/>
      <x:c r="L33" s="362" t="str">
        <x:v>K60_SVID_20260828_001858_1.mp4</x:v>
      </x:c>
    </x:row>
    <x:row r="34" ht="32" customHeight="1">
      <x:c r="A34" s="362" t="str">
        <x:v>K60</x:v>
      </x:c>
      <x:c r="B34" s="362" t="str">
        <x:v>Ёжик</x:v>
      </x:c>
      <x:c r="C34" s="362" t="str">
        <x:v>Cavalry</x:v>
      </x:c>
      <x:c r="D34" s="362" t="str">
        <x:v>Storm cavalry</x:v>
      </x:c>
      <x:c r="E34" s="362" t="str">
        <x:v>Horse archer</x:v>
      </x:c>
      <x:c r="F34" s="362" t="n">
        <x:v>46</x:v>
      </x:c>
      <x:c r="G34" s="362" t="str">
        <x:v>Mounted Archery</x:v>
      </x:c>
      <x:c r="H34" s="362" t="str">
        <x:v>Has a certain probability of causing fly-shooting damage</x:v>
      </x:c>
      <x:c r="I34" s="362" t="str">
        <x:v>Unlocked</x:v>
      </x:c>
      <x:c r="J34" s="362" t="str">
        <x:v>01:29.5</x:v>
      </x:c>
      <x:c r="K34" s="362"/>
      <x:c r="L34" s="362" t="str">
        <x:v>K60_SVID_20260828_001858_1.mp4</x:v>
      </x:c>
    </x:row>
    <x:row r="35" ht="32" customHeight="1">
      <x:c r="A35" s="362" t="str">
        <x:v>K60</x:v>
      </x:c>
      <x:c r="B35" s="362" t="str">
        <x:v>༺۝Foxik۝༻</x:v>
      </x:c>
      <x:c r="C35" s="362" t="str">
        <x:v>Guards</x:v>
      </x:c>
      <x:c r="D35" s="362" t="str">
        <x:v>Destroyers</x:v>
      </x:c>
      <x:c r="E35" s="362" t="str">
        <x:v>Guard</x:v>
      </x:c>
      <x:c r="F35" s="362" t="n">
        <x:v>40</x:v>
      </x:c>
      <x:c r="G35" s="362" t="str">
        <x:v>Parry</x:v>
      </x:c>
      <x:c r="H35" s="362" t="str">
        <x:v>Provides a parry effect and a certain probability to increase damage</x:v>
      </x:c>
      <x:c r="I35" s="362" t="str">
        <x:v>Unlocked</x:v>
      </x:c>
      <x:c r="J35" s="362" t="str">
        <x:v>01:36.0</x:v>
      </x:c>
      <x:c r="K35" s="362"/>
      <x:c r="L35" s="362" t="str">
        <x:v>K60_SVID_20260828_001858_1.mp4</x:v>
      </x:c>
    </x:row>
    <x:row r="36" ht="32" customHeight="1">
      <x:c r="A36" s="362" t="str">
        <x:v>K60</x:v>
      </x:c>
      <x:c r="B36" s="362" t="str">
        <x:v>༺۝Foxik۝༻</x:v>
      </x:c>
      <x:c r="C36" s="362" t="str">
        <x:v>Cavalry</x:v>
      </x:c>
      <x:c r="D36" s="362" t="str">
        <x:v>Eternal knights</x:v>
      </x:c>
      <x:c r="E36" s="362" t="str">
        <x:v>Heavy Cavalry</x:v>
      </x:c>
      <x:c r="F36" s="362" t="n">
        <x:v>44</x:v>
      </x:c>
      <x:c r="G36" s="362" t="str">
        <x:v>Thunder trample</x:v>
      </x:c>
      <x:c r="H36" s="362" t="str">
        <x:v>Has a certain probability of causing trampling damage</x:v>
      </x:c>
      <x:c r="I36" s="362" t="str">
        <x:v>Unlocked</x:v>
      </x:c>
      <x:c r="J36" s="362" t="str">
        <x:v>01:37.0</x:v>
      </x:c>
      <x:c r="K36" s="362"/>
      <x:c r="L36" s="362" t="str">
        <x:v>K60_SVID_20260828_001858_1.mp4</x:v>
      </x:c>
    </x:row>
    <x:row r="37" ht="32" customHeight="1">
      <x:c r="A37" s="362" t="str">
        <x:v>K60</x:v>
      </x:c>
      <x:c r="B37" s="362" t="str">
        <x:v>༺۝Foxik۝༻</x:v>
      </x:c>
      <x:c r="C37" s="362" t="str">
        <x:v>Cavalry</x:v>
      </x:c>
      <x:c r="D37" s="362" t="str">
        <x:v>Storm cavalry</x:v>
      </x:c>
      <x:c r="E37" s="362" t="str">
        <x:v>Horse archer</x:v>
      </x:c>
      <x:c r="F37" s="362" t="n">
        <x:v>45</x:v>
      </x:c>
      <x:c r="G37" s="362" t="str">
        <x:v>Mounted Archery</x:v>
      </x:c>
      <x:c r="H37" s="362" t="str">
        <x:v>Has a certain probability of causing fly-shooting damage</x:v>
      </x:c>
      <x:c r="I37" s="362" t="str">
        <x:v>Unlocked</x:v>
      </x:c>
      <x:c r="J37" s="362" t="str">
        <x:v>01:38.5</x:v>
      </x:c>
      <x:c r="K37" s="362"/>
      <x:c r="L37" s="362" t="str">
        <x:v>K60_SVID_20260828_001858_1.mp4</x:v>
      </x:c>
    </x:row>
    <x:row r="38" ht="32" customHeight="1">
      <x:c r="A38" s="362" t="str">
        <x:v>K60</x:v>
      </x:c>
      <x:c r="B38" s="362" t="str">
        <x:v>Houdini</x:v>
      </x:c>
      <x:c r="C38" s="362" t="str">
        <x:v>Archers</x:v>
      </x:c>
      <x:c r="D38" s="362" t="str">
        <x:v>Elite bowmen</x:v>
      </x:c>
      <x:c r="E38" s="362" t="str">
        <x:v>Archer</x:v>
      </x:c>
      <x:c r="F38" s="362" t="n">
        <x:v>42</x:v>
      </x:c>
      <x:c r="G38" s="362" t="str">
        <x:v>Frost Arrow</x:v>
      </x:c>
      <x:c r="H38" s="362" t="str">
        <x:v>Has a higher probability of activating ice damage</x:v>
      </x:c>
      <x:c r="I38" s="362" t="str">
        <x:v>Unlocked</x:v>
      </x:c>
      <x:c r="J38" s="362" t="str">
        <x:v>01:46.0</x:v>
      </x:c>
      <x:c r="K38" s="362"/>
      <x:c r="L38" s="362" t="str">
        <x:v>K60_SVID_20260828_001858_1.mp4</x:v>
      </x:c>
    </x:row>
    <x:row r="39" ht="32" customHeight="1">
      <x:c r="A39" s="362" t="str">
        <x:v>K60</x:v>
      </x:c>
      <x:c r="B39" s="362" t="str">
        <x:v>Houdini</x:v>
      </x:c>
      <x:c r="C39" s="362" t="str">
        <x:v>Cavalry</x:v>
      </x:c>
      <x:c r="D39" s="362" t="str">
        <x:v>Eternal knights</x:v>
      </x:c>
      <x:c r="E39" s="362" t="str">
        <x:v>Heavy Cavalry</x:v>
      </x:c>
      <x:c r="F39" s="362" t="n">
        <x:v>46</x:v>
      </x:c>
      <x:c r="G39" s="362" t="str">
        <x:v>Thunder trample</x:v>
      </x:c>
      <x:c r="H39" s="362" t="str">
        <x:v>Has a certain probability of causing trampling damage</x:v>
      </x:c>
      <x:c r="I39" s="362" t="str">
        <x:v>Unlocked</x:v>
      </x:c>
      <x:c r="J39" s="362" t="str">
        <x:v>01:45.0</x:v>
      </x:c>
      <x:c r="K39" s="362"/>
      <x:c r="L39" s="362" t="str">
        <x:v>K60_SVID_20260828_001858_1.mp4</x:v>
      </x:c>
    </x:row>
    <x:row r="40" ht="32" customHeight="1">
      <x:c r="A40" s="362" t="str">
        <x:v>K60</x:v>
      </x:c>
      <x:c r="B40" s="362" t="str">
        <x:v>Houdini</x:v>
      </x:c>
      <x:c r="C40" s="362" t="str">
        <x:v>Cavalry</x:v>
      </x:c>
      <x:c r="D40" s="362" t="str">
        <x:v>Storm cavalry</x:v>
      </x:c>
      <x:c r="E40" s="362" t="str">
        <x:v>Horse archer</x:v>
      </x:c>
      <x:c r="F40" s="362" t="n">
        <x:v>46</x:v>
      </x:c>
      <x:c r="G40" s="362" t="str">
        <x:v>Mounted Archery</x:v>
      </x:c>
      <x:c r="H40" s="362" t="str">
        <x:v>Has a certain probability of causing fly-shooting damage</x:v>
      </x:c>
      <x:c r="I40" s="362" t="str">
        <x:v>Unlocked</x:v>
      </x:c>
      <x:c r="J40" s="362" t="str">
        <x:v>01:46.5</x:v>
      </x:c>
      <x:c r="K40" s="362"/>
      <x:c r="L40" s="362" t="str">
        <x:v>K60_SVID_20260828_001858_1.mp4</x:v>
      </x:c>
    </x:row>
    <x:row r="41" ht="32" customHeight="1">
      <x:c r="A41" s="362" t="str">
        <x:v>K60</x:v>
      </x:c>
      <x:c r="B41" s="362" t="str">
        <x:v>Дерог</x:v>
      </x:c>
      <x:c r="C41" s="362" t="str">
        <x:v>Guards</x:v>
      </x:c>
      <x:c r="D41" s="362" t="str">
        <x:v>Destroyers</x:v>
      </x:c>
      <x:c r="E41" s="362" t="str">
        <x:v>Guard</x:v>
      </x:c>
      <x:c r="F41" s="362" t="n">
        <x:v>40</x:v>
      </x:c>
      <x:c r="G41" s="362" t="str">
        <x:v>Parry</x:v>
      </x:c>
      <x:c r="H41" s="362" t="str">
        <x:v>Provides a parry effect and a certain probability to increase damage</x:v>
      </x:c>
      <x:c r="I41" s="362" t="str">
        <x:v>Unlocked</x:v>
      </x:c>
      <x:c r="J41" s="362" t="str">
        <x:v>01:52.5</x:v>
      </x:c>
      <x:c r="K41" s="362"/>
      <x:c r="L41" s="362" t="str">
        <x:v>K60_SVID_20260828_001858_1.mp4</x:v>
      </x:c>
    </x:row>
    <x:row r="42" ht="32" customHeight="1">
      <x:c r="A42" s="362" t="str">
        <x:v>K60</x:v>
      </x:c>
      <x:c r="B42" s="362" t="str">
        <x:v>Дерог</x:v>
      </x:c>
      <x:c r="C42" s="362" t="str">
        <x:v>Archers</x:v>
      </x:c>
      <x:c r="D42" s="362" t="str">
        <x:v>Elite bowmen</x:v>
      </x:c>
      <x:c r="E42" s="362" t="str">
        <x:v>Archer</x:v>
      </x:c>
      <x:c r="F42" s="362" t="n">
        <x:v>40</x:v>
      </x:c>
      <x:c r="G42" s="362" t="str">
        <x:v>Frost Arrow</x:v>
      </x:c>
      <x:c r="H42" s="362" t="str">
        <x:v>Has a higher probability of activating ice damage</x:v>
      </x:c>
      <x:c r="I42" s="362" t="str">
        <x:v>Unlocked</x:v>
      </x:c>
      <x:c r="J42" s="362" t="str">
        <x:v>01:56.0</x:v>
      </x:c>
      <x:c r="K42" s="362"/>
      <x:c r="L42" s="362" t="str">
        <x:v>K60_SVID_20260828_001858_1.mp4</x:v>
      </x:c>
    </x:row>
    <x:row r="43" ht="32" customHeight="1">
      <x:c r="A43" s="362" t="str">
        <x:v>K60</x:v>
      </x:c>
      <x:c r="B43" s="362" t="str">
        <x:v>Дерог</x:v>
      </x:c>
      <x:c r="C43" s="362" t="str">
        <x:v>Archers</x:v>
      </x:c>
      <x:c r="D43" s="362" t="str">
        <x:v>Marksmen</x:v>
      </x:c>
      <x:c r="E43" s="362" t="str">
        <x:v>Archer</x:v>
      </x:c>
      <x:c r="F43" s="362" t="n">
        <x:v>40</x:v>
      </x:c>
      <x:c r="G43" s="362" t="str">
        <x:v>Frost Arrow</x:v>
      </x:c>
      <x:c r="H43" s="362" t="str">
        <x:v>Has a higher probability of activating ice damage</x:v>
      </x:c>
      <x:c r="I43" s="362" t="str">
        <x:v>Unlocked</x:v>
      </x:c>
      <x:c r="J43" s="362" t="str">
        <x:v>01:59.5</x:v>
      </x:c>
      <x:c r="K43" s="362"/>
      <x:c r="L43" s="362" t="str">
        <x:v>K60_SVID_20260828_001858_1.mp4</x:v>
      </x:c>
    </x:row>
    <x:row r="44" ht="32" customHeight="1">
      <x:c r="A44" s="362" t="str">
        <x:v>K60</x:v>
      </x:c>
      <x:c r="B44" s="362" t="str">
        <x:v>Дерог</x:v>
      </x:c>
      <x:c r="C44" s="362" t="str">
        <x:v>Cavalry</x:v>
      </x:c>
      <x:c r="D44" s="362" t="str">
        <x:v>Eternal knights</x:v>
      </x:c>
      <x:c r="E44" s="362" t="str">
        <x:v>Heavy Cavalry</x:v>
      </x:c>
      <x:c r="F44" s="362" t="n">
        <x:v>46</x:v>
      </x:c>
      <x:c r="G44" s="362" t="str">
        <x:v>Thunder trample</x:v>
      </x:c>
      <x:c r="H44" s="362" t="str">
        <x:v>Has a certain probability of causing trampling damage</x:v>
      </x:c>
      <x:c r="I44" s="362" t="str">
        <x:v>Unlocked</x:v>
      </x:c>
      <x:c r="J44" s="362" t="str">
        <x:v>01:54.5</x:v>
      </x:c>
      <x:c r="K44" s="362"/>
      <x:c r="L44" s="362" t="str">
        <x:v>K60_SVID_20260828_001858_1.mp4</x:v>
      </x:c>
    </x:row>
    <x:row r="45" ht="32" customHeight="1">
      <x:c r="A45" s="362" t="str">
        <x:v>K60</x:v>
      </x:c>
      <x:c r="B45" s="362" t="str">
        <x:v>Дерог</x:v>
      </x:c>
      <x:c r="C45" s="362" t="str">
        <x:v>Cavalry</x:v>
      </x:c>
      <x:c r="D45" s="362" t="str">
        <x:v>Storm cavalry</x:v>
      </x:c>
      <x:c r="E45" s="362" t="str">
        <x:v>Horse archer</x:v>
      </x:c>
      <x:c r="F45" s="362" t="n">
        <x:v>48</x:v>
      </x:c>
      <x:c r="G45" s="362" t="str">
        <x:v>Mounted Archery</x:v>
      </x:c>
      <x:c r="H45" s="362" t="str">
        <x:v>Has a certain probability of causing fly-shooting damage</x:v>
      </x:c>
      <x:c r="I45" s="362" t="str">
        <x:v>Unlocked</x:v>
      </x:c>
      <x:c r="J45" s="362" t="str">
        <x:v>01:57.5</x:v>
      </x:c>
      <x:c r="K45" s="362"/>
      <x:c r="L45" s="362" t="str">
        <x:v>K60_SVID_20260828_001858_1.mp4</x:v>
      </x:c>
    </x:row>
    <x:row r="46" ht="32" customHeight="1">
      <x:c r="A46" s="362" t="str">
        <x:v>K60</x:v>
      </x:c>
      <x:c r="B46" s="362" t="str">
        <x:v>Дерог</x:v>
      </x:c>
      <x:c r="C46" s="362" t="str">
        <x:v>Cavalry</x:v>
      </x:c>
      <x:c r="D46" s="362" t="str">
        <x:v>Royal banderium</x:v>
      </x:c>
      <x:c r="E46" s="362" t="str">
        <x:v>Horse archer</x:v>
      </x:c>
      <x:c r="F46" s="362" t="n">
        <x:v>48</x:v>
      </x:c>
      <x:c r="G46" s="362" t="str">
        <x:v>Mounted Archery</x:v>
      </x:c>
      <x:c r="H46" s="362" t="str">
        <x:v>Has a certain probability of causing fly-shooting damage</x:v>
      </x:c>
      <x:c r="I46" s="362" t="str">
        <x:v>Unlocked</x:v>
      </x:c>
      <x:c r="J46" s="362" t="str">
        <x:v>02:00.0</x:v>
      </x:c>
      <x:c r="K46" s="362"/>
      <x:c r="L46" s="362" t="str">
        <x:v>K60_SVID_20260828_001858_1.mp4</x:v>
      </x:c>
    </x:row>
    <x:row r="47" ht="32" customHeight="1">
      <x:c r="A47" s="362" t="str">
        <x:v>K60</x:v>
      </x:c>
      <x:c r="B47" s="362" t="str">
        <x:v>Дерог</x:v>
      </x:c>
      <x:c r="C47" s="362" t="str">
        <x:v>Siege</x:v>
      </x:c>
      <x:c r="D47" s="362" t="str">
        <x:v>Manglers</x:v>
      </x:c>
      <x:c r="E47" s="362" t="str">
        <x:v>Siege</x:v>
      </x:c>
      <x:c r="F47" s="362" t="n">
        <x:v>46</x:v>
      </x:c>
      <x:c r="G47" s="362" t="str">
        <x:v>Highly toxic</x:v>
      </x:c>
      <x:c r="H47" s="362" t="str">
        <x:v>Inflict continuous toxic damage</x:v>
      </x:c>
      <x:c r="I47" s="362" t="str">
        <x:v>Unlocked</x:v>
      </x:c>
      <x:c r="J47" s="362" t="str">
        <x:v>01:55.0</x:v>
      </x:c>
      <x:c r="K47" s="362"/>
      <x:c r="L47" s="362" t="str">
        <x:v>K60_SVID_20260828_001858_1.mp4</x:v>
      </x:c>
    </x:row>
    <x:row r="48" ht="32" customHeight="1">
      <x:c r="A48" s="362" t="str">
        <x:v>K60</x:v>
      </x:c>
      <x:c r="B48" s="362" t="str">
        <x:v>Дерог</x:v>
      </x:c>
      <x:c r="C48" s="362" t="str">
        <x:v>Siege</x:v>
      </x:c>
      <x:c r="D48" s="362" t="str">
        <x:v>Guardian siege</x:v>
      </x:c>
      <x:c r="E48" s="362" t="str">
        <x:v>Rams</x:v>
      </x:c>
      <x:c r="F48" s="362" t="n">
        <x:v>27</x:v>
      </x:c>
      <x:c r="G48" s="362" t="str">
        <x:v>Dragonhide</x:v>
      </x:c>
      <x:c r="H48" s="362" t="str">
        <x:v>Increase damage reduction and increase damage</x:v>
      </x:c>
      <x:c r="I48" s="362" t="str">
        <x:v>Unlocked</x:v>
      </x:c>
      <x:c r="J48" s="362" t="str">
        <x:v>01:58.0</x:v>
      </x:c>
      <x:c r="K48" s="362"/>
      <x:c r="L48" s="362" t="str">
        <x:v>K60_SVID_20260828_001858_1.mp4</x:v>
      </x:c>
    </x:row>
    <x:row r="49" ht="32" customHeight="1">
      <x:c r="A49" s="362" t="str">
        <x:v>K60</x:v>
      </x:c>
      <x:c r="B49" s="362" t="str">
        <x:v>#11 元气满满 (122,000)</x:v>
      </x:c>
      <x:c r="C49" s="362" t="str">
        <x:v>Guards</x:v>
      </x:c>
      <x:c r="D49" s="362" t="str">
        <x:v>Destroyers</x:v>
      </x:c>
      <x:c r="E49" s="362" t="str">
        <x:v>Guard</x:v>
      </x:c>
      <x:c r="F49" s="362" t="n">
        <x:v>44</x:v>
      </x:c>
      <x:c r="G49" s="362" t="str">
        <x:v>Parry</x:v>
      </x:c>
      <x:c r="H49" s="362" t="str">
        <x:v>Provides a parry effect and a certain probability to increase damage</x:v>
      </x:c>
      <x:c r="I49" s="362" t="str">
        <x:v>Unlocked</x:v>
      </x:c>
      <x:c r="J49" s="362" t="str">
        <x:v>02:08.5</x:v>
      </x:c>
      <x:c r="K49" s="362"/>
      <x:c r="L49" s="362" t="str">
        <x:v>K60_SVID_20260828_001858_1.mp4</x:v>
      </x:c>
    </x:row>
    <x:row r="50" ht="32" customHeight="1">
      <x:c r="A50" s="362" t="str">
        <x:v>K60</x:v>
      </x:c>
      <x:c r="B50" s="362" t="str">
        <x:v>#11 元气满满 (122,000)</x:v>
      </x:c>
      <x:c r="C50" s="362" t="str">
        <x:v>Archers</x:v>
      </x:c>
      <x:c r="D50" s="362" t="str">
        <x:v>Marksmen</x:v>
      </x:c>
      <x:c r="E50" s="362" t="str">
        <x:v>Archer</x:v>
      </x:c>
      <x:c r="F50" s="362" t="n">
        <x:v>48</x:v>
      </x:c>
      <x:c r="G50" s="362" t="str">
        <x:v>Frost Arrow</x:v>
      </x:c>
      <x:c r="H50" s="362" t="str">
        <x:v>Has a higher probability of activating ice damage</x:v>
      </x:c>
      <x:c r="I50" s="362" t="str">
        <x:v>Unlocked</x:v>
      </x:c>
      <x:c r="J50" s="362" t="str">
        <x:v>02:11.0</x:v>
      </x:c>
      <x:c r="K50" s="362"/>
      <x:c r="L50" s="362" t="str">
        <x:v>K60_SVID_20260828_001858_1.mp4</x:v>
      </x:c>
    </x:row>
    <x:row r="51" ht="32" customHeight="1">
      <x:c r="A51" s="362" t="str">
        <x:v>K60</x:v>
      </x:c>
      <x:c r="B51" s="362" t="str">
        <x:v>#11 元气满满 (122,000)</x:v>
      </x:c>
      <x:c r="C51" s="362" t="str">
        <x:v>Cavalry</x:v>
      </x:c>
      <x:c r="D51" s="362" t="str">
        <x:v>Storm cavalry</x:v>
      </x:c>
      <x:c r="E51" s="362" t="str">
        <x:v>Horse archer</x:v>
      </x:c>
      <x:c r="F51" s="362" t="n">
        <x:v>40</x:v>
      </x:c>
      <x:c r="G51" s="362" t="str">
        <x:v>Mounted Archery</x:v>
      </x:c>
      <x:c r="H51" s="362" t="str">
        <x:v>Has a certain probability of causing fly-shooting damage</x:v>
      </x:c>
      <x:c r="I51" s="362" t="str">
        <x:v>Unlocked</x:v>
      </x:c>
      <x:c r="J51" s="362" t="str">
        <x:v>02:10.5</x:v>
      </x:c>
      <x:c r="K51" s="362"/>
      <x:c r="L51" s="362" t="str">
        <x:v>K60_SVID_20260828_001858_1.mp4</x:v>
      </x:c>
    </x:row>
    <x:row r="52" ht="32" customHeight="1">
      <x:c r="A52" s="362" t="str">
        <x:v>K60</x:v>
      </x:c>
      <x:c r="B52" s="362" t="str">
        <x:v>邪恶的Xero</x:v>
      </x:c>
      <x:c r="C52" s="362" t="str">
        <x:v>Archers</x:v>
      </x:c>
      <x:c r="D52" s="362" t="str">
        <x:v>Elite bowmen</x:v>
      </x:c>
      <x:c r="E52" s="362" t="str">
        <x:v>Archer</x:v>
      </x:c>
      <x:c r="F52" s="362" t="n">
        <x:v>42</x:v>
      </x:c>
      <x:c r="G52" s="362" t="str">
        <x:v>Frost Arrow</x:v>
      </x:c>
      <x:c r="H52" s="362" t="str">
        <x:v>Has a higher probability of activating ice damage</x:v>
      </x:c>
      <x:c r="I52" s="362" t="str">
        <x:v>Unlocked</x:v>
      </x:c>
      <x:c r="J52" s="362" t="str">
        <x:v>02:16.0</x:v>
      </x:c>
      <x:c r="K52" s="362"/>
      <x:c r="L52" s="362" t="str">
        <x:v>K60_SVID_20260828_001858_1.mp4</x:v>
      </x:c>
    </x:row>
    <x:row r="53" ht="32" customHeight="1">
      <x:c r="A53" s="362" t="str">
        <x:v>K60</x:v>
      </x:c>
      <x:c r="B53" s="362" t="str">
        <x:v>邪恶的Xero</x:v>
      </x:c>
      <x:c r="C53" s="362" t="str">
        <x:v>Archers</x:v>
      </x:c>
      <x:c r="D53" s="362" t="str">
        <x:v>Marksmen</x:v>
      </x:c>
      <x:c r="E53" s="362" t="str">
        <x:v>Archer</x:v>
      </x:c>
      <x:c r="F53" s="362" t="n">
        <x:v>42</x:v>
      </x:c>
      <x:c r="G53" s="362" t="str">
        <x:v>Frost Arrow</x:v>
      </x:c>
      <x:c r="H53" s="362" t="str">
        <x:v>Has a higher probability of activating ice damage</x:v>
      </x:c>
      <x:c r="I53" s="362" t="str">
        <x:v>Unlocked</x:v>
      </x:c>
      <x:c r="J53" s="362" t="str">
        <x:v>02:17.0</x:v>
      </x:c>
      <x:c r="K53" s="362"/>
      <x:c r="L53" s="362" t="str">
        <x:v>K60_SVID_20260828_001858_1.mp4</x:v>
      </x:c>
    </x:row>
    <x:row r="54" ht="32" customHeight="1">
      <x:c r="A54" s="362" t="str">
        <x:v>K60</x:v>
      </x:c>
      <x:c r="B54" s="362" t="str">
        <x:v>邪恶的Xero</x:v>
      </x:c>
      <x:c r="C54" s="362" t="str">
        <x:v>Cavalry</x:v>
      </x:c>
      <x:c r="D54" s="362" t="str">
        <x:v>Eternal knights</x:v>
      </x:c>
      <x:c r="E54" s="362" t="str">
        <x:v>Heavy Cavalry</x:v>
      </x:c>
      <x:c r="F54" s="362" t="n">
        <x:v>47</x:v>
      </x:c>
      <x:c r="G54" s="362" t="str">
        <x:v>Thunder trample</x:v>
      </x:c>
      <x:c r="H54" s="362" t="str">
        <x:v>Has a certain probability of causing trampling damage</x:v>
      </x:c>
      <x:c r="I54" s="362" t="str">
        <x:v>Unlocked</x:v>
      </x:c>
      <x:c r="J54" s="362" t="str">
        <x:v>02:15.5</x:v>
      </x:c>
      <x:c r="K54" s="362"/>
      <x:c r="L54" s="362" t="str">
        <x:v>K60_SVID_20260828_001858_1.mp4</x:v>
      </x:c>
    </x:row>
    <x:row r="55" ht="32" customHeight="1">
      <x:c r="A55" s="362" t="str">
        <x:v>K60</x:v>
      </x:c>
      <x:c r="B55" s="362" t="str">
        <x:v>邪恶的Xero</x:v>
      </x:c>
      <x:c r="C55" s="362" t="str">
        <x:v>Cavalry</x:v>
      </x:c>
      <x:c r="D55" s="362" t="str">
        <x:v>Storm cavalry</x:v>
      </x:c>
      <x:c r="E55" s="362" t="str">
        <x:v>Horse archer</x:v>
      </x:c>
      <x:c r="F55" s="362" t="n">
        <x:v>48</x:v>
      </x:c>
      <x:c r="G55" s="362" t="str">
        <x:v>Mounted Archery</x:v>
      </x:c>
      <x:c r="H55" s="362" t="str">
        <x:v>Has a certain probability of causing fly-shooting damage</x:v>
      </x:c>
      <x:c r="I55" s="362" t="str">
        <x:v>Unlocked</x:v>
      </x:c>
      <x:c r="J55" s="362" t="str">
        <x:v>02:16.5</x:v>
      </x:c>
      <x:c r="K55" s="362"/>
      <x:c r="L55" s="362" t="str">
        <x:v>K60_SVID_20260828_001858_1.mp4</x:v>
      </x:c>
    </x:row>
    <x:row r="56" ht="32" customHeight="1">
      <x:c r="A56" s="362" t="str">
        <x:v>K60</x:v>
      </x:c>
      <x:c r="B56" s="362" t="str">
        <x:v>邪恶的Xero</x:v>
      </x:c>
      <x:c r="C56" s="362" t="str">
        <x:v>Cavalry</x:v>
      </x:c>
      <x:c r="D56" s="362" t="str">
        <x:v>Royal banderium</x:v>
      </x:c>
      <x:c r="E56" s="362" t="str">
        <x:v>Horse archer</x:v>
      </x:c>
      <x:c r="F56" s="362" t="n">
        <x:v>48</x:v>
      </x:c>
      <x:c r="G56" s="362" t="str">
        <x:v>Mounted Archery</x:v>
      </x:c>
      <x:c r="H56" s="362" t="str">
        <x:v>Has a certain probability of causing fly-shooting damage</x:v>
      </x:c>
      <x:c r="I56" s="362" t="str">
        <x:v>Unlocked</x:v>
      </x:c>
      <x:c r="J56" s="362" t="str">
        <x:v>02:17.5</x:v>
      </x:c>
      <x:c r="K56" s="362"/>
      <x:c r="L56" s="362" t="str">
        <x:v>K60_SVID_20260828_001858_1.mp4</x:v>
      </x:c>
    </x:row>
    <x:row r="57" ht="32" customHeight="1">
      <x:c r="A57" s="362" t="str">
        <x:v>K60</x:v>
      </x:c>
      <x:c r="B57" s="362" t="str">
        <x:v>AAB</x:v>
      </x:c>
      <x:c r="C57" s="362" t="str">
        <x:v>Guards</x:v>
      </x:c>
      <x:c r="D57" s="362" t="str">
        <x:v>Destroyers</x:v>
      </x:c>
      <x:c r="E57" s="362" t="str">
        <x:v>Guard</x:v>
      </x:c>
      <x:c r="F57" s="362" t="n">
        <x:v>40</x:v>
      </x:c>
      <x:c r="G57" s="362" t="str">
        <x:v>Parry</x:v>
      </x:c>
      <x:c r="H57" s="362" t="str">
        <x:v>Provides a parry effect and a certain probability to increase damage</x:v>
      </x:c>
      <x:c r="I57" s="362" t="str">
        <x:v>Unlocked</x:v>
      </x:c>
      <x:c r="J57" s="362" t="str">
        <x:v>02:23.0</x:v>
      </x:c>
      <x:c r="K57" s="362"/>
      <x:c r="L57" s="362" t="str">
        <x:v>K60_SVID_20260828_001858_1.mp4</x:v>
      </x:c>
    </x:row>
    <x:row r="58" ht="32" customHeight="1">
      <x:c r="A58" s="362" t="str">
        <x:v>K60</x:v>
      </x:c>
      <x:c r="B58" s="362" t="str">
        <x:v>AAB</x:v>
      </x:c>
      <x:c r="C58" s="362" t="str">
        <x:v>Archers</x:v>
      </x:c>
      <x:c r="D58" s="362" t="str">
        <x:v>Elite bowmen</x:v>
      </x:c>
      <x:c r="E58" s="362" t="str">
        <x:v>Archer</x:v>
      </x:c>
      <x:c r="F58" s="362" t="n">
        <x:v>40</x:v>
      </x:c>
      <x:c r="G58" s="362" t="str">
        <x:v>Frost Arrow</x:v>
      </x:c>
      <x:c r="H58" s="362" t="str">
        <x:v>Has a higher probability of activating ice damage</x:v>
      </x:c>
      <x:c r="I58" s="362" t="str">
        <x:v>Unlocked</x:v>
      </x:c>
      <x:c r="J58" s="362" t="str">
        <x:v>02:25.0</x:v>
      </x:c>
      <x:c r="K58" s="362"/>
      <x:c r="L58" s="362" t="str">
        <x:v>K60_SVID_20260828_001858_1.mp4</x:v>
      </x:c>
    </x:row>
    <x:row r="59" ht="32" customHeight="1">
      <x:c r="A59" s="362" t="str">
        <x:v>K60</x:v>
      </x:c>
      <x:c r="B59" s="362" t="str">
        <x:v>AAB</x:v>
      </x:c>
      <x:c r="C59" s="362" t="str">
        <x:v>Archers</x:v>
      </x:c>
      <x:c r="D59" s="362" t="str">
        <x:v>Marksmen</x:v>
      </x:c>
      <x:c r="E59" s="362" t="str">
        <x:v>Archer</x:v>
      </x:c>
      <x:c r="F59" s="362" t="n">
        <x:v>40</x:v>
      </x:c>
      <x:c r="G59" s="362" t="str">
        <x:v>Frost Arrow</x:v>
      </x:c>
      <x:c r="H59" s="362" t="str">
        <x:v>Has a higher probability of activating ice damage</x:v>
      </x:c>
      <x:c r="I59" s="362" t="str">
        <x:v>Unlocked</x:v>
      </x:c>
      <x:c r="J59" s="362" t="str">
        <x:v>02:27.0</x:v>
      </x:c>
      <x:c r="K59" s="362"/>
      <x:c r="L59" s="362" t="str">
        <x:v>K60_SVID_20260828_001858_1.mp4</x:v>
      </x:c>
    </x:row>
    <x:row r="60" ht="32" customHeight="1">
      <x:c r="A60" s="362" t="str">
        <x:v>K60</x:v>
      </x:c>
      <x:c r="B60" s="362" t="str">
        <x:v>AAB</x:v>
      </x:c>
      <x:c r="C60" s="362" t="str">
        <x:v>Cavalry</x:v>
      </x:c>
      <x:c r="D60" s="362" t="str">
        <x:v>Eternal knights</x:v>
      </x:c>
      <x:c r="E60" s="362" t="str">
        <x:v>Heavy Cavalry</x:v>
      </x:c>
      <x:c r="F60" s="362" t="n">
        <x:v>45</x:v>
      </x:c>
      <x:c r="G60" s="362" t="str">
        <x:v>Thunder trample</x:v>
      </x:c>
      <x:c r="H60" s="362" t="str">
        <x:v>Has a certain probability of causing trampling damage</x:v>
      </x:c>
      <x:c r="I60" s="362" t="str">
        <x:v>Unlocked</x:v>
      </x:c>
      <x:c r="J60" s="362" t="str">
        <x:v>02:24.0</x:v>
      </x:c>
      <x:c r="K60" s="362"/>
      <x:c r="L60" s="362" t="str">
        <x:v>K60_SVID_20260828_001858_1.mp4</x:v>
      </x:c>
    </x:row>
    <x:row r="61" ht="32" customHeight="1">
      <x:c r="A61" s="362" t="str">
        <x:v>K60</x:v>
      </x:c>
      <x:c r="B61" s="362" t="str">
        <x:v>AAB</x:v>
      </x:c>
      <x:c r="C61" s="362" t="str">
        <x:v>Cavalry</x:v>
      </x:c>
      <x:c r="D61" s="362" t="str">
        <x:v>Storm cavalry</x:v>
      </x:c>
      <x:c r="E61" s="362" t="str">
        <x:v>Horse archer</x:v>
      </x:c>
      <x:c r="F61" s="362" t="n">
        <x:v>46</x:v>
      </x:c>
      <x:c r="G61" s="362" t="str">
        <x:v>Mounted Archery</x:v>
      </x:c>
      <x:c r="H61" s="362" t="str">
        <x:v>Has a certain probability of causing fly-shooting damage</x:v>
      </x:c>
      <x:c r="I61" s="362" t="str">
        <x:v>Unlocked</x:v>
      </x:c>
      <x:c r="J61" s="362" t="str">
        <x:v>02:26.0</x:v>
      </x:c>
      <x:c r="K61" s="362"/>
      <x:c r="L61" s="362" t="str">
        <x:v>K60_SVID_20260828_001858_1.mp4</x:v>
      </x:c>
    </x:row>
    <x:row r="62" ht="32" customHeight="1">
      <x:c r="A62" s="362" t="str">
        <x:v>K60</x:v>
      </x:c>
      <x:c r="B62" s="362" t="str">
        <x:v>AAB</x:v>
      </x:c>
      <x:c r="C62" s="362" t="str">
        <x:v>Cavalry</x:v>
      </x:c>
      <x:c r="D62" s="362" t="str">
        <x:v>Royal banderium</x:v>
      </x:c>
      <x:c r="E62" s="362" t="str">
        <x:v>Horse archer</x:v>
      </x:c>
      <x:c r="F62" s="362" t="n">
        <x:v>46</x:v>
      </x:c>
      <x:c r="G62" s="362" t="str">
        <x:v>Mounted Archery</x:v>
      </x:c>
      <x:c r="H62" s="362" t="str">
        <x:v>Has a certain probability of causing fly-shooting damage</x:v>
      </x:c>
      <x:c r="I62" s="362" t="str">
        <x:v>Unlocked</x:v>
      </x:c>
      <x:c r="J62" s="362" t="str">
        <x:v>02:28.5</x:v>
      </x:c>
      <x:c r="K62" s="362"/>
      <x:c r="L62" s="362" t="str">
        <x:v>K60_SVID_20260828_001858_1.mp4</x:v>
      </x:c>
    </x:row>
    <x:row r="63" ht="32" customHeight="1">
      <x:c r="A63" s="362" t="str">
        <x:v>K60</x:v>
      </x:c>
      <x:c r="B63" s="362" t="str">
        <x:v>#14 元气满满 (148,500)</x:v>
      </x:c>
      <x:c r="C63" s="362" t="str">
        <x:v>Archers</x:v>
      </x:c>
      <x:c r="D63" s="362" t="str">
        <x:v>Elite bowmen</x:v>
      </x:c>
      <x:c r="E63" s="362" t="str">
        <x:v>Archer</x:v>
      </x:c>
      <x:c r="F63" s="362" t="n">
        <x:v>42</x:v>
      </x:c>
      <x:c r="G63" s="362" t="str">
        <x:v>Frost Arrow</x:v>
      </x:c>
      <x:c r="H63" s="362" t="str">
        <x:v>Has a higher probability of activating ice damage</x:v>
      </x:c>
      <x:c r="I63" s="362" t="str">
        <x:v>Unlocked</x:v>
      </x:c>
      <x:c r="J63" s="362" t="str">
        <x:v>02:36.75</x:v>
      </x:c>
      <x:c r="K63" s="362"/>
      <x:c r="L63" s="362" t="str">
        <x:v>K60_SVID_20260828_001858_1.mp4</x:v>
      </x:c>
    </x:row>
    <x:row r="64" ht="32" customHeight="1">
      <x:c r="A64" s="362" t="str">
        <x:v>K60</x:v>
      </x:c>
      <x:c r="B64" s="362" t="str">
        <x:v>#14 元气满满 (148,500)</x:v>
      </x:c>
      <x:c r="C64" s="362" t="str">
        <x:v>Archers</x:v>
      </x:c>
      <x:c r="D64" s="362" t="str">
        <x:v>Marksmen</x:v>
      </x:c>
      <x:c r="E64" s="362" t="str">
        <x:v>Archer</x:v>
      </x:c>
      <x:c r="F64" s="362" t="n">
        <x:v>42</x:v>
      </x:c>
      <x:c r="G64" s="362" t="str">
        <x:v>Frost Arrow</x:v>
      </x:c>
      <x:c r="H64" s="362" t="str">
        <x:v>Has a higher probability of activating ice damage</x:v>
      </x:c>
      <x:c r="I64" s="362" t="str">
        <x:v>Unlocked</x:v>
      </x:c>
      <x:c r="J64" s="362" t="str">
        <x:v>02:38.75</x:v>
      </x:c>
      <x:c r="K64" s="362"/>
      <x:c r="L64" s="362" t="str">
        <x:v>K60_SVID_20260828_001858_1.mp4</x:v>
      </x:c>
    </x:row>
    <x:row r="65" ht="32" customHeight="1">
      <x:c r="A65" s="362" t="str">
        <x:v>K60</x:v>
      </x:c>
      <x:c r="B65" s="362" t="str">
        <x:v>#14 元气满满 (148,500)</x:v>
      </x:c>
      <x:c r="C65" s="362" t="str">
        <x:v>Cavalry</x:v>
      </x:c>
      <x:c r="D65" s="362" t="str">
        <x:v>Eternal knights</x:v>
      </x:c>
      <x:c r="E65" s="362" t="str">
        <x:v>Heavy Cavalry</x:v>
      </x:c>
      <x:c r="F65" s="362" t="n">
        <x:v>47</x:v>
      </x:c>
      <x:c r="G65" s="362" t="str">
        <x:v>Thunder trample</x:v>
      </x:c>
      <x:c r="H65" s="362" t="str">
        <x:v>Has a certain probability of causing trampling damage</x:v>
      </x:c>
      <x:c r="I65" s="362" t="str">
        <x:v>Unlocked</x:v>
      </x:c>
      <x:c r="J65" s="362" t="str">
        <x:v>02:36.25</x:v>
      </x:c>
      <x:c r="K65" s="362"/>
      <x:c r="L65" s="362" t="str">
        <x:v>K60_SVID_20260828_001858_1.mp4</x:v>
      </x:c>
    </x:row>
    <x:row r="66" ht="32" customHeight="1">
      <x:c r="A66" s="362" t="str">
        <x:v>K60</x:v>
      </x:c>
      <x:c r="B66" s="362" t="str">
        <x:v>#14 元气满满 (148,500)</x:v>
      </x:c>
      <x:c r="C66" s="362" t="str">
        <x:v>Cavalry</x:v>
      </x:c>
      <x:c r="D66" s="362" t="str">
        <x:v>Storm cavalry</x:v>
      </x:c>
      <x:c r="E66" s="362" t="str">
        <x:v>Horse archer</x:v>
      </x:c>
      <x:c r="F66" s="362" t="n">
        <x:v>49</x:v>
      </x:c>
      <x:c r="G66" s="362" t="str">
        <x:v>Mounted Archery</x:v>
      </x:c>
      <x:c r="H66" s="362" t="str">
        <x:v>Has a certain probability of causing fly-shooting damage</x:v>
      </x:c>
      <x:c r="I66" s="362" t="str">
        <x:v>Unlocked</x:v>
      </x:c>
      <x:c r="J66" s="362" t="str">
        <x:v>02:38.0</x:v>
      </x:c>
      <x:c r="K66" s="362"/>
      <x:c r="L66" s="362" t="str">
        <x:v>K60_SVID_20260828_001858_1.mp4</x:v>
      </x:c>
    </x:row>
    <x:row r="67" ht="32" customHeight="1">
      <x:c r="A67" s="362" t="str">
        <x:v>K60</x:v>
      </x:c>
      <x:c r="B67" s="362" t="str">
        <x:v>#14 元气满满 (148,500)</x:v>
      </x:c>
      <x:c r="C67" s="362" t="str">
        <x:v>Cavalry</x:v>
      </x:c>
      <x:c r="D67" s="362" t="str">
        <x:v>Royal banderium</x:v>
      </x:c>
      <x:c r="E67" s="362" t="str">
        <x:v>Horse archer</x:v>
      </x:c>
      <x:c r="F67" s="362" t="n">
        <x:v>49</x:v>
      </x:c>
      <x:c r="G67" s="362" t="str">
        <x:v>Mounted Archery</x:v>
      </x:c>
      <x:c r="H67" s="362" t="str">
        <x:v>Has a certain probability of causing fly-shooting damage</x:v>
      </x:c>
      <x:c r="I67" s="362" t="str">
        <x:v>Unlocked</x:v>
      </x:c>
      <x:c r="J67" s="362" t="str">
        <x:v>02:40.0</x:v>
      </x:c>
      <x:c r="K67" s="362"/>
      <x:c r="L67" s="362" t="str">
        <x:v>K60_SVID_20260828_001858_1.mp4</x:v>
      </x:c>
    </x:row>
    <x:row r="68" ht="32" customHeight="1">
      <x:c r="A68" s="362" t="str">
        <x:v>K60</x:v>
      </x:c>
      <x:c r="B68" s="362" t="str">
        <x:v>#14 元气满满 (148,500)</x:v>
      </x:c>
      <x:c r="C68" s="362" t="str">
        <x:v>Siege</x:v>
      </x:c>
      <x:c r="D68" s="362" t="str">
        <x:v>Manglers</x:v>
      </x:c>
      <x:c r="E68" s="362" t="str">
        <x:v>Siege</x:v>
      </x:c>
      <x:c r="F68" s="362" t="n">
        <x:v>50</x:v>
      </x:c>
      <x:c r="G68" s="362" t="str">
        <x:v>Highly toxic</x:v>
      </x:c>
      <x:c r="H68" s="362" t="str">
        <x:v>Inflict continuous toxic damage</x:v>
      </x:c>
      <x:c r="I68" s="362" t="str">
        <x:v>Unlocked</x:v>
      </x:c>
      <x:c r="J68" s="362" t="str">
        <x:v>02:37.5</x:v>
      </x:c>
      <x:c r="K68" s="362"/>
      <x:c r="L68" s="362" t="str">
        <x:v>K60_SVID_20260828_001858_1.mp4</x:v>
      </x:c>
    </x:row>
    <x:row r="69" ht="32" customHeight="1">
      <x:c r="A69" s="362" t="str">
        <x:v>K60</x:v>
      </x:c>
      <x:c r="B69" s="362" t="str">
        <x:v>#14 元气满满 (148,500)</x:v>
      </x:c>
      <x:c r="C69" s="362" t="str">
        <x:v>Siege</x:v>
      </x:c>
      <x:c r="D69" s="362" t="str">
        <x:v>Guardian siege</x:v>
      </x:c>
      <x:c r="E69" s="362" t="str">
        <x:v>Rams</x:v>
      </x:c>
      <x:c r="F69" s="362" t="n">
        <x:v>40</x:v>
      </x:c>
      <x:c r="G69" s="362" t="str">
        <x:v>Dragonhide</x:v>
      </x:c>
      <x:c r="H69" s="362" t="str">
        <x:v>Increase damage reduction and increase damage</x:v>
      </x:c>
      <x:c r="I69" s="362" t="str">
        <x:v>Unlocked</x:v>
      </x:c>
      <x:c r="J69" s="362" t="str">
        <x:v>02:38.25</x:v>
      </x:c>
      <x:c r="K69" s="362"/>
      <x:c r="L69" s="362" t="str">
        <x:v>K60_SVID_20260828_001858_1.mp4</x:v>
      </x:c>
    </x:row>
    <x:row r="70" ht="32" customHeight="1">
      <x:c r="A70" s="362" t="str">
        <x:v>K60</x:v>
      </x:c>
      <x:c r="B70" s="362" t="str">
        <x:v>#14 元气满满 (148,500)</x:v>
      </x:c>
      <x:c r="C70" s="362" t="str">
        <x:v>Siege</x:v>
      </x:c>
      <x:c r="D70" s="362" t="str">
        <x:v>End siege</x:v>
      </x:c>
      <x:c r="E70" s="362" t="str">
        <x:v>Siege</x:v>
      </x:c>
      <x:c r="F70" s="362" t="n">
        <x:v>50</x:v>
      </x:c>
      <x:c r="G70" s="362" t="str">
        <x:v>Highly toxic</x:v>
      </x:c>
      <x:c r="H70" s="362" t="str">
        <x:v>Inflict continuous toxic damage</x:v>
      </x:c>
      <x:c r="I70" s="362" t="str">
        <x:v>Unlocked</x:v>
      </x:c>
      <x:c r="J70" s="362" t="str">
        <x:v>02:39.25</x:v>
      </x:c>
      <x:c r="K70" s="362"/>
      <x:c r="L70" s="362" t="str">
        <x:v>K60_SVID_20260828_001858_1.mp4</x:v>
      </x:c>
    </x:row>
    <x:row r="71" ht="32" customHeight="1">
      <x:c r="A71" s="362" t="str">
        <x:v>K60</x:v>
      </x:c>
      <x:c r="B71" s="362" t="str">
        <x:v>InFlames</x:v>
      </x:c>
      <x:c r="C71" s="362" t="str">
        <x:v>Guards</x:v>
      </x:c>
      <x:c r="D71" s="362" t="str">
        <x:v>Destroyers</x:v>
      </x:c>
      <x:c r="E71" s="362" t="str">
        <x:v>Guard</x:v>
      </x:c>
      <x:c r="F71" s="362" t="n">
        <x:v>40</x:v>
      </x:c>
      <x:c r="G71" s="362" t="str">
        <x:v>Parry</x:v>
      </x:c>
      <x:c r="H71" s="362" t="str">
        <x:v>Provides a parry effect and a certain probability to increase damage</x:v>
      </x:c>
      <x:c r="I71" s="362" t="str">
        <x:v>Unlocked</x:v>
      </x:c>
      <x:c r="J71" s="362" t="str">
        <x:v>02:46.0</x:v>
      </x:c>
      <x:c r="K71" s="362"/>
      <x:c r="L71" s="362" t="str">
        <x:v>K60_SVID_20260828_001858_1.mp4</x:v>
      </x:c>
    </x:row>
    <x:row r="72" ht="32" customHeight="1">
      <x:c r="A72" s="362" t="str">
        <x:v>K60</x:v>
      </x:c>
      <x:c r="B72" s="362" t="str">
        <x:v>InFlames</x:v>
      </x:c>
      <x:c r="C72" s="362" t="str">
        <x:v>Archers</x:v>
      </x:c>
      <x:c r="D72" s="362" t="str">
        <x:v>Elite bowmen</x:v>
      </x:c>
      <x:c r="E72" s="362" t="str">
        <x:v>Archer</x:v>
      </x:c>
      <x:c r="F72" s="362" t="n">
        <x:v>40</x:v>
      </x:c>
      <x:c r="G72" s="362" t="str">
        <x:v>Frost Arrow</x:v>
      </x:c>
      <x:c r="H72" s="362" t="str">
        <x:v>Has a higher probability of activating ice damage</x:v>
      </x:c>
      <x:c r="I72" s="362" t="str">
        <x:v>Unlocked</x:v>
      </x:c>
      <x:c r="J72" s="362" t="str">
        <x:v>02:47.0</x:v>
      </x:c>
      <x:c r="K72" s="362"/>
      <x:c r="L72" s="362" t="str">
        <x:v>K60_SVID_20260828_001858_1.mp4</x:v>
      </x:c>
    </x:row>
    <x:row r="73" ht="32" customHeight="1">
      <x:c r="A73" s="362" t="str">
        <x:v>K60</x:v>
      </x:c>
      <x:c r="B73" s="362" t="str">
        <x:v>InFlames</x:v>
      </x:c>
      <x:c r="C73" s="362" t="str">
        <x:v>Archers</x:v>
      </x:c>
      <x:c r="D73" s="362" t="str">
        <x:v>Marksmen</x:v>
      </x:c>
      <x:c r="E73" s="362" t="str">
        <x:v>Archer</x:v>
      </x:c>
      <x:c r="F73" s="362" t="n">
        <x:v>40</x:v>
      </x:c>
      <x:c r="G73" s="362" t="str">
        <x:v>Frost Arrow</x:v>
      </x:c>
      <x:c r="H73" s="362" t="str">
        <x:v>Has a higher probability of activating ice damage</x:v>
      </x:c>
      <x:c r="I73" s="362" t="str">
        <x:v>Unlocked</x:v>
      </x:c>
      <x:c r="J73" s="362" t="str">
        <x:v>02:48.75</x:v>
      </x:c>
      <x:c r="K73" s="362"/>
      <x:c r="L73" s="362" t="str">
        <x:v>K60_SVID_20260828_001858_1.mp4</x:v>
      </x:c>
    </x:row>
    <x:row r="74" ht="32" customHeight="1">
      <x:c r="A74" s="362" t="str">
        <x:v>K60</x:v>
      </x:c>
      <x:c r="B74" s="362" t="str">
        <x:v>InFlames</x:v>
      </x:c>
      <x:c r="C74" s="362" t="str">
        <x:v>Cavalry</x:v>
      </x:c>
      <x:c r="D74" s="362" t="str">
        <x:v>Eternal knights</x:v>
      </x:c>
      <x:c r="E74" s="362" t="str">
        <x:v>Heavy Cavalry</x:v>
      </x:c>
      <x:c r="F74" s="362" t="n">
        <x:v>45</x:v>
      </x:c>
      <x:c r="G74" s="362" t="str">
        <x:v>Thunder trample</x:v>
      </x:c>
      <x:c r="H74" s="362" t="str">
        <x:v>Has a certain probability of causing trampling damage</x:v>
      </x:c>
      <x:c r="I74" s="362" t="str">
        <x:v>Unlocked</x:v>
      </x:c>
      <x:c r="J74" s="362" t="str">
        <x:v>02:46.5</x:v>
      </x:c>
      <x:c r="K74" s="362"/>
      <x:c r="L74" s="362" t="str">
        <x:v>K60_SVID_20260828_001858_1.mp4</x:v>
      </x:c>
    </x:row>
    <x:row r="75" ht="32" customHeight="1">
      <x:c r="A75" s="362" t="str">
        <x:v>K60</x:v>
      </x:c>
      <x:c r="B75" s="362" t="str">
        <x:v>InFlames</x:v>
      </x:c>
      <x:c r="C75" s="362" t="str">
        <x:v>Cavalry</x:v>
      </x:c>
      <x:c r="D75" s="362" t="str">
        <x:v>Storm cavalry</x:v>
      </x:c>
      <x:c r="E75" s="362" t="str">
        <x:v>Horse archer</x:v>
      </x:c>
      <x:c r="F75" s="362" t="n">
        <x:v>42</x:v>
      </x:c>
      <x:c r="G75" s="362" t="str">
        <x:v>Mounted Archery</x:v>
      </x:c>
      <x:c r="H75" s="362" t="str">
        <x:v>Has a certain probability of causing fly-shooting damage</x:v>
      </x:c>
      <x:c r="I75" s="362" t="str">
        <x:v>Unlocked</x:v>
      </x:c>
      <x:c r="J75" s="362" t="str">
        <x:v>02:48.25</x:v>
      </x:c>
      <x:c r="K75" s="362"/>
      <x:c r="L75" s="362" t="str">
        <x:v>K60_SVID_20260828_001858_1.mp4</x:v>
      </x:c>
    </x:row>
    <x:row r="76" ht="32" customHeight="1">
      <x:c r="A76" s="362" t="str">
        <x:v>K60</x:v>
      </x:c>
      <x:c r="B76" s="362" t="str">
        <x:v>InFlames</x:v>
      </x:c>
      <x:c r="C76" s="362" t="str">
        <x:v>Cavalry</x:v>
      </x:c>
      <x:c r="D76" s="362" t="str">
        <x:v>Royal banderium</x:v>
      </x:c>
      <x:c r="E76" s="362" t="str">
        <x:v>Horse archer</x:v>
      </x:c>
      <x:c r="F76" s="362" t="n">
        <x:v>42</x:v>
      </x:c>
      <x:c r="G76" s="362" t="str">
        <x:v>Mounted Archery</x:v>
      </x:c>
      <x:c r="H76" s="362" t="str">
        <x:v>Has a certain probability of causing fly-shooting damage</x:v>
      </x:c>
      <x:c r="I76" s="362" t="str">
        <x:v>Unlocked</x:v>
      </x:c>
      <x:c r="J76" s="362" t="str">
        <x:v>02:49.25</x:v>
      </x:c>
      <x:c r="K76" s="362"/>
      <x:c r="L76" s="362" t="str">
        <x:v>K60_SVID_20260828_001858_1.mp4</x:v>
      </x:c>
    </x:row>
    <x:row r="77" ht="32" customHeight="1">
      <x:c r="A77" s="362" t="str">
        <x:v>K60</x:v>
      </x:c>
      <x:c r="B77" s="362" t="str">
        <x:v>InFlames</x:v>
      </x:c>
      <x:c r="C77" s="362" t="str">
        <x:v>Siege</x:v>
      </x:c>
      <x:c r="D77" s="362" t="str">
        <x:v>Manglers</x:v>
      </x:c>
      <x:c r="E77" s="362" t="str">
        <x:v>Siege</x:v>
      </x:c>
      <x:c r="F77" s="362" t="n">
        <x:v>28</x:v>
      </x:c>
      <x:c r="G77" s="362" t="str">
        <x:v>Highly toxic</x:v>
      </x:c>
      <x:c r="H77" s="362" t="str">
        <x:v>Inflict continuous toxic damage</x:v>
      </x:c>
      <x:c r="I77" s="362" t="str">
        <x:v>Unlocked</x:v>
      </x:c>
      <x:c r="J77" s="362" t="str">
        <x:v>02:47.75</x:v>
      </x:c>
      <x:c r="K77" s="362"/>
      <x:c r="L77" s="362" t="str">
        <x:v>K60_SVID_20260828_001858_1.mp4</x:v>
      </x:c>
    </x:row>
    <x:row r="78" ht="32" customHeight="1">
      <x:c r="A78" s="362" t="str">
        <x:v>K60</x:v>
      </x:c>
      <x:c r="B78" s="362" t="str">
        <x:v>ΨRØÇKYΨ</x:v>
      </x:c>
      <x:c r="C78" s="362" t="str">
        <x:v>Guards</x:v>
      </x:c>
      <x:c r="D78" s="362" t="str">
        <x:v>Destroyers</x:v>
      </x:c>
      <x:c r="E78" s="362" t="str">
        <x:v>Guard</x:v>
      </x:c>
      <x:c r="F78" s="362" t="n">
        <x:v>40</x:v>
      </x:c>
      <x:c r="G78" s="362" t="str">
        <x:v>Parry</x:v>
      </x:c>
      <x:c r="H78" s="362" t="str">
        <x:v>Provides a parry effect and a certain probability to increase damage</x:v>
      </x:c>
      <x:c r="I78" s="362" t="str">
        <x:v>Unlocked</x:v>
      </x:c>
      <x:c r="J78" s="362" t="str">
        <x:v>02:54.75</x:v>
      </x:c>
      <x:c r="K78" s="362"/>
      <x:c r="L78" s="362" t="str">
        <x:v>K60_SVID_20260828_001858_1.mp4</x:v>
      </x:c>
    </x:row>
    <x:row r="79" ht="32" customHeight="1">
      <x:c r="A79" s="362" t="str">
        <x:v>K60</x:v>
      </x:c>
      <x:c r="B79" s="362" t="str">
        <x:v>ΨRØÇKYΨ</x:v>
      </x:c>
      <x:c r="C79" s="362" t="str">
        <x:v>Archers</x:v>
      </x:c>
      <x:c r="D79" s="362" t="str">
        <x:v>Elite bowmen</x:v>
      </x:c>
      <x:c r="E79" s="362" t="str">
        <x:v>Archer</x:v>
      </x:c>
      <x:c r="F79" s="362" t="n">
        <x:v>41</x:v>
      </x:c>
      <x:c r="G79" s="362" t="str">
        <x:v>Frost Arrow</x:v>
      </x:c>
      <x:c r="H79" s="362" t="str">
        <x:v>Has a higher probability of activating ice damage</x:v>
      </x:c>
      <x:c r="I79" s="362" t="str">
        <x:v>Unlocked</x:v>
      </x:c>
      <x:c r="J79" s="362" t="str">
        <x:v>02:55.75</x:v>
      </x:c>
      <x:c r="K79" s="362"/>
      <x:c r="L79" s="362" t="str">
        <x:v>K60_SVID_20260828_001858_1.mp4</x:v>
      </x:c>
    </x:row>
    <x:row r="80" ht="32" customHeight="1">
      <x:c r="A80" s="362" t="str">
        <x:v>K60</x:v>
      </x:c>
      <x:c r="B80" s="362" t="str">
        <x:v>ΨRØÇKYΨ</x:v>
      </x:c>
      <x:c r="C80" s="362" t="str">
        <x:v>Archers</x:v>
      </x:c>
      <x:c r="D80" s="362" t="str">
        <x:v>Marksmen</x:v>
      </x:c>
      <x:c r="E80" s="362" t="str">
        <x:v>Archer</x:v>
      </x:c>
      <x:c r="F80" s="362" t="n">
        <x:v>41</x:v>
      </x:c>
      <x:c r="G80" s="362" t="str">
        <x:v>Frost Arrow</x:v>
      </x:c>
      <x:c r="H80" s="362" t="str">
        <x:v>Has a higher probability of activating ice damage</x:v>
      </x:c>
      <x:c r="I80" s="362" t="str">
        <x:v>Unlocked</x:v>
      </x:c>
      <x:c r="J80" s="362" t="str">
        <x:v>02:57.0</x:v>
      </x:c>
      <x:c r="K80" s="362"/>
      <x:c r="L80" s="362" t="str">
        <x:v>K60_SVID_20260828_001858_1.mp4</x:v>
      </x:c>
    </x:row>
    <x:row r="81" ht="32" customHeight="1">
      <x:c r="A81" s="362" t="str">
        <x:v>K60</x:v>
      </x:c>
      <x:c r="B81" s="362" t="str">
        <x:v>ΨRØÇKYΨ</x:v>
      </x:c>
      <x:c r="C81" s="362" t="str">
        <x:v>Cavalry</x:v>
      </x:c>
      <x:c r="D81" s="362" t="str">
        <x:v>Eternal knights</x:v>
      </x:c>
      <x:c r="E81" s="362" t="str">
        <x:v>Heavy Cavalry</x:v>
      </x:c>
      <x:c r="F81" s="362" t="n">
        <x:v>45</x:v>
      </x:c>
      <x:c r="G81" s="362" t="str">
        <x:v>Thunder trample</x:v>
      </x:c>
      <x:c r="H81" s="362" t="str">
        <x:v>Has a certain probability of causing trampling damage</x:v>
      </x:c>
      <x:c r="I81" s="362" t="str">
        <x:v>Unlocked</x:v>
      </x:c>
      <x:c r="J81" s="362" t="str">
        <x:v>02:55.25</x:v>
      </x:c>
      <x:c r="K81" s="362"/>
      <x:c r="L81" s="362" t="str">
        <x:v>K60_SVID_20260828_001858_1.mp4</x:v>
      </x:c>
    </x:row>
    <x:row r="82" ht="32" customHeight="1">
      <x:c r="A82" s="362" t="str">
        <x:v>K60</x:v>
      </x:c>
      <x:c r="B82" s="362" t="str">
        <x:v>ΨRØÇKYΨ</x:v>
      </x:c>
      <x:c r="C82" s="362" t="str">
        <x:v>Cavalry</x:v>
      </x:c>
      <x:c r="D82" s="362" t="str">
        <x:v>Storm cavalry</x:v>
      </x:c>
      <x:c r="E82" s="362" t="str">
        <x:v>Horse archer</x:v>
      </x:c>
      <x:c r="F82" s="362" t="n">
        <x:v>45</x:v>
      </x:c>
      <x:c r="G82" s="362" t="str">
        <x:v>Mounted Archery</x:v>
      </x:c>
      <x:c r="H82" s="362" t="str">
        <x:v>Has a certain probability of causing fly-shooting damage</x:v>
      </x:c>
      <x:c r="I82" s="362" t="str">
        <x:v>Unlocked</x:v>
      </x:c>
      <x:c r="J82" s="362" t="str">
        <x:v>02:56.5</x:v>
      </x:c>
      <x:c r="K82" s="362"/>
      <x:c r="L82" s="362" t="str">
        <x:v>K60_SVID_20260828_001858_1.mp4</x:v>
      </x:c>
    </x:row>
    <x:row r="83" ht="32" customHeight="1">
      <x:c r="A83" s="362" t="str">
        <x:v>K60</x:v>
      </x:c>
      <x:c r="B83" s="362" t="str">
        <x:v>ΨRØÇKYΨ</x:v>
      </x:c>
      <x:c r="C83" s="362" t="str">
        <x:v>Cavalry</x:v>
      </x:c>
      <x:c r="D83" s="362" t="str">
        <x:v>Royal banderium</x:v>
      </x:c>
      <x:c r="E83" s="362" t="str">
        <x:v>Horse archer</x:v>
      </x:c>
      <x:c r="F83" s="362" t="n">
        <x:v>45</x:v>
      </x:c>
      <x:c r="G83" s="362" t="str">
        <x:v>Mounted Archery</x:v>
      </x:c>
      <x:c r="H83" s="362" t="str">
        <x:v>Has a certain probability of causing fly-shooting damage</x:v>
      </x:c>
      <x:c r="I83" s="362" t="str">
        <x:v>Unlocked</x:v>
      </x:c>
      <x:c r="J83" s="362" t="str">
        <x:v>02:57.5</x:v>
      </x:c>
      <x:c r="K83" s="362"/>
      <x:c r="L83" s="362" t="str">
        <x:v>K60_SVID_20260828_001858_1.mp4</x:v>
      </x:c>
    </x:row>
    <x:row r="84" ht="32" customHeight="1">
      <x:c r="A84" s="362" t="str">
        <x:v>K60</x:v>
      </x:c>
      <x:c r="B84" s="362" t="str">
        <x:v>Jepp</x:v>
      </x:c>
      <x:c r="C84" s="362" t="str">
        <x:v>Guards</x:v>
      </x:c>
      <x:c r="D84" s="362" t="str">
        <x:v>Destroyers</x:v>
      </x:c>
      <x:c r="E84" s="362" t="str">
        <x:v>Guard</x:v>
      </x:c>
      <x:c r="F84" s="362" t="n">
        <x:v>40</x:v>
      </x:c>
      <x:c r="G84" s="362" t="str">
        <x:v>Parry</x:v>
      </x:c>
      <x:c r="H84" s="362" t="str">
        <x:v>Provides a parry effect and a certain probability to increase damage</x:v>
      </x:c>
      <x:c r="I84" s="362" t="str">
        <x:v>Unlocked</x:v>
      </x:c>
      <x:c r="J84" s="362" t="str">
        <x:v>03:03.0</x:v>
      </x:c>
      <x:c r="K84" s="362"/>
      <x:c r="L84" s="362" t="str">
        <x:v>K60_SVID_20260828_001858_1.mp4</x:v>
      </x:c>
    </x:row>
    <x:row r="85" ht="32" customHeight="1">
      <x:c r="A85" s="362" t="str">
        <x:v>K60</x:v>
      </x:c>
      <x:c r="B85" s="362" t="str">
        <x:v>Jepp</x:v>
      </x:c>
      <x:c r="C85" s="362" t="str">
        <x:v>Archers</x:v>
      </x:c>
      <x:c r="D85" s="362" t="str">
        <x:v>Elite bowmen</x:v>
      </x:c>
      <x:c r="E85" s="362" t="str">
        <x:v>Archer</x:v>
      </x:c>
      <x:c r="F85" s="362" t="n">
        <x:v>40</x:v>
      </x:c>
      <x:c r="G85" s="362" t="str">
        <x:v>Frost Arrow</x:v>
      </x:c>
      <x:c r="H85" s="362" t="str">
        <x:v>Has a higher probability of activating ice damage</x:v>
      </x:c>
      <x:c r="I85" s="362" t="str">
        <x:v>Unlocked</x:v>
      </x:c>
      <x:c r="J85" s="362" t="str">
        <x:v>03:04.0</x:v>
      </x:c>
      <x:c r="K85" s="362"/>
      <x:c r="L85" s="362" t="str">
        <x:v>K60_SVID_20260828_001858_1.mp4</x:v>
      </x:c>
    </x:row>
    <x:row r="86" ht="32" customHeight="1">
      <x:c r="A86" s="362" t="str">
        <x:v>K60</x:v>
      </x:c>
      <x:c r="B86" s="362" t="str">
        <x:v>Jepp</x:v>
      </x:c>
      <x:c r="C86" s="362" t="str">
        <x:v>Cavalry</x:v>
      </x:c>
      <x:c r="D86" s="362" t="str">
        <x:v>Eternal knights</x:v>
      </x:c>
      <x:c r="E86" s="362" t="str">
        <x:v>Heavy Cavalry</x:v>
      </x:c>
      <x:c r="F86" s="362" t="n">
        <x:v>44</x:v>
      </x:c>
      <x:c r="G86" s="362" t="str">
        <x:v>Thunder trample</x:v>
      </x:c>
      <x:c r="H86" s="362" t="str">
        <x:v>Has a certain probability of causing trampling damage</x:v>
      </x:c>
      <x:c r="I86" s="362" t="str">
        <x:v>Unlocked</x:v>
      </x:c>
      <x:c r="J86" s="362" t="str">
        <x:v>03:03.5</x:v>
      </x:c>
      <x:c r="K86" s="362"/>
      <x:c r="L86" s="362" t="str">
        <x:v>K60_SVID_20260828_001858_1.mp4</x:v>
      </x:c>
    </x:row>
    <x:row r="87" ht="32" customHeight="1">
      <x:c r="A87" s="362" t="str">
        <x:v>K60</x:v>
      </x:c>
      <x:c r="B87" s="362" t="str">
        <x:v>Jepp</x:v>
      </x:c>
      <x:c r="C87" s="362" t="str">
        <x:v>Cavalry</x:v>
      </x:c>
      <x:c r="D87" s="362" t="str">
        <x:v>Storm cavalry</x:v>
      </x:c>
      <x:c r="E87" s="362" t="str">
        <x:v>Horse archer</x:v>
      </x:c>
      <x:c r="F87" s="362" t="n">
        <x:v>45</x:v>
      </x:c>
      <x:c r="G87" s="362" t="str">
        <x:v>Mounted Archery</x:v>
      </x:c>
      <x:c r="H87" s="362" t="str">
        <x:v>Has a certain probability of causing fly-shooting damage</x:v>
      </x:c>
      <x:c r="I87" s="362" t="str">
        <x:v>Unlocked</x:v>
      </x:c>
      <x:c r="J87" s="362" t="str">
        <x:v>03:04.5</x:v>
      </x:c>
      <x:c r="K87" s="362"/>
      <x:c r="L87" s="362" t="str">
        <x:v>K60_SVID_20260828_001858_1.mp4</x:v>
      </x:c>
    </x:row>
    <x:row r="88" ht="32" customHeight="1">
      <x:c r="A88" s="362" t="str">
        <x:v>K60</x:v>
      </x:c>
      <x:c r="B88" s="362" t="str">
        <x:v>kvisteer</x:v>
      </x:c>
      <x:c r="C88" s="362" t="str">
        <x:v>Guards</x:v>
      </x:c>
      <x:c r="D88" s="362" t="str">
        <x:v>Destroyers</x:v>
      </x:c>
      <x:c r="E88" s="362" t="str">
        <x:v>Guard</x:v>
      </x:c>
      <x:c r="F88" s="362" t="n">
        <x:v>40</x:v>
      </x:c>
      <x:c r="G88" s="362" t="str">
        <x:v>Parry</x:v>
      </x:c>
      <x:c r="H88" s="362" t="str">
        <x:v>Provides a parry effect and a certain probability to increase damage</x:v>
      </x:c>
      <x:c r="I88" s="362" t="str">
        <x:v>Unlocked</x:v>
      </x:c>
      <x:c r="J88" s="362" t="str">
        <x:v>03:08.5</x:v>
      </x:c>
      <x:c r="K88" s="362"/>
      <x:c r="L88" s="362" t="str">
        <x:v>K60_SVID_20260828_001858_1.mp4</x:v>
      </x:c>
    </x:row>
    <x:row r="89" ht="32" customHeight="1">
      <x:c r="A89" s="362" t="str">
        <x:v>K60</x:v>
      </x:c>
      <x:c r="B89" s="362" t="str">
        <x:v>kvisteer</x:v>
      </x:c>
      <x:c r="C89" s="362" t="str">
        <x:v>Archers</x:v>
      </x:c>
      <x:c r="D89" s="362" t="str">
        <x:v>Elite bowmen</x:v>
      </x:c>
      <x:c r="E89" s="362" t="str">
        <x:v>Archer</x:v>
      </x:c>
      <x:c r="F89" s="362" t="n">
        <x:v>43</x:v>
      </x:c>
      <x:c r="G89" s="362" t="str">
        <x:v>Frost Arrow</x:v>
      </x:c>
      <x:c r="H89" s="362" t="str">
        <x:v>Has a higher probability of activating ice damage</x:v>
      </x:c>
      <x:c r="I89" s="362" t="str">
        <x:v>Unlocked</x:v>
      </x:c>
      <x:c r="J89" s="362" t="str">
        <x:v>03:10.25</x:v>
      </x:c>
      <x:c r="K89" s="362"/>
      <x:c r="L89" s="362" t="str">
        <x:v>K60_SVID_20260828_001858_1.mp4</x:v>
      </x:c>
    </x:row>
    <x:row r="90" ht="32" customHeight="1">
      <x:c r="A90" s="362" t="str">
        <x:v>K60</x:v>
      </x:c>
      <x:c r="B90" s="362" t="str">
        <x:v>kvisteer</x:v>
      </x:c>
      <x:c r="C90" s="362" t="str">
        <x:v>Archers</x:v>
      </x:c>
      <x:c r="D90" s="362" t="str">
        <x:v>Marksmen</x:v>
      </x:c>
      <x:c r="E90" s="362" t="str">
        <x:v>Archer</x:v>
      </x:c>
      <x:c r="F90" s="362" t="n">
        <x:v>43</x:v>
      </x:c>
      <x:c r="G90" s="362" t="str">
        <x:v>Frost Arrow</x:v>
      </x:c>
      <x:c r="H90" s="362" t="str">
        <x:v>Has a higher probability of activating ice damage</x:v>
      </x:c>
      <x:c r="I90" s="362" t="str">
        <x:v>Unlocked</x:v>
      </x:c>
      <x:c r="J90" s="362" t="str">
        <x:v>03:11.5</x:v>
      </x:c>
      <x:c r="K90" s="362"/>
      <x:c r="L90" s="362" t="str">
        <x:v>K60_SVID_20260828_001858_1.mp4</x:v>
      </x:c>
    </x:row>
    <x:row r="91" ht="32" customHeight="1">
      <x:c r="A91" s="362" t="str">
        <x:v>K60</x:v>
      </x:c>
      <x:c r="B91" s="362" t="str">
        <x:v>kvisteer</x:v>
      </x:c>
      <x:c r="C91" s="362" t="str">
        <x:v>Cavalry</x:v>
      </x:c>
      <x:c r="D91" s="362" t="str">
        <x:v>Eternal knights</x:v>
      </x:c>
      <x:c r="E91" s="362" t="str">
        <x:v>Heavy Cavalry</x:v>
      </x:c>
      <x:c r="F91" s="362" t="n">
        <x:v>47</x:v>
      </x:c>
      <x:c r="G91" s="362" t="str">
        <x:v>Thunder trample</x:v>
      </x:c>
      <x:c r="H91" s="362" t="str">
        <x:v>Has a certain probability of causing trampling damage</x:v>
      </x:c>
      <x:c r="I91" s="362" t="str">
        <x:v>Unlocked</x:v>
      </x:c>
      <x:c r="J91" s="362" t="str">
        <x:v>03:09.25</x:v>
      </x:c>
      <x:c r="K91" s="362"/>
      <x:c r="L91" s="362" t="str">
        <x:v>K60_SVID_20260828_001858_1.mp4</x:v>
      </x:c>
    </x:row>
    <x:row r="92" ht="32" customHeight="1">
      <x:c r="A92" s="362" t="str">
        <x:v>K60</x:v>
      </x:c>
      <x:c r="B92" s="362" t="str">
        <x:v>kvisteer</x:v>
      </x:c>
      <x:c r="C92" s="362" t="str">
        <x:v>Cavalry</x:v>
      </x:c>
      <x:c r="D92" s="362" t="str">
        <x:v>Storm cavalry</x:v>
      </x:c>
      <x:c r="E92" s="362" t="str">
        <x:v>Horse archer</x:v>
      </x:c>
      <x:c r="F92" s="362" t="n">
        <x:v>47</x:v>
      </x:c>
      <x:c r="G92" s="362" t="str">
        <x:v>Mounted Archery</x:v>
      </x:c>
      <x:c r="H92" s="362" t="str">
        <x:v>Has a certain probability of causing fly-shooting damage</x:v>
      </x:c>
      <x:c r="I92" s="362" t="str">
        <x:v>Unlocked</x:v>
      </x:c>
      <x:c r="J92" s="362" t="str">
        <x:v>03:11.0</x:v>
      </x:c>
      <x:c r="K92" s="362"/>
      <x:c r="L92" s="362" t="str">
        <x:v>K60_SVID_20260828_001858_1.mp4</x:v>
      </x:c>
    </x:row>
    <x:row r="93" ht="32" customHeight="1">
      <x:c r="A93" s="362" t="str">
        <x:v>K60</x:v>
      </x:c>
      <x:c r="B93" s="362" t="str">
        <x:v>kvisteer</x:v>
      </x:c>
      <x:c r="C93" s="362" t="str">
        <x:v>Cavalry</x:v>
      </x:c>
      <x:c r="D93" s="362" t="str">
        <x:v>Royal banderium</x:v>
      </x:c>
      <x:c r="E93" s="362" t="str">
        <x:v>Horse archer</x:v>
      </x:c>
      <x:c r="F93" s="362" t="n">
        <x:v>47</x:v>
      </x:c>
      <x:c r="G93" s="362" t="str">
        <x:v>Mounted Archery</x:v>
      </x:c>
      <x:c r="H93" s="362" t="str">
        <x:v>Has a certain probability of causing fly-shooting damage</x:v>
      </x:c>
      <x:c r="I93" s="362" t="str">
        <x:v>Unlocked</x:v>
      </x:c>
      <x:c r="J93" s="362" t="str">
        <x:v>03:12.25</x:v>
      </x:c>
      <x:c r="K93" s="362"/>
      <x:c r="L93" s="362" t="str">
        <x:v>K60_SVID_20260828_001858_1.mp4</x:v>
      </x:c>
    </x:row>
    <x:row r="94" ht="32" customHeight="1">
      <x:c r="A94" s="362" t="str">
        <x:v>K60</x:v>
      </x:c>
      <x:c r="B94" s="362" t="str">
        <x:v>Blud</x:v>
      </x:c>
      <x:c r="C94" s="362" t="str">
        <x:v>Guards</x:v>
      </x:c>
      <x:c r="D94" s="362" t="str">
        <x:v>Destroyers</x:v>
      </x:c>
      <x:c r="E94" s="362" t="str">
        <x:v>Guard</x:v>
      </x:c>
      <x:c r="F94" s="362" t="n">
        <x:v>40</x:v>
      </x:c>
      <x:c r="G94" s="362" t="str">
        <x:v>Parry</x:v>
      </x:c>
      <x:c r="H94" s="362" t="str">
        <x:v>Provides a parry effect and a certain probability to increase damage</x:v>
      </x:c>
      <x:c r="I94" s="362" t="str">
        <x:v>Unlocked</x:v>
      </x:c>
      <x:c r="J94" s="362" t="str">
        <x:v>03:18.3</x:v>
      </x:c>
      <x:c r="K94" s="362"/>
      <x:c r="L94" s="362" t="str">
        <x:v>K60_SVID_20260828_001858_1.mp4</x:v>
      </x:c>
    </x:row>
    <x:row r="95" ht="32" customHeight="1">
      <x:c r="A95" s="362" t="str">
        <x:v>K60</x:v>
      </x:c>
      <x:c r="B95" s="362" t="str">
        <x:v>Blud</x:v>
      </x:c>
      <x:c r="C95" s="362" t="str">
        <x:v>Archers</x:v>
      </x:c>
      <x:c r="D95" s="362" t="str">
        <x:v>Elite bowmen</x:v>
      </x:c>
      <x:c r="E95" s="362" t="str">
        <x:v>Archer</x:v>
      </x:c>
      <x:c r="F95" s="362" t="n">
        <x:v>40</x:v>
      </x:c>
      <x:c r="G95" s="362" t="str">
        <x:v>Frost Arrow</x:v>
      </x:c>
      <x:c r="H95" s="362" t="str">
        <x:v>Has a higher probability of activating ice damage</x:v>
      </x:c>
      <x:c r="I95" s="362" t="str">
        <x:v>Unlocked</x:v>
      </x:c>
      <x:c r="J95" s="362" t="str">
        <x:v>03:19.4</x:v>
      </x:c>
      <x:c r="K95" s="362"/>
      <x:c r="L95" s="362" t="str">
        <x:v>K60_SVID_20260828_001858_1.mp4</x:v>
      </x:c>
    </x:row>
    <x:row r="96" ht="32" customHeight="1">
      <x:c r="A96" s="362" t="str">
        <x:v>K60</x:v>
      </x:c>
      <x:c r="B96" s="362" t="str">
        <x:v>Blud</x:v>
      </x:c>
      <x:c r="C96" s="362" t="str">
        <x:v>Cavalry</x:v>
      </x:c>
      <x:c r="D96" s="362" t="str">
        <x:v>Eternal knights</x:v>
      </x:c>
      <x:c r="E96" s="362" t="str">
        <x:v>Heavy Cavalry</x:v>
      </x:c>
      <x:c r="F96" s="362" t="n">
        <x:v>44</x:v>
      </x:c>
      <x:c r="G96" s="362" t="str">
        <x:v>Thunder trample</x:v>
      </x:c>
      <x:c r="H96" s="362" t="str">
        <x:v>Has a certain probability of causing trampling damage</x:v>
      </x:c>
      <x:c r="I96" s="362" t="str">
        <x:v>Unlocked</x:v>
      </x:c>
      <x:c r="J96" s="362" t="str">
        <x:v>03:18.8</x:v>
      </x:c>
      <x:c r="K96" s="362"/>
      <x:c r="L96" s="362" t="str">
        <x:v>K60_SVID_20260828_001858_1.mp4</x:v>
      </x:c>
    </x:row>
    <x:row r="97" ht="32" customHeight="1">
      <x:c r="A97" s="362" t="str">
        <x:v>K60</x:v>
      </x:c>
      <x:c r="B97" s="362" t="str">
        <x:v>Blud</x:v>
      </x:c>
      <x:c r="C97" s="362" t="str">
        <x:v>Cavalry</x:v>
      </x:c>
      <x:c r="D97" s="362" t="str">
        <x:v>Storm cavalry</x:v>
      </x:c>
      <x:c r="E97" s="362" t="str">
        <x:v>Horse archer</x:v>
      </x:c>
      <x:c r="F97" s="362" t="n">
        <x:v>45</x:v>
      </x:c>
      <x:c r="G97" s="362" t="str">
        <x:v>Mounted Archery</x:v>
      </x:c>
      <x:c r="H97" s="362" t="str">
        <x:v>Has a certain probability of causing fly-shooting damage</x:v>
      </x:c>
      <x:c r="I97" s="362" t="str">
        <x:v>Unlocked</x:v>
      </x:c>
      <x:c r="J97" s="362" t="str">
        <x:v>03:19.8</x:v>
      </x:c>
      <x:c r="K97" s="362"/>
      <x:c r="L97" s="362" t="str">
        <x:v>K60_SVID_20260828_001858_1.mp4</x:v>
      </x:c>
    </x:row>
    <x:row r="98" ht="32" customHeight="1">
      <x:c r="A98" s="362" t="str">
        <x:v>K60</x:v>
      </x:c>
      <x:c r="B98" s="362" t="str">
        <x:v>陰影Sam</x:v>
      </x:c>
      <x:c r="C98" s="362" t="str">
        <x:v>Guards</x:v>
      </x:c>
      <x:c r="D98" s="362" t="str">
        <x:v>Destroyers</x:v>
      </x:c>
      <x:c r="E98" s="362" t="str">
        <x:v>Guard</x:v>
      </x:c>
      <x:c r="F98" s="362" t="n">
        <x:v>40</x:v>
      </x:c>
      <x:c r="G98" s="362" t="str">
        <x:v>Parry</x:v>
      </x:c>
      <x:c r="H98" s="362" t="str">
        <x:v>Provides a parry effect and a certain probability to increase damage</x:v>
      </x:c>
      <x:c r="I98" s="362" t="str">
        <x:v>Unlocked</x:v>
      </x:c>
      <x:c r="J98" s="362" t="str">
        <x:v>03:26.1</x:v>
      </x:c>
      <x:c r="K98" s="362"/>
      <x:c r="L98" s="362" t="str">
        <x:v>K60_SVID_20260828_001858_1.mp4</x:v>
      </x:c>
    </x:row>
    <x:row r="99" ht="32" customHeight="1">
      <x:c r="A99" s="362" t="str">
        <x:v>K60</x:v>
      </x:c>
      <x:c r="B99" s="362" t="str">
        <x:v>陰影Sam</x:v>
      </x:c>
      <x:c r="C99" s="362" t="str">
        <x:v>Archers</x:v>
      </x:c>
      <x:c r="D99" s="362" t="str">
        <x:v>Elite bowmen</x:v>
      </x:c>
      <x:c r="E99" s="362" t="str">
        <x:v>Archer</x:v>
      </x:c>
      <x:c r="F99" s="362" t="n">
        <x:v>40</x:v>
      </x:c>
      <x:c r="G99" s="362" t="str">
        <x:v>Frost Arrow</x:v>
      </x:c>
      <x:c r="H99" s="362" t="str">
        <x:v>Has a higher probability of activating ice damage</x:v>
      </x:c>
      <x:c r="I99" s="362" t="str">
        <x:v>Unlocked</x:v>
      </x:c>
      <x:c r="J99" s="362" t="str">
        <x:v>03:28.1</x:v>
      </x:c>
      <x:c r="K99" s="362"/>
      <x:c r="L99" s="362" t="str">
        <x:v>K60_SVID_20260828_001858_1.mp4</x:v>
      </x:c>
    </x:row>
    <x:row r="100" ht="32" customHeight="1">
      <x:c r="A100" s="362" t="str">
        <x:v>K60</x:v>
      </x:c>
      <x:c r="B100" s="362" t="str">
        <x:v>陰影Sam</x:v>
      </x:c>
      <x:c r="C100" s="362" t="str">
        <x:v>Cavalry</x:v>
      </x:c>
      <x:c r="D100" s="362" t="str">
        <x:v>Eternal knights</x:v>
      </x:c>
      <x:c r="E100" s="362" t="str">
        <x:v>Heavy Cavalry</x:v>
      </x:c>
      <x:c r="F100" s="362" t="n">
        <x:v>46</x:v>
      </x:c>
      <x:c r="G100" s="362" t="str">
        <x:v>Thunder trample</x:v>
      </x:c>
      <x:c r="H100" s="362" t="str">
        <x:v>Has a certain probability of causing trampling damage</x:v>
      </x:c>
      <x:c r="I100" s="362" t="str">
        <x:v>Unlocked</x:v>
      </x:c>
      <x:c r="J100" s="362" t="str">
        <x:v>03:27.3</x:v>
      </x:c>
      <x:c r="K100" s="362"/>
      <x:c r="L100" s="362" t="str">
        <x:v>K60_SVID_20260828_001858_1.mp4</x:v>
      </x:c>
    </x:row>
    <x:row r="101" ht="32" customHeight="1">
      <x:c r="A101" s="362" t="str">
        <x:v>K60</x:v>
      </x:c>
      <x:c r="B101" s="362" t="str">
        <x:v>陰影Sam</x:v>
      </x:c>
      <x:c r="C101" s="362" t="str">
        <x:v>Cavalry</x:v>
      </x:c>
      <x:c r="D101" s="362" t="str">
        <x:v>Storm cavalry</x:v>
      </x:c>
      <x:c r="E101" s="362" t="str">
        <x:v>Horse archer</x:v>
      </x:c>
      <x:c r="F101" s="362" t="n">
        <x:v>47</x:v>
      </x:c>
      <x:c r="G101" s="362" t="str">
        <x:v>Mounted Archery</x:v>
      </x:c>
      <x:c r="H101" s="362" t="str">
        <x:v>Has a certain probability of causing fly-shooting damage</x:v>
      </x:c>
      <x:c r="I101" s="362" t="str">
        <x:v>Unlocked</x:v>
      </x:c>
      <x:c r="J101" s="362" t="str">
        <x:v>03:28.7</x:v>
      </x:c>
      <x:c r="K101" s="362"/>
      <x:c r="L101" s="362" t="str">
        <x:v>K60_SVID_20260828_001858_1.mp4</x:v>
      </x:c>
    </x:row>
    <x:row r="102" ht="32" customHeight="1">
      <x:c r="A102" s="362" t="str">
        <x:v>K60</x:v>
      </x:c>
      <x:c r="B102" s="362" t="str">
        <x:v>RONINtrike</x:v>
      </x:c>
      <x:c r="C102" s="362" t="str">
        <x:v>Archers</x:v>
      </x:c>
      <x:c r="D102" s="362" t="str">
        <x:v>Elite bowmen</x:v>
      </x:c>
      <x:c r="E102" s="362" t="str">
        <x:v>Archer</x:v>
      </x:c>
      <x:c r="F102" s="362" t="n">
        <x:v>40</x:v>
      </x:c>
      <x:c r="G102" s="362" t="str">
        <x:v>Frost Arrow</x:v>
      </x:c>
      <x:c r="H102" s="362" t="str">
        <x:v>Has a higher probability of activating ice damage</x:v>
      </x:c>
      <x:c r="I102" s="362" t="str">
        <x:v>Unlocked</x:v>
      </x:c>
      <x:c r="J102" s="362" t="str">
        <x:v>03:36.5</x:v>
      </x:c>
      <x:c r="K102" s="362"/>
      <x:c r="L102" s="362" t="str">
        <x:v>K60_SVID_20260828_001858_1.mp4</x:v>
      </x:c>
    </x:row>
    <x:row r="103" ht="32" customHeight="1">
      <x:c r="A103" s="362" t="str">
        <x:v>K60</x:v>
      </x:c>
      <x:c r="B103" s="362" t="str">
        <x:v>RONINtrike</x:v>
      </x:c>
      <x:c r="C103" s="362" t="str">
        <x:v>Archers</x:v>
      </x:c>
      <x:c r="D103" s="362" t="str">
        <x:v>Marksmen</x:v>
      </x:c>
      <x:c r="E103" s="362" t="str">
        <x:v>Archer</x:v>
      </x:c>
      <x:c r="F103" s="362" t="n">
        <x:v>40</x:v>
      </x:c>
      <x:c r="G103" s="362" t="str">
        <x:v>Frost Arrow</x:v>
      </x:c>
      <x:c r="H103" s="362" t="str">
        <x:v>Has a higher probability of activating ice damage</x:v>
      </x:c>
      <x:c r="I103" s="362" t="str">
        <x:v>Unlocked</x:v>
      </x:c>
      <x:c r="J103" s="362" t="str">
        <x:v>03:38.1</x:v>
      </x:c>
      <x:c r="K103" s="362"/>
      <x:c r="L103" s="362" t="str">
        <x:v>K60_SVID_20260828_001858_1.mp4</x:v>
      </x:c>
    </x:row>
    <x:row r="104" ht="32" customHeight="1">
      <x:c r="A104" s="362" t="str">
        <x:v>K60</x:v>
      </x:c>
      <x:c r="B104" s="362" t="str">
        <x:v>RONINtrike</x:v>
      </x:c>
      <x:c r="C104" s="362" t="str">
        <x:v>Cavalry</x:v>
      </x:c>
      <x:c r="D104" s="362" t="str">
        <x:v>Eternal knights</x:v>
      </x:c>
      <x:c r="E104" s="362" t="str">
        <x:v>Heavy Cavalry</x:v>
      </x:c>
      <x:c r="F104" s="362" t="n">
        <x:v>43</x:v>
      </x:c>
      <x:c r="G104" s="362" t="str">
        <x:v>Thunder trample</x:v>
      </x:c>
      <x:c r="H104" s="362" t="str">
        <x:v>Has a certain probability of causing trampling damage</x:v>
      </x:c>
      <x:c r="I104" s="362" t="str">
        <x:v>Unlocked</x:v>
      </x:c>
      <x:c r="J104" s="362" t="str">
        <x:v>03:35.9</x:v>
      </x:c>
      <x:c r="K104" s="362"/>
      <x:c r="L104" s="362" t="str">
        <x:v>K60_SVID_20260828_001858_1.mp4</x:v>
      </x:c>
    </x:row>
    <x:row r="105" ht="32" customHeight="1">
      <x:c r="A105" s="362" t="str">
        <x:v>K60</x:v>
      </x:c>
      <x:c r="B105" s="362" t="str">
        <x:v>RONINtrike</x:v>
      </x:c>
      <x:c r="C105" s="362" t="str">
        <x:v>Cavalry</x:v>
      </x:c>
      <x:c r="D105" s="362" t="str">
        <x:v>Storm cavalry</x:v>
      </x:c>
      <x:c r="E105" s="362" t="str">
        <x:v>Horse archer</x:v>
      </x:c>
      <x:c r="F105" s="362" t="n">
        <x:v>44</x:v>
      </x:c>
      <x:c r="G105" s="362" t="str">
        <x:v>Mounted Archery</x:v>
      </x:c>
      <x:c r="H105" s="362" t="str">
        <x:v>Has a certain probability of causing fly-shooting damage</x:v>
      </x:c>
      <x:c r="I105" s="362" t="str">
        <x:v>Unlocked</x:v>
      </x:c>
      <x:c r="J105" s="362" t="str">
        <x:v>03:37.3</x:v>
      </x:c>
      <x:c r="K105" s="362"/>
      <x:c r="L105" s="362" t="str">
        <x:v>K60_SVID_20260828_001858_1.mp4</x:v>
      </x:c>
    </x:row>
    <x:row r="106" ht="32" customHeight="1">
      <x:c r="A106" s="362" t="str">
        <x:v>K60</x:v>
      </x:c>
      <x:c r="B106" s="362" t="str">
        <x:v>RONINtrike</x:v>
      </x:c>
      <x:c r="C106" s="362" t="str">
        <x:v>Cavalry</x:v>
      </x:c>
      <x:c r="D106" s="362" t="str">
        <x:v>Royal banderium</x:v>
      </x:c>
      <x:c r="E106" s="362" t="str">
        <x:v>Horse archer</x:v>
      </x:c>
      <x:c r="F106" s="362" t="n">
        <x:v>44</x:v>
      </x:c>
      <x:c r="G106" s="362" t="str">
        <x:v>Mounted Archery</x:v>
      </x:c>
      <x:c r="H106" s="362" t="str">
        <x:v>Has a certain probability of causing fly-shooting damage</x:v>
      </x:c>
      <x:c r="I106" s="362" t="str">
        <x:v>Unlocked</x:v>
      </x:c>
      <x:c r="J106" s="362" t="str">
        <x:v>03:39.3</x:v>
      </x:c>
      <x:c r="K106" s="362"/>
      <x:c r="L106" s="362" t="str">
        <x:v>K60_SVID_20260828_001858_1.mp4</x:v>
      </x:c>
    </x:row>
    <x:row r="107" ht="32" customHeight="1">
      <x:c r="A107" s="362" t="str">
        <x:v>K60</x:v>
      </x:c>
      <x:c r="B107" s="362" t="str">
        <x:v>RONINtrike</x:v>
      </x:c>
      <x:c r="C107" s="362" t="str">
        <x:v>Siege</x:v>
      </x:c>
      <x:c r="D107" s="362" t="str">
        <x:v>Manglers</x:v>
      </x:c>
      <x:c r="E107" s="362" t="str">
        <x:v>Siege</x:v>
      </x:c>
      <x:c r="F107" s="362" t="n">
        <x:v>45</x:v>
      </x:c>
      <x:c r="G107" s="362" t="str">
        <x:v>Highly toxic</x:v>
      </x:c>
      <x:c r="H107" s="362" t="str">
        <x:v>Inflict continuous toxic damage</x:v>
      </x:c>
      <x:c r="I107" s="362" t="str">
        <x:v>Unlocked</x:v>
      </x:c>
      <x:c r="J107" s="362" t="str">
        <x:v>03:36.7</x:v>
      </x:c>
      <x:c r="K107" s="362"/>
      <x:c r="L107" s="362" t="str">
        <x:v>K60_SVID_20260828_001858_1.mp4</x:v>
      </x:c>
    </x:row>
    <x:row r="108" ht="32" customHeight="1">
      <x:c r="A108" s="362" t="str">
        <x:v>K60</x:v>
      </x:c>
      <x:c r="B108" s="362" t="str">
        <x:v>RONINtrike</x:v>
      </x:c>
      <x:c r="C108" s="362" t="str">
        <x:v>Siege</x:v>
      </x:c>
      <x:c r="D108" s="362" t="str">
        <x:v>Guardian siege</x:v>
      </x:c>
      <x:c r="E108" s="362" t="str">
        <x:v>Rams</x:v>
      </x:c>
      <x:c r="F108" s="362"/>
      <x:c r="G108" s="362"/>
      <x:c r="H108" s="362"/>
      <x:c r="I108" s="362" t="str">
        <x:v>Base description only</x:v>
      </x:c>
      <x:c r="J108" s="362" t="str">
        <x:v>03:37.7</x:v>
      </x:c>
      <x:c r="K108" s="362" t="str">
        <x:v>Base description only; no level, skill or effect line shown</x:v>
      </x:c>
      <x:c r="L108" s="362" t="str">
        <x:v>K60_SVID_20260828_001858_1.mp4</x:v>
      </x:c>
    </x:row>
    <x:row r="109" ht="32" customHeight="1">
      <x:c r="A109" s="362" t="str">
        <x:v>K60</x:v>
      </x:c>
      <x:c r="B109" s="362" t="str">
        <x:v>RONINtrike</x:v>
      </x:c>
      <x:c r="C109" s="362" t="str">
        <x:v>Siege</x:v>
      </x:c>
      <x:c r="D109" s="362" t="str">
        <x:v>End siege</x:v>
      </x:c>
      <x:c r="E109" s="362" t="str">
        <x:v>Siege</x:v>
      </x:c>
      <x:c r="F109" s="362" t="n">
        <x:v>45</x:v>
      </x:c>
      <x:c r="G109" s="362" t="str">
        <x:v>Highly toxic</x:v>
      </x:c>
      <x:c r="H109" s="362" t="str">
        <x:v>Inflict continuous toxic damage</x:v>
      </x:c>
      <x:c r="I109" s="362" t="str">
        <x:v>Unlocked</x:v>
      </x:c>
      <x:c r="J109" s="362" t="str">
        <x:v>03:38.9</x:v>
      </x:c>
      <x:c r="K109" s="362"/>
      <x:c r="L109" s="362" t="str">
        <x:v>K60_SVID_20260828_001858_1.mp4</x:v>
      </x:c>
    </x:row>
    <x:row r="110" ht="32" customHeight="1">
      <x:c r="A110" s="362" t="str">
        <x:v>K60</x:v>
      </x:c>
      <x:c r="B110" s="362" t="str">
        <x:v>雪Snowy</x:v>
      </x:c>
      <x:c r="C110" s="362" t="str">
        <x:v>Guards</x:v>
      </x:c>
      <x:c r="D110" s="362" t="str">
        <x:v>Destroyers</x:v>
      </x:c>
      <x:c r="E110" s="362" t="str">
        <x:v>Guard</x:v>
      </x:c>
      <x:c r="F110" s="362" t="n">
        <x:v>40</x:v>
      </x:c>
      <x:c r="G110" s="362" t="str">
        <x:v>Parry</x:v>
      </x:c>
      <x:c r="H110" s="362" t="str">
        <x:v>Provides a parry effect and a certain probability to increase damage</x:v>
      </x:c>
      <x:c r="I110" s="362" t="str">
        <x:v>Unlocked</x:v>
      </x:c>
      <x:c r="J110" s="362" t="str">
        <x:v>03:49.1</x:v>
      </x:c>
      <x:c r="K110" s="362"/>
      <x:c r="L110" s="362" t="str">
        <x:v>K60_SVID_20260828_001858_1.mp4</x:v>
      </x:c>
    </x:row>
    <x:row r="111" ht="32" customHeight="1">
      <x:c r="A111" s="362" t="str">
        <x:v>K60</x:v>
      </x:c>
      <x:c r="B111" s="362" t="str">
        <x:v>雪Snowy</x:v>
      </x:c>
      <x:c r="C111" s="362" t="str">
        <x:v>Archers</x:v>
      </x:c>
      <x:c r="D111" s="362" t="str">
        <x:v>Elite bowmen</x:v>
      </x:c>
      <x:c r="E111" s="362" t="str">
        <x:v>Archer</x:v>
      </x:c>
      <x:c r="F111" s="362" t="n">
        <x:v>40</x:v>
      </x:c>
      <x:c r="G111" s="362" t="str">
        <x:v>Frost Arrow</x:v>
      </x:c>
      <x:c r="H111" s="362" t="str">
        <x:v>Has a higher probability of activating ice damage</x:v>
      </x:c>
      <x:c r="I111" s="362" t="str">
        <x:v>Unlocked</x:v>
      </x:c>
      <x:c r="J111" s="362" t="str">
        <x:v>03:49.9</x:v>
      </x:c>
      <x:c r="K111" s="362"/>
      <x:c r="L111" s="362" t="str">
        <x:v>K60_SVID_20260828_001858_1.mp4</x:v>
      </x:c>
    </x:row>
    <x:row r="112" ht="32" customHeight="1">
      <x:c r="A112" s="362" t="str">
        <x:v>K60</x:v>
      </x:c>
      <x:c r="B112" s="362" t="str">
        <x:v>雪Snowy</x:v>
      </x:c>
      <x:c r="C112" s="362" t="str">
        <x:v>Archers</x:v>
      </x:c>
      <x:c r="D112" s="362" t="str">
        <x:v>Marksmen</x:v>
      </x:c>
      <x:c r="E112" s="362" t="str">
        <x:v>Archer</x:v>
      </x:c>
      <x:c r="F112" s="362" t="n">
        <x:v>40</x:v>
      </x:c>
      <x:c r="G112" s="362" t="str">
        <x:v>Frost Arrow</x:v>
      </x:c>
      <x:c r="H112" s="362" t="str">
        <x:v>Has a higher probability of activating ice damage</x:v>
      </x:c>
      <x:c r="I112" s="362" t="str">
        <x:v>Unlocked</x:v>
      </x:c>
      <x:c r="J112" s="362" t="str">
        <x:v>03:50.7</x:v>
      </x:c>
      <x:c r="K112" s="362"/>
      <x:c r="L112" s="362" t="str">
        <x:v>K60_SVID_20260828_001858_1.mp4</x:v>
      </x:c>
    </x:row>
    <x:row r="113" ht="32" customHeight="1">
      <x:c r="A113" s="362" t="str">
        <x:v>K60</x:v>
      </x:c>
      <x:c r="B113" s="362" t="str">
        <x:v>雪Snowy</x:v>
      </x:c>
      <x:c r="C113" s="362" t="str">
        <x:v>Cavalry</x:v>
      </x:c>
      <x:c r="D113" s="362" t="str">
        <x:v>Eternal knights</x:v>
      </x:c>
      <x:c r="E113" s="362" t="str">
        <x:v>Heavy Cavalry</x:v>
      </x:c>
      <x:c r="F113" s="362" t="n">
        <x:v>48</x:v>
      </x:c>
      <x:c r="G113" s="362" t="str">
        <x:v>Thunder trample</x:v>
      </x:c>
      <x:c r="H113" s="362" t="str">
        <x:v>Has a certain probability of causing trampling damage</x:v>
      </x:c>
      <x:c r="I113" s="362" t="str">
        <x:v>Unlocked</x:v>
      </x:c>
      <x:c r="J113" s="362" t="str">
        <x:v>03:49.5</x:v>
      </x:c>
      <x:c r="K113" s="362"/>
      <x:c r="L113" s="362" t="str">
        <x:v>K60_SVID_20260828_001858_1.mp4</x:v>
      </x:c>
    </x:row>
    <x:row r="114" ht="32" customHeight="1">
      <x:c r="A114" s="362" t="str">
        <x:v>K60</x:v>
      </x:c>
      <x:c r="B114" s="362" t="str">
        <x:v>雪Snowy</x:v>
      </x:c>
      <x:c r="C114" s="362" t="str">
        <x:v>Cavalry</x:v>
      </x:c>
      <x:c r="D114" s="362" t="str">
        <x:v>Storm cavalry</x:v>
      </x:c>
      <x:c r="E114" s="362" t="str">
        <x:v>Horse archer</x:v>
      </x:c>
      <x:c r="F114" s="362" t="n">
        <x:v>49</x:v>
      </x:c>
      <x:c r="G114" s="362" t="str">
        <x:v>Mounted Archery</x:v>
      </x:c>
      <x:c r="H114" s="362" t="str">
        <x:v>Has a certain probability of causing fly-shooting damage</x:v>
      </x:c>
      <x:c r="I114" s="362" t="str">
        <x:v>Unlocked</x:v>
      </x:c>
      <x:c r="J114" s="362" t="str">
        <x:v>03:50.3</x:v>
      </x:c>
      <x:c r="K114" s="362"/>
      <x:c r="L114" s="362" t="str">
        <x:v>K60_SVID_20260828_001858_1.mp4</x:v>
      </x:c>
    </x:row>
    <x:row r="115" ht="32" customHeight="1">
      <x:c r="A115" s="362" t="str">
        <x:v>K60</x:v>
      </x:c>
      <x:c r="B115" s="362" t="str">
        <x:v>雪Snowy</x:v>
      </x:c>
      <x:c r="C115" s="362" t="str">
        <x:v>Cavalry</x:v>
      </x:c>
      <x:c r="D115" s="362" t="str">
        <x:v>Royal banderium</x:v>
      </x:c>
      <x:c r="E115" s="362" t="str">
        <x:v>Horse archer</x:v>
      </x:c>
      <x:c r="F115" s="362" t="n">
        <x:v>49</x:v>
      </x:c>
      <x:c r="G115" s="362" t="str">
        <x:v>Mounted Archery</x:v>
      </x:c>
      <x:c r="H115" s="362" t="str">
        <x:v>Has a certain probability of causing fly-shooting damage</x:v>
      </x:c>
      <x:c r="I115" s="362" t="str">
        <x:v>Unlocked</x:v>
      </x:c>
      <x:c r="J115" s="362" t="str">
        <x:v>03:51.1</x:v>
      </x:c>
      <x:c r="K115" s="362"/>
      <x:c r="L115" s="362" t="str">
        <x:v>K60_SVID_20260828_001858_1.mp4</x:v>
      </x:c>
    </x:row>
    <x:row r="116" ht="32" customHeight="1">
      <x:c r="A116" s="362" t="str">
        <x:v>K60</x:v>
      </x:c>
      <x:c r="B116" s="362" t="str">
        <x:v>Lare</x:v>
      </x:c>
      <x:c r="C116" s="362" t="str">
        <x:v>Guards</x:v>
      </x:c>
      <x:c r="D116" s="362" t="str">
        <x:v>Destroyers</x:v>
      </x:c>
      <x:c r="E116" s="362" t="str">
        <x:v>Guard</x:v>
      </x:c>
      <x:c r="F116" s="362" t="n">
        <x:v>40</x:v>
      </x:c>
      <x:c r="G116" s="362" t="str">
        <x:v>Parry</x:v>
      </x:c>
      <x:c r="H116" s="362" t="str">
        <x:v>Provides a parry effect and a certain probability to increase damage</x:v>
      </x:c>
      <x:c r="I116" s="362" t="str">
        <x:v>Unlocked</x:v>
      </x:c>
      <x:c r="J116" s="362" t="str">
        <x:v>03:57.7</x:v>
      </x:c>
      <x:c r="K116" s="362"/>
      <x:c r="L116" s="362" t="str">
        <x:v>K60_SVID_20260828_001858_1.mp4</x:v>
      </x:c>
    </x:row>
    <x:row r="117" ht="32" customHeight="1">
      <x:c r="A117" s="362" t="str">
        <x:v>K60</x:v>
      </x:c>
      <x:c r="B117" s="362" t="str">
        <x:v>Lare</x:v>
      </x:c>
      <x:c r="C117" s="362" t="str">
        <x:v>Archers</x:v>
      </x:c>
      <x:c r="D117" s="362" t="str">
        <x:v>Elite bowmen</x:v>
      </x:c>
      <x:c r="E117" s="362" t="str">
        <x:v>Archer</x:v>
      </x:c>
      <x:c r="F117" s="362" t="n">
        <x:v>41</x:v>
      </x:c>
      <x:c r="G117" s="362" t="str">
        <x:v>Frost Arrow</x:v>
      </x:c>
      <x:c r="H117" s="362" t="str">
        <x:v>Has a higher probability of activating ice damage</x:v>
      </x:c>
      <x:c r="I117" s="362" t="str">
        <x:v>Unlocked</x:v>
      </x:c>
      <x:c r="J117" s="362" t="str">
        <x:v>03:58.7</x:v>
      </x:c>
      <x:c r="K117" s="362"/>
      <x:c r="L117" s="362" t="str">
        <x:v>K60_SVID_20260828_001858_1.mp4</x:v>
      </x:c>
    </x:row>
    <x:row r="118" ht="32" customHeight="1">
      <x:c r="A118" s="362" t="str">
        <x:v>K60</x:v>
      </x:c>
      <x:c r="B118" s="362" t="str">
        <x:v>Lare</x:v>
      </x:c>
      <x:c r="C118" s="362" t="str">
        <x:v>Cavalry</x:v>
      </x:c>
      <x:c r="D118" s="362" t="str">
        <x:v>Eternal knights</x:v>
      </x:c>
      <x:c r="E118" s="362" t="str">
        <x:v>Heavy Cavalry</x:v>
      </x:c>
      <x:c r="F118" s="362" t="n">
        <x:v>44</x:v>
      </x:c>
      <x:c r="G118" s="362" t="str">
        <x:v>Thunder trample</x:v>
      </x:c>
      <x:c r="H118" s="362" t="str">
        <x:v>Has a certain probability of causing trampling damage</x:v>
      </x:c>
      <x:c r="I118" s="362" t="str">
        <x:v>Unlocked</x:v>
      </x:c>
      <x:c r="J118" s="362" t="str">
        <x:v>03:58.1</x:v>
      </x:c>
      <x:c r="K118" s="362"/>
      <x:c r="L118" s="362" t="str">
        <x:v>K60_SVID_20260828_001858_1.mp4</x:v>
      </x:c>
    </x:row>
    <x:row r="119" ht="32" customHeight="1">
      <x:c r="A119" s="362" t="str">
        <x:v>K60</x:v>
      </x:c>
      <x:c r="B119" s="362" t="str">
        <x:v>Lare</x:v>
      </x:c>
      <x:c r="C119" s="362" t="str">
        <x:v>Cavalry</x:v>
      </x:c>
      <x:c r="D119" s="362" t="str">
        <x:v>Storm cavalry</x:v>
      </x:c>
      <x:c r="E119" s="362" t="str">
        <x:v>Horse archer</x:v>
      </x:c>
      <x:c r="F119" s="362" t="n">
        <x:v>43</x:v>
      </x:c>
      <x:c r="G119" s="362" t="str">
        <x:v>Mounted Archery</x:v>
      </x:c>
      <x:c r="H119" s="362" t="str">
        <x:v>Has a certain probability of causing fly-shooting damage</x:v>
      </x:c>
      <x:c r="I119" s="362" t="str">
        <x:v>Unlocked</x:v>
      </x:c>
      <x:c r="J119" s="362" t="str">
        <x:v>03:59.1</x:v>
      </x:c>
      <x:c r="K119" s="362"/>
      <x:c r="L119" s="362" t="str">
        <x:v>K60_SVID_20260828_001858_1.mp4</x:v>
      </x:c>
    </x:row>
    <x:row r="120" ht="32" customHeight="1">
      <x:c r="A120" s="362" t="str">
        <x:v>K60</x:v>
      </x:c>
      <x:c r="B120" s="362" t="str">
        <x:v>Legendⁱᵃᵐ</x:v>
      </x:c>
      <x:c r="C120" s="362" t="str">
        <x:v>Guards</x:v>
      </x:c>
      <x:c r="D120" s="362" t="str">
        <x:v>Destroyers</x:v>
      </x:c>
      <x:c r="E120" s="362" t="str">
        <x:v>Guard</x:v>
      </x:c>
      <x:c r="F120" s="362" t="n">
        <x:v>40</x:v>
      </x:c>
      <x:c r="G120" s="362" t="str">
        <x:v>Parry</x:v>
      </x:c>
      <x:c r="H120" s="362" t="str">
        <x:v>Provides a parry effect and a certain probability to increase damage</x:v>
      </x:c>
      <x:c r="I120" s="362" t="str">
        <x:v>Unlocked</x:v>
      </x:c>
      <x:c r="J120" s="362" t="str">
        <x:v>04:04.9</x:v>
      </x:c>
      <x:c r="K120" s="362"/>
      <x:c r="L120" s="362" t="str">
        <x:v>K60_SVID_20260828_001858_1.mp4</x:v>
      </x:c>
    </x:row>
    <x:row r="121" ht="32" customHeight="1">
      <x:c r="A121" s="362" t="str">
        <x:v>K60</x:v>
      </x:c>
      <x:c r="B121" s="362" t="str">
        <x:v>Legendⁱᵃᵐ</x:v>
      </x:c>
      <x:c r="C121" s="362" t="str">
        <x:v>Archers</x:v>
      </x:c>
      <x:c r="D121" s="362" t="str">
        <x:v>Elite bowmen</x:v>
      </x:c>
      <x:c r="E121" s="362" t="str">
        <x:v>Archer</x:v>
      </x:c>
      <x:c r="F121" s="362" t="n">
        <x:v>40</x:v>
      </x:c>
      <x:c r="G121" s="362" t="str">
        <x:v>Frost Arrow</x:v>
      </x:c>
      <x:c r="H121" s="362" t="str">
        <x:v>Has a higher probability of activating ice damage</x:v>
      </x:c>
      <x:c r="I121" s="362" t="str">
        <x:v>Unlocked</x:v>
      </x:c>
      <x:c r="J121" s="362" t="str">
        <x:v>04:06.7</x:v>
      </x:c>
      <x:c r="K121" s="362"/>
      <x:c r="L121" s="362" t="str">
        <x:v>K60_SVID_20260828_001858_1.mp4</x:v>
      </x:c>
    </x:row>
    <x:row r="122" ht="32" customHeight="1">
      <x:c r="A122" s="362" t="str">
        <x:v>K60</x:v>
      </x:c>
      <x:c r="B122" s="362" t="str">
        <x:v>Legendⁱᵃᵐ</x:v>
      </x:c>
      <x:c r="C122" s="362" t="str">
        <x:v>Cavalry</x:v>
      </x:c>
      <x:c r="D122" s="362" t="str">
        <x:v>Eternal knights</x:v>
      </x:c>
      <x:c r="E122" s="362" t="str">
        <x:v>Heavy Cavalry</x:v>
      </x:c>
      <x:c r="F122" s="362" t="n">
        <x:v>43</x:v>
      </x:c>
      <x:c r="G122" s="362" t="str">
        <x:v>Thunder trample</x:v>
      </x:c>
      <x:c r="H122" s="362" t="str">
        <x:v>Has a certain probability of causing trampling damage</x:v>
      </x:c>
      <x:c r="I122" s="362" t="str">
        <x:v>Unlocked</x:v>
      </x:c>
      <x:c r="J122" s="362" t="str">
        <x:v>04:05.7</x:v>
      </x:c>
      <x:c r="K122" s="362"/>
      <x:c r="L122" s="362" t="str">
        <x:v>K60_SVID_20260828_001858_1.mp4</x:v>
      </x:c>
    </x:row>
    <x:row r="123" ht="32" customHeight="1">
      <x:c r="A123" s="362" t="str">
        <x:v>K60</x:v>
      </x:c>
      <x:c r="B123" s="362" t="str">
        <x:v>Legendⁱᵃᵐ</x:v>
      </x:c>
      <x:c r="C123" s="362" t="str">
        <x:v>Cavalry</x:v>
      </x:c>
      <x:c r="D123" s="362" t="str">
        <x:v>Storm cavalry</x:v>
      </x:c>
      <x:c r="E123" s="362" t="str">
        <x:v>Horse archer</x:v>
      </x:c>
      <x:c r="F123" s="362" t="n">
        <x:v>43</x:v>
      </x:c>
      <x:c r="G123" s="362" t="str">
        <x:v>Mounted Archery</x:v>
      </x:c>
      <x:c r="H123" s="362" t="str">
        <x:v>Has a certain probability of causing fly-shooting damage</x:v>
      </x:c>
      <x:c r="I123" s="362" t="str">
        <x:v>Unlocked</x:v>
      </x:c>
      <x:c r="J123" s="362" t="str">
        <x:v>04:07.5</x:v>
      </x:c>
      <x:c r="K123" s="362"/>
      <x:c r="L123" s="362" t="str">
        <x:v>K60_SVID_20260828_001858_1.mp4</x:v>
      </x:c>
    </x:row>
    <x:row r="124" ht="32" customHeight="1">
      <x:c r="A124" s="362" t="str">
        <x:v>K60</x:v>
      </x:c>
      <x:c r="B124" s="362" t="str">
        <x:v>°Silent°</x:v>
      </x:c>
      <x:c r="C124" s="362" t="str">
        <x:v>Archers</x:v>
      </x:c>
      <x:c r="D124" s="362" t="str">
        <x:v>Elite bowmen</x:v>
      </x:c>
      <x:c r="E124" s="362" t="str">
        <x:v>Archer</x:v>
      </x:c>
      <x:c r="F124" s="362" t="n">
        <x:v>40</x:v>
      </x:c>
      <x:c r="G124" s="362" t="str">
        <x:v>Frost Arrow</x:v>
      </x:c>
      <x:c r="H124" s="362" t="str">
        <x:v>Has a higher probability of activating ice damage</x:v>
      </x:c>
      <x:c r="I124" s="362" t="str">
        <x:v>Unlocked</x:v>
      </x:c>
      <x:c r="J124" s="362" t="str">
        <x:v>04:15.9</x:v>
      </x:c>
      <x:c r="K124" s="362"/>
      <x:c r="L124" s="362" t="str">
        <x:v>K60_SVID_20260828_001858_1.mp4</x:v>
      </x:c>
    </x:row>
    <x:row r="125" ht="32" customHeight="1">
      <x:c r="A125" s="362" t="str">
        <x:v>K60</x:v>
      </x:c>
      <x:c r="B125" s="362" t="str">
        <x:v>°Silent°</x:v>
      </x:c>
      <x:c r="C125" s="362" t="str">
        <x:v>Archers</x:v>
      </x:c>
      <x:c r="D125" s="362" t="str">
        <x:v>Marksmen</x:v>
      </x:c>
      <x:c r="E125" s="362" t="str">
        <x:v>Archer</x:v>
      </x:c>
      <x:c r="F125" s="362" t="n">
        <x:v>40</x:v>
      </x:c>
      <x:c r="G125" s="362" t="str">
        <x:v>Frost Arrow</x:v>
      </x:c>
      <x:c r="H125" s="362" t="str">
        <x:v>Has a higher probability of activating ice damage</x:v>
      </x:c>
      <x:c r="I125" s="362" t="str">
        <x:v>Unlocked</x:v>
      </x:c>
      <x:c r="J125" s="362" t="str">
        <x:v>04:18.3</x:v>
      </x:c>
      <x:c r="K125" s="362"/>
      <x:c r="L125" s="362" t="str">
        <x:v>K60_SVID_20260828_001858_1.mp4</x:v>
      </x:c>
    </x:row>
    <x:row r="126" ht="32" customHeight="1">
      <x:c r="A126" s="362" t="str">
        <x:v>K60</x:v>
      </x:c>
      <x:c r="B126" s="362" t="str">
        <x:v>°Silent°</x:v>
      </x:c>
      <x:c r="C126" s="362" t="str">
        <x:v>Cavalry</x:v>
      </x:c>
      <x:c r="D126" s="362" t="str">
        <x:v>Eternal knights</x:v>
      </x:c>
      <x:c r="E126" s="362" t="str">
        <x:v>Heavy Cavalry</x:v>
      </x:c>
      <x:c r="F126" s="362" t="n">
        <x:v>45</x:v>
      </x:c>
      <x:c r="G126" s="362" t="str">
        <x:v>Thunder trample</x:v>
      </x:c>
      <x:c r="H126" s="362" t="str">
        <x:v>Has a certain probability of causing trampling damage</x:v>
      </x:c>
      <x:c r="I126" s="362" t="str">
        <x:v>Unlocked</x:v>
      </x:c>
      <x:c r="J126" s="362" t="str">
        <x:v>04:13.9</x:v>
      </x:c>
      <x:c r="K126" s="362"/>
      <x:c r="L126" s="362" t="str">
        <x:v>K60_SVID_20260828_001858_1.mp4</x:v>
      </x:c>
    </x:row>
    <x:row r="127" ht="32" customHeight="1">
      <x:c r="A127" s="362" t="str">
        <x:v>K60</x:v>
      </x:c>
      <x:c r="B127" s="362" t="str">
        <x:v>°Silent°</x:v>
      </x:c>
      <x:c r="C127" s="362" t="str">
        <x:v>Cavalry</x:v>
      </x:c>
      <x:c r="D127" s="362" t="str">
        <x:v>Storm cavalry</x:v>
      </x:c>
      <x:c r="E127" s="362" t="str">
        <x:v>Horse archer</x:v>
      </x:c>
      <x:c r="F127" s="362" t="n">
        <x:v>45</x:v>
      </x:c>
      <x:c r="G127" s="362" t="str">
        <x:v>Mounted Archery</x:v>
      </x:c>
      <x:c r="H127" s="362" t="str">
        <x:v>Has a certain probability of causing fly-shooting damage</x:v>
      </x:c>
      <x:c r="I127" s="362" t="str">
        <x:v>Unlocked</x:v>
      </x:c>
      <x:c r="J127" s="362" t="str">
        <x:v>04:17.1</x:v>
      </x:c>
      <x:c r="K127" s="362"/>
      <x:c r="L127" s="362" t="str">
        <x:v>K60_SVID_20260828_001858_1.mp4</x:v>
      </x:c>
    </x:row>
    <x:row r="128" ht="32" customHeight="1">
      <x:c r="A128" s="362" t="str">
        <x:v>K60</x:v>
      </x:c>
      <x:c r="B128" s="362" t="str">
        <x:v>°Silent°</x:v>
      </x:c>
      <x:c r="C128" s="362" t="str">
        <x:v>Cavalry</x:v>
      </x:c>
      <x:c r="D128" s="362" t="str">
        <x:v>Royal banderium</x:v>
      </x:c>
      <x:c r="E128" s="362" t="str">
        <x:v>Horse archer</x:v>
      </x:c>
      <x:c r="F128" s="362" t="n">
        <x:v>45</x:v>
      </x:c>
      <x:c r="G128" s="362" t="str">
        <x:v>Mounted Archery</x:v>
      </x:c>
      <x:c r="H128" s="362" t="str">
        <x:v>Has a certain probability of causing fly-shooting damage</x:v>
      </x:c>
      <x:c r="I128" s="362" t="str">
        <x:v>Unlocked</x:v>
      </x:c>
      <x:c r="J128" s="362" t="str">
        <x:v>04:19.7</x:v>
      </x:c>
      <x:c r="K128" s="362"/>
      <x:c r="L128" s="362" t="str">
        <x:v>K60_SVID_20260828_001858_1.mp4</x:v>
      </x:c>
    </x:row>
    <x:row r="129" ht="32" customHeight="1">
      <x:c r="A129" s="362" t="str">
        <x:v>K60</x:v>
      </x:c>
      <x:c r="B129" s="362" t="str">
        <x:v>°Silent°</x:v>
      </x:c>
      <x:c r="C129" s="362" t="str">
        <x:v>Siege</x:v>
      </x:c>
      <x:c r="D129" s="362" t="str">
        <x:v>Manglers</x:v>
      </x:c>
      <x:c r="E129" s="362" t="str">
        <x:v>Siege</x:v>
      </x:c>
      <x:c r="F129" s="362" t="n">
        <x:v>50</x:v>
      </x:c>
      <x:c r="G129" s="362" t="str">
        <x:v>Highly toxic</x:v>
      </x:c>
      <x:c r="H129" s="362" t="str">
        <x:v>Inflict continuous toxic damage</x:v>
      </x:c>
      <x:c r="I129" s="362" t="str">
        <x:v>Unlocked</x:v>
      </x:c>
      <x:c r="J129" s="362" t="str">
        <x:v>04:16.5</x:v>
      </x:c>
      <x:c r="K129" s="362"/>
      <x:c r="L129" s="362" t="str">
        <x:v>K60_SVID_20260828_001858_1.mp4</x:v>
      </x:c>
    </x:row>
    <x:row r="130" ht="32" customHeight="1">
      <x:c r="A130" s="362" t="str">
        <x:v>K60</x:v>
      </x:c>
      <x:c r="B130" s="362" t="str">
        <x:v>°Silent°</x:v>
      </x:c>
      <x:c r="C130" s="362" t="str">
        <x:v>Siege</x:v>
      </x:c>
      <x:c r="D130" s="362" t="str">
        <x:v>Guardian siege</x:v>
      </x:c>
      <x:c r="E130" s="362" t="str">
        <x:v>Rams</x:v>
      </x:c>
      <x:c r="F130" s="362" t="n">
        <x:v>40</x:v>
      </x:c>
      <x:c r="G130" s="362" t="str">
        <x:v>Dragonhide</x:v>
      </x:c>
      <x:c r="H130" s="362" t="str">
        <x:v>Increase damage reduction and increase damage</x:v>
      </x:c>
      <x:c r="I130" s="362" t="str">
        <x:v>Unlocked</x:v>
      </x:c>
      <x:c r="J130" s="362" t="str">
        <x:v>04:17.7</x:v>
      </x:c>
      <x:c r="K130" s="362"/>
      <x:c r="L130" s="362" t="str">
        <x:v>K60_SVID_20260828_001858_1.mp4</x:v>
      </x:c>
    </x:row>
    <x:row r="131" ht="32" customHeight="1">
      <x:c r="A131" s="362" t="str">
        <x:v>K60</x:v>
      </x:c>
      <x:c r="B131" s="362" t="str">
        <x:v>°Silent°</x:v>
      </x:c>
      <x:c r="C131" s="362" t="str">
        <x:v>Siege</x:v>
      </x:c>
      <x:c r="D131" s="362" t="str">
        <x:v>End siege</x:v>
      </x:c>
      <x:c r="E131" s="362" t="str">
        <x:v>Siege</x:v>
      </x:c>
      <x:c r="F131" s="362" t="n">
        <x:v>50</x:v>
      </x:c>
      <x:c r="G131" s="362" t="str">
        <x:v>Highly toxic</x:v>
      </x:c>
      <x:c r="H131" s="362" t="str">
        <x:v>Inflict continuous toxic damage</x:v>
      </x:c>
      <x:c r="I131" s="362" t="str">
        <x:v>Unlocked</x:v>
      </x:c>
      <x:c r="J131" s="362" t="str">
        <x:v>04:18.9</x:v>
      </x:c>
      <x:c r="K131" s="362"/>
      <x:c r="L131" s="362" t="str">
        <x:v>K60_SVID_20260828_001858_1.mp4</x:v>
      </x:c>
    </x:row>
    <x:row r="132" ht="32" customHeight="1">
      <x:c r="A132" s="362" t="str">
        <x:v>K91</x:v>
      </x:c>
      <x:c r="B132" s="362" t="str">
        <x:v>•Pain•</x:v>
      </x:c>
      <x:c r="C132" s="362" t="str">
        <x:v>Cavalry</x:v>
      </x:c>
      <x:c r="D132" s="362" t="str">
        <x:v>Eternal knights</x:v>
      </x:c>
      <x:c r="E132" s="362" t="str">
        <x:v>Heavy Cavalry</x:v>
      </x:c>
      <x:c r="F132" s="362" t="n">
        <x:v>50</x:v>
      </x:c>
      <x:c r="G132" s="362" t="str">
        <x:v>Thunder trample</x:v>
      </x:c>
      <x:c r="H132" s="362" t="str">
        <x:v>Has a certain probability of causing trampling damage</x:v>
      </x:c>
      <x:c r="I132" s="362" t="str">
        <x:v>Unlocked</x:v>
      </x:c>
      <x:c r="J132" s="362" t="str">
        <x:v>00:02.50</x:v>
      </x:c>
      <x:c r="K132" s="362" t="str">
        <x:v>Source frame: frames_1fps/f_0003.jpg</x:v>
      </x:c>
      <x:c r="L132" s="362" t="str">
        <x:v>1000025188.mp4</x:v>
      </x:c>
    </x:row>
    <x:row r="133" ht="32" customHeight="1">
      <x:c r="A133" s="362" t="str">
        <x:v>K91</x:v>
      </x:c>
      <x:c r="B133" s="362" t="str">
        <x:v>•Pain•</x:v>
      </x:c>
      <x:c r="C133" s="362" t="str">
        <x:v>Archers</x:v>
      </x:c>
      <x:c r="D133" s="362" t="str">
        <x:v>Elite bowmen</x:v>
      </x:c>
      <x:c r="E133" s="362" t="str">
        <x:v>Archer</x:v>
      </x:c>
      <x:c r="F133" s="362" t="n">
        <x:v>45</x:v>
      </x:c>
      <x:c r="G133" s="362" t="str">
        <x:v>Frost Arrow</x:v>
      </x:c>
      <x:c r="H133" s="362" t="str">
        <x:v>Has a higher probability of activating ice damage</x:v>
      </x:c>
      <x:c r="I133" s="362" t="str">
        <x:v>Unlocked</x:v>
      </x:c>
      <x:c r="J133" s="362" t="str">
        <x:v>00:05.50</x:v>
      </x:c>
      <x:c r="K133" s="362" t="str">
        <x:v>Source frame: frames_1fps/f_0006.jpg</x:v>
      </x:c>
      <x:c r="L133" s="362" t="str">
        <x:v>1000025188.mp4</x:v>
      </x:c>
    </x:row>
    <x:row r="134" ht="32" customHeight="1">
      <x:c r="A134" s="362" t="str">
        <x:v>K91</x:v>
      </x:c>
      <x:c r="B134" s="362" t="str">
        <x:v>•Pain•</x:v>
      </x:c>
      <x:c r="C134" s="362" t="str">
        <x:v>Siege</x:v>
      </x:c>
      <x:c r="D134" s="362" t="str">
        <x:v>Manglers</x:v>
      </x:c>
      <x:c r="E134" s="362" t="str">
        <x:v>Siege</x:v>
      </x:c>
      <x:c r="F134" s="362" t="n">
        <x:v>43</x:v>
      </x:c>
      <x:c r="G134" s="362" t="str">
        <x:v>Highly toxic</x:v>
      </x:c>
      <x:c r="H134" s="362" t="str">
        <x:v>Inflict continuous toxic damage</x:v>
      </x:c>
      <x:c r="I134" s="362" t="str">
        <x:v>Unlocked</x:v>
      </x:c>
      <x:c r="J134" s="362" t="str">
        <x:v>00:06.50</x:v>
      </x:c>
      <x:c r="K134" s="362" t="str">
        <x:v>Source frame: frames_1fps/f_0007.jpg</x:v>
      </x:c>
      <x:c r="L134" s="362" t="str">
        <x:v>1000025188.mp4</x:v>
      </x:c>
    </x:row>
    <x:row r="135" ht="32" customHeight="1">
      <x:c r="A135" s="362" t="str">
        <x:v>K91</x:v>
      </x:c>
      <x:c r="B135" s="362" t="str">
        <x:v>•Pain•</x:v>
      </x:c>
      <x:c r="C135" s="362" t="str">
        <x:v>Cavalry</x:v>
      </x:c>
      <x:c r="D135" s="362" t="str">
        <x:v>Storm cavalry</x:v>
      </x:c>
      <x:c r="E135" s="362" t="str">
        <x:v>Horse archer</x:v>
      </x:c>
      <x:c r="F135" s="362" t="n">
        <x:v>47</x:v>
      </x:c>
      <x:c r="G135" s="362" t="str">
        <x:v>Mounted Archery</x:v>
      </x:c>
      <x:c r="H135" s="362" t="str">
        <x:v>Has a certain probability of causing fly-shooting damage</x:v>
      </x:c>
      <x:c r="I135" s="362" t="str">
        <x:v>Unlocked</x:v>
      </x:c>
      <x:c r="J135" s="362" t="str">
        <x:v>00:08.50</x:v>
      </x:c>
      <x:c r="K135" s="362" t="str">
        <x:v>Source frame: frames_1fps/f_0009.jpg</x:v>
      </x:c>
      <x:c r="L135" s="362" t="str">
        <x:v>1000025188.mp4</x:v>
      </x:c>
    </x:row>
    <x:row r="136" ht="32" customHeight="1">
      <x:c r="A136" s="362" t="str">
        <x:v>K91</x:v>
      </x:c>
      <x:c r="B136" s="362" t="str">
        <x:v>•Pain•</x:v>
      </x:c>
      <x:c r="C136" s="362" t="str">
        <x:v>Siege</x:v>
      </x:c>
      <x:c r="D136" s="362" t="str">
        <x:v>Guardian siege</x:v>
      </x:c>
      <x:c r="E136" s="362" t="str">
        <x:v>Rams</x:v>
      </x:c>
      <x:c r="F136" s="362" t="n">
        <x:v>30</x:v>
      </x:c>
      <x:c r="G136" s="362" t="str">
        <x:v>Dragonhide</x:v>
      </x:c>
      <x:c r="H136" s="362" t="str">
        <x:v>Increase damage reduction and increase damage</x:v>
      </x:c>
      <x:c r="I136" s="362" t="str">
        <x:v>Unlocked</x:v>
      </x:c>
      <x:c r="J136" s="362" t="str">
        <x:v>00:10.50</x:v>
      </x:c>
      <x:c r="K136" s="362" t="str">
        <x:v>Source frame: frames_1fps/f_0011.jpg</x:v>
      </x:c>
      <x:c r="L136" s="362" t="str">
        <x:v>1000025188.mp4</x:v>
      </x:c>
    </x:row>
    <x:row r="137" ht="32" customHeight="1">
      <x:c r="A137" s="362" t="str">
        <x:v>K91</x:v>
      </x:c>
      <x:c r="B137" s="362" t="str">
        <x:v>Trinità</x:v>
      </x:c>
      <x:c r="C137" s="362" t="str">
        <x:v>Guards</x:v>
      </x:c>
      <x:c r="D137" s="362" t="str">
        <x:v>Destroyers</x:v>
      </x:c>
      <x:c r="E137" s="362" t="str">
        <x:v>Guard</x:v>
      </x:c>
      <x:c r="F137" s="362" t="n">
        <x:v>32</x:v>
      </x:c>
      <x:c r="G137" s="362" t="str">
        <x:v>Parry</x:v>
      </x:c>
      <x:c r="H137" s="362" t="str">
        <x:v>Provides a parry effect and a certain probability to increase damage</x:v>
      </x:c>
      <x:c r="I137" s="362" t="str">
        <x:v>Unlocked</x:v>
      </x:c>
      <x:c r="J137" s="362" t="str">
        <x:v>00:19.50</x:v>
      </x:c>
      <x:c r="K137" s="362" t="str">
        <x:v>Source frame: frames_1fps/f_0020.jpg</x:v>
      </x:c>
      <x:c r="L137" s="362" t="str">
        <x:v>1000025188.mp4</x:v>
      </x:c>
    </x:row>
    <x:row r="138" ht="32" customHeight="1">
      <x:c r="A138" s="362" t="str">
        <x:v>K91</x:v>
      </x:c>
      <x:c r="B138" s="362" t="str">
        <x:v>Trinità</x:v>
      </x:c>
      <x:c r="C138" s="362" t="str">
        <x:v>Cavalry</x:v>
      </x:c>
      <x:c r="D138" s="362" t="str">
        <x:v>Eternal knights</x:v>
      </x:c>
      <x:c r="E138" s="362" t="str">
        <x:v>Heavy Cavalry</x:v>
      </x:c>
      <x:c r="F138" s="362" t="n">
        <x:v>39</x:v>
      </x:c>
      <x:c r="G138" s="362" t="str">
        <x:v>Thunder trample</x:v>
      </x:c>
      <x:c r="H138" s="362" t="str">
        <x:v>Has a certain probability of causing trampling damage</x:v>
      </x:c>
      <x:c r="I138" s="362" t="str">
        <x:v>Unlocked</x:v>
      </x:c>
      <x:c r="J138" s="362" t="str">
        <x:v>00:20.50</x:v>
      </x:c>
      <x:c r="K138" s="362" t="str">
        <x:v>Source frame: frames_1fps/f_0021.jpg</x:v>
      </x:c>
      <x:c r="L138" s="362" t="str">
        <x:v>1000025188.mp4</x:v>
      </x:c>
    </x:row>
    <x:row r="139" ht="32" customHeight="1">
      <x:c r="A139" s="362" t="str">
        <x:v>K91</x:v>
      </x:c>
      <x:c r="B139" s="362" t="str">
        <x:v>Trinità</x:v>
      </x:c>
      <x:c r="C139" s="362" t="str">
        <x:v>Cavalry</x:v>
      </x:c>
      <x:c r="D139" s="362" t="str">
        <x:v>Storm cavalry</x:v>
      </x:c>
      <x:c r="E139" s="362" t="str">
        <x:v>Horse archer</x:v>
      </x:c>
      <x:c r="F139" s="362" t="n">
        <x:v>44</x:v>
      </x:c>
      <x:c r="G139" s="362" t="str">
        <x:v>Mounted Archery</x:v>
      </x:c>
      <x:c r="H139" s="362" t="str">
        <x:v>Has a certain probability of causing fly-shooting damage</x:v>
      </x:c>
      <x:c r="I139" s="362" t="str">
        <x:v>Unlocked</x:v>
      </x:c>
      <x:c r="J139" s="362" t="str">
        <x:v>00:21.50</x:v>
      </x:c>
      <x:c r="K139" s="362" t="str">
        <x:v>Source frame: frames_1fps/f_0022.jpg</x:v>
      </x:c>
      <x:c r="L139" s="362" t="str">
        <x:v>1000025188.mp4</x:v>
      </x:c>
    </x:row>
    <x:row r="140" ht="32" customHeight="1">
      <x:c r="A140" s="362" t="str">
        <x:v>K91</x:v>
      </x:c>
      <x:c r="B140" s="362" t="str">
        <x:v>λTλ⁵⁷βЄЧ</x:v>
      </x:c>
      <x:c r="C140" s="362" t="str">
        <x:v>Guards</x:v>
      </x:c>
      <x:c r="D140" s="362" t="str">
        <x:v>Destroyers</x:v>
      </x:c>
      <x:c r="E140" s="362" t="str">
        <x:v>Guard</x:v>
      </x:c>
      <x:c r="F140" s="362" t="n">
        <x:v>40</x:v>
      </x:c>
      <x:c r="G140" s="362" t="str">
        <x:v>Parry</x:v>
      </x:c>
      <x:c r="H140" s="362" t="str">
        <x:v>Provides a parry effect and a certain probability to increase damage</x:v>
      </x:c>
      <x:c r="I140" s="362" t="str">
        <x:v>Unlocked</x:v>
      </x:c>
      <x:c r="J140" s="362" t="str">
        <x:v>00:29.60</x:v>
      </x:c>
      <x:c r="K140" s="362" t="str">
        <x:v>Source frame: spec_segments/000_060/s_0148.jpg</x:v>
      </x:c>
      <x:c r="L140" s="362" t="str">
        <x:v>1000025188.mp4</x:v>
      </x:c>
    </x:row>
    <x:row r="141" ht="32" customHeight="1">
      <x:c r="A141" s="362" t="str">
        <x:v>K91</x:v>
      </x:c>
      <x:c r="B141" s="362" t="str">
        <x:v>λTλ⁵⁷βЄЧ</x:v>
      </x:c>
      <x:c r="C141" s="362" t="str">
        <x:v>Archers</x:v>
      </x:c>
      <x:c r="D141" s="362" t="str">
        <x:v>Elite bowmen</x:v>
      </x:c>
      <x:c r="E141" s="362" t="str">
        <x:v>Archer</x:v>
      </x:c>
      <x:c r="F141" s="362" t="n">
        <x:v>50</x:v>
      </x:c>
      <x:c r="G141" s="362" t="str">
        <x:v>Frost Arrow</x:v>
      </x:c>
      <x:c r="H141" s="362" t="str">
        <x:v>Has a higher probability of activating ice damage</x:v>
      </x:c>
      <x:c r="I141" s="362" t="str">
        <x:v>Unlocked</x:v>
      </x:c>
      <x:c r="J141" s="362" t="str">
        <x:v>00:31.00</x:v>
      </x:c>
      <x:c r="K141" s="362" t="str">
        <x:v>Source frame: spec_segments/000_060/s_0155.jpg</x:v>
      </x:c>
      <x:c r="L141" s="362" t="str">
        <x:v>1000025188.mp4</x:v>
      </x:c>
    </x:row>
    <x:row r="142" ht="32" customHeight="1">
      <x:c r="A142" s="362" t="str">
        <x:v>K91</x:v>
      </x:c>
      <x:c r="B142" s="362" t="str">
        <x:v>λTλ⁵⁷βЄЧ</x:v>
      </x:c>
      <x:c r="C142" s="362" t="str">
        <x:v>Archers</x:v>
      </x:c>
      <x:c r="D142" s="362" t="str">
        <x:v>Elite</x:v>
      </x:c>
      <x:c r="E142" s="362"/>
      <x:c r="F142" s="362" t="n">
        <x:v>43</x:v>
      </x:c>
      <x:c r="G142" s="362" t="str">
        <x:v>Focus</x:v>
      </x:c>
      <x:c r="H142" s="362" t="str">
        <x:v>Has a higher probability of providing focus damage</x:v>
      </x:c>
      <x:c r="I142" s="362" t="str">
        <x:v>Unlocked</x:v>
      </x:c>
      <x:c r="J142" s="362" t="str">
        <x:v>00:33.00</x:v>
      </x:c>
      <x:c r="K142" s="362" t="str">
        <x:v>Tooltip title is Elite and description identifies Elite crossbowmen; Source frame: spec_segments/000_060/s_0165.jpg</x:v>
      </x:c>
      <x:c r="L142" s="362" t="str">
        <x:v>1000025188.mp4</x:v>
      </x:c>
    </x:row>
    <x:row r="143" ht="32" customHeight="1">
      <x:c r="A143" s="362" t="str">
        <x:v>K91</x:v>
      </x:c>
      <x:c r="B143" s="362" t="str">
        <x:v>λTλ⁵⁷βЄЧ</x:v>
      </x:c>
      <x:c r="C143" s="362" t="str">
        <x:v>Archers</x:v>
      </x:c>
      <x:c r="D143" s="362" t="str">
        <x:v>Armored bowmen</x:v>
      </x:c>
      <x:c r="E143" s="362" t="str">
        <x:v>Archer</x:v>
      </x:c>
      <x:c r="F143" s="362" t="n">
        <x:v>50</x:v>
      </x:c>
      <x:c r="G143" s="362" t="str">
        <x:v>Frost Arrow</x:v>
      </x:c>
      <x:c r="H143" s="362" t="str">
        <x:v>Has a higher probability of activating ice damage</x:v>
      </x:c>
      <x:c r="I143" s="362" t="str">
        <x:v>Unlocked</x:v>
      </x:c>
      <x:c r="J143" s="362" t="str">
        <x:v>00:34.40</x:v>
      </x:c>
      <x:c r="K143" s="362" t="str">
        <x:v>Source frame: spec_segments/000_060/s_0172.jpg</x:v>
      </x:c>
      <x:c r="L143" s="362" t="str">
        <x:v>1000025188.mp4</x:v>
      </x:c>
    </x:row>
    <x:row r="144" ht="32" customHeight="1">
      <x:c r="A144" s="362" t="str">
        <x:v>K91</x:v>
      </x:c>
      <x:c r="B144" s="362" t="str">
        <x:v>Antoni</x:v>
      </x:c>
      <x:c r="C144" s="362" t="str">
        <x:v>Guards</x:v>
      </x:c>
      <x:c r="D144" s="362" t="str">
        <x:v>Destroyers</x:v>
      </x:c>
      <x:c r="E144" s="362" t="str">
        <x:v>Guard</x:v>
      </x:c>
      <x:c r="F144" s="362" t="n">
        <x:v>24</x:v>
      </x:c>
      <x:c r="G144" s="362" t="str">
        <x:v>Parry</x:v>
      </x:c>
      <x:c r="H144" s="362" t="str">
        <x:v>Provides a parry effect and a certain probability to increase damage</x:v>
      </x:c>
      <x:c r="I144" s="362" t="str">
        <x:v>Unlocked</x:v>
      </x:c>
      <x:c r="J144" s="362" t="str">
        <x:v>00:40.60</x:v>
      </x:c>
      <x:c r="K144" s="362" t="str">
        <x:v>Source frame: spec_segments/000_060/s_0203.jpg</x:v>
      </x:c>
      <x:c r="L144" s="362" t="str">
        <x:v>1000025188.mp4</x:v>
      </x:c>
    </x:row>
    <x:row r="145" ht="32" customHeight="1">
      <x:c r="A145" s="362" t="str">
        <x:v>K91</x:v>
      </x:c>
      <x:c r="B145" s="362" t="str">
        <x:v>Antoni</x:v>
      </x:c>
      <x:c r="C145" s="362" t="str">
        <x:v>Archers</x:v>
      </x:c>
      <x:c r="D145" s="362" t="str">
        <x:v>Elite bowmen</x:v>
      </x:c>
      <x:c r="E145" s="362" t="str">
        <x:v>Archer</x:v>
      </x:c>
      <x:c r="F145" s="362" t="n">
        <x:v>48</x:v>
      </x:c>
      <x:c r="G145" s="362" t="str">
        <x:v>Frost Arrow</x:v>
      </x:c>
      <x:c r="H145" s="362" t="str">
        <x:v>Has a higher probability of activating ice damage</x:v>
      </x:c>
      <x:c r="I145" s="362" t="str">
        <x:v>Unlocked</x:v>
      </x:c>
      <x:c r="J145" s="362" t="str">
        <x:v>00:42.00</x:v>
      </x:c>
      <x:c r="K145" s="362" t="str">
        <x:v>Source frame: spec_segments/000_060/s_0210.jpg</x:v>
      </x:c>
      <x:c r="L145" s="362" t="str">
        <x:v>1000025188.mp4</x:v>
      </x:c>
    </x:row>
    <x:row r="146" ht="32" customHeight="1">
      <x:c r="A146" s="362" t="str">
        <x:v>K91</x:v>
      </x:c>
      <x:c r="B146" s="362" t="str">
        <x:v>Antoni</x:v>
      </x:c>
      <x:c r="C146" s="362" t="str">
        <x:v>Archers</x:v>
      </x:c>
      <x:c r="D146" s="362" t="str">
        <x:v>Elite</x:v>
      </x:c>
      <x:c r="E146" s="362"/>
      <x:c r="F146" s="362" t="n">
        <x:v>42</x:v>
      </x:c>
      <x:c r="G146" s="362" t="str">
        <x:v>Focus</x:v>
      </x:c>
      <x:c r="H146" s="362" t="str">
        <x:v>Has a higher probability of providing focus damage</x:v>
      </x:c>
      <x:c r="I146" s="362" t="str">
        <x:v>Unlocked</x:v>
      </x:c>
      <x:c r="J146" s="362" t="str">
        <x:v>00:43.60</x:v>
      </x:c>
      <x:c r="K146" s="362" t="str">
        <x:v>Tooltip title is Elite and description identifies Elite crossbowmen; Source frame: spec_segments/000_060/s_0218.jpg</x:v>
      </x:c>
      <x:c r="L146" s="362" t="str">
        <x:v>1000025188.mp4</x:v>
      </x:c>
    </x:row>
    <x:row r="147" ht="32" customHeight="1">
      <x:c r="A147" s="362" t="str">
        <x:v>K91</x:v>
      </x:c>
      <x:c r="B147" s="362" t="str">
        <x:v>Antoni</x:v>
      </x:c>
      <x:c r="C147" s="362" t="str">
        <x:v>Archers</x:v>
      </x:c>
      <x:c r="D147" s="362" t="str">
        <x:v>Marksmen</x:v>
      </x:c>
      <x:c r="E147" s="362" t="str">
        <x:v>Archer</x:v>
      </x:c>
      <x:c r="F147" s="362" t="n">
        <x:v>48</x:v>
      </x:c>
      <x:c r="G147" s="362" t="str">
        <x:v>Frost Arrow</x:v>
      </x:c>
      <x:c r="H147" s="362" t="str">
        <x:v>Has a higher probability of activating ice damage</x:v>
      </x:c>
      <x:c r="I147" s="362" t="str">
        <x:v>Unlocked</x:v>
      </x:c>
      <x:c r="J147" s="362" t="str">
        <x:v>00:44.00</x:v>
      </x:c>
      <x:c r="K147" s="362" t="str">
        <x:v>Source frame: spec_segments/000_060/s_0220.jpg</x:v>
      </x:c>
      <x:c r="L147" s="362" t="str">
        <x:v>1000025188.mp4</x:v>
      </x:c>
    </x:row>
    <x:row r="148" ht="32" customHeight="1">
      <x:c r="A148" s="362" t="str">
        <x:v>K91</x:v>
      </x:c>
      <x:c r="B148" s="362" t="str">
        <x:v>Nixxx</x:v>
      </x:c>
      <x:c r="C148" s="362" t="str">
        <x:v>Guards</x:v>
      </x:c>
      <x:c r="D148" s="362" t="str">
        <x:v>Destroyers</x:v>
      </x:c>
      <x:c r="E148" s="362" t="str">
        <x:v>Guard</x:v>
      </x:c>
      <x:c r="F148" s="362" t="n">
        <x:v>30</x:v>
      </x:c>
      <x:c r="G148" s="362" t="str">
        <x:v>Parry</x:v>
      </x:c>
      <x:c r="H148" s="362" t="str">
        <x:v>Provides a parry effect and a certain probability to increase damage</x:v>
      </x:c>
      <x:c r="I148" s="362" t="str">
        <x:v>Unlocked</x:v>
      </x:c>
      <x:c r="J148" s="362" t="str">
        <x:v>00:52.00</x:v>
      </x:c>
      <x:c r="K148" s="362" t="str">
        <x:v>Source frame: spec_segments/048_062/s_0020.jpg</x:v>
      </x:c>
      <x:c r="L148" s="362" t="str">
        <x:v>1000025188.mp4</x:v>
      </x:c>
    </x:row>
    <x:row r="149" ht="32" customHeight="1">
      <x:c r="A149" s="362" t="str">
        <x:v>K91</x:v>
      </x:c>
      <x:c r="B149" s="362" t="str">
        <x:v>Nixxx</x:v>
      </x:c>
      <x:c r="C149" s="362" t="str">
        <x:v>Archers</x:v>
      </x:c>
      <x:c r="D149" s="362" t="str">
        <x:v>Elite bowmen</x:v>
      </x:c>
      <x:c r="E149" s="362" t="str">
        <x:v>Archer</x:v>
      </x:c>
      <x:c r="F149" s="362" t="n">
        <x:v>50</x:v>
      </x:c>
      <x:c r="G149" s="362" t="str">
        <x:v>Frost Arrow</x:v>
      </x:c>
      <x:c r="H149" s="362" t="str">
        <x:v>Has a higher probability of activating ice damage</x:v>
      </x:c>
      <x:c r="I149" s="362" t="str">
        <x:v>Unlocked</x:v>
      </x:c>
      <x:c r="J149" s="362" t="str">
        <x:v>00:53.20</x:v>
      </x:c>
      <x:c r="K149" s="362" t="str">
        <x:v>Source frame: spec_segments/048_062/s_0026.jpg</x:v>
      </x:c>
      <x:c r="L149" s="362" t="str">
        <x:v>1000025188.mp4</x:v>
      </x:c>
    </x:row>
    <x:row r="150" ht="32" customHeight="1">
      <x:c r="A150" s="362" t="str">
        <x:v>K91</x:v>
      </x:c>
      <x:c r="B150" s="362" t="str">
        <x:v>Nixxx</x:v>
      </x:c>
      <x:c r="C150" s="362" t="str">
        <x:v>Archers</x:v>
      </x:c>
      <x:c r="D150" s="362" t="str">
        <x:v>Elite</x:v>
      </x:c>
      <x:c r="E150" s="362"/>
      <x:c r="F150" s="362" t="n">
        <x:v>40</x:v>
      </x:c>
      <x:c r="G150" s="362" t="str">
        <x:v>Focus</x:v>
      </x:c>
      <x:c r="H150" s="362" t="str">
        <x:v>Has a higher probability of providing focus damage</x:v>
      </x:c>
      <x:c r="I150" s="362" t="str">
        <x:v>Unlocked</x:v>
      </x:c>
      <x:c r="J150" s="362" t="str">
        <x:v>00:54.80</x:v>
      </x:c>
      <x:c r="K150" s="362" t="str">
        <x:v>Tooltip title is Elite and description identifies Elite crossbowmen; Source frame: spec_segments/048_062/s_0034.jpg</x:v>
      </x:c>
      <x:c r="L150" s="362" t="str">
        <x:v>1000025188.mp4</x:v>
      </x:c>
    </x:row>
    <x:row r="151" ht="32" customHeight="1">
      <x:c r="A151" s="362" t="str">
        <x:v>K91</x:v>
      </x:c>
      <x:c r="B151" s="362" t="str">
        <x:v>TatyToy</x:v>
      </x:c>
      <x:c r="C151" s="362" t="str">
        <x:v>Guards</x:v>
      </x:c>
      <x:c r="D151" s="362" t="str">
        <x:v>Destroyers</x:v>
      </x:c>
      <x:c r="E151" s="362" t="str">
        <x:v>Guard</x:v>
      </x:c>
      <x:c r="F151" s="362" t="n">
        <x:v>28</x:v>
      </x:c>
      <x:c r="G151" s="362" t="str">
        <x:v>Parry</x:v>
      </x:c>
      <x:c r="H151" s="362" t="str">
        <x:v>Provides a parry effect and a certain probability to increase damage</x:v>
      </x:c>
      <x:c r="I151" s="362" t="str">
        <x:v>Unlocked</x:v>
      </x:c>
      <x:c r="J151" s="362" t="str">
        <x:v>01:04.40</x:v>
      </x:c>
      <x:c r="K151" s="362" t="str">
        <x:v>Source frame: spec_segments/060_120/s_0022.jpg</x:v>
      </x:c>
      <x:c r="L151" s="362" t="str">
        <x:v>1000025188.mp4</x:v>
      </x:c>
    </x:row>
    <x:row r="152" ht="32" customHeight="1">
      <x:c r="A152" s="362" t="str">
        <x:v>K91</x:v>
      </x:c>
      <x:c r="B152" s="362" t="str">
        <x:v>TatyToy</x:v>
      </x:c>
      <x:c r="C152" s="362" t="str">
        <x:v>Archers</x:v>
      </x:c>
      <x:c r="D152" s="362" t="str">
        <x:v>Elite bowmen</x:v>
      </x:c>
      <x:c r="E152" s="362" t="str">
        <x:v>Archer</x:v>
      </x:c>
      <x:c r="F152" s="362" t="n">
        <x:v>46</x:v>
      </x:c>
      <x:c r="G152" s="362" t="str">
        <x:v>Frost Arrow</x:v>
      </x:c>
      <x:c r="H152" s="362" t="str">
        <x:v>Has a higher probability of activating ice damage</x:v>
      </x:c>
      <x:c r="I152" s="362" t="str">
        <x:v>Unlocked</x:v>
      </x:c>
      <x:c r="J152" s="362" t="str">
        <x:v>01:06.00</x:v>
      </x:c>
      <x:c r="K152" s="362" t="str">
        <x:v>Source frame: spec_segments/060_120/s_0030.jpg</x:v>
      </x:c>
      <x:c r="L152" s="362" t="str">
        <x:v>1000025188.mp4</x:v>
      </x:c>
    </x:row>
    <x:row r="153" ht="32" customHeight="1">
      <x:c r="A153" s="362" t="str">
        <x:v>K91</x:v>
      </x:c>
      <x:c r="B153" s="362" t="str">
        <x:v>TatyToy</x:v>
      </x:c>
      <x:c r="C153" s="362" t="str">
        <x:v>Archers</x:v>
      </x:c>
      <x:c r="D153" s="362" t="str">
        <x:v>Elite</x:v>
      </x:c>
      <x:c r="E153" s="362"/>
      <x:c r="F153" s="362" t="n">
        <x:v>23</x:v>
      </x:c>
      <x:c r="G153" s="362" t="str">
        <x:v>Focus</x:v>
      </x:c>
      <x:c r="H153" s="362" t="str">
        <x:v>Has a higher probability of providing focus damage</x:v>
      </x:c>
      <x:c r="I153" s="362" t="str">
        <x:v>Unlocked</x:v>
      </x:c>
      <x:c r="J153" s="362" t="str">
        <x:v>01:07.40</x:v>
      </x:c>
      <x:c r="K153" s="362" t="str">
        <x:v>Tooltip title is Elite and description identifies Elite crossbowmen; Source frame: spec_segments/060_120/s_0037.jpg</x:v>
      </x:c>
      <x:c r="L153" s="362" t="str">
        <x:v>1000025188.mp4</x:v>
      </x:c>
    </x:row>
    <x:row r="154" ht="32" customHeight="1">
      <x:c r="A154" s="362" t="str">
        <x:v>K91</x:v>
      </x:c>
      <x:c r="B154" s="362" t="str">
        <x:v>AMANTIS</x:v>
      </x:c>
      <x:c r="C154" s="362" t="str">
        <x:v>Guards</x:v>
      </x:c>
      <x:c r="D154" s="362" t="str">
        <x:v>Destroyers</x:v>
      </x:c>
      <x:c r="E154" s="362" t="str">
        <x:v>Guard</x:v>
      </x:c>
      <x:c r="F154" s="362" t="n">
        <x:v>21</x:v>
      </x:c>
      <x:c r="G154" s="362" t="str">
        <x:v>Parry</x:v>
      </x:c>
      <x:c r="H154" s="362" t="str">
        <x:v>Provides a parry effect and a certain probability to increase damage</x:v>
      </x:c>
      <x:c r="I154" s="362" t="str">
        <x:v>Unlocked</x:v>
      </x:c>
      <x:c r="J154" s="362" t="str">
        <x:v>01:14.50</x:v>
      </x:c>
      <x:c r="K154" s="362" t="str">
        <x:v>Source frame: frames_1fps/f_0075.jpg</x:v>
      </x:c>
      <x:c r="L154" s="362" t="str">
        <x:v>1000025188.mp4</x:v>
      </x:c>
    </x:row>
    <x:row r="155" ht="32" customHeight="1">
      <x:c r="A155" s="362" t="str">
        <x:v>K91</x:v>
      </x:c>
      <x:c r="B155" s="362" t="str">
        <x:v>AMANTIS</x:v>
      </x:c>
      <x:c r="C155" s="362" t="str">
        <x:v>Archers</x:v>
      </x:c>
      <x:c r="D155" s="362" t="str">
        <x:v>Elite bowmen</x:v>
      </x:c>
      <x:c r="E155" s="362" t="str">
        <x:v>Archer</x:v>
      </x:c>
      <x:c r="F155" s="362" t="n">
        <x:v>50</x:v>
      </x:c>
      <x:c r="G155" s="362" t="str">
        <x:v>Frost Arrow</x:v>
      </x:c>
      <x:c r="H155" s="362" t="str">
        <x:v>Has a higher probability of activating ice damage</x:v>
      </x:c>
      <x:c r="I155" s="362" t="str">
        <x:v>Unlocked</x:v>
      </x:c>
      <x:c r="J155" s="362" t="str">
        <x:v>01:15.50</x:v>
      </x:c>
      <x:c r="K155" s="362" t="str">
        <x:v>Source frame: frames_1fps/f_0076.jpg</x:v>
      </x:c>
      <x:c r="L155" s="362" t="str">
        <x:v>1000025188.mp4</x:v>
      </x:c>
    </x:row>
    <x:row r="156" ht="32" customHeight="1">
      <x:c r="A156" s="362" t="str">
        <x:v>K91</x:v>
      </x:c>
      <x:c r="B156" s="362" t="str">
        <x:v>AMANTIS</x:v>
      </x:c>
      <x:c r="C156" s="362" t="str">
        <x:v>Archers</x:v>
      </x:c>
      <x:c r="D156" s="362" t="str">
        <x:v>Elite</x:v>
      </x:c>
      <x:c r="E156" s="362"/>
      <x:c r="F156" s="362" t="n">
        <x:v>28</x:v>
      </x:c>
      <x:c r="G156" s="362" t="str">
        <x:v>Focus</x:v>
      </x:c>
      <x:c r="H156" s="362" t="str">
        <x:v>Has a higher probability of providing focus damage</x:v>
      </x:c>
      <x:c r="I156" s="362" t="str">
        <x:v>Unlocked</x:v>
      </x:c>
      <x:c r="J156" s="362" t="str">
        <x:v>01:17.50</x:v>
      </x:c>
      <x:c r="K156" s="362" t="str">
        <x:v>Tooltip title is Elite and description identifies Elite crossbowmen; Source frame: frames_1fps/f_0078.jpg</x:v>
      </x:c>
      <x:c r="L156" s="362" t="str">
        <x:v>1000025188.mp4</x:v>
      </x:c>
    </x:row>
    <x:row r="157" ht="32" customHeight="1">
      <x:c r="A157" s="362" t="str">
        <x:v>K91</x:v>
      </x:c>
      <x:c r="B157" s="362" t="str">
        <x:v>Milhaus</x:v>
      </x:c>
      <x:c r="C157" s="362" t="str">
        <x:v>Guards</x:v>
      </x:c>
      <x:c r="D157" s="362" t="str">
        <x:v>Destroyers</x:v>
      </x:c>
      <x:c r="E157" s="362" t="str">
        <x:v>Guard</x:v>
      </x:c>
      <x:c r="F157" s="362" t="n">
        <x:v>40</x:v>
      </x:c>
      <x:c r="G157" s="362" t="str">
        <x:v>Parry</x:v>
      </x:c>
      <x:c r="H157" s="362" t="str">
        <x:v>Provides a parry effect and a certain probability to increase damage</x:v>
      </x:c>
      <x:c r="I157" s="362" t="str">
        <x:v>Unlocked</x:v>
      </x:c>
      <x:c r="J157" s="362" t="str">
        <x:v>01:41.00</x:v>
      </x:c>
      <x:c r="K157" s="362" t="str">
        <x:v>Source frame: spec_segments/060_120/s_0205.jpg</x:v>
      </x:c>
      <x:c r="L157" s="362" t="str">
        <x:v>1000025188.mp4</x:v>
      </x:c>
    </x:row>
    <x:row r="158" ht="32" customHeight="1">
      <x:c r="A158" s="362" t="str">
        <x:v>K91</x:v>
      </x:c>
      <x:c r="B158" s="362" t="str">
        <x:v>Milhaus</x:v>
      </x:c>
      <x:c r="C158" s="362" t="str">
        <x:v>Archers</x:v>
      </x:c>
      <x:c r="D158" s="362" t="str">
        <x:v>Elite bowmen</x:v>
      </x:c>
      <x:c r="E158" s="362" t="str">
        <x:v>Archer</x:v>
      </x:c>
      <x:c r="F158" s="362" t="n">
        <x:v>50</x:v>
      </x:c>
      <x:c r="G158" s="362" t="str">
        <x:v>Frost Arrow</x:v>
      </x:c>
      <x:c r="H158" s="362" t="str">
        <x:v>Has a higher probability of activating ice damage</x:v>
      </x:c>
      <x:c r="I158" s="362" t="str">
        <x:v>Unlocked</x:v>
      </x:c>
      <x:c r="J158" s="362" t="str">
        <x:v>01:42.20</x:v>
      </x:c>
      <x:c r="K158" s="362" t="str">
        <x:v>Source frame: spec_segments/060_120/s_0211.jpg</x:v>
      </x:c>
      <x:c r="L158" s="362" t="str">
        <x:v>1000025188.mp4</x:v>
      </x:c>
    </x:row>
    <x:row r="159" ht="32" customHeight="1">
      <x:c r="A159" s="362" t="str">
        <x:v>K91</x:v>
      </x:c>
      <x:c r="B159" s="362" t="str">
        <x:v>Milhaus</x:v>
      </x:c>
      <x:c r="C159" s="362" t="str">
        <x:v>Archers</x:v>
      </x:c>
      <x:c r="D159" s="362" t="str">
        <x:v>Elite</x:v>
      </x:c>
      <x:c r="E159" s="362"/>
      <x:c r="F159" s="362" t="n">
        <x:v>39</x:v>
      </x:c>
      <x:c r="G159" s="362" t="str">
        <x:v>Focus</x:v>
      </x:c>
      <x:c r="H159" s="362" t="str">
        <x:v>Has a higher probability of providing focus damage</x:v>
      </x:c>
      <x:c r="I159" s="362" t="str">
        <x:v>Unlocked</x:v>
      </x:c>
      <x:c r="J159" s="362" t="str">
        <x:v>01:43.60</x:v>
      </x:c>
      <x:c r="K159" s="362" t="str">
        <x:v>Tooltip title is Elite and description identifies Elite crossbowmen; Source frame: spec_segments/060_120/s_0218.jpg</x:v>
      </x:c>
      <x:c r="L159" s="362" t="str">
        <x:v>1000025188.mp4</x:v>
      </x:c>
    </x:row>
    <x:row r="160" ht="32" customHeight="1">
      <x:c r="A160" s="362" t="str">
        <x:v>K91</x:v>
      </x:c>
      <x:c r="B160" s="362" t="str">
        <x:v>金灵蛇</x:v>
      </x:c>
      <x:c r="C160" s="362" t="str">
        <x:v>Guards</x:v>
      </x:c>
      <x:c r="D160" s="362" t="str">
        <x:v>Destroyers</x:v>
      </x:c>
      <x:c r="E160" s="362" t="str">
        <x:v>Guard</x:v>
      </x:c>
      <x:c r="F160" s="362" t="n">
        <x:v>34</x:v>
      </x:c>
      <x:c r="G160" s="362" t="str">
        <x:v>Parry</x:v>
      </x:c>
      <x:c r="H160" s="362" t="str">
        <x:v>Provides a parry effect and a certain probability to increase damage</x:v>
      </x:c>
      <x:c r="I160" s="362" t="str">
        <x:v>Unlocked</x:v>
      </x:c>
      <x:c r="J160" s="362" t="str">
        <x:v>01:50.80</x:v>
      </x:c>
      <x:c r="K160" s="362" t="str">
        <x:v>Source frame: spec_segments/108_120/s_0014.jpg</x:v>
      </x:c>
      <x:c r="L160" s="362" t="str">
        <x:v>1000025188.mp4</x:v>
      </x:c>
    </x:row>
    <x:row r="161" ht="32" customHeight="1">
      <x:c r="A161" s="362" t="str">
        <x:v>K91</x:v>
      </x:c>
      <x:c r="B161" s="362" t="str">
        <x:v>金灵蛇</x:v>
      </x:c>
      <x:c r="C161" s="362" t="str">
        <x:v>Archers</x:v>
      </x:c>
      <x:c r="D161" s="362" t="str">
        <x:v>Elite bowmen</x:v>
      </x:c>
      <x:c r="E161" s="362" t="str">
        <x:v>Archer</x:v>
      </x:c>
      <x:c r="F161" s="362" t="n">
        <x:v>48</x:v>
      </x:c>
      <x:c r="G161" s="362" t="str">
        <x:v>Frost Arrow</x:v>
      </x:c>
      <x:c r="H161" s="362" t="str">
        <x:v>Has a higher probability of activating ice damage</x:v>
      </x:c>
      <x:c r="I161" s="362" t="str">
        <x:v>Unlocked</x:v>
      </x:c>
      <x:c r="J161" s="362" t="str">
        <x:v>01:52.00</x:v>
      </x:c>
      <x:c r="K161" s="362" t="str">
        <x:v>Source frame: spec_segments/108_120/s_0020.jpg</x:v>
      </x:c>
      <x:c r="L161" s="362" t="str">
        <x:v>1000025188.mp4</x:v>
      </x:c>
    </x:row>
    <x:row r="162" ht="32" customHeight="1">
      <x:c r="A162" s="362" t="str">
        <x:v>K91</x:v>
      </x:c>
      <x:c r="B162" s="362" t="str">
        <x:v>金灵蛇</x:v>
      </x:c>
      <x:c r="C162" s="362" t="str">
        <x:v>Archers</x:v>
      </x:c>
      <x:c r="D162" s="362" t="str">
        <x:v>Elite</x:v>
      </x:c>
      <x:c r="E162" s="362"/>
      <x:c r="F162" s="362" t="n">
        <x:v>22</x:v>
      </x:c>
      <x:c r="G162" s="362" t="str">
        <x:v>Focus</x:v>
      </x:c>
      <x:c r="H162" s="362" t="str">
        <x:v>Has a higher probability of providing focus damage</x:v>
      </x:c>
      <x:c r="I162" s="362" t="str">
        <x:v>Unlocked</x:v>
      </x:c>
      <x:c r="J162" s="362" t="str">
        <x:v>01:53.60</x:v>
      </x:c>
      <x:c r="K162" s="362" t="str">
        <x:v>Tooltip title is Elite and description identifies Elite crossbowmen; Source frame: spec_segments/108_120/s_0028.jpg</x:v>
      </x:c>
      <x:c r="L162" s="362" t="str">
        <x:v>1000025188.mp4</x:v>
      </x:c>
    </x:row>
    <x:row r="163" ht="32" customHeight="1">
      <x:c r="A163" s="362" t="str">
        <x:v>K91</x:v>
      </x:c>
      <x:c r="B163" s="362" t="str">
        <x:v>Nico•</x:v>
      </x:c>
      <x:c r="C163" s="362" t="str">
        <x:v>Guards</x:v>
      </x:c>
      <x:c r="D163" s="362" t="str">
        <x:v>Destroyers</x:v>
      </x:c>
      <x:c r="E163" s="362" t="str">
        <x:v>Guard</x:v>
      </x:c>
      <x:c r="F163" s="362" t="n">
        <x:v>30</x:v>
      </x:c>
      <x:c r="G163" s="362" t="str">
        <x:v>Parry</x:v>
      </x:c>
      <x:c r="H163" s="362" t="str">
        <x:v>Provides a parry effect and a certain probability to increase damage</x:v>
      </x:c>
      <x:c r="I163" s="362" t="str">
        <x:v>Unlocked</x:v>
      </x:c>
      <x:c r="J163" s="362" t="str">
        <x:v>02:01.50</x:v>
      </x:c>
      <x:c r="K163" s="362" t="str">
        <x:v>Destroyed 550 Guards and 579 other troops; source frame 0122; Source frame: independent_metrics/frames1s/0122.png</x:v>
      </x:c>
      <x:c r="L163" s="362" t="str">
        <x:v>1000025188.mp4</x:v>
      </x:c>
    </x:row>
    <x:row r="164" ht="32" customHeight="1">
      <x:c r="A164" s="362" t="str">
        <x:v>K91</x:v>
      </x:c>
      <x:c r="B164" s="362" t="str">
        <x:v>Nico•</x:v>
      </x:c>
      <x:c r="C164" s="362" t="str">
        <x:v>Archers</x:v>
      </x:c>
      <x:c r="D164" s="362" t="str">
        <x:v>Elite bowmen</x:v>
      </x:c>
      <x:c r="E164" s="362" t="str">
        <x:v>Archer</x:v>
      </x:c>
      <x:c r="F164" s="362" t="n">
        <x:v>46</x:v>
      </x:c>
      <x:c r="G164" s="362" t="str">
        <x:v>Frost Arrow</x:v>
      </x:c>
      <x:c r="H164" s="362" t="str">
        <x:v>Has a higher probability of activating ice damage</x:v>
      </x:c>
      <x:c r="I164" s="362" t="str">
        <x:v>Unlocked</x:v>
      </x:c>
      <x:c r="J164" s="362" t="str">
        <x:v>02:02.50</x:v>
      </x:c>
      <x:c r="K164" s="362" t="str">
        <x:v>Destroyed 16098 Guards and 24035 other troops; source frame 0123; Source frame: independent_metrics/frames1s/0123.png</x:v>
      </x:c>
      <x:c r="L164" s="362" t="str">
        <x:v>1000025188.mp4</x:v>
      </x:c>
    </x:row>
    <x:row r="165" ht="32" customHeight="1">
      <x:c r="A165" s="362" t="str">
        <x:v>K91</x:v>
      </x:c>
      <x:c r="B165" s="362" t="str">
        <x:v>Nico•</x:v>
      </x:c>
      <x:c r="C165" s="362" t="str">
        <x:v>Archers</x:v>
      </x:c>
      <x:c r="D165" s="362" t="str">
        <x:v>Elite</x:v>
      </x:c>
      <x:c r="E165" s="362"/>
      <x:c r="F165" s="362" t="n">
        <x:v>32</x:v>
      </x:c>
      <x:c r="G165" s="362" t="str">
        <x:v>Focus</x:v>
      </x:c>
      <x:c r="H165" s="362" t="str">
        <x:v>Has a higher probability of providing focus damage</x:v>
      </x:c>
      <x:c r="I165" s="362" t="str">
        <x:v>Unlocked</x:v>
      </x:c>
      <x:c r="J165" s="362" t="str">
        <x:v>02:05.50</x:v>
      </x:c>
      <x:c r="K165" s="362" t="str">
        <x:v>Tooltip header displays only Elite; body identifies Elite crossbowmen; destroyed 549 Guards and 210 other troops; source frame 0126; Source frame: independent_metrics/frames1s/0126.png</x:v>
      </x:c>
      <x:c r="L165" s="362" t="str">
        <x:v>1000025188.mp4</x:v>
      </x:c>
    </x:row>
    <x:row r="166" ht="32" customHeight="1">
      <x:c r="A166" s="362" t="str">
        <x:v>K91</x:v>
      </x:c>
      <x:c r="B166" s="362" t="str">
        <x:v>†LORD•ZARIEL†</x:v>
      </x:c>
      <x:c r="C166" s="362" t="str">
        <x:v>Guards</x:v>
      </x:c>
      <x:c r="D166" s="362" t="str">
        <x:v>Destroyers</x:v>
      </x:c>
      <x:c r="E166" s="362" t="str">
        <x:v>Guard</x:v>
      </x:c>
      <x:c r="F166" s="362" t="n">
        <x:v>30</x:v>
      </x:c>
      <x:c r="G166" s="362" t="str">
        <x:v>Parry</x:v>
      </x:c>
      <x:c r="H166" s="362" t="str">
        <x:v>Provides a parry effect and a certain probability to increase damage</x:v>
      </x:c>
      <x:c r="I166" s="362" t="str">
        <x:v>Unlocked</x:v>
      </x:c>
      <x:c r="J166" s="362" t="str">
        <x:v>02:11.50</x:v>
      </x:c>
      <x:c r="K166" s="362" t="str">
        <x:v>Destroyed 573 Guards and 257 other troops; source frame 0132; Source frame: independent_metrics/frames1s/0132.png</x:v>
      </x:c>
      <x:c r="L166" s="362" t="str">
        <x:v>1000025188.mp4</x:v>
      </x:c>
    </x:row>
    <x:row r="167" ht="32" customHeight="1">
      <x:c r="A167" s="362" t="str">
        <x:v>K91</x:v>
      </x:c>
      <x:c r="B167" s="362" t="str">
        <x:v>†LORD•ZARIEL†</x:v>
      </x:c>
      <x:c r="C167" s="362" t="str">
        <x:v>Archers</x:v>
      </x:c>
      <x:c r="D167" s="362" t="str">
        <x:v>Elite bowmen</x:v>
      </x:c>
      <x:c r="E167" s="362" t="str">
        <x:v>Archer</x:v>
      </x:c>
      <x:c r="F167" s="362" t="n">
        <x:v>47</x:v>
      </x:c>
      <x:c r="G167" s="362" t="str">
        <x:v>Frost Arrow</x:v>
      </x:c>
      <x:c r="H167" s="362" t="str">
        <x:v>Has a higher probability of activating ice damage</x:v>
      </x:c>
      <x:c r="I167" s="362" t="str">
        <x:v>Unlocked</x:v>
      </x:c>
      <x:c r="J167" s="362" t="str">
        <x:v>02:12.50</x:v>
      </x:c>
      <x:c r="K167" s="362" t="str">
        <x:v>Destroyed 18157 Guards and 5610 other troops; source frame 0133; Source frame: independent_metrics/frames1s/0133.png</x:v>
      </x:c>
      <x:c r="L167" s="362" t="str">
        <x:v>1000025188.mp4</x:v>
      </x:c>
    </x:row>
    <x:row r="168" ht="32" customHeight="1">
      <x:c r="A168" s="362" t="str">
        <x:v>K91</x:v>
      </x:c>
      <x:c r="B168" s="362" t="str">
        <x:v>TÜRK 81</x:v>
      </x:c>
      <x:c r="C168" s="362" t="str">
        <x:v>Guards</x:v>
      </x:c>
      <x:c r="D168" s="362" t="str">
        <x:v>Destroyers</x:v>
      </x:c>
      <x:c r="E168" s="362" t="str">
        <x:v>Guard</x:v>
      </x:c>
      <x:c r="F168" s="362" t="n">
        <x:v>42</x:v>
      </x:c>
      <x:c r="G168" s="362" t="str">
        <x:v>Parry</x:v>
      </x:c>
      <x:c r="H168" s="362" t="str">
        <x:v>Provides a parry effect and a certain probability to increase damage</x:v>
      </x:c>
      <x:c r="I168" s="362" t="str">
        <x:v>Unlocked</x:v>
      </x:c>
      <x:c r="J168" s="362" t="str">
        <x:v>02:18.50</x:v>
      </x:c>
      <x:c r="K168" s="362" t="str">
        <x:v>Destroyed 690 Guards and 881 other troops; source frame 0139; Source frame: independent_metrics/frames1s/0139.png</x:v>
      </x:c>
      <x:c r="L168" s="362" t="str">
        <x:v>1000025188.mp4</x:v>
      </x:c>
    </x:row>
    <x:row r="169" ht="32" customHeight="1">
      <x:c r="A169" s="362" t="str">
        <x:v>K91</x:v>
      </x:c>
      <x:c r="B169" s="362" t="str">
        <x:v>TÜRK 81</x:v>
      </x:c>
      <x:c r="C169" s="362" t="str">
        <x:v>Archers</x:v>
      </x:c>
      <x:c r="D169" s="362" t="str">
        <x:v>Elite bowmen</x:v>
      </x:c>
      <x:c r="E169" s="362" t="str">
        <x:v>Archer</x:v>
      </x:c>
      <x:c r="F169" s="362" t="n">
        <x:v>50</x:v>
      </x:c>
      <x:c r="G169" s="362" t="str">
        <x:v>Frost Arrow</x:v>
      </x:c>
      <x:c r="H169" s="362" t="str">
        <x:v>Has a higher probability of activating ice damage</x:v>
      </x:c>
      <x:c r="I169" s="362" t="str">
        <x:v>Unlocked</x:v>
      </x:c>
      <x:c r="J169" s="362" t="str">
        <x:v>02:20.50</x:v>
      </x:c>
      <x:c r="K169" s="362" t="str">
        <x:v>Destroyed 30623 Guards and 10089 other troops; source frame 0141; Source frame: independent_metrics/frames1s/0141.png</x:v>
      </x:c>
      <x:c r="L169" s="362" t="str">
        <x:v>1000025188.mp4</x:v>
      </x:c>
    </x:row>
    <x:row r="170" ht="32" customHeight="1">
      <x:c r="A170" s="362" t="str">
        <x:v>K91</x:v>
      </x:c>
      <x:c r="B170" s="362" t="str">
        <x:v>TÜRK 81</x:v>
      </x:c>
      <x:c r="C170" s="362" t="str">
        <x:v>Archers</x:v>
      </x:c>
      <x:c r="D170" s="362" t="str">
        <x:v>Elite</x:v>
      </x:c>
      <x:c r="E170" s="362"/>
      <x:c r="F170" s="362" t="n">
        <x:v>41</x:v>
      </x:c>
      <x:c r="G170" s="362" t="str">
        <x:v>Focus</x:v>
      </x:c>
      <x:c r="H170" s="362" t="str">
        <x:v>Has a higher probability of providing focus damage</x:v>
      </x:c>
      <x:c r="I170" s="362" t="str">
        <x:v>Unlocked</x:v>
      </x:c>
      <x:c r="J170" s="362" t="str">
        <x:v>02:21.50</x:v>
      </x:c>
      <x:c r="K170" s="362" t="str">
        <x:v>Tooltip header displays only Elite; body identifies Elite crossbowmen; destroyed 2446 Guards and 2830 other troops; source frame 0142; Source frame: independent_metrics/frames1s/0142.png</x:v>
      </x:c>
      <x:c r="L170" s="362" t="str">
        <x:v>1000025188.mp4</x:v>
      </x:c>
    </x:row>
    <x:row r="171" ht="32" customHeight="1">
      <x:c r="A171" s="362" t="str">
        <x:v>K91</x:v>
      </x:c>
      <x:c r="B171" s="362" t="str">
        <x:v>A†RO/</x:v>
      </x:c>
      <x:c r="C171" s="362" t="str">
        <x:v>Guards</x:v>
      </x:c>
      <x:c r="D171" s="362" t="str">
        <x:v>Destroyers</x:v>
      </x:c>
      <x:c r="E171" s="362" t="str">
        <x:v>Guard</x:v>
      </x:c>
      <x:c r="F171" s="362" t="n">
        <x:v>30</x:v>
      </x:c>
      <x:c r="G171" s="362" t="str">
        <x:v>Parry</x:v>
      </x:c>
      <x:c r="H171" s="362" t="str">
        <x:v>Provides a parry effect and a certain probability to increase damage</x:v>
      </x:c>
      <x:c r="I171" s="362" t="str">
        <x:v>Unlocked</x:v>
      </x:c>
      <x:c r="J171" s="362" t="str">
        <x:v>02:27.50</x:v>
      </x:c>
      <x:c r="K171" s="362" t="str">
        <x:v>Destroyed 565 Guards and 675 other troops; source frame 0148; Source frame: independent_metrics/frames1s/0148.png</x:v>
      </x:c>
      <x:c r="L171" s="362" t="str">
        <x:v>1000025188.mp4</x:v>
      </x:c>
    </x:row>
    <x:row r="172" ht="32" customHeight="1">
      <x:c r="A172" s="362" t="str">
        <x:v>K91</x:v>
      </x:c>
      <x:c r="B172" s="362" t="str">
        <x:v>A†RO/</x:v>
      </x:c>
      <x:c r="C172" s="362" t="str">
        <x:v>Archers</x:v>
      </x:c>
      <x:c r="D172" s="362" t="str">
        <x:v>Elite bowmen</x:v>
      </x:c>
      <x:c r="E172" s="362" t="str">
        <x:v>Archer</x:v>
      </x:c>
      <x:c r="F172" s="362" t="n">
        <x:v>49</x:v>
      </x:c>
      <x:c r="G172" s="362" t="str">
        <x:v>Frost Arrow</x:v>
      </x:c>
      <x:c r="H172" s="362" t="str">
        <x:v>Has a higher probability of activating ice damage</x:v>
      </x:c>
      <x:c r="I172" s="362" t="str">
        <x:v>Unlocked</x:v>
      </x:c>
      <x:c r="J172" s="362" t="str">
        <x:v>02:29.50</x:v>
      </x:c>
      <x:c r="K172" s="362" t="str">
        <x:v>Destroyed 20413 Guards and 22437 other troops; source frame 0150; Source frame: independent_metrics/frames1s/0150.png</x:v>
      </x:c>
      <x:c r="L172" s="362" t="str">
        <x:v>1000025188.mp4</x:v>
      </x:c>
    </x:row>
    <x:row r="173" ht="32" customHeight="1">
      <x:c r="A173" s="362" t="str">
        <x:v>K91</x:v>
      </x:c>
      <x:c r="B173" s="362" t="str">
        <x:v>A†RO/</x:v>
      </x:c>
      <x:c r="C173" s="362" t="str">
        <x:v>Archers</x:v>
      </x:c>
      <x:c r="D173" s="362" t="str">
        <x:v>Elite</x:v>
      </x:c>
      <x:c r="E173" s="362"/>
      <x:c r="F173" s="362" t="n">
        <x:v>34</x:v>
      </x:c>
      <x:c r="G173" s="362" t="str">
        <x:v>Focus</x:v>
      </x:c>
      <x:c r="H173" s="362" t="str">
        <x:v>Has a higher probability of providing focus damage</x:v>
      </x:c>
      <x:c r="I173" s="362" t="str">
        <x:v>Unlocked</x:v>
      </x:c>
      <x:c r="J173" s="362" t="str">
        <x:v>02:31.50</x:v>
      </x:c>
      <x:c r="K173" s="362" t="str">
        <x:v>Tooltip header displays only Elite; body identifies Elite crossbowmen; destroyed 1296 Guards and 1278 other troops; source frame 0152; Source frame: independent_metrics/frames1s/0152.png</x:v>
      </x:c>
      <x:c r="L173" s="362" t="str">
        <x:v>1000025188.mp4</x:v>
      </x:c>
    </x:row>
    <x:row r="174" ht="32" customHeight="1">
      <x:c r="A174" s="362" t="str">
        <x:v>K91</x:v>
      </x:c>
      <x:c r="B174" s="362" t="str">
        <x:v>Skrapz</x:v>
      </x:c>
      <x:c r="C174" s="362" t="str">
        <x:v>Guards</x:v>
      </x:c>
      <x:c r="D174" s="362" t="str">
        <x:v>Destroyers</x:v>
      </x:c>
      <x:c r="E174" s="362" t="str">
        <x:v>Guard</x:v>
      </x:c>
      <x:c r="F174" s="362" t="n">
        <x:v>40</x:v>
      </x:c>
      <x:c r="G174" s="362" t="str">
        <x:v>Parry</x:v>
      </x:c>
      <x:c r="H174" s="362" t="str">
        <x:v>Provides a parry effect and a certain probability to increase damage</x:v>
      </x:c>
      <x:c r="I174" s="362" t="str">
        <x:v>Unlocked</x:v>
      </x:c>
      <x:c r="J174" s="362" t="str">
        <x:v>02:38.50</x:v>
      </x:c>
      <x:c r="K174" s="362" t="str">
        <x:v>Destroyed 645 Guards and 646 other troops; source frame 0159; Source frame: independent_metrics/frames1s/0159.png</x:v>
      </x:c>
      <x:c r="L174" s="362" t="str">
        <x:v>1000025188.mp4</x:v>
      </x:c>
    </x:row>
    <x:row r="175" ht="32" customHeight="1">
      <x:c r="A175" s="362" t="str">
        <x:v>K91</x:v>
      </x:c>
      <x:c r="B175" s="362" t="str">
        <x:v>Skrapz</x:v>
      </x:c>
      <x:c r="C175" s="362" t="str">
        <x:v>Cavalry</x:v>
      </x:c>
      <x:c r="D175" s="362" t="str">
        <x:v>Eternal knights</x:v>
      </x:c>
      <x:c r="E175" s="362" t="str">
        <x:v>Heavy Cavalry</x:v>
      </x:c>
      <x:c r="F175" s="362" t="n">
        <x:v>50</x:v>
      </x:c>
      <x:c r="G175" s="362" t="str">
        <x:v>Thunder trample</x:v>
      </x:c>
      <x:c r="H175" s="362" t="str">
        <x:v>Has a certain probability of causing trampling damage</x:v>
      </x:c>
      <x:c r="I175" s="362" t="str">
        <x:v>Unlocked</x:v>
      </x:c>
      <x:c r="J175" s="362" t="str">
        <x:v>02:40.50</x:v>
      </x:c>
      <x:c r="K175" s="362" t="str">
        <x:v>Destroyed 12398 Guards and 23527 other troops; source frame 0161; Source frame: independent_metrics/frames1s/0161.png</x:v>
      </x:c>
      <x:c r="L175" s="362" t="str">
        <x:v>1000025188.mp4</x:v>
      </x:c>
    </x:row>
    <x:row r="176" ht="32" customHeight="1">
      <x:c r="A176" s="362" t="str">
        <x:v>K91</x:v>
      </x:c>
      <x:c r="B176" s="362" t="str">
        <x:v>Skrapz</x:v>
      </x:c>
      <x:c r="C176" s="362" t="str">
        <x:v>Archers</x:v>
      </x:c>
      <x:c r="D176" s="362" t="str">
        <x:v>Elite bowmen</x:v>
      </x:c>
      <x:c r="E176" s="362" t="str">
        <x:v>Archer</x:v>
      </x:c>
      <x:c r="F176" s="362" t="n">
        <x:v>45</x:v>
      </x:c>
      <x:c r="G176" s="362" t="str">
        <x:v>Frost Arrow</x:v>
      </x:c>
      <x:c r="H176" s="362" t="str">
        <x:v>Has a higher probability of activating ice damage</x:v>
      </x:c>
      <x:c r="I176" s="362" t="str">
        <x:v>Unlocked</x:v>
      </x:c>
      <x:c r="J176" s="362" t="str">
        <x:v>02:41.50</x:v>
      </x:c>
      <x:c r="K176" s="362" t="str">
        <x:v>Destroyed 14804 Guards and 24075 other troops; source frame 0162; Source frame: independent_metrics/frames1s/0162.png</x:v>
      </x:c>
      <x:c r="L176" s="362" t="str">
        <x:v>1000025188.mp4</x:v>
      </x:c>
    </x:row>
    <x:row r="177" ht="32" customHeight="1">
      <x:c r="A177" s="362" t="str">
        <x:v>K91</x:v>
      </x:c>
      <x:c r="B177" s="362" t="str">
        <x:v>Skrapz</x:v>
      </x:c>
      <x:c r="C177" s="362" t="str">
        <x:v>Siege</x:v>
      </x:c>
      <x:c r="D177" s="362" t="str">
        <x:v>Manglers</x:v>
      </x:c>
      <x:c r="E177" s="362" t="str">
        <x:v>Siege</x:v>
      </x:c>
      <x:c r="F177" s="362" t="n">
        <x:v>45</x:v>
      </x:c>
      <x:c r="G177" s="362" t="str">
        <x:v>Highly toxic</x:v>
      </x:c>
      <x:c r="H177" s="362" t="str">
        <x:v>Inflict continuous toxic damage</x:v>
      </x:c>
      <x:c r="I177" s="362" t="str">
        <x:v>Unlocked</x:v>
      </x:c>
      <x:c r="J177" s="362" t="str">
        <x:v>02:42.50</x:v>
      </x:c>
      <x:c r="K177" s="362" t="str">
        <x:v>Destroyed 6795 Guards and 15938 other troops; source frame 0163; Source frame: independent_metrics/frames1s/0163.png</x:v>
      </x:c>
      <x:c r="L177" s="362" t="str">
        <x:v>1000025188.mp4</x:v>
      </x:c>
    </x:row>
    <x:row r="178" ht="32" customHeight="1">
      <x:c r="A178" s="362" t="str">
        <x:v>K91</x:v>
      </x:c>
      <x:c r="B178" s="362" t="str">
        <x:v>Skrapz</x:v>
      </x:c>
      <x:c r="C178" s="362" t="str">
        <x:v>Cavalry</x:v>
      </x:c>
      <x:c r="D178" s="362" t="str">
        <x:v>Storm cavalry</x:v>
      </x:c>
      <x:c r="E178" s="362" t="str">
        <x:v>Horse archer</x:v>
      </x:c>
      <x:c r="F178" s="362" t="n">
        <x:v>43</x:v>
      </x:c>
      <x:c r="G178" s="362" t="str">
        <x:v>Mounted Archery</x:v>
      </x:c>
      <x:c r="H178" s="362" t="str">
        <x:v>Has a certain probability of causing fly-shooting damage</x:v>
      </x:c>
      <x:c r="I178" s="362" t="str">
        <x:v>Unlocked</x:v>
      </x:c>
      <x:c r="J178" s="362" t="str">
        <x:v>02:43.50</x:v>
      </x:c>
      <x:c r="K178" s="362" t="str">
        <x:v>Destroyed 12824 Guards and 24684 other troops; source frame 0164; Source frame: independent_metrics/frames1s/0164.png</x:v>
      </x:c>
      <x:c r="L178" s="362" t="str">
        <x:v>1000025188.mp4</x:v>
      </x:c>
    </x:row>
    <x:row r="179" ht="32" customHeight="1">
      <x:c r="A179" s="362" t="str">
        <x:v>K91</x:v>
      </x:c>
      <x:c r="B179" s="362" t="str">
        <x:v>JustBlaze</x:v>
      </x:c>
      <x:c r="C179" s="362" t="str">
        <x:v>Guards</x:v>
      </x:c>
      <x:c r="D179" s="362" t="str">
        <x:v>Destroyers</x:v>
      </x:c>
      <x:c r="E179" s="362" t="str">
        <x:v>Guard</x:v>
      </x:c>
      <x:c r="F179" s="362" t="n">
        <x:v>27</x:v>
      </x:c>
      <x:c r="G179" s="362" t="str">
        <x:v>Parry</x:v>
      </x:c>
      <x:c r="H179" s="362" t="str">
        <x:v>Provides a parry effect and a certain probability to increase damage</x:v>
      </x:c>
      <x:c r="I179" s="362" t="str">
        <x:v>Unlocked</x:v>
      </x:c>
      <x:c r="J179" s="362" t="str">
        <x:v>02:51.50</x:v>
      </x:c>
      <x:c r="K179" s="362" t="str">
        <x:v>Destroyed 557 Guards and 618 other troops; source frame 0172; Source frame: independent_metrics/frames1s/0172.png</x:v>
      </x:c>
      <x:c r="L179" s="362" t="str">
        <x:v>1000025188.mp4</x:v>
      </x:c>
    </x:row>
    <x:row r="180" ht="32" customHeight="1">
      <x:c r="A180" s="362" t="str">
        <x:v>K91</x:v>
      </x:c>
      <x:c r="B180" s="362" t="str">
        <x:v>JustBlaze</x:v>
      </x:c>
      <x:c r="C180" s="362" t="str">
        <x:v>Cavalry</x:v>
      </x:c>
      <x:c r="D180" s="362" t="str">
        <x:v>Eternal knights</x:v>
      </x:c>
      <x:c r="E180" s="362" t="str">
        <x:v>Heavy Cavalry</x:v>
      </x:c>
      <x:c r="F180" s="362" t="n">
        <x:v>50</x:v>
      </x:c>
      <x:c r="G180" s="362" t="str">
        <x:v>Thunder trample</x:v>
      </x:c>
      <x:c r="H180" s="362" t="str">
        <x:v>Has a certain probability of causing trampling damage</x:v>
      </x:c>
      <x:c r="I180" s="362" t="str">
        <x:v>Unlocked</x:v>
      </x:c>
      <x:c r="J180" s="362" t="str">
        <x:v>02:52.50</x:v>
      </x:c>
      <x:c r="K180" s="362" t="str">
        <x:v>Destroyed 8995 Guards and 15109 other troops; source frame 0173; Source frame: independent_metrics/frames1s/0173.png</x:v>
      </x:c>
      <x:c r="L180" s="362" t="str">
        <x:v>1000025188.mp4</x:v>
      </x:c>
    </x:row>
    <x:row r="181" ht="32" customHeight="1">
      <x:c r="A181" s="362" t="str">
        <x:v>K91</x:v>
      </x:c>
      <x:c r="B181" s="362" t="str">
        <x:v>JustBlaze</x:v>
      </x:c>
      <x:c r="C181" s="362" t="str">
        <x:v>Cavalry</x:v>
      </x:c>
      <x:c r="D181" s="362" t="str">
        <x:v>Storm cavalry</x:v>
      </x:c>
      <x:c r="E181" s="362" t="str">
        <x:v>Horse archer</x:v>
      </x:c>
      <x:c r="F181" s="362" t="n">
        <x:v>47</x:v>
      </x:c>
      <x:c r="G181" s="362" t="str">
        <x:v>Mounted Archery</x:v>
      </x:c>
      <x:c r="H181" s="362" t="str">
        <x:v>Has a certain probability of causing fly-shooting damage</x:v>
      </x:c>
      <x:c r="I181" s="362" t="str">
        <x:v>Unlocked</x:v>
      </x:c>
      <x:c r="J181" s="362" t="str">
        <x:v>02:53.50</x:v>
      </x:c>
      <x:c r="K181" s="362" t="str">
        <x:v>Destroyed 11545 Guards and 21643 other troops; source frame 0174; Source frame: independent_metrics/frames1s/0174.png</x:v>
      </x:c>
      <x:c r="L181" s="362" t="str">
        <x:v>1000025188.mp4</x:v>
      </x:c>
    </x:row>
    <x:row r="182" ht="32" customHeight="1">
      <x:c r="A182" s="362" t="str">
        <x:v>K91</x:v>
      </x:c>
      <x:c r="B182" s="362" t="str">
        <x:v>KaladinTheHerald</x:v>
      </x:c>
      <x:c r="C182" s="362" t="str">
        <x:v>Guards</x:v>
      </x:c>
      <x:c r="D182" s="362" t="str">
        <x:v>Destroyers</x:v>
      </x:c>
      <x:c r="E182" s="362" t="str">
        <x:v>Guard</x:v>
      </x:c>
      <x:c r="F182" s="362" t="n">
        <x:v>36</x:v>
      </x:c>
      <x:c r="G182" s="362" t="str">
        <x:v>Parry</x:v>
      </x:c>
      <x:c r="H182" s="362" t="str">
        <x:v>Provides a parry effect and a certain probability to increase damage</x:v>
      </x:c>
      <x:c r="I182" s="362" t="str">
        <x:v>Unlocked</x:v>
      </x:c>
      <x:c r="J182" s="362" t="str">
        <x:v>02:59.80</x:v>
      </x:c>
      <x:c r="K182" s="362" t="str">
        <x:v>Destroyed 593 Guards and 512 other troops; independently checked at 5 fps; Source frame: independent_metrics/spec_p17_5fps/010.png</x:v>
      </x:c>
      <x:c r="L182" s="362" t="str">
        <x:v>1000025188.mp4</x:v>
      </x:c>
    </x:row>
    <x:row r="183" ht="32" customHeight="1">
      <x:c r="A183" s="362" t="str">
        <x:v>K91</x:v>
      </x:c>
      <x:c r="B183" s="362" t="str">
        <x:v>KaladinTheHerald</x:v>
      </x:c>
      <x:c r="C183" s="362" t="str">
        <x:v>Cavalry</x:v>
      </x:c>
      <x:c r="D183" s="362" t="str">
        <x:v>Eternal knights</x:v>
      </x:c>
      <x:c r="E183" s="362" t="str">
        <x:v>Heavy Cavalry</x:v>
      </x:c>
      <x:c r="F183" s="362" t="n">
        <x:v>50</x:v>
      </x:c>
      <x:c r="G183" s="362" t="str">
        <x:v>Thunder trample</x:v>
      </x:c>
      <x:c r="H183" s="362" t="str">
        <x:v>Has a certain probability of causing trampling damage</x:v>
      </x:c>
      <x:c r="I183" s="362" t="str">
        <x:v>Unlocked</x:v>
      </x:c>
      <x:c r="J183" s="362" t="str">
        <x:v>03:01.00</x:v>
      </x:c>
      <x:c r="K183" s="362" t="str">
        <x:v>Destroyed 10093 Guards and 14166 other troops; independently checked at 5 fps; Source frame: independent_metrics/spec_p17_5fps/016.png</x:v>
      </x:c>
      <x:c r="L183" s="362" t="str">
        <x:v>1000025188.mp4</x:v>
      </x:c>
    </x:row>
    <x:row r="184" ht="32" customHeight="1">
      <x:c r="A184" s="362" t="str">
        <x:v>K91</x:v>
      </x:c>
      <x:c r="B184" s="362" t="str">
        <x:v>KaladinTheHerald</x:v>
      </x:c>
      <x:c r="C184" s="362" t="str">
        <x:v>Cavalry</x:v>
      </x:c>
      <x:c r="D184" s="362" t="str">
        <x:v>Storm cavalry</x:v>
      </x:c>
      <x:c r="E184" s="362" t="str">
        <x:v>Horse archer</x:v>
      </x:c>
      <x:c r="F184" s="362" t="n">
        <x:v>46</x:v>
      </x:c>
      <x:c r="G184" s="362" t="str">
        <x:v>Mounted Archery</x:v>
      </x:c>
      <x:c r="H184" s="362" t="str">
        <x:v>Has a certain probability of causing fly-shooting damage</x:v>
      </x:c>
      <x:c r="I184" s="362" t="str">
        <x:v>Unlocked</x:v>
      </x:c>
      <x:c r="J184" s="362" t="str">
        <x:v>03:02.00</x:v>
      </x:c>
      <x:c r="K184" s="362" t="str">
        <x:v>Destroyed 10437 Guards and 8417 other troops; independently checked at 5 fps; Source frame: independent_metrics/spec_p17_5fps/021.png</x:v>
      </x:c>
      <x:c r="L184" s="362" t="str">
        <x:v>1000025188.mp4</x:v>
      </x:c>
    </x:row>
    <x:row r="185" ht="32" customHeight="1">
      <x:c r="A185" s="362" t="str">
        <x:v>K91</x:v>
      </x:c>
      <x:c r="B185" s="362" t="str">
        <x:v>Crash</x:v>
      </x:c>
      <x:c r="C185" s="362" t="str">
        <x:v>Guards</x:v>
      </x:c>
      <x:c r="D185" s="362" t="str">
        <x:v>Destroyers</x:v>
      </x:c>
      <x:c r="E185" s="362" t="str">
        <x:v>Guard</x:v>
      </x:c>
      <x:c r="F185" s="362" t="n">
        <x:v>31</x:v>
      </x:c>
      <x:c r="G185" s="362" t="str">
        <x:v>Parry</x:v>
      </x:c>
      <x:c r="H185" s="362" t="str">
        <x:v>Provides a parry effect and a certain probability to increase damage</x:v>
      </x:c>
      <x:c r="I185" s="362" t="str">
        <x:v>Unlocked</x:v>
      </x:c>
      <x:c r="J185" s="362" t="str">
        <x:v>03:10.20</x:v>
      </x:c>
      <x:c r="K185" s="362" t="str">
        <x:v>Destroyed 580 Guards and 719 other troops; independently checked at 5 fps; Source frame: independent_metrics/spec_p18_5fps/002.png</x:v>
      </x:c>
      <x:c r="L185" s="362" t="str">
        <x:v>1000025188.mp4</x:v>
      </x:c>
    </x:row>
    <x:row r="186" ht="32" customHeight="1">
      <x:c r="A186" s="362" t="str">
        <x:v>K91</x:v>
      </x:c>
      <x:c r="B186" s="362" t="str">
        <x:v>Crash</x:v>
      </x:c>
      <x:c r="C186" s="362" t="str">
        <x:v>Cavalry</x:v>
      </x:c>
      <x:c r="D186" s="362" t="str">
        <x:v>Eternal knights</x:v>
      </x:c>
      <x:c r="E186" s="362" t="str">
        <x:v>Heavy Cavalry</x:v>
      </x:c>
      <x:c r="F186" s="362" t="n">
        <x:v>50</x:v>
      </x:c>
      <x:c r="G186" s="362" t="str">
        <x:v>Thunder trample</x:v>
      </x:c>
      <x:c r="H186" s="362" t="str">
        <x:v>Has a certain probability of causing trampling damage</x:v>
      </x:c>
      <x:c r="I186" s="362" t="str">
        <x:v>Unlocked</x:v>
      </x:c>
      <x:c r="J186" s="362" t="str">
        <x:v>03:11.40</x:v>
      </x:c>
      <x:c r="K186" s="362" t="str">
        <x:v>Destroyed 6374 Guards and 16378 other troops; independently checked at 5 fps; Source frame: independent_metrics/spec_p18_5fps/008.png</x:v>
      </x:c>
      <x:c r="L186" s="362" t="str">
        <x:v>1000025188.mp4</x:v>
      </x:c>
    </x:row>
    <x:row r="187" ht="32" customHeight="1">
      <x:c r="A187" s="362" t="str">
        <x:v>K91</x:v>
      </x:c>
      <x:c r="B187" s="362" t="str">
        <x:v>Crash</x:v>
      </x:c>
      <x:c r="C187" s="362" t="str">
        <x:v>Cavalry</x:v>
      </x:c>
      <x:c r="D187" s="362" t="str">
        <x:v>Storm cavalry</x:v>
      </x:c>
      <x:c r="E187" s="362" t="str">
        <x:v>Horse archer</x:v>
      </x:c>
      <x:c r="F187" s="362" t="n">
        <x:v>37</x:v>
      </x:c>
      <x:c r="G187" s="362" t="str">
        <x:v>Mounted Archery</x:v>
      </x:c>
      <x:c r="H187" s="362" t="str">
        <x:v>Has a certain probability of causing fly-shooting damage</x:v>
      </x:c>
      <x:c r="I187" s="362" t="str">
        <x:v>Unlocked</x:v>
      </x:c>
      <x:c r="J187" s="362" t="str">
        <x:v>03:12.80</x:v>
      </x:c>
      <x:c r="K187" s="362" t="str">
        <x:v>Destroyed 5809 Guards and 7263 other troops; independently checked at 5 fps; Source frame: independent_metrics/spec_p18_5fps/015.png</x:v>
      </x:c>
      <x:c r="L187" s="362" t="str">
        <x:v>1000025188.mp4</x:v>
      </x:c>
    </x:row>
    <x:row r="188" ht="32" customHeight="1">
      <x:c r="A188" s="362" t="str">
        <x:v>K91</x:v>
      </x:c>
      <x:c r="B188" s="362" t="str">
        <x:v>WindRunner</x:v>
      </x:c>
      <x:c r="C188" s="362" t="str">
        <x:v>Guards</x:v>
      </x:c>
      <x:c r="D188" s="362" t="str">
        <x:v>Destroyers</x:v>
      </x:c>
      <x:c r="E188" s="362" t="str">
        <x:v>Guard</x:v>
      </x:c>
      <x:c r="F188" s="362" t="n">
        <x:v>35</x:v>
      </x:c>
      <x:c r="G188" s="362" t="str">
        <x:v>Parry</x:v>
      </x:c>
      <x:c r="H188" s="362" t="str">
        <x:v>Provides a parry effect and a certain probability to increase damage</x:v>
      </x:c>
      <x:c r="I188" s="362" t="str">
        <x:v>Unlocked</x:v>
      </x:c>
      <x:c r="J188" s="362" t="str">
        <x:v>03:19.50</x:v>
      </x:c>
      <x:c r="K188" s="362" t="str">
        <x:v>Destroyed 597 Guards and 518 other troops; source frame 0200; Source frame: independent_metrics/frames1s/0200.png</x:v>
      </x:c>
      <x:c r="L188" s="362" t="str">
        <x:v>1000025188.mp4</x:v>
      </x:c>
    </x:row>
    <x:row r="189" ht="32" customHeight="1">
      <x:c r="A189" s="362" t="str">
        <x:v>K91</x:v>
      </x:c>
      <x:c r="B189" s="362" t="str">
        <x:v>WindRunner</x:v>
      </x:c>
      <x:c r="C189" s="362" t="str">
        <x:v>Archers</x:v>
      </x:c>
      <x:c r="D189" s="362" t="str">
        <x:v>Elite bowmen</x:v>
      </x:c>
      <x:c r="E189" s="362" t="str">
        <x:v>Archer</x:v>
      </x:c>
      <x:c r="F189" s="362" t="n">
        <x:v>50</x:v>
      </x:c>
      <x:c r="G189" s="362" t="str">
        <x:v>Frost Arrow</x:v>
      </x:c>
      <x:c r="H189" s="362" t="str">
        <x:v>Has a higher probability of activating ice damage</x:v>
      </x:c>
      <x:c r="I189" s="362" t="str">
        <x:v>Unlocked</x:v>
      </x:c>
      <x:c r="J189" s="362" t="str">
        <x:v>03:20.50</x:v>
      </x:c>
      <x:c r="K189" s="362" t="str">
        <x:v>Destroyed 23911 Guards and 13025 other troops; source frame 0201; Source frame: independent_metrics/frames1s/0201.png</x:v>
      </x:c>
      <x:c r="L189" s="362" t="str">
        <x:v>1000025188.mp4</x:v>
      </x:c>
    </x:row>
    <x:row r="190" ht="32" customHeight="1">
      <x:c r="A190" s="362" t="str">
        <x:v>K91</x:v>
      </x:c>
      <x:c r="B190" s="362" t="str">
        <x:v>WindRunner</x:v>
      </x:c>
      <x:c r="C190" s="362" t="str">
        <x:v>Archers</x:v>
      </x:c>
      <x:c r="D190" s="362" t="str">
        <x:v>Elite</x:v>
      </x:c>
      <x:c r="E190" s="362"/>
      <x:c r="F190" s="362" t="n">
        <x:v>48</x:v>
      </x:c>
      <x:c r="G190" s="362" t="str">
        <x:v>Focus</x:v>
      </x:c>
      <x:c r="H190" s="362" t="str">
        <x:v>Has a higher probability of providing focus damage</x:v>
      </x:c>
      <x:c r="I190" s="362" t="str">
        <x:v>Unlocked</x:v>
      </x:c>
      <x:c r="J190" s="362" t="str">
        <x:v>03:21.50</x:v>
      </x:c>
      <x:c r="K190" s="362" t="str">
        <x:v>Tooltip header displays only Elite; body identifies Elite crossbowmen; destroyed 3407 Guards and 3064 other troops; source frame 0202; Source frame: independent_metrics/frames1s/0202.png</x:v>
      </x:c>
      <x:c r="L190" s="362" t="str">
        <x:v>1000025188.mp4</x:v>
      </x:c>
    </x:row>
    <x:row r="191" ht="32" customHeight="1">
      <x:c r="A191" s="362" t="str">
        <x:v>K91</x:v>
      </x:c>
      <x:c r="B191" s="362" t="str">
        <x:v>•Scorpio•NM85</x:v>
      </x:c>
      <x:c r="C191" s="362" t="str">
        <x:v>Guards</x:v>
      </x:c>
      <x:c r="D191" s="362" t="str">
        <x:v>Destroyers</x:v>
      </x:c>
      <x:c r="E191" s="362" t="str">
        <x:v>Guard</x:v>
      </x:c>
      <x:c r="F191" s="362" t="n">
        <x:v>30</x:v>
      </x:c>
      <x:c r="G191" s="362" t="str">
        <x:v>Parry</x:v>
      </x:c>
      <x:c r="H191" s="362" t="str">
        <x:v>Provides a parry effect and a certain probability to increase damage</x:v>
      </x:c>
      <x:c r="I191" s="362" t="str">
        <x:v>Unlocked</x:v>
      </x:c>
      <x:c r="J191" s="362" t="str">
        <x:v>03:29.50</x:v>
      </x:c>
      <x:c r="K191" s="362" t="str">
        <x:v>Destroyed 593 Guards and 903 other troops; source frame 0210; Source frame: independent_metrics/frames1s/0210.png</x:v>
      </x:c>
      <x:c r="L191" s="362" t="str">
        <x:v>1000025188.mp4</x:v>
      </x:c>
    </x:row>
    <x:row r="192" ht="32" customHeight="1">
      <x:c r="A192" s="362" t="str">
        <x:v>K91</x:v>
      </x:c>
      <x:c r="B192" s="362" t="str">
        <x:v>•Scorpio•NM85</x:v>
      </x:c>
      <x:c r="C192" s="362" t="str">
        <x:v>Archers</x:v>
      </x:c>
      <x:c r="D192" s="362" t="str">
        <x:v>Elite bowmen</x:v>
      </x:c>
      <x:c r="E192" s="362" t="str">
        <x:v>Archer</x:v>
      </x:c>
      <x:c r="F192" s="362" t="n">
        <x:v>47</x:v>
      </x:c>
      <x:c r="G192" s="362" t="str">
        <x:v>Frost Arrow</x:v>
      </x:c>
      <x:c r="H192" s="362" t="str">
        <x:v>Has a higher probability of activating ice damage</x:v>
      </x:c>
      <x:c r="I192" s="362" t="str">
        <x:v>Unlocked</x:v>
      </x:c>
      <x:c r="J192" s="362" t="str">
        <x:v>03:30.50</x:v>
      </x:c>
      <x:c r="K192" s="362" t="str">
        <x:v>Destroyed 14666 Guards and 16136 other troops; source frame 0211; Source frame: independent_metrics/frames1s/0211.png</x:v>
      </x:c>
      <x:c r="L192" s="362" t="str">
        <x:v>1000025188.mp4</x:v>
      </x:c>
    </x:row>
    <x:row r="193" ht="32" customHeight="1">
      <x:c r="A193" s="362" t="str">
        <x:v>K91</x:v>
      </x:c>
      <x:c r="B193" s="362" t="str">
        <x:v>•Scorpio•NM85</x:v>
      </x:c>
      <x:c r="C193" s="362" t="str">
        <x:v>Archers</x:v>
      </x:c>
      <x:c r="D193" s="362" t="str">
        <x:v>Elite</x:v>
      </x:c>
      <x:c r="E193" s="362"/>
      <x:c r="F193" s="362" t="n">
        <x:v>29</x:v>
      </x:c>
      <x:c r="G193" s="362" t="str">
        <x:v>Focus</x:v>
      </x:c>
      <x:c r="H193" s="362" t="str">
        <x:v>Has a higher probability of providing focus damage</x:v>
      </x:c>
      <x:c r="I193" s="362" t="str">
        <x:v>Unlocked</x:v>
      </x:c>
      <x:c r="J193" s="362" t="str">
        <x:v>03:31.50</x:v>
      </x:c>
      <x:c r="K193" s="362" t="str">
        <x:v>Tooltip header displays only Elite; body identifies Elite crossbowmen; destroyed 556 Guards; no other-troops result line is displayed; source frame 0212; Source frame: independent_metrics/frames1s/0212.png</x:v>
      </x:c>
      <x:c r="L193" s="362" t="str">
        <x:v>1000025188.mp4</x:v>
      </x:c>
    </x:row>
    <x:row r="194" ht="32" customHeight="1">
      <x:c r="A194" s="362" t="str">
        <x:v>K91</x:v>
      </x:c>
      <x:c r="B194" s="362" t="str">
        <x:v>•BigBoss•NM85</x:v>
      </x:c>
      <x:c r="C194" s="362" t="str">
        <x:v>Guards</x:v>
      </x:c>
      <x:c r="D194" s="362" t="str">
        <x:v>Destroyers</x:v>
      </x:c>
      <x:c r="E194" s="362" t="str">
        <x:v>Guard</x:v>
      </x:c>
      <x:c r="F194" s="362" t="n">
        <x:v>30</x:v>
      </x:c>
      <x:c r="G194" s="362" t="str">
        <x:v>Parry</x:v>
      </x:c>
      <x:c r="H194" s="362" t="str">
        <x:v>Provides a parry effect and a certain probability to increase damage</x:v>
      </x:c>
      <x:c r="I194" s="362" t="str">
        <x:v>Unlocked</x:v>
      </x:c>
      <x:c r="J194" s="362" t="str">
        <x:v>03:37.50</x:v>
      </x:c>
      <x:c r="K194" s="362" t="str">
        <x:v>Destroyed 543 Guards and 554 other troops; source frame 0218; Source frame: independent_metrics/frames1s/0218.png</x:v>
      </x:c>
      <x:c r="L194" s="362" t="str">
        <x:v>1000025188.mp4</x:v>
      </x:c>
    </x:row>
    <x:row r="195" ht="32" customHeight="1">
      <x:c r="A195" s="362" t="str">
        <x:v>K91</x:v>
      </x:c>
      <x:c r="B195" s="362" t="str">
        <x:v>•BigBoss•NM85</x:v>
      </x:c>
      <x:c r="C195" s="362" t="str">
        <x:v>Archers</x:v>
      </x:c>
      <x:c r="D195" s="362" t="str">
        <x:v>Elite bowmen</x:v>
      </x:c>
      <x:c r="E195" s="362" t="str">
        <x:v>Archer</x:v>
      </x:c>
      <x:c r="F195" s="362" t="n">
        <x:v>50</x:v>
      </x:c>
      <x:c r="G195" s="362" t="str">
        <x:v>Frost Arrow</x:v>
      </x:c>
      <x:c r="H195" s="362" t="str">
        <x:v>Has a higher probability of activating ice damage</x:v>
      </x:c>
      <x:c r="I195" s="362" t="str">
        <x:v>Unlocked</x:v>
      </x:c>
      <x:c r="J195" s="362" t="str">
        <x:v>03:38.50</x:v>
      </x:c>
      <x:c r="K195" s="362" t="str">
        <x:v>Destroyed 14382 Guards and 10024 other troops; source frame 0219; Source frame: independent_metrics/frames1s/0219.png</x:v>
      </x:c>
      <x:c r="L195" s="362" t="str">
        <x:v>1000025188.mp4</x:v>
      </x:c>
    </x:row>
    <x:row r="196" ht="32" customHeight="1">
      <x:c r="A196" s="362" t="str">
        <x:v>K91</x:v>
      </x:c>
      <x:c r="B196" s="362" t="str">
        <x:v>•BigBoss•NM85</x:v>
      </x:c>
      <x:c r="C196" s="362" t="str">
        <x:v>Archers</x:v>
      </x:c>
      <x:c r="D196" s="362" t="str">
        <x:v>Elite</x:v>
      </x:c>
      <x:c r="E196" s="362"/>
      <x:c r="F196" s="362" t="n">
        <x:v>33</x:v>
      </x:c>
      <x:c r="G196" s="362" t="str">
        <x:v>Focus</x:v>
      </x:c>
      <x:c r="H196" s="362" t="str">
        <x:v>Has a higher probability of providing focus damage</x:v>
      </x:c>
      <x:c r="I196" s="362" t="str">
        <x:v>Unlocked</x:v>
      </x:c>
      <x:c r="J196" s="362" t="str">
        <x:v>03:39.50</x:v>
      </x:c>
      <x:c r="K196" s="362" t="str">
        <x:v>Tooltip header displays only Elite; body identifies Elite crossbowmen; destroyed 561 Guards; no other-troops result line is displayed; source frame 0220; Source frame: independent_metrics/frames1s/0220.png</x:v>
      </x:c>
      <x:c r="L196" s="362" t="str">
        <x:v>1000025188.mp4</x:v>
      </x:c>
    </x:row>
    <x:row r="197" ht="32" customHeight="1">
      <x:c r="A197" s="362" t="str">
        <x:v>K116</x:v>
      </x:c>
      <x:c r="B197" s="362" t="str">
        <x:v>Jesse</x:v>
      </x:c>
      <x:c r="C197" s="362" t="str">
        <x:v>Guards</x:v>
      </x:c>
      <x:c r="D197" s="362" t="str">
        <x:v>Destroyers</x:v>
      </x:c>
      <x:c r="E197" s="362" t="str">
        <x:v>Guard</x:v>
      </x:c>
      <x:c r="F197" s="362" t="n">
        <x:v>50</x:v>
      </x:c>
      <x:c r="G197" s="362" t="str">
        <x:v>Parry</x:v>
      </x:c>
      <x:c r="H197" s="362" t="str">
        <x:v>Provides a parry effect and a certain probability to increase damage</x:v>
      </x:c>
      <x:c r="I197" s="362" t="str">
        <x:v>Unlocked</x:v>
      </x:c>
      <x:c r="J197" s="362" t="str">
        <x:v>00:02.000</x:v>
      </x:c>
      <x:c r="K197" s="362" t="str">
        <x:v>Source frame: frames4/f_00009.jpg</x:v>
      </x:c>
      <x:c r="L197" s="362" t="str">
        <x:v>1000025189.mp4</x:v>
      </x:c>
    </x:row>
    <x:row r="198" ht="32" customHeight="1">
      <x:c r="A198" s="362" t="str">
        <x:v>K116</x:v>
      </x:c>
      <x:c r="B198" s="362" t="str">
        <x:v>Jesse</x:v>
      </x:c>
      <x:c r="C198" s="362" t="str">
        <x:v>Cavalry</x:v>
      </x:c>
      <x:c r="D198" s="362" t="str">
        <x:v>Eternal knights</x:v>
      </x:c>
      <x:c r="E198" s="362" t="str">
        <x:v>Heavy Cavalry</x:v>
      </x:c>
      <x:c r="F198" s="362" t="n">
        <x:v>50</x:v>
      </x:c>
      <x:c r="G198" s="362" t="str">
        <x:v>Thunder trample</x:v>
      </x:c>
      <x:c r="H198" s="362" t="str">
        <x:v>Has a certain probability of causing trampling damage</x:v>
      </x:c>
      <x:c r="I198" s="362" t="str">
        <x:v>Unlocked</x:v>
      </x:c>
      <x:c r="J198" s="362" t="str">
        <x:v>00:03.500</x:v>
      </x:c>
      <x:c r="K198" s="362" t="str">
        <x:v>Source frame: frames4/f_00015.jpg</x:v>
      </x:c>
      <x:c r="L198" s="362" t="str">
        <x:v>1000025189.mp4</x:v>
      </x:c>
    </x:row>
    <x:row r="199" ht="32" customHeight="1">
      <x:c r="A199" s="362" t="str">
        <x:v>K116</x:v>
      </x:c>
      <x:c r="B199" s="362" t="str">
        <x:v>Jesse</x:v>
      </x:c>
      <x:c r="C199" s="362" t="str">
        <x:v>Archers</x:v>
      </x:c>
      <x:c r="D199" s="362" t="str">
        <x:v>Elite bowmen</x:v>
      </x:c>
      <x:c r="E199" s="362" t="str">
        <x:v>Archer</x:v>
      </x:c>
      <x:c r="F199" s="362" t="n">
        <x:v>43</x:v>
      </x:c>
      <x:c r="G199" s="362" t="str">
        <x:v>Frost Arrow</x:v>
      </x:c>
      <x:c r="H199" s="362" t="str">
        <x:v>Has a higher probability of activating ice damage</x:v>
      </x:c>
      <x:c r="I199" s="362" t="str">
        <x:v>Unlocked</x:v>
      </x:c>
      <x:c r="J199" s="362" t="str">
        <x:v>00:04.750</x:v>
      </x:c>
      <x:c r="K199" s="362" t="str">
        <x:v>Source frame: frames4/f_00020.jpg</x:v>
      </x:c>
      <x:c r="L199" s="362" t="str">
        <x:v>1000025189.mp4</x:v>
      </x:c>
    </x:row>
    <x:row r="200" ht="32" customHeight="1">
      <x:c r="A200" s="362" t="str">
        <x:v>K116</x:v>
      </x:c>
      <x:c r="B200" s="362" t="str">
        <x:v>Jesse</x:v>
      </x:c>
      <x:c r="C200" s="362" t="str">
        <x:v>Siege</x:v>
      </x:c>
      <x:c r="D200" s="362" t="str">
        <x:v>Manglers</x:v>
      </x:c>
      <x:c r="E200" s="362" t="str">
        <x:v>Siege</x:v>
      </x:c>
      <x:c r="F200" s="362" t="n">
        <x:v>40</x:v>
      </x:c>
      <x:c r="G200" s="362" t="str">
        <x:v>Highly toxic</x:v>
      </x:c>
      <x:c r="H200" s="362" t="str">
        <x:v>Inflict continuous toxic damage</x:v>
      </x:c>
      <x:c r="I200" s="362" t="str">
        <x:v>Unlocked</x:v>
      </x:c>
      <x:c r="J200" s="362" t="str">
        <x:v>00:06.000</x:v>
      </x:c>
      <x:c r="K200" s="362" t="str">
        <x:v>Source frame: frames4/f_00025.jpg</x:v>
      </x:c>
      <x:c r="L200" s="362" t="str">
        <x:v>1000025189.mp4</x:v>
      </x:c>
    </x:row>
    <x:row r="201" ht="32" customHeight="1">
      <x:c r="A201" s="362" t="str">
        <x:v>K116</x:v>
      </x:c>
      <x:c r="B201" s="362" t="str">
        <x:v>Jesse</x:v>
      </x:c>
      <x:c r="C201" s="362" t="str">
        <x:v>Cavalry</x:v>
      </x:c>
      <x:c r="D201" s="362" t="str">
        <x:v>Storm cavalry</x:v>
      </x:c>
      <x:c r="E201" s="362" t="str">
        <x:v>Horse archer</x:v>
      </x:c>
      <x:c r="F201" s="362" t="n">
        <x:v>46</x:v>
      </x:c>
      <x:c r="G201" s="362" t="str">
        <x:v>Mounted Archery</x:v>
      </x:c>
      <x:c r="H201" s="362" t="str">
        <x:v>Has a certain probability of causing fly-shooting damage</x:v>
      </x:c>
      <x:c r="I201" s="362" t="str">
        <x:v>Unlocked</x:v>
      </x:c>
      <x:c r="J201" s="362" t="str">
        <x:v>00:07.250</x:v>
      </x:c>
      <x:c r="K201" s="362" t="str">
        <x:v>Source frame: frames4/f_00030.jpg</x:v>
      </x:c>
      <x:c r="L201" s="362" t="str">
        <x:v>1000025189.mp4</x:v>
      </x:c>
    </x:row>
    <x:row r="202" ht="32" customHeight="1">
      <x:c r="A202" s="362" t="str">
        <x:v>K116</x:v>
      </x:c>
      <x:c r="B202" s="362" t="str">
        <x:v>Jesse</x:v>
      </x:c>
      <x:c r="C202" s="362" t="str">
        <x:v>Siege</x:v>
      </x:c>
      <x:c r="D202" s="362" t="str">
        <x:v>Guardian siege</x:v>
      </x:c>
      <x:c r="E202" s="362" t="str">
        <x:v>Rams</x:v>
      </x:c>
      <x:c r="F202" s="362" t="n">
        <x:v>24</x:v>
      </x:c>
      <x:c r="G202" s="362" t="str">
        <x:v>Dragonhide</x:v>
      </x:c>
      <x:c r="H202" s="362" t="str">
        <x:v>Increase damage reduction and increase damage</x:v>
      </x:c>
      <x:c r="I202" s="362" t="str">
        <x:v>Unlocked</x:v>
      </x:c>
      <x:c r="J202" s="362" t="str">
        <x:v>00:08.750</x:v>
      </x:c>
      <x:c r="K202" s="362" t="str">
        <x:v>Source frame: frames4/f_00036.jpg</x:v>
      </x:c>
      <x:c r="L202" s="362" t="str">
        <x:v>1000025189.mp4</x:v>
      </x:c>
    </x:row>
    <x:row r="203" ht="32" customHeight="1">
      <x:c r="A203" s="362" t="str">
        <x:v>K116</x:v>
      </x:c>
      <x:c r="B203" s="362" t="str">
        <x:v>逍遥大官人</x:v>
      </x:c>
      <x:c r="C203" s="362" t="str">
        <x:v>Guards</x:v>
      </x:c>
      <x:c r="D203" s="362" t="str">
        <x:v>Destroyers</x:v>
      </x:c>
      <x:c r="E203" s="362" t="str">
        <x:v>Guard</x:v>
      </x:c>
      <x:c r="F203" s="362" t="n">
        <x:v>45</x:v>
      </x:c>
      <x:c r="G203" s="362" t="str">
        <x:v>Parry</x:v>
      </x:c>
      <x:c r="H203" s="362" t="str">
        <x:v>Provides a parry effect and a certain probability to increase damage</x:v>
      </x:c>
      <x:c r="I203" s="362" t="str">
        <x:v>Unlocked</x:v>
      </x:c>
      <x:c r="J203" s="362" t="str">
        <x:v>00:16.750</x:v>
      </x:c>
      <x:c r="K203" s="362" t="str">
        <x:v>Source frame: frames4/f_00068.jpg</x:v>
      </x:c>
      <x:c r="L203" s="362" t="str">
        <x:v>1000025189.mp4</x:v>
      </x:c>
    </x:row>
    <x:row r="204" ht="32" customHeight="1">
      <x:c r="A204" s="362" t="str">
        <x:v>K116</x:v>
      </x:c>
      <x:c r="B204" s="362" t="str">
        <x:v>逍遥大官人</x:v>
      </x:c>
      <x:c r="C204" s="362" t="str">
        <x:v>Cavalry</x:v>
      </x:c>
      <x:c r="D204" s="362" t="str">
        <x:v>Eternal knights</x:v>
      </x:c>
      <x:c r="E204" s="362" t="str">
        <x:v>Heavy Cavalry</x:v>
      </x:c>
      <x:c r="F204" s="362" t="n">
        <x:v>29</x:v>
      </x:c>
      <x:c r="G204" s="362" t="str">
        <x:v>Thunder trample</x:v>
      </x:c>
      <x:c r="H204" s="362" t="str">
        <x:v>Has a certain probability of causing trampling damage</x:v>
      </x:c>
      <x:c r="I204" s="362" t="str">
        <x:v>Unlocked</x:v>
      </x:c>
      <x:c r="J204" s="362" t="str">
        <x:v>00:18.250</x:v>
      </x:c>
      <x:c r="K204" s="362" t="str">
        <x:v>Source frame: frames4/f_00074.jpg</x:v>
      </x:c>
      <x:c r="L204" s="362" t="str">
        <x:v>1000025189.mp4</x:v>
      </x:c>
    </x:row>
    <x:row r="205" ht="32" customHeight="1">
      <x:c r="A205" s="362" t="str">
        <x:v>K116</x:v>
      </x:c>
      <x:c r="B205" s="362" t="str">
        <x:v>逍遥大官人</x:v>
      </x:c>
      <x:c r="C205" s="362" t="str">
        <x:v>Cavalry</x:v>
      </x:c>
      <x:c r="D205" s="362" t="str">
        <x:v>Storm cavalry</x:v>
      </x:c>
      <x:c r="E205" s="362" t="str">
        <x:v>Horse archer</x:v>
      </x:c>
      <x:c r="F205" s="362" t="n">
        <x:v>20</x:v>
      </x:c>
      <x:c r="G205" s="362" t="str">
        <x:v>Mounted Archery</x:v>
      </x:c>
      <x:c r="H205" s="362" t="str">
        <x:v>Has a certain probability of causing fly-shooting damage</x:v>
      </x:c>
      <x:c r="I205" s="362" t="str">
        <x:v>Unlocked</x:v>
      </x:c>
      <x:c r="J205" s="362" t="str">
        <x:v>00:19.500</x:v>
      </x:c>
      <x:c r="K205" s="362" t="str">
        <x:v>Source frame: frames4/f_00079.jpg</x:v>
      </x:c>
      <x:c r="L205" s="362" t="str">
        <x:v>1000025189.mp4</x:v>
      </x:c>
    </x:row>
    <x:row r="206" ht="32" customHeight="1">
      <x:c r="A206" s="362" t="str">
        <x:v>K116</x:v>
      </x:c>
      <x:c r="B206" s="362" t="str">
        <x:v>苦瓜大王</x:v>
      </x:c>
      <x:c r="C206" s="362" t="str">
        <x:v>Guards</x:v>
      </x:c>
      <x:c r="D206" s="362" t="str">
        <x:v>Destroyers</x:v>
      </x:c>
      <x:c r="E206" s="362" t="str">
        <x:v>Guard</x:v>
      </x:c>
      <x:c r="F206" s="362" t="n">
        <x:v>50</x:v>
      </x:c>
      <x:c r="G206" s="362" t="str">
        <x:v>Parry</x:v>
      </x:c>
      <x:c r="H206" s="362" t="str">
        <x:v>Provides a parry effect and a certain probability to increase damage</x:v>
      </x:c>
      <x:c r="I206" s="362" t="str">
        <x:v>Unlocked</x:v>
      </x:c>
      <x:c r="J206" s="362" t="str">
        <x:v>00:26.750</x:v>
      </x:c>
      <x:c r="K206" s="362" t="str">
        <x:v>Source frame: frames4/f_00108.jpg</x:v>
      </x:c>
      <x:c r="L206" s="362" t="str">
        <x:v>1000025189.mp4</x:v>
      </x:c>
    </x:row>
    <x:row r="207" ht="32" customHeight="1">
      <x:c r="A207" s="362" t="str">
        <x:v>K116</x:v>
      </x:c>
      <x:c r="B207" s="362" t="str">
        <x:v>苦瓜大王</x:v>
      </x:c>
      <x:c r="C207" s="362" t="str">
        <x:v>Cavalry</x:v>
      </x:c>
      <x:c r="D207" s="362" t="str">
        <x:v>Eternal knights</x:v>
      </x:c>
      <x:c r="E207" s="362" t="str">
        <x:v>Heavy Cavalry</x:v>
      </x:c>
      <x:c r="F207" s="362" t="n">
        <x:v>42</x:v>
      </x:c>
      <x:c r="G207" s="362" t="str">
        <x:v>Thunder trample</x:v>
      </x:c>
      <x:c r="H207" s="362" t="str">
        <x:v>Has a certain probability of causing trampling damage</x:v>
      </x:c>
      <x:c r="I207" s="362" t="str">
        <x:v>Unlocked</x:v>
      </x:c>
      <x:c r="J207" s="362" t="str">
        <x:v>00:28.000</x:v>
      </x:c>
      <x:c r="K207" s="362" t="str">
        <x:v>Source frame: frames4/f_00113.jpg</x:v>
      </x:c>
      <x:c r="L207" s="362" t="str">
        <x:v>1000025189.mp4</x:v>
      </x:c>
    </x:row>
    <x:row r="208" ht="32" customHeight="1">
      <x:c r="A208" s="362" t="str">
        <x:v>K116</x:v>
      </x:c>
      <x:c r="B208" s="362" t="str">
        <x:v>苦瓜大王</x:v>
      </x:c>
      <x:c r="C208" s="362" t="str">
        <x:v>Archers</x:v>
      </x:c>
      <x:c r="D208" s="362" t="str">
        <x:v>Elite bowmen</x:v>
      </x:c>
      <x:c r="E208" s="362" t="str">
        <x:v>Archer</x:v>
      </x:c>
      <x:c r="F208" s="362" t="n">
        <x:v>41</x:v>
      </x:c>
      <x:c r="G208" s="362" t="str">
        <x:v>Frost Arrow</x:v>
      </x:c>
      <x:c r="H208" s="362" t="str">
        <x:v>Has a higher probability of activating ice damage</x:v>
      </x:c>
      <x:c r="I208" s="362" t="str">
        <x:v>Unlocked</x:v>
      </x:c>
      <x:c r="J208" s="362" t="str">
        <x:v>00:29.250</x:v>
      </x:c>
      <x:c r="K208" s="362" t="str">
        <x:v>Source frame: frames4/f_00118.jpg</x:v>
      </x:c>
      <x:c r="L208" s="362" t="str">
        <x:v>1000025189.mp4</x:v>
      </x:c>
    </x:row>
    <x:row r="209" ht="32" customHeight="1">
      <x:c r="A209" s="362" t="str">
        <x:v>K116</x:v>
      </x:c>
      <x:c r="B209" s="362" t="str">
        <x:v>汰需尚青</x:v>
      </x:c>
      <x:c r="C209" s="362" t="str">
        <x:v>Cavalry</x:v>
      </x:c>
      <x:c r="D209" s="362" t="str">
        <x:v>Eternal knights</x:v>
      </x:c>
      <x:c r="E209" s="362" t="str">
        <x:v>Heavy Cavalry</x:v>
      </x:c>
      <x:c r="F209" s="362" t="n">
        <x:v>50</x:v>
      </x:c>
      <x:c r="G209" s="362" t="str">
        <x:v>Thunder trample</x:v>
      </x:c>
      <x:c r="H209" s="362" t="str">
        <x:v>Has a certain probability of causing trampling damage</x:v>
      </x:c>
      <x:c r="I209" s="362" t="str">
        <x:v>Unlocked</x:v>
      </x:c>
      <x:c r="J209" s="362" t="str">
        <x:v>01:13.000</x:v>
      </x:c>
      <x:c r="K209" s="362" t="str">
        <x:v>Player name visually confirmed as 汰需尚青; first character is 汰.; Source frame: frames4/f_00293.jpg</x:v>
      </x:c>
      <x:c r="L209" s="362" t="str">
        <x:v>1000025189.mp4</x:v>
      </x:c>
    </x:row>
    <x:row r="210" ht="32" customHeight="1">
      <x:c r="A210" s="362" t="str">
        <x:v>K116</x:v>
      </x:c>
      <x:c r="B210" s="362" t="str">
        <x:v>Yuke</x:v>
      </x:c>
      <x:c r="C210" s="362" t="str">
        <x:v>Guards</x:v>
      </x:c>
      <x:c r="D210" s="362" t="str">
        <x:v>Destroyers</x:v>
      </x:c>
      <x:c r="E210" s="362" t="str">
        <x:v>Guard</x:v>
      </x:c>
      <x:c r="F210" s="362" t="n">
        <x:v>28</x:v>
      </x:c>
      <x:c r="G210" s="362" t="str">
        <x:v>Parry</x:v>
      </x:c>
      <x:c r="H210" s="362" t="str">
        <x:v>Provides a parry effect and a certain probability to increase damage</x:v>
      </x:c>
      <x:c r="I210" s="362" t="str">
        <x:v>Unlocked</x:v>
      </x:c>
      <x:c r="J210" s="362" t="str">
        <x:v>01:34.000</x:v>
      </x:c>
      <x:c r="K210" s="362" t="str">
        <x:v>Source frame: frames4/f_00377.jpg</x:v>
      </x:c>
      <x:c r="L210" s="362" t="str">
        <x:v>1000025189.mp4</x:v>
      </x:c>
    </x:row>
    <x:row r="211" ht="32" customHeight="1">
      <x:c r="A211" s="362" t="str">
        <x:v>K116</x:v>
      </x:c>
      <x:c r="B211" s="362" t="str">
        <x:v>不可理喻</x:v>
      </x:c>
      <x:c r="C211" s="362" t="str">
        <x:v>Guards</x:v>
      </x:c>
      <x:c r="D211" s="362" t="str">
        <x:v>Destroyers</x:v>
      </x:c>
      <x:c r="E211" s="362" t="str">
        <x:v>Guard</x:v>
      </x:c>
      <x:c r="F211" s="362" t="n">
        <x:v>46</x:v>
      </x:c>
      <x:c r="G211" s="362" t="str">
        <x:v>Parry</x:v>
      </x:c>
      <x:c r="H211" s="362" t="str">
        <x:v>Provides a parry effect and a certain probability to increase damage</x:v>
      </x:c>
      <x:c r="I211" s="362" t="str">
        <x:v>Unlocked</x:v>
      </x:c>
      <x:c r="J211" s="362" t="str">
        <x:v>01:42.750</x:v>
      </x:c>
      <x:c r="K211" s="362" t="str">
        <x:v>Source frame: frames4/f_00412.jpg</x:v>
      </x:c>
      <x:c r="L211" s="362" t="str">
        <x:v>1000025189.mp4</x:v>
      </x:c>
    </x:row>
    <x:row r="212" ht="32" customHeight="1">
      <x:c r="A212" s="362" t="str">
        <x:v>K116</x:v>
      </x:c>
      <x:c r="B212" s="362" t="str">
        <x:v>不可理喻</x:v>
      </x:c>
      <x:c r="C212" s="362" t="str">
        <x:v>Cavalry</x:v>
      </x:c>
      <x:c r="D212" s="362" t="str">
        <x:v>Eternal knights</x:v>
      </x:c>
      <x:c r="E212" s="362" t="str">
        <x:v>Heavy Cavalry</x:v>
      </x:c>
      <x:c r="F212" s="362" t="n">
        <x:v>46</x:v>
      </x:c>
      <x:c r="G212" s="362" t="str">
        <x:v>Thunder trample</x:v>
      </x:c>
      <x:c r="H212" s="362" t="str">
        <x:v>Has a certain probability of causing trampling damage</x:v>
      </x:c>
      <x:c r="I212" s="362" t="str">
        <x:v>Unlocked</x:v>
      </x:c>
      <x:c r="J212" s="362" t="str">
        <x:v>01:43.750</x:v>
      </x:c>
      <x:c r="K212" s="362" t="str">
        <x:v>Source frame: frames4/f_00416.jpg</x:v>
      </x:c>
      <x:c r="L212" s="362" t="str">
        <x:v>1000025189.mp4</x:v>
      </x:c>
    </x:row>
    <x:row r="213" ht="32" customHeight="1">
      <x:c r="A213" s="362" t="str">
        <x:v>K116</x:v>
      </x:c>
      <x:c r="B213" s="362" t="str">
        <x:v>不可理喻</x:v>
      </x:c>
      <x:c r="C213" s="362" t="str">
        <x:v>Archers</x:v>
      </x:c>
      <x:c r="D213" s="362" t="str">
        <x:v>Elite bowmen</x:v>
      </x:c>
      <x:c r="E213" s="362" t="str">
        <x:v>Archer</x:v>
      </x:c>
      <x:c r="F213" s="362" t="n">
        <x:v>42</x:v>
      </x:c>
      <x:c r="G213" s="362" t="str">
        <x:v>Frost Arrow</x:v>
      </x:c>
      <x:c r="H213" s="362" t="str">
        <x:v>Has a higher probability of activating ice damage</x:v>
      </x:c>
      <x:c r="I213" s="362" t="str">
        <x:v>Unlocked</x:v>
      </x:c>
      <x:c r="J213" s="362" t="str">
        <x:v>01:44.750</x:v>
      </x:c>
      <x:c r="K213" s="362" t="str">
        <x:v>Source frame: frames4/f_00420.jpg</x:v>
      </x:c>
      <x:c r="L213" s="362" t="str">
        <x:v>1000025189.mp4</x:v>
      </x:c>
    </x:row>
    <x:row r="214" ht="32" customHeight="1">
      <x:c r="A214" s="362" t="str">
        <x:v>K116</x:v>
      </x:c>
      <x:c r="B214" s="362" t="str">
        <x:v>不可理喻</x:v>
      </x:c>
      <x:c r="C214" s="362" t="str">
        <x:v>Siege</x:v>
      </x:c>
      <x:c r="D214" s="362" t="str">
        <x:v>Manglers</x:v>
      </x:c>
      <x:c r="E214" s="362" t="str">
        <x:v>Siege</x:v>
      </x:c>
      <x:c r="F214" s="362" t="n">
        <x:v>40</x:v>
      </x:c>
      <x:c r="G214" s="362" t="str">
        <x:v>Highly toxic</x:v>
      </x:c>
      <x:c r="H214" s="362" t="str">
        <x:v>Inflict continuous toxic damage</x:v>
      </x:c>
      <x:c r="I214" s="362" t="str">
        <x:v>Unlocked</x:v>
      </x:c>
      <x:c r="J214" s="362" t="str">
        <x:v>01:45.750</x:v>
      </x:c>
      <x:c r="K214" s="362" t="str">
        <x:v>Source frame: frames4/f_00424.jpg</x:v>
      </x:c>
      <x:c r="L214" s="362" t="str">
        <x:v>1000025189.mp4</x:v>
      </x:c>
    </x:row>
    <x:row r="215" ht="32" customHeight="1">
      <x:c r="A215" s="362" t="str">
        <x:v>K116</x:v>
      </x:c>
      <x:c r="B215" s="362" t="str">
        <x:v>不可理喻</x:v>
      </x:c>
      <x:c r="C215" s="362" t="str">
        <x:v>Cavalry</x:v>
      </x:c>
      <x:c r="D215" s="362" t="str">
        <x:v>Storm cavalry</x:v>
      </x:c>
      <x:c r="E215" s="362" t="str">
        <x:v>Horse archer</x:v>
      </x:c>
      <x:c r="F215" s="362" t="n">
        <x:v>43</x:v>
      </x:c>
      <x:c r="G215" s="362" t="str">
        <x:v>Mounted Archery</x:v>
      </x:c>
      <x:c r="H215" s="362" t="str">
        <x:v>Has a certain probability of causing fly-shooting damage</x:v>
      </x:c>
      <x:c r="I215" s="362" t="str">
        <x:v>Unlocked</x:v>
      </x:c>
      <x:c r="J215" s="362" t="str">
        <x:v>01:46.750</x:v>
      </x:c>
      <x:c r="K215" s="362" t="str">
        <x:v>Source frame: frames4/f_00428.jpg</x:v>
      </x:c>
      <x:c r="L215" s="362" t="str">
        <x:v>1000025189.mp4</x:v>
      </x:c>
    </x:row>
    <x:row r="216" ht="32" customHeight="1">
      <x:c r="A216" s="362" t="str">
        <x:v>K116</x:v>
      </x:c>
      <x:c r="B216" s="362" t="str">
        <x:v>懒洋洋爱看腿</x:v>
      </x:c>
      <x:c r="C216" s="362" t="str">
        <x:v>Guards</x:v>
      </x:c>
      <x:c r="D216" s="362" t="str">
        <x:v>Destroyers</x:v>
      </x:c>
      <x:c r="E216" s="362" t="str">
        <x:v>Guard</x:v>
      </x:c>
      <x:c r="F216" s="362" t="n">
        <x:v>45</x:v>
      </x:c>
      <x:c r="G216" s="362" t="str">
        <x:v>Parry</x:v>
      </x:c>
      <x:c r="H216" s="362" t="str">
        <x:v>Provides a parry effect and a certain probability to increase damage</x:v>
      </x:c>
      <x:c r="I216" s="362" t="str">
        <x:v>Unlocked</x:v>
      </x:c>
      <x:c r="J216" s="362" t="str">
        <x:v>01:54.500</x:v>
      </x:c>
      <x:c r="K216" s="362" t="str">
        <x:v>Source frame: frames4/f_00459.jpg</x:v>
      </x:c>
      <x:c r="L216" s="362" t="str">
        <x:v>1000025189.mp4</x:v>
      </x:c>
    </x:row>
    <x:row r="217" ht="32" customHeight="1">
      <x:c r="A217" s="362" t="str">
        <x:v>K116</x:v>
      </x:c>
      <x:c r="B217" s="362" t="str">
        <x:v>懒洋洋爱看腿</x:v>
      </x:c>
      <x:c r="C217" s="362" t="str">
        <x:v>Cavalry</x:v>
      </x:c>
      <x:c r="D217" s="362" t="str">
        <x:v>Eternal knights</x:v>
      </x:c>
      <x:c r="E217" s="362" t="str">
        <x:v>Heavy Cavalry</x:v>
      </x:c>
      <x:c r="F217" s="362" t="n">
        <x:v>40</x:v>
      </x:c>
      <x:c r="G217" s="362" t="str">
        <x:v>Thunder trample</x:v>
      </x:c>
      <x:c r="H217" s="362" t="str">
        <x:v>Has a certain probability of causing trampling damage</x:v>
      </x:c>
      <x:c r="I217" s="362" t="str">
        <x:v>Unlocked</x:v>
      </x:c>
      <x:c r="J217" s="362" t="str">
        <x:v>01:55.500</x:v>
      </x:c>
      <x:c r="K217" s="362" t="str">
        <x:v>Source frame: frames4/f_00463.jpg</x:v>
      </x:c>
      <x:c r="L217" s="362" t="str">
        <x:v>1000025189.mp4</x:v>
      </x:c>
    </x:row>
    <x:row r="218" ht="32" customHeight="1">
      <x:c r="A218" s="362" t="str">
        <x:v>K116</x:v>
      </x:c>
      <x:c r="B218" s="362" t="str">
        <x:v>懒洋洋爱看腿</x:v>
      </x:c>
      <x:c r="C218" s="362" t="str">
        <x:v>Archers</x:v>
      </x:c>
      <x:c r="D218" s="362" t="str">
        <x:v>Elite bowmen</x:v>
      </x:c>
      <x:c r="E218" s="362" t="str">
        <x:v>Archer</x:v>
      </x:c>
      <x:c r="F218" s="362" t="n">
        <x:v>40</x:v>
      </x:c>
      <x:c r="G218" s="362" t="str">
        <x:v>Frost Arrow</x:v>
      </x:c>
      <x:c r="H218" s="362" t="str">
        <x:v>Has a higher probability of activating ice damage</x:v>
      </x:c>
      <x:c r="I218" s="362" t="str">
        <x:v>Unlocked</x:v>
      </x:c>
      <x:c r="J218" s="362" t="str">
        <x:v>01:56.500</x:v>
      </x:c>
      <x:c r="K218" s="362" t="str">
        <x:v>Source frame: frames4/f_00467.jpg</x:v>
      </x:c>
      <x:c r="L218" s="362" t="str">
        <x:v>1000025189.mp4</x:v>
      </x:c>
    </x:row>
    <x:row r="219" ht="32" customHeight="1">
      <x:c r="A219" s="362" t="str">
        <x:v>K116</x:v>
      </x:c>
      <x:c r="B219" s="362" t="str">
        <x:v>懒洋洋爱看腿</x:v>
      </x:c>
      <x:c r="C219" s="362" t="str">
        <x:v>Siege</x:v>
      </x:c>
      <x:c r="D219" s="362" t="str">
        <x:v>Manglers</x:v>
      </x:c>
      <x:c r="E219" s="362" t="str">
        <x:v>Siege</x:v>
      </x:c>
      <x:c r="F219" s="362" t="n">
        <x:v>40</x:v>
      </x:c>
      <x:c r="G219" s="362" t="str">
        <x:v>Highly toxic</x:v>
      </x:c>
      <x:c r="H219" s="362" t="str">
        <x:v>Inflict continuous toxic damage</x:v>
      </x:c>
      <x:c r="I219" s="362" t="str">
        <x:v>Unlocked</x:v>
      </x:c>
      <x:c r="J219" s="362" t="str">
        <x:v>01:59.000</x:v>
      </x:c>
      <x:c r="K219" s="362" t="str">
        <x:v>Source frame: frames4/f_00477.jpg</x:v>
      </x:c>
      <x:c r="L219" s="362" t="str">
        <x:v>1000025189.mp4</x:v>
      </x:c>
    </x:row>
    <x:row r="220" ht="32" customHeight="1">
      <x:c r="A220" s="362" t="str">
        <x:v>K116</x:v>
      </x:c>
      <x:c r="B220" s="362" t="str">
        <x:v>懒洋洋爱看腿</x:v>
      </x:c>
      <x:c r="C220" s="362" t="str">
        <x:v>Cavalry</x:v>
      </x:c>
      <x:c r="D220" s="362" t="str">
        <x:v>Storm cavalry</x:v>
      </x:c>
      <x:c r="E220" s="362" t="str">
        <x:v>Horse archer</x:v>
      </x:c>
      <x:c r="F220" s="362" t="n">
        <x:v>40</x:v>
      </x:c>
      <x:c r="G220" s="362" t="str">
        <x:v>Mounted Archery</x:v>
      </x:c>
      <x:c r="H220" s="362" t="str">
        <x:v>Has a certain probability of causing fly-shooting damage</x:v>
      </x:c>
      <x:c r="I220" s="362" t="str">
        <x:v>Unlocked</x:v>
      </x:c>
      <x:c r="J220" s="362" t="str">
        <x:v>01:59.750</x:v>
      </x:c>
      <x:c r="K220" s="362" t="str">
        <x:v>Source frame: frames4/f_00480.jpg</x:v>
      </x:c>
      <x:c r="L220" s="362" t="str">
        <x:v>1000025189.mp4</x:v>
      </x:c>
    </x:row>
    <x:row r="221" ht="32" customHeight="1">
      <x:c r="A221" s="362" t="str">
        <x:v>K116</x:v>
      </x:c>
      <x:c r="B221" s="362" t="str">
        <x:v>蜜蜜°</x:v>
      </x:c>
      <x:c r="C221" s="362" t="str">
        <x:v>Guards</x:v>
      </x:c>
      <x:c r="D221" s="362" t="str">
        <x:v>Destroyers</x:v>
      </x:c>
      <x:c r="E221" s="362" t="str">
        <x:v>Guard</x:v>
      </x:c>
      <x:c r="F221" s="362" t="n">
        <x:v>50</x:v>
      </x:c>
      <x:c r="G221" s="362" t="str">
        <x:v>Parry</x:v>
      </x:c>
      <x:c r="H221" s="362" t="str">
        <x:v>Provides a parry effect and a certain probability to increase damage</x:v>
      </x:c>
      <x:c r="I221" s="362" t="str">
        <x:v>Unlocked</x:v>
      </x:c>
      <x:c r="J221" s="362" t="str">
        <x:v>02:05.250</x:v>
      </x:c>
      <x:c r="K221" s="362" t="str">
        <x:v>Source frame: frames4/f_00502.jpg</x:v>
      </x:c>
      <x:c r="L221" s="362" t="str">
        <x:v>1000025189.mp4</x:v>
      </x:c>
    </x:row>
    <x:row r="222" ht="32" customHeight="1">
      <x:c r="A222" s="362" t="str">
        <x:v>K116</x:v>
      </x:c>
      <x:c r="B222" s="362" t="str">
        <x:v>蜜蜜°</x:v>
      </x:c>
      <x:c r="C222" s="362" t="str">
        <x:v>Cavalry</x:v>
      </x:c>
      <x:c r="D222" s="362" t="str">
        <x:v>Eternal knights</x:v>
      </x:c>
      <x:c r="E222" s="362" t="str">
        <x:v>Heavy Cavalry</x:v>
      </x:c>
      <x:c r="F222" s="362" t="n">
        <x:v>41</x:v>
      </x:c>
      <x:c r="G222" s="362" t="str">
        <x:v>Thunder trample</x:v>
      </x:c>
      <x:c r="H222" s="362" t="str">
        <x:v>Has a certain probability of causing trampling damage</x:v>
      </x:c>
      <x:c r="I222" s="362" t="str">
        <x:v>Unlocked</x:v>
      </x:c>
      <x:c r="J222" s="362" t="str">
        <x:v>02:06.250</x:v>
      </x:c>
      <x:c r="K222" s="362" t="str">
        <x:v>Source frame: frames4/f_00506.jpg</x:v>
      </x:c>
      <x:c r="L222" s="362" t="str">
        <x:v>1000025189.mp4</x:v>
      </x:c>
    </x:row>
    <x:row r="223" ht="32" customHeight="1">
      <x:c r="A223" s="362" t="str">
        <x:v>K116</x:v>
      </x:c>
      <x:c r="B223" s="362" t="str">
        <x:v>蜜蜜°</x:v>
      </x:c>
      <x:c r="C223" s="362" t="str">
        <x:v>Archers</x:v>
      </x:c>
      <x:c r="D223" s="362" t="str">
        <x:v>Elite bowmen</x:v>
      </x:c>
      <x:c r="E223" s="362" t="str">
        <x:v>Archer</x:v>
      </x:c>
      <x:c r="F223" s="362" t="n">
        <x:v>40</x:v>
      </x:c>
      <x:c r="G223" s="362" t="str">
        <x:v>Frost Arrow</x:v>
      </x:c>
      <x:c r="H223" s="362" t="str">
        <x:v>Has a higher probability of activating ice damage</x:v>
      </x:c>
      <x:c r="I223" s="362" t="str">
        <x:v>Unlocked</x:v>
      </x:c>
      <x:c r="J223" s="362" t="str">
        <x:v>02:07.250</x:v>
      </x:c>
      <x:c r="K223" s="362" t="str">
        <x:v>Source frame: frames4/f_00510.jpg</x:v>
      </x:c>
      <x:c r="L223" s="362" t="str">
        <x:v>1000025189.mp4</x:v>
      </x:c>
    </x:row>
    <x:row r="224" ht="32" customHeight="1">
      <x:c r="A224" s="362" t="str">
        <x:v>K116</x:v>
      </x:c>
      <x:c r="B224" s="362" t="str">
        <x:v>蜜蜜°</x:v>
      </x:c>
      <x:c r="C224" s="362" t="str">
        <x:v>Cavalry</x:v>
      </x:c>
      <x:c r="D224" s="362" t="str">
        <x:v>Storm cavalry</x:v>
      </x:c>
      <x:c r="E224" s="362" t="str">
        <x:v>Horse archer</x:v>
      </x:c>
      <x:c r="F224" s="362" t="n">
        <x:v>41</x:v>
      </x:c>
      <x:c r="G224" s="362" t="str">
        <x:v>Mounted Archery</x:v>
      </x:c>
      <x:c r="H224" s="362" t="str">
        <x:v>Has a certain probability of causing fly-shooting damage</x:v>
      </x:c>
      <x:c r="I224" s="362" t="str">
        <x:v>Unlocked</x:v>
      </x:c>
      <x:c r="J224" s="362" t="str">
        <x:v>02:08.250</x:v>
      </x:c>
      <x:c r="K224" s="362" t="str">
        <x:v>Source frame: frames4/f_00514.jpg</x:v>
      </x:c>
      <x:c r="L224" s="362" t="str">
        <x:v>1000025189.mp4</x:v>
      </x:c>
    </x:row>
    <x:row r="225" ht="32" customHeight="1">
      <x:c r="A225" s="362" t="str">
        <x:v>K116</x:v>
      </x:c>
      <x:c r="B225" s="362" t="str">
        <x:v>红烧狮子头</x:v>
      </x:c>
      <x:c r="C225" s="362" t="str">
        <x:v>Guards</x:v>
      </x:c>
      <x:c r="D225" s="362" t="str">
        <x:v>Destroyers</x:v>
      </x:c>
      <x:c r="E225" s="362" t="str">
        <x:v>Guard</x:v>
      </x:c>
      <x:c r="F225" s="362" t="n">
        <x:v>50</x:v>
      </x:c>
      <x:c r="G225" s="362" t="str">
        <x:v>Parry</x:v>
      </x:c>
      <x:c r="H225" s="362" t="str">
        <x:v>Provides a parry effect and a certain probability to increase damage</x:v>
      </x:c>
      <x:c r="I225" s="362" t="str">
        <x:v>Unlocked</x:v>
      </x:c>
      <x:c r="J225" s="362" t="str">
        <x:v>02:14.000</x:v>
      </x:c>
      <x:c r="K225" s="362" t="str">
        <x:v>Source frame: frames4/f_00537.jpg</x:v>
      </x:c>
      <x:c r="L225" s="362" t="str">
        <x:v>1000025189.mp4</x:v>
      </x:c>
    </x:row>
    <x:row r="226" ht="32" customHeight="1">
      <x:c r="A226" s="362" t="str">
        <x:v>K116</x:v>
      </x:c>
      <x:c r="B226" s="362" t="str">
        <x:v>红烧狮子头</x:v>
      </x:c>
      <x:c r="C226" s="362" t="str">
        <x:v>Cavalry</x:v>
      </x:c>
      <x:c r="D226" s="362" t="str">
        <x:v>Eternal knights</x:v>
      </x:c>
      <x:c r="E226" s="362" t="str">
        <x:v>Heavy Cavalry</x:v>
      </x:c>
      <x:c r="F226" s="362" t="n">
        <x:v>43</x:v>
      </x:c>
      <x:c r="G226" s="362" t="str">
        <x:v>Thunder trample</x:v>
      </x:c>
      <x:c r="H226" s="362" t="str">
        <x:v>Has a certain probability of causing trampling damage</x:v>
      </x:c>
      <x:c r="I226" s="362" t="str">
        <x:v>Unlocked</x:v>
      </x:c>
      <x:c r="J226" s="362" t="str">
        <x:v>02:15.000</x:v>
      </x:c>
      <x:c r="K226" s="362" t="str">
        <x:v>Source frame: frames4/f_00541.jpg</x:v>
      </x:c>
      <x:c r="L226" s="362" t="str">
        <x:v>1000025189.mp4</x:v>
      </x:c>
    </x:row>
    <x:row r="227" ht="32" customHeight="1">
      <x:c r="A227" s="362" t="str">
        <x:v>K116</x:v>
      </x:c>
      <x:c r="B227" s="362" t="str">
        <x:v>红烧狮子头</x:v>
      </x:c>
      <x:c r="C227" s="362" t="str">
        <x:v>Archers</x:v>
      </x:c>
      <x:c r="D227" s="362" t="str">
        <x:v>Elite bowmen</x:v>
      </x:c>
      <x:c r="E227" s="362" t="str">
        <x:v>Archer</x:v>
      </x:c>
      <x:c r="F227" s="362" t="n">
        <x:v>43</x:v>
      </x:c>
      <x:c r="G227" s="362" t="str">
        <x:v>Frost Arrow</x:v>
      </x:c>
      <x:c r="H227" s="362" t="str">
        <x:v>Has a higher probability of activating ice damage</x:v>
      </x:c>
      <x:c r="I227" s="362" t="str">
        <x:v>Unlocked</x:v>
      </x:c>
      <x:c r="J227" s="362" t="str">
        <x:v>02:15.750</x:v>
      </x:c>
      <x:c r="K227" s="362" t="str">
        <x:v>Source frame: frames4/f_00544.jpg</x:v>
      </x:c>
      <x:c r="L227" s="362" t="str">
        <x:v>1000025189.mp4</x:v>
      </x:c>
    </x:row>
    <x:row r="228" ht="32" customHeight="1">
      <x:c r="A228" s="362" t="str">
        <x:v>K116</x:v>
      </x:c>
      <x:c r="B228" s="362" t="str">
        <x:v>红烧狮子头</x:v>
      </x:c>
      <x:c r="C228" s="362" t="str">
        <x:v>Cavalry</x:v>
      </x:c>
      <x:c r="D228" s="362" t="str">
        <x:v>Storm cavalry</x:v>
      </x:c>
      <x:c r="E228" s="362" t="str">
        <x:v>Horse archer</x:v>
      </x:c>
      <x:c r="F228" s="362" t="n">
        <x:v>31</x:v>
      </x:c>
      <x:c r="G228" s="362" t="str">
        <x:v>Mounted Archery</x:v>
      </x:c>
      <x:c r="H228" s="362" t="str">
        <x:v>Has a certain probability of causing fly-shooting damage</x:v>
      </x:c>
      <x:c r="I228" s="362" t="str">
        <x:v>Unlocked</x:v>
      </x:c>
      <x:c r="J228" s="362" t="str">
        <x:v>02:16.500</x:v>
      </x:c>
      <x:c r="K228" s="362" t="str">
        <x:v>Source frame: frames4/f_00547.jpg</x:v>
      </x:c>
      <x:c r="L228" s="362" t="str">
        <x:v>1000025189.mp4</x:v>
      </x:c>
    </x:row>
    <x:row r="229" ht="32" customHeight="1">
      <x:c r="A229" s="362" t="str">
        <x:v>K116</x:v>
      </x:c>
      <x:c r="B229" s="362" t="str">
        <x:v>那时像风一样</x:v>
      </x:c>
      <x:c r="C229" s="362" t="str">
        <x:v>Guards</x:v>
      </x:c>
      <x:c r="D229" s="362" t="str">
        <x:v>Destroyers</x:v>
      </x:c>
      <x:c r="E229" s="362" t="str">
        <x:v>Guard</x:v>
      </x:c>
      <x:c r="F229" s="362" t="n">
        <x:v>45</x:v>
      </x:c>
      <x:c r="G229" s="362" t="str">
        <x:v>Parry</x:v>
      </x:c>
      <x:c r="H229" s="362" t="str">
        <x:v>Provides a parry effect and a certain probability to increase damage</x:v>
      </x:c>
      <x:c r="I229" s="362" t="str">
        <x:v>Unlocked</x:v>
      </x:c>
      <x:c r="J229" s="362" t="str">
        <x:v>02:21.750</x:v>
      </x:c>
      <x:c r="K229" s="362" t="str">
        <x:v>Canonical player spelling supplied by lead extractor.; Source frame: frames4/f_00568.jpg</x:v>
      </x:c>
      <x:c r="L229" s="362" t="str">
        <x:v>1000025189.mp4</x:v>
      </x:c>
    </x:row>
    <x:row r="230" ht="32" customHeight="1">
      <x:c r="A230" s="362" t="str">
        <x:v>K116</x:v>
      </x:c>
      <x:c r="B230" s="362" t="str">
        <x:v>那时像风一样</x:v>
      </x:c>
      <x:c r="C230" s="362" t="str">
        <x:v>Cavalry</x:v>
      </x:c>
      <x:c r="D230" s="362" t="str">
        <x:v>Eternal knights</x:v>
      </x:c>
      <x:c r="E230" s="362" t="str">
        <x:v>Heavy Cavalry</x:v>
      </x:c>
      <x:c r="F230" s="362" t="n">
        <x:v>43</x:v>
      </x:c>
      <x:c r="G230" s="362" t="str">
        <x:v>Thunder trample</x:v>
      </x:c>
      <x:c r="H230" s="362" t="str">
        <x:v>Has a certain probability of causing trampling damage</x:v>
      </x:c>
      <x:c r="I230" s="362" t="str">
        <x:v>Unlocked</x:v>
      </x:c>
      <x:c r="J230" s="362" t="str">
        <x:v>02:22.750</x:v>
      </x:c>
      <x:c r="K230" s="362" t="str">
        <x:v>Canonical player spelling supplied by lead extractor.; Source frame: frames4/f_00572.jpg</x:v>
      </x:c>
      <x:c r="L230" s="362" t="str">
        <x:v>1000025189.mp4</x:v>
      </x:c>
    </x:row>
    <x:row r="231" ht="32" customHeight="1">
      <x:c r="A231" s="362" t="str">
        <x:v>K116</x:v>
      </x:c>
      <x:c r="B231" s="362" t="str">
        <x:v>那时像风一样</x:v>
      </x:c>
      <x:c r="C231" s="362" t="str">
        <x:v>Archers</x:v>
      </x:c>
      <x:c r="D231" s="362" t="str">
        <x:v>Elite bowmen</x:v>
      </x:c>
      <x:c r="E231" s="362" t="str">
        <x:v>Archer</x:v>
      </x:c>
      <x:c r="F231" s="362" t="n">
        <x:v>40</x:v>
      </x:c>
      <x:c r="G231" s="362" t="str">
        <x:v>Frost Arrow</x:v>
      </x:c>
      <x:c r="H231" s="362" t="str">
        <x:v>Has a higher probability of activating ice damage</x:v>
      </x:c>
      <x:c r="I231" s="362" t="str">
        <x:v>Unlocked</x:v>
      </x:c>
      <x:c r="J231" s="362" t="str">
        <x:v>02:23.750</x:v>
      </x:c>
      <x:c r="K231" s="362" t="str">
        <x:v>Canonical player spelling supplied by lead extractor.; Source frame: frames4/f_00576.jpg</x:v>
      </x:c>
      <x:c r="L231" s="362" t="str">
        <x:v>1000025189.mp4</x:v>
      </x:c>
    </x:row>
    <x:row r="232" ht="32" customHeight="1">
      <x:c r="A232" s="362" t="str">
        <x:v>K116</x:v>
      </x:c>
      <x:c r="B232" s="362" t="str">
        <x:v>那时像风一样</x:v>
      </x:c>
      <x:c r="C232" s="362" t="str">
        <x:v>Cavalry</x:v>
      </x:c>
      <x:c r="D232" s="362" t="str">
        <x:v>Storm cavalry</x:v>
      </x:c>
      <x:c r="E232" s="362" t="str">
        <x:v>Horse archer</x:v>
      </x:c>
      <x:c r="F232" s="362" t="n">
        <x:v>43</x:v>
      </x:c>
      <x:c r="G232" s="362" t="str">
        <x:v>Mounted Archery</x:v>
      </x:c>
      <x:c r="H232" s="362" t="str">
        <x:v>Has a certain probability of causing fly-shooting damage</x:v>
      </x:c>
      <x:c r="I232" s="362" t="str">
        <x:v>Unlocked</x:v>
      </x:c>
      <x:c r="J232" s="362" t="str">
        <x:v>02:24.250</x:v>
      </x:c>
      <x:c r="K232" s="362" t="str">
        <x:v>Canonical player spelling supplied by lead extractor.; Source frame: frames4/f_00578.jpg</x:v>
      </x:c>
      <x:c r="L232" s="362" t="str">
        <x:v>1000025189.mp4</x:v>
      </x:c>
    </x:row>
    <x:row r="233" ht="32" customHeight="1">
      <x:c r="A233" s="362" t="str">
        <x:v>K116</x:v>
      </x:c>
      <x:c r="B233" s="362" t="str">
        <x:v>芙蕾魚</x:v>
      </x:c>
      <x:c r="C233" s="362" t="str">
        <x:v>Guards</x:v>
      </x:c>
      <x:c r="D233" s="362" t="str">
        <x:v>Destroyers</x:v>
      </x:c>
      <x:c r="E233" s="362" t="str">
        <x:v>Guard</x:v>
      </x:c>
      <x:c r="F233" s="362" t="n">
        <x:v>35</x:v>
      </x:c>
      <x:c r="G233" s="362" t="str">
        <x:v>Parry</x:v>
      </x:c>
      <x:c r="H233" s="362" t="str">
        <x:v>Provides a parry effect and a certain probability to increase damage</x:v>
      </x:c>
      <x:c r="I233" s="362" t="str">
        <x:v>Unlocked</x:v>
      </x:c>
      <x:c r="J233" s="362" t="str">
        <x:v>02:31.000</x:v>
      </x:c>
      <x:c r="K233" s="362" t="str">
        <x:v>Canonical player reading from independent 4 fps contacts; traditional 魚, medium-confidence name.; Source frame: frames4/f_00605.jpg</x:v>
      </x:c>
      <x:c r="L233" s="362" t="str">
        <x:v>1000025189.mp4</x:v>
      </x:c>
    </x:row>
    <x:row r="234" ht="32" customHeight="1">
      <x:c r="A234" s="362" t="str">
        <x:v>K116</x:v>
      </x:c>
      <x:c r="B234" s="362" t="str">
        <x:v>芙蕾魚</x:v>
      </x:c>
      <x:c r="C234" s="362" t="str">
        <x:v>Cavalry</x:v>
      </x:c>
      <x:c r="D234" s="362" t="str">
        <x:v>Eternal knights</x:v>
      </x:c>
      <x:c r="E234" s="362" t="str">
        <x:v>Heavy Cavalry</x:v>
      </x:c>
      <x:c r="F234" s="362" t="n">
        <x:v>20</x:v>
      </x:c>
      <x:c r="G234" s="362" t="str">
        <x:v>Thunder trample</x:v>
      </x:c>
      <x:c r="H234" s="362" t="str">
        <x:v>Has a certain probability of causing trampling damage</x:v>
      </x:c>
      <x:c r="I234" s="362" t="str">
        <x:v>Unlocked</x:v>
      </x:c>
      <x:c r="J234" s="362" t="str">
        <x:v>02:31.750</x:v>
      </x:c>
      <x:c r="K234" s="362" t="str">
        <x:v>Canonical player reading from independent 4 fps contacts; traditional 魚, medium-confidence name.; Source frame: frames4/f_00608.jpg</x:v>
      </x:c>
      <x:c r="L234" s="362" t="str">
        <x:v>1000025189.mp4</x:v>
      </x:c>
    </x:row>
    <x:row r="235" ht="32" customHeight="1">
      <x:c r="A235" s="362" t="str">
        <x:v>K116</x:v>
      </x:c>
      <x:c r="B235" s="362" t="str">
        <x:v>芙蕾魚</x:v>
      </x:c>
      <x:c r="C235" s="362" t="str">
        <x:v>Cavalry</x:v>
      </x:c>
      <x:c r="D235" s="362" t="str">
        <x:v>Storm cavalry</x:v>
      </x:c>
      <x:c r="E235" s="362" t="str">
        <x:v>Horse archer</x:v>
      </x:c>
      <x:c r="F235" s="362" t="n">
        <x:v>20</x:v>
      </x:c>
      <x:c r="G235" s="362" t="str">
        <x:v>Mounted Archery</x:v>
      </x:c>
      <x:c r="H235" s="362" t="str">
        <x:v>Has a certain probability of causing fly-shooting damage</x:v>
      </x:c>
      <x:c r="I235" s="362" t="str">
        <x:v>Unlocked</x:v>
      </x:c>
      <x:c r="J235" s="362" t="str">
        <x:v>02:32.500</x:v>
      </x:c>
      <x:c r="K235" s="362" t="str">
        <x:v>Canonical player reading from independent 4 fps contacts; traditional 魚, medium-confidence name.; Source frame: frames4/f_00611.jpg</x:v>
      </x:c>
      <x:c r="L235" s="362" t="str">
        <x:v>1000025189.mp4</x:v>
      </x:c>
    </x:row>
    <x:row r="236" ht="32" customHeight="1">
      <x:c r="A236" s="362" t="str">
        <x:v>K116</x:v>
      </x:c>
      <x:c r="B236" s="362" t="str">
        <x:v>ALI</x:v>
      </x:c>
      <x:c r="C236" s="362" t="str">
        <x:v>Guards</x:v>
      </x:c>
      <x:c r="D236" s="362" t="str">
        <x:v>Destroyers</x:v>
      </x:c>
      <x:c r="E236" s="362" t="str">
        <x:v>Guard</x:v>
      </x:c>
      <x:c r="F236" s="362" t="n">
        <x:v>49</x:v>
      </x:c>
      <x:c r="G236" s="362" t="str">
        <x:v>Parry</x:v>
      </x:c>
      <x:c r="H236" s="362" t="str">
        <x:v>Provides a parry effect and a certain probability to increase damage</x:v>
      </x:c>
      <x:c r="I236" s="362" t="str">
        <x:v>Unlocked</x:v>
      </x:c>
      <x:c r="J236" s="362" t="str">
        <x:v>02:49.000</x:v>
      </x:c>
      <x:c r="K236" s="362" t="str">
        <x:v>Name confirmed from independent 4 fps contacts.; Source frame: frames4/f_00677.jpg</x:v>
      </x:c>
      <x:c r="L236" s="362" t="str">
        <x:v>1000025189.mp4</x:v>
      </x:c>
    </x:row>
    <x:row r="237" ht="32" customHeight="1">
      <x:c r="A237" s="362" t="str">
        <x:v>K116</x:v>
      </x:c>
      <x:c r="B237" s="362" t="str">
        <x:v>ALI</x:v>
      </x:c>
      <x:c r="C237" s="362" t="str">
        <x:v>Archers</x:v>
      </x:c>
      <x:c r="D237" s="362" t="str">
        <x:v>Elite bowmen</x:v>
      </x:c>
      <x:c r="E237" s="362" t="str">
        <x:v>Archer</x:v>
      </x:c>
      <x:c r="F237" s="362" t="n">
        <x:v>46</x:v>
      </x:c>
      <x:c r="G237" s="362" t="str">
        <x:v>Frost Arrow</x:v>
      </x:c>
      <x:c r="H237" s="362" t="str">
        <x:v>Has a higher probability of activating ice damage</x:v>
      </x:c>
      <x:c r="I237" s="362" t="str">
        <x:v>Unlocked</x:v>
      </x:c>
      <x:c r="J237" s="362" t="str">
        <x:v>02:49.750</x:v>
      </x:c>
      <x:c r="K237" s="362" t="str">
        <x:v>Name confirmed from independent 4 fps contacts.; Source frame: frames4/f_00680.jpg</x:v>
      </x:c>
      <x:c r="L237" s="362" t="str">
        <x:v>1000025189.mp4</x:v>
      </x:c>
    </x:row>
    <x:row r="238" ht="32" customHeight="1">
      <x:c r="A238" s="362" t="str">
        <x:v>K116</x:v>
      </x:c>
      <x:c r="B238" s="362" t="str">
        <x:v>ALI</x:v>
      </x:c>
      <x:c r="C238" s="362" t="str">
        <x:v>Archers</x:v>
      </x:c>
      <x:c r="D238" s="362" t="str">
        <x:v>Elite</x:v>
      </x:c>
      <x:c r="E238" s="362"/>
      <x:c r="F238" s="362" t="n">
        <x:v>30</x:v>
      </x:c>
      <x:c r="G238" s="362" t="str">
        <x:v>Focus</x:v>
      </x:c>
      <x:c r="H238" s="362" t="str">
        <x:v>Has a higher probability of providing focus damage</x:v>
      </x:c>
      <x:c r="I238" s="362" t="str">
        <x:v>Unlocked</x:v>
      </x:c>
      <x:c r="J238" s="362" t="str">
        <x:v>02:50.500</x:v>
      </x:c>
      <x:c r="K238" s="362" t="str">
        <x:v>Exact visible header is only 'Elite' (apparently truncated). Body text identifies Elite crossbowmen, so troop_type is normalized to Archers.; Source frame: frames4/f_00683.jpg</x:v>
      </x:c>
      <x:c r="L238" s="362" t="str">
        <x:v>1000025189.mp4</x:v>
      </x:c>
    </x:row>
    <x:row r="239" ht="32" customHeight="1">
      <x:c r="A239" s="362" t="str">
        <x:v>K116</x:v>
      </x:c>
      <x:c r="B239" s="362" t="str">
        <x:v>不可盾号</x:v>
      </x:c>
      <x:c r="C239" s="362" t="str">
        <x:v>Guards</x:v>
      </x:c>
      <x:c r="D239" s="362" t="str">
        <x:v>Destroyers</x:v>
      </x:c>
      <x:c r="E239" s="362" t="str">
        <x:v>Guard</x:v>
      </x:c>
      <x:c r="F239" s="362" t="n">
        <x:v>40</x:v>
      </x:c>
      <x:c r="G239" s="362" t="str">
        <x:v>Parry</x:v>
      </x:c>
      <x:c r="H239" s="362" t="str">
        <x:v>Provides a parry effect and a certain probability to increase damage</x:v>
      </x:c>
      <x:c r="I239" s="362" t="str">
        <x:v>Unlocked</x:v>
      </x:c>
      <x:c r="J239" s="362" t="str">
        <x:v>02:57.500</x:v>
      </x:c>
      <x:c r="K239" s="362" t="str">
        <x:v>Name confirmed from independent 4 fps contacts.; Source frame: frames4/f_00711.jpg</x:v>
      </x:c>
      <x:c r="L239" s="362" t="str">
        <x:v>1000025189.mp4</x:v>
      </x:c>
    </x:row>
    <x:row r="240" ht="32" customHeight="1">
      <x:c r="A240" s="362" t="str">
        <x:v>K116</x:v>
      </x:c>
      <x:c r="B240" s="362" t="str">
        <x:v>光之使者</x:v>
      </x:c>
      <x:c r="C240" s="362" t="str">
        <x:v>Guards</x:v>
      </x:c>
      <x:c r="D240" s="362" t="str">
        <x:v>Destroyers</x:v>
      </x:c>
      <x:c r="E240" s="362" t="str">
        <x:v>Guard</x:v>
      </x:c>
      <x:c r="F240" s="362" t="n">
        <x:v>50</x:v>
      </x:c>
      <x:c r="G240" s="362" t="str">
        <x:v>Parry</x:v>
      </x:c>
      <x:c r="H240" s="362" t="str">
        <x:v>Provides a parry effect and a certain probability to increase damage</x:v>
      </x:c>
      <x:c r="I240" s="362" t="str">
        <x:v>Unlocked</x:v>
      </x:c>
      <x:c r="J240" s="362" t="str">
        <x:v>03:06.000</x:v>
      </x:c>
      <x:c r="K240" s="362" t="str">
        <x:v>Source frame: frames4/f_00745.jpg</x:v>
      </x:c>
      <x:c r="L240" s="362" t="str">
        <x:v>1000025189.mp4</x:v>
      </x:c>
    </x:row>
    <x:row r="241" ht="32" customHeight="1">
      <x:c r="A241" s="362" t="str">
        <x:v>K116</x:v>
      </x:c>
      <x:c r="B241" s="362" t="str">
        <x:v>光之使者</x:v>
      </x:c>
      <x:c r="C241" s="362" t="str">
        <x:v>Cavalry</x:v>
      </x:c>
      <x:c r="D241" s="362" t="str">
        <x:v>Eternal knights</x:v>
      </x:c>
      <x:c r="E241" s="362" t="str">
        <x:v>Heavy Cavalry</x:v>
      </x:c>
      <x:c r="F241" s="362" t="n">
        <x:v>44</x:v>
      </x:c>
      <x:c r="G241" s="362" t="str">
        <x:v>Thunder trample</x:v>
      </x:c>
      <x:c r="H241" s="362" t="str">
        <x:v>Has a certain probability of causing trampling damage</x:v>
      </x:c>
      <x:c r="I241" s="362" t="str">
        <x:v>Unlocked</x:v>
      </x:c>
      <x:c r="J241" s="362" t="str">
        <x:v>03:07.000</x:v>
      </x:c>
      <x:c r="K241" s="362" t="str">
        <x:v>Source frame: frames4/f_00749.jpg</x:v>
      </x:c>
      <x:c r="L241" s="362" t="str">
        <x:v>1000025189.mp4</x:v>
      </x:c>
    </x:row>
    <x:row r="242" ht="32" customHeight="1">
      <x:c r="A242" s="362" t="str">
        <x:v>K116</x:v>
      </x:c>
      <x:c r="B242" s="362" t="str">
        <x:v>光之使者</x:v>
      </x:c>
      <x:c r="C242" s="362" t="str">
        <x:v>Archers</x:v>
      </x:c>
      <x:c r="D242" s="362" t="str">
        <x:v>Elite bowmen</x:v>
      </x:c>
      <x:c r="E242" s="362" t="str">
        <x:v>Archer</x:v>
      </x:c>
      <x:c r="F242" s="362" t="n">
        <x:v>45</x:v>
      </x:c>
      <x:c r="G242" s="362" t="str">
        <x:v>Frost Arrow</x:v>
      </x:c>
      <x:c r="H242" s="362" t="str">
        <x:v>Has a higher probability of activating ice damage</x:v>
      </x:c>
      <x:c r="I242" s="362" t="str">
        <x:v>Unlocked</x:v>
      </x:c>
      <x:c r="J242" s="362" t="str">
        <x:v>03:08.000</x:v>
      </x:c>
      <x:c r="K242" s="362" t="str">
        <x:v>Source frame: frames4/f_00753.jpg</x:v>
      </x:c>
      <x:c r="L242" s="362" t="str">
        <x:v>1000025189.mp4</x:v>
      </x:c>
    </x:row>
    <x:row r="243" ht="32" customHeight="1">
      <x:c r="A243" s="362" t="str">
        <x:v>K116</x:v>
      </x:c>
      <x:c r="B243" s="362" t="str">
        <x:v>光之使者</x:v>
      </x:c>
      <x:c r="C243" s="362" t="str">
        <x:v>Siege</x:v>
      </x:c>
      <x:c r="D243" s="362" t="str">
        <x:v>Manglers</x:v>
      </x:c>
      <x:c r="E243" s="362" t="str">
        <x:v>Siege</x:v>
      </x:c>
      <x:c r="F243" s="362" t="n">
        <x:v>45</x:v>
      </x:c>
      <x:c r="G243" s="362" t="str">
        <x:v>Highly toxic</x:v>
      </x:c>
      <x:c r="H243" s="362" t="str">
        <x:v>Inflict continuous toxic damage</x:v>
      </x:c>
      <x:c r="I243" s="362" t="str">
        <x:v>Unlocked</x:v>
      </x:c>
      <x:c r="J243" s="362" t="str">
        <x:v>03:08.500</x:v>
      </x:c>
      <x:c r="K243" s="362" t="str">
        <x:v>Source frame: frames4/f_00755.jpg</x:v>
      </x:c>
      <x:c r="L243" s="362" t="str">
        <x:v>1000025189.mp4</x:v>
      </x:c>
    </x:row>
    <x:row r="244" ht="32" customHeight="1">
      <x:c r="A244" s="362" t="str">
        <x:v>K116</x:v>
      </x:c>
      <x:c r="B244" s="362" t="str">
        <x:v>光之使者</x:v>
      </x:c>
      <x:c r="C244" s="362" t="str">
        <x:v>Cavalry</x:v>
      </x:c>
      <x:c r="D244" s="362" t="str">
        <x:v>Storm cavalry</x:v>
      </x:c>
      <x:c r="E244" s="362" t="str">
        <x:v>Horse archer</x:v>
      </x:c>
      <x:c r="F244" s="362" t="n">
        <x:v>45</x:v>
      </x:c>
      <x:c r="G244" s="362" t="str">
        <x:v>Mounted Archery</x:v>
      </x:c>
      <x:c r="H244" s="362" t="str">
        <x:v>Has a certain probability of causing fly-shooting damage</x:v>
      </x:c>
      <x:c r="I244" s="362" t="str">
        <x:v>Unlocked</x:v>
      </x:c>
      <x:c r="J244" s="362" t="str">
        <x:v>03:09.250</x:v>
      </x:c>
      <x:c r="K244" s="362" t="str">
        <x:v>Source frame: frames4/f_00758.jpg</x:v>
      </x:c>
      <x:c r="L244" s="362" t="str">
        <x:v>1000025189.mp4</x:v>
      </x:c>
    </x:row>
    <x:row r="245" ht="32" customHeight="1">
      <x:c r="A245" s="362" t="str">
        <x:v>K116</x:v>
      </x:c>
      <x:c r="B245" s="362" t="str">
        <x:v>逍遥浪四月</x:v>
      </x:c>
      <x:c r="C245" s="362" t="str">
        <x:v>Guards</x:v>
      </x:c>
      <x:c r="D245" s="362" t="str">
        <x:v>Destroyers</x:v>
      </x:c>
      <x:c r="E245" s="362" t="str">
        <x:v>Guard</x:v>
      </x:c>
      <x:c r="F245" s="362" t="n">
        <x:v>40</x:v>
      </x:c>
      <x:c r="G245" s="362" t="str">
        <x:v>Parry</x:v>
      </x:c>
      <x:c r="H245" s="362" t="str">
        <x:v>Provides a parry effect and a certain probability to increase damage</x:v>
      </x:c>
      <x:c r="I245" s="362" t="str">
        <x:v>Unlocked</x:v>
      </x:c>
      <x:c r="J245" s="362" t="str">
        <x:v>03:16.750</x:v>
      </x:c>
      <x:c r="K245" s="362" t="str">
        <x:v>Source frame: frames4/f_00788.jpg</x:v>
      </x:c>
      <x:c r="L245" s="362" t="str">
        <x:v>1000025189.mp4</x:v>
      </x:c>
    </x:row>
    <x:row r="246" ht="32" customHeight="1">
      <x:c r="A246" s="362" t="str">
        <x:v>K116</x:v>
      </x:c>
      <x:c r="B246" s="362" t="str">
        <x:v>逍遥浪四月</x:v>
      </x:c>
      <x:c r="C246" s="362" t="str">
        <x:v>Cavalry</x:v>
      </x:c>
      <x:c r="D246" s="362" t="str">
        <x:v>Eternal knights</x:v>
      </x:c>
      <x:c r="E246" s="362" t="str">
        <x:v>Heavy Cavalry</x:v>
      </x:c>
      <x:c r="F246" s="362" t="n">
        <x:v>40</x:v>
      </x:c>
      <x:c r="G246" s="362" t="str">
        <x:v>Thunder trample</x:v>
      </x:c>
      <x:c r="H246" s="362" t="str">
        <x:v>Has a certain probability of causing trampling damage</x:v>
      </x:c>
      <x:c r="I246" s="362" t="str">
        <x:v>Unlocked</x:v>
      </x:c>
      <x:c r="J246" s="362" t="str">
        <x:v>03:17.750</x:v>
      </x:c>
      <x:c r="K246" s="362" t="str">
        <x:v>Source frame: frames4/f_00792.jpg</x:v>
      </x:c>
      <x:c r="L246" s="362" t="str">
        <x:v>1000025189.mp4</x:v>
      </x:c>
    </x:row>
    <x:row r="247" ht="32" customHeight="1">
      <x:c r="A247" s="362" t="str">
        <x:v>K116</x:v>
      </x:c>
      <x:c r="B247" s="362" t="str">
        <x:v>逍遥浪四月</x:v>
      </x:c>
      <x:c r="C247" s="362" t="str">
        <x:v>Cavalry</x:v>
      </x:c>
      <x:c r="D247" s="362" t="str">
        <x:v>Storm cavalry</x:v>
      </x:c>
      <x:c r="E247" s="362" t="str">
        <x:v>Horse archer</x:v>
      </x:c>
      <x:c r="F247" s="362" t="n">
        <x:v>40</x:v>
      </x:c>
      <x:c r="G247" s="362" t="str">
        <x:v>Mounted Archery</x:v>
      </x:c>
      <x:c r="H247" s="362" t="str">
        <x:v>Has a certain probability of causing fly-shooting damage</x:v>
      </x:c>
      <x:c r="I247" s="362" t="str">
        <x:v>Unlocked</x:v>
      </x:c>
      <x:c r="J247" s="362" t="str">
        <x:v>03:18.500</x:v>
      </x:c>
      <x:c r="K247" s="362" t="str">
        <x:v>Source frame: frames4/f_00795.jpg</x:v>
      </x:c>
      <x:c r="L247" s="362" t="str">
        <x:v>1000025189.mp4</x:v>
      </x:c>
    </x:row>
    <x:row r="248" ht="32" customHeight="1">
      <x:c r="A248" s="362" t="str">
        <x:v>K138</x:v>
      </x:c>
      <x:c r="B248" s="362" t="str">
        <x:v>(RaW)༺博卡Ajax༻</x:v>
      </x:c>
      <x:c r="C248" s="362" t="str">
        <x:v>Guards</x:v>
      </x:c>
      <x:c r="D248" s="362" t="str">
        <x:v>Destroyers</x:v>
      </x:c>
      <x:c r="E248" s="362" t="str">
        <x:v>Guard</x:v>
      </x:c>
      <x:c r="F248" s="362" t="n">
        <x:v>50</x:v>
      </x:c>
      <x:c r="G248" s="362" t="str">
        <x:v>Parry</x:v>
      </x:c>
      <x:c r="H248" s="362" t="str">
        <x:v>Provides a parry effect and a certain probability to increase damage</x:v>
      </x:c>
      <x:c r="I248" s="362" t="str">
        <x:v>Unlocked</x:v>
      </x:c>
      <x:c r="J248" s="362" t="str">
        <x:v>00:02.25</x:v>
      </x:c>
      <x:c r="K248" s="362" t="str">
        <x:v>Visually verified. | Source frame: f_0005.jpg</x:v>
      </x:c>
      <x:c r="L248" s="362" t="str">
        <x:v>K138_1000025064.mp4</x:v>
      </x:c>
    </x:row>
    <x:row r="249" ht="32" customHeight="1">
      <x:c r="A249" s="362" t="str">
        <x:v>K138</x:v>
      </x:c>
      <x:c r="B249" s="362" t="str">
        <x:v>(RaW)༺博卡Ajax༻</x:v>
      </x:c>
      <x:c r="C249" s="362" t="str">
        <x:v>Archers</x:v>
      </x:c>
      <x:c r="D249" s="362" t="str">
        <x:v>Elite bowmen</x:v>
      </x:c>
      <x:c r="E249" s="362" t="str">
        <x:v>Archer</x:v>
      </x:c>
      <x:c r="F249" s="362" t="n">
        <x:v>44</x:v>
      </x:c>
      <x:c r="G249" s="362" t="str">
        <x:v>Frost Arrow</x:v>
      </x:c>
      <x:c r="H249" s="362" t="str">
        <x:v>Has a higher probability of activating ice damage</x:v>
      </x:c>
      <x:c r="I249" s="362" t="str">
        <x:v>Unlocked</x:v>
      </x:c>
      <x:c r="J249" s="362" t="str">
        <x:v>00:04.75</x:v>
      </x:c>
      <x:c r="K249" s="362" t="str">
        <x:v>Visually verified. | Source frame: f_0010.jpg</x:v>
      </x:c>
      <x:c r="L249" s="362" t="str">
        <x:v>K138_1000025064.mp4</x:v>
      </x:c>
    </x:row>
    <x:row r="250" ht="32" customHeight="1">
      <x:c r="A250" s="362" t="str">
        <x:v>K138</x:v>
      </x:c>
      <x:c r="B250" s="362" t="str">
        <x:v>(RaW)༺博卡Ajax༻</x:v>
      </x:c>
      <x:c r="C250" s="362" t="str">
        <x:v>Archers</x:v>
      </x:c>
      <x:c r="D250" s="362" t="str">
        <x:v>Elite</x:v>
      </x:c>
      <x:c r="E250" s="362"/>
      <x:c r="F250" s="362" t="n">
        <x:v>21</x:v>
      </x:c>
      <x:c r="G250" s="362" t="str">
        <x:v>Focus</x:v>
      </x:c>
      <x:c r="H250" s="362" t="str">
        <x:v>Has a higher probability of providing focus damage</x:v>
      </x:c>
      <x:c r="I250" s="362" t="str">
        <x:v>Unlocked</x:v>
      </x:c>
      <x:c r="J250" s="362" t="str">
        <x:v>00:08.25</x:v>
      </x:c>
      <x:c r="K250" s="362" t="str">
        <x:v>Visually verified. Tooltip title displayed only 'Elite'; body identifies Elite crossbowmen. | Source frame: f_0017.jpg</x:v>
      </x:c>
      <x:c r="L250" s="362" t="str">
        <x:v>K138_1000025064.mp4</x:v>
      </x:c>
    </x:row>
    <x:row r="251" ht="32" customHeight="1">
      <x:c r="A251" s="362" t="str">
        <x:v>K138</x:v>
      </x:c>
      <x:c r="B251" s="362" t="str">
        <x:v>(RaW)༺博卡Ajax༻</x:v>
      </x:c>
      <x:c r="C251" s="362" t="str">
        <x:v>Cavalry</x:v>
      </x:c>
      <x:c r="D251" s="362" t="str">
        <x:v>Eternal knights</x:v>
      </x:c>
      <x:c r="E251" s="362" t="str">
        <x:v>Heavy Cavalry</x:v>
      </x:c>
      <x:c r="F251" s="362" t="n">
        <x:v>45</x:v>
      </x:c>
      <x:c r="G251" s="362" t="str">
        <x:v>Thunder trample</x:v>
      </x:c>
      <x:c r="H251" s="362" t="str">
        <x:v>Has a certain probability of causing trampling damage</x:v>
      </x:c>
      <x:c r="I251" s="362" t="str">
        <x:v>Unlocked</x:v>
      </x:c>
      <x:c r="J251" s="362" t="str">
        <x:v>00:03.25</x:v>
      </x:c>
      <x:c r="K251" s="362" t="str">
        <x:v>Visually verified. | Source frame: f_0007.jpg</x:v>
      </x:c>
      <x:c r="L251" s="362" t="str">
        <x:v>K138_1000025064.mp4</x:v>
      </x:c>
    </x:row>
    <x:row r="252" ht="32" customHeight="1">
      <x:c r="A252" s="362" t="str">
        <x:v>K138</x:v>
      </x:c>
      <x:c r="B252" s="362" t="str">
        <x:v>(RaW)༺博卡Ajax༻</x:v>
      </x:c>
      <x:c r="C252" s="362" t="str">
        <x:v>Cavalry</x:v>
      </x:c>
      <x:c r="D252" s="362" t="str">
        <x:v>Storm cavalry</x:v>
      </x:c>
      <x:c r="E252" s="362" t="str">
        <x:v>Horse archer</x:v>
      </x:c>
      <x:c r="F252" s="362" t="n">
        <x:v>45</x:v>
      </x:c>
      <x:c r="G252" s="362" t="str">
        <x:v>Mounted Archery</x:v>
      </x:c>
      <x:c r="H252" s="362" t="str">
        <x:v>Has a certain probability of causing fly-shooting damage</x:v>
      </x:c>
      <x:c r="I252" s="362" t="str">
        <x:v>Unlocked</x:v>
      </x:c>
      <x:c r="J252" s="362" t="str">
        <x:v>00:07.25</x:v>
      </x:c>
      <x:c r="K252" s="362" t="str">
        <x:v>Visually verified. | Source frame: f_0015.jpg</x:v>
      </x:c>
      <x:c r="L252" s="362" t="str">
        <x:v>K138_1000025064.mp4</x:v>
      </x:c>
    </x:row>
    <x:row r="253" ht="32" customHeight="1">
      <x:c r="A253" s="362" t="str">
        <x:v>K138</x:v>
      </x:c>
      <x:c r="B253" s="362" t="str">
        <x:v>(RaW)༺博卡Ajax༻</x:v>
      </x:c>
      <x:c r="C253" s="362" t="str">
        <x:v>Siege</x:v>
      </x:c>
      <x:c r="D253" s="362" t="str">
        <x:v>Manglers</x:v>
      </x:c>
      <x:c r="E253" s="362" t="str">
        <x:v>Siege</x:v>
      </x:c>
      <x:c r="F253" s="362" t="n">
        <x:v>30</x:v>
      </x:c>
      <x:c r="G253" s="362" t="str">
        <x:v>Highly toxic</x:v>
      </x:c>
      <x:c r="H253" s="362" t="str">
        <x:v>Inflict continuous toxic damage</x:v>
      </x:c>
      <x:c r="I253" s="362" t="str">
        <x:v>Unlocked</x:v>
      </x:c>
      <x:c r="J253" s="362" t="str">
        <x:v>00:05.75</x:v>
      </x:c>
      <x:c r="K253" s="362" t="str">
        <x:v>Visually verified. | Source frame: f_0012.jpg</x:v>
      </x:c>
      <x:c r="L253" s="362" t="str">
        <x:v>K138_1000025064.mp4</x:v>
      </x:c>
    </x:row>
    <x:row r="254" ht="32" customHeight="1">
      <x:c r="A254" s="362" t="str">
        <x:v>K138</x:v>
      </x:c>
      <x:c r="B254" s="362" t="str">
        <x:v>(RaW)Venom毒液</x:v>
      </x:c>
      <x:c r="C254" s="362" t="str">
        <x:v>Guards</x:v>
      </x:c>
      <x:c r="D254" s="362" t="str">
        <x:v>Destroyers</x:v>
      </x:c>
      <x:c r="E254" s="362" t="str">
        <x:v>Guard</x:v>
      </x:c>
      <x:c r="F254" s="362" t="n">
        <x:v>49</x:v>
      </x:c>
      <x:c r="G254" s="362" t="str">
        <x:v>Parry</x:v>
      </x:c>
      <x:c r="H254" s="362" t="str">
        <x:v>Provides a parry effect and a certain probability to increase damage</x:v>
      </x:c>
      <x:c r="I254" s="362" t="str">
        <x:v>Unlocked</x:v>
      </x:c>
      <x:c r="J254" s="362" t="str">
        <x:v>00:20.25</x:v>
      </x:c>
      <x:c r="K254" s="362" t="str">
        <x:v>Visually verified. | Source frame: f_0041.jpg</x:v>
      </x:c>
      <x:c r="L254" s="362" t="str">
        <x:v>K138_1000025064.mp4</x:v>
      </x:c>
    </x:row>
    <x:row r="255" ht="32" customHeight="1">
      <x:c r="A255" s="362" t="str">
        <x:v>K138</x:v>
      </x:c>
      <x:c r="B255" s="362" t="str">
        <x:v>(RaW)Venom毒液</x:v>
      </x:c>
      <x:c r="C255" s="362" t="str">
        <x:v>Archers</x:v>
      </x:c>
      <x:c r="D255" s="362" t="str">
        <x:v>Elite bowmen</x:v>
      </x:c>
      <x:c r="E255" s="362" t="str">
        <x:v>Archer</x:v>
      </x:c>
      <x:c r="F255" s="362" t="n">
        <x:v>37</x:v>
      </x:c>
      <x:c r="G255" s="362" t="str">
        <x:v>Frost Arrow</x:v>
      </x:c>
      <x:c r="H255" s="362" t="str">
        <x:v>Has a higher probability of activating ice damage</x:v>
      </x:c>
      <x:c r="I255" s="362" t="str">
        <x:v>Unlocked</x:v>
      </x:c>
      <x:c r="J255" s="362" t="str">
        <x:v>00:22.25</x:v>
      </x:c>
      <x:c r="K255" s="362" t="str">
        <x:v>Visually verified. | Source frame: f_0045.jpg</x:v>
      </x:c>
      <x:c r="L255" s="362" t="str">
        <x:v>K138_1000025064.mp4</x:v>
      </x:c>
    </x:row>
    <x:row r="256" ht="32" customHeight="1">
      <x:c r="A256" s="362" t="str">
        <x:v>K138</x:v>
      </x:c>
      <x:c r="B256" s="362" t="str">
        <x:v>(RaW)Venom毒液</x:v>
      </x:c>
      <x:c r="C256" s="362" t="str">
        <x:v>Archers</x:v>
      </x:c>
      <x:c r="D256" s="362" t="str">
        <x:v>Marksmen</x:v>
      </x:c>
      <x:c r="E256" s="362" t="str">
        <x:v>Archer</x:v>
      </x:c>
      <x:c r="F256" s="362" t="n">
        <x:v>37</x:v>
      </x:c>
      <x:c r="G256" s="362" t="str">
        <x:v>Frost Arrow</x:v>
      </x:c>
      <x:c r="H256" s="362" t="str">
        <x:v>Has a higher probability of activating ice damage</x:v>
      </x:c>
      <x:c r="I256" s="362" t="str">
        <x:v>Unlocked</x:v>
      </x:c>
      <x:c r="J256" s="362" t="str">
        <x:v>00:23.75</x:v>
      </x:c>
      <x:c r="K256" s="362" t="str">
        <x:v>Visually verified. | Source frame: f_0048.jpg</x:v>
      </x:c>
      <x:c r="L256" s="362" t="str">
        <x:v>K138_1000025064.mp4</x:v>
      </x:c>
    </x:row>
    <x:row r="257" ht="32" customHeight="1">
      <x:c r="A257" s="362" t="str">
        <x:v>K138</x:v>
      </x:c>
      <x:c r="B257" s="362" t="str">
        <x:v>(RaW)༺JOJO༻</x:v>
      </x:c>
      <x:c r="C257" s="362" t="str">
        <x:v>Guards</x:v>
      </x:c>
      <x:c r="D257" s="362" t="str">
        <x:v>Destroyers</x:v>
      </x:c>
      <x:c r="E257" s="362" t="str">
        <x:v>Guard</x:v>
      </x:c>
      <x:c r="F257" s="362" t="n">
        <x:v>45</x:v>
      </x:c>
      <x:c r="G257" s="362" t="str">
        <x:v>Parry</x:v>
      </x:c>
      <x:c r="H257" s="362" t="str">
        <x:v>Provides a parry effect and a certain probability to increase damage</x:v>
      </x:c>
      <x:c r="I257" s="362" t="str">
        <x:v>Unlocked</x:v>
      </x:c>
      <x:c r="J257" s="362" t="str">
        <x:v>00:35.75</x:v>
      </x:c>
      <x:c r="K257" s="362" t="str">
        <x:v>Visually verified. | Source frame: f_0072.jpg</x:v>
      </x:c>
      <x:c r="L257" s="362" t="str">
        <x:v>K138_1000025064.mp4</x:v>
      </x:c>
    </x:row>
    <x:row r="258" ht="32" customHeight="1">
      <x:c r="A258" s="362" t="str">
        <x:v>K138</x:v>
      </x:c>
      <x:c r="B258" s="362" t="str">
        <x:v>(RaW)༺JOJO༻</x:v>
      </x:c>
      <x:c r="C258" s="362" t="str">
        <x:v>Archers</x:v>
      </x:c>
      <x:c r="D258" s="362" t="str">
        <x:v>Elite bowmen</x:v>
      </x:c>
      <x:c r="E258" s="362" t="str">
        <x:v>Archer</x:v>
      </x:c>
      <x:c r="F258" s="362" t="n">
        <x:v>41</x:v>
      </x:c>
      <x:c r="G258" s="362" t="str">
        <x:v>Frost Arrow</x:v>
      </x:c>
      <x:c r="H258" s="362" t="str">
        <x:v>Has a higher probability of activating ice damage</x:v>
      </x:c>
      <x:c r="I258" s="362" t="str">
        <x:v>Unlocked</x:v>
      </x:c>
      <x:c r="J258" s="362" t="str">
        <x:v>00:37.25</x:v>
      </x:c>
      <x:c r="K258" s="362" t="str">
        <x:v>Visually verified. | Source frame: f_0075.jpg</x:v>
      </x:c>
      <x:c r="L258" s="362" t="str">
        <x:v>K138_1000025064.mp4</x:v>
      </x:c>
    </x:row>
    <x:row r="259" ht="32" customHeight="1">
      <x:c r="A259" s="362" t="str">
        <x:v>K138</x:v>
      </x:c>
      <x:c r="B259" s="362" t="str">
        <x:v>(RaW)༺JOJO༻</x:v>
      </x:c>
      <x:c r="C259" s="362" t="str">
        <x:v>Cavalry</x:v>
      </x:c>
      <x:c r="D259" s="362" t="str">
        <x:v>Storm cavalry</x:v>
      </x:c>
      <x:c r="E259" s="362" t="str">
        <x:v>Horse archer</x:v>
      </x:c>
      <x:c r="F259" s="362" t="n">
        <x:v>40</x:v>
      </x:c>
      <x:c r="G259" s="362" t="str">
        <x:v>Mounted Archery</x:v>
      </x:c>
      <x:c r="H259" s="362" t="str">
        <x:v>Has a certain probability of causing fly-shooting damage</x:v>
      </x:c>
      <x:c r="I259" s="362" t="str">
        <x:v>Unlocked</x:v>
      </x:c>
      <x:c r="J259" s="362" t="str">
        <x:v>00:39.25</x:v>
      </x:c>
      <x:c r="K259" s="362" t="str">
        <x:v>Visually verified. | Source frame: f_0079.jpg</x:v>
      </x:c>
      <x:c r="L259" s="362" t="str">
        <x:v>K138_1000025064.mp4</x:v>
      </x:c>
    </x:row>
    <x:row r="260" ht="32" customHeight="1">
      <x:c r="A260" s="362" t="str">
        <x:v>K138</x:v>
      </x:c>
      <x:c r="B260" s="362" t="str">
        <x:v>(RaW)SLAP</x:v>
      </x:c>
      <x:c r="C260" s="362" t="str">
        <x:v>Archers</x:v>
      </x:c>
      <x:c r="D260" s="362" t="str">
        <x:v>Elite bowmen</x:v>
      </x:c>
      <x:c r="E260" s="362" t="str">
        <x:v>Archer</x:v>
      </x:c>
      <x:c r="F260" s="362" t="n">
        <x:v>41</x:v>
      </x:c>
      <x:c r="G260" s="362" t="str">
        <x:v>Frost Arrow</x:v>
      </x:c>
      <x:c r="H260" s="362" t="str">
        <x:v>Has a higher probability of activating ice damage</x:v>
      </x:c>
      <x:c r="I260" s="362" t="str">
        <x:v>Unlocked</x:v>
      </x:c>
      <x:c r="J260" s="362" t="str">
        <x:v>00:49.75</x:v>
      </x:c>
      <x:c r="K260" s="362" t="str">
        <x:v>Visually verified. | Source frame: f_0100.jpg</x:v>
      </x:c>
      <x:c r="L260" s="362" t="str">
        <x:v>K138_1000025064.mp4</x:v>
      </x:c>
    </x:row>
    <x:row r="261" ht="32" customHeight="1">
      <x:c r="A261" s="362" t="str">
        <x:v>K138</x:v>
      </x:c>
      <x:c r="B261" s="362" t="str">
        <x:v>(RaW)SLAP</x:v>
      </x:c>
      <x:c r="C261" s="362" t="str">
        <x:v>Cavalry</x:v>
      </x:c>
      <x:c r="D261" s="362" t="str">
        <x:v>Eternal knights</x:v>
      </x:c>
      <x:c r="E261" s="362" t="str">
        <x:v>Heavy Cavalry</x:v>
      </x:c>
      <x:c r="F261" s="362" t="n">
        <x:v>48</x:v>
      </x:c>
      <x:c r="G261" s="362" t="str">
        <x:v>Thunder trample</x:v>
      </x:c>
      <x:c r="H261" s="362" t="str">
        <x:v>Has a certain probability of causing trampling damage</x:v>
      </x:c>
      <x:c r="I261" s="362" t="str">
        <x:v>Unlocked</x:v>
      </x:c>
      <x:c r="J261" s="362" t="str">
        <x:v>00:48.25</x:v>
      </x:c>
      <x:c r="K261" s="362" t="str">
        <x:v>Visually verified. | Source frame: f_0097.jpg</x:v>
      </x:c>
      <x:c r="L261" s="362" t="str">
        <x:v>K138_1000025064.mp4</x:v>
      </x:c>
    </x:row>
    <x:row r="262" ht="32" customHeight="1">
      <x:c r="A262" s="362" t="str">
        <x:v>K138</x:v>
      </x:c>
      <x:c r="B262" s="362" t="str">
        <x:v>(RaW)SLAP</x:v>
      </x:c>
      <x:c r="C262" s="362" t="str">
        <x:v>Cavalry</x:v>
      </x:c>
      <x:c r="D262" s="362" t="str">
        <x:v>Storm cavalry</x:v>
      </x:c>
      <x:c r="E262" s="362" t="str">
        <x:v>Horse archer</x:v>
      </x:c>
      <x:c r="F262" s="362" t="n">
        <x:v>48</x:v>
      </x:c>
      <x:c r="G262" s="362" t="str">
        <x:v>Mounted Archery</x:v>
      </x:c>
      <x:c r="H262" s="362" t="str">
        <x:v>Has a certain probability of causing fly-shooting damage</x:v>
      </x:c>
      <x:c r="I262" s="362" t="str">
        <x:v>Unlocked</x:v>
      </x:c>
      <x:c r="J262" s="362" t="str">
        <x:v>00:53.25</x:v>
      </x:c>
      <x:c r="K262" s="362" t="str">
        <x:v>Visually verified. | Source frame: f_0107.jpg</x:v>
      </x:c>
      <x:c r="L262" s="362" t="str">
        <x:v>K138_1000025064.mp4</x:v>
      </x:c>
    </x:row>
    <x:row r="263" ht="32" customHeight="1">
      <x:c r="A263" s="362" t="str">
        <x:v>K138</x:v>
      </x:c>
      <x:c r="B263" s="362" t="str">
        <x:v>(RaW)SLAP</x:v>
      </x:c>
      <x:c r="C263" s="362" t="str">
        <x:v>Siege</x:v>
      </x:c>
      <x:c r="D263" s="362" t="str">
        <x:v>Manglers</x:v>
      </x:c>
      <x:c r="E263" s="362" t="str">
        <x:v>Siege</x:v>
      </x:c>
      <x:c r="F263" s="362" t="n">
        <x:v>41</x:v>
      </x:c>
      <x:c r="G263" s="362" t="str">
        <x:v>Highly toxic</x:v>
      </x:c>
      <x:c r="H263" s="362" t="str">
        <x:v>Inflict continuous toxic damage</x:v>
      </x:c>
      <x:c r="I263" s="362" t="str">
        <x:v>Unlocked</x:v>
      </x:c>
      <x:c r="J263" s="362" t="str">
        <x:v>00:50.75</x:v>
      </x:c>
      <x:c r="K263" s="362" t="str">
        <x:v>Visually verified. | Source frame: f_0102.jpg</x:v>
      </x:c>
      <x:c r="L263" s="362" t="str">
        <x:v>K138_1000025064.mp4</x:v>
      </x:c>
    </x:row>
    <x:row r="264" ht="32" customHeight="1">
      <x:c r="A264" s="362" t="str">
        <x:v>K138</x:v>
      </x:c>
      <x:c r="B264" s="362" t="str">
        <x:v>(RaW)༺Aryz༻</x:v>
      </x:c>
      <x:c r="C264" s="362" t="str">
        <x:v>Archers</x:v>
      </x:c>
      <x:c r="D264" s="362" t="str">
        <x:v>Elite bowmen</x:v>
      </x:c>
      <x:c r="E264" s="362" t="str">
        <x:v>Archer</x:v>
      </x:c>
      <x:c r="F264" s="362" t="n">
        <x:v>40</x:v>
      </x:c>
      <x:c r="G264" s="362" t="str">
        <x:v>Frost Arrow</x:v>
      </x:c>
      <x:c r="H264" s="362" t="str">
        <x:v>Has a higher probability of activating ice damage</x:v>
      </x:c>
      <x:c r="I264" s="362" t="str">
        <x:v>Unlocked</x:v>
      </x:c>
      <x:c r="J264" s="362" t="str">
        <x:v>01:06.75</x:v>
      </x:c>
      <x:c r="K264" s="362" t="str">
        <x:v>Visually verified. | Source frame: f_0134.jpg</x:v>
      </x:c>
      <x:c r="L264" s="362" t="str">
        <x:v>K138_1000025064.mp4</x:v>
      </x:c>
    </x:row>
    <x:row r="265" ht="32" customHeight="1">
      <x:c r="A265" s="362" t="str">
        <x:v>K138</x:v>
      </x:c>
      <x:c r="B265" s="362" t="str">
        <x:v>(RaW)༺Aryz༻</x:v>
      </x:c>
      <x:c r="C265" s="362" t="str">
        <x:v>Cavalry</x:v>
      </x:c>
      <x:c r="D265" s="362" t="str">
        <x:v>Eternal knights</x:v>
      </x:c>
      <x:c r="E265" s="362" t="str">
        <x:v>Heavy Cavalry</x:v>
      </x:c>
      <x:c r="F265" s="362" t="n">
        <x:v>46</x:v>
      </x:c>
      <x:c r="G265" s="362" t="str">
        <x:v>Thunder trample</x:v>
      </x:c>
      <x:c r="H265" s="362" t="str">
        <x:v>Has a certain probability of causing trampling damage</x:v>
      </x:c>
      <x:c r="I265" s="362" t="str">
        <x:v>Unlocked</x:v>
      </x:c>
      <x:c r="J265" s="362" t="str">
        <x:v>01:05.75</x:v>
      </x:c>
      <x:c r="K265" s="362" t="str">
        <x:v>Visually verified. | Source frame: f_0132.jpg</x:v>
      </x:c>
      <x:c r="L265" s="362" t="str">
        <x:v>K138_1000025064.mp4</x:v>
      </x:c>
    </x:row>
    <x:row r="266" ht="32" customHeight="1">
      <x:c r="A266" s="362" t="str">
        <x:v>K138</x:v>
      </x:c>
      <x:c r="B266" s="362" t="str">
        <x:v>(RaW)༺Aryz༻</x:v>
      </x:c>
      <x:c r="C266" s="362" t="str">
        <x:v>Cavalry</x:v>
      </x:c>
      <x:c r="D266" s="362" t="str">
        <x:v>Storm cavalry</x:v>
      </x:c>
      <x:c r="E266" s="362" t="str">
        <x:v>Horse archer</x:v>
      </x:c>
      <x:c r="F266" s="362" t="n">
        <x:v>46</x:v>
      </x:c>
      <x:c r="G266" s="362" t="str">
        <x:v>Mounted Archery</x:v>
      </x:c>
      <x:c r="H266" s="362" t="str">
        <x:v>Has a certain probability of causing fly-shooting damage</x:v>
      </x:c>
      <x:c r="I266" s="362" t="str">
        <x:v>Unlocked</x:v>
      </x:c>
      <x:c r="J266" s="362" t="str">
        <x:v>01:08.75</x:v>
      </x:c>
      <x:c r="K266" s="362" t="str">
        <x:v>Visually verified. | Source frame: f_0138.jpg</x:v>
      </x:c>
      <x:c r="L266" s="362" t="str">
        <x:v>K138_1000025064.mp4</x:v>
      </x:c>
    </x:row>
    <x:row r="267" ht="32" customHeight="1">
      <x:c r="A267" s="362" t="str">
        <x:v>K138</x:v>
      </x:c>
      <x:c r="B267" s="362" t="str">
        <x:v>(RaW)༺Aryz༻</x:v>
      </x:c>
      <x:c r="C267" s="362" t="str">
        <x:v>Siege</x:v>
      </x:c>
      <x:c r="D267" s="362" t="str">
        <x:v>Manglers</x:v>
      </x:c>
      <x:c r="E267" s="362" t="str">
        <x:v>Siege</x:v>
      </x:c>
      <x:c r="F267" s="362" t="n">
        <x:v>42</x:v>
      </x:c>
      <x:c r="G267" s="362" t="str">
        <x:v>Highly toxic</x:v>
      </x:c>
      <x:c r="H267" s="362" t="str">
        <x:v>Inflict continuous toxic damage</x:v>
      </x:c>
      <x:c r="I267" s="362" t="str">
        <x:v>Unlocked</x:v>
      </x:c>
      <x:c r="J267" s="362" t="str">
        <x:v>01:07.75</x:v>
      </x:c>
      <x:c r="K267" s="362" t="str">
        <x:v>Visually verified. | Source frame: f_0136.jpg</x:v>
      </x:c>
      <x:c r="L267" s="362" t="str">
        <x:v>K138_1000025064.mp4</x:v>
      </x:c>
    </x:row>
    <x:row r="268" ht="32" customHeight="1">
      <x:c r="A268" s="362" t="str">
        <x:v>K138</x:v>
      </x:c>
      <x:c r="B268" s="362" t="str">
        <x:v>(RaW)©•SGT©•</x:v>
      </x:c>
      <x:c r="C268" s="362" t="str">
        <x:v>Guards</x:v>
      </x:c>
      <x:c r="D268" s="362" t="str">
        <x:v>Destroyers</x:v>
      </x:c>
      <x:c r="E268" s="362" t="str">
        <x:v>Guard</x:v>
      </x:c>
      <x:c r="F268" s="362" t="n">
        <x:v>47</x:v>
      </x:c>
      <x:c r="G268" s="362" t="str">
        <x:v>Parry</x:v>
      </x:c>
      <x:c r="H268" s="362" t="str">
        <x:v>Provides a parry effect and a certain probability to increase damage</x:v>
      </x:c>
      <x:c r="I268" s="362" t="str">
        <x:v>Unlocked</x:v>
      </x:c>
      <x:c r="J268" s="362" t="str">
        <x:v>01:18.25</x:v>
      </x:c>
      <x:c r="K268" s="362" t="str">
        <x:v>Visually verified; part of the tooltip was crossed by an in-game rally banner, but all requested fields remained legible. | Source frame: f_0157.jpg</x:v>
      </x:c>
      <x:c r="L268" s="362" t="str">
        <x:v>K138_1000025064.mp4</x:v>
      </x:c>
    </x:row>
    <x:row r="269" ht="32" customHeight="1">
      <x:c r="A269" s="362" t="str">
        <x:v>K138</x:v>
      </x:c>
      <x:c r="B269" s="362" t="str">
        <x:v>(RaW)©•SGT©•</x:v>
      </x:c>
      <x:c r="C269" s="362" t="str">
        <x:v>Archers</x:v>
      </x:c>
      <x:c r="D269" s="362" t="str">
        <x:v>Elite bowmen</x:v>
      </x:c>
      <x:c r="E269" s="362" t="str">
        <x:v>Archer</x:v>
      </x:c>
      <x:c r="F269" s="362" t="n">
        <x:v>48</x:v>
      </x:c>
      <x:c r="G269" s="362" t="str">
        <x:v>Frost Arrow</x:v>
      </x:c>
      <x:c r="H269" s="362" t="str">
        <x:v>Has a higher probability of activating ice damage</x:v>
      </x:c>
      <x:c r="I269" s="362" t="str">
        <x:v>Unlocked</x:v>
      </x:c>
      <x:c r="J269" s="362" t="str">
        <x:v>01:19.75</x:v>
      </x:c>
      <x:c r="K269" s="362" t="str">
        <x:v>Visually verified. | Source frame: f_0160.jpg</x:v>
      </x:c>
      <x:c r="L269" s="362" t="str">
        <x:v>K138_1000025064.mp4</x:v>
      </x:c>
    </x:row>
    <x:row r="270" ht="32" customHeight="1">
      <x:c r="A270" s="362" t="str">
        <x:v>K138</x:v>
      </x:c>
      <x:c r="B270" s="362" t="str">
        <x:v>(RaW)©•SGT©•</x:v>
      </x:c>
      <x:c r="C270" s="362" t="str">
        <x:v>Cavalry</x:v>
      </x:c>
      <x:c r="D270" s="362" t="str">
        <x:v>Storm cavalry</x:v>
      </x:c>
      <x:c r="E270" s="362" t="str">
        <x:v>Horse archer</x:v>
      </x:c>
      <x:c r="F270" s="362" t="n">
        <x:v>23</x:v>
      </x:c>
      <x:c r="G270" s="362" t="str">
        <x:v>Mounted Archery</x:v>
      </x:c>
      <x:c r="H270" s="362" t="str">
        <x:v>Has a certain probability of causing fly-shooting damage</x:v>
      </x:c>
      <x:c r="I270" s="362" t="str">
        <x:v>Unlocked</x:v>
      </x:c>
      <x:c r="J270" s="362" t="str">
        <x:v>01:20.75</x:v>
      </x:c>
      <x:c r="K270" s="362" t="str">
        <x:v>Visually verified; title partly crossed by an in-game rally banner but readable. | Source frame: f_0162.jpg</x:v>
      </x:c>
      <x:c r="L270" s="362" t="str">
        <x:v>K138_1000025064.mp4</x:v>
      </x:c>
    </x:row>
    <x:row r="271" ht="32" customHeight="1">
      <x:c r="A271" s="362" t="str">
        <x:v>K138</x:v>
      </x:c>
      <x:c r="B271" s="362" t="str">
        <x:v>(RaW)JØNS</x:v>
      </x:c>
      <x:c r="C271" s="362" t="str">
        <x:v>Guards</x:v>
      </x:c>
      <x:c r="D271" s="362" t="str">
        <x:v>Destroyers</x:v>
      </x:c>
      <x:c r="E271" s="362" t="str">
        <x:v>Guard</x:v>
      </x:c>
      <x:c r="F271" s="362" t="n">
        <x:v>22</x:v>
      </x:c>
      <x:c r="G271" s="362" t="str">
        <x:v>Parry</x:v>
      </x:c>
      <x:c r="H271" s="362" t="str">
        <x:v>Provides a parry effect and a certain probability to increase damage</x:v>
      </x:c>
      <x:c r="I271" s="362" t="str">
        <x:v>Unlocked</x:v>
      </x:c>
      <x:c r="J271" s="362" t="str">
        <x:v>01:28.25</x:v>
      </x:c>
      <x:c r="K271" s="362" t="str">
        <x:v>Visually verified; tooltip crossed by an in-game rally banner, but requested fields are legible. | Source frame: f_0177.jpg</x:v>
      </x:c>
      <x:c r="L271" s="362" t="str">
        <x:v>K138_1000025064.mp4</x:v>
      </x:c>
    </x:row>
    <x:row r="272" ht="32" customHeight="1">
      <x:c r="A272" s="362" t="str">
        <x:v>K138</x:v>
      </x:c>
      <x:c r="B272" s="362" t="str">
        <x:v>(RaW)JØNS</x:v>
      </x:c>
      <x:c r="C272" s="362" t="str">
        <x:v>Archers</x:v>
      </x:c>
      <x:c r="D272" s="362" t="str">
        <x:v>Elite bowmen</x:v>
      </x:c>
      <x:c r="E272" s="362" t="str">
        <x:v>Archer</x:v>
      </x:c>
      <x:c r="F272" s="362" t="n">
        <x:v>39</x:v>
      </x:c>
      <x:c r="G272" s="362" t="str">
        <x:v>Frost Arrow</x:v>
      </x:c>
      <x:c r="H272" s="362" t="str">
        <x:v>Has a higher probability of activating ice damage</x:v>
      </x:c>
      <x:c r="I272" s="362" t="str">
        <x:v>Unlocked</x:v>
      </x:c>
      <x:c r="J272" s="362" t="str">
        <x:v>01:29.25</x:v>
      </x:c>
      <x:c r="K272" s="362" t="str">
        <x:v>Visually verified. | Source frame: f_0179.jpg</x:v>
      </x:c>
      <x:c r="L272" s="362" t="str">
        <x:v>K138_1000025064.mp4</x:v>
      </x:c>
    </x:row>
    <x:row r="273" ht="32" customHeight="1">
      <x:c r="A273" s="362" t="str">
        <x:v>K138</x:v>
      </x:c>
      <x:c r="B273" s="362" t="str">
        <x:v>(RaW)༺Frankie༻</x:v>
      </x:c>
      <x:c r="C273" s="362" t="str">
        <x:v>Guards</x:v>
      </x:c>
      <x:c r="D273" s="362" t="str">
        <x:v>Destroyers</x:v>
      </x:c>
      <x:c r="E273" s="362" t="str">
        <x:v>Guard</x:v>
      </x:c>
      <x:c r="F273" s="362" t="n">
        <x:v>50</x:v>
      </x:c>
      <x:c r="G273" s="362" t="str">
        <x:v>Parry</x:v>
      </x:c>
      <x:c r="H273" s="362" t="str">
        <x:v>Provides a parry effect and a certain probability to increase damage</x:v>
      </x:c>
      <x:c r="I273" s="362" t="str">
        <x:v>Unlocked</x:v>
      </x:c>
      <x:c r="J273" s="362" t="str">
        <x:v>01:36.75</x:v>
      </x:c>
      <x:c r="K273" s="362" t="str">
        <x:v>Visually verified. | Source frame: f_0194.jpg</x:v>
      </x:c>
      <x:c r="L273" s="362" t="str">
        <x:v>K138_1000025064.mp4</x:v>
      </x:c>
    </x:row>
    <x:row r="274" ht="32" customHeight="1">
      <x:c r="A274" s="362" t="str">
        <x:v>K138</x:v>
      </x:c>
      <x:c r="B274" s="362" t="str">
        <x:v>(RaW)༺Frankie༻</x:v>
      </x:c>
      <x:c r="C274" s="362" t="str">
        <x:v>Archers</x:v>
      </x:c>
      <x:c r="D274" s="362" t="str">
        <x:v>Elite bowmen</x:v>
      </x:c>
      <x:c r="E274" s="362" t="str">
        <x:v>Archer</x:v>
      </x:c>
      <x:c r="F274" s="362" t="n">
        <x:v>33</x:v>
      </x:c>
      <x:c r="G274" s="362" t="str">
        <x:v>Frost Arrow</x:v>
      </x:c>
      <x:c r="H274" s="362" t="str">
        <x:v>Has a higher probability of activating ice damage</x:v>
      </x:c>
      <x:c r="I274" s="362" t="str">
        <x:v>Unlocked</x:v>
      </x:c>
      <x:c r="J274" s="362" t="str">
        <x:v>01:38.75</x:v>
      </x:c>
      <x:c r="K274" s="362" t="str">
        <x:v>Visually verified. | Source frame: f_0198.jpg</x:v>
      </x:c>
      <x:c r="L274" s="362" t="str">
        <x:v>K138_1000025064.mp4</x:v>
      </x:c>
    </x:row>
    <x:row r="275" ht="32" customHeight="1">
      <x:c r="A275" s="362" t="str">
        <x:v>K138</x:v>
      </x:c>
      <x:c r="B275" s="362" t="str">
        <x:v>(RaW)༺Frankie༻</x:v>
      </x:c>
      <x:c r="C275" s="362" t="str">
        <x:v>Cavalry</x:v>
      </x:c>
      <x:c r="D275" s="362" t="str">
        <x:v>Eternal knights</x:v>
      </x:c>
      <x:c r="E275" s="362" t="str">
        <x:v>Heavy Cavalry</x:v>
      </x:c>
      <x:c r="F275" s="362" t="n">
        <x:v>45</x:v>
      </x:c>
      <x:c r="G275" s="362" t="str">
        <x:v>Thunder trample</x:v>
      </x:c>
      <x:c r="H275" s="362" t="str">
        <x:v>Has a certain probability of causing trampling damage</x:v>
      </x:c>
      <x:c r="I275" s="362" t="str">
        <x:v>Unlocked</x:v>
      </x:c>
      <x:c r="J275" s="362" t="str">
        <x:v>01:37.75</x:v>
      </x:c>
      <x:c r="K275" s="362" t="str">
        <x:v>Visually verified. | Source frame: f_0196.jpg</x:v>
      </x:c>
      <x:c r="L275" s="362" t="str">
        <x:v>K138_1000025064.mp4</x:v>
      </x:c>
    </x:row>
    <x:row r="276" ht="32" customHeight="1">
      <x:c r="A276" s="362" t="str">
        <x:v>K138</x:v>
      </x:c>
      <x:c r="B276" s="362" t="str">
        <x:v>(RaW)༺Frankie༻</x:v>
      </x:c>
      <x:c r="C276" s="362" t="str">
        <x:v>Cavalry</x:v>
      </x:c>
      <x:c r="D276" s="362" t="str">
        <x:v>Storm cavalry</x:v>
      </x:c>
      <x:c r="E276" s="362" t="str">
        <x:v>Horse archer</x:v>
      </x:c>
      <x:c r="F276" s="362" t="n">
        <x:v>45</x:v>
      </x:c>
      <x:c r="G276" s="362" t="str">
        <x:v>Mounted Archery</x:v>
      </x:c>
      <x:c r="H276" s="362" t="str">
        <x:v>Has a certain probability of causing fly-shooting damage</x:v>
      </x:c>
      <x:c r="I276" s="362" t="str">
        <x:v>Unlocked</x:v>
      </x:c>
      <x:c r="J276" s="362" t="str">
        <x:v>01:41.25</x:v>
      </x:c>
      <x:c r="K276" s="362" t="str">
        <x:v>Visually verified. | Source frame: f_0203.jpg</x:v>
      </x:c>
      <x:c r="L276" s="362" t="str">
        <x:v>K138_1000025064.mp4</x:v>
      </x:c>
    </x:row>
    <x:row r="277" ht="32" customHeight="1">
      <x:c r="A277" s="362" t="str">
        <x:v>K138</x:v>
      </x:c>
      <x:c r="B277" s="362" t="str">
        <x:v>(RaW)༺Frankie༻</x:v>
      </x:c>
      <x:c r="C277" s="362" t="str">
        <x:v>Siege</x:v>
      </x:c>
      <x:c r="D277" s="362" t="str">
        <x:v>Manglers</x:v>
      </x:c>
      <x:c r="E277" s="362" t="str">
        <x:v>Siege</x:v>
      </x:c>
      <x:c r="F277" s="362" t="n">
        <x:v>31</x:v>
      </x:c>
      <x:c r="G277" s="362" t="str">
        <x:v>Highly toxic</x:v>
      </x:c>
      <x:c r="H277" s="362" t="str">
        <x:v>Inflict continuous toxic damage</x:v>
      </x:c>
      <x:c r="I277" s="362" t="str">
        <x:v>Unlocked</x:v>
      </x:c>
      <x:c r="J277" s="362" t="str">
        <x:v>01:39.75</x:v>
      </x:c>
      <x:c r="K277" s="362" t="str">
        <x:v>Visually verified. | Source frame: f_0200.jpg</x:v>
      </x:c>
      <x:c r="L277" s="362" t="str">
        <x:v>K138_1000025064.mp4</x:v>
      </x:c>
    </x:row>
    <x:row r="278" ht="32" customHeight="1">
      <x:c r="A278" s="362" t="str">
        <x:v>K138</x:v>
      </x:c>
      <x:c r="B278" s="362" t="str">
        <x:v>(RaW)Critykal</x:v>
      </x:c>
      <x:c r="C278" s="362" t="str">
        <x:v>Archers</x:v>
      </x:c>
      <x:c r="D278" s="362" t="str">
        <x:v>Elite bowmen</x:v>
      </x:c>
      <x:c r="E278" s="362" t="str">
        <x:v>Archer</x:v>
      </x:c>
      <x:c r="F278" s="362" t="n">
        <x:v>40</x:v>
      </x:c>
      <x:c r="G278" s="362" t="str">
        <x:v>Frost Arrow</x:v>
      </x:c>
      <x:c r="H278" s="362" t="str">
        <x:v>Has a higher probability of activating ice damage</x:v>
      </x:c>
      <x:c r="I278" s="362" t="str">
        <x:v>Unlocked</x:v>
      </x:c>
      <x:c r="J278" s="362" t="str">
        <x:v>01:51.25</x:v>
      </x:c>
      <x:c r="K278" s="362" t="str">
        <x:v>Visually verified. | Source frame: f_0223.jpg</x:v>
      </x:c>
      <x:c r="L278" s="362" t="str">
        <x:v>K138_1000025064.mp4</x:v>
      </x:c>
    </x:row>
    <x:row r="279" ht="32" customHeight="1">
      <x:c r="A279" s="362" t="str">
        <x:v>K138</x:v>
      </x:c>
      <x:c r="B279" s="362" t="str">
        <x:v>(RaW)Critykal</x:v>
      </x:c>
      <x:c r="C279" s="362" t="str">
        <x:v>Cavalry</x:v>
      </x:c>
      <x:c r="D279" s="362" t="str">
        <x:v>Eternal knights</x:v>
      </x:c>
      <x:c r="E279" s="362" t="str">
        <x:v>Heavy Cavalry</x:v>
      </x:c>
      <x:c r="F279" s="362" t="n">
        <x:v>50</x:v>
      </x:c>
      <x:c r="G279" s="362" t="str">
        <x:v>Thunder trample</x:v>
      </x:c>
      <x:c r="H279" s="362" t="str">
        <x:v>Has a certain probability of causing trampling damage</x:v>
      </x:c>
      <x:c r="I279" s="362" t="str">
        <x:v>Unlocked</x:v>
      </x:c>
      <x:c r="J279" s="362" t="str">
        <x:v>01:50.25</x:v>
      </x:c>
      <x:c r="K279" s="362" t="str">
        <x:v>Visually verified. | Source frame: f_0221.jpg</x:v>
      </x:c>
      <x:c r="L279" s="362" t="str">
        <x:v>K138_1000025064.mp4</x:v>
      </x:c>
    </x:row>
    <x:row r="280" ht="32" customHeight="1">
      <x:c r="A280" s="362" t="str">
        <x:v>K138</x:v>
      </x:c>
      <x:c r="B280" s="362" t="str">
        <x:v>(RaW)Critykal</x:v>
      </x:c>
      <x:c r="C280" s="362" t="str">
        <x:v>Cavalry</x:v>
      </x:c>
      <x:c r="D280" s="362" t="str">
        <x:v>Storm cavalry</x:v>
      </x:c>
      <x:c r="E280" s="362" t="str">
        <x:v>Horse archer</x:v>
      </x:c>
      <x:c r="F280" s="362" t="n">
        <x:v>50</x:v>
      </x:c>
      <x:c r="G280" s="362" t="str">
        <x:v>Mounted Archery</x:v>
      </x:c>
      <x:c r="H280" s="362" t="str">
        <x:v>Has a certain probability of causing fly-shooting damage</x:v>
      </x:c>
      <x:c r="I280" s="362" t="str">
        <x:v>Unlocked</x:v>
      </x:c>
      <x:c r="J280" s="362" t="str">
        <x:v>01:53.25</x:v>
      </x:c>
      <x:c r="K280" s="362" t="str">
        <x:v>Visually verified. | Source frame: f_0227.jpg</x:v>
      </x:c>
      <x:c r="L280" s="362" t="str">
        <x:v>K138_1000025064.mp4</x:v>
      </x:c>
    </x:row>
    <x:row r="281" ht="32" customHeight="1">
      <x:c r="A281" s="362" t="str">
        <x:v>K138</x:v>
      </x:c>
      <x:c r="B281" s="362" t="str">
        <x:v>(RaW)Critykal</x:v>
      </x:c>
      <x:c r="C281" s="362" t="str">
        <x:v>Siege</x:v>
      </x:c>
      <x:c r="D281" s="362" t="str">
        <x:v>Manglers</x:v>
      </x:c>
      <x:c r="E281" s="362" t="str">
        <x:v>Siege</x:v>
      </x:c>
      <x:c r="F281" s="362" t="n">
        <x:v>40</x:v>
      </x:c>
      <x:c r="G281" s="362" t="str">
        <x:v>Highly toxic</x:v>
      </x:c>
      <x:c r="H281" s="362" t="str">
        <x:v>Inflict continuous toxic damage</x:v>
      </x:c>
      <x:c r="I281" s="362" t="str">
        <x:v>Unlocked</x:v>
      </x:c>
      <x:c r="J281" s="362" t="str">
        <x:v>01:52.25</x:v>
      </x:c>
      <x:c r="K281" s="362" t="str">
        <x:v>Visually verified. | Source frame: f_0225.jpg</x:v>
      </x:c>
      <x:c r="L281" s="362" t="str">
        <x:v>K138_1000025064.mp4</x:v>
      </x:c>
    </x:row>
    <x:row r="282" ht="32" customHeight="1">
      <x:c r="A282" s="362" t="str">
        <x:v>K138</x:v>
      </x:c>
      <x:c r="B282" s="362" t="str">
        <x:v>(RaW)Maddog</x:v>
      </x:c>
      <x:c r="C282" s="362" t="str">
        <x:v>Guards</x:v>
      </x:c>
      <x:c r="D282" s="362" t="str">
        <x:v>Destroyers</x:v>
      </x:c>
      <x:c r="E282" s="362" t="str">
        <x:v>Guard</x:v>
      </x:c>
      <x:c r="F282" s="362" t="n">
        <x:v>50</x:v>
      </x:c>
      <x:c r="G282" s="362" t="str">
        <x:v>Parry</x:v>
      </x:c>
      <x:c r="H282" s="362" t="str">
        <x:v>Provides a parry effect and a certain probability to increase damage</x:v>
      </x:c>
      <x:c r="I282" s="362" t="str">
        <x:v>Unlocked</x:v>
      </x:c>
      <x:c r="J282" s="362" t="str">
        <x:v>02:02.25</x:v>
      </x:c>
      <x:c r="K282" s="362" t="str">
        <x:v>Visually verified. | Source frame: f_0245.jpg</x:v>
      </x:c>
      <x:c r="L282" s="362" t="str">
        <x:v>K138_1000025064.mp4</x:v>
      </x:c>
    </x:row>
    <x:row r="283" ht="32" customHeight="1">
      <x:c r="A283" s="362" t="str">
        <x:v>K138</x:v>
      </x:c>
      <x:c r="B283" s="362" t="str">
        <x:v>(RaW)Maddog</x:v>
      </x:c>
      <x:c r="C283" s="362" t="str">
        <x:v>Archers</x:v>
      </x:c>
      <x:c r="D283" s="362" t="str">
        <x:v>Elite bowmen</x:v>
      </x:c>
      <x:c r="E283" s="362" t="str">
        <x:v>Archer</x:v>
      </x:c>
      <x:c r="F283" s="362" t="n">
        <x:v>44</x:v>
      </x:c>
      <x:c r="G283" s="362" t="str">
        <x:v>Frost Arrow</x:v>
      </x:c>
      <x:c r="H283" s="362" t="str">
        <x:v>Has a higher probability of activating ice damage</x:v>
      </x:c>
      <x:c r="I283" s="362" t="str">
        <x:v>Unlocked</x:v>
      </x:c>
      <x:c r="J283" s="362" t="str">
        <x:v>02:03.25</x:v>
      </x:c>
      <x:c r="K283" s="362" t="str">
        <x:v>Visually verified. | Source frame: f_0247.jpg</x:v>
      </x:c>
      <x:c r="L283" s="362" t="str">
        <x:v>K138_1000025064.mp4</x:v>
      </x:c>
    </x:row>
    <x:row r="284" ht="32" customHeight="1">
      <x:c r="A284" s="362" t="str">
        <x:v>K138</x:v>
      </x:c>
      <x:c r="B284" s="362" t="str">
        <x:v>(RaW)Maddog</x:v>
      </x:c>
      <x:c r="C284" s="362" t="str">
        <x:v>Cavalry</x:v>
      </x:c>
      <x:c r="D284" s="362" t="str">
        <x:v>Storm cavalry</x:v>
      </x:c>
      <x:c r="E284" s="362" t="str">
        <x:v>Horse archer</x:v>
      </x:c>
      <x:c r="F284" s="362" t="n">
        <x:v>25</x:v>
      </x:c>
      <x:c r="G284" s="362" t="str">
        <x:v>Mounted Archery</x:v>
      </x:c>
      <x:c r="H284" s="362" t="str">
        <x:v>Has a certain probability of causing fly-shooting damage</x:v>
      </x:c>
      <x:c r="I284" s="362" t="str">
        <x:v>Unlocked</x:v>
      </x:c>
      <x:c r="J284" s="362" t="str">
        <x:v>02:04.25</x:v>
      </x:c>
      <x:c r="K284" s="362" t="str">
        <x:v>Visually verified. | Source frame: f_0249.jpg</x:v>
      </x:c>
      <x:c r="L284" s="362" t="str">
        <x:v>K138_1000025064.mp4</x:v>
      </x:c>
    </x:row>
    <x:row r="285" ht="32" customHeight="1">
      <x:c r="A285" s="362" t="str">
        <x:v>K138</x:v>
      </x:c>
      <x:c r="B285" s="362" t="str">
        <x:v>(RaW)BEYKOZLU</x:v>
      </x:c>
      <x:c r="C285" s="362" t="str">
        <x:v>Guards</x:v>
      </x:c>
      <x:c r="D285" s="362" t="str">
        <x:v>Destroyers</x:v>
      </x:c>
      <x:c r="E285" s="362" t="str">
        <x:v>Guard</x:v>
      </x:c>
      <x:c r="F285" s="362" t="n">
        <x:v>48</x:v>
      </x:c>
      <x:c r="G285" s="362" t="str">
        <x:v>Parry</x:v>
      </x:c>
      <x:c r="H285" s="362" t="str">
        <x:v>Provides a parry effect and a certain probability to increase damage</x:v>
      </x:c>
      <x:c r="I285" s="362" t="str">
        <x:v>Unlocked</x:v>
      </x:c>
      <x:c r="J285" s="362" t="str">
        <x:v>00:02:12.00</x:v>
      </x:c>
      <x:c r="K285" s="362" t="str">
        <x:v>Visually confirmed; skill shown as Parry(unlocked).</x:v>
      </x:c>
      <x:c r="L285" s="362" t="str">
        <x:v>K138_1000025064.mp4</x:v>
      </x:c>
    </x:row>
    <x:row r="286" ht="32" customHeight="1">
      <x:c r="A286" s="362" t="str">
        <x:v>K138</x:v>
      </x:c>
      <x:c r="B286" s="362" t="str">
        <x:v>(RaW)BEYKOZLU</x:v>
      </x:c>
      <x:c r="C286" s="362" t="str">
        <x:v>Archers</x:v>
      </x:c>
      <x:c r="D286" s="362" t="str">
        <x:v>Elite bowmen</x:v>
      </x:c>
      <x:c r="E286" s="362" t="str">
        <x:v>Archer</x:v>
      </x:c>
      <x:c r="F286" s="362" t="n">
        <x:v>43</x:v>
      </x:c>
      <x:c r="G286" s="362" t="str">
        <x:v>Frost Arrow</x:v>
      </x:c>
      <x:c r="H286" s="362" t="str">
        <x:v>Has a higher probability of activating ice damage</x:v>
      </x:c>
      <x:c r="I286" s="362" t="str">
        <x:v>Unlocked</x:v>
      </x:c>
      <x:c r="J286" s="362" t="str">
        <x:v>00:02:13.00</x:v>
      </x:c>
      <x:c r="K286" s="362" t="str">
        <x:v>Visually confirmed; skill shown as Frost Arrow(unlocked).</x:v>
      </x:c>
      <x:c r="L286" s="362" t="str">
        <x:v>K138_1000025064.mp4</x:v>
      </x:c>
    </x:row>
    <x:row r="287" ht="32" customHeight="1">
      <x:c r="A287" s="362" t="str">
        <x:v>K138</x:v>
      </x:c>
      <x:c r="B287" s="362" t="str">
        <x:v>(RaW)BEYKOZLU</x:v>
      </x:c>
      <x:c r="C287" s="362" t="str">
        <x:v>Cavalry</x:v>
      </x:c>
      <x:c r="D287" s="362" t="str">
        <x:v>Storm cavalry</x:v>
      </x:c>
      <x:c r="E287" s="362" t="str">
        <x:v>Horse archer</x:v>
      </x:c>
      <x:c r="F287" s="362" t="n">
        <x:v>48</x:v>
      </x:c>
      <x:c r="G287" s="362" t="str">
        <x:v>Mounted Archery</x:v>
      </x:c>
      <x:c r="H287" s="362" t="str">
        <x:v>Has a certain probability of causing fly-shooting damage</x:v>
      </x:c>
      <x:c r="I287" s="362" t="str">
        <x:v>Unlocked</x:v>
      </x:c>
      <x:c r="J287" s="362" t="str">
        <x:v>00:02:14.25</x:v>
      </x:c>
      <x:c r="K287" s="362" t="str">
        <x:v>Visually confirmed; skill shown as Mounted Archery(unlocked).</x:v>
      </x:c>
      <x:c r="L287" s="362" t="str">
        <x:v>K138_1000025064.mp4</x:v>
      </x:c>
    </x:row>
    <x:row r="288" ht="32" customHeight="1">
      <x:c r="A288" s="362" t="str">
        <x:v>K138</x:v>
      </x:c>
      <x:c r="B288" s="362" t="str">
        <x:v>(RaW)༺ASOS༻</x:v>
      </x:c>
      <x:c r="C288" s="362" t="str">
        <x:v>Guards</x:v>
      </x:c>
      <x:c r="D288" s="362" t="str">
        <x:v>Destroyers</x:v>
      </x:c>
      <x:c r="E288" s="362" t="str">
        <x:v>Guard</x:v>
      </x:c>
      <x:c r="F288" s="362" t="n">
        <x:v>45</x:v>
      </x:c>
      <x:c r="G288" s="362" t="str">
        <x:v>Parry</x:v>
      </x:c>
      <x:c r="H288" s="362" t="str">
        <x:v>Provides a parry effect and a certain probability to increase damage</x:v>
      </x:c>
      <x:c r="I288" s="362" t="str">
        <x:v>Unlocked</x:v>
      </x:c>
      <x:c r="J288" s="362" t="str">
        <x:v>00:02:21.00</x:v>
      </x:c>
      <x:c r="K288" s="362" t="str">
        <x:v>Visually confirmed; skill shown as Parry(unlocked).</x:v>
      </x:c>
      <x:c r="L288" s="362" t="str">
        <x:v>K138_1000025064.mp4</x:v>
      </x:c>
    </x:row>
    <x:row r="289" ht="32" customHeight="1">
      <x:c r="A289" s="362" t="str">
        <x:v>K138</x:v>
      </x:c>
      <x:c r="B289" s="362" t="str">
        <x:v>(RaW)༺ASOS༻</x:v>
      </x:c>
      <x:c r="C289" s="362" t="str">
        <x:v>Archers</x:v>
      </x:c>
      <x:c r="D289" s="362" t="str">
        <x:v>Elite bowmen</x:v>
      </x:c>
      <x:c r="E289" s="362" t="str">
        <x:v>Archer</x:v>
      </x:c>
      <x:c r="F289" s="362" t="n">
        <x:v>46</x:v>
      </x:c>
      <x:c r="G289" s="362" t="str">
        <x:v>Frost Arrow</x:v>
      </x:c>
      <x:c r="H289" s="362" t="str">
        <x:v>Has a higher probability of activating ice damage</x:v>
      </x:c>
      <x:c r="I289" s="362" t="str">
        <x:v>Unlocked</x:v>
      </x:c>
      <x:c r="J289" s="362" t="str">
        <x:v>00:02:21.75</x:v>
      </x:c>
      <x:c r="K289" s="362" t="str">
        <x:v>Visually confirmed; skill shown as Frost Arrow(unlocked). No other specialisation tooltip was opened for this player.</x:v>
      </x:c>
      <x:c r="L289" s="362" t="str">
        <x:v>K138_1000025064.mp4</x:v>
      </x:c>
    </x:row>
    <x:row r="290" ht="32" customHeight="1">
      <x:c r="A290" s="362" t="str">
        <x:v>K138</x:v>
      </x:c>
      <x:c r="B290" s="362" t="str">
        <x:v>(RaW)Nightmare</x:v>
      </x:c>
      <x:c r="C290" s="362" t="str">
        <x:v>Guards</x:v>
      </x:c>
      <x:c r="D290" s="362" t="str">
        <x:v>Destroyers</x:v>
      </x:c>
      <x:c r="E290" s="362" t="str">
        <x:v>Guard</x:v>
      </x:c>
      <x:c r="F290" s="362" t="n">
        <x:v>45</x:v>
      </x:c>
      <x:c r="G290" s="362" t="str">
        <x:v>Parry</x:v>
      </x:c>
      <x:c r="H290" s="362" t="str">
        <x:v>Provides a parry effect and a certain probability to increase damage</x:v>
      </x:c>
      <x:c r="I290" s="362" t="str">
        <x:v>Unlocked</x:v>
      </x:c>
      <x:c r="J290" s="362" t="str">
        <x:v>00:02:29.75</x:v>
      </x:c>
      <x:c r="K290" s="362" t="str">
        <x:v>Visually confirmed; skill shown as Parry(unlocked).</x:v>
      </x:c>
      <x:c r="L290" s="362" t="str">
        <x:v>K138_1000025064.mp4</x:v>
      </x:c>
    </x:row>
    <x:row r="291" ht="32" customHeight="1">
      <x:c r="A291" s="362" t="str">
        <x:v>K138</x:v>
      </x:c>
      <x:c r="B291" s="362" t="str">
        <x:v>(RaW)Nightmare</x:v>
      </x:c>
      <x:c r="C291" s="362" t="str">
        <x:v>Archers</x:v>
      </x:c>
      <x:c r="D291" s="362" t="str">
        <x:v>Elite bowmen</x:v>
      </x:c>
      <x:c r="E291" s="362" t="str">
        <x:v>Archer</x:v>
      </x:c>
      <x:c r="F291" s="362" t="n">
        <x:v>45</x:v>
      </x:c>
      <x:c r="G291" s="362" t="str">
        <x:v>Frost Arrow</x:v>
      </x:c>
      <x:c r="H291" s="362" t="str">
        <x:v>Has a higher probability of activating ice damage</x:v>
      </x:c>
      <x:c r="I291" s="362" t="str">
        <x:v>Unlocked</x:v>
      </x:c>
      <x:c r="J291" s="362" t="str">
        <x:v>00:02:30.75</x:v>
      </x:c>
      <x:c r="K291" s="362" t="str">
        <x:v>Visually confirmed; skill shown as Frost Arrow(unlocked).</x:v>
      </x:c>
      <x:c r="L291" s="362" t="str">
        <x:v>K138_1000025064.mp4</x:v>
      </x:c>
    </x:row>
    <x:row r="292" ht="32" customHeight="1">
      <x:c r="A292" s="362" t="str">
        <x:v>K138</x:v>
      </x:c>
      <x:c r="B292" s="362" t="str">
        <x:v>(RaW)Nightmare</x:v>
      </x:c>
      <x:c r="C292" s="362" t="str">
        <x:v>Cavalry</x:v>
      </x:c>
      <x:c r="D292" s="362" t="str">
        <x:v>Storm cavalry</x:v>
      </x:c>
      <x:c r="E292" s="362" t="str">
        <x:v>Horse archer</x:v>
      </x:c>
      <x:c r="F292" s="362" t="n">
        <x:v>44</x:v>
      </x:c>
      <x:c r="G292" s="362" t="str">
        <x:v>Mounted Archery</x:v>
      </x:c>
      <x:c r="H292" s="362" t="str">
        <x:v>Has a certain probability of causing fly-shooting damage</x:v>
      </x:c>
      <x:c r="I292" s="362" t="str">
        <x:v>Unlocked</x:v>
      </x:c>
      <x:c r="J292" s="362" t="str">
        <x:v>00:02:32.00</x:v>
      </x:c>
      <x:c r="K292" s="362" t="str">
        <x:v>Visually confirmed; skill shown as Mounted Archery(unlocked).</x:v>
      </x:c>
      <x:c r="L292" s="362" t="str">
        <x:v>K138_1000025064.mp4</x:v>
      </x:c>
    </x:row>
    <x:row r="293" ht="32" customHeight="1">
      <x:c r="A293" s="362" t="str">
        <x:v>K138</x:v>
      </x:c>
      <x:c r="B293" s="362" t="str">
        <x:v>(RaW)MARYEL</x:v>
      </x:c>
      <x:c r="C293" s="362" t="str">
        <x:v>Guards</x:v>
      </x:c>
      <x:c r="D293" s="362" t="str">
        <x:v>Destroyers</x:v>
      </x:c>
      <x:c r="E293" s="362" t="str">
        <x:v>Guard</x:v>
      </x:c>
      <x:c r="F293" s="362" t="n">
        <x:v>50</x:v>
      </x:c>
      <x:c r="G293" s="362" t="str">
        <x:v>Parry</x:v>
      </x:c>
      <x:c r="H293" s="362" t="str">
        <x:v>Provides a parry effect and a certain probability to increase damage</x:v>
      </x:c>
      <x:c r="I293" s="362" t="str">
        <x:v>Unlocked</x:v>
      </x:c>
      <x:c r="J293" s="362" t="str">
        <x:v>00:02:40.50</x:v>
      </x:c>
      <x:c r="K293" s="362" t="str">
        <x:v>Visually confirmed; skill shown as Parry(unlocked).</x:v>
      </x:c>
      <x:c r="L293" s="362" t="str">
        <x:v>K138_1000025064.mp4</x:v>
      </x:c>
    </x:row>
    <x:row r="294" ht="32" customHeight="1">
      <x:c r="A294" s="362" t="str">
        <x:v>K138</x:v>
      </x:c>
      <x:c r="B294" s="362" t="str">
        <x:v>(RaW)MARYEL</x:v>
      </x:c>
      <x:c r="C294" s="362" t="str">
        <x:v>Archers</x:v>
      </x:c>
      <x:c r="D294" s="362" t="str">
        <x:v>Elite bowmen</x:v>
      </x:c>
      <x:c r="E294" s="362" t="str">
        <x:v>Archer</x:v>
      </x:c>
      <x:c r="F294" s="362" t="n">
        <x:v>40</x:v>
      </x:c>
      <x:c r="G294" s="362" t="str">
        <x:v>Frost Arrow</x:v>
      </x:c>
      <x:c r="H294" s="362" t="str">
        <x:v>Has a higher probability of activating ice damage</x:v>
      </x:c>
      <x:c r="I294" s="362" t="str">
        <x:v>Unlocked</x:v>
      </x:c>
      <x:c r="J294" s="362" t="str">
        <x:v>00:02:41.50</x:v>
      </x:c>
      <x:c r="K294" s="362" t="str">
        <x:v>Visually confirmed; skill shown as Frost Arrow(unlocked).</x:v>
      </x:c>
      <x:c r="L294" s="362" t="str">
        <x:v>K138_1000025064.mp4</x:v>
      </x:c>
    </x:row>
    <x:row r="295" ht="32" customHeight="1">
      <x:c r="A295" s="362" t="str">
        <x:v>K138</x:v>
      </x:c>
      <x:c r="B295" s="362" t="str">
        <x:v>(RaW)MARYEL</x:v>
      </x:c>
      <x:c r="C295" s="362" t="str">
        <x:v>Cavalry</x:v>
      </x:c>
      <x:c r="D295" s="362" t="str">
        <x:v>Storm cavalry</x:v>
      </x:c>
      <x:c r="E295" s="362" t="str">
        <x:v>Horse archer</x:v>
      </x:c>
      <x:c r="F295" s="362" t="n">
        <x:v>29</x:v>
      </x:c>
      <x:c r="G295" s="362" t="str">
        <x:v>Mounted Archery</x:v>
      </x:c>
      <x:c r="H295" s="362" t="str">
        <x:v>Has a certain probability of causing fly-shooting damage</x:v>
      </x:c>
      <x:c r="I295" s="362" t="str">
        <x:v>Unlocked</x:v>
      </x:c>
      <x:c r="J295" s="362" t="str">
        <x:v>00:02:42.25</x:v>
      </x:c>
      <x:c r="K295" s="362" t="str">
        <x:v>Visually confirmed; skill shown as Mounted Archery(unlocked).</x:v>
      </x:c>
      <x:c r="L295" s="362" t="str">
        <x:v>K138_1000025064.mp4</x:v>
      </x:c>
    </x:row>
    <x:row r="296" ht="32" customHeight="1">
      <x:c r="A296" s="362" t="str">
        <x:v>K138</x:v>
      </x:c>
      <x:c r="B296" s="362" t="str">
        <x:v>(RaW)༺惊鸿༻</x:v>
      </x:c>
      <x:c r="C296" s="362" t="str">
        <x:v>Archers</x:v>
      </x:c>
      <x:c r="D296" s="362" t="str">
        <x:v>Elite bowmen</x:v>
      </x:c>
      <x:c r="E296" s="362" t="str">
        <x:v>Archer</x:v>
      </x:c>
      <x:c r="F296" s="362" t="n">
        <x:v>46</x:v>
      </x:c>
      <x:c r="G296" s="362" t="str">
        <x:v>Frost Arrow</x:v>
      </x:c>
      <x:c r="H296" s="362" t="str">
        <x:v>Has a higher probability of activating ice damage</x:v>
      </x:c>
      <x:c r="I296" s="362" t="str">
        <x:v>Unlocked</x:v>
      </x:c>
      <x:c r="J296" s="362" t="str">
        <x:v>00:02:51.25</x:v>
      </x:c>
      <x:c r="K296" s="362" t="str">
        <x:v>Visually confirmed; skill shown as Frost Arrow(unlocked).</x:v>
      </x:c>
      <x:c r="L296" s="362" t="str">
        <x:v>K138_1000025064.mp4</x:v>
      </x:c>
    </x:row>
    <x:row r="297" ht="32" customHeight="1">
      <x:c r="A297" s="362" t="str">
        <x:v>K138</x:v>
      </x:c>
      <x:c r="B297" s="362" t="str">
        <x:v>(RaW)༺惊鸿༻</x:v>
      </x:c>
      <x:c r="C297" s="362" t="str">
        <x:v>Cavalry</x:v>
      </x:c>
      <x:c r="D297" s="362" t="str">
        <x:v>Eternal knights</x:v>
      </x:c>
      <x:c r="E297" s="362" t="str">
        <x:v>Heavy Cavalry</x:v>
      </x:c>
      <x:c r="F297" s="362" t="n">
        <x:v>40</x:v>
      </x:c>
      <x:c r="G297" s="362" t="str">
        <x:v>Thunder trample</x:v>
      </x:c>
      <x:c r="H297" s="362" t="str">
        <x:v>Has a certain probability of causing trampling damage</x:v>
      </x:c>
      <x:c r="I297" s="362" t="str">
        <x:v>Unlocked</x:v>
      </x:c>
      <x:c r="J297" s="362" t="str">
        <x:v>00:02:50.00</x:v>
      </x:c>
      <x:c r="K297" s="362" t="str">
        <x:v>Visually confirmed; skill shown as Thunder trample(unlocked).</x:v>
      </x:c>
      <x:c r="L297" s="362" t="str">
        <x:v>K138_1000025064.mp4</x:v>
      </x:c>
    </x:row>
    <x:row r="298" ht="32" customHeight="1">
      <x:c r="A298" s="362" t="str">
        <x:v>K138</x:v>
      </x:c>
      <x:c r="B298" s="362" t="str">
        <x:v>(RaW)༺惊鸿༻</x:v>
      </x:c>
      <x:c r="C298" s="362" t="str">
        <x:v>Cavalry</x:v>
      </x:c>
      <x:c r="D298" s="362" t="str">
        <x:v>Storm cavalry</x:v>
      </x:c>
      <x:c r="E298" s="362" t="str">
        <x:v>Horse archer</x:v>
      </x:c>
      <x:c r="F298" s="362" t="n">
        <x:v>50</x:v>
      </x:c>
      <x:c r="G298" s="362" t="str">
        <x:v>Mounted Archery</x:v>
      </x:c>
      <x:c r="H298" s="362" t="str">
        <x:v>Has a certain probability of causing fly-shooting damage</x:v>
      </x:c>
      <x:c r="I298" s="362" t="str">
        <x:v>Unlocked</x:v>
      </x:c>
      <x:c r="J298" s="362" t="str">
        <x:v>00:02:52.25</x:v>
      </x:c>
      <x:c r="K298" s="362" t="str">
        <x:v>Visually confirmed; skill shown as Mounted Archery(unlocked).</x:v>
      </x:c>
      <x:c r="L298" s="362" t="str">
        <x:v>K138_1000025064.mp4</x:v>
      </x:c>
    </x:row>
    <x:row r="299" ht="32" customHeight="1">
      <x:c r="A299" s="362" t="str">
        <x:v>K138</x:v>
      </x:c>
      <x:c r="B299" s="362" t="str">
        <x:v>(RaW)让世界沐浴在血中</x:v>
      </x:c>
      <x:c r="C299" s="362" t="str">
        <x:v>Guards</x:v>
      </x:c>
      <x:c r="D299" s="362" t="str">
        <x:v>Destroyers</x:v>
      </x:c>
      <x:c r="E299" s="362" t="str">
        <x:v>Guard</x:v>
      </x:c>
      <x:c r="F299" s="362" t="n">
        <x:v>40</x:v>
      </x:c>
      <x:c r="G299" s="362" t="str">
        <x:v>Parry</x:v>
      </x:c>
      <x:c r="H299" s="362" t="str">
        <x:v>Provides a parry effect and a certain probability to increase damage</x:v>
      </x:c>
      <x:c r="I299" s="362" t="str">
        <x:v>unlocked</x:v>
      </x:c>
      <x:c r="J299" s="362" t="str">
        <x:v>02:59.50</x:v>
      </x:c>
      <x:c r="K299" s="362" t="str">
        <x:v>Visually verified from the open tooltip; display header reads Destroyers(Guard). | Source frame: f_0015.jpg</x:v>
      </x:c>
      <x:c r="L299" s="362" t="str">
        <x:v>K138_1000025064.mp4</x:v>
      </x:c>
    </x:row>
    <x:row r="300" ht="32" customHeight="1">
      <x:c r="A300" s="362" t="str">
        <x:v>K138</x:v>
      </x:c>
      <x:c r="B300" s="362" t="str">
        <x:v>(RaW)让世界沐浴在血中</x:v>
      </x:c>
      <x:c r="C300" s="362" t="str">
        <x:v>Archers</x:v>
      </x:c>
      <x:c r="D300" s="362" t="str">
        <x:v>Elite bowmen</x:v>
      </x:c>
      <x:c r="E300" s="362" t="str">
        <x:v>Archer</x:v>
      </x:c>
      <x:c r="F300" s="362" t="n">
        <x:v>35</x:v>
      </x:c>
      <x:c r="G300" s="362" t="str">
        <x:v>Frost Arrow</x:v>
      </x:c>
      <x:c r="H300" s="362" t="str">
        <x:v>Has a higher probability of activating ice damage</x:v>
      </x:c>
      <x:c r="I300" s="362" t="str">
        <x:v>unlocked</x:v>
      </x:c>
      <x:c r="J300" s="362" t="str">
        <x:v>03:01.50</x:v>
      </x:c>
      <x:c r="K300" s="362" t="str">
        <x:v>Visually verified from the open tooltip; display header reads Elite bowmen(Archer). | Source frame: f_0023.jpg</x:v>
      </x:c>
      <x:c r="L300" s="362" t="str">
        <x:v>K138_1000025064.mp4</x:v>
      </x:c>
    </x:row>
    <x:row r="301" ht="32" customHeight="1">
      <x:c r="A301" s="362" t="str">
        <x:v>K138</x:v>
      </x:c>
      <x:c r="B301" s="362" t="str">
        <x:v>(RaW)让世界沐浴在血中</x:v>
      </x:c>
      <x:c r="C301" s="362" t="str">
        <x:v>Cavalry</x:v>
      </x:c>
      <x:c r="D301" s="362" t="str">
        <x:v>Eternal knights</x:v>
      </x:c>
      <x:c r="E301" s="362" t="str">
        <x:v>Heavy Cavalry</x:v>
      </x:c>
      <x:c r="F301" s="362" t="n">
        <x:v>43</x:v>
      </x:c>
      <x:c r="G301" s="362" t="str">
        <x:v>Thunder trample</x:v>
      </x:c>
      <x:c r="H301" s="362" t="str">
        <x:v>Has a certain probability of causing trampling damage</x:v>
      </x:c>
      <x:c r="I301" s="362" t="str">
        <x:v>unlocked</x:v>
      </x:c>
      <x:c r="J301" s="362" t="str">
        <x:v>03:00.50</x:v>
      </x:c>
      <x:c r="K301" s="362" t="str">
        <x:v>Visually verified from the open tooltip; display header reads Eternal knights(Heavy Cavalry). | Source frame: f_0019.jpg</x:v>
      </x:c>
      <x:c r="L301" s="362" t="str">
        <x:v>K138_1000025064.mp4</x:v>
      </x:c>
    </x:row>
    <x:row r="302" ht="32" customHeight="1">
      <x:c r="A302" s="362" t="str">
        <x:v>K138</x:v>
      </x:c>
      <x:c r="B302" s="362" t="str">
        <x:v>(RaW)让世界沐浴在血中</x:v>
      </x:c>
      <x:c r="C302" s="362" t="str">
        <x:v>Cavalry</x:v>
      </x:c>
      <x:c r="D302" s="362" t="str">
        <x:v>Storm cavalry</x:v>
      </x:c>
      <x:c r="E302" s="362" t="str">
        <x:v>Horse archer</x:v>
      </x:c>
      <x:c r="F302" s="362" t="n">
        <x:v>43</x:v>
      </x:c>
      <x:c r="G302" s="362" t="str">
        <x:v>Mounted Archery</x:v>
      </x:c>
      <x:c r="H302" s="362" t="str">
        <x:v>Has a certain probability of causing fly-shooting damage</x:v>
      </x:c>
      <x:c r="I302" s="362" t="str">
        <x:v>unlocked</x:v>
      </x:c>
      <x:c r="J302" s="362" t="str">
        <x:v>03:04.25</x:v>
      </x:c>
      <x:c r="K302" s="362" t="str">
        <x:v>Visually verified from the open tooltip; display header reads Storm cavalry(Horse archer). | Source frame: f_0034.jpg</x:v>
      </x:c>
      <x:c r="L302" s="362" t="str">
        <x:v>K138_1000025064.mp4</x:v>
      </x:c>
    </x:row>
    <x:row r="303" ht="32" customHeight="1">
      <x:c r="A303" s="362" t="str">
        <x:v>K138</x:v>
      </x:c>
      <x:c r="B303" s="362" t="str">
        <x:v>(RaW)让世界沐浴在血中</x:v>
      </x:c>
      <x:c r="C303" s="362" t="str">
        <x:v>Siege</x:v>
      </x:c>
      <x:c r="D303" s="362" t="str">
        <x:v>Manglers</x:v>
      </x:c>
      <x:c r="E303" s="362" t="str">
        <x:v>Siege</x:v>
      </x:c>
      <x:c r="F303" s="362" t="n">
        <x:v>40</x:v>
      </x:c>
      <x:c r="G303" s="362" t="str">
        <x:v>Highly toxic</x:v>
      </x:c>
      <x:c r="H303" s="362" t="str">
        <x:v>Inflict continuous toxic damage</x:v>
      </x:c>
      <x:c r="I303" s="362" t="str">
        <x:v>unlocked</x:v>
      </x:c>
      <x:c r="J303" s="362" t="str">
        <x:v>03:02.50</x:v>
      </x:c>
      <x:c r="K303" s="362" t="str">
        <x:v>Visually verified from the open tooltip; display header reads Manglers(Siege). | Source frame: f_0027.jpg</x:v>
      </x:c>
      <x:c r="L303" s="362" t="str">
        <x:v>K138_1000025064.mp4</x:v>
      </x:c>
    </x:row>
    <x:row r="304" ht="32" customHeight="1">
      <x:c r="A304" s="362" t="str">
        <x:v>K138</x:v>
      </x:c>
      <x:c r="B304" s="362" t="str">
        <x:v>(RaW)YAMI</x:v>
      </x:c>
      <x:c r="C304" s="362" t="str">
        <x:v>Guards</x:v>
      </x:c>
      <x:c r="D304" s="362" t="str">
        <x:v>Destroyers</x:v>
      </x:c>
      <x:c r="E304" s="362" t="str">
        <x:v>Guard</x:v>
      </x:c>
      <x:c r="F304" s="362" t="n">
        <x:v>42</x:v>
      </x:c>
      <x:c r="G304" s="362" t="str">
        <x:v>Parry</x:v>
      </x:c>
      <x:c r="H304" s="362" t="str">
        <x:v>Provides a parry effect and a certain probability to increase damage</x:v>
      </x:c>
      <x:c r="I304" s="362" t="str">
        <x:v>unlocked</x:v>
      </x:c>
      <x:c r="J304" s="362" t="str">
        <x:v>03:11.75</x:v>
      </x:c>
      <x:c r="K304" s="362" t="str">
        <x:v>Visually verified from the open tooltip; display header reads Destroyers(Guard). | Source frame: f_0064.jpg</x:v>
      </x:c>
      <x:c r="L304" s="362" t="str">
        <x:v>K138_1000025064.mp4</x:v>
      </x:c>
    </x:row>
    <x:row r="305" ht="32" customHeight="1">
      <x:c r="A305" s="362" t="str">
        <x:v>K138</x:v>
      </x:c>
      <x:c r="B305" s="362" t="str">
        <x:v>(RaW)YAMI</x:v>
      </x:c>
      <x:c r="C305" s="362" t="str">
        <x:v>Cavalry</x:v>
      </x:c>
      <x:c r="D305" s="362" t="str">
        <x:v>Storm cavalry</x:v>
      </x:c>
      <x:c r="E305" s="362" t="str">
        <x:v>Horse archer</x:v>
      </x:c>
      <x:c r="F305" s="362" t="n">
        <x:v>50</x:v>
      </x:c>
      <x:c r="G305" s="362" t="str">
        <x:v>Mounted Archery</x:v>
      </x:c>
      <x:c r="H305" s="362" t="str">
        <x:v>Has a certain probability of causing fly-shooting damage</x:v>
      </x:c>
      <x:c r="I305" s="362" t="str">
        <x:v>unlocked</x:v>
      </x:c>
      <x:c r="J305" s="362" t="str">
        <x:v>03:14</x:v>
      </x:c>
      <x:c r="K305" s="362" t="str">
        <x:v>Visually verified from the open tooltip; display header reads Storm cavalry(Horse archer). | Source frame: f_0073.jpg</x:v>
      </x:c>
      <x:c r="L305" s="362" t="str">
        <x:v>K138_1000025064.mp4</x:v>
      </x:c>
    </x:row>
    <x:row r="306" ht="32" customHeight="1">
      <x:c r="A306" s="362" t="str">
        <x:v>K138</x:v>
      </x:c>
      <x:c r="B306" s="362" t="str">
        <x:v>(RaW)YAMI</x:v>
      </x:c>
      <x:c r="C306" s="362" t="str">
        <x:v>Siege</x:v>
      </x:c>
      <x:c r="D306" s="362" t="str">
        <x:v>Manglers</x:v>
      </x:c>
      <x:c r="E306" s="362" t="str">
        <x:v>Siege</x:v>
      </x:c>
      <x:c r="F306" s="362" t="n">
        <x:v>40</x:v>
      </x:c>
      <x:c r="G306" s="362" t="str">
        <x:v>Highly toxic</x:v>
      </x:c>
      <x:c r="H306" s="362" t="str">
        <x:v>Inflict continuous toxic damage</x:v>
      </x:c>
      <x:c r="I306" s="362" t="str">
        <x:v>unlocked</x:v>
      </x:c>
      <x:c r="J306" s="362" t="str">
        <x:v>03:13</x:v>
      </x:c>
      <x:c r="K306" s="362" t="str">
        <x:v>Visually verified from the open tooltip; display header reads Manglers(Siege). | Source frame: f_0069.jpg</x:v>
      </x:c>
      <x:c r="L306" s="362" t="str">
        <x:v>K138_1000025064.mp4</x:v>
      </x:c>
    </x:row>
    <x:row r="307" ht="32" customHeight="1">
      <x:c r="A307" s="362" t="str">
        <x:v>K138</x:v>
      </x:c>
      <x:c r="B307" s="362" t="str">
        <x:v>(RaW)༺ⓉⒶⓇⓉⒶⓇ༻</x:v>
      </x:c>
      <x:c r="C307" s="362" t="str">
        <x:v>Guards</x:v>
      </x:c>
      <x:c r="D307" s="362" t="str">
        <x:v>Destroyers</x:v>
      </x:c>
      <x:c r="E307" s="362" t="str">
        <x:v>Guard</x:v>
      </x:c>
      <x:c r="F307" s="362" t="n">
        <x:v>45</x:v>
      </x:c>
      <x:c r="G307" s="362" t="str">
        <x:v>Parry</x:v>
      </x:c>
      <x:c r="H307" s="362" t="str">
        <x:v>Provides a parry effect and a certain probability to increase damage</x:v>
      </x:c>
      <x:c r="I307" s="362" t="str">
        <x:v>unlocked</x:v>
      </x:c>
      <x:c r="J307" s="362" t="str">
        <x:v>03:20.25</x:v>
      </x:c>
      <x:c r="K307" s="362" t="str">
        <x:v>Visually verified from the open tooltip; display header reads Destroyers(Guard). | Source frame: f_0098.jpg</x:v>
      </x:c>
      <x:c r="L307" s="362" t="str">
        <x:v>K138_1000025064.mp4</x:v>
      </x:c>
    </x:row>
    <x:row r="308" ht="32" customHeight="1">
      <x:c r="A308" s="362" t="str">
        <x:v>K138</x:v>
      </x:c>
      <x:c r="B308" s="362" t="str">
        <x:v>(RaW)༺ⓉⒶⓇⓉⒶⓇ༻</x:v>
      </x:c>
      <x:c r="C308" s="362" t="str">
        <x:v>Archers</x:v>
      </x:c>
      <x:c r="D308" s="362" t="str">
        <x:v>Elite bowmen</x:v>
      </x:c>
      <x:c r="E308" s="362" t="str">
        <x:v>Archer</x:v>
      </x:c>
      <x:c r="F308" s="362" t="n">
        <x:v>46</x:v>
      </x:c>
      <x:c r="G308" s="362" t="str">
        <x:v>Frost Arrow</x:v>
      </x:c>
      <x:c r="H308" s="362" t="str">
        <x:v>Has a higher probability of activating ice damage</x:v>
      </x:c>
      <x:c r="I308" s="362" t="str">
        <x:v>unlocked</x:v>
      </x:c>
      <x:c r="J308" s="362" t="str">
        <x:v>03:22</x:v>
      </x:c>
      <x:c r="K308" s="362" t="str">
        <x:v>Visually verified from the open tooltip; display header reads Elite bowmen(Archer). | Source frame: f_0105.jpg</x:v>
      </x:c>
      <x:c r="L308" s="362" t="str">
        <x:v>K138_1000025064.mp4</x:v>
      </x:c>
    </x:row>
    <x:row r="309" ht="32" customHeight="1">
      <x:c r="A309" s="362" t="str">
        <x:v>K138</x:v>
      </x:c>
      <x:c r="B309" s="362" t="str">
        <x:v>(RaW)༺ⓉⒶⓇⓉⒶⓇ༻</x:v>
      </x:c>
      <x:c r="C309" s="362" t="str">
        <x:v>Archers</x:v>
      </x:c>
      <x:c r="D309" s="362" t="str">
        <x:v>Elite</x:v>
      </x:c>
      <x:c r="E309" s="362" t="str">
        <x:v>Crossbowmen (identified in description)</x:v>
      </x:c>
      <x:c r="F309" s="362" t="n">
        <x:v>20</x:v>
      </x:c>
      <x:c r="G309" s="362" t="str">
        <x:v>Focus</x:v>
      </x:c>
      <x:c r="H309" s="362" t="str">
        <x:v>Has a higher probability of providing focus damage</x:v>
      </x:c>
      <x:c r="I309" s="362" t="str">
        <x:v>unlocked</x:v>
      </x:c>
      <x:c r="J309" s="362" t="str">
        <x:v>03:24.75</x:v>
      </x:c>
      <x:c r="K309" s="362" t="str">
        <x:v>Visually verified. The tooltip header displays only 'Elite'; its body identifies the unit as Elite crossbowmen, so troop_type is normalized to Archers. | Source frame: f_0116.jpg</x:v>
      </x:c>
      <x:c r="L309" s="362" t="str">
        <x:v>K138_1000025064.mp4</x:v>
      </x:c>
    </x:row>
    <x:row r="310" ht="32" customHeight="1">
      <x:c r="A310" s="362" t="str">
        <x:v>K138</x:v>
      </x:c>
      <x:c r="B310" s="362" t="str">
        <x:v>(RaW)༺ⓉⒶⓇⓉⒶⓇ༻</x:v>
      </x:c>
      <x:c r="C310" s="362" t="str">
        <x:v>Cavalry</x:v>
      </x:c>
      <x:c r="D310" s="362" t="str">
        <x:v>Storm cavalry</x:v>
      </x:c>
      <x:c r="E310" s="362" t="str">
        <x:v>Horse archer</x:v>
      </x:c>
      <x:c r="F310" s="362" t="n">
        <x:v>45</x:v>
      </x:c>
      <x:c r="G310" s="362" t="str">
        <x:v>Mounted Archery</x:v>
      </x:c>
      <x:c r="H310" s="362" t="str">
        <x:v>Has a certain probability of causing fly-shooting damage</x:v>
      </x:c>
      <x:c r="I310" s="362" t="str">
        <x:v>unlocked</x:v>
      </x:c>
      <x:c r="J310" s="362" t="str">
        <x:v>03:23.50</x:v>
      </x:c>
      <x:c r="K310" s="362" t="str">
        <x:v>Visually verified from the open tooltip; display header reads Storm cavalry(Horse archer). | Source frame: f_0111.jpg</x:v>
      </x:c>
      <x:c r="L310" s="362" t="str">
        <x:v>K138_1000025064.mp4</x:v>
      </x:c>
    </x:row>
    <x:row r="311" ht="32" customHeight="1">
      <x:c r="A311" s="362" t="str">
        <x:v>K138</x:v>
      </x:c>
      <x:c r="B311" s="362" t="str">
        <x:v>(RaW)PPP_253</x:v>
      </x:c>
      <x:c r="C311" s="362" t="str">
        <x:v>Guards</x:v>
      </x:c>
      <x:c r="D311" s="362" t="str">
        <x:v>Destroyers</x:v>
      </x:c>
      <x:c r="E311" s="362" t="str">
        <x:v>Guard</x:v>
      </x:c>
      <x:c r="F311" s="362" t="n">
        <x:v>45</x:v>
      </x:c>
      <x:c r="G311" s="362" t="str">
        <x:v>Parry</x:v>
      </x:c>
      <x:c r="H311" s="362" t="str">
        <x:v>Provides a parry effect and a certain probability to increase damage</x:v>
      </x:c>
      <x:c r="I311" s="362" t="str">
        <x:v>unlocked</x:v>
      </x:c>
      <x:c r="J311" s="362" t="str">
        <x:v>03:33</x:v>
      </x:c>
      <x:c r="K311" s="362" t="str">
        <x:v>Visually verified from the open tooltip at relative video-extract time 00:00:02.000. | Source frame: f_0005.jpg</x:v>
      </x:c>
      <x:c r="L311" s="362" t="str">
        <x:v>K138_1000025064.mp4</x:v>
      </x:c>
    </x:row>
    <x:row r="312" ht="32" customHeight="1">
      <x:c r="A312" s="362" t="str">
        <x:v>K138</x:v>
      </x:c>
      <x:c r="B312" s="362" t="str">
        <x:v>(RaW)PPP_253</x:v>
      </x:c>
      <x:c r="C312" s="362" t="str">
        <x:v>Archers</x:v>
      </x:c>
      <x:c r="D312" s="362" t="str">
        <x:v>Elite bowmen</x:v>
      </x:c>
      <x:c r="E312" s="362" t="str">
        <x:v>Archer</x:v>
      </x:c>
      <x:c r="F312" s="362" t="n">
        <x:v>45</x:v>
      </x:c>
      <x:c r="G312" s="362" t="str">
        <x:v>Frost Arrow</x:v>
      </x:c>
      <x:c r="H312" s="362" t="str">
        <x:v>Has a higher probability of activating ice damage</x:v>
      </x:c>
      <x:c r="I312" s="362" t="str">
        <x:v>unlocked</x:v>
      </x:c>
      <x:c r="J312" s="362" t="str">
        <x:v>03:34</x:v>
      </x:c>
      <x:c r="K312" s="362" t="str">
        <x:v>Visually verified from the open tooltip at relative video-extract time 00:00:03.000. | Source frame: f_0007.jpg</x:v>
      </x:c>
      <x:c r="L312" s="362" t="str">
        <x:v>K138_1000025064.mp4</x:v>
      </x:c>
    </x:row>
    <x:row r="313" ht="32" customHeight="1">
      <x:c r="A313" s="362" t="str">
        <x:v>K138</x:v>
      </x:c>
      <x:c r="B313" s="362" t="str">
        <x:v>(RaW)GoŁΛ</x:v>
      </x:c>
      <x:c r="C313" s="362" t="str">
        <x:v>Guards</x:v>
      </x:c>
      <x:c r="D313" s="362" t="str">
        <x:v>Destroyers</x:v>
      </x:c>
      <x:c r="E313" s="362" t="str">
        <x:v>Guard</x:v>
      </x:c>
      <x:c r="F313" s="362" t="n">
        <x:v>43</x:v>
      </x:c>
      <x:c r="G313" s="362" t="str">
        <x:v>Parry</x:v>
      </x:c>
      <x:c r="H313" s="362" t="str">
        <x:v>Provides a parry effect and a certain probability to increase damage</x:v>
      </x:c>
      <x:c r="I313" s="362" t="str">
        <x:v>unlocked</x:v>
      </x:c>
      <x:c r="J313" s="362" t="str">
        <x:v>03:40</x:v>
      </x:c>
      <x:c r="K313" s="362" t="str">
        <x:v>Visually verified from the open tooltip at relative video-extract time 00:00:09.000. | Source frame: f_0019.jpg</x:v>
      </x:c>
      <x:c r="L313" s="362" t="str">
        <x:v>K138_1000025064.mp4</x:v>
      </x:c>
    </x:row>
    <x:row r="314" ht="32" customHeight="1">
      <x:c r="A314" s="362" t="str">
        <x:v>K138</x:v>
      </x:c>
      <x:c r="B314" s="362" t="str">
        <x:v>(RaW)GoŁΛ</x:v>
      </x:c>
      <x:c r="C314" s="362" t="str">
        <x:v>Archers</x:v>
      </x:c>
      <x:c r="D314" s="362" t="str">
        <x:v>Elite bowmen</x:v>
      </x:c>
      <x:c r="E314" s="362" t="str">
        <x:v>Archer</x:v>
      </x:c>
      <x:c r="F314" s="362" t="n">
        <x:v>45</x:v>
      </x:c>
      <x:c r="G314" s="362" t="str">
        <x:v>Frost Arrow</x:v>
      </x:c>
      <x:c r="H314" s="362" t="str">
        <x:v>Has a higher probability of activating ice damage</x:v>
      </x:c>
      <x:c r="I314" s="362" t="str">
        <x:v>unlocked</x:v>
      </x:c>
      <x:c r="J314" s="362" t="str">
        <x:v>03:41</x:v>
      </x:c>
      <x:c r="K314" s="362" t="str">
        <x:v>Visually verified from the open tooltip at relative video-extract time 00:00:10.000. | Source frame: f_0021.jpg</x:v>
      </x:c>
      <x:c r="L314" s="362" t="str">
        <x:v>K138_1000025064.mp4</x:v>
      </x:c>
    </x:row>
    <x:row r="315" ht="32" customHeight="1">
      <x:c r="A315" s="362" t="str">
        <x:v>K138</x:v>
      </x:c>
      <x:c r="B315" s="362" t="str">
        <x:v>(RaW)Baqi</x:v>
      </x:c>
      <x:c r="C315" s="362" t="str">
        <x:v>Guards</x:v>
      </x:c>
      <x:c r="D315" s="362" t="str">
        <x:v>Destroyers</x:v>
      </x:c>
      <x:c r="E315" s="362" t="str">
        <x:v>Guard</x:v>
      </x:c>
      <x:c r="F315" s="362" t="n">
        <x:v>42</x:v>
      </x:c>
      <x:c r="G315" s="362" t="str">
        <x:v>Parry</x:v>
      </x:c>
      <x:c r="H315" s="362" t="str">
        <x:v>Provides a parry effect and a certain probability to increase damage</x:v>
      </x:c>
      <x:c r="I315" s="362" t="str">
        <x:v>unlocked</x:v>
      </x:c>
      <x:c r="J315" s="362" t="str">
        <x:v>03:53</x:v>
      </x:c>
      <x:c r="K315" s="362" t="str">
        <x:v>Visually verified from the open tooltip at relative video-extract time 00:00:22.000. | Source frame: f_0045.jpg</x:v>
      </x:c>
      <x:c r="L315" s="362" t="str">
        <x:v>K138_1000025064.mp4</x:v>
      </x:c>
    </x:row>
    <x:row r="316" ht="32" customHeight="1">
      <x:c r="A316" s="362" t="str">
        <x:v>K138</x:v>
      </x:c>
      <x:c r="B316" s="362" t="str">
        <x:v>(RaW)Baqi</x:v>
      </x:c>
      <x:c r="C316" s="362" t="str">
        <x:v>Archers</x:v>
      </x:c>
      <x:c r="D316" s="362" t="str">
        <x:v>Elite bowmen</x:v>
      </x:c>
      <x:c r="E316" s="362" t="str">
        <x:v>Archer</x:v>
      </x:c>
      <x:c r="F316" s="362" t="n">
        <x:v>49</x:v>
      </x:c>
      <x:c r="G316" s="362" t="str">
        <x:v>Frost Arrow</x:v>
      </x:c>
      <x:c r="H316" s="362" t="str">
        <x:v>Has a higher probability of activating ice damage</x:v>
      </x:c>
      <x:c r="I316" s="362" t="str">
        <x:v>unlocked</x:v>
      </x:c>
      <x:c r="J316" s="362" t="str">
        <x:v>03:54</x:v>
      </x:c>
      <x:c r="K316" s="362" t="str">
        <x:v>Visually verified from the open tooltip at relative video-extract time 00:00:23.000. | Source frame: f_0047.jpg</x:v>
      </x:c>
      <x:c r="L316" s="362" t="str">
        <x:v>K138_1000025064.mp4</x:v>
      </x:c>
    </x:row>
    <x:row r="317" ht="32" customHeight="1">
      <x:c r="A317" s="362" t="str">
        <x:v>K138</x:v>
      </x:c>
      <x:c r="B317" s="362" t="str">
        <x:v>(RaW)Baqi</x:v>
      </x:c>
      <x:c r="C317" s="362" t="str">
        <x:v>Cavalry</x:v>
      </x:c>
      <x:c r="D317" s="362" t="str">
        <x:v>Storm cavalry</x:v>
      </x:c>
      <x:c r="E317" s="362" t="str">
        <x:v>Horse archer</x:v>
      </x:c>
      <x:c r="F317" s="362" t="n">
        <x:v>40</x:v>
      </x:c>
      <x:c r="G317" s="362" t="str">
        <x:v>Mounted Archery</x:v>
      </x:c>
      <x:c r="H317" s="362" t="str">
        <x:v>Has a certain probability of causing fly-shooting damage</x:v>
      </x:c>
      <x:c r="I317" s="362" t="str">
        <x:v>unlocked</x:v>
      </x:c>
      <x:c r="J317" s="362" t="str">
        <x:v>03:55.50</x:v>
      </x:c>
      <x:c r="K317" s="362" t="str">
        <x:v>Visually verified from the open tooltip at relative video-extract time 00:00:24.500. | Source frame: f_0050.jpg</x:v>
      </x:c>
      <x:c r="L317" s="362" t="str">
        <x:v>K138_1000025064.mp4</x:v>
      </x:c>
    </x:row>
    <x:row r="318" ht="32" customHeight="1">
      <x:c r="A318" s="362" t="str">
        <x:v>K138</x:v>
      </x:c>
      <x:c r="B318" s="362" t="str">
        <x:v>(RaW)༺飞K༻</x:v>
      </x:c>
      <x:c r="C318" s="362" t="str">
        <x:v>Guards</x:v>
      </x:c>
      <x:c r="D318" s="362" t="str">
        <x:v>Destroyers</x:v>
      </x:c>
      <x:c r="E318" s="362" t="str">
        <x:v>Guard</x:v>
      </x:c>
      <x:c r="F318" s="362" t="n">
        <x:v>45</x:v>
      </x:c>
      <x:c r="G318" s="362" t="str">
        <x:v>Parry</x:v>
      </x:c>
      <x:c r="H318" s="362" t="str">
        <x:v>Provides a parry effect and a certain probability to increase damage</x:v>
      </x:c>
      <x:c r="I318" s="362" t="str">
        <x:v>unlocked</x:v>
      </x:c>
      <x:c r="J318" s="362" t="str">
        <x:v>04:01.50</x:v>
      </x:c>
      <x:c r="K318" s="362" t="str">
        <x:v>Visually verified from the open tooltip at relative video-extract time 00:00:30.500. | Source frame: f_0062.jpg</x:v>
      </x:c>
      <x:c r="L318" s="362" t="str">
        <x:v>K138_1000025064.mp4</x:v>
      </x:c>
    </x:row>
    <x:row r="319" ht="32" customHeight="1">
      <x:c r="A319" s="362" t="str">
        <x:v>K138</x:v>
      </x:c>
      <x:c r="B319" s="362" t="str">
        <x:v>(RaW)༺飞K༻</x:v>
      </x:c>
      <x:c r="C319" s="362" t="str">
        <x:v>Archers</x:v>
      </x:c>
      <x:c r="D319" s="362" t="str">
        <x:v>Elite bowmen</x:v>
      </x:c>
      <x:c r="E319" s="362" t="str">
        <x:v>Archer</x:v>
      </x:c>
      <x:c r="F319" s="362" t="n">
        <x:v>36</x:v>
      </x:c>
      <x:c r="G319" s="362" t="str">
        <x:v>Frost Arrow</x:v>
      </x:c>
      <x:c r="H319" s="362" t="str">
        <x:v>Has a higher probability of activating ice damage</x:v>
      </x:c>
      <x:c r="I319" s="362" t="str">
        <x:v>unlocked</x:v>
      </x:c>
      <x:c r="J319" s="362" t="str">
        <x:v>04:02.50</x:v>
      </x:c>
      <x:c r="K319" s="362" t="str">
        <x:v>Visually verified from the open tooltip at relative video-extract time 00:00:31.500. | Source frame: f_0064.jpg</x:v>
      </x:c>
      <x:c r="L319" s="362" t="str">
        <x:v>K138_1000025064.mp4</x:v>
      </x:c>
    </x:row>
    <x:row r="320" ht="32" customHeight="1">
      <x:c r="A320" s="362" t="str">
        <x:v>K170</x:v>
      </x:c>
      <x:c r="B320" s="362" t="str">
        <x:v>(AOT)SanSW°</x:v>
      </x:c>
      <x:c r="C320" s="362" t="str">
        <x:v>Guards</x:v>
      </x:c>
      <x:c r="D320" s="362" t="str">
        <x:v>Destroyers</x:v>
      </x:c>
      <x:c r="E320" s="362" t="str">
        <x:v>Guard</x:v>
      </x:c>
      <x:c r="F320" s="362" t="n">
        <x:v>50</x:v>
      </x:c>
      <x:c r="G320" s="362" t="str">
        <x:v>Parry</x:v>
      </x:c>
      <x:c r="H320" s="362" t="str">
        <x:v>Provides a parry effect and a certain probability to increase damage</x:v>
      </x:c>
      <x:c r="I320" s="362" t="str">
        <x:v>Unlocked</x:v>
      </x:c>
      <x:c r="J320" s="362" t="str">
        <x:v>00:04</x:v>
      </x:c>
      <x:c r="K320" s="362" t="str">
        <x:v>Header exactly: Destroyers(Guard)</x:v>
      </x:c>
      <x:c r="L320" s="362" t="str">
        <x:v>1000025098.mp4</x:v>
      </x:c>
    </x:row>
    <x:row r="321" ht="32" customHeight="1">
      <x:c r="A321" s="362" t="str">
        <x:v>K170</x:v>
      </x:c>
      <x:c r="B321" s="362" t="str">
        <x:v>(AOT)SanSW°</x:v>
      </x:c>
      <x:c r="C321" s="362" t="str">
        <x:v>Cavalry</x:v>
      </x:c>
      <x:c r="D321" s="362" t="str">
        <x:v>Eternal knights</x:v>
      </x:c>
      <x:c r="E321" s="362" t="str">
        <x:v>Heavy Cavalry</x:v>
      </x:c>
      <x:c r="F321" s="362" t="n">
        <x:v>49</x:v>
      </x:c>
      <x:c r="G321" s="362" t="str">
        <x:v>Thunder trample</x:v>
      </x:c>
      <x:c r="H321" s="362" t="str">
        <x:v>Has a certain probability of causing trampling damage</x:v>
      </x:c>
      <x:c r="I321" s="362" t="str">
        <x:v>Unlocked</x:v>
      </x:c>
      <x:c r="J321" s="362" t="str">
        <x:v>00:06</x:v>
      </x:c>
      <x:c r="K321" s="362" t="str">
        <x:v>Header exactly: Eternal knights(Heavy Cavalry)</x:v>
      </x:c>
      <x:c r="L321" s="362" t="str">
        <x:v>1000025098.mp4</x:v>
      </x:c>
    </x:row>
    <x:row r="322" ht="32" customHeight="1">
      <x:c r="A322" s="362" t="str">
        <x:v>K170</x:v>
      </x:c>
      <x:c r="B322" s="362" t="str">
        <x:v>(AOT)SanSW°</x:v>
      </x:c>
      <x:c r="C322" s="362" t="str">
        <x:v>Archers</x:v>
      </x:c>
      <x:c r="D322" s="362" t="str">
        <x:v>Elite bowmen</x:v>
      </x:c>
      <x:c r="E322" s="362" t="str">
        <x:v>Archer</x:v>
      </x:c>
      <x:c r="F322" s="362" t="n">
        <x:v>33</x:v>
      </x:c>
      <x:c r="G322" s="362" t="str">
        <x:v>Frost Arrow</x:v>
      </x:c>
      <x:c r="H322" s="362" t="str">
        <x:v>Has a higher probability of activating ice damage</x:v>
      </x:c>
      <x:c r="I322" s="362" t="str">
        <x:v>Unlocked</x:v>
      </x:c>
      <x:c r="J322" s="362" t="str">
        <x:v>00:08</x:v>
      </x:c>
      <x:c r="K322" s="362" t="str">
        <x:v>Header exactly: Elite bowmen(Archer)</x:v>
      </x:c>
      <x:c r="L322" s="362" t="str">
        <x:v>1000025098.mp4</x:v>
      </x:c>
    </x:row>
    <x:row r="323" ht="32" customHeight="1">
      <x:c r="A323" s="362" t="str">
        <x:v>K170</x:v>
      </x:c>
      <x:c r="B323" s="362" t="str">
        <x:v>(AOT)SanSW°</x:v>
      </x:c>
      <x:c r="C323" s="362" t="str">
        <x:v>Cavalry</x:v>
      </x:c>
      <x:c r="D323" s="362" t="str">
        <x:v>Storm cavalry</x:v>
      </x:c>
      <x:c r="E323" s="362" t="str">
        <x:v>Horse archer</x:v>
      </x:c>
      <x:c r="F323" s="362" t="n">
        <x:v>47</x:v>
      </x:c>
      <x:c r="G323" s="362" t="str">
        <x:v>Mounted Archery</x:v>
      </x:c>
      <x:c r="H323" s="362" t="str">
        <x:v>Has a certain probability of causing fly-shooting damage</x:v>
      </x:c>
      <x:c r="I323" s="362" t="str">
        <x:v>Unlocked</x:v>
      </x:c>
      <x:c r="J323" s="362" t="str">
        <x:v>00:10</x:v>
      </x:c>
      <x:c r="K323" s="362" t="str">
        <x:v>Header exactly: Storm cavalry(Horse archer)</x:v>
      </x:c>
      <x:c r="L323" s="362" t="str">
        <x:v>1000025098.mp4</x:v>
      </x:c>
    </x:row>
    <x:row r="324" ht="32" customHeight="1">
      <x:c r="A324" s="362" t="str">
        <x:v>K170</x:v>
      </x:c>
      <x:c r="B324" s="362" t="str">
        <x:v>(AOT)SanSW°</x:v>
      </x:c>
      <x:c r="C324" s="362" t="str">
        <x:v>Cavalry</x:v>
      </x:c>
      <x:c r="D324" s="362" t="str">
        <x:v>Royal banderium</x:v>
      </x:c>
      <x:c r="E324" s="362" t="str">
        <x:v>Horse archer</x:v>
      </x:c>
      <x:c r="F324" s="362" t="n">
        <x:v>47</x:v>
      </x:c>
      <x:c r="G324" s="362" t="str">
        <x:v>Mounted Archery</x:v>
      </x:c>
      <x:c r="H324" s="362" t="str">
        <x:v>Has a certain probability of causing fly-shooting damage</x:v>
      </x:c>
      <x:c r="I324" s="362" t="str">
        <x:v>Unlocked</x:v>
      </x:c>
      <x:c r="J324" s="362" t="str">
        <x:v>00:12</x:v>
      </x:c>
      <x:c r="K324" s="362" t="str">
        <x:v>Header exactly: Royal banderium(Horse archer)</x:v>
      </x:c>
      <x:c r="L324" s="362" t="str">
        <x:v>1000025098.mp4</x:v>
      </x:c>
    </x:row>
    <x:row r="325" ht="32" customHeight="1">
      <x:c r="A325" s="362" t="str">
        <x:v>K170</x:v>
      </x:c>
      <x:c r="B325" s="362" t="str">
        <x:v>(AOT)Fenixx</x:v>
      </x:c>
      <x:c r="C325" s="362" t="str">
        <x:v>Guards</x:v>
      </x:c>
      <x:c r="D325" s="362" t="str">
        <x:v>Destroyers</x:v>
      </x:c>
      <x:c r="E325" s="362" t="str">
        <x:v>Guard</x:v>
      </x:c>
      <x:c r="F325" s="362" t="n">
        <x:v>45</x:v>
      </x:c>
      <x:c r="G325" s="362" t="str">
        <x:v>Parry</x:v>
      </x:c>
      <x:c r="H325" s="362" t="str">
        <x:v>Provides a parry effect and a certain probability to increase damage</x:v>
      </x:c>
      <x:c r="I325" s="362" t="str">
        <x:v>Unlocked</x:v>
      </x:c>
      <x:c r="J325" s="362" t="str">
        <x:v>00:22</x:v>
      </x:c>
      <x:c r="K325" s="362" t="str">
        <x:v>Header exactly: Destroyers(Guard)</x:v>
      </x:c>
      <x:c r="L325" s="362" t="str">
        <x:v>1000025098.mp4</x:v>
      </x:c>
    </x:row>
    <x:row r="326" ht="32" customHeight="1">
      <x:c r="A326" s="362" t="str">
        <x:v>K170</x:v>
      </x:c>
      <x:c r="B326" s="362" t="str">
        <x:v>(AOT)Fenixx</x:v>
      </x:c>
      <x:c r="C326" s="362" t="str">
        <x:v>Cavalry</x:v>
      </x:c>
      <x:c r="D326" s="362" t="str">
        <x:v>Eternal knights</x:v>
      </x:c>
      <x:c r="E326" s="362" t="str">
        <x:v>Heavy Cavalry</x:v>
      </x:c>
      <x:c r="F326" s="362" t="n">
        <x:v>29</x:v>
      </x:c>
      <x:c r="G326" s="362" t="str">
        <x:v>Thunder trample</x:v>
      </x:c>
      <x:c r="H326" s="362" t="str">
        <x:v>Has a certain probability of causing trampling damage</x:v>
      </x:c>
      <x:c r="I326" s="362" t="str">
        <x:v>Unlocked</x:v>
      </x:c>
      <x:c r="J326" s="362" t="str">
        <x:v>00:25</x:v>
      </x:c>
      <x:c r="K326" s="362" t="str">
        <x:v>Header exactly: Eternal knights(Heavy Cavalry)</x:v>
      </x:c>
      <x:c r="L326" s="362" t="str">
        <x:v>1000025098.mp4</x:v>
      </x:c>
    </x:row>
    <x:row r="327" ht="32" customHeight="1">
      <x:c r="A327" s="362" t="str">
        <x:v>K170</x:v>
      </x:c>
      <x:c r="B327" s="362" t="str">
        <x:v>(AOT)Fenixx</x:v>
      </x:c>
      <x:c r="C327" s="362" t="str">
        <x:v>Archers</x:v>
      </x:c>
      <x:c r="D327" s="362" t="str">
        <x:v>Elite bowmen</x:v>
      </x:c>
      <x:c r="E327" s="362" t="str">
        <x:v>Archer</x:v>
      </x:c>
      <x:c r="F327" s="362" t="n">
        <x:v>35</x:v>
      </x:c>
      <x:c r="G327" s="362" t="str">
        <x:v>Frost Arrow</x:v>
      </x:c>
      <x:c r="H327" s="362" t="str">
        <x:v>Has a higher probability of activating ice damage</x:v>
      </x:c>
      <x:c r="I327" s="362" t="str">
        <x:v>Unlocked</x:v>
      </x:c>
      <x:c r="J327" s="362" t="str">
        <x:v>00:27</x:v>
      </x:c>
      <x:c r="K327" s="362" t="str">
        <x:v>Header exactly: Elite bowmen(Archer)</x:v>
      </x:c>
      <x:c r="L327" s="362" t="str">
        <x:v>1000025098.mp4</x:v>
      </x:c>
    </x:row>
    <x:row r="328" ht="32" customHeight="1">
      <x:c r="A328" s="362" t="str">
        <x:v>K170</x:v>
      </x:c>
      <x:c r="B328" s="362" t="str">
        <x:v>(AOT)Fenixx</x:v>
      </x:c>
      <x:c r="C328" s="362" t="str">
        <x:v>Siege</x:v>
      </x:c>
      <x:c r="D328" s="362" t="str">
        <x:v>Manglers</x:v>
      </x:c>
      <x:c r="E328" s="362" t="str">
        <x:v>Siege</x:v>
      </x:c>
      <x:c r="F328" s="362" t="n">
        <x:v>36</x:v>
      </x:c>
      <x:c r="G328" s="362" t="str">
        <x:v>Highly toxic</x:v>
      </x:c>
      <x:c r="H328" s="362" t="str">
        <x:v>Inflict continuous toxic damage</x:v>
      </x:c>
      <x:c r="I328" s="362" t="str">
        <x:v>Unlocked</x:v>
      </x:c>
      <x:c r="J328" s="362" t="str">
        <x:v>00:29</x:v>
      </x:c>
      <x:c r="K328" s="362" t="str">
        <x:v>Header exactly: Manglers(Siege)</x:v>
      </x:c>
      <x:c r="L328" s="362" t="str">
        <x:v>1000025098.mp4</x:v>
      </x:c>
    </x:row>
    <x:row r="329" ht="32" customHeight="1">
      <x:c r="A329" s="362" t="str">
        <x:v>K170</x:v>
      </x:c>
      <x:c r="B329" s="362" t="str">
        <x:v>(AOT)Fenixx</x:v>
      </x:c>
      <x:c r="C329" s="362" t="str">
        <x:v>Cavalry</x:v>
      </x:c>
      <x:c r="D329" s="362" t="str">
        <x:v>Storm cavalry</x:v>
      </x:c>
      <x:c r="E329" s="362" t="str">
        <x:v>Horse archer</x:v>
      </x:c>
      <x:c r="F329" s="362" t="n">
        <x:v>48</x:v>
      </x:c>
      <x:c r="G329" s="362" t="str">
        <x:v>Mounted Archery</x:v>
      </x:c>
      <x:c r="H329" s="362" t="str">
        <x:v>Has a certain probability of causing fly-shooting damage</x:v>
      </x:c>
      <x:c r="I329" s="362" t="str">
        <x:v>Unlocked</x:v>
      </x:c>
      <x:c r="J329" s="362" t="str">
        <x:v>00:30</x:v>
      </x:c>
      <x:c r="K329" s="362" t="str">
        <x:v>Header exactly: Storm cavalry(Horse archer)</x:v>
      </x:c>
      <x:c r="L329" s="362" t="str">
        <x:v>1000025098.mp4</x:v>
      </x:c>
    </x:row>
    <x:row r="330" ht="32" customHeight="1">
      <x:c r="A330" s="362" t="str">
        <x:v>K170</x:v>
      </x:c>
      <x:c r="B330" s="362" t="str">
        <x:v>(AOT)Fenixx</x:v>
      </x:c>
      <x:c r="C330" s="362" t="str">
        <x:v>Archers</x:v>
      </x:c>
      <x:c r="D330" s="362" t="str">
        <x:v>Marksmen</x:v>
      </x:c>
      <x:c r="E330" s="362" t="str">
        <x:v>Archer</x:v>
      </x:c>
      <x:c r="F330" s="362" t="n">
        <x:v>35</x:v>
      </x:c>
      <x:c r="G330" s="362" t="str">
        <x:v>Frost Arrow</x:v>
      </x:c>
      <x:c r="H330" s="362" t="str">
        <x:v>Has a higher probability of activating ice damage</x:v>
      </x:c>
      <x:c r="I330" s="362" t="str">
        <x:v>Unlocked</x:v>
      </x:c>
      <x:c r="J330" s="362" t="str">
        <x:v>00:32</x:v>
      </x:c>
      <x:c r="K330" s="362" t="str">
        <x:v>Header exactly: Marksmen(Archer)</x:v>
      </x:c>
      <x:c r="L330" s="362" t="str">
        <x:v>1000025098.mp4</x:v>
      </x:c>
    </x:row>
    <x:row r="331" ht="32" customHeight="1">
      <x:c r="A331" s="362" t="str">
        <x:v>K170</x:v>
      </x:c>
      <x:c r="B331" s="362" t="str">
        <x:v>(AOT)Fenixx</x:v>
      </x:c>
      <x:c r="C331" s="362" t="str">
        <x:v>Cavalry</x:v>
      </x:c>
      <x:c r="D331" s="362" t="str">
        <x:v>Royal banderium</x:v>
      </x:c>
      <x:c r="E331" s="362" t="str">
        <x:v>Horse archer</x:v>
      </x:c>
      <x:c r="F331" s="362" t="n">
        <x:v>48</x:v>
      </x:c>
      <x:c r="G331" s="362" t="str">
        <x:v>Mounted Archery</x:v>
      </x:c>
      <x:c r="H331" s="362" t="str">
        <x:v>Has a certain probability of causing fly-shooting damage</x:v>
      </x:c>
      <x:c r="I331" s="362" t="str">
        <x:v>Unlocked</x:v>
      </x:c>
      <x:c r="J331" s="362" t="str">
        <x:v>00:34</x:v>
      </x:c>
      <x:c r="K331" s="362" t="str">
        <x:v>Header exactly: Royal banderium(Horse archer)</x:v>
      </x:c>
      <x:c r="L331" s="362" t="str">
        <x:v>1000025098.mp4</x:v>
      </x:c>
    </x:row>
    <x:row r="332" ht="32" customHeight="1">
      <x:c r="A332" s="362" t="str">
        <x:v>K170</x:v>
      </x:c>
      <x:c r="B332" s="362" t="str">
        <x:v>(AOT)D®a©o</x:v>
      </x:c>
      <x:c r="C332" s="362" t="str">
        <x:v>Guards</x:v>
      </x:c>
      <x:c r="D332" s="362" t="str">
        <x:v>Destroyers</x:v>
      </x:c>
      <x:c r="E332" s="362" t="str">
        <x:v>Guard</x:v>
      </x:c>
      <x:c r="F332" s="362" t="n">
        <x:v>45</x:v>
      </x:c>
      <x:c r="G332" s="362" t="str">
        <x:v>Parry</x:v>
      </x:c>
      <x:c r="H332" s="362" t="str">
        <x:v>Provides a parry effect and a certain probability to increase damage</x:v>
      </x:c>
      <x:c r="I332" s="362" t="str">
        <x:v>Unlocked</x:v>
      </x:c>
      <x:c r="J332" s="362" t="str">
        <x:v>00:44</x:v>
      </x:c>
      <x:c r="K332" s="362" t="str">
        <x:v>Header exactly: Destroyers(Guard)</x:v>
      </x:c>
      <x:c r="L332" s="362" t="str">
        <x:v>1000025098.mp4</x:v>
      </x:c>
    </x:row>
    <x:row r="333" ht="32" customHeight="1">
      <x:c r="A333" s="362" t="str">
        <x:v>K170</x:v>
      </x:c>
      <x:c r="B333" s="362" t="str">
        <x:v>(AOT)D®a©o</x:v>
      </x:c>
      <x:c r="C333" s="362" t="str">
        <x:v>Archers</x:v>
      </x:c>
      <x:c r="D333" s="362" t="str">
        <x:v>Elite bowmen</x:v>
      </x:c>
      <x:c r="E333" s="362" t="str">
        <x:v>Archer</x:v>
      </x:c>
      <x:c r="F333" s="362" t="n">
        <x:v>39</x:v>
      </x:c>
      <x:c r="G333" s="362" t="str">
        <x:v>Frost Arrow</x:v>
      </x:c>
      <x:c r="H333" s="362" t="str">
        <x:v>Has a higher probability of activating ice damage</x:v>
      </x:c>
      <x:c r="I333" s="362" t="str">
        <x:v>Unlocked</x:v>
      </x:c>
      <x:c r="J333" s="362" t="str">
        <x:v>00:46</x:v>
      </x:c>
      <x:c r="K333" s="362" t="str">
        <x:v>Header exactly: Elite bowmen(Archer)</x:v>
      </x:c>
      <x:c r="L333" s="362" t="str">
        <x:v>1000025098.mp4</x:v>
      </x:c>
    </x:row>
    <x:row r="334" ht="32" customHeight="1">
      <x:c r="A334" s="362" t="str">
        <x:v>K170</x:v>
      </x:c>
      <x:c r="B334" s="362" t="str">
        <x:v>(AOT)D®a©o</x:v>
      </x:c>
      <x:c r="C334" s="362" t="str">
        <x:v>Siege</x:v>
      </x:c>
      <x:c r="D334" s="362" t="str">
        <x:v>Manglers</x:v>
      </x:c>
      <x:c r="E334" s="362" t="str">
        <x:v>Siege</x:v>
      </x:c>
      <x:c r="F334" s="362" t="n">
        <x:v>26</x:v>
      </x:c>
      <x:c r="G334" s="362" t="str">
        <x:v>Highly toxic</x:v>
      </x:c>
      <x:c r="H334" s="362" t="str">
        <x:v>Inflict continuous toxic damage</x:v>
      </x:c>
      <x:c r="I334" s="362" t="str">
        <x:v>Unlocked</x:v>
      </x:c>
      <x:c r="J334" s="362" t="str">
        <x:v>00:47</x:v>
      </x:c>
      <x:c r="K334" s="362" t="str">
        <x:v>Header exactly: Manglers(Siege)</x:v>
      </x:c>
      <x:c r="L334" s="362" t="str">
        <x:v>1000025098.mp4</x:v>
      </x:c>
    </x:row>
    <x:row r="335" ht="32" customHeight="1">
      <x:c r="A335" s="362" t="str">
        <x:v>K170</x:v>
      </x:c>
      <x:c r="B335" s="362" t="str">
        <x:v>(AOT)D®a©o</x:v>
      </x:c>
      <x:c r="C335" s="362" t="str">
        <x:v>Cavalry</x:v>
      </x:c>
      <x:c r="D335" s="362" t="str">
        <x:v>Storm cavalry</x:v>
      </x:c>
      <x:c r="E335" s="362" t="str">
        <x:v>Horse archer</x:v>
      </x:c>
      <x:c r="F335" s="362" t="n">
        <x:v>45</x:v>
      </x:c>
      <x:c r="G335" s="362" t="str">
        <x:v>Mounted Archery</x:v>
      </x:c>
      <x:c r="H335" s="362" t="str">
        <x:v>Has a certain probability of causing fly-shooting damage</x:v>
      </x:c>
      <x:c r="I335" s="362" t="str">
        <x:v>Unlocked</x:v>
      </x:c>
      <x:c r="J335" s="362" t="str">
        <x:v>00:49</x:v>
      </x:c>
      <x:c r="K335" s="362" t="str">
        <x:v>Header exactly: Storm cavalry(Horse archer)</x:v>
      </x:c>
      <x:c r="L335" s="362" t="str">
        <x:v>1000025098.mp4</x:v>
      </x:c>
    </x:row>
    <x:row r="336" ht="32" customHeight="1">
      <x:c r="A336" s="362" t="str">
        <x:v>K170</x:v>
      </x:c>
      <x:c r="B336" s="362" t="str">
        <x:v>(AOT)D®a©o</x:v>
      </x:c>
      <x:c r="C336" s="362" t="str">
        <x:v>Archers</x:v>
      </x:c>
      <x:c r="D336" s="362" t="str">
        <x:v>Marksmen</x:v>
      </x:c>
      <x:c r="E336" s="362" t="str">
        <x:v>Archer</x:v>
      </x:c>
      <x:c r="F336" s="362" t="n">
        <x:v>39</x:v>
      </x:c>
      <x:c r="G336" s="362" t="str">
        <x:v>Frost Arrow</x:v>
      </x:c>
      <x:c r="H336" s="362" t="str">
        <x:v>Has a higher probability of activating ice damage</x:v>
      </x:c>
      <x:c r="I336" s="362" t="str">
        <x:v>Unlocked</x:v>
      </x:c>
      <x:c r="J336" s="362" t="str">
        <x:v>00:50</x:v>
      </x:c>
      <x:c r="K336" s="362" t="str">
        <x:v>Header exactly: Marksmen(Archer)</x:v>
      </x:c>
      <x:c r="L336" s="362" t="str">
        <x:v>1000025098.mp4</x:v>
      </x:c>
    </x:row>
    <x:row r="337" ht="32" customHeight="1">
      <x:c r="A337" s="362" t="str">
        <x:v>K170</x:v>
      </x:c>
      <x:c r="B337" s="362" t="str">
        <x:v>(AOT)Themechanic</x:v>
      </x:c>
      <x:c r="C337" s="362" t="str">
        <x:v>Guards</x:v>
      </x:c>
      <x:c r="D337" s="362" t="str">
        <x:v>Destroyers</x:v>
      </x:c>
      <x:c r="E337" s="362" t="str">
        <x:v>Guard</x:v>
      </x:c>
      <x:c r="F337" s="362" t="n">
        <x:v>47</x:v>
      </x:c>
      <x:c r="G337" s="362" t="str">
        <x:v>Parry</x:v>
      </x:c>
      <x:c r="H337" s="362" t="str">
        <x:v>Provides a parry effect and a certain probability to increase damage</x:v>
      </x:c>
      <x:c r="I337" s="362" t="str">
        <x:v>Unlocked</x:v>
      </x:c>
      <x:c r="J337" s="362" t="str">
        <x:v>00:57.25</x:v>
      </x:c>
      <x:c r="K337" s="362" t="str">
        <x:v>Header exactly: Destroyers(Guard)</x:v>
      </x:c>
      <x:c r="L337" s="362" t="str">
        <x:v>1000025098.mp4</x:v>
      </x:c>
    </x:row>
    <x:row r="338" ht="32" customHeight="1">
      <x:c r="A338" s="362" t="str">
        <x:v>K170</x:v>
      </x:c>
      <x:c r="B338" s="362" t="str">
        <x:v>(AOT)Themechanic</x:v>
      </x:c>
      <x:c r="C338" s="362" t="str">
        <x:v>Cavalry</x:v>
      </x:c>
      <x:c r="D338" s="362" t="str">
        <x:v>Eternal knights</x:v>
      </x:c>
      <x:c r="E338" s="362" t="str">
        <x:v>Heavy Cavalry</x:v>
      </x:c>
      <x:c r="F338" s="362" t="n">
        <x:v>45</x:v>
      </x:c>
      <x:c r="G338" s="362" t="str">
        <x:v>Thunder trample</x:v>
      </x:c>
      <x:c r="H338" s="362" t="str">
        <x:v>Has a certain probability of causing trampling damage</x:v>
      </x:c>
      <x:c r="I338" s="362" t="str">
        <x:v>Unlocked</x:v>
      </x:c>
      <x:c r="J338" s="362" t="str">
        <x:v>00:58.50</x:v>
      </x:c>
      <x:c r="K338" s="362" t="str">
        <x:v>Header exactly: Eternal knights(Heavy Cavalry)</x:v>
      </x:c>
      <x:c r="L338" s="362" t="str">
        <x:v>1000025098.mp4</x:v>
      </x:c>
    </x:row>
    <x:row r="339" ht="32" customHeight="1">
      <x:c r="A339" s="362" t="str">
        <x:v>K170</x:v>
      </x:c>
      <x:c r="B339" s="362" t="str">
        <x:v>(AOT)Themechanic</x:v>
      </x:c>
      <x:c r="C339" s="362" t="str">
        <x:v>Archers</x:v>
      </x:c>
      <x:c r="D339" s="362" t="str">
        <x:v>Elite bowmen</x:v>
      </x:c>
      <x:c r="E339" s="362" t="str">
        <x:v>Archer</x:v>
      </x:c>
      <x:c r="F339" s="362" t="n">
        <x:v>37</x:v>
      </x:c>
      <x:c r="G339" s="362" t="str">
        <x:v>Frost Arrow</x:v>
      </x:c>
      <x:c r="H339" s="362" t="str">
        <x:v>Has a higher probability of activating ice damage</x:v>
      </x:c>
      <x:c r="I339" s="362" t="str">
        <x:v>Unlocked</x:v>
      </x:c>
      <x:c r="J339" s="362" t="str">
        <x:v>00:59.75</x:v>
      </x:c>
      <x:c r="K339" s="362" t="str">
        <x:v>Header exactly: Elite bowmen(Archer)</x:v>
      </x:c>
      <x:c r="L339" s="362" t="str">
        <x:v>1000025098.mp4</x:v>
      </x:c>
    </x:row>
    <x:row r="340" ht="32" customHeight="1">
      <x:c r="A340" s="362" t="str">
        <x:v>K170</x:v>
      </x:c>
      <x:c r="B340" s="362" t="str">
        <x:v>(AOT)Themechanic</x:v>
      </x:c>
      <x:c r="C340" s="362" t="str">
        <x:v>Cavalry</x:v>
      </x:c>
      <x:c r="D340" s="362" t="str">
        <x:v>Storm cavalry</x:v>
      </x:c>
      <x:c r="E340" s="362" t="str">
        <x:v>Horse archer</x:v>
      </x:c>
      <x:c r="F340" s="362" t="n">
        <x:v>50</x:v>
      </x:c>
      <x:c r="G340" s="362" t="str">
        <x:v>Mounted Archery</x:v>
      </x:c>
      <x:c r="H340" s="362" t="str">
        <x:v>Has a certain probability of causing fly-shooting damage</x:v>
      </x:c>
      <x:c r="I340" s="362" t="str">
        <x:v>Unlocked</x:v>
      </x:c>
      <x:c r="J340" s="362" t="str">
        <x:v>01:01.00</x:v>
      </x:c>
      <x:c r="K340" s="362" t="str">
        <x:v>Header exactly: Storm cavalry(Horse archer)</x:v>
      </x:c>
      <x:c r="L340" s="362" t="str">
        <x:v>1000025098.mp4</x:v>
      </x:c>
    </x:row>
    <x:row r="341" ht="32" customHeight="1">
      <x:c r="A341" s="362" t="str">
        <x:v>K170</x:v>
      </x:c>
      <x:c r="B341" s="362" t="str">
        <x:v>(AOT)Themechanic</x:v>
      </x:c>
      <x:c r="C341" s="362" t="str">
        <x:v>Cavalry</x:v>
      </x:c>
      <x:c r="D341" s="362" t="str">
        <x:v>Royal banderium</x:v>
      </x:c>
      <x:c r="E341" s="362" t="str">
        <x:v>Horse archer</x:v>
      </x:c>
      <x:c r="F341" s="362" t="n">
        <x:v>50</x:v>
      </x:c>
      <x:c r="G341" s="362" t="str">
        <x:v>Mounted Archery</x:v>
      </x:c>
      <x:c r="H341" s="362" t="str">
        <x:v>Has a certain probability of causing fly-shooting damage</x:v>
      </x:c>
      <x:c r="I341" s="362" t="str">
        <x:v>Unlocked</x:v>
      </x:c>
      <x:c r="J341" s="362" t="str">
        <x:v>01:02.00</x:v>
      </x:c>
      <x:c r="K341" s="362" t="str">
        <x:v>Header exactly: Royal banderium(Horse archer)</x:v>
      </x:c>
      <x:c r="L341" s="362" t="str">
        <x:v>1000025098.mp4</x:v>
      </x:c>
    </x:row>
    <x:row r="342" ht="32" customHeight="1">
      <x:c r="A342" s="362" t="str">
        <x:v>K170</x:v>
      </x:c>
      <x:c r="B342" s="362" t="str">
        <x:v>(AOT)Aauudd</x:v>
      </x:c>
      <x:c r="C342" s="362" t="str">
        <x:v>Cavalry</x:v>
      </x:c>
      <x:c r="D342" s="362" t="str">
        <x:v>Eternal knights</x:v>
      </x:c>
      <x:c r="E342" s="362" t="str">
        <x:v>Heavy Cavalry</x:v>
      </x:c>
      <x:c r="F342" s="362" t="n">
        <x:v>31</x:v>
      </x:c>
      <x:c r="G342" s="362" t="str">
        <x:v>Thunder trample</x:v>
      </x:c>
      <x:c r="H342" s="362" t="str">
        <x:v>Has a certain probability of causing trampling damage</x:v>
      </x:c>
      <x:c r="I342" s="362" t="str">
        <x:v>Unlocked</x:v>
      </x:c>
      <x:c r="J342" s="362" t="str">
        <x:v>01:15</x:v>
      </x:c>
      <x:c r="K342" s="362" t="str">
        <x:v>Header exactly: Eternal knights(Heavy Cavalry)</x:v>
      </x:c>
      <x:c r="L342" s="362" t="str">
        <x:v>1000025098.mp4</x:v>
      </x:c>
    </x:row>
    <x:row r="343" ht="32" customHeight="1">
      <x:c r="A343" s="362" t="str">
        <x:v>K170</x:v>
      </x:c>
      <x:c r="B343" s="362" t="str">
        <x:v>(AOT)Aauudd</x:v>
      </x:c>
      <x:c r="C343" s="362" t="str">
        <x:v>Archers</x:v>
      </x:c>
      <x:c r="D343" s="362" t="str">
        <x:v>Elite bowmen</x:v>
      </x:c>
      <x:c r="E343" s="362" t="str">
        <x:v>Archer</x:v>
      </x:c>
      <x:c r="F343" s="362" t="n">
        <x:v>21</x:v>
      </x:c>
      <x:c r="G343" s="362" t="str">
        <x:v>Frost Arrow</x:v>
      </x:c>
      <x:c r="H343" s="362" t="str">
        <x:v>Has a higher probability of activating ice damage</x:v>
      </x:c>
      <x:c r="I343" s="362" t="str">
        <x:v>Unlocked</x:v>
      </x:c>
      <x:c r="J343" s="362" t="str">
        <x:v>01:16</x:v>
      </x:c>
      <x:c r="K343" s="362" t="str">
        <x:v>Header exactly: Elite bowmen(Archer)</x:v>
      </x:c>
      <x:c r="L343" s="362" t="str">
        <x:v>1000025098.mp4</x:v>
      </x:c>
    </x:row>
    <x:row r="344" ht="32" customHeight="1">
      <x:c r="A344" s="362" t="str">
        <x:v>K170</x:v>
      </x:c>
      <x:c r="B344" s="362" t="str">
        <x:v>(AOT)Aauudd</x:v>
      </x:c>
      <x:c r="C344" s="362" t="str">
        <x:v>Siege</x:v>
      </x:c>
      <x:c r="D344" s="362" t="str">
        <x:v>Manglers</x:v>
      </x:c>
      <x:c r="E344" s="362" t="str">
        <x:v>Siege</x:v>
      </x:c>
      <x:c r="F344" s="362" t="n">
        <x:v>42</x:v>
      </x:c>
      <x:c r="G344" s="362" t="str">
        <x:v>Highly toxic</x:v>
      </x:c>
      <x:c r="H344" s="362" t="str">
        <x:v>Inflict continuous toxic damage</x:v>
      </x:c>
      <x:c r="I344" s="362" t="str">
        <x:v>Unlocked</x:v>
      </x:c>
      <x:c r="J344" s="362" t="str">
        <x:v>01:17</x:v>
      </x:c>
      <x:c r="K344" s="362" t="str">
        <x:v>Header exactly: Manglers(Siege)</x:v>
      </x:c>
      <x:c r="L344" s="362" t="str">
        <x:v>1000025098.mp4</x:v>
      </x:c>
    </x:row>
    <x:row r="345" ht="32" customHeight="1">
      <x:c r="A345" s="362" t="str">
        <x:v>K170</x:v>
      </x:c>
      <x:c r="B345" s="362" t="str">
        <x:v>(AOT)Aauudd</x:v>
      </x:c>
      <x:c r="C345" s="362" t="str">
        <x:v>Cavalry</x:v>
      </x:c>
      <x:c r="D345" s="362" t="str">
        <x:v>Storm cavalry</x:v>
      </x:c>
      <x:c r="E345" s="362" t="str">
        <x:v>Horse archer</x:v>
      </x:c>
      <x:c r="F345" s="362" t="n">
        <x:v>46</x:v>
      </x:c>
      <x:c r="G345" s="362" t="str">
        <x:v>Mounted Archery</x:v>
      </x:c>
      <x:c r="H345" s="362" t="str">
        <x:v>Has a certain probability of causing fly-shooting damage</x:v>
      </x:c>
      <x:c r="I345" s="362" t="str">
        <x:v>Unlocked</x:v>
      </x:c>
      <x:c r="J345" s="362" t="str">
        <x:v>01:17.50</x:v>
      </x:c>
      <x:c r="K345" s="362" t="str">
        <x:v>Header exactly: Storm cavalry(Horse archer)</x:v>
      </x:c>
      <x:c r="L345" s="362" t="str">
        <x:v>1000025098.mp4</x:v>
      </x:c>
    </x:row>
    <x:row r="346" ht="32" customHeight="1">
      <x:c r="A346" s="362" t="str">
        <x:v>K170</x:v>
      </x:c>
      <x:c r="B346" s="362" t="str">
        <x:v>(AOT)Aauudd</x:v>
      </x:c>
      <x:c r="C346" s="362" t="str">
        <x:v>Siege</x:v>
      </x:c>
      <x:c r="D346" s="362" t="str">
        <x:v>End siege</x:v>
      </x:c>
      <x:c r="E346" s="362" t="str">
        <x:v>Siege</x:v>
      </x:c>
      <x:c r="F346" s="362" t="n">
        <x:v>42</x:v>
      </x:c>
      <x:c r="G346" s="362" t="str">
        <x:v>Highly toxic</x:v>
      </x:c>
      <x:c r="H346" s="362" t="str">
        <x:v>Inflict continuous toxic damage</x:v>
      </x:c>
      <x:c r="I346" s="362" t="str">
        <x:v>Unlocked</x:v>
      </x:c>
      <x:c r="J346" s="362" t="str">
        <x:v>01:18.50</x:v>
      </x:c>
      <x:c r="K346" s="362" t="str">
        <x:v>Header exactly: End siege(Siege)</x:v>
      </x:c>
      <x:c r="L346" s="362" t="str">
        <x:v>1000025098.mp4</x:v>
      </x:c>
    </x:row>
    <x:row r="347" ht="32" customHeight="1">
      <x:c r="A347" s="362" t="str">
        <x:v>K170</x:v>
      </x:c>
      <x:c r="B347" s="362" t="str">
        <x:v>(AOT)Brauni°</x:v>
      </x:c>
      <x:c r="C347" s="362" t="str">
        <x:v>Guards</x:v>
      </x:c>
      <x:c r="D347" s="362" t="str">
        <x:v>Destroyers</x:v>
      </x:c>
      <x:c r="E347" s="362" t="str">
        <x:v>Guard</x:v>
      </x:c>
      <x:c r="F347" s="362" t="n">
        <x:v>40</x:v>
      </x:c>
      <x:c r="G347" s="362" t="str">
        <x:v>Parry</x:v>
      </x:c>
      <x:c r="H347" s="362" t="str">
        <x:v>Provides a parry effect and a certain probability to increase damage</x:v>
      </x:c>
      <x:c r="I347" s="362" t="str">
        <x:v>Unlocked</x:v>
      </x:c>
      <x:c r="J347" s="362" t="str">
        <x:v>01:26.25</x:v>
      </x:c>
      <x:c r="K347" s="362" t="str">
        <x:v>Header exactly: Destroyers(Guard)</x:v>
      </x:c>
      <x:c r="L347" s="362" t="str">
        <x:v>1000025098.mp4</x:v>
      </x:c>
    </x:row>
    <x:row r="348" ht="32" customHeight="1">
      <x:c r="A348" s="362" t="str">
        <x:v>K170</x:v>
      </x:c>
      <x:c r="B348" s="362" t="str">
        <x:v>(AOT)Brauni°</x:v>
      </x:c>
      <x:c r="C348" s="362" t="str">
        <x:v>Archers</x:v>
      </x:c>
      <x:c r="D348" s="362" t="str">
        <x:v>Elite bowmen</x:v>
      </x:c>
      <x:c r="E348" s="362" t="str">
        <x:v>Archer</x:v>
      </x:c>
      <x:c r="F348" s="362" t="n">
        <x:v>44</x:v>
      </x:c>
      <x:c r="G348" s="362" t="str">
        <x:v>Frost Arrow</x:v>
      </x:c>
      <x:c r="H348" s="362" t="str">
        <x:v>Has a higher probability of activating ice damage</x:v>
      </x:c>
      <x:c r="I348" s="362" t="str">
        <x:v>Unlocked</x:v>
      </x:c>
      <x:c r="J348" s="362" t="str">
        <x:v>01:27.50</x:v>
      </x:c>
      <x:c r="K348" s="362" t="str">
        <x:v>Header exactly: Elite bowmen(Archer)</x:v>
      </x:c>
      <x:c r="L348" s="362" t="str">
        <x:v>1000025098.mp4</x:v>
      </x:c>
    </x:row>
    <x:row r="349" ht="32" customHeight="1">
      <x:c r="A349" s="362" t="str">
        <x:v>K170</x:v>
      </x:c>
      <x:c r="B349" s="362" t="str">
        <x:v>(AOT)Brauni°</x:v>
      </x:c>
      <x:c r="C349" s="362" t="str">
        <x:v>Cavalry</x:v>
      </x:c>
      <x:c r="D349" s="362" t="str">
        <x:v>Storm cavalry</x:v>
      </x:c>
      <x:c r="E349" s="362" t="str">
        <x:v>Horse archer</x:v>
      </x:c>
      <x:c r="F349" s="362" t="n">
        <x:v>45</x:v>
      </x:c>
      <x:c r="G349" s="362" t="str">
        <x:v>Mounted Archery</x:v>
      </x:c>
      <x:c r="H349" s="362" t="str">
        <x:v>Has a certain probability of causing fly-shooting damage</x:v>
      </x:c>
      <x:c r="I349" s="362" t="str">
        <x:v>Unlocked</x:v>
      </x:c>
      <x:c r="J349" s="362" t="str">
        <x:v>01:28.50</x:v>
      </x:c>
      <x:c r="K349" s="362" t="str">
        <x:v>Header exactly: Storm cavalry(Horse archer)</x:v>
      </x:c>
      <x:c r="L349" s="362" t="str">
        <x:v>1000025098.mp4</x:v>
      </x:c>
    </x:row>
    <x:row r="350" ht="32" customHeight="1">
      <x:c r="A350" s="362" t="str">
        <x:v>K170</x:v>
      </x:c>
      <x:c r="B350" s="362" t="str">
        <x:v>(AOT)Brauni°</x:v>
      </x:c>
      <x:c r="C350" s="362" t="str">
        <x:v>Archers</x:v>
      </x:c>
      <x:c r="D350" s="362" t="str">
        <x:v>Marksmen</x:v>
      </x:c>
      <x:c r="E350" s="362" t="str">
        <x:v>Archer</x:v>
      </x:c>
      <x:c r="F350" s="362" t="n">
        <x:v>44</x:v>
      </x:c>
      <x:c r="G350" s="362" t="str">
        <x:v>Frost Arrow</x:v>
      </x:c>
      <x:c r="H350" s="362" t="str">
        <x:v>Has a higher probability of activating ice damage</x:v>
      </x:c>
      <x:c r="I350" s="362" t="str">
        <x:v>Unlocked</x:v>
      </x:c>
      <x:c r="J350" s="362" t="str">
        <x:v>01:29.75</x:v>
      </x:c>
      <x:c r="K350" s="362" t="str">
        <x:v>Header exactly: Marksmen(Archer)</x:v>
      </x:c>
      <x:c r="L350" s="362" t="str">
        <x:v>1000025098.mp4</x:v>
      </x:c>
    </x:row>
    <x:row r="351" ht="32" customHeight="1">
      <x:c r="A351" s="362" t="str">
        <x:v>K170</x:v>
      </x:c>
      <x:c r="B351" s="362" t="str">
        <x:v>(AOT)鸣鸣鸣</x:v>
      </x:c>
      <x:c r="C351" s="362" t="str">
        <x:v>Cavalry</x:v>
      </x:c>
      <x:c r="D351" s="362" t="str">
        <x:v>Eternal knights</x:v>
      </x:c>
      <x:c r="E351" s="362" t="str">
        <x:v>Heavy Cavalry</x:v>
      </x:c>
      <x:c r="F351" s="362" t="n">
        <x:v>46</x:v>
      </x:c>
      <x:c r="G351" s="362" t="str">
        <x:v>Thunder trample</x:v>
      </x:c>
      <x:c r="H351" s="362" t="str">
        <x:v>Has a certain probability of causing trampling damage</x:v>
      </x:c>
      <x:c r="I351" s="362" t="str">
        <x:v>Unlocked</x:v>
      </x:c>
      <x:c r="J351" s="362" t="str">
        <x:v>01:49</x:v>
      </x:c>
      <x:c r="K351" s="362" t="str">
        <x:v>Header exactly: Eternal knights(Heavy Cavalry)</x:v>
      </x:c>
      <x:c r="L351" s="362" t="str">
        <x:v>1000025098.mp4</x:v>
      </x:c>
    </x:row>
    <x:row r="352" ht="32" customHeight="1">
      <x:c r="A352" s="362" t="str">
        <x:v>K170</x:v>
      </x:c>
      <x:c r="B352" s="362" t="str">
        <x:v>(AOT)鸣鸣鸣</x:v>
      </x:c>
      <x:c r="C352" s="362" t="str">
        <x:v>Archers</x:v>
      </x:c>
      <x:c r="D352" s="362" t="str">
        <x:v>Elite bowmen</x:v>
      </x:c>
      <x:c r="E352" s="362" t="str">
        <x:v>Archer</x:v>
      </x:c>
      <x:c r="F352" s="362" t="n">
        <x:v>45</x:v>
      </x:c>
      <x:c r="G352" s="362" t="str">
        <x:v>Frost Arrow</x:v>
      </x:c>
      <x:c r="H352" s="362" t="str">
        <x:v>Has a higher probability of activating ice damage</x:v>
      </x:c>
      <x:c r="I352" s="362" t="str">
        <x:v>Unlocked</x:v>
      </x:c>
      <x:c r="J352" s="362" t="str">
        <x:v>01:50</x:v>
      </x:c>
      <x:c r="K352" s="362" t="str">
        <x:v>Header exactly: Elite bowmen(Archer)</x:v>
      </x:c>
      <x:c r="L352" s="362" t="str">
        <x:v>1000025098.mp4</x:v>
      </x:c>
    </x:row>
    <x:row r="353" ht="32" customHeight="1">
      <x:c r="A353" s="362" t="str">
        <x:v>K170</x:v>
      </x:c>
      <x:c r="B353" s="362" t="str">
        <x:v>(AOT)鸣鸣鸣</x:v>
      </x:c>
      <x:c r="C353" s="362" t="str">
        <x:v>Cavalry</x:v>
      </x:c>
      <x:c r="D353" s="362" t="str">
        <x:v>Storm cavalry</x:v>
      </x:c>
      <x:c r="E353" s="362" t="str">
        <x:v>Horse archer</x:v>
      </x:c>
      <x:c r="F353" s="362" t="n">
        <x:v>47</x:v>
      </x:c>
      <x:c r="G353" s="362" t="str">
        <x:v>Mounted Archery</x:v>
      </x:c>
      <x:c r="H353" s="362" t="str">
        <x:v>Has a certain probability of causing fly-shooting damage</x:v>
      </x:c>
      <x:c r="I353" s="362" t="str">
        <x:v>Unlocked</x:v>
      </x:c>
      <x:c r="J353" s="362" t="str">
        <x:v>01:51</x:v>
      </x:c>
      <x:c r="K353" s="362" t="str">
        <x:v>Header exactly: Storm cavalry(Horse archer)</x:v>
      </x:c>
      <x:c r="L353" s="362" t="str">
        <x:v>1000025098.mp4</x:v>
      </x:c>
    </x:row>
    <x:row r="354" ht="32" customHeight="1">
      <x:c r="A354" s="362" t="str">
        <x:v>K170</x:v>
      </x:c>
      <x:c r="B354" s="362" t="str">
        <x:v>(AOT)鸣鸣鸣</x:v>
      </x:c>
      <x:c r="C354" s="362" t="str">
        <x:v>Cavalry</x:v>
      </x:c>
      <x:c r="D354" s="362" t="str">
        <x:v>Roman knights</x:v>
      </x:c>
      <x:c r="E354" s="362" t="str">
        <x:v>Heavy Cavalry</x:v>
      </x:c>
      <x:c r="F354" s="362" t="n">
        <x:v>46</x:v>
      </x:c>
      <x:c r="G354" s="362" t="str">
        <x:v>Thunder trample</x:v>
      </x:c>
      <x:c r="H354" s="362" t="str">
        <x:v>Has a certain probability of causing trampling damage</x:v>
      </x:c>
      <x:c r="I354" s="362" t="str">
        <x:v>Unlocked</x:v>
      </x:c>
      <x:c r="J354" s="362" t="str">
        <x:v>01:52</x:v>
      </x:c>
      <x:c r="K354" s="362" t="str">
        <x:v>Header exactly: Roman knights(Heavy Cavalry)</x:v>
      </x:c>
      <x:c r="L354" s="362" t="str">
        <x:v>1000025098.mp4</x:v>
      </x:c>
    </x:row>
    <x:row r="355" ht="32" customHeight="1">
      <x:c r="A355" s="362" t="str">
        <x:v>K170</x:v>
      </x:c>
      <x:c r="B355" s="362" t="str">
        <x:v>(AOT)鸣鸣鸣</x:v>
      </x:c>
      <x:c r="C355" s="362" t="str">
        <x:v>Archers</x:v>
      </x:c>
      <x:c r="D355" s="362" t="str">
        <x:v>Marksmen</x:v>
      </x:c>
      <x:c r="E355" s="362" t="str">
        <x:v>Archer</x:v>
      </x:c>
      <x:c r="F355" s="362" t="n">
        <x:v>45</x:v>
      </x:c>
      <x:c r="G355" s="362" t="str">
        <x:v>Frost Arrow</x:v>
      </x:c>
      <x:c r="H355" s="362" t="str">
        <x:v>Has a higher probability of activating ice damage</x:v>
      </x:c>
      <x:c r="I355" s="362" t="str">
        <x:v>Unlocked</x:v>
      </x:c>
      <x:c r="J355" s="362" t="str">
        <x:v>01:53</x:v>
      </x:c>
      <x:c r="K355" s="362" t="str">
        <x:v>Header exactly: Marksmen(Archer)</x:v>
      </x:c>
      <x:c r="L355" s="362" t="str">
        <x:v>1000025098.mp4</x:v>
      </x:c>
    </x:row>
    <x:row r="356" ht="32" customHeight="1">
      <x:c r="A356" s="362" t="str">
        <x:v>K170</x:v>
      </x:c>
      <x:c r="B356" s="362" t="str">
        <x:v>(AOT)鸣鸣鸣</x:v>
      </x:c>
      <x:c r="C356" s="362" t="str">
        <x:v>Cavalry</x:v>
      </x:c>
      <x:c r="D356" s="362" t="str">
        <x:v>Royal banderium</x:v>
      </x:c>
      <x:c r="E356" s="362" t="str">
        <x:v>Horse archer</x:v>
      </x:c>
      <x:c r="F356" s="362" t="n">
        <x:v>47</x:v>
      </x:c>
      <x:c r="G356" s="362" t="str">
        <x:v>Mounted Archery</x:v>
      </x:c>
      <x:c r="H356" s="362" t="str">
        <x:v>Has a certain probability of causing fly-shooting damage</x:v>
      </x:c>
      <x:c r="I356" s="362" t="str">
        <x:v>Unlocked</x:v>
      </x:c>
      <x:c r="J356" s="362" t="str">
        <x:v>01:54</x:v>
      </x:c>
      <x:c r="K356" s="362" t="str">
        <x:v>Header exactly: Royal banderium(Horse archer)</x:v>
      </x:c>
      <x:c r="L356" s="362" t="str">
        <x:v>1000025098.mp4</x:v>
      </x:c>
    </x:row>
    <x:row r="357" ht="32" customHeight="1">
      <x:c r="A357" s="362" t="str">
        <x:v>K170</x:v>
      </x:c>
      <x:c r="B357" s="362" t="str">
        <x:v>(AOT)Panda</x:v>
      </x:c>
      <x:c r="C357" s="362" t="str">
        <x:v>Guards</x:v>
      </x:c>
      <x:c r="D357" s="362" t="str">
        <x:v>Destroyers</x:v>
      </x:c>
      <x:c r="E357" s="362" t="str">
        <x:v>Guard</x:v>
      </x:c>
      <x:c r="F357" s="362" t="n">
        <x:v>50</x:v>
      </x:c>
      <x:c r="G357" s="362" t="str">
        <x:v>Parry</x:v>
      </x:c>
      <x:c r="H357" s="362" t="str">
        <x:v>Provides a parry effect and a certain probability to increase damage</x:v>
      </x:c>
      <x:c r="I357" s="362" t="str">
        <x:v>Unlocked</x:v>
      </x:c>
      <x:c r="J357" s="362" t="str">
        <x:v>02:24.75</x:v>
      </x:c>
      <x:c r="K357" s="362" t="str">
        <x:v>Header exactly: Destroyers(Guard)</x:v>
      </x:c>
      <x:c r="L357" s="362" t="str">
        <x:v>1000025098.mp4</x:v>
      </x:c>
    </x:row>
    <x:row r="358" ht="32" customHeight="1">
      <x:c r="A358" s="362" t="str">
        <x:v>K170</x:v>
      </x:c>
      <x:c r="B358" s="362" t="str">
        <x:v>(AOT)Panda</x:v>
      </x:c>
      <x:c r="C358" s="362" t="str">
        <x:v>Cavalry</x:v>
      </x:c>
      <x:c r="D358" s="362" t="str">
        <x:v>Eternal knights</x:v>
      </x:c>
      <x:c r="E358" s="362" t="str">
        <x:v>Heavy Cavalry</x:v>
      </x:c>
      <x:c r="F358" s="362" t="n">
        <x:v>45</x:v>
      </x:c>
      <x:c r="G358" s="362" t="str">
        <x:v>Thunder trample</x:v>
      </x:c>
      <x:c r="H358" s="362" t="str">
        <x:v>Has a certain probability of causing trampling damage</x:v>
      </x:c>
      <x:c r="I358" s="362" t="str">
        <x:v>Unlocked</x:v>
      </x:c>
      <x:c r="J358" s="362" t="str">
        <x:v>02:26.00</x:v>
      </x:c>
      <x:c r="K358" s="362" t="str">
        <x:v>Header exactly: Eternal knights(Heavy Cavalry)</x:v>
      </x:c>
      <x:c r="L358" s="362" t="str">
        <x:v>1000025098.mp4</x:v>
      </x:c>
    </x:row>
    <x:row r="359" ht="32" customHeight="1">
      <x:c r="A359" s="362" t="str">
        <x:v>K170</x:v>
      </x:c>
      <x:c r="B359" s="362" t="str">
        <x:v>(AOT)Panda</x:v>
      </x:c>
      <x:c r="C359" s="362" t="str">
        <x:v>Siege</x:v>
      </x:c>
      <x:c r="D359" s="362" t="str">
        <x:v>Manglers</x:v>
      </x:c>
      <x:c r="E359" s="362" t="str">
        <x:v>Siege</x:v>
      </x:c>
      <x:c r="F359" s="362" t="n">
        <x:v>39</x:v>
      </x:c>
      <x:c r="G359" s="362" t="str">
        <x:v>Highly toxic</x:v>
      </x:c>
      <x:c r="H359" s="362" t="str">
        <x:v>Inflict continuous toxic damage</x:v>
      </x:c>
      <x:c r="I359" s="362" t="str">
        <x:v>Unlocked</x:v>
      </x:c>
      <x:c r="J359" s="362" t="str">
        <x:v>02:27.25</x:v>
      </x:c>
      <x:c r="K359" s="362" t="str">
        <x:v>Header exactly: Manglers(Siege)</x:v>
      </x:c>
      <x:c r="L359" s="362" t="str">
        <x:v>1000025098.mp4</x:v>
      </x:c>
    </x:row>
    <x:row r="360" ht="32" customHeight="1">
      <x:c r="A360" s="362" t="str">
        <x:v>K170</x:v>
      </x:c>
      <x:c r="B360" s="362" t="str">
        <x:v>(AOT)Panda</x:v>
      </x:c>
      <x:c r="C360" s="362" t="str">
        <x:v>Cavalry</x:v>
      </x:c>
      <x:c r="D360" s="362" t="str">
        <x:v>Storm cavalry</x:v>
      </x:c>
      <x:c r="E360" s="362" t="str">
        <x:v>Horse archer</x:v>
      </x:c>
      <x:c r="F360" s="362" t="n">
        <x:v>50</x:v>
      </x:c>
      <x:c r="G360" s="362" t="str">
        <x:v>Mounted Archery</x:v>
      </x:c>
      <x:c r="H360" s="362" t="str">
        <x:v>Has a certain probability of causing fly-shooting damage</x:v>
      </x:c>
      <x:c r="I360" s="362" t="str">
        <x:v>Unlocked</x:v>
      </x:c>
      <x:c r="J360" s="362" t="str">
        <x:v>02:28.00</x:v>
      </x:c>
      <x:c r="K360" s="362" t="str">
        <x:v>Header exactly: Storm cavalry(Horse archer)</x:v>
      </x:c>
      <x:c r="L360" s="362" t="str">
        <x:v>1000025098.mp4</x:v>
      </x:c>
    </x:row>
    <x:row r="361" ht="32" customHeight="1">
      <x:c r="A361" s="362" t="str">
        <x:v>K170</x:v>
      </x:c>
      <x:c r="B361" s="362" t="str">
        <x:v>(AOT)StFruz</x:v>
      </x:c>
      <x:c r="C361" s="362" t="str">
        <x:v>Archers</x:v>
      </x:c>
      <x:c r="D361" s="362" t="str">
        <x:v>Elite bowmen</x:v>
      </x:c>
      <x:c r="E361" s="362" t="str">
        <x:v>Archer</x:v>
      </x:c>
      <x:c r="F361" s="362" t="n">
        <x:v>20</x:v>
      </x:c>
      <x:c r="G361" s="362" t="str">
        <x:v>Frost Arrow</x:v>
      </x:c>
      <x:c r="H361" s="362" t="str">
        <x:v>Has a higher probability of activating ice damage</x:v>
      </x:c>
      <x:c r="I361" s="362" t="str">
        <x:v>Unlocked</x:v>
      </x:c>
      <x:c r="J361" s="362" t="str">
        <x:v>02:36.75</x:v>
      </x:c>
      <x:c r="K361" s="362" t="str">
        <x:v>Header exactly: Elite bowmen(Archer)</x:v>
      </x:c>
      <x:c r="L361" s="362" t="str">
        <x:v>1000025098.mp4</x:v>
      </x:c>
    </x:row>
    <x:row r="362" ht="32" customHeight="1">
      <x:c r="A362" s="362" t="str">
        <x:v>K170</x:v>
      </x:c>
      <x:c r="B362" s="362" t="str">
        <x:v>(AOT)StFruz</x:v>
      </x:c>
      <x:c r="C362" s="362" t="str">
        <x:v>Siege</x:v>
      </x:c>
      <x:c r="D362" s="362" t="str">
        <x:v>Manglers</x:v>
      </x:c>
      <x:c r="E362" s="362" t="str">
        <x:v>Siege</x:v>
      </x:c>
      <x:c r="F362" s="362" t="n">
        <x:v>32</x:v>
      </x:c>
      <x:c r="G362" s="362" t="str">
        <x:v>Highly toxic</x:v>
      </x:c>
      <x:c r="H362" s="362" t="str">
        <x:v>Inflict continuous toxic damage</x:v>
      </x:c>
      <x:c r="I362" s="362" t="str">
        <x:v>Unlocked</x:v>
      </x:c>
      <x:c r="J362" s="362" t="str">
        <x:v>02:38.00</x:v>
      </x:c>
      <x:c r="K362" s="362" t="str">
        <x:v>Header exactly: Manglers(Siege)</x:v>
      </x:c>
      <x:c r="L362" s="362" t="str">
        <x:v>1000025098.mp4</x:v>
      </x:c>
    </x:row>
    <x:row r="363" ht="32" customHeight="1">
      <x:c r="A363" s="362" t="str">
        <x:v>K170</x:v>
      </x:c>
      <x:c r="B363" s="362" t="str">
        <x:v>(AOT)StFruz</x:v>
      </x:c>
      <x:c r="C363" s="362" t="str">
        <x:v>Cavalry</x:v>
      </x:c>
      <x:c r="D363" s="362" t="str">
        <x:v>Storm cavalry</x:v>
      </x:c>
      <x:c r="E363" s="362" t="str">
        <x:v>Horse archer</x:v>
      </x:c>
      <x:c r="F363" s="362" t="n">
        <x:v>44</x:v>
      </x:c>
      <x:c r="G363" s="362" t="str">
        <x:v>Mounted Archery</x:v>
      </x:c>
      <x:c r="H363" s="362" t="str">
        <x:v>Has a certain probability of causing fly-shooting damage</x:v>
      </x:c>
      <x:c r="I363" s="362" t="str">
        <x:v>Unlocked</x:v>
      </x:c>
      <x:c r="J363" s="362" t="str">
        <x:v>02:39.00</x:v>
      </x:c>
      <x:c r="K363" s="362" t="str">
        <x:v>Header exactly: Storm cavalry(Horse archer)</x:v>
      </x:c>
      <x:c r="L363" s="362" t="str">
        <x:v>1000025098.mp4</x:v>
      </x:c>
    </x:row>
    <x:row r="364" ht="32" customHeight="1">
      <x:c r="A364" s="362" t="str">
        <x:v>K170</x:v>
      </x:c>
      <x:c r="B364" s="362" t="str">
        <x:v>(AOT)StFruz</x:v>
      </x:c>
      <x:c r="C364" s="362" t="str">
        <x:v>Siege</x:v>
      </x:c>
      <x:c r="D364" s="362" t="str">
        <x:v>Guardian siege</x:v>
      </x:c>
      <x:c r="E364" s="362" t="str">
        <x:v>Rams</x:v>
      </x:c>
      <x:c r="F364" s="362" t="n">
        <x:v>50</x:v>
      </x:c>
      <x:c r="G364" s="362" t="str">
        <x:v>Dragonhide</x:v>
      </x:c>
      <x:c r="H364" s="362" t="str">
        <x:v>Increase damage reduction and increase damage</x:v>
      </x:c>
      <x:c r="I364" s="362" t="str">
        <x:v>Unlocked</x:v>
      </x:c>
      <x:c r="J364" s="362" t="str">
        <x:v>02:40.25</x:v>
      </x:c>
      <x:c r="K364" s="362" t="str">
        <x:v>Header exactly: Guardian siege(Rams)</x:v>
      </x:c>
      <x:c r="L364" s="362" t="str">
        <x:v>1000025098.mp4</x:v>
      </x:c>
    </x:row>
    <x:row r="365" ht="32" customHeight="1">
      <x:c r="A365" s="362" t="str">
        <x:v>K170</x:v>
      </x:c>
      <x:c r="B365" s="362" t="str">
        <x:v>(AOT)StFruz</x:v>
      </x:c>
      <x:c r="C365" s="362" t="str">
        <x:v>Archers</x:v>
      </x:c>
      <x:c r="D365" s="362" t="str">
        <x:v>Marksmen</x:v>
      </x:c>
      <x:c r="E365" s="362" t="str">
        <x:v>Archer</x:v>
      </x:c>
      <x:c r="F365" s="362" t="n">
        <x:v>20</x:v>
      </x:c>
      <x:c r="G365" s="362" t="str">
        <x:v>Frost Arrow</x:v>
      </x:c>
      <x:c r="H365" s="362" t="str">
        <x:v>Has a higher probability of activating ice damage</x:v>
      </x:c>
      <x:c r="I365" s="362" t="str">
        <x:v>Unlocked</x:v>
      </x:c>
      <x:c r="J365" s="362" t="str">
        <x:v>02:41.50</x:v>
      </x:c>
      <x:c r="K365" s="362" t="str">
        <x:v>Header exactly: Marksmen(Archer)</x:v>
      </x:c>
      <x:c r="L365" s="362" t="str">
        <x:v>1000025098.mp4</x:v>
      </x:c>
    </x:row>
    <x:row r="366" ht="32" customHeight="1">
      <x:c r="A366" s="362" t="str">
        <x:v>K170</x:v>
      </x:c>
      <x:c r="B366" s="362" t="str">
        <x:v>(AOT)StFruz</x:v>
      </x:c>
      <x:c r="C366" s="362" t="str">
        <x:v>Siege</x:v>
      </x:c>
      <x:c r="D366" s="362" t="str">
        <x:v>End siege</x:v>
      </x:c>
      <x:c r="E366" s="362" t="str">
        <x:v>Siege</x:v>
      </x:c>
      <x:c r="F366" s="362" t="n">
        <x:v>32</x:v>
      </x:c>
      <x:c r="G366" s="362" t="str">
        <x:v>Highly toxic</x:v>
      </x:c>
      <x:c r="H366" s="362" t="str">
        <x:v>Inflict continuous toxic damage</x:v>
      </x:c>
      <x:c r="I366" s="362" t="str">
        <x:v>Unlocked</x:v>
      </x:c>
      <x:c r="J366" s="362" t="str">
        <x:v>02:42.50</x:v>
      </x:c>
      <x:c r="K366" s="362" t="str">
        <x:v>Header exactly: End siege(Siege)</x:v>
      </x:c>
      <x:c r="L366" s="362" t="str">
        <x:v>1000025098.mp4</x:v>
      </x:c>
    </x:row>
    <x:row r="367" ht="32" customHeight="1">
      <x:c r="A367" s="362" t="str">
        <x:v>K170</x:v>
      </x:c>
      <x:c r="B367" s="362" t="str">
        <x:v>(AOT)WeleS</x:v>
      </x:c>
      <x:c r="C367" s="362" t="str">
        <x:v>Guards</x:v>
      </x:c>
      <x:c r="D367" s="362" t="str">
        <x:v>Destroyers</x:v>
      </x:c>
      <x:c r="E367" s="362" t="str">
        <x:v>Guard</x:v>
      </x:c>
      <x:c r="F367" s="362" t="n">
        <x:v>48</x:v>
      </x:c>
      <x:c r="G367" s="362" t="str">
        <x:v>Parry</x:v>
      </x:c>
      <x:c r="H367" s="362" t="str">
        <x:v>Provides a parry effect and a certain probability to increase damage</x:v>
      </x:c>
      <x:c r="I367" s="362" t="str">
        <x:v>Unlocked</x:v>
      </x:c>
      <x:c r="J367" s="362" t="str">
        <x:v>02:52.25</x:v>
      </x:c>
      <x:c r="K367" s="362" t="str">
        <x:v>Header exactly: Destroyers(Guard)</x:v>
      </x:c>
      <x:c r="L367" s="362" t="str">
        <x:v>1000025098.mp4</x:v>
      </x:c>
    </x:row>
    <x:row r="368" ht="32" customHeight="1">
      <x:c r="A368" s="362" t="str">
        <x:v>K170</x:v>
      </x:c>
      <x:c r="B368" s="362" t="str">
        <x:v>(AOT)WeleS</x:v>
      </x:c>
      <x:c r="C368" s="362" t="str">
        <x:v>Archers</x:v>
      </x:c>
      <x:c r="D368" s="362" t="str">
        <x:v>Elite bowmen</x:v>
      </x:c>
      <x:c r="E368" s="362" t="str">
        <x:v>Archer</x:v>
      </x:c>
      <x:c r="F368" s="362" t="n">
        <x:v>49</x:v>
      </x:c>
      <x:c r="G368" s="362" t="str">
        <x:v>Frost Arrow</x:v>
      </x:c>
      <x:c r="H368" s="362" t="str">
        <x:v>Has a higher probability of activating ice damage</x:v>
      </x:c>
      <x:c r="I368" s="362" t="str">
        <x:v>Unlocked</x:v>
      </x:c>
      <x:c r="J368" s="362" t="str">
        <x:v>02:53.50</x:v>
      </x:c>
      <x:c r="K368" s="362" t="str">
        <x:v>Header exactly: Elite bowmen(Archer)</x:v>
      </x:c>
      <x:c r="L368" s="362" t="str">
        <x:v>1000025098.mp4</x:v>
      </x:c>
    </x:row>
    <x:row r="369" ht="32" customHeight="1">
      <x:c r="A369" s="362" t="str">
        <x:v>K170</x:v>
      </x:c>
      <x:c r="B369" s="362" t="str">
        <x:v>(AOT)WeleS</x:v>
      </x:c>
      <x:c r="C369" s="362" t="str">
        <x:v>Cavalry</x:v>
      </x:c>
      <x:c r="D369" s="362" t="str">
        <x:v>Storm cavalry</x:v>
      </x:c>
      <x:c r="E369" s="362" t="str">
        <x:v>Horse archer</x:v>
      </x:c>
      <x:c r="F369" s="362" t="n">
        <x:v>47</x:v>
      </x:c>
      <x:c r="G369" s="362" t="str">
        <x:v>Mounted Archery</x:v>
      </x:c>
      <x:c r="H369" s="362" t="str">
        <x:v>Has a certain probability of causing fly-shooting damage</x:v>
      </x:c>
      <x:c r="I369" s="362" t="str">
        <x:v>Unlocked</x:v>
      </x:c>
      <x:c r="J369" s="362" t="str">
        <x:v>02:54.75</x:v>
      </x:c>
      <x:c r="K369" s="362" t="str">
        <x:v>Header exactly: Storm cavalry(Horse archer)</x:v>
      </x:c>
      <x:c r="L369" s="362" t="str">
        <x:v>1000025098.mp4</x:v>
      </x:c>
    </x:row>
    <x:row r="370" ht="32" customHeight="1">
      <x:c r="A370" s="362" t="str">
        <x:v>K170</x:v>
      </x:c>
      <x:c r="B370" s="362" t="str">
        <x:v>(AOT)WeleS</x:v>
      </x:c>
      <x:c r="C370" s="362" t="str">
        <x:v>Cavalry</x:v>
      </x:c>
      <x:c r="D370" s="362" t="str">
        <x:v>Royal banderium</x:v>
      </x:c>
      <x:c r="E370" s="362" t="str">
        <x:v>Horse archer</x:v>
      </x:c>
      <x:c r="F370" s="362" t="n">
        <x:v>47</x:v>
      </x:c>
      <x:c r="G370" s="362" t="str">
        <x:v>Mounted Archery</x:v>
      </x:c>
      <x:c r="H370" s="362" t="str">
        <x:v>Has a certain probability of causing fly-shooting damage</x:v>
      </x:c>
      <x:c r="I370" s="362" t="str">
        <x:v>Unlocked</x:v>
      </x:c>
      <x:c r="J370" s="362" t="str">
        <x:v>02:56.00</x:v>
      </x:c>
      <x:c r="K370" s="362" t="str">
        <x:v>Header exactly: Royal banderium(Horse archer)</x:v>
      </x:c>
      <x:c r="L370" s="362" t="str">
        <x:v>1000025098.mp4</x:v>
      </x:c>
    </x:row>
    <x:row r="371" ht="32" customHeight="1">
      <x:c r="A371" s="362" t="str">
        <x:v>K170</x:v>
      </x:c>
      <x:c r="B371" s="362" t="str">
        <x:v>(AOT)Doctopussy</x:v>
      </x:c>
      <x:c r="C371" s="362" t="str">
        <x:v>Guards</x:v>
      </x:c>
      <x:c r="D371" s="362" t="str">
        <x:v>Destroyers</x:v>
      </x:c>
      <x:c r="E371" s="362" t="str">
        <x:v>Guard</x:v>
      </x:c>
      <x:c r="F371" s="362" t="n">
        <x:v>44</x:v>
      </x:c>
      <x:c r="G371" s="362" t="str">
        <x:v>Parry</x:v>
      </x:c>
      <x:c r="H371" s="362" t="str">
        <x:v>Provides a parry effect and a certain probability to increase damage</x:v>
      </x:c>
      <x:c r="I371" s="362" t="str">
        <x:v>Unlocked</x:v>
      </x:c>
      <x:c r="J371" s="362" t="str">
        <x:v>03:04.25</x:v>
      </x:c>
      <x:c r="K371" s="362" t="str">
        <x:v>Header exactly: Destroyers(Guard)</x:v>
      </x:c>
      <x:c r="L371" s="362" t="str">
        <x:v>1000025098.mp4</x:v>
      </x:c>
    </x:row>
    <x:row r="372" ht="32" customHeight="1">
      <x:c r="A372" s="362" t="str">
        <x:v>K170</x:v>
      </x:c>
      <x:c r="B372" s="362" t="str">
        <x:v>(AOT)Doctopussy</x:v>
      </x:c>
      <x:c r="C372" s="362" t="str">
        <x:v>Archers</x:v>
      </x:c>
      <x:c r="D372" s="362" t="str">
        <x:v>Elite bowmen</x:v>
      </x:c>
      <x:c r="E372" s="362" t="str">
        <x:v>Archer</x:v>
      </x:c>
      <x:c r="F372" s="362" t="n">
        <x:v>43</x:v>
      </x:c>
      <x:c r="G372" s="362" t="str">
        <x:v>Frost Arrow</x:v>
      </x:c>
      <x:c r="H372" s="362" t="str">
        <x:v>Has a higher probability of activating ice damage</x:v>
      </x:c>
      <x:c r="I372" s="362" t="str">
        <x:v>Unlocked</x:v>
      </x:c>
      <x:c r="J372" s="362" t="str">
        <x:v>03:05.50</x:v>
      </x:c>
      <x:c r="K372" s="362" t="str">
        <x:v>Header exactly: Elite bowmen(Archer)</x:v>
      </x:c>
      <x:c r="L372" s="362" t="str">
        <x:v>1000025098.mp4</x:v>
      </x:c>
    </x:row>
    <x:row r="373" ht="32" customHeight="1">
      <x:c r="A373" s="362" t="str">
        <x:v>K170</x:v>
      </x:c>
      <x:c r="B373" s="362" t="str">
        <x:v>(AOT)Doctopussy</x:v>
      </x:c>
      <x:c r="C373" s="362" t="str">
        <x:v>Siege</x:v>
      </x:c>
      <x:c r="D373" s="362" t="str">
        <x:v>Manglers</x:v>
      </x:c>
      <x:c r="E373" s="362" t="str">
        <x:v>Siege</x:v>
      </x:c>
      <x:c r="F373" s="362" t="n">
        <x:v>31</x:v>
      </x:c>
      <x:c r="G373" s="362" t="str">
        <x:v>Highly toxic</x:v>
      </x:c>
      <x:c r="H373" s="362" t="str">
        <x:v>Inflict continuous toxic damage</x:v>
      </x:c>
      <x:c r="I373" s="362" t="str">
        <x:v>Unlocked</x:v>
      </x:c>
      <x:c r="J373" s="362" t="str">
        <x:v>03:06.75</x:v>
      </x:c>
      <x:c r="K373" s="362" t="str">
        <x:v>Header exactly: Manglers(Siege)</x:v>
      </x:c>
      <x:c r="L373" s="362" t="str">
        <x:v>1000025098.mp4</x:v>
      </x:c>
    </x:row>
    <x:row r="374" ht="32" customHeight="1">
      <x:c r="A374" s="362" t="str">
        <x:v>K170</x:v>
      </x:c>
      <x:c r="B374" s="362" t="str">
        <x:v>(AOT)Doctopussy</x:v>
      </x:c>
      <x:c r="C374" s="362" t="str">
        <x:v>Cavalry</x:v>
      </x:c>
      <x:c r="D374" s="362" t="str">
        <x:v>Storm cavalry</x:v>
      </x:c>
      <x:c r="E374" s="362" t="str">
        <x:v>Horse archer</x:v>
      </x:c>
      <x:c r="F374" s="362" t="n">
        <x:v>48</x:v>
      </x:c>
      <x:c r="G374" s="362" t="str">
        <x:v>Mounted Archery</x:v>
      </x:c>
      <x:c r="H374" s="362" t="str">
        <x:v>Has a certain probability of causing fly-shooting damage</x:v>
      </x:c>
      <x:c r="I374" s="362" t="str">
        <x:v>Unlocked</x:v>
      </x:c>
      <x:c r="J374" s="362" t="str">
        <x:v>03:08.00</x:v>
      </x:c>
      <x:c r="K374" s="362" t="str">
        <x:v>Header exactly: Storm cavalry(Horse archer)</x:v>
      </x:c>
      <x:c r="L374" s="362" t="str">
        <x:v>1000025098.mp4</x:v>
      </x:c>
    </x:row>
    <x:row r="375" ht="32" customHeight="1">
      <x:c r="A375" s="362" t="str">
        <x:v>K170</x:v>
      </x:c>
      <x:c r="B375" s="362" t="str">
        <x:v>(AOT)Doctopussy</x:v>
      </x:c>
      <x:c r="C375" s="362" t="str">
        <x:v>Archers</x:v>
      </x:c>
      <x:c r="D375" s="362" t="str">
        <x:v>Elite</x:v>
      </x:c>
      <x:c r="E375" s="362" t="str">
        <x:v>not shown</x:v>
      </x:c>
      <x:c r="F375" s="362" t="n">
        <x:v>11</x:v>
      </x:c>
      <x:c r="G375" s="362" t="str">
        <x:v>Focus</x:v>
      </x:c>
      <x:c r="H375" s="362" t="str">
        <x:v>Has a higher probability of providing focus damage</x:v>
      </x:c>
      <x:c r="I375" s="362" t="str">
        <x:v>Locked</x:v>
      </x:c>
      <x:c r="J375" s="362" t="str">
        <x:v>03:09.25</x:v>
      </x:c>
      <x:c r="K375" s="362" t="str">
        <x:v>Header literally only 'Elite'; body identifies Elite crossbowmen</x:v>
      </x:c>
      <x:c r="L375" s="362" t="str">
        <x:v>1000025098.mp4</x:v>
      </x:c>
    </x:row>
    <x:row r="376" ht="32" customHeight="1">
      <x:c r="A376" s="362" t="str">
        <x:v>K170</x:v>
      </x:c>
      <x:c r="B376" s="362" t="str">
        <x:v>(AOT)Doctopussy</x:v>
      </x:c>
      <x:c r="C376" s="362" t="str">
        <x:v>Archers</x:v>
      </x:c>
      <x:c r="D376" s="362" t="str">
        <x:v>Marksmen</x:v>
      </x:c>
      <x:c r="E376" s="362" t="str">
        <x:v>Archer</x:v>
      </x:c>
      <x:c r="F376" s="362" t="n">
        <x:v>43</x:v>
      </x:c>
      <x:c r="G376" s="362" t="str">
        <x:v>Frost Arrow</x:v>
      </x:c>
      <x:c r="H376" s="362" t="str">
        <x:v>Has a higher probability of activating ice damage</x:v>
      </x:c>
      <x:c r="I376" s="362" t="str">
        <x:v>Unlocked</x:v>
      </x:c>
      <x:c r="J376" s="362" t="str">
        <x:v>03:10.50</x:v>
      </x:c>
      <x:c r="K376" s="362" t="str">
        <x:v>Header exactly: Marksmen(Archer)</x:v>
      </x:c>
      <x:c r="L376" s="362" t="str">
        <x:v>1000025098.mp4</x:v>
      </x:c>
    </x:row>
    <x:row r="377" ht="32" customHeight="1">
      <x:c r="A377" s="362" t="str">
        <x:v>K170</x:v>
      </x:c>
      <x:c r="B377" s="362" t="str">
        <x:v>(AOT)Doctopussy</x:v>
      </x:c>
      <x:c r="C377" s="362" t="str">
        <x:v>Archers</x:v>
      </x:c>
      <x:c r="D377" s="362" t="str">
        <x:v>Armored bowmen</x:v>
      </x:c>
      <x:c r="E377" s="362" t="str">
        <x:v>Archer</x:v>
      </x:c>
      <x:c r="F377" s="362" t="n">
        <x:v>43</x:v>
      </x:c>
      <x:c r="G377" s="362" t="str">
        <x:v>Frost Arrow</x:v>
      </x:c>
      <x:c r="H377" s="362" t="str">
        <x:v>Has a higher probability of activating ice damage</x:v>
      </x:c>
      <x:c r="I377" s="362" t="str">
        <x:v>Unlocked</x:v>
      </x:c>
      <x:c r="J377" s="362" t="str">
        <x:v>03:11.75</x:v>
      </x:c>
      <x:c r="K377" s="362" t="str">
        <x:v>Header exactly: Armored bowmen(Archer)</x:v>
      </x:c>
      <x:c r="L377" s="362" t="str">
        <x:v>1000025098.mp4</x:v>
      </x:c>
    </x:row>
    <x:row r="378" ht="32" customHeight="1">
      <x:c r="A378" s="362" t="str">
        <x:v>K170</x:v>
      </x:c>
      <x:c r="B378" s="362" t="str">
        <x:v>(AOT)SugarDADDY</x:v>
      </x:c>
      <x:c r="C378" s="362" t="str">
        <x:v>Cavalry</x:v>
      </x:c>
      <x:c r="D378" s="362" t="str">
        <x:v>Eternal knights</x:v>
      </x:c>
      <x:c r="E378" s="362" t="str">
        <x:v>Heavy Cavalry</x:v>
      </x:c>
      <x:c r="F378" s="362" t="n">
        <x:v>40</x:v>
      </x:c>
      <x:c r="G378" s="362" t="str">
        <x:v>Thunder trample</x:v>
      </x:c>
      <x:c r="H378" s="362" t="str">
        <x:v>Has a certain probability of causing trampling damage</x:v>
      </x:c>
      <x:c r="I378" s="362" t="str">
        <x:v>Unlocked</x:v>
      </x:c>
      <x:c r="J378" s="362" t="str">
        <x:v>03:19.00</x:v>
      </x:c>
      <x:c r="K378" s="362" t="str">
        <x:v>Header exactly: Eternal knights(Heavy Cavalry)</x:v>
      </x:c>
      <x:c r="L378" s="362" t="str">
        <x:v>1000025098.mp4</x:v>
      </x:c>
    </x:row>
    <x:row r="379" ht="32" customHeight="1">
      <x:c r="A379" s="362" t="str">
        <x:v>K170</x:v>
      </x:c>
      <x:c r="B379" s="362" t="str">
        <x:v>(AOT)SugarDADDY</x:v>
      </x:c>
      <x:c r="C379" s="362" t="str">
        <x:v>Archers</x:v>
      </x:c>
      <x:c r="D379" s="362" t="str">
        <x:v>Elite bowmen</x:v>
      </x:c>
      <x:c r="E379" s="362" t="str">
        <x:v>Archer</x:v>
      </x:c>
      <x:c r="F379" s="362" t="n">
        <x:v>22</x:v>
      </x:c>
      <x:c r="G379" s="362" t="str">
        <x:v>Frost Arrow</x:v>
      </x:c>
      <x:c r="H379" s="362" t="str">
        <x:v>Has a higher probability of activating ice damage</x:v>
      </x:c>
      <x:c r="I379" s="362" t="str">
        <x:v>Unlocked</x:v>
      </x:c>
      <x:c r="J379" s="362" t="str">
        <x:v>03:20.75</x:v>
      </x:c>
      <x:c r="K379" s="362" t="str">
        <x:v>Header exactly: Elite bowmen(Archer)</x:v>
      </x:c>
      <x:c r="L379" s="362" t="str">
        <x:v>1000025098.mp4</x:v>
      </x:c>
    </x:row>
    <x:row r="380" ht="32" customHeight="1">
      <x:c r="A380" s="362" t="str">
        <x:v>K170</x:v>
      </x:c>
      <x:c r="B380" s="362" t="str">
        <x:v>(AOT)SugarDADDY</x:v>
      </x:c>
      <x:c r="C380" s="362" t="str">
        <x:v>Siege</x:v>
      </x:c>
      <x:c r="D380" s="362" t="str">
        <x:v>Manglers</x:v>
      </x:c>
      <x:c r="E380" s="362" t="str">
        <x:v>Siege</x:v>
      </x:c>
      <x:c r="F380" s="362" t="n">
        <x:v>37</x:v>
      </x:c>
      <x:c r="G380" s="362" t="str">
        <x:v>Highly toxic</x:v>
      </x:c>
      <x:c r="H380" s="362" t="str">
        <x:v>Inflict continuous toxic damage</x:v>
      </x:c>
      <x:c r="I380" s="362" t="str">
        <x:v>Unlocked</x:v>
      </x:c>
      <x:c r="J380" s="362" t="str">
        <x:v>03:22.25</x:v>
      </x:c>
      <x:c r="K380" s="362" t="str">
        <x:v>Header exactly: Manglers(Siege)</x:v>
      </x:c>
      <x:c r="L380" s="362" t="str">
        <x:v>1000025098.mp4</x:v>
      </x:c>
    </x:row>
    <x:row r="381" ht="32" customHeight="1">
      <x:c r="A381" s="362" t="str">
        <x:v>K170</x:v>
      </x:c>
      <x:c r="B381" s="362" t="str">
        <x:v>(AOT)SugarDADDY</x:v>
      </x:c>
      <x:c r="C381" s="362" t="str">
        <x:v>Cavalry</x:v>
      </x:c>
      <x:c r="D381" s="362" t="str">
        <x:v>Storm cavalry</x:v>
      </x:c>
      <x:c r="E381" s="362" t="str">
        <x:v>Horse archer</x:v>
      </x:c>
      <x:c r="F381" s="362" t="n">
        <x:v>40</x:v>
      </x:c>
      <x:c r="G381" s="362" t="str">
        <x:v>Mounted Archery</x:v>
      </x:c>
      <x:c r="H381" s="362" t="str">
        <x:v>Has a certain probability of causing fly-shooting damage</x:v>
      </x:c>
      <x:c r="I381" s="362" t="str">
        <x:v>Unlocked</x:v>
      </x:c>
      <x:c r="J381" s="362" t="str">
        <x:v>03:23.50</x:v>
      </x:c>
      <x:c r="K381" s="362" t="str">
        <x:v>Header exactly: Storm cavalry(Horse archer)</x:v>
      </x:c>
      <x:c r="L381" s="362" t="str">
        <x:v>1000025098.mp4</x:v>
      </x:c>
    </x:row>
    <x:row r="382" ht="32" customHeight="1">
      <x:c r="A382" s="362" t="str">
        <x:v>K170</x:v>
      </x:c>
      <x:c r="B382" s="362" t="str">
        <x:v>(AOT)MONKEY</x:v>
      </x:c>
      <x:c r="C382" s="362" t="str">
        <x:v>Guards</x:v>
      </x:c>
      <x:c r="D382" s="362" t="str">
        <x:v>Destroyers</x:v>
      </x:c>
      <x:c r="E382" s="362" t="str">
        <x:v>Guard</x:v>
      </x:c>
      <x:c r="F382" s="362" t="n">
        <x:v>40</x:v>
      </x:c>
      <x:c r="G382" s="362" t="str">
        <x:v>Parry</x:v>
      </x:c>
      <x:c r="H382" s="362" t="str">
        <x:v>Provides a parry effect and a certain probability to increase damage</x:v>
      </x:c>
      <x:c r="I382" s="362" t="str">
        <x:v>Unlocked</x:v>
      </x:c>
      <x:c r="J382" s="362" t="str">
        <x:v>03:32</x:v>
      </x:c>
      <x:c r="K382" s="362" t="str">
        <x:v>Core name normalized; header exactly: Destroyers(Guard)</x:v>
      </x:c>
      <x:c r="L382" s="362" t="str">
        <x:v>1000025098.mp4</x:v>
      </x:c>
    </x:row>
    <x:row r="383" ht="32" customHeight="1">
      <x:c r="A383" s="362" t="str">
        <x:v>K170</x:v>
      </x:c>
      <x:c r="B383" s="362" t="str">
        <x:v>(AOT)MONKEY</x:v>
      </x:c>
      <x:c r="C383" s="362" t="str">
        <x:v>Archers</x:v>
      </x:c>
      <x:c r="D383" s="362" t="str">
        <x:v>Elite bowmen</x:v>
      </x:c>
      <x:c r="E383" s="362" t="str">
        <x:v>Archer</x:v>
      </x:c>
      <x:c r="F383" s="362" t="n">
        <x:v>40</x:v>
      </x:c>
      <x:c r="G383" s="362" t="str">
        <x:v>Frost Arrow</x:v>
      </x:c>
      <x:c r="H383" s="362" t="str">
        <x:v>Has a higher probability of activating ice damage</x:v>
      </x:c>
      <x:c r="I383" s="362" t="str">
        <x:v>Unlocked</x:v>
      </x:c>
      <x:c r="J383" s="362" t="str">
        <x:v>03:33</x:v>
      </x:c>
      <x:c r="K383" s="362" t="str">
        <x:v>Core name normalized; header exactly: Elite bowmen(Archer)</x:v>
      </x:c>
      <x:c r="L383" s="362" t="str">
        <x:v>1000025098.mp4</x:v>
      </x:c>
    </x:row>
    <x:row r="384" ht="32" customHeight="1">
      <x:c r="A384" s="362" t="str">
        <x:v>K170</x:v>
      </x:c>
      <x:c r="B384" s="362" t="str">
        <x:v>(AOT)MONKEY</x:v>
      </x:c>
      <x:c r="C384" s="362" t="str">
        <x:v>Cavalry</x:v>
      </x:c>
      <x:c r="D384" s="362" t="str">
        <x:v>Storm cavalry</x:v>
      </x:c>
      <x:c r="E384" s="362" t="str">
        <x:v>Horse archer</x:v>
      </x:c>
      <x:c r="F384" s="362" t="n">
        <x:v>45</x:v>
      </x:c>
      <x:c r="G384" s="362" t="str">
        <x:v>Mounted Archery</x:v>
      </x:c>
      <x:c r="H384" s="362" t="str">
        <x:v>Has a certain probability of causing fly-shooting damage</x:v>
      </x:c>
      <x:c r="I384" s="362" t="str">
        <x:v>Unlocked</x:v>
      </x:c>
      <x:c r="J384" s="362" t="str">
        <x:v>03:34</x:v>
      </x:c>
      <x:c r="K384" s="362" t="str">
        <x:v>Core name normalized; header exactly: Storm cavalry(Horse archer)</x:v>
      </x:c>
      <x:c r="L384" s="362" t="str">
        <x:v>1000025098.mp4</x:v>
      </x:c>
    </x:row>
    <x:row r="385" ht="32" customHeight="1">
      <x:c r="A385" s="362" t="str">
        <x:v>K170</x:v>
      </x:c>
      <x:c r="B385" s="362" t="str">
        <x:v>(AOT)Paian</x:v>
      </x:c>
      <x:c r="C385" s="362" t="str">
        <x:v>Guards</x:v>
      </x:c>
      <x:c r="D385" s="362" t="str">
        <x:v>Destroyers</x:v>
      </x:c>
      <x:c r="E385" s="362" t="str">
        <x:v>Guard</x:v>
      </x:c>
      <x:c r="F385" s="362" t="n">
        <x:v>40</x:v>
      </x:c>
      <x:c r="G385" s="362" t="str">
        <x:v>Parry</x:v>
      </x:c>
      <x:c r="H385" s="362" t="str">
        <x:v>Provides a parry effect and a certain probability to increase damage</x:v>
      </x:c>
      <x:c r="I385" s="362" t="str">
        <x:v>Unlocked</x:v>
      </x:c>
      <x:c r="J385" s="362" t="str">
        <x:v>03:42</x:v>
      </x:c>
      <x:c r="K385" s="362" t="str">
        <x:v>Header exactly: Destroyers(Guard)</x:v>
      </x:c>
      <x:c r="L385" s="362" t="str">
        <x:v>1000025098.mp4</x:v>
      </x:c>
    </x:row>
    <x:row r="386" ht="32" customHeight="1">
      <x:c r="A386" s="362" t="str">
        <x:v>K170</x:v>
      </x:c>
      <x:c r="B386" s="362" t="str">
        <x:v>(AOT)Paian</x:v>
      </x:c>
      <x:c r="C386" s="362" t="str">
        <x:v>Cavalry</x:v>
      </x:c>
      <x:c r="D386" s="362" t="str">
        <x:v>Storm cavalry</x:v>
      </x:c>
      <x:c r="E386" s="362" t="str">
        <x:v>Horse archer</x:v>
      </x:c>
      <x:c r="F386" s="362" t="n">
        <x:v>43</x:v>
      </x:c>
      <x:c r="G386" s="362" t="str">
        <x:v>Mounted Archery</x:v>
      </x:c>
      <x:c r="H386" s="362" t="str">
        <x:v>Has a certain probability of causing fly-shooting damage</x:v>
      </x:c>
      <x:c r="I386" s="362" t="str">
        <x:v>Unlocked</x:v>
      </x:c>
      <x:c r="J386" s="362" t="str">
        <x:v>03:43</x:v>
      </x:c>
      <x:c r="K386" s="362" t="str">
        <x:v>Header exactly: Storm cavalry(Horse archer)</x:v>
      </x:c>
      <x:c r="L386" s="362" t="str">
        <x:v>1000025098.mp4</x:v>
      </x:c>
    </x:row>
    <x:row r="387" ht="32" customHeight="1">
      <x:c r="A387" s="362" t="str">
        <x:v>K170</x:v>
      </x:c>
      <x:c r="B387" s="362" t="str">
        <x:v>(AOT)Matis</x:v>
      </x:c>
      <x:c r="C387" s="362" t="str">
        <x:v>Guards</x:v>
      </x:c>
      <x:c r="D387" s="362" t="str">
        <x:v>Destroyers</x:v>
      </x:c>
      <x:c r="E387" s="362" t="str">
        <x:v>Guard</x:v>
      </x:c>
      <x:c r="F387" s="362" t="n">
        <x:v>48</x:v>
      </x:c>
      <x:c r="G387" s="362" t="str">
        <x:v>Parry</x:v>
      </x:c>
      <x:c r="H387" s="362" t="str">
        <x:v>Provides a parry effect and a certain probability to increase damage</x:v>
      </x:c>
      <x:c r="I387" s="362" t="str">
        <x:v>Unlocked</x:v>
      </x:c>
      <x:c r="J387" s="362" t="str">
        <x:v>03:52</x:v>
      </x:c>
      <x:c r="K387" s="362" t="str">
        <x:v>Header exactly: Destroyers(Guard)</x:v>
      </x:c>
      <x:c r="L387" s="362" t="str">
        <x:v>1000025098.mp4</x:v>
      </x:c>
    </x:row>
    <x:row r="388" ht="32" customHeight="1">
      <x:c r="A388" s="362" t="str">
        <x:v>K170</x:v>
      </x:c>
      <x:c r="B388" s="362" t="str">
        <x:v>(AOT)Matis</x:v>
      </x:c>
      <x:c r="C388" s="362" t="str">
        <x:v>Archers</x:v>
      </x:c>
      <x:c r="D388" s="362" t="str">
        <x:v>Elite bowmen</x:v>
      </x:c>
      <x:c r="E388" s="362" t="str">
        <x:v>Archer</x:v>
      </x:c>
      <x:c r="F388" s="362" t="n">
        <x:v>28</x:v>
      </x:c>
      <x:c r="G388" s="362" t="str">
        <x:v>Frost Arrow</x:v>
      </x:c>
      <x:c r="H388" s="362" t="str">
        <x:v>Has a higher probability of activating ice damage</x:v>
      </x:c>
      <x:c r="I388" s="362" t="str">
        <x:v>Unlocked</x:v>
      </x:c>
      <x:c r="J388" s="362" t="str">
        <x:v>03:54</x:v>
      </x:c>
      <x:c r="K388" s="362" t="str">
        <x:v>Header exactly: Elite bowmen(Archer)</x:v>
      </x:c>
      <x:c r="L388" s="362" t="str">
        <x:v>1000025098.mp4</x:v>
      </x:c>
    </x:row>
    <x:row r="389" ht="32" customHeight="1">
      <x:c r="A389" s="362" t="str">
        <x:v>K170</x:v>
      </x:c>
      <x:c r="B389" s="362" t="str">
        <x:v>(AOT)Matis</x:v>
      </x:c>
      <x:c r="C389" s="362" t="str">
        <x:v>Cavalry</x:v>
      </x:c>
      <x:c r="D389" s="362" t="str">
        <x:v>Storm cavalry</x:v>
      </x:c>
      <x:c r="E389" s="362" t="str">
        <x:v>Horse archer</x:v>
      </x:c>
      <x:c r="F389" s="362" t="n">
        <x:v>42</x:v>
      </x:c>
      <x:c r="G389" s="362" t="str">
        <x:v>Mounted Archery</x:v>
      </x:c>
      <x:c r="H389" s="362" t="str">
        <x:v>Has a certain probability of causing fly-shooting damage</x:v>
      </x:c>
      <x:c r="I389" s="362" t="str">
        <x:v>Unlocked</x:v>
      </x:c>
      <x:c r="J389" s="362" t="str">
        <x:v>03:55</x:v>
      </x:c>
      <x:c r="K389" s="362" t="str">
        <x:v>Header exactly: Storm cavalry(Horse archer)</x:v>
      </x:c>
      <x:c r="L389" s="362" t="str">
        <x:v>1000025098.mp4</x:v>
      </x:c>
    </x:row>
    <x:row r="390" ht="32" customHeight="1">
      <x:c r="A390" s="362" t="str">
        <x:v>K170</x:v>
      </x:c>
      <x:c r="B390" s="362" t="str">
        <x:v>(AOT)BAT</x:v>
      </x:c>
      <x:c r="C390" s="362" t="str">
        <x:v>Guards</x:v>
      </x:c>
      <x:c r="D390" s="362" t="str">
        <x:v>Destroyers</x:v>
      </x:c>
      <x:c r="E390" s="362" t="str">
        <x:v>Guard</x:v>
      </x:c>
      <x:c r="F390" s="362" t="n">
        <x:v>48</x:v>
      </x:c>
      <x:c r="G390" s="362" t="str">
        <x:v>Parry</x:v>
      </x:c>
      <x:c r="H390" s="362" t="str">
        <x:v>Provides a parry effect and a certain probability to increase damage</x:v>
      </x:c>
      <x:c r="I390" s="362" t="str">
        <x:v>Unlocked</x:v>
      </x:c>
      <x:c r="J390" s="362" t="str">
        <x:v>04:06</x:v>
      </x:c>
      <x:c r="K390" s="362" t="str">
        <x:v>Header exactly: Destroyers(Guard)</x:v>
      </x:c>
      <x:c r="L390" s="362" t="str">
        <x:v>1000025098.mp4</x:v>
      </x:c>
    </x:row>
    <x:row r="391" ht="32" customHeight="1">
      <x:c r="A391" s="362" t="str">
        <x:v>K170</x:v>
      </x:c>
      <x:c r="B391" s="362" t="str">
        <x:v>(AOT)BAT</x:v>
      </x:c>
      <x:c r="C391" s="362" t="str">
        <x:v>Cavalry</x:v>
      </x:c>
      <x:c r="D391" s="362" t="str">
        <x:v>Eternal knights</x:v>
      </x:c>
      <x:c r="E391" s="362" t="str">
        <x:v>Heavy Cavalry</x:v>
      </x:c>
      <x:c r="F391" s="362" t="n">
        <x:v>43</x:v>
      </x:c>
      <x:c r="G391" s="362" t="str">
        <x:v>Thunder trample</x:v>
      </x:c>
      <x:c r="H391" s="362" t="str">
        <x:v>Has a certain probability of causing trampling damage</x:v>
      </x:c>
      <x:c r="I391" s="362" t="str">
        <x:v>Unlocked</x:v>
      </x:c>
      <x:c r="J391" s="362" t="str">
        <x:v>04:07</x:v>
      </x:c>
      <x:c r="K391" s="362" t="str">
        <x:v>Header exactly: Eternal knights(Heavy Cavalry)</x:v>
      </x:c>
      <x:c r="L391" s="362" t="str">
        <x:v>1000025098.mp4</x:v>
      </x:c>
    </x:row>
    <x:row r="392" ht="32" customHeight="1">
      <x:c r="A392" s="362" t="str">
        <x:v>K170</x:v>
      </x:c>
      <x:c r="B392" s="362" t="str">
        <x:v>(AOT)BAT</x:v>
      </x:c>
      <x:c r="C392" s="362" t="str">
        <x:v>Cavalry</x:v>
      </x:c>
      <x:c r="D392" s="362" t="str">
        <x:v>Storm cavalry</x:v>
      </x:c>
      <x:c r="E392" s="362" t="str">
        <x:v>Horse archer</x:v>
      </x:c>
      <x:c r="F392" s="362" t="n">
        <x:v>40</x:v>
      </x:c>
      <x:c r="G392" s="362" t="str">
        <x:v>Mounted Archery</x:v>
      </x:c>
      <x:c r="H392" s="362" t="str">
        <x:v>Has a certain probability of causing fly-shooting damage</x:v>
      </x:c>
      <x:c r="I392" s="362" t="str">
        <x:v>Unlocked</x:v>
      </x:c>
      <x:c r="J392" s="362" t="str">
        <x:v>04:07.50</x:v>
      </x:c>
      <x:c r="K392" s="362" t="str">
        <x:v>Header exactly: Storm cavalry(Horse archer)</x:v>
      </x:c>
      <x:c r="L392" s="362" t="str">
        <x:v>1000025098.mp4</x:v>
      </x:c>
    </x:row>
    <x:row r="393" ht="32" customHeight="1">
      <x:c r="A393" s="362" t="str">
        <x:v>K170</x:v>
      </x:c>
      <x:c r="B393" s="362" t="str">
        <x:v>(AOT)金木研_254</x:v>
      </x:c>
      <x:c r="C393" s="362" t="str">
        <x:v>Guards</x:v>
      </x:c>
      <x:c r="D393" s="362" t="str">
        <x:v>Destroyers</x:v>
      </x:c>
      <x:c r="E393" s="362" t="str">
        <x:v>Guard</x:v>
      </x:c>
      <x:c r="F393" s="362" t="n">
        <x:v>45</x:v>
      </x:c>
      <x:c r="G393" s="362" t="str">
        <x:v>Parry</x:v>
      </x:c>
      <x:c r="H393" s="362" t="str">
        <x:v>Provides a parry effect and a certain probability to increase damage</x:v>
      </x:c>
      <x:c r="I393" s="362" t="str">
        <x:v>Unlocked</x:v>
      </x:c>
      <x:c r="J393" s="362" t="str">
        <x:v>04:17</x:v>
      </x:c>
      <x:c r="K393" s="362" t="str">
        <x:v>Header exactly: Destroyers(Guard)</x:v>
      </x:c>
      <x:c r="L393" s="362" t="str">
        <x:v>1000025098.mp4</x:v>
      </x:c>
    </x:row>
    <x:row r="394" ht="32" customHeight="1">
      <x:c r="A394" s="362" t="str">
        <x:v>K170</x:v>
      </x:c>
      <x:c r="B394" s="362" t="str">
        <x:v>(AOT)金木研_254</x:v>
      </x:c>
      <x:c r="C394" s="362" t="str">
        <x:v>Cavalry</x:v>
      </x:c>
      <x:c r="D394" s="362" t="str">
        <x:v>Eternal knights</x:v>
      </x:c>
      <x:c r="E394" s="362" t="str">
        <x:v>Heavy Cavalry</x:v>
      </x:c>
      <x:c r="F394" s="362" t="n">
        <x:v>40</x:v>
      </x:c>
      <x:c r="G394" s="362" t="str">
        <x:v>Thunder trample</x:v>
      </x:c>
      <x:c r="H394" s="362" t="str">
        <x:v>Has a certain probability of causing trampling damage</x:v>
      </x:c>
      <x:c r="I394" s="362" t="str">
        <x:v>Unlocked</x:v>
      </x:c>
      <x:c r="J394" s="362" t="str">
        <x:v>04:18</x:v>
      </x:c>
      <x:c r="K394" s="362" t="str">
        <x:v>Header exactly: Eternal knights(Heavy Cavalry)</x:v>
      </x:c>
      <x:c r="L394" s="362" t="str">
        <x:v>1000025098.mp4</x:v>
      </x:c>
    </x:row>
    <x:row r="395" ht="32" customHeight="1">
      <x:c r="A395" s="362" t="str">
        <x:v>K170</x:v>
      </x:c>
      <x:c r="B395" s="362" t="str">
        <x:v>(AOT)金木研_254</x:v>
      </x:c>
      <x:c r="C395" s="362" t="str">
        <x:v>Cavalry</x:v>
      </x:c>
      <x:c r="D395" s="362" t="str">
        <x:v>Storm cavalry</x:v>
      </x:c>
      <x:c r="E395" s="362" t="str">
        <x:v>Horse archer</x:v>
      </x:c>
      <x:c r="F395" s="362" t="n">
        <x:v>48</x:v>
      </x:c>
      <x:c r="G395" s="362" t="str">
        <x:v>Mounted Archery</x:v>
      </x:c>
      <x:c r="H395" s="362" t="str">
        <x:v>Has a certain probability of causing fly-shooting damage</x:v>
      </x:c>
      <x:c r="I395" s="362" t="str">
        <x:v>Unlocked</x:v>
      </x:c>
      <x:c r="J395" s="362" t="str">
        <x:v>04:19</x:v>
      </x:c>
      <x:c r="K395" s="362" t="str">
        <x:v>Header exactly: Storm cavalry(Horse archer)</x:v>
      </x:c>
      <x:c r="L395" s="362" t="str">
        <x:v>1000025098.mp4</x:v>
      </x:c>
    </x:row>
    <x:row r="396" ht="32" customHeight="1">
      <x:c r="A396" s="362" t="str">
        <x:v>K170</x:v>
      </x:c>
      <x:c r="B396" s="362" t="str">
        <x:v>(AOT)MG·Yu</x:v>
      </x:c>
      <x:c r="C396" s="362" t="str">
        <x:v>Guards</x:v>
      </x:c>
      <x:c r="D396" s="362" t="str">
        <x:v>Destroyers</x:v>
      </x:c>
      <x:c r="E396" s="362" t="str">
        <x:v>Guard</x:v>
      </x:c>
      <x:c r="F396" s="362" t="n">
        <x:v>46</x:v>
      </x:c>
      <x:c r="G396" s="362" t="str">
        <x:v>Parry</x:v>
      </x:c>
      <x:c r="H396" s="362" t="str">
        <x:v>Provides a parry effect and a certain probability to increase damage</x:v>
      </x:c>
      <x:c r="I396" s="362" t="str">
        <x:v>Unlocked</x:v>
      </x:c>
      <x:c r="J396" s="362" t="str">
        <x:v>04:25.25</x:v>
      </x:c>
      <x:c r="K396" s="362" t="str">
        <x:v>Header exactly: Destroyers(Guard)</x:v>
      </x:c>
      <x:c r="L396" s="362" t="str">
        <x:v>1000025098.mp4</x:v>
      </x:c>
    </x:row>
    <x:row r="397" ht="32" customHeight="1">
      <x:c r="A397" s="362" t="str">
        <x:v>K170</x:v>
      </x:c>
      <x:c r="B397" s="362" t="str">
        <x:v>(AOT)MG·Yu</x:v>
      </x:c>
      <x:c r="C397" s="362" t="str">
        <x:v>Cavalry</x:v>
      </x:c>
      <x:c r="D397" s="362" t="str">
        <x:v>Eternal knights</x:v>
      </x:c>
      <x:c r="E397" s="362" t="str">
        <x:v>Heavy Cavalry</x:v>
      </x:c>
      <x:c r="F397" s="362" t="n">
        <x:v>46</x:v>
      </x:c>
      <x:c r="G397" s="362" t="str">
        <x:v>Thunder trample</x:v>
      </x:c>
      <x:c r="H397" s="362" t="str">
        <x:v>Has a certain probability of causing trampling damage</x:v>
      </x:c>
      <x:c r="I397" s="362" t="str">
        <x:v>Unlocked</x:v>
      </x:c>
      <x:c r="J397" s="362" t="str">
        <x:v>04:26.50</x:v>
      </x:c>
      <x:c r="K397" s="362" t="str">
        <x:v>Header exactly: Eternal knights(Heavy Cavalry)</x:v>
      </x:c>
      <x:c r="L397" s="362" t="str">
        <x:v>1000025098.mp4</x:v>
      </x:c>
    </x:row>
    <x:row r="398" ht="32" customHeight="1">
      <x:c r="A398" s="362" t="str">
        <x:v>K170</x:v>
      </x:c>
      <x:c r="B398" s="362" t="str">
        <x:v>(AOT)MG·Yu</x:v>
      </x:c>
      <x:c r="C398" s="362" t="str">
        <x:v>Archers</x:v>
      </x:c>
      <x:c r="D398" s="362" t="str">
        <x:v>Elite bowmen</x:v>
      </x:c>
      <x:c r="E398" s="362" t="str">
        <x:v>Archer</x:v>
      </x:c>
      <x:c r="F398" s="362" t="n">
        <x:v>43</x:v>
      </x:c>
      <x:c r="G398" s="362" t="str">
        <x:v>Frost Arrow</x:v>
      </x:c>
      <x:c r="H398" s="362" t="str">
        <x:v>Has a higher probability of activating ice damage</x:v>
      </x:c>
      <x:c r="I398" s="362" t="str">
        <x:v>Unlocked</x:v>
      </x:c>
      <x:c r="J398" s="362" t="str">
        <x:v>04:27.75</x:v>
      </x:c>
      <x:c r="K398" s="362" t="str">
        <x:v>Header exactly: Elite bowmen(Archer)</x:v>
      </x:c>
      <x:c r="L398" s="362" t="str">
        <x:v>1000025098.mp4</x:v>
      </x:c>
    </x:row>
    <x:row r="399" ht="32" customHeight="1">
      <x:c r="A399" s="362" t="str">
        <x:v>K170</x:v>
      </x:c>
      <x:c r="B399" s="362" t="str">
        <x:v>(AOT)MG·Yu</x:v>
      </x:c>
      <x:c r="C399" s="362" t="str">
        <x:v>Siege</x:v>
      </x:c>
      <x:c r="D399" s="362" t="str">
        <x:v>Manglers</x:v>
      </x:c>
      <x:c r="E399" s="362" t="str">
        <x:v>Siege</x:v>
      </x:c>
      <x:c r="F399" s="362" t="n">
        <x:v>40</x:v>
      </x:c>
      <x:c r="G399" s="362" t="str">
        <x:v>Highly toxic</x:v>
      </x:c>
      <x:c r="H399" s="362" t="str">
        <x:v>Inflict continuous toxic damage</x:v>
      </x:c>
      <x:c r="I399" s="362" t="str">
        <x:v>Unlocked</x:v>
      </x:c>
      <x:c r="J399" s="362" t="str">
        <x:v>04:29.50</x:v>
      </x:c>
      <x:c r="K399" s="362" t="str">
        <x:v>Header exactly: Manglers(Siege)</x:v>
      </x:c>
      <x:c r="L399" s="362" t="str">
        <x:v>1000025098.mp4</x:v>
      </x:c>
    </x:row>
    <x:row r="400" ht="32" customHeight="1">
      <x:c r="A400" s="362" t="str">
        <x:v>K170</x:v>
      </x:c>
      <x:c r="B400" s="362" t="str">
        <x:v>(AOT)MG·Yu</x:v>
      </x:c>
      <x:c r="C400" s="362" t="str">
        <x:v>Cavalry</x:v>
      </x:c>
      <x:c r="D400" s="362" t="str">
        <x:v>Storm cavalry</x:v>
      </x:c>
      <x:c r="E400" s="362" t="str">
        <x:v>Horse archer</x:v>
      </x:c>
      <x:c r="F400" s="362" t="n">
        <x:v>50</x:v>
      </x:c>
      <x:c r="G400" s="362" t="str">
        <x:v>Mounted Archery</x:v>
      </x:c>
      <x:c r="H400" s="362" t="str">
        <x:v>Has a certain probability of causing fly-shooting damage</x:v>
      </x:c>
      <x:c r="I400" s="362" t="str">
        <x:v>Unlocked</x:v>
      </x:c>
      <x:c r="J400" s="362" t="str">
        <x:v>04:30.75</x:v>
      </x:c>
      <x:c r="K400" s="362" t="str">
        <x:v>Header exactly: Storm cavalry(Horse archer)</x:v>
      </x:c>
      <x:c r="L400" s="362" t="str">
        <x:v>1000025098.mp4</x:v>
      </x:c>
    </x:row>
    <x:row r="401" ht="32" customHeight="1">
      <x:c r="A401" s="362" t="str">
        <x:v>K170</x:v>
      </x:c>
      <x:c r="B401" s="362" t="str">
        <x:v>(AOT)MG·Yu</x:v>
      </x:c>
      <x:c r="C401" s="362" t="str">
        <x:v>Archers</x:v>
      </x:c>
      <x:c r="D401" s="362" t="str">
        <x:v>Marksmen</x:v>
      </x:c>
      <x:c r="E401" s="362" t="str">
        <x:v>Archer</x:v>
      </x:c>
      <x:c r="F401" s="362" t="n">
        <x:v>43</x:v>
      </x:c>
      <x:c r="G401" s="362" t="str">
        <x:v>Frost Arrow</x:v>
      </x:c>
      <x:c r="H401" s="362" t="str">
        <x:v>Has a higher probability of activating ice damage</x:v>
      </x:c>
      <x:c r="I401" s="362" t="str">
        <x:v>Unlocked</x:v>
      </x:c>
      <x:c r="J401" s="362" t="str">
        <x:v>04:32.00</x:v>
      </x:c>
      <x:c r="K401" s="362" t="str">
        <x:v>Header exactly: Marksmen(Archer)</x:v>
      </x:c>
      <x:c r="L401" s="362" t="str">
        <x:v>1000025098.mp4</x:v>
      </x:c>
    </x:row>
    <x:row r="402" ht="32" customHeight="1">
      <x:c r="A402" s="362" t="str">
        <x:v>K170</x:v>
      </x:c>
      <x:c r="B402" s="362" t="str">
        <x:v>(AOT)MG·Yu</x:v>
      </x:c>
      <x:c r="C402" s="362" t="str">
        <x:v>Cavalry</x:v>
      </x:c>
      <x:c r="D402" s="362" t="str">
        <x:v>Royal banderium</x:v>
      </x:c>
      <x:c r="E402" s="362" t="str">
        <x:v>Horse archer</x:v>
      </x:c>
      <x:c r="F402" s="362" t="n">
        <x:v>50</x:v>
      </x:c>
      <x:c r="G402" s="362" t="str">
        <x:v>Mounted Archery</x:v>
      </x:c>
      <x:c r="H402" s="362" t="str">
        <x:v>Has a certain probability of causing fly-shooting damage</x:v>
      </x:c>
      <x:c r="I402" s="362" t="str">
        <x:v>Unlocked</x:v>
      </x:c>
      <x:c r="J402" s="362" t="str">
        <x:v>04:32.75</x:v>
      </x:c>
      <x:c r="K402" s="362" t="str">
        <x:v>Header exactly: Royal banderium(Horse archer)</x:v>
      </x:c>
      <x:c r="L402" s="362" t="str">
        <x:v>1000025098.mp4</x:v>
      </x:c>
    </x:row>
    <x:row r="403" ht="32" customHeight="1">
      <x:c r="A403" s="362" t="str">
        <x:v>K170</x:v>
      </x:c>
      <x:c r="B403" s="362" t="str">
        <x:v>(AOT)Markspoon</x:v>
      </x:c>
      <x:c r="C403" s="362" t="str">
        <x:v>Guards</x:v>
      </x:c>
      <x:c r="D403" s="362" t="str">
        <x:v>Destroyers</x:v>
      </x:c>
      <x:c r="E403" s="362" t="str">
        <x:v>Guard</x:v>
      </x:c>
      <x:c r="F403" s="362" t="n">
        <x:v>45</x:v>
      </x:c>
      <x:c r="G403" s="362" t="str">
        <x:v>Parry</x:v>
      </x:c>
      <x:c r="H403" s="362" t="str">
        <x:v>Provides a parry effect and a certain probability to increase damage</x:v>
      </x:c>
      <x:c r="I403" s="362" t="str">
        <x:v>Unlocked</x:v>
      </x:c>
      <x:c r="J403" s="362" t="str">
        <x:v>04:51.25</x:v>
      </x:c>
      <x:c r="K403" s="362" t="str">
        <x:v>Header exactly: Destroyers(Guard)</x:v>
      </x:c>
      <x:c r="L403" s="362" t="str">
        <x:v>1000025098.mp4</x:v>
      </x:c>
    </x:row>
    <x:row r="404" ht="32" customHeight="1">
      <x:c r="A404" s="362" t="str">
        <x:v>K170</x:v>
      </x:c>
      <x:c r="B404" s="362" t="str">
        <x:v>(AOT)Markspoon</x:v>
      </x:c>
      <x:c r="C404" s="362" t="str">
        <x:v>Archers</x:v>
      </x:c>
      <x:c r="D404" s="362" t="str">
        <x:v>Elite bowmen</x:v>
      </x:c>
      <x:c r="E404" s="362" t="str">
        <x:v>Archer</x:v>
      </x:c>
      <x:c r="F404" s="362" t="n">
        <x:v>46</x:v>
      </x:c>
      <x:c r="G404" s="362" t="str">
        <x:v>Frost Arrow</x:v>
      </x:c>
      <x:c r="H404" s="362" t="str">
        <x:v>Has a higher probability of activating ice damage</x:v>
      </x:c>
      <x:c r="I404" s="362" t="str">
        <x:v>Unlocked</x:v>
      </x:c>
      <x:c r="J404" s="362" t="str">
        <x:v>04:52.00</x:v>
      </x:c>
      <x:c r="K404" s="362" t="str">
        <x:v>Header exactly: Elite bowmen(Archer)</x:v>
      </x:c>
      <x:c r="L404" s="362" t="str">
        <x:v>1000025098.mp4</x:v>
      </x:c>
    </x:row>
    <x:row r="405" ht="32" customHeight="1">
      <x:c r="A405" s="362" t="str">
        <x:v>K170</x:v>
      </x:c>
      <x:c r="B405" s="362" t="str">
        <x:v>(AOT)Markspoon</x:v>
      </x:c>
      <x:c r="C405" s="362" t="str">
        <x:v>Cavalry</x:v>
      </x:c>
      <x:c r="D405" s="362" t="str">
        <x:v>Storm cavalry</x:v>
      </x:c>
      <x:c r="E405" s="362" t="str">
        <x:v>Horse archer</x:v>
      </x:c>
      <x:c r="F405" s="362" t="n">
        <x:v>36</x:v>
      </x:c>
      <x:c r="G405" s="362" t="str">
        <x:v>Mounted Archery</x:v>
      </x:c>
      <x:c r="H405" s="362" t="str">
        <x:v>Has a certain probability of causing fly-shooting damage</x:v>
      </x:c>
      <x:c r="I405" s="362" t="str">
        <x:v>Unlocked</x:v>
      </x:c>
      <x:c r="J405" s="362" t="str">
        <x:v>04:52.75</x:v>
      </x:c>
      <x:c r="K405" s="362" t="str">
        <x:v>Header exactly: Storm cavalry(Horse archer)</x:v>
      </x:c>
      <x:c r="L405" s="362" t="str">
        <x:v>1000025098.mp4</x:v>
      </x:c>
    </x:row>
    <x:row r="406" ht="32" customHeight="1">
      <x:c r="A406" s="362" t="str">
        <x:v>K170</x:v>
      </x:c>
      <x:c r="B406" s="362" t="str">
        <x:v>(AOT)Markspoon</x:v>
      </x:c>
      <x:c r="C406" s="362" t="str">
        <x:v>Archers</x:v>
      </x:c>
      <x:c r="D406" s="362" t="str">
        <x:v>Marksmen</x:v>
      </x:c>
      <x:c r="E406" s="362" t="str">
        <x:v>Archer</x:v>
      </x:c>
      <x:c r="F406" s="362" t="n">
        <x:v>46</x:v>
      </x:c>
      <x:c r="G406" s="362" t="str">
        <x:v>Frost Arrow</x:v>
      </x:c>
      <x:c r="H406" s="362" t="str">
        <x:v>Has a higher probability of activating ice damage</x:v>
      </x:c>
      <x:c r="I406" s="362" t="str">
        <x:v>Unlocked</x:v>
      </x:c>
      <x:c r="J406" s="362" t="str">
        <x:v>04:53.50</x:v>
      </x:c>
      <x:c r="K406" s="362" t="str">
        <x:v>Header exactly: Marksmen(Archer)</x:v>
      </x:c>
      <x:c r="L406" s="362" t="str">
        <x:v>1000025098.mp4</x:v>
      </x:c>
    </x:row>
    <x:row r="407" ht="32" customHeight="1">
      <x:c r="A407" s="362" t="str">
        <x:v>K170</x:v>
      </x:c>
      <x:c r="B407" s="362" t="str">
        <x:v>(AOT)Markspoon</x:v>
      </x:c>
      <x:c r="C407" s="362" t="str">
        <x:v>Cavalry</x:v>
      </x:c>
      <x:c r="D407" s="362" t="str">
        <x:v>Royal banderium</x:v>
      </x:c>
      <x:c r="E407" s="362" t="str">
        <x:v>Horse archer</x:v>
      </x:c>
      <x:c r="F407" s="362" t="n">
        <x:v>36</x:v>
      </x:c>
      <x:c r="G407" s="362" t="str">
        <x:v>Mounted Archery</x:v>
      </x:c>
      <x:c r="H407" s="362" t="str">
        <x:v>Has a certain probability of causing fly-shooting damage</x:v>
      </x:c>
      <x:c r="I407" s="362" t="str">
        <x:v>Unlocked</x:v>
      </x:c>
      <x:c r="J407" s="362" t="str">
        <x:v>04:54.25</x:v>
      </x:c>
      <x:c r="K407" s="362" t="str">
        <x:v>Header exactly: Royal banderium(Horse archer)</x:v>
      </x:c>
      <x:c r="L407" s="362" t="str">
        <x:v>1000025098.mp4</x:v>
      </x:c>
    </x:row>
    <x:row r="408" ht="32" customHeight="1">
      <x:c r="A408" s="362" t="str">
        <x:v>K170</x:v>
      </x:c>
      <x:c r="B408" s="362" t="str">
        <x:v>(AOT)Markspoon</x:v>
      </x:c>
      <x:c r="C408" s="362" t="str">
        <x:v>Archers</x:v>
      </x:c>
      <x:c r="D408" s="362" t="str">
        <x:v>Armored bowmen</x:v>
      </x:c>
      <x:c r="E408" s="362" t="str">
        <x:v>Archer</x:v>
      </x:c>
      <x:c r="F408" s="362" t="n">
        <x:v>46</x:v>
      </x:c>
      <x:c r="G408" s="362" t="str">
        <x:v>Frost Arrow</x:v>
      </x:c>
      <x:c r="H408" s="362" t="str">
        <x:v>Has a higher probability of activating ice damage</x:v>
      </x:c>
      <x:c r="I408" s="362" t="str">
        <x:v>Unlocked</x:v>
      </x:c>
      <x:c r="J408" s="362" t="str">
        <x:v>04:55.00</x:v>
      </x:c>
      <x:c r="K408" s="362" t="str">
        <x:v>Header exactly: Armored bowmen(Archer)</x:v>
      </x:c>
      <x:c r="L408" s="362" t="str">
        <x:v>1000025098.mp4</x:v>
      </x:c>
    </x:row>
    <x:row r="409" ht="32" customHeight="1">
      <x:c r="A409" s="362" t="str">
        <x:v>K170</x:v>
      </x:c>
      <x:c r="B409" s="362" t="str">
        <x:v>(AOT)VAB999</x:v>
      </x:c>
      <x:c r="C409" s="362" t="str">
        <x:v>Guards</x:v>
      </x:c>
      <x:c r="D409" s="362" t="str">
        <x:v>Destroyers</x:v>
      </x:c>
      <x:c r="E409" s="362" t="str">
        <x:v>Guard</x:v>
      </x:c>
      <x:c r="F409" s="362" t="n">
        <x:v>46</x:v>
      </x:c>
      <x:c r="G409" s="362" t="str">
        <x:v>Parry</x:v>
      </x:c>
      <x:c r="H409" s="362" t="str">
        <x:v>Provides a parry effect and a certain probability to increase damage</x:v>
      </x:c>
      <x:c r="I409" s="362" t="str">
        <x:v>Unlocked</x:v>
      </x:c>
      <x:c r="J409" s="362" t="str">
        <x:v>04:57.75</x:v>
      </x:c>
      <x:c r="K409" s="362" t="str">
        <x:v>Header exactly: Destroyers(Guard)</x:v>
      </x:c>
      <x:c r="L409" s="362" t="str">
        <x:v>1000025098.mp4</x:v>
      </x:c>
    </x:row>
    <x:row r="410" ht="32" customHeight="1">
      <x:c r="A410" s="362" t="str">
        <x:v>K170</x:v>
      </x:c>
      <x:c r="B410" s="362" t="str">
        <x:v>(AOT)VAB999</x:v>
      </x:c>
      <x:c r="C410" s="362" t="str">
        <x:v>Archers</x:v>
      </x:c>
      <x:c r="D410" s="362" t="str">
        <x:v>Elite bowmen</x:v>
      </x:c>
      <x:c r="E410" s="362" t="str">
        <x:v>Archer</x:v>
      </x:c>
      <x:c r="F410" s="362" t="n">
        <x:v>50</x:v>
      </x:c>
      <x:c r="G410" s="362" t="str">
        <x:v>Frost Arrow</x:v>
      </x:c>
      <x:c r="H410" s="362" t="str">
        <x:v>Has a higher probability of activating ice damage</x:v>
      </x:c>
      <x:c r="I410" s="362" t="str">
        <x:v>Unlocked</x:v>
      </x:c>
      <x:c r="J410" s="362" t="str">
        <x:v>04:58.75</x:v>
      </x:c>
      <x:c r="K410" s="362" t="str">
        <x:v>Header exactly: Elite bowmen(Archer)</x:v>
      </x:c>
      <x:c r="L410" s="362" t="str">
        <x:v>1000025098.mp4</x:v>
      </x:c>
    </x:row>
    <x:row r="411" ht="32" customHeight="1">
      <x:c r="A411" s="362" t="str">
        <x:v>K170</x:v>
      </x:c>
      <x:c r="B411" s="362" t="str">
        <x:v>(AOT)VAB999</x:v>
      </x:c>
      <x:c r="C411" s="362" t="str">
        <x:v>Cavalry</x:v>
      </x:c>
      <x:c r="D411" s="362" t="str">
        <x:v>Storm cavalry</x:v>
      </x:c>
      <x:c r="E411" s="362" t="str">
        <x:v>Horse archer</x:v>
      </x:c>
      <x:c r="F411" s="362" t="n">
        <x:v>40</x:v>
      </x:c>
      <x:c r="G411" s="362" t="str">
        <x:v>Mounted Archery</x:v>
      </x:c>
      <x:c r="H411" s="362" t="str">
        <x:v>Has a certain probability of causing fly-shooting damage</x:v>
      </x:c>
      <x:c r="I411" s="362" t="str">
        <x:v>Unlocked</x:v>
      </x:c>
      <x:c r="J411" s="362" t="str">
        <x:v>04:59.75</x:v>
      </x:c>
      <x:c r="K411" s="362" t="str">
        <x:v>Header exactly: Storm cavalry(Horse archer)</x:v>
      </x:c>
      <x:c r="L411" s="362" t="str">
        <x:v>1000025098.mp4</x:v>
      </x:c>
    </x:row>
    <x:row r="412" ht="32" customHeight="1">
      <x:c r="A412" s="362" t="str">
        <x:v>K170</x:v>
      </x:c>
      <x:c r="B412" s="362" t="str">
        <x:v>(AOT)VAB999</x:v>
      </x:c>
      <x:c r="C412" s="362" t="str">
        <x:v>Archers</x:v>
      </x:c>
      <x:c r="D412" s="362" t="str">
        <x:v>Elite</x:v>
      </x:c>
      <x:c r="E412" s="362" t="str">
        <x:v>not shown</x:v>
      </x:c>
      <x:c r="F412" s="362" t="n">
        <x:v>40</x:v>
      </x:c>
      <x:c r="G412" s="362" t="str">
        <x:v>Focus</x:v>
      </x:c>
      <x:c r="H412" s="362" t="str">
        <x:v>Has a higher probability of providing focus damage</x:v>
      </x:c>
      <x:c r="I412" s="362" t="str">
        <x:v>Unlocked</x:v>
      </x:c>
      <x:c r="J412" s="362" t="str">
        <x:v>05:00.50</x:v>
      </x:c>
      <x:c r="K412" s="362" t="str">
        <x:v>Header literally only 'Elite'; body identifies Elite crossbowmen</x:v>
      </x:c>
      <x:c r="L412" s="362" t="str">
        <x:v>1000025098.mp4</x:v>
      </x:c>
    </x:row>
    <x:row r="413" ht="32" customHeight="1">
      <x:c r="A413" s="362" t="str">
        <x:v>K170</x:v>
      </x:c>
      <x:c r="B413" s="362" t="str">
        <x:v>(AOT)Paian2</x:v>
      </x:c>
      <x:c r="C413" s="362" t="str">
        <x:v>Guards</x:v>
      </x:c>
      <x:c r="D413" s="362" t="str">
        <x:v>Destroyers</x:v>
      </x:c>
      <x:c r="E413" s="362" t="str">
        <x:v>Guard</x:v>
      </x:c>
      <x:c r="F413" s="362" t="n">
        <x:v>45</x:v>
      </x:c>
      <x:c r="G413" s="362" t="str">
        <x:v>Parry</x:v>
      </x:c>
      <x:c r="H413" s="362" t="str">
        <x:v>Provides a parry effect and a certain probability to increase damage</x:v>
      </x:c>
      <x:c r="I413" s="362" t="str">
        <x:v>Unlocked</x:v>
      </x:c>
      <x:c r="J413" s="362" t="str">
        <x:v>05:10.75</x:v>
      </x:c>
      <x:c r="K413" s="362" t="str">
        <x:v>Header exactly: Destroyers(Guard)</x:v>
      </x:c>
      <x:c r="L413" s="362" t="str">
        <x:v>1000025098.mp4</x:v>
      </x:c>
    </x:row>
    <x:row r="414" ht="32" customHeight="1">
      <x:c r="A414" s="362" t="str">
        <x:v>K170</x:v>
      </x:c>
      <x:c r="B414" s="362" t="str">
        <x:v>(AOT)Paian2</x:v>
      </x:c>
      <x:c r="C414" s="362" t="str">
        <x:v>Cavalry</x:v>
      </x:c>
      <x:c r="D414" s="362" t="str">
        <x:v>Storm cavalry</x:v>
      </x:c>
      <x:c r="E414" s="362" t="str">
        <x:v>Horse archer</x:v>
      </x:c>
      <x:c r="F414" s="362" t="n">
        <x:v>46</x:v>
      </x:c>
      <x:c r="G414" s="362" t="str">
        <x:v>Mounted Archery</x:v>
      </x:c>
      <x:c r="H414" s="362" t="str">
        <x:v>Has a certain probability of causing fly-shooting damage</x:v>
      </x:c>
      <x:c r="I414" s="362" t="str">
        <x:v>Unlocked</x:v>
      </x:c>
      <x:c r="J414" s="362" t="str">
        <x:v>05:12.00</x:v>
      </x:c>
      <x:c r="K414" s="362" t="str">
        <x:v>Header exactly: Storm cavalry(Horse archer); T10 siege row present but popup not opened</x:v>
      </x:c>
      <x:c r="L414" s="362" t="str">
        <x:v>1000025098.mp4</x:v>
      </x:c>
    </x:row>
    <x:row r="415" ht="32" customHeight="1">
      <x:c r="A415" s="362" t="str">
        <x:v>K54</x:v>
      </x:c>
      <x:c r="B415" s="362" t="str">
        <x:v>爽歪歪</x:v>
      </x:c>
      <x:c r="C415" s="362" t="str">
        <x:v>Guards</x:v>
      </x:c>
      <x:c r="D415" s="362" t="str">
        <x:v>Destroyers</x:v>
      </x:c>
      <x:c r="E415" s="362" t="str">
        <x:v>Guard</x:v>
      </x:c>
      <x:c r="F415" s="362" t="n">
        <x:v>50</x:v>
      </x:c>
      <x:c r="G415" s="362" t="str">
        <x:v>Parry</x:v>
      </x:c>
      <x:c r="H415" s="362" t="str">
        <x:v>Provides a parry effect and a certain probability to increase damage</x:v>
      </x:c>
      <x:c r="I415" s="362" t="str">
        <x:v>Unlocked</x:v>
      </x:c>
      <x:c r="J415" s="362" t="str">
        <x:v>00:01.40</x:v>
      </x:c>
      <x:c r="K415" s="362" t="str">
        <x:v>High confidence. Visible 00:01.40-00:02.25; Source frame: work/k54_specs_agent/event_frames_final/E001_1.825_Destroyers.jpg</x:v>
      </x:c>
      <x:c r="L415" s="362" t="str">
        <x:v>1000025860.mp4</x:v>
      </x:c>
    </x:row>
    <x:row r="416" ht="32" customHeight="1">
      <x:c r="A416" s="362" t="str">
        <x:v>K54</x:v>
      </x:c>
      <x:c r="B416" s="362" t="str">
        <x:v>爽歪歪</x:v>
      </x:c>
      <x:c r="C416" s="362" t="str">
        <x:v>Cavalry</x:v>
      </x:c>
      <x:c r="D416" s="362" t="str">
        <x:v>Eternal knights</x:v>
      </x:c>
      <x:c r="E416" s="362" t="str">
        <x:v>Heavy Cavalry</x:v>
      </x:c>
      <x:c r="F416" s="362" t="n">
        <x:v>48</x:v>
      </x:c>
      <x:c r="G416" s="362" t="str">
        <x:v>Thunder trample</x:v>
      </x:c>
      <x:c r="H416" s="362" t="str">
        <x:v>Has a certain probability of causing trampling damage</x:v>
      </x:c>
      <x:c r="I416" s="362" t="str">
        <x:v>Unlocked</x:v>
      </x:c>
      <x:c r="J416" s="362" t="str">
        <x:v>00:02.75</x:v>
      </x:c>
      <x:c r="K416" s="362" t="str">
        <x:v>High confidence. Visible 00:02.75-00:03.75; Source frame: work/k54_specs_agent/event_frames_final/E002_3.250_Eternal_knights.jpg</x:v>
      </x:c>
      <x:c r="L416" s="362" t="str">
        <x:v>1000025860.mp4</x:v>
      </x:c>
    </x:row>
    <x:row r="417" ht="32" customHeight="1">
      <x:c r="A417" s="362" t="str">
        <x:v>K54</x:v>
      </x:c>
      <x:c r="B417" s="362" t="str">
        <x:v>爽歪歪</x:v>
      </x:c>
      <x:c r="C417" s="362" t="str">
        <x:v>Cavalry</x:v>
      </x:c>
      <x:c r="D417" s="362" t="str">
        <x:v>Storm cavalry</x:v>
      </x:c>
      <x:c r="E417" s="362" t="str">
        <x:v>Horse archer</x:v>
      </x:c>
      <x:c r="F417" s="362" t="n">
        <x:v>46</x:v>
      </x:c>
      <x:c r="G417" s="362" t="str">
        <x:v>Mounted Archery</x:v>
      </x:c>
      <x:c r="H417" s="362" t="str">
        <x:v>Has a certain probability of causing fly-shooting damage</x:v>
      </x:c>
      <x:c r="I417" s="362" t="str">
        <x:v>Unlocked</x:v>
      </x:c>
      <x:c r="J417" s="362" t="str">
        <x:v>00:04.20</x:v>
      </x:c>
      <x:c r="K417" s="362" t="str">
        <x:v>High confidence. Visible 00:04.20-00:05.40; Source frame: work/k54_specs_agent/event_frames_final/E003_4.800_Storm_cavalry.jpg</x:v>
      </x:c>
      <x:c r="L417" s="362" t="str">
        <x:v>1000025860.mp4</x:v>
      </x:c>
    </x:row>
    <x:row r="418" ht="32" customHeight="1">
      <x:c r="A418" s="362" t="str">
        <x:v>K54</x:v>
      </x:c>
      <x:c r="B418" s="362" t="str">
        <x:v>爽歪歪</x:v>
      </x:c>
      <x:c r="C418" s="362" t="str">
        <x:v>Cavalry</x:v>
      </x:c>
      <x:c r="D418" s="362" t="str">
        <x:v>Roman knights</x:v>
      </x:c>
      <x:c r="E418" s="362" t="str">
        <x:v>Heavy Cavalry</x:v>
      </x:c>
      <x:c r="F418" s="362" t="n">
        <x:v>48</x:v>
      </x:c>
      <x:c r="G418" s="362" t="str">
        <x:v>Thunder trample</x:v>
      </x:c>
      <x:c r="H418" s="362" t="str">
        <x:v>Has a certain probability of causing trampling damage</x:v>
      </x:c>
      <x:c r="I418" s="362" t="str">
        <x:v>Unlocked</x:v>
      </x:c>
      <x:c r="J418" s="362" t="str">
        <x:v>00:05.85</x:v>
      </x:c>
      <x:c r="K418" s="362" t="str">
        <x:v>High confidence. Visible 00:05.85-00:06.70; Source frame: work/k54_specs_agent/event_frames_final/E004_6.275_Roman_knights.jpg</x:v>
      </x:c>
      <x:c r="L418" s="362" t="str">
        <x:v>1000025860.mp4</x:v>
      </x:c>
    </x:row>
    <x:row r="419" ht="32" customHeight="1">
      <x:c r="A419" s="362" t="str">
        <x:v>K54</x:v>
      </x:c>
      <x:c r="B419" s="362" t="str">
        <x:v>爽歪歪</x:v>
      </x:c>
      <x:c r="C419" s="362" t="str">
        <x:v>Cavalry</x:v>
      </x:c>
      <x:c r="D419" s="362" t="str">
        <x:v>Royal banderium</x:v>
      </x:c>
      <x:c r="E419" s="362" t="str">
        <x:v>Horse archer</x:v>
      </x:c>
      <x:c r="F419" s="362" t="n">
        <x:v>46</x:v>
      </x:c>
      <x:c r="G419" s="362" t="str">
        <x:v>Mounted Archery</x:v>
      </x:c>
      <x:c r="H419" s="362" t="str">
        <x:v>Has a certain probability of causing fly-shooting damage</x:v>
      </x:c>
      <x:c r="I419" s="362" t="str">
        <x:v>Unlocked</x:v>
      </x:c>
      <x:c r="J419" s="362" t="str">
        <x:v>00:07.15</x:v>
      </x:c>
      <x:c r="K419" s="362" t="str">
        <x:v>High confidence. Visible 00:07.15-00:08.55; Source frame: work/k54_specs_agent/event_frames_final/E005_7.850_Royal_banderium.jpg</x:v>
      </x:c>
      <x:c r="L419" s="362" t="str">
        <x:v>1000025860.mp4</x:v>
      </x:c>
    </x:row>
    <x:row r="420" ht="32" customHeight="1">
      <x:c r="A420" s="362" t="str">
        <x:v>K54</x:v>
      </x:c>
      <x:c r="B420" s="362" t="str">
        <x:v>極惡九孔</x:v>
      </x:c>
      <x:c r="C420" s="362" t="str">
        <x:v>Guards</x:v>
      </x:c>
      <x:c r="D420" s="362" t="str">
        <x:v>Destroyers</x:v>
      </x:c>
      <x:c r="E420" s="362" t="str">
        <x:v>Guard</x:v>
      </x:c>
      <x:c r="F420" s="362" t="n">
        <x:v>48</x:v>
      </x:c>
      <x:c r="G420" s="362" t="str">
        <x:v>Parry</x:v>
      </x:c>
      <x:c r="H420" s="362" t="str">
        <x:v>Provides a parry effect and a certain probability to increase damage</x:v>
      </x:c>
      <x:c r="I420" s="362" t="str">
        <x:v>Unlocked</x:v>
      </x:c>
      <x:c r="J420" s="362" t="str">
        <x:v>00:14.75</x:v>
      </x:c>
      <x:c r="K420" s="362" t="str">
        <x:v>High confidence; tooltip-only player (no Troop Attribute screen was opened for this profile). Visible 00:14.75-00:15.50; Source frame: work/k54_specs_agent/event_frames_final/E006_15.125_Destroyers.jpg</x:v>
      </x:c>
      <x:c r="L420" s="362" t="str">
        <x:v>1000025860.mp4</x:v>
      </x:c>
    </x:row>
    <x:row r="421" ht="32" customHeight="1">
      <x:c r="A421" s="362" t="str">
        <x:v>K54</x:v>
      </x:c>
      <x:c r="B421" s="362" t="str">
        <x:v>纵横,,,杀戮</x:v>
      </x:c>
      <x:c r="C421" s="362" t="str">
        <x:v>Cavalry</x:v>
      </x:c>
      <x:c r="D421" s="362" t="str">
        <x:v>Eternal knights</x:v>
      </x:c>
      <x:c r="E421" s="362" t="str">
        <x:v>Heavy Cavalry</x:v>
      </x:c>
      <x:c r="F421" s="362" t="n">
        <x:v>50</x:v>
      </x:c>
      <x:c r="G421" s="362" t="str">
        <x:v>Thunder trample</x:v>
      </x:c>
      <x:c r="H421" s="362" t="str">
        <x:v>Has a certain probability of causing trampling damage</x:v>
      </x:c>
      <x:c r="I421" s="362" t="str">
        <x:v>Unlocked</x:v>
      </x:c>
      <x:c r="J421" s="362" t="str">
        <x:v>00:24.45</x:v>
      </x:c>
      <x:c r="K421" s="362" t="str">
        <x:v>High confidence; the three literal comma characters in the displayed player name are preserved exactly. Visible 00:24.45-00:25.05; Source frame: work/k54_specs_agent/event_frames_final/E007_24.750_Eternal_knights.jpg</x:v>
      </x:c>
      <x:c r="L421" s="362" t="str">
        <x:v>1000025860.mp4</x:v>
      </x:c>
    </x:row>
    <x:row r="422" ht="32" customHeight="1">
      <x:c r="A422" s="362" t="str">
        <x:v>K54</x:v>
      </x:c>
      <x:c r="B422" s="362" t="str">
        <x:v>纵横,,,杀戮</x:v>
      </x:c>
      <x:c r="C422" s="362" t="str">
        <x:v>Archers</x:v>
      </x:c>
      <x:c r="D422" s="362" t="str">
        <x:v>Elite bowmen</x:v>
      </x:c>
      <x:c r="E422" s="362" t="str">
        <x:v>Archer</x:v>
      </x:c>
      <x:c r="F422" s="362" t="n">
        <x:v>50</x:v>
      </x:c>
      <x:c r="G422" s="362" t="str">
        <x:v>Frost Arrow</x:v>
      </x:c>
      <x:c r="H422" s="362" t="str">
        <x:v>Has a higher probability of activating ice damage</x:v>
      </x:c>
      <x:c r="I422" s="362" t="str">
        <x:v>Unlocked</x:v>
      </x:c>
      <x:c r="J422" s="362" t="str">
        <x:v>00:25.45</x:v>
      </x:c>
      <x:c r="K422" s="362" t="str">
        <x:v>High confidence; the three literal comma characters in the displayed player name are preserved exactly. Visible 00:25.45-00:26.60; Source frame: work/k54_specs_agent/event_frames_final/E008_26.025_Elite_bowmen.jpg</x:v>
      </x:c>
      <x:c r="L422" s="362" t="str">
        <x:v>1000025860.mp4</x:v>
      </x:c>
    </x:row>
    <x:row r="423" ht="32" customHeight="1">
      <x:c r="A423" s="362" t="str">
        <x:v>K54</x:v>
      </x:c>
      <x:c r="B423" s="362" t="str">
        <x:v>纵横,,,杀戮</x:v>
      </x:c>
      <x:c r="C423" s="362" t="str">
        <x:v>Siege</x:v>
      </x:c>
      <x:c r="D423" s="362" t="str">
        <x:v>Manglers</x:v>
      </x:c>
      <x:c r="E423" s="362" t="str">
        <x:v>Siege</x:v>
      </x:c>
      <x:c r="F423" s="362" t="n">
        <x:v>50</x:v>
      </x:c>
      <x:c r="G423" s="362" t="str">
        <x:v>Highly toxic</x:v>
      </x:c>
      <x:c r="H423" s="362" t="str">
        <x:v>Inflict continuous toxic damage</x:v>
      </x:c>
      <x:c r="I423" s="362" t="str">
        <x:v>Unlocked</x:v>
      </x:c>
      <x:c r="J423" s="362" t="str">
        <x:v>00:26.95</x:v>
      </x:c>
      <x:c r="K423" s="362" t="str">
        <x:v>High confidence; the three literal comma characters in the displayed player name are preserved exactly. Visible 00:26.95-00:27.95; Source frame: work/k54_specs_agent/event_frames_final/E009_27.450_Manglers.jpg</x:v>
      </x:c>
      <x:c r="L423" s="362" t="str">
        <x:v>1000025860.mp4</x:v>
      </x:c>
    </x:row>
    <x:row r="424" ht="32" customHeight="1">
      <x:c r="A424" s="362" t="str">
        <x:v>K54</x:v>
      </x:c>
      <x:c r="B424" s="362" t="str">
        <x:v>纵横,,,杀戮</x:v>
      </x:c>
      <x:c r="C424" s="362" t="str">
        <x:v>Cavalry</x:v>
      </x:c>
      <x:c r="D424" s="362" t="str">
        <x:v>Storm cavalry</x:v>
      </x:c>
      <x:c r="E424" s="362" t="str">
        <x:v>Horse archer</x:v>
      </x:c>
      <x:c r="F424" s="362" t="n">
        <x:v>50</x:v>
      </x:c>
      <x:c r="G424" s="362" t="str">
        <x:v>Mounted Archery</x:v>
      </x:c>
      <x:c r="H424" s="362" t="str">
        <x:v>Has a certain probability of causing fly-shooting damage</x:v>
      </x:c>
      <x:c r="I424" s="362" t="str">
        <x:v>Unlocked</x:v>
      </x:c>
      <x:c r="J424" s="362" t="str">
        <x:v>00:28.35</x:v>
      </x:c>
      <x:c r="K424" s="362" t="str">
        <x:v>High confidence; the three literal comma characters in the displayed player name are preserved exactly. Visible 00:28.35-00:29.25; Source frame: work/k54_specs_agent/event_frames_final/E010_28.800_Storm_cavalry.jpg</x:v>
      </x:c>
      <x:c r="L424" s="362" t="str">
        <x:v>1000025860.mp4</x:v>
      </x:c>
    </x:row>
    <x:row r="425" ht="32" customHeight="1">
      <x:c r="A425" s="362" t="str">
        <x:v>K54</x:v>
      </x:c>
      <x:c r="B425" s="362" t="str">
        <x:v>纵横,,,杀戮</x:v>
      </x:c>
      <x:c r="C425" s="362" t="str">
        <x:v>Cavalry</x:v>
      </x:c>
      <x:c r="D425" s="362" t="str">
        <x:v>Roman knights</x:v>
      </x:c>
      <x:c r="E425" s="362" t="str">
        <x:v>Heavy Cavalry</x:v>
      </x:c>
      <x:c r="F425" s="362" t="n">
        <x:v>50</x:v>
      </x:c>
      <x:c r="G425" s="362" t="str">
        <x:v>Thunder trample</x:v>
      </x:c>
      <x:c r="H425" s="362" t="str">
        <x:v>Has a certain probability of causing trampling damage</x:v>
      </x:c>
      <x:c r="I425" s="362" t="str">
        <x:v>Unlocked</x:v>
      </x:c>
      <x:c r="J425" s="362" t="str">
        <x:v>00:29.60</x:v>
      </x:c>
      <x:c r="K425" s="362" t="str">
        <x:v>High confidence; the three literal comma characters in the displayed player name are preserved exactly. Visible 00:29.60-00:30.30; Source frame: work/k54_specs_agent/event_frames_final/E011_29.950_Roman_knights.jpg</x:v>
      </x:c>
      <x:c r="L425" s="362" t="str">
        <x:v>1000025860.mp4</x:v>
      </x:c>
    </x:row>
    <x:row r="426" ht="32" customHeight="1">
      <x:c r="A426" s="362" t="str">
        <x:v>K54</x:v>
      </x:c>
      <x:c r="B426" s="362" t="str">
        <x:v>纵横,,,大风</x:v>
      </x:c>
      <x:c r="C426" s="362" t="str">
        <x:v>Cavalry</x:v>
      </x:c>
      <x:c r="D426" s="362" t="str">
        <x:v>Eternal knights</x:v>
      </x:c>
      <x:c r="E426" s="362" t="str">
        <x:v>Heavy Cavalry</x:v>
      </x:c>
      <x:c r="F426" s="362" t="n">
        <x:v>50</x:v>
      </x:c>
      <x:c r="G426" s="362" t="str">
        <x:v>Thunder trample</x:v>
      </x:c>
      <x:c r="H426" s="362" t="str">
        <x:v>Has a certain probability of causing trampling damage</x:v>
      </x:c>
      <x:c r="I426" s="362" t="str">
        <x:v>Unlocked</x:v>
      </x:c>
      <x:c r="J426" s="362" t="str">
        <x:v>00:42.90</x:v>
      </x:c>
      <x:c r="K426" s="362" t="str">
        <x:v>High confidence; the three literal comma characters in the displayed player name are preserved exactly. Visible 00:42.90-00:43.45; Source frame: work/k54_specs_agent/event_frames_final/E012_43.175_Eternal_knights.jpg</x:v>
      </x:c>
      <x:c r="L426" s="362" t="str">
        <x:v>1000025860.mp4</x:v>
      </x:c>
    </x:row>
    <x:row r="427" ht="32" customHeight="1">
      <x:c r="A427" s="362" t="str">
        <x:v>K54</x:v>
      </x:c>
      <x:c r="B427" s="362" t="str">
        <x:v>纵横,,,大风</x:v>
      </x:c>
      <x:c r="C427" s="362" t="str">
        <x:v>Archers</x:v>
      </x:c>
      <x:c r="D427" s="362" t="str">
        <x:v>Elite bowmen</x:v>
      </x:c>
      <x:c r="E427" s="362" t="str">
        <x:v>Archer</x:v>
      </x:c>
      <x:c r="F427" s="362" t="n">
        <x:v>50</x:v>
      </x:c>
      <x:c r="G427" s="362" t="str">
        <x:v>Frost Arrow</x:v>
      </x:c>
      <x:c r="H427" s="362" t="str">
        <x:v>Has a higher probability of activating ice damage</x:v>
      </x:c>
      <x:c r="I427" s="362" t="str">
        <x:v>Unlocked</x:v>
      </x:c>
      <x:c r="J427" s="362" t="str">
        <x:v>00:43.80</x:v>
      </x:c>
      <x:c r="K427" s="362" t="str">
        <x:v>High confidence; the three literal comma characters in the displayed player name are preserved exactly. Visible 00:43.80-00:44.30; Source frame: work/k54_specs_agent/event_frames_final/E013_44.050_Elite_bowmen.jpg</x:v>
      </x:c>
      <x:c r="L427" s="362" t="str">
        <x:v>1000025860.mp4</x:v>
      </x:c>
    </x:row>
    <x:row r="428" ht="32" customHeight="1">
      <x:c r="A428" s="362" t="str">
        <x:v>K54</x:v>
      </x:c>
      <x:c r="B428" s="362" t="str">
        <x:v>纵横,,,大风</x:v>
      </x:c>
      <x:c r="C428" s="362" t="str">
        <x:v>Siege</x:v>
      </x:c>
      <x:c r="D428" s="362" t="str">
        <x:v>Manglers</x:v>
      </x:c>
      <x:c r="E428" s="362" t="str">
        <x:v>Siege</x:v>
      </x:c>
      <x:c r="F428" s="362" t="n">
        <x:v>48</x:v>
      </x:c>
      <x:c r="G428" s="362" t="str">
        <x:v>Highly toxic</x:v>
      </x:c>
      <x:c r="H428" s="362" t="str">
        <x:v>Inflict continuous toxic damage</x:v>
      </x:c>
      <x:c r="I428" s="362" t="str">
        <x:v>Unlocked</x:v>
      </x:c>
      <x:c r="J428" s="362" t="str">
        <x:v>00:44.65</x:v>
      </x:c>
      <x:c r="K428" s="362" t="str">
        <x:v>High confidence; the three literal comma characters in the displayed player name are preserved exactly. Visible 00:44.65-00:45.15; Source frame: work/k54_specs_agent/event_frames_final/E014_44.900_Manglers.jpg</x:v>
      </x:c>
      <x:c r="L428" s="362" t="str">
        <x:v>1000025860.mp4</x:v>
      </x:c>
    </x:row>
    <x:row r="429" ht="32" customHeight="1">
      <x:c r="A429" s="362" t="str">
        <x:v>K54</x:v>
      </x:c>
      <x:c r="B429" s="362" t="str">
        <x:v>纵横,,,大风</x:v>
      </x:c>
      <x:c r="C429" s="362" t="str">
        <x:v>Cavalry</x:v>
      </x:c>
      <x:c r="D429" s="362" t="str">
        <x:v>Storm cavalry</x:v>
      </x:c>
      <x:c r="E429" s="362" t="str">
        <x:v>Horse archer</x:v>
      </x:c>
      <x:c r="F429" s="362" t="n">
        <x:v>46</x:v>
      </x:c>
      <x:c r="G429" s="362" t="str">
        <x:v>Mounted Archery</x:v>
      </x:c>
      <x:c r="H429" s="362" t="str">
        <x:v>Has a certain probability of causing fly-shooting damage</x:v>
      </x:c>
      <x:c r="I429" s="362" t="str">
        <x:v>Unlocked</x:v>
      </x:c>
      <x:c r="J429" s="362" t="str">
        <x:v>00:45.45</x:v>
      </x:c>
      <x:c r="K429" s="362" t="str">
        <x:v>High confidence; the three literal comma characters in the displayed player name are preserved exactly. Visible 00:45.45-00:45.95; Source frame: work/k54_specs_agent/event_frames_final/E015_45.700_Storm_cavalry.jpg</x:v>
      </x:c>
      <x:c r="L429" s="362" t="str">
        <x:v>1000025860.mp4</x:v>
      </x:c>
    </x:row>
    <x:row r="430" ht="32" customHeight="1">
      <x:c r="A430" s="362" t="str">
        <x:v>K54</x:v>
      </x:c>
      <x:c r="B430" s="362" t="str">
        <x:v>纵横,,,大风</x:v>
      </x:c>
      <x:c r="C430" s="362" t="str">
        <x:v>Cavalry</x:v>
      </x:c>
      <x:c r="D430" s="362" t="str">
        <x:v>Roman knights</x:v>
      </x:c>
      <x:c r="E430" s="362" t="str">
        <x:v>Heavy Cavalry</x:v>
      </x:c>
      <x:c r="F430" s="362" t="n">
        <x:v>50</x:v>
      </x:c>
      <x:c r="G430" s="362" t="str">
        <x:v>Thunder trample</x:v>
      </x:c>
      <x:c r="H430" s="362" t="str">
        <x:v>Has a certain probability of causing trampling damage</x:v>
      </x:c>
      <x:c r="I430" s="362" t="str">
        <x:v>Unlocked</x:v>
      </x:c>
      <x:c r="J430" s="362" t="str">
        <x:v>00:46.30</x:v>
      </x:c>
      <x:c r="K430" s="362" t="str">
        <x:v>High confidence; the three literal comma characters in the displayed player name are preserved exactly. Visible 00:46.30-00:46.65; Source frame: work/k54_specs_agent/event_frames_final/E016_46.475_Roman_knights.jpg</x:v>
      </x:c>
      <x:c r="L430" s="362" t="str">
        <x:v>1000025860.mp4</x:v>
      </x:c>
    </x:row>
    <x:row r="431" ht="32" customHeight="1">
      <x:c r="A431" s="362" t="str">
        <x:v>K54</x:v>
      </x:c>
      <x:c r="B431" s="362" t="str">
        <x:v>纵横,,,大风</x:v>
      </x:c>
      <x:c r="C431" s="362" t="str">
        <x:v>Archers</x:v>
      </x:c>
      <x:c r="D431" s="362" t="str">
        <x:v>Marksmen</x:v>
      </x:c>
      <x:c r="E431" s="362" t="str">
        <x:v>Archer</x:v>
      </x:c>
      <x:c r="F431" s="362" t="n">
        <x:v>50</x:v>
      </x:c>
      <x:c r="G431" s="362" t="str">
        <x:v>Frost Arrow</x:v>
      </x:c>
      <x:c r="H431" s="362" t="str">
        <x:v>Has a higher probability of activating ice damage</x:v>
      </x:c>
      <x:c r="I431" s="362" t="str">
        <x:v>Unlocked</x:v>
      </x:c>
      <x:c r="J431" s="362" t="str">
        <x:v>00:47.00</x:v>
      </x:c>
      <x:c r="K431" s="362" t="str">
        <x:v>High confidence; the three literal comma characters in the displayed player name are preserved exactly. Visible 00:47.00-00:47.40; Source frame: work/k54_specs_agent/event_frames_final/E017_47.200_Marksmen.jpg</x:v>
      </x:c>
      <x:c r="L431" s="362" t="str">
        <x:v>1000025860.mp4</x:v>
      </x:c>
    </x:row>
    <x:row r="432" ht="32" customHeight="1">
      <x:c r="A432" s="362" t="str">
        <x:v>K54</x:v>
      </x:c>
      <x:c r="B432" s="362" t="str">
        <x:v>纵横,,,大风</x:v>
      </x:c>
      <x:c r="C432" s="362" t="str">
        <x:v>Siege</x:v>
      </x:c>
      <x:c r="D432" s="362" t="str">
        <x:v>End siege</x:v>
      </x:c>
      <x:c r="E432" s="362" t="str">
        <x:v>Siege</x:v>
      </x:c>
      <x:c r="F432" s="362" t="n">
        <x:v>48</x:v>
      </x:c>
      <x:c r="G432" s="362" t="str">
        <x:v>Highly toxic</x:v>
      </x:c>
      <x:c r="H432" s="362" t="str">
        <x:v>Inflict continuous toxic damage</x:v>
      </x:c>
      <x:c r="I432" s="362" t="str">
        <x:v>Unlocked</x:v>
      </x:c>
      <x:c r="J432" s="362" t="str">
        <x:v>00:47.70</x:v>
      </x:c>
      <x:c r="K432" s="362" t="str">
        <x:v>High confidence; the three literal comma characters in the displayed player name are preserved exactly. Visible 00:47.70-00:48.05; Source frame: work/k54_specs_agent/event_frames_final/E018_47.875_End_siege.jpg</x:v>
      </x:c>
      <x:c r="L432" s="362" t="str">
        <x:v>1000025860.mp4</x:v>
      </x:c>
    </x:row>
    <x:row r="433" ht="32" customHeight="1">
      <x:c r="A433" s="362" t="str">
        <x:v>K54</x:v>
      </x:c>
      <x:c r="B433" s="362" t="str">
        <x:v>Somnium</x:v>
      </x:c>
      <x:c r="C433" s="362" t="str">
        <x:v>Cavalry</x:v>
      </x:c>
      <x:c r="D433" s="362" t="str">
        <x:v>Eternal knights</x:v>
      </x:c>
      <x:c r="E433" s="362" t="str">
        <x:v>Heavy Cavalry</x:v>
      </x:c>
      <x:c r="F433" s="362" t="n">
        <x:v>50</x:v>
      </x:c>
      <x:c r="G433" s="362" t="str">
        <x:v>Thunder trample</x:v>
      </x:c>
      <x:c r="H433" s="362" t="str">
        <x:v>Has a certain probability of causing trampling damage</x:v>
      </x:c>
      <x:c r="I433" s="362" t="str">
        <x:v>Unlocked</x:v>
      </x:c>
      <x:c r="J433" s="362" t="str">
        <x:v>00:53.55</x:v>
      </x:c>
      <x:c r="K433" s="362" t="str">
        <x:v>High confidence. Visible 00:53.55-00:54.15; Source frame: work/k54_specs_agent/event_frames_final/E019_53.850_Eternal_knights.jpg</x:v>
      </x:c>
      <x:c r="L433" s="362" t="str">
        <x:v>1000025860.mp4</x:v>
      </x:c>
    </x:row>
    <x:row r="434" ht="32" customHeight="1">
      <x:c r="A434" s="362" t="str">
        <x:v>K54</x:v>
      </x:c>
      <x:c r="B434" s="362" t="str">
        <x:v>Somnium</x:v>
      </x:c>
      <x:c r="C434" s="362" t="str">
        <x:v>Cavalry</x:v>
      </x:c>
      <x:c r="D434" s="362" t="str">
        <x:v>Storm cavalry</x:v>
      </x:c>
      <x:c r="E434" s="362" t="str">
        <x:v>Horse archer</x:v>
      </x:c>
      <x:c r="F434" s="362" t="n">
        <x:v>38</x:v>
      </x:c>
      <x:c r="G434" s="362" t="str">
        <x:v>Mounted Archery</x:v>
      </x:c>
      <x:c r="H434" s="362" t="str">
        <x:v>Has a certain probability of causing fly-shooting damage</x:v>
      </x:c>
      <x:c r="I434" s="362" t="str">
        <x:v>Unlocked</x:v>
      </x:c>
      <x:c r="J434" s="362" t="str">
        <x:v>00:54.65</x:v>
      </x:c>
      <x:c r="K434" s="362" t="str">
        <x:v>High confidence. Visible 00:54.65-00:54.95; Source frame: work/k54_specs_agent/event_frames_final/E020_54.800_Storm_cavalry.jpg</x:v>
      </x:c>
      <x:c r="L434" s="362" t="str">
        <x:v>1000025860.mp4</x:v>
      </x:c>
    </x:row>
    <x:row r="435" ht="32" customHeight="1">
      <x:c r="A435" s="362" t="str">
        <x:v>K54</x:v>
      </x:c>
      <x:c r="B435" s="362" t="str">
        <x:v>纵横,,,Nike耐克</x:v>
      </x:c>
      <x:c r="C435" s="362" t="str">
        <x:v>Cavalry</x:v>
      </x:c>
      <x:c r="D435" s="362" t="str">
        <x:v>Eternal knights</x:v>
      </x:c>
      <x:c r="E435" s="362" t="str">
        <x:v>Heavy Cavalry</x:v>
      </x:c>
      <x:c r="F435" s="362" t="n">
        <x:v>46</x:v>
      </x:c>
      <x:c r="G435" s="362" t="str">
        <x:v>Thunder trample</x:v>
      </x:c>
      <x:c r="H435" s="362" t="str">
        <x:v>Has a certain probability of causing trampling damage</x:v>
      </x:c>
      <x:c r="I435" s="362" t="str">
        <x:v>Unlocked</x:v>
      </x:c>
      <x:c r="J435" s="362" t="str">
        <x:v>01:01.20</x:v>
      </x:c>
      <x:c r="K435" s="362" t="str">
        <x:v>High confidence; the three literal comma characters in the displayed player name are preserved exactly. Visible 01:01.20-01:01.70; Source frame: work/k54_specs_agent/event_frames_final/E021_61.450_Eternal_knights.jpg</x:v>
      </x:c>
      <x:c r="L435" s="362" t="str">
        <x:v>1000025860.mp4</x:v>
      </x:c>
    </x:row>
    <x:row r="436" ht="32" customHeight="1">
      <x:c r="A436" s="362" t="str">
        <x:v>K54</x:v>
      </x:c>
      <x:c r="B436" s="362" t="str">
        <x:v>纵横,,,Nike耐克</x:v>
      </x:c>
      <x:c r="C436" s="362" t="str">
        <x:v>Archers</x:v>
      </x:c>
      <x:c r="D436" s="362" t="str">
        <x:v>Elite bowmen</x:v>
      </x:c>
      <x:c r="E436" s="362" t="str">
        <x:v>Archer</x:v>
      </x:c>
      <x:c r="F436" s="362" t="n">
        <x:v>45</x:v>
      </x:c>
      <x:c r="G436" s="362" t="str">
        <x:v>Frost Arrow</x:v>
      </x:c>
      <x:c r="H436" s="362" t="str">
        <x:v>Has a higher probability of activating ice damage</x:v>
      </x:c>
      <x:c r="I436" s="362" t="str">
        <x:v>Unlocked</x:v>
      </x:c>
      <x:c r="J436" s="362" t="str">
        <x:v>01:01.95</x:v>
      </x:c>
      <x:c r="K436" s="362" t="str">
        <x:v>High confidence; the three literal comma characters in the displayed player name are preserved exactly. Visible 01:01.95-01:02.50; Source frame: work/k54_specs_agent/event_frames_final/E022_62.225_Elite_bowmen.jpg</x:v>
      </x:c>
      <x:c r="L436" s="362" t="str">
        <x:v>1000025860.mp4</x:v>
      </x:c>
    </x:row>
    <x:row r="437" ht="32" customHeight="1">
      <x:c r="A437" s="362" t="str">
        <x:v>K54</x:v>
      </x:c>
      <x:c r="B437" s="362" t="str">
        <x:v>纵横,,,Nike耐克</x:v>
      </x:c>
      <x:c r="C437" s="362" t="str">
        <x:v>Siege</x:v>
      </x:c>
      <x:c r="D437" s="362" t="str">
        <x:v>Manglers</x:v>
      </x:c>
      <x:c r="E437" s="362" t="str">
        <x:v>Siege</x:v>
      </x:c>
      <x:c r="F437" s="362" t="n">
        <x:v>46</x:v>
      </x:c>
      <x:c r="G437" s="362" t="str">
        <x:v>Highly toxic</x:v>
      </x:c>
      <x:c r="H437" s="362" t="str">
        <x:v>Inflict continuous toxic damage</x:v>
      </x:c>
      <x:c r="I437" s="362" t="str">
        <x:v>Unlocked</x:v>
      </x:c>
      <x:c r="J437" s="362" t="str">
        <x:v>01:02.70</x:v>
      </x:c>
      <x:c r="K437" s="362" t="str">
        <x:v>High confidence; the three literal comma characters in the displayed player name are preserved exactly. Visible 01:02.70-01:03.25; Source frame: work/k54_specs_agent/event_frames_final/E023_62.975_Manglers.jpg</x:v>
      </x:c>
      <x:c r="L437" s="362" t="str">
        <x:v>1000025860.mp4</x:v>
      </x:c>
    </x:row>
    <x:row r="438" ht="32" customHeight="1">
      <x:c r="A438" s="362" t="str">
        <x:v>K54</x:v>
      </x:c>
      <x:c r="B438" s="362" t="str">
        <x:v>纵横,,,Nike耐克</x:v>
      </x:c>
      <x:c r="C438" s="362" t="str">
        <x:v>Cavalry</x:v>
      </x:c>
      <x:c r="D438" s="362" t="str">
        <x:v>Storm cavalry</x:v>
      </x:c>
      <x:c r="E438" s="362" t="str">
        <x:v>Horse archer</x:v>
      </x:c>
      <x:c r="F438" s="362" t="n">
        <x:v>46</x:v>
      </x:c>
      <x:c r="G438" s="362" t="str">
        <x:v>Mounted Archery</x:v>
      </x:c>
      <x:c r="H438" s="362" t="str">
        <x:v>Has a certain probability of causing fly-shooting damage</x:v>
      </x:c>
      <x:c r="I438" s="362" t="str">
        <x:v>Unlocked</x:v>
      </x:c>
      <x:c r="J438" s="362" t="str">
        <x:v>01:03.55</x:v>
      </x:c>
      <x:c r="K438" s="362" t="str">
        <x:v>High confidence; the three literal comma characters in the displayed player name are preserved exactly. Visible 01:03.55-01:03.95; Source frame: work/k54_specs_agent/event_frames_final/E024_63.750_Storm_cavalry.jpg</x:v>
      </x:c>
      <x:c r="L438" s="362" t="str">
        <x:v>1000025860.mp4</x:v>
      </x:c>
    </x:row>
    <x:row r="439" ht="32" customHeight="1">
      <x:c r="A439" s="362" t="str">
        <x:v>K54</x:v>
      </x:c>
      <x:c r="B439" s="362" t="str">
        <x:v>纵横,,,Nike耐克</x:v>
      </x:c>
      <x:c r="C439" s="362" t="str">
        <x:v>Cavalry</x:v>
      </x:c>
      <x:c r="D439" s="362" t="str">
        <x:v>Roman knights</x:v>
      </x:c>
      <x:c r="E439" s="362" t="str">
        <x:v>Heavy Cavalry</x:v>
      </x:c>
      <x:c r="F439" s="362" t="n">
        <x:v>46</x:v>
      </x:c>
      <x:c r="G439" s="362" t="str">
        <x:v>Thunder trample</x:v>
      </x:c>
      <x:c r="H439" s="362" t="str">
        <x:v>Has a certain probability of causing trampling damage</x:v>
      </x:c>
      <x:c r="I439" s="362" t="str">
        <x:v>Unlocked</x:v>
      </x:c>
      <x:c r="J439" s="362" t="str">
        <x:v>01:04.40</x:v>
      </x:c>
      <x:c r="K439" s="362" t="str">
        <x:v>High confidence; the three literal comma characters in the displayed player name are preserved exactly. Visible 01:04.40-01:05.00; Source frame: work/k54_specs_agent/event_frames_final/E025_64.700_Roman_knights.jpg</x:v>
      </x:c>
      <x:c r="L439" s="362" t="str">
        <x:v>1000025860.mp4</x:v>
      </x:c>
    </x:row>
    <x:row r="440" ht="32" customHeight="1">
      <x:c r="A440" s="362" t="str">
        <x:v>K54</x:v>
      </x:c>
      <x:c r="B440" s="362" t="str">
        <x:v>醉红尘</x:v>
      </x:c>
      <x:c r="C440" s="362" t="str">
        <x:v>Cavalry</x:v>
      </x:c>
      <x:c r="D440" s="362" t="str">
        <x:v>Eternal knights</x:v>
      </x:c>
      <x:c r="E440" s="362" t="str">
        <x:v>Heavy Cavalry</x:v>
      </x:c>
      <x:c r="F440" s="362" t="n">
        <x:v>40</x:v>
      </x:c>
      <x:c r="G440" s="362" t="str">
        <x:v>Thunder trample</x:v>
      </x:c>
      <x:c r="H440" s="362" t="str">
        <x:v>Has a certain probability of causing trampling damage</x:v>
      </x:c>
      <x:c r="I440" s="362" t="str">
        <x:v>Unlocked</x:v>
      </x:c>
      <x:c r="J440" s="362" t="str">
        <x:v>01:12.85</x:v>
      </x:c>
      <x:c r="K440" s="362" t="str">
        <x:v>High confidence. Visible 01:12.85-01:13.30; Source frame: work/k54_specs_agent/event_frames_final/E026_73.075_Eternal_knights.jpg</x:v>
      </x:c>
      <x:c r="L440" s="362" t="str">
        <x:v>1000025860.mp4</x:v>
      </x:c>
    </x:row>
    <x:row r="441" ht="32" customHeight="1">
      <x:c r="A441" s="362" t="str">
        <x:v>K54</x:v>
      </x:c>
      <x:c r="B441" s="362" t="str">
        <x:v>醉红尘</x:v>
      </x:c>
      <x:c r="C441" s="362" t="str">
        <x:v>Archers</x:v>
      </x:c>
      <x:c r="D441" s="362" t="str">
        <x:v>Elite bowmen</x:v>
      </x:c>
      <x:c r="E441" s="362" t="str">
        <x:v>Archer</x:v>
      </x:c>
      <x:c r="F441" s="362" t="n">
        <x:v>40</x:v>
      </x:c>
      <x:c r="G441" s="362" t="str">
        <x:v>Frost Arrow</x:v>
      </x:c>
      <x:c r="H441" s="362" t="str">
        <x:v>Has a higher probability of activating ice damage</x:v>
      </x:c>
      <x:c r="I441" s="362" t="str">
        <x:v>Unlocked</x:v>
      </x:c>
      <x:c r="J441" s="362" t="str">
        <x:v>01:13.75</x:v>
      </x:c>
      <x:c r="K441" s="362" t="str">
        <x:v>High confidence. Visible 01:13.75-01:14.05; Source frame: work/k54_specs_agent/event_frames_final/E027_73.900_Elite_bowmen.jpg</x:v>
      </x:c>
      <x:c r="L441" s="362" t="str">
        <x:v>1000025860.mp4</x:v>
      </x:c>
    </x:row>
    <x:row r="442" ht="32" customHeight="1">
      <x:c r="A442" s="362" t="str">
        <x:v>K54</x:v>
      </x:c>
      <x:c r="B442" s="362" t="str">
        <x:v>醉红尘</x:v>
      </x:c>
      <x:c r="C442" s="362" t="str">
        <x:v>Siege</x:v>
      </x:c>
      <x:c r="D442" s="362" t="str">
        <x:v>Manglers</x:v>
      </x:c>
      <x:c r="E442" s="362" t="str">
        <x:v>Siege</x:v>
      </x:c>
      <x:c r="F442" s="362" t="n">
        <x:v>40</x:v>
      </x:c>
      <x:c r="G442" s="362" t="str">
        <x:v>Highly toxic</x:v>
      </x:c>
      <x:c r="H442" s="362" t="str">
        <x:v>Inflict continuous toxic damage</x:v>
      </x:c>
      <x:c r="I442" s="362" t="str">
        <x:v>Unlocked</x:v>
      </x:c>
      <x:c r="J442" s="362" t="str">
        <x:v>01:14.50</x:v>
      </x:c>
      <x:c r="K442" s="362" t="str">
        <x:v>High confidence. Visible 01:14.50-01:14.85; Source frame: work/k54_specs_agent/event_frames_final/E028_74.675_Manglers.jpg</x:v>
      </x:c>
      <x:c r="L442" s="362" t="str">
        <x:v>1000025860.mp4</x:v>
      </x:c>
    </x:row>
    <x:row r="443" ht="32" customHeight="1">
      <x:c r="A443" s="362" t="str">
        <x:v>K54</x:v>
      </x:c>
      <x:c r="B443" s="362" t="str">
        <x:v>醉红尘</x:v>
      </x:c>
      <x:c r="C443" s="362" t="str">
        <x:v>Cavalry</x:v>
      </x:c>
      <x:c r="D443" s="362" t="str">
        <x:v>Storm cavalry</x:v>
      </x:c>
      <x:c r="E443" s="362" t="str">
        <x:v>Horse archer</x:v>
      </x:c>
      <x:c r="F443" s="362" t="n">
        <x:v>34</x:v>
      </x:c>
      <x:c r="G443" s="362" t="str">
        <x:v>Mounted Archery</x:v>
      </x:c>
      <x:c r="H443" s="362" t="str">
        <x:v>Has a certain probability of causing fly-shooting damage</x:v>
      </x:c>
      <x:c r="I443" s="362" t="str">
        <x:v>Unlocked</x:v>
      </x:c>
      <x:c r="J443" s="362" t="str">
        <x:v>01:15.35</x:v>
      </x:c>
      <x:c r="K443" s="362" t="str">
        <x:v>High confidence. Visible 01:15.35-01:15.85; Source frame: work/k54_specs_agent/event_frames_final/E029_75.600_Storm_cavalry.jpg</x:v>
      </x:c>
      <x:c r="L443" s="362" t="str">
        <x:v>1000025860.mp4</x:v>
      </x:c>
    </x:row>
    <x:row r="444" ht="32" customHeight="1">
      <x:c r="A444" s="362" t="str">
        <x:v>K54</x:v>
      </x:c>
      <x:c r="B444" s="362" t="str">
        <x:v>纵横,,,飞哥</x:v>
      </x:c>
      <x:c r="C444" s="362" t="str">
        <x:v>Cavalry</x:v>
      </x:c>
      <x:c r="D444" s="362" t="str">
        <x:v>Eternal knights</x:v>
      </x:c>
      <x:c r="E444" s="362" t="str">
        <x:v>Heavy Cavalry</x:v>
      </x:c>
      <x:c r="F444" s="362" t="n">
        <x:v>40</x:v>
      </x:c>
      <x:c r="G444" s="362" t="str">
        <x:v>Thunder trample</x:v>
      </x:c>
      <x:c r="H444" s="362" t="str">
        <x:v>Has a certain probability of causing trampling damage</x:v>
      </x:c>
      <x:c r="I444" s="362" t="str">
        <x:v>Unlocked</x:v>
      </x:c>
      <x:c r="J444" s="362" t="str">
        <x:v>01:22.50</x:v>
      </x:c>
      <x:c r="K444" s="362" t="str">
        <x:v>High confidence; the three literal comma characters in the displayed player name are preserved exactly. Visible 01:22.50-01:22.95; Source frame: work/k54_specs_agent/event_frames_final/E030_82.725_Eternal_knights.jpg</x:v>
      </x:c>
      <x:c r="L444" s="362" t="str">
        <x:v>1000025860.mp4</x:v>
      </x:c>
    </x:row>
    <x:row r="445" ht="32" customHeight="1">
      <x:c r="A445" s="362" t="str">
        <x:v>K54</x:v>
      </x:c>
      <x:c r="B445" s="362" t="str">
        <x:v>纵横,,,飞哥</x:v>
      </x:c>
      <x:c r="C445" s="362" t="str">
        <x:v>Cavalry</x:v>
      </x:c>
      <x:c r="D445" s="362" t="str">
        <x:v>Storm cavalry</x:v>
      </x:c>
      <x:c r="E445" s="362" t="str">
        <x:v>Horse archer</x:v>
      </x:c>
      <x:c r="F445" s="362" t="n">
        <x:v>41</x:v>
      </x:c>
      <x:c r="G445" s="362" t="str">
        <x:v>Mounted Archery</x:v>
      </x:c>
      <x:c r="H445" s="362" t="str">
        <x:v>Has a certain probability of causing fly-shooting damage</x:v>
      </x:c>
      <x:c r="I445" s="362" t="str">
        <x:v>Unlocked</x:v>
      </x:c>
      <x:c r="J445" s="362" t="str">
        <x:v>01:23.40</x:v>
      </x:c>
      <x:c r="K445" s="362" t="str">
        <x:v>High confidence; the three literal comma characters in the displayed player name are preserved exactly. Visible 01:23.40-01:23.70; Source frame: work/k54_specs_agent/event_frames_final/E031_83.550_Storm_cavalry.jpg</x:v>
      </x:c>
      <x:c r="L445" s="362" t="str">
        <x:v>1000025860.mp4</x:v>
      </x:c>
    </x:row>
    <x:row r="446" ht="32" customHeight="1">
      <x:c r="A446" s="362" t="str">
        <x:v>K54</x:v>
      </x:c>
      <x:c r="B446" s="362" t="str">
        <x:v>纵横,,,金王</x:v>
      </x:c>
      <x:c r="C446" s="362" t="str">
        <x:v>Cavalry</x:v>
      </x:c>
      <x:c r="D446" s="362" t="str">
        <x:v>Eternal knights</x:v>
      </x:c>
      <x:c r="E446" s="362" t="str">
        <x:v>Heavy Cavalry</x:v>
      </x:c>
      <x:c r="F446" s="362" t="n">
        <x:v>46</x:v>
      </x:c>
      <x:c r="G446" s="362" t="str">
        <x:v>Thunder trample</x:v>
      </x:c>
      <x:c r="H446" s="362" t="str">
        <x:v>Has a certain probability of causing trampling damage</x:v>
      </x:c>
      <x:c r="I446" s="362" t="str">
        <x:v>Unlocked</x:v>
      </x:c>
      <x:c r="J446" s="362" t="str">
        <x:v>01:28.80</x:v>
      </x:c>
      <x:c r="K446" s="362" t="str">
        <x:v>High confidence; the three literal comma characters in the displayed player name are preserved exactly. Visible 01:28.80-01:29.20; Source frame: work/k54_specs_agent/event_frames_final/E032_89.000_Eternal_knights.jpg</x:v>
      </x:c>
      <x:c r="L446" s="362" t="str">
        <x:v>1000025860.mp4</x:v>
      </x:c>
    </x:row>
    <x:row r="447" ht="32" customHeight="1">
      <x:c r="A447" s="362" t="str">
        <x:v>K54</x:v>
      </x:c>
      <x:c r="B447" s="362" t="str">
        <x:v>纵横,,,金王</x:v>
      </x:c>
      <x:c r="C447" s="362" t="str">
        <x:v>Archers</x:v>
      </x:c>
      <x:c r="D447" s="362" t="str">
        <x:v>Elite bowmen</x:v>
      </x:c>
      <x:c r="E447" s="362" t="str">
        <x:v>Archer</x:v>
      </x:c>
      <x:c r="F447" s="362" t="n">
        <x:v>45</x:v>
      </x:c>
      <x:c r="G447" s="362" t="str">
        <x:v>Frost Arrow</x:v>
      </x:c>
      <x:c r="H447" s="362" t="str">
        <x:v>Has a higher probability of activating ice damage</x:v>
      </x:c>
      <x:c r="I447" s="362" t="str">
        <x:v>Unlocked</x:v>
      </x:c>
      <x:c r="J447" s="362" t="str">
        <x:v>01:29.55</x:v>
      </x:c>
      <x:c r="K447" s="362" t="str">
        <x:v>High confidence; the three literal comma characters in the displayed player name are preserved exactly. Visible 01:29.55-01:29.95; Source frame: work/k54_specs_agent/event_frames_final/E033_89.750_Elite_bowmen.jpg</x:v>
      </x:c>
      <x:c r="L447" s="362" t="str">
        <x:v>1000025860.mp4</x:v>
      </x:c>
    </x:row>
    <x:row r="448" ht="32" customHeight="1">
      <x:c r="A448" s="362" t="str">
        <x:v>K54</x:v>
      </x:c>
      <x:c r="B448" s="362" t="str">
        <x:v>纵横,,,金王</x:v>
      </x:c>
      <x:c r="C448" s="362" t="str">
        <x:v>Siege</x:v>
      </x:c>
      <x:c r="D448" s="362" t="str">
        <x:v>Manglers</x:v>
      </x:c>
      <x:c r="E448" s="362" t="str">
        <x:v>Siege</x:v>
      </x:c>
      <x:c r="F448" s="362" t="n">
        <x:v>30</x:v>
      </x:c>
      <x:c r="G448" s="362" t="str">
        <x:v>Highly toxic</x:v>
      </x:c>
      <x:c r="H448" s="362" t="str">
        <x:v>Inflict continuous toxic damage</x:v>
      </x:c>
      <x:c r="I448" s="362" t="str">
        <x:v>Unlocked</x:v>
      </x:c>
      <x:c r="J448" s="362" t="str">
        <x:v>01:30.40</x:v>
      </x:c>
      <x:c r="K448" s="362" t="str">
        <x:v>High confidence; the three literal comma characters in the displayed player name are preserved exactly. Visible 01:30.40-01:30.85; Source frame: work/k54_specs_agent/event_frames_final/E034_90.625_Manglers.jpg</x:v>
      </x:c>
      <x:c r="L448" s="362" t="str">
        <x:v>1000025860.mp4</x:v>
      </x:c>
    </x:row>
    <x:row r="449" ht="32" customHeight="1">
      <x:c r="A449" s="362" t="str">
        <x:v>K54</x:v>
      </x:c>
      <x:c r="B449" s="362" t="str">
        <x:v>纵横,,,金王</x:v>
      </x:c>
      <x:c r="C449" s="362" t="str">
        <x:v>Cavalry</x:v>
      </x:c>
      <x:c r="D449" s="362" t="str">
        <x:v>Storm cavalry</x:v>
      </x:c>
      <x:c r="E449" s="362" t="str">
        <x:v>Horse archer</x:v>
      </x:c>
      <x:c r="F449" s="362" t="n">
        <x:v>45</x:v>
      </x:c>
      <x:c r="G449" s="362" t="str">
        <x:v>Mounted Archery</x:v>
      </x:c>
      <x:c r="H449" s="362" t="str">
        <x:v>Has a certain probability of causing fly-shooting damage</x:v>
      </x:c>
      <x:c r="I449" s="362" t="str">
        <x:v>Unlocked</x:v>
      </x:c>
      <x:c r="J449" s="362" t="str">
        <x:v>01:31.25</x:v>
      </x:c>
      <x:c r="K449" s="362" t="str">
        <x:v>High confidence; the three literal comma characters in the displayed player name are preserved exactly. Visible 01:31.25-01:31.65; Source frame: work/k54_specs_agent/event_frames_final/E035_91.450_Storm_cavalry.jpg</x:v>
      </x:c>
      <x:c r="L449" s="362" t="str">
        <x:v>1000025860.mp4</x:v>
      </x:c>
    </x:row>
    <x:row r="450" ht="32" customHeight="1">
      <x:c r="A450" s="362" t="str">
        <x:v>K54</x:v>
      </x:c>
      <x:c r="B450" s="362" t="str">
        <x:v>奕星的殺猪盤</x:v>
      </x:c>
      <x:c r="C450" s="362" t="str">
        <x:v>Cavalry</x:v>
      </x:c>
      <x:c r="D450" s="362" t="str">
        <x:v>Eternal knights</x:v>
      </x:c>
      <x:c r="E450" s="362" t="str">
        <x:v>Heavy Cavalry</x:v>
      </x:c>
      <x:c r="F450" s="362" t="n">
        <x:v>45</x:v>
      </x:c>
      <x:c r="G450" s="362" t="str">
        <x:v>Thunder trample</x:v>
      </x:c>
      <x:c r="H450" s="362" t="str">
        <x:v>Has a certain probability of causing trampling damage</x:v>
      </x:c>
      <x:c r="I450" s="362" t="str">
        <x:v>Unlocked</x:v>
      </x:c>
      <x:c r="J450" s="362" t="str">
        <x:v>01:40.75</x:v>
      </x:c>
      <x:c r="K450" s="362" t="str">
        <x:v>High confidence after 3× crop audit of the mixed traditional-Chinese player name. Visible 01:40.75-01:41.25; Source frame: work/k54_specs_agent/event_frames_final/E036_101.000_Eternal_knights.jpg</x:v>
      </x:c>
      <x:c r="L450" s="362" t="str">
        <x:v>1000025860.mp4</x:v>
      </x:c>
    </x:row>
    <x:row r="451" ht="32" customHeight="1">
      <x:c r="A451" s="362" t="str">
        <x:v>K54</x:v>
      </x:c>
      <x:c r="B451" s="362" t="str">
        <x:v>奕星的殺猪盤</x:v>
      </x:c>
      <x:c r="C451" s="362" t="str">
        <x:v>Cavalry</x:v>
      </x:c>
      <x:c r="D451" s="362" t="str">
        <x:v>Storm cavalry</x:v>
      </x:c>
      <x:c r="E451" s="362" t="str">
        <x:v>Horse archer</x:v>
      </x:c>
      <x:c r="F451" s="362" t="n">
        <x:v>45</x:v>
      </x:c>
      <x:c r="G451" s="362" t="str">
        <x:v>Mounted Archery</x:v>
      </x:c>
      <x:c r="H451" s="362" t="str">
        <x:v>Has a certain probability of causing fly-shooting damage</x:v>
      </x:c>
      <x:c r="I451" s="362" t="str">
        <x:v>Unlocked</x:v>
      </x:c>
      <x:c r="J451" s="362" t="str">
        <x:v>01:41.70</x:v>
      </x:c>
      <x:c r="K451" s="362" t="str">
        <x:v>High confidence after 3× crop audit of the mixed traditional-Chinese player name. Visible 01:41.70-01:42.05; Source frame: work/k54_specs_agent/event_frames_final/E037_101.875_Storm_cavalry.jpg</x:v>
      </x:c>
      <x:c r="L451" s="362" t="str">
        <x:v>1000025860.mp4</x:v>
      </x:c>
    </x:row>
    <x:row r="452" ht="32" customHeight="1">
      <x:c r="A452" s="362" t="str">
        <x:v>K54</x:v>
      </x:c>
      <x:c r="B452" s="362" t="str">
        <x:v>纵横,,,离火</x:v>
      </x:c>
      <x:c r="C452" s="362" t="str">
        <x:v>Cavalry</x:v>
      </x:c>
      <x:c r="D452" s="362" t="str">
        <x:v>Eternal knights</x:v>
      </x:c>
      <x:c r="E452" s="362" t="str">
        <x:v>Heavy Cavalry</x:v>
      </x:c>
      <x:c r="F452" s="362" t="n">
        <x:v>45</x:v>
      </x:c>
      <x:c r="G452" s="362" t="str">
        <x:v>Thunder trample</x:v>
      </x:c>
      <x:c r="H452" s="362" t="str">
        <x:v>Has a certain probability of causing trampling damage</x:v>
      </x:c>
      <x:c r="I452" s="362" t="str">
        <x:v>Unlocked</x:v>
      </x:c>
      <x:c r="J452" s="362" t="str">
        <x:v>01:47.55</x:v>
      </x:c>
      <x:c r="K452" s="362" t="str">
        <x:v>High confidence; the three literal comma characters in the displayed player name are preserved exactly. Visible 01:47.55-01:48.05; Source frame: work/k54_specs_agent/event_frames_final/E038_107.800_Eternal_knights.jpg</x:v>
      </x:c>
      <x:c r="L452" s="362" t="str">
        <x:v>1000025860.mp4</x:v>
      </x:c>
    </x:row>
    <x:row r="453" ht="32" customHeight="1">
      <x:c r="A453" s="362" t="str">
        <x:v>K54</x:v>
      </x:c>
      <x:c r="B453" s="362" t="str">
        <x:v>纵横,,,离火</x:v>
      </x:c>
      <x:c r="C453" s="362" t="str">
        <x:v>Archers</x:v>
      </x:c>
      <x:c r="D453" s="362" t="str">
        <x:v>Elite bowmen</x:v>
      </x:c>
      <x:c r="E453" s="362" t="str">
        <x:v>Archer</x:v>
      </x:c>
      <x:c r="F453" s="362" t="n">
        <x:v>43</x:v>
      </x:c>
      <x:c r="G453" s="362" t="str">
        <x:v>Frost Arrow</x:v>
      </x:c>
      <x:c r="H453" s="362" t="str">
        <x:v>Has a higher probability of activating ice damage</x:v>
      </x:c>
      <x:c r="I453" s="362" t="str">
        <x:v>Unlocked</x:v>
      </x:c>
      <x:c r="J453" s="362" t="str">
        <x:v>01:48.45</x:v>
      </x:c>
      <x:c r="K453" s="362" t="str">
        <x:v>High confidence; the three literal comma characters in the displayed player name are preserved exactly. Visible 01:48.45-01:48.90; Source frame: work/k54_specs_agent/event_frames_final/E039_108.675_Elite_bowmen.jpg</x:v>
      </x:c>
      <x:c r="L453" s="362" t="str">
        <x:v>1000025860.mp4</x:v>
      </x:c>
    </x:row>
    <x:row r="454" ht="32" customHeight="1">
      <x:c r="A454" s="362" t="str">
        <x:v>K54</x:v>
      </x:c>
      <x:c r="B454" s="362" t="str">
        <x:v>纵横,,,离火</x:v>
      </x:c>
      <x:c r="C454" s="362" t="str">
        <x:v>Siege</x:v>
      </x:c>
      <x:c r="D454" s="362" t="str">
        <x:v>Manglers</x:v>
      </x:c>
      <x:c r="E454" s="362" t="str">
        <x:v>Siege</x:v>
      </x:c>
      <x:c r="F454" s="362" t="n">
        <x:v>41</x:v>
      </x:c>
      <x:c r="G454" s="362" t="str">
        <x:v>Highly toxic</x:v>
      </x:c>
      <x:c r="H454" s="362" t="str">
        <x:v>Inflict continuous toxic damage</x:v>
      </x:c>
      <x:c r="I454" s="362" t="str">
        <x:v>Unlocked</x:v>
      </x:c>
      <x:c r="J454" s="362" t="str">
        <x:v>01:49.30</x:v>
      </x:c>
      <x:c r="K454" s="362" t="str">
        <x:v>High confidence; the three literal comma characters in the displayed player name are preserved exactly. Visible 01:49.30-01:49.70; Source frame: work/k54_specs_agent/event_frames_final/E040_109.500_Manglers.jpg</x:v>
      </x:c>
      <x:c r="L454" s="362" t="str">
        <x:v>1000025860.mp4</x:v>
      </x:c>
    </x:row>
    <x:row r="455" ht="32" customHeight="1">
      <x:c r="A455" s="362" t="str">
        <x:v>K54</x:v>
      </x:c>
      <x:c r="B455" s="362" t="str">
        <x:v>纵横,,,离火</x:v>
      </x:c>
      <x:c r="C455" s="362" t="str">
        <x:v>Cavalry</x:v>
      </x:c>
      <x:c r="D455" s="362" t="str">
        <x:v>Storm cavalry</x:v>
      </x:c>
      <x:c r="E455" s="362" t="str">
        <x:v>Horse archer</x:v>
      </x:c>
      <x:c r="F455" s="362" t="n">
        <x:v>43</x:v>
      </x:c>
      <x:c r="G455" s="362" t="str">
        <x:v>Mounted Archery</x:v>
      </x:c>
      <x:c r="H455" s="362" t="str">
        <x:v>Has a certain probability of causing fly-shooting damage</x:v>
      </x:c>
      <x:c r="I455" s="362" t="str">
        <x:v>Unlocked</x:v>
      </x:c>
      <x:c r="J455" s="362" t="str">
        <x:v>01:50.15</x:v>
      </x:c>
      <x:c r="K455" s="362" t="str">
        <x:v>High confidence; the three literal comma characters in the displayed player name are preserved exactly. Visible 01:50.15-01:50.50; Source frame: work/k54_specs_agent/event_frames_final/E041_110.325_Storm_cavalry.jpg</x:v>
      </x:c>
      <x:c r="L455" s="362" t="str">
        <x:v>1000025860.mp4</x:v>
      </x:c>
    </x:row>
    <x:row r="456" ht="32" customHeight="1">
      <x:c r="A456" s="362" t="str">
        <x:v>K54</x:v>
      </x:c>
      <x:c r="B456" s="362" t="str">
        <x:v>纵横,,,离火</x:v>
      </x:c>
      <x:c r="C456" s="362" t="str">
        <x:v>Siege</x:v>
      </x:c>
      <x:c r="D456" s="362" t="str">
        <x:v>End siege</x:v>
      </x:c>
      <x:c r="E456" s="362" t="str">
        <x:v>Siege</x:v>
      </x:c>
      <x:c r="F456" s="362" t="n">
        <x:v>41</x:v>
      </x:c>
      <x:c r="G456" s="362" t="str">
        <x:v>Highly toxic</x:v>
      </x:c>
      <x:c r="H456" s="362" t="str">
        <x:v>Inflict continuous toxic damage</x:v>
      </x:c>
      <x:c r="I456" s="362" t="str">
        <x:v>Unlocked</x:v>
      </x:c>
      <x:c r="J456" s="362" t="str">
        <x:v>01:50.95</x:v>
      </x:c>
      <x:c r="K456" s="362" t="str">
        <x:v>High confidence; the three literal comma characters in the displayed player name are preserved exactly. Visible 01:50.95-01:51.25; Source frame: work/k54_specs_agent/event_frames_final/E042_111.100_End_siege.jpg</x:v>
      </x:c>
      <x:c r="L456" s="362" t="str">
        <x:v>1000025860.mp4</x:v>
      </x:c>
    </x:row>
    <x:row r="457" ht="32" customHeight="1">
      <x:c r="A457" s="362" t="str">
        <x:v>K54</x:v>
      </x:c>
      <x:c r="B457" s="362" t="str">
        <x:v>ony</x:v>
      </x:c>
      <x:c r="C457" s="362" t="str">
        <x:v>Cavalry</x:v>
      </x:c>
      <x:c r="D457" s="362" t="str">
        <x:v>Eternal knights</x:v>
      </x:c>
      <x:c r="E457" s="362" t="str">
        <x:v>Heavy Cavalry</x:v>
      </x:c>
      <x:c r="F457" s="362" t="n">
        <x:v>49</x:v>
      </x:c>
      <x:c r="G457" s="362" t="str">
        <x:v>Thunder trample</x:v>
      </x:c>
      <x:c r="H457" s="362" t="str">
        <x:v>Has a certain probability of causing trampling damage</x:v>
      </x:c>
      <x:c r="I457" s="362" t="str">
        <x:v>Unlocked</x:v>
      </x:c>
      <x:c r="J457" s="362" t="str">
        <x:v>01:56.35</x:v>
      </x:c>
      <x:c r="K457" s="362" t="str">
        <x:v>High confidence; both the battle list and Troop Attribute screen show '(Fer)ony' with no leading f. Visible 01:56.35-01:56.75; Source frame: work/k54_specs_agent/event_frames_final/E043_116.550_Eternal_knights.jpg</x:v>
      </x:c>
      <x:c r="L457" s="362" t="str">
        <x:v>1000025860.mp4</x:v>
      </x:c>
    </x:row>
    <x:row r="458" ht="32" customHeight="1">
      <x:c r="A458" s="362" t="str">
        <x:v>K54</x:v>
      </x:c>
      <x:c r="B458" s="362" t="str">
        <x:v>ony</x:v>
      </x:c>
      <x:c r="C458" s="362" t="str">
        <x:v>Archers</x:v>
      </x:c>
      <x:c r="D458" s="362" t="str">
        <x:v>Elite bowmen</x:v>
      </x:c>
      <x:c r="E458" s="362" t="str">
        <x:v>Archer</x:v>
      </x:c>
      <x:c r="F458" s="362" t="n">
        <x:v>43</x:v>
      </x:c>
      <x:c r="G458" s="362" t="str">
        <x:v>Frost Arrow</x:v>
      </x:c>
      <x:c r="H458" s="362" t="str">
        <x:v>Has a higher probability of activating ice damage</x:v>
      </x:c>
      <x:c r="I458" s="362" t="str">
        <x:v>Unlocked</x:v>
      </x:c>
      <x:c r="J458" s="362" t="str">
        <x:v>01:57.15</x:v>
      </x:c>
      <x:c r="K458" s="362" t="str">
        <x:v>High confidence; both the battle list and Troop Attribute screen show '(Fer)ony' with no leading f. Visible 01:57.15-01:57.50; Source frame: work/k54_specs_agent/event_frames_final/E044_117.325_Elite_bowmen.jpg</x:v>
      </x:c>
      <x:c r="L458" s="362" t="str">
        <x:v>1000025860.mp4</x:v>
      </x:c>
    </x:row>
    <x:row r="459" ht="32" customHeight="1">
      <x:c r="A459" s="362" t="str">
        <x:v>K54</x:v>
      </x:c>
      <x:c r="B459" s="362" t="str">
        <x:v>ony</x:v>
      </x:c>
      <x:c r="C459" s="362" t="str">
        <x:v>Siege</x:v>
      </x:c>
      <x:c r="D459" s="362" t="str">
        <x:v>Manglers</x:v>
      </x:c>
      <x:c r="E459" s="362" t="str">
        <x:v>Siege</x:v>
      </x:c>
      <x:c r="F459" s="362" t="n">
        <x:v>44</x:v>
      </x:c>
      <x:c r="G459" s="362" t="str">
        <x:v>Highly toxic</x:v>
      </x:c>
      <x:c r="H459" s="362" t="str">
        <x:v>Inflict continuous toxic damage</x:v>
      </x:c>
      <x:c r="I459" s="362" t="str">
        <x:v>Unlocked</x:v>
      </x:c>
      <x:c r="J459" s="362" t="str">
        <x:v>01:57.95</x:v>
      </x:c>
      <x:c r="K459" s="362" t="str">
        <x:v>High confidence; both the battle list and Troop Attribute screen show '(Fer)ony' with no leading f. Visible 01:57.95-01:58.25; Source frame: work/k54_specs_agent/event_frames_final/E045_118.100_Manglers.jpg</x:v>
      </x:c>
      <x:c r="L459" s="362" t="str">
        <x:v>1000025860.mp4</x:v>
      </x:c>
    </x:row>
    <x:row r="460" ht="32" customHeight="1">
      <x:c r="A460" s="362" t="str">
        <x:v>K54</x:v>
      </x:c>
      <x:c r="B460" s="362" t="str">
        <x:v>ony</x:v>
      </x:c>
      <x:c r="C460" s="362" t="str">
        <x:v>Cavalry</x:v>
      </x:c>
      <x:c r="D460" s="362" t="str">
        <x:v>Storm cavalry</x:v>
      </x:c>
      <x:c r="E460" s="362" t="str">
        <x:v>Horse archer</x:v>
      </x:c>
      <x:c r="F460" s="362" t="n">
        <x:v>48</x:v>
      </x:c>
      <x:c r="G460" s="362" t="str">
        <x:v>Mounted Archery</x:v>
      </x:c>
      <x:c r="H460" s="362" t="str">
        <x:v>Has a certain probability of causing fly-shooting damage</x:v>
      </x:c>
      <x:c r="I460" s="362" t="str">
        <x:v>Unlocked</x:v>
      </x:c>
      <x:c r="J460" s="362" t="str">
        <x:v>01:58.70</x:v>
      </x:c>
      <x:c r="K460" s="362" t="str">
        <x:v>High confidence; both the battle list and Troop Attribute screen show '(Fer)ony' with no leading f. Visible 01:58.70-01:59.05; Source frame: work/k54_specs_agent/event_frames_final/E046_118.875_Storm_cavalry.jpg</x:v>
      </x:c>
      <x:c r="L460" s="362" t="str">
        <x:v>1000025860.mp4</x:v>
      </x:c>
    </x:row>
    <x:row r="461" ht="32" customHeight="1">
      <x:c r="A461" s="362" t="str">
        <x:v>K197</x:v>
      </x:c>
      <x:c r="B461" s="362" t="str">
        <x:v>Хлебушек</x:v>
      </x:c>
      <x:c r="C461" s="362" t="str">
        <x:v>Guards</x:v>
      </x:c>
      <x:c r="D461" s="362" t="str">
        <x:v>Destroyers</x:v>
      </x:c>
      <x:c r="E461" s="362" t="str">
        <x:v>Guard</x:v>
      </x:c>
      <x:c r="F461" s="362" t="n">
        <x:v>50</x:v>
      </x:c>
      <x:c r="G461" s="362" t="str">
        <x:v>Parry</x:v>
      </x:c>
      <x:c r="H461" s="362" t="str">
        <x:v>Provides a parry effect and a certain probability to increase damage</x:v>
      </x:c>
      <x:c r="I461" s="362" t="str">
        <x:v>Unlocked</x:v>
      </x:c>
      <x:c r="J461" s="362" t="str">
        <x:v>00:02.40</x:v>
      </x:c>
      <x:c r="K461" s="362" t="str">
        <x:v>E001; Tier: T10; Visible: 00:01.60-00:03.25; High confidence.; Source frame: representative/E001_2.400.jpg</x:v>
      </x:c>
      <x:c r="L461" s="362" t="str">
        <x:v>1000025871.mp4</x:v>
      </x:c>
    </x:row>
    <x:row r="462" ht="32" customHeight="1">
      <x:c r="A462" s="362" t="str">
        <x:v>K197</x:v>
      </x:c>
      <x:c r="B462" s="362" t="str">
        <x:v>Хлебушек</x:v>
      </x:c>
      <x:c r="C462" s="362" t="str">
        <x:v>Cavalry</x:v>
      </x:c>
      <x:c r="D462" s="362" t="str">
        <x:v>Eternal knights</x:v>
      </x:c>
      <x:c r="E462" s="362" t="str">
        <x:v>Heavy Cavalry</x:v>
      </x:c>
      <x:c r="F462" s="362" t="n">
        <x:v>50</x:v>
      </x:c>
      <x:c r="G462" s="362" t="str">
        <x:v>Thunder trample</x:v>
      </x:c>
      <x:c r="H462" s="362" t="str">
        <x:v>Has a certain probability of causing trampling damage</x:v>
      </x:c>
      <x:c r="I462" s="362" t="str">
        <x:v>Unlocked</x:v>
      </x:c>
      <x:c r="J462" s="362" t="str">
        <x:v>00:04.40</x:v>
      </x:c>
      <x:c r="K462" s="362" t="str">
        <x:v>E002; Tier: T10; Visible: 00:03.60-00:05.20; High confidence.; Source frame: representative/E002_4.400.jpg</x:v>
      </x:c>
      <x:c r="L462" s="362" t="str">
        <x:v>1000025871.mp4</x:v>
      </x:c>
    </x:row>
    <x:row r="463" ht="32" customHeight="1">
      <x:c r="A463" s="362" t="str">
        <x:v>K197</x:v>
      </x:c>
      <x:c r="B463" s="362" t="str">
        <x:v>Хлебушек</x:v>
      </x:c>
      <x:c r="C463" s="362" t="str">
        <x:v>Archers</x:v>
      </x:c>
      <x:c r="D463" s="362" t="str">
        <x:v>Elite bowmen</x:v>
      </x:c>
      <x:c r="E463" s="362" t="str">
        <x:v>Archer</x:v>
      </x:c>
      <x:c r="F463" s="362" t="n">
        <x:v>50</x:v>
      </x:c>
      <x:c r="G463" s="362" t="str">
        <x:v>Frost Arrow</x:v>
      </x:c>
      <x:c r="H463" s="362" t="str">
        <x:v>Has a higher probability of activating ice damage</x:v>
      </x:c>
      <x:c r="I463" s="362" t="str">
        <x:v>Unlocked</x:v>
      </x:c>
      <x:c r="J463" s="362" t="str">
        <x:v>00:06.15</x:v>
      </x:c>
      <x:c r="K463" s="362" t="str">
        <x:v>E003; Tier: T10; Visible: 00:05.90-00:06.45; High confidence.; Source frame: representative/E003_6.150.jpg</x:v>
      </x:c>
      <x:c r="L463" s="362" t="str">
        <x:v>1000025871.mp4</x:v>
      </x:c>
    </x:row>
    <x:row r="464" ht="32" customHeight="1">
      <x:c r="A464" s="362" t="str">
        <x:v>K197</x:v>
      </x:c>
      <x:c r="B464" s="362" t="str">
        <x:v>Хлебушек</x:v>
      </x:c>
      <x:c r="C464" s="362" t="str">
        <x:v>Siege</x:v>
      </x:c>
      <x:c r="D464" s="362" t="str">
        <x:v>Manglers</x:v>
      </x:c>
      <x:c r="E464" s="362" t="str">
        <x:v>Siege</x:v>
      </x:c>
      <x:c r="F464" s="362" t="n">
        <x:v>50</x:v>
      </x:c>
      <x:c r="G464" s="362" t="str">
        <x:v>Highly toxic</x:v>
      </x:c>
      <x:c r="H464" s="362" t="str">
        <x:v>Inflict continuous toxic damage</x:v>
      </x:c>
      <x:c r="I464" s="362" t="str">
        <x:v>Unlocked</x:v>
      </x:c>
      <x:c r="J464" s="362" t="str">
        <x:v>00:07.45</x:v>
      </x:c>
      <x:c r="K464" s="362" t="str">
        <x:v>E004; Tier: T10; Visible: 00:07.20-00:07.70; High confidence.; Source frame: representative/E004_7.450.jpg</x:v>
      </x:c>
      <x:c r="L464" s="362" t="str">
        <x:v>1000025871.mp4</x:v>
      </x:c>
    </x:row>
    <x:row r="465" ht="32" customHeight="1">
      <x:c r="A465" s="362" t="str">
        <x:v>K197</x:v>
      </x:c>
      <x:c r="B465" s="362" t="str">
        <x:v>Хлебушек</x:v>
      </x:c>
      <x:c r="C465" s="362" t="str">
        <x:v>Cavalry</x:v>
      </x:c>
      <x:c r="D465" s="362" t="str">
        <x:v>Storm cavalry</x:v>
      </x:c>
      <x:c r="E465" s="362" t="str">
        <x:v>Horse archer</x:v>
      </x:c>
      <x:c r="F465" s="362" t="n">
        <x:v>50</x:v>
      </x:c>
      <x:c r="G465" s="362" t="str">
        <x:v>Mounted Archery</x:v>
      </x:c>
      <x:c r="H465" s="362" t="str">
        <x:v>Has a certain probability of causing fly-shooting damage</x:v>
      </x:c>
      <x:c r="I465" s="362" t="str">
        <x:v>Unlocked</x:v>
      </x:c>
      <x:c r="J465" s="362" t="str">
        <x:v>00:08.70</x:v>
      </x:c>
      <x:c r="K465" s="362" t="str">
        <x:v>E005; Tier: T9; Visible: 00:08.55-00:09.00; High confidence.; Source frame: representative/E005_8.700.jpg</x:v>
      </x:c>
      <x:c r="L465" s="362" t="str">
        <x:v>1000025871.mp4</x:v>
      </x:c>
    </x:row>
    <x:row r="466" ht="32" customHeight="1">
      <x:c r="A466" s="362" t="str">
        <x:v>K197</x:v>
      </x:c>
      <x:c r="B466" s="362" t="str">
        <x:v>Хлебушек</x:v>
      </x:c>
      <x:c r="C466" s="362" t="str">
        <x:v>Archers</x:v>
      </x:c>
      <x:c r="D466" s="362" t="str">
        <x:v>Elite</x:v>
      </x:c>
      <x:c r="E466" s="362" t="str">
        <x:v>Crossbowmen</x:v>
      </x:c>
      <x:c r="F466" s="362" t="n">
        <x:v>50</x:v>
      </x:c>
      <x:c r="G466" s="362" t="str">
        <x:v>Focus</x:v>
      </x:c>
      <x:c r="H466" s="362" t="str">
        <x:v>Has a higher probability of providing focus damage</x:v>
      </x:c>
      <x:c r="I466" s="362" t="str">
        <x:v>Unlocked</x:v>
      </x:c>
      <x:c r="J466" s="362" t="str">
        <x:v>00:10.00</x:v>
      </x:c>
      <x:c r="K466" s="362" t="str">
        <x:v>E006; Tier: T9; Visible: 00:09.80-00:10.30; High confidence. The tooltip title visibly reads only 'Elite'; the Crossbowmen subtype is stated in the same tooltip's descriptive text and confirmed by its T9 troop row.; Source frame: representative/E006_10.000.jpg</x:v>
      </x:c>
      <x:c r="L466" s="362" t="str">
        <x:v>1000025871.mp4</x:v>
      </x:c>
    </x:row>
    <x:row r="467" ht="32" customHeight="1">
      <x:c r="A467" s="362" t="str">
        <x:v>K197</x:v>
      </x:c>
      <x:c r="B467" s="362" t="str">
        <x:v>Хлебушек</x:v>
      </x:c>
      <x:c r="C467" s="362" t="str">
        <x:v>Archers</x:v>
      </x:c>
      <x:c r="D467" s="362" t="str">
        <x:v>Marksmen</x:v>
      </x:c>
      <x:c r="E467" s="362" t="str">
        <x:v>Archer</x:v>
      </x:c>
      <x:c r="F467" s="362" t="n">
        <x:v>50</x:v>
      </x:c>
      <x:c r="G467" s="362" t="str">
        <x:v>Frost Arrow</x:v>
      </x:c>
      <x:c r="H467" s="362" t="str">
        <x:v>Has a higher probability of activating ice damage</x:v>
      </x:c>
      <x:c r="I467" s="362" t="str">
        <x:v>Unlocked</x:v>
      </x:c>
      <x:c r="J467" s="362" t="str">
        <x:v>00:11.50</x:v>
      </x:c>
      <x:c r="K467" s="362" t="str">
        <x:v>E007; Tier: T8; Visible: 00:11.25-00:11.75; High confidence.; Source frame: representative/E007_11.500.jpg</x:v>
      </x:c>
      <x:c r="L467" s="362" t="str">
        <x:v>1000025871.mp4</x:v>
      </x:c>
    </x:row>
    <x:row r="468" ht="32" customHeight="1">
      <x:c r="A468" s="362" t="str">
        <x:v>K197</x:v>
      </x:c>
      <x:c r="B468" s="362" t="str">
        <x:v>Хлебушек</x:v>
      </x:c>
      <x:c r="C468" s="362" t="str">
        <x:v>Siege</x:v>
      </x:c>
      <x:c r="D468" s="362" t="str">
        <x:v>End siege</x:v>
      </x:c>
      <x:c r="E468" s="362" t="str">
        <x:v>Siege</x:v>
      </x:c>
      <x:c r="F468" s="362" t="n">
        <x:v>50</x:v>
      </x:c>
      <x:c r="G468" s="362" t="str">
        <x:v>Highly toxic</x:v>
      </x:c>
      <x:c r="H468" s="362" t="str">
        <x:v>Inflict continuous toxic damage</x:v>
      </x:c>
      <x:c r="I468" s="362" t="str">
        <x:v>Unlocked</x:v>
      </x:c>
      <x:c r="J468" s="362" t="str">
        <x:v>00:12.60</x:v>
      </x:c>
      <x:c r="K468" s="362" t="str">
        <x:v>E008; Tier: T8; Visible: 00:12.40-00:12.85; High confidence.; Source frame: representative/E008_12.600.jpg</x:v>
      </x:c>
      <x:c r="L468" s="362" t="str">
        <x:v>1000025871.mp4</x:v>
      </x:c>
    </x:row>
    <x:row r="469" ht="32" customHeight="1">
      <x:c r="A469" s="362" t="str">
        <x:v>K197</x:v>
      </x:c>
      <x:c r="B469" s="362" t="str">
        <x:v>Zakmil23139</x:v>
      </x:c>
      <x:c r="C469" s="362" t="str">
        <x:v>Cavalry</x:v>
      </x:c>
      <x:c r="D469" s="362" t="str">
        <x:v>Eternal knights</x:v>
      </x:c>
      <x:c r="E469" s="362" t="str">
        <x:v>Heavy Cavalry</x:v>
      </x:c>
      <x:c r="F469" s="362" t="n">
        <x:v>46</x:v>
      </x:c>
      <x:c r="G469" s="362" t="str">
        <x:v>Thunder trample</x:v>
      </x:c>
      <x:c r="H469" s="362" t="str">
        <x:v>Has a certain probability of causing trampling damage</x:v>
      </x:c>
      <x:c r="I469" s="362" t="str">
        <x:v>Unlocked</x:v>
      </x:c>
      <x:c r="J469" s="362" t="str">
        <x:v>00:22.30</x:v>
      </x:c>
      <x:c r="K469" s="362" t="str">
        <x:v>E009; Tier: T10; Visible: 00:21.90-00:22.75; High confidence.; Source frame: representative/E009_22.300.jpg</x:v>
      </x:c>
      <x:c r="L469" s="362" t="str">
        <x:v>1000025871.mp4</x:v>
      </x:c>
    </x:row>
    <x:row r="470" ht="32" customHeight="1">
      <x:c r="A470" s="362" t="str">
        <x:v>K197</x:v>
      </x:c>
      <x:c r="B470" s="362" t="str">
        <x:v>Zakmil23139</x:v>
      </x:c>
      <x:c r="C470" s="362" t="str">
        <x:v>Archers</x:v>
      </x:c>
      <x:c r="D470" s="362" t="str">
        <x:v>Elite bowmen</x:v>
      </x:c>
      <x:c r="E470" s="362" t="str">
        <x:v>Archer</x:v>
      </x:c>
      <x:c r="F470" s="362" t="n">
        <x:v>50</x:v>
      </x:c>
      <x:c r="G470" s="362" t="str">
        <x:v>Frost Arrow</x:v>
      </x:c>
      <x:c r="H470" s="362" t="str">
        <x:v>Has a higher probability of activating ice damage</x:v>
      </x:c>
      <x:c r="I470" s="362" t="str">
        <x:v>Unlocked</x:v>
      </x:c>
      <x:c r="J470" s="362" t="str">
        <x:v>00:23.45</x:v>
      </x:c>
      <x:c r="K470" s="362" t="str">
        <x:v>E010; Tier: T10; Visible: 00:23.05-00:23.85; High confidence.; Source frame: representative/E010_23.450.jpg</x:v>
      </x:c>
      <x:c r="L470" s="362" t="str">
        <x:v>1000025871.mp4</x:v>
      </x:c>
    </x:row>
    <x:row r="471" ht="32" customHeight="1">
      <x:c r="A471" s="362" t="str">
        <x:v>K197</x:v>
      </x:c>
      <x:c r="B471" s="362" t="str">
        <x:v>Zakmil23139</x:v>
      </x:c>
      <x:c r="C471" s="362" t="str">
        <x:v>Siege</x:v>
      </x:c>
      <x:c r="D471" s="362" t="str">
        <x:v>Manglers</x:v>
      </x:c>
      <x:c r="E471" s="362" t="str">
        <x:v>Siege</x:v>
      </x:c>
      <x:c r="F471" s="362" t="n">
        <x:v>37</x:v>
      </x:c>
      <x:c r="G471" s="362" t="str">
        <x:v>Highly toxic</x:v>
      </x:c>
      <x:c r="H471" s="362" t="str">
        <x:v>Inflict continuous toxic damage</x:v>
      </x:c>
      <x:c r="I471" s="362" t="str">
        <x:v>Unlocked</x:v>
      </x:c>
      <x:c r="J471" s="362" t="str">
        <x:v>00:24.45</x:v>
      </x:c>
      <x:c r="K471" s="362" t="str">
        <x:v>E011; Tier: T10; Visible: 00:24.25-00:24.75; High confidence.; Source frame: representative/E011_24.450.jpg</x:v>
      </x:c>
      <x:c r="L471" s="362" t="str">
        <x:v>1000025871.mp4</x:v>
      </x:c>
    </x:row>
    <x:row r="472" ht="32" customHeight="1">
      <x:c r="A472" s="362" t="str">
        <x:v>K197</x:v>
      </x:c>
      <x:c r="B472" s="362" t="str">
        <x:v>NightFury</x:v>
      </x:c>
      <x:c r="C472" s="362" t="str">
        <x:v>Guards</x:v>
      </x:c>
      <x:c r="D472" s="362" t="str">
        <x:v>Destroyers</x:v>
      </x:c>
      <x:c r="E472" s="362" t="str">
        <x:v>Guard</x:v>
      </x:c>
      <x:c r="F472" s="362" t="n">
        <x:v>34</x:v>
      </x:c>
      <x:c r="G472" s="362" t="str">
        <x:v>Parry</x:v>
      </x:c>
      <x:c r="H472" s="362" t="str">
        <x:v>Provides a parry effect and a certain probability to increase damage</x:v>
      </x:c>
      <x:c r="I472" s="362" t="str">
        <x:v>Unlocked</x:v>
      </x:c>
      <x:c r="J472" s="362" t="str">
        <x:v>00:31.10</x:v>
      </x:c>
      <x:c r="K472" s="362" t="str">
        <x:v>E012; Tier: T10; Visible: 00:30.70-00:31.60; High confidence.; Source frame: representative/E012_31.100.jpg</x:v>
      </x:c>
      <x:c r="L472" s="362" t="str">
        <x:v>1000025871.mp4</x:v>
      </x:c>
    </x:row>
    <x:row r="473" ht="32" customHeight="1">
      <x:c r="A473" s="362" t="str">
        <x:v>K197</x:v>
      </x:c>
      <x:c r="B473" s="362" t="str">
        <x:v>NightFury</x:v>
      </x:c>
      <x:c r="C473" s="362" t="str">
        <x:v>Cavalry</x:v>
      </x:c>
      <x:c r="D473" s="362" t="str">
        <x:v>Eternal knights</x:v>
      </x:c>
      <x:c r="E473" s="362" t="str">
        <x:v>Heavy Cavalry</x:v>
      </x:c>
      <x:c r="F473" s="362" t="n">
        <x:v>50</x:v>
      </x:c>
      <x:c r="G473" s="362" t="str">
        <x:v>Thunder trample</x:v>
      </x:c>
      <x:c r="H473" s="362" t="str">
        <x:v>Has a certain probability of causing trampling damage</x:v>
      </x:c>
      <x:c r="I473" s="362" t="str">
        <x:v>Unlocked</x:v>
      </x:c>
      <x:c r="J473" s="362" t="str">
        <x:v>00:32.10</x:v>
      </x:c>
      <x:c r="K473" s="362" t="str">
        <x:v>E013; Tier: T10; Visible: 00:31.90-00:32.40; High confidence.; Source frame: representative/E013_32.100.jpg</x:v>
      </x:c>
      <x:c r="L473" s="362" t="str">
        <x:v>1000025871.mp4</x:v>
      </x:c>
    </x:row>
    <x:row r="474" ht="32" customHeight="1">
      <x:c r="A474" s="362" t="str">
        <x:v>K197</x:v>
      </x:c>
      <x:c r="B474" s="362" t="str">
        <x:v>Saku</x:v>
      </x:c>
      <x:c r="C474" s="362" t="str">
        <x:v>Cavalry</x:v>
      </x:c>
      <x:c r="D474" s="362" t="str">
        <x:v>Eternal knights</x:v>
      </x:c>
      <x:c r="E474" s="362" t="str">
        <x:v>Heavy Cavalry</x:v>
      </x:c>
      <x:c r="F474" s="362" t="n">
        <x:v>50</x:v>
      </x:c>
      <x:c r="G474" s="362" t="str">
        <x:v>Thunder trample</x:v>
      </x:c>
      <x:c r="H474" s="362" t="str">
        <x:v>Has a certain probability of causing trampling damage</x:v>
      </x:c>
      <x:c r="I474" s="362" t="str">
        <x:v>Unlocked</x:v>
      </x:c>
      <x:c r="J474" s="362" t="str">
        <x:v>00:38.20</x:v>
      </x:c>
      <x:c r="K474" s="362" t="str">
        <x:v>E014; Tier: T10; Visible: 00:37.95-00:38.50; High confidence.; Source frame: representative/E014_38.200.jpg</x:v>
      </x:c>
      <x:c r="L474" s="362" t="str">
        <x:v>1000025871.mp4</x:v>
      </x:c>
    </x:row>
    <x:row r="475" ht="32" customHeight="1">
      <x:c r="A475" s="362" t="str">
        <x:v>K197</x:v>
      </x:c>
      <x:c r="B475" s="362" t="str">
        <x:v>Saku</x:v>
      </x:c>
      <x:c r="C475" s="362" t="str">
        <x:v>Archers</x:v>
      </x:c>
      <x:c r="D475" s="362" t="str">
        <x:v>Elite bowmen</x:v>
      </x:c>
      <x:c r="E475" s="362" t="str">
        <x:v>Archer</x:v>
      </x:c>
      <x:c r="F475" s="362" t="n">
        <x:v>50</x:v>
      </x:c>
      <x:c r="G475" s="362" t="str">
        <x:v>Frost Arrow</x:v>
      </x:c>
      <x:c r="H475" s="362" t="str">
        <x:v>Has a higher probability of activating ice damage</x:v>
      </x:c>
      <x:c r="I475" s="362" t="str">
        <x:v>Unlocked</x:v>
      </x:c>
      <x:c r="J475" s="362" t="str">
        <x:v>00:39.40</x:v>
      </x:c>
      <x:c r="K475" s="362" t="str">
        <x:v>E015; Tier: T10; Visible: 00:39.05-00:39.70; High confidence.; Source frame: representative/E015_39.400.jpg</x:v>
      </x:c>
      <x:c r="L475" s="362" t="str">
        <x:v>1000025871.mp4</x:v>
      </x:c>
    </x:row>
    <x:row r="476" ht="32" customHeight="1">
      <x:c r="A476" s="362" t="str">
        <x:v>K197</x:v>
      </x:c>
      <x:c r="B476" s="362" t="str">
        <x:v>Бапм</x:v>
      </x:c>
      <x:c r="C476" s="362" t="str">
        <x:v>Cavalry</x:v>
      </x:c>
      <x:c r="D476" s="362" t="str">
        <x:v>Eternal knights</x:v>
      </x:c>
      <x:c r="E476" s="362" t="str">
        <x:v>Heavy Cavalry</x:v>
      </x:c>
      <x:c r="F476" s="362" t="n">
        <x:v>50</x:v>
      </x:c>
      <x:c r="G476" s="362" t="str">
        <x:v>Thunder trample</x:v>
      </x:c>
      <x:c r="H476" s="362" t="str">
        <x:v>Has a certain probability of causing trampling damage</x:v>
      </x:c>
      <x:c r="I476" s="362" t="str">
        <x:v>Unlocked</x:v>
      </x:c>
      <x:c r="J476" s="362" t="str">
        <x:v>00:46.45</x:v>
      </x:c>
      <x:c r="K476" s="362" t="str">
        <x:v>E016; Tier: T10; Visible: 00:46.20-00:46.75; High confidence.; Source frame: representative/E016_46.450.jpg</x:v>
      </x:c>
      <x:c r="L476" s="362" t="str">
        <x:v>1000025871.mp4</x:v>
      </x:c>
    </x:row>
    <x:row r="477" ht="32" customHeight="1">
      <x:c r="A477" s="362" t="str">
        <x:v>K197</x:v>
      </x:c>
      <x:c r="B477" s="362" t="str">
        <x:v>Oiuuuuuuuuuuuuu</x:v>
      </x:c>
      <x:c r="C477" s="362" t="str">
        <x:v>Guards</x:v>
      </x:c>
      <x:c r="D477" s="362" t="str">
        <x:v>Destroyers</x:v>
      </x:c>
      <x:c r="E477" s="362" t="str">
        <x:v>Guard</x:v>
      </x:c>
      <x:c r="F477" s="362" t="n">
        <x:v>40</x:v>
      </x:c>
      <x:c r="G477" s="362" t="str">
        <x:v>Parry</x:v>
      </x:c>
      <x:c r="H477" s="362" t="str">
        <x:v>Provides a parry effect and a certain probability to increase damage</x:v>
      </x:c>
      <x:c r="I477" s="362" t="str">
        <x:v>Unlocked</x:v>
      </x:c>
      <x:c r="J477" s="362" t="str">
        <x:v>00:53.75</x:v>
      </x:c>
      <x:c r="K477" s="362" t="str">
        <x:v>E017; Tier: T10; Visible: 00:53.50-00:54.10; High confidence.; Source frame: representative/E017_53.750.jpg</x:v>
      </x:c>
      <x:c r="L477" s="362" t="str">
        <x:v>1000025871.mp4</x:v>
      </x:c>
    </x:row>
    <x:row r="478" ht="32" customHeight="1">
      <x:c r="A478" s="362" t="str">
        <x:v>K197</x:v>
      </x:c>
      <x:c r="B478" s="362" t="str">
        <x:v>Oiuuuuuuuuuuuuu</x:v>
      </x:c>
      <x:c r="C478" s="362" t="str">
        <x:v>Archers</x:v>
      </x:c>
      <x:c r="D478" s="362" t="str">
        <x:v>Elite bowmen</x:v>
      </x:c>
      <x:c r="E478" s="362" t="str">
        <x:v>Archer</x:v>
      </x:c>
      <x:c r="F478" s="362" t="n">
        <x:v>50</x:v>
      </x:c>
      <x:c r="G478" s="362" t="str">
        <x:v>Frost Arrow</x:v>
      </x:c>
      <x:c r="H478" s="362" t="str">
        <x:v>Has a higher probability of activating ice damage</x:v>
      </x:c>
      <x:c r="I478" s="362" t="str">
        <x:v>Unlocked</x:v>
      </x:c>
      <x:c r="J478" s="362" t="str">
        <x:v>00:54.95</x:v>
      </x:c>
      <x:c r="K478" s="362" t="str">
        <x:v>E018; Tier: T10; Visible: 00:54.65-00:55.20; High confidence.; Source frame: representative/E018_54.950.jpg</x:v>
      </x:c>
      <x:c r="L478" s="362" t="str">
        <x:v>1000025871.mp4</x:v>
      </x:c>
    </x:row>
    <x:row r="479" ht="32" customHeight="1">
      <x:c r="A479" s="362" t="str">
        <x:v>K197</x:v>
      </x:c>
      <x:c r="B479" s="362" t="str">
        <x:v>Oiuuuuuuuuuuuuu</x:v>
      </x:c>
      <x:c r="C479" s="362" t="str">
        <x:v>Archers</x:v>
      </x:c>
      <x:c r="D479" s="362" t="str">
        <x:v>Marksmen</x:v>
      </x:c>
      <x:c r="E479" s="362" t="str">
        <x:v>Archer</x:v>
      </x:c>
      <x:c r="F479" s="362" t="n">
        <x:v>50</x:v>
      </x:c>
      <x:c r="G479" s="362" t="str">
        <x:v>Frost Arrow</x:v>
      </x:c>
      <x:c r="H479" s="362" t="str">
        <x:v>Has a higher probability of activating ice damage</x:v>
      </x:c>
      <x:c r="I479" s="362" t="str">
        <x:v>Unlocked</x:v>
      </x:c>
      <x:c r="J479" s="362" t="str">
        <x:v>00:55.95</x:v>
      </x:c>
      <x:c r="K479" s="362" t="str">
        <x:v>E019; Tier: T8; Visible: 00:55.75-00:56.20; High confidence.; Source frame: representative/E019_55.950.jpg</x:v>
      </x:c>
      <x:c r="L479" s="362" t="str">
        <x:v>1000025871.mp4</x:v>
      </x:c>
    </x:row>
    <x:row r="480" ht="32" customHeight="1">
      <x:c r="A480" s="362" t="str">
        <x:v>K197</x:v>
      </x:c>
      <x:c r="B480" s="362" t="str">
        <x:v>々нυηтєя々</x:v>
      </x:c>
      <x:c r="C480" s="362" t="str">
        <x:v>Archers</x:v>
      </x:c>
      <x:c r="D480" s="362" t="str">
        <x:v>Elite bowmen</x:v>
      </x:c>
      <x:c r="E480" s="362" t="str">
        <x:v>Archer</x:v>
      </x:c>
      <x:c r="F480" s="362" t="n">
        <x:v>46</x:v>
      </x:c>
      <x:c r="G480" s="362" t="str">
        <x:v>Frost Arrow</x:v>
      </x:c>
      <x:c r="H480" s="362" t="str">
        <x:v>Has a higher probability of activating ice damage</x:v>
      </x:c>
      <x:c r="I480" s="362" t="str">
        <x:v>Unlocked</x:v>
      </x:c>
      <x:c r="J480" s="362" t="str">
        <x:v>01:02.25</x:v>
      </x:c>
      <x:c r="K480" s="362" t="str">
        <x:v>E020; Tier: T10; Visible: 01:01.85-01:02.75; High confidence.; Source frame: representative/E020_62.250.jpg</x:v>
      </x:c>
      <x:c r="L480" s="362" t="str">
        <x:v>1000025871.mp4</x:v>
      </x:c>
    </x:row>
    <x:row r="481" ht="32" customHeight="1">
      <x:c r="A481" s="362" t="str">
        <x:v>K197</x:v>
      </x:c>
      <x:c r="B481" s="362" t="str">
        <x:v>Caramel</x:v>
      </x:c>
      <x:c r="C481" s="362" t="str">
        <x:v>Archers</x:v>
      </x:c>
      <x:c r="D481" s="362" t="str">
        <x:v>Elite bowmen</x:v>
      </x:c>
      <x:c r="E481" s="362" t="str">
        <x:v>Archer</x:v>
      </x:c>
      <x:c r="F481" s="362" t="n">
        <x:v>50</x:v>
      </x:c>
      <x:c r="G481" s="362" t="str">
        <x:v>Frost Arrow</x:v>
      </x:c>
      <x:c r="H481" s="362" t="str">
        <x:v>Has a higher probability of activating ice damage</x:v>
      </x:c>
      <x:c r="I481" s="362" t="str">
        <x:v>Unlocked</x:v>
      </x:c>
      <x:c r="J481" s="362" t="str">
        <x:v>01:09.10</x:v>
      </x:c>
      <x:c r="K481" s="362" t="str">
        <x:v>E021; Tier: T10; Visible: 01:08.90-01:09.30; High confidence.; Source frame: representative/E021_69.100.jpg</x:v>
      </x:c>
      <x:c r="L481" s="362" t="str">
        <x:v>1000025871.mp4</x:v>
      </x:c>
    </x:row>
    <x:row r="482" ht="32" customHeight="1">
      <x:c r="A482" s="362" t="str">
        <x:v>K197</x:v>
      </x:c>
      <x:c r="B482" s="362" t="str">
        <x:v>†ŁØRD†</x:v>
      </x:c>
      <x:c r="C482" s="362" t="str">
        <x:v>Archers</x:v>
      </x:c>
      <x:c r="D482" s="362" t="str">
        <x:v>Elite bowmen</x:v>
      </x:c>
      <x:c r="E482" s="362" t="str">
        <x:v>Archer</x:v>
      </x:c>
      <x:c r="F482" s="362" t="n">
        <x:v>49</x:v>
      </x:c>
      <x:c r="G482" s="362" t="str">
        <x:v>Frost Arrow</x:v>
      </x:c>
      <x:c r="H482" s="362" t="str">
        <x:v>Has a higher probability of activating ice damage</x:v>
      </x:c>
      <x:c r="I482" s="362" t="str">
        <x:v>Unlocked</x:v>
      </x:c>
      <x:c r="J482" s="362" t="str">
        <x:v>01:14.95</x:v>
      </x:c>
      <x:c r="K482" s="362" t="str">
        <x:v>E022; Tier: T10; Visible: 01:14.80-01:15.20; High confidence.; Source frame: representative/E022_74.950.jpg</x:v>
      </x:c>
      <x:c r="L482" s="362" t="str">
        <x:v>1000025871.mp4</x:v>
      </x:c>
    </x:row>
    <x:row r="483" ht="32" customHeight="1">
      <x:c r="A483" s="362" t="str">
        <x:v>K197</x:v>
      </x:c>
      <x:c r="B483" s="362" t="str">
        <x:v>RΣDΣYΣ</x:v>
      </x:c>
      <x:c r="C483" s="362" t="str">
        <x:v>Archers</x:v>
      </x:c>
      <x:c r="D483" s="362" t="str">
        <x:v>Elite bowmen</x:v>
      </x:c>
      <x:c r="E483" s="362" t="str">
        <x:v>Archer</x:v>
      </x:c>
      <x:c r="F483" s="362" t="n">
        <x:v>47</x:v>
      </x:c>
      <x:c r="G483" s="362" t="str">
        <x:v>Frost Arrow</x:v>
      </x:c>
      <x:c r="H483" s="362" t="str">
        <x:v>Has a higher probability of activating ice damage</x:v>
      </x:c>
      <x:c r="I483" s="362" t="str">
        <x:v>Unlocked</x:v>
      </x:c>
      <x:c r="J483" s="362" t="str">
        <x:v>01:20.95</x:v>
      </x:c>
      <x:c r="K483" s="362" t="str">
        <x:v>E023; Tier: T10; Visible: 01:20.50-01:21.45; High confidence.; Source frame: representative/E023_80.950.jpg</x:v>
      </x:c>
      <x:c r="L483" s="362" t="str">
        <x:v>1000025871.mp4</x:v>
      </x:c>
    </x:row>
    <x:row r="484" ht="32" customHeight="1">
      <x:c r="A484" s="362" t="str">
        <x:v>K197</x:v>
      </x:c>
      <x:c r="B484" s="362" t="str">
        <x:v>Loong</x:v>
      </x:c>
      <x:c r="C484" s="362" t="str">
        <x:v>Guards</x:v>
      </x:c>
      <x:c r="D484" s="362" t="str">
        <x:v>Destroyers</x:v>
      </x:c>
      <x:c r="E484" s="362" t="str">
        <x:v>Guard</x:v>
      </x:c>
      <x:c r="F484" s="362" t="n">
        <x:v>49</x:v>
      </x:c>
      <x:c r="G484" s="362" t="str">
        <x:v>Parry</x:v>
      </x:c>
      <x:c r="H484" s="362" t="str">
        <x:v>Provides a parry effect and a certain probability to increase damage</x:v>
      </x:c>
      <x:c r="I484" s="362" t="str">
        <x:v>Unlocked</x:v>
      </x:c>
      <x:c r="J484" s="362" t="str">
        <x:v>01:28.50</x:v>
      </x:c>
      <x:c r="K484" s="362" t="str">
        <x:v>E024; Tier: T10; Visible: 01:28.25-01:28.85; High confidence.; Source frame: representative/E024_88.500.jpg</x:v>
      </x:c>
      <x:c r="L484" s="362" t="str">
        <x:v>1000025871.mp4</x:v>
      </x:c>
    </x:row>
    <x:row r="485" ht="32" customHeight="1">
      <x:c r="A485" s="362" t="str">
        <x:v>K197</x:v>
      </x:c>
      <x:c r="B485" s="362" t="str">
        <x:v>Loong</x:v>
      </x:c>
      <x:c r="C485" s="362" t="str">
        <x:v>Archers</x:v>
      </x:c>
      <x:c r="D485" s="362" t="str">
        <x:v>Elite bowmen</x:v>
      </x:c>
      <x:c r="E485" s="362" t="str">
        <x:v>Archer</x:v>
      </x:c>
      <x:c r="F485" s="362" t="n">
        <x:v>50</x:v>
      </x:c>
      <x:c r="G485" s="362" t="str">
        <x:v>Frost Arrow</x:v>
      </x:c>
      <x:c r="H485" s="362" t="str">
        <x:v>Has a higher probability of activating ice damage</x:v>
      </x:c>
      <x:c r="I485" s="362" t="str">
        <x:v>Unlocked</x:v>
      </x:c>
      <x:c r="J485" s="362" t="str">
        <x:v>01:30.10</x:v>
      </x:c>
      <x:c r="K485" s="362" t="str">
        <x:v>E025; Tier: T10; Visible: 01:29.95-01:30.35; High confidence.; Source frame: representative/E025_90.100.jpg</x:v>
      </x:c>
      <x:c r="L485" s="362" t="str">
        <x:v>1000025871.mp4</x:v>
      </x:c>
    </x:row>
    <x:row r="486" ht="32" customHeight="1">
      <x:c r="A486" s="362" t="str">
        <x:v>K197</x:v>
      </x:c>
      <x:c r="B486" s="362" t="str">
        <x:v>LUIGUI</x:v>
      </x:c>
      <x:c r="C486" s="362" t="str">
        <x:v>Archers</x:v>
      </x:c>
      <x:c r="D486" s="362" t="str">
        <x:v>Elite bowmen</x:v>
      </x:c>
      <x:c r="E486" s="362" t="str">
        <x:v>Archer</x:v>
      </x:c>
      <x:c r="F486" s="362" t="n">
        <x:v>40</x:v>
      </x:c>
      <x:c r="G486" s="362" t="str">
        <x:v>Frost Arrow</x:v>
      </x:c>
      <x:c r="H486" s="362" t="str">
        <x:v>Has a higher probability of activating ice damage</x:v>
      </x:c>
      <x:c r="I486" s="362" t="str">
        <x:v>Unlocked</x:v>
      </x:c>
      <x:c r="J486" s="362" t="str">
        <x:v>01:37.30</x:v>
      </x:c>
      <x:c r="K486" s="362" t="str">
        <x:v>E026; Tier: T10; Visible: 01:37.10-01:37.50; High confidence.; Source frame: representative/E026_97.300.jpg</x:v>
      </x:c>
      <x:c r="L486" s="362" t="str">
        <x:v>1000025871.mp4</x:v>
      </x:c>
    </x:row>
    <x:row r="487" ht="32" customHeight="1">
      <x:c r="A487" s="362" t="str">
        <x:v>K197</x:v>
      </x:c>
      <x:c r="B487" s="362" t="str">
        <x:v>BocchiT__T</x:v>
      </x:c>
      <x:c r="C487" s="362" t="str">
        <x:v>Archers</x:v>
      </x:c>
      <x:c r="D487" s="362" t="str">
        <x:v>Elite bowmen</x:v>
      </x:c>
      <x:c r="E487" s="362" t="str">
        <x:v>Archer</x:v>
      </x:c>
      <x:c r="F487" s="362" t="n">
        <x:v>50</x:v>
      </x:c>
      <x:c r="G487" s="362" t="str">
        <x:v>Frost Arrow</x:v>
      </x:c>
      <x:c r="H487" s="362" t="str">
        <x:v>Has a higher probability of activating ice damage</x:v>
      </x:c>
      <x:c r="I487" s="362" t="str">
        <x:v>Unlocked</x:v>
      </x:c>
      <x:c r="J487" s="362" t="str">
        <x:v>01:45.45</x:v>
      </x:c>
      <x:c r="K487" s="362" t="str">
        <x:v>E027; Tier: T10; Visible: 01:44.95-01:46.10; High confidence.; Source frame: representative/E027_105.450.jpg</x:v>
      </x:c>
      <x:c r="L487" s="362" t="str">
        <x:v>1000025871.mp4</x:v>
      </x:c>
    </x:row>
    <x:row r="488" ht="32" customHeight="1">
      <x:c r="A488" s="362" t="str">
        <x:v>K197</x:v>
      </x:c>
      <x:c r="B488" s="362" t="str">
        <x:v>-GAMERMAN-</x:v>
      </x:c>
      <x:c r="C488" s="362" t="str">
        <x:v>Cavalry</x:v>
      </x:c>
      <x:c r="D488" s="362" t="str">
        <x:v>Eternal knights</x:v>
      </x:c>
      <x:c r="E488" s="362" t="str">
        <x:v>Heavy Cavalry</x:v>
      </x:c>
      <x:c r="F488" s="362" t="n">
        <x:v>49</x:v>
      </x:c>
      <x:c r="G488" s="362" t="str">
        <x:v>Thunder trample</x:v>
      </x:c>
      <x:c r="H488" s="362" t="str">
        <x:v>Has a certain probability of causing trampling damage</x:v>
      </x:c>
      <x:c r="I488" s="362" t="str">
        <x:v>Unlocked</x:v>
      </x:c>
      <x:c r="J488" s="362" t="str">
        <x:v>01:53.00</x:v>
      </x:c>
      <x:c r="K488" s="362" t="str">
        <x:v>E028; Tier: T10; Visible: 01:52.70-01:53.30; High confidence.; Source frame: representative/E028_113.000.jpg</x:v>
      </x:c>
      <x:c r="L488" s="362" t="str">
        <x:v>1000025871.mp4</x:v>
      </x:c>
    </x:row>
    <x:row r="489" ht="32" customHeight="1">
      <x:c r="A489" s="362" t="str">
        <x:v>K197</x:v>
      </x:c>
      <x:c r="B489" s="362" t="str">
        <x:v>-GAMERMAN-</x:v>
      </x:c>
      <x:c r="C489" s="362" t="str">
        <x:v>Archers</x:v>
      </x:c>
      <x:c r="D489" s="362" t="str">
        <x:v>Elite bowmen</x:v>
      </x:c>
      <x:c r="E489" s="362" t="str">
        <x:v>Archer</x:v>
      </x:c>
      <x:c r="F489" s="362" t="n">
        <x:v>48</x:v>
      </x:c>
      <x:c r="G489" s="362" t="str">
        <x:v>Frost Arrow</x:v>
      </x:c>
      <x:c r="H489" s="362" t="str">
        <x:v>Has a higher probability of activating ice damage</x:v>
      </x:c>
      <x:c r="I489" s="362" t="str">
        <x:v>Unlocked</x:v>
      </x:c>
      <x:c r="J489" s="362" t="str">
        <x:v>01:54.00</x:v>
      </x:c>
      <x:c r="K489" s="362" t="str">
        <x:v>E029; Tier: T10; Visible: 01:53.80-01:54.25; High confidence.; Source frame: representative/E029_114.000.jpg</x:v>
      </x:c>
      <x:c r="L489" s="362" t="str">
        <x:v>1000025871.mp4</x:v>
      </x:c>
    </x:row>
    <x:row r="490" ht="32" customHeight="1">
      <x:c r="A490" s="362" t="str">
        <x:v>K197</x:v>
      </x:c>
      <x:c r="B490" s="362" t="str">
        <x:v>-GAMERMAN-</x:v>
      </x:c>
      <x:c r="C490" s="362" t="str">
        <x:v>Siege</x:v>
      </x:c>
      <x:c r="D490" s="362" t="str">
        <x:v>Manglers</x:v>
      </x:c>
      <x:c r="E490" s="362" t="str">
        <x:v>Siege</x:v>
      </x:c>
      <x:c r="F490" s="362" t="n">
        <x:v>50</x:v>
      </x:c>
      <x:c r="G490" s="362" t="str">
        <x:v>Highly toxic</x:v>
      </x:c>
      <x:c r="H490" s="362" t="str">
        <x:v>Inflict continuous toxic damage</x:v>
      </x:c>
      <x:c r="I490" s="362" t="str">
        <x:v>Unlocked</x:v>
      </x:c>
      <x:c r="J490" s="362" t="str">
        <x:v>01:54.90</x:v>
      </x:c>
      <x:c r="K490" s="362" t="str">
        <x:v>E030; Tier: T10; Visible: 01:54.75-01:55.20; High confidence.; Source frame: representative/E030_114.900.jpg</x:v>
      </x:c>
      <x:c r="L490" s="362" t="str">
        <x:v>1000025871.mp4</x:v>
      </x:c>
    </x:row>
    <x:row r="491" ht="32" customHeight="1">
      <x:c r="A491" s="362" t="str">
        <x:v>K197</x:v>
      </x:c>
      <x:c r="B491" s="362" t="str">
        <x:v>-GAMERMAN-</x:v>
      </x:c>
      <x:c r="C491" s="362" t="str">
        <x:v>Cavalry</x:v>
      </x:c>
      <x:c r="D491" s="362" t="str">
        <x:v>Storm cavalry</x:v>
      </x:c>
      <x:c r="E491" s="362" t="str">
        <x:v>Horse archer</x:v>
      </x:c>
      <x:c r="F491" s="362" t="n">
        <x:v>50</x:v>
      </x:c>
      <x:c r="G491" s="362" t="str">
        <x:v>Mounted Archery</x:v>
      </x:c>
      <x:c r="H491" s="362" t="str">
        <x:v>Has a certain probability of causing fly-shooting damage</x:v>
      </x:c>
      <x:c r="I491" s="362" t="str">
        <x:v>Unlocked</x:v>
      </x:c>
      <x:c r="J491" s="362" t="str">
        <x:v>01:56.00</x:v>
      </x:c>
      <x:c r="K491" s="362" t="str">
        <x:v>E031; Tier: T9; Visible: 01:55.75-01:56.30; High confidence.; Source frame: representative/E031_116.000.jpg</x:v>
      </x:c>
      <x:c r="L491" s="362" t="str">
        <x:v>1000025871.mp4</x:v>
      </x:c>
    </x:row>
    <x:row r="492" ht="32" customHeight="1">
      <x:c r="A492" s="362" t="str">
        <x:v>K197</x:v>
      </x:c>
      <x:c r="B492" s="362" t="str">
        <x:v>ღbaby买买买ღ</x:v>
      </x:c>
      <x:c r="C492" s="362" t="str">
        <x:v>Cavalry</x:v>
      </x:c>
      <x:c r="D492" s="362" t="str">
        <x:v>Eternal knights</x:v>
      </x:c>
      <x:c r="E492" s="362" t="str">
        <x:v>Heavy Cavalry</x:v>
      </x:c>
      <x:c r="F492" s="362"/>
      <x:c r="G492" s="362"/>
      <x:c r="H492" s="362"/>
      <x:c r="I492" s="362"/>
      <x:c r="J492" s="362" t="str">
        <x:v>02:02.05</x:v>
      </x:c>
      <x:c r="K492" s="362" t="str">
        <x:v>E032; Tier: T10; Visible: 02:01.85-02:02.35; High confidence. The opened tooltip visibly showed the unit title and battle-description section only; no specialization level, skill, effect or status block was displayed, so those fields are null.; Source frame: representative/E032_122.050.jpg</x:v>
      </x:c>
      <x:c r="L492" s="362" t="str">
        <x:v>1000025871.mp4</x:v>
      </x:c>
    </x:row>
    <x:row r="493" ht="32" customHeight="1">
      <x:c r="A493" s="362" t="str">
        <x:v>K197</x:v>
      </x:c>
      <x:c r="B493" s="362" t="str">
        <x:v>ღbaby买买买ღ</x:v>
      </x:c>
      <x:c r="C493" s="362" t="str">
        <x:v>Archers</x:v>
      </x:c>
      <x:c r="D493" s="362" t="str">
        <x:v>Elite bowmen</x:v>
      </x:c>
      <x:c r="E493" s="362" t="str">
        <x:v>Archer</x:v>
      </x:c>
      <x:c r="F493" s="362" t="n">
        <x:v>50</x:v>
      </x:c>
      <x:c r="G493" s="362" t="str">
        <x:v>Frost Arrow</x:v>
      </x:c>
      <x:c r="H493" s="362" t="str">
        <x:v>Has a higher probability of activating ice damage</x:v>
      </x:c>
      <x:c r="I493" s="362" t="str">
        <x:v>Unlocked</x:v>
      </x:c>
      <x:c r="J493" s="362" t="str">
        <x:v>02:03.00</x:v>
      </x:c>
      <x:c r="K493" s="362" t="str">
        <x:v>E033; Tier: T10; Visible: 02:02.75-02:03.20; High confidence.; Source frame: representative/E033_123.000.jpg</x:v>
      </x:c>
      <x:c r="L493" s="362" t="str">
        <x:v>1000025871.mp4</x:v>
      </x:c>
    </x:row>
    <x:row r="494" ht="32" customHeight="1">
      <x:c r="A494" s="362" t="str">
        <x:v>K197</x:v>
      </x:c>
      <x:c r="B494" s="362" t="str">
        <x:v>ღbaby买买买ღ</x:v>
      </x:c>
      <x:c r="C494" s="362" t="str">
        <x:v>Archers</x:v>
      </x:c>
      <x:c r="D494" s="362" t="str">
        <x:v>Marksmen</x:v>
      </x:c>
      <x:c r="E494" s="362" t="str">
        <x:v>Archer</x:v>
      </x:c>
      <x:c r="F494" s="362" t="n">
        <x:v>50</x:v>
      </x:c>
      <x:c r="G494" s="362" t="str">
        <x:v>Frost Arrow</x:v>
      </x:c>
      <x:c r="H494" s="362" t="str">
        <x:v>Has a higher probability of activating ice damage</x:v>
      </x:c>
      <x:c r="I494" s="362" t="str">
        <x:v>Unlocked</x:v>
      </x:c>
      <x:c r="J494" s="362" t="str">
        <x:v>02:04.20</x:v>
      </x:c>
      <x:c r="K494" s="362" t="str">
        <x:v>E034; Tier: T8; Visible: 02:04.00-02:04.45; High confidence.; Source frame: representative/E034_124.200.jpg</x:v>
      </x:c>
      <x:c r="L494" s="362" t="str">
        <x:v>1000025871.mp4</x:v>
      </x:c>
    </x:row>
    <x:row r="495" ht="32" customHeight="1">
      <x:c r="A495" s="362" t="str">
        <x:v>K197</x:v>
      </x:c>
      <x:c r="B495" s="362" t="str">
        <x:v>Viking</x:v>
      </x:c>
      <x:c r="C495" s="362" t="str">
        <x:v>Archers</x:v>
      </x:c>
      <x:c r="D495" s="362" t="str">
        <x:v>Elite bowmen</x:v>
      </x:c>
      <x:c r="E495" s="362" t="str">
        <x:v>Archer</x:v>
      </x:c>
      <x:c r="F495" s="362" t="n">
        <x:v>50</x:v>
      </x:c>
      <x:c r="G495" s="362" t="str">
        <x:v>Frost Arrow</x:v>
      </x:c>
      <x:c r="H495" s="362" t="str">
        <x:v>Has a higher probability of activating ice damage</x:v>
      </x:c>
      <x:c r="I495" s="362" t="str">
        <x:v>Unlocked</x:v>
      </x:c>
      <x:c r="J495" s="362" t="str">
        <x:v>02:11.45</x:v>
      </x:c>
      <x:c r="K495" s="362" t="str">
        <x:v>E035; Tier: T10; Visible: 02:11.20-02:11.70; High confidence.; Source frame: representative/E035_131.450.jpg</x:v>
      </x:c>
      <x:c r="L495" s="362" t="str">
        <x:v>1000025871.mp4</x:v>
      </x:c>
    </x:row>
    <x:row r="496" ht="32" customHeight="1">
      <x:c r="A496" s="362" t="str">
        <x:v>K197</x:v>
      </x:c>
      <x:c r="B496" s="362" t="str">
        <x:v>Viking</x:v>
      </x:c>
      <x:c r="C496" s="362" t="str">
        <x:v>Archers</x:v>
      </x:c>
      <x:c r="D496" s="362" t="str">
        <x:v>Marksmen</x:v>
      </x:c>
      <x:c r="E496" s="362" t="str">
        <x:v>Archer</x:v>
      </x:c>
      <x:c r="F496" s="362" t="n">
        <x:v>50</x:v>
      </x:c>
      <x:c r="G496" s="362" t="str">
        <x:v>Frost Arrow</x:v>
      </x:c>
      <x:c r="H496" s="362" t="str">
        <x:v>Has a higher probability of activating ice damage</x:v>
      </x:c>
      <x:c r="I496" s="362" t="str">
        <x:v>Unlocked</x:v>
      </x:c>
      <x:c r="J496" s="362" t="str">
        <x:v>02:12.40</x:v>
      </x:c>
      <x:c r="K496" s="362" t="str">
        <x:v>E036; Tier: T8; Visible: 02:12.20-02:12.70; High confidence.; Source frame: representative/E036_132.400.jpg</x:v>
      </x:c>
      <x:c r="L496" s="362" t="str">
        <x:v>1000025871.mp4</x:v>
      </x:c>
    </x:row>
    <x:row r="497" ht="32" customHeight="1">
      <x:c r="A497" s="362" t="str">
        <x:v>K197</x:v>
      </x:c>
      <x:c r="B497" s="362" t="str">
        <x:v>ღ买买买babyღ</x:v>
      </x:c>
      <x:c r="C497" s="362" t="str">
        <x:v>Guards</x:v>
      </x:c>
      <x:c r="D497" s="362" t="str">
        <x:v>Destroyers</x:v>
      </x:c>
      <x:c r="E497" s="362" t="str">
        <x:v>Guard</x:v>
      </x:c>
      <x:c r="F497" s="362" t="n">
        <x:v>30</x:v>
      </x:c>
      <x:c r="G497" s="362" t="str">
        <x:v>Parry</x:v>
      </x:c>
      <x:c r="H497" s="362" t="str">
        <x:v>Provides a parry effect and a certain probability to increase damage</x:v>
      </x:c>
      <x:c r="I497" s="362" t="str">
        <x:v>Unlocked</x:v>
      </x:c>
      <x:c r="J497" s="362" t="str">
        <x:v>02:20.55</x:v>
      </x:c>
      <x:c r="K497" s="362" t="str">
        <x:v>E037; Tier: T10; Visible: 02:20.30-02:20.85; High confidence.; Source frame: representative/E037_140.550.jpg</x:v>
      </x:c>
      <x:c r="L497" s="362" t="str">
        <x:v>1000025871.mp4</x:v>
      </x:c>
    </x:row>
    <x:row r="498" ht="32" customHeight="1">
      <x:c r="A498" s="362" t="str">
        <x:v>K197</x:v>
      </x:c>
      <x:c r="B498" s="362" t="str">
        <x:v>ღ买买买babyღ</x:v>
      </x:c>
      <x:c r="C498" s="362" t="str">
        <x:v>Archers</x:v>
      </x:c>
      <x:c r="D498" s="362" t="str">
        <x:v>Elite bowmen</x:v>
      </x:c>
      <x:c r="E498" s="362" t="str">
        <x:v>Archer</x:v>
      </x:c>
      <x:c r="F498" s="362" t="n">
        <x:v>50</x:v>
      </x:c>
      <x:c r="G498" s="362" t="str">
        <x:v>Frost Arrow</x:v>
      </x:c>
      <x:c r="H498" s="362" t="str">
        <x:v>Has a higher probability of activating ice damage</x:v>
      </x:c>
      <x:c r="I498" s="362" t="str">
        <x:v>Unlocked</x:v>
      </x:c>
      <x:c r="J498" s="362" t="str">
        <x:v>02:21.45</x:v>
      </x:c>
      <x:c r="K498" s="362" t="str">
        <x:v>E038; Tier: T10; Visible: 02:21.25-02:21.65; High confidence.; Source frame: representative/E038_141.450.jpg</x:v>
      </x:c>
      <x:c r="L498" s="362" t="str">
        <x:v>1000025871.mp4</x:v>
      </x:c>
    </x:row>
    <x:row r="499" ht="32" customHeight="1">
      <x:c r="A499" s="362" t="str">
        <x:v>K197</x:v>
      </x:c>
      <x:c r="B499" s="362" t="str">
        <x:v>优乐美</x:v>
      </x:c>
      <x:c r="C499" s="362" t="str">
        <x:v>Cavalry</x:v>
      </x:c>
      <x:c r="D499" s="362" t="str">
        <x:v>Eternal knights</x:v>
      </x:c>
      <x:c r="E499" s="362" t="str">
        <x:v>Heavy Cavalry</x:v>
      </x:c>
      <x:c r="F499" s="362" t="n">
        <x:v>50</x:v>
      </x:c>
      <x:c r="G499" s="362" t="str">
        <x:v>Thunder trample</x:v>
      </x:c>
      <x:c r="H499" s="362" t="str">
        <x:v>Has a certain probability of causing trampling damage</x:v>
      </x:c>
      <x:c r="I499" s="362" t="str">
        <x:v>Unlocked</x:v>
      </x:c>
      <x:c r="J499" s="362" t="str">
        <x:v>02:28.85</x:v>
      </x:c>
      <x:c r="K499" s="362" t="str">
        <x:v>E039; Tier: T10; Visible: 02:28.70-02:29.10; High confidence.; Source frame: representative/E039_148.850.jpg</x:v>
      </x:c>
      <x:c r="L499" s="362" t="str">
        <x:v>1000025871.mp4</x:v>
      </x:c>
    </x:row>
    <x:row r="500" ht="32" customHeight="1">
      <x:c r="A500" s="362" t="str">
        <x:v>K197</x:v>
      </x:c>
      <x:c r="B500" s="362" t="str">
        <x:v>Mira</x:v>
      </x:c>
      <x:c r="C500" s="362" t="str">
        <x:v>Guards</x:v>
      </x:c>
      <x:c r="D500" s="362" t="str">
        <x:v>Destroyers</x:v>
      </x:c>
      <x:c r="E500" s="362" t="str">
        <x:v>Guard</x:v>
      </x:c>
      <x:c r="F500" s="362" t="n">
        <x:v>25</x:v>
      </x:c>
      <x:c r="G500" s="362" t="str">
        <x:v>Parry</x:v>
      </x:c>
      <x:c r="H500" s="362" t="str">
        <x:v>Provides a parry effect and a certain probability to increase damage</x:v>
      </x:c>
      <x:c r="I500" s="362" t="str">
        <x:v>Unlocked</x:v>
      </x:c>
      <x:c r="J500" s="362" t="str">
        <x:v>02:38.30</x:v>
      </x:c>
      <x:c r="K500" s="362" t="str">
        <x:v>E040; Tier: T10; Visible: 02:38.10-02:38.50; High confidence.; Source frame: representative/E040_158.300.jpg</x:v>
      </x:c>
      <x:c r="L500" s="362" t="str">
        <x:v>1000025871.mp4</x:v>
      </x:c>
    </x:row>
    <x:row r="501" ht="32" customHeight="1">
      <x:c r="A501" s="362" t="str">
        <x:v>K197</x:v>
      </x:c>
      <x:c r="B501" s="362" t="str">
        <x:v>Mira</x:v>
      </x:c>
      <x:c r="C501" s="362" t="str">
        <x:v>Archers</x:v>
      </x:c>
      <x:c r="D501" s="362" t="str">
        <x:v>Elite bowmen</x:v>
      </x:c>
      <x:c r="E501" s="362" t="str">
        <x:v>Archer</x:v>
      </x:c>
      <x:c r="F501" s="362" t="n">
        <x:v>49</x:v>
      </x:c>
      <x:c r="G501" s="362" t="str">
        <x:v>Frost Arrow</x:v>
      </x:c>
      <x:c r="H501" s="362" t="str">
        <x:v>Has a higher probability of activating ice damage</x:v>
      </x:c>
      <x:c r="I501" s="362" t="str">
        <x:v>Unlocked</x:v>
      </x:c>
      <x:c r="J501" s="362" t="str">
        <x:v>02:40.05</x:v>
      </x:c>
      <x:c r="K501" s="362" t="str">
        <x:v>E041; Tier: T10; Visible: 02:39.80-02:40.30; High confidence.; Source frame: representative/E041_160.050.jpg</x:v>
      </x:c>
      <x:c r="L501" s="362" t="str">
        <x:v>1000025871.mp4</x:v>
      </x:c>
    </x:row>
    <x:row r="502" ht="32" customHeight="1">
      <x:c r="A502" s="362" t="str">
        <x:v>K176</x:v>
      </x:c>
      <x:c r="B502" s="362" t="str">
        <x:v>苟拓通天肆意妄为</x:v>
      </x:c>
      <x:c r="C502" s="362" t="str">
        <x:v>Guards</x:v>
      </x:c>
      <x:c r="D502" s="362" t="str">
        <x:v>Destroyers</x:v>
      </x:c>
      <x:c r="E502" s="362" t="str">
        <x:v>Guard</x:v>
      </x:c>
      <x:c r="F502" s="362" t="n">
        <x:v>50</x:v>
      </x:c>
      <x:c r="G502" s="362" t="str">
        <x:v>Parry</x:v>
      </x:c>
      <x:c r="H502" s="362" t="str">
        <x:v>Provides a parry effect and a certain probability to increase damage</x:v>
      </x:c>
      <x:c r="I502" s="362" t="str">
        <x:v>Unlocked</x:v>
      </x:c>
      <x:c r="J502" s="362" t="str">
        <x:v>00:02.50</x:v>
      </x:c>
      <x:c r="K502" s="362" t="str">
        <x:v>E001; Tier: T10; Directly visible tooltip; representative frame sampled at 0.5-second resolution.; Source frame: frames05s/h_0005.jpg</x:v>
      </x:c>
      <x:c r="L502" s="362" t="str">
        <x:v>1000025872.mp4</x:v>
      </x:c>
    </x:row>
    <x:row r="503" ht="32" customHeight="1">
      <x:c r="A503" s="362" t="str">
        <x:v>K176</x:v>
      </x:c>
      <x:c r="B503" s="362" t="str">
        <x:v>苟拓通天肆意妄为</x:v>
      </x:c>
      <x:c r="C503" s="362" t="str">
        <x:v>Cavalry</x:v>
      </x:c>
      <x:c r="D503" s="362" t="str">
        <x:v>Eternal knights</x:v>
      </x:c>
      <x:c r="E503" s="362" t="str">
        <x:v>Heavy Cavalry</x:v>
      </x:c>
      <x:c r="F503" s="362" t="n">
        <x:v>48</x:v>
      </x:c>
      <x:c r="G503" s="362" t="str">
        <x:v>Thunder trample</x:v>
      </x:c>
      <x:c r="H503" s="362" t="str">
        <x:v>Has a certain probability of causing trampling damage</x:v>
      </x:c>
      <x:c r="I503" s="362" t="str">
        <x:v>Unlocked</x:v>
      </x:c>
      <x:c r="J503" s="362" t="str">
        <x:v>00:04.50</x:v>
      </x:c>
      <x:c r="K503" s="362" t="str">
        <x:v>E002; Tier: T10; Directly visible tooltip; representative frame sampled at 0.5-second resolution.; Source frame: frames05s/h_0009.jpg</x:v>
      </x:c>
      <x:c r="L503" s="362" t="str">
        <x:v>1000025872.mp4</x:v>
      </x:c>
    </x:row>
    <x:row r="504" ht="32" customHeight="1">
      <x:c r="A504" s="362" t="str">
        <x:v>K176</x:v>
      </x:c>
      <x:c r="B504" s="362" t="str">
        <x:v>苟拓通天肆意妄为</x:v>
      </x:c>
      <x:c r="C504" s="362" t="str">
        <x:v>Archers</x:v>
      </x:c>
      <x:c r="D504" s="362" t="str">
        <x:v>Elite bowmen</x:v>
      </x:c>
      <x:c r="E504" s="362" t="str">
        <x:v>Archer</x:v>
      </x:c>
      <x:c r="F504" s="362" t="n">
        <x:v>48</x:v>
      </x:c>
      <x:c r="G504" s="362" t="str">
        <x:v>Frost Arrow</x:v>
      </x:c>
      <x:c r="H504" s="362" t="str">
        <x:v>Has a higher probability of activating ice damage</x:v>
      </x:c>
      <x:c r="I504" s="362" t="str">
        <x:v>Unlocked</x:v>
      </x:c>
      <x:c r="J504" s="362" t="str">
        <x:v>00:06.50</x:v>
      </x:c>
      <x:c r="K504" s="362" t="str">
        <x:v>E003; Tier: T10; Directly visible tooltip; representative frame sampled at 0.5-second resolution.; Source frame: frames05s/h_0013.jpg</x:v>
      </x:c>
      <x:c r="L504" s="362" t="str">
        <x:v>1000025872.mp4</x:v>
      </x:c>
    </x:row>
    <x:row r="505" ht="32" customHeight="1">
      <x:c r="A505" s="362" t="str">
        <x:v>K176</x:v>
      </x:c>
      <x:c r="B505" s="362" t="str">
        <x:v>苟拓通天肆意妄为</x:v>
      </x:c>
      <x:c r="C505" s="362" t="str">
        <x:v>Cavalry</x:v>
      </x:c>
      <x:c r="D505" s="362" t="str">
        <x:v>Storm cavalry</x:v>
      </x:c>
      <x:c r="E505" s="362" t="str">
        <x:v>Horse archer</x:v>
      </x:c>
      <x:c r="F505" s="362" t="n">
        <x:v>48</x:v>
      </x:c>
      <x:c r="G505" s="362" t="str">
        <x:v>Mounted Archery</x:v>
      </x:c>
      <x:c r="H505" s="362" t="str">
        <x:v>Has a certain probability of causing fly-shooting damage</x:v>
      </x:c>
      <x:c r="I505" s="362" t="str">
        <x:v>Unlocked</x:v>
      </x:c>
      <x:c r="J505" s="362" t="str">
        <x:v>00:08.50</x:v>
      </x:c>
      <x:c r="K505" s="362" t="str">
        <x:v>E004; Tier: T9; Directly visible tooltip; representative frame sampled at 0.5-second resolution.; Source frame: frames05s/h_0017.jpg</x:v>
      </x:c>
      <x:c r="L505" s="362" t="str">
        <x:v>1000025872.mp4</x:v>
      </x:c>
    </x:row>
    <x:row r="506" ht="32" customHeight="1">
      <x:c r="A506" s="362" t="str">
        <x:v>K176</x:v>
      </x:c>
      <x:c r="B506" s="362" t="str">
        <x:v>苟拓通天肆意妄为</x:v>
      </x:c>
      <x:c r="C506" s="362" t="str">
        <x:v>Siege</x:v>
      </x:c>
      <x:c r="D506" s="362" t="str">
        <x:v>Guardian siege</x:v>
      </x:c>
      <x:c r="E506" s="362" t="str">
        <x:v>Rams</x:v>
      </x:c>
      <x:c r="F506" s="362" t="n">
        <x:v>48</x:v>
      </x:c>
      <x:c r="G506" s="362" t="str">
        <x:v>Dragonhide</x:v>
      </x:c>
      <x:c r="H506" s="362" t="str">
        <x:v>Increase damage reduction and increase damage</x:v>
      </x:c>
      <x:c r="I506" s="362" t="str">
        <x:v>Unlocked</x:v>
      </x:c>
      <x:c r="J506" s="362" t="str">
        <x:v>00:09.00</x:v>
      </x:c>
      <x:c r="K506" s="362" t="str">
        <x:v>E005; Tier: T9; Directly visible tooltip; representative frame sampled at 0.5-second resolution. Adjacent same-player tooltip swap separately verified at 00:09.00.; Source frame: frames05s/h_0018.jpg</x:v>
      </x:c>
      <x:c r="L506" s="362" t="str">
        <x:v>1000025872.mp4</x:v>
      </x:c>
    </x:row>
    <x:row r="507" ht="32" customHeight="1">
      <x:c r="A507" s="362" t="str">
        <x:v>K176</x:v>
      </x:c>
      <x:c r="B507" s="362" t="str">
        <x:v>Evildagger</x:v>
      </x:c>
      <x:c r="C507" s="362" t="str">
        <x:v>Cavalry</x:v>
      </x:c>
      <x:c r="D507" s="362" t="str">
        <x:v>Eternal knights</x:v>
      </x:c>
      <x:c r="E507" s="362" t="str">
        <x:v>Heavy Cavalry</x:v>
      </x:c>
      <x:c r="F507" s="362" t="n">
        <x:v>47</x:v>
      </x:c>
      <x:c r="G507" s="362" t="str">
        <x:v>Thunder trample</x:v>
      </x:c>
      <x:c r="H507" s="362" t="str">
        <x:v>Has a certain probability of causing trampling damage</x:v>
      </x:c>
      <x:c r="I507" s="362" t="str">
        <x:v>Unlocked</x:v>
      </x:c>
      <x:c r="J507" s="362" t="str">
        <x:v>00:17.50</x:v>
      </x:c>
      <x:c r="K507" s="362" t="str">
        <x:v>E006; Tier: T10; Directly visible tooltip; representative frame sampled at 0.5-second resolution.; Source frame: frames05s/h_0035.jpg</x:v>
      </x:c>
      <x:c r="L507" s="362" t="str">
        <x:v>1000025872.mp4</x:v>
      </x:c>
    </x:row>
    <x:row r="508" ht="32" customHeight="1">
      <x:c r="A508" s="362" t="str">
        <x:v>K176</x:v>
      </x:c>
      <x:c r="B508" s="362" t="str">
        <x:v>Evildagger</x:v>
      </x:c>
      <x:c r="C508" s="362" t="str">
        <x:v>Cavalry</x:v>
      </x:c>
      <x:c r="D508" s="362" t="str">
        <x:v>Storm cavalry</x:v>
      </x:c>
      <x:c r="E508" s="362" t="str">
        <x:v>Horse archer</x:v>
      </x:c>
      <x:c r="F508" s="362" t="n">
        <x:v>46</x:v>
      </x:c>
      <x:c r="G508" s="362" t="str">
        <x:v>Mounted Archery</x:v>
      </x:c>
      <x:c r="H508" s="362" t="str">
        <x:v>Has a certain probability of causing fly-shooting damage</x:v>
      </x:c>
      <x:c r="I508" s="362" t="str">
        <x:v>Unlocked</x:v>
      </x:c>
      <x:c r="J508" s="362" t="str">
        <x:v>00:18.50</x:v>
      </x:c>
      <x:c r="K508" s="362" t="str">
        <x:v>E007; Tier: T9; Directly visible tooltip; representative frame sampled at 0.5-second resolution.; Source frame: frames05s/h_0037.jpg</x:v>
      </x:c>
      <x:c r="L508" s="362" t="str">
        <x:v>1000025872.mp4</x:v>
      </x:c>
    </x:row>
    <x:row r="509" ht="32" customHeight="1">
      <x:c r="A509" s="362" t="str">
        <x:v>K176</x:v>
      </x:c>
      <x:c r="B509" s="362" t="str">
        <x:v>Evildagger</x:v>
      </x:c>
      <x:c r="C509" s="362" t="str">
        <x:v>Cavalry</x:v>
      </x:c>
      <x:c r="D509" s="362" t="str">
        <x:v>Roman knights</x:v>
      </x:c>
      <x:c r="E509" s="362" t="str">
        <x:v>Heavy Cavalry</x:v>
      </x:c>
      <x:c r="F509" s="362" t="n">
        <x:v>47</x:v>
      </x:c>
      <x:c r="G509" s="362" t="str">
        <x:v>Thunder trample</x:v>
      </x:c>
      <x:c r="H509" s="362" t="str">
        <x:v>Has a certain probability of causing trampling damage</x:v>
      </x:c>
      <x:c r="I509" s="362" t="str">
        <x:v>Unlocked</x:v>
      </x:c>
      <x:c r="J509" s="362" t="str">
        <x:v>00:19.50</x:v>
      </x:c>
      <x:c r="K509" s="362" t="str">
        <x:v>E008; Tier: T8; Directly visible tooltip; representative frame sampled at 0.5-second resolution.; Source frame: frames05s/h_0039.jpg</x:v>
      </x:c>
      <x:c r="L509" s="362" t="str">
        <x:v>1000025872.mp4</x:v>
      </x:c>
    </x:row>
    <x:row r="510" ht="32" customHeight="1">
      <x:c r="A510" s="362" t="str">
        <x:v>K176</x:v>
      </x:c>
      <x:c r="B510" s="362" t="str">
        <x:v>༺肥者先食༻</x:v>
      </x:c>
      <x:c r="C510" s="362" t="str">
        <x:v>Guards</x:v>
      </x:c>
      <x:c r="D510" s="362" t="str">
        <x:v>Destroyers</x:v>
      </x:c>
      <x:c r="E510" s="362" t="str">
        <x:v>Guard</x:v>
      </x:c>
      <x:c r="F510" s="362" t="n">
        <x:v>45</x:v>
      </x:c>
      <x:c r="G510" s="362" t="str">
        <x:v>Parry</x:v>
      </x:c>
      <x:c r="H510" s="362" t="str">
        <x:v>Provides a parry effect and a certain probability to increase damage</x:v>
      </x:c>
      <x:c r="I510" s="362" t="str">
        <x:v>Unlocked</x:v>
      </x:c>
      <x:c r="J510" s="362" t="str">
        <x:v>00:24.50</x:v>
      </x:c>
      <x:c r="K510" s="362" t="str">
        <x:v>E009; Tier: T10; Directly visible tooltip; representative frame sampled at 0.5-second resolution.; Source frame: frames05s/h_0049.jpg</x:v>
      </x:c>
      <x:c r="L510" s="362" t="str">
        <x:v>1000025872.mp4</x:v>
      </x:c>
    </x:row>
    <x:row r="511" ht="32" customHeight="1">
      <x:c r="A511" s="362" t="str">
        <x:v>K176</x:v>
      </x:c>
      <x:c r="B511" s="362" t="str">
        <x:v>༺肥者先食༻</x:v>
      </x:c>
      <x:c r="C511" s="362" t="str">
        <x:v>Cavalry</x:v>
      </x:c>
      <x:c r="D511" s="362" t="str">
        <x:v>Eternal knights</x:v>
      </x:c>
      <x:c r="E511" s="362" t="str">
        <x:v>Heavy Cavalry</x:v>
      </x:c>
      <x:c r="F511" s="362" t="n">
        <x:v>42</x:v>
      </x:c>
      <x:c r="G511" s="362" t="str">
        <x:v>Thunder trample</x:v>
      </x:c>
      <x:c r="H511" s="362" t="str">
        <x:v>Has a certain probability of causing trampling damage</x:v>
      </x:c>
      <x:c r="I511" s="362" t="str">
        <x:v>Unlocked</x:v>
      </x:c>
      <x:c r="J511" s="362" t="str">
        <x:v>00:25.50</x:v>
      </x:c>
      <x:c r="K511" s="362" t="str">
        <x:v>E010; Tier: T10; Directly visible tooltip; representative frame sampled at 0.5-second resolution.; Source frame: frames05s/h_0051.jpg</x:v>
      </x:c>
      <x:c r="L511" s="362" t="str">
        <x:v>1000025872.mp4</x:v>
      </x:c>
    </x:row>
    <x:row r="512" ht="32" customHeight="1">
      <x:c r="A512" s="362" t="str">
        <x:v>K176</x:v>
      </x:c>
      <x:c r="B512" s="362" t="str">
        <x:v>༺肥者先食༻</x:v>
      </x:c>
      <x:c r="C512" s="362" t="str">
        <x:v>Archers</x:v>
      </x:c>
      <x:c r="D512" s="362" t="str">
        <x:v>Elite bowmen</x:v>
      </x:c>
      <x:c r="E512" s="362" t="str">
        <x:v>Archer</x:v>
      </x:c>
      <x:c r="F512" s="362" t="n">
        <x:v>40</x:v>
      </x:c>
      <x:c r="G512" s="362" t="str">
        <x:v>Frost Arrow</x:v>
      </x:c>
      <x:c r="H512" s="362" t="str">
        <x:v>Has a higher probability of activating ice damage</x:v>
      </x:c>
      <x:c r="I512" s="362" t="str">
        <x:v>Unlocked</x:v>
      </x:c>
      <x:c r="J512" s="362" t="str">
        <x:v>00:26.50</x:v>
      </x:c>
      <x:c r="K512" s="362" t="str">
        <x:v>E011; Tier: T10; Directly visible tooltip; representative frame sampled at 0.5-second resolution.; Source frame: frames05s/h_0053.jpg</x:v>
      </x:c>
      <x:c r="L512" s="362" t="str">
        <x:v>1000025872.mp4</x:v>
      </x:c>
    </x:row>
    <x:row r="513" ht="32" customHeight="1">
      <x:c r="A513" s="362" t="str">
        <x:v>K176</x:v>
      </x:c>
      <x:c r="B513" s="362" t="str">
        <x:v>༺肥者先食༻</x:v>
      </x:c>
      <x:c r="C513" s="362" t="str">
        <x:v>Siege</x:v>
      </x:c>
      <x:c r="D513" s="362" t="str">
        <x:v>Manglers</x:v>
      </x:c>
      <x:c r="E513" s="362" t="str">
        <x:v>Siege</x:v>
      </x:c>
      <x:c r="F513" s="362" t="n">
        <x:v>24</x:v>
      </x:c>
      <x:c r="G513" s="362" t="str">
        <x:v>Highly toxic</x:v>
      </x:c>
      <x:c r="H513" s="362" t="str">
        <x:v>Inflict continuous toxic damage</x:v>
      </x:c>
      <x:c r="I513" s="362" t="str">
        <x:v>Unlocked</x:v>
      </x:c>
      <x:c r="J513" s="362" t="str">
        <x:v>00:27.00</x:v>
      </x:c>
      <x:c r="K513" s="362" t="str">
        <x:v>E012; Tier: T10; Directly visible tooltip; representative frame sampled at 0.5-second resolution.; Source frame: frames05s/h_0054.jpg</x:v>
      </x:c>
      <x:c r="L513" s="362" t="str">
        <x:v>1000025872.mp4</x:v>
      </x:c>
    </x:row>
    <x:row r="514" ht="32" customHeight="1">
      <x:c r="A514" s="362" t="str">
        <x:v>K176</x:v>
      </x:c>
      <x:c r="B514" s="362" t="str">
        <x:v>༺肥者先食༻</x:v>
      </x:c>
      <x:c r="C514" s="362" t="str">
        <x:v>Cavalry</x:v>
      </x:c>
      <x:c r="D514" s="362" t="str">
        <x:v>Storm cavalry</x:v>
      </x:c>
      <x:c r="E514" s="362" t="str">
        <x:v>Horse archer</x:v>
      </x:c>
      <x:c r="F514" s="362" t="n">
        <x:v>43</x:v>
      </x:c>
      <x:c r="G514" s="362" t="str">
        <x:v>Mounted Archery</x:v>
      </x:c>
      <x:c r="H514" s="362" t="str">
        <x:v>Has a certain probability of causing fly-shooting damage</x:v>
      </x:c>
      <x:c r="I514" s="362" t="str">
        <x:v>Unlocked</x:v>
      </x:c>
      <x:c r="J514" s="362" t="str">
        <x:v>00:29.00</x:v>
      </x:c>
      <x:c r="K514" s="362" t="str">
        <x:v>E013; Tier: T9; Directly visible tooltip; representative frame sampled at 0.5-second resolution.; Source frame: frames05s/h_0058.jpg</x:v>
      </x:c>
      <x:c r="L514" s="362" t="str">
        <x:v>1000025872.mp4</x:v>
      </x:c>
    </x:row>
    <x:row r="515" ht="32" customHeight="1">
      <x:c r="A515" s="362" t="str">
        <x:v>K176</x:v>
      </x:c>
      <x:c r="B515" s="362" t="str">
        <x:v>༺肥者先食༻</x:v>
      </x:c>
      <x:c r="C515" s="362" t="str">
        <x:v>Siege</x:v>
      </x:c>
      <x:c r="D515" s="362" t="str">
        <x:v>End siege</x:v>
      </x:c>
      <x:c r="E515" s="362" t="str">
        <x:v>Siege</x:v>
      </x:c>
      <x:c r="F515" s="362" t="n">
        <x:v>24</x:v>
      </x:c>
      <x:c r="G515" s="362" t="str">
        <x:v>Highly toxic</x:v>
      </x:c>
      <x:c r="H515" s="362" t="str">
        <x:v>Inflict continuous toxic damage</x:v>
      </x:c>
      <x:c r="I515" s="362" t="str">
        <x:v>Unlocked</x:v>
      </x:c>
      <x:c r="J515" s="362" t="str">
        <x:v>00:30.50</x:v>
      </x:c>
      <x:c r="K515" s="362" t="str">
        <x:v>E014; Tier: T8; Directly visible tooltip; representative frame sampled at 0.5-second resolution.; Source frame: frames05s/h_0061.jpg</x:v>
      </x:c>
      <x:c r="L515" s="362" t="str">
        <x:v>1000025872.mp4</x:v>
      </x:c>
    </x:row>
    <x:row r="516" ht="32" customHeight="1">
      <x:c r="A516" s="362" t="str">
        <x:v>K176</x:v>
      </x:c>
      <x:c r="B516" s="362" t="str">
        <x:v>༺璀璨星辰༻</x:v>
      </x:c>
      <x:c r="C516" s="362" t="str">
        <x:v>Guards</x:v>
      </x:c>
      <x:c r="D516" s="362" t="str">
        <x:v>Destroyers</x:v>
      </x:c>
      <x:c r="E516" s="362" t="str">
        <x:v>Guard</x:v>
      </x:c>
      <x:c r="F516" s="362" t="n">
        <x:v>45</x:v>
      </x:c>
      <x:c r="G516" s="362" t="str">
        <x:v>Parry</x:v>
      </x:c>
      <x:c r="H516" s="362" t="str">
        <x:v>Provides a parry effect and a certain probability to increase damage</x:v>
      </x:c>
      <x:c r="I516" s="362" t="str">
        <x:v>Unlocked</x:v>
      </x:c>
      <x:c r="J516" s="362" t="str">
        <x:v>00:36.00</x:v>
      </x:c>
      <x:c r="K516" s="362" t="str">
        <x:v>E015; Tier: T10; Directly visible tooltip; representative frame sampled at 0.5-second resolution.; Source frame: frames05s/h_0072.jpg</x:v>
      </x:c>
      <x:c r="L516" s="362" t="str">
        <x:v>1000025872.mp4</x:v>
      </x:c>
    </x:row>
    <x:row r="517" ht="32" customHeight="1">
      <x:c r="A517" s="362" t="str">
        <x:v>K176</x:v>
      </x:c>
      <x:c r="B517" s="362" t="str">
        <x:v>༺璀璨星辰༻</x:v>
      </x:c>
      <x:c r="C517" s="362" t="str">
        <x:v>Cavalry</x:v>
      </x:c>
      <x:c r="D517" s="362" t="str">
        <x:v>Eternal knights</x:v>
      </x:c>
      <x:c r="E517" s="362" t="str">
        <x:v>Heavy Cavalry</x:v>
      </x:c>
      <x:c r="F517" s="362" t="n">
        <x:v>50</x:v>
      </x:c>
      <x:c r="G517" s="362" t="str">
        <x:v>Thunder trample</x:v>
      </x:c>
      <x:c r="H517" s="362" t="str">
        <x:v>Has a certain probability of causing trampling damage</x:v>
      </x:c>
      <x:c r="I517" s="362" t="str">
        <x:v>Unlocked</x:v>
      </x:c>
      <x:c r="J517" s="362" t="str">
        <x:v>00:37.00</x:v>
      </x:c>
      <x:c r="K517" s="362" t="str">
        <x:v>E016; Tier: T10; Directly visible tooltip; representative frame sampled at 0.5-second resolution.; Source frame: frames05s/h_0074.jpg</x:v>
      </x:c>
      <x:c r="L517" s="362" t="str">
        <x:v>1000025872.mp4</x:v>
      </x:c>
    </x:row>
    <x:row r="518" ht="32" customHeight="1">
      <x:c r="A518" s="362" t="str">
        <x:v>K176</x:v>
      </x:c>
      <x:c r="B518" s="362" t="str">
        <x:v>༺璀璨星辰༻</x:v>
      </x:c>
      <x:c r="C518" s="362" t="str">
        <x:v>Siege</x:v>
      </x:c>
      <x:c r="D518" s="362" t="str">
        <x:v>Manglers</x:v>
      </x:c>
      <x:c r="E518" s="362" t="str">
        <x:v>Siege</x:v>
      </x:c>
      <x:c r="F518" s="362" t="n">
        <x:v>45</x:v>
      </x:c>
      <x:c r="G518" s="362" t="str">
        <x:v>Highly toxic</x:v>
      </x:c>
      <x:c r="H518" s="362" t="str">
        <x:v>Inflict continuous toxic damage</x:v>
      </x:c>
      <x:c r="I518" s="362" t="str">
        <x:v>Unlocked</x:v>
      </x:c>
      <x:c r="J518" s="362" t="str">
        <x:v>00:38.00</x:v>
      </x:c>
      <x:c r="K518" s="362" t="str">
        <x:v>E017; Tier: T10; Directly visible tooltip; representative frame sampled at 0.5-second resolution.; Source frame: frames05s/h_0076.jpg</x:v>
      </x:c>
      <x:c r="L518" s="362" t="str">
        <x:v>1000025872.mp4</x:v>
      </x:c>
    </x:row>
    <x:row r="519" ht="32" customHeight="1">
      <x:c r="A519" s="362" t="str">
        <x:v>K176</x:v>
      </x:c>
      <x:c r="B519" s="362" t="str">
        <x:v>༺璀璨星辰༻</x:v>
      </x:c>
      <x:c r="C519" s="362" t="str">
        <x:v>Cavalry</x:v>
      </x:c>
      <x:c r="D519" s="362" t="str">
        <x:v>Storm cavalry</x:v>
      </x:c>
      <x:c r="E519" s="362" t="str">
        <x:v>Horse archer</x:v>
      </x:c>
      <x:c r="F519" s="362" t="n">
        <x:v>50</x:v>
      </x:c>
      <x:c r="G519" s="362" t="str">
        <x:v>Mounted Archery</x:v>
      </x:c>
      <x:c r="H519" s="362" t="str">
        <x:v>Has a certain probability of causing fly-shooting damage</x:v>
      </x:c>
      <x:c r="I519" s="362" t="str">
        <x:v>Unlocked</x:v>
      </x:c>
      <x:c r="J519" s="362" t="str">
        <x:v>00:39.00</x:v>
      </x:c>
      <x:c r="K519" s="362" t="str">
        <x:v>E018; Tier: T9; Directly visible tooltip; representative frame sampled at 0.5-second resolution.; Source frame: frames05s/h_0078.jpg</x:v>
      </x:c>
      <x:c r="L519" s="362" t="str">
        <x:v>1000025872.mp4</x:v>
      </x:c>
    </x:row>
    <x:row r="520" ht="32" customHeight="1">
      <x:c r="A520" s="362" t="str">
        <x:v>K176</x:v>
      </x:c>
      <x:c r="B520" s="362" t="str">
        <x:v>༺璀璨星辰༻</x:v>
      </x:c>
      <x:c r="C520" s="362" t="str">
        <x:v>Cavalry</x:v>
      </x:c>
      <x:c r="D520" s="362" t="str">
        <x:v>Roman knights</x:v>
      </x:c>
      <x:c r="E520" s="362" t="str">
        <x:v>Heavy Cavalry</x:v>
      </x:c>
      <x:c r="F520" s="362" t="n">
        <x:v>50</x:v>
      </x:c>
      <x:c r="G520" s="362" t="str">
        <x:v>Thunder trample</x:v>
      </x:c>
      <x:c r="H520" s="362" t="str">
        <x:v>Has a certain probability of causing trampling damage</x:v>
      </x:c>
      <x:c r="I520" s="362" t="str">
        <x:v>Unlocked</x:v>
      </x:c>
      <x:c r="J520" s="362" t="str">
        <x:v>00:40.00</x:v>
      </x:c>
      <x:c r="K520" s="362" t="str">
        <x:v>E019; Tier: T8; Directly visible tooltip; representative frame sampled at 0.5-second resolution.; Source frame: frames05s/h_0080.jpg</x:v>
      </x:c>
      <x:c r="L520" s="362" t="str">
        <x:v>1000025872.mp4</x:v>
      </x:c>
    </x:row>
    <x:row r="521" ht="32" customHeight="1">
      <x:c r="A521" s="362" t="str">
        <x:v>K176</x:v>
      </x:c>
      <x:c r="B521" s="362" t="str">
        <x:v>临兵斗者皆阵列前</x:v>
      </x:c>
      <x:c r="C521" s="362" t="str">
        <x:v>Guards</x:v>
      </x:c>
      <x:c r="D521" s="362" t="str">
        <x:v>Destroyers</x:v>
      </x:c>
      <x:c r="E521" s="362" t="str">
        <x:v>Guard</x:v>
      </x:c>
      <x:c r="F521" s="362" t="n">
        <x:v>45</x:v>
      </x:c>
      <x:c r="G521" s="362" t="str">
        <x:v>Parry</x:v>
      </x:c>
      <x:c r="H521" s="362" t="str">
        <x:v>Provides a parry effect and a certain probability to increase damage</x:v>
      </x:c>
      <x:c r="I521" s="362" t="str">
        <x:v>Unlocked</x:v>
      </x:c>
      <x:c r="J521" s="362" t="str">
        <x:v>00:46.00</x:v>
      </x:c>
      <x:c r="K521" s="362" t="str">
        <x:v>E020; Tier: T10; Directly visible tooltip; representative frame sampled at 0.5-second resolution.; Source frame: frames05s/h_0092.jpg</x:v>
      </x:c>
      <x:c r="L521" s="362" t="str">
        <x:v>1000025872.mp4</x:v>
      </x:c>
    </x:row>
    <x:row r="522" ht="32" customHeight="1">
      <x:c r="A522" s="362" t="str">
        <x:v>K176</x:v>
      </x:c>
      <x:c r="B522" s="362" t="str">
        <x:v>临兵斗者皆阵列前</x:v>
      </x:c>
      <x:c r="C522" s="362" t="str">
        <x:v>Cavalry</x:v>
      </x:c>
      <x:c r="D522" s="362" t="str">
        <x:v>Eternal knights</x:v>
      </x:c>
      <x:c r="E522" s="362" t="str">
        <x:v>Heavy Cavalry</x:v>
      </x:c>
      <x:c r="F522" s="362" t="n">
        <x:v>48</x:v>
      </x:c>
      <x:c r="G522" s="362" t="str">
        <x:v>Thunder trample</x:v>
      </x:c>
      <x:c r="H522" s="362" t="str">
        <x:v>Has a certain probability of causing trampling damage</x:v>
      </x:c>
      <x:c r="I522" s="362" t="str">
        <x:v>Unlocked</x:v>
      </x:c>
      <x:c r="J522" s="362" t="str">
        <x:v>00:47.00</x:v>
      </x:c>
      <x:c r="K522" s="362" t="str">
        <x:v>E021; Tier: T10; Directly visible tooltip; representative frame sampled at 0.5-second resolution. Adjacent same-player tooltip swap separately verified at 00:47.00.; Source frame: frames05s/h_0094.jpg</x:v>
      </x:c>
      <x:c r="L522" s="362" t="str">
        <x:v>1000025872.mp4</x:v>
      </x:c>
    </x:row>
    <x:row r="523" ht="32" customHeight="1">
      <x:c r="A523" s="362" t="str">
        <x:v>K176</x:v>
      </x:c>
      <x:c r="B523" s="362" t="str">
        <x:v>临兵斗者皆阵列前</x:v>
      </x:c>
      <x:c r="C523" s="362" t="str">
        <x:v>Archers</x:v>
      </x:c>
      <x:c r="D523" s="362" t="str">
        <x:v>Elite bowmen</x:v>
      </x:c>
      <x:c r="E523" s="362" t="str">
        <x:v>Archer</x:v>
      </x:c>
      <x:c r="F523" s="362" t="n">
        <x:v>35</x:v>
      </x:c>
      <x:c r="G523" s="362" t="str">
        <x:v>Frost Arrow</x:v>
      </x:c>
      <x:c r="H523" s="362" t="str">
        <x:v>Has a higher probability of activating ice damage</x:v>
      </x:c>
      <x:c r="I523" s="362" t="str">
        <x:v>Unlocked</x:v>
      </x:c>
      <x:c r="J523" s="362" t="str">
        <x:v>00:48.00</x:v>
      </x:c>
      <x:c r="K523" s="362" t="str">
        <x:v>E022; Tier: T10; Directly visible tooltip; representative frame sampled at 0.5-second resolution.; Source frame: frames05s/h_0096.jpg</x:v>
      </x:c>
      <x:c r="L523" s="362" t="str">
        <x:v>1000025872.mp4</x:v>
      </x:c>
    </x:row>
    <x:row r="524" ht="32" customHeight="1">
      <x:c r="A524" s="362" t="str">
        <x:v>K176</x:v>
      </x:c>
      <x:c r="B524" s="362" t="str">
        <x:v>临兵斗者皆阵列前</x:v>
      </x:c>
      <x:c r="C524" s="362" t="str">
        <x:v>Siege</x:v>
      </x:c>
      <x:c r="D524" s="362" t="str">
        <x:v>Manglers</x:v>
      </x:c>
      <x:c r="E524" s="362" t="str">
        <x:v>Siege</x:v>
      </x:c>
      <x:c r="F524" s="362" t="n">
        <x:v>22</x:v>
      </x:c>
      <x:c r="G524" s="362" t="str">
        <x:v>Highly toxic</x:v>
      </x:c>
      <x:c r="H524" s="362" t="str">
        <x:v>Inflict continuous toxic damage</x:v>
      </x:c>
      <x:c r="I524" s="362" t="str">
        <x:v>Unlocked</x:v>
      </x:c>
      <x:c r="J524" s="362" t="str">
        <x:v>00:49.00</x:v>
      </x:c>
      <x:c r="K524" s="362" t="str">
        <x:v>E023; Tier: T10; Directly visible tooltip; representative frame sampled at 0.5-second resolution.; Source frame: frames05s/h_0098.jpg</x:v>
      </x:c>
      <x:c r="L524" s="362" t="str">
        <x:v>1000025872.mp4</x:v>
      </x:c>
    </x:row>
    <x:row r="525" ht="32" customHeight="1">
      <x:c r="A525" s="362" t="str">
        <x:v>K176</x:v>
      </x:c>
      <x:c r="B525" s="362" t="str">
        <x:v>临兵斗者皆阵列前</x:v>
      </x:c>
      <x:c r="C525" s="362" t="str">
        <x:v>Cavalry</x:v>
      </x:c>
      <x:c r="D525" s="362" t="str">
        <x:v>Storm cavalry</x:v>
      </x:c>
      <x:c r="E525" s="362" t="str">
        <x:v>Horse archer</x:v>
      </x:c>
      <x:c r="F525" s="362" t="n">
        <x:v>45</x:v>
      </x:c>
      <x:c r="G525" s="362" t="str">
        <x:v>Mounted Archery</x:v>
      </x:c>
      <x:c r="H525" s="362" t="str">
        <x:v>Has a certain probability of causing fly-shooting damage</x:v>
      </x:c>
      <x:c r="I525" s="362" t="str">
        <x:v>Unlocked</x:v>
      </x:c>
      <x:c r="J525" s="362" t="str">
        <x:v>00:50.00</x:v>
      </x:c>
      <x:c r="K525" s="362" t="str">
        <x:v>E024; Tier: T9; Directly visible tooltip; representative frame sampled at 0.5-second resolution.; Source frame: frames05s/h_0100.jpg</x:v>
      </x:c>
      <x:c r="L525" s="362" t="str">
        <x:v>1000025872.mp4</x:v>
      </x:c>
    </x:row>
    <x:row r="526" ht="32" customHeight="1">
      <x:c r="A526" s="362" t="str">
        <x:v>K176</x:v>
      </x:c>
      <x:c r="B526" s="362" t="str">
        <x:v>梦山河</x:v>
      </x:c>
      <x:c r="C526" s="362" t="str">
        <x:v>Guards</x:v>
      </x:c>
      <x:c r="D526" s="362" t="str">
        <x:v>Destroyers</x:v>
      </x:c>
      <x:c r="E526" s="362" t="str">
        <x:v>Guard</x:v>
      </x:c>
      <x:c r="F526" s="362" t="n">
        <x:v>45</x:v>
      </x:c>
      <x:c r="G526" s="362" t="str">
        <x:v>Parry</x:v>
      </x:c>
      <x:c r="H526" s="362" t="str">
        <x:v>Provides a parry effect and a certain probability to increase damage</x:v>
      </x:c>
      <x:c r="I526" s="362" t="str">
        <x:v>Unlocked</x:v>
      </x:c>
      <x:c r="J526" s="362" t="str">
        <x:v>00:58.00</x:v>
      </x:c>
      <x:c r="K526" s="362" t="str">
        <x:v>E025; Tier: T10; Directly visible tooltip; representative frame sampled at 0.5-second resolution.; Source frame: frames05s/h_0116.jpg</x:v>
      </x:c>
      <x:c r="L526" s="362" t="str">
        <x:v>1000025872.mp4</x:v>
      </x:c>
    </x:row>
    <x:row r="527" ht="32" customHeight="1">
      <x:c r="A527" s="362" t="str">
        <x:v>K176</x:v>
      </x:c>
      <x:c r="B527" s="362" t="str">
        <x:v>梦山河</x:v>
      </x:c>
      <x:c r="C527" s="362" t="str">
        <x:v>Cavalry</x:v>
      </x:c>
      <x:c r="D527" s="362" t="str">
        <x:v>Eternal knights</x:v>
      </x:c>
      <x:c r="E527" s="362" t="str">
        <x:v>Heavy Cavalry</x:v>
      </x:c>
      <x:c r="F527" s="362" t="n">
        <x:v>49</x:v>
      </x:c>
      <x:c r="G527" s="362" t="str">
        <x:v>Thunder trample</x:v>
      </x:c>
      <x:c r="H527" s="362" t="str">
        <x:v>Has a certain probability of causing trampling damage</x:v>
      </x:c>
      <x:c r="I527" s="362" t="str">
        <x:v>Unlocked</x:v>
      </x:c>
      <x:c r="J527" s="362" t="str">
        <x:v>00:59.00</x:v>
      </x:c>
      <x:c r="K527" s="362" t="str">
        <x:v>E026; Tier: T10; Directly visible tooltip; representative frame sampled at 0.5-second resolution.; Source frame: frames05s/h_0118.jpg</x:v>
      </x:c>
      <x:c r="L527" s="362" t="str">
        <x:v>1000025872.mp4</x:v>
      </x:c>
    </x:row>
    <x:row r="528" ht="32" customHeight="1">
      <x:c r="A528" s="362" t="str">
        <x:v>K176</x:v>
      </x:c>
      <x:c r="B528" s="362" t="str">
        <x:v>梦山河</x:v>
      </x:c>
      <x:c r="C528" s="362" t="str">
        <x:v>Siege</x:v>
      </x:c>
      <x:c r="D528" s="362" t="str">
        <x:v>Manglers</x:v>
      </x:c>
      <x:c r="E528" s="362" t="str">
        <x:v>Siege</x:v>
      </x:c>
      <x:c r="F528" s="362" t="n">
        <x:v>44</x:v>
      </x:c>
      <x:c r="G528" s="362" t="str">
        <x:v>Highly toxic</x:v>
      </x:c>
      <x:c r="H528" s="362" t="str">
        <x:v>Inflict continuous toxic damage</x:v>
      </x:c>
      <x:c r="I528" s="362" t="str">
        <x:v>Unlocked</x:v>
      </x:c>
      <x:c r="J528" s="362" t="str">
        <x:v>01:00.00</x:v>
      </x:c>
      <x:c r="K528" s="362" t="str">
        <x:v>E027; Tier: T10; Directly visible tooltip; representative frame sampled at 0.5-second resolution.; Source frame: frames05s/h_0120.jpg</x:v>
      </x:c>
      <x:c r="L528" s="362" t="str">
        <x:v>1000025872.mp4</x:v>
      </x:c>
    </x:row>
    <x:row r="529" ht="32" customHeight="1">
      <x:c r="A529" s="362" t="str">
        <x:v>K176</x:v>
      </x:c>
      <x:c r="B529" s="362" t="str">
        <x:v>梦山河</x:v>
      </x:c>
      <x:c r="C529" s="362" t="str">
        <x:v>Cavalry</x:v>
      </x:c>
      <x:c r="D529" s="362" t="str">
        <x:v>Storm cavalry</x:v>
      </x:c>
      <x:c r="E529" s="362" t="str">
        <x:v>Horse archer</x:v>
      </x:c>
      <x:c r="F529" s="362" t="n">
        <x:v>49</x:v>
      </x:c>
      <x:c r="G529" s="362" t="str">
        <x:v>Mounted Archery</x:v>
      </x:c>
      <x:c r="H529" s="362" t="str">
        <x:v>Has a certain probability of causing fly-shooting damage</x:v>
      </x:c>
      <x:c r="I529" s="362" t="str">
        <x:v>Unlocked</x:v>
      </x:c>
      <x:c r="J529" s="362" t="str">
        <x:v>01:01.00</x:v>
      </x:c>
      <x:c r="K529" s="362" t="str">
        <x:v>E028; Tier: T9; Directly visible tooltip; representative frame sampled at 0.5-second resolution.; Source frame: frames05s/h_0122.jpg</x:v>
      </x:c>
      <x:c r="L529" s="362" t="str">
        <x:v>1000025872.mp4</x:v>
      </x:c>
    </x:row>
    <x:row r="530" ht="32" customHeight="1">
      <x:c r="A530" s="362" t="str">
        <x:v>K176</x:v>
      </x:c>
      <x:c r="B530" s="362" t="str">
        <x:v>梦山河</x:v>
      </x:c>
      <x:c r="C530" s="362" t="str">
        <x:v>Cavalry</x:v>
      </x:c>
      <x:c r="D530" s="362" t="str">
        <x:v>Roman knights</x:v>
      </x:c>
      <x:c r="E530" s="362" t="str">
        <x:v>Heavy Cavalry</x:v>
      </x:c>
      <x:c r="F530" s="362" t="n">
        <x:v>49</x:v>
      </x:c>
      <x:c r="G530" s="362" t="str">
        <x:v>Thunder trample</x:v>
      </x:c>
      <x:c r="H530" s="362" t="str">
        <x:v>Has a certain probability of causing trampling damage</x:v>
      </x:c>
      <x:c r="I530" s="362" t="str">
        <x:v>Unlocked</x:v>
      </x:c>
      <x:c r="J530" s="362" t="str">
        <x:v>01:02.00</x:v>
      </x:c>
      <x:c r="K530" s="362" t="str">
        <x:v>E029; Tier: T8; Directly visible tooltip; representative frame sampled at 0.5-second resolution.; Source frame: frames05s/h_0124.jpg</x:v>
      </x:c>
      <x:c r="L530" s="362" t="str">
        <x:v>1000025872.mp4</x:v>
      </x:c>
    </x:row>
    <x:row r="531" ht="32" customHeight="1">
      <x:c r="A531" s="362" t="str">
        <x:v>K176</x:v>
      </x:c>
      <x:c r="B531" s="362" t="str">
        <x:v>梦山河</x:v>
      </x:c>
      <x:c r="C531" s="362" t="str">
        <x:v>Siege</x:v>
      </x:c>
      <x:c r="D531" s="362" t="str">
        <x:v>End siege</x:v>
      </x:c>
      <x:c r="E531" s="362" t="str">
        <x:v>Siege</x:v>
      </x:c>
      <x:c r="F531" s="362" t="n">
        <x:v>44</x:v>
      </x:c>
      <x:c r="G531" s="362" t="str">
        <x:v>Highly toxic</x:v>
      </x:c>
      <x:c r="H531" s="362" t="str">
        <x:v>Inflict continuous toxic damage</x:v>
      </x:c>
      <x:c r="I531" s="362" t="str">
        <x:v>Unlocked</x:v>
      </x:c>
      <x:c r="J531" s="362" t="str">
        <x:v>01:03.00</x:v>
      </x:c>
      <x:c r="K531" s="362" t="str">
        <x:v>E030; Tier: T8; Directly visible tooltip; representative frame sampled at 0.5-second resolution.; Source frame: frames05s/h_0126.jpg</x:v>
      </x:c>
      <x:c r="L531" s="362" t="str">
        <x:v>1000025872.mp4</x:v>
      </x:c>
    </x:row>
    <x:row r="532" ht="32" customHeight="1">
      <x:c r="A532" s="362" t="str">
        <x:v>K176</x:v>
      </x:c>
      <x:c r="B532" s="362" t="str">
        <x:v>岑胖子</x:v>
      </x:c>
      <x:c r="C532" s="362" t="str">
        <x:v>Guards</x:v>
      </x:c>
      <x:c r="D532" s="362" t="str">
        <x:v>Destroyers</x:v>
      </x:c>
      <x:c r="E532" s="362" t="str">
        <x:v>Guard</x:v>
      </x:c>
      <x:c r="F532" s="362" t="n">
        <x:v>45</x:v>
      </x:c>
      <x:c r="G532" s="362" t="str">
        <x:v>Parry</x:v>
      </x:c>
      <x:c r="H532" s="362" t="str">
        <x:v>Provides a parry effect and a certain probability to increase damage</x:v>
      </x:c>
      <x:c r="I532" s="362" t="str">
        <x:v>Unlocked</x:v>
      </x:c>
      <x:c r="J532" s="362" t="str">
        <x:v>01:09.00</x:v>
      </x:c>
      <x:c r="K532" s="362" t="str">
        <x:v>E031; Tier: T10; Directly visible tooltip; representative frame sampled at 0.5-second resolution.; Source frame: frames05s/h_0138.jpg</x:v>
      </x:c>
      <x:c r="L532" s="362" t="str">
        <x:v>1000025872.mp4</x:v>
      </x:c>
    </x:row>
    <x:row r="533" ht="32" customHeight="1">
      <x:c r="A533" s="362" t="str">
        <x:v>K176</x:v>
      </x:c>
      <x:c r="B533" s="362" t="str">
        <x:v>岑胖子</x:v>
      </x:c>
      <x:c r="C533" s="362" t="str">
        <x:v>Cavalry</x:v>
      </x:c>
      <x:c r="D533" s="362" t="str">
        <x:v>Eternal knights</x:v>
      </x:c>
      <x:c r="E533" s="362" t="str">
        <x:v>Heavy Cavalry</x:v>
      </x:c>
      <x:c r="F533" s="362" t="n">
        <x:v>45</x:v>
      </x:c>
      <x:c r="G533" s="362" t="str">
        <x:v>Thunder trample</x:v>
      </x:c>
      <x:c r="H533" s="362" t="str">
        <x:v>Has a certain probability of causing trampling damage</x:v>
      </x:c>
      <x:c r="I533" s="362" t="str">
        <x:v>Unlocked</x:v>
      </x:c>
      <x:c r="J533" s="362" t="str">
        <x:v>01:10.00</x:v>
      </x:c>
      <x:c r="K533" s="362" t="str">
        <x:v>E032; Tier: T10; Directly visible tooltip; representative frame sampled at 0.5-second resolution.; Source frame: frames05s/h_0140.jpg</x:v>
      </x:c>
      <x:c r="L533" s="362" t="str">
        <x:v>1000025872.mp4</x:v>
      </x:c>
    </x:row>
    <x:row r="534" ht="32" customHeight="1">
      <x:c r="A534" s="362" t="str">
        <x:v>K176</x:v>
      </x:c>
      <x:c r="B534" s="362" t="str">
        <x:v>岑胖子</x:v>
      </x:c>
      <x:c r="C534" s="362" t="str">
        <x:v>Archers</x:v>
      </x:c>
      <x:c r="D534" s="362" t="str">
        <x:v>Elite bowmen</x:v>
      </x:c>
      <x:c r="E534" s="362" t="str">
        <x:v>Archer</x:v>
      </x:c>
      <x:c r="F534" s="362" t="n">
        <x:v>31</x:v>
      </x:c>
      <x:c r="G534" s="362" t="str">
        <x:v>Frost Arrow</x:v>
      </x:c>
      <x:c r="H534" s="362" t="str">
        <x:v>Has a higher probability of activating ice damage</x:v>
      </x:c>
      <x:c r="I534" s="362" t="str">
        <x:v>Unlocked</x:v>
      </x:c>
      <x:c r="J534" s="362" t="str">
        <x:v>01:11.00</x:v>
      </x:c>
      <x:c r="K534" s="362" t="str">
        <x:v>E033; Tier: T10; Directly visible tooltip; representative frame sampled at 0.5-second resolution.; Source frame: frames05s/h_0142.jpg</x:v>
      </x:c>
      <x:c r="L534" s="362" t="str">
        <x:v>1000025872.mp4</x:v>
      </x:c>
    </x:row>
    <x:row r="535" ht="32" customHeight="1">
      <x:c r="A535" s="362" t="str">
        <x:v>K176</x:v>
      </x:c>
      <x:c r="B535" s="362" t="str">
        <x:v>岑胖子</x:v>
      </x:c>
      <x:c r="C535" s="362" t="str">
        <x:v>Siege</x:v>
      </x:c>
      <x:c r="D535" s="362" t="str">
        <x:v>Manglers</x:v>
      </x:c>
      <x:c r="E535" s="362" t="str">
        <x:v>Siege</x:v>
      </x:c>
      <x:c r="F535" s="362" t="n">
        <x:v>20</x:v>
      </x:c>
      <x:c r="G535" s="362" t="str">
        <x:v>Highly toxic</x:v>
      </x:c>
      <x:c r="H535" s="362" t="str">
        <x:v>Inflict continuous toxic damage</x:v>
      </x:c>
      <x:c r="I535" s="362" t="str">
        <x:v>Unlocked</x:v>
      </x:c>
      <x:c r="J535" s="362" t="str">
        <x:v>01:12.00</x:v>
      </x:c>
      <x:c r="K535" s="362" t="str">
        <x:v>E034; Tier: T10; Directly visible tooltip; representative frame sampled at 0.5-second resolution.; Source frame: frames05s/h_0144.jpg</x:v>
      </x:c>
      <x:c r="L535" s="362" t="str">
        <x:v>1000025872.mp4</x:v>
      </x:c>
    </x:row>
    <x:row r="536" ht="32" customHeight="1">
      <x:c r="A536" s="362" t="str">
        <x:v>K176</x:v>
      </x:c>
      <x:c r="B536" s="362" t="str">
        <x:v>岑胖子</x:v>
      </x:c>
      <x:c r="C536" s="362" t="str">
        <x:v>Cavalry</x:v>
      </x:c>
      <x:c r="D536" s="362" t="str">
        <x:v>Storm cavalry</x:v>
      </x:c>
      <x:c r="E536" s="362" t="str">
        <x:v>Horse archer</x:v>
      </x:c>
      <x:c r="F536" s="362" t="n">
        <x:v>46</x:v>
      </x:c>
      <x:c r="G536" s="362" t="str">
        <x:v>Mounted Archery</x:v>
      </x:c>
      <x:c r="H536" s="362" t="str">
        <x:v>Has a certain probability of causing fly-shooting damage</x:v>
      </x:c>
      <x:c r="I536" s="362" t="str">
        <x:v>Unlocked</x:v>
      </x:c>
      <x:c r="J536" s="362" t="str">
        <x:v>01:12.50</x:v>
      </x:c>
      <x:c r="K536" s="362" t="str">
        <x:v>E035; Tier: T9; Directly visible tooltip; representative frame sampled at 0.5-second resolution.; Source frame: frames05s/h_0145.jpg</x:v>
      </x:c>
      <x:c r="L536" s="362" t="str">
        <x:v>1000025872.mp4</x:v>
      </x:c>
    </x:row>
    <x:row r="537" ht="32" customHeight="1">
      <x:c r="A537" s="362" t="str">
        <x:v>K176</x:v>
      </x:c>
      <x:c r="B537" s="362" t="str">
        <x:v>岑胖子</x:v>
      </x:c>
      <x:c r="C537" s="362" t="str">
        <x:v>Cavalry</x:v>
      </x:c>
      <x:c r="D537" s="362" t="str">
        <x:v>Roman knights</x:v>
      </x:c>
      <x:c r="E537" s="362" t="str">
        <x:v>Heavy Cavalry</x:v>
      </x:c>
      <x:c r="F537" s="362" t="n">
        <x:v>45</x:v>
      </x:c>
      <x:c r="G537" s="362" t="str">
        <x:v>Thunder trample</x:v>
      </x:c>
      <x:c r="H537" s="362" t="str">
        <x:v>Has a certain probability of causing trampling damage</x:v>
      </x:c>
      <x:c r="I537" s="362" t="str">
        <x:v>Unlocked</x:v>
      </x:c>
      <x:c r="J537" s="362" t="str">
        <x:v>01:13.50</x:v>
      </x:c>
      <x:c r="K537" s="362" t="str">
        <x:v>E036; Tier: T8; Directly visible tooltip; representative frame sampled at 0.5-second resolution.; Source frame: frames05s/h_0147.jpg</x:v>
      </x:c>
      <x:c r="L537" s="362" t="str">
        <x:v>1000025872.mp4</x:v>
      </x:c>
    </x:row>
    <x:row r="538" ht="32" customHeight="1">
      <x:c r="A538" s="362" t="str">
        <x:v>K176</x:v>
      </x:c>
      <x:c r="B538" s="362" t="str">
        <x:v>岑胖子</x:v>
      </x:c>
      <x:c r="C538" s="362" t="str">
        <x:v>Siege</x:v>
      </x:c>
      <x:c r="D538" s="362" t="str">
        <x:v>End siege</x:v>
      </x:c>
      <x:c r="E538" s="362" t="str">
        <x:v>Siege</x:v>
      </x:c>
      <x:c r="F538" s="362" t="n">
        <x:v>20</x:v>
      </x:c>
      <x:c r="G538" s="362" t="str">
        <x:v>Highly toxic</x:v>
      </x:c>
      <x:c r="H538" s="362" t="str">
        <x:v>Inflict continuous toxic damage</x:v>
      </x:c>
      <x:c r="I538" s="362" t="str">
        <x:v>Unlocked</x:v>
      </x:c>
      <x:c r="J538" s="362" t="str">
        <x:v>01:14.00</x:v>
      </x:c>
      <x:c r="K538" s="362" t="str">
        <x:v>E037; Tier: T8; Directly visible tooltip; representative frame sampled at 0.5-second resolution.; Source frame: frames05s/h_0148.jpg</x:v>
      </x:c>
      <x:c r="L538" s="362" t="str">
        <x:v>1000025872.mp4</x:v>
      </x:c>
    </x:row>
    <x:row r="539" ht="32" customHeight="1">
      <x:c r="A539" s="362" t="str">
        <x:v>K176</x:v>
      </x:c>
      <x:c r="B539" s="362" t="str">
        <x:v>♱Seraphim織羽♱</x:v>
      </x:c>
      <x:c r="C539" s="362" t="str">
        <x:v>Guards</x:v>
      </x:c>
      <x:c r="D539" s="362" t="str">
        <x:v>Destroyers</x:v>
      </x:c>
      <x:c r="E539" s="362" t="str">
        <x:v>Guard</x:v>
      </x:c>
      <x:c r="F539" s="362" t="n">
        <x:v>45</x:v>
      </x:c>
      <x:c r="G539" s="362" t="str">
        <x:v>Parry</x:v>
      </x:c>
      <x:c r="H539" s="362" t="str">
        <x:v>Provides a parry effect and a certain probability to increase damage</x:v>
      </x:c>
      <x:c r="I539" s="362" t="str">
        <x:v>Unlocked</x:v>
      </x:c>
      <x:c r="J539" s="362" t="str">
        <x:v>01:46.00</x:v>
      </x:c>
      <x:c r="K539" s="362" t="str">
        <x:v>E038; Tier: T10; Directly visible tooltip; representative frame sampled at 0.5-second resolution.; Source frame: frames05s/h_0212.jpg</x:v>
      </x:c>
      <x:c r="L539" s="362" t="str">
        <x:v>1000025872.mp4</x:v>
      </x:c>
    </x:row>
    <x:row r="540" ht="32" customHeight="1">
      <x:c r="A540" s="362" t="str">
        <x:v>K176</x:v>
      </x:c>
      <x:c r="B540" s="362" t="str">
        <x:v>♱Seraphim織羽♱</x:v>
      </x:c>
      <x:c r="C540" s="362" t="str">
        <x:v>Cavalry</x:v>
      </x:c>
      <x:c r="D540" s="362" t="str">
        <x:v>Eternal knights</x:v>
      </x:c>
      <x:c r="E540" s="362" t="str">
        <x:v>Heavy Cavalry</x:v>
      </x:c>
      <x:c r="F540" s="362" t="n">
        <x:v>49</x:v>
      </x:c>
      <x:c r="G540" s="362" t="str">
        <x:v>Thunder trample</x:v>
      </x:c>
      <x:c r="H540" s="362" t="str">
        <x:v>Has a certain probability of causing trampling damage</x:v>
      </x:c>
      <x:c r="I540" s="362" t="str">
        <x:v>Unlocked</x:v>
      </x:c>
      <x:c r="J540" s="362" t="str">
        <x:v>01:47.50</x:v>
      </x:c>
      <x:c r="K540" s="362" t="str">
        <x:v>E039; Tier: T10; Directly visible tooltip; representative frame sampled at 0.5-second resolution.; Source frame: frames05s/h_0215.jpg</x:v>
      </x:c>
      <x:c r="L540" s="362" t="str">
        <x:v>1000025872.mp4</x:v>
      </x:c>
    </x:row>
    <x:row r="541" ht="32" customHeight="1">
      <x:c r="A541" s="362" t="str">
        <x:v>K176</x:v>
      </x:c>
      <x:c r="B541" s="362" t="str">
        <x:v>♱Seraphim織羽♱</x:v>
      </x:c>
      <x:c r="C541" s="362" t="str">
        <x:v>Siege</x:v>
      </x:c>
      <x:c r="D541" s="362" t="str">
        <x:v>Manglers</x:v>
      </x:c>
      <x:c r="E541" s="362" t="str">
        <x:v>Siege</x:v>
      </x:c>
      <x:c r="F541" s="362" t="n">
        <x:v>40</x:v>
      </x:c>
      <x:c r="G541" s="362" t="str">
        <x:v>Highly toxic</x:v>
      </x:c>
      <x:c r="H541" s="362" t="str">
        <x:v>Inflict continuous toxic damage</x:v>
      </x:c>
      <x:c r="I541" s="362" t="str">
        <x:v>Unlocked</x:v>
      </x:c>
      <x:c r="J541" s="362" t="str">
        <x:v>01:49.50</x:v>
      </x:c>
      <x:c r="K541" s="362" t="str">
        <x:v>E040; Tier: T10; Directly visible tooltip; representative frame sampled at 0.5-second resolution.; Source frame: frames05s/h_0219.jpg</x:v>
      </x:c>
      <x:c r="L541" s="362" t="str">
        <x:v>1000025872.mp4</x:v>
      </x:c>
    </x:row>
    <x:row r="542" ht="32" customHeight="1">
      <x:c r="A542" s="362" t="str">
        <x:v>K176</x:v>
      </x:c>
      <x:c r="B542" s="362" t="str">
        <x:v>♱Seraphim織羽♱</x:v>
      </x:c>
      <x:c r="C542" s="362" t="str">
        <x:v>Cavalry</x:v>
      </x:c>
      <x:c r="D542" s="362" t="str">
        <x:v>Storm cavalry</x:v>
      </x:c>
      <x:c r="E542" s="362" t="str">
        <x:v>Horse archer</x:v>
      </x:c>
      <x:c r="F542" s="362" t="n">
        <x:v>49</x:v>
      </x:c>
      <x:c r="G542" s="362" t="str">
        <x:v>Mounted Archery</x:v>
      </x:c>
      <x:c r="H542" s="362" t="str">
        <x:v>Has a certain probability of causing fly-shooting damage</x:v>
      </x:c>
      <x:c r="I542" s="362" t="str">
        <x:v>Unlocked</x:v>
      </x:c>
      <x:c r="J542" s="362" t="str">
        <x:v>01:51.00</x:v>
      </x:c>
      <x:c r="K542" s="362" t="str">
        <x:v>E041; Tier: T9; Directly visible tooltip; representative frame sampled at 0.5-second resolution.; Source frame: frames05s/h_0222.jpg</x:v>
      </x:c>
      <x:c r="L542" s="362" t="str">
        <x:v>1000025872.mp4</x:v>
      </x:c>
    </x:row>
    <x:row r="543" ht="32" customHeight="1">
      <x:c r="A543" s="362" t="str">
        <x:v>K176</x:v>
      </x:c>
      <x:c r="B543" s="362" t="str">
        <x:v>♱Seraphim織羽♱</x:v>
      </x:c>
      <x:c r="C543" s="362" t="str">
        <x:v>Cavalry</x:v>
      </x:c>
      <x:c r="D543" s="362" t="str">
        <x:v>Roman knights</x:v>
      </x:c>
      <x:c r="E543" s="362" t="str">
        <x:v>Heavy Cavalry</x:v>
      </x:c>
      <x:c r="F543" s="362" t="n">
        <x:v>49</x:v>
      </x:c>
      <x:c r="G543" s="362" t="str">
        <x:v>Thunder trample</x:v>
      </x:c>
      <x:c r="H543" s="362" t="str">
        <x:v>Has a certain probability of causing trampling damage</x:v>
      </x:c>
      <x:c r="I543" s="362" t="str">
        <x:v>Unlocked</x:v>
      </x:c>
      <x:c r="J543" s="362" t="str">
        <x:v>01:52.00</x:v>
      </x:c>
      <x:c r="K543" s="362" t="str">
        <x:v>E042; Tier: T8; Directly visible tooltip; representative frame sampled at 0.5-second resolution.; Source frame: frames05s/h_0224.jpg</x:v>
      </x:c>
      <x:c r="L543" s="362" t="str">
        <x:v>1000025872.mp4</x:v>
      </x:c>
    </x:row>
    <x:row r="544" ht="32" customHeight="1">
      <x:c r="A544" s="362" t="str">
        <x:v>K176</x:v>
      </x:c>
      <x:c r="B544" s="362" t="str">
        <x:v>♱Seraphim織羽♱</x:v>
      </x:c>
      <x:c r="C544" s="362" t="str">
        <x:v>Siege</x:v>
      </x:c>
      <x:c r="D544" s="362" t="str">
        <x:v>End siege</x:v>
      </x:c>
      <x:c r="E544" s="362" t="str">
        <x:v>Siege</x:v>
      </x:c>
      <x:c r="F544" s="362" t="n">
        <x:v>40</x:v>
      </x:c>
      <x:c r="G544" s="362" t="str">
        <x:v>Highly toxic</x:v>
      </x:c>
      <x:c r="H544" s="362" t="str">
        <x:v>Inflict continuous toxic damage</x:v>
      </x:c>
      <x:c r="I544" s="362" t="str">
        <x:v>Unlocked</x:v>
      </x:c>
      <x:c r="J544" s="362" t="str">
        <x:v>01:53.00</x:v>
      </x:c>
      <x:c r="K544" s="362" t="str">
        <x:v>E043; Tier: T8; Directly visible tooltip; representative frame sampled at 0.5-second resolution.; Source frame: frames05s/h_0226.jpg</x:v>
      </x:c>
      <x:c r="L544" s="362" t="str">
        <x:v>1000025872.mp4</x:v>
      </x:c>
    </x:row>
    <x:row r="545" ht="32" customHeight="1">
      <x:c r="A545" s="362" t="str">
        <x:v>K176</x:v>
      </x:c>
      <x:c r="B545" s="362" t="str">
        <x:v>ʚ老⑥ɞ</x:v>
      </x:c>
      <x:c r="C545" s="362" t="str">
        <x:v>Cavalry</x:v>
      </x:c>
      <x:c r="D545" s="362" t="str">
        <x:v>Eternal knights</x:v>
      </x:c>
      <x:c r="E545" s="362" t="str">
        <x:v>Heavy Cavalry</x:v>
      </x:c>
      <x:c r="F545" s="362" t="n">
        <x:v>43</x:v>
      </x:c>
      <x:c r="G545" s="362" t="str">
        <x:v>Thunder trample</x:v>
      </x:c>
      <x:c r="H545" s="362" t="str">
        <x:v>Has a certain probability of causing trampling damage</x:v>
      </x:c>
      <x:c r="I545" s="362" t="str">
        <x:v>Unlocked</x:v>
      </x:c>
      <x:c r="J545" s="362" t="str">
        <x:v>02:01.00</x:v>
      </x:c>
      <x:c r="K545" s="362" t="str">
        <x:v>E044; Tier: T10; Directly visible tooltip; representative frame sampled at 0.5-second resolution.; Source frame: frames05s/h_0242.jpg</x:v>
      </x:c>
      <x:c r="L545" s="362" t="str">
        <x:v>1000025872.mp4</x:v>
      </x:c>
    </x:row>
    <x:row r="546" ht="32" customHeight="1">
      <x:c r="A546" s="362" t="str">
        <x:v>K176</x:v>
      </x:c>
      <x:c r="B546" s="362" t="str">
        <x:v>ʚ老⑥ɞ</x:v>
      </x:c>
      <x:c r="C546" s="362" t="str">
        <x:v>Archers</x:v>
      </x:c>
      <x:c r="D546" s="362" t="str">
        <x:v>Elite bowmen</x:v>
      </x:c>
      <x:c r="E546" s="362" t="str">
        <x:v>Archer</x:v>
      </x:c>
      <x:c r="F546" s="362" t="n">
        <x:v>43</x:v>
      </x:c>
      <x:c r="G546" s="362" t="str">
        <x:v>Frost Arrow</x:v>
      </x:c>
      <x:c r="H546" s="362" t="str">
        <x:v>Has a higher probability of activating ice damage</x:v>
      </x:c>
      <x:c r="I546" s="362" t="str">
        <x:v>Unlocked</x:v>
      </x:c>
      <x:c r="J546" s="362" t="str">
        <x:v>02:02.00</x:v>
      </x:c>
      <x:c r="K546" s="362" t="str">
        <x:v>E045; Tier: T10; Directly visible tooltip; representative frame sampled at 0.5-second resolution.; Source frame: frames05s/h_0244.jpg</x:v>
      </x:c>
      <x:c r="L546" s="362" t="str">
        <x:v>1000025872.mp4</x:v>
      </x:c>
    </x:row>
    <x:row r="547" ht="32" customHeight="1">
      <x:c r="A547" s="362" t="str">
        <x:v>K176</x:v>
      </x:c>
      <x:c r="B547" s="362" t="str">
        <x:v>ʚ老⑥ɞ</x:v>
      </x:c>
      <x:c r="C547" s="362" t="str">
        <x:v>Guards</x:v>
      </x:c>
      <x:c r="D547" s="362" t="str">
        <x:v>Immortal spearman</x:v>
      </x:c>
      <x:c r="E547" s="362" t="str">
        <x:v>Spearman</x:v>
      </x:c>
      <x:c r="F547" s="362" t="n">
        <x:v>43</x:v>
      </x:c>
      <x:c r="G547" s="362" t="str">
        <x:v>Bloodthirst Spear</x:v>
      </x:c>
      <x:c r="H547" s="362" t="str">
        <x:v>Has a low probability of initiating bloodthirsty damage</x:v>
      </x:c>
      <x:c r="I547" s="362" t="str">
        <x:v>Unlocked</x:v>
      </x:c>
      <x:c r="J547" s="362" t="str">
        <x:v>02:03.50</x:v>
      </x:c>
      <x:c r="K547" s="362" t="str">
        <x:v>E046; Tier: T9; Directly visible tooltip; representative frame sampled at 0.5-second resolution.; Source frame: frames05s/h_0247.jpg</x:v>
      </x:c>
      <x:c r="L547" s="362" t="str">
        <x:v>1000025872.mp4</x:v>
      </x:c>
    </x:row>
    <x:row r="548" ht="32" customHeight="1">
      <x:c r="A548" s="362" t="str">
        <x:v>K176</x:v>
      </x:c>
      <x:c r="B548" s="362" t="str">
        <x:v>ʚ老⑥ɞ</x:v>
      </x:c>
      <x:c r="C548" s="362" t="str">
        <x:v>Cavalry</x:v>
      </x:c>
      <x:c r="D548" s="362" t="str">
        <x:v>Storm cavalry</x:v>
      </x:c>
      <x:c r="E548" s="362" t="str">
        <x:v>Horse archer</x:v>
      </x:c>
      <x:c r="F548" s="362" t="n">
        <x:v>43</x:v>
      </x:c>
      <x:c r="G548" s="362" t="str">
        <x:v>Mounted Archery</x:v>
      </x:c>
      <x:c r="H548" s="362" t="str">
        <x:v>Has a certain probability of causing fly-shooting damage</x:v>
      </x:c>
      <x:c r="I548" s="362" t="str">
        <x:v>Unlocked</x:v>
      </x:c>
      <x:c r="J548" s="362" t="str">
        <x:v>02:04.50</x:v>
      </x:c>
      <x:c r="K548" s="362" t="str">
        <x:v>E047; Tier: T9; Directly visible tooltip; representative frame sampled at 0.5-second resolution.; Source frame: frames05s/h_0249.jpg</x:v>
      </x:c>
      <x:c r="L548" s="362" t="str">
        <x:v>1000025872.mp4</x:v>
      </x:c>
    </x:row>
    <x:row r="549" ht="32" customHeight="1">
      <x:c r="A549" s="362" t="str">
        <x:v>K176</x:v>
      </x:c>
      <x:c r="B549" s="362" t="str">
        <x:v>ʚ老⑥ɞ</x:v>
      </x:c>
      <x:c r="C549" s="362" t="str">
        <x:v>Cavalry</x:v>
      </x:c>
      <x:c r="D549" s="362" t="str">
        <x:v>Roman knights</x:v>
      </x:c>
      <x:c r="E549" s="362" t="str">
        <x:v>Heavy Cavalry</x:v>
      </x:c>
      <x:c r="F549" s="362" t="n">
        <x:v>43</x:v>
      </x:c>
      <x:c r="G549" s="362" t="str">
        <x:v>Thunder trample</x:v>
      </x:c>
      <x:c r="H549" s="362" t="str">
        <x:v>Has a certain probability of causing trampling damage</x:v>
      </x:c>
      <x:c r="I549" s="362" t="str">
        <x:v>Unlocked</x:v>
      </x:c>
      <x:c r="J549" s="362" t="str">
        <x:v>02:05.00</x:v>
      </x:c>
      <x:c r="K549" s="362" t="str">
        <x:v>E048; Tier: T8; Directly visible tooltip; representative frame sampled at 0.5-second resolution.; Source frame: frames05s/h_0250.jpg</x:v>
      </x:c>
      <x:c r="L549" s="362" t="str">
        <x:v>1000025872.mp4</x:v>
      </x:c>
    </x:row>
    <x:row r="550" ht="32" customHeight="1">
      <x:c r="A550" s="362" t="str">
        <x:v>K176</x:v>
      </x:c>
      <x:c r="B550" s="362" t="str">
        <x:v>ʚ老⑥ɞ</x:v>
      </x:c>
      <x:c r="C550" s="362" t="str">
        <x:v>Siege</x:v>
      </x:c>
      <x:c r="D550" s="362" t="str">
        <x:v>End siege</x:v>
      </x:c>
      <x:c r="E550" s="362" t="str">
        <x:v>Siege</x:v>
      </x:c>
      <x:c r="F550" s="362" t="n">
        <x:v>43</x:v>
      </x:c>
      <x:c r="G550" s="362" t="str">
        <x:v>Highly toxic</x:v>
      </x:c>
      <x:c r="H550" s="362" t="str">
        <x:v>Inflict continuous toxic damage</x:v>
      </x:c>
      <x:c r="I550" s="362" t="str">
        <x:v>Unlocked</x:v>
      </x:c>
      <x:c r="J550" s="362" t="str">
        <x:v>02:06.00</x:v>
      </x:c>
      <x:c r="K550" s="362" t="str">
        <x:v>E049; Tier: T8; Directly visible tooltip; representative frame sampled at 0.5-second resolution.; Source frame: frames05s/h_0252.jpg</x:v>
      </x:c>
      <x:c r="L550" s="362" t="str">
        <x:v>1000025872.mp4</x:v>
      </x:c>
    </x:row>
    <x:row r="551" ht="32" customHeight="1">
      <x:c r="A551" s="362" t="str">
        <x:v>K176</x:v>
      </x:c>
      <x:c r="B551" s="362" t="str">
        <x:v>灰色轨迹</x:v>
      </x:c>
      <x:c r="C551" s="362" t="str">
        <x:v>Guards</x:v>
      </x:c>
      <x:c r="D551" s="362" t="str">
        <x:v>Destroyers</x:v>
      </x:c>
      <x:c r="E551" s="362" t="str">
        <x:v>Guard</x:v>
      </x:c>
      <x:c r="F551" s="362" t="n">
        <x:v>45</x:v>
      </x:c>
      <x:c r="G551" s="362" t="str">
        <x:v>Parry</x:v>
      </x:c>
      <x:c r="H551" s="362" t="str">
        <x:v>Provides a parry effect and a certain probability to increase damage</x:v>
      </x:c>
      <x:c r="I551" s="362" t="str">
        <x:v>Unlocked</x:v>
      </x:c>
      <x:c r="J551" s="362" t="str">
        <x:v>02:11.50</x:v>
      </x:c>
      <x:c r="K551" s="362" t="str">
        <x:v>E050; Tier: T10; Directly visible tooltip; representative frame sampled at 0.5-second resolution.; Source frame: frames05s/h_0263.jpg</x:v>
      </x:c>
      <x:c r="L551" s="362" t="str">
        <x:v>1000025872.mp4</x:v>
      </x:c>
    </x:row>
    <x:row r="552" ht="32" customHeight="1">
      <x:c r="A552" s="362" t="str">
        <x:v>K176</x:v>
      </x:c>
      <x:c r="B552" s="362" t="str">
        <x:v>灰色轨迹</x:v>
      </x:c>
      <x:c r="C552" s="362" t="str">
        <x:v>Cavalry</x:v>
      </x:c>
      <x:c r="D552" s="362" t="str">
        <x:v>Eternal knights</x:v>
      </x:c>
      <x:c r="E552" s="362" t="str">
        <x:v>Heavy Cavalry</x:v>
      </x:c>
      <x:c r="F552" s="362" t="n">
        <x:v>46</x:v>
      </x:c>
      <x:c r="G552" s="362" t="str">
        <x:v>Thunder trample</x:v>
      </x:c>
      <x:c r="H552" s="362" t="str">
        <x:v>Has a certain probability of causing trampling damage</x:v>
      </x:c>
      <x:c r="I552" s="362" t="str">
        <x:v>Unlocked</x:v>
      </x:c>
      <x:c r="J552" s="362" t="str">
        <x:v>02:12.50</x:v>
      </x:c>
      <x:c r="K552" s="362" t="str">
        <x:v>E051; Tier: T10; Directly visible tooltip; representative frame sampled at 0.5-second resolution.; Source frame: frames05s/h_0265.jpg</x:v>
      </x:c>
      <x:c r="L552" s="362" t="str">
        <x:v>1000025872.mp4</x:v>
      </x:c>
    </x:row>
    <x:row r="553" ht="32" customHeight="1">
      <x:c r="A553" s="362" t="str">
        <x:v>K176</x:v>
      </x:c>
      <x:c r="B553" s="362" t="str">
        <x:v>灰色轨迹</x:v>
      </x:c>
      <x:c r="C553" s="362" t="str">
        <x:v>Archers</x:v>
      </x:c>
      <x:c r="D553" s="362" t="str">
        <x:v>Elite bowmen</x:v>
      </x:c>
      <x:c r="E553" s="362" t="str">
        <x:v>Archer</x:v>
      </x:c>
      <x:c r="F553" s="362" t="n">
        <x:v>34</x:v>
      </x:c>
      <x:c r="G553" s="362" t="str">
        <x:v>Frost Arrow</x:v>
      </x:c>
      <x:c r="H553" s="362" t="str">
        <x:v>Has a higher probability of activating ice damage</x:v>
      </x:c>
      <x:c r="I553" s="362" t="str">
        <x:v>Unlocked</x:v>
      </x:c>
      <x:c r="J553" s="362" t="str">
        <x:v>02:13.00</x:v>
      </x:c>
      <x:c r="K553" s="362" t="str">
        <x:v>E052; Tier: T10; Directly visible tooltip; representative frame sampled at 0.5-second resolution.; Source frame: frames05s/h_0266.jpg</x:v>
      </x:c>
      <x:c r="L553" s="362" t="str">
        <x:v>1000025872.mp4</x:v>
      </x:c>
    </x:row>
    <x:row r="554" ht="32" customHeight="1">
      <x:c r="A554" s="362" t="str">
        <x:v>K176</x:v>
      </x:c>
      <x:c r="B554" s="362" t="str">
        <x:v>灰色轨迹</x:v>
      </x:c>
      <x:c r="C554" s="362" t="str">
        <x:v>Siege</x:v>
      </x:c>
      <x:c r="D554" s="362" t="str">
        <x:v>Manglers</x:v>
      </x:c>
      <x:c r="E554" s="362" t="str">
        <x:v>Siege</x:v>
      </x:c>
      <x:c r="F554" s="362" t="n">
        <x:v>25</x:v>
      </x:c>
      <x:c r="G554" s="362" t="str">
        <x:v>Highly toxic</x:v>
      </x:c>
      <x:c r="H554" s="362" t="str">
        <x:v>Inflict continuous toxic damage</x:v>
      </x:c>
      <x:c r="I554" s="362" t="str">
        <x:v>Unlocked</x:v>
      </x:c>
      <x:c r="J554" s="362" t="str">
        <x:v>02:14.00</x:v>
      </x:c>
      <x:c r="K554" s="362" t="str">
        <x:v>E053; Tier: T10; Directly visible tooltip; representative frame sampled at 0.5-second resolution.; Source frame: frames05s/h_0268.jpg</x:v>
      </x:c>
      <x:c r="L554" s="362" t="str">
        <x:v>1000025872.mp4</x:v>
      </x:c>
    </x:row>
    <x:row r="555" ht="32" customHeight="1">
      <x:c r="A555" s="362" t="str">
        <x:v>K176</x:v>
      </x:c>
      <x:c r="B555" s="362" t="str">
        <x:v>灰色轨迹</x:v>
      </x:c>
      <x:c r="C555" s="362" t="str">
        <x:v>Cavalry</x:v>
      </x:c>
      <x:c r="D555" s="362" t="str">
        <x:v>Storm cavalry</x:v>
      </x:c>
      <x:c r="E555" s="362" t="str">
        <x:v>Horse archer</x:v>
      </x:c>
      <x:c r="F555" s="362" t="n">
        <x:v>48</x:v>
      </x:c>
      <x:c r="G555" s="362" t="str">
        <x:v>Mounted Archery</x:v>
      </x:c>
      <x:c r="H555" s="362" t="str">
        <x:v>Has a certain probability of causing fly-shooting damage</x:v>
      </x:c>
      <x:c r="I555" s="362" t="str">
        <x:v>Unlocked</x:v>
      </x:c>
      <x:c r="J555" s="362" t="str">
        <x:v>02:15.00</x:v>
      </x:c>
      <x:c r="K555" s="362" t="str">
        <x:v>E054; Tier: T9; Directly visible tooltip; representative frame sampled at 0.5-second resolution.; Source frame: frames05s/h_0270.jpg</x:v>
      </x:c>
      <x:c r="L555" s="362" t="str">
        <x:v>1000025872.mp4</x:v>
      </x:c>
    </x:row>
    <x:row r="556" ht="32" customHeight="1">
      <x:c r="A556" s="362" t="str">
        <x:v>K176</x:v>
      </x:c>
      <x:c r="B556" s="362" t="str">
        <x:v>灰色轨迹</x:v>
      </x:c>
      <x:c r="C556" s="362" t="str">
        <x:v>Siege</x:v>
      </x:c>
      <x:c r="D556" s="362" t="str">
        <x:v>End siege</x:v>
      </x:c>
      <x:c r="E556" s="362" t="str">
        <x:v>Siege</x:v>
      </x:c>
      <x:c r="F556" s="362" t="n">
        <x:v>25</x:v>
      </x:c>
      <x:c r="G556" s="362" t="str">
        <x:v>Highly toxic</x:v>
      </x:c>
      <x:c r="H556" s="362" t="str">
        <x:v>Inflict continuous toxic damage</x:v>
      </x:c>
      <x:c r="I556" s="362" t="str">
        <x:v>Unlocked</x:v>
      </x:c>
      <x:c r="J556" s="362" t="str">
        <x:v>02:16.50</x:v>
      </x:c>
      <x:c r="K556" s="362" t="str">
        <x:v>E055; Tier: T8; Directly visible tooltip; representative frame sampled at 0.5-second resolution.; Source frame: frames05s/h_0273.jpg</x:v>
      </x:c>
      <x:c r="L556" s="362" t="str">
        <x:v>1000025872.mp4</x:v>
      </x:c>
    </x:row>
    <x:row r="557" ht="32" customHeight="1">
      <x:c r="A557" s="362" t="str">
        <x:v>K176</x:v>
      </x:c>
      <x:c r="B557" s="362" t="str">
        <x:v>罗密欧与猪过夜</x:v>
      </x:c>
      <x:c r="C557" s="362" t="str">
        <x:v>Guards</x:v>
      </x:c>
      <x:c r="D557" s="362" t="str">
        <x:v>Destroyers</x:v>
      </x:c>
      <x:c r="E557" s="362" t="str">
        <x:v>Guard</x:v>
      </x:c>
      <x:c r="F557" s="362" t="n">
        <x:v>45</x:v>
      </x:c>
      <x:c r="G557" s="362" t="str">
        <x:v>Parry</x:v>
      </x:c>
      <x:c r="H557" s="362" t="str">
        <x:v>Provides a parry effect and a certain probability to increase damage</x:v>
      </x:c>
      <x:c r="I557" s="362" t="str">
        <x:v>Unlocked</x:v>
      </x:c>
      <x:c r="J557" s="362" t="str">
        <x:v>02:24.00</x:v>
      </x:c>
      <x:c r="K557" s="362" t="str">
        <x:v>E056; Tier: T10; Directly visible tooltip; representative frame sampled at 0.5-second resolution.; Source frame: frames05s/h_0288.jpg</x:v>
      </x:c>
      <x:c r="L557" s="362" t="str">
        <x:v>1000025872.mp4</x:v>
      </x:c>
    </x:row>
    <x:row r="558" ht="32" customHeight="1">
      <x:c r="A558" s="362" t="str">
        <x:v>K176</x:v>
      </x:c>
      <x:c r="B558" s="362" t="str">
        <x:v>罗密欧与猪过夜</x:v>
      </x:c>
      <x:c r="C558" s="362" t="str">
        <x:v>Cavalry</x:v>
      </x:c>
      <x:c r="D558" s="362" t="str">
        <x:v>Eternal knights</x:v>
      </x:c>
      <x:c r="E558" s="362" t="str">
        <x:v>Heavy Cavalry</x:v>
      </x:c>
      <x:c r="F558" s="362" t="n">
        <x:v>47</x:v>
      </x:c>
      <x:c r="G558" s="362" t="str">
        <x:v>Thunder trample</x:v>
      </x:c>
      <x:c r="H558" s="362" t="str">
        <x:v>Has a certain probability of causing trampling damage</x:v>
      </x:c>
      <x:c r="I558" s="362" t="str">
        <x:v>Unlocked</x:v>
      </x:c>
      <x:c r="J558" s="362" t="str">
        <x:v>02:25.00</x:v>
      </x:c>
      <x:c r="K558" s="362" t="str">
        <x:v>E057; Tier: T10; Directly visible tooltip; representative frame sampled at 0.5-second resolution.; Source frame: frames05s/h_0290.jpg</x:v>
      </x:c>
      <x:c r="L558" s="362" t="str">
        <x:v>1000025872.mp4</x:v>
      </x:c>
    </x:row>
    <x:row r="559" ht="32" customHeight="1">
      <x:c r="A559" s="362" t="str">
        <x:v>K176</x:v>
      </x:c>
      <x:c r="B559" s="362" t="str">
        <x:v>罗密欧与猪过夜</x:v>
      </x:c>
      <x:c r="C559" s="362" t="str">
        <x:v>Siege</x:v>
      </x:c>
      <x:c r="D559" s="362" t="str">
        <x:v>Manglers</x:v>
      </x:c>
      <x:c r="E559" s="362" t="str">
        <x:v>Siege</x:v>
      </x:c>
      <x:c r="F559" s="362" t="n">
        <x:v>42</x:v>
      </x:c>
      <x:c r="G559" s="362" t="str">
        <x:v>Highly toxic</x:v>
      </x:c>
      <x:c r="H559" s="362" t="str">
        <x:v>Inflict continuous toxic damage</x:v>
      </x:c>
      <x:c r="I559" s="362" t="str">
        <x:v>Unlocked</x:v>
      </x:c>
      <x:c r="J559" s="362" t="str">
        <x:v>02:26.00</x:v>
      </x:c>
      <x:c r="K559" s="362" t="str">
        <x:v>E058; Tier: T10; Directly visible tooltip; representative frame sampled at 0.5-second resolution.; Source frame: frames05s/h_0292.jpg</x:v>
      </x:c>
      <x:c r="L559" s="362" t="str">
        <x:v>1000025872.mp4</x:v>
      </x:c>
    </x:row>
    <x:row r="560" ht="32" customHeight="1">
      <x:c r="A560" s="362" t="str">
        <x:v>K176</x:v>
      </x:c>
      <x:c r="B560" s="362" t="str">
        <x:v>罗密欧与猪过夜</x:v>
      </x:c>
      <x:c r="C560" s="362" t="str">
        <x:v>Cavalry</x:v>
      </x:c>
      <x:c r="D560" s="362" t="str">
        <x:v>Storm cavalry</x:v>
      </x:c>
      <x:c r="E560" s="362" t="str">
        <x:v>Horse archer</x:v>
      </x:c>
      <x:c r="F560" s="362" t="n">
        <x:v>47</x:v>
      </x:c>
      <x:c r="G560" s="362" t="str">
        <x:v>Mounted Archery</x:v>
      </x:c>
      <x:c r="H560" s="362" t="str">
        <x:v>Has a certain probability of causing fly-shooting damage</x:v>
      </x:c>
      <x:c r="I560" s="362" t="str">
        <x:v>Unlocked</x:v>
      </x:c>
      <x:c r="J560" s="362" t="str">
        <x:v>02:27.00</x:v>
      </x:c>
      <x:c r="K560" s="362" t="str">
        <x:v>E059; Tier: T9; Directly visible tooltip; representative frame sampled at 0.5-second resolution.; Source frame: frames05s/h_0294.jpg</x:v>
      </x:c>
      <x:c r="L560" s="362" t="str">
        <x:v>1000025872.mp4</x:v>
      </x:c>
    </x:row>
    <x:row r="561" ht="32" customHeight="1">
      <x:c r="A561" s="362" t="str">
        <x:v>K176</x:v>
      </x:c>
      <x:c r="B561" s="362" t="str">
        <x:v>罗密欧与猪过夜</x:v>
      </x:c>
      <x:c r="C561" s="362" t="str">
        <x:v>Cavalry</x:v>
      </x:c>
      <x:c r="D561" s="362" t="str">
        <x:v>Roman knights</x:v>
      </x:c>
      <x:c r="E561" s="362" t="str">
        <x:v>Heavy Cavalry</x:v>
      </x:c>
      <x:c r="F561" s="362" t="n">
        <x:v>47</x:v>
      </x:c>
      <x:c r="G561" s="362" t="str">
        <x:v>Thunder trample</x:v>
      </x:c>
      <x:c r="H561" s="362" t="str">
        <x:v>Has a certain probability of causing trampling damage</x:v>
      </x:c>
      <x:c r="I561" s="362" t="str">
        <x:v>Unlocked</x:v>
      </x:c>
      <x:c r="J561" s="362" t="str">
        <x:v>02:27.50</x:v>
      </x:c>
      <x:c r="K561" s="362" t="str">
        <x:v>E060; Tier: T8; Directly visible tooltip; representative frame sampled at 0.5-second resolution.; Source frame: frames05s/h_0295.jpg</x:v>
      </x:c>
      <x:c r="L561" s="362" t="str">
        <x:v>1000025872.mp4</x:v>
      </x:c>
    </x:row>
    <x:row r="562" ht="32" customHeight="1">
      <x:c r="A562" s="362" t="str">
        <x:v>K176</x:v>
      </x:c>
      <x:c r="B562" s="362" t="str">
        <x:v>罗密欧与猪过夜</x:v>
      </x:c>
      <x:c r="C562" s="362" t="str">
        <x:v>Siege</x:v>
      </x:c>
      <x:c r="D562" s="362" t="str">
        <x:v>End siege</x:v>
      </x:c>
      <x:c r="E562" s="362" t="str">
        <x:v>Siege</x:v>
      </x:c>
      <x:c r="F562" s="362" t="n">
        <x:v>42</x:v>
      </x:c>
      <x:c r="G562" s="362" t="str">
        <x:v>Highly toxic</x:v>
      </x:c>
      <x:c r="H562" s="362" t="str">
        <x:v>Inflict continuous toxic damage</x:v>
      </x:c>
      <x:c r="I562" s="362" t="str">
        <x:v>Unlocked</x:v>
      </x:c>
      <x:c r="J562" s="362" t="str">
        <x:v>02:28.50</x:v>
      </x:c>
      <x:c r="K562" s="362" t="str">
        <x:v>E061; Tier: T8; Directly visible tooltip; representative frame sampled at 0.5-second resolution.; Source frame: frames05s/h_0297.jpg</x:v>
      </x:c>
      <x:c r="L562" s="362" t="str">
        <x:v>1000025872.mp4</x:v>
      </x:c>
    </x:row>
    <x:row r="563" ht="32" customHeight="1">
      <x:c r="A563" s="362" t="str">
        <x:v>K176</x:v>
      </x:c>
      <x:c r="B563" s="362" t="str">
        <x:v>WARBLOOD</x:v>
      </x:c>
      <x:c r="C563" s="362" t="str">
        <x:v>Guards</x:v>
      </x:c>
      <x:c r="D563" s="362" t="str">
        <x:v>Destroyers</x:v>
      </x:c>
      <x:c r="E563" s="362" t="str">
        <x:v>Guard</x:v>
      </x:c>
      <x:c r="F563" s="362" t="n">
        <x:v>49</x:v>
      </x:c>
      <x:c r="G563" s="362" t="str">
        <x:v>Parry</x:v>
      </x:c>
      <x:c r="H563" s="362" t="str">
        <x:v>Provides a parry effect and a certain probability to increase damage</x:v>
      </x:c>
      <x:c r="I563" s="362" t="str">
        <x:v>Unlocked</x:v>
      </x:c>
      <x:c r="J563" s="362" t="str">
        <x:v>02:34.00</x:v>
      </x:c>
      <x:c r="K563" s="362" t="str">
        <x:v>E062; Tier: T10; Directly visible tooltip; representative frame sampled at 0.5-second resolution.; Source frame: frames05s/h_0308.jpg</x:v>
      </x:c>
      <x:c r="L563" s="362" t="str">
        <x:v>1000025872.mp4</x:v>
      </x:c>
    </x:row>
    <x:row r="564" ht="32" customHeight="1">
      <x:c r="A564" s="362" t="str">
        <x:v>K176</x:v>
      </x:c>
      <x:c r="B564" s="362" t="str">
        <x:v>WARBLOOD</x:v>
      </x:c>
      <x:c r="C564" s="362" t="str">
        <x:v>Cavalry</x:v>
      </x:c>
      <x:c r="D564" s="362" t="str">
        <x:v>Eternal knights</x:v>
      </x:c>
      <x:c r="E564" s="362" t="str">
        <x:v>Heavy Cavalry</x:v>
      </x:c>
      <x:c r="F564" s="362" t="n">
        <x:v>40</x:v>
      </x:c>
      <x:c r="G564" s="362" t="str">
        <x:v>Thunder trample</x:v>
      </x:c>
      <x:c r="H564" s="362" t="str">
        <x:v>Has a certain probability of causing trampling damage</x:v>
      </x:c>
      <x:c r="I564" s="362" t="str">
        <x:v>Unlocked</x:v>
      </x:c>
      <x:c r="J564" s="362" t="str">
        <x:v>02:35.00</x:v>
      </x:c>
      <x:c r="K564" s="362" t="str">
        <x:v>E063; Tier: T10; Directly visible tooltip; representative frame sampled at 0.5-second resolution.; Source frame: frames05s/h_0310.jpg</x:v>
      </x:c>
      <x:c r="L564" s="362" t="str">
        <x:v>1000025872.mp4</x:v>
      </x:c>
    </x:row>
    <x:row r="565" ht="32" customHeight="1">
      <x:c r="A565" s="362" t="str">
        <x:v>K176</x:v>
      </x:c>
      <x:c r="B565" s="362" t="str">
        <x:v>WARBLOOD</x:v>
      </x:c>
      <x:c r="C565" s="362" t="str">
        <x:v>Cavalry</x:v>
      </x:c>
      <x:c r="D565" s="362" t="str">
        <x:v>Storm cavalry</x:v>
      </x:c>
      <x:c r="E565" s="362" t="str">
        <x:v>Horse archer</x:v>
      </x:c>
      <x:c r="F565" s="362" t="n">
        <x:v>34</x:v>
      </x:c>
      <x:c r="G565" s="362" t="str">
        <x:v>Mounted Archery</x:v>
      </x:c>
      <x:c r="H565" s="362" t="str">
        <x:v>Has a certain probability of causing fly-shooting damage</x:v>
      </x:c>
      <x:c r="I565" s="362" t="str">
        <x:v>Unlocked</x:v>
      </x:c>
      <x:c r="J565" s="362" t="str">
        <x:v>02:35.50</x:v>
      </x:c>
      <x:c r="K565" s="362" t="str">
        <x:v>E064; Tier: T9; Directly visible tooltip; representative frame sampled at 0.5-second resolution.; Source frame: frames05s/h_0311.jpg</x:v>
      </x:c>
      <x:c r="L565" s="362" t="str">
        <x:v>1000025872.mp4</x:v>
      </x:c>
    </x:row>
    <x:row r="566" ht="32" customHeight="1">
      <x:c r="A566" s="362" t="str">
        <x:v>K176</x:v>
      </x:c>
      <x:c r="B566" s="362" t="str">
        <x:v>WARBLOOD</x:v>
      </x:c>
      <x:c r="C566" s="362" t="str">
        <x:v>Cavalry</x:v>
      </x:c>
      <x:c r="D566" s="362" t="str">
        <x:v>Roman knights</x:v>
      </x:c>
      <x:c r="E566" s="362" t="str">
        <x:v>Heavy Cavalry</x:v>
      </x:c>
      <x:c r="F566" s="362" t="n">
        <x:v>40</x:v>
      </x:c>
      <x:c r="G566" s="362" t="str">
        <x:v>Thunder trample</x:v>
      </x:c>
      <x:c r="H566" s="362" t="str">
        <x:v>Has a certain probability of causing trampling damage</x:v>
      </x:c>
      <x:c r="I566" s="362" t="str">
        <x:v>Unlocked</x:v>
      </x:c>
      <x:c r="J566" s="362" t="str">
        <x:v>02:36.50</x:v>
      </x:c>
      <x:c r="K566" s="362" t="str">
        <x:v>E065; Tier: T8; Directly visible tooltip; representative frame sampled at 0.5-second resolution.; Source frame: frames05s/h_0313.jpg</x:v>
      </x:c>
      <x:c r="L566" s="362" t="str">
        <x:v>1000025872.mp4</x:v>
      </x:c>
    </x:row>
    <x:row r="567" ht="32" customHeight="1">
      <x:c r="A567" s="362" t="str">
        <x:v>K176</x:v>
      </x:c>
      <x:c r="B567" s="362" t="str">
        <x:v>老黑黑</x:v>
      </x:c>
      <x:c r="C567" s="362" t="str">
        <x:v>Guards</x:v>
      </x:c>
      <x:c r="D567" s="362" t="str">
        <x:v>Destroyers</x:v>
      </x:c>
      <x:c r="E567" s="362" t="str">
        <x:v>Guard</x:v>
      </x:c>
      <x:c r="F567" s="362" t="n">
        <x:v>45</x:v>
      </x:c>
      <x:c r="G567" s="362" t="str">
        <x:v>Parry</x:v>
      </x:c>
      <x:c r="H567" s="362" t="str">
        <x:v>Provides a parry effect and a certain probability to increase damage</x:v>
      </x:c>
      <x:c r="I567" s="362" t="str">
        <x:v>Unlocked</x:v>
      </x:c>
      <x:c r="J567" s="362" t="str">
        <x:v>02:44.50</x:v>
      </x:c>
      <x:c r="K567" s="362" t="str">
        <x:v>E066; Tier: T10; Directly visible tooltip; representative frame sampled at 0.5-second resolution.; Source frame: frames05s/h_0329.jpg</x:v>
      </x:c>
      <x:c r="L567" s="362" t="str">
        <x:v>1000025872.mp4</x:v>
      </x:c>
    </x:row>
    <x:row r="568" ht="32" customHeight="1">
      <x:c r="A568" s="362" t="str">
        <x:v>K176</x:v>
      </x:c>
      <x:c r="B568" s="362" t="str">
        <x:v>老黑黑</x:v>
      </x:c>
      <x:c r="C568" s="362" t="str">
        <x:v>Cavalry</x:v>
      </x:c>
      <x:c r="D568" s="362" t="str">
        <x:v>Eternal knights</x:v>
      </x:c>
      <x:c r="E568" s="362" t="str">
        <x:v>Heavy Cavalry</x:v>
      </x:c>
      <x:c r="F568" s="362" t="n">
        <x:v>44</x:v>
      </x:c>
      <x:c r="G568" s="362" t="str">
        <x:v>Thunder trample</x:v>
      </x:c>
      <x:c r="H568" s="362" t="str">
        <x:v>Has a certain probability of causing trampling damage</x:v>
      </x:c>
      <x:c r="I568" s="362" t="str">
        <x:v>Unlocked</x:v>
      </x:c>
      <x:c r="J568" s="362" t="str">
        <x:v>02:45.50</x:v>
      </x:c>
      <x:c r="K568" s="362" t="str">
        <x:v>E067; Tier: T10; Directly visible tooltip; representative frame sampled at 0.5-second resolution.; Source frame: frames05s/h_0331.jpg</x:v>
      </x:c>
      <x:c r="L568" s="362" t="str">
        <x:v>1000025872.mp4</x:v>
      </x:c>
    </x:row>
    <x:row r="569" ht="32" customHeight="1">
      <x:c r="A569" s="362" t="str">
        <x:v>K176</x:v>
      </x:c>
      <x:c r="B569" s="362" t="str">
        <x:v>老黑黑</x:v>
      </x:c>
      <x:c r="C569" s="362" t="str">
        <x:v>Archers</x:v>
      </x:c>
      <x:c r="D569" s="362" t="str">
        <x:v>Elite bowmen</x:v>
      </x:c>
      <x:c r="E569" s="362" t="str">
        <x:v>Archer</x:v>
      </x:c>
      <x:c r="F569" s="362" t="n">
        <x:v>45</x:v>
      </x:c>
      <x:c r="G569" s="362" t="str">
        <x:v>Frost Arrow</x:v>
      </x:c>
      <x:c r="H569" s="362" t="str">
        <x:v>Has a higher probability of activating ice damage</x:v>
      </x:c>
      <x:c r="I569" s="362" t="str">
        <x:v>Unlocked</x:v>
      </x:c>
      <x:c r="J569" s="362" t="str">
        <x:v>02:46.00</x:v>
      </x:c>
      <x:c r="K569" s="362" t="str">
        <x:v>E068; Tier: T10; Directly visible tooltip; representative frame sampled at 0.5-second resolution.; Source frame: frames05s/h_0332.jpg</x:v>
      </x:c>
      <x:c r="L569" s="362" t="str">
        <x:v>1000025872.mp4</x:v>
      </x:c>
    </x:row>
    <x:row r="570" ht="32" customHeight="1">
      <x:c r="A570" s="362" t="str">
        <x:v>K176</x:v>
      </x:c>
      <x:c r="B570" s="362" t="str">
        <x:v>老黑黑</x:v>
      </x:c>
      <x:c r="C570" s="362" t="str">
        <x:v>Siege</x:v>
      </x:c>
      <x:c r="D570" s="362" t="str">
        <x:v>Manglers</x:v>
      </x:c>
      <x:c r="E570" s="362" t="str">
        <x:v>Siege</x:v>
      </x:c>
      <x:c r="F570" s="362" t="n">
        <x:v>25</x:v>
      </x:c>
      <x:c r="G570" s="362" t="str">
        <x:v>Highly toxic</x:v>
      </x:c>
      <x:c r="H570" s="362" t="str">
        <x:v>Inflict continuous toxic damage</x:v>
      </x:c>
      <x:c r="I570" s="362" t="str">
        <x:v>Unlocked</x:v>
      </x:c>
      <x:c r="J570" s="362" t="str">
        <x:v>02:47.00</x:v>
      </x:c>
      <x:c r="K570" s="362" t="str">
        <x:v>E069; Tier: T10; Directly visible tooltip; representative frame sampled at 0.5-second resolution.; Source frame: frames05s/h_0334.jpg</x:v>
      </x:c>
      <x:c r="L570" s="362" t="str">
        <x:v>1000025872.mp4</x:v>
      </x:c>
    </x:row>
    <x:row r="571" ht="32" customHeight="1">
      <x:c r="A571" s="362" t="str">
        <x:v>K176</x:v>
      </x:c>
      <x:c r="B571" s="362" t="str">
        <x:v>老黑黑</x:v>
      </x:c>
      <x:c r="C571" s="362" t="str">
        <x:v>Cavalry</x:v>
      </x:c>
      <x:c r="D571" s="362" t="str">
        <x:v>Storm cavalry</x:v>
      </x:c>
      <x:c r="E571" s="362" t="str">
        <x:v>Horse archer</x:v>
      </x:c>
      <x:c r="F571" s="362" t="n">
        <x:v>45</x:v>
      </x:c>
      <x:c r="G571" s="362" t="str">
        <x:v>Mounted Archery</x:v>
      </x:c>
      <x:c r="H571" s="362" t="str">
        <x:v>Has a certain probability of causing fly-shooting damage</x:v>
      </x:c>
      <x:c r="I571" s="362" t="str">
        <x:v>Unlocked</x:v>
      </x:c>
      <x:c r="J571" s="362" t="str">
        <x:v>02:47.50</x:v>
      </x:c>
      <x:c r="K571" s="362" t="str">
        <x:v>E070; Tier: T9; Directly visible tooltip; representative frame sampled at 0.5-second resolution.; Source frame: frames05s/h_0335.jpg</x:v>
      </x:c>
      <x:c r="L571" s="362" t="str">
        <x:v>1000025872.mp4</x:v>
      </x:c>
    </x:row>
    <x:row r="572" ht="32" customHeight="1">
      <x:c r="A572" s="362" t="str">
        <x:v>K176</x:v>
      </x:c>
      <x:c r="B572" s="362" t="str">
        <x:v>老黑黑</x:v>
      </x:c>
      <x:c r="C572" s="362" t="str">
        <x:v>Cavalry</x:v>
      </x:c>
      <x:c r="D572" s="362" t="str">
        <x:v>Roman knights</x:v>
      </x:c>
      <x:c r="E572" s="362" t="str">
        <x:v>Heavy Cavalry</x:v>
      </x:c>
      <x:c r="F572" s="362" t="n">
        <x:v>44</x:v>
      </x:c>
      <x:c r="G572" s="362" t="str">
        <x:v>Thunder trample</x:v>
      </x:c>
      <x:c r="H572" s="362" t="str">
        <x:v>Has a certain probability of causing trampling damage</x:v>
      </x:c>
      <x:c r="I572" s="362" t="str">
        <x:v>Unlocked</x:v>
      </x:c>
      <x:c r="J572" s="362" t="str">
        <x:v>02:48.50</x:v>
      </x:c>
      <x:c r="K572" s="362" t="str">
        <x:v>E071; Tier: T8; Directly visible tooltip; representative frame sampled at 0.5-second resolution.; Source frame: frames05s/h_0337.jpg</x:v>
      </x:c>
      <x:c r="L572" s="362" t="str">
        <x:v>1000025872.mp4</x:v>
      </x:c>
    </x:row>
    <x:row r="573" ht="32" customHeight="1">
      <x:c r="A573" s="362" t="str">
        <x:v>K176</x:v>
      </x:c>
      <x:c r="B573" s="362" t="str">
        <x:v>温不胜</x:v>
      </x:c>
      <x:c r="C573" s="362" t="str">
        <x:v>Guards</x:v>
      </x:c>
      <x:c r="D573" s="362" t="str">
        <x:v>Destroyers</x:v>
      </x:c>
      <x:c r="E573" s="362" t="str">
        <x:v>Guard</x:v>
      </x:c>
      <x:c r="F573" s="362" t="n">
        <x:v>45</x:v>
      </x:c>
      <x:c r="G573" s="362" t="str">
        <x:v>Parry</x:v>
      </x:c>
      <x:c r="H573" s="362" t="str">
        <x:v>Provides a parry effect and a certain probability to increase damage</x:v>
      </x:c>
      <x:c r="I573" s="362" t="str">
        <x:v>Unlocked</x:v>
      </x:c>
      <x:c r="J573" s="362" t="str">
        <x:v>02:57.00</x:v>
      </x:c>
      <x:c r="K573" s="362" t="str">
        <x:v>E072; Tier: T10; Directly visible tooltip; representative frame sampled at 0.5-second resolution.; Source frame: frames05s/h_0354.jpg</x:v>
      </x:c>
      <x:c r="L573" s="362" t="str">
        <x:v>1000025872.mp4</x:v>
      </x:c>
    </x:row>
    <x:row r="574" ht="32" customHeight="1">
      <x:c r="A574" s="362" t="str">
        <x:v>K176</x:v>
      </x:c>
      <x:c r="B574" s="362" t="str">
        <x:v>温不胜</x:v>
      </x:c>
      <x:c r="C574" s="362" t="str">
        <x:v>Cavalry</x:v>
      </x:c>
      <x:c r="D574" s="362" t="str">
        <x:v>Eternal knights</x:v>
      </x:c>
      <x:c r="E574" s="362" t="str">
        <x:v>Heavy Cavalry</x:v>
      </x:c>
      <x:c r="F574" s="362" t="n">
        <x:v>49</x:v>
      </x:c>
      <x:c r="G574" s="362" t="str">
        <x:v>Thunder trample</x:v>
      </x:c>
      <x:c r="H574" s="362" t="str">
        <x:v>Has a certain probability of causing trampling damage</x:v>
      </x:c>
      <x:c r="I574" s="362" t="str">
        <x:v>Unlocked</x:v>
      </x:c>
      <x:c r="J574" s="362" t="str">
        <x:v>02:57.50</x:v>
      </x:c>
      <x:c r="K574" s="362" t="str">
        <x:v>E073; Tier: T10; Directly visible tooltip; representative frame sampled at 0.5-second resolution.; Source frame: frames05s/h_0355.jpg</x:v>
      </x:c>
      <x:c r="L574" s="362" t="str">
        <x:v>1000025872.mp4</x:v>
      </x:c>
    </x:row>
    <x:row r="575" ht="32" customHeight="1">
      <x:c r="A575" s="362" t="str">
        <x:v>K176</x:v>
      </x:c>
      <x:c r="B575" s="362" t="str">
        <x:v>我是贤熙</x:v>
      </x:c>
      <x:c r="C575" s="362" t="str">
        <x:v>Cavalry</x:v>
      </x:c>
      <x:c r="D575" s="362" t="str">
        <x:v>Eternal knights</x:v>
      </x:c>
      <x:c r="E575" s="362" t="str">
        <x:v>Heavy Cavalry</x:v>
      </x:c>
      <x:c r="F575" s="362" t="n">
        <x:v>40</x:v>
      </x:c>
      <x:c r="G575" s="362" t="str">
        <x:v>Thunder trample</x:v>
      </x:c>
      <x:c r="H575" s="362" t="str">
        <x:v>Has a certain probability of causing trampling damage</x:v>
      </x:c>
      <x:c r="I575" s="362" t="str">
        <x:v>Unlocked</x:v>
      </x:c>
      <x:c r="J575" s="362" t="str">
        <x:v>03:08.00</x:v>
      </x:c>
      <x:c r="K575" s="362" t="str">
        <x:v>E074; Tier: T10; Directly visible tooltip; representative frame sampled at 0.5-second resolution.; Source frame: frames05s/h_0376.jpg</x:v>
      </x:c>
      <x:c r="L575" s="362" t="str">
        <x:v>1000025872.mp4</x:v>
      </x:c>
    </x:row>
    <x:row r="576" ht="32" customHeight="1">
      <x:c r="A576" s="362" t="str">
        <x:v>K176</x:v>
      </x:c>
      <x:c r="B576" s="362" t="str">
        <x:v>我是贤熙</x:v>
      </x:c>
      <x:c r="C576" s="362" t="str">
        <x:v>Cavalry</x:v>
      </x:c>
      <x:c r="D576" s="362" t="str">
        <x:v>Storm cavalry</x:v>
      </x:c>
      <x:c r="E576" s="362" t="str">
        <x:v>Horse archer</x:v>
      </x:c>
      <x:c r="F576" s="362" t="n">
        <x:v>43</x:v>
      </x:c>
      <x:c r="G576" s="362" t="str">
        <x:v>Mounted Archery</x:v>
      </x:c>
      <x:c r="H576" s="362" t="str">
        <x:v>Has a certain probability of causing fly-shooting damage</x:v>
      </x:c>
      <x:c r="I576" s="362" t="str">
        <x:v>Unlocked</x:v>
      </x:c>
      <x:c r="J576" s="362" t="str">
        <x:v>03:08.50</x:v>
      </x:c>
      <x:c r="K576" s="362" t="str">
        <x:v>E075; Tier: T9; Directly visible tooltip; representative frame sampled at 0.5-second resolution.; Source frame: frames05s/h_0377.jpg</x:v>
      </x:c>
      <x:c r="L576" s="362" t="str">
        <x:v>1000025872.mp4</x:v>
      </x:c>
    </x:row>
    <x:row r="577" ht="32" customHeight="1">
      <x:c r="A577" s="362" t="str">
        <x:v>K176</x:v>
      </x:c>
      <x:c r="B577" s="362" t="str">
        <x:v>金玉其外败絮其中</x:v>
      </x:c>
      <x:c r="C577" s="362" t="str">
        <x:v>Guards</x:v>
      </x:c>
      <x:c r="D577" s="362" t="str">
        <x:v>Destroyers</x:v>
      </x:c>
      <x:c r="E577" s="362" t="str">
        <x:v>Guard</x:v>
      </x:c>
      <x:c r="F577" s="362" t="n">
        <x:v>47</x:v>
      </x:c>
      <x:c r="G577" s="362" t="str">
        <x:v>Parry</x:v>
      </x:c>
      <x:c r="H577" s="362" t="str">
        <x:v>Provides a parry effect and a certain probability to increase damage</x:v>
      </x:c>
      <x:c r="I577" s="362" t="str">
        <x:v>Unlocked</x:v>
      </x:c>
      <x:c r="J577" s="362" t="str">
        <x:v>03:17.00</x:v>
      </x:c>
      <x:c r="K577" s="362" t="str">
        <x:v>E076; Tier: T10; Directly visible tooltip; representative frame sampled at 0.5-second resolution.; Source frame: frames05s/h_0394.jpg</x:v>
      </x:c>
      <x:c r="L577" s="362" t="str">
        <x:v>1000025872.mp4</x:v>
      </x:c>
    </x:row>
    <x:row r="578" ht="32" customHeight="1">
      <x:c r="A578" s="362" t="str">
        <x:v>K176</x:v>
      </x:c>
      <x:c r="B578" s="362" t="str">
        <x:v>金玉其外败絮其中</x:v>
      </x:c>
      <x:c r="C578" s="362" t="str">
        <x:v>Siege</x:v>
      </x:c>
      <x:c r="D578" s="362" t="str">
        <x:v>Manglers</x:v>
      </x:c>
      <x:c r="E578" s="362" t="str">
        <x:v>Siege</x:v>
      </x:c>
      <x:c r="F578" s="362" t="n">
        <x:v>37</x:v>
      </x:c>
      <x:c r="G578" s="362" t="str">
        <x:v>Highly toxic</x:v>
      </x:c>
      <x:c r="H578" s="362" t="str">
        <x:v>Inflict continuous toxic damage</x:v>
      </x:c>
      <x:c r="I578" s="362" t="str">
        <x:v>Unlocked</x:v>
      </x:c>
      <x:c r="J578" s="362" t="str">
        <x:v>03:19.00</x:v>
      </x:c>
      <x:c r="K578" s="362" t="str">
        <x:v>E077; Tier: T10; Directly visible tooltip; representative frame sampled at 0.5-second resolution.; Source frame: frames05s/h_0398.jpg</x:v>
      </x:c>
      <x:c r="L578" s="362" t="str">
        <x:v>1000025872.mp4</x:v>
      </x:c>
    </x:row>
    <x:row r="579" ht="32" customHeight="1">
      <x:c r="A579" s="362" t="str">
        <x:v>K176</x:v>
      </x:c>
      <x:c r="B579" s="362" t="str">
        <x:v>金玉其外败絮其中</x:v>
      </x:c>
      <x:c r="C579" s="362" t="str">
        <x:v>Cavalry</x:v>
      </x:c>
      <x:c r="D579" s="362" t="str">
        <x:v>Storm cavalry</x:v>
      </x:c>
      <x:c r="E579" s="362" t="str">
        <x:v>Horse archer</x:v>
      </x:c>
      <x:c r="F579" s="362" t="n">
        <x:v>48</x:v>
      </x:c>
      <x:c r="G579" s="362" t="str">
        <x:v>Mounted Archery</x:v>
      </x:c>
      <x:c r="H579" s="362" t="str">
        <x:v>Has a certain probability of causing fly-shooting damage</x:v>
      </x:c>
      <x:c r="I579" s="362" t="str">
        <x:v>Unlocked</x:v>
      </x:c>
      <x:c r="J579" s="362" t="str">
        <x:v>03:19.50</x:v>
      </x:c>
      <x:c r="K579" s="362" t="str">
        <x:v>E078; Tier: T9; Directly visible tooltip; representative frame sampled at 0.5-second resolution.; Source frame: frames05s/h_0399.jpg</x:v>
      </x:c>
      <x:c r="L579" s="362" t="str">
        <x:v>1000025872.mp4</x:v>
      </x:c>
    </x:row>
    <x:row r="580" ht="32" customHeight="1">
      <x:c r="A580" s="362" t="str">
        <x:v>K176</x:v>
      </x:c>
      <x:c r="B580" s="362" t="str">
        <x:v>金玉其外败絮其中</x:v>
      </x:c>
      <x:c r="C580" s="362" t="str">
        <x:v>Cavalry</x:v>
      </x:c>
      <x:c r="D580" s="362" t="str">
        <x:v>Roman knights</x:v>
      </x:c>
      <x:c r="E580" s="362" t="str">
        <x:v>Heavy Cavalry</x:v>
      </x:c>
      <x:c r="F580" s="362" t="n">
        <x:v>48</x:v>
      </x:c>
      <x:c r="G580" s="362" t="str">
        <x:v>Thunder trample</x:v>
      </x:c>
      <x:c r="H580" s="362" t="str">
        <x:v>Has a certain probability of causing trampling damage</x:v>
      </x:c>
      <x:c r="I580" s="362" t="str">
        <x:v>Unlocked</x:v>
      </x:c>
      <x:c r="J580" s="362" t="str">
        <x:v>03:20.00</x:v>
      </x:c>
      <x:c r="K580" s="362" t="str">
        <x:v>E079; Tier: T8; Directly visible tooltip; representative frame sampled at 0.5-second resolution.; Source frame: frames05s/h_0400.jpg</x:v>
      </x:c>
      <x:c r="L580" s="362" t="str">
        <x:v>1000025872.mp4</x:v>
      </x:c>
    </x:row>
    <x:row r="581" ht="32" customHeight="1">
      <x:c r="A581" s="362" t="str">
        <x:v>K176</x:v>
      </x:c>
      <x:c r="B581" s="362" t="str">
        <x:v>金玉其外败絮其中</x:v>
      </x:c>
      <x:c r="C581" s="362" t="str">
        <x:v>Siege</x:v>
      </x:c>
      <x:c r="D581" s="362" t="str">
        <x:v>End siege</x:v>
      </x:c>
      <x:c r="E581" s="362" t="str">
        <x:v>Siege</x:v>
      </x:c>
      <x:c r="F581" s="362" t="n">
        <x:v>37</x:v>
      </x:c>
      <x:c r="G581" s="362" t="str">
        <x:v>Highly toxic</x:v>
      </x:c>
      <x:c r="H581" s="362" t="str">
        <x:v>Inflict continuous toxic damage</x:v>
      </x:c>
      <x:c r="I581" s="362" t="str">
        <x:v>Unlocked</x:v>
      </x:c>
      <x:c r="J581" s="362" t="str">
        <x:v>03:20.50</x:v>
      </x:c>
      <x:c r="K581" s="362" t="str">
        <x:v>E080; Tier: T8; Directly visible tooltip; representative frame sampled at 0.5-second resolution.; Source frame: frames05s/h_0401.jpg</x:v>
      </x:c>
      <x:c r="L581" s="362" t="str">
        <x:v>1000025872.mp4</x:v>
      </x:c>
    </x:row>
    <x:row r="582" ht="32" customHeight="1">
      <x:c r="A582" s="362" t="str">
        <x:v>K176</x:v>
      </x:c>
      <x:c r="B582" s="362" t="str">
        <x:v>温水煮青蛙</x:v>
      </x:c>
      <x:c r="C582" s="362" t="str">
        <x:v>Guards</x:v>
      </x:c>
      <x:c r="D582" s="362" t="str">
        <x:v>Destroyers</x:v>
      </x:c>
      <x:c r="E582" s="362" t="str">
        <x:v>Guard</x:v>
      </x:c>
      <x:c r="F582" s="362" t="n">
        <x:v>46</x:v>
      </x:c>
      <x:c r="G582" s="362" t="str">
        <x:v>Parry</x:v>
      </x:c>
      <x:c r="H582" s="362" t="str">
        <x:v>Provides a parry effect and a certain probability to increase damage</x:v>
      </x:c>
      <x:c r="I582" s="362" t="str">
        <x:v>Unlocked</x:v>
      </x:c>
      <x:c r="J582" s="362" t="str">
        <x:v>03:27.00</x:v>
      </x:c>
      <x:c r="K582" s="362" t="str">
        <x:v>E081; Tier: T10; Directly visible tooltip; representative frame sampled at 0.5-second resolution.; Source frame: frames05s/h_0414.jpg</x:v>
      </x:c>
      <x:c r="L582" s="362" t="str">
        <x:v>1000025872.mp4</x:v>
      </x:c>
    </x:row>
    <x:row r="583" ht="32" customHeight="1">
      <x:c r="A583" s="362" t="str">
        <x:v>K176</x:v>
      </x:c>
      <x:c r="B583" s="362" t="str">
        <x:v>温水煮青蛙</x:v>
      </x:c>
      <x:c r="C583" s="362" t="str">
        <x:v>Cavalry</x:v>
      </x:c>
      <x:c r="D583" s="362" t="str">
        <x:v>Eternal knights</x:v>
      </x:c>
      <x:c r="E583" s="362" t="str">
        <x:v>Heavy Cavalry</x:v>
      </x:c>
      <x:c r="F583" s="362" t="n">
        <x:v>47</x:v>
      </x:c>
      <x:c r="G583" s="362" t="str">
        <x:v>Thunder trample</x:v>
      </x:c>
      <x:c r="H583" s="362" t="str">
        <x:v>Has a certain probability of causing trampling damage</x:v>
      </x:c>
      <x:c r="I583" s="362" t="str">
        <x:v>Unlocked</x:v>
      </x:c>
      <x:c r="J583" s="362" t="str">
        <x:v>03:27.50</x:v>
      </x:c>
      <x:c r="K583" s="362" t="str">
        <x:v>E082; Tier: T10; Directly visible tooltip; representative frame sampled at 0.5-second resolution.; Source frame: frames05s/h_0415.jpg</x:v>
      </x:c>
      <x:c r="L583" s="362" t="str">
        <x:v>1000025872.mp4</x:v>
      </x:c>
    </x:row>
    <x:row r="584" ht="32" customHeight="1">
      <x:c r="A584" s="362" t="str">
        <x:v>K176</x:v>
      </x:c>
      <x:c r="B584" s="362" t="str">
        <x:v>温水煮青蛙</x:v>
      </x:c>
      <x:c r="C584" s="362" t="str">
        <x:v>Siege</x:v>
      </x:c>
      <x:c r="D584" s="362" t="str">
        <x:v>Manglers</x:v>
      </x:c>
      <x:c r="E584" s="362" t="str">
        <x:v>Siege</x:v>
      </x:c>
      <x:c r="F584" s="362" t="n">
        <x:v>26</x:v>
      </x:c>
      <x:c r="G584" s="362" t="str">
        <x:v>Highly toxic</x:v>
      </x:c>
      <x:c r="H584" s="362" t="str">
        <x:v>Inflict continuous toxic damage</x:v>
      </x:c>
      <x:c r="I584" s="362" t="str">
        <x:v>Unlocked</x:v>
      </x:c>
      <x:c r="J584" s="362" t="str">
        <x:v>03:28.50</x:v>
      </x:c>
      <x:c r="K584" s="362" t="str">
        <x:v>E083; Tier: T10; Directly visible tooltip; representative frame sampled at 0.5-second resolution.; Source frame: frames05s/h_0417.jpg</x:v>
      </x:c>
      <x:c r="L584" s="362" t="str">
        <x:v>1000025872.mp4</x:v>
      </x:c>
    </x:row>
    <x:row r="585" ht="32" customHeight="1">
      <x:c r="A585" s="362" t="str">
        <x:v>K176</x:v>
      </x:c>
      <x:c r="B585" s="362" t="str">
        <x:v>温水煮青蛙</x:v>
      </x:c>
      <x:c r="C585" s="362" t="str">
        <x:v>Cavalry</x:v>
      </x:c>
      <x:c r="D585" s="362" t="str">
        <x:v>Storm cavalry</x:v>
      </x:c>
      <x:c r="E585" s="362" t="str">
        <x:v>Horse archer</x:v>
      </x:c>
      <x:c r="F585" s="362" t="n">
        <x:v>48</x:v>
      </x:c>
      <x:c r="G585" s="362" t="str">
        <x:v>Mounted Archery</x:v>
      </x:c>
      <x:c r="H585" s="362" t="str">
        <x:v>Has a certain probability of causing fly-shooting damage</x:v>
      </x:c>
      <x:c r="I585" s="362" t="str">
        <x:v>Unlocked</x:v>
      </x:c>
      <x:c r="J585" s="362" t="str">
        <x:v>03:29.00</x:v>
      </x:c>
      <x:c r="K585" s="362" t="str">
        <x:v>E084; Tier: T9; Directly visible tooltip; representative frame sampled at 0.5-second resolution.; Source frame: frames05s/h_0418.jpg</x:v>
      </x:c>
      <x:c r="L585" s="362" t="str">
        <x:v>1000025872.mp4</x:v>
      </x:c>
    </x:row>
    <x:row r="586" ht="32" customHeight="1">
      <x:c r="A586" s="362" t="str">
        <x:v>K176</x:v>
      </x:c>
      <x:c r="B586" s="362" t="str">
        <x:v>温水煮青蛙</x:v>
      </x:c>
      <x:c r="C586" s="362" t="str">
        <x:v>Cavalry</x:v>
      </x:c>
      <x:c r="D586" s="362" t="str">
        <x:v>Roman knights</x:v>
      </x:c>
      <x:c r="E586" s="362" t="str">
        <x:v>Heavy Cavalry</x:v>
      </x:c>
      <x:c r="F586" s="362" t="n">
        <x:v>47</x:v>
      </x:c>
      <x:c r="G586" s="362" t="str">
        <x:v>Thunder trample</x:v>
      </x:c>
      <x:c r="H586" s="362" t="str">
        <x:v>Has a certain probability of causing trampling damage</x:v>
      </x:c>
      <x:c r="I586" s="362" t="str">
        <x:v>Unlocked</x:v>
      </x:c>
      <x:c r="J586" s="362" t="str">
        <x:v>03:29.50</x:v>
      </x:c>
      <x:c r="K586" s="362" t="str">
        <x:v>E085; Tier: T8; Directly visible tooltip; representative frame sampled at 0.5-second resolution.; Source frame: frames05s/h_0419.jpg</x:v>
      </x:c>
      <x:c r="L586" s="362" t="str">
        <x:v>1000025872.mp4</x:v>
      </x:c>
    </x:row>
    <x:row r="587" ht="32" customHeight="1">
      <x:c r="A587" s="362" t="str">
        <x:v>K176</x:v>
      </x:c>
      <x:c r="B587" s="362" t="str">
        <x:v>温水煮青蛙</x:v>
      </x:c>
      <x:c r="C587" s="362" t="str">
        <x:v>Siege</x:v>
      </x:c>
      <x:c r="D587" s="362" t="str">
        <x:v>End siege</x:v>
      </x:c>
      <x:c r="E587" s="362" t="str">
        <x:v>Siege</x:v>
      </x:c>
      <x:c r="F587" s="362" t="n">
        <x:v>26</x:v>
      </x:c>
      <x:c r="G587" s="362" t="str">
        <x:v>Highly toxic</x:v>
      </x:c>
      <x:c r="H587" s="362" t="str">
        <x:v>Inflict continuous toxic damage</x:v>
      </x:c>
      <x:c r="I587" s="362" t="str">
        <x:v>Unlocked</x:v>
      </x:c>
      <x:c r="J587" s="362" t="str">
        <x:v>03:42.50</x:v>
      </x:c>
      <x:c r="K587" s="362" t="str">
        <x:v>E086; Tier: T8; Directly visible tooltip; representative frame sampled at 0.5-second resolution. This End siege tooltip appears on the duplicate second visit; the other five repeated openings were deduplicated.; Source frame: frames05s/h_0445.jpg</x:v>
      </x:c>
      <x:c r="L587" s="362" t="str">
        <x:v>1000025872.mp4</x:v>
      </x:c>
    </x:row>
    <x:row r="588" ht="32" customHeight="1">
      <x:c r="A588" s="362" t="str">
        <x:v>K176</x:v>
      </x:c>
      <x:c r="B588" s="362" t="str">
        <x:v>我于杀戮之中绽放</x:v>
      </x:c>
      <x:c r="C588" s="362" t="str">
        <x:v>Guards</x:v>
      </x:c>
      <x:c r="D588" s="362" t="str">
        <x:v>Destroyers</x:v>
      </x:c>
      <x:c r="E588" s="362" t="str">
        <x:v>Guard</x:v>
      </x:c>
      <x:c r="F588" s="362" t="n">
        <x:v>48</x:v>
      </x:c>
      <x:c r="G588" s="362" t="str">
        <x:v>Parry</x:v>
      </x:c>
      <x:c r="H588" s="362" t="str">
        <x:v>Provides a parry effect and a certain probability to increase damage</x:v>
      </x:c>
      <x:c r="I588" s="362" t="str">
        <x:v>Unlocked</x:v>
      </x:c>
      <x:c r="J588" s="362" t="str">
        <x:v>03:50.00</x:v>
      </x:c>
      <x:c r="K588" s="362" t="str">
        <x:v>E087; Tier: T10; Directly visible tooltip; representative frame sampled at 0.5-second resolution.; Source frame: frames05s/h_0460.jpg</x:v>
      </x:c>
      <x:c r="L588" s="362" t="str">
        <x:v>1000025872.mp4</x:v>
      </x:c>
    </x:row>
    <x:row r="589" ht="32" customHeight="1">
      <x:c r="A589" s="362" t="str">
        <x:v>K176</x:v>
      </x:c>
      <x:c r="B589" s="362" t="str">
        <x:v>我于杀戮之中绽放</x:v>
      </x:c>
      <x:c r="C589" s="362" t="str">
        <x:v>Cavalry</x:v>
      </x:c>
      <x:c r="D589" s="362" t="str">
        <x:v>Eternal knights</x:v>
      </x:c>
      <x:c r="E589" s="362" t="str">
        <x:v>Heavy Cavalry</x:v>
      </x:c>
      <x:c r="F589" s="362" t="n">
        <x:v>47</x:v>
      </x:c>
      <x:c r="G589" s="362" t="str">
        <x:v>Thunder trample</x:v>
      </x:c>
      <x:c r="H589" s="362" t="str">
        <x:v>Has a certain probability of causing trampling damage</x:v>
      </x:c>
      <x:c r="I589" s="362" t="str">
        <x:v>Unlocked</x:v>
      </x:c>
      <x:c r="J589" s="362" t="str">
        <x:v>03:50.50</x:v>
      </x:c>
      <x:c r="K589" s="362" t="str">
        <x:v>E088; Tier: T10; Directly visible tooltip; representative frame sampled at 0.5-second resolution.; Source frame: frames05s/h_0461.jpg</x:v>
      </x:c>
      <x:c r="L589" s="362" t="str">
        <x:v>1000025872.mp4</x:v>
      </x:c>
    </x:row>
    <x:row r="590" ht="32" customHeight="1">
      <x:c r="A590" s="362" t="str">
        <x:v>K176</x:v>
      </x:c>
      <x:c r="B590" s="362" t="str">
        <x:v>我于杀戮之中绽放</x:v>
      </x:c>
      <x:c r="C590" s="362" t="str">
        <x:v>Siege</x:v>
      </x:c>
      <x:c r="D590" s="362" t="str">
        <x:v>Manglers</x:v>
      </x:c>
      <x:c r="E590" s="362" t="str">
        <x:v>Siege</x:v>
      </x:c>
      <x:c r="F590" s="362" t="n">
        <x:v>40</x:v>
      </x:c>
      <x:c r="G590" s="362" t="str">
        <x:v>Highly toxic</x:v>
      </x:c>
      <x:c r="H590" s="362" t="str">
        <x:v>Inflict continuous toxic damage</x:v>
      </x:c>
      <x:c r="I590" s="362" t="str">
        <x:v>Unlocked</x:v>
      </x:c>
      <x:c r="J590" s="362" t="str">
        <x:v>03:51.50</x:v>
      </x:c>
      <x:c r="K590" s="362" t="str">
        <x:v>E089; Tier: T10; Directly visible tooltip; representative frame sampled at 0.5-second resolution.; Source frame: frames05s/h_0463.jpg</x:v>
      </x:c>
      <x:c r="L590" s="362" t="str">
        <x:v>1000025872.mp4</x:v>
      </x:c>
    </x:row>
    <x:row r="591" ht="32" customHeight="1">
      <x:c r="A591" s="362" t="str">
        <x:v>K176</x:v>
      </x:c>
      <x:c r="B591" s="362" t="str">
        <x:v>我于杀戮之中绽放</x:v>
      </x:c>
      <x:c r="C591" s="362" t="str">
        <x:v>Cavalry</x:v>
      </x:c>
      <x:c r="D591" s="362" t="str">
        <x:v>Storm cavalry</x:v>
      </x:c>
      <x:c r="E591" s="362" t="str">
        <x:v>Horse archer</x:v>
      </x:c>
      <x:c r="F591" s="362" t="n">
        <x:v>46</x:v>
      </x:c>
      <x:c r="G591" s="362" t="str">
        <x:v>Mounted Archery</x:v>
      </x:c>
      <x:c r="H591" s="362" t="str">
        <x:v>Has a certain probability of causing fly-shooting damage</x:v>
      </x:c>
      <x:c r="I591" s="362" t="str">
        <x:v>Unlocked</x:v>
      </x:c>
      <x:c r="J591" s="362" t="str">
        <x:v>03:52.00</x:v>
      </x:c>
      <x:c r="K591" s="362" t="str">
        <x:v>E090; Tier: T9; Directly visible tooltip; representative frame sampled at 0.5-second resolution.; Source frame: frames05s/h_0464.jpg</x:v>
      </x:c>
      <x:c r="L591" s="362" t="str">
        <x:v>1000025872.mp4</x:v>
      </x:c>
    </x:row>
    <x:row r="592" ht="32" customHeight="1">
      <x:c r="A592" s="362" t="str">
        <x:v>K176</x:v>
      </x:c>
      <x:c r="B592" s="362" t="str">
        <x:v>我于杀戮之中绽放</x:v>
      </x:c>
      <x:c r="C592" s="362" t="str">
        <x:v>Cavalry</x:v>
      </x:c>
      <x:c r="D592" s="362" t="str">
        <x:v>Roman knights</x:v>
      </x:c>
      <x:c r="E592" s="362" t="str">
        <x:v>Heavy Cavalry</x:v>
      </x:c>
      <x:c r="F592" s="362" t="n">
        <x:v>47</x:v>
      </x:c>
      <x:c r="G592" s="362" t="str">
        <x:v>Thunder trample</x:v>
      </x:c>
      <x:c r="H592" s="362" t="str">
        <x:v>Has a certain probability of causing trampling damage</x:v>
      </x:c>
      <x:c r="I592" s="362" t="str">
        <x:v>Unlocked</x:v>
      </x:c>
      <x:c r="J592" s="362" t="str">
        <x:v>03:52.50</x:v>
      </x:c>
      <x:c r="K592" s="362" t="str">
        <x:v>E091; Tier: T8; Directly visible tooltip; representative frame sampled at 0.5-second resolution.; Source frame: frames05s/h_0465.jpg</x:v>
      </x:c>
      <x:c r="L592" s="362" t="str">
        <x:v>1000025872.mp4</x:v>
      </x:c>
    </x:row>
    <x:row r="593" ht="32" customHeight="1">
      <x:c r="A593" s="362" t="str">
        <x:v>K176</x:v>
      </x:c>
      <x:c r="B593" s="362" t="str">
        <x:v>我于杀戮之中绽放</x:v>
      </x:c>
      <x:c r="C593" s="362" t="str">
        <x:v>Siege</x:v>
      </x:c>
      <x:c r="D593" s="362" t="str">
        <x:v>End siege</x:v>
      </x:c>
      <x:c r="E593" s="362" t="str">
        <x:v>Siege</x:v>
      </x:c>
      <x:c r="F593" s="362" t="n">
        <x:v>40</x:v>
      </x:c>
      <x:c r="G593" s="362" t="str">
        <x:v>Highly toxic</x:v>
      </x:c>
      <x:c r="H593" s="362" t="str">
        <x:v>Inflict continuous toxic damage</x:v>
      </x:c>
      <x:c r="I593" s="362" t="str">
        <x:v>Unlocked</x:v>
      </x:c>
      <x:c r="J593" s="362" t="str">
        <x:v>03:53.00</x:v>
      </x:c>
      <x:c r="K593" s="362" t="str">
        <x:v>E092; Tier: T8; Directly visible tooltip; representative frame sampled at 0.5-second resolution.; Source frame: frames05s/h_0466.jpg</x:v>
      </x:c>
      <x:c r="L593" s="362" t="str">
        <x:v>1000025872.mp4</x:v>
      </x:c>
    </x:row>
    <x:row r="594" ht="32" customHeight="1">
      <x:c r="A594" s="362" t="str">
        <x:v>K176</x:v>
      </x:c>
      <x:c r="B594" s="362" t="str">
        <x:v>璀璨星芒</x:v>
      </x:c>
      <x:c r="C594" s="362" t="str">
        <x:v>Guards</x:v>
      </x:c>
      <x:c r="D594" s="362" t="str">
        <x:v>Destroyers</x:v>
      </x:c>
      <x:c r="E594" s="362" t="str">
        <x:v>Guard</x:v>
      </x:c>
      <x:c r="F594" s="362" t="n">
        <x:v>45</x:v>
      </x:c>
      <x:c r="G594" s="362" t="str">
        <x:v>Parry</x:v>
      </x:c>
      <x:c r="H594" s="362" t="str">
        <x:v>Provides a parry effect and a certain probability to increase damage</x:v>
      </x:c>
      <x:c r="I594" s="362" t="str">
        <x:v>Unlocked</x:v>
      </x:c>
      <x:c r="J594" s="362" t="str">
        <x:v>03:59.00</x:v>
      </x:c>
      <x:c r="K594" s="362" t="str">
        <x:v>E093; Tier: T10; Directly visible tooltip; representative frame sampled at 0.5-second resolution.; Source frame: frames05s/h_0478.jpg</x:v>
      </x:c>
      <x:c r="L594" s="362" t="str">
        <x:v>1000025872.mp4</x:v>
      </x:c>
    </x:row>
    <x:row r="595" ht="32" customHeight="1">
      <x:c r="A595" s="362" t="str">
        <x:v>K176</x:v>
      </x:c>
      <x:c r="B595" s="362" t="str">
        <x:v>璀璨星芒</x:v>
      </x:c>
      <x:c r="C595" s="362" t="str">
        <x:v>Cavalry</x:v>
      </x:c>
      <x:c r="D595" s="362" t="str">
        <x:v>Eternal knights</x:v>
      </x:c>
      <x:c r="E595" s="362" t="str">
        <x:v>Heavy Cavalry</x:v>
      </x:c>
      <x:c r="F595" s="362" t="n">
        <x:v>46</x:v>
      </x:c>
      <x:c r="G595" s="362" t="str">
        <x:v>Thunder trample</x:v>
      </x:c>
      <x:c r="H595" s="362" t="str">
        <x:v>Has a certain probability of causing trampling damage</x:v>
      </x:c>
      <x:c r="I595" s="362" t="str">
        <x:v>Unlocked</x:v>
      </x:c>
      <x:c r="J595" s="362" t="str">
        <x:v>03:59.50</x:v>
      </x:c>
      <x:c r="K595" s="362" t="str">
        <x:v>E094; Tier: T10; Directly visible tooltip; representative frame sampled at 0.5-second resolution.; Source frame: frames05s/h_0479.jpg</x:v>
      </x:c>
      <x:c r="L595" s="362" t="str">
        <x:v>1000025872.mp4</x:v>
      </x:c>
    </x:row>
    <x:row r="596" ht="32" customHeight="1">
      <x:c r="A596" s="362" t="str">
        <x:v>K176</x:v>
      </x:c>
      <x:c r="B596" s="362" t="str">
        <x:v>璀璨星芒</x:v>
      </x:c>
      <x:c r="C596" s="362" t="str">
        <x:v>Archers</x:v>
      </x:c>
      <x:c r="D596" s="362" t="str">
        <x:v>Elite bowmen</x:v>
      </x:c>
      <x:c r="E596" s="362" t="str">
        <x:v>Archer</x:v>
      </x:c>
      <x:c r="F596" s="362" t="n">
        <x:v>40</x:v>
      </x:c>
      <x:c r="G596" s="362" t="str">
        <x:v>Frost Arrow</x:v>
      </x:c>
      <x:c r="H596" s="362" t="str">
        <x:v>Has a higher probability of activating ice damage</x:v>
      </x:c>
      <x:c r="I596" s="362" t="str">
        <x:v>Unlocked</x:v>
      </x:c>
      <x:c r="J596" s="362" t="str">
        <x:v>04:00.00</x:v>
      </x:c>
      <x:c r="K596" s="362" t="str">
        <x:v>E095; Tier: T10; Directly visible tooltip; representative frame sampled at 0.5-second resolution.; Source frame: frames05s/h_0480.jpg</x:v>
      </x:c>
      <x:c r="L596" s="362" t="str">
        <x:v>1000025872.mp4</x:v>
      </x:c>
    </x:row>
    <x:row r="597" ht="32" customHeight="1">
      <x:c r="A597" s="362" t="str">
        <x:v>K176</x:v>
      </x:c>
      <x:c r="B597" s="362" t="str">
        <x:v>璀璨星芒</x:v>
      </x:c>
      <x:c r="C597" s="362" t="str">
        <x:v>Siege</x:v>
      </x:c>
      <x:c r="D597" s="362" t="str">
        <x:v>End siege</x:v>
      </x:c>
      <x:c r="E597" s="362" t="str">
        <x:v>Siege</x:v>
      </x:c>
      <x:c r="F597" s="362" t="n">
        <x:v>40</x:v>
      </x:c>
      <x:c r="G597" s="362" t="str">
        <x:v>Highly toxic</x:v>
      </x:c>
      <x:c r="H597" s="362" t="str">
        <x:v>Inflict continuous toxic damage</x:v>
      </x:c>
      <x:c r="I597" s="362" t="str">
        <x:v>Unlocked</x:v>
      </x:c>
      <x:c r="J597" s="362" t="str">
        <x:v>04:02.50</x:v>
      </x:c>
      <x:c r="K597" s="362" t="str">
        <x:v>E096; Tier: T8; Directly visible tooltip; representative frame sampled at 0.5-second resolution.; Source frame: frames05s/h_0485.jpg</x:v>
      </x:c>
      <x:c r="L597" s="362" t="str">
        <x:v>1000025872.mp4</x:v>
      </x:c>
    </x:row>
    <x:row r="598" ht="32" customHeight="1">
      <x:c r="A598" s="362" t="str">
        <x:v>K176</x:v>
      </x:c>
      <x:c r="B598" s="362" t="str">
        <x:v>「鳥傷」</x:v>
      </x:c>
      <x:c r="C598" s="362" t="str">
        <x:v>Guards</x:v>
      </x:c>
      <x:c r="D598" s="362" t="str">
        <x:v>Destroyers</x:v>
      </x:c>
      <x:c r="E598" s="362" t="str">
        <x:v>Guard</x:v>
      </x:c>
      <x:c r="F598" s="362" t="n">
        <x:v>45</x:v>
      </x:c>
      <x:c r="G598" s="362" t="str">
        <x:v>Parry</x:v>
      </x:c>
      <x:c r="H598" s="362" t="str">
        <x:v>Provides a parry effect and a certain probability to increase damage</x:v>
      </x:c>
      <x:c r="I598" s="362" t="str">
        <x:v>Unlocked</x:v>
      </x:c>
      <x:c r="J598" s="362" t="str">
        <x:v>04:12.50</x:v>
      </x:c>
      <x:c r="K598" s="362" t="str">
        <x:v>E097; Tier: T10; Directly visible tooltip; representative frame sampled at 0.5-second resolution.; Source frame: frames05s/h_0505.jpg</x:v>
      </x:c>
      <x:c r="L598" s="362" t="str">
        <x:v>1000025872.mp4</x:v>
      </x:c>
    </x:row>
    <x:row r="599" ht="32" customHeight="1">
      <x:c r="A599" s="362" t="str">
        <x:v>K176</x:v>
      </x:c>
      <x:c r="B599" s="362" t="str">
        <x:v>「鳥傷」</x:v>
      </x:c>
      <x:c r="C599" s="362" t="str">
        <x:v>Archers</x:v>
      </x:c>
      <x:c r="D599" s="362" t="str">
        <x:v>Elite bowmen</x:v>
      </x:c>
      <x:c r="E599" s="362" t="str">
        <x:v>Archer</x:v>
      </x:c>
      <x:c r="F599" s="362" t="n">
        <x:v>40</x:v>
      </x:c>
      <x:c r="G599" s="362" t="str">
        <x:v>Frost Arrow</x:v>
      </x:c>
      <x:c r="H599" s="362" t="str">
        <x:v>Has a higher probability of activating ice damage</x:v>
      </x:c>
      <x:c r="I599" s="362" t="str">
        <x:v>Unlocked</x:v>
      </x:c>
      <x:c r="J599" s="362" t="str">
        <x:v>04:14.00</x:v>
      </x:c>
      <x:c r="K599" s="362" t="str">
        <x:v>E098; Tier: T10; Directly visible tooltip; representative frame sampled at 0.5-second resolution.; Source frame: frames05s/h_0508.jpg</x:v>
      </x:c>
      <x:c r="L599" s="362" t="str">
        <x:v>1000025872.mp4</x:v>
      </x:c>
    </x:row>
    <x:row r="600" ht="32" customHeight="1">
      <x:c r="A600" s="362" t="str">
        <x:v>K176</x:v>
      </x:c>
      <x:c r="B600" s="362" t="str">
        <x:v>「鳥傷」</x:v>
      </x:c>
      <x:c r="C600" s="362" t="str">
        <x:v>Siege</x:v>
      </x:c>
      <x:c r="D600" s="362" t="str">
        <x:v>Manglers</x:v>
      </x:c>
      <x:c r="E600" s="362" t="str">
        <x:v>Siege</x:v>
      </x:c>
      <x:c r="F600" s="362" t="n">
        <x:v>46</x:v>
      </x:c>
      <x:c r="G600" s="362" t="str">
        <x:v>Highly toxic</x:v>
      </x:c>
      <x:c r="H600" s="362" t="str">
        <x:v>Inflict continuous toxic damage</x:v>
      </x:c>
      <x:c r="I600" s="362" t="str">
        <x:v>Unlocked</x:v>
      </x:c>
      <x:c r="J600" s="362" t="str">
        <x:v>04:14.50</x:v>
      </x:c>
      <x:c r="K600" s="362" t="str">
        <x:v>E099; Tier: T10; Directly visible tooltip; representative frame sampled at 0.5-second resolution.; Source frame: frames05s/h_0509.jpg</x:v>
      </x:c>
      <x:c r="L600" s="362" t="str">
        <x:v>1000025872.mp4</x:v>
      </x:c>
    </x:row>
    <x:row r="601" ht="32" customHeight="1">
      <x:c r="A601" s="362" t="str">
        <x:v>K176</x:v>
      </x:c>
      <x:c r="B601" s="362" t="str">
        <x:v>「鳥傷」</x:v>
      </x:c>
      <x:c r="C601" s="362" t="str">
        <x:v>Cavalry</x:v>
      </x:c>
      <x:c r="D601" s="362" t="str">
        <x:v>Storm cavalry</x:v>
      </x:c>
      <x:c r="E601" s="362" t="str">
        <x:v>Horse archer</x:v>
      </x:c>
      <x:c r="F601" s="362" t="n">
        <x:v>50</x:v>
      </x:c>
      <x:c r="G601" s="362" t="str">
        <x:v>Mounted Archery</x:v>
      </x:c>
      <x:c r="H601" s="362" t="str">
        <x:v>Has a certain probability of causing fly-shooting damage</x:v>
      </x:c>
      <x:c r="I601" s="362" t="str">
        <x:v>Unlocked</x:v>
      </x:c>
      <x:c r="J601" s="362" t="str">
        <x:v>04:15.00</x:v>
      </x:c>
      <x:c r="K601" s="362" t="str">
        <x:v>E100; Tier: T9; Directly visible tooltip; representative frame sampled at 0.5-second resolution.; Source frame: frames05s/h_0510.jpg</x:v>
      </x:c>
      <x:c r="L601" s="362" t="str">
        <x:v>1000025872.mp4</x:v>
      </x:c>
    </x:row>
    <x:row r="602" ht="32" customHeight="1">
      <x:c r="A602" s="362" t="str">
        <x:v>K176</x:v>
      </x:c>
      <x:c r="B602" s="362" t="str">
        <x:v>「鳥傷」</x:v>
      </x:c>
      <x:c r="C602" s="362" t="str">
        <x:v>Siege</x:v>
      </x:c>
      <x:c r="D602" s="362" t="str">
        <x:v>End siege</x:v>
      </x:c>
      <x:c r="E602" s="362" t="str">
        <x:v>Siege</x:v>
      </x:c>
      <x:c r="F602" s="362" t="n">
        <x:v>46</x:v>
      </x:c>
      <x:c r="G602" s="362" t="str">
        <x:v>Highly toxic</x:v>
      </x:c>
      <x:c r="H602" s="362" t="str">
        <x:v>Inflict continuous toxic damage</x:v>
      </x:c>
      <x:c r="I602" s="362" t="str">
        <x:v>Unlocked</x:v>
      </x:c>
      <x:c r="J602" s="362" t="str">
        <x:v>04:16.50</x:v>
      </x:c>
      <x:c r="K602" s="362" t="str">
        <x:v>E101; Tier: T8; Directly visible tooltip; representative frame sampled at 0.5-second resolution.; Source frame: frames05s/h_0513.jpg</x:v>
      </x:c>
      <x:c r="L602" s="362" t="str">
        <x:v>1000025872.mp4</x:v>
      </x:c>
    </x:row>
    <x:row r="603">
      <x:c r="A603" s="774" t="str">
        <x:v>K138</x:v>
      </x:c>
      <x:c r="B603" s="774" t="str">
        <x:v>(RaW)Leprechaun</x:v>
      </x:c>
      <x:c r="C603" s="774" t="str">
        <x:v>Guards</x:v>
      </x:c>
      <x:c r="D603" s="774" t="str">
        <x:v>Destroyers</x:v>
      </x:c>
      <x:c r="E603" s="774" t="str">
        <x:v>Guard</x:v>
      </x:c>
      <x:c r="F603" s="780" t="n">
        <x:v>50</x:v>
      </x:c>
      <x:c r="G603" s="774" t="str">
        <x:v>Parry</x:v>
      </x:c>
      <x:c r="H603" s="774" t="str">
        <x:v>Provides a parry effect and a certain probability to increase damage</x:v>
      </x:c>
      <x:c r="I603" s="774" t="str">
        <x:v>Unlocked</x:v>
      </x:c>
      <x:c r="J603" s="774" t="str">
        <x:v>00:04.00</x:v>
      </x:c>
      <x:c r="K603" s="774" t="str">
        <x:v>Directly visible tooltip</x:v>
      </x:c>
      <x:c r="L603" s="774" t="str">
        <x:v>1000025953.mp4</x:v>
      </x:c>
    </x:row>
    <x:row r="604">
      <x:c r="A604" s="771" t="str">
        <x:v>K138</x:v>
      </x:c>
      <x:c r="B604" s="771" t="str">
        <x:v>(RaW)Leprechaun</x:v>
      </x:c>
      <x:c r="C604" s="771" t="str">
        <x:v>Cavalry</x:v>
      </x:c>
      <x:c r="D604" s="771" t="str">
        <x:v>Storm cavalry</x:v>
      </x:c>
      <x:c r="E604" s="771" t="str">
        <x:v>Horse archer</x:v>
      </x:c>
      <x:c r="F604" s="779" t="n">
        <x:v>50</x:v>
      </x:c>
      <x:c r="G604" s="771" t="str">
        <x:v>Mounted Archery</x:v>
      </x:c>
      <x:c r="H604" s="771" t="str">
        <x:v>Has a certain probability of causing fly-shooting damage</x:v>
      </x:c>
      <x:c r="I604" s="771" t="str">
        <x:v>Unlocked</x:v>
      </x:c>
      <x:c r="J604" s="771" t="str">
        <x:v>00:05.00</x:v>
      </x:c>
      <x:c r="K604" s="771" t="str">
        <x:v>Repeated tier tooltip; counted once in the clean tab</x:v>
      </x:c>
      <x:c r="L604" s="771" t="str">
        <x:v>1000025953.mp4</x:v>
      </x:c>
    </x:row>
    <x:row r="605">
      <x:c r="A605" s="774" t="str">
        <x:v>K138</x:v>
      </x:c>
      <x:c r="B605" s="774" t="str">
        <x:v>(RaW)Leprechaun</x:v>
      </x:c>
      <x:c r="C605" s="774" t="str">
        <x:v>Cavalry</x:v>
      </x:c>
      <x:c r="D605" s="774" t="str">
        <x:v>Royal banderium</x:v>
      </x:c>
      <x:c r="E605" s="774" t="str">
        <x:v>Horse archer</x:v>
      </x:c>
      <x:c r="F605" s="780" t="n">
        <x:v>50</x:v>
      </x:c>
      <x:c r="G605" s="774" t="str">
        <x:v>Mounted Archery</x:v>
      </x:c>
      <x:c r="H605" s="774" t="str">
        <x:v>Has a certain probability of causing fly-shooting damage</x:v>
      </x:c>
      <x:c r="I605" s="774" t="str">
        <x:v>Unlocked</x:v>
      </x:c>
      <x:c r="J605" s="774" t="str">
        <x:v>00:06.00</x:v>
      </x:c>
      <x:c r="K605" s="774" t="str">
        <x:v>Repeated tier tooltip; counted once in the clean tab</x:v>
      </x:c>
      <x:c r="L605" s="774" t="str">
        <x:v>1000025953.mp4</x:v>
      </x:c>
    </x:row>
    <x:row r="606">
      <x:c r="A606" s="771" t="str">
        <x:v>K138</x:v>
      </x:c>
      <x:c r="B606" s="771" t="str">
        <x:v>(RaW)Leprechaun</x:v>
      </x:c>
      <x:c r="C606" s="771" t="str">
        <x:v>Cavalry</x:v>
      </x:c>
      <x:c r="D606" s="771" t="str">
        <x:v>Overwatch cavalry</x:v>
      </x:c>
      <x:c r="E606" s="771" t="str">
        <x:v>Horse archer</x:v>
      </x:c>
      <x:c r="F606" s="779" t="n">
        <x:v>50</x:v>
      </x:c>
      <x:c r="G606" s="771" t="str">
        <x:v>Mounted Archery</x:v>
      </x:c>
      <x:c r="H606" s="771" t="str">
        <x:v>Has a certain probability of causing fly-shooting damage</x:v>
      </x:c>
      <x:c r="I606" s="771" t="str">
        <x:v>Unlocked</x:v>
      </x:c>
      <x:c r="J606" s="771" t="str">
        <x:v>00:07.00</x:v>
      </x:c>
      <x:c r="K606" s="771" t="str">
        <x:v>Repeated tier tooltip; counted once in the clean tab</x:v>
      </x:c>
      <x:c r="L606" s="771" t="str">
        <x:v>1000025953.mp4</x:v>
      </x:c>
    </x:row>
    <x:row r="607">
      <x:c r="A607" s="774" t="str">
        <x:v>K138</x:v>
      </x:c>
      <x:c r="B607" s="774" t="str">
        <x:v>(RaW)Leprechaun</x:v>
      </x:c>
      <x:c r="C607" s="774" t="str">
        <x:v>Cavalry</x:v>
      </x:c>
      <x:c r="D607" s="774" t="str">
        <x:v>Heavy cavalry bowmen</x:v>
      </x:c>
      <x:c r="E607" s="774" t="str">
        <x:v>Horse archer</x:v>
      </x:c>
      <x:c r="F607" s="780" t="n">
        <x:v>50</x:v>
      </x:c>
      <x:c r="G607" s="774" t="str">
        <x:v>Mounted Archery</x:v>
      </x:c>
      <x:c r="H607" s="774" t="str">
        <x:v>Has a certain probability of causing fly-shooting damage</x:v>
      </x:c>
      <x:c r="I607" s="774" t="str">
        <x:v>Unlocked</x:v>
      </x:c>
      <x:c r="J607" s="774" t="str">
        <x:v>00:08.00</x:v>
      </x:c>
      <x:c r="K607" s="774" t="str">
        <x:v>Repeated tier tooltip; counted once in the clean tab</x:v>
      </x:c>
      <x:c r="L607" s="774" t="str">
        <x:v>1000025953.mp4</x:v>
      </x:c>
    </x:row>
    <x:row r="608">
      <x:c r="A608" s="771" t="str">
        <x:v>K138</x:v>
      </x:c>
      <x:c r="B608" s="771" t="str">
        <x:v>(RaW)Leprechaun</x:v>
      </x:c>
      <x:c r="C608" s="771" t="str">
        <x:v>Cavalry</x:v>
      </x:c>
      <x:c r="D608" s="771" t="str">
        <x:v>Mounted shortbowmen</x:v>
      </x:c>
      <x:c r="E608" s="771" t="str">
        <x:v>Horse archer</x:v>
      </x:c>
      <x:c r="F608" s="779" t="n">
        <x:v>50</x:v>
      </x:c>
      <x:c r="G608" s="771" t="str">
        <x:v>Mounted Archery</x:v>
      </x:c>
      <x:c r="H608" s="771" t="str">
        <x:v>Has a certain probability of causing fly-shooting damage</x:v>
      </x:c>
      <x:c r="I608" s="771" t="str">
        <x:v>Unlocked</x:v>
      </x:c>
      <x:c r="J608" s="771" t="str">
        <x:v>00:09.00</x:v>
      </x:c>
      <x:c r="K608" s="771" t="str">
        <x:v>Repeated tier tooltip; counted once in the clean tab</x:v>
      </x:c>
      <x:c r="L608" s="771" t="str">
        <x:v>1000025953.mp4</x:v>
      </x:c>
    </x:row>
    <x:row r="609">
      <x:c r="A609" s="774" t="str">
        <x:v>K138</x:v>
      </x:c>
      <x:c r="B609" s="774" t="str">
        <x:v>(RaW)༺TsuStark༻</x:v>
      </x:c>
      <x:c r="C609" s="774" t="str">
        <x:v>Guards</x:v>
      </x:c>
      <x:c r="D609" s="774" t="str">
        <x:v>Destroyers</x:v>
      </x:c>
      <x:c r="E609" s="774" t="str">
        <x:v>Guard</x:v>
      </x:c>
      <x:c r="F609" s="780" t="n">
        <x:v>42</x:v>
      </x:c>
      <x:c r="G609" s="774" t="str">
        <x:v>Parry</x:v>
      </x:c>
      <x:c r="H609" s="774" t="str">
        <x:v>Provides a parry effect and a certain probability to increase damage</x:v>
      </x:c>
      <x:c r="I609" s="774" t="str">
        <x:v>Unlocked</x:v>
      </x:c>
      <x:c r="J609" s="774" t="str">
        <x:v>00:21.00</x:v>
      </x:c>
      <x:c r="K609" s="774" t="str">
        <x:v>Directly visible tooltip</x:v>
      </x:c>
      <x:c r="L609" s="774" t="str">
        <x:v>1000025953.mp4</x:v>
      </x:c>
    </x:row>
    <x:row r="610">
      <x:c r="A610" s="771" t="str">
        <x:v>K138</x:v>
      </x:c>
      <x:c r="B610" s="771" t="str">
        <x:v>(RaW)༺TsuStark༻</x:v>
      </x:c>
      <x:c r="C610" s="771" t="str">
        <x:v>Cavalry</x:v>
      </x:c>
      <x:c r="D610" s="771" t="str">
        <x:v>Storm cavalry</x:v>
      </x:c>
      <x:c r="E610" s="771" t="str">
        <x:v>Horse archer</x:v>
      </x:c>
      <x:c r="F610" s="779" t="n">
        <x:v>44</x:v>
      </x:c>
      <x:c r="G610" s="771" t="str">
        <x:v>Mounted Archery</x:v>
      </x:c>
      <x:c r="H610" s="771" t="str">
        <x:v>Has a certain probability of causing fly-shooting damage</x:v>
      </x:c>
      <x:c r="I610" s="771" t="str">
        <x:v>Unlocked</x:v>
      </x:c>
      <x:c r="J610" s="771" t="str">
        <x:v>00:22.00</x:v>
      </x:c>
      <x:c r="K610" s="771" t="str">
        <x:v>Directly visible tooltip</x:v>
      </x:c>
      <x:c r="L610" s="771" t="str">
        <x:v>1000025953.mp4</x:v>
      </x:c>
    </x:row>
    <x:row r="611">
      <x:c r="A611" s="774" t="str">
        <x:v>K138</x:v>
      </x:c>
      <x:c r="B611" s="774" t="str">
        <x:v>(RaW)ⓀⒶⓃⓃⓄⓃ</x:v>
      </x:c>
      <x:c r="C611" s="774" t="str">
        <x:v>Guards</x:v>
      </x:c>
      <x:c r="D611" s="774" t="str">
        <x:v>Destroyers</x:v>
      </x:c>
      <x:c r="E611" s="774" t="str">
        <x:v>Guard</x:v>
      </x:c>
      <x:c r="F611" s="780" t="n">
        <x:v>42</x:v>
      </x:c>
      <x:c r="G611" s="774" t="str">
        <x:v>Parry</x:v>
      </x:c>
      <x:c r="H611" s="774" t="str">
        <x:v>Provides a parry effect and a certain probability to increase damage</x:v>
      </x:c>
      <x:c r="I611" s="774" t="str">
        <x:v>Unlocked</x:v>
      </x:c>
      <x:c r="J611" s="774" t="str">
        <x:v>00:33.00</x:v>
      </x:c>
      <x:c r="K611" s="774" t="str">
        <x:v>Directly visible tooltip</x:v>
      </x:c>
      <x:c r="L611" s="774" t="str">
        <x:v>1000025953.mp4</x:v>
      </x:c>
    </x:row>
    <x:row r="612">
      <x:c r="A612" s="771" t="str">
        <x:v>K138</x:v>
      </x:c>
      <x:c r="B612" s="771" t="str">
        <x:v>(RaW)ⓀⒶⓃⓃⓄⓃ</x:v>
      </x:c>
      <x:c r="C612" s="771" t="str">
        <x:v>Cavalry</x:v>
      </x:c>
      <x:c r="D612" s="771" t="str">
        <x:v>Storm cavalry</x:v>
      </x:c>
      <x:c r="E612" s="771" t="str">
        <x:v>Horse archer</x:v>
      </x:c>
      <x:c r="F612" s="779" t="n">
        <x:v>46</x:v>
      </x:c>
      <x:c r="G612" s="771" t="str">
        <x:v>Mounted Archery</x:v>
      </x:c>
      <x:c r="H612" s="771" t="str">
        <x:v>Has a certain probability of causing fly-shooting damage</x:v>
      </x:c>
      <x:c r="I612" s="771" t="str">
        <x:v>Unlocked</x:v>
      </x:c>
      <x:c r="J612" s="771" t="str">
        <x:v>00:34.00</x:v>
      </x:c>
      <x:c r="K612" s="771" t="str">
        <x:v>Directly visible tooltip</x:v>
      </x:c>
      <x:c r="L612" s="771" t="str">
        <x:v>1000025953.mp4</x:v>
      </x:c>
    </x:row>
    <x:row r="613">
      <x:c r="A613" s="774" t="str">
        <x:v>K138</x:v>
      </x:c>
      <x:c r="B613" s="774" t="str">
        <x:v>(RaW)Des</x:v>
      </x:c>
      <x:c r="C613" s="774" t="str">
        <x:v>Guards</x:v>
      </x:c>
      <x:c r="D613" s="774" t="str">
        <x:v>Destroyers</x:v>
      </x:c>
      <x:c r="E613" s="774" t="str">
        <x:v>Guard</x:v>
      </x:c>
      <x:c r="F613" s="780" t="n">
        <x:v>50</x:v>
      </x:c>
      <x:c r="G613" s="774" t="str">
        <x:v>Parry</x:v>
      </x:c>
      <x:c r="H613" s="774" t="str">
        <x:v>Provides a parry effect and a certain probability to increase damage</x:v>
      </x:c>
      <x:c r="I613" s="774" t="str">
        <x:v>Unlocked</x:v>
      </x:c>
      <x:c r="J613" s="774" t="str">
        <x:v>00:53.50</x:v>
      </x:c>
      <x:c r="K613" s="774" t="str">
        <x:v>Directly visible tooltip</x:v>
      </x:c>
      <x:c r="L613" s="774" t="str">
        <x:v>1000025953.mp4</x:v>
      </x:c>
    </x:row>
    <x:row r="614">
      <x:c r="A614" s="771" t="str">
        <x:v>K138</x:v>
      </x:c>
      <x:c r="B614" s="771" t="str">
        <x:v>(RaW)Des</x:v>
      </x:c>
      <x:c r="C614" s="771" t="str">
        <x:v>Cavalry</x:v>
      </x:c>
      <x:c r="D614" s="771" t="str">
        <x:v>Storm cavalry</x:v>
      </x:c>
      <x:c r="E614" s="771" t="str">
        <x:v>Horse archer</x:v>
      </x:c>
      <x:c r="F614" s="779" t="n">
        <x:v>50</x:v>
      </x:c>
      <x:c r="G614" s="771" t="str">
        <x:v>Mounted Archery</x:v>
      </x:c>
      <x:c r="H614" s="771" t="str">
        <x:v>Has a certain probability of causing fly-shooting damage</x:v>
      </x:c>
      <x:c r="I614" s="771" t="str">
        <x:v>Unlocked</x:v>
      </x:c>
      <x:c r="J614" s="771" t="str">
        <x:v>00:54.50</x:v>
      </x:c>
      <x:c r="K614" s="771" t="str">
        <x:v>Directly visible tooltip</x:v>
      </x:c>
      <x:c r="L614" s="771" t="str">
        <x:v>1000025953.mp4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87b9328ba2048c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16" hidden="0" customWidth="1"/>
    <x:col min="5" max="5" width="38" hidden="0" customWidth="1"/>
    <x:col min="7" max="7" width="20" hidden="0" customWidth="1"/>
    <x:col min="8" max="8" width="24" hidden="0" customWidth="1"/>
  </x:cols>
  <x:sheetData>
    <x:row r="1" ht="28" customHeight="1">
      <x:c r="A1" s="368" t="str">
        <x:v>Specialisation Badge Lookup</x:v>
      </x:c>
      <x:c r="B1" s="368"/>
      <x:c r="C1" s="368"/>
      <x:c r="D1" s="368"/>
      <x:c r="E1" s="368"/>
      <x:c r="F1" s="368"/>
      <x:c r="G1" s="368"/>
      <x:c r="H1" s="368"/>
    </x:row>
    <x:row r="2" ht="38" customHeight="1">
      <x:c r="A2" s="372" t="str">
        <x:v>Badge cost is incremental. Total badges at a skill level equal the sum of every level cost from 1 through that level; damage is the current-level effect in percentage points.</x:v>
      </x:c>
      <x:c r="B2" s="372"/>
      <x:c r="C2" s="372"/>
      <x:c r="D2" s="372"/>
      <x:c r="E2" s="372"/>
      <x:c r="F2" s="372"/>
      <x:c r="G2" s="372"/>
      <x:c r="H2" s="372"/>
    </x:row>
    <x:row r="4">
      <x:c r="G4" s="385" t="str">
        <x:v>Lookup checks</x:v>
      </x:c>
      <x:c r="H4" s="385"/>
    </x:row>
    <x:row r="5" ht="34" customHeight="1">
      <x:c r="A5" s="378" t="str">
        <x:v>Level</x:v>
      </x:c>
      <x:c r="B5" s="378" t="str">
        <x:v>Badges This Level</x:v>
      </x:c>
      <x:c r="C5" s="378" t="str">
        <x:v>Cumulative Badges</x:v>
      </x:c>
      <x:c r="D5" s="378" t="str">
        <x:v>Damage Effect (points)</x:v>
      </x:c>
      <x:c r="E5" s="378" t="str">
        <x:v>Source</x:v>
      </x:c>
      <x:c r="G5" s="386" t="str">
        <x:v>Levels supplied</x:v>
      </x:c>
      <x:c r="H5" s="379" t="n">
        <x:v>50</x:v>
      </x:c>
    </x:row>
    <x:row r="6">
      <x:c r="A6" s="380" t="n">
        <x:v>1</x:v>
      </x:c>
      <x:c r="B6" s="381" t="n">
        <x:v>1000</x:v>
      </x:c>
      <x:c r="C6" s="381" t="n">
        <x:f>SUM($B$6:B6)</x:f>
        <x:v>1000</x:v>
      </x:c>
      <x:c r="D6" s="382" t="n">
        <x:v>0</x:v>
      </x:c>
      <x:c r="E6" s="379" t="str">
        <x:v>1_4945068019962349784.xlsx · Página1</x:v>
      </x:c>
      <x:c r="G6" s="386" t="str">
        <x:v>Level 50 total</x:v>
      </x:c>
      <x:c r="H6" s="381" t="n">
        <x:f>C55</x:f>
        <x:v>10334300</x:v>
      </x:c>
    </x:row>
    <x:row r="7">
      <x:c r="A7" s="380" t="n">
        <x:v>2</x:v>
      </x:c>
      <x:c r="B7" s="381" t="n">
        <x:v>1500</x:v>
      </x:c>
      <x:c r="C7" s="381" t="n">
        <x:f>SUM($B$6:B7)</x:f>
        <x:v>2500</x:v>
      </x:c>
      <x:c r="D7" s="382" t="n">
        <x:v>0</x:v>
      </x:c>
      <x:c r="E7" s="379" t="str">
        <x:v>1_4945068019962349784.xlsx · Página1</x:v>
      </x:c>
      <x:c r="G7" s="386" t="str">
        <x:v>Cost treatment</x:v>
      </x:c>
      <x:c r="H7" s="379" t="str">
        <x:v>Incremental</x:v>
      </x:c>
    </x:row>
    <x:row r="8">
      <x:c r="A8" s="380" t="n">
        <x:v>3</x:v>
      </x:c>
      <x:c r="B8" s="381" t="n">
        <x:v>2000</x:v>
      </x:c>
      <x:c r="C8" s="381" t="n">
        <x:f>SUM($B$6:B8)</x:f>
        <x:v>4500</x:v>
      </x:c>
      <x:c r="D8" s="382" t="n">
        <x:v>0</x:v>
      </x:c>
      <x:c r="E8" s="379" t="str">
        <x:v>1_4945068019962349784.xlsx · Página1</x:v>
      </x:c>
      <x:c r="G8" s="386" t="str">
        <x:v>Damage treatment</x:v>
      </x:c>
      <x:c r="H8" s="379" t="str">
        <x:v>Current-level points</x:v>
      </x:c>
    </x:row>
    <x:row r="9">
      <x:c r="A9" s="380" t="n">
        <x:v>4</x:v>
      </x:c>
      <x:c r="B9" s="381" t="n">
        <x:v>2500</x:v>
      </x:c>
      <x:c r="C9" s="381" t="n">
        <x:f>SUM($B$6:B9)</x:f>
        <x:v>7000</x:v>
      </x:c>
      <x:c r="D9" s="382" t="n">
        <x:v>0</x:v>
      </x:c>
      <x:c r="E9" s="379" t="str">
        <x:v>1_4945068019962349784.xlsx · Página1</x:v>
      </x:c>
      <x:c r="G9" s="386" t="str">
        <x:v>Guard handling</x:v>
      </x:c>
      <x:c r="H9" s="379" t="str">
        <x:v>Negative damage received</x:v>
      </x:c>
    </x:row>
    <x:row r="10">
      <x:c r="A10" s="380" t="n">
        <x:v>5</x:v>
      </x:c>
      <x:c r="B10" s="381" t="n">
        <x:v>3000</x:v>
      </x:c>
      <x:c r="C10" s="381" t="n">
        <x:f>SUM($B$6:B10)</x:f>
        <x:v>10000</x:v>
      </x:c>
      <x:c r="D10" s="382" t="n">
        <x:v>0</x:v>
      </x:c>
      <x:c r="E10" s="379" t="str">
        <x:v>1_4945068019962349784.xlsx · Página1</x:v>
      </x:c>
    </x:row>
    <x:row r="11">
      <x:c r="A11" s="380" t="n">
        <x:v>6</x:v>
      </x:c>
      <x:c r="B11" s="381" t="n">
        <x:v>3500</x:v>
      </x:c>
      <x:c r="C11" s="381" t="n">
        <x:f>SUM($B$6:B11)</x:f>
        <x:v>13500</x:v>
      </x:c>
      <x:c r="D11" s="382" t="n">
        <x:v>0</x:v>
      </x:c>
      <x:c r="E11" s="379" t="str">
        <x:v>1_4945068019962349784.xlsx · Página1</x:v>
      </x:c>
    </x:row>
    <x:row r="12">
      <x:c r="A12" s="380" t="n">
        <x:v>7</x:v>
      </x:c>
      <x:c r="B12" s="381" t="n">
        <x:v>4300</x:v>
      </x:c>
      <x:c r="C12" s="381" t="n">
        <x:f>SUM($B$6:B12)</x:f>
        <x:v>17800</x:v>
      </x:c>
      <x:c r="D12" s="382" t="n">
        <x:v>0</x:v>
      </x:c>
      <x:c r="E12" s="379" t="str">
        <x:v>1_4945068019962349784.xlsx · Página1</x:v>
      </x:c>
    </x:row>
    <x:row r="13">
      <x:c r="A13" s="380" t="n">
        <x:v>8</x:v>
      </x:c>
      <x:c r="B13" s="381" t="n">
        <x:v>5100</x:v>
      </x:c>
      <x:c r="C13" s="381" t="n">
        <x:f>SUM($B$6:B13)</x:f>
        <x:v>22900</x:v>
      </x:c>
      <x:c r="D13" s="382" t="n">
        <x:v>0</x:v>
      </x:c>
      <x:c r="E13" s="379" t="str">
        <x:v>1_4945068019962349784.xlsx · Página1</x:v>
      </x:c>
    </x:row>
    <x:row r="14">
      <x:c r="A14" s="380" t="n">
        <x:v>9</x:v>
      </x:c>
      <x:c r="B14" s="381" t="n">
        <x:v>5900</x:v>
      </x:c>
      <x:c r="C14" s="381" t="n">
        <x:f>SUM($B$6:B14)</x:f>
        <x:v>28800</x:v>
      </x:c>
      <x:c r="D14" s="382" t="n">
        <x:v>0</x:v>
      </x:c>
      <x:c r="E14" s="379" t="str">
        <x:v>1_4945068019962349784.xlsx · Página1</x:v>
      </x:c>
    </x:row>
    <x:row r="15">
      <x:c r="A15" s="380" t="n">
        <x:v>10</x:v>
      </x:c>
      <x:c r="B15" s="381" t="n">
        <x:v>6700</x:v>
      </x:c>
      <x:c r="C15" s="381" t="n">
        <x:f>SUM($B$6:B15)</x:f>
        <x:v>35500</x:v>
      </x:c>
      <x:c r="D15" s="382" t="n">
        <x:v>0</x:v>
      </x:c>
      <x:c r="E15" s="379" t="str">
        <x:v>1_4945068019962349784.xlsx · Página1</x:v>
      </x:c>
    </x:row>
    <x:row r="16">
      <x:c r="A16" s="380" t="n">
        <x:v>11</x:v>
      </x:c>
      <x:c r="B16" s="381" t="n">
        <x:v>7500</x:v>
      </x:c>
      <x:c r="C16" s="381" t="n">
        <x:f>SUM($B$6:B16)</x:f>
        <x:v>43000</x:v>
      </x:c>
      <x:c r="D16" s="382" t="n">
        <x:v>0</x:v>
      </x:c>
      <x:c r="E16" s="379" t="str">
        <x:v>1_4945068019962349784.xlsx · Página1</x:v>
      </x:c>
    </x:row>
    <x:row r="17">
      <x:c r="A17" s="380" t="n">
        <x:v>12</x:v>
      </x:c>
      <x:c r="B17" s="381" t="n">
        <x:v>8300</x:v>
      </x:c>
      <x:c r="C17" s="381" t="n">
        <x:f>SUM($B$6:B17)</x:f>
        <x:v>51300</x:v>
      </x:c>
      <x:c r="D17" s="382" t="n">
        <x:v>0</x:v>
      </x:c>
      <x:c r="E17" s="379" t="str">
        <x:v>1_4945068019962349784.xlsx · Página1</x:v>
      </x:c>
    </x:row>
    <x:row r="18">
      <x:c r="A18" s="380" t="n">
        <x:v>13</x:v>
      </x:c>
      <x:c r="B18" s="381" t="n">
        <x:v>9500</x:v>
      </x:c>
      <x:c r="C18" s="381" t="n">
        <x:f>SUM($B$6:B18)</x:f>
        <x:v>60800</x:v>
      </x:c>
      <x:c r="D18" s="382" t="n">
        <x:v>0</x:v>
      </x:c>
      <x:c r="E18" s="379" t="str">
        <x:v>1_4945068019962349784.xlsx · Página1</x:v>
      </x:c>
    </x:row>
    <x:row r="19">
      <x:c r="A19" s="380" t="n">
        <x:v>14</x:v>
      </x:c>
      <x:c r="B19" s="381" t="n">
        <x:v>10700</x:v>
      </x:c>
      <x:c r="C19" s="381" t="n">
        <x:f>SUM($B$6:B19)</x:f>
        <x:v>71500</x:v>
      </x:c>
      <x:c r="D19" s="382" t="n">
        <x:v>0</x:v>
      </x:c>
      <x:c r="E19" s="379" t="str">
        <x:v>1_4945068019962349784.xlsx · Página1</x:v>
      </x:c>
    </x:row>
    <x:row r="20">
      <x:c r="A20" s="380" t="n">
        <x:v>15</x:v>
      </x:c>
      <x:c r="B20" s="381" t="n">
        <x:v>11900</x:v>
      </x:c>
      <x:c r="C20" s="381" t="n">
        <x:f>SUM($B$6:B20)</x:f>
        <x:v>83400</x:v>
      </x:c>
      <x:c r="D20" s="382" t="n">
        <x:v>0</x:v>
      </x:c>
      <x:c r="E20" s="379" t="str">
        <x:v>1_4945068019962349784.xlsx · Página1</x:v>
      </x:c>
    </x:row>
    <x:row r="21">
      <x:c r="A21" s="380" t="n">
        <x:v>16</x:v>
      </x:c>
      <x:c r="B21" s="381" t="n">
        <x:v>13100</x:v>
      </x:c>
      <x:c r="C21" s="381" t="n">
        <x:f>SUM($B$6:B21)</x:f>
        <x:v>96500</x:v>
      </x:c>
      <x:c r="D21" s="382" t="n">
        <x:v>0</x:v>
      </x:c>
      <x:c r="E21" s="379" t="str">
        <x:v>1_4945068019962349784.xlsx · Página1</x:v>
      </x:c>
    </x:row>
    <x:row r="22">
      <x:c r="A22" s="380" t="n">
        <x:v>17</x:v>
      </x:c>
      <x:c r="B22" s="381" t="n">
        <x:v>14300</x:v>
      </x:c>
      <x:c r="C22" s="381" t="n">
        <x:f>SUM($B$6:B22)</x:f>
        <x:v>110800</x:v>
      </x:c>
      <x:c r="D22" s="382" t="n">
        <x:v>0</x:v>
      </x:c>
      <x:c r="E22" s="379" t="str">
        <x:v>1_4945068019962349784.xlsx · Página1</x:v>
      </x:c>
    </x:row>
    <x:row r="23">
      <x:c r="A23" s="380" t="n">
        <x:v>18</x:v>
      </x:c>
      <x:c r="B23" s="381" t="n">
        <x:v>15500</x:v>
      </x:c>
      <x:c r="C23" s="381" t="n">
        <x:f>SUM($B$6:B23)</x:f>
        <x:v>126300</x:v>
      </x:c>
      <x:c r="D23" s="382" t="n">
        <x:v>0</x:v>
      </x:c>
      <x:c r="E23" s="379" t="str">
        <x:v>1_4945068019962349784.xlsx · Página1</x:v>
      </x:c>
    </x:row>
    <x:row r="24">
      <x:c r="A24" s="380" t="n">
        <x:v>19</x:v>
      </x:c>
      <x:c r="B24" s="381" t="n">
        <x:v>18000</x:v>
      </x:c>
      <x:c r="C24" s="381" t="n">
        <x:f>SUM($B$6:B24)</x:f>
        <x:v>144300</x:v>
      </x:c>
      <x:c r="D24" s="382" t="n">
        <x:v>0</x:v>
      </x:c>
      <x:c r="E24" s="379" t="str">
        <x:v>1_4945068019962349784.xlsx · Página1</x:v>
      </x:c>
    </x:row>
    <x:row r="25">
      <x:c r="A25" s="380" t="n">
        <x:v>20</x:v>
      </x:c>
      <x:c r="B25" s="381" t="n">
        <x:v>40000</x:v>
      </x:c>
      <x:c r="C25" s="381" t="n">
        <x:f>SUM($B$6:B25)</x:f>
        <x:v>184300</x:v>
      </x:c>
      <x:c r="D25" s="382" t="n">
        <x:v>3</x:v>
      </x:c>
      <x:c r="E25" s="379" t="str">
        <x:v>1_4945068019962349784.xlsx · Página1</x:v>
      </x:c>
    </x:row>
    <x:row r="26">
      <x:c r="A26" s="380" t="n">
        <x:v>21</x:v>
      </x:c>
      <x:c r="B26" s="381" t="n">
        <x:v>42500</x:v>
      </x:c>
      <x:c r="C26" s="381" t="n">
        <x:f>SUM($B$6:B26)</x:f>
        <x:v>226800</x:v>
      </x:c>
      <x:c r="D26" s="382" t="n">
        <x:v>3.58</x:v>
      </x:c>
      <x:c r="E26" s="379" t="str">
        <x:v>1_4945068019962349784.xlsx · Página1</x:v>
      </x:c>
    </x:row>
    <x:row r="27">
      <x:c r="A27" s="380" t="n">
        <x:v>22</x:v>
      </x:c>
      <x:c r="B27" s="381" t="n">
        <x:v>45000</x:v>
      </x:c>
      <x:c r="C27" s="381" t="n">
        <x:f>SUM($B$6:B27)</x:f>
        <x:v>271800</x:v>
      </x:c>
      <x:c r="D27" s="382" t="n">
        <x:v>4.18</x:v>
      </x:c>
      <x:c r="E27" s="379" t="str">
        <x:v>1_4945068019962349784.xlsx · Página1</x:v>
      </x:c>
    </x:row>
    <x:row r="28">
      <x:c r="A28" s="380" t="n">
        <x:v>23</x:v>
      </x:c>
      <x:c r="B28" s="381" t="n">
        <x:v>47500</x:v>
      </x:c>
      <x:c r="C28" s="381" t="n">
        <x:f>SUM($B$6:B28)</x:f>
        <x:v>319300</x:v>
      </x:c>
      <x:c r="D28" s="382" t="n">
        <x:v>4.8</x:v>
      </x:c>
      <x:c r="E28" s="379" t="str">
        <x:v>1_4945068019962349784.xlsx · Página1</x:v>
      </x:c>
    </x:row>
    <x:row r="29">
      <x:c r="A29" s="380" t="n">
        <x:v>24</x:v>
      </x:c>
      <x:c r="B29" s="381" t="n">
        <x:v>50000</x:v>
      </x:c>
      <x:c r="C29" s="381" t="n">
        <x:f>SUM($B$6:B29)</x:f>
        <x:v>369300</x:v>
      </x:c>
      <x:c r="D29" s="382" t="n">
        <x:v>5.44</x:v>
      </x:c>
      <x:c r="E29" s="379" t="str">
        <x:v>1_4945068019962349784.xlsx · Página1</x:v>
      </x:c>
    </x:row>
    <x:row r="30">
      <x:c r="A30" s="380" t="n">
        <x:v>25</x:v>
      </x:c>
      <x:c r="B30" s="381" t="n">
        <x:v>55000</x:v>
      </x:c>
      <x:c r="C30" s="381" t="n">
        <x:f>SUM($B$6:B30)</x:f>
        <x:v>424300</x:v>
      </x:c>
      <x:c r="D30" s="382" t="n">
        <x:v>6.11</x:v>
      </x:c>
      <x:c r="E30" s="379" t="str">
        <x:v>1_4945068019962349784.xlsx · Página1</x:v>
      </x:c>
    </x:row>
    <x:row r="31">
      <x:c r="A31" s="380" t="n">
        <x:v>26</x:v>
      </x:c>
      <x:c r="B31" s="381" t="n">
        <x:v>60000</x:v>
      </x:c>
      <x:c r="C31" s="381" t="n">
        <x:f>SUM($B$6:B31)</x:f>
        <x:v>484300</x:v>
      </x:c>
      <x:c r="D31" s="382" t="n">
        <x:v>6.8</x:v>
      </x:c>
      <x:c r="E31" s="379" t="str">
        <x:v>1_4945068019962349784.xlsx · Página1</x:v>
      </x:c>
    </x:row>
    <x:row r="32">
      <x:c r="A32" s="380" t="n">
        <x:v>27</x:v>
      </x:c>
      <x:c r="B32" s="381" t="n">
        <x:v>65000</x:v>
      </x:c>
      <x:c r="C32" s="381" t="n">
        <x:f>SUM($B$6:B32)</x:f>
        <x:v>549300</x:v>
      </x:c>
      <x:c r="D32" s="382" t="n">
        <x:v>7.51</x:v>
      </x:c>
      <x:c r="E32" s="379" t="str">
        <x:v>1_4945068019962349784.xlsx · Página1</x:v>
      </x:c>
    </x:row>
    <x:row r="33">
      <x:c r="A33" s="380" t="n">
        <x:v>28</x:v>
      </x:c>
      <x:c r="B33" s="381" t="n">
        <x:v>70000</x:v>
      </x:c>
      <x:c r="C33" s="381" t="n">
        <x:f>SUM($B$6:B33)</x:f>
        <x:v>619300</x:v>
      </x:c>
      <x:c r="D33" s="382" t="n">
        <x:v>8.24</x:v>
      </x:c>
      <x:c r="E33" s="379" t="str">
        <x:v>1_4945068019962349784.xlsx · Página1</x:v>
      </x:c>
    </x:row>
    <x:row r="34">
      <x:c r="A34" s="380" t="n">
        <x:v>29</x:v>
      </x:c>
      <x:c r="B34" s="381" t="n">
        <x:v>75000</x:v>
      </x:c>
      <x:c r="C34" s="381" t="n">
        <x:f>SUM($B$6:B34)</x:f>
        <x:v>694300</x:v>
      </x:c>
      <x:c r="D34" s="382" t="n">
        <x:v>9</x:v>
      </x:c>
      <x:c r="E34" s="379" t="str">
        <x:v>1_4945068019962349784.xlsx · Página1</x:v>
      </x:c>
    </x:row>
    <x:row r="35">
      <x:c r="A35" s="380" t="n">
        <x:v>30</x:v>
      </x:c>
      <x:c r="B35" s="381" t="n">
        <x:v>80000</x:v>
      </x:c>
      <x:c r="C35" s="381" t="n">
        <x:f>SUM($B$6:B35)</x:f>
        <x:v>774300</x:v>
      </x:c>
      <x:c r="D35" s="382" t="n">
        <x:v>10.82</x:v>
      </x:c>
      <x:c r="E35" s="379" t="str">
        <x:v>1_4945068019962349784.xlsx · Página1</x:v>
      </x:c>
    </x:row>
    <x:row r="36">
      <x:c r="A36" s="380" t="n">
        <x:v>31</x:v>
      </x:c>
      <x:c r="B36" s="381" t="n">
        <x:v>90000</x:v>
      </x:c>
      <x:c r="C36" s="381" t="n">
        <x:f>SUM($B$6:B36)</x:f>
        <x:v>864300</x:v>
      </x:c>
      <x:c r="D36" s="382" t="n">
        <x:v>12.09</x:v>
      </x:c>
      <x:c r="E36" s="379" t="str">
        <x:v>1_4945068019962349784.xlsx · Página1</x:v>
      </x:c>
    </x:row>
    <x:row r="37">
      <x:c r="A37" s="380" t="n">
        <x:v>32</x:v>
      </x:c>
      <x:c r="B37" s="381" t="n">
        <x:v>100000</x:v>
      </x:c>
      <x:c r="C37" s="381" t="n">
        <x:f>SUM($B$6:B37)</x:f>
        <x:v>964300</x:v>
      </x:c>
      <x:c r="D37" s="382" t="n">
        <x:v>13.41</x:v>
      </x:c>
      <x:c r="E37" s="379" t="str">
        <x:v>1_4945068019962349784.xlsx · Página1</x:v>
      </x:c>
    </x:row>
    <x:row r="38">
      <x:c r="A38" s="380" t="n">
        <x:v>33</x:v>
      </x:c>
      <x:c r="B38" s="381" t="n">
        <x:v>110000</x:v>
      </x:c>
      <x:c r="C38" s="381" t="n">
        <x:f>SUM($B$6:B38)</x:f>
        <x:v>1074300</x:v>
      </x:c>
      <x:c r="D38" s="382" t="n">
        <x:v>14.78</x:v>
      </x:c>
      <x:c r="E38" s="379" t="str">
        <x:v>1_4945068019962349784.xlsx · Página1</x:v>
      </x:c>
    </x:row>
    <x:row r="39">
      <x:c r="A39" s="380" t="n">
        <x:v>34</x:v>
      </x:c>
      <x:c r="B39" s="381" t="n">
        <x:v>120000</x:v>
      </x:c>
      <x:c r="C39" s="381" t="n">
        <x:f>SUM($B$6:B39)</x:f>
        <x:v>1194300</x:v>
      </x:c>
      <x:c r="D39" s="382" t="n">
        <x:v>16.2</x:v>
      </x:c>
      <x:c r="E39" s="379" t="str">
        <x:v>1_4945068019962349784.xlsx · Página1</x:v>
      </x:c>
    </x:row>
    <x:row r="40">
      <x:c r="A40" s="380" t="n">
        <x:v>35</x:v>
      </x:c>
      <x:c r="B40" s="381" t="n">
        <x:v>130000</x:v>
      </x:c>
      <x:c r="C40" s="381" t="n">
        <x:f>SUM($B$6:B40)</x:f>
        <x:v>1324300</x:v>
      </x:c>
      <x:c r="D40" s="382" t="n">
        <x:v>17.66</x:v>
      </x:c>
      <x:c r="E40" s="379" t="str">
        <x:v>1_4945068019962349784.xlsx · Página1</x:v>
      </x:c>
    </x:row>
    <x:row r="41">
      <x:c r="A41" s="380" t="n">
        <x:v>36</x:v>
      </x:c>
      <x:c r="B41" s="381" t="n">
        <x:v>140000</x:v>
      </x:c>
      <x:c r="C41" s="381" t="n">
        <x:f>SUM($B$6:B41)</x:f>
        <x:v>1464300</x:v>
      </x:c>
      <x:c r="D41" s="382" t="n">
        <x:v>19.17</x:v>
      </x:c>
      <x:c r="E41" s="379" t="str">
        <x:v>1_4945068019962349784.xlsx · Página1</x:v>
      </x:c>
    </x:row>
    <x:row r="42">
      <x:c r="A42" s="380" t="n">
        <x:v>37</x:v>
      </x:c>
      <x:c r="B42" s="381" t="n">
        <x:v>160000</x:v>
      </x:c>
      <x:c r="C42" s="381" t="n">
        <x:f>SUM($B$6:B42)</x:f>
        <x:v>1624300</x:v>
      </x:c>
      <x:c r="D42" s="382" t="n">
        <x:v>20.73</x:v>
      </x:c>
      <x:c r="E42" s="379" t="str">
        <x:v>1_4945068019962349784.xlsx · Página1</x:v>
      </x:c>
    </x:row>
    <x:row r="43">
      <x:c r="A43" s="380" t="n">
        <x:v>38</x:v>
      </x:c>
      <x:c r="B43" s="381" t="n">
        <x:v>180000</x:v>
      </x:c>
      <x:c r="C43" s="381" t="n">
        <x:f>SUM($B$6:B43)</x:f>
        <x:v>1804300</x:v>
      </x:c>
      <x:c r="D43" s="382" t="n">
        <x:v>22.34</x:v>
      </x:c>
      <x:c r="E43" s="379" t="str">
        <x:v>1_4945068019962349784.xlsx · Página1</x:v>
      </x:c>
    </x:row>
    <x:row r="44">
      <x:c r="A44" s="380" t="n">
        <x:v>39</x:v>
      </x:c>
      <x:c r="B44" s="381" t="n">
        <x:v>200000</x:v>
      </x:c>
      <x:c r="C44" s="381" t="n">
        <x:f>SUM($B$6:B44)</x:f>
        <x:v>2004300</x:v>
      </x:c>
      <x:c r="D44" s="382" t="n">
        <x:v>24</x:v>
      </x:c>
      <x:c r="E44" s="379" t="str">
        <x:v>1_4945068019962349784.xlsx · Página1</x:v>
      </x:c>
    </x:row>
    <x:row r="45">
      <x:c r="A45" s="380" t="n">
        <x:v>40</x:v>
      </x:c>
      <x:c r="B45" s="381" t="n">
        <x:v>240000</x:v>
      </x:c>
      <x:c r="C45" s="381" t="n">
        <x:f>SUM($B$6:B45)</x:f>
        <x:v>2244300</x:v>
      </x:c>
      <x:c r="D45" s="382" t="n">
        <x:v>27.74</x:v>
      </x:c>
      <x:c r="E45" s="379" t="str">
        <x:v>1_4945068019962349784.xlsx · Página1</x:v>
      </x:c>
    </x:row>
    <x:row r="46">
      <x:c r="A46" s="380" t="n">
        <x:v>41</x:v>
      </x:c>
      <x:c r="B46" s="381" t="n">
        <x:v>280000</x:v>
      </x:c>
      <x:c r="C46" s="381" t="n">
        <x:f>SUM($B$6:B46)</x:f>
        <x:v>2524300</x:v>
      </x:c>
      <x:c r="D46" s="382" t="n">
        <x:v>30.38</x:v>
      </x:c>
      <x:c r="E46" s="379" t="str">
        <x:v>1_4945068019962349784.xlsx · Página1</x:v>
      </x:c>
    </x:row>
    <x:row r="47">
      <x:c r="A47" s="380" t="n">
        <x:v>42</x:v>
      </x:c>
      <x:c r="B47" s="381" t="n">
        <x:v>320000</x:v>
      </x:c>
      <x:c r="C47" s="381" t="n">
        <x:f>SUM($B$6:B47)</x:f>
        <x:v>2844300</x:v>
      </x:c>
      <x:c r="D47" s="382" t="n">
        <x:v>33.13</x:v>
      </x:c>
      <x:c r="E47" s="379" t="str">
        <x:v>1_4945068019962349784.xlsx · Página1</x:v>
      </x:c>
    </x:row>
    <x:row r="48">
      <x:c r="A48" s="380" t="n">
        <x:v>43</x:v>
      </x:c>
      <x:c r="B48" s="381" t="n">
        <x:v>400000</x:v>
      </x:c>
      <x:c r="C48" s="381" t="n">
        <x:f>SUM($B$6:B48)</x:f>
        <x:v>3244300</x:v>
      </x:c>
      <x:c r="D48" s="382" t="n">
        <x:v>35.98</x:v>
      </x:c>
      <x:c r="E48" s="379" t="str">
        <x:v>1_4945068019962349784.xlsx · Página1</x:v>
      </x:c>
    </x:row>
    <x:row r="49">
      <x:c r="A49" s="380" t="n">
        <x:v>44</x:v>
      </x:c>
      <x:c r="B49" s="381" t="n">
        <x:v>480000</x:v>
      </x:c>
      <x:c r="C49" s="381" t="n">
        <x:f>SUM($B$6:B49)</x:f>
        <x:v>3724300</x:v>
      </x:c>
      <x:c r="D49" s="382" t="n">
        <x:v>39.93</x:v>
      </x:c>
      <x:c r="E49" s="379" t="str">
        <x:v>1_4945068019962349784.xlsx · Página1</x:v>
      </x:c>
    </x:row>
    <x:row r="50">
      <x:c r="A50" s="380" t="n">
        <x:v>45</x:v>
      </x:c>
      <x:c r="B50" s="381" t="n">
        <x:v>560000</x:v>
      </x:c>
      <x:c r="C50" s="381" t="n">
        <x:f>SUM($B$6:B50)</x:f>
        <x:v>4284300</x:v>
      </x:c>
      <x:c r="D50" s="382" t="n">
        <x:v>41.98</x:v>
      </x:c>
      <x:c r="E50" s="379" t="str">
        <x:v>1_4945068019962349784.xlsx · Página1</x:v>
      </x:c>
    </x:row>
    <x:row r="51">
      <x:c r="A51" s="380" t="n">
        <x:v>46</x:v>
      </x:c>
      <x:c r="B51" s="381" t="n">
        <x:v>720000</x:v>
      </x:c>
      <x:c r="C51" s="381" t="n">
        <x:f>SUM($B$6:B51)</x:f>
        <x:v>5004300</x:v>
      </x:c>
      <x:c r="D51" s="382" t="n">
        <x:v>45.13</x:v>
      </x:c>
      <x:c r="E51" s="379" t="str">
        <x:v>1_4945068019962349784.xlsx · Página1</x:v>
      </x:c>
    </x:row>
    <x:row r="52">
      <x:c r="A52" s="380" t="n">
        <x:v>47</x:v>
      </x:c>
      <x:c r="B52" s="381" t="n">
        <x:v>880000</x:v>
      </x:c>
      <x:c r="C52" s="381" t="n">
        <x:f>SUM($B$6:B52)</x:f>
        <x:v>5884300</x:v>
      </x:c>
      <x:c r="D52" s="382" t="n">
        <x:v>48.38</x:v>
      </x:c>
      <x:c r="E52" s="379" t="str">
        <x:v>1_4945068019962349784.xlsx · Página1</x:v>
      </x:c>
    </x:row>
    <x:row r="53">
      <x:c r="A53" s="380" t="n">
        <x:v>48</x:v>
      </x:c>
      <x:c r="B53" s="381" t="n">
        <x:v>1050000</x:v>
      </x:c>
      <x:c r="C53" s="381" t="n">
        <x:f>SUM($B$6:B53)</x:f>
        <x:v>6934300</x:v>
      </x:c>
      <x:c r="D53" s="382" t="n">
        <x:v>51.74</x:v>
      </x:c>
      <x:c r="E53" s="379" t="str">
        <x:v>1_4945068019962349784.xlsx · Página1</x:v>
      </x:c>
    </x:row>
    <x:row r="54">
      <x:c r="A54" s="380" t="n">
        <x:v>49</x:v>
      </x:c>
      <x:c r="B54" s="381" t="n">
        <x:v>1400000</x:v>
      </x:c>
      <x:c r="C54" s="381" t="n">
        <x:f>SUM($B$6:B54)</x:f>
        <x:v>8334300</x:v>
      </x:c>
      <x:c r="D54" s="382" t="n">
        <x:v>55.2</x:v>
      </x:c>
      <x:c r="E54" s="379" t="str">
        <x:v>1_4945068019962349784.xlsx · Página1</x:v>
      </x:c>
    </x:row>
    <x:row r="55">
      <x:c r="A55" s="380" t="n">
        <x:v>50</x:v>
      </x:c>
      <x:c r="B55" s="381" t="n">
        <x:v>2000000</x:v>
      </x:c>
      <x:c r="C55" s="381" t="n">
        <x:f>SUM($B$6:B55)</x:f>
        <x:v>10334300</x:v>
      </x:c>
      <x:c r="D55" s="382" t="n">
        <x:v>60</x:v>
      </x:c>
      <x:c r="E55" s="379" t="str">
        <x:v>1_4945068019962349784.xlsx · Página1</x:v>
      </x:c>
    </x:row>
  </x:sheetData>
  <x:mergeCells>
    <x:mergeCell ref="A1:H1"/>
    <x:mergeCell ref="A2:H2"/>
    <x:mergeCell ref="G4:H4"/>
  </x:mergeCells>
  <x:pageMargins left="0.7" right="0.7" top="0.75" bottom="0.75" header="0.3" footer="0.3"/>
  <x:tableParts count="1">
    <x:tablePart xmlns:r="http://schemas.openxmlformats.org/officeDocument/2006/relationships" r:id="R6ef1354455b54de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14" hidden="0" customWidth="1"/>
    <x:col min="4" max="4" width="13" hidden="0" customWidth="1"/>
    <x:col min="5" max="5" width="13" hidden="0" customWidth="1"/>
    <x:col min="6" max="6" width="15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14" hidden="0" customWidth="1"/>
    <x:col min="13" max="13" width="16" hidden="0" customWidth="1"/>
    <x:col min="14" max="14" width="16" hidden="0" customWidth="1"/>
    <x:col min="15" max="15" width="17" hidden="0" customWidth="1"/>
    <x:col min="16" max="16" width="25" hidden="0" customWidth="1"/>
    <x:col min="17" max="17" width="14" hidden="0" customWidth="1"/>
    <x:col min="18" max="18" width="13" hidden="0" customWidth="1"/>
    <x:col min="19" max="19" width="16" hidden="0" customWidth="1"/>
    <x:col min="20" max="20" width="22" hidden="0" customWidth="1"/>
    <x:col min="21" max="21" width="18" hidden="0" customWidth="1"/>
    <x:col min="22" max="22" width="15" hidden="0" customWidth="1"/>
  </x:cols>
  <x:sheetData>
    <x:row r="1" ht="28" customHeight="1">
      <x:c r="A1" s="368" t="str">
        <x:v>Castle Badge Strength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  <x:c r="M1" s="368"/>
      <x:c r="N1" s="368"/>
      <x:c r="O1" s="368"/>
      <x:c r="P1" s="368"/>
      <x:c r="Q1" s="368"/>
      <x:c r="R1" s="368"/>
      <x:c r="S1" s="368"/>
      <x:c r="T1" s="368"/>
      <x:c r="U1" s="368"/>
      <x:c r="V1" s="368"/>
    </x:row>
    <x:row r="2" ht="38" customHeight="1">
      <x:c r="A2" s="372" t="str">
        <x:v>Recorded cumulative badge investment and signed specialisation effect by castle. This remains diagnostic: existing damage rankings, kingdom strength scores and matchup probabilities are unchanged until a final integration weight is agreed.</x:v>
      </x:c>
      <x:c r="B2" s="372"/>
      <x:c r="C2" s="372"/>
      <x:c r="D2" s="372"/>
      <x:c r="E2" s="372"/>
      <x:c r="F2" s="372"/>
      <x:c r="G2" s="372"/>
      <x:c r="H2" s="372"/>
      <x:c r="I2" s="372"/>
      <x:c r="J2" s="372"/>
      <x:c r="K2" s="372"/>
      <x:c r="L2" s="372"/>
      <x:c r="M2" s="372"/>
      <x:c r="N2" s="372"/>
      <x:c r="O2" s="372"/>
      <x:c r="P2" s="372"/>
      <x:c r="Q2" s="372"/>
      <x:c r="R2" s="372"/>
      <x:c r="S2" s="372"/>
      <x:c r="T2" s="372"/>
      <x:c r="U2" s="372"/>
      <x:c r="V2" s="372"/>
    </x:row>
    <x:row r="4">
      <x:c r="A4" s="385" t="str">
        <x:v>Kingdom badge comparison</x:v>
      </x:c>
      <x:c r="B4" s="385"/>
      <x:c r="C4" s="385"/>
      <x:c r="D4" s="385"/>
      <x:c r="E4" s="385"/>
      <x:c r="F4" s="385"/>
      <x:c r="G4" s="385"/>
      <x:c r="H4" s="385"/>
      <x:c r="I4" s="385"/>
      <x:c r="J4" s="385"/>
      <x:c r="K4" s="385"/>
      <x:c r="L4" s="385"/>
      <x:c r="M4" s="385"/>
      <x:c r="N4" s="385"/>
      <x:c r="O4" s="385"/>
      <x:c r="Q4" s="385" t="str">
        <x:v>Badge weighting control</x:v>
      </x:c>
      <x:c r="R4" s="385"/>
      <x:c r="S4" s="385"/>
      <x:c r="T4" s="385"/>
      <x:c r="U4" s="385"/>
      <x:c r="V4" s="385"/>
    </x:row>
    <x:row r="5" ht="34" customHeight="1">
      <x:c r="A5" s="378" t="str">
        <x:v>Kingdom</x:v>
      </x:c>
      <x:c r="B5" s="378" t="str">
        <x:v>Castles</x:v>
      </x:c>
      <x:c r="C5" s="378" t="str">
        <x:v>Castles With Data</x:v>
      </x:c>
      <x:c r="D5" s="378" t="str">
        <x:v>Castle Coverage</x:v>
      </x:c>
      <x:c r="E5" s="378" t="str">
        <x:v>Skills Captured</x:v>
      </x:c>
      <x:c r="F5" s="378" t="str">
        <x:v>Valid Levels</x:v>
      </x:c>
      <x:c r="G5" s="378" t="str">
        <x:v>Skill Coverage</x:v>
      </x:c>
      <x:c r="H5" s="378" t="str">
        <x:v>Total Badges</x:v>
      </x:c>
      <x:c r="I5" s="378" t="str">
        <x:v>Avg / Captured Castle</x:v>
      </x:c>
      <x:c r="J5" s="378" t="str">
        <x:v>Average Rank</x:v>
      </x:c>
      <x:c r="K5" s="378" t="str">
        <x:v>Top Castle</x:v>
      </x:c>
      <x:c r="L5" s="378" t="str">
        <x:v>Top 5 Avg</x:v>
      </x:c>
      <x:c r="M5" s="378" t="str">
        <x:v>Top 15 Avg</x:v>
      </x:c>
      <x:c r="N5" s="378" t="str">
        <x:v>Top 5 Rank</x:v>
      </x:c>
      <x:c r="O5" s="378" t="str">
        <x:v>Coverage Status</x:v>
      </x:c>
      <x:c r="Q5" s="413" t="str">
        <x:v>Badge weight</x:v>
      </x:c>
      <x:c r="R5" s="417" t="n">
        <x:v>0</x:v>
      </x:c>
      <x:c r="S5" s="362" t="str">
        <x:v>0% = current damage score only</x:v>
      </x:c>
      <x:c r="T5" s="362"/>
      <x:c r="U5" s="362"/>
      <x:c r="V5" s="362"/>
    </x:row>
    <x:row r="6">
      <x:c r="A6" s="418" t="str">
        <x:v>K60</x:v>
      </x:c>
      <x:c r="B6" s="269" t="n">
        <x:f>COUNTIF($A$19:$A$186,A6)</x:f>
        <x:v>25</x:v>
      </x:c>
      <x:c r="C6" s="269" t="n">
        <x:f>COUNTIFS($A$19:$A$186,A6,$K$19:$K$186,"&gt;0")</x:f>
        <x:v>25</x:v>
      </x:c>
      <x:c r="D6" s="426" t="n">
        <x:f>IFERROR(C6/B6,0)</x:f>
        <x:v>1</x:v>
      </x:c>
      <x:c r="E6" s="269" t="n">
        <x:f>SUMIFS($C$19:$C$186,$A$19:$A$186,A6)</x:f>
        <x:v>100</x:v>
      </x:c>
      <x:c r="F6" s="269" t="n">
        <x:f>SUMIFS($D$19:$D$186,$A$19:$A$186,A6)</x:f>
        <x:v>99</x:v>
      </x:c>
      <x:c r="G6" s="426" t="n">
        <x:f>IFERROR(F6/E6,0)</x:f>
        <x:v>0.99</x:v>
      </x:c>
      <x:c r="H6" s="427" t="n">
        <x:f>SUMIFS($K$19:$K$186,$A$19:$A$186,A6)</x:f>
        <x:v>372475700</x:v>
      </x:c>
      <x:c r="I6" s="427" t="n">
        <x:f>IFERROR(H6/C6,0)</x:f>
        <x:v>14899028</x:v>
      </x:c>
      <x:c r="J6" s="269" t="n">
        <x:f>1+COUNTIF($I$6:$I$13,"&gt;"&amp;I6)</x:f>
        <x:v>3</x:v>
      </x:c>
      <x:c r="K6" s="427" t="n">
        <x:f>SUMIFS($K$19:$K$186,$A$19:$A$186,A6,$N$19:$N$186,1)</x:f>
        <x:v>29641500</x:v>
      </x:c>
      <x:c r="L6" s="427" t="n">
        <x:f>IFERROR(SUMIFS($K$19:$K$186,$A$19:$A$186,A6,$N$19:$N$186,"&lt;=5")/MIN(5,C6),0)</x:f>
        <x:v>24023640</x:v>
      </x:c>
      <x:c r="M6" s="427" t="n">
        <x:f>IFERROR(SUMIFS($K$19:$K$186,$A$19:$A$186,A6,$N$19:$N$186,"&lt;=15")/MIN(15,C6),0)</x:f>
        <x:v>18236966.666666668</x:v>
      </x:c>
      <x:c r="N6" s="269" t="n">
        <x:f>1+COUNTIF($L$6:$L$13,"&gt;"&amp;L6)</x:f>
        <x:v>5</x:v>
      </x:c>
      <x:c r="O6" s="261" t="str">
        <x:f>IF(D6&lt;0.8,"Low castle coverage",IF(G6&lt;1,"Missing level","OK"))</x:f>
        <x:v>Missing level</x:v>
      </x:c>
      <x:c r="Q6" s="413" t="str">
        <x:v>Model formula</x:v>
      </x:c>
      <x:c r="R6" s="362" t="str">
        <x:v>Damage Score × (1 − weight) + Badge Index × weight</x:v>
      </x:c>
      <x:c r="S6" s="362"/>
      <x:c r="T6" s="362"/>
      <x:c r="U6" s="362"/>
      <x:c r="V6" s="362"/>
    </x:row>
    <x:row r="7">
      <x:c r="A7" s="419" t="str">
        <x:v>K91</x:v>
      </x:c>
      <x:c r="B7" s="269" t="n">
        <x:f>COUNTIF($A$19:$A$186,A7)</x:f>
        <x:v>20</x:v>
      </x:c>
      <x:c r="C7" s="269" t="n">
        <x:f>COUNTIFS($A$19:$A$186,A7,$K$19:$K$186,"&gt;0")</x:f>
        <x:v>20</x:v>
      </x:c>
      <x:c r="D7" s="426" t="n">
        <x:f>IFERROR(C7/B7,0)</x:f>
        <x:v>1</x:v>
      </x:c>
      <x:c r="E7" s="269" t="n">
        <x:f>SUMIFS($C$19:$C$186,$A$19:$A$186,A7)</x:f>
        <x:v>63</x:v>
      </x:c>
      <x:c r="F7" s="269" t="n">
        <x:f>SUMIFS($D$19:$D$186,$A$19:$A$186,A7)</x:f>
        <x:v>63</x:v>
      </x:c>
      <x:c r="G7" s="426" t="n">
        <x:f>IFERROR(F7/E7,0)</x:f>
        <x:v>1</x:v>
      </x:c>
      <x:c r="H7" s="427" t="n">
        <x:f>SUMIFS($K$19:$K$186,$A$19:$A$186,A7)</x:f>
        <x:v>258965900</x:v>
      </x:c>
      <x:c r="I7" s="427" t="n">
        <x:f>IFERROR(H7/C7,0)</x:f>
        <x:v>12948295</x:v>
      </x:c>
      <x:c r="J7" s="269" t="n">
        <x:f>1+COUNTIF($I$6:$I$13,"&gt;"&amp;I7)</x:f>
        <x:v>8</x:v>
      </x:c>
      <x:c r="K7" s="427" t="n">
        <x:f>SUMIFS($K$19:$K$186,$A$19:$A$186,A7,$N$19:$N$186,1)</x:f>
        <x:v>24521500</x:v>
      </x:c>
      <x:c r="L7" s="427" t="n">
        <x:f>IFERROR(SUMIFS($K$19:$K$186,$A$19:$A$186,A7,$N$19:$N$186,"&lt;=5")/MIN(5,C7),0)</x:f>
        <x:v>20215340</x:v>
      </x:c>
      <x:c r="M7" s="427" t="n">
        <x:f>IFERROR(SUMIFS($K$19:$K$186,$A$19:$A$186,A7,$N$19:$N$186,"&lt;=15")/MIN(15,C7),0)</x:f>
        <x:v>15038380</x:v>
      </x:c>
      <x:c r="N7" s="269" t="n">
        <x:f>1+COUNTIF($L$6:$L$13,"&gt;"&amp;L7)</x:f>
        <x:v>8</x:v>
      </x:c>
      <x:c r="O7" s="261" t="str">
        <x:f>IF(D7&lt;0.8,"Low castle coverage",IF(G7&lt;1,"Missing level","OK"))</x:f>
        <x:v>OK</x:v>
      </x:c>
      <x:c r="Q7" s="413" t="str">
        <x:v>Current status</x:v>
      </x:c>
      <x:c r="R7" s="362" t="str">
        <x:v>Diagnostic only — not applied to existing rankings</x:v>
      </x:c>
      <x:c r="S7" s="362"/>
      <x:c r="T7" s="362"/>
      <x:c r="U7" s="362"/>
      <x:c r="V7" s="362"/>
    </x:row>
    <x:row r="8">
      <x:c r="A8" s="420" t="str">
        <x:v>K116</x:v>
      </x:c>
      <x:c r="B8" s="269" t="n">
        <x:f>COUNTIF($A$19:$A$186,A8)</x:f>
        <x:v>20</x:v>
      </x:c>
      <x:c r="C8" s="269" t="n">
        <x:f>COUNTIFS($A$19:$A$186,A8,$K$19:$K$186,"&gt;0")</x:f>
        <x:v>15</x:v>
      </x:c>
      <x:c r="D8" s="426" t="n">
        <x:f>IFERROR(C8/B8,0)</x:f>
        <x:v>0.75</x:v>
      </x:c>
      <x:c r="E8" s="269" t="n">
        <x:f>SUMIFS($C$19:$C$186,$A$19:$A$186,A8)</x:f>
        <x:v>51</x:v>
      </x:c>
      <x:c r="F8" s="269" t="n">
        <x:f>SUMIFS($D$19:$D$186,$A$19:$A$186,A8)</x:f>
        <x:v>51</x:v>
      </x:c>
      <x:c r="G8" s="426" t="n">
        <x:f>IFERROR(F8/E8,0)</x:f>
        <x:v>1</x:v>
      </x:c>
      <x:c r="H8" s="427" t="n">
        <x:f>SUMIFS($K$19:$K$186,$A$19:$A$186,A8)</x:f>
        <x:v>194979300</x:v>
      </x:c>
      <x:c r="I8" s="427" t="n">
        <x:f>IFERROR(H8/C8,0)</x:f>
        <x:v>12998620</x:v>
      </x:c>
      <x:c r="J8" s="269" t="n">
        <x:f>1+COUNTIF($I$6:$I$13,"&gt;"&amp;I8)</x:f>
        <x:v>7</x:v>
      </x:c>
      <x:c r="K8" s="427" t="n">
        <x:f>SUMIFS($K$19:$K$186,$A$19:$A$186,A8,$N$19:$N$186,1)</x:f>
        <x:v>31530800</x:v>
      </x:c>
      <x:c r="L8" s="427" t="n">
        <x:f>IFERROR(SUMIFS($K$19:$K$186,$A$19:$A$186,A8,$N$19:$N$186,"&lt;=5")/MIN(5,C8),0)</x:f>
        <x:v>22419640</x:v>
      </x:c>
      <x:c r="M8" s="427" t="n">
        <x:f>IFERROR(SUMIFS($K$19:$K$186,$A$19:$A$186,A8,$N$19:$N$186,"&lt;=15")/MIN(15,C8),0)</x:f>
        <x:v>12998620</x:v>
      </x:c>
      <x:c r="N8" s="269" t="n">
        <x:f>1+COUNTIF($L$6:$L$13,"&gt;"&amp;L8)</x:f>
        <x:v>6</x:v>
      </x:c>
      <x:c r="O8" s="261" t="str">
        <x:f>IF(D8&lt;0.8,"Low castle coverage",IF(G8&lt;1,"Missing level","OK"))</x:f>
        <x:v>Low castle coverage</x:v>
      </x:c>
      <x:c r="Q8" s="413" t="str">
        <x:v>Coverage rule</x:v>
      </x:c>
      <x:c r="R8" s="362" t="str">
        <x:v>Missing skill recordings stay visible and are not estimated</x:v>
      </x:c>
      <x:c r="S8" s="362"/>
      <x:c r="T8" s="362"/>
      <x:c r="U8" s="362"/>
      <x:c r="V8" s="362"/>
    </x:row>
    <x:row r="9">
      <x:c r="A9" s="421" t="str">
        <x:v>K138</x:v>
      </x:c>
      <x:c r="B9" s="269" t="n">
        <x:f>COUNTIF($A$19:$A$186,A9)</x:f>
        <x:v>27</x:v>
      </x:c>
      <x:c r="C9" s="269" t="n">
        <x:f>COUNTIFS($A$19:$A$186,A9,$K$19:$K$186,"&gt;0")</x:f>
        <x:v>26</x:v>
      </x:c>
      <x:c r="D9" s="426" t="n">
        <x:f>IFERROR(C9/B9,0)</x:f>
        <x:v>0.9629629629629629</x:v>
      </x:c>
      <x:c r="E9" s="269" t="n">
        <x:f>SUMIFS($C$19:$C$186,$A$19:$A$186,A9)</x:f>
        <x:v>79</x:v>
      </x:c>
      <x:c r="F9" s="269" t="n">
        <x:f>SUMIFS($D$19:$D$186,$A$19:$A$186,A9)</x:f>
        <x:v>79</x:v>
      </x:c>
      <x:c r="G9" s="426" t="n">
        <x:f>IFERROR(F9/E9,0)</x:f>
        <x:v>1</x:v>
      </x:c>
      <x:c r="H9" s="427" t="n">
        <x:f>SUMIFS($K$19:$K$186,$A$19:$A$186,A9)</x:f>
        <x:v>354604700</x:v>
      </x:c>
      <x:c r="I9" s="427" t="n">
        <x:f>IFERROR(H9/C9,0)</x:f>
        <x:v>13638642.307692308</x:v>
      </x:c>
      <x:c r="J9" s="269" t="n">
        <x:f>1+COUNTIF($I$6:$I$13,"&gt;"&amp;I9)</x:f>
        <x:v>6</x:v>
      </x:c>
      <x:c r="K9" s="427" t="n">
        <x:f>SUMIFS($K$19:$K$186,$A$19:$A$186,A9,$N$19:$N$186,1)</x:f>
        <x:v>25157200</x:v>
      </x:c>
      <x:c r="L9" s="427" t="n">
        <x:f>IFERROR(SUMIFS($K$19:$K$186,$A$19:$A$186,A9,$N$19:$N$186,"&lt;=5")/MIN(5,C9),0)</x:f>
        <x:v>22192840</x:v>
      </x:c>
      <x:c r="M9" s="427" t="n">
        <x:f>IFERROR(SUMIFS($K$19:$K$186,$A$19:$A$186,A9,$N$19:$N$186,"&lt;=15")/MIN(15,C9),0)</x:f>
        <x:v>17544740</x:v>
      </x:c>
      <x:c r="N9" s="269" t="n">
        <x:f>1+COUNTIF($L$6:$L$13,"&gt;"&amp;L9)</x:f>
        <x:v>7</x:v>
      </x:c>
      <x:c r="O9" s="261" t="str">
        <x:f>IF(D9&lt;0.8,"Low castle coverage",IF(G9&lt;1,"Missing level","OK"))</x:f>
        <x:v>OK</x:v>
      </x:c>
    </x:row>
    <x:row r="10">
      <x:c r="A10" s="422" t="str">
        <x:v>K170</x:v>
      </x:c>
      <x:c r="B10" s="269" t="n">
        <x:f>COUNTIF($A$19:$A$186,A10)</x:f>
        <x:v>23</x:v>
      </x:c>
      <x:c r="C10" s="269" t="n">
        <x:f>COUNTIFS($A$19:$A$186,A10,$K$19:$K$186,"&gt;0")</x:f>
        <x:v>21</x:v>
      </x:c>
      <x:c r="D10" s="426" t="n">
        <x:f>IFERROR(C10/B10,0)</x:f>
        <x:v>0.9130434782608695</x:v>
      </x:c>
      <x:c r="E10" s="269" t="n">
        <x:f>SUMIFS($C$19:$C$186,$A$19:$A$186,A10)</x:f>
        <x:v>75</x:v>
      </x:c>
      <x:c r="F10" s="269" t="n">
        <x:f>SUMIFS($D$19:$D$186,$A$19:$A$186,A10)</x:f>
        <x:v>75</x:v>
      </x:c>
      <x:c r="G10" s="426" t="n">
        <x:f>IFERROR(F10/E10,0)</x:f>
        <x:v>1</x:v>
      </x:c>
      <x:c r="H10" s="427" t="n">
        <x:f>SUMIFS($K$19:$K$186,$A$19:$A$186,A10)</x:f>
        <x:v>308636200</x:v>
      </x:c>
      <x:c r="I10" s="427" t="n">
        <x:f>IFERROR(H10/C10,0)</x:f>
        <x:v>14696961.904761905</x:v>
      </x:c>
      <x:c r="J10" s="269" t="n">
        <x:f>1+COUNTIF($I$6:$I$13,"&gt;"&amp;I10)</x:f>
        <x:v>5</x:v>
      </x:c>
      <x:c r="K10" s="427" t="n">
        <x:f>SUMIFS($K$19:$K$186,$A$19:$A$186,A10,$N$19:$N$186,1)</x:f>
        <x:v>26957200</x:v>
      </x:c>
      <x:c r="L10" s="427" t="n">
        <x:f>IFERROR(SUMIFS($K$19:$K$186,$A$19:$A$186,A10,$N$19:$N$186,"&lt;=5")/MIN(5,C10),0)</x:f>
        <x:v>24339200</x:v>
      </x:c>
      <x:c r="M10" s="427" t="n">
        <x:f>IFERROR(SUMIFS($K$19:$K$186,$A$19:$A$186,A10,$N$19:$N$186,"&lt;=15")/MIN(15,C10),0)</x:f>
        <x:v>17300586.666666668</x:v>
      </x:c>
      <x:c r="N10" s="269" t="n">
        <x:f>1+COUNTIF($L$6:$L$13,"&gt;"&amp;L10)</x:f>
        <x:v>4</x:v>
      </x:c>
      <x:c r="O10" s="261" t="str">
        <x:f>IF(D10&lt;0.8,"Low castle coverage",IF(G10&lt;1,"Missing level","OK"))</x:f>
        <x:v>OK</x:v>
      </x:c>
    </x:row>
    <x:row r="11">
      <x:c r="A11" s="423" t="str">
        <x:v>K54</x:v>
      </x:c>
      <x:c r="B11" s="269" t="n">
        <x:f>COUNTIF($A$19:$A$186,A11)</x:f>
        <x:v>12</x:v>
      </x:c>
      <x:c r="C11" s="269" t="n">
        <x:f>COUNTIFS($A$19:$A$186,A11,$K$19:$K$186,"&gt;0")</x:f>
        <x:v>12</x:v>
      </x:c>
      <x:c r="D11" s="426" t="n">
        <x:f>IFERROR(C11/B11,0)</x:f>
        <x:v>1</x:v>
      </x:c>
      <x:c r="E11" s="269" t="n">
        <x:f>SUMIFS($C$19:$C$186,$A$19:$A$186,A11)</x:f>
        <x:v>38</x:v>
      </x:c>
      <x:c r="F11" s="269" t="n">
        <x:f>SUMIFS($D$19:$D$186,$A$19:$A$186,A11)</x:f>
        <x:v>38</x:v>
      </x:c>
      <x:c r="G11" s="426" t="n">
        <x:f>IFERROR(F11/E11,0)</x:f>
        <x:v>1</x:v>
      </x:c>
      <x:c r="H11" s="427" t="n">
        <x:f>SUMIFS($K$19:$K$186,$A$19:$A$186,A11)</x:f>
        <x:v>205733400</x:v>
      </x:c>
      <x:c r="I11" s="427" t="n">
        <x:f>IFERROR(H11/C11,0)</x:f>
        <x:v>17144450</x:v>
      </x:c>
      <x:c r="J11" s="269" t="n">
        <x:f>1+COUNTIF($I$6:$I$13,"&gt;"&amp;I11)</x:f>
        <x:v>2</x:v>
      </x:c>
      <x:c r="K11" s="427" t="n">
        <x:f>SUMIFS($K$19:$K$186,$A$19:$A$186,A11,$N$19:$N$186,1)</x:f>
        <x:v>41337200</x:v>
      </x:c>
      <x:c r="L11" s="427" t="n">
        <x:f>IFERROR(SUMIFS($K$19:$K$186,$A$19:$A$186,A11,$N$19:$N$186,"&lt;=5")/MIN(5,C11),0)</x:f>
        <x:v>27550340</x:v>
      </x:c>
      <x:c r="M11" s="427" t="n">
        <x:f>IFERROR(SUMIFS($K$19:$K$186,$A$19:$A$186,A11,$N$19:$N$186,"&lt;=15")/MIN(15,C11),0)</x:f>
        <x:v>17144450</x:v>
      </x:c>
      <x:c r="N11" s="269" t="n">
        <x:f>1+COUNTIF($L$6:$L$13,"&gt;"&amp;L11)</x:f>
        <x:v>2</x:v>
      </x:c>
      <x:c r="O11" s="261" t="str">
        <x:f>IF(D11&lt;0.8,"Low castle coverage",IF(G11&lt;1,"Missing level","OK"))</x:f>
        <x:v>OK</x:v>
      </x:c>
    </x:row>
    <x:row r="12">
      <x:c r="A12" s="424" t="str">
        <x:v>K197</x:v>
      </x:c>
      <x:c r="B12" s="269" t="n">
        <x:f>COUNTIF($A$19:$A$186,A12)</x:f>
        <x:v>19</x:v>
      </x:c>
      <x:c r="C12" s="269" t="n">
        <x:f>COUNTIFS($A$19:$A$186,A12,$K$19:$K$186,"&gt;0")</x:f>
        <x:v>19</x:v>
      </x:c>
      <x:c r="D12" s="426" t="n">
        <x:f>IFERROR(C12/B12,0)</x:f>
        <x:v>1</x:v>
      </x:c>
      <x:c r="E12" s="269" t="n">
        <x:f>SUMIFS($C$19:$C$186,$A$19:$A$186,A12)</x:f>
        <x:v>36</x:v>
      </x:c>
      <x:c r="F12" s="269" t="n">
        <x:f>SUMIFS($D$19:$D$186,$A$19:$A$186,A12)</x:f>
        <x:v>35</x:v>
      </x:c>
      <x:c r="G12" s="426" t="n">
        <x:f>IFERROR(F12/E12,0)</x:f>
        <x:v>0.9722222222222222</x:v>
      </x:c>
      <x:c r="H12" s="427" t="n">
        <x:f>SUMIFS($K$19:$K$186,$A$19:$A$186,A12)</x:f>
        <x:v>281690500</x:v>
      </x:c>
      <x:c r="I12" s="427" t="n">
        <x:f>IFERROR(H12/C12,0)</x:f>
        <x:v>14825815.789473685</x:v>
      </x:c>
      <x:c r="J12" s="269" t="n">
        <x:f>1+COUNTIF($I$6:$I$13,"&gt;"&amp;I12)</x:f>
        <x:v>4</x:v>
      </x:c>
      <x:c r="K12" s="427" t="n">
        <x:f>SUMIFS($K$19:$K$186,$A$19:$A$186,A12,$N$19:$N$186,1)</x:f>
        <x:v>62005800</x:v>
      </x:c>
      <x:c r="L12" s="427" t="n">
        <x:f>IFERROR(SUMIFS($K$19:$K$186,$A$19:$A$186,A12,$N$19:$N$186,"&lt;=5")/MIN(5,C12),0)</x:f>
        <x:v>30848620</x:v>
      </x:c>
      <x:c r="M12" s="427" t="n">
        <x:f>IFERROR(SUMIFS($K$19:$K$186,$A$19:$A$186,A12,$N$19:$N$186,"&lt;=15")/MIN(15,C12),0)</x:f>
        <x:v>17348220</x:v>
      </x:c>
      <x:c r="N12" s="269" t="n">
        <x:f>1+COUNTIF($L$6:$L$13,"&gt;"&amp;L12)</x:f>
        <x:v>1</x:v>
      </x:c>
      <x:c r="O12" s="261" t="str">
        <x:f>IF(D12&lt;0.8,"Low castle coverage",IF(G12&lt;1,"Missing level","OK"))</x:f>
        <x:v>Missing level</x:v>
      </x:c>
    </x:row>
    <x:row r="13">
      <x:c r="A13" s="425" t="str">
        <x:v>K176</x:v>
      </x:c>
      <x:c r="B13" s="269" t="n">
        <x:f>COUNTIF($A$19:$A$186,A13)</x:f>
        <x:v>22</x:v>
      </x:c>
      <x:c r="C13" s="269" t="n">
        <x:f>COUNTIFS($A$19:$A$186,A13,$K$19:$K$186,"&gt;0")</x:f>
        <x:v>20</x:v>
      </x:c>
      <x:c r="D13" s="426" t="n">
        <x:f>IFERROR(C13/B13,0)</x:f>
        <x:v>0.9090909090909091</x:v>
      </x:c>
      <x:c r="E13" s="269" t="n">
        <x:f>SUMIFS($C$19:$C$186,$A$19:$A$186,A13)</x:f>
        <x:v>80</x:v>
      </x:c>
      <x:c r="F13" s="269" t="n">
        <x:f>SUMIFS($D$19:$D$186,$A$19:$A$186,A13)</x:f>
        <x:v>80</x:v>
      </x:c>
      <x:c r="G13" s="426" t="n">
        <x:f>IFERROR(F13/E13,0)</x:f>
        <x:v>1</x:v>
      </x:c>
      <x:c r="H13" s="427" t="n">
        <x:f>SUMIFS($K$19:$K$186,$A$19:$A$186,A13)</x:f>
        <x:v>366016500</x:v>
      </x:c>
      <x:c r="I13" s="427" t="n">
        <x:f>IFERROR(H13/C13,0)</x:f>
        <x:v>18300825</x:v>
      </x:c>
      <x:c r="J13" s="269" t="n">
        <x:f>1+COUNTIF($I$6:$I$13,"&gt;"&amp;I13)</x:f>
        <x:v>1</x:v>
      </x:c>
      <x:c r="K13" s="427" t="n">
        <x:f>SUMIFS($K$19:$K$186,$A$19:$A$186,A13,$N$19:$N$186,1)</x:f>
        <x:v>38071500</x:v>
      </x:c>
      <x:c r="L13" s="427" t="n">
        <x:f>IFERROR(SUMIFS($K$19:$K$186,$A$19:$A$186,A13,$N$19:$N$186,"&lt;=5")/MIN(5,C13),0)</x:f>
        <x:v>27410060</x:v>
      </x:c>
      <x:c r="M13" s="427" t="n">
        <x:f>IFERROR(SUMIFS($K$19:$K$186,$A$19:$A$186,A13,$N$19:$N$186,"&lt;=15")/MIN(15,C13),0)</x:f>
        <x:v>20817420</x:v>
      </x:c>
      <x:c r="N13" s="269" t="n">
        <x:f>1+COUNTIF($L$6:$L$13,"&gt;"&amp;L13)</x:f>
        <x:v>3</x:v>
      </x:c>
      <x:c r="O13" s="261" t="str">
        <x:f>IF(D13&lt;0.8,"Low castle coverage",IF(G13&lt;1,"Missing level","OK"))</x:f>
        <x:v>OK</x:v>
      </x:c>
    </x:row>
    <x:row r="15">
      <x:c r="A15" s="394" t="str">
        <x:v>Castle badge detail</x:v>
      </x:c>
      <x:c r="B15" s="394"/>
      <x:c r="C15" s="394"/>
      <x:c r="D15" s="394"/>
      <x:c r="E15" s="394"/>
      <x:c r="F15" s="394"/>
      <x:c r="G15" s="394"/>
      <x:c r="H15" s="394"/>
      <x:c r="I15" s="394"/>
      <x:c r="J15" s="394"/>
      <x:c r="K15" s="394"/>
      <x:c r="L15" s="394"/>
      <x:c r="M15" s="394"/>
      <x:c r="N15" s="394"/>
      <x:c r="O15" s="394"/>
      <x:c r="P15" s="394"/>
      <x:c r="Q15" s="394"/>
      <x:c r="R15" s="394"/>
      <x:c r="S15" s="394"/>
      <x:c r="T15" s="394"/>
      <x:c r="U15" s="394"/>
      <x:c r="V15" s="394"/>
    </x:row>
    <x:row r="16" ht="30" customHeight="1">
      <x:c r="A16" s="390" t="str">
        <x:v>Badge Rank Edge = current damage rank minus badge rank. A positive result means recorded specialisation investment is stronger than the castle's current damage ranking suggests.</x:v>
      </x:c>
      <x:c r="B16" s="390"/>
      <x:c r="C16" s="390"/>
      <x:c r="D16" s="390"/>
      <x:c r="E16" s="390"/>
      <x:c r="F16" s="390"/>
      <x:c r="G16" s="390"/>
      <x:c r="H16" s="390"/>
      <x:c r="I16" s="390"/>
      <x:c r="J16" s="390"/>
      <x:c r="K16" s="390"/>
      <x:c r="L16" s="390"/>
      <x:c r="M16" s="390"/>
      <x:c r="N16" s="390"/>
      <x:c r="O16" s="390"/>
      <x:c r="P16" s="390"/>
      <x:c r="Q16" s="390"/>
      <x:c r="R16" s="390"/>
      <x:c r="S16" s="390"/>
      <x:c r="T16" s="390"/>
      <x:c r="U16" s="390"/>
      <x:c r="V16" s="390"/>
    </x:row>
    <x:row r="18" ht="34" customHeight="1">
      <x:c r="A18" s="378" t="str">
        <x:v>Server</x:v>
      </x:c>
      <x:c r="B18" s="378" t="str">
        <x:v>Player</x:v>
      </x:c>
      <x:c r="C18" s="378" t="str">
        <x:v>Skills Captured</x:v>
      </x:c>
      <x:c r="D18" s="378" t="str">
        <x:v>Valid Levels</x:v>
      </x:c>
      <x:c r="E18" s="378" t="str">
        <x:v>Missing Levels</x:v>
      </x:c>
      <x:c r="F18" s="378" t="str">
        <x:v>Lookup Coverage</x:v>
      </x:c>
      <x:c r="G18" s="378" t="str">
        <x:v>Guards Badges</x:v>
      </x:c>
      <x:c r="H18" s="378" t="str">
        <x:v>Archers Badges</x:v>
      </x:c>
      <x:c r="I18" s="378" t="str">
        <x:v>Cavalry Badges</x:v>
      </x:c>
      <x:c r="J18" s="378" t="str">
        <x:v>Siege Badges</x:v>
      </x:c>
      <x:c r="K18" s="378" t="str">
        <x:v>Total Badges</x:v>
      </x:c>
      <x:c r="L18" s="378" t="str">
        <x:v>Badge Index</x:v>
      </x:c>
      <x:c r="M18" s="378" t="str">
        <x:v>Signed Net (Display Only)</x:v>
      </x:c>
      <x:c r="N18" s="378" t="str">
        <x:v>Server Badge Rank</x:v>
      </x:c>
      <x:c r="O18" s="378" t="str">
        <x:v>Overall Badge Rank</x:v>
      </x:c>
      <x:c r="P18" s="378" t="str">
        <x:v>Data Status</x:v>
      </x:c>
      <x:c r="Q18" s="378" t="str">
        <x:v>Damage Score</x:v>
      </x:c>
      <x:c r="R18" s="378" t="str">
        <x:v>Damage Rank</x:v>
      </x:c>
      <x:c r="S18" s="378" t="str">
        <x:v>Badge Rank Edge</x:v>
      </x:c>
      <x:c r="T18" s="378" t="str">
        <x:v>Comparison</x:v>
      </x:c>
      <x:c r="U18" s="378" t="str">
        <x:v>Modelled Strength</x:v>
      </x:c>
      <x:c r="V18" s="378" t="str">
        <x:v>Modelled Rank</x:v>
      </x:c>
    </x:row>
    <x:row r="19" ht="24" customHeight="1">
      <x:c r="A19" s="430" t="str">
        <x:v>K60</x:v>
      </x:c>
      <x:c r="B19" s="430" t="str">
        <x:v>CerialKiller</x:v>
      </x:c>
      <x:c r="C19" s="431" t="n">
        <x:f>COUNTIFS('Specialisations'!$A$6:$A$527,A19,'Specialisations'!$B$6:$B$527,B19)</x:f>
        <x:v>4</x:v>
      </x:c>
      <x:c r="D19" s="431" t="n">
        <x:f>COUNTIFS('Specialisations'!$A$6:$A$527,A19,'Specialisations'!$B$6:$B$527,B19,'Specialisations'!$P$6:$P$527,"OK")</x:f>
        <x:v>4</x:v>
      </x:c>
      <x:c r="E19" s="431" t="n">
        <x:f>C19-D19</x:f>
        <x:v>0</x:v>
      </x:c>
      <x:c r="F19" s="432" t="n">
        <x:f>IF(C19=0,0,D19/C19)</x:f>
        <x:v>1</x:v>
      </x:c>
      <x:c r="G19" s="433" t="n">
        <x:f>SUMIFS('Specialisations'!$N$6:$N$527,'Specialisations'!$A$6:$A$527,A19,'Specialisations'!$B$6:$B$527,B19,'Specialisations'!$C$6:$C$527,"Guards")</x:f>
        <x:v>10334300</x:v>
      </x:c>
      <x:c r="H19" s="433" t="n">
        <x:f>SUMIFS('Specialisations'!$N$6:$N$527,'Specialisations'!$A$6:$A$527,A19,'Specialisations'!$B$6:$B$527,B19,'Specialisations'!$C$6:$C$527,"Archers")</x:f>
        <x:v>5004300</x:v>
      </x:c>
      <x:c r="I19" s="433" t="n">
        <x:f>SUMIFS('Specialisations'!$N$6:$N$527,'Specialisations'!$A$6:$A$527,A19,'Specialisations'!$B$6:$B$527,B19,'Specialisations'!$C$6:$C$527,"Cavalry")</x:f>
        <x:v>10008600</x:v>
      </x:c>
      <x:c r="J19" s="433" t="n">
        <x:f>SUMIFS('Specialisations'!$N$6:$N$527,'Specialisations'!$A$6:$A$527,A19,'Specialisations'!$B$6:$B$527,B19,'Specialisations'!$C$6:$C$527,"Siege")</x:f>
        <x:v>0</x:v>
      </x:c>
      <x:c r="K19" s="433" t="n">
        <x:f>SUM(G19:J19)</x:f>
        <x:v>25347200</x:v>
      </x:c>
      <x:c r="L19" s="434" t="n">
        <x:f>IFERROR(100*K19/MAX($K$19:$K$186),0)</x:f>
        <x:v>40.87875650342387</x:v>
      </x:c>
      <x:c r="M19" s="495" t="n">
        <x:f>IF(C19=0,"",SUMIFS('Specialisations'!$Q$6:$Q$527,'Specialisations'!$A$6:$A$527,A19,'Specialisations'!$B$6:$B$527,B19))</x:f>
        <x:v>75.39000000000001</x:v>
      </x:c>
      <x:c r="N19" s="431" t="n">
        <x:f>IF(K19=0,"",1+COUNTIFS($A$19:$A$186,A19,$K$19:$K$186,"&gt;"&amp;K19))</x:f>
        <x:v>2</x:v>
      </x:c>
      <x:c r="O19" s="431" t="n">
        <x:f>IF(K19=0,"",1+COUNTIF($K$19:$K$186,"&gt;"&amp;K19))</x:f>
        <x:v>13</x:v>
      </x:c>
      <x:c r="P19" s="430" t="str">
        <x:f>IF(C19=0,"No specialisations recorded",IF(E19&gt;0,"Review missing level","Complete"))</x:f>
        <x:v>Complete</x:v>
      </x:c>
      <x:c r="Q19" s="434" t="n">
        <x:f>IF(COUNTIFS('Damage Ranking'!$B$6:$B$172,A19,'Damage Ranking'!$C$6:$C$172,B19)=0,"",SUMIFS('Damage Ranking'!$D$6:$D$172,'Damage Ranking'!$B$6:$B$172,A19,'Damage Ranking'!$C$6:$C$172,B19))</x:f>
        <x:v>76.84662515480584</x:v>
      </x:c>
      <x:c r="R19" s="431" t="n">
        <x:f>IF(Q19="","",SUMIFS('Damage Ranking'!$A$6:$A$172,'Damage Ranking'!$B$6:$B$172,A19,'Damage Ranking'!$C$6:$C$172,B19))</x:f>
        <x:v>12</x:v>
      </x:c>
      <x:c r="S19" s="431" t="n">
        <x:f>IF(OR(R19="",O19=""),"",R19-O19)</x:f>
        <x:v>-1</x:v>
      </x:c>
      <x:c r="T19" s="430" t="str">
        <x:f>IF(S19="","No damage score",IF(S19&gt;=20,"Badges much stronger",IF(S19&lt;=-20,"Damage much stronger","Broadly aligned")))</x:f>
        <x:v>Broadly aligned</x:v>
      </x:c>
      <x:c r="U19" s="434" t="n">
        <x:f>IF(Q19="","",Q19*(1-$R$5)+L19*$R$5)</x:f>
        <x:v>76.84662515480584</x:v>
      </x:c>
      <x:c r="V19" s="431" t="n">
        <x:f>IF(U19="","",1+COUNTIF($U$19:$U$186,"&gt;"&amp;U19))</x:f>
        <x:v>12</x:v>
      </x:c>
    </x:row>
    <x:row r="20" ht="24" customHeight="1">
      <x:c r="A20" s="430" t="str">
        <x:v>K60</x:v>
      </x:c>
      <x:c r="B20" s="430" t="str">
        <x:v>Hitt</x:v>
      </x:c>
      <x:c r="C20" s="431" t="n">
        <x:f>COUNTIFS('Specialisations'!$A$6:$A$527,A20,'Specialisations'!$B$6:$B$527,B20)</x:f>
        <x:v>4</x:v>
      </x:c>
      <x:c r="D20" s="431" t="n">
        <x:f>COUNTIFS('Specialisations'!$A$6:$A$527,A20,'Specialisations'!$B$6:$B$527,B20,'Specialisations'!$P$6:$P$527,"OK")</x:f>
        <x:v>4</x:v>
      </x:c>
      <x:c r="E20" s="431" t="n">
        <x:f>C20-D20</x:f>
        <x:v>0</x:v>
      </x:c>
      <x:c r="F20" s="432" t="n">
        <x:f>IF(C20=0,0,D20/C20)</x:f>
        <x:v>1</x:v>
      </x:c>
      <x:c r="G20" s="433" t="n">
        <x:f>SUMIFS('Specialisations'!$N$6:$N$527,'Specialisations'!$A$6:$A$527,A20,'Specialisations'!$B$6:$B$527,B20,'Specialisations'!$C$6:$C$527,"Guards")</x:f>
        <x:v>2244300</x:v>
      </x:c>
      <x:c r="H20" s="433" t="n">
        <x:f>SUMIFS('Specialisations'!$N$6:$N$527,'Specialisations'!$A$6:$A$527,A20,'Specialisations'!$B$6:$B$527,B20,'Specialisations'!$C$6:$C$527,"Archers")</x:f>
        <x:v>2244300</x:v>
      </x:c>
      <x:c r="I20" s="433" t="n">
        <x:f>SUMIFS('Specialisations'!$N$6:$N$527,'Specialisations'!$A$6:$A$527,A20,'Specialisations'!$B$6:$B$527,B20,'Specialisations'!$C$6:$C$527,"Cavalry")</x:f>
        <x:v>6968600</x:v>
      </x:c>
      <x:c r="J20" s="433" t="n">
        <x:f>SUMIFS('Specialisations'!$N$6:$N$527,'Specialisations'!$A$6:$A$527,A20,'Specialisations'!$B$6:$B$527,B20,'Specialisations'!$C$6:$C$527,"Siege")</x:f>
        <x:v>0</x:v>
      </x:c>
      <x:c r="K20" s="433" t="n">
        <x:f>SUM(G20:J20)</x:f>
        <x:v>11457200</x:v>
      </x:c>
      <x:c r="L20" s="434" t="n">
        <x:f>IFERROR(100*K20/MAX($K$19:$K$186),0)</x:f>
        <x:v>18.47762628657319</x:v>
      </x:c>
      <x:c r="M20" s="495" t="n">
        <x:f>IF(C20=0,"",SUMIFS('Specialisations'!$Q$6:$Q$527,'Specialisations'!$A$6:$A$527,A20,'Specialisations'!$B$6:$B$527,B20))</x:f>
        <x:v>75.91</x:v>
      </x:c>
      <x:c r="N20" s="431" t="n">
        <x:f>IF(K20=0,"",1+COUNTIFS($A$19:$A$186,A20,$K$19:$K$186,"&gt;"&amp;K20))</x:f>
        <x:v>21</x:v>
      </x:c>
      <x:c r="O20" s="431" t="n">
        <x:f>IF(K20=0,"",1+COUNTIF($K$19:$K$186,"&gt;"&amp;K20))</x:f>
        <x:v>103</x:v>
      </x:c>
      <x:c r="P20" s="430" t="str">
        <x:f>IF(C20=0,"No specialisations recorded",IF(E20&gt;0,"Review missing level","Complete"))</x:f>
        <x:v>Complete</x:v>
      </x:c>
      <x:c r="Q20" s="434" t="n">
        <x:f>IF(COUNTIFS('Damage Ranking'!$B$6:$B$172,A20,'Damage Ranking'!$C$6:$C$172,B20)=0,"",SUMIFS('Damage Ranking'!$D$6:$D$172,'Damage Ranking'!$B$6:$B$172,A20,'Damage Ranking'!$C$6:$C$172,B20))</x:f>
        <x:v>20.237031956612928</x:v>
      </x:c>
      <x:c r="R20" s="431" t="n">
        <x:f>IF(Q20="","",SUMIFS('Damage Ranking'!$A$6:$A$172,'Damage Ranking'!$B$6:$B$172,A20,'Damage Ranking'!$C$6:$C$172,B20))</x:f>
        <x:v>122</x:v>
      </x:c>
      <x:c r="S20" s="431" t="n">
        <x:f>IF(OR(R20="",O20=""),"",R20-O20)</x:f>
        <x:v>19</x:v>
      </x:c>
      <x:c r="T20" s="430" t="str">
        <x:f>IF(S20="","No damage score",IF(S20&gt;=20,"Badges much stronger",IF(S20&lt;=-20,"Damage much stronger","Broadly aligned")))</x:f>
        <x:v>Broadly aligned</x:v>
      </x:c>
      <x:c r="U20" s="434" t="n">
        <x:f>IF(Q20="","",Q20*(1-$R$5)+L20*$R$5)</x:f>
        <x:v>20.237031956612928</x:v>
      </x:c>
      <x:c r="V20" s="431" t="n">
        <x:f>IF(U20="","",1+COUNTIF($U$19:$U$186,"&gt;"&amp;U20))</x:f>
        <x:v>122</x:v>
      </x:c>
    </x:row>
    <x:row r="21" ht="24" customHeight="1">
      <x:c r="A21" s="430" t="str">
        <x:v>K60</x:v>
      </x:c>
      <x:c r="B21" s="430" t="str">
        <x:v>Λžtěč (Aztec)</x:v>
      </x:c>
      <x:c r="C21" s="431" t="n">
        <x:f>COUNTIFS('Specialisations'!$A$6:$A$527,A21,'Specialisations'!$B$6:$B$527,B21)</x:f>
        <x:v>4</x:v>
      </x:c>
      <x:c r="D21" s="431" t="n">
        <x:f>COUNTIFS('Specialisations'!$A$6:$A$527,A21,'Specialisations'!$B$6:$B$527,B21,'Specialisations'!$P$6:$P$527,"OK")</x:f>
        <x:v>4</x:v>
      </x:c>
      <x:c r="E21" s="431" t="n">
        <x:f>C21-D21</x:f>
        <x:v>0</x:v>
      </x:c>
      <x:c r="F21" s="432" t="n">
        <x:f>IF(C21=0,0,D21/C21)</x:f>
        <x:v>1</x:v>
      </x:c>
      <x:c r="G21" s="433" t="n">
        <x:f>SUMIFS('Specialisations'!$N$6:$N$527,'Specialisations'!$A$6:$A$527,A21,'Specialisations'!$B$6:$B$527,B21,'Specialisations'!$C$6:$C$527,"Guards")</x:f>
        <x:v>2244300</x:v>
      </x:c>
      <x:c r="H21" s="433" t="n">
        <x:f>SUMIFS('Specialisations'!$N$6:$N$527,'Specialisations'!$A$6:$A$527,A21,'Specialisations'!$B$6:$B$527,B21,'Specialisations'!$C$6:$C$527,"Archers")</x:f>
        <x:v>2244300</x:v>
      </x:c>
      <x:c r="I21" s="433" t="n">
        <x:f>SUMIFS('Specialisations'!$N$6:$N$527,'Specialisations'!$A$6:$A$527,A21,'Specialisations'!$B$6:$B$527,B21,'Specialisations'!$C$6:$C$527,"Cavalry")</x:f>
        <x:v>7448600</x:v>
      </x:c>
      <x:c r="J21" s="433" t="n">
        <x:f>SUMIFS('Specialisations'!$N$6:$N$527,'Specialisations'!$A$6:$A$527,A21,'Specialisations'!$B$6:$B$527,B21,'Specialisations'!$C$6:$C$527,"Siege")</x:f>
        <x:v>0</x:v>
      </x:c>
      <x:c r="K21" s="433" t="n">
        <x:f>SUM(G21:J21)</x:f>
        <x:v>11937200</x:v>
      </x:c>
      <x:c r="L21" s="434" t="n">
        <x:f>IFERROR(100*K21/MAX($K$19:$K$186),0)</x:f>
        <x:v>19.251747417177103</x:v>
      </x:c>
      <x:c r="M21" s="495" t="n">
        <x:f>IF(C21=0,"",SUMIFS('Specialisations'!$Q$6:$Q$527,'Specialisations'!$A$6:$A$527,A21,'Specialisations'!$B$6:$B$527,B21))</x:f>
        <x:v>79.86</x:v>
      </x:c>
      <x:c r="N21" s="431" t="n">
        <x:f>IF(K21=0,"",1+COUNTIFS($A$19:$A$186,A21,$K$19:$K$186,"&gt;"&amp;K21))</x:f>
        <x:v>19</x:v>
      </x:c>
      <x:c r="O21" s="431" t="n">
        <x:f>IF(K21=0,"",1+COUNTIF($K$19:$K$186,"&gt;"&amp;K21))</x:f>
        <x:v>99</x:v>
      </x:c>
      <x:c r="P21" s="430" t="str">
        <x:f>IF(C21=0,"No specialisations recorded",IF(E21&gt;0,"Review missing level","Complete"))</x:f>
        <x:v>Complete</x:v>
      </x:c>
      <x:c r="Q21" s="434" t="n">
        <x:f>IF(COUNTIFS('Damage Ranking'!$B$6:$B$172,A21,'Damage Ranking'!$C$6:$C$172,B21)=0,"",SUMIFS('Damage Ranking'!$D$6:$D$172,'Damage Ranking'!$B$6:$B$172,A21,'Damage Ranking'!$C$6:$C$172,B21))</x:f>
        <x:v>27.265513102027388</x:v>
      </x:c>
      <x:c r="R21" s="431" t="n">
        <x:f>IF(Q21="","",SUMIFS('Damage Ranking'!$A$6:$A$172,'Damage Ranking'!$B$6:$B$172,A21,'Damage Ranking'!$C$6:$C$172,B21))</x:f>
        <x:v>99</x:v>
      </x:c>
      <x:c r="S21" s="431" t="n">
        <x:f>IF(OR(R21="",O21=""),"",R21-O21)</x:f>
        <x:v>0</x:v>
      </x:c>
      <x:c r="T21" s="430" t="str">
        <x:f>IF(S21="","No damage score",IF(S21&gt;=20,"Badges much stronger",IF(S21&lt;=-20,"Damage much stronger","Broadly aligned")))</x:f>
        <x:v>No damage score</x:v>
      </x:c>
      <x:c r="U21" s="434" t="n">
        <x:f>IF(Q21="","",Q21*(1-$R$5)+L21*$R$5)</x:f>
        <x:v>27.265513102027388</x:v>
      </x:c>
      <x:c r="V21" s="431" t="n">
        <x:f>IF(U21="","",1+COUNTIF($U$19:$U$186,"&gt;"&amp;U21))</x:f>
        <x:v>99</x:v>
      </x:c>
    </x:row>
    <x:row r="22" ht="24" customHeight="1">
      <x:c r="A22" s="430" t="str">
        <x:v>K60</x:v>
      </x:c>
      <x:c r="B22" s="430" t="str">
        <x:v>MoonLight</x:v>
      </x:c>
      <x:c r="C22" s="431" t="n">
        <x:f>COUNTIFS('Specialisations'!$A$6:$A$527,A22,'Specialisations'!$B$6:$B$527,B22)</x:f>
        <x:v>3</x:v>
      </x:c>
      <x:c r="D22" s="431" t="n">
        <x:f>COUNTIFS('Specialisations'!$A$6:$A$527,A22,'Specialisations'!$B$6:$B$527,B22,'Specialisations'!$P$6:$P$527,"OK")</x:f>
        <x:v>3</x:v>
      </x:c>
      <x:c r="E22" s="431" t="n">
        <x:f>C22-D22</x:f>
        <x:v>0</x:v>
      </x:c>
      <x:c r="F22" s="432" t="n">
        <x:f>IF(C22=0,0,D22/C22)</x:f>
        <x:v>1</x:v>
      </x:c>
      <x:c r="G22" s="433" t="n">
        <x:f>SUMIFS('Specialisations'!$N$6:$N$527,'Specialisations'!$A$6:$A$527,A22,'Specialisations'!$B$6:$B$527,B22,'Specialisations'!$C$6:$C$527,"Guards")</x:f>
        <x:v>2244300</x:v>
      </x:c>
      <x:c r="H22" s="433" t="n">
        <x:f>SUMIFS('Specialisations'!$N$6:$N$527,'Specialisations'!$A$6:$A$527,A22,'Specialisations'!$B$6:$B$527,B22,'Specialisations'!$C$6:$C$527,"Archers")</x:f>
        <x:v>2524300</x:v>
      </x:c>
      <x:c r="I22" s="433" t="n">
        <x:f>SUMIFS('Specialisations'!$N$6:$N$527,'Specialisations'!$A$6:$A$527,A22,'Specialisations'!$B$6:$B$527,B22,'Specialisations'!$C$6:$C$527,"Cavalry")</x:f>
        <x:v>3244300</x:v>
      </x:c>
      <x:c r="J22" s="433" t="n">
        <x:f>SUMIFS('Specialisations'!$N$6:$N$527,'Specialisations'!$A$6:$A$527,A22,'Specialisations'!$B$6:$B$527,B22,'Specialisations'!$C$6:$C$527,"Siege")</x:f>
        <x:v>0</x:v>
      </x:c>
      <x:c r="K22" s="433" t="n">
        <x:f>SUM(G22:J22)</x:f>
        <x:v>8012900</x:v>
      </x:c>
      <x:c r="L22" s="434" t="n">
        <x:f>IFERROR(100*K22/MAX($K$19:$K$186),0)</x:f>
        <x:v>12.922823348783501</x:v>
      </x:c>
      <x:c r="M22" s="495" t="n">
        <x:f>IF(C22=0,"",SUMIFS('Specialisations'!$Q$6:$Q$527,'Specialisations'!$A$6:$A$527,A22,'Specialisations'!$B$6:$B$527,B22))</x:f>
        <x:v>38.62</x:v>
      </x:c>
      <x:c r="N22" s="431" t="n">
        <x:f>IF(K22=0,"",1+COUNTIFS($A$19:$A$186,A22,$K$19:$K$186,"&gt;"&amp;K22))</x:f>
        <x:v>25</x:v>
      </x:c>
      <x:c r="O22" s="431" t="n">
        <x:f>IF(K22=0,"",1+COUNTIF($K$19:$K$186,"&gt;"&amp;K22))</x:f>
        <x:v>134</x:v>
      </x:c>
      <x:c r="P22" s="430" t="str">
        <x:f>IF(C22=0,"No specialisations recorded",IF(E22&gt;0,"Review missing level","Complete"))</x:f>
        <x:v>Complete</x:v>
      </x:c>
      <x:c r="Q22" s="434" t="n">
        <x:f>IF(COUNTIFS('Damage Ranking'!$B$6:$B$172,A22,'Damage Ranking'!$C$6:$C$172,B22)=0,"",SUMIFS('Damage Ranking'!$D$6:$D$172,'Damage Ranking'!$B$6:$B$172,A22,'Damage Ranking'!$C$6:$C$172,B22))</x:f>
        <x:v>39.218503534276174</x:v>
      </x:c>
      <x:c r="R22" s="431" t="n">
        <x:f>IF(Q22="","",SUMIFS('Damage Ranking'!$A$6:$A$172,'Damage Ranking'!$B$6:$B$172,A22,'Damage Ranking'!$C$6:$C$172,B22))</x:f>
        <x:v>66</x:v>
      </x:c>
      <x:c r="S22" s="431" t="n">
        <x:f>IF(OR(R22="",O22=""),"",R22-O22)</x:f>
        <x:v>-68</x:v>
      </x:c>
      <x:c r="T22" s="430" t="str">
        <x:f>IF(S22="","No damage score",IF(S22&gt;=20,"Badges much stronger",IF(S22&lt;=-20,"Damage much stronger","Broadly aligned")))</x:f>
        <x:v>Damage much stronger</x:v>
      </x:c>
      <x:c r="U22" s="434" t="n">
        <x:f>IF(Q22="","",Q22*(1-$R$5)+L22*$R$5)</x:f>
        <x:v>39.218503534276174</x:v>
      </x:c>
      <x:c r="V22" s="431" t="n">
        <x:f>IF(U22="","",1+COUNTIF($U$19:$U$186,"&gt;"&amp;U22))</x:f>
        <x:v>66</x:v>
      </x:c>
    </x:row>
    <x:row r="23" ht="24" customHeight="1">
      <x:c r="A23" s="430" t="str">
        <x:v>K60</x:v>
      </x:c>
      <x:c r="B23" s="430" t="str">
        <x:v>KingSkorpioN</x:v>
      </x:c>
      <x:c r="C23" s="431" t="n">
        <x:f>COUNTIFS('Specialisations'!$A$6:$A$527,A23,'Specialisations'!$B$6:$B$527,B23)</x:f>
        <x:v>3</x:v>
      </x:c>
      <x:c r="D23" s="431" t="n">
        <x:f>COUNTIFS('Specialisations'!$A$6:$A$527,A23,'Specialisations'!$B$6:$B$527,B23,'Specialisations'!$P$6:$P$527,"OK")</x:f>
        <x:v>3</x:v>
      </x:c>
      <x:c r="E23" s="431" t="n">
        <x:f>C23-D23</x:f>
        <x:v>0</x:v>
      </x:c>
      <x:c r="F23" s="432" t="n">
        <x:f>IF(C23=0,0,D23/C23)</x:f>
        <x:v>1</x:v>
      </x:c>
      <x:c r="G23" s="433" t="n">
        <x:f>SUMIFS('Specialisations'!$N$6:$N$527,'Specialisations'!$A$6:$A$527,A23,'Specialisations'!$B$6:$B$527,B23,'Specialisations'!$C$6:$C$527,"Guards")</x:f>
        <x:v>2244300</x:v>
      </x:c>
      <x:c r="H23" s="433" t="n">
        <x:f>SUMIFS('Specialisations'!$N$6:$N$527,'Specialisations'!$A$6:$A$527,A23,'Specialisations'!$B$6:$B$527,B23,'Specialisations'!$C$6:$C$527,"Archers")</x:f>
        <x:v>2844300</x:v>
      </x:c>
      <x:c r="I23" s="433" t="n">
        <x:f>SUMIFS('Specialisations'!$N$6:$N$527,'Specialisations'!$A$6:$A$527,A23,'Specialisations'!$B$6:$B$527,B23,'Specialisations'!$C$6:$C$527,"Cavalry")</x:f>
        <x:v>5004300</x:v>
      </x:c>
      <x:c r="J23" s="433" t="n">
        <x:f>SUMIFS('Specialisations'!$N$6:$N$527,'Specialisations'!$A$6:$A$527,A23,'Specialisations'!$B$6:$B$527,B23,'Specialisations'!$C$6:$C$527,"Siege")</x:f>
        <x:v>0</x:v>
      </x:c>
      <x:c r="K23" s="433" t="n">
        <x:f>SUM(G23:J23)</x:f>
        <x:v>10092900</x:v>
      </x:c>
      <x:c r="L23" s="434" t="n">
        <x:f>IFERROR(100*K23/MAX($K$19:$K$186),0)</x:f>
        <x:v>16.277348248067117</x:v>
      </x:c>
      <x:c r="M23" s="495" t="n">
        <x:f>IF(C23=0,"",SUMIFS('Specialisations'!$Q$6:$Q$527,'Specialisations'!$A$6:$A$527,A23,'Specialisations'!$B$6:$B$527,B23))</x:f>
        <x:v>50.52000000000001</x:v>
      </x:c>
      <x:c r="N23" s="431" t="n">
        <x:f>IF(K23=0,"",1+COUNTIFS($A$19:$A$186,A23,$K$19:$K$186,"&gt;"&amp;K23))</x:f>
        <x:v>24</x:v>
      </x:c>
      <x:c r="O23" s="431" t="n">
        <x:f>IF(K23=0,"",1+COUNTIF($K$19:$K$186,"&gt;"&amp;K23))</x:f>
        <x:v>122</x:v>
      </x:c>
      <x:c r="P23" s="430" t="str">
        <x:f>IF(C23=0,"No specialisations recorded",IF(E23&gt;0,"Review missing level","Complete"))</x:f>
        <x:v>Complete</x:v>
      </x:c>
      <x:c r="Q23" s="434" t="n">
        <x:f>IF(COUNTIFS('Damage Ranking'!$B$6:$B$172,A23,'Damage Ranking'!$C$6:$C$172,B23)=0,"",SUMIFS('Damage Ranking'!$D$6:$D$172,'Damage Ranking'!$B$6:$B$172,A23,'Damage Ranking'!$C$6:$C$172,B23))</x:f>
        <x:v>28.2208142139371</x:v>
      </x:c>
      <x:c r="R23" s="431" t="n">
        <x:f>IF(Q23="","",SUMIFS('Damage Ranking'!$A$6:$A$172,'Damage Ranking'!$B$6:$B$172,A23,'Damage Ranking'!$C$6:$C$172,B23))</x:f>
        <x:v>97</x:v>
      </x:c>
      <x:c r="S23" s="431" t="n">
        <x:f>IF(OR(R23="",O23=""),"",R23-O23)</x:f>
        <x:v>-25</x:v>
      </x:c>
      <x:c r="T23" s="430" t="str">
        <x:f>IF(S23="","No damage score",IF(S23&gt;=20,"Badges much stronger",IF(S23&lt;=-20,"Damage much stronger","Broadly aligned")))</x:f>
        <x:v>Damage much stronger</x:v>
      </x:c>
      <x:c r="U23" s="434" t="n">
        <x:f>IF(Q23="","",Q23*(1-$R$5)+L23*$R$5)</x:f>
        <x:v>28.2208142139371</x:v>
      </x:c>
      <x:c r="V23" s="431" t="n">
        <x:f>IF(U23="","",1+COUNTIF($U$19:$U$186,"&gt;"&amp;U23))</x:f>
        <x:v>97</x:v>
      </x:c>
    </x:row>
    <x:row r="24" ht="24" customHeight="1">
      <x:c r="A24" s="430" t="str">
        <x:v>K60</x:v>
      </x:c>
      <x:c r="B24" s="430" t="str">
        <x:v>Crixus</x:v>
      </x:c>
      <x:c r="C24" s="431" t="n">
        <x:f>COUNTIFS('Specialisations'!$A$6:$A$527,A24,'Specialisations'!$B$6:$B$527,B24)</x:f>
        <x:v>4</x:v>
      </x:c>
      <x:c r="D24" s="431" t="n">
        <x:f>COUNTIFS('Specialisations'!$A$6:$A$527,A24,'Specialisations'!$B$6:$B$527,B24,'Specialisations'!$P$6:$P$527,"OK")</x:f>
        <x:v>4</x:v>
      </x:c>
      <x:c r="E24" s="431" t="n">
        <x:f>C24-D24</x:f>
        <x:v>0</x:v>
      </x:c>
      <x:c r="F24" s="432" t="n">
        <x:f>IF(C24=0,0,D24/C24)</x:f>
        <x:v>1</x:v>
      </x:c>
      <x:c r="G24" s="433" t="n">
        <x:f>SUMIFS('Specialisations'!$N$6:$N$527,'Specialisations'!$A$6:$A$527,A24,'Specialisations'!$B$6:$B$527,B24,'Specialisations'!$C$6:$C$527,"Guards")</x:f>
        <x:v>2244300</x:v>
      </x:c>
      <x:c r="H24" s="433" t="n">
        <x:f>SUMIFS('Specialisations'!$N$6:$N$527,'Specialisations'!$A$6:$A$527,A24,'Specialisations'!$B$6:$B$527,B24,'Specialisations'!$C$6:$C$527,"Archers")</x:f>
        <x:v>2524300</x:v>
      </x:c>
      <x:c r="I24" s="433" t="n">
        <x:f>SUMIFS('Specialisations'!$N$6:$N$527,'Specialisations'!$A$6:$A$527,A24,'Specialisations'!$B$6:$B$527,B24,'Specialisations'!$C$6:$C$527,"Cavalry")</x:f>
        <x:v>7448600</x:v>
      </x:c>
      <x:c r="J24" s="433" t="n">
        <x:f>SUMIFS('Specialisations'!$N$6:$N$527,'Specialisations'!$A$6:$A$527,A24,'Specialisations'!$B$6:$B$527,B24,'Specialisations'!$C$6:$C$527,"Siege")</x:f>
        <x:v>0</x:v>
      </x:c>
      <x:c r="K24" s="433" t="n">
        <x:f>SUM(G24:J24)</x:f>
        <x:v>12217200</x:v>
      </x:c>
      <x:c r="L24" s="434" t="n">
        <x:f>IFERROR(100*K24/MAX($K$19:$K$186),0)</x:f>
        <x:v>19.70331807669605</x:v>
      </x:c>
      <x:c r="M24" s="495" t="n">
        <x:f>IF(C24=0,"",SUMIFS('Specialisations'!$Q$6:$Q$527,'Specialisations'!$A$6:$A$527,A24,'Specialisations'!$B$6:$B$527,B24))</x:f>
        <x:v>82.5</x:v>
      </x:c>
      <x:c r="N24" s="431" t="n">
        <x:f>IF(K24=0,"",1+COUNTIFS($A$19:$A$186,A24,$K$19:$K$186,"&gt;"&amp;K24))</x:f>
        <x:v>18</x:v>
      </x:c>
      <x:c r="O24" s="431" t="n">
        <x:f>IF(K24=0,"",1+COUNTIF($K$19:$K$186,"&gt;"&amp;K24))</x:f>
        <x:v>96</x:v>
      </x:c>
      <x:c r="P24" s="430" t="str">
        <x:f>IF(C24=0,"No specialisations recorded",IF(E24&gt;0,"Review missing level","Complete"))</x:f>
        <x:v>Complete</x:v>
      </x:c>
      <x:c r="Q24" s="434" t="n">
        <x:f>IF(COUNTIFS('Damage Ranking'!$B$6:$B$172,A24,'Damage Ranking'!$C$6:$C$172,B24)=0,"",SUMIFS('Damage Ranking'!$D$6:$D$172,'Damage Ranking'!$B$6:$B$172,A24,'Damage Ranking'!$C$6:$C$172,B24))</x:f>
        <x:v>33.86175367215779</x:v>
      </x:c>
      <x:c r="R24" s="431" t="n">
        <x:f>IF(Q24="","",SUMIFS('Damage Ranking'!$A$6:$A$172,'Damage Ranking'!$B$6:$B$172,A24,'Damage Ranking'!$C$6:$C$172,B24))</x:f>
        <x:v>82</x:v>
      </x:c>
      <x:c r="S24" s="431" t="n">
        <x:f>IF(OR(R24="",O24=""),"",R24-O24)</x:f>
        <x:v>-14</x:v>
      </x:c>
      <x:c r="T24" s="430" t="str">
        <x:f>IF(S24="","No damage score",IF(S24&gt;=20,"Badges much stronger",IF(S24&lt;=-20,"Damage much stronger","Broadly aligned")))</x:f>
        <x:v>Broadly aligned</x:v>
      </x:c>
      <x:c r="U24" s="434" t="n">
        <x:f>IF(Q24="","",Q24*(1-$R$5)+L24*$R$5)</x:f>
        <x:v>33.86175367215779</x:v>
      </x:c>
      <x:c r="V24" s="431" t="n">
        <x:f>IF(U24="","",1+COUNTIF($U$19:$U$186,"&gt;"&amp;U24))</x:f>
        <x:v>82</x:v>
      </x:c>
    </x:row>
    <x:row r="25" ht="24" customHeight="1">
      <x:c r="A25" s="430" t="str">
        <x:v>K60</x:v>
      </x:c>
      <x:c r="B25" s="430" t="str">
        <x:v>Ёжик</x:v>
      </x:c>
      <x:c r="C25" s="431" t="n">
        <x:f>COUNTIFS('Specialisations'!$A$6:$A$527,A25,'Specialisations'!$B$6:$B$527,B25)</x:f>
        <x:v>4</x:v>
      </x:c>
      <x:c r="D25" s="431" t="n">
        <x:f>COUNTIFS('Specialisations'!$A$6:$A$527,A25,'Specialisations'!$B$6:$B$527,B25,'Specialisations'!$P$6:$P$527,"OK")</x:f>
        <x:v>4</x:v>
      </x:c>
      <x:c r="E25" s="431" t="n">
        <x:f>C25-D25</x:f>
        <x:v>0</x:v>
      </x:c>
      <x:c r="F25" s="432" t="n">
        <x:f>IF(C25=0,0,D25/C25)</x:f>
        <x:v>1</x:v>
      </x:c>
      <x:c r="G25" s="433" t="n">
        <x:f>SUMIFS('Specialisations'!$N$6:$N$527,'Specialisations'!$A$6:$A$527,A25,'Specialisations'!$B$6:$B$527,B25,'Specialisations'!$C$6:$C$527,"Guards")</x:f>
        <x:v>2244300</x:v>
      </x:c>
      <x:c r="H25" s="433" t="n">
        <x:f>SUMIFS('Specialisations'!$N$6:$N$527,'Specialisations'!$A$6:$A$527,A25,'Specialisations'!$B$6:$B$527,B25,'Specialisations'!$C$6:$C$527,"Archers")</x:f>
        <x:v>2244300</x:v>
      </x:c>
      <x:c r="I25" s="433" t="n">
        <x:f>SUMIFS('Specialisations'!$N$6:$N$527,'Specialisations'!$A$6:$A$527,A25,'Specialisations'!$B$6:$B$527,B25,'Specialisations'!$C$6:$C$527,"Cavalry")</x:f>
        <x:v>9288600</x:v>
      </x:c>
      <x:c r="J25" s="433" t="n">
        <x:f>SUMIFS('Specialisations'!$N$6:$N$527,'Specialisations'!$A$6:$A$527,A25,'Specialisations'!$B$6:$B$527,B25,'Specialisations'!$C$6:$C$527,"Siege")</x:f>
        <x:v>0</x:v>
      </x:c>
      <x:c r="K25" s="433" t="n">
        <x:f>SUM(G25:J25)</x:f>
        <x:v>13777200</x:v>
      </x:c>
      <x:c r="L25" s="434" t="n">
        <x:f>IFERROR(100*K25/MAX($K$19:$K$186),0)</x:f>
        <x:v>22.219211751158763</x:v>
      </x:c>
      <x:c r="M25" s="495" t="n">
        <x:f>IF(C25=0,"",SUMIFS('Specialisations'!$Q$6:$Q$527,'Specialisations'!$A$6:$A$527,A25,'Specialisations'!$B$6:$B$527,B25))</x:f>
        <x:v>87.11</x:v>
      </x:c>
      <x:c r="N25" s="431" t="n">
        <x:f>IF(K25=0,"",1+COUNTIFS($A$19:$A$186,A25,$K$19:$K$186,"&gt;"&amp;K25))</x:f>
        <x:v>9</x:v>
      </x:c>
      <x:c r="O25" s="431" t="n">
        <x:f>IF(K25=0,"",1+COUNTIF($K$19:$K$186,"&gt;"&amp;K25))</x:f>
        <x:v>70</x:v>
      </x:c>
      <x:c r="P25" s="430" t="str">
        <x:f>IF(C25=0,"No specialisations recorded",IF(E25&gt;0,"Review missing level","Complete"))</x:f>
        <x:v>Complete</x:v>
      </x:c>
      <x:c r="Q25" s="434" t="n">
        <x:f>IF(COUNTIFS('Damage Ranking'!$B$6:$B$172,A25,'Damage Ranking'!$C$6:$C$172,B25)=0,"",SUMIFS('Damage Ranking'!$D$6:$D$172,'Damage Ranking'!$B$6:$B$172,A25,'Damage Ranking'!$C$6:$C$172,B25))</x:f>
        <x:v>27.86812671923257</x:v>
      </x:c>
      <x:c r="R25" s="431" t="n">
        <x:f>IF(Q25="","",SUMIFS('Damage Ranking'!$A$6:$A$172,'Damage Ranking'!$B$6:$B$172,A25,'Damage Ranking'!$C$6:$C$172,B25))</x:f>
        <x:v>98</x:v>
      </x:c>
      <x:c r="S25" s="431" t="n">
        <x:f>IF(OR(R25="",O25=""),"",R25-O25)</x:f>
        <x:v>28</x:v>
      </x:c>
      <x:c r="T25" s="430" t="str">
        <x:f>IF(S25="","No damage score",IF(S25&gt;=20,"Badges much stronger",IF(S25&lt;=-20,"Damage much stronger","Broadly aligned")))</x:f>
        <x:v>Badges much stronger</x:v>
      </x:c>
      <x:c r="U25" s="434" t="n">
        <x:f>IF(Q25="","",Q25*(1-$R$5)+L25*$R$5)</x:f>
        <x:v>27.86812671923257</x:v>
      </x:c>
      <x:c r="V25" s="431" t="n">
        <x:f>IF(U25="","",1+COUNTIF($U$19:$U$186,"&gt;"&amp;U25))</x:f>
        <x:v>98</x:v>
      </x:c>
    </x:row>
    <x:row r="26" ht="24" customHeight="1">
      <x:c r="A26" s="430" t="str">
        <x:v>K60</x:v>
      </x:c>
      <x:c r="B26" s="430" t="str">
        <x:v>༺۝Foxik۝༻</x:v>
      </x:c>
      <x:c r="C26" s="431" t="n">
        <x:f>COUNTIFS('Specialisations'!$A$6:$A$527,A26,'Specialisations'!$B$6:$B$527,B26)</x:f>
        <x:v>3</x:v>
      </x:c>
      <x:c r="D26" s="431" t="n">
        <x:f>COUNTIFS('Specialisations'!$A$6:$A$527,A26,'Specialisations'!$B$6:$B$527,B26,'Specialisations'!$P$6:$P$527,"OK")</x:f>
        <x:v>3</x:v>
      </x:c>
      <x:c r="E26" s="431" t="n">
        <x:f>C26-D26</x:f>
        <x:v>0</x:v>
      </x:c>
      <x:c r="F26" s="432" t="n">
        <x:f>IF(C26=0,0,D26/C26)</x:f>
        <x:v>1</x:v>
      </x:c>
      <x:c r="G26" s="433" t="n">
        <x:f>SUMIFS('Specialisations'!$N$6:$N$527,'Specialisations'!$A$6:$A$527,A26,'Specialisations'!$B$6:$B$527,B26,'Specialisations'!$C$6:$C$527,"Guards")</x:f>
        <x:v>2244300</x:v>
      </x:c>
      <x:c r="H26" s="433" t="n">
        <x:f>SUMIFS('Specialisations'!$N$6:$N$527,'Specialisations'!$A$6:$A$527,A26,'Specialisations'!$B$6:$B$527,B26,'Specialisations'!$C$6:$C$527,"Archers")</x:f>
        <x:v>0</x:v>
      </x:c>
      <x:c r="I26" s="433" t="n">
        <x:f>SUMIFS('Specialisations'!$N$6:$N$527,'Specialisations'!$A$6:$A$527,A26,'Specialisations'!$B$6:$B$527,B26,'Specialisations'!$C$6:$C$527,"Cavalry")</x:f>
        <x:v>8008600</x:v>
      </x:c>
      <x:c r="J26" s="433" t="n">
        <x:f>SUMIFS('Specialisations'!$N$6:$N$527,'Specialisations'!$A$6:$A$527,A26,'Specialisations'!$B$6:$B$527,B26,'Specialisations'!$C$6:$C$527,"Siege")</x:f>
        <x:v>0</x:v>
      </x:c>
      <x:c r="K26" s="433" t="n">
        <x:f>SUM(G26:J26)</x:f>
        <x:v>10252900</x:v>
      </x:c>
      <x:c r="L26" s="434" t="n">
        <x:f>IFERROR(100*K26/MAX($K$19:$K$186),0)</x:f>
        <x:v>16.535388624935088</x:v>
      </x:c>
      <x:c r="M26" s="495" t="n">
        <x:f>IF(C26=0,"",SUMIFS('Specialisations'!$Q$6:$Q$527,'Specialisations'!$A$6:$A$527,A26,'Specialisations'!$B$6:$B$527,B26))</x:f>
        <x:v>54.17</x:v>
      </x:c>
      <x:c r="N26" s="431" t="n">
        <x:f>IF(K26=0,"",1+COUNTIFS($A$19:$A$186,A26,$K$19:$K$186,"&gt;"&amp;K26))</x:f>
        <x:v>23</x:v>
      </x:c>
      <x:c r="O26" s="431" t="n">
        <x:f>IF(K26=0,"",1+COUNTIF($K$19:$K$186,"&gt;"&amp;K26))</x:f>
        <x:v>119</x:v>
      </x:c>
      <x:c r="P26" s="430" t="str">
        <x:f>IF(C26=0,"No specialisations recorded",IF(E26&gt;0,"Review missing level","Complete"))</x:f>
        <x:v>Complete</x:v>
      </x:c>
      <x:c r="Q26" s="434" t="n">
        <x:f>IF(COUNTIFS('Damage Ranking'!$B$6:$B$172,A26,'Damage Ranking'!$C$6:$C$172,B26)=0,"",SUMIFS('Damage Ranking'!$D$6:$D$172,'Damage Ranking'!$B$6:$B$172,A26,'Damage Ranking'!$C$6:$C$172,B26))</x:f>
        <x:v>22.00047410430975</x:v>
      </x:c>
      <x:c r="R26" s="431" t="n">
        <x:f>IF(Q26="","",SUMIFS('Damage Ranking'!$A$6:$A$172,'Damage Ranking'!$B$6:$B$172,A26,'Damage Ranking'!$C$6:$C$172,B26))</x:f>
        <x:v>120</x:v>
      </x:c>
      <x:c r="S26" s="431" t="n">
        <x:f>IF(OR(R26="",O26=""),"",R26-O26)</x:f>
        <x:v>1</x:v>
      </x:c>
      <x:c r="T26" s="430" t="str">
        <x:f>IF(S26="","No damage score",IF(S26&gt;=20,"Badges much stronger",IF(S26&lt;=-20,"Damage much stronger","Broadly aligned")))</x:f>
        <x:v>Broadly aligned</x:v>
      </x:c>
      <x:c r="U26" s="434" t="n">
        <x:f>IF(Q26="","",Q26*(1-$R$5)+L26*$R$5)</x:f>
        <x:v>22.00047410430975</x:v>
      </x:c>
      <x:c r="V26" s="431" t="n">
        <x:f>IF(U26="","",1+COUNTIF($U$19:$U$186,"&gt;"&amp;U26))</x:f>
        <x:v>120</x:v>
      </x:c>
    </x:row>
    <x:row r="27" ht="24" customHeight="1">
      <x:c r="A27" s="430" t="str">
        <x:v>K60</x:v>
      </x:c>
      <x:c r="B27" s="430" t="str">
        <x:v>Houdini</x:v>
      </x:c>
      <x:c r="C27" s="431" t="n">
        <x:f>COUNTIFS('Specialisations'!$A$6:$A$527,A27,'Specialisations'!$B$6:$B$527,B27)</x:f>
        <x:v>3</x:v>
      </x:c>
      <x:c r="D27" s="431" t="n">
        <x:f>COUNTIFS('Specialisations'!$A$6:$A$527,A27,'Specialisations'!$B$6:$B$527,B27,'Specialisations'!$P$6:$P$527,"OK")</x:f>
        <x:v>3</x:v>
      </x:c>
      <x:c r="E27" s="431" t="n">
        <x:f>C27-D27</x:f>
        <x:v>0</x:v>
      </x:c>
      <x:c r="F27" s="432" t="n">
        <x:f>IF(C27=0,0,D27/C27)</x:f>
        <x:v>1</x:v>
      </x:c>
      <x:c r="G27" s="433" t="n">
        <x:f>SUMIFS('Specialisations'!$N$6:$N$527,'Specialisations'!$A$6:$A$527,A27,'Specialisations'!$B$6:$B$527,B27,'Specialisations'!$C$6:$C$527,"Guards")</x:f>
        <x:v>0</x:v>
      </x:c>
      <x:c r="H27" s="433" t="n">
        <x:f>SUMIFS('Specialisations'!$N$6:$N$527,'Specialisations'!$A$6:$A$527,A27,'Specialisations'!$B$6:$B$527,B27,'Specialisations'!$C$6:$C$527,"Archers")</x:f>
        <x:v>2844300</x:v>
      </x:c>
      <x:c r="I27" s="433" t="n">
        <x:f>SUMIFS('Specialisations'!$N$6:$N$527,'Specialisations'!$A$6:$A$527,A27,'Specialisations'!$B$6:$B$527,B27,'Specialisations'!$C$6:$C$527,"Cavalry")</x:f>
        <x:v>10008600</x:v>
      </x:c>
      <x:c r="J27" s="433" t="n">
        <x:f>SUMIFS('Specialisations'!$N$6:$N$527,'Specialisations'!$A$6:$A$527,A27,'Specialisations'!$B$6:$B$527,B27,'Specialisations'!$C$6:$C$527,"Siege")</x:f>
        <x:v>0</x:v>
      </x:c>
      <x:c r="K27" s="433" t="n">
        <x:f>SUM(G27:J27)</x:f>
        <x:v>12852900</x:v>
      </x:c>
      <x:c r="L27" s="434" t="n">
        <x:f>IFERROR(100*K27/MAX($K$19:$K$186),0)</x:f>
        <x:v>20.728544749039607</x:v>
      </x:c>
      <x:c r="M27" s="495" t="n">
        <x:f>IF(C27=0,"",SUMIFS('Specialisations'!$Q$6:$Q$527,'Specialisations'!$A$6:$A$527,A27,'Specialisations'!$B$6:$B$527,B27))</x:f>
        <x:v>123.39000000000001</x:v>
      </x:c>
      <x:c r="N27" s="431" t="n">
        <x:f>IF(K27=0,"",1+COUNTIFS($A$19:$A$186,A27,$K$19:$K$186,"&gt;"&amp;K27))</x:f>
        <x:v>14</x:v>
      </x:c>
      <x:c r="O27" s="431" t="n">
        <x:f>IF(K27=0,"",1+COUNTIF($K$19:$K$186,"&gt;"&amp;K27))</x:f>
        <x:v>86</x:v>
      </x:c>
      <x:c r="P27" s="430" t="str">
        <x:f>IF(C27=0,"No specialisations recorded",IF(E27&gt;0,"Review missing level","Complete"))</x:f>
        <x:v>Complete</x:v>
      </x:c>
      <x:c r="Q27" s="434" t="n">
        <x:f>IF(COUNTIFS('Damage Ranking'!$B$6:$B$172,A27,'Damage Ranking'!$C$6:$C$172,B27)=0,"",SUMIFS('Damage Ranking'!$D$6:$D$172,'Damage Ranking'!$B$6:$B$172,A27,'Damage Ranking'!$C$6:$C$172,B27))</x:f>
        <x:v>18.360915363594202</x:v>
      </x:c>
      <x:c r="R27" s="431" t="n">
        <x:f>IF(Q27="","",SUMIFS('Damage Ranking'!$A$6:$A$172,'Damage Ranking'!$B$6:$B$172,A27,'Damage Ranking'!$C$6:$C$172,B27))</x:f>
        <x:v>129</x:v>
      </x:c>
      <x:c r="S27" s="431" t="n">
        <x:f>IF(OR(R27="",O27=""),"",R27-O27)</x:f>
        <x:v>43</x:v>
      </x:c>
      <x:c r="T27" s="430" t="str">
        <x:f>IF(S27="","No damage score",IF(S27&gt;=20,"Badges much stronger",IF(S27&lt;=-20,"Damage much stronger","Broadly aligned")))</x:f>
        <x:v>Badges much stronger</x:v>
      </x:c>
      <x:c r="U27" s="434" t="n">
        <x:f>IF(Q27="","",Q27*(1-$R$5)+L27*$R$5)</x:f>
        <x:v>18.360915363594202</x:v>
      </x:c>
      <x:c r="V27" s="431" t="n">
        <x:f>IF(U27="","",1+COUNTIF($U$19:$U$186,"&gt;"&amp;U27))</x:f>
        <x:v>129</x:v>
      </x:c>
    </x:row>
    <x:row r="28" ht="24" customHeight="1">
      <x:c r="A28" s="430" t="str">
        <x:v>K60</x:v>
      </x:c>
      <x:c r="B28" s="430" t="str">
        <x:v>Дерог</x:v>
      </x:c>
      <x:c r="C28" s="431" t="n">
        <x:f>COUNTIFS('Specialisations'!$A$6:$A$527,A28,'Specialisations'!$B$6:$B$527,B28)</x:f>
        <x:v>6</x:v>
      </x:c>
      <x:c r="D28" s="431" t="n">
        <x:f>COUNTIFS('Specialisations'!$A$6:$A$527,A28,'Specialisations'!$B$6:$B$527,B28,'Specialisations'!$P$6:$P$527,"OK")</x:f>
        <x:v>6</x:v>
      </x:c>
      <x:c r="E28" s="431" t="n">
        <x:f>C28-D28</x:f>
        <x:v>0</x:v>
      </x:c>
      <x:c r="F28" s="432" t="n">
        <x:f>IF(C28=0,0,D28/C28)</x:f>
        <x:v>1</x:v>
      </x:c>
      <x:c r="G28" s="433" t="n">
        <x:f>SUMIFS('Specialisations'!$N$6:$N$527,'Specialisations'!$A$6:$A$527,A28,'Specialisations'!$B$6:$B$527,B28,'Specialisations'!$C$6:$C$527,"Guards")</x:f>
        <x:v>2244300</x:v>
      </x:c>
      <x:c r="H28" s="433" t="n">
        <x:f>SUMIFS('Specialisations'!$N$6:$N$527,'Specialisations'!$A$6:$A$527,A28,'Specialisations'!$B$6:$B$527,B28,'Specialisations'!$C$6:$C$527,"Archers")</x:f>
        <x:v>2244300</x:v>
      </x:c>
      <x:c r="I28" s="433" t="n">
        <x:f>SUMIFS('Specialisations'!$N$6:$N$527,'Specialisations'!$A$6:$A$527,A28,'Specialisations'!$B$6:$B$527,B28,'Specialisations'!$C$6:$C$527,"Cavalry")</x:f>
        <x:v>11938600</x:v>
      </x:c>
      <x:c r="J28" s="433" t="n">
        <x:f>SUMIFS('Specialisations'!$N$6:$N$527,'Specialisations'!$A$6:$A$527,A28,'Specialisations'!$B$6:$B$527,B28,'Specialisations'!$C$6:$C$527,"Siege")</x:f>
        <x:v>5553600</x:v>
      </x:c>
      <x:c r="K28" s="433" t="n">
        <x:f>SUM(G28:J28)</x:f>
        <x:v>21980800</x:v>
      </x:c>
      <x:c r="L28" s="434" t="n">
        <x:f>IFERROR(100*K28/MAX($K$19:$K$186),0)</x:f>
        <x:v>35.44958697412178</x:v>
      </x:c>
      <x:c r="M28" s="495" t="n">
        <x:f>IF(C28=0,"",SUMIFS('Specialisations'!$Q$6:$Q$527,'Specialisations'!$A$6:$A$527,A28,'Specialisations'!$B$6:$B$527,B28))</x:f>
        <x:v>149.51</x:v>
      </x:c>
      <x:c r="N28" s="431" t="n">
        <x:f>IF(K28=0,"",1+COUNTIFS($A$19:$A$186,A28,$K$19:$K$186,"&gt;"&amp;K28))</x:f>
        <x:v>4</x:v>
      </x:c>
      <x:c r="O28" s="431" t="n">
        <x:f>IF(K28=0,"",1+COUNTIF($K$19:$K$186,"&gt;"&amp;K28))</x:f>
        <x:v>24</x:v>
      </x:c>
      <x:c r="P28" s="430" t="str">
        <x:f>IF(C28=0,"No specialisations recorded",IF(E28&gt;0,"Review missing level","Complete"))</x:f>
        <x:v>Complete</x:v>
      </x:c>
      <x:c r="Q28" s="434" t="n">
        <x:f>IF(COUNTIFS('Damage Ranking'!$B$6:$B$172,A28,'Damage Ranking'!$C$6:$C$172,B28)=0,"",SUMIFS('Damage Ranking'!$D$6:$D$172,'Damage Ranking'!$B$6:$B$172,A28,'Damage Ranking'!$C$6:$C$172,B28))</x:f>
        <x:v>50.25410876641924</x:v>
      </x:c>
      <x:c r="R28" s="431" t="n">
        <x:f>IF(Q28="","",SUMIFS('Damage Ranking'!$A$6:$A$172,'Damage Ranking'!$B$6:$B$172,A28,'Damage Ranking'!$C$6:$C$172,B28))</x:f>
        <x:v>35</x:v>
      </x:c>
      <x:c r="S28" s="431" t="n">
        <x:f>IF(OR(R28="",O28=""),"",R28-O28)</x:f>
        <x:v>11</x:v>
      </x:c>
      <x:c r="T28" s="430" t="str">
        <x:f>IF(S28="","No damage score",IF(S28&gt;=20,"Badges much stronger",IF(S28&lt;=-20,"Damage much stronger","Broadly aligned")))</x:f>
        <x:v>Broadly aligned</x:v>
      </x:c>
      <x:c r="U28" s="434" t="n">
        <x:f>IF(Q28="","",Q28*(1-$R$5)+L28*$R$5)</x:f>
        <x:v>50.25410876641924</x:v>
      </x:c>
      <x:c r="V28" s="431" t="n">
        <x:f>IF(U28="","",1+COUNTIF($U$19:$U$186,"&gt;"&amp;U28))</x:f>
        <x:v>35</x:v>
      </x:c>
    </x:row>
    <x:row r="29" ht="24" customHeight="1">
      <x:c r="A29" s="430" t="str">
        <x:v>K60</x:v>
      </x:c>
      <x:c r="B29" s="430" t="str">
        <x:v>#11 元气满满 (122,000)</x:v>
      </x:c>
      <x:c r="C29" s="431" t="n">
        <x:f>COUNTIFS('Specialisations'!$A$6:$A$527,A29,'Specialisations'!$B$6:$B$527,B29)</x:f>
        <x:v>3</x:v>
      </x:c>
      <x:c r="D29" s="431" t="n">
        <x:f>COUNTIFS('Specialisations'!$A$6:$A$527,A29,'Specialisations'!$B$6:$B$527,B29,'Specialisations'!$P$6:$P$527,"OK")</x:f>
        <x:v>3</x:v>
      </x:c>
      <x:c r="E29" s="431" t="n">
        <x:f>C29-D29</x:f>
        <x:v>0</x:v>
      </x:c>
      <x:c r="F29" s="432" t="n">
        <x:f>IF(C29=0,0,D29/C29)</x:f>
        <x:v>1</x:v>
      </x:c>
      <x:c r="G29" s="433" t="n">
        <x:f>SUMIFS('Specialisations'!$N$6:$N$527,'Specialisations'!$A$6:$A$527,A29,'Specialisations'!$B$6:$B$527,B29,'Specialisations'!$C$6:$C$527,"Guards")</x:f>
        <x:v>3724300</x:v>
      </x:c>
      <x:c r="H29" s="433" t="n">
        <x:f>SUMIFS('Specialisations'!$N$6:$N$527,'Specialisations'!$A$6:$A$527,A29,'Specialisations'!$B$6:$B$527,B29,'Specialisations'!$C$6:$C$527,"Archers")</x:f>
        <x:v>6934300</x:v>
      </x:c>
      <x:c r="I29" s="433" t="n">
        <x:f>SUMIFS('Specialisations'!$N$6:$N$527,'Specialisations'!$A$6:$A$527,A29,'Specialisations'!$B$6:$B$527,B29,'Specialisations'!$C$6:$C$527,"Cavalry")</x:f>
        <x:v>2244300</x:v>
      </x:c>
      <x:c r="J29" s="433" t="n">
        <x:f>SUMIFS('Specialisations'!$N$6:$N$527,'Specialisations'!$A$6:$A$527,A29,'Specialisations'!$B$6:$B$527,B29,'Specialisations'!$C$6:$C$527,"Siege")</x:f>
        <x:v>0</x:v>
      </x:c>
      <x:c r="K29" s="433" t="n">
        <x:f>SUM(G29:J29)</x:f>
        <x:v>12902900</x:v>
      </x:c>
      <x:c r="L29" s="434" t="n">
        <x:f>IFERROR(100*K29/MAX($K$19:$K$186),0)</x:f>
        <x:v>20.809182366810848</x:v>
      </x:c>
      <x:c r="M29" s="495" t="n">
        <x:f>IF(C29=0,"",SUMIFS('Specialisations'!$Q$6:$Q$527,'Specialisations'!$A$6:$A$527,A29,'Specialisations'!$B$6:$B$527,B29))</x:f>
        <x:v>39.55</x:v>
      </x:c>
      <x:c r="N29" s="431" t="n">
        <x:f>IF(K29=0,"",1+COUNTIFS($A$19:$A$186,A29,$K$19:$K$186,"&gt;"&amp;K29))</x:f>
        <x:v>13</x:v>
      </x:c>
      <x:c r="O29" s="431" t="n">
        <x:f>IF(K29=0,"",1+COUNTIF($K$19:$K$186,"&gt;"&amp;K29))</x:f>
        <x:v>85</x:v>
      </x:c>
      <x:c r="P29" s="430" t="str">
        <x:f>IF(C29=0,"No specialisations recorded",IF(E29&gt;0,"Review missing level","Complete"))</x:f>
        <x:v>Complete</x:v>
      </x:c>
      <x:c r="Q29" s="434" t="n">
        <x:f>IF(COUNTIFS('Damage Ranking'!$B$6:$B$172,A29,'Damage Ranking'!$C$6:$C$172,B29)=0,"",SUMIFS('Damage Ranking'!$D$6:$D$172,'Damage Ranking'!$B$6:$B$172,A29,'Damage Ranking'!$C$6:$C$172,B29))</x:f>
        <x:v>44.7977029277328</x:v>
      </x:c>
      <x:c r="R29" s="431" t="n">
        <x:f>IF(Q29="","",SUMIFS('Damage Ranking'!$A$6:$A$172,'Damage Ranking'!$B$6:$B$172,A29,'Damage Ranking'!$C$6:$C$172,B29))</x:f>
        <x:v>51</x:v>
      </x:c>
      <x:c r="S29" s="431" t="n">
        <x:f>IF(OR(R29="",O29=""),"",R29-O29)</x:f>
        <x:v>-34</x:v>
      </x:c>
      <x:c r="T29" s="430" t="str">
        <x:f>IF(S29="","No damage score",IF(S29&gt;=20,"Badges much stronger",IF(S29&lt;=-20,"Damage much stronger","Broadly aligned")))</x:f>
        <x:v>Damage much stronger</x:v>
      </x:c>
      <x:c r="U29" s="434" t="n">
        <x:f>IF(Q29="","",Q29*(1-$R$5)+L29*$R$5)</x:f>
        <x:v>44.7977029277328</x:v>
      </x:c>
      <x:c r="V29" s="431" t="n">
        <x:f>IF(U29="","",1+COUNTIF($U$19:$U$186,"&gt;"&amp;U29))</x:f>
        <x:v>51</x:v>
      </x:c>
    </x:row>
    <x:row r="30" ht="24" customHeight="1">
      <x:c r="A30" s="430" t="str">
        <x:v>K60</x:v>
      </x:c>
      <x:c r="B30" s="430" t="str">
        <x:v>邪恶的Xero</x:v>
      </x:c>
      <x:c r="C30" s="431" t="n">
        <x:f>COUNTIFS('Specialisations'!$A$6:$A$527,A30,'Specialisations'!$B$6:$B$527,B30)</x:f>
        <x:v>3</x:v>
      </x:c>
      <x:c r="D30" s="431" t="n">
        <x:f>COUNTIFS('Specialisations'!$A$6:$A$527,A30,'Specialisations'!$B$6:$B$527,B30,'Specialisations'!$P$6:$P$527,"OK")</x:f>
        <x:v>3</x:v>
      </x:c>
      <x:c r="E30" s="431" t="n">
        <x:f>C30-D30</x:f>
        <x:v>0</x:v>
      </x:c>
      <x:c r="F30" s="432" t="n">
        <x:f>IF(C30=0,0,D30/C30)</x:f>
        <x:v>1</x:v>
      </x:c>
      <x:c r="G30" s="433" t="n">
        <x:f>SUMIFS('Specialisations'!$N$6:$N$527,'Specialisations'!$A$6:$A$527,A30,'Specialisations'!$B$6:$B$527,B30,'Specialisations'!$C$6:$C$527,"Guards")</x:f>
        <x:v>0</x:v>
      </x:c>
      <x:c r="H30" s="433" t="n">
        <x:f>SUMIFS('Specialisations'!$N$6:$N$527,'Specialisations'!$A$6:$A$527,A30,'Specialisations'!$B$6:$B$527,B30,'Specialisations'!$C$6:$C$527,"Archers")</x:f>
        <x:v>2844300</x:v>
      </x:c>
      <x:c r="I30" s="433" t="n">
        <x:f>SUMIFS('Specialisations'!$N$6:$N$527,'Specialisations'!$A$6:$A$527,A30,'Specialisations'!$B$6:$B$527,B30,'Specialisations'!$C$6:$C$527,"Cavalry")</x:f>
        <x:v>12818600</x:v>
      </x:c>
      <x:c r="J30" s="433" t="n">
        <x:f>SUMIFS('Specialisations'!$N$6:$N$527,'Specialisations'!$A$6:$A$527,A30,'Specialisations'!$B$6:$B$527,B30,'Specialisations'!$C$6:$C$527,"Siege")</x:f>
        <x:v>0</x:v>
      </x:c>
      <x:c r="K30" s="433" t="n">
        <x:f>SUM(G30:J30)</x:f>
        <x:v>15662900</x:v>
      </x:c>
      <x:c r="L30" s="434" t="n">
        <x:f>IFERROR(100*K30/MAX($K$19:$K$186),0)</x:f>
        <x:v>25.260378867783338</x:v>
      </x:c>
      <x:c r="M30" s="495" t="n">
        <x:f>IF(C30=0,"",SUMIFS('Specialisations'!$Q$6:$Q$527,'Specialisations'!$A$6:$A$527,A30,'Specialisations'!$B$6:$B$527,B30))</x:f>
        <x:v>133.25</x:v>
      </x:c>
      <x:c r="N30" s="431" t="n">
        <x:f>IF(K30=0,"",1+COUNTIFS($A$19:$A$186,A30,$K$19:$K$186,"&gt;"&amp;K30))</x:f>
        <x:v>7</x:v>
      </x:c>
      <x:c r="O30" s="431" t="n">
        <x:f>IF(K30=0,"",1+COUNTIF($K$19:$K$186,"&gt;"&amp;K30))</x:f>
        <x:v>57</x:v>
      </x:c>
      <x:c r="P30" s="430" t="str">
        <x:f>IF(C30=0,"No specialisations recorded",IF(E30&gt;0,"Review missing level","Complete"))</x:f>
        <x:v>Complete</x:v>
      </x:c>
      <x:c r="Q30" s="434" t="n">
        <x:f>IF(COUNTIFS('Damage Ranking'!$B$6:$B$172,A30,'Damage Ranking'!$C$6:$C$172,B30)=0,"",SUMIFS('Damage Ranking'!$D$6:$D$172,'Damage Ranking'!$B$6:$B$172,A30,'Damage Ranking'!$C$6:$C$172,B30))</x:f>
        <x:v>49.085292217314326</x:v>
      </x:c>
      <x:c r="R30" s="431" t="n">
        <x:f>IF(Q30="","",SUMIFS('Damage Ranking'!$A$6:$A$172,'Damage Ranking'!$B$6:$B$172,A30,'Damage Ranking'!$C$6:$C$172,B30))</x:f>
        <x:v>41</x:v>
      </x:c>
      <x:c r="S30" s="431" t="n">
        <x:f>IF(OR(R30="",O30=""),"",R30-O30)</x:f>
        <x:v>-16</x:v>
      </x:c>
      <x:c r="T30" s="430" t="str">
        <x:f>IF(S30="","No damage score",IF(S30&gt;=20,"Badges much stronger",IF(S30&lt;=-20,"Damage much stronger","Broadly aligned")))</x:f>
        <x:v>Broadly aligned</x:v>
      </x:c>
      <x:c r="U30" s="434" t="n">
        <x:f>IF(Q30="","",Q30*(1-$R$5)+L30*$R$5)</x:f>
        <x:v>49.085292217314326</x:v>
      </x:c>
      <x:c r="V30" s="431" t="n">
        <x:f>IF(U30="","",1+COUNTIF($U$19:$U$186,"&gt;"&amp;U30))</x:f>
        <x:v>41</x:v>
      </x:c>
    </x:row>
    <x:row r="31" ht="24" customHeight="1">
      <x:c r="A31" s="430" t="str">
        <x:v>K60</x:v>
      </x:c>
      <x:c r="B31" s="430" t="str">
        <x:v>AAB</x:v>
      </x:c>
      <x:c r="C31" s="431" t="n">
        <x:f>COUNTIFS('Specialisations'!$A$6:$A$527,A31,'Specialisations'!$B$6:$B$527,B31)</x:f>
        <x:v>4</x:v>
      </x:c>
      <x:c r="D31" s="431" t="n">
        <x:f>COUNTIFS('Specialisations'!$A$6:$A$527,A31,'Specialisations'!$B$6:$B$527,B31,'Specialisations'!$P$6:$P$527,"OK")</x:f>
        <x:v>4</x:v>
      </x:c>
      <x:c r="E31" s="431" t="n">
        <x:f>C31-D31</x:f>
        <x:v>0</x:v>
      </x:c>
      <x:c r="F31" s="432" t="n">
        <x:f>IF(C31=0,0,D31/C31)</x:f>
        <x:v>1</x:v>
      </x:c>
      <x:c r="G31" s="433" t="n">
        <x:f>SUMIFS('Specialisations'!$N$6:$N$527,'Specialisations'!$A$6:$A$527,A31,'Specialisations'!$B$6:$B$527,B31,'Specialisations'!$C$6:$C$527,"Guards")</x:f>
        <x:v>2244300</x:v>
      </x:c>
      <x:c r="H31" s="433" t="n">
        <x:f>SUMIFS('Specialisations'!$N$6:$N$527,'Specialisations'!$A$6:$A$527,A31,'Specialisations'!$B$6:$B$527,B31,'Specialisations'!$C$6:$C$527,"Archers")</x:f>
        <x:v>2244300</x:v>
      </x:c>
      <x:c r="I31" s="433" t="n">
        <x:f>SUMIFS('Specialisations'!$N$6:$N$527,'Specialisations'!$A$6:$A$527,A31,'Specialisations'!$B$6:$B$527,B31,'Specialisations'!$C$6:$C$527,"Cavalry")</x:f>
        <x:v>9288600</x:v>
      </x:c>
      <x:c r="J31" s="433" t="n">
        <x:f>SUMIFS('Specialisations'!$N$6:$N$527,'Specialisations'!$A$6:$A$527,A31,'Specialisations'!$B$6:$B$527,B31,'Specialisations'!$C$6:$C$527,"Siege")</x:f>
        <x:v>0</x:v>
      </x:c>
      <x:c r="K31" s="433" t="n">
        <x:f>SUM(G31:J31)</x:f>
        <x:v>13777200</x:v>
      </x:c>
      <x:c r="L31" s="434" t="n">
        <x:f>IFERROR(100*K31/MAX($K$19:$K$186),0)</x:f>
        <x:v>22.219211751158763</x:v>
      </x:c>
      <x:c r="M31" s="495" t="n">
        <x:f>IF(C31=0,"",SUMIFS('Specialisations'!$Q$6:$Q$527,'Specialisations'!$A$6:$A$527,A31,'Specialisations'!$B$6:$B$527,B31))</x:f>
        <x:v>87.11</x:v>
      </x:c>
      <x:c r="N31" s="431" t="n">
        <x:f>IF(K31=0,"",1+COUNTIFS($A$19:$A$186,A31,$K$19:$K$186,"&gt;"&amp;K31))</x:f>
        <x:v>9</x:v>
      </x:c>
      <x:c r="O31" s="431" t="n">
        <x:f>IF(K31=0,"",1+COUNTIF($K$19:$K$186,"&gt;"&amp;K31))</x:f>
        <x:v>70</x:v>
      </x:c>
      <x:c r="P31" s="430" t="str">
        <x:f>IF(C31=0,"No specialisations recorded",IF(E31&gt;0,"Review missing level","Complete"))</x:f>
        <x:v>Complete</x:v>
      </x:c>
      <x:c r="Q31" s="434" t="n">
        <x:f>IF(COUNTIFS('Damage Ranking'!$B$6:$B$172,A31,'Damage Ranking'!$C$6:$C$172,B31)=0,"",SUMIFS('Damage Ranking'!$D$6:$D$172,'Damage Ranking'!$B$6:$B$172,A31,'Damage Ranking'!$C$6:$C$172,B31))</x:f>
        <x:v>51.119755815029464</x:v>
      </x:c>
      <x:c r="R31" s="431" t="n">
        <x:f>IF(Q31="","",SUMIFS('Damage Ranking'!$A$6:$A$172,'Damage Ranking'!$B$6:$B$172,A31,'Damage Ranking'!$C$6:$C$172,B31))</x:f>
        <x:v>34</x:v>
      </x:c>
      <x:c r="S31" s="431" t="n">
        <x:f>IF(OR(R31="",O31=""),"",R31-O31)</x:f>
        <x:v>-36</x:v>
      </x:c>
      <x:c r="T31" s="430" t="str">
        <x:f>IF(S31="","No damage score",IF(S31&gt;=20,"Badges much stronger",IF(S31&lt;=-20,"Damage much stronger","Broadly aligned")))</x:f>
        <x:v>Damage much stronger</x:v>
      </x:c>
      <x:c r="U31" s="434" t="n">
        <x:f>IF(Q31="","",Q31*(1-$R$5)+L31*$R$5)</x:f>
        <x:v>51.119755815029464</x:v>
      </x:c>
      <x:c r="V31" s="431" t="n">
        <x:f>IF(U31="","",1+COUNTIF($U$19:$U$186,"&gt;"&amp;U31))</x:f>
        <x:v>34</x:v>
      </x:c>
    </x:row>
    <x:row r="32" ht="24" customHeight="1">
      <x:c r="A32" s="430" t="str">
        <x:v>K60</x:v>
      </x:c>
      <x:c r="B32" s="430" t="str">
        <x:v>#14 元气满满 (148,500)</x:v>
      </x:c>
      <x:c r="C32" s="431" t="n">
        <x:f>COUNTIFS('Specialisations'!$A$6:$A$527,A32,'Specialisations'!$B$6:$B$527,B32)</x:f>
        <x:v>5</x:v>
      </x:c>
      <x:c r="D32" s="431" t="n">
        <x:f>COUNTIFS('Specialisations'!$A$6:$A$527,A32,'Specialisations'!$B$6:$B$527,B32,'Specialisations'!$P$6:$P$527,"OK")</x:f>
        <x:v>5</x:v>
      </x:c>
      <x:c r="E32" s="431" t="n">
        <x:f>C32-D32</x:f>
        <x:v>0</x:v>
      </x:c>
      <x:c r="F32" s="432" t="n">
        <x:f>IF(C32=0,0,D32/C32)</x:f>
        <x:v>1</x:v>
      </x:c>
      <x:c r="G32" s="433" t="n">
        <x:f>SUMIFS('Specialisations'!$N$6:$N$527,'Specialisations'!$A$6:$A$527,A32,'Specialisations'!$B$6:$B$527,B32,'Specialisations'!$C$6:$C$527,"Guards")</x:f>
        <x:v>0</x:v>
      </x:c>
      <x:c r="H32" s="433" t="n">
        <x:f>SUMIFS('Specialisations'!$N$6:$N$527,'Specialisations'!$A$6:$A$527,A32,'Specialisations'!$B$6:$B$527,B32,'Specialisations'!$C$6:$C$527,"Archers")</x:f>
        <x:v>2844300</x:v>
      </x:c>
      <x:c r="I32" s="433" t="n">
        <x:f>SUMIFS('Specialisations'!$N$6:$N$527,'Specialisations'!$A$6:$A$527,A32,'Specialisations'!$B$6:$B$527,B32,'Specialisations'!$C$6:$C$527,"Cavalry")</x:f>
        <x:v>14218600</x:v>
      </x:c>
      <x:c r="J32" s="433" t="n">
        <x:f>SUMIFS('Specialisations'!$N$6:$N$527,'Specialisations'!$A$6:$A$527,A32,'Specialisations'!$B$6:$B$527,B32,'Specialisations'!$C$6:$C$527,"Siege")</x:f>
        <x:v>12578600</x:v>
      </x:c>
      <x:c r="K32" s="433" t="n">
        <x:f>SUM(G32:J32)</x:f>
        <x:v>29641500</x:v>
      </x:c>
      <x:c r="L32" s="434" t="n">
        <x:f>IFERROR(100*K32/MAX($K$19:$K$186),0)</x:f>
        <x:v>47.80439894332466</x:v>
      </x:c>
      <x:c r="M32" s="495" t="n">
        <x:f>IF(C32=0,"",SUMIFS('Specialisations'!$Q$6:$Q$527,'Specialisations'!$A$6:$A$527,A32,'Specialisations'!$B$6:$B$527,B32))</x:f>
        <x:v>224.45000000000002</x:v>
      </x:c>
      <x:c r="N32" s="431" t="n">
        <x:f>IF(K32=0,"",1+COUNTIFS($A$19:$A$186,A32,$K$19:$K$186,"&gt;"&amp;K32))</x:f>
        <x:v>1</x:v>
      </x:c>
      <x:c r="O32" s="431" t="n">
        <x:f>IF(K32=0,"",1+COUNTIF($K$19:$K$186,"&gt;"&amp;K32))</x:f>
        <x:v>7</x:v>
      </x:c>
      <x:c r="P32" s="430" t="str">
        <x:f>IF(C32=0,"No specialisations recorded",IF(E32&gt;0,"Review missing level","Complete"))</x:f>
        <x:v>Complete</x:v>
      </x:c>
      <x:c r="Q32" s="434" t="n">
        <x:f>IF(COUNTIFS('Damage Ranking'!$B$6:$B$172,A32,'Damage Ranking'!$C$6:$C$172,B32)=0,"",SUMIFS('Damage Ranking'!$D$6:$D$172,'Damage Ranking'!$B$6:$B$172,A32,'Damage Ranking'!$C$6:$C$172,B32))</x:f>
        <x:v>61.93565335294709</x:v>
      </x:c>
      <x:c r="R32" s="431" t="n">
        <x:f>IF(Q32="","",SUMIFS('Damage Ranking'!$A$6:$A$172,'Damage Ranking'!$B$6:$B$172,A32,'Damage Ranking'!$C$6:$C$172,B32))</x:f>
        <x:v>24</x:v>
      </x:c>
      <x:c r="S32" s="431" t="n">
        <x:f>IF(OR(R32="",O32=""),"",R32-O32)</x:f>
        <x:v>17</x:v>
      </x:c>
      <x:c r="T32" s="430" t="str">
        <x:f>IF(S32="","No damage score",IF(S32&gt;=20,"Badges much stronger",IF(S32&lt;=-20,"Damage much stronger","Broadly aligned")))</x:f>
        <x:v>Broadly aligned</x:v>
      </x:c>
      <x:c r="U32" s="434" t="n">
        <x:f>IF(Q32="","",Q32*(1-$R$5)+L32*$R$5)</x:f>
        <x:v>61.93565335294709</x:v>
      </x:c>
      <x:c r="V32" s="431" t="n">
        <x:f>IF(U32="","",1+COUNTIF($U$19:$U$186,"&gt;"&amp;U32))</x:f>
        <x:v>24</x:v>
      </x:c>
    </x:row>
    <x:row r="33" ht="24" customHeight="1">
      <x:c r="A33" s="430" t="str">
        <x:v>K60</x:v>
      </x:c>
      <x:c r="B33" s="430" t="str">
        <x:v>InFlames</x:v>
      </x:c>
      <x:c r="C33" s="431" t="n">
        <x:f>COUNTIFS('Specialisations'!$A$6:$A$527,A33,'Specialisations'!$B$6:$B$527,B33)</x:f>
        <x:v>5</x:v>
      </x:c>
      <x:c r="D33" s="431" t="n">
        <x:f>COUNTIFS('Specialisations'!$A$6:$A$527,A33,'Specialisations'!$B$6:$B$527,B33,'Specialisations'!$P$6:$P$527,"OK")</x:f>
        <x:v>5</x:v>
      </x:c>
      <x:c r="E33" s="431" t="n">
        <x:f>C33-D33</x:f>
        <x:v>0</x:v>
      </x:c>
      <x:c r="F33" s="432" t="n">
        <x:f>IF(C33=0,0,D33/C33)</x:f>
        <x:v>1</x:v>
      </x:c>
      <x:c r="G33" s="433" t="n">
        <x:f>SUMIFS('Specialisations'!$N$6:$N$527,'Specialisations'!$A$6:$A$527,A33,'Specialisations'!$B$6:$B$527,B33,'Specialisations'!$C$6:$C$527,"Guards")</x:f>
        <x:v>2244300</x:v>
      </x:c>
      <x:c r="H33" s="433" t="n">
        <x:f>SUMIFS('Specialisations'!$N$6:$N$527,'Specialisations'!$A$6:$A$527,A33,'Specialisations'!$B$6:$B$527,B33,'Specialisations'!$C$6:$C$527,"Archers")</x:f>
        <x:v>2244300</x:v>
      </x:c>
      <x:c r="I33" s="433" t="n">
        <x:f>SUMIFS('Specialisations'!$N$6:$N$527,'Specialisations'!$A$6:$A$527,A33,'Specialisations'!$B$6:$B$527,B33,'Specialisations'!$C$6:$C$527,"Cavalry")</x:f>
        <x:v>7128600</x:v>
      </x:c>
      <x:c r="J33" s="433" t="n">
        <x:f>SUMIFS('Specialisations'!$N$6:$N$527,'Specialisations'!$A$6:$A$527,A33,'Specialisations'!$B$6:$B$527,B33,'Specialisations'!$C$6:$C$527,"Siege")</x:f>
        <x:v>619300</x:v>
      </x:c>
      <x:c r="K33" s="433" t="n">
        <x:f>SUM(G33:J33)</x:f>
        <x:v>12236500</x:v>
      </x:c>
      <x:c r="L33" s="434" t="n">
        <x:f>IFERROR(100*K33/MAX($K$19:$K$186),0)</x:f>
        <x:v>19.73444419715575</x:v>
      </x:c>
      <x:c r="M33" s="495" t="n">
        <x:f>IF(C33=0,"",SUMIFS('Specialisations'!$Q$6:$Q$527,'Specialisations'!$A$6:$A$527,A33,'Specialisations'!$B$6:$B$527,B33))</x:f>
        <x:v>83.35</x:v>
      </x:c>
      <x:c r="N33" s="431" t="n">
        <x:f>IF(K33=0,"",1+COUNTIFS($A$19:$A$186,A33,$K$19:$K$186,"&gt;"&amp;K33))</x:f>
        <x:v>17</x:v>
      </x:c>
      <x:c r="O33" s="431" t="n">
        <x:f>IF(K33=0,"",1+COUNTIF($K$19:$K$186,"&gt;"&amp;K33))</x:f>
        <x:v>95</x:v>
      </x:c>
      <x:c r="P33" s="430" t="str">
        <x:f>IF(C33=0,"No specialisations recorded",IF(E33&gt;0,"Review missing level","Complete"))</x:f>
        <x:v>Complete</x:v>
      </x:c>
      <x:c r="Q33" s="434" t="n">
        <x:f>IF(COUNTIFS('Damage Ranking'!$B$6:$B$172,A33,'Damage Ranking'!$C$6:$C$172,B33)=0,"",SUMIFS('Damage Ranking'!$D$6:$D$172,'Damage Ranking'!$B$6:$B$172,A33,'Damage Ranking'!$C$6:$C$172,B33))</x:f>
        <x:v>80.48613371322558</x:v>
      </x:c>
      <x:c r="R33" s="431" t="n">
        <x:f>IF(Q33="","",SUMIFS('Damage Ranking'!$A$6:$A$172,'Damage Ranking'!$B$6:$B$172,A33,'Damage Ranking'!$C$6:$C$172,B33))</x:f>
        <x:v>9</x:v>
      </x:c>
      <x:c r="S33" s="431" t="n">
        <x:f>IF(OR(R33="",O33=""),"",R33-O33)</x:f>
        <x:v>-86</x:v>
      </x:c>
      <x:c r="T33" s="430" t="str">
        <x:f>IF(S33="","No damage score",IF(S33&gt;=20,"Badges much stronger",IF(S33&lt;=-20,"Damage much stronger","Broadly aligned")))</x:f>
        <x:v>Damage much stronger</x:v>
      </x:c>
      <x:c r="U33" s="434" t="n">
        <x:f>IF(Q33="","",Q33*(1-$R$5)+L33*$R$5)</x:f>
        <x:v>80.48613371322558</x:v>
      </x:c>
      <x:c r="V33" s="431" t="n">
        <x:f>IF(U33="","",1+COUNTIF($U$19:$U$186,"&gt;"&amp;U33))</x:f>
        <x:v>9</x:v>
      </x:c>
    </x:row>
    <x:row r="34" ht="24" customHeight="1">
      <x:c r="A34" s="430" t="str">
        <x:v>K60</x:v>
      </x:c>
      <x:c r="B34" s="430" t="str">
        <x:v>ΨRØÇKYΨ</x:v>
      </x:c>
      <x:c r="C34" s="431" t="n">
        <x:f>COUNTIFS('Specialisations'!$A$6:$A$527,A34,'Specialisations'!$B$6:$B$527,B34)</x:f>
        <x:v>4</x:v>
      </x:c>
      <x:c r="D34" s="431" t="n">
        <x:f>COUNTIFS('Specialisations'!$A$6:$A$527,A34,'Specialisations'!$B$6:$B$527,B34,'Specialisations'!$P$6:$P$527,"OK")</x:f>
        <x:v>4</x:v>
      </x:c>
      <x:c r="E34" s="431" t="n">
        <x:f>C34-D34</x:f>
        <x:v>0</x:v>
      </x:c>
      <x:c r="F34" s="432" t="n">
        <x:f>IF(C34=0,0,D34/C34)</x:f>
        <x:v>1</x:v>
      </x:c>
      <x:c r="G34" s="433" t="n">
        <x:f>SUMIFS('Specialisations'!$N$6:$N$527,'Specialisations'!$A$6:$A$527,A34,'Specialisations'!$B$6:$B$527,B34,'Specialisations'!$C$6:$C$527,"Guards")</x:f>
        <x:v>2244300</x:v>
      </x:c>
      <x:c r="H34" s="433" t="n">
        <x:f>SUMIFS('Specialisations'!$N$6:$N$527,'Specialisations'!$A$6:$A$527,A34,'Specialisations'!$B$6:$B$527,B34,'Specialisations'!$C$6:$C$527,"Archers")</x:f>
        <x:v>2524300</x:v>
      </x:c>
      <x:c r="I34" s="433" t="n">
        <x:f>SUMIFS('Specialisations'!$N$6:$N$527,'Specialisations'!$A$6:$A$527,A34,'Specialisations'!$B$6:$B$527,B34,'Specialisations'!$C$6:$C$527,"Cavalry")</x:f>
        <x:v>8568600</x:v>
      </x:c>
      <x:c r="J34" s="433" t="n">
        <x:f>SUMIFS('Specialisations'!$N$6:$N$527,'Specialisations'!$A$6:$A$527,A34,'Specialisations'!$B$6:$B$527,B34,'Specialisations'!$C$6:$C$527,"Siege")</x:f>
        <x:v>0</x:v>
      </x:c>
      <x:c r="K34" s="433" t="n">
        <x:f>SUM(G34:J34)</x:f>
        <x:v>13337200</x:v>
      </x:c>
      <x:c r="L34" s="434" t="n">
        <x:f>IFERROR(100*K34/MAX($K$19:$K$186),0)</x:f>
        <x:v>21.509600714771842</x:v>
      </x:c>
      <x:c r="M34" s="495" t="n">
        <x:f>IF(C34=0,"",SUMIFS('Specialisations'!$Q$6:$Q$527,'Specialisations'!$A$6:$A$527,A34,'Specialisations'!$B$6:$B$527,B34))</x:f>
        <x:v>86.6</x:v>
      </x:c>
      <x:c r="N34" s="431" t="n">
        <x:f>IF(K34=0,"",1+COUNTIFS($A$19:$A$186,A34,$K$19:$K$186,"&gt;"&amp;K34))</x:f>
        <x:v>12</x:v>
      </x:c>
      <x:c r="O34" s="431" t="n">
        <x:f>IF(K34=0,"",1+COUNTIF($K$19:$K$186,"&gt;"&amp;K34))</x:f>
        <x:v>78</x:v>
      </x:c>
      <x:c r="P34" s="430" t="str">
        <x:f>IF(C34=0,"No specialisations recorded",IF(E34&gt;0,"Review missing level","Complete"))</x:f>
        <x:v>Complete</x:v>
      </x:c>
      <x:c r="Q34" s="434" t="n">
        <x:f>IF(COUNTIFS('Damage Ranking'!$B$6:$B$172,A34,'Damage Ranking'!$C$6:$C$172,B34)=0,"",SUMIFS('Damage Ranking'!$D$6:$D$172,'Damage Ranking'!$B$6:$B$172,A34,'Damage Ranking'!$C$6:$C$172,B34))</x:f>
        <x:v>36.05610124717816</x:v>
      </x:c>
      <x:c r="R34" s="431" t="n">
        <x:f>IF(Q34="","",SUMIFS('Damage Ranking'!$A$6:$A$172,'Damage Ranking'!$B$6:$B$172,A34,'Damage Ranking'!$C$6:$C$172,B34))</x:f>
        <x:v>78</x:v>
      </x:c>
      <x:c r="S34" s="431" t="n">
        <x:f>IF(OR(R34="",O34=""),"",R34-O34)</x:f>
        <x:v>0</x:v>
      </x:c>
      <x:c r="T34" s="430" t="str">
        <x:f>IF(S34="","No damage score",IF(S34&gt;=20,"Badges much stronger",IF(S34&lt;=-20,"Damage much stronger","Broadly aligned")))</x:f>
        <x:v>No damage score</x:v>
      </x:c>
      <x:c r="U34" s="434" t="n">
        <x:f>IF(Q34="","",Q34*(1-$R$5)+L34*$R$5)</x:f>
        <x:v>36.05610124717816</x:v>
      </x:c>
      <x:c r="V34" s="431" t="n">
        <x:f>IF(U34="","",1+COUNTIF($U$19:$U$186,"&gt;"&amp;U34))</x:f>
        <x:v>78</x:v>
      </x:c>
    </x:row>
    <x:row r="35" ht="24" customHeight="1">
      <x:c r="A35" s="430" t="str">
        <x:v>K60</x:v>
      </x:c>
      <x:c r="B35" s="430" t="str">
        <x:v>Jepp</x:v>
      </x:c>
      <x:c r="C35" s="431" t="n">
        <x:f>COUNTIFS('Specialisations'!$A$6:$A$527,A35,'Specialisations'!$B$6:$B$527,B35)</x:f>
        <x:v>4</x:v>
      </x:c>
      <x:c r="D35" s="431" t="n">
        <x:f>COUNTIFS('Specialisations'!$A$6:$A$527,A35,'Specialisations'!$B$6:$B$527,B35,'Specialisations'!$P$6:$P$527,"OK")</x:f>
        <x:v>4</x:v>
      </x:c>
      <x:c r="E35" s="431" t="n">
        <x:f>C35-D35</x:f>
        <x:v>0</x:v>
      </x:c>
      <x:c r="F35" s="432" t="n">
        <x:f>IF(C35=0,0,D35/C35)</x:f>
        <x:v>1</x:v>
      </x:c>
      <x:c r="G35" s="433" t="n">
        <x:f>SUMIFS('Specialisations'!$N$6:$N$527,'Specialisations'!$A$6:$A$527,A35,'Specialisations'!$B$6:$B$527,B35,'Specialisations'!$C$6:$C$527,"Guards")</x:f>
        <x:v>2244300</x:v>
      </x:c>
      <x:c r="H35" s="433" t="n">
        <x:f>SUMIFS('Specialisations'!$N$6:$N$527,'Specialisations'!$A$6:$A$527,A35,'Specialisations'!$B$6:$B$527,B35,'Specialisations'!$C$6:$C$527,"Archers")</x:f>
        <x:v>2244300</x:v>
      </x:c>
      <x:c r="I35" s="433" t="n">
        <x:f>SUMIFS('Specialisations'!$N$6:$N$527,'Specialisations'!$A$6:$A$527,A35,'Specialisations'!$B$6:$B$527,B35,'Specialisations'!$C$6:$C$527,"Cavalry")</x:f>
        <x:v>8008600</x:v>
      </x:c>
      <x:c r="J35" s="433" t="n">
        <x:f>SUMIFS('Specialisations'!$N$6:$N$527,'Specialisations'!$A$6:$A$527,A35,'Specialisations'!$B$6:$B$527,B35,'Specialisations'!$C$6:$C$527,"Siege")</x:f>
        <x:v>0</x:v>
      </x:c>
      <x:c r="K35" s="433" t="n">
        <x:f>SUM(G35:J35)</x:f>
        <x:v>12497200</x:v>
      </x:c>
      <x:c r="L35" s="434" t="n">
        <x:f>IFERROR(100*K35/MAX($K$19:$K$186),0)</x:f>
        <x:v>20.154888736215</x:v>
      </x:c>
      <x:c r="M35" s="495" t="n">
        <x:f>IF(C35=0,"",SUMIFS('Specialisations'!$Q$6:$Q$527,'Specialisations'!$A$6:$A$527,A35,'Specialisations'!$B$6:$B$527,B35))</x:f>
        <x:v>81.91</x:v>
      </x:c>
      <x:c r="N35" s="431" t="n">
        <x:f>IF(K35=0,"",1+COUNTIFS($A$19:$A$186,A35,$K$19:$K$186,"&gt;"&amp;K35))</x:f>
        <x:v>15</x:v>
      </x:c>
      <x:c r="O35" s="431" t="n">
        <x:f>IF(K35=0,"",1+COUNTIF($K$19:$K$186,"&gt;"&amp;K35))</x:f>
        <x:v>90</x:v>
      </x:c>
      <x:c r="P35" s="430" t="str">
        <x:f>IF(C35=0,"No specialisations recorded",IF(E35&gt;0,"Review missing level","Complete"))</x:f>
        <x:v>Complete</x:v>
      </x:c>
      <x:c r="Q35" s="434" t="n">
        <x:f>IF(COUNTIFS('Damage Ranking'!$B$6:$B$172,A35,'Damage Ranking'!$C$6:$C$172,B35)=0,"",SUMIFS('Damage Ranking'!$D$6:$D$172,'Damage Ranking'!$B$6:$B$172,A35,'Damage Ranking'!$C$6:$C$172,B35))</x:f>
        <x:v>27.06853831031173</x:v>
      </x:c>
      <x:c r="R35" s="431" t="n">
        <x:f>IF(Q35="","",SUMIFS('Damage Ranking'!$A$6:$A$172,'Damage Ranking'!$B$6:$B$172,A35,'Damage Ranking'!$C$6:$C$172,B35))</x:f>
        <x:v>100</x:v>
      </x:c>
      <x:c r="S35" s="431" t="n">
        <x:f>IF(OR(R35="",O35=""),"",R35-O35)</x:f>
        <x:v>10</x:v>
      </x:c>
      <x:c r="T35" s="430" t="str">
        <x:f>IF(S35="","No damage score",IF(S35&gt;=20,"Badges much stronger",IF(S35&lt;=-20,"Damage much stronger","Broadly aligned")))</x:f>
        <x:v>Broadly aligned</x:v>
      </x:c>
      <x:c r="U35" s="434" t="n">
        <x:f>IF(Q35="","",Q35*(1-$R$5)+L35*$R$5)</x:f>
        <x:v>27.06853831031173</x:v>
      </x:c>
      <x:c r="V35" s="431" t="n">
        <x:f>IF(U35="","",1+COUNTIF($U$19:$U$186,"&gt;"&amp;U35))</x:f>
        <x:v>100</x:v>
      </x:c>
    </x:row>
    <x:row r="36" ht="24" customHeight="1">
      <x:c r="A36" s="430" t="str">
        <x:v>K60</x:v>
      </x:c>
      <x:c r="B36" s="430" t="str">
        <x:v>kvisteer</x:v>
      </x:c>
      <x:c r="C36" s="431" t="n">
        <x:f>COUNTIFS('Specialisations'!$A$6:$A$527,A36,'Specialisations'!$B$6:$B$527,B36)</x:f>
        <x:v>4</x:v>
      </x:c>
      <x:c r="D36" s="431" t="n">
        <x:f>COUNTIFS('Specialisations'!$A$6:$A$527,A36,'Specialisations'!$B$6:$B$527,B36,'Specialisations'!$P$6:$P$527,"OK")</x:f>
        <x:v>4</x:v>
      </x:c>
      <x:c r="E36" s="431" t="n">
        <x:f>C36-D36</x:f>
        <x:v>0</x:v>
      </x:c>
      <x:c r="F36" s="432" t="n">
        <x:f>IF(C36=0,0,D36/C36)</x:f>
        <x:v>1</x:v>
      </x:c>
      <x:c r="G36" s="433" t="n">
        <x:f>SUMIFS('Specialisations'!$N$6:$N$527,'Specialisations'!$A$6:$A$527,A36,'Specialisations'!$B$6:$B$527,B36,'Specialisations'!$C$6:$C$527,"Guards")</x:f>
        <x:v>2244300</x:v>
      </x:c>
      <x:c r="H36" s="433" t="n">
        <x:f>SUMIFS('Specialisations'!$N$6:$N$527,'Specialisations'!$A$6:$A$527,A36,'Specialisations'!$B$6:$B$527,B36,'Specialisations'!$C$6:$C$527,"Archers")</x:f>
        <x:v>3244300</x:v>
      </x:c>
      <x:c r="I36" s="433" t="n">
        <x:f>SUMIFS('Specialisations'!$N$6:$N$527,'Specialisations'!$A$6:$A$527,A36,'Specialisations'!$B$6:$B$527,B36,'Specialisations'!$C$6:$C$527,"Cavalry")</x:f>
        <x:v>11768600</x:v>
      </x:c>
      <x:c r="J36" s="433" t="n">
        <x:f>SUMIFS('Specialisations'!$N$6:$N$527,'Specialisations'!$A$6:$A$527,A36,'Specialisations'!$B$6:$B$527,B36,'Specialisations'!$C$6:$C$527,"Siege")</x:f>
        <x:v>0</x:v>
      </x:c>
      <x:c r="K36" s="433" t="n">
        <x:f>SUM(G36:J36)</x:f>
        <x:v>17257200</x:v>
      </x:c>
      <x:c r="L36" s="434" t="n">
        <x:f>IFERROR(100*K36/MAX($K$19:$K$186),0)</x:f>
        <x:v>27.83158994803712</x:v>
      </x:c>
      <x:c r="M36" s="495" t="n">
        <x:f>IF(C36=0,"",SUMIFS('Specialisations'!$Q$6:$Q$527,'Specialisations'!$A$6:$A$527,A36,'Specialisations'!$B$6:$B$527,B36))</x:f>
        <x:v>105</x:v>
      </x:c>
      <x:c r="N36" s="431" t="n">
        <x:f>IF(K36=0,"",1+COUNTIFS($A$19:$A$186,A36,$K$19:$K$186,"&gt;"&amp;K36))</x:f>
        <x:v>6</x:v>
      </x:c>
      <x:c r="O36" s="431" t="n">
        <x:f>IF(K36=0,"",1+COUNTIF($K$19:$K$186,"&gt;"&amp;K36))</x:f>
        <x:v>46</x:v>
      </x:c>
      <x:c r="P36" s="430" t="str">
        <x:f>IF(C36=0,"No specialisations recorded",IF(E36&gt;0,"Review missing level","Complete"))</x:f>
        <x:v>Complete</x:v>
      </x:c>
      <x:c r="Q36" s="434" t="n">
        <x:f>IF(COUNTIFS('Damage Ranking'!$B$6:$B$172,A36,'Damage Ranking'!$C$6:$C$172,B36)=0,"",SUMIFS('Damage Ranking'!$D$6:$D$172,'Damage Ranking'!$B$6:$B$172,A36,'Damage Ranking'!$C$6:$C$172,B36))</x:f>
        <x:v>43.93422850921941</x:v>
      </x:c>
      <x:c r="R36" s="431" t="n">
        <x:f>IF(Q36="","",SUMIFS('Damage Ranking'!$A$6:$A$172,'Damage Ranking'!$B$6:$B$172,A36,'Damage Ranking'!$C$6:$C$172,B36))</x:f>
        <x:v>54</x:v>
      </x:c>
      <x:c r="S36" s="431" t="n">
        <x:f>IF(OR(R36="",O36=""),"",R36-O36)</x:f>
        <x:v>8</x:v>
      </x:c>
      <x:c r="T36" s="430" t="str">
        <x:f>IF(S36="","No damage score",IF(S36&gt;=20,"Badges much stronger",IF(S36&lt;=-20,"Damage much stronger","Broadly aligned")))</x:f>
        <x:v>Broadly aligned</x:v>
      </x:c>
      <x:c r="U36" s="434" t="n">
        <x:f>IF(Q36="","",Q36*(1-$R$5)+L36*$R$5)</x:f>
        <x:v>43.93422850921941</x:v>
      </x:c>
      <x:c r="V36" s="431" t="n">
        <x:f>IF(U36="","",1+COUNTIF($U$19:$U$186,"&gt;"&amp;U36))</x:f>
        <x:v>54</x:v>
      </x:c>
    </x:row>
    <x:row r="37" ht="24" customHeight="1">
      <x:c r="A37" s="430" t="str">
        <x:v>K60</x:v>
      </x:c>
      <x:c r="B37" s="430" t="str">
        <x:v>Blud</x:v>
      </x:c>
      <x:c r="C37" s="431" t="n">
        <x:f>COUNTIFS('Specialisations'!$A$6:$A$527,A37,'Specialisations'!$B$6:$B$527,B37)</x:f>
        <x:v>4</x:v>
      </x:c>
      <x:c r="D37" s="431" t="n">
        <x:f>COUNTIFS('Specialisations'!$A$6:$A$527,A37,'Specialisations'!$B$6:$B$527,B37,'Specialisations'!$P$6:$P$527,"OK")</x:f>
        <x:v>4</x:v>
      </x:c>
      <x:c r="E37" s="431" t="n">
        <x:f>C37-D37</x:f>
        <x:v>0</x:v>
      </x:c>
      <x:c r="F37" s="432" t="n">
        <x:f>IF(C37=0,0,D37/C37)</x:f>
        <x:v>1</x:v>
      </x:c>
      <x:c r="G37" s="433" t="n">
        <x:f>SUMIFS('Specialisations'!$N$6:$N$527,'Specialisations'!$A$6:$A$527,A37,'Specialisations'!$B$6:$B$527,B37,'Specialisations'!$C$6:$C$527,"Guards")</x:f>
        <x:v>2244300</x:v>
      </x:c>
      <x:c r="H37" s="433" t="n">
        <x:f>SUMIFS('Specialisations'!$N$6:$N$527,'Specialisations'!$A$6:$A$527,A37,'Specialisations'!$B$6:$B$527,B37,'Specialisations'!$C$6:$C$527,"Archers")</x:f>
        <x:v>2244300</x:v>
      </x:c>
      <x:c r="I37" s="433" t="n">
        <x:f>SUMIFS('Specialisations'!$N$6:$N$527,'Specialisations'!$A$6:$A$527,A37,'Specialisations'!$B$6:$B$527,B37,'Specialisations'!$C$6:$C$527,"Cavalry")</x:f>
        <x:v>8008600</x:v>
      </x:c>
      <x:c r="J37" s="433" t="n">
        <x:f>SUMIFS('Specialisations'!$N$6:$N$527,'Specialisations'!$A$6:$A$527,A37,'Specialisations'!$B$6:$B$527,B37,'Specialisations'!$C$6:$C$527,"Siege")</x:f>
        <x:v>0</x:v>
      </x:c>
      <x:c r="K37" s="433" t="n">
        <x:f>SUM(G37:J37)</x:f>
        <x:v>12497200</x:v>
      </x:c>
      <x:c r="L37" s="434" t="n">
        <x:f>IFERROR(100*K37/MAX($K$19:$K$186),0)</x:f>
        <x:v>20.154888736215</x:v>
      </x:c>
      <x:c r="M37" s="495" t="n">
        <x:f>IF(C37=0,"",SUMIFS('Specialisations'!$Q$6:$Q$527,'Specialisations'!$A$6:$A$527,A37,'Specialisations'!$B$6:$B$527,B37))</x:f>
        <x:v>81.91</x:v>
      </x:c>
      <x:c r="N37" s="431" t="n">
        <x:f>IF(K37=0,"",1+COUNTIFS($A$19:$A$186,A37,$K$19:$K$186,"&gt;"&amp;K37))</x:f>
        <x:v>15</x:v>
      </x:c>
      <x:c r="O37" s="431" t="n">
        <x:f>IF(K37=0,"",1+COUNTIF($K$19:$K$186,"&gt;"&amp;K37))</x:f>
        <x:v>90</x:v>
      </x:c>
      <x:c r="P37" s="430" t="str">
        <x:f>IF(C37=0,"No specialisations recorded",IF(E37&gt;0,"Review missing level","Complete"))</x:f>
        <x:v>Complete</x:v>
      </x:c>
      <x:c r="Q37" s="434" t="n">
        <x:f>IF(COUNTIFS('Damage Ranking'!$B$6:$B$172,A37,'Damage Ranking'!$C$6:$C$172,B37)=0,"",SUMIFS('Damage Ranking'!$D$6:$D$172,'Damage Ranking'!$B$6:$B$172,A37,'Damage Ranking'!$C$6:$C$172,B37))</x:f>
        <x:v>26.38652688853583</x:v>
      </x:c>
      <x:c r="R37" s="431" t="n">
        <x:f>IF(Q37="","",SUMIFS('Damage Ranking'!$A$6:$A$172,'Damage Ranking'!$B$6:$B$172,A37,'Damage Ranking'!$C$6:$C$172,B37))</x:f>
        <x:v>103</x:v>
      </x:c>
      <x:c r="S37" s="431" t="n">
        <x:f>IF(OR(R37="",O37=""),"",R37-O37)</x:f>
        <x:v>13</x:v>
      </x:c>
      <x:c r="T37" s="430" t="str">
        <x:f>IF(S37="","No damage score",IF(S37&gt;=20,"Badges much stronger",IF(S37&lt;=-20,"Damage much stronger","Broadly aligned")))</x:f>
        <x:v>Broadly aligned</x:v>
      </x:c>
      <x:c r="U37" s="434" t="n">
        <x:f>IF(Q37="","",Q37*(1-$R$5)+L37*$R$5)</x:f>
        <x:v>26.38652688853583</x:v>
      </x:c>
      <x:c r="V37" s="431" t="n">
        <x:f>IF(U37="","",1+COUNTIF($U$19:$U$186,"&gt;"&amp;U37))</x:f>
        <x:v>103</x:v>
      </x:c>
    </x:row>
    <x:row r="38" ht="24" customHeight="1">
      <x:c r="A38" s="430" t="str">
        <x:v>K60</x:v>
      </x:c>
      <x:c r="B38" s="430" t="str">
        <x:v>陰影Sam</x:v>
      </x:c>
      <x:c r="C38" s="431" t="n">
        <x:f>COUNTIFS('Specialisations'!$A$6:$A$527,A38,'Specialisations'!$B$6:$B$527,B38)</x:f>
        <x:v>4</x:v>
      </x:c>
      <x:c r="D38" s="431" t="n">
        <x:f>COUNTIFS('Specialisations'!$A$6:$A$527,A38,'Specialisations'!$B$6:$B$527,B38,'Specialisations'!$P$6:$P$527,"OK")</x:f>
        <x:v>4</x:v>
      </x:c>
      <x:c r="E38" s="431" t="n">
        <x:f>C38-D38</x:f>
        <x:v>0</x:v>
      </x:c>
      <x:c r="F38" s="432" t="n">
        <x:f>IF(C38=0,0,D38/C38)</x:f>
        <x:v>1</x:v>
      </x:c>
      <x:c r="G38" s="433" t="n">
        <x:f>SUMIFS('Specialisations'!$N$6:$N$527,'Specialisations'!$A$6:$A$527,A38,'Specialisations'!$B$6:$B$527,B38,'Specialisations'!$C$6:$C$527,"Guards")</x:f>
        <x:v>2244300</x:v>
      </x:c>
      <x:c r="H38" s="433" t="n">
        <x:f>SUMIFS('Specialisations'!$N$6:$N$527,'Specialisations'!$A$6:$A$527,A38,'Specialisations'!$B$6:$B$527,B38,'Specialisations'!$C$6:$C$527,"Archers")</x:f>
        <x:v>2244300</x:v>
      </x:c>
      <x:c r="I38" s="433" t="n">
        <x:f>SUMIFS('Specialisations'!$N$6:$N$527,'Specialisations'!$A$6:$A$527,A38,'Specialisations'!$B$6:$B$527,B38,'Specialisations'!$C$6:$C$527,"Cavalry")</x:f>
        <x:v>10888600</x:v>
      </x:c>
      <x:c r="J38" s="433" t="n">
        <x:f>SUMIFS('Specialisations'!$N$6:$N$527,'Specialisations'!$A$6:$A$527,A38,'Specialisations'!$B$6:$B$527,B38,'Specialisations'!$C$6:$C$527,"Siege")</x:f>
        <x:v>0</x:v>
      </x:c>
      <x:c r="K38" s="433" t="n">
        <x:f>SUM(G38:J38)</x:f>
        <x:v>15377200</x:v>
      </x:c>
      <x:c r="L38" s="434" t="n">
        <x:f>IFERROR(100*K38/MAX($K$19:$K$186),0)</x:f>
        <x:v>24.79961551983847</x:v>
      </x:c>
      <x:c r="M38" s="495" t="n">
        <x:f>IF(C38=0,"",SUMIFS('Specialisations'!$Q$6:$Q$527,'Specialisations'!$A$6:$A$527,A38,'Specialisations'!$B$6:$B$527,B38))</x:f>
        <x:v>93.51</x:v>
      </x:c>
      <x:c r="N38" s="431" t="n">
        <x:f>IF(K38=0,"",1+COUNTIFS($A$19:$A$186,A38,$K$19:$K$186,"&gt;"&amp;K38))</x:f>
        <x:v>8</x:v>
      </x:c>
      <x:c r="O38" s="431" t="n">
        <x:f>IF(K38=0,"",1+COUNTIF($K$19:$K$186,"&gt;"&amp;K38))</x:f>
        <x:v>59</x:v>
      </x:c>
      <x:c r="P38" s="430" t="str">
        <x:f>IF(C38=0,"No specialisations recorded",IF(E38&gt;0,"Review missing level","Complete"))</x:f>
        <x:v>Complete</x:v>
      </x:c>
      <x:c r="Q38" s="434" t="n">
        <x:f>IF(COUNTIFS('Damage Ranking'!$B$6:$B$172,A38,'Damage Ranking'!$C$6:$C$172,B38)=0,"",SUMIFS('Damage Ranking'!$D$6:$D$172,'Damage Ranking'!$B$6:$B$172,A38,'Damage Ranking'!$C$6:$C$172,B38))</x:f>
        <x:v>31.269901716916266</x:v>
      </x:c>
      <x:c r="R38" s="431" t="n">
        <x:f>IF(Q38="","",SUMIFS('Damage Ranking'!$A$6:$A$172,'Damage Ranking'!$B$6:$B$172,A38,'Damage Ranking'!$C$6:$C$172,B38))</x:f>
        <x:v>89</x:v>
      </x:c>
      <x:c r="S38" s="431" t="n">
        <x:f>IF(OR(R38="",O38=""),"",R38-O38)</x:f>
        <x:v>30</x:v>
      </x:c>
      <x:c r="T38" s="430" t="str">
        <x:f>IF(S38="","No damage score",IF(S38&gt;=20,"Badges much stronger",IF(S38&lt;=-20,"Damage much stronger","Broadly aligned")))</x:f>
        <x:v>Badges much stronger</x:v>
      </x:c>
      <x:c r="U38" s="434" t="n">
        <x:f>IF(Q38="","",Q38*(1-$R$5)+L38*$R$5)</x:f>
        <x:v>31.269901716916266</x:v>
      </x:c>
      <x:c r="V38" s="431" t="n">
        <x:f>IF(U38="","",1+COUNTIF($U$19:$U$186,"&gt;"&amp;U38))</x:f>
        <x:v>89</x:v>
      </x:c>
    </x:row>
    <x:row r="39" ht="24" customHeight="1">
      <x:c r="A39" s="430" t="str">
        <x:v>K60</x:v>
      </x:c>
      <x:c r="B39" s="430" t="str">
        <x:v>RONINtrike</x:v>
      </x:c>
      <x:c r="C39" s="431" t="n">
        <x:f>COUNTIFS('Specialisations'!$A$6:$A$527,A39,'Specialisations'!$B$6:$B$527,B39)</x:f>
        <x:v>5</x:v>
      </x:c>
      <x:c r="D39" s="431" t="n">
        <x:f>COUNTIFS('Specialisations'!$A$6:$A$527,A39,'Specialisations'!$B$6:$B$527,B39,'Specialisations'!$P$6:$P$527,"OK")</x:f>
        <x:v>4</x:v>
      </x:c>
      <x:c r="E39" s="431" t="n">
        <x:f>C39-D39</x:f>
        <x:v>1</x:v>
      </x:c>
      <x:c r="F39" s="432" t="n">
        <x:f>IF(C39=0,0,D39/C39)</x:f>
        <x:v>0.8</x:v>
      </x:c>
      <x:c r="G39" s="433" t="n">
        <x:f>SUMIFS('Specialisations'!$N$6:$N$527,'Specialisations'!$A$6:$A$527,A39,'Specialisations'!$B$6:$B$527,B39,'Specialisations'!$C$6:$C$527,"Guards")</x:f>
        <x:v>0</x:v>
      </x:c>
      <x:c r="H39" s="433" t="n">
        <x:f>SUMIFS('Specialisations'!$N$6:$N$527,'Specialisations'!$A$6:$A$527,A39,'Specialisations'!$B$6:$B$527,B39,'Specialisations'!$C$6:$C$527,"Archers")</x:f>
        <x:v>2244300</x:v>
      </x:c>
      <x:c r="I39" s="433" t="n">
        <x:f>SUMIFS('Specialisations'!$N$6:$N$527,'Specialisations'!$A$6:$A$527,A39,'Specialisations'!$B$6:$B$527,B39,'Specialisations'!$C$6:$C$527,"Cavalry")</x:f>
        <x:v>6968600</x:v>
      </x:c>
      <x:c r="J39" s="433" t="n">
        <x:f>SUMIFS('Specialisations'!$N$6:$N$527,'Specialisations'!$A$6:$A$527,A39,'Specialisations'!$B$6:$B$527,B39,'Specialisations'!$C$6:$C$527,"Siege")</x:f>
        <x:v>4284300</x:v>
      </x:c>
      <x:c r="K39" s="433" t="n">
        <x:f>SUM(G39:J39)</x:f>
        <x:v>13497200</x:v>
      </x:c>
      <x:c r="L39" s="434" t="n">
        <x:f>IFERROR(100*K39/MAX($K$19:$K$186),0)</x:f>
        <x:v>21.767641091639813</x:v>
      </x:c>
      <x:c r="M39" s="495" t="n">
        <x:f>IF(C39=0,"",SUMIFS('Specialisations'!$Q$6:$Q$527,'Specialisations'!$A$6:$A$527,A39,'Specialisations'!$B$6:$B$527,B39))</x:f>
        <x:v>145.63</x:v>
      </x:c>
      <x:c r="N39" s="431" t="n">
        <x:f>IF(K39=0,"",1+COUNTIFS($A$19:$A$186,A39,$K$19:$K$186,"&gt;"&amp;K39))</x:f>
        <x:v>11</x:v>
      </x:c>
      <x:c r="O39" s="431" t="n">
        <x:f>IF(K39=0,"",1+COUNTIF($K$19:$K$186,"&gt;"&amp;K39))</x:f>
        <x:v>74</x:v>
      </x:c>
      <x:c r="P39" s="430" t="str">
        <x:f>IF(C39=0,"No specialisations recorded",IF(E39&gt;0,"Review missing level","Complete"))</x:f>
        <x:v>Review missing level</x:v>
      </x:c>
      <x:c r="Q39" s="434" t="n">
        <x:f>IF(COUNTIFS('Damage Ranking'!$B$6:$B$172,A39,'Damage Ranking'!$C$6:$C$172,B39)=0,"",SUMIFS('Damage Ranking'!$D$6:$D$172,'Damage Ranking'!$B$6:$B$172,A39,'Damage Ranking'!$C$6:$C$172,B39))</x:f>
        <x:v>62.93001010227725</x:v>
      </x:c>
      <x:c r="R39" s="431" t="n">
        <x:f>IF(Q39="","",SUMIFS('Damage Ranking'!$A$6:$A$172,'Damage Ranking'!$B$6:$B$172,A39,'Damage Ranking'!$C$6:$C$172,B39))</x:f>
        <x:v>22</x:v>
      </x:c>
      <x:c r="S39" s="431" t="n">
        <x:f>IF(OR(R39="",O39=""),"",R39-O39)</x:f>
        <x:v>-52</x:v>
      </x:c>
      <x:c r="T39" s="430" t="str">
        <x:f>IF(S39="","No damage score",IF(S39&gt;=20,"Badges much stronger",IF(S39&lt;=-20,"Damage much stronger","Broadly aligned")))</x:f>
        <x:v>Damage much stronger</x:v>
      </x:c>
      <x:c r="U39" s="434" t="n">
        <x:f>IF(Q39="","",Q39*(1-$R$5)+L39*$R$5)</x:f>
        <x:v>62.93001010227725</x:v>
      </x:c>
      <x:c r="V39" s="431" t="n">
        <x:f>IF(U39="","",1+COUNTIF($U$19:$U$186,"&gt;"&amp;U39))</x:f>
        <x:v>22</x:v>
      </x:c>
    </x:row>
    <x:row r="40" ht="24" customHeight="1">
      <x:c r="A40" s="430" t="str">
        <x:v>K60</x:v>
      </x:c>
      <x:c r="B40" s="430" t="str">
        <x:v>雪Snowy</x:v>
      </x:c>
      <x:c r="C40" s="431" t="n">
        <x:f>COUNTIFS('Specialisations'!$A$6:$A$527,A40,'Specialisations'!$B$6:$B$527,B40)</x:f>
        <x:v>4</x:v>
      </x:c>
      <x:c r="D40" s="431" t="n">
        <x:f>COUNTIFS('Specialisations'!$A$6:$A$527,A40,'Specialisations'!$B$6:$B$527,B40,'Specialisations'!$P$6:$P$527,"OK")</x:f>
        <x:v>4</x:v>
      </x:c>
      <x:c r="E40" s="431" t="n">
        <x:f>C40-D40</x:f>
        <x:v>0</x:v>
      </x:c>
      <x:c r="F40" s="432" t="n">
        <x:f>IF(C40=0,0,D40/C40)</x:f>
        <x:v>1</x:v>
      </x:c>
      <x:c r="G40" s="433" t="n">
        <x:f>SUMIFS('Specialisations'!$N$6:$N$527,'Specialisations'!$A$6:$A$527,A40,'Specialisations'!$B$6:$B$527,B40,'Specialisations'!$C$6:$C$527,"Guards")</x:f>
        <x:v>2244300</x:v>
      </x:c>
      <x:c r="H40" s="433" t="n">
        <x:f>SUMIFS('Specialisations'!$N$6:$N$527,'Specialisations'!$A$6:$A$527,A40,'Specialisations'!$B$6:$B$527,B40,'Specialisations'!$C$6:$C$527,"Archers")</x:f>
        <x:v>2244300</x:v>
      </x:c>
      <x:c r="I40" s="433" t="n">
        <x:f>SUMIFS('Specialisations'!$N$6:$N$527,'Specialisations'!$A$6:$A$527,A40,'Specialisations'!$B$6:$B$527,B40,'Specialisations'!$C$6:$C$527,"Cavalry")</x:f>
        <x:v>15268600</x:v>
      </x:c>
      <x:c r="J40" s="433" t="n">
        <x:f>SUMIFS('Specialisations'!$N$6:$N$527,'Specialisations'!$A$6:$A$527,A40,'Specialisations'!$B$6:$B$527,B40,'Specialisations'!$C$6:$C$527,"Siege")</x:f>
        <x:v>0</x:v>
      </x:c>
      <x:c r="K40" s="433" t="n">
        <x:f>SUM(G40:J40)</x:f>
        <x:v>19757200</x:v>
      </x:c>
      <x:c r="L40" s="434" t="n">
        <x:f>IFERROR(100*K40/MAX($K$19:$K$186),0)</x:f>
        <x:v>31.863470836599156</x:v>
      </x:c>
      <x:c r="M40" s="495" t="n">
        <x:f>IF(C40=0,"",SUMIFS('Specialisations'!$Q$6:$Q$527,'Specialisations'!$A$6:$A$527,A40,'Specialisations'!$B$6:$B$527,B40))</x:f>
        <x:v>106.94</x:v>
      </x:c>
      <x:c r="N40" s="431" t="n">
        <x:f>IF(K40=0,"",1+COUNTIFS($A$19:$A$186,A40,$K$19:$K$186,"&gt;"&amp;K40))</x:f>
        <x:v>5</x:v>
      </x:c>
      <x:c r="O40" s="431" t="n">
        <x:f>IF(K40=0,"",1+COUNTIF($K$19:$K$186,"&gt;"&amp;K40))</x:f>
        <x:v>34</x:v>
      </x:c>
      <x:c r="P40" s="430" t="str">
        <x:f>IF(C40=0,"No specialisations recorded",IF(E40&gt;0,"Review missing level","Complete"))</x:f>
        <x:v>Complete</x:v>
      </x:c>
      <x:c r="Q40" s="434" t="n">
        <x:f>IF(COUNTIFS('Damage Ranking'!$B$6:$B$172,A40,'Damage Ranking'!$C$6:$C$172,B40)=0,"",SUMIFS('Damage Ranking'!$D$6:$D$172,'Damage Ranking'!$B$6:$B$172,A40,'Damage Ranking'!$C$6:$C$172,B40))</x:f>
        <x:v>41.193787077332004</x:v>
      </x:c>
      <x:c r="R40" s="431" t="n">
        <x:f>IF(Q40="","",SUMIFS('Damage Ranking'!$A$6:$A$172,'Damage Ranking'!$B$6:$B$172,A40,'Damage Ranking'!$C$6:$C$172,B40))</x:f>
        <x:v>63</x:v>
      </x:c>
      <x:c r="S40" s="431" t="n">
        <x:f>IF(OR(R40="",O40=""),"",R40-O40)</x:f>
        <x:v>29</x:v>
      </x:c>
      <x:c r="T40" s="430" t="str">
        <x:f>IF(S40="","No damage score",IF(S40&gt;=20,"Badges much stronger",IF(S40&lt;=-20,"Damage much stronger","Broadly aligned")))</x:f>
        <x:v>Badges much stronger</x:v>
      </x:c>
      <x:c r="U40" s="434" t="n">
        <x:f>IF(Q40="","",Q40*(1-$R$5)+L40*$R$5)</x:f>
        <x:v>41.193787077332004</x:v>
      </x:c>
      <x:c r="V40" s="431" t="n">
        <x:f>IF(U40="","",1+COUNTIF($U$19:$U$186,"&gt;"&amp;U40))</x:f>
        <x:v>63</x:v>
      </x:c>
    </x:row>
    <x:row r="41" ht="24" customHeight="1">
      <x:c r="A41" s="430" t="str">
        <x:v>K60</x:v>
      </x:c>
      <x:c r="B41" s="430" t="str">
        <x:v>Lare</x:v>
      </x:c>
      <x:c r="C41" s="431" t="n">
        <x:f>COUNTIFS('Specialisations'!$A$6:$A$527,A41,'Specialisations'!$B$6:$B$527,B41)</x:f>
        <x:v>4</x:v>
      </x:c>
      <x:c r="D41" s="431" t="n">
        <x:f>COUNTIFS('Specialisations'!$A$6:$A$527,A41,'Specialisations'!$B$6:$B$527,B41,'Specialisations'!$P$6:$P$527,"OK")</x:f>
        <x:v>4</x:v>
      </x:c>
      <x:c r="E41" s="431" t="n">
        <x:f>C41-D41</x:f>
        <x:v>0</x:v>
      </x:c>
      <x:c r="F41" s="432" t="n">
        <x:f>IF(C41=0,0,D41/C41)</x:f>
        <x:v>1</x:v>
      </x:c>
      <x:c r="G41" s="433" t="n">
        <x:f>SUMIFS('Specialisations'!$N$6:$N$527,'Specialisations'!$A$6:$A$527,A41,'Specialisations'!$B$6:$B$527,B41,'Specialisations'!$C$6:$C$527,"Guards")</x:f>
        <x:v>2244300</x:v>
      </x:c>
      <x:c r="H41" s="433" t="n">
        <x:f>SUMIFS('Specialisations'!$N$6:$N$527,'Specialisations'!$A$6:$A$527,A41,'Specialisations'!$B$6:$B$527,B41,'Specialisations'!$C$6:$C$527,"Archers")</x:f>
        <x:v>2524300</x:v>
      </x:c>
      <x:c r="I41" s="433" t="n">
        <x:f>SUMIFS('Specialisations'!$N$6:$N$527,'Specialisations'!$A$6:$A$527,A41,'Specialisations'!$B$6:$B$527,B41,'Specialisations'!$C$6:$C$527,"Cavalry")</x:f>
        <x:v>6968600</x:v>
      </x:c>
      <x:c r="J41" s="433" t="n">
        <x:f>SUMIFS('Specialisations'!$N$6:$N$527,'Specialisations'!$A$6:$A$527,A41,'Specialisations'!$B$6:$B$527,B41,'Specialisations'!$C$6:$C$527,"Siege")</x:f>
        <x:v>0</x:v>
      </x:c>
      <x:c r="K41" s="433" t="n">
        <x:f>SUM(G41:J41)</x:f>
        <x:v>11737200</x:v>
      </x:c>
      <x:c r="L41" s="434" t="n">
        <x:f>IFERROR(100*K41/MAX($K$19:$K$186),0)</x:f>
        <x:v>18.92919694609214</x:v>
      </x:c>
      <x:c r="M41" s="495" t="n">
        <x:f>IF(C41=0,"",SUMIFS('Specialisations'!$Q$6:$Q$527,'Specialisations'!$A$6:$A$527,A41,'Specialisations'!$B$6:$B$527,B41))</x:f>
        <x:v>78.55</x:v>
      </x:c>
      <x:c r="N41" s="431" t="n">
        <x:f>IF(K41=0,"",1+COUNTIFS($A$19:$A$186,A41,$K$19:$K$186,"&gt;"&amp;K41))</x:f>
        <x:v>20</x:v>
      </x:c>
      <x:c r="O41" s="431" t="n">
        <x:f>IF(K41=0,"",1+COUNTIF($K$19:$K$186,"&gt;"&amp;K41))</x:f>
        <x:v>101</x:v>
      </x:c>
      <x:c r="P41" s="430" t="str">
        <x:f>IF(C41=0,"No specialisations recorded",IF(E41&gt;0,"Review missing level","Complete"))</x:f>
        <x:v>Complete</x:v>
      </x:c>
      <x:c r="Q41" s="434" t="n">
        <x:f>IF(COUNTIFS('Damage Ranking'!$B$6:$B$172,A41,'Damage Ranking'!$C$6:$C$172,B41)=0,"",SUMIFS('Damage Ranking'!$D$6:$D$172,'Damage Ranking'!$B$6:$B$172,A41,'Damage Ranking'!$C$6:$C$172,B41))</x:f>
        <x:v>20.733822875720655</x:v>
      </x:c>
      <x:c r="R41" s="431" t="n">
        <x:f>IF(Q41="","",SUMIFS('Damage Ranking'!$A$6:$A$172,'Damage Ranking'!$B$6:$B$172,A41,'Damage Ranking'!$C$6:$C$172,B41))</x:f>
        <x:v>121</x:v>
      </x:c>
      <x:c r="S41" s="431" t="n">
        <x:f>IF(OR(R41="",O41=""),"",R41-O41)</x:f>
        <x:v>20</x:v>
      </x:c>
      <x:c r="T41" s="430" t="str">
        <x:f>IF(S41="","No damage score",IF(S41&gt;=20,"Badges much stronger",IF(S41&lt;=-20,"Damage much stronger","Broadly aligned")))</x:f>
        <x:v>Badges much stronger</x:v>
      </x:c>
      <x:c r="U41" s="434" t="n">
        <x:f>IF(Q41="","",Q41*(1-$R$5)+L41*$R$5)</x:f>
        <x:v>20.733822875720655</x:v>
      </x:c>
      <x:c r="V41" s="431" t="n">
        <x:f>IF(U41="","",1+COUNTIF($U$19:$U$186,"&gt;"&amp;U41))</x:f>
        <x:v>121</x:v>
      </x:c>
    </x:row>
    <x:row r="42" ht="24" customHeight="1">
      <x:c r="A42" s="430" t="str">
        <x:v>K60</x:v>
      </x:c>
      <x:c r="B42" s="430" t="str">
        <x:v>Legendⁱᵃᵐ</x:v>
      </x:c>
      <x:c r="C42" s="431" t="n">
        <x:f>COUNTIFS('Specialisations'!$A$6:$A$527,A42,'Specialisations'!$B$6:$B$527,B42)</x:f>
        <x:v>4</x:v>
      </x:c>
      <x:c r="D42" s="431" t="n">
        <x:f>COUNTIFS('Specialisations'!$A$6:$A$527,A42,'Specialisations'!$B$6:$B$527,B42,'Specialisations'!$P$6:$P$527,"OK")</x:f>
        <x:v>4</x:v>
      </x:c>
      <x:c r="E42" s="431" t="n">
        <x:f>C42-D42</x:f>
        <x:v>0</x:v>
      </x:c>
      <x:c r="F42" s="432" t="n">
        <x:f>IF(C42=0,0,D42/C42)</x:f>
        <x:v>1</x:v>
      </x:c>
      <x:c r="G42" s="433" t="n">
        <x:f>SUMIFS('Specialisations'!$N$6:$N$527,'Specialisations'!$A$6:$A$527,A42,'Specialisations'!$B$6:$B$527,B42,'Specialisations'!$C$6:$C$527,"Guards")</x:f>
        <x:v>2244300</x:v>
      </x:c>
      <x:c r="H42" s="433" t="n">
        <x:f>SUMIFS('Specialisations'!$N$6:$N$527,'Specialisations'!$A$6:$A$527,A42,'Specialisations'!$B$6:$B$527,B42,'Specialisations'!$C$6:$C$527,"Archers")</x:f>
        <x:v>2244300</x:v>
      </x:c>
      <x:c r="I42" s="433" t="n">
        <x:f>SUMIFS('Specialisations'!$N$6:$N$527,'Specialisations'!$A$6:$A$527,A42,'Specialisations'!$B$6:$B$527,B42,'Specialisations'!$C$6:$C$527,"Cavalry")</x:f>
        <x:v>6488600</x:v>
      </x:c>
      <x:c r="J42" s="433" t="n">
        <x:f>SUMIFS('Specialisations'!$N$6:$N$527,'Specialisations'!$A$6:$A$527,A42,'Specialisations'!$B$6:$B$527,B42,'Specialisations'!$C$6:$C$527,"Siege")</x:f>
        <x:v>0</x:v>
      </x:c>
      <x:c r="K42" s="433" t="n">
        <x:f>SUM(G42:J42)</x:f>
        <x:v>10977200</x:v>
      </x:c>
      <x:c r="L42" s="434" t="n">
        <x:f>IFERROR(100*K42/MAX($K$19:$K$186),0)</x:f>
        <x:v>17.70350515596928</x:v>
      </x:c>
      <x:c r="M42" s="495" t="n">
        <x:f>IF(C42=0,"",SUMIFS('Specialisations'!$Q$6:$Q$527,'Specialisations'!$A$6:$A$527,A42,'Specialisations'!$B$6:$B$527,B42))</x:f>
        <x:v>71.96</x:v>
      </x:c>
      <x:c r="N42" s="431" t="n">
        <x:f>IF(K42=0,"",1+COUNTIFS($A$19:$A$186,A42,$K$19:$K$186,"&gt;"&amp;K42))</x:f>
        <x:v>22</x:v>
      </x:c>
      <x:c r="O42" s="431" t="n">
        <x:f>IF(K42=0,"",1+COUNTIF($K$19:$K$186,"&gt;"&amp;K42))</x:f>
        <x:v>107</x:v>
      </x:c>
      <x:c r="P42" s="430" t="str">
        <x:f>IF(C42=0,"No specialisations recorded",IF(E42&gt;0,"Review missing level","Complete"))</x:f>
        <x:v>Complete</x:v>
      </x:c>
      <x:c r="Q42" s="434" t="n">
        <x:f>IF(COUNTIFS('Damage Ranking'!$B$6:$B$172,A42,'Damage Ranking'!$C$6:$C$172,B42)=0,"",SUMIFS('Damage Ranking'!$D$6:$D$172,'Damage Ranking'!$B$6:$B$172,A42,'Damage Ranking'!$C$6:$C$172,B42))</x:f>
        <x:v>37.40392974134681</x:v>
      </x:c>
      <x:c r="R42" s="431" t="n">
        <x:f>IF(Q42="","",SUMIFS('Damage Ranking'!$A$6:$A$172,'Damage Ranking'!$B$6:$B$172,A42,'Damage Ranking'!$C$6:$C$172,B42))</x:f>
        <x:v>75</x:v>
      </x:c>
      <x:c r="S42" s="431" t="n">
        <x:f>IF(OR(R42="",O42=""),"",R42-O42)</x:f>
        <x:v>-32</x:v>
      </x:c>
      <x:c r="T42" s="430" t="str">
        <x:f>IF(S42="","No damage score",IF(S42&gt;=20,"Badges much stronger",IF(S42&lt;=-20,"Damage much stronger","Broadly aligned")))</x:f>
        <x:v>Damage much stronger</x:v>
      </x:c>
      <x:c r="U42" s="434" t="n">
        <x:f>IF(Q42="","",Q42*(1-$R$5)+L42*$R$5)</x:f>
        <x:v>37.40392974134681</x:v>
      </x:c>
      <x:c r="V42" s="431" t="n">
        <x:f>IF(U42="","",1+COUNTIF($U$19:$U$186,"&gt;"&amp;U42))</x:f>
        <x:v>75</x:v>
      </x:c>
    </x:row>
    <x:row r="43" ht="24" customHeight="1">
      <x:c r="A43" s="430" t="str">
        <x:v>K60</x:v>
      </x:c>
      <x:c r="B43" s="430" t="str">
        <x:v>°Silent°</x:v>
      </x:c>
      <x:c r="C43" s="431" t="n">
        <x:f>COUNTIFS('Specialisations'!$A$6:$A$527,A43,'Specialisations'!$B$6:$B$527,B43)</x:f>
        <x:v>5</x:v>
      </x:c>
      <x:c r="D43" s="431" t="n">
        <x:f>COUNTIFS('Specialisations'!$A$6:$A$527,A43,'Specialisations'!$B$6:$B$527,B43,'Specialisations'!$P$6:$P$527,"OK")</x:f>
        <x:v>5</x:v>
      </x:c>
      <x:c r="E43" s="431" t="n">
        <x:f>C43-D43</x:f>
        <x:v>0</x:v>
      </x:c>
      <x:c r="F43" s="432" t="n">
        <x:f>IF(C43=0,0,D43/C43)</x:f>
        <x:v>1</x:v>
      </x:c>
      <x:c r="G43" s="433" t="n">
        <x:f>SUMIFS('Specialisations'!$N$6:$N$527,'Specialisations'!$A$6:$A$527,A43,'Specialisations'!$B$6:$B$527,B43,'Specialisations'!$C$6:$C$527,"Guards")</x:f>
        <x:v>0</x:v>
      </x:c>
      <x:c r="H43" s="433" t="n">
        <x:f>SUMIFS('Specialisations'!$N$6:$N$527,'Specialisations'!$A$6:$A$527,A43,'Specialisations'!$B$6:$B$527,B43,'Specialisations'!$C$6:$C$527,"Archers")</x:f>
        <x:v>2244300</x:v>
      </x:c>
      <x:c r="I43" s="433" t="n">
        <x:f>SUMIFS('Specialisations'!$N$6:$N$527,'Specialisations'!$A$6:$A$527,A43,'Specialisations'!$B$6:$B$527,B43,'Specialisations'!$C$6:$C$527,"Cavalry")</x:f>
        <x:v>8568600</x:v>
      </x:c>
      <x:c r="J43" s="433" t="n">
        <x:f>SUMIFS('Specialisations'!$N$6:$N$527,'Specialisations'!$A$6:$A$527,A43,'Specialisations'!$B$6:$B$527,B43,'Specialisations'!$C$6:$C$527,"Siege")</x:f>
        <x:v>12578600</x:v>
      </x:c>
      <x:c r="K43" s="433" t="n">
        <x:f>SUM(G43:J43)</x:f>
        <x:v>23391500</x:v>
      </x:c>
      <x:c r="L43" s="434" t="n">
        <x:f>IFERROR(100*K43/MAX($K$19:$K$186),0)</x:f>
        <x:v>37.724696721919564</x:v>
      </x:c>
      <x:c r="M43" s="495" t="n">
        <x:f>IF(C43=0,"",SUMIFS('Specialisations'!$Q$6:$Q$527,'Specialisations'!$A$6:$A$527,A43,'Specialisations'!$B$6:$B$527,B43))</x:f>
        <x:v>199.44</x:v>
      </x:c>
      <x:c r="N43" s="431" t="n">
        <x:f>IF(K43=0,"",1+COUNTIFS($A$19:$A$186,A43,$K$19:$K$186,"&gt;"&amp;K43))</x:f>
        <x:v>3</x:v>
      </x:c>
      <x:c r="O43" s="431" t="n">
        <x:f>IF(K43=0,"",1+COUNTIF($K$19:$K$186,"&gt;"&amp;K43))</x:f>
        <x:v>19</x:v>
      </x:c>
      <x:c r="P43" s="430" t="str">
        <x:f>IF(C43=0,"No specialisations recorded",IF(E43&gt;0,"Review missing level","Complete"))</x:f>
        <x:v>Complete</x:v>
      </x:c>
      <x:c r="Q43" s="434" t="n">
        <x:f>IF(COUNTIFS('Damage Ranking'!$B$6:$B$172,A43,'Damage Ranking'!$C$6:$C$172,B43)=0,"",SUMIFS('Damage Ranking'!$D$6:$D$172,'Damage Ranking'!$B$6:$B$172,A43,'Damage Ranking'!$C$6:$C$172,B43))</x:f>
        <x:v>79.71646497569995</x:v>
      </x:c>
      <x:c r="R43" s="431" t="n">
        <x:f>IF(Q43="","",SUMIFS('Damage Ranking'!$A$6:$A$172,'Damage Ranking'!$B$6:$B$172,A43,'Damage Ranking'!$C$6:$C$172,B43))</x:f>
        <x:v>10</x:v>
      </x:c>
      <x:c r="S43" s="431" t="n">
        <x:f>IF(OR(R43="",O43=""),"",R43-O43)</x:f>
        <x:v>-9</x:v>
      </x:c>
      <x:c r="T43" s="430" t="str">
        <x:f>IF(S43="","No damage score",IF(S43&gt;=20,"Badges much stronger",IF(S43&lt;=-20,"Damage much stronger","Broadly aligned")))</x:f>
        <x:v>Broadly aligned</x:v>
      </x:c>
      <x:c r="U43" s="434" t="n">
        <x:f>IF(Q43="","",Q43*(1-$R$5)+L43*$R$5)</x:f>
        <x:v>79.71646497569995</x:v>
      </x:c>
      <x:c r="V43" s="431" t="n">
        <x:f>IF(U43="","",1+COUNTIF($U$19:$U$186,"&gt;"&amp;U43))</x:f>
        <x:v>10</x:v>
      </x:c>
    </x:row>
    <x:row r="44" ht="24" customHeight="1">
      <x:c r="A44" s="430" t="str">
        <x:v>K91</x:v>
      </x:c>
      <x:c r="B44" s="430" t="str">
        <x:v>•Pain•</x:v>
      </x:c>
      <x:c r="C44" s="431" t="n">
        <x:f>COUNTIFS('Specialisations'!$A$6:$A$527,A44,'Specialisations'!$B$6:$B$527,B44)</x:f>
        <x:v>5</x:v>
      </x:c>
      <x:c r="D44" s="431" t="n">
        <x:f>COUNTIFS('Specialisations'!$A$6:$A$527,A44,'Specialisations'!$B$6:$B$527,B44,'Specialisations'!$P$6:$P$527,"OK")</x:f>
        <x:v>5</x:v>
      </x:c>
      <x:c r="E44" s="431" t="n">
        <x:f>C44-D44</x:f>
        <x:v>0</x:v>
      </x:c>
      <x:c r="F44" s="432" t="n">
        <x:f>IF(C44=0,0,D44/C44)</x:f>
        <x:v>1</x:v>
      </x:c>
      <x:c r="G44" s="433" t="n">
        <x:f>SUMIFS('Specialisations'!$N$6:$N$527,'Specialisations'!$A$6:$A$527,A44,'Specialisations'!$B$6:$B$527,B44,'Specialisations'!$C$6:$C$527,"Guards")</x:f>
        <x:v>0</x:v>
      </x:c>
      <x:c r="H44" s="433" t="n">
        <x:f>SUMIFS('Specialisations'!$N$6:$N$527,'Specialisations'!$A$6:$A$527,A44,'Specialisations'!$B$6:$B$527,B44,'Specialisations'!$C$6:$C$527,"Archers")</x:f>
        <x:v>4284300</x:v>
      </x:c>
      <x:c r="I44" s="433" t="n">
        <x:f>SUMIFS('Specialisations'!$N$6:$N$527,'Specialisations'!$A$6:$A$527,A44,'Specialisations'!$B$6:$B$527,B44,'Specialisations'!$C$6:$C$527,"Cavalry")</x:f>
        <x:v>16218600</x:v>
      </x:c>
      <x:c r="J44" s="433" t="n">
        <x:f>SUMIFS('Specialisations'!$N$6:$N$527,'Specialisations'!$A$6:$A$527,A44,'Specialisations'!$B$6:$B$527,B44,'Specialisations'!$C$6:$C$527,"Siege")</x:f>
        <x:v>4018600</x:v>
      </x:c>
      <x:c r="K44" s="433" t="n">
        <x:f>SUM(G44:J44)</x:f>
        <x:v>24521500</x:v>
      </x:c>
      <x:c r="L44" s="434" t="n">
        <x:f>IFERROR(100*K44/MAX($K$19:$K$186),0)</x:f>
        <x:v>39.5471068835496</x:v>
      </x:c>
      <x:c r="M44" s="495" t="n">
        <x:f>IF(C44=0,"",SUMIFS('Specialisations'!$Q$6:$Q$527,'Specialisations'!$A$6:$A$527,A44,'Specialisations'!$B$6:$B$527,B44))</x:f>
        <x:v>197.15999999999997</x:v>
      </x:c>
      <x:c r="N44" s="431" t="n">
        <x:f>IF(K44=0,"",1+COUNTIFS($A$19:$A$186,A44,$K$19:$K$186,"&gt;"&amp;K44))</x:f>
        <x:v>1</x:v>
      </x:c>
      <x:c r="O44" s="431" t="n">
        <x:f>IF(K44=0,"",1+COUNTIF($K$19:$K$186,"&gt;"&amp;K44))</x:f>
        <x:v>16</x:v>
      </x:c>
      <x:c r="P44" s="430" t="str">
        <x:f>IF(C44=0,"No specialisations recorded",IF(E44&gt;0,"Review missing level","Complete"))</x:f>
        <x:v>Complete</x:v>
      </x:c>
      <x:c r="Q44" s="434" t="n">
        <x:f>IF(COUNTIFS('Damage Ranking'!$B$6:$B$172,A44,'Damage Ranking'!$C$6:$C$172,B44)=0,"",SUMIFS('Damage Ranking'!$D$6:$D$172,'Damage Ranking'!$B$6:$B$172,A44,'Damage Ranking'!$C$6:$C$172,B44))</x:f>
        <x:v>88.02618236163738</x:v>
      </x:c>
      <x:c r="R44" s="431" t="n">
        <x:f>IF(Q44="","",SUMIFS('Damage Ranking'!$A$6:$A$172,'Damage Ranking'!$B$6:$B$172,A44,'Damage Ranking'!$C$6:$C$172,B44))</x:f>
        <x:v>4</x:v>
      </x:c>
      <x:c r="S44" s="431" t="n">
        <x:f>IF(OR(R44="",O44=""),"",R44-O44)</x:f>
        <x:v>-12</x:v>
      </x:c>
      <x:c r="T44" s="430" t="str">
        <x:f>IF(S44="","No damage score",IF(S44&gt;=20,"Badges much stronger",IF(S44&lt;=-20,"Damage much stronger","Broadly aligned")))</x:f>
        <x:v>Broadly aligned</x:v>
      </x:c>
      <x:c r="U44" s="434" t="n">
        <x:f>IF(Q44="","",Q44*(1-$R$5)+L44*$R$5)</x:f>
        <x:v>88.02618236163738</x:v>
      </x:c>
      <x:c r="V44" s="431" t="n">
        <x:f>IF(U44="","",1+COUNTIF($U$19:$U$186,"&gt;"&amp;U44))</x:f>
        <x:v>4</x:v>
      </x:c>
    </x:row>
    <x:row r="45" ht="24" customHeight="1">
      <x:c r="A45" s="430" t="str">
        <x:v>K91</x:v>
      </x:c>
      <x:c r="B45" s="430" t="str">
        <x:v>Trinità</x:v>
      </x:c>
      <x:c r="C45" s="431" t="n">
        <x:f>COUNTIFS('Specialisations'!$A$6:$A$527,A45,'Specialisations'!$B$6:$B$527,B45)</x:f>
        <x:v>3</x:v>
      </x:c>
      <x:c r="D45" s="431" t="n">
        <x:f>COUNTIFS('Specialisations'!$A$6:$A$527,A45,'Specialisations'!$B$6:$B$527,B45,'Specialisations'!$P$6:$P$527,"OK")</x:f>
        <x:v>3</x:v>
      </x:c>
      <x:c r="E45" s="431" t="n">
        <x:f>C45-D45</x:f>
        <x:v>0</x:v>
      </x:c>
      <x:c r="F45" s="432" t="n">
        <x:f>IF(C45=0,0,D45/C45)</x:f>
        <x:v>1</x:v>
      </x:c>
      <x:c r="G45" s="433" t="n">
        <x:f>SUMIFS('Specialisations'!$N$6:$N$527,'Specialisations'!$A$6:$A$527,A45,'Specialisations'!$B$6:$B$527,B45,'Specialisations'!$C$6:$C$527,"Guards")</x:f>
        <x:v>964300</x:v>
      </x:c>
      <x:c r="H45" s="433" t="n">
        <x:f>SUMIFS('Specialisations'!$N$6:$N$527,'Specialisations'!$A$6:$A$527,A45,'Specialisations'!$B$6:$B$527,B45,'Specialisations'!$C$6:$C$527,"Archers")</x:f>
        <x:v>0</x:v>
      </x:c>
      <x:c r="I45" s="433" t="n">
        <x:f>SUMIFS('Specialisations'!$N$6:$N$527,'Specialisations'!$A$6:$A$527,A45,'Specialisations'!$B$6:$B$527,B45,'Specialisations'!$C$6:$C$527,"Cavalry")</x:f>
        <x:v>5728600</x:v>
      </x:c>
      <x:c r="J45" s="433" t="n">
        <x:f>SUMIFS('Specialisations'!$N$6:$N$527,'Specialisations'!$A$6:$A$527,A45,'Specialisations'!$B$6:$B$527,B45,'Specialisations'!$C$6:$C$527,"Siege")</x:f>
        <x:v>0</x:v>
      </x:c>
      <x:c r="K45" s="433" t="n">
        <x:f>SUM(G45:J45)</x:f>
        <x:v>6692900</x:v>
      </x:c>
      <x:c r="L45" s="434" t="n">
        <x:f>IFERROR(100*K45/MAX($K$19:$K$186),0)</x:f>
        <x:v>10.793990239622746</x:v>
      </x:c>
      <x:c r="M45" s="495" t="n">
        <x:f>IF(C45=0,"",SUMIFS('Specialisations'!$Q$6:$Q$527,'Specialisations'!$A$6:$A$527,A45,'Specialisations'!$B$6:$B$527,B45))</x:f>
        <x:v>50.519999999999996</x:v>
      </x:c>
      <x:c r="N45" s="431" t="n">
        <x:f>IF(K45=0,"",1+COUNTIFS($A$19:$A$186,A45,$K$19:$K$186,"&gt;"&amp;K45))</x:f>
        <x:v>18</x:v>
      </x:c>
      <x:c r="O45" s="431" t="n">
        <x:f>IF(K45=0,"",1+COUNTIF($K$19:$K$186,"&gt;"&amp;K45))</x:f>
        <x:v>142</x:v>
      </x:c>
      <x:c r="P45" s="430" t="str">
        <x:f>IF(C45=0,"No specialisations recorded",IF(E45&gt;0,"Review missing level","Complete"))</x:f>
        <x:v>Complete</x:v>
      </x:c>
      <x:c r="Q45" s="434" t="n">
        <x:f>IF(COUNTIFS('Damage Ranking'!$B$6:$B$172,A45,'Damage Ranking'!$C$6:$C$172,B45)=0,"",SUMIFS('Damage Ranking'!$D$6:$D$172,'Damage Ranking'!$B$6:$B$172,A45,'Damage Ranking'!$C$6:$C$172,B45))</x:f>
        <x:v>18.287551045385143</x:v>
      </x:c>
      <x:c r="R45" s="431" t="n">
        <x:f>IF(Q45="","",SUMIFS('Damage Ranking'!$A$6:$A$172,'Damage Ranking'!$B$6:$B$172,A45,'Damage Ranking'!$C$6:$C$172,B45))</x:f>
        <x:v>130</x:v>
      </x:c>
      <x:c r="S45" s="431" t="n">
        <x:f>IF(OR(R45="",O45=""),"",R45-O45)</x:f>
        <x:v>-12</x:v>
      </x:c>
      <x:c r="T45" s="430" t="str">
        <x:f>IF(S45="","No damage score",IF(S45&gt;=20,"Badges much stronger",IF(S45&lt;=-20,"Damage much stronger","Broadly aligned")))</x:f>
        <x:v>Broadly aligned</x:v>
      </x:c>
      <x:c r="U45" s="434" t="n">
        <x:f>IF(Q45="","",Q45*(1-$R$5)+L45*$R$5)</x:f>
        <x:v>18.287551045385143</x:v>
      </x:c>
      <x:c r="V45" s="431" t="n">
        <x:f>IF(U45="","",1+COUNTIF($U$19:$U$186,"&gt;"&amp;U45))</x:f>
        <x:v>130</x:v>
      </x:c>
    </x:row>
    <x:row r="46" ht="24" customHeight="1">
      <x:c r="A46" s="430" t="str">
        <x:v>K91</x:v>
      </x:c>
      <x:c r="B46" s="430" t="str">
        <x:v>λTλ⁵⁷βЄЧ</x:v>
      </x:c>
      <x:c r="C46" s="431" t="n">
        <x:f>COUNTIFS('Specialisations'!$A$6:$A$527,A46,'Specialisations'!$B$6:$B$527,B46)</x:f>
        <x:v>3</x:v>
      </x:c>
      <x:c r="D46" s="431" t="n">
        <x:f>COUNTIFS('Specialisations'!$A$6:$A$527,A46,'Specialisations'!$B$6:$B$527,B46,'Specialisations'!$P$6:$P$527,"OK")</x:f>
        <x:v>3</x:v>
      </x:c>
      <x:c r="E46" s="431" t="n">
        <x:f>C46-D46</x:f>
        <x:v>0</x:v>
      </x:c>
      <x:c r="F46" s="432" t="n">
        <x:f>IF(C46=0,0,D46/C46)</x:f>
        <x:v>1</x:v>
      </x:c>
      <x:c r="G46" s="433" t="n">
        <x:f>SUMIFS('Specialisations'!$N$6:$N$527,'Specialisations'!$A$6:$A$527,A46,'Specialisations'!$B$6:$B$527,B46,'Specialisations'!$C$6:$C$527,"Guards")</x:f>
        <x:v>2244300</x:v>
      </x:c>
      <x:c r="H46" s="433" t="n">
        <x:f>SUMIFS('Specialisations'!$N$6:$N$527,'Specialisations'!$A$6:$A$527,A46,'Specialisations'!$B$6:$B$527,B46,'Specialisations'!$C$6:$C$527,"Archers")</x:f>
        <x:v>13578600</x:v>
      </x:c>
      <x:c r="I46" s="433" t="n">
        <x:f>SUMIFS('Specialisations'!$N$6:$N$527,'Specialisations'!$A$6:$A$527,A46,'Specialisations'!$B$6:$B$527,B46,'Specialisations'!$C$6:$C$527,"Cavalry")</x:f>
        <x:v>0</x:v>
      </x:c>
      <x:c r="J46" s="433" t="n">
        <x:f>SUMIFS('Specialisations'!$N$6:$N$527,'Specialisations'!$A$6:$A$527,A46,'Specialisations'!$B$6:$B$527,B46,'Specialisations'!$C$6:$C$527,"Siege")</x:f>
        <x:v>0</x:v>
      </x:c>
      <x:c r="K46" s="433" t="n">
        <x:f>SUM(G46:J46)</x:f>
        <x:v>15822900</x:v>
      </x:c>
      <x:c r="L46" s="434" t="n">
        <x:f>IFERROR(100*K46/MAX($K$19:$K$186),0)</x:f>
        <x:v>25.518419244651305</x:v>
      </x:c>
      <x:c r="M46" s="495" t="n">
        <x:f>IF(C46=0,"",SUMIFS('Specialisations'!$Q$6:$Q$527,'Specialisations'!$A$6:$A$527,A46,'Specialisations'!$B$6:$B$527,B46))</x:f>
        <x:v>68.24000000000001</x:v>
      </x:c>
      <x:c r="N46" s="431" t="n">
        <x:f>IF(K46=0,"",1+COUNTIFS($A$19:$A$186,A46,$K$19:$K$186,"&gt;"&amp;K46))</x:f>
        <x:v>6</x:v>
      </x:c>
      <x:c r="O46" s="431" t="n">
        <x:f>IF(K46=0,"",1+COUNTIF($K$19:$K$186,"&gt;"&amp;K46))</x:f>
        <x:v>54</x:v>
      </x:c>
      <x:c r="P46" s="430" t="str">
        <x:f>IF(C46=0,"No specialisations recorded",IF(E46&gt;0,"Review missing level","Complete"))</x:f>
        <x:v>Complete</x:v>
      </x:c>
      <x:c r="Q46" s="434" t="n">
        <x:f>IF(COUNTIFS('Damage Ranking'!$B$6:$B$172,A46,'Damage Ranking'!$C$6:$C$172,B46)=0,"",SUMIFS('Damage Ranking'!$D$6:$D$172,'Damage Ranking'!$B$6:$B$172,A46,'Damage Ranking'!$C$6:$C$172,B46))</x:f>
        <x:v>44.01865903303578</x:v>
      </x:c>
      <x:c r="R46" s="431" t="n">
        <x:f>IF(Q46="","",SUMIFS('Damage Ranking'!$A$6:$A$172,'Damage Ranking'!$B$6:$B$172,A46,'Damage Ranking'!$C$6:$C$172,B46))</x:f>
        <x:v>53</x:v>
      </x:c>
      <x:c r="S46" s="431" t="n">
        <x:f>IF(OR(R46="",O46=""),"",R46-O46)</x:f>
        <x:v>-1</x:v>
      </x:c>
      <x:c r="T46" s="430" t="str">
        <x:f>IF(S46="","No damage score",IF(S46&gt;=20,"Badges much stronger",IF(S46&lt;=-20,"Damage much stronger","Broadly aligned")))</x:f>
        <x:v>Broadly aligned</x:v>
      </x:c>
      <x:c r="U46" s="434" t="n">
        <x:f>IF(Q46="","",Q46*(1-$R$5)+L46*$R$5)</x:f>
        <x:v>44.01865903303578</x:v>
      </x:c>
      <x:c r="V46" s="431" t="n">
        <x:f>IF(U46="","",1+COUNTIF($U$19:$U$186,"&gt;"&amp;U46))</x:f>
        <x:v>53</x:v>
      </x:c>
    </x:row>
    <x:row r="47" ht="24" customHeight="1">
      <x:c r="A47" s="430" t="str">
        <x:v>K91</x:v>
      </x:c>
      <x:c r="B47" s="430" t="str">
        <x:v>Antoni</x:v>
      </x:c>
      <x:c r="C47" s="431" t="n">
        <x:f>COUNTIFS('Specialisations'!$A$6:$A$527,A47,'Specialisations'!$B$6:$B$527,B47)</x:f>
        <x:v>3</x:v>
      </x:c>
      <x:c r="D47" s="431" t="n">
        <x:f>COUNTIFS('Specialisations'!$A$6:$A$527,A47,'Specialisations'!$B$6:$B$527,B47,'Specialisations'!$P$6:$P$527,"OK")</x:f>
        <x:v>3</x:v>
      </x:c>
      <x:c r="E47" s="431" t="n">
        <x:f>C47-D47</x:f>
        <x:v>0</x:v>
      </x:c>
      <x:c r="F47" s="432" t="n">
        <x:f>IF(C47=0,0,D47/C47)</x:f>
        <x:v>1</x:v>
      </x:c>
      <x:c r="G47" s="433" t="n">
        <x:f>SUMIFS('Specialisations'!$N$6:$N$527,'Specialisations'!$A$6:$A$527,A47,'Specialisations'!$B$6:$B$527,B47,'Specialisations'!$C$6:$C$527,"Guards")</x:f>
        <x:v>369300</x:v>
      </x:c>
      <x:c r="H47" s="433" t="n">
        <x:f>SUMIFS('Specialisations'!$N$6:$N$527,'Specialisations'!$A$6:$A$527,A47,'Specialisations'!$B$6:$B$527,B47,'Specialisations'!$C$6:$C$527,"Archers")</x:f>
        <x:v>9778600</x:v>
      </x:c>
      <x:c r="I47" s="433" t="n">
        <x:f>SUMIFS('Specialisations'!$N$6:$N$527,'Specialisations'!$A$6:$A$527,A47,'Specialisations'!$B$6:$B$527,B47,'Specialisations'!$C$6:$C$527,"Cavalry")</x:f>
        <x:v>0</x:v>
      </x:c>
      <x:c r="J47" s="433" t="n">
        <x:f>SUMIFS('Specialisations'!$N$6:$N$527,'Specialisations'!$A$6:$A$527,A47,'Specialisations'!$B$6:$B$527,B47,'Specialisations'!$C$6:$C$527,"Siege")</x:f>
        <x:v>0</x:v>
      </x:c>
      <x:c r="K47" s="433" t="n">
        <x:f>SUM(G47:J47)</x:f>
        <x:v>10147900</x:v>
      </x:c>
      <x:c r="L47" s="434" t="n">
        <x:f>IFERROR(100*K47/MAX($K$19:$K$186),0)</x:f>
        <x:v>16.36604962761548</x:v>
      </x:c>
      <x:c r="M47" s="495" t="n">
        <x:f>IF(C47=0,"",SUMIFS('Specialisations'!$Q$6:$Q$527,'Specialisations'!$A$6:$A$527,A47,'Specialisations'!$B$6:$B$527,B47))</x:f>
        <x:v>79.43</x:v>
      </x:c>
      <x:c r="N47" s="431" t="n">
        <x:f>IF(K47=0,"",1+COUNTIFS($A$19:$A$186,A47,$K$19:$K$186,"&gt;"&amp;K47))</x:f>
        <x:v>14</x:v>
      </x:c>
      <x:c r="O47" s="431" t="n">
        <x:f>IF(K47=0,"",1+COUNTIF($K$19:$K$186,"&gt;"&amp;K47))</x:f>
        <x:v>121</x:v>
      </x:c>
      <x:c r="P47" s="430" t="str">
        <x:f>IF(C47=0,"No specialisations recorded",IF(E47&gt;0,"Review missing level","Complete"))</x:f>
        <x:v>Complete</x:v>
      </x:c>
      <x:c r="Q47" s="434" t="n">
        <x:f>IF(COUNTIFS('Damage Ranking'!$B$6:$B$172,A47,'Damage Ranking'!$C$6:$C$172,B47)=0,"",SUMIFS('Damage Ranking'!$D$6:$D$172,'Damage Ranking'!$B$6:$B$172,A47,'Damage Ranking'!$C$6:$C$172,B47))</x:f>
        <x:v>26.30657958831202</x:v>
      </x:c>
      <x:c r="R47" s="431" t="n">
        <x:f>IF(Q47="","",SUMIFS('Damage Ranking'!$A$6:$A$172,'Damage Ranking'!$B$6:$B$172,A47,'Damage Ranking'!$C$6:$C$172,B47))</x:f>
        <x:v>105</x:v>
      </x:c>
      <x:c r="S47" s="431" t="n">
        <x:f>IF(OR(R47="",O47=""),"",R47-O47)</x:f>
        <x:v>-16</x:v>
      </x:c>
      <x:c r="T47" s="430" t="str">
        <x:f>IF(S47="","No damage score",IF(S47&gt;=20,"Badges much stronger",IF(S47&lt;=-20,"Damage much stronger","Broadly aligned")))</x:f>
        <x:v>Broadly aligned</x:v>
      </x:c>
      <x:c r="U47" s="434" t="n">
        <x:f>IF(Q47="","",Q47*(1-$R$5)+L47*$R$5)</x:f>
        <x:v>26.30657958831202</x:v>
      </x:c>
      <x:c r="V47" s="431" t="n">
        <x:f>IF(U47="","",1+COUNTIF($U$19:$U$186,"&gt;"&amp;U47))</x:f>
        <x:v>105</x:v>
      </x:c>
    </x:row>
    <x:row r="48" ht="24" customHeight="1">
      <x:c r="A48" s="430" t="str">
        <x:v>K91</x:v>
      </x:c>
      <x:c r="B48" s="430" t="str">
        <x:v>Nixxx</x:v>
      </x:c>
      <x:c r="C48" s="431" t="n">
        <x:f>COUNTIFS('Specialisations'!$A$6:$A$527,A48,'Specialisations'!$B$6:$B$527,B48)</x:f>
        <x:v>3</x:v>
      </x:c>
      <x:c r="D48" s="431" t="n">
        <x:f>COUNTIFS('Specialisations'!$A$6:$A$527,A48,'Specialisations'!$B$6:$B$527,B48,'Specialisations'!$P$6:$P$527,"OK")</x:f>
        <x:v>3</x:v>
      </x:c>
      <x:c r="E48" s="431" t="n">
        <x:f>C48-D48</x:f>
        <x:v>0</x:v>
      </x:c>
      <x:c r="F48" s="432" t="n">
        <x:f>IF(C48=0,0,D48/C48)</x:f>
        <x:v>1</x:v>
      </x:c>
      <x:c r="G48" s="433" t="n">
        <x:f>SUMIFS('Specialisations'!$N$6:$N$527,'Specialisations'!$A$6:$A$527,A48,'Specialisations'!$B$6:$B$527,B48,'Specialisations'!$C$6:$C$527,"Guards")</x:f>
        <x:v>774300</x:v>
      </x:c>
      <x:c r="H48" s="433" t="n">
        <x:f>SUMIFS('Specialisations'!$N$6:$N$527,'Specialisations'!$A$6:$A$527,A48,'Specialisations'!$B$6:$B$527,B48,'Specialisations'!$C$6:$C$527,"Archers")</x:f>
        <x:v>12578600</x:v>
      </x:c>
      <x:c r="I48" s="433" t="n">
        <x:f>SUMIFS('Specialisations'!$N$6:$N$527,'Specialisations'!$A$6:$A$527,A48,'Specialisations'!$B$6:$B$527,B48,'Specialisations'!$C$6:$C$527,"Cavalry")</x:f>
        <x:v>0</x:v>
      </x:c>
      <x:c r="J48" s="433" t="n">
        <x:f>SUMIFS('Specialisations'!$N$6:$N$527,'Specialisations'!$A$6:$A$527,A48,'Specialisations'!$B$6:$B$527,B48,'Specialisations'!$C$6:$C$527,"Siege")</x:f>
        <x:v>0</x:v>
      </x:c>
      <x:c r="K48" s="433" t="n">
        <x:f>SUM(G48:J48)</x:f>
        <x:v>13352900</x:v>
      </x:c>
      <x:c r="L48" s="434" t="n">
        <x:f>IFERROR(100*K48/MAX($K$19:$K$186),0)</x:f>
        <x:v>21.534920926752015</x:v>
      </x:c>
      <x:c r="M48" s="495" t="n">
        <x:f>IF(C48=0,"",SUMIFS('Specialisations'!$Q$6:$Q$527,'Specialisations'!$A$6:$A$527,A48,'Specialisations'!$B$6:$B$527,B48))</x:f>
        <x:v>76.92</x:v>
      </x:c>
      <x:c r="N48" s="431" t="n">
        <x:f>IF(K48=0,"",1+COUNTIFS($A$19:$A$186,A48,$K$19:$K$186,"&gt;"&amp;K48))</x:f>
        <x:v>9</x:v>
      </x:c>
      <x:c r="O48" s="431" t="n">
        <x:f>IF(K48=0,"",1+COUNTIF($K$19:$K$186,"&gt;"&amp;K48))</x:f>
        <x:v>77</x:v>
      </x:c>
      <x:c r="P48" s="430" t="str">
        <x:f>IF(C48=0,"No specialisations recorded",IF(E48&gt;0,"Review missing level","Complete"))</x:f>
        <x:v>Complete</x:v>
      </x:c>
      <x:c r="Q48" s="434" t="n">
        <x:f>IF(COUNTIFS('Damage Ranking'!$B$6:$B$172,A48,'Damage Ranking'!$C$6:$C$172,B48)=0,"",SUMIFS('Damage Ranking'!$D$6:$D$172,'Damage Ranking'!$B$6:$B$172,A48,'Damage Ranking'!$C$6:$C$172,B48))</x:f>
        <x:v>33.28639470193158</x:v>
      </x:c>
      <x:c r="R48" s="431" t="n">
        <x:f>IF(Q48="","",SUMIFS('Damage Ranking'!$A$6:$A$172,'Damage Ranking'!$B$6:$B$172,A48,'Damage Ranking'!$C$6:$C$172,B48))</x:f>
        <x:v>84</x:v>
      </x:c>
      <x:c r="S48" s="431" t="n">
        <x:f>IF(OR(R48="",O48=""),"",R48-O48)</x:f>
        <x:v>7</x:v>
      </x:c>
      <x:c r="T48" s="430" t="str">
        <x:f>IF(S48="","No damage score",IF(S48&gt;=20,"Badges much stronger",IF(S48&lt;=-20,"Damage much stronger","Broadly aligned")))</x:f>
        <x:v>Broadly aligned</x:v>
      </x:c>
      <x:c r="U48" s="434" t="n">
        <x:f>IF(Q48="","",Q48*(1-$R$5)+L48*$R$5)</x:f>
        <x:v>33.28639470193158</x:v>
      </x:c>
      <x:c r="V48" s="431" t="n">
        <x:f>IF(U48="","",1+COUNTIF($U$19:$U$186,"&gt;"&amp;U48))</x:f>
        <x:v>84</x:v>
      </x:c>
    </x:row>
    <x:row r="49" ht="24" customHeight="1">
      <x:c r="A49" s="430" t="str">
        <x:v>K91</x:v>
      </x:c>
      <x:c r="B49" s="430" t="str">
        <x:v>TatyToy</x:v>
      </x:c>
      <x:c r="C49" s="431" t="n">
        <x:f>COUNTIFS('Specialisations'!$A$6:$A$527,A49,'Specialisations'!$B$6:$B$527,B49)</x:f>
        <x:v>3</x:v>
      </x:c>
      <x:c r="D49" s="431" t="n">
        <x:f>COUNTIFS('Specialisations'!$A$6:$A$527,A49,'Specialisations'!$B$6:$B$527,B49,'Specialisations'!$P$6:$P$527,"OK")</x:f>
        <x:v>3</x:v>
      </x:c>
      <x:c r="E49" s="431" t="n">
        <x:f>C49-D49</x:f>
        <x:v>0</x:v>
      </x:c>
      <x:c r="F49" s="432" t="n">
        <x:f>IF(C49=0,0,D49/C49)</x:f>
        <x:v>1</x:v>
      </x:c>
      <x:c r="G49" s="433" t="n">
        <x:f>SUMIFS('Specialisations'!$N$6:$N$527,'Specialisations'!$A$6:$A$527,A49,'Specialisations'!$B$6:$B$527,B49,'Specialisations'!$C$6:$C$527,"Guards")</x:f>
        <x:v>619300</x:v>
      </x:c>
      <x:c r="H49" s="433" t="n">
        <x:f>SUMIFS('Specialisations'!$N$6:$N$527,'Specialisations'!$A$6:$A$527,A49,'Specialisations'!$B$6:$B$527,B49,'Specialisations'!$C$6:$C$527,"Archers")</x:f>
        <x:v>5323600</x:v>
      </x:c>
      <x:c r="I49" s="433" t="n">
        <x:f>SUMIFS('Specialisations'!$N$6:$N$527,'Specialisations'!$A$6:$A$527,A49,'Specialisations'!$B$6:$B$527,B49,'Specialisations'!$C$6:$C$527,"Cavalry")</x:f>
        <x:v>0</x:v>
      </x:c>
      <x:c r="J49" s="433" t="n">
        <x:f>SUMIFS('Specialisations'!$N$6:$N$527,'Specialisations'!$A$6:$A$527,A49,'Specialisations'!$B$6:$B$527,B49,'Specialisations'!$C$6:$C$527,"Siege")</x:f>
        <x:v>0</x:v>
      </x:c>
      <x:c r="K49" s="433" t="n">
        <x:f>SUM(G49:J49)</x:f>
        <x:v>5942900</x:v>
      </x:c>
      <x:c r="L49" s="434" t="n">
        <x:f>IFERROR(100*K49/MAX($K$19:$K$186),0)</x:f>
        <x:v>9.584425973054133</x:v>
      </x:c>
      <x:c r="M49" s="495" t="n">
        <x:f>IF(C49=0,"",SUMIFS('Specialisations'!$Q$6:$Q$527,'Specialisations'!$A$6:$A$527,A49,'Specialisations'!$B$6:$B$527,B49))</x:f>
        <x:v>41.69</x:v>
      </x:c>
      <x:c r="N49" s="431" t="n">
        <x:f>IF(K49=0,"",1+COUNTIFS($A$19:$A$186,A49,$K$19:$K$186,"&gt;"&amp;K49))</x:f>
        <x:v>20</x:v>
      </x:c>
      <x:c r="O49" s="431" t="n">
        <x:f>IF(K49=0,"",1+COUNTIF($K$19:$K$186,"&gt;"&amp;K49))</x:f>
        <x:v>146</x:v>
      </x:c>
      <x:c r="P49" s="430" t="str">
        <x:f>IF(C49=0,"No specialisations recorded",IF(E49&gt;0,"Review missing level","Complete"))</x:f>
        <x:v>Complete</x:v>
      </x:c>
      <x:c r="Q49" s="434" t="n">
        <x:f>IF(COUNTIFS('Damage Ranking'!$B$6:$B$172,A49,'Damage Ranking'!$C$6:$C$172,B49)=0,"",SUMIFS('Damage Ranking'!$D$6:$D$172,'Damage Ranking'!$B$6:$B$172,A49,'Damage Ranking'!$C$6:$C$172,B49))</x:f>
        <x:v>13.988792561457744</x:v>
      </x:c>
      <x:c r="R49" s="431" t="n">
        <x:f>IF(Q49="","",SUMIFS('Damage Ranking'!$A$6:$A$172,'Damage Ranking'!$B$6:$B$172,A49,'Damage Ranking'!$C$6:$C$172,B49))</x:f>
        <x:v>143</x:v>
      </x:c>
      <x:c r="S49" s="431" t="n">
        <x:f>IF(OR(R49="",O49=""),"",R49-O49)</x:f>
        <x:v>-3</x:v>
      </x:c>
      <x:c r="T49" s="430" t="str">
        <x:f>IF(S49="","No damage score",IF(S49&gt;=20,"Badges much stronger",IF(S49&lt;=-20,"Damage much stronger","Broadly aligned")))</x:f>
        <x:v>Broadly aligned</x:v>
      </x:c>
      <x:c r="U49" s="434" t="n">
        <x:f>IF(Q49="","",Q49*(1-$R$5)+L49*$R$5)</x:f>
        <x:v>13.988792561457744</x:v>
      </x:c>
      <x:c r="V49" s="431" t="n">
        <x:f>IF(U49="","",1+COUNTIF($U$19:$U$186,"&gt;"&amp;U49))</x:f>
        <x:v>143</x:v>
      </x:c>
    </x:row>
    <x:row r="50" ht="24" customHeight="1">
      <x:c r="A50" s="430" t="str">
        <x:v>K91</x:v>
      </x:c>
      <x:c r="B50" s="430" t="str">
        <x:v>AMANTIS</x:v>
      </x:c>
      <x:c r="C50" s="431" t="n">
        <x:f>COUNTIFS('Specialisations'!$A$6:$A$527,A50,'Specialisations'!$B$6:$B$527,B50)</x:f>
        <x:v>3</x:v>
      </x:c>
      <x:c r="D50" s="431" t="n">
        <x:f>COUNTIFS('Specialisations'!$A$6:$A$527,A50,'Specialisations'!$B$6:$B$527,B50,'Specialisations'!$P$6:$P$527,"OK")</x:f>
        <x:v>3</x:v>
      </x:c>
      <x:c r="E50" s="431" t="n">
        <x:f>C50-D50</x:f>
        <x:v>0</x:v>
      </x:c>
      <x:c r="F50" s="432" t="n">
        <x:f>IF(C50=0,0,D50/C50)</x:f>
        <x:v>1</x:v>
      </x:c>
      <x:c r="G50" s="433" t="n">
        <x:f>SUMIFS('Specialisations'!$N$6:$N$527,'Specialisations'!$A$6:$A$527,A50,'Specialisations'!$B$6:$B$527,B50,'Specialisations'!$C$6:$C$527,"Guards")</x:f>
        <x:v>226800</x:v>
      </x:c>
      <x:c r="H50" s="433" t="n">
        <x:f>SUMIFS('Specialisations'!$N$6:$N$527,'Specialisations'!$A$6:$A$527,A50,'Specialisations'!$B$6:$B$527,B50,'Specialisations'!$C$6:$C$527,"Archers")</x:f>
        <x:v>10953600</x:v>
      </x:c>
      <x:c r="I50" s="433" t="n">
        <x:f>SUMIFS('Specialisations'!$N$6:$N$527,'Specialisations'!$A$6:$A$527,A50,'Specialisations'!$B$6:$B$527,B50,'Specialisations'!$C$6:$C$527,"Cavalry")</x:f>
        <x:v>0</x:v>
      </x:c>
      <x:c r="J50" s="433" t="n">
        <x:f>SUMIFS('Specialisations'!$N$6:$N$527,'Specialisations'!$A$6:$A$527,A50,'Specialisations'!$B$6:$B$527,B50,'Specialisations'!$C$6:$C$527,"Siege")</x:f>
        <x:v>0</x:v>
      </x:c>
      <x:c r="K50" s="433" t="n">
        <x:f>SUM(G50:J50)</x:f>
        <x:v>11180400</x:v>
      </x:c>
      <x:c r="L50" s="434" t="n">
        <x:f>IFERROR(100*K50/MAX($K$19:$K$186),0)</x:f>
        <x:v>18.031216434591602</x:v>
      </x:c>
      <x:c r="M50" s="495" t="n">
        <x:f>IF(C50=0,"",SUMIFS('Specialisations'!$Q$6:$Q$527,'Specialisations'!$A$6:$A$527,A50,'Specialisations'!$B$6:$B$527,B50))</x:f>
        <x:v>64.66</x:v>
      </x:c>
      <x:c r="N50" s="431" t="n">
        <x:f>IF(K50=0,"",1+COUNTIFS($A$19:$A$186,A50,$K$19:$K$186,"&gt;"&amp;K50))</x:f>
        <x:v>12</x:v>
      </x:c>
      <x:c r="O50" s="431" t="n">
        <x:f>IF(K50=0,"",1+COUNTIF($K$19:$K$186,"&gt;"&amp;K50))</x:f>
        <x:v>104</x:v>
      </x:c>
      <x:c r="P50" s="430" t="str">
        <x:f>IF(C50=0,"No specialisations recorded",IF(E50&gt;0,"Review missing level","Complete"))</x:f>
        <x:v>Complete</x:v>
      </x:c>
      <x:c r="Q50" s="434" t="n">
        <x:f>IF(COUNTIFS('Damage Ranking'!$B$6:$B$172,A50,'Damage Ranking'!$C$6:$C$172,B50)=0,"",SUMIFS('Damage Ranking'!$D$6:$D$172,'Damage Ranking'!$B$6:$B$172,A50,'Damage Ranking'!$C$6:$C$172,B50))</x:f>
        <x:v>24.034664687207577</x:v>
      </x:c>
      <x:c r="R50" s="431" t="n">
        <x:f>IF(Q50="","",SUMIFS('Damage Ranking'!$A$6:$A$172,'Damage Ranking'!$B$6:$B$172,A50,'Damage Ranking'!$C$6:$C$172,B50))</x:f>
        <x:v>112</x:v>
      </x:c>
      <x:c r="S50" s="431" t="n">
        <x:f>IF(OR(R50="",O50=""),"",R50-O50)</x:f>
        <x:v>8</x:v>
      </x:c>
      <x:c r="T50" s="430" t="str">
        <x:f>IF(S50="","No damage score",IF(S50&gt;=20,"Badges much stronger",IF(S50&lt;=-20,"Damage much stronger","Broadly aligned")))</x:f>
        <x:v>Broadly aligned</x:v>
      </x:c>
      <x:c r="U50" s="434" t="n">
        <x:f>IF(Q50="","",Q50*(1-$R$5)+L50*$R$5)</x:f>
        <x:v>24.034664687207577</x:v>
      </x:c>
      <x:c r="V50" s="431" t="n">
        <x:f>IF(U50="","",1+COUNTIF($U$19:$U$186,"&gt;"&amp;U50))</x:f>
        <x:v>112</x:v>
      </x:c>
    </x:row>
    <x:row r="51" ht="24" customHeight="1">
      <x:c r="A51" s="430" t="str">
        <x:v>K91</x:v>
      </x:c>
      <x:c r="B51" s="430" t="str">
        <x:v>Milhaus</x:v>
      </x:c>
      <x:c r="C51" s="431" t="n">
        <x:f>COUNTIFS('Specialisations'!$A$6:$A$527,A51,'Specialisations'!$B$6:$B$527,B51)</x:f>
        <x:v>3</x:v>
      </x:c>
      <x:c r="D51" s="431" t="n">
        <x:f>COUNTIFS('Specialisations'!$A$6:$A$527,A51,'Specialisations'!$B$6:$B$527,B51,'Specialisations'!$P$6:$P$527,"OK")</x:f>
        <x:v>3</x:v>
      </x:c>
      <x:c r="E51" s="431" t="n">
        <x:f>C51-D51</x:f>
        <x:v>0</x:v>
      </x:c>
      <x:c r="F51" s="432" t="n">
        <x:f>IF(C51=0,0,D51/C51)</x:f>
        <x:v>1</x:v>
      </x:c>
      <x:c r="G51" s="433" t="n">
        <x:f>SUMIFS('Specialisations'!$N$6:$N$527,'Specialisations'!$A$6:$A$527,A51,'Specialisations'!$B$6:$B$527,B51,'Specialisations'!$C$6:$C$527,"Guards")</x:f>
        <x:v>2244300</x:v>
      </x:c>
      <x:c r="H51" s="433" t="n">
        <x:f>SUMIFS('Specialisations'!$N$6:$N$527,'Specialisations'!$A$6:$A$527,A51,'Specialisations'!$B$6:$B$527,B51,'Specialisations'!$C$6:$C$527,"Archers")</x:f>
        <x:v>12338600</x:v>
      </x:c>
      <x:c r="I51" s="433" t="n">
        <x:f>SUMIFS('Specialisations'!$N$6:$N$527,'Specialisations'!$A$6:$A$527,A51,'Specialisations'!$B$6:$B$527,B51,'Specialisations'!$C$6:$C$527,"Cavalry")</x:f>
        <x:v>0</x:v>
      </x:c>
      <x:c r="J51" s="433" t="n">
        <x:f>SUMIFS('Specialisations'!$N$6:$N$527,'Specialisations'!$A$6:$A$527,A51,'Specialisations'!$B$6:$B$527,B51,'Specialisations'!$C$6:$C$527,"Siege")</x:f>
        <x:v>0</x:v>
      </x:c>
      <x:c r="K51" s="433" t="n">
        <x:f>SUM(G51:J51)</x:f>
        <x:v>14582900</x:v>
      </x:c>
      <x:c r="L51" s="434" t="n">
        <x:f>IFERROR(100*K51/MAX($K$19:$K$186),0)</x:f>
        <x:v>23.518606323924537</x:v>
      </x:c>
      <x:c r="M51" s="495" t="n">
        <x:f>IF(C51=0,"",SUMIFS('Specialisations'!$Q$6:$Q$527,'Specialisations'!$A$6:$A$527,A51,'Specialisations'!$B$6:$B$527,B51))</x:f>
        <x:v>56.260000000000005</x:v>
      </x:c>
      <x:c r="N51" s="431" t="n">
        <x:f>IF(K51=0,"",1+COUNTIFS($A$19:$A$186,A51,$K$19:$K$186,"&gt;"&amp;K51))</x:f>
        <x:v>8</x:v>
      </x:c>
      <x:c r="O51" s="431" t="n">
        <x:f>IF(K51=0,"",1+COUNTIF($K$19:$K$186,"&gt;"&amp;K51))</x:f>
        <x:v>66</x:v>
      </x:c>
      <x:c r="P51" s="430" t="str">
        <x:f>IF(C51=0,"No specialisations recorded",IF(E51&gt;0,"Review missing level","Complete"))</x:f>
        <x:v>Complete</x:v>
      </x:c>
      <x:c r="Q51" s="434" t="n">
        <x:f>IF(COUNTIFS('Damage Ranking'!$B$6:$B$172,A51,'Damage Ranking'!$C$6:$C$172,B51)=0,"",SUMIFS('Damage Ranking'!$D$6:$D$172,'Damage Ranking'!$B$6:$B$172,A51,'Damage Ranking'!$C$6:$C$172,B51))</x:f>
        <x:v>31.94937081731657</x:v>
      </x:c>
      <x:c r="R51" s="431" t="n">
        <x:f>IF(Q51="","",SUMIFS('Damage Ranking'!$A$6:$A$172,'Damage Ranking'!$B$6:$B$172,A51,'Damage Ranking'!$C$6:$C$172,B51))</x:f>
        <x:v>87</x:v>
      </x:c>
      <x:c r="S51" s="431" t="n">
        <x:f>IF(OR(R51="",O51=""),"",R51-O51)</x:f>
        <x:v>21</x:v>
      </x:c>
      <x:c r="T51" s="430" t="str">
        <x:f>IF(S51="","No damage score",IF(S51&gt;=20,"Badges much stronger",IF(S51&lt;=-20,"Damage much stronger","Broadly aligned")))</x:f>
        <x:v>Badges much stronger</x:v>
      </x:c>
      <x:c r="U51" s="434" t="n">
        <x:f>IF(Q51="","",Q51*(1-$R$5)+L51*$R$5)</x:f>
        <x:v>31.94937081731657</x:v>
      </x:c>
      <x:c r="V51" s="431" t="n">
        <x:f>IF(U51="","",1+COUNTIF($U$19:$U$186,"&gt;"&amp;U51))</x:f>
        <x:v>87</x:v>
      </x:c>
    </x:row>
    <x:row r="52" ht="24" customHeight="1">
      <x:c r="A52" s="430" t="str">
        <x:v>K91</x:v>
      </x:c>
      <x:c r="B52" s="430" t="str">
        <x:v>金灵蛇</x:v>
      </x:c>
      <x:c r="C52" s="431" t="n">
        <x:f>COUNTIFS('Specialisations'!$A$6:$A$527,A52,'Specialisations'!$B$6:$B$527,B52)</x:f>
        <x:v>3</x:v>
      </x:c>
      <x:c r="D52" s="431" t="n">
        <x:f>COUNTIFS('Specialisations'!$A$6:$A$527,A52,'Specialisations'!$B$6:$B$527,B52,'Specialisations'!$P$6:$P$527,"OK")</x:f>
        <x:v>3</x:v>
      </x:c>
      <x:c r="E52" s="431" t="n">
        <x:f>C52-D52</x:f>
        <x:v>0</x:v>
      </x:c>
      <x:c r="F52" s="432" t="n">
        <x:f>IF(C52=0,0,D52/C52)</x:f>
        <x:v>1</x:v>
      </x:c>
      <x:c r="G52" s="433" t="n">
        <x:f>SUMIFS('Specialisations'!$N$6:$N$527,'Specialisations'!$A$6:$A$527,A52,'Specialisations'!$B$6:$B$527,B52,'Specialisations'!$C$6:$C$527,"Guards")</x:f>
        <x:v>1194300</x:v>
      </x:c>
      <x:c r="H52" s="433" t="n">
        <x:f>SUMIFS('Specialisations'!$N$6:$N$527,'Specialisations'!$A$6:$A$527,A52,'Specialisations'!$B$6:$B$527,B52,'Specialisations'!$C$6:$C$527,"Archers")</x:f>
        <x:v>7206100</x:v>
      </x:c>
      <x:c r="I52" s="433" t="n">
        <x:f>SUMIFS('Specialisations'!$N$6:$N$527,'Specialisations'!$A$6:$A$527,A52,'Specialisations'!$B$6:$B$527,B52,'Specialisations'!$C$6:$C$527,"Cavalry")</x:f>
        <x:v>0</x:v>
      </x:c>
      <x:c r="J52" s="433" t="n">
        <x:f>SUMIFS('Specialisations'!$N$6:$N$527,'Specialisations'!$A$6:$A$527,A52,'Specialisations'!$B$6:$B$527,B52,'Specialisations'!$C$6:$C$527,"Siege")</x:f>
        <x:v>0</x:v>
      </x:c>
      <x:c r="K52" s="433" t="n">
        <x:f>SUM(G52:J52)</x:f>
        <x:v>8400400</x:v>
      </x:c>
      <x:c r="L52" s="434" t="n">
        <x:f>IFERROR(100*K52/MAX($K$19:$K$186),0)</x:f>
        <x:v>13.547764886510617</x:v>
      </x:c>
      <x:c r="M52" s="495" t="n">
        <x:f>IF(C52=0,"",SUMIFS('Specialisations'!$Q$6:$Q$527,'Specialisations'!$A$6:$A$527,A52,'Specialisations'!$B$6:$B$527,B52))</x:f>
        <x:v>39.720000000000006</x:v>
      </x:c>
      <x:c r="N52" s="431" t="n">
        <x:f>IF(K52=0,"",1+COUNTIFS($A$19:$A$186,A52,$K$19:$K$186,"&gt;"&amp;K52))</x:f>
        <x:v>15</x:v>
      </x:c>
      <x:c r="O52" s="431" t="n">
        <x:f>IF(K52=0,"",1+COUNTIF($K$19:$K$186,"&gt;"&amp;K52))</x:f>
        <x:v>132</x:v>
      </x:c>
      <x:c r="P52" s="430" t="str">
        <x:f>IF(C52=0,"No specialisations recorded",IF(E52&gt;0,"Review missing level","Complete"))</x:f>
        <x:v>Complete</x:v>
      </x:c>
      <x:c r="Q52" s="434" t="n">
        <x:f>IF(COUNTIFS('Damage Ranking'!$B$6:$B$172,A52,'Damage Ranking'!$C$6:$C$172,B52)=0,"",SUMIFS('Damage Ranking'!$D$6:$D$172,'Damage Ranking'!$B$6:$B$172,A52,'Damage Ranking'!$C$6:$C$172,B52))</x:f>
        <x:v>24.129147936047552</x:v>
      </x:c>
      <x:c r="R52" s="431" t="n">
        <x:f>IF(Q52="","",SUMIFS('Damage Ranking'!$A$6:$A$172,'Damage Ranking'!$B$6:$B$172,A52,'Damage Ranking'!$C$6:$C$172,B52))</x:f>
        <x:v>111</x:v>
      </x:c>
      <x:c r="S52" s="431" t="n">
        <x:f>IF(OR(R52="",O52=""),"",R52-O52)</x:f>
        <x:v>-21</x:v>
      </x:c>
      <x:c r="T52" s="430" t="str">
        <x:f>IF(S52="","No damage score",IF(S52&gt;=20,"Badges much stronger",IF(S52&lt;=-20,"Damage much stronger","Broadly aligned")))</x:f>
        <x:v>Damage much stronger</x:v>
      </x:c>
      <x:c r="U52" s="434" t="n">
        <x:f>IF(Q52="","",Q52*(1-$R$5)+L52*$R$5)</x:f>
        <x:v>24.129147936047552</x:v>
      </x:c>
      <x:c r="V52" s="431" t="n">
        <x:f>IF(U52="","",1+COUNTIF($U$19:$U$186,"&gt;"&amp;U52))</x:f>
        <x:v>111</x:v>
      </x:c>
    </x:row>
    <x:row r="53" ht="24" customHeight="1">
      <x:c r="A53" s="430" t="str">
        <x:v>K91</x:v>
      </x:c>
      <x:c r="B53" s="430" t="str">
        <x:v>Nico•</x:v>
      </x:c>
      <x:c r="C53" s="431" t="n">
        <x:f>COUNTIFS('Specialisations'!$A$6:$A$527,A53,'Specialisations'!$B$6:$B$527,B53)</x:f>
        <x:v>3</x:v>
      </x:c>
      <x:c r="D53" s="431" t="n">
        <x:f>COUNTIFS('Specialisations'!$A$6:$A$527,A53,'Specialisations'!$B$6:$B$527,B53,'Specialisations'!$P$6:$P$527,"OK")</x:f>
        <x:v>3</x:v>
      </x:c>
      <x:c r="E53" s="431" t="n">
        <x:f>C53-D53</x:f>
        <x:v>0</x:v>
      </x:c>
      <x:c r="F53" s="432" t="n">
        <x:f>IF(C53=0,0,D53/C53)</x:f>
        <x:v>1</x:v>
      </x:c>
      <x:c r="G53" s="433" t="n">
        <x:f>SUMIFS('Specialisations'!$N$6:$N$527,'Specialisations'!$A$6:$A$527,A53,'Specialisations'!$B$6:$B$527,B53,'Specialisations'!$C$6:$C$527,"Guards")</x:f>
        <x:v>774300</x:v>
      </x:c>
      <x:c r="H53" s="433" t="n">
        <x:f>SUMIFS('Specialisations'!$N$6:$N$527,'Specialisations'!$A$6:$A$527,A53,'Specialisations'!$B$6:$B$527,B53,'Specialisations'!$C$6:$C$527,"Archers")</x:f>
        <x:v>5968600</x:v>
      </x:c>
      <x:c r="I53" s="433" t="n">
        <x:f>SUMIFS('Specialisations'!$N$6:$N$527,'Specialisations'!$A$6:$A$527,A53,'Specialisations'!$B$6:$B$527,B53,'Specialisations'!$C$6:$C$527,"Cavalry")</x:f>
        <x:v>0</x:v>
      </x:c>
      <x:c r="J53" s="433" t="n">
        <x:f>SUMIFS('Specialisations'!$N$6:$N$527,'Specialisations'!$A$6:$A$527,A53,'Specialisations'!$B$6:$B$527,B53,'Specialisations'!$C$6:$C$527,"Siege")</x:f>
        <x:v>0</x:v>
      </x:c>
      <x:c r="K53" s="433" t="n">
        <x:f>SUM(G53:J53)</x:f>
        <x:v>6742900</x:v>
      </x:c>
      <x:c r="L53" s="434" t="n">
        <x:f>IFERROR(100*K53/MAX($K$19:$K$186),0)</x:f>
        <x:v>10.874627857393985</x:v>
      </x:c>
      <x:c r="M53" s="495" t="n">
        <x:f>IF(C53=0,"",SUMIFS('Specialisations'!$Q$6:$Q$527,'Specialisations'!$A$6:$A$527,A53,'Specialisations'!$B$6:$B$527,B53))</x:f>
        <x:v>47.72</x:v>
      </x:c>
      <x:c r="N53" s="431" t="n">
        <x:f>IF(K53=0,"",1+COUNTIFS($A$19:$A$186,A53,$K$19:$K$186,"&gt;"&amp;K53))</x:f>
        <x:v>17</x:v>
      </x:c>
      <x:c r="O53" s="431" t="n">
        <x:f>IF(K53=0,"",1+COUNTIF($K$19:$K$186,"&gt;"&amp;K53))</x:f>
        <x:v>140</x:v>
      </x:c>
      <x:c r="P53" s="430" t="str">
        <x:f>IF(C53=0,"No specialisations recorded",IF(E53&gt;0,"Review missing level","Complete"))</x:f>
        <x:v>Complete</x:v>
      </x:c>
      <x:c r="Q53" s="434" t="n">
        <x:f>IF(COUNTIFS('Damage Ranking'!$B$6:$B$172,A53,'Damage Ranking'!$C$6:$C$172,B53)=0,"",SUMIFS('Damage Ranking'!$D$6:$D$172,'Damage Ranking'!$B$6:$B$172,A53,'Damage Ranking'!$C$6:$C$172,B53))</x:f>
        <x:v>9.489358437716328</x:v>
      </x:c>
      <x:c r="R53" s="431" t="n">
        <x:f>IF(Q53="","",SUMIFS('Damage Ranking'!$A$6:$A$172,'Damage Ranking'!$B$6:$B$172,A53,'Damage Ranking'!$C$6:$C$172,B53))</x:f>
        <x:v>153</x:v>
      </x:c>
      <x:c r="S53" s="431" t="n">
        <x:f>IF(OR(R53="",O53=""),"",R53-O53)</x:f>
        <x:v>13</x:v>
      </x:c>
      <x:c r="T53" s="430" t="str">
        <x:f>IF(S53="","No damage score",IF(S53&gt;=20,"Badges much stronger",IF(S53&lt;=-20,"Damage much stronger","Broadly aligned")))</x:f>
        <x:v>Broadly aligned</x:v>
      </x:c>
      <x:c r="U53" s="434" t="n">
        <x:f>IF(Q53="","",Q53*(1-$R$5)+L53*$R$5)</x:f>
        <x:v>9.489358437716328</x:v>
      </x:c>
      <x:c r="V53" s="431" t="n">
        <x:f>IF(U53="","",1+COUNTIF($U$19:$U$186,"&gt;"&amp;U53))</x:f>
        <x:v>153</x:v>
      </x:c>
    </x:row>
    <x:row r="54" ht="24" customHeight="1">
      <x:c r="A54" s="430" t="str">
        <x:v>K91</x:v>
      </x:c>
      <x:c r="B54" s="430" t="str">
        <x:v>†LORD•ZARIEL†</x:v>
      </x:c>
      <x:c r="C54" s="431" t="n">
        <x:f>COUNTIFS('Specialisations'!$A$6:$A$527,A54,'Specialisations'!$B$6:$B$527,B54)</x:f>
        <x:v>2</x:v>
      </x:c>
      <x:c r="D54" s="431" t="n">
        <x:f>COUNTIFS('Specialisations'!$A$6:$A$527,A54,'Specialisations'!$B$6:$B$527,B54,'Specialisations'!$P$6:$P$527,"OK")</x:f>
        <x:v>2</x:v>
      </x:c>
      <x:c r="E54" s="431" t="n">
        <x:f>C54-D54</x:f>
        <x:v>0</x:v>
      </x:c>
      <x:c r="F54" s="432" t="n">
        <x:f>IF(C54=0,0,D54/C54)</x:f>
        <x:v>1</x:v>
      </x:c>
      <x:c r="G54" s="433" t="n">
        <x:f>SUMIFS('Specialisations'!$N$6:$N$527,'Specialisations'!$A$6:$A$527,A54,'Specialisations'!$B$6:$B$527,B54,'Specialisations'!$C$6:$C$527,"Guards")</x:f>
        <x:v>774300</x:v>
      </x:c>
      <x:c r="H54" s="433" t="n">
        <x:f>SUMIFS('Specialisations'!$N$6:$N$527,'Specialisations'!$A$6:$A$527,A54,'Specialisations'!$B$6:$B$527,B54,'Specialisations'!$C$6:$C$527,"Archers")</x:f>
        <x:v>5884300</x:v>
      </x:c>
      <x:c r="I54" s="433" t="n">
        <x:f>SUMIFS('Specialisations'!$N$6:$N$527,'Specialisations'!$A$6:$A$527,A54,'Specialisations'!$B$6:$B$527,B54,'Specialisations'!$C$6:$C$527,"Cavalry")</x:f>
        <x:v>0</x:v>
      </x:c>
      <x:c r="J54" s="433" t="n">
        <x:f>SUMIFS('Specialisations'!$N$6:$N$527,'Specialisations'!$A$6:$A$527,A54,'Specialisations'!$B$6:$B$527,B54,'Specialisations'!$C$6:$C$527,"Siege")</x:f>
        <x:v>0</x:v>
      </x:c>
      <x:c r="K54" s="433" t="n">
        <x:f>SUM(G54:J54)</x:f>
        <x:v>6658600</x:v>
      </x:c>
      <x:c r="L54" s="434" t="n">
        <x:f>IFERROR(100*K54/MAX($K$19:$K$186),0)</x:f>
        <x:v>10.738672833831673</x:v>
      </x:c>
      <x:c r="M54" s="495" t="n">
        <x:f>IF(C54=0,"",SUMIFS('Specialisations'!$Q$6:$Q$527,'Specialisations'!$A$6:$A$527,A54,'Specialisations'!$B$6:$B$527,B54))</x:f>
        <x:v>37.56</x:v>
      </x:c>
      <x:c r="N54" s="431" t="n">
        <x:f>IF(K54=0,"",1+COUNTIFS($A$19:$A$186,A54,$K$19:$K$186,"&gt;"&amp;K54))</x:f>
        <x:v>19</x:v>
      </x:c>
      <x:c r="O54" s="431" t="n">
        <x:f>IF(K54=0,"",1+COUNTIF($K$19:$K$186,"&gt;"&amp;K54))</x:f>
        <x:v>143</x:v>
      </x:c>
      <x:c r="P54" s="430" t="str">
        <x:f>IF(C54=0,"No specialisations recorded",IF(E54&gt;0,"Review missing level","Complete"))</x:f>
        <x:v>Complete</x:v>
      </x:c>
      <x:c r="Q54" s="434" t="n">
        <x:f>IF(COUNTIFS('Damage Ranking'!$B$6:$B$172,A54,'Damage Ranking'!$C$6:$C$172,B54)=0,"",SUMIFS('Damage Ranking'!$D$6:$D$172,'Damage Ranking'!$B$6:$B$172,A54,'Damage Ranking'!$C$6:$C$172,B54))</x:f>
        <x:v>11.992736536122559</x:v>
      </x:c>
      <x:c r="R54" s="431" t="n">
        <x:f>IF(Q54="","",SUMIFS('Damage Ranking'!$A$6:$A$172,'Damage Ranking'!$B$6:$B$172,A54,'Damage Ranking'!$C$6:$C$172,B54))</x:f>
        <x:v>148</x:v>
      </x:c>
      <x:c r="S54" s="431" t="n">
        <x:f>IF(OR(R54="",O54=""),"",R54-O54)</x:f>
        <x:v>5</x:v>
      </x:c>
      <x:c r="T54" s="430" t="str">
        <x:f>IF(S54="","No damage score",IF(S54&gt;=20,"Badges much stronger",IF(S54&lt;=-20,"Damage much stronger","Broadly aligned")))</x:f>
        <x:v>Broadly aligned</x:v>
      </x:c>
      <x:c r="U54" s="434" t="n">
        <x:f>IF(Q54="","",Q54*(1-$R$5)+L54*$R$5)</x:f>
        <x:v>11.992736536122559</x:v>
      </x:c>
      <x:c r="V54" s="431" t="n">
        <x:f>IF(U54="","",1+COUNTIF($U$19:$U$186,"&gt;"&amp;U54))</x:f>
        <x:v>148</x:v>
      </x:c>
    </x:row>
    <x:row r="55" ht="24" customHeight="1">
      <x:c r="A55" s="430" t="str">
        <x:v>K91</x:v>
      </x:c>
      <x:c r="B55" s="430" t="str">
        <x:v>TÜRK 81</x:v>
      </x:c>
      <x:c r="C55" s="431" t="n">
        <x:f>COUNTIFS('Specialisations'!$A$6:$A$527,A55,'Specialisations'!$B$6:$B$527,B55)</x:f>
        <x:v>3</x:v>
      </x:c>
      <x:c r="D55" s="431" t="n">
        <x:f>COUNTIFS('Specialisations'!$A$6:$A$527,A55,'Specialisations'!$B$6:$B$527,B55,'Specialisations'!$P$6:$P$527,"OK")</x:f>
        <x:v>3</x:v>
      </x:c>
      <x:c r="E55" s="431" t="n">
        <x:f>C55-D55</x:f>
        <x:v>0</x:v>
      </x:c>
      <x:c r="F55" s="432" t="n">
        <x:f>IF(C55=0,0,D55/C55)</x:f>
        <x:v>1</x:v>
      </x:c>
      <x:c r="G55" s="433" t="n">
        <x:f>SUMIFS('Specialisations'!$N$6:$N$527,'Specialisations'!$A$6:$A$527,A55,'Specialisations'!$B$6:$B$527,B55,'Specialisations'!$C$6:$C$527,"Guards")</x:f>
        <x:v>2844300</x:v>
      </x:c>
      <x:c r="H55" s="433" t="n">
        <x:f>SUMIFS('Specialisations'!$N$6:$N$527,'Specialisations'!$A$6:$A$527,A55,'Specialisations'!$B$6:$B$527,B55,'Specialisations'!$C$6:$C$527,"Archers")</x:f>
        <x:v>12858600</x:v>
      </x:c>
      <x:c r="I55" s="433" t="n">
        <x:f>SUMIFS('Specialisations'!$N$6:$N$527,'Specialisations'!$A$6:$A$527,A55,'Specialisations'!$B$6:$B$527,B55,'Specialisations'!$C$6:$C$527,"Cavalry")</x:f>
        <x:v>0</x:v>
      </x:c>
      <x:c r="J55" s="433" t="n">
        <x:f>SUMIFS('Specialisations'!$N$6:$N$527,'Specialisations'!$A$6:$A$527,A55,'Specialisations'!$B$6:$B$527,B55,'Specialisations'!$C$6:$C$527,"Siege")</x:f>
        <x:v>0</x:v>
      </x:c>
      <x:c r="K55" s="433" t="n">
        <x:f>SUM(G55:J55)</x:f>
        <x:v>15702900</x:v>
      </x:c>
      <x:c r="L55" s="434" t="n">
        <x:f>IFERROR(100*K55/MAX($K$19:$K$186),0)</x:f>
        <x:v>25.32488896200033</x:v>
      </x:c>
      <x:c r="M55" s="495" t="n">
        <x:f>IF(C55=0,"",SUMIFS('Specialisations'!$Q$6:$Q$527,'Specialisations'!$A$6:$A$527,A55,'Specialisations'!$B$6:$B$527,B55))</x:f>
        <x:v>57.25</x:v>
      </x:c>
      <x:c r="N55" s="431" t="n">
        <x:f>IF(K55=0,"",1+COUNTIFS($A$19:$A$186,A55,$K$19:$K$186,"&gt;"&amp;K55))</x:f>
        <x:v>7</x:v>
      </x:c>
      <x:c r="O55" s="431" t="n">
        <x:f>IF(K55=0,"",1+COUNTIF($K$19:$K$186,"&gt;"&amp;K55))</x:f>
        <x:v>55</x:v>
      </x:c>
      <x:c r="P55" s="430" t="str">
        <x:f>IF(C55=0,"No specialisations recorded",IF(E55&gt;0,"Review missing level","Complete"))</x:f>
        <x:v>Complete</x:v>
      </x:c>
      <x:c r="Q55" s="434" t="n">
        <x:f>IF(COUNTIFS('Damage Ranking'!$B$6:$B$172,A55,'Damage Ranking'!$C$6:$C$172,B55)=0,"",SUMIFS('Damage Ranking'!$D$6:$D$172,'Damage Ranking'!$B$6:$B$172,A55,'Damage Ranking'!$C$6:$C$172,B55))</x:f>
        <x:v>36.94023497402641</x:v>
      </x:c>
      <x:c r="R55" s="431" t="n">
        <x:f>IF(Q55="","",SUMIFS('Damage Ranking'!$A$6:$A$172,'Damage Ranking'!$B$6:$B$172,A55,'Damage Ranking'!$C$6:$C$172,B55))</x:f>
        <x:v>76</x:v>
      </x:c>
      <x:c r="S55" s="431" t="n">
        <x:f>IF(OR(R55="",O55=""),"",R55-O55)</x:f>
        <x:v>21</x:v>
      </x:c>
      <x:c r="T55" s="430" t="str">
        <x:f>IF(S55="","No damage score",IF(S55&gt;=20,"Badges much stronger",IF(S55&lt;=-20,"Damage much stronger","Broadly aligned")))</x:f>
        <x:v>Badges much stronger</x:v>
      </x:c>
      <x:c r="U55" s="434" t="n">
        <x:f>IF(Q55="","",Q55*(1-$R$5)+L55*$R$5)</x:f>
        <x:v>36.94023497402641</x:v>
      </x:c>
      <x:c r="V55" s="431" t="n">
        <x:f>IF(U55="","",1+COUNTIF($U$19:$U$186,"&gt;"&amp;U55))</x:f>
        <x:v>76</x:v>
      </x:c>
    </x:row>
    <x:row r="56" ht="24" customHeight="1">
      <x:c r="A56" s="430" t="str">
        <x:v>K91</x:v>
      </x:c>
      <x:c r="B56" s="430" t="str">
        <x:v>A†RO/</x:v>
      </x:c>
      <x:c r="C56" s="431" t="n">
        <x:f>COUNTIFS('Specialisations'!$A$6:$A$527,A56,'Specialisations'!$B$6:$B$527,B56)</x:f>
        <x:v>3</x:v>
      </x:c>
      <x:c r="D56" s="431" t="n">
        <x:f>COUNTIFS('Specialisations'!$A$6:$A$527,A56,'Specialisations'!$B$6:$B$527,B56,'Specialisations'!$P$6:$P$527,"OK")</x:f>
        <x:v>3</x:v>
      </x:c>
      <x:c r="E56" s="431" t="n">
        <x:f>C56-D56</x:f>
        <x:v>0</x:v>
      </x:c>
      <x:c r="F56" s="432" t="n">
        <x:f>IF(C56=0,0,D56/C56)</x:f>
        <x:v>1</x:v>
      </x:c>
      <x:c r="G56" s="433" t="n">
        <x:f>SUMIFS('Specialisations'!$N$6:$N$527,'Specialisations'!$A$6:$A$527,A56,'Specialisations'!$B$6:$B$527,B56,'Specialisations'!$C$6:$C$527,"Guards")</x:f>
        <x:v>774300</x:v>
      </x:c>
      <x:c r="H56" s="433" t="n">
        <x:f>SUMIFS('Specialisations'!$N$6:$N$527,'Specialisations'!$A$6:$A$527,A56,'Specialisations'!$B$6:$B$527,B56,'Specialisations'!$C$6:$C$527,"Archers")</x:f>
        <x:v>9528600</x:v>
      </x:c>
      <x:c r="I56" s="433" t="n">
        <x:f>SUMIFS('Specialisations'!$N$6:$N$527,'Specialisations'!$A$6:$A$527,A56,'Specialisations'!$B$6:$B$527,B56,'Specialisations'!$C$6:$C$527,"Cavalry")</x:f>
        <x:v>0</x:v>
      </x:c>
      <x:c r="J56" s="433" t="n">
        <x:f>SUMIFS('Specialisations'!$N$6:$N$527,'Specialisations'!$A$6:$A$527,A56,'Specialisations'!$B$6:$B$527,B56,'Specialisations'!$C$6:$C$527,"Siege")</x:f>
        <x:v>0</x:v>
      </x:c>
      <x:c r="K56" s="433" t="n">
        <x:f>SUM(G56:J56)</x:f>
        <x:v>10302900</x:v>
      </x:c>
      <x:c r="L56" s="434" t="n">
        <x:f>IFERROR(100*K56/MAX($K$19:$K$186),0)</x:f>
        <x:v>16.616026242706326</x:v>
      </x:c>
      <x:c r="M56" s="495" t="n">
        <x:f>IF(C56=0,"",SUMIFS('Specialisations'!$Q$6:$Q$527,'Specialisations'!$A$6:$A$527,A56,'Specialisations'!$B$6:$B$527,B56))</x:f>
        <x:v>60.58</x:v>
      </x:c>
      <x:c r="N56" s="431" t="n">
        <x:f>IF(K56=0,"",1+COUNTIFS($A$19:$A$186,A56,$K$19:$K$186,"&gt;"&amp;K56))</x:f>
        <x:v>13</x:v>
      </x:c>
      <x:c r="O56" s="431" t="n">
        <x:f>IF(K56=0,"",1+COUNTIF($K$19:$K$186,"&gt;"&amp;K56))</x:f>
        <x:v>118</x:v>
      </x:c>
      <x:c r="P56" s="430" t="str">
        <x:f>IF(C56=0,"No specialisations recorded",IF(E56&gt;0,"Review missing level","Complete"))</x:f>
        <x:v>Complete</x:v>
      </x:c>
      <x:c r="Q56" s="434" t="n">
        <x:f>IF(COUNTIFS('Damage Ranking'!$B$6:$B$172,A56,'Damage Ranking'!$C$6:$C$172,B56)=0,"",SUMIFS('Damage Ranking'!$D$6:$D$172,'Damage Ranking'!$B$6:$B$172,A56,'Damage Ranking'!$C$6:$C$172,B56))</x:f>
        <x:v>14.522962903808299</x:v>
      </x:c>
      <x:c r="R56" s="431" t="n">
        <x:f>IF(Q56="","",SUMIFS('Damage Ranking'!$A$6:$A$172,'Damage Ranking'!$B$6:$B$172,A56,'Damage Ranking'!$C$6:$C$172,B56))</x:f>
        <x:v>142</x:v>
      </x:c>
      <x:c r="S56" s="431" t="n">
        <x:f>IF(OR(R56="",O56=""),"",R56-O56)</x:f>
        <x:v>24</x:v>
      </x:c>
      <x:c r="T56" s="430" t="str">
        <x:f>IF(S56="","No damage score",IF(S56&gt;=20,"Badges much stronger",IF(S56&lt;=-20,"Damage much stronger","Broadly aligned")))</x:f>
        <x:v>Badges much stronger</x:v>
      </x:c>
      <x:c r="U56" s="434" t="n">
        <x:f>IF(Q56="","",Q56*(1-$R$5)+L56*$R$5)</x:f>
        <x:v>14.522962903808299</x:v>
      </x:c>
      <x:c r="V56" s="431" t="n">
        <x:f>IF(U56="","",1+COUNTIF($U$19:$U$186,"&gt;"&amp;U56))</x:f>
        <x:v>142</x:v>
      </x:c>
    </x:row>
    <x:row r="57" ht="24" customHeight="1">
      <x:c r="A57" s="430" t="str">
        <x:v>K91</x:v>
      </x:c>
      <x:c r="B57" s="430" t="str">
        <x:v>Skrapz</x:v>
      </x:c>
      <x:c r="C57" s="431" t="n">
        <x:f>COUNTIFS('Specialisations'!$A$6:$A$527,A57,'Specialisations'!$B$6:$B$527,B57)</x:f>
        <x:v>5</x:v>
      </x:c>
      <x:c r="D57" s="431" t="n">
        <x:f>COUNTIFS('Specialisations'!$A$6:$A$527,A57,'Specialisations'!$B$6:$B$527,B57,'Specialisations'!$P$6:$P$527,"OK")</x:f>
        <x:v>5</x:v>
      </x:c>
      <x:c r="E57" s="431" t="n">
        <x:f>C57-D57</x:f>
        <x:v>0</x:v>
      </x:c>
      <x:c r="F57" s="432" t="n">
        <x:f>IF(C57=0,0,D57/C57)</x:f>
        <x:v>1</x:v>
      </x:c>
      <x:c r="G57" s="433" t="n">
        <x:f>SUMIFS('Specialisations'!$N$6:$N$527,'Specialisations'!$A$6:$A$527,A57,'Specialisations'!$B$6:$B$527,B57,'Specialisations'!$C$6:$C$527,"Guards")</x:f>
        <x:v>2244300</x:v>
      </x:c>
      <x:c r="H57" s="433" t="n">
        <x:f>SUMIFS('Specialisations'!$N$6:$N$527,'Specialisations'!$A$6:$A$527,A57,'Specialisations'!$B$6:$B$527,B57,'Specialisations'!$C$6:$C$527,"Archers")</x:f>
        <x:v>4284300</x:v>
      </x:c>
      <x:c r="I57" s="433" t="n">
        <x:f>SUMIFS('Specialisations'!$N$6:$N$527,'Specialisations'!$A$6:$A$527,A57,'Specialisations'!$B$6:$B$527,B57,'Specialisations'!$C$6:$C$527,"Cavalry")</x:f>
        <x:v>13578600</x:v>
      </x:c>
      <x:c r="J57" s="433" t="n">
        <x:f>SUMIFS('Specialisations'!$N$6:$N$527,'Specialisations'!$A$6:$A$527,A57,'Specialisations'!$B$6:$B$527,B57,'Specialisations'!$C$6:$C$527,"Siege")</x:f>
        <x:v>4284300</x:v>
      </x:c>
      <x:c r="K57" s="433" t="n">
        <x:f>SUM(G57:J57)</x:f>
        <x:v>24391500</x:v>
      </x:c>
      <x:c r="L57" s="434" t="n">
        <x:f>IFERROR(100*K57/MAX($K$19:$K$186),0)</x:f>
        <x:v>39.33744907734438</x:v>
      </x:c>
      <x:c r="M57" s="495" t="n">
        <x:f>IF(C57=0,"",SUMIFS('Specialisations'!$Q$6:$Q$527,'Specialisations'!$A$6:$A$527,A57,'Specialisations'!$B$6:$B$527,B57))</x:f>
        <x:v>152.2</x:v>
      </x:c>
      <x:c r="N57" s="431" t="n">
        <x:f>IF(K57=0,"",1+COUNTIFS($A$19:$A$186,A57,$K$19:$K$186,"&gt;"&amp;K57))</x:f>
        <x:v>2</x:v>
      </x:c>
      <x:c r="O57" s="431" t="n">
        <x:f>IF(K57=0,"",1+COUNTIF($K$19:$K$186,"&gt;"&amp;K57))</x:f>
        <x:v>17</x:v>
      </x:c>
      <x:c r="P57" s="430" t="str">
        <x:f>IF(C57=0,"No specialisations recorded",IF(E57&gt;0,"Review missing level","Complete"))</x:f>
        <x:v>Complete</x:v>
      </x:c>
      <x:c r="Q57" s="434" t="n">
        <x:f>IF(COUNTIFS('Damage Ranking'!$B$6:$B$172,A57,'Damage Ranking'!$C$6:$C$172,B57)=0,"",SUMIFS('Damage Ranking'!$D$6:$D$172,'Damage Ranking'!$B$6:$B$172,A57,'Damage Ranking'!$C$6:$C$172,B57))</x:f>
        <x:v>74.1153012436833</x:v>
      </x:c>
      <x:c r="R57" s="431" t="n">
        <x:f>IF(Q57="","",SUMIFS('Damage Ranking'!$A$6:$A$172,'Damage Ranking'!$B$6:$B$172,A57,'Damage Ranking'!$C$6:$C$172,B57))</x:f>
        <x:v>14</x:v>
      </x:c>
      <x:c r="S57" s="431" t="n">
        <x:f>IF(OR(R57="",O57=""),"",R57-O57)</x:f>
        <x:v>-3</x:v>
      </x:c>
      <x:c r="T57" s="430" t="str">
        <x:f>IF(S57="","No damage score",IF(S57&gt;=20,"Badges much stronger",IF(S57&lt;=-20,"Damage much stronger","Broadly aligned")))</x:f>
        <x:v>Broadly aligned</x:v>
      </x:c>
      <x:c r="U57" s="434" t="n">
        <x:f>IF(Q57="","",Q57*(1-$R$5)+L57*$R$5)</x:f>
        <x:v>74.1153012436833</x:v>
      </x:c>
      <x:c r="V57" s="431" t="n">
        <x:f>IF(U57="","",1+COUNTIF($U$19:$U$186,"&gt;"&amp;U57))</x:f>
        <x:v>14</x:v>
      </x:c>
    </x:row>
    <x:row r="58" ht="24" customHeight="1">
      <x:c r="A58" s="430" t="str">
        <x:v>K91</x:v>
      </x:c>
      <x:c r="B58" s="430" t="str">
        <x:v>JustBlaze</x:v>
      </x:c>
      <x:c r="C58" s="431" t="n">
        <x:f>COUNTIFS('Specialisations'!$A$6:$A$527,A58,'Specialisations'!$B$6:$B$527,B58)</x:f>
        <x:v>3</x:v>
      </x:c>
      <x:c r="D58" s="431" t="n">
        <x:f>COUNTIFS('Specialisations'!$A$6:$A$527,A58,'Specialisations'!$B$6:$B$527,B58,'Specialisations'!$P$6:$P$527,"OK")</x:f>
        <x:v>3</x:v>
      </x:c>
      <x:c r="E58" s="431" t="n">
        <x:f>C58-D58</x:f>
        <x:v>0</x:v>
      </x:c>
      <x:c r="F58" s="432" t="n">
        <x:f>IF(C58=0,0,D58/C58)</x:f>
        <x:v>1</x:v>
      </x:c>
      <x:c r="G58" s="433" t="n">
        <x:f>SUMIFS('Specialisations'!$N$6:$N$527,'Specialisations'!$A$6:$A$527,A58,'Specialisations'!$B$6:$B$527,B58,'Specialisations'!$C$6:$C$527,"Guards")</x:f>
        <x:v>549300</x:v>
      </x:c>
      <x:c r="H58" s="433" t="n">
        <x:f>SUMIFS('Specialisations'!$N$6:$N$527,'Specialisations'!$A$6:$A$527,A58,'Specialisations'!$B$6:$B$527,B58,'Specialisations'!$C$6:$C$527,"Archers")</x:f>
        <x:v>0</x:v>
      </x:c>
      <x:c r="I58" s="433" t="n">
        <x:f>SUMIFS('Specialisations'!$N$6:$N$527,'Specialisations'!$A$6:$A$527,A58,'Specialisations'!$B$6:$B$527,B58,'Specialisations'!$C$6:$C$527,"Cavalry")</x:f>
        <x:v>16218600</x:v>
      </x:c>
      <x:c r="J58" s="433" t="n">
        <x:f>SUMIFS('Specialisations'!$N$6:$N$527,'Specialisations'!$A$6:$A$527,A58,'Specialisations'!$B$6:$B$527,B58,'Specialisations'!$C$6:$C$527,"Siege")</x:f>
        <x:v>0</x:v>
      </x:c>
      <x:c r="K58" s="433" t="n">
        <x:f>SUM(G58:J58)</x:f>
        <x:v>16767900</x:v>
      </x:c>
      <x:c r="L58" s="434" t="n">
        <x:f>IFERROR(100*K58/MAX($K$19:$K$186),0)</x:f>
        <x:v>27.042470220527758</x:v>
      </x:c>
      <x:c r="M58" s="495" t="n">
        <x:f>IF(C58=0,"",SUMIFS('Specialisations'!$Q$6:$Q$527,'Specialisations'!$A$6:$A$527,A58,'Specialisations'!$B$6:$B$527,B58))</x:f>
        <x:v>100.87</x:v>
      </x:c>
      <x:c r="N58" s="431" t="n">
        <x:f>IF(K58=0,"",1+COUNTIFS($A$19:$A$186,A58,$K$19:$K$186,"&gt;"&amp;K58))</x:f>
        <x:v>5</x:v>
      </x:c>
      <x:c r="O58" s="431" t="n">
        <x:f>IF(K58=0,"",1+COUNTIF($K$19:$K$186,"&gt;"&amp;K58))</x:f>
        <x:v>52</x:v>
      </x:c>
      <x:c r="P58" s="430" t="str">
        <x:f>IF(C58=0,"No specialisations recorded",IF(E58&gt;0,"Review missing level","Complete"))</x:f>
        <x:v>Complete</x:v>
      </x:c>
      <x:c r="Q58" s="434" t="n">
        <x:f>IF(COUNTIFS('Damage Ranking'!$B$6:$B$172,A58,'Damage Ranking'!$C$6:$C$172,B58)=0,"",SUMIFS('Damage Ranking'!$D$6:$D$172,'Damage Ranking'!$B$6:$B$172,A58,'Damage Ranking'!$C$6:$C$172,B58))</x:f>
        <x:v>31.6601723230136</x:v>
      </x:c>
      <x:c r="R58" s="431" t="n">
        <x:f>IF(Q58="","",SUMIFS('Damage Ranking'!$A$6:$A$172,'Damage Ranking'!$B$6:$B$172,A58,'Damage Ranking'!$C$6:$C$172,B58))</x:f>
        <x:v>88</x:v>
      </x:c>
      <x:c r="S58" s="431" t="n">
        <x:f>IF(OR(R58="",O58=""),"",R58-O58)</x:f>
        <x:v>36</x:v>
      </x:c>
      <x:c r="T58" s="430" t="str">
        <x:f>IF(S58="","No damage score",IF(S58&gt;=20,"Badges much stronger",IF(S58&lt;=-20,"Damage much stronger","Broadly aligned")))</x:f>
        <x:v>Badges much stronger</x:v>
      </x:c>
      <x:c r="U58" s="434" t="n">
        <x:f>IF(Q58="","",Q58*(1-$R$5)+L58*$R$5)</x:f>
        <x:v>31.6601723230136</x:v>
      </x:c>
      <x:c r="V58" s="431" t="n">
        <x:f>IF(U58="","",1+COUNTIF($U$19:$U$186,"&gt;"&amp;U58))</x:f>
        <x:v>88</x:v>
      </x:c>
    </x:row>
    <x:row r="59" ht="24" customHeight="1">
      <x:c r="A59" s="430" t="str">
        <x:v>K91</x:v>
      </x:c>
      <x:c r="B59" s="430" t="str">
        <x:v>KaladinTheHerald</x:v>
      </x:c>
      <x:c r="C59" s="431" t="n">
        <x:f>COUNTIFS('Specialisations'!$A$6:$A$527,A59,'Specialisations'!$B$6:$B$527,B59)</x:f>
        <x:v>3</x:v>
      </x:c>
      <x:c r="D59" s="431" t="n">
        <x:f>COUNTIFS('Specialisations'!$A$6:$A$527,A59,'Specialisations'!$B$6:$B$527,B59,'Specialisations'!$P$6:$P$527,"OK")</x:f>
        <x:v>3</x:v>
      </x:c>
      <x:c r="E59" s="431" t="n">
        <x:f>C59-D59</x:f>
        <x:v>0</x:v>
      </x:c>
      <x:c r="F59" s="432" t="n">
        <x:f>IF(C59=0,0,D59/C59)</x:f>
        <x:v>1</x:v>
      </x:c>
      <x:c r="G59" s="433" t="n">
        <x:f>SUMIFS('Specialisations'!$N$6:$N$527,'Specialisations'!$A$6:$A$527,A59,'Specialisations'!$B$6:$B$527,B59,'Specialisations'!$C$6:$C$527,"Guards")</x:f>
        <x:v>1464300</x:v>
      </x:c>
      <x:c r="H59" s="433" t="n">
        <x:f>SUMIFS('Specialisations'!$N$6:$N$527,'Specialisations'!$A$6:$A$527,A59,'Specialisations'!$B$6:$B$527,B59,'Specialisations'!$C$6:$C$527,"Archers")</x:f>
        <x:v>0</x:v>
      </x:c>
      <x:c r="I59" s="433" t="n">
        <x:f>SUMIFS('Specialisations'!$N$6:$N$527,'Specialisations'!$A$6:$A$527,A59,'Specialisations'!$B$6:$B$527,B59,'Specialisations'!$C$6:$C$527,"Cavalry")</x:f>
        <x:v>15338600</x:v>
      </x:c>
      <x:c r="J59" s="433" t="n">
        <x:f>SUMIFS('Specialisations'!$N$6:$N$527,'Specialisations'!$A$6:$A$527,A59,'Specialisations'!$B$6:$B$527,B59,'Specialisations'!$C$6:$C$527,"Siege")</x:f>
        <x:v>0</x:v>
      </x:c>
      <x:c r="K59" s="433" t="n">
        <x:f>SUM(G59:J59)</x:f>
        <x:v>16802900</x:v>
      </x:c>
      <x:c r="L59" s="434" t="n">
        <x:f>IFERROR(100*K59/MAX($K$19:$K$186),0)</x:f>
        <x:v>27.098916552967626</x:v>
      </x:c>
      <x:c r="M59" s="495" t="n">
        <x:f>IF(C59=0,"",SUMIFS('Specialisations'!$Q$6:$Q$527,'Specialisations'!$A$6:$A$527,A59,'Specialisations'!$B$6:$B$527,B59))</x:f>
        <x:v>85.96000000000001</x:v>
      </x:c>
      <x:c r="N59" s="431" t="n">
        <x:f>IF(K59=0,"",1+COUNTIFS($A$19:$A$186,A59,$K$19:$K$186,"&gt;"&amp;K59))</x:f>
        <x:v>4</x:v>
      </x:c>
      <x:c r="O59" s="431" t="n">
        <x:f>IF(K59=0,"",1+COUNTIF($K$19:$K$186,"&gt;"&amp;K59))</x:f>
        <x:v>51</x:v>
      </x:c>
      <x:c r="P59" s="430" t="str">
        <x:f>IF(C59=0,"No specialisations recorded",IF(E59&gt;0,"Review missing level","Complete"))</x:f>
        <x:v>Complete</x:v>
      </x:c>
      <x:c r="Q59" s="434" t="n">
        <x:f>IF(COUNTIFS('Damage Ranking'!$B$6:$B$172,A59,'Damage Ranking'!$C$6:$C$172,B59)=0,"",SUMIFS('Damage Ranking'!$D$6:$D$172,'Damage Ranking'!$B$6:$B$172,A59,'Damage Ranking'!$C$6:$C$172,B59))</x:f>
        <x:v>47.6848805513122</x:v>
      </x:c>
      <x:c r="R59" s="431" t="n">
        <x:f>IF(Q59="","",SUMIFS('Damage Ranking'!$A$6:$A$172,'Damage Ranking'!$B$6:$B$172,A59,'Damage Ranking'!$C$6:$C$172,B59))</x:f>
        <x:v>44</x:v>
      </x:c>
      <x:c r="S59" s="431" t="n">
        <x:f>IF(OR(R59="",O59=""),"",R59-O59)</x:f>
        <x:v>-7</x:v>
      </x:c>
      <x:c r="T59" s="430" t="str">
        <x:f>IF(S59="","No damage score",IF(S59&gt;=20,"Badges much stronger",IF(S59&lt;=-20,"Damage much stronger","Broadly aligned")))</x:f>
        <x:v>Broadly aligned</x:v>
      </x:c>
      <x:c r="U59" s="434" t="n">
        <x:f>IF(Q59="","",Q59*(1-$R$5)+L59*$R$5)</x:f>
        <x:v>47.6848805513122</x:v>
      </x:c>
      <x:c r="V59" s="431" t="n">
        <x:f>IF(U59="","",1+COUNTIF($U$19:$U$186,"&gt;"&amp;U59))</x:f>
        <x:v>44</x:v>
      </x:c>
    </x:row>
    <x:row r="60" ht="24" customHeight="1">
      <x:c r="A60" s="430" t="str">
        <x:v>K91</x:v>
      </x:c>
      <x:c r="B60" s="430" t="str">
        <x:v>Crash</x:v>
      </x:c>
      <x:c r="C60" s="431" t="n">
        <x:f>COUNTIFS('Specialisations'!$A$6:$A$527,A60,'Specialisations'!$B$6:$B$527,B60)</x:f>
        <x:v>3</x:v>
      </x:c>
      <x:c r="D60" s="431" t="n">
        <x:f>COUNTIFS('Specialisations'!$A$6:$A$527,A60,'Specialisations'!$B$6:$B$527,B60,'Specialisations'!$P$6:$P$527,"OK")</x:f>
        <x:v>3</x:v>
      </x:c>
      <x:c r="E60" s="431" t="n">
        <x:f>C60-D60</x:f>
        <x:v>0</x:v>
      </x:c>
      <x:c r="F60" s="432" t="n">
        <x:f>IF(C60=0,0,D60/C60)</x:f>
        <x:v>1</x:v>
      </x:c>
      <x:c r="G60" s="433" t="n">
        <x:f>SUMIFS('Specialisations'!$N$6:$N$527,'Specialisations'!$A$6:$A$527,A60,'Specialisations'!$B$6:$B$527,B60,'Specialisations'!$C$6:$C$527,"Guards")</x:f>
        <x:v>864300</x:v>
      </x:c>
      <x:c r="H60" s="433" t="n">
        <x:f>SUMIFS('Specialisations'!$N$6:$N$527,'Specialisations'!$A$6:$A$527,A60,'Specialisations'!$B$6:$B$527,B60,'Specialisations'!$C$6:$C$527,"Archers")</x:f>
        <x:v>0</x:v>
      </x:c>
      <x:c r="I60" s="433" t="n">
        <x:f>SUMIFS('Specialisations'!$N$6:$N$527,'Specialisations'!$A$6:$A$527,A60,'Specialisations'!$B$6:$B$527,B60,'Specialisations'!$C$6:$C$527,"Cavalry")</x:f>
        <x:v>11958600</x:v>
      </x:c>
      <x:c r="J60" s="433" t="n">
        <x:f>SUMIFS('Specialisations'!$N$6:$N$527,'Specialisations'!$A$6:$A$527,A60,'Specialisations'!$B$6:$B$527,B60,'Specialisations'!$C$6:$C$527,"Siege")</x:f>
        <x:v>0</x:v>
      </x:c>
      <x:c r="K60" s="433" t="n">
        <x:f>SUM(G60:J60)</x:f>
        <x:v>12822900</x:v>
      </x:c>
      <x:c r="L60" s="434" t="n">
        <x:f>IFERROR(100*K60/MAX($K$19:$K$186),0)</x:f>
        <x:v>20.68016217837686</x:v>
      </x:c>
      <x:c r="M60" s="495" t="n">
        <x:f>IF(C60=0,"",SUMIFS('Specialisations'!$Q$6:$Q$527,'Specialisations'!$A$6:$A$527,A60,'Specialisations'!$B$6:$B$527,B60))</x:f>
        <x:v>68.64</x:v>
      </x:c>
      <x:c r="N60" s="431" t="n">
        <x:f>IF(K60=0,"",1+COUNTIFS($A$19:$A$186,A60,$K$19:$K$186,"&gt;"&amp;K60))</x:f>
        <x:v>10</x:v>
      </x:c>
      <x:c r="O60" s="431" t="n">
        <x:f>IF(K60=0,"",1+COUNTIF($K$19:$K$186,"&gt;"&amp;K60))</x:f>
        <x:v>87</x:v>
      </x:c>
      <x:c r="P60" s="430" t="str">
        <x:f>IF(C60=0,"No specialisations recorded",IF(E60&gt;0,"Review missing level","Complete"))</x:f>
        <x:v>Complete</x:v>
      </x:c>
      <x:c r="Q60" s="434" t="n">
        <x:f>IF(COUNTIFS('Damage Ranking'!$B$6:$B$172,A60,'Damage Ranking'!$C$6:$C$172,B60)=0,"",SUMIFS('Damage Ranking'!$D$6:$D$172,'Damage Ranking'!$B$6:$B$172,A60,'Damage Ranking'!$C$6:$C$172,B60))</x:f>
        <x:v>8.006347614007392</x:v>
      </x:c>
      <x:c r="R60" s="431" t="n">
        <x:f>IF(Q60="","",SUMIFS('Damage Ranking'!$A$6:$A$172,'Damage Ranking'!$B$6:$B$172,A60,'Damage Ranking'!$C$6:$C$172,B60))</x:f>
        <x:v>157</x:v>
      </x:c>
      <x:c r="S60" s="431" t="n">
        <x:f>IF(OR(R60="",O60=""),"",R60-O60)</x:f>
        <x:v>70</x:v>
      </x:c>
      <x:c r="T60" s="430" t="str">
        <x:f>IF(S60="","No damage score",IF(S60&gt;=20,"Badges much stronger",IF(S60&lt;=-20,"Damage much stronger","Broadly aligned")))</x:f>
        <x:v>Badges much stronger</x:v>
      </x:c>
      <x:c r="U60" s="434" t="n">
        <x:f>IF(Q60="","",Q60*(1-$R$5)+L60*$R$5)</x:f>
        <x:v>8.006347614007392</x:v>
      </x:c>
      <x:c r="V60" s="431" t="n">
        <x:f>IF(U60="","",1+COUNTIF($U$19:$U$186,"&gt;"&amp;U60))</x:f>
        <x:v>157</x:v>
      </x:c>
    </x:row>
    <x:row r="61" ht="24" customHeight="1">
      <x:c r="A61" s="430" t="str">
        <x:v>K91</x:v>
      </x:c>
      <x:c r="B61" s="430" t="str">
        <x:v>WindRunner</x:v>
      </x:c>
      <x:c r="C61" s="431" t="n">
        <x:f>COUNTIFS('Specialisations'!$A$6:$A$527,A61,'Specialisations'!$B$6:$B$527,B61)</x:f>
        <x:v>3</x:v>
      </x:c>
      <x:c r="D61" s="431" t="n">
        <x:f>COUNTIFS('Specialisations'!$A$6:$A$527,A61,'Specialisations'!$B$6:$B$527,B61,'Specialisations'!$P$6:$P$527,"OK")</x:f>
        <x:v>3</x:v>
      </x:c>
      <x:c r="E61" s="431" t="n">
        <x:f>C61-D61</x:f>
        <x:v>0</x:v>
      </x:c>
      <x:c r="F61" s="432" t="n">
        <x:f>IF(C61=0,0,D61/C61)</x:f>
        <x:v>1</x:v>
      </x:c>
      <x:c r="G61" s="433" t="n">
        <x:f>SUMIFS('Specialisations'!$N$6:$N$527,'Specialisations'!$A$6:$A$527,A61,'Specialisations'!$B$6:$B$527,B61,'Specialisations'!$C$6:$C$527,"Guards")</x:f>
        <x:v>1324300</x:v>
      </x:c>
      <x:c r="H61" s="433" t="n">
        <x:f>SUMIFS('Specialisations'!$N$6:$N$527,'Specialisations'!$A$6:$A$527,A61,'Specialisations'!$B$6:$B$527,B61,'Specialisations'!$C$6:$C$527,"Archers")</x:f>
        <x:v>17268600</x:v>
      </x:c>
      <x:c r="I61" s="433" t="n">
        <x:f>SUMIFS('Specialisations'!$N$6:$N$527,'Specialisations'!$A$6:$A$527,A61,'Specialisations'!$B$6:$B$527,B61,'Specialisations'!$C$6:$C$527,"Cavalry")</x:f>
        <x:v>0</x:v>
      </x:c>
      <x:c r="J61" s="433" t="n">
        <x:f>SUMIFS('Specialisations'!$N$6:$N$527,'Specialisations'!$A$6:$A$527,A61,'Specialisations'!$B$6:$B$527,B61,'Specialisations'!$C$6:$C$527,"Siege")</x:f>
        <x:v>0</x:v>
      </x:c>
      <x:c r="K61" s="433" t="n">
        <x:f>SUM(G61:J61)</x:f>
        <x:v>18592900</x:v>
      </x:c>
      <x:c r="L61" s="434" t="n">
        <x:f>IFERROR(100*K61/MAX($K$19:$K$186),0)</x:f>
        <x:v>29.985743269178045</x:v>
      </x:c>
      <x:c r="M61" s="495" t="n">
        <x:f>IF(C61=0,"",SUMIFS('Specialisations'!$Q$6:$Q$527,'Specialisations'!$A$6:$A$527,A61,'Specialisations'!$B$6:$B$527,B61))</x:f>
        <x:v>94.08000000000001</x:v>
      </x:c>
      <x:c r="N61" s="431" t="n">
        <x:f>IF(K61=0,"",1+COUNTIFS($A$19:$A$186,A61,$K$19:$K$186,"&gt;"&amp;K61))</x:f>
        <x:v>3</x:v>
      </x:c>
      <x:c r="O61" s="431" t="n">
        <x:f>IF(K61=0,"",1+COUNTIF($K$19:$K$186,"&gt;"&amp;K61))</x:f>
        <x:v>39</x:v>
      </x:c>
      <x:c r="P61" s="430" t="str">
        <x:f>IF(C61=0,"No specialisations recorded",IF(E61&gt;0,"Review missing level","Complete"))</x:f>
        <x:v>Complete</x:v>
      </x:c>
      <x:c r="Q61" s="434" t="n">
        <x:f>IF(COUNTIFS('Damage Ranking'!$B$6:$B$172,A61,'Damage Ranking'!$C$6:$C$172,B61)=0,"",SUMIFS('Damage Ranking'!$D$6:$D$172,'Damage Ranking'!$B$6:$B$172,A61,'Damage Ranking'!$C$6:$C$172,B61))</x:f>
        <x:v>15.073501516224006</x:v>
      </x:c>
      <x:c r="R61" s="431" t="n">
        <x:f>IF(Q61="","",SUMIFS('Damage Ranking'!$A$6:$A$172,'Damage Ranking'!$B$6:$B$172,A61,'Damage Ranking'!$C$6:$C$172,B61))</x:f>
        <x:v>139</x:v>
      </x:c>
      <x:c r="S61" s="431" t="n">
        <x:f>IF(OR(R61="",O61=""),"",R61-O61)</x:f>
        <x:v>100</x:v>
      </x:c>
      <x:c r="T61" s="430" t="str">
        <x:f>IF(S61="","No damage score",IF(S61&gt;=20,"Badges much stronger",IF(S61&lt;=-20,"Damage much stronger","Broadly aligned")))</x:f>
        <x:v>Badges much stronger</x:v>
      </x:c>
      <x:c r="U61" s="434" t="n">
        <x:f>IF(Q61="","",Q61*(1-$R$5)+L61*$R$5)</x:f>
        <x:v>15.073501516224006</x:v>
      </x:c>
      <x:c r="V61" s="431" t="n">
        <x:f>IF(U61="","",1+COUNTIF($U$19:$U$186,"&gt;"&amp;U61))</x:f>
        <x:v>139</x:v>
      </x:c>
    </x:row>
    <x:row r="62" ht="24" customHeight="1">
      <x:c r="A62" s="430" t="str">
        <x:v>K91</x:v>
      </x:c>
      <x:c r="B62" s="430" t="str">
        <x:v>•Scorpio•NM85</x:v>
      </x:c>
      <x:c r="C62" s="431" t="n">
        <x:f>COUNTIFS('Specialisations'!$A$6:$A$527,A62,'Specialisations'!$B$6:$B$527,B62)</x:f>
        <x:v>3</x:v>
      </x:c>
      <x:c r="D62" s="431" t="n">
        <x:f>COUNTIFS('Specialisations'!$A$6:$A$527,A62,'Specialisations'!$B$6:$B$527,B62,'Specialisations'!$P$6:$P$527,"OK")</x:f>
        <x:v>3</x:v>
      </x:c>
      <x:c r="E62" s="431" t="n">
        <x:f>C62-D62</x:f>
        <x:v>0</x:v>
      </x:c>
      <x:c r="F62" s="432" t="n">
        <x:f>IF(C62=0,0,D62/C62)</x:f>
        <x:v>1</x:v>
      </x:c>
      <x:c r="G62" s="433" t="n">
        <x:f>SUMIFS('Specialisations'!$N$6:$N$527,'Specialisations'!$A$6:$A$527,A62,'Specialisations'!$B$6:$B$527,B62,'Specialisations'!$C$6:$C$527,"Guards")</x:f>
        <x:v>774300</x:v>
      </x:c>
      <x:c r="H62" s="433" t="n">
        <x:f>SUMIFS('Specialisations'!$N$6:$N$527,'Specialisations'!$A$6:$A$527,A62,'Specialisations'!$B$6:$B$527,B62,'Specialisations'!$C$6:$C$527,"Archers")</x:f>
        <x:v>6578600</x:v>
      </x:c>
      <x:c r="I62" s="433" t="n">
        <x:f>SUMIFS('Specialisations'!$N$6:$N$527,'Specialisations'!$A$6:$A$527,A62,'Specialisations'!$B$6:$B$527,B62,'Specialisations'!$C$6:$C$527,"Cavalry")</x:f>
        <x:v>0</x:v>
      </x:c>
      <x:c r="J62" s="433" t="n">
        <x:f>SUMIFS('Specialisations'!$N$6:$N$527,'Specialisations'!$A$6:$A$527,A62,'Specialisations'!$B$6:$B$527,B62,'Specialisations'!$C$6:$C$527,"Siege")</x:f>
        <x:v>0</x:v>
      </x:c>
      <x:c r="K62" s="433" t="n">
        <x:f>SUM(G62:J62)</x:f>
        <x:v>7352900</x:v>
      </x:c>
      <x:c r="L62" s="434" t="n">
        <x:f>IFERROR(100*K62/MAX($K$19:$K$186),0)</x:f>
        <x:v>11.858406794203123</x:v>
      </x:c>
      <x:c r="M62" s="495" t="n">
        <x:f>IF(C62=0,"",SUMIFS('Specialisations'!$Q$6:$Q$527,'Specialisations'!$A$6:$A$527,A62,'Specialisations'!$B$6:$B$527,B62))</x:f>
        <x:v>46.56</x:v>
      </x:c>
      <x:c r="N62" s="431" t="n">
        <x:f>IF(K62=0,"",1+COUNTIFS($A$19:$A$186,A62,$K$19:$K$186,"&gt;"&amp;K62))</x:f>
        <x:v>16</x:v>
      </x:c>
      <x:c r="O62" s="431" t="n">
        <x:f>IF(K62=0,"",1+COUNTIF($K$19:$K$186,"&gt;"&amp;K62))</x:f>
        <x:v>138</x:v>
      </x:c>
      <x:c r="P62" s="430" t="str">
        <x:f>IF(C62=0,"No specialisations recorded",IF(E62&gt;0,"Review missing level","Complete"))</x:f>
        <x:v>Complete</x:v>
      </x:c>
      <x:c r="Q62" s="434" t="n">
        <x:f>IF(COUNTIFS('Damage Ranking'!$B$6:$B$172,A62,'Damage Ranking'!$C$6:$C$172,B62)=0,"",SUMIFS('Damage Ranking'!$D$6:$D$172,'Damage Ranking'!$B$6:$B$172,A62,'Damage Ranking'!$C$6:$C$172,B62))</x:f>
        <x:v>22.359120093358527</x:v>
      </x:c>
      <x:c r="R62" s="431" t="n">
        <x:f>IF(Q62="","",SUMIFS('Damage Ranking'!$A$6:$A$172,'Damage Ranking'!$B$6:$B$172,A62,'Damage Ranking'!$C$6:$C$172,B62))</x:f>
        <x:v>118</x:v>
      </x:c>
      <x:c r="S62" s="431" t="n">
        <x:f>IF(OR(R62="",O62=""),"",R62-O62)</x:f>
        <x:v>-20</x:v>
      </x:c>
      <x:c r="T62" s="430" t="str">
        <x:f>IF(S62="","No damage score",IF(S62&gt;=20,"Badges much stronger",IF(S62&lt;=-20,"Damage much stronger","Broadly aligned")))</x:f>
        <x:v>Damage much stronger</x:v>
      </x:c>
      <x:c r="U62" s="434" t="n">
        <x:f>IF(Q62="","",Q62*(1-$R$5)+L62*$R$5)</x:f>
        <x:v>22.359120093358527</x:v>
      </x:c>
      <x:c r="V62" s="431" t="n">
        <x:f>IF(U62="","",1+COUNTIF($U$19:$U$186,"&gt;"&amp;U62))</x:f>
        <x:v>118</x:v>
      </x:c>
    </x:row>
    <x:row r="63" ht="24" customHeight="1">
      <x:c r="A63" s="430" t="str">
        <x:v>K91</x:v>
      </x:c>
      <x:c r="B63" s="430" t="str">
        <x:v>•BigBoss•NM85</x:v>
      </x:c>
      <x:c r="C63" s="431" t="n">
        <x:f>COUNTIFS('Specialisations'!$A$6:$A$527,A63,'Specialisations'!$B$6:$B$527,B63)</x:f>
        <x:v>3</x:v>
      </x:c>
      <x:c r="D63" s="431" t="n">
        <x:f>COUNTIFS('Specialisations'!$A$6:$A$527,A63,'Specialisations'!$B$6:$B$527,B63,'Specialisations'!$P$6:$P$527,"OK")</x:f>
        <x:v>3</x:v>
      </x:c>
      <x:c r="E63" s="431" t="n">
        <x:f>C63-D63</x:f>
        <x:v>0</x:v>
      </x:c>
      <x:c r="F63" s="432" t="n">
        <x:f>IF(C63=0,0,D63/C63)</x:f>
        <x:v>1</x:v>
      </x:c>
      <x:c r="G63" s="433" t="n">
        <x:f>SUMIFS('Specialisations'!$N$6:$N$527,'Specialisations'!$A$6:$A$527,A63,'Specialisations'!$B$6:$B$527,B63,'Specialisations'!$C$6:$C$527,"Guards")</x:f>
        <x:v>774300</x:v>
      </x:c>
      <x:c r="H63" s="433" t="n">
        <x:f>SUMIFS('Specialisations'!$N$6:$N$527,'Specialisations'!$A$6:$A$527,A63,'Specialisations'!$B$6:$B$527,B63,'Specialisations'!$C$6:$C$527,"Archers")</x:f>
        <x:v>11408600</x:v>
      </x:c>
      <x:c r="I63" s="433" t="n">
        <x:f>SUMIFS('Specialisations'!$N$6:$N$527,'Specialisations'!$A$6:$A$527,A63,'Specialisations'!$B$6:$B$527,B63,'Specialisations'!$C$6:$C$527,"Cavalry")</x:f>
        <x:v>0</x:v>
      </x:c>
      <x:c r="J63" s="433" t="n">
        <x:f>SUMIFS('Specialisations'!$N$6:$N$527,'Specialisations'!$A$6:$A$527,A63,'Specialisations'!$B$6:$B$527,B63,'Specialisations'!$C$6:$C$527,"Siege")</x:f>
        <x:v>0</x:v>
      </x:c>
      <x:c r="K63" s="433" t="n">
        <x:f>SUM(G63:J63)</x:f>
        <x:v>12182900</x:v>
      </x:c>
      <x:c r="L63" s="434" t="n">
        <x:f>IFERROR(100*K63/MAX($K$19:$K$186),0)</x:f>
        <x:v>19.64800067090498</x:v>
      </x:c>
      <x:c r="M63" s="495" t="n">
        <x:f>IF(C63=0,"",SUMIFS('Specialisations'!$Q$6:$Q$527,'Specialisations'!$A$6:$A$527,A63,'Specialisations'!$B$6:$B$527,B63))</x:f>
        <x:v>63.96</x:v>
      </x:c>
      <x:c r="N63" s="431" t="n">
        <x:f>IF(K63=0,"",1+COUNTIFS($A$19:$A$186,A63,$K$19:$K$186,"&gt;"&amp;K63))</x:f>
        <x:v>11</x:v>
      </x:c>
      <x:c r="O63" s="431" t="n">
        <x:f>IF(K63=0,"",1+COUNTIF($K$19:$K$186,"&gt;"&amp;K63))</x:f>
        <x:v>97</x:v>
      </x:c>
      <x:c r="P63" s="430" t="str">
        <x:f>IF(C63=0,"No specialisations recorded",IF(E63&gt;0,"Review missing level","Complete"))</x:f>
        <x:v>Complete</x:v>
      </x:c>
      <x:c r="Q63" s="434" t="n">
        <x:f>IF(COUNTIFS('Damage Ranking'!$B$6:$B$172,A63,'Damage Ranking'!$C$6:$C$172,B63)=0,"",SUMIFS('Damage Ranking'!$D$6:$D$172,'Damage Ranking'!$B$6:$B$172,A63,'Damage Ranking'!$C$6:$C$172,B63))</x:f>
        <x:v>25.057020752465064</x:v>
      </x:c>
      <x:c r="R63" s="431" t="n">
        <x:f>IF(Q63="","",SUMIFS('Damage Ranking'!$A$6:$A$172,'Damage Ranking'!$B$6:$B$172,A63,'Damage Ranking'!$C$6:$C$172,B63))</x:f>
        <x:v>107</x:v>
      </x:c>
      <x:c r="S63" s="431" t="n">
        <x:f>IF(OR(R63="",O63=""),"",R63-O63)</x:f>
        <x:v>10</x:v>
      </x:c>
      <x:c r="T63" s="430" t="str">
        <x:f>IF(S63="","No damage score",IF(S63&gt;=20,"Badges much stronger",IF(S63&lt;=-20,"Damage much stronger","Broadly aligned")))</x:f>
        <x:v>Broadly aligned</x:v>
      </x:c>
      <x:c r="U63" s="434" t="n">
        <x:f>IF(Q63="","",Q63*(1-$R$5)+L63*$R$5)</x:f>
        <x:v>25.057020752465064</x:v>
      </x:c>
      <x:c r="V63" s="431" t="n">
        <x:f>IF(U63="","",1+COUNTIF($U$19:$U$186,"&gt;"&amp;U63))</x:f>
        <x:v>107</x:v>
      </x:c>
    </x:row>
    <x:row r="64" ht="24" customHeight="1">
      <x:c r="A64" s="430" t="str">
        <x:v>K116</x:v>
      </x:c>
      <x:c r="B64" s="430" t="str">
        <x:v>Jesse</x:v>
      </x:c>
      <x:c r="C64" s="431" t="n">
        <x:f>COUNTIFS('Specialisations'!$A$6:$A$527,A64,'Specialisations'!$B$6:$B$527,B64)</x:f>
        <x:v>6</x:v>
      </x:c>
      <x:c r="D64" s="431" t="n">
        <x:f>COUNTIFS('Specialisations'!$A$6:$A$527,A64,'Specialisations'!$B$6:$B$527,B64,'Specialisations'!$P$6:$P$527,"OK")</x:f>
        <x:v>6</x:v>
      </x:c>
      <x:c r="E64" s="431" t="n">
        <x:f>C64-D64</x:f>
        <x:v>0</x:v>
      </x:c>
      <x:c r="F64" s="432" t="n">
        <x:f>IF(C64=0,0,D64/C64)</x:f>
        <x:v>1</x:v>
      </x:c>
      <x:c r="G64" s="433" t="n">
        <x:f>SUMIFS('Specialisations'!$N$6:$N$527,'Specialisations'!$A$6:$A$527,A64,'Specialisations'!$B$6:$B$527,B64,'Specialisations'!$C$6:$C$527,"Guards")</x:f>
        <x:v>10334300</x:v>
      </x:c>
      <x:c r="H64" s="433" t="n">
        <x:f>SUMIFS('Specialisations'!$N$6:$N$527,'Specialisations'!$A$6:$A$527,A64,'Specialisations'!$B$6:$B$527,B64,'Specialisations'!$C$6:$C$527,"Archers")</x:f>
        <x:v>3244300</x:v>
      </x:c>
      <x:c r="I64" s="433" t="n">
        <x:f>SUMIFS('Specialisations'!$N$6:$N$527,'Specialisations'!$A$6:$A$527,A64,'Specialisations'!$B$6:$B$527,B64,'Specialisations'!$C$6:$C$527,"Cavalry")</x:f>
        <x:v>15338600</x:v>
      </x:c>
      <x:c r="J64" s="433" t="n">
        <x:f>SUMIFS('Specialisations'!$N$6:$N$527,'Specialisations'!$A$6:$A$527,A64,'Specialisations'!$B$6:$B$527,B64,'Specialisations'!$C$6:$C$527,"Siege")</x:f>
        <x:v>2613600</x:v>
      </x:c>
      <x:c r="K64" s="433" t="n">
        <x:f>SUM(G64:J64)</x:f>
        <x:v>31530800</x:v>
      </x:c>
      <x:c r="L64" s="434" t="n">
        <x:f>IFERROR(100*K64/MAX($K$19:$K$186),0)</x:f>
        <x:v>50.85137196842876</x:v>
      </x:c>
      <x:c r="M64" s="495" t="n">
        <x:f>IF(C64=0,"",SUMIFS('Specialisations'!$Q$6:$Q$527,'Specialisations'!$A$6:$A$527,A64,'Specialisations'!$B$6:$B$527,B64))</x:f>
        <x:v>114.28999999999999</x:v>
      </x:c>
      <x:c r="N64" s="431" t="n">
        <x:f>IF(K64=0,"",1+COUNTIFS($A$19:$A$186,A64,$K$19:$K$186,"&gt;"&amp;K64))</x:f>
        <x:v>1</x:v>
      </x:c>
      <x:c r="O64" s="431" t="n">
        <x:f>IF(K64=0,"",1+COUNTIF($K$19:$K$186,"&gt;"&amp;K64))</x:f>
        <x:v>6</x:v>
      </x:c>
      <x:c r="P64" s="430" t="str">
        <x:f>IF(C64=0,"No specialisations recorded",IF(E64&gt;0,"Review missing level","Complete"))</x:f>
        <x:v>Complete</x:v>
      </x:c>
      <x:c r="Q64" s="434" t="n">
        <x:f>IF(COUNTIFS('Damage Ranking'!$B$6:$B$172,A64,'Damage Ranking'!$C$6:$C$172,B64)=0,"",SUMIFS('Damage Ranking'!$D$6:$D$172,'Damage Ranking'!$B$6:$B$172,A64,'Damage Ranking'!$C$6:$C$172,B64))</x:f>
        <x:v>86.23605080293748</x:v>
      </x:c>
      <x:c r="R64" s="431" t="n">
        <x:f>IF(Q64="","",SUMIFS('Damage Ranking'!$A$6:$A$172,'Damage Ranking'!$B$6:$B$172,A64,'Damage Ranking'!$C$6:$C$172,B64))</x:f>
        <x:v>5</x:v>
      </x:c>
      <x:c r="S64" s="431" t="n">
        <x:f>IF(OR(R64="",O64=""),"",R64-O64)</x:f>
        <x:v>-1</x:v>
      </x:c>
      <x:c r="T64" s="430" t="str">
        <x:f>IF(S64="","No damage score",IF(S64&gt;=20,"Badges much stronger",IF(S64&lt;=-20,"Damage much stronger","Broadly aligned")))</x:f>
        <x:v>Broadly aligned</x:v>
      </x:c>
      <x:c r="U64" s="434" t="n">
        <x:f>IF(Q64="","",Q64*(1-$R$5)+L64*$R$5)</x:f>
        <x:v>86.23605080293748</x:v>
      </x:c>
      <x:c r="V64" s="431" t="n">
        <x:f>IF(U64="","",1+COUNTIF($U$19:$U$186,"&gt;"&amp;U64))</x:f>
        <x:v>5</x:v>
      </x:c>
    </x:row>
    <x:row r="65" ht="24" customHeight="1">
      <x:c r="A65" s="430" t="str">
        <x:v>K116</x:v>
      </x:c>
      <x:c r="B65" s="430" t="str">
        <x:v>逍遥大官人</x:v>
      </x:c>
      <x:c r="C65" s="431" t="n">
        <x:f>COUNTIFS('Specialisations'!$A$6:$A$527,A65,'Specialisations'!$B$6:$B$527,B65)</x:f>
        <x:v>3</x:v>
      </x:c>
      <x:c r="D65" s="431" t="n">
        <x:f>COUNTIFS('Specialisations'!$A$6:$A$527,A65,'Specialisations'!$B$6:$B$527,B65,'Specialisations'!$P$6:$P$527,"OK")</x:f>
        <x:v>3</x:v>
      </x:c>
      <x:c r="E65" s="431" t="n">
        <x:f>C65-D65</x:f>
        <x:v>0</x:v>
      </x:c>
      <x:c r="F65" s="432" t="n">
        <x:f>IF(C65=0,0,D65/C65)</x:f>
        <x:v>1</x:v>
      </x:c>
      <x:c r="G65" s="433" t="n">
        <x:f>SUMIFS('Specialisations'!$N$6:$N$527,'Specialisations'!$A$6:$A$527,A65,'Specialisations'!$B$6:$B$527,B65,'Specialisations'!$C$6:$C$527,"Guards")</x:f>
        <x:v>4284300</x:v>
      </x:c>
      <x:c r="H65" s="433" t="n">
        <x:f>SUMIFS('Specialisations'!$N$6:$N$527,'Specialisations'!$A$6:$A$527,A65,'Specialisations'!$B$6:$B$527,B65,'Specialisations'!$C$6:$C$527,"Archers")</x:f>
        <x:v>0</x:v>
      </x:c>
      <x:c r="I65" s="433" t="n">
        <x:f>SUMIFS('Specialisations'!$N$6:$N$527,'Specialisations'!$A$6:$A$527,A65,'Specialisations'!$B$6:$B$527,B65,'Specialisations'!$C$6:$C$527,"Cavalry")</x:f>
        <x:v>878600</x:v>
      </x:c>
      <x:c r="J65" s="433" t="n">
        <x:f>SUMIFS('Specialisations'!$N$6:$N$527,'Specialisations'!$A$6:$A$527,A65,'Specialisations'!$B$6:$B$527,B65,'Specialisations'!$C$6:$C$527,"Siege")</x:f>
        <x:v>0</x:v>
      </x:c>
      <x:c r="K65" s="433" t="n">
        <x:f>SUM(G65:J65)</x:f>
        <x:v>5162900</x:v>
      </x:c>
      <x:c r="L65" s="434" t="n">
        <x:f>IFERROR(100*K65/MAX($K$19:$K$186),0)</x:f>
        <x:v>8.326479135822778</x:v>
      </x:c>
      <x:c r="M65" s="495" t="n">
        <x:f>IF(C65=0,"",SUMIFS('Specialisations'!$Q$6:$Q$527,'Specialisations'!$A$6:$A$527,A65,'Specialisations'!$B$6:$B$527,B65))</x:f>
        <x:v>-29.979999999999997</x:v>
      </x:c>
      <x:c r="N65" s="431" t="n">
        <x:f>IF(K65=0,"",1+COUNTIFS($A$19:$A$186,A65,$K$19:$K$186,"&gt;"&amp;K65))</x:f>
        <x:v>12</x:v>
      </x:c>
      <x:c r="O65" s="431" t="n">
        <x:f>IF(K65=0,"",1+COUNTIF($K$19:$K$186,"&gt;"&amp;K65))</x:f>
        <x:v>151</x:v>
      </x:c>
      <x:c r="P65" s="430" t="str">
        <x:f>IF(C65=0,"No specialisations recorded",IF(E65&gt;0,"Review missing level","Complete"))</x:f>
        <x:v>Complete</x:v>
      </x:c>
      <x:c r="Q65" s="434" t="n">
        <x:f>IF(COUNTIFS('Damage Ranking'!$B$6:$B$172,A65,'Damage Ranking'!$C$6:$C$172,B65)=0,"",SUMIFS('Damage Ranking'!$D$6:$D$172,'Damage Ranking'!$B$6:$B$172,A65,'Damage Ranking'!$C$6:$C$172,B65))</x:f>
        <x:v>4.117121318973453</x:v>
      </x:c>
      <x:c r="R65" s="431" t="n">
        <x:f>IF(Q65="","",SUMIFS('Damage Ranking'!$A$6:$A$172,'Damage Ranking'!$B$6:$B$172,A65,'Damage Ranking'!$C$6:$C$172,B65))</x:f>
        <x:v>164</x:v>
      </x:c>
      <x:c r="S65" s="431" t="n">
        <x:f>IF(OR(R65="",O65=""),"",R65-O65)</x:f>
        <x:v>13</x:v>
      </x:c>
      <x:c r="T65" s="430" t="str">
        <x:f>IF(S65="","No damage score",IF(S65&gt;=20,"Badges much stronger",IF(S65&lt;=-20,"Damage much stronger","Broadly aligned")))</x:f>
        <x:v>Broadly aligned</x:v>
      </x:c>
      <x:c r="U65" s="434" t="n">
        <x:f>IF(Q65="","",Q65*(1-$R$5)+L65*$R$5)</x:f>
        <x:v>4.117121318973453</x:v>
      </x:c>
      <x:c r="V65" s="431" t="n">
        <x:f>IF(U65="","",1+COUNTIF($U$19:$U$186,"&gt;"&amp;U65))</x:f>
        <x:v>164</x:v>
      </x:c>
    </x:row>
    <x:row r="66" ht="24" customHeight="1">
      <x:c r="A66" s="430" t="str">
        <x:v>K116</x:v>
      </x:c>
      <x:c r="B66" s="430" t="str">
        <x:v>苦瓜大王</x:v>
      </x:c>
      <x:c r="C66" s="431" t="n">
        <x:f>COUNTIFS('Specialisations'!$A$6:$A$527,A66,'Specialisations'!$B$6:$B$527,B66)</x:f>
        <x:v>3</x:v>
      </x:c>
      <x:c r="D66" s="431" t="n">
        <x:f>COUNTIFS('Specialisations'!$A$6:$A$527,A66,'Specialisations'!$B$6:$B$527,B66,'Specialisations'!$P$6:$P$527,"OK")</x:f>
        <x:v>3</x:v>
      </x:c>
      <x:c r="E66" s="431" t="n">
        <x:f>C66-D66</x:f>
        <x:v>0</x:v>
      </x:c>
      <x:c r="F66" s="432" t="n">
        <x:f>IF(C66=0,0,D66/C66)</x:f>
        <x:v>1</x:v>
      </x:c>
      <x:c r="G66" s="433" t="n">
        <x:f>SUMIFS('Specialisations'!$N$6:$N$527,'Specialisations'!$A$6:$A$527,A66,'Specialisations'!$B$6:$B$527,B66,'Specialisations'!$C$6:$C$527,"Guards")</x:f>
        <x:v>10334300</x:v>
      </x:c>
      <x:c r="H66" s="433" t="n">
        <x:f>SUMIFS('Specialisations'!$N$6:$N$527,'Specialisations'!$A$6:$A$527,A66,'Specialisations'!$B$6:$B$527,B66,'Specialisations'!$C$6:$C$527,"Archers")</x:f>
        <x:v>2524300</x:v>
      </x:c>
      <x:c r="I66" s="433" t="n">
        <x:f>SUMIFS('Specialisations'!$N$6:$N$527,'Specialisations'!$A$6:$A$527,A66,'Specialisations'!$B$6:$B$527,B66,'Specialisations'!$C$6:$C$527,"Cavalry")</x:f>
        <x:v>2844300</x:v>
      </x:c>
      <x:c r="J66" s="433" t="n">
        <x:f>SUMIFS('Specialisations'!$N$6:$N$527,'Specialisations'!$A$6:$A$527,A66,'Specialisations'!$B$6:$B$527,B66,'Specialisations'!$C$6:$C$527,"Siege")</x:f>
        <x:v>0</x:v>
      </x:c>
      <x:c r="K66" s="433" t="n">
        <x:f>SUM(G66:J66)</x:f>
        <x:v>15702900</x:v>
      </x:c>
      <x:c r="L66" s="434" t="n">
        <x:f>IFERROR(100*K66/MAX($K$19:$K$186),0)</x:f>
        <x:v>25.32488896200033</x:v>
      </x:c>
      <x:c r="M66" s="495" t="n">
        <x:f>IF(C66=0,"",SUMIFS('Specialisations'!$Q$6:$Q$527,'Specialisations'!$A$6:$A$527,A66,'Specialisations'!$B$6:$B$527,B66))</x:f>
        <x:v>3.5100000000000016</x:v>
      </x:c>
      <x:c r="N66" s="431" t="n">
        <x:f>IF(K66=0,"",1+COUNTIFS($A$19:$A$186,A66,$K$19:$K$186,"&gt;"&amp;K66))</x:f>
        <x:v>6</x:v>
      </x:c>
      <x:c r="O66" s="431" t="n">
        <x:f>IF(K66=0,"",1+COUNTIF($K$19:$K$186,"&gt;"&amp;K66))</x:f>
        <x:v>55</x:v>
      </x:c>
      <x:c r="P66" s="430" t="str">
        <x:f>IF(C66=0,"No specialisations recorded",IF(E66&gt;0,"Review missing level","Complete"))</x:f>
        <x:v>Complete</x:v>
      </x:c>
      <x:c r="Q66" s="434" t="n">
        <x:f>IF(COUNTIFS('Damage Ranking'!$B$6:$B$172,A66,'Damage Ranking'!$C$6:$C$172,B66)=0,"",SUMIFS('Damage Ranking'!$D$6:$D$172,'Damage Ranking'!$B$6:$B$172,A66,'Damage Ranking'!$C$6:$C$172,B66))</x:f>
        <x:v>48.95507557494766</x:v>
      </x:c>
      <x:c r="R66" s="431" t="n">
        <x:f>IF(Q66="","",SUMIFS('Damage Ranking'!$A$6:$A$172,'Damage Ranking'!$B$6:$B$172,A66,'Damage Ranking'!$C$6:$C$172,B66))</x:f>
        <x:v>42</x:v>
      </x:c>
      <x:c r="S66" s="431" t="n">
        <x:f>IF(OR(R66="",O66=""),"",R66-O66)</x:f>
        <x:v>-13</x:v>
      </x:c>
      <x:c r="T66" s="430" t="str">
        <x:f>IF(S66="","No damage score",IF(S66&gt;=20,"Badges much stronger",IF(S66&lt;=-20,"Damage much stronger","Broadly aligned")))</x:f>
        <x:v>Broadly aligned</x:v>
      </x:c>
      <x:c r="U66" s="434" t="n">
        <x:f>IF(Q66="","",Q66*(1-$R$5)+L66*$R$5)</x:f>
        <x:v>48.95507557494766</x:v>
      </x:c>
      <x:c r="V66" s="431" t="n">
        <x:f>IF(U66="","",1+COUNTIF($U$19:$U$186,"&gt;"&amp;U66))</x:f>
        <x:v>42</x:v>
      </x:c>
    </x:row>
    <x:row r="67" ht="24" customHeight="1">
      <x:c r="A67" s="430" t="str">
        <x:v>K116</x:v>
      </x:c>
      <x:c r="B67" s="430" t="str">
        <x:v>Derek</x:v>
      </x:c>
      <x:c r="C67" s="431" t="n">
        <x:f>COUNTIFS('Specialisations'!$A$6:$A$527,A67,'Specialisations'!$B$6:$B$527,B67)</x:f>
        <x:v>0</x:v>
      </x:c>
      <x:c r="D67" s="431" t="n">
        <x:f>COUNTIFS('Specialisations'!$A$6:$A$527,A67,'Specialisations'!$B$6:$B$527,B67,'Specialisations'!$P$6:$P$527,"OK")</x:f>
        <x:v>0</x:v>
      </x:c>
      <x:c r="E67" s="431" t="n">
        <x:f>C67-D67</x:f>
        <x:v>0</x:v>
      </x:c>
      <x:c r="F67" s="432" t="n">
        <x:f>IF(C67=0,0,D67/C67)</x:f>
        <x:v>0</x:v>
      </x:c>
      <x:c r="G67" s="433" t="n">
        <x:f>SUMIFS('Specialisations'!$N$6:$N$527,'Specialisations'!$A$6:$A$527,A67,'Specialisations'!$B$6:$B$527,B67,'Specialisations'!$C$6:$C$527,"Guards")</x:f>
        <x:v>0</x:v>
      </x:c>
      <x:c r="H67" s="433" t="n">
        <x:f>SUMIFS('Specialisations'!$N$6:$N$527,'Specialisations'!$A$6:$A$527,A67,'Specialisations'!$B$6:$B$527,B67,'Specialisations'!$C$6:$C$527,"Archers")</x:f>
        <x:v>0</x:v>
      </x:c>
      <x:c r="I67" s="433" t="n">
        <x:f>SUMIFS('Specialisations'!$N$6:$N$527,'Specialisations'!$A$6:$A$527,A67,'Specialisations'!$B$6:$B$527,B67,'Specialisations'!$C$6:$C$527,"Cavalry")</x:f>
        <x:v>0</x:v>
      </x:c>
      <x:c r="J67" s="433" t="n">
        <x:f>SUMIFS('Specialisations'!$N$6:$N$527,'Specialisations'!$A$6:$A$527,A67,'Specialisations'!$B$6:$B$527,B67,'Specialisations'!$C$6:$C$527,"Siege")</x:f>
        <x:v>0</x:v>
      </x:c>
      <x:c r="K67" s="433" t="n">
        <x:f>SUM(G67:J67)</x:f>
        <x:v>0</x:v>
      </x:c>
      <x:c r="L67" s="434" t="n">
        <x:f>IFERROR(100*K67/MAX($K$19:$K$186),0)</x:f>
        <x:v>0</x:v>
      </x:c>
      <x:c r="M67" s="495" t="str">
        <x:f>IF(C67=0,"",SUMIFS('Specialisations'!$Q$6:$Q$527,'Specialisations'!$A$6:$A$527,A67,'Specialisations'!$B$6:$B$527,B67))</x:f>
      </x:c>
      <x:c r="N67" s="431" t="str">
        <x:f>IF(K67=0,"",1+COUNTIFS($A$19:$A$186,A67,$K$19:$K$186,"&gt;"&amp;K67))</x:f>
      </x:c>
      <x:c r="O67" s="431" t="str">
        <x:f>IF(K67=0,"",1+COUNTIF($K$19:$K$186,"&gt;"&amp;K67))</x:f>
      </x:c>
      <x:c r="P67" s="430" t="str">
        <x:f>IF(C67=0,"No specialisations recorded",IF(E67&gt;0,"Review missing level","Complete"))</x:f>
        <x:v>No specialisations recorded</x:v>
      </x:c>
      <x:c r="Q67" s="434" t="n">
        <x:f>IF(COUNTIFS('Damage Ranking'!$B$6:$B$172,A67,'Damage Ranking'!$C$6:$C$172,B67)=0,"",SUMIFS('Damage Ranking'!$D$6:$D$172,'Damage Ranking'!$B$6:$B$172,A67,'Damage Ranking'!$C$6:$C$172,B67))</x:f>
        <x:v>17.181456449824864</x:v>
      </x:c>
      <x:c r="R67" s="431" t="n">
        <x:f>IF(Q67="","",SUMIFS('Damage Ranking'!$A$6:$A$172,'Damage Ranking'!$B$6:$B$172,A67,'Damage Ranking'!$C$6:$C$172,B67))</x:f>
        <x:v>134</x:v>
      </x:c>
      <x:c r="S67" s="431" t="str">
        <x:f>IF(OR(R67="",O67=""),"",R67-O67)</x:f>
      </x:c>
      <x:c r="T67" s="430" t="str">
        <x:f>IF(S67="","No damage score",IF(S67&gt;=20,"Badges much stronger",IF(S67&lt;=-20,"Damage much stronger","Broadly aligned")))</x:f>
        <x:v>No damage score</x:v>
      </x:c>
      <x:c r="U67" s="434" t="n">
        <x:f>IF(Q67="","",Q67*(1-$R$5)+L67*$R$5)</x:f>
        <x:v>17.181456449824864</x:v>
      </x:c>
      <x:c r="V67" s="431" t="n">
        <x:f>IF(U67="","",1+COUNTIF($U$19:$U$186,"&gt;"&amp;U67))</x:f>
        <x:v>134</x:v>
      </x:c>
    </x:row>
    <x:row r="68" ht="24" customHeight="1">
      <x:c r="A68" s="430" t="str">
        <x:v>K116</x:v>
      </x:c>
      <x:c r="B68" s="430" t="str">
        <x:v>陶渊明</x:v>
      </x:c>
      <x:c r="C68" s="431" t="n">
        <x:f>COUNTIFS('Specialisations'!$A$6:$A$527,A68,'Specialisations'!$B$6:$B$527,B68)</x:f>
        <x:v>0</x:v>
      </x:c>
      <x:c r="D68" s="431" t="n">
        <x:f>COUNTIFS('Specialisations'!$A$6:$A$527,A68,'Specialisations'!$B$6:$B$527,B68,'Specialisations'!$P$6:$P$527,"OK")</x:f>
        <x:v>0</x:v>
      </x:c>
      <x:c r="E68" s="431" t="n">
        <x:f>C68-D68</x:f>
        <x:v>0</x:v>
      </x:c>
      <x:c r="F68" s="432" t="n">
        <x:f>IF(C68=0,0,D68/C68)</x:f>
        <x:v>0</x:v>
      </x:c>
      <x:c r="G68" s="433" t="n">
        <x:f>SUMIFS('Specialisations'!$N$6:$N$527,'Specialisations'!$A$6:$A$527,A68,'Specialisations'!$B$6:$B$527,B68,'Specialisations'!$C$6:$C$527,"Guards")</x:f>
        <x:v>0</x:v>
      </x:c>
      <x:c r="H68" s="433" t="n">
        <x:f>SUMIFS('Specialisations'!$N$6:$N$527,'Specialisations'!$A$6:$A$527,A68,'Specialisations'!$B$6:$B$527,B68,'Specialisations'!$C$6:$C$527,"Archers")</x:f>
        <x:v>0</x:v>
      </x:c>
      <x:c r="I68" s="433" t="n">
        <x:f>SUMIFS('Specialisations'!$N$6:$N$527,'Specialisations'!$A$6:$A$527,A68,'Specialisations'!$B$6:$B$527,B68,'Specialisations'!$C$6:$C$527,"Cavalry")</x:f>
        <x:v>0</x:v>
      </x:c>
      <x:c r="J68" s="433" t="n">
        <x:f>SUMIFS('Specialisations'!$N$6:$N$527,'Specialisations'!$A$6:$A$527,A68,'Specialisations'!$B$6:$B$527,B68,'Specialisations'!$C$6:$C$527,"Siege")</x:f>
        <x:v>0</x:v>
      </x:c>
      <x:c r="K68" s="433" t="n">
        <x:f>SUM(G68:J68)</x:f>
        <x:v>0</x:v>
      </x:c>
      <x:c r="L68" s="434" t="n">
        <x:f>IFERROR(100*K68/MAX($K$19:$K$186),0)</x:f>
        <x:v>0</x:v>
      </x:c>
      <x:c r="M68" s="495" t="str">
        <x:f>IF(C68=0,"",SUMIFS('Specialisations'!$Q$6:$Q$527,'Specialisations'!$A$6:$A$527,A68,'Specialisations'!$B$6:$B$527,B68))</x:f>
      </x:c>
      <x:c r="N68" s="431" t="str">
        <x:f>IF(K68=0,"",1+COUNTIFS($A$19:$A$186,A68,$K$19:$K$186,"&gt;"&amp;K68))</x:f>
      </x:c>
      <x:c r="O68" s="431" t="str">
        <x:f>IF(K68=0,"",1+COUNTIF($K$19:$K$186,"&gt;"&amp;K68))</x:f>
      </x:c>
      <x:c r="P68" s="430" t="str">
        <x:f>IF(C68=0,"No specialisations recorded",IF(E68&gt;0,"Review missing level","Complete"))</x:f>
        <x:v>No specialisations recorded</x:v>
      </x:c>
      <x:c r="Q68" s="434" t="n">
        <x:f>IF(COUNTIFS('Damage Ranking'!$B$6:$B$172,A68,'Damage Ranking'!$C$6:$C$172,B68)=0,"",SUMIFS('Damage Ranking'!$D$6:$D$172,'Damage Ranking'!$B$6:$B$172,A68,'Damage Ranking'!$C$6:$C$172,B68))</x:f>
        <x:v>7.045890562322528</x:v>
      </x:c>
      <x:c r="R68" s="431" t="n">
        <x:f>IF(Q68="","",SUMIFS('Damage Ranking'!$A$6:$A$172,'Damage Ranking'!$B$6:$B$172,A68,'Damage Ranking'!$C$6:$C$172,B68))</x:f>
        <x:v>158</x:v>
      </x:c>
      <x:c r="S68" s="431" t="str">
        <x:f>IF(OR(R68="",O68=""),"",R68-O68)</x:f>
      </x:c>
      <x:c r="T68" s="430" t="str">
        <x:f>IF(S68="","No damage score",IF(S68&gt;=20,"Badges much stronger",IF(S68&lt;=-20,"Damage much stronger","Broadly aligned")))</x:f>
        <x:v>No damage score</x:v>
      </x:c>
      <x:c r="U68" s="434" t="n">
        <x:f>IF(Q68="","",Q68*(1-$R$5)+L68*$R$5)</x:f>
        <x:v>7.045890562322528</x:v>
      </x:c>
      <x:c r="V68" s="431" t="n">
        <x:f>IF(U68="","",1+COUNTIF($U$19:$U$186,"&gt;"&amp;U68))</x:f>
        <x:v>158</x:v>
      </x:c>
    </x:row>
    <x:row r="69" ht="24" customHeight="1">
      <x:c r="A69" s="430" t="str">
        <x:v>K116</x:v>
      </x:c>
      <x:c r="B69" s="430" t="str">
        <x:v>开始摆烂</x:v>
      </x:c>
      <x:c r="C69" s="431" t="n">
        <x:f>COUNTIFS('Specialisations'!$A$6:$A$527,A69,'Specialisations'!$B$6:$B$527,B69)</x:f>
        <x:v>0</x:v>
      </x:c>
      <x:c r="D69" s="431" t="n">
        <x:f>COUNTIFS('Specialisations'!$A$6:$A$527,A69,'Specialisations'!$B$6:$B$527,B69,'Specialisations'!$P$6:$P$527,"OK")</x:f>
        <x:v>0</x:v>
      </x:c>
      <x:c r="E69" s="431" t="n">
        <x:f>C69-D69</x:f>
        <x:v>0</x:v>
      </x:c>
      <x:c r="F69" s="432" t="n">
        <x:f>IF(C69=0,0,D69/C69)</x:f>
        <x:v>0</x:v>
      </x:c>
      <x:c r="G69" s="433" t="n">
        <x:f>SUMIFS('Specialisations'!$N$6:$N$527,'Specialisations'!$A$6:$A$527,A69,'Specialisations'!$B$6:$B$527,B69,'Specialisations'!$C$6:$C$527,"Guards")</x:f>
        <x:v>0</x:v>
      </x:c>
      <x:c r="H69" s="433" t="n">
        <x:f>SUMIFS('Specialisations'!$N$6:$N$527,'Specialisations'!$A$6:$A$527,A69,'Specialisations'!$B$6:$B$527,B69,'Specialisations'!$C$6:$C$527,"Archers")</x:f>
        <x:v>0</x:v>
      </x:c>
      <x:c r="I69" s="433" t="n">
        <x:f>SUMIFS('Specialisations'!$N$6:$N$527,'Specialisations'!$A$6:$A$527,A69,'Specialisations'!$B$6:$B$527,B69,'Specialisations'!$C$6:$C$527,"Cavalry")</x:f>
        <x:v>0</x:v>
      </x:c>
      <x:c r="J69" s="433" t="n">
        <x:f>SUMIFS('Specialisations'!$N$6:$N$527,'Specialisations'!$A$6:$A$527,A69,'Specialisations'!$B$6:$B$527,B69,'Specialisations'!$C$6:$C$527,"Siege")</x:f>
        <x:v>0</x:v>
      </x:c>
      <x:c r="K69" s="433" t="n">
        <x:f>SUM(G69:J69)</x:f>
        <x:v>0</x:v>
      </x:c>
      <x:c r="L69" s="434" t="n">
        <x:f>IFERROR(100*K69/MAX($K$19:$K$186),0)</x:f>
        <x:v>0</x:v>
      </x:c>
      <x:c r="M69" s="495" t="str">
        <x:f>IF(C69=0,"",SUMIFS('Specialisations'!$Q$6:$Q$527,'Specialisations'!$A$6:$A$527,A69,'Specialisations'!$B$6:$B$527,B69))</x:f>
      </x:c>
      <x:c r="N69" s="431" t="str">
        <x:f>IF(K69=0,"",1+COUNTIFS($A$19:$A$186,A69,$K$19:$K$186,"&gt;"&amp;K69))</x:f>
      </x:c>
      <x:c r="O69" s="431" t="str">
        <x:f>IF(K69=0,"",1+COUNTIF($K$19:$K$186,"&gt;"&amp;K69))</x:f>
      </x:c>
      <x:c r="P69" s="430" t="str">
        <x:f>IF(C69=0,"No specialisations recorded",IF(E69&gt;0,"Review missing level","Complete"))</x:f>
        <x:v>No specialisations recorded</x:v>
      </x:c>
      <x:c r="Q69" s="434" t="n">
        <x:f>IF(COUNTIFS('Damage Ranking'!$B$6:$B$172,A69,'Damage Ranking'!$C$6:$C$172,B69)=0,"",SUMIFS('Damage Ranking'!$D$6:$D$172,'Damage Ranking'!$B$6:$B$172,A69,'Damage Ranking'!$C$6:$C$172,B69))</x:f>
        <x:v>28.96402014566906</x:v>
      </x:c>
      <x:c r="R69" s="431" t="n">
        <x:f>IF(Q69="","",SUMIFS('Damage Ranking'!$A$6:$A$172,'Damage Ranking'!$B$6:$B$172,A69,'Damage Ranking'!$C$6:$C$172,B69))</x:f>
        <x:v>94</x:v>
      </x:c>
      <x:c r="S69" s="431" t="str">
        <x:f>IF(OR(R69="",O69=""),"",R69-O69)</x:f>
      </x:c>
      <x:c r="T69" s="430" t="str">
        <x:f>IF(S69="","No damage score",IF(S69&gt;=20,"Badges much stronger",IF(S69&lt;=-20,"Damage much stronger","Broadly aligned")))</x:f>
        <x:v>No damage score</x:v>
      </x:c>
      <x:c r="U69" s="434" t="n">
        <x:f>IF(Q69="","",Q69*(1-$R$5)+L69*$R$5)</x:f>
        <x:v>28.96402014566906</x:v>
      </x:c>
      <x:c r="V69" s="431" t="n">
        <x:f>IF(U69="","",1+COUNTIF($U$19:$U$186,"&gt;"&amp;U69))</x:f>
        <x:v>94</x:v>
      </x:c>
    </x:row>
    <x:row r="70" ht="24" customHeight="1">
      <x:c r="A70" s="430" t="str">
        <x:v>K116</x:v>
      </x:c>
      <x:c r="B70" s="430" t="str">
        <x:v>山君</x:v>
      </x:c>
      <x:c r="C70" s="431" t="n">
        <x:f>COUNTIFS('Specialisations'!$A$6:$A$527,A70,'Specialisations'!$B$6:$B$527,B70)</x:f>
        <x:v>0</x:v>
      </x:c>
      <x:c r="D70" s="431" t="n">
        <x:f>COUNTIFS('Specialisations'!$A$6:$A$527,A70,'Specialisations'!$B$6:$B$527,B70,'Specialisations'!$P$6:$P$527,"OK")</x:f>
        <x:v>0</x:v>
      </x:c>
      <x:c r="E70" s="431" t="n">
        <x:f>C70-D70</x:f>
        <x:v>0</x:v>
      </x:c>
      <x:c r="F70" s="432" t="n">
        <x:f>IF(C70=0,0,D70/C70)</x:f>
        <x:v>0</x:v>
      </x:c>
      <x:c r="G70" s="433" t="n">
        <x:f>SUMIFS('Specialisations'!$N$6:$N$527,'Specialisations'!$A$6:$A$527,A70,'Specialisations'!$B$6:$B$527,B70,'Specialisations'!$C$6:$C$527,"Guards")</x:f>
        <x:v>0</x:v>
      </x:c>
      <x:c r="H70" s="433" t="n">
        <x:f>SUMIFS('Specialisations'!$N$6:$N$527,'Specialisations'!$A$6:$A$527,A70,'Specialisations'!$B$6:$B$527,B70,'Specialisations'!$C$6:$C$527,"Archers")</x:f>
        <x:v>0</x:v>
      </x:c>
      <x:c r="I70" s="433" t="n">
        <x:f>SUMIFS('Specialisations'!$N$6:$N$527,'Specialisations'!$A$6:$A$527,A70,'Specialisations'!$B$6:$B$527,B70,'Specialisations'!$C$6:$C$527,"Cavalry")</x:f>
        <x:v>0</x:v>
      </x:c>
      <x:c r="J70" s="433" t="n">
        <x:f>SUMIFS('Specialisations'!$N$6:$N$527,'Specialisations'!$A$6:$A$527,A70,'Specialisations'!$B$6:$B$527,B70,'Specialisations'!$C$6:$C$527,"Siege")</x:f>
        <x:v>0</x:v>
      </x:c>
      <x:c r="K70" s="433" t="n">
        <x:f>SUM(G70:J70)</x:f>
        <x:v>0</x:v>
      </x:c>
      <x:c r="L70" s="434" t="n">
        <x:f>IFERROR(100*K70/MAX($K$19:$K$186),0)</x:f>
        <x:v>0</x:v>
      </x:c>
      <x:c r="M70" s="495" t="str">
        <x:f>IF(C70=0,"",SUMIFS('Specialisations'!$Q$6:$Q$527,'Specialisations'!$A$6:$A$527,A70,'Specialisations'!$B$6:$B$527,B70))</x:f>
      </x:c>
      <x:c r="N70" s="431" t="str">
        <x:f>IF(K70=0,"",1+COUNTIFS($A$19:$A$186,A70,$K$19:$K$186,"&gt;"&amp;K70))</x:f>
      </x:c>
      <x:c r="O70" s="431" t="str">
        <x:f>IF(K70=0,"",1+COUNTIF($K$19:$K$186,"&gt;"&amp;K70))</x:f>
      </x:c>
      <x:c r="P70" s="430" t="str">
        <x:f>IF(C70=0,"No specialisations recorded",IF(E70&gt;0,"Review missing level","Complete"))</x:f>
        <x:v>No specialisations recorded</x:v>
      </x:c>
      <x:c r="Q70" s="434" t="n">
        <x:f>IF(COUNTIFS('Damage Ranking'!$B$6:$B$172,A70,'Damage Ranking'!$C$6:$C$172,B70)=0,"",SUMIFS('Damage Ranking'!$D$6:$D$172,'Damage Ranking'!$B$6:$B$172,A70,'Damage Ranking'!$C$6:$C$172,B70))</x:f>
        <x:v>34.2788866243418</x:v>
      </x:c>
      <x:c r="R70" s="431" t="n">
        <x:f>IF(Q70="","",SUMIFS('Damage Ranking'!$A$6:$A$172,'Damage Ranking'!$B$6:$B$172,A70,'Damage Ranking'!$C$6:$C$172,B70))</x:f>
        <x:v>81</x:v>
      </x:c>
      <x:c r="S70" s="431" t="str">
        <x:f>IF(OR(R70="",O70=""),"",R70-O70)</x:f>
      </x:c>
      <x:c r="T70" s="430" t="str">
        <x:f>IF(S70="","No damage score",IF(S70&gt;=20,"Badges much stronger",IF(S70&lt;=-20,"Damage much stronger","Broadly aligned")))</x:f>
        <x:v>No damage score</x:v>
      </x:c>
      <x:c r="U70" s="434" t="n">
        <x:f>IF(Q70="","",Q70*(1-$R$5)+L70*$R$5)</x:f>
        <x:v>34.2788866243418</x:v>
      </x:c>
      <x:c r="V70" s="431" t="n">
        <x:f>IF(U70="","",1+COUNTIF($U$19:$U$186,"&gt;"&amp;U70))</x:f>
        <x:v>81</x:v>
      </x:c>
    </x:row>
    <x:row r="71" ht="24" customHeight="1">
      <x:c r="A71" s="430" t="str">
        <x:v>K116</x:v>
      </x:c>
      <x:c r="B71" s="430" t="str">
        <x:v>汰需尚青</x:v>
      </x:c>
      <x:c r="C71" s="431" t="n">
        <x:f>COUNTIFS('Specialisations'!$A$6:$A$527,A71,'Specialisations'!$B$6:$B$527,B71)</x:f>
        <x:v>1</x:v>
      </x:c>
      <x:c r="D71" s="431" t="n">
        <x:f>COUNTIFS('Specialisations'!$A$6:$A$527,A71,'Specialisations'!$B$6:$B$527,B71,'Specialisations'!$P$6:$P$527,"OK")</x:f>
        <x:v>1</x:v>
      </x:c>
      <x:c r="E71" s="431" t="n">
        <x:f>C71-D71</x:f>
        <x:v>0</x:v>
      </x:c>
      <x:c r="F71" s="432" t="n">
        <x:f>IF(C71=0,0,D71/C71)</x:f>
        <x:v>1</x:v>
      </x:c>
      <x:c r="G71" s="433" t="n">
        <x:f>SUMIFS('Specialisations'!$N$6:$N$527,'Specialisations'!$A$6:$A$527,A71,'Specialisations'!$B$6:$B$527,B71,'Specialisations'!$C$6:$C$527,"Guards")</x:f>
        <x:v>0</x:v>
      </x:c>
      <x:c r="H71" s="433" t="n">
        <x:f>SUMIFS('Specialisations'!$N$6:$N$527,'Specialisations'!$A$6:$A$527,A71,'Specialisations'!$B$6:$B$527,B71,'Specialisations'!$C$6:$C$527,"Archers")</x:f>
        <x:v>0</x:v>
      </x:c>
      <x:c r="I71" s="433" t="n">
        <x:f>SUMIFS('Specialisations'!$N$6:$N$527,'Specialisations'!$A$6:$A$527,A71,'Specialisations'!$B$6:$B$527,B71,'Specialisations'!$C$6:$C$527,"Cavalry")</x:f>
        <x:v>10334300</x:v>
      </x:c>
      <x:c r="J71" s="433" t="n">
        <x:f>SUMIFS('Specialisations'!$N$6:$N$527,'Specialisations'!$A$6:$A$527,A71,'Specialisations'!$B$6:$B$527,B71,'Specialisations'!$C$6:$C$527,"Siege")</x:f>
        <x:v>0</x:v>
      </x:c>
      <x:c r="K71" s="433" t="n">
        <x:f>SUM(G71:J71)</x:f>
        <x:v>10334300</x:v>
      </x:c>
      <x:c r="L71" s="434" t="n">
        <x:f>IFERROR(100*K71/MAX($K$19:$K$186),0)</x:f>
        <x:v>16.666666666666668</x:v>
      </x:c>
      <x:c r="M71" s="495" t="n">
        <x:f>IF(C71=0,"",SUMIFS('Specialisations'!$Q$6:$Q$527,'Specialisations'!$A$6:$A$527,A71,'Specialisations'!$B$6:$B$527,B71))</x:f>
        <x:v>60</x:v>
      </x:c>
      <x:c r="N71" s="431" t="n">
        <x:f>IF(K71=0,"",1+COUNTIFS($A$19:$A$186,A71,$K$19:$K$186,"&gt;"&amp;K71))</x:f>
        <x:v>10</x:v>
      </x:c>
      <x:c r="O71" s="431" t="n">
        <x:f>IF(K71=0,"",1+COUNTIF($K$19:$K$186,"&gt;"&amp;K71))</x:f>
        <x:v>111</x:v>
      </x:c>
      <x:c r="P71" s="430" t="str">
        <x:f>IF(C71=0,"No specialisations recorded",IF(E71&gt;0,"Review missing level","Complete"))</x:f>
        <x:v>Complete</x:v>
      </x:c>
      <x:c r="Q71" s="434" t="n">
        <x:f>IF(COUNTIFS('Damage Ranking'!$B$6:$B$172,A71,'Damage Ranking'!$C$6:$C$172,B71)=0,"",SUMIFS('Damage Ranking'!$D$6:$D$172,'Damage Ranking'!$B$6:$B$172,A71,'Damage Ranking'!$C$6:$C$172,B71))</x:f>
        <x:v>73.51121670450894</x:v>
      </x:c>
      <x:c r="R71" s="431" t="n">
        <x:f>IF(Q71="","",SUMIFS('Damage Ranking'!$A$6:$A$172,'Damage Ranking'!$B$6:$B$172,A71,'Damage Ranking'!$C$6:$C$172,B71))</x:f>
        <x:v>15</x:v>
      </x:c>
      <x:c r="S71" s="431" t="n">
        <x:f>IF(OR(R71="",O71=""),"",R71-O71)</x:f>
        <x:v>-96</x:v>
      </x:c>
      <x:c r="T71" s="430" t="str">
        <x:f>IF(S71="","No damage score",IF(S71&gt;=20,"Badges much stronger",IF(S71&lt;=-20,"Damage much stronger","Broadly aligned")))</x:f>
        <x:v>Damage much stronger</x:v>
      </x:c>
      <x:c r="U71" s="434" t="n">
        <x:f>IF(Q71="","",Q71*(1-$R$5)+L71*$R$5)</x:f>
        <x:v>73.51121670450894</x:v>
      </x:c>
      <x:c r="V71" s="431" t="n">
        <x:f>IF(U71="","",1+COUNTIF($U$19:$U$186,"&gt;"&amp;U71))</x:f>
        <x:v>15</x:v>
      </x:c>
    </x:row>
    <x:row r="72" ht="24" customHeight="1">
      <x:c r="A72" s="430" t="str">
        <x:v>K116</x:v>
      </x:c>
      <x:c r="B72" s="430" t="str">
        <x:v>独守孤城</x:v>
      </x:c>
      <x:c r="C72" s="431" t="n">
        <x:f>COUNTIFS('Specialisations'!$A$6:$A$527,A72,'Specialisations'!$B$6:$B$527,B72)</x:f>
        <x:v>0</x:v>
      </x:c>
      <x:c r="D72" s="431" t="n">
        <x:f>COUNTIFS('Specialisations'!$A$6:$A$527,A72,'Specialisations'!$B$6:$B$527,B72,'Specialisations'!$P$6:$P$527,"OK")</x:f>
        <x:v>0</x:v>
      </x:c>
      <x:c r="E72" s="431" t="n">
        <x:f>C72-D72</x:f>
        <x:v>0</x:v>
      </x:c>
      <x:c r="F72" s="432" t="n">
        <x:f>IF(C72=0,0,D72/C72)</x:f>
        <x:v>0</x:v>
      </x:c>
      <x:c r="G72" s="433" t="n">
        <x:f>SUMIFS('Specialisations'!$N$6:$N$527,'Specialisations'!$A$6:$A$527,A72,'Specialisations'!$B$6:$B$527,B72,'Specialisations'!$C$6:$C$527,"Guards")</x:f>
        <x:v>0</x:v>
      </x:c>
      <x:c r="H72" s="433" t="n">
        <x:f>SUMIFS('Specialisations'!$N$6:$N$527,'Specialisations'!$A$6:$A$527,A72,'Specialisations'!$B$6:$B$527,B72,'Specialisations'!$C$6:$C$527,"Archers")</x:f>
        <x:v>0</x:v>
      </x:c>
      <x:c r="I72" s="433" t="n">
        <x:f>SUMIFS('Specialisations'!$N$6:$N$527,'Specialisations'!$A$6:$A$527,A72,'Specialisations'!$B$6:$B$527,B72,'Specialisations'!$C$6:$C$527,"Cavalry")</x:f>
        <x:v>0</x:v>
      </x:c>
      <x:c r="J72" s="433" t="n">
        <x:f>SUMIFS('Specialisations'!$N$6:$N$527,'Specialisations'!$A$6:$A$527,A72,'Specialisations'!$B$6:$B$527,B72,'Specialisations'!$C$6:$C$527,"Siege")</x:f>
        <x:v>0</x:v>
      </x:c>
      <x:c r="K72" s="433" t="n">
        <x:f>SUM(G72:J72)</x:f>
        <x:v>0</x:v>
      </x:c>
      <x:c r="L72" s="434" t="n">
        <x:f>IFERROR(100*K72/MAX($K$19:$K$186),0)</x:f>
        <x:v>0</x:v>
      </x:c>
      <x:c r="M72" s="495" t="str">
        <x:f>IF(C72=0,"",SUMIFS('Specialisations'!$Q$6:$Q$527,'Specialisations'!$A$6:$A$527,A72,'Specialisations'!$B$6:$B$527,B72))</x:f>
      </x:c>
      <x:c r="N72" s="431" t="str">
        <x:f>IF(K72=0,"",1+COUNTIFS($A$19:$A$186,A72,$K$19:$K$186,"&gt;"&amp;K72))</x:f>
      </x:c>
      <x:c r="O72" s="431" t="str">
        <x:f>IF(K72=0,"",1+COUNTIF($K$19:$K$186,"&gt;"&amp;K72))</x:f>
      </x:c>
      <x:c r="P72" s="430" t="str">
        <x:f>IF(C72=0,"No specialisations recorded",IF(E72&gt;0,"Review missing level","Complete"))</x:f>
        <x:v>No specialisations recorded</x:v>
      </x:c>
      <x:c r="Q72" s="434" t="n">
        <x:f>IF(COUNTIFS('Damage Ranking'!$B$6:$B$172,A72,'Damage Ranking'!$C$6:$C$172,B72)=0,"",SUMIFS('Damage Ranking'!$D$6:$D$172,'Damage Ranking'!$B$6:$B$172,A72,'Damage Ranking'!$C$6:$C$172,B72))</x:f>
        <x:v>44.95725249759674</x:v>
      </x:c>
      <x:c r="R72" s="431" t="n">
        <x:f>IF(Q72="","",SUMIFS('Damage Ranking'!$A$6:$A$172,'Damage Ranking'!$B$6:$B$172,A72,'Damage Ranking'!$C$6:$C$172,B72))</x:f>
        <x:v>50</x:v>
      </x:c>
      <x:c r="S72" s="431" t="str">
        <x:f>IF(OR(R72="",O72=""),"",R72-O72)</x:f>
      </x:c>
      <x:c r="T72" s="430" t="str">
        <x:f>IF(S72="","No damage score",IF(S72&gt;=20,"Badges much stronger",IF(S72&lt;=-20,"Damage much stronger","Broadly aligned")))</x:f>
        <x:v>No damage score</x:v>
      </x:c>
      <x:c r="U72" s="434" t="n">
        <x:f>IF(Q72="","",Q72*(1-$R$5)+L72*$R$5)</x:f>
        <x:v>44.95725249759674</x:v>
      </x:c>
      <x:c r="V72" s="431" t="n">
        <x:f>IF(U72="","",1+COUNTIF($U$19:$U$186,"&gt;"&amp;U72))</x:f>
        <x:v>50</x:v>
      </x:c>
    </x:row>
    <x:row r="73" ht="24" customHeight="1">
      <x:c r="A73" s="430" t="str">
        <x:v>K116</x:v>
      </x:c>
      <x:c r="B73" s="430" t="str">
        <x:v>Yuke</x:v>
      </x:c>
      <x:c r="C73" s="431" t="n">
        <x:f>COUNTIFS('Specialisations'!$A$6:$A$527,A73,'Specialisations'!$B$6:$B$527,B73)</x:f>
        <x:v>1</x:v>
      </x:c>
      <x:c r="D73" s="431" t="n">
        <x:f>COUNTIFS('Specialisations'!$A$6:$A$527,A73,'Specialisations'!$B$6:$B$527,B73,'Specialisations'!$P$6:$P$527,"OK")</x:f>
        <x:v>1</x:v>
      </x:c>
      <x:c r="E73" s="431" t="n">
        <x:f>C73-D73</x:f>
        <x:v>0</x:v>
      </x:c>
      <x:c r="F73" s="432" t="n">
        <x:f>IF(C73=0,0,D73/C73)</x:f>
        <x:v>1</x:v>
      </x:c>
      <x:c r="G73" s="433" t="n">
        <x:f>SUMIFS('Specialisations'!$N$6:$N$527,'Specialisations'!$A$6:$A$527,A73,'Specialisations'!$B$6:$B$527,B73,'Specialisations'!$C$6:$C$527,"Guards")</x:f>
        <x:v>619300</x:v>
      </x:c>
      <x:c r="H73" s="433" t="n">
        <x:f>SUMIFS('Specialisations'!$N$6:$N$527,'Specialisations'!$A$6:$A$527,A73,'Specialisations'!$B$6:$B$527,B73,'Specialisations'!$C$6:$C$527,"Archers")</x:f>
        <x:v>0</x:v>
      </x:c>
      <x:c r="I73" s="433" t="n">
        <x:f>SUMIFS('Specialisations'!$N$6:$N$527,'Specialisations'!$A$6:$A$527,A73,'Specialisations'!$B$6:$B$527,B73,'Specialisations'!$C$6:$C$527,"Cavalry")</x:f>
        <x:v>0</x:v>
      </x:c>
      <x:c r="J73" s="433" t="n">
        <x:f>SUMIFS('Specialisations'!$N$6:$N$527,'Specialisations'!$A$6:$A$527,A73,'Specialisations'!$B$6:$B$527,B73,'Specialisations'!$C$6:$C$527,"Siege")</x:f>
        <x:v>0</x:v>
      </x:c>
      <x:c r="K73" s="433" t="n">
        <x:f>SUM(G73:J73)</x:f>
        <x:v>619300</x:v>
      </x:c>
      <x:c r="L73" s="434" t="n">
        <x:f>IFERROR(100*K73/MAX($K$19:$K$186),0)</x:f>
        <x:v>0.998777533714588</x:v>
      </x:c>
      <x:c r="M73" s="495" t="n">
        <x:f>IF(C73=0,"",SUMIFS('Specialisations'!$Q$6:$Q$527,'Specialisations'!$A$6:$A$527,A73,'Specialisations'!$B$6:$B$527,B73))</x:f>
        <x:v>-8.24</x:v>
      </x:c>
      <x:c r="N73" s="431" t="n">
        <x:f>IF(K73=0,"",1+COUNTIFS($A$19:$A$186,A73,$K$19:$K$186,"&gt;"&amp;K73))</x:f>
        <x:v>15</x:v>
      </x:c>
      <x:c r="O73" s="431" t="n">
        <x:f>IF(K73=0,"",1+COUNTIF($K$19:$K$186,"&gt;"&amp;K73))</x:f>
        <x:v>158</x:v>
      </x:c>
      <x:c r="P73" s="430" t="str">
        <x:f>IF(C73=0,"No specialisations recorded",IF(E73&gt;0,"Review missing level","Complete"))</x:f>
        <x:v>Complete</x:v>
      </x:c>
      <x:c r="Q73" s="434" t="n">
        <x:f>IF(COUNTIFS('Damage Ranking'!$B$6:$B$172,A73,'Damage Ranking'!$C$6:$C$172,B73)=0,"",SUMIFS('Damage Ranking'!$D$6:$D$172,'Damage Ranking'!$B$6:$B$172,A73,'Damage Ranking'!$C$6:$C$172,B73))</x:f>
        <x:v>10.525331950622123</x:v>
      </x:c>
      <x:c r="R73" s="431" t="n">
        <x:f>IF(Q73="","",SUMIFS('Damage Ranking'!$A$6:$A$172,'Damage Ranking'!$B$6:$B$172,A73,'Damage Ranking'!$C$6:$C$172,B73))</x:f>
        <x:v>151</x:v>
      </x:c>
      <x:c r="S73" s="431" t="n">
        <x:f>IF(OR(R73="",O73=""),"",R73-O73)</x:f>
        <x:v>-7</x:v>
      </x:c>
      <x:c r="T73" s="430" t="str">
        <x:f>IF(S73="","No damage score",IF(S73&gt;=20,"Badges much stronger",IF(S73&lt;=-20,"Damage much stronger","Broadly aligned")))</x:f>
        <x:v>Broadly aligned</x:v>
      </x:c>
      <x:c r="U73" s="434" t="n">
        <x:f>IF(Q73="","",Q73*(1-$R$5)+L73*$R$5)</x:f>
        <x:v>10.525331950622123</x:v>
      </x:c>
      <x:c r="V73" s="431" t="n">
        <x:f>IF(U73="","",1+COUNTIF($U$19:$U$186,"&gt;"&amp;U73))</x:f>
        <x:v>151</x:v>
      </x:c>
    </x:row>
    <x:row r="74" ht="24" customHeight="1">
      <x:c r="A74" s="430" t="str">
        <x:v>K116</x:v>
      </x:c>
      <x:c r="B74" s="430" t="str">
        <x:v>不可理喻</x:v>
      </x:c>
      <x:c r="C74" s="431" t="n">
        <x:f>COUNTIFS('Specialisations'!$A$6:$A$527,A74,'Specialisations'!$B$6:$B$527,B74)</x:f>
        <x:v>5</x:v>
      </x:c>
      <x:c r="D74" s="431" t="n">
        <x:f>COUNTIFS('Specialisations'!$A$6:$A$527,A74,'Specialisations'!$B$6:$B$527,B74,'Specialisations'!$P$6:$P$527,"OK")</x:f>
        <x:v>5</x:v>
      </x:c>
      <x:c r="E74" s="431" t="n">
        <x:f>C74-D74</x:f>
        <x:v>0</x:v>
      </x:c>
      <x:c r="F74" s="432" t="n">
        <x:f>IF(C74=0,0,D74/C74)</x:f>
        <x:v>1</x:v>
      </x:c>
      <x:c r="G74" s="433" t="n">
        <x:f>SUMIFS('Specialisations'!$N$6:$N$527,'Specialisations'!$A$6:$A$527,A74,'Specialisations'!$B$6:$B$527,B74,'Specialisations'!$C$6:$C$527,"Guards")</x:f>
        <x:v>5004300</x:v>
      </x:c>
      <x:c r="H74" s="433" t="n">
        <x:f>SUMIFS('Specialisations'!$N$6:$N$527,'Specialisations'!$A$6:$A$527,A74,'Specialisations'!$B$6:$B$527,B74,'Specialisations'!$C$6:$C$527,"Archers")</x:f>
        <x:v>2844300</x:v>
      </x:c>
      <x:c r="I74" s="433" t="n">
        <x:f>SUMIFS('Specialisations'!$N$6:$N$527,'Specialisations'!$A$6:$A$527,A74,'Specialisations'!$B$6:$B$527,B74,'Specialisations'!$C$6:$C$527,"Cavalry")</x:f>
        <x:v>8248600</x:v>
      </x:c>
      <x:c r="J74" s="433" t="n">
        <x:f>SUMIFS('Specialisations'!$N$6:$N$527,'Specialisations'!$A$6:$A$527,A74,'Specialisations'!$B$6:$B$527,B74,'Specialisations'!$C$6:$C$527,"Siege")</x:f>
        <x:v>2244300</x:v>
      </x:c>
      <x:c r="K74" s="433" t="n">
        <x:f>SUM(G74:J74)</x:f>
        <x:v>18341500</x:v>
      </x:c>
      <x:c r="L74" s="434" t="n">
        <x:f>IFERROR(100*K74/MAX($K$19:$K$186),0)</x:f>
        <x:v>29.580297327024248</x:v>
      </x:c>
      <x:c r="M74" s="495" t="n">
        <x:f>IF(C74=0,"",SUMIFS('Specialisations'!$Q$6:$Q$527,'Specialisations'!$A$6:$A$527,A74,'Specialisations'!$B$6:$B$527,B74))</x:f>
        <x:v>96.85</x:v>
      </x:c>
      <x:c r="N74" s="431" t="n">
        <x:f>IF(K74=0,"",1+COUNTIFS($A$19:$A$186,A74,$K$19:$K$186,"&gt;"&amp;K74))</x:f>
        <x:v>3</x:v>
      </x:c>
      <x:c r="O74" s="431" t="n">
        <x:f>IF(K74=0,"",1+COUNTIF($K$19:$K$186,"&gt;"&amp;K74))</x:f>
        <x:v>40</x:v>
      </x:c>
      <x:c r="P74" s="430" t="str">
        <x:f>IF(C74=0,"No specialisations recorded",IF(E74&gt;0,"Review missing level","Complete"))</x:f>
        <x:v>Complete</x:v>
      </x:c>
      <x:c r="Q74" s="434" t="n">
        <x:f>IF(COUNTIFS('Damage Ranking'!$B$6:$B$172,A74,'Damage Ranking'!$C$6:$C$172,B74)=0,"",SUMIFS('Damage Ranking'!$D$6:$D$172,'Damage Ranking'!$B$6:$B$172,A74,'Damage Ranking'!$C$6:$C$172,B74))</x:f>
        <x:v>49.36654716988052</x:v>
      </x:c>
      <x:c r="R74" s="431" t="n">
        <x:f>IF(Q74="","",SUMIFS('Damage Ranking'!$A$6:$A$172,'Damage Ranking'!$B$6:$B$172,A74,'Damage Ranking'!$C$6:$C$172,B74))</x:f>
        <x:v>40</x:v>
      </x:c>
      <x:c r="S74" s="431" t="n">
        <x:f>IF(OR(R74="",O74=""),"",R74-O74)</x:f>
        <x:v>0</x:v>
      </x:c>
      <x:c r="T74" s="430" t="str">
        <x:f>IF(S74="","No damage score",IF(S74&gt;=20,"Badges much stronger",IF(S74&lt;=-20,"Damage much stronger","Broadly aligned")))</x:f>
        <x:v>No damage score</x:v>
      </x:c>
      <x:c r="U74" s="434" t="n">
        <x:f>IF(Q74="","",Q74*(1-$R$5)+L74*$R$5)</x:f>
        <x:v>49.36654716988052</x:v>
      </x:c>
      <x:c r="V74" s="431" t="n">
        <x:f>IF(U74="","",1+COUNTIF($U$19:$U$186,"&gt;"&amp;U74))</x:f>
        <x:v>40</x:v>
      </x:c>
    </x:row>
    <x:row r="75" ht="24" customHeight="1">
      <x:c r="A75" s="430" t="str">
        <x:v>K116</x:v>
      </x:c>
      <x:c r="B75" s="430" t="str">
        <x:v>懒洋洋爱看腿</x:v>
      </x:c>
      <x:c r="C75" s="431" t="n">
        <x:f>COUNTIFS('Specialisations'!$A$6:$A$527,A75,'Specialisations'!$B$6:$B$527,B75)</x:f>
        <x:v>5</x:v>
      </x:c>
      <x:c r="D75" s="431" t="n">
        <x:f>COUNTIFS('Specialisations'!$A$6:$A$527,A75,'Specialisations'!$B$6:$B$527,B75,'Specialisations'!$P$6:$P$527,"OK")</x:f>
        <x:v>5</x:v>
      </x:c>
      <x:c r="E75" s="431" t="n">
        <x:f>C75-D75</x:f>
        <x:v>0</x:v>
      </x:c>
      <x:c r="F75" s="432" t="n">
        <x:f>IF(C75=0,0,D75/C75)</x:f>
        <x:v>1</x:v>
      </x:c>
      <x:c r="G75" s="433" t="n">
        <x:f>SUMIFS('Specialisations'!$N$6:$N$527,'Specialisations'!$A$6:$A$527,A75,'Specialisations'!$B$6:$B$527,B75,'Specialisations'!$C$6:$C$527,"Guards")</x:f>
        <x:v>4284300</x:v>
      </x:c>
      <x:c r="H75" s="433" t="n">
        <x:f>SUMIFS('Specialisations'!$N$6:$N$527,'Specialisations'!$A$6:$A$527,A75,'Specialisations'!$B$6:$B$527,B75,'Specialisations'!$C$6:$C$527,"Archers")</x:f>
        <x:v>2244300</x:v>
      </x:c>
      <x:c r="I75" s="433" t="n">
        <x:f>SUMIFS('Specialisations'!$N$6:$N$527,'Specialisations'!$A$6:$A$527,A75,'Specialisations'!$B$6:$B$527,B75,'Specialisations'!$C$6:$C$527,"Cavalry")</x:f>
        <x:v>4488600</x:v>
      </x:c>
      <x:c r="J75" s="433" t="n">
        <x:f>SUMIFS('Specialisations'!$N$6:$N$527,'Specialisations'!$A$6:$A$527,A75,'Specialisations'!$B$6:$B$527,B75,'Specialisations'!$C$6:$C$527,"Siege")</x:f>
        <x:v>2244300</x:v>
      </x:c>
      <x:c r="K75" s="433" t="n">
        <x:f>SUM(G75:J75)</x:f>
        <x:v>13261500</x:v>
      </x:c>
      <x:c r="L75" s="434" t="n">
        <x:f>IFERROR(100*K75/MAX($K$19:$K$186),0)</x:f>
        <x:v>21.387515361466185</x:v>
      </x:c>
      <x:c r="M75" s="495" t="n">
        <x:f>IF(C75=0,"",SUMIFS('Specialisations'!$Q$6:$Q$527,'Specialisations'!$A$6:$A$527,A75,'Specialisations'!$B$6:$B$527,B75))</x:f>
        <x:v>68.97999999999999</x:v>
      </x:c>
      <x:c r="N75" s="431" t="n">
        <x:f>IF(K75=0,"",1+COUNTIFS($A$19:$A$186,A75,$K$19:$K$186,"&gt;"&amp;K75))</x:f>
        <x:v>8</x:v>
      </x:c>
      <x:c r="O75" s="431" t="n">
        <x:f>IF(K75=0,"",1+COUNTIF($K$19:$K$186,"&gt;"&amp;K75))</x:f>
        <x:v>81</x:v>
      </x:c>
      <x:c r="P75" s="430" t="str">
        <x:f>IF(C75=0,"No specialisations recorded",IF(E75&gt;0,"Review missing level","Complete"))</x:f>
        <x:v>Complete</x:v>
      </x:c>
      <x:c r="Q75" s="434" t="n">
        <x:f>IF(COUNTIFS('Damage Ranking'!$B$6:$B$172,A75,'Damage Ranking'!$C$6:$C$172,B75)=0,"",SUMIFS('Damage Ranking'!$D$6:$D$172,'Damage Ranking'!$B$6:$B$172,A75,'Damage Ranking'!$C$6:$C$172,B75))</x:f>
        <x:v>50.09457153921274</x:v>
      </x:c>
      <x:c r="R75" s="431" t="n">
        <x:f>IF(Q75="","",SUMIFS('Damage Ranking'!$A$6:$A$172,'Damage Ranking'!$B$6:$B$172,A75,'Damage Ranking'!$C$6:$C$172,B75))</x:f>
        <x:v>37</x:v>
      </x:c>
      <x:c r="S75" s="431" t="n">
        <x:f>IF(OR(R75="",O75=""),"",R75-O75)</x:f>
        <x:v>-44</x:v>
      </x:c>
      <x:c r="T75" s="430" t="str">
        <x:f>IF(S75="","No damage score",IF(S75&gt;=20,"Badges much stronger",IF(S75&lt;=-20,"Damage much stronger","Broadly aligned")))</x:f>
        <x:v>Damage much stronger</x:v>
      </x:c>
      <x:c r="U75" s="434" t="n">
        <x:f>IF(Q75="","",Q75*(1-$R$5)+L75*$R$5)</x:f>
        <x:v>50.09457153921274</x:v>
      </x:c>
      <x:c r="V75" s="431" t="n">
        <x:f>IF(U75="","",1+COUNTIF($U$19:$U$186,"&gt;"&amp;U75))</x:f>
        <x:v>37</x:v>
      </x:c>
    </x:row>
    <x:row r="76" ht="24" customHeight="1">
      <x:c r="A76" s="430" t="str">
        <x:v>K116</x:v>
      </x:c>
      <x:c r="B76" s="430" t="str">
        <x:v>蜜蜜°</x:v>
      </x:c>
      <x:c r="C76" s="431" t="n">
        <x:f>COUNTIFS('Specialisations'!$A$6:$A$527,A76,'Specialisations'!$B$6:$B$527,B76)</x:f>
        <x:v>4</x:v>
      </x:c>
      <x:c r="D76" s="431" t="n">
        <x:f>COUNTIFS('Specialisations'!$A$6:$A$527,A76,'Specialisations'!$B$6:$B$527,B76,'Specialisations'!$P$6:$P$527,"OK")</x:f>
        <x:v>4</x:v>
      </x:c>
      <x:c r="E76" s="431" t="n">
        <x:f>C76-D76</x:f>
        <x:v>0</x:v>
      </x:c>
      <x:c r="F76" s="432" t="n">
        <x:f>IF(C76=0,0,D76/C76)</x:f>
        <x:v>1</x:v>
      </x:c>
      <x:c r="G76" s="433" t="n">
        <x:f>SUMIFS('Specialisations'!$N$6:$N$527,'Specialisations'!$A$6:$A$527,A76,'Specialisations'!$B$6:$B$527,B76,'Specialisations'!$C$6:$C$527,"Guards")</x:f>
        <x:v>10334300</x:v>
      </x:c>
      <x:c r="H76" s="433" t="n">
        <x:f>SUMIFS('Specialisations'!$N$6:$N$527,'Specialisations'!$A$6:$A$527,A76,'Specialisations'!$B$6:$B$527,B76,'Specialisations'!$C$6:$C$527,"Archers")</x:f>
        <x:v>2244300</x:v>
      </x:c>
      <x:c r="I76" s="433" t="n">
        <x:f>SUMIFS('Specialisations'!$N$6:$N$527,'Specialisations'!$A$6:$A$527,A76,'Specialisations'!$B$6:$B$527,B76,'Specialisations'!$C$6:$C$527,"Cavalry")</x:f>
        <x:v>5048600</x:v>
      </x:c>
      <x:c r="J76" s="433" t="n">
        <x:f>SUMIFS('Specialisations'!$N$6:$N$527,'Specialisations'!$A$6:$A$527,A76,'Specialisations'!$B$6:$B$527,B76,'Specialisations'!$C$6:$C$527,"Siege")</x:f>
        <x:v>0</x:v>
      </x:c>
      <x:c r="K76" s="433" t="n">
        <x:f>SUM(G76:J76)</x:f>
        <x:v>17627200</x:v>
      </x:c>
      <x:c r="L76" s="434" t="n">
        <x:f>IFERROR(100*K76/MAX($K$19:$K$186),0)</x:f>
        <x:v>28.4283083195443</x:v>
      </x:c>
      <x:c r="M76" s="495" t="n">
        <x:f>IF(C76=0,"",SUMIFS('Specialisations'!$Q$6:$Q$527,'Specialisations'!$A$6:$A$527,A76,'Specialisations'!$B$6:$B$527,B76))</x:f>
        <x:v>28.499999999999996</x:v>
      </x:c>
      <x:c r="N76" s="431" t="n">
        <x:f>IF(K76=0,"",1+COUNTIFS($A$19:$A$186,A76,$K$19:$K$186,"&gt;"&amp;K76))</x:f>
        <x:v>5</x:v>
      </x:c>
      <x:c r="O76" s="431" t="n">
        <x:f>IF(K76=0,"",1+COUNTIF($K$19:$K$186,"&gt;"&amp;K76))</x:f>
        <x:v>44</x:v>
      </x:c>
      <x:c r="P76" s="430" t="str">
        <x:f>IF(C76=0,"No specialisations recorded",IF(E76&gt;0,"Review missing level","Complete"))</x:f>
        <x:v>Complete</x:v>
      </x:c>
      <x:c r="Q76" s="434" t="n">
        <x:f>IF(COUNTIFS('Damage Ranking'!$B$6:$B$172,A76,'Damage Ranking'!$C$6:$C$172,B76)=0,"",SUMIFS('Damage Ranking'!$D$6:$D$172,'Damage Ranking'!$B$6:$B$172,A76,'Damage Ranking'!$C$6:$C$172,B76))</x:f>
        <x:v>37.93939643874457</x:v>
      </x:c>
      <x:c r="R76" s="431" t="n">
        <x:f>IF(Q76="","",SUMIFS('Damage Ranking'!$A$6:$A$172,'Damage Ranking'!$B$6:$B$172,A76,'Damage Ranking'!$C$6:$C$172,B76))</x:f>
        <x:v>72</x:v>
      </x:c>
      <x:c r="S76" s="431" t="n">
        <x:f>IF(OR(R76="",O76=""),"",R76-O76)</x:f>
        <x:v>28</x:v>
      </x:c>
      <x:c r="T76" s="430" t="str">
        <x:f>IF(S76="","No damage score",IF(S76&gt;=20,"Badges much stronger",IF(S76&lt;=-20,"Damage much stronger","Broadly aligned")))</x:f>
        <x:v>Badges much stronger</x:v>
      </x:c>
      <x:c r="U76" s="434" t="n">
        <x:f>IF(Q76="","",Q76*(1-$R$5)+L76*$R$5)</x:f>
        <x:v>37.93939643874457</x:v>
      </x:c>
      <x:c r="V76" s="431" t="n">
        <x:f>IF(U76="","",1+COUNTIF($U$19:$U$186,"&gt;"&amp;U76))</x:f>
        <x:v>72</x:v>
      </x:c>
    </x:row>
    <x:row r="77" ht="24" customHeight="1">
      <x:c r="A77" s="430" t="str">
        <x:v>K116</x:v>
      </x:c>
      <x:c r="B77" s="430" t="str">
        <x:v>红烧狮子头</x:v>
      </x:c>
      <x:c r="C77" s="431" t="n">
        <x:f>COUNTIFS('Specialisations'!$A$6:$A$527,A77,'Specialisations'!$B$6:$B$527,B77)</x:f>
        <x:v>4</x:v>
      </x:c>
      <x:c r="D77" s="431" t="n">
        <x:f>COUNTIFS('Specialisations'!$A$6:$A$527,A77,'Specialisations'!$B$6:$B$527,B77,'Specialisations'!$P$6:$P$527,"OK")</x:f>
        <x:v>4</x:v>
      </x:c>
      <x:c r="E77" s="431" t="n">
        <x:f>C77-D77</x:f>
        <x:v>0</x:v>
      </x:c>
      <x:c r="F77" s="432" t="n">
        <x:f>IF(C77=0,0,D77/C77)</x:f>
        <x:v>1</x:v>
      </x:c>
      <x:c r="G77" s="433" t="n">
        <x:f>SUMIFS('Specialisations'!$N$6:$N$527,'Specialisations'!$A$6:$A$527,A77,'Specialisations'!$B$6:$B$527,B77,'Specialisations'!$C$6:$C$527,"Guards")</x:f>
        <x:v>10334300</x:v>
      </x:c>
      <x:c r="H77" s="433" t="n">
        <x:f>SUMIFS('Specialisations'!$N$6:$N$527,'Specialisations'!$A$6:$A$527,A77,'Specialisations'!$B$6:$B$527,B77,'Specialisations'!$C$6:$C$527,"Archers")</x:f>
        <x:v>3244300</x:v>
      </x:c>
      <x:c r="I77" s="433" t="n">
        <x:f>SUMIFS('Specialisations'!$N$6:$N$527,'Specialisations'!$A$6:$A$527,A77,'Specialisations'!$B$6:$B$527,B77,'Specialisations'!$C$6:$C$527,"Cavalry")</x:f>
        <x:v>4108600</x:v>
      </x:c>
      <x:c r="J77" s="433" t="n">
        <x:f>SUMIFS('Specialisations'!$N$6:$N$527,'Specialisations'!$A$6:$A$527,A77,'Specialisations'!$B$6:$B$527,B77,'Specialisations'!$C$6:$C$527,"Siege")</x:f>
        <x:v>0</x:v>
      </x:c>
      <x:c r="K77" s="433" t="n">
        <x:f>SUM(G77:J77)</x:f>
        <x:v>17687200</x:v>
      </x:c>
      <x:c r="L77" s="434" t="n">
        <x:f>IFERROR(100*K77/MAX($K$19:$K$186),0)</x:f>
        <x:v>28.52507346086979</x:v>
      </x:c>
      <x:c r="M77" s="495" t="n">
        <x:f>IF(C77=0,"",SUMIFS('Specialisations'!$Q$6:$Q$527,'Specialisations'!$A$6:$A$527,A77,'Specialisations'!$B$6:$B$527,B77))</x:f>
        <x:v>24.049999999999994</x:v>
      </x:c>
      <x:c r="N77" s="431" t="n">
        <x:f>IF(K77=0,"",1+COUNTIFS($A$19:$A$186,A77,$K$19:$K$186,"&gt;"&amp;K77))</x:f>
        <x:v>4</x:v>
      </x:c>
      <x:c r="O77" s="431" t="n">
        <x:f>IF(K77=0,"",1+COUNTIF($K$19:$K$186,"&gt;"&amp;K77))</x:f>
        <x:v>43</x:v>
      </x:c>
      <x:c r="P77" s="430" t="str">
        <x:f>IF(C77=0,"No specialisations recorded",IF(E77&gt;0,"Review missing level","Complete"))</x:f>
        <x:v>Complete</x:v>
      </x:c>
      <x:c r="Q77" s="434" t="n">
        <x:f>IF(COUNTIFS('Damage Ranking'!$B$6:$B$172,A77,'Damage Ranking'!$C$6:$C$172,B77)=0,"",SUMIFS('Damage Ranking'!$D$6:$D$172,'Damage Ranking'!$B$6:$B$172,A77,'Damage Ranking'!$C$6:$C$172,B77))</x:f>
        <x:v>33.353894415318464</x:v>
      </x:c>
      <x:c r="R77" s="431" t="n">
        <x:f>IF(Q77="","",SUMIFS('Damage Ranking'!$A$6:$A$172,'Damage Ranking'!$B$6:$B$172,A77,'Damage Ranking'!$C$6:$C$172,B77))</x:f>
        <x:v>83</x:v>
      </x:c>
      <x:c r="S77" s="431" t="n">
        <x:f>IF(OR(R77="",O77=""),"",R77-O77)</x:f>
        <x:v>40</x:v>
      </x:c>
      <x:c r="T77" s="430" t="str">
        <x:f>IF(S77="","No damage score",IF(S77&gt;=20,"Badges much stronger",IF(S77&lt;=-20,"Damage much stronger","Broadly aligned")))</x:f>
        <x:v>Badges much stronger</x:v>
      </x:c>
      <x:c r="U77" s="434" t="n">
        <x:f>IF(Q77="","",Q77*(1-$R$5)+L77*$R$5)</x:f>
        <x:v>33.353894415318464</x:v>
      </x:c>
      <x:c r="V77" s="431" t="n">
        <x:f>IF(U77="","",1+COUNTIF($U$19:$U$186,"&gt;"&amp;U77))</x:f>
        <x:v>83</x:v>
      </x:c>
    </x:row>
    <x:row r="78" ht="24" customHeight="1">
      <x:c r="A78" s="430" t="str">
        <x:v>K116</x:v>
      </x:c>
      <x:c r="B78" s="430" t="str">
        <x:v>那时像风一样</x:v>
      </x:c>
      <x:c r="C78" s="431" t="n">
        <x:f>COUNTIFS('Specialisations'!$A$6:$A$527,A78,'Specialisations'!$B$6:$B$527,B78)</x:f>
        <x:v>4</x:v>
      </x:c>
      <x:c r="D78" s="431" t="n">
        <x:f>COUNTIFS('Specialisations'!$A$6:$A$527,A78,'Specialisations'!$B$6:$B$527,B78,'Specialisations'!$P$6:$P$527,"OK")</x:f>
        <x:v>4</x:v>
      </x:c>
      <x:c r="E78" s="431" t="n">
        <x:f>C78-D78</x:f>
        <x:v>0</x:v>
      </x:c>
      <x:c r="F78" s="432" t="n">
        <x:f>IF(C78=0,0,D78/C78)</x:f>
        <x:v>1</x:v>
      </x:c>
      <x:c r="G78" s="433" t="n">
        <x:f>SUMIFS('Specialisations'!$N$6:$N$527,'Specialisations'!$A$6:$A$527,A78,'Specialisations'!$B$6:$B$527,B78,'Specialisations'!$C$6:$C$527,"Guards")</x:f>
        <x:v>4284300</x:v>
      </x:c>
      <x:c r="H78" s="433" t="n">
        <x:f>SUMIFS('Specialisations'!$N$6:$N$527,'Specialisations'!$A$6:$A$527,A78,'Specialisations'!$B$6:$B$527,B78,'Specialisations'!$C$6:$C$527,"Archers")</x:f>
        <x:v>2244300</x:v>
      </x:c>
      <x:c r="I78" s="433" t="n">
        <x:f>SUMIFS('Specialisations'!$N$6:$N$527,'Specialisations'!$A$6:$A$527,A78,'Specialisations'!$B$6:$B$527,B78,'Specialisations'!$C$6:$C$527,"Cavalry")</x:f>
        <x:v>6488600</x:v>
      </x:c>
      <x:c r="J78" s="433" t="n">
        <x:f>SUMIFS('Specialisations'!$N$6:$N$527,'Specialisations'!$A$6:$A$527,A78,'Specialisations'!$B$6:$B$527,B78,'Specialisations'!$C$6:$C$527,"Siege")</x:f>
        <x:v>0</x:v>
      </x:c>
      <x:c r="K78" s="433" t="n">
        <x:f>SUM(G78:J78)</x:f>
        <x:v>13017200</x:v>
      </x:c>
      <x:c r="L78" s="434" t="n">
        <x:f>IFERROR(100*K78/MAX($K$19:$K$186),0)</x:f>
        <x:v>20.993519961035904</x:v>
      </x:c>
      <x:c r="M78" s="495" t="n">
        <x:f>IF(C78=0,"",SUMIFS('Specialisations'!$Q$6:$Q$527,'Specialisations'!$A$6:$A$527,A78,'Specialisations'!$B$6:$B$527,B78))</x:f>
        <x:v>57.72</x:v>
      </x:c>
      <x:c r="N78" s="431" t="n">
        <x:f>IF(K78=0,"",1+COUNTIFS($A$19:$A$186,A78,$K$19:$K$186,"&gt;"&amp;K78))</x:f>
        <x:v>9</x:v>
      </x:c>
      <x:c r="O78" s="431" t="n">
        <x:f>IF(K78=0,"",1+COUNTIF($K$19:$K$186,"&gt;"&amp;K78))</x:f>
        <x:v>83</x:v>
      </x:c>
      <x:c r="P78" s="430" t="str">
        <x:f>IF(C78=0,"No specialisations recorded",IF(E78&gt;0,"Review missing level","Complete"))</x:f>
        <x:v>Complete</x:v>
      </x:c>
      <x:c r="Q78" s="434" t="n">
        <x:f>IF(COUNTIFS('Damage Ranking'!$B$6:$B$172,A78,'Damage Ranking'!$C$6:$C$172,B78)=0,"",SUMIFS('Damage Ranking'!$D$6:$D$172,'Damage Ranking'!$B$6:$B$172,A78,'Damage Ranking'!$C$6:$C$172,B78))</x:f>
        <x:v>38.631273646491486</x:v>
      </x:c>
      <x:c r="R78" s="431" t="n">
        <x:f>IF(Q78="","",SUMIFS('Damage Ranking'!$A$6:$A$172,'Damage Ranking'!$B$6:$B$172,A78,'Damage Ranking'!$C$6:$C$172,B78))</x:f>
        <x:v>69</x:v>
      </x:c>
      <x:c r="S78" s="431" t="n">
        <x:f>IF(OR(R78="",O78=""),"",R78-O78)</x:f>
        <x:v>-14</x:v>
      </x:c>
      <x:c r="T78" s="430" t="str">
        <x:f>IF(S78="","No damage score",IF(S78&gt;=20,"Badges much stronger",IF(S78&lt;=-20,"Damage much stronger","Broadly aligned")))</x:f>
        <x:v>Broadly aligned</x:v>
      </x:c>
      <x:c r="U78" s="434" t="n">
        <x:f>IF(Q78="","",Q78*(1-$R$5)+L78*$R$5)</x:f>
        <x:v>38.631273646491486</x:v>
      </x:c>
      <x:c r="V78" s="431" t="n">
        <x:f>IF(U78="","",1+COUNTIF($U$19:$U$186,"&gt;"&amp;U78))</x:f>
        <x:v>69</x:v>
      </x:c>
    </x:row>
    <x:row r="79" ht="24" customHeight="1">
      <x:c r="A79" s="430" t="str">
        <x:v>K116</x:v>
      </x:c>
      <x:c r="B79" s="430" t="str">
        <x:v>芙蕾魚</x:v>
      </x:c>
      <x:c r="C79" s="431" t="n">
        <x:f>COUNTIFS('Specialisations'!$A$6:$A$527,A79,'Specialisations'!$B$6:$B$527,B79)</x:f>
        <x:v>3</x:v>
      </x:c>
      <x:c r="D79" s="431" t="n">
        <x:f>COUNTIFS('Specialisations'!$A$6:$A$527,A79,'Specialisations'!$B$6:$B$527,B79,'Specialisations'!$P$6:$P$527,"OK")</x:f>
        <x:v>3</x:v>
      </x:c>
      <x:c r="E79" s="431" t="n">
        <x:f>C79-D79</x:f>
        <x:v>0</x:v>
      </x:c>
      <x:c r="F79" s="432" t="n">
        <x:f>IF(C79=0,0,D79/C79)</x:f>
        <x:v>1</x:v>
      </x:c>
      <x:c r="G79" s="433" t="n">
        <x:f>SUMIFS('Specialisations'!$N$6:$N$527,'Specialisations'!$A$6:$A$527,A79,'Specialisations'!$B$6:$B$527,B79,'Specialisations'!$C$6:$C$527,"Guards")</x:f>
        <x:v>1324300</x:v>
      </x:c>
      <x:c r="H79" s="433" t="n">
        <x:f>SUMIFS('Specialisations'!$N$6:$N$527,'Specialisations'!$A$6:$A$527,A79,'Specialisations'!$B$6:$B$527,B79,'Specialisations'!$C$6:$C$527,"Archers")</x:f>
        <x:v>0</x:v>
      </x:c>
      <x:c r="I79" s="433" t="n">
        <x:f>SUMIFS('Specialisations'!$N$6:$N$527,'Specialisations'!$A$6:$A$527,A79,'Specialisations'!$B$6:$B$527,B79,'Specialisations'!$C$6:$C$527,"Cavalry")</x:f>
        <x:v>368600</x:v>
      </x:c>
      <x:c r="J79" s="433" t="n">
        <x:f>SUMIFS('Specialisations'!$N$6:$N$527,'Specialisations'!$A$6:$A$527,A79,'Specialisations'!$B$6:$B$527,B79,'Specialisations'!$C$6:$C$527,"Siege")</x:f>
        <x:v>0</x:v>
      </x:c>
      <x:c r="K79" s="433" t="n">
        <x:f>SUM(G79:J79)</x:f>
        <x:v>1692900</x:v>
      </x:c>
      <x:c r="L79" s="434" t="n">
        <x:f>IFERROR(100*K79/MAX($K$19:$K$186),0)</x:f>
        <x:v>2.7302284624986695</x:v>
      </x:c>
      <x:c r="M79" s="495" t="n">
        <x:f>IF(C79=0,"",SUMIFS('Specialisations'!$Q$6:$Q$527,'Specialisations'!$A$6:$A$527,A79,'Specialisations'!$B$6:$B$527,B79))</x:f>
        <x:v>-11.66</x:v>
      </x:c>
      <x:c r="N79" s="431" t="n">
        <x:f>IF(K79=0,"",1+COUNTIFS($A$19:$A$186,A79,$K$19:$K$186,"&gt;"&amp;K79))</x:f>
        <x:v>14</x:v>
      </x:c>
      <x:c r="O79" s="431" t="n">
        <x:f>IF(K79=0,"",1+COUNTIF($K$19:$K$186,"&gt;"&amp;K79))</x:f>
        <x:v>157</x:v>
      </x:c>
      <x:c r="P79" s="430" t="str">
        <x:f>IF(C79=0,"No specialisations recorded",IF(E79&gt;0,"Review missing level","Complete"))</x:f>
        <x:v>Complete</x:v>
      </x:c>
      <x:c r="Q79" s="434" t="n">
        <x:f>IF(COUNTIFS('Damage Ranking'!$B$6:$B$172,A79,'Damage Ranking'!$C$6:$C$172,B79)=0,"",SUMIFS('Damage Ranking'!$D$6:$D$172,'Damage Ranking'!$B$6:$B$172,A79,'Damage Ranking'!$C$6:$C$172,B79))</x:f>
        <x:v>4.1493188908131975</x:v>
      </x:c>
      <x:c r="R79" s="431" t="n">
        <x:f>IF(Q79="","",SUMIFS('Damage Ranking'!$A$6:$A$172,'Damage Ranking'!$B$6:$B$172,A79,'Damage Ranking'!$C$6:$C$172,B79))</x:f>
        <x:v>163</x:v>
      </x:c>
      <x:c r="S79" s="431" t="n">
        <x:f>IF(OR(R79="",O79=""),"",R79-O79)</x:f>
        <x:v>6</x:v>
      </x:c>
      <x:c r="T79" s="430" t="str">
        <x:f>IF(S79="","No damage score",IF(S79&gt;=20,"Badges much stronger",IF(S79&lt;=-20,"Damage much stronger","Broadly aligned")))</x:f>
        <x:v>Broadly aligned</x:v>
      </x:c>
      <x:c r="U79" s="434" t="n">
        <x:f>IF(Q79="","",Q79*(1-$R$5)+L79*$R$5)</x:f>
        <x:v>4.1493188908131975</x:v>
      </x:c>
      <x:c r="V79" s="431" t="n">
        <x:f>IF(U79="","",1+COUNTIF($U$19:$U$186,"&gt;"&amp;U79))</x:f>
        <x:v>163</x:v>
      </x:c>
    </x:row>
    <x:row r="80" ht="24" customHeight="1">
      <x:c r="A80" s="430" t="str">
        <x:v>K116</x:v>
      </x:c>
      <x:c r="B80" s="430" t="str">
        <x:v>ALI</x:v>
      </x:c>
      <x:c r="C80" s="431" t="n">
        <x:f>COUNTIFS('Specialisations'!$A$6:$A$527,A80,'Specialisations'!$B$6:$B$527,B80)</x:f>
        <x:v>3</x:v>
      </x:c>
      <x:c r="D80" s="431" t="n">
        <x:f>COUNTIFS('Specialisations'!$A$6:$A$527,A80,'Specialisations'!$B$6:$B$527,B80,'Specialisations'!$P$6:$P$527,"OK")</x:f>
        <x:v>3</x:v>
      </x:c>
      <x:c r="E80" s="431" t="n">
        <x:f>C80-D80</x:f>
        <x:v>0</x:v>
      </x:c>
      <x:c r="F80" s="432" t="n">
        <x:f>IF(C80=0,0,D80/C80)</x:f>
        <x:v>1</x:v>
      </x:c>
      <x:c r="G80" s="433" t="n">
        <x:f>SUMIFS('Specialisations'!$N$6:$N$527,'Specialisations'!$A$6:$A$527,A80,'Specialisations'!$B$6:$B$527,B80,'Specialisations'!$C$6:$C$527,"Guards")</x:f>
        <x:v>8334300</x:v>
      </x:c>
      <x:c r="H80" s="433" t="n">
        <x:f>SUMIFS('Specialisations'!$N$6:$N$527,'Specialisations'!$A$6:$A$527,A80,'Specialisations'!$B$6:$B$527,B80,'Specialisations'!$C$6:$C$527,"Archers")</x:f>
        <x:v>5778600</x:v>
      </x:c>
      <x:c r="I80" s="433" t="n">
        <x:f>SUMIFS('Specialisations'!$N$6:$N$527,'Specialisations'!$A$6:$A$527,A80,'Specialisations'!$B$6:$B$527,B80,'Specialisations'!$C$6:$C$527,"Cavalry")</x:f>
        <x:v>0</x:v>
      </x:c>
      <x:c r="J80" s="433" t="n">
        <x:f>SUMIFS('Specialisations'!$N$6:$N$527,'Specialisations'!$A$6:$A$527,A80,'Specialisations'!$B$6:$B$527,B80,'Specialisations'!$C$6:$C$527,"Siege")</x:f>
        <x:v>0</x:v>
      </x:c>
      <x:c r="K80" s="433" t="n">
        <x:f>SUM(G80:J80)</x:f>
        <x:v>14112900</x:v>
      </x:c>
      <x:c r="L80" s="434" t="n">
        <x:f>IFERROR(100*K80/MAX($K$19:$K$186),0)</x:f>
        <x:v>22.760612716874874</x:v>
      </x:c>
      <x:c r="M80" s="495" t="n">
        <x:f>IF(C80=0,"",SUMIFS('Specialisations'!$Q$6:$Q$527,'Specialisations'!$A$6:$A$527,A80,'Specialisations'!$B$6:$B$527,B80))</x:f>
        <x:v>0.75</x:v>
      </x:c>
      <x:c r="N80" s="431" t="n">
        <x:f>IF(K80=0,"",1+COUNTIFS($A$19:$A$186,A80,$K$19:$K$186,"&gt;"&amp;K80))</x:f>
        <x:v>7</x:v>
      </x:c>
      <x:c r="O80" s="431" t="n">
        <x:f>IF(K80=0,"",1+COUNTIF($K$19:$K$186,"&gt;"&amp;K80))</x:f>
        <x:v>69</x:v>
      </x:c>
      <x:c r="P80" s="430" t="str">
        <x:f>IF(C80=0,"No specialisations recorded",IF(E80&gt;0,"Review missing level","Complete"))</x:f>
        <x:v>Complete</x:v>
      </x:c>
      <x:c r="Q80" s="434" t="n">
        <x:f>IF(COUNTIFS('Damage Ranking'!$B$6:$B$172,A80,'Damage Ranking'!$C$6:$C$172,B80)=0,"",SUMIFS('Damage Ranking'!$D$6:$D$172,'Damage Ranking'!$B$6:$B$172,A80,'Damage Ranking'!$C$6:$C$172,B80))</x:f>
        <x:v>2.775366208924507</x:v>
      </x:c>
      <x:c r="R80" s="431" t="n">
        <x:f>IF(Q80="","",SUMIFS('Damage Ranking'!$A$6:$A$172,'Damage Ranking'!$B$6:$B$172,A80,'Damage Ranking'!$C$6:$C$172,B80))</x:f>
        <x:v>165</x:v>
      </x:c>
      <x:c r="S80" s="431" t="n">
        <x:f>IF(OR(R80="",O80=""),"",R80-O80)</x:f>
        <x:v>96</x:v>
      </x:c>
      <x:c r="T80" s="430" t="str">
        <x:f>IF(S80="","No damage score",IF(S80&gt;=20,"Badges much stronger",IF(S80&lt;=-20,"Damage much stronger","Broadly aligned")))</x:f>
        <x:v>Badges much stronger</x:v>
      </x:c>
      <x:c r="U80" s="434" t="n">
        <x:f>IF(Q80="","",Q80*(1-$R$5)+L80*$R$5)</x:f>
        <x:v>2.775366208924507</x:v>
      </x:c>
      <x:c r="V80" s="431" t="n">
        <x:f>IF(U80="","",1+COUNTIF($U$19:$U$186,"&gt;"&amp;U80))</x:f>
        <x:v>165</x:v>
      </x:c>
    </x:row>
    <x:row r="81" ht="24" customHeight="1">
      <x:c r="A81" s="430" t="str">
        <x:v>K116</x:v>
      </x:c>
      <x:c r="B81" s="430" t="str">
        <x:v>不可盾号</x:v>
      </x:c>
      <x:c r="C81" s="431" t="n">
        <x:f>COUNTIFS('Specialisations'!$A$6:$A$527,A81,'Specialisations'!$B$6:$B$527,B81)</x:f>
        <x:v>1</x:v>
      </x:c>
      <x:c r="D81" s="431" t="n">
        <x:f>COUNTIFS('Specialisations'!$A$6:$A$527,A81,'Specialisations'!$B$6:$B$527,B81,'Specialisations'!$P$6:$P$527,"OK")</x:f>
        <x:v>1</x:v>
      </x:c>
      <x:c r="E81" s="431" t="n">
        <x:f>C81-D81</x:f>
        <x:v>0</x:v>
      </x:c>
      <x:c r="F81" s="432" t="n">
        <x:f>IF(C81=0,0,D81/C81)</x:f>
        <x:v>1</x:v>
      </x:c>
      <x:c r="G81" s="433" t="n">
        <x:f>SUMIFS('Specialisations'!$N$6:$N$527,'Specialisations'!$A$6:$A$527,A81,'Specialisations'!$B$6:$B$527,B81,'Specialisations'!$C$6:$C$527,"Guards")</x:f>
        <x:v>2244300</x:v>
      </x:c>
      <x:c r="H81" s="433" t="n">
        <x:f>SUMIFS('Specialisations'!$N$6:$N$527,'Specialisations'!$A$6:$A$527,A81,'Specialisations'!$B$6:$B$527,B81,'Specialisations'!$C$6:$C$527,"Archers")</x:f>
        <x:v>0</x:v>
      </x:c>
      <x:c r="I81" s="433" t="n">
        <x:f>SUMIFS('Specialisations'!$N$6:$N$527,'Specialisations'!$A$6:$A$527,A81,'Specialisations'!$B$6:$B$527,B81,'Specialisations'!$C$6:$C$527,"Cavalry")</x:f>
        <x:v>0</x:v>
      </x:c>
      <x:c r="J81" s="433" t="n">
        <x:f>SUMIFS('Specialisations'!$N$6:$N$527,'Specialisations'!$A$6:$A$527,A81,'Specialisations'!$B$6:$B$527,B81,'Specialisations'!$C$6:$C$527,"Siege")</x:f>
        <x:v>0</x:v>
      </x:c>
      <x:c r="K81" s="433" t="n">
        <x:f>SUM(G81:J81)</x:f>
        <x:v>2244300</x:v>
      </x:c>
      <x:c r="L81" s="434" t="n">
        <x:f>IFERROR(100*K81/MAX($K$19:$K$186),0)</x:f>
        <x:v>3.6195001112799123</x:v>
      </x:c>
      <x:c r="M81" s="495" t="n">
        <x:f>IF(C81=0,"",SUMIFS('Specialisations'!$Q$6:$Q$527,'Specialisations'!$A$6:$A$527,A81,'Specialisations'!$B$6:$B$527,B81))</x:f>
        <x:v>-27.74</x:v>
      </x:c>
      <x:c r="N81" s="431" t="n">
        <x:f>IF(K81=0,"",1+COUNTIFS($A$19:$A$186,A81,$K$19:$K$186,"&gt;"&amp;K81))</x:f>
        <x:v>13</x:v>
      </x:c>
      <x:c r="O81" s="431" t="n">
        <x:f>IF(K81=0,"",1+COUNTIF($K$19:$K$186,"&gt;"&amp;K81))</x:f>
        <x:v>155</x:v>
      </x:c>
      <x:c r="P81" s="430" t="str">
        <x:f>IF(C81=0,"No specialisations recorded",IF(E81&gt;0,"Review missing level","Complete"))</x:f>
        <x:v>Complete</x:v>
      </x:c>
      <x:c r="Q81" s="434" t="n">
        <x:f>IF(COUNTIFS('Damage Ranking'!$B$6:$B$172,A81,'Damage Ranking'!$C$6:$C$172,B81)=0,"",SUMIFS('Damage Ranking'!$D$6:$D$172,'Damage Ranking'!$B$6:$B$172,A81,'Damage Ranking'!$C$6:$C$172,B81))</x:f>
        <x:v>0.3797290825823813</x:v>
      </x:c>
      <x:c r="R81" s="431" t="n">
        <x:f>IF(Q81="","",SUMIFS('Damage Ranking'!$A$6:$A$172,'Damage Ranking'!$B$6:$B$172,A81,'Damage Ranking'!$C$6:$C$172,B81))</x:f>
        <x:v>167</x:v>
      </x:c>
      <x:c r="S81" s="431" t="n">
        <x:f>IF(OR(R81="",O81=""),"",R81-O81)</x:f>
        <x:v>12</x:v>
      </x:c>
      <x:c r="T81" s="430" t="str">
        <x:f>IF(S81="","No damage score",IF(S81&gt;=20,"Badges much stronger",IF(S81&lt;=-20,"Damage much stronger","Broadly aligned")))</x:f>
        <x:v>Broadly aligned</x:v>
      </x:c>
      <x:c r="U81" s="434" t="n">
        <x:f>IF(Q81="","",Q81*(1-$R$5)+L81*$R$5)</x:f>
        <x:v>0.3797290825823813</x:v>
      </x:c>
      <x:c r="V81" s="431" t="n">
        <x:f>IF(U81="","",1+COUNTIF($U$19:$U$186,"&gt;"&amp;U81))</x:f>
        <x:v>167</x:v>
      </x:c>
    </x:row>
    <x:row r="82" ht="24" customHeight="1">
      <x:c r="A82" s="430" t="str">
        <x:v>K116</x:v>
      </x:c>
      <x:c r="B82" s="430" t="str">
        <x:v>光之使者</x:v>
      </x:c>
      <x:c r="C82" s="431" t="n">
        <x:f>COUNTIFS('Specialisations'!$A$6:$A$527,A82,'Specialisations'!$B$6:$B$527,B82)</x:f>
        <x:v>5</x:v>
      </x:c>
      <x:c r="D82" s="431" t="n">
        <x:f>COUNTIFS('Specialisations'!$A$6:$A$527,A82,'Specialisations'!$B$6:$B$527,B82,'Specialisations'!$P$6:$P$527,"OK")</x:f>
        <x:v>5</x:v>
      </x:c>
      <x:c r="E82" s="431" t="n">
        <x:f>C82-D82</x:f>
        <x:v>0</x:v>
      </x:c>
      <x:c r="F82" s="432" t="n">
        <x:f>IF(C82=0,0,D82/C82)</x:f>
        <x:v>1</x:v>
      </x:c>
      <x:c r="G82" s="433" t="n">
        <x:f>SUMIFS('Specialisations'!$N$6:$N$527,'Specialisations'!$A$6:$A$527,A82,'Specialisations'!$B$6:$B$527,B82,'Specialisations'!$C$6:$C$527,"Guards")</x:f>
        <x:v>10334300</x:v>
      </x:c>
      <x:c r="H82" s="433" t="n">
        <x:f>SUMIFS('Specialisations'!$N$6:$N$527,'Specialisations'!$A$6:$A$527,A82,'Specialisations'!$B$6:$B$527,B82,'Specialisations'!$C$6:$C$527,"Archers")</x:f>
        <x:v>4284300</x:v>
      </x:c>
      <x:c r="I82" s="433" t="n">
        <x:f>SUMIFS('Specialisations'!$N$6:$N$527,'Specialisations'!$A$6:$A$527,A82,'Specialisations'!$B$6:$B$527,B82,'Specialisations'!$C$6:$C$527,"Cavalry")</x:f>
        <x:v>8008600</x:v>
      </x:c>
      <x:c r="J82" s="433" t="n">
        <x:f>SUMIFS('Specialisations'!$N$6:$N$527,'Specialisations'!$A$6:$A$527,A82,'Specialisations'!$B$6:$B$527,B82,'Specialisations'!$C$6:$C$527,"Siege")</x:f>
        <x:v>4284300</x:v>
      </x:c>
      <x:c r="K82" s="433" t="n">
        <x:f>SUM(G82:J82)</x:f>
        <x:v>26911500</x:v>
      </x:c>
      <x:c r="L82" s="434" t="n">
        <x:f>IFERROR(100*K82/MAX($K$19:$K$186),0)</x:f>
        <x:v>43.40158501301491</x:v>
      </x:c>
      <x:c r="M82" s="495" t="n">
        <x:f>IF(C82=0,"",SUMIFS('Specialisations'!$Q$6:$Q$527,'Specialisations'!$A$6:$A$527,A82,'Specialisations'!$B$6:$B$527,B82))</x:f>
        <x:v>105.86999999999999</x:v>
      </x:c>
      <x:c r="N82" s="431" t="n">
        <x:f>IF(K82=0,"",1+COUNTIFS($A$19:$A$186,A82,$K$19:$K$186,"&gt;"&amp;K82))</x:f>
        <x:v>2</x:v>
      </x:c>
      <x:c r="O82" s="431" t="n">
        <x:f>IF(K82=0,"",1+COUNTIF($K$19:$K$186,"&gt;"&amp;K82))</x:f>
        <x:v>10</x:v>
      </x:c>
      <x:c r="P82" s="430" t="str">
        <x:f>IF(C82=0,"No specialisations recorded",IF(E82&gt;0,"Review missing level","Complete"))</x:f>
        <x:v>Complete</x:v>
      </x:c>
      <x:c r="Q82" s="434" t="n">
        <x:f>IF(COUNTIFS('Damage Ranking'!$B$6:$B$172,A82,'Damage Ranking'!$C$6:$C$172,B82)=0,"",SUMIFS('Damage Ranking'!$D$6:$D$172,'Damage Ranking'!$B$6:$B$172,A82,'Damage Ranking'!$C$6:$C$172,B82))</x:f>
        <x:v>61.935915675614496</x:v>
      </x:c>
      <x:c r="R82" s="431" t="n">
        <x:f>IF(Q82="","",SUMIFS('Damage Ranking'!$A$6:$A$172,'Damage Ranking'!$B$6:$B$172,A82,'Damage Ranking'!$C$6:$C$172,B82))</x:f>
        <x:v>23</x:v>
      </x:c>
      <x:c r="S82" s="431" t="n">
        <x:f>IF(OR(R82="",O82=""),"",R82-O82)</x:f>
        <x:v>13</x:v>
      </x:c>
      <x:c r="T82" s="430" t="str">
        <x:f>IF(S82="","No damage score",IF(S82&gt;=20,"Badges much stronger",IF(S82&lt;=-20,"Damage much stronger","Broadly aligned")))</x:f>
        <x:v>Broadly aligned</x:v>
      </x:c>
      <x:c r="U82" s="434" t="n">
        <x:f>IF(Q82="","",Q82*(1-$R$5)+L82*$R$5)</x:f>
        <x:v>61.935915675614496</x:v>
      </x:c>
      <x:c r="V82" s="431" t="n">
        <x:f>IF(U82="","",1+COUNTIF($U$19:$U$186,"&gt;"&amp;U82))</x:f>
        <x:v>23</x:v>
      </x:c>
    </x:row>
    <x:row r="83" ht="24" customHeight="1">
      <x:c r="A83" s="430" t="str">
        <x:v>K116</x:v>
      </x:c>
      <x:c r="B83" s="430" t="str">
        <x:v>逍遥浪四月</x:v>
      </x:c>
      <x:c r="C83" s="431" t="n">
        <x:f>COUNTIFS('Specialisations'!$A$6:$A$527,A83,'Specialisations'!$B$6:$B$527,B83)</x:f>
        <x:v>3</x:v>
      </x:c>
      <x:c r="D83" s="431" t="n">
        <x:f>COUNTIFS('Specialisations'!$A$6:$A$527,A83,'Specialisations'!$B$6:$B$527,B83,'Specialisations'!$P$6:$P$527,"OK")</x:f>
        <x:v>3</x:v>
      </x:c>
      <x:c r="E83" s="431" t="n">
        <x:f>C83-D83</x:f>
        <x:v>0</x:v>
      </x:c>
      <x:c r="F83" s="432" t="n">
        <x:f>IF(C83=0,0,D83/C83)</x:f>
        <x:v>1</x:v>
      </x:c>
      <x:c r="G83" s="433" t="n">
        <x:f>SUMIFS('Specialisations'!$N$6:$N$527,'Specialisations'!$A$6:$A$527,A83,'Specialisations'!$B$6:$B$527,B83,'Specialisations'!$C$6:$C$527,"Guards")</x:f>
        <x:v>2244300</x:v>
      </x:c>
      <x:c r="H83" s="433" t="n">
        <x:f>SUMIFS('Specialisations'!$N$6:$N$527,'Specialisations'!$A$6:$A$527,A83,'Specialisations'!$B$6:$B$527,B83,'Specialisations'!$C$6:$C$527,"Archers")</x:f>
        <x:v>0</x:v>
      </x:c>
      <x:c r="I83" s="433" t="n">
        <x:f>SUMIFS('Specialisations'!$N$6:$N$527,'Specialisations'!$A$6:$A$527,A83,'Specialisations'!$B$6:$B$527,B83,'Specialisations'!$C$6:$C$527,"Cavalry")</x:f>
        <x:v>4488600</x:v>
      </x:c>
      <x:c r="J83" s="433" t="n">
        <x:f>SUMIFS('Specialisations'!$N$6:$N$527,'Specialisations'!$A$6:$A$527,A83,'Specialisations'!$B$6:$B$527,B83,'Specialisations'!$C$6:$C$527,"Siege")</x:f>
        <x:v>0</x:v>
      </x:c>
      <x:c r="K83" s="433" t="n">
        <x:f>SUM(G83:J83)</x:f>
        <x:v>6732900</x:v>
      </x:c>
      <x:c r="L83" s="434" t="n">
        <x:f>IFERROR(100*K83/MAX($K$19:$K$186),0)</x:f>
        <x:v>10.858500333839737</x:v>
      </x:c>
      <x:c r="M83" s="495" t="n">
        <x:f>IF(C83=0,"",SUMIFS('Specialisations'!$Q$6:$Q$527,'Specialisations'!$A$6:$A$527,A83,'Specialisations'!$B$6:$B$527,B83))</x:f>
        <x:v>27.74</x:v>
      </x:c>
      <x:c r="N83" s="431" t="n">
        <x:f>IF(K83=0,"",1+COUNTIFS($A$19:$A$186,A83,$K$19:$K$186,"&gt;"&amp;K83))</x:f>
        <x:v>11</x:v>
      </x:c>
      <x:c r="O83" s="431" t="n">
        <x:f>IF(K83=0,"",1+COUNTIF($K$19:$K$186,"&gt;"&amp;K83))</x:f>
        <x:v>141</x:v>
      </x:c>
      <x:c r="P83" s="430" t="str">
        <x:f>IF(C83=0,"No specialisations recorded",IF(E83&gt;0,"Review missing level","Complete"))</x:f>
        <x:v>Complete</x:v>
      </x:c>
      <x:c r="Q83" s="434" t="n">
        <x:f>IF(COUNTIFS('Damage Ranking'!$B$6:$B$172,A83,'Damage Ranking'!$C$6:$C$172,B83)=0,"",SUMIFS('Damage Ranking'!$D$6:$D$172,'Damage Ranking'!$B$6:$B$172,A83,'Damage Ranking'!$C$6:$C$172,B83))</x:f>
        <x:v>15.298955919027144</x:v>
      </x:c>
      <x:c r="R83" s="431" t="n">
        <x:f>IF(Q83="","",SUMIFS('Damage Ranking'!$A$6:$A$172,'Damage Ranking'!$B$6:$B$172,A83,'Damage Ranking'!$C$6:$C$172,B83))</x:f>
        <x:v>138</x:v>
      </x:c>
      <x:c r="S83" s="431" t="n">
        <x:f>IF(OR(R83="",O83=""),"",R83-O83)</x:f>
        <x:v>-3</x:v>
      </x:c>
      <x:c r="T83" s="430" t="str">
        <x:f>IF(S83="","No damage score",IF(S83&gt;=20,"Badges much stronger",IF(S83&lt;=-20,"Damage much stronger","Broadly aligned")))</x:f>
        <x:v>Broadly aligned</x:v>
      </x:c>
      <x:c r="U83" s="434" t="n">
        <x:f>IF(Q83="","",Q83*(1-$R$5)+L83*$R$5)</x:f>
        <x:v>15.298955919027144</x:v>
      </x:c>
      <x:c r="V83" s="431" t="n">
        <x:f>IF(U83="","",1+COUNTIF($U$19:$U$186,"&gt;"&amp;U83))</x:f>
        <x:v>138</x:v>
      </x:c>
    </x:row>
    <x:row r="84" ht="24" customHeight="1">
      <x:c r="A84" s="430" t="str">
        <x:v>K138</x:v>
      </x:c>
      <x:c r="B84" s="430" t="str">
        <x:v>(RaW)༺博卡Ajax༻</x:v>
      </x:c>
      <x:c r="C84" s="431" t="n">
        <x:f>COUNTIFS('Specialisations'!$A$6:$A$527,A84,'Specialisations'!$B$6:$B$527,B84)</x:f>
        <x:v>6</x:v>
      </x:c>
      <x:c r="D84" s="431" t="n">
        <x:f>COUNTIFS('Specialisations'!$A$6:$A$527,A84,'Specialisations'!$B$6:$B$527,B84,'Specialisations'!$P$6:$P$527,"OK")</x:f>
        <x:v>6</x:v>
      </x:c>
      <x:c r="E84" s="431" t="n">
        <x:f>C84-D84</x:f>
        <x:v>0</x:v>
      </x:c>
      <x:c r="F84" s="432" t="n">
        <x:f>IF(C84=0,0,D84/C84)</x:f>
        <x:v>1</x:v>
      </x:c>
      <x:c r="G84" s="433" t="n">
        <x:f>SUMIFS('Specialisations'!$N$6:$N$527,'Specialisations'!$A$6:$A$527,A84,'Specialisations'!$B$6:$B$527,B84,'Specialisations'!$C$6:$C$527,"Guards")</x:f>
        <x:v>10334300</x:v>
      </x:c>
      <x:c r="H84" s="433" t="n">
        <x:f>SUMIFS('Specialisations'!$N$6:$N$527,'Specialisations'!$A$6:$A$527,A84,'Specialisations'!$B$6:$B$527,B84,'Specialisations'!$C$6:$C$527,"Archers")</x:f>
        <x:v>3951100</x:v>
      </x:c>
      <x:c r="I84" s="433" t="n">
        <x:f>SUMIFS('Specialisations'!$N$6:$N$527,'Specialisations'!$A$6:$A$527,A84,'Specialisations'!$B$6:$B$527,B84,'Specialisations'!$C$6:$C$527,"Cavalry")</x:f>
        <x:v>8568600</x:v>
      </x:c>
      <x:c r="J84" s="433" t="n">
        <x:f>SUMIFS('Specialisations'!$N$6:$N$527,'Specialisations'!$A$6:$A$527,A84,'Specialisations'!$B$6:$B$527,B84,'Specialisations'!$C$6:$C$527,"Siege")</x:f>
        <x:v>774300</x:v>
      </x:c>
      <x:c r="K84" s="433" t="n">
        <x:f>SUM(G84:J84)</x:f>
        <x:v>23628300</x:v>
      </x:c>
      <x:c r="L84" s="434" t="n">
        <x:f>IFERROR(100*K84/MAX($K$19:$K$186),0)</x:f>
        <x:v>38.10659647968416</x:v>
      </x:c>
      <x:c r="M84" s="495" t="n">
        <x:f>IF(C84=0,"",SUMIFS('Specialisations'!$Q$6:$Q$527,'Specialisations'!$A$6:$A$527,A84,'Specialisations'!$B$6:$B$527,B84))</x:f>
        <x:v>78.28999999999999</x:v>
      </x:c>
      <x:c r="N84" s="431" t="n">
        <x:f>IF(K84=0,"",1+COUNTIFS($A$19:$A$186,A84,$K$19:$K$186,"&gt;"&amp;K84))</x:f>
        <x:v>2</x:v>
      </x:c>
      <x:c r="O84" s="431" t="n">
        <x:f>IF(K84=0,"",1+COUNTIF($K$19:$K$186,"&gt;"&amp;K84))</x:f>
        <x:v>18</x:v>
      </x:c>
      <x:c r="P84" s="430" t="str">
        <x:f>IF(C84=0,"No specialisations recorded",IF(E84&gt;0,"Review missing level","Complete"))</x:f>
        <x:v>Complete</x:v>
      </x:c>
      <x:c r="Q84" s="434" t="n">
        <x:f>IF(COUNTIFS('Damage Ranking'!$B$6:$B$172,A84,'Damage Ranking'!$C$6:$C$172,B84)=0,"",SUMIFS('Damage Ranking'!$D$6:$D$172,'Damage Ranking'!$B$6:$B$172,A84,'Damage Ranking'!$C$6:$C$172,B84))</x:f>
        <x:v>59.800104594484544</x:v>
      </x:c>
      <x:c r="R84" s="431" t="n">
        <x:f>IF(Q84="","",SUMIFS('Damage Ranking'!$A$6:$A$172,'Damage Ranking'!$B$6:$B$172,A84,'Damage Ranking'!$C$6:$C$172,B84))</x:f>
        <x:v>25</x:v>
      </x:c>
      <x:c r="S84" s="431" t="n">
        <x:f>IF(OR(R84="",O84=""),"",R84-O84)</x:f>
        <x:v>7</x:v>
      </x:c>
      <x:c r="T84" s="430" t="str">
        <x:f>IF(S84="","No damage score",IF(S84&gt;=20,"Badges much stronger",IF(S84&lt;=-20,"Damage much stronger","Broadly aligned")))</x:f>
        <x:v>Broadly aligned</x:v>
      </x:c>
      <x:c r="U84" s="434" t="n">
        <x:f>IF(Q84="","",Q84*(1-$R$5)+L84*$R$5)</x:f>
        <x:v>59.800104594484544</x:v>
      </x:c>
      <x:c r="V84" s="431" t="n">
        <x:f>IF(U84="","",1+COUNTIF($U$19:$U$186,"&gt;"&amp;U84))</x:f>
        <x:v>25</x:v>
      </x:c>
    </x:row>
    <x:row r="85" ht="24" customHeight="1">
      <x:c r="A85" s="430" t="str">
        <x:v>K138</x:v>
      </x:c>
      <x:c r="B85" s="430" t="str">
        <x:v>(RaW)Venom毒液</x:v>
      </x:c>
      <x:c r="C85" s="431" t="n">
        <x:f>COUNTIFS('Specialisations'!$A$6:$A$527,A85,'Specialisations'!$B$6:$B$527,B85)</x:f>
        <x:v>2</x:v>
      </x:c>
      <x:c r="D85" s="431" t="n">
        <x:f>COUNTIFS('Specialisations'!$A$6:$A$527,A85,'Specialisations'!$B$6:$B$527,B85,'Specialisations'!$P$6:$P$527,"OK")</x:f>
        <x:v>2</x:v>
      </x:c>
      <x:c r="E85" s="431" t="n">
        <x:f>C85-D85</x:f>
        <x:v>0</x:v>
      </x:c>
      <x:c r="F85" s="432" t="n">
        <x:f>IF(C85=0,0,D85/C85)</x:f>
        <x:v>1</x:v>
      </x:c>
      <x:c r="G85" s="433" t="n">
        <x:f>SUMIFS('Specialisations'!$N$6:$N$527,'Specialisations'!$A$6:$A$527,A85,'Specialisations'!$B$6:$B$527,B85,'Specialisations'!$C$6:$C$527,"Guards")</x:f>
        <x:v>8334300</x:v>
      </x:c>
      <x:c r="H85" s="433" t="n">
        <x:f>SUMIFS('Specialisations'!$N$6:$N$527,'Specialisations'!$A$6:$A$527,A85,'Specialisations'!$B$6:$B$527,B85,'Specialisations'!$C$6:$C$527,"Archers")</x:f>
        <x:v>1624300</x:v>
      </x:c>
      <x:c r="I85" s="433" t="n">
        <x:f>SUMIFS('Specialisations'!$N$6:$N$527,'Specialisations'!$A$6:$A$527,A85,'Specialisations'!$B$6:$B$527,B85,'Specialisations'!$C$6:$C$527,"Cavalry")</x:f>
        <x:v>0</x:v>
      </x:c>
      <x:c r="J85" s="433" t="n">
        <x:f>SUMIFS('Specialisations'!$N$6:$N$527,'Specialisations'!$A$6:$A$527,A85,'Specialisations'!$B$6:$B$527,B85,'Specialisations'!$C$6:$C$527,"Siege")</x:f>
        <x:v>0</x:v>
      </x:c>
      <x:c r="K85" s="433" t="n">
        <x:f>SUM(G85:J85)</x:f>
        <x:v>9958600</x:v>
      </x:c>
      <x:c r="L85" s="434" t="n">
        <x:f>IFERROR(100*K85/MAX($K$19:$K$186),0)</x:f>
        <x:v>16.060755606733565</x:v>
      </x:c>
      <x:c r="M85" s="495" t="n">
        <x:f>IF(C85=0,"",SUMIFS('Specialisations'!$Q$6:$Q$527,'Specialisations'!$A$6:$A$527,A85,'Specialisations'!$B$6:$B$527,B85))</x:f>
        <x:v>-34.47</x:v>
      </x:c>
      <x:c r="N85" s="431" t="n">
        <x:f>IF(K85=0,"",1+COUNTIFS($A$19:$A$186,A85,$K$19:$K$186,"&gt;"&amp;K85))</x:f>
        <x:v>18</x:v>
      </x:c>
      <x:c r="O85" s="431" t="n">
        <x:f>IF(K85=0,"",1+COUNTIF($K$19:$K$186,"&gt;"&amp;K85))</x:f>
        <x:v>123</x:v>
      </x:c>
      <x:c r="P85" s="430" t="str">
        <x:f>IF(C85=0,"No specialisations recorded",IF(E85&gt;0,"Review missing level","Complete"))</x:f>
        <x:v>Complete</x:v>
      </x:c>
      <x:c r="Q85" s="434" t="n">
        <x:f>IF(COUNTIFS('Damage Ranking'!$B$6:$B$172,A85,'Damage Ranking'!$C$6:$C$172,B85)=0,"",SUMIFS('Damage Ranking'!$D$6:$D$172,'Damage Ranking'!$B$6:$B$172,A85,'Damage Ranking'!$C$6:$C$172,B85))</x:f>
        <x:v>11.41666207849143</x:v>
      </x:c>
      <x:c r="R85" s="431" t="n">
        <x:f>IF(Q85="","",SUMIFS('Damage Ranking'!$A$6:$A$172,'Damage Ranking'!$B$6:$B$172,A85,'Damage Ranking'!$C$6:$C$172,B85))</x:f>
        <x:v>150</x:v>
      </x:c>
      <x:c r="S85" s="431" t="n">
        <x:f>IF(OR(R85="",O85=""),"",R85-O85)</x:f>
        <x:v>27</x:v>
      </x:c>
      <x:c r="T85" s="430" t="str">
        <x:f>IF(S85="","No damage score",IF(S85&gt;=20,"Badges much stronger",IF(S85&lt;=-20,"Damage much stronger","Broadly aligned")))</x:f>
        <x:v>Badges much stronger</x:v>
      </x:c>
      <x:c r="U85" s="434" t="n">
        <x:f>IF(Q85="","",Q85*(1-$R$5)+L85*$R$5)</x:f>
        <x:v>11.41666207849143</x:v>
      </x:c>
      <x:c r="V85" s="431" t="n">
        <x:f>IF(U85="","",1+COUNTIF($U$19:$U$186,"&gt;"&amp;U85))</x:f>
        <x:v>150</x:v>
      </x:c>
    </x:row>
    <x:row r="86" ht="24" customHeight="1">
      <x:c r="A86" s="430" t="str">
        <x:v>K138</x:v>
      </x:c>
      <x:c r="B86" s="430" t="str">
        <x:v>(RaW)༺JOJO༻</x:v>
      </x:c>
      <x:c r="C86" s="431" t="n">
        <x:f>COUNTIFS('Specialisations'!$A$6:$A$527,A86,'Specialisations'!$B$6:$B$527,B86)</x:f>
        <x:v>3</x:v>
      </x:c>
      <x:c r="D86" s="431" t="n">
        <x:f>COUNTIFS('Specialisations'!$A$6:$A$527,A86,'Specialisations'!$B$6:$B$527,B86,'Specialisations'!$P$6:$P$527,"OK")</x:f>
        <x:v>3</x:v>
      </x:c>
      <x:c r="E86" s="431" t="n">
        <x:f>C86-D86</x:f>
        <x:v>0</x:v>
      </x:c>
      <x:c r="F86" s="432" t="n">
        <x:f>IF(C86=0,0,D86/C86)</x:f>
        <x:v>1</x:v>
      </x:c>
      <x:c r="G86" s="433" t="n">
        <x:f>SUMIFS('Specialisations'!$N$6:$N$527,'Specialisations'!$A$6:$A$527,A86,'Specialisations'!$B$6:$B$527,B86,'Specialisations'!$C$6:$C$527,"Guards")</x:f>
        <x:v>4284300</x:v>
      </x:c>
      <x:c r="H86" s="433" t="n">
        <x:f>SUMIFS('Specialisations'!$N$6:$N$527,'Specialisations'!$A$6:$A$527,A86,'Specialisations'!$B$6:$B$527,B86,'Specialisations'!$C$6:$C$527,"Archers")</x:f>
        <x:v>2524300</x:v>
      </x:c>
      <x:c r="I86" s="433" t="n">
        <x:f>SUMIFS('Specialisations'!$N$6:$N$527,'Specialisations'!$A$6:$A$527,A86,'Specialisations'!$B$6:$B$527,B86,'Specialisations'!$C$6:$C$527,"Cavalry")</x:f>
        <x:v>2244300</x:v>
      </x:c>
      <x:c r="J86" s="433" t="n">
        <x:f>SUMIFS('Specialisations'!$N$6:$N$527,'Specialisations'!$A$6:$A$527,A86,'Specialisations'!$B$6:$B$527,B86,'Specialisations'!$C$6:$C$527,"Siege")</x:f>
        <x:v>0</x:v>
      </x:c>
      <x:c r="K86" s="433" t="n">
        <x:f>SUM(G86:J86)</x:f>
        <x:v>9052900</x:v>
      </x:c>
      <x:c r="L86" s="434" t="n">
        <x:f>IFERROR(100*K86/MAX($K$19:$K$186),0)</x:f>
        <x:v>14.600085798425308</x:v>
      </x:c>
      <x:c r="M86" s="495" t="n">
        <x:f>IF(C86=0,"",SUMIFS('Specialisations'!$Q$6:$Q$527,'Specialisations'!$A$6:$A$527,A86,'Specialisations'!$B$6:$B$527,B86))</x:f>
        <x:v>16.14</x:v>
      </x:c>
      <x:c r="N86" s="431" t="n">
        <x:f>IF(K86=0,"",1+COUNTIFS($A$19:$A$186,A86,$K$19:$K$186,"&gt;"&amp;K86))</x:f>
        <x:v>20</x:v>
      </x:c>
      <x:c r="O86" s="431" t="n">
        <x:f>IF(K86=0,"",1+COUNTIF($K$19:$K$186,"&gt;"&amp;K86))</x:f>
        <x:v>126</x:v>
      </x:c>
      <x:c r="P86" s="430" t="str">
        <x:f>IF(C86=0,"No specialisations recorded",IF(E86&gt;0,"Review missing level","Complete"))</x:f>
        <x:v>Complete</x:v>
      </x:c>
      <x:c r="Q86" s="434" t="n">
        <x:f>IF(COUNTIFS('Damage Ranking'!$B$6:$B$172,A86,'Damage Ranking'!$C$6:$C$172,B86)=0,"",SUMIFS('Damage Ranking'!$D$6:$D$172,'Damage Ranking'!$B$6:$B$172,A86,'Damage Ranking'!$C$6:$C$172,B86))</x:f>
        <x:v>26.338417762488437</x:v>
      </x:c>
      <x:c r="R86" s="431" t="n">
        <x:f>IF(Q86="","",SUMIFS('Damage Ranking'!$A$6:$A$172,'Damage Ranking'!$B$6:$B$172,A86,'Damage Ranking'!$C$6:$C$172,B86))</x:f>
        <x:v>104</x:v>
      </x:c>
      <x:c r="S86" s="431" t="n">
        <x:f>IF(OR(R86="",O86=""),"",R86-O86)</x:f>
        <x:v>-22</x:v>
      </x:c>
      <x:c r="T86" s="430" t="str">
        <x:f>IF(S86="","No damage score",IF(S86&gt;=20,"Badges much stronger",IF(S86&lt;=-20,"Damage much stronger","Broadly aligned")))</x:f>
        <x:v>Damage much stronger</x:v>
      </x:c>
      <x:c r="U86" s="434" t="n">
        <x:f>IF(Q86="","",Q86*(1-$R$5)+L86*$R$5)</x:f>
        <x:v>26.338417762488437</x:v>
      </x:c>
      <x:c r="V86" s="431" t="n">
        <x:f>IF(U86="","",1+COUNTIF($U$19:$U$186,"&gt;"&amp;U86))</x:f>
        <x:v>104</x:v>
      </x:c>
    </x:row>
    <x:row r="87" ht="24" customHeight="1">
      <x:c r="A87" s="430" t="str">
        <x:v>K138</x:v>
      </x:c>
      <x:c r="B87" s="430" t="str">
        <x:v>(RaW)SLAP</x:v>
      </x:c>
      <x:c r="C87" s="431" t="n">
        <x:f>COUNTIFS('Specialisations'!$A$6:$A$527,A87,'Specialisations'!$B$6:$B$527,B87)</x:f>
        <x:v>4</x:v>
      </x:c>
      <x:c r="D87" s="431" t="n">
        <x:f>COUNTIFS('Specialisations'!$A$6:$A$527,A87,'Specialisations'!$B$6:$B$527,B87,'Specialisations'!$P$6:$P$527,"OK")</x:f>
        <x:v>4</x:v>
      </x:c>
      <x:c r="E87" s="431" t="n">
        <x:f>C87-D87</x:f>
        <x:v>0</x:v>
      </x:c>
      <x:c r="F87" s="432" t="n">
        <x:f>IF(C87=0,0,D87/C87)</x:f>
        <x:v>1</x:v>
      </x:c>
      <x:c r="G87" s="433" t="n">
        <x:f>SUMIFS('Specialisations'!$N$6:$N$527,'Specialisations'!$A$6:$A$527,A87,'Specialisations'!$B$6:$B$527,B87,'Specialisations'!$C$6:$C$527,"Guards")</x:f>
        <x:v>0</x:v>
      </x:c>
      <x:c r="H87" s="433" t="n">
        <x:f>SUMIFS('Specialisations'!$N$6:$N$527,'Specialisations'!$A$6:$A$527,A87,'Specialisations'!$B$6:$B$527,B87,'Specialisations'!$C$6:$C$527,"Archers")</x:f>
        <x:v>2524300</x:v>
      </x:c>
      <x:c r="I87" s="433" t="n">
        <x:f>SUMIFS('Specialisations'!$N$6:$N$527,'Specialisations'!$A$6:$A$527,A87,'Specialisations'!$B$6:$B$527,B87,'Specialisations'!$C$6:$C$527,"Cavalry")</x:f>
        <x:v>13868600</x:v>
      </x:c>
      <x:c r="J87" s="433" t="n">
        <x:f>SUMIFS('Specialisations'!$N$6:$N$527,'Specialisations'!$A$6:$A$527,A87,'Specialisations'!$B$6:$B$527,B87,'Specialisations'!$C$6:$C$527,"Siege")</x:f>
        <x:v>2524300</x:v>
      </x:c>
      <x:c r="K87" s="433" t="n">
        <x:f>SUM(G87:J87)</x:f>
        <x:v>18917200</x:v>
      </x:c>
      <x:c r="L87" s="434" t="n">
        <x:f>IFERROR(100*K87/MAX($K$19:$K$186),0)</x:f>
        <x:v>30.508758858042313</x:v>
      </x:c>
      <x:c r="M87" s="495" t="n">
        <x:f>IF(C87=0,"",SUMIFS('Specialisations'!$Q$6:$Q$527,'Specialisations'!$A$6:$A$527,A87,'Specialisations'!$B$6:$B$527,B87))</x:f>
        <x:v>164.24</x:v>
      </x:c>
      <x:c r="N87" s="431" t="n">
        <x:f>IF(K87=0,"",1+COUNTIFS($A$19:$A$186,A87,$K$19:$K$186,"&gt;"&amp;K87))</x:f>
        <x:v>6</x:v>
      </x:c>
      <x:c r="O87" s="431" t="n">
        <x:f>IF(K87=0,"",1+COUNTIF($K$19:$K$186,"&gt;"&amp;K87))</x:f>
        <x:v>36</x:v>
      </x:c>
      <x:c r="P87" s="430" t="str">
        <x:f>IF(C87=0,"No specialisations recorded",IF(E87&gt;0,"Review missing level","Complete"))</x:f>
        <x:v>Complete</x:v>
      </x:c>
      <x:c r="Q87" s="434" t="n">
        <x:f>IF(COUNTIFS('Damage Ranking'!$B$6:$B$172,A87,'Damage Ranking'!$C$6:$C$172,B87)=0,"",SUMIFS('Damage Ranking'!$D$6:$D$172,'Damage Ranking'!$B$6:$B$172,A87,'Damage Ranking'!$C$6:$C$172,B87))</x:f>
        <x:v>71.81698755004226</x:v>
      </x:c>
      <x:c r="R87" s="431" t="n">
        <x:f>IF(Q87="","",SUMIFS('Damage Ranking'!$A$6:$A$172,'Damage Ranking'!$B$6:$B$172,A87,'Damage Ranking'!$C$6:$C$172,B87))</x:f>
        <x:v>17</x:v>
      </x:c>
      <x:c r="S87" s="431" t="n">
        <x:f>IF(OR(R87="",O87=""),"",R87-O87)</x:f>
        <x:v>-19</x:v>
      </x:c>
      <x:c r="T87" s="430" t="str">
        <x:f>IF(S87="","No damage score",IF(S87&gt;=20,"Badges much stronger",IF(S87&lt;=-20,"Damage much stronger","Broadly aligned")))</x:f>
        <x:v>Broadly aligned</x:v>
      </x:c>
      <x:c r="U87" s="434" t="n">
        <x:f>IF(Q87="","",Q87*(1-$R$5)+L87*$R$5)</x:f>
        <x:v>71.81698755004226</x:v>
      </x:c>
      <x:c r="V87" s="431" t="n">
        <x:f>IF(U87="","",1+COUNTIF($U$19:$U$186,"&gt;"&amp;U87))</x:f>
        <x:v>17</x:v>
      </x:c>
    </x:row>
    <x:row r="88" ht="24" customHeight="1">
      <x:c r="A88" s="430" t="str">
        <x:v>K138</x:v>
      </x:c>
      <x:c r="B88" s="430" t="str">
        <x:v>(RaW)༺Aryz༻</x:v>
      </x:c>
      <x:c r="C88" s="431" t="n">
        <x:f>COUNTIFS('Specialisations'!$A$6:$A$527,A88,'Specialisations'!$B$6:$B$527,B88)</x:f>
        <x:v>4</x:v>
      </x:c>
      <x:c r="D88" s="431" t="n">
        <x:f>COUNTIFS('Specialisations'!$A$6:$A$527,A88,'Specialisations'!$B$6:$B$527,B88,'Specialisations'!$P$6:$P$527,"OK")</x:f>
        <x:v>4</x:v>
      </x:c>
      <x:c r="E88" s="431" t="n">
        <x:f>C88-D88</x:f>
        <x:v>0</x:v>
      </x:c>
      <x:c r="F88" s="432" t="n">
        <x:f>IF(C88=0,0,D88/C88)</x:f>
        <x:v>1</x:v>
      </x:c>
      <x:c r="G88" s="433" t="n">
        <x:f>SUMIFS('Specialisations'!$N$6:$N$527,'Specialisations'!$A$6:$A$527,A88,'Specialisations'!$B$6:$B$527,B88,'Specialisations'!$C$6:$C$527,"Guards")</x:f>
        <x:v>0</x:v>
      </x:c>
      <x:c r="H88" s="433" t="n">
        <x:f>SUMIFS('Specialisations'!$N$6:$N$527,'Specialisations'!$A$6:$A$527,A88,'Specialisations'!$B$6:$B$527,B88,'Specialisations'!$C$6:$C$527,"Archers")</x:f>
        <x:v>2244300</x:v>
      </x:c>
      <x:c r="I88" s="433" t="n">
        <x:f>SUMIFS('Specialisations'!$N$6:$N$527,'Specialisations'!$A$6:$A$527,A88,'Specialisations'!$B$6:$B$527,B88,'Specialisations'!$C$6:$C$527,"Cavalry")</x:f>
        <x:v>10008600</x:v>
      </x:c>
      <x:c r="J88" s="433" t="n">
        <x:f>SUMIFS('Specialisations'!$N$6:$N$527,'Specialisations'!$A$6:$A$527,A88,'Specialisations'!$B$6:$B$527,B88,'Specialisations'!$C$6:$C$527,"Siege")</x:f>
        <x:v>2844300</x:v>
      </x:c>
      <x:c r="K88" s="433" t="n">
        <x:f>SUM(G88:J88)</x:f>
        <x:v>15097200</x:v>
      </x:c>
      <x:c r="L88" s="434" t="n">
        <x:f>IFERROR(100*K88/MAX($K$19:$K$186),0)</x:f>
        <x:v>24.34804486031952</x:v>
      </x:c>
      <x:c r="M88" s="495" t="n">
        <x:f>IF(C88=0,"",SUMIFS('Specialisations'!$Q$6:$Q$527,'Specialisations'!$A$6:$A$527,A88,'Specialisations'!$B$6:$B$527,B88))</x:f>
        <x:v>151.13</x:v>
      </x:c>
      <x:c r="N88" s="431" t="n">
        <x:f>IF(K88=0,"",1+COUNTIFS($A$19:$A$186,A88,$K$19:$K$186,"&gt;"&amp;K88))</x:f>
        <x:v>10</x:v>
      </x:c>
      <x:c r="O88" s="431" t="n">
        <x:f>IF(K88=0,"",1+COUNTIF($K$19:$K$186,"&gt;"&amp;K88))</x:f>
        <x:v>62</x:v>
      </x:c>
      <x:c r="P88" s="430" t="str">
        <x:f>IF(C88=0,"No specialisations recorded",IF(E88&gt;0,"Review missing level","Complete"))</x:f>
        <x:v>Complete</x:v>
      </x:c>
      <x:c r="Q88" s="434" t="n">
        <x:f>IF(COUNTIFS('Damage Ranking'!$B$6:$B$172,A88,'Damage Ranking'!$C$6:$C$172,B88)=0,"",SUMIFS('Damage Ranking'!$D$6:$D$172,'Damage Ranking'!$B$6:$B$172,A88,'Damage Ranking'!$C$6:$C$172,B88))</x:f>
        <x:v>49.8796708491429</x:v>
      </x:c>
      <x:c r="R88" s="431" t="n">
        <x:f>IF(Q88="","",SUMIFS('Damage Ranking'!$A$6:$A$172,'Damage Ranking'!$B$6:$B$172,A88,'Damage Ranking'!$C$6:$C$172,B88))</x:f>
        <x:v>39</x:v>
      </x:c>
      <x:c r="S88" s="431" t="n">
        <x:f>IF(OR(R88="",O88=""),"",R88-O88)</x:f>
        <x:v>-23</x:v>
      </x:c>
      <x:c r="T88" s="430" t="str">
        <x:f>IF(S88="","No damage score",IF(S88&gt;=20,"Badges much stronger",IF(S88&lt;=-20,"Damage much stronger","Broadly aligned")))</x:f>
        <x:v>Damage much stronger</x:v>
      </x:c>
      <x:c r="U88" s="434" t="n">
        <x:f>IF(Q88="","",Q88*(1-$R$5)+L88*$R$5)</x:f>
        <x:v>49.8796708491429</x:v>
      </x:c>
      <x:c r="V88" s="431" t="n">
        <x:f>IF(U88="","",1+COUNTIF($U$19:$U$186,"&gt;"&amp;U88))</x:f>
        <x:v>39</x:v>
      </x:c>
    </x:row>
    <x:row r="89" ht="24" customHeight="1">
      <x:c r="A89" s="430" t="str">
        <x:v>K138</x:v>
      </x:c>
      <x:c r="B89" s="430" t="str">
        <x:v>(RaW)©•SGT©•</x:v>
      </x:c>
      <x:c r="C89" s="431" t="n">
        <x:f>COUNTIFS('Specialisations'!$A$6:$A$527,A89,'Specialisations'!$B$6:$B$527,B89)</x:f>
        <x:v>3</x:v>
      </x:c>
      <x:c r="D89" s="431" t="n">
        <x:f>COUNTIFS('Specialisations'!$A$6:$A$527,A89,'Specialisations'!$B$6:$B$527,B89,'Specialisations'!$P$6:$P$527,"OK")</x:f>
        <x:v>3</x:v>
      </x:c>
      <x:c r="E89" s="431" t="n">
        <x:f>C89-D89</x:f>
        <x:v>0</x:v>
      </x:c>
      <x:c r="F89" s="432" t="n">
        <x:f>IF(C89=0,0,D89/C89)</x:f>
        <x:v>1</x:v>
      </x:c>
      <x:c r="G89" s="433" t="n">
        <x:f>SUMIFS('Specialisations'!$N$6:$N$527,'Specialisations'!$A$6:$A$527,A89,'Specialisations'!$B$6:$B$527,B89,'Specialisations'!$C$6:$C$527,"Guards")</x:f>
        <x:v>5884300</x:v>
      </x:c>
      <x:c r="H89" s="433" t="n">
        <x:f>SUMIFS('Specialisations'!$N$6:$N$527,'Specialisations'!$A$6:$A$527,A89,'Specialisations'!$B$6:$B$527,B89,'Specialisations'!$C$6:$C$527,"Archers")</x:f>
        <x:v>6934300</x:v>
      </x:c>
      <x:c r="I89" s="433" t="n">
        <x:f>SUMIFS('Specialisations'!$N$6:$N$527,'Specialisations'!$A$6:$A$527,A89,'Specialisations'!$B$6:$B$527,B89,'Specialisations'!$C$6:$C$527,"Cavalry")</x:f>
        <x:v>319300</x:v>
      </x:c>
      <x:c r="J89" s="433" t="n">
        <x:f>SUMIFS('Specialisations'!$N$6:$N$527,'Specialisations'!$A$6:$A$527,A89,'Specialisations'!$B$6:$B$527,B89,'Specialisations'!$C$6:$C$527,"Siege")</x:f>
        <x:v>0</x:v>
      </x:c>
      <x:c r="K89" s="433" t="n">
        <x:f>SUM(G89:J89)</x:f>
        <x:v>13137900</x:v>
      </x:c>
      <x:c r="L89" s="434" t="n">
        <x:f>IFERROR(100*K89/MAX($K$19:$K$186),0)</x:f>
        <x:v>21.18817917033568</x:v>
      </x:c>
      <x:c r="M89" s="495" t="n">
        <x:f>IF(C89=0,"",SUMIFS('Specialisations'!$Q$6:$Q$527,'Specialisations'!$A$6:$A$527,A89,'Specialisations'!$B$6:$B$527,B89))</x:f>
        <x:v>8.16</x:v>
      </x:c>
      <x:c r="N89" s="431" t="n">
        <x:f>IF(K89=0,"",1+COUNTIFS($A$19:$A$186,A89,$K$19:$K$186,"&gt;"&amp;K89))</x:f>
        <x:v>15</x:v>
      </x:c>
      <x:c r="O89" s="431" t="n">
        <x:f>IF(K89=0,"",1+COUNTIF($K$19:$K$186,"&gt;"&amp;K89))</x:f>
        <x:v>82</x:v>
      </x:c>
      <x:c r="P89" s="430" t="str">
        <x:f>IF(C89=0,"No specialisations recorded",IF(E89&gt;0,"Review missing level","Complete"))</x:f>
        <x:v>Complete</x:v>
      </x:c>
      <x:c r="Q89" s="434" t="n">
        <x:f>IF(COUNTIFS('Damage Ranking'!$B$6:$B$172,A89,'Damage Ranking'!$C$6:$C$172,B89)=0,"",SUMIFS('Damage Ranking'!$D$6:$D$172,'Damage Ranking'!$B$6:$B$172,A89,'Damage Ranking'!$C$6:$C$172,B89))</x:f>
        <x:v>38.24021238523045</x:v>
      </x:c>
      <x:c r="R89" s="431" t="n">
        <x:f>IF(Q89="","",SUMIFS('Damage Ranking'!$A$6:$A$172,'Damage Ranking'!$B$6:$B$172,A89,'Damage Ranking'!$C$6:$C$172,B89))</x:f>
        <x:v>71</x:v>
      </x:c>
      <x:c r="S89" s="431" t="n">
        <x:f>IF(OR(R89="",O89=""),"",R89-O89)</x:f>
        <x:v>-11</x:v>
      </x:c>
      <x:c r="T89" s="430" t="str">
        <x:f>IF(S89="","No damage score",IF(S89&gt;=20,"Badges much stronger",IF(S89&lt;=-20,"Damage much stronger","Broadly aligned")))</x:f>
        <x:v>Broadly aligned</x:v>
      </x:c>
      <x:c r="U89" s="434" t="n">
        <x:f>IF(Q89="","",Q89*(1-$R$5)+L89*$R$5)</x:f>
        <x:v>38.24021238523045</x:v>
      </x:c>
      <x:c r="V89" s="431" t="n">
        <x:f>IF(U89="","",1+COUNTIF($U$19:$U$186,"&gt;"&amp;U89))</x:f>
        <x:v>71</x:v>
      </x:c>
    </x:row>
    <x:row r="90" ht="24" customHeight="1">
      <x:c r="A90" s="430" t="str">
        <x:v>K138</x:v>
      </x:c>
      <x:c r="B90" s="430" t="str">
        <x:v>(RaW)JØNS</x:v>
      </x:c>
      <x:c r="C90" s="431" t="n">
        <x:f>COUNTIFS('Specialisations'!$A$6:$A$527,A90,'Specialisations'!$B$6:$B$527,B90)</x:f>
        <x:v>2</x:v>
      </x:c>
      <x:c r="D90" s="431" t="n">
        <x:f>COUNTIFS('Specialisations'!$A$6:$A$527,A90,'Specialisations'!$B$6:$B$527,B90,'Specialisations'!$P$6:$P$527,"OK")</x:f>
        <x:v>2</x:v>
      </x:c>
      <x:c r="E90" s="431" t="n">
        <x:f>C90-D90</x:f>
        <x:v>0</x:v>
      </x:c>
      <x:c r="F90" s="432" t="n">
        <x:f>IF(C90=0,0,D90/C90)</x:f>
        <x:v>1</x:v>
      </x:c>
      <x:c r="G90" s="433" t="n">
        <x:f>SUMIFS('Specialisations'!$N$6:$N$527,'Specialisations'!$A$6:$A$527,A90,'Specialisations'!$B$6:$B$527,B90,'Specialisations'!$C$6:$C$527,"Guards")</x:f>
        <x:v>271800</x:v>
      </x:c>
      <x:c r="H90" s="433" t="n">
        <x:f>SUMIFS('Specialisations'!$N$6:$N$527,'Specialisations'!$A$6:$A$527,A90,'Specialisations'!$B$6:$B$527,B90,'Specialisations'!$C$6:$C$527,"Archers")</x:f>
        <x:v>2004300</x:v>
      </x:c>
      <x:c r="I90" s="433" t="n">
        <x:f>SUMIFS('Specialisations'!$N$6:$N$527,'Specialisations'!$A$6:$A$527,A90,'Specialisations'!$B$6:$B$527,B90,'Specialisations'!$C$6:$C$527,"Cavalry")</x:f>
        <x:v>0</x:v>
      </x:c>
      <x:c r="J90" s="433" t="n">
        <x:f>SUMIFS('Specialisations'!$N$6:$N$527,'Specialisations'!$A$6:$A$527,A90,'Specialisations'!$B$6:$B$527,B90,'Specialisations'!$C$6:$C$527,"Siege")</x:f>
        <x:v>0</x:v>
      </x:c>
      <x:c r="K90" s="433" t="n">
        <x:f>SUM(G90:J90)</x:f>
        <x:v>2276100</x:v>
      </x:c>
      <x:c r="L90" s="434" t="n">
        <x:f>IFERROR(100*K90/MAX($K$19:$K$186),0)</x:f>
        <x:v>3.670785636182422</x:v>
      </x:c>
      <x:c r="M90" s="495" t="n">
        <x:f>IF(C90=0,"",SUMIFS('Specialisations'!$Q$6:$Q$527,'Specialisations'!$A$6:$A$527,A90,'Specialisations'!$B$6:$B$527,B90))</x:f>
        <x:v>19.82</x:v>
      </x:c>
      <x:c r="N90" s="431" t="n">
        <x:f>IF(K90=0,"",1+COUNTIFS($A$19:$A$186,A90,$K$19:$K$186,"&gt;"&amp;K90))</x:f>
        <x:v>26</x:v>
      </x:c>
      <x:c r="O90" s="431" t="n">
        <x:f>IF(K90=0,"",1+COUNTIF($K$19:$K$186,"&gt;"&amp;K90))</x:f>
        <x:v>154</x:v>
      </x:c>
      <x:c r="P90" s="430" t="str">
        <x:f>IF(C90=0,"No specialisations recorded",IF(E90&gt;0,"Review missing level","Complete"))</x:f>
        <x:v>Complete</x:v>
      </x:c>
      <x:c r="Q90" s="434" t="n">
        <x:f>IF(COUNTIFS('Damage Ranking'!$B$6:$B$172,A90,'Damage Ranking'!$C$6:$C$172,B90)=0,"",SUMIFS('Damage Ranking'!$D$6:$D$172,'Damage Ranking'!$B$6:$B$172,A90,'Damage Ranking'!$C$6:$C$172,B90))</x:f>
        <x:v>8.177050284571413</x:v>
      </x:c>
      <x:c r="R90" s="431" t="n">
        <x:f>IF(Q90="","",SUMIFS('Damage Ranking'!$A$6:$A$172,'Damage Ranking'!$B$6:$B$172,A90,'Damage Ranking'!$C$6:$C$172,B90))</x:f>
        <x:v>156</x:v>
      </x:c>
      <x:c r="S90" s="431" t="n">
        <x:f>IF(OR(R90="",O90=""),"",R90-O90)</x:f>
        <x:v>2</x:v>
      </x:c>
      <x:c r="T90" s="430" t="str">
        <x:f>IF(S90="","No damage score",IF(S90&gt;=20,"Badges much stronger",IF(S90&lt;=-20,"Damage much stronger","Broadly aligned")))</x:f>
        <x:v>Broadly aligned</x:v>
      </x:c>
      <x:c r="U90" s="434" t="n">
        <x:f>IF(Q90="","",Q90*(1-$R$5)+L90*$R$5)</x:f>
        <x:v>8.177050284571413</x:v>
      </x:c>
      <x:c r="V90" s="431" t="n">
        <x:f>IF(U90="","",1+COUNTIF($U$19:$U$186,"&gt;"&amp;U90))</x:f>
        <x:v>156</x:v>
      </x:c>
    </x:row>
    <x:row r="91" ht="24" customHeight="1">
      <x:c r="A91" s="430" t="str">
        <x:v>K138</x:v>
      </x:c>
      <x:c r="B91" s="430" t="str">
        <x:v>(RaW)༺Frankie༻</x:v>
      </x:c>
      <x:c r="C91" s="431" t="n">
        <x:f>COUNTIFS('Specialisations'!$A$6:$A$527,A91,'Specialisations'!$B$6:$B$527,B91)</x:f>
        <x:v>5</x:v>
      </x:c>
      <x:c r="D91" s="431" t="n">
        <x:f>COUNTIFS('Specialisations'!$A$6:$A$527,A91,'Specialisations'!$B$6:$B$527,B91,'Specialisations'!$P$6:$P$527,"OK")</x:f>
        <x:v>5</x:v>
      </x:c>
      <x:c r="E91" s="431" t="n">
        <x:f>C91-D91</x:f>
        <x:v>0</x:v>
      </x:c>
      <x:c r="F91" s="432" t="n">
        <x:f>IF(C91=0,0,D91/C91)</x:f>
        <x:v>1</x:v>
      </x:c>
      <x:c r="G91" s="433" t="n">
        <x:f>SUMIFS('Specialisations'!$N$6:$N$527,'Specialisations'!$A$6:$A$527,A91,'Specialisations'!$B$6:$B$527,B91,'Specialisations'!$C$6:$C$527,"Guards")</x:f>
        <x:v>10334300</x:v>
      </x:c>
      <x:c r="H91" s="433" t="n">
        <x:f>SUMIFS('Specialisations'!$N$6:$N$527,'Specialisations'!$A$6:$A$527,A91,'Specialisations'!$B$6:$B$527,B91,'Specialisations'!$C$6:$C$527,"Archers")</x:f>
        <x:v>1074300</x:v>
      </x:c>
      <x:c r="I91" s="433" t="n">
        <x:f>SUMIFS('Specialisations'!$N$6:$N$527,'Specialisations'!$A$6:$A$527,A91,'Specialisations'!$B$6:$B$527,B91,'Specialisations'!$C$6:$C$527,"Cavalry")</x:f>
        <x:v>8568600</x:v>
      </x:c>
      <x:c r="J91" s="433" t="n">
        <x:f>SUMIFS('Specialisations'!$N$6:$N$527,'Specialisations'!$A$6:$A$527,A91,'Specialisations'!$B$6:$B$527,B91,'Specialisations'!$C$6:$C$527,"Siege")</x:f>
        <x:v>864300</x:v>
      </x:c>
      <x:c r="K91" s="433" t="n">
        <x:f>SUM(G91:J91)</x:f>
        <x:v>20841500</x:v>
      </x:c>
      <x:c r="L91" s="434" t="n">
        <x:f>IFERROR(100*K91/MAX($K$19:$K$186),0)</x:f>
        <x:v>33.61217821558628</x:v>
      </x:c>
      <x:c r="M91" s="495" t="n">
        <x:f>IF(C91=0,"",SUMIFS('Specialisations'!$Q$6:$Q$527,'Specialisations'!$A$6:$A$527,A91,'Specialisations'!$B$6:$B$527,B91))</x:f>
        <x:v>50.83</x:v>
      </x:c>
      <x:c r="N91" s="431" t="n">
        <x:f>IF(K91=0,"",1+COUNTIFS($A$19:$A$186,A91,$K$19:$K$186,"&gt;"&amp;K91))</x:f>
        <x:v>3</x:v>
      </x:c>
      <x:c r="O91" s="431" t="n">
        <x:f>IF(K91=0,"",1+COUNTIF($K$19:$K$186,"&gt;"&amp;K91))</x:f>
        <x:v>28</x:v>
      </x:c>
      <x:c r="P91" s="430" t="str">
        <x:f>IF(C91=0,"No specialisations recorded",IF(E91&gt;0,"Review missing level","Complete"))</x:f>
        <x:v>Complete</x:v>
      </x:c>
      <x:c r="Q91" s="434" t="n">
        <x:f>IF(COUNTIFS('Damage Ranking'!$B$6:$B$172,A91,'Damage Ranking'!$C$6:$C$172,B91)=0,"",SUMIFS('Damage Ranking'!$D$6:$D$172,'Damage Ranking'!$B$6:$B$172,A91,'Damage Ranking'!$C$6:$C$172,B91))</x:f>
        <x:v>65.68395763961792</x:v>
      </x:c>
      <x:c r="R91" s="431" t="n">
        <x:f>IF(Q91="","",SUMIFS('Damage Ranking'!$A$6:$A$172,'Damage Ranking'!$B$6:$B$172,A91,'Damage Ranking'!$C$6:$C$172,B91))</x:f>
        <x:v>20</x:v>
      </x:c>
      <x:c r="S91" s="431" t="n">
        <x:f>IF(OR(R91="",O91=""),"",R91-O91)</x:f>
        <x:v>-8</x:v>
      </x:c>
      <x:c r="T91" s="430" t="str">
        <x:f>IF(S91="","No damage score",IF(S91&gt;=20,"Badges much stronger",IF(S91&lt;=-20,"Damage much stronger","Broadly aligned")))</x:f>
        <x:v>Broadly aligned</x:v>
      </x:c>
      <x:c r="U91" s="434" t="n">
        <x:f>IF(Q91="","",Q91*(1-$R$5)+L91*$R$5)</x:f>
        <x:v>65.68395763961792</x:v>
      </x:c>
      <x:c r="V91" s="431" t="n">
        <x:f>IF(U91="","",1+COUNTIF($U$19:$U$186,"&gt;"&amp;U91))</x:f>
        <x:v>20</x:v>
      </x:c>
    </x:row>
    <x:row r="92" ht="24" customHeight="1">
      <x:c r="A92" s="430" t="str">
        <x:v>K138</x:v>
      </x:c>
      <x:c r="B92" s="430" t="str">
        <x:v>(RaW)Critykal</x:v>
      </x:c>
      <x:c r="C92" s="431" t="n">
        <x:f>COUNTIFS('Specialisations'!$A$6:$A$527,A92,'Specialisations'!$B$6:$B$527,B92)</x:f>
        <x:v>4</x:v>
      </x:c>
      <x:c r="D92" s="431" t="n">
        <x:f>COUNTIFS('Specialisations'!$A$6:$A$527,A92,'Specialisations'!$B$6:$B$527,B92,'Specialisations'!$P$6:$P$527,"OK")</x:f>
        <x:v>4</x:v>
      </x:c>
      <x:c r="E92" s="431" t="n">
        <x:f>C92-D92</x:f>
        <x:v>0</x:v>
      </x:c>
      <x:c r="F92" s="432" t="n">
        <x:f>IF(C92=0,0,D92/C92)</x:f>
        <x:v>1</x:v>
      </x:c>
      <x:c r="G92" s="433" t="n">
        <x:f>SUMIFS('Specialisations'!$N$6:$N$527,'Specialisations'!$A$6:$A$527,A92,'Specialisations'!$B$6:$B$527,B92,'Specialisations'!$C$6:$C$527,"Guards")</x:f>
        <x:v>0</x:v>
      </x:c>
      <x:c r="H92" s="433" t="n">
        <x:f>SUMIFS('Specialisations'!$N$6:$N$527,'Specialisations'!$A$6:$A$527,A92,'Specialisations'!$B$6:$B$527,B92,'Specialisations'!$C$6:$C$527,"Archers")</x:f>
        <x:v>2244300</x:v>
      </x:c>
      <x:c r="I92" s="433" t="n">
        <x:f>SUMIFS('Specialisations'!$N$6:$N$527,'Specialisations'!$A$6:$A$527,A92,'Specialisations'!$B$6:$B$527,B92,'Specialisations'!$C$6:$C$527,"Cavalry")</x:f>
        <x:v>20668600</x:v>
      </x:c>
      <x:c r="J92" s="433" t="n">
        <x:f>SUMIFS('Specialisations'!$N$6:$N$527,'Specialisations'!$A$6:$A$527,A92,'Specialisations'!$B$6:$B$527,B92,'Specialisations'!$C$6:$C$527,"Siege")</x:f>
        <x:v>2244300</x:v>
      </x:c>
      <x:c r="K92" s="433" t="n">
        <x:f>SUM(G92:J92)</x:f>
        <x:v>25157200</x:v>
      </x:c>
      <x:c r="L92" s="434" t="n">
        <x:f>IFERROR(100*K92/MAX($K$19:$K$186),0)</x:f>
        <x:v>40.57233355589316</x:v>
      </x:c>
      <x:c r="M92" s="495" t="n">
        <x:f>IF(C92=0,"",SUMIFS('Specialisations'!$Q$6:$Q$527,'Specialisations'!$A$6:$A$527,A92,'Specialisations'!$B$6:$B$527,B92))</x:f>
        <x:v>175.48000000000002</x:v>
      </x:c>
      <x:c r="N92" s="431" t="n">
        <x:f>IF(K92=0,"",1+COUNTIFS($A$19:$A$186,A92,$K$19:$K$186,"&gt;"&amp;K92))</x:f>
        <x:v>1</x:v>
      </x:c>
      <x:c r="O92" s="431" t="n">
        <x:f>IF(K92=0,"",1+COUNTIF($K$19:$K$186,"&gt;"&amp;K92))</x:f>
        <x:v>14</x:v>
      </x:c>
      <x:c r="P92" s="430" t="str">
        <x:f>IF(C92=0,"No specialisations recorded",IF(E92&gt;0,"Review missing level","Complete"))</x:f>
        <x:v>Complete</x:v>
      </x:c>
      <x:c r="Q92" s="434" t="n">
        <x:f>IF(COUNTIFS('Damage Ranking'!$B$6:$B$172,A92,'Damage Ranking'!$C$6:$C$172,B92)=0,"",SUMIFS('Damage Ranking'!$D$6:$D$172,'Damage Ranking'!$B$6:$B$172,A92,'Damage Ranking'!$C$6:$C$172,B92))</x:f>
        <x:v>70.01890276708751</x:v>
      </x:c>
      <x:c r="R92" s="431" t="n">
        <x:f>IF(Q92="","",SUMIFS('Damage Ranking'!$A$6:$A$172,'Damage Ranking'!$B$6:$B$172,A92,'Damage Ranking'!$C$6:$C$172,B92))</x:f>
        <x:v>18</x:v>
      </x:c>
      <x:c r="S92" s="431" t="n">
        <x:f>IF(OR(R92="",O92=""),"",R92-O92)</x:f>
        <x:v>4</x:v>
      </x:c>
      <x:c r="T92" s="430" t="str">
        <x:f>IF(S92="","No damage score",IF(S92&gt;=20,"Badges much stronger",IF(S92&lt;=-20,"Damage much stronger","Broadly aligned")))</x:f>
        <x:v>Broadly aligned</x:v>
      </x:c>
      <x:c r="U92" s="434" t="n">
        <x:f>IF(Q92="","",Q92*(1-$R$5)+L92*$R$5)</x:f>
        <x:v>70.01890276708751</x:v>
      </x:c>
      <x:c r="V92" s="431" t="n">
        <x:f>IF(U92="","",1+COUNTIF($U$19:$U$186,"&gt;"&amp;U92))</x:f>
        <x:v>18</x:v>
      </x:c>
    </x:row>
    <x:row r="93" ht="24" customHeight="1">
      <x:c r="A93" s="430" t="str">
        <x:v>K138</x:v>
      </x:c>
      <x:c r="B93" s="430" t="str">
        <x:v>(RaW)Maddog</x:v>
      </x:c>
      <x:c r="C93" s="431" t="n">
        <x:f>COUNTIFS('Specialisations'!$A$6:$A$527,A93,'Specialisations'!$B$6:$B$527,B93)</x:f>
        <x:v>3</x:v>
      </x:c>
      <x:c r="D93" s="431" t="n">
        <x:f>COUNTIFS('Specialisations'!$A$6:$A$527,A93,'Specialisations'!$B$6:$B$527,B93,'Specialisations'!$P$6:$P$527,"OK")</x:f>
        <x:v>3</x:v>
      </x:c>
      <x:c r="E93" s="431" t="n">
        <x:f>C93-D93</x:f>
        <x:v>0</x:v>
      </x:c>
      <x:c r="F93" s="432" t="n">
        <x:f>IF(C93=0,0,D93/C93)</x:f>
        <x:v>1</x:v>
      </x:c>
      <x:c r="G93" s="433" t="n">
        <x:f>SUMIFS('Specialisations'!$N$6:$N$527,'Specialisations'!$A$6:$A$527,A93,'Specialisations'!$B$6:$B$527,B93,'Specialisations'!$C$6:$C$527,"Guards")</x:f>
        <x:v>10334300</x:v>
      </x:c>
      <x:c r="H93" s="433" t="n">
        <x:f>SUMIFS('Specialisations'!$N$6:$N$527,'Specialisations'!$A$6:$A$527,A93,'Specialisations'!$B$6:$B$527,B93,'Specialisations'!$C$6:$C$527,"Archers")</x:f>
        <x:v>3724300</x:v>
      </x:c>
      <x:c r="I93" s="433" t="n">
        <x:f>SUMIFS('Specialisations'!$N$6:$N$527,'Specialisations'!$A$6:$A$527,A93,'Specialisations'!$B$6:$B$527,B93,'Specialisations'!$C$6:$C$527,"Cavalry")</x:f>
        <x:v>424300</x:v>
      </x:c>
      <x:c r="J93" s="433" t="n">
        <x:f>SUMIFS('Specialisations'!$N$6:$N$527,'Specialisations'!$A$6:$A$527,A93,'Specialisations'!$B$6:$B$527,B93,'Specialisations'!$C$6:$C$527,"Siege")</x:f>
        <x:v>0</x:v>
      </x:c>
      <x:c r="K93" s="433" t="n">
        <x:f>SUM(G93:J93)</x:f>
        <x:v>14482900</x:v>
      </x:c>
      <x:c r="L93" s="434" t="n">
        <x:f>IFERROR(100*K93/MAX($K$19:$K$186),0)</x:f>
        <x:v>23.357331088382054</x:v>
      </x:c>
      <x:c r="M93" s="495" t="n">
        <x:f>IF(C93=0,"",SUMIFS('Specialisations'!$Q$6:$Q$527,'Specialisations'!$A$6:$A$527,A93,'Specialisations'!$B$6:$B$527,B93))</x:f>
        <x:v>-13.96</x:v>
      </x:c>
      <x:c r="N93" s="431" t="n">
        <x:f>IF(K93=0,"",1+COUNTIFS($A$19:$A$186,A93,$K$19:$K$186,"&gt;"&amp;K93))</x:f>
        <x:v>11</x:v>
      </x:c>
      <x:c r="O93" s="431" t="n">
        <x:f>IF(K93=0,"",1+COUNTIF($K$19:$K$186,"&gt;"&amp;K93))</x:f>
        <x:v>67</x:v>
      </x:c>
      <x:c r="P93" s="430" t="str">
        <x:f>IF(C93=0,"No specialisations recorded",IF(E93&gt;0,"Review missing level","Complete"))</x:f>
        <x:v>Complete</x:v>
      </x:c>
      <x:c r="Q93" s="434" t="n">
        <x:f>IF(COUNTIFS('Damage Ranking'!$B$6:$B$172,A93,'Damage Ranking'!$C$6:$C$172,B93)=0,"",SUMIFS('Damage Ranking'!$D$6:$D$172,'Damage Ranking'!$B$6:$B$172,A93,'Damage Ranking'!$C$6:$C$172,B93))</x:f>
        <x:v>43.31558793100489</x:v>
      </x:c>
      <x:c r="R93" s="431" t="n">
        <x:f>IF(Q93="","",SUMIFS('Damage Ranking'!$A$6:$A$172,'Damage Ranking'!$B$6:$B$172,A93,'Damage Ranking'!$C$6:$C$172,B93))</x:f>
        <x:v>57</x:v>
      </x:c>
      <x:c r="S93" s="431" t="n">
        <x:f>IF(OR(R93="",O93=""),"",R93-O93)</x:f>
        <x:v>-10</x:v>
      </x:c>
      <x:c r="T93" s="430" t="str">
        <x:f>IF(S93="","No damage score",IF(S93&gt;=20,"Badges much stronger",IF(S93&lt;=-20,"Damage much stronger","Broadly aligned")))</x:f>
        <x:v>Broadly aligned</x:v>
      </x:c>
      <x:c r="U93" s="434" t="n">
        <x:f>IF(Q93="","",Q93*(1-$R$5)+L93*$R$5)</x:f>
        <x:v>43.31558793100489</x:v>
      </x:c>
      <x:c r="V93" s="431" t="n">
        <x:f>IF(U93="","",1+COUNTIF($U$19:$U$186,"&gt;"&amp;U93))</x:f>
        <x:v>57</x:v>
      </x:c>
    </x:row>
    <x:row r="94" ht="24" customHeight="1">
      <x:c r="A94" s="430" t="str">
        <x:v>K138</x:v>
      </x:c>
      <x:c r="B94" s="430" t="str">
        <x:v>(RaW)BEYKOZLU</x:v>
      </x:c>
      <x:c r="C94" s="431" t="n">
        <x:f>COUNTIFS('Specialisations'!$A$6:$A$527,A94,'Specialisations'!$B$6:$B$527,B94)</x:f>
        <x:v>3</x:v>
      </x:c>
      <x:c r="D94" s="431" t="n">
        <x:f>COUNTIFS('Specialisations'!$A$6:$A$527,A94,'Specialisations'!$B$6:$B$527,B94,'Specialisations'!$P$6:$P$527,"OK")</x:f>
        <x:v>3</x:v>
      </x:c>
      <x:c r="E94" s="431" t="n">
        <x:f>C94-D94</x:f>
        <x:v>0</x:v>
      </x:c>
      <x:c r="F94" s="432" t="n">
        <x:f>IF(C94=0,0,D94/C94)</x:f>
        <x:v>1</x:v>
      </x:c>
      <x:c r="G94" s="433" t="n">
        <x:f>SUMIFS('Specialisations'!$N$6:$N$527,'Specialisations'!$A$6:$A$527,A94,'Specialisations'!$B$6:$B$527,B94,'Specialisations'!$C$6:$C$527,"Guards")</x:f>
        <x:v>6934300</x:v>
      </x:c>
      <x:c r="H94" s="433" t="n">
        <x:f>SUMIFS('Specialisations'!$N$6:$N$527,'Specialisations'!$A$6:$A$527,A94,'Specialisations'!$B$6:$B$527,B94,'Specialisations'!$C$6:$C$527,"Archers")</x:f>
        <x:v>3244300</x:v>
      </x:c>
      <x:c r="I94" s="433" t="n">
        <x:f>SUMIFS('Specialisations'!$N$6:$N$527,'Specialisations'!$A$6:$A$527,A94,'Specialisations'!$B$6:$B$527,B94,'Specialisations'!$C$6:$C$527,"Cavalry")</x:f>
        <x:v>6934300</x:v>
      </x:c>
      <x:c r="J94" s="433" t="n">
        <x:f>SUMIFS('Specialisations'!$N$6:$N$527,'Specialisations'!$A$6:$A$527,A94,'Specialisations'!$B$6:$B$527,B94,'Specialisations'!$C$6:$C$527,"Siege")</x:f>
        <x:v>0</x:v>
      </x:c>
      <x:c r="K94" s="433" t="n">
        <x:f>SUM(G94:J94)</x:f>
        <x:v>17112900</x:v>
      </x:c>
      <x:c r="L94" s="434" t="n">
        <x:f>IFERROR(100*K94/MAX($K$19:$K$186),0)</x:f>
        <x:v>27.59886978314932</x:v>
      </x:c>
      <x:c r="M94" s="495" t="n">
        <x:f>IF(C94=0,"",SUMIFS('Specialisations'!$Q$6:$Q$527,'Specialisations'!$A$6:$A$527,A94,'Specialisations'!$B$6:$B$527,B94))</x:f>
        <x:v>35.98</x:v>
      </x:c>
      <x:c r="N94" s="431" t="n">
        <x:f>IF(K94=0,"",1+COUNTIFS($A$19:$A$186,A94,$K$19:$K$186,"&gt;"&amp;K94))</x:f>
        <x:v>8</x:v>
      </x:c>
      <x:c r="O94" s="431" t="n">
        <x:f>IF(K94=0,"",1+COUNTIF($K$19:$K$186,"&gt;"&amp;K94))</x:f>
        <x:v>47</x:v>
      </x:c>
      <x:c r="P94" s="430" t="str">
        <x:f>IF(C94=0,"No specialisations recorded",IF(E94&gt;0,"Review missing level","Complete"))</x:f>
        <x:v>Complete</x:v>
      </x:c>
      <x:c r="Q94" s="434" t="n">
        <x:f>IF(COUNTIFS('Damage Ranking'!$B$6:$B$172,A94,'Damage Ranking'!$C$6:$C$172,B94)=0,"",SUMIFS('Damage Ranking'!$D$6:$D$172,'Damage Ranking'!$B$6:$B$172,A94,'Damage Ranking'!$C$6:$C$172,B94))</x:f>
        <x:v>28.26295468831115</x:v>
      </x:c>
      <x:c r="R94" s="431" t="n">
        <x:f>IF(Q94="","",SUMIFS('Damage Ranking'!$A$6:$A$172,'Damage Ranking'!$B$6:$B$172,A94,'Damage Ranking'!$C$6:$C$172,B94))</x:f>
        <x:v>96</x:v>
      </x:c>
      <x:c r="S94" s="431" t="n">
        <x:f>IF(OR(R94="",O94=""),"",R94-O94)</x:f>
        <x:v>49</x:v>
      </x:c>
      <x:c r="T94" s="430" t="str">
        <x:f>IF(S94="","No damage score",IF(S94&gt;=20,"Badges much stronger",IF(S94&lt;=-20,"Damage much stronger","Broadly aligned")))</x:f>
        <x:v>Badges much stronger</x:v>
      </x:c>
      <x:c r="U94" s="434" t="n">
        <x:f>IF(Q94="","",Q94*(1-$R$5)+L94*$R$5)</x:f>
        <x:v>28.26295468831115</x:v>
      </x:c>
      <x:c r="V94" s="431" t="n">
        <x:f>IF(U94="","",1+COUNTIF($U$19:$U$186,"&gt;"&amp;U94))</x:f>
        <x:v>96</x:v>
      </x:c>
    </x:row>
    <x:row r="95" ht="24" customHeight="1">
      <x:c r="A95" s="430" t="str">
        <x:v>K138</x:v>
      </x:c>
      <x:c r="B95" s="430" t="str">
        <x:v>(RaW)༺ASOS༻</x:v>
      </x:c>
      <x:c r="C95" s="431" t="n">
        <x:f>COUNTIFS('Specialisations'!$A$6:$A$527,A95,'Specialisations'!$B$6:$B$527,B95)</x:f>
        <x:v>2</x:v>
      </x:c>
      <x:c r="D95" s="431" t="n">
        <x:f>COUNTIFS('Specialisations'!$A$6:$A$527,A95,'Specialisations'!$B$6:$B$527,B95,'Specialisations'!$P$6:$P$527,"OK")</x:f>
        <x:v>2</x:v>
      </x:c>
      <x:c r="E95" s="431" t="n">
        <x:f>C95-D95</x:f>
        <x:v>0</x:v>
      </x:c>
      <x:c r="F95" s="432" t="n">
        <x:f>IF(C95=0,0,D95/C95)</x:f>
        <x:v>1</x:v>
      </x:c>
      <x:c r="G95" s="433" t="n">
        <x:f>SUMIFS('Specialisations'!$N$6:$N$527,'Specialisations'!$A$6:$A$527,A95,'Specialisations'!$B$6:$B$527,B95,'Specialisations'!$C$6:$C$527,"Guards")</x:f>
        <x:v>4284300</x:v>
      </x:c>
      <x:c r="H95" s="433" t="n">
        <x:f>SUMIFS('Specialisations'!$N$6:$N$527,'Specialisations'!$A$6:$A$527,A95,'Specialisations'!$B$6:$B$527,B95,'Specialisations'!$C$6:$C$527,"Archers")</x:f>
        <x:v>5004300</x:v>
      </x:c>
      <x:c r="I95" s="433" t="n">
        <x:f>SUMIFS('Specialisations'!$N$6:$N$527,'Specialisations'!$A$6:$A$527,A95,'Specialisations'!$B$6:$B$527,B95,'Specialisations'!$C$6:$C$527,"Cavalry")</x:f>
        <x:v>0</x:v>
      </x:c>
      <x:c r="J95" s="433" t="n">
        <x:f>SUMIFS('Specialisations'!$N$6:$N$527,'Specialisations'!$A$6:$A$527,A95,'Specialisations'!$B$6:$B$527,B95,'Specialisations'!$C$6:$C$527,"Siege")</x:f>
        <x:v>0</x:v>
      </x:c>
      <x:c r="K95" s="433" t="n">
        <x:f>SUM(G95:J95)</x:f>
        <x:v>9288600</x:v>
      </x:c>
      <x:c r="L95" s="434" t="n">
        <x:f>IFERROR(100*K95/MAX($K$19:$K$186),0)</x:f>
        <x:v>14.980211528598938</x:v>
      </x:c>
      <x:c r="M95" s="495" t="n">
        <x:f>IF(C95=0,"",SUMIFS('Specialisations'!$Q$6:$Q$527,'Specialisations'!$A$6:$A$527,A95,'Specialisations'!$B$6:$B$527,B95))</x:f>
        <x:v>3.1500000000000057</x:v>
      </x:c>
      <x:c r="N95" s="431" t="n">
        <x:f>IF(K95=0,"",1+COUNTIFS($A$19:$A$186,A95,$K$19:$K$186,"&gt;"&amp;K95))</x:f>
        <x:v>19</x:v>
      </x:c>
      <x:c r="O95" s="431" t="n">
        <x:f>IF(K95=0,"",1+COUNTIF($K$19:$K$186,"&gt;"&amp;K95))</x:f>
        <x:v>124</x:v>
      </x:c>
      <x:c r="P95" s="430" t="str">
        <x:f>IF(C95=0,"No specialisations recorded",IF(E95&gt;0,"Review missing level","Complete"))</x:f>
        <x:v>Complete</x:v>
      </x:c>
      <x:c r="Q95" s="434" t="n">
        <x:f>IF(COUNTIFS('Damage Ranking'!$B$6:$B$172,A95,'Damage Ranking'!$C$6:$C$172,B95)=0,"",SUMIFS('Damage Ranking'!$D$6:$D$172,'Damage Ranking'!$B$6:$B$172,A95,'Damage Ranking'!$C$6:$C$172,B95))</x:f>
        <x:v>5.343323185473773</x:v>
      </x:c>
      <x:c r="R95" s="431" t="n">
        <x:f>IF(Q95="","",SUMIFS('Damage Ranking'!$A$6:$A$172,'Damage Ranking'!$B$6:$B$172,A95,'Damage Ranking'!$C$6:$C$172,B95))</x:f>
        <x:v>162</x:v>
      </x:c>
      <x:c r="S95" s="431" t="n">
        <x:f>IF(OR(R95="",O95=""),"",R95-O95)</x:f>
        <x:v>38</x:v>
      </x:c>
      <x:c r="T95" s="430" t="str">
        <x:f>IF(S95="","No damage score",IF(S95&gt;=20,"Badges much stronger",IF(S95&lt;=-20,"Damage much stronger","Broadly aligned")))</x:f>
        <x:v>Badges much stronger</x:v>
      </x:c>
      <x:c r="U95" s="434" t="n">
        <x:f>IF(Q95="","",Q95*(1-$R$5)+L95*$R$5)</x:f>
        <x:v>5.343323185473773</x:v>
      </x:c>
      <x:c r="V95" s="431" t="n">
        <x:f>IF(U95="","",1+COUNTIF($U$19:$U$186,"&gt;"&amp;U95))</x:f>
        <x:v>162</x:v>
      </x:c>
    </x:row>
    <x:row r="96" ht="24" customHeight="1">
      <x:c r="A96" s="430" t="str">
        <x:v>K138</x:v>
      </x:c>
      <x:c r="B96" s="430" t="str">
        <x:v>(RaW)Nightmare</x:v>
      </x:c>
      <x:c r="C96" s="431" t="n">
        <x:f>COUNTIFS('Specialisations'!$A$6:$A$527,A96,'Specialisations'!$B$6:$B$527,B96)</x:f>
        <x:v>3</x:v>
      </x:c>
      <x:c r="D96" s="431" t="n">
        <x:f>COUNTIFS('Specialisations'!$A$6:$A$527,A96,'Specialisations'!$B$6:$B$527,B96,'Specialisations'!$P$6:$P$527,"OK")</x:f>
        <x:v>3</x:v>
      </x:c>
      <x:c r="E96" s="431" t="n">
        <x:f>C96-D96</x:f>
        <x:v>0</x:v>
      </x:c>
      <x:c r="F96" s="432" t="n">
        <x:f>IF(C96=0,0,D96/C96)</x:f>
        <x:v>1</x:v>
      </x:c>
      <x:c r="G96" s="433" t="n">
        <x:f>SUMIFS('Specialisations'!$N$6:$N$527,'Specialisations'!$A$6:$A$527,A96,'Specialisations'!$B$6:$B$527,B96,'Specialisations'!$C$6:$C$527,"Guards")</x:f>
        <x:v>4284300</x:v>
      </x:c>
      <x:c r="H96" s="433" t="n">
        <x:f>SUMIFS('Specialisations'!$N$6:$N$527,'Specialisations'!$A$6:$A$527,A96,'Specialisations'!$B$6:$B$527,B96,'Specialisations'!$C$6:$C$527,"Archers")</x:f>
        <x:v>4284300</x:v>
      </x:c>
      <x:c r="I96" s="433" t="n">
        <x:f>SUMIFS('Specialisations'!$N$6:$N$527,'Specialisations'!$A$6:$A$527,A96,'Specialisations'!$B$6:$B$527,B96,'Specialisations'!$C$6:$C$527,"Cavalry")</x:f>
        <x:v>3724300</x:v>
      </x:c>
      <x:c r="J96" s="433" t="n">
        <x:f>SUMIFS('Specialisations'!$N$6:$N$527,'Specialisations'!$A$6:$A$527,A96,'Specialisations'!$B$6:$B$527,B96,'Specialisations'!$C$6:$C$527,"Siege")</x:f>
        <x:v>0</x:v>
      </x:c>
      <x:c r="K96" s="433" t="n">
        <x:f>SUM(G96:J96)</x:f>
        <x:v>12292900</x:v>
      </x:c>
      <x:c r="L96" s="434" t="n">
        <x:f>IFERROR(100*K96/MAX($K$19:$K$186),0)</x:f>
        <x:v>19.82540343000171</x:v>
      </x:c>
      <x:c r="M96" s="495" t="n">
        <x:f>IF(C96=0,"",SUMIFS('Specialisations'!$Q$6:$Q$527,'Specialisations'!$A$6:$A$527,A96,'Specialisations'!$B$6:$B$527,B96))</x:f>
        <x:v>39.93</x:v>
      </x:c>
      <x:c r="N96" s="431" t="n">
        <x:f>IF(K96=0,"",1+COUNTIFS($A$19:$A$186,A96,$K$19:$K$186,"&gt;"&amp;K96))</x:f>
        <x:v>17</x:v>
      </x:c>
      <x:c r="O96" s="431" t="n">
        <x:f>IF(K96=0,"",1+COUNTIF($K$19:$K$186,"&gt;"&amp;K96))</x:f>
        <x:v>94</x:v>
      </x:c>
      <x:c r="P96" s="430" t="str">
        <x:f>IF(C96=0,"No specialisations recorded",IF(E96&gt;0,"Review missing level","Complete"))</x:f>
        <x:v>Complete</x:v>
      </x:c>
      <x:c r="Q96" s="434" t="n">
        <x:f>IF(COUNTIFS('Damage Ranking'!$B$6:$B$172,A96,'Damage Ranking'!$C$6:$C$172,B96)=0,"",SUMIFS('Damage Ranking'!$D$6:$D$172,'Damage Ranking'!$B$6:$B$172,A96,'Damage Ranking'!$C$6:$C$172,B96))</x:f>
        <x:v>17.681085966201618</x:v>
      </x:c>
      <x:c r="R96" s="431" t="n">
        <x:f>IF(Q96="","",SUMIFS('Damage Ranking'!$A$6:$A$172,'Damage Ranking'!$B$6:$B$172,A96,'Damage Ranking'!$C$6:$C$172,B96))</x:f>
        <x:v>133</x:v>
      </x:c>
      <x:c r="S96" s="431" t="n">
        <x:f>IF(OR(R96="",O96=""),"",R96-O96)</x:f>
        <x:v>39</x:v>
      </x:c>
      <x:c r="T96" s="430" t="str">
        <x:f>IF(S96="","No damage score",IF(S96&gt;=20,"Badges much stronger",IF(S96&lt;=-20,"Damage much stronger","Broadly aligned")))</x:f>
        <x:v>Badges much stronger</x:v>
      </x:c>
      <x:c r="U96" s="434" t="n">
        <x:f>IF(Q96="","",Q96*(1-$R$5)+L96*$R$5)</x:f>
        <x:v>17.681085966201618</x:v>
      </x:c>
      <x:c r="V96" s="431" t="n">
        <x:f>IF(U96="","",1+COUNTIF($U$19:$U$186,"&gt;"&amp;U96))</x:f>
        <x:v>133</x:v>
      </x:c>
    </x:row>
    <x:row r="97" ht="24" customHeight="1">
      <x:c r="A97" s="430" t="str">
        <x:v>K138</x:v>
      </x:c>
      <x:c r="B97" s="430" t="str">
        <x:v>(RaW)MARYEL</x:v>
      </x:c>
      <x:c r="C97" s="431" t="n">
        <x:f>COUNTIFS('Specialisations'!$A$6:$A$527,A97,'Specialisations'!$B$6:$B$527,B97)</x:f>
        <x:v>3</x:v>
      </x:c>
      <x:c r="D97" s="431" t="n">
        <x:f>COUNTIFS('Specialisations'!$A$6:$A$527,A97,'Specialisations'!$B$6:$B$527,B97,'Specialisations'!$P$6:$P$527,"OK")</x:f>
        <x:v>3</x:v>
      </x:c>
      <x:c r="E97" s="431" t="n">
        <x:f>C97-D97</x:f>
        <x:v>0</x:v>
      </x:c>
      <x:c r="F97" s="432" t="n">
        <x:f>IF(C97=0,0,D97/C97)</x:f>
        <x:v>1</x:v>
      </x:c>
      <x:c r="G97" s="433" t="n">
        <x:f>SUMIFS('Specialisations'!$N$6:$N$527,'Specialisations'!$A$6:$A$527,A97,'Specialisations'!$B$6:$B$527,B97,'Specialisations'!$C$6:$C$527,"Guards")</x:f>
        <x:v>10334300</x:v>
      </x:c>
      <x:c r="H97" s="433" t="n">
        <x:f>SUMIFS('Specialisations'!$N$6:$N$527,'Specialisations'!$A$6:$A$527,A97,'Specialisations'!$B$6:$B$527,B97,'Specialisations'!$C$6:$C$527,"Archers")</x:f>
        <x:v>2244300</x:v>
      </x:c>
      <x:c r="I97" s="433" t="n">
        <x:f>SUMIFS('Specialisations'!$N$6:$N$527,'Specialisations'!$A$6:$A$527,A97,'Specialisations'!$B$6:$B$527,B97,'Specialisations'!$C$6:$C$527,"Cavalry")</x:f>
        <x:v>694300</x:v>
      </x:c>
      <x:c r="J97" s="433" t="n">
        <x:f>SUMIFS('Specialisations'!$N$6:$N$527,'Specialisations'!$A$6:$A$527,A97,'Specialisations'!$B$6:$B$527,B97,'Specialisations'!$C$6:$C$527,"Siege")</x:f>
        <x:v>0</x:v>
      </x:c>
      <x:c r="K97" s="433" t="n">
        <x:f>SUM(G97:J97)</x:f>
        <x:v>13272900</x:v>
      </x:c>
      <x:c r="L97" s="434" t="n">
        <x:f>IFERROR(100*K97/MAX($K$19:$K$186),0)</x:f>
        <x:v>21.405900738318028</x:v>
      </x:c>
      <x:c r="M97" s="495" t="n">
        <x:f>IF(C97=0,"",SUMIFS('Specialisations'!$Q$6:$Q$527,'Specialisations'!$A$6:$A$527,A97,'Specialisations'!$B$6:$B$527,B97))</x:f>
        <x:v>-23.260000000000005</x:v>
      </x:c>
      <x:c r="N97" s="431" t="n">
        <x:f>IF(K97=0,"",1+COUNTIFS($A$19:$A$186,A97,$K$19:$K$186,"&gt;"&amp;K97))</x:f>
        <x:v>14</x:v>
      </x:c>
      <x:c r="O97" s="431" t="n">
        <x:f>IF(K97=0,"",1+COUNTIF($K$19:$K$186,"&gt;"&amp;K97))</x:f>
        <x:v>80</x:v>
      </x:c>
      <x:c r="P97" s="430" t="str">
        <x:f>IF(C97=0,"No specialisations recorded",IF(E97&gt;0,"Review missing level","Complete"))</x:f>
        <x:v>Complete</x:v>
      </x:c>
      <x:c r="Q97" s="434" t="n">
        <x:f>IF(COUNTIFS('Damage Ranking'!$B$6:$B$172,A97,'Damage Ranking'!$C$6:$C$172,B97)=0,"",SUMIFS('Damage Ranking'!$D$6:$D$172,'Damage Ranking'!$B$6:$B$172,A97,'Damage Ranking'!$C$6:$C$172,B97))</x:f>
        <x:v>31.980691980762884</x:v>
      </x:c>
      <x:c r="R97" s="431" t="n">
        <x:f>IF(Q97="","",SUMIFS('Damage Ranking'!$A$6:$A$172,'Damage Ranking'!$B$6:$B$172,A97,'Damage Ranking'!$C$6:$C$172,B97))</x:f>
        <x:v>86</x:v>
      </x:c>
      <x:c r="S97" s="431" t="n">
        <x:f>IF(OR(R97="",O97=""),"",R97-O97)</x:f>
        <x:v>6</x:v>
      </x:c>
      <x:c r="T97" s="430" t="str">
        <x:f>IF(S97="","No damage score",IF(S97&gt;=20,"Badges much stronger",IF(S97&lt;=-20,"Damage much stronger","Broadly aligned")))</x:f>
        <x:v>Broadly aligned</x:v>
      </x:c>
      <x:c r="U97" s="434" t="n">
        <x:f>IF(Q97="","",Q97*(1-$R$5)+L97*$R$5)</x:f>
        <x:v>31.980691980762884</x:v>
      </x:c>
      <x:c r="V97" s="431" t="n">
        <x:f>IF(U97="","",1+COUNTIF($U$19:$U$186,"&gt;"&amp;U97))</x:f>
        <x:v>86</x:v>
      </x:c>
    </x:row>
    <x:row r="98" ht="24" customHeight="1">
      <x:c r="A98" s="430" t="str">
        <x:v>K138</x:v>
      </x:c>
      <x:c r="B98" s="430" t="str">
        <x:v>(RaW)༺惊鸿༻</x:v>
      </x:c>
      <x:c r="C98" s="431" t="n">
        <x:f>COUNTIFS('Specialisations'!$A$6:$A$527,A98,'Specialisations'!$B$6:$B$527,B98)</x:f>
        <x:v>3</x:v>
      </x:c>
      <x:c r="D98" s="431" t="n">
        <x:f>COUNTIFS('Specialisations'!$A$6:$A$527,A98,'Specialisations'!$B$6:$B$527,B98,'Specialisations'!$P$6:$P$527,"OK")</x:f>
        <x:v>3</x:v>
      </x:c>
      <x:c r="E98" s="431" t="n">
        <x:f>C98-D98</x:f>
        <x:v>0</x:v>
      </x:c>
      <x:c r="F98" s="432" t="n">
        <x:f>IF(C98=0,0,D98/C98)</x:f>
        <x:v>1</x:v>
      </x:c>
      <x:c r="G98" s="433" t="n">
        <x:f>SUMIFS('Specialisations'!$N$6:$N$527,'Specialisations'!$A$6:$A$527,A98,'Specialisations'!$B$6:$B$527,B98,'Specialisations'!$C$6:$C$527,"Guards")</x:f>
        <x:v>0</x:v>
      </x:c>
      <x:c r="H98" s="433" t="n">
        <x:f>SUMIFS('Specialisations'!$N$6:$N$527,'Specialisations'!$A$6:$A$527,A98,'Specialisations'!$B$6:$B$527,B98,'Specialisations'!$C$6:$C$527,"Archers")</x:f>
        <x:v>5004300</x:v>
      </x:c>
      <x:c r="I98" s="433" t="n">
        <x:f>SUMIFS('Specialisations'!$N$6:$N$527,'Specialisations'!$A$6:$A$527,A98,'Specialisations'!$B$6:$B$527,B98,'Specialisations'!$C$6:$C$527,"Cavalry")</x:f>
        <x:v>12578600</x:v>
      </x:c>
      <x:c r="J98" s="433" t="n">
        <x:f>SUMIFS('Specialisations'!$N$6:$N$527,'Specialisations'!$A$6:$A$527,A98,'Specialisations'!$B$6:$B$527,B98,'Specialisations'!$C$6:$C$527,"Siege")</x:f>
        <x:v>0</x:v>
      </x:c>
      <x:c r="K98" s="433" t="n">
        <x:f>SUM(G98:J98)</x:f>
        <x:v>17582900</x:v>
      </x:c>
      <x:c r="L98" s="434" t="n">
        <x:f>IFERROR(100*K98/MAX($K$19:$K$186),0)</x:f>
        <x:v>28.35686339019898</x:v>
      </x:c>
      <x:c r="M98" s="495" t="n">
        <x:f>IF(C98=0,"",SUMIFS('Specialisations'!$Q$6:$Q$527,'Specialisations'!$A$6:$A$527,A98,'Specialisations'!$B$6:$B$527,B98))</x:f>
        <x:v>132.87</x:v>
      </x:c>
      <x:c r="N98" s="431" t="n">
        <x:f>IF(K98=0,"",1+COUNTIFS($A$19:$A$186,A98,$K$19:$K$186,"&gt;"&amp;K98))</x:f>
        <x:v>7</x:v>
      </x:c>
      <x:c r="O98" s="431" t="n">
        <x:f>IF(K98=0,"",1+COUNTIF($K$19:$K$186,"&gt;"&amp;K98))</x:f>
        <x:v>45</x:v>
      </x:c>
      <x:c r="P98" s="430" t="str">
        <x:f>IF(C98=0,"No specialisations recorded",IF(E98&gt;0,"Review missing level","Complete"))</x:f>
        <x:v>Complete</x:v>
      </x:c>
      <x:c r="Q98" s="434" t="n">
        <x:f>IF(COUNTIFS('Damage Ranking'!$B$6:$B$172,A98,'Damage Ranking'!$C$6:$C$172,B98)=0,"",SUMIFS('Damage Ranking'!$D$6:$D$172,'Damage Ranking'!$B$6:$B$172,A98,'Damage Ranking'!$C$6:$C$172,B98))</x:f>
        <x:v>37.88880194531949</x:v>
      </x:c>
      <x:c r="R98" s="431" t="n">
        <x:f>IF(Q98="","",SUMIFS('Damage Ranking'!$A$6:$A$172,'Damage Ranking'!$B$6:$B$172,A98,'Damage Ranking'!$C$6:$C$172,B98))</x:f>
        <x:v>73</x:v>
      </x:c>
      <x:c r="S98" s="431" t="n">
        <x:f>IF(OR(R98="",O98=""),"",R98-O98)</x:f>
        <x:v>28</x:v>
      </x:c>
      <x:c r="T98" s="430" t="str">
        <x:f>IF(S98="","No damage score",IF(S98&gt;=20,"Badges much stronger",IF(S98&lt;=-20,"Damage much stronger","Broadly aligned")))</x:f>
        <x:v>Badges much stronger</x:v>
      </x:c>
      <x:c r="U98" s="434" t="n">
        <x:f>IF(Q98="","",Q98*(1-$R$5)+L98*$R$5)</x:f>
        <x:v>37.88880194531949</x:v>
      </x:c>
      <x:c r="V98" s="431" t="n">
        <x:f>IF(U98="","",1+COUNTIF($U$19:$U$186,"&gt;"&amp;U98))</x:f>
        <x:v>73</x:v>
      </x:c>
    </x:row>
    <x:row r="99" ht="24" customHeight="1">
      <x:c r="A99" s="430" t="str">
        <x:v>K138</x:v>
      </x:c>
      <x:c r="B99" s="430" t="str">
        <x:v>(RaW)让世界沐浴在血中</x:v>
      </x:c>
      <x:c r="C99" s="431" t="n">
        <x:f>COUNTIFS('Specialisations'!$A$6:$A$527,A99,'Specialisations'!$B$6:$B$527,B99)</x:f>
        <x:v>5</x:v>
      </x:c>
      <x:c r="D99" s="431" t="n">
        <x:f>COUNTIFS('Specialisations'!$A$6:$A$527,A99,'Specialisations'!$B$6:$B$527,B99,'Specialisations'!$P$6:$P$527,"OK")</x:f>
        <x:v>5</x:v>
      </x:c>
      <x:c r="E99" s="431" t="n">
        <x:f>C99-D99</x:f>
        <x:v>0</x:v>
      </x:c>
      <x:c r="F99" s="432" t="n">
        <x:f>IF(C99=0,0,D99/C99)</x:f>
        <x:v>1</x:v>
      </x:c>
      <x:c r="G99" s="433" t="n">
        <x:f>SUMIFS('Specialisations'!$N$6:$N$527,'Specialisations'!$A$6:$A$527,A99,'Specialisations'!$B$6:$B$527,B99,'Specialisations'!$C$6:$C$527,"Guards")</x:f>
        <x:v>2244300</x:v>
      </x:c>
      <x:c r="H99" s="433" t="n">
        <x:f>SUMIFS('Specialisations'!$N$6:$N$527,'Specialisations'!$A$6:$A$527,A99,'Specialisations'!$B$6:$B$527,B99,'Specialisations'!$C$6:$C$527,"Archers")</x:f>
        <x:v>1324300</x:v>
      </x:c>
      <x:c r="I99" s="433" t="n">
        <x:f>SUMIFS('Specialisations'!$N$6:$N$527,'Specialisations'!$A$6:$A$527,A99,'Specialisations'!$B$6:$B$527,B99,'Specialisations'!$C$6:$C$527,"Cavalry")</x:f>
        <x:v>6488600</x:v>
      </x:c>
      <x:c r="J99" s="433" t="n">
        <x:f>SUMIFS('Specialisations'!$N$6:$N$527,'Specialisations'!$A$6:$A$527,A99,'Specialisations'!$B$6:$B$527,B99,'Specialisations'!$C$6:$C$527,"Siege")</x:f>
        <x:v>2244300</x:v>
      </x:c>
      <x:c r="K99" s="433" t="n">
        <x:f>SUM(G99:J99)</x:f>
        <x:v>12301500</x:v>
      </x:c>
      <x:c r="L99" s="434" t="n">
        <x:f>IFERROR(100*K99/MAX($K$19:$K$186),0)</x:f>
        <x:v>19.839273100258364</x:v>
      </x:c>
      <x:c r="M99" s="495" t="n">
        <x:f>IF(C99=0,"",SUMIFS('Specialisations'!$Q$6:$Q$527,'Specialisations'!$A$6:$A$527,A99,'Specialisations'!$B$6:$B$527,B99))</x:f>
        <x:v>89.61999999999999</x:v>
      </x:c>
      <x:c r="N99" s="431" t="n">
        <x:f>IF(K99=0,"",1+COUNTIFS($A$19:$A$186,A99,$K$19:$K$186,"&gt;"&amp;K99))</x:f>
        <x:v>16</x:v>
      </x:c>
      <x:c r="O99" s="431" t="n">
        <x:f>IF(K99=0,"",1+COUNTIF($K$19:$K$186,"&gt;"&amp;K99))</x:f>
        <x:v>93</x:v>
      </x:c>
      <x:c r="P99" s="430" t="str">
        <x:f>IF(C99=0,"No specialisations recorded",IF(E99&gt;0,"Review missing level","Complete"))</x:f>
        <x:v>Complete</x:v>
      </x:c>
      <x:c r="Q99" s="434" t="n">
        <x:f>IF(COUNTIFS('Damage Ranking'!$B$6:$B$172,A99,'Damage Ranking'!$C$6:$C$172,B99)=0,"",SUMIFS('Damage Ranking'!$D$6:$D$172,'Damage Ranking'!$B$6:$B$172,A99,'Damage Ranking'!$C$6:$C$172,B99))</x:f>
        <x:v>51.306379270432686</x:v>
      </x:c>
      <x:c r="R99" s="431" t="n">
        <x:f>IF(Q99="","",SUMIFS('Damage Ranking'!$A$6:$A$172,'Damage Ranking'!$B$6:$B$172,A99,'Damage Ranking'!$C$6:$C$172,B99))</x:f>
        <x:v>33</x:v>
      </x:c>
      <x:c r="S99" s="431" t="n">
        <x:f>IF(OR(R99="",O99=""),"",R99-O99)</x:f>
        <x:v>-60</x:v>
      </x:c>
      <x:c r="T99" s="430" t="str">
        <x:f>IF(S99="","No damage score",IF(S99&gt;=20,"Badges much stronger",IF(S99&lt;=-20,"Damage much stronger","Broadly aligned")))</x:f>
        <x:v>Damage much stronger</x:v>
      </x:c>
      <x:c r="U99" s="434" t="n">
        <x:f>IF(Q99="","",Q99*(1-$R$5)+L99*$R$5)</x:f>
        <x:v>51.306379270432686</x:v>
      </x:c>
      <x:c r="V99" s="431" t="n">
        <x:f>IF(U99="","",1+COUNTIF($U$19:$U$186,"&gt;"&amp;U99))</x:f>
        <x:v>33</x:v>
      </x:c>
    </x:row>
    <x:row r="100" ht="24" customHeight="1">
      <x:c r="A100" s="430" t="str">
        <x:v>K138</x:v>
      </x:c>
      <x:c r="B100" s="430" t="str">
        <x:v>(RaW)YAMI</x:v>
      </x:c>
      <x:c r="C100" s="431" t="n">
        <x:f>COUNTIFS('Specialisations'!$A$6:$A$527,A100,'Specialisations'!$B$6:$B$527,B100)</x:f>
        <x:v>3</x:v>
      </x:c>
      <x:c r="D100" s="431" t="n">
        <x:f>COUNTIFS('Specialisations'!$A$6:$A$527,A100,'Specialisations'!$B$6:$B$527,B100,'Specialisations'!$P$6:$P$527,"OK")</x:f>
        <x:v>3</x:v>
      </x:c>
      <x:c r="E100" s="431" t="n">
        <x:f>C100-D100</x:f>
        <x:v>0</x:v>
      </x:c>
      <x:c r="F100" s="432" t="n">
        <x:f>IF(C100=0,0,D100/C100)</x:f>
        <x:v>1</x:v>
      </x:c>
      <x:c r="G100" s="433" t="n">
        <x:f>SUMIFS('Specialisations'!$N$6:$N$527,'Specialisations'!$A$6:$A$527,A100,'Specialisations'!$B$6:$B$527,B100,'Specialisations'!$C$6:$C$527,"Guards")</x:f>
        <x:v>2844300</x:v>
      </x:c>
      <x:c r="H100" s="433" t="n">
        <x:f>SUMIFS('Specialisations'!$N$6:$N$527,'Specialisations'!$A$6:$A$527,A100,'Specialisations'!$B$6:$B$527,B100,'Specialisations'!$C$6:$C$527,"Archers")</x:f>
        <x:v>0</x:v>
      </x:c>
      <x:c r="I100" s="433" t="n">
        <x:f>SUMIFS('Specialisations'!$N$6:$N$527,'Specialisations'!$A$6:$A$527,A100,'Specialisations'!$B$6:$B$527,B100,'Specialisations'!$C$6:$C$527,"Cavalry")</x:f>
        <x:v>10334300</x:v>
      </x:c>
      <x:c r="J100" s="433" t="n">
        <x:f>SUMIFS('Specialisations'!$N$6:$N$527,'Specialisations'!$A$6:$A$527,A100,'Specialisations'!$B$6:$B$527,B100,'Specialisations'!$C$6:$C$527,"Siege")</x:f>
        <x:v>2244300</x:v>
      </x:c>
      <x:c r="K100" s="433" t="n">
        <x:f>SUM(G100:J100)</x:f>
        <x:v>15422900</x:v>
      </x:c>
      <x:c r="L100" s="434" t="n">
        <x:f>IFERROR(100*K100/MAX($K$19:$K$186),0)</x:f>
        <x:v>24.87331830248138</x:v>
      </x:c>
      <x:c r="M100" s="495" t="n">
        <x:f>IF(C100=0,"",SUMIFS('Specialisations'!$Q$6:$Q$527,'Specialisations'!$A$6:$A$527,A100,'Specialisations'!$B$6:$B$527,B100))</x:f>
        <x:v>54.61</x:v>
      </x:c>
      <x:c r="N100" s="431" t="n">
        <x:f>IF(K100=0,"",1+COUNTIFS($A$19:$A$186,A100,$K$19:$K$186,"&gt;"&amp;K100))</x:f>
        <x:v>9</x:v>
      </x:c>
      <x:c r="O100" s="431" t="n">
        <x:f>IF(K100=0,"",1+COUNTIF($K$19:$K$186,"&gt;"&amp;K100))</x:f>
        <x:v>58</x:v>
      </x:c>
      <x:c r="P100" s="430" t="str">
        <x:f>IF(C100=0,"No specialisations recorded",IF(E100&gt;0,"Review missing level","Complete"))</x:f>
        <x:v>Complete</x:v>
      </x:c>
      <x:c r="Q100" s="434" t="n">
        <x:f>IF(COUNTIFS('Damage Ranking'!$B$6:$B$172,A100,'Damage Ranking'!$C$6:$C$172,B100)=0,"",SUMIFS('Damage Ranking'!$D$6:$D$172,'Damage Ranking'!$B$6:$B$172,A100,'Damage Ranking'!$C$6:$C$172,B100))</x:f>
        <x:v>40.93357871813271</x:v>
      </x:c>
      <x:c r="R100" s="431" t="n">
        <x:f>IF(Q100="","",SUMIFS('Damage Ranking'!$A$6:$A$172,'Damage Ranking'!$B$6:$B$172,A100,'Damage Ranking'!$C$6:$C$172,B100))</x:f>
        <x:v>64</x:v>
      </x:c>
      <x:c r="S100" s="431" t="n">
        <x:f>IF(OR(R100="",O100=""),"",R100-O100)</x:f>
        <x:v>6</x:v>
      </x:c>
      <x:c r="T100" s="430" t="str">
        <x:f>IF(S100="","No damage score",IF(S100&gt;=20,"Badges much stronger",IF(S100&lt;=-20,"Damage much stronger","Broadly aligned")))</x:f>
        <x:v>Broadly aligned</x:v>
      </x:c>
      <x:c r="U100" s="434" t="n">
        <x:f>IF(Q100="","",Q100*(1-$R$5)+L100*$R$5)</x:f>
        <x:v>40.93357871813271</x:v>
      </x:c>
      <x:c r="V100" s="431" t="n">
        <x:f>IF(U100="","",1+COUNTIF($U$19:$U$186,"&gt;"&amp;U100))</x:f>
        <x:v>64</x:v>
      </x:c>
    </x:row>
    <x:row r="101" ht="24" customHeight="1">
      <x:c r="A101" s="430" t="str">
        <x:v>K138</x:v>
      </x:c>
      <x:c r="B101" s="430" t="str">
        <x:v>(RaW)༺ⓉⒶⓇⓉⒶⓇ༻</x:v>
      </x:c>
      <x:c r="C101" s="431" t="n">
        <x:f>COUNTIFS('Specialisations'!$A$6:$A$527,A101,'Specialisations'!$B$6:$B$527,B101)</x:f>
        <x:v>4</x:v>
      </x:c>
      <x:c r="D101" s="431" t="n">
        <x:f>COUNTIFS('Specialisations'!$A$6:$A$527,A101,'Specialisations'!$B$6:$B$527,B101,'Specialisations'!$P$6:$P$527,"OK")</x:f>
        <x:v>4</x:v>
      </x:c>
      <x:c r="E101" s="431" t="n">
        <x:f>C101-D101</x:f>
        <x:v>0</x:v>
      </x:c>
      <x:c r="F101" s="432" t="n">
        <x:f>IF(C101=0,0,D101/C101)</x:f>
        <x:v>1</x:v>
      </x:c>
      <x:c r="G101" s="433" t="n">
        <x:f>SUMIFS('Specialisations'!$N$6:$N$527,'Specialisations'!$A$6:$A$527,A101,'Specialisations'!$B$6:$B$527,B101,'Specialisations'!$C$6:$C$527,"Guards")</x:f>
        <x:v>4284300</x:v>
      </x:c>
      <x:c r="H101" s="433" t="n">
        <x:f>SUMIFS('Specialisations'!$N$6:$N$527,'Specialisations'!$A$6:$A$527,A101,'Specialisations'!$B$6:$B$527,B101,'Specialisations'!$C$6:$C$527,"Archers")</x:f>
        <x:v>5188600</x:v>
      </x:c>
      <x:c r="I101" s="433" t="n">
        <x:f>SUMIFS('Specialisations'!$N$6:$N$527,'Specialisations'!$A$6:$A$527,A101,'Specialisations'!$B$6:$B$527,B101,'Specialisations'!$C$6:$C$527,"Cavalry")</x:f>
        <x:v>4284300</x:v>
      </x:c>
      <x:c r="J101" s="433" t="n">
        <x:f>SUMIFS('Specialisations'!$N$6:$N$527,'Specialisations'!$A$6:$A$527,A101,'Specialisations'!$B$6:$B$527,B101,'Specialisations'!$C$6:$C$527,"Siege")</x:f>
        <x:v>0</x:v>
      </x:c>
      <x:c r="K101" s="433" t="n">
        <x:f>SUM(G101:J101)</x:f>
        <x:v>13757200</x:v>
      </x:c>
      <x:c r="L101" s="434" t="n">
        <x:f>IFERROR(100*K101/MAX($K$19:$K$186),0)</x:f>
        <x:v>22.186956704050267</x:v>
      </x:c>
      <x:c r="M101" s="495" t="n">
        <x:f>IF(C101=0,"",SUMIFS('Specialisations'!$Q$6:$Q$527,'Specialisations'!$A$6:$A$527,A101,'Specialisations'!$B$6:$B$527,B101))</x:f>
        <x:v>48.13</x:v>
      </x:c>
      <x:c r="N101" s="431" t="n">
        <x:f>IF(K101=0,"",1+COUNTIFS($A$19:$A$186,A101,$K$19:$K$186,"&gt;"&amp;K101))</x:f>
        <x:v>12</x:v>
      </x:c>
      <x:c r="O101" s="431" t="n">
        <x:f>IF(K101=0,"",1+COUNTIF($K$19:$K$186,"&gt;"&amp;K101))</x:f>
        <x:v>73</x:v>
      </x:c>
      <x:c r="P101" s="430" t="str">
        <x:f>IF(C101=0,"No specialisations recorded",IF(E101&gt;0,"Review missing level","Complete"))</x:f>
        <x:v>Complete</x:v>
      </x:c>
      <x:c r="Q101" s="434" t="n">
        <x:f>IF(COUNTIFS('Damage Ranking'!$B$6:$B$172,A101,'Damage Ranking'!$C$6:$C$172,B101)=0,"",SUMIFS('Damage Ranking'!$D$6:$D$172,'Damage Ranking'!$B$6:$B$172,A101,'Damage Ranking'!$C$6:$C$172,B101))</x:f>
        <x:v>19.94422759180381</x:v>
      </x:c>
      <x:c r="R101" s="431" t="n">
        <x:f>IF(Q101="","",SUMIFS('Damage Ranking'!$A$6:$A$172,'Damage Ranking'!$B$6:$B$172,A101,'Damage Ranking'!$C$6:$C$172,B101))</x:f>
        <x:v>123</x:v>
      </x:c>
      <x:c r="S101" s="431" t="n">
        <x:f>IF(OR(R101="",O101=""),"",R101-O101)</x:f>
        <x:v>50</x:v>
      </x:c>
      <x:c r="T101" s="430" t="str">
        <x:f>IF(S101="","No damage score",IF(S101&gt;=20,"Badges much stronger",IF(S101&lt;=-20,"Damage much stronger","Broadly aligned")))</x:f>
        <x:v>Badges much stronger</x:v>
      </x:c>
      <x:c r="U101" s="434" t="n">
        <x:f>IF(Q101="","",Q101*(1-$R$5)+L101*$R$5)</x:f>
        <x:v>19.94422759180381</x:v>
      </x:c>
      <x:c r="V101" s="431" t="n">
        <x:f>IF(U101="","",1+COUNTIF($U$19:$U$186,"&gt;"&amp;U101))</x:f>
        <x:v>123</x:v>
      </x:c>
    </x:row>
    <x:row r="102" ht="24" customHeight="1">
      <x:c r="A102" s="430" t="str">
        <x:v>K138</x:v>
      </x:c>
      <x:c r="B102" s="430" t="str">
        <x:v>(RaW)PPP_253</x:v>
      </x:c>
      <x:c r="C102" s="431" t="n">
        <x:f>COUNTIFS('Specialisations'!$A$6:$A$527,A102,'Specialisations'!$B$6:$B$527,B102)</x:f>
        <x:v>2</x:v>
      </x:c>
      <x:c r="D102" s="431" t="n">
        <x:f>COUNTIFS('Specialisations'!$A$6:$A$527,A102,'Specialisations'!$B$6:$B$527,B102,'Specialisations'!$P$6:$P$527,"OK")</x:f>
        <x:v>2</x:v>
      </x:c>
      <x:c r="E102" s="431" t="n">
        <x:f>C102-D102</x:f>
        <x:v>0</x:v>
      </x:c>
      <x:c r="F102" s="432" t="n">
        <x:f>IF(C102=0,0,D102/C102)</x:f>
        <x:v>1</x:v>
      </x:c>
      <x:c r="G102" s="433" t="n">
        <x:f>SUMIFS('Specialisations'!$N$6:$N$527,'Specialisations'!$A$6:$A$527,A102,'Specialisations'!$B$6:$B$527,B102,'Specialisations'!$C$6:$C$527,"Guards")</x:f>
        <x:v>4284300</x:v>
      </x:c>
      <x:c r="H102" s="433" t="n">
        <x:f>SUMIFS('Specialisations'!$N$6:$N$527,'Specialisations'!$A$6:$A$527,A102,'Specialisations'!$B$6:$B$527,B102,'Specialisations'!$C$6:$C$527,"Archers")</x:f>
        <x:v>4284300</x:v>
      </x:c>
      <x:c r="I102" s="433" t="n">
        <x:f>SUMIFS('Specialisations'!$N$6:$N$527,'Specialisations'!$A$6:$A$527,A102,'Specialisations'!$B$6:$B$527,B102,'Specialisations'!$C$6:$C$527,"Cavalry")</x:f>
        <x:v>0</x:v>
      </x:c>
      <x:c r="J102" s="433" t="n">
        <x:f>SUMIFS('Specialisations'!$N$6:$N$527,'Specialisations'!$A$6:$A$527,A102,'Specialisations'!$B$6:$B$527,B102,'Specialisations'!$C$6:$C$527,"Siege")</x:f>
        <x:v>0</x:v>
      </x:c>
      <x:c r="K102" s="433" t="n">
        <x:f>SUM(G102:J102)</x:f>
        <x:v>8568600</x:v>
      </x:c>
      <x:c r="L102" s="434" t="n">
        <x:f>IFERROR(100*K102/MAX($K$19:$K$186),0)</x:f>
        <x:v>13.81902983269307</x:v>
      </x:c>
      <x:c r="M102" s="495" t="n">
        <x:f>IF(C102=0,"",SUMIFS('Specialisations'!$Q$6:$Q$527,'Specialisations'!$A$6:$A$527,A102,'Specialisations'!$B$6:$B$527,B102))</x:f>
        <x:v>0</x:v>
      </x:c>
      <x:c r="N102" s="431" t="n">
        <x:f>IF(K102=0,"",1+COUNTIFS($A$19:$A$186,A102,$K$19:$K$186,"&gt;"&amp;K102))</x:f>
        <x:v>21</x:v>
      </x:c>
      <x:c r="O102" s="431" t="n">
        <x:f>IF(K102=0,"",1+COUNTIF($K$19:$K$186,"&gt;"&amp;K102))</x:f>
        <x:v>130</x:v>
      </x:c>
      <x:c r="P102" s="430" t="str">
        <x:f>IF(C102=0,"No specialisations recorded",IF(E102&gt;0,"Review missing level","Complete"))</x:f>
        <x:v>Complete</x:v>
      </x:c>
      <x:c r="Q102" s="434" t="n">
        <x:f>IF(COUNTIFS('Damage Ranking'!$B$6:$B$172,A102,'Damage Ranking'!$C$6:$C$172,B102)=0,"",SUMIFS('Damage Ranking'!$D$6:$D$172,'Damage Ranking'!$B$6:$B$172,A102,'Damage Ranking'!$C$6:$C$172,B102))</x:f>
        <x:v>14.947159206804013</x:v>
      </x:c>
      <x:c r="R102" s="431" t="n">
        <x:f>IF(Q102="","",SUMIFS('Damage Ranking'!$A$6:$A$172,'Damage Ranking'!$B$6:$B$172,A102,'Damage Ranking'!$C$6:$C$172,B102))</x:f>
        <x:v>140</x:v>
      </x:c>
      <x:c r="S102" s="431" t="n">
        <x:f>IF(OR(R102="",O102=""),"",R102-O102)</x:f>
        <x:v>10</x:v>
      </x:c>
      <x:c r="T102" s="430" t="str">
        <x:f>IF(S102="","No damage score",IF(S102&gt;=20,"Badges much stronger",IF(S102&lt;=-20,"Damage much stronger","Broadly aligned")))</x:f>
        <x:v>Broadly aligned</x:v>
      </x:c>
      <x:c r="U102" s="434" t="n">
        <x:f>IF(Q102="","",Q102*(1-$R$5)+L102*$R$5)</x:f>
        <x:v>14.947159206804013</x:v>
      </x:c>
      <x:c r="V102" s="431" t="n">
        <x:f>IF(U102="","",1+COUNTIF($U$19:$U$186,"&gt;"&amp;U102))</x:f>
        <x:v>140</x:v>
      </x:c>
    </x:row>
    <x:row r="103" ht="24" customHeight="1">
      <x:c r="A103" s="430" t="str">
        <x:v>K138</x:v>
      </x:c>
      <x:c r="B103" s="430" t="str">
        <x:v>(RaW)GoŁΛ</x:v>
      </x:c>
      <x:c r="C103" s="431" t="n">
        <x:f>COUNTIFS('Specialisations'!$A$6:$A$527,A103,'Specialisations'!$B$6:$B$527,B103)</x:f>
        <x:v>2</x:v>
      </x:c>
      <x:c r="D103" s="431" t="n">
        <x:f>COUNTIFS('Specialisations'!$A$6:$A$527,A103,'Specialisations'!$B$6:$B$527,B103,'Specialisations'!$P$6:$P$527,"OK")</x:f>
        <x:v>2</x:v>
      </x:c>
      <x:c r="E103" s="431" t="n">
        <x:f>C103-D103</x:f>
        <x:v>0</x:v>
      </x:c>
      <x:c r="F103" s="432" t="n">
        <x:f>IF(C103=0,0,D103/C103)</x:f>
        <x:v>1</x:v>
      </x:c>
      <x:c r="G103" s="433" t="n">
        <x:f>SUMIFS('Specialisations'!$N$6:$N$527,'Specialisations'!$A$6:$A$527,A103,'Specialisations'!$B$6:$B$527,B103,'Specialisations'!$C$6:$C$527,"Guards")</x:f>
        <x:v>3244300</x:v>
      </x:c>
      <x:c r="H103" s="433" t="n">
        <x:f>SUMIFS('Specialisations'!$N$6:$N$527,'Specialisations'!$A$6:$A$527,A103,'Specialisations'!$B$6:$B$527,B103,'Specialisations'!$C$6:$C$527,"Archers")</x:f>
        <x:v>4284300</x:v>
      </x:c>
      <x:c r="I103" s="433" t="n">
        <x:f>SUMIFS('Specialisations'!$N$6:$N$527,'Specialisations'!$A$6:$A$527,A103,'Specialisations'!$B$6:$B$527,B103,'Specialisations'!$C$6:$C$527,"Cavalry")</x:f>
        <x:v>0</x:v>
      </x:c>
      <x:c r="J103" s="433" t="n">
        <x:f>SUMIFS('Specialisations'!$N$6:$N$527,'Specialisations'!$A$6:$A$527,A103,'Specialisations'!$B$6:$B$527,B103,'Specialisations'!$C$6:$C$527,"Siege")</x:f>
        <x:v>0</x:v>
      </x:c>
      <x:c r="K103" s="433" t="n">
        <x:f>SUM(G103:J103)</x:f>
        <x:v>7528600</x:v>
      </x:c>
      <x:c r="L103" s="434" t="n">
        <x:f>IFERROR(100*K103/MAX($K$19:$K$186),0)</x:f>
        <x:v>12.141767383051263</x:v>
      </x:c>
      <x:c r="M103" s="495" t="n">
        <x:f>IF(C103=0,"",SUMIFS('Specialisations'!$Q$6:$Q$527,'Specialisations'!$A$6:$A$527,A103,'Specialisations'!$B$6:$B$527,B103))</x:f>
        <x:v>6</x:v>
      </x:c>
      <x:c r="N103" s="431" t="n">
        <x:f>IF(K103=0,"",1+COUNTIFS($A$19:$A$186,A103,$K$19:$K$186,"&gt;"&amp;K103))</x:f>
        <x:v>23</x:v>
      </x:c>
      <x:c r="O103" s="431" t="n">
        <x:f>IF(K103=0,"",1+COUNTIF($K$19:$K$186,"&gt;"&amp;K103))</x:f>
        <x:v>137</x:v>
      </x:c>
      <x:c r="P103" s="430" t="str">
        <x:f>IF(C103=0,"No specialisations recorded",IF(E103&gt;0,"Review missing level","Complete"))</x:f>
        <x:v>Complete</x:v>
      </x:c>
      <x:c r="Q103" s="434" t="n">
        <x:f>IF(COUNTIFS('Damage Ranking'!$B$6:$B$172,A103,'Damage Ranking'!$C$6:$C$172,B103)=0,"",SUMIFS('Damage Ranking'!$D$6:$D$172,'Damage Ranking'!$B$6:$B$172,A103,'Damage Ranking'!$C$6:$C$172,B103))</x:f>
        <x:v>18.26377795542344</x:v>
      </x:c>
      <x:c r="R103" s="431" t="n">
        <x:f>IF(Q103="","",SUMIFS('Damage Ranking'!$A$6:$A$172,'Damage Ranking'!$B$6:$B$172,A103,'Damage Ranking'!$C$6:$C$172,B103))</x:f>
        <x:v>131</x:v>
      </x:c>
      <x:c r="S103" s="431" t="n">
        <x:f>IF(OR(R103="",O103=""),"",R103-O103)</x:f>
        <x:v>-6</x:v>
      </x:c>
      <x:c r="T103" s="430" t="str">
        <x:f>IF(S103="","No damage score",IF(S103&gt;=20,"Badges much stronger",IF(S103&lt;=-20,"Damage much stronger","Broadly aligned")))</x:f>
        <x:v>Broadly aligned</x:v>
      </x:c>
      <x:c r="U103" s="434" t="n">
        <x:f>IF(Q103="","",Q103*(1-$R$5)+L103*$R$5)</x:f>
        <x:v>18.26377795542344</x:v>
      </x:c>
      <x:c r="V103" s="431" t="n">
        <x:f>IF(U103="","",1+COUNTIF($U$19:$U$186,"&gt;"&amp;U103))</x:f>
        <x:v>131</x:v>
      </x:c>
    </x:row>
    <x:row r="104" ht="24" customHeight="1">
      <x:c r="A104" s="430" t="str">
        <x:v>K138</x:v>
      </x:c>
      <x:c r="B104" s="430" t="str">
        <x:v>(RaW)Baqi</x:v>
      </x:c>
      <x:c r="C104" s="431" t="n">
        <x:f>COUNTIFS('Specialisations'!$A$6:$A$527,A104,'Specialisations'!$B$6:$B$527,B104)</x:f>
        <x:v>3</x:v>
      </x:c>
      <x:c r="D104" s="431" t="n">
        <x:f>COUNTIFS('Specialisations'!$A$6:$A$527,A104,'Specialisations'!$B$6:$B$527,B104,'Specialisations'!$P$6:$P$527,"OK")</x:f>
        <x:v>3</x:v>
      </x:c>
      <x:c r="E104" s="431" t="n">
        <x:f>C104-D104</x:f>
        <x:v>0</x:v>
      </x:c>
      <x:c r="F104" s="432" t="n">
        <x:f>IF(C104=0,0,D104/C104)</x:f>
        <x:v>1</x:v>
      </x:c>
      <x:c r="G104" s="433" t="n">
        <x:f>SUMIFS('Specialisations'!$N$6:$N$527,'Specialisations'!$A$6:$A$527,A104,'Specialisations'!$B$6:$B$527,B104,'Specialisations'!$C$6:$C$527,"Guards")</x:f>
        <x:v>2844300</x:v>
      </x:c>
      <x:c r="H104" s="433" t="n">
        <x:f>SUMIFS('Specialisations'!$N$6:$N$527,'Specialisations'!$A$6:$A$527,A104,'Specialisations'!$B$6:$B$527,B104,'Specialisations'!$C$6:$C$527,"Archers")</x:f>
        <x:v>8334300</x:v>
      </x:c>
      <x:c r="I104" s="433" t="n">
        <x:f>SUMIFS('Specialisations'!$N$6:$N$527,'Specialisations'!$A$6:$A$527,A104,'Specialisations'!$B$6:$B$527,B104,'Specialisations'!$C$6:$C$527,"Cavalry")</x:f>
        <x:v>2244300</x:v>
      </x:c>
      <x:c r="J104" s="433" t="n">
        <x:f>SUMIFS('Specialisations'!$N$6:$N$527,'Specialisations'!$A$6:$A$527,A104,'Specialisations'!$B$6:$B$527,B104,'Specialisations'!$C$6:$C$527,"Siege")</x:f>
        <x:v>0</x:v>
      </x:c>
      <x:c r="K104" s="433" t="n">
        <x:f>SUM(G104:J104)</x:f>
        <x:v>13422900</x:v>
      </x:c>
      <x:c r="L104" s="434" t="n">
        <x:f>IFERROR(100*K104/MAX($K$19:$K$186),0)</x:f>
        <x:v>21.64781359163175</x:v>
      </x:c>
      <x:c r="M104" s="495" t="n">
        <x:f>IF(C104=0,"",SUMIFS('Specialisations'!$Q$6:$Q$527,'Specialisations'!$A$6:$A$527,A104,'Specialisations'!$B$6:$B$527,B104))</x:f>
        <x:v>49.81</x:v>
      </x:c>
      <x:c r="N104" s="431" t="n">
        <x:f>IF(K104=0,"",1+COUNTIFS($A$19:$A$186,A104,$K$19:$K$186,"&gt;"&amp;K104))</x:f>
        <x:v>13</x:v>
      </x:c>
      <x:c r="O104" s="431" t="n">
        <x:f>IF(K104=0,"",1+COUNTIF($K$19:$K$186,"&gt;"&amp;K104))</x:f>
        <x:v>76</x:v>
      </x:c>
      <x:c r="P104" s="430" t="str">
        <x:f>IF(C104=0,"No specialisations recorded",IF(E104&gt;0,"Review missing level","Complete"))</x:f>
        <x:v>Complete</x:v>
      </x:c>
      <x:c r="Q104" s="434" t="n">
        <x:f>IF(COUNTIFS('Damage Ranking'!$B$6:$B$172,A104,'Damage Ranking'!$C$6:$C$172,B104)=0,"",SUMIFS('Damage Ranking'!$D$6:$D$172,'Damage Ranking'!$B$6:$B$172,A104,'Damage Ranking'!$C$6:$C$172,B104))</x:f>
        <x:v>33.15188904345831</x:v>
      </x:c>
      <x:c r="R104" s="431" t="n">
        <x:f>IF(Q104="","",SUMIFS('Damage Ranking'!$A$6:$A$172,'Damage Ranking'!$B$6:$B$172,A104,'Damage Ranking'!$C$6:$C$172,B104))</x:f>
        <x:v>85</x:v>
      </x:c>
      <x:c r="S104" s="431" t="n">
        <x:f>IF(OR(R104="",O104=""),"",R104-O104)</x:f>
        <x:v>9</x:v>
      </x:c>
      <x:c r="T104" s="430" t="str">
        <x:f>IF(S104="","No damage score",IF(S104&gt;=20,"Badges much stronger",IF(S104&lt;=-20,"Damage much stronger","Broadly aligned")))</x:f>
        <x:v>Broadly aligned</x:v>
      </x:c>
      <x:c r="U104" s="434" t="n">
        <x:f>IF(Q104="","",Q104*(1-$R$5)+L104*$R$5)</x:f>
        <x:v>33.15188904345831</x:v>
      </x:c>
      <x:c r="V104" s="431" t="n">
        <x:f>IF(U104="","",1+COUNTIF($U$19:$U$186,"&gt;"&amp;U104))</x:f>
        <x:v>85</x:v>
      </x:c>
    </x:row>
    <x:row r="105" ht="24" customHeight="1">
      <x:c r="A105" s="430" t="str">
        <x:v>K138</x:v>
      </x:c>
      <x:c r="B105" s="430" t="str">
        <x:v>(RaW)༺飞K༻</x:v>
      </x:c>
      <x:c r="C105" s="431" t="n">
        <x:f>COUNTIFS('Specialisations'!$A$6:$A$527,A105,'Specialisations'!$B$6:$B$527,B105)</x:f>
        <x:v>2</x:v>
      </x:c>
      <x:c r="D105" s="431" t="n">
        <x:f>COUNTIFS('Specialisations'!$A$6:$A$527,A105,'Specialisations'!$B$6:$B$527,B105,'Specialisations'!$P$6:$P$527,"OK")</x:f>
        <x:v>2</x:v>
      </x:c>
      <x:c r="E105" s="431" t="n">
        <x:f>C105-D105</x:f>
        <x:v>0</x:v>
      </x:c>
      <x:c r="F105" s="432" t="n">
        <x:f>IF(C105=0,0,D105/C105)</x:f>
        <x:v>1</x:v>
      </x:c>
      <x:c r="G105" s="433" t="n">
        <x:f>SUMIFS('Specialisations'!$N$6:$N$527,'Specialisations'!$A$6:$A$527,A105,'Specialisations'!$B$6:$B$527,B105,'Specialisations'!$C$6:$C$527,"Guards")</x:f>
        <x:v>4284300</x:v>
      </x:c>
      <x:c r="H105" s="433" t="n">
        <x:f>SUMIFS('Specialisations'!$N$6:$N$527,'Specialisations'!$A$6:$A$527,A105,'Specialisations'!$B$6:$B$527,B105,'Specialisations'!$C$6:$C$527,"Archers")</x:f>
        <x:v>1464300</x:v>
      </x:c>
      <x:c r="I105" s="433" t="n">
        <x:f>SUMIFS('Specialisations'!$N$6:$N$527,'Specialisations'!$A$6:$A$527,A105,'Specialisations'!$B$6:$B$527,B105,'Specialisations'!$C$6:$C$527,"Cavalry")</x:f>
        <x:v>0</x:v>
      </x:c>
      <x:c r="J105" s="433" t="n">
        <x:f>SUMIFS('Specialisations'!$N$6:$N$527,'Specialisations'!$A$6:$A$527,A105,'Specialisations'!$B$6:$B$527,B105,'Specialisations'!$C$6:$C$527,"Siege")</x:f>
        <x:v>0</x:v>
      </x:c>
      <x:c r="K105" s="433" t="n">
        <x:f>SUM(G105:J105)</x:f>
        <x:v>5748600</x:v>
      </x:c>
      <x:c r="L105" s="434" t="n">
        <x:f>IFERROR(100*K105/MAX($K$19:$K$186),0)</x:f>
        <x:v>9.271068190395091</x:v>
      </x:c>
      <x:c r="M105" s="495" t="n">
        <x:f>IF(C105=0,"",SUMIFS('Specialisations'!$Q$6:$Q$527,'Specialisations'!$A$6:$A$527,A105,'Specialisations'!$B$6:$B$527,B105))</x:f>
        <x:v>-22.809999999999995</x:v>
      </x:c>
      <x:c r="N105" s="431" t="n">
        <x:f>IF(K105=0,"",1+COUNTIFS($A$19:$A$186,A105,$K$19:$K$186,"&gt;"&amp;K105))</x:f>
        <x:v>25</x:v>
      </x:c>
      <x:c r="O105" s="431" t="n">
        <x:f>IF(K105=0,"",1+COUNTIF($K$19:$K$186,"&gt;"&amp;K105))</x:f>
        <x:v>148</x:v>
      </x:c>
      <x:c r="P105" s="430" t="str">
        <x:f>IF(C105=0,"No specialisations recorded",IF(E105&gt;0,"Review missing level","Complete"))</x:f>
        <x:v>Complete</x:v>
      </x:c>
      <x:c r="Q105" s="434" t="n">
        <x:f>IF(COUNTIFS('Damage Ranking'!$B$6:$B$172,A105,'Damage Ranking'!$C$6:$C$172,B105)=0,"",SUMIFS('Damage Ranking'!$D$6:$D$172,'Damage Ranking'!$B$6:$B$172,A105,'Damage Ranking'!$C$6:$C$172,B105))</x:f>
        <x:v>16.54222722123695</x:v>
      </x:c>
      <x:c r="R105" s="431" t="n">
        <x:f>IF(Q105="","",SUMIFS('Damage Ranking'!$A$6:$A$172,'Damage Ranking'!$B$6:$B$172,A105,'Damage Ranking'!$C$6:$C$172,B105))</x:f>
        <x:v>137</x:v>
      </x:c>
      <x:c r="S105" s="431" t="n">
        <x:f>IF(OR(R105="",O105=""),"",R105-O105)</x:f>
        <x:v>-11</x:v>
      </x:c>
      <x:c r="T105" s="430" t="str">
        <x:f>IF(S105="","No damage score",IF(S105&gt;=20,"Badges much stronger",IF(S105&lt;=-20,"Damage much stronger","Broadly aligned")))</x:f>
        <x:v>Broadly aligned</x:v>
      </x:c>
      <x:c r="U105" s="434" t="n">
        <x:f>IF(Q105="","",Q105*(1-$R$5)+L105*$R$5)</x:f>
        <x:v>16.54222722123695</x:v>
      </x:c>
      <x:c r="V105" s="431" t="n">
        <x:f>IF(U105="","",1+COUNTIF($U$19:$U$186,"&gt;"&amp;U105))</x:f>
        <x:v>137</x:v>
      </x:c>
    </x:row>
    <x:row r="106" ht="24" customHeight="1">
      <x:c r="A106" s="430" t="str">
        <x:v>K138</x:v>
      </x:c>
      <x:c r="B106" s="430" t="str">
        <x:v>(RaW)ϟCrozyϟ</x:v>
      </x:c>
      <x:c r="C106" s="431" t="n">
        <x:f>COUNTIFS('Specialisations'!$A$6:$A$527,A106,'Specialisations'!$B$6:$B$527,B106)</x:f>
        <x:v>0</x:v>
      </x:c>
      <x:c r="D106" s="431" t="n">
        <x:f>COUNTIFS('Specialisations'!$A$6:$A$527,A106,'Specialisations'!$B$6:$B$527,B106,'Specialisations'!$P$6:$P$527,"OK")</x:f>
        <x:v>0</x:v>
      </x:c>
      <x:c r="E106" s="431" t="n">
        <x:f>C106-D106</x:f>
        <x:v>0</x:v>
      </x:c>
      <x:c r="F106" s="432" t="n">
        <x:f>IF(C106=0,0,D106/C106)</x:f>
        <x:v>0</x:v>
      </x:c>
      <x:c r="G106" s="433" t="n">
        <x:f>SUMIFS('Specialisations'!$N$6:$N$527,'Specialisations'!$A$6:$A$527,A106,'Specialisations'!$B$6:$B$527,B106,'Specialisations'!$C$6:$C$527,"Guards")</x:f>
        <x:v>0</x:v>
      </x:c>
      <x:c r="H106" s="433" t="n">
        <x:f>SUMIFS('Specialisations'!$N$6:$N$527,'Specialisations'!$A$6:$A$527,A106,'Specialisations'!$B$6:$B$527,B106,'Specialisations'!$C$6:$C$527,"Archers")</x:f>
        <x:v>0</x:v>
      </x:c>
      <x:c r="I106" s="433" t="n">
        <x:f>SUMIFS('Specialisations'!$N$6:$N$527,'Specialisations'!$A$6:$A$527,A106,'Specialisations'!$B$6:$B$527,B106,'Specialisations'!$C$6:$C$527,"Cavalry")</x:f>
        <x:v>0</x:v>
      </x:c>
      <x:c r="J106" s="433" t="n">
        <x:f>SUMIFS('Specialisations'!$N$6:$N$527,'Specialisations'!$A$6:$A$527,A106,'Specialisations'!$B$6:$B$527,B106,'Specialisations'!$C$6:$C$527,"Siege")</x:f>
        <x:v>0</x:v>
      </x:c>
      <x:c r="K106" s="433" t="n">
        <x:f>SUM(G106:J106)</x:f>
        <x:v>0</x:v>
      </x:c>
      <x:c r="L106" s="434" t="n">
        <x:f>IFERROR(100*K106/MAX($K$19:$K$186),0)</x:f>
        <x:v>0</x:v>
      </x:c>
      <x:c r="M106" s="495" t="str">
        <x:f>IF(C106=0,"",SUMIFS('Specialisations'!$Q$6:$Q$527,'Specialisations'!$A$6:$A$527,A106,'Specialisations'!$B$6:$B$527,B106))</x:f>
      </x:c>
      <x:c r="N106" s="431" t="str">
        <x:f>IF(K106=0,"",1+COUNTIFS($A$19:$A$186,A106,$K$19:$K$186,"&gt;"&amp;K106))</x:f>
      </x:c>
      <x:c r="O106" s="431" t="str">
        <x:f>IF(K106=0,"",1+COUNTIF($K$19:$K$186,"&gt;"&amp;K106))</x:f>
      </x:c>
      <x:c r="P106" s="430" t="str">
        <x:f>IF(C106=0,"No specialisations recorded",IF(E106&gt;0,"Review missing level","Complete"))</x:f>
        <x:v>No specialisations recorded</x:v>
      </x:c>
      <x:c r="Q106" s="434" t="n">
        <x:f>IF(COUNTIFS('Damage Ranking'!$B$6:$B$172,A106,'Damage Ranking'!$C$6:$C$172,B106)=0,"",SUMIFS('Damage Ranking'!$D$6:$D$172,'Damage Ranking'!$B$6:$B$172,A106,'Damage Ranking'!$C$6:$C$172,B106))</x:f>
        <x:v>50.1418264380782</x:v>
      </x:c>
      <x:c r="R106" s="431" t="n">
        <x:f>IF(Q106="","",SUMIFS('Damage Ranking'!$A$6:$A$172,'Damage Ranking'!$B$6:$B$172,A106,'Damage Ranking'!$C$6:$C$172,B106))</x:f>
        <x:v>36</x:v>
      </x:c>
      <x:c r="S106" s="431" t="str">
        <x:f>IF(OR(R106="",O106=""),"",R106-O106)</x:f>
      </x:c>
      <x:c r="T106" s="430" t="str">
        <x:f>IF(S106="","No damage score",IF(S106&gt;=20,"Badges much stronger",IF(S106&lt;=-20,"Damage much stronger","Broadly aligned")))</x:f>
        <x:v>No damage score</x:v>
      </x:c>
      <x:c r="U106" s="434" t="n">
        <x:f>IF(Q106="","",Q106*(1-$R$5)+L106*$R$5)</x:f>
        <x:v>50.1418264380782</x:v>
      </x:c>
      <x:c r="V106" s="431" t="n">
        <x:f>IF(U106="","",1+COUNTIF($U$19:$U$186,"&gt;"&amp;U106))</x:f>
        <x:v>36</x:v>
      </x:c>
    </x:row>
    <x:row r="107" ht="24" customHeight="1">
      <x:c r="A107" s="430" t="str">
        <x:v>K170</x:v>
      </x:c>
      <x:c r="B107" s="430" t="str">
        <x:v>(AOT)SanSW°</x:v>
      </x:c>
      <x:c r="C107" s="431" t="n">
        <x:f>COUNTIFS('Specialisations'!$A$6:$A$527,A107,'Specialisations'!$B$6:$B$527,B107)</x:f>
        <x:v>4</x:v>
      </x:c>
      <x:c r="D107" s="431" t="n">
        <x:f>COUNTIFS('Specialisations'!$A$6:$A$527,A107,'Specialisations'!$B$6:$B$527,B107,'Specialisations'!$P$6:$P$527,"OK")</x:f>
        <x:v>4</x:v>
      </x:c>
      <x:c r="E107" s="431" t="n">
        <x:f>C107-D107</x:f>
        <x:v>0</x:v>
      </x:c>
      <x:c r="F107" s="432" t="n">
        <x:f>IF(C107=0,0,D107/C107)</x:f>
        <x:v>1</x:v>
      </x:c>
      <x:c r="G107" s="433" t="n">
        <x:f>SUMIFS('Specialisations'!$N$6:$N$527,'Specialisations'!$A$6:$A$527,A107,'Specialisations'!$B$6:$B$527,B107,'Specialisations'!$C$6:$C$527,"Guards")</x:f>
        <x:v>10334300</x:v>
      </x:c>
      <x:c r="H107" s="433" t="n">
        <x:f>SUMIFS('Specialisations'!$N$6:$N$527,'Specialisations'!$A$6:$A$527,A107,'Specialisations'!$B$6:$B$527,B107,'Specialisations'!$C$6:$C$527,"Archers")</x:f>
        <x:v>1074300</x:v>
      </x:c>
      <x:c r="I107" s="433" t="n">
        <x:f>SUMIFS('Specialisations'!$N$6:$N$527,'Specialisations'!$A$6:$A$527,A107,'Specialisations'!$B$6:$B$527,B107,'Specialisations'!$C$6:$C$527,"Cavalry")</x:f>
        <x:v>14218600</x:v>
      </x:c>
      <x:c r="J107" s="433" t="n">
        <x:f>SUMIFS('Specialisations'!$N$6:$N$527,'Specialisations'!$A$6:$A$527,A107,'Specialisations'!$B$6:$B$527,B107,'Specialisations'!$C$6:$C$527,"Siege")</x:f>
        <x:v>0</x:v>
      </x:c>
      <x:c r="K107" s="433" t="n">
        <x:f>SUM(G107:J107)</x:f>
        <x:v>25627200</x:v>
      </x:c>
      <x:c r="L107" s="434" t="n">
        <x:f>IFERROR(100*K107/MAX($K$19:$K$186),0)</x:f>
        <x:v>41.33032716294282</x:v>
      </x:c>
      <x:c r="M107" s="495" t="n">
        <x:f>IF(C107=0,"",SUMIFS('Specialisations'!$Q$6:$Q$527,'Specialisations'!$A$6:$A$527,A107,'Specialisations'!$B$6:$B$527,B107))</x:f>
        <x:v>58.36000000000001</x:v>
      </x:c>
      <x:c r="N107" s="431" t="n">
        <x:f>IF(K107=0,"",1+COUNTIFS($A$19:$A$186,A107,$K$19:$K$186,"&gt;"&amp;K107))</x:f>
        <x:v>3</x:v>
      </x:c>
      <x:c r="O107" s="431" t="n">
        <x:f>IF(K107=0,"",1+COUNTIF($K$19:$K$186,"&gt;"&amp;K107))</x:f>
        <x:v>12</x:v>
      </x:c>
      <x:c r="P107" s="430" t="str">
        <x:f>IF(C107=0,"No specialisations recorded",IF(E107&gt;0,"Review missing level","Complete"))</x:f>
        <x:v>Complete</x:v>
      </x:c>
      <x:c r="Q107" s="434" t="n">
        <x:f>IF(COUNTIFS('Damage Ranking'!$B$6:$B$172,A107,'Damage Ranking'!$C$6:$C$172,B107)=0,"",SUMIFS('Damage Ranking'!$D$6:$D$172,'Damage Ranking'!$B$6:$B$172,A107,'Damage Ranking'!$C$6:$C$172,B107))</x:f>
        <x:v>48.2444663229847</x:v>
      </x:c>
      <x:c r="R107" s="431" t="n">
        <x:f>IF(Q107="","",SUMIFS('Damage Ranking'!$A$6:$A$172,'Damage Ranking'!$B$6:$B$172,A107,'Damage Ranking'!$C$6:$C$172,B107))</x:f>
        <x:v>43</x:v>
      </x:c>
      <x:c r="S107" s="431" t="n">
        <x:f>IF(OR(R107="",O107=""),"",R107-O107)</x:f>
        <x:v>31</x:v>
      </x:c>
      <x:c r="T107" s="430" t="str">
        <x:f>IF(S107="","No damage score",IF(S107&gt;=20,"Badges much stronger",IF(S107&lt;=-20,"Damage much stronger","Broadly aligned")))</x:f>
        <x:v>Badges much stronger</x:v>
      </x:c>
      <x:c r="U107" s="434" t="n">
        <x:f>IF(Q107="","",Q107*(1-$R$5)+L107*$R$5)</x:f>
        <x:v>48.2444663229847</x:v>
      </x:c>
      <x:c r="V107" s="431" t="n">
        <x:f>IF(U107="","",1+COUNTIF($U$19:$U$186,"&gt;"&amp;U107))</x:f>
        <x:v>43</x:v>
      </x:c>
    </x:row>
    <x:row r="108" ht="24" customHeight="1">
      <x:c r="A108" s="430" t="str">
        <x:v>K170</x:v>
      </x:c>
      <x:c r="B108" s="430" t="str">
        <x:v>(AOT)Fenixx</x:v>
      </x:c>
      <x:c r="C108" s="431" t="n">
        <x:f>COUNTIFS('Specialisations'!$A$6:$A$527,A108,'Specialisations'!$B$6:$B$527,B108)</x:f>
        <x:v>5</x:v>
      </x:c>
      <x:c r="D108" s="431" t="n">
        <x:f>COUNTIFS('Specialisations'!$A$6:$A$527,A108,'Specialisations'!$B$6:$B$527,B108,'Specialisations'!$P$6:$P$527,"OK")</x:f>
        <x:v>5</x:v>
      </x:c>
      <x:c r="E108" s="431" t="n">
        <x:f>C108-D108</x:f>
        <x:v>0</x:v>
      </x:c>
      <x:c r="F108" s="432" t="n">
        <x:f>IF(C108=0,0,D108/C108)</x:f>
        <x:v>1</x:v>
      </x:c>
      <x:c r="G108" s="433" t="n">
        <x:f>SUMIFS('Specialisations'!$N$6:$N$527,'Specialisations'!$A$6:$A$527,A108,'Specialisations'!$B$6:$B$527,B108,'Specialisations'!$C$6:$C$527,"Guards")</x:f>
        <x:v>4284300</x:v>
      </x:c>
      <x:c r="H108" s="433" t="n">
        <x:f>SUMIFS('Specialisations'!$N$6:$N$527,'Specialisations'!$A$6:$A$527,A108,'Specialisations'!$B$6:$B$527,B108,'Specialisations'!$C$6:$C$527,"Archers")</x:f>
        <x:v>1324300</x:v>
      </x:c>
      <x:c r="I108" s="433" t="n">
        <x:f>SUMIFS('Specialisations'!$N$6:$N$527,'Specialisations'!$A$6:$A$527,A108,'Specialisations'!$B$6:$B$527,B108,'Specialisations'!$C$6:$C$527,"Cavalry")</x:f>
        <x:v>7628600</x:v>
      </x:c>
      <x:c r="J108" s="433" t="n">
        <x:f>SUMIFS('Specialisations'!$N$6:$N$527,'Specialisations'!$A$6:$A$527,A108,'Specialisations'!$B$6:$B$527,B108,'Specialisations'!$C$6:$C$527,"Siege")</x:f>
        <x:v>1464300</x:v>
      </x:c>
      <x:c r="K108" s="433" t="n">
        <x:f>SUM(G108:J108)</x:f>
        <x:v>14701500</x:v>
      </x:c>
      <x:c r="L108" s="434" t="n">
        <x:f>IFERROR(100*K108/MAX($K$19:$K$186),0)</x:f>
        <x:v>23.70987875327792</x:v>
      </x:c>
      <x:c r="M108" s="495" t="n">
        <x:f>IF(C108=0,"",SUMIFS('Specialisations'!$Q$6:$Q$527,'Specialisations'!$A$6:$A$527,A108,'Specialisations'!$B$6:$B$527,B108))</x:f>
        <x:v>55.59</x:v>
      </x:c>
      <x:c r="N108" s="431" t="n">
        <x:f>IF(K108=0,"",1+COUNTIFS($A$19:$A$186,A108,$K$19:$K$186,"&gt;"&amp;K108))</x:f>
        <x:v>10</x:v>
      </x:c>
      <x:c r="O108" s="431" t="n">
        <x:f>IF(K108=0,"",1+COUNTIF($K$19:$K$186,"&gt;"&amp;K108))</x:f>
        <x:v>64</x:v>
      </x:c>
      <x:c r="P108" s="430" t="str">
        <x:f>IF(C108=0,"No specialisations recorded",IF(E108&gt;0,"Review missing level","Complete"))</x:f>
        <x:v>Complete</x:v>
      </x:c>
      <x:c r="Q108" s="434" t="n">
        <x:f>IF(COUNTIFS('Damage Ranking'!$B$6:$B$172,A108,'Damage Ranking'!$C$6:$C$172,B108)=0,"",SUMIFS('Damage Ranking'!$D$6:$D$172,'Damage Ranking'!$B$6:$B$172,A108,'Damage Ranking'!$C$6:$C$172,B108))</x:f>
        <x:v>38.400431895850524</x:v>
      </x:c>
      <x:c r="R108" s="431" t="n">
        <x:f>IF(Q108="","",SUMIFS('Damage Ranking'!$A$6:$A$172,'Damage Ranking'!$B$6:$B$172,A108,'Damage Ranking'!$C$6:$C$172,B108))</x:f>
        <x:v>70</x:v>
      </x:c>
      <x:c r="S108" s="431" t="n">
        <x:f>IF(OR(R108="",O108=""),"",R108-O108)</x:f>
        <x:v>6</x:v>
      </x:c>
      <x:c r="T108" s="430" t="str">
        <x:f>IF(S108="","No damage score",IF(S108&gt;=20,"Badges much stronger",IF(S108&lt;=-20,"Damage much stronger","Broadly aligned")))</x:f>
        <x:v>Broadly aligned</x:v>
      </x:c>
      <x:c r="U108" s="434" t="n">
        <x:f>IF(Q108="","",Q108*(1-$R$5)+L108*$R$5)</x:f>
        <x:v>38.400431895850524</x:v>
      </x:c>
      <x:c r="V108" s="431" t="n">
        <x:f>IF(U108="","",1+COUNTIF($U$19:$U$186,"&gt;"&amp;U108))</x:f>
        <x:v>70</x:v>
      </x:c>
    </x:row>
    <x:row r="109" ht="24" customHeight="1">
      <x:c r="A109" s="430" t="str">
        <x:v>K170</x:v>
      </x:c>
      <x:c r="B109" s="430" t="str">
        <x:v>(AOT)D®a©o</x:v>
      </x:c>
      <x:c r="C109" s="431" t="n">
        <x:f>COUNTIFS('Specialisations'!$A$6:$A$527,A109,'Specialisations'!$B$6:$B$527,B109)</x:f>
        <x:v>4</x:v>
      </x:c>
      <x:c r="D109" s="431" t="n">
        <x:f>COUNTIFS('Specialisations'!$A$6:$A$527,A109,'Specialisations'!$B$6:$B$527,B109,'Specialisations'!$P$6:$P$527,"OK")</x:f>
        <x:v>4</x:v>
      </x:c>
      <x:c r="E109" s="431" t="n">
        <x:f>C109-D109</x:f>
        <x:v>0</x:v>
      </x:c>
      <x:c r="F109" s="432" t="n">
        <x:f>IF(C109=0,0,D109/C109)</x:f>
        <x:v>1</x:v>
      </x:c>
      <x:c r="G109" s="433" t="n">
        <x:f>SUMIFS('Specialisations'!$N$6:$N$527,'Specialisations'!$A$6:$A$527,A109,'Specialisations'!$B$6:$B$527,B109,'Specialisations'!$C$6:$C$527,"Guards")</x:f>
        <x:v>4284300</x:v>
      </x:c>
      <x:c r="H109" s="433" t="n">
        <x:f>SUMIFS('Specialisations'!$N$6:$N$527,'Specialisations'!$A$6:$A$527,A109,'Specialisations'!$B$6:$B$527,B109,'Specialisations'!$C$6:$C$527,"Archers")</x:f>
        <x:v>2004300</x:v>
      </x:c>
      <x:c r="I109" s="433" t="n">
        <x:f>SUMIFS('Specialisations'!$N$6:$N$527,'Specialisations'!$A$6:$A$527,A109,'Specialisations'!$B$6:$B$527,B109,'Specialisations'!$C$6:$C$527,"Cavalry")</x:f>
        <x:v>4284300</x:v>
      </x:c>
      <x:c r="J109" s="433" t="n">
        <x:f>SUMIFS('Specialisations'!$N$6:$N$527,'Specialisations'!$A$6:$A$527,A109,'Specialisations'!$B$6:$B$527,B109,'Specialisations'!$C$6:$C$527,"Siege")</x:f>
        <x:v>484300</x:v>
      </x:c>
      <x:c r="K109" s="433" t="n">
        <x:f>SUM(G109:J109)</x:f>
        <x:v>11057200</x:v>
      </x:c>
      <x:c r="L109" s="434" t="n">
        <x:f>IFERROR(100*K109/MAX($K$19:$K$186),0)</x:f>
        <x:v>17.832525344403265</x:v>
      </x:c>
      <x:c r="M109" s="495" t="n">
        <x:f>IF(C109=0,"",SUMIFS('Specialisations'!$Q$6:$Q$527,'Specialisations'!$A$6:$A$527,A109,'Specialisations'!$B$6:$B$527,B109))</x:f>
        <x:v>30.8</x:v>
      </x:c>
      <x:c r="N109" s="431" t="n">
        <x:f>IF(K109=0,"",1+COUNTIFS($A$19:$A$186,A109,$K$19:$K$186,"&gt;"&amp;K109))</x:f>
        <x:v>13</x:v>
      </x:c>
      <x:c r="O109" s="431" t="n">
        <x:f>IF(K109=0,"",1+COUNTIF($K$19:$K$186,"&gt;"&amp;K109))</x:f>
        <x:v>106</x:v>
      </x:c>
      <x:c r="P109" s="430" t="str">
        <x:f>IF(C109=0,"No specialisations recorded",IF(E109&gt;0,"Review missing level","Complete"))</x:f>
        <x:v>Complete</x:v>
      </x:c>
      <x:c r="Q109" s="434" t="n">
        <x:f>IF(COUNTIFS('Damage Ranking'!$B$6:$B$172,A109,'Damage Ranking'!$C$6:$C$172,B109)=0,"",SUMIFS('Damage Ranking'!$D$6:$D$172,'Damage Ranking'!$B$6:$B$172,A109,'Damage Ranking'!$C$6:$C$172,B109))</x:f>
        <x:v>28.8295160526318</x:v>
      </x:c>
      <x:c r="R109" s="431" t="n">
        <x:f>IF(Q109="","",SUMIFS('Damage Ranking'!$A$6:$A$172,'Damage Ranking'!$B$6:$B$172,A109,'Damage Ranking'!$C$6:$C$172,B109))</x:f>
        <x:v>95</x:v>
      </x:c>
      <x:c r="S109" s="431" t="n">
        <x:f>IF(OR(R109="",O109=""),"",R109-O109)</x:f>
        <x:v>-11</x:v>
      </x:c>
      <x:c r="T109" s="430" t="str">
        <x:f>IF(S109="","No damage score",IF(S109&gt;=20,"Badges much stronger",IF(S109&lt;=-20,"Damage much stronger","Broadly aligned")))</x:f>
        <x:v>Broadly aligned</x:v>
      </x:c>
      <x:c r="U109" s="434" t="n">
        <x:f>IF(Q109="","",Q109*(1-$R$5)+L109*$R$5)</x:f>
        <x:v>28.8295160526318</x:v>
      </x:c>
      <x:c r="V109" s="431" t="n">
        <x:f>IF(U109="","",1+COUNTIF($U$19:$U$186,"&gt;"&amp;U109))</x:f>
        <x:v>95</x:v>
      </x:c>
    </x:row>
    <x:row r="110" ht="24" customHeight="1">
      <x:c r="A110" s="430" t="str">
        <x:v>K170</x:v>
      </x:c>
      <x:c r="B110" s="430" t="str">
        <x:v>(AOT)Themechanic</x:v>
      </x:c>
      <x:c r="C110" s="431" t="n">
        <x:f>COUNTIFS('Specialisations'!$A$6:$A$527,A110,'Specialisations'!$B$6:$B$527,B110)</x:f>
        <x:v>4</x:v>
      </x:c>
      <x:c r="D110" s="431" t="n">
        <x:f>COUNTIFS('Specialisations'!$A$6:$A$527,A110,'Specialisations'!$B$6:$B$527,B110,'Specialisations'!$P$6:$P$527,"OK")</x:f>
        <x:v>4</x:v>
      </x:c>
      <x:c r="E110" s="431" t="n">
        <x:f>C110-D110</x:f>
        <x:v>0</x:v>
      </x:c>
      <x:c r="F110" s="432" t="n">
        <x:f>IF(C110=0,0,D110/C110)</x:f>
        <x:v>1</x:v>
      </x:c>
      <x:c r="G110" s="433" t="n">
        <x:f>SUMIFS('Specialisations'!$N$6:$N$527,'Specialisations'!$A$6:$A$527,A110,'Specialisations'!$B$6:$B$527,B110,'Specialisations'!$C$6:$C$527,"Guards")</x:f>
        <x:v>5884300</x:v>
      </x:c>
      <x:c r="H110" s="433" t="n">
        <x:f>SUMIFS('Specialisations'!$N$6:$N$527,'Specialisations'!$A$6:$A$527,A110,'Specialisations'!$B$6:$B$527,B110,'Specialisations'!$C$6:$C$527,"Archers")</x:f>
        <x:v>1624300</x:v>
      </x:c>
      <x:c r="I110" s="433" t="n">
        <x:f>SUMIFS('Specialisations'!$N$6:$N$527,'Specialisations'!$A$6:$A$527,A110,'Specialisations'!$B$6:$B$527,B110,'Specialisations'!$C$6:$C$527,"Cavalry")</x:f>
        <x:v>14618600</x:v>
      </x:c>
      <x:c r="J110" s="433" t="n">
        <x:f>SUMIFS('Specialisations'!$N$6:$N$527,'Specialisations'!$A$6:$A$527,A110,'Specialisations'!$B$6:$B$527,B110,'Specialisations'!$C$6:$C$527,"Siege")</x:f>
        <x:v>0</x:v>
      </x:c>
      <x:c r="K110" s="433" t="n">
        <x:f>SUM(G110:J110)</x:f>
        <x:v>22127200</x:v>
      </x:c>
      <x:c r="L110" s="434" t="n">
        <x:f>IFERROR(100*K110/MAX($K$19:$K$186),0)</x:f>
        <x:v>35.68569391895597</x:v>
      </x:c>
      <x:c r="M110" s="495" t="n">
        <x:f>IF(C110=0,"",SUMIFS('Specialisations'!$Q$6:$Q$527,'Specialisations'!$A$6:$A$527,A110,'Specialisations'!$B$6:$B$527,B110))</x:f>
        <x:v>74.33</x:v>
      </x:c>
      <x:c r="N110" s="431" t="n">
        <x:f>IF(K110=0,"",1+COUNTIFS($A$19:$A$186,A110,$K$19:$K$186,"&gt;"&amp;K110))</x:f>
        <x:v>4</x:v>
      </x:c>
      <x:c r="O110" s="431" t="n">
        <x:f>IF(K110=0,"",1+COUNTIF($K$19:$K$186,"&gt;"&amp;K110))</x:f>
        <x:v>23</x:v>
      </x:c>
      <x:c r="P110" s="430" t="str">
        <x:f>IF(C110=0,"No specialisations recorded",IF(E110&gt;0,"Review missing level","Complete"))</x:f>
        <x:v>Complete</x:v>
      </x:c>
      <x:c r="Q110" s="434" t="n">
        <x:f>IF(COUNTIFS('Damage Ranking'!$B$6:$B$172,A110,'Damage Ranking'!$C$6:$C$172,B110)=0,"",SUMIFS('Damage Ranking'!$D$6:$D$172,'Damage Ranking'!$B$6:$B$172,A110,'Damage Ranking'!$C$6:$C$172,B110))</x:f>
        <x:v>47.43006227481062</x:v>
      </x:c>
      <x:c r="R110" s="431" t="n">
        <x:f>IF(Q110="","",SUMIFS('Damage Ranking'!$A$6:$A$172,'Damage Ranking'!$B$6:$B$172,A110,'Damage Ranking'!$C$6:$C$172,B110))</x:f>
        <x:v>45</x:v>
      </x:c>
      <x:c r="S110" s="431" t="n">
        <x:f>IF(OR(R110="",O110=""),"",R110-O110)</x:f>
        <x:v>22</x:v>
      </x:c>
      <x:c r="T110" s="430" t="str">
        <x:f>IF(S110="","No damage score",IF(S110&gt;=20,"Badges much stronger",IF(S110&lt;=-20,"Damage much stronger","Broadly aligned")))</x:f>
        <x:v>Badges much stronger</x:v>
      </x:c>
      <x:c r="U110" s="434" t="n">
        <x:f>IF(Q110="","",Q110*(1-$R$5)+L110*$R$5)</x:f>
        <x:v>47.43006227481062</x:v>
      </x:c>
      <x:c r="V110" s="431" t="n">
        <x:f>IF(U110="","",1+COUNTIF($U$19:$U$186,"&gt;"&amp;U110))</x:f>
        <x:v>45</x:v>
      </x:c>
    </x:row>
    <x:row r="111" ht="24" customHeight="1">
      <x:c r="A111" s="430" t="str">
        <x:v>K170</x:v>
      </x:c>
      <x:c r="B111" s="430" t="str">
        <x:v>(AOT)Aauudd</x:v>
      </x:c>
      <x:c r="C111" s="431" t="n">
        <x:f>COUNTIFS('Specialisations'!$A$6:$A$527,A111,'Specialisations'!$B$6:$B$527,B111)</x:f>
        <x:v>4</x:v>
      </x:c>
      <x:c r="D111" s="431" t="n">
        <x:f>COUNTIFS('Specialisations'!$A$6:$A$527,A111,'Specialisations'!$B$6:$B$527,B111,'Specialisations'!$P$6:$P$527,"OK")</x:f>
        <x:v>4</x:v>
      </x:c>
      <x:c r="E111" s="431" t="n">
        <x:f>C111-D111</x:f>
        <x:v>0</x:v>
      </x:c>
      <x:c r="F111" s="432" t="n">
        <x:f>IF(C111=0,0,D111/C111)</x:f>
        <x:v>1</x:v>
      </x:c>
      <x:c r="G111" s="433" t="n">
        <x:f>SUMIFS('Specialisations'!$N$6:$N$527,'Specialisations'!$A$6:$A$527,A111,'Specialisations'!$B$6:$B$527,B111,'Specialisations'!$C$6:$C$527,"Guards")</x:f>
        <x:v>0</x:v>
      </x:c>
      <x:c r="H111" s="433" t="n">
        <x:f>SUMIFS('Specialisations'!$N$6:$N$527,'Specialisations'!$A$6:$A$527,A111,'Specialisations'!$B$6:$B$527,B111,'Specialisations'!$C$6:$C$527,"Archers")</x:f>
        <x:v>226800</x:v>
      </x:c>
      <x:c r="I111" s="433" t="n">
        <x:f>SUMIFS('Specialisations'!$N$6:$N$527,'Specialisations'!$A$6:$A$527,A111,'Specialisations'!$B$6:$B$527,B111,'Specialisations'!$C$6:$C$527,"Cavalry")</x:f>
        <x:v>5868600</x:v>
      </x:c>
      <x:c r="J111" s="433" t="n">
        <x:f>SUMIFS('Specialisations'!$N$6:$N$527,'Specialisations'!$A$6:$A$527,A111,'Specialisations'!$B$6:$B$527,B111,'Specialisations'!$C$6:$C$527,"Siege")</x:f>
        <x:v>2844300</x:v>
      </x:c>
      <x:c r="K111" s="433" t="n">
        <x:f>SUM(G111:J111)</x:f>
        <x:v>8939700</x:v>
      </x:c>
      <x:c r="L111" s="434" t="n">
        <x:f>IFERROR(100*K111/MAX($K$19:$K$186),0)</x:f>
        <x:v>14.417522231791219</x:v>
      </x:c>
      <x:c r="M111" s="495" t="n">
        <x:f>IF(C111=0,"",SUMIFS('Specialisations'!$Q$6:$Q$527,'Specialisations'!$A$6:$A$527,A111,'Specialisations'!$B$6:$B$527,B111))</x:f>
        <x:v>93.93</x:v>
      </x:c>
      <x:c r="N111" s="431" t="n">
        <x:f>IF(K111=0,"",1+COUNTIFS($A$19:$A$186,A111,$K$19:$K$186,"&gt;"&amp;K111))</x:f>
        <x:v>18</x:v>
      </x:c>
      <x:c r="O111" s="431" t="n">
        <x:f>IF(K111=0,"",1+COUNTIF($K$19:$K$186,"&gt;"&amp;K111))</x:f>
        <x:v>127</x:v>
      </x:c>
      <x:c r="P111" s="430" t="str">
        <x:f>IF(C111=0,"No specialisations recorded",IF(E111&gt;0,"Review missing level","Complete"))</x:f>
        <x:v>Complete</x:v>
      </x:c>
      <x:c r="Q111" s="434" t="n">
        <x:f>IF(COUNTIFS('Damage Ranking'!$B$6:$B$172,A111,'Damage Ranking'!$C$6:$C$172,B111)=0,"",SUMIFS('Damage Ranking'!$D$6:$D$172,'Damage Ranking'!$B$6:$B$172,A111,'Damage Ranking'!$C$6:$C$172,B111))</x:f>
        <x:v>26.505210164961074</x:v>
      </x:c>
      <x:c r="R111" s="431" t="n">
        <x:f>IF(Q111="","",SUMIFS('Damage Ranking'!$A$6:$A$172,'Damage Ranking'!$B$6:$B$172,A111,'Damage Ranking'!$C$6:$C$172,B111))</x:f>
        <x:v>102</x:v>
      </x:c>
      <x:c r="S111" s="431" t="n">
        <x:f>IF(OR(R111="",O111=""),"",R111-O111)</x:f>
        <x:v>-25</x:v>
      </x:c>
      <x:c r="T111" s="430" t="str">
        <x:f>IF(S111="","No damage score",IF(S111&gt;=20,"Badges much stronger",IF(S111&lt;=-20,"Damage much stronger","Broadly aligned")))</x:f>
        <x:v>Damage much stronger</x:v>
      </x:c>
      <x:c r="U111" s="434" t="n">
        <x:f>IF(Q111="","",Q111*(1-$R$5)+L111*$R$5)</x:f>
        <x:v>26.505210164961074</x:v>
      </x:c>
      <x:c r="V111" s="431" t="n">
        <x:f>IF(U111="","",1+COUNTIF($U$19:$U$186,"&gt;"&amp;U111))</x:f>
        <x:v>102</x:v>
      </x:c>
    </x:row>
    <x:row r="112" ht="24" customHeight="1">
      <x:c r="A112" s="430" t="str">
        <x:v>K170</x:v>
      </x:c>
      <x:c r="B112" s="430" t="str">
        <x:v>(AOT)Brauni°</x:v>
      </x:c>
      <x:c r="C112" s="431" t="n">
        <x:f>COUNTIFS('Specialisations'!$A$6:$A$527,A112,'Specialisations'!$B$6:$B$527,B112)</x:f>
        <x:v>3</x:v>
      </x:c>
      <x:c r="D112" s="431" t="n">
        <x:f>COUNTIFS('Specialisations'!$A$6:$A$527,A112,'Specialisations'!$B$6:$B$527,B112,'Specialisations'!$P$6:$P$527,"OK")</x:f>
        <x:v>3</x:v>
      </x:c>
      <x:c r="E112" s="431" t="n">
        <x:f>C112-D112</x:f>
        <x:v>0</x:v>
      </x:c>
      <x:c r="F112" s="432" t="n">
        <x:f>IF(C112=0,0,D112/C112)</x:f>
        <x:v>1</x:v>
      </x:c>
      <x:c r="G112" s="433" t="n">
        <x:f>SUMIFS('Specialisations'!$N$6:$N$527,'Specialisations'!$A$6:$A$527,A112,'Specialisations'!$B$6:$B$527,B112,'Specialisations'!$C$6:$C$527,"Guards")</x:f>
        <x:v>2244300</x:v>
      </x:c>
      <x:c r="H112" s="433" t="n">
        <x:f>SUMIFS('Specialisations'!$N$6:$N$527,'Specialisations'!$A$6:$A$527,A112,'Specialisations'!$B$6:$B$527,B112,'Specialisations'!$C$6:$C$527,"Archers")</x:f>
        <x:v>3724300</x:v>
      </x:c>
      <x:c r="I112" s="433" t="n">
        <x:f>SUMIFS('Specialisations'!$N$6:$N$527,'Specialisations'!$A$6:$A$527,A112,'Specialisations'!$B$6:$B$527,B112,'Specialisations'!$C$6:$C$527,"Cavalry")</x:f>
        <x:v>4284300</x:v>
      </x:c>
      <x:c r="J112" s="433" t="n">
        <x:f>SUMIFS('Specialisations'!$N$6:$N$527,'Specialisations'!$A$6:$A$527,A112,'Specialisations'!$B$6:$B$527,B112,'Specialisations'!$C$6:$C$527,"Siege")</x:f>
        <x:v>0</x:v>
      </x:c>
      <x:c r="K112" s="433" t="n">
        <x:f>SUM(G112:J112)</x:f>
        <x:v>10252900</x:v>
      </x:c>
      <x:c r="L112" s="434" t="n">
        <x:f>IFERROR(100*K112/MAX($K$19:$K$186),0)</x:f>
        <x:v>16.535388624935088</x:v>
      </x:c>
      <x:c r="M112" s="495" t="n">
        <x:f>IF(C112=0,"",SUMIFS('Specialisations'!$Q$6:$Q$527,'Specialisations'!$A$6:$A$527,A112,'Specialisations'!$B$6:$B$527,B112))</x:f>
        <x:v>54.17</x:v>
      </x:c>
      <x:c r="N112" s="431" t="n">
        <x:f>IF(K112=0,"",1+COUNTIFS($A$19:$A$186,A112,$K$19:$K$186,"&gt;"&amp;K112))</x:f>
        <x:v>16</x:v>
      </x:c>
      <x:c r="O112" s="431" t="n">
        <x:f>IF(K112=0,"",1+COUNTIF($K$19:$K$186,"&gt;"&amp;K112))</x:f>
        <x:v>119</x:v>
      </x:c>
      <x:c r="P112" s="430" t="str">
        <x:f>IF(C112=0,"No specialisations recorded",IF(E112&gt;0,"Review missing level","Complete"))</x:f>
        <x:v>Complete</x:v>
      </x:c>
      <x:c r="Q112" s="434" t="n">
        <x:f>IF(COUNTIFS('Damage Ranking'!$B$6:$B$172,A112,'Damage Ranking'!$C$6:$C$172,B112)=0,"",SUMIFS('Damage Ranking'!$D$6:$D$172,'Damage Ranking'!$B$6:$B$172,A112,'Damage Ranking'!$C$6:$C$172,B112))</x:f>
        <x:v>14.610459127556377</x:v>
      </x:c>
      <x:c r="R112" s="431" t="n">
        <x:f>IF(Q112="","",SUMIFS('Damage Ranking'!$A$6:$A$172,'Damage Ranking'!$B$6:$B$172,A112,'Damage Ranking'!$C$6:$C$172,B112))</x:f>
        <x:v>141</x:v>
      </x:c>
      <x:c r="S112" s="431" t="n">
        <x:f>IF(OR(R112="",O112=""),"",R112-O112)</x:f>
        <x:v>22</x:v>
      </x:c>
      <x:c r="T112" s="430" t="str">
        <x:f>IF(S112="","No damage score",IF(S112&gt;=20,"Badges much stronger",IF(S112&lt;=-20,"Damage much stronger","Broadly aligned")))</x:f>
        <x:v>Badges much stronger</x:v>
      </x:c>
      <x:c r="U112" s="434" t="n">
        <x:f>IF(Q112="","",Q112*(1-$R$5)+L112*$R$5)</x:f>
        <x:v>14.610459127556377</x:v>
      </x:c>
      <x:c r="V112" s="431" t="n">
        <x:f>IF(U112="","",1+COUNTIF($U$19:$U$186,"&gt;"&amp;U112))</x:f>
        <x:v>141</x:v>
      </x:c>
    </x:row>
    <x:row r="113" ht="24" customHeight="1">
      <x:c r="A113" s="430" t="str">
        <x:v>K170</x:v>
      </x:c>
      <x:c r="B113" s="430" t="str">
        <x:v>(AOT)Kelley</x:v>
      </x:c>
      <x:c r="C113" s="431" t="n">
        <x:f>COUNTIFS('Specialisations'!$A$6:$A$527,A113,'Specialisations'!$B$6:$B$527,B113)</x:f>
        <x:v>0</x:v>
      </x:c>
      <x:c r="D113" s="431" t="n">
        <x:f>COUNTIFS('Specialisations'!$A$6:$A$527,A113,'Specialisations'!$B$6:$B$527,B113,'Specialisations'!$P$6:$P$527,"OK")</x:f>
        <x:v>0</x:v>
      </x:c>
      <x:c r="E113" s="431" t="n">
        <x:f>C113-D113</x:f>
        <x:v>0</x:v>
      </x:c>
      <x:c r="F113" s="432" t="n">
        <x:f>IF(C113=0,0,D113/C113)</x:f>
        <x:v>0</x:v>
      </x:c>
      <x:c r="G113" s="433" t="n">
        <x:f>SUMIFS('Specialisations'!$N$6:$N$527,'Specialisations'!$A$6:$A$527,A113,'Specialisations'!$B$6:$B$527,B113,'Specialisations'!$C$6:$C$527,"Guards")</x:f>
        <x:v>0</x:v>
      </x:c>
      <x:c r="H113" s="433" t="n">
        <x:f>SUMIFS('Specialisations'!$N$6:$N$527,'Specialisations'!$A$6:$A$527,A113,'Specialisations'!$B$6:$B$527,B113,'Specialisations'!$C$6:$C$527,"Archers")</x:f>
        <x:v>0</x:v>
      </x:c>
      <x:c r="I113" s="433" t="n">
        <x:f>SUMIFS('Specialisations'!$N$6:$N$527,'Specialisations'!$A$6:$A$527,A113,'Specialisations'!$B$6:$B$527,B113,'Specialisations'!$C$6:$C$527,"Cavalry")</x:f>
        <x:v>0</x:v>
      </x:c>
      <x:c r="J113" s="433" t="n">
        <x:f>SUMIFS('Specialisations'!$N$6:$N$527,'Specialisations'!$A$6:$A$527,A113,'Specialisations'!$B$6:$B$527,B113,'Specialisations'!$C$6:$C$527,"Siege")</x:f>
        <x:v>0</x:v>
      </x:c>
      <x:c r="K113" s="433" t="n">
        <x:f>SUM(G113:J113)</x:f>
        <x:v>0</x:v>
      </x:c>
      <x:c r="L113" s="434" t="n">
        <x:f>IFERROR(100*K113/MAX($K$19:$K$186),0)</x:f>
        <x:v>0</x:v>
      </x:c>
      <x:c r="M113" s="495" t="str">
        <x:f>IF(C113=0,"",SUMIFS('Specialisations'!$Q$6:$Q$527,'Specialisations'!$A$6:$A$527,A113,'Specialisations'!$B$6:$B$527,B113))</x:f>
      </x:c>
      <x:c r="N113" s="431" t="str">
        <x:f>IF(K113=0,"",1+COUNTIFS($A$19:$A$186,A113,$K$19:$K$186,"&gt;"&amp;K113))</x:f>
      </x:c>
      <x:c r="O113" s="431" t="str">
        <x:f>IF(K113=0,"",1+COUNTIF($K$19:$K$186,"&gt;"&amp;K113))</x:f>
      </x:c>
      <x:c r="P113" s="430" t="str">
        <x:f>IF(C113=0,"No specialisations recorded",IF(E113&gt;0,"Review missing level","Complete"))</x:f>
        <x:v>No specialisations recorded</x:v>
      </x:c>
      <x:c r="Q113" s="434" t="n">
        <x:f>IF(COUNTIFS('Damage Ranking'!$B$6:$B$172,A113,'Damage Ranking'!$C$6:$C$172,B113)=0,"",SUMIFS('Damage Ranking'!$D$6:$D$172,'Damage Ranking'!$B$6:$B$172,A113,'Damage Ranking'!$C$6:$C$172,B113))</x:f>
        <x:v>43.12987650905824</x:v>
      </x:c>
      <x:c r="R113" s="431" t="n">
        <x:f>IF(Q113="","",SUMIFS('Damage Ranking'!$A$6:$A$172,'Damage Ranking'!$B$6:$B$172,A113,'Damage Ranking'!$C$6:$C$172,B113))</x:f>
        <x:v>58</x:v>
      </x:c>
      <x:c r="S113" s="431" t="str">
        <x:f>IF(OR(R113="",O113=""),"",R113-O113)</x:f>
      </x:c>
      <x:c r="T113" s="430" t="str">
        <x:f>IF(S113="","No damage score",IF(S113&gt;=20,"Badges much stronger",IF(S113&lt;=-20,"Damage much stronger","Broadly aligned")))</x:f>
        <x:v>No damage score</x:v>
      </x:c>
      <x:c r="U113" s="434" t="n">
        <x:f>IF(Q113="","",Q113*(1-$R$5)+L113*$R$5)</x:f>
        <x:v>43.12987650905824</x:v>
      </x:c>
      <x:c r="V113" s="431" t="n">
        <x:f>IF(U113="","",1+COUNTIF($U$19:$U$186,"&gt;"&amp;U113))</x:f>
        <x:v>58</x:v>
      </x:c>
    </x:row>
    <x:row r="114" ht="24" customHeight="1">
      <x:c r="A114" s="430" t="str">
        <x:v>K170</x:v>
      </x:c>
      <x:c r="B114" s="430" t="str">
        <x:v>(AOT)鸣鸣鸣</x:v>
      </x:c>
      <x:c r="C114" s="431" t="n">
        <x:f>COUNTIFS('Specialisations'!$A$6:$A$527,A114,'Specialisations'!$B$6:$B$527,B114)</x:f>
        <x:v>3</x:v>
      </x:c>
      <x:c r="D114" s="431" t="n">
        <x:f>COUNTIFS('Specialisations'!$A$6:$A$527,A114,'Specialisations'!$B$6:$B$527,B114,'Specialisations'!$P$6:$P$527,"OK")</x:f>
        <x:v>3</x:v>
      </x:c>
      <x:c r="E114" s="431" t="n">
        <x:f>C114-D114</x:f>
        <x:v>0</x:v>
      </x:c>
      <x:c r="F114" s="432" t="n">
        <x:f>IF(C114=0,0,D114/C114)</x:f>
        <x:v>1</x:v>
      </x:c>
      <x:c r="G114" s="433" t="n">
        <x:f>SUMIFS('Specialisations'!$N$6:$N$527,'Specialisations'!$A$6:$A$527,A114,'Specialisations'!$B$6:$B$527,B114,'Specialisations'!$C$6:$C$527,"Guards")</x:f>
        <x:v>0</x:v>
      </x:c>
      <x:c r="H114" s="433" t="n">
        <x:f>SUMIFS('Specialisations'!$N$6:$N$527,'Specialisations'!$A$6:$A$527,A114,'Specialisations'!$B$6:$B$527,B114,'Specialisations'!$C$6:$C$527,"Archers")</x:f>
        <x:v>4284300</x:v>
      </x:c>
      <x:c r="I114" s="433" t="n">
        <x:f>SUMIFS('Specialisations'!$N$6:$N$527,'Specialisations'!$A$6:$A$527,A114,'Specialisations'!$B$6:$B$527,B114,'Specialisations'!$C$6:$C$527,"Cavalry")</x:f>
        <x:v>10888600</x:v>
      </x:c>
      <x:c r="J114" s="433" t="n">
        <x:f>SUMIFS('Specialisations'!$N$6:$N$527,'Specialisations'!$A$6:$A$527,A114,'Specialisations'!$B$6:$B$527,B114,'Specialisations'!$C$6:$C$527,"Siege")</x:f>
        <x:v>0</x:v>
      </x:c>
      <x:c r="K114" s="433" t="n">
        <x:f>SUM(G114:J114)</x:f>
        <x:v>15172900</x:v>
      </x:c>
      <x:c r="L114" s="434" t="n">
        <x:f>IFERROR(100*K114/MAX($K$19:$K$186),0)</x:f>
        <x:v>24.470130213625175</x:v>
      </x:c>
      <x:c r="M114" s="495" t="n">
        <x:f>IF(C114=0,"",SUMIFS('Specialisations'!$Q$6:$Q$527,'Specialisations'!$A$6:$A$527,A114,'Specialisations'!$B$6:$B$527,B114))</x:f>
        <x:v>135.49</x:v>
      </x:c>
      <x:c r="N114" s="431" t="n">
        <x:f>IF(K114=0,"",1+COUNTIFS($A$19:$A$186,A114,$K$19:$K$186,"&gt;"&amp;K114))</x:f>
        <x:v>8</x:v>
      </x:c>
      <x:c r="O114" s="431" t="n">
        <x:f>IF(K114=0,"",1+COUNTIF($K$19:$K$186,"&gt;"&amp;K114))</x:f>
        <x:v>61</x:v>
      </x:c>
      <x:c r="P114" s="430" t="str">
        <x:f>IF(C114=0,"No specialisations recorded",IF(E114&gt;0,"Review missing level","Complete"))</x:f>
        <x:v>Complete</x:v>
      </x:c>
      <x:c r="Q114" s="434" t="n">
        <x:f>IF(COUNTIFS('Damage Ranking'!$B$6:$B$172,A114,'Damage Ranking'!$C$6:$C$172,B114)=0,"",SUMIFS('Damage Ranking'!$D$6:$D$172,'Damage Ranking'!$B$6:$B$172,A114,'Damage Ranking'!$C$6:$C$172,B114))</x:f>
        <x:v>43.70971631568308</x:v>
      </x:c>
      <x:c r="R114" s="431" t="n">
        <x:f>IF(Q114="","",SUMIFS('Damage Ranking'!$A$6:$A$172,'Damage Ranking'!$B$6:$B$172,A114,'Damage Ranking'!$C$6:$C$172,B114))</x:f>
        <x:v>55</x:v>
      </x:c>
      <x:c r="S114" s="431" t="n">
        <x:f>IF(OR(R114="",O114=""),"",R114-O114)</x:f>
        <x:v>-6</x:v>
      </x:c>
      <x:c r="T114" s="430" t="str">
        <x:f>IF(S114="","No damage score",IF(S114&gt;=20,"Badges much stronger",IF(S114&lt;=-20,"Damage much stronger","Broadly aligned")))</x:f>
        <x:v>Broadly aligned</x:v>
      </x:c>
      <x:c r="U114" s="434" t="n">
        <x:f>IF(Q114="","",Q114*(1-$R$5)+L114*$R$5)</x:f>
        <x:v>43.70971631568308</x:v>
      </x:c>
      <x:c r="V114" s="431" t="n">
        <x:f>IF(U114="","",1+COUNTIF($U$19:$U$186,"&gt;"&amp;U114))</x:f>
        <x:v>55</x:v>
      </x:c>
    </x:row>
    <x:row r="115" ht="24" customHeight="1">
      <x:c r="A115" s="430" t="str">
        <x:v>K170</x:v>
      </x:c>
      <x:c r="B115" s="430" t="str">
        <x:v>(AOT)aweirdmind</x:v>
      </x:c>
      <x:c r="C115" s="431" t="n">
        <x:f>COUNTIFS('Specialisations'!$A$6:$A$527,A115,'Specialisations'!$B$6:$B$527,B115)</x:f>
        <x:v>0</x:v>
      </x:c>
      <x:c r="D115" s="431" t="n">
        <x:f>COUNTIFS('Specialisations'!$A$6:$A$527,A115,'Specialisations'!$B$6:$B$527,B115,'Specialisations'!$P$6:$P$527,"OK")</x:f>
        <x:v>0</x:v>
      </x:c>
      <x:c r="E115" s="431" t="n">
        <x:f>C115-D115</x:f>
        <x:v>0</x:v>
      </x:c>
      <x:c r="F115" s="432" t="n">
        <x:f>IF(C115=0,0,D115/C115)</x:f>
        <x:v>0</x:v>
      </x:c>
      <x:c r="G115" s="433" t="n">
        <x:f>SUMIFS('Specialisations'!$N$6:$N$527,'Specialisations'!$A$6:$A$527,A115,'Specialisations'!$B$6:$B$527,B115,'Specialisations'!$C$6:$C$527,"Guards")</x:f>
        <x:v>0</x:v>
      </x:c>
      <x:c r="H115" s="433" t="n">
        <x:f>SUMIFS('Specialisations'!$N$6:$N$527,'Specialisations'!$A$6:$A$527,A115,'Specialisations'!$B$6:$B$527,B115,'Specialisations'!$C$6:$C$527,"Archers")</x:f>
        <x:v>0</x:v>
      </x:c>
      <x:c r="I115" s="433" t="n">
        <x:f>SUMIFS('Specialisations'!$N$6:$N$527,'Specialisations'!$A$6:$A$527,A115,'Specialisations'!$B$6:$B$527,B115,'Specialisations'!$C$6:$C$527,"Cavalry")</x:f>
        <x:v>0</x:v>
      </x:c>
      <x:c r="J115" s="433" t="n">
        <x:f>SUMIFS('Specialisations'!$N$6:$N$527,'Specialisations'!$A$6:$A$527,A115,'Specialisations'!$B$6:$B$527,B115,'Specialisations'!$C$6:$C$527,"Siege")</x:f>
        <x:v>0</x:v>
      </x:c>
      <x:c r="K115" s="433" t="n">
        <x:f>SUM(G115:J115)</x:f>
        <x:v>0</x:v>
      </x:c>
      <x:c r="L115" s="434" t="n">
        <x:f>IFERROR(100*K115/MAX($K$19:$K$186),0)</x:f>
        <x:v>0</x:v>
      </x:c>
      <x:c r="M115" s="495" t="str">
        <x:f>IF(C115=0,"",SUMIFS('Specialisations'!$Q$6:$Q$527,'Specialisations'!$A$6:$A$527,A115,'Specialisations'!$B$6:$B$527,B115))</x:f>
      </x:c>
      <x:c r="N115" s="431" t="str">
        <x:f>IF(K115=0,"",1+COUNTIFS($A$19:$A$186,A115,$K$19:$K$186,"&gt;"&amp;K115))</x:f>
      </x:c>
      <x:c r="O115" s="431" t="str">
        <x:f>IF(K115=0,"",1+COUNTIF($K$19:$K$186,"&gt;"&amp;K115))</x:f>
      </x:c>
      <x:c r="P115" s="430" t="str">
        <x:f>IF(C115=0,"No specialisations recorded",IF(E115&gt;0,"Review missing level","Complete"))</x:f>
        <x:v>No specialisations recorded</x:v>
      </x:c>
      <x:c r="Q115" s="434" t="n">
        <x:f>IF(COUNTIFS('Damage Ranking'!$B$6:$B$172,A115,'Damage Ranking'!$C$6:$C$172,B115)=0,"",SUMIFS('Damage Ranking'!$D$6:$D$172,'Damage Ranking'!$B$6:$B$172,A115,'Damage Ranking'!$C$6:$C$172,B115))</x:f>
        <x:v>54.077189324317835</x:v>
      </x:c>
      <x:c r="R115" s="431" t="n">
        <x:f>IF(Q115="","",SUMIFS('Damage Ranking'!$A$6:$A$172,'Damage Ranking'!$B$6:$B$172,A115,'Damage Ranking'!$C$6:$C$172,B115))</x:f>
        <x:v>31</x:v>
      </x:c>
      <x:c r="S115" s="431" t="str">
        <x:f>IF(OR(R115="",O115=""),"",R115-O115)</x:f>
      </x:c>
      <x:c r="T115" s="430" t="str">
        <x:f>IF(S115="","No damage score",IF(S115&gt;=20,"Badges much stronger",IF(S115&lt;=-20,"Damage much stronger","Broadly aligned")))</x:f>
        <x:v>No damage score</x:v>
      </x:c>
      <x:c r="U115" s="434" t="n">
        <x:f>IF(Q115="","",Q115*(1-$R$5)+L115*$R$5)</x:f>
        <x:v>54.077189324317835</x:v>
      </x:c>
      <x:c r="V115" s="431" t="n">
        <x:f>IF(U115="","",1+COUNTIF($U$19:$U$186,"&gt;"&amp;U115))</x:f>
        <x:v>31</x:v>
      </x:c>
    </x:row>
    <x:row r="116" ht="24" customHeight="1">
      <x:c r="A116" s="430" t="str">
        <x:v>K170</x:v>
      </x:c>
      <x:c r="B116" s="430" t="str">
        <x:v>(AOT)Panda</x:v>
      </x:c>
      <x:c r="C116" s="431" t="n">
        <x:f>COUNTIFS('Specialisations'!$A$6:$A$527,A116,'Specialisations'!$B$6:$B$527,B116)</x:f>
        <x:v>4</x:v>
      </x:c>
      <x:c r="D116" s="431" t="n">
        <x:f>COUNTIFS('Specialisations'!$A$6:$A$527,A116,'Specialisations'!$B$6:$B$527,B116,'Specialisations'!$P$6:$P$527,"OK")</x:f>
        <x:v>4</x:v>
      </x:c>
      <x:c r="E116" s="431" t="n">
        <x:f>C116-D116</x:f>
        <x:v>0</x:v>
      </x:c>
      <x:c r="F116" s="432" t="n">
        <x:f>IF(C116=0,0,D116/C116)</x:f>
        <x:v>1</x:v>
      </x:c>
      <x:c r="G116" s="433" t="n">
        <x:f>SUMIFS('Specialisations'!$N$6:$N$527,'Specialisations'!$A$6:$A$527,A116,'Specialisations'!$B$6:$B$527,B116,'Specialisations'!$C$6:$C$527,"Guards")</x:f>
        <x:v>10334300</x:v>
      </x:c>
      <x:c r="H116" s="433" t="n">
        <x:f>SUMIFS('Specialisations'!$N$6:$N$527,'Specialisations'!$A$6:$A$527,A116,'Specialisations'!$B$6:$B$527,B116,'Specialisations'!$C$6:$C$527,"Archers")</x:f>
        <x:v>0</x:v>
      </x:c>
      <x:c r="I116" s="433" t="n">
        <x:f>SUMIFS('Specialisations'!$N$6:$N$527,'Specialisations'!$A$6:$A$527,A116,'Specialisations'!$B$6:$B$527,B116,'Specialisations'!$C$6:$C$527,"Cavalry")</x:f>
        <x:v>14618600</x:v>
      </x:c>
      <x:c r="J116" s="433" t="n">
        <x:f>SUMIFS('Specialisations'!$N$6:$N$527,'Specialisations'!$A$6:$A$527,A116,'Specialisations'!$B$6:$B$527,B116,'Specialisations'!$C$6:$C$527,"Siege")</x:f>
        <x:v>2004300</x:v>
      </x:c>
      <x:c r="K116" s="433" t="n">
        <x:f>SUM(G116:J116)</x:f>
        <x:v>26957200</x:v>
      </x:c>
      <x:c r="L116" s="434" t="n">
        <x:f>IFERROR(100*K116/MAX($K$19:$K$186),0)</x:f>
        <x:v>43.47528779565783</x:v>
      </x:c>
      <x:c r="M116" s="495" t="n">
        <x:f>IF(C116=0,"",SUMIFS('Specialisations'!$Q$6:$Q$527,'Specialisations'!$A$6:$A$527,A116,'Specialisations'!$B$6:$B$527,B116))</x:f>
        <x:v>65.97999999999999</x:v>
      </x:c>
      <x:c r="N116" s="431" t="n">
        <x:f>IF(K116=0,"",1+COUNTIFS($A$19:$A$186,A116,$K$19:$K$186,"&gt;"&amp;K116))</x:f>
        <x:v>1</x:v>
      </x:c>
      <x:c r="O116" s="431" t="n">
        <x:f>IF(K116=0,"",1+COUNTIF($K$19:$K$186,"&gt;"&amp;K116))</x:f>
        <x:v>9</x:v>
      </x:c>
      <x:c r="P116" s="430" t="str">
        <x:f>IF(C116=0,"No specialisations recorded",IF(E116&gt;0,"Review missing level","Complete"))</x:f>
        <x:v>Complete</x:v>
      </x:c>
      <x:c r="Q116" s="434" t="n">
        <x:f>IF(COUNTIFS('Damage Ranking'!$B$6:$B$172,A116,'Damage Ranking'!$C$6:$C$172,B116)=0,"",SUMIFS('Damage Ranking'!$D$6:$D$172,'Damage Ranking'!$B$6:$B$172,A116,'Damage Ranking'!$C$6:$C$172,B116))</x:f>
        <x:v>45.8842722011278</x:v>
      </x:c>
      <x:c r="R116" s="431" t="n">
        <x:f>IF(Q116="","",SUMIFS('Damage Ranking'!$A$6:$A$172,'Damage Ranking'!$B$6:$B$172,A116,'Damage Ranking'!$C$6:$C$172,B116))</x:f>
        <x:v>48</x:v>
      </x:c>
      <x:c r="S116" s="431" t="n">
        <x:f>IF(OR(R116="",O116=""),"",R116-O116)</x:f>
        <x:v>39</x:v>
      </x:c>
      <x:c r="T116" s="430" t="str">
        <x:f>IF(S116="","No damage score",IF(S116&gt;=20,"Badges much stronger",IF(S116&lt;=-20,"Damage much stronger","Broadly aligned")))</x:f>
        <x:v>Badges much stronger</x:v>
      </x:c>
      <x:c r="U116" s="434" t="n">
        <x:f>IF(Q116="","",Q116*(1-$R$5)+L116*$R$5)</x:f>
        <x:v>45.8842722011278</x:v>
      </x:c>
      <x:c r="V116" s="431" t="n">
        <x:f>IF(U116="","",1+COUNTIF($U$19:$U$186,"&gt;"&amp;U116))</x:f>
        <x:v>48</x:v>
      </x:c>
    </x:row>
    <x:row r="117" ht="24" customHeight="1">
      <x:c r="A117" s="430" t="str">
        <x:v>K170</x:v>
      </x:c>
      <x:c r="B117" s="430" t="str">
        <x:v>(AOT)StFruz</x:v>
      </x:c>
      <x:c r="C117" s="431" t="n">
        <x:f>COUNTIFS('Specialisations'!$A$6:$A$527,A117,'Specialisations'!$B$6:$B$527,B117)</x:f>
        <x:v>4</x:v>
      </x:c>
      <x:c r="D117" s="431" t="n">
        <x:f>COUNTIFS('Specialisations'!$A$6:$A$527,A117,'Specialisations'!$B$6:$B$527,B117,'Specialisations'!$P$6:$P$527,"OK")</x:f>
        <x:v>4</x:v>
      </x:c>
      <x:c r="E117" s="431" t="n">
        <x:f>C117-D117</x:f>
        <x:v>0</x:v>
      </x:c>
      <x:c r="F117" s="432" t="n">
        <x:f>IF(C117=0,0,D117/C117)</x:f>
        <x:v>1</x:v>
      </x:c>
      <x:c r="G117" s="433" t="n">
        <x:f>SUMIFS('Specialisations'!$N$6:$N$527,'Specialisations'!$A$6:$A$527,A117,'Specialisations'!$B$6:$B$527,B117,'Specialisations'!$C$6:$C$527,"Guards")</x:f>
        <x:v>0</x:v>
      </x:c>
      <x:c r="H117" s="433" t="n">
        <x:f>SUMIFS('Specialisations'!$N$6:$N$527,'Specialisations'!$A$6:$A$527,A117,'Specialisations'!$B$6:$B$527,B117,'Specialisations'!$C$6:$C$527,"Archers")</x:f>
        <x:v>184300</x:v>
      </x:c>
      <x:c r="I117" s="433" t="n">
        <x:f>SUMIFS('Specialisations'!$N$6:$N$527,'Specialisations'!$A$6:$A$527,A117,'Specialisations'!$B$6:$B$527,B117,'Specialisations'!$C$6:$C$527,"Cavalry")</x:f>
        <x:v>3724300</x:v>
      </x:c>
      <x:c r="J117" s="433" t="n">
        <x:f>SUMIFS('Specialisations'!$N$6:$N$527,'Specialisations'!$A$6:$A$527,A117,'Specialisations'!$B$6:$B$527,B117,'Specialisations'!$C$6:$C$527,"Siege")</x:f>
        <x:v>11298600</x:v>
      </x:c>
      <x:c r="K117" s="433" t="n">
        <x:f>SUM(G117:J117)</x:f>
        <x:v>15207200</x:v>
      </x:c>
      <x:c r="L117" s="434" t="n">
        <x:f>IFERROR(100*K117/MAX($K$19:$K$186),0)</x:f>
        <x:v>24.525447619416248</x:v>
      </x:c>
      <x:c r="M117" s="495" t="n">
        <x:f>IF(C117=0,"",SUMIFS('Specialisations'!$Q$6:$Q$527,'Specialisations'!$A$6:$A$527,A117,'Specialisations'!$B$6:$B$527,B117))</x:f>
        <x:v>116.34</x:v>
      </x:c>
      <x:c r="N117" s="431" t="n">
        <x:f>IF(K117=0,"",1+COUNTIFS($A$19:$A$186,A117,$K$19:$K$186,"&gt;"&amp;K117))</x:f>
        <x:v>7</x:v>
      </x:c>
      <x:c r="O117" s="431" t="n">
        <x:f>IF(K117=0,"",1+COUNTIF($K$19:$K$186,"&gt;"&amp;K117))</x:f>
        <x:v>60</x:v>
      </x:c>
      <x:c r="P117" s="430" t="str">
        <x:f>IF(C117=0,"No specialisations recorded",IF(E117&gt;0,"Review missing level","Complete"))</x:f>
        <x:v>Complete</x:v>
      </x:c>
      <x:c r="Q117" s="434" t="n">
        <x:f>IF(COUNTIFS('Damage Ranking'!$B$6:$B$172,A117,'Damage Ranking'!$C$6:$C$172,B117)=0,"",SUMIFS('Damage Ranking'!$D$6:$D$172,'Damage Ranking'!$B$6:$B$172,A117,'Damage Ranking'!$C$6:$C$172,B117))</x:f>
        <x:v>57.58631452293807</x:v>
      </x:c>
      <x:c r="R117" s="431" t="n">
        <x:f>IF(Q117="","",SUMIFS('Damage Ranking'!$A$6:$A$172,'Damage Ranking'!$B$6:$B$172,A117,'Damage Ranking'!$C$6:$C$172,B117))</x:f>
        <x:v>27</x:v>
      </x:c>
      <x:c r="S117" s="431" t="n">
        <x:f>IF(OR(R117="",O117=""),"",R117-O117)</x:f>
        <x:v>-33</x:v>
      </x:c>
      <x:c r="T117" s="430" t="str">
        <x:f>IF(S117="","No damage score",IF(S117&gt;=20,"Badges much stronger",IF(S117&lt;=-20,"Damage much stronger","Broadly aligned")))</x:f>
        <x:v>Damage much stronger</x:v>
      </x:c>
      <x:c r="U117" s="434" t="n">
        <x:f>IF(Q117="","",Q117*(1-$R$5)+L117*$R$5)</x:f>
        <x:v>57.58631452293807</x:v>
      </x:c>
      <x:c r="V117" s="431" t="n">
        <x:f>IF(U117="","",1+COUNTIF($U$19:$U$186,"&gt;"&amp;U117))</x:f>
        <x:v>27</x:v>
      </x:c>
    </x:row>
    <x:row r="118" ht="24" customHeight="1">
      <x:c r="A118" s="430" t="str">
        <x:v>K170</x:v>
      </x:c>
      <x:c r="B118" s="430" t="str">
        <x:v>(AOT)WeleS</x:v>
      </x:c>
      <x:c r="C118" s="431" t="n">
        <x:f>COUNTIFS('Specialisations'!$A$6:$A$527,A118,'Specialisations'!$B$6:$B$527,B118)</x:f>
        <x:v>3</x:v>
      </x:c>
      <x:c r="D118" s="431" t="n">
        <x:f>COUNTIFS('Specialisations'!$A$6:$A$527,A118,'Specialisations'!$B$6:$B$527,B118,'Specialisations'!$P$6:$P$527,"OK")</x:f>
        <x:v>3</x:v>
      </x:c>
      <x:c r="E118" s="431" t="n">
        <x:f>C118-D118</x:f>
        <x:v>0</x:v>
      </x:c>
      <x:c r="F118" s="432" t="n">
        <x:f>IF(C118=0,0,D118/C118)</x:f>
        <x:v>1</x:v>
      </x:c>
      <x:c r="G118" s="433" t="n">
        <x:f>SUMIFS('Specialisations'!$N$6:$N$527,'Specialisations'!$A$6:$A$527,A118,'Specialisations'!$B$6:$B$527,B118,'Specialisations'!$C$6:$C$527,"Guards")</x:f>
        <x:v>6934300</x:v>
      </x:c>
      <x:c r="H118" s="433" t="n">
        <x:f>SUMIFS('Specialisations'!$N$6:$N$527,'Specialisations'!$A$6:$A$527,A118,'Specialisations'!$B$6:$B$527,B118,'Specialisations'!$C$6:$C$527,"Archers")</x:f>
        <x:v>8334300</x:v>
      </x:c>
      <x:c r="I118" s="433" t="n">
        <x:f>SUMIFS('Specialisations'!$N$6:$N$527,'Specialisations'!$A$6:$A$527,A118,'Specialisations'!$B$6:$B$527,B118,'Specialisations'!$C$6:$C$527,"Cavalry")</x:f>
        <x:v>5884300</x:v>
      </x:c>
      <x:c r="J118" s="433" t="n">
        <x:f>SUMIFS('Specialisations'!$N$6:$N$527,'Specialisations'!$A$6:$A$527,A118,'Specialisations'!$B$6:$B$527,B118,'Specialisations'!$C$6:$C$527,"Siege")</x:f>
        <x:v>0</x:v>
      </x:c>
      <x:c r="K118" s="433" t="n">
        <x:f>SUM(G118:J118)</x:f>
        <x:v>21152900</x:v>
      </x:c>
      <x:c r="L118" s="434" t="n">
        <x:f>IFERROR(100*K118/MAX($K$19:$K$186),0)</x:f>
        <x:v>34.11438929906557</x:v>
      </x:c>
      <x:c r="M118" s="495" t="n">
        <x:f>IF(C118=0,"",SUMIFS('Specialisations'!$Q$6:$Q$527,'Specialisations'!$A$6:$A$527,A118,'Specialisations'!$B$6:$B$527,B118))</x:f>
        <x:v>51.84</x:v>
      </x:c>
      <x:c r="N118" s="431" t="n">
        <x:f>IF(K118=0,"",1+COUNTIFS($A$19:$A$186,A118,$K$19:$K$186,"&gt;"&amp;K118))</x:f>
        <x:v>5</x:v>
      </x:c>
      <x:c r="O118" s="431" t="n">
        <x:f>IF(K118=0,"",1+COUNTIF($K$19:$K$186,"&gt;"&amp;K118))</x:f>
        <x:v>27</x:v>
      </x:c>
      <x:c r="P118" s="430" t="str">
        <x:f>IF(C118=0,"No specialisations recorded",IF(E118&gt;0,"Review missing level","Complete"))</x:f>
        <x:v>Complete</x:v>
      </x:c>
      <x:c r="Q118" s="434" t="n">
        <x:f>IF(COUNTIFS('Damage Ranking'!$B$6:$B$172,A118,'Damage Ranking'!$C$6:$C$172,B118)=0,"",SUMIFS('Damage Ranking'!$D$6:$D$172,'Damage Ranking'!$B$6:$B$172,A118,'Damage Ranking'!$C$6:$C$172,B118))</x:f>
        <x:v>54.75042271157102</x:v>
      </x:c>
      <x:c r="R118" s="431" t="n">
        <x:f>IF(Q118="","",SUMIFS('Damage Ranking'!$A$6:$A$172,'Damage Ranking'!$B$6:$B$172,A118,'Damage Ranking'!$C$6:$C$172,B118))</x:f>
        <x:v>30</x:v>
      </x:c>
      <x:c r="S118" s="431" t="n">
        <x:f>IF(OR(R118="",O118=""),"",R118-O118)</x:f>
        <x:v>3</x:v>
      </x:c>
      <x:c r="T118" s="430" t="str">
        <x:f>IF(S118="","No damage score",IF(S118&gt;=20,"Badges much stronger",IF(S118&lt;=-20,"Damage much stronger","Broadly aligned")))</x:f>
        <x:v>Broadly aligned</x:v>
      </x:c>
      <x:c r="U118" s="434" t="n">
        <x:f>IF(Q118="","",Q118*(1-$R$5)+L118*$R$5)</x:f>
        <x:v>54.75042271157102</x:v>
      </x:c>
      <x:c r="V118" s="431" t="n">
        <x:f>IF(U118="","",1+COUNTIF($U$19:$U$186,"&gt;"&amp;U118))</x:f>
        <x:v>30</x:v>
      </x:c>
    </x:row>
    <x:row r="119" ht="24" customHeight="1">
      <x:c r="A119" s="430" t="str">
        <x:v>K170</x:v>
      </x:c>
      <x:c r="B119" s="430" t="str">
        <x:v>(AOT)Doctopussy</x:v>
      </x:c>
      <x:c r="C119" s="431" t="n">
        <x:f>COUNTIFS('Specialisations'!$A$6:$A$527,A119,'Specialisations'!$B$6:$B$527,B119)</x:f>
        <x:v>5</x:v>
      </x:c>
      <x:c r="D119" s="431" t="n">
        <x:f>COUNTIFS('Specialisations'!$A$6:$A$527,A119,'Specialisations'!$B$6:$B$527,B119,'Specialisations'!$P$6:$P$527,"OK")</x:f>
        <x:v>5</x:v>
      </x:c>
      <x:c r="E119" s="431" t="n">
        <x:f>C119-D119</x:f>
        <x:v>0</x:v>
      </x:c>
      <x:c r="F119" s="432" t="n">
        <x:f>IF(C119=0,0,D119/C119)</x:f>
        <x:v>1</x:v>
      </x:c>
      <x:c r="G119" s="433" t="n">
        <x:f>SUMIFS('Specialisations'!$N$6:$N$527,'Specialisations'!$A$6:$A$527,A119,'Specialisations'!$B$6:$B$527,B119,'Specialisations'!$C$6:$C$527,"Guards")</x:f>
        <x:v>3724300</x:v>
      </x:c>
      <x:c r="H119" s="433" t="n">
        <x:f>SUMIFS('Specialisations'!$N$6:$N$527,'Specialisations'!$A$6:$A$527,A119,'Specialisations'!$B$6:$B$527,B119,'Specialisations'!$C$6:$C$527,"Archers")</x:f>
        <x:v>3287300</x:v>
      </x:c>
      <x:c r="I119" s="433" t="n">
        <x:f>SUMIFS('Specialisations'!$N$6:$N$527,'Specialisations'!$A$6:$A$527,A119,'Specialisations'!$B$6:$B$527,B119,'Specialisations'!$C$6:$C$527,"Cavalry")</x:f>
        <x:v>6934300</x:v>
      </x:c>
      <x:c r="J119" s="433" t="n">
        <x:f>SUMIFS('Specialisations'!$N$6:$N$527,'Specialisations'!$A$6:$A$527,A119,'Specialisations'!$B$6:$B$527,B119,'Specialisations'!$C$6:$C$527,"Siege")</x:f>
        <x:v>864300</x:v>
      </x:c>
      <x:c r="K119" s="433" t="n">
        <x:f>SUM(G119:J119)</x:f>
        <x:v>14810200</x:v>
      </x:c>
      <x:c r="L119" s="434" t="n">
        <x:f>IFERROR(100*K119/MAX($K$19:$K$186),0)</x:f>
        <x:v>23.885184934312598</x:v>
      </x:c>
      <x:c r="M119" s="495" t="n">
        <x:f>IF(C119=0,"",SUMIFS('Specialisations'!$Q$6:$Q$527,'Specialisations'!$A$6:$A$527,A119,'Specialisations'!$B$6:$B$527,B119))</x:f>
        <x:v>59.879999999999995</x:v>
      </x:c>
      <x:c r="N119" s="431" t="n">
        <x:f>IF(K119=0,"",1+COUNTIFS($A$19:$A$186,A119,$K$19:$K$186,"&gt;"&amp;K119))</x:f>
        <x:v>9</x:v>
      </x:c>
      <x:c r="O119" s="431" t="n">
        <x:f>IF(K119=0,"",1+COUNTIF($K$19:$K$186,"&gt;"&amp;K119))</x:f>
        <x:v>63</x:v>
      </x:c>
      <x:c r="P119" s="430" t="str">
        <x:f>IF(C119=0,"No specialisations recorded",IF(E119&gt;0,"Review missing level","Complete"))</x:f>
        <x:v>Complete</x:v>
      </x:c>
      <x:c r="Q119" s="434" t="n">
        <x:f>IF(COUNTIFS('Damage Ranking'!$B$6:$B$172,A119,'Damage Ranking'!$C$6:$C$172,B119)=0,"",SUMIFS('Damage Ranking'!$D$6:$D$172,'Damage Ranking'!$B$6:$B$172,A119,'Damage Ranking'!$C$6:$C$172,B119))</x:f>
        <x:v>42.2900156327845</x:v>
      </x:c>
      <x:c r="R119" s="431" t="n">
        <x:f>IF(Q119="","",SUMIFS('Damage Ranking'!$A$6:$A$172,'Damage Ranking'!$B$6:$B$172,A119,'Damage Ranking'!$C$6:$C$172,B119))</x:f>
        <x:v>59</x:v>
      </x:c>
      <x:c r="S119" s="431" t="n">
        <x:f>IF(OR(R119="",O119=""),"",R119-O119)</x:f>
        <x:v>-4</x:v>
      </x:c>
      <x:c r="T119" s="430" t="str">
        <x:f>IF(S119="","No damage score",IF(S119&gt;=20,"Badges much stronger",IF(S119&lt;=-20,"Damage much stronger","Broadly aligned")))</x:f>
        <x:v>Broadly aligned</x:v>
      </x:c>
      <x:c r="U119" s="434" t="n">
        <x:f>IF(Q119="","",Q119*(1-$R$5)+L119*$R$5)</x:f>
        <x:v>42.2900156327845</x:v>
      </x:c>
      <x:c r="V119" s="431" t="n">
        <x:f>IF(U119="","",1+COUNTIF($U$19:$U$186,"&gt;"&amp;U119))</x:f>
        <x:v>59</x:v>
      </x:c>
    </x:row>
    <x:row r="120" ht="24" customHeight="1">
      <x:c r="A120" s="430" t="str">
        <x:v>K170</x:v>
      </x:c>
      <x:c r="B120" s="430" t="str">
        <x:v>(AOT)SugarDADDY</x:v>
      </x:c>
      <x:c r="C120" s="431" t="n">
        <x:f>COUNTIFS('Specialisations'!$A$6:$A$527,A120,'Specialisations'!$B$6:$B$527,B120)</x:f>
        <x:v>4</x:v>
      </x:c>
      <x:c r="D120" s="431" t="n">
        <x:f>COUNTIFS('Specialisations'!$A$6:$A$527,A120,'Specialisations'!$B$6:$B$527,B120,'Specialisations'!$P$6:$P$527,"OK")</x:f>
        <x:v>4</x:v>
      </x:c>
      <x:c r="E120" s="431" t="n">
        <x:f>C120-D120</x:f>
        <x:v>0</x:v>
      </x:c>
      <x:c r="F120" s="432" t="n">
        <x:f>IF(C120=0,0,D120/C120)</x:f>
        <x:v>1</x:v>
      </x:c>
      <x:c r="G120" s="433" t="n">
        <x:f>SUMIFS('Specialisations'!$N$6:$N$527,'Specialisations'!$A$6:$A$527,A120,'Specialisations'!$B$6:$B$527,B120,'Specialisations'!$C$6:$C$527,"Guards")</x:f>
        <x:v>0</x:v>
      </x:c>
      <x:c r="H120" s="433" t="n">
        <x:f>SUMIFS('Specialisations'!$N$6:$N$527,'Specialisations'!$A$6:$A$527,A120,'Specialisations'!$B$6:$B$527,B120,'Specialisations'!$C$6:$C$527,"Archers")</x:f>
        <x:v>271800</x:v>
      </x:c>
      <x:c r="I120" s="433" t="n">
        <x:f>SUMIFS('Specialisations'!$N$6:$N$527,'Specialisations'!$A$6:$A$527,A120,'Specialisations'!$B$6:$B$527,B120,'Specialisations'!$C$6:$C$527,"Cavalry")</x:f>
        <x:v>4488600</x:v>
      </x:c>
      <x:c r="J120" s="433" t="n">
        <x:f>SUMIFS('Specialisations'!$N$6:$N$527,'Specialisations'!$A$6:$A$527,A120,'Specialisations'!$B$6:$B$527,B120,'Specialisations'!$C$6:$C$527,"Siege")</x:f>
        <x:v>1624300</x:v>
      </x:c>
      <x:c r="K120" s="433" t="n">
        <x:f>SUM(G120:J120)</x:f>
        <x:v>6384700</x:v>
      </x:c>
      <x:c r="L120" s="434" t="n">
        <x:f>IFERROR(100*K120/MAX($K$19:$K$186),0)</x:f>
        <x:v>10.296939963680817</x:v>
      </x:c>
      <x:c r="M120" s="495" t="n">
        <x:f>IF(C120=0,"",SUMIFS('Specialisations'!$Q$6:$Q$527,'Specialisations'!$A$6:$A$527,A120,'Specialisations'!$B$6:$B$527,B120))</x:f>
        <x:v>80.39</x:v>
      </x:c>
      <x:c r="N120" s="431" t="n">
        <x:f>IF(K120=0,"",1+COUNTIFS($A$19:$A$186,A120,$K$19:$K$186,"&gt;"&amp;K120))</x:f>
        <x:v>20</x:v>
      </x:c>
      <x:c r="O120" s="431" t="n">
        <x:f>IF(K120=0,"",1+COUNTIF($K$19:$K$186,"&gt;"&amp;K120))</x:f>
        <x:v>145</x:v>
      </x:c>
      <x:c r="P120" s="430" t="str">
        <x:f>IF(C120=0,"No specialisations recorded",IF(E120&gt;0,"Review missing level","Complete"))</x:f>
        <x:v>Complete</x:v>
      </x:c>
      <x:c r="Q120" s="434" t="n">
        <x:f>IF(COUNTIFS('Damage Ranking'!$B$6:$B$172,A120,'Damage Ranking'!$C$6:$C$172,B120)=0,"",SUMIFS('Damage Ranking'!$D$6:$D$172,'Damage Ranking'!$B$6:$B$172,A120,'Damage Ranking'!$C$6:$C$172,B120))</x:f>
        <x:v>44.49147086264604</x:v>
      </x:c>
      <x:c r="R120" s="431" t="n">
        <x:f>IF(Q120="","",SUMIFS('Damage Ranking'!$A$6:$A$172,'Damage Ranking'!$B$6:$B$172,A120,'Damage Ranking'!$C$6:$C$172,B120))</x:f>
        <x:v>52</x:v>
      </x:c>
      <x:c r="S120" s="431" t="n">
        <x:f>IF(OR(R120="",O120=""),"",R120-O120)</x:f>
        <x:v>-93</x:v>
      </x:c>
      <x:c r="T120" s="430" t="str">
        <x:f>IF(S120="","No damage score",IF(S120&gt;=20,"Badges much stronger",IF(S120&lt;=-20,"Damage much stronger","Broadly aligned")))</x:f>
        <x:v>Damage much stronger</x:v>
      </x:c>
      <x:c r="U120" s="434" t="n">
        <x:f>IF(Q120="","",Q120*(1-$R$5)+L120*$R$5)</x:f>
        <x:v>44.49147086264604</x:v>
      </x:c>
      <x:c r="V120" s="431" t="n">
        <x:f>IF(U120="","",1+COUNTIF($U$19:$U$186,"&gt;"&amp;U120))</x:f>
        <x:v>52</x:v>
      </x:c>
    </x:row>
    <x:row r="121" ht="24" customHeight="1">
      <x:c r="A121" s="430" t="str">
        <x:v>K170</x:v>
      </x:c>
      <x:c r="B121" s="430" t="str">
        <x:v>(AOT)MONKEY</x:v>
      </x:c>
      <x:c r="C121" s="431" t="n">
        <x:f>COUNTIFS('Specialisations'!$A$6:$A$527,A121,'Specialisations'!$B$6:$B$527,B121)</x:f>
        <x:v>3</x:v>
      </x:c>
      <x:c r="D121" s="431" t="n">
        <x:f>COUNTIFS('Specialisations'!$A$6:$A$527,A121,'Specialisations'!$B$6:$B$527,B121,'Specialisations'!$P$6:$P$527,"OK")</x:f>
        <x:v>3</x:v>
      </x:c>
      <x:c r="E121" s="431" t="n">
        <x:f>C121-D121</x:f>
        <x:v>0</x:v>
      </x:c>
      <x:c r="F121" s="432" t="n">
        <x:f>IF(C121=0,0,D121/C121)</x:f>
        <x:v>1</x:v>
      </x:c>
      <x:c r="G121" s="433" t="n">
        <x:f>SUMIFS('Specialisations'!$N$6:$N$527,'Specialisations'!$A$6:$A$527,A121,'Specialisations'!$B$6:$B$527,B121,'Specialisations'!$C$6:$C$527,"Guards")</x:f>
        <x:v>2244300</x:v>
      </x:c>
      <x:c r="H121" s="433" t="n">
        <x:f>SUMIFS('Specialisations'!$N$6:$N$527,'Specialisations'!$A$6:$A$527,A121,'Specialisations'!$B$6:$B$527,B121,'Specialisations'!$C$6:$C$527,"Archers")</x:f>
        <x:v>2244300</x:v>
      </x:c>
      <x:c r="I121" s="433" t="n">
        <x:f>SUMIFS('Specialisations'!$N$6:$N$527,'Specialisations'!$A$6:$A$527,A121,'Specialisations'!$B$6:$B$527,B121,'Specialisations'!$C$6:$C$527,"Cavalry")</x:f>
        <x:v>4284300</x:v>
      </x:c>
      <x:c r="J121" s="433" t="n">
        <x:f>SUMIFS('Specialisations'!$N$6:$N$527,'Specialisations'!$A$6:$A$527,A121,'Specialisations'!$B$6:$B$527,B121,'Specialisations'!$C$6:$C$527,"Siege")</x:f>
        <x:v>0</x:v>
      </x:c>
      <x:c r="K121" s="433" t="n">
        <x:f>SUM(G121:J121)</x:f>
        <x:v>8772900</x:v>
      </x:c>
      <x:c r="L121" s="434" t="n">
        <x:f>IFERROR(100*K121/MAX($K$19:$K$186),0)</x:f>
        <x:v>14.14851513890636</x:v>
      </x:c>
      <x:c r="M121" s="495" t="n">
        <x:f>IF(C121=0,"",SUMIFS('Specialisations'!$Q$6:$Q$527,'Specialisations'!$A$6:$A$527,A121,'Specialisations'!$B$6:$B$527,B121))</x:f>
        <x:v>41.98</x:v>
      </x:c>
      <x:c r="N121" s="431" t="n">
        <x:f>IF(K121=0,"",1+COUNTIFS($A$19:$A$186,A121,$K$19:$K$186,"&gt;"&amp;K121))</x:f>
        <x:v>19</x:v>
      </x:c>
      <x:c r="O121" s="431" t="n">
        <x:f>IF(K121=0,"",1+COUNTIF($K$19:$K$186,"&gt;"&amp;K121))</x:f>
        <x:v>128</x:v>
      </x:c>
      <x:c r="P121" s="430" t="str">
        <x:f>IF(C121=0,"No specialisations recorded",IF(E121&gt;0,"Review missing level","Complete"))</x:f>
        <x:v>Complete</x:v>
      </x:c>
      <x:c r="Q121" s="434" t="n">
        <x:f>IF(COUNTIFS('Damage Ranking'!$B$6:$B$172,A121,'Damage Ranking'!$C$6:$C$172,B121)=0,"",SUMIFS('Damage Ranking'!$D$6:$D$172,'Damage Ranking'!$B$6:$B$172,A121,'Damage Ranking'!$C$6:$C$172,B121))</x:f>
        <x:v>37.85431675851686</x:v>
      </x:c>
      <x:c r="R121" s="431" t="n">
        <x:f>IF(Q121="","",SUMIFS('Damage Ranking'!$A$6:$A$172,'Damage Ranking'!$B$6:$B$172,A121,'Damage Ranking'!$C$6:$C$172,B121))</x:f>
        <x:v>74</x:v>
      </x:c>
      <x:c r="S121" s="431" t="n">
        <x:f>IF(OR(R121="",O121=""),"",R121-O121)</x:f>
        <x:v>-54</x:v>
      </x:c>
      <x:c r="T121" s="430" t="str">
        <x:f>IF(S121="","No damage score",IF(S121&gt;=20,"Badges much stronger",IF(S121&lt;=-20,"Damage much stronger","Broadly aligned")))</x:f>
        <x:v>Damage much stronger</x:v>
      </x:c>
      <x:c r="U121" s="434" t="n">
        <x:f>IF(Q121="","",Q121*(1-$R$5)+L121*$R$5)</x:f>
        <x:v>37.85431675851686</x:v>
      </x:c>
      <x:c r="V121" s="431" t="n">
        <x:f>IF(U121="","",1+COUNTIF($U$19:$U$186,"&gt;"&amp;U121))</x:f>
        <x:v>74</x:v>
      </x:c>
    </x:row>
    <x:row r="122" ht="24" customHeight="1">
      <x:c r="A122" s="430" t="str">
        <x:v>K170</x:v>
      </x:c>
      <x:c r="B122" s="430" t="str">
        <x:v>(AOT)Paian</x:v>
      </x:c>
      <x:c r="C122" s="431" t="n">
        <x:f>COUNTIFS('Specialisations'!$A$6:$A$527,A122,'Specialisations'!$B$6:$B$527,B122)</x:f>
        <x:v>2</x:v>
      </x:c>
      <x:c r="D122" s="431" t="n">
        <x:f>COUNTIFS('Specialisations'!$A$6:$A$527,A122,'Specialisations'!$B$6:$B$527,B122,'Specialisations'!$P$6:$P$527,"OK")</x:f>
        <x:v>2</x:v>
      </x:c>
      <x:c r="E122" s="431" t="n">
        <x:f>C122-D122</x:f>
        <x:v>0</x:v>
      </x:c>
      <x:c r="F122" s="432" t="n">
        <x:f>IF(C122=0,0,D122/C122)</x:f>
        <x:v>1</x:v>
      </x:c>
      <x:c r="G122" s="433" t="n">
        <x:f>SUMIFS('Specialisations'!$N$6:$N$527,'Specialisations'!$A$6:$A$527,A122,'Specialisations'!$B$6:$B$527,B122,'Specialisations'!$C$6:$C$527,"Guards")</x:f>
        <x:v>2244300</x:v>
      </x:c>
      <x:c r="H122" s="433" t="n">
        <x:f>SUMIFS('Specialisations'!$N$6:$N$527,'Specialisations'!$A$6:$A$527,A122,'Specialisations'!$B$6:$B$527,B122,'Specialisations'!$C$6:$C$527,"Archers")</x:f>
        <x:v>0</x:v>
      </x:c>
      <x:c r="I122" s="433" t="n">
        <x:f>SUMIFS('Specialisations'!$N$6:$N$527,'Specialisations'!$A$6:$A$527,A122,'Specialisations'!$B$6:$B$527,B122,'Specialisations'!$C$6:$C$527,"Cavalry")</x:f>
        <x:v>3244300</x:v>
      </x:c>
      <x:c r="J122" s="433" t="n">
        <x:f>SUMIFS('Specialisations'!$N$6:$N$527,'Specialisations'!$A$6:$A$527,A122,'Specialisations'!$B$6:$B$527,B122,'Specialisations'!$C$6:$C$527,"Siege")</x:f>
        <x:v>0</x:v>
      </x:c>
      <x:c r="K122" s="433" t="n">
        <x:f>SUM(G122:J122)</x:f>
        <x:v>5488600</x:v>
      </x:c>
      <x:c r="L122" s="434" t="n">
        <x:f>IFERROR(100*K122/MAX($K$19:$K$186),0)</x:f>
        <x:v>8.85175257798464</x:v>
      </x:c>
      <x:c r="M122" s="495" t="n">
        <x:f>IF(C122=0,"",SUMIFS('Specialisations'!$Q$6:$Q$527,'Specialisations'!$A$6:$A$527,A122,'Specialisations'!$B$6:$B$527,B122))</x:f>
        <x:v>8.239999999999998</x:v>
      </x:c>
      <x:c r="N122" s="431" t="n">
        <x:f>IF(K122=0,"",1+COUNTIFS($A$19:$A$186,A122,$K$19:$K$186,"&gt;"&amp;K122))</x:f>
        <x:v>21</x:v>
      </x:c>
      <x:c r="O122" s="431" t="n">
        <x:f>IF(K122=0,"",1+COUNTIF($K$19:$K$186,"&gt;"&amp;K122))</x:f>
        <x:v>149</x:v>
      </x:c>
      <x:c r="P122" s="430" t="str">
        <x:f>IF(C122=0,"No specialisations recorded",IF(E122&gt;0,"Review missing level","Complete"))</x:f>
        <x:v>Complete</x:v>
      </x:c>
      <x:c r="Q122" s="434" t="n">
        <x:f>IF(COUNTIFS('Damage Ranking'!$B$6:$B$172,A122,'Damage Ranking'!$C$6:$C$172,B122)=0,"",SUMIFS('Damage Ranking'!$D$6:$D$172,'Damage Ranking'!$B$6:$B$172,A122,'Damage Ranking'!$C$6:$C$172,B122))</x:f>
        <x:v>8.6263810139254</x:v>
      </x:c>
      <x:c r="R122" s="431" t="n">
        <x:f>IF(Q122="","",SUMIFS('Damage Ranking'!$A$6:$A$172,'Damage Ranking'!$B$6:$B$172,A122,'Damage Ranking'!$C$6:$C$172,B122))</x:f>
        <x:v>155</x:v>
      </x:c>
      <x:c r="S122" s="431" t="n">
        <x:f>IF(OR(R122="",O122=""),"",R122-O122)</x:f>
        <x:v>6</x:v>
      </x:c>
      <x:c r="T122" s="430" t="str">
        <x:f>IF(S122="","No damage score",IF(S122&gt;=20,"Badges much stronger",IF(S122&lt;=-20,"Damage much stronger","Broadly aligned")))</x:f>
        <x:v>Broadly aligned</x:v>
      </x:c>
      <x:c r="U122" s="434" t="n">
        <x:f>IF(Q122="","",Q122*(1-$R$5)+L122*$R$5)</x:f>
        <x:v>8.6263810139254</x:v>
      </x:c>
      <x:c r="V122" s="431" t="n">
        <x:f>IF(U122="","",1+COUNTIF($U$19:$U$186,"&gt;"&amp;U122))</x:f>
        <x:v>155</x:v>
      </x:c>
    </x:row>
    <x:row r="123" ht="24" customHeight="1">
      <x:c r="A123" s="430" t="str">
        <x:v>K170</x:v>
      </x:c>
      <x:c r="B123" s="430" t="str">
        <x:v>(AOT)Matis</x:v>
      </x:c>
      <x:c r="C123" s="431" t="n">
        <x:f>COUNTIFS('Specialisations'!$A$6:$A$527,A123,'Specialisations'!$B$6:$B$527,B123)</x:f>
        <x:v>3</x:v>
      </x:c>
      <x:c r="D123" s="431" t="n">
        <x:f>COUNTIFS('Specialisations'!$A$6:$A$527,A123,'Specialisations'!$B$6:$B$527,B123,'Specialisations'!$P$6:$P$527,"OK")</x:f>
        <x:v>3</x:v>
      </x:c>
      <x:c r="E123" s="431" t="n">
        <x:f>C123-D123</x:f>
        <x:v>0</x:v>
      </x:c>
      <x:c r="F123" s="432" t="n">
        <x:f>IF(C123=0,0,D123/C123)</x:f>
        <x:v>1</x:v>
      </x:c>
      <x:c r="G123" s="433" t="n">
        <x:f>SUMIFS('Specialisations'!$N$6:$N$527,'Specialisations'!$A$6:$A$527,A123,'Specialisations'!$B$6:$B$527,B123,'Specialisations'!$C$6:$C$527,"Guards")</x:f>
        <x:v>6934300</x:v>
      </x:c>
      <x:c r="H123" s="433" t="n">
        <x:f>SUMIFS('Specialisations'!$N$6:$N$527,'Specialisations'!$A$6:$A$527,A123,'Specialisations'!$B$6:$B$527,B123,'Specialisations'!$C$6:$C$527,"Archers")</x:f>
        <x:v>619300</x:v>
      </x:c>
      <x:c r="I123" s="433" t="n">
        <x:f>SUMIFS('Specialisations'!$N$6:$N$527,'Specialisations'!$A$6:$A$527,A123,'Specialisations'!$B$6:$B$527,B123,'Specialisations'!$C$6:$C$527,"Cavalry")</x:f>
        <x:v>2844300</x:v>
      </x:c>
      <x:c r="J123" s="433" t="n">
        <x:f>SUMIFS('Specialisations'!$N$6:$N$527,'Specialisations'!$A$6:$A$527,A123,'Specialisations'!$B$6:$B$527,B123,'Specialisations'!$C$6:$C$527,"Siege")</x:f>
        <x:v>0</x:v>
      </x:c>
      <x:c r="K123" s="433" t="n">
        <x:f>SUM(G123:J123)</x:f>
        <x:v>10397900</x:v>
      </x:c>
      <x:c r="L123" s="434" t="n">
        <x:f>IFERROR(100*K123/MAX($K$19:$K$186),0)</x:f>
        <x:v>16.769237716471686</x:v>
      </x:c>
      <x:c r="M123" s="495" t="n">
        <x:f>IF(C123=0,"",SUMIFS('Specialisations'!$Q$6:$Q$527,'Specialisations'!$A$6:$A$527,A123,'Specialisations'!$B$6:$B$527,B123))</x:f>
        <x:v>-10.369999999999997</x:v>
      </x:c>
      <x:c r="N123" s="431" t="n">
        <x:f>IF(K123=0,"",1+COUNTIFS($A$19:$A$186,A123,$K$19:$K$186,"&gt;"&amp;K123))</x:f>
        <x:v>15</x:v>
      </x:c>
      <x:c r="O123" s="431" t="n">
        <x:f>IF(K123=0,"",1+COUNTIF($K$19:$K$186,"&gt;"&amp;K123))</x:f>
        <x:v>110</x:v>
      </x:c>
      <x:c r="P123" s="430" t="str">
        <x:f>IF(C123=0,"No specialisations recorded",IF(E123&gt;0,"Review missing level","Complete"))</x:f>
        <x:v>Complete</x:v>
      </x:c>
      <x:c r="Q123" s="434" t="n">
        <x:f>IF(COUNTIFS('Damage Ranking'!$B$6:$B$172,A123,'Damage Ranking'!$C$6:$C$172,B123)=0,"",SUMIFS('Damage Ranking'!$D$6:$D$172,'Damage Ranking'!$B$6:$B$172,A123,'Damage Ranking'!$C$6:$C$172,B123))</x:f>
        <x:v>22.09184983619095</x:v>
      </x:c>
      <x:c r="R123" s="431" t="n">
        <x:f>IF(Q123="","",SUMIFS('Damage Ranking'!$A$6:$A$172,'Damage Ranking'!$B$6:$B$172,A123,'Damage Ranking'!$C$6:$C$172,B123))</x:f>
        <x:v>119</x:v>
      </x:c>
      <x:c r="S123" s="431" t="n">
        <x:f>IF(OR(R123="",O123=""),"",R123-O123)</x:f>
        <x:v>9</x:v>
      </x:c>
      <x:c r="T123" s="430" t="str">
        <x:f>IF(S123="","No damage score",IF(S123&gt;=20,"Badges much stronger",IF(S123&lt;=-20,"Damage much stronger","Broadly aligned")))</x:f>
        <x:v>Broadly aligned</x:v>
      </x:c>
      <x:c r="U123" s="434" t="n">
        <x:f>IF(Q123="","",Q123*(1-$R$5)+L123*$R$5)</x:f>
        <x:v>22.09184983619095</x:v>
      </x:c>
      <x:c r="V123" s="431" t="n">
        <x:f>IF(U123="","",1+COUNTIF($U$19:$U$186,"&gt;"&amp;U123))</x:f>
        <x:v>119</x:v>
      </x:c>
    </x:row>
    <x:row r="124" ht="24" customHeight="1">
      <x:c r="A124" s="430" t="str">
        <x:v>K170</x:v>
      </x:c>
      <x:c r="B124" s="430" t="str">
        <x:v>(AOT)BAT</x:v>
      </x:c>
      <x:c r="C124" s="431" t="n">
        <x:f>COUNTIFS('Specialisations'!$A$6:$A$527,A124,'Specialisations'!$B$6:$B$527,B124)</x:f>
        <x:v>3</x:v>
      </x:c>
      <x:c r="D124" s="431" t="n">
        <x:f>COUNTIFS('Specialisations'!$A$6:$A$527,A124,'Specialisations'!$B$6:$B$527,B124,'Specialisations'!$P$6:$P$527,"OK")</x:f>
        <x:v>3</x:v>
      </x:c>
      <x:c r="E124" s="431" t="n">
        <x:f>C124-D124</x:f>
        <x:v>0</x:v>
      </x:c>
      <x:c r="F124" s="432" t="n">
        <x:f>IF(C124=0,0,D124/C124)</x:f>
        <x:v>1</x:v>
      </x:c>
      <x:c r="G124" s="433" t="n">
        <x:f>SUMIFS('Specialisations'!$N$6:$N$527,'Specialisations'!$A$6:$A$527,A124,'Specialisations'!$B$6:$B$527,B124,'Specialisations'!$C$6:$C$527,"Guards")</x:f>
        <x:v>6934300</x:v>
      </x:c>
      <x:c r="H124" s="433" t="n">
        <x:f>SUMIFS('Specialisations'!$N$6:$N$527,'Specialisations'!$A$6:$A$527,A124,'Specialisations'!$B$6:$B$527,B124,'Specialisations'!$C$6:$C$527,"Archers")</x:f>
        <x:v>0</x:v>
      </x:c>
      <x:c r="I124" s="433" t="n">
        <x:f>SUMIFS('Specialisations'!$N$6:$N$527,'Specialisations'!$A$6:$A$527,A124,'Specialisations'!$B$6:$B$527,B124,'Specialisations'!$C$6:$C$527,"Cavalry")</x:f>
        <x:v>5488600</x:v>
      </x:c>
      <x:c r="J124" s="433" t="n">
        <x:f>SUMIFS('Specialisations'!$N$6:$N$527,'Specialisations'!$A$6:$A$527,A124,'Specialisations'!$B$6:$B$527,B124,'Specialisations'!$C$6:$C$527,"Siege")</x:f>
        <x:v>0</x:v>
      </x:c>
      <x:c r="K124" s="433" t="n">
        <x:f>SUM(G124:J124)</x:f>
        <x:v>12422900</x:v>
      </x:c>
      <x:c r="L124" s="434" t="n">
        <x:f>IFERROR(100*K124/MAX($K$19:$K$186),0)</x:f>
        <x:v>20.035061236206936</x:v>
      </x:c>
      <x:c r="M124" s="495" t="n">
        <x:f>IF(C124=0,"",SUMIFS('Specialisations'!$Q$6:$Q$527,'Specialisations'!$A$6:$A$527,A124,'Specialisations'!$B$6:$B$527,B124))</x:f>
        <x:v>11.979999999999993</x:v>
      </x:c>
      <x:c r="N124" s="431" t="n">
        <x:f>IF(K124=0,"",1+COUNTIFS($A$19:$A$186,A124,$K$19:$K$186,"&gt;"&amp;K124))</x:f>
        <x:v>12</x:v>
      </x:c>
      <x:c r="O124" s="431" t="n">
        <x:f>IF(K124=0,"",1+COUNTIF($K$19:$K$186,"&gt;"&amp;K124))</x:f>
        <x:v>92</x:v>
      </x:c>
      <x:c r="P124" s="430" t="str">
        <x:f>IF(C124=0,"No specialisations recorded",IF(E124&gt;0,"Review missing level","Complete"))</x:f>
        <x:v>Complete</x:v>
      </x:c>
      <x:c r="Q124" s="434" t="n">
        <x:f>IF(COUNTIFS('Damage Ranking'!$B$6:$B$172,A124,'Damage Ranking'!$C$6:$C$172,B124)=0,"",SUMIFS('Damage Ranking'!$D$6:$D$172,'Damage Ranking'!$B$6:$B$172,A124,'Damage Ranking'!$C$6:$C$172,B124))</x:f>
        <x:v>18.878553720734587</x:v>
      </x:c>
      <x:c r="R124" s="431" t="n">
        <x:f>IF(Q124="","",SUMIFS('Damage Ranking'!$A$6:$A$172,'Damage Ranking'!$B$6:$B$172,A124,'Damage Ranking'!$C$6:$C$172,B124))</x:f>
        <x:v>127</x:v>
      </x:c>
      <x:c r="S124" s="431" t="n">
        <x:f>IF(OR(R124="",O124=""),"",R124-O124)</x:f>
        <x:v>35</x:v>
      </x:c>
      <x:c r="T124" s="430" t="str">
        <x:f>IF(S124="","No damage score",IF(S124&gt;=20,"Badges much stronger",IF(S124&lt;=-20,"Damage much stronger","Broadly aligned")))</x:f>
        <x:v>Badges much stronger</x:v>
      </x:c>
      <x:c r="U124" s="434" t="n">
        <x:f>IF(Q124="","",Q124*(1-$R$5)+L124*$R$5)</x:f>
        <x:v>18.878553720734587</x:v>
      </x:c>
      <x:c r="V124" s="431" t="n">
        <x:f>IF(U124="","",1+COUNTIF($U$19:$U$186,"&gt;"&amp;U124))</x:f>
        <x:v>127</x:v>
      </x:c>
    </x:row>
    <x:row r="125" ht="24" customHeight="1">
      <x:c r="A125" s="430" t="str">
        <x:v>K170</x:v>
      </x:c>
      <x:c r="B125" s="430" t="str">
        <x:v>(AOT)金木研_254</x:v>
      </x:c>
      <x:c r="C125" s="431" t="n">
        <x:f>COUNTIFS('Specialisations'!$A$6:$A$527,A125,'Specialisations'!$B$6:$B$527,B125)</x:f>
        <x:v>3</x:v>
      </x:c>
      <x:c r="D125" s="431" t="n">
        <x:f>COUNTIFS('Specialisations'!$A$6:$A$527,A125,'Specialisations'!$B$6:$B$527,B125,'Specialisations'!$P$6:$P$527,"OK")</x:f>
        <x:v>3</x:v>
      </x:c>
      <x:c r="E125" s="431" t="n">
        <x:f>C125-D125</x:f>
        <x:v>0</x:v>
      </x:c>
      <x:c r="F125" s="432" t="n">
        <x:f>IF(C125=0,0,D125/C125)</x:f>
        <x:v>1</x:v>
      </x:c>
      <x:c r="G125" s="433" t="n">
        <x:f>SUMIFS('Specialisations'!$N$6:$N$527,'Specialisations'!$A$6:$A$527,A125,'Specialisations'!$B$6:$B$527,B125,'Specialisations'!$C$6:$C$527,"Guards")</x:f>
        <x:v>4284300</x:v>
      </x:c>
      <x:c r="H125" s="433" t="n">
        <x:f>SUMIFS('Specialisations'!$N$6:$N$527,'Specialisations'!$A$6:$A$527,A125,'Specialisations'!$B$6:$B$527,B125,'Specialisations'!$C$6:$C$527,"Archers")</x:f>
        <x:v>0</x:v>
      </x:c>
      <x:c r="I125" s="433" t="n">
        <x:f>SUMIFS('Specialisations'!$N$6:$N$527,'Specialisations'!$A$6:$A$527,A125,'Specialisations'!$B$6:$B$527,B125,'Specialisations'!$C$6:$C$527,"Cavalry")</x:f>
        <x:v>9178600</x:v>
      </x:c>
      <x:c r="J125" s="433" t="n">
        <x:f>SUMIFS('Specialisations'!$N$6:$N$527,'Specialisations'!$A$6:$A$527,A125,'Specialisations'!$B$6:$B$527,B125,'Specialisations'!$C$6:$C$527,"Siege")</x:f>
        <x:v>0</x:v>
      </x:c>
      <x:c r="K125" s="433" t="n">
        <x:f>SUM(G125:J125)</x:f>
        <x:v>13462900</x:v>
      </x:c>
      <x:c r="L125" s="434" t="n">
        <x:f>IFERROR(100*K125/MAX($K$19:$K$186),0)</x:f>
        <x:v>21.712323685848745</x:v>
      </x:c>
      <x:c r="M125" s="495" t="n">
        <x:f>IF(C125=0,"",SUMIFS('Specialisations'!$Q$6:$Q$527,'Specialisations'!$A$6:$A$527,A125,'Specialisations'!$B$6:$B$527,B125))</x:f>
        <x:v>37.5</x:v>
      </x:c>
      <x:c r="N125" s="431" t="n">
        <x:f>IF(K125=0,"",1+COUNTIFS($A$19:$A$186,A125,$K$19:$K$186,"&gt;"&amp;K125))</x:f>
        <x:v>11</x:v>
      </x:c>
      <x:c r="O125" s="431" t="n">
        <x:f>IF(K125=0,"",1+COUNTIF($K$19:$K$186,"&gt;"&amp;K125))</x:f>
        <x:v>75</x:v>
      </x:c>
      <x:c r="P125" s="430" t="str">
        <x:f>IF(C125=0,"No specialisations recorded",IF(E125&gt;0,"Review missing level","Complete"))</x:f>
        <x:v>Complete</x:v>
      </x:c>
      <x:c r="Q125" s="434" t="n">
        <x:f>IF(COUNTIFS('Damage Ranking'!$B$6:$B$172,A125,'Damage Ranking'!$C$6:$C$172,B125)=0,"",SUMIFS('Damage Ranking'!$D$6:$D$172,'Damage Ranking'!$B$6:$B$172,A125,'Damage Ranking'!$C$6:$C$172,B125))</x:f>
        <x:v>19.420740227038415</x:v>
      </x:c>
      <x:c r="R125" s="431" t="n">
        <x:f>IF(Q125="","",SUMIFS('Damage Ranking'!$A$6:$A$172,'Damage Ranking'!$B$6:$B$172,A125,'Damage Ranking'!$C$6:$C$172,B125))</x:f>
        <x:v>125</x:v>
      </x:c>
      <x:c r="S125" s="431" t="n">
        <x:f>IF(OR(R125="",O125=""),"",R125-O125)</x:f>
        <x:v>50</x:v>
      </x:c>
      <x:c r="T125" s="430" t="str">
        <x:f>IF(S125="","No damage score",IF(S125&gt;=20,"Badges much stronger",IF(S125&lt;=-20,"Damage much stronger","Broadly aligned")))</x:f>
        <x:v>Badges much stronger</x:v>
      </x:c>
      <x:c r="U125" s="434" t="n">
        <x:f>IF(Q125="","",Q125*(1-$R$5)+L125*$R$5)</x:f>
        <x:v>19.420740227038415</x:v>
      </x:c>
      <x:c r="V125" s="431" t="n">
        <x:f>IF(U125="","",1+COUNTIF($U$19:$U$186,"&gt;"&amp;U125))</x:f>
        <x:v>125</x:v>
      </x:c>
    </x:row>
    <x:row r="126" ht="24" customHeight="1">
      <x:c r="A126" s="430" t="str">
        <x:v>K170</x:v>
      </x:c>
      <x:c r="B126" s="430" t="str">
        <x:v>(AOT)MG·Yu</x:v>
      </x:c>
      <x:c r="C126" s="431" t="n">
        <x:f>COUNTIFS('Specialisations'!$A$6:$A$527,A126,'Specialisations'!$B$6:$B$527,B126)</x:f>
        <x:v>5</x:v>
      </x:c>
      <x:c r="D126" s="431" t="n">
        <x:f>COUNTIFS('Specialisations'!$A$6:$A$527,A126,'Specialisations'!$B$6:$B$527,B126,'Specialisations'!$P$6:$P$527,"OK")</x:f>
        <x:v>5</x:v>
      </x:c>
      <x:c r="E126" s="431" t="n">
        <x:f>C126-D126</x:f>
        <x:v>0</x:v>
      </x:c>
      <x:c r="F126" s="432" t="n">
        <x:f>IF(C126=0,0,D126/C126)</x:f>
        <x:v>1</x:v>
      </x:c>
      <x:c r="G126" s="433" t="n">
        <x:f>SUMIFS('Specialisations'!$N$6:$N$527,'Specialisations'!$A$6:$A$527,A126,'Specialisations'!$B$6:$B$527,B126,'Specialisations'!$C$6:$C$527,"Guards")</x:f>
        <x:v>5004300</x:v>
      </x:c>
      <x:c r="H126" s="433" t="n">
        <x:f>SUMIFS('Specialisations'!$N$6:$N$527,'Specialisations'!$A$6:$A$527,A126,'Specialisations'!$B$6:$B$527,B126,'Specialisations'!$C$6:$C$527,"Archers")</x:f>
        <x:v>3244300</x:v>
      </x:c>
      <x:c r="I126" s="433" t="n">
        <x:f>SUMIFS('Specialisations'!$N$6:$N$527,'Specialisations'!$A$6:$A$527,A126,'Specialisations'!$B$6:$B$527,B126,'Specialisations'!$C$6:$C$527,"Cavalry")</x:f>
        <x:v>15338600</x:v>
      </x:c>
      <x:c r="J126" s="433" t="n">
        <x:f>SUMIFS('Specialisations'!$N$6:$N$527,'Specialisations'!$A$6:$A$527,A126,'Specialisations'!$B$6:$B$527,B126,'Specialisations'!$C$6:$C$527,"Siege")</x:f>
        <x:v>2244300</x:v>
      </x:c>
      <x:c r="K126" s="433" t="n">
        <x:f>SUM(G126:J126)</x:f>
        <x:v>25831500</x:v>
      </x:c>
      <x:c r="L126" s="434" t="n">
        <x:f>IFERROR(100*K126/MAX($K$19:$K$186),0)</x:f>
        <x:v>41.65981246915611</x:v>
      </x:c>
      <x:c r="M126" s="495" t="n">
        <x:f>IF(C126=0,"",SUMIFS('Specialisations'!$Q$6:$Q$527,'Specialisations'!$A$6:$A$527,A126,'Specialisations'!$B$6:$B$527,B126))</x:f>
        <x:v>123.72</x:v>
      </x:c>
      <x:c r="N126" s="431" t="n">
        <x:f>IF(K126=0,"",1+COUNTIFS($A$19:$A$186,A126,$K$19:$K$186,"&gt;"&amp;K126))</x:f>
        <x:v>2</x:v>
      </x:c>
      <x:c r="O126" s="431" t="n">
        <x:f>IF(K126=0,"",1+COUNTIF($K$19:$K$186,"&gt;"&amp;K126))</x:f>
        <x:v>11</x:v>
      </x:c>
      <x:c r="P126" s="430" t="str">
        <x:f>IF(C126=0,"No specialisations recorded",IF(E126&gt;0,"Review missing level","Complete"))</x:f>
        <x:v>Complete</x:v>
      </x:c>
      <x:c r="Q126" s="434" t="n">
        <x:f>IF(COUNTIFS('Damage Ranking'!$B$6:$B$172,A126,'Damage Ranking'!$C$6:$C$172,B126)=0,"",SUMIFS('Damage Ranking'!$D$6:$D$172,'Damage Ranking'!$B$6:$B$172,A126,'Damage Ranking'!$C$6:$C$172,B126))</x:f>
        <x:v>78.02639599571137</x:v>
      </x:c>
      <x:c r="R126" s="431" t="n">
        <x:f>IF(Q126="","",SUMIFS('Damage Ranking'!$A$6:$A$172,'Damage Ranking'!$B$6:$B$172,A126,'Damage Ranking'!$C$6:$C$172,B126))</x:f>
        <x:v>11</x:v>
      </x:c>
      <x:c r="S126" s="431" t="n">
        <x:f>IF(OR(R126="",O126=""),"",R126-O126)</x:f>
        <x:v>0</x:v>
      </x:c>
      <x:c r="T126" s="430" t="str">
        <x:f>IF(S126="","No damage score",IF(S126&gt;=20,"Badges much stronger",IF(S126&lt;=-20,"Damage much stronger","Broadly aligned")))</x:f>
        <x:v>No damage score</x:v>
      </x:c>
      <x:c r="U126" s="434" t="n">
        <x:f>IF(Q126="","",Q126*(1-$R$5)+L126*$R$5)</x:f>
        <x:v>78.02639599571137</x:v>
      </x:c>
      <x:c r="V126" s="431" t="n">
        <x:f>IF(U126="","",1+COUNTIF($U$19:$U$186,"&gt;"&amp;U126))</x:f>
        <x:v>11</x:v>
      </x:c>
    </x:row>
    <x:row r="127" ht="24" customHeight="1">
      <x:c r="A127" s="430" t="str">
        <x:v>K170</x:v>
      </x:c>
      <x:c r="B127" s="430" t="str">
        <x:v>(AOT)Markspoon</x:v>
      </x:c>
      <x:c r="C127" s="431" t="n">
        <x:f>COUNTIFS('Specialisations'!$A$6:$A$527,A127,'Specialisations'!$B$6:$B$527,B127)</x:f>
        <x:v>3</x:v>
      </x:c>
      <x:c r="D127" s="431" t="n">
        <x:f>COUNTIFS('Specialisations'!$A$6:$A$527,A127,'Specialisations'!$B$6:$B$527,B127,'Specialisations'!$P$6:$P$527,"OK")</x:f>
        <x:v>3</x:v>
      </x:c>
      <x:c r="E127" s="431" t="n">
        <x:f>C127-D127</x:f>
        <x:v>0</x:v>
      </x:c>
      <x:c r="F127" s="432" t="n">
        <x:f>IF(C127=0,0,D127/C127)</x:f>
        <x:v>1</x:v>
      </x:c>
      <x:c r="G127" s="433" t="n">
        <x:f>SUMIFS('Specialisations'!$N$6:$N$527,'Specialisations'!$A$6:$A$527,A127,'Specialisations'!$B$6:$B$527,B127,'Specialisations'!$C$6:$C$527,"Guards")</x:f>
        <x:v>4284300</x:v>
      </x:c>
      <x:c r="H127" s="433" t="n">
        <x:f>SUMIFS('Specialisations'!$N$6:$N$527,'Specialisations'!$A$6:$A$527,A127,'Specialisations'!$B$6:$B$527,B127,'Specialisations'!$C$6:$C$527,"Archers")</x:f>
        <x:v>5004300</x:v>
      </x:c>
      <x:c r="I127" s="433" t="n">
        <x:f>SUMIFS('Specialisations'!$N$6:$N$527,'Specialisations'!$A$6:$A$527,A127,'Specialisations'!$B$6:$B$527,B127,'Specialisations'!$C$6:$C$527,"Cavalry")</x:f>
        <x:v>1464300</x:v>
      </x:c>
      <x:c r="J127" s="433" t="n">
        <x:f>SUMIFS('Specialisations'!$N$6:$N$527,'Specialisations'!$A$6:$A$527,A127,'Specialisations'!$B$6:$B$527,B127,'Specialisations'!$C$6:$C$527,"Siege")</x:f>
        <x:v>0</x:v>
      </x:c>
      <x:c r="K127" s="433" t="n">
        <x:f>SUM(G127:J127)</x:f>
        <x:v>10752900</x:v>
      </x:c>
      <x:c r="L127" s="434" t="n">
        <x:f>IFERROR(100*K127/MAX($K$19:$K$186),0)</x:f>
        <x:v>17.341764802647493</x:v>
      </x:c>
      <x:c r="M127" s="495" t="n">
        <x:f>IF(C127=0,"",SUMIFS('Specialisations'!$Q$6:$Q$527,'Specialisations'!$A$6:$A$527,A127,'Specialisations'!$B$6:$B$527,B127))</x:f>
        <x:v>22.320000000000007</x:v>
      </x:c>
      <x:c r="N127" s="431" t="n">
        <x:f>IF(K127=0,"",1+COUNTIFS($A$19:$A$186,A127,$K$19:$K$186,"&gt;"&amp;K127))</x:f>
        <x:v>14</x:v>
      </x:c>
      <x:c r="O127" s="431" t="n">
        <x:f>IF(K127=0,"",1+COUNTIF($K$19:$K$186,"&gt;"&amp;K127))</x:f>
        <x:v>109</x:v>
      </x:c>
      <x:c r="P127" s="430" t="str">
        <x:f>IF(C127=0,"No specialisations recorded",IF(E127&gt;0,"Review missing level","Complete"))</x:f>
        <x:v>Complete</x:v>
      </x:c>
      <x:c r="Q127" s="434" t="n">
        <x:f>IF(COUNTIFS('Damage Ranking'!$B$6:$B$172,A127,'Damage Ranking'!$C$6:$C$172,B127)=0,"",SUMIFS('Damage Ranking'!$D$6:$D$172,'Damage Ranking'!$B$6:$B$172,A127,'Damage Ranking'!$C$6:$C$172,B127))</x:f>
        <x:v>19.727781137674672</x:v>
      </x:c>
      <x:c r="R127" s="431" t="n">
        <x:f>IF(Q127="","",SUMIFS('Damage Ranking'!$A$6:$A$172,'Damage Ranking'!$B$6:$B$172,A127,'Damage Ranking'!$C$6:$C$172,B127))</x:f>
        <x:v>124</x:v>
      </x:c>
      <x:c r="S127" s="431" t="n">
        <x:f>IF(OR(R127="",O127=""),"",R127-O127)</x:f>
        <x:v>15</x:v>
      </x:c>
      <x:c r="T127" s="430" t="str">
        <x:f>IF(S127="","No damage score",IF(S127&gt;=20,"Badges much stronger",IF(S127&lt;=-20,"Damage much stronger","Broadly aligned")))</x:f>
        <x:v>Broadly aligned</x:v>
      </x:c>
      <x:c r="U127" s="434" t="n">
        <x:f>IF(Q127="","",Q127*(1-$R$5)+L127*$R$5)</x:f>
        <x:v>19.727781137674672</x:v>
      </x:c>
      <x:c r="V127" s="431" t="n">
        <x:f>IF(U127="","",1+COUNTIF($U$19:$U$186,"&gt;"&amp;U127))</x:f>
        <x:v>124</x:v>
      </x:c>
    </x:row>
    <x:row r="128" ht="24" customHeight="1">
      <x:c r="A128" s="430" t="str">
        <x:v>K170</x:v>
      </x:c>
      <x:c r="B128" s="430" t="str">
        <x:v>(AOT)VAB999</x:v>
      </x:c>
      <x:c r="C128" s="431" t="n">
        <x:f>COUNTIFS('Specialisations'!$A$6:$A$527,A128,'Specialisations'!$B$6:$B$527,B128)</x:f>
        <x:v>4</x:v>
      </x:c>
      <x:c r="D128" s="431" t="n">
        <x:f>COUNTIFS('Specialisations'!$A$6:$A$527,A128,'Specialisations'!$B$6:$B$527,B128,'Specialisations'!$P$6:$P$527,"OK")</x:f>
        <x:v>4</x:v>
      </x:c>
      <x:c r="E128" s="431" t="n">
        <x:f>C128-D128</x:f>
        <x:v>0</x:v>
      </x:c>
      <x:c r="F128" s="432" t="n">
        <x:f>IF(C128=0,0,D128/C128)</x:f>
        <x:v>1</x:v>
      </x:c>
      <x:c r="G128" s="433" t="n">
        <x:f>SUMIFS('Specialisations'!$N$6:$N$527,'Specialisations'!$A$6:$A$527,A128,'Specialisations'!$B$6:$B$527,B128,'Specialisations'!$C$6:$C$527,"Guards")</x:f>
        <x:v>5004300</x:v>
      </x:c>
      <x:c r="H128" s="433" t="n">
        <x:f>SUMIFS('Specialisations'!$N$6:$N$527,'Specialisations'!$A$6:$A$527,A128,'Specialisations'!$B$6:$B$527,B128,'Specialisations'!$C$6:$C$527,"Archers")</x:f>
        <x:v>12578600</x:v>
      </x:c>
      <x:c r="I128" s="433" t="n">
        <x:f>SUMIFS('Specialisations'!$N$6:$N$527,'Specialisations'!$A$6:$A$527,A128,'Specialisations'!$B$6:$B$527,B128,'Specialisations'!$C$6:$C$527,"Cavalry")</x:f>
        <x:v>2244300</x:v>
      </x:c>
      <x:c r="J128" s="433" t="n">
        <x:f>SUMIFS('Specialisations'!$N$6:$N$527,'Specialisations'!$A$6:$A$527,A128,'Specialisations'!$B$6:$B$527,B128,'Specialisations'!$C$6:$C$527,"Siege")</x:f>
        <x:v>0</x:v>
      </x:c>
      <x:c r="K128" s="433" t="n">
        <x:f>SUM(G128:J128)</x:f>
        <x:v>19827200</x:v>
      </x:c>
      <x:c r="L128" s="434" t="n">
        <x:f>IFERROR(100*K128/MAX($K$19:$K$186),0)</x:f>
        <x:v>31.976363501478893</x:v>
      </x:c>
      <x:c r="M128" s="495" t="n">
        <x:f>IF(C128=0,"",SUMIFS('Specialisations'!$Q$6:$Q$527,'Specialisations'!$A$6:$A$527,A128,'Specialisations'!$B$6:$B$527,B128))</x:f>
        <x:v>70.35</x:v>
      </x:c>
      <x:c r="N128" s="431" t="n">
        <x:f>IF(K128=0,"",1+COUNTIFS($A$19:$A$186,A128,$K$19:$K$186,"&gt;"&amp;K128))</x:f>
        <x:v>6</x:v>
      </x:c>
      <x:c r="O128" s="431" t="n">
        <x:f>IF(K128=0,"",1+COUNTIF($K$19:$K$186,"&gt;"&amp;K128))</x:f>
        <x:v>33</x:v>
      </x:c>
      <x:c r="P128" s="430" t="str">
        <x:f>IF(C128=0,"No specialisations recorded",IF(E128&gt;0,"Review missing level","Complete"))</x:f>
        <x:v>Complete</x:v>
      </x:c>
      <x:c r="Q128" s="434" t="n">
        <x:f>IF(COUNTIFS('Damage Ranking'!$B$6:$B$172,A128,'Damage Ranking'!$C$6:$C$172,B128)=0,"",SUMIFS('Damage Ranking'!$D$6:$D$172,'Damage Ranking'!$B$6:$B$172,A128,'Damage Ranking'!$C$6:$C$172,B128))</x:f>
        <x:v>41.512573470257756</x:v>
      </x:c>
      <x:c r="R128" s="431" t="n">
        <x:f>IF(Q128="","",SUMIFS('Damage Ranking'!$A$6:$A$172,'Damage Ranking'!$B$6:$B$172,A128,'Damage Ranking'!$C$6:$C$172,B128))</x:f>
        <x:v>61</x:v>
      </x:c>
      <x:c r="S128" s="431" t="n">
        <x:f>IF(OR(R128="",O128=""),"",R128-O128)</x:f>
        <x:v>28</x:v>
      </x:c>
      <x:c r="T128" s="430" t="str">
        <x:f>IF(S128="","No damage score",IF(S128&gt;=20,"Badges much stronger",IF(S128&lt;=-20,"Damage much stronger","Broadly aligned")))</x:f>
        <x:v>Badges much stronger</x:v>
      </x:c>
      <x:c r="U128" s="434" t="n">
        <x:f>IF(Q128="","",Q128*(1-$R$5)+L128*$R$5)</x:f>
        <x:v>41.512573470257756</x:v>
      </x:c>
      <x:c r="V128" s="431" t="n">
        <x:f>IF(U128="","",1+COUNTIF($U$19:$U$186,"&gt;"&amp;U128))</x:f>
        <x:v>61</x:v>
      </x:c>
    </x:row>
    <x:row r="129" ht="24" customHeight="1">
      <x:c r="A129" s="430" t="str">
        <x:v>K170</x:v>
      </x:c>
      <x:c r="B129" s="430" t="str">
        <x:v>(AOT)Paian2</x:v>
      </x:c>
      <x:c r="C129" s="431" t="n">
        <x:f>COUNTIFS('Specialisations'!$A$6:$A$527,A129,'Specialisations'!$B$6:$B$527,B129)</x:f>
        <x:v>2</x:v>
      </x:c>
      <x:c r="D129" s="431" t="n">
        <x:f>COUNTIFS('Specialisations'!$A$6:$A$527,A129,'Specialisations'!$B$6:$B$527,B129,'Specialisations'!$P$6:$P$527,"OK")</x:f>
        <x:v>2</x:v>
      </x:c>
      <x:c r="E129" s="431" t="n">
        <x:f>C129-D129</x:f>
        <x:v>0</x:v>
      </x:c>
      <x:c r="F129" s="432" t="n">
        <x:f>IF(C129=0,0,D129/C129)</x:f>
        <x:v>1</x:v>
      </x:c>
      <x:c r="G129" s="433" t="n">
        <x:f>SUMIFS('Specialisations'!$N$6:$N$527,'Specialisations'!$A$6:$A$527,A129,'Specialisations'!$B$6:$B$527,B129,'Specialisations'!$C$6:$C$527,"Guards")</x:f>
        <x:v>4284300</x:v>
      </x:c>
      <x:c r="H129" s="433" t="n">
        <x:f>SUMIFS('Specialisations'!$N$6:$N$527,'Specialisations'!$A$6:$A$527,A129,'Specialisations'!$B$6:$B$527,B129,'Specialisations'!$C$6:$C$527,"Archers")</x:f>
        <x:v>0</x:v>
      </x:c>
      <x:c r="I129" s="433" t="n">
        <x:f>SUMIFS('Specialisations'!$N$6:$N$527,'Specialisations'!$A$6:$A$527,A129,'Specialisations'!$B$6:$B$527,B129,'Specialisations'!$C$6:$C$527,"Cavalry")</x:f>
        <x:v>5004300</x:v>
      </x:c>
      <x:c r="J129" s="433" t="n">
        <x:f>SUMIFS('Specialisations'!$N$6:$N$527,'Specialisations'!$A$6:$A$527,A129,'Specialisations'!$B$6:$B$527,B129,'Specialisations'!$C$6:$C$527,"Siege")</x:f>
        <x:v>0</x:v>
      </x:c>
      <x:c r="K129" s="433" t="n">
        <x:f>SUM(G129:J129)</x:f>
        <x:v>9288600</x:v>
      </x:c>
      <x:c r="L129" s="434" t="n">
        <x:f>IFERROR(100*K129/MAX($K$19:$K$186),0)</x:f>
        <x:v>14.980211528598938</x:v>
      </x:c>
      <x:c r="M129" s="495" t="n">
        <x:f>IF(C129=0,"",SUMIFS('Specialisations'!$Q$6:$Q$527,'Specialisations'!$A$6:$A$527,A129,'Specialisations'!$B$6:$B$527,B129))</x:f>
        <x:v>3.1500000000000057</x:v>
      </x:c>
      <x:c r="N129" s="431" t="n">
        <x:f>IF(K129=0,"",1+COUNTIFS($A$19:$A$186,A129,$K$19:$K$186,"&gt;"&amp;K129))</x:f>
        <x:v>17</x:v>
      </x:c>
      <x:c r="O129" s="431" t="n">
        <x:f>IF(K129=0,"",1+COUNTIF($K$19:$K$186,"&gt;"&amp;K129))</x:f>
        <x:v>124</x:v>
      </x:c>
      <x:c r="P129" s="430" t="str">
        <x:f>IF(C129=0,"No specialisations recorded",IF(E129&gt;0,"Review missing level","Complete"))</x:f>
        <x:v>Complete</x:v>
      </x:c>
      <x:c r="Q129" s="434" t="n">
        <x:f>IF(COUNTIFS('Damage Ranking'!$B$6:$B$172,A129,'Damage Ranking'!$C$6:$C$172,B129)=0,"",SUMIFS('Damage Ranking'!$D$6:$D$172,'Damage Ranking'!$B$6:$B$172,A129,'Damage Ranking'!$C$6:$C$172,B129))</x:f>
        <x:v>13.788133640861004</x:v>
      </x:c>
      <x:c r="R129" s="431" t="n">
        <x:f>IF(Q129="","",SUMIFS('Damage Ranking'!$A$6:$A$172,'Damage Ranking'!$B$6:$B$172,A129,'Damage Ranking'!$C$6:$C$172,B129))</x:f>
        <x:v>144</x:v>
      </x:c>
      <x:c r="S129" s="431" t="n">
        <x:f>IF(OR(R129="",O129=""),"",R129-O129)</x:f>
        <x:v>20</x:v>
      </x:c>
      <x:c r="T129" s="430" t="str">
        <x:f>IF(S129="","No damage score",IF(S129&gt;=20,"Badges much stronger",IF(S129&lt;=-20,"Damage much stronger","Broadly aligned")))</x:f>
        <x:v>Badges much stronger</x:v>
      </x:c>
      <x:c r="U129" s="434" t="n">
        <x:f>IF(Q129="","",Q129*(1-$R$5)+L129*$R$5)</x:f>
        <x:v>13.788133640861004</x:v>
      </x:c>
      <x:c r="V129" s="431" t="n">
        <x:f>IF(U129="","",1+COUNTIF($U$19:$U$186,"&gt;"&amp;U129))</x:f>
        <x:v>144</x:v>
      </x:c>
    </x:row>
    <x:row r="130" ht="24" customHeight="1">
      <x:c r="A130" s="430" t="str">
        <x:v>K54</x:v>
      </x:c>
      <x:c r="B130" s="430" t="str">
        <x:v>爽歪歪</x:v>
      </x:c>
      <x:c r="C130" s="431" t="n">
        <x:f>COUNTIFS('Specialisations'!$A$6:$A$527,A130,'Specialisations'!$B$6:$B$527,B130)</x:f>
        <x:v>3</x:v>
      </x:c>
      <x:c r="D130" s="431" t="n">
        <x:f>COUNTIFS('Specialisations'!$A$6:$A$527,A130,'Specialisations'!$B$6:$B$527,B130,'Specialisations'!$P$6:$P$527,"OK")</x:f>
        <x:v>3</x:v>
      </x:c>
      <x:c r="E130" s="431" t="n">
        <x:f>C130-D130</x:f>
        <x:v>0</x:v>
      </x:c>
      <x:c r="F130" s="432" t="n">
        <x:f>IF(C130=0,0,D130/C130)</x:f>
        <x:v>1</x:v>
      </x:c>
      <x:c r="G130" s="433" t="n">
        <x:f>SUMIFS('Specialisations'!$N$6:$N$527,'Specialisations'!$A$6:$A$527,A130,'Specialisations'!$B$6:$B$527,B130,'Specialisations'!$C$6:$C$527,"Guards")</x:f>
        <x:v>10334300</x:v>
      </x:c>
      <x:c r="H130" s="433" t="n">
        <x:f>SUMIFS('Specialisations'!$N$6:$N$527,'Specialisations'!$A$6:$A$527,A130,'Specialisations'!$B$6:$B$527,B130,'Specialisations'!$C$6:$C$527,"Archers")</x:f>
        <x:v>0</x:v>
      </x:c>
      <x:c r="I130" s="433" t="n">
        <x:f>SUMIFS('Specialisations'!$N$6:$N$527,'Specialisations'!$A$6:$A$527,A130,'Specialisations'!$B$6:$B$527,B130,'Specialisations'!$C$6:$C$527,"Cavalry")</x:f>
        <x:v>11938600</x:v>
      </x:c>
      <x:c r="J130" s="433" t="n">
        <x:f>SUMIFS('Specialisations'!$N$6:$N$527,'Specialisations'!$A$6:$A$527,A130,'Specialisations'!$B$6:$B$527,B130,'Specialisations'!$C$6:$C$527,"Siege")</x:f>
        <x:v>0</x:v>
      </x:c>
      <x:c r="K130" s="433" t="n">
        <x:f>SUM(G130:J130)</x:f>
        <x:v>22272900</x:v>
      </x:c>
      <x:c r="L130" s="434" t="n">
        <x:f>IFERROR(100*K130/MAX($K$19:$K$186),0)</x:f>
        <x:v>35.920671937141364</x:v>
      </x:c>
      <x:c r="M130" s="495" t="n">
        <x:f>IF(C130=0,"",SUMIFS('Specialisations'!$Q$6:$Q$527,'Specialisations'!$A$6:$A$527,A130,'Specialisations'!$B$6:$B$527,B130))</x:f>
        <x:v>36.870000000000005</x:v>
      </x:c>
      <x:c r="N130" s="431" t="n">
        <x:f>IF(K130=0,"",1+COUNTIFS($A$19:$A$186,A130,$K$19:$K$186,"&gt;"&amp;K130))</x:f>
        <x:v>3</x:v>
      </x:c>
      <x:c r="O130" s="431" t="n">
        <x:f>IF(K130=0,"",1+COUNTIF($K$19:$K$186,"&gt;"&amp;K130))</x:f>
        <x:v>21</x:v>
      </x:c>
      <x:c r="P130" s="430" t="str">
        <x:f>IF(C130=0,"No specialisations recorded",IF(E130&gt;0,"Review missing level","Complete"))</x:f>
        <x:v>Complete</x:v>
      </x:c>
      <x:c r="Q130" s="434" t="n">
        <x:f>IF(COUNTIFS('Damage Ranking'!$B$6:$B$172,A130,'Damage Ranking'!$C$6:$C$172,B130)=0,"",SUMIFS('Damage Ranking'!$D$6:$D$172,'Damage Ranking'!$B$6:$B$172,A130,'Damage Ranking'!$C$6:$C$172,B130))</x:f>
        <x:v>90.59251222390677</x:v>
      </x:c>
      <x:c r="R130" s="431" t="n">
        <x:f>IF(Q130="","",SUMIFS('Damage Ranking'!$A$6:$A$172,'Damage Ranking'!$B$6:$B$172,A130,'Damage Ranking'!$C$6:$C$172,B130))</x:f>
        <x:v>2</x:v>
      </x:c>
      <x:c r="S130" s="431" t="n">
        <x:f>IF(OR(R130="",O130=""),"",R130-O130)</x:f>
        <x:v>-19</x:v>
      </x:c>
      <x:c r="T130" s="430" t="str">
        <x:f>IF(S130="","No damage score",IF(S130&gt;=20,"Badges much stronger",IF(S130&lt;=-20,"Damage much stronger","Broadly aligned")))</x:f>
        <x:v>Broadly aligned</x:v>
      </x:c>
      <x:c r="U130" s="434" t="n">
        <x:f>IF(Q130="","",Q130*(1-$R$5)+L130*$R$5)</x:f>
        <x:v>90.59251222390677</x:v>
      </x:c>
      <x:c r="V130" s="431" t="n">
        <x:f>IF(U130="","",1+COUNTIF($U$19:$U$186,"&gt;"&amp;U130))</x:f>
        <x:v>2</x:v>
      </x:c>
    </x:row>
    <x:row r="131" ht="24" customHeight="1">
      <x:c r="A131" s="430" t="str">
        <x:v>K54</x:v>
      </x:c>
      <x:c r="B131" s="430" t="str">
        <x:v>纵横,,,杀戮</x:v>
      </x:c>
      <x:c r="C131" s="431" t="n">
        <x:f>COUNTIFS('Specialisations'!$A$6:$A$527,A131,'Specialisations'!$B$6:$B$527,B131)</x:f>
        <x:v>4</x:v>
      </x:c>
      <x:c r="D131" s="431" t="n">
        <x:f>COUNTIFS('Specialisations'!$A$6:$A$527,A131,'Specialisations'!$B$6:$B$527,B131,'Specialisations'!$P$6:$P$527,"OK")</x:f>
        <x:v>4</x:v>
      </x:c>
      <x:c r="E131" s="431" t="n">
        <x:f>C131-D131</x:f>
        <x:v>0</x:v>
      </x:c>
      <x:c r="F131" s="432" t="n">
        <x:f>IF(C131=0,0,D131/C131)</x:f>
        <x:v>1</x:v>
      </x:c>
      <x:c r="G131" s="433" t="n">
        <x:f>SUMIFS('Specialisations'!$N$6:$N$527,'Specialisations'!$A$6:$A$527,A131,'Specialisations'!$B$6:$B$527,B131,'Specialisations'!$C$6:$C$527,"Guards")</x:f>
        <x:v>0</x:v>
      </x:c>
      <x:c r="H131" s="433" t="n">
        <x:f>SUMIFS('Specialisations'!$N$6:$N$527,'Specialisations'!$A$6:$A$527,A131,'Specialisations'!$B$6:$B$527,B131,'Specialisations'!$C$6:$C$527,"Archers")</x:f>
        <x:v>10334300</x:v>
      </x:c>
      <x:c r="I131" s="433" t="n">
        <x:f>SUMIFS('Specialisations'!$N$6:$N$527,'Specialisations'!$A$6:$A$527,A131,'Specialisations'!$B$6:$B$527,B131,'Specialisations'!$C$6:$C$527,"Cavalry")</x:f>
        <x:v>20668600</x:v>
      </x:c>
      <x:c r="J131" s="433" t="n">
        <x:f>SUMIFS('Specialisations'!$N$6:$N$527,'Specialisations'!$A$6:$A$527,A131,'Specialisations'!$B$6:$B$527,B131,'Specialisations'!$C$6:$C$527,"Siege")</x:f>
        <x:v>10334300</x:v>
      </x:c>
      <x:c r="K131" s="433" t="n">
        <x:f>SUM(G131:J131)</x:f>
        <x:v>41337200</x:v>
      </x:c>
      <x:c r="L131" s="434" t="n">
        <x:f>IFERROR(100*K131/MAX($K$19:$K$186),0)</x:f>
        <x:v>66.66666666666667</x:v>
      </x:c>
      <x:c r="M131" s="495" t="n">
        <x:f>IF(C131=0,"",SUMIFS('Specialisations'!$Q$6:$Q$527,'Specialisations'!$A$6:$A$527,A131,'Specialisations'!$B$6:$B$527,B131))</x:f>
        <x:v>240</x:v>
      </x:c>
      <x:c r="N131" s="431" t="n">
        <x:f>IF(K131=0,"",1+COUNTIFS($A$19:$A$186,A131,$K$19:$K$186,"&gt;"&amp;K131))</x:f>
        <x:v>1</x:v>
      </x:c>
      <x:c r="O131" s="431" t="n">
        <x:f>IF(K131=0,"",1+COUNTIF($K$19:$K$186,"&gt;"&amp;K131))</x:f>
        <x:v>2</x:v>
      </x:c>
      <x:c r="P131" s="430" t="str">
        <x:f>IF(C131=0,"No specialisations recorded",IF(E131&gt;0,"Review missing level","Complete"))</x:f>
        <x:v>Complete</x:v>
      </x:c>
      <x:c r="Q131" s="434" t="n">
        <x:f>IF(COUNTIFS('Damage Ranking'!$B$6:$B$172,A131,'Damage Ranking'!$C$6:$C$172,B131)=0,"",SUMIFS('Damage Ranking'!$D$6:$D$172,'Damage Ranking'!$B$6:$B$172,A131,'Damage Ranking'!$C$6:$C$172,B131))</x:f>
        <x:v>83.29928845520064</x:v>
      </x:c>
      <x:c r="R131" s="431" t="n">
        <x:f>IF(Q131="","",SUMIFS('Damage Ranking'!$A$6:$A$172,'Damage Ranking'!$B$6:$B$172,A131,'Damage Ranking'!$C$6:$C$172,B131))</x:f>
        <x:v>7</x:v>
      </x:c>
      <x:c r="S131" s="431" t="n">
        <x:f>IF(OR(R131="",O131=""),"",R131-O131)</x:f>
        <x:v>5</x:v>
      </x:c>
      <x:c r="T131" s="430" t="str">
        <x:f>IF(S131="","No damage score",IF(S131&gt;=20,"Badges much stronger",IF(S131&lt;=-20,"Damage much stronger","Broadly aligned")))</x:f>
        <x:v>Broadly aligned</x:v>
      </x:c>
      <x:c r="U131" s="434" t="n">
        <x:f>IF(Q131="","",Q131*(1-$R$5)+L131*$R$5)</x:f>
        <x:v>83.29928845520064</x:v>
      </x:c>
      <x:c r="V131" s="431" t="n">
        <x:f>IF(U131="","",1+COUNTIF($U$19:$U$186,"&gt;"&amp;U131))</x:f>
        <x:v>7</x:v>
      </x:c>
    </x:row>
    <x:row r="132" ht="24" customHeight="1">
      <x:c r="A132" s="430" t="str">
        <x:v>K54</x:v>
      </x:c>
      <x:c r="B132" s="430" t="str">
        <x:v>纵横,,,大风</x:v>
      </x:c>
      <x:c r="C132" s="431" t="n">
        <x:f>COUNTIFS('Specialisations'!$A$6:$A$527,A132,'Specialisations'!$B$6:$B$527,B132)</x:f>
        <x:v>4</x:v>
      </x:c>
      <x:c r="D132" s="431" t="n">
        <x:f>COUNTIFS('Specialisations'!$A$6:$A$527,A132,'Specialisations'!$B$6:$B$527,B132,'Specialisations'!$P$6:$P$527,"OK")</x:f>
        <x:v>4</x:v>
      </x:c>
      <x:c r="E132" s="431" t="n">
        <x:f>C132-D132</x:f>
        <x:v>0</x:v>
      </x:c>
      <x:c r="F132" s="432" t="n">
        <x:f>IF(C132=0,0,D132/C132)</x:f>
        <x:v>1</x:v>
      </x:c>
      <x:c r="G132" s="433" t="n">
        <x:f>SUMIFS('Specialisations'!$N$6:$N$527,'Specialisations'!$A$6:$A$527,A132,'Specialisations'!$B$6:$B$527,B132,'Specialisations'!$C$6:$C$527,"Guards")</x:f>
        <x:v>0</x:v>
      </x:c>
      <x:c r="H132" s="433" t="n">
        <x:f>SUMIFS('Specialisations'!$N$6:$N$527,'Specialisations'!$A$6:$A$527,A132,'Specialisations'!$B$6:$B$527,B132,'Specialisations'!$C$6:$C$527,"Archers")</x:f>
        <x:v>10334300</x:v>
      </x:c>
      <x:c r="I132" s="433" t="n">
        <x:f>SUMIFS('Specialisations'!$N$6:$N$527,'Specialisations'!$A$6:$A$527,A132,'Specialisations'!$B$6:$B$527,B132,'Specialisations'!$C$6:$C$527,"Cavalry")</x:f>
        <x:v>15338600</x:v>
      </x:c>
      <x:c r="J132" s="433" t="n">
        <x:f>SUMIFS('Specialisations'!$N$6:$N$527,'Specialisations'!$A$6:$A$527,A132,'Specialisations'!$B$6:$B$527,B132,'Specialisations'!$C$6:$C$527,"Siege")</x:f>
        <x:v>6934300</x:v>
      </x:c>
      <x:c r="K132" s="433" t="n">
        <x:f>SUM(G132:J132)</x:f>
        <x:v>32607200</x:v>
      </x:c>
      <x:c r="L132" s="434" t="n">
        <x:f>IFERROR(100*K132/MAX($K$19:$K$186),0)</x:f>
        <x:v>52.58733860380803</x:v>
      </x:c>
      <x:c r="M132" s="495" t="n">
        <x:f>IF(C132=0,"",SUMIFS('Specialisations'!$Q$6:$Q$527,'Specialisations'!$A$6:$A$527,A132,'Specialisations'!$B$6:$B$527,B132))</x:f>
        <x:v>216.87</x:v>
      </x:c>
      <x:c r="N132" s="431" t="n">
        <x:f>IF(K132=0,"",1+COUNTIFS($A$19:$A$186,A132,$K$19:$K$186,"&gt;"&amp;K132))</x:f>
        <x:v>2</x:v>
      </x:c>
      <x:c r="O132" s="431" t="n">
        <x:f>IF(K132=0,"",1+COUNTIF($K$19:$K$186,"&gt;"&amp;K132))</x:f>
        <x:v>5</x:v>
      </x:c>
      <x:c r="P132" s="430" t="str">
        <x:f>IF(C132=0,"No specialisations recorded",IF(E132&gt;0,"Review missing level","Complete"))</x:f>
        <x:v>Complete</x:v>
      </x:c>
      <x:c r="Q132" s="434" t="n">
        <x:f>IF(COUNTIFS('Damage Ranking'!$B$6:$B$172,A132,'Damage Ranking'!$C$6:$C$172,B132)=0,"",SUMIFS('Damage Ranking'!$D$6:$D$172,'Damage Ranking'!$B$6:$B$172,A132,'Damage Ranking'!$C$6:$C$172,B132))</x:f>
        <x:v>90.35953554869256</x:v>
      </x:c>
      <x:c r="R132" s="431" t="n">
        <x:f>IF(Q132="","",SUMIFS('Damage Ranking'!$A$6:$A$172,'Damage Ranking'!$B$6:$B$172,A132,'Damage Ranking'!$C$6:$C$172,B132))</x:f>
        <x:v>3</x:v>
      </x:c>
      <x:c r="S132" s="431" t="n">
        <x:f>IF(OR(R132="",O132=""),"",R132-O132)</x:f>
        <x:v>-2</x:v>
      </x:c>
      <x:c r="T132" s="430" t="str">
        <x:f>IF(S132="","No damage score",IF(S132&gt;=20,"Badges much stronger",IF(S132&lt;=-20,"Damage much stronger","Broadly aligned")))</x:f>
        <x:v>Broadly aligned</x:v>
      </x:c>
      <x:c r="U132" s="434" t="n">
        <x:f>IF(Q132="","",Q132*(1-$R$5)+L132*$R$5)</x:f>
        <x:v>90.35953554869256</x:v>
      </x:c>
      <x:c r="V132" s="431" t="n">
        <x:f>IF(U132="","",1+COUNTIF($U$19:$U$186,"&gt;"&amp;U132))</x:f>
        <x:v>3</x:v>
      </x:c>
    </x:row>
    <x:row r="133" ht="24" customHeight="1">
      <x:c r="A133" s="430" t="str">
        <x:v>K54</x:v>
      </x:c>
      <x:c r="B133" s="430" t="str">
        <x:v>Somnium</x:v>
      </x:c>
      <x:c r="C133" s="431" t="n">
        <x:f>COUNTIFS('Specialisations'!$A$6:$A$527,A133,'Specialisations'!$B$6:$B$527,B133)</x:f>
        <x:v>2</x:v>
      </x:c>
      <x:c r="D133" s="431" t="n">
        <x:f>COUNTIFS('Specialisations'!$A$6:$A$527,A133,'Specialisations'!$B$6:$B$527,B133,'Specialisations'!$P$6:$P$527,"OK")</x:f>
        <x:v>2</x:v>
      </x:c>
      <x:c r="E133" s="431" t="n">
        <x:f>C133-D133</x:f>
        <x:v>0</x:v>
      </x:c>
      <x:c r="F133" s="432" t="n">
        <x:f>IF(C133=0,0,D133/C133)</x:f>
        <x:v>1</x:v>
      </x:c>
      <x:c r="G133" s="433" t="n">
        <x:f>SUMIFS('Specialisations'!$N$6:$N$527,'Specialisations'!$A$6:$A$527,A133,'Specialisations'!$B$6:$B$527,B133,'Specialisations'!$C$6:$C$527,"Guards")</x:f>
        <x:v>0</x:v>
      </x:c>
      <x:c r="H133" s="433" t="n">
        <x:f>SUMIFS('Specialisations'!$N$6:$N$527,'Specialisations'!$A$6:$A$527,A133,'Specialisations'!$B$6:$B$527,B133,'Specialisations'!$C$6:$C$527,"Archers")</x:f>
        <x:v>0</x:v>
      </x:c>
      <x:c r="I133" s="433" t="n">
        <x:f>SUMIFS('Specialisations'!$N$6:$N$527,'Specialisations'!$A$6:$A$527,A133,'Specialisations'!$B$6:$B$527,B133,'Specialisations'!$C$6:$C$527,"Cavalry")</x:f>
        <x:v>12138600</x:v>
      </x:c>
      <x:c r="J133" s="433" t="n">
        <x:f>SUMIFS('Specialisations'!$N$6:$N$527,'Specialisations'!$A$6:$A$527,A133,'Specialisations'!$B$6:$B$527,B133,'Specialisations'!$C$6:$C$527,"Siege")</x:f>
        <x:v>0</x:v>
      </x:c>
      <x:c r="K133" s="433" t="n">
        <x:f>SUM(G133:J133)</x:f>
        <x:v>12138600</x:v>
      </x:c>
      <x:c r="L133" s="434" t="n">
        <x:f>IFERROR(100*K133/MAX($K$19:$K$186),0)</x:f>
        <x:v>19.57655574155966</x:v>
      </x:c>
      <x:c r="M133" s="495" t="n">
        <x:f>IF(C133=0,"",SUMIFS('Specialisations'!$Q$6:$Q$527,'Specialisations'!$A$6:$A$527,A133,'Specialisations'!$B$6:$B$527,B133))</x:f>
        <x:v>82.34</x:v>
      </x:c>
      <x:c r="N133" s="431" t="n">
        <x:f>IF(K133=0,"",1+COUNTIFS($A$19:$A$186,A133,$K$19:$K$186,"&gt;"&amp;K133))</x:f>
        <x:v>8</x:v>
      </x:c>
      <x:c r="O133" s="431" t="n">
        <x:f>IF(K133=0,"",1+COUNTIF($K$19:$K$186,"&gt;"&amp;K133))</x:f>
        <x:v>98</x:v>
      </x:c>
      <x:c r="P133" s="430" t="str">
        <x:f>IF(C133=0,"No specialisations recorded",IF(E133&gt;0,"Review missing level","Complete"))</x:f>
        <x:v>Complete</x:v>
      </x:c>
      <x:c r="Q133" s="434" t="n">
        <x:f>IF(COUNTIFS('Damage Ranking'!$B$6:$B$172,A133,'Damage Ranking'!$C$6:$C$172,B133)=0,"",SUMIFS('Damage Ranking'!$D$6:$D$172,'Damage Ranking'!$B$6:$B$172,A133,'Damage Ranking'!$C$6:$C$172,B133))</x:f>
        <x:v>24.134361416593777</x:v>
      </x:c>
      <x:c r="R133" s="431" t="n">
        <x:f>IF(Q133="","",SUMIFS('Damage Ranking'!$A$6:$A$172,'Damage Ranking'!$B$6:$B$172,A133,'Damage Ranking'!$C$6:$C$172,B133))</x:f>
        <x:v>110</x:v>
      </x:c>
      <x:c r="S133" s="431" t="n">
        <x:f>IF(OR(R133="",O133=""),"",R133-O133)</x:f>
        <x:v>12</x:v>
      </x:c>
      <x:c r="T133" s="430" t="str">
        <x:f>IF(S133="","No damage score",IF(S133&gt;=20,"Badges much stronger",IF(S133&lt;=-20,"Damage much stronger","Broadly aligned")))</x:f>
        <x:v>Broadly aligned</x:v>
      </x:c>
      <x:c r="U133" s="434" t="n">
        <x:f>IF(Q133="","",Q133*(1-$R$5)+L133*$R$5)</x:f>
        <x:v>24.134361416593777</x:v>
      </x:c>
      <x:c r="V133" s="431" t="n">
        <x:f>IF(U133="","",1+COUNTIF($U$19:$U$186,"&gt;"&amp;U133))</x:f>
        <x:v>110</x:v>
      </x:c>
    </x:row>
    <x:row r="134" ht="24" customHeight="1">
      <x:c r="A134" s="430" t="str">
        <x:v>K54</x:v>
      </x:c>
      <x:c r="B134" s="430" t="str">
        <x:v>纵横,,,Nike耐克</x:v>
      </x:c>
      <x:c r="C134" s="431" t="n">
        <x:f>COUNTIFS('Specialisations'!$A$6:$A$527,A134,'Specialisations'!$B$6:$B$527,B134)</x:f>
        <x:v>4</x:v>
      </x:c>
      <x:c r="D134" s="431" t="n">
        <x:f>COUNTIFS('Specialisations'!$A$6:$A$527,A134,'Specialisations'!$B$6:$B$527,B134,'Specialisations'!$P$6:$P$527,"OK")</x:f>
        <x:v>4</x:v>
      </x:c>
      <x:c r="E134" s="431" t="n">
        <x:f>C134-D134</x:f>
        <x:v>0</x:v>
      </x:c>
      <x:c r="F134" s="432" t="n">
        <x:f>IF(C134=0,0,D134/C134)</x:f>
        <x:v>1</x:v>
      </x:c>
      <x:c r="G134" s="433" t="n">
        <x:f>SUMIFS('Specialisations'!$N$6:$N$527,'Specialisations'!$A$6:$A$527,A134,'Specialisations'!$B$6:$B$527,B134,'Specialisations'!$C$6:$C$527,"Guards")</x:f>
        <x:v>0</x:v>
      </x:c>
      <x:c r="H134" s="433" t="n">
        <x:f>SUMIFS('Specialisations'!$N$6:$N$527,'Specialisations'!$A$6:$A$527,A134,'Specialisations'!$B$6:$B$527,B134,'Specialisations'!$C$6:$C$527,"Archers")</x:f>
        <x:v>4284300</x:v>
      </x:c>
      <x:c r="I134" s="433" t="n">
        <x:f>SUMIFS('Specialisations'!$N$6:$N$527,'Specialisations'!$A$6:$A$527,A134,'Specialisations'!$B$6:$B$527,B134,'Specialisations'!$C$6:$C$527,"Cavalry")</x:f>
        <x:v>10008600</x:v>
      </x:c>
      <x:c r="J134" s="433" t="n">
        <x:f>SUMIFS('Specialisations'!$N$6:$N$527,'Specialisations'!$A$6:$A$527,A134,'Specialisations'!$B$6:$B$527,B134,'Specialisations'!$C$6:$C$527,"Siege")</x:f>
        <x:v>5004300</x:v>
      </x:c>
      <x:c r="K134" s="433" t="n">
        <x:f>SUM(G134:J134)</x:f>
        <x:v>19297200</x:v>
      </x:c>
      <x:c r="L134" s="434" t="n">
        <x:f>IFERROR(100*K134/MAX($K$19:$K$186),0)</x:f>
        <x:v>31.121604753103743</x:v>
      </x:c>
      <x:c r="M134" s="495" t="n">
        <x:f>IF(C134=0,"",SUMIFS('Specialisations'!$Q$6:$Q$527,'Specialisations'!$A$6:$A$527,A134,'Specialisations'!$B$6:$B$527,B134))</x:f>
        <x:v>177.37</x:v>
      </x:c>
      <x:c r="N134" s="431" t="n">
        <x:f>IF(K134=0,"",1+COUNTIFS($A$19:$A$186,A134,$K$19:$K$186,"&gt;"&amp;K134))</x:f>
        <x:v>5</x:v>
      </x:c>
      <x:c r="O134" s="431" t="n">
        <x:f>IF(K134=0,"",1+COUNTIF($K$19:$K$186,"&gt;"&amp;K134))</x:f>
        <x:v>35</x:v>
      </x:c>
      <x:c r="P134" s="430" t="str">
        <x:f>IF(C134=0,"No specialisations recorded",IF(E134&gt;0,"Review missing level","Complete"))</x:f>
        <x:v>Complete</x:v>
      </x:c>
      <x:c r="Q134" s="434" t="n">
        <x:f>IF(COUNTIFS('Damage Ranking'!$B$6:$B$172,A134,'Damage Ranking'!$C$6:$C$172,B134)=0,"",SUMIFS('Damage Ranking'!$D$6:$D$172,'Damage Ranking'!$B$6:$B$172,A134,'Damage Ranking'!$C$6:$C$172,B134))</x:f>
        <x:v>56.70455364829482</x:v>
      </x:c>
      <x:c r="R134" s="431" t="n">
        <x:f>IF(Q134="","",SUMIFS('Damage Ranking'!$A$6:$A$172,'Damage Ranking'!$B$6:$B$172,A134,'Damage Ranking'!$C$6:$C$172,B134))</x:f>
        <x:v>28</x:v>
      </x:c>
      <x:c r="S134" s="431" t="n">
        <x:f>IF(OR(R134="",O134=""),"",R134-O134)</x:f>
        <x:v>-7</x:v>
      </x:c>
      <x:c r="T134" s="430" t="str">
        <x:f>IF(S134="","No damage score",IF(S134&gt;=20,"Badges much stronger",IF(S134&lt;=-20,"Damage much stronger","Broadly aligned")))</x:f>
        <x:v>Broadly aligned</x:v>
      </x:c>
      <x:c r="U134" s="434" t="n">
        <x:f>IF(Q134="","",Q134*(1-$R$5)+L134*$R$5)</x:f>
        <x:v>56.70455364829482</x:v>
      </x:c>
      <x:c r="V134" s="431" t="n">
        <x:f>IF(U134="","",1+COUNTIF($U$19:$U$186,"&gt;"&amp;U134))</x:f>
        <x:v>28</x:v>
      </x:c>
    </x:row>
    <x:row r="135" ht="24" customHeight="1">
      <x:c r="A135" s="430" t="str">
        <x:v>K54</x:v>
      </x:c>
      <x:c r="B135" s="430" t="str">
        <x:v>醉红尘</x:v>
      </x:c>
      <x:c r="C135" s="431" t="n">
        <x:f>COUNTIFS('Specialisations'!$A$6:$A$527,A135,'Specialisations'!$B$6:$B$527,B135)</x:f>
        <x:v>4</x:v>
      </x:c>
      <x:c r="D135" s="431" t="n">
        <x:f>COUNTIFS('Specialisations'!$A$6:$A$527,A135,'Specialisations'!$B$6:$B$527,B135,'Specialisations'!$P$6:$P$527,"OK")</x:f>
        <x:v>4</x:v>
      </x:c>
      <x:c r="E135" s="431" t="n">
        <x:f>C135-D135</x:f>
        <x:v>0</x:v>
      </x:c>
      <x:c r="F135" s="432" t="n">
        <x:f>IF(C135=0,0,D135/C135)</x:f>
        <x:v>1</x:v>
      </x:c>
      <x:c r="G135" s="433" t="n">
        <x:f>SUMIFS('Specialisations'!$N$6:$N$527,'Specialisations'!$A$6:$A$527,A135,'Specialisations'!$B$6:$B$527,B135,'Specialisations'!$C$6:$C$527,"Guards")</x:f>
        <x:v>0</x:v>
      </x:c>
      <x:c r="H135" s="433" t="n">
        <x:f>SUMIFS('Specialisations'!$N$6:$N$527,'Specialisations'!$A$6:$A$527,A135,'Specialisations'!$B$6:$B$527,B135,'Specialisations'!$C$6:$C$527,"Archers")</x:f>
        <x:v>2244300</x:v>
      </x:c>
      <x:c r="I135" s="433" t="n">
        <x:f>SUMIFS('Specialisations'!$N$6:$N$527,'Specialisations'!$A$6:$A$527,A135,'Specialisations'!$B$6:$B$527,B135,'Specialisations'!$C$6:$C$527,"Cavalry")</x:f>
        <x:v>3438600</x:v>
      </x:c>
      <x:c r="J135" s="433" t="n">
        <x:f>SUMIFS('Specialisations'!$N$6:$N$527,'Specialisations'!$A$6:$A$527,A135,'Specialisations'!$B$6:$B$527,B135,'Specialisations'!$C$6:$C$527,"Siege")</x:f>
        <x:v>2244300</x:v>
      </x:c>
      <x:c r="K135" s="433" t="n">
        <x:f>SUM(G135:J135)</x:f>
        <x:v>7927200</x:v>
      </x:c>
      <x:c r="L135" s="434" t="n">
        <x:f>IFERROR(100*K135/MAX($K$19:$K$186),0)</x:f>
        <x:v>12.784610471923594</x:v>
      </x:c>
      <x:c r="M135" s="495" t="n">
        <x:f>IF(C135=0,"",SUMIFS('Specialisations'!$Q$6:$Q$527,'Specialisations'!$A$6:$A$527,A135,'Specialisations'!$B$6:$B$527,B135))</x:f>
        <x:v>99.42</x:v>
      </x:c>
      <x:c r="N135" s="431" t="n">
        <x:f>IF(K135=0,"",1+COUNTIFS($A$19:$A$186,A135,$K$19:$K$186,"&gt;"&amp;K135))</x:f>
        <x:v>10</x:v>
      </x:c>
      <x:c r="O135" s="431" t="n">
        <x:f>IF(K135=0,"",1+COUNTIF($K$19:$K$186,"&gt;"&amp;K135))</x:f>
        <x:v>135</x:v>
      </x:c>
      <x:c r="P135" s="430" t="str">
        <x:f>IF(C135=0,"No specialisations recorded",IF(E135&gt;0,"Review missing level","Complete"))</x:f>
        <x:v>Complete</x:v>
      </x:c>
      <x:c r="Q135" s="434" t="n">
        <x:f>IF(COUNTIFS('Damage Ranking'!$B$6:$B$172,A135,'Damage Ranking'!$C$6:$C$172,B135)=0,"",SUMIFS('Damage Ranking'!$D$6:$D$172,'Damage Ranking'!$B$6:$B$172,A135,'Damage Ranking'!$C$6:$C$172,B135))</x:f>
        <x:v>84.59402175815462</x:v>
      </x:c>
      <x:c r="R135" s="431" t="n">
        <x:f>IF(Q135="","",SUMIFS('Damage Ranking'!$A$6:$A$172,'Damage Ranking'!$B$6:$B$172,A135,'Damage Ranking'!$C$6:$C$172,B135))</x:f>
        <x:v>6</x:v>
      </x:c>
      <x:c r="S135" s="431" t="n">
        <x:f>IF(OR(R135="",O135=""),"",R135-O135)</x:f>
        <x:v>-129</x:v>
      </x:c>
      <x:c r="T135" s="430" t="str">
        <x:f>IF(S135="","No damage score",IF(S135&gt;=20,"Badges much stronger",IF(S135&lt;=-20,"Damage much stronger","Broadly aligned")))</x:f>
        <x:v>Damage much stronger</x:v>
      </x:c>
      <x:c r="U135" s="434" t="n">
        <x:f>IF(Q135="","",Q135*(1-$R$5)+L135*$R$5)</x:f>
        <x:v>84.59402175815462</x:v>
      </x:c>
      <x:c r="V135" s="431" t="n">
        <x:f>IF(U135="","",1+COUNTIF($U$19:$U$186,"&gt;"&amp;U135))</x:f>
        <x:v>6</x:v>
      </x:c>
    </x:row>
    <x:row r="136" ht="24" customHeight="1">
      <x:c r="A136" s="430" t="str">
        <x:v>K54</x:v>
      </x:c>
      <x:c r="B136" s="430" t="str">
        <x:v>纵横,,,飞哥</x:v>
      </x:c>
      <x:c r="C136" s="431" t="n">
        <x:f>COUNTIFS('Specialisations'!$A$6:$A$527,A136,'Specialisations'!$B$6:$B$527,B136)</x:f>
        <x:v>2</x:v>
      </x:c>
      <x:c r="D136" s="431" t="n">
        <x:f>COUNTIFS('Specialisations'!$A$6:$A$527,A136,'Specialisations'!$B$6:$B$527,B136,'Specialisations'!$P$6:$P$527,"OK")</x:f>
        <x:v>2</x:v>
      </x:c>
      <x:c r="E136" s="431" t="n">
        <x:f>C136-D136</x:f>
        <x:v>0</x:v>
      </x:c>
      <x:c r="F136" s="432" t="n">
        <x:f>IF(C136=0,0,D136/C136)</x:f>
        <x:v>1</x:v>
      </x:c>
      <x:c r="G136" s="433" t="n">
        <x:f>SUMIFS('Specialisations'!$N$6:$N$527,'Specialisations'!$A$6:$A$527,A136,'Specialisations'!$B$6:$B$527,B136,'Specialisations'!$C$6:$C$527,"Guards")</x:f>
        <x:v>0</x:v>
      </x:c>
      <x:c r="H136" s="433" t="n">
        <x:f>SUMIFS('Specialisations'!$N$6:$N$527,'Specialisations'!$A$6:$A$527,A136,'Specialisations'!$B$6:$B$527,B136,'Specialisations'!$C$6:$C$527,"Archers")</x:f>
        <x:v>0</x:v>
      </x:c>
      <x:c r="I136" s="433" t="n">
        <x:f>SUMIFS('Specialisations'!$N$6:$N$527,'Specialisations'!$A$6:$A$527,A136,'Specialisations'!$B$6:$B$527,B136,'Specialisations'!$C$6:$C$527,"Cavalry")</x:f>
        <x:v>4768600</x:v>
      </x:c>
      <x:c r="J136" s="433" t="n">
        <x:f>SUMIFS('Specialisations'!$N$6:$N$527,'Specialisations'!$A$6:$A$527,A136,'Specialisations'!$B$6:$B$527,B136,'Specialisations'!$C$6:$C$527,"Siege")</x:f>
        <x:v>0</x:v>
      </x:c>
      <x:c r="K136" s="433" t="n">
        <x:f>SUM(G136:J136)</x:f>
        <x:v>4768600</x:v>
      </x:c>
      <x:c r="L136" s="434" t="n">
        <x:f>IFERROR(100*K136/MAX($K$19:$K$186),0)</x:f>
        <x:v>7.690570882078774</x:v>
      </x:c>
      <x:c r="M136" s="495" t="n">
        <x:f>IF(C136=0,"",SUMIFS('Specialisations'!$Q$6:$Q$527,'Specialisations'!$A$6:$A$527,A136,'Specialisations'!$B$6:$B$527,B136))</x:f>
        <x:v>58.12</x:v>
      </x:c>
      <x:c r="N136" s="431" t="n">
        <x:f>IF(K136=0,"",1+COUNTIFS($A$19:$A$186,A136,$K$19:$K$186,"&gt;"&amp;K136))</x:f>
        <x:v>12</x:v>
      </x:c>
      <x:c r="O136" s="431" t="n">
        <x:f>IF(K136=0,"",1+COUNTIF($K$19:$K$186,"&gt;"&amp;K136))</x:f>
        <x:v>153</x:v>
      </x:c>
      <x:c r="P136" s="430" t="str">
        <x:f>IF(C136=0,"No specialisations recorded",IF(E136&gt;0,"Review missing level","Complete"))</x:f>
        <x:v>Complete</x:v>
      </x:c>
      <x:c r="Q136" s="434" t="n">
        <x:f>IF(COUNTIFS('Damage Ranking'!$B$6:$B$172,A136,'Damage Ranking'!$C$6:$C$172,B136)=0,"",SUMIFS('Damage Ranking'!$D$6:$D$172,'Damage Ranking'!$B$6:$B$172,A136,'Damage Ranking'!$C$6:$C$172,B136))</x:f>
        <x:v>6.340245812034121</x:v>
      </x:c>
      <x:c r="R136" s="431" t="n">
        <x:f>IF(Q136="","",SUMIFS('Damage Ranking'!$A$6:$A$172,'Damage Ranking'!$B$6:$B$172,A136,'Damage Ranking'!$C$6:$C$172,B136))</x:f>
        <x:v>160</x:v>
      </x:c>
      <x:c r="S136" s="431" t="n">
        <x:f>IF(OR(R136="",O136=""),"",R136-O136)</x:f>
        <x:v>7</x:v>
      </x:c>
      <x:c r="T136" s="430" t="str">
        <x:f>IF(S136="","No damage score",IF(S136&gt;=20,"Badges much stronger",IF(S136&lt;=-20,"Damage much stronger","Broadly aligned")))</x:f>
        <x:v>Broadly aligned</x:v>
      </x:c>
      <x:c r="U136" s="434" t="n">
        <x:f>IF(Q136="","",Q136*(1-$R$5)+L136*$R$5)</x:f>
        <x:v>6.340245812034121</x:v>
      </x:c>
      <x:c r="V136" s="431" t="n">
        <x:f>IF(U136="","",1+COUNTIF($U$19:$U$186,"&gt;"&amp;U136))</x:f>
        <x:v>160</x:v>
      </x:c>
    </x:row>
    <x:row r="137" ht="24" customHeight="1">
      <x:c r="A137" s="430" t="str">
        <x:v>K54</x:v>
      </x:c>
      <x:c r="B137" s="430" t="str">
        <x:v>纵横,,,金王</x:v>
      </x:c>
      <x:c r="C137" s="431" t="n">
        <x:f>COUNTIFS('Specialisations'!$A$6:$A$527,A137,'Specialisations'!$B$6:$B$527,B137)</x:f>
        <x:v>4</x:v>
      </x:c>
      <x:c r="D137" s="431" t="n">
        <x:f>COUNTIFS('Specialisations'!$A$6:$A$527,A137,'Specialisations'!$B$6:$B$527,B137,'Specialisations'!$P$6:$P$527,"OK")</x:f>
        <x:v>4</x:v>
      </x:c>
      <x:c r="E137" s="431" t="n">
        <x:f>C137-D137</x:f>
        <x:v>0</x:v>
      </x:c>
      <x:c r="F137" s="432" t="n">
        <x:f>IF(C137=0,0,D137/C137)</x:f>
        <x:v>1</x:v>
      </x:c>
      <x:c r="G137" s="433" t="n">
        <x:f>SUMIFS('Specialisations'!$N$6:$N$527,'Specialisations'!$A$6:$A$527,A137,'Specialisations'!$B$6:$B$527,B137,'Specialisations'!$C$6:$C$527,"Guards")</x:f>
        <x:v>0</x:v>
      </x:c>
      <x:c r="H137" s="433" t="n">
        <x:f>SUMIFS('Specialisations'!$N$6:$N$527,'Specialisations'!$A$6:$A$527,A137,'Specialisations'!$B$6:$B$527,B137,'Specialisations'!$C$6:$C$527,"Archers")</x:f>
        <x:v>4284300</x:v>
      </x:c>
      <x:c r="I137" s="433" t="n">
        <x:f>SUMIFS('Specialisations'!$N$6:$N$527,'Specialisations'!$A$6:$A$527,A137,'Specialisations'!$B$6:$B$527,B137,'Specialisations'!$C$6:$C$527,"Cavalry")</x:f>
        <x:v>9288600</x:v>
      </x:c>
      <x:c r="J137" s="433" t="n">
        <x:f>SUMIFS('Specialisations'!$N$6:$N$527,'Specialisations'!$A$6:$A$527,A137,'Specialisations'!$B$6:$B$527,B137,'Specialisations'!$C$6:$C$527,"Siege")</x:f>
        <x:v>774300</x:v>
      </x:c>
      <x:c r="K137" s="433" t="n">
        <x:f>SUM(G137:J137)</x:f>
        <x:v>14347200</x:v>
      </x:c>
      <x:c r="L137" s="434" t="n">
        <x:f>IFERROR(100*K137/MAX($K$19:$K$186),0)</x:f>
        <x:v>23.138480593750906</x:v>
      </x:c>
      <x:c r="M137" s="495" t="n">
        <x:f>IF(C137=0,"",SUMIFS('Specialisations'!$Q$6:$Q$527,'Specialisations'!$A$6:$A$527,A137,'Specialisations'!$B$6:$B$527,B137))</x:f>
        <x:v>139.91</x:v>
      </x:c>
      <x:c r="N137" s="431" t="n">
        <x:f>IF(K137=0,"",1+COUNTIFS($A$19:$A$186,A137,$K$19:$K$186,"&gt;"&amp;K137))</x:f>
        <x:v>6</x:v>
      </x:c>
      <x:c r="O137" s="431" t="n">
        <x:f>IF(K137=0,"",1+COUNTIF($K$19:$K$186,"&gt;"&amp;K137))</x:f>
        <x:v>68</x:v>
      </x:c>
      <x:c r="P137" s="430" t="str">
        <x:f>IF(C137=0,"No specialisations recorded",IF(E137&gt;0,"Review missing level","Complete"))</x:f>
        <x:v>Complete</x:v>
      </x:c>
      <x:c r="Q137" s="434" t="n">
        <x:f>IF(COUNTIFS('Damage Ranking'!$B$6:$B$172,A137,'Damage Ranking'!$C$6:$C$172,B137)=0,"",SUMIFS('Damage Ranking'!$D$6:$D$172,'Damage Ranking'!$B$6:$B$172,A137,'Damage Ranking'!$C$6:$C$172,B137))</x:f>
        <x:v>65.84445450216218</x:v>
      </x:c>
      <x:c r="R137" s="431" t="n">
        <x:f>IF(Q137="","",SUMIFS('Damage Ranking'!$A$6:$A$172,'Damage Ranking'!$B$6:$B$172,A137,'Damage Ranking'!$C$6:$C$172,B137))</x:f>
        <x:v>19</x:v>
      </x:c>
      <x:c r="S137" s="431" t="n">
        <x:f>IF(OR(R137="",O137=""),"",R137-O137)</x:f>
        <x:v>-49</x:v>
      </x:c>
      <x:c r="T137" s="430" t="str">
        <x:f>IF(S137="","No damage score",IF(S137&gt;=20,"Badges much stronger",IF(S137&lt;=-20,"Damage much stronger","Broadly aligned")))</x:f>
        <x:v>Damage much stronger</x:v>
      </x:c>
      <x:c r="U137" s="434" t="n">
        <x:f>IF(Q137="","",Q137*(1-$R$5)+L137*$R$5)</x:f>
        <x:v>65.84445450216218</x:v>
      </x:c>
      <x:c r="V137" s="431" t="n">
        <x:f>IF(U137="","",1+COUNTIF($U$19:$U$186,"&gt;"&amp;U137))</x:f>
        <x:v>19</x:v>
      </x:c>
    </x:row>
    <x:row r="138" ht="24" customHeight="1">
      <x:c r="A138" s="430" t="str">
        <x:v>K54</x:v>
      </x:c>
      <x:c r="B138" s="430" t="str">
        <x:v>奕星的殺猪盤</x:v>
      </x:c>
      <x:c r="C138" s="431" t="n">
        <x:f>COUNTIFS('Specialisations'!$A$6:$A$527,A138,'Specialisations'!$B$6:$B$527,B138)</x:f>
        <x:v>2</x:v>
      </x:c>
      <x:c r="D138" s="431" t="n">
        <x:f>COUNTIFS('Specialisations'!$A$6:$A$527,A138,'Specialisations'!$B$6:$B$527,B138,'Specialisations'!$P$6:$P$527,"OK")</x:f>
        <x:v>2</x:v>
      </x:c>
      <x:c r="E138" s="431" t="n">
        <x:f>C138-D138</x:f>
        <x:v>0</x:v>
      </x:c>
      <x:c r="F138" s="432" t="n">
        <x:f>IF(C138=0,0,D138/C138)</x:f>
        <x:v>1</x:v>
      </x:c>
      <x:c r="G138" s="433" t="n">
        <x:f>SUMIFS('Specialisations'!$N$6:$N$527,'Specialisations'!$A$6:$A$527,A138,'Specialisations'!$B$6:$B$527,B138,'Specialisations'!$C$6:$C$527,"Guards")</x:f>
        <x:v>0</x:v>
      </x:c>
      <x:c r="H138" s="433" t="n">
        <x:f>SUMIFS('Specialisations'!$N$6:$N$527,'Specialisations'!$A$6:$A$527,A138,'Specialisations'!$B$6:$B$527,B138,'Specialisations'!$C$6:$C$527,"Archers")</x:f>
        <x:v>0</x:v>
      </x:c>
      <x:c r="I138" s="433" t="n">
        <x:f>SUMIFS('Specialisations'!$N$6:$N$527,'Specialisations'!$A$6:$A$527,A138,'Specialisations'!$B$6:$B$527,B138,'Specialisations'!$C$6:$C$527,"Cavalry")</x:f>
        <x:v>8568600</x:v>
      </x:c>
      <x:c r="J138" s="433" t="n">
        <x:f>SUMIFS('Specialisations'!$N$6:$N$527,'Specialisations'!$A$6:$A$527,A138,'Specialisations'!$B$6:$B$527,B138,'Specialisations'!$C$6:$C$527,"Siege")</x:f>
        <x:v>0</x:v>
      </x:c>
      <x:c r="K138" s="433" t="n">
        <x:f>SUM(G138:J138)</x:f>
        <x:v>8568600</x:v>
      </x:c>
      <x:c r="L138" s="434" t="n">
        <x:f>IFERROR(100*K138/MAX($K$19:$K$186),0)</x:f>
        <x:v>13.81902983269307</x:v>
      </x:c>
      <x:c r="M138" s="495" t="n">
        <x:f>IF(C138=0,"",SUMIFS('Specialisations'!$Q$6:$Q$527,'Specialisations'!$A$6:$A$527,A138,'Specialisations'!$B$6:$B$527,B138))</x:f>
        <x:v>83.96</x:v>
      </x:c>
      <x:c r="N138" s="431" t="n">
        <x:f>IF(K138=0,"",1+COUNTIFS($A$19:$A$186,A138,$K$19:$K$186,"&gt;"&amp;K138))</x:f>
        <x:v>9</x:v>
      </x:c>
      <x:c r="O138" s="431" t="n">
        <x:f>IF(K138=0,"",1+COUNTIF($K$19:$K$186,"&gt;"&amp;K138))</x:f>
        <x:v>130</x:v>
      </x:c>
      <x:c r="P138" s="430" t="str">
        <x:f>IF(C138=0,"No specialisations recorded",IF(E138&gt;0,"Review missing level","Complete"))</x:f>
        <x:v>Complete</x:v>
      </x:c>
      <x:c r="Q138" s="434" t="n">
        <x:f>IF(COUNTIFS('Damage Ranking'!$B$6:$B$172,A138,'Damage Ranking'!$C$6:$C$172,B138)=0,"",SUMIFS('Damage Ranking'!$D$6:$D$172,'Damage Ranking'!$B$6:$B$172,A138,'Damage Ranking'!$C$6:$C$172,B138))</x:f>
        <x:v>19.184771668506777</x:v>
      </x:c>
      <x:c r="R138" s="431" t="n">
        <x:f>IF(Q138="","",SUMIFS('Damage Ranking'!$A$6:$A$172,'Damage Ranking'!$B$6:$B$172,A138,'Damage Ranking'!$C$6:$C$172,B138))</x:f>
        <x:v>126</x:v>
      </x:c>
      <x:c r="S138" s="431" t="n">
        <x:f>IF(OR(R138="",O138=""),"",R138-O138)</x:f>
        <x:v>-4</x:v>
      </x:c>
      <x:c r="T138" s="430" t="str">
        <x:f>IF(S138="","No damage score",IF(S138&gt;=20,"Badges much stronger",IF(S138&lt;=-20,"Damage much stronger","Broadly aligned")))</x:f>
        <x:v>Broadly aligned</x:v>
      </x:c>
      <x:c r="U138" s="434" t="n">
        <x:f>IF(Q138="","",Q138*(1-$R$5)+L138*$R$5)</x:f>
        <x:v>19.184771668506777</x:v>
      </x:c>
      <x:c r="V138" s="431" t="n">
        <x:f>IF(U138="","",1+COUNTIF($U$19:$U$186,"&gt;"&amp;U138))</x:f>
        <x:v>126</x:v>
      </x:c>
    </x:row>
    <x:row r="139" ht="24" customHeight="1">
      <x:c r="A139" s="430" t="str">
        <x:v>K54</x:v>
      </x:c>
      <x:c r="B139" s="430" t="str">
        <x:v>纵横,,,离火</x:v>
      </x:c>
      <x:c r="C139" s="431" t="n">
        <x:f>COUNTIFS('Specialisations'!$A$6:$A$527,A139,'Specialisations'!$B$6:$B$527,B139)</x:f>
        <x:v>4</x:v>
      </x:c>
      <x:c r="D139" s="431" t="n">
        <x:f>COUNTIFS('Specialisations'!$A$6:$A$527,A139,'Specialisations'!$B$6:$B$527,B139,'Specialisations'!$P$6:$P$527,"OK")</x:f>
        <x:v>4</x:v>
      </x:c>
      <x:c r="E139" s="431" t="n">
        <x:f>C139-D139</x:f>
        <x:v>0</x:v>
      </x:c>
      <x:c r="F139" s="432" t="n">
        <x:f>IF(C139=0,0,D139/C139)</x:f>
        <x:v>1</x:v>
      </x:c>
      <x:c r="G139" s="433" t="n">
        <x:f>SUMIFS('Specialisations'!$N$6:$N$527,'Specialisations'!$A$6:$A$527,A139,'Specialisations'!$B$6:$B$527,B139,'Specialisations'!$C$6:$C$527,"Guards")</x:f>
        <x:v>0</x:v>
      </x:c>
      <x:c r="H139" s="433" t="n">
        <x:f>SUMIFS('Specialisations'!$N$6:$N$527,'Specialisations'!$A$6:$A$527,A139,'Specialisations'!$B$6:$B$527,B139,'Specialisations'!$C$6:$C$527,"Archers")</x:f>
        <x:v>3244300</x:v>
      </x:c>
      <x:c r="I139" s="433" t="n">
        <x:f>SUMIFS('Specialisations'!$N$6:$N$527,'Specialisations'!$A$6:$A$527,A139,'Specialisations'!$B$6:$B$527,B139,'Specialisations'!$C$6:$C$527,"Cavalry")</x:f>
        <x:v>7528600</x:v>
      </x:c>
      <x:c r="J139" s="433" t="n">
        <x:f>SUMIFS('Specialisations'!$N$6:$N$527,'Specialisations'!$A$6:$A$527,A139,'Specialisations'!$B$6:$B$527,B139,'Specialisations'!$C$6:$C$527,"Siege")</x:f>
        <x:v>2524300</x:v>
      </x:c>
      <x:c r="K139" s="433" t="n">
        <x:f>SUM(G139:J139)</x:f>
        <x:v>13297200</x:v>
      </x:c>
      <x:c r="L139" s="434" t="n">
        <x:f>IFERROR(100*K139/MAX($K$19:$K$186),0)</x:f>
        <x:v>21.44509062055485</x:v>
      </x:c>
      <x:c r="M139" s="495" t="n">
        <x:f>IF(C139=0,"",SUMIFS('Specialisations'!$Q$6:$Q$527,'Specialisations'!$A$6:$A$527,A139,'Specialisations'!$B$6:$B$527,B139))</x:f>
        <x:v>144.32</x:v>
      </x:c>
      <x:c r="N139" s="431" t="n">
        <x:f>IF(K139=0,"",1+COUNTIFS($A$19:$A$186,A139,$K$19:$K$186,"&gt;"&amp;K139))</x:f>
        <x:v>7</x:v>
      </x:c>
      <x:c r="O139" s="431" t="n">
        <x:f>IF(K139=0,"",1+COUNTIF($K$19:$K$186,"&gt;"&amp;K139))</x:f>
        <x:v>79</x:v>
      </x:c>
      <x:c r="P139" s="430" t="str">
        <x:f>IF(C139=0,"No specialisations recorded",IF(E139&gt;0,"Review missing level","Complete"))</x:f>
        <x:v>Complete</x:v>
      </x:c>
      <x:c r="Q139" s="434" t="n">
        <x:f>IF(COUNTIFS('Damage Ranking'!$B$6:$B$172,A139,'Damage Ranking'!$C$6:$C$172,B139)=0,"",SUMIFS('Damage Ranking'!$D$6:$D$172,'Damage Ranking'!$B$6:$B$172,A139,'Damage Ranking'!$C$6:$C$172,B139))</x:f>
        <x:v>35.93282416692956</x:v>
      </x:c>
      <x:c r="R139" s="431" t="n">
        <x:f>IF(Q139="","",SUMIFS('Damage Ranking'!$A$6:$A$172,'Damage Ranking'!$B$6:$B$172,A139,'Damage Ranking'!$C$6:$C$172,B139))</x:f>
        <x:v>79</x:v>
      </x:c>
      <x:c r="S139" s="431" t="n">
        <x:f>IF(OR(R139="",O139=""),"",R139-O139)</x:f>
        <x:v>0</x:v>
      </x:c>
      <x:c r="T139" s="430" t="str">
        <x:f>IF(S139="","No damage score",IF(S139&gt;=20,"Badges much stronger",IF(S139&lt;=-20,"Damage much stronger","Broadly aligned")))</x:f>
        <x:v>No damage score</x:v>
      </x:c>
      <x:c r="U139" s="434" t="n">
        <x:f>IF(Q139="","",Q139*(1-$R$5)+L139*$R$5)</x:f>
        <x:v>35.93282416692956</x:v>
      </x:c>
      <x:c r="V139" s="431" t="n">
        <x:f>IF(U139="","",1+COUNTIF($U$19:$U$186,"&gt;"&amp;U139))</x:f>
        <x:v>79</x:v>
      </x:c>
    </x:row>
    <x:row r="140" ht="24" customHeight="1">
      <x:c r="A140" s="430" t="str">
        <x:v>K54</x:v>
      </x:c>
      <x:c r="B140" s="430" t="str">
        <x:v>ony</x:v>
      </x:c>
      <x:c r="C140" s="431" t="n">
        <x:f>COUNTIFS('Specialisations'!$A$6:$A$527,A140,'Specialisations'!$B$6:$B$527,B140)</x:f>
        <x:v>4</x:v>
      </x:c>
      <x:c r="D140" s="431" t="n">
        <x:f>COUNTIFS('Specialisations'!$A$6:$A$527,A140,'Specialisations'!$B$6:$B$527,B140,'Specialisations'!$P$6:$P$527,"OK")</x:f>
        <x:v>4</x:v>
      </x:c>
      <x:c r="E140" s="431" t="n">
        <x:f>C140-D140</x:f>
        <x:v>0</x:v>
      </x:c>
      <x:c r="F140" s="432" t="n">
        <x:f>IF(C140=0,0,D140/C140)</x:f>
        <x:v>1</x:v>
      </x:c>
      <x:c r="G140" s="433" t="n">
        <x:f>SUMIFS('Specialisations'!$N$6:$N$527,'Specialisations'!$A$6:$A$527,A140,'Specialisations'!$B$6:$B$527,B140,'Specialisations'!$C$6:$C$527,"Guards")</x:f>
        <x:v>0</x:v>
      </x:c>
      <x:c r="H140" s="433" t="n">
        <x:f>SUMIFS('Specialisations'!$N$6:$N$527,'Specialisations'!$A$6:$A$527,A140,'Specialisations'!$B$6:$B$527,B140,'Specialisations'!$C$6:$C$527,"Archers")</x:f>
        <x:v>3244300</x:v>
      </x:c>
      <x:c r="I140" s="433" t="n">
        <x:f>SUMIFS('Specialisations'!$N$6:$N$527,'Specialisations'!$A$6:$A$527,A140,'Specialisations'!$B$6:$B$527,B140,'Specialisations'!$C$6:$C$527,"Cavalry")</x:f>
        <x:v>15268600</x:v>
      </x:c>
      <x:c r="J140" s="433" t="n">
        <x:f>SUMIFS('Specialisations'!$N$6:$N$527,'Specialisations'!$A$6:$A$527,A140,'Specialisations'!$B$6:$B$527,B140,'Specialisations'!$C$6:$C$527,"Siege")</x:f>
        <x:v>3724300</x:v>
      </x:c>
      <x:c r="K140" s="433" t="n">
        <x:f>SUM(G140:J140)</x:f>
        <x:v>22237200</x:v>
      </x:c>
      <x:c r="L140" s="434" t="n">
        <x:f>IFERROR(100*K140/MAX($K$19:$K$186),0)</x:f>
        <x:v>35.8630966780527</x:v>
      </x:c>
      <x:c r="M140" s="495" t="n">
        <x:f>IF(C140=0,"",SUMIFS('Specialisations'!$Q$6:$Q$527,'Specialisations'!$A$6:$A$527,A140,'Specialisations'!$B$6:$B$527,B140))</x:f>
        <x:v>182.85000000000002</x:v>
      </x:c>
      <x:c r="N140" s="431" t="n">
        <x:f>IF(K140=0,"",1+COUNTIFS($A$19:$A$186,A140,$K$19:$K$186,"&gt;"&amp;K140))</x:f>
        <x:v>4</x:v>
      </x:c>
      <x:c r="O140" s="431" t="n">
        <x:f>IF(K140=0,"",1+COUNTIF($K$19:$K$186,"&gt;"&amp;K140))</x:f>
        <x:v>22</x:v>
      </x:c>
      <x:c r="P140" s="430" t="str">
        <x:f>IF(C140=0,"No specialisations recorded",IF(E140&gt;0,"Review missing level","Complete"))</x:f>
        <x:v>Complete</x:v>
      </x:c>
      <x:c r="Q140" s="434" t="n">
        <x:f>IF(COUNTIFS('Damage Ranking'!$B$6:$B$172,A140,'Damage Ranking'!$C$6:$C$172,B140)=0,"",SUMIFS('Damage Ranking'!$D$6:$D$172,'Damage Ranking'!$B$6:$B$172,A140,'Damage Ranking'!$C$6:$C$172,B140))</x:f>
        <x:v>50.075452994910115</x:v>
      </x:c>
      <x:c r="R140" s="431" t="n">
        <x:f>IF(Q140="","",SUMIFS('Damage Ranking'!$A$6:$A$172,'Damage Ranking'!$B$6:$B$172,A140,'Damage Ranking'!$C$6:$C$172,B140))</x:f>
        <x:v>38</x:v>
      </x:c>
      <x:c r="S140" s="431" t="n">
        <x:f>IF(OR(R140="",O140=""),"",R140-O140)</x:f>
        <x:v>16</x:v>
      </x:c>
      <x:c r="T140" s="430" t="str">
        <x:f>IF(S140="","No damage score",IF(S140&gt;=20,"Badges much stronger",IF(S140&lt;=-20,"Damage much stronger","Broadly aligned")))</x:f>
        <x:v>Broadly aligned</x:v>
      </x:c>
      <x:c r="U140" s="434" t="n">
        <x:f>IF(Q140="","",Q140*(1-$R$5)+L140*$R$5)</x:f>
        <x:v>50.075452994910115</x:v>
      </x:c>
      <x:c r="V140" s="431" t="n">
        <x:f>IF(U140="","",1+COUNTIF($U$19:$U$186,"&gt;"&amp;U140))</x:f>
        <x:v>38</x:v>
      </x:c>
    </x:row>
    <x:row r="141" ht="24" customHeight="1">
      <x:c r="A141" s="430" t="str">
        <x:v>K197</x:v>
      </x:c>
      <x:c r="B141" s="430" t="str">
        <x:v>Хлебушек</x:v>
      </x:c>
      <x:c r="C141" s="431" t="n">
        <x:f>COUNTIFS('Specialisations'!$A$6:$A$527,A141,'Specialisations'!$B$6:$B$527,B141)</x:f>
        <x:v>6</x:v>
      </x:c>
      <x:c r="D141" s="431" t="n">
        <x:f>COUNTIFS('Specialisations'!$A$6:$A$527,A141,'Specialisations'!$B$6:$B$527,B141,'Specialisations'!$P$6:$P$527,"OK")</x:f>
        <x:v>6</x:v>
      </x:c>
      <x:c r="E141" s="431" t="n">
        <x:f>C141-D141</x:f>
        <x:v>0</x:v>
      </x:c>
      <x:c r="F141" s="432" t="n">
        <x:f>IF(C141=0,0,D141/C141)</x:f>
        <x:v>1</x:v>
      </x:c>
      <x:c r="G141" s="433" t="n">
        <x:f>SUMIFS('Specialisations'!$N$6:$N$527,'Specialisations'!$A$6:$A$527,A141,'Specialisations'!$B$6:$B$527,B141,'Specialisations'!$C$6:$C$527,"Guards")</x:f>
        <x:v>10334300</x:v>
      </x:c>
      <x:c r="H141" s="433" t="n">
        <x:f>SUMIFS('Specialisations'!$N$6:$N$527,'Specialisations'!$A$6:$A$527,A141,'Specialisations'!$B$6:$B$527,B141,'Specialisations'!$C$6:$C$527,"Archers")</x:f>
        <x:v>20668600</x:v>
      </x:c>
      <x:c r="I141" s="433" t="n">
        <x:f>SUMIFS('Specialisations'!$N$6:$N$527,'Specialisations'!$A$6:$A$527,A141,'Specialisations'!$B$6:$B$527,B141,'Specialisations'!$C$6:$C$527,"Cavalry")</x:f>
        <x:v>20668600</x:v>
      </x:c>
      <x:c r="J141" s="433" t="n">
        <x:f>SUMIFS('Specialisations'!$N$6:$N$527,'Specialisations'!$A$6:$A$527,A141,'Specialisations'!$B$6:$B$527,B141,'Specialisations'!$C$6:$C$527,"Siege")</x:f>
        <x:v>10334300</x:v>
      </x:c>
      <x:c r="K141" s="433" t="n">
        <x:f>SUM(G141:J141)</x:f>
        <x:v>62005800</x:v>
      </x:c>
      <x:c r="L141" s="434" t="n">
        <x:f>IFERROR(100*K141/MAX($K$19:$K$186),0)</x:f>
        <x:v>100</x:v>
      </x:c>
      <x:c r="M141" s="495" t="n">
        <x:f>IF(C141=0,"",SUMIFS('Specialisations'!$Q$6:$Q$527,'Specialisations'!$A$6:$A$527,A141,'Specialisations'!$B$6:$B$527,B141))</x:f>
        <x:v>240</x:v>
      </x:c>
      <x:c r="N141" s="431" t="n">
        <x:f>IF(K141=0,"",1+COUNTIFS($A$19:$A$186,A141,$K$19:$K$186,"&gt;"&amp;K141))</x:f>
        <x:v>1</x:v>
      </x:c>
      <x:c r="O141" s="431" t="n">
        <x:f>IF(K141=0,"",1+COUNTIF($K$19:$K$186,"&gt;"&amp;K141))</x:f>
        <x:v>1</x:v>
      </x:c>
      <x:c r="P141" s="430" t="str">
        <x:f>IF(C141=0,"No specialisations recorded",IF(E141&gt;0,"Review missing level","Complete"))</x:f>
        <x:v>Complete</x:v>
      </x:c>
      <x:c r="Q141" s="434" t="n">
        <x:f>IF(COUNTIFS('Damage Ranking'!$B$6:$B$172,A141,'Damage Ranking'!$C$6:$C$172,B141)=0,"",SUMIFS('Damage Ranking'!$D$6:$D$172,'Damage Ranking'!$B$6:$B$172,A141,'Damage Ranking'!$C$6:$C$172,B141))</x:f>
        <x:v>95.91360373979555</x:v>
      </x:c>
      <x:c r="R141" s="431" t="n">
        <x:f>IF(Q141="","",SUMIFS('Damage Ranking'!$A$6:$A$172,'Damage Ranking'!$B$6:$B$172,A141,'Damage Ranking'!$C$6:$C$172,B141))</x:f>
        <x:v>1</x:v>
      </x:c>
      <x:c r="S141" s="431" t="n">
        <x:f>IF(OR(R141="",O141=""),"",R141-O141)</x:f>
        <x:v>0</x:v>
      </x:c>
      <x:c r="T141" s="430" t="str">
        <x:f>IF(S141="","No damage score",IF(S141&gt;=20,"Badges much stronger",IF(S141&lt;=-20,"Damage much stronger","Broadly aligned")))</x:f>
        <x:v>No damage score</x:v>
      </x:c>
      <x:c r="U141" s="434" t="n">
        <x:f>IF(Q141="","",Q141*(1-$R$5)+L141*$R$5)</x:f>
        <x:v>95.91360373979555</x:v>
      </x:c>
      <x:c r="V141" s="431" t="n">
        <x:f>IF(U141="","",1+COUNTIF($U$19:$U$186,"&gt;"&amp;U141))</x:f>
        <x:v>1</x:v>
      </x:c>
    </x:row>
    <x:row r="142" ht="24" customHeight="1">
      <x:c r="A142" s="430" t="str">
        <x:v>K197</x:v>
      </x:c>
      <x:c r="B142" s="430" t="str">
        <x:v>Zakmil23139</x:v>
      </x:c>
      <x:c r="C142" s="431" t="n">
        <x:f>COUNTIFS('Specialisations'!$A$6:$A$527,A142,'Specialisations'!$B$6:$B$527,B142)</x:f>
        <x:v>3</x:v>
      </x:c>
      <x:c r="D142" s="431" t="n">
        <x:f>COUNTIFS('Specialisations'!$A$6:$A$527,A142,'Specialisations'!$B$6:$B$527,B142,'Specialisations'!$P$6:$P$527,"OK")</x:f>
        <x:v>3</x:v>
      </x:c>
      <x:c r="E142" s="431" t="n">
        <x:f>C142-D142</x:f>
        <x:v>0</x:v>
      </x:c>
      <x:c r="F142" s="432" t="n">
        <x:f>IF(C142=0,0,D142/C142)</x:f>
        <x:v>1</x:v>
      </x:c>
      <x:c r="G142" s="433" t="n">
        <x:f>SUMIFS('Specialisations'!$N$6:$N$527,'Specialisations'!$A$6:$A$527,A142,'Specialisations'!$B$6:$B$527,B142,'Specialisations'!$C$6:$C$527,"Guards")</x:f>
        <x:v>0</x:v>
      </x:c>
      <x:c r="H142" s="433" t="n">
        <x:f>SUMIFS('Specialisations'!$N$6:$N$527,'Specialisations'!$A$6:$A$527,A142,'Specialisations'!$B$6:$B$527,B142,'Specialisations'!$C$6:$C$527,"Archers")</x:f>
        <x:v>10334300</x:v>
      </x:c>
      <x:c r="I142" s="433" t="n">
        <x:f>SUMIFS('Specialisations'!$N$6:$N$527,'Specialisations'!$A$6:$A$527,A142,'Specialisations'!$B$6:$B$527,B142,'Specialisations'!$C$6:$C$527,"Cavalry")</x:f>
        <x:v>5004300</x:v>
      </x:c>
      <x:c r="J142" s="433" t="n">
        <x:f>SUMIFS('Specialisations'!$N$6:$N$527,'Specialisations'!$A$6:$A$527,A142,'Specialisations'!$B$6:$B$527,B142,'Specialisations'!$C$6:$C$527,"Siege")</x:f>
        <x:v>1624300</x:v>
      </x:c>
      <x:c r="K142" s="433" t="n">
        <x:f>SUM(G142:J142)</x:f>
        <x:v>16962900</x:v>
      </x:c>
      <x:c r="L142" s="434" t="n">
        <x:f>IFERROR(100*K142/MAX($K$19:$K$186),0)</x:f>
        <x:v>27.356956929835597</x:v>
      </x:c>
      <x:c r="M142" s="495" t="n">
        <x:f>IF(C142=0,"",SUMIFS('Specialisations'!$Q$6:$Q$527,'Specialisations'!$A$6:$A$527,A142,'Specialisations'!$B$6:$B$527,B142))</x:f>
        <x:v>125.86</x:v>
      </x:c>
      <x:c r="N142" s="431" t="n">
        <x:f>IF(K142=0,"",1+COUNTIFS($A$19:$A$186,A142,$K$19:$K$186,"&gt;"&amp;K142))</x:f>
        <x:v>5</x:v>
      </x:c>
      <x:c r="O142" s="431" t="n">
        <x:f>IF(K142=0,"",1+COUNTIF($K$19:$K$186,"&gt;"&amp;K142))</x:f>
        <x:v>50</x:v>
      </x:c>
      <x:c r="P142" s="430" t="str">
        <x:f>IF(C142=0,"No specialisations recorded",IF(E142&gt;0,"Review missing level","Complete"))</x:f>
        <x:v>Complete</x:v>
      </x:c>
      <x:c r="Q142" s="434" t="n">
        <x:f>IF(COUNTIFS('Damage Ranking'!$B$6:$B$172,A142,'Damage Ranking'!$C$6:$C$172,B142)=0,"",SUMIFS('Damage Ranking'!$D$6:$D$172,'Damage Ranking'!$B$6:$B$172,A142,'Damage Ranking'!$C$6:$C$172,B142))</x:f>
        <x:v>46.2139673208184</x:v>
      </x:c>
      <x:c r="R142" s="431" t="n">
        <x:f>IF(Q142="","",SUMIFS('Damage Ranking'!$A$6:$A$172,'Damage Ranking'!$B$6:$B$172,A142,'Damage Ranking'!$C$6:$C$172,B142))</x:f>
        <x:v>47</x:v>
      </x:c>
      <x:c r="S142" s="431" t="n">
        <x:f>IF(OR(R142="",O142=""),"",R142-O142)</x:f>
        <x:v>-3</x:v>
      </x:c>
      <x:c r="T142" s="430" t="str">
        <x:f>IF(S142="","No damage score",IF(S142&gt;=20,"Badges much stronger",IF(S142&lt;=-20,"Damage much stronger","Broadly aligned")))</x:f>
        <x:v>Broadly aligned</x:v>
      </x:c>
      <x:c r="U142" s="434" t="n">
        <x:f>IF(Q142="","",Q142*(1-$R$5)+L142*$R$5)</x:f>
        <x:v>46.2139673208184</x:v>
      </x:c>
      <x:c r="V142" s="431" t="n">
        <x:f>IF(U142="","",1+COUNTIF($U$19:$U$186,"&gt;"&amp;U142))</x:f>
        <x:v>47</x:v>
      </x:c>
    </x:row>
    <x:row r="143" ht="24" customHeight="1">
      <x:c r="A143" s="430" t="str">
        <x:v>K197</x:v>
      </x:c>
      <x:c r="B143" s="430" t="str">
        <x:v>NightFury</x:v>
      </x:c>
      <x:c r="C143" s="431" t="n">
        <x:f>COUNTIFS('Specialisations'!$A$6:$A$527,A143,'Specialisations'!$B$6:$B$527,B143)</x:f>
        <x:v>2</x:v>
      </x:c>
      <x:c r="D143" s="431" t="n">
        <x:f>COUNTIFS('Specialisations'!$A$6:$A$527,A143,'Specialisations'!$B$6:$B$527,B143,'Specialisations'!$P$6:$P$527,"OK")</x:f>
        <x:v>2</x:v>
      </x:c>
      <x:c r="E143" s="431" t="n">
        <x:f>C143-D143</x:f>
        <x:v>0</x:v>
      </x:c>
      <x:c r="F143" s="432" t="n">
        <x:f>IF(C143=0,0,D143/C143)</x:f>
        <x:v>1</x:v>
      </x:c>
      <x:c r="G143" s="433" t="n">
        <x:f>SUMIFS('Specialisations'!$N$6:$N$527,'Specialisations'!$A$6:$A$527,A143,'Specialisations'!$B$6:$B$527,B143,'Specialisations'!$C$6:$C$527,"Guards")</x:f>
        <x:v>1194300</x:v>
      </x:c>
      <x:c r="H143" s="433" t="n">
        <x:f>SUMIFS('Specialisations'!$N$6:$N$527,'Specialisations'!$A$6:$A$527,A143,'Specialisations'!$B$6:$B$527,B143,'Specialisations'!$C$6:$C$527,"Archers")</x:f>
        <x:v>0</x:v>
      </x:c>
      <x:c r="I143" s="433" t="n">
        <x:f>SUMIFS('Specialisations'!$N$6:$N$527,'Specialisations'!$A$6:$A$527,A143,'Specialisations'!$B$6:$B$527,B143,'Specialisations'!$C$6:$C$527,"Cavalry")</x:f>
        <x:v>10334300</x:v>
      </x:c>
      <x:c r="J143" s="433" t="n">
        <x:f>SUMIFS('Specialisations'!$N$6:$N$527,'Specialisations'!$A$6:$A$527,A143,'Specialisations'!$B$6:$B$527,B143,'Specialisations'!$C$6:$C$527,"Siege")</x:f>
        <x:v>0</x:v>
      </x:c>
      <x:c r="K143" s="433" t="n">
        <x:f>SUM(G143:J143)</x:f>
        <x:v>11528600</x:v>
      </x:c>
      <x:c r="L143" s="434" t="n">
        <x:f>IFERROR(100*K143/MAX($K$19:$K$186),0)</x:f>
        <x:v>18.592776804750525</x:v>
      </x:c>
      <x:c r="M143" s="495" t="n">
        <x:f>IF(C143=0,"",SUMIFS('Specialisations'!$Q$6:$Q$527,'Specialisations'!$A$6:$A$527,A143,'Specialisations'!$B$6:$B$527,B143))</x:f>
        <x:v>43.8</x:v>
      </x:c>
      <x:c r="N143" s="431" t="n">
        <x:f>IF(K143=0,"",1+COUNTIFS($A$19:$A$186,A143,$K$19:$K$186,"&gt;"&amp;K143))</x:f>
        <x:v>7</x:v>
      </x:c>
      <x:c r="O143" s="431" t="n">
        <x:f>IF(K143=0,"",1+COUNTIF($K$19:$K$186,"&gt;"&amp;K143))</x:f>
        <x:v>102</x:v>
      </x:c>
      <x:c r="P143" s="430" t="str">
        <x:f>IF(C143=0,"No specialisations recorded",IF(E143&gt;0,"Review missing level","Complete"))</x:f>
        <x:v>Complete</x:v>
      </x:c>
      <x:c r="Q143" s="434" t="n">
        <x:f>IF(COUNTIFS('Damage Ranking'!$B$6:$B$172,A143,'Damage Ranking'!$C$6:$C$172,B143)=0,"",SUMIFS('Damage Ranking'!$D$6:$D$172,'Damage Ranking'!$B$6:$B$172,A143,'Damage Ranking'!$C$6:$C$172,B143))</x:f>
        <x:v>17.99341568709921</x:v>
      </x:c>
      <x:c r="R143" s="431" t="n">
        <x:f>IF(Q143="","",SUMIFS('Damage Ranking'!$A$6:$A$172,'Damage Ranking'!$B$6:$B$172,A143,'Damage Ranking'!$C$6:$C$172,B143))</x:f>
        <x:v>132</x:v>
      </x:c>
      <x:c r="S143" s="431" t="n">
        <x:f>IF(OR(R143="",O143=""),"",R143-O143)</x:f>
        <x:v>30</x:v>
      </x:c>
      <x:c r="T143" s="430" t="str">
        <x:f>IF(S143="","No damage score",IF(S143&gt;=20,"Badges much stronger",IF(S143&lt;=-20,"Damage much stronger","Broadly aligned")))</x:f>
        <x:v>Badges much stronger</x:v>
      </x:c>
      <x:c r="U143" s="434" t="n">
        <x:f>IF(Q143="","",Q143*(1-$R$5)+L143*$R$5)</x:f>
        <x:v>17.99341568709921</x:v>
      </x:c>
      <x:c r="V143" s="431" t="n">
        <x:f>IF(U143="","",1+COUNTIF($U$19:$U$186,"&gt;"&amp;U143))</x:f>
        <x:v>132</x:v>
      </x:c>
    </x:row>
    <x:row r="144" ht="24" customHeight="1">
      <x:c r="A144" s="430" t="str">
        <x:v>K197</x:v>
      </x:c>
      <x:c r="B144" s="430" t="str">
        <x:v>Saku</x:v>
      </x:c>
      <x:c r="C144" s="431" t="n">
        <x:f>COUNTIFS('Specialisations'!$A$6:$A$527,A144,'Specialisations'!$B$6:$B$527,B144)</x:f>
        <x:v>2</x:v>
      </x:c>
      <x:c r="D144" s="431" t="n">
        <x:f>COUNTIFS('Specialisations'!$A$6:$A$527,A144,'Specialisations'!$B$6:$B$527,B144,'Specialisations'!$P$6:$P$527,"OK")</x:f>
        <x:v>2</x:v>
      </x:c>
      <x:c r="E144" s="431" t="n">
        <x:f>C144-D144</x:f>
        <x:v>0</x:v>
      </x:c>
      <x:c r="F144" s="432" t="n">
        <x:f>IF(C144=0,0,D144/C144)</x:f>
        <x:v>1</x:v>
      </x:c>
      <x:c r="G144" s="433" t="n">
        <x:f>SUMIFS('Specialisations'!$N$6:$N$527,'Specialisations'!$A$6:$A$527,A144,'Specialisations'!$B$6:$B$527,B144,'Specialisations'!$C$6:$C$527,"Guards")</x:f>
        <x:v>0</x:v>
      </x:c>
      <x:c r="H144" s="433" t="n">
        <x:f>SUMIFS('Specialisations'!$N$6:$N$527,'Specialisations'!$A$6:$A$527,A144,'Specialisations'!$B$6:$B$527,B144,'Specialisations'!$C$6:$C$527,"Archers")</x:f>
        <x:v>10334300</x:v>
      </x:c>
      <x:c r="I144" s="433" t="n">
        <x:f>SUMIFS('Specialisations'!$N$6:$N$527,'Specialisations'!$A$6:$A$527,A144,'Specialisations'!$B$6:$B$527,B144,'Specialisations'!$C$6:$C$527,"Cavalry")</x:f>
        <x:v>10334300</x:v>
      </x:c>
      <x:c r="J144" s="433" t="n">
        <x:f>SUMIFS('Specialisations'!$N$6:$N$527,'Specialisations'!$A$6:$A$527,A144,'Specialisations'!$B$6:$B$527,B144,'Specialisations'!$C$6:$C$527,"Siege")</x:f>
        <x:v>0</x:v>
      </x:c>
      <x:c r="K144" s="433" t="n">
        <x:f>SUM(G144:J144)</x:f>
        <x:v>20668600</x:v>
      </x:c>
      <x:c r="L144" s="434" t="n">
        <x:f>IFERROR(100*K144/MAX($K$19:$K$186),0)</x:f>
        <x:v>33.333333333333336</x:v>
      </x:c>
      <x:c r="M144" s="495" t="n">
        <x:f>IF(C144=0,"",SUMIFS('Specialisations'!$Q$6:$Q$527,'Specialisations'!$A$6:$A$527,A144,'Specialisations'!$B$6:$B$527,B144))</x:f>
        <x:v>120</x:v>
      </x:c>
      <x:c r="N144" s="431" t="n">
        <x:f>IF(K144=0,"",1+COUNTIFS($A$19:$A$186,A144,$K$19:$K$186,"&gt;"&amp;K144))</x:f>
        <x:v>3</x:v>
      </x:c>
      <x:c r="O144" s="431" t="n">
        <x:f>IF(K144=0,"",1+COUNTIF($K$19:$K$186,"&gt;"&amp;K144))</x:f>
        <x:v>29</x:v>
      </x:c>
      <x:c r="P144" s="430" t="str">
        <x:f>IF(C144=0,"No specialisations recorded",IF(E144&gt;0,"Review missing level","Complete"))</x:f>
        <x:v>Complete</x:v>
      </x:c>
      <x:c r="Q144" s="434" t="n">
        <x:f>IF(COUNTIFS('Damage Ranking'!$B$6:$B$172,A144,'Damage Ranking'!$C$6:$C$172,B144)=0,"",SUMIFS('Damage Ranking'!$D$6:$D$172,'Damage Ranking'!$B$6:$B$172,A144,'Damage Ranking'!$C$6:$C$172,B144))</x:f>
        <x:v>72.07804558540336</x:v>
      </x:c>
      <x:c r="R144" s="431" t="n">
        <x:f>IF(Q144="","",SUMIFS('Damage Ranking'!$A$6:$A$172,'Damage Ranking'!$B$6:$B$172,A144,'Damage Ranking'!$C$6:$C$172,B144))</x:f>
        <x:v>16</x:v>
      </x:c>
      <x:c r="S144" s="431" t="n">
        <x:f>IF(OR(R144="",O144=""),"",R144-O144)</x:f>
        <x:v>-13</x:v>
      </x:c>
      <x:c r="T144" s="430" t="str">
        <x:f>IF(S144="","No damage score",IF(S144&gt;=20,"Badges much stronger",IF(S144&lt;=-20,"Damage much stronger","Broadly aligned")))</x:f>
        <x:v>Broadly aligned</x:v>
      </x:c>
      <x:c r="U144" s="434" t="n">
        <x:f>IF(Q144="","",Q144*(1-$R$5)+L144*$R$5)</x:f>
        <x:v>72.07804558540336</x:v>
      </x:c>
      <x:c r="V144" s="431" t="n">
        <x:f>IF(U144="","",1+COUNTIF($U$19:$U$186,"&gt;"&amp;U144))</x:f>
        <x:v>16</x:v>
      </x:c>
    </x:row>
    <x:row r="145" ht="24" customHeight="1">
      <x:c r="A145" s="430" t="str">
        <x:v>K197</x:v>
      </x:c>
      <x:c r="B145" s="430" t="str">
        <x:v>Бапм</x:v>
      </x:c>
      <x:c r="C145" s="431" t="n">
        <x:f>COUNTIFS('Specialisations'!$A$6:$A$527,A145,'Specialisations'!$B$6:$B$527,B145)</x:f>
        <x:v>1</x:v>
      </x:c>
      <x:c r="D145" s="431" t="n">
        <x:f>COUNTIFS('Specialisations'!$A$6:$A$527,A145,'Specialisations'!$B$6:$B$527,B145,'Specialisations'!$P$6:$P$527,"OK")</x:f>
        <x:v>1</x:v>
      </x:c>
      <x:c r="E145" s="431" t="n">
        <x:f>C145-D145</x:f>
        <x:v>0</x:v>
      </x:c>
      <x:c r="F145" s="432" t="n">
        <x:f>IF(C145=0,0,D145/C145)</x:f>
        <x:v>1</x:v>
      </x:c>
      <x:c r="G145" s="433" t="n">
        <x:f>SUMIFS('Specialisations'!$N$6:$N$527,'Specialisations'!$A$6:$A$527,A145,'Specialisations'!$B$6:$B$527,B145,'Specialisations'!$C$6:$C$527,"Guards")</x:f>
        <x:v>0</x:v>
      </x:c>
      <x:c r="H145" s="433" t="n">
        <x:f>SUMIFS('Specialisations'!$N$6:$N$527,'Specialisations'!$A$6:$A$527,A145,'Specialisations'!$B$6:$B$527,B145,'Specialisations'!$C$6:$C$527,"Archers")</x:f>
        <x:v>0</x:v>
      </x:c>
      <x:c r="I145" s="433" t="n">
        <x:f>SUMIFS('Specialisations'!$N$6:$N$527,'Specialisations'!$A$6:$A$527,A145,'Specialisations'!$B$6:$B$527,B145,'Specialisations'!$C$6:$C$527,"Cavalry")</x:f>
        <x:v>10334300</x:v>
      </x:c>
      <x:c r="J145" s="433" t="n">
        <x:f>SUMIFS('Specialisations'!$N$6:$N$527,'Specialisations'!$A$6:$A$527,A145,'Specialisations'!$B$6:$B$527,B145,'Specialisations'!$C$6:$C$527,"Siege")</x:f>
        <x:v>0</x:v>
      </x:c>
      <x:c r="K145" s="433" t="n">
        <x:f>SUM(G145:J145)</x:f>
        <x:v>10334300</x:v>
      </x:c>
      <x:c r="L145" s="434" t="n">
        <x:f>IFERROR(100*K145/MAX($K$19:$K$186),0)</x:f>
        <x:v>16.666666666666668</x:v>
      </x:c>
      <x:c r="M145" s="495" t="n">
        <x:f>IF(C145=0,"",SUMIFS('Specialisations'!$Q$6:$Q$527,'Specialisations'!$A$6:$A$527,A145,'Specialisations'!$B$6:$B$527,B145))</x:f>
        <x:v>60</x:v>
      </x:c>
      <x:c r="N145" s="431" t="n">
        <x:f>IF(K145=0,"",1+COUNTIFS($A$19:$A$186,A145,$K$19:$K$186,"&gt;"&amp;K145))</x:f>
        <x:v>9</x:v>
      </x:c>
      <x:c r="O145" s="431" t="n">
        <x:f>IF(K145=0,"",1+COUNTIF($K$19:$K$186,"&gt;"&amp;K145))</x:f>
        <x:v>111</x:v>
      </x:c>
      <x:c r="P145" s="430" t="str">
        <x:f>IF(C145=0,"No specialisations recorded",IF(E145&gt;0,"Review missing level","Complete"))</x:f>
        <x:v>Complete</x:v>
      </x:c>
      <x:c r="Q145" s="434" t="n">
        <x:f>IF(COUNTIFS('Damage Ranking'!$B$6:$B$172,A145,'Damage Ranking'!$C$6:$C$172,B145)=0,"",SUMIFS('Damage Ranking'!$D$6:$D$172,'Damage Ranking'!$B$6:$B$172,A145,'Damage Ranking'!$C$6:$C$172,B145))</x:f>
        <x:v>8.789004364959519</x:v>
      </x:c>
      <x:c r="R145" s="431" t="n">
        <x:f>IF(Q145="","",SUMIFS('Damage Ranking'!$A$6:$A$172,'Damage Ranking'!$B$6:$B$172,A145,'Damage Ranking'!$C$6:$C$172,B145))</x:f>
        <x:v>154</x:v>
      </x:c>
      <x:c r="S145" s="431" t="n">
        <x:f>IF(OR(R145="",O145=""),"",R145-O145)</x:f>
        <x:v>43</x:v>
      </x:c>
      <x:c r="T145" s="430" t="str">
        <x:f>IF(S145="","No damage score",IF(S145&gt;=20,"Badges much stronger",IF(S145&lt;=-20,"Damage much stronger","Broadly aligned")))</x:f>
        <x:v>Badges much stronger</x:v>
      </x:c>
      <x:c r="U145" s="434" t="n">
        <x:f>IF(Q145="","",Q145*(1-$R$5)+L145*$R$5)</x:f>
        <x:v>8.789004364959519</x:v>
      </x:c>
      <x:c r="V145" s="431" t="n">
        <x:f>IF(U145="","",1+COUNTIF($U$19:$U$186,"&gt;"&amp;U145))</x:f>
        <x:v>154</x:v>
      </x:c>
    </x:row>
    <x:row r="146" ht="24" customHeight="1">
      <x:c r="A146" s="430" t="str">
        <x:v>K197</x:v>
      </x:c>
      <x:c r="B146" s="430" t="str">
        <x:v>Oiuuuuuuuuuuuuu</x:v>
      </x:c>
      <x:c r="C146" s="431" t="n">
        <x:f>COUNTIFS('Specialisations'!$A$6:$A$527,A146,'Specialisations'!$B$6:$B$527,B146)</x:f>
        <x:v>2</x:v>
      </x:c>
      <x:c r="D146" s="431" t="n">
        <x:f>COUNTIFS('Specialisations'!$A$6:$A$527,A146,'Specialisations'!$B$6:$B$527,B146,'Specialisations'!$P$6:$P$527,"OK")</x:f>
        <x:v>2</x:v>
      </x:c>
      <x:c r="E146" s="431" t="n">
        <x:f>C146-D146</x:f>
        <x:v>0</x:v>
      </x:c>
      <x:c r="F146" s="432" t="n">
        <x:f>IF(C146=0,0,D146/C146)</x:f>
        <x:v>1</x:v>
      </x:c>
      <x:c r="G146" s="433" t="n">
        <x:f>SUMIFS('Specialisations'!$N$6:$N$527,'Specialisations'!$A$6:$A$527,A146,'Specialisations'!$B$6:$B$527,B146,'Specialisations'!$C$6:$C$527,"Guards")</x:f>
        <x:v>2244300</x:v>
      </x:c>
      <x:c r="H146" s="433" t="n">
        <x:f>SUMIFS('Specialisations'!$N$6:$N$527,'Specialisations'!$A$6:$A$527,A146,'Specialisations'!$B$6:$B$527,B146,'Specialisations'!$C$6:$C$527,"Archers")</x:f>
        <x:v>10334300</x:v>
      </x:c>
      <x:c r="I146" s="433" t="n">
        <x:f>SUMIFS('Specialisations'!$N$6:$N$527,'Specialisations'!$A$6:$A$527,A146,'Specialisations'!$B$6:$B$527,B146,'Specialisations'!$C$6:$C$527,"Cavalry")</x:f>
        <x:v>0</x:v>
      </x:c>
      <x:c r="J146" s="433" t="n">
        <x:f>SUMIFS('Specialisations'!$N$6:$N$527,'Specialisations'!$A$6:$A$527,A146,'Specialisations'!$B$6:$B$527,B146,'Specialisations'!$C$6:$C$527,"Siege")</x:f>
        <x:v>0</x:v>
      </x:c>
      <x:c r="K146" s="433" t="n">
        <x:f>SUM(G146:J146)</x:f>
        <x:v>12578600</x:v>
      </x:c>
      <x:c r="L146" s="434" t="n">
        <x:f>IFERROR(100*K146/MAX($K$19:$K$186),0)</x:f>
        <x:v>20.28616677794658</x:v>
      </x:c>
      <x:c r="M146" s="495" t="n">
        <x:f>IF(C146=0,"",SUMIFS('Specialisations'!$Q$6:$Q$527,'Specialisations'!$A$6:$A$527,A146,'Specialisations'!$B$6:$B$527,B146))</x:f>
        <x:v>32.260000000000005</x:v>
      </x:c>
      <x:c r="N146" s="431" t="n">
        <x:f>IF(K146=0,"",1+COUNTIFS($A$19:$A$186,A146,$K$19:$K$186,"&gt;"&amp;K146))</x:f>
        <x:v>6</x:v>
      </x:c>
      <x:c r="O146" s="431" t="n">
        <x:f>IF(K146=0,"",1+COUNTIF($K$19:$K$186,"&gt;"&amp;K146))</x:f>
        <x:v>89</x:v>
      </x:c>
      <x:c r="P146" s="430" t="str">
        <x:f>IF(C146=0,"No specialisations recorded",IF(E146&gt;0,"Review missing level","Complete"))</x:f>
        <x:v>Complete</x:v>
      </x:c>
      <x:c r="Q146" s="434" t="n">
        <x:f>IF(COUNTIFS('Damage Ranking'!$B$6:$B$172,A146,'Damage Ranking'!$C$6:$C$172,B146)=0,"",SUMIFS('Damage Ranking'!$D$6:$D$172,'Damage Ranking'!$B$6:$B$172,A146,'Damage Ranking'!$C$6:$C$172,B146))</x:f>
        <x:v>38.926655142430285</x:v>
      </x:c>
      <x:c r="R146" s="431" t="n">
        <x:f>IF(Q146="","",SUMIFS('Damage Ranking'!$A$6:$A$172,'Damage Ranking'!$B$6:$B$172,A146,'Damage Ranking'!$C$6:$C$172,B146))</x:f>
        <x:v>67</x:v>
      </x:c>
      <x:c r="S146" s="431" t="n">
        <x:f>IF(OR(R146="",O146=""),"",R146-O146)</x:f>
        <x:v>-22</x:v>
      </x:c>
      <x:c r="T146" s="430" t="str">
        <x:f>IF(S146="","No damage score",IF(S146&gt;=20,"Badges much stronger",IF(S146&lt;=-20,"Damage much stronger","Broadly aligned")))</x:f>
        <x:v>Damage much stronger</x:v>
      </x:c>
      <x:c r="U146" s="434" t="n">
        <x:f>IF(Q146="","",Q146*(1-$R$5)+L146*$R$5)</x:f>
        <x:v>38.926655142430285</x:v>
      </x:c>
      <x:c r="V146" s="431" t="n">
        <x:f>IF(U146="","",1+COUNTIF($U$19:$U$186,"&gt;"&amp;U146))</x:f>
        <x:v>67</x:v>
      </x:c>
    </x:row>
    <x:row r="147" ht="24" customHeight="1">
      <x:c r="A147" s="430" t="str">
        <x:v>K197</x:v>
      </x:c>
      <x:c r="B147" s="430" t="str">
        <x:v>々нυηтєя々</x:v>
      </x:c>
      <x:c r="C147" s="431" t="n">
        <x:f>COUNTIFS('Specialisations'!$A$6:$A$527,A147,'Specialisations'!$B$6:$B$527,B147)</x:f>
        <x:v>1</x:v>
      </x:c>
      <x:c r="D147" s="431" t="n">
        <x:f>COUNTIFS('Specialisations'!$A$6:$A$527,A147,'Specialisations'!$B$6:$B$527,B147,'Specialisations'!$P$6:$P$527,"OK")</x:f>
        <x:v>1</x:v>
      </x:c>
      <x:c r="E147" s="431" t="n">
        <x:f>C147-D147</x:f>
        <x:v>0</x:v>
      </x:c>
      <x:c r="F147" s="432" t="n">
        <x:f>IF(C147=0,0,D147/C147)</x:f>
        <x:v>1</x:v>
      </x:c>
      <x:c r="G147" s="433" t="n">
        <x:f>SUMIFS('Specialisations'!$N$6:$N$527,'Specialisations'!$A$6:$A$527,A147,'Specialisations'!$B$6:$B$527,B147,'Specialisations'!$C$6:$C$527,"Guards")</x:f>
        <x:v>0</x:v>
      </x:c>
      <x:c r="H147" s="433" t="n">
        <x:f>SUMIFS('Specialisations'!$N$6:$N$527,'Specialisations'!$A$6:$A$527,A147,'Specialisations'!$B$6:$B$527,B147,'Specialisations'!$C$6:$C$527,"Archers")</x:f>
        <x:v>5004300</x:v>
      </x:c>
      <x:c r="I147" s="433" t="n">
        <x:f>SUMIFS('Specialisations'!$N$6:$N$527,'Specialisations'!$A$6:$A$527,A147,'Specialisations'!$B$6:$B$527,B147,'Specialisations'!$C$6:$C$527,"Cavalry")</x:f>
        <x:v>0</x:v>
      </x:c>
      <x:c r="J147" s="433" t="n">
        <x:f>SUMIFS('Specialisations'!$N$6:$N$527,'Specialisations'!$A$6:$A$527,A147,'Specialisations'!$B$6:$B$527,B147,'Specialisations'!$C$6:$C$527,"Siege")</x:f>
        <x:v>0</x:v>
      </x:c>
      <x:c r="K147" s="433" t="n">
        <x:f>SUM(G147:J147)</x:f>
        <x:v>5004300</x:v>
      </x:c>
      <x:c r="L147" s="434" t="n">
        <x:f>IFERROR(100*K147/MAX($K$19:$K$186),0)</x:f>
        <x:v>8.070696612252402</x:v>
      </x:c>
      <x:c r="M147" s="495" t="n">
        <x:f>IF(C147=0,"",SUMIFS('Specialisations'!$Q$6:$Q$527,'Specialisations'!$A$6:$A$527,A147,'Specialisations'!$B$6:$B$527,B147))</x:f>
        <x:v>45.13</x:v>
      </x:c>
      <x:c r="N147" s="431" t="n">
        <x:f>IF(K147=0,"",1+COUNTIFS($A$19:$A$186,A147,$K$19:$K$186,"&gt;"&amp;K147))</x:f>
        <x:v>18</x:v>
      </x:c>
      <x:c r="O147" s="431" t="n">
        <x:f>IF(K147=0,"",1+COUNTIF($K$19:$K$186,"&gt;"&amp;K147))</x:f>
        <x:v>152</x:v>
      </x:c>
      <x:c r="P147" s="430" t="str">
        <x:f>IF(C147=0,"No specialisations recorded",IF(E147&gt;0,"Review missing level","Complete"))</x:f>
        <x:v>Complete</x:v>
      </x:c>
      <x:c r="Q147" s="434" t="n">
        <x:f>IF(COUNTIFS('Damage Ranking'!$B$6:$B$172,A147,'Damage Ranking'!$C$6:$C$172,B147)=0,"",SUMIFS('Damage Ranking'!$D$6:$D$172,'Damage Ranking'!$B$6:$B$172,A147,'Damage Ranking'!$C$6:$C$172,B147))</x:f>
        <x:v>26.96737621422173</x:v>
      </x:c>
      <x:c r="R147" s="431" t="n">
        <x:f>IF(Q147="","",SUMIFS('Damage Ranking'!$A$6:$A$172,'Damage Ranking'!$B$6:$B$172,A147,'Damage Ranking'!$C$6:$C$172,B147))</x:f>
        <x:v>101</x:v>
      </x:c>
      <x:c r="S147" s="431" t="n">
        <x:f>IF(OR(R147="",O147=""),"",R147-O147)</x:f>
        <x:v>-51</x:v>
      </x:c>
      <x:c r="T147" s="430" t="str">
        <x:f>IF(S147="","No damage score",IF(S147&gt;=20,"Badges much stronger",IF(S147&lt;=-20,"Damage much stronger","Broadly aligned")))</x:f>
        <x:v>Damage much stronger</x:v>
      </x:c>
      <x:c r="U147" s="434" t="n">
        <x:f>IF(Q147="","",Q147*(1-$R$5)+L147*$R$5)</x:f>
        <x:v>26.96737621422173</x:v>
      </x:c>
      <x:c r="V147" s="431" t="n">
        <x:f>IF(U147="","",1+COUNTIF($U$19:$U$186,"&gt;"&amp;U147))</x:f>
        <x:v>101</x:v>
      </x:c>
    </x:row>
    <x:row r="148" ht="24" customHeight="1">
      <x:c r="A148" s="430" t="str">
        <x:v>K197</x:v>
      </x:c>
      <x:c r="B148" s="430" t="str">
        <x:v>Caramel</x:v>
      </x:c>
      <x:c r="C148" s="431" t="n">
        <x:f>COUNTIFS('Specialisations'!$A$6:$A$527,A148,'Specialisations'!$B$6:$B$527,B148)</x:f>
        <x:v>1</x:v>
      </x:c>
      <x:c r="D148" s="431" t="n">
        <x:f>COUNTIFS('Specialisations'!$A$6:$A$527,A148,'Specialisations'!$B$6:$B$527,B148,'Specialisations'!$P$6:$P$527,"OK")</x:f>
        <x:v>1</x:v>
      </x:c>
      <x:c r="E148" s="431" t="n">
        <x:f>C148-D148</x:f>
        <x:v>0</x:v>
      </x:c>
      <x:c r="F148" s="432" t="n">
        <x:f>IF(C148=0,0,D148/C148)</x:f>
        <x:v>1</x:v>
      </x:c>
      <x:c r="G148" s="433" t="n">
        <x:f>SUMIFS('Specialisations'!$N$6:$N$527,'Specialisations'!$A$6:$A$527,A148,'Specialisations'!$B$6:$B$527,B148,'Specialisations'!$C$6:$C$527,"Guards")</x:f>
        <x:v>0</x:v>
      </x:c>
      <x:c r="H148" s="433" t="n">
        <x:f>SUMIFS('Specialisations'!$N$6:$N$527,'Specialisations'!$A$6:$A$527,A148,'Specialisations'!$B$6:$B$527,B148,'Specialisations'!$C$6:$C$527,"Archers")</x:f>
        <x:v>10334300</x:v>
      </x:c>
      <x:c r="I148" s="433" t="n">
        <x:f>SUMIFS('Specialisations'!$N$6:$N$527,'Specialisations'!$A$6:$A$527,A148,'Specialisations'!$B$6:$B$527,B148,'Specialisations'!$C$6:$C$527,"Cavalry")</x:f>
        <x:v>0</x:v>
      </x:c>
      <x:c r="J148" s="433" t="n">
        <x:f>SUMIFS('Specialisations'!$N$6:$N$527,'Specialisations'!$A$6:$A$527,A148,'Specialisations'!$B$6:$B$527,B148,'Specialisations'!$C$6:$C$527,"Siege")</x:f>
        <x:v>0</x:v>
      </x:c>
      <x:c r="K148" s="433" t="n">
        <x:f>SUM(G148:J148)</x:f>
        <x:v>10334300</x:v>
      </x:c>
      <x:c r="L148" s="434" t="n">
        <x:f>IFERROR(100*K148/MAX($K$19:$K$186),0)</x:f>
        <x:v>16.666666666666668</x:v>
      </x:c>
      <x:c r="M148" s="495" t="n">
        <x:f>IF(C148=0,"",SUMIFS('Specialisations'!$Q$6:$Q$527,'Specialisations'!$A$6:$A$527,A148,'Specialisations'!$B$6:$B$527,B148))</x:f>
        <x:v>60</x:v>
      </x:c>
      <x:c r="N148" s="431" t="n">
        <x:f>IF(K148=0,"",1+COUNTIFS($A$19:$A$186,A148,$K$19:$K$186,"&gt;"&amp;K148))</x:f>
        <x:v>9</x:v>
      </x:c>
      <x:c r="O148" s="431" t="n">
        <x:f>IF(K148=0,"",1+COUNTIF($K$19:$K$186,"&gt;"&amp;K148))</x:f>
        <x:v>111</x:v>
      </x:c>
      <x:c r="P148" s="430" t="str">
        <x:f>IF(C148=0,"No specialisations recorded",IF(E148&gt;0,"Review missing level","Complete"))</x:f>
        <x:v>Complete</x:v>
      </x:c>
      <x:c r="Q148" s="434" t="n">
        <x:f>IF(COUNTIFS('Damage Ranking'!$B$6:$B$172,A148,'Damage Ranking'!$C$6:$C$172,B148)=0,"",SUMIFS('Damage Ranking'!$D$6:$D$172,'Damage Ranking'!$B$6:$B$172,A148,'Damage Ranking'!$C$6:$C$172,B148))</x:f>
        <x:v>6.444982082539248</x:v>
      </x:c>
      <x:c r="R148" s="431" t="n">
        <x:f>IF(Q148="","",SUMIFS('Damage Ranking'!$A$6:$A$172,'Damage Ranking'!$B$6:$B$172,A148,'Damage Ranking'!$C$6:$C$172,B148))</x:f>
        <x:v>159</x:v>
      </x:c>
      <x:c r="S148" s="431" t="n">
        <x:f>IF(OR(R148="",O148=""),"",R148-O148)</x:f>
        <x:v>48</x:v>
      </x:c>
      <x:c r="T148" s="430" t="str">
        <x:f>IF(S148="","No damage score",IF(S148&gt;=20,"Badges much stronger",IF(S148&lt;=-20,"Damage much stronger","Broadly aligned")))</x:f>
        <x:v>Badges much stronger</x:v>
      </x:c>
      <x:c r="U148" s="434" t="n">
        <x:f>IF(Q148="","",Q148*(1-$R$5)+L148*$R$5)</x:f>
        <x:v>6.444982082539248</x:v>
      </x:c>
      <x:c r="V148" s="431" t="n">
        <x:f>IF(U148="","",1+COUNTIF($U$19:$U$186,"&gt;"&amp;U148))</x:f>
        <x:v>159</x:v>
      </x:c>
    </x:row>
    <x:row r="149" ht="24" customHeight="1">
      <x:c r="A149" s="430" t="str">
        <x:v>K197</x:v>
      </x:c>
      <x:c r="B149" s="430" t="str">
        <x:v>†ŁØRD†</x:v>
      </x:c>
      <x:c r="C149" s="431" t="n">
        <x:f>COUNTIFS('Specialisations'!$A$6:$A$527,A149,'Specialisations'!$B$6:$B$527,B149)</x:f>
        <x:v>1</x:v>
      </x:c>
      <x:c r="D149" s="431" t="n">
        <x:f>COUNTIFS('Specialisations'!$A$6:$A$527,A149,'Specialisations'!$B$6:$B$527,B149,'Specialisations'!$P$6:$P$527,"OK")</x:f>
        <x:v>1</x:v>
      </x:c>
      <x:c r="E149" s="431" t="n">
        <x:f>C149-D149</x:f>
        <x:v>0</x:v>
      </x:c>
      <x:c r="F149" s="432" t="n">
        <x:f>IF(C149=0,0,D149/C149)</x:f>
        <x:v>1</x:v>
      </x:c>
      <x:c r="G149" s="433" t="n">
        <x:f>SUMIFS('Specialisations'!$N$6:$N$527,'Specialisations'!$A$6:$A$527,A149,'Specialisations'!$B$6:$B$527,B149,'Specialisations'!$C$6:$C$527,"Guards")</x:f>
        <x:v>0</x:v>
      </x:c>
      <x:c r="H149" s="433" t="n">
        <x:f>SUMIFS('Specialisations'!$N$6:$N$527,'Specialisations'!$A$6:$A$527,A149,'Specialisations'!$B$6:$B$527,B149,'Specialisations'!$C$6:$C$527,"Archers")</x:f>
        <x:v>8334300</x:v>
      </x:c>
      <x:c r="I149" s="433" t="n">
        <x:f>SUMIFS('Specialisations'!$N$6:$N$527,'Specialisations'!$A$6:$A$527,A149,'Specialisations'!$B$6:$B$527,B149,'Specialisations'!$C$6:$C$527,"Cavalry")</x:f>
        <x:v>0</x:v>
      </x:c>
      <x:c r="J149" s="433" t="n">
        <x:f>SUMIFS('Specialisations'!$N$6:$N$527,'Specialisations'!$A$6:$A$527,A149,'Specialisations'!$B$6:$B$527,B149,'Specialisations'!$C$6:$C$527,"Siege")</x:f>
        <x:v>0</x:v>
      </x:c>
      <x:c r="K149" s="433" t="n">
        <x:f>SUM(G149:J149)</x:f>
        <x:v>8334300</x:v>
      </x:c>
      <x:c r="L149" s="434" t="n">
        <x:f>IFERROR(100*K149/MAX($K$19:$K$186),0)</x:f>
        <x:v>13.441161955817037</x:v>
      </x:c>
      <x:c r="M149" s="495" t="n">
        <x:f>IF(C149=0,"",SUMIFS('Specialisations'!$Q$6:$Q$527,'Specialisations'!$A$6:$A$527,A149,'Specialisations'!$B$6:$B$527,B149))</x:f>
        <x:v>55.2</x:v>
      </x:c>
      <x:c r="N149" s="431" t="n">
        <x:f>IF(K149=0,"",1+COUNTIFS($A$19:$A$186,A149,$K$19:$K$186,"&gt;"&amp;K149))</x:f>
        <x:v>16</x:v>
      </x:c>
      <x:c r="O149" s="431" t="n">
        <x:f>IF(K149=0,"",1+COUNTIF($K$19:$K$186,"&gt;"&amp;K149))</x:f>
        <x:v>133</x:v>
      </x:c>
      <x:c r="P149" s="430" t="str">
        <x:f>IF(C149=0,"No specialisations recorded",IF(E149&gt;0,"Review missing level","Complete"))</x:f>
        <x:v>Complete</x:v>
      </x:c>
      <x:c r="Q149" s="434" t="n">
        <x:f>IF(COUNTIFS('Damage Ranking'!$B$6:$B$172,A149,'Damage Ranking'!$C$6:$C$172,B149)=0,"",SUMIFS('Damage Ranking'!$D$6:$D$172,'Damage Ranking'!$B$6:$B$172,A149,'Damage Ranking'!$C$6:$C$172,B149))</x:f>
        <x:v>10.328705000844627</x:v>
      </x:c>
      <x:c r="R149" s="431" t="n">
        <x:f>IF(Q149="","",SUMIFS('Damage Ranking'!$A$6:$A$172,'Damage Ranking'!$B$6:$B$172,A149,'Damage Ranking'!$C$6:$C$172,B149))</x:f>
        <x:v>152</x:v>
      </x:c>
      <x:c r="S149" s="431" t="n">
        <x:f>IF(OR(R149="",O149=""),"",R149-O149)</x:f>
        <x:v>19</x:v>
      </x:c>
      <x:c r="T149" s="430" t="str">
        <x:f>IF(S149="","No damage score",IF(S149&gt;=20,"Badges much stronger",IF(S149&lt;=-20,"Damage much stronger","Broadly aligned")))</x:f>
        <x:v>Broadly aligned</x:v>
      </x:c>
      <x:c r="U149" s="434" t="n">
        <x:f>IF(Q149="","",Q149*(1-$R$5)+L149*$R$5)</x:f>
        <x:v>10.328705000844627</x:v>
      </x:c>
      <x:c r="V149" s="431" t="n">
        <x:f>IF(U149="","",1+COUNTIF($U$19:$U$186,"&gt;"&amp;U149))</x:f>
        <x:v>152</x:v>
      </x:c>
    </x:row>
    <x:row r="150" ht="24" customHeight="1">
      <x:c r="A150" s="430" t="str">
        <x:v>K197</x:v>
      </x:c>
      <x:c r="B150" s="430" t="str">
        <x:v>RΣDΣYΣ</x:v>
      </x:c>
      <x:c r="C150" s="431" t="n">
        <x:f>COUNTIFS('Specialisations'!$A$6:$A$527,A150,'Specialisations'!$B$6:$B$527,B150)</x:f>
        <x:v>1</x:v>
      </x:c>
      <x:c r="D150" s="431" t="n">
        <x:f>COUNTIFS('Specialisations'!$A$6:$A$527,A150,'Specialisations'!$B$6:$B$527,B150,'Specialisations'!$P$6:$P$527,"OK")</x:f>
        <x:v>1</x:v>
      </x:c>
      <x:c r="E150" s="431" t="n">
        <x:f>C150-D150</x:f>
        <x:v>0</x:v>
      </x:c>
      <x:c r="F150" s="432" t="n">
        <x:f>IF(C150=0,0,D150/C150)</x:f>
        <x:v>1</x:v>
      </x:c>
      <x:c r="G150" s="433" t="n">
        <x:f>SUMIFS('Specialisations'!$N$6:$N$527,'Specialisations'!$A$6:$A$527,A150,'Specialisations'!$B$6:$B$527,B150,'Specialisations'!$C$6:$C$527,"Guards")</x:f>
        <x:v>0</x:v>
      </x:c>
      <x:c r="H150" s="433" t="n">
        <x:f>SUMIFS('Specialisations'!$N$6:$N$527,'Specialisations'!$A$6:$A$527,A150,'Specialisations'!$B$6:$B$527,B150,'Specialisations'!$C$6:$C$527,"Archers")</x:f>
        <x:v>5884300</x:v>
      </x:c>
      <x:c r="I150" s="433" t="n">
        <x:f>SUMIFS('Specialisations'!$N$6:$N$527,'Specialisations'!$A$6:$A$527,A150,'Specialisations'!$B$6:$B$527,B150,'Specialisations'!$C$6:$C$527,"Cavalry")</x:f>
        <x:v>0</x:v>
      </x:c>
      <x:c r="J150" s="433" t="n">
        <x:f>SUMIFS('Specialisations'!$N$6:$N$527,'Specialisations'!$A$6:$A$527,A150,'Specialisations'!$B$6:$B$527,B150,'Specialisations'!$C$6:$C$527,"Siege")</x:f>
        <x:v>0</x:v>
      </x:c>
      <x:c r="K150" s="433" t="n">
        <x:f>SUM(G150:J150)</x:f>
        <x:v>5884300</x:v>
      </x:c>
      <x:c r="L150" s="434" t="n">
        <x:f>IFERROR(100*K150/MAX($K$19:$K$186),0)</x:f>
        <x:v>9.48991868502624</x:v>
      </x:c>
      <x:c r="M150" s="495" t="n">
        <x:f>IF(C150=0,"",SUMIFS('Specialisations'!$Q$6:$Q$527,'Specialisations'!$A$6:$A$527,A150,'Specialisations'!$B$6:$B$527,B150))</x:f>
        <x:v>48.38</x:v>
      </x:c>
      <x:c r="N150" s="431" t="n">
        <x:f>IF(K150=0,"",1+COUNTIFS($A$19:$A$186,A150,$K$19:$K$186,"&gt;"&amp;K150))</x:f>
        <x:v>17</x:v>
      </x:c>
      <x:c r="O150" s="431" t="n">
        <x:f>IF(K150=0,"",1+COUNTIF($K$19:$K$186,"&gt;"&amp;K150))</x:f>
        <x:v>147</x:v>
      </x:c>
      <x:c r="P150" s="430" t="str">
        <x:f>IF(C150=0,"No specialisations recorded",IF(E150&gt;0,"Review missing level","Complete"))</x:f>
        <x:v>Complete</x:v>
      </x:c>
      <x:c r="Q150" s="434" t="n">
        <x:f>IF(COUNTIFS('Damage Ranking'!$B$6:$B$172,A150,'Damage Ranking'!$C$6:$C$172,B150)=0,"",SUMIFS('Damage Ranking'!$D$6:$D$172,'Damage Ranking'!$B$6:$B$172,A150,'Damage Ranking'!$C$6:$C$172,B150))</x:f>
        <x:v>25.04580469423326</x:v>
      </x:c>
      <x:c r="R150" s="431" t="n">
        <x:f>IF(Q150="","",SUMIFS('Damage Ranking'!$A$6:$A$172,'Damage Ranking'!$B$6:$B$172,A150,'Damage Ranking'!$C$6:$C$172,B150))</x:f>
        <x:v>108</x:v>
      </x:c>
      <x:c r="S150" s="431" t="n">
        <x:f>IF(OR(R150="",O150=""),"",R150-O150)</x:f>
        <x:v>-39</x:v>
      </x:c>
      <x:c r="T150" s="430" t="str">
        <x:f>IF(S150="","No damage score",IF(S150&gt;=20,"Badges much stronger",IF(S150&lt;=-20,"Damage much stronger","Broadly aligned")))</x:f>
        <x:v>Damage much stronger</x:v>
      </x:c>
      <x:c r="U150" s="434" t="n">
        <x:f>IF(Q150="","",Q150*(1-$R$5)+L150*$R$5)</x:f>
        <x:v>25.04580469423326</x:v>
      </x:c>
      <x:c r="V150" s="431" t="n">
        <x:f>IF(U150="","",1+COUNTIF($U$19:$U$186,"&gt;"&amp;U150))</x:f>
        <x:v>108</x:v>
      </x:c>
    </x:row>
    <x:row r="151" ht="24" customHeight="1">
      <x:c r="A151" s="430" t="str">
        <x:v>K197</x:v>
      </x:c>
      <x:c r="B151" s="430" t="str">
        <x:v>Loong</x:v>
      </x:c>
      <x:c r="C151" s="431" t="n">
        <x:f>COUNTIFS('Specialisations'!$A$6:$A$527,A151,'Specialisations'!$B$6:$B$527,B151)</x:f>
        <x:v>2</x:v>
      </x:c>
      <x:c r="D151" s="431" t="n">
        <x:f>COUNTIFS('Specialisations'!$A$6:$A$527,A151,'Specialisations'!$B$6:$B$527,B151,'Specialisations'!$P$6:$P$527,"OK")</x:f>
        <x:v>2</x:v>
      </x:c>
      <x:c r="E151" s="431" t="n">
        <x:f>C151-D151</x:f>
        <x:v>0</x:v>
      </x:c>
      <x:c r="F151" s="432" t="n">
        <x:f>IF(C151=0,0,D151/C151)</x:f>
        <x:v>1</x:v>
      </x:c>
      <x:c r="G151" s="433" t="n">
        <x:f>SUMIFS('Specialisations'!$N$6:$N$527,'Specialisations'!$A$6:$A$527,A151,'Specialisations'!$B$6:$B$527,B151,'Specialisations'!$C$6:$C$527,"Guards")</x:f>
        <x:v>8334300</x:v>
      </x:c>
      <x:c r="H151" s="433" t="n">
        <x:f>SUMIFS('Specialisations'!$N$6:$N$527,'Specialisations'!$A$6:$A$527,A151,'Specialisations'!$B$6:$B$527,B151,'Specialisations'!$C$6:$C$527,"Archers")</x:f>
        <x:v>10334300</x:v>
      </x:c>
      <x:c r="I151" s="433" t="n">
        <x:f>SUMIFS('Specialisations'!$N$6:$N$527,'Specialisations'!$A$6:$A$527,A151,'Specialisations'!$B$6:$B$527,B151,'Specialisations'!$C$6:$C$527,"Cavalry")</x:f>
        <x:v>0</x:v>
      </x:c>
      <x:c r="J151" s="433" t="n">
        <x:f>SUMIFS('Specialisations'!$N$6:$N$527,'Specialisations'!$A$6:$A$527,A151,'Specialisations'!$B$6:$B$527,B151,'Specialisations'!$C$6:$C$527,"Siege")</x:f>
        <x:v>0</x:v>
      </x:c>
      <x:c r="K151" s="433" t="n">
        <x:f>SUM(G151:J151)</x:f>
        <x:v>18668600</x:v>
      </x:c>
      <x:c r="L151" s="434" t="n">
        <x:f>IFERROR(100*K151/MAX($K$19:$K$186),0)</x:f>
        <x:v>30.1078286224837</x:v>
      </x:c>
      <x:c r="M151" s="495" t="n">
        <x:f>IF(C151=0,"",SUMIFS('Specialisations'!$Q$6:$Q$527,'Specialisations'!$A$6:$A$527,A151,'Specialisations'!$B$6:$B$527,B151))</x:f>
        <x:v>4.799999999999997</x:v>
      </x:c>
      <x:c r="N151" s="431" t="n">
        <x:f>IF(K151=0,"",1+COUNTIFS($A$19:$A$186,A151,$K$19:$K$186,"&gt;"&amp;K151))</x:f>
        <x:v>4</x:v>
      </x:c>
      <x:c r="O151" s="431" t="n">
        <x:f>IF(K151=0,"",1+COUNTIF($K$19:$K$186,"&gt;"&amp;K151))</x:f>
        <x:v>38</x:v>
      </x:c>
      <x:c r="P151" s="430" t="str">
        <x:f>IF(C151=0,"No specialisations recorded",IF(E151&gt;0,"Review missing level","Complete"))</x:f>
        <x:v>Complete</x:v>
      </x:c>
      <x:c r="Q151" s="434" t="n">
        <x:f>IF(COUNTIFS('Damage Ranking'!$B$6:$B$172,A151,'Damage Ranking'!$C$6:$C$172,B151)=0,"",SUMIFS('Damage Ranking'!$D$6:$D$172,'Damage Ranking'!$B$6:$B$172,A151,'Damage Ranking'!$C$6:$C$172,B151))</x:f>
        <x:v>52.80868986988936</x:v>
      </x:c>
      <x:c r="R151" s="431" t="n">
        <x:f>IF(Q151="","",SUMIFS('Damage Ranking'!$A$6:$A$172,'Damage Ranking'!$B$6:$B$172,A151,'Damage Ranking'!$C$6:$C$172,B151))</x:f>
        <x:v>32</x:v>
      </x:c>
      <x:c r="S151" s="431" t="n">
        <x:f>IF(OR(R151="",O151=""),"",R151-O151)</x:f>
        <x:v>-6</x:v>
      </x:c>
      <x:c r="T151" s="430" t="str">
        <x:f>IF(S151="","No damage score",IF(S151&gt;=20,"Badges much stronger",IF(S151&lt;=-20,"Damage much stronger","Broadly aligned")))</x:f>
        <x:v>Broadly aligned</x:v>
      </x:c>
      <x:c r="U151" s="434" t="n">
        <x:f>IF(Q151="","",Q151*(1-$R$5)+L151*$R$5)</x:f>
        <x:v>52.80868986988936</x:v>
      </x:c>
      <x:c r="V151" s="431" t="n">
        <x:f>IF(U151="","",1+COUNTIF($U$19:$U$186,"&gt;"&amp;U151))</x:f>
        <x:v>32</x:v>
      </x:c>
    </x:row>
    <x:row r="152" ht="24" customHeight="1">
      <x:c r="A152" s="430" t="str">
        <x:v>K197</x:v>
      </x:c>
      <x:c r="B152" s="430" t="str">
        <x:v>LUIGUI</x:v>
      </x:c>
      <x:c r="C152" s="431" t="n">
        <x:f>COUNTIFS('Specialisations'!$A$6:$A$527,A152,'Specialisations'!$B$6:$B$527,B152)</x:f>
        <x:v>1</x:v>
      </x:c>
      <x:c r="D152" s="431" t="n">
        <x:f>COUNTIFS('Specialisations'!$A$6:$A$527,A152,'Specialisations'!$B$6:$B$527,B152,'Specialisations'!$P$6:$P$527,"OK")</x:f>
        <x:v>1</x:v>
      </x:c>
      <x:c r="E152" s="431" t="n">
        <x:f>C152-D152</x:f>
        <x:v>0</x:v>
      </x:c>
      <x:c r="F152" s="432" t="n">
        <x:f>IF(C152=0,0,D152/C152)</x:f>
        <x:v>1</x:v>
      </x:c>
      <x:c r="G152" s="433" t="n">
        <x:f>SUMIFS('Specialisations'!$N$6:$N$527,'Specialisations'!$A$6:$A$527,A152,'Specialisations'!$B$6:$B$527,B152,'Specialisations'!$C$6:$C$527,"Guards")</x:f>
        <x:v>0</x:v>
      </x:c>
      <x:c r="H152" s="433" t="n">
        <x:f>SUMIFS('Specialisations'!$N$6:$N$527,'Specialisations'!$A$6:$A$527,A152,'Specialisations'!$B$6:$B$527,B152,'Specialisations'!$C$6:$C$527,"Archers")</x:f>
        <x:v>2244300</x:v>
      </x:c>
      <x:c r="I152" s="433" t="n">
        <x:f>SUMIFS('Specialisations'!$N$6:$N$527,'Specialisations'!$A$6:$A$527,A152,'Specialisations'!$B$6:$B$527,B152,'Specialisations'!$C$6:$C$527,"Cavalry")</x:f>
        <x:v>0</x:v>
      </x:c>
      <x:c r="J152" s="433" t="n">
        <x:f>SUMIFS('Specialisations'!$N$6:$N$527,'Specialisations'!$A$6:$A$527,A152,'Specialisations'!$B$6:$B$527,B152,'Specialisations'!$C$6:$C$527,"Siege")</x:f>
        <x:v>0</x:v>
      </x:c>
      <x:c r="K152" s="433" t="n">
        <x:f>SUM(G152:J152)</x:f>
        <x:v>2244300</x:v>
      </x:c>
      <x:c r="L152" s="434" t="n">
        <x:f>IFERROR(100*K152/MAX($K$19:$K$186),0)</x:f>
        <x:v>3.6195001112799123</x:v>
      </x:c>
      <x:c r="M152" s="495" t="n">
        <x:f>IF(C152=0,"",SUMIFS('Specialisations'!$Q$6:$Q$527,'Specialisations'!$A$6:$A$527,A152,'Specialisations'!$B$6:$B$527,B152))</x:f>
        <x:v>27.74</x:v>
      </x:c>
      <x:c r="N152" s="431" t="n">
        <x:f>IF(K152=0,"",1+COUNTIFS($A$19:$A$186,A152,$K$19:$K$186,"&gt;"&amp;K152))</x:f>
        <x:v>19</x:v>
      </x:c>
      <x:c r="O152" s="431" t="n">
        <x:f>IF(K152=0,"",1+COUNTIF($K$19:$K$186,"&gt;"&amp;K152))</x:f>
        <x:v>155</x:v>
      </x:c>
      <x:c r="P152" s="430" t="str">
        <x:f>IF(C152=0,"No specialisations recorded",IF(E152&gt;0,"Review missing level","Complete"))</x:f>
        <x:v>Complete</x:v>
      </x:c>
      <x:c r="Q152" s="434" t="n">
        <x:f>IF(COUNTIFS('Damage Ranking'!$B$6:$B$172,A152,'Damage Ranking'!$C$6:$C$172,B152)=0,"",SUMIFS('Damage Ranking'!$D$6:$D$172,'Damage Ranking'!$B$6:$B$172,A152,'Damage Ranking'!$C$6:$C$172,B152))</x:f>
        <x:v>1.8874858912706736</x:v>
      </x:c>
      <x:c r="R152" s="431" t="n">
        <x:f>IF(Q152="","",SUMIFS('Damage Ranking'!$A$6:$A$172,'Damage Ranking'!$B$6:$B$172,A152,'Damage Ranking'!$C$6:$C$172,B152))</x:f>
        <x:v>166</x:v>
      </x:c>
      <x:c r="S152" s="431" t="n">
        <x:f>IF(OR(R152="",O152=""),"",R152-O152)</x:f>
        <x:v>11</x:v>
      </x:c>
      <x:c r="T152" s="430" t="str">
        <x:f>IF(S152="","No damage score",IF(S152&gt;=20,"Badges much stronger",IF(S152&lt;=-20,"Damage much stronger","Broadly aligned")))</x:f>
        <x:v>Broadly aligned</x:v>
      </x:c>
      <x:c r="U152" s="434" t="n">
        <x:f>IF(Q152="","",Q152*(1-$R$5)+L152*$R$5)</x:f>
        <x:v>1.8874858912706736</x:v>
      </x:c>
      <x:c r="V152" s="431" t="n">
        <x:f>IF(U152="","",1+COUNTIF($U$19:$U$186,"&gt;"&amp;U152))</x:f>
        <x:v>166</x:v>
      </x:c>
    </x:row>
    <x:row r="153" ht="24" customHeight="1">
      <x:c r="A153" s="430" t="str">
        <x:v>K197</x:v>
      </x:c>
      <x:c r="B153" s="430" t="str">
        <x:v>BocchiT__T</x:v>
      </x:c>
      <x:c r="C153" s="431" t="n">
        <x:f>COUNTIFS('Specialisations'!$A$6:$A$527,A153,'Specialisations'!$B$6:$B$527,B153)</x:f>
        <x:v>1</x:v>
      </x:c>
      <x:c r="D153" s="431" t="n">
        <x:f>COUNTIFS('Specialisations'!$A$6:$A$527,A153,'Specialisations'!$B$6:$B$527,B153,'Specialisations'!$P$6:$P$527,"OK")</x:f>
        <x:v>1</x:v>
      </x:c>
      <x:c r="E153" s="431" t="n">
        <x:f>C153-D153</x:f>
        <x:v>0</x:v>
      </x:c>
      <x:c r="F153" s="432" t="n">
        <x:f>IF(C153=0,0,D153/C153)</x:f>
        <x:v>1</x:v>
      </x:c>
      <x:c r="G153" s="433" t="n">
        <x:f>SUMIFS('Specialisations'!$N$6:$N$527,'Specialisations'!$A$6:$A$527,A153,'Specialisations'!$B$6:$B$527,B153,'Specialisations'!$C$6:$C$527,"Guards")</x:f>
        <x:v>0</x:v>
      </x:c>
      <x:c r="H153" s="433" t="n">
        <x:f>SUMIFS('Specialisations'!$N$6:$N$527,'Specialisations'!$A$6:$A$527,A153,'Specialisations'!$B$6:$B$527,B153,'Specialisations'!$C$6:$C$527,"Archers")</x:f>
        <x:v>10334300</x:v>
      </x:c>
      <x:c r="I153" s="433" t="n">
        <x:f>SUMIFS('Specialisations'!$N$6:$N$527,'Specialisations'!$A$6:$A$527,A153,'Specialisations'!$B$6:$B$527,B153,'Specialisations'!$C$6:$C$527,"Cavalry")</x:f>
        <x:v>0</x:v>
      </x:c>
      <x:c r="J153" s="433" t="n">
        <x:f>SUMIFS('Specialisations'!$N$6:$N$527,'Specialisations'!$A$6:$A$527,A153,'Specialisations'!$B$6:$B$527,B153,'Specialisations'!$C$6:$C$527,"Siege")</x:f>
        <x:v>0</x:v>
      </x:c>
      <x:c r="K153" s="433" t="n">
        <x:f>SUM(G153:J153)</x:f>
        <x:v>10334300</x:v>
      </x:c>
      <x:c r="L153" s="434" t="n">
        <x:f>IFERROR(100*K153/MAX($K$19:$K$186),0)</x:f>
        <x:v>16.666666666666668</x:v>
      </x:c>
      <x:c r="M153" s="495" t="n">
        <x:f>IF(C153=0,"",SUMIFS('Specialisations'!$Q$6:$Q$527,'Specialisations'!$A$6:$A$527,A153,'Specialisations'!$B$6:$B$527,B153))</x:f>
        <x:v>60</x:v>
      </x:c>
      <x:c r="N153" s="431" t="n">
        <x:f>IF(K153=0,"",1+COUNTIFS($A$19:$A$186,A153,$K$19:$K$186,"&gt;"&amp;K153))</x:f>
        <x:v>9</x:v>
      </x:c>
      <x:c r="O153" s="431" t="n">
        <x:f>IF(K153=0,"",1+COUNTIF($K$19:$K$186,"&gt;"&amp;K153))</x:f>
        <x:v>111</x:v>
      </x:c>
      <x:c r="P153" s="430" t="str">
        <x:f>IF(C153=0,"No specialisations recorded",IF(E153&gt;0,"Review missing level","Complete"))</x:f>
        <x:v>Complete</x:v>
      </x:c>
      <x:c r="Q153" s="434" t="n">
        <x:f>IF(COUNTIFS('Damage Ranking'!$B$6:$B$172,A153,'Damage Ranking'!$C$6:$C$172,B153)=0,"",SUMIFS('Damage Ranking'!$D$6:$D$172,'Damage Ranking'!$B$6:$B$172,A153,'Damage Ranking'!$C$6:$C$172,B153))</x:f>
        <x:v>41.363734688698855</x:v>
      </x:c>
      <x:c r="R153" s="431" t="n">
        <x:f>IF(Q153="","",SUMIFS('Damage Ranking'!$A$6:$A$172,'Damage Ranking'!$B$6:$B$172,A153,'Damage Ranking'!$C$6:$C$172,B153))</x:f>
        <x:v>62</x:v>
      </x:c>
      <x:c r="S153" s="431" t="n">
        <x:f>IF(OR(R153="",O153=""),"",R153-O153)</x:f>
        <x:v>-49</x:v>
      </x:c>
      <x:c r="T153" s="430" t="str">
        <x:f>IF(S153="","No damage score",IF(S153&gt;=20,"Badges much stronger",IF(S153&lt;=-20,"Damage much stronger","Broadly aligned")))</x:f>
        <x:v>Damage much stronger</x:v>
      </x:c>
      <x:c r="U153" s="434" t="n">
        <x:f>IF(Q153="","",Q153*(1-$R$5)+L153*$R$5)</x:f>
        <x:v>41.363734688698855</x:v>
      </x:c>
      <x:c r="V153" s="431" t="n">
        <x:f>IF(U153="","",1+COUNTIF($U$19:$U$186,"&gt;"&amp;U153))</x:f>
        <x:v>62</x:v>
      </x:c>
    </x:row>
    <x:row r="154" ht="24" customHeight="1">
      <x:c r="A154" s="430" t="str">
        <x:v>K197</x:v>
      </x:c>
      <x:c r="B154" s="430" t="str">
        <x:v>-GAMERMAN-</x:v>
      </x:c>
      <x:c r="C154" s="431" t="n">
        <x:f>COUNTIFS('Specialisations'!$A$6:$A$527,A154,'Specialisations'!$B$6:$B$527,B154)</x:f>
        <x:v>4</x:v>
      </x:c>
      <x:c r="D154" s="431" t="n">
        <x:f>COUNTIFS('Specialisations'!$A$6:$A$527,A154,'Specialisations'!$B$6:$B$527,B154,'Specialisations'!$P$6:$P$527,"OK")</x:f>
        <x:v>4</x:v>
      </x:c>
      <x:c r="E154" s="431" t="n">
        <x:f>C154-D154</x:f>
        <x:v>0</x:v>
      </x:c>
      <x:c r="F154" s="432" t="n">
        <x:f>IF(C154=0,0,D154/C154)</x:f>
        <x:v>1</x:v>
      </x:c>
      <x:c r="G154" s="433" t="n">
        <x:f>SUMIFS('Specialisations'!$N$6:$N$527,'Specialisations'!$A$6:$A$527,A154,'Specialisations'!$B$6:$B$527,B154,'Specialisations'!$C$6:$C$527,"Guards")</x:f>
        <x:v>0</x:v>
      </x:c>
      <x:c r="H154" s="433" t="n">
        <x:f>SUMIFS('Specialisations'!$N$6:$N$527,'Specialisations'!$A$6:$A$527,A154,'Specialisations'!$B$6:$B$527,B154,'Specialisations'!$C$6:$C$527,"Archers")</x:f>
        <x:v>6934300</x:v>
      </x:c>
      <x:c r="I154" s="433" t="n">
        <x:f>SUMIFS('Specialisations'!$N$6:$N$527,'Specialisations'!$A$6:$A$527,A154,'Specialisations'!$B$6:$B$527,B154,'Specialisations'!$C$6:$C$527,"Cavalry")</x:f>
        <x:v>18668600</x:v>
      </x:c>
      <x:c r="J154" s="433" t="n">
        <x:f>SUMIFS('Specialisations'!$N$6:$N$527,'Specialisations'!$A$6:$A$527,A154,'Specialisations'!$B$6:$B$527,B154,'Specialisations'!$C$6:$C$527,"Siege")</x:f>
        <x:v>10334300</x:v>
      </x:c>
      <x:c r="K154" s="433" t="n">
        <x:f>SUM(G154:J154)</x:f>
        <x:v>35937200</x:v>
      </x:c>
      <x:c r="L154" s="434" t="n">
        <x:f>IFERROR(100*K154/MAX($K$19:$K$186),0)</x:f>
        <x:v>57.95780394737267</x:v>
      </x:c>
      <x:c r="M154" s="495" t="n">
        <x:f>IF(C154=0,"",SUMIFS('Specialisations'!$Q$6:$Q$527,'Specialisations'!$A$6:$A$527,A154,'Specialisations'!$B$6:$B$527,B154))</x:f>
        <x:v>226.94</x:v>
      </x:c>
      <x:c r="N154" s="431" t="n">
        <x:f>IF(K154=0,"",1+COUNTIFS($A$19:$A$186,A154,$K$19:$K$186,"&gt;"&amp;K154))</x:f>
        <x:v>2</x:v>
      </x:c>
      <x:c r="O154" s="431" t="n">
        <x:f>IF(K154=0,"",1+COUNTIF($K$19:$K$186,"&gt;"&amp;K154))</x:f>
        <x:v>4</x:v>
      </x:c>
      <x:c r="P154" s="430" t="str">
        <x:f>IF(C154=0,"No specialisations recorded",IF(E154&gt;0,"Review missing level","Complete"))</x:f>
        <x:v>Complete</x:v>
      </x:c>
      <x:c r="Q154" s="434" t="n">
        <x:f>IF(COUNTIFS('Damage Ranking'!$B$6:$B$172,A154,'Damage Ranking'!$C$6:$C$172,B154)=0,"",SUMIFS('Damage Ranking'!$D$6:$D$172,'Damage Ranking'!$B$6:$B$172,A154,'Damage Ranking'!$C$6:$C$172,B154))</x:f>
        <x:v>82.59821651882257</x:v>
      </x:c>
      <x:c r="R154" s="431" t="n">
        <x:f>IF(Q154="","",SUMIFS('Damage Ranking'!$A$6:$A$172,'Damage Ranking'!$B$6:$B$172,A154,'Damage Ranking'!$C$6:$C$172,B154))</x:f>
        <x:v>8</x:v>
      </x:c>
      <x:c r="S154" s="431" t="n">
        <x:f>IF(OR(R154="",O154=""),"",R154-O154)</x:f>
        <x:v>4</x:v>
      </x:c>
      <x:c r="T154" s="430" t="str">
        <x:f>IF(S154="","No damage score",IF(S154&gt;=20,"Badges much stronger",IF(S154&lt;=-20,"Damage much stronger","Broadly aligned")))</x:f>
        <x:v>Broadly aligned</x:v>
      </x:c>
      <x:c r="U154" s="434" t="n">
        <x:f>IF(Q154="","",Q154*(1-$R$5)+L154*$R$5)</x:f>
        <x:v>82.59821651882257</x:v>
      </x:c>
      <x:c r="V154" s="431" t="n">
        <x:f>IF(U154="","",1+COUNTIF($U$19:$U$186,"&gt;"&amp;U154))</x:f>
        <x:v>8</x:v>
      </x:c>
    </x:row>
    <x:row r="155" ht="24" customHeight="1">
      <x:c r="A155" s="430" t="str">
        <x:v>K197</x:v>
      </x:c>
      <x:c r="B155" s="430" t="str">
        <x:v>ღbaby买买买ღ</x:v>
      </x:c>
      <x:c r="C155" s="431" t="n">
        <x:f>COUNTIFS('Specialisations'!$A$6:$A$527,A155,'Specialisations'!$B$6:$B$527,B155)</x:f>
        <x:v>2</x:v>
      </x:c>
      <x:c r="D155" s="431" t="n">
        <x:f>COUNTIFS('Specialisations'!$A$6:$A$527,A155,'Specialisations'!$B$6:$B$527,B155,'Specialisations'!$P$6:$P$527,"OK")</x:f>
        <x:v>1</x:v>
      </x:c>
      <x:c r="E155" s="431" t="n">
        <x:f>C155-D155</x:f>
        <x:v>1</x:v>
      </x:c>
      <x:c r="F155" s="432" t="n">
        <x:f>IF(C155=0,0,D155/C155)</x:f>
        <x:v>0.5</x:v>
      </x:c>
      <x:c r="G155" s="433" t="n">
        <x:f>SUMIFS('Specialisations'!$N$6:$N$527,'Specialisations'!$A$6:$A$527,A155,'Specialisations'!$B$6:$B$527,B155,'Specialisations'!$C$6:$C$527,"Guards")</x:f>
        <x:v>0</x:v>
      </x:c>
      <x:c r="H155" s="433" t="n">
        <x:f>SUMIFS('Specialisations'!$N$6:$N$527,'Specialisations'!$A$6:$A$527,A155,'Specialisations'!$B$6:$B$527,B155,'Specialisations'!$C$6:$C$527,"Archers")</x:f>
        <x:v>10334300</x:v>
      </x:c>
      <x:c r="I155" s="433" t="n">
        <x:f>SUMIFS('Specialisations'!$N$6:$N$527,'Specialisations'!$A$6:$A$527,A155,'Specialisations'!$B$6:$B$527,B155,'Specialisations'!$C$6:$C$527,"Cavalry")</x:f>
        <x:v>0</x:v>
      </x:c>
      <x:c r="J155" s="433" t="n">
        <x:f>SUMIFS('Specialisations'!$N$6:$N$527,'Specialisations'!$A$6:$A$527,A155,'Specialisations'!$B$6:$B$527,B155,'Specialisations'!$C$6:$C$527,"Siege")</x:f>
        <x:v>0</x:v>
      </x:c>
      <x:c r="K155" s="433" t="n">
        <x:f>SUM(G155:J155)</x:f>
        <x:v>10334300</x:v>
      </x:c>
      <x:c r="L155" s="434" t="n">
        <x:f>IFERROR(100*K155/MAX($K$19:$K$186),0)</x:f>
        <x:v>16.666666666666668</x:v>
      </x:c>
      <x:c r="M155" s="495" t="n">
        <x:f>IF(C155=0,"",SUMIFS('Specialisations'!$Q$6:$Q$527,'Specialisations'!$A$6:$A$527,A155,'Specialisations'!$B$6:$B$527,B155))</x:f>
        <x:v>60</x:v>
      </x:c>
      <x:c r="N155" s="431" t="n">
        <x:f>IF(K155=0,"",1+COUNTIFS($A$19:$A$186,A155,$K$19:$K$186,"&gt;"&amp;K155))</x:f>
        <x:v>9</x:v>
      </x:c>
      <x:c r="O155" s="431" t="n">
        <x:f>IF(K155=0,"",1+COUNTIF($K$19:$K$186,"&gt;"&amp;K155))</x:f>
        <x:v>111</x:v>
      </x:c>
      <x:c r="P155" s="430" t="str">
        <x:f>IF(C155=0,"No specialisations recorded",IF(E155&gt;0,"Review missing level","Complete"))</x:f>
        <x:v>Review missing level</x:v>
      </x:c>
      <x:c r="Q155" s="434" t="n">
        <x:f>IF(COUNTIFS('Damage Ranking'!$B$6:$B$172,A155,'Damage Ranking'!$C$6:$C$172,B155)=0,"",SUMIFS('Damage Ranking'!$D$6:$D$172,'Damage Ranking'!$B$6:$B$172,A155,'Damage Ranking'!$C$6:$C$172,B155))</x:f>
        <x:v>46.6151581891425</x:v>
      </x:c>
      <x:c r="R155" s="431" t="n">
        <x:f>IF(Q155="","",SUMIFS('Damage Ranking'!$A$6:$A$172,'Damage Ranking'!$B$6:$B$172,A155,'Damage Ranking'!$C$6:$C$172,B155))</x:f>
        <x:v>46</x:v>
      </x:c>
      <x:c r="S155" s="431" t="n">
        <x:f>IF(OR(R155="",O155=""),"",R155-O155)</x:f>
        <x:v>-65</x:v>
      </x:c>
      <x:c r="T155" s="430" t="str">
        <x:f>IF(S155="","No damage score",IF(S155&gt;=20,"Badges much stronger",IF(S155&lt;=-20,"Damage much stronger","Broadly aligned")))</x:f>
        <x:v>Damage much stronger</x:v>
      </x:c>
      <x:c r="U155" s="434" t="n">
        <x:f>IF(Q155="","",Q155*(1-$R$5)+L155*$R$5)</x:f>
        <x:v>46.6151581891425</x:v>
      </x:c>
      <x:c r="V155" s="431" t="n">
        <x:f>IF(U155="","",1+COUNTIF($U$19:$U$186,"&gt;"&amp;U155))</x:f>
        <x:v>46</x:v>
      </x:c>
    </x:row>
    <x:row r="156" ht="24" customHeight="1">
      <x:c r="A156" s="430" t="str">
        <x:v>K197</x:v>
      </x:c>
      <x:c r="B156" s="430" t="str">
        <x:v>Viking</x:v>
      </x:c>
      <x:c r="C156" s="431" t="n">
        <x:f>COUNTIFS('Specialisations'!$A$6:$A$527,A156,'Specialisations'!$B$6:$B$527,B156)</x:f>
        <x:v>1</x:v>
      </x:c>
      <x:c r="D156" s="431" t="n">
        <x:f>COUNTIFS('Specialisations'!$A$6:$A$527,A156,'Specialisations'!$B$6:$B$527,B156,'Specialisations'!$P$6:$P$527,"OK")</x:f>
        <x:v>1</x:v>
      </x:c>
      <x:c r="E156" s="431" t="n">
        <x:f>C156-D156</x:f>
        <x:v>0</x:v>
      </x:c>
      <x:c r="F156" s="432" t="n">
        <x:f>IF(C156=0,0,D156/C156)</x:f>
        <x:v>1</x:v>
      </x:c>
      <x:c r="G156" s="433" t="n">
        <x:f>SUMIFS('Specialisations'!$N$6:$N$527,'Specialisations'!$A$6:$A$527,A156,'Specialisations'!$B$6:$B$527,B156,'Specialisations'!$C$6:$C$527,"Guards")</x:f>
        <x:v>0</x:v>
      </x:c>
      <x:c r="H156" s="433" t="n">
        <x:f>SUMIFS('Specialisations'!$N$6:$N$527,'Specialisations'!$A$6:$A$527,A156,'Specialisations'!$B$6:$B$527,B156,'Specialisations'!$C$6:$C$527,"Archers")</x:f>
        <x:v>10334300</x:v>
      </x:c>
      <x:c r="I156" s="433" t="n">
        <x:f>SUMIFS('Specialisations'!$N$6:$N$527,'Specialisations'!$A$6:$A$527,A156,'Specialisations'!$B$6:$B$527,B156,'Specialisations'!$C$6:$C$527,"Cavalry")</x:f>
        <x:v>0</x:v>
      </x:c>
      <x:c r="J156" s="433" t="n">
        <x:f>SUMIFS('Specialisations'!$N$6:$N$527,'Specialisations'!$A$6:$A$527,A156,'Specialisations'!$B$6:$B$527,B156,'Specialisations'!$C$6:$C$527,"Siege")</x:f>
        <x:v>0</x:v>
      </x:c>
      <x:c r="K156" s="433" t="n">
        <x:f>SUM(G156:J156)</x:f>
        <x:v>10334300</x:v>
      </x:c>
      <x:c r="L156" s="434" t="n">
        <x:f>IFERROR(100*K156/MAX($K$19:$K$186),0)</x:f>
        <x:v>16.666666666666668</x:v>
      </x:c>
      <x:c r="M156" s="495" t="n">
        <x:f>IF(C156=0,"",SUMIFS('Specialisations'!$Q$6:$Q$527,'Specialisations'!$A$6:$A$527,A156,'Specialisations'!$B$6:$B$527,B156))</x:f>
        <x:v>60</x:v>
      </x:c>
      <x:c r="N156" s="431" t="n">
        <x:f>IF(K156=0,"",1+COUNTIFS($A$19:$A$186,A156,$K$19:$K$186,"&gt;"&amp;K156))</x:f>
        <x:v>9</x:v>
      </x:c>
      <x:c r="O156" s="431" t="n">
        <x:f>IF(K156=0,"",1+COUNTIF($K$19:$K$186,"&gt;"&amp;K156))</x:f>
        <x:v>111</x:v>
      </x:c>
      <x:c r="P156" s="430" t="str">
        <x:f>IF(C156=0,"No specialisations recorded",IF(E156&gt;0,"Review missing level","Complete"))</x:f>
        <x:v>Complete</x:v>
      </x:c>
      <x:c r="Q156" s="434" t="n">
        <x:f>IF(COUNTIFS('Damage Ranking'!$B$6:$B$172,A156,'Damage Ranking'!$C$6:$C$172,B156)=0,"",SUMIFS('Damage Ranking'!$D$6:$D$172,'Damage Ranking'!$B$6:$B$172,A156,'Damage Ranking'!$C$6:$C$172,B156))</x:f>
        <x:v>22.76650825242643</x:v>
      </x:c>
      <x:c r="R156" s="431" t="n">
        <x:f>IF(Q156="","",SUMIFS('Damage Ranking'!$A$6:$A$172,'Damage Ranking'!$B$6:$B$172,A156,'Damage Ranking'!$C$6:$C$172,B156))</x:f>
        <x:v>116</x:v>
      </x:c>
      <x:c r="S156" s="431" t="n">
        <x:f>IF(OR(R156="",O156=""),"",R156-O156)</x:f>
        <x:v>5</x:v>
      </x:c>
      <x:c r="T156" s="430" t="str">
        <x:f>IF(S156="","No damage score",IF(S156&gt;=20,"Badges much stronger",IF(S156&lt;=-20,"Damage much stronger","Broadly aligned")))</x:f>
        <x:v>Broadly aligned</x:v>
      </x:c>
      <x:c r="U156" s="434" t="n">
        <x:f>IF(Q156="","",Q156*(1-$R$5)+L156*$R$5)</x:f>
        <x:v>22.76650825242643</x:v>
      </x:c>
      <x:c r="V156" s="431" t="n">
        <x:f>IF(U156="","",1+COUNTIF($U$19:$U$186,"&gt;"&amp;U156))</x:f>
        <x:v>116</x:v>
      </x:c>
    </x:row>
    <x:row r="157" ht="24" customHeight="1">
      <x:c r="A157" s="430" t="str">
        <x:v>K197</x:v>
      </x:c>
      <x:c r="B157" s="430" t="str">
        <x:v>ღ买买买babyღ</x:v>
      </x:c>
      <x:c r="C157" s="431" t="n">
        <x:f>COUNTIFS('Specialisations'!$A$6:$A$527,A157,'Specialisations'!$B$6:$B$527,B157)</x:f>
        <x:v>2</x:v>
      </x:c>
      <x:c r="D157" s="431" t="n">
        <x:f>COUNTIFS('Specialisations'!$A$6:$A$527,A157,'Specialisations'!$B$6:$B$527,B157,'Specialisations'!$P$6:$P$527,"OK")</x:f>
        <x:v>2</x:v>
      </x:c>
      <x:c r="E157" s="431" t="n">
        <x:f>C157-D157</x:f>
        <x:v>0</x:v>
      </x:c>
      <x:c r="F157" s="432" t="n">
        <x:f>IF(C157=0,0,D157/C157)</x:f>
        <x:v>1</x:v>
      </x:c>
      <x:c r="G157" s="433" t="n">
        <x:f>SUMIFS('Specialisations'!$N$6:$N$527,'Specialisations'!$A$6:$A$527,A157,'Specialisations'!$B$6:$B$527,B157,'Specialisations'!$C$6:$C$527,"Guards")</x:f>
        <x:v>774300</x:v>
      </x:c>
      <x:c r="H157" s="433" t="n">
        <x:f>SUMIFS('Specialisations'!$N$6:$N$527,'Specialisations'!$A$6:$A$527,A157,'Specialisations'!$B$6:$B$527,B157,'Specialisations'!$C$6:$C$527,"Archers")</x:f>
        <x:v>10334300</x:v>
      </x:c>
      <x:c r="I157" s="433" t="n">
        <x:f>SUMIFS('Specialisations'!$N$6:$N$527,'Specialisations'!$A$6:$A$527,A157,'Specialisations'!$B$6:$B$527,B157,'Specialisations'!$C$6:$C$527,"Cavalry")</x:f>
        <x:v>0</x:v>
      </x:c>
      <x:c r="J157" s="433" t="n">
        <x:f>SUMIFS('Specialisations'!$N$6:$N$527,'Specialisations'!$A$6:$A$527,A157,'Specialisations'!$B$6:$B$527,B157,'Specialisations'!$C$6:$C$527,"Siege")</x:f>
        <x:v>0</x:v>
      </x:c>
      <x:c r="K157" s="433" t="n">
        <x:f>SUM(G157:J157)</x:f>
        <x:v>11108600</x:v>
      </x:c>
      <x:c r="L157" s="434" t="n">
        <x:f>IFERROR(100*K157/MAX($K$19:$K$186),0)</x:f>
        <x:v>17.9154208154721</x:v>
      </x:c>
      <x:c r="M157" s="495" t="n">
        <x:f>IF(C157=0,"",SUMIFS('Specialisations'!$Q$6:$Q$527,'Specialisations'!$A$6:$A$527,A157,'Specialisations'!$B$6:$B$527,B157))</x:f>
        <x:v>49.18</x:v>
      </x:c>
      <x:c r="N157" s="431" t="n">
        <x:f>IF(K157=0,"",1+COUNTIFS($A$19:$A$186,A157,$K$19:$K$186,"&gt;"&amp;K157))</x:f>
        <x:v>8</x:v>
      </x:c>
      <x:c r="O157" s="431" t="n">
        <x:f>IF(K157=0,"",1+COUNTIF($K$19:$K$186,"&gt;"&amp;K157))</x:f>
        <x:v>105</x:v>
      </x:c>
      <x:c r="P157" s="430" t="str">
        <x:f>IF(C157=0,"No specialisations recorded",IF(E157&gt;0,"Review missing level","Complete"))</x:f>
        <x:v>Complete</x:v>
      </x:c>
      <x:c r="Q157" s="434" t="n">
        <x:f>IF(COUNTIFS('Damage Ranking'!$B$6:$B$172,A157,'Damage Ranking'!$C$6:$C$172,B157)=0,"",SUMIFS('Damage Ranking'!$D$6:$D$172,'Damage Ranking'!$B$6:$B$172,A157,'Damage Ranking'!$C$6:$C$172,B157))</x:f>
        <x:v>35.64043301073459</x:v>
      </x:c>
      <x:c r="R157" s="431" t="n">
        <x:f>IF(Q157="","",SUMIFS('Damage Ranking'!$A$6:$A$172,'Damage Ranking'!$B$6:$B$172,A157,'Damage Ranking'!$C$6:$C$172,B157))</x:f>
        <x:v>80</x:v>
      </x:c>
      <x:c r="S157" s="431" t="n">
        <x:f>IF(OR(R157="",O157=""),"",R157-O157)</x:f>
        <x:v>-25</x:v>
      </x:c>
      <x:c r="T157" s="430" t="str">
        <x:f>IF(S157="","No damage score",IF(S157&gt;=20,"Badges much stronger",IF(S157&lt;=-20,"Damage much stronger","Broadly aligned")))</x:f>
        <x:v>Damage much stronger</x:v>
      </x:c>
      <x:c r="U157" s="434" t="n">
        <x:f>IF(Q157="","",Q157*(1-$R$5)+L157*$R$5)</x:f>
        <x:v>35.64043301073459</x:v>
      </x:c>
      <x:c r="V157" s="431" t="n">
        <x:f>IF(U157="","",1+COUNTIF($U$19:$U$186,"&gt;"&amp;U157))</x:f>
        <x:v>80</x:v>
      </x:c>
    </x:row>
    <x:row r="158" ht="24" customHeight="1">
      <x:c r="A158" s="430" t="str">
        <x:v>K197</x:v>
      </x:c>
      <x:c r="B158" s="430" t="str">
        <x:v>优乐美</x:v>
      </x:c>
      <x:c r="C158" s="431" t="n">
        <x:f>COUNTIFS('Specialisations'!$A$6:$A$527,A158,'Specialisations'!$B$6:$B$527,B158)</x:f>
        <x:v>1</x:v>
      </x:c>
      <x:c r="D158" s="431" t="n">
        <x:f>COUNTIFS('Specialisations'!$A$6:$A$527,A158,'Specialisations'!$B$6:$B$527,B158,'Specialisations'!$P$6:$P$527,"OK")</x:f>
        <x:v>1</x:v>
      </x:c>
      <x:c r="E158" s="431" t="n">
        <x:f>C158-D158</x:f>
        <x:v>0</x:v>
      </x:c>
      <x:c r="F158" s="432" t="n">
        <x:f>IF(C158=0,0,D158/C158)</x:f>
        <x:v>1</x:v>
      </x:c>
      <x:c r="G158" s="433" t="n">
        <x:f>SUMIFS('Specialisations'!$N$6:$N$527,'Specialisations'!$A$6:$A$527,A158,'Specialisations'!$B$6:$B$527,B158,'Specialisations'!$C$6:$C$527,"Guards")</x:f>
        <x:v>0</x:v>
      </x:c>
      <x:c r="H158" s="433" t="n">
        <x:f>SUMIFS('Specialisations'!$N$6:$N$527,'Specialisations'!$A$6:$A$527,A158,'Specialisations'!$B$6:$B$527,B158,'Specialisations'!$C$6:$C$527,"Archers")</x:f>
        <x:v>0</x:v>
      </x:c>
      <x:c r="I158" s="433" t="n">
        <x:f>SUMIFS('Specialisations'!$N$6:$N$527,'Specialisations'!$A$6:$A$527,A158,'Specialisations'!$B$6:$B$527,B158,'Specialisations'!$C$6:$C$527,"Cavalry")</x:f>
        <x:v>10334300</x:v>
      </x:c>
      <x:c r="J158" s="433" t="n">
        <x:f>SUMIFS('Specialisations'!$N$6:$N$527,'Specialisations'!$A$6:$A$527,A158,'Specialisations'!$B$6:$B$527,B158,'Specialisations'!$C$6:$C$527,"Siege")</x:f>
        <x:v>0</x:v>
      </x:c>
      <x:c r="K158" s="433" t="n">
        <x:f>SUM(G158:J158)</x:f>
        <x:v>10334300</x:v>
      </x:c>
      <x:c r="L158" s="434" t="n">
        <x:f>IFERROR(100*K158/MAX($K$19:$K$186),0)</x:f>
        <x:v>16.666666666666668</x:v>
      </x:c>
      <x:c r="M158" s="495" t="n">
        <x:f>IF(C158=0,"",SUMIFS('Specialisations'!$Q$6:$Q$527,'Specialisations'!$A$6:$A$527,A158,'Specialisations'!$B$6:$B$527,B158))</x:f>
        <x:v>60</x:v>
      </x:c>
      <x:c r="N158" s="431" t="n">
        <x:f>IF(K158=0,"",1+COUNTIFS($A$19:$A$186,A158,$K$19:$K$186,"&gt;"&amp;K158))</x:f>
        <x:v>9</x:v>
      </x:c>
      <x:c r="O158" s="431" t="n">
        <x:f>IF(K158=0,"",1+COUNTIF($K$19:$K$186,"&gt;"&amp;K158))</x:f>
        <x:v>111</x:v>
      </x:c>
      <x:c r="P158" s="430" t="str">
        <x:f>IF(C158=0,"No specialisations recorded",IF(E158&gt;0,"Review missing level","Complete"))</x:f>
        <x:v>Complete</x:v>
      </x:c>
      <x:c r="Q158" s="434" t="n">
        <x:f>IF(COUNTIFS('Damage Ranking'!$B$6:$B$172,A158,'Damage Ranking'!$C$6:$C$172,B158)=0,"",SUMIFS('Damage Ranking'!$D$6:$D$172,'Damage Ranking'!$B$6:$B$172,A158,'Damage Ranking'!$C$6:$C$172,B158))</x:f>
        <x:v>16.94017588449127</x:v>
      </x:c>
      <x:c r="R158" s="431" t="n">
        <x:f>IF(Q158="","",SUMIFS('Damage Ranking'!$A$6:$A$172,'Damage Ranking'!$B$6:$B$172,A158,'Damage Ranking'!$C$6:$C$172,B158))</x:f>
        <x:v>135</x:v>
      </x:c>
      <x:c r="S158" s="431" t="n">
        <x:f>IF(OR(R158="",O158=""),"",R158-O158)</x:f>
        <x:v>24</x:v>
      </x:c>
      <x:c r="T158" s="430" t="str">
        <x:f>IF(S158="","No damage score",IF(S158&gt;=20,"Badges much stronger",IF(S158&lt;=-20,"Damage much stronger","Broadly aligned")))</x:f>
        <x:v>Badges much stronger</x:v>
      </x:c>
      <x:c r="U158" s="434" t="n">
        <x:f>IF(Q158="","",Q158*(1-$R$5)+L158*$R$5)</x:f>
        <x:v>16.94017588449127</x:v>
      </x:c>
      <x:c r="V158" s="431" t="n">
        <x:f>IF(U158="","",1+COUNTIF($U$19:$U$186,"&gt;"&amp;U158))</x:f>
        <x:v>135</x:v>
      </x:c>
    </x:row>
    <x:row r="159" ht="24" customHeight="1">
      <x:c r="A159" s="430" t="str">
        <x:v>K197</x:v>
      </x:c>
      <x:c r="B159" s="430" t="str">
        <x:v>Mira</x:v>
      </x:c>
      <x:c r="C159" s="431" t="n">
        <x:f>COUNTIFS('Specialisations'!$A$6:$A$527,A159,'Specialisations'!$B$6:$B$527,B159)</x:f>
        <x:v>2</x:v>
      </x:c>
      <x:c r="D159" s="431" t="n">
        <x:f>COUNTIFS('Specialisations'!$A$6:$A$527,A159,'Specialisations'!$B$6:$B$527,B159,'Specialisations'!$P$6:$P$527,"OK")</x:f>
        <x:v>2</x:v>
      </x:c>
      <x:c r="E159" s="431" t="n">
        <x:f>C159-D159</x:f>
        <x:v>0</x:v>
      </x:c>
      <x:c r="F159" s="432" t="n">
        <x:f>IF(C159=0,0,D159/C159)</x:f>
        <x:v>1</x:v>
      </x:c>
      <x:c r="G159" s="433" t="n">
        <x:f>SUMIFS('Specialisations'!$N$6:$N$527,'Specialisations'!$A$6:$A$527,A159,'Specialisations'!$B$6:$B$527,B159,'Specialisations'!$C$6:$C$527,"Guards")</x:f>
        <x:v>424300</x:v>
      </x:c>
      <x:c r="H159" s="433" t="n">
        <x:f>SUMIFS('Specialisations'!$N$6:$N$527,'Specialisations'!$A$6:$A$527,A159,'Specialisations'!$B$6:$B$527,B159,'Specialisations'!$C$6:$C$527,"Archers")</x:f>
        <x:v>8334300</x:v>
      </x:c>
      <x:c r="I159" s="433" t="n">
        <x:f>SUMIFS('Specialisations'!$N$6:$N$527,'Specialisations'!$A$6:$A$527,A159,'Specialisations'!$B$6:$B$527,B159,'Specialisations'!$C$6:$C$527,"Cavalry")</x:f>
        <x:v>0</x:v>
      </x:c>
      <x:c r="J159" s="433" t="n">
        <x:f>SUMIFS('Specialisations'!$N$6:$N$527,'Specialisations'!$A$6:$A$527,A159,'Specialisations'!$B$6:$B$527,B159,'Specialisations'!$C$6:$C$527,"Siege")</x:f>
        <x:v>0</x:v>
      </x:c>
      <x:c r="K159" s="433" t="n">
        <x:f>SUM(G159:J159)</x:f>
        <x:v>8758600</x:v>
      </x:c>
      <x:c r="L159" s="434" t="n">
        <x:f>IFERROR(100*K159/MAX($K$19:$K$186),0)</x:f>
        <x:v>14.125452780223785</x:v>
      </x:c>
      <x:c r="M159" s="495" t="n">
        <x:f>IF(C159=0,"",SUMIFS('Specialisations'!$Q$6:$Q$527,'Specialisations'!$A$6:$A$527,A159,'Specialisations'!$B$6:$B$527,B159))</x:f>
        <x:v>49.09</x:v>
      </x:c>
      <x:c r="N159" s="431" t="n">
        <x:f>IF(K159=0,"",1+COUNTIFS($A$19:$A$186,A159,$K$19:$K$186,"&gt;"&amp;K159))</x:f>
        <x:v>15</x:v>
      </x:c>
      <x:c r="O159" s="431" t="n">
        <x:f>IF(K159=0,"",1+COUNTIF($K$19:$K$186,"&gt;"&amp;K159))</x:f>
        <x:v>129</x:v>
      </x:c>
      <x:c r="P159" s="430" t="str">
        <x:f>IF(C159=0,"No specialisations recorded",IF(E159&gt;0,"Review missing level","Complete"))</x:f>
        <x:v>Complete</x:v>
      </x:c>
      <x:c r="Q159" s="434" t="n">
        <x:f>IF(COUNTIFS('Damage Ranking'!$B$6:$B$172,A159,'Damage Ranking'!$C$6:$C$172,B159)=0,"",SUMIFS('Damage Ranking'!$D$6:$D$172,'Damage Ranking'!$B$6:$B$172,A159,'Damage Ranking'!$C$6:$C$172,B159))</x:f>
        <x:v>24.712222699959558</x:v>
      </x:c>
      <x:c r="R159" s="431" t="n">
        <x:f>IF(Q159="","",SUMIFS('Damage Ranking'!$A$6:$A$172,'Damage Ranking'!$B$6:$B$172,A159,'Damage Ranking'!$C$6:$C$172,B159))</x:f>
        <x:v>109</x:v>
      </x:c>
      <x:c r="S159" s="431" t="n">
        <x:f>IF(OR(R159="",O159=""),"",R159-O159)</x:f>
        <x:v>-20</x:v>
      </x:c>
      <x:c r="T159" s="430" t="str">
        <x:f>IF(S159="","No damage score",IF(S159&gt;=20,"Badges much stronger",IF(S159&lt;=-20,"Damage much stronger","Broadly aligned")))</x:f>
        <x:v>Damage much stronger</x:v>
      </x:c>
      <x:c r="U159" s="434" t="n">
        <x:f>IF(Q159="","",Q159*(1-$R$5)+L159*$R$5)</x:f>
        <x:v>24.712222699959558</x:v>
      </x:c>
      <x:c r="V159" s="431" t="n">
        <x:f>IF(U159="","",1+COUNTIF($U$19:$U$186,"&gt;"&amp;U159))</x:f>
        <x:v>109</x:v>
      </x:c>
    </x:row>
    <x:row r="160" ht="24" customHeight="1">
      <x:c r="A160" s="430" t="str">
        <x:v>K176</x:v>
      </x:c>
      <x:c r="B160" s="430" t="str">
        <x:v>苟拓通天肆意妄为</x:v>
      </x:c>
      <x:c r="C160" s="431" t="n">
        <x:f>COUNTIFS('Specialisations'!$A$6:$A$527,A160,'Specialisations'!$B$6:$B$527,B160)</x:f>
        <x:v>5</x:v>
      </x:c>
      <x:c r="D160" s="431" t="n">
        <x:f>COUNTIFS('Specialisations'!$A$6:$A$527,A160,'Specialisations'!$B$6:$B$527,B160,'Specialisations'!$P$6:$P$527,"OK")</x:f>
        <x:v>5</x:v>
      </x:c>
      <x:c r="E160" s="431" t="n">
        <x:f>C160-D160</x:f>
        <x:v>0</x:v>
      </x:c>
      <x:c r="F160" s="432" t="n">
        <x:f>IF(C160=0,0,D160/C160)</x:f>
        <x:v>1</x:v>
      </x:c>
      <x:c r="G160" s="433" t="n">
        <x:f>SUMIFS('Specialisations'!$N$6:$N$527,'Specialisations'!$A$6:$A$527,A160,'Specialisations'!$B$6:$B$527,B160,'Specialisations'!$C$6:$C$527,"Guards")</x:f>
        <x:v>10334300</x:v>
      </x:c>
      <x:c r="H160" s="433" t="n">
        <x:f>SUMIFS('Specialisations'!$N$6:$N$527,'Specialisations'!$A$6:$A$527,A160,'Specialisations'!$B$6:$B$527,B160,'Specialisations'!$C$6:$C$527,"Archers")</x:f>
        <x:v>6934300</x:v>
      </x:c>
      <x:c r="I160" s="433" t="n">
        <x:f>SUMIFS('Specialisations'!$N$6:$N$527,'Specialisations'!$A$6:$A$527,A160,'Specialisations'!$B$6:$B$527,B160,'Specialisations'!$C$6:$C$527,"Cavalry")</x:f>
        <x:v>13868600</x:v>
      </x:c>
      <x:c r="J160" s="433" t="n">
        <x:f>SUMIFS('Specialisations'!$N$6:$N$527,'Specialisations'!$A$6:$A$527,A160,'Specialisations'!$B$6:$B$527,B160,'Specialisations'!$C$6:$C$527,"Siege")</x:f>
        <x:v>6934300</x:v>
      </x:c>
      <x:c r="K160" s="433" t="n">
        <x:f>SUM(G160:J160)</x:f>
        <x:v>38071500</x:v>
      </x:c>
      <x:c r="L160" s="434" t="n">
        <x:f>IFERROR(100*K160/MAX($K$19:$K$186),0)</x:f>
        <x:v>61.39990129955585</x:v>
      </x:c>
      <x:c r="M160" s="495" t="n">
        <x:f>IF(C160=0,"",SUMIFS('Specialisations'!$Q$6:$Q$527,'Specialisations'!$A$6:$A$527,A160,'Specialisations'!$B$6:$B$527,B160))</x:f>
        <x:v>146.96</x:v>
      </x:c>
      <x:c r="N160" s="431" t="n">
        <x:f>IF(K160=0,"",1+COUNTIFS($A$19:$A$186,A160,$K$19:$K$186,"&gt;"&amp;K160))</x:f>
        <x:v>1</x:v>
      </x:c>
      <x:c r="O160" s="431" t="n">
        <x:f>IF(K160=0,"",1+COUNTIF($K$19:$K$186,"&gt;"&amp;K160))</x:f>
        <x:v>3</x:v>
      </x:c>
      <x:c r="P160" s="430" t="str">
        <x:f>IF(C160=0,"No specialisations recorded",IF(E160&gt;0,"Review missing level","Complete"))</x:f>
        <x:v>Complete</x:v>
      </x:c>
      <x:c r="Q160" s="434" t="n">
        <x:f>IF(COUNTIFS('Damage Ranking'!$B$6:$B$172,A160,'Damage Ranking'!$C$6:$C$172,B160)=0,"",SUMIFS('Damage Ranking'!$D$6:$D$172,'Damage Ranking'!$B$6:$B$172,A160,'Damage Ranking'!$C$6:$C$172,B160))</x:f>
        <x:v>74.6550009636016</x:v>
      </x:c>
      <x:c r="R160" s="431" t="n">
        <x:f>IF(Q160="","",SUMIFS('Damage Ranking'!$A$6:$A$172,'Damage Ranking'!$B$6:$B$172,A160,'Damage Ranking'!$C$6:$C$172,B160))</x:f>
        <x:v>13</x:v>
      </x:c>
      <x:c r="S160" s="431" t="n">
        <x:f>IF(OR(R160="",O160=""),"",R160-O160)</x:f>
        <x:v>10</x:v>
      </x:c>
      <x:c r="T160" s="430" t="str">
        <x:f>IF(S160="","No damage score",IF(S160&gt;=20,"Badges much stronger",IF(S160&lt;=-20,"Damage much stronger","Broadly aligned")))</x:f>
        <x:v>Broadly aligned</x:v>
      </x:c>
      <x:c r="U160" s="434" t="n">
        <x:f>IF(Q160="","",Q160*(1-$R$5)+L160*$R$5)</x:f>
        <x:v>74.6550009636016</x:v>
      </x:c>
      <x:c r="V160" s="431" t="n">
        <x:f>IF(U160="","",1+COUNTIF($U$19:$U$186,"&gt;"&amp;U160))</x:f>
        <x:v>13</x:v>
      </x:c>
    </x:row>
    <x:row r="161" ht="24" customHeight="1">
      <x:c r="A161" s="430" t="str">
        <x:v>K176</x:v>
      </x:c>
      <x:c r="B161" s="430" t="str">
        <x:v>Evildagger</x:v>
      </x:c>
      <x:c r="C161" s="431" t="n">
        <x:f>COUNTIFS('Specialisations'!$A$6:$A$527,A161,'Specialisations'!$B$6:$B$527,B161)</x:f>
        <x:v>2</x:v>
      </x:c>
      <x:c r="D161" s="431" t="n">
        <x:f>COUNTIFS('Specialisations'!$A$6:$A$527,A161,'Specialisations'!$B$6:$B$527,B161,'Specialisations'!$P$6:$P$527,"OK")</x:f>
        <x:v>2</x:v>
      </x:c>
      <x:c r="E161" s="431" t="n">
        <x:f>C161-D161</x:f>
        <x:v>0</x:v>
      </x:c>
      <x:c r="F161" s="432" t="n">
        <x:f>IF(C161=0,0,D161/C161)</x:f>
        <x:v>1</x:v>
      </x:c>
      <x:c r="G161" s="433" t="n">
        <x:f>SUMIFS('Specialisations'!$N$6:$N$527,'Specialisations'!$A$6:$A$527,A161,'Specialisations'!$B$6:$B$527,B161,'Specialisations'!$C$6:$C$527,"Guards")</x:f>
        <x:v>0</x:v>
      </x:c>
      <x:c r="H161" s="433" t="n">
        <x:f>SUMIFS('Specialisations'!$N$6:$N$527,'Specialisations'!$A$6:$A$527,A161,'Specialisations'!$B$6:$B$527,B161,'Specialisations'!$C$6:$C$527,"Archers")</x:f>
        <x:v>0</x:v>
      </x:c>
      <x:c r="I161" s="433" t="n">
        <x:f>SUMIFS('Specialisations'!$N$6:$N$527,'Specialisations'!$A$6:$A$527,A161,'Specialisations'!$B$6:$B$527,B161,'Specialisations'!$C$6:$C$527,"Cavalry")</x:f>
        <x:v>10888600</x:v>
      </x:c>
      <x:c r="J161" s="433" t="n">
        <x:f>SUMIFS('Specialisations'!$N$6:$N$527,'Specialisations'!$A$6:$A$527,A161,'Specialisations'!$B$6:$B$527,B161,'Specialisations'!$C$6:$C$527,"Siege")</x:f>
        <x:v>0</x:v>
      </x:c>
      <x:c r="K161" s="433" t="n">
        <x:f>SUM(G161:J161)</x:f>
        <x:v>10888600</x:v>
      </x:c>
      <x:c r="L161" s="434" t="n">
        <x:f>IFERROR(100*K161/MAX($K$19:$K$186),0)</x:f>
        <x:v>17.56061529727864</x:v>
      </x:c>
      <x:c r="M161" s="495" t="n">
        <x:f>IF(C161=0,"",SUMIFS('Specialisations'!$Q$6:$Q$527,'Specialisations'!$A$6:$A$527,A161,'Specialisations'!$B$6:$B$527,B161))</x:f>
        <x:v>93.51</x:v>
      </x:c>
      <x:c r="N161" s="431" t="n">
        <x:f>IF(K161=0,"",1+COUNTIFS($A$19:$A$186,A161,$K$19:$K$186,"&gt;"&amp;K161))</x:f>
        <x:v>19</x:v>
      </x:c>
      <x:c r="O161" s="431" t="n">
        <x:f>IF(K161=0,"",1+COUNTIF($K$19:$K$186,"&gt;"&amp;K161))</x:f>
        <x:v>108</x:v>
      </x:c>
      <x:c r="P161" s="430" t="str">
        <x:f>IF(C161=0,"No specialisations recorded",IF(E161&gt;0,"Review missing level","Complete"))</x:f>
        <x:v>Complete</x:v>
      </x:c>
      <x:c r="Q161" s="434" t="n">
        <x:f>IF(COUNTIFS('Damage Ranking'!$B$6:$B$172,A161,'Damage Ranking'!$C$6:$C$172,B161)=0,"",SUMIFS('Damage Ranking'!$D$6:$D$172,'Damage Ranking'!$B$6:$B$172,A161,'Damage Ranking'!$C$6:$C$172,B161))</x:f>
        <x:v>29.834345828426628</x:v>
      </x:c>
      <x:c r="R161" s="431" t="n">
        <x:f>IF(Q161="","",SUMIFS('Damage Ranking'!$A$6:$A$172,'Damage Ranking'!$B$6:$B$172,A161,'Damage Ranking'!$C$6:$C$172,B161))</x:f>
        <x:v>92</x:v>
      </x:c>
      <x:c r="S161" s="431" t="n">
        <x:f>IF(OR(R161="",O161=""),"",R161-O161)</x:f>
        <x:v>-16</x:v>
      </x:c>
      <x:c r="T161" s="430" t="str">
        <x:f>IF(S161="","No damage score",IF(S161&gt;=20,"Badges much stronger",IF(S161&lt;=-20,"Damage much stronger","Broadly aligned")))</x:f>
        <x:v>Broadly aligned</x:v>
      </x:c>
      <x:c r="U161" s="434" t="n">
        <x:f>IF(Q161="","",Q161*(1-$R$5)+L161*$R$5)</x:f>
        <x:v>29.834345828426628</x:v>
      </x:c>
      <x:c r="V161" s="431" t="n">
        <x:f>IF(U161="","",1+COUNTIF($U$19:$U$186,"&gt;"&amp;U161))</x:f>
        <x:v>92</x:v>
      </x:c>
    </x:row>
    <x:row r="162" ht="24" customHeight="1">
      <x:c r="A162" s="430" t="str">
        <x:v>K176</x:v>
      </x:c>
      <x:c r="B162" s="430" t="str">
        <x:v>༺肥者先食༻</x:v>
      </x:c>
      <x:c r="C162" s="431" t="n">
        <x:f>COUNTIFS('Specialisations'!$A$6:$A$527,A162,'Specialisations'!$B$6:$B$527,B162)</x:f>
        <x:v>5</x:v>
      </x:c>
      <x:c r="D162" s="431" t="n">
        <x:f>COUNTIFS('Specialisations'!$A$6:$A$527,A162,'Specialisations'!$B$6:$B$527,B162,'Specialisations'!$P$6:$P$527,"OK")</x:f>
        <x:v>5</x:v>
      </x:c>
      <x:c r="E162" s="431" t="n">
        <x:f>C162-D162</x:f>
        <x:v>0</x:v>
      </x:c>
      <x:c r="F162" s="432" t="n">
        <x:f>IF(C162=0,0,D162/C162)</x:f>
        <x:v>1</x:v>
      </x:c>
      <x:c r="G162" s="433" t="n">
        <x:f>SUMIFS('Specialisations'!$N$6:$N$527,'Specialisations'!$A$6:$A$527,A162,'Specialisations'!$B$6:$B$527,B162,'Specialisations'!$C$6:$C$527,"Guards")</x:f>
        <x:v>4284300</x:v>
      </x:c>
      <x:c r="H162" s="433" t="n">
        <x:f>SUMIFS('Specialisations'!$N$6:$N$527,'Specialisations'!$A$6:$A$527,A162,'Specialisations'!$B$6:$B$527,B162,'Specialisations'!$C$6:$C$527,"Archers")</x:f>
        <x:v>2244300</x:v>
      </x:c>
      <x:c r="I162" s="433" t="n">
        <x:f>SUMIFS('Specialisations'!$N$6:$N$527,'Specialisations'!$A$6:$A$527,A162,'Specialisations'!$B$6:$B$527,B162,'Specialisations'!$C$6:$C$527,"Cavalry")</x:f>
        <x:v>6088600</x:v>
      </x:c>
      <x:c r="J162" s="433" t="n">
        <x:f>SUMIFS('Specialisations'!$N$6:$N$527,'Specialisations'!$A$6:$A$527,A162,'Specialisations'!$B$6:$B$527,B162,'Specialisations'!$C$6:$C$527,"Siege")</x:f>
        <x:v>369300</x:v>
      </x:c>
      <x:c r="K162" s="433" t="n">
        <x:f>SUM(G162:J162)</x:f>
        <x:v>12986500</x:v>
      </x:c>
      <x:c r="L162" s="434" t="n">
        <x:f>IFERROR(100*K162/MAX($K$19:$K$186),0)</x:f>
        <x:v>20.944008463724362</x:v>
      </x:c>
      <x:c r="M162" s="495" t="n">
        <x:f>IF(C162=0,"",SUMIFS('Specialisations'!$Q$6:$Q$527,'Specialisations'!$A$6:$A$527,A162,'Specialisations'!$B$6:$B$527,B162))</x:f>
        <x:v>60.31</x:v>
      </x:c>
      <x:c r="N162" s="431" t="n">
        <x:f>IF(K162=0,"",1+COUNTIFS($A$19:$A$186,A162,$K$19:$K$186,"&gt;"&amp;K162))</x:f>
        <x:v>16</x:v>
      </x:c>
      <x:c r="O162" s="431" t="n">
        <x:f>IF(K162=0,"",1+COUNTIF($K$19:$K$186,"&gt;"&amp;K162))</x:f>
        <x:v>84</x:v>
      </x:c>
      <x:c r="P162" s="430" t="str">
        <x:f>IF(C162=0,"No specialisations recorded",IF(E162&gt;0,"Review missing level","Complete"))</x:f>
        <x:v>Complete</x:v>
      </x:c>
      <x:c r="Q162" s="434" t="n">
        <x:f>IF(COUNTIFS('Damage Ranking'!$B$6:$B$172,A162,'Damage Ranking'!$C$6:$C$172,B162)=0,"",SUMIFS('Damage Ranking'!$D$6:$D$172,'Damage Ranking'!$B$6:$B$172,A162,'Damage Ranking'!$C$6:$C$172,B162))</x:f>
        <x:v>18.533824556644483</x:v>
      </x:c>
      <x:c r="R162" s="431" t="n">
        <x:f>IF(Q162="","",SUMIFS('Damage Ranking'!$A$6:$A$172,'Damage Ranking'!$B$6:$B$172,A162,'Damage Ranking'!$C$6:$C$172,B162))</x:f>
        <x:v>128</x:v>
      </x:c>
      <x:c r="S162" s="431" t="n">
        <x:f>IF(OR(R162="",O162=""),"",R162-O162)</x:f>
        <x:v>44</x:v>
      </x:c>
      <x:c r="T162" s="430" t="str">
        <x:f>IF(S162="","No damage score",IF(S162&gt;=20,"Badges much stronger",IF(S162&lt;=-20,"Damage much stronger","Broadly aligned")))</x:f>
        <x:v>Badges much stronger</x:v>
      </x:c>
      <x:c r="U162" s="434" t="n">
        <x:f>IF(Q162="","",Q162*(1-$R$5)+L162*$R$5)</x:f>
        <x:v>18.533824556644483</x:v>
      </x:c>
      <x:c r="V162" s="431" t="n">
        <x:f>IF(U162="","",1+COUNTIF($U$19:$U$186,"&gt;"&amp;U162))</x:f>
        <x:v>128</x:v>
      </x:c>
    </x:row>
    <x:row r="163" ht="24" customHeight="1">
      <x:c r="A163" s="430" t="str">
        <x:v>K176</x:v>
      </x:c>
      <x:c r="B163" s="430" t="str">
        <x:v>༺璀璨星辰༻</x:v>
      </x:c>
      <x:c r="C163" s="431" t="n">
        <x:f>COUNTIFS('Specialisations'!$A$6:$A$527,A163,'Specialisations'!$B$6:$B$527,B163)</x:f>
        <x:v>4</x:v>
      </x:c>
      <x:c r="D163" s="431" t="n">
        <x:f>COUNTIFS('Specialisations'!$A$6:$A$527,A163,'Specialisations'!$B$6:$B$527,B163,'Specialisations'!$P$6:$P$527,"OK")</x:f>
        <x:v>4</x:v>
      </x:c>
      <x:c r="E163" s="431" t="n">
        <x:f>C163-D163</x:f>
        <x:v>0</x:v>
      </x:c>
      <x:c r="F163" s="432" t="n">
        <x:f>IF(C163=0,0,D163/C163)</x:f>
        <x:v>1</x:v>
      </x:c>
      <x:c r="G163" s="433" t="n">
        <x:f>SUMIFS('Specialisations'!$N$6:$N$527,'Specialisations'!$A$6:$A$527,A163,'Specialisations'!$B$6:$B$527,B163,'Specialisations'!$C$6:$C$527,"Guards")</x:f>
        <x:v>4284300</x:v>
      </x:c>
      <x:c r="H163" s="433" t="n">
        <x:f>SUMIFS('Specialisations'!$N$6:$N$527,'Specialisations'!$A$6:$A$527,A163,'Specialisations'!$B$6:$B$527,B163,'Specialisations'!$C$6:$C$527,"Archers")</x:f>
        <x:v>0</x:v>
      </x:c>
      <x:c r="I163" s="433" t="n">
        <x:f>SUMIFS('Specialisations'!$N$6:$N$527,'Specialisations'!$A$6:$A$527,A163,'Specialisations'!$B$6:$B$527,B163,'Specialisations'!$C$6:$C$527,"Cavalry")</x:f>
        <x:v>20668600</x:v>
      </x:c>
      <x:c r="J163" s="433" t="n">
        <x:f>SUMIFS('Specialisations'!$N$6:$N$527,'Specialisations'!$A$6:$A$527,A163,'Specialisations'!$B$6:$B$527,B163,'Specialisations'!$C$6:$C$527,"Siege")</x:f>
        <x:v>4284300</x:v>
      </x:c>
      <x:c r="K163" s="433" t="n">
        <x:f>SUM(G163:J163)</x:f>
        <x:v>29237200</x:v>
      </x:c>
      <x:c r="L163" s="434" t="n">
        <x:f>IFERROR(100*K163/MAX($K$19:$K$186),0)</x:f>
        <x:v>47.152363166026404</x:v>
      </x:c>
      <x:c r="M163" s="495" t="n">
        <x:f>IF(C163=0,"",SUMIFS('Specialisations'!$Q$6:$Q$527,'Specialisations'!$A$6:$A$527,A163,'Specialisations'!$B$6:$B$527,B163))</x:f>
        <x:v>120</x:v>
      </x:c>
      <x:c r="N163" s="431" t="n">
        <x:f>IF(K163=0,"",1+COUNTIFS($A$19:$A$186,A163,$K$19:$K$186,"&gt;"&amp;K163))</x:f>
        <x:v>2</x:v>
      </x:c>
      <x:c r="O163" s="431" t="n">
        <x:f>IF(K163=0,"",1+COUNTIF($K$19:$K$186,"&gt;"&amp;K163))</x:f>
        <x:v>8</x:v>
      </x:c>
      <x:c r="P163" s="430" t="str">
        <x:f>IF(C163=0,"No specialisations recorded",IF(E163&gt;0,"Review missing level","Complete"))</x:f>
        <x:v>Complete</x:v>
      </x:c>
      <x:c r="Q163" s="434" t="n">
        <x:f>IF(COUNTIFS('Damage Ranking'!$B$6:$B$172,A163,'Damage Ranking'!$C$6:$C$172,B163)=0,"",SUMIFS('Damage Ranking'!$D$6:$D$172,'Damage Ranking'!$B$6:$B$172,A163,'Damage Ranking'!$C$6:$C$172,B163))</x:f>
        <x:v>64.93121799270996</x:v>
      </x:c>
      <x:c r="R163" s="431" t="n">
        <x:f>IF(Q163="","",SUMIFS('Damage Ranking'!$A$6:$A$172,'Damage Ranking'!$B$6:$B$172,A163,'Damage Ranking'!$C$6:$C$172,B163))</x:f>
        <x:v>21</x:v>
      </x:c>
      <x:c r="S163" s="431" t="n">
        <x:f>IF(OR(R163="",O163=""),"",R163-O163)</x:f>
        <x:v>13</x:v>
      </x:c>
      <x:c r="T163" s="430" t="str">
        <x:f>IF(S163="","No damage score",IF(S163&gt;=20,"Badges much stronger",IF(S163&lt;=-20,"Damage much stronger","Broadly aligned")))</x:f>
        <x:v>Broadly aligned</x:v>
      </x:c>
      <x:c r="U163" s="434" t="n">
        <x:f>IF(Q163="","",Q163*(1-$R$5)+L163*$R$5)</x:f>
        <x:v>64.93121799270996</x:v>
      </x:c>
      <x:c r="V163" s="431" t="n">
        <x:f>IF(U163="","",1+COUNTIF($U$19:$U$186,"&gt;"&amp;U163))</x:f>
        <x:v>21</x:v>
      </x:c>
    </x:row>
    <x:row r="164" ht="24" customHeight="1">
      <x:c r="A164" s="430" t="str">
        <x:v>K176</x:v>
      </x:c>
      <x:c r="B164" s="430" t="str">
        <x:v>临兵斗者皆阵列前</x:v>
      </x:c>
      <x:c r="C164" s="431" t="n">
        <x:f>COUNTIFS('Specialisations'!$A$6:$A$527,A164,'Specialisations'!$B$6:$B$527,B164)</x:f>
        <x:v>5</x:v>
      </x:c>
      <x:c r="D164" s="431" t="n">
        <x:f>COUNTIFS('Specialisations'!$A$6:$A$527,A164,'Specialisations'!$B$6:$B$527,B164,'Specialisations'!$P$6:$P$527,"OK")</x:f>
        <x:v>5</x:v>
      </x:c>
      <x:c r="E164" s="431" t="n">
        <x:f>C164-D164</x:f>
        <x:v>0</x:v>
      </x:c>
      <x:c r="F164" s="432" t="n">
        <x:f>IF(C164=0,0,D164/C164)</x:f>
        <x:v>1</x:v>
      </x:c>
      <x:c r="G164" s="433" t="n">
        <x:f>SUMIFS('Specialisations'!$N$6:$N$527,'Specialisations'!$A$6:$A$527,A164,'Specialisations'!$B$6:$B$527,B164,'Specialisations'!$C$6:$C$527,"Guards")</x:f>
        <x:v>4284300</x:v>
      </x:c>
      <x:c r="H164" s="433" t="n">
        <x:f>SUMIFS('Specialisations'!$N$6:$N$527,'Specialisations'!$A$6:$A$527,A164,'Specialisations'!$B$6:$B$527,B164,'Specialisations'!$C$6:$C$527,"Archers")</x:f>
        <x:v>1324300</x:v>
      </x:c>
      <x:c r="I164" s="433" t="n">
        <x:f>SUMIFS('Specialisations'!$N$6:$N$527,'Specialisations'!$A$6:$A$527,A164,'Specialisations'!$B$6:$B$527,B164,'Specialisations'!$C$6:$C$527,"Cavalry")</x:f>
        <x:v>11218600</x:v>
      </x:c>
      <x:c r="J164" s="433" t="n">
        <x:f>SUMIFS('Specialisations'!$N$6:$N$527,'Specialisations'!$A$6:$A$527,A164,'Specialisations'!$B$6:$B$527,B164,'Specialisations'!$C$6:$C$527,"Siege")</x:f>
        <x:v>271800</x:v>
      </x:c>
      <x:c r="K164" s="433" t="n">
        <x:f>SUM(G164:J164)</x:f>
        <x:v>17099000</x:v>
      </x:c>
      <x:c r="L164" s="434" t="n">
        <x:f>IFERROR(100*K164/MAX($K$19:$K$186),0)</x:f>
        <x:v>27.576452525408914</x:v>
      </x:c>
      <x:c r="M164" s="495" t="n">
        <x:f>IF(C164=0,"",SUMIFS('Specialisations'!$Q$6:$Q$527,'Specialisations'!$A$6:$A$527,A164,'Specialisations'!$B$6:$B$527,B164))</x:f>
        <x:v>73.58</x:v>
      </x:c>
      <x:c r="N164" s="431" t="n">
        <x:f>IF(K164=0,"",1+COUNTIFS($A$19:$A$186,A164,$K$19:$K$186,"&gt;"&amp;K164))</x:f>
        <x:v>11</x:v>
      </x:c>
      <x:c r="O164" s="431" t="n">
        <x:f>IF(K164=0,"",1+COUNTIF($K$19:$K$186,"&gt;"&amp;K164))</x:f>
        <x:v>48</x:v>
      </x:c>
      <x:c r="P164" s="430" t="str">
        <x:f>IF(C164=0,"No specialisations recorded",IF(E164&gt;0,"Review missing level","Complete"))</x:f>
        <x:v>Complete</x:v>
      </x:c>
      <x:c r="Q164" s="434" t="n">
        <x:f>IF(COUNTIFS('Damage Ranking'!$B$6:$B$172,A164,'Damage Ranking'!$C$6:$C$172,B164)=0,"",SUMIFS('Damage Ranking'!$D$6:$D$172,'Damage Ranking'!$B$6:$B$172,A164,'Damage Ranking'!$C$6:$C$172,B164))</x:f>
        <x:v>23.995082079889748</x:v>
      </x:c>
      <x:c r="R164" s="431" t="n">
        <x:f>IF(Q164="","",SUMIFS('Damage Ranking'!$A$6:$A$172,'Damage Ranking'!$B$6:$B$172,A164,'Damage Ranking'!$C$6:$C$172,B164))</x:f>
        <x:v>113</x:v>
      </x:c>
      <x:c r="S164" s="431" t="n">
        <x:f>IF(OR(R164="",O164=""),"",R164-O164)</x:f>
        <x:v>65</x:v>
      </x:c>
      <x:c r="T164" s="430" t="str">
        <x:f>IF(S164="","No damage score",IF(S164&gt;=20,"Badges much stronger",IF(S164&lt;=-20,"Damage much stronger","Broadly aligned")))</x:f>
        <x:v>Badges much stronger</x:v>
      </x:c>
      <x:c r="U164" s="434" t="n">
        <x:f>IF(Q164="","",Q164*(1-$R$5)+L164*$R$5)</x:f>
        <x:v>23.995082079889748</x:v>
      </x:c>
      <x:c r="V164" s="431" t="n">
        <x:f>IF(U164="","",1+COUNTIF($U$19:$U$186,"&gt;"&amp;U164))</x:f>
        <x:v>113</x:v>
      </x:c>
    </x:row>
    <x:row r="165" ht="24" customHeight="1">
      <x:c r="A165" s="430" t="str">
        <x:v>K176</x:v>
      </x:c>
      <x:c r="B165" s="430" t="str">
        <x:v>梦山河</x:v>
      </x:c>
      <x:c r="C165" s="431" t="n">
        <x:f>COUNTIFS('Specialisations'!$A$6:$A$527,A165,'Specialisations'!$B$6:$B$527,B165)</x:f>
        <x:v>4</x:v>
      </x:c>
      <x:c r="D165" s="431" t="n">
        <x:f>COUNTIFS('Specialisations'!$A$6:$A$527,A165,'Specialisations'!$B$6:$B$527,B165,'Specialisations'!$P$6:$P$527,"OK")</x:f>
        <x:v>4</x:v>
      </x:c>
      <x:c r="E165" s="431" t="n">
        <x:f>C165-D165</x:f>
        <x:v>0</x:v>
      </x:c>
      <x:c r="F165" s="432" t="n">
        <x:f>IF(C165=0,0,D165/C165)</x:f>
        <x:v>1</x:v>
      </x:c>
      <x:c r="G165" s="433" t="n">
        <x:f>SUMIFS('Specialisations'!$N$6:$N$527,'Specialisations'!$A$6:$A$527,A165,'Specialisations'!$B$6:$B$527,B165,'Specialisations'!$C$6:$C$527,"Guards")</x:f>
        <x:v>4284300</x:v>
      </x:c>
      <x:c r="H165" s="433" t="n">
        <x:f>SUMIFS('Specialisations'!$N$6:$N$527,'Specialisations'!$A$6:$A$527,A165,'Specialisations'!$B$6:$B$527,B165,'Specialisations'!$C$6:$C$527,"Archers")</x:f>
        <x:v>0</x:v>
      </x:c>
      <x:c r="I165" s="433" t="n">
        <x:f>SUMIFS('Specialisations'!$N$6:$N$527,'Specialisations'!$A$6:$A$527,A165,'Specialisations'!$B$6:$B$527,B165,'Specialisations'!$C$6:$C$527,"Cavalry")</x:f>
        <x:v>16668600</x:v>
      </x:c>
      <x:c r="J165" s="433" t="n">
        <x:f>SUMIFS('Specialisations'!$N$6:$N$527,'Specialisations'!$A$6:$A$527,A165,'Specialisations'!$B$6:$B$527,B165,'Specialisations'!$C$6:$C$527,"Siege")</x:f>
        <x:v>3724300</x:v>
      </x:c>
      <x:c r="K165" s="433" t="n">
        <x:f>SUM(G165:J165)</x:f>
        <x:v>24677200</x:v>
      </x:c>
      <x:c r="L165" s="434" t="n">
        <x:f>IFERROR(100*K165/MAX($K$19:$K$186),0)</x:f>
        <x:v>39.79821242528925</x:v>
      </x:c>
      <x:c r="M165" s="495" t="n">
        <x:f>IF(C165=0,"",SUMIFS('Specialisations'!$Q$6:$Q$527,'Specialisations'!$A$6:$A$527,A165,'Specialisations'!$B$6:$B$527,B165))</x:f>
        <x:v>108.35000000000001</x:v>
      </x:c>
      <x:c r="N165" s="431" t="n">
        <x:f>IF(K165=0,"",1+COUNTIFS($A$19:$A$186,A165,$K$19:$K$186,"&gt;"&amp;K165))</x:f>
        <x:v>3</x:v>
      </x:c>
      <x:c r="O165" s="431" t="n">
        <x:f>IF(K165=0,"",1+COUNTIF($K$19:$K$186,"&gt;"&amp;K165))</x:f>
        <x:v>15</x:v>
      </x:c>
      <x:c r="P165" s="430" t="str">
        <x:f>IF(C165=0,"No specialisations recorded",IF(E165&gt;0,"Review missing level","Complete"))</x:f>
        <x:v>Complete</x:v>
      </x:c>
      <x:c r="Q165" s="434" t="n">
        <x:f>IF(COUNTIFS('Damage Ranking'!$B$6:$B$172,A165,'Damage Ranking'!$C$6:$C$172,B165)=0,"",SUMIFS('Damage Ranking'!$D$6:$D$172,'Damage Ranking'!$B$6:$B$172,A165,'Damage Ranking'!$C$6:$C$172,B165))</x:f>
        <x:v>41.59490192895056</x:v>
      </x:c>
      <x:c r="R165" s="431" t="n">
        <x:f>IF(Q165="","",SUMIFS('Damage Ranking'!$A$6:$A$172,'Damage Ranking'!$B$6:$B$172,A165,'Damage Ranking'!$C$6:$C$172,B165))</x:f>
        <x:v>60</x:v>
      </x:c>
      <x:c r="S165" s="431" t="n">
        <x:f>IF(OR(R165="",O165=""),"",R165-O165)</x:f>
        <x:v>45</x:v>
      </x:c>
      <x:c r="T165" s="430" t="str">
        <x:f>IF(S165="","No damage score",IF(S165&gt;=20,"Badges much stronger",IF(S165&lt;=-20,"Damage much stronger","Broadly aligned")))</x:f>
        <x:v>Badges much stronger</x:v>
      </x:c>
      <x:c r="U165" s="434" t="n">
        <x:f>IF(Q165="","",Q165*(1-$R$5)+L165*$R$5)</x:f>
        <x:v>41.59490192895056</x:v>
      </x:c>
      <x:c r="V165" s="431" t="n">
        <x:f>IF(U165="","",1+COUNTIF($U$19:$U$186,"&gt;"&amp;U165))</x:f>
        <x:v>60</x:v>
      </x:c>
    </x:row>
    <x:row r="166" ht="24" customHeight="1">
      <x:c r="A166" s="430" t="str">
        <x:v>K176</x:v>
      </x:c>
      <x:c r="B166" s="430" t="str">
        <x:v>岑胖子</x:v>
      </x:c>
      <x:c r="C166" s="431" t="n">
        <x:f>COUNTIFS('Specialisations'!$A$6:$A$527,A166,'Specialisations'!$B$6:$B$527,B166)</x:f>
        <x:v>5</x:v>
      </x:c>
      <x:c r="D166" s="431" t="n">
        <x:f>COUNTIFS('Specialisations'!$A$6:$A$527,A166,'Specialisations'!$B$6:$B$527,B166,'Specialisations'!$P$6:$P$527,"OK")</x:f>
        <x:v>5</x:v>
      </x:c>
      <x:c r="E166" s="431" t="n">
        <x:f>C166-D166</x:f>
        <x:v>0</x:v>
      </x:c>
      <x:c r="F166" s="432" t="n">
        <x:f>IF(C166=0,0,D166/C166)</x:f>
        <x:v>1</x:v>
      </x:c>
      <x:c r="G166" s="433" t="n">
        <x:f>SUMIFS('Specialisations'!$N$6:$N$527,'Specialisations'!$A$6:$A$527,A166,'Specialisations'!$B$6:$B$527,B166,'Specialisations'!$C$6:$C$527,"Guards")</x:f>
        <x:v>4284300</x:v>
      </x:c>
      <x:c r="H166" s="433" t="n">
        <x:f>SUMIFS('Specialisations'!$N$6:$N$527,'Specialisations'!$A$6:$A$527,A166,'Specialisations'!$B$6:$B$527,B166,'Specialisations'!$C$6:$C$527,"Archers")</x:f>
        <x:v>864300</x:v>
      </x:c>
      <x:c r="I166" s="433" t="n">
        <x:f>SUMIFS('Specialisations'!$N$6:$N$527,'Specialisations'!$A$6:$A$527,A166,'Specialisations'!$B$6:$B$527,B166,'Specialisations'!$C$6:$C$527,"Cavalry")</x:f>
        <x:v>9288600</x:v>
      </x:c>
      <x:c r="J166" s="433" t="n">
        <x:f>SUMIFS('Specialisations'!$N$6:$N$527,'Specialisations'!$A$6:$A$527,A166,'Specialisations'!$B$6:$B$527,B166,'Specialisations'!$C$6:$C$527,"Siege")</x:f>
        <x:v>184300</x:v>
      </x:c>
      <x:c r="K166" s="433" t="n">
        <x:f>SUM(G166:J166)</x:f>
        <x:v>14621500</x:v>
      </x:c>
      <x:c r="L166" s="434" t="n">
        <x:f>IFERROR(100*K166/MAX($K$19:$K$186),0)</x:f>
        <x:v>23.580858564843933</x:v>
      </x:c>
      <x:c r="M166" s="495" t="n">
        <x:f>IF(C166=0,"",SUMIFS('Specialisations'!$Q$6:$Q$527,'Specialisations'!$A$6:$A$527,A166,'Specialisations'!$B$6:$B$527,B166))</x:f>
        <x:v>60.22</x:v>
      </x:c>
      <x:c r="N166" s="431" t="n">
        <x:f>IF(K166=0,"",1+COUNTIFS($A$19:$A$186,A166,$K$19:$K$186,"&gt;"&amp;K166))</x:f>
        <x:v>14</x:v>
      </x:c>
      <x:c r="O166" s="431" t="n">
        <x:f>IF(K166=0,"",1+COUNTIF($K$19:$K$186,"&gt;"&amp;K166))</x:f>
        <x:v>65</x:v>
      </x:c>
      <x:c r="P166" s="430" t="str">
        <x:f>IF(C166=0,"No specialisations recorded",IF(E166&gt;0,"Review missing level","Complete"))</x:f>
        <x:v>Complete</x:v>
      </x:c>
      <x:c r="Q166" s="434" t="n">
        <x:f>IF(COUNTIFS('Damage Ranking'!$B$6:$B$172,A166,'Damage Ranking'!$C$6:$C$172,B166)=0,"",SUMIFS('Damage Ranking'!$D$6:$D$172,'Damage Ranking'!$B$6:$B$172,A166,'Damage Ranking'!$C$6:$C$172,B166))</x:f>
        <x:v>29.880194910807163</x:v>
      </x:c>
      <x:c r="R166" s="431" t="n">
        <x:f>IF(Q166="","",SUMIFS('Damage Ranking'!$A$6:$A$172,'Damage Ranking'!$B$6:$B$172,A166,'Damage Ranking'!$C$6:$C$172,B166))</x:f>
        <x:v>91</x:v>
      </x:c>
      <x:c r="S166" s="431" t="n">
        <x:f>IF(OR(R166="",O166=""),"",R166-O166)</x:f>
        <x:v>26</x:v>
      </x:c>
      <x:c r="T166" s="430" t="str">
        <x:f>IF(S166="","No damage score",IF(S166&gt;=20,"Badges much stronger",IF(S166&lt;=-20,"Damage much stronger","Broadly aligned")))</x:f>
        <x:v>Badges much stronger</x:v>
      </x:c>
      <x:c r="U166" s="434" t="n">
        <x:f>IF(Q166="","",Q166*(1-$R$5)+L166*$R$5)</x:f>
        <x:v>29.880194910807163</x:v>
      </x:c>
      <x:c r="V166" s="431" t="n">
        <x:f>IF(U166="","",1+COUNTIF($U$19:$U$186,"&gt;"&amp;U166))</x:f>
        <x:v>91</x:v>
      </x:c>
    </x:row>
    <x:row r="167" ht="24" customHeight="1">
      <x:c r="A167" s="430" t="str">
        <x:v>K176</x:v>
      </x:c>
      <x:c r="B167" s="430" t="str">
        <x:v>三月的心思你别猜</x:v>
      </x:c>
      <x:c r="C167" s="431" t="n">
        <x:f>COUNTIFS('Specialisations'!$A$6:$A$527,A167,'Specialisations'!$B$6:$B$527,B167)</x:f>
        <x:v>0</x:v>
      </x:c>
      <x:c r="D167" s="431" t="n">
        <x:f>COUNTIFS('Specialisations'!$A$6:$A$527,A167,'Specialisations'!$B$6:$B$527,B167,'Specialisations'!$P$6:$P$527,"OK")</x:f>
        <x:v>0</x:v>
      </x:c>
      <x:c r="E167" s="431" t="n">
        <x:f>C167-D167</x:f>
        <x:v>0</x:v>
      </x:c>
      <x:c r="F167" s="432" t="n">
        <x:f>IF(C167=0,0,D167/C167)</x:f>
        <x:v>0</x:v>
      </x:c>
      <x:c r="G167" s="433" t="n">
        <x:f>SUMIFS('Specialisations'!$N$6:$N$527,'Specialisations'!$A$6:$A$527,A167,'Specialisations'!$B$6:$B$527,B167,'Specialisations'!$C$6:$C$527,"Guards")</x:f>
        <x:v>0</x:v>
      </x:c>
      <x:c r="H167" s="433" t="n">
        <x:f>SUMIFS('Specialisations'!$N$6:$N$527,'Specialisations'!$A$6:$A$527,A167,'Specialisations'!$B$6:$B$527,B167,'Specialisations'!$C$6:$C$527,"Archers")</x:f>
        <x:v>0</x:v>
      </x:c>
      <x:c r="I167" s="433" t="n">
        <x:f>SUMIFS('Specialisations'!$N$6:$N$527,'Specialisations'!$A$6:$A$527,A167,'Specialisations'!$B$6:$B$527,B167,'Specialisations'!$C$6:$C$527,"Cavalry")</x:f>
        <x:v>0</x:v>
      </x:c>
      <x:c r="J167" s="433" t="n">
        <x:f>SUMIFS('Specialisations'!$N$6:$N$527,'Specialisations'!$A$6:$A$527,A167,'Specialisations'!$B$6:$B$527,B167,'Specialisations'!$C$6:$C$527,"Siege")</x:f>
        <x:v>0</x:v>
      </x:c>
      <x:c r="K167" s="433" t="n">
        <x:f>SUM(G167:J167)</x:f>
        <x:v>0</x:v>
      </x:c>
      <x:c r="L167" s="434" t="n">
        <x:f>IFERROR(100*K167/MAX($K$19:$K$186),0)</x:f>
        <x:v>0</x:v>
      </x:c>
      <x:c r="M167" s="495" t="str">
        <x:f>IF(C167=0,"",SUMIFS('Specialisations'!$Q$6:$Q$527,'Specialisations'!$A$6:$A$527,A167,'Specialisations'!$B$6:$B$527,B167))</x:f>
      </x:c>
      <x:c r="N167" s="431" t="str">
        <x:f>IF(K167=0,"",1+COUNTIFS($A$19:$A$186,A167,$K$19:$K$186,"&gt;"&amp;K167))</x:f>
      </x:c>
      <x:c r="O167" s="431" t="str">
        <x:f>IF(K167=0,"",1+COUNTIF($K$19:$K$186,"&gt;"&amp;K167))</x:f>
      </x:c>
      <x:c r="P167" s="430" t="str">
        <x:f>IF(C167=0,"No specialisations recorded",IF(E167&gt;0,"Review missing level","Complete"))</x:f>
        <x:v>No specialisations recorded</x:v>
      </x:c>
      <x:c r="Q167" s="434" t="n">
        <x:f>IF(COUNTIFS('Damage Ranking'!$B$6:$B$172,A167,'Damage Ranking'!$C$6:$C$172,B167)=0,"",SUMIFS('Damage Ranking'!$D$6:$D$172,'Damage Ranking'!$B$6:$B$172,A167,'Damage Ranking'!$C$6:$C$172,B167))</x:f>
        <x:v>36.68490270262463</x:v>
      </x:c>
      <x:c r="R167" s="431" t="n">
        <x:f>IF(Q167="","",SUMIFS('Damage Ranking'!$A$6:$A$172,'Damage Ranking'!$B$6:$B$172,A167,'Damage Ranking'!$C$6:$C$172,B167))</x:f>
        <x:v>77</x:v>
      </x:c>
      <x:c r="S167" s="431" t="str">
        <x:f>IF(OR(R167="",O167=""),"",R167-O167)</x:f>
      </x:c>
      <x:c r="T167" s="430" t="str">
        <x:f>IF(S167="","No damage score",IF(S167&gt;=20,"Badges much stronger",IF(S167&lt;=-20,"Damage much stronger","Broadly aligned")))</x:f>
        <x:v>No damage score</x:v>
      </x:c>
      <x:c r="U167" s="434" t="n">
        <x:f>IF(Q167="","",Q167*(1-$R$5)+L167*$R$5)</x:f>
        <x:v>36.68490270262463</x:v>
      </x:c>
      <x:c r="V167" s="431" t="n">
        <x:f>IF(U167="","",1+COUNTIF($U$19:$U$186,"&gt;"&amp;U167))</x:f>
        <x:v>77</x:v>
      </x:c>
    </x:row>
    <x:row r="168" ht="24" customHeight="1">
      <x:c r="A168" s="430" t="str">
        <x:v>K176</x:v>
      </x:c>
      <x:c r="B168" s="430" t="str">
        <x:v>顺顺顺</x:v>
      </x:c>
      <x:c r="C168" s="431" t="n">
        <x:f>COUNTIFS('Specialisations'!$A$6:$A$527,A168,'Specialisations'!$B$6:$B$527,B168)</x:f>
        <x:v>0</x:v>
      </x:c>
      <x:c r="D168" s="431" t="n">
        <x:f>COUNTIFS('Specialisations'!$A$6:$A$527,A168,'Specialisations'!$B$6:$B$527,B168,'Specialisations'!$P$6:$P$527,"OK")</x:f>
        <x:v>0</x:v>
      </x:c>
      <x:c r="E168" s="431" t="n">
        <x:f>C168-D168</x:f>
        <x:v>0</x:v>
      </x:c>
      <x:c r="F168" s="432" t="n">
        <x:f>IF(C168=0,0,D168/C168)</x:f>
        <x:v>0</x:v>
      </x:c>
      <x:c r="G168" s="433" t="n">
        <x:f>SUMIFS('Specialisations'!$N$6:$N$527,'Specialisations'!$A$6:$A$527,A168,'Specialisations'!$B$6:$B$527,B168,'Specialisations'!$C$6:$C$527,"Guards")</x:f>
        <x:v>0</x:v>
      </x:c>
      <x:c r="H168" s="433" t="n">
        <x:f>SUMIFS('Specialisations'!$N$6:$N$527,'Specialisations'!$A$6:$A$527,A168,'Specialisations'!$B$6:$B$527,B168,'Specialisations'!$C$6:$C$527,"Archers")</x:f>
        <x:v>0</x:v>
      </x:c>
      <x:c r="I168" s="433" t="n">
        <x:f>SUMIFS('Specialisations'!$N$6:$N$527,'Specialisations'!$A$6:$A$527,A168,'Specialisations'!$B$6:$B$527,B168,'Specialisations'!$C$6:$C$527,"Cavalry")</x:f>
        <x:v>0</x:v>
      </x:c>
      <x:c r="J168" s="433" t="n">
        <x:f>SUMIFS('Specialisations'!$N$6:$N$527,'Specialisations'!$A$6:$A$527,A168,'Specialisations'!$B$6:$B$527,B168,'Specialisations'!$C$6:$C$527,"Siege")</x:f>
        <x:v>0</x:v>
      </x:c>
      <x:c r="K168" s="433" t="n">
        <x:f>SUM(G168:J168)</x:f>
        <x:v>0</x:v>
      </x:c>
      <x:c r="L168" s="434" t="n">
        <x:f>IFERROR(100*K168/MAX($K$19:$K$186),0)</x:f>
        <x:v>0</x:v>
      </x:c>
      <x:c r="M168" s="495" t="str">
        <x:f>IF(C168=0,"",SUMIFS('Specialisations'!$Q$6:$Q$527,'Specialisations'!$A$6:$A$527,A168,'Specialisations'!$B$6:$B$527,B168))</x:f>
      </x:c>
      <x:c r="N168" s="431" t="str">
        <x:f>IF(K168=0,"",1+COUNTIFS($A$19:$A$186,A168,$K$19:$K$186,"&gt;"&amp;K168))</x:f>
      </x:c>
      <x:c r="O168" s="431" t="str">
        <x:f>IF(K168=0,"",1+COUNTIF($K$19:$K$186,"&gt;"&amp;K168))</x:f>
      </x:c>
      <x:c r="P168" s="430" t="str">
        <x:f>IF(C168=0,"No specialisations recorded",IF(E168&gt;0,"Review missing level","Complete"))</x:f>
        <x:v>No specialisations recorded</x:v>
      </x:c>
      <x:c r="Q168" s="434" t="n">
        <x:f>IF(COUNTIFS('Damage Ranking'!$B$6:$B$172,A168,'Damage Ranking'!$C$6:$C$172,B168)=0,"",SUMIFS('Damage Ranking'!$D$6:$D$172,'Damage Ranking'!$B$6:$B$172,A168,'Damage Ranking'!$C$6:$C$172,B168))</x:f>
        <x:v>16.617942832018272</x:v>
      </x:c>
      <x:c r="R168" s="431" t="n">
        <x:f>IF(Q168="","",SUMIFS('Damage Ranking'!$A$6:$A$172,'Damage Ranking'!$B$6:$B$172,A168,'Damage Ranking'!$C$6:$C$172,B168))</x:f>
        <x:v>136</x:v>
      </x:c>
      <x:c r="S168" s="431" t="str">
        <x:f>IF(OR(R168="",O168=""),"",R168-O168)</x:f>
      </x:c>
      <x:c r="T168" s="430" t="str">
        <x:f>IF(S168="","No damage score",IF(S168&gt;=20,"Badges much stronger",IF(S168&lt;=-20,"Damage much stronger","Broadly aligned")))</x:f>
        <x:v>No damage score</x:v>
      </x:c>
      <x:c r="U168" s="434" t="n">
        <x:f>IF(Q168="","",Q168*(1-$R$5)+L168*$R$5)</x:f>
        <x:v>16.617942832018272</x:v>
      </x:c>
      <x:c r="V168" s="431" t="n">
        <x:f>IF(U168="","",1+COUNTIF($U$19:$U$186,"&gt;"&amp;U168))</x:f>
        <x:v>136</x:v>
      </x:c>
    </x:row>
    <x:row r="169" ht="24" customHeight="1">
      <x:c r="A169" s="430" t="str">
        <x:v>K176</x:v>
      </x:c>
      <x:c r="B169" s="430" t="str">
        <x:v>♱Seraphim織羽♱</x:v>
      </x:c>
      <x:c r="C169" s="431" t="n">
        <x:f>COUNTIFS('Specialisations'!$A$6:$A$527,A169,'Specialisations'!$B$6:$B$527,B169)</x:f>
        <x:v>4</x:v>
      </x:c>
      <x:c r="D169" s="431" t="n">
        <x:f>COUNTIFS('Specialisations'!$A$6:$A$527,A169,'Specialisations'!$B$6:$B$527,B169,'Specialisations'!$P$6:$P$527,"OK")</x:f>
        <x:v>4</x:v>
      </x:c>
      <x:c r="E169" s="431" t="n">
        <x:f>C169-D169</x:f>
        <x:v>0</x:v>
      </x:c>
      <x:c r="F169" s="432" t="n">
        <x:f>IF(C169=0,0,D169/C169)</x:f>
        <x:v>1</x:v>
      </x:c>
      <x:c r="G169" s="433" t="n">
        <x:f>SUMIFS('Specialisations'!$N$6:$N$527,'Specialisations'!$A$6:$A$527,A169,'Specialisations'!$B$6:$B$527,B169,'Specialisations'!$C$6:$C$527,"Guards")</x:f>
        <x:v>4284300</x:v>
      </x:c>
      <x:c r="H169" s="433" t="n">
        <x:f>SUMIFS('Specialisations'!$N$6:$N$527,'Specialisations'!$A$6:$A$527,A169,'Specialisations'!$B$6:$B$527,B169,'Specialisations'!$C$6:$C$527,"Archers")</x:f>
        <x:v>0</x:v>
      </x:c>
      <x:c r="I169" s="433" t="n">
        <x:f>SUMIFS('Specialisations'!$N$6:$N$527,'Specialisations'!$A$6:$A$527,A169,'Specialisations'!$B$6:$B$527,B169,'Specialisations'!$C$6:$C$527,"Cavalry")</x:f>
        <x:v>16668600</x:v>
      </x:c>
      <x:c r="J169" s="433" t="n">
        <x:f>SUMIFS('Specialisations'!$N$6:$N$527,'Specialisations'!$A$6:$A$527,A169,'Specialisations'!$B$6:$B$527,B169,'Specialisations'!$C$6:$C$527,"Siege")</x:f>
        <x:v>2244300</x:v>
      </x:c>
      <x:c r="K169" s="433" t="n">
        <x:f>SUM(G169:J169)</x:f>
        <x:v>23197200</x:v>
      </x:c>
      <x:c r="L169" s="434" t="n">
        <x:f>IFERROR(100*K169/MAX($K$19:$K$186),0)</x:f>
        <x:v>37.411338939260524</x:v>
      </x:c>
      <x:c r="M169" s="495" t="n">
        <x:f>IF(C169=0,"",SUMIFS('Specialisations'!$Q$6:$Q$527,'Specialisations'!$A$6:$A$527,A169,'Specialisations'!$B$6:$B$527,B169))</x:f>
        <x:v>96.16000000000001</x:v>
      </x:c>
      <x:c r="N169" s="431" t="n">
        <x:f>IF(K169=0,"",1+COUNTIFS($A$19:$A$186,A169,$K$19:$K$186,"&gt;"&amp;K169))</x:f>
        <x:v>4</x:v>
      </x:c>
      <x:c r="O169" s="431" t="n">
        <x:f>IF(K169=0,"",1+COUNTIF($K$19:$K$186,"&gt;"&amp;K169))</x:f>
        <x:v>20</x:v>
      </x:c>
      <x:c r="P169" s="430" t="str">
        <x:f>IF(C169=0,"No specialisations recorded",IF(E169&gt;0,"Review missing level","Complete"))</x:f>
        <x:v>Complete</x:v>
      </x:c>
      <x:c r="Q169" s="434" t="n">
        <x:f>IF(COUNTIFS('Damage Ranking'!$B$6:$B$172,A169,'Damage Ranking'!$C$6:$C$172,B169)=0,"",SUMIFS('Damage Ranking'!$D$6:$D$172,'Damage Ranking'!$B$6:$B$172,A169,'Damage Ranking'!$C$6:$C$172,B169))</x:f>
        <x:v>55.36990211394185</x:v>
      </x:c>
      <x:c r="R169" s="431" t="n">
        <x:f>IF(Q169="","",SUMIFS('Damage Ranking'!$A$6:$A$172,'Damage Ranking'!$B$6:$B$172,A169,'Damage Ranking'!$C$6:$C$172,B169))</x:f>
        <x:v>29</x:v>
      </x:c>
      <x:c r="S169" s="431" t="n">
        <x:f>IF(OR(R169="",O169=""),"",R169-O169)</x:f>
        <x:v>9</x:v>
      </x:c>
      <x:c r="T169" s="430" t="str">
        <x:f>IF(S169="","No damage score",IF(S169&gt;=20,"Badges much stronger",IF(S169&lt;=-20,"Damage much stronger","Broadly aligned")))</x:f>
        <x:v>Broadly aligned</x:v>
      </x:c>
      <x:c r="U169" s="434" t="n">
        <x:f>IF(Q169="","",Q169*(1-$R$5)+L169*$R$5)</x:f>
        <x:v>55.36990211394185</x:v>
      </x:c>
      <x:c r="V169" s="431" t="n">
        <x:f>IF(U169="","",1+COUNTIF($U$19:$U$186,"&gt;"&amp;U169))</x:f>
        <x:v>29</x:v>
      </x:c>
    </x:row>
    <x:row r="170" ht="24" customHeight="1">
      <x:c r="A170" s="430" t="str">
        <x:v>K176</x:v>
      </x:c>
      <x:c r="B170" s="430" t="str">
        <x:v>ʚ老⑥ɞ</x:v>
      </x:c>
      <x:c r="C170" s="431" t="n">
        <x:f>COUNTIFS('Specialisations'!$A$6:$A$527,A170,'Specialisations'!$B$6:$B$527,B170)</x:f>
        <x:v>5</x:v>
      </x:c>
      <x:c r="D170" s="431" t="n">
        <x:f>COUNTIFS('Specialisations'!$A$6:$A$527,A170,'Specialisations'!$B$6:$B$527,B170,'Specialisations'!$P$6:$P$527,"OK")</x:f>
        <x:v>5</x:v>
      </x:c>
      <x:c r="E170" s="431" t="n">
        <x:f>C170-D170</x:f>
        <x:v>0</x:v>
      </x:c>
      <x:c r="F170" s="432" t="n">
        <x:f>IF(C170=0,0,D170/C170)</x:f>
        <x:v>1</x:v>
      </x:c>
      <x:c r="G170" s="433" t="n">
        <x:f>SUMIFS('Specialisations'!$N$6:$N$527,'Specialisations'!$A$6:$A$527,A170,'Specialisations'!$B$6:$B$527,B170,'Specialisations'!$C$6:$C$527,"Guards")</x:f>
        <x:v>3244300</x:v>
      </x:c>
      <x:c r="H170" s="433" t="n">
        <x:f>SUMIFS('Specialisations'!$N$6:$N$527,'Specialisations'!$A$6:$A$527,A170,'Specialisations'!$B$6:$B$527,B170,'Specialisations'!$C$6:$C$527,"Archers")</x:f>
        <x:v>3244300</x:v>
      </x:c>
      <x:c r="I170" s="433" t="n">
        <x:f>SUMIFS('Specialisations'!$N$6:$N$527,'Specialisations'!$A$6:$A$527,A170,'Specialisations'!$B$6:$B$527,B170,'Specialisations'!$C$6:$C$527,"Cavalry")</x:f>
        <x:v>6488600</x:v>
      </x:c>
      <x:c r="J170" s="433" t="n">
        <x:f>SUMIFS('Specialisations'!$N$6:$N$527,'Specialisations'!$A$6:$A$527,A170,'Specialisations'!$B$6:$B$527,B170,'Specialisations'!$C$6:$C$527,"Siege")</x:f>
        <x:v>3244300</x:v>
      </x:c>
      <x:c r="K170" s="433" t="n">
        <x:f>SUM(G170:J170)</x:f>
        <x:v>16221500</x:v>
      </x:c>
      <x:c r="L170" s="434" t="n">
        <x:f>IFERROR(100*K170/MAX($K$19:$K$186),0)</x:f>
        <x:v>26.161262333523638</x:v>
      </x:c>
      <x:c r="M170" s="495" t="n">
        <x:f>IF(C170=0,"",SUMIFS('Specialisations'!$Q$6:$Q$527,'Specialisations'!$A$6:$A$527,A170,'Specialisations'!$B$6:$B$527,B170))</x:f>
        <x:v>107.94</x:v>
      </x:c>
      <x:c r="N170" s="431" t="n">
        <x:f>IF(K170=0,"",1+COUNTIFS($A$19:$A$186,A170,$K$19:$K$186,"&gt;"&amp;K170))</x:f>
        <x:v>13</x:v>
      </x:c>
      <x:c r="O170" s="431" t="n">
        <x:f>IF(K170=0,"",1+COUNTIF($K$19:$K$186,"&gt;"&amp;K170))</x:f>
        <x:v>53</x:v>
      </x:c>
      <x:c r="P170" s="430" t="str">
        <x:f>IF(C170=0,"No specialisations recorded",IF(E170&gt;0,"Review missing level","Complete"))</x:f>
        <x:v>Complete</x:v>
      </x:c>
      <x:c r="Q170" s="434" t="n">
        <x:f>IF(COUNTIFS('Damage Ranking'!$B$6:$B$172,A170,'Damage Ranking'!$C$6:$C$172,B170)=0,"",SUMIFS('Damage Ranking'!$D$6:$D$172,'Damage Ranking'!$B$6:$B$172,A170,'Damage Ranking'!$C$6:$C$172,B170))</x:f>
        <x:v>59.52746294675677</x:v>
      </x:c>
      <x:c r="R170" s="431" t="n">
        <x:f>IF(Q170="","",SUMIFS('Damage Ranking'!$A$6:$A$172,'Damage Ranking'!$B$6:$B$172,A170,'Damage Ranking'!$C$6:$C$172,B170))</x:f>
        <x:v>26</x:v>
      </x:c>
      <x:c r="S170" s="431" t="n">
        <x:f>IF(OR(R170="",O170=""),"",R170-O170)</x:f>
        <x:v>-27</x:v>
      </x:c>
      <x:c r="T170" s="430" t="str">
        <x:f>IF(S170="","No damage score",IF(S170&gt;=20,"Badges much stronger",IF(S170&lt;=-20,"Damage much stronger","Broadly aligned")))</x:f>
        <x:v>Damage much stronger</x:v>
      </x:c>
      <x:c r="U170" s="434" t="n">
        <x:f>IF(Q170="","",Q170*(1-$R$5)+L170*$R$5)</x:f>
        <x:v>59.52746294675677</x:v>
      </x:c>
      <x:c r="V170" s="431" t="n">
        <x:f>IF(U170="","",1+COUNTIF($U$19:$U$186,"&gt;"&amp;U170))</x:f>
        <x:v>26</x:v>
      </x:c>
    </x:row>
    <x:row r="171" ht="24" customHeight="1">
      <x:c r="A171" s="430" t="str">
        <x:v>K176</x:v>
      </x:c>
      <x:c r="B171" s="430" t="str">
        <x:v>灰色轨迹</x:v>
      </x:c>
      <x:c r="C171" s="431" t="n">
        <x:f>COUNTIFS('Specialisations'!$A$6:$A$527,A171,'Specialisations'!$B$6:$B$527,B171)</x:f>
        <x:v>5</x:v>
      </x:c>
      <x:c r="D171" s="431" t="n">
        <x:f>COUNTIFS('Specialisations'!$A$6:$A$527,A171,'Specialisations'!$B$6:$B$527,B171,'Specialisations'!$P$6:$P$527,"OK")</x:f>
        <x:v>5</x:v>
      </x:c>
      <x:c r="E171" s="431" t="n">
        <x:f>C171-D171</x:f>
        <x:v>0</x:v>
      </x:c>
      <x:c r="F171" s="432" t="n">
        <x:f>IF(C171=0,0,D171/C171)</x:f>
        <x:v>1</x:v>
      </x:c>
      <x:c r="G171" s="433" t="n">
        <x:f>SUMIFS('Specialisations'!$N$6:$N$527,'Specialisations'!$A$6:$A$527,A171,'Specialisations'!$B$6:$B$527,B171,'Specialisations'!$C$6:$C$527,"Guards")</x:f>
        <x:v>4284300</x:v>
      </x:c>
      <x:c r="H171" s="433" t="n">
        <x:f>SUMIFS('Specialisations'!$N$6:$N$527,'Specialisations'!$A$6:$A$527,A171,'Specialisations'!$B$6:$B$527,B171,'Specialisations'!$C$6:$C$527,"Archers")</x:f>
        <x:v>1194300</x:v>
      </x:c>
      <x:c r="I171" s="433" t="n">
        <x:f>SUMIFS('Specialisations'!$N$6:$N$527,'Specialisations'!$A$6:$A$527,A171,'Specialisations'!$B$6:$B$527,B171,'Specialisations'!$C$6:$C$527,"Cavalry")</x:f>
        <x:v>11938600</x:v>
      </x:c>
      <x:c r="J171" s="433" t="n">
        <x:f>SUMIFS('Specialisations'!$N$6:$N$527,'Specialisations'!$A$6:$A$527,A171,'Specialisations'!$B$6:$B$527,B171,'Specialisations'!$C$6:$C$527,"Siege")</x:f>
        <x:v>424300</x:v>
      </x:c>
      <x:c r="K171" s="433" t="n">
        <x:f>SUM(G171:J171)</x:f>
        <x:v>17841500</x:v>
      </x:c>
      <x:c r="L171" s="434" t="n">
        <x:f>IFERROR(100*K171/MAX($K$19:$K$186),0)</x:f>
        <x:v>28.77392114931184</x:v>
      </x:c>
      <x:c r="M171" s="495" t="n">
        <x:f>IF(C171=0,"",SUMIFS('Specialisations'!$Q$6:$Q$527,'Specialisations'!$A$6:$A$527,A171,'Specialisations'!$B$6:$B$527,B171))</x:f>
        <x:v>77.2</x:v>
      </x:c>
      <x:c r="N171" s="431" t="n">
        <x:f>IF(K171=0,"",1+COUNTIFS($A$19:$A$186,A171,$K$19:$K$186,"&gt;"&amp;K171))</x:f>
        <x:v>10</x:v>
      </x:c>
      <x:c r="O171" s="431" t="n">
        <x:f>IF(K171=0,"",1+COUNTIF($K$19:$K$186,"&gt;"&amp;K171))</x:f>
        <x:v>42</x:v>
      </x:c>
      <x:c r="P171" s="430" t="str">
        <x:f>IF(C171=0,"No specialisations recorded",IF(E171&gt;0,"Review missing level","Complete"))</x:f>
        <x:v>Complete</x:v>
      </x:c>
      <x:c r="Q171" s="434" t="n">
        <x:f>IF(COUNTIFS('Damage Ranking'!$B$6:$B$172,A171,'Damage Ranking'!$C$6:$C$172,B171)=0,"",SUMIFS('Damage Ranking'!$D$6:$D$172,'Damage Ranking'!$B$6:$B$172,A171,'Damage Ranking'!$C$6:$C$172,B171))</x:f>
        <x:v>43.67930256767838</x:v>
      </x:c>
      <x:c r="R171" s="431" t="n">
        <x:f>IF(Q171="","",SUMIFS('Damage Ranking'!$A$6:$A$172,'Damage Ranking'!$B$6:$B$172,A171,'Damage Ranking'!$C$6:$C$172,B171))</x:f>
        <x:v>56</x:v>
      </x:c>
      <x:c r="S171" s="431" t="n">
        <x:f>IF(OR(R171="",O171=""),"",R171-O171)</x:f>
        <x:v>14</x:v>
      </x:c>
      <x:c r="T171" s="430" t="str">
        <x:f>IF(S171="","No damage score",IF(S171&gt;=20,"Badges much stronger",IF(S171&lt;=-20,"Damage much stronger","Broadly aligned")))</x:f>
        <x:v>Broadly aligned</x:v>
      </x:c>
      <x:c r="U171" s="434" t="n">
        <x:f>IF(Q171="","",Q171*(1-$R$5)+L171*$R$5)</x:f>
        <x:v>43.67930256767838</x:v>
      </x:c>
      <x:c r="V171" s="431" t="n">
        <x:f>IF(U171="","",1+COUNTIF($U$19:$U$186,"&gt;"&amp;U171))</x:f>
        <x:v>56</x:v>
      </x:c>
    </x:row>
    <x:row r="172" ht="24" customHeight="1">
      <x:c r="A172" s="430" t="str">
        <x:v>K176</x:v>
      </x:c>
      <x:c r="B172" s="430" t="str">
        <x:v>罗密欧与猪过夜</x:v>
      </x:c>
      <x:c r="C172" s="431" t="n">
        <x:f>COUNTIFS('Specialisations'!$A$6:$A$527,A172,'Specialisations'!$B$6:$B$527,B172)</x:f>
        <x:v>4</x:v>
      </x:c>
      <x:c r="D172" s="431" t="n">
        <x:f>COUNTIFS('Specialisations'!$A$6:$A$527,A172,'Specialisations'!$B$6:$B$527,B172,'Specialisations'!$P$6:$P$527,"OK")</x:f>
        <x:v>4</x:v>
      </x:c>
      <x:c r="E172" s="431" t="n">
        <x:f>C172-D172</x:f>
        <x:v>0</x:v>
      </x:c>
      <x:c r="F172" s="432" t="n">
        <x:f>IF(C172=0,0,D172/C172)</x:f>
        <x:v>1</x:v>
      </x:c>
      <x:c r="G172" s="433" t="n">
        <x:f>SUMIFS('Specialisations'!$N$6:$N$527,'Specialisations'!$A$6:$A$527,A172,'Specialisations'!$B$6:$B$527,B172,'Specialisations'!$C$6:$C$527,"Guards")</x:f>
        <x:v>4284300</x:v>
      </x:c>
      <x:c r="H172" s="433" t="n">
        <x:f>SUMIFS('Specialisations'!$N$6:$N$527,'Specialisations'!$A$6:$A$527,A172,'Specialisations'!$B$6:$B$527,B172,'Specialisations'!$C$6:$C$527,"Archers")</x:f>
        <x:v>0</x:v>
      </x:c>
      <x:c r="I172" s="433" t="n">
        <x:f>SUMIFS('Specialisations'!$N$6:$N$527,'Specialisations'!$A$6:$A$527,A172,'Specialisations'!$B$6:$B$527,B172,'Specialisations'!$C$6:$C$527,"Cavalry")</x:f>
        <x:v>11768600</x:v>
      </x:c>
      <x:c r="J172" s="433" t="n">
        <x:f>SUMIFS('Specialisations'!$N$6:$N$527,'Specialisations'!$A$6:$A$527,A172,'Specialisations'!$B$6:$B$527,B172,'Specialisations'!$C$6:$C$527,"Siege")</x:f>
        <x:v>2844300</x:v>
      </x:c>
      <x:c r="K172" s="433" t="n">
        <x:f>SUM(G172:J172)</x:f>
        <x:v>18897200</x:v>
      </x:c>
      <x:c r="L172" s="434" t="n">
        <x:f>IFERROR(100*K172/MAX($K$19:$K$186),0)</x:f>
        <x:v>30.476503810933817</x:v>
      </x:c>
      <x:c r="M172" s="495" t="n">
        <x:f>IF(C172=0,"",SUMIFS('Specialisations'!$Q$6:$Q$527,'Specialisations'!$A$6:$A$527,A172,'Specialisations'!$B$6:$B$527,B172))</x:f>
        <x:v>87.91000000000001</x:v>
      </x:c>
      <x:c r="N172" s="431" t="n">
        <x:f>IF(K172=0,"",1+COUNTIFS($A$19:$A$186,A172,$K$19:$K$186,"&gt;"&amp;K172))</x:f>
        <x:v>8</x:v>
      </x:c>
      <x:c r="O172" s="431" t="n">
        <x:f>IF(K172=0,"",1+COUNTIF($K$19:$K$186,"&gt;"&amp;K172))</x:f>
        <x:v>37</x:v>
      </x:c>
      <x:c r="P172" s="430" t="str">
        <x:f>IF(C172=0,"No specialisations recorded",IF(E172&gt;0,"Review missing level","Complete"))</x:f>
        <x:v>Complete</x:v>
      </x:c>
      <x:c r="Q172" s="434" t="n">
        <x:f>IF(COUNTIFS('Damage Ranking'!$B$6:$B$172,A172,'Damage Ranking'!$C$6:$C$172,B172)=0,"",SUMIFS('Damage Ranking'!$D$6:$D$172,'Damage Ranking'!$B$6:$B$172,A172,'Damage Ranking'!$C$6:$C$172,B172))</x:f>
        <x:v>23.70409445065659</x:v>
      </x:c>
      <x:c r="R172" s="431" t="n">
        <x:f>IF(Q172="","",SUMIFS('Damage Ranking'!$A$6:$A$172,'Damage Ranking'!$B$6:$B$172,A172,'Damage Ranking'!$C$6:$C$172,B172))</x:f>
        <x:v>115</x:v>
      </x:c>
      <x:c r="S172" s="431" t="n">
        <x:f>IF(OR(R172="",O172=""),"",R172-O172)</x:f>
        <x:v>78</x:v>
      </x:c>
      <x:c r="T172" s="430" t="str">
        <x:f>IF(S172="","No damage score",IF(S172&gt;=20,"Badges much stronger",IF(S172&lt;=-20,"Damage much stronger","Broadly aligned")))</x:f>
        <x:v>Badges much stronger</x:v>
      </x:c>
      <x:c r="U172" s="434" t="n">
        <x:f>IF(Q172="","",Q172*(1-$R$5)+L172*$R$5)</x:f>
        <x:v>23.70409445065659</x:v>
      </x:c>
      <x:c r="V172" s="431" t="n">
        <x:f>IF(U172="","",1+COUNTIF($U$19:$U$186,"&gt;"&amp;U172))</x:f>
        <x:v>115</x:v>
      </x:c>
    </x:row>
    <x:row r="173" ht="24" customHeight="1">
      <x:c r="A173" s="430" t="str">
        <x:v>K176</x:v>
      </x:c>
      <x:c r="B173" s="430" t="str">
        <x:v>WARBLOOD</x:v>
      </x:c>
      <x:c r="C173" s="431" t="n">
        <x:f>COUNTIFS('Specialisations'!$A$6:$A$527,A173,'Specialisations'!$B$6:$B$527,B173)</x:f>
        <x:v>3</x:v>
      </x:c>
      <x:c r="D173" s="431" t="n">
        <x:f>COUNTIFS('Specialisations'!$A$6:$A$527,A173,'Specialisations'!$B$6:$B$527,B173,'Specialisations'!$P$6:$P$527,"OK")</x:f>
        <x:v>3</x:v>
      </x:c>
      <x:c r="E173" s="431" t="n">
        <x:f>C173-D173</x:f>
        <x:v>0</x:v>
      </x:c>
      <x:c r="F173" s="432" t="n">
        <x:f>IF(C173=0,0,D173/C173)</x:f>
        <x:v>1</x:v>
      </x:c>
      <x:c r="G173" s="433" t="n">
        <x:f>SUMIFS('Specialisations'!$N$6:$N$527,'Specialisations'!$A$6:$A$527,A173,'Specialisations'!$B$6:$B$527,B173,'Specialisations'!$C$6:$C$527,"Guards")</x:f>
        <x:v>8334300</x:v>
      </x:c>
      <x:c r="H173" s="433" t="n">
        <x:f>SUMIFS('Specialisations'!$N$6:$N$527,'Specialisations'!$A$6:$A$527,A173,'Specialisations'!$B$6:$B$527,B173,'Specialisations'!$C$6:$C$527,"Archers")</x:f>
        <x:v>0</x:v>
      </x:c>
      <x:c r="I173" s="433" t="n">
        <x:f>SUMIFS('Specialisations'!$N$6:$N$527,'Specialisations'!$A$6:$A$527,A173,'Specialisations'!$B$6:$B$527,B173,'Specialisations'!$C$6:$C$527,"Cavalry")</x:f>
        <x:v>3438600</x:v>
      </x:c>
      <x:c r="J173" s="433" t="n">
        <x:f>SUMIFS('Specialisations'!$N$6:$N$527,'Specialisations'!$A$6:$A$527,A173,'Specialisations'!$B$6:$B$527,B173,'Specialisations'!$C$6:$C$527,"Siege")</x:f>
        <x:v>0</x:v>
      </x:c>
      <x:c r="K173" s="433" t="n">
        <x:f>SUM(G173:J173)</x:f>
        <x:v>11772900</x:v>
      </x:c>
      <x:c r="L173" s="434" t="n">
        <x:f>IFERROR(100*K173/MAX($K$19:$K$186),0)</x:f>
        <x:v>18.986772205180806</x:v>
      </x:c>
      <x:c r="M173" s="495" t="n">
        <x:f>IF(C173=0,"",SUMIFS('Specialisations'!$Q$6:$Q$527,'Specialisations'!$A$6:$A$527,A173,'Specialisations'!$B$6:$B$527,B173))</x:f>
        <x:v>-11.260000000000005</x:v>
      </x:c>
      <x:c r="N173" s="431" t="n">
        <x:f>IF(K173=0,"",1+COUNTIFS($A$19:$A$186,A173,$K$19:$K$186,"&gt;"&amp;K173))</x:f>
        <x:v>18</x:v>
      </x:c>
      <x:c r="O173" s="431" t="n">
        <x:f>IF(K173=0,"",1+COUNTIF($K$19:$K$186,"&gt;"&amp;K173))</x:f>
        <x:v>100</x:v>
      </x:c>
      <x:c r="P173" s="430" t="str">
        <x:f>IF(C173=0,"No specialisations recorded",IF(E173&gt;0,"Review missing level","Complete"))</x:f>
        <x:v>Complete</x:v>
      </x:c>
      <x:c r="Q173" s="434" t="n">
        <x:f>IF(COUNTIFS('Damage Ranking'!$B$6:$B$172,A173,'Damage Ranking'!$C$6:$C$172,B173)=0,"",SUMIFS('Damage Ranking'!$D$6:$D$172,'Damage Ranking'!$B$6:$B$172,A173,'Damage Ranking'!$C$6:$C$172,B173))</x:f>
        <x:v>12.613229923448133</x:v>
      </x:c>
      <x:c r="R173" s="431" t="n">
        <x:f>IF(Q173="","",SUMIFS('Damage Ranking'!$A$6:$A$172,'Damage Ranking'!$B$6:$B$172,A173,'Damage Ranking'!$C$6:$C$172,B173))</x:f>
        <x:v>146</x:v>
      </x:c>
      <x:c r="S173" s="431" t="n">
        <x:f>IF(OR(R173="",O173=""),"",R173-O173)</x:f>
        <x:v>46</x:v>
      </x:c>
      <x:c r="T173" s="430" t="str">
        <x:f>IF(S173="","No damage score",IF(S173&gt;=20,"Badges much stronger",IF(S173&lt;=-20,"Damage much stronger","Broadly aligned")))</x:f>
        <x:v>Badges much stronger</x:v>
      </x:c>
      <x:c r="U173" s="434" t="n">
        <x:f>IF(Q173="","",Q173*(1-$R$5)+L173*$R$5)</x:f>
        <x:v>12.613229923448133</x:v>
      </x:c>
      <x:c r="V173" s="431" t="n">
        <x:f>IF(U173="","",1+COUNTIF($U$19:$U$186,"&gt;"&amp;U173))</x:f>
        <x:v>146</x:v>
      </x:c>
    </x:row>
    <x:row r="174" ht="24" customHeight="1">
      <x:c r="A174" s="430" t="str">
        <x:v>K176</x:v>
      </x:c>
      <x:c r="B174" s="430" t="str">
        <x:v>老黑黑</x:v>
      </x:c>
      <x:c r="C174" s="431" t="n">
        <x:f>COUNTIFS('Specialisations'!$A$6:$A$527,A174,'Specialisations'!$B$6:$B$527,B174)</x:f>
        <x:v>5</x:v>
      </x:c>
      <x:c r="D174" s="431" t="n">
        <x:f>COUNTIFS('Specialisations'!$A$6:$A$527,A174,'Specialisations'!$B$6:$B$527,B174,'Specialisations'!$P$6:$P$527,"OK")</x:f>
        <x:v>5</x:v>
      </x:c>
      <x:c r="E174" s="431" t="n">
        <x:f>C174-D174</x:f>
        <x:v>0</x:v>
      </x:c>
      <x:c r="F174" s="432" t="n">
        <x:f>IF(C174=0,0,D174/C174)</x:f>
        <x:v>1</x:v>
      </x:c>
      <x:c r="G174" s="433" t="n">
        <x:f>SUMIFS('Specialisations'!$N$6:$N$527,'Specialisations'!$A$6:$A$527,A174,'Specialisations'!$B$6:$B$527,B174,'Specialisations'!$C$6:$C$527,"Guards")</x:f>
        <x:v>4284300</x:v>
      </x:c>
      <x:c r="H174" s="433" t="n">
        <x:f>SUMIFS('Specialisations'!$N$6:$N$527,'Specialisations'!$A$6:$A$527,A174,'Specialisations'!$B$6:$B$527,B174,'Specialisations'!$C$6:$C$527,"Archers")</x:f>
        <x:v>4284300</x:v>
      </x:c>
      <x:c r="I174" s="433" t="n">
        <x:f>SUMIFS('Specialisations'!$N$6:$N$527,'Specialisations'!$A$6:$A$527,A174,'Specialisations'!$B$6:$B$527,B174,'Specialisations'!$C$6:$C$527,"Cavalry")</x:f>
        <x:v>8008600</x:v>
      </x:c>
      <x:c r="J174" s="433" t="n">
        <x:f>SUMIFS('Specialisations'!$N$6:$N$527,'Specialisations'!$A$6:$A$527,A174,'Specialisations'!$B$6:$B$527,B174,'Specialisations'!$C$6:$C$527,"Siege")</x:f>
        <x:v>424300</x:v>
      </x:c>
      <x:c r="K174" s="433" t="n">
        <x:f>SUM(G174:J174)</x:f>
        <x:v>17001500</x:v>
      </x:c>
      <x:c r="L174" s="434" t="n">
        <x:f>IFERROR(100*K174/MAX($K$19:$K$186),0)</x:f>
        <x:v>27.419209170754993</x:v>
      </x:c>
      <x:c r="M174" s="495" t="n">
        <x:f>IF(C174=0,"",SUMIFS('Specialisations'!$Q$6:$Q$527,'Specialisations'!$A$6:$A$527,A174,'Specialisations'!$B$6:$B$527,B174))</x:f>
        <x:v>88.02</x:v>
      </x:c>
      <x:c r="N174" s="431" t="n">
        <x:f>IF(K174=0,"",1+COUNTIFS($A$19:$A$186,A174,$K$19:$K$186,"&gt;"&amp;K174))</x:f>
        <x:v>12</x:v>
      </x:c>
      <x:c r="O174" s="431" t="n">
        <x:f>IF(K174=0,"",1+COUNTIF($K$19:$K$186,"&gt;"&amp;K174))</x:f>
        <x:v>49</x:v>
      </x:c>
      <x:c r="P174" s="430" t="str">
        <x:f>IF(C174=0,"No specialisations recorded",IF(E174&gt;0,"Review missing level","Complete"))</x:f>
        <x:v>Complete</x:v>
      </x:c>
      <x:c r="Q174" s="434" t="n">
        <x:f>IF(COUNTIFS('Damage Ranking'!$B$6:$B$172,A174,'Damage Ranking'!$C$6:$C$172,B174)=0,"",SUMIFS('Damage Ranking'!$D$6:$D$172,'Damage Ranking'!$B$6:$B$172,A174,'Damage Ranking'!$C$6:$C$172,B174))</x:f>
        <x:v>22.435027139213247</x:v>
      </x:c>
      <x:c r="R174" s="431" t="n">
        <x:f>IF(Q174="","",SUMIFS('Damage Ranking'!$A$6:$A$172,'Damage Ranking'!$B$6:$B$172,A174,'Damage Ranking'!$C$6:$C$172,B174))</x:f>
        <x:v>117</x:v>
      </x:c>
      <x:c r="S174" s="431" t="n">
        <x:f>IF(OR(R174="",O174=""),"",R174-O174)</x:f>
        <x:v>68</x:v>
      </x:c>
      <x:c r="T174" s="430" t="str">
        <x:f>IF(S174="","No damage score",IF(S174&gt;=20,"Badges much stronger",IF(S174&lt;=-20,"Damage much stronger","Broadly aligned")))</x:f>
        <x:v>Badges much stronger</x:v>
      </x:c>
      <x:c r="U174" s="434" t="n">
        <x:f>IF(Q174="","",Q174*(1-$R$5)+L174*$R$5)</x:f>
        <x:v>22.435027139213247</x:v>
      </x:c>
      <x:c r="V174" s="431" t="n">
        <x:f>IF(U174="","",1+COUNTIF($U$19:$U$186,"&gt;"&amp;U174))</x:f>
        <x:v>117</x:v>
      </x:c>
    </x:row>
    <x:row r="175" ht="24" customHeight="1">
      <x:c r="A175" s="430" t="str">
        <x:v>K176</x:v>
      </x:c>
      <x:c r="B175" s="430" t="str">
        <x:v>温不胜</x:v>
      </x:c>
      <x:c r="C175" s="431" t="n">
        <x:f>COUNTIFS('Specialisations'!$A$6:$A$527,A175,'Specialisations'!$B$6:$B$527,B175)</x:f>
        <x:v>2</x:v>
      </x:c>
      <x:c r="D175" s="431" t="n">
        <x:f>COUNTIFS('Specialisations'!$A$6:$A$527,A175,'Specialisations'!$B$6:$B$527,B175,'Specialisations'!$P$6:$P$527,"OK")</x:f>
        <x:v>2</x:v>
      </x:c>
      <x:c r="E175" s="431" t="n">
        <x:f>C175-D175</x:f>
        <x:v>0</x:v>
      </x:c>
      <x:c r="F175" s="432" t="n">
        <x:f>IF(C175=0,0,D175/C175)</x:f>
        <x:v>1</x:v>
      </x:c>
      <x:c r="G175" s="433" t="n">
        <x:f>SUMIFS('Specialisations'!$N$6:$N$527,'Specialisations'!$A$6:$A$527,A175,'Specialisations'!$B$6:$B$527,B175,'Specialisations'!$C$6:$C$527,"Guards")</x:f>
        <x:v>4284300</x:v>
      </x:c>
      <x:c r="H175" s="433" t="n">
        <x:f>SUMIFS('Specialisations'!$N$6:$N$527,'Specialisations'!$A$6:$A$527,A175,'Specialisations'!$B$6:$B$527,B175,'Specialisations'!$C$6:$C$527,"Archers")</x:f>
        <x:v>0</x:v>
      </x:c>
      <x:c r="I175" s="433" t="n">
        <x:f>SUMIFS('Specialisations'!$N$6:$N$527,'Specialisations'!$A$6:$A$527,A175,'Specialisations'!$B$6:$B$527,B175,'Specialisations'!$C$6:$C$527,"Cavalry")</x:f>
        <x:v>8334300</x:v>
      </x:c>
      <x:c r="J175" s="433" t="n">
        <x:f>SUMIFS('Specialisations'!$N$6:$N$527,'Specialisations'!$A$6:$A$527,A175,'Specialisations'!$B$6:$B$527,B175,'Specialisations'!$C$6:$C$527,"Siege")</x:f>
        <x:v>0</x:v>
      </x:c>
      <x:c r="K175" s="433" t="n">
        <x:f>SUM(G175:J175)</x:f>
        <x:v>12618600</x:v>
      </x:c>
      <x:c r="L175" s="434" t="n">
        <x:f>IFERROR(100*K175/MAX($K$19:$K$186),0)</x:f>
        <x:v>20.35067687216357</x:v>
      </x:c>
      <x:c r="M175" s="495" t="n">
        <x:f>IF(C175=0,"",SUMIFS('Specialisations'!$Q$6:$Q$527,'Specialisations'!$A$6:$A$527,A175,'Specialisations'!$B$6:$B$527,B175))</x:f>
        <x:v>13.220000000000006</x:v>
      </x:c>
      <x:c r="N175" s="431" t="n">
        <x:f>IF(K175=0,"",1+COUNTIFS($A$19:$A$186,A175,$K$19:$K$186,"&gt;"&amp;K175))</x:f>
        <x:v>17</x:v>
      </x:c>
      <x:c r="O175" s="431" t="n">
        <x:f>IF(K175=0,"",1+COUNTIF($K$19:$K$186,"&gt;"&amp;K175))</x:f>
        <x:v>88</x:v>
      </x:c>
      <x:c r="P175" s="430" t="str">
        <x:f>IF(C175=0,"No specialisations recorded",IF(E175&gt;0,"Review missing level","Complete"))</x:f>
        <x:v>Complete</x:v>
      </x:c>
      <x:c r="Q175" s="434" t="n">
        <x:f>IF(COUNTIFS('Damage Ranking'!$B$6:$B$172,A175,'Damage Ranking'!$C$6:$C$172,B175)=0,"",SUMIFS('Damage Ranking'!$D$6:$D$172,'Damage Ranking'!$B$6:$B$172,A175,'Damage Ranking'!$C$6:$C$172,B175))</x:f>
        <x:v>23.784738601748874</x:v>
      </x:c>
      <x:c r="R175" s="431" t="n">
        <x:f>IF(Q175="","",SUMIFS('Damage Ranking'!$A$6:$A$172,'Damage Ranking'!$B$6:$B$172,A175,'Damage Ranking'!$C$6:$C$172,B175))</x:f>
        <x:v>114</x:v>
      </x:c>
      <x:c r="S175" s="431" t="n">
        <x:f>IF(OR(R175="",O175=""),"",R175-O175)</x:f>
        <x:v>26</x:v>
      </x:c>
      <x:c r="T175" s="430" t="str">
        <x:f>IF(S175="","No damage score",IF(S175&gt;=20,"Badges much stronger",IF(S175&lt;=-20,"Damage much stronger","Broadly aligned")))</x:f>
        <x:v>Badges much stronger</x:v>
      </x:c>
      <x:c r="U175" s="434" t="n">
        <x:f>IF(Q175="","",Q175*(1-$R$5)+L175*$R$5)</x:f>
        <x:v>23.784738601748874</x:v>
      </x:c>
      <x:c r="V175" s="431" t="n">
        <x:f>IF(U175="","",1+COUNTIF($U$19:$U$186,"&gt;"&amp;U175))</x:f>
        <x:v>114</x:v>
      </x:c>
    </x:row>
    <x:row r="176" ht="24" customHeight="1">
      <x:c r="A176" s="430" t="str">
        <x:v>K176</x:v>
      </x:c>
      <x:c r="B176" s="430" t="str">
        <x:v>我是贤熙</x:v>
      </x:c>
      <x:c r="C176" s="431" t="n">
        <x:f>COUNTIFS('Specialisations'!$A$6:$A$527,A176,'Specialisations'!$B$6:$B$527,B176)</x:f>
        <x:v>2</x:v>
      </x:c>
      <x:c r="D176" s="431" t="n">
        <x:f>COUNTIFS('Specialisations'!$A$6:$A$527,A176,'Specialisations'!$B$6:$B$527,B176,'Specialisations'!$P$6:$P$527,"OK")</x:f>
        <x:v>2</x:v>
      </x:c>
      <x:c r="E176" s="431" t="n">
        <x:f>C176-D176</x:f>
        <x:v>0</x:v>
      </x:c>
      <x:c r="F176" s="432" t="n">
        <x:f>IF(C176=0,0,D176/C176)</x:f>
        <x:v>1</x:v>
      </x:c>
      <x:c r="G176" s="433" t="n">
        <x:f>SUMIFS('Specialisations'!$N$6:$N$527,'Specialisations'!$A$6:$A$527,A176,'Specialisations'!$B$6:$B$527,B176,'Specialisations'!$C$6:$C$527,"Guards")</x:f>
        <x:v>0</x:v>
      </x:c>
      <x:c r="H176" s="433" t="n">
        <x:f>SUMIFS('Specialisations'!$N$6:$N$527,'Specialisations'!$A$6:$A$527,A176,'Specialisations'!$B$6:$B$527,B176,'Specialisations'!$C$6:$C$527,"Archers")</x:f>
        <x:v>0</x:v>
      </x:c>
      <x:c r="I176" s="433" t="n">
        <x:f>SUMIFS('Specialisations'!$N$6:$N$527,'Specialisations'!$A$6:$A$527,A176,'Specialisations'!$B$6:$B$527,B176,'Specialisations'!$C$6:$C$527,"Cavalry")</x:f>
        <x:v>5488600</x:v>
      </x:c>
      <x:c r="J176" s="433" t="n">
        <x:f>SUMIFS('Specialisations'!$N$6:$N$527,'Specialisations'!$A$6:$A$527,A176,'Specialisations'!$B$6:$B$527,B176,'Specialisations'!$C$6:$C$527,"Siege")</x:f>
        <x:v>0</x:v>
      </x:c>
      <x:c r="K176" s="433" t="n">
        <x:f>SUM(G176:J176)</x:f>
        <x:v>5488600</x:v>
      </x:c>
      <x:c r="L176" s="434" t="n">
        <x:f>IFERROR(100*K176/MAX($K$19:$K$186),0)</x:f>
        <x:v>8.85175257798464</x:v>
      </x:c>
      <x:c r="M176" s="495" t="n">
        <x:f>IF(C176=0,"",SUMIFS('Specialisations'!$Q$6:$Q$527,'Specialisations'!$A$6:$A$527,A176,'Specialisations'!$B$6:$B$527,B176))</x:f>
        <x:v>63.72</x:v>
      </x:c>
      <x:c r="N176" s="431" t="n">
        <x:f>IF(K176=0,"",1+COUNTIFS($A$19:$A$186,A176,$K$19:$K$186,"&gt;"&amp;K176))</x:f>
        <x:v>20</x:v>
      </x:c>
      <x:c r="O176" s="431" t="n">
        <x:f>IF(K176=0,"",1+COUNTIF($K$19:$K$186,"&gt;"&amp;K176))</x:f>
        <x:v>149</x:v>
      </x:c>
      <x:c r="P176" s="430" t="str">
        <x:f>IF(C176=0,"No specialisations recorded",IF(E176&gt;0,"Review missing level","Complete"))</x:f>
        <x:v>Complete</x:v>
      </x:c>
      <x:c r="Q176" s="434" t="n">
        <x:f>IF(COUNTIFS('Damage Ranking'!$B$6:$B$172,A176,'Damage Ranking'!$C$6:$C$172,B176)=0,"",SUMIFS('Damage Ranking'!$D$6:$D$172,'Damage Ranking'!$B$6:$B$172,A176,'Damage Ranking'!$C$6:$C$172,B176))</x:f>
        <x:v>6.302288665826884</x:v>
      </x:c>
      <x:c r="R176" s="431" t="n">
        <x:f>IF(Q176="","",SUMIFS('Damage Ranking'!$A$6:$A$172,'Damage Ranking'!$B$6:$B$172,A176,'Damage Ranking'!$C$6:$C$172,B176))</x:f>
        <x:v>161</x:v>
      </x:c>
      <x:c r="S176" s="431" t="n">
        <x:f>IF(OR(R176="",O176=""),"",R176-O176)</x:f>
        <x:v>12</x:v>
      </x:c>
      <x:c r="T176" s="430" t="str">
        <x:f>IF(S176="","No damage score",IF(S176&gt;=20,"Badges much stronger",IF(S176&lt;=-20,"Damage much stronger","Broadly aligned")))</x:f>
        <x:v>Broadly aligned</x:v>
      </x:c>
      <x:c r="U176" s="434" t="n">
        <x:f>IF(Q176="","",Q176*(1-$R$5)+L176*$R$5)</x:f>
        <x:v>6.302288665826884</x:v>
      </x:c>
      <x:c r="V176" s="431" t="n">
        <x:f>IF(U176="","",1+COUNTIF($U$19:$U$186,"&gt;"&amp;U176))</x:f>
        <x:v>161</x:v>
      </x:c>
    </x:row>
    <x:row r="177" ht="24" customHeight="1">
      <x:c r="A177" s="430" t="str">
        <x:v>K176</x:v>
      </x:c>
      <x:c r="B177" s="430" t="str">
        <x:v>金玉其外败絮其中</x:v>
      </x:c>
      <x:c r="C177" s="431" t="n">
        <x:f>COUNTIFS('Specialisations'!$A$6:$A$527,A177,'Specialisations'!$B$6:$B$527,B177)</x:f>
        <x:v>4</x:v>
      </x:c>
      <x:c r="D177" s="431" t="n">
        <x:f>COUNTIFS('Specialisations'!$A$6:$A$527,A177,'Specialisations'!$B$6:$B$527,B177,'Specialisations'!$P$6:$P$527,"OK")</x:f>
        <x:v>4</x:v>
      </x:c>
      <x:c r="E177" s="431" t="n">
        <x:f>C177-D177</x:f>
        <x:v>0</x:v>
      </x:c>
      <x:c r="F177" s="432" t="n">
        <x:f>IF(C177=0,0,D177/C177)</x:f>
        <x:v>1</x:v>
      </x:c>
      <x:c r="G177" s="433" t="n">
        <x:f>SUMIFS('Specialisations'!$N$6:$N$527,'Specialisations'!$A$6:$A$527,A177,'Specialisations'!$B$6:$B$527,B177,'Specialisations'!$C$6:$C$527,"Guards")</x:f>
        <x:v>5884300</x:v>
      </x:c>
      <x:c r="H177" s="433" t="n">
        <x:f>SUMIFS('Specialisations'!$N$6:$N$527,'Specialisations'!$A$6:$A$527,A177,'Specialisations'!$B$6:$B$527,B177,'Specialisations'!$C$6:$C$527,"Archers")</x:f>
        <x:v>0</x:v>
      </x:c>
      <x:c r="I177" s="433" t="n">
        <x:f>SUMIFS('Specialisations'!$N$6:$N$527,'Specialisations'!$A$6:$A$527,A177,'Specialisations'!$B$6:$B$527,B177,'Specialisations'!$C$6:$C$527,"Cavalry")</x:f>
        <x:v>13868600</x:v>
      </x:c>
      <x:c r="J177" s="433" t="n">
        <x:f>SUMIFS('Specialisations'!$N$6:$N$527,'Specialisations'!$A$6:$A$527,A177,'Specialisations'!$B$6:$B$527,B177,'Specialisations'!$C$6:$C$527,"Siege")</x:f>
        <x:v>1624300</x:v>
      </x:c>
      <x:c r="K177" s="433" t="n">
        <x:f>SUM(G177:J177)</x:f>
        <x:v>21377200</x:v>
      </x:c>
      <x:c r="L177" s="434" t="n">
        <x:f>IFERROR(100*K177/MAX($K$19:$K$186),0)</x:f>
        <x:v>34.47612965238736</x:v>
      </x:c>
      <x:c r="M177" s="495" t="n">
        <x:f>IF(C177=0,"",SUMIFS('Specialisations'!$Q$6:$Q$527,'Specialisations'!$A$6:$A$527,A177,'Specialisations'!$B$6:$B$527,B177))</x:f>
        <x:v>75.83</x:v>
      </x:c>
      <x:c r="N177" s="431" t="n">
        <x:f>IF(K177=0,"",1+COUNTIFS($A$19:$A$186,A177,$K$19:$K$186,"&gt;"&amp;K177))</x:f>
        <x:v>6</x:v>
      </x:c>
      <x:c r="O177" s="431" t="n">
        <x:f>IF(K177=0,"",1+COUNTIF($K$19:$K$186,"&gt;"&amp;K177))</x:f>
        <x:v>26</x:v>
      </x:c>
      <x:c r="P177" s="430" t="str">
        <x:f>IF(C177=0,"No specialisations recorded",IF(E177&gt;0,"Review missing level","Complete"))</x:f>
        <x:v>Complete</x:v>
      </x:c>
      <x:c r="Q177" s="434" t="n">
        <x:f>IF(COUNTIFS('Damage Ranking'!$B$6:$B$172,A177,'Damage Ranking'!$C$6:$C$172,B177)=0,"",SUMIFS('Damage Ranking'!$D$6:$D$172,'Damage Ranking'!$B$6:$B$172,A177,'Damage Ranking'!$C$6:$C$172,B177))</x:f>
        <x:v>40.29176267710042</x:v>
      </x:c>
      <x:c r="R177" s="431" t="n">
        <x:f>IF(Q177="","",SUMIFS('Damage Ranking'!$A$6:$A$172,'Damage Ranking'!$B$6:$B$172,A177,'Damage Ranking'!$C$6:$C$172,B177))</x:f>
        <x:v>65</x:v>
      </x:c>
      <x:c r="S177" s="431" t="n">
        <x:f>IF(OR(R177="",O177=""),"",R177-O177)</x:f>
        <x:v>39</x:v>
      </x:c>
      <x:c r="T177" s="430" t="str">
        <x:f>IF(S177="","No damage score",IF(S177&gt;=20,"Badges much stronger",IF(S177&lt;=-20,"Damage much stronger","Broadly aligned")))</x:f>
        <x:v>Badges much stronger</x:v>
      </x:c>
      <x:c r="U177" s="434" t="n">
        <x:f>IF(Q177="","",Q177*(1-$R$5)+L177*$R$5)</x:f>
        <x:v>40.29176267710042</x:v>
      </x:c>
      <x:c r="V177" s="431" t="n">
        <x:f>IF(U177="","",1+COUNTIF($U$19:$U$186,"&gt;"&amp;U177))</x:f>
        <x:v>65</x:v>
      </x:c>
    </x:row>
    <x:row r="178" ht="24" customHeight="1">
      <x:c r="A178" s="430" t="str">
        <x:v>K176</x:v>
      </x:c>
      <x:c r="B178" s="430" t="str">
        <x:v>温水煮青蛙</x:v>
      </x:c>
      <x:c r="C178" s="431" t="n">
        <x:f>COUNTIFS('Specialisations'!$A$6:$A$527,A178,'Specialisations'!$B$6:$B$527,B178)</x:f>
        <x:v>4</x:v>
      </x:c>
      <x:c r="D178" s="431" t="n">
        <x:f>COUNTIFS('Specialisations'!$A$6:$A$527,A178,'Specialisations'!$B$6:$B$527,B178,'Specialisations'!$P$6:$P$527,"OK")</x:f>
        <x:v>4</x:v>
      </x:c>
      <x:c r="E178" s="431" t="n">
        <x:f>C178-D178</x:f>
        <x:v>0</x:v>
      </x:c>
      <x:c r="F178" s="432" t="n">
        <x:f>IF(C178=0,0,D178/C178)</x:f>
        <x:v>1</x:v>
      </x:c>
      <x:c r="G178" s="433" t="n">
        <x:f>SUMIFS('Specialisations'!$N$6:$N$527,'Specialisations'!$A$6:$A$527,A178,'Specialisations'!$B$6:$B$527,B178,'Specialisations'!$C$6:$C$527,"Guards")</x:f>
        <x:v>5004300</x:v>
      </x:c>
      <x:c r="H178" s="433" t="n">
        <x:f>SUMIFS('Specialisations'!$N$6:$N$527,'Specialisations'!$A$6:$A$527,A178,'Specialisations'!$B$6:$B$527,B178,'Specialisations'!$C$6:$C$527,"Archers")</x:f>
        <x:v>0</x:v>
      </x:c>
      <x:c r="I178" s="433" t="n">
        <x:f>SUMIFS('Specialisations'!$N$6:$N$527,'Specialisations'!$A$6:$A$527,A178,'Specialisations'!$B$6:$B$527,B178,'Specialisations'!$C$6:$C$527,"Cavalry")</x:f>
        <x:v>12818600</x:v>
      </x:c>
      <x:c r="J178" s="433" t="n">
        <x:f>SUMIFS('Specialisations'!$N$6:$N$527,'Specialisations'!$A$6:$A$527,A178,'Specialisations'!$B$6:$B$527,B178,'Specialisations'!$C$6:$C$527,"Siege")</x:f>
        <x:v>484300</x:v>
      </x:c>
      <x:c r="K178" s="433" t="n">
        <x:f>SUM(G178:J178)</x:f>
        <x:v>18307200</x:v>
      </x:c>
      <x:c r="L178" s="434" t="n">
        <x:f>IFERROR(100*K178/MAX($K$19:$K$186),0)</x:f>
        <x:v>29.524979921233175</x:v>
      </x:c>
      <x:c r="M178" s="495" t="n">
        <x:f>IF(C178=0,"",SUMIFS('Specialisations'!$Q$6:$Q$527,'Specialisations'!$A$6:$A$527,A178,'Specialisations'!$B$6:$B$527,B178))</x:f>
        <x:v>61.790000000000006</x:v>
      </x:c>
      <x:c r="N178" s="431" t="n">
        <x:f>IF(K178=0,"",1+COUNTIFS($A$19:$A$186,A178,$K$19:$K$186,"&gt;"&amp;K178))</x:f>
        <x:v>9</x:v>
      </x:c>
      <x:c r="O178" s="431" t="n">
        <x:f>IF(K178=0,"",1+COUNTIF($K$19:$K$186,"&gt;"&amp;K178))</x:f>
        <x:v>41</x:v>
      </x:c>
      <x:c r="P178" s="430" t="str">
        <x:f>IF(C178=0,"No specialisations recorded",IF(E178&gt;0,"Review missing level","Complete"))</x:f>
        <x:v>Complete</x:v>
      </x:c>
      <x:c r="Q178" s="434" t="n">
        <x:f>IF(COUNTIFS('Damage Ranking'!$B$6:$B$172,A178,'Damage Ranking'!$C$6:$C$172,B178)=0,"",SUMIFS('Damage Ranking'!$D$6:$D$172,'Damage Ranking'!$B$6:$B$172,A178,'Damage Ranking'!$C$6:$C$172,B178))</x:f>
        <x:v>25.96950975401836</x:v>
      </x:c>
      <x:c r="R178" s="431" t="n">
        <x:f>IF(Q178="","",SUMIFS('Damage Ranking'!$A$6:$A$172,'Damage Ranking'!$B$6:$B$172,A178,'Damage Ranking'!$C$6:$C$172,B178))</x:f>
        <x:v>106</x:v>
      </x:c>
      <x:c r="S178" s="431" t="n">
        <x:f>IF(OR(R178="",O178=""),"",R178-O178)</x:f>
        <x:v>65</x:v>
      </x:c>
      <x:c r="T178" s="430" t="str">
        <x:f>IF(S178="","No damage score",IF(S178&gt;=20,"Badges much stronger",IF(S178&lt;=-20,"Damage much stronger","Broadly aligned")))</x:f>
        <x:v>Badges much stronger</x:v>
      </x:c>
      <x:c r="U178" s="434" t="n">
        <x:f>IF(Q178="","",Q178*(1-$R$5)+L178*$R$5)</x:f>
        <x:v>25.96950975401836</x:v>
      </x:c>
      <x:c r="V178" s="431" t="n">
        <x:f>IF(U178="","",1+COUNTIF($U$19:$U$186,"&gt;"&amp;U178))</x:f>
        <x:v>106</x:v>
      </x:c>
    </x:row>
    <x:row r="179" ht="24" customHeight="1">
      <x:c r="A179" s="430" t="str">
        <x:v>K176</x:v>
      </x:c>
      <x:c r="B179" s="430" t="str">
        <x:v>我于杀戮之中绽放</x:v>
      </x:c>
      <x:c r="C179" s="431" t="n">
        <x:f>COUNTIFS('Specialisations'!$A$6:$A$527,A179,'Specialisations'!$B$6:$B$527,B179)</x:f>
        <x:v>4</x:v>
      </x:c>
      <x:c r="D179" s="431" t="n">
        <x:f>COUNTIFS('Specialisations'!$A$6:$A$527,A179,'Specialisations'!$B$6:$B$527,B179,'Specialisations'!$P$6:$P$527,"OK")</x:f>
        <x:v>4</x:v>
      </x:c>
      <x:c r="E179" s="431" t="n">
        <x:f>C179-D179</x:f>
        <x:v>0</x:v>
      </x:c>
      <x:c r="F179" s="432" t="n">
        <x:f>IF(C179=0,0,D179/C179)</x:f>
        <x:v>1</x:v>
      </x:c>
      <x:c r="G179" s="433" t="n">
        <x:f>SUMIFS('Specialisations'!$N$6:$N$527,'Specialisations'!$A$6:$A$527,A179,'Specialisations'!$B$6:$B$527,B179,'Specialisations'!$C$6:$C$527,"Guards")</x:f>
        <x:v>6934300</x:v>
      </x:c>
      <x:c r="H179" s="433" t="n">
        <x:f>SUMIFS('Specialisations'!$N$6:$N$527,'Specialisations'!$A$6:$A$527,A179,'Specialisations'!$B$6:$B$527,B179,'Specialisations'!$C$6:$C$527,"Archers")</x:f>
        <x:v>0</x:v>
      </x:c>
      <x:c r="I179" s="433" t="n">
        <x:f>SUMIFS('Specialisations'!$N$6:$N$527,'Specialisations'!$A$6:$A$527,A179,'Specialisations'!$B$6:$B$527,B179,'Specialisations'!$C$6:$C$527,"Cavalry")</x:f>
        <x:v>10888600</x:v>
      </x:c>
      <x:c r="J179" s="433" t="n">
        <x:f>SUMIFS('Specialisations'!$N$6:$N$527,'Specialisations'!$A$6:$A$527,A179,'Specialisations'!$B$6:$B$527,B179,'Specialisations'!$C$6:$C$527,"Siege")</x:f>
        <x:v>2244300</x:v>
      </x:c>
      <x:c r="K179" s="433" t="n">
        <x:f>SUM(G179:J179)</x:f>
        <x:v>20067200</x:v>
      </x:c>
      <x:c r="L179" s="434" t="n">
        <x:f>IFERROR(100*K179/MAX($K$19:$K$186),0)</x:f>
        <x:v>32.36342406678085</x:v>
      </x:c>
      <x:c r="M179" s="495" t="n">
        <x:f>IF(C179=0,"",SUMIFS('Specialisations'!$Q$6:$Q$527,'Specialisations'!$A$6:$A$527,A179,'Specialisations'!$B$6:$B$527,B179))</x:f>
        <x:v>69.51</x:v>
      </x:c>
      <x:c r="N179" s="431" t="n">
        <x:f>IF(K179=0,"",1+COUNTIFS($A$19:$A$186,A179,$K$19:$K$186,"&gt;"&amp;K179))</x:f>
        <x:v>7</x:v>
      </x:c>
      <x:c r="O179" s="431" t="n">
        <x:f>IF(K179=0,"",1+COUNTIF($K$19:$K$186,"&gt;"&amp;K179))</x:f>
        <x:v>32</x:v>
      </x:c>
      <x:c r="P179" s="430" t="str">
        <x:f>IF(C179=0,"No specialisations recorded",IF(E179&gt;0,"Review missing level","Complete"))</x:f>
        <x:v>Complete</x:v>
      </x:c>
      <x:c r="Q179" s="434" t="n">
        <x:f>IF(COUNTIFS('Damage Ranking'!$B$6:$B$172,A179,'Damage Ranking'!$C$6:$C$172,B179)=0,"",SUMIFS('Damage Ranking'!$D$6:$D$172,'Damage Ranking'!$B$6:$B$172,A179,'Damage Ranking'!$C$6:$C$172,B179))</x:f>
        <x:v>45.026270983900254</x:v>
      </x:c>
      <x:c r="R179" s="431" t="n">
        <x:f>IF(Q179="","",SUMIFS('Damage Ranking'!$A$6:$A$172,'Damage Ranking'!$B$6:$B$172,A179,'Damage Ranking'!$C$6:$C$172,B179))</x:f>
        <x:v>49</x:v>
      </x:c>
      <x:c r="S179" s="431" t="n">
        <x:f>IF(OR(R179="",O179=""),"",R179-O179)</x:f>
        <x:v>17</x:v>
      </x:c>
      <x:c r="T179" s="430" t="str">
        <x:f>IF(S179="","No damage score",IF(S179&gt;=20,"Badges much stronger",IF(S179&lt;=-20,"Damage much stronger","Broadly aligned")))</x:f>
        <x:v>Broadly aligned</x:v>
      </x:c>
      <x:c r="U179" s="434" t="n">
        <x:f>IF(Q179="","",Q179*(1-$R$5)+L179*$R$5)</x:f>
        <x:v>45.026270983900254</x:v>
      </x:c>
      <x:c r="V179" s="431" t="n">
        <x:f>IF(U179="","",1+COUNTIF($U$19:$U$186,"&gt;"&amp;U179))</x:f>
        <x:v>49</x:v>
      </x:c>
    </x:row>
    <x:row r="180" ht="24" customHeight="1">
      <x:c r="A180" s="430" t="str">
        <x:v>K176</x:v>
      </x:c>
      <x:c r="B180" s="430" t="str">
        <x:v>璀璨星芒</x:v>
      </x:c>
      <x:c r="C180" s="431" t="n">
        <x:f>COUNTIFS('Specialisations'!$A$6:$A$527,A180,'Specialisations'!$B$6:$B$527,B180)</x:f>
        <x:v>4</x:v>
      </x:c>
      <x:c r="D180" s="431" t="n">
        <x:f>COUNTIFS('Specialisations'!$A$6:$A$527,A180,'Specialisations'!$B$6:$B$527,B180,'Specialisations'!$P$6:$P$527,"OK")</x:f>
        <x:v>4</x:v>
      </x:c>
      <x:c r="E180" s="431" t="n">
        <x:f>C180-D180</x:f>
        <x:v>0</x:v>
      </x:c>
      <x:c r="F180" s="432" t="n">
        <x:f>IF(C180=0,0,D180/C180)</x:f>
        <x:v>1</x:v>
      </x:c>
      <x:c r="G180" s="433" t="n">
        <x:f>SUMIFS('Specialisations'!$N$6:$N$527,'Specialisations'!$A$6:$A$527,A180,'Specialisations'!$B$6:$B$527,B180,'Specialisations'!$C$6:$C$527,"Guards")</x:f>
        <x:v>4284300</x:v>
      </x:c>
      <x:c r="H180" s="433" t="n">
        <x:f>SUMIFS('Specialisations'!$N$6:$N$527,'Specialisations'!$A$6:$A$527,A180,'Specialisations'!$B$6:$B$527,B180,'Specialisations'!$C$6:$C$527,"Archers")</x:f>
        <x:v>2244300</x:v>
      </x:c>
      <x:c r="I180" s="433" t="n">
        <x:f>SUMIFS('Specialisations'!$N$6:$N$527,'Specialisations'!$A$6:$A$527,A180,'Specialisations'!$B$6:$B$527,B180,'Specialisations'!$C$6:$C$527,"Cavalry")</x:f>
        <x:v>5004300</x:v>
      </x:c>
      <x:c r="J180" s="433" t="n">
        <x:f>SUMIFS('Specialisations'!$N$6:$N$527,'Specialisations'!$A$6:$A$527,A180,'Specialisations'!$B$6:$B$527,B180,'Specialisations'!$C$6:$C$527,"Siege")</x:f>
        <x:v>2244300</x:v>
      </x:c>
      <x:c r="K180" s="433" t="n">
        <x:f>SUM(G180:J180)</x:f>
        <x:v>13777200</x:v>
      </x:c>
      <x:c r="L180" s="434" t="n">
        <x:f>IFERROR(100*K180/MAX($K$19:$K$186),0)</x:f>
        <x:v>22.219211751158763</x:v>
      </x:c>
      <x:c r="M180" s="495" t="n">
        <x:f>IF(C180=0,"",SUMIFS('Specialisations'!$Q$6:$Q$527,'Specialisations'!$A$6:$A$527,A180,'Specialisations'!$B$6:$B$527,B180))</x:f>
        <x:v>58.63</x:v>
      </x:c>
      <x:c r="N180" s="431" t="n">
        <x:f>IF(K180=0,"",1+COUNTIFS($A$19:$A$186,A180,$K$19:$K$186,"&gt;"&amp;K180))</x:f>
        <x:v>15</x:v>
      </x:c>
      <x:c r="O180" s="431" t="n">
        <x:f>IF(K180=0,"",1+COUNTIF($K$19:$K$186,"&gt;"&amp;K180))</x:f>
        <x:v>70</x:v>
      </x:c>
      <x:c r="P180" s="430" t="str">
        <x:f>IF(C180=0,"No specialisations recorded",IF(E180&gt;0,"Review missing level","Complete"))</x:f>
        <x:v>Complete</x:v>
      </x:c>
      <x:c r="Q180" s="434" t="n">
        <x:f>IF(COUNTIFS('Damage Ranking'!$B$6:$B$172,A180,'Damage Ranking'!$C$6:$C$172,B180)=0,"",SUMIFS('Damage Ranking'!$D$6:$D$172,'Damage Ranking'!$B$6:$B$172,A180,'Damage Ranking'!$C$6:$C$172,B180))</x:f>
        <x:v>29.67050611165907</x:v>
      </x:c>
      <x:c r="R180" s="431" t="n">
        <x:f>IF(Q180="","",SUMIFS('Damage Ranking'!$A$6:$A$172,'Damage Ranking'!$B$6:$B$172,A180,'Damage Ranking'!$C$6:$C$172,B180))</x:f>
        <x:v>93</x:v>
      </x:c>
      <x:c r="S180" s="431" t="n">
        <x:f>IF(OR(R180="",O180=""),"",R180-O180)</x:f>
        <x:v>23</x:v>
      </x:c>
      <x:c r="T180" s="430" t="str">
        <x:f>IF(S180="","No damage score",IF(S180&gt;=20,"Badges much stronger",IF(S180&lt;=-20,"Damage much stronger","Broadly aligned")))</x:f>
        <x:v>Badges much stronger</x:v>
      </x:c>
      <x:c r="U180" s="434" t="n">
        <x:f>IF(Q180="","",Q180*(1-$R$5)+L180*$R$5)</x:f>
        <x:v>29.67050611165907</x:v>
      </x:c>
      <x:c r="V180" s="431" t="n">
        <x:f>IF(U180="","",1+COUNTIF($U$19:$U$186,"&gt;"&amp;U180))</x:f>
        <x:v>93</x:v>
      </x:c>
    </x:row>
    <x:row r="181" ht="24" customHeight="1">
      <x:c r="A181" s="430" t="str">
        <x:v>K176</x:v>
      </x:c>
      <x:c r="B181" s="430" t="str">
        <x:v>「鳥傷」</x:v>
      </x:c>
      <x:c r="C181" s="431" t="n">
        <x:f>COUNTIFS('Specialisations'!$A$6:$A$527,A181,'Specialisations'!$B$6:$B$527,B181)</x:f>
        <x:v>4</x:v>
      </x:c>
      <x:c r="D181" s="431" t="n">
        <x:f>COUNTIFS('Specialisations'!$A$6:$A$527,A181,'Specialisations'!$B$6:$B$527,B181,'Specialisations'!$P$6:$P$527,"OK")</x:f>
        <x:v>4</x:v>
      </x:c>
      <x:c r="E181" s="431" t="n">
        <x:f>C181-D181</x:f>
        <x:v>0</x:v>
      </x:c>
      <x:c r="F181" s="432" t="n">
        <x:f>IF(C181=0,0,D181/C181)</x:f>
        <x:v>1</x:v>
      </x:c>
      <x:c r="G181" s="433" t="n">
        <x:f>SUMIFS('Specialisations'!$N$6:$N$527,'Specialisations'!$A$6:$A$527,A181,'Specialisations'!$B$6:$B$527,B181,'Specialisations'!$C$6:$C$527,"Guards")</x:f>
        <x:v>4284300</x:v>
      </x:c>
      <x:c r="H181" s="433" t="n">
        <x:f>SUMIFS('Specialisations'!$N$6:$N$527,'Specialisations'!$A$6:$A$527,A181,'Specialisations'!$B$6:$B$527,B181,'Specialisations'!$C$6:$C$527,"Archers")</x:f>
        <x:v>2244300</x:v>
      </x:c>
      <x:c r="I181" s="433" t="n">
        <x:f>SUMIFS('Specialisations'!$N$6:$N$527,'Specialisations'!$A$6:$A$527,A181,'Specialisations'!$B$6:$B$527,B181,'Specialisations'!$C$6:$C$527,"Cavalry")</x:f>
        <x:v>10334300</x:v>
      </x:c>
      <x:c r="J181" s="433" t="n">
        <x:f>SUMIFS('Specialisations'!$N$6:$N$527,'Specialisations'!$A$6:$A$527,A181,'Specialisations'!$B$6:$B$527,B181,'Specialisations'!$C$6:$C$527,"Siege")</x:f>
        <x:v>5004300</x:v>
      </x:c>
      <x:c r="K181" s="433" t="n">
        <x:f>SUM(G181:J181)</x:f>
        <x:v>21867200</x:v>
      </x:c>
      <x:c r="L181" s="434" t="n">
        <x:f>IFERROR(100*K181/MAX($K$19:$K$186),0)</x:f>
        <x:v>35.26637830654552</x:v>
      </x:c>
      <x:c r="M181" s="495" t="n">
        <x:f>IF(C181=0,"",SUMIFS('Specialisations'!$Q$6:$Q$527,'Specialisations'!$A$6:$A$527,A181,'Specialisations'!$B$6:$B$527,B181))</x:f>
        <x:v>90.89</x:v>
      </x:c>
      <x:c r="N181" s="431" t="n">
        <x:f>IF(K181=0,"",1+COUNTIFS($A$19:$A$186,A181,$K$19:$K$186,"&gt;"&amp;K181))</x:f>
        <x:v>5</x:v>
      </x:c>
      <x:c r="O181" s="431" t="n">
        <x:f>IF(K181=0,"",1+COUNTIF($K$19:$K$186,"&gt;"&amp;K181))</x:f>
        <x:v>25</x:v>
      </x:c>
      <x:c r="P181" s="430" t="str">
        <x:f>IF(C181=0,"No specialisations recorded",IF(E181&gt;0,"Review missing level","Complete"))</x:f>
        <x:v>Complete</x:v>
      </x:c>
      <x:c r="Q181" s="434" t="n">
        <x:f>IF(COUNTIFS('Damage Ranking'!$B$6:$B$172,A181,'Damage Ranking'!$C$6:$C$172,B181)=0,"",SUMIFS('Damage Ranking'!$D$6:$D$172,'Damage Ranking'!$B$6:$B$172,A181,'Damage Ranking'!$C$6:$C$172,B181))</x:f>
        <x:v>38.90202682216152</x:v>
      </x:c>
      <x:c r="R181" s="431" t="n">
        <x:f>IF(Q181="","",SUMIFS('Damage Ranking'!$A$6:$A$172,'Damage Ranking'!$B$6:$B$172,A181,'Damage Ranking'!$C$6:$C$172,B181))</x:f>
        <x:v>68</x:v>
      </x:c>
      <x:c r="S181" s="431" t="n">
        <x:f>IF(OR(R181="",O181=""),"",R181-O181)</x:f>
        <x:v>43</x:v>
      </x:c>
      <x:c r="T181" s="430" t="str">
        <x:f>IF(S181="","No damage score",IF(S181&gt;=20,"Badges much stronger",IF(S181&lt;=-20,"Damage much stronger","Broadly aligned")))</x:f>
        <x:v>Badges much stronger</x:v>
      </x:c>
      <x:c r="U181" s="434" t="n">
        <x:f>IF(Q181="","",Q181*(1-$R$5)+L181*$R$5)</x:f>
        <x:v>38.90202682216152</x:v>
      </x:c>
      <x:c r="V181" s="431" t="n">
        <x:f>IF(U181="","",1+COUNTIF($U$19:$U$186,"&gt;"&amp;U181))</x:f>
        <x:v>68</x:v>
      </x:c>
    </x:row>
    <x:row r="182" ht="24" customHeight="1">
      <x:c r="A182" s="430" t="str">
        <x:v>K54</x:v>
      </x:c>
      <x:c r="B182" s="430" t="str">
        <x:v>極惡九孔</x:v>
      </x:c>
      <x:c r="C182" s="431" t="n">
        <x:f>COUNTIFS('Specialisations'!$A$6:$A$527,A182,'Specialisations'!$B$6:$B$527,B182)</x:f>
        <x:v>1</x:v>
      </x:c>
      <x:c r="D182" s="431" t="n">
        <x:f>COUNTIFS('Specialisations'!$A$6:$A$527,A182,'Specialisations'!$B$6:$B$527,B182,'Specialisations'!$P$6:$P$527,"OK")</x:f>
        <x:v>1</x:v>
      </x:c>
      <x:c r="E182" s="431" t="n">
        <x:f>C182-D182</x:f>
        <x:v>0</x:v>
      </x:c>
      <x:c r="F182" s="432" t="n">
        <x:f>IF(C182=0,0,D182/C182)</x:f>
        <x:v>1</x:v>
      </x:c>
      <x:c r="G182" s="433" t="n">
        <x:f>SUMIFS('Specialisations'!$N$6:$N$527,'Specialisations'!$A$6:$A$527,A182,'Specialisations'!$B$6:$B$527,B182,'Specialisations'!$C$6:$C$527,"Guards")</x:f>
        <x:v>6934300</x:v>
      </x:c>
      <x:c r="H182" s="433" t="n">
        <x:f>SUMIFS('Specialisations'!$N$6:$N$527,'Specialisations'!$A$6:$A$527,A182,'Specialisations'!$B$6:$B$527,B182,'Specialisations'!$C$6:$C$527,"Archers")</x:f>
        <x:v>0</x:v>
      </x:c>
      <x:c r="I182" s="433" t="n">
        <x:f>SUMIFS('Specialisations'!$N$6:$N$527,'Specialisations'!$A$6:$A$527,A182,'Specialisations'!$B$6:$B$527,B182,'Specialisations'!$C$6:$C$527,"Cavalry")</x:f>
        <x:v>0</x:v>
      </x:c>
      <x:c r="J182" s="433" t="n">
        <x:f>SUMIFS('Specialisations'!$N$6:$N$527,'Specialisations'!$A$6:$A$527,A182,'Specialisations'!$B$6:$B$527,B182,'Specialisations'!$C$6:$C$527,"Siege")</x:f>
        <x:v>0</x:v>
      </x:c>
      <x:c r="K182" s="433" t="n">
        <x:f>SUM(G182:J182)</x:f>
        <x:v>6934300</x:v>
      </x:c>
      <x:c r="L182" s="434" t="n">
        <x:f>IFERROR(100*K182/MAX($K$19:$K$186),0)</x:f>
        <x:v>11.183308658222295</x:v>
      </x:c>
      <x:c r="M182" s="495" t="n">
        <x:f>IF(C182=0,"",SUMIFS('Specialisations'!$Q$6:$Q$527,'Specialisations'!$A$6:$A$527,A182,'Specialisations'!$B$6:$B$527,B182))</x:f>
        <x:v>-51.74</x:v>
      </x:c>
      <x:c r="N182" s="431" t="n">
        <x:f>IF(K182=0,"",1+COUNTIFS($A$19:$A$186,A182,$K$19:$K$186,"&gt;"&amp;K182))</x:f>
        <x:v>11</x:v>
      </x:c>
      <x:c r="O182" s="431" t="n">
        <x:f>IF(K182=0,"",1+COUNTIF($K$19:$K$186,"&gt;"&amp;K182))</x:f>
        <x:v>139</x:v>
      </x:c>
      <x:c r="P182" s="430" t="str">
        <x:f>IF(C182=0,"No specialisations recorded",IF(E182&gt;0,"Review missing level","Complete"))</x:f>
        <x:v>Complete</x:v>
      </x:c>
      <x:c r="Q182" s="434" t="str">
        <x:f>IF(COUNTIFS('Damage Ranking'!$B$6:$B$172,A182,'Damage Ranking'!$C$6:$C$172,B182)=0,"",SUMIFS('Damage Ranking'!$D$6:$D$172,'Damage Ranking'!$B$6:$B$172,A182,'Damage Ranking'!$C$6:$C$172,B182))</x:f>
      </x:c>
      <x:c r="R182" s="431" t="str">
        <x:f>IF(Q182="","",SUMIFS('Damage Ranking'!$A$6:$A$172,'Damage Ranking'!$B$6:$B$172,A182,'Damage Ranking'!$C$6:$C$172,B182))</x:f>
      </x:c>
      <x:c r="S182" s="431" t="str">
        <x:f>IF(OR(R182="",O182=""),"",R182-O182)</x:f>
      </x:c>
      <x:c r="T182" s="430" t="str">
        <x:f>IF(S182="","No damage score",IF(S182&gt;=20,"Badges much stronger",IF(S182&lt;=-20,"Damage much stronger","Broadly aligned")))</x:f>
        <x:v>No damage score</x:v>
      </x:c>
      <x:c r="U182" s="434" t="str">
        <x:f>IF(Q182="","",Q182*(1-$R$5)+L182*$R$5)</x:f>
      </x:c>
      <x:c r="V182" s="431" t="str">
        <x:f>IF(U182="","",1+COUNTIF($U$19:$U$186,"&gt;"&amp;U182))</x:f>
      </x:c>
    </x:row>
    <x:row r="183">
      <x:c r="A183" s="774" t="str">
        <x:v>K138</x:v>
      </x:c>
      <x:c r="B183" s="774" t="str">
        <x:v>(RaW)Leprechaun</x:v>
      </x:c>
      <x:c r="C183" s="789" t="n">
        <x:f>COUNTIFS('Specialisations'!$A$6:$A$527,A183,'Specialisations'!$B$6:$B$527,B183)</x:f>
        <x:v>2</x:v>
      </x:c>
      <x:c r="D183" s="789" t="n">
        <x:f>COUNTIFS('Specialisations'!$A$6:$A$527,A183,'Specialisations'!$B$6:$B$527,B183,'Specialisations'!$P$6:$P$527,"OK")</x:f>
        <x:v>2</x:v>
      </x:c>
      <x:c r="E183" s="789" t="n">
        <x:f>C183-D183</x:f>
        <x:v>0</x:v>
      </x:c>
      <x:c r="F183" s="782" t="n">
        <x:f>IF(C183=0,0,D183/C183)</x:f>
        <x:v>1</x:v>
      </x:c>
      <x:c r="G183" s="781" t="n">
        <x:f>SUMIFS('Specialisations'!$N$6:$N$527,'Specialisations'!$A$6:$A$527,A183,'Specialisations'!$B$6:$B$527,B183,'Specialisations'!$C$6:$C$527,"Guards")</x:f>
        <x:v>10334300</x:v>
      </x:c>
      <x:c r="H183" s="781" t="n">
        <x:f>SUMIFS('Specialisations'!$N$6:$N$527,'Specialisations'!$A$6:$A$527,A183,'Specialisations'!$B$6:$B$527,B183,'Specialisations'!$C$6:$C$527,"Archers")</x:f>
        <x:v>0</x:v>
      </x:c>
      <x:c r="I183" s="781" t="n">
        <x:f>SUMIFS('Specialisations'!$N$6:$N$527,'Specialisations'!$A$6:$A$527,A183,'Specialisations'!$B$6:$B$527,B183,'Specialisations'!$C$6:$C$527,"Cavalry")</x:f>
        <x:v>10334300</x:v>
      </x:c>
      <x:c r="J183" s="781" t="n">
        <x:f>SUMIFS('Specialisations'!$N$6:$N$527,'Specialisations'!$A$6:$A$527,A183,'Specialisations'!$B$6:$B$527,B183,'Specialisations'!$C$6:$C$527,"Siege")</x:f>
        <x:v>0</x:v>
      </x:c>
      <x:c r="K183" s="781" t="n">
        <x:f>SUM(G183:J183)</x:f>
        <x:v>20668600</x:v>
      </x:c>
      <x:c r="L183" s="783" t="n">
        <x:f>IFERROR(100*K183/MAX($K$19:$K$186),0)</x:f>
        <x:v>33.333333333333336</x:v>
      </x:c>
      <x:c r="M183" s="784" t="n">
        <x:f>IF(C183=0,"",SUMIFS('Specialisations'!$Q$6:$Q$527,'Specialisations'!$A$6:$A$527,A183,'Specialisations'!$B$6:$B$527,B183))</x:f>
        <x:v>0</x:v>
      </x:c>
      <x:c r="N183" s="789" t="n">
        <x:f>IF(K183=0,"",1+COUNTIFS($A$19:$A$186,A183,$K$19:$K$186,"&gt;"&amp;K183))</x:f>
        <x:v>4</x:v>
      </x:c>
      <x:c r="O183" s="789" t="n">
        <x:f>IF(K183=0,"",1+COUNTIF($K$19:$K$186,"&gt;"&amp;K183))</x:f>
        <x:v>29</x:v>
      </x:c>
      <x:c r="P183" s="772" t="str">
        <x:f>IF(C183=0,"No specialisations recorded",IF(E183&gt;0,"Review missing level","Complete"))</x:f>
        <x:v>Complete</x:v>
      </x:c>
      <x:c r="Q183" s="783" t="n">
        <x:f>IF(COUNTIFS('Damage Ranking'!$B$6:$B$172,A183,'Damage Ranking'!$C$6:$C$172,B183)=0,"",SUMIFS('Damage Ranking'!$D$6:$D$172,'Damage Ranking'!$B$6:$B$172,A183,'Damage Ranking'!$C$6:$C$172,B183))</x:f>
        <x:v>12.235156592408122</x:v>
      </x:c>
      <x:c r="R183" s="789" t="n">
        <x:f>IF(Q183="","",SUMIFS('Damage Ranking'!$A$6:$A$172,'Damage Ranking'!$B$6:$B$172,A183,'Damage Ranking'!$C$6:$C$172,B183))</x:f>
        <x:v>147</x:v>
      </x:c>
      <x:c r="S183" s="783" t="n">
        <x:f>IF(OR(R183="",O183=""),"",R183-O183)</x:f>
        <x:v>118</x:v>
      </x:c>
      <x:c r="T183" s="772" t="str">
        <x:f>IF(S183="","No damage score",IF(S183&gt;=20,"Badges much stronger",IF(S183&lt;=-20,"Damage much stronger","Broadly aligned")))</x:f>
        <x:v>Badges much stronger</x:v>
      </x:c>
      <x:c r="U183" s="783" t="n">
        <x:f>IF(Q183="","",Q183*(1-$R$5)+L183*$R$5)</x:f>
        <x:v>12.235156592408122</x:v>
      </x:c>
      <x:c r="V183" s="789" t="n">
        <x:f>IF(U183="","",1+COUNTIF($U$19:$U$186,"&gt;"&amp;U183))</x:f>
        <x:v>147</x:v>
      </x:c>
    </x:row>
    <x:row r="184">
      <x:c r="A184" s="771" t="str">
        <x:v>K138</x:v>
      </x:c>
      <x:c r="B184" s="771" t="str">
        <x:v>(RaW)༺TsuStark༻</x:v>
      </x:c>
      <x:c r="C184" s="789" t="n">
        <x:f>COUNTIFS('Specialisations'!$A$6:$A$527,A184,'Specialisations'!$B$6:$B$527,B184)</x:f>
        <x:v>2</x:v>
      </x:c>
      <x:c r="D184" s="789" t="n">
        <x:f>COUNTIFS('Specialisations'!$A$6:$A$527,A184,'Specialisations'!$B$6:$B$527,B184,'Specialisations'!$P$6:$P$527,"OK")</x:f>
        <x:v>2</x:v>
      </x:c>
      <x:c r="E184" s="789" t="n">
        <x:f>C184-D184</x:f>
        <x:v>0</x:v>
      </x:c>
      <x:c r="F184" s="782" t="n">
        <x:f>IF(C184=0,0,D184/C184)</x:f>
        <x:v>1</x:v>
      </x:c>
      <x:c r="G184" s="781" t="n">
        <x:f>SUMIFS('Specialisations'!$N$6:$N$527,'Specialisations'!$A$6:$A$527,A184,'Specialisations'!$B$6:$B$527,B184,'Specialisations'!$C$6:$C$527,"Guards")</x:f>
        <x:v>2844300</x:v>
      </x:c>
      <x:c r="H184" s="781" t="n">
        <x:f>SUMIFS('Specialisations'!$N$6:$N$527,'Specialisations'!$A$6:$A$527,A184,'Specialisations'!$B$6:$B$527,B184,'Specialisations'!$C$6:$C$527,"Archers")</x:f>
        <x:v>0</x:v>
      </x:c>
      <x:c r="I184" s="781" t="n">
        <x:f>SUMIFS('Specialisations'!$N$6:$N$527,'Specialisations'!$A$6:$A$527,A184,'Specialisations'!$B$6:$B$527,B184,'Specialisations'!$C$6:$C$527,"Cavalry")</x:f>
        <x:v>3724300</x:v>
      </x:c>
      <x:c r="J184" s="781" t="n">
        <x:f>SUMIFS('Specialisations'!$N$6:$N$527,'Specialisations'!$A$6:$A$527,A184,'Specialisations'!$B$6:$B$527,B184,'Specialisations'!$C$6:$C$527,"Siege")</x:f>
        <x:v>0</x:v>
      </x:c>
      <x:c r="K184" s="781" t="n">
        <x:f>SUM(G184:J184)</x:f>
        <x:v>6568600</x:v>
      </x:c>
      <x:c r="L184" s="783" t="n">
        <x:f>IFERROR(100*K184/MAX($K$19:$K$186),0)</x:f>
        <x:v>10.59352512184344</x:v>
      </x:c>
      <x:c r="M184" s="784" t="n">
        <x:f>IF(C184=0,"",SUMIFS('Specialisations'!$Q$6:$Q$527,'Specialisations'!$A$6:$A$527,A184,'Specialisations'!$B$6:$B$527,B184))</x:f>
        <x:v>6.799999999999997</x:v>
      </x:c>
      <x:c r="N184" s="789" t="n">
        <x:f>IF(K184=0,"",1+COUNTIFS($A$19:$A$186,A184,$K$19:$K$186,"&gt;"&amp;K184))</x:f>
        <x:v>24</x:v>
      </x:c>
      <x:c r="O184" s="789" t="n">
        <x:f>IF(K184=0,"",1+COUNTIF($K$19:$K$186,"&gt;"&amp;K184))</x:f>
        <x:v>144</x:v>
      </x:c>
      <x:c r="P184" s="772" t="str">
        <x:f>IF(C184=0,"No specialisations recorded",IF(E184&gt;0,"Review missing level","Complete"))</x:f>
        <x:v>Complete</x:v>
      </x:c>
      <x:c r="Q184" s="783" t="n">
        <x:f>IF(COUNTIFS('Damage Ranking'!$B$6:$B$172,A184,'Damage Ranking'!$C$6:$C$172,B184)=0,"",SUMIFS('Damage Ranking'!$D$6:$D$172,'Damage Ranking'!$B$6:$B$172,A184,'Damage Ranking'!$C$6:$C$172,B184))</x:f>
        <x:v>11.890411960187288</x:v>
      </x:c>
      <x:c r="R184" s="789" t="n">
        <x:f>IF(Q184="","",SUMIFS('Damage Ranking'!$A$6:$A$172,'Damage Ranking'!$B$6:$B$172,A184,'Damage Ranking'!$C$6:$C$172,B184))</x:f>
        <x:v>149</x:v>
      </x:c>
      <x:c r="S184" s="783" t="n">
        <x:f>IF(OR(R184="",O184=""),"",R184-O184)</x:f>
        <x:v>5</x:v>
      </x:c>
      <x:c r="T184" s="772" t="str">
        <x:f>IF(S184="","No damage score",IF(S184&gt;=20,"Badges much stronger",IF(S184&lt;=-20,"Damage much stronger","Broadly aligned")))</x:f>
        <x:v>Broadly aligned</x:v>
      </x:c>
      <x:c r="U184" s="783" t="n">
        <x:f>IF(Q184="","",Q184*(1-$R$5)+L184*$R$5)</x:f>
        <x:v>11.890411960187288</x:v>
      </x:c>
      <x:c r="V184" s="789" t="n">
        <x:f>IF(U184="","",1+COUNTIF($U$19:$U$186,"&gt;"&amp;U184))</x:f>
        <x:v>149</x:v>
      </x:c>
    </x:row>
    <x:row r="185">
      <x:c r="A185" s="774" t="str">
        <x:v>K138</x:v>
      </x:c>
      <x:c r="B185" s="774" t="str">
        <x:v>(RaW)ⓀⒶⓃⓃⓄⓃ</x:v>
      </x:c>
      <x:c r="C185" s="789" t="n">
        <x:f>COUNTIFS('Specialisations'!$A$6:$A$527,A185,'Specialisations'!$B$6:$B$527,B185)</x:f>
        <x:v>2</x:v>
      </x:c>
      <x:c r="D185" s="789" t="n">
        <x:f>COUNTIFS('Specialisations'!$A$6:$A$527,A185,'Specialisations'!$B$6:$B$527,B185,'Specialisations'!$P$6:$P$527,"OK")</x:f>
        <x:v>2</x:v>
      </x:c>
      <x:c r="E185" s="789" t="n">
        <x:f>C185-D185</x:f>
        <x:v>0</x:v>
      </x:c>
      <x:c r="F185" s="782" t="n">
        <x:f>IF(C185=0,0,D185/C185)</x:f>
        <x:v>1</x:v>
      </x:c>
      <x:c r="G185" s="781" t="n">
        <x:f>SUMIFS('Specialisations'!$N$6:$N$527,'Specialisations'!$A$6:$A$527,A185,'Specialisations'!$B$6:$B$527,B185,'Specialisations'!$C$6:$C$527,"Guards")</x:f>
        <x:v>2844300</x:v>
      </x:c>
      <x:c r="H185" s="781" t="n">
        <x:f>SUMIFS('Specialisations'!$N$6:$N$527,'Specialisations'!$A$6:$A$527,A185,'Specialisations'!$B$6:$B$527,B185,'Specialisations'!$C$6:$C$527,"Archers")</x:f>
        <x:v>0</x:v>
      </x:c>
      <x:c r="I185" s="781" t="n">
        <x:f>SUMIFS('Specialisations'!$N$6:$N$527,'Specialisations'!$A$6:$A$527,A185,'Specialisations'!$B$6:$B$527,B185,'Specialisations'!$C$6:$C$527,"Cavalry")</x:f>
        <x:v>5004300</x:v>
      </x:c>
      <x:c r="J185" s="781" t="n">
        <x:f>SUMIFS('Specialisations'!$N$6:$N$527,'Specialisations'!$A$6:$A$527,A185,'Specialisations'!$B$6:$B$527,B185,'Specialisations'!$C$6:$C$527,"Siege")</x:f>
        <x:v>0</x:v>
      </x:c>
      <x:c r="K185" s="781" t="n">
        <x:f>SUM(G185:J185)</x:f>
        <x:v>7848600</x:v>
      </x:c>
      <x:c r="L185" s="783" t="n">
        <x:f>IFERROR(100*K185/MAX($K$19:$K$186),0)</x:f>
        <x:v>12.657848136787203</x:v>
      </x:c>
      <x:c r="M185" s="784" t="n">
        <x:f>IF(C185=0,"",SUMIFS('Specialisations'!$Q$6:$Q$527,'Specialisations'!$A$6:$A$527,A185,'Specialisations'!$B$6:$B$527,B185))</x:f>
        <x:v>12</x:v>
      </x:c>
      <x:c r="N185" s="789" t="n">
        <x:f>IF(K185=0,"",1+COUNTIFS($A$19:$A$186,A185,$K$19:$K$186,"&gt;"&amp;K185))</x:f>
        <x:v>22</x:v>
      </x:c>
      <x:c r="O185" s="789" t="n">
        <x:f>IF(K185=0,"",1+COUNTIF($K$19:$K$186,"&gt;"&amp;K185))</x:f>
        <x:v>136</x:v>
      </x:c>
      <x:c r="P185" s="772" t="str">
        <x:f>IF(C185=0,"No specialisations recorded",IF(E185&gt;0,"Review missing level","Complete"))</x:f>
        <x:v>Complete</x:v>
      </x:c>
      <x:c r="Q185" s="783" t="n">
        <x:f>IF(COUNTIFS('Damage Ranking'!$B$6:$B$172,A185,'Damage Ranking'!$C$6:$C$172,B185)=0,"",SUMIFS('Damage Ranking'!$D$6:$D$172,'Damage Ranking'!$B$6:$B$172,A185,'Damage Ranking'!$C$6:$C$172,B185))</x:f>
        <x:v>12.68455790565887</x:v>
      </x:c>
      <x:c r="R185" s="789" t="n">
        <x:f>IF(Q185="","",SUMIFS('Damage Ranking'!$A$6:$A$172,'Damage Ranking'!$B$6:$B$172,A185,'Damage Ranking'!$C$6:$C$172,B185))</x:f>
        <x:v>145</x:v>
      </x:c>
      <x:c r="S185" s="783" t="n">
        <x:f>IF(OR(R185="",O185=""),"",R185-O185)</x:f>
        <x:v>9</x:v>
      </x:c>
      <x:c r="T185" s="772" t="str">
        <x:f>IF(S185="","No damage score",IF(S185&gt;=20,"Badges much stronger",IF(S185&lt;=-20,"Damage much stronger","Broadly aligned")))</x:f>
        <x:v>Broadly aligned</x:v>
      </x:c>
      <x:c r="U185" s="783" t="n">
        <x:f>IF(Q185="","",Q185*(1-$R$5)+L185*$R$5)</x:f>
        <x:v>12.68455790565887</x:v>
      </x:c>
      <x:c r="V185" s="789" t="n">
        <x:f>IF(U185="","",1+COUNTIF($U$19:$U$186,"&gt;"&amp;U185))</x:f>
        <x:v>145</x:v>
      </x:c>
    </x:row>
    <x:row r="186">
      <x:c r="A186" s="771" t="str">
        <x:v>K138</x:v>
      </x:c>
      <x:c r="B186" s="771" t="str">
        <x:v>(RaW)Des</x:v>
      </x:c>
      <x:c r="C186" s="789" t="n">
        <x:f>COUNTIFS('Specialisations'!$A$6:$A$527,A186,'Specialisations'!$B$6:$B$527,B186)</x:f>
        <x:v>2</x:v>
      </x:c>
      <x:c r="D186" s="789" t="n">
        <x:f>COUNTIFS('Specialisations'!$A$6:$A$527,A186,'Specialisations'!$B$6:$B$527,B186,'Specialisations'!$P$6:$P$527,"OK")</x:f>
        <x:v>2</x:v>
      </x:c>
      <x:c r="E186" s="789" t="n">
        <x:f>C186-D186</x:f>
        <x:v>0</x:v>
      </x:c>
      <x:c r="F186" s="782" t="n">
        <x:f>IF(C186=0,0,D186/C186)</x:f>
        <x:v>1</x:v>
      </x:c>
      <x:c r="G186" s="781" t="n">
        <x:f>SUMIFS('Specialisations'!$N$6:$N$527,'Specialisations'!$A$6:$A$527,A186,'Specialisations'!$B$6:$B$527,B186,'Specialisations'!$C$6:$C$527,"Guards")</x:f>
        <x:v>10334300</x:v>
      </x:c>
      <x:c r="H186" s="781" t="n">
        <x:f>SUMIFS('Specialisations'!$N$6:$N$527,'Specialisations'!$A$6:$A$527,A186,'Specialisations'!$B$6:$B$527,B186,'Specialisations'!$C$6:$C$527,"Archers")</x:f>
        <x:v>0</x:v>
      </x:c>
      <x:c r="I186" s="781" t="n">
        <x:f>SUMIFS('Specialisations'!$N$6:$N$527,'Specialisations'!$A$6:$A$527,A186,'Specialisations'!$B$6:$B$527,B186,'Specialisations'!$C$6:$C$527,"Cavalry")</x:f>
        <x:v>10334300</x:v>
      </x:c>
      <x:c r="J186" s="781" t="n">
        <x:f>SUMIFS('Specialisations'!$N$6:$N$527,'Specialisations'!$A$6:$A$527,A186,'Specialisations'!$B$6:$B$527,B186,'Specialisations'!$C$6:$C$527,"Siege")</x:f>
        <x:v>0</x:v>
      </x:c>
      <x:c r="K186" s="781" t="n">
        <x:f>SUM(G186:J186)</x:f>
        <x:v>20668600</x:v>
      </x:c>
      <x:c r="L186" s="783" t="n">
        <x:f>IFERROR(100*K186/MAX($K$19:$K$186),0)</x:f>
        <x:v>33.333333333333336</x:v>
      </x:c>
      <x:c r="M186" s="784" t="n">
        <x:f>IF(C186=0,"",SUMIFS('Specialisations'!$Q$6:$Q$527,'Specialisations'!$A$6:$A$527,A186,'Specialisations'!$B$6:$B$527,B186))</x:f>
        <x:v>0</x:v>
      </x:c>
      <x:c r="N186" s="789" t="n">
        <x:f>IF(K186=0,"",1+COUNTIFS($A$19:$A$186,A186,$K$19:$K$186,"&gt;"&amp;K186))</x:f>
        <x:v>4</x:v>
      </x:c>
      <x:c r="O186" s="789" t="n">
        <x:f>IF(K186=0,"",1+COUNTIF($K$19:$K$186,"&gt;"&amp;K186))</x:f>
        <x:v>29</x:v>
      </x:c>
      <x:c r="P186" s="772" t="str">
        <x:f>IF(C186=0,"No specialisations recorded",IF(E186&gt;0,"Review missing level","Complete"))</x:f>
        <x:v>Complete</x:v>
      </x:c>
      <x:c r="Q186" s="783" t="n">
        <x:f>IF(COUNTIFS('Damage Ranking'!$B$6:$B$172,A186,'Damage Ranking'!$C$6:$C$172,B186)=0,"",SUMIFS('Damage Ranking'!$D$6:$D$172,'Damage Ranking'!$B$6:$B$172,A186,'Damage Ranking'!$C$6:$C$172,B186))</x:f>
        <x:v>30.822453542201238</x:v>
      </x:c>
      <x:c r="R186" s="789" t="n">
        <x:f>IF(Q186="","",SUMIFS('Damage Ranking'!$A$6:$A$172,'Damage Ranking'!$B$6:$B$172,A186,'Damage Ranking'!$C$6:$C$172,B186))</x:f>
        <x:v>90</x:v>
      </x:c>
      <x:c r="S186" s="783" t="n">
        <x:f>IF(OR(R186="",O186=""),"",R186-O186)</x:f>
        <x:v>61</x:v>
      </x:c>
      <x:c r="T186" s="772" t="str">
        <x:f>IF(S186="","No damage score",IF(S186&gt;=20,"Badges much stronger",IF(S186&lt;=-20,"Damage much stronger","Broadly aligned")))</x:f>
        <x:v>Badges much stronger</x:v>
      </x:c>
      <x:c r="U186" s="783" t="n">
        <x:f>IF(Q186="","",Q186*(1-$R$5)+L186*$R$5)</x:f>
        <x:v>30.822453542201238</x:v>
      </x:c>
      <x:c r="V186" s="789" t="n">
        <x:f>IF(U186="","",1+COUNTIF($U$19:$U$186,"&gt;"&amp;U186))</x:f>
        <x:v>90</x:v>
      </x:c>
    </x:row>
  </x:sheetData>
  <x:mergeCells>
    <x:mergeCell ref="A1:V1"/>
    <x:mergeCell ref="A2:V2"/>
    <x:mergeCell ref="A4:O4"/>
    <x:mergeCell ref="A15:V15"/>
    <x:mergeCell ref="A16:V16"/>
    <x:mergeCell ref="Q4:V4"/>
    <x:mergeCell ref="S5:V5"/>
    <x:mergeCell ref="R6:V6"/>
    <x:mergeCell ref="R7:V7"/>
    <x:mergeCell ref="R8:V8"/>
  </x:mergeCells>
  <x:conditionalFormatting sqref="F19:F182">
    <x:cfRule type="cellIs" dxfId="8" priority="1" operator="lessThan">
      <x:formula>1</x:formula>
    </x:cfRule>
  </x:conditionalFormatting>
  <x:conditionalFormatting sqref="P19:P182">
    <x:cfRule type="containsText" dxfId="9" priority="2" operator="containsText" text="Review"/>
    <x:cfRule type="containsText" dxfId="10" priority="3" operator="containsText" text="No specialisations"/>
  </x:conditionalFormatting>
  <x:conditionalFormatting sqref="S19:S182">
    <x:cfRule type="cellIs" dxfId="11" priority="4" operator="greaterThan">
      <x:formula>0</x:formula>
    </x:cfRule>
    <x:cfRule type="cellIs" dxfId="12" priority="5" operator="lessThan">
      <x:formula>0</x:formula>
    </x:cfRule>
  </x:conditionalFormatting>
  <x:conditionalFormatting sqref="D6:D13">
    <x:cfRule type="colorScale" priority="6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G6:G13">
    <x:cfRule type="colorScale" priority="7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6a1897e10fd48e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7" hidden="0" customWidth="1"/>
    <x:col min="3" max="3" width="14" hidden="0" customWidth="1"/>
    <x:col min="4" max="4" width="12" hidden="0" customWidth="1"/>
    <x:col min="5" max="5" width="15" hidden="0" customWidth="1"/>
    <x:col min="6" max="6" width="15" hidden="0" customWidth="1"/>
    <x:col min="7" max="7" width="19" hidden="0" customWidth="1"/>
    <x:col min="8" max="8" width="15" hidden="0" customWidth="1"/>
    <x:col min="9" max="9" width="16" hidden="0" customWidth="1"/>
    <x:col min="10" max="10" width="15" hidden="0" customWidth="1"/>
    <x:col min="11" max="11" width="17" hidden="0" customWidth="1"/>
    <x:col min="12" max="12" width="16" hidden="0" customWidth="1"/>
    <x:col min="13" max="13" width="16" hidden="0" customWidth="1"/>
    <x:col min="14" max="14" width="18" hidden="0" customWidth="1"/>
    <x:col min="15" max="15" width="17" hidden="0" customWidth="1"/>
    <x:col min="16" max="16" width="18" hidden="0" customWidth="1"/>
    <x:col min="17" max="17" width="18" hidden="0" customWidth="1"/>
    <x:col min="18" max="18" width="18" hidden="0" customWidth="1"/>
    <x:col min="19" max="19" width="19" hidden="0" customWidth="1"/>
    <x:col min="20" max="20" width="17" hidden="0" customWidth="1"/>
    <x:col min="21" max="21" width="16" hidden="0" customWidth="1"/>
    <x:col min="22" max="22" width="18" hidden="0" customWidth="1"/>
    <x:col min="23" max="23" width="16" hidden="0" customWidth="1"/>
    <x:col min="24" max="24" width="16" hidden="0" customWidth="1"/>
    <x:col min="25" max="25" width="15" hidden="0" customWidth="1"/>
    <x:col min="26" max="26" width="15" hidden="0" customWidth="1"/>
    <x:col min="27" max="27" width="25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3" hidden="0" customWidth="1"/>
  </x:cols>
  <x:sheetData>
    <x:row r="1" ht="28" customHeight="1">
      <x:c r="A1" s="443" t="str">
        <x:v>Specialisation Damage &amp; Badge Impact</x:v>
      </x:c>
      <x:c r="B1" s="443"/>
      <x:c r="C1" s="443"/>
      <x:c r="D1" s="443"/>
      <x:c r="E1" s="443"/>
      <x:c r="F1" s="443"/>
      <x:c r="G1" s="443"/>
      <x:c r="H1" s="443"/>
      <x:c r="I1" s="443"/>
      <x:c r="J1" s="443"/>
      <x:c r="K1" s="443"/>
      <x:c r="L1" s="443"/>
      <x:c r="M1" s="443"/>
      <x:c r="N1" s="443"/>
      <x:c r="O1" s="443"/>
      <x:c r="P1" s="443"/>
      <x:c r="Q1" s="443"/>
      <x:c r="R1" s="443"/>
      <x:c r="S1" s="443"/>
      <x:c r="T1" s="443"/>
      <x:c r="U1" s="443"/>
      <x:c r="V1" s="443"/>
      <x:c r="W1" s="443"/>
      <x:c r="X1" s="443"/>
      <x:c r="Y1" s="443"/>
      <x:c r="Z1" s="443"/>
      <x:c r="AA1" s="443"/>
    </x:row>
    <x:row r="2" ht="40" customHeight="1">
      <x:c r="A2" s="446" t="str">
        <x:v>Per-player current-level lookup effects and cumulative badges. Level 50 contributes +60 damage for an offensive skill or -60 damage received for Guards. Specialist scores now use robust cross-player percentiles.</x:v>
      </x:c>
      <x:c r="B2" s="446"/>
      <x:c r="C2" s="446"/>
      <x:c r="D2" s="446"/>
      <x:c r="E2" s="446"/>
      <x:c r="F2" s="446"/>
      <x:c r="G2" s="446"/>
      <x:c r="H2" s="446"/>
      <x:c r="I2" s="446"/>
      <x:c r="J2" s="446"/>
      <x:c r="K2" s="446"/>
      <x:c r="L2" s="446"/>
      <x:c r="M2" s="446"/>
      <x:c r="N2" s="446"/>
      <x:c r="O2" s="446"/>
      <x:c r="P2" s="446"/>
      <x:c r="Q2" s="446"/>
      <x:c r="R2" s="446"/>
      <x:c r="S2" s="446"/>
      <x:c r="T2" s="446"/>
      <x:c r="U2" s="446"/>
      <x:c r="V2" s="446"/>
      <x:c r="W2" s="446"/>
      <x:c r="X2" s="446"/>
      <x:c r="Y2" s="446"/>
      <x:c r="Z2" s="446"/>
      <x:c r="AA2" s="446"/>
    </x:row>
    <x:row r="4">
      <x:c r="A4" s="459" t="str">
        <x:v>Kingdom specialisation comparison</x:v>
      </x:c>
      <x:c r="B4" s="459"/>
      <x:c r="C4" s="459"/>
      <x:c r="D4" s="459"/>
      <x:c r="E4" s="459"/>
      <x:c r="F4" s="459"/>
      <x:c r="G4" s="459"/>
      <x:c r="H4" s="459"/>
      <x:c r="I4" s="459"/>
      <x:c r="J4" s="459"/>
      <x:c r="K4" s="459"/>
      <x:c r="L4" s="459"/>
      <x:c r="M4" s="459"/>
      <x:c r="N4" s="459"/>
      <x:c r="O4" s="459"/>
      <x:c r="Q4" s="459" t="str">
        <x:v>Diagnostic weighting control</x:v>
      </x:c>
      <x:c r="R4" s="459"/>
      <x:c r="S4" s="459"/>
      <x:c r="T4" s="459"/>
      <x:c r="U4" s="459"/>
      <x:c r="V4" s="459"/>
      <x:c r="W4" s="459"/>
      <x:c r="X4" s="459"/>
      <x:c r="Y4" s="459"/>
      <x:c r="Z4" s="459"/>
      <x:c r="AA4" s="459"/>
    </x:row>
    <x:row r="5" ht="38" customHeight="1">
      <x:c r="A5" s="450" t="str">
        <x:v>Kingdom</x:v>
      </x:c>
      <x:c r="B5" s="450" t="str">
        <x:v>Castles</x:v>
      </x:c>
      <x:c r="C5" s="450" t="str">
        <x:v>Castles With Data</x:v>
      </x:c>
      <x:c r="D5" s="450" t="str">
        <x:v>Castle Coverage</x:v>
      </x:c>
      <x:c r="E5" s="450" t="str">
        <x:v>Skills Captured</x:v>
      </x:c>
      <x:c r="F5" s="450" t="str">
        <x:v>Valid Levels</x:v>
      </x:c>
      <x:c r="G5" s="450" t="str">
        <x:v>Total Badges</x:v>
      </x:c>
      <x:c r="H5" s="450" t="str">
        <x:v>Avg Badges</x:v>
      </x:c>
      <x:c r="I5" s="450" t="str">
        <x:v>Avg Offensive Damage</x:v>
      </x:c>
      <x:c r="J5" s="450" t="str">
        <x:v>Avg Guard Reduction</x:v>
      </x:c>
      <x:c r="K5" s="450" t="str">
        <x:v>Best Damage Score</x:v>
      </x:c>
      <x:c r="L5" s="450" t="str">
        <x:v>Top 5 Damage Avg</x:v>
      </x:c>
      <x:c r="M5" s="450" t="str">
        <x:v>Top 15 Damage Avg</x:v>
      </x:c>
      <x:c r="N5" s="450" t="str">
        <x:v>Best Tank Score</x:v>
      </x:c>
      <x:c r="O5" s="450" t="str">
        <x:v>Coverage Status</x:v>
      </x:c>
      <x:c r="Q5" s="413" t="str">
        <x:v>Effect weight</x:v>
      </x:c>
      <x:c r="R5" s="463" t="n">
        <x:v>0.8</x:v>
      </x:c>
      <x:c r="S5" s="362" t="str">
        <x:v>Recommended starting point: actual lookup effect drives most of the score</x:v>
      </x:c>
      <x:c r="T5" s="362"/>
      <x:c r="U5" s="362"/>
      <x:c r="V5" s="362"/>
      <x:c r="W5" s="362"/>
      <x:c r="X5" s="362"/>
      <x:c r="Y5" s="362"/>
      <x:c r="Z5" s="362"/>
      <x:c r="AA5" s="362"/>
    </x:row>
    <x:row r="6">
      <x:c r="A6" s="485" t="str">
        <x:v>K60</x:v>
      </x:c>
      <x:c r="B6" s="269" t="n">
        <x:f>COUNTIF($A$19:$A$186,A6)</x:f>
        <x:v>25</x:v>
      </x:c>
      <x:c r="C6" s="269" t="n">
        <x:f>COUNTIFS($A$19:$A$186,A6,$C$19:$C$186,"&gt;0")</x:f>
        <x:v>25</x:v>
      </x:c>
      <x:c r="D6" s="426" t="n">
        <x:f>IFERROR(C6/B6,0)</x:f>
        <x:v>1</x:v>
      </x:c>
      <x:c r="E6" s="269" t="n">
        <x:f>SUMIFS($C$19:$C$186,$A$19:$A$186,A6)</x:f>
        <x:v>100</x:v>
      </x:c>
      <x:c r="F6" s="269" t="n">
        <x:f>SUMIFS($D$19:$D$186,$A$19:$A$186,A6)</x:f>
        <x:v>99</x:v>
      </x:c>
      <x:c r="G6" s="427" t="n">
        <x:f>SUMIFS($O$19:$O$186,$A$19:$A$186,A6)</x:f>
        <x:v>372475700</x:v>
      </x:c>
      <x:c r="H6" s="427" t="n">
        <x:f>IFERROR(G6/C6,0)</x:f>
        <x:v>14899028</x:v>
      </x:c>
      <x:c r="I6" s="493" t="n">
        <x:f>IFERROR(SUMIFS($K$19:$K$186,$A$19:$A$186,A6)/C6,0)</x:f>
        <x:v>121.4156</x:v>
      </x:c>
      <x:c r="J6" s="493" t="n">
        <x:f>IFERROR(SUMIFS($G$19:$G$186,$A$19:$A$186,A6)/C6,0)</x:f>
        <x:v>-23.970000000000006</x:v>
      </x:c>
      <x:c r="K6" s="493" t="n">
        <x:f>IFERROR(SUMIFS($S$19:$S$186,$A$19:$A$186,A6,$W$19:$W$186,1)/COUNTIFS($A$19:$A$186,A6,$W$19:$W$186,1),0)</x:f>
        <x:v>97.92207792207792</x:v>
      </x:c>
      <x:c r="L6" s="493" t="n">
        <x:f>IFERROR(SUMIFS($S$19:$S$186,$A$19:$A$186,A6,$W$19:$W$186,"&lt;=5")/MIN(5,COUNTIFS($A$19:$A$186,A6,$S$19:$S$186,"&gt;0")),0)</x:f>
        <x:v>90.36363636363637</x:v>
      </x:c>
      <x:c r="M6" s="493" t="n">
        <x:f>IFERROR(SUMIFS($S$19:$S$186,$A$19:$A$186,A6,$W$19:$W$186,"&lt;=15")/MIN(15,COUNTIFS($A$19:$A$186,A6,$S$19:$S$186,"&gt;0")),0)</x:f>
        <x:v>76.72294372294373</x:v>
      </x:c>
      <x:c r="N6" s="493" t="n">
        <x:f>IFERROR(SUMIFS($V$19:$V$186,$A$19:$A$186,A6,$Y$19:$Y$186,1)/COUNTIFS($A$19:$A$186,A6,$Y$19:$Y$186,1),0)</x:f>
        <x:v>93.16239316239316</x:v>
      </x:c>
      <x:c r="O6" s="261" t="str">
        <x:f>IF(D6&lt;0.8,"Low castle coverage",IF(F6&lt;E6,"Missing level","OK"))</x:f>
        <x:v>Missing level</x:v>
      </x:c>
      <x:c r="Q6" s="413" t="str">
        <x:v>Badge weight</x:v>
      </x:c>
      <x:c r="R6" s="460" t="n">
        <x:f>1-R5</x:f>
        <x:v>0.19999999999999996</x:v>
      </x:c>
      <x:c r="S6" s="362" t="str">
        <x:v>Badge depth acts as an investment and breadth signal</x:v>
      </x:c>
      <x:c r="T6" s="362"/>
      <x:c r="U6" s="362"/>
      <x:c r="V6" s="362"/>
      <x:c r="W6" s="362"/>
      <x:c r="X6" s="362"/>
      <x:c r="Y6" s="362"/>
      <x:c r="Z6" s="362"/>
      <x:c r="AA6" s="362"/>
    </x:row>
    <x:row r="7">
      <x:c r="A7" s="486" t="str">
        <x:v>K91</x:v>
      </x:c>
      <x:c r="B7" s="269" t="n">
        <x:f>COUNTIF($A$19:$A$186,A7)</x:f>
        <x:v>20</x:v>
      </x:c>
      <x:c r="C7" s="269" t="n">
        <x:f>COUNTIFS($A$19:$A$186,A7,$C$19:$C$186,"&gt;0")</x:f>
        <x:v>20</x:v>
      </x:c>
      <x:c r="D7" s="426" t="n">
        <x:f>IFERROR(C7/B7,0)</x:f>
        <x:v>1</x:v>
      </x:c>
      <x:c r="E7" s="269" t="n">
        <x:f>SUMIFS($C$19:$C$186,$A$19:$A$186,A7)</x:f>
        <x:v>63</x:v>
      </x:c>
      <x:c r="F7" s="269" t="n">
        <x:f>SUMIFS($D$19:$D$186,$A$19:$A$186,A7)</x:f>
        <x:v>63</x:v>
      </x:c>
      <x:c r="G7" s="427" t="n">
        <x:f>SUMIFS($O$19:$O$186,$A$19:$A$186,A7)</x:f>
        <x:v>258965900</x:v>
      </x:c>
      <x:c r="H7" s="427" t="n">
        <x:f>IFERROR(G7/C7,0)</x:f>
        <x:v>12948295</x:v>
      </x:c>
      <x:c r="I7" s="493" t="n">
        <x:f>IFERROR(SUMIFS($K$19:$K$186,$A$19:$A$186,A7)/C7,0)</x:f>
        <x:v>88.7275</x:v>
      </x:c>
      <x:c r="J7" s="493" t="n">
        <x:f>IFERROR(SUMIFS($G$19:$G$186,$A$19:$A$186,A7)/C7,0)</x:f>
        <x:v>-14.228499999999997</x:v>
      </x:c>
      <x:c r="K7" s="493" t="n">
        <x:f>IFERROR(SUMIFS($S$19:$S$186,$A$19:$A$186,A7,$W$19:$W$186,1)/COUNTIFS($A$19:$A$186,A7,$W$19:$W$186,1),0)</x:f>
        <x:v>95.32467532467531</x:v>
      </x:c>
      <x:c r="L7" s="493" t="n">
        <x:f>IFERROR(SUMIFS($S$19:$S$186,$A$19:$A$186,A7,$W$19:$W$186,"&lt;=5")/MIN(5,COUNTIFS($A$19:$A$186,A7,$S$19:$S$186,"&gt;0")),0)</x:f>
        <x:v>77.32467532467533</x:v>
      </x:c>
      <x:c r="M7" s="493" t="n">
        <x:f>IFERROR(SUMIFS($S$19:$S$186,$A$19:$A$186,A7,$W$19:$W$186,"&lt;=15")/MIN(15,COUNTIFS($A$19:$A$186,A7,$S$19:$S$186,"&gt;0")),0)</x:f>
        <x:v>54.65367965367965</x:v>
      </x:c>
      <x:c r="N7" s="493" t="n">
        <x:f>IFERROR(SUMIFS($V$19:$V$186,$A$19:$A$186,A7,$Y$19:$Y$186,1)/COUNTIFS($A$19:$A$186,A7,$Y$19:$Y$186,1),0)</x:f>
        <x:v>43.58974358974359</x:v>
      </x:c>
      <x:c r="O7" s="261" t="str">
        <x:f>IF(D7&lt;0.8,"Low castle coverage",IF(F7&lt;E7,"Missing level","OK"))</x:f>
        <x:v>OK</x:v>
      </x:c>
      <x:c r="Q7" s="413" t="str">
        <x:v>Damage score</x:v>
      </x:c>
      <x:c r="R7" s="362" t="str">
        <x:v>80% offensive effect percentile + 20% offensive badge percentile</x:v>
      </x:c>
      <x:c r="S7" s="362"/>
      <x:c r="T7" s="362"/>
      <x:c r="U7" s="362"/>
      <x:c r="V7" s="362"/>
      <x:c r="W7" s="362"/>
      <x:c r="X7" s="362"/>
      <x:c r="Y7" s="362"/>
      <x:c r="Z7" s="362"/>
      <x:c r="AA7" s="362"/>
    </x:row>
    <x:row r="8">
      <x:c r="A8" s="487" t="str">
        <x:v>K116</x:v>
      </x:c>
      <x:c r="B8" s="269" t="n">
        <x:f>COUNTIF($A$19:$A$186,A8)</x:f>
        <x:v>20</x:v>
      </x:c>
      <x:c r="C8" s="269" t="n">
        <x:f>COUNTIFS($A$19:$A$186,A8,$C$19:$C$186,"&gt;0")</x:f>
        <x:v>15</x:v>
      </x:c>
      <x:c r="D8" s="426" t="n">
        <x:f>IFERROR(C8/B8,0)</x:f>
        <x:v>0.75</x:v>
      </x:c>
      <x:c r="E8" s="269" t="n">
        <x:f>SUMIFS($C$19:$C$186,$A$19:$A$186,A8)</x:f>
        <x:v>51</x:v>
      </x:c>
      <x:c r="F8" s="269" t="n">
        <x:f>SUMIFS($D$19:$D$186,$A$19:$A$186,A8)</x:f>
        <x:v>51</x:v>
      </x:c>
      <x:c r="G8" s="427" t="n">
        <x:f>SUMIFS($O$19:$O$186,$A$19:$A$186,A8)</x:f>
        <x:v>194979300</x:v>
      </x:c>
      <x:c r="H8" s="427" t="n">
        <x:f>IFERROR(G8/C8,0)</x:f>
        <x:v>12998620</x:v>
      </x:c>
      <x:c r="I8" s="493" t="n">
        <x:f>IFERROR(SUMIFS($K$19:$K$186,$A$19:$A$186,A8)/C8,0)</x:f>
        <x:v>74.55266666666667</x:v>
      </x:c>
      <x:c r="J8" s="493" t="n">
        <x:f>IFERROR(SUMIFS($G$19:$G$186,$A$19:$A$186,A8)/C8,0)</x:f>
        <x:v>-40.51</x:v>
      </x:c>
      <x:c r="K8" s="493" t="n">
        <x:f>IFERROR(SUMIFS($S$19:$S$186,$A$19:$A$186,A8,$W$19:$W$186,1)/COUNTIFS($A$19:$A$186,A8,$W$19:$W$186,1),0)</x:f>
        <x:v>91.68831168831169</x:v>
      </x:c>
      <x:c r="L8" s="493" t="n">
        <x:f>IFERROR(SUMIFS($S$19:$S$186,$A$19:$A$186,A8,$W$19:$W$186,"&lt;=5")/MIN(5,COUNTIFS($A$19:$A$186,A8,$S$19:$S$186,"&gt;0")),0)</x:f>
        <x:v>74.0909090909091</x:v>
      </x:c>
      <x:c r="M8" s="493" t="n">
        <x:f>IFERROR(SUMIFS($S$19:$S$186,$A$19:$A$186,A8,$W$19:$W$186,"&lt;=15")/MIN(15,COUNTIFS($A$19:$A$186,A8,$S$19:$S$186,"&gt;0")),0)</x:f>
        <x:v>45.11363636363637</x:v>
      </x:c>
      <x:c r="N8" s="493" t="n">
        <x:f>IFERROR(SUMIFS($V$19:$V$186,$A$19:$A$186,A8,$Y$19:$Y$186,1)/COUNTIFS($A$19:$A$186,A8,$Y$19:$Y$186,1),0)</x:f>
        <x:v>93.16239316239316</x:v>
      </x:c>
      <x:c r="O8" s="261" t="str">
        <x:f>IF(D8&lt;0.8,"Low castle coverage",IF(F8&lt;E8,"Missing level","OK"))</x:f>
        <x:v>Low castle coverage</x:v>
      </x:c>
      <x:c r="Q8" s="413" t="str">
        <x:v>Tank score</x:v>
      </x:c>
      <x:c r="R8" s="362" t="str">
        <x:v>80% Guard reduction percentile + 20% Guard badge percentile</x:v>
      </x:c>
      <x:c r="S8" s="362"/>
      <x:c r="T8" s="362"/>
      <x:c r="U8" s="362"/>
      <x:c r="V8" s="362"/>
      <x:c r="W8" s="362"/>
      <x:c r="X8" s="362"/>
      <x:c r="Y8" s="362"/>
      <x:c r="Z8" s="362"/>
      <x:c r="AA8" s="362"/>
    </x:row>
    <x:row r="9">
      <x:c r="A9" s="488" t="str">
        <x:v>K138</x:v>
      </x:c>
      <x:c r="B9" s="269" t="n">
        <x:f>COUNTIF($A$19:$A$186,A9)</x:f>
        <x:v>27</x:v>
      </x:c>
      <x:c r="C9" s="269" t="n">
        <x:f>COUNTIFS($A$19:$A$186,A9,$C$19:$C$186,"&gt;0")</x:f>
        <x:v>26</x:v>
      </x:c>
      <x:c r="D9" s="426" t="n">
        <x:f>IFERROR(C9/B9,0)</x:f>
        <x:v>0.9629629629629629</x:v>
      </x:c>
      <x:c r="E9" s="269" t="n">
        <x:f>SUMIFS($C$19:$C$186,$A$19:$A$186,A9)</x:f>
        <x:v>79</x:v>
      </x:c>
      <x:c r="F9" s="269" t="n">
        <x:f>SUMIFS($D$19:$D$186,$A$19:$A$186,A9)</x:f>
        <x:v>79</x:v>
      </x:c>
      <x:c r="G9" s="427" t="n">
        <x:f>SUMIFS($O$19:$O$186,$A$19:$A$186,A9)</x:f>
        <x:v>354604700</x:v>
      </x:c>
      <x:c r="H9" s="427" t="n">
        <x:f>IFERROR(G9/C9,0)</x:f>
        <x:v>13638642.307692308</x:v>
      </x:c>
      <x:c r="I9" s="493" t="n">
        <x:f>IFERROR(SUMIFS($K$19:$K$186,$A$19:$A$186,A9)/C9,0)</x:f>
        <x:v>77.5426923076923</x:v>
      </x:c>
      <x:c r="J9" s="493" t="n">
        <x:f>IFERROR(SUMIFS($G$19:$G$186,$A$19:$A$186,A9)/C9,0)</x:f>
        <x:v>-37.21615384615385</x:v>
      </x:c>
      <x:c r="K9" s="493" t="n">
        <x:f>IFERROR(SUMIFS($S$19:$S$186,$A$19:$A$186,A9,$W$19:$W$186,1)/COUNTIFS($A$19:$A$186,A9,$W$19:$W$186,1),0)</x:f>
        <x:v>92.98701298701299</x:v>
      </x:c>
      <x:c r="L9" s="493" t="n">
        <x:f>IFERROR(SUMIFS($S$19:$S$186,$A$19:$A$186,A9,$W$19:$W$186,"&lt;=5")/MIN(5,COUNTIFS($A$19:$A$186,A9,$S$19:$S$186,"&gt;0")),0)</x:f>
        <x:v>86.03896103896105</x:v>
      </x:c>
      <x:c r="M9" s="493" t="n">
        <x:f>IFERROR(SUMIFS($S$19:$S$186,$A$19:$A$186,A9,$W$19:$W$186,"&lt;=15")/MIN(15,COUNTIFS($A$19:$A$186,A9,$S$19:$S$186,"&gt;0")),0)</x:f>
        <x:v>57.168831168831154</x:v>
      </x:c>
      <x:c r="N9" s="493" t="n">
        <x:f>IFERROR(SUMIFS($V$19:$V$186,$A$19:$A$186,A9,$Y$19:$Y$186,1)/COUNTIFS($A$19:$A$186,A9,$Y$19:$Y$186,1),0)</x:f>
        <x:v>93.16239316239317</x:v>
      </x:c>
      <x:c r="O9" s="261" t="str">
        <x:f>IF(D9&lt;0.8,"Low castle coverage",IF(F9&lt;E9,"Missing level","OK"))</x:f>
        <x:v>OK</x:v>
      </x:c>
      <x:c r="Q9" s="413" t="str">
        <x:v>Current status</x:v>
      </x:c>
      <x:c r="R9" s="362" t="str">
        <x:v>Feeds Specialisation Scenarios; the original Overall Strength tab remains the baseline</x:v>
      </x:c>
      <x:c r="S9" s="362"/>
      <x:c r="T9" s="362"/>
      <x:c r="U9" s="362"/>
      <x:c r="V9" s="362"/>
      <x:c r="W9" s="362"/>
      <x:c r="X9" s="362"/>
      <x:c r="Y9" s="362"/>
      <x:c r="Z9" s="362"/>
      <x:c r="AA9" s="362"/>
    </x:row>
    <x:row r="10">
      <x:c r="A10" s="489" t="str">
        <x:v>K170</x:v>
      </x:c>
      <x:c r="B10" s="269" t="n">
        <x:f>COUNTIF($A$19:$A$186,A10)</x:f>
        <x:v>23</x:v>
      </x:c>
      <x:c r="C10" s="269" t="n">
        <x:f>COUNTIFS($A$19:$A$186,A10,$C$19:$C$186,"&gt;0")</x:f>
        <x:v>21</x:v>
      </x:c>
      <x:c r="D10" s="426" t="n">
        <x:f>IFERROR(C10/B10,0)</x:f>
        <x:v>0.9130434782608695</x:v>
      </x:c>
      <x:c r="E10" s="269" t="n">
        <x:f>SUMIFS($C$19:$C$186,$A$19:$A$186,A10)</x:f>
        <x:v>75</x:v>
      </x:c>
      <x:c r="F10" s="269" t="n">
        <x:f>SUMIFS($D$19:$D$186,$A$19:$A$186,A10)</x:f>
        <x:v>75</x:v>
      </x:c>
      <x:c r="G10" s="427" t="n">
        <x:f>SUMIFS($O$19:$O$186,$A$19:$A$186,A10)</x:f>
        <x:v>308636200</x:v>
      </x:c>
      <x:c r="H10" s="427" t="n">
        <x:f>IFERROR(G10/C10,0)</x:f>
        <x:v>14696961.904761905</x:v>
      </x:c>
      <x:c r="I10" s="493" t="n">
        <x:f>IFERROR(SUMIFS($K$19:$K$186,$A$19:$A$186,A10)/C10,0)</x:f>
        <x:v>92.04190476190476</x:v>
      </x:c>
      <x:c r="J10" s="493" t="n">
        <x:f>IFERROR(SUMIFS($G$19:$G$186,$A$19:$A$186,A10)/C10,0)</x:f>
        <x:v>-35.56714285714286</x:v>
      </x:c>
      <x:c r="K10" s="493" t="n">
        <x:f>IFERROR(SUMIFS($S$19:$S$186,$A$19:$A$186,A10,$W$19:$W$186,1)/COUNTIFS($A$19:$A$186,A10,$W$19:$W$186,1),0)</x:f>
        <x:v>91.03896103896105</x:v>
      </x:c>
      <x:c r="L10" s="493" t="n">
        <x:f>IFERROR(SUMIFS($S$19:$S$186,$A$19:$A$186,A10,$W$19:$W$186,"&lt;=5")/MIN(5,COUNTIFS($A$19:$A$186,A10,$S$19:$S$186,"&gt;0")),0)</x:f>
        <x:v>79.76623376623377</x:v>
      </x:c>
      <x:c r="M10" s="493" t="n">
        <x:f>IFERROR(SUMIFS($S$19:$S$186,$A$19:$A$186,A10,$W$19:$W$186,"&lt;=15")/MIN(15,COUNTIFS($A$19:$A$186,A10,$S$19:$S$186,"&gt;0")),0)</x:f>
        <x:v>59.75324675324675</x:v>
      </x:c>
      <x:c r="N10" s="493" t="n">
        <x:f>IFERROR(SUMIFS($V$19:$V$186,$A$19:$A$186,A10,$Y$19:$Y$186,1)/COUNTIFS($A$19:$A$186,A10,$Y$19:$Y$186,1),0)</x:f>
        <x:v>93.16239316239316</x:v>
      </x:c>
      <x:c r="O10" s="261" t="str">
        <x:f>IF(D10&lt;0.8,"Low castle coverage",IF(F10&lt;E10,"Missing level","OK"))</x:f>
        <x:v>OK</x:v>
      </x:c>
    </x:row>
    <x:row r="11">
      <x:c r="A11" s="490" t="str">
        <x:v>K54</x:v>
      </x:c>
      <x:c r="B11" s="269" t="n">
        <x:f>COUNTIF($A$19:$A$186,A11)</x:f>
        <x:v>12</x:v>
      </x:c>
      <x:c r="C11" s="269" t="n">
        <x:f>COUNTIFS($A$19:$A$186,A11,$C$19:$C$186,"&gt;0")</x:f>
        <x:v>12</x:v>
      </x:c>
      <x:c r="D11" s="426" t="n">
        <x:f>IFERROR(C11/B11,0)</x:f>
        <x:v>1</x:v>
      </x:c>
      <x:c r="E11" s="269" t="n">
        <x:f>SUMIFS($C$19:$C$186,$A$19:$A$186,A11)</x:f>
        <x:v>38</x:v>
      </x:c>
      <x:c r="F11" s="269" t="n">
        <x:f>SUMIFS($D$19:$D$186,$A$19:$A$186,A11)</x:f>
        <x:v>38</x:v>
      </x:c>
      <x:c r="G11" s="427" t="n">
        <x:f>SUMIFS($O$19:$O$186,$A$19:$A$186,A11)</x:f>
        <x:v>205733400</x:v>
      </x:c>
      <x:c r="H11" s="427" t="n">
        <x:f>IFERROR(G11/C11,0)</x:f>
        <x:v>17144450</x:v>
      </x:c>
      <x:c r="I11" s="493" t="n">
        <x:f>IFERROR(SUMIFS($K$19:$K$186,$A$19:$A$186,A11)/C11,0)</x:f>
        <x:v>126.83583333333333</x:v>
      </x:c>
      <x:c r="J11" s="493" t="n">
        <x:f>IFERROR(SUMIFS($G$19:$G$186,$A$19:$A$186,A11)/C11,0)</x:f>
        <x:v>-9.311666666666667</x:v>
      </x:c>
      <x:c r="K11" s="493" t="n">
        <x:f>IFERROR(SUMIFS($S$19:$S$186,$A$19:$A$186,A11,$W$19:$W$186,1)/COUNTIFS($A$19:$A$186,A11,$W$19:$W$186,1),0)</x:f>
        <x:v>99.35064935064935</x:v>
      </x:c>
      <x:c r="L11" s="493" t="n">
        <x:f>IFERROR(SUMIFS($S$19:$S$186,$A$19:$A$186,A11,$W$19:$W$186,"&lt;=5")/MIN(5,COUNTIFS($A$19:$A$186,A11,$S$19:$S$186,"&gt;0")),0)</x:f>
        <x:v>93.40259740259741</x:v>
      </x:c>
      <x:c r="M11" s="493" t="n">
        <x:f>IFERROR(SUMIFS($S$19:$S$186,$A$19:$A$186,A11,$W$19:$W$186,"&lt;=15")/MIN(15,COUNTIFS($A$19:$A$186,A11,$S$19:$S$186,"&gt;0")),0)</x:f>
        <x:v>68.48288075560804</x:v>
      </x:c>
      <x:c r="N11" s="493" t="n">
        <x:f>IFERROR(SUMIFS($V$19:$V$186,$A$19:$A$186,A11,$Y$19:$Y$186,1)/COUNTIFS($A$19:$A$186,A11,$Y$19:$Y$186,1),0)</x:f>
        <x:v>93.16239316239316</x:v>
      </x:c>
      <x:c r="O11" s="261" t="str">
        <x:f>IF(D11&lt;0.8,"Low castle coverage",IF(F11&lt;E11,"Missing level","OK"))</x:f>
        <x:v>OK</x:v>
      </x:c>
    </x:row>
    <x:row r="12">
      <x:c r="A12" s="491" t="str">
        <x:v>K197</x:v>
      </x:c>
      <x:c r="B12" s="269" t="n">
        <x:f>COUNTIF($A$19:$A$186,A12)</x:f>
        <x:v>19</x:v>
      </x:c>
      <x:c r="C12" s="269" t="n">
        <x:f>COUNTIFS($A$19:$A$186,A12,$C$19:$C$186,"&gt;0")</x:f>
        <x:v>19</x:v>
      </x:c>
      <x:c r="D12" s="426" t="n">
        <x:f>IFERROR(C12/B12,0)</x:f>
        <x:v>1</x:v>
      </x:c>
      <x:c r="E12" s="269" t="n">
        <x:f>SUMIFS($C$19:$C$186,$A$19:$A$186,A12)</x:f>
        <x:v>36</x:v>
      </x:c>
      <x:c r="F12" s="269" t="n">
        <x:f>SUMIFS($D$19:$D$186,$A$19:$A$186,A12)</x:f>
        <x:v>35</x:v>
      </x:c>
      <x:c r="G12" s="427" t="n">
        <x:f>SUMIFS($O$19:$O$186,$A$19:$A$186,A12)</x:f>
        <x:v>281690500</x:v>
      </x:c>
      <x:c r="H12" s="427" t="n">
        <x:f>IFERROR(G12/C12,0)</x:f>
        <x:v>14825815.789473685</x:v>
      </x:c>
      <x:c r="I12" s="493" t="n">
        <x:f>IFERROR(SUMIFS($K$19:$K$186,$A$19:$A$186,A12)/C12,0)</x:f>
        <x:v>84.44473684210527</x:v>
      </x:c>
      <x:c r="J12" s="493" t="n">
        <x:f>IFERROR(SUMIFS($G$19:$G$186,$A$19:$A$186,A12)/C12,0)</x:f>
        <x:v>-9.266842105263157</x:v>
      </x:c>
      <x:c r="K12" s="493" t="n">
        <x:f>IFERROR(SUMIFS($S$19:$S$186,$A$19:$A$186,A12,$W$19:$W$186,1)/COUNTIFS($A$19:$A$186,A12,$W$19:$W$186,1),0)</x:f>
        <x:v>100</x:v>
      </x:c>
      <x:c r="L12" s="493" t="n">
        <x:f>IFERROR(SUMIFS($S$19:$S$186,$A$19:$A$186,A12,$W$19:$W$186,"&lt;=5")/MIN(5,COUNTIFS($A$19:$A$186,A12,$S$19:$S$186,"&gt;0")),0)</x:f>
        <x:v>76.33766233766235</x:v>
      </x:c>
      <x:c r="M12" s="493" t="n">
        <x:f>IFERROR(SUMIFS($S$19:$S$186,$A$19:$A$186,A12,$W$19:$W$186,"&lt;=15")/MIN(15,COUNTIFS($A$19:$A$186,A12,$S$19:$S$186,"&gt;0")),0)</x:f>
        <x:v>44.29437229437229</x:v>
      </x:c>
      <x:c r="N12" s="493" t="n">
        <x:f>IFERROR(SUMIFS($V$19:$V$186,$A$19:$A$186,A12,$Y$19:$Y$186,1)/COUNTIFS($A$19:$A$186,A12,$Y$19:$Y$186,1),0)</x:f>
        <x:v>93.16239316239316</x:v>
      </x:c>
      <x:c r="O12" s="261" t="str">
        <x:f>IF(D12&lt;0.8,"Low castle coverage",IF(F12&lt;E12,"Missing level","OK"))</x:f>
        <x:v>Missing level</x:v>
      </x:c>
    </x:row>
    <x:row r="13">
      <x:c r="A13" s="492" t="str">
        <x:v>K176</x:v>
      </x:c>
      <x:c r="B13" s="269" t="n">
        <x:f>COUNTIF($A$19:$A$186,A13)</x:f>
        <x:v>22</x:v>
      </x:c>
      <x:c r="C13" s="269" t="n">
        <x:f>COUNTIFS($A$19:$A$186,A13,$C$19:$C$186,"&gt;0")</x:f>
        <x:v>20</x:v>
      </x:c>
      <x:c r="D13" s="426" t="n">
        <x:f>IFERROR(C13/B13,0)</x:f>
        <x:v>0.9090909090909091</x:v>
      </x:c>
      <x:c r="E13" s="269" t="n">
        <x:f>SUMIFS($C$19:$C$186,$A$19:$A$186,A13)</x:f>
        <x:v>80</x:v>
      </x:c>
      <x:c r="F13" s="269" t="n">
        <x:f>SUMIFS($D$19:$D$186,$A$19:$A$186,A13)</x:f>
        <x:v>80</x:v>
      </x:c>
      <x:c r="G13" s="427" t="n">
        <x:f>SUMIFS($O$19:$O$186,$A$19:$A$186,A13)</x:f>
        <x:v>366016500</x:v>
      </x:c>
      <x:c r="H13" s="427" t="n">
        <x:f>IFERROR(G13/C13,0)</x:f>
        <x:v>18300825</x:v>
      </x:c>
      <x:c r="I13" s="493" t="n">
        <x:f>IFERROR(SUMIFS($K$19:$K$186,$A$19:$A$186,A13)/C13,0)</x:f>
        <x:v>117.13400000000004</x:v>
      </x:c>
      <x:c r="J13" s="493" t="n">
        <x:f>IFERROR(SUMIFS($G$19:$G$186,$A$19:$A$186,A13)/C13,0)</x:f>
        <x:v>-40.0095</x:v>
      </x:c>
      <x:c r="K13" s="493" t="n">
        <x:f>IFERROR(SUMIFS($S$19:$S$186,$A$19:$A$186,A13,$W$19:$W$186,1)/COUNTIFS($A$19:$A$186,A13,$W$19:$W$186,1),0)</x:f>
        <x:v>96.75324675324676</x:v>
      </x:c>
      <x:c r="L13" s="493" t="n">
        <x:f>IFERROR(SUMIFS($S$19:$S$186,$A$19:$A$186,A13,$W$19:$W$186,"&lt;=5")/MIN(5,COUNTIFS($A$19:$A$186,A13,$S$19:$S$186,"&gt;0")),0)</x:f>
        <x:v>88.23376623376625</x:v>
      </x:c>
      <x:c r="M13" s="493" t="n">
        <x:f>IFERROR(SUMIFS($S$19:$S$186,$A$19:$A$186,A13,$W$19:$W$186,"&lt;=15")/MIN(15,COUNTIFS($A$19:$A$186,A13,$S$19:$S$186,"&gt;0")),0)</x:f>
        <x:v>75.3982683982684</x:v>
      </x:c>
      <x:c r="N13" s="493" t="n">
        <x:f>IFERROR(SUMIFS($V$19:$V$186,$A$19:$A$186,A13,$Y$19:$Y$186,1)/COUNTIFS($A$19:$A$186,A13,$Y$19:$Y$186,1),0)</x:f>
        <x:v>93.16239316239316</x:v>
      </x:c>
      <x:c r="O13" s="261" t="str">
        <x:f>IF(D13&lt;0.8,"Low castle coverage",IF(F13&lt;E13,"Missing level","OK"))</x:f>
        <x:v>OK</x:v>
      </x:c>
    </x:row>
    <x:row r="15">
      <x:c r="A15" s="465" t="str">
        <x:v>Player specialisation detail</x:v>
      </x:c>
      <x:c r="B15" s="465"/>
      <x:c r="C15" s="465"/>
      <x:c r="D15" s="465"/>
      <x:c r="E15" s="465"/>
      <x:c r="F15" s="465"/>
      <x:c r="G15" s="465"/>
      <x:c r="H15" s="465"/>
      <x:c r="I15" s="465"/>
      <x:c r="J15" s="465"/>
      <x:c r="K15" s="465"/>
      <x:c r="L15" s="465"/>
      <x:c r="M15" s="465"/>
      <x:c r="N15" s="465"/>
      <x:c r="O15" s="465"/>
      <x:c r="P15" s="465"/>
      <x:c r="Q15" s="465"/>
      <x:c r="R15" s="465"/>
      <x:c r="S15" s="465"/>
      <x:c r="T15" s="465"/>
      <x:c r="U15" s="465"/>
      <x:c r="V15" s="465"/>
      <x:c r="W15" s="465"/>
      <x:c r="X15" s="465"/>
      <x:c r="Y15" s="465"/>
      <x:c r="Z15" s="465"/>
      <x:c r="AA15" s="465"/>
    </x:row>
    <x:row r="16" ht="34" customHeight="1">
      <x:c r="A16" s="468" t="str">
        <x:v>Offensive Damage adds distinct recorded Archer, Cavalry and Siege subtype skills. Guard Damage Received is negative. Signed Net is a display aid only—not a single battlefield multiplier. Missing or unopened skills are not estimated.</x:v>
      </x:c>
      <x:c r="B16" s="468"/>
      <x:c r="C16" s="468"/>
      <x:c r="D16" s="468"/>
      <x:c r="E16" s="468"/>
      <x:c r="F16" s="468"/>
      <x:c r="G16" s="468"/>
      <x:c r="H16" s="468"/>
      <x:c r="I16" s="468"/>
      <x:c r="J16" s="468"/>
      <x:c r="K16" s="468"/>
      <x:c r="L16" s="468"/>
      <x:c r="M16" s="468"/>
      <x:c r="N16" s="468"/>
      <x:c r="O16" s="468"/>
      <x:c r="P16" s="468"/>
      <x:c r="Q16" s="468"/>
      <x:c r="R16" s="468"/>
      <x:c r="S16" s="468"/>
      <x:c r="T16" s="468"/>
      <x:c r="U16" s="468"/>
      <x:c r="V16" s="468"/>
      <x:c r="W16" s="468"/>
      <x:c r="X16" s="468"/>
      <x:c r="Y16" s="468"/>
      <x:c r="Z16" s="468"/>
      <x:c r="AA16" s="468"/>
    </x:row>
    <x:row r="18" ht="44" customHeight="1">
      <x:c r="A18" s="450" t="str">
        <x:v>Server</x:v>
      </x:c>
      <x:c r="B18" s="450" t="str">
        <x:v>Player</x:v>
      </x:c>
      <x:c r="C18" s="450" t="str">
        <x:v>Skills Captured</x:v>
      </x:c>
      <x:c r="D18" s="450" t="str">
        <x:v>Valid Levels</x:v>
      </x:c>
      <x:c r="E18" s="450" t="str">
        <x:v>Offensive Skills</x:v>
      </x:c>
      <x:c r="F18" s="450" t="str">
        <x:v>Lookup Coverage</x:v>
      </x:c>
      <x:c r="G18" s="450" t="str">
        <x:v>Guard Damage Received</x:v>
      </x:c>
      <x:c r="H18" s="450" t="str">
        <x:v>Archer Damage</x:v>
      </x:c>
      <x:c r="I18" s="450" t="str">
        <x:v>Cavalry Damage</x:v>
      </x:c>
      <x:c r="J18" s="450" t="str">
        <x:v>Siege Damage</x:v>
      </x:c>
      <x:c r="K18" s="450" t="str">
        <x:v>Offensive Damage</x:v>
      </x:c>
      <x:c r="L18" s="450" t="str">
        <x:v>Signed Net (Display Only)</x:v>
      </x:c>
      <x:c r="M18" s="450" t="str">
        <x:v>Guard Badges</x:v>
      </x:c>
      <x:c r="N18" s="450" t="str">
        <x:v>Offensive Badges</x:v>
      </x:c>
      <x:c r="O18" s="450" t="str">
        <x:v>Total Badges</x:v>
      </x:c>
      <x:c r="P18" s="450" t="str">
        <x:v>Avg / Offensive Skill</x:v>
      </x:c>
      <x:c r="Q18" s="243" t="str">
        <x:v>Offensive Effect Percentile</x:v>
      </x:c>
      <x:c r="R18" s="243" t="str">
        <x:v>Offensive Badge Percentile</x:v>
      </x:c>
      <x:c r="S18" s="243" t="str">
        <x:v>Damage Specialist Score</x:v>
      </x:c>
      <x:c r="T18" s="243" t="str">
        <x:v>Guard Effect Percentile</x:v>
      </x:c>
      <x:c r="U18" s="243" t="str">
        <x:v>Guard Badge Percentile</x:v>
      </x:c>
      <x:c r="V18" s="243" t="str">
        <x:v>Tank Specialist Score</x:v>
      </x:c>
      <x:c r="W18" s="450" t="str">
        <x:v>Damage Server Rank</x:v>
      </x:c>
      <x:c r="X18" s="450" t="str">
        <x:v>Damage Overall Rank</x:v>
      </x:c>
      <x:c r="Y18" s="450" t="str">
        <x:v>Tank Server Rank</x:v>
      </x:c>
      <x:c r="Z18" s="450" t="str">
        <x:v>Tank Overall Rank</x:v>
      </x:c>
      <x:c r="AA18" s="450" t="str">
        <x:v>Data Status</x:v>
      </x:c>
      <x:c r="AB18" s="600" t="str">
        <x:v>Cavalry Effect Percentile</x:v>
      </x:c>
      <x:c r="AC18" s="600" t="str">
        <x:v>Cavalry Specialist Score</x:v>
      </x:c>
      <x:c r="AD18" s="600" t="str">
        <x:v>Cavalry Server Rank</x:v>
      </x:c>
      <x:c r="AE18" s="600" t="str">
        <x:v>Archer Effect Percentile</x:v>
      </x:c>
      <x:c r="AF18" s="600" t="str">
        <x:v>Archer Specialist Score</x:v>
      </x:c>
      <x:c r="AG18" s="600" t="str">
        <x:v>Archer Server Rank</x:v>
      </x:c>
      <x:c r="AH18" s="600" t="str">
        <x:v>Siege Effect Percentile</x:v>
      </x:c>
      <x:c r="AI18" s="600" t="str">
        <x:v>Siege Specialist Score</x:v>
      </x:c>
      <x:c r="AJ18" s="600" t="str">
        <x:v>Siege Server Rank</x:v>
      </x:c>
      <x:c r="AK18" s="600" t="str">
        <x:v>Guard Model Score</x:v>
      </x:c>
      <x:c r="AL18" s="600" t="str">
        <x:v>Guard Server Rank</x:v>
      </x:c>
      <x:c r="AM18" s="600" t="str">
        <x:v>Overall Specialisation Score</x:v>
      </x:c>
      <x:c r="AN18" s="600" t="str">
        <x:v>Overall Server Rank</x:v>
      </x:c>
      <x:c r="AO18" s="600" t="str">
        <x:v>Overall Global Rank</x:v>
      </x:c>
      <x:c r="AP18" s="600" t="str">
        <x:v>Model Player</x:v>
      </x:c>
    </x:row>
    <x:row r="19" ht="24" customHeight="1">
      <x:c r="A19" s="430" t="str">
        <x:v>K60</x:v>
      </x:c>
      <x:c r="B19" s="430" t="str">
        <x:v>CerialKiller</x:v>
      </x:c>
      <x:c r="C19" s="431" t="n">
        <x:f>COUNTIFS('Specialisations'!$A$6:$A$527,A19,'Specialisations'!$B$6:$B$527,B19)</x:f>
        <x:v>4</x:v>
      </x:c>
      <x:c r="D19" s="431" t="n">
        <x:f>COUNTIFS('Specialisations'!$A$6:$A$527,A19,'Specialisations'!$B$6:$B$527,B19,'Specialisations'!$P$6:$P$527,"OK")</x:f>
        <x:v>4</x:v>
      </x:c>
      <x:c r="E19" s="431" t="n">
        <x:f>COUNTIFS('Specialisations'!$A$6:$A$527,A19,'Specialisations'!$B$6:$B$527,B19,'Specialisations'!$P$6:$P$527,"OK",'Specialisations'!$C$6:$C$527,"&lt;&gt;Guards")</x:f>
        <x:v>3</x:v>
      </x:c>
      <x:c r="F19" s="432" t="n">
        <x:f>IF(C19=0,"",D19/C19)</x:f>
        <x:v>1</x:v>
      </x:c>
      <x:c r="G19" s="495" t="n">
        <x:f>SUMIFS('Specialisations'!$Q$6:$Q$527,'Specialisations'!$A$6:$A$527,A19,'Specialisations'!$B$6:$B$527,B19,'Specialisations'!$C$6:$C$527,"Guards")</x:f>
        <x:v>-60</x:v>
      </x:c>
      <x:c r="H19" s="495" t="n">
        <x:f>SUMIFS('Specialisations'!$Q$6:$Q$527,'Specialisations'!$A$6:$A$527,A19,'Specialisations'!$B$6:$B$527,B19,'Specialisations'!$C$6:$C$527,"Archers")</x:f>
        <x:v>45.13</x:v>
      </x:c>
      <x:c r="I19" s="495" t="n">
        <x:f>SUMIFS('Specialisations'!$Q$6:$Q$527,'Specialisations'!$A$6:$A$527,A19,'Specialisations'!$B$6:$B$527,B19,'Specialisations'!$C$6:$C$527,"Cavalry")</x:f>
        <x:v>90.26</x:v>
      </x:c>
      <x:c r="J19" s="495" t="n">
        <x:f>SUMIFS('Specialisations'!$Q$6:$Q$527,'Specialisations'!$A$6:$A$527,A19,'Specialisations'!$B$6:$B$527,B19,'Specialisations'!$C$6:$C$527,"Siege")</x:f>
        <x:v>0</x:v>
      </x:c>
      <x:c r="K19" s="495" t="n">
        <x:f>SUM(H19:J19)</x:f>
        <x:v>135.39000000000001</x:v>
      </x:c>
      <x:c r="L19" s="495" t="n">
        <x:f>SUM(G19,K19)</x:f>
        <x:v>75.39000000000001</x:v>
      </x:c>
      <x:c r="M19" s="433" t="n">
        <x:f>SUMIFS('Specialisations'!$N$6:$N$527,'Specialisations'!$A$6:$A$527,A19,'Specialisations'!$B$6:$B$527,B19,'Specialisations'!$C$6:$C$527,"Guards")</x:f>
        <x:v>10334300</x:v>
      </x:c>
      <x:c r="N19" s="433" t="n">
        <x:f>SUMIFS('Specialisations'!$N$6:$N$527,'Specialisations'!$A$6:$A$527,A19,'Specialisations'!$B$6:$B$527,B19,'Specialisations'!$C$6:$C$527,"&lt;&gt;Guards")</x:f>
        <x:v>15012900</x:v>
      </x:c>
      <x:c r="O19" s="433" t="n">
        <x:f>SUM(M19:N19)</x:f>
        <x:v>25347200</x:v>
      </x:c>
      <x:c r="P19" s="434" t="n">
        <x:f>IF(E19=0,"",K19/E19)</x:f>
        <x:v>45.13</x:v>
      </x:c>
      <x:c r="Q19" s="501" t="n">
        <x:f>IF(E19=0,"",IFERROR(100*(COUNTIFS($E$19:$E$186,"&gt;0",$K$19:$K$186,"&lt;"&amp;K19)+(COUNTIFS($E$19:$E$186,"&gt;0",$K$19:$K$186,K19)-1)/2)/(COUNTIF($E$19:$E$186,"&gt;0")-1),50))</x:f>
        <x:v>81.81818181818181</x:v>
      </x:c>
      <x:c r="R19" s="501" t="n">
        <x:f>IF(E19=0,"",IFERROR(100*(COUNTIFS($E$19:$E$186,"&gt;0",$N$19:$N$186,"&lt;"&amp;N19)+(COUNTIFS($E$19:$E$186,"&gt;0",$N$19:$N$186,N19)-1)/2)/(COUNTIF($E$19:$E$186,"&gt;0")-1),50))</x:f>
        <x:v>76.2987012987013</x:v>
      </x:c>
      <x:c r="S19" s="501" t="n">
        <x:f>IF(E19=0,"",Q19*$R$5+R19*$R$6)</x:f>
        <x:v>80.71428571428571</x:v>
      </x:c>
      <x:c r="T19" s="501" t="n">
        <x:f>IF(M19=0,"",IFERROR(100*(COUNTIFS($M$19:$M$186,"&gt;0",$G$19:$G$186,"&gt;"&amp;G19)+(COUNTIFS($M$19:$M$186,"&gt;0",$G$19:$G$186,G19)-1)/2)/(COUNTIF($M$19:$M$186,"&gt;0")-1),50))</x:f>
        <x:v>93.16239316239316</x:v>
      </x:c>
      <x:c r="U19" s="501" t="n">
        <x:f>IF(M19=0,"",IFERROR(100*(COUNTIFS($M$19:$M$186,"&gt;0",$M$19:$M$186,"&lt;"&amp;M19)+(COUNTIFS($M$19:$M$186,"&gt;0",$M$19:$M$186,M19)-1)/2)/(COUNTIF($M$19:$M$186,"&gt;0")-1),50))</x:f>
        <x:v>93.16239316239316</x:v>
      </x:c>
      <x:c r="V19" s="501" t="n">
        <x:f>IF(M19=0,"",T19*$R$5+U19*$R$6)</x:f>
        <x:v>93.16239316239316</x:v>
      </x:c>
      <x:c r="W19" s="431" t="n">
        <x:f>IF(E19=0,"",COUNTIFS($A$19:$A$186,A19,$S$19:$S$186,"&gt;"&amp;S19)+COUNTIFS($A$19:A19,A19,$E$19:E19,"&gt;0",$S$19:S19,S19))</x:f>
        <x:v>6</x:v>
      </x:c>
      <x:c r="X19" s="431" t="n">
        <x:f>IF(S19="","",1+COUNTIF($S$19:$S$186,"&gt;"&amp;S19))</x:f>
        <x:v>32</x:v>
      </x:c>
      <x:c r="Y19" s="431" t="n">
        <x:f>IF(V19="","",1+COUNTIFS($A$19:$A$186,A19,$V$19:$V$186,"&gt;"&amp;V19))</x:f>
        <x:v>1</x:v>
      </x:c>
      <x:c r="Z19" s="431" t="n">
        <x:f>IF(V19="","",1+COUNTIF($V$19:$V$186,"&gt;"&amp;V19))</x:f>
        <x:v>1</x:v>
      </x:c>
      <x:c r="AA19" s="430" t="str">
        <x:f>IF(C19=0,"No specialisations recorded",IF(D19&lt;C19,"Review missing level","Recorded skills only"))</x:f>
        <x:v>Recorded skills only</x:v>
      </x:c>
      <x:c r="AB19" s="601" t="n">
        <x:f>IF(OR(AP19&lt;&gt;"Yes",E19=0),"",IFERROR(100*(COUNTIFS($AP$19:$AP$186,"Yes",$E$19:$E$186,"&gt;0",$I$19:$I$186,"&lt;"&amp;I19)+(COUNTIFS($AP$19:$AP$186,"Yes",$E$19:$E$186,"&gt;0",$I$19:$I$186,I19)-1)/2)/(COUNTIFS($AP$19:$AP$186,"Yes",$E$19:$E$186,"&gt;0")-1),50))</x:f>
        <x:v>76.2987012987013</x:v>
      </x:c>
      <x:c r="AC19" s="601" t="n">
        <x:f>IF(AB19="","",AB19*'Specialisation Rankings'!$O$16+R19*'Specialisation Rankings'!$O$17)</x:f>
        <x:v>76.2987012987013</x:v>
      </x:c>
      <x:c r="AD19" s="601" t="n">
        <x:f>IF(AC19="","",COUNTIFS($A$19:$A$186,A19,$AP$19:$AP$186,"Yes",$E$19:$E$186,"&gt;0",$AC$19:$AC$186,"&gt;"&amp;AC19)+COUNTIFS($A$19:A19,A19,$AP$19:AP19,"Yes",$E$19:E19,"&gt;0",$AC$19:AC19,AC19))</x:f>
        <x:v>7</x:v>
      </x:c>
      <x:c r="AE19" s="601" t="n">
        <x:f>IF(OR(AP19&lt;&gt;"Yes",E19=0),"",IFERROR(100*(COUNTIFS($AP$19:$AP$186,"Yes",$E$19:$E$186,"&gt;0",$H$19:$H$186,"&lt;"&amp;H19)+(COUNTIFS($AP$19:$AP$186,"Yes",$E$19:$E$186,"&gt;0",$H$19:$H$186,H19)-1)/2)/(COUNTIFS($AP$19:$AP$186,"Yes",$E$19:$E$186,"&gt;0")-1),50))</x:f>
        <x:v>74.02597402597402</x:v>
      </x:c>
      <x:c r="AF19" s="601" t="n">
        <x:f>IF(AE19="","",AE19*'Specialisation Rankings'!$O$16+R19*'Specialisation Rankings'!$O$17)</x:f>
        <x:v>74.48051948051949</x:v>
      </x:c>
      <x:c r="AG19" s="601" t="n">
        <x:f>IF(AF19="","",COUNTIFS($A$19:$A$186,A19,$AP$19:$AP$186,"Yes",$E$19:$E$186,"&gt;0",$AF$19:$AF$186,"&gt;"&amp;AF19)+COUNTIFS($A$19:A19,A19,$AP$19:AP19,"Yes",$E$19:E19,"&gt;0",$AF$19:AF19,AF19))</x:f>
        <x:v>1</x:v>
      </x:c>
      <x:c r="AH19" s="601" t="n">
        <x:f>IF(OR(AP19&lt;&gt;"Yes",E19=0),"",IFERROR(100*(COUNTIFS($AP$19:$AP$186,"Yes",$E$19:$E$186,"&gt;0",$J$19:$J$186,"&lt;"&amp;J19)+(COUNTIFS($AP$19:$AP$186,"Yes",$E$19:$E$186,"&gt;0",$J$19:$J$186,J19)-1)/2)/(COUNTIFS($AP$19:$AP$186,"Yes",$E$19:$E$186,"&gt;0")-1),50))</x:f>
        <x:v>33.116883116883116</x:v>
      </x:c>
      <x:c r="AI19" s="601" t="n">
        <x:f>IF(AH19="","",AH19*'Specialisation Rankings'!$O$16+R19*'Specialisation Rankings'!$O$17)</x:f>
        <x:v>41.753246753246756</x:v>
      </x:c>
      <x:c r="AJ19" s="601" t="n">
        <x:f>IF(AI19="","",COUNTIFS($A$19:$A$186,A19,$AP$19:$AP$186,"Yes",$E$19:$E$186,"&gt;0",$AI$19:$AI$186,"&gt;"&amp;AI19)+COUNTIFS($A$19:A19,A19,$AP$19:AP19,"Yes",$E$19:E19,"&gt;0",$AI$19:AI19,AI19))</x:f>
        <x:v>8</x:v>
      </x:c>
      <x:c r="AK19" s="601" t="n">
        <x:f>IF(OR(AP19&lt;&gt;"Yes",E19=0),"",IF(M19=0,'Specialisation Rankings'!$O$23,V19))</x:f>
        <x:v>93.16239316239316</x:v>
      </x:c>
      <x:c r="AL19" s="601" t="n">
        <x:f>IF(AK19="","",COUNTIFS($A$19:$A$186,A19,$AP$19:$AP$186,"Yes",$E$19:$E$186,"&gt;0",$AK$19:$AK$186,"&gt;"&amp;AK19)+COUNTIFS($A$19:A19,A19,$AP$19:AP19,"Yes",$E$19:E19,"&gt;0",$AK$19:AK19,AK19))</x:f>
        <x:v>1</x:v>
      </x:c>
      <x:c r="AM19" s="601" t="n">
        <x:f>IF(AC19="","",AC19*'Specialisation Rankings'!$O$18+AF19*'Specialisation Rankings'!$O$19+AI19*'Specialisation Rankings'!$O$20+AK19*'Specialisation Rankings'!$O$21)</x:f>
        <x:v>72.62143412143412</x:v>
      </x:c>
      <x:c r="AN19" s="601" t="n">
        <x:f>IF(AM19="","",COUNTIFS($A$19:$A$186,A19,$AP$19:$AP$186,"Yes",$E$19:$E$186,"&gt;0",$AM$19:$AM$186,"&gt;"&amp;AM19)+COUNTIFS($A$19:A19,A19,$AP$19:AP19,"Yes",$E$19:E19,"&gt;0",$AM$19:AM19,AM19))</x:f>
        <x:v>5</x:v>
      </x:c>
      <x:c r="AO19" s="601" t="n">
        <x:f>IF(AM19="","",COUNTIFS($AP$19:$AP$186,"Yes",$E$19:$E$186,"&gt;0",$AM$19:$AM$186,"&gt;"&amp;AM19)+COUNTIFS($AP$19:AP19,"Yes",$E$19:E19,"&gt;0",$AM$19:AM19,AM19))</x:f>
        <x:v>30</x:v>
      </x:c>
      <x:c r="AP19" s="602" t="str">
        <x:f>IF(COUNTIFS('Player Scenario Model'!$A$6:$A$172,A19,'Player Scenario Model'!$B$6:$B$172,B19)&gt;0,"Yes","No")</x:f>
        <x:v>Yes</x:v>
      </x:c>
    </x:row>
    <x:row r="20" ht="24" customHeight="1">
      <x:c r="A20" s="430" t="str">
        <x:v>K60</x:v>
      </x:c>
      <x:c r="B20" s="430" t="str">
        <x:v>Hitt</x:v>
      </x:c>
      <x:c r="C20" s="431" t="n">
        <x:f>COUNTIFS('Specialisations'!$A$6:$A$527,A20,'Specialisations'!$B$6:$B$527,B20)</x:f>
        <x:v>4</x:v>
      </x:c>
      <x:c r="D20" s="431" t="n">
        <x:f>COUNTIFS('Specialisations'!$A$6:$A$527,A20,'Specialisations'!$B$6:$B$527,B20,'Specialisations'!$P$6:$P$527,"OK")</x:f>
        <x:v>4</x:v>
      </x:c>
      <x:c r="E20" s="431" t="n">
        <x:f>COUNTIFS('Specialisations'!$A$6:$A$527,A20,'Specialisations'!$B$6:$B$527,B20,'Specialisations'!$P$6:$P$527,"OK",'Specialisations'!$C$6:$C$527,"&lt;&gt;Guards")</x:f>
        <x:v>3</x:v>
      </x:c>
      <x:c r="F20" s="432" t="n">
        <x:f>IF(C20=0,"",D20/C20)</x:f>
        <x:v>1</x:v>
      </x:c>
      <x:c r="G20" s="495" t="n">
        <x:f>SUMIFS('Specialisations'!$Q$6:$Q$527,'Specialisations'!$A$6:$A$527,A20,'Specialisations'!$B$6:$B$527,B20,'Specialisations'!$C$6:$C$527,"Guards")</x:f>
        <x:v>-27.74</x:v>
      </x:c>
      <x:c r="H20" s="495" t="n">
        <x:f>SUMIFS('Specialisations'!$Q$6:$Q$527,'Specialisations'!$A$6:$A$527,A20,'Specialisations'!$B$6:$B$527,B20,'Specialisations'!$C$6:$C$527,"Archers")</x:f>
        <x:v>27.74</x:v>
      </x:c>
      <x:c r="I20" s="495" t="n">
        <x:f>SUMIFS('Specialisations'!$Q$6:$Q$527,'Specialisations'!$A$6:$A$527,A20,'Specialisations'!$B$6:$B$527,B20,'Specialisations'!$C$6:$C$527,"Cavalry")</x:f>
        <x:v>75.91</x:v>
      </x:c>
      <x:c r="J20" s="495" t="n">
        <x:f>SUMIFS('Specialisations'!$Q$6:$Q$527,'Specialisations'!$A$6:$A$527,A20,'Specialisations'!$B$6:$B$527,B20,'Specialisations'!$C$6:$C$527,"Siege")</x:f>
        <x:v>0</x:v>
      </x:c>
      <x:c r="K20" s="495" t="n">
        <x:f>SUM(H20:J20)</x:f>
        <x:v>103.64999999999999</x:v>
      </x:c>
      <x:c r="L20" s="495" t="n">
        <x:f>SUM(G20,K20)</x:f>
        <x:v>75.91</x:v>
      </x:c>
      <x:c r="M20" s="433" t="n">
        <x:f>SUMIFS('Specialisations'!$N$6:$N$527,'Specialisations'!$A$6:$A$527,A20,'Specialisations'!$B$6:$B$527,B20,'Specialisations'!$C$6:$C$527,"Guards")</x:f>
        <x:v>2244300</x:v>
      </x:c>
      <x:c r="N20" s="433" t="n">
        <x:f>SUMIFS('Specialisations'!$N$6:$N$527,'Specialisations'!$A$6:$A$527,A20,'Specialisations'!$B$6:$B$527,B20,'Specialisations'!$C$6:$C$527,"&lt;&gt;Guards")</x:f>
        <x:v>9212900</x:v>
      </x:c>
      <x:c r="O20" s="433" t="n">
        <x:f>SUM(M20:N20)</x:f>
        <x:v>11457200</x:v>
      </x:c>
      <x:c r="P20" s="434" t="n">
        <x:f>IF(E20=0,"",K20/E20)</x:f>
        <x:v>34.55</x:v>
      </x:c>
      <x:c r="Q20" s="501" t="n">
        <x:f>IF(E20=0,"",IFERROR(100*(COUNTIFS($E$19:$E$186,"&gt;0",$K$19:$K$186,"&lt;"&amp;K20)+(COUNTIFS($E$19:$E$186,"&gt;0",$K$19:$K$186,K20)-1)/2)/(COUNTIF($E$19:$E$186,"&gt;0")-1),50))</x:f>
        <x:v>57.79220779220779</x:v>
      </x:c>
      <x:c r="R20" s="501" t="n">
        <x:f>IF(E20=0,"",IFERROR(100*(COUNTIFS($E$19:$E$186,"&gt;0",$N$19:$N$186,"&lt;"&amp;N20)+(COUNTIFS($E$19:$E$186,"&gt;0",$N$19:$N$186,N20)-1)/2)/(COUNTIF($E$19:$E$186,"&gt;0")-1),50))</x:f>
        <x:v>36.36363636363637</x:v>
      </x:c>
      <x:c r="S20" s="501" t="n">
        <x:f>IF(E20=0,"",Q20*$R$5+R20*$R$6)</x:f>
        <x:v>53.506493506493506</x:v>
      </x:c>
      <x:c r="T20" s="501" t="n">
        <x:f>IF(M20=0,"",IFERROR(100*(COUNTIFS($M$19:$M$186,"&gt;0",$G$19:$G$186,"&gt;"&amp;G20)+(COUNTIFS($M$19:$M$186,"&gt;0",$G$19:$G$186,G20)-1)/2)/(COUNTIF($M$19:$M$186,"&gt;0")-1),50))</x:f>
        <x:v>29.487179487179485</x:v>
      </x:c>
      <x:c r="U20" s="501" t="n">
        <x:f>IF(M20=0,"",IFERROR(100*(COUNTIFS($M$19:$M$186,"&gt;0",$M$19:$M$186,"&lt;"&amp;M20)+(COUNTIFS($M$19:$M$186,"&gt;0",$M$19:$M$186,M20)-1)/2)/(COUNTIF($M$19:$M$186,"&gt;0")-1),50))</x:f>
        <x:v>29.487179487179485</x:v>
      </x:c>
      <x:c r="V20" s="501" t="n">
        <x:f>IF(M20=0,"",T20*$R$5+U20*$R$6)</x:f>
        <x:v>29.48717948717949</x:v>
      </x:c>
      <x:c r="W20" s="431" t="n">
        <x:f>IF(E20=0,"",COUNTIFS($A$19:$A$186,A20,$S$19:$S$186,"&gt;"&amp;S20)+COUNTIFS($A$19:A20,A20,$E$19:E20,"&gt;0",$S$19:S20,S20))</x:f>
        <x:v>20</x:v>
      </x:c>
      <x:c r="X20" s="431" t="n">
        <x:f>IF(S20="","",1+COUNTIF($S$19:$S$186,"&gt;"&amp;S20))</x:f>
        <x:v>70</x:v>
      </x:c>
      <x:c r="Y20" s="431" t="n">
        <x:f>IF(V20="","",1+COUNTIFS($A$19:$A$186,A20,$V$19:$V$186,"&gt;"&amp;V20))</x:f>
        <x:v>3</x:v>
      </x:c>
      <x:c r="Z20" s="431" t="n">
        <x:f>IF(V20="","",1+COUNTIF($V$19:$V$186,"&gt;"&amp;V20))</x:f>
        <x:v>70</x:v>
      </x:c>
      <x:c r="AA20" s="430" t="str">
        <x:f>IF(C20=0,"No specialisations recorded",IF(D20&lt;C20,"Review missing level","Recorded skills only"))</x:f>
        <x:v>Recorded skills only</x:v>
      </x:c>
      <x:c r="AB20" s="601" t="n">
        <x:f>IF(OR(AP20&lt;&gt;"Yes",E20=0),"",IFERROR(100*(COUNTIFS($AP$19:$AP$186,"Yes",$E$19:$E$186,"&gt;0",$I$19:$I$186,"&lt;"&amp;I20)+(COUNTIFS($AP$19:$AP$186,"Yes",$E$19:$E$186,"&gt;0",$I$19:$I$186,I20)-1)/2)/(COUNTIFS($AP$19:$AP$186,"Yes",$E$19:$E$186,"&gt;0")-1),50))</x:f>
        <x:v>59.74025974025974</x:v>
      </x:c>
      <x:c r="AC20" s="601" t="n">
        <x:f>IF(AB20="","",AB20*'Specialisation Rankings'!$O$16+R20*'Specialisation Rankings'!$O$17)</x:f>
        <x:v>55.064935064935064</x:v>
      </x:c>
      <x:c r="AD20" s="601" t="n">
        <x:f>IF(AC20="","",COUNTIFS($A$19:$A$186,A20,$AP$19:$AP$186,"Yes",$E$19:$E$186,"&gt;0",$AC$19:$AC$186,"&gt;"&amp;AC20)+COUNTIFS($A$19:A20,A20,$AP$19:AP20,"Yes",$E$19:E20,"&gt;0",$AC$19:AC20,AC20))</x:f>
        <x:v>21</x:v>
      </x:c>
      <x:c r="AE20" s="601" t="n">
        <x:f>IF(OR(AP20&lt;&gt;"Yes",E20=0),"",IFERROR(100*(COUNTIFS($AP$19:$AP$186,"Yes",$E$19:$E$186,"&gt;0",$H$19:$H$186,"&lt;"&amp;H20)+(COUNTIFS($AP$19:$AP$186,"Yes",$E$19:$E$186,"&gt;0",$H$19:$H$186,H20)-1)/2)/(COUNTIFS($AP$19:$AP$186,"Yes",$E$19:$E$186,"&gt;0")-1),50))</x:f>
        <x:v>42.20779220779221</x:v>
      </x:c>
      <x:c r="AF20" s="601" t="n">
        <x:f>IF(AE20="","",AE20*'Specialisation Rankings'!$O$16+R20*'Specialisation Rankings'!$O$17)</x:f>
        <x:v>41.03896103896104</x:v>
      </x:c>
      <x:c r="AG20" s="601" t="n">
        <x:f>IF(AF20="","",COUNTIFS($A$19:$A$186,A20,$AP$19:$AP$186,"Yes",$E$19:$E$186,"&gt;0",$AF$19:$AF$186,"&gt;"&amp;AF20)+COUNTIFS($A$19:A20,A20,$AP$19:AP20,"Yes",$E$19:E20,"&gt;0",$AF$19:AF20,AF20))</x:f>
        <x:v>23</x:v>
      </x:c>
      <x:c r="AH20" s="601" t="n">
        <x:f>IF(OR(AP20&lt;&gt;"Yes",E20=0),"",IFERROR(100*(COUNTIFS($AP$19:$AP$186,"Yes",$E$19:$E$186,"&gt;0",$J$19:$J$186,"&lt;"&amp;J20)+(COUNTIFS($AP$19:$AP$186,"Yes",$E$19:$E$186,"&gt;0",$J$19:$J$186,J20)-1)/2)/(COUNTIFS($AP$19:$AP$186,"Yes",$E$19:$E$186,"&gt;0")-1),50))</x:f>
        <x:v>33.116883116883116</x:v>
      </x:c>
      <x:c r="AI20" s="601" t="n">
        <x:f>IF(AH20="","",AH20*'Specialisation Rankings'!$O$16+R20*'Specialisation Rankings'!$O$17)</x:f>
        <x:v>33.76623376623377</x:v>
      </x:c>
      <x:c r="AJ20" s="601" t="n">
        <x:f>IF(AI20="","",COUNTIFS($A$19:$A$186,A20,$AP$19:$AP$186,"Yes",$E$19:$E$186,"&gt;0",$AI$19:$AI$186,"&gt;"&amp;AI20)+COUNTIFS($A$19:A20,A20,$AP$19:AP20,"Yes",$E$19:E20,"&gt;0",$AI$19:AI20,AI20))</x:f>
        <x:v>20</x:v>
      </x:c>
      <x:c r="AK20" s="601" t="n">
        <x:f>IF(OR(AP20&lt;&gt;"Yes",E20=0),"",IF(M20=0,'Specialisation Rankings'!$O$23,V20))</x:f>
        <x:v>29.48717948717949</x:v>
      </x:c>
      <x:c r="AL20" s="601" t="n">
        <x:f>IF(AK20="","",COUNTIFS($A$19:$A$186,A20,$AP$19:$AP$186,"Yes",$E$19:$E$186,"&gt;0",$AK$19:$AK$186,"&gt;"&amp;AK20)+COUNTIFS($A$19:A20,A20,$AP$19:AP20,"Yes",$E$19:E20,"&gt;0",$AK$19:AK20,AK20))</x:f>
        <x:v>8</x:v>
      </x:c>
      <x:c r="AM20" s="601" t="n">
        <x:f>IF(AC20="","",AC20*'Specialisation Rankings'!$O$18+AF20*'Specialisation Rankings'!$O$19+AI20*'Specialisation Rankings'!$O$20+AK20*'Specialisation Rankings'!$O$21)</x:f>
        <x:v>47.90975690975691</x:v>
      </x:c>
      <x:c r="AN20" s="601" t="n">
        <x:f>IF(AM20="","",COUNTIFS($A$19:$A$186,A20,$AP$19:$AP$186,"Yes",$E$19:$E$186,"&gt;0",$AM$19:$AM$186,"&gt;"&amp;AM20)+COUNTIFS($A$19:A20,A20,$AP$19:AP20,"Yes",$E$19:E20,"&gt;0",$AM$19:AM20,AM20))</x:f>
        <x:v>20</x:v>
      </x:c>
      <x:c r="AO20" s="601" t="n">
        <x:f>IF(AM20="","",COUNTIFS($AP$19:$AP$186,"Yes",$E$19:$E$186,"&gt;0",$AM$19:$AM$186,"&gt;"&amp;AM20)+COUNTIFS($AP$19:AP20,"Yes",$E$19:E20,"&gt;0",$AM$19:AM20,AM20))</x:f>
        <x:v>80</x:v>
      </x:c>
      <x:c r="AP20" s="602" t="str">
        <x:f>IF(COUNTIFS('Player Scenario Model'!$A$6:$A$172,A20,'Player Scenario Model'!$B$6:$B$172,B20)&gt;0,"Yes","No")</x:f>
        <x:v>Yes</x:v>
      </x:c>
    </x:row>
    <x:row r="21" ht="24" customHeight="1">
      <x:c r="A21" s="430" t="str">
        <x:v>K60</x:v>
      </x:c>
      <x:c r="B21" s="430" t="str">
        <x:v>Λžtěč (Aztec)</x:v>
      </x:c>
      <x:c r="C21" s="431" t="n">
        <x:f>COUNTIFS('Specialisations'!$A$6:$A$527,A21,'Specialisations'!$B$6:$B$527,B21)</x:f>
        <x:v>4</x:v>
      </x:c>
      <x:c r="D21" s="431" t="n">
        <x:f>COUNTIFS('Specialisations'!$A$6:$A$527,A21,'Specialisations'!$B$6:$B$527,B21,'Specialisations'!$P$6:$P$527,"OK")</x:f>
        <x:v>4</x:v>
      </x:c>
      <x:c r="E21" s="431" t="n">
        <x:f>COUNTIFS('Specialisations'!$A$6:$A$527,A21,'Specialisations'!$B$6:$B$527,B21,'Specialisations'!$P$6:$P$527,"OK",'Specialisations'!$C$6:$C$527,"&lt;&gt;Guards")</x:f>
        <x:v>3</x:v>
      </x:c>
      <x:c r="F21" s="432" t="n">
        <x:f>IF(C21=0,"",D21/C21)</x:f>
        <x:v>1</x:v>
      </x:c>
      <x:c r="G21" s="495" t="n">
        <x:f>SUMIFS('Specialisations'!$Q$6:$Q$527,'Specialisations'!$A$6:$A$527,A21,'Specialisations'!$B$6:$B$527,B21,'Specialisations'!$C$6:$C$527,"Guards")</x:f>
        <x:v>-27.74</x:v>
      </x:c>
      <x:c r="H21" s="495" t="n">
        <x:f>SUMIFS('Specialisations'!$Q$6:$Q$527,'Specialisations'!$A$6:$A$527,A21,'Specialisations'!$B$6:$B$527,B21,'Specialisations'!$C$6:$C$527,"Archers")</x:f>
        <x:v>27.74</x:v>
      </x:c>
      <x:c r="I21" s="495" t="n">
        <x:f>SUMIFS('Specialisations'!$Q$6:$Q$527,'Specialisations'!$A$6:$A$527,A21,'Specialisations'!$B$6:$B$527,B21,'Specialisations'!$C$6:$C$527,"Cavalry")</x:f>
        <x:v>79.86</x:v>
      </x:c>
      <x:c r="J21" s="495" t="n">
        <x:f>SUMIFS('Specialisations'!$Q$6:$Q$527,'Specialisations'!$A$6:$A$527,A21,'Specialisations'!$B$6:$B$527,B21,'Specialisations'!$C$6:$C$527,"Siege")</x:f>
        <x:v>0</x:v>
      </x:c>
      <x:c r="K21" s="495" t="n">
        <x:f>SUM(H21:J21)</x:f>
        <x:v>107.6</x:v>
      </x:c>
      <x:c r="L21" s="495" t="n">
        <x:f>SUM(G21,K21)</x:f>
        <x:v>79.86</x:v>
      </x:c>
      <x:c r="M21" s="433" t="n">
        <x:f>SUMIFS('Specialisations'!$N$6:$N$527,'Specialisations'!$A$6:$A$527,A21,'Specialisations'!$B$6:$B$527,B21,'Specialisations'!$C$6:$C$527,"Guards")</x:f>
        <x:v>2244300</x:v>
      </x:c>
      <x:c r="N21" s="433" t="n">
        <x:f>SUMIFS('Specialisations'!$N$6:$N$527,'Specialisations'!$A$6:$A$527,A21,'Specialisations'!$B$6:$B$527,B21,'Specialisations'!$C$6:$C$527,"&lt;&gt;Guards")</x:f>
        <x:v>9692900</x:v>
      </x:c>
      <x:c r="O21" s="433" t="n">
        <x:f>SUM(M21:N21)</x:f>
        <x:v>11937200</x:v>
      </x:c>
      <x:c r="P21" s="434" t="n">
        <x:f>IF(E21=0,"",K21/E21)</x:f>
        <x:v>35.86666666666667</x:v>
      </x:c>
      <x:c r="Q21" s="501" t="n">
        <x:f>IF(E21=0,"",IFERROR(100*(COUNTIFS($E$19:$E$186,"&gt;0",$K$19:$K$186,"&lt;"&amp;K21)+(COUNTIFS($E$19:$E$186,"&gt;0",$K$19:$K$186,K21)-1)/2)/(COUNTIF($E$19:$E$186,"&gt;0")-1),50))</x:f>
        <x:v>60.38961038961039</x:v>
      </x:c>
      <x:c r="R21" s="501" t="n">
        <x:f>IF(E21=0,"",IFERROR(100*(COUNTIFS($E$19:$E$186,"&gt;0",$N$19:$N$186,"&lt;"&amp;N21)+(COUNTIFS($E$19:$E$186,"&gt;0",$N$19:$N$186,N21)-1)/2)/(COUNTIF($E$19:$E$186,"&gt;0")-1),50))</x:f>
        <x:v>39.61038961038961</x:v>
      </x:c>
      <x:c r="S21" s="501" t="n">
        <x:f>IF(E21=0,"",Q21*$R$5+R21*$R$6)</x:f>
        <x:v>56.23376623376623</x:v>
      </x:c>
      <x:c r="T21" s="501" t="n">
        <x:f>IF(M21=0,"",IFERROR(100*(COUNTIFS($M$19:$M$186,"&gt;0",$G$19:$G$186,"&gt;"&amp;G21)+(COUNTIFS($M$19:$M$186,"&gt;0",$G$19:$G$186,G21)-1)/2)/(COUNTIF($M$19:$M$186,"&gt;0")-1),50))</x:f>
        <x:v>29.487179487179485</x:v>
      </x:c>
      <x:c r="U21" s="501" t="n">
        <x:f>IF(M21=0,"",IFERROR(100*(COUNTIFS($M$19:$M$186,"&gt;0",$M$19:$M$186,"&lt;"&amp;M21)+(COUNTIFS($M$19:$M$186,"&gt;0",$M$19:$M$186,M21)-1)/2)/(COUNTIF($M$19:$M$186,"&gt;0")-1),50))</x:f>
        <x:v>29.487179487179485</x:v>
      </x:c>
      <x:c r="V21" s="501" t="n">
        <x:f>IF(M21=0,"",T21*$R$5+U21*$R$6)</x:f>
        <x:v>29.48717948717949</x:v>
      </x:c>
      <x:c r="W21" s="431" t="n">
        <x:f>IF(E21=0,"",COUNTIFS($A$19:$A$186,A21,$S$19:$S$186,"&gt;"&amp;S21)+COUNTIFS($A$19:A21,A21,$E$19:E21,"&gt;0",$S$19:S21,S21))</x:f>
        <x:v>18</x:v>
      </x:c>
      <x:c r="X21" s="431" t="n">
        <x:f>IF(S21="","",1+COUNTIF($S$19:$S$186,"&gt;"&amp;S21))</x:f>
        <x:v>65</x:v>
      </x:c>
      <x:c r="Y21" s="431" t="n">
        <x:f>IF(V21="","",1+COUNTIFS($A$19:$A$186,A21,$V$19:$V$186,"&gt;"&amp;V21))</x:f>
        <x:v>3</x:v>
      </x:c>
      <x:c r="Z21" s="431" t="n">
        <x:f>IF(V21="","",1+COUNTIF($V$19:$V$186,"&gt;"&amp;V21))</x:f>
        <x:v>70</x:v>
      </x:c>
      <x:c r="AA21" s="430" t="str">
        <x:f>IF(C21=0,"No specialisations recorded",IF(D21&lt;C21,"Review missing level","Recorded skills only"))</x:f>
        <x:v>Recorded skills only</x:v>
      </x:c>
      <x:c r="AB21" s="601" t="n">
        <x:f>IF(OR(AP21&lt;&gt;"Yes",E21=0),"",IFERROR(100*(COUNTIFS($AP$19:$AP$186,"Yes",$E$19:$E$186,"&gt;0",$I$19:$I$186,"&lt;"&amp;I21)+(COUNTIFS($AP$19:$AP$186,"Yes",$E$19:$E$186,"&gt;0",$I$19:$I$186,I21)-1)/2)/(COUNTIFS($AP$19:$AP$186,"Yes",$E$19:$E$186,"&gt;0")-1),50))</x:f>
        <x:v>62.66233766233766</x:v>
      </x:c>
      <x:c r="AC21" s="601" t="n">
        <x:f>IF(AB21="","",AB21*'Specialisation Rankings'!$O$16+R21*'Specialisation Rankings'!$O$17)</x:f>
        <x:v>58.05194805194806</x:v>
      </x:c>
      <x:c r="AD21" s="601" t="n">
        <x:f>IF(AC21="","",COUNTIFS($A$19:$A$186,A21,$AP$19:$AP$186,"Yes",$E$19:$E$186,"&gt;0",$AC$19:$AC$186,"&gt;"&amp;AC21)+COUNTIFS($A$19:A21,A21,$AP$19:AP21,"Yes",$E$19:E21,"&gt;0",$AC$19:AC21,AC21))</x:f>
        <x:v>18</x:v>
      </x:c>
      <x:c r="AE21" s="601" t="n">
        <x:f>IF(OR(AP21&lt;&gt;"Yes",E21=0),"",IFERROR(100*(COUNTIFS($AP$19:$AP$186,"Yes",$E$19:$E$186,"&gt;0",$H$19:$H$186,"&lt;"&amp;H21)+(COUNTIFS($AP$19:$AP$186,"Yes",$E$19:$E$186,"&gt;0",$H$19:$H$186,H21)-1)/2)/(COUNTIFS($AP$19:$AP$186,"Yes",$E$19:$E$186,"&gt;0")-1),50))</x:f>
        <x:v>42.20779220779221</x:v>
      </x:c>
      <x:c r="AF21" s="601" t="n">
        <x:f>IF(AE21="","",AE21*'Specialisation Rankings'!$O$16+R21*'Specialisation Rankings'!$O$17)</x:f>
        <x:v>41.68831168831169</x:v>
      </x:c>
      <x:c r="AG21" s="601" t="n">
        <x:f>IF(AF21="","",COUNTIFS($A$19:$A$186,A21,$AP$19:$AP$186,"Yes",$E$19:$E$186,"&gt;0",$AF$19:$AF$186,"&gt;"&amp;AF21)+COUNTIFS($A$19:A21,A21,$AP$19:AP21,"Yes",$E$19:E21,"&gt;0",$AF$19:AF21,AF21))</x:f>
        <x:v>22</x:v>
      </x:c>
      <x:c r="AH21" s="601" t="n">
        <x:f>IF(OR(AP21&lt;&gt;"Yes",E21=0),"",IFERROR(100*(COUNTIFS($AP$19:$AP$186,"Yes",$E$19:$E$186,"&gt;0",$J$19:$J$186,"&lt;"&amp;J21)+(COUNTIFS($AP$19:$AP$186,"Yes",$E$19:$E$186,"&gt;0",$J$19:$J$186,J21)-1)/2)/(COUNTIFS($AP$19:$AP$186,"Yes",$E$19:$E$186,"&gt;0")-1),50))</x:f>
        <x:v>33.116883116883116</x:v>
      </x:c>
      <x:c r="AI21" s="601" t="n">
        <x:f>IF(AH21="","",AH21*'Specialisation Rankings'!$O$16+R21*'Specialisation Rankings'!$O$17)</x:f>
        <x:v>34.41558441558442</x:v>
      </x:c>
      <x:c r="AJ21" s="601" t="n">
        <x:f>IF(AI21="","",COUNTIFS($A$19:$A$186,A21,$AP$19:$AP$186,"Yes",$E$19:$E$186,"&gt;0",$AI$19:$AI$186,"&gt;"&amp;AI21)+COUNTIFS($A$19:A21,A21,$AP$19:AP21,"Yes",$E$19:E21,"&gt;0",$AI$19:AI21,AI21))</x:f>
        <x:v>18</x:v>
      </x:c>
      <x:c r="AK21" s="601" t="n">
        <x:f>IF(OR(AP21&lt;&gt;"Yes",E21=0),"",IF(M21=0,'Specialisation Rankings'!$O$23,V21))</x:f>
        <x:v>29.48717948717949</x:v>
      </x:c>
      <x:c r="AL21" s="601" t="n">
        <x:f>IF(AK21="","",COUNTIFS($A$19:$A$186,A21,$AP$19:$AP$186,"Yes",$E$19:$E$186,"&gt;0",$AK$19:$AK$186,"&gt;"&amp;AK21)+COUNTIFS($A$19:A21,A21,$AP$19:AP21,"Yes",$E$19:E21,"&gt;0",$AK$19:AK21,AK21))</x:f>
        <x:v>9</x:v>
      </x:c>
      <x:c r="AM21" s="601" t="n">
        <x:f>IF(AC21="","",AC21*'Specialisation Rankings'!$O$18+AF21*'Specialisation Rankings'!$O$19+AI21*'Specialisation Rankings'!$O$20+AK21*'Specialisation Rankings'!$O$21)</x:f>
        <x:v>50.01365301365302</x:v>
      </x:c>
      <x:c r="AN21" s="601" t="n">
        <x:f>IF(AM21="","",COUNTIFS($A$19:$A$186,A21,$AP$19:$AP$186,"Yes",$E$19:$E$186,"&gt;0",$AM$19:$AM$186,"&gt;"&amp;AM21)+COUNTIFS($A$19:A21,A21,$AP$19:AP21,"Yes",$E$19:E21,"&gt;0",$AM$19:AM21,AM21))</x:f>
        <x:v>18</x:v>
      </x:c>
      <x:c r="AO21" s="601" t="n">
        <x:f>IF(AM21="","",COUNTIFS($AP$19:$AP$186,"Yes",$E$19:$E$186,"&gt;0",$AM$19:$AM$186,"&gt;"&amp;AM21)+COUNTIFS($AP$19:AP21,"Yes",$E$19:E21,"&gt;0",$AM$19:AM21,AM21))</x:f>
        <x:v>71</x:v>
      </x:c>
      <x:c r="AP21" s="602" t="str">
        <x:f>IF(COUNTIFS('Player Scenario Model'!$A$6:$A$172,A21,'Player Scenario Model'!$B$6:$B$172,B21)&gt;0,"Yes","No")</x:f>
        <x:v>Yes</x:v>
      </x:c>
    </x:row>
    <x:row r="22" ht="24" customHeight="1">
      <x:c r="A22" s="430" t="str">
        <x:v>K60</x:v>
      </x:c>
      <x:c r="B22" s="430" t="str">
        <x:v>MoonLight</x:v>
      </x:c>
      <x:c r="C22" s="431" t="n">
        <x:f>COUNTIFS('Specialisations'!$A$6:$A$527,A22,'Specialisations'!$B$6:$B$527,B22)</x:f>
        <x:v>3</x:v>
      </x:c>
      <x:c r="D22" s="431" t="n">
        <x:f>COUNTIFS('Specialisations'!$A$6:$A$527,A22,'Specialisations'!$B$6:$B$527,B22,'Specialisations'!$P$6:$P$527,"OK")</x:f>
        <x:v>3</x:v>
      </x:c>
      <x:c r="E22" s="431" t="n">
        <x:f>COUNTIFS('Specialisations'!$A$6:$A$527,A22,'Specialisations'!$B$6:$B$527,B22,'Specialisations'!$P$6:$P$527,"OK",'Specialisations'!$C$6:$C$527,"&lt;&gt;Guards")</x:f>
        <x:v>2</x:v>
      </x:c>
      <x:c r="F22" s="432" t="n">
        <x:f>IF(C22=0,"",D22/C22)</x:f>
        <x:v>1</x:v>
      </x:c>
      <x:c r="G22" s="495" t="n">
        <x:f>SUMIFS('Specialisations'!$Q$6:$Q$527,'Specialisations'!$A$6:$A$527,A22,'Specialisations'!$B$6:$B$527,B22,'Specialisations'!$C$6:$C$527,"Guards")</x:f>
        <x:v>-27.74</x:v>
      </x:c>
      <x:c r="H22" s="495" t="n">
        <x:f>SUMIFS('Specialisations'!$Q$6:$Q$527,'Specialisations'!$A$6:$A$527,A22,'Specialisations'!$B$6:$B$527,B22,'Specialisations'!$C$6:$C$527,"Archers")</x:f>
        <x:v>30.38</x:v>
      </x:c>
      <x:c r="I22" s="495" t="n">
        <x:f>SUMIFS('Specialisations'!$Q$6:$Q$527,'Specialisations'!$A$6:$A$527,A22,'Specialisations'!$B$6:$B$527,B22,'Specialisations'!$C$6:$C$527,"Cavalry")</x:f>
        <x:v>35.98</x:v>
      </x:c>
      <x:c r="J22" s="495" t="n">
        <x:f>SUMIFS('Specialisations'!$Q$6:$Q$527,'Specialisations'!$A$6:$A$527,A22,'Specialisations'!$B$6:$B$527,B22,'Specialisations'!$C$6:$C$527,"Siege")</x:f>
        <x:v>0</x:v>
      </x:c>
      <x:c r="K22" s="495" t="n">
        <x:f>SUM(H22:J22)</x:f>
        <x:v>66.36</x:v>
      </x:c>
      <x:c r="L22" s="495" t="n">
        <x:f>SUM(G22,K22)</x:f>
        <x:v>38.620000000000005</x:v>
      </x:c>
      <x:c r="M22" s="433" t="n">
        <x:f>SUMIFS('Specialisations'!$N$6:$N$527,'Specialisations'!$A$6:$A$527,A22,'Specialisations'!$B$6:$B$527,B22,'Specialisations'!$C$6:$C$527,"Guards")</x:f>
        <x:v>2244300</x:v>
      </x:c>
      <x:c r="N22" s="433" t="n">
        <x:f>SUMIFS('Specialisations'!$N$6:$N$527,'Specialisations'!$A$6:$A$527,A22,'Specialisations'!$B$6:$B$527,B22,'Specialisations'!$C$6:$C$527,"&lt;&gt;Guards")</x:f>
        <x:v>5768600</x:v>
      </x:c>
      <x:c r="O22" s="433" t="n">
        <x:f>SUM(M22:N22)</x:f>
        <x:v>8012900</x:v>
      </x:c>
      <x:c r="P22" s="434" t="n">
        <x:f>IF(E22=0,"",K22/E22)</x:f>
        <x:v>33.18</x:v>
      </x:c>
      <x:c r="Q22" s="501" t="n">
        <x:f>IF(E22=0,"",IFERROR(100*(COUNTIFS($E$19:$E$186,"&gt;0",$K$19:$K$186,"&lt;"&amp;K22)+(COUNTIFS($E$19:$E$186,"&gt;0",$K$19:$K$186,K22)-1)/2)/(COUNTIF($E$19:$E$186,"&gt;0")-1),50))</x:f>
        <x:v>32.467532467532465</x:v>
      </x:c>
      <x:c r="R22" s="501" t="n">
        <x:f>IF(E22=0,"",IFERROR(100*(COUNTIFS($E$19:$E$186,"&gt;0",$N$19:$N$186,"&lt;"&amp;N22)+(COUNTIFS($E$19:$E$186,"&gt;0",$N$19:$N$186,N22)-1)/2)/(COUNTIF($E$19:$E$186,"&gt;0")-1),50))</x:f>
        <x:v>16.883116883116884</x:v>
      </x:c>
      <x:c r="S22" s="501" t="n">
        <x:f>IF(E22=0,"",Q22*$R$5+R22*$R$6)</x:f>
        <x:v>29.35064935064935</x:v>
      </x:c>
      <x:c r="T22" s="501" t="n">
        <x:f>IF(M22=0,"",IFERROR(100*(COUNTIFS($M$19:$M$186,"&gt;0",$G$19:$G$186,"&gt;"&amp;G22)+(COUNTIFS($M$19:$M$186,"&gt;0",$G$19:$G$186,G22)-1)/2)/(COUNTIF($M$19:$M$186,"&gt;0")-1),50))</x:f>
        <x:v>29.487179487179485</x:v>
      </x:c>
      <x:c r="U22" s="501" t="n">
        <x:f>IF(M22=0,"",IFERROR(100*(COUNTIFS($M$19:$M$186,"&gt;0",$M$19:$M$186,"&lt;"&amp;M22)+(COUNTIFS($M$19:$M$186,"&gt;0",$M$19:$M$186,M22)-1)/2)/(COUNTIF($M$19:$M$186,"&gt;0")-1),50))</x:f>
        <x:v>29.487179487179485</x:v>
      </x:c>
      <x:c r="V22" s="501" t="n">
        <x:f>IF(M22=0,"",T22*$R$5+U22*$R$6)</x:f>
        <x:v>29.48717948717949</x:v>
      </x:c>
      <x:c r="W22" s="431" t="n">
        <x:f>IF(E22=0,"",COUNTIFS($A$19:$A$186,A22,$S$19:$S$186,"&gt;"&amp;S22)+COUNTIFS($A$19:A22,A22,$E$19:E22,"&gt;0",$S$19:S22,S22))</x:f>
        <x:v>25</x:v>
      </x:c>
      <x:c r="X22" s="431" t="n">
        <x:f>IF(S22="","",1+COUNTIF($S$19:$S$186,"&gt;"&amp;S22))</x:f>
        <x:v>119</x:v>
      </x:c>
      <x:c r="Y22" s="431" t="n">
        <x:f>IF(V22="","",1+COUNTIFS($A$19:$A$186,A22,$V$19:$V$186,"&gt;"&amp;V22))</x:f>
        <x:v>3</x:v>
      </x:c>
      <x:c r="Z22" s="431" t="n">
        <x:f>IF(V22="","",1+COUNTIF($V$19:$V$186,"&gt;"&amp;V22))</x:f>
        <x:v>70</x:v>
      </x:c>
      <x:c r="AA22" s="430" t="str">
        <x:f>IF(C22=0,"No specialisations recorded",IF(D22&lt;C22,"Review missing level","Recorded skills only"))</x:f>
        <x:v>Recorded skills only</x:v>
      </x:c>
      <x:c r="AB22" s="601" t="n">
        <x:f>IF(OR(AP22&lt;&gt;"Yes",E22=0),"",IFERROR(100*(COUNTIFS($AP$19:$AP$186,"Yes",$E$19:$E$186,"&gt;0",$I$19:$I$186,"&lt;"&amp;I22)+(COUNTIFS($AP$19:$AP$186,"Yes",$E$19:$E$186,"&gt;0",$I$19:$I$186,I22)-1)/2)/(COUNTIFS($AP$19:$AP$186,"Yes",$E$19:$E$186,"&gt;0")-1),50))</x:f>
        <x:v>29.545454545454547</x:v>
      </x:c>
      <x:c r="AC22" s="601" t="n">
        <x:f>IF(AB22="","",AB22*'Specialisation Rankings'!$O$16+R22*'Specialisation Rankings'!$O$17)</x:f>
        <x:v>27.01298701298702</x:v>
      </x:c>
      <x:c r="AD22" s="601" t="n">
        <x:f>IF(AC22="","",COUNTIFS($A$19:$A$186,A22,$AP$19:$AP$186,"Yes",$E$19:$E$186,"&gt;0",$AC$19:$AC$186,"&gt;"&amp;AC22)+COUNTIFS($A$19:A22,A22,$AP$19:AP22,"Yes",$E$19:E22,"&gt;0",$AC$19:AC22,AC22))</x:f>
        <x:v>25</x:v>
      </x:c>
      <x:c r="AE22" s="601" t="n">
        <x:f>IF(OR(AP22&lt;&gt;"Yes",E22=0),"",IFERROR(100*(COUNTIFS($AP$19:$AP$186,"Yes",$E$19:$E$186,"&gt;0",$H$19:$H$186,"&lt;"&amp;H22)+(COUNTIFS($AP$19:$AP$186,"Yes",$E$19:$E$186,"&gt;0",$H$19:$H$186,H22)-1)/2)/(COUNTIFS($AP$19:$AP$186,"Yes",$E$19:$E$186,"&gt;0")-1),50))</x:f>
        <x:v>52.5974025974026</x:v>
      </x:c>
      <x:c r="AF22" s="601" t="n">
        <x:f>IF(AE22="","",AE22*'Specialisation Rankings'!$O$16+R22*'Specialisation Rankings'!$O$17)</x:f>
        <x:v>45.45454545454546</x:v>
      </x:c>
      <x:c r="AG22" s="601" t="n">
        <x:f>IF(AF22="","",COUNTIFS($A$19:$A$186,A22,$AP$19:$AP$186,"Yes",$E$19:$E$186,"&gt;0",$AF$19:$AF$186,"&gt;"&amp;AF22)+COUNTIFS($A$19:A22,A22,$AP$19:AP22,"Yes",$E$19:E22,"&gt;0",$AF$19:AF22,AF22))</x:f>
        <x:v>18</x:v>
      </x:c>
      <x:c r="AH22" s="601" t="n">
        <x:f>IF(OR(AP22&lt;&gt;"Yes",E22=0),"",IFERROR(100*(COUNTIFS($AP$19:$AP$186,"Yes",$E$19:$E$186,"&gt;0",$J$19:$J$186,"&lt;"&amp;J22)+(COUNTIFS($AP$19:$AP$186,"Yes",$E$19:$E$186,"&gt;0",$J$19:$J$186,J22)-1)/2)/(COUNTIFS($AP$19:$AP$186,"Yes",$E$19:$E$186,"&gt;0")-1),50))</x:f>
        <x:v>33.116883116883116</x:v>
      </x:c>
      <x:c r="AI22" s="601" t="n">
        <x:f>IF(AH22="","",AH22*'Specialisation Rankings'!$O$16+R22*'Specialisation Rankings'!$O$17)</x:f>
        <x:v>29.870129870129873</x:v>
      </x:c>
      <x:c r="AJ22" s="601" t="n">
        <x:f>IF(AI22="","",COUNTIFS($A$19:$A$186,A22,$AP$19:$AP$186,"Yes",$E$19:$E$186,"&gt;0",$AI$19:$AI$186,"&gt;"&amp;AI22)+COUNTIFS($A$19:A22,A22,$AP$19:AP22,"Yes",$E$19:E22,"&gt;0",$AI$19:AI22,AI22))</x:f>
        <x:v>25</x:v>
      </x:c>
      <x:c r="AK22" s="601" t="n">
        <x:f>IF(OR(AP22&lt;&gt;"Yes",E22=0),"",IF(M22=0,'Specialisation Rankings'!$O$23,V22))</x:f>
        <x:v>29.48717948717949</x:v>
      </x:c>
      <x:c r="AL22" s="601" t="n">
        <x:f>IF(AK22="","",COUNTIFS($A$19:$A$186,A22,$AP$19:$AP$186,"Yes",$E$19:$E$186,"&gt;0",$AK$19:$AK$186,"&gt;"&amp;AK22)+COUNTIFS($A$19:A22,A22,$AP$19:AP22,"Yes",$E$19:E22,"&gt;0",$AK$19:AK22,AK22))</x:f>
        <x:v>10</x:v>
      </x:c>
      <x:c r="AM22" s="601" t="n">
        <x:f>IF(AC22="","",AC22*'Specialisation Rankings'!$O$18+AF22*'Specialisation Rankings'!$O$19+AI22*'Specialisation Rankings'!$O$20+AK22*'Specialisation Rankings'!$O$21)</x:f>
        <x:v>29.533133533133537</x:v>
      </x:c>
      <x:c r="AN22" s="601" t="n">
        <x:f>IF(AM22="","",COUNTIFS($A$19:$A$186,A22,$AP$19:$AP$186,"Yes",$E$19:$E$186,"&gt;0",$AM$19:$AM$186,"&gt;"&amp;AM22)+COUNTIFS($A$19:A22,A22,$AP$19:AP22,"Yes",$E$19:E22,"&gt;0",$AM$19:AM22,AM22))</x:f>
        <x:v>25</x:v>
      </x:c>
      <x:c r="AO22" s="601" t="n">
        <x:f>IF(AM22="","",COUNTIFS($AP$19:$AP$186,"Yes",$E$19:$E$186,"&gt;0",$AM$19:$AM$186,"&gt;"&amp;AM22)+COUNTIFS($AP$19:AP22,"Yes",$E$19:E22,"&gt;0",$AM$19:AM22,AM22))</x:f>
        <x:v>126</x:v>
      </x:c>
      <x:c r="AP22" s="602" t="str">
        <x:f>IF(COUNTIFS('Player Scenario Model'!$A$6:$A$172,A22,'Player Scenario Model'!$B$6:$B$172,B22)&gt;0,"Yes","No")</x:f>
        <x:v>Yes</x:v>
      </x:c>
    </x:row>
    <x:row r="23" ht="24" customHeight="1">
      <x:c r="A23" s="430" t="str">
        <x:v>K60</x:v>
      </x:c>
      <x:c r="B23" s="430" t="str">
        <x:v>KingSkorpioN</x:v>
      </x:c>
      <x:c r="C23" s="431" t="n">
        <x:f>COUNTIFS('Specialisations'!$A$6:$A$527,A23,'Specialisations'!$B$6:$B$527,B23)</x:f>
        <x:v>3</x:v>
      </x:c>
      <x:c r="D23" s="431" t="n">
        <x:f>COUNTIFS('Specialisations'!$A$6:$A$527,A23,'Specialisations'!$B$6:$B$527,B23,'Specialisations'!$P$6:$P$527,"OK")</x:f>
        <x:v>3</x:v>
      </x:c>
      <x:c r="E23" s="431" t="n">
        <x:f>COUNTIFS('Specialisations'!$A$6:$A$527,A23,'Specialisations'!$B$6:$B$527,B23,'Specialisations'!$P$6:$P$527,"OK",'Specialisations'!$C$6:$C$527,"&lt;&gt;Guards")</x:f>
        <x:v>2</x:v>
      </x:c>
      <x:c r="F23" s="432" t="n">
        <x:f>IF(C23=0,"",D23/C23)</x:f>
        <x:v>1</x:v>
      </x:c>
      <x:c r="G23" s="495" t="n">
        <x:f>SUMIFS('Specialisations'!$Q$6:$Q$527,'Specialisations'!$A$6:$A$527,A23,'Specialisations'!$B$6:$B$527,B23,'Specialisations'!$C$6:$C$527,"Guards")</x:f>
        <x:v>-27.74</x:v>
      </x:c>
      <x:c r="H23" s="495" t="n">
        <x:f>SUMIFS('Specialisations'!$Q$6:$Q$527,'Specialisations'!$A$6:$A$527,A23,'Specialisations'!$B$6:$B$527,B23,'Specialisations'!$C$6:$C$527,"Archers")</x:f>
        <x:v>33.13</x:v>
      </x:c>
      <x:c r="I23" s="495" t="n">
        <x:f>SUMIFS('Specialisations'!$Q$6:$Q$527,'Specialisations'!$A$6:$A$527,A23,'Specialisations'!$B$6:$B$527,B23,'Specialisations'!$C$6:$C$527,"Cavalry")</x:f>
        <x:v>45.13</x:v>
      </x:c>
      <x:c r="J23" s="495" t="n">
        <x:f>SUMIFS('Specialisations'!$Q$6:$Q$527,'Specialisations'!$A$6:$A$527,A23,'Specialisations'!$B$6:$B$527,B23,'Specialisations'!$C$6:$C$527,"Siege")</x:f>
        <x:v>0</x:v>
      </x:c>
      <x:c r="K23" s="495" t="n">
        <x:f>SUM(H23:J23)</x:f>
        <x:v>78.26</x:v>
      </x:c>
      <x:c r="L23" s="495" t="n">
        <x:f>SUM(G23,K23)</x:f>
        <x:v>50.52000000000001</x:v>
      </x:c>
      <x:c r="M23" s="433" t="n">
        <x:f>SUMIFS('Specialisations'!$N$6:$N$527,'Specialisations'!$A$6:$A$527,A23,'Specialisations'!$B$6:$B$527,B23,'Specialisations'!$C$6:$C$527,"Guards")</x:f>
        <x:v>2244300</x:v>
      </x:c>
      <x:c r="N23" s="433" t="n">
        <x:f>SUMIFS('Specialisations'!$N$6:$N$527,'Specialisations'!$A$6:$A$527,A23,'Specialisations'!$B$6:$B$527,B23,'Specialisations'!$C$6:$C$527,"&lt;&gt;Guards")</x:f>
        <x:v>7848600</x:v>
      </x:c>
      <x:c r="O23" s="433" t="n">
        <x:f>SUM(M23:N23)</x:f>
        <x:v>10092900</x:v>
      </x:c>
      <x:c r="P23" s="434" t="n">
        <x:f>IF(E23=0,"",K23/E23)</x:f>
        <x:v>39.13</x:v>
      </x:c>
      <x:c r="Q23" s="501" t="n">
        <x:f>IF(E23=0,"",IFERROR(100*(COUNTIFS($E$19:$E$186,"&gt;0",$K$19:$K$186,"&lt;"&amp;K23)+(COUNTIFS($E$19:$E$186,"&gt;0",$K$19:$K$186,K23)-1)/2)/(COUNTIF($E$19:$E$186,"&gt;0")-1),50))</x:f>
        <x:v>36.36363636363637</x:v>
      </x:c>
      <x:c r="R23" s="501" t="n">
        <x:f>IF(E23=0,"",IFERROR(100*(COUNTIFS($E$19:$E$186,"&gt;0",$N$19:$N$186,"&lt;"&amp;N23)+(COUNTIFS($E$19:$E$186,"&gt;0",$N$19:$N$186,N23)-1)/2)/(COUNTIF($E$19:$E$186,"&gt;0")-1),50))</x:f>
        <x:v>25.974025974025974</x:v>
      </x:c>
      <x:c r="S23" s="501" t="n">
        <x:f>IF(E23=0,"",Q23*$R$5+R23*$R$6)</x:f>
        <x:v>34.285714285714285</x:v>
      </x:c>
      <x:c r="T23" s="501" t="n">
        <x:f>IF(M23=0,"",IFERROR(100*(COUNTIFS($M$19:$M$186,"&gt;0",$G$19:$G$186,"&gt;"&amp;G23)+(COUNTIFS($M$19:$M$186,"&gt;0",$G$19:$G$186,G23)-1)/2)/(COUNTIF($M$19:$M$186,"&gt;0")-1),50))</x:f>
        <x:v>29.487179487179485</x:v>
      </x:c>
      <x:c r="U23" s="501" t="n">
        <x:f>IF(M23=0,"",IFERROR(100*(COUNTIFS($M$19:$M$186,"&gt;0",$M$19:$M$186,"&lt;"&amp;M23)+(COUNTIFS($M$19:$M$186,"&gt;0",$M$19:$M$186,M23)-1)/2)/(COUNTIF($M$19:$M$186,"&gt;0")-1),50))</x:f>
        <x:v>29.487179487179485</x:v>
      </x:c>
      <x:c r="V23" s="501" t="n">
        <x:f>IF(M23=0,"",T23*$R$5+U23*$R$6)</x:f>
        <x:v>29.48717948717949</x:v>
      </x:c>
      <x:c r="W23" s="431" t="n">
        <x:f>IF(E23=0,"",COUNTIFS($A$19:$A$186,A23,$S$19:$S$186,"&gt;"&amp;S23)+COUNTIFS($A$19:A23,A23,$E$19:E23,"&gt;0",$S$19:S23,S23))</x:f>
        <x:v>24</x:v>
      </x:c>
      <x:c r="X23" s="431" t="n">
        <x:f>IF(S23="","",1+COUNTIF($S$19:$S$186,"&gt;"&amp;S23))</x:f>
        <x:v>102</x:v>
      </x:c>
      <x:c r="Y23" s="431" t="n">
        <x:f>IF(V23="","",1+COUNTIFS($A$19:$A$186,A23,$V$19:$V$186,"&gt;"&amp;V23))</x:f>
        <x:v>3</x:v>
      </x:c>
      <x:c r="Z23" s="431" t="n">
        <x:f>IF(V23="","",1+COUNTIF($V$19:$V$186,"&gt;"&amp;V23))</x:f>
        <x:v>70</x:v>
      </x:c>
      <x:c r="AA23" s="430" t="str">
        <x:f>IF(C23=0,"No specialisations recorded",IF(D23&lt;C23,"Review missing level","Recorded skills only"))</x:f>
        <x:v>Recorded skills only</x:v>
      </x:c>
      <x:c r="AB23" s="601" t="n">
        <x:f>IF(OR(AP23&lt;&gt;"Yes",E23=0),"",IFERROR(100*(COUNTIFS($AP$19:$AP$186,"Yes",$E$19:$E$186,"&gt;0",$I$19:$I$186,"&lt;"&amp;I23)+(COUNTIFS($AP$19:$AP$186,"Yes",$E$19:$E$186,"&gt;0",$I$19:$I$186,I23)-1)/2)/(COUNTIFS($AP$19:$AP$186,"Yes",$E$19:$E$186,"&gt;0")-1),50))</x:f>
        <x:v>37.66233766233766</x:v>
      </x:c>
      <x:c r="AC23" s="601" t="n">
        <x:f>IF(AB23="","",AB23*'Specialisation Rankings'!$O$16+R23*'Specialisation Rankings'!$O$17)</x:f>
        <x:v>35.324675324675326</x:v>
      </x:c>
      <x:c r="AD23" s="601" t="n">
        <x:f>IF(AC23="","",COUNTIFS($A$19:$A$186,A23,$AP$19:$AP$186,"Yes",$E$19:$E$186,"&gt;0",$AC$19:$AC$186,"&gt;"&amp;AC23)+COUNTIFS($A$19:A23,A23,$AP$19:AP23,"Yes",$E$19:E23,"&gt;0",$AC$19:AC23,AC23))</x:f>
        <x:v>23</x:v>
      </x:c>
      <x:c r="AE23" s="601" t="n">
        <x:f>IF(OR(AP23&lt;&gt;"Yes",E23=0),"",IFERROR(100*(COUNTIFS($AP$19:$AP$186,"Yes",$E$19:$E$186,"&gt;0",$H$19:$H$186,"&lt;"&amp;H23)+(COUNTIFS($AP$19:$AP$186,"Yes",$E$19:$E$186,"&gt;0",$H$19:$H$186,H23)-1)/2)/(COUNTIFS($AP$19:$AP$186,"Yes",$E$19:$E$186,"&gt;0")-1),50))</x:f>
        <x:v>56.493506493506494</x:v>
      </x:c>
      <x:c r="AF23" s="601" t="n">
        <x:f>IF(AE23="","",AE23*'Specialisation Rankings'!$O$16+R23*'Specialisation Rankings'!$O$17)</x:f>
        <x:v>50.3896103896104</x:v>
      </x:c>
      <x:c r="AG23" s="601" t="n">
        <x:f>IF(AF23="","",COUNTIFS($A$19:$A$186,A23,$AP$19:$AP$186,"Yes",$E$19:$E$186,"&gt;0",$AF$19:$AF$186,"&gt;"&amp;AF23)+COUNTIFS($A$19:A23,A23,$AP$19:AP23,"Yes",$E$19:E23,"&gt;0",$AF$19:AF23,AF23))</x:f>
        <x:v>11</x:v>
      </x:c>
      <x:c r="AH23" s="601" t="n">
        <x:f>IF(OR(AP23&lt;&gt;"Yes",E23=0),"",IFERROR(100*(COUNTIFS($AP$19:$AP$186,"Yes",$E$19:$E$186,"&gt;0",$J$19:$J$186,"&lt;"&amp;J23)+(COUNTIFS($AP$19:$AP$186,"Yes",$E$19:$E$186,"&gt;0",$J$19:$J$186,J23)-1)/2)/(COUNTIFS($AP$19:$AP$186,"Yes",$E$19:$E$186,"&gt;0")-1),50))</x:f>
        <x:v>33.116883116883116</x:v>
      </x:c>
      <x:c r="AI23" s="601" t="n">
        <x:f>IF(AH23="","",AH23*'Specialisation Rankings'!$O$16+R23*'Specialisation Rankings'!$O$17)</x:f>
        <x:v>31.68831168831169</x:v>
      </x:c>
      <x:c r="AJ23" s="601" t="n">
        <x:f>IF(AI23="","",COUNTIFS($A$19:$A$186,A23,$AP$19:$AP$186,"Yes",$E$19:$E$186,"&gt;0",$AI$19:$AI$186,"&gt;"&amp;AI23)+COUNTIFS($A$19:A23,A23,$AP$19:AP23,"Yes",$E$19:E23,"&gt;0",$AI$19:AI23,AI23))</x:f>
        <x:v>24</x:v>
      </x:c>
      <x:c r="AK23" s="601" t="n">
        <x:f>IF(OR(AP23&lt;&gt;"Yes",E23=0),"",IF(M23=0,'Specialisation Rankings'!$O$23,V23))</x:f>
        <x:v>29.48717948717949</x:v>
      </x:c>
      <x:c r="AL23" s="601" t="n">
        <x:f>IF(AK23="","",COUNTIFS($A$19:$A$186,A23,$AP$19:$AP$186,"Yes",$E$19:$E$186,"&gt;0",$AK$19:$AK$186,"&gt;"&amp;AK23)+COUNTIFS($A$19:A23,A23,$AP$19:AP23,"Yes",$E$19:E23,"&gt;0",$AK$19:AK23,AK23))</x:f>
        <x:v>11</x:v>
      </x:c>
      <x:c r="AM23" s="601" t="n">
        <x:f>IF(AC23="","",AC23*'Specialisation Rankings'!$O$18+AF23*'Specialisation Rankings'!$O$19+AI23*'Specialisation Rankings'!$O$20+AK23*'Specialisation Rankings'!$O$21)</x:f>
        <x:v>35.701964701964705</x:v>
      </x:c>
      <x:c r="AN23" s="601" t="n">
        <x:f>IF(AM23="","",COUNTIFS($A$19:$A$186,A23,$AP$19:$AP$186,"Yes",$E$19:$E$186,"&gt;0",$AM$19:$AM$186,"&gt;"&amp;AM23)+COUNTIFS($A$19:A23,A23,$AP$19:AP23,"Yes",$E$19:E23,"&gt;0",$AM$19:AM23,AM23))</x:f>
        <x:v>23</x:v>
      </x:c>
      <x:c r="AO23" s="601" t="n">
        <x:f>IF(AM23="","",COUNTIFS($AP$19:$AP$186,"Yes",$E$19:$E$186,"&gt;0",$AM$19:$AM$186,"&gt;"&amp;AM23)+COUNTIFS($AP$19:AP23,"Yes",$E$19:E23,"&gt;0",$AM$19:AM23,AM23))</x:f>
        <x:v>102</x:v>
      </x:c>
      <x:c r="AP23" s="602" t="str">
        <x:f>IF(COUNTIFS('Player Scenario Model'!$A$6:$A$172,A23,'Player Scenario Model'!$B$6:$B$172,B23)&gt;0,"Yes","No")</x:f>
        <x:v>Yes</x:v>
      </x:c>
    </x:row>
    <x:row r="24" ht="24" customHeight="1">
      <x:c r="A24" s="430" t="str">
        <x:v>K60</x:v>
      </x:c>
      <x:c r="B24" s="430" t="str">
        <x:v>Crixus</x:v>
      </x:c>
      <x:c r="C24" s="431" t="n">
        <x:f>COUNTIFS('Specialisations'!$A$6:$A$527,A24,'Specialisations'!$B$6:$B$527,B24)</x:f>
        <x:v>4</x:v>
      </x:c>
      <x:c r="D24" s="431" t="n">
        <x:f>COUNTIFS('Specialisations'!$A$6:$A$527,A24,'Specialisations'!$B$6:$B$527,B24,'Specialisations'!$P$6:$P$527,"OK")</x:f>
        <x:v>4</x:v>
      </x:c>
      <x:c r="E24" s="431" t="n">
        <x:f>COUNTIFS('Specialisations'!$A$6:$A$527,A24,'Specialisations'!$B$6:$B$527,B24,'Specialisations'!$P$6:$P$527,"OK",'Specialisations'!$C$6:$C$527,"&lt;&gt;Guards")</x:f>
        <x:v>3</x:v>
      </x:c>
      <x:c r="F24" s="432" t="n">
        <x:f>IF(C24=0,"",D24/C24)</x:f>
        <x:v>1</x:v>
      </x:c>
      <x:c r="G24" s="495" t="n">
        <x:f>SUMIFS('Specialisations'!$Q$6:$Q$527,'Specialisations'!$A$6:$A$527,A24,'Specialisations'!$B$6:$B$527,B24,'Specialisations'!$C$6:$C$527,"Guards")</x:f>
        <x:v>-27.74</x:v>
      </x:c>
      <x:c r="H24" s="495" t="n">
        <x:f>SUMIFS('Specialisations'!$Q$6:$Q$527,'Specialisations'!$A$6:$A$527,A24,'Specialisations'!$B$6:$B$527,B24,'Specialisations'!$C$6:$C$527,"Archers")</x:f>
        <x:v>30.38</x:v>
      </x:c>
      <x:c r="I24" s="495" t="n">
        <x:f>SUMIFS('Specialisations'!$Q$6:$Q$527,'Specialisations'!$A$6:$A$527,A24,'Specialisations'!$B$6:$B$527,B24,'Specialisations'!$C$6:$C$527,"Cavalry")</x:f>
        <x:v>79.86</x:v>
      </x:c>
      <x:c r="J24" s="495" t="n">
        <x:f>SUMIFS('Specialisations'!$Q$6:$Q$527,'Specialisations'!$A$6:$A$527,A24,'Specialisations'!$B$6:$B$527,B24,'Specialisations'!$C$6:$C$527,"Siege")</x:f>
        <x:v>0</x:v>
      </x:c>
      <x:c r="K24" s="495" t="n">
        <x:f>SUM(H24:J24)</x:f>
        <x:v>110.24</x:v>
      </x:c>
      <x:c r="L24" s="495" t="n">
        <x:f>SUM(G24,K24)</x:f>
        <x:v>82.5</x:v>
      </x:c>
      <x:c r="M24" s="433" t="n">
        <x:f>SUMIFS('Specialisations'!$N$6:$N$527,'Specialisations'!$A$6:$A$527,A24,'Specialisations'!$B$6:$B$527,B24,'Specialisations'!$C$6:$C$527,"Guards")</x:f>
        <x:v>2244300</x:v>
      </x:c>
      <x:c r="N24" s="433" t="n">
        <x:f>SUMIFS('Specialisations'!$N$6:$N$527,'Specialisations'!$A$6:$A$527,A24,'Specialisations'!$B$6:$B$527,B24,'Specialisations'!$C$6:$C$527,"&lt;&gt;Guards")</x:f>
        <x:v>9972900</x:v>
      </x:c>
      <x:c r="O24" s="433" t="n">
        <x:f>SUM(M24:N24)</x:f>
        <x:v>12217200</x:v>
      </x:c>
      <x:c r="P24" s="434" t="n">
        <x:f>IF(E24=0,"",K24/E24)</x:f>
        <x:v>36.74666666666666</x:v>
      </x:c>
      <x:c r="Q24" s="501" t="n">
        <x:f>IF(E24=0,"",IFERROR(100*(COUNTIFS($E$19:$E$186,"&gt;0",$K$19:$K$186,"&lt;"&amp;K24)+(COUNTIFS($E$19:$E$186,"&gt;0",$K$19:$K$186,K24)-1)/2)/(COUNTIF($E$19:$E$186,"&gt;0")-1),50))</x:f>
        <x:v>62.98701298701299</x:v>
      </x:c>
      <x:c r="R24" s="501" t="n">
        <x:f>IF(E24=0,"",IFERROR(100*(COUNTIFS($E$19:$E$186,"&gt;0",$N$19:$N$186,"&lt;"&amp;N24)+(COUNTIFS($E$19:$E$186,"&gt;0",$N$19:$N$186,N24)-1)/2)/(COUNTIF($E$19:$E$186,"&gt;0")-1),50))</x:f>
        <x:v>40.90909090909091</x:v>
      </x:c>
      <x:c r="S24" s="501" t="n">
        <x:f>IF(E24=0,"",Q24*$R$5+R24*$R$6)</x:f>
        <x:v>58.57142857142858</x:v>
      </x:c>
      <x:c r="T24" s="501" t="n">
        <x:f>IF(M24=0,"",IFERROR(100*(COUNTIFS($M$19:$M$186,"&gt;0",$G$19:$G$186,"&gt;"&amp;G24)+(COUNTIFS($M$19:$M$186,"&gt;0",$G$19:$G$186,G24)-1)/2)/(COUNTIF($M$19:$M$186,"&gt;0")-1),50))</x:f>
        <x:v>29.487179487179485</x:v>
      </x:c>
      <x:c r="U24" s="501" t="n">
        <x:f>IF(M24=0,"",IFERROR(100*(COUNTIFS($M$19:$M$186,"&gt;0",$M$19:$M$186,"&lt;"&amp;M24)+(COUNTIFS($M$19:$M$186,"&gt;0",$M$19:$M$186,M24)-1)/2)/(COUNTIF($M$19:$M$186,"&gt;0")-1),50))</x:f>
        <x:v>29.487179487179485</x:v>
      </x:c>
      <x:c r="V24" s="501" t="n">
        <x:f>IF(M24=0,"",T24*$R$5+U24*$R$6)</x:f>
        <x:v>29.48717948717949</x:v>
      </x:c>
      <x:c r="W24" s="431" t="n">
        <x:f>IF(E24=0,"",COUNTIFS($A$19:$A$186,A24,$S$19:$S$186,"&gt;"&amp;S24)+COUNTIFS($A$19:A24,A24,$E$19:E24,"&gt;0",$S$19:S24,S24))</x:f>
        <x:v>15</x:v>
      </x:c>
      <x:c r="X24" s="431" t="n">
        <x:f>IF(S24="","",1+COUNTIF($S$19:$S$186,"&gt;"&amp;S24))</x:f>
        <x:v>61</x:v>
      </x:c>
      <x:c r="Y24" s="431" t="n">
        <x:f>IF(V24="","",1+COUNTIFS($A$19:$A$186,A24,$V$19:$V$186,"&gt;"&amp;V24))</x:f>
        <x:v>3</x:v>
      </x:c>
      <x:c r="Z24" s="431" t="n">
        <x:f>IF(V24="","",1+COUNTIF($V$19:$V$186,"&gt;"&amp;V24))</x:f>
        <x:v>70</x:v>
      </x:c>
      <x:c r="AA24" s="430" t="str">
        <x:f>IF(C24=0,"No specialisations recorded",IF(D24&lt;C24,"Review missing level","Recorded skills only"))</x:f>
        <x:v>Recorded skills only</x:v>
      </x:c>
      <x:c r="AB24" s="601" t="n">
        <x:f>IF(OR(AP24&lt;&gt;"Yes",E24=0),"",IFERROR(100*(COUNTIFS($AP$19:$AP$186,"Yes",$E$19:$E$186,"&gt;0",$I$19:$I$186,"&lt;"&amp;I24)+(COUNTIFS($AP$19:$AP$186,"Yes",$E$19:$E$186,"&gt;0",$I$19:$I$186,I24)-1)/2)/(COUNTIFS($AP$19:$AP$186,"Yes",$E$19:$E$186,"&gt;0")-1),50))</x:f>
        <x:v>62.66233766233766</x:v>
      </x:c>
      <x:c r="AC24" s="601" t="n">
        <x:f>IF(AB24="","",AB24*'Specialisation Rankings'!$O$16+R24*'Specialisation Rankings'!$O$17)</x:f>
        <x:v>58.311688311688314</x:v>
      </x:c>
      <x:c r="AD24" s="601" t="n">
        <x:f>IF(AC24="","",COUNTIFS($A$19:$A$186,A24,$AP$19:$AP$186,"Yes",$E$19:$E$186,"&gt;0",$AC$19:$AC$186,"&gt;"&amp;AC24)+COUNTIFS($A$19:A24,A24,$AP$19:AP24,"Yes",$E$19:E24,"&gt;0",$AC$19:AC24,AC24))</x:f>
        <x:v>17</x:v>
      </x:c>
      <x:c r="AE24" s="601" t="n">
        <x:f>IF(OR(AP24&lt;&gt;"Yes",E24=0),"",IFERROR(100*(COUNTIFS($AP$19:$AP$186,"Yes",$E$19:$E$186,"&gt;0",$H$19:$H$186,"&lt;"&amp;H24)+(COUNTIFS($AP$19:$AP$186,"Yes",$E$19:$E$186,"&gt;0",$H$19:$H$186,H24)-1)/2)/(COUNTIFS($AP$19:$AP$186,"Yes",$E$19:$E$186,"&gt;0")-1),50))</x:f>
        <x:v>52.5974025974026</x:v>
      </x:c>
      <x:c r="AF24" s="601" t="n">
        <x:f>IF(AE24="","",AE24*'Specialisation Rankings'!$O$16+R24*'Specialisation Rankings'!$O$17)</x:f>
        <x:v>50.25974025974026</x:v>
      </x:c>
      <x:c r="AG24" s="601" t="n">
        <x:f>IF(AF24="","",COUNTIFS($A$19:$A$186,A24,$AP$19:$AP$186,"Yes",$E$19:$E$186,"&gt;0",$AF$19:$AF$186,"&gt;"&amp;AF24)+COUNTIFS($A$19:A24,A24,$AP$19:AP24,"Yes",$E$19:E24,"&gt;0",$AF$19:AF24,AF24))</x:f>
        <x:v>12</x:v>
      </x:c>
      <x:c r="AH24" s="601" t="n">
        <x:f>IF(OR(AP24&lt;&gt;"Yes",E24=0),"",IFERROR(100*(COUNTIFS($AP$19:$AP$186,"Yes",$E$19:$E$186,"&gt;0",$J$19:$J$186,"&lt;"&amp;J24)+(COUNTIFS($AP$19:$AP$186,"Yes",$E$19:$E$186,"&gt;0",$J$19:$J$186,J24)-1)/2)/(COUNTIFS($AP$19:$AP$186,"Yes",$E$19:$E$186,"&gt;0")-1),50))</x:f>
        <x:v>33.116883116883116</x:v>
      </x:c>
      <x:c r="AI24" s="601" t="n">
        <x:f>IF(AH24="","",AH24*'Specialisation Rankings'!$O$16+R24*'Specialisation Rankings'!$O$17)</x:f>
        <x:v>34.675324675324674</x:v>
      </x:c>
      <x:c r="AJ24" s="601" t="n">
        <x:f>IF(AI24="","",COUNTIFS($A$19:$A$186,A24,$AP$19:$AP$186,"Yes",$E$19:$E$186,"&gt;0",$AI$19:$AI$186,"&gt;"&amp;AI24)+COUNTIFS($A$19:A24,A24,$AP$19:AP24,"Yes",$E$19:E24,"&gt;0",$AI$19:AI24,AI24))</x:f>
        <x:v>17</x:v>
      </x:c>
      <x:c r="AK24" s="601" t="n">
        <x:f>IF(OR(AP24&lt;&gt;"Yes",E24=0),"",IF(M24=0,'Specialisation Rankings'!$O$23,V24))</x:f>
        <x:v>29.48717948717949</x:v>
      </x:c>
      <x:c r="AL24" s="601" t="n">
        <x:f>IF(AK24="","",COUNTIFS($A$19:$A$186,A24,$AP$19:$AP$186,"Yes",$E$19:$E$186,"&gt;0",$AK$19:$AK$186,"&gt;"&amp;AK24)+COUNTIFS($A$19:A24,A24,$AP$19:AP24,"Yes",$E$19:E24,"&gt;0",$AK$19:AK24,AK24))</x:f>
        <x:v>12</x:v>
      </x:c>
      <x:c r="AM24" s="601" t="n">
        <x:f>IF(AC24="","",AC24*'Specialisation Rankings'!$O$18+AF24*'Specialisation Rankings'!$O$19+AI24*'Specialisation Rankings'!$O$20+AK24*'Specialisation Rankings'!$O$21)</x:f>
        <x:v>51.07858807858808</x:v>
      </x:c>
      <x:c r="AN24" s="601" t="n">
        <x:f>IF(AM24="","",COUNTIFS($A$19:$A$186,A24,$AP$19:$AP$186,"Yes",$E$19:$E$186,"&gt;0",$AM$19:$AM$186,"&gt;"&amp;AM24)+COUNTIFS($A$19:A24,A24,$AP$19:AP24,"Yes",$E$19:E24,"&gt;0",$AM$19:AM24,AM24))</x:f>
        <x:v>17</x:v>
      </x:c>
      <x:c r="AO24" s="601" t="n">
        <x:f>IF(AM24="","",COUNTIFS($AP$19:$AP$186,"Yes",$E$19:$E$186,"&gt;0",$AM$19:$AM$186,"&gt;"&amp;AM24)+COUNTIFS($AP$19:AP24,"Yes",$E$19:E24,"&gt;0",$AM$19:AM24,AM24))</x:f>
        <x:v>68</x:v>
      </x:c>
      <x:c r="AP24" s="602" t="str">
        <x:f>IF(COUNTIFS('Player Scenario Model'!$A$6:$A$172,A24,'Player Scenario Model'!$B$6:$B$172,B24)&gt;0,"Yes","No")</x:f>
        <x:v>Yes</x:v>
      </x:c>
    </x:row>
    <x:row r="25" ht="24" customHeight="1">
      <x:c r="A25" s="430" t="str">
        <x:v>K60</x:v>
      </x:c>
      <x:c r="B25" s="430" t="str">
        <x:v>Ёжик</x:v>
      </x:c>
      <x:c r="C25" s="431" t="n">
        <x:f>COUNTIFS('Specialisations'!$A$6:$A$527,A25,'Specialisations'!$B$6:$B$527,B25)</x:f>
        <x:v>4</x:v>
      </x:c>
      <x:c r="D25" s="431" t="n">
        <x:f>COUNTIFS('Specialisations'!$A$6:$A$527,A25,'Specialisations'!$B$6:$B$527,B25,'Specialisations'!$P$6:$P$527,"OK")</x:f>
        <x:v>4</x:v>
      </x:c>
      <x:c r="E25" s="431" t="n">
        <x:f>COUNTIFS('Specialisations'!$A$6:$A$527,A25,'Specialisations'!$B$6:$B$527,B25,'Specialisations'!$P$6:$P$527,"OK",'Specialisations'!$C$6:$C$527,"&lt;&gt;Guards")</x:f>
        <x:v>3</x:v>
      </x:c>
      <x:c r="F25" s="432" t="n">
        <x:f>IF(C25=0,"",D25/C25)</x:f>
        <x:v>1</x:v>
      </x:c>
      <x:c r="G25" s="495" t="n">
        <x:f>SUMIFS('Specialisations'!$Q$6:$Q$527,'Specialisations'!$A$6:$A$527,A25,'Specialisations'!$B$6:$B$527,B25,'Specialisations'!$C$6:$C$527,"Guards")</x:f>
        <x:v>-27.74</x:v>
      </x:c>
      <x:c r="H25" s="495" t="n">
        <x:f>SUMIFS('Specialisations'!$Q$6:$Q$527,'Specialisations'!$A$6:$A$527,A25,'Specialisations'!$B$6:$B$527,B25,'Specialisations'!$C$6:$C$527,"Archers")</x:f>
        <x:v>27.74</x:v>
      </x:c>
      <x:c r="I25" s="495" t="n">
        <x:f>SUMIFS('Specialisations'!$Q$6:$Q$527,'Specialisations'!$A$6:$A$527,A25,'Specialisations'!$B$6:$B$527,B25,'Specialisations'!$C$6:$C$527,"Cavalry")</x:f>
        <x:v>87.11</x:v>
      </x:c>
      <x:c r="J25" s="495" t="n">
        <x:f>SUMIFS('Specialisations'!$Q$6:$Q$527,'Specialisations'!$A$6:$A$527,A25,'Specialisations'!$B$6:$B$527,B25,'Specialisations'!$C$6:$C$527,"Siege")</x:f>
        <x:v>0</x:v>
      </x:c>
      <x:c r="K25" s="495" t="n">
        <x:f>SUM(H25:J25)</x:f>
        <x:v>114.85</x:v>
      </x:c>
      <x:c r="L25" s="495" t="n">
        <x:f>SUM(G25,K25)</x:f>
        <x:v>87.11</x:v>
      </x:c>
      <x:c r="M25" s="433" t="n">
        <x:f>SUMIFS('Specialisations'!$N$6:$N$527,'Specialisations'!$A$6:$A$527,A25,'Specialisations'!$B$6:$B$527,B25,'Specialisations'!$C$6:$C$527,"Guards")</x:f>
        <x:v>2244300</x:v>
      </x:c>
      <x:c r="N25" s="433" t="n">
        <x:f>SUMIFS('Specialisations'!$N$6:$N$527,'Specialisations'!$A$6:$A$527,A25,'Specialisations'!$B$6:$B$527,B25,'Specialisations'!$C$6:$C$527,"&lt;&gt;Guards")</x:f>
        <x:v>11532900</x:v>
      </x:c>
      <x:c r="O25" s="433" t="n">
        <x:f>SUM(M25:N25)</x:f>
        <x:v>13777200</x:v>
      </x:c>
      <x:c r="P25" s="434" t="n">
        <x:f>IF(E25=0,"",K25/E25)</x:f>
        <x:v>38.28333333333333</x:v>
      </x:c>
      <x:c r="Q25" s="501" t="n">
        <x:f>IF(E25=0,"",IFERROR(100*(COUNTIFS($E$19:$E$186,"&gt;0",$K$19:$K$186,"&lt;"&amp;K25)+(COUNTIFS($E$19:$E$186,"&gt;0",$K$19:$K$186,K25)-1)/2)/(COUNTIF($E$19:$E$186,"&gt;0")-1),50))</x:f>
        <x:v>67.20779220779221</x:v>
      </x:c>
      <x:c r="R25" s="501" t="n">
        <x:f>IF(E25=0,"",IFERROR(100*(COUNTIFS($E$19:$E$186,"&gt;0",$N$19:$N$186,"&lt;"&amp;N25)+(COUNTIFS($E$19:$E$186,"&gt;0",$N$19:$N$186,N25)-1)/2)/(COUNTIF($E$19:$E$186,"&gt;0")-1),50))</x:f>
        <x:v>59.41558441558441</x:v>
      </x:c>
      <x:c r="S25" s="501" t="n">
        <x:f>IF(E25=0,"",Q25*$R$5+R25*$R$6)</x:f>
        <x:v>65.64935064935065</x:v>
      </x:c>
      <x:c r="T25" s="501" t="n">
        <x:f>IF(M25=0,"",IFERROR(100*(COUNTIFS($M$19:$M$186,"&gt;0",$G$19:$G$186,"&gt;"&amp;G25)+(COUNTIFS($M$19:$M$186,"&gt;0",$G$19:$G$186,G25)-1)/2)/(COUNTIF($M$19:$M$186,"&gt;0")-1),50))</x:f>
        <x:v>29.487179487179485</x:v>
      </x:c>
      <x:c r="U25" s="501" t="n">
        <x:f>IF(M25=0,"",IFERROR(100*(COUNTIFS($M$19:$M$186,"&gt;0",$M$19:$M$186,"&lt;"&amp;M25)+(COUNTIFS($M$19:$M$186,"&gt;0",$M$19:$M$186,M25)-1)/2)/(COUNTIF($M$19:$M$186,"&gt;0")-1),50))</x:f>
        <x:v>29.487179487179485</x:v>
      </x:c>
      <x:c r="V25" s="501" t="n">
        <x:f>IF(M25=0,"",T25*$R$5+U25*$R$6)</x:f>
        <x:v>29.48717948717949</x:v>
      </x:c>
      <x:c r="W25" s="431" t="n">
        <x:f>IF(E25=0,"",COUNTIFS($A$19:$A$186,A25,$S$19:$S$186,"&gt;"&amp;S25)+COUNTIFS($A$19:A25,A25,$E$19:E25,"&gt;0",$S$19:S25,S25))</x:f>
        <x:v>11</x:v>
      </x:c>
      <x:c r="X25" s="431" t="n">
        <x:f>IF(S25="","",1+COUNTIF($S$19:$S$186,"&gt;"&amp;S25))</x:f>
        <x:v>51</x:v>
      </x:c>
      <x:c r="Y25" s="431" t="n">
        <x:f>IF(V25="","",1+COUNTIFS($A$19:$A$186,A25,$V$19:$V$186,"&gt;"&amp;V25))</x:f>
        <x:v>3</x:v>
      </x:c>
      <x:c r="Z25" s="431" t="n">
        <x:f>IF(V25="","",1+COUNTIF($V$19:$V$186,"&gt;"&amp;V25))</x:f>
        <x:v>70</x:v>
      </x:c>
      <x:c r="AA25" s="430" t="str">
        <x:f>IF(C25=0,"No specialisations recorded",IF(D25&lt;C25,"Review missing level","Recorded skills only"))</x:f>
        <x:v>Recorded skills only</x:v>
      </x:c>
      <x:c r="AB25" s="601" t="n">
        <x:f>IF(OR(AP25&lt;&gt;"Yes",E25=0),"",IFERROR(100*(COUNTIFS($AP$19:$AP$186,"Yes",$E$19:$E$186,"&gt;0",$I$19:$I$186,"&lt;"&amp;I25)+(COUNTIFS($AP$19:$AP$186,"Yes",$E$19:$E$186,"&gt;0",$I$19:$I$186,I25)-1)/2)/(COUNTIFS($AP$19:$AP$186,"Yes",$E$19:$E$186,"&gt;0")-1),50))</x:f>
        <x:v>73.05194805194805</x:v>
      </x:c>
      <x:c r="AC25" s="601" t="n">
        <x:f>IF(AB25="","",AB25*'Specialisation Rankings'!$O$16+R25*'Specialisation Rankings'!$O$17)</x:f>
        <x:v>70.32467532467533</x:v>
      </x:c>
      <x:c r="AD25" s="601" t="n">
        <x:f>IF(AC25="","",COUNTIFS($A$19:$A$186,A25,$AP$19:$AP$186,"Yes",$E$19:$E$186,"&gt;0",$AC$19:$AC$186,"&gt;"&amp;AC25)+COUNTIFS($A$19:A25,A25,$AP$19:AP25,"Yes",$E$19:E25,"&gt;0",$AC$19:AC25,AC25))</x:f>
        <x:v>10</x:v>
      </x:c>
      <x:c r="AE25" s="601" t="n">
        <x:f>IF(OR(AP25&lt;&gt;"Yes",E25=0),"",IFERROR(100*(COUNTIFS($AP$19:$AP$186,"Yes",$E$19:$E$186,"&gt;0",$H$19:$H$186,"&lt;"&amp;H25)+(COUNTIFS($AP$19:$AP$186,"Yes",$E$19:$E$186,"&gt;0",$H$19:$H$186,H25)-1)/2)/(COUNTIFS($AP$19:$AP$186,"Yes",$E$19:$E$186,"&gt;0")-1),50))</x:f>
        <x:v>42.20779220779221</x:v>
      </x:c>
      <x:c r="AF25" s="601" t="n">
        <x:f>IF(AE25="","",AE25*'Specialisation Rankings'!$O$16+R25*'Specialisation Rankings'!$O$17)</x:f>
        <x:v>45.64935064935065</x:v>
      </x:c>
      <x:c r="AG25" s="601" t="n">
        <x:f>IF(AF25="","",COUNTIFS($A$19:$A$186,A25,$AP$19:$AP$186,"Yes",$E$19:$E$186,"&gt;0",$AF$19:$AF$186,"&gt;"&amp;AF25)+COUNTIFS($A$19:A25,A25,$AP$19:AP25,"Yes",$E$19:E25,"&gt;0",$AF$19:AF25,AF25))</x:f>
        <x:v>16</x:v>
      </x:c>
      <x:c r="AH25" s="601" t="n">
        <x:f>IF(OR(AP25&lt;&gt;"Yes",E25=0),"",IFERROR(100*(COUNTIFS($AP$19:$AP$186,"Yes",$E$19:$E$186,"&gt;0",$J$19:$J$186,"&lt;"&amp;J25)+(COUNTIFS($AP$19:$AP$186,"Yes",$E$19:$E$186,"&gt;0",$J$19:$J$186,J25)-1)/2)/(COUNTIFS($AP$19:$AP$186,"Yes",$E$19:$E$186,"&gt;0")-1),50))</x:f>
        <x:v>33.116883116883116</x:v>
      </x:c>
      <x:c r="AI25" s="601" t="n">
        <x:f>IF(AH25="","",AH25*'Specialisation Rankings'!$O$16+R25*'Specialisation Rankings'!$O$17)</x:f>
        <x:v>38.37662337662338</x:v>
      </x:c>
      <x:c r="AJ25" s="601" t="n">
        <x:f>IF(AI25="","",COUNTIFS($A$19:$A$186,A25,$AP$19:$AP$186,"Yes",$E$19:$E$186,"&gt;0",$AI$19:$AI$186,"&gt;"&amp;AI25)+COUNTIFS($A$19:A25,A25,$AP$19:AP25,"Yes",$E$19:E25,"&gt;0",$AI$19:AI25,AI25))</x:f>
        <x:v>12</x:v>
      </x:c>
      <x:c r="AK25" s="601" t="n">
        <x:f>IF(OR(AP25&lt;&gt;"Yes",E25=0),"",IF(M25=0,'Specialisation Rankings'!$O$23,V25))</x:f>
        <x:v>29.48717948717949</x:v>
      </x:c>
      <x:c r="AL25" s="601" t="n">
        <x:f>IF(AK25="","",COUNTIFS($A$19:$A$186,A25,$AP$19:$AP$186,"Yes",$E$19:$E$186,"&gt;0",$AK$19:$AK$186,"&gt;"&amp;AK25)+COUNTIFS($A$19:A25,A25,$AP$19:AP25,"Yes",$E$19:E25,"&gt;0",$AK$19:AK25,AK25))</x:f>
        <x:v>13</x:v>
      </x:c>
      <x:c r="AM25" s="601" t="n">
        <x:f>IF(AC25="","",AC25*'Specialisation Rankings'!$O$18+AF25*'Specialisation Rankings'!$O$19+AI25*'Specialisation Rankings'!$O$20+AK25*'Specialisation Rankings'!$O$21)</x:f>
        <x:v>58.981185481185484</x:v>
      </x:c>
      <x:c r="AN25" s="601" t="n">
        <x:f>IF(AM25="","",COUNTIFS($A$19:$A$186,A25,$AP$19:$AP$186,"Yes",$E$19:$E$186,"&gt;0",$AM$19:$AM$186,"&gt;"&amp;AM25)+COUNTIFS($A$19:A25,A25,$AP$19:AP25,"Yes",$E$19:E25,"&gt;0",$AM$19:AM25,AM25))</x:f>
        <x:v>11</x:v>
      </x:c>
      <x:c r="AO25" s="601" t="n">
        <x:f>IF(AM25="","",COUNTIFS($AP$19:$AP$186,"Yes",$E$19:$E$186,"&gt;0",$AM$19:$AM$186,"&gt;"&amp;AM25)+COUNTIFS($AP$19:AP25,"Yes",$E$19:E25,"&gt;0",$AM$19:AM25,AM25))</x:f>
        <x:v>53</x:v>
      </x:c>
      <x:c r="AP25" s="602" t="str">
        <x:f>IF(COUNTIFS('Player Scenario Model'!$A$6:$A$172,A25,'Player Scenario Model'!$B$6:$B$172,B25)&gt;0,"Yes","No")</x:f>
        <x:v>Yes</x:v>
      </x:c>
    </x:row>
    <x:row r="26" ht="24" customHeight="1">
      <x:c r="A26" s="430" t="str">
        <x:v>K60</x:v>
      </x:c>
      <x:c r="B26" s="430" t="str">
        <x:v>༺۝Foxik۝༻</x:v>
      </x:c>
      <x:c r="C26" s="431" t="n">
        <x:f>COUNTIFS('Specialisations'!$A$6:$A$527,A26,'Specialisations'!$B$6:$B$527,B26)</x:f>
        <x:v>3</x:v>
      </x:c>
      <x:c r="D26" s="431" t="n">
        <x:f>COUNTIFS('Specialisations'!$A$6:$A$527,A26,'Specialisations'!$B$6:$B$527,B26,'Specialisations'!$P$6:$P$527,"OK")</x:f>
        <x:v>3</x:v>
      </x:c>
      <x:c r="E26" s="431" t="n">
        <x:f>COUNTIFS('Specialisations'!$A$6:$A$527,A26,'Specialisations'!$B$6:$B$527,B26,'Specialisations'!$P$6:$P$527,"OK",'Specialisations'!$C$6:$C$527,"&lt;&gt;Guards")</x:f>
        <x:v>2</x:v>
      </x:c>
      <x:c r="F26" s="432" t="n">
        <x:f>IF(C26=0,"",D26/C26)</x:f>
        <x:v>1</x:v>
      </x:c>
      <x:c r="G26" s="495" t="n">
        <x:f>SUMIFS('Specialisations'!$Q$6:$Q$527,'Specialisations'!$A$6:$A$527,A26,'Specialisations'!$B$6:$B$527,B26,'Specialisations'!$C$6:$C$527,"Guards")</x:f>
        <x:v>-27.74</x:v>
      </x:c>
      <x:c r="H26" s="495" t="n">
        <x:f>SUMIFS('Specialisations'!$Q$6:$Q$527,'Specialisations'!$A$6:$A$527,A26,'Specialisations'!$B$6:$B$527,B26,'Specialisations'!$C$6:$C$527,"Archers")</x:f>
        <x:v>0</x:v>
      </x:c>
      <x:c r="I26" s="495" t="n">
        <x:f>SUMIFS('Specialisations'!$Q$6:$Q$527,'Specialisations'!$A$6:$A$527,A26,'Specialisations'!$B$6:$B$527,B26,'Specialisations'!$C$6:$C$527,"Cavalry")</x:f>
        <x:v>81.91</x:v>
      </x:c>
      <x:c r="J26" s="495" t="n">
        <x:f>SUMIFS('Specialisations'!$Q$6:$Q$527,'Specialisations'!$A$6:$A$527,A26,'Specialisations'!$B$6:$B$527,B26,'Specialisations'!$C$6:$C$527,"Siege")</x:f>
        <x:v>0</x:v>
      </x:c>
      <x:c r="K26" s="495" t="n">
        <x:f>SUM(H26:J26)</x:f>
        <x:v>81.91</x:v>
      </x:c>
      <x:c r="L26" s="495" t="n">
        <x:f>SUM(G26,K26)</x:f>
        <x:v>54.17</x:v>
      </x:c>
      <x:c r="M26" s="433" t="n">
        <x:f>SUMIFS('Specialisations'!$N$6:$N$527,'Specialisations'!$A$6:$A$527,A26,'Specialisations'!$B$6:$B$527,B26,'Specialisations'!$C$6:$C$527,"Guards")</x:f>
        <x:v>2244300</x:v>
      </x:c>
      <x:c r="N26" s="433" t="n">
        <x:f>SUMIFS('Specialisations'!$N$6:$N$527,'Specialisations'!$A$6:$A$527,A26,'Specialisations'!$B$6:$B$527,B26,'Specialisations'!$C$6:$C$527,"&lt;&gt;Guards")</x:f>
        <x:v>8008600</x:v>
      </x:c>
      <x:c r="O26" s="433" t="n">
        <x:f>SUM(M26:N26)</x:f>
        <x:v>10252900</x:v>
      </x:c>
      <x:c r="P26" s="434" t="n">
        <x:f>IF(E26=0,"",K26/E26)</x:f>
        <x:v>40.955</x:v>
      </x:c>
      <x:c r="Q26" s="501" t="n">
        <x:f>IF(E26=0,"",IFERROR(100*(COUNTIFS($E$19:$E$186,"&gt;0",$K$19:$K$186,"&lt;"&amp;K26)+(COUNTIFS($E$19:$E$186,"&gt;0",$K$19:$K$186,K26)-1)/2)/(COUNTIF($E$19:$E$186,"&gt;0")-1),50))</x:f>
        <x:v>40.25974025974026</x:v>
      </x:c>
      <x:c r="R26" s="501" t="n">
        <x:f>IF(E26=0,"",IFERROR(100*(COUNTIFS($E$19:$E$186,"&gt;0",$N$19:$N$186,"&lt;"&amp;N26)+(COUNTIFS($E$19:$E$186,"&gt;0",$N$19:$N$186,N26)-1)/2)/(COUNTIF($E$19:$E$186,"&gt;0")-1),50))</x:f>
        <x:v>27.92207792207792</x:v>
      </x:c>
      <x:c r="S26" s="501" t="n">
        <x:f>IF(E26=0,"",Q26*$R$5+R26*$R$6)</x:f>
        <x:v>37.79220779220779</x:v>
      </x:c>
      <x:c r="T26" s="501" t="n">
        <x:f>IF(M26=0,"",IFERROR(100*(COUNTIFS($M$19:$M$186,"&gt;0",$G$19:$G$186,"&gt;"&amp;G26)+(COUNTIFS($M$19:$M$186,"&gt;0",$G$19:$G$186,G26)-1)/2)/(COUNTIF($M$19:$M$186,"&gt;0")-1),50))</x:f>
        <x:v>29.487179487179485</x:v>
      </x:c>
      <x:c r="U26" s="501" t="n">
        <x:f>IF(M26=0,"",IFERROR(100*(COUNTIFS($M$19:$M$186,"&gt;0",$M$19:$M$186,"&lt;"&amp;M26)+(COUNTIFS($M$19:$M$186,"&gt;0",$M$19:$M$186,M26)-1)/2)/(COUNTIF($M$19:$M$186,"&gt;0")-1),50))</x:f>
        <x:v>29.487179487179485</x:v>
      </x:c>
      <x:c r="V26" s="501" t="n">
        <x:f>IF(M26=0,"",T26*$R$5+U26*$R$6)</x:f>
        <x:v>29.48717948717949</x:v>
      </x:c>
      <x:c r="W26" s="431" t="n">
        <x:f>IF(E26=0,"",COUNTIFS($A$19:$A$186,A26,$S$19:$S$186,"&gt;"&amp;S26)+COUNTIFS($A$19:A26,A26,$E$19:E26,"&gt;0",$S$19:S26,S26))</x:f>
        <x:v>22</x:v>
      </x:c>
      <x:c r="X26" s="431" t="n">
        <x:f>IF(S26="","",1+COUNTIF($S$19:$S$186,"&gt;"&amp;S26))</x:f>
        <x:v>94</x:v>
      </x:c>
      <x:c r="Y26" s="431" t="n">
        <x:f>IF(V26="","",1+COUNTIFS($A$19:$A$186,A26,$V$19:$V$186,"&gt;"&amp;V26))</x:f>
        <x:v>3</x:v>
      </x:c>
      <x:c r="Z26" s="431" t="n">
        <x:f>IF(V26="","",1+COUNTIF($V$19:$V$186,"&gt;"&amp;V26))</x:f>
        <x:v>70</x:v>
      </x:c>
      <x:c r="AA26" s="430" t="str">
        <x:f>IF(C26=0,"No specialisations recorded",IF(D26&lt;C26,"Review missing level","Recorded skills only"))</x:f>
        <x:v>Recorded skills only</x:v>
      </x:c>
      <x:c r="AB26" s="601" t="n">
        <x:f>IF(OR(AP26&lt;&gt;"Yes",E26=0),"",IFERROR(100*(COUNTIFS($AP$19:$AP$186,"Yes",$E$19:$E$186,"&gt;0",$I$19:$I$186,"&lt;"&amp;I26)+(COUNTIFS($AP$19:$AP$186,"Yes",$E$19:$E$186,"&gt;0",$I$19:$I$186,I26)-1)/2)/(COUNTIFS($AP$19:$AP$186,"Yes",$E$19:$E$186,"&gt;0")-1),50))</x:f>
        <x:v>66.23376623376623</x:v>
      </x:c>
      <x:c r="AC26" s="601" t="n">
        <x:f>IF(AB26="","",AB26*'Specialisation Rankings'!$O$16+R26*'Specialisation Rankings'!$O$17)</x:f>
        <x:v>58.57142857142857</x:v>
      </x:c>
      <x:c r="AD26" s="601" t="n">
        <x:f>IF(AC26="","",COUNTIFS($A$19:$A$186,A26,$AP$19:$AP$186,"Yes",$E$19:$E$186,"&gt;0",$AC$19:$AC$186,"&gt;"&amp;AC26)+COUNTIFS($A$19:A26,A26,$AP$19:AP26,"Yes",$E$19:E26,"&gt;0",$AC$19:AC26,AC26))</x:f>
        <x:v>16</x:v>
      </x:c>
      <x:c r="AE26" s="601" t="n">
        <x:f>IF(OR(AP26&lt;&gt;"Yes",E26=0),"",IFERROR(100*(COUNTIFS($AP$19:$AP$186,"Yes",$E$19:$E$186,"&gt;0",$H$19:$H$186,"&lt;"&amp;H26)+(COUNTIFS($AP$19:$AP$186,"Yes",$E$19:$E$186,"&gt;0",$H$19:$H$186,H26)-1)/2)/(COUNTIFS($AP$19:$AP$186,"Yes",$E$19:$E$186,"&gt;0")-1),50))</x:f>
        <x:v>11.688311688311689</x:v>
      </x:c>
      <x:c r="AF26" s="601" t="n">
        <x:f>IF(AE26="","",AE26*'Specialisation Rankings'!$O$16+R26*'Specialisation Rankings'!$O$17)</x:f>
        <x:v>14.935064935064936</x:v>
      </x:c>
      <x:c r="AG26" s="601" t="n">
        <x:f>IF(AF26="","",COUNTIFS($A$19:$A$186,A26,$AP$19:$AP$186,"Yes",$E$19:$E$186,"&gt;0",$AF$19:$AF$186,"&gt;"&amp;AF26)+COUNTIFS($A$19:A26,A26,$AP$19:AP26,"Yes",$E$19:E26,"&gt;0",$AF$19:AF26,AF26))</x:f>
        <x:v>25</x:v>
      </x:c>
      <x:c r="AH26" s="601" t="n">
        <x:f>IF(OR(AP26&lt;&gt;"Yes",E26=0),"",IFERROR(100*(COUNTIFS($AP$19:$AP$186,"Yes",$E$19:$E$186,"&gt;0",$J$19:$J$186,"&lt;"&amp;J26)+(COUNTIFS($AP$19:$AP$186,"Yes",$E$19:$E$186,"&gt;0",$J$19:$J$186,J26)-1)/2)/(COUNTIFS($AP$19:$AP$186,"Yes",$E$19:$E$186,"&gt;0")-1),50))</x:f>
        <x:v>33.116883116883116</x:v>
      </x:c>
      <x:c r="AI26" s="601" t="n">
        <x:f>IF(AH26="","",AH26*'Specialisation Rankings'!$O$16+R26*'Specialisation Rankings'!$O$17)</x:f>
        <x:v>32.07792207792208</x:v>
      </x:c>
      <x:c r="AJ26" s="601" t="n">
        <x:f>IF(AI26="","",COUNTIFS($A$19:$A$186,A26,$AP$19:$AP$186,"Yes",$E$19:$E$186,"&gt;0",$AI$19:$AI$186,"&gt;"&amp;AI26)+COUNTIFS($A$19:A26,A26,$AP$19:AP26,"Yes",$E$19:E26,"&gt;0",$AI$19:AI26,AI26))</x:f>
        <x:v>23</x:v>
      </x:c>
      <x:c r="AK26" s="601" t="n">
        <x:f>IF(OR(AP26&lt;&gt;"Yes",E26=0),"",IF(M26=0,'Specialisation Rankings'!$O$23,V26))</x:f>
        <x:v>29.48717948717949</x:v>
      </x:c>
      <x:c r="AL26" s="601" t="n">
        <x:f>IF(AK26="","",COUNTIFS($A$19:$A$186,A26,$AP$19:$AP$186,"Yes",$E$19:$E$186,"&gt;0",$AK$19:$AK$186,"&gt;"&amp;AK26)+COUNTIFS($A$19:A26,A26,$AP$19:AP26,"Yes",$E$19:E26,"&gt;0",$AK$19:AK26,AK26))</x:f>
        <x:v>14</x:v>
      </x:c>
      <x:c r="AM26" s="601" t="n">
        <x:f>IF(AC26="","",AC26*'Specialisation Rankings'!$O$18+AF26*'Specialisation Rankings'!$O$19+AI26*'Specialisation Rankings'!$O$20+AK26*'Specialisation Rankings'!$O$21)</x:f>
        <x:v>47.32534132534133</x:v>
      </x:c>
      <x:c r="AN26" s="601" t="n">
        <x:f>IF(AM26="","",COUNTIFS($A$19:$A$186,A26,$AP$19:$AP$186,"Yes",$E$19:$E$186,"&gt;0",$AM$19:$AM$186,"&gt;"&amp;AM26)+COUNTIFS($A$19:A26,A26,$AP$19:AP26,"Yes",$E$19:E26,"&gt;0",$AM$19:AM26,AM26))</x:f>
        <x:v>21</x:v>
      </x:c>
      <x:c r="AO26" s="601" t="n">
        <x:f>IF(AM26="","",COUNTIFS($AP$19:$AP$186,"Yes",$E$19:$E$186,"&gt;0",$AM$19:$AM$186,"&gt;"&amp;AM26)+COUNTIFS($AP$19:AP26,"Yes",$E$19:E26,"&gt;0",$AM$19:AM26,AM26))</x:f>
        <x:v>81</x:v>
      </x:c>
      <x:c r="AP26" s="602" t="str">
        <x:f>IF(COUNTIFS('Player Scenario Model'!$A$6:$A$172,A26,'Player Scenario Model'!$B$6:$B$172,B26)&gt;0,"Yes","No")</x:f>
        <x:v>Yes</x:v>
      </x:c>
    </x:row>
    <x:row r="27" ht="24" customHeight="1">
      <x:c r="A27" s="430" t="str">
        <x:v>K60</x:v>
      </x:c>
      <x:c r="B27" s="430" t="str">
        <x:v>Houdini</x:v>
      </x:c>
      <x:c r="C27" s="431" t="n">
        <x:f>COUNTIFS('Specialisations'!$A$6:$A$527,A27,'Specialisations'!$B$6:$B$527,B27)</x:f>
        <x:v>3</x:v>
      </x:c>
      <x:c r="D27" s="431" t="n">
        <x:f>COUNTIFS('Specialisations'!$A$6:$A$527,A27,'Specialisations'!$B$6:$B$527,B27,'Specialisations'!$P$6:$P$527,"OK")</x:f>
        <x:v>3</x:v>
      </x:c>
      <x:c r="E27" s="431" t="n">
        <x:f>COUNTIFS('Specialisations'!$A$6:$A$527,A27,'Specialisations'!$B$6:$B$527,B27,'Specialisations'!$P$6:$P$527,"OK",'Specialisations'!$C$6:$C$527,"&lt;&gt;Guards")</x:f>
        <x:v>3</x:v>
      </x:c>
      <x:c r="F27" s="432" t="n">
        <x:f>IF(C27=0,"",D27/C27)</x:f>
        <x:v>1</x:v>
      </x:c>
      <x:c r="G27" s="495" t="n">
        <x:f>SUMIFS('Specialisations'!$Q$6:$Q$527,'Specialisations'!$A$6:$A$527,A27,'Specialisations'!$B$6:$B$527,B27,'Specialisations'!$C$6:$C$527,"Guards")</x:f>
        <x:v>0</x:v>
      </x:c>
      <x:c r="H27" s="495" t="n">
        <x:f>SUMIFS('Specialisations'!$Q$6:$Q$527,'Specialisations'!$A$6:$A$527,A27,'Specialisations'!$B$6:$B$527,B27,'Specialisations'!$C$6:$C$527,"Archers")</x:f>
        <x:v>33.13</x:v>
      </x:c>
      <x:c r="I27" s="495" t="n">
        <x:f>SUMIFS('Specialisations'!$Q$6:$Q$527,'Specialisations'!$A$6:$A$527,A27,'Specialisations'!$B$6:$B$527,B27,'Specialisations'!$C$6:$C$527,"Cavalry")</x:f>
        <x:v>90.26</x:v>
      </x:c>
      <x:c r="J27" s="495" t="n">
        <x:f>SUMIFS('Specialisations'!$Q$6:$Q$527,'Specialisations'!$A$6:$A$527,A27,'Specialisations'!$B$6:$B$527,B27,'Specialisations'!$C$6:$C$527,"Siege")</x:f>
        <x:v>0</x:v>
      </x:c>
      <x:c r="K27" s="495" t="n">
        <x:f>SUM(H27:J27)</x:f>
        <x:v>123.39000000000001</x:v>
      </x:c>
      <x:c r="L27" s="495" t="n">
        <x:f>SUM(G27,K27)</x:f>
        <x:v>123.39000000000001</x:v>
      </x:c>
      <x:c r="M27" s="433" t="n">
        <x:f>SUMIFS('Specialisations'!$N$6:$N$527,'Specialisations'!$A$6:$A$527,A27,'Specialisations'!$B$6:$B$527,B27,'Specialisations'!$C$6:$C$527,"Guards")</x:f>
        <x:v>0</x:v>
      </x:c>
      <x:c r="N27" s="433" t="n">
        <x:f>SUMIFS('Specialisations'!$N$6:$N$527,'Specialisations'!$A$6:$A$527,A27,'Specialisations'!$B$6:$B$527,B27,'Specialisations'!$C$6:$C$527,"&lt;&gt;Guards")</x:f>
        <x:v>12852900</x:v>
      </x:c>
      <x:c r="O27" s="433" t="n">
        <x:f>SUM(M27:N27)</x:f>
        <x:v>12852900</x:v>
      </x:c>
      <x:c r="P27" s="434" t="n">
        <x:f>IF(E27=0,"",K27/E27)</x:f>
        <x:v>41.13</x:v>
      </x:c>
      <x:c r="Q27" s="501" t="n">
        <x:f>IF(E27=0,"",IFERROR(100*(COUNTIFS($E$19:$E$186,"&gt;0",$K$19:$K$186,"&lt;"&amp;K27)+(COUNTIFS($E$19:$E$186,"&gt;0",$K$19:$K$186,K27)-1)/2)/(COUNTIF($E$19:$E$186,"&gt;0")-1),50))</x:f>
        <x:v>74.67532467532467</x:v>
      </x:c>
      <x:c r="R27" s="501" t="n">
        <x:f>IF(E27=0,"",IFERROR(100*(COUNTIFS($E$19:$E$186,"&gt;0",$N$19:$N$186,"&lt;"&amp;N27)+(COUNTIFS($E$19:$E$186,"&gt;0",$N$19:$N$186,N27)-1)/2)/(COUNTIF($E$19:$E$186,"&gt;0")-1),50))</x:f>
        <x:v>65.58441558441558</x:v>
      </x:c>
      <x:c r="S27" s="501" t="n">
        <x:f>IF(E27=0,"",Q27*$R$5+R27*$R$6)</x:f>
        <x:v>72.85714285714286</x:v>
      </x:c>
      <x:c r="T27" s="501" t="str">
        <x:f>IF(M27=0,"",IFERROR(100*(COUNTIFS($M$19:$M$186,"&gt;0",$G$19:$G$186,"&gt;"&amp;G27)+(COUNTIFS($M$19:$M$186,"&gt;0",$G$19:$G$186,G27)-1)/2)/(COUNTIF($M$19:$M$186,"&gt;0")-1),50))</x:f>
      </x:c>
      <x:c r="U27" s="501" t="str">
        <x:f>IF(M27=0,"",IFERROR(100*(COUNTIFS($M$19:$M$186,"&gt;0",$M$19:$M$186,"&lt;"&amp;M27)+(COUNTIFS($M$19:$M$186,"&gt;0",$M$19:$M$186,M27)-1)/2)/(COUNTIF($M$19:$M$186,"&gt;0")-1),50))</x:f>
      </x:c>
      <x:c r="V27" s="501" t="str">
        <x:f>IF(M27=0,"",T27*$R$5+U27*$R$6)</x:f>
      </x:c>
      <x:c r="W27" s="431" t="n">
        <x:f>IF(E27=0,"",COUNTIFS($A$19:$A$186,A27,$S$19:$S$186,"&gt;"&amp;S27)+COUNTIFS($A$19:A27,A27,$E$19:E27,"&gt;0",$S$19:S27,S27))</x:f>
        <x:v>9</x:v>
      </x:c>
      <x:c r="X27" s="431" t="n">
        <x:f>IF(S27="","",1+COUNTIF($S$19:$S$186,"&gt;"&amp;S27))</x:f>
        <x:v>42</x:v>
      </x:c>
      <x:c r="Y27" s="431" t="str">
        <x:f>IF(V27="","",1+COUNTIFS($A$19:$A$186,A27,$V$19:$V$186,"&gt;"&amp;V27))</x:f>
      </x:c>
      <x:c r="Z27" s="431" t="str">
        <x:f>IF(V27="","",1+COUNTIF($V$19:$V$186,"&gt;"&amp;V27))</x:f>
      </x:c>
      <x:c r="AA27" s="430" t="str">
        <x:f>IF(C27=0,"No specialisations recorded",IF(D27&lt;C27,"Review missing level","Recorded skills only"))</x:f>
        <x:v>Recorded skills only</x:v>
      </x:c>
      <x:c r="AB27" s="601" t="n">
        <x:f>IF(OR(AP27&lt;&gt;"Yes",E27=0),"",IFERROR(100*(COUNTIFS($AP$19:$AP$186,"Yes",$E$19:$E$186,"&gt;0",$I$19:$I$186,"&lt;"&amp;I27)+(COUNTIFS($AP$19:$AP$186,"Yes",$E$19:$E$186,"&gt;0",$I$19:$I$186,I27)-1)/2)/(COUNTIFS($AP$19:$AP$186,"Yes",$E$19:$E$186,"&gt;0")-1),50))</x:f>
        <x:v>76.2987012987013</x:v>
      </x:c>
      <x:c r="AC27" s="601" t="n">
        <x:f>IF(AB27="","",AB27*'Specialisation Rankings'!$O$16+R27*'Specialisation Rankings'!$O$17)</x:f>
        <x:v>74.15584415584416</x:v>
      </x:c>
      <x:c r="AD27" s="601" t="n">
        <x:f>IF(AC27="","",COUNTIFS($A$19:$A$186,A27,$AP$19:$AP$186,"Yes",$E$19:$E$186,"&gt;0",$AC$19:$AC$186,"&gt;"&amp;AC27)+COUNTIFS($A$19:A27,A27,$AP$19:AP27,"Yes",$E$19:E27,"&gt;0",$AC$19:AC27,AC27))</x:f>
        <x:v>9</x:v>
      </x:c>
      <x:c r="AE27" s="601" t="n">
        <x:f>IF(OR(AP27&lt;&gt;"Yes",E27=0),"",IFERROR(100*(COUNTIFS($AP$19:$AP$186,"Yes",$E$19:$E$186,"&gt;0",$H$19:$H$186,"&lt;"&amp;H27)+(COUNTIFS($AP$19:$AP$186,"Yes",$E$19:$E$186,"&gt;0",$H$19:$H$186,H27)-1)/2)/(COUNTIFS($AP$19:$AP$186,"Yes",$E$19:$E$186,"&gt;0")-1),50))</x:f>
        <x:v>56.493506493506494</x:v>
      </x:c>
      <x:c r="AF27" s="601" t="n">
        <x:f>IF(AE27="","",AE27*'Specialisation Rankings'!$O$16+R27*'Specialisation Rankings'!$O$17)</x:f>
        <x:v>58.311688311688314</x:v>
      </x:c>
      <x:c r="AG27" s="601" t="n">
        <x:f>IF(AF27="","",COUNTIFS($A$19:$A$186,A27,$AP$19:$AP$186,"Yes",$E$19:$E$186,"&gt;0",$AF$19:$AF$186,"&gt;"&amp;AF27)+COUNTIFS($A$19:A27,A27,$AP$19:AP27,"Yes",$E$19:E27,"&gt;0",$AF$19:AF27,AF27))</x:f>
        <x:v>6</x:v>
      </x:c>
      <x:c r="AH27" s="601" t="n">
        <x:f>IF(OR(AP27&lt;&gt;"Yes",E27=0),"",IFERROR(100*(COUNTIFS($AP$19:$AP$186,"Yes",$E$19:$E$186,"&gt;0",$J$19:$J$186,"&lt;"&amp;J27)+(COUNTIFS($AP$19:$AP$186,"Yes",$E$19:$E$186,"&gt;0",$J$19:$J$186,J27)-1)/2)/(COUNTIFS($AP$19:$AP$186,"Yes",$E$19:$E$186,"&gt;0")-1),50))</x:f>
        <x:v>33.116883116883116</x:v>
      </x:c>
      <x:c r="AI27" s="601" t="n">
        <x:f>IF(AH27="","",AH27*'Specialisation Rankings'!$O$16+R27*'Specialisation Rankings'!$O$17)</x:f>
        <x:v>39.61038961038961</x:v>
      </x:c>
      <x:c r="AJ27" s="601" t="n">
        <x:f>IF(AI27="","",COUNTIFS($A$19:$A$186,A27,$AP$19:$AP$186,"Yes",$E$19:$E$186,"&gt;0",$AI$19:$AI$186,"&gt;"&amp;AI27)+COUNTIFS($A$19:A27,A27,$AP$19:AP27,"Yes",$E$19:E27,"&gt;0",$AI$19:AI27,AI27))</x:f>
        <x:v>11</x:v>
      </x:c>
      <x:c r="AK27" s="601" t="n">
        <x:f>IF(OR(AP27&lt;&gt;"Yes",E27=0),"",IF(M27=0,'Specialisation Rankings'!$O$23,V27))</x:f>
        <x:v>50</x:v>
      </x:c>
      <x:c r="AL27" s="601" t="n">
        <x:f>IF(AK27="","",COUNTIFS($A$19:$A$186,A27,$AP$19:$AP$186,"Yes",$E$19:$E$186,"&gt;0",$AK$19:$AK$186,"&gt;"&amp;AK27)+COUNTIFS($A$19:A27,A27,$AP$19:AP27,"Yes",$E$19:E27,"&gt;0",$AK$19:AK27,AK27))</x:f>
        <x:v>2</x:v>
      </x:c>
      <x:c r="AM27" s="601" t="n">
        <x:f>IF(AC27="","",AC27*'Specialisation Rankings'!$O$18+AF27*'Specialisation Rankings'!$O$19+AI27*'Specialisation Rankings'!$O$20+AK27*'Specialisation Rankings'!$O$21)</x:f>
        <x:v>64.97402597402598</x:v>
      </x:c>
      <x:c r="AN27" s="601" t="n">
        <x:f>IF(AM27="","",COUNTIFS($A$19:$A$186,A27,$AP$19:$AP$186,"Yes",$E$19:$E$186,"&gt;0",$AM$19:$AM$186,"&gt;"&amp;AM27)+COUNTIFS($A$19:A27,A27,$AP$19:AP27,"Yes",$E$19:E27,"&gt;0",$AM$19:AM27,AM27))</x:f>
        <x:v>8</x:v>
      </x:c>
      <x:c r="AO27" s="601" t="n">
        <x:f>IF(AM27="","",COUNTIFS($AP$19:$AP$186,"Yes",$E$19:$E$186,"&gt;0",$AM$19:$AM$186,"&gt;"&amp;AM27)+COUNTIFS($AP$19:AP27,"Yes",$E$19:E27,"&gt;0",$AM$19:AM27,AM27))</x:f>
        <x:v>45</x:v>
      </x:c>
      <x:c r="AP27" s="602" t="str">
        <x:f>IF(COUNTIFS('Player Scenario Model'!$A$6:$A$172,A27,'Player Scenario Model'!$B$6:$B$172,B27)&gt;0,"Yes","No")</x:f>
        <x:v>Yes</x:v>
      </x:c>
    </x:row>
    <x:row r="28" ht="24" customHeight="1">
      <x:c r="A28" s="430" t="str">
        <x:v>K60</x:v>
      </x:c>
      <x:c r="B28" s="430" t="str">
        <x:v>Дерог</x:v>
      </x:c>
      <x:c r="C28" s="431" t="n">
        <x:f>COUNTIFS('Specialisations'!$A$6:$A$527,A28,'Specialisations'!$B$6:$B$527,B28)</x:f>
        <x:v>6</x:v>
      </x:c>
      <x:c r="D28" s="431" t="n">
        <x:f>COUNTIFS('Specialisations'!$A$6:$A$527,A28,'Specialisations'!$B$6:$B$527,B28,'Specialisations'!$P$6:$P$527,"OK")</x:f>
        <x:v>6</x:v>
      </x:c>
      <x:c r="E28" s="431" t="n">
        <x:f>COUNTIFS('Specialisations'!$A$6:$A$527,A28,'Specialisations'!$B$6:$B$527,B28,'Specialisations'!$P$6:$P$527,"OK",'Specialisations'!$C$6:$C$527,"&lt;&gt;Guards")</x:f>
        <x:v>5</x:v>
      </x:c>
      <x:c r="F28" s="432" t="n">
        <x:f>IF(C28=0,"",D28/C28)</x:f>
        <x:v>1</x:v>
      </x:c>
      <x:c r="G28" s="495" t="n">
        <x:f>SUMIFS('Specialisations'!$Q$6:$Q$527,'Specialisations'!$A$6:$A$527,A28,'Specialisations'!$B$6:$B$527,B28,'Specialisations'!$C$6:$C$527,"Guards")</x:f>
        <x:v>-27.74</x:v>
      </x:c>
      <x:c r="H28" s="495" t="n">
        <x:f>SUMIFS('Specialisations'!$Q$6:$Q$527,'Specialisations'!$A$6:$A$527,A28,'Specialisations'!$B$6:$B$527,B28,'Specialisations'!$C$6:$C$527,"Archers")</x:f>
        <x:v>27.74</x:v>
      </x:c>
      <x:c r="I28" s="495" t="n">
        <x:f>SUMIFS('Specialisations'!$Q$6:$Q$527,'Specialisations'!$A$6:$A$527,A28,'Specialisations'!$B$6:$B$527,B28,'Specialisations'!$C$6:$C$527,"Cavalry")</x:f>
        <x:v>96.87</x:v>
      </x:c>
      <x:c r="J28" s="495" t="n">
        <x:f>SUMIFS('Specialisations'!$Q$6:$Q$527,'Specialisations'!$A$6:$A$527,A28,'Specialisations'!$B$6:$B$527,B28,'Specialisations'!$C$6:$C$527,"Siege")</x:f>
        <x:v>52.64</x:v>
      </x:c>
      <x:c r="K28" s="495" t="n">
        <x:f>SUM(H28:J28)</x:f>
        <x:v>177.25</x:v>
      </x:c>
      <x:c r="L28" s="495" t="n">
        <x:f>SUM(G28,K28)</x:f>
        <x:v>149.51</x:v>
      </x:c>
      <x:c r="M28" s="433" t="n">
        <x:f>SUMIFS('Specialisations'!$N$6:$N$527,'Specialisations'!$A$6:$A$527,A28,'Specialisations'!$B$6:$B$527,B28,'Specialisations'!$C$6:$C$527,"Guards")</x:f>
        <x:v>2244300</x:v>
      </x:c>
      <x:c r="N28" s="433" t="n">
        <x:f>SUMIFS('Specialisations'!$N$6:$N$527,'Specialisations'!$A$6:$A$527,A28,'Specialisations'!$B$6:$B$527,B28,'Specialisations'!$C$6:$C$527,"&lt;&gt;Guards")</x:f>
        <x:v>19736500</x:v>
      </x:c>
      <x:c r="O28" s="433" t="n">
        <x:f>SUM(M28:N28)</x:f>
        <x:v>21980800</x:v>
      </x:c>
      <x:c r="P28" s="434" t="n">
        <x:f>IF(E28=0,"",K28/E28)</x:f>
        <x:v>35.45</x:v>
      </x:c>
      <x:c r="Q28" s="501" t="n">
        <x:f>IF(E28=0,"",IFERROR(100*(COUNTIFS($E$19:$E$186,"&gt;0",$K$19:$K$186,"&lt;"&amp;K28)+(COUNTIFS($E$19:$E$186,"&gt;0",$K$19:$K$186,K28)-1)/2)/(COUNTIF($E$19:$E$186,"&gt;0")-1),50))</x:f>
        <x:v>92.85714285714286</x:v>
      </x:c>
      <x:c r="R28" s="501" t="n">
        <x:f>IF(E28=0,"",IFERROR(100*(COUNTIFS($E$19:$E$186,"&gt;0",$N$19:$N$186,"&lt;"&amp;N28)+(COUNTIFS($E$19:$E$186,"&gt;0",$N$19:$N$186,N28)-1)/2)/(COUNTIF($E$19:$E$186,"&gt;0")-1),50))</x:f>
        <x:v>89.6103896103896</x:v>
      </x:c>
      <x:c r="S28" s="501" t="n">
        <x:f>IF(E28=0,"",Q28*$R$5+R28*$R$6)</x:f>
        <x:v>92.20779220779221</x:v>
      </x:c>
      <x:c r="T28" s="501" t="n">
        <x:f>IF(M28=0,"",IFERROR(100*(COUNTIFS($M$19:$M$186,"&gt;0",$G$19:$G$186,"&gt;"&amp;G28)+(COUNTIFS($M$19:$M$186,"&gt;0",$G$19:$G$186,G28)-1)/2)/(COUNTIF($M$19:$M$186,"&gt;0")-1),50))</x:f>
        <x:v>29.487179487179485</x:v>
      </x:c>
      <x:c r="U28" s="501" t="n">
        <x:f>IF(M28=0,"",IFERROR(100*(COUNTIFS($M$19:$M$186,"&gt;0",$M$19:$M$186,"&lt;"&amp;M28)+(COUNTIFS($M$19:$M$186,"&gt;0",$M$19:$M$186,M28)-1)/2)/(COUNTIF($M$19:$M$186,"&gt;0")-1),50))</x:f>
        <x:v>29.487179487179485</x:v>
      </x:c>
      <x:c r="V28" s="501" t="n">
        <x:f>IF(M28=0,"",T28*$R$5+U28*$R$6)</x:f>
        <x:v>29.48717948717949</x:v>
      </x:c>
      <x:c r="W28" s="431" t="n">
        <x:f>IF(E28=0,"",COUNTIFS($A$19:$A$186,A28,$S$19:$S$186,"&gt;"&amp;S28)+COUNTIFS($A$19:A28,A28,$E$19:E28,"&gt;0",$S$19:S28,S28))</x:f>
        <x:v>3</x:v>
      </x:c>
      <x:c r="X28" s="431" t="n">
        <x:f>IF(S28="","",1+COUNTIF($S$19:$S$186,"&gt;"&amp;S28))</x:f>
        <x:v>13</x:v>
      </x:c>
      <x:c r="Y28" s="431" t="n">
        <x:f>IF(V28="","",1+COUNTIFS($A$19:$A$186,A28,$V$19:$V$186,"&gt;"&amp;V28))</x:f>
        <x:v>3</x:v>
      </x:c>
      <x:c r="Z28" s="431" t="n">
        <x:f>IF(V28="","",1+COUNTIF($V$19:$V$186,"&gt;"&amp;V28))</x:f>
        <x:v>70</x:v>
      </x:c>
      <x:c r="AA28" s="430" t="str">
        <x:f>IF(C28=0,"No specialisations recorded",IF(D28&lt;C28,"Review missing level","Recorded skills only"))</x:f>
        <x:v>Recorded skills only</x:v>
      </x:c>
      <x:c r="AB28" s="601" t="n">
        <x:f>IF(OR(AP28&lt;&gt;"Yes",E28=0),"",IFERROR(100*(COUNTIFS($AP$19:$AP$186,"Yes",$E$19:$E$186,"&gt;0",$I$19:$I$186,"&lt;"&amp;I28)+(COUNTIFS($AP$19:$AP$186,"Yes",$E$19:$E$186,"&gt;0",$I$19:$I$186,I28)-1)/2)/(COUNTIFS($AP$19:$AP$186,"Yes",$E$19:$E$186,"&gt;0")-1),50))</x:f>
        <x:v>83.76623376623377</x:v>
      </x:c>
      <x:c r="AC28" s="601" t="n">
        <x:f>IF(AB28="","",AB28*'Specialisation Rankings'!$O$16+R28*'Specialisation Rankings'!$O$17)</x:f>
        <x:v>84.93506493506493</x:v>
      </x:c>
      <x:c r="AD28" s="601" t="n">
        <x:f>IF(AC28="","",COUNTIFS($A$19:$A$186,A28,$AP$19:$AP$186,"Yes",$E$19:$E$186,"&gt;0",$AC$19:$AC$186,"&gt;"&amp;AC28)+COUNTIFS($A$19:A28,A28,$AP$19:AP28,"Yes",$E$19:E28,"&gt;0",$AC$19:AC28,AC28))</x:f>
        <x:v>3</x:v>
      </x:c>
      <x:c r="AE28" s="601" t="n">
        <x:f>IF(OR(AP28&lt;&gt;"Yes",E28=0),"",IFERROR(100*(COUNTIFS($AP$19:$AP$186,"Yes",$E$19:$E$186,"&gt;0",$H$19:$H$186,"&lt;"&amp;H28)+(COUNTIFS($AP$19:$AP$186,"Yes",$E$19:$E$186,"&gt;0",$H$19:$H$186,H28)-1)/2)/(COUNTIFS($AP$19:$AP$186,"Yes",$E$19:$E$186,"&gt;0")-1),50))</x:f>
        <x:v>42.20779220779221</x:v>
      </x:c>
      <x:c r="AF28" s="601" t="n">
        <x:f>IF(AE28="","",AE28*'Specialisation Rankings'!$O$16+R28*'Specialisation Rankings'!$O$17)</x:f>
        <x:v>51.688311688311686</x:v>
      </x:c>
      <x:c r="AG28" s="601" t="n">
        <x:f>IF(AF28="","",COUNTIFS($A$19:$A$186,A28,$AP$19:$AP$186,"Yes",$E$19:$E$186,"&gt;0",$AF$19:$AF$186,"&gt;"&amp;AF28)+COUNTIFS($A$19:A28,A28,$AP$19:AP28,"Yes",$E$19:E28,"&gt;0",$AF$19:AF28,AF28))</x:f>
        <x:v>9</x:v>
      </x:c>
      <x:c r="AH28" s="601" t="n">
        <x:f>IF(OR(AP28&lt;&gt;"Yes",E28=0),"",IFERROR(100*(COUNTIFS($AP$19:$AP$186,"Yes",$E$19:$E$186,"&gt;0",$J$19:$J$186,"&lt;"&amp;J28)+(COUNTIFS($AP$19:$AP$186,"Yes",$E$19:$E$186,"&gt;0",$J$19:$J$186,J28)-1)/2)/(COUNTIFS($AP$19:$AP$186,"Yes",$E$19:$E$186,"&gt;0")-1),50))</x:f>
        <x:v>96.1038961038961</x:v>
      </x:c>
      <x:c r="AI28" s="601" t="n">
        <x:f>IF(AH28="","",AH28*'Specialisation Rankings'!$O$16+R28*'Specialisation Rankings'!$O$17)</x:f>
        <x:v>94.8051948051948</x:v>
      </x:c>
      <x:c r="AJ28" s="601" t="n">
        <x:f>IF(AI28="","",COUNTIFS($A$19:$A$186,A28,$AP$19:$AP$186,"Yes",$E$19:$E$186,"&gt;0",$AI$19:$AI$186,"&gt;"&amp;AI28)+COUNTIFS($A$19:A28,A28,$AP$19:AP28,"Yes",$E$19:E28,"&gt;0",$AI$19:AI28,AI28))</x:f>
        <x:v>3</x:v>
      </x:c>
      <x:c r="AK28" s="601" t="n">
        <x:f>IF(OR(AP28&lt;&gt;"Yes",E28=0),"",IF(M28=0,'Specialisation Rankings'!$O$23,V28))</x:f>
        <x:v>29.48717948717949</x:v>
      </x:c>
      <x:c r="AL28" s="601" t="n">
        <x:f>IF(AK28="","",COUNTIFS($A$19:$A$186,A28,$AP$19:$AP$186,"Yes",$E$19:$E$186,"&gt;0",$AK$19:$AK$186,"&gt;"&amp;AK28)+COUNTIFS($A$19:A28,A28,$AP$19:AP28,"Yes",$E$19:E28,"&gt;0",$AK$19:AK28,AK28))</x:f>
        <x:v>15</x:v>
      </x:c>
      <x:c r="AM28" s="601" t="n">
        <x:f>IF(AC28="","",AC28*'Specialisation Rankings'!$O$18+AF28*'Specialisation Rankings'!$O$19+AI28*'Specialisation Rankings'!$O$20+AK28*'Specialisation Rankings'!$O$21)</x:f>
        <x:v>77.54612054612053</x:v>
      </x:c>
      <x:c r="AN28" s="601" t="n">
        <x:f>IF(AM28="","",COUNTIFS($A$19:$A$186,A28,$AP$19:$AP$186,"Yes",$E$19:$E$186,"&gt;0",$AM$19:$AM$186,"&gt;"&amp;AM28)+COUNTIFS($A$19:A28,A28,$AP$19:AP28,"Yes",$E$19:E28,"&gt;0",$AM$19:AM28,AM28))</x:f>
        <x:v>2</x:v>
      </x:c>
      <x:c r="AO28" s="601" t="n">
        <x:f>IF(AM28="","",COUNTIFS($AP$19:$AP$186,"Yes",$E$19:$E$186,"&gt;0",$AM$19:$AM$186,"&gt;"&amp;AM28)+COUNTIFS($AP$19:AP28,"Yes",$E$19:E28,"&gt;0",$AM$19:AM28,AM28))</x:f>
        <x:v>19</x:v>
      </x:c>
      <x:c r="AP28" s="602" t="str">
        <x:f>IF(COUNTIFS('Player Scenario Model'!$A$6:$A$172,A28,'Player Scenario Model'!$B$6:$B$172,B28)&gt;0,"Yes","No")</x:f>
        <x:v>Yes</x:v>
      </x:c>
    </x:row>
    <x:row r="29" ht="24" customHeight="1">
      <x:c r="A29" s="430" t="str">
        <x:v>K60</x:v>
      </x:c>
      <x:c r="B29" s="430" t="str">
        <x:v>#11 元气满满 (122,000)</x:v>
      </x:c>
      <x:c r="C29" s="431" t="n">
        <x:f>COUNTIFS('Specialisations'!$A$6:$A$527,A29,'Specialisations'!$B$6:$B$527,B29)</x:f>
        <x:v>3</x:v>
      </x:c>
      <x:c r="D29" s="431" t="n">
        <x:f>COUNTIFS('Specialisations'!$A$6:$A$527,A29,'Specialisations'!$B$6:$B$527,B29,'Specialisations'!$P$6:$P$527,"OK")</x:f>
        <x:v>3</x:v>
      </x:c>
      <x:c r="E29" s="431" t="n">
        <x:f>COUNTIFS('Specialisations'!$A$6:$A$527,A29,'Specialisations'!$B$6:$B$527,B29,'Specialisations'!$P$6:$P$527,"OK",'Specialisations'!$C$6:$C$527,"&lt;&gt;Guards")</x:f>
        <x:v>2</x:v>
      </x:c>
      <x:c r="F29" s="432" t="n">
        <x:f>IF(C29=0,"",D29/C29)</x:f>
        <x:v>1</x:v>
      </x:c>
      <x:c r="G29" s="495" t="n">
        <x:f>SUMIFS('Specialisations'!$Q$6:$Q$527,'Specialisations'!$A$6:$A$527,A29,'Specialisations'!$B$6:$B$527,B29,'Specialisations'!$C$6:$C$527,"Guards")</x:f>
        <x:v>-39.93</x:v>
      </x:c>
      <x:c r="H29" s="495" t="n">
        <x:f>SUMIFS('Specialisations'!$Q$6:$Q$527,'Specialisations'!$A$6:$A$527,A29,'Specialisations'!$B$6:$B$527,B29,'Specialisations'!$C$6:$C$527,"Archers")</x:f>
        <x:v>51.74</x:v>
      </x:c>
      <x:c r="I29" s="495" t="n">
        <x:f>SUMIFS('Specialisations'!$Q$6:$Q$527,'Specialisations'!$A$6:$A$527,A29,'Specialisations'!$B$6:$B$527,B29,'Specialisations'!$C$6:$C$527,"Cavalry")</x:f>
        <x:v>27.74</x:v>
      </x:c>
      <x:c r="J29" s="495" t="n">
        <x:f>SUMIFS('Specialisations'!$Q$6:$Q$527,'Specialisations'!$A$6:$A$527,A29,'Specialisations'!$B$6:$B$527,B29,'Specialisations'!$C$6:$C$527,"Siege")</x:f>
        <x:v>0</x:v>
      </x:c>
      <x:c r="K29" s="495" t="n">
        <x:f>SUM(H29:J29)</x:f>
        <x:v>79.48</x:v>
      </x:c>
      <x:c r="L29" s="495" t="n">
        <x:f>SUM(G29,K29)</x:f>
        <x:v>39.550000000000004</x:v>
      </x:c>
      <x:c r="M29" s="433" t="n">
        <x:f>SUMIFS('Specialisations'!$N$6:$N$527,'Specialisations'!$A$6:$A$527,A29,'Specialisations'!$B$6:$B$527,B29,'Specialisations'!$C$6:$C$527,"Guards")</x:f>
        <x:v>3724300</x:v>
      </x:c>
      <x:c r="N29" s="433" t="n">
        <x:f>SUMIFS('Specialisations'!$N$6:$N$527,'Specialisations'!$A$6:$A$527,A29,'Specialisations'!$B$6:$B$527,B29,'Specialisations'!$C$6:$C$527,"&lt;&gt;Guards")</x:f>
        <x:v>9178600</x:v>
      </x:c>
      <x:c r="O29" s="433" t="n">
        <x:f>SUM(M29:N29)</x:f>
        <x:v>12902900</x:v>
      </x:c>
      <x:c r="P29" s="434" t="n">
        <x:f>IF(E29=0,"",K29/E29)</x:f>
        <x:v>39.74</x:v>
      </x:c>
      <x:c r="Q29" s="501" t="n">
        <x:f>IF(E29=0,"",IFERROR(100*(COUNTIFS($E$19:$E$186,"&gt;0",$K$19:$K$186,"&lt;"&amp;K29)+(COUNTIFS($E$19:$E$186,"&gt;0",$K$19:$K$186,K29)-1)/2)/(COUNTIF($E$19:$E$186,"&gt;0")-1),50))</x:f>
        <x:v>37.33766233766234</x:v>
      </x:c>
      <x:c r="R29" s="501" t="n">
        <x:f>IF(E29=0,"",IFERROR(100*(COUNTIFS($E$19:$E$186,"&gt;0",$N$19:$N$186,"&lt;"&amp;N29)+(COUNTIFS($E$19:$E$186,"&gt;0",$N$19:$N$186,N29)-1)/2)/(COUNTIF($E$19:$E$186,"&gt;0")-1),50))</x:f>
        <x:v>35.38961038961039</x:v>
      </x:c>
      <x:c r="S29" s="501" t="n">
        <x:f>IF(E29=0,"",Q29*$R$5+R29*$R$6)</x:f>
        <x:v>36.94805194805195</x:v>
      </x:c>
      <x:c r="T29" s="501" t="n">
        <x:f>IF(M29=0,"",IFERROR(100*(COUNTIFS($M$19:$M$186,"&gt;0",$G$19:$G$186,"&gt;"&amp;G29)+(COUNTIFS($M$19:$M$186,"&gt;0",$G$19:$G$186,G29)-1)/2)/(COUNTIF($M$19:$M$186,"&gt;0")-1),50))</x:f>
        <x:v>48.29059829059829</x:v>
      </x:c>
      <x:c r="U29" s="501" t="n">
        <x:f>IF(M29=0,"",IFERROR(100*(COUNTIFS($M$19:$M$186,"&gt;0",$M$19:$M$186,"&lt;"&amp;M29)+(COUNTIFS($M$19:$M$186,"&gt;0",$M$19:$M$186,M29)-1)/2)/(COUNTIF($M$19:$M$186,"&gt;0")-1),50))</x:f>
        <x:v>48.29059829059829</x:v>
      </x:c>
      <x:c r="V29" s="501" t="n">
        <x:f>IF(M29=0,"",T29*$R$5+U29*$R$6)</x:f>
        <x:v>48.2905982905983</x:v>
      </x:c>
      <x:c r="W29" s="431" t="n">
        <x:f>IF(E29=0,"",COUNTIFS($A$19:$A$186,A29,$S$19:$S$186,"&gt;"&amp;S29)+COUNTIFS($A$19:A29,A29,$E$19:E29,"&gt;0",$S$19:S29,S29))</x:f>
        <x:v>23</x:v>
      </x:c>
      <x:c r="X29" s="431" t="n">
        <x:f>IF(S29="","",1+COUNTIF($S$19:$S$186,"&gt;"&amp;S29))</x:f>
        <x:v>98</x:v>
      </x:c>
      <x:c r="Y29" s="431" t="n">
        <x:f>IF(V29="","",1+COUNTIFS($A$19:$A$186,A29,$V$19:$V$186,"&gt;"&amp;V29))</x:f>
        <x:v>2</x:v>
      </x:c>
      <x:c r="Z29" s="431" t="n">
        <x:f>IF(V29="","",1+COUNTIF($V$19:$V$186,"&gt;"&amp;V29))</x:f>
        <x:v>61</x:v>
      </x:c>
      <x:c r="AA29" s="430" t="str">
        <x:f>IF(C29=0,"No specialisations recorded",IF(D29&lt;C29,"Review missing level","Recorded skills only"))</x:f>
        <x:v>Recorded skills only</x:v>
      </x:c>
      <x:c r="AB29" s="601" t="n">
        <x:f>IF(OR(AP29&lt;&gt;"Yes",E29=0),"",IFERROR(100*(COUNTIFS($AP$19:$AP$186,"Yes",$E$19:$E$186,"&gt;0",$I$19:$I$186,"&lt;"&amp;I29)+(COUNTIFS($AP$19:$AP$186,"Yes",$E$19:$E$186,"&gt;0",$I$19:$I$186,I29)-1)/2)/(COUNTIFS($AP$19:$AP$186,"Yes",$E$19:$E$186,"&gt;0")-1),50))</x:f>
        <x:v>26.2987012987013</x:v>
      </x:c>
      <x:c r="AC29" s="601" t="n">
        <x:f>IF(AB29="","",AB29*'Specialisation Rankings'!$O$16+R29*'Specialisation Rankings'!$O$17)</x:f>
        <x:v>28.11688311688312</x:v>
      </x:c>
      <x:c r="AD29" s="601" t="n">
        <x:f>IF(AC29="","",COUNTIFS($A$19:$A$186,A29,$AP$19:$AP$186,"Yes",$E$19:$E$186,"&gt;0",$AC$19:$AC$186,"&gt;"&amp;AC29)+COUNTIFS($A$19:A29,A29,$AP$19:AP29,"Yes",$E$19:E29,"&gt;0",$AC$19:AC29,AC29))</x:f>
        <x:v>24</x:v>
      </x:c>
      <x:c r="AE29" s="601" t="n">
        <x:f>IF(OR(AP29&lt;&gt;"Yes",E29=0),"",IFERROR(100*(COUNTIFS($AP$19:$AP$186,"Yes",$E$19:$E$186,"&gt;0",$H$19:$H$186,"&lt;"&amp;H29)+(COUNTIFS($AP$19:$AP$186,"Yes",$E$19:$E$186,"&gt;0",$H$19:$H$186,H29)-1)/2)/(COUNTIFS($AP$19:$AP$186,"Yes",$E$19:$E$186,"&gt;0")-1),50))</x:f>
        <x:v>79.54545454545455</x:v>
      </x:c>
      <x:c r="AF29" s="601" t="n">
        <x:f>IF(AE29="","",AE29*'Specialisation Rankings'!$O$16+R29*'Specialisation Rankings'!$O$17)</x:f>
        <x:v>70.71428571428572</x:v>
      </x:c>
      <x:c r="AG29" s="601" t="n">
        <x:f>IF(AF29="","",COUNTIFS($A$19:$A$186,A29,$AP$19:$AP$186,"Yes",$E$19:$E$186,"&gt;0",$AF$19:$AF$186,"&gt;"&amp;AF29)+COUNTIFS($A$19:A29,A29,$AP$19:AP29,"Yes",$E$19:E29,"&gt;0",$AF$19:AF29,AF29))</x:f>
        <x:v>2</x:v>
      </x:c>
      <x:c r="AH29" s="601" t="n">
        <x:f>IF(OR(AP29&lt;&gt;"Yes",E29=0),"",IFERROR(100*(COUNTIFS($AP$19:$AP$186,"Yes",$E$19:$E$186,"&gt;0",$J$19:$J$186,"&lt;"&amp;J29)+(COUNTIFS($AP$19:$AP$186,"Yes",$E$19:$E$186,"&gt;0",$J$19:$J$186,J29)-1)/2)/(COUNTIFS($AP$19:$AP$186,"Yes",$E$19:$E$186,"&gt;0")-1),50))</x:f>
        <x:v>33.116883116883116</x:v>
      </x:c>
      <x:c r="AI29" s="601" t="n">
        <x:f>IF(AH29="","",AH29*'Specialisation Rankings'!$O$16+R29*'Specialisation Rankings'!$O$17)</x:f>
        <x:v>33.57142857142857</x:v>
      </x:c>
      <x:c r="AJ29" s="601" t="n">
        <x:f>IF(AI29="","",COUNTIFS($A$19:$A$186,A29,$AP$19:$AP$186,"Yes",$E$19:$E$186,"&gt;0",$AI$19:$AI$186,"&gt;"&amp;AI29)+COUNTIFS($A$19:A29,A29,$AP$19:AP29,"Yes",$E$19:E29,"&gt;0",$AI$19:AI29,AI29))</x:f>
        <x:v>21</x:v>
      </x:c>
      <x:c r="AK29" s="601" t="n">
        <x:f>IF(OR(AP29&lt;&gt;"Yes",E29=0),"",IF(M29=0,'Specialisation Rankings'!$O$23,V29))</x:f>
        <x:v>48.2905982905983</x:v>
      </x:c>
      <x:c r="AL29" s="601" t="n">
        <x:f>IF(AK29="","",COUNTIFS($A$19:$A$186,A29,$AP$19:$AP$186,"Yes",$E$19:$E$186,"&gt;0",$AK$19:$AK$186,"&gt;"&amp;AK29)+COUNTIFS($A$19:A29,A29,$AP$19:AP29,"Yes",$E$19:E29,"&gt;0",$AK$19:AK29,AK29))</x:f>
        <x:v>7</x:v>
      </x:c>
      <x:c r="AM29" s="601" t="n">
        <x:f>IF(AC29="","",AC29*'Specialisation Rankings'!$O$18+AF29*'Specialisation Rankings'!$O$19+AI29*'Specialisation Rankings'!$O$20+AK29*'Specialisation Rankings'!$O$21)</x:f>
        <x:v>35.21217671217671</x:v>
      </x:c>
      <x:c r="AN29" s="601" t="n">
        <x:f>IF(AM29="","",COUNTIFS($A$19:$A$186,A29,$AP$19:$AP$186,"Yes",$E$19:$E$186,"&gt;0",$AM$19:$AM$186,"&gt;"&amp;AM29)+COUNTIFS($A$19:A29,A29,$AP$19:AP29,"Yes",$E$19:E29,"&gt;0",$AM$19:AM29,AM29))</x:f>
        <x:v>24</x:v>
      </x:c>
      <x:c r="AO29" s="601" t="n">
        <x:f>IF(AM29="","",COUNTIFS($AP$19:$AP$186,"Yes",$E$19:$E$186,"&gt;0",$AM$19:$AM$186,"&gt;"&amp;AM29)+COUNTIFS($AP$19:AP29,"Yes",$E$19:E29,"&gt;0",$AM$19:AM29,AM29))</x:f>
        <x:v>104</x:v>
      </x:c>
      <x:c r="AP29" s="602" t="str">
        <x:f>IF(COUNTIFS('Player Scenario Model'!$A$6:$A$172,A29,'Player Scenario Model'!$B$6:$B$172,B29)&gt;0,"Yes","No")</x:f>
        <x:v>Yes</x:v>
      </x:c>
    </x:row>
    <x:row r="30" ht="24" customHeight="1">
      <x:c r="A30" s="430" t="str">
        <x:v>K60</x:v>
      </x:c>
      <x:c r="B30" s="430" t="str">
        <x:v>邪恶的Xero</x:v>
      </x:c>
      <x:c r="C30" s="431" t="n">
        <x:f>COUNTIFS('Specialisations'!$A$6:$A$527,A30,'Specialisations'!$B$6:$B$527,B30)</x:f>
        <x:v>3</x:v>
      </x:c>
      <x:c r="D30" s="431" t="n">
        <x:f>COUNTIFS('Specialisations'!$A$6:$A$527,A30,'Specialisations'!$B$6:$B$527,B30,'Specialisations'!$P$6:$P$527,"OK")</x:f>
        <x:v>3</x:v>
      </x:c>
      <x:c r="E30" s="431" t="n">
        <x:f>COUNTIFS('Specialisations'!$A$6:$A$527,A30,'Specialisations'!$B$6:$B$527,B30,'Specialisations'!$P$6:$P$527,"OK",'Specialisations'!$C$6:$C$527,"&lt;&gt;Guards")</x:f>
        <x:v>3</x:v>
      </x:c>
      <x:c r="F30" s="432" t="n">
        <x:f>IF(C30=0,"",D30/C30)</x:f>
        <x:v>1</x:v>
      </x:c>
      <x:c r="G30" s="495" t="n">
        <x:f>SUMIFS('Specialisations'!$Q$6:$Q$527,'Specialisations'!$A$6:$A$527,A30,'Specialisations'!$B$6:$B$527,B30,'Specialisations'!$C$6:$C$527,"Guards")</x:f>
        <x:v>0</x:v>
      </x:c>
      <x:c r="H30" s="495" t="n">
        <x:f>SUMIFS('Specialisations'!$Q$6:$Q$527,'Specialisations'!$A$6:$A$527,A30,'Specialisations'!$B$6:$B$527,B30,'Specialisations'!$C$6:$C$527,"Archers")</x:f>
        <x:v>33.13</x:v>
      </x:c>
      <x:c r="I30" s="495" t="n">
        <x:f>SUMIFS('Specialisations'!$Q$6:$Q$527,'Specialisations'!$A$6:$A$527,A30,'Specialisations'!$B$6:$B$527,B30,'Specialisations'!$C$6:$C$527,"Cavalry")</x:f>
        <x:v>100.12</x:v>
      </x:c>
      <x:c r="J30" s="495" t="n">
        <x:f>SUMIFS('Specialisations'!$Q$6:$Q$527,'Specialisations'!$A$6:$A$527,A30,'Specialisations'!$B$6:$B$527,B30,'Specialisations'!$C$6:$C$527,"Siege")</x:f>
        <x:v>0</x:v>
      </x:c>
      <x:c r="K30" s="495" t="n">
        <x:f>SUM(H30:J30)</x:f>
        <x:v>133.25</x:v>
      </x:c>
      <x:c r="L30" s="495" t="n">
        <x:f>SUM(G30,K30)</x:f>
        <x:v>133.25</x:v>
      </x:c>
      <x:c r="M30" s="433" t="n">
        <x:f>SUMIFS('Specialisations'!$N$6:$N$527,'Specialisations'!$A$6:$A$527,A30,'Specialisations'!$B$6:$B$527,B30,'Specialisations'!$C$6:$C$527,"Guards")</x:f>
        <x:v>0</x:v>
      </x:c>
      <x:c r="N30" s="433" t="n">
        <x:f>SUMIFS('Specialisations'!$N$6:$N$527,'Specialisations'!$A$6:$A$527,A30,'Specialisations'!$B$6:$B$527,B30,'Specialisations'!$C$6:$C$527,"&lt;&gt;Guards")</x:f>
        <x:v>15662900</x:v>
      </x:c>
      <x:c r="O30" s="433" t="n">
        <x:f>SUM(M30:N30)</x:f>
        <x:v>15662900</x:v>
      </x:c>
      <x:c r="P30" s="434" t="n">
        <x:f>IF(E30=0,"",K30/E30)</x:f>
        <x:v>44.416666666666664</x:v>
      </x:c>
      <x:c r="Q30" s="501" t="n">
        <x:f>IF(E30=0,"",IFERROR(100*(COUNTIFS($E$19:$E$186,"&gt;0",$K$19:$K$186,"&lt;"&amp;K30)+(COUNTIFS($E$19:$E$186,"&gt;0",$K$19:$K$186,K30)-1)/2)/(COUNTIF($E$19:$E$186,"&gt;0")-1),50))</x:f>
        <x:v>80.51948051948052</x:v>
      </x:c>
      <x:c r="R30" s="501" t="n">
        <x:f>IF(E30=0,"",IFERROR(100*(COUNTIFS($E$19:$E$186,"&gt;0",$N$19:$N$186,"&lt;"&amp;N30)+(COUNTIFS($E$19:$E$186,"&gt;0",$N$19:$N$186,N30)-1)/2)/(COUNTIF($E$19:$E$186,"&gt;0")-1),50))</x:f>
        <x:v>81.16883116883118</x:v>
      </x:c>
      <x:c r="S30" s="501" t="n">
        <x:f>IF(E30=0,"",Q30*$R$5+R30*$R$6)</x:f>
        <x:v>80.64935064935065</x:v>
      </x:c>
      <x:c r="T30" s="501" t="str">
        <x:f>IF(M30=0,"",IFERROR(100*(COUNTIFS($M$19:$M$186,"&gt;0",$G$19:$G$186,"&gt;"&amp;G30)+(COUNTIFS($M$19:$M$186,"&gt;0",$G$19:$G$186,G30)-1)/2)/(COUNTIF($M$19:$M$186,"&gt;0")-1),50))</x:f>
      </x:c>
      <x:c r="U30" s="501" t="str">
        <x:f>IF(M30=0,"",IFERROR(100*(COUNTIFS($M$19:$M$186,"&gt;0",$M$19:$M$186,"&lt;"&amp;M30)+(COUNTIFS($M$19:$M$186,"&gt;0",$M$19:$M$186,M30)-1)/2)/(COUNTIF($M$19:$M$186,"&gt;0")-1),50))</x:f>
      </x:c>
      <x:c r="V30" s="501" t="str">
        <x:f>IF(M30=0,"",T30*$R$5+U30*$R$6)</x:f>
      </x:c>
      <x:c r="W30" s="431" t="n">
        <x:f>IF(E30=0,"",COUNTIFS($A$19:$A$186,A30,$S$19:$S$186,"&gt;"&amp;S30)+COUNTIFS($A$19:A30,A30,$E$19:E30,"&gt;0",$S$19:S30,S30))</x:f>
        <x:v>7</x:v>
      </x:c>
      <x:c r="X30" s="431" t="n">
        <x:f>IF(S30="","",1+COUNTIF($S$19:$S$186,"&gt;"&amp;S30))</x:f>
        <x:v>33</x:v>
      </x:c>
      <x:c r="Y30" s="431" t="str">
        <x:f>IF(V30="","",1+COUNTIFS($A$19:$A$186,A30,$V$19:$V$186,"&gt;"&amp;V30))</x:f>
      </x:c>
      <x:c r="Z30" s="431" t="str">
        <x:f>IF(V30="","",1+COUNTIF($V$19:$V$186,"&gt;"&amp;V30))</x:f>
      </x:c>
      <x:c r="AA30" s="430" t="str">
        <x:f>IF(C30=0,"No specialisations recorded",IF(D30&lt;C30,"Review missing level","Recorded skills only"))</x:f>
        <x:v>Recorded skills only</x:v>
      </x:c>
      <x:c r="AB30" s="601" t="n">
        <x:f>IF(OR(AP30&lt;&gt;"Yes",E30=0),"",IFERROR(100*(COUNTIFS($AP$19:$AP$186,"Yes",$E$19:$E$186,"&gt;0",$I$19:$I$186,"&lt;"&amp;I30)+(COUNTIFS($AP$19:$AP$186,"Yes",$E$19:$E$186,"&gt;0",$I$19:$I$186,I30)-1)/2)/(COUNTIFS($AP$19:$AP$186,"Yes",$E$19:$E$186,"&gt;0")-1),50))</x:f>
        <x:v>85.3896103896104</x:v>
      </x:c>
      <x:c r="AC30" s="601" t="n">
        <x:f>IF(AB30="","",AB30*'Specialisation Rankings'!$O$16+R30*'Specialisation Rankings'!$O$17)</x:f>
        <x:v>84.54545454545455</x:v>
      </x:c>
      <x:c r="AD30" s="601" t="n">
        <x:f>IF(AC30="","",COUNTIFS($A$19:$A$186,A30,$AP$19:$AP$186,"Yes",$E$19:$E$186,"&gt;0",$AC$19:$AC$186,"&gt;"&amp;AC30)+COUNTIFS($A$19:A30,A30,$AP$19:AP30,"Yes",$E$19:E30,"&gt;0",$AC$19:AC30,AC30))</x:f>
        <x:v>4</x:v>
      </x:c>
      <x:c r="AE30" s="601" t="n">
        <x:f>IF(OR(AP30&lt;&gt;"Yes",E30=0),"",IFERROR(100*(COUNTIFS($AP$19:$AP$186,"Yes",$E$19:$E$186,"&gt;0",$H$19:$H$186,"&lt;"&amp;H30)+(COUNTIFS($AP$19:$AP$186,"Yes",$E$19:$E$186,"&gt;0",$H$19:$H$186,H30)-1)/2)/(COUNTIFS($AP$19:$AP$186,"Yes",$E$19:$E$186,"&gt;0")-1),50))</x:f>
        <x:v>56.493506493506494</x:v>
      </x:c>
      <x:c r="AF30" s="601" t="n">
        <x:f>IF(AE30="","",AE30*'Specialisation Rankings'!$O$16+R30*'Specialisation Rankings'!$O$17)</x:f>
        <x:v>61.42857142857143</x:v>
      </x:c>
      <x:c r="AG30" s="601" t="n">
        <x:f>IF(AF30="","",COUNTIFS($A$19:$A$186,A30,$AP$19:$AP$186,"Yes",$E$19:$E$186,"&gt;0",$AF$19:$AF$186,"&gt;"&amp;AF30)+COUNTIFS($A$19:A30,A30,$AP$19:AP30,"Yes",$E$19:E30,"&gt;0",$AF$19:AF30,AF30))</x:f>
        <x:v>5</x:v>
      </x:c>
      <x:c r="AH30" s="601" t="n">
        <x:f>IF(OR(AP30&lt;&gt;"Yes",E30=0),"",IFERROR(100*(COUNTIFS($AP$19:$AP$186,"Yes",$E$19:$E$186,"&gt;0",$J$19:$J$186,"&lt;"&amp;J30)+(COUNTIFS($AP$19:$AP$186,"Yes",$E$19:$E$186,"&gt;0",$J$19:$J$186,J30)-1)/2)/(COUNTIFS($AP$19:$AP$186,"Yes",$E$19:$E$186,"&gt;0")-1),50))</x:f>
        <x:v>33.116883116883116</x:v>
      </x:c>
      <x:c r="AI30" s="601" t="n">
        <x:f>IF(AH30="","",AH30*'Specialisation Rankings'!$O$16+R30*'Specialisation Rankings'!$O$17)</x:f>
        <x:v>42.727272727272734</x:v>
      </x:c>
      <x:c r="AJ30" s="601" t="n">
        <x:f>IF(AI30="","",COUNTIFS($A$19:$A$186,A30,$AP$19:$AP$186,"Yes",$E$19:$E$186,"&gt;0",$AI$19:$AI$186,"&gt;"&amp;AI30)+COUNTIFS($A$19:A30,A30,$AP$19:AP30,"Yes",$E$19:E30,"&gt;0",$AI$19:AI30,AI30))</x:f>
        <x:v>7</x:v>
      </x:c>
      <x:c r="AK30" s="601" t="n">
        <x:f>IF(OR(AP30&lt;&gt;"Yes",E30=0),"",IF(M30=0,'Specialisation Rankings'!$O$23,V30))</x:f>
        <x:v>50</x:v>
      </x:c>
      <x:c r="AL30" s="601" t="n">
        <x:f>IF(AK30="","",COUNTIFS($A$19:$A$186,A30,$AP$19:$AP$186,"Yes",$E$19:$E$186,"&gt;0",$AK$19:$AK$186,"&gt;"&amp;AK30)+COUNTIFS($A$19:A30,A30,$AP$19:AP30,"Yes",$E$19:E30,"&gt;0",$AK$19:AK30,AK30))</x:f>
        <x:v>3</x:v>
      </x:c>
      <x:c r="AM30" s="601" t="n">
        <x:f>IF(AC30="","",AC30*'Specialisation Rankings'!$O$18+AF30*'Specialisation Rankings'!$O$19+AI30*'Specialisation Rankings'!$O$20+AK30*'Specialisation Rankings'!$O$21)</x:f>
        <x:v>72.50649350649351</x:v>
      </x:c>
      <x:c r="AN30" s="601" t="n">
        <x:f>IF(AM30="","",COUNTIFS($A$19:$A$186,A30,$AP$19:$AP$186,"Yes",$E$19:$E$186,"&gt;0",$AM$19:$AM$186,"&gt;"&amp;AM30)+COUNTIFS($A$19:A30,A30,$AP$19:AP30,"Yes",$E$19:E30,"&gt;0",$AM$19:AM30,AM30))</x:f>
        <x:v>6</x:v>
      </x:c>
      <x:c r="AO30" s="601" t="n">
        <x:f>IF(AM30="","",COUNTIFS($AP$19:$AP$186,"Yes",$E$19:$E$186,"&gt;0",$AM$19:$AM$186,"&gt;"&amp;AM30)+COUNTIFS($AP$19:AP30,"Yes",$E$19:E30,"&gt;0",$AM$19:AM30,AM30))</x:f>
        <x:v>31</x:v>
      </x:c>
      <x:c r="AP30" s="602" t="str">
        <x:f>IF(COUNTIFS('Player Scenario Model'!$A$6:$A$172,A30,'Player Scenario Model'!$B$6:$B$172,B30)&gt;0,"Yes","No")</x:f>
        <x:v>Yes</x:v>
      </x:c>
    </x:row>
    <x:row r="31" ht="24" customHeight="1">
      <x:c r="A31" s="430" t="str">
        <x:v>K60</x:v>
      </x:c>
      <x:c r="B31" s="430" t="str">
        <x:v>AAB</x:v>
      </x:c>
      <x:c r="C31" s="431" t="n">
        <x:f>COUNTIFS('Specialisations'!$A$6:$A$527,A31,'Specialisations'!$B$6:$B$527,B31)</x:f>
        <x:v>4</x:v>
      </x:c>
      <x:c r="D31" s="431" t="n">
        <x:f>COUNTIFS('Specialisations'!$A$6:$A$527,A31,'Specialisations'!$B$6:$B$527,B31,'Specialisations'!$P$6:$P$527,"OK")</x:f>
        <x:v>4</x:v>
      </x:c>
      <x:c r="E31" s="431" t="n">
        <x:f>COUNTIFS('Specialisations'!$A$6:$A$527,A31,'Specialisations'!$B$6:$B$527,B31,'Specialisations'!$P$6:$P$527,"OK",'Specialisations'!$C$6:$C$527,"&lt;&gt;Guards")</x:f>
        <x:v>3</x:v>
      </x:c>
      <x:c r="F31" s="432" t="n">
        <x:f>IF(C31=0,"",D31/C31)</x:f>
        <x:v>1</x:v>
      </x:c>
      <x:c r="G31" s="495" t="n">
        <x:f>SUMIFS('Specialisations'!$Q$6:$Q$527,'Specialisations'!$A$6:$A$527,A31,'Specialisations'!$B$6:$B$527,B31,'Specialisations'!$C$6:$C$527,"Guards")</x:f>
        <x:v>-27.74</x:v>
      </x:c>
      <x:c r="H31" s="495" t="n">
        <x:f>SUMIFS('Specialisations'!$Q$6:$Q$527,'Specialisations'!$A$6:$A$527,A31,'Specialisations'!$B$6:$B$527,B31,'Specialisations'!$C$6:$C$527,"Archers")</x:f>
        <x:v>27.74</x:v>
      </x:c>
      <x:c r="I31" s="495" t="n">
        <x:f>SUMIFS('Specialisations'!$Q$6:$Q$527,'Specialisations'!$A$6:$A$527,A31,'Specialisations'!$B$6:$B$527,B31,'Specialisations'!$C$6:$C$527,"Cavalry")</x:f>
        <x:v>87.11</x:v>
      </x:c>
      <x:c r="J31" s="495" t="n">
        <x:f>SUMIFS('Specialisations'!$Q$6:$Q$527,'Specialisations'!$A$6:$A$527,A31,'Specialisations'!$B$6:$B$527,B31,'Specialisations'!$C$6:$C$527,"Siege")</x:f>
        <x:v>0</x:v>
      </x:c>
      <x:c r="K31" s="495" t="n">
        <x:f>SUM(H31:J31)</x:f>
        <x:v>114.85</x:v>
      </x:c>
      <x:c r="L31" s="495" t="n">
        <x:f>SUM(G31,K31)</x:f>
        <x:v>87.11</x:v>
      </x:c>
      <x:c r="M31" s="433" t="n">
        <x:f>SUMIFS('Specialisations'!$N$6:$N$527,'Specialisations'!$A$6:$A$527,A31,'Specialisations'!$B$6:$B$527,B31,'Specialisations'!$C$6:$C$527,"Guards")</x:f>
        <x:v>2244300</x:v>
      </x:c>
      <x:c r="N31" s="433" t="n">
        <x:f>SUMIFS('Specialisations'!$N$6:$N$527,'Specialisations'!$A$6:$A$527,A31,'Specialisations'!$B$6:$B$527,B31,'Specialisations'!$C$6:$C$527,"&lt;&gt;Guards")</x:f>
        <x:v>11532900</x:v>
      </x:c>
      <x:c r="O31" s="433" t="n">
        <x:f>SUM(M31:N31)</x:f>
        <x:v>13777200</x:v>
      </x:c>
      <x:c r="P31" s="434" t="n">
        <x:f>IF(E31=0,"",K31/E31)</x:f>
        <x:v>38.28333333333333</x:v>
      </x:c>
      <x:c r="Q31" s="501" t="n">
        <x:f>IF(E31=0,"",IFERROR(100*(COUNTIFS($E$19:$E$186,"&gt;0",$K$19:$K$186,"&lt;"&amp;K31)+(COUNTIFS($E$19:$E$186,"&gt;0",$K$19:$K$186,K31)-1)/2)/(COUNTIF($E$19:$E$186,"&gt;0")-1),50))</x:f>
        <x:v>67.20779220779221</x:v>
      </x:c>
      <x:c r="R31" s="501" t="n">
        <x:f>IF(E31=0,"",IFERROR(100*(COUNTIFS($E$19:$E$186,"&gt;0",$N$19:$N$186,"&lt;"&amp;N31)+(COUNTIFS($E$19:$E$186,"&gt;0",$N$19:$N$186,N31)-1)/2)/(COUNTIF($E$19:$E$186,"&gt;0")-1),50))</x:f>
        <x:v>59.41558441558441</x:v>
      </x:c>
      <x:c r="S31" s="501" t="n">
        <x:f>IF(E31=0,"",Q31*$R$5+R31*$R$6)</x:f>
        <x:v>65.64935064935065</x:v>
      </x:c>
      <x:c r="T31" s="501" t="n">
        <x:f>IF(M31=0,"",IFERROR(100*(COUNTIFS($M$19:$M$186,"&gt;0",$G$19:$G$186,"&gt;"&amp;G31)+(COUNTIFS($M$19:$M$186,"&gt;0",$G$19:$G$186,G31)-1)/2)/(COUNTIF($M$19:$M$186,"&gt;0")-1),50))</x:f>
        <x:v>29.487179487179485</x:v>
      </x:c>
      <x:c r="U31" s="501" t="n">
        <x:f>IF(M31=0,"",IFERROR(100*(COUNTIFS($M$19:$M$186,"&gt;0",$M$19:$M$186,"&lt;"&amp;M31)+(COUNTIFS($M$19:$M$186,"&gt;0",$M$19:$M$186,M31)-1)/2)/(COUNTIF($M$19:$M$186,"&gt;0")-1),50))</x:f>
        <x:v>29.487179487179485</x:v>
      </x:c>
      <x:c r="V31" s="501" t="n">
        <x:f>IF(M31=0,"",T31*$R$5+U31*$R$6)</x:f>
        <x:v>29.48717948717949</x:v>
      </x:c>
      <x:c r="W31" s="431" t="n">
        <x:f>IF(E31=0,"",COUNTIFS($A$19:$A$186,A31,$S$19:$S$186,"&gt;"&amp;S31)+COUNTIFS($A$19:A31,A31,$E$19:E31,"&gt;0",$S$19:S31,S31))</x:f>
        <x:v>12</x:v>
      </x:c>
      <x:c r="X31" s="431" t="n">
        <x:f>IF(S31="","",1+COUNTIF($S$19:$S$186,"&gt;"&amp;S31))</x:f>
        <x:v>51</x:v>
      </x:c>
      <x:c r="Y31" s="431" t="n">
        <x:f>IF(V31="","",1+COUNTIFS($A$19:$A$186,A31,$V$19:$V$186,"&gt;"&amp;V31))</x:f>
        <x:v>3</x:v>
      </x:c>
      <x:c r="Z31" s="431" t="n">
        <x:f>IF(V31="","",1+COUNTIF($V$19:$V$186,"&gt;"&amp;V31))</x:f>
        <x:v>70</x:v>
      </x:c>
      <x:c r="AA31" s="430" t="str">
        <x:f>IF(C31=0,"No specialisations recorded",IF(D31&lt;C31,"Review missing level","Recorded skills only"))</x:f>
        <x:v>Recorded skills only</x:v>
      </x:c>
      <x:c r="AB31" s="601" t="n">
        <x:f>IF(OR(AP31&lt;&gt;"Yes",E31=0),"",IFERROR(100*(COUNTIFS($AP$19:$AP$186,"Yes",$E$19:$E$186,"&gt;0",$I$19:$I$186,"&lt;"&amp;I31)+(COUNTIFS($AP$19:$AP$186,"Yes",$E$19:$E$186,"&gt;0",$I$19:$I$186,I31)-1)/2)/(COUNTIFS($AP$19:$AP$186,"Yes",$E$19:$E$186,"&gt;0")-1),50))</x:f>
        <x:v>73.05194805194805</x:v>
      </x:c>
      <x:c r="AC31" s="601" t="n">
        <x:f>IF(AB31="","",AB31*'Specialisation Rankings'!$O$16+R31*'Specialisation Rankings'!$O$17)</x:f>
        <x:v>70.32467532467533</x:v>
      </x:c>
      <x:c r="AD31" s="601" t="n">
        <x:f>IF(AC31="","",COUNTIFS($A$19:$A$186,A31,$AP$19:$AP$186,"Yes",$E$19:$E$186,"&gt;0",$AC$19:$AC$186,"&gt;"&amp;AC31)+COUNTIFS($A$19:A31,A31,$AP$19:AP31,"Yes",$E$19:E31,"&gt;0",$AC$19:AC31,AC31))</x:f>
        <x:v>11</x:v>
      </x:c>
      <x:c r="AE31" s="601" t="n">
        <x:f>IF(OR(AP31&lt;&gt;"Yes",E31=0),"",IFERROR(100*(COUNTIFS($AP$19:$AP$186,"Yes",$E$19:$E$186,"&gt;0",$H$19:$H$186,"&lt;"&amp;H31)+(COUNTIFS($AP$19:$AP$186,"Yes",$E$19:$E$186,"&gt;0",$H$19:$H$186,H31)-1)/2)/(COUNTIFS($AP$19:$AP$186,"Yes",$E$19:$E$186,"&gt;0")-1),50))</x:f>
        <x:v>42.20779220779221</x:v>
      </x:c>
      <x:c r="AF31" s="601" t="n">
        <x:f>IF(AE31="","",AE31*'Specialisation Rankings'!$O$16+R31*'Specialisation Rankings'!$O$17)</x:f>
        <x:v>45.64935064935065</x:v>
      </x:c>
      <x:c r="AG31" s="601" t="n">
        <x:f>IF(AF31="","",COUNTIFS($A$19:$A$186,A31,$AP$19:$AP$186,"Yes",$E$19:$E$186,"&gt;0",$AF$19:$AF$186,"&gt;"&amp;AF31)+COUNTIFS($A$19:A31,A31,$AP$19:AP31,"Yes",$E$19:E31,"&gt;0",$AF$19:AF31,AF31))</x:f>
        <x:v>17</x:v>
      </x:c>
      <x:c r="AH31" s="601" t="n">
        <x:f>IF(OR(AP31&lt;&gt;"Yes",E31=0),"",IFERROR(100*(COUNTIFS($AP$19:$AP$186,"Yes",$E$19:$E$186,"&gt;0",$J$19:$J$186,"&lt;"&amp;J31)+(COUNTIFS($AP$19:$AP$186,"Yes",$E$19:$E$186,"&gt;0",$J$19:$J$186,J31)-1)/2)/(COUNTIFS($AP$19:$AP$186,"Yes",$E$19:$E$186,"&gt;0")-1),50))</x:f>
        <x:v>33.116883116883116</x:v>
      </x:c>
      <x:c r="AI31" s="601" t="n">
        <x:f>IF(AH31="","",AH31*'Specialisation Rankings'!$O$16+R31*'Specialisation Rankings'!$O$17)</x:f>
        <x:v>38.37662337662338</x:v>
      </x:c>
      <x:c r="AJ31" s="601" t="n">
        <x:f>IF(AI31="","",COUNTIFS($A$19:$A$186,A31,$AP$19:$AP$186,"Yes",$E$19:$E$186,"&gt;0",$AI$19:$AI$186,"&gt;"&amp;AI31)+COUNTIFS($A$19:A31,A31,$AP$19:AP31,"Yes",$E$19:E31,"&gt;0",$AI$19:AI31,AI31))</x:f>
        <x:v>13</x:v>
      </x:c>
      <x:c r="AK31" s="601" t="n">
        <x:f>IF(OR(AP31&lt;&gt;"Yes",E31=0),"",IF(M31=0,'Specialisation Rankings'!$O$23,V31))</x:f>
        <x:v>29.48717948717949</x:v>
      </x:c>
      <x:c r="AL31" s="601" t="n">
        <x:f>IF(AK31="","",COUNTIFS($A$19:$A$186,A31,$AP$19:$AP$186,"Yes",$E$19:$E$186,"&gt;0",$AK$19:$AK$186,"&gt;"&amp;AK31)+COUNTIFS($A$19:A31,A31,$AP$19:AP31,"Yes",$E$19:E31,"&gt;0",$AK$19:AK31,AK31))</x:f>
        <x:v>16</x:v>
      </x:c>
      <x:c r="AM31" s="601" t="n">
        <x:f>IF(AC31="","",AC31*'Specialisation Rankings'!$O$18+AF31*'Specialisation Rankings'!$O$19+AI31*'Specialisation Rankings'!$O$20+AK31*'Specialisation Rankings'!$O$21)</x:f>
        <x:v>58.981185481185484</x:v>
      </x:c>
      <x:c r="AN31" s="601" t="n">
        <x:f>IF(AM31="","",COUNTIFS($A$19:$A$186,A31,$AP$19:$AP$186,"Yes",$E$19:$E$186,"&gt;0",$AM$19:$AM$186,"&gt;"&amp;AM31)+COUNTIFS($A$19:A31,A31,$AP$19:AP31,"Yes",$E$19:E31,"&gt;0",$AM$19:AM31,AM31))</x:f>
        <x:v>12</x:v>
      </x:c>
      <x:c r="AO31" s="601" t="n">
        <x:f>IF(AM31="","",COUNTIFS($AP$19:$AP$186,"Yes",$E$19:$E$186,"&gt;0",$AM$19:$AM$186,"&gt;"&amp;AM31)+COUNTIFS($AP$19:AP31,"Yes",$E$19:E31,"&gt;0",$AM$19:AM31,AM31))</x:f>
        <x:v>54</x:v>
      </x:c>
      <x:c r="AP31" s="602" t="str">
        <x:f>IF(COUNTIFS('Player Scenario Model'!$A$6:$A$172,A31,'Player Scenario Model'!$B$6:$B$172,B31)&gt;0,"Yes","No")</x:f>
        <x:v>Yes</x:v>
      </x:c>
    </x:row>
    <x:row r="32" ht="24" customHeight="1">
      <x:c r="A32" s="430" t="str">
        <x:v>K60</x:v>
      </x:c>
      <x:c r="B32" s="430" t="str">
        <x:v>#14 元气满满 (148,500)</x:v>
      </x:c>
      <x:c r="C32" s="431" t="n">
        <x:f>COUNTIFS('Specialisations'!$A$6:$A$527,A32,'Specialisations'!$B$6:$B$527,B32)</x:f>
        <x:v>5</x:v>
      </x:c>
      <x:c r="D32" s="431" t="n">
        <x:f>COUNTIFS('Specialisations'!$A$6:$A$527,A32,'Specialisations'!$B$6:$B$527,B32,'Specialisations'!$P$6:$P$527,"OK")</x:f>
        <x:v>5</x:v>
      </x:c>
      <x:c r="E32" s="431" t="n">
        <x:f>COUNTIFS('Specialisations'!$A$6:$A$527,A32,'Specialisations'!$B$6:$B$527,B32,'Specialisations'!$P$6:$P$527,"OK",'Specialisations'!$C$6:$C$527,"&lt;&gt;Guards")</x:f>
        <x:v>5</x:v>
      </x:c>
      <x:c r="F32" s="432" t="n">
        <x:f>IF(C32=0,"",D32/C32)</x:f>
        <x:v>1</x:v>
      </x:c>
      <x:c r="G32" s="495" t="n">
        <x:f>SUMIFS('Specialisations'!$Q$6:$Q$527,'Specialisations'!$A$6:$A$527,A32,'Specialisations'!$B$6:$B$527,B32,'Specialisations'!$C$6:$C$527,"Guards")</x:f>
        <x:v>0</x:v>
      </x:c>
      <x:c r="H32" s="495" t="n">
        <x:f>SUMIFS('Specialisations'!$Q$6:$Q$527,'Specialisations'!$A$6:$A$527,A32,'Specialisations'!$B$6:$B$527,B32,'Specialisations'!$C$6:$C$527,"Archers")</x:f>
        <x:v>33.13</x:v>
      </x:c>
      <x:c r="I32" s="495" t="n">
        <x:f>SUMIFS('Specialisations'!$Q$6:$Q$527,'Specialisations'!$A$6:$A$527,A32,'Specialisations'!$B$6:$B$527,B32,'Specialisations'!$C$6:$C$527,"Cavalry")</x:f>
        <x:v>103.58000000000001</x:v>
      </x:c>
      <x:c r="J32" s="495" t="n">
        <x:f>SUMIFS('Specialisations'!$Q$6:$Q$527,'Specialisations'!$A$6:$A$527,A32,'Specialisations'!$B$6:$B$527,B32,'Specialisations'!$C$6:$C$527,"Siege")</x:f>
        <x:v>87.74</x:v>
      </x:c>
      <x:c r="K32" s="495" t="n">
        <x:f>SUM(H32:J32)</x:f>
        <x:v>224.45</x:v>
      </x:c>
      <x:c r="L32" s="495" t="n">
        <x:f>SUM(G32,K32)</x:f>
        <x:v>224.45</x:v>
      </x:c>
      <x:c r="M32" s="433" t="n">
        <x:f>SUMIFS('Specialisations'!$N$6:$N$527,'Specialisations'!$A$6:$A$527,A32,'Specialisations'!$B$6:$B$527,B32,'Specialisations'!$C$6:$C$527,"Guards")</x:f>
        <x:v>0</x:v>
      </x:c>
      <x:c r="N32" s="433" t="n">
        <x:f>SUMIFS('Specialisations'!$N$6:$N$527,'Specialisations'!$A$6:$A$527,A32,'Specialisations'!$B$6:$B$527,B32,'Specialisations'!$C$6:$C$527,"&lt;&gt;Guards")</x:f>
        <x:v>29641500</x:v>
      </x:c>
      <x:c r="O32" s="433" t="n">
        <x:f>SUM(M32:N32)</x:f>
        <x:v>29641500</x:v>
      </x:c>
      <x:c r="P32" s="434" t="n">
        <x:f>IF(E32=0,"",K32/E32)</x:f>
        <x:v>44.89</x:v>
      </x:c>
      <x:c r="Q32" s="501" t="n">
        <x:f>IF(E32=0,"",IFERROR(100*(COUNTIFS($E$19:$E$186,"&gt;0",$K$19:$K$186,"&lt;"&amp;K32)+(COUNTIFS($E$19:$E$186,"&gt;0",$K$19:$K$186,K32)-1)/2)/(COUNTIF($E$19:$E$186,"&gt;0")-1),50))</x:f>
        <x:v>98.05194805194805</x:v>
      </x:c>
      <x:c r="R32" s="501" t="n">
        <x:f>IF(E32=0,"",IFERROR(100*(COUNTIFS($E$19:$E$186,"&gt;0",$N$19:$N$186,"&lt;"&amp;N32)+(COUNTIFS($E$19:$E$186,"&gt;0",$N$19:$N$186,N32)-1)/2)/(COUNTIF($E$19:$E$186,"&gt;0")-1),50))</x:f>
        <x:v>97.40259740259741</x:v>
      </x:c>
      <x:c r="S32" s="501" t="n">
        <x:f>IF(E32=0,"",Q32*$R$5+R32*$R$6)</x:f>
        <x:v>97.92207792207792</x:v>
      </x:c>
      <x:c r="T32" s="501" t="str">
        <x:f>IF(M32=0,"",IFERROR(100*(COUNTIFS($M$19:$M$186,"&gt;0",$G$19:$G$186,"&gt;"&amp;G32)+(COUNTIFS($M$19:$M$186,"&gt;0",$G$19:$G$186,G32)-1)/2)/(COUNTIF($M$19:$M$186,"&gt;0")-1),50))</x:f>
      </x:c>
      <x:c r="U32" s="501" t="str">
        <x:f>IF(M32=0,"",IFERROR(100*(COUNTIFS($M$19:$M$186,"&gt;0",$M$19:$M$186,"&lt;"&amp;M32)+(COUNTIFS($M$19:$M$186,"&gt;0",$M$19:$M$186,M32)-1)/2)/(COUNTIF($M$19:$M$186,"&gt;0")-1),50))</x:f>
      </x:c>
      <x:c r="V32" s="501" t="str">
        <x:f>IF(M32=0,"",T32*$R$5+U32*$R$6)</x:f>
      </x:c>
      <x:c r="W32" s="431" t="n">
        <x:f>IF(E32=0,"",COUNTIFS($A$19:$A$186,A32,$S$19:$S$186,"&gt;"&amp;S32)+COUNTIFS($A$19:A32,A32,$E$19:E32,"&gt;0",$S$19:S32,S32))</x:f>
        <x:v>1</x:v>
      </x:c>
      <x:c r="X32" s="431" t="n">
        <x:f>IF(S32="","",1+COUNTIF($S$19:$S$186,"&gt;"&amp;S32))</x:f>
        <x:v>4</x:v>
      </x:c>
      <x:c r="Y32" s="431" t="str">
        <x:f>IF(V32="","",1+COUNTIFS($A$19:$A$186,A32,$V$19:$V$186,"&gt;"&amp;V32))</x:f>
      </x:c>
      <x:c r="Z32" s="431" t="str">
        <x:f>IF(V32="","",1+COUNTIF($V$19:$V$186,"&gt;"&amp;V32))</x:f>
      </x:c>
      <x:c r="AA32" s="430" t="str">
        <x:f>IF(C32=0,"No specialisations recorded",IF(D32&lt;C32,"Review missing level","Recorded skills only"))</x:f>
        <x:v>Recorded skills only</x:v>
      </x:c>
      <x:c r="AB32" s="601" t="n">
        <x:f>IF(OR(AP32&lt;&gt;"Yes",E32=0),"",IFERROR(100*(COUNTIFS($AP$19:$AP$186,"Yes",$E$19:$E$186,"&gt;0",$I$19:$I$186,"&lt;"&amp;I32)+(COUNTIFS($AP$19:$AP$186,"Yes",$E$19:$E$186,"&gt;0",$I$19:$I$186,I32)-1)/2)/(COUNTIFS($AP$19:$AP$186,"Yes",$E$19:$E$186,"&gt;0")-1),50))</x:f>
        <x:v>89.93506493506493</x:v>
      </x:c>
      <x:c r="AC32" s="601" t="n">
        <x:f>IF(AB32="","",AB32*'Specialisation Rankings'!$O$16+R32*'Specialisation Rankings'!$O$17)</x:f>
        <x:v>91.42857142857142</x:v>
      </x:c>
      <x:c r="AD32" s="601" t="n">
        <x:f>IF(AC32="","",COUNTIFS($A$19:$A$186,A32,$AP$19:$AP$186,"Yes",$E$19:$E$186,"&gt;0",$AC$19:$AC$186,"&gt;"&amp;AC32)+COUNTIFS($A$19:A32,A32,$AP$19:AP32,"Yes",$E$19:E32,"&gt;0",$AC$19:AC32,AC32))</x:f>
        <x:v>2</x:v>
      </x:c>
      <x:c r="AE32" s="601" t="n">
        <x:f>IF(OR(AP32&lt;&gt;"Yes",E32=0),"",IFERROR(100*(COUNTIFS($AP$19:$AP$186,"Yes",$E$19:$E$186,"&gt;0",$H$19:$H$186,"&lt;"&amp;H32)+(COUNTIFS($AP$19:$AP$186,"Yes",$E$19:$E$186,"&gt;0",$H$19:$H$186,H32)-1)/2)/(COUNTIFS($AP$19:$AP$186,"Yes",$E$19:$E$186,"&gt;0")-1),50))</x:f>
        <x:v>56.493506493506494</x:v>
      </x:c>
      <x:c r="AF32" s="601" t="n">
        <x:f>IF(AE32="","",AE32*'Specialisation Rankings'!$O$16+R32*'Specialisation Rankings'!$O$17)</x:f>
        <x:v>64.67532467532467</x:v>
      </x:c>
      <x:c r="AG32" s="601" t="n">
        <x:f>IF(AF32="","",COUNTIFS($A$19:$A$186,A32,$AP$19:$AP$186,"Yes",$E$19:$E$186,"&gt;0",$AF$19:$AF$186,"&gt;"&amp;AF32)+COUNTIFS($A$19:A32,A32,$AP$19:AP32,"Yes",$E$19:E32,"&gt;0",$AF$19:AF32,AF32))</x:f>
        <x:v>3</x:v>
      </x:c>
      <x:c r="AH32" s="601" t="n">
        <x:f>IF(OR(AP32&lt;&gt;"Yes",E32=0),"",IFERROR(100*(COUNTIFS($AP$19:$AP$186,"Yes",$E$19:$E$186,"&gt;0",$J$19:$J$186,"&lt;"&amp;J32)+(COUNTIFS($AP$19:$AP$186,"Yes",$E$19:$E$186,"&gt;0",$J$19:$J$186,J32)-1)/2)/(COUNTIFS($AP$19:$AP$186,"Yes",$E$19:$E$186,"&gt;0")-1),50))</x:f>
        <x:v>99.67532467532467</x:v>
      </x:c>
      <x:c r="AI32" s="601" t="n">
        <x:f>IF(AH32="","",AH32*'Specialisation Rankings'!$O$16+R32*'Specialisation Rankings'!$O$17)</x:f>
        <x:v>99.22077922077924</x:v>
      </x:c>
      <x:c r="AJ32" s="601" t="n">
        <x:f>IF(AI32="","",COUNTIFS($A$19:$A$186,A32,$AP$19:$AP$186,"Yes",$E$19:$E$186,"&gt;0",$AI$19:$AI$186,"&gt;"&amp;AI32)+COUNTIFS($A$19:A32,A32,$AP$19:AP32,"Yes",$E$19:E32,"&gt;0",$AI$19:AI32,AI32))</x:f>
        <x:v>1</x:v>
      </x:c>
      <x:c r="AK32" s="601" t="n">
        <x:f>IF(OR(AP32&lt;&gt;"Yes",E32=0),"",IF(M32=0,'Specialisation Rankings'!$O$23,V32))</x:f>
        <x:v>50</x:v>
      </x:c>
      <x:c r="AL32" s="601" t="n">
        <x:f>IF(AK32="","",COUNTIFS($A$19:$A$186,A32,$AP$19:$AP$186,"Yes",$E$19:$E$186,"&gt;0",$AK$19:$AK$186,"&gt;"&amp;AK32)+COUNTIFS($A$19:A32,A32,$AP$19:AP32,"Yes",$E$19:E32,"&gt;0",$AK$19:AK32,AK32))</x:f>
        <x:v>4</x:v>
      </x:c>
      <x:c r="AM32" s="601" t="n">
        <x:f>IF(AC32="","",AC32*'Specialisation Rankings'!$O$18+AF32*'Specialisation Rankings'!$O$19+AI32*'Specialisation Rankings'!$O$20+AK32*'Specialisation Rankings'!$O$21)</x:f>
        <x:v>85.77922077922078</x:v>
      </x:c>
      <x:c r="AN32" s="601" t="n">
        <x:f>IF(AM32="","",COUNTIFS($A$19:$A$186,A32,$AP$19:$AP$186,"Yes",$E$19:$E$186,"&gt;0",$AM$19:$AM$186,"&gt;"&amp;AM32)+COUNTIFS($A$19:A32,A32,$AP$19:AP32,"Yes",$E$19:E32,"&gt;0",$AM$19:AM32,AM32))</x:f>
        <x:v>1</x:v>
      </x:c>
      <x:c r="AO32" s="601" t="n">
        <x:f>IF(AM32="","",COUNTIFS($AP$19:$AP$186,"Yes",$E$19:$E$186,"&gt;0",$AM$19:$AM$186,"&gt;"&amp;AM32)+COUNTIFS($AP$19:AP32,"Yes",$E$19:E32,"&gt;0",$AM$19:AM32,AM32))</x:f>
        <x:v>12</x:v>
      </x:c>
      <x:c r="AP32" s="602" t="str">
        <x:f>IF(COUNTIFS('Player Scenario Model'!$A$6:$A$172,A32,'Player Scenario Model'!$B$6:$B$172,B32)&gt;0,"Yes","No")</x:f>
        <x:v>Yes</x:v>
      </x:c>
    </x:row>
    <x:row r="33" ht="24" customHeight="1">
      <x:c r="A33" s="430" t="str">
        <x:v>K60</x:v>
      </x:c>
      <x:c r="B33" s="430" t="str">
        <x:v>InFlames</x:v>
      </x:c>
      <x:c r="C33" s="431" t="n">
        <x:f>COUNTIFS('Specialisations'!$A$6:$A$527,A33,'Specialisations'!$B$6:$B$527,B33)</x:f>
        <x:v>5</x:v>
      </x:c>
      <x:c r="D33" s="431" t="n">
        <x:f>COUNTIFS('Specialisations'!$A$6:$A$527,A33,'Specialisations'!$B$6:$B$527,B33,'Specialisations'!$P$6:$P$527,"OK")</x:f>
        <x:v>5</x:v>
      </x:c>
      <x:c r="E33" s="431" t="n">
        <x:f>COUNTIFS('Specialisations'!$A$6:$A$527,A33,'Specialisations'!$B$6:$B$527,B33,'Specialisations'!$P$6:$P$527,"OK",'Specialisations'!$C$6:$C$527,"&lt;&gt;Guards")</x:f>
        <x:v>4</x:v>
      </x:c>
      <x:c r="F33" s="432" t="n">
        <x:f>IF(C33=0,"",D33/C33)</x:f>
        <x:v>1</x:v>
      </x:c>
      <x:c r="G33" s="495" t="n">
        <x:f>SUMIFS('Specialisations'!$Q$6:$Q$527,'Specialisations'!$A$6:$A$527,A33,'Specialisations'!$B$6:$B$527,B33,'Specialisations'!$C$6:$C$527,"Guards")</x:f>
        <x:v>-27.74</x:v>
      </x:c>
      <x:c r="H33" s="495" t="n">
        <x:f>SUMIFS('Specialisations'!$Q$6:$Q$527,'Specialisations'!$A$6:$A$527,A33,'Specialisations'!$B$6:$B$527,B33,'Specialisations'!$C$6:$C$527,"Archers")</x:f>
        <x:v>27.74</x:v>
      </x:c>
      <x:c r="I33" s="495" t="n">
        <x:f>SUMIFS('Specialisations'!$Q$6:$Q$527,'Specialisations'!$A$6:$A$527,A33,'Specialisations'!$B$6:$B$527,B33,'Specialisations'!$C$6:$C$527,"Cavalry")</x:f>
        <x:v>75.11</x:v>
      </x:c>
      <x:c r="J33" s="495" t="n">
        <x:f>SUMIFS('Specialisations'!$Q$6:$Q$527,'Specialisations'!$A$6:$A$527,A33,'Specialisations'!$B$6:$B$527,B33,'Specialisations'!$C$6:$C$527,"Siege")</x:f>
        <x:v>8.24</x:v>
      </x:c>
      <x:c r="K33" s="495" t="n">
        <x:f>SUM(H33:J33)</x:f>
        <x:v>111.08999999999999</x:v>
      </x:c>
      <x:c r="L33" s="495" t="n">
        <x:f>SUM(G33,K33)</x:f>
        <x:v>83.35</x:v>
      </x:c>
      <x:c r="M33" s="433" t="n">
        <x:f>SUMIFS('Specialisations'!$N$6:$N$527,'Specialisations'!$A$6:$A$527,A33,'Specialisations'!$B$6:$B$527,B33,'Specialisations'!$C$6:$C$527,"Guards")</x:f>
        <x:v>2244300</x:v>
      </x:c>
      <x:c r="N33" s="433" t="n">
        <x:f>SUMIFS('Specialisations'!$N$6:$N$527,'Specialisations'!$A$6:$A$527,A33,'Specialisations'!$B$6:$B$527,B33,'Specialisations'!$C$6:$C$527,"&lt;&gt;Guards")</x:f>
        <x:v>9992200</x:v>
      </x:c>
      <x:c r="O33" s="433" t="n">
        <x:f>SUM(M33:N33)</x:f>
        <x:v>12236500</x:v>
      </x:c>
      <x:c r="P33" s="434" t="n">
        <x:f>IF(E33=0,"",K33/E33)</x:f>
        <x:v>27.772499999999997</x:v>
      </x:c>
      <x:c r="Q33" s="501" t="n">
        <x:f>IF(E33=0,"",IFERROR(100*(COUNTIFS($E$19:$E$186,"&gt;0",$K$19:$K$186,"&lt;"&amp;K33)+(COUNTIFS($E$19:$E$186,"&gt;0",$K$19:$K$186,K33)-1)/2)/(COUNTIF($E$19:$E$186,"&gt;0")-1),50))</x:f>
        <x:v>64.93506493506493</x:v>
      </x:c>
      <x:c r="R33" s="501" t="n">
        <x:f>IF(E33=0,"",IFERROR(100*(COUNTIFS($E$19:$E$186,"&gt;0",$N$19:$N$186,"&lt;"&amp;N33)+(COUNTIFS($E$19:$E$186,"&gt;0",$N$19:$N$186,N33)-1)/2)/(COUNTIF($E$19:$E$186,"&gt;0")-1),50))</x:f>
        <x:v>41.55844155844156</x:v>
      </x:c>
      <x:c r="S33" s="501" t="n">
        <x:f>IF(E33=0,"",Q33*$R$5+R33*$R$6)</x:f>
        <x:v>60.259740259740255</x:v>
      </x:c>
      <x:c r="T33" s="501" t="n">
        <x:f>IF(M33=0,"",IFERROR(100*(COUNTIFS($M$19:$M$186,"&gt;0",$G$19:$G$186,"&gt;"&amp;G33)+(COUNTIFS($M$19:$M$186,"&gt;0",$G$19:$G$186,G33)-1)/2)/(COUNTIF($M$19:$M$186,"&gt;0")-1),50))</x:f>
        <x:v>29.487179487179485</x:v>
      </x:c>
      <x:c r="U33" s="501" t="n">
        <x:f>IF(M33=0,"",IFERROR(100*(COUNTIFS($M$19:$M$186,"&gt;0",$M$19:$M$186,"&lt;"&amp;M33)+(COUNTIFS($M$19:$M$186,"&gt;0",$M$19:$M$186,M33)-1)/2)/(COUNTIF($M$19:$M$186,"&gt;0")-1),50))</x:f>
        <x:v>29.487179487179485</x:v>
      </x:c>
      <x:c r="V33" s="501" t="n">
        <x:f>IF(M33=0,"",T33*$R$5+U33*$R$6)</x:f>
        <x:v>29.48717948717949</x:v>
      </x:c>
      <x:c r="W33" s="431" t="n">
        <x:f>IF(E33=0,"",COUNTIFS($A$19:$A$186,A33,$S$19:$S$186,"&gt;"&amp;S33)+COUNTIFS($A$19:A33,A33,$E$19:E33,"&gt;0",$S$19:S33,S33))</x:f>
        <x:v>14</x:v>
      </x:c>
      <x:c r="X33" s="431" t="n">
        <x:f>IF(S33="","",1+COUNTIF($S$19:$S$186,"&gt;"&amp;S33))</x:f>
        <x:v>60</x:v>
      </x:c>
      <x:c r="Y33" s="431" t="n">
        <x:f>IF(V33="","",1+COUNTIFS($A$19:$A$186,A33,$V$19:$V$186,"&gt;"&amp;V33))</x:f>
        <x:v>3</x:v>
      </x:c>
      <x:c r="Z33" s="431" t="n">
        <x:f>IF(V33="","",1+COUNTIF($V$19:$V$186,"&gt;"&amp;V33))</x:f>
        <x:v>70</x:v>
      </x:c>
      <x:c r="AA33" s="430" t="str">
        <x:f>IF(C33=0,"No specialisations recorded",IF(D33&lt;C33,"Review missing level","Recorded skills only"))</x:f>
        <x:v>Recorded skills only</x:v>
      </x:c>
      <x:c r="AB33" s="601" t="n">
        <x:f>IF(OR(AP33&lt;&gt;"Yes",E33=0),"",IFERROR(100*(COUNTIFS($AP$19:$AP$186,"Yes",$E$19:$E$186,"&gt;0",$I$19:$I$186,"&lt;"&amp;I33)+(COUNTIFS($AP$19:$AP$186,"Yes",$E$19:$E$186,"&gt;0",$I$19:$I$186,I33)-1)/2)/(COUNTIFS($AP$19:$AP$186,"Yes",$E$19:$E$186,"&gt;0")-1),50))</x:f>
        <x:v>58.44155844155844</x:v>
      </x:c>
      <x:c r="AC33" s="601" t="n">
        <x:f>IF(AB33="","",AB33*'Specialisation Rankings'!$O$16+R33*'Specialisation Rankings'!$O$17)</x:f>
        <x:v>55.06493506493507</x:v>
      </x:c>
      <x:c r="AD33" s="601" t="n">
        <x:f>IF(AC33="","",COUNTIFS($A$19:$A$186,A33,$AP$19:$AP$186,"Yes",$E$19:$E$186,"&gt;0",$AC$19:$AC$186,"&gt;"&amp;AC33)+COUNTIFS($A$19:A33,A33,$AP$19:AP33,"Yes",$E$19:E33,"&gt;0",$AC$19:AC33,AC33))</x:f>
        <x:v>20</x:v>
      </x:c>
      <x:c r="AE33" s="601" t="n">
        <x:f>IF(OR(AP33&lt;&gt;"Yes",E33=0),"",IFERROR(100*(COUNTIFS($AP$19:$AP$186,"Yes",$E$19:$E$186,"&gt;0",$H$19:$H$186,"&lt;"&amp;H33)+(COUNTIFS($AP$19:$AP$186,"Yes",$E$19:$E$186,"&gt;0",$H$19:$H$186,H33)-1)/2)/(COUNTIFS($AP$19:$AP$186,"Yes",$E$19:$E$186,"&gt;0")-1),50))</x:f>
        <x:v>42.20779220779221</x:v>
      </x:c>
      <x:c r="AF33" s="601" t="n">
        <x:f>IF(AE33="","",AE33*'Specialisation Rankings'!$O$16+R33*'Specialisation Rankings'!$O$17)</x:f>
        <x:v>42.07792207792208</x:v>
      </x:c>
      <x:c r="AG33" s="601" t="n">
        <x:f>IF(AF33="","",COUNTIFS($A$19:$A$186,A33,$AP$19:$AP$186,"Yes",$E$19:$E$186,"&gt;0",$AF$19:$AF$186,"&gt;"&amp;AF33)+COUNTIFS($A$19:A33,A33,$AP$19:AP33,"Yes",$E$19:E33,"&gt;0",$AF$19:AF33,AF33))</x:f>
        <x:v>21</x:v>
      </x:c>
      <x:c r="AH33" s="601" t="n">
        <x:f>IF(OR(AP33&lt;&gt;"Yes",E33=0),"",IFERROR(100*(COUNTIFS($AP$19:$AP$186,"Yes",$E$19:$E$186,"&gt;0",$J$19:$J$186,"&lt;"&amp;J33)+(COUNTIFS($AP$19:$AP$186,"Yes",$E$19:$E$186,"&gt;0",$J$19:$J$186,J33)-1)/2)/(COUNTIFS($AP$19:$AP$186,"Yes",$E$19:$E$186,"&gt;0")-1),50))</x:f>
        <x:v>71.42857142857143</x:v>
      </x:c>
      <x:c r="AI33" s="601" t="n">
        <x:f>IF(AH33="","",AH33*'Specialisation Rankings'!$O$16+R33*'Specialisation Rankings'!$O$17)</x:f>
        <x:v>65.45454545454545</x:v>
      </x:c>
      <x:c r="AJ33" s="601" t="n">
        <x:f>IF(AI33="","",COUNTIFS($A$19:$A$186,A33,$AP$19:$AP$186,"Yes",$E$19:$E$186,"&gt;0",$AI$19:$AI$186,"&gt;"&amp;AI33)+COUNTIFS($A$19:A33,A33,$AP$19:AP33,"Yes",$E$19:E33,"&gt;0",$AI$19:AI33,AI33))</x:f>
        <x:v>5</x:v>
      </x:c>
      <x:c r="AK33" s="601" t="n">
        <x:f>IF(OR(AP33&lt;&gt;"Yes",E33=0),"",IF(M33=0,'Specialisation Rankings'!$O$23,V33))</x:f>
        <x:v>29.48717948717949</x:v>
      </x:c>
      <x:c r="AL33" s="601" t="n">
        <x:f>IF(AK33="","",COUNTIFS($A$19:$A$186,A33,$AP$19:$AP$186,"Yes",$E$19:$E$186,"&gt;0",$AK$19:$AK$186,"&gt;"&amp;AK33)+COUNTIFS($A$19:A33,A33,$AP$19:AP33,"Yes",$E$19:E33,"&gt;0",$AK$19:AK33,AK33))</x:f>
        <x:v>17</x:v>
      </x:c>
      <x:c r="AM33" s="601" t="n">
        <x:f>IF(AC33="","",AC33*'Specialisation Rankings'!$O$18+AF33*'Specialisation Rankings'!$O$19+AI33*'Specialisation Rankings'!$O$20+AK33*'Specialisation Rankings'!$O$21)</x:f>
        <x:v>52.766899766899776</x:v>
      </x:c>
      <x:c r="AN33" s="601" t="n">
        <x:f>IF(AM33="","",COUNTIFS($A$19:$A$186,A33,$AP$19:$AP$186,"Yes",$E$19:$E$186,"&gt;0",$AM$19:$AM$186,"&gt;"&amp;AM33)+COUNTIFS($A$19:A33,A33,$AP$19:AP33,"Yes",$E$19:E33,"&gt;0",$AM$19:AM33,AM33))</x:f>
        <x:v>14</x:v>
      </x:c>
      <x:c r="AO33" s="601" t="n">
        <x:f>IF(AM33="","",COUNTIFS($AP$19:$AP$186,"Yes",$E$19:$E$186,"&gt;0",$AM$19:$AM$186,"&gt;"&amp;AM33)+COUNTIFS($AP$19:AP33,"Yes",$E$19:E33,"&gt;0",$AM$19:AM33,AM33))</x:f>
        <x:v>60</x:v>
      </x:c>
      <x:c r="AP33" s="602" t="str">
        <x:f>IF(COUNTIFS('Player Scenario Model'!$A$6:$A$172,A33,'Player Scenario Model'!$B$6:$B$172,B33)&gt;0,"Yes","No")</x:f>
        <x:v>Yes</x:v>
      </x:c>
    </x:row>
    <x:row r="34" ht="24" customHeight="1">
      <x:c r="A34" s="430" t="str">
        <x:v>K60</x:v>
      </x:c>
      <x:c r="B34" s="430" t="str">
        <x:v>ΨRØÇKYΨ</x:v>
      </x:c>
      <x:c r="C34" s="431" t="n">
        <x:f>COUNTIFS('Specialisations'!$A$6:$A$527,A34,'Specialisations'!$B$6:$B$527,B34)</x:f>
        <x:v>4</x:v>
      </x:c>
      <x:c r="D34" s="431" t="n">
        <x:f>COUNTIFS('Specialisations'!$A$6:$A$527,A34,'Specialisations'!$B$6:$B$527,B34,'Specialisations'!$P$6:$P$527,"OK")</x:f>
        <x:v>4</x:v>
      </x:c>
      <x:c r="E34" s="431" t="n">
        <x:f>COUNTIFS('Specialisations'!$A$6:$A$527,A34,'Specialisations'!$B$6:$B$527,B34,'Specialisations'!$P$6:$P$527,"OK",'Specialisations'!$C$6:$C$527,"&lt;&gt;Guards")</x:f>
        <x:v>3</x:v>
      </x:c>
      <x:c r="F34" s="432" t="n">
        <x:f>IF(C34=0,"",D34/C34)</x:f>
        <x:v>1</x:v>
      </x:c>
      <x:c r="G34" s="495" t="n">
        <x:f>SUMIFS('Specialisations'!$Q$6:$Q$527,'Specialisations'!$A$6:$A$527,A34,'Specialisations'!$B$6:$B$527,B34,'Specialisations'!$C$6:$C$527,"Guards")</x:f>
        <x:v>-27.74</x:v>
      </x:c>
      <x:c r="H34" s="495" t="n">
        <x:f>SUMIFS('Specialisations'!$Q$6:$Q$527,'Specialisations'!$A$6:$A$527,A34,'Specialisations'!$B$6:$B$527,B34,'Specialisations'!$C$6:$C$527,"Archers")</x:f>
        <x:v>30.38</x:v>
      </x:c>
      <x:c r="I34" s="495" t="n">
        <x:f>SUMIFS('Specialisations'!$Q$6:$Q$527,'Specialisations'!$A$6:$A$527,A34,'Specialisations'!$B$6:$B$527,B34,'Specialisations'!$C$6:$C$527,"Cavalry")</x:f>
        <x:v>83.96</x:v>
      </x:c>
      <x:c r="J34" s="495" t="n">
        <x:f>SUMIFS('Specialisations'!$Q$6:$Q$527,'Specialisations'!$A$6:$A$527,A34,'Specialisations'!$B$6:$B$527,B34,'Specialisations'!$C$6:$C$527,"Siege")</x:f>
        <x:v>0</x:v>
      </x:c>
      <x:c r="K34" s="495" t="n">
        <x:f>SUM(H34:J34)</x:f>
        <x:v>114.33999999999999</x:v>
      </x:c>
      <x:c r="L34" s="495" t="n">
        <x:f>SUM(G34,K34)</x:f>
        <x:v>86.6</x:v>
      </x:c>
      <x:c r="M34" s="433" t="n">
        <x:f>SUMIFS('Specialisations'!$N$6:$N$527,'Specialisations'!$A$6:$A$527,A34,'Specialisations'!$B$6:$B$527,B34,'Specialisations'!$C$6:$C$527,"Guards")</x:f>
        <x:v>2244300</x:v>
      </x:c>
      <x:c r="N34" s="433" t="n">
        <x:f>SUMIFS('Specialisations'!$N$6:$N$527,'Specialisations'!$A$6:$A$527,A34,'Specialisations'!$B$6:$B$527,B34,'Specialisations'!$C$6:$C$527,"&lt;&gt;Guards")</x:f>
        <x:v>11092900</x:v>
      </x:c>
      <x:c r="O34" s="433" t="n">
        <x:f>SUM(M34:N34)</x:f>
        <x:v>13337200</x:v>
      </x:c>
      <x:c r="P34" s="434" t="n">
        <x:f>IF(E34=0,"",K34/E34)</x:f>
        <x:v>38.11333333333333</x:v>
      </x:c>
      <x:c r="Q34" s="501" t="n">
        <x:f>IF(E34=0,"",IFERROR(100*(COUNTIFS($E$19:$E$186,"&gt;0",$K$19:$K$186,"&lt;"&amp;K34)+(COUNTIFS($E$19:$E$186,"&gt;0",$K$19:$K$186,K34)-1)/2)/(COUNTIF($E$19:$E$186,"&gt;0")-1),50))</x:f>
        <x:v>66.23376623376623</x:v>
      </x:c>
      <x:c r="R34" s="501" t="n">
        <x:f>IF(E34=0,"",IFERROR(100*(COUNTIFS($E$19:$E$186,"&gt;0",$N$19:$N$186,"&lt;"&amp;N34)+(COUNTIFS($E$19:$E$186,"&gt;0",$N$19:$N$186,N34)-1)/2)/(COUNTIF($E$19:$E$186,"&gt;0")-1),50))</x:f>
        <x:v>57.79220779220779</x:v>
      </x:c>
      <x:c r="S34" s="501" t="n">
        <x:f>IF(E34=0,"",Q34*$R$5+R34*$R$6)</x:f>
        <x:v>64.54545454545455</x:v>
      </x:c>
      <x:c r="T34" s="501" t="n">
        <x:f>IF(M34=0,"",IFERROR(100*(COUNTIFS($M$19:$M$186,"&gt;0",$G$19:$G$186,"&gt;"&amp;G34)+(COUNTIFS($M$19:$M$186,"&gt;0",$G$19:$G$186,G34)-1)/2)/(COUNTIF($M$19:$M$186,"&gt;0")-1),50))</x:f>
        <x:v>29.487179487179485</x:v>
      </x:c>
      <x:c r="U34" s="501" t="n">
        <x:f>IF(M34=0,"",IFERROR(100*(COUNTIFS($M$19:$M$186,"&gt;0",$M$19:$M$186,"&lt;"&amp;M34)+(COUNTIFS($M$19:$M$186,"&gt;0",$M$19:$M$186,M34)-1)/2)/(COUNTIF($M$19:$M$186,"&gt;0")-1),50))</x:f>
        <x:v>29.487179487179485</x:v>
      </x:c>
      <x:c r="V34" s="501" t="n">
        <x:f>IF(M34=0,"",T34*$R$5+U34*$R$6)</x:f>
        <x:v>29.48717948717949</x:v>
      </x:c>
      <x:c r="W34" s="431" t="n">
        <x:f>IF(E34=0,"",COUNTIFS($A$19:$A$186,A34,$S$19:$S$186,"&gt;"&amp;S34)+COUNTIFS($A$19:A34,A34,$E$19:E34,"&gt;0",$S$19:S34,S34))</x:f>
        <x:v>13</x:v>
      </x:c>
      <x:c r="X34" s="431" t="n">
        <x:f>IF(S34="","",1+COUNTIF($S$19:$S$186,"&gt;"&amp;S34))</x:f>
        <x:v>54</x:v>
      </x:c>
      <x:c r="Y34" s="431" t="n">
        <x:f>IF(V34="","",1+COUNTIFS($A$19:$A$186,A34,$V$19:$V$186,"&gt;"&amp;V34))</x:f>
        <x:v>3</x:v>
      </x:c>
      <x:c r="Z34" s="431" t="n">
        <x:f>IF(V34="","",1+COUNTIF($V$19:$V$186,"&gt;"&amp;V34))</x:f>
        <x:v>70</x:v>
      </x:c>
      <x:c r="AA34" s="430" t="str">
        <x:f>IF(C34=0,"No specialisations recorded",IF(D34&lt;C34,"Review missing level","Recorded skills only"))</x:f>
        <x:v>Recorded skills only</x:v>
      </x:c>
      <x:c r="AB34" s="601" t="n">
        <x:f>IF(OR(AP34&lt;&gt;"Yes",E34=0),"",IFERROR(100*(COUNTIFS($AP$19:$AP$186,"Yes",$E$19:$E$186,"&gt;0",$I$19:$I$186,"&lt;"&amp;I34)+(COUNTIFS($AP$19:$AP$186,"Yes",$E$19:$E$186,"&gt;0",$I$19:$I$186,I34)-1)/2)/(COUNTIFS($AP$19:$AP$186,"Yes",$E$19:$E$186,"&gt;0")-1),50))</x:f>
        <x:v>70.12987012987013</x:v>
      </x:c>
      <x:c r="AC34" s="601" t="n">
        <x:f>IF(AB34="","",AB34*'Specialisation Rankings'!$O$16+R34*'Specialisation Rankings'!$O$17)</x:f>
        <x:v>67.66233766233766</x:v>
      </x:c>
      <x:c r="AD34" s="601" t="n">
        <x:f>IF(AC34="","",COUNTIFS($A$19:$A$186,A34,$AP$19:$AP$186,"Yes",$E$19:$E$186,"&gt;0",$AC$19:$AC$186,"&gt;"&amp;AC34)+COUNTIFS($A$19:A34,A34,$AP$19:AP34,"Yes",$E$19:E34,"&gt;0",$AC$19:AC34,AC34))</x:f>
        <x:v>12</x:v>
      </x:c>
      <x:c r="AE34" s="601" t="n">
        <x:f>IF(OR(AP34&lt;&gt;"Yes",E34=0),"",IFERROR(100*(COUNTIFS($AP$19:$AP$186,"Yes",$E$19:$E$186,"&gt;0",$H$19:$H$186,"&lt;"&amp;H34)+(COUNTIFS($AP$19:$AP$186,"Yes",$E$19:$E$186,"&gt;0",$H$19:$H$186,H34)-1)/2)/(COUNTIFS($AP$19:$AP$186,"Yes",$E$19:$E$186,"&gt;0")-1),50))</x:f>
        <x:v>52.5974025974026</x:v>
      </x:c>
      <x:c r="AF34" s="601" t="n">
        <x:f>IF(AE34="","",AE34*'Specialisation Rankings'!$O$16+R34*'Specialisation Rankings'!$O$17)</x:f>
        <x:v>53.63636363636364</x:v>
      </x:c>
      <x:c r="AG34" s="601" t="n">
        <x:f>IF(AF34="","",COUNTIFS($A$19:$A$186,A34,$AP$19:$AP$186,"Yes",$E$19:$E$186,"&gt;0",$AF$19:$AF$186,"&gt;"&amp;AF34)+COUNTIFS($A$19:A34,A34,$AP$19:AP34,"Yes",$E$19:E34,"&gt;0",$AF$19:AF34,AF34))</x:f>
        <x:v>7</x:v>
      </x:c>
      <x:c r="AH34" s="601" t="n">
        <x:f>IF(OR(AP34&lt;&gt;"Yes",E34=0),"",IFERROR(100*(COUNTIFS($AP$19:$AP$186,"Yes",$E$19:$E$186,"&gt;0",$J$19:$J$186,"&lt;"&amp;J34)+(COUNTIFS($AP$19:$AP$186,"Yes",$E$19:$E$186,"&gt;0",$J$19:$J$186,J34)-1)/2)/(COUNTIFS($AP$19:$AP$186,"Yes",$E$19:$E$186,"&gt;0")-1),50))</x:f>
        <x:v>33.116883116883116</x:v>
      </x:c>
      <x:c r="AI34" s="601" t="n">
        <x:f>IF(AH34="","",AH34*'Specialisation Rankings'!$O$16+R34*'Specialisation Rankings'!$O$17)</x:f>
        <x:v>38.05194805194805</x:v>
      </x:c>
      <x:c r="AJ34" s="601" t="n">
        <x:f>IF(AI34="","",COUNTIFS($A$19:$A$186,A34,$AP$19:$AP$186,"Yes",$E$19:$E$186,"&gt;0",$AI$19:$AI$186,"&gt;"&amp;AI34)+COUNTIFS($A$19:A34,A34,$AP$19:AP34,"Yes",$E$19:E34,"&gt;0",$AI$19:AI34,AI34))</x:f>
        <x:v>14</x:v>
      </x:c>
      <x:c r="AK34" s="601" t="n">
        <x:f>IF(OR(AP34&lt;&gt;"Yes",E34=0),"",IF(M34=0,'Specialisation Rankings'!$O$23,V34))</x:f>
        <x:v>29.48717948717949</x:v>
      </x:c>
      <x:c r="AL34" s="601" t="n">
        <x:f>IF(AK34="","",COUNTIFS($A$19:$A$186,A34,$AP$19:$AP$186,"Yes",$E$19:$E$186,"&gt;0",$AK$19:$AK$186,"&gt;"&amp;AK34)+COUNTIFS($A$19:A34,A34,$AP$19:AP34,"Yes",$E$19:E34,"&gt;0",$AK$19:AK34,AK34))</x:f>
        <x:v>18</x:v>
      </x:c>
      <x:c r="AM34" s="601" t="n">
        <x:f>IF(AC34="","",AC34*'Specialisation Rankings'!$O$18+AF34*'Specialisation Rankings'!$O$19+AI34*'Specialisation Rankings'!$O$20+AK34*'Specialisation Rankings'!$O$21)</x:f>
        <x:v>58.00066600066601</x:v>
      </x:c>
      <x:c r="AN34" s="601" t="n">
        <x:f>IF(AM34="","",COUNTIFS($A$19:$A$186,A34,$AP$19:$AP$186,"Yes",$E$19:$E$186,"&gt;0",$AM$19:$AM$186,"&gt;"&amp;AM34)+COUNTIFS($A$19:A34,A34,$AP$19:AP34,"Yes",$E$19:E34,"&gt;0",$AM$19:AM34,AM34))</x:f>
        <x:v>13</x:v>
      </x:c>
      <x:c r="AO34" s="601" t="n">
        <x:f>IF(AM34="","",COUNTIFS($AP$19:$AP$186,"Yes",$E$19:$E$186,"&gt;0",$AM$19:$AM$186,"&gt;"&amp;AM34)+COUNTIFS($AP$19:AP34,"Yes",$E$19:E34,"&gt;0",$AM$19:AM34,AM34))</x:f>
        <x:v>55</x:v>
      </x:c>
      <x:c r="AP34" s="602" t="str">
        <x:f>IF(COUNTIFS('Player Scenario Model'!$A$6:$A$172,A34,'Player Scenario Model'!$B$6:$B$172,B34)&gt;0,"Yes","No")</x:f>
        <x:v>Yes</x:v>
      </x:c>
    </x:row>
    <x:row r="35" ht="24" customHeight="1">
      <x:c r="A35" s="430" t="str">
        <x:v>K60</x:v>
      </x:c>
      <x:c r="B35" s="430" t="str">
        <x:v>Jepp</x:v>
      </x:c>
      <x:c r="C35" s="431" t="n">
        <x:f>COUNTIFS('Specialisations'!$A$6:$A$527,A35,'Specialisations'!$B$6:$B$527,B35)</x:f>
        <x:v>4</x:v>
      </x:c>
      <x:c r="D35" s="431" t="n">
        <x:f>COUNTIFS('Specialisations'!$A$6:$A$527,A35,'Specialisations'!$B$6:$B$527,B35,'Specialisations'!$P$6:$P$527,"OK")</x:f>
        <x:v>4</x:v>
      </x:c>
      <x:c r="E35" s="431" t="n">
        <x:f>COUNTIFS('Specialisations'!$A$6:$A$527,A35,'Specialisations'!$B$6:$B$527,B35,'Specialisations'!$P$6:$P$527,"OK",'Specialisations'!$C$6:$C$527,"&lt;&gt;Guards")</x:f>
        <x:v>3</x:v>
      </x:c>
      <x:c r="F35" s="432" t="n">
        <x:f>IF(C35=0,"",D35/C35)</x:f>
        <x:v>1</x:v>
      </x:c>
      <x:c r="G35" s="495" t="n">
        <x:f>SUMIFS('Specialisations'!$Q$6:$Q$527,'Specialisations'!$A$6:$A$527,A35,'Specialisations'!$B$6:$B$527,B35,'Specialisations'!$C$6:$C$527,"Guards")</x:f>
        <x:v>-27.74</x:v>
      </x:c>
      <x:c r="H35" s="495" t="n">
        <x:f>SUMIFS('Specialisations'!$Q$6:$Q$527,'Specialisations'!$A$6:$A$527,A35,'Specialisations'!$B$6:$B$527,B35,'Specialisations'!$C$6:$C$527,"Archers")</x:f>
        <x:v>27.74</x:v>
      </x:c>
      <x:c r="I35" s="495" t="n">
        <x:f>SUMIFS('Specialisations'!$Q$6:$Q$527,'Specialisations'!$A$6:$A$527,A35,'Specialisations'!$B$6:$B$527,B35,'Specialisations'!$C$6:$C$527,"Cavalry")</x:f>
        <x:v>81.91</x:v>
      </x:c>
      <x:c r="J35" s="495" t="n">
        <x:f>SUMIFS('Specialisations'!$Q$6:$Q$527,'Specialisations'!$A$6:$A$527,A35,'Specialisations'!$B$6:$B$527,B35,'Specialisations'!$C$6:$C$527,"Siege")</x:f>
        <x:v>0</x:v>
      </x:c>
      <x:c r="K35" s="495" t="n">
        <x:f>SUM(H35:J35)</x:f>
        <x:v>109.64999999999999</x:v>
      </x:c>
      <x:c r="L35" s="495" t="n">
        <x:f>SUM(G35,K35)</x:f>
        <x:v>81.91</x:v>
      </x:c>
      <x:c r="M35" s="433" t="n">
        <x:f>SUMIFS('Specialisations'!$N$6:$N$527,'Specialisations'!$A$6:$A$527,A35,'Specialisations'!$B$6:$B$527,B35,'Specialisations'!$C$6:$C$527,"Guards")</x:f>
        <x:v>2244300</x:v>
      </x:c>
      <x:c r="N35" s="433" t="n">
        <x:f>SUMIFS('Specialisations'!$N$6:$N$527,'Specialisations'!$A$6:$A$527,A35,'Specialisations'!$B$6:$B$527,B35,'Specialisations'!$C$6:$C$527,"&lt;&gt;Guards")</x:f>
        <x:v>10252900</x:v>
      </x:c>
      <x:c r="O35" s="433" t="n">
        <x:f>SUM(M35:N35)</x:f>
        <x:v>12497200</x:v>
      </x:c>
      <x:c r="P35" s="434" t="n">
        <x:f>IF(E35=0,"",K35/E35)</x:f>
        <x:v>36.55</x:v>
      </x:c>
      <x:c r="Q35" s="501" t="n">
        <x:f>IF(E35=0,"",IFERROR(100*(COUNTIFS($E$19:$E$186,"&gt;0",$K$19:$K$186,"&lt;"&amp;K35)+(COUNTIFS($E$19:$E$186,"&gt;0",$K$19:$K$186,K35)-1)/2)/(COUNTIF($E$19:$E$186,"&gt;0")-1),50))</x:f>
        <x:v>62.01298701298701</x:v>
      </x:c>
      <x:c r="R35" s="501" t="n">
        <x:f>IF(E35=0,"",IFERROR(100*(COUNTIFS($E$19:$E$186,"&gt;0",$N$19:$N$186,"&lt;"&amp;N35)+(COUNTIFS($E$19:$E$186,"&gt;0",$N$19:$N$186,N35)-1)/2)/(COUNTIF($E$19:$E$186,"&gt;0")-1),50))</x:f>
        <x:v>43.83116883116883</x:v>
      </x:c>
      <x:c r="S35" s="501" t="n">
        <x:f>IF(E35=0,"",Q35*$R$5+R35*$R$6)</x:f>
        <x:v>58.37662337662337</x:v>
      </x:c>
      <x:c r="T35" s="501" t="n">
        <x:f>IF(M35=0,"",IFERROR(100*(COUNTIFS($M$19:$M$186,"&gt;0",$G$19:$G$186,"&gt;"&amp;G35)+(COUNTIFS($M$19:$M$186,"&gt;0",$G$19:$G$186,G35)-1)/2)/(COUNTIF($M$19:$M$186,"&gt;0")-1),50))</x:f>
        <x:v>29.487179487179485</x:v>
      </x:c>
      <x:c r="U35" s="501" t="n">
        <x:f>IF(M35=0,"",IFERROR(100*(COUNTIFS($M$19:$M$186,"&gt;0",$M$19:$M$186,"&lt;"&amp;M35)+(COUNTIFS($M$19:$M$186,"&gt;0",$M$19:$M$186,M35)-1)/2)/(COUNTIF($M$19:$M$186,"&gt;0")-1),50))</x:f>
        <x:v>29.487179487179485</x:v>
      </x:c>
      <x:c r="V35" s="501" t="n">
        <x:f>IF(M35=0,"",T35*$R$5+U35*$R$6)</x:f>
        <x:v>29.48717948717949</x:v>
      </x:c>
      <x:c r="W35" s="431" t="n">
        <x:f>IF(E35=0,"",COUNTIFS($A$19:$A$186,A35,$S$19:$S$186,"&gt;"&amp;S35)+COUNTIFS($A$19:A35,A35,$E$19:E35,"&gt;0",$S$19:S35,S35))</x:f>
        <x:v>16</x:v>
      </x:c>
      <x:c r="X35" s="431" t="n">
        <x:f>IF(S35="","",1+COUNTIF($S$19:$S$186,"&gt;"&amp;S35))</x:f>
        <x:v>62</x:v>
      </x:c>
      <x:c r="Y35" s="431" t="n">
        <x:f>IF(V35="","",1+COUNTIFS($A$19:$A$186,A35,$V$19:$V$186,"&gt;"&amp;V35))</x:f>
        <x:v>3</x:v>
      </x:c>
      <x:c r="Z35" s="431" t="n">
        <x:f>IF(V35="","",1+COUNTIF($V$19:$V$186,"&gt;"&amp;V35))</x:f>
        <x:v>70</x:v>
      </x:c>
      <x:c r="AA35" s="430" t="str">
        <x:f>IF(C35=0,"No specialisations recorded",IF(D35&lt;C35,"Review missing level","Recorded skills only"))</x:f>
        <x:v>Recorded skills only</x:v>
      </x:c>
      <x:c r="AB35" s="601" t="n">
        <x:f>IF(OR(AP35&lt;&gt;"Yes",E35=0),"",IFERROR(100*(COUNTIFS($AP$19:$AP$186,"Yes",$E$19:$E$186,"&gt;0",$I$19:$I$186,"&lt;"&amp;I35)+(COUNTIFS($AP$19:$AP$186,"Yes",$E$19:$E$186,"&gt;0",$I$19:$I$186,I35)-1)/2)/(COUNTIFS($AP$19:$AP$186,"Yes",$E$19:$E$186,"&gt;0")-1),50))</x:f>
        <x:v>66.23376623376623</x:v>
      </x:c>
      <x:c r="AC35" s="601" t="n">
        <x:f>IF(AB35="","",AB35*'Specialisation Rankings'!$O$16+R35*'Specialisation Rankings'!$O$17)</x:f>
        <x:v>61.753246753246756</x:v>
      </x:c>
      <x:c r="AD35" s="601" t="n">
        <x:f>IF(AC35="","",COUNTIFS($A$19:$A$186,A35,$AP$19:$AP$186,"Yes",$E$19:$E$186,"&gt;0",$AC$19:$AC$186,"&gt;"&amp;AC35)+COUNTIFS($A$19:A35,A35,$AP$19:AP35,"Yes",$E$19:E35,"&gt;0",$AC$19:AC35,AC35))</x:f>
        <x:v>14</x:v>
      </x:c>
      <x:c r="AE35" s="601" t="n">
        <x:f>IF(OR(AP35&lt;&gt;"Yes",E35=0),"",IFERROR(100*(COUNTIFS($AP$19:$AP$186,"Yes",$E$19:$E$186,"&gt;0",$H$19:$H$186,"&lt;"&amp;H35)+(COUNTIFS($AP$19:$AP$186,"Yes",$E$19:$E$186,"&gt;0",$H$19:$H$186,H35)-1)/2)/(COUNTIFS($AP$19:$AP$186,"Yes",$E$19:$E$186,"&gt;0")-1),50))</x:f>
        <x:v>42.20779220779221</x:v>
      </x:c>
      <x:c r="AF35" s="601" t="n">
        <x:f>IF(AE35="","",AE35*'Specialisation Rankings'!$O$16+R35*'Specialisation Rankings'!$O$17)</x:f>
        <x:v>42.532467532467535</x:v>
      </x:c>
      <x:c r="AG35" s="601" t="n">
        <x:f>IF(AF35="","",COUNTIFS($A$19:$A$186,A35,$AP$19:$AP$186,"Yes",$E$19:$E$186,"&gt;0",$AF$19:$AF$186,"&gt;"&amp;AF35)+COUNTIFS($A$19:A35,A35,$AP$19:AP35,"Yes",$E$19:E35,"&gt;0",$AF$19:AF35,AF35))</x:f>
        <x:v>19</x:v>
      </x:c>
      <x:c r="AH35" s="601" t="n">
        <x:f>IF(OR(AP35&lt;&gt;"Yes",E35=0),"",IFERROR(100*(COUNTIFS($AP$19:$AP$186,"Yes",$E$19:$E$186,"&gt;0",$J$19:$J$186,"&lt;"&amp;J35)+(COUNTIFS($AP$19:$AP$186,"Yes",$E$19:$E$186,"&gt;0",$J$19:$J$186,J35)-1)/2)/(COUNTIFS($AP$19:$AP$186,"Yes",$E$19:$E$186,"&gt;0")-1),50))</x:f>
        <x:v>33.116883116883116</x:v>
      </x:c>
      <x:c r="AI35" s="601" t="n">
        <x:f>IF(AH35="","",AH35*'Specialisation Rankings'!$O$16+R35*'Specialisation Rankings'!$O$17)</x:f>
        <x:v>35.25974025974026</x:v>
      </x:c>
      <x:c r="AJ35" s="601" t="n">
        <x:f>IF(AI35="","",COUNTIFS($A$19:$A$186,A35,$AP$19:$AP$186,"Yes",$E$19:$E$186,"&gt;0",$AI$19:$AI$186,"&gt;"&amp;AI35)+COUNTIFS($A$19:A35,A35,$AP$19:AP35,"Yes",$E$19:E35,"&gt;0",$AI$19:AI35,AI35))</x:f>
        <x:v>15</x:v>
      </x:c>
      <x:c r="AK35" s="601" t="n">
        <x:f>IF(OR(AP35&lt;&gt;"Yes",E35=0),"",IF(M35=0,'Specialisation Rankings'!$O$23,V35))</x:f>
        <x:v>29.48717948717949</x:v>
      </x:c>
      <x:c r="AL35" s="601" t="n">
        <x:f>IF(AK35="","",COUNTIFS($A$19:$A$186,A35,$AP$19:$AP$186,"Yes",$E$19:$E$186,"&gt;0",$AK$19:$AK$186,"&gt;"&amp;AK35)+COUNTIFS($A$19:A35,A35,$AP$19:AP35,"Yes",$E$19:E35,"&gt;0",$AK$19:AK35,AK35))</x:f>
        <x:v>19</x:v>
      </x:c>
      <x:c r="AM35" s="601" t="n">
        <x:f>IF(AC35="","",AC35*'Specialisation Rankings'!$O$18+AF35*'Specialisation Rankings'!$O$19+AI35*'Specialisation Rankings'!$O$20+AK35*'Specialisation Rankings'!$O$21)</x:f>
        <x:v>52.630536130536136</x:v>
      </x:c>
      <x:c r="AN35" s="601" t="n">
        <x:f>IF(AM35="","",COUNTIFS($A$19:$A$186,A35,$AP$19:$AP$186,"Yes",$E$19:$E$186,"&gt;0",$AM$19:$AM$186,"&gt;"&amp;AM35)+COUNTIFS($A$19:A35,A35,$AP$19:AP35,"Yes",$E$19:E35,"&gt;0",$AM$19:AM35,AM35))</x:f>
        <x:v>15</x:v>
      </x:c>
      <x:c r="AO35" s="601" t="n">
        <x:f>IF(AM35="","",COUNTIFS($AP$19:$AP$186,"Yes",$E$19:$E$186,"&gt;0",$AM$19:$AM$186,"&gt;"&amp;AM35)+COUNTIFS($AP$19:AP35,"Yes",$E$19:E35,"&gt;0",$AM$19:AM35,AM35))</x:f>
        <x:v>62</x:v>
      </x:c>
      <x:c r="AP35" s="602" t="str">
        <x:f>IF(COUNTIFS('Player Scenario Model'!$A$6:$A$172,A35,'Player Scenario Model'!$B$6:$B$172,B35)&gt;0,"Yes","No")</x:f>
        <x:v>Yes</x:v>
      </x:c>
    </x:row>
    <x:row r="36" ht="24" customHeight="1">
      <x:c r="A36" s="430" t="str">
        <x:v>K60</x:v>
      </x:c>
      <x:c r="B36" s="430" t="str">
        <x:v>kvisteer</x:v>
      </x:c>
      <x:c r="C36" s="431" t="n">
        <x:f>COUNTIFS('Specialisations'!$A$6:$A$527,A36,'Specialisations'!$B$6:$B$527,B36)</x:f>
        <x:v>4</x:v>
      </x:c>
      <x:c r="D36" s="431" t="n">
        <x:f>COUNTIFS('Specialisations'!$A$6:$A$527,A36,'Specialisations'!$B$6:$B$527,B36,'Specialisations'!$P$6:$P$527,"OK")</x:f>
        <x:v>4</x:v>
      </x:c>
      <x:c r="E36" s="431" t="n">
        <x:f>COUNTIFS('Specialisations'!$A$6:$A$527,A36,'Specialisations'!$B$6:$B$527,B36,'Specialisations'!$P$6:$P$527,"OK",'Specialisations'!$C$6:$C$527,"&lt;&gt;Guards")</x:f>
        <x:v>3</x:v>
      </x:c>
      <x:c r="F36" s="432" t="n">
        <x:f>IF(C36=0,"",D36/C36)</x:f>
        <x:v>1</x:v>
      </x:c>
      <x:c r="G36" s="495" t="n">
        <x:f>SUMIFS('Specialisations'!$Q$6:$Q$527,'Specialisations'!$A$6:$A$527,A36,'Specialisations'!$B$6:$B$527,B36,'Specialisations'!$C$6:$C$527,"Guards")</x:f>
        <x:v>-27.74</x:v>
      </x:c>
      <x:c r="H36" s="495" t="n">
        <x:f>SUMIFS('Specialisations'!$Q$6:$Q$527,'Specialisations'!$A$6:$A$527,A36,'Specialisations'!$B$6:$B$527,B36,'Specialisations'!$C$6:$C$527,"Archers")</x:f>
        <x:v>35.98</x:v>
      </x:c>
      <x:c r="I36" s="495" t="n">
        <x:f>SUMIFS('Specialisations'!$Q$6:$Q$527,'Specialisations'!$A$6:$A$527,A36,'Specialisations'!$B$6:$B$527,B36,'Specialisations'!$C$6:$C$527,"Cavalry")</x:f>
        <x:v>96.76</x:v>
      </x:c>
      <x:c r="J36" s="495" t="n">
        <x:f>SUMIFS('Specialisations'!$Q$6:$Q$527,'Specialisations'!$A$6:$A$527,A36,'Specialisations'!$B$6:$B$527,B36,'Specialisations'!$C$6:$C$527,"Siege")</x:f>
        <x:v>0</x:v>
      </x:c>
      <x:c r="K36" s="495" t="n">
        <x:f>SUM(H36:J36)</x:f>
        <x:v>132.74</x:v>
      </x:c>
      <x:c r="L36" s="495" t="n">
        <x:f>SUM(G36,K36)</x:f>
        <x:v>105.00000000000001</x:v>
      </x:c>
      <x:c r="M36" s="433" t="n">
        <x:f>SUMIFS('Specialisations'!$N$6:$N$527,'Specialisations'!$A$6:$A$527,A36,'Specialisations'!$B$6:$B$527,B36,'Specialisations'!$C$6:$C$527,"Guards")</x:f>
        <x:v>2244300</x:v>
      </x:c>
      <x:c r="N36" s="433" t="n">
        <x:f>SUMIFS('Specialisations'!$N$6:$N$527,'Specialisations'!$A$6:$A$527,A36,'Specialisations'!$B$6:$B$527,B36,'Specialisations'!$C$6:$C$527,"&lt;&gt;Guards")</x:f>
        <x:v>15012900</x:v>
      </x:c>
      <x:c r="O36" s="433" t="n">
        <x:f>SUM(M36:N36)</x:f>
        <x:v>17257200</x:v>
      </x:c>
      <x:c r="P36" s="434" t="n">
        <x:f>IF(E36=0,"",K36/E36)</x:f>
        <x:v>44.24666666666667</x:v>
      </x:c>
      <x:c r="Q36" s="501" t="n">
        <x:f>IF(E36=0,"",IFERROR(100*(COUNTIFS($E$19:$E$186,"&gt;0",$K$19:$K$186,"&lt;"&amp;K36)+(COUNTIFS($E$19:$E$186,"&gt;0",$K$19:$K$186,K36)-1)/2)/(COUNTIF($E$19:$E$186,"&gt;0")-1),50))</x:f>
        <x:v>78.57142857142857</x:v>
      </x:c>
      <x:c r="R36" s="501" t="n">
        <x:f>IF(E36=0,"",IFERROR(100*(COUNTIFS($E$19:$E$186,"&gt;0",$N$19:$N$186,"&lt;"&amp;N36)+(COUNTIFS($E$19:$E$186,"&gt;0",$N$19:$N$186,N36)-1)/2)/(COUNTIF($E$19:$E$186,"&gt;0")-1),50))</x:f>
        <x:v>76.2987012987013</x:v>
      </x:c>
      <x:c r="S36" s="501" t="n">
        <x:f>IF(E36=0,"",Q36*$R$5+R36*$R$6)</x:f>
        <x:v>78.11688311688312</x:v>
      </x:c>
      <x:c r="T36" s="501" t="n">
        <x:f>IF(M36=0,"",IFERROR(100*(COUNTIFS($M$19:$M$186,"&gt;0",$G$19:$G$186,"&gt;"&amp;G36)+(COUNTIFS($M$19:$M$186,"&gt;0",$G$19:$G$186,G36)-1)/2)/(COUNTIF($M$19:$M$186,"&gt;0")-1),50))</x:f>
        <x:v>29.487179487179485</x:v>
      </x:c>
      <x:c r="U36" s="501" t="n">
        <x:f>IF(M36=0,"",IFERROR(100*(COUNTIFS($M$19:$M$186,"&gt;0",$M$19:$M$186,"&lt;"&amp;M36)+(COUNTIFS($M$19:$M$186,"&gt;0",$M$19:$M$186,M36)-1)/2)/(COUNTIF($M$19:$M$186,"&gt;0")-1),50))</x:f>
        <x:v>29.487179487179485</x:v>
      </x:c>
      <x:c r="V36" s="501" t="n">
        <x:f>IF(M36=0,"",T36*$R$5+U36*$R$6)</x:f>
        <x:v>29.48717948717949</x:v>
      </x:c>
      <x:c r="W36" s="431" t="n">
        <x:f>IF(E36=0,"",COUNTIFS($A$19:$A$186,A36,$S$19:$S$186,"&gt;"&amp;S36)+COUNTIFS($A$19:A36,A36,$E$19:E36,"&gt;0",$S$19:S36,S36))</x:f>
        <x:v>8</x:v>
      </x:c>
      <x:c r="X36" s="431" t="n">
        <x:f>IF(S36="","",1+COUNTIF($S$19:$S$186,"&gt;"&amp;S36))</x:f>
        <x:v>34</x:v>
      </x:c>
      <x:c r="Y36" s="431" t="n">
        <x:f>IF(V36="","",1+COUNTIFS($A$19:$A$186,A36,$V$19:$V$186,"&gt;"&amp;V36))</x:f>
        <x:v>3</x:v>
      </x:c>
      <x:c r="Z36" s="431" t="n">
        <x:f>IF(V36="","",1+COUNTIF($V$19:$V$186,"&gt;"&amp;V36))</x:f>
        <x:v>70</x:v>
      </x:c>
      <x:c r="AA36" s="430" t="str">
        <x:f>IF(C36=0,"No specialisations recorded",IF(D36&lt;C36,"Review missing level","Recorded skills only"))</x:f>
        <x:v>Recorded skills only</x:v>
      </x:c>
      <x:c r="AB36" s="601" t="n">
        <x:f>IF(OR(AP36&lt;&gt;"Yes",E36=0),"",IFERROR(100*(COUNTIFS($AP$19:$AP$186,"Yes",$E$19:$E$186,"&gt;0",$I$19:$I$186,"&lt;"&amp;I36)+(COUNTIFS($AP$19:$AP$186,"Yes",$E$19:$E$186,"&gt;0",$I$19:$I$186,I36)-1)/2)/(COUNTIFS($AP$19:$AP$186,"Yes",$E$19:$E$186,"&gt;0")-1),50))</x:f>
        <x:v>82.14285714285714</x:v>
      </x:c>
      <x:c r="AC36" s="601" t="n">
        <x:f>IF(AB36="","",AB36*'Specialisation Rankings'!$O$16+R36*'Specialisation Rankings'!$O$17)</x:f>
        <x:v>80.97402597402598</x:v>
      </x:c>
      <x:c r="AD36" s="601" t="n">
        <x:f>IF(AC36="","",COUNTIFS($A$19:$A$186,A36,$AP$19:$AP$186,"Yes",$E$19:$E$186,"&gt;0",$AC$19:$AC$186,"&gt;"&amp;AC36)+COUNTIFS($A$19:A36,A36,$AP$19:AP36,"Yes",$E$19:E36,"&gt;0",$AC$19:AC36,AC36))</x:f>
        <x:v>5</x:v>
      </x:c>
      <x:c r="AE36" s="601" t="n">
        <x:f>IF(OR(AP36&lt;&gt;"Yes",E36=0),"",IFERROR(100*(COUNTIFS($AP$19:$AP$186,"Yes",$E$19:$E$186,"&gt;0",$H$19:$H$186,"&lt;"&amp;H36)+(COUNTIFS($AP$19:$AP$186,"Yes",$E$19:$E$186,"&gt;0",$H$19:$H$186,H36)-1)/2)/(COUNTIFS($AP$19:$AP$186,"Yes",$E$19:$E$186,"&gt;0")-1),50))</x:f>
        <x:v>61.03896103896104</x:v>
      </x:c>
      <x:c r="AF36" s="601" t="n">
        <x:f>IF(AE36="","",AE36*'Specialisation Rankings'!$O$16+R36*'Specialisation Rankings'!$O$17)</x:f>
        <x:v>64.0909090909091</x:v>
      </x:c>
      <x:c r="AG36" s="601" t="n">
        <x:f>IF(AF36="","",COUNTIFS($A$19:$A$186,A36,$AP$19:$AP$186,"Yes",$E$19:$E$186,"&gt;0",$AF$19:$AF$186,"&gt;"&amp;AF36)+COUNTIFS($A$19:A36,A36,$AP$19:AP36,"Yes",$E$19:E36,"&gt;0",$AF$19:AF36,AF36))</x:f>
        <x:v>4</x:v>
      </x:c>
      <x:c r="AH36" s="601" t="n">
        <x:f>IF(OR(AP36&lt;&gt;"Yes",E36=0),"",IFERROR(100*(COUNTIFS($AP$19:$AP$186,"Yes",$E$19:$E$186,"&gt;0",$J$19:$J$186,"&lt;"&amp;J36)+(COUNTIFS($AP$19:$AP$186,"Yes",$E$19:$E$186,"&gt;0",$J$19:$J$186,J36)-1)/2)/(COUNTIFS($AP$19:$AP$186,"Yes",$E$19:$E$186,"&gt;0")-1),50))</x:f>
        <x:v>33.116883116883116</x:v>
      </x:c>
      <x:c r="AI36" s="601" t="n">
        <x:f>IF(AH36="","",AH36*'Specialisation Rankings'!$O$16+R36*'Specialisation Rankings'!$O$17)</x:f>
        <x:v>41.753246753246756</x:v>
      </x:c>
      <x:c r="AJ36" s="601" t="n">
        <x:f>IF(AI36="","",COUNTIFS($A$19:$A$186,A36,$AP$19:$AP$186,"Yes",$E$19:$E$186,"&gt;0",$AI$19:$AI$186,"&gt;"&amp;AI36)+COUNTIFS($A$19:A36,A36,$AP$19:AP36,"Yes",$E$19:E36,"&gt;0",$AI$19:AI36,AI36))</x:f>
        <x:v>9</x:v>
      </x:c>
      <x:c r="AK36" s="601" t="n">
        <x:f>IF(OR(AP36&lt;&gt;"Yes",E36=0),"",IF(M36=0,'Specialisation Rankings'!$O$23,V36))</x:f>
        <x:v>29.48717948717949</x:v>
      </x:c>
      <x:c r="AL36" s="601" t="n">
        <x:f>IF(AK36="","",COUNTIFS($A$19:$A$186,A36,$AP$19:$AP$186,"Yes",$E$19:$E$186,"&gt;0",$AK$19:$AK$186,"&gt;"&amp;AK36)+COUNTIFS($A$19:A36,A36,$AP$19:AP36,"Yes",$E$19:E36,"&gt;0",$AK$19:AK36,AK36))</x:f>
        <x:v>20</x:v>
      </x:c>
      <x:c r="AM36" s="601" t="n">
        <x:f>IF(AC36="","",AC36*'Specialisation Rankings'!$O$18+AF36*'Specialisation Rankings'!$O$19+AI36*'Specialisation Rankings'!$O$20+AK36*'Specialisation Rankings'!$O$21)</x:f>
        <x:v>68.25391275391274</x:v>
      </x:c>
      <x:c r="AN36" s="601" t="n">
        <x:f>IF(AM36="","",COUNTIFS($A$19:$A$186,A36,$AP$19:$AP$186,"Yes",$E$19:$E$186,"&gt;0",$AM$19:$AM$186,"&gt;"&amp;AM36)+COUNTIFS($A$19:A36,A36,$AP$19:AP36,"Yes",$E$19:E36,"&gt;0",$AM$19:AM36,AM36))</x:f>
        <x:v>7</x:v>
      </x:c>
      <x:c r="AO36" s="601" t="n">
        <x:f>IF(AM36="","",COUNTIFS($AP$19:$AP$186,"Yes",$E$19:$E$186,"&gt;0",$AM$19:$AM$186,"&gt;"&amp;AM36)+COUNTIFS($AP$19:AP36,"Yes",$E$19:E36,"&gt;0",$AM$19:AM36,AM36))</x:f>
        <x:v>41</x:v>
      </x:c>
      <x:c r="AP36" s="602" t="str">
        <x:f>IF(COUNTIFS('Player Scenario Model'!$A$6:$A$172,A36,'Player Scenario Model'!$B$6:$B$172,B36)&gt;0,"Yes","No")</x:f>
        <x:v>Yes</x:v>
      </x:c>
    </x:row>
    <x:row r="37" ht="24" customHeight="1">
      <x:c r="A37" s="430" t="str">
        <x:v>K60</x:v>
      </x:c>
      <x:c r="B37" s="430" t="str">
        <x:v>Blud</x:v>
      </x:c>
      <x:c r="C37" s="431" t="n">
        <x:f>COUNTIFS('Specialisations'!$A$6:$A$527,A37,'Specialisations'!$B$6:$B$527,B37)</x:f>
        <x:v>4</x:v>
      </x:c>
      <x:c r="D37" s="431" t="n">
        <x:f>COUNTIFS('Specialisations'!$A$6:$A$527,A37,'Specialisations'!$B$6:$B$527,B37,'Specialisations'!$P$6:$P$527,"OK")</x:f>
        <x:v>4</x:v>
      </x:c>
      <x:c r="E37" s="431" t="n">
        <x:f>COUNTIFS('Specialisations'!$A$6:$A$527,A37,'Specialisations'!$B$6:$B$527,B37,'Specialisations'!$P$6:$P$527,"OK",'Specialisations'!$C$6:$C$527,"&lt;&gt;Guards")</x:f>
        <x:v>3</x:v>
      </x:c>
      <x:c r="F37" s="432" t="n">
        <x:f>IF(C37=0,"",D37/C37)</x:f>
        <x:v>1</x:v>
      </x:c>
      <x:c r="G37" s="495" t="n">
        <x:f>SUMIFS('Specialisations'!$Q$6:$Q$527,'Specialisations'!$A$6:$A$527,A37,'Specialisations'!$B$6:$B$527,B37,'Specialisations'!$C$6:$C$527,"Guards")</x:f>
        <x:v>-27.74</x:v>
      </x:c>
      <x:c r="H37" s="495" t="n">
        <x:f>SUMIFS('Specialisations'!$Q$6:$Q$527,'Specialisations'!$A$6:$A$527,A37,'Specialisations'!$B$6:$B$527,B37,'Specialisations'!$C$6:$C$527,"Archers")</x:f>
        <x:v>27.74</x:v>
      </x:c>
      <x:c r="I37" s="495" t="n">
        <x:f>SUMIFS('Specialisations'!$Q$6:$Q$527,'Specialisations'!$A$6:$A$527,A37,'Specialisations'!$B$6:$B$527,B37,'Specialisations'!$C$6:$C$527,"Cavalry")</x:f>
        <x:v>81.91</x:v>
      </x:c>
      <x:c r="J37" s="495" t="n">
        <x:f>SUMIFS('Specialisations'!$Q$6:$Q$527,'Specialisations'!$A$6:$A$527,A37,'Specialisations'!$B$6:$B$527,B37,'Specialisations'!$C$6:$C$527,"Siege")</x:f>
        <x:v>0</x:v>
      </x:c>
      <x:c r="K37" s="495" t="n">
        <x:f>SUM(H37:J37)</x:f>
        <x:v>109.64999999999999</x:v>
      </x:c>
      <x:c r="L37" s="495" t="n">
        <x:f>SUM(G37,K37)</x:f>
        <x:v>81.91</x:v>
      </x:c>
      <x:c r="M37" s="433" t="n">
        <x:f>SUMIFS('Specialisations'!$N$6:$N$527,'Specialisations'!$A$6:$A$527,A37,'Specialisations'!$B$6:$B$527,B37,'Specialisations'!$C$6:$C$527,"Guards")</x:f>
        <x:v>2244300</x:v>
      </x:c>
      <x:c r="N37" s="433" t="n">
        <x:f>SUMIFS('Specialisations'!$N$6:$N$527,'Specialisations'!$A$6:$A$527,A37,'Specialisations'!$B$6:$B$527,B37,'Specialisations'!$C$6:$C$527,"&lt;&gt;Guards")</x:f>
        <x:v>10252900</x:v>
      </x:c>
      <x:c r="O37" s="433" t="n">
        <x:f>SUM(M37:N37)</x:f>
        <x:v>12497200</x:v>
      </x:c>
      <x:c r="P37" s="434" t="n">
        <x:f>IF(E37=0,"",K37/E37)</x:f>
        <x:v>36.55</x:v>
      </x:c>
      <x:c r="Q37" s="501" t="n">
        <x:f>IF(E37=0,"",IFERROR(100*(COUNTIFS($E$19:$E$186,"&gt;0",$K$19:$K$186,"&lt;"&amp;K37)+(COUNTIFS($E$19:$E$186,"&gt;0",$K$19:$K$186,K37)-1)/2)/(COUNTIF($E$19:$E$186,"&gt;0")-1),50))</x:f>
        <x:v>62.01298701298701</x:v>
      </x:c>
      <x:c r="R37" s="501" t="n">
        <x:f>IF(E37=0,"",IFERROR(100*(COUNTIFS($E$19:$E$186,"&gt;0",$N$19:$N$186,"&lt;"&amp;N37)+(COUNTIFS($E$19:$E$186,"&gt;0",$N$19:$N$186,N37)-1)/2)/(COUNTIF($E$19:$E$186,"&gt;0")-1),50))</x:f>
        <x:v>43.83116883116883</x:v>
      </x:c>
      <x:c r="S37" s="501" t="n">
        <x:f>IF(E37=0,"",Q37*$R$5+R37*$R$6)</x:f>
        <x:v>58.37662337662337</x:v>
      </x:c>
      <x:c r="T37" s="501" t="n">
        <x:f>IF(M37=0,"",IFERROR(100*(COUNTIFS($M$19:$M$186,"&gt;0",$G$19:$G$186,"&gt;"&amp;G37)+(COUNTIFS($M$19:$M$186,"&gt;0",$G$19:$G$186,G37)-1)/2)/(COUNTIF($M$19:$M$186,"&gt;0")-1),50))</x:f>
        <x:v>29.487179487179485</x:v>
      </x:c>
      <x:c r="U37" s="501" t="n">
        <x:f>IF(M37=0,"",IFERROR(100*(COUNTIFS($M$19:$M$186,"&gt;0",$M$19:$M$186,"&lt;"&amp;M37)+(COUNTIFS($M$19:$M$186,"&gt;0",$M$19:$M$186,M37)-1)/2)/(COUNTIF($M$19:$M$186,"&gt;0")-1),50))</x:f>
        <x:v>29.487179487179485</x:v>
      </x:c>
      <x:c r="V37" s="501" t="n">
        <x:f>IF(M37=0,"",T37*$R$5+U37*$R$6)</x:f>
        <x:v>29.48717948717949</x:v>
      </x:c>
      <x:c r="W37" s="431" t="n">
        <x:f>IF(E37=0,"",COUNTIFS($A$19:$A$186,A37,$S$19:$S$186,"&gt;"&amp;S37)+COUNTIFS($A$19:A37,A37,$E$19:E37,"&gt;0",$S$19:S37,S37))</x:f>
        <x:v>17</x:v>
      </x:c>
      <x:c r="X37" s="431" t="n">
        <x:f>IF(S37="","",1+COUNTIF($S$19:$S$186,"&gt;"&amp;S37))</x:f>
        <x:v>62</x:v>
      </x:c>
      <x:c r="Y37" s="431" t="n">
        <x:f>IF(V37="","",1+COUNTIFS($A$19:$A$186,A37,$V$19:$V$186,"&gt;"&amp;V37))</x:f>
        <x:v>3</x:v>
      </x:c>
      <x:c r="Z37" s="431" t="n">
        <x:f>IF(V37="","",1+COUNTIF($V$19:$V$186,"&gt;"&amp;V37))</x:f>
        <x:v>70</x:v>
      </x:c>
      <x:c r="AA37" s="430" t="str">
        <x:f>IF(C37=0,"No specialisations recorded",IF(D37&lt;C37,"Review missing level","Recorded skills only"))</x:f>
        <x:v>Recorded skills only</x:v>
      </x:c>
      <x:c r="AB37" s="601" t="n">
        <x:f>IF(OR(AP37&lt;&gt;"Yes",E37=0),"",IFERROR(100*(COUNTIFS($AP$19:$AP$186,"Yes",$E$19:$E$186,"&gt;0",$I$19:$I$186,"&lt;"&amp;I37)+(COUNTIFS($AP$19:$AP$186,"Yes",$E$19:$E$186,"&gt;0",$I$19:$I$186,I37)-1)/2)/(COUNTIFS($AP$19:$AP$186,"Yes",$E$19:$E$186,"&gt;0")-1),50))</x:f>
        <x:v>66.23376623376623</x:v>
      </x:c>
      <x:c r="AC37" s="601" t="n">
        <x:f>IF(AB37="","",AB37*'Specialisation Rankings'!$O$16+R37*'Specialisation Rankings'!$O$17)</x:f>
        <x:v>61.753246753246756</x:v>
      </x:c>
      <x:c r="AD37" s="601" t="n">
        <x:f>IF(AC37="","",COUNTIFS($A$19:$A$186,A37,$AP$19:$AP$186,"Yes",$E$19:$E$186,"&gt;0",$AC$19:$AC$186,"&gt;"&amp;AC37)+COUNTIFS($A$19:A37,A37,$AP$19:AP37,"Yes",$E$19:E37,"&gt;0",$AC$19:AC37,AC37))</x:f>
        <x:v>15</x:v>
      </x:c>
      <x:c r="AE37" s="601" t="n">
        <x:f>IF(OR(AP37&lt;&gt;"Yes",E37=0),"",IFERROR(100*(COUNTIFS($AP$19:$AP$186,"Yes",$E$19:$E$186,"&gt;0",$H$19:$H$186,"&lt;"&amp;H37)+(COUNTIFS($AP$19:$AP$186,"Yes",$E$19:$E$186,"&gt;0",$H$19:$H$186,H37)-1)/2)/(COUNTIFS($AP$19:$AP$186,"Yes",$E$19:$E$186,"&gt;0")-1),50))</x:f>
        <x:v>42.20779220779221</x:v>
      </x:c>
      <x:c r="AF37" s="601" t="n">
        <x:f>IF(AE37="","",AE37*'Specialisation Rankings'!$O$16+R37*'Specialisation Rankings'!$O$17)</x:f>
        <x:v>42.532467532467535</x:v>
      </x:c>
      <x:c r="AG37" s="601" t="n">
        <x:f>IF(AF37="","",COUNTIFS($A$19:$A$186,A37,$AP$19:$AP$186,"Yes",$E$19:$E$186,"&gt;0",$AF$19:$AF$186,"&gt;"&amp;AF37)+COUNTIFS($A$19:A37,A37,$AP$19:AP37,"Yes",$E$19:E37,"&gt;0",$AF$19:AF37,AF37))</x:f>
        <x:v>20</x:v>
      </x:c>
      <x:c r="AH37" s="601" t="n">
        <x:f>IF(OR(AP37&lt;&gt;"Yes",E37=0),"",IFERROR(100*(COUNTIFS($AP$19:$AP$186,"Yes",$E$19:$E$186,"&gt;0",$J$19:$J$186,"&lt;"&amp;J37)+(COUNTIFS($AP$19:$AP$186,"Yes",$E$19:$E$186,"&gt;0",$J$19:$J$186,J37)-1)/2)/(COUNTIFS($AP$19:$AP$186,"Yes",$E$19:$E$186,"&gt;0")-1),50))</x:f>
        <x:v>33.116883116883116</x:v>
      </x:c>
      <x:c r="AI37" s="601" t="n">
        <x:f>IF(AH37="","",AH37*'Specialisation Rankings'!$O$16+R37*'Specialisation Rankings'!$O$17)</x:f>
        <x:v>35.25974025974026</x:v>
      </x:c>
      <x:c r="AJ37" s="601" t="n">
        <x:f>IF(AI37="","",COUNTIFS($A$19:$A$186,A37,$AP$19:$AP$186,"Yes",$E$19:$E$186,"&gt;0",$AI$19:$AI$186,"&gt;"&amp;AI37)+COUNTIFS($A$19:A37,A37,$AP$19:AP37,"Yes",$E$19:E37,"&gt;0",$AI$19:AI37,AI37))</x:f>
        <x:v>16</x:v>
      </x:c>
      <x:c r="AK37" s="601" t="n">
        <x:f>IF(OR(AP37&lt;&gt;"Yes",E37=0),"",IF(M37=0,'Specialisation Rankings'!$O$23,V37))</x:f>
        <x:v>29.48717948717949</x:v>
      </x:c>
      <x:c r="AL37" s="601" t="n">
        <x:f>IF(AK37="","",COUNTIFS($A$19:$A$186,A37,$AP$19:$AP$186,"Yes",$E$19:$E$186,"&gt;0",$AK$19:$AK$186,"&gt;"&amp;AK37)+COUNTIFS($A$19:A37,A37,$AP$19:AP37,"Yes",$E$19:E37,"&gt;0",$AK$19:AK37,AK37))</x:f>
        <x:v>21</x:v>
      </x:c>
      <x:c r="AM37" s="601" t="n">
        <x:f>IF(AC37="","",AC37*'Specialisation Rankings'!$O$18+AF37*'Specialisation Rankings'!$O$19+AI37*'Specialisation Rankings'!$O$20+AK37*'Specialisation Rankings'!$O$21)</x:f>
        <x:v>52.630536130536136</x:v>
      </x:c>
      <x:c r="AN37" s="601" t="n">
        <x:f>IF(AM37="","",COUNTIFS($A$19:$A$186,A37,$AP$19:$AP$186,"Yes",$E$19:$E$186,"&gt;0",$AM$19:$AM$186,"&gt;"&amp;AM37)+COUNTIFS($A$19:A37,A37,$AP$19:AP37,"Yes",$E$19:E37,"&gt;0",$AM$19:AM37,AM37))</x:f>
        <x:v>16</x:v>
      </x:c>
      <x:c r="AO37" s="601" t="n">
        <x:f>IF(AM37="","",COUNTIFS($AP$19:$AP$186,"Yes",$E$19:$E$186,"&gt;0",$AM$19:$AM$186,"&gt;"&amp;AM37)+COUNTIFS($AP$19:AP37,"Yes",$E$19:E37,"&gt;0",$AM$19:AM37,AM37))</x:f>
        <x:v>63</x:v>
      </x:c>
      <x:c r="AP37" s="602" t="str">
        <x:f>IF(COUNTIFS('Player Scenario Model'!$A$6:$A$172,A37,'Player Scenario Model'!$B$6:$B$172,B37)&gt;0,"Yes","No")</x:f>
        <x:v>Yes</x:v>
      </x:c>
    </x:row>
    <x:row r="38" ht="24" customHeight="1">
      <x:c r="A38" s="430" t="str">
        <x:v>K60</x:v>
      </x:c>
      <x:c r="B38" s="430" t="str">
        <x:v>陰影Sam</x:v>
      </x:c>
      <x:c r="C38" s="431" t="n">
        <x:f>COUNTIFS('Specialisations'!$A$6:$A$527,A38,'Specialisations'!$B$6:$B$527,B38)</x:f>
        <x:v>4</x:v>
      </x:c>
      <x:c r="D38" s="431" t="n">
        <x:f>COUNTIFS('Specialisations'!$A$6:$A$527,A38,'Specialisations'!$B$6:$B$527,B38,'Specialisations'!$P$6:$P$527,"OK")</x:f>
        <x:v>4</x:v>
      </x:c>
      <x:c r="E38" s="431" t="n">
        <x:f>COUNTIFS('Specialisations'!$A$6:$A$527,A38,'Specialisations'!$B$6:$B$527,B38,'Specialisations'!$P$6:$P$527,"OK",'Specialisations'!$C$6:$C$527,"&lt;&gt;Guards")</x:f>
        <x:v>3</x:v>
      </x:c>
      <x:c r="F38" s="432" t="n">
        <x:f>IF(C38=0,"",D38/C38)</x:f>
        <x:v>1</x:v>
      </x:c>
      <x:c r="G38" s="495" t="n">
        <x:f>SUMIFS('Specialisations'!$Q$6:$Q$527,'Specialisations'!$A$6:$A$527,A38,'Specialisations'!$B$6:$B$527,B38,'Specialisations'!$C$6:$C$527,"Guards")</x:f>
        <x:v>-27.74</x:v>
      </x:c>
      <x:c r="H38" s="495" t="n">
        <x:f>SUMIFS('Specialisations'!$Q$6:$Q$527,'Specialisations'!$A$6:$A$527,A38,'Specialisations'!$B$6:$B$527,B38,'Specialisations'!$C$6:$C$527,"Archers")</x:f>
        <x:v>27.74</x:v>
      </x:c>
      <x:c r="I38" s="495" t="n">
        <x:f>SUMIFS('Specialisations'!$Q$6:$Q$527,'Specialisations'!$A$6:$A$527,A38,'Specialisations'!$B$6:$B$527,B38,'Specialisations'!$C$6:$C$527,"Cavalry")</x:f>
        <x:v>93.51</x:v>
      </x:c>
      <x:c r="J38" s="495" t="n">
        <x:f>SUMIFS('Specialisations'!$Q$6:$Q$527,'Specialisations'!$A$6:$A$527,A38,'Specialisations'!$B$6:$B$527,B38,'Specialisations'!$C$6:$C$527,"Siege")</x:f>
        <x:v>0</x:v>
      </x:c>
      <x:c r="K38" s="495" t="n">
        <x:f>SUM(H38:J38)</x:f>
        <x:v>121.25</x:v>
      </x:c>
      <x:c r="L38" s="495" t="n">
        <x:f>SUM(G38,K38)</x:f>
        <x:v>93.51</x:v>
      </x:c>
      <x:c r="M38" s="433" t="n">
        <x:f>SUMIFS('Specialisations'!$N$6:$N$527,'Specialisations'!$A$6:$A$527,A38,'Specialisations'!$B$6:$B$527,B38,'Specialisations'!$C$6:$C$527,"Guards")</x:f>
        <x:v>2244300</x:v>
      </x:c>
      <x:c r="N38" s="433" t="n">
        <x:f>SUMIFS('Specialisations'!$N$6:$N$527,'Specialisations'!$A$6:$A$527,A38,'Specialisations'!$B$6:$B$527,B38,'Specialisations'!$C$6:$C$527,"&lt;&gt;Guards")</x:f>
        <x:v>13132900</x:v>
      </x:c>
      <x:c r="O38" s="433" t="n">
        <x:f>SUM(M38:N38)</x:f>
        <x:v>15377200</x:v>
      </x:c>
      <x:c r="P38" s="434" t="n">
        <x:f>IF(E38=0,"",K38/E38)</x:f>
        <x:v>40.416666666666664</x:v>
      </x:c>
      <x:c r="Q38" s="501" t="n">
        <x:f>IF(E38=0,"",IFERROR(100*(COUNTIFS($E$19:$E$186,"&gt;0",$K$19:$K$186,"&lt;"&amp;K38)+(COUNTIFS($E$19:$E$186,"&gt;0",$K$19:$K$186,K38)-1)/2)/(COUNTIF($E$19:$E$186,"&gt;0")-1),50))</x:f>
        <x:v>73.05194805194805</x:v>
      </x:c>
      <x:c r="R38" s="501" t="n">
        <x:f>IF(E38=0,"",IFERROR(100*(COUNTIFS($E$19:$E$186,"&gt;0",$N$19:$N$186,"&lt;"&amp;N38)+(COUNTIFS($E$19:$E$186,"&gt;0",$N$19:$N$186,N38)-1)/2)/(COUNTIF($E$19:$E$186,"&gt;0")-1),50))</x:f>
        <x:v>67.85714285714286</x:v>
      </x:c>
      <x:c r="S38" s="501" t="n">
        <x:f>IF(E38=0,"",Q38*$R$5+R38*$R$6)</x:f>
        <x:v>72.01298701298701</x:v>
      </x:c>
      <x:c r="T38" s="501" t="n">
        <x:f>IF(M38=0,"",IFERROR(100*(COUNTIFS($M$19:$M$186,"&gt;0",$G$19:$G$186,"&gt;"&amp;G38)+(COUNTIFS($M$19:$M$186,"&gt;0",$G$19:$G$186,G38)-1)/2)/(COUNTIF($M$19:$M$186,"&gt;0")-1),50))</x:f>
        <x:v>29.487179487179485</x:v>
      </x:c>
      <x:c r="U38" s="501" t="n">
        <x:f>IF(M38=0,"",IFERROR(100*(COUNTIFS($M$19:$M$186,"&gt;0",$M$19:$M$186,"&lt;"&amp;M38)+(COUNTIFS($M$19:$M$186,"&gt;0",$M$19:$M$186,M38)-1)/2)/(COUNTIF($M$19:$M$186,"&gt;0")-1),50))</x:f>
        <x:v>29.487179487179485</x:v>
      </x:c>
      <x:c r="V38" s="501" t="n">
        <x:f>IF(M38=0,"",T38*$R$5+U38*$R$6)</x:f>
        <x:v>29.48717948717949</x:v>
      </x:c>
      <x:c r="W38" s="431" t="n">
        <x:f>IF(E38=0,"",COUNTIFS($A$19:$A$186,A38,$S$19:$S$186,"&gt;"&amp;S38)+COUNTIFS($A$19:A38,A38,$E$19:E38,"&gt;0",$S$19:S38,S38))</x:f>
        <x:v>10</x:v>
      </x:c>
      <x:c r="X38" s="431" t="n">
        <x:f>IF(S38="","",1+COUNTIF($S$19:$S$186,"&gt;"&amp;S38))</x:f>
        <x:v>44</x:v>
      </x:c>
      <x:c r="Y38" s="431" t="n">
        <x:f>IF(V38="","",1+COUNTIFS($A$19:$A$186,A38,$V$19:$V$186,"&gt;"&amp;V38))</x:f>
        <x:v>3</x:v>
      </x:c>
      <x:c r="Z38" s="431" t="n">
        <x:f>IF(V38="","",1+COUNTIF($V$19:$V$186,"&gt;"&amp;V38))</x:f>
        <x:v>70</x:v>
      </x:c>
      <x:c r="AA38" s="430" t="str">
        <x:f>IF(C38=0,"No specialisations recorded",IF(D38&lt;C38,"Review missing level","Recorded skills only"))</x:f>
        <x:v>Recorded skills only</x:v>
      </x:c>
      <x:c r="AB38" s="601" t="n">
        <x:f>IF(OR(AP38&lt;&gt;"Yes",E38=0),"",IFERROR(100*(COUNTIFS($AP$19:$AP$186,"Yes",$E$19:$E$186,"&gt;0",$I$19:$I$186,"&lt;"&amp;I38)+(COUNTIFS($AP$19:$AP$186,"Yes",$E$19:$E$186,"&gt;0",$I$19:$I$186,I38)-1)/2)/(COUNTIFS($AP$19:$AP$186,"Yes",$E$19:$E$186,"&gt;0")-1),50))</x:f>
        <x:v>78.8961038961039</x:v>
      </x:c>
      <x:c r="AC38" s="601" t="n">
        <x:f>IF(AB38="","",AB38*'Specialisation Rankings'!$O$16+R38*'Specialisation Rankings'!$O$17)</x:f>
        <x:v>76.68831168831169</x:v>
      </x:c>
      <x:c r="AD38" s="601" t="n">
        <x:f>IF(AC38="","",COUNTIFS($A$19:$A$186,A38,$AP$19:$AP$186,"Yes",$E$19:$E$186,"&gt;0",$AC$19:$AC$186,"&gt;"&amp;AC38)+COUNTIFS($A$19:A38,A38,$AP$19:AP38,"Yes",$E$19:E38,"&gt;0",$AC$19:AC38,AC38))</x:f>
        <x:v>6</x:v>
      </x:c>
      <x:c r="AE38" s="601" t="n">
        <x:f>IF(OR(AP38&lt;&gt;"Yes",E38=0),"",IFERROR(100*(COUNTIFS($AP$19:$AP$186,"Yes",$E$19:$E$186,"&gt;0",$H$19:$H$186,"&lt;"&amp;H38)+(COUNTIFS($AP$19:$AP$186,"Yes",$E$19:$E$186,"&gt;0",$H$19:$H$186,H38)-1)/2)/(COUNTIFS($AP$19:$AP$186,"Yes",$E$19:$E$186,"&gt;0")-1),50))</x:f>
        <x:v>42.20779220779221</x:v>
      </x:c>
      <x:c r="AF38" s="601" t="n">
        <x:f>IF(AE38="","",AE38*'Specialisation Rankings'!$O$16+R38*'Specialisation Rankings'!$O$17)</x:f>
        <x:v>47.33766233766234</x:v>
      </x:c>
      <x:c r="AG38" s="601" t="n">
        <x:f>IF(AF38="","",COUNTIFS($A$19:$A$186,A38,$AP$19:$AP$186,"Yes",$E$19:$E$186,"&gt;0",$AF$19:$AF$186,"&gt;"&amp;AF38)+COUNTIFS($A$19:A38,A38,$AP$19:AP38,"Yes",$E$19:E38,"&gt;0",$AF$19:AF38,AF38))</x:f>
        <x:v>15</x:v>
      </x:c>
      <x:c r="AH38" s="601" t="n">
        <x:f>IF(OR(AP38&lt;&gt;"Yes",E38=0),"",IFERROR(100*(COUNTIFS($AP$19:$AP$186,"Yes",$E$19:$E$186,"&gt;0",$J$19:$J$186,"&lt;"&amp;J38)+(COUNTIFS($AP$19:$AP$186,"Yes",$E$19:$E$186,"&gt;0",$J$19:$J$186,J38)-1)/2)/(COUNTIFS($AP$19:$AP$186,"Yes",$E$19:$E$186,"&gt;0")-1),50))</x:f>
        <x:v>33.116883116883116</x:v>
      </x:c>
      <x:c r="AI38" s="601" t="n">
        <x:f>IF(AH38="","",AH38*'Specialisation Rankings'!$O$16+R38*'Specialisation Rankings'!$O$17)</x:f>
        <x:v>40.06493506493507</x:v>
      </x:c>
      <x:c r="AJ38" s="601" t="n">
        <x:f>IF(AI38="","",COUNTIFS($A$19:$A$186,A38,$AP$19:$AP$186,"Yes",$E$19:$E$186,"&gt;0",$AI$19:$AI$186,"&gt;"&amp;AI38)+COUNTIFS($A$19:A38,A38,$AP$19:AP38,"Yes",$E$19:E38,"&gt;0",$AI$19:AI38,AI38))</x:f>
        <x:v>10</x:v>
      </x:c>
      <x:c r="AK38" s="601" t="n">
        <x:f>IF(OR(AP38&lt;&gt;"Yes",E38=0),"",IF(M38=0,'Specialisation Rankings'!$O$23,V38))</x:f>
        <x:v>29.48717948717949</x:v>
      </x:c>
      <x:c r="AL38" s="601" t="n">
        <x:f>IF(AK38="","",COUNTIFS($A$19:$A$186,A38,$AP$19:$AP$186,"Yes",$E$19:$E$186,"&gt;0",$AK$19:$AK$186,"&gt;"&amp;AK38)+COUNTIFS($A$19:A38,A38,$AP$19:AP38,"Yes",$E$19:E38,"&gt;0",$AK$19:AK38,AK38))</x:f>
        <x:v>22</x:v>
      </x:c>
      <x:c r="AM38" s="601" t="n">
        <x:f>IF(AC38="","",AC38*'Specialisation Rankings'!$O$18+AF38*'Specialisation Rankings'!$O$19+AI38*'Specialisation Rankings'!$O$20+AK38*'Specialisation Rankings'!$O$21)</x:f>
        <x:v>63.53962703962704</x:v>
      </x:c>
      <x:c r="AN38" s="601" t="n">
        <x:f>IF(AM38="","",COUNTIFS($A$19:$A$186,A38,$AP$19:$AP$186,"Yes",$E$19:$E$186,"&gt;0",$AM$19:$AM$186,"&gt;"&amp;AM38)+COUNTIFS($A$19:A38,A38,$AP$19:AP38,"Yes",$E$19:E38,"&gt;0",$AM$19:AM38,AM38))</x:f>
        <x:v>9</x:v>
      </x:c>
      <x:c r="AO38" s="601" t="n">
        <x:f>IF(AM38="","",COUNTIFS($AP$19:$AP$186,"Yes",$E$19:$E$186,"&gt;0",$AM$19:$AM$186,"&gt;"&amp;AM38)+COUNTIFS($AP$19:AP38,"Yes",$E$19:E38,"&gt;0",$AM$19:AM38,AM38))</x:f>
        <x:v>48</x:v>
      </x:c>
      <x:c r="AP38" s="602" t="str">
        <x:f>IF(COUNTIFS('Player Scenario Model'!$A$6:$A$172,A38,'Player Scenario Model'!$B$6:$B$172,B38)&gt;0,"Yes","No")</x:f>
        <x:v>Yes</x:v>
      </x:c>
    </x:row>
    <x:row r="39" ht="24" customHeight="1">
      <x:c r="A39" s="430" t="str">
        <x:v>K60</x:v>
      </x:c>
      <x:c r="B39" s="430" t="str">
        <x:v>RONINtrike</x:v>
      </x:c>
      <x:c r="C39" s="431" t="n">
        <x:f>COUNTIFS('Specialisations'!$A$6:$A$527,A39,'Specialisations'!$B$6:$B$527,B39)</x:f>
        <x:v>5</x:v>
      </x:c>
      <x:c r="D39" s="431" t="n">
        <x:f>COUNTIFS('Specialisations'!$A$6:$A$527,A39,'Specialisations'!$B$6:$B$527,B39,'Specialisations'!$P$6:$P$527,"OK")</x:f>
        <x:v>4</x:v>
      </x:c>
      <x:c r="E39" s="431" t="n">
        <x:f>COUNTIFS('Specialisations'!$A$6:$A$527,A39,'Specialisations'!$B$6:$B$527,B39,'Specialisations'!$P$6:$P$527,"OK",'Specialisations'!$C$6:$C$527,"&lt;&gt;Guards")</x:f>
        <x:v>4</x:v>
      </x:c>
      <x:c r="F39" s="432" t="n">
        <x:f>IF(C39=0,"",D39/C39)</x:f>
        <x:v>0.8</x:v>
      </x:c>
      <x:c r="G39" s="495" t="n">
        <x:f>SUMIFS('Specialisations'!$Q$6:$Q$527,'Specialisations'!$A$6:$A$527,A39,'Specialisations'!$B$6:$B$527,B39,'Specialisations'!$C$6:$C$527,"Guards")</x:f>
        <x:v>0</x:v>
      </x:c>
      <x:c r="H39" s="495" t="n">
        <x:f>SUMIFS('Specialisations'!$Q$6:$Q$527,'Specialisations'!$A$6:$A$527,A39,'Specialisations'!$B$6:$B$527,B39,'Specialisations'!$C$6:$C$527,"Archers")</x:f>
        <x:v>27.74</x:v>
      </x:c>
      <x:c r="I39" s="495" t="n">
        <x:f>SUMIFS('Specialisations'!$Q$6:$Q$527,'Specialisations'!$A$6:$A$527,A39,'Specialisations'!$B$6:$B$527,B39,'Specialisations'!$C$6:$C$527,"Cavalry")</x:f>
        <x:v>75.91</x:v>
      </x:c>
      <x:c r="J39" s="495" t="n">
        <x:f>SUMIFS('Specialisations'!$Q$6:$Q$527,'Specialisations'!$A$6:$A$527,A39,'Specialisations'!$B$6:$B$527,B39,'Specialisations'!$C$6:$C$527,"Siege")</x:f>
        <x:v>41.98</x:v>
      </x:c>
      <x:c r="K39" s="495" t="n">
        <x:f>SUM(H39:J39)</x:f>
        <x:v>145.63</x:v>
      </x:c>
      <x:c r="L39" s="495" t="n">
        <x:f>SUM(G39,K39)</x:f>
        <x:v>145.63</x:v>
      </x:c>
      <x:c r="M39" s="433" t="n">
        <x:f>SUMIFS('Specialisations'!$N$6:$N$527,'Specialisations'!$A$6:$A$527,A39,'Specialisations'!$B$6:$B$527,B39,'Specialisations'!$C$6:$C$527,"Guards")</x:f>
        <x:v>0</x:v>
      </x:c>
      <x:c r="N39" s="433" t="n">
        <x:f>SUMIFS('Specialisations'!$N$6:$N$527,'Specialisations'!$A$6:$A$527,A39,'Specialisations'!$B$6:$B$527,B39,'Specialisations'!$C$6:$C$527,"&lt;&gt;Guards")</x:f>
        <x:v>13497200</x:v>
      </x:c>
      <x:c r="O39" s="433" t="n">
        <x:f>SUM(M39:N39)</x:f>
        <x:v>13497200</x:v>
      </x:c>
      <x:c r="P39" s="434" t="n">
        <x:f>IF(E39=0,"",K39/E39)</x:f>
        <x:v>36.4075</x:v>
      </x:c>
      <x:c r="Q39" s="501" t="n">
        <x:f>IF(E39=0,"",IFERROR(100*(COUNTIFS($E$19:$E$186,"&gt;0",$K$19:$K$186,"&lt;"&amp;K39)+(COUNTIFS($E$19:$E$186,"&gt;0",$K$19:$K$186,K39)-1)/2)/(COUNTIF($E$19:$E$186,"&gt;0")-1),50))</x:f>
        <x:v>87.01298701298701</x:v>
      </x:c>
      <x:c r="R39" s="501" t="n">
        <x:f>IF(E39=0,"",IFERROR(100*(COUNTIFS($E$19:$E$186,"&gt;0",$N$19:$N$186,"&lt;"&amp;N39)+(COUNTIFS($E$19:$E$186,"&gt;0",$N$19:$N$186,N39)-1)/2)/(COUNTIF($E$19:$E$186,"&gt;0")-1),50))</x:f>
        <x:v>71.42857142857143</x:v>
      </x:c>
      <x:c r="S39" s="501" t="n">
        <x:f>IF(E39=0,"",Q39*$R$5+R39*$R$6)</x:f>
        <x:v>83.8961038961039</x:v>
      </x:c>
      <x:c r="T39" s="501" t="str">
        <x:f>IF(M39=0,"",IFERROR(100*(COUNTIFS($M$19:$M$186,"&gt;0",$G$19:$G$186,"&gt;"&amp;G39)+(COUNTIFS($M$19:$M$186,"&gt;0",$G$19:$G$186,G39)-1)/2)/(COUNTIF($M$19:$M$186,"&gt;0")-1),50))</x:f>
      </x:c>
      <x:c r="U39" s="501" t="str">
        <x:f>IF(M39=0,"",IFERROR(100*(COUNTIFS($M$19:$M$186,"&gt;0",$M$19:$M$186,"&lt;"&amp;M39)+(COUNTIFS($M$19:$M$186,"&gt;0",$M$19:$M$186,M39)-1)/2)/(COUNTIF($M$19:$M$186,"&gt;0")-1),50))</x:f>
      </x:c>
      <x:c r="V39" s="501" t="str">
        <x:f>IF(M39=0,"",T39*$R$5+U39*$R$6)</x:f>
      </x:c>
      <x:c r="W39" s="431" t="n">
        <x:f>IF(E39=0,"",COUNTIFS($A$19:$A$186,A39,$S$19:$S$186,"&gt;"&amp;S39)+COUNTIFS($A$19:A39,A39,$E$19:E39,"&gt;0",$S$19:S39,S39))</x:f>
        <x:v>4</x:v>
      </x:c>
      <x:c r="X39" s="431" t="n">
        <x:f>IF(S39="","",1+COUNTIF($S$19:$S$186,"&gt;"&amp;S39))</x:f>
        <x:v>22</x:v>
      </x:c>
      <x:c r="Y39" s="431" t="str">
        <x:f>IF(V39="","",1+COUNTIFS($A$19:$A$186,A39,$V$19:$V$186,"&gt;"&amp;V39))</x:f>
      </x:c>
      <x:c r="Z39" s="431" t="str">
        <x:f>IF(V39="","",1+COUNTIF($V$19:$V$186,"&gt;"&amp;V39))</x:f>
      </x:c>
      <x:c r="AA39" s="430" t="str">
        <x:f>IF(C39=0,"No specialisations recorded",IF(D39&lt;C39,"Review missing level","Recorded skills only"))</x:f>
        <x:v>Review missing level</x:v>
      </x:c>
      <x:c r="AB39" s="601" t="n">
        <x:f>IF(OR(AP39&lt;&gt;"Yes",E39=0),"",IFERROR(100*(COUNTIFS($AP$19:$AP$186,"Yes",$E$19:$E$186,"&gt;0",$I$19:$I$186,"&lt;"&amp;I39)+(COUNTIFS($AP$19:$AP$186,"Yes",$E$19:$E$186,"&gt;0",$I$19:$I$186,I39)-1)/2)/(COUNTIFS($AP$19:$AP$186,"Yes",$E$19:$E$186,"&gt;0")-1),50))</x:f>
        <x:v>59.74025974025974</x:v>
      </x:c>
      <x:c r="AC39" s="601" t="n">
        <x:f>IF(AB39="","",AB39*'Specialisation Rankings'!$O$16+R39*'Specialisation Rankings'!$O$17)</x:f>
        <x:v>62.077922077922075</x:v>
      </x:c>
      <x:c r="AD39" s="601" t="n">
        <x:f>IF(AC39="","",COUNTIFS($A$19:$A$186,A39,$AP$19:$AP$186,"Yes",$E$19:$E$186,"&gt;0",$AC$19:$AC$186,"&gt;"&amp;AC39)+COUNTIFS($A$19:A39,A39,$AP$19:AP39,"Yes",$E$19:E39,"&gt;0",$AC$19:AC39,AC39))</x:f>
        <x:v>13</x:v>
      </x:c>
      <x:c r="AE39" s="601" t="n">
        <x:f>IF(OR(AP39&lt;&gt;"Yes",E39=0),"",IFERROR(100*(COUNTIFS($AP$19:$AP$186,"Yes",$E$19:$E$186,"&gt;0",$H$19:$H$186,"&lt;"&amp;H39)+(COUNTIFS($AP$19:$AP$186,"Yes",$E$19:$E$186,"&gt;0",$H$19:$H$186,H39)-1)/2)/(COUNTIFS($AP$19:$AP$186,"Yes",$E$19:$E$186,"&gt;0")-1),50))</x:f>
        <x:v>42.20779220779221</x:v>
      </x:c>
      <x:c r="AF39" s="601" t="n">
        <x:f>IF(AE39="","",AE39*'Specialisation Rankings'!$O$16+R39*'Specialisation Rankings'!$O$17)</x:f>
        <x:v>48.05194805194805</x:v>
      </x:c>
      <x:c r="AG39" s="601" t="n">
        <x:f>IF(AF39="","",COUNTIFS($A$19:$A$186,A39,$AP$19:$AP$186,"Yes",$E$19:$E$186,"&gt;0",$AF$19:$AF$186,"&gt;"&amp;AF39)+COUNTIFS($A$19:A39,A39,$AP$19:AP39,"Yes",$E$19:E39,"&gt;0",$AF$19:AF39,AF39))</x:f>
        <x:v>14</x:v>
      </x:c>
      <x:c r="AH39" s="601" t="n">
        <x:f>IF(OR(AP39&lt;&gt;"Yes",E39=0),"",IFERROR(100*(COUNTIFS($AP$19:$AP$186,"Yes",$E$19:$E$186,"&gt;0",$J$19:$J$186,"&lt;"&amp;J39)+(COUNTIFS($AP$19:$AP$186,"Yes",$E$19:$E$186,"&gt;0",$J$19:$J$186,J39)-1)/2)/(COUNTIFS($AP$19:$AP$186,"Yes",$E$19:$E$186,"&gt;0")-1),50))</x:f>
        <x:v>91.23376623376623</x:v>
      </x:c>
      <x:c r="AI39" s="601" t="n">
        <x:f>IF(AH39="","",AH39*'Specialisation Rankings'!$O$16+R39*'Specialisation Rankings'!$O$17)</x:f>
        <x:v>87.27272727272728</x:v>
      </x:c>
      <x:c r="AJ39" s="601" t="n">
        <x:f>IF(AI39="","",COUNTIFS($A$19:$A$186,A39,$AP$19:$AP$186,"Yes",$E$19:$E$186,"&gt;0",$AI$19:$AI$186,"&gt;"&amp;AI39)+COUNTIFS($A$19:A39,A39,$AP$19:AP39,"Yes",$E$19:E39,"&gt;0",$AI$19:AI39,AI39))</x:f>
        <x:v>4</x:v>
      </x:c>
      <x:c r="AK39" s="601" t="n">
        <x:f>IF(OR(AP39&lt;&gt;"Yes",E39=0),"",IF(M39=0,'Specialisation Rankings'!$O$23,V39))</x:f>
        <x:v>50</x:v>
      </x:c>
      <x:c r="AL39" s="601" t="n">
        <x:f>IF(AK39="","",COUNTIFS($A$19:$A$186,A39,$AP$19:$AP$186,"Yes",$E$19:$E$186,"&gt;0",$AK$19:$AK$186,"&gt;"&amp;AK39)+COUNTIFS($A$19:A39,A39,$AP$19:AP39,"Yes",$E$19:E39,"&gt;0",$AK$19:AK39,AK39))</x:f>
        <x:v>5</x:v>
      </x:c>
      <x:c r="AM39" s="601" t="n">
        <x:f>IF(AC39="","",AC39*'Specialisation Rankings'!$O$18+AF39*'Specialisation Rankings'!$O$19+AI39*'Specialisation Rankings'!$O$20+AK39*'Specialisation Rankings'!$O$21)</x:f>
        <x:v>63.246753246753244</x:v>
      </x:c>
      <x:c r="AN39" s="601" t="n">
        <x:f>IF(AM39="","",COUNTIFS($A$19:$A$186,A39,$AP$19:$AP$186,"Yes",$E$19:$E$186,"&gt;0",$AM$19:$AM$186,"&gt;"&amp;AM39)+COUNTIFS($A$19:A39,A39,$AP$19:AP39,"Yes",$E$19:E39,"&gt;0",$AM$19:AM39,AM39))</x:f>
        <x:v>10</x:v>
      </x:c>
      <x:c r="AO39" s="601" t="n">
        <x:f>IF(AM39="","",COUNTIFS($AP$19:$AP$186,"Yes",$E$19:$E$186,"&gt;0",$AM$19:$AM$186,"&gt;"&amp;AM39)+COUNTIFS($AP$19:AP39,"Yes",$E$19:E39,"&gt;0",$AM$19:AM39,AM39))</x:f>
        <x:v>49</x:v>
      </x:c>
      <x:c r="AP39" s="602" t="str">
        <x:f>IF(COUNTIFS('Player Scenario Model'!$A$6:$A$172,A39,'Player Scenario Model'!$B$6:$B$172,B39)&gt;0,"Yes","No")</x:f>
        <x:v>Yes</x:v>
      </x:c>
    </x:row>
    <x:row r="40" ht="24" customHeight="1">
      <x:c r="A40" s="430" t="str">
        <x:v>K60</x:v>
      </x:c>
      <x:c r="B40" s="430" t="str">
        <x:v>雪Snowy</x:v>
      </x:c>
      <x:c r="C40" s="431" t="n">
        <x:f>COUNTIFS('Specialisations'!$A$6:$A$527,A40,'Specialisations'!$B$6:$B$527,B40)</x:f>
        <x:v>4</x:v>
      </x:c>
      <x:c r="D40" s="431" t="n">
        <x:f>COUNTIFS('Specialisations'!$A$6:$A$527,A40,'Specialisations'!$B$6:$B$527,B40,'Specialisations'!$P$6:$P$527,"OK")</x:f>
        <x:v>4</x:v>
      </x:c>
      <x:c r="E40" s="431" t="n">
        <x:f>COUNTIFS('Specialisations'!$A$6:$A$527,A40,'Specialisations'!$B$6:$B$527,B40,'Specialisations'!$P$6:$P$527,"OK",'Specialisations'!$C$6:$C$527,"&lt;&gt;Guards")</x:f>
        <x:v>3</x:v>
      </x:c>
      <x:c r="F40" s="432" t="n">
        <x:f>IF(C40=0,"",D40/C40)</x:f>
        <x:v>1</x:v>
      </x:c>
      <x:c r="G40" s="495" t="n">
        <x:f>SUMIFS('Specialisations'!$Q$6:$Q$527,'Specialisations'!$A$6:$A$527,A40,'Specialisations'!$B$6:$B$527,B40,'Specialisations'!$C$6:$C$527,"Guards")</x:f>
        <x:v>-27.74</x:v>
      </x:c>
      <x:c r="H40" s="495" t="n">
        <x:f>SUMIFS('Specialisations'!$Q$6:$Q$527,'Specialisations'!$A$6:$A$527,A40,'Specialisations'!$B$6:$B$527,B40,'Specialisations'!$C$6:$C$527,"Archers")</x:f>
        <x:v>27.74</x:v>
      </x:c>
      <x:c r="I40" s="495" t="n">
        <x:f>SUMIFS('Specialisations'!$Q$6:$Q$527,'Specialisations'!$A$6:$A$527,A40,'Specialisations'!$B$6:$B$527,B40,'Specialisations'!$C$6:$C$527,"Cavalry")</x:f>
        <x:v>106.94</x:v>
      </x:c>
      <x:c r="J40" s="495" t="n">
        <x:f>SUMIFS('Specialisations'!$Q$6:$Q$527,'Specialisations'!$A$6:$A$527,A40,'Specialisations'!$B$6:$B$527,B40,'Specialisations'!$C$6:$C$527,"Siege")</x:f>
        <x:v>0</x:v>
      </x:c>
      <x:c r="K40" s="495" t="n">
        <x:f>SUM(H40:J40)</x:f>
        <x:v>134.68</x:v>
      </x:c>
      <x:c r="L40" s="495" t="n">
        <x:f>SUM(G40,K40)</x:f>
        <x:v>106.94000000000001</x:v>
      </x:c>
      <x:c r="M40" s="433" t="n">
        <x:f>SUMIFS('Specialisations'!$N$6:$N$527,'Specialisations'!$A$6:$A$527,A40,'Specialisations'!$B$6:$B$527,B40,'Specialisations'!$C$6:$C$527,"Guards")</x:f>
        <x:v>2244300</x:v>
      </x:c>
      <x:c r="N40" s="433" t="n">
        <x:f>SUMIFS('Specialisations'!$N$6:$N$527,'Specialisations'!$A$6:$A$527,A40,'Specialisations'!$B$6:$B$527,B40,'Specialisations'!$C$6:$C$527,"&lt;&gt;Guards")</x:f>
        <x:v>17512900</x:v>
      </x:c>
      <x:c r="O40" s="433" t="n">
        <x:f>SUM(M40:N40)</x:f>
        <x:v>19757200</x:v>
      </x:c>
      <x:c r="P40" s="434" t="n">
        <x:f>IF(E40=0,"",K40/E40)</x:f>
        <x:v>44.89333333333334</x:v>
      </x:c>
      <x:c r="Q40" s="501" t="n">
        <x:f>IF(E40=0,"",IFERROR(100*(COUNTIFS($E$19:$E$186,"&gt;0",$K$19:$K$186,"&lt;"&amp;K40)+(COUNTIFS($E$19:$E$186,"&gt;0",$K$19:$K$186,K40)-1)/2)/(COUNTIF($E$19:$E$186,"&gt;0")-1),50))</x:f>
        <x:v>81.16883116883118</x:v>
      </x:c>
      <x:c r="R40" s="501" t="n">
        <x:f>IF(E40=0,"",IFERROR(100*(COUNTIFS($E$19:$E$186,"&gt;0",$N$19:$N$186,"&lt;"&amp;N40)+(COUNTIFS($E$19:$E$186,"&gt;0",$N$19:$N$186,N40)-1)/2)/(COUNTIF($E$19:$E$186,"&gt;0")-1),50))</x:f>
        <x:v>85.71428571428571</x:v>
      </x:c>
      <x:c r="S40" s="501" t="n">
        <x:f>IF(E40=0,"",Q40*$R$5+R40*$R$6)</x:f>
        <x:v>82.07792207792208</x:v>
      </x:c>
      <x:c r="T40" s="501" t="n">
        <x:f>IF(M40=0,"",IFERROR(100*(COUNTIFS($M$19:$M$186,"&gt;0",$G$19:$G$186,"&gt;"&amp;G40)+(COUNTIFS($M$19:$M$186,"&gt;0",$G$19:$G$186,G40)-1)/2)/(COUNTIF($M$19:$M$186,"&gt;0")-1),50))</x:f>
        <x:v>29.487179487179485</x:v>
      </x:c>
      <x:c r="U40" s="501" t="n">
        <x:f>IF(M40=0,"",IFERROR(100*(COUNTIFS($M$19:$M$186,"&gt;0",$M$19:$M$186,"&lt;"&amp;M40)+(COUNTIFS($M$19:$M$186,"&gt;0",$M$19:$M$186,M40)-1)/2)/(COUNTIF($M$19:$M$186,"&gt;0")-1),50))</x:f>
        <x:v>29.487179487179485</x:v>
      </x:c>
      <x:c r="V40" s="501" t="n">
        <x:f>IF(M40=0,"",T40*$R$5+U40*$R$6)</x:f>
        <x:v>29.48717948717949</x:v>
      </x:c>
      <x:c r="W40" s="431" t="n">
        <x:f>IF(E40=0,"",COUNTIFS($A$19:$A$186,A40,$S$19:$S$186,"&gt;"&amp;S40)+COUNTIFS($A$19:A40,A40,$E$19:E40,"&gt;0",$S$19:S40,S40))</x:f>
        <x:v>5</x:v>
      </x:c>
      <x:c r="X40" s="431" t="n">
        <x:f>IF(S40="","",1+COUNTIF($S$19:$S$186,"&gt;"&amp;S40))</x:f>
        <x:v>26</x:v>
      </x:c>
      <x:c r="Y40" s="431" t="n">
        <x:f>IF(V40="","",1+COUNTIFS($A$19:$A$186,A40,$V$19:$V$186,"&gt;"&amp;V40))</x:f>
        <x:v>3</x:v>
      </x:c>
      <x:c r="Z40" s="431" t="n">
        <x:f>IF(V40="","",1+COUNTIF($V$19:$V$186,"&gt;"&amp;V40))</x:f>
        <x:v>70</x:v>
      </x:c>
      <x:c r="AA40" s="430" t="str">
        <x:f>IF(C40=0,"No specialisations recorded",IF(D40&lt;C40,"Review missing level","Recorded skills only"))</x:f>
        <x:v>Recorded skills only</x:v>
      </x:c>
      <x:c r="AB40" s="601" t="n">
        <x:f>IF(OR(AP40&lt;&gt;"Yes",E40=0),"",IFERROR(100*(COUNTIFS($AP$19:$AP$186,"Yes",$E$19:$E$186,"&gt;0",$I$19:$I$186,"&lt;"&amp;I40)+(COUNTIFS($AP$19:$AP$186,"Yes",$E$19:$E$186,"&gt;0",$I$19:$I$186,I40)-1)/2)/(COUNTIFS($AP$19:$AP$186,"Yes",$E$19:$E$186,"&gt;0")-1),50))</x:f>
        <x:v>93.83116883116882</x:v>
      </x:c>
      <x:c r="AC40" s="601" t="n">
        <x:f>IF(AB40="","",AB40*'Specialisation Rankings'!$O$16+R40*'Specialisation Rankings'!$O$17)</x:f>
        <x:v>92.2077922077922</x:v>
      </x:c>
      <x:c r="AD40" s="601" t="n">
        <x:f>IF(AC40="","",COUNTIFS($A$19:$A$186,A40,$AP$19:$AP$186,"Yes",$E$19:$E$186,"&gt;0",$AC$19:$AC$186,"&gt;"&amp;AC40)+COUNTIFS($A$19:A40,A40,$AP$19:AP40,"Yes",$E$19:E40,"&gt;0",$AC$19:AC40,AC40))</x:f>
        <x:v>1</x:v>
      </x:c>
      <x:c r="AE40" s="601" t="n">
        <x:f>IF(OR(AP40&lt;&gt;"Yes",E40=0),"",IFERROR(100*(COUNTIFS($AP$19:$AP$186,"Yes",$E$19:$E$186,"&gt;0",$H$19:$H$186,"&lt;"&amp;H40)+(COUNTIFS($AP$19:$AP$186,"Yes",$E$19:$E$186,"&gt;0",$H$19:$H$186,H40)-1)/2)/(COUNTIFS($AP$19:$AP$186,"Yes",$E$19:$E$186,"&gt;0")-1),50))</x:f>
        <x:v>42.20779220779221</x:v>
      </x:c>
      <x:c r="AF40" s="601" t="n">
        <x:f>IF(AE40="","",AE40*'Specialisation Rankings'!$O$16+R40*'Specialisation Rankings'!$O$17)</x:f>
        <x:v>50.90909090909091</x:v>
      </x:c>
      <x:c r="AG40" s="601" t="n">
        <x:f>IF(AF40="","",COUNTIFS($A$19:$A$186,A40,$AP$19:$AP$186,"Yes",$E$19:$E$186,"&gt;0",$AF$19:$AF$186,"&gt;"&amp;AF40)+COUNTIFS($A$19:A40,A40,$AP$19:AP40,"Yes",$E$19:E40,"&gt;0",$AF$19:AF40,AF40))</x:f>
        <x:v>10</x:v>
      </x:c>
      <x:c r="AH40" s="601" t="n">
        <x:f>IF(OR(AP40&lt;&gt;"Yes",E40=0),"",IFERROR(100*(COUNTIFS($AP$19:$AP$186,"Yes",$E$19:$E$186,"&gt;0",$J$19:$J$186,"&lt;"&amp;J40)+(COUNTIFS($AP$19:$AP$186,"Yes",$E$19:$E$186,"&gt;0",$J$19:$J$186,J40)-1)/2)/(COUNTIFS($AP$19:$AP$186,"Yes",$E$19:$E$186,"&gt;0")-1),50))</x:f>
        <x:v>33.116883116883116</x:v>
      </x:c>
      <x:c r="AI40" s="601" t="n">
        <x:f>IF(AH40="","",AH40*'Specialisation Rankings'!$O$16+R40*'Specialisation Rankings'!$O$17)</x:f>
        <x:v>43.63636363636364</x:v>
      </x:c>
      <x:c r="AJ40" s="601" t="n">
        <x:f>IF(AI40="","",COUNTIFS($A$19:$A$186,A40,$AP$19:$AP$186,"Yes",$E$19:$E$186,"&gt;0",$AI$19:$AI$186,"&gt;"&amp;AI40)+COUNTIFS($A$19:A40,A40,$AP$19:AP40,"Yes",$E$19:E40,"&gt;0",$AI$19:AI40,AI40))</x:f>
        <x:v>6</x:v>
      </x:c>
      <x:c r="AK40" s="601" t="n">
        <x:f>IF(OR(AP40&lt;&gt;"Yes",E40=0),"",IF(M40=0,'Specialisation Rankings'!$O$23,V40))</x:f>
        <x:v>29.48717948717949</x:v>
      </x:c>
      <x:c r="AL40" s="601" t="n">
        <x:f>IF(AK40="","",COUNTIFS($A$19:$A$186,A40,$AP$19:$AP$186,"Yes",$E$19:$E$186,"&gt;0",$AK$19:$AK$186,"&gt;"&amp;AK40)+COUNTIFS($A$19:A40,A40,$AP$19:AP40,"Yes",$E$19:E40,"&gt;0",$AK$19:AK40,AK40))</x:f>
        <x:v>23</x:v>
      </x:c>
      <x:c r="AM40" s="601" t="n">
        <x:f>IF(AC40="","",AC40*'Specialisation Rankings'!$O$18+AF40*'Specialisation Rankings'!$O$19+AI40*'Specialisation Rankings'!$O$20+AK40*'Specialisation Rankings'!$O$21)</x:f>
        <x:v>74.52014652014651</x:v>
      </x:c>
      <x:c r="AN40" s="601" t="n">
        <x:f>IF(AM40="","",COUNTIFS($A$19:$A$186,A40,$AP$19:$AP$186,"Yes",$E$19:$E$186,"&gt;0",$AM$19:$AM$186,"&gt;"&amp;AM40)+COUNTIFS($A$19:A40,A40,$AP$19:AP40,"Yes",$E$19:E40,"&gt;0",$AM$19:AM40,AM40))</x:f>
        <x:v>3</x:v>
      </x:c>
      <x:c r="AO40" s="601" t="n">
        <x:f>IF(AM40="","",COUNTIFS($AP$19:$AP$186,"Yes",$E$19:$E$186,"&gt;0",$AM$19:$AM$186,"&gt;"&amp;AM40)+COUNTIFS($AP$19:AP40,"Yes",$E$19:E40,"&gt;0",$AM$19:AM40,AM40))</x:f>
        <x:v>23</x:v>
      </x:c>
      <x:c r="AP40" s="602" t="str">
        <x:f>IF(COUNTIFS('Player Scenario Model'!$A$6:$A$172,A40,'Player Scenario Model'!$B$6:$B$172,B40)&gt;0,"Yes","No")</x:f>
        <x:v>Yes</x:v>
      </x:c>
    </x:row>
    <x:row r="41" ht="24" customHeight="1">
      <x:c r="A41" s="430" t="str">
        <x:v>K60</x:v>
      </x:c>
      <x:c r="B41" s="430" t="str">
        <x:v>Lare</x:v>
      </x:c>
      <x:c r="C41" s="431" t="n">
        <x:f>COUNTIFS('Specialisations'!$A$6:$A$527,A41,'Specialisations'!$B$6:$B$527,B41)</x:f>
        <x:v>4</x:v>
      </x:c>
      <x:c r="D41" s="431" t="n">
        <x:f>COUNTIFS('Specialisations'!$A$6:$A$527,A41,'Specialisations'!$B$6:$B$527,B41,'Specialisations'!$P$6:$P$527,"OK")</x:f>
        <x:v>4</x:v>
      </x:c>
      <x:c r="E41" s="431" t="n">
        <x:f>COUNTIFS('Specialisations'!$A$6:$A$527,A41,'Specialisations'!$B$6:$B$527,B41,'Specialisations'!$P$6:$P$527,"OK",'Specialisations'!$C$6:$C$527,"&lt;&gt;Guards")</x:f>
        <x:v>3</x:v>
      </x:c>
      <x:c r="F41" s="432" t="n">
        <x:f>IF(C41=0,"",D41/C41)</x:f>
        <x:v>1</x:v>
      </x:c>
      <x:c r="G41" s="495" t="n">
        <x:f>SUMIFS('Specialisations'!$Q$6:$Q$527,'Specialisations'!$A$6:$A$527,A41,'Specialisations'!$B$6:$B$527,B41,'Specialisations'!$C$6:$C$527,"Guards")</x:f>
        <x:v>-27.74</x:v>
      </x:c>
      <x:c r="H41" s="495" t="n">
        <x:f>SUMIFS('Specialisations'!$Q$6:$Q$527,'Specialisations'!$A$6:$A$527,A41,'Specialisations'!$B$6:$B$527,B41,'Specialisations'!$C$6:$C$527,"Archers")</x:f>
        <x:v>30.38</x:v>
      </x:c>
      <x:c r="I41" s="495" t="n">
        <x:f>SUMIFS('Specialisations'!$Q$6:$Q$527,'Specialisations'!$A$6:$A$527,A41,'Specialisations'!$B$6:$B$527,B41,'Specialisations'!$C$6:$C$527,"Cavalry")</x:f>
        <x:v>75.91</x:v>
      </x:c>
      <x:c r="J41" s="495" t="n">
        <x:f>SUMIFS('Specialisations'!$Q$6:$Q$527,'Specialisations'!$A$6:$A$527,A41,'Specialisations'!$B$6:$B$527,B41,'Specialisations'!$C$6:$C$527,"Siege")</x:f>
        <x:v>0</x:v>
      </x:c>
      <x:c r="K41" s="495" t="n">
        <x:f>SUM(H41:J41)</x:f>
        <x:v>106.28999999999999</x:v>
      </x:c>
      <x:c r="L41" s="495" t="n">
        <x:f>SUM(G41,K41)</x:f>
        <x:v>78.55</x:v>
      </x:c>
      <x:c r="M41" s="433" t="n">
        <x:f>SUMIFS('Specialisations'!$N$6:$N$527,'Specialisations'!$A$6:$A$527,A41,'Specialisations'!$B$6:$B$527,B41,'Specialisations'!$C$6:$C$527,"Guards")</x:f>
        <x:v>2244300</x:v>
      </x:c>
      <x:c r="N41" s="433" t="n">
        <x:f>SUMIFS('Specialisations'!$N$6:$N$527,'Specialisations'!$A$6:$A$527,A41,'Specialisations'!$B$6:$B$527,B41,'Specialisations'!$C$6:$C$527,"&lt;&gt;Guards")</x:f>
        <x:v>9492900</x:v>
      </x:c>
      <x:c r="O41" s="433" t="n">
        <x:f>SUM(M41:N41)</x:f>
        <x:v>11737200</x:v>
      </x:c>
      <x:c r="P41" s="434" t="n">
        <x:f>IF(E41=0,"",K41/E41)</x:f>
        <x:v>35.43</x:v>
      </x:c>
      <x:c r="Q41" s="501" t="n">
        <x:f>IF(E41=0,"",IFERROR(100*(COUNTIFS($E$19:$E$186,"&gt;0",$K$19:$K$186,"&lt;"&amp;K41)+(COUNTIFS($E$19:$E$186,"&gt;0",$K$19:$K$186,K41)-1)/2)/(COUNTIF($E$19:$E$186,"&gt;0")-1),50))</x:f>
        <x:v>59.09090909090909</x:v>
      </x:c>
      <x:c r="R41" s="501" t="n">
        <x:f>IF(E41=0,"",IFERROR(100*(COUNTIFS($E$19:$E$186,"&gt;0",$N$19:$N$186,"&lt;"&amp;N41)+(COUNTIFS($E$19:$E$186,"&gt;0",$N$19:$N$186,N41)-1)/2)/(COUNTIF($E$19:$E$186,"&gt;0")-1),50))</x:f>
        <x:v>37.98701298701299</x:v>
      </x:c>
      <x:c r="S41" s="501" t="n">
        <x:f>IF(E41=0,"",Q41*$R$5+R41*$R$6)</x:f>
        <x:v>54.87012987012988</x:v>
      </x:c>
      <x:c r="T41" s="501" t="n">
        <x:f>IF(M41=0,"",IFERROR(100*(COUNTIFS($M$19:$M$186,"&gt;0",$G$19:$G$186,"&gt;"&amp;G41)+(COUNTIFS($M$19:$M$186,"&gt;0",$G$19:$G$186,G41)-1)/2)/(COUNTIF($M$19:$M$186,"&gt;0")-1),50))</x:f>
        <x:v>29.487179487179485</x:v>
      </x:c>
      <x:c r="U41" s="501" t="n">
        <x:f>IF(M41=0,"",IFERROR(100*(COUNTIFS($M$19:$M$186,"&gt;0",$M$19:$M$186,"&lt;"&amp;M41)+(COUNTIFS($M$19:$M$186,"&gt;0",$M$19:$M$186,M41)-1)/2)/(COUNTIF($M$19:$M$186,"&gt;0")-1),50))</x:f>
        <x:v>29.487179487179485</x:v>
      </x:c>
      <x:c r="V41" s="501" t="n">
        <x:f>IF(M41=0,"",T41*$R$5+U41*$R$6)</x:f>
        <x:v>29.48717948717949</x:v>
      </x:c>
      <x:c r="W41" s="431" t="n">
        <x:f>IF(E41=0,"",COUNTIFS($A$19:$A$186,A41,$S$19:$S$186,"&gt;"&amp;S41)+COUNTIFS($A$19:A41,A41,$E$19:E41,"&gt;0",$S$19:S41,S41))</x:f>
        <x:v>19</x:v>
      </x:c>
      <x:c r="X41" s="431" t="n">
        <x:f>IF(S41="","",1+COUNTIF($S$19:$S$186,"&gt;"&amp;S41))</x:f>
        <x:v>69</x:v>
      </x:c>
      <x:c r="Y41" s="431" t="n">
        <x:f>IF(V41="","",1+COUNTIFS($A$19:$A$186,A41,$V$19:$V$186,"&gt;"&amp;V41))</x:f>
        <x:v>3</x:v>
      </x:c>
      <x:c r="Z41" s="431" t="n">
        <x:f>IF(V41="","",1+COUNTIF($V$19:$V$186,"&gt;"&amp;V41))</x:f>
        <x:v>70</x:v>
      </x:c>
      <x:c r="AA41" s="430" t="str">
        <x:f>IF(C41=0,"No specialisations recorded",IF(D41&lt;C41,"Review missing level","Recorded skills only"))</x:f>
        <x:v>Recorded skills only</x:v>
      </x:c>
      <x:c r="AB41" s="601" t="n">
        <x:f>IF(OR(AP41&lt;&gt;"Yes",E41=0),"",IFERROR(100*(COUNTIFS($AP$19:$AP$186,"Yes",$E$19:$E$186,"&gt;0",$I$19:$I$186,"&lt;"&amp;I41)+(COUNTIFS($AP$19:$AP$186,"Yes",$E$19:$E$186,"&gt;0",$I$19:$I$186,I41)-1)/2)/(COUNTIFS($AP$19:$AP$186,"Yes",$E$19:$E$186,"&gt;0")-1),50))</x:f>
        <x:v>59.74025974025974</x:v>
      </x:c>
      <x:c r="AC41" s="601" t="n">
        <x:f>IF(AB41="","",AB41*'Specialisation Rankings'!$O$16+R41*'Specialisation Rankings'!$O$17)</x:f>
        <x:v>55.38961038961039</x:v>
      </x:c>
      <x:c r="AD41" s="601" t="n">
        <x:f>IF(AC41="","",COUNTIFS($A$19:$A$186,A41,$AP$19:$AP$186,"Yes",$E$19:$E$186,"&gt;0",$AC$19:$AC$186,"&gt;"&amp;AC41)+COUNTIFS($A$19:A41,A41,$AP$19:AP41,"Yes",$E$19:E41,"&gt;0",$AC$19:AC41,AC41))</x:f>
        <x:v>19</x:v>
      </x:c>
      <x:c r="AE41" s="601" t="n">
        <x:f>IF(OR(AP41&lt;&gt;"Yes",E41=0),"",IFERROR(100*(COUNTIFS($AP$19:$AP$186,"Yes",$E$19:$E$186,"&gt;0",$H$19:$H$186,"&lt;"&amp;H41)+(COUNTIFS($AP$19:$AP$186,"Yes",$E$19:$E$186,"&gt;0",$H$19:$H$186,H41)-1)/2)/(COUNTIFS($AP$19:$AP$186,"Yes",$E$19:$E$186,"&gt;0")-1),50))</x:f>
        <x:v>52.5974025974026</x:v>
      </x:c>
      <x:c r="AF41" s="601" t="n">
        <x:f>IF(AE41="","",AE41*'Specialisation Rankings'!$O$16+R41*'Specialisation Rankings'!$O$17)</x:f>
        <x:v>49.67532467532468</x:v>
      </x:c>
      <x:c r="AG41" s="601" t="n">
        <x:f>IF(AF41="","",COUNTIFS($A$19:$A$186,A41,$AP$19:$AP$186,"Yes",$E$19:$E$186,"&gt;0",$AF$19:$AF$186,"&gt;"&amp;AF41)+COUNTIFS($A$19:A41,A41,$AP$19:AP41,"Yes",$E$19:E41,"&gt;0",$AF$19:AF41,AF41))</x:f>
        <x:v>13</x:v>
      </x:c>
      <x:c r="AH41" s="601" t="n">
        <x:f>IF(OR(AP41&lt;&gt;"Yes",E41=0),"",IFERROR(100*(COUNTIFS($AP$19:$AP$186,"Yes",$E$19:$E$186,"&gt;0",$J$19:$J$186,"&lt;"&amp;J41)+(COUNTIFS($AP$19:$AP$186,"Yes",$E$19:$E$186,"&gt;0",$J$19:$J$186,J41)-1)/2)/(COUNTIFS($AP$19:$AP$186,"Yes",$E$19:$E$186,"&gt;0")-1),50))</x:f>
        <x:v>33.116883116883116</x:v>
      </x:c>
      <x:c r="AI41" s="601" t="n">
        <x:f>IF(AH41="","",AH41*'Specialisation Rankings'!$O$16+R41*'Specialisation Rankings'!$O$17)</x:f>
        <x:v>34.09090909090909</x:v>
      </x:c>
      <x:c r="AJ41" s="601" t="n">
        <x:f>IF(AI41="","",COUNTIFS($A$19:$A$186,A41,$AP$19:$AP$186,"Yes",$E$19:$E$186,"&gt;0",$AI$19:$AI$186,"&gt;"&amp;AI41)+COUNTIFS($A$19:A41,A41,$AP$19:AP41,"Yes",$E$19:E41,"&gt;0",$AI$19:AI41,AI41))</x:f>
        <x:v>19</x:v>
      </x:c>
      <x:c r="AK41" s="601" t="n">
        <x:f>IF(OR(AP41&lt;&gt;"Yes",E41=0),"",IF(M41=0,'Specialisation Rankings'!$O$23,V41))</x:f>
        <x:v>29.48717948717949</x:v>
      </x:c>
      <x:c r="AL41" s="601" t="n">
        <x:f>IF(AK41="","",COUNTIFS($A$19:$A$186,A41,$AP$19:$AP$186,"Yes",$E$19:$E$186,"&gt;0",$AK$19:$AK$186,"&gt;"&amp;AK41)+COUNTIFS($A$19:A41,A41,$AP$19:AP41,"Yes",$E$19:E41,"&gt;0",$AK$19:AK41,AK41))</x:f>
        <x:v>24</x:v>
      </x:c>
      <x:c r="AM41" s="601" t="n">
        <x:f>IF(AC41="","",AC41*'Specialisation Rankings'!$O$18+AF41*'Specialisation Rankings'!$O$19+AI41*'Specialisation Rankings'!$O$20+AK41*'Specialisation Rankings'!$O$21)</x:f>
        <x:v>49.03313353313354</x:v>
      </x:c>
      <x:c r="AN41" s="601" t="n">
        <x:f>IF(AM41="","",COUNTIFS($A$19:$A$186,A41,$AP$19:$AP$186,"Yes",$E$19:$E$186,"&gt;0",$AM$19:$AM$186,"&gt;"&amp;AM41)+COUNTIFS($A$19:A41,A41,$AP$19:AP41,"Yes",$E$19:E41,"&gt;0",$AM$19:AM41,AM41))</x:f>
        <x:v>19</x:v>
      </x:c>
      <x:c r="AO41" s="601" t="n">
        <x:f>IF(AM41="","",COUNTIFS($AP$19:$AP$186,"Yes",$E$19:$E$186,"&gt;0",$AM$19:$AM$186,"&gt;"&amp;AM41)+COUNTIFS($AP$19:AP41,"Yes",$E$19:E41,"&gt;0",$AM$19:AM41,AM41))</x:f>
        <x:v>74</x:v>
      </x:c>
      <x:c r="AP41" s="602" t="str">
        <x:f>IF(COUNTIFS('Player Scenario Model'!$A$6:$A$172,A41,'Player Scenario Model'!$B$6:$B$172,B41)&gt;0,"Yes","No")</x:f>
        <x:v>Yes</x:v>
      </x:c>
    </x:row>
    <x:row r="42" ht="24" customHeight="1">
      <x:c r="A42" s="430" t="str">
        <x:v>K60</x:v>
      </x:c>
      <x:c r="B42" s="430" t="str">
        <x:v>Legendⁱᵃᵐ</x:v>
      </x:c>
      <x:c r="C42" s="431" t="n">
        <x:f>COUNTIFS('Specialisations'!$A$6:$A$527,A42,'Specialisations'!$B$6:$B$527,B42)</x:f>
        <x:v>4</x:v>
      </x:c>
      <x:c r="D42" s="431" t="n">
        <x:f>COUNTIFS('Specialisations'!$A$6:$A$527,A42,'Specialisations'!$B$6:$B$527,B42,'Specialisations'!$P$6:$P$527,"OK")</x:f>
        <x:v>4</x:v>
      </x:c>
      <x:c r="E42" s="431" t="n">
        <x:f>COUNTIFS('Specialisations'!$A$6:$A$527,A42,'Specialisations'!$B$6:$B$527,B42,'Specialisations'!$P$6:$P$527,"OK",'Specialisations'!$C$6:$C$527,"&lt;&gt;Guards")</x:f>
        <x:v>3</x:v>
      </x:c>
      <x:c r="F42" s="432" t="n">
        <x:f>IF(C42=0,"",D42/C42)</x:f>
        <x:v>1</x:v>
      </x:c>
      <x:c r="G42" s="495" t="n">
        <x:f>SUMIFS('Specialisations'!$Q$6:$Q$527,'Specialisations'!$A$6:$A$527,A42,'Specialisations'!$B$6:$B$527,B42,'Specialisations'!$C$6:$C$527,"Guards")</x:f>
        <x:v>-27.74</x:v>
      </x:c>
      <x:c r="H42" s="495" t="n">
        <x:f>SUMIFS('Specialisations'!$Q$6:$Q$527,'Specialisations'!$A$6:$A$527,A42,'Specialisations'!$B$6:$B$527,B42,'Specialisations'!$C$6:$C$527,"Archers")</x:f>
        <x:v>27.74</x:v>
      </x:c>
      <x:c r="I42" s="495" t="n">
        <x:f>SUMIFS('Specialisations'!$Q$6:$Q$527,'Specialisations'!$A$6:$A$527,A42,'Specialisations'!$B$6:$B$527,B42,'Specialisations'!$C$6:$C$527,"Cavalry")</x:f>
        <x:v>71.96</x:v>
      </x:c>
      <x:c r="J42" s="495" t="n">
        <x:f>SUMIFS('Specialisations'!$Q$6:$Q$527,'Specialisations'!$A$6:$A$527,A42,'Specialisations'!$B$6:$B$527,B42,'Specialisations'!$C$6:$C$527,"Siege")</x:f>
        <x:v>0</x:v>
      </x:c>
      <x:c r="K42" s="495" t="n">
        <x:f>SUM(H42:J42)</x:f>
        <x:v>99.69999999999999</x:v>
      </x:c>
      <x:c r="L42" s="495" t="n">
        <x:f>SUM(G42,K42)</x:f>
        <x:v>71.96</x:v>
      </x:c>
      <x:c r="M42" s="433" t="n">
        <x:f>SUMIFS('Specialisations'!$N$6:$N$527,'Specialisations'!$A$6:$A$527,A42,'Specialisations'!$B$6:$B$527,B42,'Specialisations'!$C$6:$C$527,"Guards")</x:f>
        <x:v>2244300</x:v>
      </x:c>
      <x:c r="N42" s="433" t="n">
        <x:f>SUMIFS('Specialisations'!$N$6:$N$527,'Specialisations'!$A$6:$A$527,A42,'Specialisations'!$B$6:$B$527,B42,'Specialisations'!$C$6:$C$527,"&lt;&gt;Guards")</x:f>
        <x:v>8732900</x:v>
      </x:c>
      <x:c r="O42" s="433" t="n">
        <x:f>SUM(M42:N42)</x:f>
        <x:v>10977200</x:v>
      </x:c>
      <x:c r="P42" s="434" t="n">
        <x:f>IF(E42=0,"",K42/E42)</x:f>
        <x:v>33.23333333333333</x:v>
      </x:c>
      <x:c r="Q42" s="501" t="n">
        <x:f>IF(E42=0,"",IFERROR(100*(COUNTIFS($E$19:$E$186,"&gt;0",$K$19:$K$186,"&lt;"&amp;K42)+(COUNTIFS($E$19:$E$186,"&gt;0",$K$19:$K$186,K42)-1)/2)/(COUNTIF($E$19:$E$186,"&gt;0")-1),50))</x:f>
        <x:v>53.57142857142857</x:v>
      </x:c>
      <x:c r="R42" s="501" t="n">
        <x:f>IF(E42=0,"",IFERROR(100*(COUNTIFS($E$19:$E$186,"&gt;0",$N$19:$N$186,"&lt;"&amp;N42)+(COUNTIFS($E$19:$E$186,"&gt;0",$N$19:$N$186,N42)-1)/2)/(COUNTIF($E$19:$E$186,"&gt;0")-1),50))</x:f>
        <x:v>32.79220779220779</x:v>
      </x:c>
      <x:c r="S42" s="501" t="n">
        <x:f>IF(E42=0,"",Q42*$R$5+R42*$R$6)</x:f>
        <x:v>49.41558441558442</x:v>
      </x:c>
      <x:c r="T42" s="501" t="n">
        <x:f>IF(M42=0,"",IFERROR(100*(COUNTIFS($M$19:$M$186,"&gt;0",$G$19:$G$186,"&gt;"&amp;G42)+(COUNTIFS($M$19:$M$186,"&gt;0",$G$19:$G$186,G42)-1)/2)/(COUNTIF($M$19:$M$186,"&gt;0")-1),50))</x:f>
        <x:v>29.487179487179485</x:v>
      </x:c>
      <x:c r="U42" s="501" t="n">
        <x:f>IF(M42=0,"",IFERROR(100*(COUNTIFS($M$19:$M$186,"&gt;0",$M$19:$M$186,"&lt;"&amp;M42)+(COUNTIFS($M$19:$M$186,"&gt;0",$M$19:$M$186,M42)-1)/2)/(COUNTIF($M$19:$M$186,"&gt;0")-1),50))</x:f>
        <x:v>29.487179487179485</x:v>
      </x:c>
      <x:c r="V42" s="501" t="n">
        <x:f>IF(M42=0,"",T42*$R$5+U42*$R$6)</x:f>
        <x:v>29.48717948717949</x:v>
      </x:c>
      <x:c r="W42" s="431" t="n">
        <x:f>IF(E42=0,"",COUNTIFS($A$19:$A$186,A42,$S$19:$S$186,"&gt;"&amp;S42)+COUNTIFS($A$19:A42,A42,$E$19:E42,"&gt;0",$S$19:S42,S42))</x:f>
        <x:v>21</x:v>
      </x:c>
      <x:c r="X42" s="431" t="n">
        <x:f>IF(S42="","",1+COUNTIF($S$19:$S$186,"&gt;"&amp;S42))</x:f>
        <x:v>79</x:v>
      </x:c>
      <x:c r="Y42" s="431" t="n">
        <x:f>IF(V42="","",1+COUNTIFS($A$19:$A$186,A42,$V$19:$V$186,"&gt;"&amp;V42))</x:f>
        <x:v>3</x:v>
      </x:c>
      <x:c r="Z42" s="431" t="n">
        <x:f>IF(V42="","",1+COUNTIF($V$19:$V$186,"&gt;"&amp;V42))</x:f>
        <x:v>70</x:v>
      </x:c>
      <x:c r="AA42" s="430" t="str">
        <x:f>IF(C42=0,"No specialisations recorded",IF(D42&lt;C42,"Review missing level","Recorded skills only"))</x:f>
        <x:v>Recorded skills only</x:v>
      </x:c>
      <x:c r="AB42" s="601" t="n">
        <x:f>IF(OR(AP42&lt;&gt;"Yes",E42=0),"",IFERROR(100*(COUNTIFS($AP$19:$AP$186,"Yes",$E$19:$E$186,"&gt;0",$I$19:$I$186,"&lt;"&amp;I42)+(COUNTIFS($AP$19:$AP$186,"Yes",$E$19:$E$186,"&gt;0",$I$19:$I$186,I42)-1)/2)/(COUNTIFS($AP$19:$AP$186,"Yes",$E$19:$E$186,"&gt;0")-1),50))</x:f>
        <x:v>56.81818181818182</x:v>
      </x:c>
      <x:c r="AC42" s="601" t="n">
        <x:f>IF(AB42="","",AB42*'Specialisation Rankings'!$O$16+R42*'Specialisation Rankings'!$O$17)</x:f>
        <x:v>52.01298701298702</x:v>
      </x:c>
      <x:c r="AD42" s="601" t="n">
        <x:f>IF(AC42="","",COUNTIFS($A$19:$A$186,A42,$AP$19:$AP$186,"Yes",$E$19:$E$186,"&gt;0",$AC$19:$AC$186,"&gt;"&amp;AC42)+COUNTIFS($A$19:A42,A42,$AP$19:AP42,"Yes",$E$19:E42,"&gt;0",$AC$19:AC42,AC42))</x:f>
        <x:v>22</x:v>
      </x:c>
      <x:c r="AE42" s="601" t="n">
        <x:f>IF(OR(AP42&lt;&gt;"Yes",E42=0),"",IFERROR(100*(COUNTIFS($AP$19:$AP$186,"Yes",$E$19:$E$186,"&gt;0",$H$19:$H$186,"&lt;"&amp;H42)+(COUNTIFS($AP$19:$AP$186,"Yes",$E$19:$E$186,"&gt;0",$H$19:$H$186,H42)-1)/2)/(COUNTIFS($AP$19:$AP$186,"Yes",$E$19:$E$186,"&gt;0")-1),50))</x:f>
        <x:v>42.20779220779221</x:v>
      </x:c>
      <x:c r="AF42" s="601" t="n">
        <x:f>IF(AE42="","",AE42*'Specialisation Rankings'!$O$16+R42*'Specialisation Rankings'!$O$17)</x:f>
        <x:v>40.324675324675326</x:v>
      </x:c>
      <x:c r="AG42" s="601" t="n">
        <x:f>IF(AF42="","",COUNTIFS($A$19:$A$186,A42,$AP$19:$AP$186,"Yes",$E$19:$E$186,"&gt;0",$AF$19:$AF$186,"&gt;"&amp;AF42)+COUNTIFS($A$19:A42,A42,$AP$19:AP42,"Yes",$E$19:E42,"&gt;0",$AF$19:AF42,AF42))</x:f>
        <x:v>24</x:v>
      </x:c>
      <x:c r="AH42" s="601" t="n">
        <x:f>IF(OR(AP42&lt;&gt;"Yes",E42=0),"",IFERROR(100*(COUNTIFS($AP$19:$AP$186,"Yes",$E$19:$E$186,"&gt;0",$J$19:$J$186,"&lt;"&amp;J42)+(COUNTIFS($AP$19:$AP$186,"Yes",$E$19:$E$186,"&gt;0",$J$19:$J$186,J42)-1)/2)/(COUNTIFS($AP$19:$AP$186,"Yes",$E$19:$E$186,"&gt;0")-1),50))</x:f>
        <x:v>33.116883116883116</x:v>
      </x:c>
      <x:c r="AI42" s="601" t="n">
        <x:f>IF(AH42="","",AH42*'Specialisation Rankings'!$O$16+R42*'Specialisation Rankings'!$O$17)</x:f>
        <x:v>33.05194805194805</x:v>
      </x:c>
      <x:c r="AJ42" s="601" t="n">
        <x:f>IF(AI42="","",COUNTIFS($A$19:$A$186,A42,$AP$19:$AP$186,"Yes",$E$19:$E$186,"&gt;0",$AI$19:$AI$186,"&gt;"&amp;AI42)+COUNTIFS($A$19:A42,A42,$AP$19:AP42,"Yes",$E$19:E42,"&gt;0",$AI$19:AI42,AI42))</x:f>
        <x:v>22</x:v>
      </x:c>
      <x:c r="AK42" s="601" t="n">
        <x:f>IF(OR(AP42&lt;&gt;"Yes",E42=0),"",IF(M42=0,'Specialisation Rankings'!$O$23,V42))</x:f>
        <x:v>29.48717948717949</x:v>
      </x:c>
      <x:c r="AL42" s="601" t="n">
        <x:f>IF(AK42="","",COUNTIFS($A$19:$A$186,A42,$AP$19:$AP$186,"Yes",$E$19:$E$186,"&gt;0",$AK$19:$AK$186,"&gt;"&amp;AK42)+COUNTIFS($A$19:A42,A42,$AP$19:AP42,"Yes",$E$19:E42,"&gt;0",$AK$19:AK42,AK42))</x:f>
        <x:v>25</x:v>
      </x:c>
      <x:c r="AM42" s="601" t="n">
        <x:f>IF(AC42="","",AC42*'Specialisation Rankings'!$O$18+AF42*'Specialisation Rankings'!$O$19+AI42*'Specialisation Rankings'!$O$20+AK42*'Specialisation Rankings'!$O$21)</x:f>
        <x:v>45.74741924741926</x:v>
      </x:c>
      <x:c r="AN42" s="601" t="n">
        <x:f>IF(AM42="","",COUNTIFS($A$19:$A$186,A42,$AP$19:$AP$186,"Yes",$E$19:$E$186,"&gt;0",$AM$19:$AM$186,"&gt;"&amp;AM42)+COUNTIFS($A$19:A42,A42,$AP$19:AP42,"Yes",$E$19:E42,"&gt;0",$AM$19:AM42,AM42))</x:f>
        <x:v>22</x:v>
      </x:c>
      <x:c r="AO42" s="601" t="n">
        <x:f>IF(AM42="","",COUNTIFS($AP$19:$AP$186,"Yes",$E$19:$E$186,"&gt;0",$AM$19:$AM$186,"&gt;"&amp;AM42)+COUNTIFS($AP$19:AP42,"Yes",$E$19:E42,"&gt;0",$AM$19:AM42,AM42))</x:f>
        <x:v>85</x:v>
      </x:c>
      <x:c r="AP42" s="602" t="str">
        <x:f>IF(COUNTIFS('Player Scenario Model'!$A$6:$A$172,A42,'Player Scenario Model'!$B$6:$B$172,B42)&gt;0,"Yes","No")</x:f>
        <x:v>Yes</x:v>
      </x:c>
    </x:row>
    <x:row r="43" ht="24" customHeight="1">
      <x:c r="A43" s="430" t="str">
        <x:v>K60</x:v>
      </x:c>
      <x:c r="B43" s="430" t="str">
        <x:v>°Silent°</x:v>
      </x:c>
      <x:c r="C43" s="431" t="n">
        <x:f>COUNTIFS('Specialisations'!$A$6:$A$527,A43,'Specialisations'!$B$6:$B$527,B43)</x:f>
        <x:v>5</x:v>
      </x:c>
      <x:c r="D43" s="431" t="n">
        <x:f>COUNTIFS('Specialisations'!$A$6:$A$527,A43,'Specialisations'!$B$6:$B$527,B43,'Specialisations'!$P$6:$P$527,"OK")</x:f>
        <x:v>5</x:v>
      </x:c>
      <x:c r="E43" s="431" t="n">
        <x:f>COUNTIFS('Specialisations'!$A$6:$A$527,A43,'Specialisations'!$B$6:$B$527,B43,'Specialisations'!$P$6:$P$527,"OK",'Specialisations'!$C$6:$C$527,"&lt;&gt;Guards")</x:f>
        <x:v>5</x:v>
      </x:c>
      <x:c r="F43" s="432" t="n">
        <x:f>IF(C43=0,"",D43/C43)</x:f>
        <x:v>1</x:v>
      </x:c>
      <x:c r="G43" s="495" t="n">
        <x:f>SUMIFS('Specialisations'!$Q$6:$Q$527,'Specialisations'!$A$6:$A$527,A43,'Specialisations'!$B$6:$B$527,B43,'Specialisations'!$C$6:$C$527,"Guards")</x:f>
        <x:v>0</x:v>
      </x:c>
      <x:c r="H43" s="495" t="n">
        <x:f>SUMIFS('Specialisations'!$Q$6:$Q$527,'Specialisations'!$A$6:$A$527,A43,'Specialisations'!$B$6:$B$527,B43,'Specialisations'!$C$6:$C$527,"Archers")</x:f>
        <x:v>27.74</x:v>
      </x:c>
      <x:c r="I43" s="495" t="n">
        <x:f>SUMIFS('Specialisations'!$Q$6:$Q$527,'Specialisations'!$A$6:$A$527,A43,'Specialisations'!$B$6:$B$527,B43,'Specialisations'!$C$6:$C$527,"Cavalry")</x:f>
        <x:v>83.96</x:v>
      </x:c>
      <x:c r="J43" s="495" t="n">
        <x:f>SUMIFS('Specialisations'!$Q$6:$Q$527,'Specialisations'!$A$6:$A$527,A43,'Specialisations'!$B$6:$B$527,B43,'Specialisations'!$C$6:$C$527,"Siege")</x:f>
        <x:v>87.74</x:v>
      </x:c>
      <x:c r="K43" s="495" t="n">
        <x:f>SUM(H43:J43)</x:f>
        <x:v>199.44</x:v>
      </x:c>
      <x:c r="L43" s="495" t="n">
        <x:f>SUM(G43,K43)</x:f>
        <x:v>199.44</x:v>
      </x:c>
      <x:c r="M43" s="433" t="n">
        <x:f>SUMIFS('Specialisations'!$N$6:$N$527,'Specialisations'!$A$6:$A$527,A43,'Specialisations'!$B$6:$B$527,B43,'Specialisations'!$C$6:$C$527,"Guards")</x:f>
        <x:v>0</x:v>
      </x:c>
      <x:c r="N43" s="433" t="n">
        <x:f>SUMIFS('Specialisations'!$N$6:$N$527,'Specialisations'!$A$6:$A$527,A43,'Specialisations'!$B$6:$B$527,B43,'Specialisations'!$C$6:$C$527,"&lt;&gt;Guards")</x:f>
        <x:v>23391500</x:v>
      </x:c>
      <x:c r="O43" s="433" t="n">
        <x:f>SUM(M43:N43)</x:f>
        <x:v>23391500</x:v>
      </x:c>
      <x:c r="P43" s="434" t="n">
        <x:f>IF(E43=0,"",K43/E43)</x:f>
        <x:v>39.888</x:v>
      </x:c>
      <x:c r="Q43" s="501" t="n">
        <x:f>IF(E43=0,"",IFERROR(100*(COUNTIFS($E$19:$E$186,"&gt;0",$K$19:$K$186,"&lt;"&amp;K43)+(COUNTIFS($E$19:$E$186,"&gt;0",$K$19:$K$186,K43)-1)/2)/(COUNTIF($E$19:$E$186,"&gt;0")-1),50))</x:f>
        <x:v>96.1038961038961</x:v>
      </x:c>
      <x:c r="R43" s="501" t="n">
        <x:f>IF(E43=0,"",IFERROR(100*(COUNTIFS($E$19:$E$186,"&gt;0",$N$19:$N$186,"&lt;"&amp;N43)+(COUNTIFS($E$19:$E$186,"&gt;0",$N$19:$N$186,N43)-1)/2)/(COUNTIF($E$19:$E$186,"&gt;0")-1),50))</x:f>
        <x:v>94.15584415584415</x:v>
      </x:c>
      <x:c r="S43" s="501" t="n">
        <x:f>IF(E43=0,"",Q43*$R$5+R43*$R$6)</x:f>
        <x:v>95.71428571428571</x:v>
      </x:c>
      <x:c r="T43" s="501" t="str">
        <x:f>IF(M43=0,"",IFERROR(100*(COUNTIFS($M$19:$M$186,"&gt;0",$G$19:$G$186,"&gt;"&amp;G43)+(COUNTIFS($M$19:$M$186,"&gt;0",$G$19:$G$186,G43)-1)/2)/(COUNTIF($M$19:$M$186,"&gt;0")-1),50))</x:f>
      </x:c>
      <x:c r="U43" s="501" t="str">
        <x:f>IF(M43=0,"",IFERROR(100*(COUNTIFS($M$19:$M$186,"&gt;0",$M$19:$M$186,"&lt;"&amp;M43)+(COUNTIFS($M$19:$M$186,"&gt;0",$M$19:$M$186,M43)-1)/2)/(COUNTIF($M$19:$M$186,"&gt;0")-1),50))</x:f>
      </x:c>
      <x:c r="V43" s="501" t="str">
        <x:f>IF(M43=0,"",T43*$R$5+U43*$R$6)</x:f>
      </x:c>
      <x:c r="W43" s="431" t="n">
        <x:f>IF(E43=0,"",COUNTIFS($A$19:$A$186,A43,$S$19:$S$186,"&gt;"&amp;S43)+COUNTIFS($A$19:A43,A43,$E$19:E43,"&gt;0",$S$19:S43,S43))</x:f>
        <x:v>2</x:v>
      </x:c>
      <x:c r="X43" s="431" t="n">
        <x:f>IF(S43="","",1+COUNTIF($S$19:$S$186,"&gt;"&amp;S43))</x:f>
        <x:v>7</x:v>
      </x:c>
      <x:c r="Y43" s="431" t="str">
        <x:f>IF(V43="","",1+COUNTIFS($A$19:$A$186,A43,$V$19:$V$186,"&gt;"&amp;V43))</x:f>
      </x:c>
      <x:c r="Z43" s="431" t="str">
        <x:f>IF(V43="","",1+COUNTIF($V$19:$V$186,"&gt;"&amp;V43))</x:f>
      </x:c>
      <x:c r="AA43" s="430" t="str">
        <x:f>IF(C43=0,"No specialisations recorded",IF(D43&lt;C43,"Review missing level","Recorded skills only"))</x:f>
        <x:v>Recorded skills only</x:v>
      </x:c>
      <x:c r="AB43" s="601" t="n">
        <x:f>IF(OR(AP43&lt;&gt;"Yes",E43=0),"",IFERROR(100*(COUNTIFS($AP$19:$AP$186,"Yes",$E$19:$E$186,"&gt;0",$I$19:$I$186,"&lt;"&amp;I43)+(COUNTIFS($AP$19:$AP$186,"Yes",$E$19:$E$186,"&gt;0",$I$19:$I$186,I43)-1)/2)/(COUNTIFS($AP$19:$AP$186,"Yes",$E$19:$E$186,"&gt;0")-1),50))</x:f>
        <x:v>70.12987012987013</x:v>
      </x:c>
      <x:c r="AC43" s="601" t="n">
        <x:f>IF(AB43="","",AB43*'Specialisation Rankings'!$O$16+R43*'Specialisation Rankings'!$O$17)</x:f>
        <x:v>74.93506493506493</x:v>
      </x:c>
      <x:c r="AD43" s="601" t="n">
        <x:f>IF(AC43="","",COUNTIFS($A$19:$A$186,A43,$AP$19:$AP$186,"Yes",$E$19:$E$186,"&gt;0",$AC$19:$AC$186,"&gt;"&amp;AC43)+COUNTIFS($A$19:A43,A43,$AP$19:AP43,"Yes",$E$19:E43,"&gt;0",$AC$19:AC43,AC43))</x:f>
        <x:v>8</x:v>
      </x:c>
      <x:c r="AE43" s="601" t="n">
        <x:f>IF(OR(AP43&lt;&gt;"Yes",E43=0),"",IFERROR(100*(COUNTIFS($AP$19:$AP$186,"Yes",$E$19:$E$186,"&gt;0",$H$19:$H$186,"&lt;"&amp;H43)+(COUNTIFS($AP$19:$AP$186,"Yes",$E$19:$E$186,"&gt;0",$H$19:$H$186,H43)-1)/2)/(COUNTIFS($AP$19:$AP$186,"Yes",$E$19:$E$186,"&gt;0")-1),50))</x:f>
        <x:v>42.20779220779221</x:v>
      </x:c>
      <x:c r="AF43" s="601" t="n">
        <x:f>IF(AE43="","",AE43*'Specialisation Rankings'!$O$16+R43*'Specialisation Rankings'!$O$17)</x:f>
        <x:v>52.5974025974026</x:v>
      </x:c>
      <x:c r="AG43" s="601" t="n">
        <x:f>IF(AF43="","",COUNTIFS($A$19:$A$186,A43,$AP$19:$AP$186,"Yes",$E$19:$E$186,"&gt;0",$AF$19:$AF$186,"&gt;"&amp;AF43)+COUNTIFS($A$19:A43,A43,$AP$19:AP43,"Yes",$E$19:E43,"&gt;0",$AF$19:AF43,AF43))</x:f>
        <x:v>8</x:v>
      </x:c>
      <x:c r="AH43" s="601" t="n">
        <x:f>IF(OR(AP43&lt;&gt;"Yes",E43=0),"",IFERROR(100*(COUNTIFS($AP$19:$AP$186,"Yes",$E$19:$E$186,"&gt;0",$J$19:$J$186,"&lt;"&amp;J43)+(COUNTIFS($AP$19:$AP$186,"Yes",$E$19:$E$186,"&gt;0",$J$19:$J$186,J43)-1)/2)/(COUNTIFS($AP$19:$AP$186,"Yes",$E$19:$E$186,"&gt;0")-1),50))</x:f>
        <x:v>99.67532467532467</x:v>
      </x:c>
      <x:c r="AI43" s="601" t="n">
        <x:f>IF(AH43="","",AH43*'Specialisation Rankings'!$O$16+R43*'Specialisation Rankings'!$O$17)</x:f>
        <x:v>98.57142857142858</x:v>
      </x:c>
      <x:c r="AJ43" s="601" t="n">
        <x:f>IF(AI43="","",COUNTIFS($A$19:$A$186,A43,$AP$19:$AP$186,"Yes",$E$19:$E$186,"&gt;0",$AI$19:$AI$186,"&gt;"&amp;AI43)+COUNTIFS($A$19:A43,A43,$AP$19:AP43,"Yes",$E$19:E43,"&gt;0",$AI$19:AI43,AI43))</x:f>
        <x:v>2</x:v>
      </x:c>
      <x:c r="AK43" s="601" t="n">
        <x:f>IF(OR(AP43&lt;&gt;"Yes",E43=0),"",IF(M43=0,'Specialisation Rankings'!$O$23,V43))</x:f>
        <x:v>50</x:v>
      </x:c>
      <x:c r="AL43" s="601" t="n">
        <x:f>IF(AK43="","",COUNTIFS($A$19:$A$186,A43,$AP$19:$AP$186,"Yes",$E$19:$E$186,"&gt;0",$AK$19:$AK$186,"&gt;"&amp;AK43)+COUNTIFS($A$19:A43,A43,$AP$19:AP43,"Yes",$E$19:E43,"&gt;0",$AK$19:AK43,AK43))</x:f>
        <x:v>6</x:v>
      </x:c>
      <x:c r="AM43" s="601" t="n">
        <x:f>IF(AC43="","",AC43*'Specialisation Rankings'!$O$18+AF43*'Specialisation Rankings'!$O$19+AI43*'Specialisation Rankings'!$O$20+AK43*'Specialisation Rankings'!$O$21)</x:f>
        <x:v>73.75324675324676</x:v>
      </x:c>
      <x:c r="AN43" s="601" t="n">
        <x:f>IF(AM43="","",COUNTIFS($A$19:$A$186,A43,$AP$19:$AP$186,"Yes",$E$19:$E$186,"&gt;0",$AM$19:$AM$186,"&gt;"&amp;AM43)+COUNTIFS($A$19:A43,A43,$AP$19:AP43,"Yes",$E$19:E43,"&gt;0",$AM$19:AM43,AM43))</x:f>
        <x:v>4</x:v>
      </x:c>
      <x:c r="AO43" s="601" t="n">
        <x:f>IF(AM43="","",COUNTIFS($AP$19:$AP$186,"Yes",$E$19:$E$186,"&gt;0",$AM$19:$AM$186,"&gt;"&amp;AM43)+COUNTIFS($AP$19:AP43,"Yes",$E$19:E43,"&gt;0",$AM$19:AM43,AM43))</x:f>
        <x:v>25</x:v>
      </x:c>
      <x:c r="AP43" s="602" t="str">
        <x:f>IF(COUNTIFS('Player Scenario Model'!$A$6:$A$172,A43,'Player Scenario Model'!$B$6:$B$172,B43)&gt;0,"Yes","No")</x:f>
        <x:v>Yes</x:v>
      </x:c>
    </x:row>
    <x:row r="44" ht="24" customHeight="1">
      <x:c r="A44" s="430" t="str">
        <x:v>K91</x:v>
      </x:c>
      <x:c r="B44" s="430" t="str">
        <x:v>•Pain•</x:v>
      </x:c>
      <x:c r="C44" s="431" t="n">
        <x:f>COUNTIFS('Specialisations'!$A$6:$A$527,A44,'Specialisations'!$B$6:$B$527,B44)</x:f>
        <x:v>5</x:v>
      </x:c>
      <x:c r="D44" s="431" t="n">
        <x:f>COUNTIFS('Specialisations'!$A$6:$A$527,A44,'Specialisations'!$B$6:$B$527,B44,'Specialisations'!$P$6:$P$527,"OK")</x:f>
        <x:v>5</x:v>
      </x:c>
      <x:c r="E44" s="431" t="n">
        <x:f>COUNTIFS('Specialisations'!$A$6:$A$527,A44,'Specialisations'!$B$6:$B$527,B44,'Specialisations'!$P$6:$P$527,"OK",'Specialisations'!$C$6:$C$527,"&lt;&gt;Guards")</x:f>
        <x:v>5</x:v>
      </x:c>
      <x:c r="F44" s="432" t="n">
        <x:f>IF(C44=0,"",D44/C44)</x:f>
        <x:v>1</x:v>
      </x:c>
      <x:c r="G44" s="495" t="n">
        <x:f>SUMIFS('Specialisations'!$Q$6:$Q$527,'Specialisations'!$A$6:$A$527,A44,'Specialisations'!$B$6:$B$527,B44,'Specialisations'!$C$6:$C$527,"Guards")</x:f>
        <x:v>0</x:v>
      </x:c>
      <x:c r="H44" s="495" t="n">
        <x:f>SUMIFS('Specialisations'!$Q$6:$Q$527,'Specialisations'!$A$6:$A$527,A44,'Specialisations'!$B$6:$B$527,B44,'Specialisations'!$C$6:$C$527,"Archers")</x:f>
        <x:v>41.98</x:v>
      </x:c>
      <x:c r="I44" s="495" t="n">
        <x:f>SUMIFS('Specialisations'!$Q$6:$Q$527,'Specialisations'!$A$6:$A$527,A44,'Specialisations'!$B$6:$B$527,B44,'Specialisations'!$C$6:$C$527,"Cavalry")</x:f>
        <x:v>108.38</x:v>
      </x:c>
      <x:c r="J44" s="495" t="n">
        <x:f>SUMIFS('Specialisations'!$Q$6:$Q$527,'Specialisations'!$A$6:$A$527,A44,'Specialisations'!$B$6:$B$527,B44,'Specialisations'!$C$6:$C$527,"Siege")</x:f>
        <x:v>46.8</x:v>
      </x:c>
      <x:c r="K44" s="495" t="n">
        <x:f>SUM(H44:J44)</x:f>
        <x:v>197.15999999999997</x:v>
      </x:c>
      <x:c r="L44" s="495" t="n">
        <x:f>SUM(G44,K44)</x:f>
        <x:v>197.15999999999997</x:v>
      </x:c>
      <x:c r="M44" s="433" t="n">
        <x:f>SUMIFS('Specialisations'!$N$6:$N$527,'Specialisations'!$A$6:$A$527,A44,'Specialisations'!$B$6:$B$527,B44,'Specialisations'!$C$6:$C$527,"Guards")</x:f>
        <x:v>0</x:v>
      </x:c>
      <x:c r="N44" s="433" t="n">
        <x:f>SUMIFS('Specialisations'!$N$6:$N$527,'Specialisations'!$A$6:$A$527,A44,'Specialisations'!$B$6:$B$527,B44,'Specialisations'!$C$6:$C$527,"&lt;&gt;Guards")</x:f>
        <x:v>24521500</x:v>
      </x:c>
      <x:c r="O44" s="433" t="n">
        <x:f>SUM(M44:N44)</x:f>
        <x:v>24521500</x:v>
      </x:c>
      <x:c r="P44" s="434" t="n">
        <x:f>IF(E44=0,"",K44/E44)</x:f>
        <x:v>39.431999999999995</x:v>
      </x:c>
      <x:c r="Q44" s="501" t="n">
        <x:f>IF(E44=0,"",IFERROR(100*(COUNTIFS($E$19:$E$186,"&gt;0",$K$19:$K$186,"&lt;"&amp;K44)+(COUNTIFS($E$19:$E$186,"&gt;0",$K$19:$K$186,K44)-1)/2)/(COUNTIF($E$19:$E$186,"&gt;0")-1),50))</x:f>
        <x:v>95.45454545454545</x:v>
      </x:c>
      <x:c r="R44" s="501" t="n">
        <x:f>IF(E44=0,"",IFERROR(100*(COUNTIFS($E$19:$E$186,"&gt;0",$N$19:$N$186,"&lt;"&amp;N44)+(COUNTIFS($E$19:$E$186,"&gt;0",$N$19:$N$186,N44)-1)/2)/(COUNTIF($E$19:$E$186,"&gt;0")-1),50))</x:f>
        <x:v>94.8051948051948</x:v>
      </x:c>
      <x:c r="S44" s="501" t="n">
        <x:f>IF(E44=0,"",Q44*$R$5+R44*$R$6)</x:f>
        <x:v>95.32467532467531</x:v>
      </x:c>
      <x:c r="T44" s="501" t="str">
        <x:f>IF(M44=0,"",IFERROR(100*(COUNTIFS($M$19:$M$186,"&gt;0",$G$19:$G$186,"&gt;"&amp;G44)+(COUNTIFS($M$19:$M$186,"&gt;0",$G$19:$G$186,G44)-1)/2)/(COUNTIF($M$19:$M$186,"&gt;0")-1),50))</x:f>
      </x:c>
      <x:c r="U44" s="501" t="str">
        <x:f>IF(M44=0,"",IFERROR(100*(COUNTIFS($M$19:$M$186,"&gt;0",$M$19:$M$186,"&lt;"&amp;M44)+(COUNTIFS($M$19:$M$186,"&gt;0",$M$19:$M$186,M44)-1)/2)/(COUNTIF($M$19:$M$186,"&gt;0")-1),50))</x:f>
      </x:c>
      <x:c r="V44" s="501" t="str">
        <x:f>IF(M44=0,"",T44*$R$5+U44*$R$6)</x:f>
      </x:c>
      <x:c r="W44" s="431" t="n">
        <x:f>IF(E44=0,"",COUNTIFS($A$19:$A$186,A44,$S$19:$S$186,"&gt;"&amp;S44)+COUNTIFS($A$19:A44,A44,$E$19:E44,"&gt;0",$S$19:S44,S44))</x:f>
        <x:v>1</x:v>
      </x:c>
      <x:c r="X44" s="431" t="n">
        <x:f>IF(S44="","",1+COUNTIF($S$19:$S$186,"&gt;"&amp;S44))</x:f>
        <x:v>8</x:v>
      </x:c>
      <x:c r="Y44" s="431" t="str">
        <x:f>IF(V44="","",1+COUNTIFS($A$19:$A$186,A44,$V$19:$V$186,"&gt;"&amp;V44))</x:f>
      </x:c>
      <x:c r="Z44" s="431" t="str">
        <x:f>IF(V44="","",1+COUNTIF($V$19:$V$186,"&gt;"&amp;V44))</x:f>
      </x:c>
      <x:c r="AA44" s="430" t="str">
        <x:f>IF(C44=0,"No specialisations recorded",IF(D44&lt;C44,"Review missing level","Recorded skills only"))</x:f>
        <x:v>Recorded skills only</x:v>
      </x:c>
      <x:c r="AB44" s="601" t="n">
        <x:f>IF(OR(AP44&lt;&gt;"Yes",E44=0),"",IFERROR(100*(COUNTIFS($AP$19:$AP$186,"Yes",$E$19:$E$186,"&gt;0",$I$19:$I$186,"&lt;"&amp;I44)+(COUNTIFS($AP$19:$AP$186,"Yes",$E$19:$E$186,"&gt;0",$I$19:$I$186,I44)-1)/2)/(COUNTIFS($AP$19:$AP$186,"Yes",$E$19:$E$186,"&gt;0")-1),50))</x:f>
        <x:v>95.12987012987013</x:v>
      </x:c>
      <x:c r="AC44" s="601" t="n">
        <x:f>IF(AB44="","",AB44*'Specialisation Rankings'!$O$16+R44*'Specialisation Rankings'!$O$17)</x:f>
        <x:v>95.06493506493507</x:v>
      </x:c>
      <x:c r="AD44" s="601" t="n">
        <x:f>IF(AC44="","",COUNTIFS($A$19:$A$186,A44,$AP$19:$AP$186,"Yes",$E$19:$E$186,"&gt;0",$AC$19:$AC$186,"&gt;"&amp;AC44)+COUNTIFS($A$19:A44,A44,$AP$19:AP44,"Yes",$E$19:E44,"&gt;0",$AC$19:AC44,AC44))</x:f>
        <x:v>1</x:v>
      </x:c>
      <x:c r="AE44" s="601" t="n">
        <x:f>IF(OR(AP44&lt;&gt;"Yes",E44=0),"",IFERROR(100*(COUNTIFS($AP$19:$AP$186,"Yes",$E$19:$E$186,"&gt;0",$H$19:$H$186,"&lt;"&amp;H44)+(COUNTIFS($AP$19:$AP$186,"Yes",$E$19:$E$186,"&gt;0",$H$19:$H$186,H44)-1)/2)/(COUNTIFS($AP$19:$AP$186,"Yes",$E$19:$E$186,"&gt;0")-1),50))</x:f>
        <x:v>68.50649350649351</x:v>
      </x:c>
      <x:c r="AF44" s="601" t="n">
        <x:f>IF(AE44="","",AE44*'Specialisation Rankings'!$O$16+R44*'Specialisation Rankings'!$O$17)</x:f>
        <x:v>73.76623376623378</x:v>
      </x:c>
      <x:c r="AG44" s="601" t="n">
        <x:f>IF(AF44="","",COUNTIFS($A$19:$A$186,A44,$AP$19:$AP$186,"Yes",$E$19:$E$186,"&gt;0",$AF$19:$AF$186,"&gt;"&amp;AF44)+COUNTIFS($A$19:A44,A44,$AP$19:AP44,"Yes",$E$19:E44,"&gt;0",$AF$19:AF44,AF44))</x:f>
        <x:v>10</x:v>
      </x:c>
      <x:c r="AH44" s="601" t="n">
        <x:f>IF(OR(AP44&lt;&gt;"Yes",E44=0),"",IFERROR(100*(COUNTIFS($AP$19:$AP$186,"Yes",$E$19:$E$186,"&gt;0",$J$19:$J$186,"&lt;"&amp;J44)+(COUNTIFS($AP$19:$AP$186,"Yes",$E$19:$E$186,"&gt;0",$J$19:$J$186,J44)-1)/2)/(COUNTIFS($AP$19:$AP$186,"Yes",$E$19:$E$186,"&gt;0")-1),50))</x:f>
        <x:v>94.15584415584415</x:v>
      </x:c>
      <x:c r="AI44" s="601" t="n">
        <x:f>IF(AH44="","",AH44*'Specialisation Rankings'!$O$16+R44*'Specialisation Rankings'!$O$17)</x:f>
        <x:v>94.28571428571429</x:v>
      </x:c>
      <x:c r="AJ44" s="601" t="n">
        <x:f>IF(AI44="","",COUNTIFS($A$19:$A$186,A44,$AP$19:$AP$186,"Yes",$E$19:$E$186,"&gt;0",$AI$19:$AI$186,"&gt;"&amp;AI44)+COUNTIFS($A$19:A44,A44,$AP$19:AP44,"Yes",$E$19:E44,"&gt;0",$AI$19:AI44,AI44))</x:f>
        <x:v>1</x:v>
      </x:c>
      <x:c r="AK44" s="601" t="n">
        <x:f>IF(OR(AP44&lt;&gt;"Yes",E44=0),"",IF(M44=0,'Specialisation Rankings'!$O$23,V44))</x:f>
        <x:v>50</x:v>
      </x:c>
      <x:c r="AL44" s="601" t="n">
        <x:f>IF(AK44="","",COUNTIFS($A$19:$A$186,A44,$AP$19:$AP$186,"Yes",$E$19:$E$186,"&gt;0",$AK$19:$AK$186,"&gt;"&amp;AK44)+COUNTIFS($A$19:A44,A44,$AP$19:AP44,"Yes",$E$19:E44,"&gt;0",$AK$19:AK44,AK44))</x:f>
        <x:v>1</x:v>
      </x:c>
      <x:c r="AM44" s="601" t="n">
        <x:f>IF(AC44="","",AC44*'Specialisation Rankings'!$O$18+AF44*'Specialisation Rankings'!$O$19+AI44*'Specialisation Rankings'!$O$20+AK44*'Specialisation Rankings'!$O$21)</x:f>
        <x:v>88.31168831168831</x:v>
      </x:c>
      <x:c r="AN44" s="601" t="n">
        <x:f>IF(AM44="","",COUNTIFS($A$19:$A$186,A44,$AP$19:$AP$186,"Yes",$E$19:$E$186,"&gt;0",$AM$19:$AM$186,"&gt;"&amp;AM44)+COUNTIFS($A$19:A44,A44,$AP$19:AP44,"Yes",$E$19:E44,"&gt;0",$AM$19:AM44,AM44))</x:f>
        <x:v>1</x:v>
      </x:c>
      <x:c r="AO44" s="601" t="n">
        <x:f>IF(AM44="","",COUNTIFS($AP$19:$AP$186,"Yes",$E$19:$E$186,"&gt;0",$AM$19:$AM$186,"&gt;"&amp;AM44)+COUNTIFS($AP$19:AP44,"Yes",$E$19:E44,"&gt;0",$AM$19:AM44,AM44))</x:f>
        <x:v>7</x:v>
      </x:c>
      <x:c r="AP44" s="602" t="str">
        <x:f>IF(COUNTIFS('Player Scenario Model'!$A$6:$A$172,A44,'Player Scenario Model'!$B$6:$B$172,B44)&gt;0,"Yes","No")</x:f>
        <x:v>Yes</x:v>
      </x:c>
    </x:row>
    <x:row r="45" ht="24" customHeight="1">
      <x:c r="A45" s="430" t="str">
        <x:v>K91</x:v>
      </x:c>
      <x:c r="B45" s="430" t="str">
        <x:v>Trinità</x:v>
      </x:c>
      <x:c r="C45" s="431" t="n">
        <x:f>COUNTIFS('Specialisations'!$A$6:$A$527,A45,'Specialisations'!$B$6:$B$527,B45)</x:f>
        <x:v>3</x:v>
      </x:c>
      <x:c r="D45" s="431" t="n">
        <x:f>COUNTIFS('Specialisations'!$A$6:$A$527,A45,'Specialisations'!$B$6:$B$527,B45,'Specialisations'!$P$6:$P$527,"OK")</x:f>
        <x:v>3</x:v>
      </x:c>
      <x:c r="E45" s="431" t="n">
        <x:f>COUNTIFS('Specialisations'!$A$6:$A$527,A45,'Specialisations'!$B$6:$B$527,B45,'Specialisations'!$P$6:$P$527,"OK",'Specialisations'!$C$6:$C$527,"&lt;&gt;Guards")</x:f>
        <x:v>2</x:v>
      </x:c>
      <x:c r="F45" s="432" t="n">
        <x:f>IF(C45=0,"",D45/C45)</x:f>
        <x:v>1</x:v>
      </x:c>
      <x:c r="G45" s="495" t="n">
        <x:f>SUMIFS('Specialisations'!$Q$6:$Q$527,'Specialisations'!$A$6:$A$527,A45,'Specialisations'!$B$6:$B$527,B45,'Specialisations'!$C$6:$C$527,"Guards")</x:f>
        <x:v>-13.41</x:v>
      </x:c>
      <x:c r="H45" s="495" t="n">
        <x:f>SUMIFS('Specialisations'!$Q$6:$Q$527,'Specialisations'!$A$6:$A$527,A45,'Specialisations'!$B$6:$B$527,B45,'Specialisations'!$C$6:$C$527,"Archers")</x:f>
        <x:v>0</x:v>
      </x:c>
      <x:c r="I45" s="495" t="n">
        <x:f>SUMIFS('Specialisations'!$Q$6:$Q$527,'Specialisations'!$A$6:$A$527,A45,'Specialisations'!$B$6:$B$527,B45,'Specialisations'!$C$6:$C$527,"Cavalry")</x:f>
        <x:v>63.93</x:v>
      </x:c>
      <x:c r="J45" s="495" t="n">
        <x:f>SUMIFS('Specialisations'!$Q$6:$Q$527,'Specialisations'!$A$6:$A$527,A45,'Specialisations'!$B$6:$B$527,B45,'Specialisations'!$C$6:$C$527,"Siege")</x:f>
        <x:v>0</x:v>
      </x:c>
      <x:c r="K45" s="495" t="n">
        <x:f>SUM(H45:J45)</x:f>
        <x:v>63.93</x:v>
      </x:c>
      <x:c r="L45" s="495" t="n">
        <x:f>SUM(G45,K45)</x:f>
        <x:v>50.519999999999996</x:v>
      </x:c>
      <x:c r="M45" s="433" t="n">
        <x:f>SUMIFS('Specialisations'!$N$6:$N$527,'Specialisations'!$A$6:$A$527,A45,'Specialisations'!$B$6:$B$527,B45,'Specialisations'!$C$6:$C$527,"Guards")</x:f>
        <x:v>964300</x:v>
      </x:c>
      <x:c r="N45" s="433" t="n">
        <x:f>SUMIFS('Specialisations'!$N$6:$N$527,'Specialisations'!$A$6:$A$527,A45,'Specialisations'!$B$6:$B$527,B45,'Specialisations'!$C$6:$C$527,"&lt;&gt;Guards")</x:f>
        <x:v>5728600</x:v>
      </x:c>
      <x:c r="O45" s="433" t="n">
        <x:f>SUM(M45:N45)</x:f>
        <x:v>6692900</x:v>
      </x:c>
      <x:c r="P45" s="434" t="n">
        <x:f>IF(E45=0,"",K45/E45)</x:f>
        <x:v>31.965</x:v>
      </x:c>
      <x:c r="Q45" s="501" t="n">
        <x:f>IF(E45=0,"",IFERROR(100*(COUNTIFS($E$19:$E$186,"&gt;0",$K$19:$K$186,"&lt;"&amp;K45)+(COUNTIFS($E$19:$E$186,"&gt;0",$K$19:$K$186,K45)-1)/2)/(COUNTIF($E$19:$E$186,"&gt;0")-1),50))</x:f>
        <x:v>31.16883116883117</x:v>
      </x:c>
      <x:c r="R45" s="501" t="n">
        <x:f>IF(E45=0,"",IFERROR(100*(COUNTIFS($E$19:$E$186,"&gt;0",$N$19:$N$186,"&lt;"&amp;N45)+(COUNTIFS($E$19:$E$186,"&gt;0",$N$19:$N$186,N45)-1)/2)/(COUNTIF($E$19:$E$186,"&gt;0")-1),50))</x:f>
        <x:v>16.233766233766232</x:v>
      </x:c>
      <x:c r="S45" s="501" t="n">
        <x:f>IF(E45=0,"",Q45*$R$5+R45*$R$6)</x:f>
        <x:v>28.181818181818183</x:v>
      </x:c>
      <x:c r="T45" s="501" t="n">
        <x:f>IF(M45=0,"",IFERROR(100*(COUNTIFS($M$19:$M$186,"&gt;0",$G$19:$G$186,"&gt;"&amp;G45)+(COUNTIFS($M$19:$M$186,"&gt;0",$G$19:$G$186,G45)-1)/2)/(COUNTIF($M$19:$M$186,"&gt;0")-1),50))</x:f>
        <x:v>12.820512820512821</x:v>
      </x:c>
      <x:c r="U45" s="501" t="n">
        <x:f>IF(M45=0,"",IFERROR(100*(COUNTIFS($M$19:$M$186,"&gt;0",$M$19:$M$186,"&lt;"&amp;M45)+(COUNTIFS($M$19:$M$186,"&gt;0",$M$19:$M$186,M45)-1)/2)/(COUNTIF($M$19:$M$186,"&gt;0")-1),50))</x:f>
        <x:v>12.820512820512821</x:v>
      </x:c>
      <x:c r="V45" s="501" t="n">
        <x:f>IF(M45=0,"",T45*$R$5+U45*$R$6)</x:f>
        <x:v>12.820512820512821</x:v>
      </x:c>
      <x:c r="W45" s="431" t="n">
        <x:f>IF(E45=0,"",COUNTIFS($A$19:$A$186,A45,$S$19:$S$186,"&gt;"&amp;S45)+COUNTIFS($A$19:A45,A45,$E$19:E45,"&gt;0",$S$19:S45,S45))</x:f>
        <x:v>15</x:v>
      </x:c>
      <x:c r="X45" s="431" t="n">
        <x:f>IF(S45="","",1+COUNTIF($S$19:$S$186,"&gt;"&amp;S45))</x:f>
        <x:v>120</x:v>
      </x:c>
      <x:c r="Y45" s="431" t="n">
        <x:f>IF(V45="","",1+COUNTIFS($A$19:$A$186,A45,$V$19:$V$186,"&gt;"&amp;V45))</x:f>
        <x:v>8</x:v>
      </x:c>
      <x:c r="Z45" s="431" t="n">
        <x:f>IF(V45="","",1+COUNTIF($V$19:$V$186,"&gt;"&amp;V45))</x:f>
        <x:v>103</x:v>
      </x:c>
      <x:c r="AA45" s="430" t="str">
        <x:f>IF(C45=0,"No specialisations recorded",IF(D45&lt;C45,"Review missing level","Recorded skills only"))</x:f>
        <x:v>Recorded skills only</x:v>
      </x:c>
      <x:c r="AB45" s="601" t="n">
        <x:f>IF(OR(AP45&lt;&gt;"Yes",E45=0),"",IFERROR(100*(COUNTIFS($AP$19:$AP$186,"Yes",$E$19:$E$186,"&gt;0",$I$19:$I$186,"&lt;"&amp;I45)+(COUNTIFS($AP$19:$AP$186,"Yes",$E$19:$E$186,"&gt;0",$I$19:$I$186,I45)-1)/2)/(COUNTIFS($AP$19:$AP$186,"Yes",$E$19:$E$186,"&gt;0")-1),50))</x:f>
        <x:v>54.54545454545455</x:v>
      </x:c>
      <x:c r="AC45" s="601" t="n">
        <x:f>IF(AB45="","",AB45*'Specialisation Rankings'!$O$16+R45*'Specialisation Rankings'!$O$17)</x:f>
        <x:v>46.883116883116884</x:v>
      </x:c>
      <x:c r="AD45" s="601" t="n">
        <x:f>IF(AC45="","",COUNTIFS($A$19:$A$186,A45,$AP$19:$AP$186,"Yes",$E$19:$E$186,"&gt;0",$AC$19:$AC$186,"&gt;"&amp;AC45)+COUNTIFS($A$19:A45,A45,$AP$19:AP45,"Yes",$E$19:E45,"&gt;0",$AC$19:AC45,AC45))</x:f>
        <x:v>6</x:v>
      </x:c>
      <x:c r="AE45" s="601" t="n">
        <x:f>IF(OR(AP45&lt;&gt;"Yes",E45=0),"",IFERROR(100*(COUNTIFS($AP$19:$AP$186,"Yes",$E$19:$E$186,"&gt;0",$H$19:$H$186,"&lt;"&amp;H45)+(COUNTIFS($AP$19:$AP$186,"Yes",$E$19:$E$186,"&gt;0",$H$19:$H$186,H45)-1)/2)/(COUNTIFS($AP$19:$AP$186,"Yes",$E$19:$E$186,"&gt;0")-1),50))</x:f>
        <x:v>11.688311688311689</x:v>
      </x:c>
      <x:c r="AF45" s="601" t="n">
        <x:f>IF(AE45="","",AE45*'Specialisation Rankings'!$O$16+R45*'Specialisation Rankings'!$O$17)</x:f>
        <x:v>12.5974025974026</x:v>
      </x:c>
      <x:c r="AG45" s="601" t="n">
        <x:f>IF(AF45="","",COUNTIFS($A$19:$A$186,A45,$AP$19:$AP$186,"Yes",$E$19:$E$186,"&gt;0",$AF$19:$AF$186,"&gt;"&amp;AF45)+COUNTIFS($A$19:A45,A45,$AP$19:AP45,"Yes",$E$19:E45,"&gt;0",$AF$19:AF45,AF45))</x:f>
        <x:v>20</x:v>
      </x:c>
      <x:c r="AH45" s="601" t="n">
        <x:f>IF(OR(AP45&lt;&gt;"Yes",E45=0),"",IFERROR(100*(COUNTIFS($AP$19:$AP$186,"Yes",$E$19:$E$186,"&gt;0",$J$19:$J$186,"&lt;"&amp;J45)+(COUNTIFS($AP$19:$AP$186,"Yes",$E$19:$E$186,"&gt;0",$J$19:$J$186,J45)-1)/2)/(COUNTIFS($AP$19:$AP$186,"Yes",$E$19:$E$186,"&gt;0")-1),50))</x:f>
        <x:v>33.116883116883116</x:v>
      </x:c>
      <x:c r="AI45" s="601" t="n">
        <x:f>IF(AH45="","",AH45*'Specialisation Rankings'!$O$16+R45*'Specialisation Rankings'!$O$17)</x:f>
        <x:v>29.74025974025974</x:v>
      </x:c>
      <x:c r="AJ45" s="601" t="n">
        <x:f>IF(AI45="","",COUNTIFS($A$19:$A$186,A45,$AP$19:$AP$186,"Yes",$E$19:$E$186,"&gt;0",$AI$19:$AI$186,"&gt;"&amp;AI45)+COUNTIFS($A$19:A45,A45,$AP$19:AP45,"Yes",$E$19:E45,"&gt;0",$AI$19:AI45,AI45))</x:f>
        <x:v>19</x:v>
      </x:c>
      <x:c r="AK45" s="601" t="n">
        <x:f>IF(OR(AP45&lt;&gt;"Yes",E45=0),"",IF(M45=0,'Specialisation Rankings'!$O$23,V45))</x:f>
        <x:v>12.820512820512821</x:v>
      </x:c>
      <x:c r="AL45" s="601" t="n">
        <x:f>IF(AK45="","",COUNTIFS($A$19:$A$186,A45,$AP$19:$AP$186,"Yes",$E$19:$E$186,"&gt;0",$AK$19:$AK$186,"&gt;"&amp;AK45)+COUNTIFS($A$19:A45,A45,$AP$19:AP45,"Yes",$E$19:E45,"&gt;0",$AK$19:AK45,AK45))</x:f>
        <x:v>9</x:v>
      </x:c>
      <x:c r="AM45" s="601" t="n">
        <x:f>IF(AC45="","",AC45*'Specialisation Rankings'!$O$18+AF45*'Specialisation Rankings'!$O$19+AI45*'Specialisation Rankings'!$O$20+AK45*'Specialisation Rankings'!$O$21)</x:f>
        <x:v>37.476856476856476</x:v>
      </x:c>
      <x:c r="AN45" s="601" t="n">
        <x:f>IF(AM45="","",COUNTIFS($A$19:$A$186,A45,$AP$19:$AP$186,"Yes",$E$19:$E$186,"&gt;0",$AM$19:$AM$186,"&gt;"&amp;AM45)+COUNTIFS($A$19:A45,A45,$AP$19:AP45,"Yes",$E$19:E45,"&gt;0",$AM$19:AM45,AM45))</x:f>
        <x:v>6</x:v>
      </x:c>
      <x:c r="AO45" s="601" t="n">
        <x:f>IF(AM45="","",COUNTIFS($AP$19:$AP$186,"Yes",$E$19:$E$186,"&gt;0",$AM$19:$AM$186,"&gt;"&amp;AM45)+COUNTIFS($AP$19:AP45,"Yes",$E$19:E45,"&gt;0",$AM$19:AM45,AM45))</x:f>
        <x:v>100</x:v>
      </x:c>
      <x:c r="AP45" s="602" t="str">
        <x:f>IF(COUNTIFS('Player Scenario Model'!$A$6:$A$172,A45,'Player Scenario Model'!$B$6:$B$172,B45)&gt;0,"Yes","No")</x:f>
        <x:v>Yes</x:v>
      </x:c>
    </x:row>
    <x:row r="46" ht="24" customHeight="1">
      <x:c r="A46" s="430" t="str">
        <x:v>K91</x:v>
      </x:c>
      <x:c r="B46" s="430" t="str">
        <x:v>λTλ⁵⁷βЄЧ</x:v>
      </x:c>
      <x:c r="C46" s="431" t="n">
        <x:f>COUNTIFS('Specialisations'!$A$6:$A$527,A46,'Specialisations'!$B$6:$B$527,B46)</x:f>
        <x:v>3</x:v>
      </x:c>
      <x:c r="D46" s="431" t="n">
        <x:f>COUNTIFS('Specialisations'!$A$6:$A$527,A46,'Specialisations'!$B$6:$B$527,B46,'Specialisations'!$P$6:$P$527,"OK")</x:f>
        <x:v>3</x:v>
      </x:c>
      <x:c r="E46" s="431" t="n">
        <x:f>COUNTIFS('Specialisations'!$A$6:$A$527,A46,'Specialisations'!$B$6:$B$527,B46,'Specialisations'!$P$6:$P$527,"OK",'Specialisations'!$C$6:$C$527,"&lt;&gt;Guards")</x:f>
        <x:v>2</x:v>
      </x:c>
      <x:c r="F46" s="432" t="n">
        <x:f>IF(C46=0,"",D46/C46)</x:f>
        <x:v>1</x:v>
      </x:c>
      <x:c r="G46" s="495" t="n">
        <x:f>SUMIFS('Specialisations'!$Q$6:$Q$527,'Specialisations'!$A$6:$A$527,A46,'Specialisations'!$B$6:$B$527,B46,'Specialisations'!$C$6:$C$527,"Guards")</x:f>
        <x:v>-27.74</x:v>
      </x:c>
      <x:c r="H46" s="495" t="n">
        <x:f>SUMIFS('Specialisations'!$Q$6:$Q$527,'Specialisations'!$A$6:$A$527,A46,'Specialisations'!$B$6:$B$527,B46,'Specialisations'!$C$6:$C$527,"Archers")</x:f>
        <x:v>95.97999999999999</x:v>
      </x:c>
      <x:c r="I46" s="495" t="n">
        <x:f>SUMIFS('Specialisations'!$Q$6:$Q$527,'Specialisations'!$A$6:$A$527,A46,'Specialisations'!$B$6:$B$527,B46,'Specialisations'!$C$6:$C$527,"Cavalry")</x:f>
        <x:v>0</x:v>
      </x:c>
      <x:c r="J46" s="495" t="n">
        <x:f>SUMIFS('Specialisations'!$Q$6:$Q$527,'Specialisations'!$A$6:$A$527,A46,'Specialisations'!$B$6:$B$527,B46,'Specialisations'!$C$6:$C$527,"Siege")</x:f>
        <x:v>0</x:v>
      </x:c>
      <x:c r="K46" s="495" t="n">
        <x:f>SUM(H46:J46)</x:f>
        <x:v>95.97999999999999</x:v>
      </x:c>
      <x:c r="L46" s="495" t="n">
        <x:f>SUM(G46,K46)</x:f>
        <x:v>68.24</x:v>
      </x:c>
      <x:c r="M46" s="433" t="n">
        <x:f>SUMIFS('Specialisations'!$N$6:$N$527,'Specialisations'!$A$6:$A$527,A46,'Specialisations'!$B$6:$B$527,B46,'Specialisations'!$C$6:$C$527,"Guards")</x:f>
        <x:v>2244300</x:v>
      </x:c>
      <x:c r="N46" s="433" t="n">
        <x:f>SUMIFS('Specialisations'!$N$6:$N$527,'Specialisations'!$A$6:$A$527,A46,'Specialisations'!$B$6:$B$527,B46,'Specialisations'!$C$6:$C$527,"&lt;&gt;Guards")</x:f>
        <x:v>13578600</x:v>
      </x:c>
      <x:c r="O46" s="433" t="n">
        <x:f>SUM(M46:N46)</x:f>
        <x:v>15822900</x:v>
      </x:c>
      <x:c r="P46" s="434" t="n">
        <x:f>IF(E46=0,"",K46/E46)</x:f>
        <x:v>47.989999999999995</x:v>
      </x:c>
      <x:c r="Q46" s="501" t="n">
        <x:f>IF(E46=0,"",IFERROR(100*(COUNTIFS($E$19:$E$186,"&gt;0",$K$19:$K$186,"&lt;"&amp;K46)+(COUNTIFS($E$19:$E$186,"&gt;0",$K$19:$K$186,K46)-1)/2)/(COUNTIF($E$19:$E$186,"&gt;0")-1),50))</x:f>
        <x:v>50.64935064935065</x:v>
      </x:c>
      <x:c r="R46" s="501" t="n">
        <x:f>IF(E46=0,"",IFERROR(100*(COUNTIFS($E$19:$E$186,"&gt;0",$N$19:$N$186,"&lt;"&amp;N46)+(COUNTIFS($E$19:$E$186,"&gt;0",$N$19:$N$186,N46)-1)/2)/(COUNTIF($E$19:$E$186,"&gt;0")-1),50))</x:f>
        <x:v>72.72727272727273</x:v>
      </x:c>
      <x:c r="S46" s="501" t="n">
        <x:f>IF(E46=0,"",Q46*$R$5+R46*$R$6)</x:f>
        <x:v>55.06493506493507</x:v>
      </x:c>
      <x:c r="T46" s="501" t="n">
        <x:f>IF(M46=0,"",IFERROR(100*(COUNTIFS($M$19:$M$186,"&gt;0",$G$19:$G$186,"&gt;"&amp;G46)+(COUNTIFS($M$19:$M$186,"&gt;0",$G$19:$G$186,G46)-1)/2)/(COUNTIF($M$19:$M$186,"&gt;0")-1),50))</x:f>
        <x:v>29.487179487179485</x:v>
      </x:c>
      <x:c r="U46" s="501" t="n">
        <x:f>IF(M46=0,"",IFERROR(100*(COUNTIFS($M$19:$M$186,"&gt;0",$M$19:$M$186,"&lt;"&amp;M46)+(COUNTIFS($M$19:$M$186,"&gt;0",$M$19:$M$186,M46)-1)/2)/(COUNTIF($M$19:$M$186,"&gt;0")-1),50))</x:f>
        <x:v>29.487179487179485</x:v>
      </x:c>
      <x:c r="V46" s="501" t="n">
        <x:f>IF(M46=0,"",T46*$R$5+U46*$R$6)</x:f>
        <x:v>29.48717948717949</x:v>
      </x:c>
      <x:c r="W46" s="431" t="n">
        <x:f>IF(E46=0,"",COUNTIFS($A$19:$A$186,A46,$S$19:$S$186,"&gt;"&amp;S46)+COUNTIFS($A$19:A46,A46,$E$19:E46,"&gt;0",$S$19:S46,S46))</x:f>
        <x:v>6</x:v>
      </x:c>
      <x:c r="X46" s="431" t="n">
        <x:f>IF(S46="","",1+COUNTIF($S$19:$S$186,"&gt;"&amp;S46))</x:f>
        <x:v>67</x:v>
      </x:c>
      <x:c r="Y46" s="431" t="n">
        <x:f>IF(V46="","",1+COUNTIFS($A$19:$A$186,A46,$V$19:$V$186,"&gt;"&amp;V46))</x:f>
        <x:v>2</x:v>
      </x:c>
      <x:c r="Z46" s="431" t="n">
        <x:f>IF(V46="","",1+COUNTIF($V$19:$V$186,"&gt;"&amp;V46))</x:f>
        <x:v>70</x:v>
      </x:c>
      <x:c r="AA46" s="430" t="str">
        <x:f>IF(C46=0,"No specialisations recorded",IF(D46&lt;C46,"Review missing level","Recorded skills only"))</x:f>
        <x:v>Recorded skills only</x:v>
      </x:c>
      <x:c r="AB46" s="601" t="n">
        <x:f>IF(OR(AP46&lt;&gt;"Yes",E46=0),"",IFERROR(100*(COUNTIFS($AP$19:$AP$186,"Yes",$E$19:$E$186,"&gt;0",$I$19:$I$186,"&lt;"&amp;I46)+(COUNTIFS($AP$19:$AP$186,"Yes",$E$19:$E$186,"&gt;0",$I$19:$I$186,I46)-1)/2)/(COUNTIFS($AP$19:$AP$186,"Yes",$E$19:$E$186,"&gt;0")-1),50))</x:f>
        <x:v>10.38961038961039</x:v>
      </x:c>
      <x:c r="AC46" s="601" t="n">
        <x:f>IF(AB46="","",AB46*'Specialisation Rankings'!$O$16+R46*'Specialisation Rankings'!$O$17)</x:f>
        <x:v>22.85714285714286</x:v>
      </x:c>
      <x:c r="AD46" s="601" t="n">
        <x:f>IF(AC46="","",COUNTIFS($A$19:$A$186,A46,$AP$19:$AP$186,"Yes",$E$19:$E$186,"&gt;0",$AC$19:$AC$186,"&gt;"&amp;AC46)+COUNTIFS($A$19:A46,A46,$AP$19:AP46,"Yes",$E$19:E46,"&gt;0",$AC$19:AC46,AC46))</x:f>
        <x:v>8</x:v>
      </x:c>
      <x:c r="AE46" s="601" t="n">
        <x:f>IF(OR(AP46&lt;&gt;"Yes",E46=0),"",IFERROR(100*(COUNTIFS($AP$19:$AP$186,"Yes",$E$19:$E$186,"&gt;0",$H$19:$H$186,"&lt;"&amp;H46)+(COUNTIFS($AP$19:$AP$186,"Yes",$E$19:$E$186,"&gt;0",$H$19:$H$186,H46)-1)/2)/(COUNTIFS($AP$19:$AP$186,"Yes",$E$19:$E$186,"&gt;0")-1),50))</x:f>
        <x:v>98.7012987012987</x:v>
      </x:c>
      <x:c r="AF46" s="601" t="n">
        <x:f>IF(AE46="","",AE46*'Specialisation Rankings'!$O$16+R46*'Specialisation Rankings'!$O$17)</x:f>
        <x:v>93.50649350649351</x:v>
      </x:c>
      <x:c r="AG46" s="601" t="n">
        <x:f>IF(AF46="","",COUNTIFS($A$19:$A$186,A46,$AP$19:$AP$186,"Yes",$E$19:$E$186,"&gt;0",$AF$19:$AF$186,"&gt;"&amp;AF46)+COUNTIFS($A$19:A46,A46,$AP$19:AP46,"Yes",$E$19:E46,"&gt;0",$AF$19:AF46,AF46))</x:f>
        <x:v>2</x:v>
      </x:c>
      <x:c r="AH46" s="601" t="n">
        <x:f>IF(OR(AP46&lt;&gt;"Yes",E46=0),"",IFERROR(100*(COUNTIFS($AP$19:$AP$186,"Yes",$E$19:$E$186,"&gt;0",$J$19:$J$186,"&lt;"&amp;J46)+(COUNTIFS($AP$19:$AP$186,"Yes",$E$19:$E$186,"&gt;0",$J$19:$J$186,J46)-1)/2)/(COUNTIFS($AP$19:$AP$186,"Yes",$E$19:$E$186,"&gt;0")-1),50))</x:f>
        <x:v>33.116883116883116</x:v>
      </x:c>
      <x:c r="AI46" s="601" t="n">
        <x:f>IF(AH46="","",AH46*'Specialisation Rankings'!$O$16+R46*'Specialisation Rankings'!$O$17)</x:f>
        <x:v>41.03896103896104</x:v>
      </x:c>
      <x:c r="AJ46" s="601" t="n">
        <x:f>IF(AI46="","",COUNTIFS($A$19:$A$186,A46,$AP$19:$AP$186,"Yes",$E$19:$E$186,"&gt;0",$AI$19:$AI$186,"&gt;"&amp;AI46)+COUNTIFS($A$19:A46,A46,$AP$19:AP46,"Yes",$E$19:E46,"&gt;0",$AI$19:AI46,AI46))</x:f>
        <x:v>6</x:v>
      </x:c>
      <x:c r="AK46" s="601" t="n">
        <x:f>IF(OR(AP46&lt;&gt;"Yes",E46=0),"",IF(M46=0,'Specialisation Rankings'!$O$23,V46))</x:f>
        <x:v>29.48717948717949</x:v>
      </x:c>
      <x:c r="AL46" s="601" t="n">
        <x:f>IF(AK46="","",COUNTIFS($A$19:$A$186,A46,$AP$19:$AP$186,"Yes",$E$19:$E$186,"&gt;0",$AK$19:$AK$186,"&gt;"&amp;AK46)+COUNTIFS($A$19:A46,A46,$AP$19:AP46,"Yes",$E$19:E46,"&gt;0",$AK$19:AK46,AK46))</x:f>
        <x:v>3</x:v>
      </x:c>
      <x:c r="AM46" s="601" t="n">
        <x:f>IF(AC46="","",AC46*'Specialisation Rankings'!$O$18+AF46*'Specialisation Rankings'!$O$19+AI46*'Specialisation Rankings'!$O$20+AK46*'Specialisation Rankings'!$O$21)</x:f>
        <x:v>33.312354312354316</x:v>
      </x:c>
      <x:c r="AN46" s="601" t="n">
        <x:f>IF(AM46="","",COUNTIFS($A$19:$A$186,A46,$AP$19:$AP$186,"Yes",$E$19:$E$186,"&gt;0",$AM$19:$AM$186,"&gt;"&amp;AM46)+COUNTIFS($A$19:A46,A46,$AP$19:AP46,"Yes",$E$19:E46,"&gt;0",$AM$19:AM46,AM46))</x:f>
        <x:v>9</x:v>
      </x:c>
      <x:c r="AO46" s="601" t="n">
        <x:f>IF(AM46="","",COUNTIFS($AP$19:$AP$186,"Yes",$E$19:$E$186,"&gt;0",$AM$19:$AM$186,"&gt;"&amp;AM46)+COUNTIFS($AP$19:AP46,"Yes",$E$19:E46,"&gt;0",$AM$19:AM46,AM46))</x:f>
        <x:v>111</x:v>
      </x:c>
      <x:c r="AP46" s="602" t="str">
        <x:f>IF(COUNTIFS('Player Scenario Model'!$A$6:$A$172,A46,'Player Scenario Model'!$B$6:$B$172,B46)&gt;0,"Yes","No")</x:f>
        <x:v>Yes</x:v>
      </x:c>
    </x:row>
    <x:row r="47" ht="24" customHeight="1">
      <x:c r="A47" s="430" t="str">
        <x:v>K91</x:v>
      </x:c>
      <x:c r="B47" s="430" t="str">
        <x:v>Antoni</x:v>
      </x:c>
      <x:c r="C47" s="431" t="n">
        <x:f>COUNTIFS('Specialisations'!$A$6:$A$527,A47,'Specialisations'!$B$6:$B$527,B47)</x:f>
        <x:v>3</x:v>
      </x:c>
      <x:c r="D47" s="431" t="n">
        <x:f>COUNTIFS('Specialisations'!$A$6:$A$527,A47,'Specialisations'!$B$6:$B$527,B47,'Specialisations'!$P$6:$P$527,"OK")</x:f>
        <x:v>3</x:v>
      </x:c>
      <x:c r="E47" s="431" t="n">
        <x:f>COUNTIFS('Specialisations'!$A$6:$A$527,A47,'Specialisations'!$B$6:$B$527,B47,'Specialisations'!$P$6:$P$527,"OK",'Specialisations'!$C$6:$C$527,"&lt;&gt;Guards")</x:f>
        <x:v>2</x:v>
      </x:c>
      <x:c r="F47" s="432" t="n">
        <x:f>IF(C47=0,"",D47/C47)</x:f>
        <x:v>1</x:v>
      </x:c>
      <x:c r="G47" s="495" t="n">
        <x:f>SUMIFS('Specialisations'!$Q$6:$Q$527,'Specialisations'!$A$6:$A$527,A47,'Specialisations'!$B$6:$B$527,B47,'Specialisations'!$C$6:$C$527,"Guards")</x:f>
        <x:v>-5.44</x:v>
      </x:c>
      <x:c r="H47" s="495" t="n">
        <x:f>SUMIFS('Specialisations'!$Q$6:$Q$527,'Specialisations'!$A$6:$A$527,A47,'Specialisations'!$B$6:$B$527,B47,'Specialisations'!$C$6:$C$527,"Archers")</x:f>
        <x:v>84.87</x:v>
      </x:c>
      <x:c r="I47" s="495" t="n">
        <x:f>SUMIFS('Specialisations'!$Q$6:$Q$527,'Specialisations'!$A$6:$A$527,A47,'Specialisations'!$B$6:$B$527,B47,'Specialisations'!$C$6:$C$527,"Cavalry")</x:f>
        <x:v>0</x:v>
      </x:c>
      <x:c r="J47" s="495" t="n">
        <x:f>SUMIFS('Specialisations'!$Q$6:$Q$527,'Specialisations'!$A$6:$A$527,A47,'Specialisations'!$B$6:$B$527,B47,'Specialisations'!$C$6:$C$527,"Siege")</x:f>
        <x:v>0</x:v>
      </x:c>
      <x:c r="K47" s="495" t="n">
        <x:f>SUM(H47:J47)</x:f>
        <x:v>84.87</x:v>
      </x:c>
      <x:c r="L47" s="495" t="n">
        <x:f>SUM(G47,K47)</x:f>
        <x:v>79.43</x:v>
      </x:c>
      <x:c r="M47" s="433" t="n">
        <x:f>SUMIFS('Specialisations'!$N$6:$N$527,'Specialisations'!$A$6:$A$527,A47,'Specialisations'!$B$6:$B$527,B47,'Specialisations'!$C$6:$C$527,"Guards")</x:f>
        <x:v>369300</x:v>
      </x:c>
      <x:c r="N47" s="433" t="n">
        <x:f>SUMIFS('Specialisations'!$N$6:$N$527,'Specialisations'!$A$6:$A$527,A47,'Specialisations'!$B$6:$B$527,B47,'Specialisations'!$C$6:$C$527,"&lt;&gt;Guards")</x:f>
        <x:v>9778600</x:v>
      </x:c>
      <x:c r="O47" s="433" t="n">
        <x:f>SUM(M47:N47)</x:f>
        <x:v>10147900</x:v>
      </x:c>
      <x:c r="P47" s="434" t="n">
        <x:f>IF(E47=0,"",K47/E47)</x:f>
        <x:v>42.435</x:v>
      </x:c>
      <x:c r="Q47" s="501" t="n">
        <x:f>IF(E47=0,"",IFERROR(100*(COUNTIFS($E$19:$E$186,"&gt;0",$K$19:$K$186,"&lt;"&amp;K47)+(COUNTIFS($E$19:$E$186,"&gt;0",$K$19:$K$186,K47)-1)/2)/(COUNTIF($E$19:$E$186,"&gt;0")-1),50))</x:f>
        <x:v>44.8051948051948</x:v>
      </x:c>
      <x:c r="R47" s="501" t="n">
        <x:f>IF(E47=0,"",IFERROR(100*(COUNTIFS($E$19:$E$186,"&gt;0",$N$19:$N$186,"&lt;"&amp;N47)+(COUNTIFS($E$19:$E$186,"&gt;0",$N$19:$N$186,N47)-1)/2)/(COUNTIF($E$19:$E$186,"&gt;0")-1),50))</x:f>
        <x:v>40.25974025974026</x:v>
      </x:c>
      <x:c r="S47" s="501" t="n">
        <x:f>IF(E47=0,"",Q47*$R$5+R47*$R$6)</x:f>
        <x:v>43.896103896103895</x:v>
      </x:c>
      <x:c r="T47" s="501" t="n">
        <x:f>IF(M47=0,"",IFERROR(100*(COUNTIFS($M$19:$M$186,"&gt;0",$G$19:$G$186,"&gt;"&amp;G47)+(COUNTIFS($M$19:$M$186,"&gt;0",$G$19:$G$186,G47)-1)/2)/(COUNTIF($M$19:$M$186,"&gt;0")-1),50))</x:f>
        <x:v>1.7094017094017093</x:v>
      </x:c>
      <x:c r="U47" s="501" t="n">
        <x:f>IF(M47=0,"",IFERROR(100*(COUNTIFS($M$19:$M$186,"&gt;0",$M$19:$M$186,"&lt;"&amp;M47)+(COUNTIFS($M$19:$M$186,"&gt;0",$M$19:$M$186,M47)-1)/2)/(COUNTIF($M$19:$M$186,"&gt;0")-1),50))</x:f>
        <x:v>1.7094017094017093</x:v>
      </x:c>
      <x:c r="V47" s="501" t="n">
        <x:f>IF(M47=0,"",T47*$R$5+U47*$R$6)</x:f>
        <x:v>1.7094017094017093</x:v>
      </x:c>
      <x:c r="W47" s="431" t="n">
        <x:f>IF(E47=0,"",COUNTIFS($A$19:$A$186,A47,$S$19:$S$186,"&gt;"&amp;S47)+COUNTIFS($A$19:A47,A47,$E$19:E47,"&gt;0",$S$19:S47,S47))</x:f>
        <x:v>10</x:v>
      </x:c>
      <x:c r="X47" s="431" t="n">
        <x:f>IF(S47="","",1+COUNTIF($S$19:$S$186,"&gt;"&amp;S47))</x:f>
        <x:v>88</x:v>
      </x:c>
      <x:c r="Y47" s="431" t="n">
        <x:f>IF(V47="","",1+COUNTIFS($A$19:$A$186,A47,$V$19:$V$186,"&gt;"&amp;V47))</x:f>
        <x:v>18</x:v>
      </x:c>
      <x:c r="Z47" s="431" t="n">
        <x:f>IF(V47="","",1+COUNTIF($V$19:$V$186,"&gt;"&amp;V47))</x:f>
        <x:v>116</x:v>
      </x:c>
      <x:c r="AA47" s="430" t="str">
        <x:f>IF(C47=0,"No specialisations recorded",IF(D47&lt;C47,"Review missing level","Recorded skills only"))</x:f>
        <x:v>Recorded skills only</x:v>
      </x:c>
      <x:c r="AB47" s="601" t="n">
        <x:f>IF(OR(AP47&lt;&gt;"Yes",E47=0),"",IFERROR(100*(COUNTIFS($AP$19:$AP$186,"Yes",$E$19:$E$186,"&gt;0",$I$19:$I$186,"&lt;"&amp;I47)+(COUNTIFS($AP$19:$AP$186,"Yes",$E$19:$E$186,"&gt;0",$I$19:$I$186,I47)-1)/2)/(COUNTIFS($AP$19:$AP$186,"Yes",$E$19:$E$186,"&gt;0")-1),50))</x:f>
        <x:v>10.38961038961039</x:v>
      </x:c>
      <x:c r="AC47" s="601" t="n">
        <x:f>IF(AB47="","",AB47*'Specialisation Rankings'!$O$16+R47*'Specialisation Rankings'!$O$17)</x:f>
        <x:v>16.363636363636367</x:v>
      </x:c>
      <x:c r="AD47" s="601" t="n">
        <x:f>IF(AC47="","",COUNTIFS($A$19:$A$186,A47,$AP$19:$AP$186,"Yes",$E$19:$E$186,"&gt;0",$AC$19:$AC$186,"&gt;"&amp;AC47)+COUNTIFS($A$19:A47,A47,$AP$19:AP47,"Yes",$E$19:E47,"&gt;0",$AC$19:AC47,AC47))</x:f>
        <x:v>14</x:v>
      </x:c>
      <x:c r="AE47" s="601" t="n">
        <x:f>IF(OR(AP47&lt;&gt;"Yes",E47=0),"",IFERROR(100*(COUNTIFS($AP$19:$AP$186,"Yes",$E$19:$E$186,"&gt;0",$H$19:$H$186,"&lt;"&amp;H47)+(COUNTIFS($AP$19:$AP$186,"Yes",$E$19:$E$186,"&gt;0",$H$19:$H$186,H47)-1)/2)/(COUNTIFS($AP$19:$AP$186,"Yes",$E$19:$E$186,"&gt;0")-1),50))</x:f>
        <x:v>96.1038961038961</x:v>
      </x:c>
      <x:c r="AF47" s="601" t="n">
        <x:f>IF(AE47="","",AE47*'Specialisation Rankings'!$O$16+R47*'Specialisation Rankings'!$O$17)</x:f>
        <x:v>84.93506493506493</x:v>
      </x:c>
      <x:c r="AG47" s="601" t="n">
        <x:f>IF(AF47="","",COUNTIFS($A$19:$A$186,A47,$AP$19:$AP$186,"Yes",$E$19:$E$186,"&gt;0",$AF$19:$AF$186,"&gt;"&amp;AF47)+COUNTIFS($A$19:A47,A47,$AP$19:AP47,"Yes",$E$19:E47,"&gt;0",$AF$19:AF47,AF47))</x:f>
        <x:v>8</x:v>
      </x:c>
      <x:c r="AH47" s="601" t="n">
        <x:f>IF(OR(AP47&lt;&gt;"Yes",E47=0),"",IFERROR(100*(COUNTIFS($AP$19:$AP$186,"Yes",$E$19:$E$186,"&gt;0",$J$19:$J$186,"&lt;"&amp;J47)+(COUNTIFS($AP$19:$AP$186,"Yes",$E$19:$E$186,"&gt;0",$J$19:$J$186,J47)-1)/2)/(COUNTIFS($AP$19:$AP$186,"Yes",$E$19:$E$186,"&gt;0")-1),50))</x:f>
        <x:v>33.116883116883116</x:v>
      </x:c>
      <x:c r="AI47" s="601" t="n">
        <x:f>IF(AH47="","",AH47*'Specialisation Rankings'!$O$16+R47*'Specialisation Rankings'!$O$17)</x:f>
        <x:v>34.54545454545455</x:v>
      </x:c>
      <x:c r="AJ47" s="601" t="n">
        <x:f>IF(AI47="","",COUNTIFS($A$19:$A$186,A47,$AP$19:$AP$186,"Yes",$E$19:$E$186,"&gt;0",$AI$19:$AI$186,"&gt;"&amp;AI47)+COUNTIFS($A$19:A47,A47,$AP$19:AP47,"Yes",$E$19:E47,"&gt;0",$AI$19:AI47,AI47))</x:f>
        <x:v>13</x:v>
      </x:c>
      <x:c r="AK47" s="601" t="n">
        <x:f>IF(OR(AP47&lt;&gt;"Yes",E47=0),"",IF(M47=0,'Specialisation Rankings'!$O$23,V47))</x:f>
        <x:v>1.7094017094017093</x:v>
      </x:c>
      <x:c r="AL47" s="601" t="n">
        <x:f>IF(AK47="","",COUNTIFS($A$19:$A$186,A47,$AP$19:$AP$186,"Yes",$E$19:$E$186,"&gt;0",$AK$19:$AK$186,"&gt;"&amp;AK47)+COUNTIFS($A$19:A47,A47,$AP$19:AP47,"Yes",$E$19:E47,"&gt;0",$AK$19:AK47,AK47))</x:f>
        <x:v>19</x:v>
      </x:c>
      <x:c r="AM47" s="601" t="n">
        <x:f>IF(AC47="","",AC47*'Specialisation Rankings'!$O$18+AF47*'Specialisation Rankings'!$O$19+AI47*'Specialisation Rankings'!$O$20+AK47*'Specialisation Rankings'!$O$21)</x:f>
        <x:v>24.482628482628485</x:v>
      </x:c>
      <x:c r="AN47" s="601" t="n">
        <x:f>IF(AM47="","",COUNTIFS($A$19:$A$186,A47,$AP$19:$AP$186,"Yes",$E$19:$E$186,"&gt;0",$AM$19:$AM$186,"&gt;"&amp;AM47)+COUNTIFS($A$19:A47,A47,$AP$19:AP47,"Yes",$E$19:E47,"&gt;0",$AM$19:AM47,AM47))</x:f>
        <x:v>15</x:v>
      </x:c>
      <x:c r="AO47" s="601" t="n">
        <x:f>IF(AM47="","",COUNTIFS($AP$19:$AP$186,"Yes",$E$19:$E$186,"&gt;0",$AM$19:$AM$186,"&gt;"&amp;AM47)+COUNTIFS($AP$19:AP47,"Yes",$E$19:E47,"&gt;0",$AM$19:AM47,AM47))</x:f>
        <x:v>137</x:v>
      </x:c>
      <x:c r="AP47" s="602" t="str">
        <x:f>IF(COUNTIFS('Player Scenario Model'!$A$6:$A$172,A47,'Player Scenario Model'!$B$6:$B$172,B47)&gt;0,"Yes","No")</x:f>
        <x:v>Yes</x:v>
      </x:c>
    </x:row>
    <x:row r="48" ht="24" customHeight="1">
      <x:c r="A48" s="430" t="str">
        <x:v>K91</x:v>
      </x:c>
      <x:c r="B48" s="430" t="str">
        <x:v>Nixxx</x:v>
      </x:c>
      <x:c r="C48" s="431" t="n">
        <x:f>COUNTIFS('Specialisations'!$A$6:$A$527,A48,'Specialisations'!$B$6:$B$527,B48)</x:f>
        <x:v>3</x:v>
      </x:c>
      <x:c r="D48" s="431" t="n">
        <x:f>COUNTIFS('Specialisations'!$A$6:$A$527,A48,'Specialisations'!$B$6:$B$527,B48,'Specialisations'!$P$6:$P$527,"OK")</x:f>
        <x:v>3</x:v>
      </x:c>
      <x:c r="E48" s="431" t="n">
        <x:f>COUNTIFS('Specialisations'!$A$6:$A$527,A48,'Specialisations'!$B$6:$B$527,B48,'Specialisations'!$P$6:$P$527,"OK",'Specialisations'!$C$6:$C$527,"&lt;&gt;Guards")</x:f>
        <x:v>2</x:v>
      </x:c>
      <x:c r="F48" s="432" t="n">
        <x:f>IF(C48=0,"",D48/C48)</x:f>
        <x:v>1</x:v>
      </x:c>
      <x:c r="G48" s="495" t="n">
        <x:f>SUMIFS('Specialisations'!$Q$6:$Q$527,'Specialisations'!$A$6:$A$527,A48,'Specialisations'!$B$6:$B$527,B48,'Specialisations'!$C$6:$C$527,"Guards")</x:f>
        <x:v>-10.82</x:v>
      </x:c>
      <x:c r="H48" s="495" t="n">
        <x:f>SUMIFS('Specialisations'!$Q$6:$Q$527,'Specialisations'!$A$6:$A$527,A48,'Specialisations'!$B$6:$B$527,B48,'Specialisations'!$C$6:$C$527,"Archers")</x:f>
        <x:v>87.74</x:v>
      </x:c>
      <x:c r="I48" s="495" t="n">
        <x:f>SUMIFS('Specialisations'!$Q$6:$Q$527,'Specialisations'!$A$6:$A$527,A48,'Specialisations'!$B$6:$B$527,B48,'Specialisations'!$C$6:$C$527,"Cavalry")</x:f>
        <x:v>0</x:v>
      </x:c>
      <x:c r="J48" s="495" t="n">
        <x:f>SUMIFS('Specialisations'!$Q$6:$Q$527,'Specialisations'!$A$6:$A$527,A48,'Specialisations'!$B$6:$B$527,B48,'Specialisations'!$C$6:$C$527,"Siege")</x:f>
        <x:v>0</x:v>
      </x:c>
      <x:c r="K48" s="495" t="n">
        <x:f>SUM(H48:J48)</x:f>
        <x:v>87.74</x:v>
      </x:c>
      <x:c r="L48" s="495" t="n">
        <x:f>SUM(G48,K48)</x:f>
        <x:v>76.91999999999999</x:v>
      </x:c>
      <x:c r="M48" s="433" t="n">
        <x:f>SUMIFS('Specialisations'!$N$6:$N$527,'Specialisations'!$A$6:$A$527,A48,'Specialisations'!$B$6:$B$527,B48,'Specialisations'!$C$6:$C$527,"Guards")</x:f>
        <x:v>774300</x:v>
      </x:c>
      <x:c r="N48" s="433" t="n">
        <x:f>SUMIFS('Specialisations'!$N$6:$N$527,'Specialisations'!$A$6:$A$527,A48,'Specialisations'!$B$6:$B$527,B48,'Specialisations'!$C$6:$C$527,"&lt;&gt;Guards")</x:f>
        <x:v>12578600</x:v>
      </x:c>
      <x:c r="O48" s="433" t="n">
        <x:f>SUM(M48:N48)</x:f>
        <x:v>13352900</x:v>
      </x:c>
      <x:c r="P48" s="434" t="n">
        <x:f>IF(E48=0,"",K48/E48)</x:f>
        <x:v>43.87</x:v>
      </x:c>
      <x:c r="Q48" s="501" t="n">
        <x:f>IF(E48=0,"",IFERROR(100*(COUNTIFS($E$19:$E$186,"&gt;0",$K$19:$K$186,"&lt;"&amp;K48)+(COUNTIFS($E$19:$E$186,"&gt;0",$K$19:$K$186,K48)-1)/2)/(COUNTIF($E$19:$E$186,"&gt;0")-1),50))</x:f>
        <x:v>46.42857142857143</x:v>
      </x:c>
      <x:c r="R48" s="501" t="n">
        <x:f>IF(E48=0,"",IFERROR(100*(COUNTIFS($E$19:$E$186,"&gt;0",$N$19:$N$186,"&lt;"&amp;N48)+(COUNTIFS($E$19:$E$186,"&gt;0",$N$19:$N$186,N48)-1)/2)/(COUNTIF($E$19:$E$186,"&gt;0")-1),50))</x:f>
        <x:v>63.311688311688314</x:v>
      </x:c>
      <x:c r="S48" s="501" t="n">
        <x:f>IF(E48=0,"",Q48*$R$5+R48*$R$6)</x:f>
        <x:v>49.8051948051948</x:v>
      </x:c>
      <x:c r="T48" s="501" t="n">
        <x:f>IF(M48=0,"",IFERROR(100*(COUNTIFS($M$19:$M$186,"&gt;0",$G$19:$G$186,"&gt;"&amp;G48)+(COUNTIFS($M$19:$M$186,"&gt;0",$G$19:$G$186,G48)-1)/2)/(COUNTIF($M$19:$M$186,"&gt;0")-1),50))</x:f>
        <x:v>8.547008547008547</x:v>
      </x:c>
      <x:c r="U48" s="501" t="n">
        <x:f>IF(M48=0,"",IFERROR(100*(COUNTIFS($M$19:$M$186,"&gt;0",$M$19:$M$186,"&lt;"&amp;M48)+(COUNTIFS($M$19:$M$186,"&gt;0",$M$19:$M$186,M48)-1)/2)/(COUNTIF($M$19:$M$186,"&gt;0")-1),50))</x:f>
        <x:v>8.547008547008547</x:v>
      </x:c>
      <x:c r="V48" s="501" t="n">
        <x:f>IF(M48=0,"",T48*$R$5+U48*$R$6)</x:f>
        <x:v>8.547008547008547</x:v>
      </x:c>
      <x:c r="W48" s="431" t="n">
        <x:f>IF(E48=0,"",COUNTIFS($A$19:$A$186,A48,$S$19:$S$186,"&gt;"&amp;S48)+COUNTIFS($A$19:A48,A48,$E$19:E48,"&gt;0",$S$19:S48,S48))</x:f>
        <x:v>8</x:v>
      </x:c>
      <x:c r="X48" s="431" t="n">
        <x:f>IF(S48="","",1+COUNTIF($S$19:$S$186,"&gt;"&amp;S48))</x:f>
        <x:v>77</x:v>
      </x:c>
      <x:c r="Y48" s="431" t="n">
        <x:f>IF(V48="","",1+COUNTIFS($A$19:$A$186,A48,$V$19:$V$186,"&gt;"&amp;V48))</x:f>
        <x:v>10</x:v>
      </x:c>
      <x:c r="Z48" s="431" t="n">
        <x:f>IF(V48="","",1+COUNTIF($V$19:$V$186,"&gt;"&amp;V48))</x:f>
        <x:v>105</x:v>
      </x:c>
      <x:c r="AA48" s="430" t="str">
        <x:f>IF(C48=0,"No specialisations recorded",IF(D48&lt;C48,"Review missing level","Recorded skills only"))</x:f>
        <x:v>Recorded skills only</x:v>
      </x:c>
      <x:c r="AB48" s="601" t="n">
        <x:f>IF(OR(AP48&lt;&gt;"Yes",E48=0),"",IFERROR(100*(COUNTIFS($AP$19:$AP$186,"Yes",$E$19:$E$186,"&gt;0",$I$19:$I$186,"&lt;"&amp;I48)+(COUNTIFS($AP$19:$AP$186,"Yes",$E$19:$E$186,"&gt;0",$I$19:$I$186,I48)-1)/2)/(COUNTIFS($AP$19:$AP$186,"Yes",$E$19:$E$186,"&gt;0")-1),50))</x:f>
        <x:v>10.38961038961039</x:v>
      </x:c>
      <x:c r="AC48" s="601" t="n">
        <x:f>IF(AB48="","",AB48*'Specialisation Rankings'!$O$16+R48*'Specialisation Rankings'!$O$17)</x:f>
        <x:v>20.974025974025977</x:v>
      </x:c>
      <x:c r="AD48" s="601" t="n">
        <x:f>IF(AC48="","",COUNTIFS($A$19:$A$186,A48,$AP$19:$AP$186,"Yes",$E$19:$E$186,"&gt;0",$AC$19:$AC$186,"&gt;"&amp;AC48)+COUNTIFS($A$19:A48,A48,$AP$19:AP48,"Yes",$E$19:E48,"&gt;0",$AC$19:AC48,AC48))</x:f>
        <x:v>10</x:v>
      </x:c>
      <x:c r="AE48" s="601" t="n">
        <x:f>IF(OR(AP48&lt;&gt;"Yes",E48=0),"",IFERROR(100*(COUNTIFS($AP$19:$AP$186,"Yes",$E$19:$E$186,"&gt;0",$H$19:$H$186,"&lt;"&amp;H48)+(COUNTIFS($AP$19:$AP$186,"Yes",$E$19:$E$186,"&gt;0",$H$19:$H$186,H48)-1)/2)/(COUNTIFS($AP$19:$AP$186,"Yes",$E$19:$E$186,"&gt;0")-1),50))</x:f>
        <x:v>97.07792207792208</x:v>
      </x:c>
      <x:c r="AF48" s="601" t="n">
        <x:f>IF(AE48="","",AE48*'Specialisation Rankings'!$O$16+R48*'Specialisation Rankings'!$O$17)</x:f>
        <x:v>90.32467532467534</x:v>
      </x:c>
      <x:c r="AG48" s="601" t="n">
        <x:f>IF(AF48="","",COUNTIFS($A$19:$A$186,A48,$AP$19:$AP$186,"Yes",$E$19:$E$186,"&gt;0",$AF$19:$AF$186,"&gt;"&amp;AF48)+COUNTIFS($A$19:A48,A48,$AP$19:AP48,"Yes",$E$19:E48,"&gt;0",$AF$19:AF48,AF48))</x:f>
        <x:v>4</x:v>
      </x:c>
      <x:c r="AH48" s="601" t="n">
        <x:f>IF(OR(AP48&lt;&gt;"Yes",E48=0),"",IFERROR(100*(COUNTIFS($AP$19:$AP$186,"Yes",$E$19:$E$186,"&gt;0",$J$19:$J$186,"&lt;"&amp;J48)+(COUNTIFS($AP$19:$AP$186,"Yes",$E$19:$E$186,"&gt;0",$J$19:$J$186,J48)-1)/2)/(COUNTIFS($AP$19:$AP$186,"Yes",$E$19:$E$186,"&gt;0")-1),50))</x:f>
        <x:v>33.116883116883116</x:v>
      </x:c>
      <x:c r="AI48" s="601" t="n">
        <x:f>IF(AH48="","",AH48*'Specialisation Rankings'!$O$16+R48*'Specialisation Rankings'!$O$17)</x:f>
        <x:v>39.15584415584416</x:v>
      </x:c>
      <x:c r="AJ48" s="601" t="n">
        <x:f>IF(AI48="","",COUNTIFS($A$19:$A$186,A48,$AP$19:$AP$186,"Yes",$E$19:$E$186,"&gt;0",$AI$19:$AI$186,"&gt;"&amp;AI48)+COUNTIFS($A$19:A48,A48,$AP$19:AP48,"Yes",$E$19:E48,"&gt;0",$AI$19:AI48,AI48))</x:f>
        <x:v>8</x:v>
      </x:c>
      <x:c r="AK48" s="601" t="n">
        <x:f>IF(OR(AP48&lt;&gt;"Yes",E48=0),"",IF(M48=0,'Specialisation Rankings'!$O$23,V48))</x:f>
        <x:v>8.547008547008547</x:v>
      </x:c>
      <x:c r="AL48" s="601" t="n">
        <x:f>IF(AK48="","",COUNTIFS($A$19:$A$186,A48,$AP$19:$AP$186,"Yes",$E$19:$E$186,"&gt;0",$AK$19:$AK$186,"&gt;"&amp;AK48)+COUNTIFS($A$19:A48,A48,$AP$19:AP48,"Yes",$E$19:E48,"&gt;0",$AK$19:AK48,AK48))</x:f>
        <x:v>11</x:v>
      </x:c>
      <x:c r="AM48" s="601" t="n">
        <x:f>IF(AC48="","",AC48*'Specialisation Rankings'!$O$18+AF48*'Specialisation Rankings'!$O$19+AI48*'Specialisation Rankings'!$O$20+AK48*'Specialisation Rankings'!$O$21)</x:f>
        <x:v>29.393661893661896</x:v>
      </x:c>
      <x:c r="AN48" s="601" t="n">
        <x:f>IF(AM48="","",COUNTIFS($A$19:$A$186,A48,$AP$19:$AP$186,"Yes",$E$19:$E$186,"&gt;0",$AM$19:$AM$186,"&gt;"&amp;AM48)+COUNTIFS($A$19:A48,A48,$AP$19:AP48,"Yes",$E$19:E48,"&gt;0",$AM$19:AM48,AM48))</x:f>
        <x:v>11</x:v>
      </x:c>
      <x:c r="AO48" s="601" t="n">
        <x:f>IF(AM48="","",COUNTIFS($AP$19:$AP$186,"Yes",$E$19:$E$186,"&gt;0",$AM$19:$AM$186,"&gt;"&amp;AM48)+COUNTIFS($AP$19:AP48,"Yes",$E$19:E48,"&gt;0",$AM$19:AM48,AM48))</x:f>
        <x:v>128</x:v>
      </x:c>
      <x:c r="AP48" s="602" t="str">
        <x:f>IF(COUNTIFS('Player Scenario Model'!$A$6:$A$172,A48,'Player Scenario Model'!$B$6:$B$172,B48)&gt;0,"Yes","No")</x:f>
        <x:v>Yes</x:v>
      </x:c>
    </x:row>
    <x:row r="49" ht="24" customHeight="1">
      <x:c r="A49" s="430" t="str">
        <x:v>K91</x:v>
      </x:c>
      <x:c r="B49" s="430" t="str">
        <x:v>TatyToy</x:v>
      </x:c>
      <x:c r="C49" s="431" t="n">
        <x:f>COUNTIFS('Specialisations'!$A$6:$A$527,A49,'Specialisations'!$B$6:$B$527,B49)</x:f>
        <x:v>3</x:v>
      </x:c>
      <x:c r="D49" s="431" t="n">
        <x:f>COUNTIFS('Specialisations'!$A$6:$A$527,A49,'Specialisations'!$B$6:$B$527,B49,'Specialisations'!$P$6:$P$527,"OK")</x:f>
        <x:v>3</x:v>
      </x:c>
      <x:c r="E49" s="431" t="n">
        <x:f>COUNTIFS('Specialisations'!$A$6:$A$527,A49,'Specialisations'!$B$6:$B$527,B49,'Specialisations'!$P$6:$P$527,"OK",'Specialisations'!$C$6:$C$527,"&lt;&gt;Guards")</x:f>
        <x:v>2</x:v>
      </x:c>
      <x:c r="F49" s="432" t="n">
        <x:f>IF(C49=0,"",D49/C49)</x:f>
        <x:v>1</x:v>
      </x:c>
      <x:c r="G49" s="495" t="n">
        <x:f>SUMIFS('Specialisations'!$Q$6:$Q$527,'Specialisations'!$A$6:$A$527,A49,'Specialisations'!$B$6:$B$527,B49,'Specialisations'!$C$6:$C$527,"Guards")</x:f>
        <x:v>-8.24</x:v>
      </x:c>
      <x:c r="H49" s="495" t="n">
        <x:f>SUMIFS('Specialisations'!$Q$6:$Q$527,'Specialisations'!$A$6:$A$527,A49,'Specialisations'!$B$6:$B$527,B49,'Specialisations'!$C$6:$C$527,"Archers")</x:f>
        <x:v>49.93</x:v>
      </x:c>
      <x:c r="I49" s="495" t="n">
        <x:f>SUMIFS('Specialisations'!$Q$6:$Q$527,'Specialisations'!$A$6:$A$527,A49,'Specialisations'!$B$6:$B$527,B49,'Specialisations'!$C$6:$C$527,"Cavalry")</x:f>
        <x:v>0</x:v>
      </x:c>
      <x:c r="J49" s="495" t="n">
        <x:f>SUMIFS('Specialisations'!$Q$6:$Q$527,'Specialisations'!$A$6:$A$527,A49,'Specialisations'!$B$6:$B$527,B49,'Specialisations'!$C$6:$C$527,"Siege")</x:f>
        <x:v>0</x:v>
      </x:c>
      <x:c r="K49" s="495" t="n">
        <x:f>SUM(H49:J49)</x:f>
        <x:v>49.93</x:v>
      </x:c>
      <x:c r="L49" s="495" t="n">
        <x:f>SUM(G49,K49)</x:f>
        <x:v>41.69</x:v>
      </x:c>
      <x:c r="M49" s="433" t="n">
        <x:f>SUMIFS('Specialisations'!$N$6:$N$527,'Specialisations'!$A$6:$A$527,A49,'Specialisations'!$B$6:$B$527,B49,'Specialisations'!$C$6:$C$527,"Guards")</x:f>
        <x:v>619300</x:v>
      </x:c>
      <x:c r="N49" s="433" t="n">
        <x:f>SUMIFS('Specialisations'!$N$6:$N$527,'Specialisations'!$A$6:$A$527,A49,'Specialisations'!$B$6:$B$527,B49,'Specialisations'!$C$6:$C$527,"&lt;&gt;Guards")</x:f>
        <x:v>5323600</x:v>
      </x:c>
      <x:c r="O49" s="433" t="n">
        <x:f>SUM(M49:N49)</x:f>
        <x:v>5942900</x:v>
      </x:c>
      <x:c r="P49" s="434" t="n">
        <x:f>IF(E49=0,"",K49/E49)</x:f>
        <x:v>24.965</x:v>
      </x:c>
      <x:c r="Q49" s="501" t="n">
        <x:f>IF(E49=0,"",IFERROR(100*(COUNTIFS($E$19:$E$186,"&gt;0",$K$19:$K$186,"&lt;"&amp;K49)+(COUNTIFS($E$19:$E$186,"&gt;0",$K$19:$K$186,K49)-1)/2)/(COUNTIF($E$19:$E$186,"&gt;0")-1),50))</x:f>
        <x:v>12.987012987012987</x:v>
      </x:c>
      <x:c r="R49" s="501" t="n">
        <x:f>IF(E49=0,"",IFERROR(100*(COUNTIFS($E$19:$E$186,"&gt;0",$N$19:$N$186,"&lt;"&amp;N49)+(COUNTIFS($E$19:$E$186,"&gt;0",$N$19:$N$186,N49)-1)/2)/(COUNTIF($E$19:$E$186,"&gt;0")-1),50))</x:f>
        <x:v>13.636363636363637</x:v>
      </x:c>
      <x:c r="S49" s="501" t="n">
        <x:f>IF(E49=0,"",Q49*$R$5+R49*$R$6)</x:f>
        <x:v>13.116883116883116</x:v>
      </x:c>
      <x:c r="T49" s="501" t="n">
        <x:f>IF(M49=0,"",IFERROR(100*(COUNTIFS($M$19:$M$186,"&gt;0",$G$19:$G$186,"&gt;"&amp;G49)+(COUNTIFS($M$19:$M$186,"&gt;0",$G$19:$G$186,G49)-1)/2)/(COUNTIF($M$19:$M$186,"&gt;0")-1),50))</x:f>
        <x:v>4.700854700854701</x:v>
      </x:c>
      <x:c r="U49" s="501" t="n">
        <x:f>IF(M49=0,"",IFERROR(100*(COUNTIFS($M$19:$M$186,"&gt;0",$M$19:$M$186,"&lt;"&amp;M49)+(COUNTIFS($M$19:$M$186,"&gt;0",$M$19:$M$186,M49)-1)/2)/(COUNTIF($M$19:$M$186,"&gt;0")-1),50))</x:f>
        <x:v>4.700854700854701</x:v>
      </x:c>
      <x:c r="V49" s="501" t="n">
        <x:f>IF(M49=0,"",T49*$R$5+U49*$R$6)</x:f>
        <x:v>4.700854700854701</x:v>
      </x:c>
      <x:c r="W49" s="431" t="n">
        <x:f>IF(E49=0,"",COUNTIFS($A$19:$A$186,A49,$S$19:$S$186,"&gt;"&amp;S49)+COUNTIFS($A$19:A49,A49,$E$19:E49,"&gt;0",$S$19:S49,S49))</x:f>
        <x:v>20</x:v>
      </x:c>
      <x:c r="X49" s="431" t="n">
        <x:f>IF(S49="","",1+COUNTIF($S$19:$S$186,"&gt;"&amp;S49))</x:f>
        <x:v>137</x:v>
      </x:c>
      <x:c r="Y49" s="431" t="n">
        <x:f>IF(V49="","",1+COUNTIFS($A$19:$A$186,A49,$V$19:$V$186,"&gt;"&amp;V49))</x:f>
        <x:v>16</x:v>
      </x:c>
      <x:c r="Z49" s="431" t="n">
        <x:f>IF(V49="","",1+COUNTIF($V$19:$V$186,"&gt;"&amp;V49))</x:f>
        <x:v>112</x:v>
      </x:c>
      <x:c r="AA49" s="430" t="str">
        <x:f>IF(C49=0,"No specialisations recorded",IF(D49&lt;C49,"Review missing level","Recorded skills only"))</x:f>
        <x:v>Recorded skills only</x:v>
      </x:c>
      <x:c r="AB49" s="601" t="n">
        <x:f>IF(OR(AP49&lt;&gt;"Yes",E49=0),"",IFERROR(100*(COUNTIFS($AP$19:$AP$186,"Yes",$E$19:$E$186,"&gt;0",$I$19:$I$186,"&lt;"&amp;I49)+(COUNTIFS($AP$19:$AP$186,"Yes",$E$19:$E$186,"&gt;0",$I$19:$I$186,I49)-1)/2)/(COUNTIFS($AP$19:$AP$186,"Yes",$E$19:$E$186,"&gt;0")-1),50))</x:f>
        <x:v>10.38961038961039</x:v>
      </x:c>
      <x:c r="AC49" s="601" t="n">
        <x:f>IF(AB49="","",AB49*'Specialisation Rankings'!$O$16+R49*'Specialisation Rankings'!$O$17)</x:f>
        <x:v>11.038961038961041</x:v>
      </x:c>
      <x:c r="AD49" s="601" t="n">
        <x:f>IF(AC49="","",COUNTIFS($A$19:$A$186,A49,$AP$19:$AP$186,"Yes",$E$19:$E$186,"&gt;0",$AC$19:$AC$186,"&gt;"&amp;AC49)+COUNTIFS($A$19:A49,A49,$AP$19:AP49,"Yes",$E$19:E49,"&gt;0",$AC$19:AC49,AC49))</x:f>
        <x:v>20</x:v>
      </x:c>
      <x:c r="AE49" s="601" t="n">
        <x:f>IF(OR(AP49&lt;&gt;"Yes",E49=0),"",IFERROR(100*(COUNTIFS($AP$19:$AP$186,"Yes",$E$19:$E$186,"&gt;0",$H$19:$H$186,"&lt;"&amp;H49)+(COUNTIFS($AP$19:$AP$186,"Yes",$E$19:$E$186,"&gt;0",$H$19:$H$186,H49)-1)/2)/(COUNTIFS($AP$19:$AP$186,"Yes",$E$19:$E$186,"&gt;0")-1),50))</x:f>
        <x:v>77.92207792207792</x:v>
      </x:c>
      <x:c r="AF49" s="601" t="n">
        <x:f>IF(AE49="","",AE49*'Specialisation Rankings'!$O$16+R49*'Specialisation Rankings'!$O$17)</x:f>
        <x:v>65.06493506493507</x:v>
      </x:c>
      <x:c r="AG49" s="601" t="n">
        <x:f>IF(AF49="","",COUNTIFS($A$19:$A$186,A49,$AP$19:$AP$186,"Yes",$E$19:$E$186,"&gt;0",$AF$19:$AF$186,"&gt;"&amp;AF49)+COUNTIFS($A$19:A49,A49,$AP$19:AP49,"Yes",$E$19:E49,"&gt;0",$AF$19:AF49,AF49))</x:f>
        <x:v>16</x:v>
      </x:c>
      <x:c r="AH49" s="601" t="n">
        <x:f>IF(OR(AP49&lt;&gt;"Yes",E49=0),"",IFERROR(100*(COUNTIFS($AP$19:$AP$186,"Yes",$E$19:$E$186,"&gt;0",$J$19:$J$186,"&lt;"&amp;J49)+(COUNTIFS($AP$19:$AP$186,"Yes",$E$19:$E$186,"&gt;0",$J$19:$J$186,J49)-1)/2)/(COUNTIFS($AP$19:$AP$186,"Yes",$E$19:$E$186,"&gt;0")-1),50))</x:f>
        <x:v>33.116883116883116</x:v>
      </x:c>
      <x:c r="AI49" s="601" t="n">
        <x:f>IF(AH49="","",AH49*'Specialisation Rankings'!$O$16+R49*'Specialisation Rankings'!$O$17)</x:f>
        <x:v>29.22077922077922</x:v>
      </x:c>
      <x:c r="AJ49" s="601" t="n">
        <x:f>IF(AI49="","",COUNTIFS($A$19:$A$186,A49,$AP$19:$AP$186,"Yes",$E$19:$E$186,"&gt;0",$AI$19:$AI$186,"&gt;"&amp;AI49)+COUNTIFS($A$19:A49,A49,$AP$19:AP49,"Yes",$E$19:E49,"&gt;0",$AI$19:AI49,AI49))</x:f>
        <x:v>20</x:v>
      </x:c>
      <x:c r="AK49" s="601" t="n">
        <x:f>IF(OR(AP49&lt;&gt;"Yes",E49=0),"",IF(M49=0,'Specialisation Rankings'!$O$23,V49))</x:f>
        <x:v>4.700854700854701</x:v>
      </x:c>
      <x:c r="AL49" s="601" t="n">
        <x:f>IF(AK49="","",COUNTIFS($A$19:$A$186,A49,$AP$19:$AP$186,"Yes",$E$19:$E$186,"&gt;0",$AK$19:$AK$186,"&gt;"&amp;AK49)+COUNTIFS($A$19:A49,A49,$AP$19:AP49,"Yes",$E$19:E49,"&gt;0",$AK$19:AK49,AK49))</x:f>
        <x:v>17</x:v>
      </x:c>
      <x:c r="AM49" s="601" t="n">
        <x:f>IF(AC49="","",AC49*'Specialisation Rankings'!$O$18+AF49*'Specialisation Rankings'!$O$19+AI49*'Specialisation Rankings'!$O$20+AK49*'Specialisation Rankings'!$O$21)</x:f>
        <x:v>18.535020535020536</x:v>
      </x:c>
      <x:c r="AN49" s="601" t="n">
        <x:f>IF(AM49="","",COUNTIFS($A$19:$A$186,A49,$AP$19:$AP$186,"Yes",$E$19:$E$186,"&gt;0",$AM$19:$AM$186,"&gt;"&amp;AM49)+COUNTIFS($A$19:A49,A49,$AP$19:AP49,"Yes",$E$19:E49,"&gt;0",$AM$19:AM49,AM49))</x:f>
        <x:v>20</x:v>
      </x:c>
      <x:c r="AO49" s="601" t="n">
        <x:f>IF(AM49="","",COUNTIFS($AP$19:$AP$186,"Yes",$E$19:$E$186,"&gt;0",$AM$19:$AM$186,"&gt;"&amp;AM49)+COUNTIFS($AP$19:AP49,"Yes",$E$19:E49,"&gt;0",$AM$19:AM49,AM49))</x:f>
        <x:v>151</x:v>
      </x:c>
      <x:c r="AP49" s="602" t="str">
        <x:f>IF(COUNTIFS('Player Scenario Model'!$A$6:$A$172,A49,'Player Scenario Model'!$B$6:$B$172,B49)&gt;0,"Yes","No")</x:f>
        <x:v>Yes</x:v>
      </x:c>
    </x:row>
    <x:row r="50" ht="24" customHeight="1">
      <x:c r="A50" s="430" t="str">
        <x:v>K91</x:v>
      </x:c>
      <x:c r="B50" s="430" t="str">
        <x:v>AMANTIS</x:v>
      </x:c>
      <x:c r="C50" s="431" t="n">
        <x:f>COUNTIFS('Specialisations'!$A$6:$A$527,A50,'Specialisations'!$B$6:$B$527,B50)</x:f>
        <x:v>3</x:v>
      </x:c>
      <x:c r="D50" s="431" t="n">
        <x:f>COUNTIFS('Specialisations'!$A$6:$A$527,A50,'Specialisations'!$B$6:$B$527,B50,'Specialisations'!$P$6:$P$527,"OK")</x:f>
        <x:v>3</x:v>
      </x:c>
      <x:c r="E50" s="431" t="n">
        <x:f>COUNTIFS('Specialisations'!$A$6:$A$527,A50,'Specialisations'!$B$6:$B$527,B50,'Specialisations'!$P$6:$P$527,"OK",'Specialisations'!$C$6:$C$527,"&lt;&gt;Guards")</x:f>
        <x:v>2</x:v>
      </x:c>
      <x:c r="F50" s="432" t="n">
        <x:f>IF(C50=0,"",D50/C50)</x:f>
        <x:v>1</x:v>
      </x:c>
      <x:c r="G50" s="495" t="n">
        <x:f>SUMIFS('Specialisations'!$Q$6:$Q$527,'Specialisations'!$A$6:$A$527,A50,'Specialisations'!$B$6:$B$527,B50,'Specialisations'!$C$6:$C$527,"Guards")</x:f>
        <x:v>-3.58</x:v>
      </x:c>
      <x:c r="H50" s="495" t="n">
        <x:f>SUMIFS('Specialisations'!$Q$6:$Q$527,'Specialisations'!$A$6:$A$527,A50,'Specialisations'!$B$6:$B$527,B50,'Specialisations'!$C$6:$C$527,"Archers")</x:f>
        <x:v>68.24</x:v>
      </x:c>
      <x:c r="I50" s="495" t="n">
        <x:f>SUMIFS('Specialisations'!$Q$6:$Q$527,'Specialisations'!$A$6:$A$527,A50,'Specialisations'!$B$6:$B$527,B50,'Specialisations'!$C$6:$C$527,"Cavalry")</x:f>
        <x:v>0</x:v>
      </x:c>
      <x:c r="J50" s="495" t="n">
        <x:f>SUMIFS('Specialisations'!$Q$6:$Q$527,'Specialisations'!$A$6:$A$527,A50,'Specialisations'!$B$6:$B$527,B50,'Specialisations'!$C$6:$C$527,"Siege")</x:f>
        <x:v>0</x:v>
      </x:c>
      <x:c r="K50" s="495" t="n">
        <x:f>SUM(H50:J50)</x:f>
        <x:v>68.24</x:v>
      </x:c>
      <x:c r="L50" s="495" t="n">
        <x:f>SUM(G50,K50)</x:f>
        <x:v>64.66</x:v>
      </x:c>
      <x:c r="M50" s="433" t="n">
        <x:f>SUMIFS('Specialisations'!$N$6:$N$527,'Specialisations'!$A$6:$A$527,A50,'Specialisations'!$B$6:$B$527,B50,'Specialisations'!$C$6:$C$527,"Guards")</x:f>
        <x:v>226800</x:v>
      </x:c>
      <x:c r="N50" s="433" t="n">
        <x:f>SUMIFS('Specialisations'!$N$6:$N$527,'Specialisations'!$A$6:$A$527,A50,'Specialisations'!$B$6:$B$527,B50,'Specialisations'!$C$6:$C$527,"&lt;&gt;Guards")</x:f>
        <x:v>10953600</x:v>
      </x:c>
      <x:c r="O50" s="433" t="n">
        <x:f>SUM(M50:N50)</x:f>
        <x:v>11180400</x:v>
      </x:c>
      <x:c r="P50" s="434" t="n">
        <x:f>IF(E50=0,"",K50/E50)</x:f>
        <x:v>34.12</x:v>
      </x:c>
      <x:c r="Q50" s="501" t="n">
        <x:f>IF(E50=0,"",IFERROR(100*(COUNTIFS($E$19:$E$186,"&gt;0",$K$19:$K$186,"&lt;"&amp;K50)+(COUNTIFS($E$19:$E$186,"&gt;0",$K$19:$K$186,K50)-1)/2)/(COUNTIF($E$19:$E$186,"&gt;0")-1),50))</x:f>
        <x:v>33.116883116883116</x:v>
      </x:c>
      <x:c r="R50" s="501" t="n">
        <x:f>IF(E50=0,"",IFERROR(100*(COUNTIFS($E$19:$E$186,"&gt;0",$N$19:$N$186,"&lt;"&amp;N50)+(COUNTIFS($E$19:$E$186,"&gt;0",$N$19:$N$186,N50)-1)/2)/(COUNTIF($E$19:$E$186,"&gt;0")-1),50))</x:f>
        <x:v>56.493506493506494</x:v>
      </x:c>
      <x:c r="S50" s="501" t="n">
        <x:f>IF(E50=0,"",Q50*$R$5+R50*$R$6)</x:f>
        <x:v>37.79220779220779</x:v>
      </x:c>
      <x:c r="T50" s="501" t="n">
        <x:f>IF(M50=0,"",IFERROR(100*(COUNTIFS($M$19:$M$186,"&gt;0",$G$19:$G$186,"&gt;"&amp;G50)+(COUNTIFS($M$19:$M$186,"&gt;0",$G$19:$G$186,G50)-1)/2)/(COUNTIF($M$19:$M$186,"&gt;0")-1),50))</x:f>
        <x:v>0</x:v>
      </x:c>
      <x:c r="U50" s="501" t="n">
        <x:f>IF(M50=0,"",IFERROR(100*(COUNTIFS($M$19:$M$186,"&gt;0",$M$19:$M$186,"&lt;"&amp;M50)+(COUNTIFS($M$19:$M$186,"&gt;0",$M$19:$M$186,M50)-1)/2)/(COUNTIF($M$19:$M$186,"&gt;0")-1),50))</x:f>
        <x:v>0</x:v>
      </x:c>
      <x:c r="V50" s="501" t="n">
        <x:f>IF(M50=0,"",T50*$R$5+U50*$R$6)</x:f>
        <x:v>0</x:v>
      </x:c>
      <x:c r="W50" s="431" t="n">
        <x:f>IF(E50=0,"",COUNTIFS($A$19:$A$186,A50,$S$19:$S$186,"&gt;"&amp;S50)+COUNTIFS($A$19:A50,A50,$E$19:E50,"&gt;0",$S$19:S50,S50))</x:f>
        <x:v>13</x:v>
      </x:c>
      <x:c r="X50" s="431" t="n">
        <x:f>IF(S50="","",1+COUNTIF($S$19:$S$186,"&gt;"&amp;S50))</x:f>
        <x:v>94</x:v>
      </x:c>
      <x:c r="Y50" s="431" t="str">
        <x:f>IF(V50="","",1+COUNTIFS($A$19:$A$186,A50,$V$19:$V$186,"&gt;"&amp;V50))</x:f>
      </x:c>
      <x:c r="Z50" s="431" t="str">
        <x:f>IF(V50="","",1+COUNTIF($V$19:$V$186,"&gt;"&amp;V50))</x:f>
      </x:c>
      <x:c r="AA50" s="430" t="str">
        <x:f>IF(C50=0,"No specialisations recorded",IF(D50&lt;C50,"Review missing level","Recorded skills only"))</x:f>
        <x:v>Recorded skills only</x:v>
      </x:c>
      <x:c r="AB50" s="601" t="n">
        <x:f>IF(OR(AP50&lt;&gt;"Yes",E50=0),"",IFERROR(100*(COUNTIFS($AP$19:$AP$186,"Yes",$E$19:$E$186,"&gt;0",$I$19:$I$186,"&lt;"&amp;I50)+(COUNTIFS($AP$19:$AP$186,"Yes",$E$19:$E$186,"&gt;0",$I$19:$I$186,I50)-1)/2)/(COUNTIFS($AP$19:$AP$186,"Yes",$E$19:$E$186,"&gt;0")-1),50))</x:f>
        <x:v>10.38961038961039</x:v>
      </x:c>
      <x:c r="AC50" s="601" t="n">
        <x:f>IF(AB50="","",AB50*'Specialisation Rankings'!$O$16+R50*'Specialisation Rankings'!$O$17)</x:f>
        <x:v>19.61038961038961</x:v>
      </x:c>
      <x:c r="AD50" s="601" t="n">
        <x:f>IF(AC50="","",COUNTIFS($A$19:$A$186,A50,$AP$19:$AP$186,"Yes",$E$19:$E$186,"&gt;0",$AC$19:$AC$186,"&gt;"&amp;AC50)+COUNTIFS($A$19:A50,A50,$AP$19:AP50,"Yes",$E$19:E50,"&gt;0",$AC$19:AC50,AC50))</x:f>
        <x:v>13</x:v>
      </x:c>
      <x:c r="AE50" s="601" t="n">
        <x:f>IF(OR(AP50&lt;&gt;"Yes",E50=0),"",IFERROR(100*(COUNTIFS($AP$19:$AP$186,"Yes",$E$19:$E$186,"&gt;0",$H$19:$H$186,"&lt;"&amp;H50)+(COUNTIFS($AP$19:$AP$186,"Yes",$E$19:$E$186,"&gt;0",$H$19:$H$186,H50)-1)/2)/(COUNTIFS($AP$19:$AP$186,"Yes",$E$19:$E$186,"&gt;0")-1),50))</x:f>
        <x:v>93.50649350649351</x:v>
      </x:c>
      <x:c r="AF50" s="601" t="n">
        <x:f>IF(AE50="","",AE50*'Specialisation Rankings'!$O$16+R50*'Specialisation Rankings'!$O$17)</x:f>
        <x:v>86.10389610389612</x:v>
      </x:c>
      <x:c r="AG50" s="601" t="n">
        <x:f>IF(AF50="","",COUNTIFS($A$19:$A$186,A50,$AP$19:$AP$186,"Yes",$E$19:$E$186,"&gt;0",$AF$19:$AF$186,"&gt;"&amp;AF50)+COUNTIFS($A$19:A50,A50,$AP$19:AP50,"Yes",$E$19:E50,"&gt;0",$AF$19:AF50,AF50))</x:f>
        <x:v>7</x:v>
      </x:c>
      <x:c r="AH50" s="601" t="n">
        <x:f>IF(OR(AP50&lt;&gt;"Yes",E50=0),"",IFERROR(100*(COUNTIFS($AP$19:$AP$186,"Yes",$E$19:$E$186,"&gt;0",$J$19:$J$186,"&lt;"&amp;J50)+(COUNTIFS($AP$19:$AP$186,"Yes",$E$19:$E$186,"&gt;0",$J$19:$J$186,J50)-1)/2)/(COUNTIFS($AP$19:$AP$186,"Yes",$E$19:$E$186,"&gt;0")-1),50))</x:f>
        <x:v>33.116883116883116</x:v>
      </x:c>
      <x:c r="AI50" s="601" t="n">
        <x:f>IF(AH50="","",AH50*'Specialisation Rankings'!$O$16+R50*'Specialisation Rankings'!$O$17)</x:f>
        <x:v>37.79220779220779</x:v>
      </x:c>
      <x:c r="AJ50" s="601" t="n">
        <x:f>IF(AI50="","",COUNTIFS($A$19:$A$186,A50,$AP$19:$AP$186,"Yes",$E$19:$E$186,"&gt;0",$AI$19:$AI$186,"&gt;"&amp;AI50)+COUNTIFS($A$19:A50,A50,$AP$19:AP50,"Yes",$E$19:E50,"&gt;0",$AI$19:AI50,AI50))</x:f>
        <x:v>12</x:v>
      </x:c>
      <x:c r="AK50" s="601" t="n">
        <x:f>IF(OR(AP50&lt;&gt;"Yes",E50=0),"",IF(M50=0,'Specialisation Rankings'!$O$23,V50))</x:f>
        <x:v>0</x:v>
      </x:c>
      <x:c r="AL50" s="601" t="str">
        <x:f>IF(AK50="","",COUNTIFS($A$19:$A$186,A50,$AP$19:$AP$186,"Yes",$E$19:$E$186,"&gt;0",$AK$19:$AK$186,"&gt;"&amp;AK50)+COUNTIFS($A$19:A50,A50,$AP$19:AP50,"Yes",$E$19:E50,"&gt;0",$AK$19:AK50,AK50))</x:f>
      </x:c>
      <x:c r="AM50" s="601" t="n">
        <x:f>IF(AC50="","",AC50*'Specialisation Rankings'!$O$18+AF50*'Specialisation Rankings'!$O$19+AI50*'Specialisation Rankings'!$O$20+AK50*'Specialisation Rankings'!$O$21)</x:f>
        <x:v>27.02597402597403</x:v>
      </x:c>
      <x:c r="AN50" s="601" t="n">
        <x:f>IF(AM50="","",COUNTIFS($A$19:$A$186,A50,$AP$19:$AP$186,"Yes",$E$19:$E$186,"&gt;0",$AM$19:$AM$186,"&gt;"&amp;AM50)+COUNTIFS($A$19:A50,A50,$AP$19:AP50,"Yes",$E$19:E50,"&gt;0",$AM$19:AM50,AM50))</x:f>
        <x:v>13</x:v>
      </x:c>
      <x:c r="AO50" s="601" t="n">
        <x:f>IF(AM50="","",COUNTIFS($AP$19:$AP$186,"Yes",$E$19:$E$186,"&gt;0",$AM$19:$AM$186,"&gt;"&amp;AM50)+COUNTIFS($AP$19:AP50,"Yes",$E$19:E50,"&gt;0",$AM$19:AM50,AM50))</x:f>
        <x:v>132</x:v>
      </x:c>
      <x:c r="AP50" s="602" t="str">
        <x:f>IF(COUNTIFS('Player Scenario Model'!$A$6:$A$172,A50,'Player Scenario Model'!$B$6:$B$172,B50)&gt;0,"Yes","No")</x:f>
        <x:v>Yes</x:v>
      </x:c>
    </x:row>
    <x:row r="51" ht="24" customHeight="1">
      <x:c r="A51" s="430" t="str">
        <x:v>K91</x:v>
      </x:c>
      <x:c r="B51" s="430" t="str">
        <x:v>Milhaus</x:v>
      </x:c>
      <x:c r="C51" s="431" t="n">
        <x:f>COUNTIFS('Specialisations'!$A$6:$A$527,A51,'Specialisations'!$B$6:$B$527,B51)</x:f>
        <x:v>3</x:v>
      </x:c>
      <x:c r="D51" s="431" t="n">
        <x:f>COUNTIFS('Specialisations'!$A$6:$A$527,A51,'Specialisations'!$B$6:$B$527,B51,'Specialisations'!$P$6:$P$527,"OK")</x:f>
        <x:v>3</x:v>
      </x:c>
      <x:c r="E51" s="431" t="n">
        <x:f>COUNTIFS('Specialisations'!$A$6:$A$527,A51,'Specialisations'!$B$6:$B$527,B51,'Specialisations'!$P$6:$P$527,"OK",'Specialisations'!$C$6:$C$527,"&lt;&gt;Guards")</x:f>
        <x:v>2</x:v>
      </x:c>
      <x:c r="F51" s="432" t="n">
        <x:f>IF(C51=0,"",D51/C51)</x:f>
        <x:v>1</x:v>
      </x:c>
      <x:c r="G51" s="495" t="n">
        <x:f>SUMIFS('Specialisations'!$Q$6:$Q$527,'Specialisations'!$A$6:$A$527,A51,'Specialisations'!$B$6:$B$527,B51,'Specialisations'!$C$6:$C$527,"Guards")</x:f>
        <x:v>-27.74</x:v>
      </x:c>
      <x:c r="H51" s="495" t="n">
        <x:f>SUMIFS('Specialisations'!$Q$6:$Q$527,'Specialisations'!$A$6:$A$527,A51,'Specialisations'!$B$6:$B$527,B51,'Specialisations'!$C$6:$C$527,"Archers")</x:f>
        <x:v>84</x:v>
      </x:c>
      <x:c r="I51" s="495" t="n">
        <x:f>SUMIFS('Specialisations'!$Q$6:$Q$527,'Specialisations'!$A$6:$A$527,A51,'Specialisations'!$B$6:$B$527,B51,'Specialisations'!$C$6:$C$527,"Cavalry")</x:f>
        <x:v>0</x:v>
      </x:c>
      <x:c r="J51" s="495" t="n">
        <x:f>SUMIFS('Specialisations'!$Q$6:$Q$527,'Specialisations'!$A$6:$A$527,A51,'Specialisations'!$B$6:$B$527,B51,'Specialisations'!$C$6:$C$527,"Siege")</x:f>
        <x:v>0</x:v>
      </x:c>
      <x:c r="K51" s="495" t="n">
        <x:f>SUM(H51:J51)</x:f>
        <x:v>84</x:v>
      </x:c>
      <x:c r="L51" s="495" t="n">
        <x:f>SUM(G51,K51)</x:f>
        <x:v>56.260000000000005</x:v>
      </x:c>
      <x:c r="M51" s="433" t="n">
        <x:f>SUMIFS('Specialisations'!$N$6:$N$527,'Specialisations'!$A$6:$A$527,A51,'Specialisations'!$B$6:$B$527,B51,'Specialisations'!$C$6:$C$527,"Guards")</x:f>
        <x:v>2244300</x:v>
      </x:c>
      <x:c r="N51" s="433" t="n">
        <x:f>SUMIFS('Specialisations'!$N$6:$N$527,'Specialisations'!$A$6:$A$527,A51,'Specialisations'!$B$6:$B$527,B51,'Specialisations'!$C$6:$C$527,"&lt;&gt;Guards")</x:f>
        <x:v>12338600</x:v>
      </x:c>
      <x:c r="O51" s="433" t="n">
        <x:f>SUM(M51:N51)</x:f>
        <x:v>14582900</x:v>
      </x:c>
      <x:c r="P51" s="434" t="n">
        <x:f>IF(E51=0,"",K51/E51)</x:f>
        <x:v>42</x:v>
      </x:c>
      <x:c r="Q51" s="501" t="n">
        <x:f>IF(E51=0,"",IFERROR(100*(COUNTIFS($E$19:$E$186,"&gt;0",$K$19:$K$186,"&lt;"&amp;K51)+(COUNTIFS($E$19:$E$186,"&gt;0",$K$19:$K$186,K51)-1)/2)/(COUNTIF($E$19:$E$186,"&gt;0")-1),50))</x:f>
        <x:v>43.506493506493506</x:v>
      </x:c>
      <x:c r="R51" s="501" t="n">
        <x:f>IF(E51=0,"",IFERROR(100*(COUNTIFS($E$19:$E$186,"&gt;0",$N$19:$N$186,"&lt;"&amp;N51)+(COUNTIFS($E$19:$E$186,"&gt;0",$N$19:$N$186,N51)-1)/2)/(COUNTIF($E$19:$E$186,"&gt;0")-1),50))</x:f>
        <x:v>62.33766233766234</x:v>
      </x:c>
      <x:c r="S51" s="501" t="n">
        <x:f>IF(E51=0,"",Q51*$R$5+R51*$R$6)</x:f>
        <x:v>47.27272727272727</x:v>
      </x:c>
      <x:c r="T51" s="501" t="n">
        <x:f>IF(M51=0,"",IFERROR(100*(COUNTIFS($M$19:$M$186,"&gt;0",$G$19:$G$186,"&gt;"&amp;G51)+(COUNTIFS($M$19:$M$186,"&gt;0",$G$19:$G$186,G51)-1)/2)/(COUNTIF($M$19:$M$186,"&gt;0")-1),50))</x:f>
        <x:v>29.487179487179485</x:v>
      </x:c>
      <x:c r="U51" s="501" t="n">
        <x:f>IF(M51=0,"",IFERROR(100*(COUNTIFS($M$19:$M$186,"&gt;0",$M$19:$M$186,"&lt;"&amp;M51)+(COUNTIFS($M$19:$M$186,"&gt;0",$M$19:$M$186,M51)-1)/2)/(COUNTIF($M$19:$M$186,"&gt;0")-1),50))</x:f>
        <x:v>29.487179487179485</x:v>
      </x:c>
      <x:c r="V51" s="501" t="n">
        <x:f>IF(M51=0,"",T51*$R$5+U51*$R$6)</x:f>
        <x:v>29.48717948717949</x:v>
      </x:c>
      <x:c r="W51" s="431" t="n">
        <x:f>IF(E51=0,"",COUNTIFS($A$19:$A$186,A51,$S$19:$S$186,"&gt;"&amp;S51)+COUNTIFS($A$19:A51,A51,$E$19:E51,"&gt;0",$S$19:S51,S51))</x:f>
        <x:v>9</x:v>
      </x:c>
      <x:c r="X51" s="431" t="n">
        <x:f>IF(S51="","",1+COUNTIF($S$19:$S$186,"&gt;"&amp;S51))</x:f>
        <x:v>82</x:v>
      </x:c>
      <x:c r="Y51" s="431" t="n">
        <x:f>IF(V51="","",1+COUNTIFS($A$19:$A$186,A51,$V$19:$V$186,"&gt;"&amp;V51))</x:f>
        <x:v>2</x:v>
      </x:c>
      <x:c r="Z51" s="431" t="n">
        <x:f>IF(V51="","",1+COUNTIF($V$19:$V$186,"&gt;"&amp;V51))</x:f>
        <x:v>70</x:v>
      </x:c>
      <x:c r="AA51" s="430" t="str">
        <x:f>IF(C51=0,"No specialisations recorded",IF(D51&lt;C51,"Review missing level","Recorded skills only"))</x:f>
        <x:v>Recorded skills only</x:v>
      </x:c>
      <x:c r="AB51" s="601" t="n">
        <x:f>IF(OR(AP51&lt;&gt;"Yes",E51=0),"",IFERROR(100*(COUNTIFS($AP$19:$AP$186,"Yes",$E$19:$E$186,"&gt;0",$I$19:$I$186,"&lt;"&amp;I51)+(COUNTIFS($AP$19:$AP$186,"Yes",$E$19:$E$186,"&gt;0",$I$19:$I$186,I51)-1)/2)/(COUNTIFS($AP$19:$AP$186,"Yes",$E$19:$E$186,"&gt;0")-1),50))</x:f>
        <x:v>10.38961038961039</x:v>
      </x:c>
      <x:c r="AC51" s="601" t="n">
        <x:f>IF(AB51="","",AB51*'Specialisation Rankings'!$O$16+R51*'Specialisation Rankings'!$O$17)</x:f>
        <x:v>20.77922077922078</x:v>
      </x:c>
      <x:c r="AD51" s="601" t="n">
        <x:f>IF(AC51="","",COUNTIFS($A$19:$A$186,A51,$AP$19:$AP$186,"Yes",$E$19:$E$186,"&gt;0",$AC$19:$AC$186,"&gt;"&amp;AC51)+COUNTIFS($A$19:A51,A51,$AP$19:AP51,"Yes",$E$19:E51,"&gt;0",$AC$19:AC51,AC51))</x:f>
        <x:v>11</x:v>
      </x:c>
      <x:c r="AE51" s="601" t="n">
        <x:f>IF(OR(AP51&lt;&gt;"Yes",E51=0),"",IFERROR(100*(COUNTIFS($AP$19:$AP$186,"Yes",$E$19:$E$186,"&gt;0",$H$19:$H$186,"&lt;"&amp;H51)+(COUNTIFS($AP$19:$AP$186,"Yes",$E$19:$E$186,"&gt;0",$H$19:$H$186,H51)-1)/2)/(COUNTIFS($AP$19:$AP$186,"Yes",$E$19:$E$186,"&gt;0")-1),50))</x:f>
        <x:v>95.45454545454545</x:v>
      </x:c>
      <x:c r="AF51" s="601" t="n">
        <x:f>IF(AE51="","",AE51*'Specialisation Rankings'!$O$16+R51*'Specialisation Rankings'!$O$17)</x:f>
        <x:v>88.83116883116882</x:v>
      </x:c>
      <x:c r="AG51" s="601" t="n">
        <x:f>IF(AF51="","",COUNTIFS($A$19:$A$186,A51,$AP$19:$AP$186,"Yes",$E$19:$E$186,"&gt;0",$AF$19:$AF$186,"&gt;"&amp;AF51)+COUNTIFS($A$19:A51,A51,$AP$19:AP51,"Yes",$E$19:E51,"&gt;0",$AF$19:AF51,AF51))</x:f>
        <x:v>5</x:v>
      </x:c>
      <x:c r="AH51" s="601" t="n">
        <x:f>IF(OR(AP51&lt;&gt;"Yes",E51=0),"",IFERROR(100*(COUNTIFS($AP$19:$AP$186,"Yes",$E$19:$E$186,"&gt;0",$J$19:$J$186,"&lt;"&amp;J51)+(COUNTIFS($AP$19:$AP$186,"Yes",$E$19:$E$186,"&gt;0",$J$19:$J$186,J51)-1)/2)/(COUNTIFS($AP$19:$AP$186,"Yes",$E$19:$E$186,"&gt;0")-1),50))</x:f>
        <x:v>33.116883116883116</x:v>
      </x:c>
      <x:c r="AI51" s="601" t="n">
        <x:f>IF(AH51="","",AH51*'Specialisation Rankings'!$O$16+R51*'Specialisation Rankings'!$O$17)</x:f>
        <x:v>38.961038961038966</x:v>
      </x:c>
      <x:c r="AJ51" s="601" t="n">
        <x:f>IF(AI51="","",COUNTIFS($A$19:$A$186,A51,$AP$19:$AP$186,"Yes",$E$19:$E$186,"&gt;0",$AI$19:$AI$186,"&gt;"&amp;AI51)+COUNTIFS($A$19:A51,A51,$AP$19:AP51,"Yes",$E$19:E51,"&gt;0",$AI$19:AI51,AI51))</x:f>
        <x:v>9</x:v>
      </x:c>
      <x:c r="AK51" s="601" t="n">
        <x:f>IF(OR(AP51&lt;&gt;"Yes",E51=0),"",IF(M51=0,'Specialisation Rankings'!$O$23,V51))</x:f>
        <x:v>29.48717948717949</x:v>
      </x:c>
      <x:c r="AL51" s="601" t="n">
        <x:f>IF(AK51="","",COUNTIFS($A$19:$A$186,A51,$AP$19:$AP$186,"Yes",$E$19:$E$186,"&gt;0",$AK$19:$AK$186,"&gt;"&amp;AK51)+COUNTIFS($A$19:A51,A51,$AP$19:AP51,"Yes",$E$19:E51,"&gt;0",$AK$19:AK51,AK51))</x:f>
        <x:v>4</x:v>
      </x:c>
      <x:c r="AM51" s="601" t="n">
        <x:f>IF(AC51="","",AC51*'Specialisation Rankings'!$O$18+AF51*'Specialisation Rankings'!$O$19+AI51*'Specialisation Rankings'!$O$20+AK51*'Specialisation Rankings'!$O$21)</x:f>
        <x:v>31.18248418248418</x:v>
      </x:c>
      <x:c r="AN51" s="601" t="n">
        <x:f>IF(AM51="","",COUNTIFS($A$19:$A$186,A51,$AP$19:$AP$186,"Yes",$E$19:$E$186,"&gt;0",$AM$19:$AM$186,"&gt;"&amp;AM51)+COUNTIFS($A$19:A51,A51,$AP$19:AP51,"Yes",$E$19:E51,"&gt;0",$AM$19:AM51,AM51))</x:f>
        <x:v>10</x:v>
      </x:c>
      <x:c r="AO51" s="601" t="n">
        <x:f>IF(AM51="","",COUNTIFS($AP$19:$AP$186,"Yes",$E$19:$E$186,"&gt;0",$AM$19:$AM$186,"&gt;"&amp;AM51)+COUNTIFS($AP$19:AP51,"Yes",$E$19:E51,"&gt;0",$AM$19:AM51,AM51))</x:f>
        <x:v>118</x:v>
      </x:c>
      <x:c r="AP51" s="602" t="str">
        <x:f>IF(COUNTIFS('Player Scenario Model'!$A$6:$A$172,A51,'Player Scenario Model'!$B$6:$B$172,B51)&gt;0,"Yes","No")</x:f>
        <x:v>Yes</x:v>
      </x:c>
    </x:row>
    <x:row r="52" ht="24" customHeight="1">
      <x:c r="A52" s="430" t="str">
        <x:v>K91</x:v>
      </x:c>
      <x:c r="B52" s="430" t="str">
        <x:v>金灵蛇</x:v>
      </x:c>
      <x:c r="C52" s="431" t="n">
        <x:f>COUNTIFS('Specialisations'!$A$6:$A$527,A52,'Specialisations'!$B$6:$B$527,B52)</x:f>
        <x:v>3</x:v>
      </x:c>
      <x:c r="D52" s="431" t="n">
        <x:f>COUNTIFS('Specialisations'!$A$6:$A$527,A52,'Specialisations'!$B$6:$B$527,B52,'Specialisations'!$P$6:$P$527,"OK")</x:f>
        <x:v>3</x:v>
      </x:c>
      <x:c r="E52" s="431" t="n">
        <x:f>COUNTIFS('Specialisations'!$A$6:$A$527,A52,'Specialisations'!$B$6:$B$527,B52,'Specialisations'!$P$6:$P$527,"OK",'Specialisations'!$C$6:$C$527,"&lt;&gt;Guards")</x:f>
        <x:v>2</x:v>
      </x:c>
      <x:c r="F52" s="432" t="n">
        <x:f>IF(C52=0,"",D52/C52)</x:f>
        <x:v>1</x:v>
      </x:c>
      <x:c r="G52" s="495" t="n">
        <x:f>SUMIFS('Specialisations'!$Q$6:$Q$527,'Specialisations'!$A$6:$A$527,A52,'Specialisations'!$B$6:$B$527,B52,'Specialisations'!$C$6:$C$527,"Guards")</x:f>
        <x:v>-16.2</x:v>
      </x:c>
      <x:c r="H52" s="495" t="n">
        <x:f>SUMIFS('Specialisations'!$Q$6:$Q$527,'Specialisations'!$A$6:$A$527,A52,'Specialisations'!$B$6:$B$527,B52,'Specialisations'!$C$6:$C$527,"Archers")</x:f>
        <x:v>55.92</x:v>
      </x:c>
      <x:c r="I52" s="495" t="n">
        <x:f>SUMIFS('Specialisations'!$Q$6:$Q$527,'Specialisations'!$A$6:$A$527,A52,'Specialisations'!$B$6:$B$527,B52,'Specialisations'!$C$6:$C$527,"Cavalry")</x:f>
        <x:v>0</x:v>
      </x:c>
      <x:c r="J52" s="495" t="n">
        <x:f>SUMIFS('Specialisations'!$Q$6:$Q$527,'Specialisations'!$A$6:$A$527,A52,'Specialisations'!$B$6:$B$527,B52,'Specialisations'!$C$6:$C$527,"Siege")</x:f>
        <x:v>0</x:v>
      </x:c>
      <x:c r="K52" s="495" t="n">
        <x:f>SUM(H52:J52)</x:f>
        <x:v>55.92</x:v>
      </x:c>
      <x:c r="L52" s="495" t="n">
        <x:f>SUM(G52,K52)</x:f>
        <x:v>39.72</x:v>
      </x:c>
      <x:c r="M52" s="433" t="n">
        <x:f>SUMIFS('Specialisations'!$N$6:$N$527,'Specialisations'!$A$6:$A$527,A52,'Specialisations'!$B$6:$B$527,B52,'Specialisations'!$C$6:$C$527,"Guards")</x:f>
        <x:v>1194300</x:v>
      </x:c>
      <x:c r="N52" s="433" t="n">
        <x:f>SUMIFS('Specialisations'!$N$6:$N$527,'Specialisations'!$A$6:$A$527,A52,'Specialisations'!$B$6:$B$527,B52,'Specialisations'!$C$6:$C$527,"&lt;&gt;Guards")</x:f>
        <x:v>7206100</x:v>
      </x:c>
      <x:c r="O52" s="433" t="n">
        <x:f>SUM(M52:N52)</x:f>
        <x:v>8400400</x:v>
      </x:c>
      <x:c r="P52" s="434" t="n">
        <x:f>IF(E52=0,"",K52/E52)</x:f>
        <x:v>27.96</x:v>
      </x:c>
      <x:c r="Q52" s="501" t="n">
        <x:f>IF(E52=0,"",IFERROR(100*(COUNTIFS($E$19:$E$186,"&gt;0",$K$19:$K$186,"&lt;"&amp;K52)+(COUNTIFS($E$19:$E$186,"&gt;0",$K$19:$K$186,K52)-1)/2)/(COUNTIF($E$19:$E$186,"&gt;0")-1),50))</x:f>
        <x:v>16.233766233766232</x:v>
      </x:c>
      <x:c r="R52" s="501" t="n">
        <x:f>IF(E52=0,"",IFERROR(100*(COUNTIFS($E$19:$E$186,"&gt;0",$N$19:$N$186,"&lt;"&amp;N52)+(COUNTIFS($E$19:$E$186,"&gt;0",$N$19:$N$186,N52)-1)/2)/(COUNTIF($E$19:$E$186,"&gt;0")-1),50))</x:f>
        <x:v>23.376623376623378</x:v>
      </x:c>
      <x:c r="S52" s="501" t="n">
        <x:f>IF(E52=0,"",Q52*$R$5+R52*$R$6)</x:f>
        <x:v>17.662337662337663</x:v>
      </x:c>
      <x:c r="T52" s="501" t="n">
        <x:f>IF(M52=0,"",IFERROR(100*(COUNTIFS($M$19:$M$186,"&gt;0",$G$19:$G$186,"&gt;"&amp;G52)+(COUNTIFS($M$19:$M$186,"&gt;0",$G$19:$G$186,G52)-1)/2)/(COUNTIF($M$19:$M$186,"&gt;0")-1),50))</x:f>
        <x:v>14.102564102564102</x:v>
      </x:c>
      <x:c r="U52" s="501" t="n">
        <x:f>IF(M52=0,"",IFERROR(100*(COUNTIFS($M$19:$M$186,"&gt;0",$M$19:$M$186,"&lt;"&amp;M52)+(COUNTIFS($M$19:$M$186,"&gt;0",$M$19:$M$186,M52)-1)/2)/(COUNTIF($M$19:$M$186,"&gt;0")-1),50))</x:f>
        <x:v>14.102564102564102</x:v>
      </x:c>
      <x:c r="V52" s="501" t="n">
        <x:f>IF(M52=0,"",T52*$R$5+U52*$R$6)</x:f>
        <x:v>14.102564102564102</x:v>
      </x:c>
      <x:c r="W52" s="431" t="n">
        <x:f>IF(E52=0,"",COUNTIFS($A$19:$A$186,A52,$S$19:$S$186,"&gt;"&amp;S52)+COUNTIFS($A$19:A52,A52,$E$19:E52,"&gt;0",$S$19:S52,S52))</x:f>
        <x:v>18</x:v>
      </x:c>
      <x:c r="X52" s="431" t="n">
        <x:f>IF(S52="","",1+COUNTIF($S$19:$S$186,"&gt;"&amp;S52))</x:f>
        <x:v>127</x:v>
      </x:c>
      <x:c r="Y52" s="431" t="n">
        <x:f>IF(V52="","",1+COUNTIFS($A$19:$A$186,A52,$V$19:$V$186,"&gt;"&amp;V52))</x:f>
        <x:v>7</x:v>
      </x:c>
      <x:c r="Z52" s="431" t="n">
        <x:f>IF(V52="","",1+COUNTIF($V$19:$V$186,"&gt;"&amp;V52))</x:f>
        <x:v>101</x:v>
      </x:c>
      <x:c r="AA52" s="430" t="str">
        <x:f>IF(C52=0,"No specialisations recorded",IF(D52&lt;C52,"Review missing level","Recorded skills only"))</x:f>
        <x:v>Recorded skills only</x:v>
      </x:c>
      <x:c r="AB52" s="601" t="n">
        <x:f>IF(OR(AP52&lt;&gt;"Yes",E52=0),"",IFERROR(100*(COUNTIFS($AP$19:$AP$186,"Yes",$E$19:$E$186,"&gt;0",$I$19:$I$186,"&lt;"&amp;I52)+(COUNTIFS($AP$19:$AP$186,"Yes",$E$19:$E$186,"&gt;0",$I$19:$I$186,I52)-1)/2)/(COUNTIFS($AP$19:$AP$186,"Yes",$E$19:$E$186,"&gt;0")-1),50))</x:f>
        <x:v>10.38961038961039</x:v>
      </x:c>
      <x:c r="AC52" s="601" t="n">
        <x:f>IF(AB52="","",AB52*'Specialisation Rankings'!$O$16+R52*'Specialisation Rankings'!$O$17)</x:f>
        <x:v>12.987012987012989</x:v>
      </x:c>
      <x:c r="AD52" s="601" t="n">
        <x:f>IF(AC52="","",COUNTIFS($A$19:$A$186,A52,$AP$19:$AP$186,"Yes",$E$19:$E$186,"&gt;0",$AC$19:$AC$186,"&gt;"&amp;AC52)+COUNTIFS($A$19:A52,A52,$AP$19:AP52,"Yes",$E$19:E52,"&gt;0",$AC$19:AC52,AC52))</x:f>
        <x:v>16</x:v>
      </x:c>
      <x:c r="AE52" s="601" t="n">
        <x:f>IF(OR(AP52&lt;&gt;"Yes",E52=0),"",IFERROR(100*(COUNTIFS($AP$19:$AP$186,"Yes",$E$19:$E$186,"&gt;0",$H$19:$H$186,"&lt;"&amp;H52)+(COUNTIFS($AP$19:$AP$186,"Yes",$E$19:$E$186,"&gt;0",$H$19:$H$186,H52)-1)/2)/(COUNTIFS($AP$19:$AP$186,"Yes",$E$19:$E$186,"&gt;0")-1),50))</x:f>
        <x:v>83.76623376623377</x:v>
      </x:c>
      <x:c r="AF52" s="601" t="n">
        <x:f>IF(AE52="","",AE52*'Specialisation Rankings'!$O$16+R52*'Specialisation Rankings'!$O$17)</x:f>
        <x:v>71.68831168831169</x:v>
      </x:c>
      <x:c r="AG52" s="601" t="n">
        <x:f>IF(AF52="","",COUNTIFS($A$19:$A$186,A52,$AP$19:$AP$186,"Yes",$E$19:$E$186,"&gt;0",$AF$19:$AF$186,"&gt;"&amp;AF52)+COUNTIFS($A$19:A52,A52,$AP$19:AP52,"Yes",$E$19:E52,"&gt;0",$AF$19:AF52,AF52))</x:f>
        <x:v>14</x:v>
      </x:c>
      <x:c r="AH52" s="601" t="n">
        <x:f>IF(OR(AP52&lt;&gt;"Yes",E52=0),"",IFERROR(100*(COUNTIFS($AP$19:$AP$186,"Yes",$E$19:$E$186,"&gt;0",$J$19:$J$186,"&lt;"&amp;J52)+(COUNTIFS($AP$19:$AP$186,"Yes",$E$19:$E$186,"&gt;0",$J$19:$J$186,J52)-1)/2)/(COUNTIFS($AP$19:$AP$186,"Yes",$E$19:$E$186,"&gt;0")-1),50))</x:f>
        <x:v>33.116883116883116</x:v>
      </x:c>
      <x:c r="AI52" s="601" t="n">
        <x:f>IF(AH52="","",AH52*'Specialisation Rankings'!$O$16+R52*'Specialisation Rankings'!$O$17)</x:f>
        <x:v>31.16883116883117</x:v>
      </x:c>
      <x:c r="AJ52" s="601" t="n">
        <x:f>IF(AI52="","",COUNTIFS($A$19:$A$186,A52,$AP$19:$AP$186,"Yes",$E$19:$E$186,"&gt;0",$AI$19:$AI$186,"&gt;"&amp;AI52)+COUNTIFS($A$19:A52,A52,$AP$19:AP52,"Yes",$E$19:E52,"&gt;0",$AI$19:AI52,AI52))</x:f>
        <x:v>15</x:v>
      </x:c>
      <x:c r="AK52" s="601" t="n">
        <x:f>IF(OR(AP52&lt;&gt;"Yes",E52=0),"",IF(M52=0,'Specialisation Rankings'!$O$23,V52))</x:f>
        <x:v>14.102564102564102</x:v>
      </x:c>
      <x:c r="AL52" s="601" t="n">
        <x:f>IF(AK52="","",COUNTIFS($A$19:$A$186,A52,$AP$19:$AP$186,"Yes",$E$19:$E$186,"&gt;0",$AK$19:$AK$186,"&gt;"&amp;AK52)+COUNTIFS($A$19:A52,A52,$AP$19:AP52,"Yes",$E$19:E52,"&gt;0",$AK$19:AK52,AK52))</x:f>
        <x:v>8</x:v>
      </x:c>
      <x:c r="AM52" s="601" t="n">
        <x:f>IF(AC52="","",AC52*'Specialisation Rankings'!$O$18+AF52*'Specialisation Rankings'!$O$19+AI52*'Specialisation Rankings'!$O$20+AK52*'Specialisation Rankings'!$O$21)</x:f>
        <x:v>21.695970695970697</x:v>
      </x:c>
      <x:c r="AN52" s="601" t="n">
        <x:f>IF(AM52="","",COUNTIFS($A$19:$A$186,A52,$AP$19:$AP$186,"Yes",$E$19:$E$186,"&gt;0",$AM$19:$AM$186,"&gt;"&amp;AM52)+COUNTIFS($A$19:A52,A52,$AP$19:AP52,"Yes",$E$19:E52,"&gt;0",$AM$19:AM52,AM52))</x:f>
        <x:v>16</x:v>
      </x:c>
      <x:c r="AO52" s="601" t="n">
        <x:f>IF(AM52="","",COUNTIFS($AP$19:$AP$186,"Yes",$E$19:$E$186,"&gt;0",$AM$19:$AM$186,"&gt;"&amp;AM52)+COUNTIFS($AP$19:AP52,"Yes",$E$19:E52,"&gt;0",$AM$19:AM52,AM52))</x:f>
        <x:v>144</x:v>
      </x:c>
      <x:c r="AP52" s="602" t="str">
        <x:f>IF(COUNTIFS('Player Scenario Model'!$A$6:$A$172,A52,'Player Scenario Model'!$B$6:$B$172,B52)&gt;0,"Yes","No")</x:f>
        <x:v>Yes</x:v>
      </x:c>
    </x:row>
    <x:row r="53" ht="24" customHeight="1">
      <x:c r="A53" s="430" t="str">
        <x:v>K91</x:v>
      </x:c>
      <x:c r="B53" s="430" t="str">
        <x:v>Nico•</x:v>
      </x:c>
      <x:c r="C53" s="431" t="n">
        <x:f>COUNTIFS('Specialisations'!$A$6:$A$527,A53,'Specialisations'!$B$6:$B$527,B53)</x:f>
        <x:v>3</x:v>
      </x:c>
      <x:c r="D53" s="431" t="n">
        <x:f>COUNTIFS('Specialisations'!$A$6:$A$527,A53,'Specialisations'!$B$6:$B$527,B53,'Specialisations'!$P$6:$P$527,"OK")</x:f>
        <x:v>3</x:v>
      </x:c>
      <x:c r="E53" s="431" t="n">
        <x:f>COUNTIFS('Specialisations'!$A$6:$A$527,A53,'Specialisations'!$B$6:$B$527,B53,'Specialisations'!$P$6:$P$527,"OK",'Specialisations'!$C$6:$C$527,"&lt;&gt;Guards")</x:f>
        <x:v>2</x:v>
      </x:c>
      <x:c r="F53" s="432" t="n">
        <x:f>IF(C53=0,"",D53/C53)</x:f>
        <x:v>1</x:v>
      </x:c>
      <x:c r="G53" s="495" t="n">
        <x:f>SUMIFS('Specialisations'!$Q$6:$Q$527,'Specialisations'!$A$6:$A$527,A53,'Specialisations'!$B$6:$B$527,B53,'Specialisations'!$C$6:$C$527,"Guards")</x:f>
        <x:v>-10.82</x:v>
      </x:c>
      <x:c r="H53" s="495" t="n">
        <x:f>SUMIFS('Specialisations'!$Q$6:$Q$527,'Specialisations'!$A$6:$A$527,A53,'Specialisations'!$B$6:$B$527,B53,'Specialisations'!$C$6:$C$527,"Archers")</x:f>
        <x:v>58.540000000000006</x:v>
      </x:c>
      <x:c r="I53" s="495" t="n">
        <x:f>SUMIFS('Specialisations'!$Q$6:$Q$527,'Specialisations'!$A$6:$A$527,A53,'Specialisations'!$B$6:$B$527,B53,'Specialisations'!$C$6:$C$527,"Cavalry")</x:f>
        <x:v>0</x:v>
      </x:c>
      <x:c r="J53" s="495" t="n">
        <x:f>SUMIFS('Specialisations'!$Q$6:$Q$527,'Specialisations'!$A$6:$A$527,A53,'Specialisations'!$B$6:$B$527,B53,'Specialisations'!$C$6:$C$527,"Siege")</x:f>
        <x:v>0</x:v>
      </x:c>
      <x:c r="K53" s="495" t="n">
        <x:f>SUM(H53:J53)</x:f>
        <x:v>58.540000000000006</x:v>
      </x:c>
      <x:c r="L53" s="495" t="n">
        <x:f>SUM(G53,K53)</x:f>
        <x:v>47.720000000000006</x:v>
      </x:c>
      <x:c r="M53" s="433" t="n">
        <x:f>SUMIFS('Specialisations'!$N$6:$N$527,'Specialisations'!$A$6:$A$527,A53,'Specialisations'!$B$6:$B$527,B53,'Specialisations'!$C$6:$C$527,"Guards")</x:f>
        <x:v>774300</x:v>
      </x:c>
      <x:c r="N53" s="433" t="n">
        <x:f>SUMIFS('Specialisations'!$N$6:$N$527,'Specialisations'!$A$6:$A$527,A53,'Specialisations'!$B$6:$B$527,B53,'Specialisations'!$C$6:$C$527,"&lt;&gt;Guards")</x:f>
        <x:v>5968600</x:v>
      </x:c>
      <x:c r="O53" s="433" t="n">
        <x:f>SUM(M53:N53)</x:f>
        <x:v>6742900</x:v>
      </x:c>
      <x:c r="P53" s="434" t="n">
        <x:f>IF(E53=0,"",K53/E53)</x:f>
        <x:v>29.270000000000003</x:v>
      </x:c>
      <x:c r="Q53" s="501" t="n">
        <x:f>IF(E53=0,"",IFERROR(100*(COUNTIFS($E$19:$E$186,"&gt;0",$K$19:$K$186,"&lt;"&amp;K53)+(COUNTIFS($E$19:$E$186,"&gt;0",$K$19:$K$186,K53)-1)/2)/(COUNTIF($E$19:$E$186,"&gt;0")-1),50))</x:f>
        <x:v>20.12987012987013</x:v>
      </x:c>
      <x:c r="R53" s="501" t="n">
        <x:f>IF(E53=0,"",IFERROR(100*(COUNTIFS($E$19:$E$186,"&gt;0",$N$19:$N$186,"&lt;"&amp;N53)+(COUNTIFS($E$19:$E$186,"&gt;0",$N$19:$N$186,N53)-1)/2)/(COUNTIF($E$19:$E$186,"&gt;0")-1),50))</x:f>
        <x:v>19.48051948051948</x:v>
      </x:c>
      <x:c r="S53" s="501" t="n">
        <x:f>IF(E53=0,"",Q53*$R$5+R53*$R$6)</x:f>
        <x:v>20</x:v>
      </x:c>
      <x:c r="T53" s="501" t="n">
        <x:f>IF(M53=0,"",IFERROR(100*(COUNTIFS($M$19:$M$186,"&gt;0",$G$19:$G$186,"&gt;"&amp;G53)+(COUNTIFS($M$19:$M$186,"&gt;0",$G$19:$G$186,G53)-1)/2)/(COUNTIF($M$19:$M$186,"&gt;0")-1),50))</x:f>
        <x:v>8.547008547008547</x:v>
      </x:c>
      <x:c r="U53" s="501" t="n">
        <x:f>IF(M53=0,"",IFERROR(100*(COUNTIFS($M$19:$M$186,"&gt;0",$M$19:$M$186,"&lt;"&amp;M53)+(COUNTIFS($M$19:$M$186,"&gt;0",$M$19:$M$186,M53)-1)/2)/(COUNTIF($M$19:$M$186,"&gt;0")-1),50))</x:f>
        <x:v>8.547008547008547</x:v>
      </x:c>
      <x:c r="V53" s="501" t="n">
        <x:f>IF(M53=0,"",T53*$R$5+U53*$R$6)</x:f>
        <x:v>8.547008547008547</x:v>
      </x:c>
      <x:c r="W53" s="431" t="n">
        <x:f>IF(E53=0,"",COUNTIFS($A$19:$A$186,A53,$S$19:$S$186,"&gt;"&amp;S53)+COUNTIFS($A$19:A53,A53,$E$19:E53,"&gt;0",$S$19:S53,S53))</x:f>
        <x:v>16</x:v>
      </x:c>
      <x:c r="X53" s="431" t="n">
        <x:f>IF(S53="","",1+COUNTIF($S$19:$S$186,"&gt;"&amp;S53))</x:f>
        <x:v>124</x:v>
      </x:c>
      <x:c r="Y53" s="431" t="n">
        <x:f>IF(V53="","",1+COUNTIFS($A$19:$A$186,A53,$V$19:$V$186,"&gt;"&amp;V53))</x:f>
        <x:v>10</x:v>
      </x:c>
      <x:c r="Z53" s="431" t="n">
        <x:f>IF(V53="","",1+COUNTIF($V$19:$V$186,"&gt;"&amp;V53))</x:f>
        <x:v>105</x:v>
      </x:c>
      <x:c r="AA53" s="430" t="str">
        <x:f>IF(C53=0,"No specialisations recorded",IF(D53&lt;C53,"Review missing level","Recorded skills only"))</x:f>
        <x:v>Recorded skills only</x:v>
      </x:c>
      <x:c r="AB53" s="601" t="n">
        <x:f>IF(OR(AP53&lt;&gt;"Yes",E53=0),"",IFERROR(100*(COUNTIFS($AP$19:$AP$186,"Yes",$E$19:$E$186,"&gt;0",$I$19:$I$186,"&lt;"&amp;I53)+(COUNTIFS($AP$19:$AP$186,"Yes",$E$19:$E$186,"&gt;0",$I$19:$I$186,I53)-1)/2)/(COUNTIFS($AP$19:$AP$186,"Yes",$E$19:$E$186,"&gt;0")-1),50))</x:f>
        <x:v>10.38961038961039</x:v>
      </x:c>
      <x:c r="AC53" s="601" t="n">
        <x:f>IF(AB53="","",AB53*'Specialisation Rankings'!$O$16+R53*'Specialisation Rankings'!$O$17)</x:f>
        <x:v>12.20779220779221</x:v>
      </x:c>
      <x:c r="AD53" s="601" t="n">
        <x:f>IF(AC53="","",COUNTIFS($A$19:$A$186,A53,$AP$19:$AP$186,"Yes",$E$19:$E$186,"&gt;0",$AC$19:$AC$186,"&gt;"&amp;AC53)+COUNTIFS($A$19:A53,A53,$AP$19:AP53,"Yes",$E$19:E53,"&gt;0",$AC$19:AC53,AC53))</x:f>
        <x:v>18</x:v>
      </x:c>
      <x:c r="AE53" s="601" t="n">
        <x:f>IF(OR(AP53&lt;&gt;"Yes",E53=0),"",IFERROR(100*(COUNTIFS($AP$19:$AP$186,"Yes",$E$19:$E$186,"&gt;0",$H$19:$H$186,"&lt;"&amp;H53)+(COUNTIFS($AP$19:$AP$186,"Yes",$E$19:$E$186,"&gt;0",$H$19:$H$186,H53)-1)/2)/(COUNTIFS($AP$19:$AP$186,"Yes",$E$19:$E$186,"&gt;0")-1),50))</x:f>
        <x:v>85.71428571428571</x:v>
      </x:c>
      <x:c r="AF53" s="601" t="n">
        <x:f>IF(AE53="","",AE53*'Specialisation Rankings'!$O$16+R53*'Specialisation Rankings'!$O$17)</x:f>
        <x:v>72.46753246753246</x:v>
      </x:c>
      <x:c r="AG53" s="601" t="n">
        <x:f>IF(AF53="","",COUNTIFS($A$19:$A$186,A53,$AP$19:$AP$186,"Yes",$E$19:$E$186,"&gt;0",$AF$19:$AF$186,"&gt;"&amp;AF53)+COUNTIFS($A$19:A53,A53,$AP$19:AP53,"Yes",$E$19:E53,"&gt;0",$AF$19:AF53,AF53))</x:f>
        <x:v>13</x:v>
      </x:c>
      <x:c r="AH53" s="601" t="n">
        <x:f>IF(OR(AP53&lt;&gt;"Yes",E53=0),"",IFERROR(100*(COUNTIFS($AP$19:$AP$186,"Yes",$E$19:$E$186,"&gt;0",$J$19:$J$186,"&lt;"&amp;J53)+(COUNTIFS($AP$19:$AP$186,"Yes",$E$19:$E$186,"&gt;0",$J$19:$J$186,J53)-1)/2)/(COUNTIFS($AP$19:$AP$186,"Yes",$E$19:$E$186,"&gt;0")-1),50))</x:f>
        <x:v>33.116883116883116</x:v>
      </x:c>
      <x:c r="AI53" s="601" t="n">
        <x:f>IF(AH53="","",AH53*'Specialisation Rankings'!$O$16+R53*'Specialisation Rankings'!$O$17)</x:f>
        <x:v>30.38961038961039</x:v>
      </x:c>
      <x:c r="AJ53" s="601" t="n">
        <x:f>IF(AI53="","",COUNTIFS($A$19:$A$186,A53,$AP$19:$AP$186,"Yes",$E$19:$E$186,"&gt;0",$AI$19:$AI$186,"&gt;"&amp;AI53)+COUNTIFS($A$19:A53,A53,$AP$19:AP53,"Yes",$E$19:E53,"&gt;0",$AI$19:AI53,AI53))</x:f>
        <x:v>17</x:v>
      </x:c>
      <x:c r="AK53" s="601" t="n">
        <x:f>IF(OR(AP53&lt;&gt;"Yes",E53=0),"",IF(M53=0,'Specialisation Rankings'!$O$23,V53))</x:f>
        <x:v>8.547008547008547</x:v>
      </x:c>
      <x:c r="AL53" s="601" t="n">
        <x:f>IF(AK53="","",COUNTIFS($A$19:$A$186,A53,$AP$19:$AP$186,"Yes",$E$19:$E$186,"&gt;0",$AK$19:$AK$186,"&gt;"&amp;AK53)+COUNTIFS($A$19:A53,A53,$AP$19:AP53,"Yes",$E$19:E53,"&gt;0",$AK$19:AK53,AK53))</x:f>
        <x:v>12</x:v>
      </x:c>
      <x:c r="AM53" s="601" t="n">
        <x:f>IF(AC53="","",AC53*'Specialisation Rankings'!$O$18+AF53*'Specialisation Rankings'!$O$19+AI53*'Specialisation Rankings'!$O$20+AK53*'Specialisation Rankings'!$O$21)</x:f>
        <x:v>20.594960594960597</x:v>
      </x:c>
      <x:c r="AN53" s="601" t="n">
        <x:f>IF(AM53="","",COUNTIFS($A$19:$A$186,A53,$AP$19:$AP$186,"Yes",$E$19:$E$186,"&gt;0",$AM$19:$AM$186,"&gt;"&amp;AM53)+COUNTIFS($A$19:A53,A53,$AP$19:AP53,"Yes",$E$19:E53,"&gt;0",$AM$19:AM53,AM53))</x:f>
        <x:v>18</x:v>
      </x:c>
      <x:c r="AO53" s="601" t="n">
        <x:f>IF(AM53="","",COUNTIFS($AP$19:$AP$186,"Yes",$E$19:$E$186,"&gt;0",$AM$19:$AM$186,"&gt;"&amp;AM53)+COUNTIFS($AP$19:AP53,"Yes",$E$19:E53,"&gt;0",$AM$19:AM53,AM53))</x:f>
        <x:v>149</x:v>
      </x:c>
      <x:c r="AP53" s="602" t="str">
        <x:f>IF(COUNTIFS('Player Scenario Model'!$A$6:$A$172,A53,'Player Scenario Model'!$B$6:$B$172,B53)&gt;0,"Yes","No")</x:f>
        <x:v>Yes</x:v>
      </x:c>
    </x:row>
    <x:row r="54" ht="24" customHeight="1">
      <x:c r="A54" s="430" t="str">
        <x:v>K91</x:v>
      </x:c>
      <x:c r="B54" s="430" t="str">
        <x:v>†LORD•ZARIEL†</x:v>
      </x:c>
      <x:c r="C54" s="431" t="n">
        <x:f>COUNTIFS('Specialisations'!$A$6:$A$527,A54,'Specialisations'!$B$6:$B$527,B54)</x:f>
        <x:v>2</x:v>
      </x:c>
      <x:c r="D54" s="431" t="n">
        <x:f>COUNTIFS('Specialisations'!$A$6:$A$527,A54,'Specialisations'!$B$6:$B$527,B54,'Specialisations'!$P$6:$P$527,"OK")</x:f>
        <x:v>2</x:v>
      </x:c>
      <x:c r="E54" s="431" t="n">
        <x:f>COUNTIFS('Specialisations'!$A$6:$A$527,A54,'Specialisations'!$B$6:$B$527,B54,'Specialisations'!$P$6:$P$527,"OK",'Specialisations'!$C$6:$C$527,"&lt;&gt;Guards")</x:f>
        <x:v>1</x:v>
      </x:c>
      <x:c r="F54" s="432" t="n">
        <x:f>IF(C54=0,"",D54/C54)</x:f>
        <x:v>1</x:v>
      </x:c>
      <x:c r="G54" s="495" t="n">
        <x:f>SUMIFS('Specialisations'!$Q$6:$Q$527,'Specialisations'!$A$6:$A$527,A54,'Specialisations'!$B$6:$B$527,B54,'Specialisations'!$C$6:$C$527,"Guards")</x:f>
        <x:v>-10.82</x:v>
      </x:c>
      <x:c r="H54" s="495" t="n">
        <x:f>SUMIFS('Specialisations'!$Q$6:$Q$527,'Specialisations'!$A$6:$A$527,A54,'Specialisations'!$B$6:$B$527,B54,'Specialisations'!$C$6:$C$527,"Archers")</x:f>
        <x:v>48.38</x:v>
      </x:c>
      <x:c r="I54" s="495" t="n">
        <x:f>SUMIFS('Specialisations'!$Q$6:$Q$527,'Specialisations'!$A$6:$A$527,A54,'Specialisations'!$B$6:$B$527,B54,'Specialisations'!$C$6:$C$527,"Cavalry")</x:f>
        <x:v>0</x:v>
      </x:c>
      <x:c r="J54" s="495" t="n">
        <x:f>SUMIFS('Specialisations'!$Q$6:$Q$527,'Specialisations'!$A$6:$A$527,A54,'Specialisations'!$B$6:$B$527,B54,'Specialisations'!$C$6:$C$527,"Siege")</x:f>
        <x:v>0</x:v>
      </x:c>
      <x:c r="K54" s="495" t="n">
        <x:f>SUM(H54:J54)</x:f>
        <x:v>48.38</x:v>
      </x:c>
      <x:c r="L54" s="495" t="n">
        <x:f>SUM(G54,K54)</x:f>
        <x:v>37.56</x:v>
      </x:c>
      <x:c r="M54" s="433" t="n">
        <x:f>SUMIFS('Specialisations'!$N$6:$N$527,'Specialisations'!$A$6:$A$527,A54,'Specialisations'!$B$6:$B$527,B54,'Specialisations'!$C$6:$C$527,"Guards")</x:f>
        <x:v>774300</x:v>
      </x:c>
      <x:c r="N54" s="433" t="n">
        <x:f>SUMIFS('Specialisations'!$N$6:$N$527,'Specialisations'!$A$6:$A$527,A54,'Specialisations'!$B$6:$B$527,B54,'Specialisations'!$C$6:$C$527,"&lt;&gt;Guards")</x:f>
        <x:v>5884300</x:v>
      </x:c>
      <x:c r="O54" s="433" t="n">
        <x:f>SUM(M54:N54)</x:f>
        <x:v>6658600</x:v>
      </x:c>
      <x:c r="P54" s="434" t="n">
        <x:f>IF(E54=0,"",K54/E54)</x:f>
        <x:v>48.38</x:v>
      </x:c>
      <x:c r="Q54" s="501" t="n">
        <x:f>IF(E54=0,"",IFERROR(100*(COUNTIFS($E$19:$E$186,"&gt;0",$K$19:$K$186,"&lt;"&amp;K54)+(COUNTIFS($E$19:$E$186,"&gt;0",$K$19:$K$186,K54)-1)/2)/(COUNTIF($E$19:$E$186,"&gt;0")-1),50))</x:f>
        <x:v>12.012987012987013</x:v>
      </x:c>
      <x:c r="R54" s="501" t="n">
        <x:f>IF(E54=0,"",IFERROR(100*(COUNTIFS($E$19:$E$186,"&gt;0",$N$19:$N$186,"&lt;"&amp;N54)+(COUNTIFS($E$19:$E$186,"&gt;0",$N$19:$N$186,N54)-1)/2)/(COUNTIF($E$19:$E$186,"&gt;0")-1),50))</x:f>
        <x:v>18.506493506493506</x:v>
      </x:c>
      <x:c r="S54" s="501" t="n">
        <x:f>IF(E54=0,"",Q54*$R$5+R54*$R$6)</x:f>
        <x:v>13.311688311688311</x:v>
      </x:c>
      <x:c r="T54" s="501" t="n">
        <x:f>IF(M54=0,"",IFERROR(100*(COUNTIFS($M$19:$M$186,"&gt;0",$G$19:$G$186,"&gt;"&amp;G54)+(COUNTIFS($M$19:$M$186,"&gt;0",$G$19:$G$186,G54)-1)/2)/(COUNTIF($M$19:$M$186,"&gt;0")-1),50))</x:f>
        <x:v>8.547008547008547</x:v>
      </x:c>
      <x:c r="U54" s="501" t="n">
        <x:f>IF(M54=0,"",IFERROR(100*(COUNTIFS($M$19:$M$186,"&gt;0",$M$19:$M$186,"&lt;"&amp;M54)+(COUNTIFS($M$19:$M$186,"&gt;0",$M$19:$M$186,M54)-1)/2)/(COUNTIF($M$19:$M$186,"&gt;0")-1),50))</x:f>
        <x:v>8.547008547008547</x:v>
      </x:c>
      <x:c r="V54" s="501" t="n">
        <x:f>IF(M54=0,"",T54*$R$5+U54*$R$6)</x:f>
        <x:v>8.547008547008547</x:v>
      </x:c>
      <x:c r="W54" s="431" t="n">
        <x:f>IF(E54=0,"",COUNTIFS($A$19:$A$186,A54,$S$19:$S$186,"&gt;"&amp;S54)+COUNTIFS($A$19:A54,A54,$E$19:E54,"&gt;0",$S$19:S54,S54))</x:f>
        <x:v>19</x:v>
      </x:c>
      <x:c r="X54" s="431" t="n">
        <x:f>IF(S54="","",1+COUNTIF($S$19:$S$186,"&gt;"&amp;S54))</x:f>
        <x:v>135</x:v>
      </x:c>
      <x:c r="Y54" s="431" t="n">
        <x:f>IF(V54="","",1+COUNTIFS($A$19:$A$186,A54,$V$19:$V$186,"&gt;"&amp;V54))</x:f>
        <x:v>10</x:v>
      </x:c>
      <x:c r="Z54" s="431" t="n">
        <x:f>IF(V54="","",1+COUNTIF($V$19:$V$186,"&gt;"&amp;V54))</x:f>
        <x:v>105</x:v>
      </x:c>
      <x:c r="AA54" s="430" t="str">
        <x:f>IF(C54=0,"No specialisations recorded",IF(D54&lt;C54,"Review missing level","Recorded skills only"))</x:f>
        <x:v>Recorded skills only</x:v>
      </x:c>
      <x:c r="AB54" s="601" t="n">
        <x:f>IF(OR(AP54&lt;&gt;"Yes",E54=0),"",IFERROR(100*(COUNTIFS($AP$19:$AP$186,"Yes",$E$19:$E$186,"&gt;0",$I$19:$I$186,"&lt;"&amp;I54)+(COUNTIFS($AP$19:$AP$186,"Yes",$E$19:$E$186,"&gt;0",$I$19:$I$186,I54)-1)/2)/(COUNTIFS($AP$19:$AP$186,"Yes",$E$19:$E$186,"&gt;0")-1),50))</x:f>
        <x:v>10.38961038961039</x:v>
      </x:c>
      <x:c r="AC54" s="601" t="n">
        <x:f>IF(AB54="","",AB54*'Specialisation Rankings'!$O$16+R54*'Specialisation Rankings'!$O$17)</x:f>
        <x:v>12.012987012987015</x:v>
      </x:c>
      <x:c r="AD54" s="601" t="n">
        <x:f>IF(AC54="","",COUNTIFS($A$19:$A$186,A54,$AP$19:$AP$186,"Yes",$E$19:$E$186,"&gt;0",$AC$19:$AC$186,"&gt;"&amp;AC54)+COUNTIFS($A$19:A54,A54,$AP$19:AP54,"Yes",$E$19:E54,"&gt;0",$AC$19:AC54,AC54))</x:f>
        <x:v>19</x:v>
      </x:c>
      <x:c r="AE54" s="601" t="n">
        <x:f>IF(OR(AP54&lt;&gt;"Yes",E54=0),"",IFERROR(100*(COUNTIFS($AP$19:$AP$186,"Yes",$E$19:$E$186,"&gt;0",$H$19:$H$186,"&lt;"&amp;H54)+(COUNTIFS($AP$19:$AP$186,"Yes",$E$19:$E$186,"&gt;0",$H$19:$H$186,H54)-1)/2)/(COUNTIFS($AP$19:$AP$186,"Yes",$E$19:$E$186,"&gt;0")-1),50))</x:f>
        <x:v>76.94805194805195</x:v>
      </x:c>
      <x:c r="AF54" s="601" t="n">
        <x:f>IF(AE54="","",AE54*'Specialisation Rankings'!$O$16+R54*'Specialisation Rankings'!$O$17)</x:f>
        <x:v>65.25974025974027</x:v>
      </x:c>
      <x:c r="AG54" s="601" t="n">
        <x:f>IF(AF54="","",COUNTIFS($A$19:$A$186,A54,$AP$19:$AP$186,"Yes",$E$19:$E$186,"&gt;0",$AF$19:$AF$186,"&gt;"&amp;AF54)+COUNTIFS($A$19:A54,A54,$AP$19:AP54,"Yes",$E$19:E54,"&gt;0",$AF$19:AF54,AF54))</x:f>
        <x:v>15</x:v>
      </x:c>
      <x:c r="AH54" s="601" t="n">
        <x:f>IF(OR(AP54&lt;&gt;"Yes",E54=0),"",IFERROR(100*(COUNTIFS($AP$19:$AP$186,"Yes",$E$19:$E$186,"&gt;0",$J$19:$J$186,"&lt;"&amp;J54)+(COUNTIFS($AP$19:$AP$186,"Yes",$E$19:$E$186,"&gt;0",$J$19:$J$186,J54)-1)/2)/(COUNTIFS($AP$19:$AP$186,"Yes",$E$19:$E$186,"&gt;0")-1),50))</x:f>
        <x:v>33.116883116883116</x:v>
      </x:c>
      <x:c r="AI54" s="601" t="n">
        <x:f>IF(AH54="","",AH54*'Specialisation Rankings'!$O$16+R54*'Specialisation Rankings'!$O$17)</x:f>
        <x:v>30.194805194805195</x:v>
      </x:c>
      <x:c r="AJ54" s="601" t="n">
        <x:f>IF(AI54="","",COUNTIFS($A$19:$A$186,A54,$AP$19:$AP$186,"Yes",$E$19:$E$186,"&gt;0",$AI$19:$AI$186,"&gt;"&amp;AI54)+COUNTIFS($A$19:A54,A54,$AP$19:AP54,"Yes",$E$19:E54,"&gt;0",$AI$19:AI54,AI54))</x:f>
        <x:v>18</x:v>
      </x:c>
      <x:c r="AK54" s="601" t="n">
        <x:f>IF(OR(AP54&lt;&gt;"Yes",E54=0),"",IF(M54=0,'Specialisation Rankings'!$O$23,V54))</x:f>
        <x:v>8.547008547008547</x:v>
      </x:c>
      <x:c r="AL54" s="601" t="n">
        <x:f>IF(AK54="","",COUNTIFS($A$19:$A$186,A54,$AP$19:$AP$186,"Yes",$E$19:$E$186,"&gt;0",$AK$19:$AK$186,"&gt;"&amp;AK54)+COUNTIFS($A$19:A54,A54,$AP$19:AP54,"Yes",$E$19:E54,"&gt;0",$AK$19:AK54,AK54))</x:f>
        <x:v>13</x:v>
      </x:c>
      <x:c r="AM54" s="601" t="n">
        <x:f>IF(AC54="","",AC54*'Specialisation Rankings'!$O$18+AF54*'Specialisation Rankings'!$O$19+AI54*'Specialisation Rankings'!$O$20+AK54*'Specialisation Rankings'!$O$21)</x:f>
        <x:v>19.718337218337222</x:v>
      </x:c>
      <x:c r="AN54" s="601" t="n">
        <x:f>IF(AM54="","",COUNTIFS($A$19:$A$186,A54,$AP$19:$AP$186,"Yes",$E$19:$E$186,"&gt;0",$AM$19:$AM$186,"&gt;"&amp;AM54)+COUNTIFS($A$19:A54,A54,$AP$19:AP54,"Yes",$E$19:E54,"&gt;0",$AM$19:AM54,AM54))</x:f>
        <x:v>19</x:v>
      </x:c>
      <x:c r="AO54" s="601" t="n">
        <x:f>IF(AM54="","",COUNTIFS($AP$19:$AP$186,"Yes",$E$19:$E$186,"&gt;0",$AM$19:$AM$186,"&gt;"&amp;AM54)+COUNTIFS($AP$19:AP54,"Yes",$E$19:E54,"&gt;0",$AM$19:AM54,AM54))</x:f>
        <x:v>150</x:v>
      </x:c>
      <x:c r="AP54" s="602" t="str">
        <x:f>IF(COUNTIFS('Player Scenario Model'!$A$6:$A$172,A54,'Player Scenario Model'!$B$6:$B$172,B54)&gt;0,"Yes","No")</x:f>
        <x:v>Yes</x:v>
      </x:c>
    </x:row>
    <x:row r="55" ht="24" customHeight="1">
      <x:c r="A55" s="430" t="str">
        <x:v>K91</x:v>
      </x:c>
      <x:c r="B55" s="430" t="str">
        <x:v>TÜRK 81</x:v>
      </x:c>
      <x:c r="C55" s="431" t="n">
        <x:f>COUNTIFS('Specialisations'!$A$6:$A$527,A55,'Specialisations'!$B$6:$B$527,B55)</x:f>
        <x:v>3</x:v>
      </x:c>
      <x:c r="D55" s="431" t="n">
        <x:f>COUNTIFS('Specialisations'!$A$6:$A$527,A55,'Specialisations'!$B$6:$B$527,B55,'Specialisations'!$P$6:$P$527,"OK")</x:f>
        <x:v>3</x:v>
      </x:c>
      <x:c r="E55" s="431" t="n">
        <x:f>COUNTIFS('Specialisations'!$A$6:$A$527,A55,'Specialisations'!$B$6:$B$527,B55,'Specialisations'!$P$6:$P$527,"OK",'Specialisations'!$C$6:$C$527,"&lt;&gt;Guards")</x:f>
        <x:v>2</x:v>
      </x:c>
      <x:c r="F55" s="432" t="n">
        <x:f>IF(C55=0,"",D55/C55)</x:f>
        <x:v>1</x:v>
      </x:c>
      <x:c r="G55" s="495" t="n">
        <x:f>SUMIFS('Specialisations'!$Q$6:$Q$527,'Specialisations'!$A$6:$A$527,A55,'Specialisations'!$B$6:$B$527,B55,'Specialisations'!$C$6:$C$527,"Guards")</x:f>
        <x:v>-33.13</x:v>
      </x:c>
      <x:c r="H55" s="495" t="n">
        <x:f>SUMIFS('Specialisations'!$Q$6:$Q$527,'Specialisations'!$A$6:$A$527,A55,'Specialisations'!$B$6:$B$527,B55,'Specialisations'!$C$6:$C$527,"Archers")</x:f>
        <x:v>90.38</x:v>
      </x:c>
      <x:c r="I55" s="495" t="n">
        <x:f>SUMIFS('Specialisations'!$Q$6:$Q$527,'Specialisations'!$A$6:$A$527,A55,'Specialisations'!$B$6:$B$527,B55,'Specialisations'!$C$6:$C$527,"Cavalry")</x:f>
        <x:v>0</x:v>
      </x:c>
      <x:c r="J55" s="495" t="n">
        <x:f>SUMIFS('Specialisations'!$Q$6:$Q$527,'Specialisations'!$A$6:$A$527,A55,'Specialisations'!$B$6:$B$527,B55,'Specialisations'!$C$6:$C$527,"Siege")</x:f>
        <x:v>0</x:v>
      </x:c>
      <x:c r="K55" s="495" t="n">
        <x:f>SUM(H55:J55)</x:f>
        <x:v>90.38</x:v>
      </x:c>
      <x:c r="L55" s="495" t="n">
        <x:f>SUM(G55,K55)</x:f>
        <x:v>57.24999999999999</x:v>
      </x:c>
      <x:c r="M55" s="433" t="n">
        <x:f>SUMIFS('Specialisations'!$N$6:$N$527,'Specialisations'!$A$6:$A$527,A55,'Specialisations'!$B$6:$B$527,B55,'Specialisations'!$C$6:$C$527,"Guards")</x:f>
        <x:v>2844300</x:v>
      </x:c>
      <x:c r="N55" s="433" t="n">
        <x:f>SUMIFS('Specialisations'!$N$6:$N$527,'Specialisations'!$A$6:$A$527,A55,'Specialisations'!$B$6:$B$527,B55,'Specialisations'!$C$6:$C$527,"&lt;&gt;Guards")</x:f>
        <x:v>12858600</x:v>
      </x:c>
      <x:c r="O55" s="433" t="n">
        <x:f>SUM(M55:N55)</x:f>
        <x:v>15702900</x:v>
      </x:c>
      <x:c r="P55" s="434" t="n">
        <x:f>IF(E55=0,"",K55/E55)</x:f>
        <x:v>45.19</x:v>
      </x:c>
      <x:c r="Q55" s="501" t="n">
        <x:f>IF(E55=0,"",IFERROR(100*(COUNTIFS($E$19:$E$186,"&gt;0",$K$19:$K$186,"&lt;"&amp;K55)+(COUNTIFS($E$19:$E$186,"&gt;0",$K$19:$K$186,K55)-1)/2)/(COUNTIF($E$19:$E$186,"&gt;0")-1),50))</x:f>
        <x:v>48.701298701298704</x:v>
      </x:c>
      <x:c r="R55" s="501" t="n">
        <x:f>IF(E55=0,"",IFERROR(100*(COUNTIFS($E$19:$E$186,"&gt;0",$N$19:$N$186,"&lt;"&amp;N55)+(COUNTIFS($E$19:$E$186,"&gt;0",$N$19:$N$186,N55)-1)/2)/(COUNTIF($E$19:$E$186,"&gt;0")-1),50))</x:f>
        <x:v>66.23376623376623</x:v>
      </x:c>
      <x:c r="S55" s="501" t="n">
        <x:f>IF(E55=0,"",Q55*$R$5+R55*$R$6)</x:f>
        <x:v>52.20779220779221</x:v>
      </x:c>
      <x:c r="T55" s="501" t="n">
        <x:f>IF(M55=0,"",IFERROR(100*(COUNTIFS($M$19:$M$186,"&gt;0",$G$19:$G$186,"&gt;"&amp;G55)+(COUNTIFS($M$19:$M$186,"&gt;0",$G$19:$G$186,G55)-1)/2)/(COUNTIF($M$19:$M$186,"&gt;0")-1),50))</x:f>
        <x:v>43.58974358974359</x:v>
      </x:c>
      <x:c r="U55" s="501" t="n">
        <x:f>IF(M55=0,"",IFERROR(100*(COUNTIFS($M$19:$M$186,"&gt;0",$M$19:$M$186,"&lt;"&amp;M55)+(COUNTIFS($M$19:$M$186,"&gt;0",$M$19:$M$186,M55)-1)/2)/(COUNTIF($M$19:$M$186,"&gt;0")-1),50))</x:f>
        <x:v>43.58974358974359</x:v>
      </x:c>
      <x:c r="V55" s="501" t="n">
        <x:f>IF(M55=0,"",T55*$R$5+U55*$R$6)</x:f>
        <x:v>43.58974358974359</x:v>
      </x:c>
      <x:c r="W55" s="431" t="n">
        <x:f>IF(E55=0,"",COUNTIFS($A$19:$A$186,A55,$S$19:$S$186,"&gt;"&amp;S55)+COUNTIFS($A$19:A55,A55,$E$19:E55,"&gt;0",$S$19:S55,S55))</x:f>
        <x:v>7</x:v>
      </x:c>
      <x:c r="X55" s="431" t="n">
        <x:f>IF(S55="","",1+COUNTIF($S$19:$S$186,"&gt;"&amp;S55))</x:f>
        <x:v>73</x:v>
      </x:c>
      <x:c r="Y55" s="431" t="n">
        <x:f>IF(V55="","",1+COUNTIFS($A$19:$A$186,A55,$V$19:$V$186,"&gt;"&amp;V55))</x:f>
        <x:v>1</x:v>
      </x:c>
      <x:c r="Z55" s="431" t="n">
        <x:f>IF(V55="","",1+COUNTIF($V$19:$V$186,"&gt;"&amp;V55))</x:f>
        <x:v>65</x:v>
      </x:c>
      <x:c r="AA55" s="430" t="str">
        <x:f>IF(C55=0,"No specialisations recorded",IF(D55&lt;C55,"Review missing level","Recorded skills only"))</x:f>
        <x:v>Recorded skills only</x:v>
      </x:c>
      <x:c r="AB55" s="601" t="n">
        <x:f>IF(OR(AP55&lt;&gt;"Yes",E55=0),"",IFERROR(100*(COUNTIFS($AP$19:$AP$186,"Yes",$E$19:$E$186,"&gt;0",$I$19:$I$186,"&lt;"&amp;I55)+(COUNTIFS($AP$19:$AP$186,"Yes",$E$19:$E$186,"&gt;0",$I$19:$I$186,I55)-1)/2)/(COUNTIFS($AP$19:$AP$186,"Yes",$E$19:$E$186,"&gt;0")-1),50))</x:f>
        <x:v>10.38961038961039</x:v>
      </x:c>
      <x:c r="AC55" s="601" t="n">
        <x:f>IF(AB55="","",AB55*'Specialisation Rankings'!$O$16+R55*'Specialisation Rankings'!$O$17)</x:f>
        <x:v>21.558441558441558</x:v>
      </x:c>
      <x:c r="AD55" s="601" t="n">
        <x:f>IF(AC55="","",COUNTIFS($A$19:$A$186,A55,$AP$19:$AP$186,"Yes",$E$19:$E$186,"&gt;0",$AC$19:$AC$186,"&gt;"&amp;AC55)+COUNTIFS($A$19:A55,A55,$AP$19:AP55,"Yes",$E$19:E55,"&gt;0",$AC$19:AC55,AC55))</x:f>
        <x:v>9</x:v>
      </x:c>
      <x:c r="AE55" s="601" t="n">
        <x:f>IF(OR(AP55&lt;&gt;"Yes",E55=0),"",IFERROR(100*(COUNTIFS($AP$19:$AP$186,"Yes",$E$19:$E$186,"&gt;0",$H$19:$H$186,"&lt;"&amp;H55)+(COUNTIFS($AP$19:$AP$186,"Yes",$E$19:$E$186,"&gt;0",$H$19:$H$186,H55)-1)/2)/(COUNTIFS($AP$19:$AP$186,"Yes",$E$19:$E$186,"&gt;0")-1),50))</x:f>
        <x:v>98.05194805194805</x:v>
      </x:c>
      <x:c r="AF55" s="601" t="n">
        <x:f>IF(AE55="","",AE55*'Specialisation Rankings'!$O$16+R55*'Specialisation Rankings'!$O$17)</x:f>
        <x:v>91.68831168831169</x:v>
      </x:c>
      <x:c r="AG55" s="601" t="n">
        <x:f>IF(AF55="","",COUNTIFS($A$19:$A$186,A55,$AP$19:$AP$186,"Yes",$E$19:$E$186,"&gt;0",$AF$19:$AF$186,"&gt;"&amp;AF55)+COUNTIFS($A$19:A55,A55,$AP$19:AP55,"Yes",$E$19:E55,"&gt;0",$AF$19:AF55,AF55))</x:f>
        <x:v>3</x:v>
      </x:c>
      <x:c r="AH55" s="601" t="n">
        <x:f>IF(OR(AP55&lt;&gt;"Yes",E55=0),"",IFERROR(100*(COUNTIFS($AP$19:$AP$186,"Yes",$E$19:$E$186,"&gt;0",$J$19:$J$186,"&lt;"&amp;J55)+(COUNTIFS($AP$19:$AP$186,"Yes",$E$19:$E$186,"&gt;0",$J$19:$J$186,J55)-1)/2)/(COUNTIFS($AP$19:$AP$186,"Yes",$E$19:$E$186,"&gt;0")-1),50))</x:f>
        <x:v>33.116883116883116</x:v>
      </x:c>
      <x:c r="AI55" s="601" t="n">
        <x:f>IF(AH55="","",AH55*'Specialisation Rankings'!$O$16+R55*'Specialisation Rankings'!$O$17)</x:f>
        <x:v>39.740259740259745</x:v>
      </x:c>
      <x:c r="AJ55" s="601" t="n">
        <x:f>IF(AI55="","",COUNTIFS($A$19:$A$186,A55,$AP$19:$AP$186,"Yes",$E$19:$E$186,"&gt;0",$AI$19:$AI$186,"&gt;"&amp;AI55)+COUNTIFS($A$19:A55,A55,$AP$19:AP55,"Yes",$E$19:E55,"&gt;0",$AI$19:AI55,AI55))</x:f>
        <x:v>7</x:v>
      </x:c>
      <x:c r="AK55" s="601" t="n">
        <x:f>IF(OR(AP55&lt;&gt;"Yes",E55=0),"",IF(M55=0,'Specialisation Rankings'!$O$23,V55))</x:f>
        <x:v>43.58974358974359</x:v>
      </x:c>
      <x:c r="AL55" s="601" t="n">
        <x:f>IF(AK55="","",COUNTIFS($A$19:$A$186,A55,$AP$19:$AP$186,"Yes",$E$19:$E$186,"&gt;0",$AK$19:$AK$186,"&gt;"&amp;AK55)+COUNTIFS($A$19:A55,A55,$AP$19:AP55,"Yes",$E$19:E55,"&gt;0",$AK$19:AK55,AK55))</x:f>
        <x:v>2</x:v>
      </x:c>
      <x:c r="AM55" s="601" t="n">
        <x:f>IF(AC55="","",AC55*'Specialisation Rankings'!$O$18+AF55*'Specialisation Rankings'!$O$19+AI55*'Specialisation Rankings'!$O$20+AK55*'Specialisation Rankings'!$O$21)</x:f>
        <x:v>33.501831501831504</x:v>
      </x:c>
      <x:c r="AN55" s="601" t="n">
        <x:f>IF(AM55="","",COUNTIFS($A$19:$A$186,A55,$AP$19:$AP$186,"Yes",$E$19:$E$186,"&gt;0",$AM$19:$AM$186,"&gt;"&amp;AM55)+COUNTIFS($A$19:A55,A55,$AP$19:AP55,"Yes",$E$19:E55,"&gt;0",$AM$19:AM55,AM55))</x:f>
        <x:v>8</x:v>
      </x:c>
      <x:c r="AO55" s="601" t="n">
        <x:f>IF(AM55="","",COUNTIFS($AP$19:$AP$186,"Yes",$E$19:$E$186,"&gt;0",$AM$19:$AM$186,"&gt;"&amp;AM55)+COUNTIFS($AP$19:AP55,"Yes",$E$19:E55,"&gt;0",$AM$19:AM55,AM55))</x:f>
        <x:v>109</x:v>
      </x:c>
      <x:c r="AP55" s="602" t="str">
        <x:f>IF(COUNTIFS('Player Scenario Model'!$A$6:$A$172,A55,'Player Scenario Model'!$B$6:$B$172,B55)&gt;0,"Yes","No")</x:f>
        <x:v>Yes</x:v>
      </x:c>
    </x:row>
    <x:row r="56" ht="24" customHeight="1">
      <x:c r="A56" s="430" t="str">
        <x:v>K91</x:v>
      </x:c>
      <x:c r="B56" s="430" t="str">
        <x:v>A†RO/</x:v>
      </x:c>
      <x:c r="C56" s="431" t="n">
        <x:f>COUNTIFS('Specialisations'!$A$6:$A$527,A56,'Specialisations'!$B$6:$B$527,B56)</x:f>
        <x:v>3</x:v>
      </x:c>
      <x:c r="D56" s="431" t="n">
        <x:f>COUNTIFS('Specialisations'!$A$6:$A$527,A56,'Specialisations'!$B$6:$B$527,B56,'Specialisations'!$P$6:$P$527,"OK")</x:f>
        <x:v>3</x:v>
      </x:c>
      <x:c r="E56" s="431" t="n">
        <x:f>COUNTIFS('Specialisations'!$A$6:$A$527,A56,'Specialisations'!$B$6:$B$527,B56,'Specialisations'!$P$6:$P$527,"OK",'Specialisations'!$C$6:$C$527,"&lt;&gt;Guards")</x:f>
        <x:v>2</x:v>
      </x:c>
      <x:c r="F56" s="432" t="n">
        <x:f>IF(C56=0,"",D56/C56)</x:f>
        <x:v>1</x:v>
      </x:c>
      <x:c r="G56" s="495" t="n">
        <x:f>SUMIFS('Specialisations'!$Q$6:$Q$527,'Specialisations'!$A$6:$A$527,A56,'Specialisations'!$B$6:$B$527,B56,'Specialisations'!$C$6:$C$527,"Guards")</x:f>
        <x:v>-10.82</x:v>
      </x:c>
      <x:c r="H56" s="495" t="n">
        <x:f>SUMIFS('Specialisations'!$Q$6:$Q$527,'Specialisations'!$A$6:$A$527,A56,'Specialisations'!$B$6:$B$527,B56,'Specialisations'!$C$6:$C$527,"Archers")</x:f>
        <x:v>71.4</x:v>
      </x:c>
      <x:c r="I56" s="495" t="n">
        <x:f>SUMIFS('Specialisations'!$Q$6:$Q$527,'Specialisations'!$A$6:$A$527,A56,'Specialisations'!$B$6:$B$527,B56,'Specialisations'!$C$6:$C$527,"Cavalry")</x:f>
        <x:v>0</x:v>
      </x:c>
      <x:c r="J56" s="495" t="n">
        <x:f>SUMIFS('Specialisations'!$Q$6:$Q$527,'Specialisations'!$A$6:$A$527,A56,'Specialisations'!$B$6:$B$527,B56,'Specialisations'!$C$6:$C$527,"Siege")</x:f>
        <x:v>0</x:v>
      </x:c>
      <x:c r="K56" s="495" t="n">
        <x:f>SUM(H56:J56)</x:f>
        <x:v>71.4</x:v>
      </x:c>
      <x:c r="L56" s="495" t="n">
        <x:f>SUM(G56,K56)</x:f>
        <x:v>60.580000000000005</x:v>
      </x:c>
      <x:c r="M56" s="433" t="n">
        <x:f>SUMIFS('Specialisations'!$N$6:$N$527,'Specialisations'!$A$6:$A$527,A56,'Specialisations'!$B$6:$B$527,B56,'Specialisations'!$C$6:$C$527,"Guards")</x:f>
        <x:v>774300</x:v>
      </x:c>
      <x:c r="N56" s="433" t="n">
        <x:f>SUMIFS('Specialisations'!$N$6:$N$527,'Specialisations'!$A$6:$A$527,A56,'Specialisations'!$B$6:$B$527,B56,'Specialisations'!$C$6:$C$527,"&lt;&gt;Guards")</x:f>
        <x:v>9528600</x:v>
      </x:c>
      <x:c r="O56" s="433" t="n">
        <x:f>SUM(M56:N56)</x:f>
        <x:v>10302900</x:v>
      </x:c>
      <x:c r="P56" s="434" t="n">
        <x:f>IF(E56=0,"",K56/E56)</x:f>
        <x:v>35.7</x:v>
      </x:c>
      <x:c r="Q56" s="501" t="n">
        <x:f>IF(E56=0,"",IFERROR(100*(COUNTIFS($E$19:$E$186,"&gt;0",$K$19:$K$186,"&lt;"&amp;K56)+(COUNTIFS($E$19:$E$186,"&gt;0",$K$19:$K$186,K56)-1)/2)/(COUNTIF($E$19:$E$186,"&gt;0")-1),50))</x:f>
        <x:v>34.41558441558441</x:v>
      </x:c>
      <x:c r="R56" s="501" t="n">
        <x:f>IF(E56=0,"",IFERROR(100*(COUNTIFS($E$19:$E$186,"&gt;0",$N$19:$N$186,"&lt;"&amp;N56)+(COUNTIFS($E$19:$E$186,"&gt;0",$N$19:$N$186,N56)-1)/2)/(COUNTIF($E$19:$E$186,"&gt;0")-1),50))</x:f>
        <x:v>38.96103896103896</x:v>
      </x:c>
      <x:c r="S56" s="501" t="n">
        <x:f>IF(E56=0,"",Q56*$R$5+R56*$R$6)</x:f>
        <x:v>35.324675324675326</x:v>
      </x:c>
      <x:c r="T56" s="501" t="n">
        <x:f>IF(M56=0,"",IFERROR(100*(COUNTIFS($M$19:$M$186,"&gt;0",$G$19:$G$186,"&gt;"&amp;G56)+(COUNTIFS($M$19:$M$186,"&gt;0",$G$19:$G$186,G56)-1)/2)/(COUNTIF($M$19:$M$186,"&gt;0")-1),50))</x:f>
        <x:v>8.547008547008547</x:v>
      </x:c>
      <x:c r="U56" s="501" t="n">
        <x:f>IF(M56=0,"",IFERROR(100*(COUNTIFS($M$19:$M$186,"&gt;0",$M$19:$M$186,"&lt;"&amp;M56)+(COUNTIFS($M$19:$M$186,"&gt;0",$M$19:$M$186,M56)-1)/2)/(COUNTIF($M$19:$M$186,"&gt;0")-1),50))</x:f>
        <x:v>8.547008547008547</x:v>
      </x:c>
      <x:c r="V56" s="501" t="n">
        <x:f>IF(M56=0,"",T56*$R$5+U56*$R$6)</x:f>
        <x:v>8.547008547008547</x:v>
      </x:c>
      <x:c r="W56" s="431" t="n">
        <x:f>IF(E56=0,"",COUNTIFS($A$19:$A$186,A56,$S$19:$S$186,"&gt;"&amp;S56)+COUNTIFS($A$19:A56,A56,$E$19:E56,"&gt;0",$S$19:S56,S56))</x:f>
        <x:v>14</x:v>
      </x:c>
      <x:c r="X56" s="431" t="n">
        <x:f>IF(S56="","",1+COUNTIF($S$19:$S$186,"&gt;"&amp;S56))</x:f>
        <x:v>100</x:v>
      </x:c>
      <x:c r="Y56" s="431" t="n">
        <x:f>IF(V56="","",1+COUNTIFS($A$19:$A$186,A56,$V$19:$V$186,"&gt;"&amp;V56))</x:f>
        <x:v>10</x:v>
      </x:c>
      <x:c r="Z56" s="431" t="n">
        <x:f>IF(V56="","",1+COUNTIF($V$19:$V$186,"&gt;"&amp;V56))</x:f>
        <x:v>105</x:v>
      </x:c>
      <x:c r="AA56" s="430" t="str">
        <x:f>IF(C56=0,"No specialisations recorded",IF(D56&lt;C56,"Review missing level","Recorded skills only"))</x:f>
        <x:v>Recorded skills only</x:v>
      </x:c>
      <x:c r="AB56" s="601" t="n">
        <x:f>IF(OR(AP56&lt;&gt;"Yes",E56=0),"",IFERROR(100*(COUNTIFS($AP$19:$AP$186,"Yes",$E$19:$E$186,"&gt;0",$I$19:$I$186,"&lt;"&amp;I56)+(COUNTIFS($AP$19:$AP$186,"Yes",$E$19:$E$186,"&gt;0",$I$19:$I$186,I56)-1)/2)/(COUNTIFS($AP$19:$AP$186,"Yes",$E$19:$E$186,"&gt;0")-1),50))</x:f>
        <x:v>10.38961038961039</x:v>
      </x:c>
      <x:c r="AC56" s="601" t="n">
        <x:f>IF(AB56="","",AB56*'Specialisation Rankings'!$O$16+R56*'Specialisation Rankings'!$O$17)</x:f>
        <x:v>16.103896103896105</x:v>
      </x:c>
      <x:c r="AD56" s="601" t="n">
        <x:f>IF(AC56="","",COUNTIFS($A$19:$A$186,A56,$AP$19:$AP$186,"Yes",$E$19:$E$186,"&gt;0",$AC$19:$AC$186,"&gt;"&amp;AC56)+COUNTIFS($A$19:A56,A56,$AP$19:AP56,"Yes",$E$19:E56,"&gt;0",$AC$19:AC56,AC56))</x:f>
        <x:v>15</x:v>
      </x:c>
      <x:c r="AE56" s="601" t="n">
        <x:f>IF(OR(AP56&lt;&gt;"Yes",E56=0),"",IFERROR(100*(COUNTIFS($AP$19:$AP$186,"Yes",$E$19:$E$186,"&gt;0",$H$19:$H$186,"&lt;"&amp;H56)+(COUNTIFS($AP$19:$AP$186,"Yes",$E$19:$E$186,"&gt;0",$H$19:$H$186,H56)-1)/2)/(COUNTIFS($AP$19:$AP$186,"Yes",$E$19:$E$186,"&gt;0")-1),50))</x:f>
        <x:v>94.15584415584415</x:v>
      </x:c>
      <x:c r="AF56" s="601" t="n">
        <x:f>IF(AE56="","",AE56*'Specialisation Rankings'!$O$16+R56*'Specialisation Rankings'!$O$17)</x:f>
        <x:v>83.11688311688312</x:v>
      </x:c>
      <x:c r="AG56" s="601" t="n">
        <x:f>IF(AF56="","",COUNTIFS($A$19:$A$186,A56,$AP$19:$AP$186,"Yes",$E$19:$E$186,"&gt;0",$AF$19:$AF$186,"&gt;"&amp;AF56)+COUNTIFS($A$19:A56,A56,$AP$19:AP56,"Yes",$E$19:E56,"&gt;0",$AF$19:AF56,AF56))</x:f>
        <x:v>9</x:v>
      </x:c>
      <x:c r="AH56" s="601" t="n">
        <x:f>IF(OR(AP56&lt;&gt;"Yes",E56=0),"",IFERROR(100*(COUNTIFS($AP$19:$AP$186,"Yes",$E$19:$E$186,"&gt;0",$J$19:$J$186,"&lt;"&amp;J56)+(COUNTIFS($AP$19:$AP$186,"Yes",$E$19:$E$186,"&gt;0",$J$19:$J$186,J56)-1)/2)/(COUNTIFS($AP$19:$AP$186,"Yes",$E$19:$E$186,"&gt;0")-1),50))</x:f>
        <x:v>33.116883116883116</x:v>
      </x:c>
      <x:c r="AI56" s="601" t="n">
        <x:f>IF(AH56="","",AH56*'Specialisation Rankings'!$O$16+R56*'Specialisation Rankings'!$O$17)</x:f>
        <x:v>34.285714285714285</x:v>
      </x:c>
      <x:c r="AJ56" s="601" t="n">
        <x:f>IF(AI56="","",COUNTIFS($A$19:$A$186,A56,$AP$19:$AP$186,"Yes",$E$19:$E$186,"&gt;0",$AI$19:$AI$186,"&gt;"&amp;AI56)+COUNTIFS($A$19:A56,A56,$AP$19:AP56,"Yes",$E$19:E56,"&gt;0",$AI$19:AI56,AI56))</x:f>
        <x:v>14</x:v>
      </x:c>
      <x:c r="AK56" s="601" t="n">
        <x:f>IF(OR(AP56&lt;&gt;"Yes",E56=0),"",IF(M56=0,'Specialisation Rankings'!$O$23,V56))</x:f>
        <x:v>8.547008547008547</x:v>
      </x:c>
      <x:c r="AL56" s="601" t="n">
        <x:f>IF(AK56="","",COUNTIFS($A$19:$A$186,A56,$AP$19:$AP$186,"Yes",$E$19:$E$186,"&gt;0",$AK$19:$AK$186,"&gt;"&amp;AK56)+COUNTIFS($A$19:A56,A56,$AP$19:AP56,"Yes",$E$19:E56,"&gt;0",$AK$19:AK56,AK56))</x:f>
        <x:v>14</x:v>
      </x:c>
      <x:c r="AM56" s="601" t="n">
        <x:f>IF(AC56="","",AC56*'Specialisation Rankings'!$O$18+AF56*'Specialisation Rankings'!$O$19+AI56*'Specialisation Rankings'!$O$20+AK56*'Specialisation Rankings'!$O$21)</x:f>
        <x:v>24.776778776778777</x:v>
      </x:c>
      <x:c r="AN56" s="601" t="n">
        <x:f>IF(AM56="","",COUNTIFS($A$19:$A$186,A56,$AP$19:$AP$186,"Yes",$E$19:$E$186,"&gt;0",$AM$19:$AM$186,"&gt;"&amp;AM56)+COUNTIFS($A$19:A56,A56,$AP$19:AP56,"Yes",$E$19:E56,"&gt;0",$AM$19:AM56,AM56))</x:f>
        <x:v>14</x:v>
      </x:c>
      <x:c r="AO56" s="601" t="n">
        <x:f>IF(AM56="","",COUNTIFS($AP$19:$AP$186,"Yes",$E$19:$E$186,"&gt;0",$AM$19:$AM$186,"&gt;"&amp;AM56)+COUNTIFS($AP$19:AP56,"Yes",$E$19:E56,"&gt;0",$AM$19:AM56,AM56))</x:f>
        <x:v>136</x:v>
      </x:c>
      <x:c r="AP56" s="602" t="str">
        <x:f>IF(COUNTIFS('Player Scenario Model'!$A$6:$A$172,A56,'Player Scenario Model'!$B$6:$B$172,B56)&gt;0,"Yes","No")</x:f>
        <x:v>Yes</x:v>
      </x:c>
    </x:row>
    <x:row r="57" ht="24" customHeight="1">
      <x:c r="A57" s="430" t="str">
        <x:v>K91</x:v>
      </x:c>
      <x:c r="B57" s="430" t="str">
        <x:v>Skrapz</x:v>
      </x:c>
      <x:c r="C57" s="431" t="n">
        <x:f>COUNTIFS('Specialisations'!$A$6:$A$527,A57,'Specialisations'!$B$6:$B$527,B57)</x:f>
        <x:v>5</x:v>
      </x:c>
      <x:c r="D57" s="431" t="n">
        <x:f>COUNTIFS('Specialisations'!$A$6:$A$527,A57,'Specialisations'!$B$6:$B$527,B57,'Specialisations'!$P$6:$P$527,"OK")</x:f>
        <x:v>5</x:v>
      </x:c>
      <x:c r="E57" s="431" t="n">
        <x:f>COUNTIFS('Specialisations'!$A$6:$A$527,A57,'Specialisations'!$B$6:$B$527,B57,'Specialisations'!$P$6:$P$527,"OK",'Specialisations'!$C$6:$C$527,"&lt;&gt;Guards")</x:f>
        <x:v>4</x:v>
      </x:c>
      <x:c r="F57" s="432" t="n">
        <x:f>IF(C57=0,"",D57/C57)</x:f>
        <x:v>1</x:v>
      </x:c>
      <x:c r="G57" s="495" t="n">
        <x:f>SUMIFS('Specialisations'!$Q$6:$Q$527,'Specialisations'!$A$6:$A$527,A57,'Specialisations'!$B$6:$B$527,B57,'Specialisations'!$C$6:$C$527,"Guards")</x:f>
        <x:v>-27.74</x:v>
      </x:c>
      <x:c r="H57" s="495" t="n">
        <x:f>SUMIFS('Specialisations'!$Q$6:$Q$527,'Specialisations'!$A$6:$A$527,A57,'Specialisations'!$B$6:$B$527,B57,'Specialisations'!$C$6:$C$527,"Archers")</x:f>
        <x:v>41.98</x:v>
      </x:c>
      <x:c r="I57" s="495" t="n">
        <x:f>SUMIFS('Specialisations'!$Q$6:$Q$527,'Specialisations'!$A$6:$A$527,A57,'Specialisations'!$B$6:$B$527,B57,'Specialisations'!$C$6:$C$527,"Cavalry")</x:f>
        <x:v>95.97999999999999</x:v>
      </x:c>
      <x:c r="J57" s="495" t="n">
        <x:f>SUMIFS('Specialisations'!$Q$6:$Q$527,'Specialisations'!$A$6:$A$527,A57,'Specialisations'!$B$6:$B$527,B57,'Specialisations'!$C$6:$C$527,"Siege")</x:f>
        <x:v>41.98</x:v>
      </x:c>
      <x:c r="K57" s="495" t="n">
        <x:f>SUM(H57:J57)</x:f>
        <x:v>179.93999999999997</x:v>
      </x:c>
      <x:c r="L57" s="495" t="n">
        <x:f>SUM(G57,K57)</x:f>
        <x:v>152.19999999999996</x:v>
      </x:c>
      <x:c r="M57" s="433" t="n">
        <x:f>SUMIFS('Specialisations'!$N$6:$N$527,'Specialisations'!$A$6:$A$527,A57,'Specialisations'!$B$6:$B$527,B57,'Specialisations'!$C$6:$C$527,"Guards")</x:f>
        <x:v>2244300</x:v>
      </x:c>
      <x:c r="N57" s="433" t="n">
        <x:f>SUMIFS('Specialisations'!$N$6:$N$527,'Specialisations'!$A$6:$A$527,A57,'Specialisations'!$B$6:$B$527,B57,'Specialisations'!$C$6:$C$527,"&lt;&gt;Guards")</x:f>
        <x:v>22147200</x:v>
      </x:c>
      <x:c r="O57" s="433" t="n">
        <x:f>SUM(M57:N57)</x:f>
        <x:v>24391500</x:v>
      </x:c>
      <x:c r="P57" s="434" t="n">
        <x:f>IF(E57=0,"",K57/E57)</x:f>
        <x:v>44.98499999999999</x:v>
      </x:c>
      <x:c r="Q57" s="501" t="n">
        <x:f>IF(E57=0,"",IFERROR(100*(COUNTIFS($E$19:$E$186,"&gt;0",$K$19:$K$186,"&lt;"&amp;K57)+(COUNTIFS($E$19:$E$186,"&gt;0",$K$19:$K$186,K57)-1)/2)/(COUNTIF($E$19:$E$186,"&gt;0")-1),50))</x:f>
        <x:v>94.15584415584415</x:v>
      </x:c>
      <x:c r="R57" s="501" t="n">
        <x:f>IF(E57=0,"",IFERROR(100*(COUNTIFS($E$19:$E$186,"&gt;0",$N$19:$N$186,"&lt;"&amp;N57)+(COUNTIFS($E$19:$E$186,"&gt;0",$N$19:$N$186,N57)-1)/2)/(COUNTIF($E$19:$E$186,"&gt;0")-1),50))</x:f>
        <x:v>92.85714285714286</x:v>
      </x:c>
      <x:c r="S57" s="501" t="n">
        <x:f>IF(E57=0,"",Q57*$R$5+R57*$R$6)</x:f>
        <x:v>93.8961038961039</x:v>
      </x:c>
      <x:c r="T57" s="501" t="n">
        <x:f>IF(M57=0,"",IFERROR(100*(COUNTIFS($M$19:$M$186,"&gt;0",$G$19:$G$186,"&gt;"&amp;G57)+(COUNTIFS($M$19:$M$186,"&gt;0",$G$19:$G$186,G57)-1)/2)/(COUNTIF($M$19:$M$186,"&gt;0")-1),50))</x:f>
        <x:v>29.487179487179485</x:v>
      </x:c>
      <x:c r="U57" s="501" t="n">
        <x:f>IF(M57=0,"",IFERROR(100*(COUNTIFS($M$19:$M$186,"&gt;0",$M$19:$M$186,"&lt;"&amp;M57)+(COUNTIFS($M$19:$M$186,"&gt;0",$M$19:$M$186,M57)-1)/2)/(COUNTIF($M$19:$M$186,"&gt;0")-1),50))</x:f>
        <x:v>29.487179487179485</x:v>
      </x:c>
      <x:c r="V57" s="501" t="n">
        <x:f>IF(M57=0,"",T57*$R$5+U57*$R$6)</x:f>
        <x:v>29.48717948717949</x:v>
      </x:c>
      <x:c r="W57" s="431" t="n">
        <x:f>IF(E57=0,"",COUNTIFS($A$19:$A$186,A57,$S$19:$S$186,"&gt;"&amp;S57)+COUNTIFS($A$19:A57,A57,$E$19:E57,"&gt;0",$S$19:S57,S57))</x:f>
        <x:v>2</x:v>
      </x:c>
      <x:c r="X57" s="431" t="n">
        <x:f>IF(S57="","",1+COUNTIF($S$19:$S$186,"&gt;"&amp;S57))</x:f>
        <x:v>10</x:v>
      </x:c>
      <x:c r="Y57" s="431" t="n">
        <x:f>IF(V57="","",1+COUNTIFS($A$19:$A$186,A57,$V$19:$V$186,"&gt;"&amp;V57))</x:f>
        <x:v>2</x:v>
      </x:c>
      <x:c r="Z57" s="431" t="n">
        <x:f>IF(V57="","",1+COUNTIF($V$19:$V$186,"&gt;"&amp;V57))</x:f>
        <x:v>70</x:v>
      </x:c>
      <x:c r="AA57" s="430" t="str">
        <x:f>IF(C57=0,"No specialisations recorded",IF(D57&lt;C57,"Review missing level","Recorded skills only"))</x:f>
        <x:v>Recorded skills only</x:v>
      </x:c>
      <x:c r="AB57" s="601" t="n">
        <x:f>IF(OR(AP57&lt;&gt;"Yes",E57=0),"",IFERROR(100*(COUNTIFS($AP$19:$AP$186,"Yes",$E$19:$E$186,"&gt;0",$I$19:$I$186,"&lt;"&amp;I57)+(COUNTIFS($AP$19:$AP$186,"Yes",$E$19:$E$186,"&gt;0",$I$19:$I$186,I57)-1)/2)/(COUNTIFS($AP$19:$AP$186,"Yes",$E$19:$E$186,"&gt;0")-1),50))</x:f>
        <x:v>81.16883116883118</x:v>
      </x:c>
      <x:c r="AC57" s="601" t="n">
        <x:f>IF(AB57="","",AB57*'Specialisation Rankings'!$O$16+R57*'Specialisation Rankings'!$O$17)</x:f>
        <x:v>83.50649350649351</x:v>
      </x:c>
      <x:c r="AD57" s="601" t="n">
        <x:f>IF(AC57="","",COUNTIFS($A$19:$A$186,A57,$AP$19:$AP$186,"Yes",$E$19:$E$186,"&gt;0",$AC$19:$AC$186,"&gt;"&amp;AC57)+COUNTIFS($A$19:A57,A57,$AP$19:AP57,"Yes",$E$19:E57,"&gt;0",$AC$19:AC57,AC57))</x:f>
        <x:v>4</x:v>
      </x:c>
      <x:c r="AE57" s="601" t="n">
        <x:f>IF(OR(AP57&lt;&gt;"Yes",E57=0),"",IFERROR(100*(COUNTIFS($AP$19:$AP$186,"Yes",$E$19:$E$186,"&gt;0",$H$19:$H$186,"&lt;"&amp;H57)+(COUNTIFS($AP$19:$AP$186,"Yes",$E$19:$E$186,"&gt;0",$H$19:$H$186,H57)-1)/2)/(COUNTIFS($AP$19:$AP$186,"Yes",$E$19:$E$186,"&gt;0")-1),50))</x:f>
        <x:v>68.50649350649351</x:v>
      </x:c>
      <x:c r="AF57" s="601" t="n">
        <x:f>IF(AE57="","",AE57*'Specialisation Rankings'!$O$16+R57*'Specialisation Rankings'!$O$17)</x:f>
        <x:v>73.37662337662339</x:v>
      </x:c>
      <x:c r="AG57" s="601" t="n">
        <x:f>IF(AF57="","",COUNTIFS($A$19:$A$186,A57,$AP$19:$AP$186,"Yes",$E$19:$E$186,"&gt;0",$AF$19:$AF$186,"&gt;"&amp;AF57)+COUNTIFS($A$19:A57,A57,$AP$19:AP57,"Yes",$E$19:E57,"&gt;0",$AF$19:AF57,AF57))</x:f>
        <x:v>11</x:v>
      </x:c>
      <x:c r="AH57" s="601" t="n">
        <x:f>IF(OR(AP57&lt;&gt;"Yes",E57=0),"",IFERROR(100*(COUNTIFS($AP$19:$AP$186,"Yes",$E$19:$E$186,"&gt;0",$J$19:$J$186,"&lt;"&amp;J57)+(COUNTIFS($AP$19:$AP$186,"Yes",$E$19:$E$186,"&gt;0",$J$19:$J$186,J57)-1)/2)/(COUNTIFS($AP$19:$AP$186,"Yes",$E$19:$E$186,"&gt;0")-1),50))</x:f>
        <x:v>91.23376623376623</x:v>
      </x:c>
      <x:c r="AI57" s="601" t="n">
        <x:f>IF(AH57="","",AH57*'Specialisation Rankings'!$O$16+R57*'Specialisation Rankings'!$O$17)</x:f>
        <x:v>91.55844155844156</x:v>
      </x:c>
      <x:c r="AJ57" s="601" t="n">
        <x:f>IF(AI57="","",COUNTIFS($A$19:$A$186,A57,$AP$19:$AP$186,"Yes",$E$19:$E$186,"&gt;0",$AI$19:$AI$186,"&gt;"&amp;AI57)+COUNTIFS($A$19:A57,A57,$AP$19:AP57,"Yes",$E$19:E57,"&gt;0",$AI$19:AI57,AI57))</x:f>
        <x:v>2</x:v>
      </x:c>
      <x:c r="AK57" s="601" t="n">
        <x:f>IF(OR(AP57&lt;&gt;"Yes",E57=0),"",IF(M57=0,'Specialisation Rankings'!$O$23,V57))</x:f>
        <x:v>29.48717948717949</x:v>
      </x:c>
      <x:c r="AL57" s="601" t="n">
        <x:f>IF(AK57="","",COUNTIFS($A$19:$A$186,A57,$AP$19:$AP$186,"Yes",$E$19:$E$186,"&gt;0",$AK$19:$AK$186,"&gt;"&amp;AK57)+COUNTIFS($A$19:A57,A57,$AP$19:AP57,"Yes",$E$19:E57,"&gt;0",$AK$19:AK57,AK57))</x:f>
        <x:v>5</x:v>
      </x:c>
      <x:c r="AM57" s="601" t="n">
        <x:f>IF(AC57="","",AC57*'Specialisation Rankings'!$O$18+AF57*'Specialisation Rankings'!$O$19+AI57*'Specialisation Rankings'!$O$20+AK57*'Specialisation Rankings'!$O$21)</x:f>
        <x:v>78.2993672993673</x:v>
      </x:c>
      <x:c r="AN57" s="601" t="n">
        <x:f>IF(AM57="","",COUNTIFS($A$19:$A$186,A57,$AP$19:$AP$186,"Yes",$E$19:$E$186,"&gt;0",$AM$19:$AM$186,"&gt;"&amp;AM57)+COUNTIFS($A$19:A57,A57,$AP$19:AP57,"Yes",$E$19:E57,"&gt;0",$AM$19:AM57,AM57))</x:f>
        <x:v>2</x:v>
      </x:c>
      <x:c r="AO57" s="601" t="n">
        <x:f>IF(AM57="","",COUNTIFS($AP$19:$AP$186,"Yes",$E$19:$E$186,"&gt;0",$AM$19:$AM$186,"&gt;"&amp;AM57)+COUNTIFS($AP$19:AP57,"Yes",$E$19:E57,"&gt;0",$AM$19:AM57,AM57))</x:f>
        <x:v>17</x:v>
      </x:c>
      <x:c r="AP57" s="602" t="str">
        <x:f>IF(COUNTIFS('Player Scenario Model'!$A$6:$A$172,A57,'Player Scenario Model'!$B$6:$B$172,B57)&gt;0,"Yes","No")</x:f>
        <x:v>Yes</x:v>
      </x:c>
    </x:row>
    <x:row r="58" ht="24" customHeight="1">
      <x:c r="A58" s="430" t="str">
        <x:v>K91</x:v>
      </x:c>
      <x:c r="B58" s="430" t="str">
        <x:v>JustBlaze</x:v>
      </x:c>
      <x:c r="C58" s="431" t="n">
        <x:f>COUNTIFS('Specialisations'!$A$6:$A$527,A58,'Specialisations'!$B$6:$B$527,B58)</x:f>
        <x:v>3</x:v>
      </x:c>
      <x:c r="D58" s="431" t="n">
        <x:f>COUNTIFS('Specialisations'!$A$6:$A$527,A58,'Specialisations'!$B$6:$B$527,B58,'Specialisations'!$P$6:$P$527,"OK")</x:f>
        <x:v>3</x:v>
      </x:c>
      <x:c r="E58" s="431" t="n">
        <x:f>COUNTIFS('Specialisations'!$A$6:$A$527,A58,'Specialisations'!$B$6:$B$527,B58,'Specialisations'!$P$6:$P$527,"OK",'Specialisations'!$C$6:$C$527,"&lt;&gt;Guards")</x:f>
        <x:v>2</x:v>
      </x:c>
      <x:c r="F58" s="432" t="n">
        <x:f>IF(C58=0,"",D58/C58)</x:f>
        <x:v>1</x:v>
      </x:c>
      <x:c r="G58" s="495" t="n">
        <x:f>SUMIFS('Specialisations'!$Q$6:$Q$527,'Specialisations'!$A$6:$A$527,A58,'Specialisations'!$B$6:$B$527,B58,'Specialisations'!$C$6:$C$527,"Guards")</x:f>
        <x:v>-7.51</x:v>
      </x:c>
      <x:c r="H58" s="495" t="n">
        <x:f>SUMIFS('Specialisations'!$Q$6:$Q$527,'Specialisations'!$A$6:$A$527,A58,'Specialisations'!$B$6:$B$527,B58,'Specialisations'!$C$6:$C$527,"Archers")</x:f>
        <x:v>0</x:v>
      </x:c>
      <x:c r="I58" s="495" t="n">
        <x:f>SUMIFS('Specialisations'!$Q$6:$Q$527,'Specialisations'!$A$6:$A$527,A58,'Specialisations'!$B$6:$B$527,B58,'Specialisations'!$C$6:$C$527,"Cavalry")</x:f>
        <x:v>108.38</x:v>
      </x:c>
      <x:c r="J58" s="495" t="n">
        <x:f>SUMIFS('Specialisations'!$Q$6:$Q$527,'Specialisations'!$A$6:$A$527,A58,'Specialisations'!$B$6:$B$527,B58,'Specialisations'!$C$6:$C$527,"Siege")</x:f>
        <x:v>0</x:v>
      </x:c>
      <x:c r="K58" s="495" t="n">
        <x:f>SUM(H58:J58)</x:f>
        <x:v>108.38</x:v>
      </x:c>
      <x:c r="L58" s="495" t="n">
        <x:f>SUM(G58,K58)</x:f>
        <x:v>100.86999999999999</x:v>
      </x:c>
      <x:c r="M58" s="433" t="n">
        <x:f>SUMIFS('Specialisations'!$N$6:$N$527,'Specialisations'!$A$6:$A$527,A58,'Specialisations'!$B$6:$B$527,B58,'Specialisations'!$C$6:$C$527,"Guards")</x:f>
        <x:v>549300</x:v>
      </x:c>
      <x:c r="N58" s="433" t="n">
        <x:f>SUMIFS('Specialisations'!$N$6:$N$527,'Specialisations'!$A$6:$A$527,A58,'Specialisations'!$B$6:$B$527,B58,'Specialisations'!$C$6:$C$527,"&lt;&gt;Guards")</x:f>
        <x:v>16218600</x:v>
      </x:c>
      <x:c r="O58" s="433" t="n">
        <x:f>SUM(M58:N58)</x:f>
        <x:v>16767900</x:v>
      </x:c>
      <x:c r="P58" s="434" t="n">
        <x:f>IF(E58=0,"",K58/E58)</x:f>
        <x:v>54.19</x:v>
      </x:c>
      <x:c r="Q58" s="501" t="n">
        <x:f>IF(E58=0,"",IFERROR(100*(COUNTIFS($E$19:$E$186,"&gt;0",$K$19:$K$186,"&lt;"&amp;K58)+(COUNTIFS($E$19:$E$186,"&gt;0",$K$19:$K$186,K58)-1)/2)/(COUNTIF($E$19:$E$186,"&gt;0")-1),50))</x:f>
        <x:v>61.03896103896104</x:v>
      </x:c>
      <x:c r="R58" s="501" t="n">
        <x:f>IF(E58=0,"",IFERROR(100*(COUNTIFS($E$19:$E$186,"&gt;0",$N$19:$N$186,"&lt;"&amp;N58)+(COUNTIFS($E$19:$E$186,"&gt;0",$N$19:$N$186,N58)-1)/2)/(COUNTIF($E$19:$E$186,"&gt;0")-1),50))</x:f>
        <x:v>81.81818181818181</x:v>
      </x:c>
      <x:c r="S58" s="501" t="n">
        <x:f>IF(E58=0,"",Q58*$R$5+R58*$R$6)</x:f>
        <x:v>65.1948051948052</x:v>
      </x:c>
      <x:c r="T58" s="501" t="n">
        <x:f>IF(M58=0,"",IFERROR(100*(COUNTIFS($M$19:$M$186,"&gt;0",$G$19:$G$186,"&gt;"&amp;G58)+(COUNTIFS($M$19:$M$186,"&gt;0",$G$19:$G$186,G58)-1)/2)/(COUNTIF($M$19:$M$186,"&gt;0")-1),50))</x:f>
        <x:v>3.4188034188034186</x:v>
      </x:c>
      <x:c r="U58" s="501" t="n">
        <x:f>IF(M58=0,"",IFERROR(100*(COUNTIFS($M$19:$M$186,"&gt;0",$M$19:$M$186,"&lt;"&amp;M58)+(COUNTIFS($M$19:$M$186,"&gt;0",$M$19:$M$186,M58)-1)/2)/(COUNTIF($M$19:$M$186,"&gt;0")-1),50))</x:f>
        <x:v>3.4188034188034186</x:v>
      </x:c>
      <x:c r="V58" s="501" t="n">
        <x:f>IF(M58=0,"",T58*$R$5+U58*$R$6)</x:f>
        <x:v>3.4188034188034186</x:v>
      </x:c>
      <x:c r="W58" s="431" t="n">
        <x:f>IF(E58=0,"",COUNTIFS($A$19:$A$186,A58,$S$19:$S$186,"&gt;"&amp;S58)+COUNTIFS($A$19:A58,A58,$E$19:E58,"&gt;0",$S$19:S58,S58))</x:f>
        <x:v>4</x:v>
      </x:c>
      <x:c r="X58" s="431" t="n">
        <x:f>IF(S58="","",1+COUNTIF($S$19:$S$186,"&gt;"&amp;S58))</x:f>
        <x:v>53</x:v>
      </x:c>
      <x:c r="Y58" s="431" t="n">
        <x:f>IF(V58="","",1+COUNTIFS($A$19:$A$186,A58,$V$19:$V$186,"&gt;"&amp;V58))</x:f>
        <x:v>17</x:v>
      </x:c>
      <x:c r="Z58" s="431" t="n">
        <x:f>IF(V58="","",1+COUNTIF($V$19:$V$186,"&gt;"&amp;V58))</x:f>
        <x:v>114</x:v>
      </x:c>
      <x:c r="AA58" s="430" t="str">
        <x:f>IF(C58=0,"No specialisations recorded",IF(D58&lt;C58,"Review missing level","Recorded skills only"))</x:f>
        <x:v>Recorded skills only</x:v>
      </x:c>
      <x:c r="AB58" s="601" t="n">
        <x:f>IF(OR(AP58&lt;&gt;"Yes",E58=0),"",IFERROR(100*(COUNTIFS($AP$19:$AP$186,"Yes",$E$19:$E$186,"&gt;0",$I$19:$I$186,"&lt;"&amp;I58)+(COUNTIFS($AP$19:$AP$186,"Yes",$E$19:$E$186,"&gt;0",$I$19:$I$186,I58)-1)/2)/(COUNTIFS($AP$19:$AP$186,"Yes",$E$19:$E$186,"&gt;0")-1),50))</x:f>
        <x:v>95.12987012987013</x:v>
      </x:c>
      <x:c r="AC58" s="601" t="n">
        <x:f>IF(AB58="","",AB58*'Specialisation Rankings'!$O$16+R58*'Specialisation Rankings'!$O$17)</x:f>
        <x:v>92.46753246753246</x:v>
      </x:c>
      <x:c r="AD58" s="601" t="n">
        <x:f>IF(AC58="","",COUNTIFS($A$19:$A$186,A58,$AP$19:$AP$186,"Yes",$E$19:$E$186,"&gt;0",$AC$19:$AC$186,"&gt;"&amp;AC58)+COUNTIFS($A$19:A58,A58,$AP$19:AP58,"Yes",$E$19:E58,"&gt;0",$AC$19:AC58,AC58))</x:f>
        <x:v>2</x:v>
      </x:c>
      <x:c r="AE58" s="601" t="n">
        <x:f>IF(OR(AP58&lt;&gt;"Yes",E58=0),"",IFERROR(100*(COUNTIFS($AP$19:$AP$186,"Yes",$E$19:$E$186,"&gt;0",$H$19:$H$186,"&lt;"&amp;H58)+(COUNTIFS($AP$19:$AP$186,"Yes",$E$19:$E$186,"&gt;0",$H$19:$H$186,H58)-1)/2)/(COUNTIFS($AP$19:$AP$186,"Yes",$E$19:$E$186,"&gt;0")-1),50))</x:f>
        <x:v>11.688311688311689</x:v>
      </x:c>
      <x:c r="AF58" s="601" t="n">
        <x:f>IF(AE58="","",AE58*'Specialisation Rankings'!$O$16+R58*'Specialisation Rankings'!$O$17)</x:f>
        <x:v>25.714285714285715</x:v>
      </x:c>
      <x:c r="AG58" s="601" t="n">
        <x:f>IF(AF58="","",COUNTIFS($A$19:$A$186,A58,$AP$19:$AP$186,"Yes",$E$19:$E$186,"&gt;0",$AF$19:$AF$186,"&gt;"&amp;AF58)+COUNTIFS($A$19:A58,A58,$AP$19:AP58,"Yes",$E$19:E58,"&gt;0",$AF$19:AF58,AF58))</x:f>
        <x:v>17</x:v>
      </x:c>
      <x:c r="AH58" s="601" t="n">
        <x:f>IF(OR(AP58&lt;&gt;"Yes",E58=0),"",IFERROR(100*(COUNTIFS($AP$19:$AP$186,"Yes",$E$19:$E$186,"&gt;0",$J$19:$J$186,"&lt;"&amp;J58)+(COUNTIFS($AP$19:$AP$186,"Yes",$E$19:$E$186,"&gt;0",$J$19:$J$186,J58)-1)/2)/(COUNTIFS($AP$19:$AP$186,"Yes",$E$19:$E$186,"&gt;0")-1),50))</x:f>
        <x:v>33.116883116883116</x:v>
      </x:c>
      <x:c r="AI58" s="601" t="n">
        <x:f>IF(AH58="","",AH58*'Specialisation Rankings'!$O$16+R58*'Specialisation Rankings'!$O$17)</x:f>
        <x:v>42.85714285714286</x:v>
      </x:c>
      <x:c r="AJ58" s="601" t="n">
        <x:f>IF(AI58="","",COUNTIFS($A$19:$A$186,A58,$AP$19:$AP$186,"Yes",$E$19:$E$186,"&gt;0",$AI$19:$AI$186,"&gt;"&amp;AI58)+COUNTIFS($A$19:A58,A58,$AP$19:AP58,"Yes",$E$19:E58,"&gt;0",$AI$19:AI58,AI58))</x:f>
        <x:v>4</x:v>
      </x:c>
      <x:c r="AK58" s="601" t="n">
        <x:f>IF(OR(AP58&lt;&gt;"Yes",E58=0),"",IF(M58=0,'Specialisation Rankings'!$O$23,V58))</x:f>
        <x:v>3.4188034188034186</x:v>
      </x:c>
      <x:c r="AL58" s="601" t="n">
        <x:f>IF(AK58="","",COUNTIFS($A$19:$A$186,A58,$AP$19:$AP$186,"Yes",$E$19:$E$186,"&gt;0",$AK$19:$AK$186,"&gt;"&amp;AK58)+COUNTIFS($A$19:A58,A58,$AP$19:AP58,"Yes",$E$19:E58,"&gt;0",$AK$19:AK58,AK58))</x:f>
        <x:v>18</x:v>
      </x:c>
      <x:c r="AM58" s="601" t="n">
        <x:f>IF(AC58="","",AC58*'Specialisation Rankings'!$O$18+AF58*'Specialisation Rankings'!$O$19+AI58*'Specialisation Rankings'!$O$20+AK58*'Specialisation Rankings'!$O$21)</x:f>
        <x:v>69.44577644577645</x:v>
      </x:c>
      <x:c r="AN58" s="601" t="n">
        <x:f>IF(AM58="","",COUNTIFS($A$19:$A$186,A58,$AP$19:$AP$186,"Yes",$E$19:$E$186,"&gt;0",$AM$19:$AM$186,"&gt;"&amp;AM58)+COUNTIFS($A$19:A58,A58,$AP$19:AP58,"Yes",$E$19:E58,"&gt;0",$AM$19:AM58,AM58))</x:f>
        <x:v>3</x:v>
      </x:c>
      <x:c r="AO58" s="601" t="n">
        <x:f>IF(AM58="","",COUNTIFS($AP$19:$AP$186,"Yes",$E$19:$E$186,"&gt;0",$AM$19:$AM$186,"&gt;"&amp;AM58)+COUNTIFS($AP$19:AP58,"Yes",$E$19:E58,"&gt;0",$AM$19:AM58,AM58))</x:f>
        <x:v>37</x:v>
      </x:c>
      <x:c r="AP58" s="602" t="str">
        <x:f>IF(COUNTIFS('Player Scenario Model'!$A$6:$A$172,A58,'Player Scenario Model'!$B$6:$B$172,B58)&gt;0,"Yes","No")</x:f>
        <x:v>Yes</x:v>
      </x:c>
    </x:row>
    <x:row r="59" ht="24" customHeight="1">
      <x:c r="A59" s="430" t="str">
        <x:v>K91</x:v>
      </x:c>
      <x:c r="B59" s="430" t="str">
        <x:v>KaladinTheHerald</x:v>
      </x:c>
      <x:c r="C59" s="431" t="n">
        <x:f>COUNTIFS('Specialisations'!$A$6:$A$527,A59,'Specialisations'!$B$6:$B$527,B59)</x:f>
        <x:v>3</x:v>
      </x:c>
      <x:c r="D59" s="431" t="n">
        <x:f>COUNTIFS('Specialisations'!$A$6:$A$527,A59,'Specialisations'!$B$6:$B$527,B59,'Specialisations'!$P$6:$P$527,"OK")</x:f>
        <x:v>3</x:v>
      </x:c>
      <x:c r="E59" s="431" t="n">
        <x:f>COUNTIFS('Specialisations'!$A$6:$A$527,A59,'Specialisations'!$B$6:$B$527,B59,'Specialisations'!$P$6:$P$527,"OK",'Specialisations'!$C$6:$C$527,"&lt;&gt;Guards")</x:f>
        <x:v>2</x:v>
      </x:c>
      <x:c r="F59" s="432" t="n">
        <x:f>IF(C59=0,"",D59/C59)</x:f>
        <x:v>1</x:v>
      </x:c>
      <x:c r="G59" s="495" t="n">
        <x:f>SUMIFS('Specialisations'!$Q$6:$Q$527,'Specialisations'!$A$6:$A$527,A59,'Specialisations'!$B$6:$B$527,B59,'Specialisations'!$C$6:$C$527,"Guards")</x:f>
        <x:v>-19.17</x:v>
      </x:c>
      <x:c r="H59" s="495" t="n">
        <x:f>SUMIFS('Specialisations'!$Q$6:$Q$527,'Specialisations'!$A$6:$A$527,A59,'Specialisations'!$B$6:$B$527,B59,'Specialisations'!$C$6:$C$527,"Archers")</x:f>
        <x:v>0</x:v>
      </x:c>
      <x:c r="I59" s="495" t="n">
        <x:f>SUMIFS('Specialisations'!$Q$6:$Q$527,'Specialisations'!$A$6:$A$527,A59,'Specialisations'!$B$6:$B$527,B59,'Specialisations'!$C$6:$C$527,"Cavalry")</x:f>
        <x:v>105.13</x:v>
      </x:c>
      <x:c r="J59" s="495" t="n">
        <x:f>SUMIFS('Specialisations'!$Q$6:$Q$527,'Specialisations'!$A$6:$A$527,A59,'Specialisations'!$B$6:$B$527,B59,'Specialisations'!$C$6:$C$527,"Siege")</x:f>
        <x:v>0</x:v>
      </x:c>
      <x:c r="K59" s="495" t="n">
        <x:f>SUM(H59:J59)</x:f>
        <x:v>105.13</x:v>
      </x:c>
      <x:c r="L59" s="495" t="n">
        <x:f>SUM(G59,K59)</x:f>
        <x:v>85.96</x:v>
      </x:c>
      <x:c r="M59" s="433" t="n">
        <x:f>SUMIFS('Specialisations'!$N$6:$N$527,'Specialisations'!$A$6:$A$527,A59,'Specialisations'!$B$6:$B$527,B59,'Specialisations'!$C$6:$C$527,"Guards")</x:f>
        <x:v>1464300</x:v>
      </x:c>
      <x:c r="N59" s="433" t="n">
        <x:f>SUMIFS('Specialisations'!$N$6:$N$527,'Specialisations'!$A$6:$A$527,A59,'Specialisations'!$B$6:$B$527,B59,'Specialisations'!$C$6:$C$527,"&lt;&gt;Guards")</x:f>
        <x:v>15338600</x:v>
      </x:c>
      <x:c r="O59" s="433" t="n">
        <x:f>SUM(M59:N59)</x:f>
        <x:v>16802900</x:v>
      </x:c>
      <x:c r="P59" s="434" t="n">
        <x:f>IF(E59=0,"",K59/E59)</x:f>
        <x:v>52.565</x:v>
      </x:c>
      <x:c r="Q59" s="501" t="n">
        <x:f>IF(E59=0,"",IFERROR(100*(COUNTIFS($E$19:$E$186,"&gt;0",$K$19:$K$186,"&lt;"&amp;K59)+(COUNTIFS($E$19:$E$186,"&gt;0",$K$19:$K$186,K59)-1)/2)/(COUNTIF($E$19:$E$186,"&gt;0")-1),50))</x:f>
        <x:v>58.44155844155844</x:v>
      </x:c>
      <x:c r="R59" s="501" t="n">
        <x:f>IF(E59=0,"",IFERROR(100*(COUNTIFS($E$19:$E$186,"&gt;0",$N$19:$N$186,"&lt;"&amp;N59)+(COUNTIFS($E$19:$E$186,"&gt;0",$N$19:$N$186,N59)-1)/2)/(COUNTIF($E$19:$E$186,"&gt;0")-1),50))</x:f>
        <x:v>79.87012987012987</x:v>
      </x:c>
      <x:c r="S59" s="501" t="n">
        <x:f>IF(E59=0,"",Q59*$R$5+R59*$R$6)</x:f>
        <x:v>62.72727272727273</x:v>
      </x:c>
      <x:c r="T59" s="501" t="n">
        <x:f>IF(M59=0,"",IFERROR(100*(COUNTIFS($M$19:$M$186,"&gt;0",$G$19:$G$186,"&gt;"&amp;G59)+(COUNTIFS($M$19:$M$186,"&gt;0",$G$19:$G$186,G59)-1)/2)/(COUNTIF($M$19:$M$186,"&gt;0")-1),50))</x:f>
        <x:v>17.094017094017094</x:v>
      </x:c>
      <x:c r="U59" s="501" t="n">
        <x:f>IF(M59=0,"",IFERROR(100*(COUNTIFS($M$19:$M$186,"&gt;0",$M$19:$M$186,"&lt;"&amp;M59)+(COUNTIFS($M$19:$M$186,"&gt;0",$M$19:$M$186,M59)-1)/2)/(COUNTIF($M$19:$M$186,"&gt;0")-1),50))</x:f>
        <x:v>17.094017094017094</x:v>
      </x:c>
      <x:c r="V59" s="501" t="n">
        <x:f>IF(M59=0,"",T59*$R$5+U59*$R$6)</x:f>
        <x:v>17.094017094017094</x:v>
      </x:c>
      <x:c r="W59" s="431" t="n">
        <x:f>IF(E59=0,"",COUNTIFS($A$19:$A$186,A59,$S$19:$S$186,"&gt;"&amp;S59)+COUNTIFS($A$19:A59,A59,$E$19:E59,"&gt;0",$S$19:S59,S59))</x:f>
        <x:v>5</x:v>
      </x:c>
      <x:c r="X59" s="431" t="n">
        <x:f>IF(S59="","",1+COUNTIF($S$19:$S$186,"&gt;"&amp;S59))</x:f>
        <x:v>56</x:v>
      </x:c>
      <x:c r="Y59" s="431" t="n">
        <x:f>IF(V59="","",1+COUNTIFS($A$19:$A$186,A59,$V$19:$V$186,"&gt;"&amp;V59))</x:f>
        <x:v>5</x:v>
      </x:c>
      <x:c r="Z59" s="431" t="n">
        <x:f>IF(V59="","",1+COUNTIF($V$19:$V$186,"&gt;"&amp;V59))</x:f>
        <x:v>98</x:v>
      </x:c>
      <x:c r="AA59" s="430" t="str">
        <x:f>IF(C59=0,"No specialisations recorded",IF(D59&lt;C59,"Review missing level","Recorded skills only"))</x:f>
        <x:v>Recorded skills only</x:v>
      </x:c>
      <x:c r="AB59" s="601" t="n">
        <x:f>IF(OR(AP59&lt;&gt;"Yes",E59=0),"",IFERROR(100*(COUNTIFS($AP$19:$AP$186,"Yes",$E$19:$E$186,"&gt;0",$I$19:$I$186,"&lt;"&amp;I59)+(COUNTIFS($AP$19:$AP$186,"Yes",$E$19:$E$186,"&gt;0",$I$19:$I$186,I59)-1)/2)/(COUNTIFS($AP$19:$AP$186,"Yes",$E$19:$E$186,"&gt;0")-1),50))</x:f>
        <x:v>91.88311688311688</x:v>
      </x:c>
      <x:c r="AC59" s="601" t="n">
        <x:f>IF(AB59="","",AB59*'Specialisation Rankings'!$O$16+R59*'Specialisation Rankings'!$O$17)</x:f>
        <x:v>89.48051948051949</x:v>
      </x:c>
      <x:c r="AD59" s="601" t="n">
        <x:f>IF(AC59="","",COUNTIFS($A$19:$A$186,A59,$AP$19:$AP$186,"Yes",$E$19:$E$186,"&gt;0",$AC$19:$AC$186,"&gt;"&amp;AC59)+COUNTIFS($A$19:A59,A59,$AP$19:AP59,"Yes",$E$19:E59,"&gt;0",$AC$19:AC59,AC59))</x:f>
        <x:v>3</x:v>
      </x:c>
      <x:c r="AE59" s="601" t="n">
        <x:f>IF(OR(AP59&lt;&gt;"Yes",E59=0),"",IFERROR(100*(COUNTIFS($AP$19:$AP$186,"Yes",$E$19:$E$186,"&gt;0",$H$19:$H$186,"&lt;"&amp;H59)+(COUNTIFS($AP$19:$AP$186,"Yes",$E$19:$E$186,"&gt;0",$H$19:$H$186,H59)-1)/2)/(COUNTIFS($AP$19:$AP$186,"Yes",$E$19:$E$186,"&gt;0")-1),50))</x:f>
        <x:v>11.688311688311689</x:v>
      </x:c>
      <x:c r="AF59" s="601" t="n">
        <x:f>IF(AE59="","",AE59*'Specialisation Rankings'!$O$16+R59*'Specialisation Rankings'!$O$17)</x:f>
        <x:v>25.324675324675326</x:v>
      </x:c>
      <x:c r="AG59" s="601" t="n">
        <x:f>IF(AF59="","",COUNTIFS($A$19:$A$186,A59,$AP$19:$AP$186,"Yes",$E$19:$E$186,"&gt;0",$AF$19:$AF$186,"&gt;"&amp;AF59)+COUNTIFS($A$19:A59,A59,$AP$19:AP59,"Yes",$E$19:E59,"&gt;0",$AF$19:AF59,AF59))</x:f>
        <x:v>18</x:v>
      </x:c>
      <x:c r="AH59" s="601" t="n">
        <x:f>IF(OR(AP59&lt;&gt;"Yes",E59=0),"",IFERROR(100*(COUNTIFS($AP$19:$AP$186,"Yes",$E$19:$E$186,"&gt;0",$J$19:$J$186,"&lt;"&amp;J59)+(COUNTIFS($AP$19:$AP$186,"Yes",$E$19:$E$186,"&gt;0",$J$19:$J$186,J59)-1)/2)/(COUNTIFS($AP$19:$AP$186,"Yes",$E$19:$E$186,"&gt;0")-1),50))</x:f>
        <x:v>33.116883116883116</x:v>
      </x:c>
      <x:c r="AI59" s="601" t="n">
        <x:f>IF(AH59="","",AH59*'Specialisation Rankings'!$O$16+R59*'Specialisation Rankings'!$O$17)</x:f>
        <x:v>42.46753246753247</x:v>
      </x:c>
      <x:c r="AJ59" s="601" t="n">
        <x:f>IF(AI59="","",COUNTIFS($A$19:$A$186,A59,$AP$19:$AP$186,"Yes",$E$19:$E$186,"&gt;0",$AI$19:$AI$186,"&gt;"&amp;AI59)+COUNTIFS($A$19:A59,A59,$AP$19:AP59,"Yes",$E$19:E59,"&gt;0",$AI$19:AI59,AI59))</x:f>
        <x:v>5</x:v>
      </x:c>
      <x:c r="AK59" s="601" t="n">
        <x:f>IF(OR(AP59&lt;&gt;"Yes",E59=0),"",IF(M59=0,'Specialisation Rankings'!$O$23,V59))</x:f>
        <x:v>17.094017094017094</x:v>
      </x:c>
      <x:c r="AL59" s="601" t="n">
        <x:f>IF(AK59="","",COUNTIFS($A$19:$A$186,A59,$AP$19:$AP$186,"Yes",$E$19:$E$186,"&gt;0",$AK$19:$AK$186,"&gt;"&amp;AK59)+COUNTIFS($A$19:A59,A59,$AP$19:AP59,"Yes",$E$19:E59,"&gt;0",$AK$19:AK59,AK59))</x:f>
        <x:v>6</x:v>
      </x:c>
      <x:c r="AM59" s="601" t="n">
        <x:f>IF(AC59="","",AC59*'Specialisation Rankings'!$O$18+AF59*'Specialisation Rankings'!$O$19+AI59*'Specialisation Rankings'!$O$20+AK59*'Specialisation Rankings'!$O$21)</x:f>
        <x:v>68.77433677433677</x:v>
      </x:c>
      <x:c r="AN59" s="601" t="n">
        <x:f>IF(AM59="","",COUNTIFS($A$19:$A$186,A59,$AP$19:$AP$186,"Yes",$E$19:$E$186,"&gt;0",$AM$19:$AM$186,"&gt;"&amp;AM59)+COUNTIFS($A$19:A59,A59,$AP$19:AP59,"Yes",$E$19:E59,"&gt;0",$AM$19:AM59,AM59))</x:f>
        <x:v>4</x:v>
      </x:c>
      <x:c r="AO59" s="601" t="n">
        <x:f>IF(AM59="","",COUNTIFS($AP$19:$AP$186,"Yes",$E$19:$E$186,"&gt;0",$AM$19:$AM$186,"&gt;"&amp;AM59)+COUNTIFS($AP$19:AP59,"Yes",$E$19:E59,"&gt;0",$AM$19:AM59,AM59))</x:f>
        <x:v>39</x:v>
      </x:c>
      <x:c r="AP59" s="602" t="str">
        <x:f>IF(COUNTIFS('Player Scenario Model'!$A$6:$A$172,A59,'Player Scenario Model'!$B$6:$B$172,B59)&gt;0,"Yes","No")</x:f>
        <x:v>Yes</x:v>
      </x:c>
    </x:row>
    <x:row r="60" ht="24" customHeight="1">
      <x:c r="A60" s="430" t="str">
        <x:v>K91</x:v>
      </x:c>
      <x:c r="B60" s="430" t="str">
        <x:v>Crash</x:v>
      </x:c>
      <x:c r="C60" s="431" t="n">
        <x:f>COUNTIFS('Specialisations'!$A$6:$A$527,A60,'Specialisations'!$B$6:$B$527,B60)</x:f>
        <x:v>3</x:v>
      </x:c>
      <x:c r="D60" s="431" t="n">
        <x:f>COUNTIFS('Specialisations'!$A$6:$A$527,A60,'Specialisations'!$B$6:$B$527,B60,'Specialisations'!$P$6:$P$527,"OK")</x:f>
        <x:v>3</x:v>
      </x:c>
      <x:c r="E60" s="431" t="n">
        <x:f>COUNTIFS('Specialisations'!$A$6:$A$527,A60,'Specialisations'!$B$6:$B$527,B60,'Specialisations'!$P$6:$P$527,"OK",'Specialisations'!$C$6:$C$527,"&lt;&gt;Guards")</x:f>
        <x:v>2</x:v>
      </x:c>
      <x:c r="F60" s="432" t="n">
        <x:f>IF(C60=0,"",D60/C60)</x:f>
        <x:v>1</x:v>
      </x:c>
      <x:c r="G60" s="495" t="n">
        <x:f>SUMIFS('Specialisations'!$Q$6:$Q$527,'Specialisations'!$A$6:$A$527,A60,'Specialisations'!$B$6:$B$527,B60,'Specialisations'!$C$6:$C$527,"Guards")</x:f>
        <x:v>-12.09</x:v>
      </x:c>
      <x:c r="H60" s="495" t="n">
        <x:f>SUMIFS('Specialisations'!$Q$6:$Q$527,'Specialisations'!$A$6:$A$527,A60,'Specialisations'!$B$6:$B$527,B60,'Specialisations'!$C$6:$C$527,"Archers")</x:f>
        <x:v>0</x:v>
      </x:c>
      <x:c r="I60" s="495" t="n">
        <x:f>SUMIFS('Specialisations'!$Q$6:$Q$527,'Specialisations'!$A$6:$A$527,A60,'Specialisations'!$B$6:$B$527,B60,'Specialisations'!$C$6:$C$527,"Cavalry")</x:f>
        <x:v>80.73</x:v>
      </x:c>
      <x:c r="J60" s="495" t="n">
        <x:f>SUMIFS('Specialisations'!$Q$6:$Q$527,'Specialisations'!$A$6:$A$527,A60,'Specialisations'!$B$6:$B$527,B60,'Specialisations'!$C$6:$C$527,"Siege")</x:f>
        <x:v>0</x:v>
      </x:c>
      <x:c r="K60" s="495" t="n">
        <x:f>SUM(H60:J60)</x:f>
        <x:v>80.73</x:v>
      </x:c>
      <x:c r="L60" s="495" t="n">
        <x:f>SUM(G60,K60)</x:f>
        <x:v>68.64</x:v>
      </x:c>
      <x:c r="M60" s="433" t="n">
        <x:f>SUMIFS('Specialisations'!$N$6:$N$527,'Specialisations'!$A$6:$A$527,A60,'Specialisations'!$B$6:$B$527,B60,'Specialisations'!$C$6:$C$527,"Guards")</x:f>
        <x:v>864300</x:v>
      </x:c>
      <x:c r="N60" s="433" t="n">
        <x:f>SUMIFS('Specialisations'!$N$6:$N$527,'Specialisations'!$A$6:$A$527,A60,'Specialisations'!$B$6:$B$527,B60,'Specialisations'!$C$6:$C$527,"&lt;&gt;Guards")</x:f>
        <x:v>11958600</x:v>
      </x:c>
      <x:c r="O60" s="433" t="n">
        <x:f>SUM(M60:N60)</x:f>
        <x:v>12822900</x:v>
      </x:c>
      <x:c r="P60" s="434" t="n">
        <x:f>IF(E60=0,"",K60/E60)</x:f>
        <x:v>40.365</x:v>
      </x:c>
      <x:c r="Q60" s="501" t="n">
        <x:f>IF(E60=0,"",IFERROR(100*(COUNTIFS($E$19:$E$186,"&gt;0",$K$19:$K$186,"&lt;"&amp;K60)+(COUNTIFS($E$19:$E$186,"&gt;0",$K$19:$K$186,K60)-1)/2)/(COUNTIF($E$19:$E$186,"&gt;0")-1),50))</x:f>
        <x:v>38.96103896103896</x:v>
      </x:c>
      <x:c r="R60" s="501" t="n">
        <x:f>IF(E60=0,"",IFERROR(100*(COUNTIFS($E$19:$E$186,"&gt;0",$N$19:$N$186,"&lt;"&amp;N60)+(COUNTIFS($E$19:$E$186,"&gt;0",$N$19:$N$186,N60)-1)/2)/(COUNTIF($E$19:$E$186,"&gt;0")-1),50))</x:f>
        <x:v>61.03896103896104</x:v>
      </x:c>
      <x:c r="S60" s="501" t="n">
        <x:f>IF(E60=0,"",Q60*$R$5+R60*$R$6)</x:f>
        <x:v>43.37662337662337</x:v>
      </x:c>
      <x:c r="T60" s="501" t="n">
        <x:f>IF(M60=0,"",IFERROR(100*(COUNTIFS($M$19:$M$186,"&gt;0",$G$19:$G$186,"&gt;"&amp;G60)+(COUNTIFS($M$19:$M$186,"&gt;0",$G$19:$G$186,G60)-1)/2)/(COUNTIF($M$19:$M$186,"&gt;0")-1),50))</x:f>
        <x:v>11.965811965811966</x:v>
      </x:c>
      <x:c r="U60" s="501" t="n">
        <x:f>IF(M60=0,"",IFERROR(100*(COUNTIFS($M$19:$M$186,"&gt;0",$M$19:$M$186,"&lt;"&amp;M60)+(COUNTIFS($M$19:$M$186,"&gt;0",$M$19:$M$186,M60)-1)/2)/(COUNTIF($M$19:$M$186,"&gt;0")-1),50))</x:f>
        <x:v>11.965811965811966</x:v>
      </x:c>
      <x:c r="V60" s="501" t="n">
        <x:f>IF(M60=0,"",T60*$R$5+U60*$R$6)</x:f>
        <x:v>11.965811965811966</x:v>
      </x:c>
      <x:c r="W60" s="431" t="n">
        <x:f>IF(E60=0,"",COUNTIFS($A$19:$A$186,A60,$S$19:$S$186,"&gt;"&amp;S60)+COUNTIFS($A$19:A60,A60,$E$19:E60,"&gt;0",$S$19:S60,S60))</x:f>
        <x:v>11</x:v>
      </x:c>
      <x:c r="X60" s="431" t="n">
        <x:f>IF(S60="","",1+COUNTIF($S$19:$S$186,"&gt;"&amp;S60))</x:f>
        <x:v>89</x:v>
      </x:c>
      <x:c r="Y60" s="431" t="n">
        <x:f>IF(V60="","",1+COUNTIFS($A$19:$A$186,A60,$V$19:$V$186,"&gt;"&amp;V60))</x:f>
        <x:v>9</x:v>
      </x:c>
      <x:c r="Z60" s="431" t="n">
        <x:f>IF(V60="","",1+COUNTIF($V$19:$V$186,"&gt;"&amp;V60))</x:f>
        <x:v>104</x:v>
      </x:c>
      <x:c r="AA60" s="430" t="str">
        <x:f>IF(C60=0,"No specialisations recorded",IF(D60&lt;C60,"Review missing level","Recorded skills only"))</x:f>
        <x:v>Recorded skills only</x:v>
      </x:c>
      <x:c r="AB60" s="601" t="n">
        <x:f>IF(OR(AP60&lt;&gt;"Yes",E60=0),"",IFERROR(100*(COUNTIFS($AP$19:$AP$186,"Yes",$E$19:$E$186,"&gt;0",$I$19:$I$186,"&lt;"&amp;I60)+(COUNTIFS($AP$19:$AP$186,"Yes",$E$19:$E$186,"&gt;0",$I$19:$I$186,I60)-1)/2)/(COUNTIFS($AP$19:$AP$186,"Yes",$E$19:$E$186,"&gt;0")-1),50))</x:f>
        <x:v>63.63636363636363</x:v>
      </x:c>
      <x:c r="AC60" s="601" t="n">
        <x:f>IF(AB60="","",AB60*'Specialisation Rankings'!$O$16+R60*'Specialisation Rankings'!$O$17)</x:f>
        <x:v>63.116883116883116</x:v>
      </x:c>
      <x:c r="AD60" s="601" t="n">
        <x:f>IF(AC60="","",COUNTIFS($A$19:$A$186,A60,$AP$19:$AP$186,"Yes",$E$19:$E$186,"&gt;0",$AC$19:$AC$186,"&gt;"&amp;AC60)+COUNTIFS($A$19:A60,A60,$AP$19:AP60,"Yes",$E$19:E60,"&gt;0",$AC$19:AC60,AC60))</x:f>
        <x:v>5</x:v>
      </x:c>
      <x:c r="AE60" s="601" t="n">
        <x:f>IF(OR(AP60&lt;&gt;"Yes",E60=0),"",IFERROR(100*(COUNTIFS($AP$19:$AP$186,"Yes",$E$19:$E$186,"&gt;0",$H$19:$H$186,"&lt;"&amp;H60)+(COUNTIFS($AP$19:$AP$186,"Yes",$E$19:$E$186,"&gt;0",$H$19:$H$186,H60)-1)/2)/(COUNTIFS($AP$19:$AP$186,"Yes",$E$19:$E$186,"&gt;0")-1),50))</x:f>
        <x:v>11.688311688311689</x:v>
      </x:c>
      <x:c r="AF60" s="601" t="n">
        <x:f>IF(AE60="","",AE60*'Specialisation Rankings'!$O$16+R60*'Specialisation Rankings'!$O$17)</x:f>
        <x:v>21.55844155844156</x:v>
      </x:c>
      <x:c r="AG60" s="601" t="n">
        <x:f>IF(AF60="","",COUNTIFS($A$19:$A$186,A60,$AP$19:$AP$186,"Yes",$E$19:$E$186,"&gt;0",$AF$19:$AF$186,"&gt;"&amp;AF60)+COUNTIFS($A$19:A60,A60,$AP$19:AP60,"Yes",$E$19:E60,"&gt;0",$AF$19:AF60,AF60))</x:f>
        <x:v>19</x:v>
      </x:c>
      <x:c r="AH60" s="601" t="n">
        <x:f>IF(OR(AP60&lt;&gt;"Yes",E60=0),"",IFERROR(100*(COUNTIFS($AP$19:$AP$186,"Yes",$E$19:$E$186,"&gt;0",$J$19:$J$186,"&lt;"&amp;J60)+(COUNTIFS($AP$19:$AP$186,"Yes",$E$19:$E$186,"&gt;0",$J$19:$J$186,J60)-1)/2)/(COUNTIFS($AP$19:$AP$186,"Yes",$E$19:$E$186,"&gt;0")-1),50))</x:f>
        <x:v>33.116883116883116</x:v>
      </x:c>
      <x:c r="AI60" s="601" t="n">
        <x:f>IF(AH60="","",AH60*'Specialisation Rankings'!$O$16+R60*'Specialisation Rankings'!$O$17)</x:f>
        <x:v>38.701298701298704</x:v>
      </x:c>
      <x:c r="AJ60" s="601" t="n">
        <x:f>IF(AI60="","",COUNTIFS($A$19:$A$186,A60,$AP$19:$AP$186,"Yes",$E$19:$E$186,"&gt;0",$AI$19:$AI$186,"&gt;"&amp;AI60)+COUNTIFS($A$19:A60,A60,$AP$19:AP60,"Yes",$E$19:E60,"&gt;0",$AI$19:AI60,AI60))</x:f>
        <x:v>10</x:v>
      </x:c>
      <x:c r="AK60" s="601" t="n">
        <x:f>IF(OR(AP60&lt;&gt;"Yes",E60=0),"",IF(M60=0,'Specialisation Rankings'!$O$23,V60))</x:f>
        <x:v>11.965811965811966</x:v>
      </x:c>
      <x:c r="AL60" s="601" t="n">
        <x:f>IF(AK60="","",COUNTIFS($A$19:$A$186,A60,$AP$19:$AP$186,"Yes",$E$19:$E$186,"&gt;0",$AK$19:$AK$186,"&gt;"&amp;AK60)+COUNTIFS($A$19:A60,A60,$AP$19:AP60,"Yes",$E$19:E60,"&gt;0",$AK$19:AK60,AK60))</x:f>
        <x:v>10</x:v>
      </x:c>
      <x:c r="AM60" s="601" t="n">
        <x:f>IF(AC60="","",AC60*'Specialisation Rankings'!$O$18+AF60*'Specialisation Rankings'!$O$19+AI60*'Specialisation Rankings'!$O$20+AK60*'Specialisation Rankings'!$O$21)</x:f>
        <x:v>50.18359418359419</x:v>
      </x:c>
      <x:c r="AN60" s="601" t="n">
        <x:f>IF(AM60="","",COUNTIFS($A$19:$A$186,A60,$AP$19:$AP$186,"Yes",$E$19:$E$186,"&gt;0",$AM$19:$AM$186,"&gt;"&amp;AM60)+COUNTIFS($A$19:A60,A60,$AP$19:AP60,"Yes",$E$19:E60,"&gt;0",$AM$19:AM60,AM60))</x:f>
        <x:v>5</x:v>
      </x:c>
      <x:c r="AO60" s="601" t="n">
        <x:f>IF(AM60="","",COUNTIFS($AP$19:$AP$186,"Yes",$E$19:$E$186,"&gt;0",$AM$19:$AM$186,"&gt;"&amp;AM60)+COUNTIFS($AP$19:AP60,"Yes",$E$19:E60,"&gt;0",$AM$19:AM60,AM60))</x:f>
        <x:v>70</x:v>
      </x:c>
      <x:c r="AP60" s="602" t="str">
        <x:f>IF(COUNTIFS('Player Scenario Model'!$A$6:$A$172,A60,'Player Scenario Model'!$B$6:$B$172,B60)&gt;0,"Yes","No")</x:f>
        <x:v>Yes</x:v>
      </x:c>
    </x:row>
    <x:row r="61" ht="24" customHeight="1">
      <x:c r="A61" s="430" t="str">
        <x:v>K91</x:v>
      </x:c>
      <x:c r="B61" s="430" t="str">
        <x:v>WindRunner</x:v>
      </x:c>
      <x:c r="C61" s="431" t="n">
        <x:f>COUNTIFS('Specialisations'!$A$6:$A$527,A61,'Specialisations'!$B$6:$B$527,B61)</x:f>
        <x:v>3</x:v>
      </x:c>
      <x:c r="D61" s="431" t="n">
        <x:f>COUNTIFS('Specialisations'!$A$6:$A$527,A61,'Specialisations'!$B$6:$B$527,B61,'Specialisations'!$P$6:$P$527,"OK")</x:f>
        <x:v>3</x:v>
      </x:c>
      <x:c r="E61" s="431" t="n">
        <x:f>COUNTIFS('Specialisations'!$A$6:$A$527,A61,'Specialisations'!$B$6:$B$527,B61,'Specialisations'!$P$6:$P$527,"OK",'Specialisations'!$C$6:$C$527,"&lt;&gt;Guards")</x:f>
        <x:v>2</x:v>
      </x:c>
      <x:c r="F61" s="432" t="n">
        <x:f>IF(C61=0,"",D61/C61)</x:f>
        <x:v>1</x:v>
      </x:c>
      <x:c r="G61" s="495" t="n">
        <x:f>SUMIFS('Specialisations'!$Q$6:$Q$527,'Specialisations'!$A$6:$A$527,A61,'Specialisations'!$B$6:$B$527,B61,'Specialisations'!$C$6:$C$527,"Guards")</x:f>
        <x:v>-17.66</x:v>
      </x:c>
      <x:c r="H61" s="495" t="n">
        <x:f>SUMIFS('Specialisations'!$Q$6:$Q$527,'Specialisations'!$A$6:$A$527,A61,'Specialisations'!$B$6:$B$527,B61,'Specialisations'!$C$6:$C$527,"Archers")</x:f>
        <x:v>111.74000000000001</x:v>
      </x:c>
      <x:c r="I61" s="495" t="n">
        <x:f>SUMIFS('Specialisations'!$Q$6:$Q$527,'Specialisations'!$A$6:$A$527,A61,'Specialisations'!$B$6:$B$527,B61,'Specialisations'!$C$6:$C$527,"Cavalry")</x:f>
        <x:v>0</x:v>
      </x:c>
      <x:c r="J61" s="495" t="n">
        <x:f>SUMIFS('Specialisations'!$Q$6:$Q$527,'Specialisations'!$A$6:$A$527,A61,'Specialisations'!$B$6:$B$527,B61,'Specialisations'!$C$6:$C$527,"Siege")</x:f>
        <x:v>0</x:v>
      </x:c>
      <x:c r="K61" s="495" t="n">
        <x:f>SUM(H61:J61)</x:f>
        <x:v>111.74000000000001</x:v>
      </x:c>
      <x:c r="L61" s="495" t="n">
        <x:f>SUM(G61,K61)</x:f>
        <x:v>94.08000000000001</x:v>
      </x:c>
      <x:c r="M61" s="433" t="n">
        <x:f>SUMIFS('Specialisations'!$N$6:$N$527,'Specialisations'!$A$6:$A$527,A61,'Specialisations'!$B$6:$B$527,B61,'Specialisations'!$C$6:$C$527,"Guards")</x:f>
        <x:v>1324300</x:v>
      </x:c>
      <x:c r="N61" s="433" t="n">
        <x:f>SUMIFS('Specialisations'!$N$6:$N$527,'Specialisations'!$A$6:$A$527,A61,'Specialisations'!$B$6:$B$527,B61,'Specialisations'!$C$6:$C$527,"&lt;&gt;Guards")</x:f>
        <x:v>17268600</x:v>
      </x:c>
      <x:c r="O61" s="433" t="n">
        <x:f>SUM(M61:N61)</x:f>
        <x:v>18592900</x:v>
      </x:c>
      <x:c r="P61" s="434" t="n">
        <x:f>IF(E61=0,"",K61/E61)</x:f>
        <x:v>55.870000000000005</x:v>
      </x:c>
      <x:c r="Q61" s="501" t="n">
        <x:f>IF(E61=0,"",IFERROR(100*(COUNTIFS($E$19:$E$186,"&gt;0",$K$19:$K$186,"&lt;"&amp;K61)+(COUNTIFS($E$19:$E$186,"&gt;0",$K$19:$K$186,K61)-1)/2)/(COUNTIF($E$19:$E$186,"&gt;0")-1),50))</x:f>
        <x:v>65.58441558441558</x:v>
      </x:c>
      <x:c r="R61" s="501" t="n">
        <x:f>IF(E61=0,"",IFERROR(100*(COUNTIFS($E$19:$E$186,"&gt;0",$N$19:$N$186,"&lt;"&amp;N61)+(COUNTIFS($E$19:$E$186,"&gt;0",$N$19:$N$186,N61)-1)/2)/(COUNTIF($E$19:$E$186,"&gt;0")-1),50))</x:f>
        <x:v>85.06493506493507</x:v>
      </x:c>
      <x:c r="S61" s="501" t="n">
        <x:f>IF(E61=0,"",Q61*$R$5+R61*$R$6)</x:f>
        <x:v>69.48051948051948</x:v>
      </x:c>
      <x:c r="T61" s="501" t="n">
        <x:f>IF(M61=0,"",IFERROR(100*(COUNTIFS($M$19:$M$186,"&gt;0",$G$19:$G$186,"&gt;"&amp;G61)+(COUNTIFS($M$19:$M$186,"&gt;0",$G$19:$G$186,G61)-1)/2)/(COUNTIF($M$19:$M$186,"&gt;0")-1),50))</x:f>
        <x:v>15.811965811965813</x:v>
      </x:c>
      <x:c r="U61" s="501" t="n">
        <x:f>IF(M61=0,"",IFERROR(100*(COUNTIFS($M$19:$M$186,"&gt;0",$M$19:$M$186,"&lt;"&amp;M61)+(COUNTIFS($M$19:$M$186,"&gt;0",$M$19:$M$186,M61)-1)/2)/(COUNTIF($M$19:$M$186,"&gt;0")-1),50))</x:f>
        <x:v>15.811965811965813</x:v>
      </x:c>
      <x:c r="V61" s="501" t="n">
        <x:f>IF(M61=0,"",T61*$R$5+U61*$R$6)</x:f>
        <x:v>15.811965811965813</x:v>
      </x:c>
      <x:c r="W61" s="431" t="n">
        <x:f>IF(E61=0,"",COUNTIFS($A$19:$A$186,A61,$S$19:$S$186,"&gt;"&amp;S61)+COUNTIFS($A$19:A61,A61,$E$19:E61,"&gt;0",$S$19:S61,S61))</x:f>
        <x:v>3</x:v>
      </x:c>
      <x:c r="X61" s="431" t="n">
        <x:f>IF(S61="","",1+COUNTIF($S$19:$S$186,"&gt;"&amp;S61))</x:f>
        <x:v>49</x:v>
      </x:c>
      <x:c r="Y61" s="431" t="n">
        <x:f>IF(V61="","",1+COUNTIFS($A$19:$A$186,A61,$V$19:$V$186,"&gt;"&amp;V61))</x:f>
        <x:v>6</x:v>
      </x:c>
      <x:c r="Z61" s="431" t="n">
        <x:f>IF(V61="","",1+COUNTIF($V$19:$V$186,"&gt;"&amp;V61))</x:f>
        <x:v>99</x:v>
      </x:c>
      <x:c r="AA61" s="430" t="str">
        <x:f>IF(C61=0,"No specialisations recorded",IF(D61&lt;C61,"Review missing level","Recorded skills only"))</x:f>
        <x:v>Recorded skills only</x:v>
      </x:c>
      <x:c r="AB61" s="601" t="n">
        <x:f>IF(OR(AP61&lt;&gt;"Yes",E61=0),"",IFERROR(100*(COUNTIFS($AP$19:$AP$186,"Yes",$E$19:$E$186,"&gt;0",$I$19:$I$186,"&lt;"&amp;I61)+(COUNTIFS($AP$19:$AP$186,"Yes",$E$19:$E$186,"&gt;0",$I$19:$I$186,I61)-1)/2)/(COUNTIFS($AP$19:$AP$186,"Yes",$E$19:$E$186,"&gt;0")-1),50))</x:f>
        <x:v>10.38961038961039</x:v>
      </x:c>
      <x:c r="AC61" s="601" t="n">
        <x:f>IF(AB61="","",AB61*'Specialisation Rankings'!$O$16+R61*'Specialisation Rankings'!$O$17)</x:f>
        <x:v>25.324675324675326</x:v>
      </x:c>
      <x:c r="AD61" s="601" t="n">
        <x:f>IF(AC61="","",COUNTIFS($A$19:$A$186,A61,$AP$19:$AP$186,"Yes",$E$19:$E$186,"&gt;0",$AC$19:$AC$186,"&gt;"&amp;AC61)+COUNTIFS($A$19:A61,A61,$AP$19:AP61,"Yes",$E$19:E61,"&gt;0",$AC$19:AC61,AC61))</x:f>
        <x:v>7</x:v>
      </x:c>
      <x:c r="AE61" s="601" t="n">
        <x:f>IF(OR(AP61&lt;&gt;"Yes",E61=0),"",IFERROR(100*(COUNTIFS($AP$19:$AP$186,"Yes",$E$19:$E$186,"&gt;0",$H$19:$H$186,"&lt;"&amp;H61)+(COUNTIFS($AP$19:$AP$186,"Yes",$E$19:$E$186,"&gt;0",$H$19:$H$186,H61)-1)/2)/(COUNTIFS($AP$19:$AP$186,"Yes",$E$19:$E$186,"&gt;0")-1),50))</x:f>
        <x:v>99.35064935064935</x:v>
      </x:c>
      <x:c r="AF61" s="601" t="n">
        <x:f>IF(AE61="","",AE61*'Specialisation Rankings'!$O$16+R61*'Specialisation Rankings'!$O$17)</x:f>
        <x:v>96.4935064935065</x:v>
      </x:c>
      <x:c r="AG61" s="601" t="n">
        <x:f>IF(AF61="","",COUNTIFS($A$19:$A$186,A61,$AP$19:$AP$186,"Yes",$E$19:$E$186,"&gt;0",$AF$19:$AF$186,"&gt;"&amp;AF61)+COUNTIFS($A$19:A61,A61,$AP$19:AP61,"Yes",$E$19:E61,"&gt;0",$AF$19:AF61,AF61))</x:f>
        <x:v>1</x:v>
      </x:c>
      <x:c r="AH61" s="601" t="n">
        <x:f>IF(OR(AP61&lt;&gt;"Yes",E61=0),"",IFERROR(100*(COUNTIFS($AP$19:$AP$186,"Yes",$E$19:$E$186,"&gt;0",$J$19:$J$186,"&lt;"&amp;J61)+(COUNTIFS($AP$19:$AP$186,"Yes",$E$19:$E$186,"&gt;0",$J$19:$J$186,J61)-1)/2)/(COUNTIFS($AP$19:$AP$186,"Yes",$E$19:$E$186,"&gt;0")-1),50))</x:f>
        <x:v>33.116883116883116</x:v>
      </x:c>
      <x:c r="AI61" s="601" t="n">
        <x:f>IF(AH61="","",AH61*'Specialisation Rankings'!$O$16+R61*'Specialisation Rankings'!$O$17)</x:f>
        <x:v>43.50649350649351</x:v>
      </x:c>
      <x:c r="AJ61" s="601" t="n">
        <x:f>IF(AI61="","",COUNTIFS($A$19:$A$186,A61,$AP$19:$AP$186,"Yes",$E$19:$E$186,"&gt;0",$AI$19:$AI$186,"&gt;"&amp;AI61)+COUNTIFS($A$19:A61,A61,$AP$19:AP61,"Yes",$E$19:E61,"&gt;0",$AI$19:AI61,AI61))</x:f>
        <x:v>3</x:v>
      </x:c>
      <x:c r="AK61" s="601" t="n">
        <x:f>IF(OR(AP61&lt;&gt;"Yes",E61=0),"",IF(M61=0,'Specialisation Rankings'!$O$23,V61))</x:f>
        <x:v>15.811965811965813</x:v>
      </x:c>
      <x:c r="AL61" s="601" t="n">
        <x:f>IF(AK61="","",COUNTIFS($A$19:$A$186,A61,$AP$19:$AP$186,"Yes",$E$19:$E$186,"&gt;0",$AK$19:$AK$186,"&gt;"&amp;AK61)+COUNTIFS($A$19:A61,A61,$AP$19:AP61,"Yes",$E$19:E61,"&gt;0",$AK$19:AK61,AK61))</x:f>
        <x:v>7</x:v>
      </x:c>
      <x:c r="AM61" s="601" t="n">
        <x:f>IF(AC61="","",AC61*'Specialisation Rankings'!$O$18+AF61*'Specialisation Rankings'!$O$19+AI61*'Specialisation Rankings'!$O$20+AK61*'Specialisation Rankings'!$O$21)</x:f>
        <x:v>34.21756021756022</x:v>
      </x:c>
      <x:c r="AN61" s="601" t="n">
        <x:f>IF(AM61="","",COUNTIFS($A$19:$A$186,A61,$AP$19:$AP$186,"Yes",$E$19:$E$186,"&gt;0",$AM$19:$AM$186,"&gt;"&amp;AM61)+COUNTIFS($A$19:A61,A61,$AP$19:AP61,"Yes",$E$19:E61,"&gt;0",$AM$19:AM61,AM61))</x:f>
        <x:v>7</x:v>
      </x:c>
      <x:c r="AO61" s="601" t="n">
        <x:f>IF(AM61="","",COUNTIFS($AP$19:$AP$186,"Yes",$E$19:$E$186,"&gt;0",$AM$19:$AM$186,"&gt;"&amp;AM61)+COUNTIFS($AP$19:AP61,"Yes",$E$19:E61,"&gt;0",$AM$19:AM61,AM61))</x:f>
        <x:v>107</x:v>
      </x:c>
      <x:c r="AP61" s="602" t="str">
        <x:f>IF(COUNTIFS('Player Scenario Model'!$A$6:$A$172,A61,'Player Scenario Model'!$B$6:$B$172,B61)&gt;0,"Yes","No")</x:f>
        <x:v>Yes</x:v>
      </x:c>
    </x:row>
    <x:row r="62" ht="24" customHeight="1">
      <x:c r="A62" s="430" t="str">
        <x:v>K91</x:v>
      </x:c>
      <x:c r="B62" s="430" t="str">
        <x:v>•Scorpio•NM85</x:v>
      </x:c>
      <x:c r="C62" s="431" t="n">
        <x:f>COUNTIFS('Specialisations'!$A$6:$A$527,A62,'Specialisations'!$B$6:$B$527,B62)</x:f>
        <x:v>3</x:v>
      </x:c>
      <x:c r="D62" s="431" t="n">
        <x:f>COUNTIFS('Specialisations'!$A$6:$A$527,A62,'Specialisations'!$B$6:$B$527,B62,'Specialisations'!$P$6:$P$527,"OK")</x:f>
        <x:v>3</x:v>
      </x:c>
      <x:c r="E62" s="431" t="n">
        <x:f>COUNTIFS('Specialisations'!$A$6:$A$527,A62,'Specialisations'!$B$6:$B$527,B62,'Specialisations'!$P$6:$P$527,"OK",'Specialisations'!$C$6:$C$527,"&lt;&gt;Guards")</x:f>
        <x:v>2</x:v>
      </x:c>
      <x:c r="F62" s="432" t="n">
        <x:f>IF(C62=0,"",D62/C62)</x:f>
        <x:v>1</x:v>
      </x:c>
      <x:c r="G62" s="495" t="n">
        <x:f>SUMIFS('Specialisations'!$Q$6:$Q$527,'Specialisations'!$A$6:$A$527,A62,'Specialisations'!$B$6:$B$527,B62,'Specialisations'!$C$6:$C$527,"Guards")</x:f>
        <x:v>-10.82</x:v>
      </x:c>
      <x:c r="H62" s="495" t="n">
        <x:f>SUMIFS('Specialisations'!$Q$6:$Q$527,'Specialisations'!$A$6:$A$527,A62,'Specialisations'!$B$6:$B$527,B62,'Specialisations'!$C$6:$C$527,"Archers")</x:f>
        <x:v>57.38</x:v>
      </x:c>
      <x:c r="I62" s="495" t="n">
        <x:f>SUMIFS('Specialisations'!$Q$6:$Q$527,'Specialisations'!$A$6:$A$527,A62,'Specialisations'!$B$6:$B$527,B62,'Specialisations'!$C$6:$C$527,"Cavalry")</x:f>
        <x:v>0</x:v>
      </x:c>
      <x:c r="J62" s="495" t="n">
        <x:f>SUMIFS('Specialisations'!$Q$6:$Q$527,'Specialisations'!$A$6:$A$527,A62,'Specialisations'!$B$6:$B$527,B62,'Specialisations'!$C$6:$C$527,"Siege")</x:f>
        <x:v>0</x:v>
      </x:c>
      <x:c r="K62" s="495" t="n">
        <x:f>SUM(H62:J62)</x:f>
        <x:v>57.38</x:v>
      </x:c>
      <x:c r="L62" s="495" t="n">
        <x:f>SUM(G62,K62)</x:f>
        <x:v>46.56</x:v>
      </x:c>
      <x:c r="M62" s="433" t="n">
        <x:f>SUMIFS('Specialisations'!$N$6:$N$527,'Specialisations'!$A$6:$A$527,A62,'Specialisations'!$B$6:$B$527,B62,'Specialisations'!$C$6:$C$527,"Guards")</x:f>
        <x:v>774300</x:v>
      </x:c>
      <x:c r="N62" s="433" t="n">
        <x:f>SUMIFS('Specialisations'!$N$6:$N$527,'Specialisations'!$A$6:$A$527,A62,'Specialisations'!$B$6:$B$527,B62,'Specialisations'!$C$6:$C$527,"&lt;&gt;Guards")</x:f>
        <x:v>6578600</x:v>
      </x:c>
      <x:c r="O62" s="433" t="n">
        <x:f>SUM(M62:N62)</x:f>
        <x:v>7352900</x:v>
      </x:c>
      <x:c r="P62" s="434" t="n">
        <x:f>IF(E62=0,"",K62/E62)</x:f>
        <x:v>28.69</x:v>
      </x:c>
      <x:c r="Q62" s="501" t="n">
        <x:f>IF(E62=0,"",IFERROR(100*(COUNTIFS($E$19:$E$186,"&gt;0",$K$19:$K$186,"&lt;"&amp;K62)+(COUNTIFS($E$19:$E$186,"&gt;0",$K$19:$K$186,K62)-1)/2)/(COUNTIF($E$19:$E$186,"&gt;0")-1),50))</x:f>
        <x:v>18.181818181818183</x:v>
      </x:c>
      <x:c r="R62" s="501" t="n">
        <x:f>IF(E62=0,"",IFERROR(100*(COUNTIFS($E$19:$E$186,"&gt;0",$N$19:$N$186,"&lt;"&amp;N62)+(COUNTIFS($E$19:$E$186,"&gt;0",$N$19:$N$186,N62)-1)/2)/(COUNTIF($E$19:$E$186,"&gt;0")-1),50))</x:f>
        <x:v>22.07792207792208</x:v>
      </x:c>
      <x:c r="S62" s="501" t="n">
        <x:f>IF(E62=0,"",Q62*$R$5+R62*$R$6)</x:f>
        <x:v>18.961038961038962</x:v>
      </x:c>
      <x:c r="T62" s="501" t="n">
        <x:f>IF(M62=0,"",IFERROR(100*(COUNTIFS($M$19:$M$186,"&gt;0",$G$19:$G$186,"&gt;"&amp;G62)+(COUNTIFS($M$19:$M$186,"&gt;0",$G$19:$G$186,G62)-1)/2)/(COUNTIF($M$19:$M$186,"&gt;0")-1),50))</x:f>
        <x:v>8.547008547008547</x:v>
      </x:c>
      <x:c r="U62" s="501" t="n">
        <x:f>IF(M62=0,"",IFERROR(100*(COUNTIFS($M$19:$M$186,"&gt;0",$M$19:$M$186,"&lt;"&amp;M62)+(COUNTIFS($M$19:$M$186,"&gt;0",$M$19:$M$186,M62)-1)/2)/(COUNTIF($M$19:$M$186,"&gt;0")-1),50))</x:f>
        <x:v>8.547008547008547</x:v>
      </x:c>
      <x:c r="V62" s="501" t="n">
        <x:f>IF(M62=0,"",T62*$R$5+U62*$R$6)</x:f>
        <x:v>8.547008547008547</x:v>
      </x:c>
      <x:c r="W62" s="431" t="n">
        <x:f>IF(E62=0,"",COUNTIFS($A$19:$A$186,A62,$S$19:$S$186,"&gt;"&amp;S62)+COUNTIFS($A$19:A62,A62,$E$19:E62,"&gt;0",$S$19:S62,S62))</x:f>
        <x:v>17</x:v>
      </x:c>
      <x:c r="X62" s="431" t="n">
        <x:f>IF(S62="","",1+COUNTIF($S$19:$S$186,"&gt;"&amp;S62))</x:f>
        <x:v>125</x:v>
      </x:c>
      <x:c r="Y62" s="431" t="n">
        <x:f>IF(V62="","",1+COUNTIFS($A$19:$A$186,A62,$V$19:$V$186,"&gt;"&amp;V62))</x:f>
        <x:v>10</x:v>
      </x:c>
      <x:c r="Z62" s="431" t="n">
        <x:f>IF(V62="","",1+COUNTIF($V$19:$V$186,"&gt;"&amp;V62))</x:f>
        <x:v>105</x:v>
      </x:c>
      <x:c r="AA62" s="430" t="str">
        <x:f>IF(C62=0,"No specialisations recorded",IF(D62&lt;C62,"Review missing level","Recorded skills only"))</x:f>
        <x:v>Recorded skills only</x:v>
      </x:c>
      <x:c r="AB62" s="601" t="n">
        <x:f>IF(OR(AP62&lt;&gt;"Yes",E62=0),"",IFERROR(100*(COUNTIFS($AP$19:$AP$186,"Yes",$E$19:$E$186,"&gt;0",$I$19:$I$186,"&lt;"&amp;I62)+(COUNTIFS($AP$19:$AP$186,"Yes",$E$19:$E$186,"&gt;0",$I$19:$I$186,I62)-1)/2)/(COUNTIFS($AP$19:$AP$186,"Yes",$E$19:$E$186,"&gt;0")-1),50))</x:f>
        <x:v>10.38961038961039</x:v>
      </x:c>
      <x:c r="AC62" s="601" t="n">
        <x:f>IF(AB62="","",AB62*'Specialisation Rankings'!$O$16+R62*'Specialisation Rankings'!$O$17)</x:f>
        <x:v>12.727272727272728</x:v>
      </x:c>
      <x:c r="AD62" s="601" t="n">
        <x:f>IF(AC62="","",COUNTIFS($A$19:$A$186,A62,$AP$19:$AP$186,"Yes",$E$19:$E$186,"&gt;0",$AC$19:$AC$186,"&gt;"&amp;AC62)+COUNTIFS($A$19:A62,A62,$AP$19:AP62,"Yes",$E$19:E62,"&gt;0",$AC$19:AC62,AC62))</x:f>
        <x:v>17</x:v>
      </x:c>
      <x:c r="AE62" s="601" t="n">
        <x:f>IF(OR(AP62&lt;&gt;"Yes",E62=0),"",IFERROR(100*(COUNTIFS($AP$19:$AP$186,"Yes",$E$19:$E$186,"&gt;0",$H$19:$H$186,"&lt;"&amp;H62)+(COUNTIFS($AP$19:$AP$186,"Yes",$E$19:$E$186,"&gt;0",$H$19:$H$186,H62)-1)/2)/(COUNTIFS($AP$19:$AP$186,"Yes",$E$19:$E$186,"&gt;0")-1),50))</x:f>
        <x:v>85.06493506493507</x:v>
      </x:c>
      <x:c r="AF62" s="601" t="n">
        <x:f>IF(AE62="","",AE62*'Specialisation Rankings'!$O$16+R62*'Specialisation Rankings'!$O$17)</x:f>
        <x:v>72.46753246753248</x:v>
      </x:c>
      <x:c r="AG62" s="601" t="n">
        <x:f>IF(AF62="","",COUNTIFS($A$19:$A$186,A62,$AP$19:$AP$186,"Yes",$E$19:$E$186,"&gt;0",$AF$19:$AF$186,"&gt;"&amp;AF62)+COUNTIFS($A$19:A62,A62,$AP$19:AP62,"Yes",$E$19:E62,"&gt;0",$AF$19:AF62,AF62))</x:f>
        <x:v>12</x:v>
      </x:c>
      <x:c r="AH62" s="601" t="n">
        <x:f>IF(OR(AP62&lt;&gt;"Yes",E62=0),"",IFERROR(100*(COUNTIFS($AP$19:$AP$186,"Yes",$E$19:$E$186,"&gt;0",$J$19:$J$186,"&lt;"&amp;J62)+(COUNTIFS($AP$19:$AP$186,"Yes",$E$19:$E$186,"&gt;0",$J$19:$J$186,J62)-1)/2)/(COUNTIFS($AP$19:$AP$186,"Yes",$E$19:$E$186,"&gt;0")-1),50))</x:f>
        <x:v>33.116883116883116</x:v>
      </x:c>
      <x:c r="AI62" s="601" t="n">
        <x:f>IF(AH62="","",AH62*'Specialisation Rankings'!$O$16+R62*'Specialisation Rankings'!$O$17)</x:f>
        <x:v>30.90909090909091</x:v>
      </x:c>
      <x:c r="AJ62" s="601" t="n">
        <x:f>IF(AI62="","",COUNTIFS($A$19:$A$186,A62,$AP$19:$AP$186,"Yes",$E$19:$E$186,"&gt;0",$AI$19:$AI$186,"&gt;"&amp;AI62)+COUNTIFS($A$19:A62,A62,$AP$19:AP62,"Yes",$E$19:E62,"&gt;0",$AI$19:AI62,AI62))</x:f>
        <x:v>16</x:v>
      </x:c>
      <x:c r="AK62" s="601" t="n">
        <x:f>IF(OR(AP62&lt;&gt;"Yes",E62=0),"",IF(M62=0,'Specialisation Rankings'!$O$23,V62))</x:f>
        <x:v>8.547008547008547</x:v>
      </x:c>
      <x:c r="AL62" s="601" t="n">
        <x:f>IF(AK62="","",COUNTIFS($A$19:$A$186,A62,$AP$19:$AP$186,"Yes",$E$19:$E$186,"&gt;0",$AK$19:$AK$186,"&gt;"&amp;AK62)+COUNTIFS($A$19:A62,A62,$AP$19:AP62,"Yes",$E$19:E62,"&gt;0",$AK$19:AK62,AK62))</x:f>
        <x:v>15</x:v>
      </x:c>
      <x:c r="AM62" s="601" t="n">
        <x:f>IF(AC62="","",AC62*'Specialisation Rankings'!$O$18+AF62*'Specialisation Rankings'!$O$19+AI62*'Specialisation Rankings'!$O$20+AK62*'Specialisation Rankings'!$O$21)</x:f>
        <x:v>21.010545010545012</x:v>
      </x:c>
      <x:c r="AN62" s="601" t="n">
        <x:f>IF(AM62="","",COUNTIFS($A$19:$A$186,A62,$AP$19:$AP$186,"Yes",$E$19:$E$186,"&gt;0",$AM$19:$AM$186,"&gt;"&amp;AM62)+COUNTIFS($A$19:A62,A62,$AP$19:AP62,"Yes",$E$19:E62,"&gt;0",$AM$19:AM62,AM62))</x:f>
        <x:v>17</x:v>
      </x:c>
      <x:c r="AO62" s="601" t="n">
        <x:f>IF(AM62="","",COUNTIFS($AP$19:$AP$186,"Yes",$E$19:$E$186,"&gt;0",$AM$19:$AM$186,"&gt;"&amp;AM62)+COUNTIFS($AP$19:AP62,"Yes",$E$19:E62,"&gt;0",$AM$19:AM62,AM62))</x:f>
        <x:v>146</x:v>
      </x:c>
      <x:c r="AP62" s="602" t="str">
        <x:f>IF(COUNTIFS('Player Scenario Model'!$A$6:$A$172,A62,'Player Scenario Model'!$B$6:$B$172,B62)&gt;0,"Yes","No")</x:f>
        <x:v>Yes</x:v>
      </x:c>
    </x:row>
    <x:row r="63" ht="24" customHeight="1">
      <x:c r="A63" s="430" t="str">
        <x:v>K91</x:v>
      </x:c>
      <x:c r="B63" s="430" t="str">
        <x:v>•BigBoss•NM85</x:v>
      </x:c>
      <x:c r="C63" s="431" t="n">
        <x:f>COUNTIFS('Specialisations'!$A$6:$A$527,A63,'Specialisations'!$B$6:$B$527,B63)</x:f>
        <x:v>3</x:v>
      </x:c>
      <x:c r="D63" s="431" t="n">
        <x:f>COUNTIFS('Specialisations'!$A$6:$A$527,A63,'Specialisations'!$B$6:$B$527,B63,'Specialisations'!$P$6:$P$527,"OK")</x:f>
        <x:v>3</x:v>
      </x:c>
      <x:c r="E63" s="431" t="n">
        <x:f>COUNTIFS('Specialisations'!$A$6:$A$527,A63,'Specialisations'!$B$6:$B$527,B63,'Specialisations'!$P$6:$P$527,"OK",'Specialisations'!$C$6:$C$527,"&lt;&gt;Guards")</x:f>
        <x:v>2</x:v>
      </x:c>
      <x:c r="F63" s="432" t="n">
        <x:f>IF(C63=0,"",D63/C63)</x:f>
        <x:v>1</x:v>
      </x:c>
      <x:c r="G63" s="495" t="n">
        <x:f>SUMIFS('Specialisations'!$Q$6:$Q$527,'Specialisations'!$A$6:$A$527,A63,'Specialisations'!$B$6:$B$527,B63,'Specialisations'!$C$6:$C$527,"Guards")</x:f>
        <x:v>-10.82</x:v>
      </x:c>
      <x:c r="H63" s="495" t="n">
        <x:f>SUMIFS('Specialisations'!$Q$6:$Q$527,'Specialisations'!$A$6:$A$527,A63,'Specialisations'!$B$6:$B$527,B63,'Specialisations'!$C$6:$C$527,"Archers")</x:f>
        <x:v>74.78</x:v>
      </x:c>
      <x:c r="I63" s="495" t="n">
        <x:f>SUMIFS('Specialisations'!$Q$6:$Q$527,'Specialisations'!$A$6:$A$527,A63,'Specialisations'!$B$6:$B$527,B63,'Specialisations'!$C$6:$C$527,"Cavalry")</x:f>
        <x:v>0</x:v>
      </x:c>
      <x:c r="J63" s="495" t="n">
        <x:f>SUMIFS('Specialisations'!$Q$6:$Q$527,'Specialisations'!$A$6:$A$527,A63,'Specialisations'!$B$6:$B$527,B63,'Specialisations'!$C$6:$C$527,"Siege")</x:f>
        <x:v>0</x:v>
      </x:c>
      <x:c r="K63" s="495" t="n">
        <x:f>SUM(H63:J63)</x:f>
        <x:v>74.78</x:v>
      </x:c>
      <x:c r="L63" s="495" t="n">
        <x:f>SUM(G63,K63)</x:f>
        <x:v>63.96</x:v>
      </x:c>
      <x:c r="M63" s="433" t="n">
        <x:f>SUMIFS('Specialisations'!$N$6:$N$527,'Specialisations'!$A$6:$A$527,A63,'Specialisations'!$B$6:$B$527,B63,'Specialisations'!$C$6:$C$527,"Guards")</x:f>
        <x:v>774300</x:v>
      </x:c>
      <x:c r="N63" s="433" t="n">
        <x:f>SUMIFS('Specialisations'!$N$6:$N$527,'Specialisations'!$A$6:$A$527,A63,'Specialisations'!$B$6:$B$527,B63,'Specialisations'!$C$6:$C$527,"&lt;&gt;Guards")</x:f>
        <x:v>11408600</x:v>
      </x:c>
      <x:c r="O63" s="433" t="n">
        <x:f>SUM(M63:N63)</x:f>
        <x:v>12182900</x:v>
      </x:c>
      <x:c r="P63" s="434" t="n">
        <x:f>IF(E63=0,"",K63/E63)</x:f>
        <x:v>37.39</x:v>
      </x:c>
      <x:c r="Q63" s="501" t="n">
        <x:f>IF(E63=0,"",IFERROR(100*(COUNTIFS($E$19:$E$186,"&gt;0",$K$19:$K$186,"&lt;"&amp;K63)+(COUNTIFS($E$19:$E$186,"&gt;0",$K$19:$K$186,K63)-1)/2)/(COUNTIF($E$19:$E$186,"&gt;0")-1),50))</x:f>
        <x:v>35.714285714285715</x:v>
      </x:c>
      <x:c r="R63" s="501" t="n">
        <x:f>IF(E63=0,"",IFERROR(100*(COUNTIFS($E$19:$E$186,"&gt;0",$N$19:$N$186,"&lt;"&amp;N63)+(COUNTIFS($E$19:$E$186,"&gt;0",$N$19:$N$186,N63)-1)/2)/(COUNTIF($E$19:$E$186,"&gt;0")-1),50))</x:f>
        <x:v>58.44155844155844</x:v>
      </x:c>
      <x:c r="S63" s="501" t="n">
        <x:f>IF(E63=0,"",Q63*$R$5+R63*$R$6)</x:f>
        <x:v>40.259740259740255</x:v>
      </x:c>
      <x:c r="T63" s="501" t="n">
        <x:f>IF(M63=0,"",IFERROR(100*(COUNTIFS($M$19:$M$186,"&gt;0",$G$19:$G$186,"&gt;"&amp;G63)+(COUNTIFS($M$19:$M$186,"&gt;0",$G$19:$G$186,G63)-1)/2)/(COUNTIF($M$19:$M$186,"&gt;0")-1),50))</x:f>
        <x:v>8.547008547008547</x:v>
      </x:c>
      <x:c r="U63" s="501" t="n">
        <x:f>IF(M63=0,"",IFERROR(100*(COUNTIFS($M$19:$M$186,"&gt;0",$M$19:$M$186,"&lt;"&amp;M63)+(COUNTIFS($M$19:$M$186,"&gt;0",$M$19:$M$186,M63)-1)/2)/(COUNTIF($M$19:$M$186,"&gt;0")-1),50))</x:f>
        <x:v>8.547008547008547</x:v>
      </x:c>
      <x:c r="V63" s="501" t="n">
        <x:f>IF(M63=0,"",T63*$R$5+U63*$R$6)</x:f>
        <x:v>8.547008547008547</x:v>
      </x:c>
      <x:c r="W63" s="431" t="n">
        <x:f>IF(E63=0,"",COUNTIFS($A$19:$A$186,A63,$S$19:$S$186,"&gt;"&amp;S63)+COUNTIFS($A$19:A63,A63,$E$19:E63,"&gt;0",$S$19:S63,S63))</x:f>
        <x:v>12</x:v>
      </x:c>
      <x:c r="X63" s="431" t="n">
        <x:f>IF(S63="","",1+COUNTIF($S$19:$S$186,"&gt;"&amp;S63))</x:f>
        <x:v>93</x:v>
      </x:c>
      <x:c r="Y63" s="431" t="n">
        <x:f>IF(V63="","",1+COUNTIFS($A$19:$A$186,A63,$V$19:$V$186,"&gt;"&amp;V63))</x:f>
        <x:v>10</x:v>
      </x:c>
      <x:c r="Z63" s="431" t="n">
        <x:f>IF(V63="","",1+COUNTIF($V$19:$V$186,"&gt;"&amp;V63))</x:f>
        <x:v>105</x:v>
      </x:c>
      <x:c r="AA63" s="430" t="str">
        <x:f>IF(C63=0,"No specialisations recorded",IF(D63&lt;C63,"Review missing level","Recorded skills only"))</x:f>
        <x:v>Recorded skills only</x:v>
      </x:c>
      <x:c r="AB63" s="601" t="n">
        <x:f>IF(OR(AP63&lt;&gt;"Yes",E63=0),"",IFERROR(100*(COUNTIFS($AP$19:$AP$186,"Yes",$E$19:$E$186,"&gt;0",$I$19:$I$186,"&lt;"&amp;I63)+(COUNTIFS($AP$19:$AP$186,"Yes",$E$19:$E$186,"&gt;0",$I$19:$I$186,I63)-1)/2)/(COUNTIFS($AP$19:$AP$186,"Yes",$E$19:$E$186,"&gt;0")-1),50))</x:f>
        <x:v>10.38961038961039</x:v>
      </x:c>
      <x:c r="AC63" s="601" t="n">
        <x:f>IF(AB63="","",AB63*'Specialisation Rankings'!$O$16+R63*'Specialisation Rankings'!$O$17)</x:f>
        <x:v>20</x:v>
      </x:c>
      <x:c r="AD63" s="601" t="n">
        <x:f>IF(AC63="","",COUNTIFS($A$19:$A$186,A63,$AP$19:$AP$186,"Yes",$E$19:$E$186,"&gt;0",$AC$19:$AC$186,"&gt;"&amp;AC63)+COUNTIFS($A$19:A63,A63,$AP$19:AP63,"Yes",$E$19:E63,"&gt;0",$AC$19:AC63,AC63))</x:f>
        <x:v>12</x:v>
      </x:c>
      <x:c r="AE63" s="601" t="n">
        <x:f>IF(OR(AP63&lt;&gt;"Yes",E63=0),"",IFERROR(100*(COUNTIFS($AP$19:$AP$186,"Yes",$E$19:$E$186,"&gt;0",$H$19:$H$186,"&lt;"&amp;H63)+(COUNTIFS($AP$19:$AP$186,"Yes",$E$19:$E$186,"&gt;0",$H$19:$H$186,H63)-1)/2)/(COUNTIFS($AP$19:$AP$186,"Yes",$E$19:$E$186,"&gt;0")-1),50))</x:f>
        <x:v>94.8051948051948</x:v>
      </x:c>
      <x:c r="AF63" s="601" t="n">
        <x:f>IF(AE63="","",AE63*'Specialisation Rankings'!$O$16+R63*'Specialisation Rankings'!$O$17)</x:f>
        <x:v>87.53246753246754</x:v>
      </x:c>
      <x:c r="AG63" s="601" t="n">
        <x:f>IF(AF63="","",COUNTIFS($A$19:$A$186,A63,$AP$19:$AP$186,"Yes",$E$19:$E$186,"&gt;0",$AF$19:$AF$186,"&gt;"&amp;AF63)+COUNTIFS($A$19:A63,A63,$AP$19:AP63,"Yes",$E$19:E63,"&gt;0",$AF$19:AF63,AF63))</x:f>
        <x:v>6</x:v>
      </x:c>
      <x:c r="AH63" s="601" t="n">
        <x:f>IF(OR(AP63&lt;&gt;"Yes",E63=0),"",IFERROR(100*(COUNTIFS($AP$19:$AP$186,"Yes",$E$19:$E$186,"&gt;0",$J$19:$J$186,"&lt;"&amp;J63)+(COUNTIFS($AP$19:$AP$186,"Yes",$E$19:$E$186,"&gt;0",$J$19:$J$186,J63)-1)/2)/(COUNTIFS($AP$19:$AP$186,"Yes",$E$19:$E$186,"&gt;0")-1),50))</x:f>
        <x:v>33.116883116883116</x:v>
      </x:c>
      <x:c r="AI63" s="601" t="n">
        <x:f>IF(AH63="","",AH63*'Specialisation Rankings'!$O$16+R63*'Specialisation Rankings'!$O$17)</x:f>
        <x:v>38.18181818181819</x:v>
      </x:c>
      <x:c r="AJ63" s="601" t="n">
        <x:f>IF(AI63="","",COUNTIFS($A$19:$A$186,A63,$AP$19:$AP$186,"Yes",$E$19:$E$186,"&gt;0",$AI$19:$AI$186,"&gt;"&amp;AI63)+COUNTIFS($A$19:A63,A63,$AP$19:AP63,"Yes",$E$19:E63,"&gt;0",$AI$19:AI63,AI63))</x:f>
        <x:v>11</x:v>
      </x:c>
      <x:c r="AK63" s="601" t="n">
        <x:f>IF(OR(AP63&lt;&gt;"Yes",E63=0),"",IF(M63=0,'Specialisation Rankings'!$O$23,V63))</x:f>
        <x:v>8.547008547008547</x:v>
      </x:c>
      <x:c r="AL63" s="601" t="n">
        <x:f>IF(AK63="","",COUNTIFS($A$19:$A$186,A63,$AP$19:$AP$186,"Yes",$E$19:$E$186,"&gt;0",$AK$19:$AK$186,"&gt;"&amp;AK63)+COUNTIFS($A$19:A63,A63,$AP$19:AP63,"Yes",$E$19:E63,"&gt;0",$AK$19:AK63,AK63))</x:f>
        <x:v>16</x:v>
      </x:c>
      <x:c r="AM63" s="601" t="n">
        <x:f>IF(AC63="","",AC63*'Specialisation Rankings'!$O$18+AF63*'Specialisation Rankings'!$O$19+AI63*'Specialisation Rankings'!$O$20+AK63*'Specialisation Rankings'!$O$21)</x:f>
        <x:v>28.33522033522034</x:v>
      </x:c>
      <x:c r="AN63" s="601" t="n">
        <x:f>IF(AM63="","",COUNTIFS($A$19:$A$186,A63,$AP$19:$AP$186,"Yes",$E$19:$E$186,"&gt;0",$AM$19:$AM$186,"&gt;"&amp;AM63)+COUNTIFS($A$19:A63,A63,$AP$19:AP63,"Yes",$E$19:E63,"&gt;0",$AM$19:AM63,AM63))</x:f>
        <x:v>12</x:v>
      </x:c>
      <x:c r="AO63" s="601" t="n">
        <x:f>IF(AM63="","",COUNTIFS($AP$19:$AP$186,"Yes",$E$19:$E$186,"&gt;0",$AM$19:$AM$186,"&gt;"&amp;AM63)+COUNTIFS($AP$19:AP63,"Yes",$E$19:E63,"&gt;0",$AM$19:AM63,AM63))</x:f>
        <x:v>129</x:v>
      </x:c>
      <x:c r="AP63" s="602" t="str">
        <x:f>IF(COUNTIFS('Player Scenario Model'!$A$6:$A$172,A63,'Player Scenario Model'!$B$6:$B$172,B63)&gt;0,"Yes","No")</x:f>
        <x:v>Yes</x:v>
      </x:c>
    </x:row>
    <x:row r="64" ht="24" customHeight="1">
      <x:c r="A64" s="430" t="str">
        <x:v>K116</x:v>
      </x:c>
      <x:c r="B64" s="430" t="str">
        <x:v>Jesse</x:v>
      </x:c>
      <x:c r="C64" s="431" t="n">
        <x:f>COUNTIFS('Specialisations'!$A$6:$A$527,A64,'Specialisations'!$B$6:$B$527,B64)</x:f>
        <x:v>6</x:v>
      </x:c>
      <x:c r="D64" s="431" t="n">
        <x:f>COUNTIFS('Specialisations'!$A$6:$A$527,A64,'Specialisations'!$B$6:$B$527,B64,'Specialisations'!$P$6:$P$527,"OK")</x:f>
        <x:v>6</x:v>
      </x:c>
      <x:c r="E64" s="431" t="n">
        <x:f>COUNTIFS('Specialisations'!$A$6:$A$527,A64,'Specialisations'!$B$6:$B$527,B64,'Specialisations'!$P$6:$P$527,"OK",'Specialisations'!$C$6:$C$527,"&lt;&gt;Guards")</x:f>
        <x:v>5</x:v>
      </x:c>
      <x:c r="F64" s="432" t="n">
        <x:f>IF(C64=0,"",D64/C64)</x:f>
        <x:v>1</x:v>
      </x:c>
      <x:c r="G64" s="495" t="n">
        <x:f>SUMIFS('Specialisations'!$Q$6:$Q$527,'Specialisations'!$A$6:$A$527,A64,'Specialisations'!$B$6:$B$527,B64,'Specialisations'!$C$6:$C$527,"Guards")</x:f>
        <x:v>-60</x:v>
      </x:c>
      <x:c r="H64" s="495" t="n">
        <x:f>SUMIFS('Specialisations'!$Q$6:$Q$527,'Specialisations'!$A$6:$A$527,A64,'Specialisations'!$B$6:$B$527,B64,'Specialisations'!$C$6:$C$527,"Archers")</x:f>
        <x:v>35.98</x:v>
      </x:c>
      <x:c r="I64" s="495" t="n">
        <x:f>SUMIFS('Specialisations'!$Q$6:$Q$527,'Specialisations'!$A$6:$A$527,A64,'Specialisations'!$B$6:$B$527,B64,'Specialisations'!$C$6:$C$527,"Cavalry")</x:f>
        <x:v>105.13</x:v>
      </x:c>
      <x:c r="J64" s="495" t="n">
        <x:f>SUMIFS('Specialisations'!$Q$6:$Q$527,'Specialisations'!$A$6:$A$527,A64,'Specialisations'!$B$6:$B$527,B64,'Specialisations'!$C$6:$C$527,"Siege")</x:f>
        <x:v>33.18</x:v>
      </x:c>
      <x:c r="K64" s="495" t="n">
        <x:f>SUM(H64:J64)</x:f>
        <x:v>174.29</x:v>
      </x:c>
      <x:c r="L64" s="495" t="n">
        <x:f>SUM(G64,K64)</x:f>
        <x:v>114.28999999999999</x:v>
      </x:c>
      <x:c r="M64" s="433" t="n">
        <x:f>SUMIFS('Specialisations'!$N$6:$N$527,'Specialisations'!$A$6:$A$527,A64,'Specialisations'!$B$6:$B$527,B64,'Specialisations'!$C$6:$C$527,"Guards")</x:f>
        <x:v>10334300</x:v>
      </x:c>
      <x:c r="N64" s="433" t="n">
        <x:f>SUMIFS('Specialisations'!$N$6:$N$527,'Specialisations'!$A$6:$A$527,A64,'Specialisations'!$B$6:$B$527,B64,'Specialisations'!$C$6:$C$527,"&lt;&gt;Guards")</x:f>
        <x:v>21196500</x:v>
      </x:c>
      <x:c r="O64" s="433" t="n">
        <x:f>SUM(M64:N64)</x:f>
        <x:v>31530800</x:v>
      </x:c>
      <x:c r="P64" s="434" t="n">
        <x:f>IF(E64=0,"",K64/E64)</x:f>
        <x:v>34.858</x:v>
      </x:c>
      <x:c r="Q64" s="501" t="n">
        <x:f>IF(E64=0,"",IFERROR(100*(COUNTIFS($E$19:$E$186,"&gt;0",$K$19:$K$186,"&lt;"&amp;K64)+(COUNTIFS($E$19:$E$186,"&gt;0",$K$19:$K$186,K64)-1)/2)/(COUNTIF($E$19:$E$186,"&gt;0")-1),50))</x:f>
        <x:v>91.55844155844156</x:v>
      </x:c>
      <x:c r="R64" s="501" t="n">
        <x:f>IF(E64=0,"",IFERROR(100*(COUNTIFS($E$19:$E$186,"&gt;0",$N$19:$N$186,"&lt;"&amp;N64)+(COUNTIFS($E$19:$E$186,"&gt;0",$N$19:$N$186,N64)-1)/2)/(COUNTIF($E$19:$E$186,"&gt;0")-1),50))</x:f>
        <x:v>92.20779220779221</x:v>
      </x:c>
      <x:c r="S64" s="501" t="n">
        <x:f>IF(E64=0,"",Q64*$R$5+R64*$R$6)</x:f>
        <x:v>91.68831168831169</x:v>
      </x:c>
      <x:c r="T64" s="501" t="n">
        <x:f>IF(M64=0,"",IFERROR(100*(COUNTIFS($M$19:$M$186,"&gt;0",$G$19:$G$186,"&gt;"&amp;G64)+(COUNTIFS($M$19:$M$186,"&gt;0",$G$19:$G$186,G64)-1)/2)/(COUNTIF($M$19:$M$186,"&gt;0")-1),50))</x:f>
        <x:v>93.16239316239316</x:v>
      </x:c>
      <x:c r="U64" s="501" t="n">
        <x:f>IF(M64=0,"",IFERROR(100*(COUNTIFS($M$19:$M$186,"&gt;0",$M$19:$M$186,"&lt;"&amp;M64)+(COUNTIFS($M$19:$M$186,"&gt;0",$M$19:$M$186,M64)-1)/2)/(COUNTIF($M$19:$M$186,"&gt;0")-1),50))</x:f>
        <x:v>93.16239316239316</x:v>
      </x:c>
      <x:c r="V64" s="501" t="n">
        <x:f>IF(M64=0,"",T64*$R$5+U64*$R$6)</x:f>
        <x:v>93.16239316239316</x:v>
      </x:c>
      <x:c r="W64" s="431" t="n">
        <x:f>IF(E64=0,"",COUNTIFS($A$19:$A$186,A64,$S$19:$S$186,"&gt;"&amp;S64)+COUNTIFS($A$19:A64,A64,$E$19:E64,"&gt;0",$S$19:S64,S64))</x:f>
        <x:v>1</x:v>
      </x:c>
      <x:c r="X64" s="431" t="n">
        <x:f>IF(S64="","",1+COUNTIF($S$19:$S$186,"&gt;"&amp;S64))</x:f>
        <x:v>14</x:v>
      </x:c>
      <x:c r="Y64" s="431" t="n">
        <x:f>IF(V64="","",1+COUNTIFS($A$19:$A$186,A64,$V$19:$V$186,"&gt;"&amp;V64))</x:f>
        <x:v>1</x:v>
      </x:c>
      <x:c r="Z64" s="431" t="n">
        <x:f>IF(V64="","",1+COUNTIF($V$19:$V$186,"&gt;"&amp;V64))</x:f>
        <x:v>1</x:v>
      </x:c>
      <x:c r="AA64" s="430" t="str">
        <x:f>IF(C64=0,"No specialisations recorded",IF(D64&lt;C64,"Review missing level","Recorded skills only"))</x:f>
        <x:v>Recorded skills only</x:v>
      </x:c>
      <x:c r="AB64" s="601" t="n">
        <x:f>IF(OR(AP64&lt;&gt;"Yes",E64=0),"",IFERROR(100*(COUNTIFS($AP$19:$AP$186,"Yes",$E$19:$E$186,"&gt;0",$I$19:$I$186,"&lt;"&amp;I64)+(COUNTIFS($AP$19:$AP$186,"Yes",$E$19:$E$186,"&gt;0",$I$19:$I$186,I64)-1)/2)/(COUNTIFS($AP$19:$AP$186,"Yes",$E$19:$E$186,"&gt;0")-1),50))</x:f>
        <x:v>91.88311688311688</x:v>
      </x:c>
      <x:c r="AC64" s="601" t="n">
        <x:f>IF(AB64="","",AB64*'Specialisation Rankings'!$O$16+R64*'Specialisation Rankings'!$O$17)</x:f>
        <x:v>91.94805194805195</x:v>
      </x:c>
      <x:c r="AD64" s="601" t="n">
        <x:f>IF(AC64="","",COUNTIFS($A$19:$A$186,A64,$AP$19:$AP$186,"Yes",$E$19:$E$186,"&gt;0",$AC$19:$AC$186,"&gt;"&amp;AC64)+COUNTIFS($A$19:A64,A64,$AP$19:AP64,"Yes",$E$19:E64,"&gt;0",$AC$19:AC64,AC64))</x:f>
        <x:v>1</x:v>
      </x:c>
      <x:c r="AE64" s="601" t="n">
        <x:f>IF(OR(AP64&lt;&gt;"Yes",E64=0),"",IFERROR(100*(COUNTIFS($AP$19:$AP$186,"Yes",$E$19:$E$186,"&gt;0",$H$19:$H$186,"&lt;"&amp;H64)+(COUNTIFS($AP$19:$AP$186,"Yes",$E$19:$E$186,"&gt;0",$H$19:$H$186,H64)-1)/2)/(COUNTIFS($AP$19:$AP$186,"Yes",$E$19:$E$186,"&gt;0")-1),50))</x:f>
        <x:v>61.03896103896104</x:v>
      </x:c>
      <x:c r="AF64" s="601" t="n">
        <x:f>IF(AE64="","",AE64*'Specialisation Rankings'!$O$16+R64*'Specialisation Rankings'!$O$17)</x:f>
        <x:v>67.27272727272728</x:v>
      </x:c>
      <x:c r="AG64" s="601" t="n">
        <x:f>IF(AF64="","",COUNTIFS($A$19:$A$186,A64,$AP$19:$AP$186,"Yes",$E$19:$E$186,"&gt;0",$AF$19:$AF$186,"&gt;"&amp;AF64)+COUNTIFS($A$19:A64,A64,$AP$19:AP64,"Yes",$E$19:E64,"&gt;0",$AF$19:AF64,AF64))</x:f>
        <x:v>3</x:v>
      </x:c>
      <x:c r="AH64" s="601" t="n">
        <x:f>IF(OR(AP64&lt;&gt;"Yes",E64=0),"",IFERROR(100*(COUNTIFS($AP$19:$AP$186,"Yes",$E$19:$E$186,"&gt;0",$J$19:$J$186,"&lt;"&amp;J64)+(COUNTIFS($AP$19:$AP$186,"Yes",$E$19:$E$186,"&gt;0",$J$19:$J$186,J64)-1)/2)/(COUNTIFS($AP$19:$AP$186,"Yes",$E$19:$E$186,"&gt;0")-1),50))</x:f>
        <x:v>87.66233766233766</x:v>
      </x:c>
      <x:c r="AI64" s="601" t="n">
        <x:f>IF(AH64="","",AH64*'Specialisation Rankings'!$O$16+R64*'Specialisation Rankings'!$O$17)</x:f>
        <x:v>88.57142857142857</x:v>
      </x:c>
      <x:c r="AJ64" s="601" t="n">
        <x:f>IF(AI64="","",COUNTIFS($A$19:$A$186,A64,$AP$19:$AP$186,"Yes",$E$19:$E$186,"&gt;0",$AI$19:$AI$186,"&gt;"&amp;AI64)+COUNTIFS($A$19:A64,A64,$AP$19:AP64,"Yes",$E$19:E64,"&gt;0",$AI$19:AI64,AI64))</x:f>
        <x:v>2</x:v>
      </x:c>
      <x:c r="AK64" s="601" t="n">
        <x:f>IF(OR(AP64&lt;&gt;"Yes",E64=0),"",IF(M64=0,'Specialisation Rankings'!$O$23,V64))</x:f>
        <x:v>93.16239316239316</x:v>
      </x:c>
      <x:c r="AL64" s="601" t="n">
        <x:f>IF(AK64="","",COUNTIFS($A$19:$A$186,A64,$AP$19:$AP$186,"Yes",$E$19:$E$186,"&gt;0",$AK$19:$AK$186,"&gt;"&amp;AK64)+COUNTIFS($A$19:A64,A64,$AP$19:AP64,"Yes",$E$19:E64,"&gt;0",$AK$19:AK64,AK64))</x:f>
        <x:v>1</x:v>
      </x:c>
      <x:c r="AM64" s="601" t="n">
        <x:f>IF(AC64="","",AC64*'Specialisation Rankings'!$O$18+AF64*'Specialisation Rankings'!$O$19+AI64*'Specialisation Rankings'!$O$20+AK64*'Specialisation Rankings'!$O$21)</x:f>
        <x:v>89.09546009546011</x:v>
      </x:c>
      <x:c r="AN64" s="601" t="n">
        <x:f>IF(AM64="","",COUNTIFS($A$19:$A$186,A64,$AP$19:$AP$186,"Yes",$E$19:$E$186,"&gt;0",$AM$19:$AM$186,"&gt;"&amp;AM64)+COUNTIFS($A$19:A64,A64,$AP$19:AP64,"Yes",$E$19:E64,"&gt;0",$AM$19:AM64,AM64))</x:f>
        <x:v>1</x:v>
      </x:c>
      <x:c r="AO64" s="601" t="n">
        <x:f>IF(AM64="","",COUNTIFS($AP$19:$AP$186,"Yes",$E$19:$E$186,"&gt;0",$AM$19:$AM$186,"&gt;"&amp;AM64)+COUNTIFS($AP$19:AP64,"Yes",$E$19:E64,"&gt;0",$AM$19:AM64,AM64))</x:f>
        <x:v>5</x:v>
      </x:c>
      <x:c r="AP64" s="602" t="str">
        <x:f>IF(COUNTIFS('Player Scenario Model'!$A$6:$A$172,A64,'Player Scenario Model'!$B$6:$B$172,B64)&gt;0,"Yes","No")</x:f>
        <x:v>Yes</x:v>
      </x:c>
    </x:row>
    <x:row r="65" ht="24" customHeight="1">
      <x:c r="A65" s="430" t="str">
        <x:v>K116</x:v>
      </x:c>
      <x:c r="B65" s="430" t="str">
        <x:v>逍遥大官人</x:v>
      </x:c>
      <x:c r="C65" s="431" t="n">
        <x:f>COUNTIFS('Specialisations'!$A$6:$A$527,A65,'Specialisations'!$B$6:$B$527,B65)</x:f>
        <x:v>3</x:v>
      </x:c>
      <x:c r="D65" s="431" t="n">
        <x:f>COUNTIFS('Specialisations'!$A$6:$A$527,A65,'Specialisations'!$B$6:$B$527,B65,'Specialisations'!$P$6:$P$527,"OK")</x:f>
        <x:v>3</x:v>
      </x:c>
      <x:c r="E65" s="431" t="n">
        <x:f>COUNTIFS('Specialisations'!$A$6:$A$527,A65,'Specialisations'!$B$6:$B$527,B65,'Specialisations'!$P$6:$P$527,"OK",'Specialisations'!$C$6:$C$527,"&lt;&gt;Guards")</x:f>
        <x:v>2</x:v>
      </x:c>
      <x:c r="F65" s="432" t="n">
        <x:f>IF(C65=0,"",D65/C65)</x:f>
        <x:v>1</x:v>
      </x:c>
      <x:c r="G65" s="495" t="n">
        <x:f>SUMIFS('Specialisations'!$Q$6:$Q$527,'Specialisations'!$A$6:$A$527,A65,'Specialisations'!$B$6:$B$527,B65,'Specialisations'!$C$6:$C$527,"Guards")</x:f>
        <x:v>-41.98</x:v>
      </x:c>
      <x:c r="H65" s="495" t="n">
        <x:f>SUMIFS('Specialisations'!$Q$6:$Q$527,'Specialisations'!$A$6:$A$527,A65,'Specialisations'!$B$6:$B$527,B65,'Specialisations'!$C$6:$C$527,"Archers")</x:f>
        <x:v>0</x:v>
      </x:c>
      <x:c r="I65" s="495" t="n">
        <x:f>SUMIFS('Specialisations'!$Q$6:$Q$527,'Specialisations'!$A$6:$A$527,A65,'Specialisations'!$B$6:$B$527,B65,'Specialisations'!$C$6:$C$527,"Cavalry")</x:f>
        <x:v>12</x:v>
      </x:c>
      <x:c r="J65" s="495" t="n">
        <x:f>SUMIFS('Specialisations'!$Q$6:$Q$527,'Specialisations'!$A$6:$A$527,A65,'Specialisations'!$B$6:$B$527,B65,'Specialisations'!$C$6:$C$527,"Siege")</x:f>
        <x:v>0</x:v>
      </x:c>
      <x:c r="K65" s="495" t="n">
        <x:f>SUM(H65:J65)</x:f>
        <x:v>12</x:v>
      </x:c>
      <x:c r="L65" s="495" t="n">
        <x:f>SUM(G65,K65)</x:f>
        <x:v>-29.979999999999997</x:v>
      </x:c>
      <x:c r="M65" s="433" t="n">
        <x:f>SUMIFS('Specialisations'!$N$6:$N$527,'Specialisations'!$A$6:$A$527,A65,'Specialisations'!$B$6:$B$527,B65,'Specialisations'!$C$6:$C$527,"Guards")</x:f>
        <x:v>4284300</x:v>
      </x:c>
      <x:c r="N65" s="433" t="n">
        <x:f>SUMIFS('Specialisations'!$N$6:$N$527,'Specialisations'!$A$6:$A$527,A65,'Specialisations'!$B$6:$B$527,B65,'Specialisations'!$C$6:$C$527,"&lt;&gt;Guards")</x:f>
        <x:v>878600</x:v>
      </x:c>
      <x:c r="O65" s="433" t="n">
        <x:f>SUM(M65:N65)</x:f>
        <x:v>5162900</x:v>
      </x:c>
      <x:c r="P65" s="434" t="n">
        <x:f>IF(E65=0,"",K65/E65)</x:f>
        <x:v>6</x:v>
      </x:c>
      <x:c r="Q65" s="501" t="n">
        <x:f>IF(E65=0,"",IFERROR(100*(COUNTIFS($E$19:$E$186,"&gt;0",$K$19:$K$186,"&lt;"&amp;K65)+(COUNTIFS($E$19:$E$186,"&gt;0",$K$19:$K$186,K65)-1)/2)/(COUNTIF($E$19:$E$186,"&gt;0")-1),50))</x:f>
        <x:v>0.6493506493506493</x:v>
      </x:c>
      <x:c r="R65" s="501" t="n">
        <x:f>IF(E65=0,"",IFERROR(100*(COUNTIFS($E$19:$E$186,"&gt;0",$N$19:$N$186,"&lt;"&amp;N65)+(COUNTIFS($E$19:$E$186,"&gt;0",$N$19:$N$186,N65)-1)/2)/(COUNTIF($E$19:$E$186,"&gt;0")-1),50))</x:f>
        <x:v>0.6493506493506493</x:v>
      </x:c>
      <x:c r="S65" s="501" t="n">
        <x:f>IF(E65=0,"",Q65*$R$5+R65*$R$6)</x:f>
        <x:v>0.6493506493506493</x:v>
      </x:c>
      <x:c r="T65" s="501" t="n">
        <x:f>IF(M65=0,"",IFERROR(100*(COUNTIFS($M$19:$M$186,"&gt;0",$G$19:$G$186,"&gt;"&amp;G65)+(COUNTIFS($M$19:$M$186,"&gt;0",$G$19:$G$186,G65)-1)/2)/(COUNTIF($M$19:$M$186,"&gt;0")-1),50))</x:f>
        <x:v>60.256410256410255</x:v>
      </x:c>
      <x:c r="U65" s="501" t="n">
        <x:f>IF(M65=0,"",IFERROR(100*(COUNTIFS($M$19:$M$186,"&gt;0",$M$19:$M$186,"&lt;"&amp;M65)+(COUNTIFS($M$19:$M$186,"&gt;0",$M$19:$M$186,M65)-1)/2)/(COUNTIF($M$19:$M$186,"&gt;0")-1),50))</x:f>
        <x:v>60.256410256410255</x:v>
      </x:c>
      <x:c r="V65" s="501" t="n">
        <x:f>IF(M65=0,"",T65*$R$5+U65*$R$6)</x:f>
        <x:v>60.25641025641025</x:v>
      </x:c>
      <x:c r="W65" s="431" t="n">
        <x:f>IF(E65=0,"",COUNTIFS($A$19:$A$186,A65,$S$19:$S$186,"&gt;"&amp;S65)+COUNTIFS($A$19:A65,A65,$E$19:E65,"&gt;0",$S$19:S65,S65))</x:f>
        <x:v>12</x:v>
      </x:c>
      <x:c r="X65" s="431" t="n">
        <x:f>IF(S65="","",1+COUNTIF($S$19:$S$186,"&gt;"&amp;S65))</x:f>
        <x:v>154</x:v>
      </x:c>
      <x:c r="Y65" s="431" t="n">
        <x:f>IF(V65="","",1+COUNTIFS($A$19:$A$186,A65,$V$19:$V$186,"&gt;"&amp;V65))</x:f>
        <x:v>8</x:v>
      </x:c>
      <x:c r="Z65" s="431" t="n">
        <x:f>IF(V65="","",1+COUNTIF($V$19:$V$186,"&gt;"&amp;V65))</x:f>
        <x:v>35</x:v>
      </x:c>
      <x:c r="AA65" s="430" t="str">
        <x:f>IF(C65=0,"No specialisations recorded",IF(D65&lt;C65,"Review missing level","Recorded skills only"))</x:f>
        <x:v>Recorded skills only</x:v>
      </x:c>
      <x:c r="AB65" s="601" t="n">
        <x:f>IF(OR(AP65&lt;&gt;"Yes",E65=0),"",IFERROR(100*(COUNTIFS($AP$19:$AP$186,"Yes",$E$19:$E$186,"&gt;0",$I$19:$I$186,"&lt;"&amp;I65)+(COUNTIFS($AP$19:$AP$186,"Yes",$E$19:$E$186,"&gt;0",$I$19:$I$186,I65)-1)/2)/(COUNTIFS($AP$19:$AP$186,"Yes",$E$19:$E$186,"&gt;0")-1),50))</x:f>
        <x:v>24.025974025974026</x:v>
      </x:c>
      <x:c r="AC65" s="601" t="n">
        <x:f>IF(AB65="","",AB65*'Specialisation Rankings'!$O$16+R65*'Specialisation Rankings'!$O$17)</x:f>
        <x:v>19.350649350649352</x:v>
      </x:c>
      <x:c r="AD65" s="601" t="n">
        <x:f>IF(AC65="","",COUNTIFS($A$19:$A$186,A65,$AP$19:$AP$186,"Yes",$E$19:$E$186,"&gt;0",$AC$19:$AC$186,"&gt;"&amp;AC65)+COUNTIFS($A$19:A65,A65,$AP$19:AP65,"Yes",$E$19:E65,"&gt;0",$AC$19:AC65,AC65))</x:f>
        <x:v>11</x:v>
      </x:c>
      <x:c r="AE65" s="601" t="n">
        <x:f>IF(OR(AP65&lt;&gt;"Yes",E65=0),"",IFERROR(100*(COUNTIFS($AP$19:$AP$186,"Yes",$E$19:$E$186,"&gt;0",$H$19:$H$186,"&lt;"&amp;H65)+(COUNTIFS($AP$19:$AP$186,"Yes",$E$19:$E$186,"&gt;0",$H$19:$H$186,H65)-1)/2)/(COUNTIFS($AP$19:$AP$186,"Yes",$E$19:$E$186,"&gt;0")-1),50))</x:f>
        <x:v>11.688311688311689</x:v>
      </x:c>
      <x:c r="AF65" s="601" t="n">
        <x:f>IF(AE65="","",AE65*'Specialisation Rankings'!$O$16+R65*'Specialisation Rankings'!$O$17)</x:f>
        <x:v>9.480519480519481</x:v>
      </x:c>
      <x:c r="AG65" s="601" t="n">
        <x:f>IF(AF65="","",COUNTIFS($A$19:$A$186,A65,$AP$19:$AP$186,"Yes",$E$19:$E$186,"&gt;0",$AF$19:$AF$186,"&gt;"&amp;AF65)+COUNTIFS($A$19:A65,A65,$AP$19:AP65,"Yes",$E$19:E65,"&gt;0",$AF$19:AF65,AF65))</x:f>
        <x:v>12</x:v>
      </x:c>
      <x:c r="AH65" s="601" t="n">
        <x:f>IF(OR(AP65&lt;&gt;"Yes",E65=0),"",IFERROR(100*(COUNTIFS($AP$19:$AP$186,"Yes",$E$19:$E$186,"&gt;0",$J$19:$J$186,"&lt;"&amp;J65)+(COUNTIFS($AP$19:$AP$186,"Yes",$E$19:$E$186,"&gt;0",$J$19:$J$186,J65)-1)/2)/(COUNTIFS($AP$19:$AP$186,"Yes",$E$19:$E$186,"&gt;0")-1),50))</x:f>
        <x:v>33.116883116883116</x:v>
      </x:c>
      <x:c r="AI65" s="601" t="n">
        <x:f>IF(AH65="","",AH65*'Specialisation Rankings'!$O$16+R65*'Specialisation Rankings'!$O$17)</x:f>
        <x:v>26.623376623376625</x:v>
      </x:c>
      <x:c r="AJ65" s="601" t="n">
        <x:f>IF(AI65="","",COUNTIFS($A$19:$A$186,A65,$AP$19:$AP$186,"Yes",$E$19:$E$186,"&gt;0",$AI$19:$AI$186,"&gt;"&amp;AI65)+COUNTIFS($A$19:A65,A65,$AP$19:AP65,"Yes",$E$19:E65,"&gt;0",$AI$19:AI65,AI65))</x:f>
        <x:v>12</x:v>
      </x:c>
      <x:c r="AK65" s="601" t="n">
        <x:f>IF(OR(AP65&lt;&gt;"Yes",E65=0),"",IF(M65=0,'Specialisation Rankings'!$O$23,V65))</x:f>
        <x:v>60.25641025641025</x:v>
      </x:c>
      <x:c r="AL65" s="601" t="n">
        <x:f>IF(AK65="","",COUNTIFS($A$19:$A$186,A65,$AP$19:$AP$186,"Yes",$E$19:$E$186,"&gt;0",$AK$19:$AK$186,"&gt;"&amp;AK65)+COUNTIFS($A$19:A65,A65,$AP$19:AP65,"Yes",$E$19:E65,"&gt;0",$AK$19:AK65,AK65))</x:f>
        <x:v>8</x:v>
      </x:c>
      <x:c r="AM65" s="601" t="n">
        <x:f>IF(AC65="","",AC65*'Specialisation Rankings'!$O$18+AF65*'Specialisation Rankings'!$O$19+AI65*'Specialisation Rankings'!$O$20+AK65*'Specialisation Rankings'!$O$21)</x:f>
        <x:v>23.545121545121546</x:v>
      </x:c>
      <x:c r="AN65" s="601" t="n">
        <x:f>IF(AM65="","",COUNTIFS($A$19:$A$186,A65,$AP$19:$AP$186,"Yes",$E$19:$E$186,"&gt;0",$AM$19:$AM$186,"&gt;"&amp;AM65)+COUNTIFS($A$19:A65,A65,$AP$19:AP65,"Yes",$E$19:E65,"&gt;0",$AM$19:AM65,AM65))</x:f>
        <x:v>12</x:v>
      </x:c>
      <x:c r="AO65" s="601" t="n">
        <x:f>IF(AM65="","",COUNTIFS($AP$19:$AP$186,"Yes",$E$19:$E$186,"&gt;0",$AM$19:$AM$186,"&gt;"&amp;AM65)+COUNTIFS($AP$19:AP65,"Yes",$E$19:E65,"&gt;0",$AM$19:AM65,AM65))</x:f>
        <x:v>140</x:v>
      </x:c>
      <x:c r="AP65" s="602" t="str">
        <x:f>IF(COUNTIFS('Player Scenario Model'!$A$6:$A$172,A65,'Player Scenario Model'!$B$6:$B$172,B65)&gt;0,"Yes","No")</x:f>
        <x:v>Yes</x:v>
      </x:c>
    </x:row>
    <x:row r="66" ht="24" customHeight="1">
      <x:c r="A66" s="430" t="str">
        <x:v>K116</x:v>
      </x:c>
      <x:c r="B66" s="430" t="str">
        <x:v>苦瓜大王</x:v>
      </x:c>
      <x:c r="C66" s="431" t="n">
        <x:f>COUNTIFS('Specialisations'!$A$6:$A$527,A66,'Specialisations'!$B$6:$B$527,B66)</x:f>
        <x:v>3</x:v>
      </x:c>
      <x:c r="D66" s="431" t="n">
        <x:f>COUNTIFS('Specialisations'!$A$6:$A$527,A66,'Specialisations'!$B$6:$B$527,B66,'Specialisations'!$P$6:$P$527,"OK")</x:f>
        <x:v>3</x:v>
      </x:c>
      <x:c r="E66" s="431" t="n">
        <x:f>COUNTIFS('Specialisations'!$A$6:$A$527,A66,'Specialisations'!$B$6:$B$527,B66,'Specialisations'!$P$6:$P$527,"OK",'Specialisations'!$C$6:$C$527,"&lt;&gt;Guards")</x:f>
        <x:v>2</x:v>
      </x:c>
      <x:c r="F66" s="432" t="n">
        <x:f>IF(C66=0,"",D66/C66)</x:f>
        <x:v>1</x:v>
      </x:c>
      <x:c r="G66" s="495" t="n">
        <x:f>SUMIFS('Specialisations'!$Q$6:$Q$527,'Specialisations'!$A$6:$A$527,A66,'Specialisations'!$B$6:$B$527,B66,'Specialisations'!$C$6:$C$527,"Guards")</x:f>
        <x:v>-60</x:v>
      </x:c>
      <x:c r="H66" s="495" t="n">
        <x:f>SUMIFS('Specialisations'!$Q$6:$Q$527,'Specialisations'!$A$6:$A$527,A66,'Specialisations'!$B$6:$B$527,B66,'Specialisations'!$C$6:$C$527,"Archers")</x:f>
        <x:v>30.38</x:v>
      </x:c>
      <x:c r="I66" s="495" t="n">
        <x:f>SUMIFS('Specialisations'!$Q$6:$Q$527,'Specialisations'!$A$6:$A$527,A66,'Specialisations'!$B$6:$B$527,B66,'Specialisations'!$C$6:$C$527,"Cavalry")</x:f>
        <x:v>33.13</x:v>
      </x:c>
      <x:c r="J66" s="495" t="n">
        <x:f>SUMIFS('Specialisations'!$Q$6:$Q$527,'Specialisations'!$A$6:$A$527,A66,'Specialisations'!$B$6:$B$527,B66,'Specialisations'!$C$6:$C$527,"Siege")</x:f>
        <x:v>0</x:v>
      </x:c>
      <x:c r="K66" s="495" t="n">
        <x:f>SUM(H66:J66)</x:f>
        <x:v>63.510000000000005</x:v>
      </x:c>
      <x:c r="L66" s="495" t="n">
        <x:f>SUM(G66,K66)</x:f>
        <x:v>3.510000000000005</x:v>
      </x:c>
      <x:c r="M66" s="433" t="n">
        <x:f>SUMIFS('Specialisations'!$N$6:$N$527,'Specialisations'!$A$6:$A$527,A66,'Specialisations'!$B$6:$B$527,B66,'Specialisations'!$C$6:$C$527,"Guards")</x:f>
        <x:v>10334300</x:v>
      </x:c>
      <x:c r="N66" s="433" t="n">
        <x:f>SUMIFS('Specialisations'!$N$6:$N$527,'Specialisations'!$A$6:$A$527,A66,'Specialisations'!$B$6:$B$527,B66,'Specialisations'!$C$6:$C$527,"&lt;&gt;Guards")</x:f>
        <x:v>5368600</x:v>
      </x:c>
      <x:c r="O66" s="433" t="n">
        <x:f>SUM(M66:N66)</x:f>
        <x:v>15702900</x:v>
      </x:c>
      <x:c r="P66" s="434" t="n">
        <x:f>IF(E66=0,"",K66/E66)</x:f>
        <x:v>31.755000000000003</x:v>
      </x:c>
      <x:c r="Q66" s="501" t="n">
        <x:f>IF(E66=0,"",IFERROR(100*(COUNTIFS($E$19:$E$186,"&gt;0",$K$19:$K$186,"&lt;"&amp;K66)+(COUNTIFS($E$19:$E$186,"&gt;0",$K$19:$K$186,K66)-1)/2)/(COUNTIF($E$19:$E$186,"&gt;0")-1),50))</x:f>
        <x:v>29.22077922077922</x:v>
      </x:c>
      <x:c r="R66" s="501" t="n">
        <x:f>IF(E66=0,"",IFERROR(100*(COUNTIFS($E$19:$E$186,"&gt;0",$N$19:$N$186,"&lt;"&amp;N66)+(COUNTIFS($E$19:$E$186,"&gt;0",$N$19:$N$186,N66)-1)/2)/(COUNTIF($E$19:$E$186,"&gt;0")-1),50))</x:f>
        <x:v>14.285714285714286</x:v>
      </x:c>
      <x:c r="S66" s="501" t="n">
        <x:f>IF(E66=0,"",Q66*$R$5+R66*$R$6)</x:f>
        <x:v>26.233766233766236</x:v>
      </x:c>
      <x:c r="T66" s="501" t="n">
        <x:f>IF(M66=0,"",IFERROR(100*(COUNTIFS($M$19:$M$186,"&gt;0",$G$19:$G$186,"&gt;"&amp;G66)+(COUNTIFS($M$19:$M$186,"&gt;0",$G$19:$G$186,G66)-1)/2)/(COUNTIF($M$19:$M$186,"&gt;0")-1),50))</x:f>
        <x:v>93.16239316239316</x:v>
      </x:c>
      <x:c r="U66" s="501" t="n">
        <x:f>IF(M66=0,"",IFERROR(100*(COUNTIFS($M$19:$M$186,"&gt;0",$M$19:$M$186,"&lt;"&amp;M66)+(COUNTIFS($M$19:$M$186,"&gt;0",$M$19:$M$186,M66)-1)/2)/(COUNTIF($M$19:$M$186,"&gt;0")-1),50))</x:f>
        <x:v>93.16239316239316</x:v>
      </x:c>
      <x:c r="V66" s="501" t="n">
        <x:f>IF(M66=0,"",T66*$R$5+U66*$R$6)</x:f>
        <x:v>93.16239316239316</x:v>
      </x:c>
      <x:c r="W66" s="431" t="n">
        <x:f>IF(E66=0,"",COUNTIFS($A$19:$A$186,A66,$S$19:$S$186,"&gt;"&amp;S66)+COUNTIFS($A$19:A66,A66,$E$19:E66,"&gt;0",$S$19:S66,S66))</x:f>
        <x:v>9</x:v>
      </x:c>
      <x:c r="X66" s="431" t="n">
        <x:f>IF(S66="","",1+COUNTIF($S$19:$S$186,"&gt;"&amp;S66))</x:f>
        <x:v>123</x:v>
      </x:c>
      <x:c r="Y66" s="431" t="n">
        <x:f>IF(V66="","",1+COUNTIFS($A$19:$A$186,A66,$V$19:$V$186,"&gt;"&amp;V66))</x:f>
        <x:v>1</x:v>
      </x:c>
      <x:c r="Z66" s="431" t="n">
        <x:f>IF(V66="","",1+COUNTIF($V$19:$V$186,"&gt;"&amp;V66))</x:f>
        <x:v>1</x:v>
      </x:c>
      <x:c r="AA66" s="430" t="str">
        <x:f>IF(C66=0,"No specialisations recorded",IF(D66&lt;C66,"Review missing level","Recorded skills only"))</x:f>
        <x:v>Recorded skills only</x:v>
      </x:c>
      <x:c r="AB66" s="601" t="n">
        <x:f>IF(OR(AP66&lt;&gt;"Yes",E66=0),"",IFERROR(100*(COUNTIFS($AP$19:$AP$186,"Yes",$E$19:$E$186,"&gt;0",$I$19:$I$186,"&lt;"&amp;I66)+(COUNTIFS($AP$19:$AP$186,"Yes",$E$19:$E$186,"&gt;0",$I$19:$I$186,I66)-1)/2)/(COUNTIFS($AP$19:$AP$186,"Yes",$E$19:$E$186,"&gt;0")-1),50))</x:f>
        <x:v>28.246753246753247</x:v>
      </x:c>
      <x:c r="AC66" s="601" t="n">
        <x:f>IF(AB66="","",AB66*'Specialisation Rankings'!$O$16+R66*'Specialisation Rankings'!$O$17)</x:f>
        <x:v>25.454545454545457</x:v>
      </x:c>
      <x:c r="AD66" s="601" t="n">
        <x:f>IF(AC66="","",COUNTIFS($A$19:$A$186,A66,$AP$19:$AP$186,"Yes",$E$19:$E$186,"&gt;0",$AC$19:$AC$186,"&gt;"&amp;AC66)+COUNTIFS($A$19:A66,A66,$AP$19:AP66,"Yes",$E$19:E66,"&gt;0",$AC$19:AC66,AC66))</x:f>
        <x:v>10</x:v>
      </x:c>
      <x:c r="AE66" s="601" t="n">
        <x:f>IF(OR(AP66&lt;&gt;"Yes",E66=0),"",IFERROR(100*(COUNTIFS($AP$19:$AP$186,"Yes",$E$19:$E$186,"&gt;0",$H$19:$H$186,"&lt;"&amp;H66)+(COUNTIFS($AP$19:$AP$186,"Yes",$E$19:$E$186,"&gt;0",$H$19:$H$186,H66)-1)/2)/(COUNTIFS($AP$19:$AP$186,"Yes",$E$19:$E$186,"&gt;0")-1),50))</x:f>
        <x:v>52.5974025974026</x:v>
      </x:c>
      <x:c r="AF66" s="601" t="n">
        <x:f>IF(AE66="","",AE66*'Specialisation Rankings'!$O$16+R66*'Specialisation Rankings'!$O$17)</x:f>
        <x:v>44.93506493506494</x:v>
      </x:c>
      <x:c r="AG66" s="601" t="n">
        <x:f>IF(AF66="","",COUNTIFS($A$19:$A$186,A66,$AP$19:$AP$186,"Yes",$E$19:$E$186,"&gt;0",$AF$19:$AF$186,"&gt;"&amp;AF66)+COUNTIFS($A$19:A66,A66,$AP$19:AP66,"Yes",$E$19:E66,"&gt;0",$AF$19:AF66,AF66))</x:f>
        <x:v>6</x:v>
      </x:c>
      <x:c r="AH66" s="601" t="n">
        <x:f>IF(OR(AP66&lt;&gt;"Yes",E66=0),"",IFERROR(100*(COUNTIFS($AP$19:$AP$186,"Yes",$E$19:$E$186,"&gt;0",$J$19:$J$186,"&lt;"&amp;J66)+(COUNTIFS($AP$19:$AP$186,"Yes",$E$19:$E$186,"&gt;0",$J$19:$J$186,J66)-1)/2)/(COUNTIFS($AP$19:$AP$186,"Yes",$E$19:$E$186,"&gt;0")-1),50))</x:f>
        <x:v>33.116883116883116</x:v>
      </x:c>
      <x:c r="AI66" s="601" t="n">
        <x:f>IF(AH66="","",AH66*'Specialisation Rankings'!$O$16+R66*'Specialisation Rankings'!$O$17)</x:f>
        <x:v>29.350649350649352</x:v>
      </x:c>
      <x:c r="AJ66" s="601" t="n">
        <x:f>IF(AI66="","",COUNTIFS($A$19:$A$186,A66,$AP$19:$AP$186,"Yes",$E$19:$E$186,"&gt;0",$AI$19:$AI$186,"&gt;"&amp;AI66)+COUNTIFS($A$19:A66,A66,$AP$19:AP66,"Yes",$E$19:E66,"&gt;0",$AI$19:AI66,AI66))</x:f>
        <x:v>10</x:v>
      </x:c>
      <x:c r="AK66" s="601" t="n">
        <x:f>IF(OR(AP66&lt;&gt;"Yes",E66=0),"",IF(M66=0,'Specialisation Rankings'!$O$23,V66))</x:f>
        <x:v>93.16239316239316</x:v>
      </x:c>
      <x:c r="AL66" s="601" t="n">
        <x:f>IF(AK66="","",COUNTIFS($A$19:$A$186,A66,$AP$19:$AP$186,"Yes",$E$19:$E$186,"&gt;0",$AK$19:$AK$186,"&gt;"&amp;AK66)+COUNTIFS($A$19:A66,A66,$AP$19:AP66,"Yes",$E$19:E66,"&gt;0",$AK$19:AK66,AK66))</x:f>
        <x:v>2</x:v>
      </x:c>
      <x:c r="AM66" s="601" t="n">
        <x:f>IF(AC66="","",AC66*'Specialisation Rankings'!$O$18+AF66*'Specialisation Rankings'!$O$19+AI66*'Specialisation Rankings'!$O$20+AK66*'Specialisation Rankings'!$O$21)</x:f>
        <x:v>34.75779775779776</x:v>
      </x:c>
      <x:c r="AN66" s="601" t="n">
        <x:f>IF(AM66="","",COUNTIFS($A$19:$A$186,A66,$AP$19:$AP$186,"Yes",$E$19:$E$186,"&gt;0",$AM$19:$AM$186,"&gt;"&amp;AM66)+COUNTIFS($A$19:A66,A66,$AP$19:AP66,"Yes",$E$19:E66,"&gt;0",$AM$19:AM66,AM66))</x:f>
        <x:v>9</x:v>
      </x:c>
      <x:c r="AO66" s="601" t="n">
        <x:f>IF(AM66="","",COUNTIFS($AP$19:$AP$186,"Yes",$E$19:$E$186,"&gt;0",$AM$19:$AM$186,"&gt;"&amp;AM66)+COUNTIFS($AP$19:AP66,"Yes",$E$19:E66,"&gt;0",$AM$19:AM66,AM66))</x:f>
        <x:v>105</x:v>
      </x:c>
      <x:c r="AP66" s="602" t="str">
        <x:f>IF(COUNTIFS('Player Scenario Model'!$A$6:$A$172,A66,'Player Scenario Model'!$B$6:$B$172,B66)&gt;0,"Yes","No")</x:f>
        <x:v>Yes</x:v>
      </x:c>
    </x:row>
    <x:row r="67" ht="24" customHeight="1">
      <x:c r="A67" s="430" t="str">
        <x:v>K116</x:v>
      </x:c>
      <x:c r="B67" s="430" t="str">
        <x:v>Derek</x:v>
      </x:c>
      <x:c r="C67" s="431" t="n">
        <x:f>COUNTIFS('Specialisations'!$A$6:$A$527,A67,'Specialisations'!$B$6:$B$527,B67)</x:f>
        <x:v>0</x:v>
      </x:c>
      <x:c r="D67" s="431" t="n">
        <x:f>COUNTIFS('Specialisations'!$A$6:$A$527,A67,'Specialisations'!$B$6:$B$527,B67,'Specialisations'!$P$6:$P$527,"OK")</x:f>
        <x:v>0</x:v>
      </x:c>
      <x:c r="E67" s="431" t="n">
        <x:f>COUNTIFS('Specialisations'!$A$6:$A$527,A67,'Specialisations'!$B$6:$B$527,B67,'Specialisations'!$P$6:$P$527,"OK",'Specialisations'!$C$6:$C$527,"&lt;&gt;Guards")</x:f>
        <x:v>0</x:v>
      </x:c>
      <x:c r="F67" s="432" t="str">
        <x:f>IF(C67=0,"",D67/C67)</x:f>
      </x:c>
      <x:c r="G67" s="495" t="n">
        <x:f>SUMIFS('Specialisations'!$Q$6:$Q$527,'Specialisations'!$A$6:$A$527,A67,'Specialisations'!$B$6:$B$527,B67,'Specialisations'!$C$6:$C$527,"Guards")</x:f>
        <x:v>0</x:v>
      </x:c>
      <x:c r="H67" s="495" t="n">
        <x:f>SUMIFS('Specialisations'!$Q$6:$Q$527,'Specialisations'!$A$6:$A$527,A67,'Specialisations'!$B$6:$B$527,B67,'Specialisations'!$C$6:$C$527,"Archers")</x:f>
        <x:v>0</x:v>
      </x:c>
      <x:c r="I67" s="495" t="n">
        <x:f>SUMIFS('Specialisations'!$Q$6:$Q$527,'Specialisations'!$A$6:$A$527,A67,'Specialisations'!$B$6:$B$527,B67,'Specialisations'!$C$6:$C$527,"Cavalry")</x:f>
        <x:v>0</x:v>
      </x:c>
      <x:c r="J67" s="495" t="n">
        <x:f>SUMIFS('Specialisations'!$Q$6:$Q$527,'Specialisations'!$A$6:$A$527,A67,'Specialisations'!$B$6:$B$527,B67,'Specialisations'!$C$6:$C$527,"Siege")</x:f>
        <x:v>0</x:v>
      </x:c>
      <x:c r="K67" s="495" t="n">
        <x:f>SUM(H67:J67)</x:f>
        <x:v>0</x:v>
      </x:c>
      <x:c r="L67" s="495" t="n">
        <x:f>SUM(G67,K67)</x:f>
        <x:v>0</x:v>
      </x:c>
      <x:c r="M67" s="433" t="n">
        <x:f>SUMIFS('Specialisations'!$N$6:$N$527,'Specialisations'!$A$6:$A$527,A67,'Specialisations'!$B$6:$B$527,B67,'Specialisations'!$C$6:$C$527,"Guards")</x:f>
        <x:v>0</x:v>
      </x:c>
      <x:c r="N67" s="433" t="n">
        <x:f>SUMIFS('Specialisations'!$N$6:$N$527,'Specialisations'!$A$6:$A$527,A67,'Specialisations'!$B$6:$B$527,B67,'Specialisations'!$C$6:$C$527,"&lt;&gt;Guards")</x:f>
        <x:v>0</x:v>
      </x:c>
      <x:c r="O67" s="433" t="n">
        <x:f>SUM(M67:N67)</x:f>
        <x:v>0</x:v>
      </x:c>
      <x:c r="P67" s="434" t="str">
        <x:f>IF(E67=0,"",K67/E67)</x:f>
      </x:c>
      <x:c r="Q67" s="501" t="str">
        <x:f>IF(E67=0,"",IFERROR(100*(COUNTIFS($E$19:$E$186,"&gt;0",$K$19:$K$186,"&lt;"&amp;K67)+(COUNTIFS($E$19:$E$186,"&gt;0",$K$19:$K$186,K67)-1)/2)/(COUNTIF($E$19:$E$186,"&gt;0")-1),50))</x:f>
      </x:c>
      <x:c r="R67" s="501" t="str">
        <x:f>IF(E67=0,"",IFERROR(100*(COUNTIFS($E$19:$E$186,"&gt;0",$N$19:$N$186,"&lt;"&amp;N67)+(COUNTIFS($E$19:$E$186,"&gt;0",$N$19:$N$186,N67)-1)/2)/(COUNTIF($E$19:$E$186,"&gt;0")-1),50))</x:f>
      </x:c>
      <x:c r="S67" s="501" t="str">
        <x:f>IF(E67=0,"",Q67*$R$5+R67*$R$6)</x:f>
      </x:c>
      <x:c r="T67" s="501" t="str">
        <x:f>IF(M67=0,"",IFERROR(100*(COUNTIFS($M$19:$M$186,"&gt;0",$G$19:$G$186,"&gt;"&amp;G67)+(COUNTIFS($M$19:$M$186,"&gt;0",$G$19:$G$186,G67)-1)/2)/(COUNTIF($M$19:$M$186,"&gt;0")-1),50))</x:f>
      </x:c>
      <x:c r="U67" s="501" t="str">
        <x:f>IF(M67=0,"",IFERROR(100*(COUNTIFS($M$19:$M$186,"&gt;0",$M$19:$M$186,"&lt;"&amp;M67)+(COUNTIFS($M$19:$M$186,"&gt;0",$M$19:$M$186,M67)-1)/2)/(COUNTIF($M$19:$M$186,"&gt;0")-1),50))</x:f>
      </x:c>
      <x:c r="V67" s="501" t="str">
        <x:f>IF(M67=0,"",T67*$R$5+U67*$R$6)</x:f>
      </x:c>
      <x:c r="W67" s="431" t="str">
        <x:f>IF(E67=0,"",COUNTIFS($A$19:$A$186,A67,$S$19:$S$186,"&gt;"&amp;S67)+COUNTIFS($A$19:A67,A67,$E$19:E67,"&gt;0",$S$19:S67,S67))</x:f>
      </x:c>
      <x:c r="X67" s="431" t="str">
        <x:f>IF(S67="","",1+COUNTIF($S$19:$S$186,"&gt;"&amp;S67))</x:f>
      </x:c>
      <x:c r="Y67" s="431" t="str">
        <x:f>IF(V67="","",1+COUNTIFS($A$19:$A$186,A67,$V$19:$V$186,"&gt;"&amp;V67))</x:f>
      </x:c>
      <x:c r="Z67" s="431" t="str">
        <x:f>IF(V67="","",1+COUNTIF($V$19:$V$186,"&gt;"&amp;V67))</x:f>
      </x:c>
      <x:c r="AA67" s="430" t="str">
        <x:f>IF(C67=0,"No specialisations recorded",IF(D67&lt;C67,"Review missing level","Recorded skills only"))</x:f>
        <x:v>No specialisations recorded</x:v>
      </x:c>
      <x:c r="AB67" s="601" t="str">
        <x:f>IF(OR(AP67&lt;&gt;"Yes",E67=0),"",IFERROR(100*(COUNTIFS($AP$19:$AP$186,"Yes",$E$19:$E$186,"&gt;0",$I$19:$I$186,"&lt;"&amp;I67)+(COUNTIFS($AP$19:$AP$186,"Yes",$E$19:$E$186,"&gt;0",$I$19:$I$186,I67)-1)/2)/(COUNTIFS($AP$19:$AP$186,"Yes",$E$19:$E$186,"&gt;0")-1),50))</x:f>
      </x:c>
      <x:c r="AC67" s="601" t="str">
        <x:f>IF(AB67="","",AB67*'Specialisation Rankings'!$O$16+R67*'Specialisation Rankings'!$O$17)</x:f>
      </x:c>
      <x:c r="AD67" s="601" t="str">
        <x:f>IF(AC67="","",COUNTIFS($A$19:$A$186,A67,$AP$19:$AP$186,"Yes",$E$19:$E$186,"&gt;0",$AC$19:$AC$186,"&gt;"&amp;AC67)+COUNTIFS($A$19:A67,A67,$AP$19:AP67,"Yes",$E$19:E67,"&gt;0",$AC$19:AC67,AC67))</x:f>
      </x:c>
      <x:c r="AE67" s="601" t="str">
        <x:f>IF(OR(AP67&lt;&gt;"Yes",E67=0),"",IFERROR(100*(COUNTIFS($AP$19:$AP$186,"Yes",$E$19:$E$186,"&gt;0",$H$19:$H$186,"&lt;"&amp;H67)+(COUNTIFS($AP$19:$AP$186,"Yes",$E$19:$E$186,"&gt;0",$H$19:$H$186,H67)-1)/2)/(COUNTIFS($AP$19:$AP$186,"Yes",$E$19:$E$186,"&gt;0")-1),50))</x:f>
      </x:c>
      <x:c r="AF67" s="601" t="str">
        <x:f>IF(AE67="","",AE67*'Specialisation Rankings'!$O$16+R67*'Specialisation Rankings'!$O$17)</x:f>
      </x:c>
      <x:c r="AG67" s="601" t="str">
        <x:f>IF(AF67="","",COUNTIFS($A$19:$A$186,A67,$AP$19:$AP$186,"Yes",$E$19:$E$186,"&gt;0",$AF$19:$AF$186,"&gt;"&amp;AF67)+COUNTIFS($A$19:A67,A67,$AP$19:AP67,"Yes",$E$19:E67,"&gt;0",$AF$19:AF67,AF67))</x:f>
      </x:c>
      <x:c r="AH67" s="601" t="str">
        <x:f>IF(OR(AP67&lt;&gt;"Yes",E67=0),"",IFERROR(100*(COUNTIFS($AP$19:$AP$186,"Yes",$E$19:$E$186,"&gt;0",$J$19:$J$186,"&lt;"&amp;J67)+(COUNTIFS($AP$19:$AP$186,"Yes",$E$19:$E$186,"&gt;0",$J$19:$J$186,J67)-1)/2)/(COUNTIFS($AP$19:$AP$186,"Yes",$E$19:$E$186,"&gt;0")-1),50))</x:f>
      </x:c>
      <x:c r="AI67" s="601" t="str">
        <x:f>IF(AH67="","",AH67*'Specialisation Rankings'!$O$16+R67*'Specialisation Rankings'!$O$17)</x:f>
      </x:c>
      <x:c r="AJ67" s="601" t="str">
        <x:f>IF(AI67="","",COUNTIFS($A$19:$A$186,A67,$AP$19:$AP$186,"Yes",$E$19:$E$186,"&gt;0",$AI$19:$AI$186,"&gt;"&amp;AI67)+COUNTIFS($A$19:A67,A67,$AP$19:AP67,"Yes",$E$19:E67,"&gt;0",$AI$19:AI67,AI67))</x:f>
      </x:c>
      <x:c r="AK67" s="601" t="str">
        <x:f>IF(OR(AP67&lt;&gt;"Yes",E67=0),"",IF(M67=0,'Specialisation Rankings'!$O$23,V67))</x:f>
      </x:c>
      <x:c r="AL67" s="601" t="str">
        <x:f>IF(AK67="","",COUNTIFS($A$19:$A$186,A67,$AP$19:$AP$186,"Yes",$E$19:$E$186,"&gt;0",$AK$19:$AK$186,"&gt;"&amp;AK67)+COUNTIFS($A$19:A67,A67,$AP$19:AP67,"Yes",$E$19:E67,"&gt;0",$AK$19:AK67,AK67))</x:f>
      </x:c>
      <x:c r="AM67" s="601" t="str">
        <x:f>IF(AC67="","",AC67*'Specialisation Rankings'!$O$18+AF67*'Specialisation Rankings'!$O$19+AI67*'Specialisation Rankings'!$O$20+AK67*'Specialisation Rankings'!$O$21)</x:f>
      </x:c>
      <x:c r="AN67" s="601" t="str">
        <x:f>IF(AM67="","",COUNTIFS($A$19:$A$186,A67,$AP$19:$AP$186,"Yes",$E$19:$E$186,"&gt;0",$AM$19:$AM$186,"&gt;"&amp;AM67)+COUNTIFS($A$19:A67,A67,$AP$19:AP67,"Yes",$E$19:E67,"&gt;0",$AM$19:AM67,AM67))</x:f>
      </x:c>
      <x:c r="AO67" s="601" t="str">
        <x:f>IF(AM67="","",COUNTIFS($AP$19:$AP$186,"Yes",$E$19:$E$186,"&gt;0",$AM$19:$AM$186,"&gt;"&amp;AM67)+COUNTIFS($AP$19:AP67,"Yes",$E$19:E67,"&gt;0",$AM$19:AM67,AM67))</x:f>
      </x:c>
      <x:c r="AP67" s="602" t="str">
        <x:f>IF(COUNTIFS('Player Scenario Model'!$A$6:$A$172,A67,'Player Scenario Model'!$B$6:$B$172,B67)&gt;0,"Yes","No")</x:f>
        <x:v>Yes</x:v>
      </x:c>
    </x:row>
    <x:row r="68" ht="24" customHeight="1">
      <x:c r="A68" s="430" t="str">
        <x:v>K116</x:v>
      </x:c>
      <x:c r="B68" s="430" t="str">
        <x:v>陶渊明</x:v>
      </x:c>
      <x:c r="C68" s="431" t="n">
        <x:f>COUNTIFS('Specialisations'!$A$6:$A$527,A68,'Specialisations'!$B$6:$B$527,B68)</x:f>
        <x:v>0</x:v>
      </x:c>
      <x:c r="D68" s="431" t="n">
        <x:f>COUNTIFS('Specialisations'!$A$6:$A$527,A68,'Specialisations'!$B$6:$B$527,B68,'Specialisations'!$P$6:$P$527,"OK")</x:f>
        <x:v>0</x:v>
      </x:c>
      <x:c r="E68" s="431" t="n">
        <x:f>COUNTIFS('Specialisations'!$A$6:$A$527,A68,'Specialisations'!$B$6:$B$527,B68,'Specialisations'!$P$6:$P$527,"OK",'Specialisations'!$C$6:$C$527,"&lt;&gt;Guards")</x:f>
        <x:v>0</x:v>
      </x:c>
      <x:c r="F68" s="432" t="str">
        <x:f>IF(C68=0,"",D68/C68)</x:f>
      </x:c>
      <x:c r="G68" s="495" t="n">
        <x:f>SUMIFS('Specialisations'!$Q$6:$Q$527,'Specialisations'!$A$6:$A$527,A68,'Specialisations'!$B$6:$B$527,B68,'Specialisations'!$C$6:$C$527,"Guards")</x:f>
        <x:v>0</x:v>
      </x:c>
      <x:c r="H68" s="495" t="n">
        <x:f>SUMIFS('Specialisations'!$Q$6:$Q$527,'Specialisations'!$A$6:$A$527,A68,'Specialisations'!$B$6:$B$527,B68,'Specialisations'!$C$6:$C$527,"Archers")</x:f>
        <x:v>0</x:v>
      </x:c>
      <x:c r="I68" s="495" t="n">
        <x:f>SUMIFS('Specialisations'!$Q$6:$Q$527,'Specialisations'!$A$6:$A$527,A68,'Specialisations'!$B$6:$B$527,B68,'Specialisations'!$C$6:$C$527,"Cavalry")</x:f>
        <x:v>0</x:v>
      </x:c>
      <x:c r="J68" s="495" t="n">
        <x:f>SUMIFS('Specialisations'!$Q$6:$Q$527,'Specialisations'!$A$6:$A$527,A68,'Specialisations'!$B$6:$B$527,B68,'Specialisations'!$C$6:$C$527,"Siege")</x:f>
        <x:v>0</x:v>
      </x:c>
      <x:c r="K68" s="495" t="n">
        <x:f>SUM(H68:J68)</x:f>
        <x:v>0</x:v>
      </x:c>
      <x:c r="L68" s="495" t="n">
        <x:f>SUM(G68,K68)</x:f>
        <x:v>0</x:v>
      </x:c>
      <x:c r="M68" s="433" t="n">
        <x:f>SUMIFS('Specialisations'!$N$6:$N$527,'Specialisations'!$A$6:$A$527,A68,'Specialisations'!$B$6:$B$527,B68,'Specialisations'!$C$6:$C$527,"Guards")</x:f>
        <x:v>0</x:v>
      </x:c>
      <x:c r="N68" s="433" t="n">
        <x:f>SUMIFS('Specialisations'!$N$6:$N$527,'Specialisations'!$A$6:$A$527,A68,'Specialisations'!$B$6:$B$527,B68,'Specialisations'!$C$6:$C$527,"&lt;&gt;Guards")</x:f>
        <x:v>0</x:v>
      </x:c>
      <x:c r="O68" s="433" t="n">
        <x:f>SUM(M68:N68)</x:f>
        <x:v>0</x:v>
      </x:c>
      <x:c r="P68" s="434" t="str">
        <x:f>IF(E68=0,"",K68/E68)</x:f>
      </x:c>
      <x:c r="Q68" s="501" t="str">
        <x:f>IF(E68=0,"",IFERROR(100*(COUNTIFS($E$19:$E$186,"&gt;0",$K$19:$K$186,"&lt;"&amp;K68)+(COUNTIFS($E$19:$E$186,"&gt;0",$K$19:$K$186,K68)-1)/2)/(COUNTIF($E$19:$E$186,"&gt;0")-1),50))</x:f>
      </x:c>
      <x:c r="R68" s="501" t="str">
        <x:f>IF(E68=0,"",IFERROR(100*(COUNTIFS($E$19:$E$186,"&gt;0",$N$19:$N$186,"&lt;"&amp;N68)+(COUNTIFS($E$19:$E$186,"&gt;0",$N$19:$N$186,N68)-1)/2)/(COUNTIF($E$19:$E$186,"&gt;0")-1),50))</x:f>
      </x:c>
      <x:c r="S68" s="501" t="str">
        <x:f>IF(E68=0,"",Q68*$R$5+R68*$R$6)</x:f>
      </x:c>
      <x:c r="T68" s="501" t="str">
        <x:f>IF(M68=0,"",IFERROR(100*(COUNTIFS($M$19:$M$186,"&gt;0",$G$19:$G$186,"&gt;"&amp;G68)+(COUNTIFS($M$19:$M$186,"&gt;0",$G$19:$G$186,G68)-1)/2)/(COUNTIF($M$19:$M$186,"&gt;0")-1),50))</x:f>
      </x:c>
      <x:c r="U68" s="501" t="str">
        <x:f>IF(M68=0,"",IFERROR(100*(COUNTIFS($M$19:$M$186,"&gt;0",$M$19:$M$186,"&lt;"&amp;M68)+(COUNTIFS($M$19:$M$186,"&gt;0",$M$19:$M$186,M68)-1)/2)/(COUNTIF($M$19:$M$186,"&gt;0")-1),50))</x:f>
      </x:c>
      <x:c r="V68" s="501" t="str">
        <x:f>IF(M68=0,"",T68*$R$5+U68*$R$6)</x:f>
      </x:c>
      <x:c r="W68" s="431" t="str">
        <x:f>IF(E68=0,"",COUNTIFS($A$19:$A$186,A68,$S$19:$S$186,"&gt;"&amp;S68)+COUNTIFS($A$19:A68,A68,$E$19:E68,"&gt;0",$S$19:S68,S68))</x:f>
      </x:c>
      <x:c r="X68" s="431" t="str">
        <x:f>IF(S68="","",1+COUNTIF($S$19:$S$186,"&gt;"&amp;S68))</x:f>
      </x:c>
      <x:c r="Y68" s="431" t="str">
        <x:f>IF(V68="","",1+COUNTIFS($A$19:$A$186,A68,$V$19:$V$186,"&gt;"&amp;V68))</x:f>
      </x:c>
      <x:c r="Z68" s="431" t="str">
        <x:f>IF(V68="","",1+COUNTIF($V$19:$V$186,"&gt;"&amp;V68))</x:f>
      </x:c>
      <x:c r="AA68" s="430" t="str">
        <x:f>IF(C68=0,"No specialisations recorded",IF(D68&lt;C68,"Review missing level","Recorded skills only"))</x:f>
        <x:v>No specialisations recorded</x:v>
      </x:c>
      <x:c r="AB68" s="601" t="str">
        <x:f>IF(OR(AP68&lt;&gt;"Yes",E68=0),"",IFERROR(100*(COUNTIFS($AP$19:$AP$186,"Yes",$E$19:$E$186,"&gt;0",$I$19:$I$186,"&lt;"&amp;I68)+(COUNTIFS($AP$19:$AP$186,"Yes",$E$19:$E$186,"&gt;0",$I$19:$I$186,I68)-1)/2)/(COUNTIFS($AP$19:$AP$186,"Yes",$E$19:$E$186,"&gt;0")-1),50))</x:f>
      </x:c>
      <x:c r="AC68" s="601" t="str">
        <x:f>IF(AB68="","",AB68*'Specialisation Rankings'!$O$16+R68*'Specialisation Rankings'!$O$17)</x:f>
      </x:c>
      <x:c r="AD68" s="601" t="str">
        <x:f>IF(AC68="","",COUNTIFS($A$19:$A$186,A68,$AP$19:$AP$186,"Yes",$E$19:$E$186,"&gt;0",$AC$19:$AC$186,"&gt;"&amp;AC68)+COUNTIFS($A$19:A68,A68,$AP$19:AP68,"Yes",$E$19:E68,"&gt;0",$AC$19:AC68,AC68))</x:f>
      </x:c>
      <x:c r="AE68" s="601" t="str">
        <x:f>IF(OR(AP68&lt;&gt;"Yes",E68=0),"",IFERROR(100*(COUNTIFS($AP$19:$AP$186,"Yes",$E$19:$E$186,"&gt;0",$H$19:$H$186,"&lt;"&amp;H68)+(COUNTIFS($AP$19:$AP$186,"Yes",$E$19:$E$186,"&gt;0",$H$19:$H$186,H68)-1)/2)/(COUNTIFS($AP$19:$AP$186,"Yes",$E$19:$E$186,"&gt;0")-1),50))</x:f>
      </x:c>
      <x:c r="AF68" s="601" t="str">
        <x:f>IF(AE68="","",AE68*'Specialisation Rankings'!$O$16+R68*'Specialisation Rankings'!$O$17)</x:f>
      </x:c>
      <x:c r="AG68" s="601" t="str">
        <x:f>IF(AF68="","",COUNTIFS($A$19:$A$186,A68,$AP$19:$AP$186,"Yes",$E$19:$E$186,"&gt;0",$AF$19:$AF$186,"&gt;"&amp;AF68)+COUNTIFS($A$19:A68,A68,$AP$19:AP68,"Yes",$E$19:E68,"&gt;0",$AF$19:AF68,AF68))</x:f>
      </x:c>
      <x:c r="AH68" s="601" t="str">
        <x:f>IF(OR(AP68&lt;&gt;"Yes",E68=0),"",IFERROR(100*(COUNTIFS($AP$19:$AP$186,"Yes",$E$19:$E$186,"&gt;0",$J$19:$J$186,"&lt;"&amp;J68)+(COUNTIFS($AP$19:$AP$186,"Yes",$E$19:$E$186,"&gt;0",$J$19:$J$186,J68)-1)/2)/(COUNTIFS($AP$19:$AP$186,"Yes",$E$19:$E$186,"&gt;0")-1),50))</x:f>
      </x:c>
      <x:c r="AI68" s="601" t="str">
        <x:f>IF(AH68="","",AH68*'Specialisation Rankings'!$O$16+R68*'Specialisation Rankings'!$O$17)</x:f>
      </x:c>
      <x:c r="AJ68" s="601" t="str">
        <x:f>IF(AI68="","",COUNTIFS($A$19:$A$186,A68,$AP$19:$AP$186,"Yes",$E$19:$E$186,"&gt;0",$AI$19:$AI$186,"&gt;"&amp;AI68)+COUNTIFS($A$19:A68,A68,$AP$19:AP68,"Yes",$E$19:E68,"&gt;0",$AI$19:AI68,AI68))</x:f>
      </x:c>
      <x:c r="AK68" s="601" t="str">
        <x:f>IF(OR(AP68&lt;&gt;"Yes",E68=0),"",IF(M68=0,'Specialisation Rankings'!$O$23,V68))</x:f>
      </x:c>
      <x:c r="AL68" s="601" t="str">
        <x:f>IF(AK68="","",COUNTIFS($A$19:$A$186,A68,$AP$19:$AP$186,"Yes",$E$19:$E$186,"&gt;0",$AK$19:$AK$186,"&gt;"&amp;AK68)+COUNTIFS($A$19:A68,A68,$AP$19:AP68,"Yes",$E$19:E68,"&gt;0",$AK$19:AK68,AK68))</x:f>
      </x:c>
      <x:c r="AM68" s="601" t="str">
        <x:f>IF(AC68="","",AC68*'Specialisation Rankings'!$O$18+AF68*'Specialisation Rankings'!$O$19+AI68*'Specialisation Rankings'!$O$20+AK68*'Specialisation Rankings'!$O$21)</x:f>
      </x:c>
      <x:c r="AN68" s="601" t="str">
        <x:f>IF(AM68="","",COUNTIFS($A$19:$A$186,A68,$AP$19:$AP$186,"Yes",$E$19:$E$186,"&gt;0",$AM$19:$AM$186,"&gt;"&amp;AM68)+COUNTIFS($A$19:A68,A68,$AP$19:AP68,"Yes",$E$19:E68,"&gt;0",$AM$19:AM68,AM68))</x:f>
      </x:c>
      <x:c r="AO68" s="601" t="str">
        <x:f>IF(AM68="","",COUNTIFS($AP$19:$AP$186,"Yes",$E$19:$E$186,"&gt;0",$AM$19:$AM$186,"&gt;"&amp;AM68)+COUNTIFS($AP$19:AP68,"Yes",$E$19:E68,"&gt;0",$AM$19:AM68,AM68))</x:f>
      </x:c>
      <x:c r="AP68" s="602" t="str">
        <x:f>IF(COUNTIFS('Player Scenario Model'!$A$6:$A$172,A68,'Player Scenario Model'!$B$6:$B$172,B68)&gt;0,"Yes","No")</x:f>
        <x:v>Yes</x:v>
      </x:c>
    </x:row>
    <x:row r="69" ht="24" customHeight="1">
      <x:c r="A69" s="430" t="str">
        <x:v>K116</x:v>
      </x:c>
      <x:c r="B69" s="430" t="str">
        <x:v>开始摆烂</x:v>
      </x:c>
      <x:c r="C69" s="431" t="n">
        <x:f>COUNTIFS('Specialisations'!$A$6:$A$527,A69,'Specialisations'!$B$6:$B$527,B69)</x:f>
        <x:v>0</x:v>
      </x:c>
      <x:c r="D69" s="431" t="n">
        <x:f>COUNTIFS('Specialisations'!$A$6:$A$527,A69,'Specialisations'!$B$6:$B$527,B69,'Specialisations'!$P$6:$P$527,"OK")</x:f>
        <x:v>0</x:v>
      </x:c>
      <x:c r="E69" s="431" t="n">
        <x:f>COUNTIFS('Specialisations'!$A$6:$A$527,A69,'Specialisations'!$B$6:$B$527,B69,'Specialisations'!$P$6:$P$527,"OK",'Specialisations'!$C$6:$C$527,"&lt;&gt;Guards")</x:f>
        <x:v>0</x:v>
      </x:c>
      <x:c r="F69" s="432" t="str">
        <x:f>IF(C69=0,"",D69/C69)</x:f>
      </x:c>
      <x:c r="G69" s="495" t="n">
        <x:f>SUMIFS('Specialisations'!$Q$6:$Q$527,'Specialisations'!$A$6:$A$527,A69,'Specialisations'!$B$6:$B$527,B69,'Specialisations'!$C$6:$C$527,"Guards")</x:f>
        <x:v>0</x:v>
      </x:c>
      <x:c r="H69" s="495" t="n">
        <x:f>SUMIFS('Specialisations'!$Q$6:$Q$527,'Specialisations'!$A$6:$A$527,A69,'Specialisations'!$B$6:$B$527,B69,'Specialisations'!$C$6:$C$527,"Archers")</x:f>
        <x:v>0</x:v>
      </x:c>
      <x:c r="I69" s="495" t="n">
        <x:f>SUMIFS('Specialisations'!$Q$6:$Q$527,'Specialisations'!$A$6:$A$527,A69,'Specialisations'!$B$6:$B$527,B69,'Specialisations'!$C$6:$C$527,"Cavalry")</x:f>
        <x:v>0</x:v>
      </x:c>
      <x:c r="J69" s="495" t="n">
        <x:f>SUMIFS('Specialisations'!$Q$6:$Q$527,'Specialisations'!$A$6:$A$527,A69,'Specialisations'!$B$6:$B$527,B69,'Specialisations'!$C$6:$C$527,"Siege")</x:f>
        <x:v>0</x:v>
      </x:c>
      <x:c r="K69" s="495" t="n">
        <x:f>SUM(H69:J69)</x:f>
        <x:v>0</x:v>
      </x:c>
      <x:c r="L69" s="495" t="n">
        <x:f>SUM(G69,K69)</x:f>
        <x:v>0</x:v>
      </x:c>
      <x:c r="M69" s="433" t="n">
        <x:f>SUMIFS('Specialisations'!$N$6:$N$527,'Specialisations'!$A$6:$A$527,A69,'Specialisations'!$B$6:$B$527,B69,'Specialisations'!$C$6:$C$527,"Guards")</x:f>
        <x:v>0</x:v>
      </x:c>
      <x:c r="N69" s="433" t="n">
        <x:f>SUMIFS('Specialisations'!$N$6:$N$527,'Specialisations'!$A$6:$A$527,A69,'Specialisations'!$B$6:$B$527,B69,'Specialisations'!$C$6:$C$527,"&lt;&gt;Guards")</x:f>
        <x:v>0</x:v>
      </x:c>
      <x:c r="O69" s="433" t="n">
        <x:f>SUM(M69:N69)</x:f>
        <x:v>0</x:v>
      </x:c>
      <x:c r="P69" s="434" t="str">
        <x:f>IF(E69=0,"",K69/E69)</x:f>
      </x:c>
      <x:c r="Q69" s="501" t="str">
        <x:f>IF(E69=0,"",IFERROR(100*(COUNTIFS($E$19:$E$186,"&gt;0",$K$19:$K$186,"&lt;"&amp;K69)+(COUNTIFS($E$19:$E$186,"&gt;0",$K$19:$K$186,K69)-1)/2)/(COUNTIF($E$19:$E$186,"&gt;0")-1),50))</x:f>
      </x:c>
      <x:c r="R69" s="501" t="str">
        <x:f>IF(E69=0,"",IFERROR(100*(COUNTIFS($E$19:$E$186,"&gt;0",$N$19:$N$186,"&lt;"&amp;N69)+(COUNTIFS($E$19:$E$186,"&gt;0",$N$19:$N$186,N69)-1)/2)/(COUNTIF($E$19:$E$186,"&gt;0")-1),50))</x:f>
      </x:c>
      <x:c r="S69" s="501" t="str">
        <x:f>IF(E69=0,"",Q69*$R$5+R69*$R$6)</x:f>
      </x:c>
      <x:c r="T69" s="501" t="str">
        <x:f>IF(M69=0,"",IFERROR(100*(COUNTIFS($M$19:$M$186,"&gt;0",$G$19:$G$186,"&gt;"&amp;G69)+(COUNTIFS($M$19:$M$186,"&gt;0",$G$19:$G$186,G69)-1)/2)/(COUNTIF($M$19:$M$186,"&gt;0")-1),50))</x:f>
      </x:c>
      <x:c r="U69" s="501" t="str">
        <x:f>IF(M69=0,"",IFERROR(100*(COUNTIFS($M$19:$M$186,"&gt;0",$M$19:$M$186,"&lt;"&amp;M69)+(COUNTIFS($M$19:$M$186,"&gt;0",$M$19:$M$186,M69)-1)/2)/(COUNTIF($M$19:$M$186,"&gt;0")-1),50))</x:f>
      </x:c>
      <x:c r="V69" s="501" t="str">
        <x:f>IF(M69=0,"",T69*$R$5+U69*$R$6)</x:f>
      </x:c>
      <x:c r="W69" s="431" t="str">
        <x:f>IF(E69=0,"",COUNTIFS($A$19:$A$186,A69,$S$19:$S$186,"&gt;"&amp;S69)+COUNTIFS($A$19:A69,A69,$E$19:E69,"&gt;0",$S$19:S69,S69))</x:f>
      </x:c>
      <x:c r="X69" s="431" t="str">
        <x:f>IF(S69="","",1+COUNTIF($S$19:$S$186,"&gt;"&amp;S69))</x:f>
      </x:c>
      <x:c r="Y69" s="431" t="str">
        <x:f>IF(V69="","",1+COUNTIFS($A$19:$A$186,A69,$V$19:$V$186,"&gt;"&amp;V69))</x:f>
      </x:c>
      <x:c r="Z69" s="431" t="str">
        <x:f>IF(V69="","",1+COUNTIF($V$19:$V$186,"&gt;"&amp;V69))</x:f>
      </x:c>
      <x:c r="AA69" s="430" t="str">
        <x:f>IF(C69=0,"No specialisations recorded",IF(D69&lt;C69,"Review missing level","Recorded skills only"))</x:f>
        <x:v>No specialisations recorded</x:v>
      </x:c>
      <x:c r="AB69" s="601" t="str">
        <x:f>IF(OR(AP69&lt;&gt;"Yes",E69=0),"",IFERROR(100*(COUNTIFS($AP$19:$AP$186,"Yes",$E$19:$E$186,"&gt;0",$I$19:$I$186,"&lt;"&amp;I69)+(COUNTIFS($AP$19:$AP$186,"Yes",$E$19:$E$186,"&gt;0",$I$19:$I$186,I69)-1)/2)/(COUNTIFS($AP$19:$AP$186,"Yes",$E$19:$E$186,"&gt;0")-1),50))</x:f>
      </x:c>
      <x:c r="AC69" s="601" t="str">
        <x:f>IF(AB69="","",AB69*'Specialisation Rankings'!$O$16+R69*'Specialisation Rankings'!$O$17)</x:f>
      </x:c>
      <x:c r="AD69" s="601" t="str">
        <x:f>IF(AC69="","",COUNTIFS($A$19:$A$186,A69,$AP$19:$AP$186,"Yes",$E$19:$E$186,"&gt;0",$AC$19:$AC$186,"&gt;"&amp;AC69)+COUNTIFS($A$19:A69,A69,$AP$19:AP69,"Yes",$E$19:E69,"&gt;0",$AC$19:AC69,AC69))</x:f>
      </x:c>
      <x:c r="AE69" s="601" t="str">
        <x:f>IF(OR(AP69&lt;&gt;"Yes",E69=0),"",IFERROR(100*(COUNTIFS($AP$19:$AP$186,"Yes",$E$19:$E$186,"&gt;0",$H$19:$H$186,"&lt;"&amp;H69)+(COUNTIFS($AP$19:$AP$186,"Yes",$E$19:$E$186,"&gt;0",$H$19:$H$186,H69)-1)/2)/(COUNTIFS($AP$19:$AP$186,"Yes",$E$19:$E$186,"&gt;0")-1),50))</x:f>
      </x:c>
      <x:c r="AF69" s="601" t="str">
        <x:f>IF(AE69="","",AE69*'Specialisation Rankings'!$O$16+R69*'Specialisation Rankings'!$O$17)</x:f>
      </x:c>
      <x:c r="AG69" s="601" t="str">
        <x:f>IF(AF69="","",COUNTIFS($A$19:$A$186,A69,$AP$19:$AP$186,"Yes",$E$19:$E$186,"&gt;0",$AF$19:$AF$186,"&gt;"&amp;AF69)+COUNTIFS($A$19:A69,A69,$AP$19:AP69,"Yes",$E$19:E69,"&gt;0",$AF$19:AF69,AF69))</x:f>
      </x:c>
      <x:c r="AH69" s="601" t="str">
        <x:f>IF(OR(AP69&lt;&gt;"Yes",E69=0),"",IFERROR(100*(COUNTIFS($AP$19:$AP$186,"Yes",$E$19:$E$186,"&gt;0",$J$19:$J$186,"&lt;"&amp;J69)+(COUNTIFS($AP$19:$AP$186,"Yes",$E$19:$E$186,"&gt;0",$J$19:$J$186,J69)-1)/2)/(COUNTIFS($AP$19:$AP$186,"Yes",$E$19:$E$186,"&gt;0")-1),50))</x:f>
      </x:c>
      <x:c r="AI69" s="601" t="str">
        <x:f>IF(AH69="","",AH69*'Specialisation Rankings'!$O$16+R69*'Specialisation Rankings'!$O$17)</x:f>
      </x:c>
      <x:c r="AJ69" s="601" t="str">
        <x:f>IF(AI69="","",COUNTIFS($A$19:$A$186,A69,$AP$19:$AP$186,"Yes",$E$19:$E$186,"&gt;0",$AI$19:$AI$186,"&gt;"&amp;AI69)+COUNTIFS($A$19:A69,A69,$AP$19:AP69,"Yes",$E$19:E69,"&gt;0",$AI$19:AI69,AI69))</x:f>
      </x:c>
      <x:c r="AK69" s="601" t="str">
        <x:f>IF(OR(AP69&lt;&gt;"Yes",E69=0),"",IF(M69=0,'Specialisation Rankings'!$O$23,V69))</x:f>
      </x:c>
      <x:c r="AL69" s="601" t="str">
        <x:f>IF(AK69="","",COUNTIFS($A$19:$A$186,A69,$AP$19:$AP$186,"Yes",$E$19:$E$186,"&gt;0",$AK$19:$AK$186,"&gt;"&amp;AK69)+COUNTIFS($A$19:A69,A69,$AP$19:AP69,"Yes",$E$19:E69,"&gt;0",$AK$19:AK69,AK69))</x:f>
      </x:c>
      <x:c r="AM69" s="601" t="str">
        <x:f>IF(AC69="","",AC69*'Specialisation Rankings'!$O$18+AF69*'Specialisation Rankings'!$O$19+AI69*'Specialisation Rankings'!$O$20+AK69*'Specialisation Rankings'!$O$21)</x:f>
      </x:c>
      <x:c r="AN69" s="601" t="str">
        <x:f>IF(AM69="","",COUNTIFS($A$19:$A$186,A69,$AP$19:$AP$186,"Yes",$E$19:$E$186,"&gt;0",$AM$19:$AM$186,"&gt;"&amp;AM69)+COUNTIFS($A$19:A69,A69,$AP$19:AP69,"Yes",$E$19:E69,"&gt;0",$AM$19:AM69,AM69))</x:f>
      </x:c>
      <x:c r="AO69" s="601" t="str">
        <x:f>IF(AM69="","",COUNTIFS($AP$19:$AP$186,"Yes",$E$19:$E$186,"&gt;0",$AM$19:$AM$186,"&gt;"&amp;AM69)+COUNTIFS($AP$19:AP69,"Yes",$E$19:E69,"&gt;0",$AM$19:AM69,AM69))</x:f>
      </x:c>
      <x:c r="AP69" s="602" t="str">
        <x:f>IF(COUNTIFS('Player Scenario Model'!$A$6:$A$172,A69,'Player Scenario Model'!$B$6:$B$172,B69)&gt;0,"Yes","No")</x:f>
        <x:v>Yes</x:v>
      </x:c>
    </x:row>
    <x:row r="70" ht="24" customHeight="1">
      <x:c r="A70" s="430" t="str">
        <x:v>K116</x:v>
      </x:c>
      <x:c r="B70" s="430" t="str">
        <x:v>山君</x:v>
      </x:c>
      <x:c r="C70" s="431" t="n">
        <x:f>COUNTIFS('Specialisations'!$A$6:$A$527,A70,'Specialisations'!$B$6:$B$527,B70)</x:f>
        <x:v>0</x:v>
      </x:c>
      <x:c r="D70" s="431" t="n">
        <x:f>COUNTIFS('Specialisations'!$A$6:$A$527,A70,'Specialisations'!$B$6:$B$527,B70,'Specialisations'!$P$6:$P$527,"OK")</x:f>
        <x:v>0</x:v>
      </x:c>
      <x:c r="E70" s="431" t="n">
        <x:f>COUNTIFS('Specialisations'!$A$6:$A$527,A70,'Specialisations'!$B$6:$B$527,B70,'Specialisations'!$P$6:$P$527,"OK",'Specialisations'!$C$6:$C$527,"&lt;&gt;Guards")</x:f>
        <x:v>0</x:v>
      </x:c>
      <x:c r="F70" s="432" t="str">
        <x:f>IF(C70=0,"",D70/C70)</x:f>
      </x:c>
      <x:c r="G70" s="495" t="n">
        <x:f>SUMIFS('Specialisations'!$Q$6:$Q$527,'Specialisations'!$A$6:$A$527,A70,'Specialisations'!$B$6:$B$527,B70,'Specialisations'!$C$6:$C$527,"Guards")</x:f>
        <x:v>0</x:v>
      </x:c>
      <x:c r="H70" s="495" t="n">
        <x:f>SUMIFS('Specialisations'!$Q$6:$Q$527,'Specialisations'!$A$6:$A$527,A70,'Specialisations'!$B$6:$B$527,B70,'Specialisations'!$C$6:$C$527,"Archers")</x:f>
        <x:v>0</x:v>
      </x:c>
      <x:c r="I70" s="495" t="n">
        <x:f>SUMIFS('Specialisations'!$Q$6:$Q$527,'Specialisations'!$A$6:$A$527,A70,'Specialisations'!$B$6:$B$527,B70,'Specialisations'!$C$6:$C$527,"Cavalry")</x:f>
        <x:v>0</x:v>
      </x:c>
      <x:c r="J70" s="495" t="n">
        <x:f>SUMIFS('Specialisations'!$Q$6:$Q$527,'Specialisations'!$A$6:$A$527,A70,'Specialisations'!$B$6:$B$527,B70,'Specialisations'!$C$6:$C$527,"Siege")</x:f>
        <x:v>0</x:v>
      </x:c>
      <x:c r="K70" s="495" t="n">
        <x:f>SUM(H70:J70)</x:f>
        <x:v>0</x:v>
      </x:c>
      <x:c r="L70" s="495" t="n">
        <x:f>SUM(G70,K70)</x:f>
        <x:v>0</x:v>
      </x:c>
      <x:c r="M70" s="433" t="n">
        <x:f>SUMIFS('Specialisations'!$N$6:$N$527,'Specialisations'!$A$6:$A$527,A70,'Specialisations'!$B$6:$B$527,B70,'Specialisations'!$C$6:$C$527,"Guards")</x:f>
        <x:v>0</x:v>
      </x:c>
      <x:c r="N70" s="433" t="n">
        <x:f>SUMIFS('Specialisations'!$N$6:$N$527,'Specialisations'!$A$6:$A$527,A70,'Specialisations'!$B$6:$B$527,B70,'Specialisations'!$C$6:$C$527,"&lt;&gt;Guards")</x:f>
        <x:v>0</x:v>
      </x:c>
      <x:c r="O70" s="433" t="n">
        <x:f>SUM(M70:N70)</x:f>
        <x:v>0</x:v>
      </x:c>
      <x:c r="P70" s="434" t="str">
        <x:f>IF(E70=0,"",K70/E70)</x:f>
      </x:c>
      <x:c r="Q70" s="501" t="str">
        <x:f>IF(E70=0,"",IFERROR(100*(COUNTIFS($E$19:$E$186,"&gt;0",$K$19:$K$186,"&lt;"&amp;K70)+(COUNTIFS($E$19:$E$186,"&gt;0",$K$19:$K$186,K70)-1)/2)/(COUNTIF($E$19:$E$186,"&gt;0")-1),50))</x:f>
      </x:c>
      <x:c r="R70" s="501" t="str">
        <x:f>IF(E70=0,"",IFERROR(100*(COUNTIFS($E$19:$E$186,"&gt;0",$N$19:$N$186,"&lt;"&amp;N70)+(COUNTIFS($E$19:$E$186,"&gt;0",$N$19:$N$186,N70)-1)/2)/(COUNTIF($E$19:$E$186,"&gt;0")-1),50))</x:f>
      </x:c>
      <x:c r="S70" s="501" t="str">
        <x:f>IF(E70=0,"",Q70*$R$5+R70*$R$6)</x:f>
      </x:c>
      <x:c r="T70" s="501" t="str">
        <x:f>IF(M70=0,"",IFERROR(100*(COUNTIFS($M$19:$M$186,"&gt;0",$G$19:$G$186,"&gt;"&amp;G70)+(COUNTIFS($M$19:$M$186,"&gt;0",$G$19:$G$186,G70)-1)/2)/(COUNTIF($M$19:$M$186,"&gt;0")-1),50))</x:f>
      </x:c>
      <x:c r="U70" s="501" t="str">
        <x:f>IF(M70=0,"",IFERROR(100*(COUNTIFS($M$19:$M$186,"&gt;0",$M$19:$M$186,"&lt;"&amp;M70)+(COUNTIFS($M$19:$M$186,"&gt;0",$M$19:$M$186,M70)-1)/2)/(COUNTIF($M$19:$M$186,"&gt;0")-1),50))</x:f>
      </x:c>
      <x:c r="V70" s="501" t="str">
        <x:f>IF(M70=0,"",T70*$R$5+U70*$R$6)</x:f>
      </x:c>
      <x:c r="W70" s="431" t="str">
        <x:f>IF(E70=0,"",COUNTIFS($A$19:$A$186,A70,$S$19:$S$186,"&gt;"&amp;S70)+COUNTIFS($A$19:A70,A70,$E$19:E70,"&gt;0",$S$19:S70,S70))</x:f>
      </x:c>
      <x:c r="X70" s="431" t="str">
        <x:f>IF(S70="","",1+COUNTIF($S$19:$S$186,"&gt;"&amp;S70))</x:f>
      </x:c>
      <x:c r="Y70" s="431" t="str">
        <x:f>IF(V70="","",1+COUNTIFS($A$19:$A$186,A70,$V$19:$V$186,"&gt;"&amp;V70))</x:f>
      </x:c>
      <x:c r="Z70" s="431" t="str">
        <x:f>IF(V70="","",1+COUNTIF($V$19:$V$186,"&gt;"&amp;V70))</x:f>
      </x:c>
      <x:c r="AA70" s="430" t="str">
        <x:f>IF(C70=0,"No specialisations recorded",IF(D70&lt;C70,"Review missing level","Recorded skills only"))</x:f>
        <x:v>No specialisations recorded</x:v>
      </x:c>
      <x:c r="AB70" s="601" t="str">
        <x:f>IF(OR(AP70&lt;&gt;"Yes",E70=0),"",IFERROR(100*(COUNTIFS($AP$19:$AP$186,"Yes",$E$19:$E$186,"&gt;0",$I$19:$I$186,"&lt;"&amp;I70)+(COUNTIFS($AP$19:$AP$186,"Yes",$E$19:$E$186,"&gt;0",$I$19:$I$186,I70)-1)/2)/(COUNTIFS($AP$19:$AP$186,"Yes",$E$19:$E$186,"&gt;0")-1),50))</x:f>
      </x:c>
      <x:c r="AC70" s="601" t="str">
        <x:f>IF(AB70="","",AB70*'Specialisation Rankings'!$O$16+R70*'Specialisation Rankings'!$O$17)</x:f>
      </x:c>
      <x:c r="AD70" s="601" t="str">
        <x:f>IF(AC70="","",COUNTIFS($A$19:$A$186,A70,$AP$19:$AP$186,"Yes",$E$19:$E$186,"&gt;0",$AC$19:$AC$186,"&gt;"&amp;AC70)+COUNTIFS($A$19:A70,A70,$AP$19:AP70,"Yes",$E$19:E70,"&gt;0",$AC$19:AC70,AC70))</x:f>
      </x:c>
      <x:c r="AE70" s="601" t="str">
        <x:f>IF(OR(AP70&lt;&gt;"Yes",E70=0),"",IFERROR(100*(COUNTIFS($AP$19:$AP$186,"Yes",$E$19:$E$186,"&gt;0",$H$19:$H$186,"&lt;"&amp;H70)+(COUNTIFS($AP$19:$AP$186,"Yes",$E$19:$E$186,"&gt;0",$H$19:$H$186,H70)-1)/2)/(COUNTIFS($AP$19:$AP$186,"Yes",$E$19:$E$186,"&gt;0")-1),50))</x:f>
      </x:c>
      <x:c r="AF70" s="601" t="str">
        <x:f>IF(AE70="","",AE70*'Specialisation Rankings'!$O$16+R70*'Specialisation Rankings'!$O$17)</x:f>
      </x:c>
      <x:c r="AG70" s="601" t="str">
        <x:f>IF(AF70="","",COUNTIFS($A$19:$A$186,A70,$AP$19:$AP$186,"Yes",$E$19:$E$186,"&gt;0",$AF$19:$AF$186,"&gt;"&amp;AF70)+COUNTIFS($A$19:A70,A70,$AP$19:AP70,"Yes",$E$19:E70,"&gt;0",$AF$19:AF70,AF70))</x:f>
      </x:c>
      <x:c r="AH70" s="601" t="str">
        <x:f>IF(OR(AP70&lt;&gt;"Yes",E70=0),"",IFERROR(100*(COUNTIFS($AP$19:$AP$186,"Yes",$E$19:$E$186,"&gt;0",$J$19:$J$186,"&lt;"&amp;J70)+(COUNTIFS($AP$19:$AP$186,"Yes",$E$19:$E$186,"&gt;0",$J$19:$J$186,J70)-1)/2)/(COUNTIFS($AP$19:$AP$186,"Yes",$E$19:$E$186,"&gt;0")-1),50))</x:f>
      </x:c>
      <x:c r="AI70" s="601" t="str">
        <x:f>IF(AH70="","",AH70*'Specialisation Rankings'!$O$16+R70*'Specialisation Rankings'!$O$17)</x:f>
      </x:c>
      <x:c r="AJ70" s="601" t="str">
        <x:f>IF(AI70="","",COUNTIFS($A$19:$A$186,A70,$AP$19:$AP$186,"Yes",$E$19:$E$186,"&gt;0",$AI$19:$AI$186,"&gt;"&amp;AI70)+COUNTIFS($A$19:A70,A70,$AP$19:AP70,"Yes",$E$19:E70,"&gt;0",$AI$19:AI70,AI70))</x:f>
      </x:c>
      <x:c r="AK70" s="601" t="str">
        <x:f>IF(OR(AP70&lt;&gt;"Yes",E70=0),"",IF(M70=0,'Specialisation Rankings'!$O$23,V70))</x:f>
      </x:c>
      <x:c r="AL70" s="601" t="str">
        <x:f>IF(AK70="","",COUNTIFS($A$19:$A$186,A70,$AP$19:$AP$186,"Yes",$E$19:$E$186,"&gt;0",$AK$19:$AK$186,"&gt;"&amp;AK70)+COUNTIFS($A$19:A70,A70,$AP$19:AP70,"Yes",$E$19:E70,"&gt;0",$AK$19:AK70,AK70))</x:f>
      </x:c>
      <x:c r="AM70" s="601" t="str">
        <x:f>IF(AC70="","",AC70*'Specialisation Rankings'!$O$18+AF70*'Specialisation Rankings'!$O$19+AI70*'Specialisation Rankings'!$O$20+AK70*'Specialisation Rankings'!$O$21)</x:f>
      </x:c>
      <x:c r="AN70" s="601" t="str">
        <x:f>IF(AM70="","",COUNTIFS($A$19:$A$186,A70,$AP$19:$AP$186,"Yes",$E$19:$E$186,"&gt;0",$AM$19:$AM$186,"&gt;"&amp;AM70)+COUNTIFS($A$19:A70,A70,$AP$19:AP70,"Yes",$E$19:E70,"&gt;0",$AM$19:AM70,AM70))</x:f>
      </x:c>
      <x:c r="AO70" s="601" t="str">
        <x:f>IF(AM70="","",COUNTIFS($AP$19:$AP$186,"Yes",$E$19:$E$186,"&gt;0",$AM$19:$AM$186,"&gt;"&amp;AM70)+COUNTIFS($AP$19:AP70,"Yes",$E$19:E70,"&gt;0",$AM$19:AM70,AM70))</x:f>
      </x:c>
      <x:c r="AP70" s="602" t="str">
        <x:f>IF(COUNTIFS('Player Scenario Model'!$A$6:$A$172,A70,'Player Scenario Model'!$B$6:$B$172,B70)&gt;0,"Yes","No")</x:f>
        <x:v>Yes</x:v>
      </x:c>
    </x:row>
    <x:row r="71" ht="24" customHeight="1">
      <x:c r="A71" s="430" t="str">
        <x:v>K116</x:v>
      </x:c>
      <x:c r="B71" s="430" t="str">
        <x:v>汰需尚青</x:v>
      </x:c>
      <x:c r="C71" s="431" t="n">
        <x:f>COUNTIFS('Specialisations'!$A$6:$A$527,A71,'Specialisations'!$B$6:$B$527,B71)</x:f>
        <x:v>1</x:v>
      </x:c>
      <x:c r="D71" s="431" t="n">
        <x:f>COUNTIFS('Specialisations'!$A$6:$A$527,A71,'Specialisations'!$B$6:$B$527,B71,'Specialisations'!$P$6:$P$527,"OK")</x:f>
        <x:v>1</x:v>
      </x:c>
      <x:c r="E71" s="431" t="n">
        <x:f>COUNTIFS('Specialisations'!$A$6:$A$527,A71,'Specialisations'!$B$6:$B$527,B71,'Specialisations'!$P$6:$P$527,"OK",'Specialisations'!$C$6:$C$527,"&lt;&gt;Guards")</x:f>
        <x:v>1</x:v>
      </x:c>
      <x:c r="F71" s="432" t="n">
        <x:f>IF(C71=0,"",D71/C71)</x:f>
        <x:v>1</x:v>
      </x:c>
      <x:c r="G71" s="495" t="n">
        <x:f>SUMIFS('Specialisations'!$Q$6:$Q$527,'Specialisations'!$A$6:$A$527,A71,'Specialisations'!$B$6:$B$527,B71,'Specialisations'!$C$6:$C$527,"Guards")</x:f>
        <x:v>0</x:v>
      </x:c>
      <x:c r="H71" s="495" t="n">
        <x:f>SUMIFS('Specialisations'!$Q$6:$Q$527,'Specialisations'!$A$6:$A$527,A71,'Specialisations'!$B$6:$B$527,B71,'Specialisations'!$C$6:$C$527,"Archers")</x:f>
        <x:v>0</x:v>
      </x:c>
      <x:c r="I71" s="495" t="n">
        <x:f>SUMIFS('Specialisations'!$Q$6:$Q$527,'Specialisations'!$A$6:$A$527,A71,'Specialisations'!$B$6:$B$527,B71,'Specialisations'!$C$6:$C$527,"Cavalry")</x:f>
        <x:v>60</x:v>
      </x:c>
      <x:c r="J71" s="495" t="n">
        <x:f>SUMIFS('Specialisations'!$Q$6:$Q$527,'Specialisations'!$A$6:$A$527,A71,'Specialisations'!$B$6:$B$527,B71,'Specialisations'!$C$6:$C$527,"Siege")</x:f>
        <x:v>0</x:v>
      </x:c>
      <x:c r="K71" s="495" t="n">
        <x:f>SUM(H71:J71)</x:f>
        <x:v>60</x:v>
      </x:c>
      <x:c r="L71" s="495" t="n">
        <x:f>SUM(G71,K71)</x:f>
        <x:v>60</x:v>
      </x:c>
      <x:c r="M71" s="433" t="n">
        <x:f>SUMIFS('Specialisations'!$N$6:$N$527,'Specialisations'!$A$6:$A$527,A71,'Specialisations'!$B$6:$B$527,B71,'Specialisations'!$C$6:$C$527,"Guards")</x:f>
        <x:v>0</x:v>
      </x:c>
      <x:c r="N71" s="433" t="n">
        <x:f>SUMIFS('Specialisations'!$N$6:$N$527,'Specialisations'!$A$6:$A$527,A71,'Specialisations'!$B$6:$B$527,B71,'Specialisations'!$C$6:$C$527,"&lt;&gt;Guards")</x:f>
        <x:v>10334300</x:v>
      </x:c>
      <x:c r="O71" s="433" t="n">
        <x:f>SUM(M71:N71)</x:f>
        <x:v>10334300</x:v>
      </x:c>
      <x:c r="P71" s="434" t="n">
        <x:f>IF(E71=0,"",K71/E71)</x:f>
        <x:v>60</x:v>
      </x:c>
      <x:c r="Q71" s="501" t="n">
        <x:f>IF(E71=0,"",IFERROR(100*(COUNTIFS($E$19:$E$186,"&gt;0",$K$19:$K$186,"&lt;"&amp;K71)+(COUNTIFS($E$19:$E$186,"&gt;0",$K$19:$K$186,K71)-1)/2)/(COUNTIF($E$19:$E$186,"&gt;0")-1),50))</x:f>
        <x:v>24.675324675324674</x:v>
      </x:c>
      <x:c r="R71" s="501" t="n">
        <x:f>IF(E71=0,"",IFERROR(100*(COUNTIFS($E$19:$E$186,"&gt;0",$N$19:$N$186,"&lt;"&amp;N71)+(COUNTIFS($E$19:$E$186,"&gt;0",$N$19:$N$186,N71)-1)/2)/(COUNTIF($E$19:$E$186,"&gt;0")-1),50))</x:f>
        <x:v>48.701298701298704</x:v>
      </x:c>
      <x:c r="S71" s="501" t="n">
        <x:f>IF(E71=0,"",Q71*$R$5+R71*$R$6)</x:f>
        <x:v>29.48051948051948</x:v>
      </x:c>
      <x:c r="T71" s="501" t="str">
        <x:f>IF(M71=0,"",IFERROR(100*(COUNTIFS($M$19:$M$186,"&gt;0",$G$19:$G$186,"&gt;"&amp;G71)+(COUNTIFS($M$19:$M$186,"&gt;0",$G$19:$G$186,G71)-1)/2)/(COUNTIF($M$19:$M$186,"&gt;0")-1),50))</x:f>
      </x:c>
      <x:c r="U71" s="501" t="str">
        <x:f>IF(M71=0,"",IFERROR(100*(COUNTIFS($M$19:$M$186,"&gt;0",$M$19:$M$186,"&lt;"&amp;M71)+(COUNTIFS($M$19:$M$186,"&gt;0",$M$19:$M$186,M71)-1)/2)/(COUNTIF($M$19:$M$186,"&gt;0")-1),50))</x:f>
      </x:c>
      <x:c r="V71" s="501" t="str">
        <x:f>IF(M71=0,"",T71*$R$5+U71*$R$6)</x:f>
      </x:c>
      <x:c r="W71" s="431" t="n">
        <x:f>IF(E71=0,"",COUNTIFS($A$19:$A$186,A71,$S$19:$S$186,"&gt;"&amp;S71)+COUNTIFS($A$19:A71,A71,$E$19:E71,"&gt;0",$S$19:S71,S71))</x:f>
        <x:v>8</x:v>
      </x:c>
      <x:c r="X71" s="431" t="n">
        <x:f>IF(S71="","",1+COUNTIF($S$19:$S$186,"&gt;"&amp;S71))</x:f>
        <x:v>106</x:v>
      </x:c>
      <x:c r="Y71" s="431" t="str">
        <x:f>IF(V71="","",1+COUNTIFS($A$19:$A$186,A71,$V$19:$V$186,"&gt;"&amp;V71))</x:f>
      </x:c>
      <x:c r="Z71" s="431" t="str">
        <x:f>IF(V71="","",1+COUNTIF($V$19:$V$186,"&gt;"&amp;V71))</x:f>
      </x:c>
      <x:c r="AA71" s="430" t="str">
        <x:f>IF(C71=0,"No specialisations recorded",IF(D71&lt;C71,"Review missing level","Recorded skills only"))</x:f>
        <x:v>Recorded skills only</x:v>
      </x:c>
      <x:c r="AB71" s="601" t="n">
        <x:f>IF(OR(AP71&lt;&gt;"Yes",E71=0),"",IFERROR(100*(COUNTIFS($AP$19:$AP$186,"Yes",$E$19:$E$186,"&gt;0",$I$19:$I$186,"&lt;"&amp;I71)+(COUNTIFS($AP$19:$AP$186,"Yes",$E$19:$E$186,"&gt;0",$I$19:$I$186,I71)-1)/2)/(COUNTIFS($AP$19:$AP$186,"Yes",$E$19:$E$186,"&gt;0")-1),50))</x:f>
        <x:v>48.701298701298704</x:v>
      </x:c>
      <x:c r="AC71" s="601" t="n">
        <x:f>IF(AB71="","",AB71*'Specialisation Rankings'!$O$16+R71*'Specialisation Rankings'!$O$17)</x:f>
        <x:v>48.70129870129871</x:v>
      </x:c>
      <x:c r="AD71" s="601" t="n">
        <x:f>IF(AC71="","",COUNTIFS($A$19:$A$186,A71,$AP$19:$AP$186,"Yes",$E$19:$E$186,"&gt;0",$AC$19:$AC$186,"&gt;"&amp;AC71)+COUNTIFS($A$19:A71,A71,$AP$19:AP71,"Yes",$E$19:E71,"&gt;0",$AC$19:AC71,AC71))</x:f>
        <x:v>5</x:v>
      </x:c>
      <x:c r="AE71" s="601" t="n">
        <x:f>IF(OR(AP71&lt;&gt;"Yes",E71=0),"",IFERROR(100*(COUNTIFS($AP$19:$AP$186,"Yes",$E$19:$E$186,"&gt;0",$H$19:$H$186,"&lt;"&amp;H71)+(COUNTIFS($AP$19:$AP$186,"Yes",$E$19:$E$186,"&gt;0",$H$19:$H$186,H71)-1)/2)/(COUNTIFS($AP$19:$AP$186,"Yes",$E$19:$E$186,"&gt;0")-1),50))</x:f>
        <x:v>11.688311688311689</x:v>
      </x:c>
      <x:c r="AF71" s="601" t="n">
        <x:f>IF(AE71="","",AE71*'Specialisation Rankings'!$O$16+R71*'Specialisation Rankings'!$O$17)</x:f>
        <x:v>19.090909090909093</x:v>
      </x:c>
      <x:c r="AG71" s="601" t="n">
        <x:f>IF(AF71="","",COUNTIFS($A$19:$A$186,A71,$AP$19:$AP$186,"Yes",$E$19:$E$186,"&gt;0",$AF$19:$AF$186,"&gt;"&amp;AF71)+COUNTIFS($A$19:A71,A71,$AP$19:AP71,"Yes",$E$19:E71,"&gt;0",$AF$19:AF71,AF71))</x:f>
        <x:v>10</x:v>
      </x:c>
      <x:c r="AH71" s="601" t="n">
        <x:f>IF(OR(AP71&lt;&gt;"Yes",E71=0),"",IFERROR(100*(COUNTIFS($AP$19:$AP$186,"Yes",$E$19:$E$186,"&gt;0",$J$19:$J$186,"&lt;"&amp;J71)+(COUNTIFS($AP$19:$AP$186,"Yes",$E$19:$E$186,"&gt;0",$J$19:$J$186,J71)-1)/2)/(COUNTIFS($AP$19:$AP$186,"Yes",$E$19:$E$186,"&gt;0")-1),50))</x:f>
        <x:v>33.116883116883116</x:v>
      </x:c>
      <x:c r="AI71" s="601" t="n">
        <x:f>IF(AH71="","",AH71*'Specialisation Rankings'!$O$16+R71*'Specialisation Rankings'!$O$17)</x:f>
        <x:v>36.23376623376623</x:v>
      </x:c>
      <x:c r="AJ71" s="601" t="n">
        <x:f>IF(AI71="","",COUNTIFS($A$19:$A$186,A71,$AP$19:$AP$186,"Yes",$E$19:$E$186,"&gt;0",$AI$19:$AI$186,"&gt;"&amp;AI71)+COUNTIFS($A$19:A71,A71,$AP$19:AP71,"Yes",$E$19:E71,"&gt;0",$AI$19:AI71,AI71))</x:f>
        <x:v>5</x:v>
      </x:c>
      <x:c r="AK71" s="601" t="n">
        <x:f>IF(OR(AP71&lt;&gt;"Yes",E71=0),"",IF(M71=0,'Specialisation Rankings'!$O$23,V71))</x:f>
        <x:v>50</x:v>
      </x:c>
      <x:c r="AL71" s="601" t="n">
        <x:f>IF(AK71="","",COUNTIFS($A$19:$A$186,A71,$AP$19:$AP$186,"Yes",$E$19:$E$186,"&gt;0",$AK$19:$AK$186,"&gt;"&amp;AK71)+COUNTIFS($A$19:A71,A71,$AP$19:AP71,"Yes",$E$19:E71,"&gt;0",$AK$19:AK71,AK71))</x:f>
        <x:v>11</x:v>
      </x:c>
      <x:c r="AM71" s="601" t="n">
        <x:f>IF(AC71="","",AC71*'Specialisation Rankings'!$O$18+AF71*'Specialisation Rankings'!$O$19+AI71*'Specialisation Rankings'!$O$20+AK71*'Specialisation Rankings'!$O$21)</x:f>
        <x:v>44.00000000000001</x:v>
      </x:c>
      <x:c r="AN71" s="601" t="n">
        <x:f>IF(AM71="","",COUNTIFS($A$19:$A$186,A71,$AP$19:$AP$186,"Yes",$E$19:$E$186,"&gt;0",$AM$19:$AM$186,"&gt;"&amp;AM71)+COUNTIFS($A$19:A71,A71,$AP$19:AP71,"Yes",$E$19:E71,"&gt;0",$AM$19:AM71,AM71))</x:f>
        <x:v>7</x:v>
      </x:c>
      <x:c r="AO71" s="601" t="n">
        <x:f>IF(AM71="","",COUNTIFS($AP$19:$AP$186,"Yes",$E$19:$E$186,"&gt;0",$AM$19:$AM$186,"&gt;"&amp;AM71)+COUNTIFS($AP$19:AP71,"Yes",$E$19:E71,"&gt;0",$AM$19:AM71,AM71))</x:f>
        <x:v>87</x:v>
      </x:c>
      <x:c r="AP71" s="602" t="str">
        <x:f>IF(COUNTIFS('Player Scenario Model'!$A$6:$A$172,A71,'Player Scenario Model'!$B$6:$B$172,B71)&gt;0,"Yes","No")</x:f>
        <x:v>Yes</x:v>
      </x:c>
    </x:row>
    <x:row r="72" ht="24" customHeight="1">
      <x:c r="A72" s="430" t="str">
        <x:v>K116</x:v>
      </x:c>
      <x:c r="B72" s="430" t="str">
        <x:v>独守孤城</x:v>
      </x:c>
      <x:c r="C72" s="431" t="n">
        <x:f>COUNTIFS('Specialisations'!$A$6:$A$527,A72,'Specialisations'!$B$6:$B$527,B72)</x:f>
        <x:v>0</x:v>
      </x:c>
      <x:c r="D72" s="431" t="n">
        <x:f>COUNTIFS('Specialisations'!$A$6:$A$527,A72,'Specialisations'!$B$6:$B$527,B72,'Specialisations'!$P$6:$P$527,"OK")</x:f>
        <x:v>0</x:v>
      </x:c>
      <x:c r="E72" s="431" t="n">
        <x:f>COUNTIFS('Specialisations'!$A$6:$A$527,A72,'Specialisations'!$B$6:$B$527,B72,'Specialisations'!$P$6:$P$527,"OK",'Specialisations'!$C$6:$C$527,"&lt;&gt;Guards")</x:f>
        <x:v>0</x:v>
      </x:c>
      <x:c r="F72" s="432" t="str">
        <x:f>IF(C72=0,"",D72/C72)</x:f>
      </x:c>
      <x:c r="G72" s="495" t="n">
        <x:f>SUMIFS('Specialisations'!$Q$6:$Q$527,'Specialisations'!$A$6:$A$527,A72,'Specialisations'!$B$6:$B$527,B72,'Specialisations'!$C$6:$C$527,"Guards")</x:f>
        <x:v>0</x:v>
      </x:c>
      <x:c r="H72" s="495" t="n">
        <x:f>SUMIFS('Specialisations'!$Q$6:$Q$527,'Specialisations'!$A$6:$A$527,A72,'Specialisations'!$B$6:$B$527,B72,'Specialisations'!$C$6:$C$527,"Archers")</x:f>
        <x:v>0</x:v>
      </x:c>
      <x:c r="I72" s="495" t="n">
        <x:f>SUMIFS('Specialisations'!$Q$6:$Q$527,'Specialisations'!$A$6:$A$527,A72,'Specialisations'!$B$6:$B$527,B72,'Specialisations'!$C$6:$C$527,"Cavalry")</x:f>
        <x:v>0</x:v>
      </x:c>
      <x:c r="J72" s="495" t="n">
        <x:f>SUMIFS('Specialisations'!$Q$6:$Q$527,'Specialisations'!$A$6:$A$527,A72,'Specialisations'!$B$6:$B$527,B72,'Specialisations'!$C$6:$C$527,"Siege")</x:f>
        <x:v>0</x:v>
      </x:c>
      <x:c r="K72" s="495" t="n">
        <x:f>SUM(H72:J72)</x:f>
        <x:v>0</x:v>
      </x:c>
      <x:c r="L72" s="495" t="n">
        <x:f>SUM(G72,K72)</x:f>
        <x:v>0</x:v>
      </x:c>
      <x:c r="M72" s="433" t="n">
        <x:f>SUMIFS('Specialisations'!$N$6:$N$527,'Specialisations'!$A$6:$A$527,A72,'Specialisations'!$B$6:$B$527,B72,'Specialisations'!$C$6:$C$527,"Guards")</x:f>
        <x:v>0</x:v>
      </x:c>
      <x:c r="N72" s="433" t="n">
        <x:f>SUMIFS('Specialisations'!$N$6:$N$527,'Specialisations'!$A$6:$A$527,A72,'Specialisations'!$B$6:$B$527,B72,'Specialisations'!$C$6:$C$527,"&lt;&gt;Guards")</x:f>
        <x:v>0</x:v>
      </x:c>
      <x:c r="O72" s="433" t="n">
        <x:f>SUM(M72:N72)</x:f>
        <x:v>0</x:v>
      </x:c>
      <x:c r="P72" s="434" t="str">
        <x:f>IF(E72=0,"",K72/E72)</x:f>
      </x:c>
      <x:c r="Q72" s="501" t="str">
        <x:f>IF(E72=0,"",IFERROR(100*(COUNTIFS($E$19:$E$186,"&gt;0",$K$19:$K$186,"&lt;"&amp;K72)+(COUNTIFS($E$19:$E$186,"&gt;0",$K$19:$K$186,K72)-1)/2)/(COUNTIF($E$19:$E$186,"&gt;0")-1),50))</x:f>
      </x:c>
      <x:c r="R72" s="501" t="str">
        <x:f>IF(E72=0,"",IFERROR(100*(COUNTIFS($E$19:$E$186,"&gt;0",$N$19:$N$186,"&lt;"&amp;N72)+(COUNTIFS($E$19:$E$186,"&gt;0",$N$19:$N$186,N72)-1)/2)/(COUNTIF($E$19:$E$186,"&gt;0")-1),50))</x:f>
      </x:c>
      <x:c r="S72" s="501" t="str">
        <x:f>IF(E72=0,"",Q72*$R$5+R72*$R$6)</x:f>
      </x:c>
      <x:c r="T72" s="501" t="str">
        <x:f>IF(M72=0,"",IFERROR(100*(COUNTIFS($M$19:$M$186,"&gt;0",$G$19:$G$186,"&gt;"&amp;G72)+(COUNTIFS($M$19:$M$186,"&gt;0",$G$19:$G$186,G72)-1)/2)/(COUNTIF($M$19:$M$186,"&gt;0")-1),50))</x:f>
      </x:c>
      <x:c r="U72" s="501" t="str">
        <x:f>IF(M72=0,"",IFERROR(100*(COUNTIFS($M$19:$M$186,"&gt;0",$M$19:$M$186,"&lt;"&amp;M72)+(COUNTIFS($M$19:$M$186,"&gt;0",$M$19:$M$186,M72)-1)/2)/(COUNTIF($M$19:$M$186,"&gt;0")-1),50))</x:f>
      </x:c>
      <x:c r="V72" s="501" t="str">
        <x:f>IF(M72=0,"",T72*$R$5+U72*$R$6)</x:f>
      </x:c>
      <x:c r="W72" s="431" t="str">
        <x:f>IF(E72=0,"",COUNTIFS($A$19:$A$186,A72,$S$19:$S$186,"&gt;"&amp;S72)+COUNTIFS($A$19:A72,A72,$E$19:E72,"&gt;0",$S$19:S72,S72))</x:f>
      </x:c>
      <x:c r="X72" s="431" t="str">
        <x:f>IF(S72="","",1+COUNTIF($S$19:$S$186,"&gt;"&amp;S72))</x:f>
      </x:c>
      <x:c r="Y72" s="431" t="str">
        <x:f>IF(V72="","",1+COUNTIFS($A$19:$A$186,A72,$V$19:$V$186,"&gt;"&amp;V72))</x:f>
      </x:c>
      <x:c r="Z72" s="431" t="str">
        <x:f>IF(V72="","",1+COUNTIF($V$19:$V$186,"&gt;"&amp;V72))</x:f>
      </x:c>
      <x:c r="AA72" s="430" t="str">
        <x:f>IF(C72=0,"No specialisations recorded",IF(D72&lt;C72,"Review missing level","Recorded skills only"))</x:f>
        <x:v>No specialisations recorded</x:v>
      </x:c>
      <x:c r="AB72" s="601" t="str">
        <x:f>IF(OR(AP72&lt;&gt;"Yes",E72=0),"",IFERROR(100*(COUNTIFS($AP$19:$AP$186,"Yes",$E$19:$E$186,"&gt;0",$I$19:$I$186,"&lt;"&amp;I72)+(COUNTIFS($AP$19:$AP$186,"Yes",$E$19:$E$186,"&gt;0",$I$19:$I$186,I72)-1)/2)/(COUNTIFS($AP$19:$AP$186,"Yes",$E$19:$E$186,"&gt;0")-1),50))</x:f>
      </x:c>
      <x:c r="AC72" s="601" t="str">
        <x:f>IF(AB72="","",AB72*'Specialisation Rankings'!$O$16+R72*'Specialisation Rankings'!$O$17)</x:f>
      </x:c>
      <x:c r="AD72" s="601" t="str">
        <x:f>IF(AC72="","",COUNTIFS($A$19:$A$186,A72,$AP$19:$AP$186,"Yes",$E$19:$E$186,"&gt;0",$AC$19:$AC$186,"&gt;"&amp;AC72)+COUNTIFS($A$19:A72,A72,$AP$19:AP72,"Yes",$E$19:E72,"&gt;0",$AC$19:AC72,AC72))</x:f>
      </x:c>
      <x:c r="AE72" s="601" t="str">
        <x:f>IF(OR(AP72&lt;&gt;"Yes",E72=0),"",IFERROR(100*(COUNTIFS($AP$19:$AP$186,"Yes",$E$19:$E$186,"&gt;0",$H$19:$H$186,"&lt;"&amp;H72)+(COUNTIFS($AP$19:$AP$186,"Yes",$E$19:$E$186,"&gt;0",$H$19:$H$186,H72)-1)/2)/(COUNTIFS($AP$19:$AP$186,"Yes",$E$19:$E$186,"&gt;0")-1),50))</x:f>
      </x:c>
      <x:c r="AF72" s="601" t="str">
        <x:f>IF(AE72="","",AE72*'Specialisation Rankings'!$O$16+R72*'Specialisation Rankings'!$O$17)</x:f>
      </x:c>
      <x:c r="AG72" s="601" t="str">
        <x:f>IF(AF72="","",COUNTIFS($A$19:$A$186,A72,$AP$19:$AP$186,"Yes",$E$19:$E$186,"&gt;0",$AF$19:$AF$186,"&gt;"&amp;AF72)+COUNTIFS($A$19:A72,A72,$AP$19:AP72,"Yes",$E$19:E72,"&gt;0",$AF$19:AF72,AF72))</x:f>
      </x:c>
      <x:c r="AH72" s="601" t="str">
        <x:f>IF(OR(AP72&lt;&gt;"Yes",E72=0),"",IFERROR(100*(COUNTIFS($AP$19:$AP$186,"Yes",$E$19:$E$186,"&gt;0",$J$19:$J$186,"&lt;"&amp;J72)+(COUNTIFS($AP$19:$AP$186,"Yes",$E$19:$E$186,"&gt;0",$J$19:$J$186,J72)-1)/2)/(COUNTIFS($AP$19:$AP$186,"Yes",$E$19:$E$186,"&gt;0")-1),50))</x:f>
      </x:c>
      <x:c r="AI72" s="601" t="str">
        <x:f>IF(AH72="","",AH72*'Specialisation Rankings'!$O$16+R72*'Specialisation Rankings'!$O$17)</x:f>
      </x:c>
      <x:c r="AJ72" s="601" t="str">
        <x:f>IF(AI72="","",COUNTIFS($A$19:$A$186,A72,$AP$19:$AP$186,"Yes",$E$19:$E$186,"&gt;0",$AI$19:$AI$186,"&gt;"&amp;AI72)+COUNTIFS($A$19:A72,A72,$AP$19:AP72,"Yes",$E$19:E72,"&gt;0",$AI$19:AI72,AI72))</x:f>
      </x:c>
      <x:c r="AK72" s="601" t="str">
        <x:f>IF(OR(AP72&lt;&gt;"Yes",E72=0),"",IF(M72=0,'Specialisation Rankings'!$O$23,V72))</x:f>
      </x:c>
      <x:c r="AL72" s="601" t="str">
        <x:f>IF(AK72="","",COUNTIFS($A$19:$A$186,A72,$AP$19:$AP$186,"Yes",$E$19:$E$186,"&gt;0",$AK$19:$AK$186,"&gt;"&amp;AK72)+COUNTIFS($A$19:A72,A72,$AP$19:AP72,"Yes",$E$19:E72,"&gt;0",$AK$19:AK72,AK72))</x:f>
      </x:c>
      <x:c r="AM72" s="601" t="str">
        <x:f>IF(AC72="","",AC72*'Specialisation Rankings'!$O$18+AF72*'Specialisation Rankings'!$O$19+AI72*'Specialisation Rankings'!$O$20+AK72*'Specialisation Rankings'!$O$21)</x:f>
      </x:c>
      <x:c r="AN72" s="601" t="str">
        <x:f>IF(AM72="","",COUNTIFS($A$19:$A$186,A72,$AP$19:$AP$186,"Yes",$E$19:$E$186,"&gt;0",$AM$19:$AM$186,"&gt;"&amp;AM72)+COUNTIFS($A$19:A72,A72,$AP$19:AP72,"Yes",$E$19:E72,"&gt;0",$AM$19:AM72,AM72))</x:f>
      </x:c>
      <x:c r="AO72" s="601" t="str">
        <x:f>IF(AM72="","",COUNTIFS($AP$19:$AP$186,"Yes",$E$19:$E$186,"&gt;0",$AM$19:$AM$186,"&gt;"&amp;AM72)+COUNTIFS($AP$19:AP72,"Yes",$E$19:E72,"&gt;0",$AM$19:AM72,AM72))</x:f>
      </x:c>
      <x:c r="AP72" s="602" t="str">
        <x:f>IF(COUNTIFS('Player Scenario Model'!$A$6:$A$172,A72,'Player Scenario Model'!$B$6:$B$172,B72)&gt;0,"Yes","No")</x:f>
        <x:v>Yes</x:v>
      </x:c>
    </x:row>
    <x:row r="73" ht="24" customHeight="1">
      <x:c r="A73" s="430" t="str">
        <x:v>K116</x:v>
      </x:c>
      <x:c r="B73" s="430" t="str">
        <x:v>Yuke</x:v>
      </x:c>
      <x:c r="C73" s="431" t="n">
        <x:f>COUNTIFS('Specialisations'!$A$6:$A$527,A73,'Specialisations'!$B$6:$B$527,B73)</x:f>
        <x:v>1</x:v>
      </x:c>
      <x:c r="D73" s="431" t="n">
        <x:f>COUNTIFS('Specialisations'!$A$6:$A$527,A73,'Specialisations'!$B$6:$B$527,B73,'Specialisations'!$P$6:$P$527,"OK")</x:f>
        <x:v>1</x:v>
      </x:c>
      <x:c r="E73" s="431" t="n">
        <x:f>COUNTIFS('Specialisations'!$A$6:$A$527,A73,'Specialisations'!$B$6:$B$527,B73,'Specialisations'!$P$6:$P$527,"OK",'Specialisations'!$C$6:$C$527,"&lt;&gt;Guards")</x:f>
        <x:v>0</x:v>
      </x:c>
      <x:c r="F73" s="432" t="n">
        <x:f>IF(C73=0,"",D73/C73)</x:f>
        <x:v>1</x:v>
      </x:c>
      <x:c r="G73" s="495" t="n">
        <x:f>SUMIFS('Specialisations'!$Q$6:$Q$527,'Specialisations'!$A$6:$A$527,A73,'Specialisations'!$B$6:$B$527,B73,'Specialisations'!$C$6:$C$527,"Guards")</x:f>
        <x:v>-8.24</x:v>
      </x:c>
      <x:c r="H73" s="495" t="n">
        <x:f>SUMIFS('Specialisations'!$Q$6:$Q$527,'Specialisations'!$A$6:$A$527,A73,'Specialisations'!$B$6:$B$527,B73,'Specialisations'!$C$6:$C$527,"Archers")</x:f>
        <x:v>0</x:v>
      </x:c>
      <x:c r="I73" s="495" t="n">
        <x:f>SUMIFS('Specialisations'!$Q$6:$Q$527,'Specialisations'!$A$6:$A$527,A73,'Specialisations'!$B$6:$B$527,B73,'Specialisations'!$C$6:$C$527,"Cavalry")</x:f>
        <x:v>0</x:v>
      </x:c>
      <x:c r="J73" s="495" t="n">
        <x:f>SUMIFS('Specialisations'!$Q$6:$Q$527,'Specialisations'!$A$6:$A$527,A73,'Specialisations'!$B$6:$B$527,B73,'Specialisations'!$C$6:$C$527,"Siege")</x:f>
        <x:v>0</x:v>
      </x:c>
      <x:c r="K73" s="495" t="n">
        <x:f>SUM(H73:J73)</x:f>
        <x:v>0</x:v>
      </x:c>
      <x:c r="L73" s="495" t="n">
        <x:f>SUM(G73,K73)</x:f>
        <x:v>-8.24</x:v>
      </x:c>
      <x:c r="M73" s="433" t="n">
        <x:f>SUMIFS('Specialisations'!$N$6:$N$527,'Specialisations'!$A$6:$A$527,A73,'Specialisations'!$B$6:$B$527,B73,'Specialisations'!$C$6:$C$527,"Guards")</x:f>
        <x:v>619300</x:v>
      </x:c>
      <x:c r="N73" s="433" t="n">
        <x:f>SUMIFS('Specialisations'!$N$6:$N$527,'Specialisations'!$A$6:$A$527,A73,'Specialisations'!$B$6:$B$527,B73,'Specialisations'!$C$6:$C$527,"&lt;&gt;Guards")</x:f>
        <x:v>0</x:v>
      </x:c>
      <x:c r="O73" s="433" t="n">
        <x:f>SUM(M73:N73)</x:f>
        <x:v>619300</x:v>
      </x:c>
      <x:c r="P73" s="434" t="str">
        <x:f>IF(E73=0,"",K73/E73)</x:f>
      </x:c>
      <x:c r="Q73" s="501" t="str">
        <x:f>IF(E73=0,"",IFERROR(100*(COUNTIFS($E$19:$E$186,"&gt;0",$K$19:$K$186,"&lt;"&amp;K73)+(COUNTIFS($E$19:$E$186,"&gt;0",$K$19:$K$186,K73)-1)/2)/(COUNTIF($E$19:$E$186,"&gt;0")-1),50))</x:f>
      </x:c>
      <x:c r="R73" s="501" t="str">
        <x:f>IF(E73=0,"",IFERROR(100*(COUNTIFS($E$19:$E$186,"&gt;0",$N$19:$N$186,"&lt;"&amp;N73)+(COUNTIFS($E$19:$E$186,"&gt;0",$N$19:$N$186,N73)-1)/2)/(COUNTIF($E$19:$E$186,"&gt;0")-1),50))</x:f>
      </x:c>
      <x:c r="S73" s="501" t="str">
        <x:f>IF(E73=0,"",Q73*$R$5+R73*$R$6)</x:f>
      </x:c>
      <x:c r="T73" s="501" t="n">
        <x:f>IF(M73=0,"",IFERROR(100*(COUNTIFS($M$19:$M$186,"&gt;0",$G$19:$G$186,"&gt;"&amp;G73)+(COUNTIFS($M$19:$M$186,"&gt;0",$G$19:$G$186,G73)-1)/2)/(COUNTIF($M$19:$M$186,"&gt;0")-1),50))</x:f>
        <x:v>4.700854700854701</x:v>
      </x:c>
      <x:c r="U73" s="501" t="n">
        <x:f>IF(M73=0,"",IFERROR(100*(COUNTIFS($M$19:$M$186,"&gt;0",$M$19:$M$186,"&lt;"&amp;M73)+(COUNTIFS($M$19:$M$186,"&gt;0",$M$19:$M$186,M73)-1)/2)/(COUNTIF($M$19:$M$186,"&gt;0")-1),50))</x:f>
        <x:v>4.700854700854701</x:v>
      </x:c>
      <x:c r="V73" s="501" t="n">
        <x:f>IF(M73=0,"",T73*$R$5+U73*$R$6)</x:f>
        <x:v>4.700854700854701</x:v>
      </x:c>
      <x:c r="W73" s="431" t="str">
        <x:f>IF(E73=0,"",COUNTIFS($A$19:$A$186,A73,$S$19:$S$186,"&gt;"&amp;S73)+COUNTIFS($A$19:A73,A73,$E$19:E73,"&gt;0",$S$19:S73,S73))</x:f>
      </x:c>
      <x:c r="X73" s="431" t="str">
        <x:f>IF(S73="","",1+COUNTIF($S$19:$S$186,"&gt;"&amp;S73))</x:f>
      </x:c>
      <x:c r="Y73" s="431" t="n">
        <x:f>IF(V73="","",1+COUNTIFS($A$19:$A$186,A73,$V$19:$V$186,"&gt;"&amp;V73))</x:f>
        <x:v>14</x:v>
      </x:c>
      <x:c r="Z73" s="431" t="n">
        <x:f>IF(V73="","",1+COUNTIF($V$19:$V$186,"&gt;"&amp;V73))</x:f>
        <x:v>112</x:v>
      </x:c>
      <x:c r="AA73" s="430" t="str">
        <x:f>IF(C73=0,"No specialisations recorded",IF(D73&lt;C73,"Review missing level","Recorded skills only"))</x:f>
        <x:v>Recorded skills only</x:v>
      </x:c>
      <x:c r="AB73" s="601" t="str">
        <x:f>IF(OR(AP73&lt;&gt;"Yes",E73=0),"",IFERROR(100*(COUNTIFS($AP$19:$AP$186,"Yes",$E$19:$E$186,"&gt;0",$I$19:$I$186,"&lt;"&amp;I73)+(COUNTIFS($AP$19:$AP$186,"Yes",$E$19:$E$186,"&gt;0",$I$19:$I$186,I73)-1)/2)/(COUNTIFS($AP$19:$AP$186,"Yes",$E$19:$E$186,"&gt;0")-1),50))</x:f>
      </x:c>
      <x:c r="AC73" s="601" t="str">
        <x:f>IF(AB73="","",AB73*'Specialisation Rankings'!$O$16+R73*'Specialisation Rankings'!$O$17)</x:f>
      </x:c>
      <x:c r="AD73" s="601" t="str">
        <x:f>IF(AC73="","",COUNTIFS($A$19:$A$186,A73,$AP$19:$AP$186,"Yes",$E$19:$E$186,"&gt;0",$AC$19:$AC$186,"&gt;"&amp;AC73)+COUNTIFS($A$19:A73,A73,$AP$19:AP73,"Yes",$E$19:E73,"&gt;0",$AC$19:AC73,AC73))</x:f>
      </x:c>
      <x:c r="AE73" s="601" t="str">
        <x:f>IF(OR(AP73&lt;&gt;"Yes",E73=0),"",IFERROR(100*(COUNTIFS($AP$19:$AP$186,"Yes",$E$19:$E$186,"&gt;0",$H$19:$H$186,"&lt;"&amp;H73)+(COUNTIFS($AP$19:$AP$186,"Yes",$E$19:$E$186,"&gt;0",$H$19:$H$186,H73)-1)/2)/(COUNTIFS($AP$19:$AP$186,"Yes",$E$19:$E$186,"&gt;0")-1),50))</x:f>
      </x:c>
      <x:c r="AF73" s="601" t="str">
        <x:f>IF(AE73="","",AE73*'Specialisation Rankings'!$O$16+R73*'Specialisation Rankings'!$O$17)</x:f>
      </x:c>
      <x:c r="AG73" s="601" t="str">
        <x:f>IF(AF73="","",COUNTIFS($A$19:$A$186,A73,$AP$19:$AP$186,"Yes",$E$19:$E$186,"&gt;0",$AF$19:$AF$186,"&gt;"&amp;AF73)+COUNTIFS($A$19:A73,A73,$AP$19:AP73,"Yes",$E$19:E73,"&gt;0",$AF$19:AF73,AF73))</x:f>
      </x:c>
      <x:c r="AH73" s="601" t="str">
        <x:f>IF(OR(AP73&lt;&gt;"Yes",E73=0),"",IFERROR(100*(COUNTIFS($AP$19:$AP$186,"Yes",$E$19:$E$186,"&gt;0",$J$19:$J$186,"&lt;"&amp;J73)+(COUNTIFS($AP$19:$AP$186,"Yes",$E$19:$E$186,"&gt;0",$J$19:$J$186,J73)-1)/2)/(COUNTIFS($AP$19:$AP$186,"Yes",$E$19:$E$186,"&gt;0")-1),50))</x:f>
      </x:c>
      <x:c r="AI73" s="601" t="str">
        <x:f>IF(AH73="","",AH73*'Specialisation Rankings'!$O$16+R73*'Specialisation Rankings'!$O$17)</x:f>
      </x:c>
      <x:c r="AJ73" s="601" t="str">
        <x:f>IF(AI73="","",COUNTIFS($A$19:$A$186,A73,$AP$19:$AP$186,"Yes",$E$19:$E$186,"&gt;0",$AI$19:$AI$186,"&gt;"&amp;AI73)+COUNTIFS($A$19:A73,A73,$AP$19:AP73,"Yes",$E$19:E73,"&gt;0",$AI$19:AI73,AI73))</x:f>
      </x:c>
      <x:c r="AK73" s="601" t="str">
        <x:f>IF(OR(AP73&lt;&gt;"Yes",E73=0),"",IF(M73=0,'Specialisation Rankings'!$O$23,V73))</x:f>
      </x:c>
      <x:c r="AL73" s="601" t="str">
        <x:f>IF(AK73="","",COUNTIFS($A$19:$A$186,A73,$AP$19:$AP$186,"Yes",$E$19:$E$186,"&gt;0",$AK$19:$AK$186,"&gt;"&amp;AK73)+COUNTIFS($A$19:A73,A73,$AP$19:AP73,"Yes",$E$19:E73,"&gt;0",$AK$19:AK73,AK73))</x:f>
      </x:c>
      <x:c r="AM73" s="601" t="str">
        <x:f>IF(AC73="","",AC73*'Specialisation Rankings'!$O$18+AF73*'Specialisation Rankings'!$O$19+AI73*'Specialisation Rankings'!$O$20+AK73*'Specialisation Rankings'!$O$21)</x:f>
      </x:c>
      <x:c r="AN73" s="601" t="str">
        <x:f>IF(AM73="","",COUNTIFS($A$19:$A$186,A73,$AP$19:$AP$186,"Yes",$E$19:$E$186,"&gt;0",$AM$19:$AM$186,"&gt;"&amp;AM73)+COUNTIFS($A$19:A73,A73,$AP$19:AP73,"Yes",$E$19:E73,"&gt;0",$AM$19:AM73,AM73))</x:f>
      </x:c>
      <x:c r="AO73" s="601" t="str">
        <x:f>IF(AM73="","",COUNTIFS($AP$19:$AP$186,"Yes",$E$19:$E$186,"&gt;0",$AM$19:$AM$186,"&gt;"&amp;AM73)+COUNTIFS($AP$19:AP73,"Yes",$E$19:E73,"&gt;0",$AM$19:AM73,AM73))</x:f>
      </x:c>
      <x:c r="AP73" s="602" t="str">
        <x:f>IF(COUNTIFS('Player Scenario Model'!$A$6:$A$172,A73,'Player Scenario Model'!$B$6:$B$172,B73)&gt;0,"Yes","No")</x:f>
        <x:v>Yes</x:v>
      </x:c>
    </x:row>
    <x:row r="74" ht="24" customHeight="1">
      <x:c r="A74" s="430" t="str">
        <x:v>K116</x:v>
      </x:c>
      <x:c r="B74" s="430" t="str">
        <x:v>不可理喻</x:v>
      </x:c>
      <x:c r="C74" s="431" t="n">
        <x:f>COUNTIFS('Specialisations'!$A$6:$A$527,A74,'Specialisations'!$B$6:$B$527,B74)</x:f>
        <x:v>5</x:v>
      </x:c>
      <x:c r="D74" s="431" t="n">
        <x:f>COUNTIFS('Specialisations'!$A$6:$A$527,A74,'Specialisations'!$B$6:$B$527,B74,'Specialisations'!$P$6:$P$527,"OK")</x:f>
        <x:v>5</x:v>
      </x:c>
      <x:c r="E74" s="431" t="n">
        <x:f>COUNTIFS('Specialisations'!$A$6:$A$527,A74,'Specialisations'!$B$6:$B$527,B74,'Specialisations'!$P$6:$P$527,"OK",'Specialisations'!$C$6:$C$527,"&lt;&gt;Guards")</x:f>
        <x:v>4</x:v>
      </x:c>
      <x:c r="F74" s="432" t="n">
        <x:f>IF(C74=0,"",D74/C74)</x:f>
        <x:v>1</x:v>
      </x:c>
      <x:c r="G74" s="495" t="n">
        <x:f>SUMIFS('Specialisations'!$Q$6:$Q$527,'Specialisations'!$A$6:$A$527,A74,'Specialisations'!$B$6:$B$527,B74,'Specialisations'!$C$6:$C$527,"Guards")</x:f>
        <x:v>-45.13</x:v>
      </x:c>
      <x:c r="H74" s="495" t="n">
        <x:f>SUMIFS('Specialisations'!$Q$6:$Q$527,'Specialisations'!$A$6:$A$527,A74,'Specialisations'!$B$6:$B$527,B74,'Specialisations'!$C$6:$C$527,"Archers")</x:f>
        <x:v>33.13</x:v>
      </x:c>
      <x:c r="I74" s="495" t="n">
        <x:f>SUMIFS('Specialisations'!$Q$6:$Q$527,'Specialisations'!$A$6:$A$527,A74,'Specialisations'!$B$6:$B$527,B74,'Specialisations'!$C$6:$C$527,"Cavalry")</x:f>
        <x:v>81.11</x:v>
      </x:c>
      <x:c r="J74" s="495" t="n">
        <x:f>SUMIFS('Specialisations'!$Q$6:$Q$527,'Specialisations'!$A$6:$A$527,A74,'Specialisations'!$B$6:$B$527,B74,'Specialisations'!$C$6:$C$527,"Siege")</x:f>
        <x:v>27.74</x:v>
      </x:c>
      <x:c r="K74" s="495" t="n">
        <x:f>SUM(H74:J74)</x:f>
        <x:v>141.98000000000002</x:v>
      </x:c>
      <x:c r="L74" s="495" t="n">
        <x:f>SUM(G74,K74)</x:f>
        <x:v>96.85000000000002</x:v>
      </x:c>
      <x:c r="M74" s="433" t="n">
        <x:f>SUMIFS('Specialisations'!$N$6:$N$527,'Specialisations'!$A$6:$A$527,A74,'Specialisations'!$B$6:$B$527,B74,'Specialisations'!$C$6:$C$527,"Guards")</x:f>
        <x:v>5004300</x:v>
      </x:c>
      <x:c r="N74" s="433" t="n">
        <x:f>SUMIFS('Specialisations'!$N$6:$N$527,'Specialisations'!$A$6:$A$527,A74,'Specialisations'!$B$6:$B$527,B74,'Specialisations'!$C$6:$C$527,"&lt;&gt;Guards")</x:f>
        <x:v>13337200</x:v>
      </x:c>
      <x:c r="O74" s="433" t="n">
        <x:f>SUM(M74:N74)</x:f>
        <x:v>18341500</x:v>
      </x:c>
      <x:c r="P74" s="434" t="n">
        <x:f>IF(E74=0,"",K74/E74)</x:f>
        <x:v>35.495000000000005</x:v>
      </x:c>
      <x:c r="Q74" s="501" t="n">
        <x:f>IF(E74=0,"",IFERROR(100*(COUNTIFS($E$19:$E$186,"&gt;0",$K$19:$K$186,"&lt;"&amp;K74)+(COUNTIFS($E$19:$E$186,"&gt;0",$K$19:$K$186,K74)-1)/2)/(COUNTIF($E$19:$E$186,"&gt;0")-1),50))</x:f>
        <x:v>85.06493506493507</x:v>
      </x:c>
      <x:c r="R74" s="501" t="n">
        <x:f>IF(E74=0,"",IFERROR(100*(COUNTIFS($E$19:$E$186,"&gt;0",$N$19:$N$186,"&lt;"&amp;N74)+(COUNTIFS($E$19:$E$186,"&gt;0",$N$19:$N$186,N74)-1)/2)/(COUNTIF($E$19:$E$186,"&gt;0")-1),50))</x:f>
        <x:v>70.77922077922078</x:v>
      </x:c>
      <x:c r="S74" s="501" t="n">
        <x:f>IF(E74=0,"",Q74*$R$5+R74*$R$6)</x:f>
        <x:v>82.20779220779221</x:v>
      </x:c>
      <x:c r="T74" s="501" t="n">
        <x:f>IF(M74=0,"",IFERROR(100*(COUNTIFS($M$19:$M$186,"&gt;0",$G$19:$G$186,"&gt;"&amp;G74)+(COUNTIFS($M$19:$M$186,"&gt;0",$G$19:$G$186,G74)-1)/2)/(COUNTIF($M$19:$M$186,"&gt;0")-1),50))</x:f>
        <x:v>73.07692307692308</x:v>
      </x:c>
      <x:c r="U74" s="501" t="n">
        <x:f>IF(M74=0,"",IFERROR(100*(COUNTIFS($M$19:$M$186,"&gt;0",$M$19:$M$186,"&lt;"&amp;M74)+(COUNTIFS($M$19:$M$186,"&gt;0",$M$19:$M$186,M74)-1)/2)/(COUNTIF($M$19:$M$186,"&gt;0")-1),50))</x:f>
        <x:v>73.07692307692308</x:v>
      </x:c>
      <x:c r="V74" s="501" t="n">
        <x:f>IF(M74=0,"",T74*$R$5+U74*$R$6)</x:f>
        <x:v>73.07692307692308</x:v>
      </x:c>
      <x:c r="W74" s="431" t="n">
        <x:f>IF(E74=0,"",COUNTIFS($A$19:$A$186,A74,$S$19:$S$186,"&gt;"&amp;S74)+COUNTIFS($A$19:A74,A74,$E$19:E74,"&gt;0",$S$19:S74,S74))</x:f>
        <x:v>3</x:v>
      </x:c>
      <x:c r="X74" s="431" t="n">
        <x:f>IF(S74="","",1+COUNTIF($S$19:$S$186,"&gt;"&amp;S74))</x:f>
        <x:v>25</x:v>
      </x:c>
      <x:c r="Y74" s="431" t="n">
        <x:f>IF(V74="","",1+COUNTIFS($A$19:$A$186,A74,$V$19:$V$186,"&gt;"&amp;V74))</x:f>
        <x:v>7</x:v>
      </x:c>
      <x:c r="Z74" s="431" t="n">
        <x:f>IF(V74="","",1+COUNTIF($V$19:$V$186,"&gt;"&amp;V74))</x:f>
        <x:v>31</x:v>
      </x:c>
      <x:c r="AA74" s="430" t="str">
        <x:f>IF(C74=0,"No specialisations recorded",IF(D74&lt;C74,"Review missing level","Recorded skills only"))</x:f>
        <x:v>Recorded skills only</x:v>
      </x:c>
      <x:c r="AB74" s="601" t="n">
        <x:f>IF(OR(AP74&lt;&gt;"Yes",E74=0),"",IFERROR(100*(COUNTIFS($AP$19:$AP$186,"Yes",$E$19:$E$186,"&gt;0",$I$19:$I$186,"&lt;"&amp;I74)+(COUNTIFS($AP$19:$AP$186,"Yes",$E$19:$E$186,"&gt;0",$I$19:$I$186,I74)-1)/2)/(COUNTIFS($AP$19:$AP$186,"Yes",$E$19:$E$186,"&gt;0")-1),50))</x:f>
        <x:v>64.28571428571429</x:v>
      </x:c>
      <x:c r="AC74" s="601" t="n">
        <x:f>IF(AB74="","",AB74*'Specialisation Rankings'!$O$16+R74*'Specialisation Rankings'!$O$17)</x:f>
        <x:v>65.5844155844156</x:v>
      </x:c>
      <x:c r="AD74" s="601" t="n">
        <x:f>IF(AC74="","",COUNTIFS($A$19:$A$186,A74,$AP$19:$AP$186,"Yes",$E$19:$E$186,"&gt;0",$AC$19:$AC$186,"&gt;"&amp;AC74)+COUNTIFS($A$19:A74,A74,$AP$19:AP74,"Yes",$E$19:E74,"&gt;0",$AC$19:AC74,AC74))</x:f>
        <x:v>3</x:v>
      </x:c>
      <x:c r="AE74" s="601" t="n">
        <x:f>IF(OR(AP74&lt;&gt;"Yes",E74=0),"",IFERROR(100*(COUNTIFS($AP$19:$AP$186,"Yes",$E$19:$E$186,"&gt;0",$H$19:$H$186,"&lt;"&amp;H74)+(COUNTIFS($AP$19:$AP$186,"Yes",$E$19:$E$186,"&gt;0",$H$19:$H$186,H74)-1)/2)/(COUNTIFS($AP$19:$AP$186,"Yes",$E$19:$E$186,"&gt;0")-1),50))</x:f>
        <x:v>56.493506493506494</x:v>
      </x:c>
      <x:c r="AF74" s="601" t="n">
        <x:f>IF(AE74="","",AE74*'Specialisation Rankings'!$O$16+R74*'Specialisation Rankings'!$O$17)</x:f>
        <x:v>59.350649350649356</x:v>
      </x:c>
      <x:c r="AG74" s="601" t="n">
        <x:f>IF(AF74="","",COUNTIFS($A$19:$A$186,A74,$AP$19:$AP$186,"Yes",$E$19:$E$186,"&gt;0",$AF$19:$AF$186,"&gt;"&amp;AF74)+COUNTIFS($A$19:A74,A74,$AP$19:AP74,"Yes",$E$19:E74,"&gt;0",$AF$19:AF74,AF74))</x:f>
        <x:v>4</x:v>
      </x:c>
      <x:c r="AH74" s="601" t="n">
        <x:f>IF(OR(AP74&lt;&gt;"Yes",E74=0),"",IFERROR(100*(COUNTIFS($AP$19:$AP$186,"Yes",$E$19:$E$186,"&gt;0",$J$19:$J$186,"&lt;"&amp;J74)+(COUNTIFS($AP$19:$AP$186,"Yes",$E$19:$E$186,"&gt;0",$J$19:$J$186,J74)-1)/2)/(COUNTIFS($AP$19:$AP$186,"Yes",$E$19:$E$186,"&gt;0")-1),50))</x:f>
        <x:v>80.84415584415585</x:v>
      </x:c>
      <x:c r="AI74" s="601" t="n">
        <x:f>IF(AH74="","",AH74*'Specialisation Rankings'!$O$16+R74*'Specialisation Rankings'!$O$17)</x:f>
        <x:v>78.83116883116884</x:v>
      </x:c>
      <x:c r="AJ74" s="601" t="n">
        <x:f>IF(AI74="","",COUNTIFS($A$19:$A$186,A74,$AP$19:$AP$186,"Yes",$E$19:$E$186,"&gt;0",$AI$19:$AI$186,"&gt;"&amp;AI74)+COUNTIFS($A$19:A74,A74,$AP$19:AP74,"Yes",$E$19:E74,"&gt;0",$AI$19:AI74,AI74))</x:f>
        <x:v>3</x:v>
      </x:c>
      <x:c r="AK74" s="601" t="n">
        <x:f>IF(OR(AP74&lt;&gt;"Yes",E74=0),"",IF(M74=0,'Specialisation Rankings'!$O$23,V74))</x:f>
        <x:v>73.07692307692308</x:v>
      </x:c>
      <x:c r="AL74" s="601" t="n">
        <x:f>IF(AK74="","",COUNTIFS($A$19:$A$186,A74,$AP$19:$AP$186,"Yes",$E$19:$E$186,"&gt;0",$AK$19:$AK$186,"&gt;"&amp;AK74)+COUNTIFS($A$19:A74,A74,$AP$19:AP74,"Yes",$E$19:E74,"&gt;0",$AK$19:AK74,AK74))</x:f>
        <x:v>7</x:v>
      </x:c>
      <x:c r="AM74" s="601" t="n">
        <x:f>IF(AC74="","",AC74*'Specialisation Rankings'!$O$18+AF74*'Specialisation Rankings'!$O$19+AI74*'Specialisation Rankings'!$O$20+AK74*'Specialisation Rankings'!$O$21)</x:f>
        <x:v>67.69730269730272</x:v>
      </x:c>
      <x:c r="AN74" s="601" t="n">
        <x:f>IF(AM74="","",COUNTIFS($A$19:$A$186,A74,$AP$19:$AP$186,"Yes",$E$19:$E$186,"&gt;0",$AM$19:$AM$186,"&gt;"&amp;AM74)+COUNTIFS($A$19:A74,A74,$AP$19:AP74,"Yes",$E$19:E74,"&gt;0",$AM$19:AM74,AM74))</x:f>
        <x:v>3</x:v>
      </x:c>
      <x:c r="AO74" s="601" t="n">
        <x:f>IF(AM74="","",COUNTIFS($AP$19:$AP$186,"Yes",$E$19:$E$186,"&gt;0",$AM$19:$AM$186,"&gt;"&amp;AM74)+COUNTIFS($AP$19:AP74,"Yes",$E$19:E74,"&gt;0",$AM$19:AM74,AM74))</x:f>
        <x:v>42</x:v>
      </x:c>
      <x:c r="AP74" s="602" t="str">
        <x:f>IF(COUNTIFS('Player Scenario Model'!$A$6:$A$172,A74,'Player Scenario Model'!$B$6:$B$172,B74)&gt;0,"Yes","No")</x:f>
        <x:v>Yes</x:v>
      </x:c>
    </x:row>
    <x:row r="75" ht="24" customHeight="1">
      <x:c r="A75" s="430" t="str">
        <x:v>K116</x:v>
      </x:c>
      <x:c r="B75" s="430" t="str">
        <x:v>懒洋洋爱看腿</x:v>
      </x:c>
      <x:c r="C75" s="431" t="n">
        <x:f>COUNTIFS('Specialisations'!$A$6:$A$527,A75,'Specialisations'!$B$6:$B$527,B75)</x:f>
        <x:v>5</x:v>
      </x:c>
      <x:c r="D75" s="431" t="n">
        <x:f>COUNTIFS('Specialisations'!$A$6:$A$527,A75,'Specialisations'!$B$6:$B$527,B75,'Specialisations'!$P$6:$P$527,"OK")</x:f>
        <x:v>5</x:v>
      </x:c>
      <x:c r="E75" s="431" t="n">
        <x:f>COUNTIFS('Specialisations'!$A$6:$A$527,A75,'Specialisations'!$B$6:$B$527,B75,'Specialisations'!$P$6:$P$527,"OK",'Specialisations'!$C$6:$C$527,"&lt;&gt;Guards")</x:f>
        <x:v>4</x:v>
      </x:c>
      <x:c r="F75" s="432" t="n">
        <x:f>IF(C75=0,"",D75/C75)</x:f>
        <x:v>1</x:v>
      </x:c>
      <x:c r="G75" s="495" t="n">
        <x:f>SUMIFS('Specialisations'!$Q$6:$Q$527,'Specialisations'!$A$6:$A$527,A75,'Specialisations'!$B$6:$B$527,B75,'Specialisations'!$C$6:$C$527,"Guards")</x:f>
        <x:v>-41.98</x:v>
      </x:c>
      <x:c r="H75" s="495" t="n">
        <x:f>SUMIFS('Specialisations'!$Q$6:$Q$527,'Specialisations'!$A$6:$A$527,A75,'Specialisations'!$B$6:$B$527,B75,'Specialisations'!$C$6:$C$527,"Archers")</x:f>
        <x:v>27.74</x:v>
      </x:c>
      <x:c r="I75" s="495" t="n">
        <x:f>SUMIFS('Specialisations'!$Q$6:$Q$527,'Specialisations'!$A$6:$A$527,A75,'Specialisations'!$B$6:$B$527,B75,'Specialisations'!$C$6:$C$527,"Cavalry")</x:f>
        <x:v>55.48</x:v>
      </x:c>
      <x:c r="J75" s="495" t="n">
        <x:f>SUMIFS('Specialisations'!$Q$6:$Q$527,'Specialisations'!$A$6:$A$527,A75,'Specialisations'!$B$6:$B$527,B75,'Specialisations'!$C$6:$C$527,"Siege")</x:f>
        <x:v>27.74</x:v>
      </x:c>
      <x:c r="K75" s="495" t="n">
        <x:f>SUM(H75:J75)</x:f>
        <x:v>110.96</x:v>
      </x:c>
      <x:c r="L75" s="495" t="n">
        <x:f>SUM(G75,K75)</x:f>
        <x:v>68.97999999999999</x:v>
      </x:c>
      <x:c r="M75" s="433" t="n">
        <x:f>SUMIFS('Specialisations'!$N$6:$N$527,'Specialisations'!$A$6:$A$527,A75,'Specialisations'!$B$6:$B$527,B75,'Specialisations'!$C$6:$C$527,"Guards")</x:f>
        <x:v>4284300</x:v>
      </x:c>
      <x:c r="N75" s="433" t="n">
        <x:f>SUMIFS('Specialisations'!$N$6:$N$527,'Specialisations'!$A$6:$A$527,A75,'Specialisations'!$B$6:$B$527,B75,'Specialisations'!$C$6:$C$527,"&lt;&gt;Guards")</x:f>
        <x:v>8977200</x:v>
      </x:c>
      <x:c r="O75" s="433" t="n">
        <x:f>SUM(M75:N75)</x:f>
        <x:v>13261500</x:v>
      </x:c>
      <x:c r="P75" s="434" t="n">
        <x:f>IF(E75=0,"",K75/E75)</x:f>
        <x:v>27.74</x:v>
      </x:c>
      <x:c r="Q75" s="501" t="n">
        <x:f>IF(E75=0,"",IFERROR(100*(COUNTIFS($E$19:$E$186,"&gt;0",$K$19:$K$186,"&lt;"&amp;K75)+(COUNTIFS($E$19:$E$186,"&gt;0",$K$19:$K$186,K75)-1)/2)/(COUNTIF($E$19:$E$186,"&gt;0")-1),50))</x:f>
        <x:v>64.28571428571429</x:v>
      </x:c>
      <x:c r="R75" s="501" t="n">
        <x:f>IF(E75=0,"",IFERROR(100*(COUNTIFS($E$19:$E$186,"&gt;0",$N$19:$N$186,"&lt;"&amp;N75)+(COUNTIFS($E$19:$E$186,"&gt;0",$N$19:$N$186,N75)-1)/2)/(COUNTIF($E$19:$E$186,"&gt;0")-1),50))</x:f>
        <x:v>34.41558441558441</x:v>
      </x:c>
      <x:c r="S75" s="501" t="n">
        <x:f>IF(E75=0,"",Q75*$R$5+R75*$R$6)</x:f>
        <x:v>58.31168831168832</x:v>
      </x:c>
      <x:c r="T75" s="501" t="n">
        <x:f>IF(M75=0,"",IFERROR(100*(COUNTIFS($M$19:$M$186,"&gt;0",$G$19:$G$186,"&gt;"&amp;G75)+(COUNTIFS($M$19:$M$186,"&gt;0",$G$19:$G$186,G75)-1)/2)/(COUNTIF($M$19:$M$186,"&gt;0")-1),50))</x:f>
        <x:v>60.256410256410255</x:v>
      </x:c>
      <x:c r="U75" s="501" t="n">
        <x:f>IF(M75=0,"",IFERROR(100*(COUNTIFS($M$19:$M$186,"&gt;0",$M$19:$M$186,"&lt;"&amp;M75)+(COUNTIFS($M$19:$M$186,"&gt;0",$M$19:$M$186,M75)-1)/2)/(COUNTIF($M$19:$M$186,"&gt;0")-1),50))</x:f>
        <x:v>60.256410256410255</x:v>
      </x:c>
      <x:c r="V75" s="501" t="n">
        <x:f>IF(M75=0,"",T75*$R$5+U75*$R$6)</x:f>
        <x:v>60.25641025641025</x:v>
      </x:c>
      <x:c r="W75" s="431" t="n">
        <x:f>IF(E75=0,"",COUNTIFS($A$19:$A$186,A75,$S$19:$S$186,"&gt;"&amp;S75)+COUNTIFS($A$19:A75,A75,$E$19:E75,"&gt;0",$S$19:S75,S75))</x:f>
        <x:v>4</x:v>
      </x:c>
      <x:c r="X75" s="431" t="n">
        <x:f>IF(S75="","",1+COUNTIF($S$19:$S$186,"&gt;"&amp;S75))</x:f>
        <x:v>64</x:v>
      </x:c>
      <x:c r="Y75" s="431" t="n">
        <x:f>IF(V75="","",1+COUNTIFS($A$19:$A$186,A75,$V$19:$V$186,"&gt;"&amp;V75))</x:f>
        <x:v>8</x:v>
      </x:c>
      <x:c r="Z75" s="431" t="n">
        <x:f>IF(V75="","",1+COUNTIF($V$19:$V$186,"&gt;"&amp;V75))</x:f>
        <x:v>35</x:v>
      </x:c>
      <x:c r="AA75" s="430" t="str">
        <x:f>IF(C75=0,"No specialisations recorded",IF(D75&lt;C75,"Review missing level","Recorded skills only"))</x:f>
        <x:v>Recorded skills only</x:v>
      </x:c>
      <x:c r="AB75" s="601" t="n">
        <x:f>IF(OR(AP75&lt;&gt;"Yes",E75=0),"",IFERROR(100*(COUNTIFS($AP$19:$AP$186,"Yes",$E$19:$E$186,"&gt;0",$I$19:$I$186,"&lt;"&amp;I75)+(COUNTIFS($AP$19:$AP$186,"Yes",$E$19:$E$186,"&gt;0",$I$19:$I$186,I75)-1)/2)/(COUNTIFS($AP$19:$AP$186,"Yes",$E$19:$E$186,"&gt;0")-1),50))</x:f>
        <x:v>43.506493506493506</x:v>
      </x:c>
      <x:c r="AC75" s="601" t="n">
        <x:f>IF(AB75="","",AB75*'Specialisation Rankings'!$O$16+R75*'Specialisation Rankings'!$O$17)</x:f>
        <x:v>41.68831168831169</x:v>
      </x:c>
      <x:c r="AD75" s="601" t="n">
        <x:f>IF(AC75="","",COUNTIFS($A$19:$A$186,A75,$AP$19:$AP$186,"Yes",$E$19:$E$186,"&gt;0",$AC$19:$AC$186,"&gt;"&amp;AC75)+COUNTIFS($A$19:A75,A75,$AP$19:AP75,"Yes",$E$19:E75,"&gt;0",$AC$19:AC75,AC75))</x:f>
        <x:v>7</x:v>
      </x:c>
      <x:c r="AE75" s="601" t="n">
        <x:f>IF(OR(AP75&lt;&gt;"Yes",E75=0),"",IFERROR(100*(COUNTIFS($AP$19:$AP$186,"Yes",$E$19:$E$186,"&gt;0",$H$19:$H$186,"&lt;"&amp;H75)+(COUNTIFS($AP$19:$AP$186,"Yes",$E$19:$E$186,"&gt;0",$H$19:$H$186,H75)-1)/2)/(COUNTIFS($AP$19:$AP$186,"Yes",$E$19:$E$186,"&gt;0")-1),50))</x:f>
        <x:v>42.20779220779221</x:v>
      </x:c>
      <x:c r="AF75" s="601" t="n">
        <x:f>IF(AE75="","",AE75*'Specialisation Rankings'!$O$16+R75*'Specialisation Rankings'!$O$17)</x:f>
        <x:v>40.64935064935065</x:v>
      </x:c>
      <x:c r="AG75" s="601" t="n">
        <x:f>IF(AF75="","",COUNTIFS($A$19:$A$186,A75,$AP$19:$AP$186,"Yes",$E$19:$E$186,"&gt;0",$AF$19:$AF$186,"&gt;"&amp;AF75)+COUNTIFS($A$19:A75,A75,$AP$19:AP75,"Yes",$E$19:E75,"&gt;0",$AF$19:AF75,AF75))</x:f>
        <x:v>7</x:v>
      </x:c>
      <x:c r="AH75" s="601" t="n">
        <x:f>IF(OR(AP75&lt;&gt;"Yes",E75=0),"",IFERROR(100*(COUNTIFS($AP$19:$AP$186,"Yes",$E$19:$E$186,"&gt;0",$J$19:$J$186,"&lt;"&amp;J75)+(COUNTIFS($AP$19:$AP$186,"Yes",$E$19:$E$186,"&gt;0",$J$19:$J$186,J75)-1)/2)/(COUNTIFS($AP$19:$AP$186,"Yes",$E$19:$E$186,"&gt;0")-1),50))</x:f>
        <x:v>80.84415584415585</x:v>
      </x:c>
      <x:c r="AI75" s="601" t="n">
        <x:f>IF(AH75="","",AH75*'Specialisation Rankings'!$O$16+R75*'Specialisation Rankings'!$O$17)</x:f>
        <x:v>71.55844155844157</x:v>
      </x:c>
      <x:c r="AJ75" s="601" t="n">
        <x:f>IF(AI75="","",COUNTIFS($A$19:$A$186,A75,$AP$19:$AP$186,"Yes",$E$19:$E$186,"&gt;0",$AI$19:$AI$186,"&gt;"&amp;AI75)+COUNTIFS($A$19:A75,A75,$AP$19:AP75,"Yes",$E$19:E75,"&gt;0",$AI$19:AI75,AI75))</x:f>
        <x:v>4</x:v>
      </x:c>
      <x:c r="AK75" s="601" t="n">
        <x:f>IF(OR(AP75&lt;&gt;"Yes",E75=0),"",IF(M75=0,'Specialisation Rankings'!$O$23,V75))</x:f>
        <x:v>60.25641025641025</x:v>
      </x:c>
      <x:c r="AL75" s="601" t="n">
        <x:f>IF(AK75="","",COUNTIFS($A$19:$A$186,A75,$AP$19:$AP$186,"Yes",$E$19:$E$186,"&gt;0",$AK$19:$AK$186,"&gt;"&amp;AK75)+COUNTIFS($A$19:A75,A75,$AP$19:AP75,"Yes",$E$19:E75,"&gt;0",$AK$19:AK75,AK75))</x:f>
        <x:v>9</x:v>
      </x:c>
      <x:c r="AM75" s="601" t="n">
        <x:f>IF(AC75="","",AC75*'Specialisation Rankings'!$O$18+AF75*'Specialisation Rankings'!$O$19+AI75*'Specialisation Rankings'!$O$20+AK75*'Specialisation Rankings'!$O$21)</x:f>
        <x:v>47.92174492174493</x:v>
      </x:c>
      <x:c r="AN75" s="601" t="n">
        <x:f>IF(AM75="","",COUNTIFS($A$19:$A$186,A75,$AP$19:$AP$186,"Yes",$E$19:$E$186,"&gt;0",$AM$19:$AM$186,"&gt;"&amp;AM75)+COUNTIFS($A$19:A75,A75,$AP$19:AP75,"Yes",$E$19:E75,"&gt;0",$AM$19:AM75,AM75))</x:f>
        <x:v>6</x:v>
      </x:c>
      <x:c r="AO75" s="601" t="n">
        <x:f>IF(AM75="","",COUNTIFS($AP$19:$AP$186,"Yes",$E$19:$E$186,"&gt;0",$AM$19:$AM$186,"&gt;"&amp;AM75)+COUNTIFS($AP$19:AP75,"Yes",$E$19:E75,"&gt;0",$AM$19:AM75,AM75))</x:f>
        <x:v>79</x:v>
      </x:c>
      <x:c r="AP75" s="602" t="str">
        <x:f>IF(COUNTIFS('Player Scenario Model'!$A$6:$A$172,A75,'Player Scenario Model'!$B$6:$B$172,B75)&gt;0,"Yes","No")</x:f>
        <x:v>Yes</x:v>
      </x:c>
    </x:row>
    <x:row r="76" ht="24" customHeight="1">
      <x:c r="A76" s="430" t="str">
        <x:v>K116</x:v>
      </x:c>
      <x:c r="B76" s="430" t="str">
        <x:v>蜜蜜°</x:v>
      </x:c>
      <x:c r="C76" s="431" t="n">
        <x:f>COUNTIFS('Specialisations'!$A$6:$A$527,A76,'Specialisations'!$B$6:$B$527,B76)</x:f>
        <x:v>4</x:v>
      </x:c>
      <x:c r="D76" s="431" t="n">
        <x:f>COUNTIFS('Specialisations'!$A$6:$A$527,A76,'Specialisations'!$B$6:$B$527,B76,'Specialisations'!$P$6:$P$527,"OK")</x:f>
        <x:v>4</x:v>
      </x:c>
      <x:c r="E76" s="431" t="n">
        <x:f>COUNTIFS('Specialisations'!$A$6:$A$527,A76,'Specialisations'!$B$6:$B$527,B76,'Specialisations'!$P$6:$P$527,"OK",'Specialisations'!$C$6:$C$527,"&lt;&gt;Guards")</x:f>
        <x:v>3</x:v>
      </x:c>
      <x:c r="F76" s="432" t="n">
        <x:f>IF(C76=0,"",D76/C76)</x:f>
        <x:v>1</x:v>
      </x:c>
      <x:c r="G76" s="495" t="n">
        <x:f>SUMIFS('Specialisations'!$Q$6:$Q$527,'Specialisations'!$A$6:$A$527,A76,'Specialisations'!$B$6:$B$527,B76,'Specialisations'!$C$6:$C$527,"Guards")</x:f>
        <x:v>-60</x:v>
      </x:c>
      <x:c r="H76" s="495" t="n">
        <x:f>SUMIFS('Specialisations'!$Q$6:$Q$527,'Specialisations'!$A$6:$A$527,A76,'Specialisations'!$B$6:$B$527,B76,'Specialisations'!$C$6:$C$527,"Archers")</x:f>
        <x:v>27.74</x:v>
      </x:c>
      <x:c r="I76" s="495" t="n">
        <x:f>SUMIFS('Specialisations'!$Q$6:$Q$527,'Specialisations'!$A$6:$A$527,A76,'Specialisations'!$B$6:$B$527,B76,'Specialisations'!$C$6:$C$527,"Cavalry")</x:f>
        <x:v>60.76</x:v>
      </x:c>
      <x:c r="J76" s="495" t="n">
        <x:f>SUMIFS('Specialisations'!$Q$6:$Q$527,'Specialisations'!$A$6:$A$527,A76,'Specialisations'!$B$6:$B$527,B76,'Specialisations'!$C$6:$C$527,"Siege")</x:f>
        <x:v>0</x:v>
      </x:c>
      <x:c r="K76" s="495" t="n">
        <x:f>SUM(H76:J76)</x:f>
        <x:v>88.5</x:v>
      </x:c>
      <x:c r="L76" s="495" t="n">
        <x:f>SUM(G76,K76)</x:f>
        <x:v>28.5</x:v>
      </x:c>
      <x:c r="M76" s="433" t="n">
        <x:f>SUMIFS('Specialisations'!$N$6:$N$527,'Specialisations'!$A$6:$A$527,A76,'Specialisations'!$B$6:$B$527,B76,'Specialisations'!$C$6:$C$527,"Guards")</x:f>
        <x:v>10334300</x:v>
      </x:c>
      <x:c r="N76" s="433" t="n">
        <x:f>SUMIFS('Specialisations'!$N$6:$N$527,'Specialisations'!$A$6:$A$527,A76,'Specialisations'!$B$6:$B$527,B76,'Specialisations'!$C$6:$C$527,"&lt;&gt;Guards")</x:f>
        <x:v>7292900</x:v>
      </x:c>
      <x:c r="O76" s="433" t="n">
        <x:f>SUM(M76:N76)</x:f>
        <x:v>17627200</x:v>
      </x:c>
      <x:c r="P76" s="434" t="n">
        <x:f>IF(E76=0,"",K76/E76)</x:f>
        <x:v>29.5</x:v>
      </x:c>
      <x:c r="Q76" s="501" t="n">
        <x:f>IF(E76=0,"",IFERROR(100*(COUNTIFS($E$19:$E$186,"&gt;0",$K$19:$K$186,"&lt;"&amp;K76)+(COUNTIFS($E$19:$E$186,"&gt;0",$K$19:$K$186,K76)-1)/2)/(COUNTIF($E$19:$E$186,"&gt;0")-1),50))</x:f>
        <x:v>47.4025974025974</x:v>
      </x:c>
      <x:c r="R76" s="501" t="n">
        <x:f>IF(E76=0,"",IFERROR(100*(COUNTIFS($E$19:$E$186,"&gt;0",$N$19:$N$186,"&lt;"&amp;N76)+(COUNTIFS($E$19:$E$186,"&gt;0",$N$19:$N$186,N76)-1)/2)/(COUNTIF($E$19:$E$186,"&gt;0")-1),50))</x:f>
        <x:v>24.675324675324674</x:v>
      </x:c>
      <x:c r="S76" s="501" t="n">
        <x:f>IF(E76=0,"",Q76*$R$5+R76*$R$6)</x:f>
        <x:v>42.85714285714286</x:v>
      </x:c>
      <x:c r="T76" s="501" t="n">
        <x:f>IF(M76=0,"",IFERROR(100*(COUNTIFS($M$19:$M$186,"&gt;0",$G$19:$G$186,"&gt;"&amp;G76)+(COUNTIFS($M$19:$M$186,"&gt;0",$G$19:$G$186,G76)-1)/2)/(COUNTIF($M$19:$M$186,"&gt;0")-1),50))</x:f>
        <x:v>93.16239316239316</x:v>
      </x:c>
      <x:c r="U76" s="501" t="n">
        <x:f>IF(M76=0,"",IFERROR(100*(COUNTIFS($M$19:$M$186,"&gt;0",$M$19:$M$186,"&lt;"&amp;M76)+(COUNTIFS($M$19:$M$186,"&gt;0",$M$19:$M$186,M76)-1)/2)/(COUNTIF($M$19:$M$186,"&gt;0")-1),50))</x:f>
        <x:v>93.16239316239316</x:v>
      </x:c>
      <x:c r="V76" s="501" t="n">
        <x:f>IF(M76=0,"",T76*$R$5+U76*$R$6)</x:f>
        <x:v>93.16239316239316</x:v>
      </x:c>
      <x:c r="W76" s="431" t="n">
        <x:f>IF(E76=0,"",COUNTIFS($A$19:$A$186,A76,$S$19:$S$186,"&gt;"&amp;S76)+COUNTIFS($A$19:A76,A76,$E$19:E76,"&gt;0",$S$19:S76,S76))</x:f>
        <x:v>6</x:v>
      </x:c>
      <x:c r="X76" s="431" t="n">
        <x:f>IF(S76="","",1+COUNTIF($S$19:$S$186,"&gt;"&amp;S76))</x:f>
        <x:v>90</x:v>
      </x:c>
      <x:c r="Y76" s="431" t="n">
        <x:f>IF(V76="","",1+COUNTIFS($A$19:$A$186,A76,$V$19:$V$186,"&gt;"&amp;V76))</x:f>
        <x:v>1</x:v>
      </x:c>
      <x:c r="Z76" s="431" t="n">
        <x:f>IF(V76="","",1+COUNTIF($V$19:$V$186,"&gt;"&amp;V76))</x:f>
        <x:v>1</x:v>
      </x:c>
      <x:c r="AA76" s="430" t="str">
        <x:f>IF(C76=0,"No specialisations recorded",IF(D76&lt;C76,"Review missing level","Recorded skills only"))</x:f>
        <x:v>Recorded skills only</x:v>
      </x:c>
      <x:c r="AB76" s="601" t="n">
        <x:f>IF(OR(AP76&lt;&gt;"Yes",E76=0),"",IFERROR(100*(COUNTIFS($AP$19:$AP$186,"Yes",$E$19:$E$186,"&gt;0",$I$19:$I$186,"&lt;"&amp;I76)+(COUNTIFS($AP$19:$AP$186,"Yes",$E$19:$E$186,"&gt;0",$I$19:$I$186,I76)-1)/2)/(COUNTIFS($AP$19:$AP$186,"Yes",$E$19:$E$186,"&gt;0")-1),50))</x:f>
        <x:v>52.5974025974026</x:v>
      </x:c>
      <x:c r="AC76" s="601" t="n">
        <x:f>IF(AB76="","",AB76*'Specialisation Rankings'!$O$16+R76*'Specialisation Rankings'!$O$17)</x:f>
        <x:v>47.01298701298702</x:v>
      </x:c>
      <x:c r="AD76" s="601" t="n">
        <x:f>IF(AC76="","",COUNTIFS($A$19:$A$186,A76,$AP$19:$AP$186,"Yes",$E$19:$E$186,"&gt;0",$AC$19:$AC$186,"&gt;"&amp;AC76)+COUNTIFS($A$19:A76,A76,$AP$19:AP76,"Yes",$E$19:E76,"&gt;0",$AC$19:AC76,AC76))</x:f>
        <x:v>6</x:v>
      </x:c>
      <x:c r="AE76" s="601" t="n">
        <x:f>IF(OR(AP76&lt;&gt;"Yes",E76=0),"",IFERROR(100*(COUNTIFS($AP$19:$AP$186,"Yes",$E$19:$E$186,"&gt;0",$H$19:$H$186,"&lt;"&amp;H76)+(COUNTIFS($AP$19:$AP$186,"Yes",$E$19:$E$186,"&gt;0",$H$19:$H$186,H76)-1)/2)/(COUNTIFS($AP$19:$AP$186,"Yes",$E$19:$E$186,"&gt;0")-1),50))</x:f>
        <x:v>42.20779220779221</x:v>
      </x:c>
      <x:c r="AF76" s="601" t="n">
        <x:f>IF(AE76="","",AE76*'Specialisation Rankings'!$O$16+R76*'Specialisation Rankings'!$O$17)</x:f>
        <x:v>38.701298701298704</x:v>
      </x:c>
      <x:c r="AG76" s="601" t="n">
        <x:f>IF(AF76="","",COUNTIFS($A$19:$A$186,A76,$AP$19:$AP$186,"Yes",$E$19:$E$186,"&gt;0",$AF$19:$AF$186,"&gt;"&amp;AF76)+COUNTIFS($A$19:A76,A76,$AP$19:AP76,"Yes",$E$19:E76,"&gt;0",$AF$19:AF76,AF76))</x:f>
        <x:v>9</x:v>
      </x:c>
      <x:c r="AH76" s="601" t="n">
        <x:f>IF(OR(AP76&lt;&gt;"Yes",E76=0),"",IFERROR(100*(COUNTIFS($AP$19:$AP$186,"Yes",$E$19:$E$186,"&gt;0",$J$19:$J$186,"&lt;"&amp;J76)+(COUNTIFS($AP$19:$AP$186,"Yes",$E$19:$E$186,"&gt;0",$J$19:$J$186,J76)-1)/2)/(COUNTIFS($AP$19:$AP$186,"Yes",$E$19:$E$186,"&gt;0")-1),50))</x:f>
        <x:v>33.116883116883116</x:v>
      </x:c>
      <x:c r="AI76" s="601" t="n">
        <x:f>IF(AH76="","",AH76*'Specialisation Rankings'!$O$16+R76*'Specialisation Rankings'!$O$17)</x:f>
        <x:v>31.42857142857143</x:v>
      </x:c>
      <x:c r="AJ76" s="601" t="n">
        <x:f>IF(AI76="","",COUNTIFS($A$19:$A$186,A76,$AP$19:$AP$186,"Yes",$E$19:$E$186,"&gt;0",$AI$19:$AI$186,"&gt;"&amp;AI76)+COUNTIFS($A$19:A76,A76,$AP$19:AP76,"Yes",$E$19:E76,"&gt;0",$AI$19:AI76,AI76))</x:f>
        <x:v>8</x:v>
      </x:c>
      <x:c r="AK76" s="601" t="n">
        <x:f>IF(OR(AP76&lt;&gt;"Yes",E76=0),"",IF(M76=0,'Specialisation Rankings'!$O$23,V76))</x:f>
        <x:v>93.16239316239316</x:v>
      </x:c>
      <x:c r="AL76" s="601" t="n">
        <x:f>IF(AK76="","",COUNTIFS($A$19:$A$186,A76,$AP$19:$AP$186,"Yes",$E$19:$E$186,"&gt;0",$AK$19:$AK$186,"&gt;"&amp;AK76)+COUNTIFS($A$19:A76,A76,$AP$19:AP76,"Yes",$E$19:E76,"&gt;0",$AK$19:AK76,AK76))</x:f>
        <x:v>3</x:v>
      </x:c>
      <x:c r="AM76" s="601" t="n">
        <x:f>IF(AC76="","",AC76*'Specialisation Rankings'!$O$18+AF76*'Specialisation Rankings'!$O$19+AI76*'Specialisation Rankings'!$O$20+AK76*'Specialisation Rankings'!$O$21)</x:f>
        <x:v>48.459096459096465</x:v>
      </x:c>
      <x:c r="AN76" s="601" t="n">
        <x:f>IF(AM76="","",COUNTIFS($A$19:$A$186,A76,$AP$19:$AP$186,"Yes",$E$19:$E$186,"&gt;0",$AM$19:$AM$186,"&gt;"&amp;AM76)+COUNTIFS($A$19:A76,A76,$AP$19:AP76,"Yes",$E$19:E76,"&gt;0",$AM$19:AM76,AM76))</x:f>
        <x:v>5</x:v>
      </x:c>
      <x:c r="AO76" s="601" t="n">
        <x:f>IF(AM76="","",COUNTIFS($AP$19:$AP$186,"Yes",$E$19:$E$186,"&gt;0",$AM$19:$AM$186,"&gt;"&amp;AM76)+COUNTIFS($AP$19:AP76,"Yes",$E$19:E76,"&gt;0",$AM$19:AM76,AM76))</x:f>
        <x:v>76</x:v>
      </x:c>
      <x:c r="AP76" s="602" t="str">
        <x:f>IF(COUNTIFS('Player Scenario Model'!$A$6:$A$172,A76,'Player Scenario Model'!$B$6:$B$172,B76)&gt;0,"Yes","No")</x:f>
        <x:v>Yes</x:v>
      </x:c>
    </x:row>
    <x:row r="77" ht="24" customHeight="1">
      <x:c r="A77" s="430" t="str">
        <x:v>K116</x:v>
      </x:c>
      <x:c r="B77" s="430" t="str">
        <x:v>红烧狮子头</x:v>
      </x:c>
      <x:c r="C77" s="431" t="n">
        <x:f>COUNTIFS('Specialisations'!$A$6:$A$527,A77,'Specialisations'!$B$6:$B$527,B77)</x:f>
        <x:v>4</x:v>
      </x:c>
      <x:c r="D77" s="431" t="n">
        <x:f>COUNTIFS('Specialisations'!$A$6:$A$527,A77,'Specialisations'!$B$6:$B$527,B77,'Specialisations'!$P$6:$P$527,"OK")</x:f>
        <x:v>4</x:v>
      </x:c>
      <x:c r="E77" s="431" t="n">
        <x:f>COUNTIFS('Specialisations'!$A$6:$A$527,A77,'Specialisations'!$B$6:$B$527,B77,'Specialisations'!$P$6:$P$527,"OK",'Specialisations'!$C$6:$C$527,"&lt;&gt;Guards")</x:f>
        <x:v>3</x:v>
      </x:c>
      <x:c r="F77" s="432" t="n">
        <x:f>IF(C77=0,"",D77/C77)</x:f>
        <x:v>1</x:v>
      </x:c>
      <x:c r="G77" s="495" t="n">
        <x:f>SUMIFS('Specialisations'!$Q$6:$Q$527,'Specialisations'!$A$6:$A$527,A77,'Specialisations'!$B$6:$B$527,B77,'Specialisations'!$C$6:$C$527,"Guards")</x:f>
        <x:v>-60</x:v>
      </x:c>
      <x:c r="H77" s="495" t="n">
        <x:f>SUMIFS('Specialisations'!$Q$6:$Q$527,'Specialisations'!$A$6:$A$527,A77,'Specialisations'!$B$6:$B$527,B77,'Specialisations'!$C$6:$C$527,"Archers")</x:f>
        <x:v>35.98</x:v>
      </x:c>
      <x:c r="I77" s="495" t="n">
        <x:f>SUMIFS('Specialisations'!$Q$6:$Q$527,'Specialisations'!$A$6:$A$527,A77,'Specialisations'!$B$6:$B$527,B77,'Specialisations'!$C$6:$C$527,"Cavalry")</x:f>
        <x:v>48.06999999999999</x:v>
      </x:c>
      <x:c r="J77" s="495" t="n">
        <x:f>SUMIFS('Specialisations'!$Q$6:$Q$527,'Specialisations'!$A$6:$A$527,A77,'Specialisations'!$B$6:$B$527,B77,'Specialisations'!$C$6:$C$527,"Siege")</x:f>
        <x:v>0</x:v>
      </x:c>
      <x:c r="K77" s="495" t="n">
        <x:f>SUM(H77:J77)</x:f>
        <x:v>84.04999999999998</x:v>
      </x:c>
      <x:c r="L77" s="495" t="n">
        <x:f>SUM(G77,K77)</x:f>
        <x:v>24.049999999999983</x:v>
      </x:c>
      <x:c r="M77" s="433" t="n">
        <x:f>SUMIFS('Specialisations'!$N$6:$N$527,'Specialisations'!$A$6:$A$527,A77,'Specialisations'!$B$6:$B$527,B77,'Specialisations'!$C$6:$C$527,"Guards")</x:f>
        <x:v>10334300</x:v>
      </x:c>
      <x:c r="N77" s="433" t="n">
        <x:f>SUMIFS('Specialisations'!$N$6:$N$527,'Specialisations'!$A$6:$A$527,A77,'Specialisations'!$B$6:$B$527,B77,'Specialisations'!$C$6:$C$527,"&lt;&gt;Guards")</x:f>
        <x:v>7352900</x:v>
      </x:c>
      <x:c r="O77" s="433" t="n">
        <x:f>SUM(M77:N77)</x:f>
        <x:v>17687200</x:v>
      </x:c>
      <x:c r="P77" s="434" t="n">
        <x:f>IF(E77=0,"",K77/E77)</x:f>
        <x:v>28.016666666666662</x:v>
      </x:c>
      <x:c r="Q77" s="501" t="n">
        <x:f>IF(E77=0,"",IFERROR(100*(COUNTIFS($E$19:$E$186,"&gt;0",$K$19:$K$186,"&lt;"&amp;K77)+(COUNTIFS($E$19:$E$186,"&gt;0",$K$19:$K$186,K77)-1)/2)/(COUNTIF($E$19:$E$186,"&gt;0")-1),50))</x:f>
        <x:v>44.15584415584416</x:v>
      </x:c>
      <x:c r="R77" s="501" t="n">
        <x:f>IF(E77=0,"",IFERROR(100*(COUNTIFS($E$19:$E$186,"&gt;0",$N$19:$N$186,"&lt;"&amp;N77)+(COUNTIFS($E$19:$E$186,"&gt;0",$N$19:$N$186,N77)-1)/2)/(COUNTIF($E$19:$E$186,"&gt;0")-1),50))</x:f>
        <x:v>25.324675324675326</x:v>
      </x:c>
      <x:c r="S77" s="501" t="n">
        <x:f>IF(E77=0,"",Q77*$R$5+R77*$R$6)</x:f>
        <x:v>40.38961038961039</x:v>
      </x:c>
      <x:c r="T77" s="501" t="n">
        <x:f>IF(M77=0,"",IFERROR(100*(COUNTIFS($M$19:$M$186,"&gt;0",$G$19:$G$186,"&gt;"&amp;G77)+(COUNTIFS($M$19:$M$186,"&gt;0",$G$19:$G$186,G77)-1)/2)/(COUNTIF($M$19:$M$186,"&gt;0")-1),50))</x:f>
        <x:v>93.16239316239316</x:v>
      </x:c>
      <x:c r="U77" s="501" t="n">
        <x:f>IF(M77=0,"",IFERROR(100*(COUNTIFS($M$19:$M$186,"&gt;0",$M$19:$M$186,"&lt;"&amp;M77)+(COUNTIFS($M$19:$M$186,"&gt;0",$M$19:$M$186,M77)-1)/2)/(COUNTIF($M$19:$M$186,"&gt;0")-1),50))</x:f>
        <x:v>93.16239316239316</x:v>
      </x:c>
      <x:c r="V77" s="501" t="n">
        <x:f>IF(M77=0,"",T77*$R$5+U77*$R$6)</x:f>
        <x:v>93.16239316239316</x:v>
      </x:c>
      <x:c r="W77" s="431" t="n">
        <x:f>IF(E77=0,"",COUNTIFS($A$19:$A$186,A77,$S$19:$S$186,"&gt;"&amp;S77)+COUNTIFS($A$19:A77,A77,$E$19:E77,"&gt;0",$S$19:S77,S77))</x:f>
        <x:v>7</x:v>
      </x:c>
      <x:c r="X77" s="431" t="n">
        <x:f>IF(S77="","",1+COUNTIF($S$19:$S$186,"&gt;"&amp;S77))</x:f>
        <x:v>92</x:v>
      </x:c>
      <x:c r="Y77" s="431" t="n">
        <x:f>IF(V77="","",1+COUNTIFS($A$19:$A$186,A77,$V$19:$V$186,"&gt;"&amp;V77))</x:f>
        <x:v>1</x:v>
      </x:c>
      <x:c r="Z77" s="431" t="n">
        <x:f>IF(V77="","",1+COUNTIF($V$19:$V$186,"&gt;"&amp;V77))</x:f>
        <x:v>1</x:v>
      </x:c>
      <x:c r="AA77" s="430" t="str">
        <x:f>IF(C77=0,"No specialisations recorded",IF(D77&lt;C77,"Review missing level","Recorded skills only"))</x:f>
        <x:v>Recorded skills only</x:v>
      </x:c>
      <x:c r="AB77" s="601" t="n">
        <x:f>IF(OR(AP77&lt;&gt;"Yes",E77=0),"",IFERROR(100*(COUNTIFS($AP$19:$AP$186,"Yes",$E$19:$E$186,"&gt;0",$I$19:$I$186,"&lt;"&amp;I77)+(COUNTIFS($AP$19:$AP$186,"Yes",$E$19:$E$186,"&gt;0",$I$19:$I$186,I77)-1)/2)/(COUNTIFS($AP$19:$AP$186,"Yes",$E$19:$E$186,"&gt;0")-1),50))</x:f>
        <x:v>39.61038961038961</x:v>
      </x:c>
      <x:c r="AC77" s="601" t="n">
        <x:f>IF(AB77="","",AB77*'Specialisation Rankings'!$O$16+R77*'Specialisation Rankings'!$O$17)</x:f>
        <x:v>36.753246753246756</x:v>
      </x:c>
      <x:c r="AD77" s="601" t="n">
        <x:f>IF(AC77="","",COUNTIFS($A$19:$A$186,A77,$AP$19:$AP$186,"Yes",$E$19:$E$186,"&gt;0",$AC$19:$AC$186,"&gt;"&amp;AC77)+COUNTIFS($A$19:A77,A77,$AP$19:AP77,"Yes",$E$19:E77,"&gt;0",$AC$19:AC77,AC77))</x:f>
        <x:v>8</x:v>
      </x:c>
      <x:c r="AE77" s="601" t="n">
        <x:f>IF(OR(AP77&lt;&gt;"Yes",E77=0),"",IFERROR(100*(COUNTIFS($AP$19:$AP$186,"Yes",$E$19:$E$186,"&gt;0",$H$19:$H$186,"&lt;"&amp;H77)+(COUNTIFS($AP$19:$AP$186,"Yes",$E$19:$E$186,"&gt;0",$H$19:$H$186,H77)-1)/2)/(COUNTIFS($AP$19:$AP$186,"Yes",$E$19:$E$186,"&gt;0")-1),50))</x:f>
        <x:v>61.03896103896104</x:v>
      </x:c>
      <x:c r="AF77" s="601" t="n">
        <x:f>IF(AE77="","",AE77*'Specialisation Rankings'!$O$16+R77*'Specialisation Rankings'!$O$17)</x:f>
        <x:v>53.8961038961039</x:v>
      </x:c>
      <x:c r="AG77" s="601" t="n">
        <x:f>IF(AF77="","",COUNTIFS($A$19:$A$186,A77,$AP$19:$AP$186,"Yes",$E$19:$E$186,"&gt;0",$AF$19:$AF$186,"&gt;"&amp;AF77)+COUNTIFS($A$19:A77,A77,$AP$19:AP77,"Yes",$E$19:E77,"&gt;0",$AF$19:AF77,AF77))</x:f>
        <x:v>5</x:v>
      </x:c>
      <x:c r="AH77" s="601" t="n">
        <x:f>IF(OR(AP77&lt;&gt;"Yes",E77=0),"",IFERROR(100*(COUNTIFS($AP$19:$AP$186,"Yes",$E$19:$E$186,"&gt;0",$J$19:$J$186,"&lt;"&amp;J77)+(COUNTIFS($AP$19:$AP$186,"Yes",$E$19:$E$186,"&gt;0",$J$19:$J$186,J77)-1)/2)/(COUNTIFS($AP$19:$AP$186,"Yes",$E$19:$E$186,"&gt;0")-1),50))</x:f>
        <x:v>33.116883116883116</x:v>
      </x:c>
      <x:c r="AI77" s="601" t="n">
        <x:f>IF(AH77="","",AH77*'Specialisation Rankings'!$O$16+R77*'Specialisation Rankings'!$O$17)</x:f>
        <x:v>31.558441558441558</x:v>
      </x:c>
      <x:c r="AJ77" s="601" t="n">
        <x:f>IF(AI77="","",COUNTIFS($A$19:$A$186,A77,$AP$19:$AP$186,"Yes",$E$19:$E$186,"&gt;0",$AI$19:$AI$186,"&gt;"&amp;AI77)+COUNTIFS($A$19:A77,A77,$AP$19:AP77,"Yes",$E$19:E77,"&gt;0",$AI$19:AI77,AI77))</x:f>
        <x:v>7</x:v>
      </x:c>
      <x:c r="AK77" s="601" t="n">
        <x:f>IF(OR(AP77&lt;&gt;"Yes",E77=0),"",IF(M77=0,'Specialisation Rankings'!$O$23,V77))</x:f>
        <x:v>93.16239316239316</x:v>
      </x:c>
      <x:c r="AL77" s="601" t="n">
        <x:f>IF(AK77="","",COUNTIFS($A$19:$A$186,A77,$AP$19:$AP$186,"Yes",$E$19:$E$186,"&gt;0",$AK$19:$AK$186,"&gt;"&amp;AK77)+COUNTIFS($A$19:A77,A77,$AP$19:AP77,"Yes",$E$19:E77,"&gt;0",$AK$19:AK77,AK77))</x:f>
        <x:v>4</x:v>
      </x:c>
      <x:c r="AM77" s="601" t="n">
        <x:f>IF(AC77="","",AC77*'Specialisation Rankings'!$O$18+AF77*'Specialisation Rankings'!$O$19+AI77*'Specialisation Rankings'!$O$20+AK77*'Specialisation Rankings'!$O$21)</x:f>
        <x:v>43.32922632922634</x:v>
      </x:c>
      <x:c r="AN77" s="601" t="n">
        <x:f>IF(AM77="","",COUNTIFS($A$19:$A$186,A77,$AP$19:$AP$186,"Yes",$E$19:$E$186,"&gt;0",$AM$19:$AM$186,"&gt;"&amp;AM77)+COUNTIFS($A$19:A77,A77,$AP$19:AP77,"Yes",$E$19:E77,"&gt;0",$AM$19:AM77,AM77))</x:f>
        <x:v>8</x:v>
      </x:c>
      <x:c r="AO77" s="601" t="n">
        <x:f>IF(AM77="","",COUNTIFS($AP$19:$AP$186,"Yes",$E$19:$E$186,"&gt;0",$AM$19:$AM$186,"&gt;"&amp;AM77)+COUNTIFS($AP$19:AP77,"Yes",$E$19:E77,"&gt;0",$AM$19:AM77,AM77))</x:f>
        <x:v>91</x:v>
      </x:c>
      <x:c r="AP77" s="602" t="str">
        <x:f>IF(COUNTIFS('Player Scenario Model'!$A$6:$A$172,A77,'Player Scenario Model'!$B$6:$B$172,B77)&gt;0,"Yes","No")</x:f>
        <x:v>Yes</x:v>
      </x:c>
    </x:row>
    <x:row r="78" ht="24" customHeight="1">
      <x:c r="A78" s="430" t="str">
        <x:v>K116</x:v>
      </x:c>
      <x:c r="B78" s="430" t="str">
        <x:v>那时像风一样</x:v>
      </x:c>
      <x:c r="C78" s="431" t="n">
        <x:f>COUNTIFS('Specialisations'!$A$6:$A$527,A78,'Specialisations'!$B$6:$B$527,B78)</x:f>
        <x:v>4</x:v>
      </x:c>
      <x:c r="D78" s="431" t="n">
        <x:f>COUNTIFS('Specialisations'!$A$6:$A$527,A78,'Specialisations'!$B$6:$B$527,B78,'Specialisations'!$P$6:$P$527,"OK")</x:f>
        <x:v>4</x:v>
      </x:c>
      <x:c r="E78" s="431" t="n">
        <x:f>COUNTIFS('Specialisations'!$A$6:$A$527,A78,'Specialisations'!$B$6:$B$527,B78,'Specialisations'!$P$6:$P$527,"OK",'Specialisations'!$C$6:$C$527,"&lt;&gt;Guards")</x:f>
        <x:v>3</x:v>
      </x:c>
      <x:c r="F78" s="432" t="n">
        <x:f>IF(C78=0,"",D78/C78)</x:f>
        <x:v>1</x:v>
      </x:c>
      <x:c r="G78" s="495" t="n">
        <x:f>SUMIFS('Specialisations'!$Q$6:$Q$527,'Specialisations'!$A$6:$A$527,A78,'Specialisations'!$B$6:$B$527,B78,'Specialisations'!$C$6:$C$527,"Guards")</x:f>
        <x:v>-41.98</x:v>
      </x:c>
      <x:c r="H78" s="495" t="n">
        <x:f>SUMIFS('Specialisations'!$Q$6:$Q$527,'Specialisations'!$A$6:$A$527,A78,'Specialisations'!$B$6:$B$527,B78,'Specialisations'!$C$6:$C$527,"Archers")</x:f>
        <x:v>27.74</x:v>
      </x:c>
      <x:c r="I78" s="495" t="n">
        <x:f>SUMIFS('Specialisations'!$Q$6:$Q$527,'Specialisations'!$A$6:$A$527,A78,'Specialisations'!$B$6:$B$527,B78,'Specialisations'!$C$6:$C$527,"Cavalry")</x:f>
        <x:v>71.96</x:v>
      </x:c>
      <x:c r="J78" s="495" t="n">
        <x:f>SUMIFS('Specialisations'!$Q$6:$Q$527,'Specialisations'!$A$6:$A$527,A78,'Specialisations'!$B$6:$B$527,B78,'Specialisations'!$C$6:$C$527,"Siege")</x:f>
        <x:v>0</x:v>
      </x:c>
      <x:c r="K78" s="495" t="n">
        <x:f>SUM(H78:J78)</x:f>
        <x:v>99.69999999999999</x:v>
      </x:c>
      <x:c r="L78" s="495" t="n">
        <x:f>SUM(G78,K78)</x:f>
        <x:v>57.71999999999999</x:v>
      </x:c>
      <x:c r="M78" s="433" t="n">
        <x:f>SUMIFS('Specialisations'!$N$6:$N$527,'Specialisations'!$A$6:$A$527,A78,'Specialisations'!$B$6:$B$527,B78,'Specialisations'!$C$6:$C$527,"Guards")</x:f>
        <x:v>4284300</x:v>
      </x:c>
      <x:c r="N78" s="433" t="n">
        <x:f>SUMIFS('Specialisations'!$N$6:$N$527,'Specialisations'!$A$6:$A$527,A78,'Specialisations'!$B$6:$B$527,B78,'Specialisations'!$C$6:$C$527,"&lt;&gt;Guards")</x:f>
        <x:v>8732900</x:v>
      </x:c>
      <x:c r="O78" s="433" t="n">
        <x:f>SUM(M78:N78)</x:f>
        <x:v>13017200</x:v>
      </x:c>
      <x:c r="P78" s="434" t="n">
        <x:f>IF(E78=0,"",K78/E78)</x:f>
        <x:v>33.23333333333333</x:v>
      </x:c>
      <x:c r="Q78" s="501" t="n">
        <x:f>IF(E78=0,"",IFERROR(100*(COUNTIFS($E$19:$E$186,"&gt;0",$K$19:$K$186,"&lt;"&amp;K78)+(COUNTIFS($E$19:$E$186,"&gt;0",$K$19:$K$186,K78)-1)/2)/(COUNTIF($E$19:$E$186,"&gt;0")-1),50))</x:f>
        <x:v>53.57142857142857</x:v>
      </x:c>
      <x:c r="R78" s="501" t="n">
        <x:f>IF(E78=0,"",IFERROR(100*(COUNTIFS($E$19:$E$186,"&gt;0",$N$19:$N$186,"&lt;"&amp;N78)+(COUNTIFS($E$19:$E$186,"&gt;0",$N$19:$N$186,N78)-1)/2)/(COUNTIF($E$19:$E$186,"&gt;0")-1),50))</x:f>
        <x:v>32.79220779220779</x:v>
      </x:c>
      <x:c r="S78" s="501" t="n">
        <x:f>IF(E78=0,"",Q78*$R$5+R78*$R$6)</x:f>
        <x:v>49.41558441558442</x:v>
      </x:c>
      <x:c r="T78" s="501" t="n">
        <x:f>IF(M78=0,"",IFERROR(100*(COUNTIFS($M$19:$M$186,"&gt;0",$G$19:$G$186,"&gt;"&amp;G78)+(COUNTIFS($M$19:$M$186,"&gt;0",$G$19:$G$186,G78)-1)/2)/(COUNTIF($M$19:$M$186,"&gt;0")-1),50))</x:f>
        <x:v>60.256410256410255</x:v>
      </x:c>
      <x:c r="U78" s="501" t="n">
        <x:f>IF(M78=0,"",IFERROR(100*(COUNTIFS($M$19:$M$186,"&gt;0",$M$19:$M$186,"&lt;"&amp;M78)+(COUNTIFS($M$19:$M$186,"&gt;0",$M$19:$M$186,M78)-1)/2)/(COUNTIF($M$19:$M$186,"&gt;0")-1),50))</x:f>
        <x:v>60.256410256410255</x:v>
      </x:c>
      <x:c r="V78" s="501" t="n">
        <x:f>IF(M78=0,"",T78*$R$5+U78*$R$6)</x:f>
        <x:v>60.25641025641025</x:v>
      </x:c>
      <x:c r="W78" s="431" t="n">
        <x:f>IF(E78=0,"",COUNTIFS($A$19:$A$186,A78,$S$19:$S$186,"&gt;"&amp;S78)+COUNTIFS($A$19:A78,A78,$E$19:E78,"&gt;0",$S$19:S78,S78))</x:f>
        <x:v>5</x:v>
      </x:c>
      <x:c r="X78" s="431" t="n">
        <x:f>IF(S78="","",1+COUNTIF($S$19:$S$186,"&gt;"&amp;S78))</x:f>
        <x:v>79</x:v>
      </x:c>
      <x:c r="Y78" s="431" t="n">
        <x:f>IF(V78="","",1+COUNTIFS($A$19:$A$186,A78,$V$19:$V$186,"&gt;"&amp;V78))</x:f>
        <x:v>8</x:v>
      </x:c>
      <x:c r="Z78" s="431" t="n">
        <x:f>IF(V78="","",1+COUNTIF($V$19:$V$186,"&gt;"&amp;V78))</x:f>
        <x:v>35</x:v>
      </x:c>
      <x:c r="AA78" s="430" t="str">
        <x:f>IF(C78=0,"No specialisations recorded",IF(D78&lt;C78,"Review missing level","Recorded skills only"))</x:f>
        <x:v>Recorded skills only</x:v>
      </x:c>
      <x:c r="AB78" s="601" t="n">
        <x:f>IF(OR(AP78&lt;&gt;"Yes",E78=0),"",IFERROR(100*(COUNTIFS($AP$19:$AP$186,"Yes",$E$19:$E$186,"&gt;0",$I$19:$I$186,"&lt;"&amp;I78)+(COUNTIFS($AP$19:$AP$186,"Yes",$E$19:$E$186,"&gt;0",$I$19:$I$186,I78)-1)/2)/(COUNTIFS($AP$19:$AP$186,"Yes",$E$19:$E$186,"&gt;0")-1),50))</x:f>
        <x:v>56.81818181818182</x:v>
      </x:c>
      <x:c r="AC78" s="601" t="n">
        <x:f>IF(AB78="","",AB78*'Specialisation Rankings'!$O$16+R78*'Specialisation Rankings'!$O$17)</x:f>
        <x:v>52.01298701298702</x:v>
      </x:c>
      <x:c r="AD78" s="601" t="n">
        <x:f>IF(AC78="","",COUNTIFS($A$19:$A$186,A78,$AP$19:$AP$186,"Yes",$E$19:$E$186,"&gt;0",$AC$19:$AC$186,"&gt;"&amp;AC78)+COUNTIFS($A$19:A78,A78,$AP$19:AP78,"Yes",$E$19:E78,"&gt;0",$AC$19:AC78,AC78))</x:f>
        <x:v>4</x:v>
      </x:c>
      <x:c r="AE78" s="601" t="n">
        <x:f>IF(OR(AP78&lt;&gt;"Yes",E78=0),"",IFERROR(100*(COUNTIFS($AP$19:$AP$186,"Yes",$E$19:$E$186,"&gt;0",$H$19:$H$186,"&lt;"&amp;H78)+(COUNTIFS($AP$19:$AP$186,"Yes",$E$19:$E$186,"&gt;0",$H$19:$H$186,H78)-1)/2)/(COUNTIFS($AP$19:$AP$186,"Yes",$E$19:$E$186,"&gt;0")-1),50))</x:f>
        <x:v>42.20779220779221</x:v>
      </x:c>
      <x:c r="AF78" s="601" t="n">
        <x:f>IF(AE78="","",AE78*'Specialisation Rankings'!$O$16+R78*'Specialisation Rankings'!$O$17)</x:f>
        <x:v>40.324675324675326</x:v>
      </x:c>
      <x:c r="AG78" s="601" t="n">
        <x:f>IF(AF78="","",COUNTIFS($A$19:$A$186,A78,$AP$19:$AP$186,"Yes",$E$19:$E$186,"&gt;0",$AF$19:$AF$186,"&gt;"&amp;AF78)+COUNTIFS($A$19:A78,A78,$AP$19:AP78,"Yes",$E$19:E78,"&gt;0",$AF$19:AF78,AF78))</x:f>
        <x:v>8</x:v>
      </x:c>
      <x:c r="AH78" s="601" t="n">
        <x:f>IF(OR(AP78&lt;&gt;"Yes",E78=0),"",IFERROR(100*(COUNTIFS($AP$19:$AP$186,"Yes",$E$19:$E$186,"&gt;0",$J$19:$J$186,"&lt;"&amp;J78)+(COUNTIFS($AP$19:$AP$186,"Yes",$E$19:$E$186,"&gt;0",$J$19:$J$186,J78)-1)/2)/(COUNTIFS($AP$19:$AP$186,"Yes",$E$19:$E$186,"&gt;0")-1),50))</x:f>
        <x:v>33.116883116883116</x:v>
      </x:c>
      <x:c r="AI78" s="601" t="n">
        <x:f>IF(AH78="","",AH78*'Specialisation Rankings'!$O$16+R78*'Specialisation Rankings'!$O$17)</x:f>
        <x:v>33.05194805194805</x:v>
      </x:c>
      <x:c r="AJ78" s="601" t="n">
        <x:f>IF(AI78="","",COUNTIFS($A$19:$A$186,A78,$AP$19:$AP$186,"Yes",$E$19:$E$186,"&gt;0",$AI$19:$AI$186,"&gt;"&amp;AI78)+COUNTIFS($A$19:A78,A78,$AP$19:AP78,"Yes",$E$19:E78,"&gt;0",$AI$19:AI78,AI78))</x:f>
        <x:v>6</x:v>
      </x:c>
      <x:c r="AK78" s="601" t="n">
        <x:f>IF(OR(AP78&lt;&gt;"Yes",E78=0),"",IF(M78=0,'Specialisation Rankings'!$O$23,V78))</x:f>
        <x:v>60.25641025641025</x:v>
      </x:c>
      <x:c r="AL78" s="601" t="n">
        <x:f>IF(AK78="","",COUNTIFS($A$19:$A$186,A78,$AP$19:$AP$186,"Yes",$E$19:$E$186,"&gt;0",$AK$19:$AK$186,"&gt;"&amp;AK78)+COUNTIFS($A$19:A78,A78,$AP$19:AP78,"Yes",$E$19:E78,"&gt;0",$AK$19:AK78,AK78))</x:f>
        <x:v>10</x:v>
      </x:c>
      <x:c r="AM78" s="601" t="n">
        <x:f>IF(AC78="","",AC78*'Specialisation Rankings'!$O$18+AF78*'Specialisation Rankings'!$O$19+AI78*'Specialisation Rankings'!$O$20+AK78*'Specialisation Rankings'!$O$21)</x:f>
        <x:v>48.82434232434234</x:v>
      </x:c>
      <x:c r="AN78" s="601" t="n">
        <x:f>IF(AM78="","",COUNTIFS($A$19:$A$186,A78,$AP$19:$AP$186,"Yes",$E$19:$E$186,"&gt;0",$AM$19:$AM$186,"&gt;"&amp;AM78)+COUNTIFS($A$19:A78,A78,$AP$19:AP78,"Yes",$E$19:E78,"&gt;0",$AM$19:AM78,AM78))</x:f>
        <x:v>4</x:v>
      </x:c>
      <x:c r="AO78" s="601" t="n">
        <x:f>IF(AM78="","",COUNTIFS($AP$19:$AP$186,"Yes",$E$19:$E$186,"&gt;0",$AM$19:$AM$186,"&gt;"&amp;AM78)+COUNTIFS($AP$19:AP78,"Yes",$E$19:E78,"&gt;0",$AM$19:AM78,AM78))</x:f>
        <x:v>75</x:v>
      </x:c>
      <x:c r="AP78" s="602" t="str">
        <x:f>IF(COUNTIFS('Player Scenario Model'!$A$6:$A$172,A78,'Player Scenario Model'!$B$6:$B$172,B78)&gt;0,"Yes","No")</x:f>
        <x:v>Yes</x:v>
      </x:c>
    </x:row>
    <x:row r="79" ht="24" customHeight="1">
      <x:c r="A79" s="430" t="str">
        <x:v>K116</x:v>
      </x:c>
      <x:c r="B79" s="430" t="str">
        <x:v>芙蕾魚</x:v>
      </x:c>
      <x:c r="C79" s="431" t="n">
        <x:f>COUNTIFS('Specialisations'!$A$6:$A$527,A79,'Specialisations'!$B$6:$B$527,B79)</x:f>
        <x:v>3</x:v>
      </x:c>
      <x:c r="D79" s="431" t="n">
        <x:f>COUNTIFS('Specialisations'!$A$6:$A$527,A79,'Specialisations'!$B$6:$B$527,B79,'Specialisations'!$P$6:$P$527,"OK")</x:f>
        <x:v>3</x:v>
      </x:c>
      <x:c r="E79" s="431" t="n">
        <x:f>COUNTIFS('Specialisations'!$A$6:$A$527,A79,'Specialisations'!$B$6:$B$527,B79,'Specialisations'!$P$6:$P$527,"OK",'Specialisations'!$C$6:$C$527,"&lt;&gt;Guards")</x:f>
        <x:v>2</x:v>
      </x:c>
      <x:c r="F79" s="432" t="n">
        <x:f>IF(C79=0,"",D79/C79)</x:f>
        <x:v>1</x:v>
      </x:c>
      <x:c r="G79" s="495" t="n">
        <x:f>SUMIFS('Specialisations'!$Q$6:$Q$527,'Specialisations'!$A$6:$A$527,A79,'Specialisations'!$B$6:$B$527,B79,'Specialisations'!$C$6:$C$527,"Guards")</x:f>
        <x:v>-17.66</x:v>
      </x:c>
      <x:c r="H79" s="495" t="n">
        <x:f>SUMIFS('Specialisations'!$Q$6:$Q$527,'Specialisations'!$A$6:$A$527,A79,'Specialisations'!$B$6:$B$527,B79,'Specialisations'!$C$6:$C$527,"Archers")</x:f>
        <x:v>0</x:v>
      </x:c>
      <x:c r="I79" s="495" t="n">
        <x:f>SUMIFS('Specialisations'!$Q$6:$Q$527,'Specialisations'!$A$6:$A$527,A79,'Specialisations'!$B$6:$B$527,B79,'Specialisations'!$C$6:$C$527,"Cavalry")</x:f>
        <x:v>6</x:v>
      </x:c>
      <x:c r="J79" s="495" t="n">
        <x:f>SUMIFS('Specialisations'!$Q$6:$Q$527,'Specialisations'!$A$6:$A$527,A79,'Specialisations'!$B$6:$B$527,B79,'Specialisations'!$C$6:$C$527,"Siege")</x:f>
        <x:v>0</x:v>
      </x:c>
      <x:c r="K79" s="495" t="n">
        <x:f>SUM(H79:J79)</x:f>
        <x:v>6</x:v>
      </x:c>
      <x:c r="L79" s="495" t="n">
        <x:f>SUM(G79,K79)</x:f>
        <x:v>-11.66</x:v>
      </x:c>
      <x:c r="M79" s="433" t="n">
        <x:f>SUMIFS('Specialisations'!$N$6:$N$527,'Specialisations'!$A$6:$A$527,A79,'Specialisations'!$B$6:$B$527,B79,'Specialisations'!$C$6:$C$527,"Guards")</x:f>
        <x:v>1324300</x:v>
      </x:c>
      <x:c r="N79" s="433" t="n">
        <x:f>SUMIFS('Specialisations'!$N$6:$N$527,'Specialisations'!$A$6:$A$527,A79,'Specialisations'!$B$6:$B$527,B79,'Specialisations'!$C$6:$C$527,"&lt;&gt;Guards")</x:f>
        <x:v>368600</x:v>
      </x:c>
      <x:c r="O79" s="433" t="n">
        <x:f>SUM(M79:N79)</x:f>
        <x:v>1692900</x:v>
      </x:c>
      <x:c r="P79" s="434" t="n">
        <x:f>IF(E79=0,"",K79/E79)</x:f>
        <x:v>3</x:v>
      </x:c>
      <x:c r="Q79" s="501" t="n">
        <x:f>IF(E79=0,"",IFERROR(100*(COUNTIFS($E$19:$E$186,"&gt;0",$K$19:$K$186,"&lt;"&amp;K79)+(COUNTIFS($E$19:$E$186,"&gt;0",$K$19:$K$186,K79)-1)/2)/(COUNTIF($E$19:$E$186,"&gt;0")-1),50))</x:f>
        <x:v>0</x:v>
      </x:c>
      <x:c r="R79" s="501" t="n">
        <x:f>IF(E79=0,"",IFERROR(100*(COUNTIFS($E$19:$E$186,"&gt;0",$N$19:$N$186,"&lt;"&amp;N79)+(COUNTIFS($E$19:$E$186,"&gt;0",$N$19:$N$186,N79)-1)/2)/(COUNTIF($E$19:$E$186,"&gt;0")-1),50))</x:f>
        <x:v>0</x:v>
      </x:c>
      <x:c r="S79" s="501" t="n">
        <x:f>IF(E79=0,"",Q79*$R$5+R79*$R$6)</x:f>
        <x:v>0</x:v>
      </x:c>
      <x:c r="T79" s="501" t="n">
        <x:f>IF(M79=0,"",IFERROR(100*(COUNTIFS($M$19:$M$186,"&gt;0",$G$19:$G$186,"&gt;"&amp;G79)+(COUNTIFS($M$19:$M$186,"&gt;0",$G$19:$G$186,G79)-1)/2)/(COUNTIF($M$19:$M$186,"&gt;0")-1),50))</x:f>
        <x:v>15.811965811965813</x:v>
      </x:c>
      <x:c r="U79" s="501" t="n">
        <x:f>IF(M79=0,"",IFERROR(100*(COUNTIFS($M$19:$M$186,"&gt;0",$M$19:$M$186,"&lt;"&amp;M79)+(COUNTIFS($M$19:$M$186,"&gt;0",$M$19:$M$186,M79)-1)/2)/(COUNTIF($M$19:$M$186,"&gt;0")-1),50))</x:f>
        <x:v>15.811965811965813</x:v>
      </x:c>
      <x:c r="V79" s="501" t="n">
        <x:f>IF(M79=0,"",T79*$R$5+U79*$R$6)</x:f>
        <x:v>15.811965811965813</x:v>
      </x:c>
      <x:c r="W79" s="431" t="n">
        <x:f>IF(E79=0,"",COUNTIFS($A$19:$A$186,A79,$S$19:$S$186,"&gt;"&amp;S79)+COUNTIFS($A$19:A79,A79,$E$19:E79,"&gt;0",$S$19:S79,S79))</x:f>
        <x:v>13</x:v>
      </x:c>
      <x:c r="X79" s="431" t="str">
        <x:f>IF(S79="","",1+COUNTIF($S$19:$S$186,"&gt;"&amp;S79))</x:f>
      </x:c>
      <x:c r="Y79" s="431" t="n">
        <x:f>IF(V79="","",1+COUNTIFS($A$19:$A$186,A79,$V$19:$V$186,"&gt;"&amp;V79))</x:f>
        <x:v>13</x:v>
      </x:c>
      <x:c r="Z79" s="431" t="n">
        <x:f>IF(V79="","",1+COUNTIF($V$19:$V$186,"&gt;"&amp;V79))</x:f>
        <x:v>99</x:v>
      </x:c>
      <x:c r="AA79" s="430" t="str">
        <x:f>IF(C79=0,"No specialisations recorded",IF(D79&lt;C79,"Review missing level","Recorded skills only"))</x:f>
        <x:v>Recorded skills only</x:v>
      </x:c>
      <x:c r="AB79" s="601" t="n">
        <x:f>IF(OR(AP79&lt;&gt;"Yes",E79=0),"",IFERROR(100*(COUNTIFS($AP$19:$AP$186,"Yes",$E$19:$E$186,"&gt;0",$I$19:$I$186,"&lt;"&amp;I79)+(COUNTIFS($AP$19:$AP$186,"Yes",$E$19:$E$186,"&gt;0",$I$19:$I$186,I79)-1)/2)/(COUNTIFS($AP$19:$AP$186,"Yes",$E$19:$E$186,"&gt;0")-1),50))</x:f>
        <x:v>22.07792207792208</x:v>
      </x:c>
      <x:c r="AC79" s="601" t="n">
        <x:f>IF(AB79="","",AB79*'Specialisation Rankings'!$O$16+R79*'Specialisation Rankings'!$O$17)</x:f>
        <x:v>17.662337662337663</x:v>
      </x:c>
      <x:c r="AD79" s="601" t="n">
        <x:f>IF(AC79="","",COUNTIFS($A$19:$A$186,A79,$AP$19:$AP$186,"Yes",$E$19:$E$186,"&gt;0",$AC$19:$AC$186,"&gt;"&amp;AC79)+COUNTIFS($A$19:A79,A79,$AP$19:AP79,"Yes",$E$19:E79,"&gt;0",$AC$19:AC79,AC79))</x:f>
        <x:v>12</x:v>
      </x:c>
      <x:c r="AE79" s="601" t="n">
        <x:f>IF(OR(AP79&lt;&gt;"Yes",E79=0),"",IFERROR(100*(COUNTIFS($AP$19:$AP$186,"Yes",$E$19:$E$186,"&gt;0",$H$19:$H$186,"&lt;"&amp;H79)+(COUNTIFS($AP$19:$AP$186,"Yes",$E$19:$E$186,"&gt;0",$H$19:$H$186,H79)-1)/2)/(COUNTIFS($AP$19:$AP$186,"Yes",$E$19:$E$186,"&gt;0")-1),50))</x:f>
        <x:v>11.688311688311689</x:v>
      </x:c>
      <x:c r="AF79" s="601" t="n">
        <x:f>IF(AE79="","",AE79*'Specialisation Rankings'!$O$16+R79*'Specialisation Rankings'!$O$17)</x:f>
        <x:v>9.350649350649352</x:v>
      </x:c>
      <x:c r="AG79" s="601" t="n">
        <x:f>IF(AF79="","",COUNTIFS($A$19:$A$186,A79,$AP$19:$AP$186,"Yes",$E$19:$E$186,"&gt;0",$AF$19:$AF$186,"&gt;"&amp;AF79)+COUNTIFS($A$19:A79,A79,$AP$19:AP79,"Yes",$E$19:E79,"&gt;0",$AF$19:AF79,AF79))</x:f>
        <x:v>13</x:v>
      </x:c>
      <x:c r="AH79" s="601" t="n">
        <x:f>IF(OR(AP79&lt;&gt;"Yes",E79=0),"",IFERROR(100*(COUNTIFS($AP$19:$AP$186,"Yes",$E$19:$E$186,"&gt;0",$J$19:$J$186,"&lt;"&amp;J79)+(COUNTIFS($AP$19:$AP$186,"Yes",$E$19:$E$186,"&gt;0",$J$19:$J$186,J79)-1)/2)/(COUNTIFS($AP$19:$AP$186,"Yes",$E$19:$E$186,"&gt;0")-1),50))</x:f>
        <x:v>33.116883116883116</x:v>
      </x:c>
      <x:c r="AI79" s="601" t="n">
        <x:f>IF(AH79="","",AH79*'Specialisation Rankings'!$O$16+R79*'Specialisation Rankings'!$O$17)</x:f>
        <x:v>26.493506493506494</x:v>
      </x:c>
      <x:c r="AJ79" s="601" t="n">
        <x:f>IF(AI79="","",COUNTIFS($A$19:$A$186,A79,$AP$19:$AP$186,"Yes",$E$19:$E$186,"&gt;0",$AI$19:$AI$186,"&gt;"&amp;AI79)+COUNTIFS($A$19:A79,A79,$AP$19:AP79,"Yes",$E$19:E79,"&gt;0",$AI$19:AI79,AI79))</x:f>
        <x:v>13</x:v>
      </x:c>
      <x:c r="AK79" s="601" t="n">
        <x:f>IF(OR(AP79&lt;&gt;"Yes",E79=0),"",IF(M79=0,'Specialisation Rankings'!$O$23,V79))</x:f>
        <x:v>15.811965811965813</x:v>
      </x:c>
      <x:c r="AL79" s="601" t="n">
        <x:f>IF(AK79="","",COUNTIFS($A$19:$A$186,A79,$AP$19:$AP$186,"Yes",$E$19:$E$186,"&gt;0",$AK$19:$AK$186,"&gt;"&amp;AK79)+COUNTIFS($A$19:A79,A79,$AP$19:AP79,"Yes",$E$19:E79,"&gt;0",$AK$19:AK79,AK79))</x:f>
        <x:v>13</x:v>
      </x:c>
      <x:c r="AM79" s="601" t="n">
        <x:f>IF(AC79="","",AC79*'Specialisation Rankings'!$O$18+AF79*'Specialisation Rankings'!$O$19+AI79*'Specialisation Rankings'!$O$20+AK79*'Specialisation Rankings'!$O$21)</x:f>
        <x:v>17.970806970806972</x:v>
      </x:c>
      <x:c r="AN79" s="601" t="n">
        <x:f>IF(AM79="","",COUNTIFS($A$19:$A$186,A79,$AP$19:$AP$186,"Yes",$E$19:$E$186,"&gt;0",$AM$19:$AM$186,"&gt;"&amp;AM79)+COUNTIFS($A$19:A79,A79,$AP$19:AP79,"Yes",$E$19:E79,"&gt;0",$AM$19:AM79,AM79))</x:f>
        <x:v>13</x:v>
      </x:c>
      <x:c r="AO79" s="601" t="n">
        <x:f>IF(AM79="","",COUNTIFS($AP$19:$AP$186,"Yes",$E$19:$E$186,"&gt;0",$AM$19:$AM$186,"&gt;"&amp;AM79)+COUNTIFS($AP$19:AP79,"Yes",$E$19:E79,"&gt;0",$AM$19:AM79,AM79))</x:f>
        <x:v>154</x:v>
      </x:c>
      <x:c r="AP79" s="602" t="str">
        <x:f>IF(COUNTIFS('Player Scenario Model'!$A$6:$A$172,A79,'Player Scenario Model'!$B$6:$B$172,B79)&gt;0,"Yes","No")</x:f>
        <x:v>Yes</x:v>
      </x:c>
    </x:row>
    <x:row r="80" ht="24" customHeight="1">
      <x:c r="A80" s="430" t="str">
        <x:v>K116</x:v>
      </x:c>
      <x:c r="B80" s="430" t="str">
        <x:v>ALI</x:v>
      </x:c>
      <x:c r="C80" s="431" t="n">
        <x:f>COUNTIFS('Specialisations'!$A$6:$A$527,A80,'Specialisations'!$B$6:$B$527,B80)</x:f>
        <x:v>3</x:v>
      </x:c>
      <x:c r="D80" s="431" t="n">
        <x:f>COUNTIFS('Specialisations'!$A$6:$A$527,A80,'Specialisations'!$B$6:$B$527,B80,'Specialisations'!$P$6:$P$527,"OK")</x:f>
        <x:v>3</x:v>
      </x:c>
      <x:c r="E80" s="431" t="n">
        <x:f>COUNTIFS('Specialisations'!$A$6:$A$527,A80,'Specialisations'!$B$6:$B$527,B80,'Specialisations'!$P$6:$P$527,"OK",'Specialisations'!$C$6:$C$527,"&lt;&gt;Guards")</x:f>
        <x:v>2</x:v>
      </x:c>
      <x:c r="F80" s="432" t="n">
        <x:f>IF(C80=0,"",D80/C80)</x:f>
        <x:v>1</x:v>
      </x:c>
      <x:c r="G80" s="495" t="n">
        <x:f>SUMIFS('Specialisations'!$Q$6:$Q$527,'Specialisations'!$A$6:$A$527,A80,'Specialisations'!$B$6:$B$527,B80,'Specialisations'!$C$6:$C$527,"Guards")</x:f>
        <x:v>-55.2</x:v>
      </x:c>
      <x:c r="H80" s="495" t="n">
        <x:f>SUMIFS('Specialisations'!$Q$6:$Q$527,'Specialisations'!$A$6:$A$527,A80,'Specialisations'!$B$6:$B$527,B80,'Specialisations'!$C$6:$C$527,"Archers")</x:f>
        <x:v>55.95</x:v>
      </x:c>
      <x:c r="I80" s="495" t="n">
        <x:f>SUMIFS('Specialisations'!$Q$6:$Q$527,'Specialisations'!$A$6:$A$527,A80,'Specialisations'!$B$6:$B$527,B80,'Specialisations'!$C$6:$C$527,"Cavalry")</x:f>
        <x:v>0</x:v>
      </x:c>
      <x:c r="J80" s="495" t="n">
        <x:f>SUMIFS('Specialisations'!$Q$6:$Q$527,'Specialisations'!$A$6:$A$527,A80,'Specialisations'!$B$6:$B$527,B80,'Specialisations'!$C$6:$C$527,"Siege")</x:f>
        <x:v>0</x:v>
      </x:c>
      <x:c r="K80" s="495" t="n">
        <x:f>SUM(H80:J80)</x:f>
        <x:v>55.95</x:v>
      </x:c>
      <x:c r="L80" s="495" t="n">
        <x:f>SUM(G80,K80)</x:f>
        <x:v>0.75</x:v>
      </x:c>
      <x:c r="M80" s="433" t="n">
        <x:f>SUMIFS('Specialisations'!$N$6:$N$527,'Specialisations'!$A$6:$A$527,A80,'Specialisations'!$B$6:$B$527,B80,'Specialisations'!$C$6:$C$527,"Guards")</x:f>
        <x:v>8334300</x:v>
      </x:c>
      <x:c r="N80" s="433" t="n">
        <x:f>SUMIFS('Specialisations'!$N$6:$N$527,'Specialisations'!$A$6:$A$527,A80,'Specialisations'!$B$6:$B$527,B80,'Specialisations'!$C$6:$C$527,"&lt;&gt;Guards")</x:f>
        <x:v>5778600</x:v>
      </x:c>
      <x:c r="O80" s="433" t="n">
        <x:f>SUM(M80:N80)</x:f>
        <x:v>14112900</x:v>
      </x:c>
      <x:c r="P80" s="434" t="n">
        <x:f>IF(E80=0,"",K80/E80)</x:f>
        <x:v>27.975</x:v>
      </x:c>
      <x:c r="Q80" s="501" t="n">
        <x:f>IF(E80=0,"",IFERROR(100*(COUNTIFS($E$19:$E$186,"&gt;0",$K$19:$K$186,"&lt;"&amp;K80)+(COUNTIFS($E$19:$E$186,"&gt;0",$K$19:$K$186,K80)-1)/2)/(COUNTIF($E$19:$E$186,"&gt;0")-1),50))</x:f>
        <x:v>16.883116883116884</x:v>
      </x:c>
      <x:c r="R80" s="501" t="n">
        <x:f>IF(E80=0,"",IFERROR(100*(COUNTIFS($E$19:$E$186,"&gt;0",$N$19:$N$186,"&lt;"&amp;N80)+(COUNTIFS($E$19:$E$186,"&gt;0",$N$19:$N$186,N80)-1)/2)/(COUNTIF($E$19:$E$186,"&gt;0")-1),50))</x:f>
        <x:v>17.532467532467532</x:v>
      </x:c>
      <x:c r="S80" s="501" t="n">
        <x:f>IF(E80=0,"",Q80*$R$5+R80*$R$6)</x:f>
        <x:v>17.01298701298701</x:v>
      </x:c>
      <x:c r="T80" s="501" t="n">
        <x:f>IF(M80=0,"",IFERROR(100*(COUNTIFS($M$19:$M$186,"&gt;0",$G$19:$G$186,"&gt;"&amp;G80)+(COUNTIFS($M$19:$M$186,"&gt;0",$G$19:$G$186,G80)-1)/2)/(COUNTIF($M$19:$M$186,"&gt;0")-1),50))</x:f>
        <x:v>84.1880341880342</x:v>
      </x:c>
      <x:c r="U80" s="501" t="n">
        <x:f>IF(M80=0,"",IFERROR(100*(COUNTIFS($M$19:$M$186,"&gt;0",$M$19:$M$186,"&lt;"&amp;M80)+(COUNTIFS($M$19:$M$186,"&gt;0",$M$19:$M$186,M80)-1)/2)/(COUNTIF($M$19:$M$186,"&gt;0")-1),50))</x:f>
        <x:v>84.1880341880342</x:v>
      </x:c>
      <x:c r="V80" s="501" t="n">
        <x:f>IF(M80=0,"",T80*$R$5+U80*$R$6)</x:f>
        <x:v>84.18803418803418</x:v>
      </x:c>
      <x:c r="W80" s="431" t="n">
        <x:f>IF(E80=0,"",COUNTIFS($A$19:$A$186,A80,$S$19:$S$186,"&gt;"&amp;S80)+COUNTIFS($A$19:A80,A80,$E$19:E80,"&gt;0",$S$19:S80,S80))</x:f>
        <x:v>10</x:v>
      </x:c>
      <x:c r="X80" s="431" t="n">
        <x:f>IF(S80="","",1+COUNTIF($S$19:$S$186,"&gt;"&amp;S80))</x:f>
        <x:v>133</x:v>
      </x:c>
      <x:c r="Y80" s="431" t="n">
        <x:f>IF(V80="","",1+COUNTIFS($A$19:$A$186,A80,$V$19:$V$186,"&gt;"&amp;V80))</x:f>
        <x:v>6</x:v>
      </x:c>
      <x:c r="Z80" s="431" t="n">
        <x:f>IF(V80="","",1+COUNTIF($V$19:$V$186,"&gt;"&amp;V80))</x:f>
        <x:v>18</x:v>
      </x:c>
      <x:c r="AA80" s="430" t="str">
        <x:f>IF(C80=0,"No specialisations recorded",IF(D80&lt;C80,"Review missing level","Recorded skills only"))</x:f>
        <x:v>Recorded skills only</x:v>
      </x:c>
      <x:c r="AB80" s="601" t="n">
        <x:f>IF(OR(AP80&lt;&gt;"Yes",E80=0),"",IFERROR(100*(COUNTIFS($AP$19:$AP$186,"Yes",$E$19:$E$186,"&gt;0",$I$19:$I$186,"&lt;"&amp;I80)+(COUNTIFS($AP$19:$AP$186,"Yes",$E$19:$E$186,"&gt;0",$I$19:$I$186,I80)-1)/2)/(COUNTIFS($AP$19:$AP$186,"Yes",$E$19:$E$186,"&gt;0")-1),50))</x:f>
        <x:v>10.38961038961039</x:v>
      </x:c>
      <x:c r="AC80" s="601" t="n">
        <x:f>IF(AB80="","",AB80*'Specialisation Rankings'!$O$16+R80*'Specialisation Rankings'!$O$17)</x:f>
        <x:v>11.81818181818182</x:v>
      </x:c>
      <x:c r="AD80" s="601" t="n">
        <x:f>IF(AC80="","",COUNTIFS($A$19:$A$186,A80,$AP$19:$AP$186,"Yes",$E$19:$E$186,"&gt;0",$AC$19:$AC$186,"&gt;"&amp;AC80)+COUNTIFS($A$19:A80,A80,$AP$19:AP80,"Yes",$E$19:E80,"&gt;0",$AC$19:AC80,AC80))</x:f>
        <x:v>13</x:v>
      </x:c>
      <x:c r="AE80" s="601" t="n">
        <x:f>IF(OR(AP80&lt;&gt;"Yes",E80=0),"",IFERROR(100*(COUNTIFS($AP$19:$AP$186,"Yes",$E$19:$E$186,"&gt;0",$H$19:$H$186,"&lt;"&amp;H80)+(COUNTIFS($AP$19:$AP$186,"Yes",$E$19:$E$186,"&gt;0",$H$19:$H$186,H80)-1)/2)/(COUNTIFS($AP$19:$AP$186,"Yes",$E$19:$E$186,"&gt;0")-1),50))</x:f>
        <x:v>84.41558441558442</x:v>
      </x:c>
      <x:c r="AF80" s="601" t="n">
        <x:f>IF(AE80="","",AE80*'Specialisation Rankings'!$O$16+R80*'Specialisation Rankings'!$O$17)</x:f>
        <x:v>71.03896103896105</x:v>
      </x:c>
      <x:c r="AG80" s="601" t="n">
        <x:f>IF(AF80="","",COUNTIFS($A$19:$A$186,A80,$AP$19:$AP$186,"Yes",$E$19:$E$186,"&gt;0",$AF$19:$AF$186,"&gt;"&amp;AF80)+COUNTIFS($A$19:A80,A80,$AP$19:AP80,"Yes",$E$19:E80,"&gt;0",$AF$19:AF80,AF80))</x:f>
        <x:v>2</x:v>
      </x:c>
      <x:c r="AH80" s="601" t="n">
        <x:f>IF(OR(AP80&lt;&gt;"Yes",E80=0),"",IFERROR(100*(COUNTIFS($AP$19:$AP$186,"Yes",$E$19:$E$186,"&gt;0",$J$19:$J$186,"&lt;"&amp;J80)+(COUNTIFS($AP$19:$AP$186,"Yes",$E$19:$E$186,"&gt;0",$J$19:$J$186,J80)-1)/2)/(COUNTIFS($AP$19:$AP$186,"Yes",$E$19:$E$186,"&gt;0")-1),50))</x:f>
        <x:v>33.116883116883116</x:v>
      </x:c>
      <x:c r="AI80" s="601" t="n">
        <x:f>IF(AH80="","",AH80*'Specialisation Rankings'!$O$16+R80*'Specialisation Rankings'!$O$17)</x:f>
        <x:v>30</x:v>
      </x:c>
      <x:c r="AJ80" s="601" t="n">
        <x:f>IF(AI80="","",COUNTIFS($A$19:$A$186,A80,$AP$19:$AP$186,"Yes",$E$19:$E$186,"&gt;0",$AI$19:$AI$186,"&gt;"&amp;AI80)+COUNTIFS($A$19:A80,A80,$AP$19:AP80,"Yes",$E$19:E80,"&gt;0",$AI$19:AI80,AI80))</x:f>
        <x:v>9</x:v>
      </x:c>
      <x:c r="AK80" s="601" t="n">
        <x:f>IF(OR(AP80&lt;&gt;"Yes",E80=0),"",IF(M80=0,'Specialisation Rankings'!$O$23,V80))</x:f>
        <x:v>84.18803418803418</x:v>
      </x:c>
      <x:c r="AL80" s="601" t="n">
        <x:f>IF(AK80="","",COUNTIFS($A$19:$A$186,A80,$AP$19:$AP$186,"Yes",$E$19:$E$186,"&gt;0",$AK$19:$AK$186,"&gt;"&amp;AK80)+COUNTIFS($A$19:A80,A80,$AP$19:AP80,"Yes",$E$19:E80,"&gt;0",$AK$19:AK80,AK80))</x:f>
        <x:v>6</x:v>
      </x:c>
      <x:c r="AM80" s="601" t="n">
        <x:f>IF(AC80="","",AC80*'Specialisation Rankings'!$O$18+AF80*'Specialisation Rankings'!$O$19+AI80*'Specialisation Rankings'!$O$20+AK80*'Specialisation Rankings'!$O$21)</x:f>
        <x:v>27.704517704517706</x:v>
      </x:c>
      <x:c r="AN80" s="601" t="n">
        <x:f>IF(AM80="","",COUNTIFS($A$19:$A$186,A80,$AP$19:$AP$186,"Yes",$E$19:$E$186,"&gt;0",$AM$19:$AM$186,"&gt;"&amp;AM80)+COUNTIFS($A$19:A80,A80,$AP$19:AP80,"Yes",$E$19:E80,"&gt;0",$AM$19:AM80,AM80))</x:f>
        <x:v>11</x:v>
      </x:c>
      <x:c r="AO80" s="601" t="n">
        <x:f>IF(AM80="","",COUNTIFS($AP$19:$AP$186,"Yes",$E$19:$E$186,"&gt;0",$AM$19:$AM$186,"&gt;"&amp;AM80)+COUNTIFS($AP$19:AP80,"Yes",$E$19:E80,"&gt;0",$AM$19:AM80,AM80))</x:f>
        <x:v>131</x:v>
      </x:c>
      <x:c r="AP80" s="602" t="str">
        <x:f>IF(COUNTIFS('Player Scenario Model'!$A$6:$A$172,A80,'Player Scenario Model'!$B$6:$B$172,B80)&gt;0,"Yes","No")</x:f>
        <x:v>Yes</x:v>
      </x:c>
    </x:row>
    <x:row r="81" ht="24" customHeight="1">
      <x:c r="A81" s="430" t="str">
        <x:v>K116</x:v>
      </x:c>
      <x:c r="B81" s="430" t="str">
        <x:v>不可盾号</x:v>
      </x:c>
      <x:c r="C81" s="431" t="n">
        <x:f>COUNTIFS('Specialisations'!$A$6:$A$527,A81,'Specialisations'!$B$6:$B$527,B81)</x:f>
        <x:v>1</x:v>
      </x:c>
      <x:c r="D81" s="431" t="n">
        <x:f>COUNTIFS('Specialisations'!$A$6:$A$527,A81,'Specialisations'!$B$6:$B$527,B81,'Specialisations'!$P$6:$P$527,"OK")</x:f>
        <x:v>1</x:v>
      </x:c>
      <x:c r="E81" s="431" t="n">
        <x:f>COUNTIFS('Specialisations'!$A$6:$A$527,A81,'Specialisations'!$B$6:$B$527,B81,'Specialisations'!$P$6:$P$527,"OK",'Specialisations'!$C$6:$C$527,"&lt;&gt;Guards")</x:f>
        <x:v>0</x:v>
      </x:c>
      <x:c r="F81" s="432" t="n">
        <x:f>IF(C81=0,"",D81/C81)</x:f>
        <x:v>1</x:v>
      </x:c>
      <x:c r="G81" s="495" t="n">
        <x:f>SUMIFS('Specialisations'!$Q$6:$Q$527,'Specialisations'!$A$6:$A$527,A81,'Specialisations'!$B$6:$B$527,B81,'Specialisations'!$C$6:$C$527,"Guards")</x:f>
        <x:v>-27.74</x:v>
      </x:c>
      <x:c r="H81" s="495" t="n">
        <x:f>SUMIFS('Specialisations'!$Q$6:$Q$527,'Specialisations'!$A$6:$A$527,A81,'Specialisations'!$B$6:$B$527,B81,'Specialisations'!$C$6:$C$527,"Archers")</x:f>
        <x:v>0</x:v>
      </x:c>
      <x:c r="I81" s="495" t="n">
        <x:f>SUMIFS('Specialisations'!$Q$6:$Q$527,'Specialisations'!$A$6:$A$527,A81,'Specialisations'!$B$6:$B$527,B81,'Specialisations'!$C$6:$C$527,"Cavalry")</x:f>
        <x:v>0</x:v>
      </x:c>
      <x:c r="J81" s="495" t="n">
        <x:f>SUMIFS('Specialisations'!$Q$6:$Q$527,'Specialisations'!$A$6:$A$527,A81,'Specialisations'!$B$6:$B$527,B81,'Specialisations'!$C$6:$C$527,"Siege")</x:f>
        <x:v>0</x:v>
      </x:c>
      <x:c r="K81" s="495" t="n">
        <x:f>SUM(H81:J81)</x:f>
        <x:v>0</x:v>
      </x:c>
      <x:c r="L81" s="495" t="n">
        <x:f>SUM(G81,K81)</x:f>
        <x:v>-27.74</x:v>
      </x:c>
      <x:c r="M81" s="433" t="n">
        <x:f>SUMIFS('Specialisations'!$N$6:$N$527,'Specialisations'!$A$6:$A$527,A81,'Specialisations'!$B$6:$B$527,B81,'Specialisations'!$C$6:$C$527,"Guards")</x:f>
        <x:v>2244300</x:v>
      </x:c>
      <x:c r="N81" s="433" t="n">
        <x:f>SUMIFS('Specialisations'!$N$6:$N$527,'Specialisations'!$A$6:$A$527,A81,'Specialisations'!$B$6:$B$527,B81,'Specialisations'!$C$6:$C$527,"&lt;&gt;Guards")</x:f>
        <x:v>0</x:v>
      </x:c>
      <x:c r="O81" s="433" t="n">
        <x:f>SUM(M81:N81)</x:f>
        <x:v>2244300</x:v>
      </x:c>
      <x:c r="P81" s="434" t="str">
        <x:f>IF(E81=0,"",K81/E81)</x:f>
      </x:c>
      <x:c r="Q81" s="501" t="str">
        <x:f>IF(E81=0,"",IFERROR(100*(COUNTIFS($E$19:$E$186,"&gt;0",$K$19:$K$186,"&lt;"&amp;K81)+(COUNTIFS($E$19:$E$186,"&gt;0",$K$19:$K$186,K81)-1)/2)/(COUNTIF($E$19:$E$186,"&gt;0")-1),50))</x:f>
      </x:c>
      <x:c r="R81" s="501" t="str">
        <x:f>IF(E81=0,"",IFERROR(100*(COUNTIFS($E$19:$E$186,"&gt;0",$N$19:$N$186,"&lt;"&amp;N81)+(COUNTIFS($E$19:$E$186,"&gt;0",$N$19:$N$186,N81)-1)/2)/(COUNTIF($E$19:$E$186,"&gt;0")-1),50))</x:f>
      </x:c>
      <x:c r="S81" s="501" t="str">
        <x:f>IF(E81=0,"",Q81*$R$5+R81*$R$6)</x:f>
      </x:c>
      <x:c r="T81" s="501" t="n">
        <x:f>IF(M81=0,"",IFERROR(100*(COUNTIFS($M$19:$M$186,"&gt;0",$G$19:$G$186,"&gt;"&amp;G81)+(COUNTIFS($M$19:$M$186,"&gt;0",$G$19:$G$186,G81)-1)/2)/(COUNTIF($M$19:$M$186,"&gt;0")-1),50))</x:f>
        <x:v>29.487179487179485</x:v>
      </x:c>
      <x:c r="U81" s="501" t="n">
        <x:f>IF(M81=0,"",IFERROR(100*(COUNTIFS($M$19:$M$186,"&gt;0",$M$19:$M$186,"&lt;"&amp;M81)+(COUNTIFS($M$19:$M$186,"&gt;0",$M$19:$M$186,M81)-1)/2)/(COUNTIF($M$19:$M$186,"&gt;0")-1),50))</x:f>
        <x:v>29.487179487179485</x:v>
      </x:c>
      <x:c r="V81" s="501" t="n">
        <x:f>IF(M81=0,"",T81*$R$5+U81*$R$6)</x:f>
        <x:v>29.48717948717949</x:v>
      </x:c>
      <x:c r="W81" s="431" t="str">
        <x:f>IF(E81=0,"",COUNTIFS($A$19:$A$186,A81,$S$19:$S$186,"&gt;"&amp;S81)+COUNTIFS($A$19:A81,A81,$E$19:E81,"&gt;0",$S$19:S81,S81))</x:f>
      </x:c>
      <x:c r="X81" s="431" t="str">
        <x:f>IF(S81="","",1+COUNTIF($S$19:$S$186,"&gt;"&amp;S81))</x:f>
      </x:c>
      <x:c r="Y81" s="431" t="n">
        <x:f>IF(V81="","",1+COUNTIFS($A$19:$A$186,A81,$V$19:$V$186,"&gt;"&amp;V81))</x:f>
        <x:v>11</x:v>
      </x:c>
      <x:c r="Z81" s="431" t="n">
        <x:f>IF(V81="","",1+COUNTIF($V$19:$V$186,"&gt;"&amp;V81))</x:f>
        <x:v>70</x:v>
      </x:c>
      <x:c r="AA81" s="430" t="str">
        <x:f>IF(C81=0,"No specialisations recorded",IF(D81&lt;C81,"Review missing level","Recorded skills only"))</x:f>
        <x:v>Recorded skills only</x:v>
      </x:c>
      <x:c r="AB81" s="601" t="str">
        <x:f>IF(OR(AP81&lt;&gt;"Yes",E81=0),"",IFERROR(100*(COUNTIFS($AP$19:$AP$186,"Yes",$E$19:$E$186,"&gt;0",$I$19:$I$186,"&lt;"&amp;I81)+(COUNTIFS($AP$19:$AP$186,"Yes",$E$19:$E$186,"&gt;0",$I$19:$I$186,I81)-1)/2)/(COUNTIFS($AP$19:$AP$186,"Yes",$E$19:$E$186,"&gt;0")-1),50))</x:f>
      </x:c>
      <x:c r="AC81" s="601" t="str">
        <x:f>IF(AB81="","",AB81*'Specialisation Rankings'!$O$16+R81*'Specialisation Rankings'!$O$17)</x:f>
      </x:c>
      <x:c r="AD81" s="601" t="str">
        <x:f>IF(AC81="","",COUNTIFS($A$19:$A$186,A81,$AP$19:$AP$186,"Yes",$E$19:$E$186,"&gt;0",$AC$19:$AC$186,"&gt;"&amp;AC81)+COUNTIFS($A$19:A81,A81,$AP$19:AP81,"Yes",$E$19:E81,"&gt;0",$AC$19:AC81,AC81))</x:f>
      </x:c>
      <x:c r="AE81" s="601" t="str">
        <x:f>IF(OR(AP81&lt;&gt;"Yes",E81=0),"",IFERROR(100*(COUNTIFS($AP$19:$AP$186,"Yes",$E$19:$E$186,"&gt;0",$H$19:$H$186,"&lt;"&amp;H81)+(COUNTIFS($AP$19:$AP$186,"Yes",$E$19:$E$186,"&gt;0",$H$19:$H$186,H81)-1)/2)/(COUNTIFS($AP$19:$AP$186,"Yes",$E$19:$E$186,"&gt;0")-1),50))</x:f>
      </x:c>
      <x:c r="AF81" s="601" t="str">
        <x:f>IF(AE81="","",AE81*'Specialisation Rankings'!$O$16+R81*'Specialisation Rankings'!$O$17)</x:f>
      </x:c>
      <x:c r="AG81" s="601" t="str">
        <x:f>IF(AF81="","",COUNTIFS($A$19:$A$186,A81,$AP$19:$AP$186,"Yes",$E$19:$E$186,"&gt;0",$AF$19:$AF$186,"&gt;"&amp;AF81)+COUNTIFS($A$19:A81,A81,$AP$19:AP81,"Yes",$E$19:E81,"&gt;0",$AF$19:AF81,AF81))</x:f>
      </x:c>
      <x:c r="AH81" s="601" t="str">
        <x:f>IF(OR(AP81&lt;&gt;"Yes",E81=0),"",IFERROR(100*(COUNTIFS($AP$19:$AP$186,"Yes",$E$19:$E$186,"&gt;0",$J$19:$J$186,"&lt;"&amp;J81)+(COUNTIFS($AP$19:$AP$186,"Yes",$E$19:$E$186,"&gt;0",$J$19:$J$186,J81)-1)/2)/(COUNTIFS($AP$19:$AP$186,"Yes",$E$19:$E$186,"&gt;0")-1),50))</x:f>
      </x:c>
      <x:c r="AI81" s="601" t="str">
        <x:f>IF(AH81="","",AH81*'Specialisation Rankings'!$O$16+R81*'Specialisation Rankings'!$O$17)</x:f>
      </x:c>
      <x:c r="AJ81" s="601" t="str">
        <x:f>IF(AI81="","",COUNTIFS($A$19:$A$186,A81,$AP$19:$AP$186,"Yes",$E$19:$E$186,"&gt;0",$AI$19:$AI$186,"&gt;"&amp;AI81)+COUNTIFS($A$19:A81,A81,$AP$19:AP81,"Yes",$E$19:E81,"&gt;0",$AI$19:AI81,AI81))</x:f>
      </x:c>
      <x:c r="AK81" s="601" t="str">
        <x:f>IF(OR(AP81&lt;&gt;"Yes",E81=0),"",IF(M81=0,'Specialisation Rankings'!$O$23,V81))</x:f>
      </x:c>
      <x:c r="AL81" s="601" t="str">
        <x:f>IF(AK81="","",COUNTIFS($A$19:$A$186,A81,$AP$19:$AP$186,"Yes",$E$19:$E$186,"&gt;0",$AK$19:$AK$186,"&gt;"&amp;AK81)+COUNTIFS($A$19:A81,A81,$AP$19:AP81,"Yes",$E$19:E81,"&gt;0",$AK$19:AK81,AK81))</x:f>
      </x:c>
      <x:c r="AM81" s="601" t="str">
        <x:f>IF(AC81="","",AC81*'Specialisation Rankings'!$O$18+AF81*'Specialisation Rankings'!$O$19+AI81*'Specialisation Rankings'!$O$20+AK81*'Specialisation Rankings'!$O$21)</x:f>
      </x:c>
      <x:c r="AN81" s="601" t="str">
        <x:f>IF(AM81="","",COUNTIFS($A$19:$A$186,A81,$AP$19:$AP$186,"Yes",$E$19:$E$186,"&gt;0",$AM$19:$AM$186,"&gt;"&amp;AM81)+COUNTIFS($A$19:A81,A81,$AP$19:AP81,"Yes",$E$19:E81,"&gt;0",$AM$19:AM81,AM81))</x:f>
      </x:c>
      <x:c r="AO81" s="601" t="str">
        <x:f>IF(AM81="","",COUNTIFS($AP$19:$AP$186,"Yes",$E$19:$E$186,"&gt;0",$AM$19:$AM$186,"&gt;"&amp;AM81)+COUNTIFS($AP$19:AP81,"Yes",$E$19:E81,"&gt;0",$AM$19:AM81,AM81))</x:f>
      </x:c>
      <x:c r="AP81" s="602" t="str">
        <x:f>IF(COUNTIFS('Player Scenario Model'!$A$6:$A$172,A81,'Player Scenario Model'!$B$6:$B$172,B81)&gt;0,"Yes","No")</x:f>
        <x:v>Yes</x:v>
      </x:c>
    </x:row>
    <x:row r="82" ht="24" customHeight="1">
      <x:c r="A82" s="430" t="str">
        <x:v>K116</x:v>
      </x:c>
      <x:c r="B82" s="430" t="str">
        <x:v>光之使者</x:v>
      </x:c>
      <x:c r="C82" s="431" t="n">
        <x:f>COUNTIFS('Specialisations'!$A$6:$A$527,A82,'Specialisations'!$B$6:$B$527,B82)</x:f>
        <x:v>5</x:v>
      </x:c>
      <x:c r="D82" s="431" t="n">
        <x:f>COUNTIFS('Specialisations'!$A$6:$A$527,A82,'Specialisations'!$B$6:$B$527,B82,'Specialisations'!$P$6:$P$527,"OK")</x:f>
        <x:v>5</x:v>
      </x:c>
      <x:c r="E82" s="431" t="n">
        <x:f>COUNTIFS('Specialisations'!$A$6:$A$527,A82,'Specialisations'!$B$6:$B$527,B82,'Specialisations'!$P$6:$P$527,"OK",'Specialisations'!$C$6:$C$527,"&lt;&gt;Guards")</x:f>
        <x:v>4</x:v>
      </x:c>
      <x:c r="F82" s="432" t="n">
        <x:f>IF(C82=0,"",D82/C82)</x:f>
        <x:v>1</x:v>
      </x:c>
      <x:c r="G82" s="495" t="n">
        <x:f>SUMIFS('Specialisations'!$Q$6:$Q$527,'Specialisations'!$A$6:$A$527,A82,'Specialisations'!$B$6:$B$527,B82,'Specialisations'!$C$6:$C$527,"Guards")</x:f>
        <x:v>-60</x:v>
      </x:c>
      <x:c r="H82" s="495" t="n">
        <x:f>SUMIFS('Specialisations'!$Q$6:$Q$527,'Specialisations'!$A$6:$A$527,A82,'Specialisations'!$B$6:$B$527,B82,'Specialisations'!$C$6:$C$527,"Archers")</x:f>
        <x:v>41.98</x:v>
      </x:c>
      <x:c r="I82" s="495" t="n">
        <x:f>SUMIFS('Specialisations'!$Q$6:$Q$527,'Specialisations'!$A$6:$A$527,A82,'Specialisations'!$B$6:$B$527,B82,'Specialisations'!$C$6:$C$527,"Cavalry")</x:f>
        <x:v>81.91</x:v>
      </x:c>
      <x:c r="J82" s="495" t="n">
        <x:f>SUMIFS('Specialisations'!$Q$6:$Q$527,'Specialisations'!$A$6:$A$527,A82,'Specialisations'!$B$6:$B$527,B82,'Specialisations'!$C$6:$C$527,"Siege")</x:f>
        <x:v>41.98</x:v>
      </x:c>
      <x:c r="K82" s="495" t="n">
        <x:f>SUM(H82:J82)</x:f>
        <x:v>165.86999999999998</x:v>
      </x:c>
      <x:c r="L82" s="495" t="n">
        <x:f>SUM(G82,K82)</x:f>
        <x:v>105.86999999999998</x:v>
      </x:c>
      <x:c r="M82" s="433" t="n">
        <x:f>SUMIFS('Specialisations'!$N$6:$N$527,'Specialisations'!$A$6:$A$527,A82,'Specialisations'!$B$6:$B$527,B82,'Specialisations'!$C$6:$C$527,"Guards")</x:f>
        <x:v>10334300</x:v>
      </x:c>
      <x:c r="N82" s="433" t="n">
        <x:f>SUMIFS('Specialisations'!$N$6:$N$527,'Specialisations'!$A$6:$A$527,A82,'Specialisations'!$B$6:$B$527,B82,'Specialisations'!$C$6:$C$527,"&lt;&gt;Guards")</x:f>
        <x:v>16577200</x:v>
      </x:c>
      <x:c r="O82" s="433" t="n">
        <x:f>SUM(M82:N82)</x:f>
        <x:v>26911500</x:v>
      </x:c>
      <x:c r="P82" s="434" t="n">
        <x:f>IF(E82=0,"",K82/E82)</x:f>
        <x:v>41.467499999999994</x:v>
      </x:c>
      <x:c r="Q82" s="501" t="n">
        <x:f>IF(E82=0,"",IFERROR(100*(COUNTIFS($E$19:$E$186,"&gt;0",$K$19:$K$186,"&lt;"&amp;K82)+(COUNTIFS($E$19:$E$186,"&gt;0",$K$19:$K$186,K82)-1)/2)/(COUNTIF($E$19:$E$186,"&gt;0")-1),50))</x:f>
        <x:v>90.25974025974025</x:v>
      </x:c>
      <x:c r="R82" s="501" t="n">
        <x:f>IF(E82=0,"",IFERROR(100*(COUNTIFS($E$19:$E$186,"&gt;0",$N$19:$N$186,"&lt;"&amp;N82)+(COUNTIFS($E$19:$E$186,"&gt;0",$N$19:$N$186,N82)-1)/2)/(COUNTIF($E$19:$E$186,"&gt;0")-1),50))</x:f>
        <x:v>83.11688311688312</x:v>
      </x:c>
      <x:c r="S82" s="501" t="n">
        <x:f>IF(E82=0,"",Q82*$R$5+R82*$R$6)</x:f>
        <x:v>88.83116883116882</x:v>
      </x:c>
      <x:c r="T82" s="501" t="n">
        <x:f>IF(M82=0,"",IFERROR(100*(COUNTIFS($M$19:$M$186,"&gt;0",$G$19:$G$186,"&gt;"&amp;G82)+(COUNTIFS($M$19:$M$186,"&gt;0",$G$19:$G$186,G82)-1)/2)/(COUNTIF($M$19:$M$186,"&gt;0")-1),50))</x:f>
        <x:v>93.16239316239316</x:v>
      </x:c>
      <x:c r="U82" s="501" t="n">
        <x:f>IF(M82=0,"",IFERROR(100*(COUNTIFS($M$19:$M$186,"&gt;0",$M$19:$M$186,"&lt;"&amp;M82)+(COUNTIFS($M$19:$M$186,"&gt;0",$M$19:$M$186,M82)-1)/2)/(COUNTIF($M$19:$M$186,"&gt;0")-1),50))</x:f>
        <x:v>93.16239316239316</x:v>
      </x:c>
      <x:c r="V82" s="501" t="n">
        <x:f>IF(M82=0,"",T82*$R$5+U82*$R$6)</x:f>
        <x:v>93.16239316239316</x:v>
      </x:c>
      <x:c r="W82" s="431" t="n">
        <x:f>IF(E82=0,"",COUNTIFS($A$19:$A$186,A82,$S$19:$S$186,"&gt;"&amp;S82)+COUNTIFS($A$19:A82,A82,$E$19:E82,"&gt;0",$S$19:S82,S82))</x:f>
        <x:v>2</x:v>
      </x:c>
      <x:c r="X82" s="431" t="n">
        <x:f>IF(S82="","",1+COUNTIF($S$19:$S$186,"&gt;"&amp;S82))</x:f>
        <x:v>18</x:v>
      </x:c>
      <x:c r="Y82" s="431" t="n">
        <x:f>IF(V82="","",1+COUNTIFS($A$19:$A$186,A82,$V$19:$V$186,"&gt;"&amp;V82))</x:f>
        <x:v>1</x:v>
      </x:c>
      <x:c r="Z82" s="431" t="n">
        <x:f>IF(V82="","",1+COUNTIF($V$19:$V$186,"&gt;"&amp;V82))</x:f>
        <x:v>1</x:v>
      </x:c>
      <x:c r="AA82" s="430" t="str">
        <x:f>IF(C82=0,"No specialisations recorded",IF(D82&lt;C82,"Review missing level","Recorded skills only"))</x:f>
        <x:v>Recorded skills only</x:v>
      </x:c>
      <x:c r="AB82" s="601" t="n">
        <x:f>IF(OR(AP82&lt;&gt;"Yes",E82=0),"",IFERROR(100*(COUNTIFS($AP$19:$AP$186,"Yes",$E$19:$E$186,"&gt;0",$I$19:$I$186,"&lt;"&amp;I82)+(COUNTIFS($AP$19:$AP$186,"Yes",$E$19:$E$186,"&gt;0",$I$19:$I$186,I82)-1)/2)/(COUNTIFS($AP$19:$AP$186,"Yes",$E$19:$E$186,"&gt;0")-1),50))</x:f>
        <x:v>66.23376623376623</x:v>
      </x:c>
      <x:c r="AC82" s="601" t="n">
        <x:f>IF(AB82="","",AB82*'Specialisation Rankings'!$O$16+R82*'Specialisation Rankings'!$O$17)</x:f>
        <x:v>69.61038961038962</x:v>
      </x:c>
      <x:c r="AD82" s="601" t="n">
        <x:f>IF(AC82="","",COUNTIFS($A$19:$A$186,A82,$AP$19:$AP$186,"Yes",$E$19:$E$186,"&gt;0",$AC$19:$AC$186,"&gt;"&amp;AC82)+COUNTIFS($A$19:A82,A82,$AP$19:AP82,"Yes",$E$19:E82,"&gt;0",$AC$19:AC82,AC82))</x:f>
        <x:v>2</x:v>
      </x:c>
      <x:c r="AE82" s="601" t="n">
        <x:f>IF(OR(AP82&lt;&gt;"Yes",E82=0),"",IFERROR(100*(COUNTIFS($AP$19:$AP$186,"Yes",$E$19:$E$186,"&gt;0",$H$19:$H$186,"&lt;"&amp;H82)+(COUNTIFS($AP$19:$AP$186,"Yes",$E$19:$E$186,"&gt;0",$H$19:$H$186,H82)-1)/2)/(COUNTIFS($AP$19:$AP$186,"Yes",$E$19:$E$186,"&gt;0")-1),50))</x:f>
        <x:v>68.50649350649351</x:v>
      </x:c>
      <x:c r="AF82" s="601" t="n">
        <x:f>IF(AE82="","",AE82*'Specialisation Rankings'!$O$16+R82*'Specialisation Rankings'!$O$17)</x:f>
        <x:v>71.42857142857144</x:v>
      </x:c>
      <x:c r="AG82" s="601" t="n">
        <x:f>IF(AF82="","",COUNTIFS($A$19:$A$186,A82,$AP$19:$AP$186,"Yes",$E$19:$E$186,"&gt;0",$AF$19:$AF$186,"&gt;"&amp;AF82)+COUNTIFS($A$19:A82,A82,$AP$19:AP82,"Yes",$E$19:E82,"&gt;0",$AF$19:AF82,AF82))</x:f>
        <x:v>1</x:v>
      </x:c>
      <x:c r="AH82" s="601" t="n">
        <x:f>IF(OR(AP82&lt;&gt;"Yes",E82=0),"",IFERROR(100*(COUNTIFS($AP$19:$AP$186,"Yes",$E$19:$E$186,"&gt;0",$J$19:$J$186,"&lt;"&amp;J82)+(COUNTIFS($AP$19:$AP$186,"Yes",$E$19:$E$186,"&gt;0",$J$19:$J$186,J82)-1)/2)/(COUNTIFS($AP$19:$AP$186,"Yes",$E$19:$E$186,"&gt;0")-1),50))</x:f>
        <x:v>91.23376623376623</x:v>
      </x:c>
      <x:c r="AI82" s="601" t="n">
        <x:f>IF(AH82="","",AH82*'Specialisation Rankings'!$O$16+R82*'Specialisation Rankings'!$O$17)</x:f>
        <x:v>89.61038961038962</x:v>
      </x:c>
      <x:c r="AJ82" s="601" t="n">
        <x:f>IF(AI82="","",COUNTIFS($A$19:$A$186,A82,$AP$19:$AP$186,"Yes",$E$19:$E$186,"&gt;0",$AI$19:$AI$186,"&gt;"&amp;AI82)+COUNTIFS($A$19:A82,A82,$AP$19:AP82,"Yes",$E$19:E82,"&gt;0",$AI$19:AI82,AI82))</x:f>
        <x:v>1</x:v>
      </x:c>
      <x:c r="AK82" s="601" t="n">
        <x:f>IF(OR(AP82&lt;&gt;"Yes",E82=0),"",IF(M82=0,'Specialisation Rankings'!$O$23,V82))</x:f>
        <x:v>93.16239316239316</x:v>
      </x:c>
      <x:c r="AL82" s="601" t="n">
        <x:f>IF(AK82="","",COUNTIFS($A$19:$A$186,A82,$AP$19:$AP$186,"Yes",$E$19:$E$186,"&gt;0",$AK$19:$AK$186,"&gt;"&amp;AK82)+COUNTIFS($A$19:A82,A82,$AP$19:AP82,"Yes",$E$19:E82,"&gt;0",$AK$19:AK82,AK82))</x:f>
        <x:v>5</x:v>
      </x:c>
      <x:c r="AM82" s="601" t="n">
        <x:f>IF(AC82="","",AC82*'Specialisation Rankings'!$O$18+AF82*'Specialisation Rankings'!$O$19+AI82*'Specialisation Rankings'!$O$20+AK82*'Specialisation Rankings'!$O$21)</x:f>
        <x:v>75.14740814740816</x:v>
      </x:c>
      <x:c r="AN82" s="601" t="n">
        <x:f>IF(AM82="","",COUNTIFS($A$19:$A$186,A82,$AP$19:$AP$186,"Yes",$E$19:$E$186,"&gt;0",$AM$19:$AM$186,"&gt;"&amp;AM82)+COUNTIFS($A$19:A82,A82,$AP$19:AP82,"Yes",$E$19:E82,"&gt;0",$AM$19:AM82,AM82))</x:f>
        <x:v>2</x:v>
      </x:c>
      <x:c r="AO82" s="601" t="n">
        <x:f>IF(AM82="","",COUNTIFS($AP$19:$AP$186,"Yes",$E$19:$E$186,"&gt;0",$AM$19:$AM$186,"&gt;"&amp;AM82)+COUNTIFS($AP$19:AP82,"Yes",$E$19:E82,"&gt;0",$AM$19:AM82,AM82))</x:f>
        <x:v>22</x:v>
      </x:c>
      <x:c r="AP82" s="602" t="str">
        <x:f>IF(COUNTIFS('Player Scenario Model'!$A$6:$A$172,A82,'Player Scenario Model'!$B$6:$B$172,B82)&gt;0,"Yes","No")</x:f>
        <x:v>Yes</x:v>
      </x:c>
    </x:row>
    <x:row r="83" ht="24" customHeight="1">
      <x:c r="A83" s="430" t="str">
        <x:v>K116</x:v>
      </x:c>
      <x:c r="B83" s="430" t="str">
        <x:v>逍遥浪四月</x:v>
      </x:c>
      <x:c r="C83" s="431" t="n">
        <x:f>COUNTIFS('Specialisations'!$A$6:$A$527,A83,'Specialisations'!$B$6:$B$527,B83)</x:f>
        <x:v>3</x:v>
      </x:c>
      <x:c r="D83" s="431" t="n">
        <x:f>COUNTIFS('Specialisations'!$A$6:$A$527,A83,'Specialisations'!$B$6:$B$527,B83,'Specialisations'!$P$6:$P$527,"OK")</x:f>
        <x:v>3</x:v>
      </x:c>
      <x:c r="E83" s="431" t="n">
        <x:f>COUNTIFS('Specialisations'!$A$6:$A$527,A83,'Specialisations'!$B$6:$B$527,B83,'Specialisations'!$P$6:$P$527,"OK",'Specialisations'!$C$6:$C$527,"&lt;&gt;Guards")</x:f>
        <x:v>2</x:v>
      </x:c>
      <x:c r="F83" s="432" t="n">
        <x:f>IF(C83=0,"",D83/C83)</x:f>
        <x:v>1</x:v>
      </x:c>
      <x:c r="G83" s="495" t="n">
        <x:f>SUMIFS('Specialisations'!$Q$6:$Q$527,'Specialisations'!$A$6:$A$527,A83,'Specialisations'!$B$6:$B$527,B83,'Specialisations'!$C$6:$C$527,"Guards")</x:f>
        <x:v>-27.74</x:v>
      </x:c>
      <x:c r="H83" s="495" t="n">
        <x:f>SUMIFS('Specialisations'!$Q$6:$Q$527,'Specialisations'!$A$6:$A$527,A83,'Specialisations'!$B$6:$B$527,B83,'Specialisations'!$C$6:$C$527,"Archers")</x:f>
        <x:v>0</x:v>
      </x:c>
      <x:c r="I83" s="495" t="n">
        <x:f>SUMIFS('Specialisations'!$Q$6:$Q$527,'Specialisations'!$A$6:$A$527,A83,'Specialisations'!$B$6:$B$527,B83,'Specialisations'!$C$6:$C$527,"Cavalry")</x:f>
        <x:v>55.48</x:v>
      </x:c>
      <x:c r="J83" s="495" t="n">
        <x:f>SUMIFS('Specialisations'!$Q$6:$Q$527,'Specialisations'!$A$6:$A$527,A83,'Specialisations'!$B$6:$B$527,B83,'Specialisations'!$C$6:$C$527,"Siege")</x:f>
        <x:v>0</x:v>
      </x:c>
      <x:c r="K83" s="495" t="n">
        <x:f>SUM(H83:J83)</x:f>
        <x:v>55.48</x:v>
      </x:c>
      <x:c r="L83" s="495" t="n">
        <x:f>SUM(G83,K83)</x:f>
        <x:v>27.74</x:v>
      </x:c>
      <x:c r="M83" s="433" t="n">
        <x:f>SUMIFS('Specialisations'!$N$6:$N$527,'Specialisations'!$A$6:$A$527,A83,'Specialisations'!$B$6:$B$527,B83,'Specialisations'!$C$6:$C$527,"Guards")</x:f>
        <x:v>2244300</x:v>
      </x:c>
      <x:c r="N83" s="433" t="n">
        <x:f>SUMIFS('Specialisations'!$N$6:$N$527,'Specialisations'!$A$6:$A$527,A83,'Specialisations'!$B$6:$B$527,B83,'Specialisations'!$C$6:$C$527,"&lt;&gt;Guards")</x:f>
        <x:v>4488600</x:v>
      </x:c>
      <x:c r="O83" s="433" t="n">
        <x:f>SUM(M83:N83)</x:f>
        <x:v>6732900</x:v>
      </x:c>
      <x:c r="P83" s="434" t="n">
        <x:f>IF(E83=0,"",K83/E83)</x:f>
        <x:v>27.74</x:v>
      </x:c>
      <x:c r="Q83" s="501" t="n">
        <x:f>IF(E83=0,"",IFERROR(100*(COUNTIFS($E$19:$E$186,"&gt;0",$K$19:$K$186,"&lt;"&amp;K83)+(COUNTIFS($E$19:$E$186,"&gt;0",$K$19:$K$186,K83)-1)/2)/(COUNTIF($E$19:$E$186,"&gt;0")-1),50))</x:f>
        <x:v>15.584415584415584</x:v>
      </x:c>
      <x:c r="R83" s="501" t="n">
        <x:f>IF(E83=0,"",IFERROR(100*(COUNTIFS($E$19:$E$186,"&gt;0",$N$19:$N$186,"&lt;"&amp;N83)+(COUNTIFS($E$19:$E$186,"&gt;0",$N$19:$N$186,N83)-1)/2)/(COUNTIF($E$19:$E$186,"&gt;0")-1),50))</x:f>
        <x:v>9.090909090909092</x:v>
      </x:c>
      <x:c r="S83" s="501" t="n">
        <x:f>IF(E83=0,"",Q83*$R$5+R83*$R$6)</x:f>
        <x:v>14.285714285714286</x:v>
      </x:c>
      <x:c r="T83" s="501" t="n">
        <x:f>IF(M83=0,"",IFERROR(100*(COUNTIFS($M$19:$M$186,"&gt;0",$G$19:$G$186,"&gt;"&amp;G83)+(COUNTIFS($M$19:$M$186,"&gt;0",$G$19:$G$186,G83)-1)/2)/(COUNTIF($M$19:$M$186,"&gt;0")-1),50))</x:f>
        <x:v>29.487179487179485</x:v>
      </x:c>
      <x:c r="U83" s="501" t="n">
        <x:f>IF(M83=0,"",IFERROR(100*(COUNTIFS($M$19:$M$186,"&gt;0",$M$19:$M$186,"&lt;"&amp;M83)+(COUNTIFS($M$19:$M$186,"&gt;0",$M$19:$M$186,M83)-1)/2)/(COUNTIF($M$19:$M$186,"&gt;0")-1),50))</x:f>
        <x:v>29.487179487179485</x:v>
      </x:c>
      <x:c r="V83" s="501" t="n">
        <x:f>IF(M83=0,"",T83*$R$5+U83*$R$6)</x:f>
        <x:v>29.48717948717949</x:v>
      </x:c>
      <x:c r="W83" s="431" t="n">
        <x:f>IF(E83=0,"",COUNTIFS($A$19:$A$186,A83,$S$19:$S$186,"&gt;"&amp;S83)+COUNTIFS($A$19:A83,A83,$E$19:E83,"&gt;0",$S$19:S83,S83))</x:f>
        <x:v>11</x:v>
      </x:c>
      <x:c r="X83" s="431" t="n">
        <x:f>IF(S83="","",1+COUNTIF($S$19:$S$186,"&gt;"&amp;S83))</x:f>
        <x:v>134</x:v>
      </x:c>
      <x:c r="Y83" s="431" t="n">
        <x:f>IF(V83="","",1+COUNTIFS($A$19:$A$186,A83,$V$19:$V$186,"&gt;"&amp;V83))</x:f>
        <x:v>11</x:v>
      </x:c>
      <x:c r="Z83" s="431" t="n">
        <x:f>IF(V83="","",1+COUNTIF($V$19:$V$186,"&gt;"&amp;V83))</x:f>
        <x:v>70</x:v>
      </x:c>
      <x:c r="AA83" s="430" t="str">
        <x:f>IF(C83=0,"No specialisations recorded",IF(D83&lt;C83,"Review missing level","Recorded skills only"))</x:f>
        <x:v>Recorded skills only</x:v>
      </x:c>
      <x:c r="AB83" s="601" t="n">
        <x:f>IF(OR(AP83&lt;&gt;"Yes",E83=0),"",IFERROR(100*(COUNTIFS($AP$19:$AP$186,"Yes",$E$19:$E$186,"&gt;0",$I$19:$I$186,"&lt;"&amp;I83)+(COUNTIFS($AP$19:$AP$186,"Yes",$E$19:$E$186,"&gt;0",$I$19:$I$186,I83)-1)/2)/(COUNTIFS($AP$19:$AP$186,"Yes",$E$19:$E$186,"&gt;0")-1),50))</x:f>
        <x:v>43.506493506493506</x:v>
      </x:c>
      <x:c r="AC83" s="601" t="n">
        <x:f>IF(AB83="","",AB83*'Specialisation Rankings'!$O$16+R83*'Specialisation Rankings'!$O$17)</x:f>
        <x:v>36.62337662337663</x:v>
      </x:c>
      <x:c r="AD83" s="601" t="n">
        <x:f>IF(AC83="","",COUNTIFS($A$19:$A$186,A83,$AP$19:$AP$186,"Yes",$E$19:$E$186,"&gt;0",$AC$19:$AC$186,"&gt;"&amp;AC83)+COUNTIFS($A$19:A83,A83,$AP$19:AP83,"Yes",$E$19:E83,"&gt;0",$AC$19:AC83,AC83))</x:f>
        <x:v>9</x:v>
      </x:c>
      <x:c r="AE83" s="601" t="n">
        <x:f>IF(OR(AP83&lt;&gt;"Yes",E83=0),"",IFERROR(100*(COUNTIFS($AP$19:$AP$186,"Yes",$E$19:$E$186,"&gt;0",$H$19:$H$186,"&lt;"&amp;H83)+(COUNTIFS($AP$19:$AP$186,"Yes",$E$19:$E$186,"&gt;0",$H$19:$H$186,H83)-1)/2)/(COUNTIFS($AP$19:$AP$186,"Yes",$E$19:$E$186,"&gt;0")-1),50))</x:f>
        <x:v>11.688311688311689</x:v>
      </x:c>
      <x:c r="AF83" s="601" t="n">
        <x:f>IF(AE83="","",AE83*'Specialisation Rankings'!$O$16+R83*'Specialisation Rankings'!$O$17)</x:f>
        <x:v>11.16883116883117</x:v>
      </x:c>
      <x:c r="AG83" s="601" t="n">
        <x:f>IF(AF83="","",COUNTIFS($A$19:$A$186,A83,$AP$19:$AP$186,"Yes",$E$19:$E$186,"&gt;0",$AF$19:$AF$186,"&gt;"&amp;AF83)+COUNTIFS($A$19:A83,A83,$AP$19:AP83,"Yes",$E$19:E83,"&gt;0",$AF$19:AF83,AF83))</x:f>
        <x:v>11</x:v>
      </x:c>
      <x:c r="AH83" s="601" t="n">
        <x:f>IF(OR(AP83&lt;&gt;"Yes",E83=0),"",IFERROR(100*(COUNTIFS($AP$19:$AP$186,"Yes",$E$19:$E$186,"&gt;0",$J$19:$J$186,"&lt;"&amp;J83)+(COUNTIFS($AP$19:$AP$186,"Yes",$E$19:$E$186,"&gt;0",$J$19:$J$186,J83)-1)/2)/(COUNTIFS($AP$19:$AP$186,"Yes",$E$19:$E$186,"&gt;0")-1),50))</x:f>
        <x:v>33.116883116883116</x:v>
      </x:c>
      <x:c r="AI83" s="601" t="n">
        <x:f>IF(AH83="","",AH83*'Specialisation Rankings'!$O$16+R83*'Specialisation Rankings'!$O$17)</x:f>
        <x:v>28.311688311688314</x:v>
      </x:c>
      <x:c r="AJ83" s="601" t="n">
        <x:f>IF(AI83="","",COUNTIFS($A$19:$A$186,A83,$AP$19:$AP$186,"Yes",$E$19:$E$186,"&gt;0",$AI$19:$AI$186,"&gt;"&amp;AI83)+COUNTIFS($A$19:A83,A83,$AP$19:AP83,"Yes",$E$19:E83,"&gt;0",$AI$19:AI83,AI83))</x:f>
        <x:v>11</x:v>
      </x:c>
      <x:c r="AK83" s="601" t="n">
        <x:f>IF(OR(AP83&lt;&gt;"Yes",E83=0),"",IF(M83=0,'Specialisation Rankings'!$O$23,V83))</x:f>
        <x:v>29.48717948717949</x:v>
      </x:c>
      <x:c r="AL83" s="601" t="n">
        <x:f>IF(AK83="","",COUNTIFS($A$19:$A$186,A83,$AP$19:$AP$186,"Yes",$E$19:$E$186,"&gt;0",$AK$19:$AK$186,"&gt;"&amp;AK83)+COUNTIFS($A$19:A83,A83,$AP$19:AP83,"Yes",$E$19:E83,"&gt;0",$AK$19:AK83,AK83))</x:f>
        <x:v>12</x:v>
      </x:c>
      <x:c r="AM83" s="601" t="n">
        <x:f>IF(AC83="","",AC83*'Specialisation Rankings'!$O$18+AF83*'Specialisation Rankings'!$O$19+AI83*'Specialisation Rankings'!$O$20+AK83*'Specialisation Rankings'!$O$21)</x:f>
        <x:v>32.11754911754912</x:v>
      </x:c>
      <x:c r="AN83" s="601" t="n">
        <x:f>IF(AM83="","",COUNTIFS($A$19:$A$186,A83,$AP$19:$AP$186,"Yes",$E$19:$E$186,"&gt;0",$AM$19:$AM$186,"&gt;"&amp;AM83)+COUNTIFS($A$19:A83,A83,$AP$19:AP83,"Yes",$E$19:E83,"&gt;0",$AM$19:AM83,AM83))</x:f>
        <x:v>10</x:v>
      </x:c>
      <x:c r="AO83" s="601" t="n">
        <x:f>IF(AM83="","",COUNTIFS($AP$19:$AP$186,"Yes",$E$19:$E$186,"&gt;0",$AM$19:$AM$186,"&gt;"&amp;AM83)+COUNTIFS($AP$19:AP83,"Yes",$E$19:E83,"&gt;0",$AM$19:AM83,AM83))</x:f>
        <x:v>115</x:v>
      </x:c>
      <x:c r="AP83" s="602" t="str">
        <x:f>IF(COUNTIFS('Player Scenario Model'!$A$6:$A$172,A83,'Player Scenario Model'!$B$6:$B$172,B83)&gt;0,"Yes","No")</x:f>
        <x:v>Yes</x:v>
      </x:c>
    </x:row>
    <x:row r="84" ht="24" customHeight="1">
      <x:c r="A84" s="430" t="str">
        <x:v>K138</x:v>
      </x:c>
      <x:c r="B84" s="430" t="str">
        <x:v>(RaW)༺博卡Ajax༻</x:v>
      </x:c>
      <x:c r="C84" s="431" t="n">
        <x:f>COUNTIFS('Specialisations'!$A$6:$A$527,A84,'Specialisations'!$B$6:$B$527,B84)</x:f>
        <x:v>6</x:v>
      </x:c>
      <x:c r="D84" s="431" t="n">
        <x:f>COUNTIFS('Specialisations'!$A$6:$A$527,A84,'Specialisations'!$B$6:$B$527,B84,'Specialisations'!$P$6:$P$527,"OK")</x:f>
        <x:v>6</x:v>
      </x:c>
      <x:c r="E84" s="431" t="n">
        <x:f>COUNTIFS('Specialisations'!$A$6:$A$527,A84,'Specialisations'!$B$6:$B$527,B84,'Specialisations'!$P$6:$P$527,"OK",'Specialisations'!$C$6:$C$527,"&lt;&gt;Guards")</x:f>
        <x:v>5</x:v>
      </x:c>
      <x:c r="F84" s="432" t="n">
        <x:f>IF(C84=0,"",D84/C84)</x:f>
        <x:v>1</x:v>
      </x:c>
      <x:c r="G84" s="495" t="n">
        <x:f>SUMIFS('Specialisations'!$Q$6:$Q$527,'Specialisations'!$A$6:$A$527,A84,'Specialisations'!$B$6:$B$527,B84,'Specialisations'!$C$6:$C$527,"Guards")</x:f>
        <x:v>-60</x:v>
      </x:c>
      <x:c r="H84" s="495" t="n">
        <x:f>SUMIFS('Specialisations'!$Q$6:$Q$527,'Specialisations'!$A$6:$A$527,A84,'Specialisations'!$B$6:$B$527,B84,'Specialisations'!$C$6:$C$527,"Archers")</x:f>
        <x:v>43.51</x:v>
      </x:c>
      <x:c r="I84" s="495" t="n">
        <x:f>SUMIFS('Specialisations'!$Q$6:$Q$527,'Specialisations'!$A$6:$A$527,A84,'Specialisations'!$B$6:$B$527,B84,'Specialisations'!$C$6:$C$527,"Cavalry")</x:f>
        <x:v>83.96</x:v>
      </x:c>
      <x:c r="J84" s="495" t="n">
        <x:f>SUMIFS('Specialisations'!$Q$6:$Q$527,'Specialisations'!$A$6:$A$527,A84,'Specialisations'!$B$6:$B$527,B84,'Specialisations'!$C$6:$C$527,"Siege")</x:f>
        <x:v>10.82</x:v>
      </x:c>
      <x:c r="K84" s="495" t="n">
        <x:f>SUM(H84:J84)</x:f>
        <x:v>138.29</x:v>
      </x:c>
      <x:c r="L84" s="495" t="n">
        <x:f>SUM(G84,K84)</x:f>
        <x:v>78.28999999999999</x:v>
      </x:c>
      <x:c r="M84" s="433" t="n">
        <x:f>SUMIFS('Specialisations'!$N$6:$N$527,'Specialisations'!$A$6:$A$527,A84,'Specialisations'!$B$6:$B$527,B84,'Specialisations'!$C$6:$C$527,"Guards")</x:f>
        <x:v>10334300</x:v>
      </x:c>
      <x:c r="N84" s="433" t="n">
        <x:f>SUMIFS('Specialisations'!$N$6:$N$527,'Specialisations'!$A$6:$A$527,A84,'Specialisations'!$B$6:$B$527,B84,'Specialisations'!$C$6:$C$527,"&lt;&gt;Guards")</x:f>
        <x:v>13294000</x:v>
      </x:c>
      <x:c r="O84" s="433" t="n">
        <x:f>SUM(M84:N84)</x:f>
        <x:v>23628300</x:v>
      </x:c>
      <x:c r="P84" s="434" t="n">
        <x:f>IF(E84=0,"",K84/E84)</x:f>
        <x:v>27.657999999999998</x:v>
      </x:c>
      <x:c r="Q84" s="501" t="n">
        <x:f>IF(E84=0,"",IFERROR(100*(COUNTIFS($E$19:$E$186,"&gt;0",$K$19:$K$186,"&lt;"&amp;K84)+(COUNTIFS($E$19:$E$186,"&gt;0",$K$19:$K$186,K84)-1)/2)/(COUNTIF($E$19:$E$186,"&gt;0")-1),50))</x:f>
        <x:v>83.76623376623377</x:v>
      </x:c>
      <x:c r="R84" s="501" t="n">
        <x:f>IF(E84=0,"",IFERROR(100*(COUNTIFS($E$19:$E$186,"&gt;0",$N$19:$N$186,"&lt;"&amp;N84)+(COUNTIFS($E$19:$E$186,"&gt;0",$N$19:$N$186,N84)-1)/2)/(COUNTIF($E$19:$E$186,"&gt;0")-1),50))</x:f>
        <x:v>68.83116883116882</x:v>
      </x:c>
      <x:c r="S84" s="501" t="n">
        <x:f>IF(E84=0,"",Q84*$R$5+R84*$R$6)</x:f>
        <x:v>80.77922077922078</x:v>
      </x:c>
      <x:c r="T84" s="501" t="n">
        <x:f>IF(M84=0,"",IFERROR(100*(COUNTIFS($M$19:$M$186,"&gt;0",$G$19:$G$186,"&gt;"&amp;G84)+(COUNTIFS($M$19:$M$186,"&gt;0",$G$19:$G$186,G84)-1)/2)/(COUNTIF($M$19:$M$186,"&gt;0")-1),50))</x:f>
        <x:v>93.16239316239316</x:v>
      </x:c>
      <x:c r="U84" s="501" t="n">
        <x:f>IF(M84=0,"",IFERROR(100*(COUNTIFS($M$19:$M$186,"&gt;0",$M$19:$M$186,"&lt;"&amp;M84)+(COUNTIFS($M$19:$M$186,"&gt;0",$M$19:$M$186,M84)-1)/2)/(COUNTIF($M$19:$M$186,"&gt;0")-1),50))</x:f>
        <x:v>93.16239316239316</x:v>
      </x:c>
      <x:c r="V84" s="501" t="n">
        <x:f>IF(M84=0,"",T84*$R$5+U84*$R$6)</x:f>
        <x:v>93.16239316239316</x:v>
      </x:c>
      <x:c r="W84" s="431" t="n">
        <x:f>IF(E84=0,"",COUNTIFS($A$19:$A$186,A84,$S$19:$S$186,"&gt;"&amp;S84)+COUNTIFS($A$19:A84,A84,$E$19:E84,"&gt;0",$S$19:S84,S84))</x:f>
        <x:v>5</x:v>
      </x:c>
      <x:c r="X84" s="431" t="n">
        <x:f>IF(S84="","",1+COUNTIF($S$19:$S$186,"&gt;"&amp;S84))</x:f>
        <x:v>31</x:v>
      </x:c>
      <x:c r="Y84" s="431" t="n">
        <x:f>IF(V84="","",1+COUNTIFS($A$19:$A$186,A84,$V$19:$V$186,"&gt;"&amp;V84))</x:f>
        <x:v>1</x:v>
      </x:c>
      <x:c r="Z84" s="431" t="n">
        <x:f>IF(V84="","",1+COUNTIF($V$19:$V$186,"&gt;"&amp;V84))</x:f>
        <x:v>1</x:v>
      </x:c>
      <x:c r="AA84" s="430" t="str">
        <x:f>IF(C84=0,"No specialisations recorded",IF(D84&lt;C84,"Review missing level","Recorded skills only"))</x:f>
        <x:v>Recorded skills only</x:v>
      </x:c>
      <x:c r="AB84" s="601" t="n">
        <x:f>IF(OR(AP84&lt;&gt;"Yes",E84=0),"",IFERROR(100*(COUNTIFS($AP$19:$AP$186,"Yes",$E$19:$E$186,"&gt;0",$I$19:$I$186,"&lt;"&amp;I84)+(COUNTIFS($AP$19:$AP$186,"Yes",$E$19:$E$186,"&gt;0",$I$19:$I$186,I84)-1)/2)/(COUNTIFS($AP$19:$AP$186,"Yes",$E$19:$E$186,"&gt;0")-1),50))</x:f>
        <x:v>70.12987012987013</x:v>
      </x:c>
      <x:c r="AC84" s="601" t="n">
        <x:f>IF(AB84="","",AB84*'Specialisation Rankings'!$O$16+R84*'Specialisation Rankings'!$O$17)</x:f>
        <x:v>69.87012987012987</x:v>
      </x:c>
      <x:c r="AD84" s="601" t="n">
        <x:f>IF(AC84="","",COUNTIFS($A$19:$A$186,A84,$AP$19:$AP$186,"Yes",$E$19:$E$186,"&gt;0",$AC$19:$AC$186,"&gt;"&amp;AC84)+COUNTIFS($A$19:A84,A84,$AP$19:AP84,"Yes",$E$19:E84,"&gt;0",$AC$19:AC84,AC84))</x:f>
        <x:v>5</x:v>
      </x:c>
      <x:c r="AE84" s="601" t="n">
        <x:f>IF(OR(AP84&lt;&gt;"Yes",E84=0),"",IFERROR(100*(COUNTIFS($AP$19:$AP$186,"Yes",$E$19:$E$186,"&gt;0",$H$19:$H$186,"&lt;"&amp;H84)+(COUNTIFS($AP$19:$AP$186,"Yes",$E$19:$E$186,"&gt;0",$H$19:$H$186,H84)-1)/2)/(COUNTIFS($AP$19:$AP$186,"Yes",$E$19:$E$186,"&gt;0")-1),50))</x:f>
        <x:v>72.07792207792208</x:v>
      </x:c>
      <x:c r="AF84" s="601" t="n">
        <x:f>IF(AE84="","",AE84*'Specialisation Rankings'!$O$16+R84*'Specialisation Rankings'!$O$17)</x:f>
        <x:v>71.42857142857143</x:v>
      </x:c>
      <x:c r="AG84" s="601" t="n">
        <x:f>IF(AF84="","",COUNTIFS($A$19:$A$186,A84,$AP$19:$AP$186,"Yes",$E$19:$E$186,"&gt;0",$AF$19:$AF$186,"&gt;"&amp;AF84)+COUNTIFS($A$19:A84,A84,$AP$19:AP84,"Yes",$E$19:E84,"&gt;0",$AF$19:AF84,AF84))</x:f>
        <x:v>3</x:v>
      </x:c>
      <x:c r="AH84" s="601" t="n">
        <x:f>IF(OR(AP84&lt;&gt;"Yes",E84=0),"",IFERROR(100*(COUNTIFS($AP$19:$AP$186,"Yes",$E$19:$E$186,"&gt;0",$J$19:$J$186,"&lt;"&amp;J84)+(COUNTIFS($AP$19:$AP$186,"Yes",$E$19:$E$186,"&gt;0",$J$19:$J$186,J84)-1)/2)/(COUNTIFS($AP$19:$AP$186,"Yes",$E$19:$E$186,"&gt;0")-1),50))</x:f>
        <x:v>72.40259740259741</x:v>
      </x:c>
      <x:c r="AI84" s="601" t="n">
        <x:f>IF(AH84="","",AH84*'Specialisation Rankings'!$O$16+R84*'Specialisation Rankings'!$O$17)</x:f>
        <x:v>71.6883116883117</x:v>
      </x:c>
      <x:c r="AJ84" s="601" t="n">
        <x:f>IF(AI84="","",COUNTIFS($A$19:$A$186,A84,$AP$19:$AP$186,"Yes",$E$19:$E$186,"&gt;0",$AI$19:$AI$186,"&gt;"&amp;AI84)+COUNTIFS($A$19:A84,A84,$AP$19:AP84,"Yes",$E$19:E84,"&gt;0",$AI$19:AI84,AI84))</x:f>
        <x:v>6</x:v>
      </x:c>
      <x:c r="AK84" s="601" t="n">
        <x:f>IF(OR(AP84&lt;&gt;"Yes",E84=0),"",IF(M84=0,'Specialisation Rankings'!$O$23,V84))</x:f>
        <x:v>93.16239316239316</x:v>
      </x:c>
      <x:c r="AL84" s="601" t="n">
        <x:f>IF(AK84="","",COUNTIFS($A$19:$A$186,A84,$AP$19:$AP$186,"Yes",$E$19:$E$186,"&gt;0",$AK$19:$AK$186,"&gt;"&amp;AK84)+COUNTIFS($A$19:A84,A84,$AP$19:AP84,"Yes",$E$19:E84,"&gt;0",$AK$19:AK84,AK84))</x:f>
        <x:v>1</x:v>
      </x:c>
      <x:c r="AM84" s="601" t="n">
        <x:f>IF(AC84="","",AC84*'Specialisation Rankings'!$O$18+AF84*'Specialisation Rankings'!$O$19+AI84*'Specialisation Rankings'!$O$20+AK84*'Specialisation Rankings'!$O$21)</x:f>
        <x:v>72.62792762792763</x:v>
      </x:c>
      <x:c r="AN84" s="601" t="n">
        <x:f>IF(AM84="","",COUNTIFS($A$19:$A$186,A84,$AP$19:$AP$186,"Yes",$E$19:$E$186,"&gt;0",$AM$19:$AM$186,"&gt;"&amp;AM84)+COUNTIFS($A$19:A84,A84,$AP$19:AP84,"Yes",$E$19:E84,"&gt;0",$AM$19:AM84,AM84))</x:f>
        <x:v>3</x:v>
      </x:c>
      <x:c r="AO84" s="601" t="n">
        <x:f>IF(AM84="","",COUNTIFS($AP$19:$AP$186,"Yes",$E$19:$E$186,"&gt;0",$AM$19:$AM$186,"&gt;"&amp;AM84)+COUNTIFS($AP$19:AP84,"Yes",$E$19:E84,"&gt;0",$AM$19:AM84,AM84))</x:f>
        <x:v>29</x:v>
      </x:c>
      <x:c r="AP84" s="602" t="str">
        <x:f>IF(COUNTIFS('Player Scenario Model'!$A$6:$A$172,A84,'Player Scenario Model'!$B$6:$B$172,B84)&gt;0,"Yes","No")</x:f>
        <x:v>Yes</x:v>
      </x:c>
    </x:row>
    <x:row r="85" ht="24" customHeight="1">
      <x:c r="A85" s="430" t="str">
        <x:v>K138</x:v>
      </x:c>
      <x:c r="B85" s="430" t="str">
        <x:v>(RaW)Venom毒液</x:v>
      </x:c>
      <x:c r="C85" s="431" t="n">
        <x:f>COUNTIFS('Specialisations'!$A$6:$A$527,A85,'Specialisations'!$B$6:$B$527,B85)</x:f>
        <x:v>2</x:v>
      </x:c>
      <x:c r="D85" s="431" t="n">
        <x:f>COUNTIFS('Specialisations'!$A$6:$A$527,A85,'Specialisations'!$B$6:$B$527,B85,'Specialisations'!$P$6:$P$527,"OK")</x:f>
        <x:v>2</x:v>
      </x:c>
      <x:c r="E85" s="431" t="n">
        <x:f>COUNTIFS('Specialisations'!$A$6:$A$527,A85,'Specialisations'!$B$6:$B$527,B85,'Specialisations'!$P$6:$P$527,"OK",'Specialisations'!$C$6:$C$527,"&lt;&gt;Guards")</x:f>
        <x:v>1</x:v>
      </x:c>
      <x:c r="F85" s="432" t="n">
        <x:f>IF(C85=0,"",D85/C85)</x:f>
        <x:v>1</x:v>
      </x:c>
      <x:c r="G85" s="495" t="n">
        <x:f>SUMIFS('Specialisations'!$Q$6:$Q$527,'Specialisations'!$A$6:$A$527,A85,'Specialisations'!$B$6:$B$527,B85,'Specialisations'!$C$6:$C$527,"Guards")</x:f>
        <x:v>-55.2</x:v>
      </x:c>
      <x:c r="H85" s="495" t="n">
        <x:f>SUMIFS('Specialisations'!$Q$6:$Q$527,'Specialisations'!$A$6:$A$527,A85,'Specialisations'!$B$6:$B$527,B85,'Specialisations'!$C$6:$C$527,"Archers")</x:f>
        <x:v>20.73</x:v>
      </x:c>
      <x:c r="I85" s="495" t="n">
        <x:f>SUMIFS('Specialisations'!$Q$6:$Q$527,'Specialisations'!$A$6:$A$527,A85,'Specialisations'!$B$6:$B$527,B85,'Specialisations'!$C$6:$C$527,"Cavalry")</x:f>
        <x:v>0</x:v>
      </x:c>
      <x:c r="J85" s="495" t="n">
        <x:f>SUMIFS('Specialisations'!$Q$6:$Q$527,'Specialisations'!$A$6:$A$527,A85,'Specialisations'!$B$6:$B$527,B85,'Specialisations'!$C$6:$C$527,"Siege")</x:f>
        <x:v>0</x:v>
      </x:c>
      <x:c r="K85" s="495" t="n">
        <x:f>SUM(H85:J85)</x:f>
        <x:v>20.73</x:v>
      </x:c>
      <x:c r="L85" s="495" t="n">
        <x:f>SUM(G85,K85)</x:f>
        <x:v>-34.47</x:v>
      </x:c>
      <x:c r="M85" s="433" t="n">
        <x:f>SUMIFS('Specialisations'!$N$6:$N$527,'Specialisations'!$A$6:$A$527,A85,'Specialisations'!$B$6:$B$527,B85,'Specialisations'!$C$6:$C$527,"Guards")</x:f>
        <x:v>8334300</x:v>
      </x:c>
      <x:c r="N85" s="433" t="n">
        <x:f>SUMIFS('Specialisations'!$N$6:$N$527,'Specialisations'!$A$6:$A$527,A85,'Specialisations'!$B$6:$B$527,B85,'Specialisations'!$C$6:$C$527,"&lt;&gt;Guards")</x:f>
        <x:v>1624300</x:v>
      </x:c>
      <x:c r="O85" s="433" t="n">
        <x:f>SUM(M85:N85)</x:f>
        <x:v>9958600</x:v>
      </x:c>
      <x:c r="P85" s="434" t="n">
        <x:f>IF(E85=0,"",K85/E85)</x:f>
        <x:v>20.73</x:v>
      </x:c>
      <x:c r="Q85" s="501" t="n">
        <x:f>IF(E85=0,"",IFERROR(100*(COUNTIFS($E$19:$E$186,"&gt;0",$K$19:$K$186,"&lt;"&amp;K85)+(COUNTIFS($E$19:$E$186,"&gt;0",$K$19:$K$186,K85)-1)/2)/(COUNTIF($E$19:$E$186,"&gt;0")-1),50))</x:f>
        <x:v>1.948051948051948</x:v>
      </x:c>
      <x:c r="R85" s="501" t="n">
        <x:f>IF(E85=0,"",IFERROR(100*(COUNTIFS($E$19:$E$186,"&gt;0",$N$19:$N$186,"&lt;"&amp;N85)+(COUNTIFS($E$19:$E$186,"&gt;0",$N$19:$N$186,N85)-1)/2)/(COUNTIF($E$19:$E$186,"&gt;0")-1),50))</x:f>
        <x:v>1.948051948051948</x:v>
      </x:c>
      <x:c r="S85" s="501" t="n">
        <x:f>IF(E85=0,"",Q85*$R$5+R85*$R$6)</x:f>
        <x:v>1.948051948051948</x:v>
      </x:c>
      <x:c r="T85" s="501" t="n">
        <x:f>IF(M85=0,"",IFERROR(100*(COUNTIFS($M$19:$M$186,"&gt;0",$G$19:$G$186,"&gt;"&amp;G85)+(COUNTIFS($M$19:$M$186,"&gt;0",$G$19:$G$186,G85)-1)/2)/(COUNTIF($M$19:$M$186,"&gt;0")-1),50))</x:f>
        <x:v>84.1880341880342</x:v>
      </x:c>
      <x:c r="U85" s="501" t="n">
        <x:f>IF(M85=0,"",IFERROR(100*(COUNTIFS($M$19:$M$186,"&gt;0",$M$19:$M$186,"&lt;"&amp;M85)+(COUNTIFS($M$19:$M$186,"&gt;0",$M$19:$M$186,M85)-1)/2)/(COUNTIF($M$19:$M$186,"&gt;0")-1),50))</x:f>
        <x:v>84.1880341880342</x:v>
      </x:c>
      <x:c r="V85" s="501" t="n">
        <x:f>IF(M85=0,"",T85*$R$5+U85*$R$6)</x:f>
        <x:v>84.18803418803418</x:v>
      </x:c>
      <x:c r="W85" s="431" t="n">
        <x:f>IF(E85=0,"",COUNTIFS($A$19:$A$186,A85,$S$19:$S$186,"&gt;"&amp;S85)+COUNTIFS($A$19:A85,A85,$E$19:E85,"&gt;0",$S$19:S85,S85))</x:f>
        <x:v>25</x:v>
      </x:c>
      <x:c r="X85" s="431" t="n">
        <x:f>IF(S85="","",1+COUNTIF($S$19:$S$186,"&gt;"&amp;S85))</x:f>
        <x:v>152</x:v>
      </x:c>
      <x:c r="Y85" s="431" t="n">
        <x:f>IF(V85="","",1+COUNTIFS($A$19:$A$186,A85,$V$19:$V$186,"&gt;"&amp;V85))</x:f>
        <x:v>7</x:v>
      </x:c>
      <x:c r="Z85" s="431" t="n">
        <x:f>IF(V85="","",1+COUNTIF($V$19:$V$186,"&gt;"&amp;V85))</x:f>
        <x:v>18</x:v>
      </x:c>
      <x:c r="AA85" s="430" t="str">
        <x:f>IF(C85=0,"No specialisations recorded",IF(D85&lt;C85,"Review missing level","Recorded skills only"))</x:f>
        <x:v>Recorded skills only</x:v>
      </x:c>
      <x:c r="AB85" s="601" t="n">
        <x:f>IF(OR(AP85&lt;&gt;"Yes",E85=0),"",IFERROR(100*(COUNTIFS($AP$19:$AP$186,"Yes",$E$19:$E$186,"&gt;0",$I$19:$I$186,"&lt;"&amp;I85)+(COUNTIFS($AP$19:$AP$186,"Yes",$E$19:$E$186,"&gt;0",$I$19:$I$186,I85)-1)/2)/(COUNTIFS($AP$19:$AP$186,"Yes",$E$19:$E$186,"&gt;0")-1),50))</x:f>
        <x:v>10.38961038961039</x:v>
      </x:c>
      <x:c r="AC85" s="601" t="n">
        <x:f>IF(AB85="","",AB85*'Specialisation Rankings'!$O$16+R85*'Specialisation Rankings'!$O$17)</x:f>
        <x:v>8.701298701298702</x:v>
      </x:c>
      <x:c r="AD85" s="601" t="n">
        <x:f>IF(AC85="","",COUNTIFS($A$19:$A$186,A85,$AP$19:$AP$186,"Yes",$E$19:$E$186,"&gt;0",$AC$19:$AC$186,"&gt;"&amp;AC85)+COUNTIFS($A$19:A85,A85,$AP$19:AP85,"Yes",$E$19:E85,"&gt;0",$AC$19:AC85,AC85))</x:f>
        <x:v>25</x:v>
      </x:c>
      <x:c r="AE85" s="601" t="n">
        <x:f>IF(OR(AP85&lt;&gt;"Yes",E85=0),"",IFERROR(100*(COUNTIFS($AP$19:$AP$186,"Yes",$E$19:$E$186,"&gt;0",$H$19:$H$186,"&lt;"&amp;H85)+(COUNTIFS($AP$19:$AP$186,"Yes",$E$19:$E$186,"&gt;0",$H$19:$H$186,H85)-1)/2)/(COUNTIFS($AP$19:$AP$186,"Yes",$E$19:$E$186,"&gt;0")-1),50))</x:f>
        <x:v>32.142857142857146</x:v>
      </x:c>
      <x:c r="AF85" s="601" t="n">
        <x:f>IF(AE85="","",AE85*'Specialisation Rankings'!$O$16+R85*'Specialisation Rankings'!$O$17)</x:f>
        <x:v>26.10389610389611</x:v>
      </x:c>
      <x:c r="AG85" s="601" t="n">
        <x:f>IF(AF85="","",COUNTIFS($A$19:$A$186,A85,$AP$19:$AP$186,"Yes",$E$19:$E$186,"&gt;0",$AF$19:$AF$186,"&gt;"&amp;AF85)+COUNTIFS($A$19:A85,A85,$AP$19:AP85,"Yes",$E$19:E85,"&gt;0",$AF$19:AF85,AF85))</x:f>
        <x:v>20</x:v>
      </x:c>
      <x:c r="AH85" s="601" t="n">
        <x:f>IF(OR(AP85&lt;&gt;"Yes",E85=0),"",IFERROR(100*(COUNTIFS($AP$19:$AP$186,"Yes",$E$19:$E$186,"&gt;0",$J$19:$J$186,"&lt;"&amp;J85)+(COUNTIFS($AP$19:$AP$186,"Yes",$E$19:$E$186,"&gt;0",$J$19:$J$186,J85)-1)/2)/(COUNTIFS($AP$19:$AP$186,"Yes",$E$19:$E$186,"&gt;0")-1),50))</x:f>
        <x:v>33.116883116883116</x:v>
      </x:c>
      <x:c r="AI85" s="601" t="n">
        <x:f>IF(AH85="","",AH85*'Specialisation Rankings'!$O$16+R85*'Specialisation Rankings'!$O$17)</x:f>
        <x:v>26.883116883116884</x:v>
      </x:c>
      <x:c r="AJ85" s="601" t="n">
        <x:f>IF(AI85="","",COUNTIFS($A$19:$A$186,A85,$AP$19:$AP$186,"Yes",$E$19:$E$186,"&gt;0",$AI$19:$AI$186,"&gt;"&amp;AI85)+COUNTIFS($A$19:A85,A85,$AP$19:AP85,"Yes",$E$19:E85,"&gt;0",$AI$19:AI85,AI85))</x:f>
        <x:v>25</x:v>
      </x:c>
      <x:c r="AK85" s="601" t="n">
        <x:f>IF(OR(AP85&lt;&gt;"Yes",E85=0),"",IF(M85=0,'Specialisation Rankings'!$O$23,V85))</x:f>
        <x:v>84.18803418803418</x:v>
      </x:c>
      <x:c r="AL85" s="601" t="n">
        <x:f>IF(AK85="","",COUNTIFS($A$19:$A$186,A85,$AP$19:$AP$186,"Yes",$E$19:$E$186,"&gt;0",$AK$19:$AK$186,"&gt;"&amp;AK85)+COUNTIFS($A$19:A85,A85,$AP$19:AP85,"Yes",$E$19:E85,"&gt;0",$AK$19:AK85,AK85))</x:f>
        <x:v>7</x:v>
      </x:c>
      <x:c r="AM85" s="601" t="n">
        <x:f>IF(AC85="","",AC85*'Specialisation Rankings'!$O$18+AF85*'Specialisation Rankings'!$O$19+AI85*'Specialisation Rankings'!$O$20+AK85*'Specialisation Rankings'!$O$21)</x:f>
        <x:v>20.717504717504717</x:v>
      </x:c>
      <x:c r="AN85" s="601" t="n">
        <x:f>IF(AM85="","",COUNTIFS($A$19:$A$186,A85,$AP$19:$AP$186,"Yes",$E$19:$E$186,"&gt;0",$AM$19:$AM$186,"&gt;"&amp;AM85)+COUNTIFS($A$19:A85,A85,$AP$19:AP85,"Yes",$E$19:E85,"&gt;0",$AM$19:AM85,AM85))</x:f>
        <x:v>24</x:v>
      </x:c>
      <x:c r="AO85" s="601" t="n">
        <x:f>IF(AM85="","",COUNTIFS($AP$19:$AP$186,"Yes",$E$19:$E$186,"&gt;0",$AM$19:$AM$186,"&gt;"&amp;AM85)+COUNTIFS($AP$19:AP85,"Yes",$E$19:E85,"&gt;0",$AM$19:AM85,AM85))</x:f>
        <x:v>148</x:v>
      </x:c>
      <x:c r="AP85" s="602" t="str">
        <x:f>IF(COUNTIFS('Player Scenario Model'!$A$6:$A$172,A85,'Player Scenario Model'!$B$6:$B$172,B85)&gt;0,"Yes","No")</x:f>
        <x:v>Yes</x:v>
      </x:c>
    </x:row>
    <x:row r="86" ht="24" customHeight="1">
      <x:c r="A86" s="430" t="str">
        <x:v>K138</x:v>
      </x:c>
      <x:c r="B86" s="430" t="str">
        <x:v>(RaW)༺JOJO༻</x:v>
      </x:c>
      <x:c r="C86" s="431" t="n">
        <x:f>COUNTIFS('Specialisations'!$A$6:$A$527,A86,'Specialisations'!$B$6:$B$527,B86)</x:f>
        <x:v>3</x:v>
      </x:c>
      <x:c r="D86" s="431" t="n">
        <x:f>COUNTIFS('Specialisations'!$A$6:$A$527,A86,'Specialisations'!$B$6:$B$527,B86,'Specialisations'!$P$6:$P$527,"OK")</x:f>
        <x:v>3</x:v>
      </x:c>
      <x:c r="E86" s="431" t="n">
        <x:f>COUNTIFS('Specialisations'!$A$6:$A$527,A86,'Specialisations'!$B$6:$B$527,B86,'Specialisations'!$P$6:$P$527,"OK",'Specialisations'!$C$6:$C$527,"&lt;&gt;Guards")</x:f>
        <x:v>2</x:v>
      </x:c>
      <x:c r="F86" s="432" t="n">
        <x:f>IF(C86=0,"",D86/C86)</x:f>
        <x:v>1</x:v>
      </x:c>
      <x:c r="G86" s="495" t="n">
        <x:f>SUMIFS('Specialisations'!$Q$6:$Q$527,'Specialisations'!$A$6:$A$527,A86,'Specialisations'!$B$6:$B$527,B86,'Specialisations'!$C$6:$C$527,"Guards")</x:f>
        <x:v>-41.98</x:v>
      </x:c>
      <x:c r="H86" s="495" t="n">
        <x:f>SUMIFS('Specialisations'!$Q$6:$Q$527,'Specialisations'!$A$6:$A$527,A86,'Specialisations'!$B$6:$B$527,B86,'Specialisations'!$C$6:$C$527,"Archers")</x:f>
        <x:v>30.38</x:v>
      </x:c>
      <x:c r="I86" s="495" t="n">
        <x:f>SUMIFS('Specialisations'!$Q$6:$Q$527,'Specialisations'!$A$6:$A$527,A86,'Specialisations'!$B$6:$B$527,B86,'Specialisations'!$C$6:$C$527,"Cavalry")</x:f>
        <x:v>27.74</x:v>
      </x:c>
      <x:c r="J86" s="495" t="n">
        <x:f>SUMIFS('Specialisations'!$Q$6:$Q$527,'Specialisations'!$A$6:$A$527,A86,'Specialisations'!$B$6:$B$527,B86,'Specialisations'!$C$6:$C$527,"Siege")</x:f>
        <x:v>0</x:v>
      </x:c>
      <x:c r="K86" s="495" t="n">
        <x:f>SUM(H86:J86)</x:f>
        <x:v>58.12</x:v>
      </x:c>
      <x:c r="L86" s="495" t="n">
        <x:f>SUM(G86,K86)</x:f>
        <x:v>16.14</x:v>
      </x:c>
      <x:c r="M86" s="433" t="n">
        <x:f>SUMIFS('Specialisations'!$N$6:$N$527,'Specialisations'!$A$6:$A$527,A86,'Specialisations'!$B$6:$B$527,B86,'Specialisations'!$C$6:$C$527,"Guards")</x:f>
        <x:v>4284300</x:v>
      </x:c>
      <x:c r="N86" s="433" t="n">
        <x:f>SUMIFS('Specialisations'!$N$6:$N$527,'Specialisations'!$A$6:$A$527,A86,'Specialisations'!$B$6:$B$527,B86,'Specialisations'!$C$6:$C$527,"&lt;&gt;Guards")</x:f>
        <x:v>4768600</x:v>
      </x:c>
      <x:c r="O86" s="433" t="n">
        <x:f>SUM(M86:N86)</x:f>
        <x:v>9052900</x:v>
      </x:c>
      <x:c r="P86" s="434" t="n">
        <x:f>IF(E86=0,"",K86/E86)</x:f>
        <x:v>29.06</x:v>
      </x:c>
      <x:c r="Q86" s="501" t="n">
        <x:f>IF(E86=0,"",IFERROR(100*(COUNTIFS($E$19:$E$186,"&gt;0",$K$19:$K$186,"&lt;"&amp;K86)+(COUNTIFS($E$19:$E$186,"&gt;0",$K$19:$K$186,K86)-1)/2)/(COUNTIF($E$19:$E$186,"&gt;0")-1),50))</x:f>
        <x:v>19.155844155844157</x:v>
      </x:c>
      <x:c r="R86" s="501" t="n">
        <x:f>IF(E86=0,"",IFERROR(100*(COUNTIFS($E$19:$E$186,"&gt;0",$N$19:$N$186,"&lt;"&amp;N86)+(COUNTIFS($E$19:$E$186,"&gt;0",$N$19:$N$186,N86)-1)/2)/(COUNTIF($E$19:$E$186,"&gt;0")-1),50))</x:f>
        <x:v>10.064935064935066</x:v>
      </x:c>
      <x:c r="S86" s="501" t="n">
        <x:f>IF(E86=0,"",Q86*$R$5+R86*$R$6)</x:f>
        <x:v>17.337662337662337</x:v>
      </x:c>
      <x:c r="T86" s="501" t="n">
        <x:f>IF(M86=0,"",IFERROR(100*(COUNTIFS($M$19:$M$186,"&gt;0",$G$19:$G$186,"&gt;"&amp;G86)+(COUNTIFS($M$19:$M$186,"&gt;0",$G$19:$G$186,G86)-1)/2)/(COUNTIF($M$19:$M$186,"&gt;0")-1),50))</x:f>
        <x:v>60.256410256410255</x:v>
      </x:c>
      <x:c r="U86" s="501" t="n">
        <x:f>IF(M86=0,"",IFERROR(100*(COUNTIFS($M$19:$M$186,"&gt;0",$M$19:$M$186,"&lt;"&amp;M86)+(COUNTIFS($M$19:$M$186,"&gt;0",$M$19:$M$186,M86)-1)/2)/(COUNTIF($M$19:$M$186,"&gt;0")-1),50))</x:f>
        <x:v>60.256410256410255</x:v>
      </x:c>
      <x:c r="V86" s="501" t="n">
        <x:f>IF(M86=0,"",T86*$R$5+U86*$R$6)</x:f>
        <x:v>60.25641025641025</x:v>
      </x:c>
      <x:c r="W86" s="431" t="n">
        <x:f>IF(E86=0,"",COUNTIFS($A$19:$A$186,A86,$S$19:$S$186,"&gt;"&amp;S86)+COUNTIFS($A$19:A86,A86,$E$19:E86,"&gt;0",$S$19:S86,S86))</x:f>
        <x:v>16</x:v>
      </x:c>
      <x:c r="X86" s="431" t="n">
        <x:f>IF(S86="","",1+COUNTIF($S$19:$S$186,"&gt;"&amp;S86))</x:f>
        <x:v>131</x:v>
      </x:c>
      <x:c r="Y86" s="431" t="n">
        <x:f>IF(V86="","",1+COUNTIFS($A$19:$A$186,A86,$V$19:$V$186,"&gt;"&amp;V86))</x:f>
        <x:v>10</x:v>
      </x:c>
      <x:c r="Z86" s="431" t="n">
        <x:f>IF(V86="","",1+COUNTIF($V$19:$V$186,"&gt;"&amp;V86))</x:f>
        <x:v>35</x:v>
      </x:c>
      <x:c r="AA86" s="430" t="str">
        <x:f>IF(C86=0,"No specialisations recorded",IF(D86&lt;C86,"Review missing level","Recorded skills only"))</x:f>
        <x:v>Recorded skills only</x:v>
      </x:c>
      <x:c r="AB86" s="601" t="n">
        <x:f>IF(OR(AP86&lt;&gt;"Yes",E86=0),"",IFERROR(100*(COUNTIFS($AP$19:$AP$186,"Yes",$E$19:$E$186,"&gt;0",$I$19:$I$186,"&lt;"&amp;I86)+(COUNTIFS($AP$19:$AP$186,"Yes",$E$19:$E$186,"&gt;0",$I$19:$I$186,I86)-1)/2)/(COUNTIFS($AP$19:$AP$186,"Yes",$E$19:$E$186,"&gt;0")-1),50))</x:f>
        <x:v>26.2987012987013</x:v>
      </x:c>
      <x:c r="AC86" s="601" t="n">
        <x:f>IF(AB86="","",AB86*'Specialisation Rankings'!$O$16+R86*'Specialisation Rankings'!$O$17)</x:f>
        <x:v>23.051948051948052</x:v>
      </x:c>
      <x:c r="AD86" s="601" t="n">
        <x:f>IF(AC86="","",COUNTIFS($A$19:$A$186,A86,$AP$19:$AP$186,"Yes",$E$19:$E$186,"&gt;0",$AC$19:$AC$186,"&gt;"&amp;AC86)+COUNTIFS($A$19:A86,A86,$AP$19:AP86,"Yes",$E$19:E86,"&gt;0",$AC$19:AC86,AC86))</x:f>
        <x:v>17</x:v>
      </x:c>
      <x:c r="AE86" s="601" t="n">
        <x:f>IF(OR(AP86&lt;&gt;"Yes",E86=0),"",IFERROR(100*(COUNTIFS($AP$19:$AP$186,"Yes",$E$19:$E$186,"&gt;0",$H$19:$H$186,"&lt;"&amp;H86)+(COUNTIFS($AP$19:$AP$186,"Yes",$E$19:$E$186,"&gt;0",$H$19:$H$186,H86)-1)/2)/(COUNTIFS($AP$19:$AP$186,"Yes",$E$19:$E$186,"&gt;0")-1),50))</x:f>
        <x:v>52.5974025974026</x:v>
      </x:c>
      <x:c r="AF86" s="601" t="n">
        <x:f>IF(AE86="","",AE86*'Specialisation Rankings'!$O$16+R86*'Specialisation Rankings'!$O$17)</x:f>
        <x:v>44.09090909090909</x:v>
      </x:c>
      <x:c r="AG86" s="601" t="n">
        <x:f>IF(AF86="","",COUNTIFS($A$19:$A$186,A86,$AP$19:$AP$186,"Yes",$E$19:$E$186,"&gt;0",$AF$19:$AF$186,"&gt;"&amp;AF86)+COUNTIFS($A$19:A86,A86,$AP$19:AP86,"Yes",$E$19:E86,"&gt;0",$AF$19:AF86,AF86))</x:f>
        <x:v>15</x:v>
      </x:c>
      <x:c r="AH86" s="601" t="n">
        <x:f>IF(OR(AP86&lt;&gt;"Yes",E86=0),"",IFERROR(100*(COUNTIFS($AP$19:$AP$186,"Yes",$E$19:$E$186,"&gt;0",$J$19:$J$186,"&lt;"&amp;J86)+(COUNTIFS($AP$19:$AP$186,"Yes",$E$19:$E$186,"&gt;0",$J$19:$J$186,J86)-1)/2)/(COUNTIFS($AP$19:$AP$186,"Yes",$E$19:$E$186,"&gt;0")-1),50))</x:f>
        <x:v>33.116883116883116</x:v>
      </x:c>
      <x:c r="AI86" s="601" t="n">
        <x:f>IF(AH86="","",AH86*'Specialisation Rankings'!$O$16+R86*'Specialisation Rankings'!$O$17)</x:f>
        <x:v>28.506493506493506</x:v>
      </x:c>
      <x:c r="AJ86" s="601" t="n">
        <x:f>IF(AI86="","",COUNTIFS($A$19:$A$186,A86,$AP$19:$AP$186,"Yes",$E$19:$E$186,"&gt;0",$AI$19:$AI$186,"&gt;"&amp;AI86)+COUNTIFS($A$19:A86,A86,$AP$19:AP86,"Yes",$E$19:E86,"&gt;0",$AI$19:AI86,AI86))</x:f>
        <x:v>18</x:v>
      </x:c>
      <x:c r="AK86" s="601" t="n">
        <x:f>IF(OR(AP86&lt;&gt;"Yes",E86=0),"",IF(M86=0,'Specialisation Rankings'!$O$23,V86))</x:f>
        <x:v>60.25641025641025</x:v>
      </x:c>
      <x:c r="AL86" s="601" t="n">
        <x:f>IF(AK86="","",COUNTIFS($A$19:$A$186,A86,$AP$19:$AP$186,"Yes",$E$19:$E$186,"&gt;0",$AK$19:$AK$186,"&gt;"&amp;AK86)+COUNTIFS($A$19:A86,A86,$AP$19:AP86,"Yes",$E$19:E86,"&gt;0",$AK$19:AK86,AK86))</x:f>
        <x:v>10</x:v>
      </x:c>
      <x:c r="AM86" s="601" t="n">
        <x:f>IF(AC86="","",AC86*'Specialisation Rankings'!$O$18+AF86*'Specialisation Rankings'!$O$19+AI86*'Specialisation Rankings'!$O$20+AK86*'Specialisation Rankings'!$O$21)</x:f>
        <x:v>29.694472194472194</x:v>
      </x:c>
      <x:c r="AN86" s="601" t="n">
        <x:f>IF(AM86="","",COUNTIFS($A$19:$A$186,A86,$AP$19:$AP$186,"Yes",$E$19:$E$186,"&gt;0",$AM$19:$AM$186,"&gt;"&amp;AM86)+COUNTIFS($A$19:A86,A86,$AP$19:AP86,"Yes",$E$19:E86,"&gt;0",$AM$19:AM86,AM86))</x:f>
        <x:v>18</x:v>
      </x:c>
      <x:c r="AO86" s="601" t="n">
        <x:f>IF(AM86="","",COUNTIFS($AP$19:$AP$186,"Yes",$E$19:$E$186,"&gt;0",$AM$19:$AM$186,"&gt;"&amp;AM86)+COUNTIFS($AP$19:AP86,"Yes",$E$19:E86,"&gt;0",$AM$19:AM86,AM86))</x:f>
        <x:v>125</x:v>
      </x:c>
      <x:c r="AP86" s="602" t="str">
        <x:f>IF(COUNTIFS('Player Scenario Model'!$A$6:$A$172,A86,'Player Scenario Model'!$B$6:$B$172,B86)&gt;0,"Yes","No")</x:f>
        <x:v>Yes</x:v>
      </x:c>
    </x:row>
    <x:row r="87" ht="24" customHeight="1">
      <x:c r="A87" s="430" t="str">
        <x:v>K138</x:v>
      </x:c>
      <x:c r="B87" s="430" t="str">
        <x:v>(RaW)SLAP</x:v>
      </x:c>
      <x:c r="C87" s="431" t="n">
        <x:f>COUNTIFS('Specialisations'!$A$6:$A$527,A87,'Specialisations'!$B$6:$B$527,B87)</x:f>
        <x:v>4</x:v>
      </x:c>
      <x:c r="D87" s="431" t="n">
        <x:f>COUNTIFS('Specialisations'!$A$6:$A$527,A87,'Specialisations'!$B$6:$B$527,B87,'Specialisations'!$P$6:$P$527,"OK")</x:f>
        <x:v>4</x:v>
      </x:c>
      <x:c r="E87" s="431" t="n">
        <x:f>COUNTIFS('Specialisations'!$A$6:$A$527,A87,'Specialisations'!$B$6:$B$527,B87,'Specialisations'!$P$6:$P$527,"OK",'Specialisations'!$C$6:$C$527,"&lt;&gt;Guards")</x:f>
        <x:v>4</x:v>
      </x:c>
      <x:c r="F87" s="432" t="n">
        <x:f>IF(C87=0,"",D87/C87)</x:f>
        <x:v>1</x:v>
      </x:c>
      <x:c r="G87" s="495" t="n">
        <x:f>SUMIFS('Specialisations'!$Q$6:$Q$527,'Specialisations'!$A$6:$A$527,A87,'Specialisations'!$B$6:$B$527,B87,'Specialisations'!$C$6:$C$527,"Guards")</x:f>
        <x:v>0</x:v>
      </x:c>
      <x:c r="H87" s="495" t="n">
        <x:f>SUMIFS('Specialisations'!$Q$6:$Q$527,'Specialisations'!$A$6:$A$527,A87,'Specialisations'!$B$6:$B$527,B87,'Specialisations'!$C$6:$C$527,"Archers")</x:f>
        <x:v>30.38</x:v>
      </x:c>
      <x:c r="I87" s="495" t="n">
        <x:f>SUMIFS('Specialisations'!$Q$6:$Q$527,'Specialisations'!$A$6:$A$527,A87,'Specialisations'!$B$6:$B$527,B87,'Specialisations'!$C$6:$C$527,"Cavalry")</x:f>
        <x:v>103.48</x:v>
      </x:c>
      <x:c r="J87" s="495" t="n">
        <x:f>SUMIFS('Specialisations'!$Q$6:$Q$527,'Specialisations'!$A$6:$A$527,A87,'Specialisations'!$B$6:$B$527,B87,'Specialisations'!$C$6:$C$527,"Siege")</x:f>
        <x:v>30.38</x:v>
      </x:c>
      <x:c r="K87" s="495" t="n">
        <x:f>SUM(H87:J87)</x:f>
        <x:v>164.24</x:v>
      </x:c>
      <x:c r="L87" s="495" t="n">
        <x:f>SUM(G87,K87)</x:f>
        <x:v>164.24</x:v>
      </x:c>
      <x:c r="M87" s="433" t="n">
        <x:f>SUMIFS('Specialisations'!$N$6:$N$527,'Specialisations'!$A$6:$A$527,A87,'Specialisations'!$B$6:$B$527,B87,'Specialisations'!$C$6:$C$527,"Guards")</x:f>
        <x:v>0</x:v>
      </x:c>
      <x:c r="N87" s="433" t="n">
        <x:f>SUMIFS('Specialisations'!$N$6:$N$527,'Specialisations'!$A$6:$A$527,A87,'Specialisations'!$B$6:$B$527,B87,'Specialisations'!$C$6:$C$527,"&lt;&gt;Guards")</x:f>
        <x:v>18917200</x:v>
      </x:c>
      <x:c r="O87" s="433" t="n">
        <x:f>SUM(M87:N87)</x:f>
        <x:v>18917200</x:v>
      </x:c>
      <x:c r="P87" s="434" t="n">
        <x:f>IF(E87=0,"",K87/E87)</x:f>
        <x:v>41.06</x:v>
      </x:c>
      <x:c r="Q87" s="501" t="n">
        <x:f>IF(E87=0,"",IFERROR(100*(COUNTIFS($E$19:$E$186,"&gt;0",$K$19:$K$186,"&lt;"&amp;K87)+(COUNTIFS($E$19:$E$186,"&gt;0",$K$19:$K$186,K87)-1)/2)/(COUNTIF($E$19:$E$186,"&gt;0")-1),50))</x:f>
        <x:v>89.6103896103896</x:v>
      </x:c>
      <x:c r="R87" s="501" t="n">
        <x:f>IF(E87=0,"",IFERROR(100*(COUNTIFS($E$19:$E$186,"&gt;0",$N$19:$N$186,"&lt;"&amp;N87)+(COUNTIFS($E$19:$E$186,"&gt;0",$N$19:$N$186,N87)-1)/2)/(COUNTIF($E$19:$E$186,"&gt;0")-1),50))</x:f>
        <x:v>88.31168831168831</x:v>
      </x:c>
      <x:c r="S87" s="501" t="n">
        <x:f>IF(E87=0,"",Q87*$R$5+R87*$R$6)</x:f>
        <x:v>89.35064935064935</x:v>
      </x:c>
      <x:c r="T87" s="501" t="str">
        <x:f>IF(M87=0,"",IFERROR(100*(COUNTIFS($M$19:$M$186,"&gt;0",$G$19:$G$186,"&gt;"&amp;G87)+(COUNTIFS($M$19:$M$186,"&gt;0",$G$19:$G$186,G87)-1)/2)/(COUNTIF($M$19:$M$186,"&gt;0")-1),50))</x:f>
      </x:c>
      <x:c r="U87" s="501" t="str">
        <x:f>IF(M87=0,"",IFERROR(100*(COUNTIFS($M$19:$M$186,"&gt;0",$M$19:$M$186,"&lt;"&amp;M87)+(COUNTIFS($M$19:$M$186,"&gt;0",$M$19:$M$186,M87)-1)/2)/(COUNTIF($M$19:$M$186,"&gt;0")-1),50))</x:f>
      </x:c>
      <x:c r="V87" s="501" t="str">
        <x:f>IF(M87=0,"",T87*$R$5+U87*$R$6)</x:f>
      </x:c>
      <x:c r="W87" s="431" t="n">
        <x:f>IF(E87=0,"",COUNTIFS($A$19:$A$186,A87,$S$19:$S$186,"&gt;"&amp;S87)+COUNTIFS($A$19:A87,A87,$E$19:E87,"&gt;0",$S$19:S87,S87))</x:f>
        <x:v>2</x:v>
      </x:c>
      <x:c r="X87" s="431" t="n">
        <x:f>IF(S87="","",1+COUNTIF($S$19:$S$186,"&gt;"&amp;S87))</x:f>
        <x:v>17</x:v>
      </x:c>
      <x:c r="Y87" s="431" t="str">
        <x:f>IF(V87="","",1+COUNTIFS($A$19:$A$186,A87,$V$19:$V$186,"&gt;"&amp;V87))</x:f>
      </x:c>
      <x:c r="Z87" s="431" t="str">
        <x:f>IF(V87="","",1+COUNTIF($V$19:$V$186,"&gt;"&amp;V87))</x:f>
      </x:c>
      <x:c r="AA87" s="430" t="str">
        <x:f>IF(C87=0,"No specialisations recorded",IF(D87&lt;C87,"Review missing level","Recorded skills only"))</x:f>
        <x:v>Recorded skills only</x:v>
      </x:c>
      <x:c r="AB87" s="601" t="n">
        <x:f>IF(OR(AP87&lt;&gt;"Yes",E87=0),"",IFERROR(100*(COUNTIFS($AP$19:$AP$186,"Yes",$E$19:$E$186,"&gt;0",$I$19:$I$186,"&lt;"&amp;I87)+(COUNTIFS($AP$19:$AP$186,"Yes",$E$19:$E$186,"&gt;0",$I$19:$I$186,I87)-1)/2)/(COUNTIFS($AP$19:$AP$186,"Yes",$E$19:$E$186,"&gt;0")-1),50))</x:f>
        <x:v>88.31168831168831</x:v>
      </x:c>
      <x:c r="AC87" s="601" t="n">
        <x:f>IF(AB87="","",AB87*'Specialisation Rankings'!$O$16+R87*'Specialisation Rankings'!$O$17)</x:f>
        <x:v>88.31168831168831</x:v>
      </x:c>
      <x:c r="AD87" s="601" t="n">
        <x:f>IF(AC87="","",COUNTIFS($A$19:$A$186,A87,$AP$19:$AP$186,"Yes",$E$19:$E$186,"&gt;0",$AC$19:$AC$186,"&gt;"&amp;AC87)+COUNTIFS($A$19:A87,A87,$AP$19:AP87,"Yes",$E$19:E87,"&gt;0",$AC$19:AC87,AC87))</x:f>
        <x:v>2</x:v>
      </x:c>
      <x:c r="AE87" s="601" t="n">
        <x:f>IF(OR(AP87&lt;&gt;"Yes",E87=0),"",IFERROR(100*(COUNTIFS($AP$19:$AP$186,"Yes",$E$19:$E$186,"&gt;0",$H$19:$H$186,"&lt;"&amp;H87)+(COUNTIFS($AP$19:$AP$186,"Yes",$E$19:$E$186,"&gt;0",$H$19:$H$186,H87)-1)/2)/(COUNTIFS($AP$19:$AP$186,"Yes",$E$19:$E$186,"&gt;0")-1),50))</x:f>
        <x:v>52.5974025974026</x:v>
      </x:c>
      <x:c r="AF87" s="601" t="n">
        <x:f>IF(AE87="","",AE87*'Specialisation Rankings'!$O$16+R87*'Specialisation Rankings'!$O$17)</x:f>
        <x:v>59.740259740259745</x:v>
      </x:c>
      <x:c r="AG87" s="601" t="n">
        <x:f>IF(AF87="","",COUNTIFS($A$19:$A$186,A87,$AP$19:$AP$186,"Yes",$E$19:$E$186,"&gt;0",$AF$19:$AF$186,"&gt;"&amp;AF87)+COUNTIFS($A$19:A87,A87,$AP$19:AP87,"Yes",$E$19:E87,"&gt;0",$AF$19:AF87,AF87))</x:f>
        <x:v>8</x:v>
      </x:c>
      <x:c r="AH87" s="601" t="n">
        <x:f>IF(OR(AP87&lt;&gt;"Yes",E87=0),"",IFERROR(100*(COUNTIFS($AP$19:$AP$186,"Yes",$E$19:$E$186,"&gt;0",$J$19:$J$186,"&lt;"&amp;J87)+(COUNTIFS($AP$19:$AP$186,"Yes",$E$19:$E$186,"&gt;0",$J$19:$J$186,J87)-1)/2)/(COUNTIFS($AP$19:$AP$186,"Yes",$E$19:$E$186,"&gt;0")-1),50))</x:f>
        <x:v>84.74025974025975</x:v>
      </x:c>
      <x:c r="AI87" s="601" t="n">
        <x:f>IF(AH87="","",AH87*'Specialisation Rankings'!$O$16+R87*'Specialisation Rankings'!$O$17)</x:f>
        <x:v>85.45454545454547</x:v>
      </x:c>
      <x:c r="AJ87" s="601" t="n">
        <x:f>IF(AI87="","",COUNTIFS($A$19:$A$186,A87,$AP$19:$AP$186,"Yes",$E$19:$E$186,"&gt;0",$AI$19:$AI$186,"&gt;"&amp;AI87)+COUNTIFS($A$19:A87,A87,$AP$19:AP87,"Yes",$E$19:E87,"&gt;0",$AI$19:AI87,AI87))</x:f>
        <x:v>1</x:v>
      </x:c>
      <x:c r="AK87" s="601" t="n">
        <x:f>IF(OR(AP87&lt;&gt;"Yes",E87=0),"",IF(M87=0,'Specialisation Rankings'!$O$23,V87))</x:f>
        <x:v>50</x:v>
      </x:c>
      <x:c r="AL87" s="601" t="n">
        <x:f>IF(AK87="","",COUNTIFS($A$19:$A$186,A87,$AP$19:$AP$186,"Yes",$E$19:$E$186,"&gt;0",$AK$19:$AK$186,"&gt;"&amp;AK87)+COUNTIFS($A$19:A87,A87,$AP$19:AP87,"Yes",$E$19:E87,"&gt;0",$AK$19:AK87,AK87))</x:f>
        <x:v>16</x:v>
      </x:c>
      <x:c r="AM87" s="601" t="n">
        <x:f>IF(AC87="","",AC87*'Specialisation Rankings'!$O$18+AF87*'Specialisation Rankings'!$O$19+AI87*'Specialisation Rankings'!$O$20+AK87*'Specialisation Rankings'!$O$21)</x:f>
        <x:v>81.19480519480521</x:v>
      </x:c>
      <x:c r="AN87" s="601" t="n">
        <x:f>IF(AM87="","",COUNTIFS($A$19:$A$186,A87,$AP$19:$AP$186,"Yes",$E$19:$E$186,"&gt;0",$AM$19:$AM$186,"&gt;"&amp;AM87)+COUNTIFS($A$19:A87,A87,$AP$19:AP87,"Yes",$E$19:E87,"&gt;0",$AM$19:AM87,AM87))</x:f>
        <x:v>2</x:v>
      </x:c>
      <x:c r="AO87" s="601" t="n">
        <x:f>IF(AM87="","",COUNTIFS($AP$19:$AP$186,"Yes",$E$19:$E$186,"&gt;0",$AM$19:$AM$186,"&gt;"&amp;AM87)+COUNTIFS($AP$19:AP87,"Yes",$E$19:E87,"&gt;0",$AM$19:AM87,AM87))</x:f>
        <x:v>15</x:v>
      </x:c>
      <x:c r="AP87" s="602" t="str">
        <x:f>IF(COUNTIFS('Player Scenario Model'!$A$6:$A$172,A87,'Player Scenario Model'!$B$6:$B$172,B87)&gt;0,"Yes","No")</x:f>
        <x:v>Yes</x:v>
      </x:c>
    </x:row>
    <x:row r="88" ht="24" customHeight="1">
      <x:c r="A88" s="430" t="str">
        <x:v>K138</x:v>
      </x:c>
      <x:c r="B88" s="430" t="str">
        <x:v>(RaW)༺Aryz༻</x:v>
      </x:c>
      <x:c r="C88" s="431" t="n">
        <x:f>COUNTIFS('Specialisations'!$A$6:$A$527,A88,'Specialisations'!$B$6:$B$527,B88)</x:f>
        <x:v>4</x:v>
      </x:c>
      <x:c r="D88" s="431" t="n">
        <x:f>COUNTIFS('Specialisations'!$A$6:$A$527,A88,'Specialisations'!$B$6:$B$527,B88,'Specialisations'!$P$6:$P$527,"OK")</x:f>
        <x:v>4</x:v>
      </x:c>
      <x:c r="E88" s="431" t="n">
        <x:f>COUNTIFS('Specialisations'!$A$6:$A$527,A88,'Specialisations'!$B$6:$B$527,B88,'Specialisations'!$P$6:$P$527,"OK",'Specialisations'!$C$6:$C$527,"&lt;&gt;Guards")</x:f>
        <x:v>4</x:v>
      </x:c>
      <x:c r="F88" s="432" t="n">
        <x:f>IF(C88=0,"",D88/C88)</x:f>
        <x:v>1</x:v>
      </x:c>
      <x:c r="G88" s="495" t="n">
        <x:f>SUMIFS('Specialisations'!$Q$6:$Q$527,'Specialisations'!$A$6:$A$527,A88,'Specialisations'!$B$6:$B$527,B88,'Specialisations'!$C$6:$C$527,"Guards")</x:f>
        <x:v>0</x:v>
      </x:c>
      <x:c r="H88" s="495" t="n">
        <x:f>SUMIFS('Specialisations'!$Q$6:$Q$527,'Specialisations'!$A$6:$A$527,A88,'Specialisations'!$B$6:$B$527,B88,'Specialisations'!$C$6:$C$527,"Archers")</x:f>
        <x:v>27.74</x:v>
      </x:c>
      <x:c r="I88" s="495" t="n">
        <x:f>SUMIFS('Specialisations'!$Q$6:$Q$527,'Specialisations'!$A$6:$A$527,A88,'Specialisations'!$B$6:$B$527,B88,'Specialisations'!$C$6:$C$527,"Cavalry")</x:f>
        <x:v>90.26</x:v>
      </x:c>
      <x:c r="J88" s="495" t="n">
        <x:f>SUMIFS('Specialisations'!$Q$6:$Q$527,'Specialisations'!$A$6:$A$527,A88,'Specialisations'!$B$6:$B$527,B88,'Specialisations'!$C$6:$C$527,"Siege")</x:f>
        <x:v>33.13</x:v>
      </x:c>
      <x:c r="K88" s="495" t="n">
        <x:f>SUM(H88:J88)</x:f>
        <x:v>151.13</x:v>
      </x:c>
      <x:c r="L88" s="495" t="n">
        <x:f>SUM(G88,K88)</x:f>
        <x:v>151.13</x:v>
      </x:c>
      <x:c r="M88" s="433" t="n">
        <x:f>SUMIFS('Specialisations'!$N$6:$N$527,'Specialisations'!$A$6:$A$527,A88,'Specialisations'!$B$6:$B$527,B88,'Specialisations'!$C$6:$C$527,"Guards")</x:f>
        <x:v>0</x:v>
      </x:c>
      <x:c r="N88" s="433" t="n">
        <x:f>SUMIFS('Specialisations'!$N$6:$N$527,'Specialisations'!$A$6:$A$527,A88,'Specialisations'!$B$6:$B$527,B88,'Specialisations'!$C$6:$C$527,"&lt;&gt;Guards")</x:f>
        <x:v>15097200</x:v>
      </x:c>
      <x:c r="O88" s="433" t="n">
        <x:f>SUM(M88:N88)</x:f>
        <x:v>15097200</x:v>
      </x:c>
      <x:c r="P88" s="434" t="n">
        <x:f>IF(E88=0,"",K88/E88)</x:f>
        <x:v>37.7825</x:v>
      </x:c>
      <x:c r="Q88" s="501" t="n">
        <x:f>IF(E88=0,"",IFERROR(100*(COUNTIFS($E$19:$E$186,"&gt;0",$K$19:$K$186,"&lt;"&amp;K88)+(COUNTIFS($E$19:$E$186,"&gt;0",$K$19:$K$186,K88)-1)/2)/(COUNTIF($E$19:$E$186,"&gt;0")-1),50))</x:f>
        <x:v>88.31168831168831</x:v>
      </x:c>
      <x:c r="R88" s="501" t="n">
        <x:f>IF(E88=0,"",IFERROR(100*(COUNTIFS($E$19:$E$186,"&gt;0",$N$19:$N$186,"&lt;"&amp;N88)+(COUNTIFS($E$19:$E$186,"&gt;0",$N$19:$N$186,N88)-1)/2)/(COUNTIF($E$19:$E$186,"&gt;0")-1),50))</x:f>
        <x:v>77.27272727272727</x:v>
      </x:c>
      <x:c r="S88" s="501" t="n">
        <x:f>IF(E88=0,"",Q88*$R$5+R88*$R$6)</x:f>
        <x:v>86.1038961038961</x:v>
      </x:c>
      <x:c r="T88" s="501" t="str">
        <x:f>IF(M88=0,"",IFERROR(100*(COUNTIFS($M$19:$M$186,"&gt;0",$G$19:$G$186,"&gt;"&amp;G88)+(COUNTIFS($M$19:$M$186,"&gt;0",$G$19:$G$186,G88)-1)/2)/(COUNTIF($M$19:$M$186,"&gt;0")-1),50))</x:f>
      </x:c>
      <x:c r="U88" s="501" t="str">
        <x:f>IF(M88=0,"",IFERROR(100*(COUNTIFS($M$19:$M$186,"&gt;0",$M$19:$M$186,"&lt;"&amp;M88)+(COUNTIFS($M$19:$M$186,"&gt;0",$M$19:$M$186,M88)-1)/2)/(COUNTIF($M$19:$M$186,"&gt;0")-1),50))</x:f>
      </x:c>
      <x:c r="V88" s="501" t="str">
        <x:f>IF(M88=0,"",T88*$R$5+U88*$R$6)</x:f>
      </x:c>
      <x:c r="W88" s="431" t="n">
        <x:f>IF(E88=0,"",COUNTIFS($A$19:$A$186,A88,$S$19:$S$186,"&gt;"&amp;S88)+COUNTIFS($A$19:A88,A88,$E$19:E88,"&gt;0",$S$19:S88,S88))</x:f>
        <x:v>3</x:v>
      </x:c>
      <x:c r="X88" s="431" t="n">
        <x:f>IF(S88="","",1+COUNTIF($S$19:$S$186,"&gt;"&amp;S88))</x:f>
        <x:v>20</x:v>
      </x:c>
      <x:c r="Y88" s="431" t="str">
        <x:f>IF(V88="","",1+COUNTIFS($A$19:$A$186,A88,$V$19:$V$186,"&gt;"&amp;V88))</x:f>
      </x:c>
      <x:c r="Z88" s="431" t="str">
        <x:f>IF(V88="","",1+COUNTIF($V$19:$V$186,"&gt;"&amp;V88))</x:f>
      </x:c>
      <x:c r="AA88" s="430" t="str">
        <x:f>IF(C88=0,"No specialisations recorded",IF(D88&lt;C88,"Review missing level","Recorded skills only"))</x:f>
        <x:v>Recorded skills only</x:v>
      </x:c>
      <x:c r="AB88" s="601" t="n">
        <x:f>IF(OR(AP88&lt;&gt;"Yes",E88=0),"",IFERROR(100*(COUNTIFS($AP$19:$AP$186,"Yes",$E$19:$E$186,"&gt;0",$I$19:$I$186,"&lt;"&amp;I88)+(COUNTIFS($AP$19:$AP$186,"Yes",$E$19:$E$186,"&gt;0",$I$19:$I$186,I88)-1)/2)/(COUNTIFS($AP$19:$AP$186,"Yes",$E$19:$E$186,"&gt;0")-1),50))</x:f>
        <x:v>76.2987012987013</x:v>
      </x:c>
      <x:c r="AC88" s="601" t="n">
        <x:f>IF(AB88="","",AB88*'Specialisation Rankings'!$O$16+R88*'Specialisation Rankings'!$O$17)</x:f>
        <x:v>76.4935064935065</x:v>
      </x:c>
      <x:c r="AD88" s="601" t="n">
        <x:f>IF(AC88="","",COUNTIFS($A$19:$A$186,A88,$AP$19:$AP$186,"Yes",$E$19:$E$186,"&gt;0",$AC$19:$AC$186,"&gt;"&amp;AC88)+COUNTIFS($A$19:A88,A88,$AP$19:AP88,"Yes",$E$19:E88,"&gt;0",$AC$19:AC88,AC88))</x:f>
        <x:v>4</x:v>
      </x:c>
      <x:c r="AE88" s="601" t="n">
        <x:f>IF(OR(AP88&lt;&gt;"Yes",E88=0),"",IFERROR(100*(COUNTIFS($AP$19:$AP$186,"Yes",$E$19:$E$186,"&gt;0",$H$19:$H$186,"&lt;"&amp;H88)+(COUNTIFS($AP$19:$AP$186,"Yes",$E$19:$E$186,"&gt;0",$H$19:$H$186,H88)-1)/2)/(COUNTIFS($AP$19:$AP$186,"Yes",$E$19:$E$186,"&gt;0")-1),50))</x:f>
        <x:v>42.20779220779221</x:v>
      </x:c>
      <x:c r="AF88" s="601" t="n">
        <x:f>IF(AE88="","",AE88*'Specialisation Rankings'!$O$16+R88*'Specialisation Rankings'!$O$17)</x:f>
        <x:v>49.22077922077922</x:v>
      </x:c>
      <x:c r="AG88" s="601" t="n">
        <x:f>IF(AF88="","",COUNTIFS($A$19:$A$186,A88,$AP$19:$AP$186,"Yes",$E$19:$E$186,"&gt;0",$AF$19:$AF$186,"&gt;"&amp;AF88)+COUNTIFS($A$19:A88,A88,$AP$19:AP88,"Yes",$E$19:E88,"&gt;0",$AF$19:AF88,AF88))</x:f>
        <x:v>14</x:v>
      </x:c>
      <x:c r="AH88" s="601" t="n">
        <x:f>IF(OR(AP88&lt;&gt;"Yes",E88=0),"",IFERROR(100*(COUNTIFS($AP$19:$AP$186,"Yes",$E$19:$E$186,"&gt;0",$J$19:$J$186,"&lt;"&amp;J88)+(COUNTIFS($AP$19:$AP$186,"Yes",$E$19:$E$186,"&gt;0",$J$19:$J$186,J88)-1)/2)/(COUNTIFS($AP$19:$AP$186,"Yes",$E$19:$E$186,"&gt;0")-1),50))</x:f>
        <x:v>86.36363636363636</x:v>
      </x:c>
      <x:c r="AI88" s="601" t="n">
        <x:f>IF(AH88="","",AH88*'Specialisation Rankings'!$O$16+R88*'Specialisation Rankings'!$O$17)</x:f>
        <x:v>84.54545454545455</x:v>
      </x:c>
      <x:c r="AJ88" s="601" t="n">
        <x:f>IF(AI88="","",COUNTIFS($A$19:$A$186,A88,$AP$19:$AP$186,"Yes",$E$19:$E$186,"&gt;0",$AI$19:$AI$186,"&gt;"&amp;AI88)+COUNTIFS($A$19:A88,A88,$AP$19:AP88,"Yes",$E$19:E88,"&gt;0",$AI$19:AI88,AI88))</x:f>
        <x:v>2</x:v>
      </x:c>
      <x:c r="AK88" s="601" t="n">
        <x:f>IF(OR(AP88&lt;&gt;"Yes",E88=0),"",IF(M88=0,'Specialisation Rankings'!$O$23,V88))</x:f>
        <x:v>50</x:v>
      </x:c>
      <x:c r="AL88" s="601" t="n">
        <x:f>IF(AK88="","",COUNTIFS($A$19:$A$186,A88,$AP$19:$AP$186,"Yes",$E$19:$E$186,"&gt;0",$AK$19:$AK$186,"&gt;"&amp;AK88)+COUNTIFS($A$19:A88,A88,$AP$19:AP88,"Yes",$E$19:E88,"&gt;0",$AK$19:AK88,AK88))</x:f>
        <x:v>17</x:v>
      </x:c>
      <x:c r="AM88" s="601" t="n">
        <x:f>IF(AC88="","",AC88*'Specialisation Rankings'!$O$18+AF88*'Specialisation Rankings'!$O$19+AI88*'Specialisation Rankings'!$O$20+AK88*'Specialisation Rankings'!$O$21)</x:f>
        <x:v>72.32467532467534</x:v>
      </x:c>
      <x:c r="AN88" s="601" t="n">
        <x:f>IF(AM88="","",COUNTIFS($A$19:$A$186,A88,$AP$19:$AP$186,"Yes",$E$19:$E$186,"&gt;0",$AM$19:$AM$186,"&gt;"&amp;AM88)+COUNTIFS($A$19:A88,A88,$AP$19:AP88,"Yes",$E$19:E88,"&gt;0",$AM$19:AM88,AM88))</x:f>
        <x:v>4</x:v>
      </x:c>
      <x:c r="AO88" s="601" t="n">
        <x:f>IF(AM88="","",COUNTIFS($AP$19:$AP$186,"Yes",$E$19:$E$186,"&gt;0",$AM$19:$AM$186,"&gt;"&amp;AM88)+COUNTIFS($AP$19:AP88,"Yes",$E$19:E88,"&gt;0",$AM$19:AM88,AM88))</x:f>
        <x:v>32</x:v>
      </x:c>
      <x:c r="AP88" s="602" t="str">
        <x:f>IF(COUNTIFS('Player Scenario Model'!$A$6:$A$172,A88,'Player Scenario Model'!$B$6:$B$172,B88)&gt;0,"Yes","No")</x:f>
        <x:v>Yes</x:v>
      </x:c>
    </x:row>
    <x:row r="89" ht="24" customHeight="1">
      <x:c r="A89" s="430" t="str">
        <x:v>K138</x:v>
      </x:c>
      <x:c r="B89" s="430" t="str">
        <x:v>(RaW)©•SGT©•</x:v>
      </x:c>
      <x:c r="C89" s="431" t="n">
        <x:f>COUNTIFS('Specialisations'!$A$6:$A$527,A89,'Specialisations'!$B$6:$B$527,B89)</x:f>
        <x:v>3</x:v>
      </x:c>
      <x:c r="D89" s="431" t="n">
        <x:f>COUNTIFS('Specialisations'!$A$6:$A$527,A89,'Specialisations'!$B$6:$B$527,B89,'Specialisations'!$P$6:$P$527,"OK")</x:f>
        <x:v>3</x:v>
      </x:c>
      <x:c r="E89" s="431" t="n">
        <x:f>COUNTIFS('Specialisations'!$A$6:$A$527,A89,'Specialisations'!$B$6:$B$527,B89,'Specialisations'!$P$6:$P$527,"OK",'Specialisations'!$C$6:$C$527,"&lt;&gt;Guards")</x:f>
        <x:v>2</x:v>
      </x:c>
      <x:c r="F89" s="432" t="n">
        <x:f>IF(C89=0,"",D89/C89)</x:f>
        <x:v>1</x:v>
      </x:c>
      <x:c r="G89" s="495" t="n">
        <x:f>SUMIFS('Specialisations'!$Q$6:$Q$527,'Specialisations'!$A$6:$A$527,A89,'Specialisations'!$B$6:$B$527,B89,'Specialisations'!$C$6:$C$527,"Guards")</x:f>
        <x:v>-48.38</x:v>
      </x:c>
      <x:c r="H89" s="495" t="n">
        <x:f>SUMIFS('Specialisations'!$Q$6:$Q$527,'Specialisations'!$A$6:$A$527,A89,'Specialisations'!$B$6:$B$527,B89,'Specialisations'!$C$6:$C$527,"Archers")</x:f>
        <x:v>51.74</x:v>
      </x:c>
      <x:c r="I89" s="495" t="n">
        <x:f>SUMIFS('Specialisations'!$Q$6:$Q$527,'Specialisations'!$A$6:$A$527,A89,'Specialisations'!$B$6:$B$527,B89,'Specialisations'!$C$6:$C$527,"Cavalry")</x:f>
        <x:v>4.8</x:v>
      </x:c>
      <x:c r="J89" s="495" t="n">
        <x:f>SUMIFS('Specialisations'!$Q$6:$Q$527,'Specialisations'!$A$6:$A$527,A89,'Specialisations'!$B$6:$B$527,B89,'Specialisations'!$C$6:$C$527,"Siege")</x:f>
        <x:v>0</x:v>
      </x:c>
      <x:c r="K89" s="495" t="n">
        <x:f>SUM(H89:J89)</x:f>
        <x:v>56.54</x:v>
      </x:c>
      <x:c r="L89" s="495" t="n">
        <x:f>SUM(G89,K89)</x:f>
        <x:v>8.159999999999997</x:v>
      </x:c>
      <x:c r="M89" s="433" t="n">
        <x:f>SUMIFS('Specialisations'!$N$6:$N$527,'Specialisations'!$A$6:$A$527,A89,'Specialisations'!$B$6:$B$527,B89,'Specialisations'!$C$6:$C$527,"Guards")</x:f>
        <x:v>5884300</x:v>
      </x:c>
      <x:c r="N89" s="433" t="n">
        <x:f>SUMIFS('Specialisations'!$N$6:$N$527,'Specialisations'!$A$6:$A$527,A89,'Specialisations'!$B$6:$B$527,B89,'Specialisations'!$C$6:$C$527,"&lt;&gt;Guards")</x:f>
        <x:v>7253600</x:v>
      </x:c>
      <x:c r="O89" s="433" t="n">
        <x:f>SUM(M89:N89)</x:f>
        <x:v>13137900</x:v>
      </x:c>
      <x:c r="P89" s="434" t="n">
        <x:f>IF(E89=0,"",K89/E89)</x:f>
        <x:v>28.27</x:v>
      </x:c>
      <x:c r="Q89" s="501" t="n">
        <x:f>IF(E89=0,"",IFERROR(100*(COUNTIFS($E$19:$E$186,"&gt;0",$K$19:$K$186,"&lt;"&amp;K89)+(COUNTIFS($E$19:$E$186,"&gt;0",$K$19:$K$186,K89)-1)/2)/(COUNTIF($E$19:$E$186,"&gt;0")-1),50))</x:f>
        <x:v>17.532467532467532</x:v>
      </x:c>
      <x:c r="R89" s="501" t="n">
        <x:f>IF(E89=0,"",IFERROR(100*(COUNTIFS($E$19:$E$186,"&gt;0",$N$19:$N$186,"&lt;"&amp;N89)+(COUNTIFS($E$19:$E$186,"&gt;0",$N$19:$N$186,N89)-1)/2)/(COUNTIF($E$19:$E$186,"&gt;0")-1),50))</x:f>
        <x:v>24.025974025974026</x:v>
      </x:c>
      <x:c r="S89" s="501" t="n">
        <x:f>IF(E89=0,"",Q89*$R$5+R89*$R$6)</x:f>
        <x:v>18.83116883116883</x:v>
      </x:c>
      <x:c r="T89" s="501" t="n">
        <x:f>IF(M89=0,"",IFERROR(100*(COUNTIFS($M$19:$M$186,"&gt;0",$G$19:$G$186,"&gt;"&amp;G89)+(COUNTIFS($M$19:$M$186,"&gt;0",$G$19:$G$186,G89)-1)/2)/(COUNTIF($M$19:$M$186,"&gt;0")-1),50))</x:f>
        <x:v>76.06837606837607</x:v>
      </x:c>
      <x:c r="U89" s="501" t="n">
        <x:f>IF(M89=0,"",IFERROR(100*(COUNTIFS($M$19:$M$186,"&gt;0",$M$19:$M$186,"&lt;"&amp;M89)+(COUNTIFS($M$19:$M$186,"&gt;0",$M$19:$M$186,M89)-1)/2)/(COUNTIF($M$19:$M$186,"&gt;0")-1),50))</x:f>
        <x:v>76.06837606837607</x:v>
      </x:c>
      <x:c r="V89" s="501" t="n">
        <x:f>IF(M89=0,"",T89*$R$5+U89*$R$6)</x:f>
        <x:v>76.06837606837607</x:v>
      </x:c>
      <x:c r="W89" s="431" t="n">
        <x:f>IF(E89=0,"",COUNTIFS($A$19:$A$186,A89,$S$19:$S$186,"&gt;"&amp;S89)+COUNTIFS($A$19:A89,A89,$E$19:E89,"&gt;0",$S$19:S89,S89))</x:f>
        <x:v>15</x:v>
      </x:c>
      <x:c r="X89" s="431" t="n">
        <x:f>IF(S89="","",1+COUNTIF($S$19:$S$186,"&gt;"&amp;S89))</x:f>
        <x:v>126</x:v>
      </x:c>
      <x:c r="Y89" s="431" t="n">
        <x:f>IF(V89="","",1+COUNTIFS($A$19:$A$186,A89,$V$19:$V$186,"&gt;"&amp;V89))</x:f>
        <x:v>9</x:v>
      </x:c>
      <x:c r="Z89" s="431" t="n">
        <x:f>IF(V89="","",1+COUNTIF($V$19:$V$186,"&gt;"&amp;V89))</x:f>
        <x:v>28</x:v>
      </x:c>
      <x:c r="AA89" s="430" t="str">
        <x:f>IF(C89=0,"No specialisations recorded",IF(D89&lt;C89,"Review missing level","Recorded skills only"))</x:f>
        <x:v>Recorded skills only</x:v>
      </x:c>
      <x:c r="AB89" s="601" t="n">
        <x:f>IF(OR(AP89&lt;&gt;"Yes",E89=0),"",IFERROR(100*(COUNTIFS($AP$19:$AP$186,"Yes",$E$19:$E$186,"&gt;0",$I$19:$I$186,"&lt;"&amp;I89)+(COUNTIFS($AP$19:$AP$186,"Yes",$E$19:$E$186,"&gt;0",$I$19:$I$186,I89)-1)/2)/(COUNTIFS($AP$19:$AP$186,"Yes",$E$19:$E$186,"&gt;0")-1),50))</x:f>
        <x:v>21.428571428571427</x:v>
      </x:c>
      <x:c r="AC89" s="601" t="n">
        <x:f>IF(AB89="","",AB89*'Specialisation Rankings'!$O$16+R89*'Specialisation Rankings'!$O$17)</x:f>
        <x:v>21.948051948051948</x:v>
      </x:c>
      <x:c r="AD89" s="601" t="n">
        <x:f>IF(AC89="","",COUNTIFS($A$19:$A$186,A89,$AP$19:$AP$186,"Yes",$E$19:$E$186,"&gt;0",$AC$19:$AC$186,"&gt;"&amp;AC89)+COUNTIFS($A$19:A89,A89,$AP$19:AP89,"Yes",$E$19:E89,"&gt;0",$AC$19:AC89,AC89))</x:f>
        <x:v>18</x:v>
      </x:c>
      <x:c r="AE89" s="601" t="n">
        <x:f>IF(OR(AP89&lt;&gt;"Yes",E89=0),"",IFERROR(100*(COUNTIFS($AP$19:$AP$186,"Yes",$E$19:$E$186,"&gt;0",$H$19:$H$186,"&lt;"&amp;H89)+(COUNTIFS($AP$19:$AP$186,"Yes",$E$19:$E$186,"&gt;0",$H$19:$H$186,H89)-1)/2)/(COUNTIFS($AP$19:$AP$186,"Yes",$E$19:$E$186,"&gt;0")-1),50))</x:f>
        <x:v>79.54545454545455</x:v>
      </x:c>
      <x:c r="AF89" s="601" t="n">
        <x:f>IF(AE89="","",AE89*'Specialisation Rankings'!$O$16+R89*'Specialisation Rankings'!$O$17)</x:f>
        <x:v>68.44155844155844</x:v>
      </x:c>
      <x:c r="AG89" s="601" t="n">
        <x:f>IF(AF89="","",COUNTIFS($A$19:$A$186,A89,$AP$19:$AP$186,"Yes",$E$19:$E$186,"&gt;0",$AF$19:$AF$186,"&gt;"&amp;AF89)+COUNTIFS($A$19:A89,A89,$AP$19:AP89,"Yes",$E$19:E89,"&gt;0",$AF$19:AF89,AF89))</x:f>
        <x:v>4</x:v>
      </x:c>
      <x:c r="AH89" s="601" t="n">
        <x:f>IF(OR(AP89&lt;&gt;"Yes",E89=0),"",IFERROR(100*(COUNTIFS($AP$19:$AP$186,"Yes",$E$19:$E$186,"&gt;0",$J$19:$J$186,"&lt;"&amp;J89)+(COUNTIFS($AP$19:$AP$186,"Yes",$E$19:$E$186,"&gt;0",$J$19:$J$186,J89)-1)/2)/(COUNTIFS($AP$19:$AP$186,"Yes",$E$19:$E$186,"&gt;0")-1),50))</x:f>
        <x:v>33.116883116883116</x:v>
      </x:c>
      <x:c r="AI89" s="601" t="n">
        <x:f>IF(AH89="","",AH89*'Specialisation Rankings'!$O$16+R89*'Specialisation Rankings'!$O$17)</x:f>
        <x:v>31.2987012987013</x:v>
      </x:c>
      <x:c r="AJ89" s="601" t="n">
        <x:f>IF(AI89="","",COUNTIFS($A$19:$A$186,A89,$AP$19:$AP$186,"Yes",$E$19:$E$186,"&gt;0",$AI$19:$AI$186,"&gt;"&amp;AI89)+COUNTIFS($A$19:A89,A89,$AP$19:AP89,"Yes",$E$19:E89,"&gt;0",$AI$19:AI89,AI89))</x:f>
        <x:v>15</x:v>
      </x:c>
      <x:c r="AK89" s="601" t="n">
        <x:f>IF(OR(AP89&lt;&gt;"Yes",E89=0),"",IF(M89=0,'Specialisation Rankings'!$O$23,V89))</x:f>
        <x:v>76.06837606837607</x:v>
      </x:c>
      <x:c r="AL89" s="601" t="n">
        <x:f>IF(AK89="","",COUNTIFS($A$19:$A$186,A89,$AP$19:$AP$186,"Yes",$E$19:$E$186,"&gt;0",$AK$19:$AK$186,"&gt;"&amp;AK89)+COUNTIFS($A$19:A89,A89,$AP$19:AP89,"Yes",$E$19:E89,"&gt;0",$AK$19:AK89,AK89))</x:f>
        <x:v>9</x:v>
      </x:c>
      <x:c r="AM89" s="601" t="n">
        <x:f>IF(AC89="","",AC89*'Specialisation Rankings'!$O$18+AF89*'Specialisation Rankings'!$O$19+AI89*'Specialisation Rankings'!$O$20+AK89*'Specialisation Rankings'!$O$21)</x:f>
        <x:v>33.41203241203241</x:v>
      </x:c>
      <x:c r="AN89" s="601" t="n">
        <x:f>IF(AM89="","",COUNTIFS($A$19:$A$186,A89,$AP$19:$AP$186,"Yes",$E$19:$E$186,"&gt;0",$AM$19:$AM$186,"&gt;"&amp;AM89)+COUNTIFS($A$19:A89,A89,$AP$19:AP89,"Yes",$E$19:E89,"&gt;0",$AM$19:AM89,AM89))</x:f>
        <x:v>15</x:v>
      </x:c>
      <x:c r="AO89" s="601" t="n">
        <x:f>IF(AM89="","",COUNTIFS($AP$19:$AP$186,"Yes",$E$19:$E$186,"&gt;0",$AM$19:$AM$186,"&gt;"&amp;AM89)+COUNTIFS($AP$19:AP89,"Yes",$E$19:E89,"&gt;0",$AM$19:AM89,AM89))</x:f>
        <x:v>110</x:v>
      </x:c>
      <x:c r="AP89" s="602" t="str">
        <x:f>IF(COUNTIFS('Player Scenario Model'!$A$6:$A$172,A89,'Player Scenario Model'!$B$6:$B$172,B89)&gt;0,"Yes","No")</x:f>
        <x:v>Yes</x:v>
      </x:c>
    </x:row>
    <x:row r="90" ht="24" customHeight="1">
      <x:c r="A90" s="430" t="str">
        <x:v>K138</x:v>
      </x:c>
      <x:c r="B90" s="430" t="str">
        <x:v>(RaW)JØNS</x:v>
      </x:c>
      <x:c r="C90" s="431" t="n">
        <x:f>COUNTIFS('Specialisations'!$A$6:$A$527,A90,'Specialisations'!$B$6:$B$527,B90)</x:f>
        <x:v>2</x:v>
      </x:c>
      <x:c r="D90" s="431" t="n">
        <x:f>COUNTIFS('Specialisations'!$A$6:$A$527,A90,'Specialisations'!$B$6:$B$527,B90,'Specialisations'!$P$6:$P$527,"OK")</x:f>
        <x:v>2</x:v>
      </x:c>
      <x:c r="E90" s="431" t="n">
        <x:f>COUNTIFS('Specialisations'!$A$6:$A$527,A90,'Specialisations'!$B$6:$B$527,B90,'Specialisations'!$P$6:$P$527,"OK",'Specialisations'!$C$6:$C$527,"&lt;&gt;Guards")</x:f>
        <x:v>1</x:v>
      </x:c>
      <x:c r="F90" s="432" t="n">
        <x:f>IF(C90=0,"",D90/C90)</x:f>
        <x:v>1</x:v>
      </x:c>
      <x:c r="G90" s="495" t="n">
        <x:f>SUMIFS('Specialisations'!$Q$6:$Q$527,'Specialisations'!$A$6:$A$527,A90,'Specialisations'!$B$6:$B$527,B90,'Specialisations'!$C$6:$C$527,"Guards")</x:f>
        <x:v>-4.18</x:v>
      </x:c>
      <x:c r="H90" s="495" t="n">
        <x:f>SUMIFS('Specialisations'!$Q$6:$Q$527,'Specialisations'!$A$6:$A$527,A90,'Specialisations'!$B$6:$B$527,B90,'Specialisations'!$C$6:$C$527,"Archers")</x:f>
        <x:v>24</x:v>
      </x:c>
      <x:c r="I90" s="495" t="n">
        <x:f>SUMIFS('Specialisations'!$Q$6:$Q$527,'Specialisations'!$A$6:$A$527,A90,'Specialisations'!$B$6:$B$527,B90,'Specialisations'!$C$6:$C$527,"Cavalry")</x:f>
        <x:v>0</x:v>
      </x:c>
      <x:c r="J90" s="495" t="n">
        <x:f>SUMIFS('Specialisations'!$Q$6:$Q$527,'Specialisations'!$A$6:$A$527,A90,'Specialisations'!$B$6:$B$527,B90,'Specialisations'!$C$6:$C$527,"Siege")</x:f>
        <x:v>0</x:v>
      </x:c>
      <x:c r="K90" s="495" t="n">
        <x:f>SUM(H90:J90)</x:f>
        <x:v>24</x:v>
      </x:c>
      <x:c r="L90" s="495" t="n">
        <x:f>SUM(G90,K90)</x:f>
        <x:v>19.82</x:v>
      </x:c>
      <x:c r="M90" s="433" t="n">
        <x:f>SUMIFS('Specialisations'!$N$6:$N$527,'Specialisations'!$A$6:$A$527,A90,'Specialisations'!$B$6:$B$527,B90,'Specialisations'!$C$6:$C$527,"Guards")</x:f>
        <x:v>271800</x:v>
      </x:c>
      <x:c r="N90" s="433" t="n">
        <x:f>SUMIFS('Specialisations'!$N$6:$N$527,'Specialisations'!$A$6:$A$527,A90,'Specialisations'!$B$6:$B$527,B90,'Specialisations'!$C$6:$C$527,"&lt;&gt;Guards")</x:f>
        <x:v>2004300</x:v>
      </x:c>
      <x:c r="O90" s="433" t="n">
        <x:f>SUM(M90:N90)</x:f>
        <x:v>2276100</x:v>
      </x:c>
      <x:c r="P90" s="434" t="n">
        <x:f>IF(E90=0,"",K90/E90)</x:f>
        <x:v>24</x:v>
      </x:c>
      <x:c r="Q90" s="501" t="n">
        <x:f>IF(E90=0,"",IFERROR(100*(COUNTIFS($E$19:$E$186,"&gt;0",$K$19:$K$186,"&lt;"&amp;K90)+(COUNTIFS($E$19:$E$186,"&gt;0",$K$19:$K$186,K90)-1)/2)/(COUNTIF($E$19:$E$186,"&gt;0")-1),50))</x:f>
        <x:v>2.5974025974025974</x:v>
      </x:c>
      <x:c r="R90" s="501" t="n">
        <x:f>IF(E90=0,"",IFERROR(100*(COUNTIFS($E$19:$E$186,"&gt;0",$N$19:$N$186,"&lt;"&amp;N90)+(COUNTIFS($E$19:$E$186,"&gt;0",$N$19:$N$186,N90)-1)/2)/(COUNTIF($E$19:$E$186,"&gt;0")-1),50))</x:f>
        <x:v>2.5974025974025974</x:v>
      </x:c>
      <x:c r="S90" s="501" t="n">
        <x:f>IF(E90=0,"",Q90*$R$5+R90*$R$6)</x:f>
        <x:v>2.5974025974025974</x:v>
      </x:c>
      <x:c r="T90" s="501" t="n">
        <x:f>IF(M90=0,"",IFERROR(100*(COUNTIFS($M$19:$M$186,"&gt;0",$G$19:$G$186,"&gt;"&amp;G90)+(COUNTIFS($M$19:$M$186,"&gt;0",$G$19:$G$186,G90)-1)/2)/(COUNTIF($M$19:$M$186,"&gt;0")-1),50))</x:f>
        <x:v>0.8547008547008547</x:v>
      </x:c>
      <x:c r="U90" s="501" t="n">
        <x:f>IF(M90=0,"",IFERROR(100*(COUNTIFS($M$19:$M$186,"&gt;0",$M$19:$M$186,"&lt;"&amp;M90)+(COUNTIFS($M$19:$M$186,"&gt;0",$M$19:$M$186,M90)-1)/2)/(COUNTIF($M$19:$M$186,"&gt;0")-1),50))</x:f>
        <x:v>0.8547008547008547</x:v>
      </x:c>
      <x:c r="V90" s="501" t="n">
        <x:f>IF(M90=0,"",T90*$R$5+U90*$R$6)</x:f>
        <x:v>0.8547008547008547</x:v>
      </x:c>
      <x:c r="W90" s="431" t="n">
        <x:f>IF(E90=0,"",COUNTIFS($A$19:$A$186,A90,$S$19:$S$186,"&gt;"&amp;S90)+COUNTIFS($A$19:A90,A90,$E$19:E90,"&gt;0",$S$19:S90,S90))</x:f>
        <x:v>24</x:v>
      </x:c>
      <x:c r="X90" s="431" t="n">
        <x:f>IF(S90="","",1+COUNTIF($S$19:$S$186,"&gt;"&amp;S90))</x:f>
        <x:v>151</x:v>
      </x:c>
      <x:c r="Y90" s="431" t="n">
        <x:f>IF(V90="","",1+COUNTIFS($A$19:$A$186,A90,$V$19:$V$186,"&gt;"&amp;V90))</x:f>
        <x:v>22</x:v>
      </x:c>
      <x:c r="Z90" s="431" t="n">
        <x:f>IF(V90="","",1+COUNTIF($V$19:$V$186,"&gt;"&amp;V90))</x:f>
        <x:v>117</x:v>
      </x:c>
      <x:c r="AA90" s="430" t="str">
        <x:f>IF(C90=0,"No specialisations recorded",IF(D90&lt;C90,"Review missing level","Recorded skills only"))</x:f>
        <x:v>Recorded skills only</x:v>
      </x:c>
      <x:c r="AB90" s="601" t="n">
        <x:f>IF(OR(AP90&lt;&gt;"Yes",E90=0),"",IFERROR(100*(COUNTIFS($AP$19:$AP$186,"Yes",$E$19:$E$186,"&gt;0",$I$19:$I$186,"&lt;"&amp;I90)+(COUNTIFS($AP$19:$AP$186,"Yes",$E$19:$E$186,"&gt;0",$I$19:$I$186,I90)-1)/2)/(COUNTIFS($AP$19:$AP$186,"Yes",$E$19:$E$186,"&gt;0")-1),50))</x:f>
        <x:v>10.38961038961039</x:v>
      </x:c>
      <x:c r="AC90" s="601" t="n">
        <x:f>IF(AB90="","",AB90*'Specialisation Rankings'!$O$16+R90*'Specialisation Rankings'!$O$17)</x:f>
        <x:v>8.831168831168831</x:v>
      </x:c>
      <x:c r="AD90" s="601" t="n">
        <x:f>IF(AC90="","",COUNTIFS($A$19:$A$186,A90,$AP$19:$AP$186,"Yes",$E$19:$E$186,"&gt;0",$AC$19:$AC$186,"&gt;"&amp;AC90)+COUNTIFS($A$19:A90,A90,$AP$19:AP90,"Yes",$E$19:E90,"&gt;0",$AC$19:AC90,AC90))</x:f>
        <x:v>24</x:v>
      </x:c>
      <x:c r="AE90" s="601" t="n">
        <x:f>IF(OR(AP90&lt;&gt;"Yes",E90=0),"",IFERROR(100*(COUNTIFS($AP$19:$AP$186,"Yes",$E$19:$E$186,"&gt;0",$H$19:$H$186,"&lt;"&amp;H90)+(COUNTIFS($AP$19:$AP$186,"Yes",$E$19:$E$186,"&gt;0",$H$19:$H$186,H90)-1)/2)/(COUNTIFS($AP$19:$AP$186,"Yes",$E$19:$E$186,"&gt;0")-1),50))</x:f>
        <x:v>33.44155844155844</x:v>
      </x:c>
      <x:c r="AF90" s="601" t="n">
        <x:f>IF(AE90="","",AE90*'Specialisation Rankings'!$O$16+R90*'Specialisation Rankings'!$O$17)</x:f>
        <x:v>27.272727272727277</x:v>
      </x:c>
      <x:c r="AG90" s="601" t="n">
        <x:f>IF(AF90="","",COUNTIFS($A$19:$A$186,A90,$AP$19:$AP$186,"Yes",$E$19:$E$186,"&gt;0",$AF$19:$AF$186,"&gt;"&amp;AF90)+COUNTIFS($A$19:A90,A90,$AP$19:AP90,"Yes",$E$19:E90,"&gt;0",$AF$19:AF90,AF90))</x:f>
        <x:v>19</x:v>
      </x:c>
      <x:c r="AH90" s="601" t="n">
        <x:f>IF(OR(AP90&lt;&gt;"Yes",E90=0),"",IFERROR(100*(COUNTIFS($AP$19:$AP$186,"Yes",$E$19:$E$186,"&gt;0",$J$19:$J$186,"&lt;"&amp;J90)+(COUNTIFS($AP$19:$AP$186,"Yes",$E$19:$E$186,"&gt;0",$J$19:$J$186,J90)-1)/2)/(COUNTIFS($AP$19:$AP$186,"Yes",$E$19:$E$186,"&gt;0")-1),50))</x:f>
        <x:v>33.116883116883116</x:v>
      </x:c>
      <x:c r="AI90" s="601" t="n">
        <x:f>IF(AH90="","",AH90*'Specialisation Rankings'!$O$16+R90*'Specialisation Rankings'!$O$17)</x:f>
        <x:v>27.012987012987015</x:v>
      </x:c>
      <x:c r="AJ90" s="601" t="n">
        <x:f>IF(AI90="","",COUNTIFS($A$19:$A$186,A90,$AP$19:$AP$186,"Yes",$E$19:$E$186,"&gt;0",$AI$19:$AI$186,"&gt;"&amp;AI90)+COUNTIFS($A$19:A90,A90,$AP$19:AP90,"Yes",$E$19:E90,"&gt;0",$AI$19:AI90,AI90))</x:f>
        <x:v>24</x:v>
      </x:c>
      <x:c r="AK90" s="601" t="n">
        <x:f>IF(OR(AP90&lt;&gt;"Yes",E90=0),"",IF(M90=0,'Specialisation Rankings'!$O$23,V90))</x:f>
        <x:v>0.8547008547008547</x:v>
      </x:c>
      <x:c r="AL90" s="601" t="n">
        <x:f>IF(AK90="","",COUNTIFS($A$19:$A$186,A90,$AP$19:$AP$186,"Yes",$E$19:$E$186,"&gt;0",$AK$19:$AK$186,"&gt;"&amp;AK90)+COUNTIFS($A$19:A90,A90,$AP$19:AP90,"Yes",$E$19:E90,"&gt;0",$AK$19:AK90,AK90))</x:f>
        <x:v>26</x:v>
      </x:c>
      <x:c r="AM90" s="601" t="n">
        <x:f>IF(AC90="","",AC90*'Specialisation Rankings'!$O$18+AF90*'Specialisation Rankings'!$O$19+AI90*'Specialisation Rankings'!$O$20+AK90*'Specialisation Rankings'!$O$21)</x:f>
        <x:v>12.604950604950606</x:v>
      </x:c>
      <x:c r="AN90" s="601" t="n">
        <x:f>IF(AM90="","",COUNTIFS($A$19:$A$186,A90,$AP$19:$AP$186,"Yes",$E$19:$E$186,"&gt;0",$AM$19:$AM$186,"&gt;"&amp;AM90)+COUNTIFS($A$19:A90,A90,$AP$19:AP90,"Yes",$E$19:E90,"&gt;0",$AM$19:AM90,AM90))</x:f>
        <x:v>26</x:v>
      </x:c>
      <x:c r="AO90" s="601" t="n">
        <x:f>IF(AM90="","",COUNTIFS($AP$19:$AP$186,"Yes",$E$19:$E$186,"&gt;0",$AM$19:$AM$186,"&gt;"&amp;AM90)+COUNTIFS($AP$19:AP90,"Yes",$E$19:E90,"&gt;0",$AM$19:AM90,AM90))</x:f>
        <x:v>155</x:v>
      </x:c>
      <x:c r="AP90" s="602" t="str">
        <x:f>IF(COUNTIFS('Player Scenario Model'!$A$6:$A$172,A90,'Player Scenario Model'!$B$6:$B$172,B90)&gt;0,"Yes","No")</x:f>
        <x:v>Yes</x:v>
      </x:c>
    </x:row>
    <x:row r="91" ht="24" customHeight="1">
      <x:c r="A91" s="430" t="str">
        <x:v>K138</x:v>
      </x:c>
      <x:c r="B91" s="430" t="str">
        <x:v>(RaW)༺Frankie༻</x:v>
      </x:c>
      <x:c r="C91" s="431" t="n">
        <x:f>COUNTIFS('Specialisations'!$A$6:$A$527,A91,'Specialisations'!$B$6:$B$527,B91)</x:f>
        <x:v>5</x:v>
      </x:c>
      <x:c r="D91" s="431" t="n">
        <x:f>COUNTIFS('Specialisations'!$A$6:$A$527,A91,'Specialisations'!$B$6:$B$527,B91,'Specialisations'!$P$6:$P$527,"OK")</x:f>
        <x:v>5</x:v>
      </x:c>
      <x:c r="E91" s="431" t="n">
        <x:f>COUNTIFS('Specialisations'!$A$6:$A$527,A91,'Specialisations'!$B$6:$B$527,B91,'Specialisations'!$P$6:$P$527,"OK",'Specialisations'!$C$6:$C$527,"&lt;&gt;Guards")</x:f>
        <x:v>4</x:v>
      </x:c>
      <x:c r="F91" s="432" t="n">
        <x:f>IF(C91=0,"",D91/C91)</x:f>
        <x:v>1</x:v>
      </x:c>
      <x:c r="G91" s="495" t="n">
        <x:f>SUMIFS('Specialisations'!$Q$6:$Q$527,'Specialisations'!$A$6:$A$527,A91,'Specialisations'!$B$6:$B$527,B91,'Specialisations'!$C$6:$C$527,"Guards")</x:f>
        <x:v>-60</x:v>
      </x:c>
      <x:c r="H91" s="495" t="n">
        <x:f>SUMIFS('Specialisations'!$Q$6:$Q$527,'Specialisations'!$A$6:$A$527,A91,'Specialisations'!$B$6:$B$527,B91,'Specialisations'!$C$6:$C$527,"Archers")</x:f>
        <x:v>14.78</x:v>
      </x:c>
      <x:c r="I91" s="495" t="n">
        <x:f>SUMIFS('Specialisations'!$Q$6:$Q$527,'Specialisations'!$A$6:$A$527,A91,'Specialisations'!$B$6:$B$527,B91,'Specialisations'!$C$6:$C$527,"Cavalry")</x:f>
        <x:v>83.96</x:v>
      </x:c>
      <x:c r="J91" s="495" t="n">
        <x:f>SUMIFS('Specialisations'!$Q$6:$Q$527,'Specialisations'!$A$6:$A$527,A91,'Specialisations'!$B$6:$B$527,B91,'Specialisations'!$C$6:$C$527,"Siege")</x:f>
        <x:v>12.09</x:v>
      </x:c>
      <x:c r="K91" s="495" t="n">
        <x:f>SUM(H91:J91)</x:f>
        <x:v>110.83</x:v>
      </x:c>
      <x:c r="L91" s="495" t="n">
        <x:f>SUM(G91,K91)</x:f>
        <x:v>50.83</x:v>
      </x:c>
      <x:c r="M91" s="433" t="n">
        <x:f>SUMIFS('Specialisations'!$N$6:$N$527,'Specialisations'!$A$6:$A$527,A91,'Specialisations'!$B$6:$B$527,B91,'Specialisations'!$C$6:$C$527,"Guards")</x:f>
        <x:v>10334300</x:v>
      </x:c>
      <x:c r="N91" s="433" t="n">
        <x:f>SUMIFS('Specialisations'!$N$6:$N$527,'Specialisations'!$A$6:$A$527,A91,'Specialisations'!$B$6:$B$527,B91,'Specialisations'!$C$6:$C$527,"&lt;&gt;Guards")</x:f>
        <x:v>10507200</x:v>
      </x:c>
      <x:c r="O91" s="433" t="n">
        <x:f>SUM(M91:N91)</x:f>
        <x:v>20841500</x:v>
      </x:c>
      <x:c r="P91" s="434" t="n">
        <x:f>IF(E91=0,"",K91/E91)</x:f>
        <x:v>27.7075</x:v>
      </x:c>
      <x:c r="Q91" s="501" t="n">
        <x:f>IF(E91=0,"",IFERROR(100*(COUNTIFS($E$19:$E$186,"&gt;0",$K$19:$K$186,"&lt;"&amp;K91)+(COUNTIFS($E$19:$E$186,"&gt;0",$K$19:$K$186,K91)-1)/2)/(COUNTIF($E$19:$E$186,"&gt;0")-1),50))</x:f>
        <x:v>63.63636363636363</x:v>
      </x:c>
      <x:c r="R91" s="501" t="n">
        <x:f>IF(E91=0,"",IFERROR(100*(COUNTIFS($E$19:$E$186,"&gt;0",$N$19:$N$186,"&lt;"&amp;N91)+(COUNTIFS($E$19:$E$186,"&gt;0",$N$19:$N$186,N91)-1)/2)/(COUNTIF($E$19:$E$186,"&gt;0")-1),50))</x:f>
        <x:v>54.54545454545455</x:v>
      </x:c>
      <x:c r="S91" s="501" t="n">
        <x:f>IF(E91=0,"",Q91*$R$5+R91*$R$6)</x:f>
        <x:v>61.81818181818181</x:v>
      </x:c>
      <x:c r="T91" s="501" t="n">
        <x:f>IF(M91=0,"",IFERROR(100*(COUNTIFS($M$19:$M$186,"&gt;0",$G$19:$G$186,"&gt;"&amp;G91)+(COUNTIFS($M$19:$M$186,"&gt;0",$G$19:$G$186,G91)-1)/2)/(COUNTIF($M$19:$M$186,"&gt;0")-1),50))</x:f>
        <x:v>93.16239316239316</x:v>
      </x:c>
      <x:c r="U91" s="501" t="n">
        <x:f>IF(M91=0,"",IFERROR(100*(COUNTIFS($M$19:$M$186,"&gt;0",$M$19:$M$186,"&lt;"&amp;M91)+(COUNTIFS($M$19:$M$186,"&gt;0",$M$19:$M$186,M91)-1)/2)/(COUNTIF($M$19:$M$186,"&gt;0")-1),50))</x:f>
        <x:v>93.16239316239316</x:v>
      </x:c>
      <x:c r="V91" s="501" t="n">
        <x:f>IF(M91=0,"",T91*$R$5+U91*$R$6)</x:f>
        <x:v>93.16239316239316</x:v>
      </x:c>
      <x:c r="W91" s="431" t="n">
        <x:f>IF(E91=0,"",COUNTIFS($A$19:$A$186,A91,$S$19:$S$186,"&gt;"&amp;S91)+COUNTIFS($A$19:A91,A91,$E$19:E91,"&gt;0",$S$19:S91,S91))</x:f>
        <x:v>7</x:v>
      </x:c>
      <x:c r="X91" s="431" t="n">
        <x:f>IF(S91="","",1+COUNTIF($S$19:$S$186,"&gt;"&amp;S91))</x:f>
        <x:v>57</x:v>
      </x:c>
      <x:c r="Y91" s="431" t="n">
        <x:f>IF(V91="","",1+COUNTIFS($A$19:$A$186,A91,$V$19:$V$186,"&gt;"&amp;V91))</x:f>
        <x:v>1</x:v>
      </x:c>
      <x:c r="Z91" s="431" t="n">
        <x:f>IF(V91="","",1+COUNTIF($V$19:$V$186,"&gt;"&amp;V91))</x:f>
        <x:v>1</x:v>
      </x:c>
      <x:c r="AA91" s="430" t="str">
        <x:f>IF(C91=0,"No specialisations recorded",IF(D91&lt;C91,"Review missing level","Recorded skills only"))</x:f>
        <x:v>Recorded skills only</x:v>
      </x:c>
      <x:c r="AB91" s="601" t="n">
        <x:f>IF(OR(AP91&lt;&gt;"Yes",E91=0),"",IFERROR(100*(COUNTIFS($AP$19:$AP$186,"Yes",$E$19:$E$186,"&gt;0",$I$19:$I$186,"&lt;"&amp;I91)+(COUNTIFS($AP$19:$AP$186,"Yes",$E$19:$E$186,"&gt;0",$I$19:$I$186,I91)-1)/2)/(COUNTIFS($AP$19:$AP$186,"Yes",$E$19:$E$186,"&gt;0")-1),50))</x:f>
        <x:v>70.12987012987013</x:v>
      </x:c>
      <x:c r="AC91" s="601" t="n">
        <x:f>IF(AB91="","",AB91*'Specialisation Rankings'!$O$16+R91*'Specialisation Rankings'!$O$17)</x:f>
        <x:v>67.01298701298701</x:v>
      </x:c>
      <x:c r="AD91" s="601" t="n">
        <x:f>IF(AC91="","",COUNTIFS($A$19:$A$186,A91,$AP$19:$AP$186,"Yes",$E$19:$E$186,"&gt;0",$AC$19:$AC$186,"&gt;"&amp;AC91)+COUNTIFS($A$19:A91,A91,$AP$19:AP91,"Yes",$E$19:E91,"&gt;0",$AC$19:AC91,AC91))</x:f>
        <x:v>6</x:v>
      </x:c>
      <x:c r="AE91" s="601" t="n">
        <x:f>IF(OR(AP91&lt;&gt;"Yes",E91=0),"",IFERROR(100*(COUNTIFS($AP$19:$AP$186,"Yes",$E$19:$E$186,"&gt;0",$H$19:$H$186,"&lt;"&amp;H91)+(COUNTIFS($AP$19:$AP$186,"Yes",$E$19:$E$186,"&gt;0",$H$19:$H$186,H91)-1)/2)/(COUNTIFS($AP$19:$AP$186,"Yes",$E$19:$E$186,"&gt;0")-1),50))</x:f>
        <x:v>27.5974025974026</x:v>
      </x:c>
      <x:c r="AF91" s="601" t="n">
        <x:f>IF(AE91="","",AE91*'Specialisation Rankings'!$O$16+R91*'Specialisation Rankings'!$O$17)</x:f>
        <x:v>32.98701298701299</x:v>
      </x:c>
      <x:c r="AG91" s="601" t="n">
        <x:f>IF(AF91="","",COUNTIFS($A$19:$A$186,A91,$AP$19:$AP$186,"Yes",$E$19:$E$186,"&gt;0",$AF$19:$AF$186,"&gt;"&amp;AF91)+COUNTIFS($A$19:A91,A91,$AP$19:AP91,"Yes",$E$19:E91,"&gt;0",$AF$19:AF91,AF91))</x:f>
        <x:v>17</x:v>
      </x:c>
      <x:c r="AH91" s="601" t="n">
        <x:f>IF(OR(AP91&lt;&gt;"Yes",E91=0),"",IFERROR(100*(COUNTIFS($AP$19:$AP$186,"Yes",$E$19:$E$186,"&gt;0",$J$19:$J$186,"&lt;"&amp;J91)+(COUNTIFS($AP$19:$AP$186,"Yes",$E$19:$E$186,"&gt;0",$J$19:$J$186,J91)-1)/2)/(COUNTIFS($AP$19:$AP$186,"Yes",$E$19:$E$186,"&gt;0")-1),50))</x:f>
        <x:v>73.7012987012987</x:v>
      </x:c>
      <x:c r="AI91" s="601" t="n">
        <x:f>IF(AH91="","",AH91*'Specialisation Rankings'!$O$16+R91*'Specialisation Rankings'!$O$17)</x:f>
        <x:v>69.87012987012987</x:v>
      </x:c>
      <x:c r="AJ91" s="601" t="n">
        <x:f>IF(AI91="","",COUNTIFS($A$19:$A$186,A91,$AP$19:$AP$186,"Yes",$E$19:$E$186,"&gt;0",$AI$19:$AI$186,"&gt;"&amp;AI91)+COUNTIFS($A$19:A91,A91,$AP$19:AP91,"Yes",$E$19:E91,"&gt;0",$AI$19:AI91,AI91))</x:f>
        <x:v>7</x:v>
      </x:c>
      <x:c r="AK91" s="601" t="n">
        <x:f>IF(OR(AP91&lt;&gt;"Yes",E91=0),"",IF(M91=0,'Specialisation Rankings'!$O$23,V91))</x:f>
        <x:v>93.16239316239316</x:v>
      </x:c>
      <x:c r="AL91" s="601" t="n">
        <x:f>IF(AK91="","",COUNTIFS($A$19:$A$186,A91,$AP$19:$AP$186,"Yes",$E$19:$E$186,"&gt;0",$AK$19:$AK$186,"&gt;"&amp;AK91)+COUNTIFS($A$19:A91,A91,$AP$19:AP91,"Yes",$E$19:E91,"&gt;0",$AK$19:AK91,AK91))</x:f>
        <x:v>2</x:v>
      </x:c>
      <x:c r="AM91" s="601" t="n">
        <x:f>IF(AC91="","",AC91*'Specialisation Rankings'!$O$18+AF91*'Specialisation Rankings'!$O$19+AI91*'Specialisation Rankings'!$O$20+AK91*'Specialisation Rankings'!$O$21)</x:f>
        <x:v>66.65390165390166</x:v>
      </x:c>
      <x:c r="AN91" s="601" t="n">
        <x:f>IF(AM91="","",COUNTIFS($A$19:$A$186,A91,$AP$19:$AP$186,"Yes",$E$19:$E$186,"&gt;0",$AM$19:$AM$186,"&gt;"&amp;AM91)+COUNTIFS($A$19:A91,A91,$AP$19:AP91,"Yes",$E$19:E91,"&gt;0",$AM$19:AM91,AM91))</x:f>
        <x:v>6</x:v>
      </x:c>
      <x:c r="AO91" s="601" t="n">
        <x:f>IF(AM91="","",COUNTIFS($AP$19:$AP$186,"Yes",$E$19:$E$186,"&gt;0",$AM$19:$AM$186,"&gt;"&amp;AM91)+COUNTIFS($AP$19:AP91,"Yes",$E$19:E91,"&gt;0",$AM$19:AM91,AM91))</x:f>
        <x:v>43</x:v>
      </x:c>
      <x:c r="AP91" s="602" t="str">
        <x:f>IF(COUNTIFS('Player Scenario Model'!$A$6:$A$172,A91,'Player Scenario Model'!$B$6:$B$172,B91)&gt;0,"Yes","No")</x:f>
        <x:v>Yes</x:v>
      </x:c>
    </x:row>
    <x:row r="92" ht="24" customHeight="1">
      <x:c r="A92" s="430" t="str">
        <x:v>K138</x:v>
      </x:c>
      <x:c r="B92" s="430" t="str">
        <x:v>(RaW)Critykal</x:v>
      </x:c>
      <x:c r="C92" s="431" t="n">
        <x:f>COUNTIFS('Specialisations'!$A$6:$A$527,A92,'Specialisations'!$B$6:$B$527,B92)</x:f>
        <x:v>4</x:v>
      </x:c>
      <x:c r="D92" s="431" t="n">
        <x:f>COUNTIFS('Specialisations'!$A$6:$A$527,A92,'Specialisations'!$B$6:$B$527,B92,'Specialisations'!$P$6:$P$527,"OK")</x:f>
        <x:v>4</x:v>
      </x:c>
      <x:c r="E92" s="431" t="n">
        <x:f>COUNTIFS('Specialisations'!$A$6:$A$527,A92,'Specialisations'!$B$6:$B$527,B92,'Specialisations'!$P$6:$P$527,"OK",'Specialisations'!$C$6:$C$527,"&lt;&gt;Guards")</x:f>
        <x:v>4</x:v>
      </x:c>
      <x:c r="F92" s="432" t="n">
        <x:f>IF(C92=0,"",D92/C92)</x:f>
        <x:v>1</x:v>
      </x:c>
      <x:c r="G92" s="495" t="n">
        <x:f>SUMIFS('Specialisations'!$Q$6:$Q$527,'Specialisations'!$A$6:$A$527,A92,'Specialisations'!$B$6:$B$527,B92,'Specialisations'!$C$6:$C$527,"Guards")</x:f>
        <x:v>0</x:v>
      </x:c>
      <x:c r="H92" s="495" t="n">
        <x:f>SUMIFS('Specialisations'!$Q$6:$Q$527,'Specialisations'!$A$6:$A$527,A92,'Specialisations'!$B$6:$B$527,B92,'Specialisations'!$C$6:$C$527,"Archers")</x:f>
        <x:v>27.74</x:v>
      </x:c>
      <x:c r="I92" s="495" t="n">
        <x:f>SUMIFS('Specialisations'!$Q$6:$Q$527,'Specialisations'!$A$6:$A$527,A92,'Specialisations'!$B$6:$B$527,B92,'Specialisations'!$C$6:$C$527,"Cavalry")</x:f>
        <x:v>120</x:v>
      </x:c>
      <x:c r="J92" s="495" t="n">
        <x:f>SUMIFS('Specialisations'!$Q$6:$Q$527,'Specialisations'!$A$6:$A$527,A92,'Specialisations'!$B$6:$B$527,B92,'Specialisations'!$C$6:$C$527,"Siege")</x:f>
        <x:v>27.74</x:v>
      </x:c>
      <x:c r="K92" s="495" t="n">
        <x:f>SUM(H92:J92)</x:f>
        <x:v>175.48000000000002</x:v>
      </x:c>
      <x:c r="L92" s="495" t="n">
        <x:f>SUM(G92,K92)</x:f>
        <x:v>175.48000000000002</x:v>
      </x:c>
      <x:c r="M92" s="433" t="n">
        <x:f>SUMIFS('Specialisations'!$N$6:$N$527,'Specialisations'!$A$6:$A$527,A92,'Specialisations'!$B$6:$B$527,B92,'Specialisations'!$C$6:$C$527,"Guards")</x:f>
        <x:v>0</x:v>
      </x:c>
      <x:c r="N92" s="433" t="n">
        <x:f>SUMIFS('Specialisations'!$N$6:$N$527,'Specialisations'!$A$6:$A$527,A92,'Specialisations'!$B$6:$B$527,B92,'Specialisations'!$C$6:$C$527,"&lt;&gt;Guards")</x:f>
        <x:v>25157200</x:v>
      </x:c>
      <x:c r="O92" s="433" t="n">
        <x:f>SUM(M92:N92)</x:f>
        <x:v>25157200</x:v>
      </x:c>
      <x:c r="P92" s="434" t="n">
        <x:f>IF(E92=0,"",K92/E92)</x:f>
        <x:v>43.870000000000005</x:v>
      </x:c>
      <x:c r="Q92" s="501" t="n">
        <x:f>IF(E92=0,"",IFERROR(100*(COUNTIFS($E$19:$E$186,"&gt;0",$K$19:$K$186,"&lt;"&amp;K92)+(COUNTIFS($E$19:$E$186,"&gt;0",$K$19:$K$186,K92)-1)/2)/(COUNTIF($E$19:$E$186,"&gt;0")-1),50))</x:f>
        <x:v>92.20779220779221</x:v>
      </x:c>
      <x:c r="R92" s="501" t="n">
        <x:f>IF(E92=0,"",IFERROR(100*(COUNTIFS($E$19:$E$186,"&gt;0",$N$19:$N$186,"&lt;"&amp;N92)+(COUNTIFS($E$19:$E$186,"&gt;0",$N$19:$N$186,N92)-1)/2)/(COUNTIF($E$19:$E$186,"&gt;0")-1),50))</x:f>
        <x:v>96.1038961038961</x:v>
      </x:c>
      <x:c r="S92" s="501" t="n">
        <x:f>IF(E92=0,"",Q92*$R$5+R92*$R$6)</x:f>
        <x:v>92.98701298701299</x:v>
      </x:c>
      <x:c r="T92" s="501" t="str">
        <x:f>IF(M92=0,"",IFERROR(100*(COUNTIFS($M$19:$M$186,"&gt;0",$G$19:$G$186,"&gt;"&amp;G92)+(COUNTIFS($M$19:$M$186,"&gt;0",$G$19:$G$186,G92)-1)/2)/(COUNTIF($M$19:$M$186,"&gt;0")-1),50))</x:f>
      </x:c>
      <x:c r="U92" s="501" t="str">
        <x:f>IF(M92=0,"",IFERROR(100*(COUNTIFS($M$19:$M$186,"&gt;0",$M$19:$M$186,"&lt;"&amp;M92)+(COUNTIFS($M$19:$M$186,"&gt;0",$M$19:$M$186,M92)-1)/2)/(COUNTIF($M$19:$M$186,"&gt;0")-1),50))</x:f>
      </x:c>
      <x:c r="V92" s="501" t="str">
        <x:f>IF(M92=0,"",T92*$R$5+U92*$R$6)</x:f>
      </x:c>
      <x:c r="W92" s="431" t="n">
        <x:f>IF(E92=0,"",COUNTIFS($A$19:$A$186,A92,$S$19:$S$186,"&gt;"&amp;S92)+COUNTIFS($A$19:A92,A92,$E$19:E92,"&gt;0",$S$19:S92,S92))</x:f>
        <x:v>1</x:v>
      </x:c>
      <x:c r="X92" s="431" t="n">
        <x:f>IF(S92="","",1+COUNTIF($S$19:$S$186,"&gt;"&amp;S92))</x:f>
        <x:v>11</x:v>
      </x:c>
      <x:c r="Y92" s="431" t="str">
        <x:f>IF(V92="","",1+COUNTIFS($A$19:$A$186,A92,$V$19:$V$186,"&gt;"&amp;V92))</x:f>
      </x:c>
      <x:c r="Z92" s="431" t="str">
        <x:f>IF(V92="","",1+COUNTIF($V$19:$V$186,"&gt;"&amp;V92))</x:f>
      </x:c>
      <x:c r="AA92" s="430" t="str">
        <x:f>IF(C92=0,"No specialisations recorded",IF(D92&lt;C92,"Review missing level","Recorded skills only"))</x:f>
        <x:v>Recorded skills only</x:v>
      </x:c>
      <x:c r="AB92" s="601" t="n">
        <x:f>IF(OR(AP92&lt;&gt;"Yes",E92=0),"",IFERROR(100*(COUNTIFS($AP$19:$AP$186,"Yes",$E$19:$E$186,"&gt;0",$I$19:$I$186,"&lt;"&amp;I92)+(COUNTIFS($AP$19:$AP$186,"Yes",$E$19:$E$186,"&gt;0",$I$19:$I$186,I92)-1)/2)/(COUNTIFS($AP$19:$AP$186,"Yes",$E$19:$E$186,"&gt;0")-1),50))</x:f>
        <x:v>99.02597402597402</x:v>
      </x:c>
      <x:c r="AC92" s="601" t="n">
        <x:f>IF(AB92="","",AB92*'Specialisation Rankings'!$O$16+R92*'Specialisation Rankings'!$O$17)</x:f>
        <x:v>98.44155844155844</x:v>
      </x:c>
      <x:c r="AD92" s="601" t="n">
        <x:f>IF(AC92="","",COUNTIFS($A$19:$A$186,A92,$AP$19:$AP$186,"Yes",$E$19:$E$186,"&gt;0",$AC$19:$AC$186,"&gt;"&amp;AC92)+COUNTIFS($A$19:A92,A92,$AP$19:AP92,"Yes",$E$19:E92,"&gt;0",$AC$19:AC92,AC92))</x:f>
        <x:v>1</x:v>
      </x:c>
      <x:c r="AE92" s="601" t="n">
        <x:f>IF(OR(AP92&lt;&gt;"Yes",E92=0),"",IFERROR(100*(COUNTIFS($AP$19:$AP$186,"Yes",$E$19:$E$186,"&gt;0",$H$19:$H$186,"&lt;"&amp;H92)+(COUNTIFS($AP$19:$AP$186,"Yes",$E$19:$E$186,"&gt;0",$H$19:$H$186,H92)-1)/2)/(COUNTIFS($AP$19:$AP$186,"Yes",$E$19:$E$186,"&gt;0")-1),50))</x:f>
        <x:v>42.20779220779221</x:v>
      </x:c>
      <x:c r="AF92" s="601" t="n">
        <x:f>IF(AE92="","",AE92*'Specialisation Rankings'!$O$16+R92*'Specialisation Rankings'!$O$17)</x:f>
        <x:v>52.98701298701299</x:v>
      </x:c>
      <x:c r="AG92" s="601" t="n">
        <x:f>IF(AF92="","",COUNTIFS($A$19:$A$186,A92,$AP$19:$AP$186,"Yes",$E$19:$E$186,"&gt;0",$AF$19:$AF$186,"&gt;"&amp;AF92)+COUNTIFS($A$19:A92,A92,$AP$19:AP92,"Yes",$E$19:E92,"&gt;0",$AF$19:AF92,AF92))</x:f>
        <x:v>13</x:v>
      </x:c>
      <x:c r="AH92" s="601" t="n">
        <x:f>IF(OR(AP92&lt;&gt;"Yes",E92=0),"",IFERROR(100*(COUNTIFS($AP$19:$AP$186,"Yes",$E$19:$E$186,"&gt;0",$J$19:$J$186,"&lt;"&amp;J92)+(COUNTIFS($AP$19:$AP$186,"Yes",$E$19:$E$186,"&gt;0",$J$19:$J$186,J92)-1)/2)/(COUNTIFS($AP$19:$AP$186,"Yes",$E$19:$E$186,"&gt;0")-1),50))</x:f>
        <x:v>80.84415584415585</x:v>
      </x:c>
      <x:c r="AI92" s="601" t="n">
        <x:f>IF(AH92="","",AH92*'Specialisation Rankings'!$O$16+R92*'Specialisation Rankings'!$O$17)</x:f>
        <x:v>83.89610389610391</x:v>
      </x:c>
      <x:c r="AJ92" s="601" t="n">
        <x:f>IF(AI92="","",COUNTIFS($A$19:$A$186,A92,$AP$19:$AP$186,"Yes",$E$19:$E$186,"&gt;0",$AI$19:$AI$186,"&gt;"&amp;AI92)+COUNTIFS($A$19:A92,A92,$AP$19:AP92,"Yes",$E$19:E92,"&gt;0",$AI$19:AI92,AI92))</x:f>
        <x:v>3</x:v>
      </x:c>
      <x:c r="AK92" s="601" t="n">
        <x:f>IF(OR(AP92&lt;&gt;"Yes",E92=0),"",IF(M92=0,'Specialisation Rankings'!$O$23,V92))</x:f>
        <x:v>50</x:v>
      </x:c>
      <x:c r="AL92" s="601" t="n">
        <x:f>IF(AK92="","",COUNTIFS($A$19:$A$186,A92,$AP$19:$AP$186,"Yes",$E$19:$E$186,"&gt;0",$AK$19:$AK$186,"&gt;"&amp;AK92)+COUNTIFS($A$19:A92,A92,$AP$19:AP92,"Yes",$E$19:E92,"&gt;0",$AK$19:AK92,AK92))</x:f>
        <x:v>18</x:v>
      </x:c>
      <x:c r="AM92" s="601" t="n">
        <x:f>IF(AC92="","",AC92*'Specialisation Rankings'!$O$18+AF92*'Specialisation Rankings'!$O$19+AI92*'Specialisation Rankings'!$O$20+AK92*'Specialisation Rankings'!$O$21)</x:f>
        <x:v>86.87012987012987</x:v>
      </x:c>
      <x:c r="AN92" s="601" t="n">
        <x:f>IF(AM92="","",COUNTIFS($A$19:$A$186,A92,$AP$19:$AP$186,"Yes",$E$19:$E$186,"&gt;0",$AM$19:$AM$186,"&gt;"&amp;AM92)+COUNTIFS($A$19:A92,A92,$AP$19:AP92,"Yes",$E$19:E92,"&gt;0",$AM$19:AM92,AM92))</x:f>
        <x:v>1</x:v>
      </x:c>
      <x:c r="AO92" s="601" t="n">
        <x:f>IF(AM92="","",COUNTIFS($AP$19:$AP$186,"Yes",$E$19:$E$186,"&gt;0",$AM$19:$AM$186,"&gt;"&amp;AM92)+COUNTIFS($AP$19:AP92,"Yes",$E$19:E92,"&gt;0",$AM$19:AM92,AM92))</x:f>
        <x:v>8</x:v>
      </x:c>
      <x:c r="AP92" s="602" t="str">
        <x:f>IF(COUNTIFS('Player Scenario Model'!$A$6:$A$172,A92,'Player Scenario Model'!$B$6:$B$172,B92)&gt;0,"Yes","No")</x:f>
        <x:v>Yes</x:v>
      </x:c>
    </x:row>
    <x:row r="93" ht="24" customHeight="1">
      <x:c r="A93" s="430" t="str">
        <x:v>K138</x:v>
      </x:c>
      <x:c r="B93" s="430" t="str">
        <x:v>(RaW)Maddog</x:v>
      </x:c>
      <x:c r="C93" s="431" t="n">
        <x:f>COUNTIFS('Specialisations'!$A$6:$A$527,A93,'Specialisations'!$B$6:$B$527,B93)</x:f>
        <x:v>3</x:v>
      </x:c>
      <x:c r="D93" s="431" t="n">
        <x:f>COUNTIFS('Specialisations'!$A$6:$A$527,A93,'Specialisations'!$B$6:$B$527,B93,'Specialisations'!$P$6:$P$527,"OK")</x:f>
        <x:v>3</x:v>
      </x:c>
      <x:c r="E93" s="431" t="n">
        <x:f>COUNTIFS('Specialisations'!$A$6:$A$527,A93,'Specialisations'!$B$6:$B$527,B93,'Specialisations'!$P$6:$P$527,"OK",'Specialisations'!$C$6:$C$527,"&lt;&gt;Guards")</x:f>
        <x:v>2</x:v>
      </x:c>
      <x:c r="F93" s="432" t="n">
        <x:f>IF(C93=0,"",D93/C93)</x:f>
        <x:v>1</x:v>
      </x:c>
      <x:c r="G93" s="495" t="n">
        <x:f>SUMIFS('Specialisations'!$Q$6:$Q$527,'Specialisations'!$A$6:$A$527,A93,'Specialisations'!$B$6:$B$527,B93,'Specialisations'!$C$6:$C$527,"Guards")</x:f>
        <x:v>-60</x:v>
      </x:c>
      <x:c r="H93" s="495" t="n">
        <x:f>SUMIFS('Specialisations'!$Q$6:$Q$527,'Specialisations'!$A$6:$A$527,A93,'Specialisations'!$B$6:$B$527,B93,'Specialisations'!$C$6:$C$527,"Archers")</x:f>
        <x:v>39.93</x:v>
      </x:c>
      <x:c r="I93" s="495" t="n">
        <x:f>SUMIFS('Specialisations'!$Q$6:$Q$527,'Specialisations'!$A$6:$A$527,A93,'Specialisations'!$B$6:$B$527,B93,'Specialisations'!$C$6:$C$527,"Cavalry")</x:f>
        <x:v>6.11</x:v>
      </x:c>
      <x:c r="J93" s="495" t="n">
        <x:f>SUMIFS('Specialisations'!$Q$6:$Q$527,'Specialisations'!$A$6:$A$527,A93,'Specialisations'!$B$6:$B$527,B93,'Specialisations'!$C$6:$C$527,"Siege")</x:f>
        <x:v>0</x:v>
      </x:c>
      <x:c r="K93" s="495" t="n">
        <x:f>SUM(H93:J93)</x:f>
        <x:v>46.04</x:v>
      </x:c>
      <x:c r="L93" s="495" t="n">
        <x:f>SUM(G93,K93)</x:f>
        <x:v>-13.96</x:v>
      </x:c>
      <x:c r="M93" s="433" t="n">
        <x:f>SUMIFS('Specialisations'!$N$6:$N$527,'Specialisations'!$A$6:$A$527,A93,'Specialisations'!$B$6:$B$527,B93,'Specialisations'!$C$6:$C$527,"Guards")</x:f>
        <x:v>10334300</x:v>
      </x:c>
      <x:c r="N93" s="433" t="n">
        <x:f>SUMIFS('Specialisations'!$N$6:$N$527,'Specialisations'!$A$6:$A$527,A93,'Specialisations'!$B$6:$B$527,B93,'Specialisations'!$C$6:$C$527,"&lt;&gt;Guards")</x:f>
        <x:v>4148600</x:v>
      </x:c>
      <x:c r="O93" s="433" t="n">
        <x:f>SUM(M93:N93)</x:f>
        <x:v>14482900</x:v>
      </x:c>
      <x:c r="P93" s="434" t="n">
        <x:f>IF(E93=0,"",K93/E93)</x:f>
        <x:v>23.02</x:v>
      </x:c>
      <x:c r="Q93" s="501" t="n">
        <x:f>IF(E93=0,"",IFERROR(100*(COUNTIFS($E$19:$E$186,"&gt;0",$K$19:$K$186,"&lt;"&amp;K93)+(COUNTIFS($E$19:$E$186,"&gt;0",$K$19:$K$186,K93)-1)/2)/(COUNTIF($E$19:$E$186,"&gt;0")-1),50))</x:f>
        <x:v>11.03896103896104</x:v>
      </x:c>
      <x:c r="R93" s="501" t="n">
        <x:f>IF(E93=0,"",IFERROR(100*(COUNTIFS($E$19:$E$186,"&gt;0",$N$19:$N$186,"&lt;"&amp;N93)+(COUNTIFS($E$19:$E$186,"&gt;0",$N$19:$N$186,N93)-1)/2)/(COUNTIF($E$19:$E$186,"&gt;0")-1),50))</x:f>
        <x:v>7.142857142857143</x:v>
      </x:c>
      <x:c r="S93" s="501" t="n">
        <x:f>IF(E93=0,"",Q93*$R$5+R93*$R$6)</x:f>
        <x:v>10.25974025974026</x:v>
      </x:c>
      <x:c r="T93" s="501" t="n">
        <x:f>IF(M93=0,"",IFERROR(100*(COUNTIFS($M$19:$M$186,"&gt;0",$G$19:$G$186,"&gt;"&amp;G93)+(COUNTIFS($M$19:$M$186,"&gt;0",$G$19:$G$186,G93)-1)/2)/(COUNTIF($M$19:$M$186,"&gt;0")-1),50))</x:f>
        <x:v>93.16239316239316</x:v>
      </x:c>
      <x:c r="U93" s="501" t="n">
        <x:f>IF(M93=0,"",IFERROR(100*(COUNTIFS($M$19:$M$186,"&gt;0",$M$19:$M$186,"&lt;"&amp;M93)+(COUNTIFS($M$19:$M$186,"&gt;0",$M$19:$M$186,M93)-1)/2)/(COUNTIF($M$19:$M$186,"&gt;0")-1),50))</x:f>
        <x:v>93.16239316239316</x:v>
      </x:c>
      <x:c r="V93" s="501" t="n">
        <x:f>IF(M93=0,"",T93*$R$5+U93*$R$6)</x:f>
        <x:v>93.16239316239316</x:v>
      </x:c>
      <x:c r="W93" s="431" t="n">
        <x:f>IF(E93=0,"",COUNTIFS($A$19:$A$186,A93,$S$19:$S$186,"&gt;"&amp;S93)+COUNTIFS($A$19:A93,A93,$E$19:E93,"&gt;0",$S$19:S93,S93))</x:f>
        <x:v>17</x:v>
      </x:c>
      <x:c r="X93" s="431" t="n">
        <x:f>IF(S93="","",1+COUNTIF($S$19:$S$186,"&gt;"&amp;S93))</x:f>
        <x:v>138</x:v>
      </x:c>
      <x:c r="Y93" s="431" t="n">
        <x:f>IF(V93="","",1+COUNTIFS($A$19:$A$186,A93,$V$19:$V$186,"&gt;"&amp;V93))</x:f>
        <x:v>1</x:v>
      </x:c>
      <x:c r="Z93" s="431" t="n">
        <x:f>IF(V93="","",1+COUNTIF($V$19:$V$186,"&gt;"&amp;V93))</x:f>
        <x:v>1</x:v>
      </x:c>
      <x:c r="AA93" s="430" t="str">
        <x:f>IF(C93=0,"No specialisations recorded",IF(D93&lt;C93,"Review missing level","Recorded skills only"))</x:f>
        <x:v>Recorded skills only</x:v>
      </x:c>
      <x:c r="AB93" s="601" t="n">
        <x:f>IF(OR(AP93&lt;&gt;"Yes",E93=0),"",IFERROR(100*(COUNTIFS($AP$19:$AP$186,"Yes",$E$19:$E$186,"&gt;0",$I$19:$I$186,"&lt;"&amp;I93)+(COUNTIFS($AP$19:$AP$186,"Yes",$E$19:$E$186,"&gt;0",$I$19:$I$186,I93)-1)/2)/(COUNTIFS($AP$19:$AP$186,"Yes",$E$19:$E$186,"&gt;0")-1),50))</x:f>
        <x:v>22.727272727272727</x:v>
      </x:c>
      <x:c r="AC93" s="601" t="n">
        <x:f>IF(AB93="","",AB93*'Specialisation Rankings'!$O$16+R93*'Specialisation Rankings'!$O$17)</x:f>
        <x:v>19.61038961038961</x:v>
      </x:c>
      <x:c r="AD93" s="601" t="n">
        <x:f>IF(AC93="","",COUNTIFS($A$19:$A$186,A93,$AP$19:$AP$186,"Yes",$E$19:$E$186,"&gt;0",$AC$19:$AC$186,"&gt;"&amp;AC93)+COUNTIFS($A$19:A93,A93,$AP$19:AP93,"Yes",$E$19:E93,"&gt;0",$AC$19:AC93,AC93))</x:f>
        <x:v>19</x:v>
      </x:c>
      <x:c r="AE93" s="601" t="n">
        <x:f>IF(OR(AP93&lt;&gt;"Yes",E93=0),"",IFERROR(100*(COUNTIFS($AP$19:$AP$186,"Yes",$E$19:$E$186,"&gt;0",$H$19:$H$186,"&lt;"&amp;H93)+(COUNTIFS($AP$19:$AP$186,"Yes",$E$19:$E$186,"&gt;0",$H$19:$H$186,H93)-1)/2)/(COUNTIFS($AP$19:$AP$186,"Yes",$E$19:$E$186,"&gt;0")-1),50))</x:f>
        <x:v>64.6103896103896</x:v>
      </x:c>
      <x:c r="AF93" s="601" t="n">
        <x:f>IF(AE93="","",AE93*'Specialisation Rankings'!$O$16+R93*'Specialisation Rankings'!$O$17)</x:f>
        <x:v>53.116883116883116</x:v>
      </x:c>
      <x:c r="AG93" s="601" t="n">
        <x:f>IF(AF93="","",COUNTIFS($A$19:$A$186,A93,$AP$19:$AP$186,"Yes",$E$19:$E$186,"&gt;0",$AF$19:$AF$186,"&gt;"&amp;AF93)+COUNTIFS($A$19:A93,A93,$AP$19:AP93,"Yes",$E$19:E93,"&gt;0",$AF$19:AF93,AF93))</x:f>
        <x:v>12</x:v>
      </x:c>
      <x:c r="AH93" s="601" t="n">
        <x:f>IF(OR(AP93&lt;&gt;"Yes",E93=0),"",IFERROR(100*(COUNTIFS($AP$19:$AP$186,"Yes",$E$19:$E$186,"&gt;0",$J$19:$J$186,"&lt;"&amp;J93)+(COUNTIFS($AP$19:$AP$186,"Yes",$E$19:$E$186,"&gt;0",$J$19:$J$186,J93)-1)/2)/(COUNTIFS($AP$19:$AP$186,"Yes",$E$19:$E$186,"&gt;0")-1),50))</x:f>
        <x:v>33.116883116883116</x:v>
      </x:c>
      <x:c r="AI93" s="601" t="n">
        <x:f>IF(AH93="","",AH93*'Specialisation Rankings'!$O$16+R93*'Specialisation Rankings'!$O$17)</x:f>
        <x:v>27.922077922077925</x:v>
      </x:c>
      <x:c r="AJ93" s="601" t="n">
        <x:f>IF(AI93="","",COUNTIFS($A$19:$A$186,A93,$AP$19:$AP$186,"Yes",$E$19:$E$186,"&gt;0",$AI$19:$AI$186,"&gt;"&amp;AI93)+COUNTIFS($A$19:A93,A93,$AP$19:AP93,"Yes",$E$19:E93,"&gt;0",$AI$19:AI93,AI93))</x:f>
        <x:v>21</x:v>
      </x:c>
      <x:c r="AK93" s="601" t="n">
        <x:f>IF(OR(AP93&lt;&gt;"Yes",E93=0),"",IF(M93=0,'Specialisation Rankings'!$O$23,V93))</x:f>
        <x:v>93.16239316239316</x:v>
      </x:c>
      <x:c r="AL93" s="601" t="n">
        <x:f>IF(AK93="","",COUNTIFS($A$19:$A$186,A93,$AP$19:$AP$186,"Yes",$E$19:$E$186,"&gt;0",$AK$19:$AK$186,"&gt;"&amp;AK93)+COUNTIFS($A$19:A93,A93,$AP$19:AP93,"Yes",$E$19:E93,"&gt;0",$AK$19:AK93,AK93))</x:f>
        <x:v>3</x:v>
      </x:c>
      <x:c r="AM93" s="601" t="n">
        <x:f>IF(AC93="","",AC93*'Specialisation Rankings'!$O$18+AF93*'Specialisation Rankings'!$O$19+AI93*'Specialisation Rankings'!$O$20+AK93*'Specialisation Rankings'!$O$21)</x:f>
        <x:v>31.562992562992562</x:v>
      </x:c>
      <x:c r="AN93" s="601" t="n">
        <x:f>IF(AM93="","",COUNTIFS($A$19:$A$186,A93,$AP$19:$AP$186,"Yes",$E$19:$E$186,"&gt;0",$AM$19:$AM$186,"&gt;"&amp;AM93)+COUNTIFS($A$19:A93,A93,$AP$19:AP93,"Yes",$E$19:E93,"&gt;0",$AM$19:AM93,AM93))</x:f>
        <x:v>16</x:v>
      </x:c>
      <x:c r="AO93" s="601" t="n">
        <x:f>IF(AM93="","",COUNTIFS($AP$19:$AP$186,"Yes",$E$19:$E$186,"&gt;0",$AM$19:$AM$186,"&gt;"&amp;AM93)+COUNTIFS($AP$19:AP93,"Yes",$E$19:E93,"&gt;0",$AM$19:AM93,AM93))</x:f>
        <x:v>116</x:v>
      </x:c>
      <x:c r="AP93" s="602" t="str">
        <x:f>IF(COUNTIFS('Player Scenario Model'!$A$6:$A$172,A93,'Player Scenario Model'!$B$6:$B$172,B93)&gt;0,"Yes","No")</x:f>
        <x:v>Yes</x:v>
      </x:c>
    </x:row>
    <x:row r="94" ht="24" customHeight="1">
      <x:c r="A94" s="430" t="str">
        <x:v>K138</x:v>
      </x:c>
      <x:c r="B94" s="430" t="str">
        <x:v>(RaW)BEYKOZLU</x:v>
      </x:c>
      <x:c r="C94" s="431" t="n">
        <x:f>COUNTIFS('Specialisations'!$A$6:$A$527,A94,'Specialisations'!$B$6:$B$527,B94)</x:f>
        <x:v>3</x:v>
      </x:c>
      <x:c r="D94" s="431" t="n">
        <x:f>COUNTIFS('Specialisations'!$A$6:$A$527,A94,'Specialisations'!$B$6:$B$527,B94,'Specialisations'!$P$6:$P$527,"OK")</x:f>
        <x:v>3</x:v>
      </x:c>
      <x:c r="E94" s="431" t="n">
        <x:f>COUNTIFS('Specialisations'!$A$6:$A$527,A94,'Specialisations'!$B$6:$B$527,B94,'Specialisations'!$P$6:$P$527,"OK",'Specialisations'!$C$6:$C$527,"&lt;&gt;Guards")</x:f>
        <x:v>2</x:v>
      </x:c>
      <x:c r="F94" s="432" t="n">
        <x:f>IF(C94=0,"",D94/C94)</x:f>
        <x:v>1</x:v>
      </x:c>
      <x:c r="G94" s="495" t="n">
        <x:f>SUMIFS('Specialisations'!$Q$6:$Q$527,'Specialisations'!$A$6:$A$527,A94,'Specialisations'!$B$6:$B$527,B94,'Specialisations'!$C$6:$C$527,"Guards")</x:f>
        <x:v>-51.74</x:v>
      </x:c>
      <x:c r="H94" s="495" t="n">
        <x:f>SUMIFS('Specialisations'!$Q$6:$Q$527,'Specialisations'!$A$6:$A$527,A94,'Specialisations'!$B$6:$B$527,B94,'Specialisations'!$C$6:$C$527,"Archers")</x:f>
        <x:v>35.98</x:v>
      </x:c>
      <x:c r="I94" s="495" t="n">
        <x:f>SUMIFS('Specialisations'!$Q$6:$Q$527,'Specialisations'!$A$6:$A$527,A94,'Specialisations'!$B$6:$B$527,B94,'Specialisations'!$C$6:$C$527,"Cavalry")</x:f>
        <x:v>51.74</x:v>
      </x:c>
      <x:c r="J94" s="495" t="n">
        <x:f>SUMIFS('Specialisations'!$Q$6:$Q$527,'Specialisations'!$A$6:$A$527,A94,'Specialisations'!$B$6:$B$527,B94,'Specialisations'!$C$6:$C$527,"Siege")</x:f>
        <x:v>0</x:v>
      </x:c>
      <x:c r="K94" s="495" t="n">
        <x:f>SUM(H94:J94)</x:f>
        <x:v>87.72</x:v>
      </x:c>
      <x:c r="L94" s="495" t="n">
        <x:f>SUM(G94,K94)</x:f>
        <x:v>35.98</x:v>
      </x:c>
      <x:c r="M94" s="433" t="n">
        <x:f>SUMIFS('Specialisations'!$N$6:$N$527,'Specialisations'!$A$6:$A$527,A94,'Specialisations'!$B$6:$B$527,B94,'Specialisations'!$C$6:$C$527,"Guards")</x:f>
        <x:v>6934300</x:v>
      </x:c>
      <x:c r="N94" s="433" t="n">
        <x:f>SUMIFS('Specialisations'!$N$6:$N$527,'Specialisations'!$A$6:$A$527,A94,'Specialisations'!$B$6:$B$527,B94,'Specialisations'!$C$6:$C$527,"&lt;&gt;Guards")</x:f>
        <x:v>10178600</x:v>
      </x:c>
      <x:c r="O94" s="433" t="n">
        <x:f>SUM(M94:N94)</x:f>
        <x:v>17112900</x:v>
      </x:c>
      <x:c r="P94" s="434" t="n">
        <x:f>IF(E94=0,"",K94/E94)</x:f>
        <x:v>43.86</x:v>
      </x:c>
      <x:c r="Q94" s="501" t="n">
        <x:f>IF(E94=0,"",IFERROR(100*(COUNTIFS($E$19:$E$186,"&gt;0",$K$19:$K$186,"&lt;"&amp;K94)+(COUNTIFS($E$19:$E$186,"&gt;0",$K$19:$K$186,K94)-1)/2)/(COUNTIF($E$19:$E$186,"&gt;0")-1),50))</x:f>
        <x:v>45.45454545454545</x:v>
      </x:c>
      <x:c r="R94" s="501" t="n">
        <x:f>IF(E94=0,"",IFERROR(100*(COUNTIFS($E$19:$E$186,"&gt;0",$N$19:$N$186,"&lt;"&amp;N94)+(COUNTIFS($E$19:$E$186,"&gt;0",$N$19:$N$186,N94)-1)/2)/(COUNTIF($E$19:$E$186,"&gt;0")-1),50))</x:f>
        <x:v>42.857142857142854</x:v>
      </x:c>
      <x:c r="S94" s="501" t="n">
        <x:f>IF(E94=0,"",Q94*$R$5+R94*$R$6)</x:f>
        <x:v>44.935064935064936</x:v>
      </x:c>
      <x:c r="T94" s="501" t="n">
        <x:f>IF(M94=0,"",IFERROR(100*(COUNTIFS($M$19:$M$186,"&gt;0",$G$19:$G$186,"&gt;"&amp;G94)+(COUNTIFS($M$19:$M$186,"&gt;0",$G$19:$G$186,G94)-1)/2)/(COUNTIF($M$19:$M$186,"&gt;0")-1),50))</x:f>
        <x:v>79.91452991452991</x:v>
      </x:c>
      <x:c r="U94" s="501" t="n">
        <x:f>IF(M94=0,"",IFERROR(100*(COUNTIFS($M$19:$M$186,"&gt;0",$M$19:$M$186,"&lt;"&amp;M94)+(COUNTIFS($M$19:$M$186,"&gt;0",$M$19:$M$186,M94)-1)/2)/(COUNTIF($M$19:$M$186,"&gt;0")-1),50))</x:f>
        <x:v>79.91452991452991</x:v>
      </x:c>
      <x:c r="V94" s="501" t="n">
        <x:f>IF(M94=0,"",T94*$R$5+U94*$R$6)</x:f>
        <x:v>79.91452991452991</x:v>
      </x:c>
      <x:c r="W94" s="431" t="n">
        <x:f>IF(E94=0,"",COUNTIFS($A$19:$A$186,A94,$S$19:$S$186,"&gt;"&amp;S94)+COUNTIFS($A$19:A94,A94,$E$19:E94,"&gt;0",$S$19:S94,S94))</x:f>
        <x:v>10</x:v>
      </x:c>
      <x:c r="X94" s="431" t="n">
        <x:f>IF(S94="","",1+COUNTIF($S$19:$S$186,"&gt;"&amp;S94))</x:f>
        <x:v>86</x:v>
      </x:c>
      <x:c r="Y94" s="431" t="n">
        <x:f>IF(V94="","",1+COUNTIFS($A$19:$A$186,A94,$V$19:$V$186,"&gt;"&amp;V94))</x:f>
        <x:v>8</x:v>
      </x:c>
      <x:c r="Z94" s="431" t="n">
        <x:f>IF(V94="","",1+COUNTIF($V$19:$V$186,"&gt;"&amp;V94))</x:f>
        <x:v>22</x:v>
      </x:c>
      <x:c r="AA94" s="430" t="str">
        <x:f>IF(C94=0,"No specialisations recorded",IF(D94&lt;C94,"Review missing level","Recorded skills only"))</x:f>
        <x:v>Recorded skills only</x:v>
      </x:c>
      <x:c r="AB94" s="601" t="n">
        <x:f>IF(OR(AP94&lt;&gt;"Yes",E94=0),"",IFERROR(100*(COUNTIFS($AP$19:$AP$186,"Yes",$E$19:$E$186,"&gt;0",$I$19:$I$186,"&lt;"&amp;I94)+(COUNTIFS($AP$19:$AP$186,"Yes",$E$19:$E$186,"&gt;0",$I$19:$I$186,I94)-1)/2)/(COUNTIFS($AP$19:$AP$186,"Yes",$E$19:$E$186,"&gt;0")-1),50))</x:f>
        <x:v>41.23376623376623</x:v>
      </x:c>
      <x:c r="AC94" s="601" t="n">
        <x:f>IF(AB94="","",AB94*'Specialisation Rankings'!$O$16+R94*'Specialisation Rankings'!$O$17)</x:f>
        <x:v>41.55844155844156</x:v>
      </x:c>
      <x:c r="AD94" s="601" t="n">
        <x:f>IF(AC94="","",COUNTIFS($A$19:$A$186,A94,$AP$19:$AP$186,"Yes",$E$19:$E$186,"&gt;0",$AC$19:$AC$186,"&gt;"&amp;AC94)+COUNTIFS($A$19:A94,A94,$AP$19:AP94,"Yes",$E$19:E94,"&gt;0",$AC$19:AC94,AC94))</x:f>
        <x:v>11</x:v>
      </x:c>
      <x:c r="AE94" s="601" t="n">
        <x:f>IF(OR(AP94&lt;&gt;"Yes",E94=0),"",IFERROR(100*(COUNTIFS($AP$19:$AP$186,"Yes",$E$19:$E$186,"&gt;0",$H$19:$H$186,"&lt;"&amp;H94)+(COUNTIFS($AP$19:$AP$186,"Yes",$E$19:$E$186,"&gt;0",$H$19:$H$186,H94)-1)/2)/(COUNTIFS($AP$19:$AP$186,"Yes",$E$19:$E$186,"&gt;0")-1),50))</x:f>
        <x:v>61.03896103896104</x:v>
      </x:c>
      <x:c r="AF94" s="601" t="n">
        <x:f>IF(AE94="","",AE94*'Specialisation Rankings'!$O$16+R94*'Specialisation Rankings'!$O$17)</x:f>
        <x:v>57.40259740259741</x:v>
      </x:c>
      <x:c r="AG94" s="601" t="n">
        <x:f>IF(AF94="","",COUNTIFS($A$19:$A$186,A94,$AP$19:$AP$186,"Yes",$E$19:$E$186,"&gt;0",$AF$19:$AF$186,"&gt;"&amp;AF94)+COUNTIFS($A$19:A94,A94,$AP$19:AP94,"Yes",$E$19:E94,"&gt;0",$AF$19:AF94,AF94))</x:f>
        <x:v>9</x:v>
      </x:c>
      <x:c r="AH94" s="601" t="n">
        <x:f>IF(OR(AP94&lt;&gt;"Yes",E94=0),"",IFERROR(100*(COUNTIFS($AP$19:$AP$186,"Yes",$E$19:$E$186,"&gt;0",$J$19:$J$186,"&lt;"&amp;J94)+(COUNTIFS($AP$19:$AP$186,"Yes",$E$19:$E$186,"&gt;0",$J$19:$J$186,J94)-1)/2)/(COUNTIFS($AP$19:$AP$186,"Yes",$E$19:$E$186,"&gt;0")-1),50))</x:f>
        <x:v>33.116883116883116</x:v>
      </x:c>
      <x:c r="AI94" s="601" t="n">
        <x:f>IF(AH94="","",AH94*'Specialisation Rankings'!$O$16+R94*'Specialisation Rankings'!$O$17)</x:f>
        <x:v>35.064935064935064</x:v>
      </x:c>
      <x:c r="AJ94" s="601" t="n">
        <x:f>IF(AI94="","",COUNTIFS($A$19:$A$186,A94,$AP$19:$AP$186,"Yes",$E$19:$E$186,"&gt;0",$AI$19:$AI$186,"&gt;"&amp;AI94)+COUNTIFS($A$19:A94,A94,$AP$19:AP94,"Yes",$E$19:E94,"&gt;0",$AI$19:AI94,AI94))</x:f>
        <x:v>12</x:v>
      </x:c>
      <x:c r="AK94" s="601" t="n">
        <x:f>IF(OR(AP94&lt;&gt;"Yes",E94=0),"",IF(M94=0,'Specialisation Rankings'!$O$23,V94))</x:f>
        <x:v>79.91452991452991</x:v>
      </x:c>
      <x:c r="AL94" s="601" t="n">
        <x:f>IF(AK94="","",COUNTIFS($A$19:$A$186,A94,$AP$19:$AP$186,"Yes",$E$19:$E$186,"&gt;0",$AK$19:$AK$186,"&gt;"&amp;AK94)+COUNTIFS($A$19:A94,A94,$AP$19:AP94,"Yes",$E$19:E94,"&gt;0",$AK$19:AK94,AK94))</x:f>
        <x:v>8</x:v>
      </x:c>
      <x:c r="AM94" s="601" t="n">
        <x:f>IF(AC94="","",AC94*'Specialisation Rankings'!$O$18+AF94*'Specialisation Rankings'!$O$19+AI94*'Specialisation Rankings'!$O$20+AK94*'Specialisation Rankings'!$O$21)</x:f>
        <x:v>46.00444000444001</x:v>
      </x:c>
      <x:c r="AN94" s="601" t="n">
        <x:f>IF(AM94="","",COUNTIFS($A$19:$A$186,A94,$AP$19:$AP$186,"Yes",$E$19:$E$186,"&gt;0",$AM$19:$AM$186,"&gt;"&amp;AM94)+COUNTIFS($A$19:A94,A94,$AP$19:AP94,"Yes",$E$19:E94,"&gt;0",$AM$19:AM94,AM94))</x:f>
        <x:v>11</x:v>
      </x:c>
      <x:c r="AO94" s="601" t="n">
        <x:f>IF(AM94="","",COUNTIFS($AP$19:$AP$186,"Yes",$E$19:$E$186,"&gt;0",$AM$19:$AM$186,"&gt;"&amp;AM94)+COUNTIFS($AP$19:AP94,"Yes",$E$19:E94,"&gt;0",$AM$19:AM94,AM94))</x:f>
        <x:v>84</x:v>
      </x:c>
      <x:c r="AP94" s="602" t="str">
        <x:f>IF(COUNTIFS('Player Scenario Model'!$A$6:$A$172,A94,'Player Scenario Model'!$B$6:$B$172,B94)&gt;0,"Yes","No")</x:f>
        <x:v>Yes</x:v>
      </x:c>
    </x:row>
    <x:row r="95" ht="24" customHeight="1">
      <x:c r="A95" s="430" t="str">
        <x:v>K138</x:v>
      </x:c>
      <x:c r="B95" s="430" t="str">
        <x:v>(RaW)༺ASOS༻</x:v>
      </x:c>
      <x:c r="C95" s="431" t="n">
        <x:f>COUNTIFS('Specialisations'!$A$6:$A$527,A95,'Specialisations'!$B$6:$B$527,B95)</x:f>
        <x:v>2</x:v>
      </x:c>
      <x:c r="D95" s="431" t="n">
        <x:f>COUNTIFS('Specialisations'!$A$6:$A$527,A95,'Specialisations'!$B$6:$B$527,B95,'Specialisations'!$P$6:$P$527,"OK")</x:f>
        <x:v>2</x:v>
      </x:c>
      <x:c r="E95" s="431" t="n">
        <x:f>COUNTIFS('Specialisations'!$A$6:$A$527,A95,'Specialisations'!$B$6:$B$527,B95,'Specialisations'!$P$6:$P$527,"OK",'Specialisations'!$C$6:$C$527,"&lt;&gt;Guards")</x:f>
        <x:v>1</x:v>
      </x:c>
      <x:c r="F95" s="432" t="n">
        <x:f>IF(C95=0,"",D95/C95)</x:f>
        <x:v>1</x:v>
      </x:c>
      <x:c r="G95" s="495" t="n">
        <x:f>SUMIFS('Specialisations'!$Q$6:$Q$527,'Specialisations'!$A$6:$A$527,A95,'Specialisations'!$B$6:$B$527,B95,'Specialisations'!$C$6:$C$527,"Guards")</x:f>
        <x:v>-41.98</x:v>
      </x:c>
      <x:c r="H95" s="495" t="n">
        <x:f>SUMIFS('Specialisations'!$Q$6:$Q$527,'Specialisations'!$A$6:$A$527,A95,'Specialisations'!$B$6:$B$527,B95,'Specialisations'!$C$6:$C$527,"Archers")</x:f>
        <x:v>45.13</x:v>
      </x:c>
      <x:c r="I95" s="495" t="n">
        <x:f>SUMIFS('Specialisations'!$Q$6:$Q$527,'Specialisations'!$A$6:$A$527,A95,'Specialisations'!$B$6:$B$527,B95,'Specialisations'!$C$6:$C$527,"Cavalry")</x:f>
        <x:v>0</x:v>
      </x:c>
      <x:c r="J95" s="495" t="n">
        <x:f>SUMIFS('Specialisations'!$Q$6:$Q$527,'Specialisations'!$A$6:$A$527,A95,'Specialisations'!$B$6:$B$527,B95,'Specialisations'!$C$6:$C$527,"Siege")</x:f>
        <x:v>0</x:v>
      </x:c>
      <x:c r="K95" s="495" t="n">
        <x:f>SUM(H95:J95)</x:f>
        <x:v>45.13</x:v>
      </x:c>
      <x:c r="L95" s="495" t="n">
        <x:f>SUM(G95,K95)</x:f>
        <x:v>3.1500000000000057</x:v>
      </x:c>
      <x:c r="M95" s="433" t="n">
        <x:f>SUMIFS('Specialisations'!$N$6:$N$527,'Specialisations'!$A$6:$A$527,A95,'Specialisations'!$B$6:$B$527,B95,'Specialisations'!$C$6:$C$527,"Guards")</x:f>
        <x:v>4284300</x:v>
      </x:c>
      <x:c r="N95" s="433" t="n">
        <x:f>SUMIFS('Specialisations'!$N$6:$N$527,'Specialisations'!$A$6:$A$527,A95,'Specialisations'!$B$6:$B$527,B95,'Specialisations'!$C$6:$C$527,"&lt;&gt;Guards")</x:f>
        <x:v>5004300</x:v>
      </x:c>
      <x:c r="O95" s="433" t="n">
        <x:f>SUM(M95:N95)</x:f>
        <x:v>9288600</x:v>
      </x:c>
      <x:c r="P95" s="434" t="n">
        <x:f>IF(E95=0,"",K95/E95)</x:f>
        <x:v>45.13</x:v>
      </x:c>
      <x:c r="Q95" s="501" t="n">
        <x:f>IF(E95=0,"",IFERROR(100*(COUNTIFS($E$19:$E$186,"&gt;0",$K$19:$K$186,"&lt;"&amp;K95)+(COUNTIFS($E$19:$E$186,"&gt;0",$K$19:$K$186,K95)-1)/2)/(COUNTIF($E$19:$E$186,"&gt;0")-1),50))</x:f>
        <x:v>9.415584415584416</x:v>
      </x:c>
      <x:c r="R95" s="501" t="n">
        <x:f>IF(E95=0,"",IFERROR(100*(COUNTIFS($E$19:$E$186,"&gt;0",$N$19:$N$186,"&lt;"&amp;N95)+(COUNTIFS($E$19:$E$186,"&gt;0",$N$19:$N$186,N95)-1)/2)/(COUNTIF($E$19:$E$186,"&gt;0")-1),50))</x:f>
        <x:v>12.012987012987013</x:v>
      </x:c>
      <x:c r="S95" s="501" t="n">
        <x:f>IF(E95=0,"",Q95*$R$5+R95*$R$6)</x:f>
        <x:v>9.935064935064934</x:v>
      </x:c>
      <x:c r="T95" s="501" t="n">
        <x:f>IF(M95=0,"",IFERROR(100*(COUNTIFS($M$19:$M$186,"&gt;0",$G$19:$G$186,"&gt;"&amp;G95)+(COUNTIFS($M$19:$M$186,"&gt;0",$G$19:$G$186,G95)-1)/2)/(COUNTIF($M$19:$M$186,"&gt;0")-1),50))</x:f>
        <x:v>60.256410256410255</x:v>
      </x:c>
      <x:c r="U95" s="501" t="n">
        <x:f>IF(M95=0,"",IFERROR(100*(COUNTIFS($M$19:$M$186,"&gt;0",$M$19:$M$186,"&lt;"&amp;M95)+(COUNTIFS($M$19:$M$186,"&gt;0",$M$19:$M$186,M95)-1)/2)/(COUNTIF($M$19:$M$186,"&gt;0")-1),50))</x:f>
        <x:v>60.256410256410255</x:v>
      </x:c>
      <x:c r="V95" s="501" t="n">
        <x:f>IF(M95=0,"",T95*$R$5+U95*$R$6)</x:f>
        <x:v>60.25641025641025</x:v>
      </x:c>
      <x:c r="W95" s="431" t="n">
        <x:f>IF(E95=0,"",COUNTIFS($A$19:$A$186,A95,$S$19:$S$186,"&gt;"&amp;S95)+COUNTIFS($A$19:A95,A95,$E$19:E95,"&gt;0",$S$19:S95,S95))</x:f>
        <x:v>18</x:v>
      </x:c>
      <x:c r="X95" s="431" t="n">
        <x:f>IF(S95="","",1+COUNTIF($S$19:$S$186,"&gt;"&amp;S95))</x:f>
        <x:v>139</x:v>
      </x:c>
      <x:c r="Y95" s="431" t="n">
        <x:f>IF(V95="","",1+COUNTIFS($A$19:$A$186,A95,$V$19:$V$186,"&gt;"&amp;V95))</x:f>
        <x:v>10</x:v>
      </x:c>
      <x:c r="Z95" s="431" t="n">
        <x:f>IF(V95="","",1+COUNTIF($V$19:$V$186,"&gt;"&amp;V95))</x:f>
        <x:v>35</x:v>
      </x:c>
      <x:c r="AA95" s="430" t="str">
        <x:f>IF(C95=0,"No specialisations recorded",IF(D95&lt;C95,"Review missing level","Recorded skills only"))</x:f>
        <x:v>Recorded skills only</x:v>
      </x:c>
      <x:c r="AB95" s="601" t="n">
        <x:f>IF(OR(AP95&lt;&gt;"Yes",E95=0),"",IFERROR(100*(COUNTIFS($AP$19:$AP$186,"Yes",$E$19:$E$186,"&gt;0",$I$19:$I$186,"&lt;"&amp;I95)+(COUNTIFS($AP$19:$AP$186,"Yes",$E$19:$E$186,"&gt;0",$I$19:$I$186,I95)-1)/2)/(COUNTIFS($AP$19:$AP$186,"Yes",$E$19:$E$186,"&gt;0")-1),50))</x:f>
        <x:v>10.38961038961039</x:v>
      </x:c>
      <x:c r="AC95" s="601" t="n">
        <x:f>IF(AB95="","",AB95*'Specialisation Rankings'!$O$16+R95*'Specialisation Rankings'!$O$17)</x:f>
        <x:v>10.714285714285715</x:v>
      </x:c>
      <x:c r="AD95" s="601" t="n">
        <x:f>IF(AC95="","",COUNTIFS($A$19:$A$186,A95,$AP$19:$AP$186,"Yes",$E$19:$E$186,"&gt;0",$AC$19:$AC$186,"&gt;"&amp;AC95)+COUNTIFS($A$19:A95,A95,$AP$19:AP95,"Yes",$E$19:E95,"&gt;0",$AC$19:AC95,AC95))</x:f>
        <x:v>21</x:v>
      </x:c>
      <x:c r="AE95" s="601" t="n">
        <x:f>IF(OR(AP95&lt;&gt;"Yes",E95=0),"",IFERROR(100*(COUNTIFS($AP$19:$AP$186,"Yes",$E$19:$E$186,"&gt;0",$H$19:$H$186,"&lt;"&amp;H95)+(COUNTIFS($AP$19:$AP$186,"Yes",$E$19:$E$186,"&gt;0",$H$19:$H$186,H95)-1)/2)/(COUNTIFS($AP$19:$AP$186,"Yes",$E$19:$E$186,"&gt;0")-1),50))</x:f>
        <x:v>74.02597402597402</x:v>
      </x:c>
      <x:c r="AF95" s="601" t="n">
        <x:f>IF(AE95="","",AE95*'Specialisation Rankings'!$O$16+R95*'Specialisation Rankings'!$O$17)</x:f>
        <x:v>61.62337662337662</x:v>
      </x:c>
      <x:c r="AG95" s="601" t="n">
        <x:f>IF(AF95="","",COUNTIFS($A$19:$A$186,A95,$AP$19:$AP$186,"Yes",$E$19:$E$186,"&gt;0",$AF$19:$AF$186,"&gt;"&amp;AF95)+COUNTIFS($A$19:A95,A95,$AP$19:AP95,"Yes",$E$19:E95,"&gt;0",$AF$19:AF95,AF95))</x:f>
        <x:v>6</x:v>
      </x:c>
      <x:c r="AH95" s="601" t="n">
        <x:f>IF(OR(AP95&lt;&gt;"Yes",E95=0),"",IFERROR(100*(COUNTIFS($AP$19:$AP$186,"Yes",$E$19:$E$186,"&gt;0",$J$19:$J$186,"&lt;"&amp;J95)+(COUNTIFS($AP$19:$AP$186,"Yes",$E$19:$E$186,"&gt;0",$J$19:$J$186,J95)-1)/2)/(COUNTIFS($AP$19:$AP$186,"Yes",$E$19:$E$186,"&gt;0")-1),50))</x:f>
        <x:v>33.116883116883116</x:v>
      </x:c>
      <x:c r="AI95" s="601" t="n">
        <x:f>IF(AH95="","",AH95*'Specialisation Rankings'!$O$16+R95*'Specialisation Rankings'!$O$17)</x:f>
        <x:v>28.896103896103895</x:v>
      </x:c>
      <x:c r="AJ95" s="601" t="n">
        <x:f>IF(AI95="","",COUNTIFS($A$19:$A$186,A95,$AP$19:$AP$186,"Yes",$E$19:$E$186,"&gt;0",$AI$19:$AI$186,"&gt;"&amp;AI95)+COUNTIFS($A$19:A95,A95,$AP$19:AP95,"Yes",$E$19:E95,"&gt;0",$AI$19:AI95,AI95))</x:f>
        <x:v>16</x:v>
      </x:c>
      <x:c r="AK95" s="601" t="n">
        <x:f>IF(OR(AP95&lt;&gt;"Yes",E95=0),"",IF(M95=0,'Specialisation Rankings'!$O$23,V95))</x:f>
        <x:v>60.25641025641025</x:v>
      </x:c>
      <x:c r="AL95" s="601" t="n">
        <x:f>IF(AK95="","",COUNTIFS($A$19:$A$186,A95,$AP$19:$AP$186,"Yes",$E$19:$E$186,"&gt;0",$AK$19:$AK$186,"&gt;"&amp;AK95)+COUNTIFS($A$19:A95,A95,$AP$19:AP95,"Yes",$E$19:E95,"&gt;0",$AK$19:AK95,AK95))</x:f>
        <x:v>11</x:v>
      </x:c>
      <x:c r="AM95" s="601" t="n">
        <x:f>IF(AC95="","",AC95*'Specialisation Rankings'!$O$18+AF95*'Specialisation Rankings'!$O$19+AI95*'Specialisation Rankings'!$O$20+AK95*'Specialisation Rankings'!$O$21)</x:f>
        <x:v>23.486679986679988</x:v>
      </x:c>
      <x:c r="AN95" s="601" t="n">
        <x:f>IF(AM95="","",COUNTIFS($A$19:$A$186,A95,$AP$19:$AP$186,"Yes",$E$19:$E$186,"&gt;0",$AM$19:$AM$186,"&gt;"&amp;AM95)+COUNTIFS($A$19:A95,A95,$AP$19:AP95,"Yes",$E$19:E95,"&gt;0",$AM$19:AM95,AM95))</x:f>
        <x:v>21</x:v>
      </x:c>
      <x:c r="AO95" s="601" t="n">
        <x:f>IF(AM95="","",COUNTIFS($AP$19:$AP$186,"Yes",$E$19:$E$186,"&gt;0",$AM$19:$AM$186,"&gt;"&amp;AM95)+COUNTIFS($AP$19:AP95,"Yes",$E$19:E95,"&gt;0",$AM$19:AM95,AM95))</x:f>
        <x:v>141</x:v>
      </x:c>
      <x:c r="AP95" s="602" t="str">
        <x:f>IF(COUNTIFS('Player Scenario Model'!$A$6:$A$172,A95,'Player Scenario Model'!$B$6:$B$172,B95)&gt;0,"Yes","No")</x:f>
        <x:v>Yes</x:v>
      </x:c>
    </x:row>
    <x:row r="96" ht="24" customHeight="1">
      <x:c r="A96" s="430" t="str">
        <x:v>K138</x:v>
      </x:c>
      <x:c r="B96" s="430" t="str">
        <x:v>(RaW)Nightmare</x:v>
      </x:c>
      <x:c r="C96" s="431" t="n">
        <x:f>COUNTIFS('Specialisations'!$A$6:$A$527,A96,'Specialisations'!$B$6:$B$527,B96)</x:f>
        <x:v>3</x:v>
      </x:c>
      <x:c r="D96" s="431" t="n">
        <x:f>COUNTIFS('Specialisations'!$A$6:$A$527,A96,'Specialisations'!$B$6:$B$527,B96,'Specialisations'!$P$6:$P$527,"OK")</x:f>
        <x:v>3</x:v>
      </x:c>
      <x:c r="E96" s="431" t="n">
        <x:f>COUNTIFS('Specialisations'!$A$6:$A$527,A96,'Specialisations'!$B$6:$B$527,B96,'Specialisations'!$P$6:$P$527,"OK",'Specialisations'!$C$6:$C$527,"&lt;&gt;Guards")</x:f>
        <x:v>2</x:v>
      </x:c>
      <x:c r="F96" s="432" t="n">
        <x:f>IF(C96=0,"",D96/C96)</x:f>
        <x:v>1</x:v>
      </x:c>
      <x:c r="G96" s="495" t="n">
        <x:f>SUMIFS('Specialisations'!$Q$6:$Q$527,'Specialisations'!$A$6:$A$527,A96,'Specialisations'!$B$6:$B$527,B96,'Specialisations'!$C$6:$C$527,"Guards")</x:f>
        <x:v>-41.98</x:v>
      </x:c>
      <x:c r="H96" s="495" t="n">
        <x:f>SUMIFS('Specialisations'!$Q$6:$Q$527,'Specialisations'!$A$6:$A$527,A96,'Specialisations'!$B$6:$B$527,B96,'Specialisations'!$C$6:$C$527,"Archers")</x:f>
        <x:v>41.98</x:v>
      </x:c>
      <x:c r="I96" s="495" t="n">
        <x:f>SUMIFS('Specialisations'!$Q$6:$Q$527,'Specialisations'!$A$6:$A$527,A96,'Specialisations'!$B$6:$B$527,B96,'Specialisations'!$C$6:$C$527,"Cavalry")</x:f>
        <x:v>39.93</x:v>
      </x:c>
      <x:c r="J96" s="495" t="n">
        <x:f>SUMIFS('Specialisations'!$Q$6:$Q$527,'Specialisations'!$A$6:$A$527,A96,'Specialisations'!$B$6:$B$527,B96,'Specialisations'!$C$6:$C$527,"Siege")</x:f>
        <x:v>0</x:v>
      </x:c>
      <x:c r="K96" s="495" t="n">
        <x:f>SUM(H96:J96)</x:f>
        <x:v>81.91</x:v>
      </x:c>
      <x:c r="L96" s="495" t="n">
        <x:f>SUM(G96,K96)</x:f>
        <x:v>39.93</x:v>
      </x:c>
      <x:c r="M96" s="433" t="n">
        <x:f>SUMIFS('Specialisations'!$N$6:$N$527,'Specialisations'!$A$6:$A$527,A96,'Specialisations'!$B$6:$B$527,B96,'Specialisations'!$C$6:$C$527,"Guards")</x:f>
        <x:v>4284300</x:v>
      </x:c>
      <x:c r="N96" s="433" t="n">
        <x:f>SUMIFS('Specialisations'!$N$6:$N$527,'Specialisations'!$A$6:$A$527,A96,'Specialisations'!$B$6:$B$527,B96,'Specialisations'!$C$6:$C$527,"&lt;&gt;Guards")</x:f>
        <x:v>8008600</x:v>
      </x:c>
      <x:c r="O96" s="433" t="n">
        <x:f>SUM(M96:N96)</x:f>
        <x:v>12292900</x:v>
      </x:c>
      <x:c r="P96" s="434" t="n">
        <x:f>IF(E96=0,"",K96/E96)</x:f>
        <x:v>40.955</x:v>
      </x:c>
      <x:c r="Q96" s="501" t="n">
        <x:f>IF(E96=0,"",IFERROR(100*(COUNTIFS($E$19:$E$186,"&gt;0",$K$19:$K$186,"&lt;"&amp;K96)+(COUNTIFS($E$19:$E$186,"&gt;0",$K$19:$K$186,K96)-1)/2)/(COUNTIF($E$19:$E$186,"&gt;0")-1),50))</x:f>
        <x:v>40.25974025974026</x:v>
      </x:c>
      <x:c r="R96" s="501" t="n">
        <x:f>IF(E96=0,"",IFERROR(100*(COUNTIFS($E$19:$E$186,"&gt;0",$N$19:$N$186,"&lt;"&amp;N96)+(COUNTIFS($E$19:$E$186,"&gt;0",$N$19:$N$186,N96)-1)/2)/(COUNTIF($E$19:$E$186,"&gt;0")-1),50))</x:f>
        <x:v>27.92207792207792</x:v>
      </x:c>
      <x:c r="S96" s="501" t="n">
        <x:f>IF(E96=0,"",Q96*$R$5+R96*$R$6)</x:f>
        <x:v>37.79220779220779</x:v>
      </x:c>
      <x:c r="T96" s="501" t="n">
        <x:f>IF(M96=0,"",IFERROR(100*(COUNTIFS($M$19:$M$186,"&gt;0",$G$19:$G$186,"&gt;"&amp;G96)+(COUNTIFS($M$19:$M$186,"&gt;0",$G$19:$G$186,G96)-1)/2)/(COUNTIF($M$19:$M$186,"&gt;0")-1),50))</x:f>
        <x:v>60.256410256410255</x:v>
      </x:c>
      <x:c r="U96" s="501" t="n">
        <x:f>IF(M96=0,"",IFERROR(100*(COUNTIFS($M$19:$M$186,"&gt;0",$M$19:$M$186,"&lt;"&amp;M96)+(COUNTIFS($M$19:$M$186,"&gt;0",$M$19:$M$186,M96)-1)/2)/(COUNTIF($M$19:$M$186,"&gt;0")-1),50))</x:f>
        <x:v>60.256410256410255</x:v>
      </x:c>
      <x:c r="V96" s="501" t="n">
        <x:f>IF(M96=0,"",T96*$R$5+U96*$R$6)</x:f>
        <x:v>60.25641025641025</x:v>
      </x:c>
      <x:c r="W96" s="431" t="n">
        <x:f>IF(E96=0,"",COUNTIFS($A$19:$A$186,A96,$S$19:$S$186,"&gt;"&amp;S96)+COUNTIFS($A$19:A96,A96,$E$19:E96,"&gt;0",$S$19:S96,S96))</x:f>
        <x:v>12</x:v>
      </x:c>
      <x:c r="X96" s="431" t="n">
        <x:f>IF(S96="","",1+COUNTIF($S$19:$S$186,"&gt;"&amp;S96))</x:f>
        <x:v>94</x:v>
      </x:c>
      <x:c r="Y96" s="431" t="n">
        <x:f>IF(V96="","",1+COUNTIFS($A$19:$A$186,A96,$V$19:$V$186,"&gt;"&amp;V96))</x:f>
        <x:v>10</x:v>
      </x:c>
      <x:c r="Z96" s="431" t="n">
        <x:f>IF(V96="","",1+COUNTIF($V$19:$V$186,"&gt;"&amp;V96))</x:f>
        <x:v>35</x:v>
      </x:c>
      <x:c r="AA96" s="430" t="str">
        <x:f>IF(C96=0,"No specialisations recorded",IF(D96&lt;C96,"Review missing level","Recorded skills only"))</x:f>
        <x:v>Recorded skills only</x:v>
      </x:c>
      <x:c r="AB96" s="601" t="n">
        <x:f>IF(OR(AP96&lt;&gt;"Yes",E96=0),"",IFERROR(100*(COUNTIFS($AP$19:$AP$186,"Yes",$E$19:$E$186,"&gt;0",$I$19:$I$186,"&lt;"&amp;I96)+(COUNTIFS($AP$19:$AP$186,"Yes",$E$19:$E$186,"&gt;0",$I$19:$I$186,I96)-1)/2)/(COUNTIFS($AP$19:$AP$186,"Yes",$E$19:$E$186,"&gt;0")-1),50))</x:f>
        <x:v>31.16883116883117</x:v>
      </x:c>
      <x:c r="AC96" s="601" t="n">
        <x:f>IF(AB96="","",AB96*'Specialisation Rankings'!$O$16+R96*'Specialisation Rankings'!$O$17)</x:f>
        <x:v>30.51948051948052</x:v>
      </x:c>
      <x:c r="AD96" s="601" t="n">
        <x:f>IF(AC96="","",COUNTIFS($A$19:$A$186,A96,$AP$19:$AP$186,"Yes",$E$19:$E$186,"&gt;0",$AC$19:$AC$186,"&gt;"&amp;AC96)+COUNTIFS($A$19:A96,A96,$AP$19:AP96,"Yes",$E$19:E96,"&gt;0",$AC$19:AC96,AC96))</x:f>
        <x:v>15</x:v>
      </x:c>
      <x:c r="AE96" s="601" t="n">
        <x:f>IF(OR(AP96&lt;&gt;"Yes",E96=0),"",IFERROR(100*(COUNTIFS($AP$19:$AP$186,"Yes",$E$19:$E$186,"&gt;0",$H$19:$H$186,"&lt;"&amp;H96)+(COUNTIFS($AP$19:$AP$186,"Yes",$E$19:$E$186,"&gt;0",$H$19:$H$186,H96)-1)/2)/(COUNTIFS($AP$19:$AP$186,"Yes",$E$19:$E$186,"&gt;0")-1),50))</x:f>
        <x:v>68.50649350649351</x:v>
      </x:c>
      <x:c r="AF96" s="601" t="n">
        <x:f>IF(AE96="","",AE96*'Specialisation Rankings'!$O$16+R96*'Specialisation Rankings'!$O$17)</x:f>
        <x:v>60.3896103896104</x:v>
      </x:c>
      <x:c r="AG96" s="601" t="n">
        <x:f>IF(AF96="","",COUNTIFS($A$19:$A$186,A96,$AP$19:$AP$186,"Yes",$E$19:$E$186,"&gt;0",$AF$19:$AF$186,"&gt;"&amp;AF96)+COUNTIFS($A$19:A96,A96,$AP$19:AP96,"Yes",$E$19:E96,"&gt;0",$AF$19:AF96,AF96))</x:f>
        <x:v>7</x:v>
      </x:c>
      <x:c r="AH96" s="601" t="n">
        <x:f>IF(OR(AP96&lt;&gt;"Yes",E96=0),"",IFERROR(100*(COUNTIFS($AP$19:$AP$186,"Yes",$E$19:$E$186,"&gt;0",$J$19:$J$186,"&lt;"&amp;J96)+(COUNTIFS($AP$19:$AP$186,"Yes",$E$19:$E$186,"&gt;0",$J$19:$J$186,J96)-1)/2)/(COUNTIFS($AP$19:$AP$186,"Yes",$E$19:$E$186,"&gt;0")-1),50))</x:f>
        <x:v>33.116883116883116</x:v>
      </x:c>
      <x:c r="AI96" s="601" t="n">
        <x:f>IF(AH96="","",AH96*'Specialisation Rankings'!$O$16+R96*'Specialisation Rankings'!$O$17)</x:f>
        <x:v>32.07792207792208</x:v>
      </x:c>
      <x:c r="AJ96" s="601" t="n">
        <x:f>IF(AI96="","",COUNTIFS($A$19:$A$186,A96,$AP$19:$AP$186,"Yes",$E$19:$E$186,"&gt;0",$AI$19:$AI$186,"&gt;"&amp;AI96)+COUNTIFS($A$19:A96,A96,$AP$19:AP96,"Yes",$E$19:E96,"&gt;0",$AI$19:AI96,AI96))</x:f>
        <x:v>14</x:v>
      </x:c>
      <x:c r="AK96" s="601" t="n">
        <x:f>IF(OR(AP96&lt;&gt;"Yes",E96=0),"",IF(M96=0,'Specialisation Rankings'!$O$23,V96))</x:f>
        <x:v>60.25641025641025</x:v>
      </x:c>
      <x:c r="AL96" s="601" t="n">
        <x:f>IF(AK96="","",COUNTIFS($A$19:$A$186,A96,$AP$19:$AP$186,"Yes",$E$19:$E$186,"&gt;0",$AK$19:$AK$186,"&gt;"&amp;AK96)+COUNTIFS($A$19:A96,A96,$AP$19:AP96,"Yes",$E$19:E96,"&gt;0",$AK$19:AK96,AK96))</x:f>
        <x:v>12</x:v>
      </x:c>
      <x:c r="AM96" s="601" t="n">
        <x:f>IF(AC96="","",AC96*'Specialisation Rankings'!$O$18+AF96*'Specialisation Rankings'!$O$19+AI96*'Specialisation Rankings'!$O$20+AK96*'Specialisation Rankings'!$O$21)</x:f>
        <x:v>36.71395271395272</x:v>
      </x:c>
      <x:c r="AN96" s="601" t="n">
        <x:f>IF(AM96="","",COUNTIFS($A$19:$A$186,A96,$AP$19:$AP$186,"Yes",$E$19:$E$186,"&gt;0",$AM$19:$AM$186,"&gt;"&amp;AM96)+COUNTIFS($A$19:A96,A96,$AP$19:AP96,"Yes",$E$19:E96,"&gt;0",$AM$19:AM96,AM96))</x:f>
        <x:v>14</x:v>
      </x:c>
      <x:c r="AO96" s="601" t="n">
        <x:f>IF(AM96="","",COUNTIFS($AP$19:$AP$186,"Yes",$E$19:$E$186,"&gt;0",$AM$19:$AM$186,"&gt;"&amp;AM96)+COUNTIFS($AP$19:AP96,"Yes",$E$19:E96,"&gt;0",$AM$19:AM96,AM96))</x:f>
        <x:v>101</x:v>
      </x:c>
      <x:c r="AP96" s="602" t="str">
        <x:f>IF(COUNTIFS('Player Scenario Model'!$A$6:$A$172,A96,'Player Scenario Model'!$B$6:$B$172,B96)&gt;0,"Yes","No")</x:f>
        <x:v>Yes</x:v>
      </x:c>
    </x:row>
    <x:row r="97" ht="24" customHeight="1">
      <x:c r="A97" s="430" t="str">
        <x:v>K138</x:v>
      </x:c>
      <x:c r="B97" s="430" t="str">
        <x:v>(RaW)MARYEL</x:v>
      </x:c>
      <x:c r="C97" s="431" t="n">
        <x:f>COUNTIFS('Specialisations'!$A$6:$A$527,A97,'Specialisations'!$B$6:$B$527,B97)</x:f>
        <x:v>3</x:v>
      </x:c>
      <x:c r="D97" s="431" t="n">
        <x:f>COUNTIFS('Specialisations'!$A$6:$A$527,A97,'Specialisations'!$B$6:$B$527,B97,'Specialisations'!$P$6:$P$527,"OK")</x:f>
        <x:v>3</x:v>
      </x:c>
      <x:c r="E97" s="431" t="n">
        <x:f>COUNTIFS('Specialisations'!$A$6:$A$527,A97,'Specialisations'!$B$6:$B$527,B97,'Specialisations'!$P$6:$P$527,"OK",'Specialisations'!$C$6:$C$527,"&lt;&gt;Guards")</x:f>
        <x:v>2</x:v>
      </x:c>
      <x:c r="F97" s="432" t="n">
        <x:f>IF(C97=0,"",D97/C97)</x:f>
        <x:v>1</x:v>
      </x:c>
      <x:c r="G97" s="495" t="n">
        <x:f>SUMIFS('Specialisations'!$Q$6:$Q$527,'Specialisations'!$A$6:$A$527,A97,'Specialisations'!$B$6:$B$527,B97,'Specialisations'!$C$6:$C$527,"Guards")</x:f>
        <x:v>-60</x:v>
      </x:c>
      <x:c r="H97" s="495" t="n">
        <x:f>SUMIFS('Specialisations'!$Q$6:$Q$527,'Specialisations'!$A$6:$A$527,A97,'Specialisations'!$B$6:$B$527,B97,'Specialisations'!$C$6:$C$527,"Archers")</x:f>
        <x:v>27.74</x:v>
      </x:c>
      <x:c r="I97" s="495" t="n">
        <x:f>SUMIFS('Specialisations'!$Q$6:$Q$527,'Specialisations'!$A$6:$A$527,A97,'Specialisations'!$B$6:$B$527,B97,'Specialisations'!$C$6:$C$527,"Cavalry")</x:f>
        <x:v>9</x:v>
      </x:c>
      <x:c r="J97" s="495" t="n">
        <x:f>SUMIFS('Specialisations'!$Q$6:$Q$527,'Specialisations'!$A$6:$A$527,A97,'Specialisations'!$B$6:$B$527,B97,'Specialisations'!$C$6:$C$527,"Siege")</x:f>
        <x:v>0</x:v>
      </x:c>
      <x:c r="K97" s="495" t="n">
        <x:f>SUM(H97:J97)</x:f>
        <x:v>36.739999999999995</x:v>
      </x:c>
      <x:c r="L97" s="495" t="n">
        <x:f>SUM(G97,K97)</x:f>
        <x:v>-23.260000000000005</x:v>
      </x:c>
      <x:c r="M97" s="433" t="n">
        <x:f>SUMIFS('Specialisations'!$N$6:$N$527,'Specialisations'!$A$6:$A$527,A97,'Specialisations'!$B$6:$B$527,B97,'Specialisations'!$C$6:$C$527,"Guards")</x:f>
        <x:v>10334300</x:v>
      </x:c>
      <x:c r="N97" s="433" t="n">
        <x:f>SUMIFS('Specialisations'!$N$6:$N$527,'Specialisations'!$A$6:$A$527,A97,'Specialisations'!$B$6:$B$527,B97,'Specialisations'!$C$6:$C$527,"&lt;&gt;Guards")</x:f>
        <x:v>2938600</x:v>
      </x:c>
      <x:c r="O97" s="433" t="n">
        <x:f>SUM(M97:N97)</x:f>
        <x:v>13272900</x:v>
      </x:c>
      <x:c r="P97" s="434" t="n">
        <x:f>IF(E97=0,"",K97/E97)</x:f>
        <x:v>18.369999999999997</x:v>
      </x:c>
      <x:c r="Q97" s="501" t="n">
        <x:f>IF(E97=0,"",IFERROR(100*(COUNTIFS($E$19:$E$186,"&gt;0",$K$19:$K$186,"&lt;"&amp;K97)+(COUNTIFS($E$19:$E$186,"&gt;0",$K$19:$K$186,K97)-1)/2)/(COUNTIF($E$19:$E$186,"&gt;0")-1),50))</x:f>
        <x:v>4.545454545454546</x:v>
      </x:c>
      <x:c r="R97" s="501" t="n">
        <x:f>IF(E97=0,"",IFERROR(100*(COUNTIFS($E$19:$E$186,"&gt;0",$N$19:$N$186,"&lt;"&amp;N97)+(COUNTIFS($E$19:$E$186,"&gt;0",$N$19:$N$186,N97)-1)/2)/(COUNTIF($E$19:$E$186,"&gt;0")-1),50))</x:f>
        <x:v>3.896103896103896</x:v>
      </x:c>
      <x:c r="S97" s="501" t="n">
        <x:f>IF(E97=0,"",Q97*$R$5+R97*$R$6)</x:f>
        <x:v>4.415584415584416</x:v>
      </x:c>
      <x:c r="T97" s="501" t="n">
        <x:f>IF(M97=0,"",IFERROR(100*(COUNTIFS($M$19:$M$186,"&gt;0",$G$19:$G$186,"&gt;"&amp;G97)+(COUNTIFS($M$19:$M$186,"&gt;0",$G$19:$G$186,G97)-1)/2)/(COUNTIF($M$19:$M$186,"&gt;0")-1),50))</x:f>
        <x:v>93.16239316239316</x:v>
      </x:c>
      <x:c r="U97" s="501" t="n">
        <x:f>IF(M97=0,"",IFERROR(100*(COUNTIFS($M$19:$M$186,"&gt;0",$M$19:$M$186,"&lt;"&amp;M97)+(COUNTIFS($M$19:$M$186,"&gt;0",$M$19:$M$186,M97)-1)/2)/(COUNTIF($M$19:$M$186,"&gt;0")-1),50))</x:f>
        <x:v>93.16239316239316</x:v>
      </x:c>
      <x:c r="V97" s="501" t="n">
        <x:f>IF(M97=0,"",T97*$R$5+U97*$R$6)</x:f>
        <x:v>93.16239316239316</x:v>
      </x:c>
      <x:c r="W97" s="431" t="n">
        <x:f>IF(E97=0,"",COUNTIFS($A$19:$A$186,A97,$S$19:$S$186,"&gt;"&amp;S97)+COUNTIFS($A$19:A97,A97,$E$19:E97,"&gt;0",$S$19:S97,S97))</x:f>
        <x:v>23</x:v>
      </x:c>
      <x:c r="X97" s="431" t="n">
        <x:f>IF(S97="","",1+COUNTIF($S$19:$S$186,"&gt;"&amp;S97))</x:f>
        <x:v>148</x:v>
      </x:c>
      <x:c r="Y97" s="431" t="n">
        <x:f>IF(V97="","",1+COUNTIFS($A$19:$A$186,A97,$V$19:$V$186,"&gt;"&amp;V97))</x:f>
        <x:v>1</x:v>
      </x:c>
      <x:c r="Z97" s="431" t="n">
        <x:f>IF(V97="","",1+COUNTIF($V$19:$V$186,"&gt;"&amp;V97))</x:f>
        <x:v>1</x:v>
      </x:c>
      <x:c r="AA97" s="430" t="str">
        <x:f>IF(C97=0,"No specialisations recorded",IF(D97&lt;C97,"Review missing level","Recorded skills only"))</x:f>
        <x:v>Recorded skills only</x:v>
      </x:c>
      <x:c r="AB97" s="601" t="n">
        <x:f>IF(OR(AP97&lt;&gt;"Yes",E97=0),"",IFERROR(100*(COUNTIFS($AP$19:$AP$186,"Yes",$E$19:$E$186,"&gt;0",$I$19:$I$186,"&lt;"&amp;I97)+(COUNTIFS($AP$19:$AP$186,"Yes",$E$19:$E$186,"&gt;0",$I$19:$I$186,I97)-1)/2)/(COUNTIFS($AP$19:$AP$186,"Yes",$E$19:$E$186,"&gt;0")-1),50))</x:f>
        <x:v>23.376623376623378</x:v>
      </x:c>
      <x:c r="AC97" s="601" t="n">
        <x:f>IF(AB97="","",AB97*'Specialisation Rankings'!$O$16+R97*'Specialisation Rankings'!$O$17)</x:f>
        <x:v>19.480519480519483</x:v>
      </x:c>
      <x:c r="AD97" s="601" t="n">
        <x:f>IF(AC97="","",COUNTIFS($A$19:$A$186,A97,$AP$19:$AP$186,"Yes",$E$19:$E$186,"&gt;0",$AC$19:$AC$186,"&gt;"&amp;AC97)+COUNTIFS($A$19:A97,A97,$AP$19:AP97,"Yes",$E$19:E97,"&gt;0",$AC$19:AC97,AC97))</x:f>
        <x:v>20</x:v>
      </x:c>
      <x:c r="AE97" s="601" t="n">
        <x:f>IF(OR(AP97&lt;&gt;"Yes",E97=0),"",IFERROR(100*(COUNTIFS($AP$19:$AP$186,"Yes",$E$19:$E$186,"&gt;0",$H$19:$H$186,"&lt;"&amp;H97)+(COUNTIFS($AP$19:$AP$186,"Yes",$E$19:$E$186,"&gt;0",$H$19:$H$186,H97)-1)/2)/(COUNTIFS($AP$19:$AP$186,"Yes",$E$19:$E$186,"&gt;0")-1),50))</x:f>
        <x:v>42.20779220779221</x:v>
      </x:c>
      <x:c r="AF97" s="601" t="n">
        <x:f>IF(AE97="","",AE97*'Specialisation Rankings'!$O$16+R97*'Specialisation Rankings'!$O$17)</x:f>
        <x:v>34.54545454545455</x:v>
      </x:c>
      <x:c r="AG97" s="601" t="n">
        <x:f>IF(AF97="","",COUNTIFS($A$19:$A$186,A97,$AP$19:$AP$186,"Yes",$E$19:$E$186,"&gt;0",$AF$19:$AF$186,"&gt;"&amp;AF97)+COUNTIFS($A$19:A97,A97,$AP$19:AP97,"Yes",$E$19:E97,"&gt;0",$AF$19:AF97,AF97))</x:f>
        <x:v>16</x:v>
      </x:c>
      <x:c r="AH97" s="601" t="n">
        <x:f>IF(OR(AP97&lt;&gt;"Yes",E97=0),"",IFERROR(100*(COUNTIFS($AP$19:$AP$186,"Yes",$E$19:$E$186,"&gt;0",$J$19:$J$186,"&lt;"&amp;J97)+(COUNTIFS($AP$19:$AP$186,"Yes",$E$19:$E$186,"&gt;0",$J$19:$J$186,J97)-1)/2)/(COUNTIFS($AP$19:$AP$186,"Yes",$E$19:$E$186,"&gt;0")-1),50))</x:f>
        <x:v>33.116883116883116</x:v>
      </x:c>
      <x:c r="AI97" s="601" t="n">
        <x:f>IF(AH97="","",AH97*'Specialisation Rankings'!$O$16+R97*'Specialisation Rankings'!$O$17)</x:f>
        <x:v>27.272727272727273</x:v>
      </x:c>
      <x:c r="AJ97" s="601" t="n">
        <x:f>IF(AI97="","",COUNTIFS($A$19:$A$186,A97,$AP$19:$AP$186,"Yes",$E$19:$E$186,"&gt;0",$AI$19:$AI$186,"&gt;"&amp;AI97)+COUNTIFS($A$19:A97,A97,$AP$19:AP97,"Yes",$E$19:E97,"&gt;0",$AI$19:AI97,AI97))</x:f>
        <x:v>23</x:v>
      </x:c>
      <x:c r="AK97" s="601" t="n">
        <x:f>IF(OR(AP97&lt;&gt;"Yes",E97=0),"",IF(M97=0,'Specialisation Rankings'!$O$23,V97))</x:f>
        <x:v>93.16239316239316</x:v>
      </x:c>
      <x:c r="AL97" s="601" t="n">
        <x:f>IF(AK97="","",COUNTIFS($A$19:$A$186,A97,$AP$19:$AP$186,"Yes",$E$19:$E$186,"&gt;0",$AK$19:$AK$186,"&gt;"&amp;AK97)+COUNTIFS($A$19:A97,A97,$AP$19:AP97,"Yes",$E$19:E97,"&gt;0",$AK$19:AK97,AK97))</x:f>
        <x:v>4</x:v>
      </x:c>
      <x:c r="AM97" s="601" t="n">
        <x:f>IF(AC97="","",AC97*'Specialisation Rankings'!$O$18+AF97*'Specialisation Rankings'!$O$19+AI97*'Specialisation Rankings'!$O$20+AK97*'Specialisation Rankings'!$O$21)</x:f>
        <x:v>29.52403152403153</x:v>
      </x:c>
      <x:c r="AN97" s="601" t="n">
        <x:f>IF(AM97="","",COUNTIFS($A$19:$A$186,A97,$AP$19:$AP$186,"Yes",$E$19:$E$186,"&gt;0",$AM$19:$AM$186,"&gt;"&amp;AM97)+COUNTIFS($A$19:A97,A97,$AP$19:AP97,"Yes",$E$19:E97,"&gt;0",$AM$19:AM97,AM97))</x:f>
        <x:v>19</x:v>
      </x:c>
      <x:c r="AO97" s="601" t="n">
        <x:f>IF(AM97="","",COUNTIFS($AP$19:$AP$186,"Yes",$E$19:$E$186,"&gt;0",$AM$19:$AM$186,"&gt;"&amp;AM97)+COUNTIFS($AP$19:AP97,"Yes",$E$19:E97,"&gt;0",$AM$19:AM97,AM97))</x:f>
        <x:v>127</x:v>
      </x:c>
      <x:c r="AP97" s="602" t="str">
        <x:f>IF(COUNTIFS('Player Scenario Model'!$A$6:$A$172,A97,'Player Scenario Model'!$B$6:$B$172,B97)&gt;0,"Yes","No")</x:f>
        <x:v>Yes</x:v>
      </x:c>
    </x:row>
    <x:row r="98" ht="24" customHeight="1">
      <x:c r="A98" s="430" t="str">
        <x:v>K138</x:v>
      </x:c>
      <x:c r="B98" s="430" t="str">
        <x:v>(RaW)༺惊鸿༻</x:v>
      </x:c>
      <x:c r="C98" s="431" t="n">
        <x:f>COUNTIFS('Specialisations'!$A$6:$A$527,A98,'Specialisations'!$B$6:$B$527,B98)</x:f>
        <x:v>3</x:v>
      </x:c>
      <x:c r="D98" s="431" t="n">
        <x:f>COUNTIFS('Specialisations'!$A$6:$A$527,A98,'Specialisations'!$B$6:$B$527,B98,'Specialisations'!$P$6:$P$527,"OK")</x:f>
        <x:v>3</x:v>
      </x:c>
      <x:c r="E98" s="431" t="n">
        <x:f>COUNTIFS('Specialisations'!$A$6:$A$527,A98,'Specialisations'!$B$6:$B$527,B98,'Specialisations'!$P$6:$P$527,"OK",'Specialisations'!$C$6:$C$527,"&lt;&gt;Guards")</x:f>
        <x:v>3</x:v>
      </x:c>
      <x:c r="F98" s="432" t="n">
        <x:f>IF(C98=0,"",D98/C98)</x:f>
        <x:v>1</x:v>
      </x:c>
      <x:c r="G98" s="495" t="n">
        <x:f>SUMIFS('Specialisations'!$Q$6:$Q$527,'Specialisations'!$A$6:$A$527,A98,'Specialisations'!$B$6:$B$527,B98,'Specialisations'!$C$6:$C$527,"Guards")</x:f>
        <x:v>0</x:v>
      </x:c>
      <x:c r="H98" s="495" t="n">
        <x:f>SUMIFS('Specialisations'!$Q$6:$Q$527,'Specialisations'!$A$6:$A$527,A98,'Specialisations'!$B$6:$B$527,B98,'Specialisations'!$C$6:$C$527,"Archers")</x:f>
        <x:v>45.13</x:v>
      </x:c>
      <x:c r="I98" s="495" t="n">
        <x:f>SUMIFS('Specialisations'!$Q$6:$Q$527,'Specialisations'!$A$6:$A$527,A98,'Specialisations'!$B$6:$B$527,B98,'Specialisations'!$C$6:$C$527,"Cavalry")</x:f>
        <x:v>87.74</x:v>
      </x:c>
      <x:c r="J98" s="495" t="n">
        <x:f>SUMIFS('Specialisations'!$Q$6:$Q$527,'Specialisations'!$A$6:$A$527,A98,'Specialisations'!$B$6:$B$527,B98,'Specialisations'!$C$6:$C$527,"Siege")</x:f>
        <x:v>0</x:v>
      </x:c>
      <x:c r="K98" s="495" t="n">
        <x:f>SUM(H98:J98)</x:f>
        <x:v>132.87</x:v>
      </x:c>
      <x:c r="L98" s="495" t="n">
        <x:f>SUM(G98,K98)</x:f>
        <x:v>132.87</x:v>
      </x:c>
      <x:c r="M98" s="433" t="n">
        <x:f>SUMIFS('Specialisations'!$N$6:$N$527,'Specialisations'!$A$6:$A$527,A98,'Specialisations'!$B$6:$B$527,B98,'Specialisations'!$C$6:$C$527,"Guards")</x:f>
        <x:v>0</x:v>
      </x:c>
      <x:c r="N98" s="433" t="n">
        <x:f>SUMIFS('Specialisations'!$N$6:$N$527,'Specialisations'!$A$6:$A$527,A98,'Specialisations'!$B$6:$B$527,B98,'Specialisations'!$C$6:$C$527,"&lt;&gt;Guards")</x:f>
        <x:v>17582900</x:v>
      </x:c>
      <x:c r="O98" s="433" t="n">
        <x:f>SUM(M98:N98)</x:f>
        <x:v>17582900</x:v>
      </x:c>
      <x:c r="P98" s="434" t="n">
        <x:f>IF(E98=0,"",K98/E98)</x:f>
        <x:v>44.29</x:v>
      </x:c>
      <x:c r="Q98" s="501" t="n">
        <x:f>IF(E98=0,"",IFERROR(100*(COUNTIFS($E$19:$E$186,"&gt;0",$K$19:$K$186,"&lt;"&amp;K98)+(COUNTIFS($E$19:$E$186,"&gt;0",$K$19:$K$186,K98)-1)/2)/(COUNTIF($E$19:$E$186,"&gt;0")-1),50))</x:f>
        <x:v>79.54545454545455</x:v>
      </x:c>
      <x:c r="R98" s="501" t="n">
        <x:f>IF(E98=0,"",IFERROR(100*(COUNTIFS($E$19:$E$186,"&gt;0",$N$19:$N$186,"&lt;"&amp;N98)+(COUNTIFS($E$19:$E$186,"&gt;0",$N$19:$N$186,N98)-1)/2)/(COUNTIF($E$19:$E$186,"&gt;0")-1),50))</x:f>
        <x:v>86.68831168831169</x:v>
      </x:c>
      <x:c r="S98" s="501" t="n">
        <x:f>IF(E98=0,"",Q98*$R$5+R98*$R$6)</x:f>
        <x:v>80.97402597402598</x:v>
      </x:c>
      <x:c r="T98" s="501" t="str">
        <x:f>IF(M98=0,"",IFERROR(100*(COUNTIFS($M$19:$M$186,"&gt;0",$G$19:$G$186,"&gt;"&amp;G98)+(COUNTIFS($M$19:$M$186,"&gt;0",$G$19:$G$186,G98)-1)/2)/(COUNTIF($M$19:$M$186,"&gt;0")-1),50))</x:f>
      </x:c>
      <x:c r="U98" s="501" t="str">
        <x:f>IF(M98=0,"",IFERROR(100*(COUNTIFS($M$19:$M$186,"&gt;0",$M$19:$M$186,"&lt;"&amp;M98)+(COUNTIFS($M$19:$M$186,"&gt;0",$M$19:$M$186,M98)-1)/2)/(COUNTIF($M$19:$M$186,"&gt;0")-1),50))</x:f>
      </x:c>
      <x:c r="V98" s="501" t="str">
        <x:f>IF(M98=0,"",T98*$R$5+U98*$R$6)</x:f>
      </x:c>
      <x:c r="W98" s="431" t="n">
        <x:f>IF(E98=0,"",COUNTIFS($A$19:$A$186,A98,$S$19:$S$186,"&gt;"&amp;S98)+COUNTIFS($A$19:A98,A98,$E$19:E98,"&gt;0",$S$19:S98,S98))</x:f>
        <x:v>4</x:v>
      </x:c>
      <x:c r="X98" s="431" t="n">
        <x:f>IF(S98="","",1+COUNTIF($S$19:$S$186,"&gt;"&amp;S98))</x:f>
        <x:v>29</x:v>
      </x:c>
      <x:c r="Y98" s="431" t="str">
        <x:f>IF(V98="","",1+COUNTIFS($A$19:$A$186,A98,$V$19:$V$186,"&gt;"&amp;V98))</x:f>
      </x:c>
      <x:c r="Z98" s="431" t="str">
        <x:f>IF(V98="","",1+COUNTIF($V$19:$V$186,"&gt;"&amp;V98))</x:f>
      </x:c>
      <x:c r="AA98" s="430" t="str">
        <x:f>IF(C98=0,"No specialisations recorded",IF(D98&lt;C98,"Review missing level","Recorded skills only"))</x:f>
        <x:v>Recorded skills only</x:v>
      </x:c>
      <x:c r="AB98" s="601" t="n">
        <x:f>IF(OR(AP98&lt;&gt;"Yes",E98=0),"",IFERROR(100*(COUNTIFS($AP$19:$AP$186,"Yes",$E$19:$E$186,"&gt;0",$I$19:$I$186,"&lt;"&amp;I98)+(COUNTIFS($AP$19:$AP$186,"Yes",$E$19:$E$186,"&gt;0",$I$19:$I$186,I98)-1)/2)/(COUNTIFS($AP$19:$AP$186,"Yes",$E$19:$E$186,"&gt;0")-1),50))</x:f>
        <x:v>74.67532467532467</x:v>
      </x:c>
      <x:c r="AC98" s="601" t="n">
        <x:f>IF(AB98="","",AB98*'Specialisation Rankings'!$O$16+R98*'Specialisation Rankings'!$O$17)</x:f>
        <x:v>77.07792207792208</x:v>
      </x:c>
      <x:c r="AD98" s="601" t="n">
        <x:f>IF(AC98="","",COUNTIFS($A$19:$A$186,A98,$AP$19:$AP$186,"Yes",$E$19:$E$186,"&gt;0",$AC$19:$AC$186,"&gt;"&amp;AC98)+COUNTIFS($A$19:A98,A98,$AP$19:AP98,"Yes",$E$19:E98,"&gt;0",$AC$19:AC98,AC98))</x:f>
        <x:v>3</x:v>
      </x:c>
      <x:c r="AE98" s="601" t="n">
        <x:f>IF(OR(AP98&lt;&gt;"Yes",E98=0),"",IFERROR(100*(COUNTIFS($AP$19:$AP$186,"Yes",$E$19:$E$186,"&gt;0",$H$19:$H$186,"&lt;"&amp;H98)+(COUNTIFS($AP$19:$AP$186,"Yes",$E$19:$E$186,"&gt;0",$H$19:$H$186,H98)-1)/2)/(COUNTIFS($AP$19:$AP$186,"Yes",$E$19:$E$186,"&gt;0")-1),50))</x:f>
        <x:v>74.02597402597402</x:v>
      </x:c>
      <x:c r="AF98" s="601" t="n">
        <x:f>IF(AE98="","",AE98*'Specialisation Rankings'!$O$16+R98*'Specialisation Rankings'!$O$17)</x:f>
        <x:v>76.55844155844156</x:v>
      </x:c>
      <x:c r="AG98" s="601" t="n">
        <x:f>IF(AF98="","",COUNTIFS($A$19:$A$186,A98,$AP$19:$AP$186,"Yes",$E$19:$E$186,"&gt;0",$AF$19:$AF$186,"&gt;"&amp;AF98)+COUNTIFS($A$19:A98,A98,$AP$19:AP98,"Yes",$E$19:E98,"&gt;0",$AF$19:AF98,AF98))</x:f>
        <x:v>2</x:v>
      </x:c>
      <x:c r="AH98" s="601" t="n">
        <x:f>IF(OR(AP98&lt;&gt;"Yes",E98=0),"",IFERROR(100*(COUNTIFS($AP$19:$AP$186,"Yes",$E$19:$E$186,"&gt;0",$J$19:$J$186,"&lt;"&amp;J98)+(COUNTIFS($AP$19:$AP$186,"Yes",$E$19:$E$186,"&gt;0",$J$19:$J$186,J98)-1)/2)/(COUNTIFS($AP$19:$AP$186,"Yes",$E$19:$E$186,"&gt;0")-1),50))</x:f>
        <x:v>33.116883116883116</x:v>
      </x:c>
      <x:c r="AI98" s="601" t="n">
        <x:f>IF(AH98="","",AH98*'Specialisation Rankings'!$O$16+R98*'Specialisation Rankings'!$O$17)</x:f>
        <x:v>43.83116883116883</x:v>
      </x:c>
      <x:c r="AJ98" s="601" t="n">
        <x:f>IF(AI98="","",COUNTIFS($A$19:$A$186,A98,$AP$19:$AP$186,"Yes",$E$19:$E$186,"&gt;0",$AI$19:$AI$186,"&gt;"&amp;AI98)+COUNTIFS($A$19:A98,A98,$AP$19:AP98,"Yes",$E$19:E98,"&gt;0",$AI$19:AI98,AI98))</x:f>
        <x:v>8</x:v>
      </x:c>
      <x:c r="AK98" s="601" t="n">
        <x:f>IF(OR(AP98&lt;&gt;"Yes",E98=0),"",IF(M98=0,'Specialisation Rankings'!$O$23,V98))</x:f>
        <x:v>50</x:v>
      </x:c>
      <x:c r="AL98" s="601" t="n">
        <x:f>IF(AK98="","",COUNTIFS($A$19:$A$186,A98,$AP$19:$AP$186,"Yes",$E$19:$E$186,"&gt;0",$AK$19:$AK$186,"&gt;"&amp;AK98)+COUNTIFS($A$19:A98,A98,$AP$19:AP98,"Yes",$E$19:E98,"&gt;0",$AK$19:AK98,AK98))</x:f>
        <x:v>19</x:v>
      </x:c>
      <x:c r="AM98" s="601" t="n">
        <x:f>IF(AC98="","",AC98*'Specialisation Rankings'!$O$18+AF98*'Specialisation Rankings'!$O$19+AI98*'Specialisation Rankings'!$O$20+AK98*'Specialisation Rankings'!$O$21)</x:f>
        <x:v>69.33116883116884</x:v>
      </x:c>
      <x:c r="AN98" s="601" t="n">
        <x:f>IF(AM98="","",COUNTIFS($A$19:$A$186,A98,$AP$19:$AP$186,"Yes",$E$19:$E$186,"&gt;0",$AM$19:$AM$186,"&gt;"&amp;AM98)+COUNTIFS($A$19:A98,A98,$AP$19:AP98,"Yes",$E$19:E98,"&gt;0",$AM$19:AM98,AM98))</x:f>
        <x:v>5</x:v>
      </x:c>
      <x:c r="AO98" s="601" t="n">
        <x:f>IF(AM98="","",COUNTIFS($AP$19:$AP$186,"Yes",$E$19:$E$186,"&gt;0",$AM$19:$AM$186,"&gt;"&amp;AM98)+COUNTIFS($AP$19:AP98,"Yes",$E$19:E98,"&gt;0",$AM$19:AM98,AM98))</x:f>
        <x:v>38</x:v>
      </x:c>
      <x:c r="AP98" s="602" t="str">
        <x:f>IF(COUNTIFS('Player Scenario Model'!$A$6:$A$172,A98,'Player Scenario Model'!$B$6:$B$172,B98)&gt;0,"Yes","No")</x:f>
        <x:v>Yes</x:v>
      </x:c>
    </x:row>
    <x:row r="99" ht="24" customHeight="1">
      <x:c r="A99" s="430" t="str">
        <x:v>K138</x:v>
      </x:c>
      <x:c r="B99" s="430" t="str">
        <x:v>(RaW)让世界沐浴在血中</x:v>
      </x:c>
      <x:c r="C99" s="431" t="n">
        <x:f>COUNTIFS('Specialisations'!$A$6:$A$527,A99,'Specialisations'!$B$6:$B$527,B99)</x:f>
        <x:v>5</x:v>
      </x:c>
      <x:c r="D99" s="431" t="n">
        <x:f>COUNTIFS('Specialisations'!$A$6:$A$527,A99,'Specialisations'!$B$6:$B$527,B99,'Specialisations'!$P$6:$P$527,"OK")</x:f>
        <x:v>5</x:v>
      </x:c>
      <x:c r="E99" s="431" t="n">
        <x:f>COUNTIFS('Specialisations'!$A$6:$A$527,A99,'Specialisations'!$B$6:$B$527,B99,'Specialisations'!$P$6:$P$527,"OK",'Specialisations'!$C$6:$C$527,"&lt;&gt;Guards")</x:f>
        <x:v>4</x:v>
      </x:c>
      <x:c r="F99" s="432" t="n">
        <x:f>IF(C99=0,"",D99/C99)</x:f>
        <x:v>1</x:v>
      </x:c>
      <x:c r="G99" s="495" t="n">
        <x:f>SUMIFS('Specialisations'!$Q$6:$Q$527,'Specialisations'!$A$6:$A$527,A99,'Specialisations'!$B$6:$B$527,B99,'Specialisations'!$C$6:$C$527,"Guards")</x:f>
        <x:v>-27.74</x:v>
      </x:c>
      <x:c r="H99" s="495" t="n">
        <x:f>SUMIFS('Specialisations'!$Q$6:$Q$527,'Specialisations'!$A$6:$A$527,A99,'Specialisations'!$B$6:$B$527,B99,'Specialisations'!$C$6:$C$527,"Archers")</x:f>
        <x:v>17.66</x:v>
      </x:c>
      <x:c r="I99" s="495" t="n">
        <x:f>SUMIFS('Specialisations'!$Q$6:$Q$527,'Specialisations'!$A$6:$A$527,A99,'Specialisations'!$B$6:$B$527,B99,'Specialisations'!$C$6:$C$527,"Cavalry")</x:f>
        <x:v>71.96</x:v>
      </x:c>
      <x:c r="J99" s="495" t="n">
        <x:f>SUMIFS('Specialisations'!$Q$6:$Q$527,'Specialisations'!$A$6:$A$527,A99,'Specialisations'!$B$6:$B$527,B99,'Specialisations'!$C$6:$C$527,"Siege")</x:f>
        <x:v>27.74</x:v>
      </x:c>
      <x:c r="K99" s="495" t="n">
        <x:f>SUM(H99:J99)</x:f>
        <x:v>117.35999999999999</x:v>
      </x:c>
      <x:c r="L99" s="495" t="n">
        <x:f>SUM(G99,K99)</x:f>
        <x:v>89.61999999999999</x:v>
      </x:c>
      <x:c r="M99" s="433" t="n">
        <x:f>SUMIFS('Specialisations'!$N$6:$N$527,'Specialisations'!$A$6:$A$527,A99,'Specialisations'!$B$6:$B$527,B99,'Specialisations'!$C$6:$C$527,"Guards")</x:f>
        <x:v>2244300</x:v>
      </x:c>
      <x:c r="N99" s="433" t="n">
        <x:f>SUMIFS('Specialisations'!$N$6:$N$527,'Specialisations'!$A$6:$A$527,A99,'Specialisations'!$B$6:$B$527,B99,'Specialisations'!$C$6:$C$527,"&lt;&gt;Guards")</x:f>
        <x:v>10057200</x:v>
      </x:c>
      <x:c r="O99" s="433" t="n">
        <x:f>SUM(M99:N99)</x:f>
        <x:v>12301500</x:v>
      </x:c>
      <x:c r="P99" s="434" t="n">
        <x:f>IF(E99=0,"",K99/E99)</x:f>
        <x:v>29.339999999999996</x:v>
      </x:c>
      <x:c r="Q99" s="501" t="n">
        <x:f>IF(E99=0,"",IFERROR(100*(COUNTIFS($E$19:$E$186,"&gt;0",$K$19:$K$186,"&lt;"&amp;K99)+(COUNTIFS($E$19:$E$186,"&gt;0",$K$19:$K$186,K99)-1)/2)/(COUNTIF($E$19:$E$186,"&gt;0")-1),50))</x:f>
        <x:v>70.12987012987013</x:v>
      </x:c>
      <x:c r="R99" s="501" t="n">
        <x:f>IF(E99=0,"",IFERROR(100*(COUNTIFS($E$19:$E$186,"&gt;0",$N$19:$N$186,"&lt;"&amp;N99)+(COUNTIFS($E$19:$E$186,"&gt;0",$N$19:$N$186,N99)-1)/2)/(COUNTIF($E$19:$E$186,"&gt;0")-1),50))</x:f>
        <x:v>42.20779220779221</x:v>
      </x:c>
      <x:c r="S99" s="501" t="n">
        <x:f>IF(E99=0,"",Q99*$R$5+R99*$R$6)</x:f>
        <x:v>64.54545454545455</x:v>
      </x:c>
      <x:c r="T99" s="501" t="n">
        <x:f>IF(M99=0,"",IFERROR(100*(COUNTIFS($M$19:$M$186,"&gt;0",$G$19:$G$186,"&gt;"&amp;G99)+(COUNTIFS($M$19:$M$186,"&gt;0",$G$19:$G$186,G99)-1)/2)/(COUNTIF($M$19:$M$186,"&gt;0")-1),50))</x:f>
        <x:v>29.487179487179485</x:v>
      </x:c>
      <x:c r="U99" s="501" t="n">
        <x:f>IF(M99=0,"",IFERROR(100*(COUNTIFS($M$19:$M$186,"&gt;0",$M$19:$M$186,"&lt;"&amp;M99)+(COUNTIFS($M$19:$M$186,"&gt;0",$M$19:$M$186,M99)-1)/2)/(COUNTIF($M$19:$M$186,"&gt;0")-1),50))</x:f>
        <x:v>29.487179487179485</x:v>
      </x:c>
      <x:c r="V99" s="501" t="n">
        <x:f>IF(M99=0,"",T99*$R$5+U99*$R$6)</x:f>
        <x:v>29.48717948717949</x:v>
      </x:c>
      <x:c r="W99" s="431" t="n">
        <x:f>IF(E99=0,"",COUNTIFS($A$19:$A$186,A99,$S$19:$S$186,"&gt;"&amp;S99)+COUNTIFS($A$19:A99,A99,$E$19:E99,"&gt;0",$S$19:S99,S99))</x:f>
        <x:v>6</x:v>
      </x:c>
      <x:c r="X99" s="431" t="n">
        <x:f>IF(S99="","",1+COUNTIF($S$19:$S$186,"&gt;"&amp;S99))</x:f>
        <x:v>54</x:v>
      </x:c>
      <x:c r="Y99" s="431" t="n">
        <x:f>IF(V99="","",1+COUNTIFS($A$19:$A$186,A99,$V$19:$V$186,"&gt;"&amp;V99))</x:f>
        <x:v>21</x:v>
      </x:c>
      <x:c r="Z99" s="431" t="n">
        <x:f>IF(V99="","",1+COUNTIF($V$19:$V$186,"&gt;"&amp;V99))</x:f>
        <x:v>70</x:v>
      </x:c>
      <x:c r="AA99" s="430" t="str">
        <x:f>IF(C99=0,"No specialisations recorded",IF(D99&lt;C99,"Review missing level","Recorded skills only"))</x:f>
        <x:v>Recorded skills only</x:v>
      </x:c>
      <x:c r="AB99" s="601" t="n">
        <x:f>IF(OR(AP99&lt;&gt;"Yes",E99=0),"",IFERROR(100*(COUNTIFS($AP$19:$AP$186,"Yes",$E$19:$E$186,"&gt;0",$I$19:$I$186,"&lt;"&amp;I99)+(COUNTIFS($AP$19:$AP$186,"Yes",$E$19:$E$186,"&gt;0",$I$19:$I$186,I99)-1)/2)/(COUNTIFS($AP$19:$AP$186,"Yes",$E$19:$E$186,"&gt;0")-1),50))</x:f>
        <x:v>56.81818181818182</x:v>
      </x:c>
      <x:c r="AC99" s="601" t="n">
        <x:f>IF(AB99="","",AB99*'Specialisation Rankings'!$O$16+R99*'Specialisation Rankings'!$O$17)</x:f>
        <x:v>53.8961038961039</x:v>
      </x:c>
      <x:c r="AD99" s="601" t="n">
        <x:f>IF(AC99="","",COUNTIFS($A$19:$A$186,A99,$AP$19:$AP$186,"Yes",$E$19:$E$186,"&gt;0",$AC$19:$AC$186,"&gt;"&amp;AC99)+COUNTIFS($A$19:A99,A99,$AP$19:AP99,"Yes",$E$19:E99,"&gt;0",$AC$19:AC99,AC99))</x:f>
        <x:v>7</x:v>
      </x:c>
      <x:c r="AE99" s="601" t="n">
        <x:f>IF(OR(AP99&lt;&gt;"Yes",E99=0),"",IFERROR(100*(COUNTIFS($AP$19:$AP$186,"Yes",$E$19:$E$186,"&gt;0",$H$19:$H$186,"&lt;"&amp;H99)+(COUNTIFS($AP$19:$AP$186,"Yes",$E$19:$E$186,"&gt;0",$H$19:$H$186,H99)-1)/2)/(COUNTIFS($AP$19:$AP$186,"Yes",$E$19:$E$186,"&gt;0")-1),50))</x:f>
        <x:v>29.87012987012987</x:v>
      </x:c>
      <x:c r="AF99" s="601" t="n">
        <x:f>IF(AE99="","",AE99*'Specialisation Rankings'!$O$16+R99*'Specialisation Rankings'!$O$17)</x:f>
        <x:v>32.33766233766234</x:v>
      </x:c>
      <x:c r="AG99" s="601" t="n">
        <x:f>IF(AF99="","",COUNTIFS($A$19:$A$186,A99,$AP$19:$AP$186,"Yes",$E$19:$E$186,"&gt;0",$AF$19:$AF$186,"&gt;"&amp;AF99)+COUNTIFS($A$19:A99,A99,$AP$19:AP99,"Yes",$E$19:E99,"&gt;0",$AF$19:AF99,AF99))</x:f>
        <x:v>18</x:v>
      </x:c>
      <x:c r="AH99" s="601" t="n">
        <x:f>IF(OR(AP99&lt;&gt;"Yes",E99=0),"",IFERROR(100*(COUNTIFS($AP$19:$AP$186,"Yes",$E$19:$E$186,"&gt;0",$J$19:$J$186,"&lt;"&amp;J99)+(COUNTIFS($AP$19:$AP$186,"Yes",$E$19:$E$186,"&gt;0",$J$19:$J$186,J99)-1)/2)/(COUNTIFS($AP$19:$AP$186,"Yes",$E$19:$E$186,"&gt;0")-1),50))</x:f>
        <x:v>80.84415584415585</x:v>
      </x:c>
      <x:c r="AI99" s="601" t="n">
        <x:f>IF(AH99="","",AH99*'Specialisation Rankings'!$O$16+R99*'Specialisation Rankings'!$O$17)</x:f>
        <x:v>73.11688311688313</x:v>
      </x:c>
      <x:c r="AJ99" s="601" t="n">
        <x:f>IF(AI99="","",COUNTIFS($A$19:$A$186,A99,$AP$19:$AP$186,"Yes",$E$19:$E$186,"&gt;0",$AI$19:$AI$186,"&gt;"&amp;AI99)+COUNTIFS($A$19:A99,A99,$AP$19:AP99,"Yes",$E$19:E99,"&gt;0",$AI$19:AI99,AI99))</x:f>
        <x:v>5</x:v>
      </x:c>
      <x:c r="AK99" s="601" t="n">
        <x:f>IF(OR(AP99&lt;&gt;"Yes",E99=0),"",IF(M99=0,'Specialisation Rankings'!$O$23,V99))</x:f>
        <x:v>29.48717948717949</x:v>
      </x:c>
      <x:c r="AL99" s="601" t="n">
        <x:f>IF(AK99="","",COUNTIFS($A$19:$A$186,A99,$AP$19:$AP$186,"Yes",$E$19:$E$186,"&gt;0",$AK$19:$AK$186,"&gt;"&amp;AK99)+COUNTIFS($A$19:A99,A99,$AP$19:AP99,"Yes",$E$19:E99,"&gt;0",$AK$19:AK99,AK99))</x:f>
        <x:v>25</x:v>
      </x:c>
      <x:c r="AM99" s="601" t="n">
        <x:f>IF(AC99="","",AC99*'Specialisation Rankings'!$O$18+AF99*'Specialisation Rankings'!$O$19+AI99*'Specialisation Rankings'!$O$20+AK99*'Specialisation Rankings'!$O$21)</x:f>
        <x:v>52.18248418248419</x:v>
      </x:c>
      <x:c r="AN99" s="601" t="n">
        <x:f>IF(AM99="","",COUNTIFS($A$19:$A$186,A99,$AP$19:$AP$186,"Yes",$E$19:$E$186,"&gt;0",$AM$19:$AM$186,"&gt;"&amp;AM99)+COUNTIFS($A$19:A99,A99,$AP$19:AP99,"Yes",$E$19:E99,"&gt;0",$AM$19:AM99,AM99))</x:f>
        <x:v>7</x:v>
      </x:c>
      <x:c r="AO99" s="601" t="n">
        <x:f>IF(AM99="","",COUNTIFS($AP$19:$AP$186,"Yes",$E$19:$E$186,"&gt;0",$AM$19:$AM$186,"&gt;"&amp;AM99)+COUNTIFS($AP$19:AP99,"Yes",$E$19:E99,"&gt;0",$AM$19:AM99,AM99))</x:f>
        <x:v>64</x:v>
      </x:c>
      <x:c r="AP99" s="602" t="str">
        <x:f>IF(COUNTIFS('Player Scenario Model'!$A$6:$A$172,A99,'Player Scenario Model'!$B$6:$B$172,B99)&gt;0,"Yes","No")</x:f>
        <x:v>Yes</x:v>
      </x:c>
    </x:row>
    <x:row r="100" ht="24" customHeight="1">
      <x:c r="A100" s="430" t="str">
        <x:v>K138</x:v>
      </x:c>
      <x:c r="B100" s="430" t="str">
        <x:v>(RaW)YAMI</x:v>
      </x:c>
      <x:c r="C100" s="431" t="n">
        <x:f>COUNTIFS('Specialisations'!$A$6:$A$527,A100,'Specialisations'!$B$6:$B$527,B100)</x:f>
        <x:v>3</x:v>
      </x:c>
      <x:c r="D100" s="431" t="n">
        <x:f>COUNTIFS('Specialisations'!$A$6:$A$527,A100,'Specialisations'!$B$6:$B$527,B100,'Specialisations'!$P$6:$P$527,"OK")</x:f>
        <x:v>3</x:v>
      </x:c>
      <x:c r="E100" s="431" t="n">
        <x:f>COUNTIFS('Specialisations'!$A$6:$A$527,A100,'Specialisations'!$B$6:$B$527,B100,'Specialisations'!$P$6:$P$527,"OK",'Specialisations'!$C$6:$C$527,"&lt;&gt;Guards")</x:f>
        <x:v>2</x:v>
      </x:c>
      <x:c r="F100" s="432" t="n">
        <x:f>IF(C100=0,"",D100/C100)</x:f>
        <x:v>1</x:v>
      </x:c>
      <x:c r="G100" s="495" t="n">
        <x:f>SUMIFS('Specialisations'!$Q$6:$Q$527,'Specialisations'!$A$6:$A$527,A100,'Specialisations'!$B$6:$B$527,B100,'Specialisations'!$C$6:$C$527,"Guards")</x:f>
        <x:v>-33.13</x:v>
      </x:c>
      <x:c r="H100" s="495" t="n">
        <x:f>SUMIFS('Specialisations'!$Q$6:$Q$527,'Specialisations'!$A$6:$A$527,A100,'Specialisations'!$B$6:$B$527,B100,'Specialisations'!$C$6:$C$527,"Archers")</x:f>
        <x:v>0</x:v>
      </x:c>
      <x:c r="I100" s="495" t="n">
        <x:f>SUMIFS('Specialisations'!$Q$6:$Q$527,'Specialisations'!$A$6:$A$527,A100,'Specialisations'!$B$6:$B$527,B100,'Specialisations'!$C$6:$C$527,"Cavalry")</x:f>
        <x:v>60</x:v>
      </x:c>
      <x:c r="J100" s="495" t="n">
        <x:f>SUMIFS('Specialisations'!$Q$6:$Q$527,'Specialisations'!$A$6:$A$527,A100,'Specialisations'!$B$6:$B$527,B100,'Specialisations'!$C$6:$C$527,"Siege")</x:f>
        <x:v>27.74</x:v>
      </x:c>
      <x:c r="K100" s="495" t="n">
        <x:f>SUM(H100:J100)</x:f>
        <x:v>87.74</x:v>
      </x:c>
      <x:c r="L100" s="495" t="n">
        <x:f>SUM(G100,K100)</x:f>
        <x:v>54.60999999999999</x:v>
      </x:c>
      <x:c r="M100" s="433" t="n">
        <x:f>SUMIFS('Specialisations'!$N$6:$N$527,'Specialisations'!$A$6:$A$527,A100,'Specialisations'!$B$6:$B$527,B100,'Specialisations'!$C$6:$C$527,"Guards")</x:f>
        <x:v>2844300</x:v>
      </x:c>
      <x:c r="N100" s="433" t="n">
        <x:f>SUMIFS('Specialisations'!$N$6:$N$527,'Specialisations'!$A$6:$A$527,A100,'Specialisations'!$B$6:$B$527,B100,'Specialisations'!$C$6:$C$527,"&lt;&gt;Guards")</x:f>
        <x:v>12578600</x:v>
      </x:c>
      <x:c r="O100" s="433" t="n">
        <x:f>SUM(M100:N100)</x:f>
        <x:v>15422900</x:v>
      </x:c>
      <x:c r="P100" s="434" t="n">
        <x:f>IF(E100=0,"",K100/E100)</x:f>
        <x:v>43.87</x:v>
      </x:c>
      <x:c r="Q100" s="501" t="n">
        <x:f>IF(E100=0,"",IFERROR(100*(COUNTIFS($E$19:$E$186,"&gt;0",$K$19:$K$186,"&lt;"&amp;K100)+(COUNTIFS($E$19:$E$186,"&gt;0",$K$19:$K$186,K100)-1)/2)/(COUNTIF($E$19:$E$186,"&gt;0")-1),50))</x:f>
        <x:v>46.42857142857143</x:v>
      </x:c>
      <x:c r="R100" s="501" t="n">
        <x:f>IF(E100=0,"",IFERROR(100*(COUNTIFS($E$19:$E$186,"&gt;0",$N$19:$N$186,"&lt;"&amp;N100)+(COUNTIFS($E$19:$E$186,"&gt;0",$N$19:$N$186,N100)-1)/2)/(COUNTIF($E$19:$E$186,"&gt;0")-1),50))</x:f>
        <x:v>63.311688311688314</x:v>
      </x:c>
      <x:c r="S100" s="501" t="n">
        <x:f>IF(E100=0,"",Q100*$R$5+R100*$R$6)</x:f>
        <x:v>49.8051948051948</x:v>
      </x:c>
      <x:c r="T100" s="501" t="n">
        <x:f>IF(M100=0,"",IFERROR(100*(COUNTIFS($M$19:$M$186,"&gt;0",$G$19:$G$186,"&gt;"&amp;G100)+(COUNTIFS($M$19:$M$186,"&gt;0",$G$19:$G$186,G100)-1)/2)/(COUNTIF($M$19:$M$186,"&gt;0")-1),50))</x:f>
        <x:v>43.58974358974359</x:v>
      </x:c>
      <x:c r="U100" s="501" t="n">
        <x:f>IF(M100=0,"",IFERROR(100*(COUNTIFS($M$19:$M$186,"&gt;0",$M$19:$M$186,"&lt;"&amp;M100)+(COUNTIFS($M$19:$M$186,"&gt;0",$M$19:$M$186,M100)-1)/2)/(COUNTIF($M$19:$M$186,"&gt;0")-1),50))</x:f>
        <x:v>43.58974358974359</x:v>
      </x:c>
      <x:c r="V100" s="501" t="n">
        <x:f>IF(M100=0,"",T100*$R$5+U100*$R$6)</x:f>
        <x:v>43.58974358974359</x:v>
      </x:c>
      <x:c r="W100" s="431" t="n">
        <x:f>IF(E100=0,"",COUNTIFS($A$19:$A$186,A100,$S$19:$S$186,"&gt;"&amp;S100)+COUNTIFS($A$19:A100,A100,$E$19:E100,"&gt;0",$S$19:S100,S100))</x:f>
        <x:v>8</x:v>
      </x:c>
      <x:c r="X100" s="431" t="n">
        <x:f>IF(S100="","",1+COUNTIF($S$19:$S$186,"&gt;"&amp;S100))</x:f>
        <x:v>77</x:v>
      </x:c>
      <x:c r="Y100" s="431" t="n">
        <x:f>IF(V100="","",1+COUNTIFS($A$19:$A$186,A100,$V$19:$V$186,"&gt;"&amp;V100))</x:f>
        <x:v>17</x:v>
      </x:c>
      <x:c r="Z100" s="431" t="n">
        <x:f>IF(V100="","",1+COUNTIF($V$19:$V$186,"&gt;"&amp;V100))</x:f>
        <x:v>65</x:v>
      </x:c>
      <x:c r="AA100" s="430" t="str">
        <x:f>IF(C100=0,"No specialisations recorded",IF(D100&lt;C100,"Review missing level","Recorded skills only"))</x:f>
        <x:v>Recorded skills only</x:v>
      </x:c>
      <x:c r="AB100" s="601" t="n">
        <x:f>IF(OR(AP100&lt;&gt;"Yes",E100=0),"",IFERROR(100*(COUNTIFS($AP$19:$AP$186,"Yes",$E$19:$E$186,"&gt;0",$I$19:$I$186,"&lt;"&amp;I100)+(COUNTIFS($AP$19:$AP$186,"Yes",$E$19:$E$186,"&gt;0",$I$19:$I$186,I100)-1)/2)/(COUNTIFS($AP$19:$AP$186,"Yes",$E$19:$E$186,"&gt;0")-1),50))</x:f>
        <x:v>48.701298701298704</x:v>
      </x:c>
      <x:c r="AC100" s="601" t="n">
        <x:f>IF(AB100="","",AB100*'Specialisation Rankings'!$O$16+R100*'Specialisation Rankings'!$O$17)</x:f>
        <x:v>51.62337662337663</x:v>
      </x:c>
      <x:c r="AD100" s="601" t="n">
        <x:f>IF(AC100="","",COUNTIFS($A$19:$A$186,A100,$AP$19:$AP$186,"Yes",$E$19:$E$186,"&gt;0",$AC$19:$AC$186,"&gt;"&amp;AC100)+COUNTIFS($A$19:A100,A100,$AP$19:AP100,"Yes",$E$19:E100,"&gt;0",$AC$19:AC100,AC100))</x:f>
        <x:v>8</x:v>
      </x:c>
      <x:c r="AE100" s="601" t="n">
        <x:f>IF(OR(AP100&lt;&gt;"Yes",E100=0),"",IFERROR(100*(COUNTIFS($AP$19:$AP$186,"Yes",$E$19:$E$186,"&gt;0",$H$19:$H$186,"&lt;"&amp;H100)+(COUNTIFS($AP$19:$AP$186,"Yes",$E$19:$E$186,"&gt;0",$H$19:$H$186,H100)-1)/2)/(COUNTIFS($AP$19:$AP$186,"Yes",$E$19:$E$186,"&gt;0")-1),50))</x:f>
        <x:v>11.688311688311689</x:v>
      </x:c>
      <x:c r="AF100" s="601" t="n">
        <x:f>IF(AE100="","",AE100*'Specialisation Rankings'!$O$16+R100*'Specialisation Rankings'!$O$17)</x:f>
        <x:v>22.012987012987015</x:v>
      </x:c>
      <x:c r="AG100" s="601" t="n">
        <x:f>IF(AF100="","",COUNTIFS($A$19:$A$186,A100,$AP$19:$AP$186,"Yes",$E$19:$E$186,"&gt;0",$AF$19:$AF$186,"&gt;"&amp;AF100)+COUNTIFS($A$19:A100,A100,$AP$19:AP100,"Yes",$E$19:E100,"&gt;0",$AF$19:AF100,AF100))</x:f>
        <x:v>22</x:v>
      </x:c>
      <x:c r="AH100" s="601" t="n">
        <x:f>IF(OR(AP100&lt;&gt;"Yes",E100=0),"",IFERROR(100*(COUNTIFS($AP$19:$AP$186,"Yes",$E$19:$E$186,"&gt;0",$J$19:$J$186,"&lt;"&amp;J100)+(COUNTIFS($AP$19:$AP$186,"Yes",$E$19:$E$186,"&gt;0",$J$19:$J$186,J100)-1)/2)/(COUNTIFS($AP$19:$AP$186,"Yes",$E$19:$E$186,"&gt;0")-1),50))</x:f>
        <x:v>80.84415584415585</x:v>
      </x:c>
      <x:c r="AI100" s="601" t="n">
        <x:f>IF(AH100="","",AH100*'Specialisation Rankings'!$O$16+R100*'Specialisation Rankings'!$O$17)</x:f>
        <x:v>77.33766233766235</x:v>
      </x:c>
      <x:c r="AJ100" s="601" t="n">
        <x:f>IF(AI100="","",COUNTIFS($A$19:$A$186,A100,$AP$19:$AP$186,"Yes",$E$19:$E$186,"&gt;0",$AI$19:$AI$186,"&gt;"&amp;AI100)+COUNTIFS($A$19:A100,A100,$AP$19:AP100,"Yes",$E$19:E100,"&gt;0",$AI$19:AI100,AI100))</x:f>
        <x:v>4</x:v>
      </x:c>
      <x:c r="AK100" s="601" t="n">
        <x:f>IF(OR(AP100&lt;&gt;"Yes",E100=0),"",IF(M100=0,'Specialisation Rankings'!$O$23,V100))</x:f>
        <x:v>43.58974358974359</x:v>
      </x:c>
      <x:c r="AL100" s="601" t="n">
        <x:f>IF(AK100="","",COUNTIFS($A$19:$A$186,A100,$AP$19:$AP$186,"Yes",$E$19:$E$186,"&gt;0",$AK$19:$AK$186,"&gt;"&amp;AK100)+COUNTIFS($A$19:A100,A100,$AP$19:AP100,"Yes",$E$19:E100,"&gt;0",$AK$19:AK100,AK100))</x:f>
        <x:v>21</x:v>
      </x:c>
      <x:c r="AM100" s="601" t="n">
        <x:f>IF(AC100="","",AC100*'Specialisation Rankings'!$O$18+AF100*'Specialisation Rankings'!$O$19+AI100*'Specialisation Rankings'!$O$20+AK100*'Specialisation Rankings'!$O$21)</x:f>
        <x:v>51.71611721611722</x:v>
      </x:c>
      <x:c r="AN100" s="601" t="n">
        <x:f>IF(AM100="","",COUNTIFS($A$19:$A$186,A100,$AP$19:$AP$186,"Yes",$E$19:$E$186,"&gt;0",$AM$19:$AM$186,"&gt;"&amp;AM100)+COUNTIFS($A$19:A100,A100,$AP$19:AP100,"Yes",$E$19:E100,"&gt;0",$AM$19:AM100,AM100))</x:f>
        <x:v>8</x:v>
      </x:c>
      <x:c r="AO100" s="601" t="n">
        <x:f>IF(AM100="","",COUNTIFS($AP$19:$AP$186,"Yes",$E$19:$E$186,"&gt;0",$AM$19:$AM$186,"&gt;"&amp;AM100)+COUNTIFS($AP$19:AP100,"Yes",$E$19:E100,"&gt;0",$AM$19:AM100,AM100))</x:f>
        <x:v>67</x:v>
      </x:c>
      <x:c r="AP100" s="602" t="str">
        <x:f>IF(COUNTIFS('Player Scenario Model'!$A$6:$A$172,A100,'Player Scenario Model'!$B$6:$B$172,B100)&gt;0,"Yes","No")</x:f>
        <x:v>Yes</x:v>
      </x:c>
    </x:row>
    <x:row r="101" ht="24" customHeight="1">
      <x:c r="A101" s="430" t="str">
        <x:v>K138</x:v>
      </x:c>
      <x:c r="B101" s="430" t="str">
        <x:v>(RaW)༺ⓉⒶⓇⓉⒶⓇ༻</x:v>
      </x:c>
      <x:c r="C101" s="431" t="n">
        <x:f>COUNTIFS('Specialisations'!$A$6:$A$527,A101,'Specialisations'!$B$6:$B$527,B101)</x:f>
        <x:v>4</x:v>
      </x:c>
      <x:c r="D101" s="431" t="n">
        <x:f>COUNTIFS('Specialisations'!$A$6:$A$527,A101,'Specialisations'!$B$6:$B$527,B101,'Specialisations'!$P$6:$P$527,"OK")</x:f>
        <x:v>4</x:v>
      </x:c>
      <x:c r="E101" s="431" t="n">
        <x:f>COUNTIFS('Specialisations'!$A$6:$A$527,A101,'Specialisations'!$B$6:$B$527,B101,'Specialisations'!$P$6:$P$527,"OK",'Specialisations'!$C$6:$C$527,"&lt;&gt;Guards")</x:f>
        <x:v>3</x:v>
      </x:c>
      <x:c r="F101" s="432" t="n">
        <x:f>IF(C101=0,"",D101/C101)</x:f>
        <x:v>1</x:v>
      </x:c>
      <x:c r="G101" s="495" t="n">
        <x:f>SUMIFS('Specialisations'!$Q$6:$Q$527,'Specialisations'!$A$6:$A$527,A101,'Specialisations'!$B$6:$B$527,B101,'Specialisations'!$C$6:$C$527,"Guards")</x:f>
        <x:v>-41.98</x:v>
      </x:c>
      <x:c r="H101" s="495" t="n">
        <x:f>SUMIFS('Specialisations'!$Q$6:$Q$527,'Specialisations'!$A$6:$A$527,A101,'Specialisations'!$B$6:$B$527,B101,'Specialisations'!$C$6:$C$527,"Archers")</x:f>
        <x:v>48.13</x:v>
      </x:c>
      <x:c r="I101" s="495" t="n">
        <x:f>SUMIFS('Specialisations'!$Q$6:$Q$527,'Specialisations'!$A$6:$A$527,A101,'Specialisations'!$B$6:$B$527,B101,'Specialisations'!$C$6:$C$527,"Cavalry")</x:f>
        <x:v>41.98</x:v>
      </x:c>
      <x:c r="J101" s="495" t="n">
        <x:f>SUMIFS('Specialisations'!$Q$6:$Q$527,'Specialisations'!$A$6:$A$527,A101,'Specialisations'!$B$6:$B$527,B101,'Specialisations'!$C$6:$C$527,"Siege")</x:f>
        <x:v>0</x:v>
      </x:c>
      <x:c r="K101" s="495" t="n">
        <x:f>SUM(H101:J101)</x:f>
        <x:v>90.11</x:v>
      </x:c>
      <x:c r="L101" s="495" t="n">
        <x:f>SUM(G101,K101)</x:f>
        <x:v>48.13</x:v>
      </x:c>
      <x:c r="M101" s="433" t="n">
        <x:f>SUMIFS('Specialisations'!$N$6:$N$527,'Specialisations'!$A$6:$A$527,A101,'Specialisations'!$B$6:$B$527,B101,'Specialisations'!$C$6:$C$527,"Guards")</x:f>
        <x:v>4284300</x:v>
      </x:c>
      <x:c r="N101" s="433" t="n">
        <x:f>SUMIFS('Specialisations'!$N$6:$N$527,'Specialisations'!$A$6:$A$527,A101,'Specialisations'!$B$6:$B$527,B101,'Specialisations'!$C$6:$C$527,"&lt;&gt;Guards")</x:f>
        <x:v>9472900</x:v>
      </x:c>
      <x:c r="O101" s="433" t="n">
        <x:f>SUM(M101:N101)</x:f>
        <x:v>13757200</x:v>
      </x:c>
      <x:c r="P101" s="434" t="n">
        <x:f>IF(E101=0,"",K101/E101)</x:f>
        <x:v>30.036666666666665</x:v>
      </x:c>
      <x:c r="Q101" s="501" t="n">
        <x:f>IF(E101=0,"",IFERROR(100*(COUNTIFS($E$19:$E$186,"&gt;0",$K$19:$K$186,"&lt;"&amp;K101)+(COUNTIFS($E$19:$E$186,"&gt;0",$K$19:$K$186,K101)-1)/2)/(COUNTIF($E$19:$E$186,"&gt;0")-1),50))</x:f>
        <x:v>48.05194805194805</x:v>
      </x:c>
      <x:c r="R101" s="501" t="n">
        <x:f>IF(E101=0,"",IFERROR(100*(COUNTIFS($E$19:$E$186,"&gt;0",$N$19:$N$186,"&lt;"&amp;N101)+(COUNTIFS($E$19:$E$186,"&gt;0",$N$19:$N$186,N101)-1)/2)/(COUNTIF($E$19:$E$186,"&gt;0")-1),50))</x:f>
        <x:v>37.01298701298701</x:v>
      </x:c>
      <x:c r="S101" s="501" t="n">
        <x:f>IF(E101=0,"",Q101*$R$5+R101*$R$6)</x:f>
        <x:v>45.84415584415584</x:v>
      </x:c>
      <x:c r="T101" s="501" t="n">
        <x:f>IF(M101=0,"",IFERROR(100*(COUNTIFS($M$19:$M$186,"&gt;0",$G$19:$G$186,"&gt;"&amp;G101)+(COUNTIFS($M$19:$M$186,"&gt;0",$G$19:$G$186,G101)-1)/2)/(COUNTIF($M$19:$M$186,"&gt;0")-1),50))</x:f>
        <x:v>60.256410256410255</x:v>
      </x:c>
      <x:c r="U101" s="501" t="n">
        <x:f>IF(M101=0,"",IFERROR(100*(COUNTIFS($M$19:$M$186,"&gt;0",$M$19:$M$186,"&lt;"&amp;M101)+(COUNTIFS($M$19:$M$186,"&gt;0",$M$19:$M$186,M101)-1)/2)/(COUNTIF($M$19:$M$186,"&gt;0")-1),50))</x:f>
        <x:v>60.256410256410255</x:v>
      </x:c>
      <x:c r="V101" s="501" t="n">
        <x:f>IF(M101=0,"",T101*$R$5+U101*$R$6)</x:f>
        <x:v>60.25641025641025</x:v>
      </x:c>
      <x:c r="W101" s="431" t="n">
        <x:f>IF(E101=0,"",COUNTIFS($A$19:$A$186,A101,$S$19:$S$186,"&gt;"&amp;S101)+COUNTIFS($A$19:A101,A101,$E$19:E101,"&gt;0",$S$19:S101,S101))</x:f>
        <x:v>9</x:v>
      </x:c>
      <x:c r="X101" s="431" t="n">
        <x:f>IF(S101="","",1+COUNTIF($S$19:$S$186,"&gt;"&amp;S101))</x:f>
        <x:v>84</x:v>
      </x:c>
      <x:c r="Y101" s="431" t="n">
        <x:f>IF(V101="","",1+COUNTIFS($A$19:$A$186,A101,$V$19:$V$186,"&gt;"&amp;V101))</x:f>
        <x:v>10</x:v>
      </x:c>
      <x:c r="Z101" s="431" t="n">
        <x:f>IF(V101="","",1+COUNTIF($V$19:$V$186,"&gt;"&amp;V101))</x:f>
        <x:v>35</x:v>
      </x:c>
      <x:c r="AA101" s="430" t="str">
        <x:f>IF(C101=0,"No specialisations recorded",IF(D101&lt;C101,"Review missing level","Recorded skills only"))</x:f>
        <x:v>Recorded skills only</x:v>
      </x:c>
      <x:c r="AB101" s="601" t="n">
        <x:f>IF(OR(AP101&lt;&gt;"Yes",E101=0),"",IFERROR(100*(COUNTIFS($AP$19:$AP$186,"Yes",$E$19:$E$186,"&gt;0",$I$19:$I$186,"&lt;"&amp;I101)+(COUNTIFS($AP$19:$AP$186,"Yes",$E$19:$E$186,"&gt;0",$I$19:$I$186,I101)-1)/2)/(COUNTIFS($AP$19:$AP$186,"Yes",$E$19:$E$186,"&gt;0")-1),50))</x:f>
        <x:v>33.44155844155844</x:v>
      </x:c>
      <x:c r="AC101" s="601" t="n">
        <x:f>IF(AB101="","",AB101*'Specialisation Rankings'!$O$16+R101*'Specialisation Rankings'!$O$17)</x:f>
        <x:v>34.15584415584416</x:v>
      </x:c>
      <x:c r="AD101" s="601" t="n">
        <x:f>IF(AC101="","",COUNTIFS($A$19:$A$186,A101,$AP$19:$AP$186,"Yes",$E$19:$E$186,"&gt;0",$AC$19:$AC$186,"&gt;"&amp;AC101)+COUNTIFS($A$19:A101,A101,$AP$19:AP101,"Yes",$E$19:E101,"&gt;0",$AC$19:AC101,AC101))</x:f>
        <x:v>12</x:v>
      </x:c>
      <x:c r="AE101" s="601" t="n">
        <x:f>IF(OR(AP101&lt;&gt;"Yes",E101=0),"",IFERROR(100*(COUNTIFS($AP$19:$AP$186,"Yes",$E$19:$E$186,"&gt;0",$H$19:$H$186,"&lt;"&amp;H101)+(COUNTIFS($AP$19:$AP$186,"Yes",$E$19:$E$186,"&gt;0",$H$19:$H$186,H101)-1)/2)/(COUNTIFS($AP$19:$AP$186,"Yes",$E$19:$E$186,"&gt;0")-1),50))</x:f>
        <x:v>75.97402597402598</x:v>
      </x:c>
      <x:c r="AF101" s="601" t="n">
        <x:f>IF(AE101="","",AE101*'Specialisation Rankings'!$O$16+R101*'Specialisation Rankings'!$O$17)</x:f>
        <x:v>68.18181818181819</x:v>
      </x:c>
      <x:c r="AG101" s="601" t="n">
        <x:f>IF(AF101="","",COUNTIFS($A$19:$A$186,A101,$AP$19:$AP$186,"Yes",$E$19:$E$186,"&gt;0",$AF$19:$AF$186,"&gt;"&amp;AF101)+COUNTIFS($A$19:A101,A101,$AP$19:AP101,"Yes",$E$19:E101,"&gt;0",$AF$19:AF101,AF101))</x:f>
        <x:v>5</x:v>
      </x:c>
      <x:c r="AH101" s="601" t="n">
        <x:f>IF(OR(AP101&lt;&gt;"Yes",E101=0),"",IFERROR(100*(COUNTIFS($AP$19:$AP$186,"Yes",$E$19:$E$186,"&gt;0",$J$19:$J$186,"&lt;"&amp;J101)+(COUNTIFS($AP$19:$AP$186,"Yes",$E$19:$E$186,"&gt;0",$J$19:$J$186,J101)-1)/2)/(COUNTIFS($AP$19:$AP$186,"Yes",$E$19:$E$186,"&gt;0")-1),50))</x:f>
        <x:v>33.116883116883116</x:v>
      </x:c>
      <x:c r="AI101" s="601" t="n">
        <x:f>IF(AH101="","",AH101*'Specialisation Rankings'!$O$16+R101*'Specialisation Rankings'!$O$17)</x:f>
        <x:v>33.896103896103895</x:v>
      </x:c>
      <x:c r="AJ101" s="601" t="n">
        <x:f>IF(AI101="","",COUNTIFS($A$19:$A$186,A101,$AP$19:$AP$186,"Yes",$E$19:$E$186,"&gt;0",$AI$19:$AI$186,"&gt;"&amp;AI101)+COUNTIFS($A$19:A101,A101,$AP$19:AP101,"Yes",$E$19:E101,"&gt;0",$AI$19:AI101,AI101))</x:f>
        <x:v>13</x:v>
      </x:c>
      <x:c r="AK101" s="601" t="n">
        <x:f>IF(OR(AP101&lt;&gt;"Yes",E101=0),"",IF(M101=0,'Specialisation Rankings'!$O$23,V101))</x:f>
        <x:v>60.25641025641025</x:v>
      </x:c>
      <x:c r="AL101" s="601" t="n">
        <x:f>IF(AK101="","",COUNTIFS($A$19:$A$186,A101,$AP$19:$AP$186,"Yes",$E$19:$E$186,"&gt;0",$AK$19:$AK$186,"&gt;"&amp;AK101)+COUNTIFS($A$19:A101,A101,$AP$19:AP101,"Yes",$E$19:E101,"&gt;0",$AK$19:AK101,AK101))</x:f>
        <x:v>13</x:v>
      </x:c>
      <x:c r="AM101" s="601" t="n">
        <x:f>IF(AC101="","",AC101*'Specialisation Rankings'!$O$18+AF101*'Specialisation Rankings'!$O$19+AI101*'Specialisation Rankings'!$O$20+AK101*'Specialisation Rankings'!$O$21)</x:f>
        <x:v>40.12953712953713</x:v>
      </x:c>
      <x:c r="AN101" s="601" t="n">
        <x:f>IF(AM101="","",COUNTIFS($A$19:$A$186,A101,$AP$19:$AP$186,"Yes",$E$19:$E$186,"&gt;0",$AM$19:$AM$186,"&gt;"&amp;AM101)+COUNTIFS($A$19:A101,A101,$AP$19:AP101,"Yes",$E$19:E101,"&gt;0",$AM$19:AM101,AM101))</x:f>
        <x:v>12</x:v>
      </x:c>
      <x:c r="AO101" s="601" t="n">
        <x:f>IF(AM101="","",COUNTIFS($AP$19:$AP$186,"Yes",$E$19:$E$186,"&gt;0",$AM$19:$AM$186,"&gt;"&amp;AM101)+COUNTIFS($AP$19:AP101,"Yes",$E$19:E101,"&gt;0",$AM$19:AM101,AM101))</x:f>
        <x:v>96</x:v>
      </x:c>
      <x:c r="AP101" s="602" t="str">
        <x:f>IF(COUNTIFS('Player Scenario Model'!$A$6:$A$172,A101,'Player Scenario Model'!$B$6:$B$172,B101)&gt;0,"Yes","No")</x:f>
        <x:v>Yes</x:v>
      </x:c>
    </x:row>
    <x:row r="102" ht="24" customHeight="1">
      <x:c r="A102" s="430" t="str">
        <x:v>K138</x:v>
      </x:c>
      <x:c r="B102" s="430" t="str">
        <x:v>(RaW)PPP_253</x:v>
      </x:c>
      <x:c r="C102" s="431" t="n">
        <x:f>COUNTIFS('Specialisations'!$A$6:$A$527,A102,'Specialisations'!$B$6:$B$527,B102)</x:f>
        <x:v>2</x:v>
      </x:c>
      <x:c r="D102" s="431" t="n">
        <x:f>COUNTIFS('Specialisations'!$A$6:$A$527,A102,'Specialisations'!$B$6:$B$527,B102,'Specialisations'!$P$6:$P$527,"OK")</x:f>
        <x:v>2</x:v>
      </x:c>
      <x:c r="E102" s="431" t="n">
        <x:f>COUNTIFS('Specialisations'!$A$6:$A$527,A102,'Specialisations'!$B$6:$B$527,B102,'Specialisations'!$P$6:$P$527,"OK",'Specialisations'!$C$6:$C$527,"&lt;&gt;Guards")</x:f>
        <x:v>1</x:v>
      </x:c>
      <x:c r="F102" s="432" t="n">
        <x:f>IF(C102=0,"",D102/C102)</x:f>
        <x:v>1</x:v>
      </x:c>
      <x:c r="G102" s="495" t="n">
        <x:f>SUMIFS('Specialisations'!$Q$6:$Q$527,'Specialisations'!$A$6:$A$527,A102,'Specialisations'!$B$6:$B$527,B102,'Specialisations'!$C$6:$C$527,"Guards")</x:f>
        <x:v>-41.98</x:v>
      </x:c>
      <x:c r="H102" s="495" t="n">
        <x:f>SUMIFS('Specialisations'!$Q$6:$Q$527,'Specialisations'!$A$6:$A$527,A102,'Specialisations'!$B$6:$B$527,B102,'Specialisations'!$C$6:$C$527,"Archers")</x:f>
        <x:v>41.98</x:v>
      </x:c>
      <x:c r="I102" s="495" t="n">
        <x:f>SUMIFS('Specialisations'!$Q$6:$Q$527,'Specialisations'!$A$6:$A$527,A102,'Specialisations'!$B$6:$B$527,B102,'Specialisations'!$C$6:$C$527,"Cavalry")</x:f>
        <x:v>0</x:v>
      </x:c>
      <x:c r="J102" s="495" t="n">
        <x:f>SUMIFS('Specialisations'!$Q$6:$Q$527,'Specialisations'!$A$6:$A$527,A102,'Specialisations'!$B$6:$B$527,B102,'Specialisations'!$C$6:$C$527,"Siege")</x:f>
        <x:v>0</x:v>
      </x:c>
      <x:c r="K102" s="495" t="n">
        <x:f>SUM(H102:J102)</x:f>
        <x:v>41.98</x:v>
      </x:c>
      <x:c r="L102" s="495" t="n">
        <x:f>SUM(G102,K102)</x:f>
        <x:v>0</x:v>
      </x:c>
      <x:c r="M102" s="433" t="n">
        <x:f>SUMIFS('Specialisations'!$N$6:$N$527,'Specialisations'!$A$6:$A$527,A102,'Specialisations'!$B$6:$B$527,B102,'Specialisations'!$C$6:$C$527,"Guards")</x:f>
        <x:v>4284300</x:v>
      </x:c>
      <x:c r="N102" s="433" t="n">
        <x:f>SUMIFS('Specialisations'!$N$6:$N$527,'Specialisations'!$A$6:$A$527,A102,'Specialisations'!$B$6:$B$527,B102,'Specialisations'!$C$6:$C$527,"&lt;&gt;Guards")</x:f>
        <x:v>4284300</x:v>
      </x:c>
      <x:c r="O102" s="433" t="n">
        <x:f>SUM(M102:N102)</x:f>
        <x:v>8568600</x:v>
      </x:c>
      <x:c r="P102" s="434" t="n">
        <x:f>IF(E102=0,"",K102/E102)</x:f>
        <x:v>41.98</x:v>
      </x:c>
      <x:c r="Q102" s="501" t="n">
        <x:f>IF(E102=0,"",IFERROR(100*(COUNTIFS($E$19:$E$186,"&gt;0",$K$19:$K$186,"&lt;"&amp;K102)+(COUNTIFS($E$19:$E$186,"&gt;0",$K$19:$K$186,K102)-1)/2)/(COUNTIF($E$19:$E$186,"&gt;0")-1),50))</x:f>
        <x:v>6.818181818181818</x:v>
      </x:c>
      <x:c r="R102" s="501" t="n">
        <x:f>IF(E102=0,"",IFERROR(100*(COUNTIFS($E$19:$E$186,"&gt;0",$N$19:$N$186,"&lt;"&amp;N102)+(COUNTIFS($E$19:$E$186,"&gt;0",$N$19:$N$186,N102)-1)/2)/(COUNTIF($E$19:$E$186,"&gt;0")-1),50))</x:f>
        <x:v>8.116883116883116</x:v>
      </x:c>
      <x:c r="S102" s="501" t="n">
        <x:f>IF(E102=0,"",Q102*$R$5+R102*$R$6)</x:f>
        <x:v>7.077922077922078</x:v>
      </x:c>
      <x:c r="T102" s="501" t="n">
        <x:f>IF(M102=0,"",IFERROR(100*(COUNTIFS($M$19:$M$186,"&gt;0",$G$19:$G$186,"&gt;"&amp;G102)+(COUNTIFS($M$19:$M$186,"&gt;0",$G$19:$G$186,G102)-1)/2)/(COUNTIF($M$19:$M$186,"&gt;0")-1),50))</x:f>
        <x:v>60.256410256410255</x:v>
      </x:c>
      <x:c r="U102" s="501" t="n">
        <x:f>IF(M102=0,"",IFERROR(100*(COUNTIFS($M$19:$M$186,"&gt;0",$M$19:$M$186,"&lt;"&amp;M102)+(COUNTIFS($M$19:$M$186,"&gt;0",$M$19:$M$186,M102)-1)/2)/(COUNTIF($M$19:$M$186,"&gt;0")-1),50))</x:f>
        <x:v>60.256410256410255</x:v>
      </x:c>
      <x:c r="V102" s="501" t="n">
        <x:f>IF(M102=0,"",T102*$R$5+U102*$R$6)</x:f>
        <x:v>60.25641025641025</x:v>
      </x:c>
      <x:c r="W102" s="431" t="n">
        <x:f>IF(E102=0,"",COUNTIFS($A$19:$A$186,A102,$S$19:$S$186,"&gt;"&amp;S102)+COUNTIFS($A$19:A102,A102,$E$19:E102,"&gt;0",$S$19:S102,S102))</x:f>
        <x:v>20</x:v>
      </x:c>
      <x:c r="X102" s="431" t="n">
        <x:f>IF(S102="","",1+COUNTIF($S$19:$S$186,"&gt;"&amp;S102))</x:f>
        <x:v>144</x:v>
      </x:c>
      <x:c r="Y102" s="431" t="n">
        <x:f>IF(V102="","",1+COUNTIFS($A$19:$A$186,A102,$V$19:$V$186,"&gt;"&amp;V102))</x:f>
        <x:v>10</x:v>
      </x:c>
      <x:c r="Z102" s="431" t="n">
        <x:f>IF(V102="","",1+COUNTIF($V$19:$V$186,"&gt;"&amp;V102))</x:f>
        <x:v>35</x:v>
      </x:c>
      <x:c r="AA102" s="430" t="str">
        <x:f>IF(C102=0,"No specialisations recorded",IF(D102&lt;C102,"Review missing level","Recorded skills only"))</x:f>
        <x:v>Recorded skills only</x:v>
      </x:c>
      <x:c r="AB102" s="601" t="n">
        <x:f>IF(OR(AP102&lt;&gt;"Yes",E102=0),"",IFERROR(100*(COUNTIFS($AP$19:$AP$186,"Yes",$E$19:$E$186,"&gt;0",$I$19:$I$186,"&lt;"&amp;I102)+(COUNTIFS($AP$19:$AP$186,"Yes",$E$19:$E$186,"&gt;0",$I$19:$I$186,I102)-1)/2)/(COUNTIFS($AP$19:$AP$186,"Yes",$E$19:$E$186,"&gt;0")-1),50))</x:f>
        <x:v>10.38961038961039</x:v>
      </x:c>
      <x:c r="AC102" s="601" t="n">
        <x:f>IF(AB102="","",AB102*'Specialisation Rankings'!$O$16+R102*'Specialisation Rankings'!$O$17)</x:f>
        <x:v>9.935064935064936</x:v>
      </x:c>
      <x:c r="AD102" s="601" t="n">
        <x:f>IF(AC102="","",COUNTIFS($A$19:$A$186,A102,$AP$19:$AP$186,"Yes",$E$19:$E$186,"&gt;0",$AC$19:$AC$186,"&gt;"&amp;AC102)+COUNTIFS($A$19:A102,A102,$AP$19:AP102,"Yes",$E$19:E102,"&gt;0",$AC$19:AC102,AC102))</x:f>
        <x:v>22</x:v>
      </x:c>
      <x:c r="AE102" s="601" t="n">
        <x:f>IF(OR(AP102&lt;&gt;"Yes",E102=0),"",IFERROR(100*(COUNTIFS($AP$19:$AP$186,"Yes",$E$19:$E$186,"&gt;0",$H$19:$H$186,"&lt;"&amp;H102)+(COUNTIFS($AP$19:$AP$186,"Yes",$E$19:$E$186,"&gt;0",$H$19:$H$186,H102)-1)/2)/(COUNTIFS($AP$19:$AP$186,"Yes",$E$19:$E$186,"&gt;0")-1),50))</x:f>
        <x:v>68.50649350649351</x:v>
      </x:c>
      <x:c r="AF102" s="601" t="n">
        <x:f>IF(AE102="","",AE102*'Specialisation Rankings'!$O$16+R102*'Specialisation Rankings'!$O$17)</x:f>
        <x:v>56.42857142857144</x:v>
      </x:c>
      <x:c r="AG102" s="601" t="n">
        <x:f>IF(AF102="","",COUNTIFS($A$19:$A$186,A102,$AP$19:$AP$186,"Yes",$E$19:$E$186,"&gt;0",$AF$19:$AF$186,"&gt;"&amp;AF102)+COUNTIFS($A$19:A102,A102,$AP$19:AP102,"Yes",$E$19:E102,"&gt;0",$AF$19:AF102,AF102))</x:f>
        <x:v>10</x:v>
      </x:c>
      <x:c r="AH102" s="601" t="n">
        <x:f>IF(OR(AP102&lt;&gt;"Yes",E102=0),"",IFERROR(100*(COUNTIFS($AP$19:$AP$186,"Yes",$E$19:$E$186,"&gt;0",$J$19:$J$186,"&lt;"&amp;J102)+(COUNTIFS($AP$19:$AP$186,"Yes",$E$19:$E$186,"&gt;0",$J$19:$J$186,J102)-1)/2)/(COUNTIFS($AP$19:$AP$186,"Yes",$E$19:$E$186,"&gt;0")-1),50))</x:f>
        <x:v>33.116883116883116</x:v>
      </x:c>
      <x:c r="AI102" s="601" t="n">
        <x:f>IF(AH102="","",AH102*'Specialisation Rankings'!$O$16+R102*'Specialisation Rankings'!$O$17)</x:f>
        <x:v>28.116883116883116</x:v>
      </x:c>
      <x:c r="AJ102" s="601" t="n">
        <x:f>IF(AI102="","",COUNTIFS($A$19:$A$186,A102,$AP$19:$AP$186,"Yes",$E$19:$E$186,"&gt;0",$AI$19:$AI$186,"&gt;"&amp;AI102)+COUNTIFS($A$19:A102,A102,$AP$19:AP102,"Yes",$E$19:E102,"&gt;0",$AI$19:AI102,AI102))</x:f>
        <x:v>19</x:v>
      </x:c>
      <x:c r="AK102" s="601" t="n">
        <x:f>IF(OR(AP102&lt;&gt;"Yes",E102=0),"",IF(M102=0,'Specialisation Rankings'!$O$23,V102))</x:f>
        <x:v>60.25641025641025</x:v>
      </x:c>
      <x:c r="AL102" s="601" t="n">
        <x:f>IF(AK102="","",COUNTIFS($A$19:$A$186,A102,$AP$19:$AP$186,"Yes",$E$19:$E$186,"&gt;0",$AK$19:$AK$186,"&gt;"&amp;AK102)+COUNTIFS($A$19:A102,A102,$AP$19:AP102,"Yes",$E$19:E102,"&gt;0",$AK$19:AK102,AK102))</x:f>
        <x:v>14</x:v>
      </x:c>
      <x:c r="AM102" s="601" t="n">
        <x:f>IF(AC102="","",AC102*'Specialisation Rankings'!$O$18+AF102*'Specialisation Rankings'!$O$19+AI102*'Specialisation Rankings'!$O$20+AK102*'Specialisation Rankings'!$O$21)</x:f>
        <x:v>22.343822843822846</x:v>
      </x:c>
      <x:c r="AN102" s="601" t="n">
        <x:f>IF(AM102="","",COUNTIFS($A$19:$A$186,A102,$AP$19:$AP$186,"Yes",$E$19:$E$186,"&gt;0",$AM$19:$AM$186,"&gt;"&amp;AM102)+COUNTIFS($A$19:A102,A102,$AP$19:AP102,"Yes",$E$19:E102,"&gt;0",$AM$19:AM102,AM102))</x:f>
        <x:v>22</x:v>
      </x:c>
      <x:c r="AO102" s="601" t="n">
        <x:f>IF(AM102="","",COUNTIFS($AP$19:$AP$186,"Yes",$E$19:$E$186,"&gt;0",$AM$19:$AM$186,"&gt;"&amp;AM102)+COUNTIFS($AP$19:AP102,"Yes",$E$19:E102,"&gt;0",$AM$19:AM102,AM102))</x:f>
        <x:v>143</x:v>
      </x:c>
      <x:c r="AP102" s="602" t="str">
        <x:f>IF(COUNTIFS('Player Scenario Model'!$A$6:$A$172,A102,'Player Scenario Model'!$B$6:$B$172,B102)&gt;0,"Yes","No")</x:f>
        <x:v>Yes</x:v>
      </x:c>
    </x:row>
    <x:row r="103" ht="24" customHeight="1">
      <x:c r="A103" s="430" t="str">
        <x:v>K138</x:v>
      </x:c>
      <x:c r="B103" s="430" t="str">
        <x:v>(RaW)GoŁΛ</x:v>
      </x:c>
      <x:c r="C103" s="431" t="n">
        <x:f>COUNTIFS('Specialisations'!$A$6:$A$527,A103,'Specialisations'!$B$6:$B$527,B103)</x:f>
        <x:v>2</x:v>
      </x:c>
      <x:c r="D103" s="431" t="n">
        <x:f>COUNTIFS('Specialisations'!$A$6:$A$527,A103,'Specialisations'!$B$6:$B$527,B103,'Specialisations'!$P$6:$P$527,"OK")</x:f>
        <x:v>2</x:v>
      </x:c>
      <x:c r="E103" s="431" t="n">
        <x:f>COUNTIFS('Specialisations'!$A$6:$A$527,A103,'Specialisations'!$B$6:$B$527,B103,'Specialisations'!$P$6:$P$527,"OK",'Specialisations'!$C$6:$C$527,"&lt;&gt;Guards")</x:f>
        <x:v>1</x:v>
      </x:c>
      <x:c r="F103" s="432" t="n">
        <x:f>IF(C103=0,"",D103/C103)</x:f>
        <x:v>1</x:v>
      </x:c>
      <x:c r="G103" s="495" t="n">
        <x:f>SUMIFS('Specialisations'!$Q$6:$Q$527,'Specialisations'!$A$6:$A$527,A103,'Specialisations'!$B$6:$B$527,B103,'Specialisations'!$C$6:$C$527,"Guards")</x:f>
        <x:v>-35.98</x:v>
      </x:c>
      <x:c r="H103" s="495" t="n">
        <x:f>SUMIFS('Specialisations'!$Q$6:$Q$527,'Specialisations'!$A$6:$A$527,A103,'Specialisations'!$B$6:$B$527,B103,'Specialisations'!$C$6:$C$527,"Archers")</x:f>
        <x:v>41.98</x:v>
      </x:c>
      <x:c r="I103" s="495" t="n">
        <x:f>SUMIFS('Specialisations'!$Q$6:$Q$527,'Specialisations'!$A$6:$A$527,A103,'Specialisations'!$B$6:$B$527,B103,'Specialisations'!$C$6:$C$527,"Cavalry")</x:f>
        <x:v>0</x:v>
      </x:c>
      <x:c r="J103" s="495" t="n">
        <x:f>SUMIFS('Specialisations'!$Q$6:$Q$527,'Specialisations'!$A$6:$A$527,A103,'Specialisations'!$B$6:$B$527,B103,'Specialisations'!$C$6:$C$527,"Siege")</x:f>
        <x:v>0</x:v>
      </x:c>
      <x:c r="K103" s="495" t="n">
        <x:f>SUM(H103:J103)</x:f>
        <x:v>41.98</x:v>
      </x:c>
      <x:c r="L103" s="495" t="n">
        <x:f>SUM(G103,K103)</x:f>
        <x:v>6</x:v>
      </x:c>
      <x:c r="M103" s="433" t="n">
        <x:f>SUMIFS('Specialisations'!$N$6:$N$527,'Specialisations'!$A$6:$A$527,A103,'Specialisations'!$B$6:$B$527,B103,'Specialisations'!$C$6:$C$527,"Guards")</x:f>
        <x:v>3244300</x:v>
      </x:c>
      <x:c r="N103" s="433" t="n">
        <x:f>SUMIFS('Specialisations'!$N$6:$N$527,'Specialisations'!$A$6:$A$527,A103,'Specialisations'!$B$6:$B$527,B103,'Specialisations'!$C$6:$C$527,"&lt;&gt;Guards")</x:f>
        <x:v>4284300</x:v>
      </x:c>
      <x:c r="O103" s="433" t="n">
        <x:f>SUM(M103:N103)</x:f>
        <x:v>7528600</x:v>
      </x:c>
      <x:c r="P103" s="434" t="n">
        <x:f>IF(E103=0,"",K103/E103)</x:f>
        <x:v>41.98</x:v>
      </x:c>
      <x:c r="Q103" s="501" t="n">
        <x:f>IF(E103=0,"",IFERROR(100*(COUNTIFS($E$19:$E$186,"&gt;0",$K$19:$K$186,"&lt;"&amp;K103)+(COUNTIFS($E$19:$E$186,"&gt;0",$K$19:$K$186,K103)-1)/2)/(COUNTIF($E$19:$E$186,"&gt;0")-1),50))</x:f>
        <x:v>6.818181818181818</x:v>
      </x:c>
      <x:c r="R103" s="501" t="n">
        <x:f>IF(E103=0,"",IFERROR(100*(COUNTIFS($E$19:$E$186,"&gt;0",$N$19:$N$186,"&lt;"&amp;N103)+(COUNTIFS($E$19:$E$186,"&gt;0",$N$19:$N$186,N103)-1)/2)/(COUNTIF($E$19:$E$186,"&gt;0")-1),50))</x:f>
        <x:v>8.116883116883116</x:v>
      </x:c>
      <x:c r="S103" s="501" t="n">
        <x:f>IF(E103=0,"",Q103*$R$5+R103*$R$6)</x:f>
        <x:v>7.077922077922078</x:v>
      </x:c>
      <x:c r="T103" s="501" t="n">
        <x:f>IF(M103=0,"",IFERROR(100*(COUNTIFS($M$19:$M$186,"&gt;0",$G$19:$G$186,"&gt;"&amp;G103)+(COUNTIFS($M$19:$M$186,"&gt;0",$G$19:$G$186,G103)-1)/2)/(COUNTIF($M$19:$M$186,"&gt;0")-1),50))</x:f>
        <x:v>46.58119658119658</x:v>
      </x:c>
      <x:c r="U103" s="501" t="n">
        <x:f>IF(M103=0,"",IFERROR(100*(COUNTIFS($M$19:$M$186,"&gt;0",$M$19:$M$186,"&lt;"&amp;M103)+(COUNTIFS($M$19:$M$186,"&gt;0",$M$19:$M$186,M103)-1)/2)/(COUNTIF($M$19:$M$186,"&gt;0")-1),50))</x:f>
        <x:v>46.58119658119658</x:v>
      </x:c>
      <x:c r="V103" s="501" t="n">
        <x:f>IF(M103=0,"",T103*$R$5+U103*$R$6)</x:f>
        <x:v>46.58119658119658</x:v>
      </x:c>
      <x:c r="W103" s="431" t="n">
        <x:f>IF(E103=0,"",COUNTIFS($A$19:$A$186,A103,$S$19:$S$186,"&gt;"&amp;S103)+COUNTIFS($A$19:A103,A103,$E$19:E103,"&gt;0",$S$19:S103,S103))</x:f>
        <x:v>21</x:v>
      </x:c>
      <x:c r="X103" s="431" t="n">
        <x:f>IF(S103="","",1+COUNTIF($S$19:$S$186,"&gt;"&amp;S103))</x:f>
        <x:v>144</x:v>
      </x:c>
      <x:c r="Y103" s="431" t="n">
        <x:f>IF(V103="","",1+COUNTIFS($A$19:$A$186,A103,$V$19:$V$186,"&gt;"&amp;V103))</x:f>
        <x:v>16</x:v>
      </x:c>
      <x:c r="Z103" s="431" t="n">
        <x:f>IF(V103="","",1+COUNTIF($V$19:$V$186,"&gt;"&amp;V103))</x:f>
        <x:v>63</x:v>
      </x:c>
      <x:c r="AA103" s="430" t="str">
        <x:f>IF(C103=0,"No specialisations recorded",IF(D103&lt;C103,"Review missing level","Recorded skills only"))</x:f>
        <x:v>Recorded skills only</x:v>
      </x:c>
      <x:c r="AB103" s="601" t="n">
        <x:f>IF(OR(AP103&lt;&gt;"Yes",E103=0),"",IFERROR(100*(COUNTIFS($AP$19:$AP$186,"Yes",$E$19:$E$186,"&gt;0",$I$19:$I$186,"&lt;"&amp;I103)+(COUNTIFS($AP$19:$AP$186,"Yes",$E$19:$E$186,"&gt;0",$I$19:$I$186,I103)-1)/2)/(COUNTIFS($AP$19:$AP$186,"Yes",$E$19:$E$186,"&gt;0")-1),50))</x:f>
        <x:v>10.38961038961039</x:v>
      </x:c>
      <x:c r="AC103" s="601" t="n">
        <x:f>IF(AB103="","",AB103*'Specialisation Rankings'!$O$16+R103*'Specialisation Rankings'!$O$17)</x:f>
        <x:v>9.935064935064936</x:v>
      </x:c>
      <x:c r="AD103" s="601" t="n">
        <x:f>IF(AC103="","",COUNTIFS($A$19:$A$186,A103,$AP$19:$AP$186,"Yes",$E$19:$E$186,"&gt;0",$AC$19:$AC$186,"&gt;"&amp;AC103)+COUNTIFS($A$19:A103,A103,$AP$19:AP103,"Yes",$E$19:E103,"&gt;0",$AC$19:AC103,AC103))</x:f>
        <x:v>23</x:v>
      </x:c>
      <x:c r="AE103" s="601" t="n">
        <x:f>IF(OR(AP103&lt;&gt;"Yes",E103=0),"",IFERROR(100*(COUNTIFS($AP$19:$AP$186,"Yes",$E$19:$E$186,"&gt;0",$H$19:$H$186,"&lt;"&amp;H103)+(COUNTIFS($AP$19:$AP$186,"Yes",$E$19:$E$186,"&gt;0",$H$19:$H$186,H103)-1)/2)/(COUNTIFS($AP$19:$AP$186,"Yes",$E$19:$E$186,"&gt;0")-1),50))</x:f>
        <x:v>68.50649350649351</x:v>
      </x:c>
      <x:c r="AF103" s="601" t="n">
        <x:f>IF(AE103="","",AE103*'Specialisation Rankings'!$O$16+R103*'Specialisation Rankings'!$O$17)</x:f>
        <x:v>56.42857142857144</x:v>
      </x:c>
      <x:c r="AG103" s="601" t="n">
        <x:f>IF(AF103="","",COUNTIFS($A$19:$A$186,A103,$AP$19:$AP$186,"Yes",$E$19:$E$186,"&gt;0",$AF$19:$AF$186,"&gt;"&amp;AF103)+COUNTIFS($A$19:A103,A103,$AP$19:AP103,"Yes",$E$19:E103,"&gt;0",$AF$19:AF103,AF103))</x:f>
        <x:v>11</x:v>
      </x:c>
      <x:c r="AH103" s="601" t="n">
        <x:f>IF(OR(AP103&lt;&gt;"Yes",E103=0),"",IFERROR(100*(COUNTIFS($AP$19:$AP$186,"Yes",$E$19:$E$186,"&gt;0",$J$19:$J$186,"&lt;"&amp;J103)+(COUNTIFS($AP$19:$AP$186,"Yes",$E$19:$E$186,"&gt;0",$J$19:$J$186,J103)-1)/2)/(COUNTIFS($AP$19:$AP$186,"Yes",$E$19:$E$186,"&gt;0")-1),50))</x:f>
        <x:v>33.116883116883116</x:v>
      </x:c>
      <x:c r="AI103" s="601" t="n">
        <x:f>IF(AH103="","",AH103*'Specialisation Rankings'!$O$16+R103*'Specialisation Rankings'!$O$17)</x:f>
        <x:v>28.116883116883116</x:v>
      </x:c>
      <x:c r="AJ103" s="601" t="n">
        <x:f>IF(AI103="","",COUNTIFS($A$19:$A$186,A103,$AP$19:$AP$186,"Yes",$E$19:$E$186,"&gt;0",$AI$19:$AI$186,"&gt;"&amp;AI103)+COUNTIFS($A$19:A103,A103,$AP$19:AP103,"Yes",$E$19:E103,"&gt;0",$AI$19:AI103,AI103))</x:f>
        <x:v>20</x:v>
      </x:c>
      <x:c r="AK103" s="601" t="n">
        <x:f>IF(OR(AP103&lt;&gt;"Yes",E103=0),"",IF(M103=0,'Specialisation Rankings'!$O$23,V103))</x:f>
        <x:v>46.58119658119658</x:v>
      </x:c>
      <x:c r="AL103" s="601" t="n">
        <x:f>IF(AK103="","",COUNTIFS($A$19:$A$186,A103,$AP$19:$AP$186,"Yes",$E$19:$E$186,"&gt;0",$AK$19:$AK$186,"&gt;"&amp;AK103)+COUNTIFS($A$19:A103,A103,$AP$19:AP103,"Yes",$E$19:E103,"&gt;0",$AK$19:AK103,AK103))</x:f>
        <x:v>20</x:v>
      </x:c>
      <x:c r="AM103" s="601" t="n">
        <x:f>IF(AC103="","",AC103*'Specialisation Rankings'!$O$18+AF103*'Specialisation Rankings'!$O$19+AI103*'Specialisation Rankings'!$O$20+AK103*'Specialisation Rankings'!$O$21)</x:f>
        <x:v>20.97630147630148</x:v>
      </x:c>
      <x:c r="AN103" s="601" t="n">
        <x:f>IF(AM103="","",COUNTIFS($A$19:$A$186,A103,$AP$19:$AP$186,"Yes",$E$19:$E$186,"&gt;0",$AM$19:$AM$186,"&gt;"&amp;AM103)+COUNTIFS($A$19:A103,A103,$AP$19:AP103,"Yes",$E$19:E103,"&gt;0",$AM$19:AM103,AM103))</x:f>
        <x:v>23</x:v>
      </x:c>
      <x:c r="AO103" s="601" t="n">
        <x:f>IF(AM103="","",COUNTIFS($AP$19:$AP$186,"Yes",$E$19:$E$186,"&gt;0",$AM$19:$AM$186,"&gt;"&amp;AM103)+COUNTIFS($AP$19:AP103,"Yes",$E$19:E103,"&gt;0",$AM$19:AM103,AM103))</x:f>
        <x:v>147</x:v>
      </x:c>
      <x:c r="AP103" s="602" t="str">
        <x:f>IF(COUNTIFS('Player Scenario Model'!$A$6:$A$172,A103,'Player Scenario Model'!$B$6:$B$172,B103)&gt;0,"Yes","No")</x:f>
        <x:v>Yes</x:v>
      </x:c>
    </x:row>
    <x:row r="104" ht="24" customHeight="1">
      <x:c r="A104" s="430" t="str">
        <x:v>K138</x:v>
      </x:c>
      <x:c r="B104" s="430" t="str">
        <x:v>(RaW)Baqi</x:v>
      </x:c>
      <x:c r="C104" s="431" t="n">
        <x:f>COUNTIFS('Specialisations'!$A$6:$A$527,A104,'Specialisations'!$B$6:$B$527,B104)</x:f>
        <x:v>3</x:v>
      </x:c>
      <x:c r="D104" s="431" t="n">
        <x:f>COUNTIFS('Specialisations'!$A$6:$A$527,A104,'Specialisations'!$B$6:$B$527,B104,'Specialisations'!$P$6:$P$527,"OK")</x:f>
        <x:v>3</x:v>
      </x:c>
      <x:c r="E104" s="431" t="n">
        <x:f>COUNTIFS('Specialisations'!$A$6:$A$527,A104,'Specialisations'!$B$6:$B$527,B104,'Specialisations'!$P$6:$P$527,"OK",'Specialisations'!$C$6:$C$527,"&lt;&gt;Guards")</x:f>
        <x:v>2</x:v>
      </x:c>
      <x:c r="F104" s="432" t="n">
        <x:f>IF(C104=0,"",D104/C104)</x:f>
        <x:v>1</x:v>
      </x:c>
      <x:c r="G104" s="495" t="n">
        <x:f>SUMIFS('Specialisations'!$Q$6:$Q$527,'Specialisations'!$A$6:$A$527,A104,'Specialisations'!$B$6:$B$527,B104,'Specialisations'!$C$6:$C$527,"Guards")</x:f>
        <x:v>-33.13</x:v>
      </x:c>
      <x:c r="H104" s="495" t="n">
        <x:f>SUMIFS('Specialisations'!$Q$6:$Q$527,'Specialisations'!$A$6:$A$527,A104,'Specialisations'!$B$6:$B$527,B104,'Specialisations'!$C$6:$C$527,"Archers")</x:f>
        <x:v>55.2</x:v>
      </x:c>
      <x:c r="I104" s="495" t="n">
        <x:f>SUMIFS('Specialisations'!$Q$6:$Q$527,'Specialisations'!$A$6:$A$527,A104,'Specialisations'!$B$6:$B$527,B104,'Specialisations'!$C$6:$C$527,"Cavalry")</x:f>
        <x:v>27.74</x:v>
      </x:c>
      <x:c r="J104" s="495" t="n">
        <x:f>SUMIFS('Specialisations'!$Q$6:$Q$527,'Specialisations'!$A$6:$A$527,A104,'Specialisations'!$B$6:$B$527,B104,'Specialisations'!$C$6:$C$527,"Siege")</x:f>
        <x:v>0</x:v>
      </x:c>
      <x:c r="K104" s="495" t="n">
        <x:f>SUM(H104:J104)</x:f>
        <x:v>82.94</x:v>
      </x:c>
      <x:c r="L104" s="495" t="n">
        <x:f>SUM(G104,K104)</x:f>
        <x:v>49.809999999999995</x:v>
      </x:c>
      <x:c r="M104" s="433" t="n">
        <x:f>SUMIFS('Specialisations'!$N$6:$N$527,'Specialisations'!$A$6:$A$527,A104,'Specialisations'!$B$6:$B$527,B104,'Specialisations'!$C$6:$C$527,"Guards")</x:f>
        <x:v>2844300</x:v>
      </x:c>
      <x:c r="N104" s="433" t="n">
        <x:f>SUMIFS('Specialisations'!$N$6:$N$527,'Specialisations'!$A$6:$A$527,A104,'Specialisations'!$B$6:$B$527,B104,'Specialisations'!$C$6:$C$527,"&lt;&gt;Guards")</x:f>
        <x:v>10578600</x:v>
      </x:c>
      <x:c r="O104" s="433" t="n">
        <x:f>SUM(M104:N104)</x:f>
        <x:v>13422900</x:v>
      </x:c>
      <x:c r="P104" s="434" t="n">
        <x:f>IF(E104=0,"",K104/E104)</x:f>
        <x:v>41.47</x:v>
      </x:c>
      <x:c r="Q104" s="501" t="n">
        <x:f>IF(E104=0,"",IFERROR(100*(COUNTIFS($E$19:$E$186,"&gt;0",$K$19:$K$186,"&lt;"&amp;K104)+(COUNTIFS($E$19:$E$186,"&gt;0",$K$19:$K$186,K104)-1)/2)/(COUNTIF($E$19:$E$186,"&gt;0")-1),50))</x:f>
        <x:v>42.20779220779221</x:v>
      </x:c>
      <x:c r="R104" s="501" t="n">
        <x:f>IF(E104=0,"",IFERROR(100*(COUNTIFS($E$19:$E$186,"&gt;0",$N$19:$N$186,"&lt;"&amp;N104)+(COUNTIFS($E$19:$E$186,"&gt;0",$N$19:$N$186,N104)-1)/2)/(COUNTIF($E$19:$E$186,"&gt;0")-1),50))</x:f>
        <x:v>55.1948051948052</x:v>
      </x:c>
      <x:c r="S104" s="501" t="n">
        <x:f>IF(E104=0,"",Q104*$R$5+R104*$R$6)</x:f>
        <x:v>44.8051948051948</x:v>
      </x:c>
      <x:c r="T104" s="501" t="n">
        <x:f>IF(M104=0,"",IFERROR(100*(COUNTIFS($M$19:$M$186,"&gt;0",$G$19:$G$186,"&gt;"&amp;G104)+(COUNTIFS($M$19:$M$186,"&gt;0",$G$19:$G$186,G104)-1)/2)/(COUNTIF($M$19:$M$186,"&gt;0")-1),50))</x:f>
        <x:v>43.58974358974359</x:v>
      </x:c>
      <x:c r="U104" s="501" t="n">
        <x:f>IF(M104=0,"",IFERROR(100*(COUNTIFS($M$19:$M$186,"&gt;0",$M$19:$M$186,"&lt;"&amp;M104)+(COUNTIFS($M$19:$M$186,"&gt;0",$M$19:$M$186,M104)-1)/2)/(COUNTIF($M$19:$M$186,"&gt;0")-1),50))</x:f>
        <x:v>43.58974358974359</x:v>
      </x:c>
      <x:c r="V104" s="501" t="n">
        <x:f>IF(M104=0,"",T104*$R$5+U104*$R$6)</x:f>
        <x:v>43.58974358974359</x:v>
      </x:c>
      <x:c r="W104" s="431" t="n">
        <x:f>IF(E104=0,"",COUNTIFS($A$19:$A$186,A104,$S$19:$S$186,"&gt;"&amp;S104)+COUNTIFS($A$19:A104,A104,$E$19:E104,"&gt;0",$S$19:S104,S104))</x:f>
        <x:v>11</x:v>
      </x:c>
      <x:c r="X104" s="431" t="n">
        <x:f>IF(S104="","",1+COUNTIF($S$19:$S$186,"&gt;"&amp;S104))</x:f>
        <x:v>87</x:v>
      </x:c>
      <x:c r="Y104" s="431" t="n">
        <x:f>IF(V104="","",1+COUNTIFS($A$19:$A$186,A104,$V$19:$V$186,"&gt;"&amp;V104))</x:f>
        <x:v>17</x:v>
      </x:c>
      <x:c r="Z104" s="431" t="n">
        <x:f>IF(V104="","",1+COUNTIF($V$19:$V$186,"&gt;"&amp;V104))</x:f>
        <x:v>65</x:v>
      </x:c>
      <x:c r="AA104" s="430" t="str">
        <x:f>IF(C104=0,"No specialisations recorded",IF(D104&lt;C104,"Review missing level","Recorded skills only"))</x:f>
        <x:v>Recorded skills only</x:v>
      </x:c>
      <x:c r="AB104" s="601" t="n">
        <x:f>IF(OR(AP104&lt;&gt;"Yes",E104=0),"",IFERROR(100*(COUNTIFS($AP$19:$AP$186,"Yes",$E$19:$E$186,"&gt;0",$I$19:$I$186,"&lt;"&amp;I104)+(COUNTIFS($AP$19:$AP$186,"Yes",$E$19:$E$186,"&gt;0",$I$19:$I$186,I104)-1)/2)/(COUNTIFS($AP$19:$AP$186,"Yes",$E$19:$E$186,"&gt;0")-1),50))</x:f>
        <x:v>26.2987012987013</x:v>
      </x:c>
      <x:c r="AC104" s="601" t="n">
        <x:f>IF(AB104="","",AB104*'Specialisation Rankings'!$O$16+R104*'Specialisation Rankings'!$O$17)</x:f>
        <x:v>32.07792207792208</x:v>
      </x:c>
      <x:c r="AD104" s="601" t="n">
        <x:f>IF(AC104="","",COUNTIFS($A$19:$A$186,A104,$AP$19:$AP$186,"Yes",$E$19:$E$186,"&gt;0",$AC$19:$AC$186,"&gt;"&amp;AC104)+COUNTIFS($A$19:A104,A104,$AP$19:AP104,"Yes",$E$19:E104,"&gt;0",$AC$19:AC104,AC104))</x:f>
        <x:v>14</x:v>
      </x:c>
      <x:c r="AE104" s="601" t="n">
        <x:f>IF(OR(AP104&lt;&gt;"Yes",E104=0),"",IFERROR(100*(COUNTIFS($AP$19:$AP$186,"Yes",$E$19:$E$186,"&gt;0",$H$19:$H$186,"&lt;"&amp;H104)+(COUNTIFS($AP$19:$AP$186,"Yes",$E$19:$E$186,"&gt;0",$H$19:$H$186,H104)-1)/2)/(COUNTIFS($AP$19:$AP$186,"Yes",$E$19:$E$186,"&gt;0")-1),50))</x:f>
        <x:v>82.14285714285714</x:v>
      </x:c>
      <x:c r="AF104" s="601" t="n">
        <x:f>IF(AE104="","",AE104*'Specialisation Rankings'!$O$16+R104*'Specialisation Rankings'!$O$17)</x:f>
        <x:v>76.75324675324674</x:v>
      </x:c>
      <x:c r="AG104" s="601" t="n">
        <x:f>IF(AF104="","",COUNTIFS($A$19:$A$186,A104,$AP$19:$AP$186,"Yes",$E$19:$E$186,"&gt;0",$AF$19:$AF$186,"&gt;"&amp;AF104)+COUNTIFS($A$19:A104,A104,$AP$19:AP104,"Yes",$E$19:E104,"&gt;0",$AF$19:AF104,AF104))</x:f>
        <x:v>1</x:v>
      </x:c>
      <x:c r="AH104" s="601" t="n">
        <x:f>IF(OR(AP104&lt;&gt;"Yes",E104=0),"",IFERROR(100*(COUNTIFS($AP$19:$AP$186,"Yes",$E$19:$E$186,"&gt;0",$J$19:$J$186,"&lt;"&amp;J104)+(COUNTIFS($AP$19:$AP$186,"Yes",$E$19:$E$186,"&gt;0",$J$19:$J$186,J104)-1)/2)/(COUNTIFS($AP$19:$AP$186,"Yes",$E$19:$E$186,"&gt;0")-1),50))</x:f>
        <x:v>33.116883116883116</x:v>
      </x:c>
      <x:c r="AI104" s="601" t="n">
        <x:f>IF(AH104="","",AH104*'Specialisation Rankings'!$O$16+R104*'Specialisation Rankings'!$O$17)</x:f>
        <x:v>37.532467532467535</x:v>
      </x:c>
      <x:c r="AJ104" s="601" t="n">
        <x:f>IF(AI104="","",COUNTIFS($A$19:$A$186,A104,$AP$19:$AP$186,"Yes",$E$19:$E$186,"&gt;0",$AI$19:$AI$186,"&gt;"&amp;AI104)+COUNTIFS($A$19:A104,A104,$AP$19:AP104,"Yes",$E$19:E104,"&gt;0",$AI$19:AI104,AI104))</x:f>
        <x:v>9</x:v>
      </x:c>
      <x:c r="AK104" s="601" t="n">
        <x:f>IF(OR(AP104&lt;&gt;"Yes",E104=0),"",IF(M104=0,'Specialisation Rankings'!$O$23,V104))</x:f>
        <x:v>43.58974358974359</x:v>
      </x:c>
      <x:c r="AL104" s="601" t="n">
        <x:f>IF(AK104="","",COUNTIFS($A$19:$A$186,A104,$AP$19:$AP$186,"Yes",$E$19:$E$186,"&gt;0",$AK$19:$AK$186,"&gt;"&amp;AK104)+COUNTIFS($A$19:A104,A104,$AP$19:AP104,"Yes",$E$19:E104,"&gt;0",$AK$19:AK104,AK104))</x:f>
        <x:v>22</x:v>
      </x:c>
      <x:c r="AM104" s="601" t="n">
        <x:f>IF(AC104="","",AC104*'Specialisation Rankings'!$O$18+AF104*'Specialisation Rankings'!$O$19+AI104*'Specialisation Rankings'!$O$20+AK104*'Specialisation Rankings'!$O$21)</x:f>
        <x:v>38.514818514818515</x:v>
      </x:c>
      <x:c r="AN104" s="601" t="n">
        <x:f>IF(AM104="","",COUNTIFS($A$19:$A$186,A104,$AP$19:$AP$186,"Yes",$E$19:$E$186,"&gt;0",$AM$19:$AM$186,"&gt;"&amp;AM104)+COUNTIFS($A$19:A104,A104,$AP$19:AP104,"Yes",$E$19:E104,"&gt;0",$AM$19:AM104,AM104))</x:f>
        <x:v>13</x:v>
      </x:c>
      <x:c r="AO104" s="601" t="n">
        <x:f>IF(AM104="","",COUNTIFS($AP$19:$AP$186,"Yes",$E$19:$E$186,"&gt;0",$AM$19:$AM$186,"&gt;"&amp;AM104)+COUNTIFS($AP$19:AP104,"Yes",$E$19:E104,"&gt;0",$AM$19:AM104,AM104))</x:f>
        <x:v>98</x:v>
      </x:c>
      <x:c r="AP104" s="602" t="str">
        <x:f>IF(COUNTIFS('Player Scenario Model'!$A$6:$A$172,A104,'Player Scenario Model'!$B$6:$B$172,B104)&gt;0,"Yes","No")</x:f>
        <x:v>Yes</x:v>
      </x:c>
    </x:row>
    <x:row r="105" ht="24" customHeight="1">
      <x:c r="A105" s="430" t="str">
        <x:v>K138</x:v>
      </x:c>
      <x:c r="B105" s="430" t="str">
        <x:v>(RaW)༺飞K༻</x:v>
      </x:c>
      <x:c r="C105" s="431" t="n">
        <x:f>COUNTIFS('Specialisations'!$A$6:$A$527,A105,'Specialisations'!$B$6:$B$527,B105)</x:f>
        <x:v>2</x:v>
      </x:c>
      <x:c r="D105" s="431" t="n">
        <x:f>COUNTIFS('Specialisations'!$A$6:$A$527,A105,'Specialisations'!$B$6:$B$527,B105,'Specialisations'!$P$6:$P$527,"OK")</x:f>
        <x:v>2</x:v>
      </x:c>
      <x:c r="E105" s="431" t="n">
        <x:f>COUNTIFS('Specialisations'!$A$6:$A$527,A105,'Specialisations'!$B$6:$B$527,B105,'Specialisations'!$P$6:$P$527,"OK",'Specialisations'!$C$6:$C$527,"&lt;&gt;Guards")</x:f>
        <x:v>1</x:v>
      </x:c>
      <x:c r="F105" s="432" t="n">
        <x:f>IF(C105=0,"",D105/C105)</x:f>
        <x:v>1</x:v>
      </x:c>
      <x:c r="G105" s="495" t="n">
        <x:f>SUMIFS('Specialisations'!$Q$6:$Q$527,'Specialisations'!$A$6:$A$527,A105,'Specialisations'!$B$6:$B$527,B105,'Specialisations'!$C$6:$C$527,"Guards")</x:f>
        <x:v>-41.98</x:v>
      </x:c>
      <x:c r="H105" s="495" t="n">
        <x:f>SUMIFS('Specialisations'!$Q$6:$Q$527,'Specialisations'!$A$6:$A$527,A105,'Specialisations'!$B$6:$B$527,B105,'Specialisations'!$C$6:$C$527,"Archers")</x:f>
        <x:v>19.17</x:v>
      </x:c>
      <x:c r="I105" s="495" t="n">
        <x:f>SUMIFS('Specialisations'!$Q$6:$Q$527,'Specialisations'!$A$6:$A$527,A105,'Specialisations'!$B$6:$B$527,B105,'Specialisations'!$C$6:$C$527,"Cavalry")</x:f>
        <x:v>0</x:v>
      </x:c>
      <x:c r="J105" s="495" t="n">
        <x:f>SUMIFS('Specialisations'!$Q$6:$Q$527,'Specialisations'!$A$6:$A$527,A105,'Specialisations'!$B$6:$B$527,B105,'Specialisations'!$C$6:$C$527,"Siege")</x:f>
        <x:v>0</x:v>
      </x:c>
      <x:c r="K105" s="495" t="n">
        <x:f>SUM(H105:J105)</x:f>
        <x:v>19.17</x:v>
      </x:c>
      <x:c r="L105" s="495" t="n">
        <x:f>SUM(G105,K105)</x:f>
        <x:v>-22.809999999999995</x:v>
      </x:c>
      <x:c r="M105" s="433" t="n">
        <x:f>SUMIFS('Specialisations'!$N$6:$N$527,'Specialisations'!$A$6:$A$527,A105,'Specialisations'!$B$6:$B$527,B105,'Specialisations'!$C$6:$C$527,"Guards")</x:f>
        <x:v>4284300</x:v>
      </x:c>
      <x:c r="N105" s="433" t="n">
        <x:f>SUMIFS('Specialisations'!$N$6:$N$527,'Specialisations'!$A$6:$A$527,A105,'Specialisations'!$B$6:$B$527,B105,'Specialisations'!$C$6:$C$527,"&lt;&gt;Guards")</x:f>
        <x:v>1464300</x:v>
      </x:c>
      <x:c r="O105" s="433" t="n">
        <x:f>SUM(M105:N105)</x:f>
        <x:v>5748600</x:v>
      </x:c>
      <x:c r="P105" s="434" t="n">
        <x:f>IF(E105=0,"",K105/E105)</x:f>
        <x:v>19.17</x:v>
      </x:c>
      <x:c r="Q105" s="501" t="n">
        <x:f>IF(E105=0,"",IFERROR(100*(COUNTIFS($E$19:$E$186,"&gt;0",$K$19:$K$186,"&lt;"&amp;K105)+(COUNTIFS($E$19:$E$186,"&gt;0",$K$19:$K$186,K105)-1)/2)/(COUNTIF($E$19:$E$186,"&gt;0")-1),50))</x:f>
        <x:v>1.2987012987012987</x:v>
      </x:c>
      <x:c r="R105" s="501" t="n">
        <x:f>IF(E105=0,"",IFERROR(100*(COUNTIFS($E$19:$E$186,"&gt;0",$N$19:$N$186,"&lt;"&amp;N105)+(COUNTIFS($E$19:$E$186,"&gt;0",$N$19:$N$186,N105)-1)/2)/(COUNTIF($E$19:$E$186,"&gt;0")-1),50))</x:f>
        <x:v>1.2987012987012987</x:v>
      </x:c>
      <x:c r="S105" s="501" t="n">
        <x:f>IF(E105=0,"",Q105*$R$5+R105*$R$6)</x:f>
        <x:v>1.2987012987012987</x:v>
      </x:c>
      <x:c r="T105" s="501" t="n">
        <x:f>IF(M105=0,"",IFERROR(100*(COUNTIFS($M$19:$M$186,"&gt;0",$G$19:$G$186,"&gt;"&amp;G105)+(COUNTIFS($M$19:$M$186,"&gt;0",$G$19:$G$186,G105)-1)/2)/(COUNTIF($M$19:$M$186,"&gt;0")-1),50))</x:f>
        <x:v>60.256410256410255</x:v>
      </x:c>
      <x:c r="U105" s="501" t="n">
        <x:f>IF(M105=0,"",IFERROR(100*(COUNTIFS($M$19:$M$186,"&gt;0",$M$19:$M$186,"&lt;"&amp;M105)+(COUNTIFS($M$19:$M$186,"&gt;0",$M$19:$M$186,M105)-1)/2)/(COUNTIF($M$19:$M$186,"&gt;0")-1),50))</x:f>
        <x:v>60.256410256410255</x:v>
      </x:c>
      <x:c r="V105" s="501" t="n">
        <x:f>IF(M105=0,"",T105*$R$5+U105*$R$6)</x:f>
        <x:v>60.25641025641025</x:v>
      </x:c>
      <x:c r="W105" s="431" t="n">
        <x:f>IF(E105=0,"",COUNTIFS($A$19:$A$186,A105,$S$19:$S$186,"&gt;"&amp;S105)+COUNTIFS($A$19:A105,A105,$E$19:E105,"&gt;0",$S$19:S105,S105))</x:f>
        <x:v>26</x:v>
      </x:c>
      <x:c r="X105" s="431" t="n">
        <x:f>IF(S105="","",1+COUNTIF($S$19:$S$186,"&gt;"&amp;S105))</x:f>
        <x:v>153</x:v>
      </x:c>
      <x:c r="Y105" s="431" t="n">
        <x:f>IF(V105="","",1+COUNTIFS($A$19:$A$186,A105,$V$19:$V$186,"&gt;"&amp;V105))</x:f>
        <x:v>10</x:v>
      </x:c>
      <x:c r="Z105" s="431" t="n">
        <x:f>IF(V105="","",1+COUNTIF($V$19:$V$186,"&gt;"&amp;V105))</x:f>
        <x:v>35</x:v>
      </x:c>
      <x:c r="AA105" s="430" t="str">
        <x:f>IF(C105=0,"No specialisations recorded",IF(D105&lt;C105,"Review missing level","Recorded skills only"))</x:f>
        <x:v>Recorded skills only</x:v>
      </x:c>
      <x:c r="AB105" s="601" t="n">
        <x:f>IF(OR(AP105&lt;&gt;"Yes",E105=0),"",IFERROR(100*(COUNTIFS($AP$19:$AP$186,"Yes",$E$19:$E$186,"&gt;0",$I$19:$I$186,"&lt;"&amp;I105)+(COUNTIFS($AP$19:$AP$186,"Yes",$E$19:$E$186,"&gt;0",$I$19:$I$186,I105)-1)/2)/(COUNTIFS($AP$19:$AP$186,"Yes",$E$19:$E$186,"&gt;0")-1),50))</x:f>
        <x:v>10.38961038961039</x:v>
      </x:c>
      <x:c r="AC105" s="601" t="n">
        <x:f>IF(AB105="","",AB105*'Specialisation Rankings'!$O$16+R105*'Specialisation Rankings'!$O$17)</x:f>
        <x:v>8.571428571428573</x:v>
      </x:c>
      <x:c r="AD105" s="601" t="n">
        <x:f>IF(AC105="","",COUNTIFS($A$19:$A$186,A105,$AP$19:$AP$186,"Yes",$E$19:$E$186,"&gt;0",$AC$19:$AC$186,"&gt;"&amp;AC105)+COUNTIFS($A$19:A105,A105,$AP$19:AP105,"Yes",$E$19:E105,"&gt;0",$AC$19:AC105,AC105))</x:f>
        <x:v>26</x:v>
      </x:c>
      <x:c r="AE105" s="601" t="n">
        <x:f>IF(OR(AP105&lt;&gt;"Yes",E105=0),"",IFERROR(100*(COUNTIFS($AP$19:$AP$186,"Yes",$E$19:$E$186,"&gt;0",$H$19:$H$186,"&lt;"&amp;H105)+(COUNTIFS($AP$19:$AP$186,"Yes",$E$19:$E$186,"&gt;0",$H$19:$H$186,H105)-1)/2)/(COUNTIFS($AP$19:$AP$186,"Yes",$E$19:$E$186,"&gt;0")-1),50))</x:f>
        <x:v>31.16883116883117</x:v>
      </x:c>
      <x:c r="AF105" s="601" t="n">
        <x:f>IF(AE105="","",AE105*'Specialisation Rankings'!$O$16+R105*'Specialisation Rankings'!$O$17)</x:f>
        <x:v>25.194805194805195</x:v>
      </x:c>
      <x:c r="AG105" s="601" t="n">
        <x:f>IF(AF105="","",COUNTIFS($A$19:$A$186,A105,$AP$19:$AP$186,"Yes",$E$19:$E$186,"&gt;0",$AF$19:$AF$186,"&gt;"&amp;AF105)+COUNTIFS($A$19:A105,A105,$AP$19:AP105,"Yes",$E$19:E105,"&gt;0",$AF$19:AF105,AF105))</x:f>
        <x:v>21</x:v>
      </x:c>
      <x:c r="AH105" s="601" t="n">
        <x:f>IF(OR(AP105&lt;&gt;"Yes",E105=0),"",IFERROR(100*(COUNTIFS($AP$19:$AP$186,"Yes",$E$19:$E$186,"&gt;0",$J$19:$J$186,"&lt;"&amp;J105)+(COUNTIFS($AP$19:$AP$186,"Yes",$E$19:$E$186,"&gt;0",$J$19:$J$186,J105)-1)/2)/(COUNTIFS($AP$19:$AP$186,"Yes",$E$19:$E$186,"&gt;0")-1),50))</x:f>
        <x:v>33.116883116883116</x:v>
      </x:c>
      <x:c r="AI105" s="601" t="n">
        <x:f>IF(AH105="","",AH105*'Specialisation Rankings'!$O$16+R105*'Specialisation Rankings'!$O$17)</x:f>
        <x:v>26.753246753246753</x:v>
      </x:c>
      <x:c r="AJ105" s="601" t="n">
        <x:f>IF(AI105="","",COUNTIFS($A$19:$A$186,A105,$AP$19:$AP$186,"Yes",$E$19:$E$186,"&gt;0",$AI$19:$AI$186,"&gt;"&amp;AI105)+COUNTIFS($A$19:A105,A105,$AP$19:AP105,"Yes",$E$19:E105,"&gt;0",$AI$19:AI105,AI105))</x:f>
        <x:v>26</x:v>
      </x:c>
      <x:c r="AK105" s="601" t="n">
        <x:f>IF(OR(AP105&lt;&gt;"Yes",E105=0),"",IF(M105=0,'Specialisation Rankings'!$O$23,V105))</x:f>
        <x:v>60.25641025641025</x:v>
      </x:c>
      <x:c r="AL105" s="601" t="n">
        <x:f>IF(AK105="","",COUNTIFS($A$19:$A$186,A105,$AP$19:$AP$186,"Yes",$E$19:$E$186,"&gt;0",$AK$19:$AK$186,"&gt;"&amp;AK105)+COUNTIFS($A$19:A105,A105,$AP$19:AP105,"Yes",$E$19:E105,"&gt;0",$AK$19:AK105,AK105))</x:f>
        <x:v>15</x:v>
      </x:c>
      <x:c r="AM105" s="601" t="n">
        <x:f>IF(AC105="","",AC105*'Specialisation Rankings'!$O$18+AF105*'Specialisation Rankings'!$O$19+AI105*'Specialisation Rankings'!$O$20+AK105*'Specialisation Rankings'!$O$21)</x:f>
        <x:v>18.129537129537134</x:v>
      </x:c>
      <x:c r="AN105" s="601" t="n">
        <x:f>IF(AM105="","",COUNTIFS($A$19:$A$186,A105,$AP$19:$AP$186,"Yes",$E$19:$E$186,"&gt;0",$AM$19:$AM$186,"&gt;"&amp;AM105)+COUNTIFS($A$19:A105,A105,$AP$19:AP105,"Yes",$E$19:E105,"&gt;0",$AM$19:AM105,AM105))</x:f>
        <x:v>25</x:v>
      </x:c>
      <x:c r="AO105" s="601" t="n">
        <x:f>IF(AM105="","",COUNTIFS($AP$19:$AP$186,"Yes",$E$19:$E$186,"&gt;0",$AM$19:$AM$186,"&gt;"&amp;AM105)+COUNTIFS($AP$19:AP105,"Yes",$E$19:E105,"&gt;0",$AM$19:AM105,AM105))</x:f>
        <x:v>153</x:v>
      </x:c>
      <x:c r="AP105" s="602" t="str">
        <x:f>IF(COUNTIFS('Player Scenario Model'!$A$6:$A$172,A105,'Player Scenario Model'!$B$6:$B$172,B105)&gt;0,"Yes","No")</x:f>
        <x:v>Yes</x:v>
      </x:c>
    </x:row>
    <x:row r="106" ht="24" customHeight="1">
      <x:c r="A106" s="430" t="str">
        <x:v>K138</x:v>
      </x:c>
      <x:c r="B106" s="430" t="str">
        <x:v>(RaW)ϟCrozyϟ</x:v>
      </x:c>
      <x:c r="C106" s="431" t="n">
        <x:f>COUNTIFS('Specialisations'!$A$6:$A$527,A106,'Specialisations'!$B$6:$B$527,B106)</x:f>
        <x:v>0</x:v>
      </x:c>
      <x:c r="D106" s="431" t="n">
        <x:f>COUNTIFS('Specialisations'!$A$6:$A$527,A106,'Specialisations'!$B$6:$B$527,B106,'Specialisations'!$P$6:$P$527,"OK")</x:f>
        <x:v>0</x:v>
      </x:c>
      <x:c r="E106" s="431" t="n">
        <x:f>COUNTIFS('Specialisations'!$A$6:$A$527,A106,'Specialisations'!$B$6:$B$527,B106,'Specialisations'!$P$6:$P$527,"OK",'Specialisations'!$C$6:$C$527,"&lt;&gt;Guards")</x:f>
        <x:v>0</x:v>
      </x:c>
      <x:c r="F106" s="432" t="str">
        <x:f>IF(C106=0,"",D106/C106)</x:f>
      </x:c>
      <x:c r="G106" s="495" t="n">
        <x:f>SUMIFS('Specialisations'!$Q$6:$Q$527,'Specialisations'!$A$6:$A$527,A106,'Specialisations'!$B$6:$B$527,B106,'Specialisations'!$C$6:$C$527,"Guards")</x:f>
        <x:v>0</x:v>
      </x:c>
      <x:c r="H106" s="495" t="n">
        <x:f>SUMIFS('Specialisations'!$Q$6:$Q$527,'Specialisations'!$A$6:$A$527,A106,'Specialisations'!$B$6:$B$527,B106,'Specialisations'!$C$6:$C$527,"Archers")</x:f>
        <x:v>0</x:v>
      </x:c>
      <x:c r="I106" s="495" t="n">
        <x:f>SUMIFS('Specialisations'!$Q$6:$Q$527,'Specialisations'!$A$6:$A$527,A106,'Specialisations'!$B$6:$B$527,B106,'Specialisations'!$C$6:$C$527,"Cavalry")</x:f>
        <x:v>0</x:v>
      </x:c>
      <x:c r="J106" s="495" t="n">
        <x:f>SUMIFS('Specialisations'!$Q$6:$Q$527,'Specialisations'!$A$6:$A$527,A106,'Specialisations'!$B$6:$B$527,B106,'Specialisations'!$C$6:$C$527,"Siege")</x:f>
        <x:v>0</x:v>
      </x:c>
      <x:c r="K106" s="495" t="n">
        <x:f>SUM(H106:J106)</x:f>
        <x:v>0</x:v>
      </x:c>
      <x:c r="L106" s="495" t="n">
        <x:f>SUM(G106,K106)</x:f>
        <x:v>0</x:v>
      </x:c>
      <x:c r="M106" s="433" t="n">
        <x:f>SUMIFS('Specialisations'!$N$6:$N$527,'Specialisations'!$A$6:$A$527,A106,'Specialisations'!$B$6:$B$527,B106,'Specialisations'!$C$6:$C$527,"Guards")</x:f>
        <x:v>0</x:v>
      </x:c>
      <x:c r="N106" s="433" t="n">
        <x:f>SUMIFS('Specialisations'!$N$6:$N$527,'Specialisations'!$A$6:$A$527,A106,'Specialisations'!$B$6:$B$527,B106,'Specialisations'!$C$6:$C$527,"&lt;&gt;Guards")</x:f>
        <x:v>0</x:v>
      </x:c>
      <x:c r="O106" s="433" t="n">
        <x:f>SUM(M106:N106)</x:f>
        <x:v>0</x:v>
      </x:c>
      <x:c r="P106" s="434" t="str">
        <x:f>IF(E106=0,"",K106/E106)</x:f>
      </x:c>
      <x:c r="Q106" s="501" t="str">
        <x:f>IF(E106=0,"",IFERROR(100*(COUNTIFS($E$19:$E$186,"&gt;0",$K$19:$K$186,"&lt;"&amp;K106)+(COUNTIFS($E$19:$E$186,"&gt;0",$K$19:$K$186,K106)-1)/2)/(COUNTIF($E$19:$E$186,"&gt;0")-1),50))</x:f>
      </x:c>
      <x:c r="R106" s="501" t="str">
        <x:f>IF(E106=0,"",IFERROR(100*(COUNTIFS($E$19:$E$186,"&gt;0",$N$19:$N$186,"&lt;"&amp;N106)+(COUNTIFS($E$19:$E$186,"&gt;0",$N$19:$N$186,N106)-1)/2)/(COUNTIF($E$19:$E$186,"&gt;0")-1),50))</x:f>
      </x:c>
      <x:c r="S106" s="501" t="str">
        <x:f>IF(E106=0,"",Q106*$R$5+R106*$R$6)</x:f>
      </x:c>
      <x:c r="T106" s="501" t="str">
        <x:f>IF(M106=0,"",IFERROR(100*(COUNTIFS($M$19:$M$186,"&gt;0",$G$19:$G$186,"&gt;"&amp;G106)+(COUNTIFS($M$19:$M$186,"&gt;0",$G$19:$G$186,G106)-1)/2)/(COUNTIF($M$19:$M$186,"&gt;0")-1),50))</x:f>
      </x:c>
      <x:c r="U106" s="501" t="str">
        <x:f>IF(M106=0,"",IFERROR(100*(COUNTIFS($M$19:$M$186,"&gt;0",$M$19:$M$186,"&lt;"&amp;M106)+(COUNTIFS($M$19:$M$186,"&gt;0",$M$19:$M$186,M106)-1)/2)/(COUNTIF($M$19:$M$186,"&gt;0")-1),50))</x:f>
      </x:c>
      <x:c r="V106" s="501" t="str">
        <x:f>IF(M106=0,"",T106*$R$5+U106*$R$6)</x:f>
      </x:c>
      <x:c r="W106" s="431" t="str">
        <x:f>IF(E106=0,"",COUNTIFS($A$19:$A$186,A106,$S$19:$S$186,"&gt;"&amp;S106)+COUNTIFS($A$19:A106,A106,$E$19:E106,"&gt;0",$S$19:S106,S106))</x:f>
      </x:c>
      <x:c r="X106" s="431" t="str">
        <x:f>IF(S106="","",1+COUNTIF($S$19:$S$186,"&gt;"&amp;S106))</x:f>
      </x:c>
      <x:c r="Y106" s="431" t="str">
        <x:f>IF(V106="","",1+COUNTIFS($A$19:$A$186,A106,$V$19:$V$186,"&gt;"&amp;V106))</x:f>
      </x:c>
      <x:c r="Z106" s="431" t="str">
        <x:f>IF(V106="","",1+COUNTIF($V$19:$V$186,"&gt;"&amp;V106))</x:f>
      </x:c>
      <x:c r="AA106" s="430" t="str">
        <x:f>IF(C106=0,"No specialisations recorded",IF(D106&lt;C106,"Review missing level","Recorded skills only"))</x:f>
        <x:v>No specialisations recorded</x:v>
      </x:c>
      <x:c r="AB106" s="601" t="str">
        <x:f>IF(OR(AP106&lt;&gt;"Yes",E106=0),"",IFERROR(100*(COUNTIFS($AP$19:$AP$186,"Yes",$E$19:$E$186,"&gt;0",$I$19:$I$186,"&lt;"&amp;I106)+(COUNTIFS($AP$19:$AP$186,"Yes",$E$19:$E$186,"&gt;0",$I$19:$I$186,I106)-1)/2)/(COUNTIFS($AP$19:$AP$186,"Yes",$E$19:$E$186,"&gt;0")-1),50))</x:f>
      </x:c>
      <x:c r="AC106" s="601" t="str">
        <x:f>IF(AB106="","",AB106*'Specialisation Rankings'!$O$16+R106*'Specialisation Rankings'!$O$17)</x:f>
      </x:c>
      <x:c r="AD106" s="601" t="str">
        <x:f>IF(AC106="","",COUNTIFS($A$19:$A$186,A106,$AP$19:$AP$186,"Yes",$E$19:$E$186,"&gt;0",$AC$19:$AC$186,"&gt;"&amp;AC106)+COUNTIFS($A$19:A106,A106,$AP$19:AP106,"Yes",$E$19:E106,"&gt;0",$AC$19:AC106,AC106))</x:f>
      </x:c>
      <x:c r="AE106" s="601" t="str">
        <x:f>IF(OR(AP106&lt;&gt;"Yes",E106=0),"",IFERROR(100*(COUNTIFS($AP$19:$AP$186,"Yes",$E$19:$E$186,"&gt;0",$H$19:$H$186,"&lt;"&amp;H106)+(COUNTIFS($AP$19:$AP$186,"Yes",$E$19:$E$186,"&gt;0",$H$19:$H$186,H106)-1)/2)/(COUNTIFS($AP$19:$AP$186,"Yes",$E$19:$E$186,"&gt;0")-1),50))</x:f>
      </x:c>
      <x:c r="AF106" s="601" t="str">
        <x:f>IF(AE106="","",AE106*'Specialisation Rankings'!$O$16+R106*'Specialisation Rankings'!$O$17)</x:f>
      </x:c>
      <x:c r="AG106" s="601" t="str">
        <x:f>IF(AF106="","",COUNTIFS($A$19:$A$186,A106,$AP$19:$AP$186,"Yes",$E$19:$E$186,"&gt;0",$AF$19:$AF$186,"&gt;"&amp;AF106)+COUNTIFS($A$19:A106,A106,$AP$19:AP106,"Yes",$E$19:E106,"&gt;0",$AF$19:AF106,AF106))</x:f>
      </x:c>
      <x:c r="AH106" s="601" t="str">
        <x:f>IF(OR(AP106&lt;&gt;"Yes",E106=0),"",IFERROR(100*(COUNTIFS($AP$19:$AP$186,"Yes",$E$19:$E$186,"&gt;0",$J$19:$J$186,"&lt;"&amp;J106)+(COUNTIFS($AP$19:$AP$186,"Yes",$E$19:$E$186,"&gt;0",$J$19:$J$186,J106)-1)/2)/(COUNTIFS($AP$19:$AP$186,"Yes",$E$19:$E$186,"&gt;0")-1),50))</x:f>
      </x:c>
      <x:c r="AI106" s="601" t="str">
        <x:f>IF(AH106="","",AH106*'Specialisation Rankings'!$O$16+R106*'Specialisation Rankings'!$O$17)</x:f>
      </x:c>
      <x:c r="AJ106" s="601" t="str">
        <x:f>IF(AI106="","",COUNTIFS($A$19:$A$186,A106,$AP$19:$AP$186,"Yes",$E$19:$E$186,"&gt;0",$AI$19:$AI$186,"&gt;"&amp;AI106)+COUNTIFS($A$19:A106,A106,$AP$19:AP106,"Yes",$E$19:E106,"&gt;0",$AI$19:AI106,AI106))</x:f>
      </x:c>
      <x:c r="AK106" s="601" t="str">
        <x:f>IF(OR(AP106&lt;&gt;"Yes",E106=0),"",IF(M106=0,'Specialisation Rankings'!$O$23,V106))</x:f>
      </x:c>
      <x:c r="AL106" s="601" t="str">
        <x:f>IF(AK106="","",COUNTIFS($A$19:$A$186,A106,$AP$19:$AP$186,"Yes",$E$19:$E$186,"&gt;0",$AK$19:$AK$186,"&gt;"&amp;AK106)+COUNTIFS($A$19:A106,A106,$AP$19:AP106,"Yes",$E$19:E106,"&gt;0",$AK$19:AK106,AK106))</x:f>
      </x:c>
      <x:c r="AM106" s="601" t="str">
        <x:f>IF(AC106="","",AC106*'Specialisation Rankings'!$O$18+AF106*'Specialisation Rankings'!$O$19+AI106*'Specialisation Rankings'!$O$20+AK106*'Specialisation Rankings'!$O$21)</x:f>
      </x:c>
      <x:c r="AN106" s="601" t="str">
        <x:f>IF(AM106="","",COUNTIFS($A$19:$A$186,A106,$AP$19:$AP$186,"Yes",$E$19:$E$186,"&gt;0",$AM$19:$AM$186,"&gt;"&amp;AM106)+COUNTIFS($A$19:A106,A106,$AP$19:AP106,"Yes",$E$19:E106,"&gt;0",$AM$19:AM106,AM106))</x:f>
      </x:c>
      <x:c r="AO106" s="601" t="str">
        <x:f>IF(AM106="","",COUNTIFS($AP$19:$AP$186,"Yes",$E$19:$E$186,"&gt;0",$AM$19:$AM$186,"&gt;"&amp;AM106)+COUNTIFS($AP$19:AP106,"Yes",$E$19:E106,"&gt;0",$AM$19:AM106,AM106))</x:f>
      </x:c>
      <x:c r="AP106" s="602" t="str">
        <x:f>IF(COUNTIFS('Player Scenario Model'!$A$6:$A$172,A106,'Player Scenario Model'!$B$6:$B$172,B106)&gt;0,"Yes","No")</x:f>
        <x:v>Yes</x:v>
      </x:c>
    </x:row>
    <x:row r="107" ht="24" customHeight="1">
      <x:c r="A107" s="430" t="str">
        <x:v>K170</x:v>
      </x:c>
      <x:c r="B107" s="430" t="str">
        <x:v>(AOT)SanSW°</x:v>
      </x:c>
      <x:c r="C107" s="431" t="n">
        <x:f>COUNTIFS('Specialisations'!$A$6:$A$527,A107,'Specialisations'!$B$6:$B$527,B107)</x:f>
        <x:v>4</x:v>
      </x:c>
      <x:c r="D107" s="431" t="n">
        <x:f>COUNTIFS('Specialisations'!$A$6:$A$527,A107,'Specialisations'!$B$6:$B$527,B107,'Specialisations'!$P$6:$P$527,"OK")</x:f>
        <x:v>4</x:v>
      </x:c>
      <x:c r="E107" s="431" t="n">
        <x:f>COUNTIFS('Specialisations'!$A$6:$A$527,A107,'Specialisations'!$B$6:$B$527,B107,'Specialisations'!$P$6:$P$527,"OK",'Specialisations'!$C$6:$C$527,"&lt;&gt;Guards")</x:f>
        <x:v>3</x:v>
      </x:c>
      <x:c r="F107" s="432" t="n">
        <x:f>IF(C107=0,"",D107/C107)</x:f>
        <x:v>1</x:v>
      </x:c>
      <x:c r="G107" s="495" t="n">
        <x:f>SUMIFS('Specialisations'!$Q$6:$Q$527,'Specialisations'!$A$6:$A$527,A107,'Specialisations'!$B$6:$B$527,B107,'Specialisations'!$C$6:$C$527,"Guards")</x:f>
        <x:v>-60</x:v>
      </x:c>
      <x:c r="H107" s="495" t="n">
        <x:f>SUMIFS('Specialisations'!$Q$6:$Q$527,'Specialisations'!$A$6:$A$527,A107,'Specialisations'!$B$6:$B$527,B107,'Specialisations'!$C$6:$C$527,"Archers")</x:f>
        <x:v>14.78</x:v>
      </x:c>
      <x:c r="I107" s="495" t="n">
        <x:f>SUMIFS('Specialisations'!$Q$6:$Q$527,'Specialisations'!$A$6:$A$527,A107,'Specialisations'!$B$6:$B$527,B107,'Specialisations'!$C$6:$C$527,"Cavalry")</x:f>
        <x:v>103.58000000000001</x:v>
      </x:c>
      <x:c r="J107" s="495" t="n">
        <x:f>SUMIFS('Specialisations'!$Q$6:$Q$527,'Specialisations'!$A$6:$A$527,A107,'Specialisations'!$B$6:$B$527,B107,'Specialisations'!$C$6:$C$527,"Siege")</x:f>
        <x:v>0</x:v>
      </x:c>
      <x:c r="K107" s="495" t="n">
        <x:f>SUM(H107:J107)</x:f>
        <x:v>118.36000000000001</x:v>
      </x:c>
      <x:c r="L107" s="495" t="n">
        <x:f>SUM(G107,K107)</x:f>
        <x:v>58.360000000000014</x:v>
      </x:c>
      <x:c r="M107" s="433" t="n">
        <x:f>SUMIFS('Specialisations'!$N$6:$N$527,'Specialisations'!$A$6:$A$527,A107,'Specialisations'!$B$6:$B$527,B107,'Specialisations'!$C$6:$C$527,"Guards")</x:f>
        <x:v>10334300</x:v>
      </x:c>
      <x:c r="N107" s="433" t="n">
        <x:f>SUMIFS('Specialisations'!$N$6:$N$527,'Specialisations'!$A$6:$A$527,A107,'Specialisations'!$B$6:$B$527,B107,'Specialisations'!$C$6:$C$527,"&lt;&gt;Guards")</x:f>
        <x:v>15292900</x:v>
      </x:c>
      <x:c r="O107" s="433" t="n">
        <x:f>SUM(M107:N107)</x:f>
        <x:v>25627200</x:v>
      </x:c>
      <x:c r="P107" s="434" t="n">
        <x:f>IF(E107=0,"",K107/E107)</x:f>
        <x:v>39.45333333333334</x:v>
      </x:c>
      <x:c r="Q107" s="501" t="n">
        <x:f>IF(E107=0,"",IFERROR(100*(COUNTIFS($E$19:$E$186,"&gt;0",$K$19:$K$186,"&lt;"&amp;K107)+(COUNTIFS($E$19:$E$186,"&gt;0",$K$19:$K$186,K107)-1)/2)/(COUNTIF($E$19:$E$186,"&gt;0")-1),50))</x:f>
        <x:v>70.77922077922078</x:v>
      </x:c>
      <x:c r="R107" s="501" t="n">
        <x:f>IF(E107=0,"",IFERROR(100*(COUNTIFS($E$19:$E$186,"&gt;0",$N$19:$N$186,"&lt;"&amp;N107)+(COUNTIFS($E$19:$E$186,"&gt;0",$N$19:$N$186,N107)-1)/2)/(COUNTIF($E$19:$E$186,"&gt;0")-1),50))</x:f>
        <x:v>79.22077922077922</x:v>
      </x:c>
      <x:c r="S107" s="501" t="n">
        <x:f>IF(E107=0,"",Q107*$R$5+R107*$R$6)</x:f>
        <x:v>72.46753246753246</x:v>
      </x:c>
      <x:c r="T107" s="501" t="n">
        <x:f>IF(M107=0,"",IFERROR(100*(COUNTIFS($M$19:$M$186,"&gt;0",$G$19:$G$186,"&gt;"&amp;G107)+(COUNTIFS($M$19:$M$186,"&gt;0",$G$19:$G$186,G107)-1)/2)/(COUNTIF($M$19:$M$186,"&gt;0")-1),50))</x:f>
        <x:v>93.16239316239316</x:v>
      </x:c>
      <x:c r="U107" s="501" t="n">
        <x:f>IF(M107=0,"",IFERROR(100*(COUNTIFS($M$19:$M$186,"&gt;0",$M$19:$M$186,"&lt;"&amp;M107)+(COUNTIFS($M$19:$M$186,"&gt;0",$M$19:$M$186,M107)-1)/2)/(COUNTIF($M$19:$M$186,"&gt;0")-1),50))</x:f>
        <x:v>93.16239316239316</x:v>
      </x:c>
      <x:c r="V107" s="501" t="n">
        <x:f>IF(M107=0,"",T107*$R$5+U107*$R$6)</x:f>
        <x:v>93.16239316239316</x:v>
      </x:c>
      <x:c r="W107" s="431" t="n">
        <x:f>IF(E107=0,"",COUNTIFS($A$19:$A$186,A107,$S$19:$S$186,"&gt;"&amp;S107)+COUNTIFS($A$19:A107,A107,$E$19:E107,"&gt;0",$S$19:S107,S107))</x:f>
        <x:v>5</x:v>
      </x:c>
      <x:c r="X107" s="431" t="n">
        <x:f>IF(S107="","",1+COUNTIF($S$19:$S$186,"&gt;"&amp;S107))</x:f>
        <x:v>43</x:v>
      </x:c>
      <x:c r="Y107" s="431" t="n">
        <x:f>IF(V107="","",1+COUNTIFS($A$19:$A$186,A107,$V$19:$V$186,"&gt;"&amp;V107))</x:f>
        <x:v>1</x:v>
      </x:c>
      <x:c r="Z107" s="431" t="n">
        <x:f>IF(V107="","",1+COUNTIF($V$19:$V$186,"&gt;"&amp;V107))</x:f>
        <x:v>1</x:v>
      </x:c>
      <x:c r="AA107" s="430" t="str">
        <x:f>IF(C107=0,"No specialisations recorded",IF(D107&lt;C107,"Review missing level","Recorded skills only"))</x:f>
        <x:v>Recorded skills only</x:v>
      </x:c>
      <x:c r="AB107" s="601" t="n">
        <x:f>IF(OR(AP107&lt;&gt;"Yes",E107=0),"",IFERROR(100*(COUNTIFS($AP$19:$AP$186,"Yes",$E$19:$E$186,"&gt;0",$I$19:$I$186,"&lt;"&amp;I107)+(COUNTIFS($AP$19:$AP$186,"Yes",$E$19:$E$186,"&gt;0",$I$19:$I$186,I107)-1)/2)/(COUNTIFS($AP$19:$AP$186,"Yes",$E$19:$E$186,"&gt;0")-1),50))</x:f>
        <x:v>89.93506493506493</x:v>
      </x:c>
      <x:c r="AC107" s="601" t="n">
        <x:f>IF(AB107="","",AB107*'Specialisation Rankings'!$O$16+R107*'Specialisation Rankings'!$O$17)</x:f>
        <x:v>87.79220779220779</x:v>
      </x:c>
      <x:c r="AD107" s="601" t="n">
        <x:f>IF(AC107="","",COUNTIFS($A$19:$A$186,A107,$AP$19:$AP$186,"Yes",$E$19:$E$186,"&gt;0",$AC$19:$AC$186,"&gt;"&amp;AC107)+COUNTIFS($A$19:A107,A107,$AP$19:AP107,"Yes",$E$19:E107,"&gt;0",$AC$19:AC107,AC107))</x:f>
        <x:v>2</x:v>
      </x:c>
      <x:c r="AE107" s="601" t="n">
        <x:f>IF(OR(AP107&lt;&gt;"Yes",E107=0),"",IFERROR(100*(COUNTIFS($AP$19:$AP$186,"Yes",$E$19:$E$186,"&gt;0",$H$19:$H$186,"&lt;"&amp;H107)+(COUNTIFS($AP$19:$AP$186,"Yes",$E$19:$E$186,"&gt;0",$H$19:$H$186,H107)-1)/2)/(COUNTIFS($AP$19:$AP$186,"Yes",$E$19:$E$186,"&gt;0")-1),50))</x:f>
        <x:v>27.5974025974026</x:v>
      </x:c>
      <x:c r="AF107" s="601" t="n">
        <x:f>IF(AE107="","",AE107*'Specialisation Rankings'!$O$16+R107*'Specialisation Rankings'!$O$17)</x:f>
        <x:v>37.922077922077925</x:v>
      </x:c>
      <x:c r="AG107" s="601" t="n">
        <x:f>IF(AF107="","",COUNTIFS($A$19:$A$186,A107,$AP$19:$AP$186,"Yes",$E$19:$E$186,"&gt;0",$AF$19:$AF$186,"&gt;"&amp;AF107)+COUNTIFS($A$19:A107,A107,$AP$19:AP107,"Yes",$E$19:E107,"&gt;0",$AF$19:AF107,AF107))</x:f>
        <x:v>10</x:v>
      </x:c>
      <x:c r="AH107" s="601" t="n">
        <x:f>IF(OR(AP107&lt;&gt;"Yes",E107=0),"",IFERROR(100*(COUNTIFS($AP$19:$AP$186,"Yes",$E$19:$E$186,"&gt;0",$J$19:$J$186,"&lt;"&amp;J107)+(COUNTIFS($AP$19:$AP$186,"Yes",$E$19:$E$186,"&gt;0",$J$19:$J$186,J107)-1)/2)/(COUNTIFS($AP$19:$AP$186,"Yes",$E$19:$E$186,"&gt;0")-1),50))</x:f>
        <x:v>33.116883116883116</x:v>
      </x:c>
      <x:c r="AI107" s="601" t="n">
        <x:f>IF(AH107="","",AH107*'Specialisation Rankings'!$O$16+R107*'Specialisation Rankings'!$O$17)</x:f>
        <x:v>42.33766233766234</x:v>
      </x:c>
      <x:c r="AJ107" s="601" t="n">
        <x:f>IF(AI107="","",COUNTIFS($A$19:$A$186,A107,$AP$19:$AP$186,"Yes",$E$19:$E$186,"&gt;0",$AI$19:$AI$186,"&gt;"&amp;AI107)+COUNTIFS($A$19:A107,A107,$AP$19:AP107,"Yes",$E$19:E107,"&gt;0",$AI$19:AI107,AI107))</x:f>
        <x:v>10</x:v>
      </x:c>
      <x:c r="AK107" s="601" t="n">
        <x:f>IF(OR(AP107&lt;&gt;"Yes",E107=0),"",IF(M107=0,'Specialisation Rankings'!$O$23,V107))</x:f>
        <x:v>93.16239316239316</x:v>
      </x:c>
      <x:c r="AL107" s="601" t="n">
        <x:f>IF(AK107="","",COUNTIFS($A$19:$A$186,A107,$AP$19:$AP$186,"Yes",$E$19:$E$186,"&gt;0",$AK$19:$AK$186,"&gt;"&amp;AK107)+COUNTIFS($A$19:A107,A107,$AP$19:AP107,"Yes",$E$19:E107,"&gt;0",$AK$19:AK107,AK107))</x:f>
        <x:v>1</x:v>
      </x:c>
      <x:c r="AM107" s="601" t="n">
        <x:f>IF(AC107="","",AC107*'Specialisation Rankings'!$O$18+AF107*'Specialisation Rankings'!$O$19+AI107*'Specialisation Rankings'!$O$20+AK107*'Specialisation Rankings'!$O$21)</x:f>
        <x:v>76.52403152403153</x:v>
      </x:c>
      <x:c r="AN107" s="601" t="n">
        <x:f>IF(AM107="","",COUNTIFS($A$19:$A$186,A107,$AP$19:$AP$186,"Yes",$E$19:$E$186,"&gt;0",$AM$19:$AM$186,"&gt;"&amp;AM107)+COUNTIFS($A$19:A107,A107,$AP$19:AP107,"Yes",$E$19:E107,"&gt;0",$AM$19:AM107,AM107))</x:f>
        <x:v>3</x:v>
      </x:c>
      <x:c r="AO107" s="601" t="n">
        <x:f>IF(AM107="","",COUNTIFS($AP$19:$AP$186,"Yes",$E$19:$E$186,"&gt;0",$AM$19:$AM$186,"&gt;"&amp;AM107)+COUNTIFS($AP$19:AP107,"Yes",$E$19:E107,"&gt;0",$AM$19:AM107,AM107))</x:f>
        <x:v>21</x:v>
      </x:c>
      <x:c r="AP107" s="602" t="str">
        <x:f>IF(COUNTIFS('Player Scenario Model'!$A$6:$A$172,A107,'Player Scenario Model'!$B$6:$B$172,B107)&gt;0,"Yes","No")</x:f>
        <x:v>Yes</x:v>
      </x:c>
    </x:row>
    <x:row r="108" ht="24" customHeight="1">
      <x:c r="A108" s="430" t="str">
        <x:v>K170</x:v>
      </x:c>
      <x:c r="B108" s="430" t="str">
        <x:v>(AOT)Fenixx</x:v>
      </x:c>
      <x:c r="C108" s="431" t="n">
        <x:f>COUNTIFS('Specialisations'!$A$6:$A$527,A108,'Specialisations'!$B$6:$B$527,B108)</x:f>
        <x:v>5</x:v>
      </x:c>
      <x:c r="D108" s="431" t="n">
        <x:f>COUNTIFS('Specialisations'!$A$6:$A$527,A108,'Specialisations'!$B$6:$B$527,B108,'Specialisations'!$P$6:$P$527,"OK")</x:f>
        <x:v>5</x:v>
      </x:c>
      <x:c r="E108" s="431" t="n">
        <x:f>COUNTIFS('Specialisations'!$A$6:$A$527,A108,'Specialisations'!$B$6:$B$527,B108,'Specialisations'!$P$6:$P$527,"OK",'Specialisations'!$C$6:$C$527,"&lt;&gt;Guards")</x:f>
        <x:v>4</x:v>
      </x:c>
      <x:c r="F108" s="432" t="n">
        <x:f>IF(C108=0,"",D108/C108)</x:f>
        <x:v>1</x:v>
      </x:c>
      <x:c r="G108" s="495" t="n">
        <x:f>SUMIFS('Specialisations'!$Q$6:$Q$527,'Specialisations'!$A$6:$A$527,A108,'Specialisations'!$B$6:$B$527,B108,'Specialisations'!$C$6:$C$527,"Guards")</x:f>
        <x:v>-41.98</x:v>
      </x:c>
      <x:c r="H108" s="495" t="n">
        <x:f>SUMIFS('Specialisations'!$Q$6:$Q$527,'Specialisations'!$A$6:$A$527,A108,'Specialisations'!$B$6:$B$527,B108,'Specialisations'!$C$6:$C$527,"Archers")</x:f>
        <x:v>17.66</x:v>
      </x:c>
      <x:c r="I108" s="495" t="n">
        <x:f>SUMIFS('Specialisations'!$Q$6:$Q$527,'Specialisations'!$A$6:$A$527,A108,'Specialisations'!$B$6:$B$527,B108,'Specialisations'!$C$6:$C$527,"Cavalry")</x:f>
        <x:v>60.74</x:v>
      </x:c>
      <x:c r="J108" s="495" t="n">
        <x:f>SUMIFS('Specialisations'!$Q$6:$Q$527,'Specialisations'!$A$6:$A$527,A108,'Specialisations'!$B$6:$B$527,B108,'Specialisations'!$C$6:$C$527,"Siege")</x:f>
        <x:v>19.17</x:v>
      </x:c>
      <x:c r="K108" s="495" t="n">
        <x:f>SUM(H108:J108)</x:f>
        <x:v>97.57000000000001</x:v>
      </x:c>
      <x:c r="L108" s="495" t="n">
        <x:f>SUM(G108,K108)</x:f>
        <x:v>55.59000000000001</x:v>
      </x:c>
      <x:c r="M108" s="433" t="n">
        <x:f>SUMIFS('Specialisations'!$N$6:$N$527,'Specialisations'!$A$6:$A$527,A108,'Specialisations'!$B$6:$B$527,B108,'Specialisations'!$C$6:$C$527,"Guards")</x:f>
        <x:v>4284300</x:v>
      </x:c>
      <x:c r="N108" s="433" t="n">
        <x:f>SUMIFS('Specialisations'!$N$6:$N$527,'Specialisations'!$A$6:$A$527,A108,'Specialisations'!$B$6:$B$527,B108,'Specialisations'!$C$6:$C$527,"&lt;&gt;Guards")</x:f>
        <x:v>10417200</x:v>
      </x:c>
      <x:c r="O108" s="433" t="n">
        <x:f>SUM(M108:N108)</x:f>
        <x:v>14701500</x:v>
      </x:c>
      <x:c r="P108" s="434" t="n">
        <x:f>IF(E108=0,"",K108/E108)</x:f>
        <x:v>24.392500000000002</x:v>
      </x:c>
      <x:c r="Q108" s="501" t="n">
        <x:f>IF(E108=0,"",IFERROR(100*(COUNTIFS($E$19:$E$186,"&gt;0",$K$19:$K$186,"&lt;"&amp;K108)+(COUNTIFS($E$19:$E$186,"&gt;0",$K$19:$K$186,K108)-1)/2)/(COUNTIF($E$19:$E$186,"&gt;0")-1),50))</x:f>
        <x:v>51.94805194805195</x:v>
      </x:c>
      <x:c r="R108" s="501" t="n">
        <x:f>IF(E108=0,"",IFERROR(100*(COUNTIFS($E$19:$E$186,"&gt;0",$N$19:$N$186,"&lt;"&amp;N108)+(COUNTIFS($E$19:$E$186,"&gt;0",$N$19:$N$186,N108)-1)/2)/(COUNTIF($E$19:$E$186,"&gt;0")-1),50))</x:f>
        <x:v>53.896103896103895</x:v>
      </x:c>
      <x:c r="S108" s="501" t="n">
        <x:f>IF(E108=0,"",Q108*$R$5+R108*$R$6)</x:f>
        <x:v>52.33766233766234</x:v>
      </x:c>
      <x:c r="T108" s="501" t="n">
        <x:f>IF(M108=0,"",IFERROR(100*(COUNTIFS($M$19:$M$186,"&gt;0",$G$19:$G$186,"&gt;"&amp;G108)+(COUNTIFS($M$19:$M$186,"&gt;0",$G$19:$G$186,G108)-1)/2)/(COUNTIF($M$19:$M$186,"&gt;0")-1),50))</x:f>
        <x:v>60.256410256410255</x:v>
      </x:c>
      <x:c r="U108" s="501" t="n">
        <x:f>IF(M108=0,"",IFERROR(100*(COUNTIFS($M$19:$M$186,"&gt;0",$M$19:$M$186,"&lt;"&amp;M108)+(COUNTIFS($M$19:$M$186,"&gt;0",$M$19:$M$186,M108)-1)/2)/(COUNTIF($M$19:$M$186,"&gt;0")-1),50))</x:f>
        <x:v>60.256410256410255</x:v>
      </x:c>
      <x:c r="V108" s="501" t="n">
        <x:f>IF(M108=0,"",T108*$R$5+U108*$R$6)</x:f>
        <x:v>60.25641025641025</x:v>
      </x:c>
      <x:c r="W108" s="431" t="n">
        <x:f>IF(E108=0,"",COUNTIFS($A$19:$A$186,A108,$S$19:$S$186,"&gt;"&amp;S108)+COUNTIFS($A$19:A108,A108,$E$19:E108,"&gt;0",$S$19:S108,S108))</x:f>
        <x:v>10</x:v>
      </x:c>
      <x:c r="X108" s="431" t="n">
        <x:f>IF(S108="","",1+COUNTIF($S$19:$S$186,"&gt;"&amp;S108))</x:f>
        <x:v>72</x:v>
      </x:c>
      <x:c r="Y108" s="431" t="n">
        <x:f>IF(V108="","",1+COUNTIFS($A$19:$A$186,A108,$V$19:$V$186,"&gt;"&amp;V108))</x:f>
        <x:v>9</x:v>
      </x:c>
      <x:c r="Z108" s="431" t="n">
        <x:f>IF(V108="","",1+COUNTIF($V$19:$V$186,"&gt;"&amp;V108))</x:f>
        <x:v>35</x:v>
      </x:c>
      <x:c r="AA108" s="430" t="str">
        <x:f>IF(C108=0,"No specialisations recorded",IF(D108&lt;C108,"Review missing level","Recorded skills only"))</x:f>
        <x:v>Recorded skills only</x:v>
      </x:c>
      <x:c r="AB108" s="601" t="n">
        <x:f>IF(OR(AP108&lt;&gt;"Yes",E108=0),"",IFERROR(100*(COUNTIFS($AP$19:$AP$186,"Yes",$E$19:$E$186,"&gt;0",$I$19:$I$186,"&lt;"&amp;I108)+(COUNTIFS($AP$19:$AP$186,"Yes",$E$19:$E$186,"&gt;0",$I$19:$I$186,I108)-1)/2)/(COUNTIFS($AP$19:$AP$186,"Yes",$E$19:$E$186,"&gt;0")-1),50))</x:f>
        <x:v>51.94805194805195</x:v>
      </x:c>
      <x:c r="AC108" s="601" t="n">
        <x:f>IF(AB108="","",AB108*'Specialisation Rankings'!$O$16+R108*'Specialisation Rankings'!$O$17)</x:f>
        <x:v>52.33766233766234</x:v>
      </x:c>
      <x:c r="AD108" s="601" t="n">
        <x:f>IF(AC108="","",COUNTIFS($A$19:$A$186,A108,$AP$19:$AP$186,"Yes",$E$19:$E$186,"&gt;0",$AC$19:$AC$186,"&gt;"&amp;AC108)+COUNTIFS($A$19:A108,A108,$AP$19:AP108,"Yes",$E$19:E108,"&gt;0",$AC$19:AC108,AC108))</x:f>
        <x:v>7</x:v>
      </x:c>
      <x:c r="AE108" s="601" t="n">
        <x:f>IF(OR(AP108&lt;&gt;"Yes",E108=0),"",IFERROR(100*(COUNTIFS($AP$19:$AP$186,"Yes",$E$19:$E$186,"&gt;0",$H$19:$H$186,"&lt;"&amp;H108)+(COUNTIFS($AP$19:$AP$186,"Yes",$E$19:$E$186,"&gt;0",$H$19:$H$186,H108)-1)/2)/(COUNTIFS($AP$19:$AP$186,"Yes",$E$19:$E$186,"&gt;0")-1),50))</x:f>
        <x:v>29.87012987012987</x:v>
      </x:c>
      <x:c r="AF108" s="601" t="n">
        <x:f>IF(AE108="","",AE108*'Specialisation Rankings'!$O$16+R108*'Specialisation Rankings'!$O$17)</x:f>
        <x:v>34.675324675324674</x:v>
      </x:c>
      <x:c r="AG108" s="601" t="n">
        <x:f>IF(AF108="","",COUNTIFS($A$19:$A$186,A108,$AP$19:$AP$186,"Yes",$E$19:$E$186,"&gt;0",$AF$19:$AF$186,"&gt;"&amp;AF108)+COUNTIFS($A$19:A108,A108,$AP$19:AP108,"Yes",$E$19:E108,"&gt;0",$AF$19:AF108,AF108))</x:f>
        <x:v>12</x:v>
      </x:c>
      <x:c r="AH108" s="601" t="n">
        <x:f>IF(OR(AP108&lt;&gt;"Yes",E108=0),"",IFERROR(100*(COUNTIFS($AP$19:$AP$186,"Yes",$E$19:$E$186,"&gt;0",$J$19:$J$186,"&lt;"&amp;J108)+(COUNTIFS($AP$19:$AP$186,"Yes",$E$19:$E$186,"&gt;0",$J$19:$J$186,J108)-1)/2)/(COUNTIFS($AP$19:$AP$186,"Yes",$E$19:$E$186,"&gt;0")-1),50))</x:f>
        <x:v>74.67532467532467</x:v>
      </x:c>
      <x:c r="AI108" s="601" t="n">
        <x:f>IF(AH108="","",AH108*'Specialisation Rankings'!$O$16+R108*'Specialisation Rankings'!$O$17)</x:f>
        <x:v>70.51948051948052</x:v>
      </x:c>
      <x:c r="AJ108" s="601" t="n">
        <x:f>IF(AI108="","",COUNTIFS($A$19:$A$186,A108,$AP$19:$AP$186,"Yes",$E$19:$E$186,"&gt;0",$AI$19:$AI$186,"&gt;"&amp;AI108)+COUNTIFS($A$19:A108,A108,$AP$19:AP108,"Yes",$E$19:E108,"&gt;0",$AI$19:AI108,AI108))</x:f>
        <x:v>5</x:v>
      </x:c>
      <x:c r="AK108" s="601" t="n">
        <x:f>IF(OR(AP108&lt;&gt;"Yes",E108=0),"",IF(M108=0,'Specialisation Rankings'!$O$23,V108))</x:f>
        <x:v>60.25641025641025</x:v>
      </x:c>
      <x:c r="AL108" s="601" t="n">
        <x:f>IF(AK108="","",COUNTIFS($A$19:$A$186,A108,$AP$19:$AP$186,"Yes",$E$19:$E$186,"&gt;0",$AK$19:$AK$186,"&gt;"&amp;AK108)+COUNTIFS($A$19:A108,A108,$AP$19:AP108,"Yes",$E$19:E108,"&gt;0",$AK$19:AK108,AK108))</x:f>
        <x:v>9</x:v>
      </x:c>
      <x:c r="AM108" s="601" t="n">
        <x:f>IF(AC108="","",AC108*'Specialisation Rankings'!$O$18+AF108*'Specialisation Rankings'!$O$19+AI108*'Specialisation Rankings'!$O$20+AK108*'Specialisation Rankings'!$O$21)</x:f>
        <x:v>54.09057609057608</x:v>
      </x:c>
      <x:c r="AN108" s="601" t="n">
        <x:f>IF(AM108="","",COUNTIFS($A$19:$A$186,A108,$AP$19:$AP$186,"Yes",$E$19:$E$186,"&gt;0",$AM$19:$AM$186,"&gt;"&amp;AM108)+COUNTIFS($A$19:A108,A108,$AP$19:AP108,"Yes",$E$19:E108,"&gt;0",$AM$19:AM108,AM108))</x:f>
        <x:v>6</x:v>
      </x:c>
      <x:c r="AO108" s="601" t="n">
        <x:f>IF(AM108="","",COUNTIFS($AP$19:$AP$186,"Yes",$E$19:$E$186,"&gt;0",$AM$19:$AM$186,"&gt;"&amp;AM108)+COUNTIFS($AP$19:AP108,"Yes",$E$19:E108,"&gt;0",$AM$19:AM108,AM108))</x:f>
        <x:v>59</x:v>
      </x:c>
      <x:c r="AP108" s="602" t="str">
        <x:f>IF(COUNTIFS('Player Scenario Model'!$A$6:$A$172,A108,'Player Scenario Model'!$B$6:$B$172,B108)&gt;0,"Yes","No")</x:f>
        <x:v>Yes</x:v>
      </x:c>
    </x:row>
    <x:row r="109" ht="24" customHeight="1">
      <x:c r="A109" s="430" t="str">
        <x:v>K170</x:v>
      </x:c>
      <x:c r="B109" s="430" t="str">
        <x:v>(AOT)D®a©o</x:v>
      </x:c>
      <x:c r="C109" s="431" t="n">
        <x:f>COUNTIFS('Specialisations'!$A$6:$A$527,A109,'Specialisations'!$B$6:$B$527,B109)</x:f>
        <x:v>4</x:v>
      </x:c>
      <x:c r="D109" s="431" t="n">
        <x:f>COUNTIFS('Specialisations'!$A$6:$A$527,A109,'Specialisations'!$B$6:$B$527,B109,'Specialisations'!$P$6:$P$527,"OK")</x:f>
        <x:v>4</x:v>
      </x:c>
      <x:c r="E109" s="431" t="n">
        <x:f>COUNTIFS('Specialisations'!$A$6:$A$527,A109,'Specialisations'!$B$6:$B$527,B109,'Specialisations'!$P$6:$P$527,"OK",'Specialisations'!$C$6:$C$527,"&lt;&gt;Guards")</x:f>
        <x:v>3</x:v>
      </x:c>
      <x:c r="F109" s="432" t="n">
        <x:f>IF(C109=0,"",D109/C109)</x:f>
        <x:v>1</x:v>
      </x:c>
      <x:c r="G109" s="495" t="n">
        <x:f>SUMIFS('Specialisations'!$Q$6:$Q$527,'Specialisations'!$A$6:$A$527,A109,'Specialisations'!$B$6:$B$527,B109,'Specialisations'!$C$6:$C$527,"Guards")</x:f>
        <x:v>-41.98</x:v>
      </x:c>
      <x:c r="H109" s="495" t="n">
        <x:f>SUMIFS('Specialisations'!$Q$6:$Q$527,'Specialisations'!$A$6:$A$527,A109,'Specialisations'!$B$6:$B$527,B109,'Specialisations'!$C$6:$C$527,"Archers")</x:f>
        <x:v>24</x:v>
      </x:c>
      <x:c r="I109" s="495" t="n">
        <x:f>SUMIFS('Specialisations'!$Q$6:$Q$527,'Specialisations'!$A$6:$A$527,A109,'Specialisations'!$B$6:$B$527,B109,'Specialisations'!$C$6:$C$527,"Cavalry")</x:f>
        <x:v>41.98</x:v>
      </x:c>
      <x:c r="J109" s="495" t="n">
        <x:f>SUMIFS('Specialisations'!$Q$6:$Q$527,'Specialisations'!$A$6:$A$527,A109,'Specialisations'!$B$6:$B$527,B109,'Specialisations'!$C$6:$C$527,"Siege")</x:f>
        <x:v>6.8</x:v>
      </x:c>
      <x:c r="K109" s="495" t="n">
        <x:f>SUM(H109:J109)</x:f>
        <x:v>72.77999999999999</x:v>
      </x:c>
      <x:c r="L109" s="495" t="n">
        <x:f>SUM(G109,K109)</x:f>
        <x:v>30.79999999999999</x:v>
      </x:c>
      <x:c r="M109" s="433" t="n">
        <x:f>SUMIFS('Specialisations'!$N$6:$N$527,'Specialisations'!$A$6:$A$527,A109,'Specialisations'!$B$6:$B$527,B109,'Specialisations'!$C$6:$C$527,"Guards")</x:f>
        <x:v>4284300</x:v>
      </x:c>
      <x:c r="N109" s="433" t="n">
        <x:f>SUMIFS('Specialisations'!$N$6:$N$527,'Specialisations'!$A$6:$A$527,A109,'Specialisations'!$B$6:$B$527,B109,'Specialisations'!$C$6:$C$527,"&lt;&gt;Guards")</x:f>
        <x:v>6772900</x:v>
      </x:c>
      <x:c r="O109" s="433" t="n">
        <x:f>SUM(M109:N109)</x:f>
        <x:v>11057200</x:v>
      </x:c>
      <x:c r="P109" s="434" t="n">
        <x:f>IF(E109=0,"",K109/E109)</x:f>
        <x:v>24.259999999999994</x:v>
      </x:c>
      <x:c r="Q109" s="501" t="n">
        <x:f>IF(E109=0,"",IFERROR(100*(COUNTIFS($E$19:$E$186,"&gt;0",$K$19:$K$186,"&lt;"&amp;K109)+(COUNTIFS($E$19:$E$186,"&gt;0",$K$19:$K$186,K109)-1)/2)/(COUNTIF($E$19:$E$186,"&gt;0")-1),50))</x:f>
        <x:v>35.064935064935064</x:v>
      </x:c>
      <x:c r="R109" s="501" t="n">
        <x:f>IF(E109=0,"",IFERROR(100*(COUNTIFS($E$19:$E$186,"&gt;0",$N$19:$N$186,"&lt;"&amp;N109)+(COUNTIFS($E$19:$E$186,"&gt;0",$N$19:$N$186,N109)-1)/2)/(COUNTIF($E$19:$E$186,"&gt;0")-1),50))</x:f>
        <x:v>22.727272727272727</x:v>
      </x:c>
      <x:c r="S109" s="501" t="n">
        <x:f>IF(E109=0,"",Q109*$R$5+R109*$R$6)</x:f>
        <x:v>32.5974025974026</x:v>
      </x:c>
      <x:c r="T109" s="501" t="n">
        <x:f>IF(M109=0,"",IFERROR(100*(COUNTIFS($M$19:$M$186,"&gt;0",$G$19:$G$186,"&gt;"&amp;G109)+(COUNTIFS($M$19:$M$186,"&gt;0",$G$19:$G$186,G109)-1)/2)/(COUNTIF($M$19:$M$186,"&gt;0")-1),50))</x:f>
        <x:v>60.256410256410255</x:v>
      </x:c>
      <x:c r="U109" s="501" t="n">
        <x:f>IF(M109=0,"",IFERROR(100*(COUNTIFS($M$19:$M$186,"&gt;0",$M$19:$M$186,"&lt;"&amp;M109)+(COUNTIFS($M$19:$M$186,"&gt;0",$M$19:$M$186,M109)-1)/2)/(COUNTIF($M$19:$M$186,"&gt;0")-1),50))</x:f>
        <x:v>60.256410256410255</x:v>
      </x:c>
      <x:c r="V109" s="501" t="n">
        <x:f>IF(M109=0,"",T109*$R$5+U109*$R$6)</x:f>
        <x:v>60.25641025641025</x:v>
      </x:c>
      <x:c r="W109" s="431" t="n">
        <x:f>IF(E109=0,"",COUNTIFS($A$19:$A$186,A109,$S$19:$S$186,"&gt;"&amp;S109)+COUNTIFS($A$19:A109,A109,$E$19:E109,"&gt;0",$S$19:S109,S109))</x:f>
        <x:v>15</x:v>
      </x:c>
      <x:c r="X109" s="431" t="n">
        <x:f>IF(S109="","",1+COUNTIF($S$19:$S$186,"&gt;"&amp;S109))</x:f>
        <x:v>103</x:v>
      </x:c>
      <x:c r="Y109" s="431" t="n">
        <x:f>IF(V109="","",1+COUNTIFS($A$19:$A$186,A109,$V$19:$V$186,"&gt;"&amp;V109))</x:f>
        <x:v>9</x:v>
      </x:c>
      <x:c r="Z109" s="431" t="n">
        <x:f>IF(V109="","",1+COUNTIF($V$19:$V$186,"&gt;"&amp;V109))</x:f>
        <x:v>35</x:v>
      </x:c>
      <x:c r="AA109" s="430" t="str">
        <x:f>IF(C109=0,"No specialisations recorded",IF(D109&lt;C109,"Review missing level","Recorded skills only"))</x:f>
        <x:v>Recorded skills only</x:v>
      </x:c>
      <x:c r="AB109" s="601" t="n">
        <x:f>IF(OR(AP109&lt;&gt;"Yes",E109=0),"",IFERROR(100*(COUNTIFS($AP$19:$AP$186,"Yes",$E$19:$E$186,"&gt;0",$I$19:$I$186,"&lt;"&amp;I109)+(COUNTIFS($AP$19:$AP$186,"Yes",$E$19:$E$186,"&gt;0",$I$19:$I$186,I109)-1)/2)/(COUNTIFS($AP$19:$AP$186,"Yes",$E$19:$E$186,"&gt;0")-1),50))</x:f>
        <x:v>33.44155844155844</x:v>
      </x:c>
      <x:c r="AC109" s="601" t="n">
        <x:f>IF(AB109="","",AB109*'Specialisation Rankings'!$O$16+R109*'Specialisation Rankings'!$O$17)</x:f>
        <x:v>31.298701298701303</x:v>
      </x:c>
      <x:c r="AD109" s="601" t="n">
        <x:f>IF(AC109="","",COUNTIFS($A$19:$A$186,A109,$AP$19:$AP$186,"Yes",$E$19:$E$186,"&gt;0",$AC$19:$AC$186,"&gt;"&amp;AC109)+COUNTIFS($A$19:A109,A109,$AP$19:AP109,"Yes",$E$19:E109,"&gt;0",$AC$19:AC109,AC109))</x:f>
        <x:v>17</x:v>
      </x:c>
      <x:c r="AE109" s="601" t="n">
        <x:f>IF(OR(AP109&lt;&gt;"Yes",E109=0),"",IFERROR(100*(COUNTIFS($AP$19:$AP$186,"Yes",$E$19:$E$186,"&gt;0",$H$19:$H$186,"&lt;"&amp;H109)+(COUNTIFS($AP$19:$AP$186,"Yes",$E$19:$E$186,"&gt;0",$H$19:$H$186,H109)-1)/2)/(COUNTIFS($AP$19:$AP$186,"Yes",$E$19:$E$186,"&gt;0")-1),50))</x:f>
        <x:v>33.44155844155844</x:v>
      </x:c>
      <x:c r="AF109" s="601" t="n">
        <x:f>IF(AE109="","",AE109*'Specialisation Rankings'!$O$16+R109*'Specialisation Rankings'!$O$17)</x:f>
        <x:v>31.298701298701303</x:v>
      </x:c>
      <x:c r="AG109" s="601" t="n">
        <x:f>IF(AF109="","",COUNTIFS($A$19:$A$186,A109,$AP$19:$AP$186,"Yes",$E$19:$E$186,"&gt;0",$AF$19:$AF$186,"&gt;"&amp;AF109)+COUNTIFS($A$19:A109,A109,$AP$19:AP109,"Yes",$E$19:E109,"&gt;0",$AF$19:AF109,AF109))</x:f>
        <x:v>13</x:v>
      </x:c>
      <x:c r="AH109" s="601" t="n">
        <x:f>IF(OR(AP109&lt;&gt;"Yes",E109=0),"",IFERROR(100*(COUNTIFS($AP$19:$AP$186,"Yes",$E$19:$E$186,"&gt;0",$J$19:$J$186,"&lt;"&amp;J109)+(COUNTIFS($AP$19:$AP$186,"Yes",$E$19:$E$186,"&gt;0",$J$19:$J$186,J109)-1)/2)/(COUNTIFS($AP$19:$AP$186,"Yes",$E$19:$E$186,"&gt;0")-1),50))</x:f>
        <x:v>70.45454545454545</x:v>
      </x:c>
      <x:c r="AI109" s="601" t="n">
        <x:f>IF(AH109="","",AH109*'Specialisation Rankings'!$O$16+R109*'Specialisation Rankings'!$O$17)</x:f>
        <x:v>60.909090909090914</x:v>
      </x:c>
      <x:c r="AJ109" s="601" t="n">
        <x:f>IF(AI109="","",COUNTIFS($A$19:$A$186,A109,$AP$19:$AP$186,"Yes",$E$19:$E$186,"&gt;0",$AI$19:$AI$186,"&gt;"&amp;AI109)+COUNTIFS($A$19:A109,A109,$AP$19:AP109,"Yes",$E$19:E109,"&gt;0",$AI$19:AI109,AI109))</x:f>
        <x:v>8</x:v>
      </x:c>
      <x:c r="AK109" s="601" t="n">
        <x:f>IF(OR(AP109&lt;&gt;"Yes",E109=0),"",IF(M109=0,'Specialisation Rankings'!$O$23,V109))</x:f>
        <x:v>60.25641025641025</x:v>
      </x:c>
      <x:c r="AL109" s="601" t="n">
        <x:f>IF(AK109="","",COUNTIFS($A$19:$A$186,A109,$AP$19:$AP$186,"Yes",$E$19:$E$186,"&gt;0",$AK$19:$AK$186,"&gt;"&amp;AK109)+COUNTIFS($A$19:A109,A109,$AP$19:AP109,"Yes",$E$19:E109,"&gt;0",$AK$19:AK109,AK109))</x:f>
        <x:v>10</x:v>
      </x:c>
      <x:c r="AM109" s="601" t="n">
        <x:f>IF(AC109="","",AC109*'Specialisation Rankings'!$O$18+AF109*'Specialisation Rankings'!$O$19+AI109*'Specialisation Rankings'!$O$20+AK109*'Specialisation Rankings'!$O$21)</x:f>
        <x:v>38.63603063603064</x:v>
      </x:c>
      <x:c r="AN109" s="601" t="n">
        <x:f>IF(AM109="","",COUNTIFS($A$19:$A$186,A109,$AP$19:$AP$186,"Yes",$E$19:$E$186,"&gt;0",$AM$19:$AM$186,"&gt;"&amp;AM109)+COUNTIFS($A$19:A109,A109,$AP$19:AP109,"Yes",$E$19:E109,"&gt;0",$AM$19:AM109,AM109))</x:f>
        <x:v>15</x:v>
      </x:c>
      <x:c r="AO109" s="601" t="n">
        <x:f>IF(AM109="","",COUNTIFS($AP$19:$AP$186,"Yes",$E$19:$E$186,"&gt;0",$AM$19:$AM$186,"&gt;"&amp;AM109)+COUNTIFS($AP$19:AP109,"Yes",$E$19:E109,"&gt;0",$AM$19:AM109,AM109))</x:f>
        <x:v>97</x:v>
      </x:c>
      <x:c r="AP109" s="602" t="str">
        <x:f>IF(COUNTIFS('Player Scenario Model'!$A$6:$A$172,A109,'Player Scenario Model'!$B$6:$B$172,B109)&gt;0,"Yes","No")</x:f>
        <x:v>Yes</x:v>
      </x:c>
    </x:row>
    <x:row r="110" ht="24" customHeight="1">
      <x:c r="A110" s="430" t="str">
        <x:v>K170</x:v>
      </x:c>
      <x:c r="B110" s="430" t="str">
        <x:v>(AOT)Themechanic</x:v>
      </x:c>
      <x:c r="C110" s="431" t="n">
        <x:f>COUNTIFS('Specialisations'!$A$6:$A$527,A110,'Specialisations'!$B$6:$B$527,B110)</x:f>
        <x:v>4</x:v>
      </x:c>
      <x:c r="D110" s="431" t="n">
        <x:f>COUNTIFS('Specialisations'!$A$6:$A$527,A110,'Specialisations'!$B$6:$B$527,B110,'Specialisations'!$P$6:$P$527,"OK")</x:f>
        <x:v>4</x:v>
      </x:c>
      <x:c r="E110" s="431" t="n">
        <x:f>COUNTIFS('Specialisations'!$A$6:$A$527,A110,'Specialisations'!$B$6:$B$527,B110,'Specialisations'!$P$6:$P$527,"OK",'Specialisations'!$C$6:$C$527,"&lt;&gt;Guards")</x:f>
        <x:v>3</x:v>
      </x:c>
      <x:c r="F110" s="432" t="n">
        <x:f>IF(C110=0,"",D110/C110)</x:f>
        <x:v>1</x:v>
      </x:c>
      <x:c r="G110" s="495" t="n">
        <x:f>SUMIFS('Specialisations'!$Q$6:$Q$527,'Specialisations'!$A$6:$A$527,A110,'Specialisations'!$B$6:$B$527,B110,'Specialisations'!$C$6:$C$527,"Guards")</x:f>
        <x:v>-48.38</x:v>
      </x:c>
      <x:c r="H110" s="495" t="n">
        <x:f>SUMIFS('Specialisations'!$Q$6:$Q$527,'Specialisations'!$A$6:$A$527,A110,'Specialisations'!$B$6:$B$527,B110,'Specialisations'!$C$6:$C$527,"Archers")</x:f>
        <x:v>20.73</x:v>
      </x:c>
      <x:c r="I110" s="495" t="n">
        <x:f>SUMIFS('Specialisations'!$Q$6:$Q$527,'Specialisations'!$A$6:$A$527,A110,'Specialisations'!$B$6:$B$527,B110,'Specialisations'!$C$6:$C$527,"Cavalry")</x:f>
        <x:v>101.97999999999999</x:v>
      </x:c>
      <x:c r="J110" s="495" t="n">
        <x:f>SUMIFS('Specialisations'!$Q$6:$Q$527,'Specialisations'!$A$6:$A$527,A110,'Specialisations'!$B$6:$B$527,B110,'Specialisations'!$C$6:$C$527,"Siege")</x:f>
        <x:v>0</x:v>
      </x:c>
      <x:c r="K110" s="495" t="n">
        <x:f>SUM(H110:J110)</x:f>
        <x:v>122.71</x:v>
      </x:c>
      <x:c r="L110" s="495" t="n">
        <x:f>SUM(G110,K110)</x:f>
        <x:v>74.32999999999998</x:v>
      </x:c>
      <x:c r="M110" s="433" t="n">
        <x:f>SUMIFS('Specialisations'!$N$6:$N$527,'Specialisations'!$A$6:$A$527,A110,'Specialisations'!$B$6:$B$527,B110,'Specialisations'!$C$6:$C$527,"Guards")</x:f>
        <x:v>5884300</x:v>
      </x:c>
      <x:c r="N110" s="433" t="n">
        <x:f>SUMIFS('Specialisations'!$N$6:$N$527,'Specialisations'!$A$6:$A$527,A110,'Specialisations'!$B$6:$B$527,B110,'Specialisations'!$C$6:$C$527,"&lt;&gt;Guards")</x:f>
        <x:v>16242900</x:v>
      </x:c>
      <x:c r="O110" s="433" t="n">
        <x:f>SUM(M110:N110)</x:f>
        <x:v>22127200</x:v>
      </x:c>
      <x:c r="P110" s="434" t="n">
        <x:f>IF(E110=0,"",K110/E110)</x:f>
        <x:v>40.90333333333333</x:v>
      </x:c>
      <x:c r="Q110" s="501" t="n">
        <x:f>IF(E110=0,"",IFERROR(100*(COUNTIFS($E$19:$E$186,"&gt;0",$K$19:$K$186,"&lt;"&amp;K110)+(COUNTIFS($E$19:$E$186,"&gt;0",$K$19:$K$186,K110)-1)/2)/(COUNTIF($E$19:$E$186,"&gt;0")-1),50))</x:f>
        <x:v>74.02597402597402</x:v>
      </x:c>
      <x:c r="R110" s="501" t="n">
        <x:f>IF(E110=0,"",IFERROR(100*(COUNTIFS($E$19:$E$186,"&gt;0",$N$19:$N$186,"&lt;"&amp;N110)+(COUNTIFS($E$19:$E$186,"&gt;0",$N$19:$N$186,N110)-1)/2)/(COUNTIF($E$19:$E$186,"&gt;0")-1),50))</x:f>
        <x:v>82.46753246753246</x:v>
      </x:c>
      <x:c r="S110" s="501" t="n">
        <x:f>IF(E110=0,"",Q110*$R$5+R110*$R$6)</x:f>
        <x:v>75.71428571428571</x:v>
      </x:c>
      <x:c r="T110" s="501" t="n">
        <x:f>IF(M110=0,"",IFERROR(100*(COUNTIFS($M$19:$M$186,"&gt;0",$G$19:$G$186,"&gt;"&amp;G110)+(COUNTIFS($M$19:$M$186,"&gt;0",$G$19:$G$186,G110)-1)/2)/(COUNTIF($M$19:$M$186,"&gt;0")-1),50))</x:f>
        <x:v>76.06837606837607</x:v>
      </x:c>
      <x:c r="U110" s="501" t="n">
        <x:f>IF(M110=0,"",IFERROR(100*(COUNTIFS($M$19:$M$186,"&gt;0",$M$19:$M$186,"&lt;"&amp;M110)+(COUNTIFS($M$19:$M$186,"&gt;0",$M$19:$M$186,M110)-1)/2)/(COUNTIF($M$19:$M$186,"&gt;0")-1),50))</x:f>
        <x:v>76.06837606837607</x:v>
      </x:c>
      <x:c r="V110" s="501" t="n">
        <x:f>IF(M110=0,"",T110*$R$5+U110*$R$6)</x:f>
        <x:v>76.06837606837607</x:v>
      </x:c>
      <x:c r="W110" s="431" t="n">
        <x:f>IF(E110=0,"",COUNTIFS($A$19:$A$186,A110,$S$19:$S$186,"&gt;"&amp;S110)+COUNTIFS($A$19:A110,A110,$E$19:E110,"&gt;0",$S$19:S110,S110))</x:f>
        <x:v>4</x:v>
      </x:c>
      <x:c r="X110" s="431" t="n">
        <x:f>IF(S110="","",1+COUNTIF($S$19:$S$186,"&gt;"&amp;S110))</x:f>
        <x:v>40</x:v>
      </x:c>
      <x:c r="Y110" s="431" t="n">
        <x:f>IF(V110="","",1+COUNTIFS($A$19:$A$186,A110,$V$19:$V$186,"&gt;"&amp;V110))</x:f>
        <x:v>6</x:v>
      </x:c>
      <x:c r="Z110" s="431" t="n">
        <x:f>IF(V110="","",1+COUNTIF($V$19:$V$186,"&gt;"&amp;V110))</x:f>
        <x:v>28</x:v>
      </x:c>
      <x:c r="AA110" s="430" t="str">
        <x:f>IF(C110=0,"No specialisations recorded",IF(D110&lt;C110,"Review missing level","Recorded skills only"))</x:f>
        <x:v>Recorded skills only</x:v>
      </x:c>
      <x:c r="AB110" s="601" t="n">
        <x:f>IF(OR(AP110&lt;&gt;"Yes",E110=0),"",IFERROR(100*(COUNTIFS($AP$19:$AP$186,"Yes",$E$19:$E$186,"&gt;0",$I$19:$I$186,"&lt;"&amp;I110)+(COUNTIFS($AP$19:$AP$186,"Yes",$E$19:$E$186,"&gt;0",$I$19:$I$186,I110)-1)/2)/(COUNTIFS($AP$19:$AP$186,"Yes",$E$19:$E$186,"&gt;0")-1),50))</x:f>
        <x:v>86.68831168831169</x:v>
      </x:c>
      <x:c r="AC110" s="601" t="n">
        <x:f>IF(AB110="","",AB110*'Specialisation Rankings'!$O$16+R110*'Specialisation Rankings'!$O$17)</x:f>
        <x:v>85.84415584415584</x:v>
      </x:c>
      <x:c r="AD110" s="601" t="n">
        <x:f>IF(AC110="","",COUNTIFS($A$19:$A$186,A110,$AP$19:$AP$186,"Yes",$E$19:$E$186,"&gt;0",$AC$19:$AC$186,"&gt;"&amp;AC110)+COUNTIFS($A$19:A110,A110,$AP$19:AP110,"Yes",$E$19:E110,"&gt;0",$AC$19:AC110,AC110))</x:f>
        <x:v>4</x:v>
      </x:c>
      <x:c r="AE110" s="601" t="n">
        <x:f>IF(OR(AP110&lt;&gt;"Yes",E110=0),"",IFERROR(100*(COUNTIFS($AP$19:$AP$186,"Yes",$E$19:$E$186,"&gt;0",$H$19:$H$186,"&lt;"&amp;H110)+(COUNTIFS($AP$19:$AP$186,"Yes",$E$19:$E$186,"&gt;0",$H$19:$H$186,H110)-1)/2)/(COUNTIFS($AP$19:$AP$186,"Yes",$E$19:$E$186,"&gt;0")-1),50))</x:f>
        <x:v>32.142857142857146</x:v>
      </x:c>
      <x:c r="AF110" s="601" t="n">
        <x:f>IF(AE110="","",AE110*'Specialisation Rankings'!$O$16+R110*'Specialisation Rankings'!$O$17)</x:f>
        <x:v>42.20779220779221</x:v>
      </x:c>
      <x:c r="AG110" s="601" t="n">
        <x:f>IF(AF110="","",COUNTIFS($A$19:$A$186,A110,$AP$19:$AP$186,"Yes",$E$19:$E$186,"&gt;0",$AF$19:$AF$186,"&gt;"&amp;AF110)+COUNTIFS($A$19:A110,A110,$AP$19:AP110,"Yes",$E$19:E110,"&gt;0",$AF$19:AF110,AF110))</x:f>
        <x:v>8</x:v>
      </x:c>
      <x:c r="AH110" s="601" t="n">
        <x:f>IF(OR(AP110&lt;&gt;"Yes",E110=0),"",IFERROR(100*(COUNTIFS($AP$19:$AP$186,"Yes",$E$19:$E$186,"&gt;0",$J$19:$J$186,"&lt;"&amp;J110)+(COUNTIFS($AP$19:$AP$186,"Yes",$E$19:$E$186,"&gt;0",$J$19:$J$186,J110)-1)/2)/(COUNTIFS($AP$19:$AP$186,"Yes",$E$19:$E$186,"&gt;0")-1),50))</x:f>
        <x:v>33.116883116883116</x:v>
      </x:c>
      <x:c r="AI110" s="601" t="n">
        <x:f>IF(AH110="","",AH110*'Specialisation Rankings'!$O$16+R110*'Specialisation Rankings'!$O$17)</x:f>
        <x:v>42.98701298701299</x:v>
      </x:c>
      <x:c r="AJ110" s="601" t="n">
        <x:f>IF(AI110="","",COUNTIFS($A$19:$A$186,A110,$AP$19:$AP$186,"Yes",$E$19:$E$186,"&gt;0",$AI$19:$AI$186,"&gt;"&amp;AI110)+COUNTIFS($A$19:A110,A110,$AP$19:AP110,"Yes",$E$19:E110,"&gt;0",$AI$19:AI110,AI110))</x:f>
        <x:v>9</x:v>
      </x:c>
      <x:c r="AK110" s="601" t="n">
        <x:f>IF(OR(AP110&lt;&gt;"Yes",E110=0),"",IF(M110=0,'Specialisation Rankings'!$O$23,V110))</x:f>
        <x:v>76.06837606837607</x:v>
      </x:c>
      <x:c r="AL110" s="601" t="n">
        <x:f>IF(AK110="","",COUNTIFS($A$19:$A$186,A110,$AP$19:$AP$186,"Yes",$E$19:$E$186,"&gt;0",$AK$19:$AK$186,"&gt;"&amp;AK110)+COUNTIFS($A$19:A110,A110,$AP$19:AP110,"Yes",$E$19:E110,"&gt;0",$AK$19:AK110,AK110))</x:f>
        <x:v>6</x:v>
      </x:c>
      <x:c r="AM110" s="601" t="n">
        <x:f>IF(AC110="","",AC110*'Specialisation Rankings'!$O$18+AF110*'Specialisation Rankings'!$O$19+AI110*'Specialisation Rankings'!$O$20+AK110*'Specialisation Rankings'!$O$21)</x:f>
        <x:v>74.07437007437007</x:v>
      </x:c>
      <x:c r="AN110" s="601" t="n">
        <x:f>IF(AM110="","",COUNTIFS($A$19:$A$186,A110,$AP$19:$AP$186,"Yes",$E$19:$E$186,"&gt;0",$AM$19:$AM$186,"&gt;"&amp;AM110)+COUNTIFS($A$19:A110,A110,$AP$19:AP110,"Yes",$E$19:E110,"&gt;0",$AM$19:AM110,AM110))</x:f>
        <x:v>4</x:v>
      </x:c>
      <x:c r="AO110" s="601" t="n">
        <x:f>IF(AM110="","",COUNTIFS($AP$19:$AP$186,"Yes",$E$19:$E$186,"&gt;0",$AM$19:$AM$186,"&gt;"&amp;AM110)+COUNTIFS($AP$19:AP110,"Yes",$E$19:E110,"&gt;0",$AM$19:AM110,AM110))</x:f>
        <x:v>24</x:v>
      </x:c>
      <x:c r="AP110" s="602" t="str">
        <x:f>IF(COUNTIFS('Player Scenario Model'!$A$6:$A$172,A110,'Player Scenario Model'!$B$6:$B$172,B110)&gt;0,"Yes","No")</x:f>
        <x:v>Yes</x:v>
      </x:c>
    </x:row>
    <x:row r="111" ht="24" customHeight="1">
      <x:c r="A111" s="430" t="str">
        <x:v>K170</x:v>
      </x:c>
      <x:c r="B111" s="430" t="str">
        <x:v>(AOT)Aauudd</x:v>
      </x:c>
      <x:c r="C111" s="431" t="n">
        <x:f>COUNTIFS('Specialisations'!$A$6:$A$527,A111,'Specialisations'!$B$6:$B$527,B111)</x:f>
        <x:v>4</x:v>
      </x:c>
      <x:c r="D111" s="431" t="n">
        <x:f>COUNTIFS('Specialisations'!$A$6:$A$527,A111,'Specialisations'!$B$6:$B$527,B111,'Specialisations'!$P$6:$P$527,"OK")</x:f>
        <x:v>4</x:v>
      </x:c>
      <x:c r="E111" s="431" t="n">
        <x:f>COUNTIFS('Specialisations'!$A$6:$A$527,A111,'Specialisations'!$B$6:$B$527,B111,'Specialisations'!$P$6:$P$527,"OK",'Specialisations'!$C$6:$C$527,"&lt;&gt;Guards")</x:f>
        <x:v>4</x:v>
      </x:c>
      <x:c r="F111" s="432" t="n">
        <x:f>IF(C111=0,"",D111/C111)</x:f>
        <x:v>1</x:v>
      </x:c>
      <x:c r="G111" s="495" t="n">
        <x:f>SUMIFS('Specialisations'!$Q$6:$Q$527,'Specialisations'!$A$6:$A$527,A111,'Specialisations'!$B$6:$B$527,B111,'Specialisations'!$C$6:$C$527,"Guards")</x:f>
        <x:v>0</x:v>
      </x:c>
      <x:c r="H111" s="495" t="n">
        <x:f>SUMIFS('Specialisations'!$Q$6:$Q$527,'Specialisations'!$A$6:$A$527,A111,'Specialisations'!$B$6:$B$527,B111,'Specialisations'!$C$6:$C$527,"Archers")</x:f>
        <x:v>3.58</x:v>
      </x:c>
      <x:c r="I111" s="495" t="n">
        <x:f>SUMIFS('Specialisations'!$Q$6:$Q$527,'Specialisations'!$A$6:$A$527,A111,'Specialisations'!$B$6:$B$527,B111,'Specialisations'!$C$6:$C$527,"Cavalry")</x:f>
        <x:v>57.22</x:v>
      </x:c>
      <x:c r="J111" s="495" t="n">
        <x:f>SUMIFS('Specialisations'!$Q$6:$Q$527,'Specialisations'!$A$6:$A$527,A111,'Specialisations'!$B$6:$B$527,B111,'Specialisations'!$C$6:$C$527,"Siege")</x:f>
        <x:v>33.13</x:v>
      </x:c>
      <x:c r="K111" s="495" t="n">
        <x:f>SUM(H111:J111)</x:f>
        <x:v>93.93</x:v>
      </x:c>
      <x:c r="L111" s="495" t="n">
        <x:f>SUM(G111,K111)</x:f>
        <x:v>93.93</x:v>
      </x:c>
      <x:c r="M111" s="433" t="n">
        <x:f>SUMIFS('Specialisations'!$N$6:$N$527,'Specialisations'!$A$6:$A$527,A111,'Specialisations'!$B$6:$B$527,B111,'Specialisations'!$C$6:$C$527,"Guards")</x:f>
        <x:v>0</x:v>
      </x:c>
      <x:c r="N111" s="433" t="n">
        <x:f>SUMIFS('Specialisations'!$N$6:$N$527,'Specialisations'!$A$6:$A$527,A111,'Specialisations'!$B$6:$B$527,B111,'Specialisations'!$C$6:$C$527,"&lt;&gt;Guards")</x:f>
        <x:v>8939700</x:v>
      </x:c>
      <x:c r="O111" s="433" t="n">
        <x:f>SUM(M111:N111)</x:f>
        <x:v>8939700</x:v>
      </x:c>
      <x:c r="P111" s="434" t="n">
        <x:f>IF(E111=0,"",K111/E111)</x:f>
        <x:v>23.4825</x:v>
      </x:c>
      <x:c r="Q111" s="501" t="n">
        <x:f>IF(E111=0,"",IFERROR(100*(COUNTIFS($E$19:$E$186,"&gt;0",$K$19:$K$186,"&lt;"&amp;K111)+(COUNTIFS($E$19:$E$186,"&gt;0",$K$19:$K$186,K111)-1)/2)/(COUNTIF($E$19:$E$186,"&gt;0")-1),50))</x:f>
        <x:v>50</x:v>
      </x:c>
      <x:c r="R111" s="501" t="n">
        <x:f>IF(E111=0,"",IFERROR(100*(COUNTIFS($E$19:$E$186,"&gt;0",$N$19:$N$186,"&lt;"&amp;N111)+(COUNTIFS($E$19:$E$186,"&gt;0",$N$19:$N$186,N111)-1)/2)/(COUNTIF($E$19:$E$186,"&gt;0")-1),50))</x:f>
        <x:v>33.76623376623377</x:v>
      </x:c>
      <x:c r="S111" s="501" t="n">
        <x:f>IF(E111=0,"",Q111*$R$5+R111*$R$6)</x:f>
        <x:v>46.75324675324675</x:v>
      </x:c>
      <x:c r="T111" s="501" t="str">
        <x:f>IF(M111=0,"",IFERROR(100*(COUNTIFS($M$19:$M$186,"&gt;0",$G$19:$G$186,"&gt;"&amp;G111)+(COUNTIFS($M$19:$M$186,"&gt;0",$G$19:$G$186,G111)-1)/2)/(COUNTIF($M$19:$M$186,"&gt;0")-1),50))</x:f>
      </x:c>
      <x:c r="U111" s="501" t="str">
        <x:f>IF(M111=0,"",IFERROR(100*(COUNTIFS($M$19:$M$186,"&gt;0",$M$19:$M$186,"&lt;"&amp;M111)+(COUNTIFS($M$19:$M$186,"&gt;0",$M$19:$M$186,M111)-1)/2)/(COUNTIF($M$19:$M$186,"&gt;0")-1),50))</x:f>
      </x:c>
      <x:c r="V111" s="501" t="str">
        <x:f>IF(M111=0,"",T111*$R$5+U111*$R$6)</x:f>
      </x:c>
      <x:c r="W111" s="431" t="n">
        <x:f>IF(E111=0,"",COUNTIFS($A$19:$A$186,A111,$S$19:$S$186,"&gt;"&amp;S111)+COUNTIFS($A$19:A111,A111,$E$19:E111,"&gt;0",$S$19:S111,S111))</x:f>
        <x:v>11</x:v>
      </x:c>
      <x:c r="X111" s="431" t="n">
        <x:f>IF(S111="","",1+COUNTIF($S$19:$S$186,"&gt;"&amp;S111))</x:f>
        <x:v>83</x:v>
      </x:c>
      <x:c r="Y111" s="431" t="str">
        <x:f>IF(V111="","",1+COUNTIFS($A$19:$A$186,A111,$V$19:$V$186,"&gt;"&amp;V111))</x:f>
      </x:c>
      <x:c r="Z111" s="431" t="str">
        <x:f>IF(V111="","",1+COUNTIF($V$19:$V$186,"&gt;"&amp;V111))</x:f>
      </x:c>
      <x:c r="AA111" s="430" t="str">
        <x:f>IF(C111=0,"No specialisations recorded",IF(D111&lt;C111,"Review missing level","Recorded skills only"))</x:f>
        <x:v>Recorded skills only</x:v>
      </x:c>
      <x:c r="AB111" s="601" t="n">
        <x:f>IF(OR(AP111&lt;&gt;"Yes",E111=0),"",IFERROR(100*(COUNTIFS($AP$19:$AP$186,"Yes",$E$19:$E$186,"&gt;0",$I$19:$I$186,"&lt;"&amp;I111)+(COUNTIFS($AP$19:$AP$186,"Yes",$E$19:$E$186,"&gt;0",$I$19:$I$186,I111)-1)/2)/(COUNTIFS($AP$19:$AP$186,"Yes",$E$19:$E$186,"&gt;0")-1),50))</x:f>
        <x:v>44.8051948051948</x:v>
      </x:c>
      <x:c r="AC111" s="601" t="n">
        <x:f>IF(AB111="","",AB111*'Specialisation Rankings'!$O$16+R111*'Specialisation Rankings'!$O$17)</x:f>
        <x:v>42.5974025974026</x:v>
      </x:c>
      <x:c r="AD111" s="601" t="n">
        <x:f>IF(AC111="","",COUNTIFS($A$19:$A$186,A111,$AP$19:$AP$186,"Yes",$E$19:$E$186,"&gt;0",$AC$19:$AC$186,"&gt;"&amp;AC111)+COUNTIFS($A$19:A111,A111,$AP$19:AP111,"Yes",$E$19:E111,"&gt;0",$AC$19:AC111,AC111))</x:f>
        <x:v>11</x:v>
      </x:c>
      <x:c r="AE111" s="601" t="n">
        <x:f>IF(OR(AP111&lt;&gt;"Yes",E111=0),"",IFERROR(100*(COUNTIFS($AP$19:$AP$186,"Yes",$E$19:$E$186,"&gt;0",$H$19:$H$186,"&lt;"&amp;H111)+(COUNTIFS($AP$19:$AP$186,"Yes",$E$19:$E$186,"&gt;0",$H$19:$H$186,H111)-1)/2)/(COUNTIFS($AP$19:$AP$186,"Yes",$E$19:$E$186,"&gt;0")-1),50))</x:f>
        <x:v>24.675324675324674</x:v>
      </x:c>
      <x:c r="AF111" s="601" t="n">
        <x:f>IF(AE111="","",AE111*'Specialisation Rankings'!$O$16+R111*'Specialisation Rankings'!$O$17)</x:f>
        <x:v>26.493506493506494</x:v>
      </x:c>
      <x:c r="AG111" s="601" t="n">
        <x:f>IF(AF111="","",COUNTIFS($A$19:$A$186,A111,$AP$19:$AP$186,"Yes",$E$19:$E$186,"&gt;0",$AF$19:$AF$186,"&gt;"&amp;AF111)+COUNTIFS($A$19:A111,A111,$AP$19:AP111,"Yes",$E$19:E111,"&gt;0",$AF$19:AF111,AF111))</x:f>
        <x:v>14</x:v>
      </x:c>
      <x:c r="AH111" s="601" t="n">
        <x:f>IF(OR(AP111&lt;&gt;"Yes",E111=0),"",IFERROR(100*(COUNTIFS($AP$19:$AP$186,"Yes",$E$19:$E$186,"&gt;0",$J$19:$J$186,"&lt;"&amp;J111)+(COUNTIFS($AP$19:$AP$186,"Yes",$E$19:$E$186,"&gt;0",$J$19:$J$186,J111)-1)/2)/(COUNTIFS($AP$19:$AP$186,"Yes",$E$19:$E$186,"&gt;0")-1),50))</x:f>
        <x:v>86.36363636363636</x:v>
      </x:c>
      <x:c r="AI111" s="601" t="n">
        <x:f>IF(AH111="","",AH111*'Specialisation Rankings'!$O$16+R111*'Specialisation Rankings'!$O$17)</x:f>
        <x:v>75.84415584415585</x:v>
      </x:c>
      <x:c r="AJ111" s="601" t="n">
        <x:f>IF(AI111="","",COUNTIFS($A$19:$A$186,A111,$AP$19:$AP$186,"Yes",$E$19:$E$186,"&gt;0",$AI$19:$AI$186,"&gt;"&amp;AI111)+COUNTIFS($A$19:A111,A111,$AP$19:AP111,"Yes",$E$19:E111,"&gt;0",$AI$19:AI111,AI111))</x:f>
        <x:v>4</x:v>
      </x:c>
      <x:c r="AK111" s="601" t="n">
        <x:f>IF(OR(AP111&lt;&gt;"Yes",E111=0),"",IF(M111=0,'Specialisation Rankings'!$O$23,V111))</x:f>
        <x:v>50</x:v>
      </x:c>
      <x:c r="AL111" s="601" t="n">
        <x:f>IF(AK111="","",COUNTIFS($A$19:$A$186,A111,$AP$19:$AP$186,"Yes",$E$19:$E$186,"&gt;0",$AK$19:$AK$186,"&gt;"&amp;AK111)+COUNTIFS($A$19:A111,A111,$AP$19:AP111,"Yes",$E$19:E111,"&gt;0",$AK$19:AK111,AK111))</x:f>
        <x:v>14</x:v>
      </x:c>
      <x:c r="AM111" s="601" t="n">
        <x:f>IF(AC111="","",AC111*'Specialisation Rankings'!$O$18+AF111*'Specialisation Rankings'!$O$19+AI111*'Specialisation Rankings'!$O$20+AK111*'Specialisation Rankings'!$O$21)</x:f>
        <x:v>46.714285714285715</x:v>
      </x:c>
      <x:c r="AN111" s="601" t="n">
        <x:f>IF(AM111="","",COUNTIFS($A$19:$A$186,A111,$AP$19:$AP$186,"Yes",$E$19:$E$186,"&gt;0",$AM$19:$AM$186,"&gt;"&amp;AM111)+COUNTIFS($A$19:A111,A111,$AP$19:AP111,"Yes",$E$19:E111,"&gt;0",$AM$19:AM111,AM111))</x:f>
        <x:v>11</x:v>
      </x:c>
      <x:c r="AO111" s="601" t="n">
        <x:f>IF(AM111="","",COUNTIFS($AP$19:$AP$186,"Yes",$E$19:$E$186,"&gt;0",$AM$19:$AM$186,"&gt;"&amp;AM111)+COUNTIFS($AP$19:AP111,"Yes",$E$19:E111,"&gt;0",$AM$19:AM111,AM111))</x:f>
        <x:v>82</x:v>
      </x:c>
      <x:c r="AP111" s="602" t="str">
        <x:f>IF(COUNTIFS('Player Scenario Model'!$A$6:$A$172,A111,'Player Scenario Model'!$B$6:$B$172,B111)&gt;0,"Yes","No")</x:f>
        <x:v>Yes</x:v>
      </x:c>
    </x:row>
    <x:row r="112" ht="24" customHeight="1">
      <x:c r="A112" s="430" t="str">
        <x:v>K170</x:v>
      </x:c>
      <x:c r="B112" s="430" t="str">
        <x:v>(AOT)Brauni°</x:v>
      </x:c>
      <x:c r="C112" s="431" t="n">
        <x:f>COUNTIFS('Specialisations'!$A$6:$A$527,A112,'Specialisations'!$B$6:$B$527,B112)</x:f>
        <x:v>3</x:v>
      </x:c>
      <x:c r="D112" s="431" t="n">
        <x:f>COUNTIFS('Specialisations'!$A$6:$A$527,A112,'Specialisations'!$B$6:$B$527,B112,'Specialisations'!$P$6:$P$527,"OK")</x:f>
        <x:v>3</x:v>
      </x:c>
      <x:c r="E112" s="431" t="n">
        <x:f>COUNTIFS('Specialisations'!$A$6:$A$527,A112,'Specialisations'!$B$6:$B$527,B112,'Specialisations'!$P$6:$P$527,"OK",'Specialisations'!$C$6:$C$527,"&lt;&gt;Guards")</x:f>
        <x:v>2</x:v>
      </x:c>
      <x:c r="F112" s="432" t="n">
        <x:f>IF(C112=0,"",D112/C112)</x:f>
        <x:v>1</x:v>
      </x:c>
      <x:c r="G112" s="495" t="n">
        <x:f>SUMIFS('Specialisations'!$Q$6:$Q$527,'Specialisations'!$A$6:$A$527,A112,'Specialisations'!$B$6:$B$527,B112,'Specialisations'!$C$6:$C$527,"Guards")</x:f>
        <x:v>-27.74</x:v>
      </x:c>
      <x:c r="H112" s="495" t="n">
        <x:f>SUMIFS('Specialisations'!$Q$6:$Q$527,'Specialisations'!$A$6:$A$527,A112,'Specialisations'!$B$6:$B$527,B112,'Specialisations'!$C$6:$C$527,"Archers")</x:f>
        <x:v>39.93</x:v>
      </x:c>
      <x:c r="I112" s="495" t="n">
        <x:f>SUMIFS('Specialisations'!$Q$6:$Q$527,'Specialisations'!$A$6:$A$527,A112,'Specialisations'!$B$6:$B$527,B112,'Specialisations'!$C$6:$C$527,"Cavalry")</x:f>
        <x:v>41.98</x:v>
      </x:c>
      <x:c r="J112" s="495" t="n">
        <x:f>SUMIFS('Specialisations'!$Q$6:$Q$527,'Specialisations'!$A$6:$A$527,A112,'Specialisations'!$B$6:$B$527,B112,'Specialisations'!$C$6:$C$527,"Siege")</x:f>
        <x:v>0</x:v>
      </x:c>
      <x:c r="K112" s="495" t="n">
        <x:f>SUM(H112:J112)</x:f>
        <x:v>81.91</x:v>
      </x:c>
      <x:c r="L112" s="495" t="n">
        <x:f>SUM(G112,K112)</x:f>
        <x:v>54.17</x:v>
      </x:c>
      <x:c r="M112" s="433" t="n">
        <x:f>SUMIFS('Specialisations'!$N$6:$N$527,'Specialisations'!$A$6:$A$527,A112,'Specialisations'!$B$6:$B$527,B112,'Specialisations'!$C$6:$C$527,"Guards")</x:f>
        <x:v>2244300</x:v>
      </x:c>
      <x:c r="N112" s="433" t="n">
        <x:f>SUMIFS('Specialisations'!$N$6:$N$527,'Specialisations'!$A$6:$A$527,A112,'Specialisations'!$B$6:$B$527,B112,'Specialisations'!$C$6:$C$527,"&lt;&gt;Guards")</x:f>
        <x:v>8008600</x:v>
      </x:c>
      <x:c r="O112" s="433" t="n">
        <x:f>SUM(M112:N112)</x:f>
        <x:v>10252900</x:v>
      </x:c>
      <x:c r="P112" s="434" t="n">
        <x:f>IF(E112=0,"",K112/E112)</x:f>
        <x:v>40.955</x:v>
      </x:c>
      <x:c r="Q112" s="501" t="n">
        <x:f>IF(E112=0,"",IFERROR(100*(COUNTIFS($E$19:$E$186,"&gt;0",$K$19:$K$186,"&lt;"&amp;K112)+(COUNTIFS($E$19:$E$186,"&gt;0",$K$19:$K$186,K112)-1)/2)/(COUNTIF($E$19:$E$186,"&gt;0")-1),50))</x:f>
        <x:v>40.25974025974026</x:v>
      </x:c>
      <x:c r="R112" s="501" t="n">
        <x:f>IF(E112=0,"",IFERROR(100*(COUNTIFS($E$19:$E$186,"&gt;0",$N$19:$N$186,"&lt;"&amp;N112)+(COUNTIFS($E$19:$E$186,"&gt;0",$N$19:$N$186,N112)-1)/2)/(COUNTIF($E$19:$E$186,"&gt;0")-1),50))</x:f>
        <x:v>27.92207792207792</x:v>
      </x:c>
      <x:c r="S112" s="501" t="n">
        <x:f>IF(E112=0,"",Q112*$R$5+R112*$R$6)</x:f>
        <x:v>37.79220779220779</x:v>
      </x:c>
      <x:c r="T112" s="501" t="n">
        <x:f>IF(M112=0,"",IFERROR(100*(COUNTIFS($M$19:$M$186,"&gt;0",$G$19:$G$186,"&gt;"&amp;G112)+(COUNTIFS($M$19:$M$186,"&gt;0",$G$19:$G$186,G112)-1)/2)/(COUNTIF($M$19:$M$186,"&gt;0")-1),50))</x:f>
        <x:v>29.487179487179485</x:v>
      </x:c>
      <x:c r="U112" s="501" t="n">
        <x:f>IF(M112=0,"",IFERROR(100*(COUNTIFS($M$19:$M$186,"&gt;0",$M$19:$M$186,"&lt;"&amp;M112)+(COUNTIFS($M$19:$M$186,"&gt;0",$M$19:$M$186,M112)-1)/2)/(COUNTIF($M$19:$M$186,"&gt;0")-1),50))</x:f>
        <x:v>29.487179487179485</x:v>
      </x:c>
      <x:c r="V112" s="501" t="n">
        <x:f>IF(M112=0,"",T112*$R$5+U112*$R$6)</x:f>
        <x:v>29.48717948717949</x:v>
      </x:c>
      <x:c r="W112" s="431" t="n">
        <x:f>IF(E112=0,"",COUNTIFS($A$19:$A$186,A112,$S$19:$S$186,"&gt;"&amp;S112)+COUNTIFS($A$19:A112,A112,$E$19:E112,"&gt;0",$S$19:S112,S112))</x:f>
        <x:v>12</x:v>
      </x:c>
      <x:c r="X112" s="431" t="n">
        <x:f>IF(S112="","",1+COUNTIF($S$19:$S$186,"&gt;"&amp;S112))</x:f>
        <x:v>94</x:v>
      </x:c>
      <x:c r="Y112" s="431" t="n">
        <x:f>IF(V112="","",1+COUNTIFS($A$19:$A$186,A112,$V$19:$V$186,"&gt;"&amp;V112))</x:f>
        <x:v>15</x:v>
      </x:c>
      <x:c r="Z112" s="431" t="n">
        <x:f>IF(V112="","",1+COUNTIF($V$19:$V$186,"&gt;"&amp;V112))</x:f>
        <x:v>70</x:v>
      </x:c>
      <x:c r="AA112" s="430" t="str">
        <x:f>IF(C112=0,"No specialisations recorded",IF(D112&lt;C112,"Review missing level","Recorded skills only"))</x:f>
        <x:v>Recorded skills only</x:v>
      </x:c>
      <x:c r="AB112" s="601" t="n">
        <x:f>IF(OR(AP112&lt;&gt;"Yes",E112=0),"",IFERROR(100*(COUNTIFS($AP$19:$AP$186,"Yes",$E$19:$E$186,"&gt;0",$I$19:$I$186,"&lt;"&amp;I112)+(COUNTIFS($AP$19:$AP$186,"Yes",$E$19:$E$186,"&gt;0",$I$19:$I$186,I112)-1)/2)/(COUNTIFS($AP$19:$AP$186,"Yes",$E$19:$E$186,"&gt;0")-1),50))</x:f>
        <x:v>33.44155844155844</x:v>
      </x:c>
      <x:c r="AC112" s="601" t="n">
        <x:f>IF(AB112="","",AB112*'Specialisation Rankings'!$O$16+R112*'Specialisation Rankings'!$O$17)</x:f>
        <x:v>32.33766233766234</x:v>
      </x:c>
      <x:c r="AD112" s="601" t="n">
        <x:f>IF(AC112="","",COUNTIFS($A$19:$A$186,A112,$AP$19:$AP$186,"Yes",$E$19:$E$186,"&gt;0",$AC$19:$AC$186,"&gt;"&amp;AC112)+COUNTIFS($A$19:A112,A112,$AP$19:AP112,"Yes",$E$19:E112,"&gt;0",$AC$19:AC112,AC112))</x:f>
        <x:v>16</x:v>
      </x:c>
      <x:c r="AE112" s="601" t="n">
        <x:f>IF(OR(AP112&lt;&gt;"Yes",E112=0),"",IFERROR(100*(COUNTIFS($AP$19:$AP$186,"Yes",$E$19:$E$186,"&gt;0",$H$19:$H$186,"&lt;"&amp;H112)+(COUNTIFS($AP$19:$AP$186,"Yes",$E$19:$E$186,"&gt;0",$H$19:$H$186,H112)-1)/2)/(COUNTIFS($AP$19:$AP$186,"Yes",$E$19:$E$186,"&gt;0")-1),50))</x:f>
        <x:v>64.6103896103896</x:v>
      </x:c>
      <x:c r="AF112" s="601" t="n">
        <x:f>IF(AE112="","",AE112*'Specialisation Rankings'!$O$16+R112*'Specialisation Rankings'!$O$17)</x:f>
        <x:v>57.272727272727266</x:v>
      </x:c>
      <x:c r="AG112" s="601" t="n">
        <x:f>IF(AF112="","",COUNTIFS($A$19:$A$186,A112,$AP$19:$AP$186,"Yes",$E$19:$E$186,"&gt;0",$AF$19:$AF$186,"&gt;"&amp;AF112)+COUNTIFS($A$19:A112,A112,$AP$19:AP112,"Yes",$E$19:E112,"&gt;0",$AF$19:AF112,AF112))</x:f>
        <x:v>7</x:v>
      </x:c>
      <x:c r="AH112" s="601" t="n">
        <x:f>IF(OR(AP112&lt;&gt;"Yes",E112=0),"",IFERROR(100*(COUNTIFS($AP$19:$AP$186,"Yes",$E$19:$E$186,"&gt;0",$J$19:$J$186,"&lt;"&amp;J112)+(COUNTIFS($AP$19:$AP$186,"Yes",$E$19:$E$186,"&gt;0",$J$19:$J$186,J112)-1)/2)/(COUNTIFS($AP$19:$AP$186,"Yes",$E$19:$E$186,"&gt;0")-1),50))</x:f>
        <x:v>33.116883116883116</x:v>
      </x:c>
      <x:c r="AI112" s="601" t="n">
        <x:f>IF(AH112="","",AH112*'Specialisation Rankings'!$O$16+R112*'Specialisation Rankings'!$O$17)</x:f>
        <x:v>32.07792207792208</x:v>
      </x:c>
      <x:c r="AJ112" s="601" t="n">
        <x:f>IF(AI112="","",COUNTIFS($A$19:$A$186,A112,$AP$19:$AP$186,"Yes",$E$19:$E$186,"&gt;0",$AI$19:$AI$186,"&gt;"&amp;AI112)+COUNTIFS($A$19:A112,A112,$AP$19:AP112,"Yes",$E$19:E112,"&gt;0",$AI$19:AI112,AI112))</x:f>
        <x:v>15</x:v>
      </x:c>
      <x:c r="AK112" s="601" t="n">
        <x:f>IF(OR(AP112&lt;&gt;"Yes",E112=0),"",IF(M112=0,'Specialisation Rankings'!$O$23,V112))</x:f>
        <x:v>29.48717948717949</x:v>
      </x:c>
      <x:c r="AL112" s="601" t="n">
        <x:f>IF(AK112="","",COUNTIFS($A$19:$A$186,A112,$AP$19:$AP$186,"Yes",$E$19:$E$186,"&gt;0",$AK$19:$AK$186,"&gt;"&amp;AK112)+COUNTIFS($A$19:A112,A112,$AP$19:AP112,"Yes",$E$19:E112,"&gt;0",$AK$19:AK112,AK112))</x:f>
        <x:v>19</x:v>
      </x:c>
      <x:c r="AM112" s="601" t="n">
        <x:f>IF(AC112="","",AC112*'Specialisation Rankings'!$O$18+AF112*'Specialisation Rankings'!$O$19+AI112*'Specialisation Rankings'!$O$20+AK112*'Specialisation Rankings'!$O$21)</x:f>
        <x:v>34.50715950715951</x:v>
      </x:c>
      <x:c r="AN112" s="601" t="n">
        <x:f>IF(AM112="","",COUNTIFS($A$19:$A$186,A112,$AP$19:$AP$186,"Yes",$E$19:$E$186,"&gt;0",$AM$19:$AM$186,"&gt;"&amp;AM112)+COUNTIFS($A$19:A112,A112,$AP$19:AP112,"Yes",$E$19:E112,"&gt;0",$AM$19:AM112,AM112))</x:f>
        <x:v>16</x:v>
      </x:c>
      <x:c r="AO112" s="601" t="n">
        <x:f>IF(AM112="","",COUNTIFS($AP$19:$AP$186,"Yes",$E$19:$E$186,"&gt;0",$AM$19:$AM$186,"&gt;"&amp;AM112)+COUNTIFS($AP$19:AP112,"Yes",$E$19:E112,"&gt;0",$AM$19:AM112,AM112))</x:f>
        <x:v>106</x:v>
      </x:c>
      <x:c r="AP112" s="602" t="str">
        <x:f>IF(COUNTIFS('Player Scenario Model'!$A$6:$A$172,A112,'Player Scenario Model'!$B$6:$B$172,B112)&gt;0,"Yes","No")</x:f>
        <x:v>Yes</x:v>
      </x:c>
    </x:row>
    <x:row r="113" ht="24" customHeight="1">
      <x:c r="A113" s="430" t="str">
        <x:v>K170</x:v>
      </x:c>
      <x:c r="B113" s="430" t="str">
        <x:v>(AOT)Kelley</x:v>
      </x:c>
      <x:c r="C113" s="431" t="n">
        <x:f>COUNTIFS('Specialisations'!$A$6:$A$527,A113,'Specialisations'!$B$6:$B$527,B113)</x:f>
        <x:v>0</x:v>
      </x:c>
      <x:c r="D113" s="431" t="n">
        <x:f>COUNTIFS('Specialisations'!$A$6:$A$527,A113,'Specialisations'!$B$6:$B$527,B113,'Specialisations'!$P$6:$P$527,"OK")</x:f>
        <x:v>0</x:v>
      </x:c>
      <x:c r="E113" s="431" t="n">
        <x:f>COUNTIFS('Specialisations'!$A$6:$A$527,A113,'Specialisations'!$B$6:$B$527,B113,'Specialisations'!$P$6:$P$527,"OK",'Specialisations'!$C$6:$C$527,"&lt;&gt;Guards")</x:f>
        <x:v>0</x:v>
      </x:c>
      <x:c r="F113" s="432" t="str">
        <x:f>IF(C113=0,"",D113/C113)</x:f>
      </x:c>
      <x:c r="G113" s="495" t="n">
        <x:f>SUMIFS('Specialisations'!$Q$6:$Q$527,'Specialisations'!$A$6:$A$527,A113,'Specialisations'!$B$6:$B$527,B113,'Specialisations'!$C$6:$C$527,"Guards")</x:f>
        <x:v>0</x:v>
      </x:c>
      <x:c r="H113" s="495" t="n">
        <x:f>SUMIFS('Specialisations'!$Q$6:$Q$527,'Specialisations'!$A$6:$A$527,A113,'Specialisations'!$B$6:$B$527,B113,'Specialisations'!$C$6:$C$527,"Archers")</x:f>
        <x:v>0</x:v>
      </x:c>
      <x:c r="I113" s="495" t="n">
        <x:f>SUMIFS('Specialisations'!$Q$6:$Q$527,'Specialisations'!$A$6:$A$527,A113,'Specialisations'!$B$6:$B$527,B113,'Specialisations'!$C$6:$C$527,"Cavalry")</x:f>
        <x:v>0</x:v>
      </x:c>
      <x:c r="J113" s="495" t="n">
        <x:f>SUMIFS('Specialisations'!$Q$6:$Q$527,'Specialisations'!$A$6:$A$527,A113,'Specialisations'!$B$6:$B$527,B113,'Specialisations'!$C$6:$C$527,"Siege")</x:f>
        <x:v>0</x:v>
      </x:c>
      <x:c r="K113" s="495" t="n">
        <x:f>SUM(H113:J113)</x:f>
        <x:v>0</x:v>
      </x:c>
      <x:c r="L113" s="495" t="n">
        <x:f>SUM(G113,K113)</x:f>
        <x:v>0</x:v>
      </x:c>
      <x:c r="M113" s="433" t="n">
        <x:f>SUMIFS('Specialisations'!$N$6:$N$527,'Specialisations'!$A$6:$A$527,A113,'Specialisations'!$B$6:$B$527,B113,'Specialisations'!$C$6:$C$527,"Guards")</x:f>
        <x:v>0</x:v>
      </x:c>
      <x:c r="N113" s="433" t="n">
        <x:f>SUMIFS('Specialisations'!$N$6:$N$527,'Specialisations'!$A$6:$A$527,A113,'Specialisations'!$B$6:$B$527,B113,'Specialisations'!$C$6:$C$527,"&lt;&gt;Guards")</x:f>
        <x:v>0</x:v>
      </x:c>
      <x:c r="O113" s="433" t="n">
        <x:f>SUM(M113:N113)</x:f>
        <x:v>0</x:v>
      </x:c>
      <x:c r="P113" s="434" t="str">
        <x:f>IF(E113=0,"",K113/E113)</x:f>
      </x:c>
      <x:c r="Q113" s="501" t="str">
        <x:f>IF(E113=0,"",IFERROR(100*(COUNTIFS($E$19:$E$186,"&gt;0",$K$19:$K$186,"&lt;"&amp;K113)+(COUNTIFS($E$19:$E$186,"&gt;0",$K$19:$K$186,K113)-1)/2)/(COUNTIF($E$19:$E$186,"&gt;0")-1),50))</x:f>
      </x:c>
      <x:c r="R113" s="501" t="str">
        <x:f>IF(E113=0,"",IFERROR(100*(COUNTIFS($E$19:$E$186,"&gt;0",$N$19:$N$186,"&lt;"&amp;N113)+(COUNTIFS($E$19:$E$186,"&gt;0",$N$19:$N$186,N113)-1)/2)/(COUNTIF($E$19:$E$186,"&gt;0")-1),50))</x:f>
      </x:c>
      <x:c r="S113" s="501" t="str">
        <x:f>IF(E113=0,"",Q113*$R$5+R113*$R$6)</x:f>
      </x:c>
      <x:c r="T113" s="501" t="str">
        <x:f>IF(M113=0,"",IFERROR(100*(COUNTIFS($M$19:$M$186,"&gt;0",$G$19:$G$186,"&gt;"&amp;G113)+(COUNTIFS($M$19:$M$186,"&gt;0",$G$19:$G$186,G113)-1)/2)/(COUNTIF($M$19:$M$186,"&gt;0")-1),50))</x:f>
      </x:c>
      <x:c r="U113" s="501" t="str">
        <x:f>IF(M113=0,"",IFERROR(100*(COUNTIFS($M$19:$M$186,"&gt;0",$M$19:$M$186,"&lt;"&amp;M113)+(COUNTIFS($M$19:$M$186,"&gt;0",$M$19:$M$186,M113)-1)/2)/(COUNTIF($M$19:$M$186,"&gt;0")-1),50))</x:f>
      </x:c>
      <x:c r="V113" s="501" t="str">
        <x:f>IF(M113=0,"",T113*$R$5+U113*$R$6)</x:f>
      </x:c>
      <x:c r="W113" s="431" t="str">
        <x:f>IF(E113=0,"",COUNTIFS($A$19:$A$186,A113,$S$19:$S$186,"&gt;"&amp;S113)+COUNTIFS($A$19:A113,A113,$E$19:E113,"&gt;0",$S$19:S113,S113))</x:f>
      </x:c>
      <x:c r="X113" s="431" t="str">
        <x:f>IF(S113="","",1+COUNTIF($S$19:$S$186,"&gt;"&amp;S113))</x:f>
      </x:c>
      <x:c r="Y113" s="431" t="str">
        <x:f>IF(V113="","",1+COUNTIFS($A$19:$A$186,A113,$V$19:$V$186,"&gt;"&amp;V113))</x:f>
      </x:c>
      <x:c r="Z113" s="431" t="str">
        <x:f>IF(V113="","",1+COUNTIF($V$19:$V$186,"&gt;"&amp;V113))</x:f>
      </x:c>
      <x:c r="AA113" s="430" t="str">
        <x:f>IF(C113=0,"No specialisations recorded",IF(D113&lt;C113,"Review missing level","Recorded skills only"))</x:f>
        <x:v>No specialisations recorded</x:v>
      </x:c>
      <x:c r="AB113" s="601" t="str">
        <x:f>IF(OR(AP113&lt;&gt;"Yes",E113=0),"",IFERROR(100*(COUNTIFS($AP$19:$AP$186,"Yes",$E$19:$E$186,"&gt;0",$I$19:$I$186,"&lt;"&amp;I113)+(COUNTIFS($AP$19:$AP$186,"Yes",$E$19:$E$186,"&gt;0",$I$19:$I$186,I113)-1)/2)/(COUNTIFS($AP$19:$AP$186,"Yes",$E$19:$E$186,"&gt;0")-1),50))</x:f>
      </x:c>
      <x:c r="AC113" s="601" t="str">
        <x:f>IF(AB113="","",AB113*'Specialisation Rankings'!$O$16+R113*'Specialisation Rankings'!$O$17)</x:f>
      </x:c>
      <x:c r="AD113" s="601" t="str">
        <x:f>IF(AC113="","",COUNTIFS($A$19:$A$186,A113,$AP$19:$AP$186,"Yes",$E$19:$E$186,"&gt;0",$AC$19:$AC$186,"&gt;"&amp;AC113)+COUNTIFS($A$19:A113,A113,$AP$19:AP113,"Yes",$E$19:E113,"&gt;0",$AC$19:AC113,AC113))</x:f>
      </x:c>
      <x:c r="AE113" s="601" t="str">
        <x:f>IF(OR(AP113&lt;&gt;"Yes",E113=0),"",IFERROR(100*(COUNTIFS($AP$19:$AP$186,"Yes",$E$19:$E$186,"&gt;0",$H$19:$H$186,"&lt;"&amp;H113)+(COUNTIFS($AP$19:$AP$186,"Yes",$E$19:$E$186,"&gt;0",$H$19:$H$186,H113)-1)/2)/(COUNTIFS($AP$19:$AP$186,"Yes",$E$19:$E$186,"&gt;0")-1),50))</x:f>
      </x:c>
      <x:c r="AF113" s="601" t="str">
        <x:f>IF(AE113="","",AE113*'Specialisation Rankings'!$O$16+R113*'Specialisation Rankings'!$O$17)</x:f>
      </x:c>
      <x:c r="AG113" s="601" t="str">
        <x:f>IF(AF113="","",COUNTIFS($A$19:$A$186,A113,$AP$19:$AP$186,"Yes",$E$19:$E$186,"&gt;0",$AF$19:$AF$186,"&gt;"&amp;AF113)+COUNTIFS($A$19:A113,A113,$AP$19:AP113,"Yes",$E$19:E113,"&gt;0",$AF$19:AF113,AF113))</x:f>
      </x:c>
      <x:c r="AH113" s="601" t="str">
        <x:f>IF(OR(AP113&lt;&gt;"Yes",E113=0),"",IFERROR(100*(COUNTIFS($AP$19:$AP$186,"Yes",$E$19:$E$186,"&gt;0",$J$19:$J$186,"&lt;"&amp;J113)+(COUNTIFS($AP$19:$AP$186,"Yes",$E$19:$E$186,"&gt;0",$J$19:$J$186,J113)-1)/2)/(COUNTIFS($AP$19:$AP$186,"Yes",$E$19:$E$186,"&gt;0")-1),50))</x:f>
      </x:c>
      <x:c r="AI113" s="601" t="str">
        <x:f>IF(AH113="","",AH113*'Specialisation Rankings'!$O$16+R113*'Specialisation Rankings'!$O$17)</x:f>
      </x:c>
      <x:c r="AJ113" s="601" t="str">
        <x:f>IF(AI113="","",COUNTIFS($A$19:$A$186,A113,$AP$19:$AP$186,"Yes",$E$19:$E$186,"&gt;0",$AI$19:$AI$186,"&gt;"&amp;AI113)+COUNTIFS($A$19:A113,A113,$AP$19:AP113,"Yes",$E$19:E113,"&gt;0",$AI$19:AI113,AI113))</x:f>
      </x:c>
      <x:c r="AK113" s="601" t="str">
        <x:f>IF(OR(AP113&lt;&gt;"Yes",E113=0),"",IF(M113=0,'Specialisation Rankings'!$O$23,V113))</x:f>
      </x:c>
      <x:c r="AL113" s="601" t="str">
        <x:f>IF(AK113="","",COUNTIFS($A$19:$A$186,A113,$AP$19:$AP$186,"Yes",$E$19:$E$186,"&gt;0",$AK$19:$AK$186,"&gt;"&amp;AK113)+COUNTIFS($A$19:A113,A113,$AP$19:AP113,"Yes",$E$19:E113,"&gt;0",$AK$19:AK113,AK113))</x:f>
      </x:c>
      <x:c r="AM113" s="601" t="str">
        <x:f>IF(AC113="","",AC113*'Specialisation Rankings'!$O$18+AF113*'Specialisation Rankings'!$O$19+AI113*'Specialisation Rankings'!$O$20+AK113*'Specialisation Rankings'!$O$21)</x:f>
      </x:c>
      <x:c r="AN113" s="601" t="str">
        <x:f>IF(AM113="","",COUNTIFS($A$19:$A$186,A113,$AP$19:$AP$186,"Yes",$E$19:$E$186,"&gt;0",$AM$19:$AM$186,"&gt;"&amp;AM113)+COUNTIFS($A$19:A113,A113,$AP$19:AP113,"Yes",$E$19:E113,"&gt;0",$AM$19:AM113,AM113))</x:f>
      </x:c>
      <x:c r="AO113" s="601" t="str">
        <x:f>IF(AM113="","",COUNTIFS($AP$19:$AP$186,"Yes",$E$19:$E$186,"&gt;0",$AM$19:$AM$186,"&gt;"&amp;AM113)+COUNTIFS($AP$19:AP113,"Yes",$E$19:E113,"&gt;0",$AM$19:AM113,AM113))</x:f>
      </x:c>
      <x:c r="AP113" s="602" t="str">
        <x:f>IF(COUNTIFS('Player Scenario Model'!$A$6:$A$172,A113,'Player Scenario Model'!$B$6:$B$172,B113)&gt;0,"Yes","No")</x:f>
        <x:v>Yes</x:v>
      </x:c>
    </x:row>
    <x:row r="114" ht="24" customHeight="1">
      <x:c r="A114" s="430" t="str">
        <x:v>K170</x:v>
      </x:c>
      <x:c r="B114" s="430" t="str">
        <x:v>(AOT)鸣鸣鸣</x:v>
      </x:c>
      <x:c r="C114" s="431" t="n">
        <x:f>COUNTIFS('Specialisations'!$A$6:$A$527,A114,'Specialisations'!$B$6:$B$527,B114)</x:f>
        <x:v>3</x:v>
      </x:c>
      <x:c r="D114" s="431" t="n">
        <x:f>COUNTIFS('Specialisations'!$A$6:$A$527,A114,'Specialisations'!$B$6:$B$527,B114,'Specialisations'!$P$6:$P$527,"OK")</x:f>
        <x:v>3</x:v>
      </x:c>
      <x:c r="E114" s="431" t="n">
        <x:f>COUNTIFS('Specialisations'!$A$6:$A$527,A114,'Specialisations'!$B$6:$B$527,B114,'Specialisations'!$P$6:$P$527,"OK",'Specialisations'!$C$6:$C$527,"&lt;&gt;Guards")</x:f>
        <x:v>3</x:v>
      </x:c>
      <x:c r="F114" s="432" t="n">
        <x:f>IF(C114=0,"",D114/C114)</x:f>
        <x:v>1</x:v>
      </x:c>
      <x:c r="G114" s="495" t="n">
        <x:f>SUMIFS('Specialisations'!$Q$6:$Q$527,'Specialisations'!$A$6:$A$527,A114,'Specialisations'!$B$6:$B$527,B114,'Specialisations'!$C$6:$C$527,"Guards")</x:f>
        <x:v>0</x:v>
      </x:c>
      <x:c r="H114" s="495" t="n">
        <x:f>SUMIFS('Specialisations'!$Q$6:$Q$527,'Specialisations'!$A$6:$A$527,A114,'Specialisations'!$B$6:$B$527,B114,'Specialisations'!$C$6:$C$527,"Archers")</x:f>
        <x:v>41.98</x:v>
      </x:c>
      <x:c r="I114" s="495" t="n">
        <x:f>SUMIFS('Specialisations'!$Q$6:$Q$527,'Specialisations'!$A$6:$A$527,A114,'Specialisations'!$B$6:$B$527,B114,'Specialisations'!$C$6:$C$527,"Cavalry")</x:f>
        <x:v>93.51</x:v>
      </x:c>
      <x:c r="J114" s="495" t="n">
        <x:f>SUMIFS('Specialisations'!$Q$6:$Q$527,'Specialisations'!$A$6:$A$527,A114,'Specialisations'!$B$6:$B$527,B114,'Specialisations'!$C$6:$C$527,"Siege")</x:f>
        <x:v>0</x:v>
      </x:c>
      <x:c r="K114" s="495" t="n">
        <x:f>SUM(H114:J114)</x:f>
        <x:v>135.49</x:v>
      </x:c>
      <x:c r="L114" s="495" t="n">
        <x:f>SUM(G114,K114)</x:f>
        <x:v>135.49</x:v>
      </x:c>
      <x:c r="M114" s="433" t="n">
        <x:f>SUMIFS('Specialisations'!$N$6:$N$527,'Specialisations'!$A$6:$A$527,A114,'Specialisations'!$B$6:$B$527,B114,'Specialisations'!$C$6:$C$527,"Guards")</x:f>
        <x:v>0</x:v>
      </x:c>
      <x:c r="N114" s="433" t="n">
        <x:f>SUMIFS('Specialisations'!$N$6:$N$527,'Specialisations'!$A$6:$A$527,A114,'Specialisations'!$B$6:$B$527,B114,'Specialisations'!$C$6:$C$527,"&lt;&gt;Guards")</x:f>
        <x:v>15172900</x:v>
      </x:c>
      <x:c r="O114" s="433" t="n">
        <x:f>SUM(M114:N114)</x:f>
        <x:v>15172900</x:v>
      </x:c>
      <x:c r="P114" s="434" t="n">
        <x:f>IF(E114=0,"",K114/E114)</x:f>
        <x:v>45.163333333333334</x:v>
      </x:c>
      <x:c r="Q114" s="501" t="n">
        <x:f>IF(E114=0,"",IFERROR(100*(COUNTIFS($E$19:$E$186,"&gt;0",$K$19:$K$186,"&lt;"&amp;K114)+(COUNTIFS($E$19:$E$186,"&gt;0",$K$19:$K$186,K114)-1)/2)/(COUNTIF($E$19:$E$186,"&gt;0")-1),50))</x:f>
        <x:v>82.46753246753246</x:v>
      </x:c>
      <x:c r="R114" s="501" t="n">
        <x:f>IF(E114=0,"",IFERROR(100*(COUNTIFS($E$19:$E$186,"&gt;0",$N$19:$N$186,"&lt;"&amp;N114)+(COUNTIFS($E$19:$E$186,"&gt;0",$N$19:$N$186,N114)-1)/2)/(COUNTIF($E$19:$E$186,"&gt;0")-1),50))</x:f>
        <x:v>77.92207792207792</x:v>
      </x:c>
      <x:c r="S114" s="501" t="n">
        <x:f>IF(E114=0,"",Q114*$R$5+R114*$R$6)</x:f>
        <x:v>81.55844155844156</x:v>
      </x:c>
      <x:c r="T114" s="501" t="str">
        <x:f>IF(M114=0,"",IFERROR(100*(COUNTIFS($M$19:$M$186,"&gt;0",$G$19:$G$186,"&gt;"&amp;G114)+(COUNTIFS($M$19:$M$186,"&gt;0",$G$19:$G$186,G114)-1)/2)/(COUNTIF($M$19:$M$186,"&gt;0")-1),50))</x:f>
      </x:c>
      <x:c r="U114" s="501" t="str">
        <x:f>IF(M114=0,"",IFERROR(100*(COUNTIFS($M$19:$M$186,"&gt;0",$M$19:$M$186,"&lt;"&amp;M114)+(COUNTIFS($M$19:$M$186,"&gt;0",$M$19:$M$186,M114)-1)/2)/(COUNTIF($M$19:$M$186,"&gt;0")-1),50))</x:f>
      </x:c>
      <x:c r="V114" s="501" t="str">
        <x:f>IF(M114=0,"",T114*$R$5+U114*$R$6)</x:f>
      </x:c>
      <x:c r="W114" s="431" t="n">
        <x:f>IF(E114=0,"",COUNTIFS($A$19:$A$186,A114,$S$19:$S$186,"&gt;"&amp;S114)+COUNTIFS($A$19:A114,A114,$E$19:E114,"&gt;0",$S$19:S114,S114))</x:f>
        <x:v>2</x:v>
      </x:c>
      <x:c r="X114" s="431" t="n">
        <x:f>IF(S114="","",1+COUNTIF($S$19:$S$186,"&gt;"&amp;S114))</x:f>
        <x:v>28</x:v>
      </x:c>
      <x:c r="Y114" s="431" t="str">
        <x:f>IF(V114="","",1+COUNTIFS($A$19:$A$186,A114,$V$19:$V$186,"&gt;"&amp;V114))</x:f>
      </x:c>
      <x:c r="Z114" s="431" t="str">
        <x:f>IF(V114="","",1+COUNTIF($V$19:$V$186,"&gt;"&amp;V114))</x:f>
      </x:c>
      <x:c r="AA114" s="430" t="str">
        <x:f>IF(C114=0,"No specialisations recorded",IF(D114&lt;C114,"Review missing level","Recorded skills only"))</x:f>
        <x:v>Recorded skills only</x:v>
      </x:c>
      <x:c r="AB114" s="601" t="n">
        <x:f>IF(OR(AP114&lt;&gt;"Yes",E114=0),"",IFERROR(100*(COUNTIFS($AP$19:$AP$186,"Yes",$E$19:$E$186,"&gt;0",$I$19:$I$186,"&lt;"&amp;I114)+(COUNTIFS($AP$19:$AP$186,"Yes",$E$19:$E$186,"&gt;0",$I$19:$I$186,I114)-1)/2)/(COUNTIFS($AP$19:$AP$186,"Yes",$E$19:$E$186,"&gt;0")-1),50))</x:f>
        <x:v>78.8961038961039</x:v>
      </x:c>
      <x:c r="AC114" s="601" t="n">
        <x:f>IF(AB114="","",AB114*'Specialisation Rankings'!$O$16+R114*'Specialisation Rankings'!$O$17)</x:f>
        <x:v>78.7012987012987</x:v>
      </x:c>
      <x:c r="AD114" s="601" t="n">
        <x:f>IF(AC114="","",COUNTIFS($A$19:$A$186,A114,$AP$19:$AP$186,"Yes",$E$19:$E$186,"&gt;0",$AC$19:$AC$186,"&gt;"&amp;AC114)+COUNTIFS($A$19:A114,A114,$AP$19:AP114,"Yes",$E$19:E114,"&gt;0",$AC$19:AC114,AC114))</x:f>
        <x:v>5</x:v>
      </x:c>
      <x:c r="AE114" s="601" t="n">
        <x:f>IF(OR(AP114&lt;&gt;"Yes",E114=0),"",IFERROR(100*(COUNTIFS($AP$19:$AP$186,"Yes",$E$19:$E$186,"&gt;0",$H$19:$H$186,"&lt;"&amp;H114)+(COUNTIFS($AP$19:$AP$186,"Yes",$E$19:$E$186,"&gt;0",$H$19:$H$186,H114)-1)/2)/(COUNTIFS($AP$19:$AP$186,"Yes",$E$19:$E$186,"&gt;0")-1),50))</x:f>
        <x:v>68.50649350649351</x:v>
      </x:c>
      <x:c r="AF114" s="601" t="n">
        <x:f>IF(AE114="","",AE114*'Specialisation Rankings'!$O$16+R114*'Specialisation Rankings'!$O$17)</x:f>
        <x:v>70.3896103896104</x:v>
      </x:c>
      <x:c r="AG114" s="601" t="n">
        <x:f>IF(AF114="","",COUNTIFS($A$19:$A$186,A114,$AP$19:$AP$186,"Yes",$E$19:$E$186,"&gt;0",$AF$19:$AF$186,"&gt;"&amp;AF114)+COUNTIFS($A$19:A114,A114,$AP$19:AP114,"Yes",$E$19:E114,"&gt;0",$AF$19:AF114,AF114))</x:f>
        <x:v>3</x:v>
      </x:c>
      <x:c r="AH114" s="601" t="n">
        <x:f>IF(OR(AP114&lt;&gt;"Yes",E114=0),"",IFERROR(100*(COUNTIFS($AP$19:$AP$186,"Yes",$E$19:$E$186,"&gt;0",$J$19:$J$186,"&lt;"&amp;J114)+(COUNTIFS($AP$19:$AP$186,"Yes",$E$19:$E$186,"&gt;0",$J$19:$J$186,J114)-1)/2)/(COUNTIFS($AP$19:$AP$186,"Yes",$E$19:$E$186,"&gt;0")-1),50))</x:f>
        <x:v>33.116883116883116</x:v>
      </x:c>
      <x:c r="AI114" s="601" t="n">
        <x:f>IF(AH114="","",AH114*'Specialisation Rankings'!$O$16+R114*'Specialisation Rankings'!$O$17)</x:f>
        <x:v>42.07792207792208</x:v>
      </x:c>
      <x:c r="AJ114" s="601" t="n">
        <x:f>IF(AI114="","",COUNTIFS($A$19:$A$186,A114,$AP$19:$AP$186,"Yes",$E$19:$E$186,"&gt;0",$AI$19:$AI$186,"&gt;"&amp;AI114)+COUNTIFS($A$19:A114,A114,$AP$19:AP114,"Yes",$E$19:E114,"&gt;0",$AI$19:AI114,AI114))</x:f>
        <x:v>11</x:v>
      </x:c>
      <x:c r="AK114" s="601" t="n">
        <x:f>IF(OR(AP114&lt;&gt;"Yes",E114=0),"",IF(M114=0,'Specialisation Rankings'!$O$23,V114))</x:f>
        <x:v>50</x:v>
      </x:c>
      <x:c r="AL114" s="601" t="n">
        <x:f>IF(AK114="","",COUNTIFS($A$19:$A$186,A114,$AP$19:$AP$186,"Yes",$E$19:$E$186,"&gt;0",$AK$19:$AK$186,"&gt;"&amp;AK114)+COUNTIFS($A$19:A114,A114,$AP$19:AP114,"Yes",$E$19:E114,"&gt;0",$AK$19:AK114,AK114))</x:f>
        <x:v>15</x:v>
      </x:c>
      <x:c r="AM114" s="601" t="n">
        <x:f>IF(AC114="","",AC114*'Specialisation Rankings'!$O$18+AF114*'Specialisation Rankings'!$O$19+AI114*'Specialisation Rankings'!$O$20+AK114*'Specialisation Rankings'!$O$21)</x:f>
        <x:v>69.50649350649351</x:v>
      </x:c>
      <x:c r="AN114" s="601" t="n">
        <x:f>IF(AM114="","",COUNTIFS($A$19:$A$186,A114,$AP$19:$AP$186,"Yes",$E$19:$E$186,"&gt;0",$AM$19:$AM$186,"&gt;"&amp;AM114)+COUNTIFS($A$19:A114,A114,$AP$19:AP114,"Yes",$E$19:E114,"&gt;0",$AM$19:AM114,AM114))</x:f>
        <x:v>5</x:v>
      </x:c>
      <x:c r="AO114" s="601" t="n">
        <x:f>IF(AM114="","",COUNTIFS($AP$19:$AP$186,"Yes",$E$19:$E$186,"&gt;0",$AM$19:$AM$186,"&gt;"&amp;AM114)+COUNTIFS($AP$19:AP114,"Yes",$E$19:E114,"&gt;0",$AM$19:AM114,AM114))</x:f>
        <x:v>36</x:v>
      </x:c>
      <x:c r="AP114" s="602" t="str">
        <x:f>IF(COUNTIFS('Player Scenario Model'!$A$6:$A$172,A114,'Player Scenario Model'!$B$6:$B$172,B114)&gt;0,"Yes","No")</x:f>
        <x:v>Yes</x:v>
      </x:c>
    </x:row>
    <x:row r="115" ht="24" customHeight="1">
      <x:c r="A115" s="430" t="str">
        <x:v>K170</x:v>
      </x:c>
      <x:c r="B115" s="430" t="str">
        <x:v>(AOT)aweirdmind</x:v>
      </x:c>
      <x:c r="C115" s="431" t="n">
        <x:f>COUNTIFS('Specialisations'!$A$6:$A$527,A115,'Specialisations'!$B$6:$B$527,B115)</x:f>
        <x:v>0</x:v>
      </x:c>
      <x:c r="D115" s="431" t="n">
        <x:f>COUNTIFS('Specialisations'!$A$6:$A$527,A115,'Specialisations'!$B$6:$B$527,B115,'Specialisations'!$P$6:$P$527,"OK")</x:f>
        <x:v>0</x:v>
      </x:c>
      <x:c r="E115" s="431" t="n">
        <x:f>COUNTIFS('Specialisations'!$A$6:$A$527,A115,'Specialisations'!$B$6:$B$527,B115,'Specialisations'!$P$6:$P$527,"OK",'Specialisations'!$C$6:$C$527,"&lt;&gt;Guards")</x:f>
        <x:v>0</x:v>
      </x:c>
      <x:c r="F115" s="432" t="str">
        <x:f>IF(C115=0,"",D115/C115)</x:f>
      </x:c>
      <x:c r="G115" s="495" t="n">
        <x:f>SUMIFS('Specialisations'!$Q$6:$Q$527,'Specialisations'!$A$6:$A$527,A115,'Specialisations'!$B$6:$B$527,B115,'Specialisations'!$C$6:$C$527,"Guards")</x:f>
        <x:v>0</x:v>
      </x:c>
      <x:c r="H115" s="495" t="n">
        <x:f>SUMIFS('Specialisations'!$Q$6:$Q$527,'Specialisations'!$A$6:$A$527,A115,'Specialisations'!$B$6:$B$527,B115,'Specialisations'!$C$6:$C$527,"Archers")</x:f>
        <x:v>0</x:v>
      </x:c>
      <x:c r="I115" s="495" t="n">
        <x:f>SUMIFS('Specialisations'!$Q$6:$Q$527,'Specialisations'!$A$6:$A$527,A115,'Specialisations'!$B$6:$B$527,B115,'Specialisations'!$C$6:$C$527,"Cavalry")</x:f>
        <x:v>0</x:v>
      </x:c>
      <x:c r="J115" s="495" t="n">
        <x:f>SUMIFS('Specialisations'!$Q$6:$Q$527,'Specialisations'!$A$6:$A$527,A115,'Specialisations'!$B$6:$B$527,B115,'Specialisations'!$C$6:$C$527,"Siege")</x:f>
        <x:v>0</x:v>
      </x:c>
      <x:c r="K115" s="495" t="n">
        <x:f>SUM(H115:J115)</x:f>
        <x:v>0</x:v>
      </x:c>
      <x:c r="L115" s="495" t="n">
        <x:f>SUM(G115,K115)</x:f>
        <x:v>0</x:v>
      </x:c>
      <x:c r="M115" s="433" t="n">
        <x:f>SUMIFS('Specialisations'!$N$6:$N$527,'Specialisations'!$A$6:$A$527,A115,'Specialisations'!$B$6:$B$527,B115,'Specialisations'!$C$6:$C$527,"Guards")</x:f>
        <x:v>0</x:v>
      </x:c>
      <x:c r="N115" s="433" t="n">
        <x:f>SUMIFS('Specialisations'!$N$6:$N$527,'Specialisations'!$A$6:$A$527,A115,'Specialisations'!$B$6:$B$527,B115,'Specialisations'!$C$6:$C$527,"&lt;&gt;Guards")</x:f>
        <x:v>0</x:v>
      </x:c>
      <x:c r="O115" s="433" t="n">
        <x:f>SUM(M115:N115)</x:f>
        <x:v>0</x:v>
      </x:c>
      <x:c r="P115" s="434" t="str">
        <x:f>IF(E115=0,"",K115/E115)</x:f>
      </x:c>
      <x:c r="Q115" s="501" t="str">
        <x:f>IF(E115=0,"",IFERROR(100*(COUNTIFS($E$19:$E$186,"&gt;0",$K$19:$K$186,"&lt;"&amp;K115)+(COUNTIFS($E$19:$E$186,"&gt;0",$K$19:$K$186,K115)-1)/2)/(COUNTIF($E$19:$E$186,"&gt;0")-1),50))</x:f>
      </x:c>
      <x:c r="R115" s="501" t="str">
        <x:f>IF(E115=0,"",IFERROR(100*(COUNTIFS($E$19:$E$186,"&gt;0",$N$19:$N$186,"&lt;"&amp;N115)+(COUNTIFS($E$19:$E$186,"&gt;0",$N$19:$N$186,N115)-1)/2)/(COUNTIF($E$19:$E$186,"&gt;0")-1),50))</x:f>
      </x:c>
      <x:c r="S115" s="501" t="str">
        <x:f>IF(E115=0,"",Q115*$R$5+R115*$R$6)</x:f>
      </x:c>
      <x:c r="T115" s="501" t="str">
        <x:f>IF(M115=0,"",IFERROR(100*(COUNTIFS($M$19:$M$186,"&gt;0",$G$19:$G$186,"&gt;"&amp;G115)+(COUNTIFS($M$19:$M$186,"&gt;0",$G$19:$G$186,G115)-1)/2)/(COUNTIF($M$19:$M$186,"&gt;0")-1),50))</x:f>
      </x:c>
      <x:c r="U115" s="501" t="str">
        <x:f>IF(M115=0,"",IFERROR(100*(COUNTIFS($M$19:$M$186,"&gt;0",$M$19:$M$186,"&lt;"&amp;M115)+(COUNTIFS($M$19:$M$186,"&gt;0",$M$19:$M$186,M115)-1)/2)/(COUNTIF($M$19:$M$186,"&gt;0")-1),50))</x:f>
      </x:c>
      <x:c r="V115" s="501" t="str">
        <x:f>IF(M115=0,"",T115*$R$5+U115*$R$6)</x:f>
      </x:c>
      <x:c r="W115" s="431" t="str">
        <x:f>IF(E115=0,"",COUNTIFS($A$19:$A$186,A115,$S$19:$S$186,"&gt;"&amp;S115)+COUNTIFS($A$19:A115,A115,$E$19:E115,"&gt;0",$S$19:S115,S115))</x:f>
      </x:c>
      <x:c r="X115" s="431" t="str">
        <x:f>IF(S115="","",1+COUNTIF($S$19:$S$186,"&gt;"&amp;S115))</x:f>
      </x:c>
      <x:c r="Y115" s="431" t="str">
        <x:f>IF(V115="","",1+COUNTIFS($A$19:$A$186,A115,$V$19:$V$186,"&gt;"&amp;V115))</x:f>
      </x:c>
      <x:c r="Z115" s="431" t="str">
        <x:f>IF(V115="","",1+COUNTIF($V$19:$V$186,"&gt;"&amp;V115))</x:f>
      </x:c>
      <x:c r="AA115" s="430" t="str">
        <x:f>IF(C115=0,"No specialisations recorded",IF(D115&lt;C115,"Review missing level","Recorded skills only"))</x:f>
        <x:v>No specialisations recorded</x:v>
      </x:c>
      <x:c r="AB115" s="601" t="str">
        <x:f>IF(OR(AP115&lt;&gt;"Yes",E115=0),"",IFERROR(100*(COUNTIFS($AP$19:$AP$186,"Yes",$E$19:$E$186,"&gt;0",$I$19:$I$186,"&lt;"&amp;I115)+(COUNTIFS($AP$19:$AP$186,"Yes",$E$19:$E$186,"&gt;0",$I$19:$I$186,I115)-1)/2)/(COUNTIFS($AP$19:$AP$186,"Yes",$E$19:$E$186,"&gt;0")-1),50))</x:f>
      </x:c>
      <x:c r="AC115" s="601" t="str">
        <x:f>IF(AB115="","",AB115*'Specialisation Rankings'!$O$16+R115*'Specialisation Rankings'!$O$17)</x:f>
      </x:c>
      <x:c r="AD115" s="601" t="str">
        <x:f>IF(AC115="","",COUNTIFS($A$19:$A$186,A115,$AP$19:$AP$186,"Yes",$E$19:$E$186,"&gt;0",$AC$19:$AC$186,"&gt;"&amp;AC115)+COUNTIFS($A$19:A115,A115,$AP$19:AP115,"Yes",$E$19:E115,"&gt;0",$AC$19:AC115,AC115))</x:f>
      </x:c>
      <x:c r="AE115" s="601" t="str">
        <x:f>IF(OR(AP115&lt;&gt;"Yes",E115=0),"",IFERROR(100*(COUNTIFS($AP$19:$AP$186,"Yes",$E$19:$E$186,"&gt;0",$H$19:$H$186,"&lt;"&amp;H115)+(COUNTIFS($AP$19:$AP$186,"Yes",$E$19:$E$186,"&gt;0",$H$19:$H$186,H115)-1)/2)/(COUNTIFS($AP$19:$AP$186,"Yes",$E$19:$E$186,"&gt;0")-1),50))</x:f>
      </x:c>
      <x:c r="AF115" s="601" t="str">
        <x:f>IF(AE115="","",AE115*'Specialisation Rankings'!$O$16+R115*'Specialisation Rankings'!$O$17)</x:f>
      </x:c>
      <x:c r="AG115" s="601" t="str">
        <x:f>IF(AF115="","",COUNTIFS($A$19:$A$186,A115,$AP$19:$AP$186,"Yes",$E$19:$E$186,"&gt;0",$AF$19:$AF$186,"&gt;"&amp;AF115)+COUNTIFS($A$19:A115,A115,$AP$19:AP115,"Yes",$E$19:E115,"&gt;0",$AF$19:AF115,AF115))</x:f>
      </x:c>
      <x:c r="AH115" s="601" t="str">
        <x:f>IF(OR(AP115&lt;&gt;"Yes",E115=0),"",IFERROR(100*(COUNTIFS($AP$19:$AP$186,"Yes",$E$19:$E$186,"&gt;0",$J$19:$J$186,"&lt;"&amp;J115)+(COUNTIFS($AP$19:$AP$186,"Yes",$E$19:$E$186,"&gt;0",$J$19:$J$186,J115)-1)/2)/(COUNTIFS($AP$19:$AP$186,"Yes",$E$19:$E$186,"&gt;0")-1),50))</x:f>
      </x:c>
      <x:c r="AI115" s="601" t="str">
        <x:f>IF(AH115="","",AH115*'Specialisation Rankings'!$O$16+R115*'Specialisation Rankings'!$O$17)</x:f>
      </x:c>
      <x:c r="AJ115" s="601" t="str">
        <x:f>IF(AI115="","",COUNTIFS($A$19:$A$186,A115,$AP$19:$AP$186,"Yes",$E$19:$E$186,"&gt;0",$AI$19:$AI$186,"&gt;"&amp;AI115)+COUNTIFS($A$19:A115,A115,$AP$19:AP115,"Yes",$E$19:E115,"&gt;0",$AI$19:AI115,AI115))</x:f>
      </x:c>
      <x:c r="AK115" s="601" t="str">
        <x:f>IF(OR(AP115&lt;&gt;"Yes",E115=0),"",IF(M115=0,'Specialisation Rankings'!$O$23,V115))</x:f>
      </x:c>
      <x:c r="AL115" s="601" t="str">
        <x:f>IF(AK115="","",COUNTIFS($A$19:$A$186,A115,$AP$19:$AP$186,"Yes",$E$19:$E$186,"&gt;0",$AK$19:$AK$186,"&gt;"&amp;AK115)+COUNTIFS($A$19:A115,A115,$AP$19:AP115,"Yes",$E$19:E115,"&gt;0",$AK$19:AK115,AK115))</x:f>
      </x:c>
      <x:c r="AM115" s="601" t="str">
        <x:f>IF(AC115="","",AC115*'Specialisation Rankings'!$O$18+AF115*'Specialisation Rankings'!$O$19+AI115*'Specialisation Rankings'!$O$20+AK115*'Specialisation Rankings'!$O$21)</x:f>
      </x:c>
      <x:c r="AN115" s="601" t="str">
        <x:f>IF(AM115="","",COUNTIFS($A$19:$A$186,A115,$AP$19:$AP$186,"Yes",$E$19:$E$186,"&gt;0",$AM$19:$AM$186,"&gt;"&amp;AM115)+COUNTIFS($A$19:A115,A115,$AP$19:AP115,"Yes",$E$19:E115,"&gt;0",$AM$19:AM115,AM115))</x:f>
      </x:c>
      <x:c r="AO115" s="601" t="str">
        <x:f>IF(AM115="","",COUNTIFS($AP$19:$AP$186,"Yes",$E$19:$E$186,"&gt;0",$AM$19:$AM$186,"&gt;"&amp;AM115)+COUNTIFS($AP$19:AP115,"Yes",$E$19:E115,"&gt;0",$AM$19:AM115,AM115))</x:f>
      </x:c>
      <x:c r="AP115" s="602" t="str">
        <x:f>IF(COUNTIFS('Player Scenario Model'!$A$6:$A$172,A115,'Player Scenario Model'!$B$6:$B$172,B115)&gt;0,"Yes","No")</x:f>
        <x:v>Yes</x:v>
      </x:c>
    </x:row>
    <x:row r="116" ht="24" customHeight="1">
      <x:c r="A116" s="430" t="str">
        <x:v>K170</x:v>
      </x:c>
      <x:c r="B116" s="430" t="str">
        <x:v>(AOT)Panda</x:v>
      </x:c>
      <x:c r="C116" s="431" t="n">
        <x:f>COUNTIFS('Specialisations'!$A$6:$A$527,A116,'Specialisations'!$B$6:$B$527,B116)</x:f>
        <x:v>4</x:v>
      </x:c>
      <x:c r="D116" s="431" t="n">
        <x:f>COUNTIFS('Specialisations'!$A$6:$A$527,A116,'Specialisations'!$B$6:$B$527,B116,'Specialisations'!$P$6:$P$527,"OK")</x:f>
        <x:v>4</x:v>
      </x:c>
      <x:c r="E116" s="431" t="n">
        <x:f>COUNTIFS('Specialisations'!$A$6:$A$527,A116,'Specialisations'!$B$6:$B$527,B116,'Specialisations'!$P$6:$P$527,"OK",'Specialisations'!$C$6:$C$527,"&lt;&gt;Guards")</x:f>
        <x:v>3</x:v>
      </x:c>
      <x:c r="F116" s="432" t="n">
        <x:f>IF(C116=0,"",D116/C116)</x:f>
        <x:v>1</x:v>
      </x:c>
      <x:c r="G116" s="495" t="n">
        <x:f>SUMIFS('Specialisations'!$Q$6:$Q$527,'Specialisations'!$A$6:$A$527,A116,'Specialisations'!$B$6:$B$527,B116,'Specialisations'!$C$6:$C$527,"Guards")</x:f>
        <x:v>-60</x:v>
      </x:c>
      <x:c r="H116" s="495" t="n">
        <x:f>SUMIFS('Specialisations'!$Q$6:$Q$527,'Specialisations'!$A$6:$A$527,A116,'Specialisations'!$B$6:$B$527,B116,'Specialisations'!$C$6:$C$527,"Archers")</x:f>
        <x:v>0</x:v>
      </x:c>
      <x:c r="I116" s="495" t="n">
        <x:f>SUMIFS('Specialisations'!$Q$6:$Q$527,'Specialisations'!$A$6:$A$527,A116,'Specialisations'!$B$6:$B$527,B116,'Specialisations'!$C$6:$C$527,"Cavalry")</x:f>
        <x:v>101.97999999999999</x:v>
      </x:c>
      <x:c r="J116" s="495" t="n">
        <x:f>SUMIFS('Specialisations'!$Q$6:$Q$527,'Specialisations'!$A$6:$A$527,A116,'Specialisations'!$B$6:$B$527,B116,'Specialisations'!$C$6:$C$527,"Siege")</x:f>
        <x:v>24</x:v>
      </x:c>
      <x:c r="K116" s="495" t="n">
        <x:f>SUM(H116:J116)</x:f>
        <x:v>125.97999999999999</x:v>
      </x:c>
      <x:c r="L116" s="495" t="n">
        <x:f>SUM(G116,K116)</x:f>
        <x:v>65.97999999999999</x:v>
      </x:c>
      <x:c r="M116" s="433" t="n">
        <x:f>SUMIFS('Specialisations'!$N$6:$N$527,'Specialisations'!$A$6:$A$527,A116,'Specialisations'!$B$6:$B$527,B116,'Specialisations'!$C$6:$C$527,"Guards")</x:f>
        <x:v>10334300</x:v>
      </x:c>
      <x:c r="N116" s="433" t="n">
        <x:f>SUMIFS('Specialisations'!$N$6:$N$527,'Specialisations'!$A$6:$A$527,A116,'Specialisations'!$B$6:$B$527,B116,'Specialisations'!$C$6:$C$527,"&lt;&gt;Guards")</x:f>
        <x:v>16622900</x:v>
      </x:c>
      <x:c r="O116" s="433" t="n">
        <x:f>SUM(M116:N116)</x:f>
        <x:v>26957200</x:v>
      </x:c>
      <x:c r="P116" s="434" t="n">
        <x:f>IF(E116=0,"",K116/E116)</x:f>
        <x:v>41.99333333333333</x:v>
      </x:c>
      <x:c r="Q116" s="501" t="n">
        <x:f>IF(E116=0,"",IFERROR(100*(COUNTIFS($E$19:$E$186,"&gt;0",$K$19:$K$186,"&lt;"&amp;K116)+(COUNTIFS($E$19:$E$186,"&gt;0",$K$19:$K$186,K116)-1)/2)/(COUNTIF($E$19:$E$186,"&gt;0")-1),50))</x:f>
        <x:v>76.62337662337663</x:v>
      </x:c>
      <x:c r="R116" s="501" t="n">
        <x:f>IF(E116=0,"",IFERROR(100*(COUNTIFS($E$19:$E$186,"&gt;0",$N$19:$N$186,"&lt;"&amp;N116)+(COUNTIFS($E$19:$E$186,"&gt;0",$N$19:$N$186,N116)-1)/2)/(COUNTIF($E$19:$E$186,"&gt;0")-1),50))</x:f>
        <x:v>83.76623376623377</x:v>
      </x:c>
      <x:c r="S116" s="501" t="n">
        <x:f>IF(E116=0,"",Q116*$R$5+R116*$R$6)</x:f>
        <x:v>78.05194805194805</x:v>
      </x:c>
      <x:c r="T116" s="501" t="n">
        <x:f>IF(M116=0,"",IFERROR(100*(COUNTIFS($M$19:$M$186,"&gt;0",$G$19:$G$186,"&gt;"&amp;G116)+(COUNTIFS($M$19:$M$186,"&gt;0",$G$19:$G$186,G116)-1)/2)/(COUNTIF($M$19:$M$186,"&gt;0")-1),50))</x:f>
        <x:v>93.16239316239316</x:v>
      </x:c>
      <x:c r="U116" s="501" t="n">
        <x:f>IF(M116=0,"",IFERROR(100*(COUNTIFS($M$19:$M$186,"&gt;0",$M$19:$M$186,"&lt;"&amp;M116)+(COUNTIFS($M$19:$M$186,"&gt;0",$M$19:$M$186,M116)-1)/2)/(COUNTIF($M$19:$M$186,"&gt;0")-1),50))</x:f>
        <x:v>93.16239316239316</x:v>
      </x:c>
      <x:c r="V116" s="501" t="n">
        <x:f>IF(M116=0,"",T116*$R$5+U116*$R$6)</x:f>
        <x:v>93.16239316239316</x:v>
      </x:c>
      <x:c r="W116" s="431" t="n">
        <x:f>IF(E116=0,"",COUNTIFS($A$19:$A$186,A116,$S$19:$S$186,"&gt;"&amp;S116)+COUNTIFS($A$19:A116,A116,$E$19:E116,"&gt;0",$S$19:S116,S116))</x:f>
        <x:v>3</x:v>
      </x:c>
      <x:c r="X116" s="431" t="n">
        <x:f>IF(S116="","",1+COUNTIF($S$19:$S$186,"&gt;"&amp;S116))</x:f>
        <x:v>35</x:v>
      </x:c>
      <x:c r="Y116" s="431" t="n">
        <x:f>IF(V116="","",1+COUNTIFS($A$19:$A$186,A116,$V$19:$V$186,"&gt;"&amp;V116))</x:f>
        <x:v>1</x:v>
      </x:c>
      <x:c r="Z116" s="431" t="n">
        <x:f>IF(V116="","",1+COUNTIF($V$19:$V$186,"&gt;"&amp;V116))</x:f>
        <x:v>1</x:v>
      </x:c>
      <x:c r="AA116" s="430" t="str">
        <x:f>IF(C116=0,"No specialisations recorded",IF(D116&lt;C116,"Review missing level","Recorded skills only"))</x:f>
        <x:v>Recorded skills only</x:v>
      </x:c>
      <x:c r="AB116" s="601" t="n">
        <x:f>IF(OR(AP116&lt;&gt;"Yes",E116=0),"",IFERROR(100*(COUNTIFS($AP$19:$AP$186,"Yes",$E$19:$E$186,"&gt;0",$I$19:$I$186,"&lt;"&amp;I116)+(COUNTIFS($AP$19:$AP$186,"Yes",$E$19:$E$186,"&gt;0",$I$19:$I$186,I116)-1)/2)/(COUNTIFS($AP$19:$AP$186,"Yes",$E$19:$E$186,"&gt;0")-1),50))</x:f>
        <x:v>86.68831168831169</x:v>
      </x:c>
      <x:c r="AC116" s="601" t="n">
        <x:f>IF(AB116="","",AB116*'Specialisation Rankings'!$O$16+R116*'Specialisation Rankings'!$O$17)</x:f>
        <x:v>86.1038961038961</x:v>
      </x:c>
      <x:c r="AD116" s="601" t="n">
        <x:f>IF(AC116="","",COUNTIFS($A$19:$A$186,A116,$AP$19:$AP$186,"Yes",$E$19:$E$186,"&gt;0",$AC$19:$AC$186,"&gt;"&amp;AC116)+COUNTIFS($A$19:A116,A116,$AP$19:AP116,"Yes",$E$19:E116,"&gt;0",$AC$19:AC116,AC116))</x:f>
        <x:v>3</x:v>
      </x:c>
      <x:c r="AE116" s="601" t="n">
        <x:f>IF(OR(AP116&lt;&gt;"Yes",E116=0),"",IFERROR(100*(COUNTIFS($AP$19:$AP$186,"Yes",$E$19:$E$186,"&gt;0",$H$19:$H$186,"&lt;"&amp;H116)+(COUNTIFS($AP$19:$AP$186,"Yes",$E$19:$E$186,"&gt;0",$H$19:$H$186,H116)-1)/2)/(COUNTIFS($AP$19:$AP$186,"Yes",$E$19:$E$186,"&gt;0")-1),50))</x:f>
        <x:v>11.688311688311689</x:v>
      </x:c>
      <x:c r="AF116" s="601" t="n">
        <x:f>IF(AE116="","",AE116*'Specialisation Rankings'!$O$16+R116*'Specialisation Rankings'!$O$17)</x:f>
        <x:v>26.103896103896105</x:v>
      </x:c>
      <x:c r="AG116" s="601" t="n">
        <x:f>IF(AF116="","",COUNTIFS($A$19:$A$186,A116,$AP$19:$AP$186,"Yes",$E$19:$E$186,"&gt;0",$AF$19:$AF$186,"&gt;"&amp;AF116)+COUNTIFS($A$19:A116,A116,$AP$19:AP116,"Yes",$E$19:E116,"&gt;0",$AF$19:AF116,AF116))</x:f>
        <x:v>15</x:v>
      </x:c>
      <x:c r="AH116" s="601" t="n">
        <x:f>IF(OR(AP116&lt;&gt;"Yes",E116=0),"",IFERROR(100*(COUNTIFS($AP$19:$AP$186,"Yes",$E$19:$E$186,"&gt;0",$J$19:$J$186,"&lt;"&amp;J116)+(COUNTIFS($AP$19:$AP$186,"Yes",$E$19:$E$186,"&gt;0",$J$19:$J$186,J116)-1)/2)/(COUNTIFS($AP$19:$AP$186,"Yes",$E$19:$E$186,"&gt;0")-1),50))</x:f>
        <x:v>77.27272727272727</x:v>
      </x:c>
      <x:c r="AI116" s="601" t="n">
        <x:f>IF(AH116="","",AH116*'Specialisation Rankings'!$O$16+R116*'Specialisation Rankings'!$O$17)</x:f>
        <x:v>78.57142857142857</x:v>
      </x:c>
      <x:c r="AJ116" s="601" t="n">
        <x:f>IF(AI116="","",COUNTIFS($A$19:$A$186,A116,$AP$19:$AP$186,"Yes",$E$19:$E$186,"&gt;0",$AI$19:$AI$186,"&gt;"&amp;AI116)+COUNTIFS($A$19:A116,A116,$AP$19:AP116,"Yes",$E$19:E116,"&gt;0",$AI$19:AI116,AI116))</x:f>
        <x:v>3</x:v>
      </x:c>
      <x:c r="AK116" s="601" t="n">
        <x:f>IF(OR(AP116&lt;&gt;"Yes",E116=0),"",IF(M116=0,'Specialisation Rankings'!$O$23,V116))</x:f>
        <x:v>93.16239316239316</x:v>
      </x:c>
      <x:c r="AL116" s="601" t="n">
        <x:f>IF(AK116="","",COUNTIFS($A$19:$A$186,A116,$AP$19:$AP$186,"Yes",$E$19:$E$186,"&gt;0",$AK$19:$AK$186,"&gt;"&amp;AK116)+COUNTIFS($A$19:A116,A116,$AP$19:AP116,"Yes",$E$19:E116,"&gt;0",$AK$19:AK116,AK116))</x:f>
        <x:v>2</x:v>
      </x:c>
      <x:c r="AM116" s="601" t="n">
        <x:f>IF(AC116="","",AC116*'Specialisation Rankings'!$O$18+AF116*'Specialisation Rankings'!$O$19+AI116*'Specialisation Rankings'!$O$20+AK116*'Specialisation Rankings'!$O$21)</x:f>
        <x:v>79.67987567987569</x:v>
      </x:c>
      <x:c r="AN116" s="601" t="n">
        <x:f>IF(AM116="","",COUNTIFS($A$19:$A$186,A116,$AP$19:$AP$186,"Yes",$E$19:$E$186,"&gt;0",$AM$19:$AM$186,"&gt;"&amp;AM116)+COUNTIFS($A$19:A116,A116,$AP$19:AP116,"Yes",$E$19:E116,"&gt;0",$AM$19:AM116,AM116))</x:f>
        <x:v>2</x:v>
      </x:c>
      <x:c r="AO116" s="601" t="n">
        <x:f>IF(AM116="","",COUNTIFS($AP$19:$AP$186,"Yes",$E$19:$E$186,"&gt;0",$AM$19:$AM$186,"&gt;"&amp;AM116)+COUNTIFS($AP$19:AP116,"Yes",$E$19:E116,"&gt;0",$AM$19:AM116,AM116))</x:f>
        <x:v>16</x:v>
      </x:c>
      <x:c r="AP116" s="602" t="str">
        <x:f>IF(COUNTIFS('Player Scenario Model'!$A$6:$A$172,A116,'Player Scenario Model'!$B$6:$B$172,B116)&gt;0,"Yes","No")</x:f>
        <x:v>Yes</x:v>
      </x:c>
    </x:row>
    <x:row r="117" ht="24" customHeight="1">
      <x:c r="A117" s="430" t="str">
        <x:v>K170</x:v>
      </x:c>
      <x:c r="B117" s="430" t="str">
        <x:v>(AOT)StFruz</x:v>
      </x:c>
      <x:c r="C117" s="431" t="n">
        <x:f>COUNTIFS('Specialisations'!$A$6:$A$527,A117,'Specialisations'!$B$6:$B$527,B117)</x:f>
        <x:v>4</x:v>
      </x:c>
      <x:c r="D117" s="431" t="n">
        <x:f>COUNTIFS('Specialisations'!$A$6:$A$527,A117,'Specialisations'!$B$6:$B$527,B117,'Specialisations'!$P$6:$P$527,"OK")</x:f>
        <x:v>4</x:v>
      </x:c>
      <x:c r="E117" s="431" t="n">
        <x:f>COUNTIFS('Specialisations'!$A$6:$A$527,A117,'Specialisations'!$B$6:$B$527,B117,'Specialisations'!$P$6:$P$527,"OK",'Specialisations'!$C$6:$C$527,"&lt;&gt;Guards")</x:f>
        <x:v>4</x:v>
      </x:c>
      <x:c r="F117" s="432" t="n">
        <x:f>IF(C117=0,"",D117/C117)</x:f>
        <x:v>1</x:v>
      </x:c>
      <x:c r="G117" s="495" t="n">
        <x:f>SUMIFS('Specialisations'!$Q$6:$Q$527,'Specialisations'!$A$6:$A$527,A117,'Specialisations'!$B$6:$B$527,B117,'Specialisations'!$C$6:$C$527,"Guards")</x:f>
        <x:v>0</x:v>
      </x:c>
      <x:c r="H117" s="495" t="n">
        <x:f>SUMIFS('Specialisations'!$Q$6:$Q$527,'Specialisations'!$A$6:$A$527,A117,'Specialisations'!$B$6:$B$527,B117,'Specialisations'!$C$6:$C$527,"Archers")</x:f>
        <x:v>3</x:v>
      </x:c>
      <x:c r="I117" s="495" t="n">
        <x:f>SUMIFS('Specialisations'!$Q$6:$Q$527,'Specialisations'!$A$6:$A$527,A117,'Specialisations'!$B$6:$B$527,B117,'Specialisations'!$C$6:$C$527,"Cavalry")</x:f>
        <x:v>39.93</x:v>
      </x:c>
      <x:c r="J117" s="495" t="n">
        <x:f>SUMIFS('Specialisations'!$Q$6:$Q$527,'Specialisations'!$A$6:$A$527,A117,'Specialisations'!$B$6:$B$527,B117,'Specialisations'!$C$6:$C$527,"Siege")</x:f>
        <x:v>73.41</x:v>
      </x:c>
      <x:c r="K117" s="495" t="n">
        <x:f>SUM(H117:J117)</x:f>
        <x:v>116.34</x:v>
      </x:c>
      <x:c r="L117" s="495" t="n">
        <x:f>SUM(G117,K117)</x:f>
        <x:v>116.34</x:v>
      </x:c>
      <x:c r="M117" s="433" t="n">
        <x:f>SUMIFS('Specialisations'!$N$6:$N$527,'Specialisations'!$A$6:$A$527,A117,'Specialisations'!$B$6:$B$527,B117,'Specialisations'!$C$6:$C$527,"Guards")</x:f>
        <x:v>0</x:v>
      </x:c>
      <x:c r="N117" s="433" t="n">
        <x:f>SUMIFS('Specialisations'!$N$6:$N$527,'Specialisations'!$A$6:$A$527,A117,'Specialisations'!$B$6:$B$527,B117,'Specialisations'!$C$6:$C$527,"&lt;&gt;Guards")</x:f>
        <x:v>15207200</x:v>
      </x:c>
      <x:c r="O117" s="433" t="n">
        <x:f>SUM(M117:N117)</x:f>
        <x:v>15207200</x:v>
      </x:c>
      <x:c r="P117" s="434" t="n">
        <x:f>IF(E117=0,"",K117/E117)</x:f>
        <x:v>29.085</x:v>
      </x:c>
      <x:c r="Q117" s="501" t="n">
        <x:f>IF(E117=0,"",IFERROR(100*(COUNTIFS($E$19:$E$186,"&gt;0",$K$19:$K$186,"&lt;"&amp;K117)+(COUNTIFS($E$19:$E$186,"&gt;0",$K$19:$K$186,K117)-1)/2)/(COUNTIF($E$19:$E$186,"&gt;0")-1),50))</x:f>
        <x:v>69.48051948051948</x:v>
      </x:c>
      <x:c r="R117" s="501" t="n">
        <x:f>IF(E117=0,"",IFERROR(100*(COUNTIFS($E$19:$E$186,"&gt;0",$N$19:$N$186,"&lt;"&amp;N117)+(COUNTIFS($E$19:$E$186,"&gt;0",$N$19:$N$186,N117)-1)/2)/(COUNTIF($E$19:$E$186,"&gt;0")-1),50))</x:f>
        <x:v>78.57142857142857</x:v>
      </x:c>
      <x:c r="S117" s="501" t="n">
        <x:f>IF(E117=0,"",Q117*$R$5+R117*$R$6)</x:f>
        <x:v>71.29870129870129</x:v>
      </x:c>
      <x:c r="T117" s="501" t="str">
        <x:f>IF(M117=0,"",IFERROR(100*(COUNTIFS($M$19:$M$186,"&gt;0",$G$19:$G$186,"&gt;"&amp;G117)+(COUNTIFS($M$19:$M$186,"&gt;0",$G$19:$G$186,G117)-1)/2)/(COUNTIF($M$19:$M$186,"&gt;0")-1),50))</x:f>
      </x:c>
      <x:c r="U117" s="501" t="str">
        <x:f>IF(M117=0,"",IFERROR(100*(COUNTIFS($M$19:$M$186,"&gt;0",$M$19:$M$186,"&lt;"&amp;M117)+(COUNTIFS($M$19:$M$186,"&gt;0",$M$19:$M$186,M117)-1)/2)/(COUNTIF($M$19:$M$186,"&gt;0")-1),50))</x:f>
      </x:c>
      <x:c r="V117" s="501" t="str">
        <x:f>IF(M117=0,"",T117*$R$5+U117*$R$6)</x:f>
      </x:c>
      <x:c r="W117" s="431" t="n">
        <x:f>IF(E117=0,"",COUNTIFS($A$19:$A$186,A117,$S$19:$S$186,"&gt;"&amp;S117)+COUNTIFS($A$19:A117,A117,$E$19:E117,"&gt;0",$S$19:S117,S117))</x:f>
        <x:v>6</x:v>
      </x:c>
      <x:c r="X117" s="431" t="n">
        <x:f>IF(S117="","",1+COUNTIF($S$19:$S$186,"&gt;"&amp;S117))</x:f>
        <x:v>47</x:v>
      </x:c>
      <x:c r="Y117" s="431" t="str">
        <x:f>IF(V117="","",1+COUNTIFS($A$19:$A$186,A117,$V$19:$V$186,"&gt;"&amp;V117))</x:f>
      </x:c>
      <x:c r="Z117" s="431" t="str">
        <x:f>IF(V117="","",1+COUNTIF($V$19:$V$186,"&gt;"&amp;V117))</x:f>
      </x:c>
      <x:c r="AA117" s="430" t="str">
        <x:f>IF(C117=0,"No specialisations recorded",IF(D117&lt;C117,"Review missing level","Recorded skills only"))</x:f>
        <x:v>Recorded skills only</x:v>
      </x:c>
      <x:c r="AB117" s="601" t="n">
        <x:f>IF(OR(AP117&lt;&gt;"Yes",E117=0),"",IFERROR(100*(COUNTIFS($AP$19:$AP$186,"Yes",$E$19:$E$186,"&gt;0",$I$19:$I$186,"&lt;"&amp;I117)+(COUNTIFS($AP$19:$AP$186,"Yes",$E$19:$E$186,"&gt;0",$I$19:$I$186,I117)-1)/2)/(COUNTIFS($AP$19:$AP$186,"Yes",$E$19:$E$186,"&gt;0")-1),50))</x:f>
        <x:v>31.16883116883117</x:v>
      </x:c>
      <x:c r="AC117" s="601" t="n">
        <x:f>IF(AB117="","",AB117*'Specialisation Rankings'!$O$16+R117*'Specialisation Rankings'!$O$17)</x:f>
        <x:v>40.64935064935065</x:v>
      </x:c>
      <x:c r="AD117" s="601" t="n">
        <x:f>IF(AC117="","",COUNTIFS($A$19:$A$186,A117,$AP$19:$AP$186,"Yes",$E$19:$E$186,"&gt;0",$AC$19:$AC$186,"&gt;"&amp;AC117)+COUNTIFS($A$19:A117,A117,$AP$19:AP117,"Yes",$E$19:E117,"&gt;0",$AC$19:AC117,AC117))</x:f>
        <x:v>12</x:v>
      </x:c>
      <x:c r="AE117" s="601" t="n">
        <x:f>IF(OR(AP117&lt;&gt;"Yes",E117=0),"",IFERROR(100*(COUNTIFS($AP$19:$AP$186,"Yes",$E$19:$E$186,"&gt;0",$H$19:$H$186,"&lt;"&amp;H117)+(COUNTIFS($AP$19:$AP$186,"Yes",$E$19:$E$186,"&gt;0",$H$19:$H$186,H117)-1)/2)/(COUNTIFS($AP$19:$AP$186,"Yes",$E$19:$E$186,"&gt;0")-1),50))</x:f>
        <x:v>24.025974025974026</x:v>
      </x:c>
      <x:c r="AF117" s="601" t="n">
        <x:f>IF(AE117="","",AE117*'Specialisation Rankings'!$O$16+R117*'Specialisation Rankings'!$O$17)</x:f>
        <x:v>34.935064935064936</x:v>
      </x:c>
      <x:c r="AG117" s="601" t="n">
        <x:f>IF(AF117="","",COUNTIFS($A$19:$A$186,A117,$AP$19:$AP$186,"Yes",$E$19:$E$186,"&gt;0",$AF$19:$AF$186,"&gt;"&amp;AF117)+COUNTIFS($A$19:A117,A117,$AP$19:AP117,"Yes",$E$19:E117,"&gt;0",$AF$19:AF117,AF117))</x:f>
        <x:v>11</x:v>
      </x:c>
      <x:c r="AH117" s="601" t="n">
        <x:f>IF(OR(AP117&lt;&gt;"Yes",E117=0),"",IFERROR(100*(COUNTIFS($AP$19:$AP$186,"Yes",$E$19:$E$186,"&gt;0",$J$19:$J$186,"&lt;"&amp;J117)+(COUNTIFS($AP$19:$AP$186,"Yes",$E$19:$E$186,"&gt;0",$J$19:$J$186,J117)-1)/2)/(COUNTIFS($AP$19:$AP$186,"Yes",$E$19:$E$186,"&gt;0")-1),50))</x:f>
        <x:v>98.7012987012987</x:v>
      </x:c>
      <x:c r="AI117" s="601" t="n">
        <x:f>IF(AH117="","",AH117*'Specialisation Rankings'!$O$16+R117*'Specialisation Rankings'!$O$17)</x:f>
        <x:v>94.67532467532467</x:v>
      </x:c>
      <x:c r="AJ117" s="601" t="n">
        <x:f>IF(AI117="","",COUNTIFS($A$19:$A$186,A117,$AP$19:$AP$186,"Yes",$E$19:$E$186,"&gt;0",$AI$19:$AI$186,"&gt;"&amp;AI117)+COUNTIFS($A$19:A117,A117,$AP$19:AP117,"Yes",$E$19:E117,"&gt;0",$AI$19:AI117,AI117))</x:f>
        <x:v>1</x:v>
      </x:c>
      <x:c r="AK117" s="601" t="n">
        <x:f>IF(OR(AP117&lt;&gt;"Yes",E117=0),"",IF(M117=0,'Specialisation Rankings'!$O$23,V117))</x:f>
        <x:v>50</x:v>
      </x:c>
      <x:c r="AL117" s="601" t="n">
        <x:f>IF(AK117="","",COUNTIFS($A$19:$A$186,A117,$AP$19:$AP$186,"Yes",$E$19:$E$186,"&gt;0",$AK$19:$AK$186,"&gt;"&amp;AK117)+COUNTIFS($A$19:A117,A117,$AP$19:AP117,"Yes",$E$19:E117,"&gt;0",$AK$19:AK117,AK117))</x:f>
        <x:v>16</x:v>
      </x:c>
      <x:c r="AM117" s="601" t="n">
        <x:f>IF(AC117="","",AC117*'Specialisation Rankings'!$O$18+AF117*'Specialisation Rankings'!$O$19+AI117*'Specialisation Rankings'!$O$20+AK117*'Specialisation Rankings'!$O$21)</x:f>
        <x:v>49.116883116883116</x:v>
      </x:c>
      <x:c r="AN117" s="601" t="n">
        <x:f>IF(AM117="","",COUNTIFS($A$19:$A$186,A117,$AP$19:$AP$186,"Yes",$E$19:$E$186,"&gt;0",$AM$19:$AM$186,"&gt;"&amp;AM117)+COUNTIFS($A$19:A117,A117,$AP$19:AP117,"Yes",$E$19:E117,"&gt;0",$AM$19:AM117,AM117))</x:f>
        <x:v>10</x:v>
      </x:c>
      <x:c r="AO117" s="601" t="n">
        <x:f>IF(AM117="","",COUNTIFS($AP$19:$AP$186,"Yes",$E$19:$E$186,"&gt;0",$AM$19:$AM$186,"&gt;"&amp;AM117)+COUNTIFS($AP$19:AP117,"Yes",$E$19:E117,"&gt;0",$AM$19:AM117,AM117))</x:f>
        <x:v>73</x:v>
      </x:c>
      <x:c r="AP117" s="602" t="str">
        <x:f>IF(COUNTIFS('Player Scenario Model'!$A$6:$A$172,A117,'Player Scenario Model'!$B$6:$B$172,B117)&gt;0,"Yes","No")</x:f>
        <x:v>Yes</x:v>
      </x:c>
    </x:row>
    <x:row r="118" ht="24" customHeight="1">
      <x:c r="A118" s="430" t="str">
        <x:v>K170</x:v>
      </x:c>
      <x:c r="B118" s="430" t="str">
        <x:v>(AOT)WeleS</x:v>
      </x:c>
      <x:c r="C118" s="431" t="n">
        <x:f>COUNTIFS('Specialisations'!$A$6:$A$527,A118,'Specialisations'!$B$6:$B$527,B118)</x:f>
        <x:v>3</x:v>
      </x:c>
      <x:c r="D118" s="431" t="n">
        <x:f>COUNTIFS('Specialisations'!$A$6:$A$527,A118,'Specialisations'!$B$6:$B$527,B118,'Specialisations'!$P$6:$P$527,"OK")</x:f>
        <x:v>3</x:v>
      </x:c>
      <x:c r="E118" s="431" t="n">
        <x:f>COUNTIFS('Specialisations'!$A$6:$A$527,A118,'Specialisations'!$B$6:$B$527,B118,'Specialisations'!$P$6:$P$527,"OK",'Specialisations'!$C$6:$C$527,"&lt;&gt;Guards")</x:f>
        <x:v>2</x:v>
      </x:c>
      <x:c r="F118" s="432" t="n">
        <x:f>IF(C118=0,"",D118/C118)</x:f>
        <x:v>1</x:v>
      </x:c>
      <x:c r="G118" s="495" t="n">
        <x:f>SUMIFS('Specialisations'!$Q$6:$Q$527,'Specialisations'!$A$6:$A$527,A118,'Specialisations'!$B$6:$B$527,B118,'Specialisations'!$C$6:$C$527,"Guards")</x:f>
        <x:v>-51.74</x:v>
      </x:c>
      <x:c r="H118" s="495" t="n">
        <x:f>SUMIFS('Specialisations'!$Q$6:$Q$527,'Specialisations'!$A$6:$A$527,A118,'Specialisations'!$B$6:$B$527,B118,'Specialisations'!$C$6:$C$527,"Archers")</x:f>
        <x:v>55.2</x:v>
      </x:c>
      <x:c r="I118" s="495" t="n">
        <x:f>SUMIFS('Specialisations'!$Q$6:$Q$527,'Specialisations'!$A$6:$A$527,A118,'Specialisations'!$B$6:$B$527,B118,'Specialisations'!$C$6:$C$527,"Cavalry")</x:f>
        <x:v>48.38</x:v>
      </x:c>
      <x:c r="J118" s="495" t="n">
        <x:f>SUMIFS('Specialisations'!$Q$6:$Q$527,'Specialisations'!$A$6:$A$527,A118,'Specialisations'!$B$6:$B$527,B118,'Specialisations'!$C$6:$C$527,"Siege")</x:f>
        <x:v>0</x:v>
      </x:c>
      <x:c r="K118" s="495" t="n">
        <x:f>SUM(H118:J118)</x:f>
        <x:v>103.58000000000001</x:v>
      </x:c>
      <x:c r="L118" s="495" t="n">
        <x:f>SUM(G118,K118)</x:f>
        <x:v>51.84000000000001</x:v>
      </x:c>
      <x:c r="M118" s="433" t="n">
        <x:f>SUMIFS('Specialisations'!$N$6:$N$527,'Specialisations'!$A$6:$A$527,A118,'Specialisations'!$B$6:$B$527,B118,'Specialisations'!$C$6:$C$527,"Guards")</x:f>
        <x:v>6934300</x:v>
      </x:c>
      <x:c r="N118" s="433" t="n">
        <x:f>SUMIFS('Specialisations'!$N$6:$N$527,'Specialisations'!$A$6:$A$527,A118,'Specialisations'!$B$6:$B$527,B118,'Specialisations'!$C$6:$C$527,"&lt;&gt;Guards")</x:f>
        <x:v>14218600</x:v>
      </x:c>
      <x:c r="O118" s="433" t="n">
        <x:f>SUM(M118:N118)</x:f>
        <x:v>21152900</x:v>
      </x:c>
      <x:c r="P118" s="434" t="n">
        <x:f>IF(E118=0,"",K118/E118)</x:f>
        <x:v>51.790000000000006</x:v>
      </x:c>
      <x:c r="Q118" s="501" t="n">
        <x:f>IF(E118=0,"",IFERROR(100*(COUNTIFS($E$19:$E$186,"&gt;0",$K$19:$K$186,"&lt;"&amp;K118)+(COUNTIFS($E$19:$E$186,"&gt;0",$K$19:$K$186,K118)-1)/2)/(COUNTIF($E$19:$E$186,"&gt;0")-1),50))</x:f>
        <x:v>57.142857142857146</x:v>
      </x:c>
      <x:c r="R118" s="501" t="n">
        <x:f>IF(E118=0,"",IFERROR(100*(COUNTIFS($E$19:$E$186,"&gt;0",$N$19:$N$186,"&lt;"&amp;N118)+(COUNTIFS($E$19:$E$186,"&gt;0",$N$19:$N$186,N118)-1)/2)/(COUNTIF($E$19:$E$186,"&gt;0")-1),50))</x:f>
        <x:v>73.37662337662337</x:v>
      </x:c>
      <x:c r="S118" s="501" t="n">
        <x:f>IF(E118=0,"",Q118*$R$5+R118*$R$6)</x:f>
        <x:v>60.3896103896104</x:v>
      </x:c>
      <x:c r="T118" s="501" t="n">
        <x:f>IF(M118=0,"",IFERROR(100*(COUNTIFS($M$19:$M$186,"&gt;0",$G$19:$G$186,"&gt;"&amp;G118)+(COUNTIFS($M$19:$M$186,"&gt;0",$G$19:$G$186,G118)-1)/2)/(COUNTIF($M$19:$M$186,"&gt;0")-1),50))</x:f>
        <x:v>79.91452991452991</x:v>
      </x:c>
      <x:c r="U118" s="501" t="n">
        <x:f>IF(M118=0,"",IFERROR(100*(COUNTIFS($M$19:$M$186,"&gt;0",$M$19:$M$186,"&lt;"&amp;M118)+(COUNTIFS($M$19:$M$186,"&gt;0",$M$19:$M$186,M118)-1)/2)/(COUNTIF($M$19:$M$186,"&gt;0")-1),50))</x:f>
        <x:v>79.91452991452991</x:v>
      </x:c>
      <x:c r="V118" s="501" t="n">
        <x:f>IF(M118=0,"",T118*$R$5+U118*$R$6)</x:f>
        <x:v>79.91452991452991</x:v>
      </x:c>
      <x:c r="W118" s="431" t="n">
        <x:f>IF(E118=0,"",COUNTIFS($A$19:$A$186,A118,$S$19:$S$186,"&gt;"&amp;S118)+COUNTIFS($A$19:A118,A118,$E$19:E118,"&gt;0",$S$19:S118,S118))</x:f>
        <x:v>8</x:v>
      </x:c>
      <x:c r="X118" s="431" t="n">
        <x:f>IF(S118="","",1+COUNTIF($S$19:$S$186,"&gt;"&amp;S118))</x:f>
        <x:v>59</x:v>
      </x:c>
      <x:c r="Y118" s="431" t="n">
        <x:f>IF(V118="","",1+COUNTIFS($A$19:$A$186,A118,$V$19:$V$186,"&gt;"&amp;V118))</x:f>
        <x:v>3</x:v>
      </x:c>
      <x:c r="Z118" s="431" t="n">
        <x:f>IF(V118="","",1+COUNTIF($V$19:$V$186,"&gt;"&amp;V118))</x:f>
        <x:v>22</x:v>
      </x:c>
      <x:c r="AA118" s="430" t="str">
        <x:f>IF(C118=0,"No specialisations recorded",IF(D118&lt;C118,"Review missing level","Recorded skills only"))</x:f>
        <x:v>Recorded skills only</x:v>
      </x:c>
      <x:c r="AB118" s="601" t="n">
        <x:f>IF(OR(AP118&lt;&gt;"Yes",E118=0),"",IFERROR(100*(COUNTIFS($AP$19:$AP$186,"Yes",$E$19:$E$186,"&gt;0",$I$19:$I$186,"&lt;"&amp;I118)+(COUNTIFS($AP$19:$AP$186,"Yes",$E$19:$E$186,"&gt;0",$I$19:$I$186,I118)-1)/2)/(COUNTIFS($AP$19:$AP$186,"Yes",$E$19:$E$186,"&gt;0")-1),50))</x:f>
        <x:v>40.25974025974026</x:v>
      </x:c>
      <x:c r="AC118" s="601" t="n">
        <x:f>IF(AB118="","",AB118*'Specialisation Rankings'!$O$16+R118*'Specialisation Rankings'!$O$17)</x:f>
        <x:v>46.883116883116884</x:v>
      </x:c>
      <x:c r="AD118" s="601" t="n">
        <x:f>IF(AC118="","",COUNTIFS($A$19:$A$186,A118,$AP$19:$AP$186,"Yes",$E$19:$E$186,"&gt;0",$AC$19:$AC$186,"&gt;"&amp;AC118)+COUNTIFS($A$19:A118,A118,$AP$19:AP118,"Yes",$E$19:E118,"&gt;0",$AC$19:AC118,AC118))</x:f>
        <x:v>8</x:v>
      </x:c>
      <x:c r="AE118" s="601" t="n">
        <x:f>IF(OR(AP118&lt;&gt;"Yes",E118=0),"",IFERROR(100*(COUNTIFS($AP$19:$AP$186,"Yes",$E$19:$E$186,"&gt;0",$H$19:$H$186,"&lt;"&amp;H118)+(COUNTIFS($AP$19:$AP$186,"Yes",$E$19:$E$186,"&gt;0",$H$19:$H$186,H118)-1)/2)/(COUNTIFS($AP$19:$AP$186,"Yes",$E$19:$E$186,"&gt;0")-1),50))</x:f>
        <x:v>82.14285714285714</x:v>
      </x:c>
      <x:c r="AF118" s="601" t="n">
        <x:f>IF(AE118="","",AE118*'Specialisation Rankings'!$O$16+R118*'Specialisation Rankings'!$O$17)</x:f>
        <x:v>80.38961038961038</x:v>
      </x:c>
      <x:c r="AG118" s="601" t="n">
        <x:f>IF(AF118="","",COUNTIFS($A$19:$A$186,A118,$AP$19:$AP$186,"Yes",$E$19:$E$186,"&gt;0",$AF$19:$AF$186,"&gt;"&amp;AF118)+COUNTIFS($A$19:A118,A118,$AP$19:AP118,"Yes",$E$19:E118,"&gt;0",$AF$19:AF118,AF118))</x:f>
        <x:v>2</x:v>
      </x:c>
      <x:c r="AH118" s="601" t="n">
        <x:f>IF(OR(AP118&lt;&gt;"Yes",E118=0),"",IFERROR(100*(COUNTIFS($AP$19:$AP$186,"Yes",$E$19:$E$186,"&gt;0",$J$19:$J$186,"&lt;"&amp;J118)+(COUNTIFS($AP$19:$AP$186,"Yes",$E$19:$E$186,"&gt;0",$J$19:$J$186,J118)-1)/2)/(COUNTIFS($AP$19:$AP$186,"Yes",$E$19:$E$186,"&gt;0")-1),50))</x:f>
        <x:v>33.116883116883116</x:v>
      </x:c>
      <x:c r="AI118" s="601" t="n">
        <x:f>IF(AH118="","",AH118*'Specialisation Rankings'!$O$16+R118*'Specialisation Rankings'!$O$17)</x:f>
        <x:v>41.16883116883117</x:v>
      </x:c>
      <x:c r="AJ118" s="601" t="n">
        <x:f>IF(AI118="","",COUNTIFS($A$19:$A$186,A118,$AP$19:$AP$186,"Yes",$E$19:$E$186,"&gt;0",$AI$19:$AI$186,"&gt;"&amp;AI118)+COUNTIFS($A$19:A118,A118,$AP$19:AP118,"Yes",$E$19:E118,"&gt;0",$AI$19:AI118,AI118))</x:f>
        <x:v>13</x:v>
      </x:c>
      <x:c r="AK118" s="601" t="n">
        <x:f>IF(OR(AP118&lt;&gt;"Yes",E118=0),"",IF(M118=0,'Specialisation Rankings'!$O$23,V118))</x:f>
        <x:v>79.91452991452991</x:v>
      </x:c>
      <x:c r="AL118" s="601" t="n">
        <x:f>IF(AK118="","",COUNTIFS($A$19:$A$186,A118,$AP$19:$AP$186,"Yes",$E$19:$E$186,"&gt;0",$AK$19:$AK$186,"&gt;"&amp;AK118)+COUNTIFS($A$19:A118,A118,$AP$19:AP118,"Yes",$E$19:E118,"&gt;0",$AK$19:AK118,AK118))</x:f>
        <x:v>3</x:v>
      </x:c>
      <x:c r="AM118" s="601" t="n">
        <x:f>IF(AC118="","",AC118*'Specialisation Rankings'!$O$18+AF118*'Specialisation Rankings'!$O$19+AI118*'Specialisation Rankings'!$O$20+AK118*'Specialisation Rankings'!$O$21)</x:f>
        <x:v>52.67976467976467</x:v>
      </x:c>
      <x:c r="AN118" s="601" t="n">
        <x:f>IF(AM118="","",COUNTIFS($A$19:$A$186,A118,$AP$19:$AP$186,"Yes",$E$19:$E$186,"&gt;0",$AM$19:$AM$186,"&gt;"&amp;AM118)+COUNTIFS($A$19:A118,A118,$AP$19:AP118,"Yes",$E$19:E118,"&gt;0",$AM$19:AM118,AM118))</x:f>
        <x:v>7</x:v>
      </x:c>
      <x:c r="AO118" s="601" t="n">
        <x:f>IF(AM118="","",COUNTIFS($AP$19:$AP$186,"Yes",$E$19:$E$186,"&gt;0",$AM$19:$AM$186,"&gt;"&amp;AM118)+COUNTIFS($AP$19:AP118,"Yes",$E$19:E118,"&gt;0",$AM$19:AM118,AM118))</x:f>
        <x:v>61</x:v>
      </x:c>
      <x:c r="AP118" s="602" t="str">
        <x:f>IF(COUNTIFS('Player Scenario Model'!$A$6:$A$172,A118,'Player Scenario Model'!$B$6:$B$172,B118)&gt;0,"Yes","No")</x:f>
        <x:v>Yes</x:v>
      </x:c>
    </x:row>
    <x:row r="119" ht="24" customHeight="1">
      <x:c r="A119" s="430" t="str">
        <x:v>K170</x:v>
      </x:c>
      <x:c r="B119" s="430" t="str">
        <x:v>(AOT)Doctopussy</x:v>
      </x:c>
      <x:c r="C119" s="431" t="n">
        <x:f>COUNTIFS('Specialisations'!$A$6:$A$527,A119,'Specialisations'!$B$6:$B$527,B119)</x:f>
        <x:v>5</x:v>
      </x:c>
      <x:c r="D119" s="431" t="n">
        <x:f>COUNTIFS('Specialisations'!$A$6:$A$527,A119,'Specialisations'!$B$6:$B$527,B119,'Specialisations'!$P$6:$P$527,"OK")</x:f>
        <x:v>5</x:v>
      </x:c>
      <x:c r="E119" s="431" t="n">
        <x:f>COUNTIFS('Specialisations'!$A$6:$A$527,A119,'Specialisations'!$B$6:$B$527,B119,'Specialisations'!$P$6:$P$527,"OK",'Specialisations'!$C$6:$C$527,"&lt;&gt;Guards")</x:f>
        <x:v>4</x:v>
      </x:c>
      <x:c r="F119" s="432" t="n">
        <x:f>IF(C119=0,"",D119/C119)</x:f>
        <x:v>1</x:v>
      </x:c>
      <x:c r="G119" s="495" t="n">
        <x:f>SUMIFS('Specialisations'!$Q$6:$Q$527,'Specialisations'!$A$6:$A$527,A119,'Specialisations'!$B$6:$B$527,B119,'Specialisations'!$C$6:$C$527,"Guards")</x:f>
        <x:v>-39.93</x:v>
      </x:c>
      <x:c r="H119" s="495" t="n">
        <x:f>SUMIFS('Specialisations'!$Q$6:$Q$527,'Specialisations'!$A$6:$A$527,A119,'Specialisations'!$B$6:$B$527,B119,'Specialisations'!$C$6:$C$527,"Archers")</x:f>
        <x:v>35.98</x:v>
      </x:c>
      <x:c r="I119" s="495" t="n">
        <x:f>SUMIFS('Specialisations'!$Q$6:$Q$527,'Specialisations'!$A$6:$A$527,A119,'Specialisations'!$B$6:$B$527,B119,'Specialisations'!$C$6:$C$527,"Cavalry")</x:f>
        <x:v>51.74</x:v>
      </x:c>
      <x:c r="J119" s="495" t="n">
        <x:f>SUMIFS('Specialisations'!$Q$6:$Q$527,'Specialisations'!$A$6:$A$527,A119,'Specialisations'!$B$6:$B$527,B119,'Specialisations'!$C$6:$C$527,"Siege")</x:f>
        <x:v>12.09</x:v>
      </x:c>
      <x:c r="K119" s="495" t="n">
        <x:f>SUM(H119:J119)</x:f>
        <x:v>99.81</x:v>
      </x:c>
      <x:c r="L119" s="495" t="n">
        <x:f>SUM(G119,K119)</x:f>
        <x:v>59.88</x:v>
      </x:c>
      <x:c r="M119" s="433" t="n">
        <x:f>SUMIFS('Specialisations'!$N$6:$N$527,'Specialisations'!$A$6:$A$527,A119,'Specialisations'!$B$6:$B$527,B119,'Specialisations'!$C$6:$C$527,"Guards")</x:f>
        <x:v>3724300</x:v>
      </x:c>
      <x:c r="N119" s="433" t="n">
        <x:f>SUMIFS('Specialisations'!$N$6:$N$527,'Specialisations'!$A$6:$A$527,A119,'Specialisations'!$B$6:$B$527,B119,'Specialisations'!$C$6:$C$527,"&lt;&gt;Guards")</x:f>
        <x:v>11085900</x:v>
      </x:c>
      <x:c r="O119" s="433" t="n">
        <x:f>SUM(M119:N119)</x:f>
        <x:v>14810200</x:v>
      </x:c>
      <x:c r="P119" s="434" t="n">
        <x:f>IF(E119=0,"",K119/E119)</x:f>
        <x:v>24.9525</x:v>
      </x:c>
      <x:c r="Q119" s="501" t="n">
        <x:f>IF(E119=0,"",IFERROR(100*(COUNTIFS($E$19:$E$186,"&gt;0",$K$19:$K$186,"&lt;"&amp;K119)+(COUNTIFS($E$19:$E$186,"&gt;0",$K$19:$K$186,K119)-1)/2)/(COUNTIF($E$19:$E$186,"&gt;0")-1),50))</x:f>
        <x:v>54.54545454545455</x:v>
      </x:c>
      <x:c r="R119" s="501" t="n">
        <x:f>IF(E119=0,"",IFERROR(100*(COUNTIFS($E$19:$E$186,"&gt;0",$N$19:$N$186,"&lt;"&amp;N119)+(COUNTIFS($E$19:$E$186,"&gt;0",$N$19:$N$186,N119)-1)/2)/(COUNTIF($E$19:$E$186,"&gt;0")-1),50))</x:f>
        <x:v>57.142857142857146</x:v>
      </x:c>
      <x:c r="S119" s="501" t="n">
        <x:f>IF(E119=0,"",Q119*$R$5+R119*$R$6)</x:f>
        <x:v>55.06493506493507</x:v>
      </x:c>
      <x:c r="T119" s="501" t="n">
        <x:f>IF(M119=0,"",IFERROR(100*(COUNTIFS($M$19:$M$186,"&gt;0",$G$19:$G$186,"&gt;"&amp;G119)+(COUNTIFS($M$19:$M$186,"&gt;0",$G$19:$G$186,G119)-1)/2)/(COUNTIF($M$19:$M$186,"&gt;0")-1),50))</x:f>
        <x:v>48.29059829059829</x:v>
      </x:c>
      <x:c r="U119" s="501" t="n">
        <x:f>IF(M119=0,"",IFERROR(100*(COUNTIFS($M$19:$M$186,"&gt;0",$M$19:$M$186,"&lt;"&amp;M119)+(COUNTIFS($M$19:$M$186,"&gt;0",$M$19:$M$186,M119)-1)/2)/(COUNTIF($M$19:$M$186,"&gt;0")-1),50))</x:f>
        <x:v>48.29059829059829</x:v>
      </x:c>
      <x:c r="V119" s="501" t="n">
        <x:f>IF(M119=0,"",T119*$R$5+U119*$R$6)</x:f>
        <x:v>48.2905982905983</x:v>
      </x:c>
      <x:c r="W119" s="431" t="n">
        <x:f>IF(E119=0,"",COUNTIFS($A$19:$A$186,A119,$S$19:$S$186,"&gt;"&amp;S119)+COUNTIFS($A$19:A119,A119,$E$19:E119,"&gt;0",$S$19:S119,S119))</x:f>
        <x:v>9</x:v>
      </x:c>
      <x:c r="X119" s="431" t="n">
        <x:f>IF(S119="","",1+COUNTIF($S$19:$S$186,"&gt;"&amp;S119))</x:f>
        <x:v>67</x:v>
      </x:c>
      <x:c r="Y119" s="431" t="n">
        <x:f>IF(V119="","",1+COUNTIFS($A$19:$A$186,A119,$V$19:$V$186,"&gt;"&amp;V119))</x:f>
        <x:v>14</x:v>
      </x:c>
      <x:c r="Z119" s="431" t="n">
        <x:f>IF(V119="","",1+COUNTIF($V$19:$V$186,"&gt;"&amp;V119))</x:f>
        <x:v>61</x:v>
      </x:c>
      <x:c r="AA119" s="430" t="str">
        <x:f>IF(C119=0,"No specialisations recorded",IF(D119&lt;C119,"Review missing level","Recorded skills only"))</x:f>
        <x:v>Recorded skills only</x:v>
      </x:c>
      <x:c r="AB119" s="601" t="n">
        <x:f>IF(OR(AP119&lt;&gt;"Yes",E119=0),"",IFERROR(100*(COUNTIFS($AP$19:$AP$186,"Yes",$E$19:$E$186,"&gt;0",$I$19:$I$186,"&lt;"&amp;I119)+(COUNTIFS($AP$19:$AP$186,"Yes",$E$19:$E$186,"&gt;0",$I$19:$I$186,I119)-1)/2)/(COUNTIFS($AP$19:$AP$186,"Yes",$E$19:$E$186,"&gt;0")-1),50))</x:f>
        <x:v>41.23376623376623</x:v>
      </x:c>
      <x:c r="AC119" s="601" t="n">
        <x:f>IF(AB119="","",AB119*'Specialisation Rankings'!$O$16+R119*'Specialisation Rankings'!$O$17)</x:f>
        <x:v>44.41558441558442</x:v>
      </x:c>
      <x:c r="AD119" s="601" t="n">
        <x:f>IF(AC119="","",COUNTIFS($A$19:$A$186,A119,$AP$19:$AP$186,"Yes",$E$19:$E$186,"&gt;0",$AC$19:$AC$186,"&gt;"&amp;AC119)+COUNTIFS($A$19:A119,A119,$AP$19:AP119,"Yes",$E$19:E119,"&gt;0",$AC$19:AC119,AC119))</x:f>
        <x:v>10</x:v>
      </x:c>
      <x:c r="AE119" s="601" t="n">
        <x:f>IF(OR(AP119&lt;&gt;"Yes",E119=0),"",IFERROR(100*(COUNTIFS($AP$19:$AP$186,"Yes",$E$19:$E$186,"&gt;0",$H$19:$H$186,"&lt;"&amp;H119)+(COUNTIFS($AP$19:$AP$186,"Yes",$E$19:$E$186,"&gt;0",$H$19:$H$186,H119)-1)/2)/(COUNTIFS($AP$19:$AP$186,"Yes",$E$19:$E$186,"&gt;0")-1),50))</x:f>
        <x:v>61.03896103896104</x:v>
      </x:c>
      <x:c r="AF119" s="601" t="n">
        <x:f>IF(AE119="","",AE119*'Specialisation Rankings'!$O$16+R119*'Specialisation Rankings'!$O$17)</x:f>
        <x:v>60.25974025974027</x:v>
      </x:c>
      <x:c r="AG119" s="601" t="n">
        <x:f>IF(AF119="","",COUNTIFS($A$19:$A$186,A119,$AP$19:$AP$186,"Yes",$E$19:$E$186,"&gt;0",$AF$19:$AF$186,"&gt;"&amp;AF119)+COUNTIFS($A$19:A119,A119,$AP$19:AP119,"Yes",$E$19:E119,"&gt;0",$AF$19:AF119,AF119))</x:f>
        <x:v>6</x:v>
      </x:c>
      <x:c r="AH119" s="601" t="n">
        <x:f>IF(OR(AP119&lt;&gt;"Yes",E119=0),"",IFERROR(100*(COUNTIFS($AP$19:$AP$186,"Yes",$E$19:$E$186,"&gt;0",$J$19:$J$186,"&lt;"&amp;J119)+(COUNTIFS($AP$19:$AP$186,"Yes",$E$19:$E$186,"&gt;0",$J$19:$J$186,J119)-1)/2)/(COUNTIFS($AP$19:$AP$186,"Yes",$E$19:$E$186,"&gt;0")-1),50))</x:f>
        <x:v>73.7012987012987</x:v>
      </x:c>
      <x:c r="AI119" s="601" t="n">
        <x:f>IF(AH119="","",AH119*'Specialisation Rankings'!$O$16+R119*'Specialisation Rankings'!$O$17)</x:f>
        <x:v>70.3896103896104</x:v>
      </x:c>
      <x:c r="AJ119" s="601" t="n">
        <x:f>IF(AI119="","",COUNTIFS($A$19:$A$186,A119,$AP$19:$AP$186,"Yes",$E$19:$E$186,"&gt;0",$AI$19:$AI$186,"&gt;"&amp;AI119)+COUNTIFS($A$19:A119,A119,$AP$19:AP119,"Yes",$E$19:E119,"&gt;0",$AI$19:AI119,AI119))</x:f>
        <x:v>6</x:v>
      </x:c>
      <x:c r="AK119" s="601" t="n">
        <x:f>IF(OR(AP119&lt;&gt;"Yes",E119=0),"",IF(M119=0,'Specialisation Rankings'!$O$23,V119))</x:f>
        <x:v>48.2905982905983</x:v>
      </x:c>
      <x:c r="AL119" s="601" t="n">
        <x:f>IF(AK119="","",COUNTIFS($A$19:$A$186,A119,$AP$19:$AP$186,"Yes",$E$19:$E$186,"&gt;0",$AK$19:$AK$186,"&gt;"&amp;AK119)+COUNTIFS($A$19:A119,A119,$AP$19:AP119,"Yes",$E$19:E119,"&gt;0",$AK$19:AK119,AK119))</x:f>
        <x:v>18</x:v>
      </x:c>
      <x:c r="AM119" s="601" t="n">
        <x:f>IF(AC119="","",AC119*'Specialisation Rankings'!$O$18+AF119*'Specialisation Rankings'!$O$19+AI119*'Specialisation Rankings'!$O$20+AK119*'Specialisation Rankings'!$O$21)</x:f>
        <x:v>50.28360528360529</x:v>
      </x:c>
      <x:c r="AN119" s="601" t="n">
        <x:f>IF(AM119="","",COUNTIFS($A$19:$A$186,A119,$AP$19:$AP$186,"Yes",$E$19:$E$186,"&gt;0",$AM$19:$AM$186,"&gt;"&amp;AM119)+COUNTIFS($A$19:A119,A119,$AP$19:AP119,"Yes",$E$19:E119,"&gt;0",$AM$19:AM119,AM119))</x:f>
        <x:v>8</x:v>
      </x:c>
      <x:c r="AO119" s="601" t="n">
        <x:f>IF(AM119="","",COUNTIFS($AP$19:$AP$186,"Yes",$E$19:$E$186,"&gt;0",$AM$19:$AM$186,"&gt;"&amp;AM119)+COUNTIFS($AP$19:AP119,"Yes",$E$19:E119,"&gt;0",$AM$19:AM119,AM119))</x:f>
        <x:v>69</x:v>
      </x:c>
      <x:c r="AP119" s="602" t="str">
        <x:f>IF(COUNTIFS('Player Scenario Model'!$A$6:$A$172,A119,'Player Scenario Model'!$B$6:$B$172,B119)&gt;0,"Yes","No")</x:f>
        <x:v>Yes</x:v>
      </x:c>
    </x:row>
    <x:row r="120" ht="24" customHeight="1">
      <x:c r="A120" s="430" t="str">
        <x:v>K170</x:v>
      </x:c>
      <x:c r="B120" s="430" t="str">
        <x:v>(AOT)SugarDADDY</x:v>
      </x:c>
      <x:c r="C120" s="431" t="n">
        <x:f>COUNTIFS('Specialisations'!$A$6:$A$527,A120,'Specialisations'!$B$6:$B$527,B120)</x:f>
        <x:v>4</x:v>
      </x:c>
      <x:c r="D120" s="431" t="n">
        <x:f>COUNTIFS('Specialisations'!$A$6:$A$527,A120,'Specialisations'!$B$6:$B$527,B120,'Specialisations'!$P$6:$P$527,"OK")</x:f>
        <x:v>4</x:v>
      </x:c>
      <x:c r="E120" s="431" t="n">
        <x:f>COUNTIFS('Specialisations'!$A$6:$A$527,A120,'Specialisations'!$B$6:$B$527,B120,'Specialisations'!$P$6:$P$527,"OK",'Specialisations'!$C$6:$C$527,"&lt;&gt;Guards")</x:f>
        <x:v>4</x:v>
      </x:c>
      <x:c r="F120" s="432" t="n">
        <x:f>IF(C120=0,"",D120/C120)</x:f>
        <x:v>1</x:v>
      </x:c>
      <x:c r="G120" s="495" t="n">
        <x:f>SUMIFS('Specialisations'!$Q$6:$Q$527,'Specialisations'!$A$6:$A$527,A120,'Specialisations'!$B$6:$B$527,B120,'Specialisations'!$C$6:$C$527,"Guards")</x:f>
        <x:v>0</x:v>
      </x:c>
      <x:c r="H120" s="495" t="n">
        <x:f>SUMIFS('Specialisations'!$Q$6:$Q$527,'Specialisations'!$A$6:$A$527,A120,'Specialisations'!$B$6:$B$527,B120,'Specialisations'!$C$6:$C$527,"Archers")</x:f>
        <x:v>4.18</x:v>
      </x:c>
      <x:c r="I120" s="495" t="n">
        <x:f>SUMIFS('Specialisations'!$Q$6:$Q$527,'Specialisations'!$A$6:$A$527,A120,'Specialisations'!$B$6:$B$527,B120,'Specialisations'!$C$6:$C$527,"Cavalry")</x:f>
        <x:v>55.48</x:v>
      </x:c>
      <x:c r="J120" s="495" t="n">
        <x:f>SUMIFS('Specialisations'!$Q$6:$Q$527,'Specialisations'!$A$6:$A$527,A120,'Specialisations'!$B$6:$B$527,B120,'Specialisations'!$C$6:$C$527,"Siege")</x:f>
        <x:v>20.73</x:v>
      </x:c>
      <x:c r="K120" s="495" t="n">
        <x:f>SUM(H120:J120)</x:f>
        <x:v>80.39</x:v>
      </x:c>
      <x:c r="L120" s="495" t="n">
        <x:f>SUM(G120,K120)</x:f>
        <x:v>80.39</x:v>
      </x:c>
      <x:c r="M120" s="433" t="n">
        <x:f>SUMIFS('Specialisations'!$N$6:$N$527,'Specialisations'!$A$6:$A$527,A120,'Specialisations'!$B$6:$B$527,B120,'Specialisations'!$C$6:$C$527,"Guards")</x:f>
        <x:v>0</x:v>
      </x:c>
      <x:c r="N120" s="433" t="n">
        <x:f>SUMIFS('Specialisations'!$N$6:$N$527,'Specialisations'!$A$6:$A$527,A120,'Specialisations'!$B$6:$B$527,B120,'Specialisations'!$C$6:$C$527,"&lt;&gt;Guards")</x:f>
        <x:v>6384700</x:v>
      </x:c>
      <x:c r="O120" s="433" t="n">
        <x:f>SUM(M120:N120)</x:f>
        <x:v>6384700</x:v>
      </x:c>
      <x:c r="P120" s="434" t="n">
        <x:f>IF(E120=0,"",K120/E120)</x:f>
        <x:v>20.0975</x:v>
      </x:c>
      <x:c r="Q120" s="501" t="n">
        <x:f>IF(E120=0,"",IFERROR(100*(COUNTIFS($E$19:$E$186,"&gt;0",$K$19:$K$186,"&lt;"&amp;K120)+(COUNTIFS($E$19:$E$186,"&gt;0",$K$19:$K$186,K120)-1)/2)/(COUNTIF($E$19:$E$186,"&gt;0")-1),50))</x:f>
        <x:v>38.311688311688314</x:v>
      </x:c>
      <x:c r="R120" s="501" t="n">
        <x:f>IF(E120=0,"",IFERROR(100*(COUNTIFS($E$19:$E$186,"&gt;0",$N$19:$N$186,"&lt;"&amp;N120)+(COUNTIFS($E$19:$E$186,"&gt;0",$N$19:$N$186,N120)-1)/2)/(COUNTIF($E$19:$E$186,"&gt;0")-1),50))</x:f>
        <x:v>20.12987012987013</x:v>
      </x:c>
      <x:c r="S120" s="501" t="n">
        <x:f>IF(E120=0,"",Q120*$R$5+R120*$R$6)</x:f>
        <x:v>34.675324675324674</x:v>
      </x:c>
      <x:c r="T120" s="501" t="str">
        <x:f>IF(M120=0,"",IFERROR(100*(COUNTIFS($M$19:$M$186,"&gt;0",$G$19:$G$186,"&gt;"&amp;G120)+(COUNTIFS($M$19:$M$186,"&gt;0",$G$19:$G$186,G120)-1)/2)/(COUNTIF($M$19:$M$186,"&gt;0")-1),50))</x:f>
      </x:c>
      <x:c r="U120" s="501" t="str">
        <x:f>IF(M120=0,"",IFERROR(100*(COUNTIFS($M$19:$M$186,"&gt;0",$M$19:$M$186,"&lt;"&amp;M120)+(COUNTIFS($M$19:$M$186,"&gt;0",$M$19:$M$186,M120)-1)/2)/(COUNTIF($M$19:$M$186,"&gt;0")-1),50))</x:f>
      </x:c>
      <x:c r="V120" s="501" t="str">
        <x:f>IF(M120=0,"",T120*$R$5+U120*$R$6)</x:f>
      </x:c>
      <x:c r="W120" s="431" t="n">
        <x:f>IF(E120=0,"",COUNTIFS($A$19:$A$186,A120,$S$19:$S$186,"&gt;"&amp;S120)+COUNTIFS($A$19:A120,A120,$E$19:E120,"&gt;0",$S$19:S120,S120))</x:f>
        <x:v>14</x:v>
      </x:c>
      <x:c r="X120" s="431" t="n">
        <x:f>IF(S120="","",1+COUNTIF($S$19:$S$186,"&gt;"&amp;S120))</x:f>
        <x:v>101</x:v>
      </x:c>
      <x:c r="Y120" s="431" t="str">
        <x:f>IF(V120="","",1+COUNTIFS($A$19:$A$186,A120,$V$19:$V$186,"&gt;"&amp;V120))</x:f>
      </x:c>
      <x:c r="Z120" s="431" t="str">
        <x:f>IF(V120="","",1+COUNTIF($V$19:$V$186,"&gt;"&amp;V120))</x:f>
      </x:c>
      <x:c r="AA120" s="430" t="str">
        <x:f>IF(C120=0,"No specialisations recorded",IF(D120&lt;C120,"Review missing level","Recorded skills only"))</x:f>
        <x:v>Recorded skills only</x:v>
      </x:c>
      <x:c r="AB120" s="601" t="n">
        <x:f>IF(OR(AP120&lt;&gt;"Yes",E120=0),"",IFERROR(100*(COUNTIFS($AP$19:$AP$186,"Yes",$E$19:$E$186,"&gt;0",$I$19:$I$186,"&lt;"&amp;I120)+(COUNTIFS($AP$19:$AP$186,"Yes",$E$19:$E$186,"&gt;0",$I$19:$I$186,I120)-1)/2)/(COUNTIFS($AP$19:$AP$186,"Yes",$E$19:$E$186,"&gt;0")-1),50))</x:f>
        <x:v>43.506493506493506</x:v>
      </x:c>
      <x:c r="AC120" s="601" t="n">
        <x:f>IF(AB120="","",AB120*'Specialisation Rankings'!$O$16+R120*'Specialisation Rankings'!$O$17)</x:f>
        <x:v>38.83116883116884</x:v>
      </x:c>
      <x:c r="AD120" s="601" t="n">
        <x:f>IF(AC120="","",COUNTIFS($A$19:$A$186,A120,$AP$19:$AP$186,"Yes",$E$19:$E$186,"&gt;0",$AC$19:$AC$186,"&gt;"&amp;AC120)+COUNTIFS($A$19:A120,A120,$AP$19:AP120,"Yes",$E$19:E120,"&gt;0",$AC$19:AC120,AC120))</x:f>
        <x:v>13</x:v>
      </x:c>
      <x:c r="AE120" s="601" t="n">
        <x:f>IF(OR(AP120&lt;&gt;"Yes",E120=0),"",IFERROR(100*(COUNTIFS($AP$19:$AP$186,"Yes",$E$19:$E$186,"&gt;0",$H$19:$H$186,"&lt;"&amp;H120)+(COUNTIFS($AP$19:$AP$186,"Yes",$E$19:$E$186,"&gt;0",$H$19:$H$186,H120)-1)/2)/(COUNTIFS($AP$19:$AP$186,"Yes",$E$19:$E$186,"&gt;0")-1),50))</x:f>
        <x:v>25.324675324675326</x:v>
      </x:c>
      <x:c r="AF120" s="601" t="n">
        <x:f>IF(AE120="","",AE120*'Specialisation Rankings'!$O$16+R120*'Specialisation Rankings'!$O$17)</x:f>
        <x:v>24.28571428571429</x:v>
      </x:c>
      <x:c r="AG120" s="601" t="n">
        <x:f>IF(AF120="","",COUNTIFS($A$19:$A$186,A120,$AP$19:$AP$186,"Yes",$E$19:$E$186,"&gt;0",$AF$19:$AF$186,"&gt;"&amp;AF120)+COUNTIFS($A$19:A120,A120,$AP$19:AP120,"Yes",$E$19:E120,"&gt;0",$AF$19:AF120,AF120))</x:f>
        <x:v>16</x:v>
      </x:c>
      <x:c r="AH120" s="601" t="n">
        <x:f>IF(OR(AP120&lt;&gt;"Yes",E120=0),"",IFERROR(100*(COUNTIFS($AP$19:$AP$186,"Yes",$E$19:$E$186,"&gt;0",$J$19:$J$186,"&lt;"&amp;J120)+(COUNTIFS($AP$19:$AP$186,"Yes",$E$19:$E$186,"&gt;0",$J$19:$J$186,J120)-1)/2)/(COUNTIFS($AP$19:$AP$186,"Yes",$E$19:$E$186,"&gt;0")-1),50))</x:f>
        <x:v>75.97402597402598</x:v>
      </x:c>
      <x:c r="AI120" s="601" t="n">
        <x:f>IF(AH120="","",AH120*'Specialisation Rankings'!$O$16+R120*'Specialisation Rankings'!$O$17)</x:f>
        <x:v>64.80519480519482</x:v>
      </x:c>
      <x:c r="AJ120" s="601" t="n">
        <x:f>IF(AI120="","",COUNTIFS($A$19:$A$186,A120,$AP$19:$AP$186,"Yes",$E$19:$E$186,"&gt;0",$AI$19:$AI$186,"&gt;"&amp;AI120)+COUNTIFS($A$19:A120,A120,$AP$19:AP120,"Yes",$E$19:E120,"&gt;0",$AI$19:AI120,AI120))</x:f>
        <x:v>7</x:v>
      </x:c>
      <x:c r="AK120" s="601" t="n">
        <x:f>IF(OR(AP120&lt;&gt;"Yes",E120=0),"",IF(M120=0,'Specialisation Rankings'!$O$23,V120))</x:f>
        <x:v>50</x:v>
      </x:c>
      <x:c r="AL120" s="601" t="n">
        <x:f>IF(AK120="","",COUNTIFS($A$19:$A$186,A120,$AP$19:$AP$186,"Yes",$E$19:$E$186,"&gt;0",$AK$19:$AK$186,"&gt;"&amp;AK120)+COUNTIFS($A$19:A120,A120,$AP$19:AP120,"Yes",$E$19:E120,"&gt;0",$AK$19:AK120,AK120))</x:f>
        <x:v>17</x:v>
      </x:c>
      <x:c r="AM120" s="601" t="n">
        <x:f>IF(AC120="","",AC120*'Specialisation Rankings'!$O$18+AF120*'Specialisation Rankings'!$O$19+AI120*'Specialisation Rankings'!$O$20+AK120*'Specialisation Rankings'!$O$21)</x:f>
        <x:v>42.3896103896104</x:v>
      </x:c>
      <x:c r="AN120" s="601" t="n">
        <x:f>IF(AM120="","",COUNTIFS($A$19:$A$186,A120,$AP$19:$AP$186,"Yes",$E$19:$E$186,"&gt;0",$AM$19:$AM$186,"&gt;"&amp;AM120)+COUNTIFS($A$19:A120,A120,$AP$19:AP120,"Yes",$E$19:E120,"&gt;0",$AM$19:AM120,AM120))</x:f>
        <x:v>14</x:v>
      </x:c>
      <x:c r="AO120" s="601" t="n">
        <x:f>IF(AM120="","",COUNTIFS($AP$19:$AP$186,"Yes",$E$19:$E$186,"&gt;0",$AM$19:$AM$186,"&gt;"&amp;AM120)+COUNTIFS($AP$19:AP120,"Yes",$E$19:E120,"&gt;0",$AM$19:AM120,AM120))</x:f>
        <x:v>92</x:v>
      </x:c>
      <x:c r="AP120" s="602" t="str">
        <x:f>IF(COUNTIFS('Player Scenario Model'!$A$6:$A$172,A120,'Player Scenario Model'!$B$6:$B$172,B120)&gt;0,"Yes","No")</x:f>
        <x:v>Yes</x:v>
      </x:c>
    </x:row>
    <x:row r="121" ht="24" customHeight="1">
      <x:c r="A121" s="430" t="str">
        <x:v>K170</x:v>
      </x:c>
      <x:c r="B121" s="430" t="str">
        <x:v>(AOT)MONKEY</x:v>
      </x:c>
      <x:c r="C121" s="431" t="n">
        <x:f>COUNTIFS('Specialisations'!$A$6:$A$527,A121,'Specialisations'!$B$6:$B$527,B121)</x:f>
        <x:v>3</x:v>
      </x:c>
      <x:c r="D121" s="431" t="n">
        <x:f>COUNTIFS('Specialisations'!$A$6:$A$527,A121,'Specialisations'!$B$6:$B$527,B121,'Specialisations'!$P$6:$P$527,"OK")</x:f>
        <x:v>3</x:v>
      </x:c>
      <x:c r="E121" s="431" t="n">
        <x:f>COUNTIFS('Specialisations'!$A$6:$A$527,A121,'Specialisations'!$B$6:$B$527,B121,'Specialisations'!$P$6:$P$527,"OK",'Specialisations'!$C$6:$C$527,"&lt;&gt;Guards")</x:f>
        <x:v>2</x:v>
      </x:c>
      <x:c r="F121" s="432" t="n">
        <x:f>IF(C121=0,"",D121/C121)</x:f>
        <x:v>1</x:v>
      </x:c>
      <x:c r="G121" s="495" t="n">
        <x:f>SUMIFS('Specialisations'!$Q$6:$Q$527,'Specialisations'!$A$6:$A$527,A121,'Specialisations'!$B$6:$B$527,B121,'Specialisations'!$C$6:$C$527,"Guards")</x:f>
        <x:v>-27.74</x:v>
      </x:c>
      <x:c r="H121" s="495" t="n">
        <x:f>SUMIFS('Specialisations'!$Q$6:$Q$527,'Specialisations'!$A$6:$A$527,A121,'Specialisations'!$B$6:$B$527,B121,'Specialisations'!$C$6:$C$527,"Archers")</x:f>
        <x:v>27.74</x:v>
      </x:c>
      <x:c r="I121" s="495" t="n">
        <x:f>SUMIFS('Specialisations'!$Q$6:$Q$527,'Specialisations'!$A$6:$A$527,A121,'Specialisations'!$B$6:$B$527,B121,'Specialisations'!$C$6:$C$527,"Cavalry")</x:f>
        <x:v>41.98</x:v>
      </x:c>
      <x:c r="J121" s="495" t="n">
        <x:f>SUMIFS('Specialisations'!$Q$6:$Q$527,'Specialisations'!$A$6:$A$527,A121,'Specialisations'!$B$6:$B$527,B121,'Specialisations'!$C$6:$C$527,"Siege")</x:f>
        <x:v>0</x:v>
      </x:c>
      <x:c r="K121" s="495" t="n">
        <x:f>SUM(H121:J121)</x:f>
        <x:v>69.72</x:v>
      </x:c>
      <x:c r="L121" s="495" t="n">
        <x:f>SUM(G121,K121)</x:f>
        <x:v>41.980000000000004</x:v>
      </x:c>
      <x:c r="M121" s="433" t="n">
        <x:f>SUMIFS('Specialisations'!$N$6:$N$527,'Specialisations'!$A$6:$A$527,A121,'Specialisations'!$B$6:$B$527,B121,'Specialisations'!$C$6:$C$527,"Guards")</x:f>
        <x:v>2244300</x:v>
      </x:c>
      <x:c r="N121" s="433" t="n">
        <x:f>SUMIFS('Specialisations'!$N$6:$N$527,'Specialisations'!$A$6:$A$527,A121,'Specialisations'!$B$6:$B$527,B121,'Specialisations'!$C$6:$C$527,"&lt;&gt;Guards")</x:f>
        <x:v>6528600</x:v>
      </x:c>
      <x:c r="O121" s="433" t="n">
        <x:f>SUM(M121:N121)</x:f>
        <x:v>8772900</x:v>
      </x:c>
      <x:c r="P121" s="434" t="n">
        <x:f>IF(E121=0,"",K121/E121)</x:f>
        <x:v>34.86</x:v>
      </x:c>
      <x:c r="Q121" s="501" t="n">
        <x:f>IF(E121=0,"",IFERROR(100*(COUNTIFS($E$19:$E$186,"&gt;0",$K$19:$K$186,"&lt;"&amp;K121)+(COUNTIFS($E$19:$E$186,"&gt;0",$K$19:$K$186,K121)-1)/2)/(COUNTIF($E$19:$E$186,"&gt;0")-1),50))</x:f>
        <x:v>33.76623376623377</x:v>
      </x:c>
      <x:c r="R121" s="501" t="n">
        <x:f>IF(E121=0,"",IFERROR(100*(COUNTIFS($E$19:$E$186,"&gt;0",$N$19:$N$186,"&lt;"&amp;N121)+(COUNTIFS($E$19:$E$186,"&gt;0",$N$19:$N$186,N121)-1)/2)/(COUNTIF($E$19:$E$186,"&gt;0")-1),50))</x:f>
        <x:v>21.428571428571427</x:v>
      </x:c>
      <x:c r="S121" s="501" t="n">
        <x:f>IF(E121=0,"",Q121*$R$5+R121*$R$6)</x:f>
        <x:v>31.2987012987013</x:v>
      </x:c>
      <x:c r="T121" s="501" t="n">
        <x:f>IF(M121=0,"",IFERROR(100*(COUNTIFS($M$19:$M$186,"&gt;0",$G$19:$G$186,"&gt;"&amp;G121)+(COUNTIFS($M$19:$M$186,"&gt;0",$G$19:$G$186,G121)-1)/2)/(COUNTIF($M$19:$M$186,"&gt;0")-1),50))</x:f>
        <x:v>29.487179487179485</x:v>
      </x:c>
      <x:c r="U121" s="501" t="n">
        <x:f>IF(M121=0,"",IFERROR(100*(COUNTIFS($M$19:$M$186,"&gt;0",$M$19:$M$186,"&lt;"&amp;M121)+(COUNTIFS($M$19:$M$186,"&gt;0",$M$19:$M$186,M121)-1)/2)/(COUNTIF($M$19:$M$186,"&gt;0")-1),50))</x:f>
        <x:v>29.487179487179485</x:v>
      </x:c>
      <x:c r="V121" s="501" t="n">
        <x:f>IF(M121=0,"",T121*$R$5+U121*$R$6)</x:f>
        <x:v>29.48717948717949</x:v>
      </x:c>
      <x:c r="W121" s="431" t="n">
        <x:f>IF(E121=0,"",COUNTIFS($A$19:$A$186,A121,$S$19:$S$186,"&gt;"&amp;S121)+COUNTIFS($A$19:A121,A121,$E$19:E121,"&gt;0",$S$19:S121,S121))</x:f>
        <x:v>16</x:v>
      </x:c>
      <x:c r="X121" s="431" t="n">
        <x:f>IF(S121="","",1+COUNTIF($S$19:$S$186,"&gt;"&amp;S121))</x:f>
        <x:v>104</x:v>
      </x:c>
      <x:c r="Y121" s="431" t="n">
        <x:f>IF(V121="","",1+COUNTIFS($A$19:$A$186,A121,$V$19:$V$186,"&gt;"&amp;V121))</x:f>
        <x:v>15</x:v>
      </x:c>
      <x:c r="Z121" s="431" t="n">
        <x:f>IF(V121="","",1+COUNTIF($V$19:$V$186,"&gt;"&amp;V121))</x:f>
        <x:v>70</x:v>
      </x:c>
      <x:c r="AA121" s="430" t="str">
        <x:f>IF(C121=0,"No specialisations recorded",IF(D121&lt;C121,"Review missing level","Recorded skills only"))</x:f>
        <x:v>Recorded skills only</x:v>
      </x:c>
      <x:c r="AB121" s="601" t="n">
        <x:f>IF(OR(AP121&lt;&gt;"Yes",E121=0),"",IFERROR(100*(COUNTIFS($AP$19:$AP$186,"Yes",$E$19:$E$186,"&gt;0",$I$19:$I$186,"&lt;"&amp;I121)+(COUNTIFS($AP$19:$AP$186,"Yes",$E$19:$E$186,"&gt;0",$I$19:$I$186,I121)-1)/2)/(COUNTIFS($AP$19:$AP$186,"Yes",$E$19:$E$186,"&gt;0")-1),50))</x:f>
        <x:v>33.44155844155844</x:v>
      </x:c>
      <x:c r="AC121" s="601" t="n">
        <x:f>IF(AB121="","",AB121*'Specialisation Rankings'!$O$16+R121*'Specialisation Rankings'!$O$17)</x:f>
        <x:v>31.03896103896104</x:v>
      </x:c>
      <x:c r="AD121" s="601" t="n">
        <x:f>IF(AC121="","",COUNTIFS($A$19:$A$186,A121,$AP$19:$AP$186,"Yes",$E$19:$E$186,"&gt;0",$AC$19:$AC$186,"&gt;"&amp;AC121)+COUNTIFS($A$19:A121,A121,$AP$19:AP121,"Yes",$E$19:E121,"&gt;0",$AC$19:AC121,AC121))</x:f>
        <x:v>18</x:v>
      </x:c>
      <x:c r="AE121" s="601" t="n">
        <x:f>IF(OR(AP121&lt;&gt;"Yes",E121=0),"",IFERROR(100*(COUNTIFS($AP$19:$AP$186,"Yes",$E$19:$E$186,"&gt;0",$H$19:$H$186,"&lt;"&amp;H121)+(COUNTIFS($AP$19:$AP$186,"Yes",$E$19:$E$186,"&gt;0",$H$19:$H$186,H121)-1)/2)/(COUNTIFS($AP$19:$AP$186,"Yes",$E$19:$E$186,"&gt;0")-1),50))</x:f>
        <x:v>42.20779220779221</x:v>
      </x:c>
      <x:c r="AF121" s="601" t="n">
        <x:f>IF(AE121="","",AE121*'Specialisation Rankings'!$O$16+R121*'Specialisation Rankings'!$O$17)</x:f>
        <x:v>38.05194805194805</x:v>
      </x:c>
      <x:c r="AG121" s="601" t="n">
        <x:f>IF(AF121="","",COUNTIFS($A$19:$A$186,A121,$AP$19:$AP$186,"Yes",$E$19:$E$186,"&gt;0",$AF$19:$AF$186,"&gt;"&amp;AF121)+COUNTIFS($A$19:A121,A121,$AP$19:AP121,"Yes",$E$19:E121,"&gt;0",$AF$19:AF121,AF121))</x:f>
        <x:v>9</x:v>
      </x:c>
      <x:c r="AH121" s="601" t="n">
        <x:f>IF(OR(AP121&lt;&gt;"Yes",E121=0),"",IFERROR(100*(COUNTIFS($AP$19:$AP$186,"Yes",$E$19:$E$186,"&gt;0",$J$19:$J$186,"&lt;"&amp;J121)+(COUNTIFS($AP$19:$AP$186,"Yes",$E$19:$E$186,"&gt;0",$J$19:$J$186,J121)-1)/2)/(COUNTIFS($AP$19:$AP$186,"Yes",$E$19:$E$186,"&gt;0")-1),50))</x:f>
        <x:v>33.116883116883116</x:v>
      </x:c>
      <x:c r="AI121" s="601" t="n">
        <x:f>IF(AH121="","",AH121*'Specialisation Rankings'!$O$16+R121*'Specialisation Rankings'!$O$17)</x:f>
        <x:v>30.77922077922078</x:v>
      </x:c>
      <x:c r="AJ121" s="601" t="n">
        <x:f>IF(AI121="","",COUNTIFS($A$19:$A$186,A121,$AP$19:$AP$186,"Yes",$E$19:$E$186,"&gt;0",$AI$19:$AI$186,"&gt;"&amp;AI121)+COUNTIFS($A$19:A121,A121,$AP$19:AP121,"Yes",$E$19:E121,"&gt;0",$AI$19:AI121,AI121))</x:f>
        <x:v>16</x:v>
      </x:c>
      <x:c r="AK121" s="601" t="n">
        <x:f>IF(OR(AP121&lt;&gt;"Yes",E121=0),"",IF(M121=0,'Specialisation Rankings'!$O$23,V121))</x:f>
        <x:v>29.48717948717949</x:v>
      </x:c>
      <x:c r="AL121" s="601" t="n">
        <x:f>IF(AK121="","",COUNTIFS($A$19:$A$186,A121,$AP$19:$AP$186,"Yes",$E$19:$E$186,"&gt;0",$AK$19:$AK$186,"&gt;"&amp;AK121)+COUNTIFS($A$19:A121,A121,$AP$19:AP121,"Yes",$E$19:E121,"&gt;0",$AK$19:AK121,AK121))</x:f>
        <x:v>20</x:v>
      </x:c>
      <x:c r="AM121" s="601" t="n">
        <x:f>IF(AC121="","",AC121*'Specialisation Rankings'!$O$18+AF121*'Specialisation Rankings'!$O$19+AI121*'Specialisation Rankings'!$O$20+AK121*'Specialisation Rankings'!$O$21)</x:f>
        <x:v>31.546120546120548</x:v>
      </x:c>
      <x:c r="AN121" s="601" t="n">
        <x:f>IF(AM121="","",COUNTIFS($A$19:$A$186,A121,$AP$19:$AP$186,"Yes",$E$19:$E$186,"&gt;0",$AM$19:$AM$186,"&gt;"&amp;AM121)+COUNTIFS($A$19:A121,A121,$AP$19:AP121,"Yes",$E$19:E121,"&gt;0",$AM$19:AM121,AM121))</x:f>
        <x:v>19</x:v>
      </x:c>
      <x:c r="AO121" s="601" t="n">
        <x:f>IF(AM121="","",COUNTIFS($AP$19:$AP$186,"Yes",$E$19:$E$186,"&gt;0",$AM$19:$AM$186,"&gt;"&amp;AM121)+COUNTIFS($AP$19:AP121,"Yes",$E$19:E121,"&gt;0",$AM$19:AM121,AM121))</x:f>
        <x:v>117</x:v>
      </x:c>
      <x:c r="AP121" s="602" t="str">
        <x:f>IF(COUNTIFS('Player Scenario Model'!$A$6:$A$172,A121,'Player Scenario Model'!$B$6:$B$172,B121)&gt;0,"Yes","No")</x:f>
        <x:v>Yes</x:v>
      </x:c>
    </x:row>
    <x:row r="122" ht="24" customHeight="1">
      <x:c r="A122" s="430" t="str">
        <x:v>K170</x:v>
      </x:c>
      <x:c r="B122" s="430" t="str">
        <x:v>(AOT)Paian</x:v>
      </x:c>
      <x:c r="C122" s="431" t="n">
        <x:f>COUNTIFS('Specialisations'!$A$6:$A$527,A122,'Specialisations'!$B$6:$B$527,B122)</x:f>
        <x:v>2</x:v>
      </x:c>
      <x:c r="D122" s="431" t="n">
        <x:f>COUNTIFS('Specialisations'!$A$6:$A$527,A122,'Specialisations'!$B$6:$B$527,B122,'Specialisations'!$P$6:$P$527,"OK")</x:f>
        <x:v>2</x:v>
      </x:c>
      <x:c r="E122" s="431" t="n">
        <x:f>COUNTIFS('Specialisations'!$A$6:$A$527,A122,'Specialisations'!$B$6:$B$527,B122,'Specialisations'!$P$6:$P$527,"OK",'Specialisations'!$C$6:$C$527,"&lt;&gt;Guards")</x:f>
        <x:v>1</x:v>
      </x:c>
      <x:c r="F122" s="432" t="n">
        <x:f>IF(C122=0,"",D122/C122)</x:f>
        <x:v>1</x:v>
      </x:c>
      <x:c r="G122" s="495" t="n">
        <x:f>SUMIFS('Specialisations'!$Q$6:$Q$527,'Specialisations'!$A$6:$A$527,A122,'Specialisations'!$B$6:$B$527,B122,'Specialisations'!$C$6:$C$527,"Guards")</x:f>
        <x:v>-27.74</x:v>
      </x:c>
      <x:c r="H122" s="495" t="n">
        <x:f>SUMIFS('Specialisations'!$Q$6:$Q$527,'Specialisations'!$A$6:$A$527,A122,'Specialisations'!$B$6:$B$527,B122,'Specialisations'!$C$6:$C$527,"Archers")</x:f>
        <x:v>0</x:v>
      </x:c>
      <x:c r="I122" s="495" t="n">
        <x:f>SUMIFS('Specialisations'!$Q$6:$Q$527,'Specialisations'!$A$6:$A$527,A122,'Specialisations'!$B$6:$B$527,B122,'Specialisations'!$C$6:$C$527,"Cavalry")</x:f>
        <x:v>35.98</x:v>
      </x:c>
      <x:c r="J122" s="495" t="n">
        <x:f>SUMIFS('Specialisations'!$Q$6:$Q$527,'Specialisations'!$A$6:$A$527,A122,'Specialisations'!$B$6:$B$527,B122,'Specialisations'!$C$6:$C$527,"Siege")</x:f>
        <x:v>0</x:v>
      </x:c>
      <x:c r="K122" s="495" t="n">
        <x:f>SUM(H122:J122)</x:f>
        <x:v>35.98</x:v>
      </x:c>
      <x:c r="L122" s="495" t="n">
        <x:f>SUM(G122,K122)</x:f>
        <x:v>8.239999999999998</x:v>
      </x:c>
      <x:c r="M122" s="433" t="n">
        <x:f>SUMIFS('Specialisations'!$N$6:$N$527,'Specialisations'!$A$6:$A$527,A122,'Specialisations'!$B$6:$B$527,B122,'Specialisations'!$C$6:$C$527,"Guards")</x:f>
        <x:v>2244300</x:v>
      </x:c>
      <x:c r="N122" s="433" t="n">
        <x:f>SUMIFS('Specialisations'!$N$6:$N$527,'Specialisations'!$A$6:$A$527,A122,'Specialisations'!$B$6:$B$527,B122,'Specialisations'!$C$6:$C$527,"&lt;&gt;Guards")</x:f>
        <x:v>3244300</x:v>
      </x:c>
      <x:c r="O122" s="433" t="n">
        <x:f>SUM(M122:N122)</x:f>
        <x:v>5488600</x:v>
      </x:c>
      <x:c r="P122" s="434" t="n">
        <x:f>IF(E122=0,"",K122/E122)</x:f>
        <x:v>35.98</x:v>
      </x:c>
      <x:c r="Q122" s="501" t="n">
        <x:f>IF(E122=0,"",IFERROR(100*(COUNTIFS($E$19:$E$186,"&gt;0",$K$19:$K$186,"&lt;"&amp;K122)+(COUNTIFS($E$19:$E$186,"&gt;0",$K$19:$K$186,K122)-1)/2)/(COUNTIF($E$19:$E$186,"&gt;0")-1),50))</x:f>
        <x:v>3.896103896103896</x:v>
      </x:c>
      <x:c r="R122" s="501" t="n">
        <x:f>IF(E122=0,"",IFERROR(100*(COUNTIFS($E$19:$E$186,"&gt;0",$N$19:$N$186,"&lt;"&amp;N122)+(COUNTIFS($E$19:$E$186,"&gt;0",$N$19:$N$186,N122)-1)/2)/(COUNTIF($E$19:$E$186,"&gt;0")-1),50))</x:f>
        <x:v>4.545454545454546</x:v>
      </x:c>
      <x:c r="S122" s="501" t="n">
        <x:f>IF(E122=0,"",Q122*$R$5+R122*$R$6)</x:f>
        <x:v>4.025974025974026</x:v>
      </x:c>
      <x:c r="T122" s="501" t="n">
        <x:f>IF(M122=0,"",IFERROR(100*(COUNTIFS($M$19:$M$186,"&gt;0",$G$19:$G$186,"&gt;"&amp;G122)+(COUNTIFS($M$19:$M$186,"&gt;0",$G$19:$G$186,G122)-1)/2)/(COUNTIF($M$19:$M$186,"&gt;0")-1),50))</x:f>
        <x:v>29.487179487179485</x:v>
      </x:c>
      <x:c r="U122" s="501" t="n">
        <x:f>IF(M122=0,"",IFERROR(100*(COUNTIFS($M$19:$M$186,"&gt;0",$M$19:$M$186,"&lt;"&amp;M122)+(COUNTIFS($M$19:$M$186,"&gt;0",$M$19:$M$186,M122)-1)/2)/(COUNTIF($M$19:$M$186,"&gt;0")-1),50))</x:f>
        <x:v>29.487179487179485</x:v>
      </x:c>
      <x:c r="V122" s="501" t="n">
        <x:f>IF(M122=0,"",T122*$R$5+U122*$R$6)</x:f>
        <x:v>29.48717948717949</x:v>
      </x:c>
      <x:c r="W122" s="431" t="n">
        <x:f>IF(E122=0,"",COUNTIFS($A$19:$A$186,A122,$S$19:$S$186,"&gt;"&amp;S122)+COUNTIFS($A$19:A122,A122,$E$19:E122,"&gt;0",$S$19:S122,S122))</x:f>
        <x:v>21</x:v>
      </x:c>
      <x:c r="X122" s="431" t="n">
        <x:f>IF(S122="","",1+COUNTIF($S$19:$S$186,"&gt;"&amp;S122))</x:f>
        <x:v>149</x:v>
      </x:c>
      <x:c r="Y122" s="431" t="n">
        <x:f>IF(V122="","",1+COUNTIFS($A$19:$A$186,A122,$V$19:$V$186,"&gt;"&amp;V122))</x:f>
        <x:v>15</x:v>
      </x:c>
      <x:c r="Z122" s="431" t="n">
        <x:f>IF(V122="","",1+COUNTIF($V$19:$V$186,"&gt;"&amp;V122))</x:f>
        <x:v>70</x:v>
      </x:c>
      <x:c r="AA122" s="430" t="str">
        <x:f>IF(C122=0,"No specialisations recorded",IF(D122&lt;C122,"Review missing level","Recorded skills only"))</x:f>
        <x:v>Recorded skills only</x:v>
      </x:c>
      <x:c r="AB122" s="601" t="n">
        <x:f>IF(OR(AP122&lt;&gt;"Yes",E122=0),"",IFERROR(100*(COUNTIFS($AP$19:$AP$186,"Yes",$E$19:$E$186,"&gt;0",$I$19:$I$186,"&lt;"&amp;I122)+(COUNTIFS($AP$19:$AP$186,"Yes",$E$19:$E$186,"&gt;0",$I$19:$I$186,I122)-1)/2)/(COUNTIFS($AP$19:$AP$186,"Yes",$E$19:$E$186,"&gt;0")-1),50))</x:f>
        <x:v>29.545454545454547</x:v>
      </x:c>
      <x:c r="AC122" s="601" t="n">
        <x:f>IF(AB122="","",AB122*'Specialisation Rankings'!$O$16+R122*'Specialisation Rankings'!$O$17)</x:f>
        <x:v>24.54545454545455</x:v>
      </x:c>
      <x:c r="AD122" s="601" t="n">
        <x:f>IF(AC122="","",COUNTIFS($A$19:$A$186,A122,$AP$19:$AP$186,"Yes",$E$19:$E$186,"&gt;0",$AC$19:$AC$186,"&gt;"&amp;AC122)+COUNTIFS($A$19:A122,A122,$AP$19:AP122,"Yes",$E$19:E122,"&gt;0",$AC$19:AC122,AC122))</x:f>
        <x:v>19</x:v>
      </x:c>
      <x:c r="AE122" s="601" t="n">
        <x:f>IF(OR(AP122&lt;&gt;"Yes",E122=0),"",IFERROR(100*(COUNTIFS($AP$19:$AP$186,"Yes",$E$19:$E$186,"&gt;0",$H$19:$H$186,"&lt;"&amp;H122)+(COUNTIFS($AP$19:$AP$186,"Yes",$E$19:$E$186,"&gt;0",$H$19:$H$186,H122)-1)/2)/(COUNTIFS($AP$19:$AP$186,"Yes",$E$19:$E$186,"&gt;0")-1),50))</x:f>
        <x:v>11.688311688311689</x:v>
      </x:c>
      <x:c r="AF122" s="601" t="n">
        <x:f>IF(AE122="","",AE122*'Specialisation Rankings'!$O$16+R122*'Specialisation Rankings'!$O$17)</x:f>
        <x:v>10.259740259740262</x:v>
      </x:c>
      <x:c r="AG122" s="601" t="n">
        <x:f>IF(AF122="","",COUNTIFS($A$19:$A$186,A122,$AP$19:$AP$186,"Yes",$E$19:$E$186,"&gt;0",$AF$19:$AF$186,"&gt;"&amp;AF122)+COUNTIFS($A$19:A122,A122,$AP$19:AP122,"Yes",$E$19:E122,"&gt;0",$AF$19:AF122,AF122))</x:f>
        <x:v>21</x:v>
      </x:c>
      <x:c r="AH122" s="601" t="n">
        <x:f>IF(OR(AP122&lt;&gt;"Yes",E122=0),"",IFERROR(100*(COUNTIFS($AP$19:$AP$186,"Yes",$E$19:$E$186,"&gt;0",$J$19:$J$186,"&lt;"&amp;J122)+(COUNTIFS($AP$19:$AP$186,"Yes",$E$19:$E$186,"&gt;0",$J$19:$J$186,J122)-1)/2)/(COUNTIFS($AP$19:$AP$186,"Yes",$E$19:$E$186,"&gt;0")-1),50))</x:f>
        <x:v>33.116883116883116</x:v>
      </x:c>
      <x:c r="AI122" s="601" t="n">
        <x:f>IF(AH122="","",AH122*'Specialisation Rankings'!$O$16+R122*'Specialisation Rankings'!$O$17)</x:f>
        <x:v>27.402597402597404</x:v>
      </x:c>
      <x:c r="AJ122" s="601" t="n">
        <x:f>IF(AI122="","",COUNTIFS($A$19:$A$186,A122,$AP$19:$AP$186,"Yes",$E$19:$E$186,"&gt;0",$AI$19:$AI$186,"&gt;"&amp;AI122)+COUNTIFS($A$19:A122,A122,$AP$19:AP122,"Yes",$E$19:E122,"&gt;0",$AI$19:AI122,AI122))</x:f>
        <x:v>21</x:v>
      </x:c>
      <x:c r="AK122" s="601" t="n">
        <x:f>IF(OR(AP122&lt;&gt;"Yes",E122=0),"",IF(M122=0,'Specialisation Rankings'!$O$23,V122))</x:f>
        <x:v>29.48717948717949</x:v>
      </x:c>
      <x:c r="AL122" s="601" t="n">
        <x:f>IF(AK122="","",COUNTIFS($A$19:$A$186,A122,$AP$19:$AP$186,"Yes",$E$19:$E$186,"&gt;0",$AK$19:$AK$186,"&gt;"&amp;AK122)+COUNTIFS($A$19:A122,A122,$AP$19:AP122,"Yes",$E$19:E122,"&gt;0",$AK$19:AK122,AK122))</x:f>
        <x:v>21</x:v>
      </x:c>
      <x:c r="AM122" s="601" t="n">
        <x:f>IF(AC122="","",AC122*'Specialisation Rankings'!$O$18+AF122*'Specialisation Rankings'!$O$19+AI122*'Specialisation Rankings'!$O$20+AK122*'Specialisation Rankings'!$O$21)</x:f>
        <x:v>24.039627039627042</x:v>
      </x:c>
      <x:c r="AN122" s="601" t="n">
        <x:f>IF(AM122="","",COUNTIFS($A$19:$A$186,A122,$AP$19:$AP$186,"Yes",$E$19:$E$186,"&gt;0",$AM$19:$AM$186,"&gt;"&amp;AM122)+COUNTIFS($A$19:A122,A122,$AP$19:AP122,"Yes",$E$19:E122,"&gt;0",$AM$19:AM122,AM122))</x:f>
        <x:v>21</x:v>
      </x:c>
      <x:c r="AO122" s="601" t="n">
        <x:f>IF(AM122="","",COUNTIFS($AP$19:$AP$186,"Yes",$E$19:$E$186,"&gt;0",$AM$19:$AM$186,"&gt;"&amp;AM122)+COUNTIFS($AP$19:AP122,"Yes",$E$19:E122,"&gt;0",$AM$19:AM122,AM122))</x:f>
        <x:v>138</x:v>
      </x:c>
      <x:c r="AP122" s="602" t="str">
        <x:f>IF(COUNTIFS('Player Scenario Model'!$A$6:$A$172,A122,'Player Scenario Model'!$B$6:$B$172,B122)&gt;0,"Yes","No")</x:f>
        <x:v>Yes</x:v>
      </x:c>
    </x:row>
    <x:row r="123" ht="24" customHeight="1">
      <x:c r="A123" s="430" t="str">
        <x:v>K170</x:v>
      </x:c>
      <x:c r="B123" s="430" t="str">
        <x:v>(AOT)Matis</x:v>
      </x:c>
      <x:c r="C123" s="431" t="n">
        <x:f>COUNTIFS('Specialisations'!$A$6:$A$527,A123,'Specialisations'!$B$6:$B$527,B123)</x:f>
        <x:v>3</x:v>
      </x:c>
      <x:c r="D123" s="431" t="n">
        <x:f>COUNTIFS('Specialisations'!$A$6:$A$527,A123,'Specialisations'!$B$6:$B$527,B123,'Specialisations'!$P$6:$P$527,"OK")</x:f>
        <x:v>3</x:v>
      </x:c>
      <x:c r="E123" s="431" t="n">
        <x:f>COUNTIFS('Specialisations'!$A$6:$A$527,A123,'Specialisations'!$B$6:$B$527,B123,'Specialisations'!$P$6:$P$527,"OK",'Specialisations'!$C$6:$C$527,"&lt;&gt;Guards")</x:f>
        <x:v>2</x:v>
      </x:c>
      <x:c r="F123" s="432" t="n">
        <x:f>IF(C123=0,"",D123/C123)</x:f>
        <x:v>1</x:v>
      </x:c>
      <x:c r="G123" s="495" t="n">
        <x:f>SUMIFS('Specialisations'!$Q$6:$Q$527,'Specialisations'!$A$6:$A$527,A123,'Specialisations'!$B$6:$B$527,B123,'Specialisations'!$C$6:$C$527,"Guards")</x:f>
        <x:v>-51.74</x:v>
      </x:c>
      <x:c r="H123" s="495" t="n">
        <x:f>SUMIFS('Specialisations'!$Q$6:$Q$527,'Specialisations'!$A$6:$A$527,A123,'Specialisations'!$B$6:$B$527,B123,'Specialisations'!$C$6:$C$527,"Archers")</x:f>
        <x:v>8.24</x:v>
      </x:c>
      <x:c r="I123" s="495" t="n">
        <x:f>SUMIFS('Specialisations'!$Q$6:$Q$527,'Specialisations'!$A$6:$A$527,A123,'Specialisations'!$B$6:$B$527,B123,'Specialisations'!$C$6:$C$527,"Cavalry")</x:f>
        <x:v>33.13</x:v>
      </x:c>
      <x:c r="J123" s="495" t="n">
        <x:f>SUMIFS('Specialisations'!$Q$6:$Q$527,'Specialisations'!$A$6:$A$527,A123,'Specialisations'!$B$6:$B$527,B123,'Specialisations'!$C$6:$C$527,"Siege")</x:f>
        <x:v>0</x:v>
      </x:c>
      <x:c r="K123" s="495" t="n">
        <x:f>SUM(H123:J123)</x:f>
        <x:v>41.370000000000005</x:v>
      </x:c>
      <x:c r="L123" s="495" t="n">
        <x:f>SUM(G123,K123)</x:f>
        <x:v>-10.369999999999997</x:v>
      </x:c>
      <x:c r="M123" s="433" t="n">
        <x:f>SUMIFS('Specialisations'!$N$6:$N$527,'Specialisations'!$A$6:$A$527,A123,'Specialisations'!$B$6:$B$527,B123,'Specialisations'!$C$6:$C$527,"Guards")</x:f>
        <x:v>6934300</x:v>
      </x:c>
      <x:c r="N123" s="433" t="n">
        <x:f>SUMIFS('Specialisations'!$N$6:$N$527,'Specialisations'!$A$6:$A$527,A123,'Specialisations'!$B$6:$B$527,B123,'Specialisations'!$C$6:$C$527,"&lt;&gt;Guards")</x:f>
        <x:v>3463600</x:v>
      </x:c>
      <x:c r="O123" s="433" t="n">
        <x:f>SUM(M123:N123)</x:f>
        <x:v>10397900</x:v>
      </x:c>
      <x:c r="P123" s="434" t="n">
        <x:f>IF(E123=0,"",K123/E123)</x:f>
        <x:v>20.685000000000002</x:v>
      </x:c>
      <x:c r="Q123" s="501" t="n">
        <x:f>IF(E123=0,"",IFERROR(100*(COUNTIFS($E$19:$E$186,"&gt;0",$K$19:$K$186,"&lt;"&amp;K123)+(COUNTIFS($E$19:$E$186,"&gt;0",$K$19:$K$186,K123)-1)/2)/(COUNTIF($E$19:$E$186,"&gt;0")-1),50))</x:f>
        <x:v>5.8441558441558445</x:v>
      </x:c>
      <x:c r="R123" s="501" t="n">
        <x:f>IF(E123=0,"",IFERROR(100*(COUNTIFS($E$19:$E$186,"&gt;0",$N$19:$N$186,"&lt;"&amp;N123)+(COUNTIFS($E$19:$E$186,"&gt;0",$N$19:$N$186,N123)-1)/2)/(COUNTIF($E$19:$E$186,"&gt;0")-1),50))</x:f>
        <x:v>5.8441558441558445</x:v>
      </x:c>
      <x:c r="S123" s="501" t="n">
        <x:f>IF(E123=0,"",Q123*$R$5+R123*$R$6)</x:f>
        <x:v>5.8441558441558445</x:v>
      </x:c>
      <x:c r="T123" s="501" t="n">
        <x:f>IF(M123=0,"",IFERROR(100*(COUNTIFS($M$19:$M$186,"&gt;0",$G$19:$G$186,"&gt;"&amp;G123)+(COUNTIFS($M$19:$M$186,"&gt;0",$G$19:$G$186,G123)-1)/2)/(COUNTIF($M$19:$M$186,"&gt;0")-1),50))</x:f>
        <x:v>79.91452991452991</x:v>
      </x:c>
      <x:c r="U123" s="501" t="n">
        <x:f>IF(M123=0,"",IFERROR(100*(COUNTIFS($M$19:$M$186,"&gt;0",$M$19:$M$186,"&lt;"&amp;M123)+(COUNTIFS($M$19:$M$186,"&gt;0",$M$19:$M$186,M123)-1)/2)/(COUNTIF($M$19:$M$186,"&gt;0")-1),50))</x:f>
        <x:v>79.91452991452991</x:v>
      </x:c>
      <x:c r="V123" s="501" t="n">
        <x:f>IF(M123=0,"",T123*$R$5+U123*$R$6)</x:f>
        <x:v>79.91452991452991</x:v>
      </x:c>
      <x:c r="W123" s="431" t="n">
        <x:f>IF(E123=0,"",COUNTIFS($A$19:$A$186,A123,$S$19:$S$186,"&gt;"&amp;S123)+COUNTIFS($A$19:A123,A123,$E$19:E123,"&gt;0",$S$19:S123,S123))</x:f>
        <x:v>20</x:v>
      </x:c>
      <x:c r="X123" s="431" t="n">
        <x:f>IF(S123="","",1+COUNTIF($S$19:$S$186,"&gt;"&amp;S123))</x:f>
        <x:v>146</x:v>
      </x:c>
      <x:c r="Y123" s="431" t="n">
        <x:f>IF(V123="","",1+COUNTIFS($A$19:$A$186,A123,$V$19:$V$186,"&gt;"&amp;V123))</x:f>
        <x:v>3</x:v>
      </x:c>
      <x:c r="Z123" s="431" t="n">
        <x:f>IF(V123="","",1+COUNTIF($V$19:$V$186,"&gt;"&amp;V123))</x:f>
        <x:v>22</x:v>
      </x:c>
      <x:c r="AA123" s="430" t="str">
        <x:f>IF(C123=0,"No specialisations recorded",IF(D123&lt;C123,"Review missing level","Recorded skills only"))</x:f>
        <x:v>Recorded skills only</x:v>
      </x:c>
      <x:c r="AB123" s="601" t="n">
        <x:f>IF(OR(AP123&lt;&gt;"Yes",E123=0),"",IFERROR(100*(COUNTIFS($AP$19:$AP$186,"Yes",$E$19:$E$186,"&gt;0",$I$19:$I$186,"&lt;"&amp;I123)+(COUNTIFS($AP$19:$AP$186,"Yes",$E$19:$E$186,"&gt;0",$I$19:$I$186,I123)-1)/2)/(COUNTIFS($AP$19:$AP$186,"Yes",$E$19:$E$186,"&gt;0")-1),50))</x:f>
        <x:v>28.246753246753247</x:v>
      </x:c>
      <x:c r="AC123" s="601" t="n">
        <x:f>IF(AB123="","",AB123*'Specialisation Rankings'!$O$16+R123*'Specialisation Rankings'!$O$17)</x:f>
        <x:v>23.766233766233768</x:v>
      </x:c>
      <x:c r="AD123" s="601" t="n">
        <x:f>IF(AC123="","",COUNTIFS($A$19:$A$186,A123,$AP$19:$AP$186,"Yes",$E$19:$E$186,"&gt;0",$AC$19:$AC$186,"&gt;"&amp;AC123)+COUNTIFS($A$19:A123,A123,$AP$19:AP123,"Yes",$E$19:E123,"&gt;0",$AC$19:AC123,AC123))</x:f>
        <x:v>21</x:v>
      </x:c>
      <x:c r="AE123" s="601" t="n">
        <x:f>IF(OR(AP123&lt;&gt;"Yes",E123=0),"",IFERROR(100*(COUNTIFS($AP$19:$AP$186,"Yes",$E$19:$E$186,"&gt;0",$H$19:$H$186,"&lt;"&amp;H123)+(COUNTIFS($AP$19:$AP$186,"Yes",$E$19:$E$186,"&gt;0",$H$19:$H$186,H123)-1)/2)/(COUNTIFS($AP$19:$AP$186,"Yes",$E$19:$E$186,"&gt;0")-1),50))</x:f>
        <x:v>25.974025974025974</x:v>
      </x:c>
      <x:c r="AF123" s="601" t="n">
        <x:f>IF(AE123="","",AE123*'Specialisation Rankings'!$O$16+R123*'Specialisation Rankings'!$O$17)</x:f>
        <x:v>21.948051948051948</x:v>
      </x:c>
      <x:c r="AG123" s="601" t="n">
        <x:f>IF(AF123="","",COUNTIFS($A$19:$A$186,A123,$AP$19:$AP$186,"Yes",$E$19:$E$186,"&gt;0",$AF$19:$AF$186,"&gt;"&amp;AF123)+COUNTIFS($A$19:A123,A123,$AP$19:AP123,"Yes",$E$19:E123,"&gt;0",$AF$19:AF123,AF123))</x:f>
        <x:v>17</x:v>
      </x:c>
      <x:c r="AH123" s="601" t="n">
        <x:f>IF(OR(AP123&lt;&gt;"Yes",E123=0),"",IFERROR(100*(COUNTIFS($AP$19:$AP$186,"Yes",$E$19:$E$186,"&gt;0",$J$19:$J$186,"&lt;"&amp;J123)+(COUNTIFS($AP$19:$AP$186,"Yes",$E$19:$E$186,"&gt;0",$J$19:$J$186,J123)-1)/2)/(COUNTIFS($AP$19:$AP$186,"Yes",$E$19:$E$186,"&gt;0")-1),50))</x:f>
        <x:v>33.116883116883116</x:v>
      </x:c>
      <x:c r="AI123" s="601" t="n">
        <x:f>IF(AH123="","",AH123*'Specialisation Rankings'!$O$16+R123*'Specialisation Rankings'!$O$17)</x:f>
        <x:v>27.662337662337663</x:v>
      </x:c>
      <x:c r="AJ123" s="601" t="n">
        <x:f>IF(AI123="","",COUNTIFS($A$19:$A$186,A123,$AP$19:$AP$186,"Yes",$E$19:$E$186,"&gt;0",$AI$19:$AI$186,"&gt;"&amp;AI123)+COUNTIFS($A$19:A123,A123,$AP$19:AP123,"Yes",$E$19:E123,"&gt;0",$AI$19:AI123,AI123))</x:f>
        <x:v>20</x:v>
      </x:c>
      <x:c r="AK123" s="601" t="n">
        <x:f>IF(OR(AP123&lt;&gt;"Yes",E123=0),"",IF(M123=0,'Specialisation Rankings'!$O$23,V123))</x:f>
        <x:v>79.91452991452991</x:v>
      </x:c>
      <x:c r="AL123" s="601" t="n">
        <x:f>IF(AK123="","",COUNTIFS($A$19:$A$186,A123,$AP$19:$AP$186,"Yes",$E$19:$E$186,"&gt;0",$AK$19:$AK$186,"&gt;"&amp;AK123)+COUNTIFS($A$19:A123,A123,$AP$19:AP123,"Yes",$E$19:E123,"&gt;0",$AK$19:AK123,AK123))</x:f>
        <x:v>4</x:v>
      </x:c>
      <x:c r="AM123" s="601" t="n">
        <x:f>IF(AC123="","",AC123*'Specialisation Rankings'!$O$18+AF123*'Specialisation Rankings'!$O$19+AI123*'Specialisation Rankings'!$O$20+AK123*'Specialisation Rankings'!$O$21)</x:f>
        <x:v>29.783660783660785</x:v>
      </x:c>
      <x:c r="AN123" s="601" t="n">
        <x:f>IF(AM123="","",COUNTIFS($A$19:$A$186,A123,$AP$19:$AP$186,"Yes",$E$19:$E$186,"&gt;0",$AM$19:$AM$186,"&gt;"&amp;AM123)+COUNTIFS($A$19:A123,A123,$AP$19:AP123,"Yes",$E$19:E123,"&gt;0",$AM$19:AM123,AM123))</x:f>
        <x:v>20</x:v>
      </x:c>
      <x:c r="AO123" s="601" t="n">
        <x:f>IF(AM123="","",COUNTIFS($AP$19:$AP$186,"Yes",$E$19:$E$186,"&gt;0",$AM$19:$AM$186,"&gt;"&amp;AM123)+COUNTIFS($AP$19:AP123,"Yes",$E$19:E123,"&gt;0",$AM$19:AM123,AM123))</x:f>
        <x:v>124</x:v>
      </x:c>
      <x:c r="AP123" s="602" t="str">
        <x:f>IF(COUNTIFS('Player Scenario Model'!$A$6:$A$172,A123,'Player Scenario Model'!$B$6:$B$172,B123)&gt;0,"Yes","No")</x:f>
        <x:v>Yes</x:v>
      </x:c>
    </x:row>
    <x:row r="124" ht="24" customHeight="1">
      <x:c r="A124" s="430" t="str">
        <x:v>K170</x:v>
      </x:c>
      <x:c r="B124" s="430" t="str">
        <x:v>(AOT)BAT</x:v>
      </x:c>
      <x:c r="C124" s="431" t="n">
        <x:f>COUNTIFS('Specialisations'!$A$6:$A$527,A124,'Specialisations'!$B$6:$B$527,B124)</x:f>
        <x:v>3</x:v>
      </x:c>
      <x:c r="D124" s="431" t="n">
        <x:f>COUNTIFS('Specialisations'!$A$6:$A$527,A124,'Specialisations'!$B$6:$B$527,B124,'Specialisations'!$P$6:$P$527,"OK")</x:f>
        <x:v>3</x:v>
      </x:c>
      <x:c r="E124" s="431" t="n">
        <x:f>COUNTIFS('Specialisations'!$A$6:$A$527,A124,'Specialisations'!$B$6:$B$527,B124,'Specialisations'!$P$6:$P$527,"OK",'Specialisations'!$C$6:$C$527,"&lt;&gt;Guards")</x:f>
        <x:v>2</x:v>
      </x:c>
      <x:c r="F124" s="432" t="n">
        <x:f>IF(C124=0,"",D124/C124)</x:f>
        <x:v>1</x:v>
      </x:c>
      <x:c r="G124" s="495" t="n">
        <x:f>SUMIFS('Specialisations'!$Q$6:$Q$527,'Specialisations'!$A$6:$A$527,A124,'Specialisations'!$B$6:$B$527,B124,'Specialisations'!$C$6:$C$527,"Guards")</x:f>
        <x:v>-51.74</x:v>
      </x:c>
      <x:c r="H124" s="495" t="n">
        <x:f>SUMIFS('Specialisations'!$Q$6:$Q$527,'Specialisations'!$A$6:$A$527,A124,'Specialisations'!$B$6:$B$527,B124,'Specialisations'!$C$6:$C$527,"Archers")</x:f>
        <x:v>0</x:v>
      </x:c>
      <x:c r="I124" s="495" t="n">
        <x:f>SUMIFS('Specialisations'!$Q$6:$Q$527,'Specialisations'!$A$6:$A$527,A124,'Specialisations'!$B$6:$B$527,B124,'Specialisations'!$C$6:$C$527,"Cavalry")</x:f>
        <x:v>63.72</x:v>
      </x:c>
      <x:c r="J124" s="495" t="n">
        <x:f>SUMIFS('Specialisations'!$Q$6:$Q$527,'Specialisations'!$A$6:$A$527,A124,'Specialisations'!$B$6:$B$527,B124,'Specialisations'!$C$6:$C$527,"Siege")</x:f>
        <x:v>0</x:v>
      </x:c>
      <x:c r="K124" s="495" t="n">
        <x:f>SUM(H124:J124)</x:f>
        <x:v>63.72</x:v>
      </x:c>
      <x:c r="L124" s="495" t="n">
        <x:f>SUM(G124,K124)</x:f>
        <x:v>11.979999999999997</x:v>
      </x:c>
      <x:c r="M124" s="433" t="n">
        <x:f>SUMIFS('Specialisations'!$N$6:$N$527,'Specialisations'!$A$6:$A$527,A124,'Specialisations'!$B$6:$B$527,B124,'Specialisations'!$C$6:$C$527,"Guards")</x:f>
        <x:v>6934300</x:v>
      </x:c>
      <x:c r="N124" s="433" t="n">
        <x:f>SUMIFS('Specialisations'!$N$6:$N$527,'Specialisations'!$A$6:$A$527,A124,'Specialisations'!$B$6:$B$527,B124,'Specialisations'!$C$6:$C$527,"&lt;&gt;Guards")</x:f>
        <x:v>5488600</x:v>
      </x:c>
      <x:c r="O124" s="433" t="n">
        <x:f>SUM(M124:N124)</x:f>
        <x:v>12422900</x:v>
      </x:c>
      <x:c r="P124" s="434" t="n">
        <x:f>IF(E124=0,"",K124/E124)</x:f>
        <x:v>31.86</x:v>
      </x:c>
      <x:c r="Q124" s="501" t="n">
        <x:f>IF(E124=0,"",IFERROR(100*(COUNTIFS($E$19:$E$186,"&gt;0",$K$19:$K$186,"&lt;"&amp;K124)+(COUNTIFS($E$19:$E$186,"&gt;0",$K$19:$K$186,K124)-1)/2)/(COUNTIF($E$19:$E$186,"&gt;0")-1),50))</x:f>
        <x:v>30.194805194805195</x:v>
      </x:c>
      <x:c r="R124" s="501" t="n">
        <x:f>IF(E124=0,"",IFERROR(100*(COUNTIFS($E$19:$E$186,"&gt;0",$N$19:$N$186,"&lt;"&amp;N124)+(COUNTIFS($E$19:$E$186,"&gt;0",$N$19:$N$186,N124)-1)/2)/(COUNTIF($E$19:$E$186,"&gt;0")-1),50))</x:f>
        <x:v>15.25974025974026</x:v>
      </x:c>
      <x:c r="S124" s="501" t="n">
        <x:f>IF(E124=0,"",Q124*$R$5+R124*$R$6)</x:f>
        <x:v>27.20779220779221</x:v>
      </x:c>
      <x:c r="T124" s="501" t="n">
        <x:f>IF(M124=0,"",IFERROR(100*(COUNTIFS($M$19:$M$186,"&gt;0",$G$19:$G$186,"&gt;"&amp;G124)+(COUNTIFS($M$19:$M$186,"&gt;0",$G$19:$G$186,G124)-1)/2)/(COUNTIF($M$19:$M$186,"&gt;0")-1),50))</x:f>
        <x:v>79.91452991452991</x:v>
      </x:c>
      <x:c r="U124" s="501" t="n">
        <x:f>IF(M124=0,"",IFERROR(100*(COUNTIFS($M$19:$M$186,"&gt;0",$M$19:$M$186,"&lt;"&amp;M124)+(COUNTIFS($M$19:$M$186,"&gt;0",$M$19:$M$186,M124)-1)/2)/(COUNTIF($M$19:$M$186,"&gt;0")-1),50))</x:f>
        <x:v>79.91452991452991</x:v>
      </x:c>
      <x:c r="V124" s="501" t="n">
        <x:f>IF(M124=0,"",T124*$R$5+U124*$R$6)</x:f>
        <x:v>79.91452991452991</x:v>
      </x:c>
      <x:c r="W124" s="431" t="n">
        <x:f>IF(E124=0,"",COUNTIFS($A$19:$A$186,A124,$S$19:$S$186,"&gt;"&amp;S124)+COUNTIFS($A$19:A124,A124,$E$19:E124,"&gt;0",$S$19:S124,S124))</x:f>
        <x:v>18</x:v>
      </x:c>
      <x:c r="X124" s="431" t="n">
        <x:f>IF(S124="","",1+COUNTIF($S$19:$S$186,"&gt;"&amp;S124))</x:f>
        <x:v>121</x:v>
      </x:c>
      <x:c r="Y124" s="431" t="n">
        <x:f>IF(V124="","",1+COUNTIFS($A$19:$A$186,A124,$V$19:$V$186,"&gt;"&amp;V124))</x:f>
        <x:v>3</x:v>
      </x:c>
      <x:c r="Z124" s="431" t="n">
        <x:f>IF(V124="","",1+COUNTIF($V$19:$V$186,"&gt;"&amp;V124))</x:f>
        <x:v>22</x:v>
      </x:c>
      <x:c r="AA124" s="430" t="str">
        <x:f>IF(C124=0,"No specialisations recorded",IF(D124&lt;C124,"Review missing level","Recorded skills only"))</x:f>
        <x:v>Recorded skills only</x:v>
      </x:c>
      <x:c r="AB124" s="601" t="n">
        <x:f>IF(OR(AP124&lt;&gt;"Yes",E124=0),"",IFERROR(100*(COUNTIFS($AP$19:$AP$186,"Yes",$E$19:$E$186,"&gt;0",$I$19:$I$186,"&lt;"&amp;I124)+(COUNTIFS($AP$19:$AP$186,"Yes",$E$19:$E$186,"&gt;0",$I$19:$I$186,I124)-1)/2)/(COUNTIFS($AP$19:$AP$186,"Yes",$E$19:$E$186,"&gt;0")-1),50))</x:f>
        <x:v>53.57142857142857</x:v>
      </x:c>
      <x:c r="AC124" s="601" t="n">
        <x:f>IF(AB124="","",AB124*'Specialisation Rankings'!$O$16+R124*'Specialisation Rankings'!$O$17)</x:f>
        <x:v>45.909090909090914</x:v>
      </x:c>
      <x:c r="AD124" s="601" t="n">
        <x:f>IF(AC124="","",COUNTIFS($A$19:$A$186,A124,$AP$19:$AP$186,"Yes",$E$19:$E$186,"&gt;0",$AC$19:$AC$186,"&gt;"&amp;AC124)+COUNTIFS($A$19:A124,A124,$AP$19:AP124,"Yes",$E$19:E124,"&gt;0",$AC$19:AC124,AC124))</x:f>
        <x:v>9</x:v>
      </x:c>
      <x:c r="AE124" s="601" t="n">
        <x:f>IF(OR(AP124&lt;&gt;"Yes",E124=0),"",IFERROR(100*(COUNTIFS($AP$19:$AP$186,"Yes",$E$19:$E$186,"&gt;0",$H$19:$H$186,"&lt;"&amp;H124)+(COUNTIFS($AP$19:$AP$186,"Yes",$E$19:$E$186,"&gt;0",$H$19:$H$186,H124)-1)/2)/(COUNTIFS($AP$19:$AP$186,"Yes",$E$19:$E$186,"&gt;0")-1),50))</x:f>
        <x:v>11.688311688311689</x:v>
      </x:c>
      <x:c r="AF124" s="601" t="n">
        <x:f>IF(AE124="","",AE124*'Specialisation Rankings'!$O$16+R124*'Specialisation Rankings'!$O$17)</x:f>
        <x:v>12.402597402597404</x:v>
      </x:c>
      <x:c r="AG124" s="601" t="n">
        <x:f>IF(AF124="","",COUNTIFS($A$19:$A$186,A124,$AP$19:$AP$186,"Yes",$E$19:$E$186,"&gt;0",$AF$19:$AF$186,"&gt;"&amp;AF124)+COUNTIFS($A$19:A124,A124,$AP$19:AP124,"Yes",$E$19:E124,"&gt;0",$AF$19:AF124,AF124))</x:f>
        <x:v>19</x:v>
      </x:c>
      <x:c r="AH124" s="601" t="n">
        <x:f>IF(OR(AP124&lt;&gt;"Yes",E124=0),"",IFERROR(100*(COUNTIFS($AP$19:$AP$186,"Yes",$E$19:$E$186,"&gt;0",$J$19:$J$186,"&lt;"&amp;J124)+(COUNTIFS($AP$19:$AP$186,"Yes",$E$19:$E$186,"&gt;0",$J$19:$J$186,J124)-1)/2)/(COUNTIFS($AP$19:$AP$186,"Yes",$E$19:$E$186,"&gt;0")-1),50))</x:f>
        <x:v>33.116883116883116</x:v>
      </x:c>
      <x:c r="AI124" s="601" t="n">
        <x:f>IF(AH124="","",AH124*'Specialisation Rankings'!$O$16+R124*'Specialisation Rankings'!$O$17)</x:f>
        <x:v>29.545454545454547</x:v>
      </x:c>
      <x:c r="AJ124" s="601" t="n">
        <x:f>IF(AI124="","",COUNTIFS($A$19:$A$186,A124,$AP$19:$AP$186,"Yes",$E$19:$E$186,"&gt;0",$AI$19:$AI$186,"&gt;"&amp;AI124)+COUNTIFS($A$19:A124,A124,$AP$19:AP124,"Yes",$E$19:E124,"&gt;0",$AI$19:AI124,AI124))</x:f>
        <x:v>18</x:v>
      </x:c>
      <x:c r="AK124" s="601" t="n">
        <x:f>IF(OR(AP124&lt;&gt;"Yes",E124=0),"",IF(M124=0,'Specialisation Rankings'!$O$23,V124))</x:f>
        <x:v>79.91452991452991</x:v>
      </x:c>
      <x:c r="AL124" s="601" t="n">
        <x:f>IF(AK124="","",COUNTIFS($A$19:$A$186,A124,$AP$19:$AP$186,"Yes",$E$19:$E$186,"&gt;0",$AK$19:$AK$186,"&gt;"&amp;AK124)+COUNTIFS($A$19:A124,A124,$AP$19:AP124,"Yes",$E$19:E124,"&gt;0",$AK$19:AK124,AK124))</x:f>
        <x:v>5</x:v>
      </x:c>
      <x:c r="AM124" s="601" t="n">
        <x:f>IF(AC124="","",AC124*'Specialisation Rankings'!$O$18+AF124*'Specialisation Rankings'!$O$19+AI124*'Specialisation Rankings'!$O$20+AK124*'Specialisation Rankings'!$O$21)</x:f>
        <x:v>43.50444000444001</x:v>
      </x:c>
      <x:c r="AN124" s="601" t="n">
        <x:f>IF(AM124="","",COUNTIFS($A$19:$A$186,A124,$AP$19:$AP$186,"Yes",$E$19:$E$186,"&gt;0",$AM$19:$AM$186,"&gt;"&amp;AM124)+COUNTIFS($A$19:A124,A124,$AP$19:AP124,"Yes",$E$19:E124,"&gt;0",$AM$19:AM124,AM124))</x:f>
        <x:v>13</x:v>
      </x:c>
      <x:c r="AO124" s="601" t="n">
        <x:f>IF(AM124="","",COUNTIFS($AP$19:$AP$186,"Yes",$E$19:$E$186,"&gt;0",$AM$19:$AM$186,"&gt;"&amp;AM124)+COUNTIFS($AP$19:AP124,"Yes",$E$19:E124,"&gt;0",$AM$19:AM124,AM124))</x:f>
        <x:v>90</x:v>
      </x:c>
      <x:c r="AP124" s="602" t="str">
        <x:f>IF(COUNTIFS('Player Scenario Model'!$A$6:$A$172,A124,'Player Scenario Model'!$B$6:$B$172,B124)&gt;0,"Yes","No")</x:f>
        <x:v>Yes</x:v>
      </x:c>
    </x:row>
    <x:row r="125" ht="24" customHeight="1">
      <x:c r="A125" s="430" t="str">
        <x:v>K170</x:v>
      </x:c>
      <x:c r="B125" s="430" t="str">
        <x:v>(AOT)金木研_254</x:v>
      </x:c>
      <x:c r="C125" s="431" t="n">
        <x:f>COUNTIFS('Specialisations'!$A$6:$A$527,A125,'Specialisations'!$B$6:$B$527,B125)</x:f>
        <x:v>3</x:v>
      </x:c>
      <x:c r="D125" s="431" t="n">
        <x:f>COUNTIFS('Specialisations'!$A$6:$A$527,A125,'Specialisations'!$B$6:$B$527,B125,'Specialisations'!$P$6:$P$527,"OK")</x:f>
        <x:v>3</x:v>
      </x:c>
      <x:c r="E125" s="431" t="n">
        <x:f>COUNTIFS('Specialisations'!$A$6:$A$527,A125,'Specialisations'!$B$6:$B$527,B125,'Specialisations'!$P$6:$P$527,"OK",'Specialisations'!$C$6:$C$527,"&lt;&gt;Guards")</x:f>
        <x:v>2</x:v>
      </x:c>
      <x:c r="F125" s="432" t="n">
        <x:f>IF(C125=0,"",D125/C125)</x:f>
        <x:v>1</x:v>
      </x:c>
      <x:c r="G125" s="495" t="n">
        <x:f>SUMIFS('Specialisations'!$Q$6:$Q$527,'Specialisations'!$A$6:$A$527,A125,'Specialisations'!$B$6:$B$527,B125,'Specialisations'!$C$6:$C$527,"Guards")</x:f>
        <x:v>-41.98</x:v>
      </x:c>
      <x:c r="H125" s="495" t="n">
        <x:f>SUMIFS('Specialisations'!$Q$6:$Q$527,'Specialisations'!$A$6:$A$527,A125,'Specialisations'!$B$6:$B$527,B125,'Specialisations'!$C$6:$C$527,"Archers")</x:f>
        <x:v>0</x:v>
      </x:c>
      <x:c r="I125" s="495" t="n">
        <x:f>SUMIFS('Specialisations'!$Q$6:$Q$527,'Specialisations'!$A$6:$A$527,A125,'Specialisations'!$B$6:$B$527,B125,'Specialisations'!$C$6:$C$527,"Cavalry")</x:f>
        <x:v>79.48</x:v>
      </x:c>
      <x:c r="J125" s="495" t="n">
        <x:f>SUMIFS('Specialisations'!$Q$6:$Q$527,'Specialisations'!$A$6:$A$527,A125,'Specialisations'!$B$6:$B$527,B125,'Specialisations'!$C$6:$C$527,"Siege")</x:f>
        <x:v>0</x:v>
      </x:c>
      <x:c r="K125" s="495" t="n">
        <x:f>SUM(H125:J125)</x:f>
        <x:v>79.48</x:v>
      </x:c>
      <x:c r="L125" s="495" t="n">
        <x:f>SUM(G125,K125)</x:f>
        <x:v>37.50000000000001</x:v>
      </x:c>
      <x:c r="M125" s="433" t="n">
        <x:f>SUMIFS('Specialisations'!$N$6:$N$527,'Specialisations'!$A$6:$A$527,A125,'Specialisations'!$B$6:$B$527,B125,'Specialisations'!$C$6:$C$527,"Guards")</x:f>
        <x:v>4284300</x:v>
      </x:c>
      <x:c r="N125" s="433" t="n">
        <x:f>SUMIFS('Specialisations'!$N$6:$N$527,'Specialisations'!$A$6:$A$527,A125,'Specialisations'!$B$6:$B$527,B125,'Specialisations'!$C$6:$C$527,"&lt;&gt;Guards")</x:f>
        <x:v>9178600</x:v>
      </x:c>
      <x:c r="O125" s="433" t="n">
        <x:f>SUM(M125:N125)</x:f>
        <x:v>13462900</x:v>
      </x:c>
      <x:c r="P125" s="434" t="n">
        <x:f>IF(E125=0,"",K125/E125)</x:f>
        <x:v>39.74</x:v>
      </x:c>
      <x:c r="Q125" s="501" t="n">
        <x:f>IF(E125=0,"",IFERROR(100*(COUNTIFS($E$19:$E$186,"&gt;0",$K$19:$K$186,"&lt;"&amp;K125)+(COUNTIFS($E$19:$E$186,"&gt;0",$K$19:$K$186,K125)-1)/2)/(COUNTIF($E$19:$E$186,"&gt;0")-1),50))</x:f>
        <x:v>37.33766233766234</x:v>
      </x:c>
      <x:c r="R125" s="501" t="n">
        <x:f>IF(E125=0,"",IFERROR(100*(COUNTIFS($E$19:$E$186,"&gt;0",$N$19:$N$186,"&lt;"&amp;N125)+(COUNTIFS($E$19:$E$186,"&gt;0",$N$19:$N$186,N125)-1)/2)/(COUNTIF($E$19:$E$186,"&gt;0")-1),50))</x:f>
        <x:v>35.38961038961039</x:v>
      </x:c>
      <x:c r="S125" s="501" t="n">
        <x:f>IF(E125=0,"",Q125*$R$5+R125*$R$6)</x:f>
        <x:v>36.94805194805195</x:v>
      </x:c>
      <x:c r="T125" s="501" t="n">
        <x:f>IF(M125=0,"",IFERROR(100*(COUNTIFS($M$19:$M$186,"&gt;0",$G$19:$G$186,"&gt;"&amp;G125)+(COUNTIFS($M$19:$M$186,"&gt;0",$G$19:$G$186,G125)-1)/2)/(COUNTIF($M$19:$M$186,"&gt;0")-1),50))</x:f>
        <x:v>60.256410256410255</x:v>
      </x:c>
      <x:c r="U125" s="501" t="n">
        <x:f>IF(M125=0,"",IFERROR(100*(COUNTIFS($M$19:$M$186,"&gt;0",$M$19:$M$186,"&lt;"&amp;M125)+(COUNTIFS($M$19:$M$186,"&gt;0",$M$19:$M$186,M125)-1)/2)/(COUNTIF($M$19:$M$186,"&gt;0")-1),50))</x:f>
        <x:v>60.256410256410255</x:v>
      </x:c>
      <x:c r="V125" s="501" t="n">
        <x:f>IF(M125=0,"",T125*$R$5+U125*$R$6)</x:f>
        <x:v>60.25641025641025</x:v>
      </x:c>
      <x:c r="W125" s="431" t="n">
        <x:f>IF(E125=0,"",COUNTIFS($A$19:$A$186,A125,$S$19:$S$186,"&gt;"&amp;S125)+COUNTIFS($A$19:A125,A125,$E$19:E125,"&gt;0",$S$19:S125,S125))</x:f>
        <x:v>13</x:v>
      </x:c>
      <x:c r="X125" s="431" t="n">
        <x:f>IF(S125="","",1+COUNTIF($S$19:$S$186,"&gt;"&amp;S125))</x:f>
        <x:v>98</x:v>
      </x:c>
      <x:c r="Y125" s="431" t="n">
        <x:f>IF(V125="","",1+COUNTIFS($A$19:$A$186,A125,$V$19:$V$186,"&gt;"&amp;V125))</x:f>
        <x:v>9</x:v>
      </x:c>
      <x:c r="Z125" s="431" t="n">
        <x:f>IF(V125="","",1+COUNTIF($V$19:$V$186,"&gt;"&amp;V125))</x:f>
        <x:v>35</x:v>
      </x:c>
      <x:c r="AA125" s="430" t="str">
        <x:f>IF(C125=0,"No specialisations recorded",IF(D125&lt;C125,"Review missing level","Recorded skills only"))</x:f>
        <x:v>Recorded skills only</x:v>
      </x:c>
      <x:c r="AB125" s="601" t="n">
        <x:f>IF(OR(AP125&lt;&gt;"Yes",E125=0),"",IFERROR(100*(COUNTIFS($AP$19:$AP$186,"Yes",$E$19:$E$186,"&gt;0",$I$19:$I$186,"&lt;"&amp;I125)+(COUNTIFS($AP$19:$AP$186,"Yes",$E$19:$E$186,"&gt;0",$I$19:$I$186,I125)-1)/2)/(COUNTIFS($AP$19:$AP$186,"Yes",$E$19:$E$186,"&gt;0")-1),50))</x:f>
        <x:v>61.688311688311686</x:v>
      </x:c>
      <x:c r="AC125" s="601" t="n">
        <x:f>IF(AB125="","",AB125*'Specialisation Rankings'!$O$16+R125*'Specialisation Rankings'!$O$17)</x:f>
        <x:v>56.42857142857143</x:v>
      </x:c>
      <x:c r="AD125" s="601" t="n">
        <x:f>IF(AC125="","",COUNTIFS($A$19:$A$186,A125,$AP$19:$AP$186,"Yes",$E$19:$E$186,"&gt;0",$AC$19:$AC$186,"&gt;"&amp;AC125)+COUNTIFS($A$19:A125,A125,$AP$19:AP125,"Yes",$E$19:E125,"&gt;0",$AC$19:AC125,AC125))</x:f>
        <x:v>6</x:v>
      </x:c>
      <x:c r="AE125" s="601" t="n">
        <x:f>IF(OR(AP125&lt;&gt;"Yes",E125=0),"",IFERROR(100*(COUNTIFS($AP$19:$AP$186,"Yes",$E$19:$E$186,"&gt;0",$H$19:$H$186,"&lt;"&amp;H125)+(COUNTIFS($AP$19:$AP$186,"Yes",$E$19:$E$186,"&gt;0",$H$19:$H$186,H125)-1)/2)/(COUNTIFS($AP$19:$AP$186,"Yes",$E$19:$E$186,"&gt;0")-1),50))</x:f>
        <x:v>11.688311688311689</x:v>
      </x:c>
      <x:c r="AF125" s="601" t="n">
        <x:f>IF(AE125="","",AE125*'Specialisation Rankings'!$O$16+R125*'Specialisation Rankings'!$O$17)</x:f>
        <x:v>16.42857142857143</x:v>
      </x:c>
      <x:c r="AG125" s="601" t="n">
        <x:f>IF(AF125="","",COUNTIFS($A$19:$A$186,A125,$AP$19:$AP$186,"Yes",$E$19:$E$186,"&gt;0",$AF$19:$AF$186,"&gt;"&amp;AF125)+COUNTIFS($A$19:A125,A125,$AP$19:AP125,"Yes",$E$19:E125,"&gt;0",$AF$19:AF125,AF125))</x:f>
        <x:v>18</x:v>
      </x:c>
      <x:c r="AH125" s="601" t="n">
        <x:f>IF(OR(AP125&lt;&gt;"Yes",E125=0),"",IFERROR(100*(COUNTIFS($AP$19:$AP$186,"Yes",$E$19:$E$186,"&gt;0",$J$19:$J$186,"&lt;"&amp;J125)+(COUNTIFS($AP$19:$AP$186,"Yes",$E$19:$E$186,"&gt;0",$J$19:$J$186,J125)-1)/2)/(COUNTIFS($AP$19:$AP$186,"Yes",$E$19:$E$186,"&gt;0")-1),50))</x:f>
        <x:v>33.116883116883116</x:v>
      </x:c>
      <x:c r="AI125" s="601" t="n">
        <x:f>IF(AH125="","",AH125*'Specialisation Rankings'!$O$16+R125*'Specialisation Rankings'!$O$17)</x:f>
        <x:v>33.57142857142857</x:v>
      </x:c>
      <x:c r="AJ125" s="601" t="n">
        <x:f>IF(AI125="","",COUNTIFS($A$19:$A$186,A125,$AP$19:$AP$186,"Yes",$E$19:$E$186,"&gt;0",$AI$19:$AI$186,"&gt;"&amp;AI125)+COUNTIFS($A$19:A125,A125,$AP$19:AP125,"Yes",$E$19:E125,"&gt;0",$AI$19:AI125,AI125))</x:f>
        <x:v>14</x:v>
      </x:c>
      <x:c r="AK125" s="601" t="n">
        <x:f>IF(OR(AP125&lt;&gt;"Yes",E125=0),"",IF(M125=0,'Specialisation Rankings'!$O$23,V125))</x:f>
        <x:v>60.25641025641025</x:v>
      </x:c>
      <x:c r="AL125" s="601" t="n">
        <x:f>IF(AK125="","",COUNTIFS($A$19:$A$186,A125,$AP$19:$AP$186,"Yes",$E$19:$E$186,"&gt;0",$AK$19:$AK$186,"&gt;"&amp;AK125)+COUNTIFS($A$19:A125,A125,$AP$19:AP125,"Yes",$E$19:E125,"&gt;0",$AK$19:AK125,AK125))</x:f>
        <x:v>11</x:v>
      </x:c>
      <x:c r="AM125" s="601" t="n">
        <x:f>IF(AC125="","",AC125*'Specialisation Rankings'!$O$18+AF125*'Specialisation Rankings'!$O$19+AI125*'Specialisation Rankings'!$O$20+AK125*'Specialisation Rankings'!$O$21)</x:f>
        <x:v>49.38278388278388</x:v>
      </x:c>
      <x:c r="AN125" s="601" t="n">
        <x:f>IF(AM125="","",COUNTIFS($A$19:$A$186,A125,$AP$19:$AP$186,"Yes",$E$19:$E$186,"&gt;0",$AM$19:$AM$186,"&gt;"&amp;AM125)+COUNTIFS($A$19:A125,A125,$AP$19:AP125,"Yes",$E$19:E125,"&gt;0",$AM$19:AM125,AM125))</x:f>
        <x:v>9</x:v>
      </x:c>
      <x:c r="AO125" s="601" t="n">
        <x:f>IF(AM125="","",COUNTIFS($AP$19:$AP$186,"Yes",$E$19:$E$186,"&gt;0",$AM$19:$AM$186,"&gt;"&amp;AM125)+COUNTIFS($AP$19:AP125,"Yes",$E$19:E125,"&gt;0",$AM$19:AM125,AM125))</x:f>
        <x:v>72</x:v>
      </x:c>
      <x:c r="AP125" s="602" t="str">
        <x:f>IF(COUNTIFS('Player Scenario Model'!$A$6:$A$172,A125,'Player Scenario Model'!$B$6:$B$172,B125)&gt;0,"Yes","No")</x:f>
        <x:v>Yes</x:v>
      </x:c>
    </x:row>
    <x:row r="126" ht="24" customHeight="1">
      <x:c r="A126" s="430" t="str">
        <x:v>K170</x:v>
      </x:c>
      <x:c r="B126" s="430" t="str">
        <x:v>(AOT)MG·Yu</x:v>
      </x:c>
      <x:c r="C126" s="431" t="n">
        <x:f>COUNTIFS('Specialisations'!$A$6:$A$527,A126,'Specialisations'!$B$6:$B$527,B126)</x:f>
        <x:v>5</x:v>
      </x:c>
      <x:c r="D126" s="431" t="n">
        <x:f>COUNTIFS('Specialisations'!$A$6:$A$527,A126,'Specialisations'!$B$6:$B$527,B126,'Specialisations'!$P$6:$P$527,"OK")</x:f>
        <x:v>5</x:v>
      </x:c>
      <x:c r="E126" s="431" t="n">
        <x:f>COUNTIFS('Specialisations'!$A$6:$A$527,A126,'Specialisations'!$B$6:$B$527,B126,'Specialisations'!$P$6:$P$527,"OK",'Specialisations'!$C$6:$C$527,"&lt;&gt;Guards")</x:f>
        <x:v>4</x:v>
      </x:c>
      <x:c r="F126" s="432" t="n">
        <x:f>IF(C126=0,"",D126/C126)</x:f>
        <x:v>1</x:v>
      </x:c>
      <x:c r="G126" s="495" t="n">
        <x:f>SUMIFS('Specialisations'!$Q$6:$Q$527,'Specialisations'!$A$6:$A$527,A126,'Specialisations'!$B$6:$B$527,B126,'Specialisations'!$C$6:$C$527,"Guards")</x:f>
        <x:v>-45.13</x:v>
      </x:c>
      <x:c r="H126" s="495" t="n">
        <x:f>SUMIFS('Specialisations'!$Q$6:$Q$527,'Specialisations'!$A$6:$A$527,A126,'Specialisations'!$B$6:$B$527,B126,'Specialisations'!$C$6:$C$527,"Archers")</x:f>
        <x:v>35.98</x:v>
      </x:c>
      <x:c r="I126" s="495" t="n">
        <x:f>SUMIFS('Specialisations'!$Q$6:$Q$527,'Specialisations'!$A$6:$A$527,A126,'Specialisations'!$B$6:$B$527,B126,'Specialisations'!$C$6:$C$527,"Cavalry")</x:f>
        <x:v>105.13</x:v>
      </x:c>
      <x:c r="J126" s="495" t="n">
        <x:f>SUMIFS('Specialisations'!$Q$6:$Q$527,'Specialisations'!$A$6:$A$527,A126,'Specialisations'!$B$6:$B$527,B126,'Specialisations'!$C$6:$C$527,"Siege")</x:f>
        <x:v>27.74</x:v>
      </x:c>
      <x:c r="K126" s="495" t="n">
        <x:f>SUM(H126:J126)</x:f>
        <x:v>168.85</x:v>
      </x:c>
      <x:c r="L126" s="495" t="n">
        <x:f>SUM(G126,K126)</x:f>
        <x:v>123.72</x:v>
      </x:c>
      <x:c r="M126" s="433" t="n">
        <x:f>SUMIFS('Specialisations'!$N$6:$N$527,'Specialisations'!$A$6:$A$527,A126,'Specialisations'!$B$6:$B$527,B126,'Specialisations'!$C$6:$C$527,"Guards")</x:f>
        <x:v>5004300</x:v>
      </x:c>
      <x:c r="N126" s="433" t="n">
        <x:f>SUMIFS('Specialisations'!$N$6:$N$527,'Specialisations'!$A$6:$A$527,A126,'Specialisations'!$B$6:$B$527,B126,'Specialisations'!$C$6:$C$527,"&lt;&gt;Guards")</x:f>
        <x:v>20827200</x:v>
      </x:c>
      <x:c r="O126" s="433" t="n">
        <x:f>SUM(M126:N126)</x:f>
        <x:v>25831500</x:v>
      </x:c>
      <x:c r="P126" s="434" t="n">
        <x:f>IF(E126=0,"",K126/E126)</x:f>
        <x:v>42.2125</x:v>
      </x:c>
      <x:c r="Q126" s="501" t="n">
        <x:f>IF(E126=0,"",IFERROR(100*(COUNTIFS($E$19:$E$186,"&gt;0",$K$19:$K$186,"&lt;"&amp;K126)+(COUNTIFS($E$19:$E$186,"&gt;0",$K$19:$K$186,K126)-1)/2)/(COUNTIF($E$19:$E$186,"&gt;0")-1),50))</x:f>
        <x:v>90.9090909090909</x:v>
      </x:c>
      <x:c r="R126" s="501" t="n">
        <x:f>IF(E126=0,"",IFERROR(100*(COUNTIFS($E$19:$E$186,"&gt;0",$N$19:$N$186,"&lt;"&amp;N126)+(COUNTIFS($E$19:$E$186,"&gt;0",$N$19:$N$186,N126)-1)/2)/(COUNTIF($E$19:$E$186,"&gt;0")-1),50))</x:f>
        <x:v>91.55844155844156</x:v>
      </x:c>
      <x:c r="S126" s="501" t="n">
        <x:f>IF(E126=0,"",Q126*$R$5+R126*$R$6)</x:f>
        <x:v>91.03896103896105</x:v>
      </x:c>
      <x:c r="T126" s="501" t="n">
        <x:f>IF(M126=0,"",IFERROR(100*(COUNTIFS($M$19:$M$186,"&gt;0",$G$19:$G$186,"&gt;"&amp;G126)+(COUNTIFS($M$19:$M$186,"&gt;0",$G$19:$G$186,G126)-1)/2)/(COUNTIF($M$19:$M$186,"&gt;0")-1),50))</x:f>
        <x:v>73.07692307692308</x:v>
      </x:c>
      <x:c r="U126" s="501" t="n">
        <x:f>IF(M126=0,"",IFERROR(100*(COUNTIFS($M$19:$M$186,"&gt;0",$M$19:$M$186,"&lt;"&amp;M126)+(COUNTIFS($M$19:$M$186,"&gt;0",$M$19:$M$186,M126)-1)/2)/(COUNTIF($M$19:$M$186,"&gt;0")-1),50))</x:f>
        <x:v>73.07692307692308</x:v>
      </x:c>
      <x:c r="V126" s="501" t="n">
        <x:f>IF(M126=0,"",T126*$R$5+U126*$R$6)</x:f>
        <x:v>73.07692307692308</x:v>
      </x:c>
      <x:c r="W126" s="431" t="n">
        <x:f>IF(E126=0,"",COUNTIFS($A$19:$A$186,A126,$S$19:$S$186,"&gt;"&amp;S126)+COUNTIFS($A$19:A126,A126,$E$19:E126,"&gt;0",$S$19:S126,S126))</x:f>
        <x:v>1</x:v>
      </x:c>
      <x:c r="X126" s="431" t="n">
        <x:f>IF(S126="","",1+COUNTIF($S$19:$S$186,"&gt;"&amp;S126))</x:f>
        <x:v>15</x:v>
      </x:c>
      <x:c r="Y126" s="431" t="n">
        <x:f>IF(V126="","",1+COUNTIFS($A$19:$A$186,A126,$V$19:$V$186,"&gt;"&amp;V126))</x:f>
        <x:v>7</x:v>
      </x:c>
      <x:c r="Z126" s="431" t="n">
        <x:f>IF(V126="","",1+COUNTIF($V$19:$V$186,"&gt;"&amp;V126))</x:f>
        <x:v>31</x:v>
      </x:c>
      <x:c r="AA126" s="430" t="str">
        <x:f>IF(C126=0,"No specialisations recorded",IF(D126&lt;C126,"Review missing level","Recorded skills only"))</x:f>
        <x:v>Recorded skills only</x:v>
      </x:c>
      <x:c r="AB126" s="601" t="n">
        <x:f>IF(OR(AP126&lt;&gt;"Yes",E126=0),"",IFERROR(100*(COUNTIFS($AP$19:$AP$186,"Yes",$E$19:$E$186,"&gt;0",$I$19:$I$186,"&lt;"&amp;I126)+(COUNTIFS($AP$19:$AP$186,"Yes",$E$19:$E$186,"&gt;0",$I$19:$I$186,I126)-1)/2)/(COUNTIFS($AP$19:$AP$186,"Yes",$E$19:$E$186,"&gt;0")-1),50))</x:f>
        <x:v>91.88311688311688</x:v>
      </x:c>
      <x:c r="AC126" s="601" t="n">
        <x:f>IF(AB126="","",AB126*'Specialisation Rankings'!$O$16+R126*'Specialisation Rankings'!$O$17)</x:f>
        <x:v>91.81818181818183</x:v>
      </x:c>
      <x:c r="AD126" s="601" t="n">
        <x:f>IF(AC126="","",COUNTIFS($A$19:$A$186,A126,$AP$19:$AP$186,"Yes",$E$19:$E$186,"&gt;0",$AC$19:$AC$186,"&gt;"&amp;AC126)+COUNTIFS($A$19:A126,A126,$AP$19:AP126,"Yes",$E$19:E126,"&gt;0",$AC$19:AC126,AC126))</x:f>
        <x:v>1</x:v>
      </x:c>
      <x:c r="AE126" s="601" t="n">
        <x:f>IF(OR(AP126&lt;&gt;"Yes",E126=0),"",IFERROR(100*(COUNTIFS($AP$19:$AP$186,"Yes",$E$19:$E$186,"&gt;0",$H$19:$H$186,"&lt;"&amp;H126)+(COUNTIFS($AP$19:$AP$186,"Yes",$E$19:$E$186,"&gt;0",$H$19:$H$186,H126)-1)/2)/(COUNTIFS($AP$19:$AP$186,"Yes",$E$19:$E$186,"&gt;0")-1),50))</x:f>
        <x:v>61.03896103896104</x:v>
      </x:c>
      <x:c r="AF126" s="601" t="n">
        <x:f>IF(AE126="","",AE126*'Specialisation Rankings'!$O$16+R126*'Specialisation Rankings'!$O$17)</x:f>
        <x:v>67.14285714285715</x:v>
      </x:c>
      <x:c r="AG126" s="601" t="n">
        <x:f>IF(AF126="","",COUNTIFS($A$19:$A$186,A126,$AP$19:$AP$186,"Yes",$E$19:$E$186,"&gt;0",$AF$19:$AF$186,"&gt;"&amp;AF126)+COUNTIFS($A$19:A126,A126,$AP$19:AP126,"Yes",$E$19:E126,"&gt;0",$AF$19:AF126,AF126))</x:f>
        <x:v>4</x:v>
      </x:c>
      <x:c r="AH126" s="601" t="n">
        <x:f>IF(OR(AP126&lt;&gt;"Yes",E126=0),"",IFERROR(100*(COUNTIFS($AP$19:$AP$186,"Yes",$E$19:$E$186,"&gt;0",$J$19:$J$186,"&lt;"&amp;J126)+(COUNTIFS($AP$19:$AP$186,"Yes",$E$19:$E$186,"&gt;0",$J$19:$J$186,J126)-1)/2)/(COUNTIFS($AP$19:$AP$186,"Yes",$E$19:$E$186,"&gt;0")-1),50))</x:f>
        <x:v>80.84415584415585</x:v>
      </x:c>
      <x:c r="AI126" s="601" t="n">
        <x:f>IF(AH126="","",AH126*'Specialisation Rankings'!$O$16+R126*'Specialisation Rankings'!$O$17)</x:f>
        <x:v>82.987012987013</x:v>
      </x:c>
      <x:c r="AJ126" s="601" t="n">
        <x:f>IF(AI126="","",COUNTIFS($A$19:$A$186,A126,$AP$19:$AP$186,"Yes",$E$19:$E$186,"&gt;0",$AI$19:$AI$186,"&gt;"&amp;AI126)+COUNTIFS($A$19:A126,A126,$AP$19:AP126,"Yes",$E$19:E126,"&gt;0",$AI$19:AI126,AI126))</x:f>
        <x:v>2</x:v>
      </x:c>
      <x:c r="AK126" s="601" t="n">
        <x:f>IF(OR(AP126&lt;&gt;"Yes",E126=0),"",IF(M126=0,'Specialisation Rankings'!$O$23,V126))</x:f>
        <x:v>73.07692307692308</x:v>
      </x:c>
      <x:c r="AL126" s="601" t="n">
        <x:f>IF(AK126="","",COUNTIFS($A$19:$A$186,A126,$AP$19:$AP$186,"Yes",$E$19:$E$186,"&gt;0",$AK$19:$AK$186,"&gt;"&amp;AK126)+COUNTIFS($A$19:A126,A126,$AP$19:AP126,"Yes",$E$19:E126,"&gt;0",$AK$19:AK126,AK126))</x:f>
        <x:v>7</x:v>
      </x:c>
      <x:c r="AM126" s="601" t="n">
        <x:f>IF(AC126="","",AC126*'Specialisation Rankings'!$O$18+AF126*'Specialisation Rankings'!$O$19+AI126*'Specialisation Rankings'!$O$20+AK126*'Specialisation Rankings'!$O$21)</x:f>
        <x:v>86.15184815184817</x:v>
      </x:c>
      <x:c r="AN126" s="601" t="n">
        <x:f>IF(AM126="","",COUNTIFS($A$19:$A$186,A126,$AP$19:$AP$186,"Yes",$E$19:$E$186,"&gt;0",$AM$19:$AM$186,"&gt;"&amp;AM126)+COUNTIFS($A$19:A126,A126,$AP$19:AP126,"Yes",$E$19:E126,"&gt;0",$AM$19:AM126,AM126))</x:f>
        <x:v>1</x:v>
      </x:c>
      <x:c r="AO126" s="601" t="n">
        <x:f>IF(AM126="","",COUNTIFS($AP$19:$AP$186,"Yes",$E$19:$E$186,"&gt;0",$AM$19:$AM$186,"&gt;"&amp;AM126)+COUNTIFS($AP$19:AP126,"Yes",$E$19:E126,"&gt;0",$AM$19:AM126,AM126))</x:f>
        <x:v>11</x:v>
      </x:c>
      <x:c r="AP126" s="602" t="str">
        <x:f>IF(COUNTIFS('Player Scenario Model'!$A$6:$A$172,A126,'Player Scenario Model'!$B$6:$B$172,B126)&gt;0,"Yes","No")</x:f>
        <x:v>Yes</x:v>
      </x:c>
    </x:row>
    <x:row r="127" ht="24" customHeight="1">
      <x:c r="A127" s="430" t="str">
        <x:v>K170</x:v>
      </x:c>
      <x:c r="B127" s="430" t="str">
        <x:v>(AOT)Markspoon</x:v>
      </x:c>
      <x:c r="C127" s="431" t="n">
        <x:f>COUNTIFS('Specialisations'!$A$6:$A$527,A127,'Specialisations'!$B$6:$B$527,B127)</x:f>
        <x:v>3</x:v>
      </x:c>
      <x:c r="D127" s="431" t="n">
        <x:f>COUNTIFS('Specialisations'!$A$6:$A$527,A127,'Specialisations'!$B$6:$B$527,B127,'Specialisations'!$P$6:$P$527,"OK")</x:f>
        <x:v>3</x:v>
      </x:c>
      <x:c r="E127" s="431" t="n">
        <x:f>COUNTIFS('Specialisations'!$A$6:$A$527,A127,'Specialisations'!$B$6:$B$527,B127,'Specialisations'!$P$6:$P$527,"OK",'Specialisations'!$C$6:$C$527,"&lt;&gt;Guards")</x:f>
        <x:v>2</x:v>
      </x:c>
      <x:c r="F127" s="432" t="n">
        <x:f>IF(C127=0,"",D127/C127)</x:f>
        <x:v>1</x:v>
      </x:c>
      <x:c r="G127" s="495" t="n">
        <x:f>SUMIFS('Specialisations'!$Q$6:$Q$527,'Specialisations'!$A$6:$A$527,A127,'Specialisations'!$B$6:$B$527,B127,'Specialisations'!$C$6:$C$527,"Guards")</x:f>
        <x:v>-41.98</x:v>
      </x:c>
      <x:c r="H127" s="495" t="n">
        <x:f>SUMIFS('Specialisations'!$Q$6:$Q$527,'Specialisations'!$A$6:$A$527,A127,'Specialisations'!$B$6:$B$527,B127,'Specialisations'!$C$6:$C$527,"Archers")</x:f>
        <x:v>45.13</x:v>
      </x:c>
      <x:c r="I127" s="495" t="n">
        <x:f>SUMIFS('Specialisations'!$Q$6:$Q$527,'Specialisations'!$A$6:$A$527,A127,'Specialisations'!$B$6:$B$527,B127,'Specialisations'!$C$6:$C$527,"Cavalry")</x:f>
        <x:v>19.17</x:v>
      </x:c>
      <x:c r="J127" s="495" t="n">
        <x:f>SUMIFS('Specialisations'!$Q$6:$Q$527,'Specialisations'!$A$6:$A$527,A127,'Specialisations'!$B$6:$B$527,B127,'Specialisations'!$C$6:$C$527,"Siege")</x:f>
        <x:v>0</x:v>
      </x:c>
      <x:c r="K127" s="495" t="n">
        <x:f>SUM(H127:J127)</x:f>
        <x:v>64.30000000000001</x:v>
      </x:c>
      <x:c r="L127" s="495" t="n">
        <x:f>SUM(G127,K127)</x:f>
        <x:v>22.320000000000014</x:v>
      </x:c>
      <x:c r="M127" s="433" t="n">
        <x:f>SUMIFS('Specialisations'!$N$6:$N$527,'Specialisations'!$A$6:$A$527,A127,'Specialisations'!$B$6:$B$527,B127,'Specialisations'!$C$6:$C$527,"Guards")</x:f>
        <x:v>4284300</x:v>
      </x:c>
      <x:c r="N127" s="433" t="n">
        <x:f>SUMIFS('Specialisations'!$N$6:$N$527,'Specialisations'!$A$6:$A$527,A127,'Specialisations'!$B$6:$B$527,B127,'Specialisations'!$C$6:$C$527,"&lt;&gt;Guards")</x:f>
        <x:v>6468600</x:v>
      </x:c>
      <x:c r="O127" s="433" t="n">
        <x:f>SUM(M127:N127)</x:f>
        <x:v>10752900</x:v>
      </x:c>
      <x:c r="P127" s="434" t="n">
        <x:f>IF(E127=0,"",K127/E127)</x:f>
        <x:v>32.150000000000006</x:v>
      </x:c>
      <x:c r="Q127" s="501" t="n">
        <x:f>IF(E127=0,"",IFERROR(100*(COUNTIFS($E$19:$E$186,"&gt;0",$K$19:$K$186,"&lt;"&amp;K127)+(COUNTIFS($E$19:$E$186,"&gt;0",$K$19:$K$186,K127)-1)/2)/(COUNTIF($E$19:$E$186,"&gt;0")-1),50))</x:f>
        <x:v>31.818181818181817</x:v>
      </x:c>
      <x:c r="R127" s="501" t="n">
        <x:f>IF(E127=0,"",IFERROR(100*(COUNTIFS($E$19:$E$186,"&gt;0",$N$19:$N$186,"&lt;"&amp;N127)+(COUNTIFS($E$19:$E$186,"&gt;0",$N$19:$N$186,N127)-1)/2)/(COUNTIF($E$19:$E$186,"&gt;0")-1),50))</x:f>
        <x:v>20.77922077922078</x:v>
      </x:c>
      <x:c r="S127" s="501" t="n">
        <x:f>IF(E127=0,"",Q127*$R$5+R127*$R$6)</x:f>
        <x:v>29.610389610389607</x:v>
      </x:c>
      <x:c r="T127" s="501" t="n">
        <x:f>IF(M127=0,"",IFERROR(100*(COUNTIFS($M$19:$M$186,"&gt;0",$G$19:$G$186,"&gt;"&amp;G127)+(COUNTIFS($M$19:$M$186,"&gt;0",$G$19:$G$186,G127)-1)/2)/(COUNTIF($M$19:$M$186,"&gt;0")-1),50))</x:f>
        <x:v>60.256410256410255</x:v>
      </x:c>
      <x:c r="U127" s="501" t="n">
        <x:f>IF(M127=0,"",IFERROR(100*(COUNTIFS($M$19:$M$186,"&gt;0",$M$19:$M$186,"&lt;"&amp;M127)+(COUNTIFS($M$19:$M$186,"&gt;0",$M$19:$M$186,M127)-1)/2)/(COUNTIF($M$19:$M$186,"&gt;0")-1),50))</x:f>
        <x:v>60.256410256410255</x:v>
      </x:c>
      <x:c r="V127" s="501" t="n">
        <x:f>IF(M127=0,"",T127*$R$5+U127*$R$6)</x:f>
        <x:v>60.25641025641025</x:v>
      </x:c>
      <x:c r="W127" s="431" t="n">
        <x:f>IF(E127=0,"",COUNTIFS($A$19:$A$186,A127,$S$19:$S$186,"&gt;"&amp;S127)+COUNTIFS($A$19:A127,A127,$E$19:E127,"&gt;0",$S$19:S127,S127))</x:f>
        <x:v>17</x:v>
      </x:c>
      <x:c r="X127" s="431" t="n">
        <x:f>IF(S127="","",1+COUNTIF($S$19:$S$186,"&gt;"&amp;S127))</x:f>
        <x:v>105</x:v>
      </x:c>
      <x:c r="Y127" s="431" t="n">
        <x:f>IF(V127="","",1+COUNTIFS($A$19:$A$186,A127,$V$19:$V$186,"&gt;"&amp;V127))</x:f>
        <x:v>9</x:v>
      </x:c>
      <x:c r="Z127" s="431" t="n">
        <x:f>IF(V127="","",1+COUNTIF($V$19:$V$186,"&gt;"&amp;V127))</x:f>
        <x:v>35</x:v>
      </x:c>
      <x:c r="AA127" s="430" t="str">
        <x:f>IF(C127=0,"No specialisations recorded",IF(D127&lt;C127,"Review missing level","Recorded skills only"))</x:f>
        <x:v>Recorded skills only</x:v>
      </x:c>
      <x:c r="AB127" s="601" t="n">
        <x:f>IF(OR(AP127&lt;&gt;"Yes",E127=0),"",IFERROR(100*(COUNTIFS($AP$19:$AP$186,"Yes",$E$19:$E$186,"&gt;0",$I$19:$I$186,"&lt;"&amp;I127)+(COUNTIFS($AP$19:$AP$186,"Yes",$E$19:$E$186,"&gt;0",$I$19:$I$186,I127)-1)/2)/(COUNTIFS($AP$19:$AP$186,"Yes",$E$19:$E$186,"&gt;0")-1),50))</x:f>
        <x:v>24.675324675324674</x:v>
      </x:c>
      <x:c r="AC127" s="601" t="n">
        <x:f>IF(AB127="","",AB127*'Specialisation Rankings'!$O$16+R127*'Specialisation Rankings'!$O$17)</x:f>
        <x:v>23.8961038961039</x:v>
      </x:c>
      <x:c r="AD127" s="601" t="n">
        <x:f>IF(AC127="","",COUNTIFS($A$19:$A$186,A127,$AP$19:$AP$186,"Yes",$E$19:$E$186,"&gt;0",$AC$19:$AC$186,"&gt;"&amp;AC127)+COUNTIFS($A$19:A127,A127,$AP$19:AP127,"Yes",$E$19:E127,"&gt;0",$AC$19:AC127,AC127))</x:f>
        <x:v>20</x:v>
      </x:c>
      <x:c r="AE127" s="601" t="n">
        <x:f>IF(OR(AP127&lt;&gt;"Yes",E127=0),"",IFERROR(100*(COUNTIFS($AP$19:$AP$186,"Yes",$E$19:$E$186,"&gt;0",$H$19:$H$186,"&lt;"&amp;H127)+(COUNTIFS($AP$19:$AP$186,"Yes",$E$19:$E$186,"&gt;0",$H$19:$H$186,H127)-1)/2)/(COUNTIFS($AP$19:$AP$186,"Yes",$E$19:$E$186,"&gt;0")-1),50))</x:f>
        <x:v>74.02597402597402</x:v>
      </x:c>
      <x:c r="AF127" s="601" t="n">
        <x:f>IF(AE127="","",AE127*'Specialisation Rankings'!$O$16+R127*'Specialisation Rankings'!$O$17)</x:f>
        <x:v>63.37662337662338</x:v>
      </x:c>
      <x:c r="AG127" s="601" t="n">
        <x:f>IF(AF127="","",COUNTIFS($A$19:$A$186,A127,$AP$19:$AP$186,"Yes",$E$19:$E$186,"&gt;0",$AF$19:$AF$186,"&gt;"&amp;AF127)+COUNTIFS($A$19:A127,A127,$AP$19:AP127,"Yes",$E$19:E127,"&gt;0",$AF$19:AF127,AF127))</x:f>
        <x:v>5</x:v>
      </x:c>
      <x:c r="AH127" s="601" t="n">
        <x:f>IF(OR(AP127&lt;&gt;"Yes",E127=0),"",IFERROR(100*(COUNTIFS($AP$19:$AP$186,"Yes",$E$19:$E$186,"&gt;0",$J$19:$J$186,"&lt;"&amp;J127)+(COUNTIFS($AP$19:$AP$186,"Yes",$E$19:$E$186,"&gt;0",$J$19:$J$186,J127)-1)/2)/(COUNTIFS($AP$19:$AP$186,"Yes",$E$19:$E$186,"&gt;0")-1),50))</x:f>
        <x:v>33.116883116883116</x:v>
      </x:c>
      <x:c r="AI127" s="601" t="n">
        <x:f>IF(AH127="","",AH127*'Specialisation Rankings'!$O$16+R127*'Specialisation Rankings'!$O$17)</x:f>
        <x:v>30.64935064935065</x:v>
      </x:c>
      <x:c r="AJ127" s="601" t="n">
        <x:f>IF(AI127="","",COUNTIFS($A$19:$A$186,A127,$AP$19:$AP$186,"Yes",$E$19:$E$186,"&gt;0",$AI$19:$AI$186,"&gt;"&amp;AI127)+COUNTIFS($A$19:A127,A127,$AP$19:AP127,"Yes",$E$19:E127,"&gt;0",$AI$19:AI127,AI127))</x:f>
        <x:v>17</x:v>
      </x:c>
      <x:c r="AK127" s="601" t="n">
        <x:f>IF(OR(AP127&lt;&gt;"Yes",E127=0),"",IF(M127=0,'Specialisation Rankings'!$O$23,V127))</x:f>
        <x:v>60.25641025641025</x:v>
      </x:c>
      <x:c r="AL127" s="601" t="n">
        <x:f>IF(AK127="","",COUNTIFS($A$19:$A$186,A127,$AP$19:$AP$186,"Yes",$E$19:$E$186,"&gt;0",$AK$19:$AK$186,"&gt;"&amp;AK127)+COUNTIFS($A$19:A127,A127,$AP$19:AP127,"Yes",$E$19:E127,"&gt;0",$AK$19:AK127,AK127))</x:f>
        <x:v>12</x:v>
      </x:c>
      <x:c r="AM127" s="601" t="n">
        <x:f>IF(AC127="","",AC127*'Specialisation Rankings'!$O$18+AF127*'Specialisation Rankings'!$O$19+AI127*'Specialisation Rankings'!$O$20+AK127*'Specialisation Rankings'!$O$21)</x:f>
        <x:v>32.4931734931735</x:v>
      </x:c>
      <x:c r="AN127" s="601" t="n">
        <x:f>IF(AM127="","",COUNTIFS($A$19:$A$186,A127,$AP$19:$AP$186,"Yes",$E$19:$E$186,"&gt;0",$AM$19:$AM$186,"&gt;"&amp;AM127)+COUNTIFS($A$19:A127,A127,$AP$19:AP127,"Yes",$E$19:E127,"&gt;0",$AM$19:AM127,AM127))</x:f>
        <x:v>18</x:v>
      </x:c>
      <x:c r="AO127" s="601" t="n">
        <x:f>IF(AM127="","",COUNTIFS($AP$19:$AP$186,"Yes",$E$19:$E$186,"&gt;0",$AM$19:$AM$186,"&gt;"&amp;AM127)+COUNTIFS($AP$19:AP127,"Yes",$E$19:E127,"&gt;0",$AM$19:AM127,AM127))</x:f>
        <x:v>114</x:v>
      </x:c>
      <x:c r="AP127" s="602" t="str">
        <x:f>IF(COUNTIFS('Player Scenario Model'!$A$6:$A$172,A127,'Player Scenario Model'!$B$6:$B$172,B127)&gt;0,"Yes","No")</x:f>
        <x:v>Yes</x:v>
      </x:c>
    </x:row>
    <x:row r="128" ht="24" customHeight="1">
      <x:c r="A128" s="430" t="str">
        <x:v>K170</x:v>
      </x:c>
      <x:c r="B128" s="430" t="str">
        <x:v>(AOT)VAB999</x:v>
      </x:c>
      <x:c r="C128" s="431" t="n">
        <x:f>COUNTIFS('Specialisations'!$A$6:$A$527,A128,'Specialisations'!$B$6:$B$527,B128)</x:f>
        <x:v>4</x:v>
      </x:c>
      <x:c r="D128" s="431" t="n">
        <x:f>COUNTIFS('Specialisations'!$A$6:$A$527,A128,'Specialisations'!$B$6:$B$527,B128,'Specialisations'!$P$6:$P$527,"OK")</x:f>
        <x:v>4</x:v>
      </x:c>
      <x:c r="E128" s="431" t="n">
        <x:f>COUNTIFS('Specialisations'!$A$6:$A$527,A128,'Specialisations'!$B$6:$B$527,B128,'Specialisations'!$P$6:$P$527,"OK",'Specialisations'!$C$6:$C$527,"&lt;&gt;Guards")</x:f>
        <x:v>3</x:v>
      </x:c>
      <x:c r="F128" s="432" t="n">
        <x:f>IF(C128=0,"",D128/C128)</x:f>
        <x:v>1</x:v>
      </x:c>
      <x:c r="G128" s="495" t="n">
        <x:f>SUMIFS('Specialisations'!$Q$6:$Q$527,'Specialisations'!$A$6:$A$527,A128,'Specialisations'!$B$6:$B$527,B128,'Specialisations'!$C$6:$C$527,"Guards")</x:f>
        <x:v>-45.13</x:v>
      </x:c>
      <x:c r="H128" s="495" t="n">
        <x:f>SUMIFS('Specialisations'!$Q$6:$Q$527,'Specialisations'!$A$6:$A$527,A128,'Specialisations'!$B$6:$B$527,B128,'Specialisations'!$C$6:$C$527,"Archers")</x:f>
        <x:v>87.74</x:v>
      </x:c>
      <x:c r="I128" s="495" t="n">
        <x:f>SUMIFS('Specialisations'!$Q$6:$Q$527,'Specialisations'!$A$6:$A$527,A128,'Specialisations'!$B$6:$B$527,B128,'Specialisations'!$C$6:$C$527,"Cavalry")</x:f>
        <x:v>27.74</x:v>
      </x:c>
      <x:c r="J128" s="495" t="n">
        <x:f>SUMIFS('Specialisations'!$Q$6:$Q$527,'Specialisations'!$A$6:$A$527,A128,'Specialisations'!$B$6:$B$527,B128,'Specialisations'!$C$6:$C$527,"Siege")</x:f>
        <x:v>0</x:v>
      </x:c>
      <x:c r="K128" s="495" t="n">
        <x:f>SUM(H128:J128)</x:f>
        <x:v>115.47999999999999</x:v>
      </x:c>
      <x:c r="L128" s="495" t="n">
        <x:f>SUM(G128,K128)</x:f>
        <x:v>70.35</x:v>
      </x:c>
      <x:c r="M128" s="433" t="n">
        <x:f>SUMIFS('Specialisations'!$N$6:$N$527,'Specialisations'!$A$6:$A$527,A128,'Specialisations'!$B$6:$B$527,B128,'Specialisations'!$C$6:$C$527,"Guards")</x:f>
        <x:v>5004300</x:v>
      </x:c>
      <x:c r="N128" s="433" t="n">
        <x:f>SUMIFS('Specialisations'!$N$6:$N$527,'Specialisations'!$A$6:$A$527,A128,'Specialisations'!$B$6:$B$527,B128,'Specialisations'!$C$6:$C$527,"&lt;&gt;Guards")</x:f>
        <x:v>14822900</x:v>
      </x:c>
      <x:c r="O128" s="433" t="n">
        <x:f>SUM(M128:N128)</x:f>
        <x:v>19827200</x:v>
      </x:c>
      <x:c r="P128" s="434" t="n">
        <x:f>IF(E128=0,"",K128/E128)</x:f>
        <x:v>38.49333333333333</x:v>
      </x:c>
      <x:c r="Q128" s="501" t="n">
        <x:f>IF(E128=0,"",IFERROR(100*(COUNTIFS($E$19:$E$186,"&gt;0",$K$19:$K$186,"&lt;"&amp;K128)+(COUNTIFS($E$19:$E$186,"&gt;0",$K$19:$K$186,K128)-1)/2)/(COUNTIF($E$19:$E$186,"&gt;0")-1),50))</x:f>
        <x:v>68.18181818181819</x:v>
      </x:c>
      <x:c r="R128" s="501" t="n">
        <x:f>IF(E128=0,"",IFERROR(100*(COUNTIFS($E$19:$E$186,"&gt;0",$N$19:$N$186,"&lt;"&amp;N128)+(COUNTIFS($E$19:$E$186,"&gt;0",$N$19:$N$186,N128)-1)/2)/(COUNTIF($E$19:$E$186,"&gt;0")-1),50))</x:f>
        <x:v>75.32467532467533</x:v>
      </x:c>
      <x:c r="S128" s="501" t="n">
        <x:f>IF(E128=0,"",Q128*$R$5+R128*$R$6)</x:f>
        <x:v>69.61038961038962</x:v>
      </x:c>
      <x:c r="T128" s="501" t="n">
        <x:f>IF(M128=0,"",IFERROR(100*(COUNTIFS($M$19:$M$186,"&gt;0",$G$19:$G$186,"&gt;"&amp;G128)+(COUNTIFS($M$19:$M$186,"&gt;0",$G$19:$G$186,G128)-1)/2)/(COUNTIF($M$19:$M$186,"&gt;0")-1),50))</x:f>
        <x:v>73.07692307692308</x:v>
      </x:c>
      <x:c r="U128" s="501" t="n">
        <x:f>IF(M128=0,"",IFERROR(100*(COUNTIFS($M$19:$M$186,"&gt;0",$M$19:$M$186,"&lt;"&amp;M128)+(COUNTIFS($M$19:$M$186,"&gt;0",$M$19:$M$186,M128)-1)/2)/(COUNTIF($M$19:$M$186,"&gt;0")-1),50))</x:f>
        <x:v>73.07692307692308</x:v>
      </x:c>
      <x:c r="V128" s="501" t="n">
        <x:f>IF(M128=0,"",T128*$R$5+U128*$R$6)</x:f>
        <x:v>73.07692307692308</x:v>
      </x:c>
      <x:c r="W128" s="431" t="n">
        <x:f>IF(E128=0,"",COUNTIFS($A$19:$A$186,A128,$S$19:$S$186,"&gt;"&amp;S128)+COUNTIFS($A$19:A128,A128,$E$19:E128,"&gt;0",$S$19:S128,S128))</x:f>
        <x:v>7</x:v>
      </x:c>
      <x:c r="X128" s="431" t="n">
        <x:f>IF(S128="","",1+COUNTIF($S$19:$S$186,"&gt;"&amp;S128))</x:f>
        <x:v>48</x:v>
      </x:c>
      <x:c r="Y128" s="431" t="n">
        <x:f>IF(V128="","",1+COUNTIFS($A$19:$A$186,A128,$V$19:$V$186,"&gt;"&amp;V128))</x:f>
        <x:v>7</x:v>
      </x:c>
      <x:c r="Z128" s="431" t="n">
        <x:f>IF(V128="","",1+COUNTIF($V$19:$V$186,"&gt;"&amp;V128))</x:f>
        <x:v>31</x:v>
      </x:c>
      <x:c r="AA128" s="430" t="str">
        <x:f>IF(C128=0,"No specialisations recorded",IF(D128&lt;C128,"Review missing level","Recorded skills only"))</x:f>
        <x:v>Recorded skills only</x:v>
      </x:c>
      <x:c r="AB128" s="601" t="n">
        <x:f>IF(OR(AP128&lt;&gt;"Yes",E128=0),"",IFERROR(100*(COUNTIFS($AP$19:$AP$186,"Yes",$E$19:$E$186,"&gt;0",$I$19:$I$186,"&lt;"&amp;I128)+(COUNTIFS($AP$19:$AP$186,"Yes",$E$19:$E$186,"&gt;0",$I$19:$I$186,I128)-1)/2)/(COUNTIFS($AP$19:$AP$186,"Yes",$E$19:$E$186,"&gt;0")-1),50))</x:f>
        <x:v>26.2987012987013</x:v>
      </x:c>
      <x:c r="AC128" s="601" t="n">
        <x:f>IF(AB128="","",AB128*'Specialisation Rankings'!$O$16+R128*'Specialisation Rankings'!$O$17)</x:f>
        <x:v>36.103896103896105</x:v>
      </x:c>
      <x:c r="AD128" s="601" t="n">
        <x:f>IF(AC128="","",COUNTIFS($A$19:$A$186,A128,$AP$19:$AP$186,"Yes",$E$19:$E$186,"&gt;0",$AC$19:$AC$186,"&gt;"&amp;AC128)+COUNTIFS($A$19:A128,A128,$AP$19:AP128,"Yes",$E$19:E128,"&gt;0",$AC$19:AC128,AC128))</x:f>
        <x:v>14</x:v>
      </x:c>
      <x:c r="AE128" s="601" t="n">
        <x:f>IF(OR(AP128&lt;&gt;"Yes",E128=0),"",IFERROR(100*(COUNTIFS($AP$19:$AP$186,"Yes",$E$19:$E$186,"&gt;0",$H$19:$H$186,"&lt;"&amp;H128)+(COUNTIFS($AP$19:$AP$186,"Yes",$E$19:$E$186,"&gt;0",$H$19:$H$186,H128)-1)/2)/(COUNTIFS($AP$19:$AP$186,"Yes",$E$19:$E$186,"&gt;0")-1),50))</x:f>
        <x:v>97.07792207792208</x:v>
      </x:c>
      <x:c r="AF128" s="601" t="n">
        <x:f>IF(AE128="","",AE128*'Specialisation Rankings'!$O$16+R128*'Specialisation Rankings'!$O$17)</x:f>
        <x:v>92.72727272727275</x:v>
      </x:c>
      <x:c r="AG128" s="601" t="n">
        <x:f>IF(AF128="","",COUNTIFS($A$19:$A$186,A128,$AP$19:$AP$186,"Yes",$E$19:$E$186,"&gt;0",$AF$19:$AF$186,"&gt;"&amp;AF128)+COUNTIFS($A$19:A128,A128,$AP$19:AP128,"Yes",$E$19:E128,"&gt;0",$AF$19:AF128,AF128))</x:f>
        <x:v>1</x:v>
      </x:c>
      <x:c r="AH128" s="601" t="n">
        <x:f>IF(OR(AP128&lt;&gt;"Yes",E128=0),"",IFERROR(100*(COUNTIFS($AP$19:$AP$186,"Yes",$E$19:$E$186,"&gt;0",$J$19:$J$186,"&lt;"&amp;J128)+(COUNTIFS($AP$19:$AP$186,"Yes",$E$19:$E$186,"&gt;0",$J$19:$J$186,J128)-1)/2)/(COUNTIFS($AP$19:$AP$186,"Yes",$E$19:$E$186,"&gt;0")-1),50))</x:f>
        <x:v>33.116883116883116</x:v>
      </x:c>
      <x:c r="AI128" s="601" t="n">
        <x:f>IF(AH128="","",AH128*'Specialisation Rankings'!$O$16+R128*'Specialisation Rankings'!$O$17)</x:f>
        <x:v>41.55844155844156</x:v>
      </x:c>
      <x:c r="AJ128" s="601" t="n">
        <x:f>IF(AI128="","",COUNTIFS($A$19:$A$186,A128,$AP$19:$AP$186,"Yes",$E$19:$E$186,"&gt;0",$AI$19:$AI$186,"&gt;"&amp;AI128)+COUNTIFS($A$19:A128,A128,$AP$19:AP128,"Yes",$E$19:E128,"&gt;0",$AI$19:AI128,AI128))</x:f>
        <x:v>12</x:v>
      </x:c>
      <x:c r="AK128" s="601" t="n">
        <x:f>IF(OR(AP128&lt;&gt;"Yes",E128=0),"",IF(M128=0,'Specialisation Rankings'!$O$23,V128))</x:f>
        <x:v>73.07692307692308</x:v>
      </x:c>
      <x:c r="AL128" s="601" t="n">
        <x:f>IF(AK128="","",COUNTIFS($A$19:$A$186,A128,$AP$19:$AP$186,"Yes",$E$19:$E$186,"&gt;0",$AK$19:$AK$186,"&gt;"&amp;AK128)+COUNTIFS($A$19:A128,A128,$AP$19:AP128,"Yes",$E$19:E128,"&gt;0",$AK$19:AK128,AK128))</x:f>
        <x:v>8</x:v>
      </x:c>
      <x:c r="AM128" s="601" t="n">
        <x:f>IF(AC128="","",AC128*'Specialisation Rankings'!$O$18+AF128*'Specialisation Rankings'!$O$19+AI128*'Specialisation Rankings'!$O$20+AK128*'Specialisation Rankings'!$O$21)</x:f>
        <x:v>46.281718281718284</x:v>
      </x:c>
      <x:c r="AN128" s="601" t="n">
        <x:f>IF(AM128="","",COUNTIFS($A$19:$A$186,A128,$AP$19:$AP$186,"Yes",$E$19:$E$186,"&gt;0",$AM$19:$AM$186,"&gt;"&amp;AM128)+COUNTIFS($A$19:A128,A128,$AP$19:AP128,"Yes",$E$19:E128,"&gt;0",$AM$19:AM128,AM128))</x:f>
        <x:v>12</x:v>
      </x:c>
      <x:c r="AO128" s="601" t="n">
        <x:f>IF(AM128="","",COUNTIFS($AP$19:$AP$186,"Yes",$E$19:$E$186,"&gt;0",$AM$19:$AM$186,"&gt;"&amp;AM128)+COUNTIFS($AP$19:AP128,"Yes",$E$19:E128,"&gt;0",$AM$19:AM128,AM128))</x:f>
        <x:v>83</x:v>
      </x:c>
      <x:c r="AP128" s="602" t="str">
        <x:f>IF(COUNTIFS('Player Scenario Model'!$A$6:$A$172,A128,'Player Scenario Model'!$B$6:$B$172,B128)&gt;0,"Yes","No")</x:f>
        <x:v>Yes</x:v>
      </x:c>
    </x:row>
    <x:row r="129" ht="24" customHeight="1">
      <x:c r="A129" s="430" t="str">
        <x:v>K170</x:v>
      </x:c>
      <x:c r="B129" s="430" t="str">
        <x:v>(AOT)Paian2</x:v>
      </x:c>
      <x:c r="C129" s="431" t="n">
        <x:f>COUNTIFS('Specialisations'!$A$6:$A$527,A129,'Specialisations'!$B$6:$B$527,B129)</x:f>
        <x:v>2</x:v>
      </x:c>
      <x:c r="D129" s="431" t="n">
        <x:f>COUNTIFS('Specialisations'!$A$6:$A$527,A129,'Specialisations'!$B$6:$B$527,B129,'Specialisations'!$P$6:$P$527,"OK")</x:f>
        <x:v>2</x:v>
      </x:c>
      <x:c r="E129" s="431" t="n">
        <x:f>COUNTIFS('Specialisations'!$A$6:$A$527,A129,'Specialisations'!$B$6:$B$527,B129,'Specialisations'!$P$6:$P$527,"OK",'Specialisations'!$C$6:$C$527,"&lt;&gt;Guards")</x:f>
        <x:v>1</x:v>
      </x:c>
      <x:c r="F129" s="432" t="n">
        <x:f>IF(C129=0,"",D129/C129)</x:f>
        <x:v>1</x:v>
      </x:c>
      <x:c r="G129" s="495" t="n">
        <x:f>SUMIFS('Specialisations'!$Q$6:$Q$527,'Specialisations'!$A$6:$A$527,A129,'Specialisations'!$B$6:$B$527,B129,'Specialisations'!$C$6:$C$527,"Guards")</x:f>
        <x:v>-41.98</x:v>
      </x:c>
      <x:c r="H129" s="495" t="n">
        <x:f>SUMIFS('Specialisations'!$Q$6:$Q$527,'Specialisations'!$A$6:$A$527,A129,'Specialisations'!$B$6:$B$527,B129,'Specialisations'!$C$6:$C$527,"Archers")</x:f>
        <x:v>0</x:v>
      </x:c>
      <x:c r="I129" s="495" t="n">
        <x:f>SUMIFS('Specialisations'!$Q$6:$Q$527,'Specialisations'!$A$6:$A$527,A129,'Specialisations'!$B$6:$B$527,B129,'Specialisations'!$C$6:$C$527,"Cavalry")</x:f>
        <x:v>45.13</x:v>
      </x:c>
      <x:c r="J129" s="495" t="n">
        <x:f>SUMIFS('Specialisations'!$Q$6:$Q$527,'Specialisations'!$A$6:$A$527,A129,'Specialisations'!$B$6:$B$527,B129,'Specialisations'!$C$6:$C$527,"Siege")</x:f>
        <x:v>0</x:v>
      </x:c>
      <x:c r="K129" s="495" t="n">
        <x:f>SUM(H129:J129)</x:f>
        <x:v>45.13</x:v>
      </x:c>
      <x:c r="L129" s="495" t="n">
        <x:f>SUM(G129,K129)</x:f>
        <x:v>3.1500000000000057</x:v>
      </x:c>
      <x:c r="M129" s="433" t="n">
        <x:f>SUMIFS('Specialisations'!$N$6:$N$527,'Specialisations'!$A$6:$A$527,A129,'Specialisations'!$B$6:$B$527,B129,'Specialisations'!$C$6:$C$527,"Guards")</x:f>
        <x:v>4284300</x:v>
      </x:c>
      <x:c r="N129" s="433" t="n">
        <x:f>SUMIFS('Specialisations'!$N$6:$N$527,'Specialisations'!$A$6:$A$527,A129,'Specialisations'!$B$6:$B$527,B129,'Specialisations'!$C$6:$C$527,"&lt;&gt;Guards")</x:f>
        <x:v>5004300</x:v>
      </x:c>
      <x:c r="O129" s="433" t="n">
        <x:f>SUM(M129:N129)</x:f>
        <x:v>9288600</x:v>
      </x:c>
      <x:c r="P129" s="434" t="n">
        <x:f>IF(E129=0,"",K129/E129)</x:f>
        <x:v>45.13</x:v>
      </x:c>
      <x:c r="Q129" s="501" t="n">
        <x:f>IF(E129=0,"",IFERROR(100*(COUNTIFS($E$19:$E$186,"&gt;0",$K$19:$K$186,"&lt;"&amp;K129)+(COUNTIFS($E$19:$E$186,"&gt;0",$K$19:$K$186,K129)-1)/2)/(COUNTIF($E$19:$E$186,"&gt;0")-1),50))</x:f>
        <x:v>9.415584415584416</x:v>
      </x:c>
      <x:c r="R129" s="501" t="n">
        <x:f>IF(E129=0,"",IFERROR(100*(COUNTIFS($E$19:$E$186,"&gt;0",$N$19:$N$186,"&lt;"&amp;N129)+(COUNTIFS($E$19:$E$186,"&gt;0",$N$19:$N$186,N129)-1)/2)/(COUNTIF($E$19:$E$186,"&gt;0")-1),50))</x:f>
        <x:v>12.012987012987013</x:v>
      </x:c>
      <x:c r="S129" s="501" t="n">
        <x:f>IF(E129=0,"",Q129*$R$5+R129*$R$6)</x:f>
        <x:v>9.935064935064934</x:v>
      </x:c>
      <x:c r="T129" s="501" t="n">
        <x:f>IF(M129=0,"",IFERROR(100*(COUNTIFS($M$19:$M$186,"&gt;0",$G$19:$G$186,"&gt;"&amp;G129)+(COUNTIFS($M$19:$M$186,"&gt;0",$G$19:$G$186,G129)-1)/2)/(COUNTIF($M$19:$M$186,"&gt;0")-1),50))</x:f>
        <x:v>60.256410256410255</x:v>
      </x:c>
      <x:c r="U129" s="501" t="n">
        <x:f>IF(M129=0,"",IFERROR(100*(COUNTIFS($M$19:$M$186,"&gt;0",$M$19:$M$186,"&lt;"&amp;M129)+(COUNTIFS($M$19:$M$186,"&gt;0",$M$19:$M$186,M129)-1)/2)/(COUNTIF($M$19:$M$186,"&gt;0")-1),50))</x:f>
        <x:v>60.256410256410255</x:v>
      </x:c>
      <x:c r="V129" s="501" t="n">
        <x:f>IF(M129=0,"",T129*$R$5+U129*$R$6)</x:f>
        <x:v>60.25641025641025</x:v>
      </x:c>
      <x:c r="W129" s="431" t="n">
        <x:f>IF(E129=0,"",COUNTIFS($A$19:$A$186,A129,$S$19:$S$186,"&gt;"&amp;S129)+COUNTIFS($A$19:A129,A129,$E$19:E129,"&gt;0",$S$19:S129,S129))</x:f>
        <x:v>19</x:v>
      </x:c>
      <x:c r="X129" s="431" t="n">
        <x:f>IF(S129="","",1+COUNTIF($S$19:$S$186,"&gt;"&amp;S129))</x:f>
        <x:v>139</x:v>
      </x:c>
      <x:c r="Y129" s="431" t="n">
        <x:f>IF(V129="","",1+COUNTIFS($A$19:$A$186,A129,$V$19:$V$186,"&gt;"&amp;V129))</x:f>
        <x:v>9</x:v>
      </x:c>
      <x:c r="Z129" s="431" t="n">
        <x:f>IF(V129="","",1+COUNTIF($V$19:$V$186,"&gt;"&amp;V129))</x:f>
        <x:v>35</x:v>
      </x:c>
      <x:c r="AA129" s="430" t="str">
        <x:f>IF(C129=0,"No specialisations recorded",IF(D129&lt;C129,"Review missing level","Recorded skills only"))</x:f>
        <x:v>Recorded skills only</x:v>
      </x:c>
      <x:c r="AB129" s="601" t="n">
        <x:f>IF(OR(AP129&lt;&gt;"Yes",E129=0),"",IFERROR(100*(COUNTIFS($AP$19:$AP$186,"Yes",$E$19:$E$186,"&gt;0",$I$19:$I$186,"&lt;"&amp;I129)+(COUNTIFS($AP$19:$AP$186,"Yes",$E$19:$E$186,"&gt;0",$I$19:$I$186,I129)-1)/2)/(COUNTIFS($AP$19:$AP$186,"Yes",$E$19:$E$186,"&gt;0")-1),50))</x:f>
        <x:v>37.66233766233766</x:v>
      </x:c>
      <x:c r="AC129" s="601" t="n">
        <x:f>IF(AB129="","",AB129*'Specialisation Rankings'!$O$16+R129*'Specialisation Rankings'!$O$17)</x:f>
        <x:v>32.532467532467535</x:v>
      </x:c>
      <x:c r="AD129" s="601" t="n">
        <x:f>IF(AC129="","",COUNTIFS($A$19:$A$186,A129,$AP$19:$AP$186,"Yes",$E$19:$E$186,"&gt;0",$AC$19:$AC$186,"&gt;"&amp;AC129)+COUNTIFS($A$19:A129,A129,$AP$19:AP129,"Yes",$E$19:E129,"&gt;0",$AC$19:AC129,AC129))</x:f>
        <x:v>15</x:v>
      </x:c>
      <x:c r="AE129" s="601" t="n">
        <x:f>IF(OR(AP129&lt;&gt;"Yes",E129=0),"",IFERROR(100*(COUNTIFS($AP$19:$AP$186,"Yes",$E$19:$E$186,"&gt;0",$H$19:$H$186,"&lt;"&amp;H129)+(COUNTIFS($AP$19:$AP$186,"Yes",$E$19:$E$186,"&gt;0",$H$19:$H$186,H129)-1)/2)/(COUNTIFS($AP$19:$AP$186,"Yes",$E$19:$E$186,"&gt;0")-1),50))</x:f>
        <x:v>11.688311688311689</x:v>
      </x:c>
      <x:c r="AF129" s="601" t="n">
        <x:f>IF(AE129="","",AE129*'Specialisation Rankings'!$O$16+R129*'Specialisation Rankings'!$O$17)</x:f>
        <x:v>11.753246753246755</x:v>
      </x:c>
      <x:c r="AG129" s="601" t="n">
        <x:f>IF(AF129="","",COUNTIFS($A$19:$A$186,A129,$AP$19:$AP$186,"Yes",$E$19:$E$186,"&gt;0",$AF$19:$AF$186,"&gt;"&amp;AF129)+COUNTIFS($A$19:A129,A129,$AP$19:AP129,"Yes",$E$19:E129,"&gt;0",$AF$19:AF129,AF129))</x:f>
        <x:v>20</x:v>
      </x:c>
      <x:c r="AH129" s="601" t="n">
        <x:f>IF(OR(AP129&lt;&gt;"Yes",E129=0),"",IFERROR(100*(COUNTIFS($AP$19:$AP$186,"Yes",$E$19:$E$186,"&gt;0",$J$19:$J$186,"&lt;"&amp;J129)+(COUNTIFS($AP$19:$AP$186,"Yes",$E$19:$E$186,"&gt;0",$J$19:$J$186,J129)-1)/2)/(COUNTIFS($AP$19:$AP$186,"Yes",$E$19:$E$186,"&gt;0")-1),50))</x:f>
        <x:v>33.116883116883116</x:v>
      </x:c>
      <x:c r="AI129" s="601" t="n">
        <x:f>IF(AH129="","",AH129*'Specialisation Rankings'!$O$16+R129*'Specialisation Rankings'!$O$17)</x:f>
        <x:v>28.896103896103895</x:v>
      </x:c>
      <x:c r="AJ129" s="601" t="n">
        <x:f>IF(AI129="","",COUNTIFS($A$19:$A$186,A129,$AP$19:$AP$186,"Yes",$E$19:$E$186,"&gt;0",$AI$19:$AI$186,"&gt;"&amp;AI129)+COUNTIFS($A$19:A129,A129,$AP$19:AP129,"Yes",$E$19:E129,"&gt;0",$AI$19:AI129,AI129))</x:f>
        <x:v>19</x:v>
      </x:c>
      <x:c r="AK129" s="601" t="n">
        <x:f>IF(OR(AP129&lt;&gt;"Yes",E129=0),"",IF(M129=0,'Specialisation Rankings'!$O$23,V129))</x:f>
        <x:v>60.25641025641025</x:v>
      </x:c>
      <x:c r="AL129" s="601" t="n">
        <x:f>IF(AK129="","",COUNTIFS($A$19:$A$186,A129,$AP$19:$AP$186,"Yes",$E$19:$E$186,"&gt;0",$AK$19:$AK$186,"&gt;"&amp;AK129)+COUNTIFS($A$19:A129,A129,$AP$19:AP129,"Yes",$E$19:E129,"&gt;0",$AK$19:AK129,AK129))</x:f>
        <x:v>13</x:v>
      </x:c>
      <x:c r="AM129" s="601" t="n">
        <x:f>IF(AC129="","",AC129*'Specialisation Rankings'!$O$18+AF129*'Specialisation Rankings'!$O$19+AI129*'Specialisation Rankings'!$O$20+AK129*'Specialisation Rankings'!$O$21)</x:f>
        <x:v>32.681485181485186</x:v>
      </x:c>
      <x:c r="AN129" s="601" t="n">
        <x:f>IF(AM129="","",COUNTIFS($A$19:$A$186,A129,$AP$19:$AP$186,"Yes",$E$19:$E$186,"&gt;0",$AM$19:$AM$186,"&gt;"&amp;AM129)+COUNTIFS($A$19:A129,A129,$AP$19:AP129,"Yes",$E$19:E129,"&gt;0",$AM$19:AM129,AM129))</x:f>
        <x:v>17</x:v>
      </x:c>
      <x:c r="AO129" s="601" t="n">
        <x:f>IF(AM129="","",COUNTIFS($AP$19:$AP$186,"Yes",$E$19:$E$186,"&gt;0",$AM$19:$AM$186,"&gt;"&amp;AM129)+COUNTIFS($AP$19:AP129,"Yes",$E$19:E129,"&gt;0",$AM$19:AM129,AM129))</x:f>
        <x:v>112</x:v>
      </x:c>
      <x:c r="AP129" s="602" t="str">
        <x:f>IF(COUNTIFS('Player Scenario Model'!$A$6:$A$172,A129,'Player Scenario Model'!$B$6:$B$172,B129)&gt;0,"Yes","No")</x:f>
        <x:v>Yes</x:v>
      </x:c>
    </x:row>
    <x:row r="130" ht="24" customHeight="1">
      <x:c r="A130" s="430" t="str">
        <x:v>K54</x:v>
      </x:c>
      <x:c r="B130" s="430" t="str">
        <x:v>爽歪歪</x:v>
      </x:c>
      <x:c r="C130" s="431" t="n">
        <x:f>COUNTIFS('Specialisations'!$A$6:$A$527,A130,'Specialisations'!$B$6:$B$527,B130)</x:f>
        <x:v>3</x:v>
      </x:c>
      <x:c r="D130" s="431" t="n">
        <x:f>COUNTIFS('Specialisations'!$A$6:$A$527,A130,'Specialisations'!$B$6:$B$527,B130,'Specialisations'!$P$6:$P$527,"OK")</x:f>
        <x:v>3</x:v>
      </x:c>
      <x:c r="E130" s="431" t="n">
        <x:f>COUNTIFS('Specialisations'!$A$6:$A$527,A130,'Specialisations'!$B$6:$B$527,B130,'Specialisations'!$P$6:$P$527,"OK",'Specialisations'!$C$6:$C$527,"&lt;&gt;Guards")</x:f>
        <x:v>2</x:v>
      </x:c>
      <x:c r="F130" s="432" t="n">
        <x:f>IF(C130=0,"",D130/C130)</x:f>
        <x:v>1</x:v>
      </x:c>
      <x:c r="G130" s="495" t="n">
        <x:f>SUMIFS('Specialisations'!$Q$6:$Q$527,'Specialisations'!$A$6:$A$527,A130,'Specialisations'!$B$6:$B$527,B130,'Specialisations'!$C$6:$C$527,"Guards")</x:f>
        <x:v>-60</x:v>
      </x:c>
      <x:c r="H130" s="495" t="n">
        <x:f>SUMIFS('Specialisations'!$Q$6:$Q$527,'Specialisations'!$A$6:$A$527,A130,'Specialisations'!$B$6:$B$527,B130,'Specialisations'!$C$6:$C$527,"Archers")</x:f>
        <x:v>0</x:v>
      </x:c>
      <x:c r="I130" s="495" t="n">
        <x:f>SUMIFS('Specialisations'!$Q$6:$Q$527,'Specialisations'!$A$6:$A$527,A130,'Specialisations'!$B$6:$B$527,B130,'Specialisations'!$C$6:$C$527,"Cavalry")</x:f>
        <x:v>96.87</x:v>
      </x:c>
      <x:c r="J130" s="495" t="n">
        <x:f>SUMIFS('Specialisations'!$Q$6:$Q$527,'Specialisations'!$A$6:$A$527,A130,'Specialisations'!$B$6:$B$527,B130,'Specialisations'!$C$6:$C$527,"Siege")</x:f>
        <x:v>0</x:v>
      </x:c>
      <x:c r="K130" s="495" t="n">
        <x:f>SUM(H130:J130)</x:f>
        <x:v>96.87</x:v>
      </x:c>
      <x:c r="L130" s="495" t="n">
        <x:f>SUM(G130,K130)</x:f>
        <x:v>36.870000000000005</x:v>
      </x:c>
      <x:c r="M130" s="433" t="n">
        <x:f>SUMIFS('Specialisations'!$N$6:$N$527,'Specialisations'!$A$6:$A$527,A130,'Specialisations'!$B$6:$B$527,B130,'Specialisations'!$C$6:$C$527,"Guards")</x:f>
        <x:v>10334300</x:v>
      </x:c>
      <x:c r="N130" s="433" t="n">
        <x:f>SUMIFS('Specialisations'!$N$6:$N$527,'Specialisations'!$A$6:$A$527,A130,'Specialisations'!$B$6:$B$527,B130,'Specialisations'!$C$6:$C$527,"&lt;&gt;Guards")</x:f>
        <x:v>11938600</x:v>
      </x:c>
      <x:c r="O130" s="433" t="n">
        <x:f>SUM(M130:N130)</x:f>
        <x:v>22272900</x:v>
      </x:c>
      <x:c r="P130" s="434" t="n">
        <x:f>IF(E130=0,"",K130/E130)</x:f>
        <x:v>48.435</x:v>
      </x:c>
      <x:c r="Q130" s="501" t="n">
        <x:f>IF(E130=0,"",IFERROR(100*(COUNTIFS($E$19:$E$186,"&gt;0",$K$19:$K$186,"&lt;"&amp;K130)+(COUNTIFS($E$19:$E$186,"&gt;0",$K$19:$K$186,K130)-1)/2)/(COUNTIF($E$19:$E$186,"&gt;0")-1),50))</x:f>
        <x:v>51.298701298701296</x:v>
      </x:c>
      <x:c r="R130" s="501" t="n">
        <x:f>IF(E130=0,"",IFERROR(100*(COUNTIFS($E$19:$E$186,"&gt;0",$N$19:$N$186,"&lt;"&amp;N130)+(COUNTIFS($E$19:$E$186,"&gt;0",$N$19:$N$186,N130)-1)/2)/(COUNTIF($E$19:$E$186,"&gt;0")-1),50))</x:f>
        <x:v>60.38961038961039</x:v>
      </x:c>
      <x:c r="S130" s="501" t="n">
        <x:f>IF(E130=0,"",Q130*$R$5+R130*$R$6)</x:f>
        <x:v>53.116883116883116</x:v>
      </x:c>
      <x:c r="T130" s="501" t="n">
        <x:f>IF(M130=0,"",IFERROR(100*(COUNTIFS($M$19:$M$186,"&gt;0",$G$19:$G$186,"&gt;"&amp;G130)+(COUNTIFS($M$19:$M$186,"&gt;0",$G$19:$G$186,G130)-1)/2)/(COUNTIF($M$19:$M$186,"&gt;0")-1),50))</x:f>
        <x:v>93.16239316239316</x:v>
      </x:c>
      <x:c r="U130" s="501" t="n">
        <x:f>IF(M130=0,"",IFERROR(100*(COUNTIFS($M$19:$M$186,"&gt;0",$M$19:$M$186,"&lt;"&amp;M130)+(COUNTIFS($M$19:$M$186,"&gt;0",$M$19:$M$186,M130)-1)/2)/(COUNTIF($M$19:$M$186,"&gt;0")-1),50))</x:f>
        <x:v>93.16239316239316</x:v>
      </x:c>
      <x:c r="V130" s="501" t="n">
        <x:f>IF(M130=0,"",T130*$R$5+U130*$R$6)</x:f>
        <x:v>93.16239316239316</x:v>
      </x:c>
      <x:c r="W130" s="431" t="n">
        <x:f>IF(E130=0,"",COUNTIFS($A$19:$A$186,A130,$S$19:$S$186,"&gt;"&amp;S130)+COUNTIFS($A$19:A130,A130,$E$19:E130,"&gt;0",$S$19:S130,S130))</x:f>
        <x:v>7</x:v>
      </x:c>
      <x:c r="X130" s="431" t="n">
        <x:f>IF(S130="","",1+COUNTIF($S$19:$S$186,"&gt;"&amp;S130))</x:f>
        <x:v>71</x:v>
      </x:c>
      <x:c r="Y130" s="431" t="n">
        <x:f>IF(V130="","",1+COUNTIFS($A$19:$A$186,A130,$V$19:$V$186,"&gt;"&amp;V130))</x:f>
        <x:v>1</x:v>
      </x:c>
      <x:c r="Z130" s="431" t="n">
        <x:f>IF(V130="","",1+COUNTIF($V$19:$V$186,"&gt;"&amp;V130))</x:f>
        <x:v>1</x:v>
      </x:c>
      <x:c r="AA130" s="430" t="str">
        <x:f>IF(C130=0,"No specialisations recorded",IF(D130&lt;C130,"Review missing level","Recorded skills only"))</x:f>
        <x:v>Recorded skills only</x:v>
      </x:c>
      <x:c r="AB130" s="601" t="n">
        <x:f>IF(OR(AP130&lt;&gt;"Yes",E130=0),"",IFERROR(100*(COUNTIFS($AP$19:$AP$186,"Yes",$E$19:$E$186,"&gt;0",$I$19:$I$186,"&lt;"&amp;I130)+(COUNTIFS($AP$19:$AP$186,"Yes",$E$19:$E$186,"&gt;0",$I$19:$I$186,I130)-1)/2)/(COUNTIFS($AP$19:$AP$186,"Yes",$E$19:$E$186,"&gt;0")-1),50))</x:f>
        <x:v>83.76623376623377</x:v>
      </x:c>
      <x:c r="AC130" s="601" t="n">
        <x:f>IF(AB130="","",AB130*'Specialisation Rankings'!$O$16+R130*'Specialisation Rankings'!$O$17)</x:f>
        <x:v>79.0909090909091</x:v>
      </x:c>
      <x:c r="AD130" s="601" t="n">
        <x:f>IF(AC130="","",COUNTIFS($A$19:$A$186,A130,$AP$19:$AP$186,"Yes",$E$19:$E$186,"&gt;0",$AC$19:$AC$186,"&gt;"&amp;AC130)+COUNTIFS($A$19:A130,A130,$AP$19:AP130,"Yes",$E$19:E130,"&gt;0",$AC$19:AC130,AC130))</x:f>
        <x:v>4</x:v>
      </x:c>
      <x:c r="AE130" s="601" t="n">
        <x:f>IF(OR(AP130&lt;&gt;"Yes",E130=0),"",IFERROR(100*(COUNTIFS($AP$19:$AP$186,"Yes",$E$19:$E$186,"&gt;0",$H$19:$H$186,"&lt;"&amp;H130)+(COUNTIFS($AP$19:$AP$186,"Yes",$E$19:$E$186,"&gt;0",$H$19:$H$186,H130)-1)/2)/(COUNTIFS($AP$19:$AP$186,"Yes",$E$19:$E$186,"&gt;0")-1),50))</x:f>
        <x:v>11.688311688311689</x:v>
      </x:c>
      <x:c r="AF130" s="601" t="n">
        <x:f>IF(AE130="","",AE130*'Specialisation Rankings'!$O$16+R130*'Specialisation Rankings'!$O$17)</x:f>
        <x:v>21.42857142857143</x:v>
      </x:c>
      <x:c r="AG130" s="601" t="n">
        <x:f>IF(AF130="","",COUNTIFS($A$19:$A$186,A130,$AP$19:$AP$186,"Yes",$E$19:$E$186,"&gt;0",$AF$19:$AF$186,"&gt;"&amp;AF130)+COUNTIFS($A$19:A130,A130,$AP$19:AP130,"Yes",$E$19:E130,"&gt;0",$AF$19:AF130,AF130))</x:f>
        <x:v>9</x:v>
      </x:c>
      <x:c r="AH130" s="601" t="n">
        <x:f>IF(OR(AP130&lt;&gt;"Yes",E130=0),"",IFERROR(100*(COUNTIFS($AP$19:$AP$186,"Yes",$E$19:$E$186,"&gt;0",$J$19:$J$186,"&lt;"&amp;J130)+(COUNTIFS($AP$19:$AP$186,"Yes",$E$19:$E$186,"&gt;0",$J$19:$J$186,J130)-1)/2)/(COUNTIFS($AP$19:$AP$186,"Yes",$E$19:$E$186,"&gt;0")-1),50))</x:f>
        <x:v>33.116883116883116</x:v>
      </x:c>
      <x:c r="AI130" s="601" t="n">
        <x:f>IF(AH130="","",AH130*'Specialisation Rankings'!$O$16+R130*'Specialisation Rankings'!$O$17)</x:f>
        <x:v>38.57142857142857</x:v>
      </x:c>
      <x:c r="AJ130" s="601" t="n">
        <x:f>IF(AI130="","",COUNTIFS($A$19:$A$186,A130,$AP$19:$AP$186,"Yes",$E$19:$E$186,"&gt;0",$AI$19:$AI$186,"&gt;"&amp;AI130)+COUNTIFS($A$19:A130,A130,$AP$19:AP130,"Yes",$E$19:E130,"&gt;0",$AI$19:AI130,AI130))</x:f>
        <x:v>9</x:v>
      </x:c>
      <x:c r="AK130" s="601" t="n">
        <x:f>IF(OR(AP130&lt;&gt;"Yes",E130=0),"",IF(M130=0,'Specialisation Rankings'!$O$23,V130))</x:f>
        <x:v>93.16239316239316</x:v>
      </x:c>
      <x:c r="AL130" s="601" t="n">
        <x:f>IF(AK130="","",COUNTIFS($A$19:$A$186,A130,$AP$19:$AP$186,"Yes",$E$19:$E$186,"&gt;0",$AK$19:$AK$186,"&gt;"&amp;AK130)+COUNTIFS($A$19:A130,A130,$AP$19:AP130,"Yes",$E$19:E130,"&gt;0",$AK$19:AK130,AK130))</x:f>
        <x:v>1</x:v>
      </x:c>
      <x:c r="AM130" s="601" t="n">
        <x:f>IF(AC130="","",AC130*'Specialisation Rankings'!$O$18+AF130*'Specialisation Rankings'!$O$19+AI130*'Specialisation Rankings'!$O$20+AK130*'Specialisation Rankings'!$O$21)</x:f>
        <x:v>68.65390165390166</x:v>
      </x:c>
      <x:c r="AN130" s="601" t="n">
        <x:f>IF(AM130="","",COUNTIFS($A$19:$A$186,A130,$AP$19:$AP$186,"Yes",$E$19:$E$186,"&gt;0",$AM$19:$AM$186,"&gt;"&amp;AM130)+COUNTIFS($A$19:A130,A130,$AP$19:AP130,"Yes",$E$19:E130,"&gt;0",$AM$19:AM130,AM130))</x:f>
        <x:v>6</x:v>
      </x:c>
      <x:c r="AO130" s="601" t="n">
        <x:f>IF(AM130="","",COUNTIFS($AP$19:$AP$186,"Yes",$E$19:$E$186,"&gt;0",$AM$19:$AM$186,"&gt;"&amp;AM130)+COUNTIFS($AP$19:AP130,"Yes",$E$19:E130,"&gt;0",$AM$19:AM130,AM130))</x:f>
        <x:v>40</x:v>
      </x:c>
      <x:c r="AP130" s="602" t="str">
        <x:f>IF(COUNTIFS('Player Scenario Model'!$A$6:$A$172,A130,'Player Scenario Model'!$B$6:$B$172,B130)&gt;0,"Yes","No")</x:f>
        <x:v>Yes</x:v>
      </x:c>
    </x:row>
    <x:row r="131" ht="24" customHeight="1">
      <x:c r="A131" s="430" t="str">
        <x:v>K54</x:v>
      </x:c>
      <x:c r="B131" s="430" t="str">
        <x:v>纵横,,,杀戮</x:v>
      </x:c>
      <x:c r="C131" s="431" t="n">
        <x:f>COUNTIFS('Specialisations'!$A$6:$A$527,A131,'Specialisations'!$B$6:$B$527,B131)</x:f>
        <x:v>4</x:v>
      </x:c>
      <x:c r="D131" s="431" t="n">
        <x:f>COUNTIFS('Specialisations'!$A$6:$A$527,A131,'Specialisations'!$B$6:$B$527,B131,'Specialisations'!$P$6:$P$527,"OK")</x:f>
        <x:v>4</x:v>
      </x:c>
      <x:c r="E131" s="431" t="n">
        <x:f>COUNTIFS('Specialisations'!$A$6:$A$527,A131,'Specialisations'!$B$6:$B$527,B131,'Specialisations'!$P$6:$P$527,"OK",'Specialisations'!$C$6:$C$527,"&lt;&gt;Guards")</x:f>
        <x:v>4</x:v>
      </x:c>
      <x:c r="F131" s="432" t="n">
        <x:f>IF(C131=0,"",D131/C131)</x:f>
        <x:v>1</x:v>
      </x:c>
      <x:c r="G131" s="495" t="n">
        <x:f>SUMIFS('Specialisations'!$Q$6:$Q$527,'Specialisations'!$A$6:$A$527,A131,'Specialisations'!$B$6:$B$527,B131,'Specialisations'!$C$6:$C$527,"Guards")</x:f>
        <x:v>0</x:v>
      </x:c>
      <x:c r="H131" s="495" t="n">
        <x:f>SUMIFS('Specialisations'!$Q$6:$Q$527,'Specialisations'!$A$6:$A$527,A131,'Specialisations'!$B$6:$B$527,B131,'Specialisations'!$C$6:$C$527,"Archers")</x:f>
        <x:v>60</x:v>
      </x:c>
      <x:c r="I131" s="495" t="n">
        <x:f>SUMIFS('Specialisations'!$Q$6:$Q$527,'Specialisations'!$A$6:$A$527,A131,'Specialisations'!$B$6:$B$527,B131,'Specialisations'!$C$6:$C$527,"Cavalry")</x:f>
        <x:v>120</x:v>
      </x:c>
      <x:c r="J131" s="495" t="n">
        <x:f>SUMIFS('Specialisations'!$Q$6:$Q$527,'Specialisations'!$A$6:$A$527,A131,'Specialisations'!$B$6:$B$527,B131,'Specialisations'!$C$6:$C$527,"Siege")</x:f>
        <x:v>60</x:v>
      </x:c>
      <x:c r="K131" s="495" t="n">
        <x:f>SUM(H131:J131)</x:f>
        <x:v>240</x:v>
      </x:c>
      <x:c r="L131" s="495" t="n">
        <x:f>SUM(G131,K131)</x:f>
        <x:v>240</x:v>
      </x:c>
      <x:c r="M131" s="433" t="n">
        <x:f>SUMIFS('Specialisations'!$N$6:$N$527,'Specialisations'!$A$6:$A$527,A131,'Specialisations'!$B$6:$B$527,B131,'Specialisations'!$C$6:$C$527,"Guards")</x:f>
        <x:v>0</x:v>
      </x:c>
      <x:c r="N131" s="433" t="n">
        <x:f>SUMIFS('Specialisations'!$N$6:$N$527,'Specialisations'!$A$6:$A$527,A131,'Specialisations'!$B$6:$B$527,B131,'Specialisations'!$C$6:$C$527,"&lt;&gt;Guards")</x:f>
        <x:v>41337200</x:v>
      </x:c>
      <x:c r="O131" s="433" t="n">
        <x:f>SUM(M131:N131)</x:f>
        <x:v>41337200</x:v>
      </x:c>
      <x:c r="P131" s="434" t="n">
        <x:f>IF(E131=0,"",K131/E131)</x:f>
        <x:v>60</x:v>
      </x:c>
      <x:c r="Q131" s="501" t="n">
        <x:f>IF(E131=0,"",IFERROR(100*(COUNTIFS($E$19:$E$186,"&gt;0",$K$19:$K$186,"&lt;"&amp;K131)+(COUNTIFS($E$19:$E$186,"&gt;0",$K$19:$K$186,K131)-1)/2)/(COUNTIF($E$19:$E$186,"&gt;0")-1),50))</x:f>
        <x:v>99.35064935064935</x:v>
      </x:c>
      <x:c r="R131" s="501" t="n">
        <x:f>IF(E131=0,"",IFERROR(100*(COUNTIFS($E$19:$E$186,"&gt;0",$N$19:$N$186,"&lt;"&amp;N131)+(COUNTIFS($E$19:$E$186,"&gt;0",$N$19:$N$186,N131)-1)/2)/(COUNTIF($E$19:$E$186,"&gt;0")-1),50))</x:f>
        <x:v>99.35064935064935</x:v>
      </x:c>
      <x:c r="S131" s="501" t="n">
        <x:f>IF(E131=0,"",Q131*$R$5+R131*$R$6)</x:f>
        <x:v>99.35064935064935</x:v>
      </x:c>
      <x:c r="T131" s="501" t="str">
        <x:f>IF(M131=0,"",IFERROR(100*(COUNTIFS($M$19:$M$186,"&gt;0",$G$19:$G$186,"&gt;"&amp;G131)+(COUNTIFS($M$19:$M$186,"&gt;0",$G$19:$G$186,G131)-1)/2)/(COUNTIF($M$19:$M$186,"&gt;0")-1),50))</x:f>
      </x:c>
      <x:c r="U131" s="501" t="str">
        <x:f>IF(M131=0,"",IFERROR(100*(COUNTIFS($M$19:$M$186,"&gt;0",$M$19:$M$186,"&lt;"&amp;M131)+(COUNTIFS($M$19:$M$186,"&gt;0",$M$19:$M$186,M131)-1)/2)/(COUNTIF($M$19:$M$186,"&gt;0")-1),50))</x:f>
      </x:c>
      <x:c r="V131" s="501" t="str">
        <x:f>IF(M131=0,"",T131*$R$5+U131*$R$6)</x:f>
      </x:c>
      <x:c r="W131" s="431" t="n">
        <x:f>IF(E131=0,"",COUNTIFS($A$19:$A$186,A131,$S$19:$S$186,"&gt;"&amp;S131)+COUNTIFS($A$19:A131,A131,$E$19:E131,"&gt;0",$S$19:S131,S131))</x:f>
        <x:v>1</x:v>
      </x:c>
      <x:c r="X131" s="431" t="n">
        <x:f>IF(S131="","",1+COUNTIF($S$19:$S$186,"&gt;"&amp;S131))</x:f>
        <x:v>2</x:v>
      </x:c>
      <x:c r="Y131" s="431" t="str">
        <x:f>IF(V131="","",1+COUNTIFS($A$19:$A$186,A131,$V$19:$V$186,"&gt;"&amp;V131))</x:f>
      </x:c>
      <x:c r="Z131" s="431" t="str">
        <x:f>IF(V131="","",1+COUNTIF($V$19:$V$186,"&gt;"&amp;V131))</x:f>
      </x:c>
      <x:c r="AA131" s="430" t="str">
        <x:f>IF(C131=0,"No specialisations recorded",IF(D131&lt;C131,"Review missing level","Recorded skills only"))</x:f>
        <x:v>Recorded skills only</x:v>
      </x:c>
      <x:c r="AB131" s="601" t="n">
        <x:f>IF(OR(AP131&lt;&gt;"Yes",E131=0),"",IFERROR(100*(COUNTIFS($AP$19:$AP$186,"Yes",$E$19:$E$186,"&gt;0",$I$19:$I$186,"&lt;"&amp;I131)+(COUNTIFS($AP$19:$AP$186,"Yes",$E$19:$E$186,"&gt;0",$I$19:$I$186,I131)-1)/2)/(COUNTIFS($AP$19:$AP$186,"Yes",$E$19:$E$186,"&gt;0")-1),50))</x:f>
        <x:v>99.02597402597402</x:v>
      </x:c>
      <x:c r="AC131" s="601" t="n">
        <x:f>IF(AB131="","",AB131*'Specialisation Rankings'!$O$16+R131*'Specialisation Rankings'!$O$17)</x:f>
        <x:v>99.0909090909091</x:v>
      </x:c>
      <x:c r="AD131" s="601" t="n">
        <x:f>IF(AC131="","",COUNTIFS($A$19:$A$186,A131,$AP$19:$AP$186,"Yes",$E$19:$E$186,"&gt;0",$AC$19:$AC$186,"&gt;"&amp;AC131)+COUNTIFS($A$19:A131,A131,$AP$19:AP131,"Yes",$E$19:E131,"&gt;0",$AC$19:AC131,AC131))</x:f>
        <x:v>1</x:v>
      </x:c>
      <x:c r="AE131" s="601" t="n">
        <x:f>IF(OR(AP131&lt;&gt;"Yes",E131=0),"",IFERROR(100*(COUNTIFS($AP$19:$AP$186,"Yes",$E$19:$E$186,"&gt;0",$H$19:$H$186,"&lt;"&amp;H131)+(COUNTIFS($AP$19:$AP$186,"Yes",$E$19:$E$186,"&gt;0",$H$19:$H$186,H131)-1)/2)/(COUNTIFS($AP$19:$AP$186,"Yes",$E$19:$E$186,"&gt;0")-1),50))</x:f>
        <x:v>89.6103896103896</x:v>
      </x:c>
      <x:c r="AF131" s="601" t="n">
        <x:f>IF(AE131="","",AE131*'Specialisation Rankings'!$O$16+R131*'Specialisation Rankings'!$O$17)</x:f>
        <x:v>91.55844155844156</x:v>
      </x:c>
      <x:c r="AG131" s="601" t="n">
        <x:f>IF(AF131="","",COUNTIFS($A$19:$A$186,A131,$AP$19:$AP$186,"Yes",$E$19:$E$186,"&gt;0",$AF$19:$AF$186,"&gt;"&amp;AF131)+COUNTIFS($A$19:A131,A131,$AP$19:AP131,"Yes",$E$19:E131,"&gt;0",$AF$19:AF131,AF131))</x:f>
        <x:v>1</x:v>
      </x:c>
      <x:c r="AH131" s="601" t="n">
        <x:f>IF(OR(AP131&lt;&gt;"Yes",E131=0),"",IFERROR(100*(COUNTIFS($AP$19:$AP$186,"Yes",$E$19:$E$186,"&gt;0",$J$19:$J$186,"&lt;"&amp;J131)+(COUNTIFS($AP$19:$AP$186,"Yes",$E$19:$E$186,"&gt;0",$J$19:$J$186,J131)-1)/2)/(COUNTIFS($AP$19:$AP$186,"Yes",$E$19:$E$186,"&gt;0")-1),50))</x:f>
        <x:v>97.40259740259741</x:v>
      </x:c>
      <x:c r="AI131" s="601" t="n">
        <x:f>IF(AH131="","",AH131*'Specialisation Rankings'!$O$16+R131*'Specialisation Rankings'!$O$17)</x:f>
        <x:v>97.7922077922078</x:v>
      </x:c>
      <x:c r="AJ131" s="601" t="n">
        <x:f>IF(AI131="","",COUNTIFS($A$19:$A$186,A131,$AP$19:$AP$186,"Yes",$E$19:$E$186,"&gt;0",$AI$19:$AI$186,"&gt;"&amp;AI131)+COUNTIFS($A$19:A131,A131,$AP$19:AP131,"Yes",$E$19:E131,"&gt;0",$AI$19:AI131,AI131))</x:f>
        <x:v>1</x:v>
      </x:c>
      <x:c r="AK131" s="601" t="n">
        <x:f>IF(OR(AP131&lt;&gt;"Yes",E131=0),"",IF(M131=0,'Specialisation Rankings'!$O$23,V131))</x:f>
        <x:v>50</x:v>
      </x:c>
      <x:c r="AL131" s="601" t="n">
        <x:f>IF(AK131="","",COUNTIFS($A$19:$A$186,A131,$AP$19:$AP$186,"Yes",$E$19:$E$186,"&gt;0",$AK$19:$AK$186,"&gt;"&amp;AK131)+COUNTIFS($A$19:A131,A131,$AP$19:AP131,"Yes",$E$19:E131,"&gt;0",$AK$19:AK131,AK131))</x:f>
        <x:v>2</x:v>
      </x:c>
      <x:c r="AM131" s="601" t="n">
        <x:f>IF(AC131="","",AC131*'Specialisation Rankings'!$O$18+AF131*'Specialisation Rankings'!$O$19+AI131*'Specialisation Rankings'!$O$20+AK131*'Specialisation Rankings'!$O$21)</x:f>
        <x:v>93.23376623376623</x:v>
      </x:c>
      <x:c r="AN131" s="601" t="n">
        <x:f>IF(AM131="","",COUNTIFS($A$19:$A$186,A131,$AP$19:$AP$186,"Yes",$E$19:$E$186,"&gt;0",$AM$19:$AM$186,"&gt;"&amp;AM131)+COUNTIFS($A$19:A131,A131,$AP$19:AP131,"Yes",$E$19:E131,"&gt;0",$AM$19:AM131,AM131))</x:f>
        <x:v>1</x:v>
      </x:c>
      <x:c r="AO131" s="601" t="n">
        <x:f>IF(AM131="","",COUNTIFS($AP$19:$AP$186,"Yes",$E$19:$E$186,"&gt;0",$AM$19:$AM$186,"&gt;"&amp;AM131)+COUNTIFS($AP$19:AP131,"Yes",$E$19:E131,"&gt;0",$AM$19:AM131,AM131))</x:f>
        <x:v>2</x:v>
      </x:c>
      <x:c r="AP131" s="602" t="str">
        <x:f>IF(COUNTIFS('Player Scenario Model'!$A$6:$A$172,A131,'Player Scenario Model'!$B$6:$B$172,B131)&gt;0,"Yes","No")</x:f>
        <x:v>Yes</x:v>
      </x:c>
    </x:row>
    <x:row r="132" ht="24" customHeight="1">
      <x:c r="A132" s="430" t="str">
        <x:v>K54</x:v>
      </x:c>
      <x:c r="B132" s="430" t="str">
        <x:v>纵横,,,大风</x:v>
      </x:c>
      <x:c r="C132" s="431" t="n">
        <x:f>COUNTIFS('Specialisations'!$A$6:$A$527,A132,'Specialisations'!$B$6:$B$527,B132)</x:f>
        <x:v>4</x:v>
      </x:c>
      <x:c r="D132" s="431" t="n">
        <x:f>COUNTIFS('Specialisations'!$A$6:$A$527,A132,'Specialisations'!$B$6:$B$527,B132,'Specialisations'!$P$6:$P$527,"OK")</x:f>
        <x:v>4</x:v>
      </x:c>
      <x:c r="E132" s="431" t="n">
        <x:f>COUNTIFS('Specialisations'!$A$6:$A$527,A132,'Specialisations'!$B$6:$B$527,B132,'Specialisations'!$P$6:$P$527,"OK",'Specialisations'!$C$6:$C$527,"&lt;&gt;Guards")</x:f>
        <x:v>4</x:v>
      </x:c>
      <x:c r="F132" s="432" t="n">
        <x:f>IF(C132=0,"",D132/C132)</x:f>
        <x:v>1</x:v>
      </x:c>
      <x:c r="G132" s="495" t="n">
        <x:f>SUMIFS('Specialisations'!$Q$6:$Q$527,'Specialisations'!$A$6:$A$527,A132,'Specialisations'!$B$6:$B$527,B132,'Specialisations'!$C$6:$C$527,"Guards")</x:f>
        <x:v>0</x:v>
      </x:c>
      <x:c r="H132" s="495" t="n">
        <x:f>SUMIFS('Specialisations'!$Q$6:$Q$527,'Specialisations'!$A$6:$A$527,A132,'Specialisations'!$B$6:$B$527,B132,'Specialisations'!$C$6:$C$527,"Archers")</x:f>
        <x:v>60</x:v>
      </x:c>
      <x:c r="I132" s="495" t="n">
        <x:f>SUMIFS('Specialisations'!$Q$6:$Q$527,'Specialisations'!$A$6:$A$527,A132,'Specialisations'!$B$6:$B$527,B132,'Specialisations'!$C$6:$C$527,"Cavalry")</x:f>
        <x:v>105.13</x:v>
      </x:c>
      <x:c r="J132" s="495" t="n">
        <x:f>SUMIFS('Specialisations'!$Q$6:$Q$527,'Specialisations'!$A$6:$A$527,A132,'Specialisations'!$B$6:$B$527,B132,'Specialisations'!$C$6:$C$527,"Siege")</x:f>
        <x:v>51.74</x:v>
      </x:c>
      <x:c r="K132" s="495" t="n">
        <x:f>SUM(H132:J132)</x:f>
        <x:v>216.87</x:v>
      </x:c>
      <x:c r="L132" s="495" t="n">
        <x:f>SUM(G132,K132)</x:f>
        <x:v>216.87</x:v>
      </x:c>
      <x:c r="M132" s="433" t="n">
        <x:f>SUMIFS('Specialisations'!$N$6:$N$527,'Specialisations'!$A$6:$A$527,A132,'Specialisations'!$B$6:$B$527,B132,'Specialisations'!$C$6:$C$527,"Guards")</x:f>
        <x:v>0</x:v>
      </x:c>
      <x:c r="N132" s="433" t="n">
        <x:f>SUMIFS('Specialisations'!$N$6:$N$527,'Specialisations'!$A$6:$A$527,A132,'Specialisations'!$B$6:$B$527,B132,'Specialisations'!$C$6:$C$527,"&lt;&gt;Guards")</x:f>
        <x:v>32607200</x:v>
      </x:c>
      <x:c r="O132" s="433" t="n">
        <x:f>SUM(M132:N132)</x:f>
        <x:v>32607200</x:v>
      </x:c>
      <x:c r="P132" s="434" t="n">
        <x:f>IF(E132=0,"",K132/E132)</x:f>
        <x:v>54.2175</x:v>
      </x:c>
      <x:c r="Q132" s="501" t="n">
        <x:f>IF(E132=0,"",IFERROR(100*(COUNTIFS($E$19:$E$186,"&gt;0",$K$19:$K$186,"&lt;"&amp;K132)+(COUNTIFS($E$19:$E$186,"&gt;0",$K$19:$K$186,K132)-1)/2)/(COUNTIF($E$19:$E$186,"&gt;0")-1),50))</x:f>
        <x:v>97.40259740259741</x:v>
      </x:c>
      <x:c r="R132" s="501" t="n">
        <x:f>IF(E132=0,"",IFERROR(100*(COUNTIFS($E$19:$E$186,"&gt;0",$N$19:$N$186,"&lt;"&amp;N132)+(COUNTIFS($E$19:$E$186,"&gt;0",$N$19:$N$186,N132)-1)/2)/(COUNTIF($E$19:$E$186,"&gt;0")-1),50))</x:f>
        <x:v>98.05194805194805</x:v>
      </x:c>
      <x:c r="S132" s="501" t="n">
        <x:f>IF(E132=0,"",Q132*$R$5+R132*$R$6)</x:f>
        <x:v>97.53246753246754</x:v>
      </x:c>
      <x:c r="T132" s="501" t="str">
        <x:f>IF(M132=0,"",IFERROR(100*(COUNTIFS($M$19:$M$186,"&gt;0",$G$19:$G$186,"&gt;"&amp;G132)+(COUNTIFS($M$19:$M$186,"&gt;0",$G$19:$G$186,G132)-1)/2)/(COUNTIF($M$19:$M$186,"&gt;0")-1),50))</x:f>
      </x:c>
      <x:c r="U132" s="501" t="str">
        <x:f>IF(M132=0,"",IFERROR(100*(COUNTIFS($M$19:$M$186,"&gt;0",$M$19:$M$186,"&lt;"&amp;M132)+(COUNTIFS($M$19:$M$186,"&gt;0",$M$19:$M$186,M132)-1)/2)/(COUNTIF($M$19:$M$186,"&gt;0")-1),50))</x:f>
      </x:c>
      <x:c r="V132" s="501" t="str">
        <x:f>IF(M132=0,"",T132*$R$5+U132*$R$6)</x:f>
      </x:c>
      <x:c r="W132" s="431" t="n">
        <x:f>IF(E132=0,"",COUNTIFS($A$19:$A$186,A132,$S$19:$S$186,"&gt;"&amp;S132)+COUNTIFS($A$19:A132,A132,$E$19:E132,"&gt;0",$S$19:S132,S132))</x:f>
        <x:v>2</x:v>
      </x:c>
      <x:c r="X132" s="431" t="n">
        <x:f>IF(S132="","",1+COUNTIF($S$19:$S$186,"&gt;"&amp;S132))</x:f>
        <x:v>5</x:v>
      </x:c>
      <x:c r="Y132" s="431" t="str">
        <x:f>IF(V132="","",1+COUNTIFS($A$19:$A$186,A132,$V$19:$V$186,"&gt;"&amp;V132))</x:f>
      </x:c>
      <x:c r="Z132" s="431" t="str">
        <x:f>IF(V132="","",1+COUNTIF($V$19:$V$186,"&gt;"&amp;V132))</x:f>
      </x:c>
      <x:c r="AA132" s="430" t="str">
        <x:f>IF(C132=0,"No specialisations recorded",IF(D132&lt;C132,"Review missing level","Recorded skills only"))</x:f>
        <x:v>Recorded skills only</x:v>
      </x:c>
      <x:c r="AB132" s="601" t="n">
        <x:f>IF(OR(AP132&lt;&gt;"Yes",E132=0),"",IFERROR(100*(COUNTIFS($AP$19:$AP$186,"Yes",$E$19:$E$186,"&gt;0",$I$19:$I$186,"&lt;"&amp;I132)+(COUNTIFS($AP$19:$AP$186,"Yes",$E$19:$E$186,"&gt;0",$I$19:$I$186,I132)-1)/2)/(COUNTIFS($AP$19:$AP$186,"Yes",$E$19:$E$186,"&gt;0")-1),50))</x:f>
        <x:v>91.88311688311688</x:v>
      </x:c>
      <x:c r="AC132" s="601" t="n">
        <x:f>IF(AB132="","",AB132*'Specialisation Rankings'!$O$16+R132*'Specialisation Rankings'!$O$17)</x:f>
        <x:v>93.11688311688312</x:v>
      </x:c>
      <x:c r="AD132" s="601" t="n">
        <x:f>IF(AC132="","",COUNTIFS($A$19:$A$186,A132,$AP$19:$AP$186,"Yes",$E$19:$E$186,"&gt;0",$AC$19:$AC$186,"&gt;"&amp;AC132)+COUNTIFS($A$19:A132,A132,$AP$19:AP132,"Yes",$E$19:E132,"&gt;0",$AC$19:AC132,AC132))</x:f>
        <x:v>3</x:v>
      </x:c>
      <x:c r="AE132" s="601" t="n">
        <x:f>IF(OR(AP132&lt;&gt;"Yes",E132=0),"",IFERROR(100*(COUNTIFS($AP$19:$AP$186,"Yes",$E$19:$E$186,"&gt;0",$H$19:$H$186,"&lt;"&amp;H132)+(COUNTIFS($AP$19:$AP$186,"Yes",$E$19:$E$186,"&gt;0",$H$19:$H$186,H132)-1)/2)/(COUNTIFS($AP$19:$AP$186,"Yes",$E$19:$E$186,"&gt;0")-1),50))</x:f>
        <x:v>89.6103896103896</x:v>
      </x:c>
      <x:c r="AF132" s="601" t="n">
        <x:f>IF(AE132="","",AE132*'Specialisation Rankings'!$O$16+R132*'Specialisation Rankings'!$O$17)</x:f>
        <x:v>91.2987012987013</x:v>
      </x:c>
      <x:c r="AG132" s="601" t="n">
        <x:f>IF(AF132="","",COUNTIFS($A$19:$A$186,A132,$AP$19:$AP$186,"Yes",$E$19:$E$186,"&gt;0",$AF$19:$AF$186,"&gt;"&amp;AF132)+COUNTIFS($A$19:A132,A132,$AP$19:AP132,"Yes",$E$19:E132,"&gt;0",$AF$19:AF132,AF132))</x:f>
        <x:v>2</x:v>
      </x:c>
      <x:c r="AH132" s="601" t="n">
        <x:f>IF(OR(AP132&lt;&gt;"Yes",E132=0),"",IFERROR(100*(COUNTIFS($AP$19:$AP$186,"Yes",$E$19:$E$186,"&gt;0",$J$19:$J$186,"&lt;"&amp;J132)+(COUNTIFS($AP$19:$AP$186,"Yes",$E$19:$E$186,"&gt;0",$J$19:$J$186,J132)-1)/2)/(COUNTIFS($AP$19:$AP$186,"Yes",$E$19:$E$186,"&gt;0")-1),50))</x:f>
        <x:v>95.12987012987013</x:v>
      </x:c>
      <x:c r="AI132" s="601" t="n">
        <x:f>IF(AH132="","",AH132*'Specialisation Rankings'!$O$16+R132*'Specialisation Rankings'!$O$17)</x:f>
        <x:v>95.71428571428572</x:v>
      </x:c>
      <x:c r="AJ132" s="601" t="n">
        <x:f>IF(AI132="","",COUNTIFS($A$19:$A$186,A132,$AP$19:$AP$186,"Yes",$E$19:$E$186,"&gt;0",$AI$19:$AI$186,"&gt;"&amp;AI132)+COUNTIFS($A$19:A132,A132,$AP$19:AP132,"Yes",$E$19:E132,"&gt;0",$AI$19:AI132,AI132))</x:f>
        <x:v>2</x:v>
      </x:c>
      <x:c r="AK132" s="601" t="n">
        <x:f>IF(OR(AP132&lt;&gt;"Yes",E132=0),"",IF(M132=0,'Specialisation Rankings'!$O$23,V132))</x:f>
        <x:v>50</x:v>
      </x:c>
      <x:c r="AL132" s="601" t="n">
        <x:f>IF(AK132="","",COUNTIFS($A$19:$A$186,A132,$AP$19:$AP$186,"Yes",$E$19:$E$186,"&gt;0",$AK$19:$AK$186,"&gt;"&amp;AK132)+COUNTIFS($A$19:A132,A132,$AP$19:AP132,"Yes",$E$19:E132,"&gt;0",$AK$19:AK132,AK132))</x:f>
        <x:v>3</x:v>
      </x:c>
      <x:c r="AM132" s="601" t="n">
        <x:f>IF(AC132="","",AC132*'Specialisation Rankings'!$O$18+AF132*'Specialisation Rankings'!$O$19+AI132*'Specialisation Rankings'!$O$20+AK132*'Specialisation Rankings'!$O$21)</x:f>
        <x:v>89.01298701298703</x:v>
      </x:c>
      <x:c r="AN132" s="601" t="n">
        <x:f>IF(AM132="","",COUNTIFS($A$19:$A$186,A132,$AP$19:$AP$186,"Yes",$E$19:$E$186,"&gt;0",$AM$19:$AM$186,"&gt;"&amp;AM132)+COUNTIFS($A$19:A132,A132,$AP$19:AP132,"Yes",$E$19:E132,"&gt;0",$AM$19:AM132,AM132))</x:f>
        <x:v>2</x:v>
      </x:c>
      <x:c r="AO132" s="601" t="n">
        <x:f>IF(AM132="","",COUNTIFS($AP$19:$AP$186,"Yes",$E$19:$E$186,"&gt;0",$AM$19:$AM$186,"&gt;"&amp;AM132)+COUNTIFS($AP$19:AP132,"Yes",$E$19:E132,"&gt;0",$AM$19:AM132,AM132))</x:f>
        <x:v>6</x:v>
      </x:c>
      <x:c r="AP132" s="602" t="str">
        <x:f>IF(COUNTIFS('Player Scenario Model'!$A$6:$A$172,A132,'Player Scenario Model'!$B$6:$B$172,B132)&gt;0,"Yes","No")</x:f>
        <x:v>Yes</x:v>
      </x:c>
    </x:row>
    <x:row r="133" ht="24" customHeight="1">
      <x:c r="A133" s="430" t="str">
        <x:v>K54</x:v>
      </x:c>
      <x:c r="B133" s="430" t="str">
        <x:v>Somnium</x:v>
      </x:c>
      <x:c r="C133" s="431" t="n">
        <x:f>COUNTIFS('Specialisations'!$A$6:$A$527,A133,'Specialisations'!$B$6:$B$527,B133)</x:f>
        <x:v>2</x:v>
      </x:c>
      <x:c r="D133" s="431" t="n">
        <x:f>COUNTIFS('Specialisations'!$A$6:$A$527,A133,'Specialisations'!$B$6:$B$527,B133,'Specialisations'!$P$6:$P$527,"OK")</x:f>
        <x:v>2</x:v>
      </x:c>
      <x:c r="E133" s="431" t="n">
        <x:f>COUNTIFS('Specialisations'!$A$6:$A$527,A133,'Specialisations'!$B$6:$B$527,B133,'Specialisations'!$P$6:$P$527,"OK",'Specialisations'!$C$6:$C$527,"&lt;&gt;Guards")</x:f>
        <x:v>2</x:v>
      </x:c>
      <x:c r="F133" s="432" t="n">
        <x:f>IF(C133=0,"",D133/C133)</x:f>
        <x:v>1</x:v>
      </x:c>
      <x:c r="G133" s="495" t="n">
        <x:f>SUMIFS('Specialisations'!$Q$6:$Q$527,'Specialisations'!$A$6:$A$527,A133,'Specialisations'!$B$6:$B$527,B133,'Specialisations'!$C$6:$C$527,"Guards")</x:f>
        <x:v>0</x:v>
      </x:c>
      <x:c r="H133" s="495" t="n">
        <x:f>SUMIFS('Specialisations'!$Q$6:$Q$527,'Specialisations'!$A$6:$A$527,A133,'Specialisations'!$B$6:$B$527,B133,'Specialisations'!$C$6:$C$527,"Archers")</x:f>
        <x:v>0</x:v>
      </x:c>
      <x:c r="I133" s="495" t="n">
        <x:f>SUMIFS('Specialisations'!$Q$6:$Q$527,'Specialisations'!$A$6:$A$527,A133,'Specialisations'!$B$6:$B$527,B133,'Specialisations'!$C$6:$C$527,"Cavalry")</x:f>
        <x:v>82.34</x:v>
      </x:c>
      <x:c r="J133" s="495" t="n">
        <x:f>SUMIFS('Specialisations'!$Q$6:$Q$527,'Specialisations'!$A$6:$A$527,A133,'Specialisations'!$B$6:$B$527,B133,'Specialisations'!$C$6:$C$527,"Siege")</x:f>
        <x:v>0</x:v>
      </x:c>
      <x:c r="K133" s="495" t="n">
        <x:f>SUM(H133:J133)</x:f>
        <x:v>82.34</x:v>
      </x:c>
      <x:c r="L133" s="495" t="n">
        <x:f>SUM(G133,K133)</x:f>
        <x:v>82.34</x:v>
      </x:c>
      <x:c r="M133" s="433" t="n">
        <x:f>SUMIFS('Specialisations'!$N$6:$N$527,'Specialisations'!$A$6:$A$527,A133,'Specialisations'!$B$6:$B$527,B133,'Specialisations'!$C$6:$C$527,"Guards")</x:f>
        <x:v>0</x:v>
      </x:c>
      <x:c r="N133" s="433" t="n">
        <x:f>SUMIFS('Specialisations'!$N$6:$N$527,'Specialisations'!$A$6:$A$527,A133,'Specialisations'!$B$6:$B$527,B133,'Specialisations'!$C$6:$C$527,"&lt;&gt;Guards")</x:f>
        <x:v>12138600</x:v>
      </x:c>
      <x:c r="O133" s="433" t="n">
        <x:f>SUM(M133:N133)</x:f>
        <x:v>12138600</x:v>
      </x:c>
      <x:c r="P133" s="434" t="n">
        <x:f>IF(E133=0,"",K133/E133)</x:f>
        <x:v>41.17</x:v>
      </x:c>
      <x:c r="Q133" s="501" t="n">
        <x:f>IF(E133=0,"",IFERROR(100*(COUNTIFS($E$19:$E$186,"&gt;0",$K$19:$K$186,"&lt;"&amp;K133)+(COUNTIFS($E$19:$E$186,"&gt;0",$K$19:$K$186,K133)-1)/2)/(COUNTIF($E$19:$E$186,"&gt;0")-1),50))</x:f>
        <x:v>41.55844155844156</x:v>
      </x:c>
      <x:c r="R133" s="501" t="n">
        <x:f>IF(E133=0,"",IFERROR(100*(COUNTIFS($E$19:$E$186,"&gt;0",$N$19:$N$186,"&lt;"&amp;N133)+(COUNTIFS($E$19:$E$186,"&gt;0",$N$19:$N$186,N133)-1)/2)/(COUNTIF($E$19:$E$186,"&gt;0")-1),50))</x:f>
        <x:v>61.688311688311686</x:v>
      </x:c>
      <x:c r="S133" s="501" t="n">
        <x:f>IF(E133=0,"",Q133*$R$5+R133*$R$6)</x:f>
        <x:v>45.58441558441558</x:v>
      </x:c>
      <x:c r="T133" s="501" t="str">
        <x:f>IF(M133=0,"",IFERROR(100*(COUNTIFS($M$19:$M$186,"&gt;0",$G$19:$G$186,"&gt;"&amp;G133)+(COUNTIFS($M$19:$M$186,"&gt;0",$G$19:$G$186,G133)-1)/2)/(COUNTIF($M$19:$M$186,"&gt;0")-1),50))</x:f>
      </x:c>
      <x:c r="U133" s="501" t="str">
        <x:f>IF(M133=0,"",IFERROR(100*(COUNTIFS($M$19:$M$186,"&gt;0",$M$19:$M$186,"&lt;"&amp;M133)+(COUNTIFS($M$19:$M$186,"&gt;0",$M$19:$M$186,M133)-1)/2)/(COUNTIF($M$19:$M$186,"&gt;0")-1),50))</x:f>
      </x:c>
      <x:c r="V133" s="501" t="str">
        <x:f>IF(M133=0,"",T133*$R$5+U133*$R$6)</x:f>
      </x:c>
      <x:c r="W133" s="431" t="n">
        <x:f>IF(E133=0,"",COUNTIFS($A$19:$A$186,A133,$S$19:$S$186,"&gt;"&amp;S133)+COUNTIFS($A$19:A133,A133,$E$19:E133,"&gt;0",$S$19:S133,S133))</x:f>
        <x:v>9</x:v>
      </x:c>
      <x:c r="X133" s="431" t="n">
        <x:f>IF(S133="","",1+COUNTIF($S$19:$S$186,"&gt;"&amp;S133))</x:f>
        <x:v>85</x:v>
      </x:c>
      <x:c r="Y133" s="431" t="str">
        <x:f>IF(V133="","",1+COUNTIFS($A$19:$A$186,A133,$V$19:$V$186,"&gt;"&amp;V133))</x:f>
      </x:c>
      <x:c r="Z133" s="431" t="str">
        <x:f>IF(V133="","",1+COUNTIF($V$19:$V$186,"&gt;"&amp;V133))</x:f>
      </x:c>
      <x:c r="AA133" s="430" t="str">
        <x:f>IF(C133=0,"No specialisations recorded",IF(D133&lt;C133,"Review missing level","Recorded skills only"))</x:f>
        <x:v>Recorded skills only</x:v>
      </x:c>
      <x:c r="AB133" s="601" t="n">
        <x:f>IF(OR(AP133&lt;&gt;"Yes",E133=0),"",IFERROR(100*(COUNTIFS($AP$19:$AP$186,"Yes",$E$19:$E$186,"&gt;0",$I$19:$I$186,"&lt;"&amp;I133)+(COUNTIFS($AP$19:$AP$186,"Yes",$E$19:$E$186,"&gt;0",$I$19:$I$186,I133)-1)/2)/(COUNTIFS($AP$19:$AP$186,"Yes",$E$19:$E$186,"&gt;0")-1),50))</x:f>
        <x:v>68.18181818181819</x:v>
      </x:c>
      <x:c r="AC133" s="601" t="n">
        <x:f>IF(AB133="","",AB133*'Specialisation Rankings'!$O$16+R133*'Specialisation Rankings'!$O$17)</x:f>
        <x:v>66.88311688311688</x:v>
      </x:c>
      <x:c r="AD133" s="601" t="n">
        <x:f>IF(AC133="","",COUNTIFS($A$19:$A$186,A133,$AP$19:$AP$186,"Yes",$E$19:$E$186,"&gt;0",$AC$19:$AC$186,"&gt;"&amp;AC133)+COUNTIFS($A$19:A133,A133,$AP$19:AP133,"Yes",$E$19:E133,"&gt;0",$AC$19:AC133,AC133))</x:f>
        <x:v>7</x:v>
      </x:c>
      <x:c r="AE133" s="601" t="n">
        <x:f>IF(OR(AP133&lt;&gt;"Yes",E133=0),"",IFERROR(100*(COUNTIFS($AP$19:$AP$186,"Yes",$E$19:$E$186,"&gt;0",$H$19:$H$186,"&lt;"&amp;H133)+(COUNTIFS($AP$19:$AP$186,"Yes",$E$19:$E$186,"&gt;0",$H$19:$H$186,H133)-1)/2)/(COUNTIFS($AP$19:$AP$186,"Yes",$E$19:$E$186,"&gt;0")-1),50))</x:f>
        <x:v>11.688311688311689</x:v>
      </x:c>
      <x:c r="AF133" s="601" t="n">
        <x:f>IF(AE133="","",AE133*'Specialisation Rankings'!$O$16+R133*'Specialisation Rankings'!$O$17)</x:f>
        <x:v>21.68831168831169</x:v>
      </x:c>
      <x:c r="AG133" s="601" t="n">
        <x:f>IF(AF133="","",COUNTIFS($A$19:$A$186,A133,$AP$19:$AP$186,"Yes",$E$19:$E$186,"&gt;0",$AF$19:$AF$186,"&gt;"&amp;AF133)+COUNTIFS($A$19:A133,A133,$AP$19:AP133,"Yes",$E$19:E133,"&gt;0",$AF$19:AF133,AF133))</x:f>
        <x:v>8</x:v>
      </x:c>
      <x:c r="AH133" s="601" t="n">
        <x:f>IF(OR(AP133&lt;&gt;"Yes",E133=0),"",IFERROR(100*(COUNTIFS($AP$19:$AP$186,"Yes",$E$19:$E$186,"&gt;0",$J$19:$J$186,"&lt;"&amp;J133)+(COUNTIFS($AP$19:$AP$186,"Yes",$E$19:$E$186,"&gt;0",$J$19:$J$186,J133)-1)/2)/(COUNTIFS($AP$19:$AP$186,"Yes",$E$19:$E$186,"&gt;0")-1),50))</x:f>
        <x:v>33.116883116883116</x:v>
      </x:c>
      <x:c r="AI133" s="601" t="n">
        <x:f>IF(AH133="","",AH133*'Specialisation Rankings'!$O$16+R133*'Specialisation Rankings'!$O$17)</x:f>
        <x:v>38.83116883116883</x:v>
      </x:c>
      <x:c r="AJ133" s="601" t="n">
        <x:f>IF(AI133="","",COUNTIFS($A$19:$A$186,A133,$AP$19:$AP$186,"Yes",$E$19:$E$186,"&gt;0",$AI$19:$AI$186,"&gt;"&amp;AI133)+COUNTIFS($A$19:A133,A133,$AP$19:AP133,"Yes",$E$19:E133,"&gt;0",$AI$19:AI133,AI133))</x:f>
        <x:v>8</x:v>
      </x:c>
      <x:c r="AK133" s="601" t="n">
        <x:f>IF(OR(AP133&lt;&gt;"Yes",E133=0),"",IF(M133=0,'Specialisation Rankings'!$O$23,V133))</x:f>
        <x:v>50</x:v>
      </x:c>
      <x:c r="AL133" s="601" t="n">
        <x:f>IF(AK133="","",COUNTIFS($A$19:$A$186,A133,$AP$19:$AP$186,"Yes",$E$19:$E$186,"&gt;0",$AK$19:$AK$186,"&gt;"&amp;AK133)+COUNTIFS($A$19:A133,A133,$AP$19:AP133,"Yes",$E$19:E133,"&gt;0",$AK$19:AK133,AK133))</x:f>
        <x:v>4</x:v>
      </x:c>
      <x:c r="AM133" s="601" t="n">
        <x:f>IF(AC133="","",AC133*'Specialisation Rankings'!$O$18+AF133*'Specialisation Rankings'!$O$19+AI133*'Specialisation Rankings'!$O$20+AK133*'Specialisation Rankings'!$O$21)</x:f>
        <x:v>56.46753246753247</x:v>
      </x:c>
      <x:c r="AN133" s="601" t="n">
        <x:f>IF(AM133="","",COUNTIFS($A$19:$A$186,A133,$AP$19:$AP$186,"Yes",$E$19:$E$186,"&gt;0",$AM$19:$AM$186,"&gt;"&amp;AM133)+COUNTIFS($A$19:A133,A133,$AP$19:AP133,"Yes",$E$19:E133,"&gt;0",$AM$19:AM133,AM133))</x:f>
        <x:v>8</x:v>
      </x:c>
      <x:c r="AO133" s="601" t="n">
        <x:f>IF(AM133="","",COUNTIFS($AP$19:$AP$186,"Yes",$E$19:$E$186,"&gt;0",$AM$19:$AM$186,"&gt;"&amp;AM133)+COUNTIFS($AP$19:AP133,"Yes",$E$19:E133,"&gt;0",$AM$19:AM133,AM133))</x:f>
        <x:v>57</x:v>
      </x:c>
      <x:c r="AP133" s="602" t="str">
        <x:f>IF(COUNTIFS('Player Scenario Model'!$A$6:$A$172,A133,'Player Scenario Model'!$B$6:$B$172,B133)&gt;0,"Yes","No")</x:f>
        <x:v>Yes</x:v>
      </x:c>
    </x:row>
    <x:row r="134" ht="24" customHeight="1">
      <x:c r="A134" s="430" t="str">
        <x:v>K54</x:v>
      </x:c>
      <x:c r="B134" s="430" t="str">
        <x:v>纵横,,,Nike耐克</x:v>
      </x:c>
      <x:c r="C134" s="431" t="n">
        <x:f>COUNTIFS('Specialisations'!$A$6:$A$527,A134,'Specialisations'!$B$6:$B$527,B134)</x:f>
        <x:v>4</x:v>
      </x:c>
      <x:c r="D134" s="431" t="n">
        <x:f>COUNTIFS('Specialisations'!$A$6:$A$527,A134,'Specialisations'!$B$6:$B$527,B134,'Specialisations'!$P$6:$P$527,"OK")</x:f>
        <x:v>4</x:v>
      </x:c>
      <x:c r="E134" s="431" t="n">
        <x:f>COUNTIFS('Specialisations'!$A$6:$A$527,A134,'Specialisations'!$B$6:$B$527,B134,'Specialisations'!$P$6:$P$527,"OK",'Specialisations'!$C$6:$C$527,"&lt;&gt;Guards")</x:f>
        <x:v>4</x:v>
      </x:c>
      <x:c r="F134" s="432" t="n">
        <x:f>IF(C134=0,"",D134/C134)</x:f>
        <x:v>1</x:v>
      </x:c>
      <x:c r="G134" s="495" t="n">
        <x:f>SUMIFS('Specialisations'!$Q$6:$Q$527,'Specialisations'!$A$6:$A$527,A134,'Specialisations'!$B$6:$B$527,B134,'Specialisations'!$C$6:$C$527,"Guards")</x:f>
        <x:v>0</x:v>
      </x:c>
      <x:c r="H134" s="495" t="n">
        <x:f>SUMIFS('Specialisations'!$Q$6:$Q$527,'Specialisations'!$A$6:$A$527,A134,'Specialisations'!$B$6:$B$527,B134,'Specialisations'!$C$6:$C$527,"Archers")</x:f>
        <x:v>41.98</x:v>
      </x:c>
      <x:c r="I134" s="495" t="n">
        <x:f>SUMIFS('Specialisations'!$Q$6:$Q$527,'Specialisations'!$A$6:$A$527,A134,'Specialisations'!$B$6:$B$527,B134,'Specialisations'!$C$6:$C$527,"Cavalry")</x:f>
        <x:v>90.26</x:v>
      </x:c>
      <x:c r="J134" s="495" t="n">
        <x:f>SUMIFS('Specialisations'!$Q$6:$Q$527,'Specialisations'!$A$6:$A$527,A134,'Specialisations'!$B$6:$B$527,B134,'Specialisations'!$C$6:$C$527,"Siege")</x:f>
        <x:v>45.13</x:v>
      </x:c>
      <x:c r="K134" s="495" t="n">
        <x:f>SUM(H134:J134)</x:f>
        <x:v>177.37</x:v>
      </x:c>
      <x:c r="L134" s="495" t="n">
        <x:f>SUM(G134,K134)</x:f>
        <x:v>177.37</x:v>
      </x:c>
      <x:c r="M134" s="433" t="n">
        <x:f>SUMIFS('Specialisations'!$N$6:$N$527,'Specialisations'!$A$6:$A$527,A134,'Specialisations'!$B$6:$B$527,B134,'Specialisations'!$C$6:$C$527,"Guards")</x:f>
        <x:v>0</x:v>
      </x:c>
      <x:c r="N134" s="433" t="n">
        <x:f>SUMIFS('Specialisations'!$N$6:$N$527,'Specialisations'!$A$6:$A$527,A134,'Specialisations'!$B$6:$B$527,B134,'Specialisations'!$C$6:$C$527,"&lt;&gt;Guards")</x:f>
        <x:v>19297200</x:v>
      </x:c>
      <x:c r="O134" s="433" t="n">
        <x:f>SUM(M134:N134)</x:f>
        <x:v>19297200</x:v>
      </x:c>
      <x:c r="P134" s="434" t="n">
        <x:f>IF(E134=0,"",K134/E134)</x:f>
        <x:v>44.3425</x:v>
      </x:c>
      <x:c r="Q134" s="501" t="n">
        <x:f>IF(E134=0,"",IFERROR(100*(COUNTIFS($E$19:$E$186,"&gt;0",$K$19:$K$186,"&lt;"&amp;K134)+(COUNTIFS($E$19:$E$186,"&gt;0",$K$19:$K$186,K134)-1)/2)/(COUNTIF($E$19:$E$186,"&gt;0")-1),50))</x:f>
        <x:v>93.50649350649351</x:v>
      </x:c>
      <x:c r="R134" s="501" t="n">
        <x:f>IF(E134=0,"",IFERROR(100*(COUNTIFS($E$19:$E$186,"&gt;0",$N$19:$N$186,"&lt;"&amp;N134)+(COUNTIFS($E$19:$E$186,"&gt;0",$N$19:$N$186,N134)-1)/2)/(COUNTIF($E$19:$E$186,"&gt;0")-1),50))</x:f>
        <x:v>88.96103896103897</x:v>
      </x:c>
      <x:c r="S134" s="501" t="n">
        <x:f>IF(E134=0,"",Q134*$R$5+R134*$R$6)</x:f>
        <x:v>92.5974025974026</x:v>
      </x:c>
      <x:c r="T134" s="501" t="str">
        <x:f>IF(M134=0,"",IFERROR(100*(COUNTIFS($M$19:$M$186,"&gt;0",$G$19:$G$186,"&gt;"&amp;G134)+(COUNTIFS($M$19:$M$186,"&gt;0",$G$19:$G$186,G134)-1)/2)/(COUNTIF($M$19:$M$186,"&gt;0")-1),50))</x:f>
      </x:c>
      <x:c r="U134" s="501" t="str">
        <x:f>IF(M134=0,"",IFERROR(100*(COUNTIFS($M$19:$M$186,"&gt;0",$M$19:$M$186,"&lt;"&amp;M134)+(COUNTIFS($M$19:$M$186,"&gt;0",$M$19:$M$186,M134)-1)/2)/(COUNTIF($M$19:$M$186,"&gt;0")-1),50))</x:f>
      </x:c>
      <x:c r="V134" s="501" t="str">
        <x:f>IF(M134=0,"",T134*$R$5+U134*$R$6)</x:f>
      </x:c>
      <x:c r="W134" s="431" t="n">
        <x:f>IF(E134=0,"",COUNTIFS($A$19:$A$186,A134,$S$19:$S$186,"&gt;"&amp;S134)+COUNTIFS($A$19:A134,A134,$E$19:E134,"&gt;0",$S$19:S134,S134))</x:f>
        <x:v>4</x:v>
      </x:c>
      <x:c r="X134" s="431" t="n">
        <x:f>IF(S134="","",1+COUNTIF($S$19:$S$186,"&gt;"&amp;S134))</x:f>
        <x:v>12</x:v>
      </x:c>
      <x:c r="Y134" s="431" t="str">
        <x:f>IF(V134="","",1+COUNTIFS($A$19:$A$186,A134,$V$19:$V$186,"&gt;"&amp;V134))</x:f>
      </x:c>
      <x:c r="Z134" s="431" t="str">
        <x:f>IF(V134="","",1+COUNTIF($V$19:$V$186,"&gt;"&amp;V134))</x:f>
      </x:c>
      <x:c r="AA134" s="430" t="str">
        <x:f>IF(C134=0,"No specialisations recorded",IF(D134&lt;C134,"Review missing level","Recorded skills only"))</x:f>
        <x:v>Recorded skills only</x:v>
      </x:c>
      <x:c r="AB134" s="601" t="n">
        <x:f>IF(OR(AP134&lt;&gt;"Yes",E134=0),"",IFERROR(100*(COUNTIFS($AP$19:$AP$186,"Yes",$E$19:$E$186,"&gt;0",$I$19:$I$186,"&lt;"&amp;I134)+(COUNTIFS($AP$19:$AP$186,"Yes",$E$19:$E$186,"&gt;0",$I$19:$I$186,I134)-1)/2)/(COUNTIFS($AP$19:$AP$186,"Yes",$E$19:$E$186,"&gt;0")-1),50))</x:f>
        <x:v>76.2987012987013</x:v>
      </x:c>
      <x:c r="AC134" s="601" t="n">
        <x:f>IF(AB134="","",AB134*'Specialisation Rankings'!$O$16+R134*'Specialisation Rankings'!$O$17)</x:f>
        <x:v>78.83116883116884</x:v>
      </x:c>
      <x:c r="AD134" s="601" t="n">
        <x:f>IF(AC134="","",COUNTIFS($A$19:$A$186,A134,$AP$19:$AP$186,"Yes",$E$19:$E$186,"&gt;0",$AC$19:$AC$186,"&gt;"&amp;AC134)+COUNTIFS($A$19:A134,A134,$AP$19:AP134,"Yes",$E$19:E134,"&gt;0",$AC$19:AC134,AC134))</x:f>
        <x:v>5</x:v>
      </x:c>
      <x:c r="AE134" s="601" t="n">
        <x:f>IF(OR(AP134&lt;&gt;"Yes",E134=0),"",IFERROR(100*(COUNTIFS($AP$19:$AP$186,"Yes",$E$19:$E$186,"&gt;0",$H$19:$H$186,"&lt;"&amp;H134)+(COUNTIFS($AP$19:$AP$186,"Yes",$E$19:$E$186,"&gt;0",$H$19:$H$186,H134)-1)/2)/(COUNTIFS($AP$19:$AP$186,"Yes",$E$19:$E$186,"&gt;0")-1),50))</x:f>
        <x:v>68.50649350649351</x:v>
      </x:c>
      <x:c r="AF134" s="601" t="n">
        <x:f>IF(AE134="","",AE134*'Specialisation Rankings'!$O$16+R134*'Specialisation Rankings'!$O$17)</x:f>
        <x:v>72.5974025974026</x:v>
      </x:c>
      <x:c r="AG134" s="601" t="n">
        <x:f>IF(AF134="","",COUNTIFS($A$19:$A$186,A134,$AP$19:$AP$186,"Yes",$E$19:$E$186,"&gt;0",$AF$19:$AF$186,"&gt;"&amp;AF134)+COUNTIFS($A$19:A134,A134,$AP$19:AP134,"Yes",$E$19:E134,"&gt;0",$AF$19:AF134,AF134))</x:f>
        <x:v>3</x:v>
      </x:c>
      <x:c r="AH134" s="601" t="n">
        <x:f>IF(OR(AP134&lt;&gt;"Yes",E134=0),"",IFERROR(100*(COUNTIFS($AP$19:$AP$186,"Yes",$E$19:$E$186,"&gt;0",$J$19:$J$186,"&lt;"&amp;J134)+(COUNTIFS($AP$19:$AP$186,"Yes",$E$19:$E$186,"&gt;0",$J$19:$J$186,J134)-1)/2)/(COUNTIFS($AP$19:$AP$186,"Yes",$E$19:$E$186,"&gt;0")-1),50))</x:f>
        <x:v>93.18181818181819</x:v>
      </x:c>
      <x:c r="AI134" s="601" t="n">
        <x:f>IF(AH134="","",AH134*'Specialisation Rankings'!$O$16+R134*'Specialisation Rankings'!$O$17)</x:f>
        <x:v>92.33766233766234</x:v>
      </x:c>
      <x:c r="AJ134" s="601" t="n">
        <x:f>IF(AI134="","",COUNTIFS($A$19:$A$186,A134,$AP$19:$AP$186,"Yes",$E$19:$E$186,"&gt;0",$AI$19:$AI$186,"&gt;"&amp;AI134)+COUNTIFS($A$19:A134,A134,$AP$19:AP134,"Yes",$E$19:E134,"&gt;0",$AI$19:AI134,AI134))</x:f>
        <x:v>3</x:v>
      </x:c>
      <x:c r="AK134" s="601" t="n">
        <x:f>IF(OR(AP134&lt;&gt;"Yes",E134=0),"",IF(M134=0,'Specialisation Rankings'!$O$23,V134))</x:f>
        <x:v>50</x:v>
      </x:c>
      <x:c r="AL134" s="601" t="n">
        <x:f>IF(AK134="","",COUNTIFS($A$19:$A$186,A134,$AP$19:$AP$186,"Yes",$E$19:$E$186,"&gt;0",$AK$19:$AK$186,"&gt;"&amp;AK134)+COUNTIFS($A$19:A134,A134,$AP$19:AP134,"Yes",$E$19:E134,"&gt;0",$AK$19:AK134,AK134))</x:f>
        <x:v>5</x:v>
      </x:c>
      <x:c r="AM134" s="601" t="n">
        <x:f>IF(AC134="","",AC134*'Specialisation Rankings'!$O$18+AF134*'Specialisation Rankings'!$O$19+AI134*'Specialisation Rankings'!$O$20+AK134*'Specialisation Rankings'!$O$21)</x:f>
        <x:v>77.35064935064936</x:v>
      </x:c>
      <x:c r="AN134" s="601" t="n">
        <x:f>IF(AM134="","",COUNTIFS($A$19:$A$186,A134,$AP$19:$AP$186,"Yes",$E$19:$E$186,"&gt;0",$AM$19:$AM$186,"&gt;"&amp;AM134)+COUNTIFS($A$19:A134,A134,$AP$19:AP134,"Yes",$E$19:E134,"&gt;0",$AM$19:AM134,AM134))</x:f>
        <x:v>4</x:v>
      </x:c>
      <x:c r="AO134" s="601" t="n">
        <x:f>IF(AM134="","",COUNTIFS($AP$19:$AP$186,"Yes",$E$19:$E$186,"&gt;0",$AM$19:$AM$186,"&gt;"&amp;AM134)+COUNTIFS($AP$19:AP134,"Yes",$E$19:E134,"&gt;0",$AM$19:AM134,AM134))</x:f>
        <x:v>20</x:v>
      </x:c>
      <x:c r="AP134" s="602" t="str">
        <x:f>IF(COUNTIFS('Player Scenario Model'!$A$6:$A$172,A134,'Player Scenario Model'!$B$6:$B$172,B134)&gt;0,"Yes","No")</x:f>
        <x:v>Yes</x:v>
      </x:c>
    </x:row>
    <x:row r="135" ht="24" customHeight="1">
      <x:c r="A135" s="430" t="str">
        <x:v>K54</x:v>
      </x:c>
      <x:c r="B135" s="430" t="str">
        <x:v>醉红尘</x:v>
      </x:c>
      <x:c r="C135" s="431" t="n">
        <x:f>COUNTIFS('Specialisations'!$A$6:$A$527,A135,'Specialisations'!$B$6:$B$527,B135)</x:f>
        <x:v>4</x:v>
      </x:c>
      <x:c r="D135" s="431" t="n">
        <x:f>COUNTIFS('Specialisations'!$A$6:$A$527,A135,'Specialisations'!$B$6:$B$527,B135,'Specialisations'!$P$6:$P$527,"OK")</x:f>
        <x:v>4</x:v>
      </x:c>
      <x:c r="E135" s="431" t="n">
        <x:f>COUNTIFS('Specialisations'!$A$6:$A$527,A135,'Specialisations'!$B$6:$B$527,B135,'Specialisations'!$P$6:$P$527,"OK",'Specialisations'!$C$6:$C$527,"&lt;&gt;Guards")</x:f>
        <x:v>4</x:v>
      </x:c>
      <x:c r="F135" s="432" t="n">
        <x:f>IF(C135=0,"",D135/C135)</x:f>
        <x:v>1</x:v>
      </x:c>
      <x:c r="G135" s="495" t="n">
        <x:f>SUMIFS('Specialisations'!$Q$6:$Q$527,'Specialisations'!$A$6:$A$527,A135,'Specialisations'!$B$6:$B$527,B135,'Specialisations'!$C$6:$C$527,"Guards")</x:f>
        <x:v>0</x:v>
      </x:c>
      <x:c r="H135" s="495" t="n">
        <x:f>SUMIFS('Specialisations'!$Q$6:$Q$527,'Specialisations'!$A$6:$A$527,A135,'Specialisations'!$B$6:$B$527,B135,'Specialisations'!$C$6:$C$527,"Archers")</x:f>
        <x:v>27.74</x:v>
      </x:c>
      <x:c r="I135" s="495" t="n">
        <x:f>SUMIFS('Specialisations'!$Q$6:$Q$527,'Specialisations'!$A$6:$A$527,A135,'Specialisations'!$B$6:$B$527,B135,'Specialisations'!$C$6:$C$527,"Cavalry")</x:f>
        <x:v>43.94</x:v>
      </x:c>
      <x:c r="J135" s="495" t="n">
        <x:f>SUMIFS('Specialisations'!$Q$6:$Q$527,'Specialisations'!$A$6:$A$527,A135,'Specialisations'!$B$6:$B$527,B135,'Specialisations'!$C$6:$C$527,"Siege")</x:f>
        <x:v>27.74</x:v>
      </x:c>
      <x:c r="K135" s="495" t="n">
        <x:f>SUM(H135:J135)</x:f>
        <x:v>99.41999999999999</x:v>
      </x:c>
      <x:c r="L135" s="495" t="n">
        <x:f>SUM(G135,K135)</x:f>
        <x:v>99.41999999999999</x:v>
      </x:c>
      <x:c r="M135" s="433" t="n">
        <x:f>SUMIFS('Specialisations'!$N$6:$N$527,'Specialisations'!$A$6:$A$527,A135,'Specialisations'!$B$6:$B$527,B135,'Specialisations'!$C$6:$C$527,"Guards")</x:f>
        <x:v>0</x:v>
      </x:c>
      <x:c r="N135" s="433" t="n">
        <x:f>SUMIFS('Specialisations'!$N$6:$N$527,'Specialisations'!$A$6:$A$527,A135,'Specialisations'!$B$6:$B$527,B135,'Specialisations'!$C$6:$C$527,"&lt;&gt;Guards")</x:f>
        <x:v>7927200</x:v>
      </x:c>
      <x:c r="O135" s="433" t="n">
        <x:f>SUM(M135:N135)</x:f>
        <x:v>7927200</x:v>
      </x:c>
      <x:c r="P135" s="434" t="n">
        <x:f>IF(E135=0,"",K135/E135)</x:f>
        <x:v>24.854999999999997</x:v>
      </x:c>
      <x:c r="Q135" s="501" t="n">
        <x:f>IF(E135=0,"",IFERROR(100*(COUNTIFS($E$19:$E$186,"&gt;0",$K$19:$K$186,"&lt;"&amp;K135)+(COUNTIFS($E$19:$E$186,"&gt;0",$K$19:$K$186,K135)-1)/2)/(COUNTIF($E$19:$E$186,"&gt;0")-1),50))</x:f>
        <x:v>52.5974025974026</x:v>
      </x:c>
      <x:c r="R135" s="501" t="n">
        <x:f>IF(E135=0,"",IFERROR(100*(COUNTIFS($E$19:$E$186,"&gt;0",$N$19:$N$186,"&lt;"&amp;N135)+(COUNTIFS($E$19:$E$186,"&gt;0",$N$19:$N$186,N135)-1)/2)/(COUNTIF($E$19:$E$186,"&gt;0")-1),50))</x:f>
        <x:v>26.623376623376622</x:v>
      </x:c>
      <x:c r="S135" s="501" t="n">
        <x:f>IF(E135=0,"",Q135*$R$5+R135*$R$6)</x:f>
        <x:v>47.40259740259741</x:v>
      </x:c>
      <x:c r="T135" s="501" t="str">
        <x:f>IF(M135=0,"",IFERROR(100*(COUNTIFS($M$19:$M$186,"&gt;0",$G$19:$G$186,"&gt;"&amp;G135)+(COUNTIFS($M$19:$M$186,"&gt;0",$G$19:$G$186,G135)-1)/2)/(COUNTIF($M$19:$M$186,"&gt;0")-1),50))</x:f>
      </x:c>
      <x:c r="U135" s="501" t="str">
        <x:f>IF(M135=0,"",IFERROR(100*(COUNTIFS($M$19:$M$186,"&gt;0",$M$19:$M$186,"&lt;"&amp;M135)+(COUNTIFS($M$19:$M$186,"&gt;0",$M$19:$M$186,M135)-1)/2)/(COUNTIF($M$19:$M$186,"&gt;0")-1),50))</x:f>
      </x:c>
      <x:c r="V135" s="501" t="str">
        <x:f>IF(M135=0,"",T135*$R$5+U135*$R$6)</x:f>
      </x:c>
      <x:c r="W135" s="431" t="n">
        <x:f>IF(E135=0,"",COUNTIFS($A$19:$A$186,A135,$S$19:$S$186,"&gt;"&amp;S135)+COUNTIFS($A$19:A135,A135,$E$19:E135,"&gt;0",$S$19:S135,S135))</x:f>
        <x:v>8</x:v>
      </x:c>
      <x:c r="X135" s="431" t="n">
        <x:f>IF(S135="","",1+COUNTIF($S$19:$S$186,"&gt;"&amp;S135))</x:f>
        <x:v>81</x:v>
      </x:c>
      <x:c r="Y135" s="431" t="str">
        <x:f>IF(V135="","",1+COUNTIFS($A$19:$A$186,A135,$V$19:$V$186,"&gt;"&amp;V135))</x:f>
      </x:c>
      <x:c r="Z135" s="431" t="str">
        <x:f>IF(V135="","",1+COUNTIF($V$19:$V$186,"&gt;"&amp;V135))</x:f>
      </x:c>
      <x:c r="AA135" s="430" t="str">
        <x:f>IF(C135=0,"No specialisations recorded",IF(D135&lt;C135,"Review missing level","Recorded skills only"))</x:f>
        <x:v>Recorded skills only</x:v>
      </x:c>
      <x:c r="AB135" s="601" t="n">
        <x:f>IF(OR(AP135&lt;&gt;"Yes",E135=0),"",IFERROR(100*(COUNTIFS($AP$19:$AP$186,"Yes",$E$19:$E$186,"&gt;0",$I$19:$I$186,"&lt;"&amp;I135)+(COUNTIFS($AP$19:$AP$186,"Yes",$E$19:$E$186,"&gt;0",$I$19:$I$186,I135)-1)/2)/(COUNTIFS($AP$19:$AP$186,"Yes",$E$19:$E$186,"&gt;0")-1),50))</x:f>
        <x:v>35.38961038961039</x:v>
      </x:c>
      <x:c r="AC135" s="601" t="n">
        <x:f>IF(AB135="","",AB135*'Specialisation Rankings'!$O$16+R135*'Specialisation Rankings'!$O$17)</x:f>
        <x:v>33.63636363636364</x:v>
      </x:c>
      <x:c r="AD135" s="601" t="n">
        <x:f>IF(AC135="","",COUNTIFS($A$19:$A$186,A135,$AP$19:$AP$186,"Yes",$E$19:$E$186,"&gt;0",$AC$19:$AC$186,"&gt;"&amp;AC135)+COUNTIFS($A$19:A135,A135,$AP$19:AP135,"Yes",$E$19:E135,"&gt;0",$AC$19:AC135,AC135))</x:f>
        <x:v>11</x:v>
      </x:c>
      <x:c r="AE135" s="601" t="n">
        <x:f>IF(OR(AP135&lt;&gt;"Yes",E135=0),"",IFERROR(100*(COUNTIFS($AP$19:$AP$186,"Yes",$E$19:$E$186,"&gt;0",$H$19:$H$186,"&lt;"&amp;H135)+(COUNTIFS($AP$19:$AP$186,"Yes",$E$19:$E$186,"&gt;0",$H$19:$H$186,H135)-1)/2)/(COUNTIFS($AP$19:$AP$186,"Yes",$E$19:$E$186,"&gt;0")-1),50))</x:f>
        <x:v>42.20779220779221</x:v>
      </x:c>
      <x:c r="AF135" s="601" t="n">
        <x:f>IF(AE135="","",AE135*'Specialisation Rankings'!$O$16+R135*'Specialisation Rankings'!$O$17)</x:f>
        <x:v>39.09090909090909</x:v>
      </x:c>
      <x:c r="AG135" s="601" t="n">
        <x:f>IF(AF135="","",COUNTIFS($A$19:$A$186,A135,$AP$19:$AP$186,"Yes",$E$19:$E$186,"&gt;0",$AF$19:$AF$186,"&gt;"&amp;AF135)+COUNTIFS($A$19:A135,A135,$AP$19:AP135,"Yes",$E$19:E135,"&gt;0",$AF$19:AF135,AF135))</x:f>
        <x:v>7</x:v>
      </x:c>
      <x:c r="AH135" s="601" t="n">
        <x:f>IF(OR(AP135&lt;&gt;"Yes",E135=0),"",IFERROR(100*(COUNTIFS($AP$19:$AP$186,"Yes",$E$19:$E$186,"&gt;0",$J$19:$J$186,"&lt;"&amp;J135)+(COUNTIFS($AP$19:$AP$186,"Yes",$E$19:$E$186,"&gt;0",$J$19:$J$186,J135)-1)/2)/(COUNTIFS($AP$19:$AP$186,"Yes",$E$19:$E$186,"&gt;0")-1),50))</x:f>
        <x:v>80.84415584415585</x:v>
      </x:c>
      <x:c r="AI135" s="601" t="n">
        <x:f>IF(AH135="","",AH135*'Specialisation Rankings'!$O$16+R135*'Specialisation Rankings'!$O$17)</x:f>
        <x:v>70.00000000000001</x:v>
      </x:c>
      <x:c r="AJ135" s="601" t="n">
        <x:f>IF(AI135="","",COUNTIFS($A$19:$A$186,A135,$AP$19:$AP$186,"Yes",$E$19:$E$186,"&gt;0",$AI$19:$AI$186,"&gt;"&amp;AI135)+COUNTIFS($A$19:A135,A135,$AP$19:AP135,"Yes",$E$19:E135,"&gt;0",$AI$19:AI135,AI135))</x:f>
        <x:v>7</x:v>
      </x:c>
      <x:c r="AK135" s="601" t="n">
        <x:f>IF(OR(AP135&lt;&gt;"Yes",E135=0),"",IF(M135=0,'Specialisation Rankings'!$O$23,V135))</x:f>
        <x:v>50</x:v>
      </x:c>
      <x:c r="AL135" s="601" t="n">
        <x:f>IF(AK135="","",COUNTIFS($A$19:$A$186,A135,$AP$19:$AP$186,"Yes",$E$19:$E$186,"&gt;0",$AK$19:$AK$186,"&gt;"&amp;AK135)+COUNTIFS($A$19:A135,A135,$AP$19:AP135,"Yes",$E$19:E135,"&gt;0",$AK$19:AK135,AK135))</x:f>
        <x:v>6</x:v>
      </x:c>
      <x:c r="AM135" s="601" t="n">
        <x:f>IF(AC135="","",AC135*'Specialisation Rankings'!$O$18+AF135*'Specialisation Rankings'!$O$19+AI135*'Specialisation Rankings'!$O$20+AK135*'Specialisation Rankings'!$O$21)</x:f>
        <x:v>41.27272727272728</x:v>
      </x:c>
      <x:c r="AN135" s="601" t="n">
        <x:f>IF(AM135="","",COUNTIFS($A$19:$A$186,A135,$AP$19:$AP$186,"Yes",$E$19:$E$186,"&gt;0",$AM$19:$AM$186,"&gt;"&amp;AM135)+COUNTIFS($A$19:A135,A135,$AP$19:AP135,"Yes",$E$19:E135,"&gt;0",$AM$19:AM135,AM135))</x:f>
        <x:v>10</x:v>
      </x:c>
      <x:c r="AO135" s="601" t="n">
        <x:f>IF(AM135="","",COUNTIFS($AP$19:$AP$186,"Yes",$E$19:$E$186,"&gt;0",$AM$19:$AM$186,"&gt;"&amp;AM135)+COUNTIFS($AP$19:AP135,"Yes",$E$19:E135,"&gt;0",$AM$19:AM135,AM135))</x:f>
        <x:v>93</x:v>
      </x:c>
      <x:c r="AP135" s="602" t="str">
        <x:f>IF(COUNTIFS('Player Scenario Model'!$A$6:$A$172,A135,'Player Scenario Model'!$B$6:$B$172,B135)&gt;0,"Yes","No")</x:f>
        <x:v>Yes</x:v>
      </x:c>
    </x:row>
    <x:row r="136" ht="24" customHeight="1">
      <x:c r="A136" s="430" t="str">
        <x:v>K54</x:v>
      </x:c>
      <x:c r="B136" s="430" t="str">
        <x:v>纵横,,,飞哥</x:v>
      </x:c>
      <x:c r="C136" s="431" t="n">
        <x:f>COUNTIFS('Specialisations'!$A$6:$A$527,A136,'Specialisations'!$B$6:$B$527,B136)</x:f>
        <x:v>2</x:v>
      </x:c>
      <x:c r="D136" s="431" t="n">
        <x:f>COUNTIFS('Specialisations'!$A$6:$A$527,A136,'Specialisations'!$B$6:$B$527,B136,'Specialisations'!$P$6:$P$527,"OK")</x:f>
        <x:v>2</x:v>
      </x:c>
      <x:c r="E136" s="431" t="n">
        <x:f>COUNTIFS('Specialisations'!$A$6:$A$527,A136,'Specialisations'!$B$6:$B$527,B136,'Specialisations'!$P$6:$P$527,"OK",'Specialisations'!$C$6:$C$527,"&lt;&gt;Guards")</x:f>
        <x:v>2</x:v>
      </x:c>
      <x:c r="F136" s="432" t="n">
        <x:f>IF(C136=0,"",D136/C136)</x:f>
        <x:v>1</x:v>
      </x:c>
      <x:c r="G136" s="495" t="n">
        <x:f>SUMIFS('Specialisations'!$Q$6:$Q$527,'Specialisations'!$A$6:$A$527,A136,'Specialisations'!$B$6:$B$527,B136,'Specialisations'!$C$6:$C$527,"Guards")</x:f>
        <x:v>0</x:v>
      </x:c>
      <x:c r="H136" s="495" t="n">
        <x:f>SUMIFS('Specialisations'!$Q$6:$Q$527,'Specialisations'!$A$6:$A$527,A136,'Specialisations'!$B$6:$B$527,B136,'Specialisations'!$C$6:$C$527,"Archers")</x:f>
        <x:v>0</x:v>
      </x:c>
      <x:c r="I136" s="495" t="n">
        <x:f>SUMIFS('Specialisations'!$Q$6:$Q$527,'Specialisations'!$A$6:$A$527,A136,'Specialisations'!$B$6:$B$527,B136,'Specialisations'!$C$6:$C$527,"Cavalry")</x:f>
        <x:v>58.12</x:v>
      </x:c>
      <x:c r="J136" s="495" t="n">
        <x:f>SUMIFS('Specialisations'!$Q$6:$Q$527,'Specialisations'!$A$6:$A$527,A136,'Specialisations'!$B$6:$B$527,B136,'Specialisations'!$C$6:$C$527,"Siege")</x:f>
        <x:v>0</x:v>
      </x:c>
      <x:c r="K136" s="495" t="n">
        <x:f>SUM(H136:J136)</x:f>
        <x:v>58.12</x:v>
      </x:c>
      <x:c r="L136" s="495" t="n">
        <x:f>SUM(G136,K136)</x:f>
        <x:v>58.12</x:v>
      </x:c>
      <x:c r="M136" s="433" t="n">
        <x:f>SUMIFS('Specialisations'!$N$6:$N$527,'Specialisations'!$A$6:$A$527,A136,'Specialisations'!$B$6:$B$527,B136,'Specialisations'!$C$6:$C$527,"Guards")</x:f>
        <x:v>0</x:v>
      </x:c>
      <x:c r="N136" s="433" t="n">
        <x:f>SUMIFS('Specialisations'!$N$6:$N$527,'Specialisations'!$A$6:$A$527,A136,'Specialisations'!$B$6:$B$527,B136,'Specialisations'!$C$6:$C$527,"&lt;&gt;Guards")</x:f>
        <x:v>4768600</x:v>
      </x:c>
      <x:c r="O136" s="433" t="n">
        <x:f>SUM(M136:N136)</x:f>
        <x:v>4768600</x:v>
      </x:c>
      <x:c r="P136" s="434" t="n">
        <x:f>IF(E136=0,"",K136/E136)</x:f>
        <x:v>29.06</x:v>
      </x:c>
      <x:c r="Q136" s="501" t="n">
        <x:f>IF(E136=0,"",IFERROR(100*(COUNTIFS($E$19:$E$186,"&gt;0",$K$19:$K$186,"&lt;"&amp;K136)+(COUNTIFS($E$19:$E$186,"&gt;0",$K$19:$K$186,K136)-1)/2)/(COUNTIF($E$19:$E$186,"&gt;0")-1),50))</x:f>
        <x:v>19.155844155844157</x:v>
      </x:c>
      <x:c r="R136" s="501" t="n">
        <x:f>IF(E136=0,"",IFERROR(100*(COUNTIFS($E$19:$E$186,"&gt;0",$N$19:$N$186,"&lt;"&amp;N136)+(COUNTIFS($E$19:$E$186,"&gt;0",$N$19:$N$186,N136)-1)/2)/(COUNTIF($E$19:$E$186,"&gt;0")-1),50))</x:f>
        <x:v>10.064935064935066</x:v>
      </x:c>
      <x:c r="S136" s="501" t="n">
        <x:f>IF(E136=0,"",Q136*$R$5+R136*$R$6)</x:f>
        <x:v>17.337662337662337</x:v>
      </x:c>
      <x:c r="T136" s="501" t="str">
        <x:f>IF(M136=0,"",IFERROR(100*(COUNTIFS($M$19:$M$186,"&gt;0",$G$19:$G$186,"&gt;"&amp;G136)+(COUNTIFS($M$19:$M$186,"&gt;0",$G$19:$G$186,G136)-1)/2)/(COUNTIF($M$19:$M$186,"&gt;0")-1),50))</x:f>
      </x:c>
      <x:c r="U136" s="501" t="str">
        <x:f>IF(M136=0,"",IFERROR(100*(COUNTIFS($M$19:$M$186,"&gt;0",$M$19:$M$186,"&lt;"&amp;M136)+(COUNTIFS($M$19:$M$186,"&gt;0",$M$19:$M$186,M136)-1)/2)/(COUNTIF($M$19:$M$186,"&gt;0")-1),50))</x:f>
      </x:c>
      <x:c r="V136" s="501" t="str">
        <x:f>IF(M136=0,"",T136*$R$5+U136*$R$6)</x:f>
      </x:c>
      <x:c r="W136" s="431" t="n">
        <x:f>IF(E136=0,"",COUNTIFS($A$19:$A$186,A136,$S$19:$S$186,"&gt;"&amp;S136)+COUNTIFS($A$19:A136,A136,$E$19:E136,"&gt;0",$S$19:S136,S136))</x:f>
        <x:v>11</x:v>
      </x:c>
      <x:c r="X136" s="431" t="n">
        <x:f>IF(S136="","",1+COUNTIF($S$19:$S$186,"&gt;"&amp;S136))</x:f>
        <x:v>131</x:v>
      </x:c>
      <x:c r="Y136" s="431" t="str">
        <x:f>IF(V136="","",1+COUNTIFS($A$19:$A$186,A136,$V$19:$V$186,"&gt;"&amp;V136))</x:f>
      </x:c>
      <x:c r="Z136" s="431" t="str">
        <x:f>IF(V136="","",1+COUNTIF($V$19:$V$186,"&gt;"&amp;V136))</x:f>
      </x:c>
      <x:c r="AA136" s="430" t="str">
        <x:f>IF(C136=0,"No specialisations recorded",IF(D136&lt;C136,"Review missing level","Recorded skills only"))</x:f>
        <x:v>Recorded skills only</x:v>
      </x:c>
      <x:c r="AB136" s="601" t="n">
        <x:f>IF(OR(AP136&lt;&gt;"Yes",E136=0),"",IFERROR(100*(COUNTIFS($AP$19:$AP$186,"Yes",$E$19:$E$186,"&gt;0",$I$19:$I$186,"&lt;"&amp;I136)+(COUNTIFS($AP$19:$AP$186,"Yes",$E$19:$E$186,"&gt;0",$I$19:$I$186,I136)-1)/2)/(COUNTIFS($AP$19:$AP$186,"Yes",$E$19:$E$186,"&gt;0")-1),50))</x:f>
        <x:v>45.45454545454545</x:v>
      </x:c>
      <x:c r="AC136" s="601" t="n">
        <x:f>IF(AB136="","",AB136*'Specialisation Rankings'!$O$16+R136*'Specialisation Rankings'!$O$17)</x:f>
        <x:v>38.37662337662338</x:v>
      </x:c>
      <x:c r="AD136" s="601" t="n">
        <x:f>IF(AC136="","",COUNTIFS($A$19:$A$186,A136,$AP$19:$AP$186,"Yes",$E$19:$E$186,"&gt;0",$AC$19:$AC$186,"&gt;"&amp;AC136)+COUNTIFS($A$19:A136,A136,$AP$19:AP136,"Yes",$E$19:E136,"&gt;0",$AC$19:AC136,AC136))</x:f>
        <x:v>10</x:v>
      </x:c>
      <x:c r="AE136" s="601" t="n">
        <x:f>IF(OR(AP136&lt;&gt;"Yes",E136=0),"",IFERROR(100*(COUNTIFS($AP$19:$AP$186,"Yes",$E$19:$E$186,"&gt;0",$H$19:$H$186,"&lt;"&amp;H136)+(COUNTIFS($AP$19:$AP$186,"Yes",$E$19:$E$186,"&gt;0",$H$19:$H$186,H136)-1)/2)/(COUNTIFS($AP$19:$AP$186,"Yes",$E$19:$E$186,"&gt;0")-1),50))</x:f>
        <x:v>11.688311688311689</x:v>
      </x:c>
      <x:c r="AF136" s="601" t="n">
        <x:f>IF(AE136="","",AE136*'Specialisation Rankings'!$O$16+R136*'Specialisation Rankings'!$O$17)</x:f>
        <x:v>11.363636363636365</x:v>
      </x:c>
      <x:c r="AG136" s="601" t="n">
        <x:f>IF(AF136="","",COUNTIFS($A$19:$A$186,A136,$AP$19:$AP$186,"Yes",$E$19:$E$186,"&gt;0",$AF$19:$AF$186,"&gt;"&amp;AF136)+COUNTIFS($A$19:A136,A136,$AP$19:AP136,"Yes",$E$19:E136,"&gt;0",$AF$19:AF136,AF136))</x:f>
        <x:v>11</x:v>
      </x:c>
      <x:c r="AH136" s="601" t="n">
        <x:f>IF(OR(AP136&lt;&gt;"Yes",E136=0),"",IFERROR(100*(COUNTIFS($AP$19:$AP$186,"Yes",$E$19:$E$186,"&gt;0",$J$19:$J$186,"&lt;"&amp;J136)+(COUNTIFS($AP$19:$AP$186,"Yes",$E$19:$E$186,"&gt;0",$J$19:$J$186,J136)-1)/2)/(COUNTIFS($AP$19:$AP$186,"Yes",$E$19:$E$186,"&gt;0")-1),50))</x:f>
        <x:v>33.116883116883116</x:v>
      </x:c>
      <x:c r="AI136" s="601" t="n">
        <x:f>IF(AH136="","",AH136*'Specialisation Rankings'!$O$16+R136*'Specialisation Rankings'!$O$17)</x:f>
        <x:v>28.506493506493506</x:v>
      </x:c>
      <x:c r="AJ136" s="601" t="n">
        <x:f>IF(AI136="","",COUNTIFS($A$19:$A$186,A136,$AP$19:$AP$186,"Yes",$E$19:$E$186,"&gt;0",$AI$19:$AI$186,"&gt;"&amp;AI136)+COUNTIFS($A$19:A136,A136,$AP$19:AP136,"Yes",$E$19:E136,"&gt;0",$AI$19:AI136,AI136))</x:f>
        <x:v>11</x:v>
      </x:c>
      <x:c r="AK136" s="601" t="n">
        <x:f>IF(OR(AP136&lt;&gt;"Yes",E136=0),"",IF(M136=0,'Specialisation Rankings'!$O$23,V136))</x:f>
        <x:v>50</x:v>
      </x:c>
      <x:c r="AL136" s="601" t="n">
        <x:f>IF(AK136="","",COUNTIFS($A$19:$A$186,A136,$AP$19:$AP$186,"Yes",$E$19:$E$186,"&gt;0",$AK$19:$AK$186,"&gt;"&amp;AK136)+COUNTIFS($A$19:A136,A136,$AP$19:AP136,"Yes",$E$19:E136,"&gt;0",$AK$19:AK136,AK136))</x:f>
        <x:v>7</x:v>
      </x:c>
      <x:c r="AM136" s="601" t="n">
        <x:f>IF(AC136="","",AC136*'Specialisation Rankings'!$O$18+AF136*'Specialisation Rankings'!$O$19+AI136*'Specialisation Rankings'!$O$20+AK136*'Specialisation Rankings'!$O$21)</x:f>
        <x:v>35.35714285714286</x:v>
      </x:c>
      <x:c r="AN136" s="601" t="n">
        <x:f>IF(AM136="","",COUNTIFS($A$19:$A$186,A136,$AP$19:$AP$186,"Yes",$E$19:$E$186,"&gt;0",$AM$19:$AM$186,"&gt;"&amp;AM136)+COUNTIFS($A$19:A136,A136,$AP$19:AP136,"Yes",$E$19:E136,"&gt;0",$AM$19:AM136,AM136))</x:f>
        <x:v>11</x:v>
      </x:c>
      <x:c r="AO136" s="601" t="n">
        <x:f>IF(AM136="","",COUNTIFS($AP$19:$AP$186,"Yes",$E$19:$E$186,"&gt;0",$AM$19:$AM$186,"&gt;"&amp;AM136)+COUNTIFS($AP$19:AP136,"Yes",$E$19:E136,"&gt;0",$AM$19:AM136,AM136))</x:f>
        <x:v>103</x:v>
      </x:c>
      <x:c r="AP136" s="602" t="str">
        <x:f>IF(COUNTIFS('Player Scenario Model'!$A$6:$A$172,A136,'Player Scenario Model'!$B$6:$B$172,B136)&gt;0,"Yes","No")</x:f>
        <x:v>Yes</x:v>
      </x:c>
    </x:row>
    <x:row r="137" ht="24" customHeight="1">
      <x:c r="A137" s="430" t="str">
        <x:v>K54</x:v>
      </x:c>
      <x:c r="B137" s="430" t="str">
        <x:v>纵横,,,金王</x:v>
      </x:c>
      <x:c r="C137" s="431" t="n">
        <x:f>COUNTIFS('Specialisations'!$A$6:$A$527,A137,'Specialisations'!$B$6:$B$527,B137)</x:f>
        <x:v>4</x:v>
      </x:c>
      <x:c r="D137" s="431" t="n">
        <x:f>COUNTIFS('Specialisations'!$A$6:$A$527,A137,'Specialisations'!$B$6:$B$527,B137,'Specialisations'!$P$6:$P$527,"OK")</x:f>
        <x:v>4</x:v>
      </x:c>
      <x:c r="E137" s="431" t="n">
        <x:f>COUNTIFS('Specialisations'!$A$6:$A$527,A137,'Specialisations'!$B$6:$B$527,B137,'Specialisations'!$P$6:$P$527,"OK",'Specialisations'!$C$6:$C$527,"&lt;&gt;Guards")</x:f>
        <x:v>4</x:v>
      </x:c>
      <x:c r="F137" s="432" t="n">
        <x:f>IF(C137=0,"",D137/C137)</x:f>
        <x:v>1</x:v>
      </x:c>
      <x:c r="G137" s="495" t="n">
        <x:f>SUMIFS('Specialisations'!$Q$6:$Q$527,'Specialisations'!$A$6:$A$527,A137,'Specialisations'!$B$6:$B$527,B137,'Specialisations'!$C$6:$C$527,"Guards")</x:f>
        <x:v>0</x:v>
      </x:c>
      <x:c r="H137" s="495" t="n">
        <x:f>SUMIFS('Specialisations'!$Q$6:$Q$527,'Specialisations'!$A$6:$A$527,A137,'Specialisations'!$B$6:$B$527,B137,'Specialisations'!$C$6:$C$527,"Archers")</x:f>
        <x:v>41.98</x:v>
      </x:c>
      <x:c r="I137" s="495" t="n">
        <x:f>SUMIFS('Specialisations'!$Q$6:$Q$527,'Specialisations'!$A$6:$A$527,A137,'Specialisations'!$B$6:$B$527,B137,'Specialisations'!$C$6:$C$527,"Cavalry")</x:f>
        <x:v>87.11</x:v>
      </x:c>
      <x:c r="J137" s="495" t="n">
        <x:f>SUMIFS('Specialisations'!$Q$6:$Q$527,'Specialisations'!$A$6:$A$527,A137,'Specialisations'!$B$6:$B$527,B137,'Specialisations'!$C$6:$C$527,"Siege")</x:f>
        <x:v>10.82</x:v>
      </x:c>
      <x:c r="K137" s="495" t="n">
        <x:f>SUM(H137:J137)</x:f>
        <x:v>139.91</x:v>
      </x:c>
      <x:c r="L137" s="495" t="n">
        <x:f>SUM(G137,K137)</x:f>
        <x:v>139.91</x:v>
      </x:c>
      <x:c r="M137" s="433" t="n">
        <x:f>SUMIFS('Specialisations'!$N$6:$N$527,'Specialisations'!$A$6:$A$527,A137,'Specialisations'!$B$6:$B$527,B137,'Specialisations'!$C$6:$C$527,"Guards")</x:f>
        <x:v>0</x:v>
      </x:c>
      <x:c r="N137" s="433" t="n">
        <x:f>SUMIFS('Specialisations'!$N$6:$N$527,'Specialisations'!$A$6:$A$527,A137,'Specialisations'!$B$6:$B$527,B137,'Specialisations'!$C$6:$C$527,"&lt;&gt;Guards")</x:f>
        <x:v>14347200</x:v>
      </x:c>
      <x:c r="O137" s="433" t="n">
        <x:f>SUM(M137:N137)</x:f>
        <x:v>14347200</x:v>
      </x:c>
      <x:c r="P137" s="434" t="n">
        <x:f>IF(E137=0,"",K137/E137)</x:f>
        <x:v>34.9775</x:v>
      </x:c>
      <x:c r="Q137" s="501" t="n">
        <x:f>IF(E137=0,"",IFERROR(100*(COUNTIFS($E$19:$E$186,"&gt;0",$K$19:$K$186,"&lt;"&amp;K137)+(COUNTIFS($E$19:$E$186,"&gt;0",$K$19:$K$186,K137)-1)/2)/(COUNTIF($E$19:$E$186,"&gt;0")-1),50))</x:f>
        <x:v>84.41558441558442</x:v>
      </x:c>
      <x:c r="R137" s="501" t="n">
        <x:f>IF(E137=0,"",IFERROR(100*(COUNTIFS($E$19:$E$186,"&gt;0",$N$19:$N$186,"&lt;"&amp;N137)+(COUNTIFS($E$19:$E$186,"&gt;0",$N$19:$N$186,N137)-1)/2)/(COUNTIF($E$19:$E$186,"&gt;0")-1),50))</x:f>
        <x:v>74.02597402597402</x:v>
      </x:c>
      <x:c r="S137" s="501" t="n">
        <x:f>IF(E137=0,"",Q137*$R$5+R137*$R$6)</x:f>
        <x:v>82.33766233766234</x:v>
      </x:c>
      <x:c r="T137" s="501" t="str">
        <x:f>IF(M137=0,"",IFERROR(100*(COUNTIFS($M$19:$M$186,"&gt;0",$G$19:$G$186,"&gt;"&amp;G137)+(COUNTIFS($M$19:$M$186,"&gt;0",$G$19:$G$186,G137)-1)/2)/(COUNTIF($M$19:$M$186,"&gt;0")-1),50))</x:f>
      </x:c>
      <x:c r="U137" s="501" t="str">
        <x:f>IF(M137=0,"",IFERROR(100*(COUNTIFS($M$19:$M$186,"&gt;0",$M$19:$M$186,"&lt;"&amp;M137)+(COUNTIFS($M$19:$M$186,"&gt;0",$M$19:$M$186,M137)-1)/2)/(COUNTIF($M$19:$M$186,"&gt;0")-1),50))</x:f>
      </x:c>
      <x:c r="V137" s="501" t="str">
        <x:f>IF(M137=0,"",T137*$R$5+U137*$R$6)</x:f>
      </x:c>
      <x:c r="W137" s="431" t="n">
        <x:f>IF(E137=0,"",COUNTIFS($A$19:$A$186,A137,$S$19:$S$186,"&gt;"&amp;S137)+COUNTIFS($A$19:A137,A137,$E$19:E137,"&gt;0",$S$19:S137,S137))</x:f>
        <x:v>6</x:v>
      </x:c>
      <x:c r="X137" s="431" t="n">
        <x:f>IF(S137="","",1+COUNTIF($S$19:$S$186,"&gt;"&amp;S137))</x:f>
        <x:v>24</x:v>
      </x:c>
      <x:c r="Y137" s="431" t="str">
        <x:f>IF(V137="","",1+COUNTIFS($A$19:$A$186,A137,$V$19:$V$186,"&gt;"&amp;V137))</x:f>
      </x:c>
      <x:c r="Z137" s="431" t="str">
        <x:f>IF(V137="","",1+COUNTIF($V$19:$V$186,"&gt;"&amp;V137))</x:f>
      </x:c>
      <x:c r="AA137" s="430" t="str">
        <x:f>IF(C137=0,"No specialisations recorded",IF(D137&lt;C137,"Review missing level","Recorded skills only"))</x:f>
        <x:v>Recorded skills only</x:v>
      </x:c>
      <x:c r="AB137" s="601" t="n">
        <x:f>IF(OR(AP137&lt;&gt;"Yes",E137=0),"",IFERROR(100*(COUNTIFS($AP$19:$AP$186,"Yes",$E$19:$E$186,"&gt;0",$I$19:$I$186,"&lt;"&amp;I137)+(COUNTIFS($AP$19:$AP$186,"Yes",$E$19:$E$186,"&gt;0",$I$19:$I$186,I137)-1)/2)/(COUNTIFS($AP$19:$AP$186,"Yes",$E$19:$E$186,"&gt;0")-1),50))</x:f>
        <x:v>73.05194805194805</x:v>
      </x:c>
      <x:c r="AC137" s="601" t="n">
        <x:f>IF(AB137="","",AB137*'Specialisation Rankings'!$O$16+R137*'Specialisation Rankings'!$O$17)</x:f>
        <x:v>73.24675324675324</x:v>
      </x:c>
      <x:c r="AD137" s="601" t="n">
        <x:f>IF(AC137="","",COUNTIFS($A$19:$A$186,A137,$AP$19:$AP$186,"Yes",$E$19:$E$186,"&gt;0",$AC$19:$AC$186,"&gt;"&amp;AC137)+COUNTIFS($A$19:A137,A137,$AP$19:AP137,"Yes",$E$19:E137,"&gt;0",$AC$19:AC137,AC137))</x:f>
        <x:v>6</x:v>
      </x:c>
      <x:c r="AE137" s="601" t="n">
        <x:f>IF(OR(AP137&lt;&gt;"Yes",E137=0),"",IFERROR(100*(COUNTIFS($AP$19:$AP$186,"Yes",$E$19:$E$186,"&gt;0",$H$19:$H$186,"&lt;"&amp;H137)+(COUNTIFS($AP$19:$AP$186,"Yes",$E$19:$E$186,"&gt;0",$H$19:$H$186,H137)-1)/2)/(COUNTIFS($AP$19:$AP$186,"Yes",$E$19:$E$186,"&gt;0")-1),50))</x:f>
        <x:v>68.50649350649351</x:v>
      </x:c>
      <x:c r="AF137" s="601" t="n">
        <x:f>IF(AE137="","",AE137*'Specialisation Rankings'!$O$16+R137*'Specialisation Rankings'!$O$17)</x:f>
        <x:v>69.61038961038962</x:v>
      </x:c>
      <x:c r="AG137" s="601" t="n">
        <x:f>IF(AF137="","",COUNTIFS($A$19:$A$186,A137,$AP$19:$AP$186,"Yes",$E$19:$E$186,"&gt;0",$AF$19:$AF$186,"&gt;"&amp;AF137)+COUNTIFS($A$19:A137,A137,$AP$19:AP137,"Yes",$E$19:E137,"&gt;0",$AF$19:AF137,AF137))</x:f>
        <x:v>4</x:v>
      </x:c>
      <x:c r="AH137" s="601" t="n">
        <x:f>IF(OR(AP137&lt;&gt;"Yes",E137=0),"",IFERROR(100*(COUNTIFS($AP$19:$AP$186,"Yes",$E$19:$E$186,"&gt;0",$J$19:$J$186,"&lt;"&amp;J137)+(COUNTIFS($AP$19:$AP$186,"Yes",$E$19:$E$186,"&gt;0",$J$19:$J$186,J137)-1)/2)/(COUNTIFS($AP$19:$AP$186,"Yes",$E$19:$E$186,"&gt;0")-1),50))</x:f>
        <x:v>72.40259740259741</x:v>
      </x:c>
      <x:c r="AI137" s="601" t="n">
        <x:f>IF(AH137="","",AH137*'Specialisation Rankings'!$O$16+R137*'Specialisation Rankings'!$O$17)</x:f>
        <x:v>72.72727272727273</x:v>
      </x:c>
      <x:c r="AJ137" s="601" t="n">
        <x:f>IF(AI137="","",COUNTIFS($A$19:$A$186,A137,$AP$19:$AP$186,"Yes",$E$19:$E$186,"&gt;0",$AI$19:$AI$186,"&gt;"&amp;AI137)+COUNTIFS($A$19:A137,A137,$AP$19:AP137,"Yes",$E$19:E137,"&gt;0",$AI$19:AI137,AI137))</x:f>
        <x:v>6</x:v>
      </x:c>
      <x:c r="AK137" s="601" t="n">
        <x:f>IF(OR(AP137&lt;&gt;"Yes",E137=0),"",IF(M137=0,'Specialisation Rankings'!$O$23,V137))</x:f>
        <x:v>50</x:v>
      </x:c>
      <x:c r="AL137" s="601" t="n">
        <x:f>IF(AK137="","",COUNTIFS($A$19:$A$186,A137,$AP$19:$AP$186,"Yes",$E$19:$E$186,"&gt;0",$AK$19:$AK$186,"&gt;"&amp;AK137)+COUNTIFS($A$19:A137,A137,$AP$19:AP137,"Yes",$E$19:E137,"&gt;0",$AK$19:AK137,AK137))</x:f>
        <x:v>8</x:v>
      </x:c>
      <x:c r="AM137" s="601" t="n">
        <x:f>IF(AC137="","",AC137*'Specialisation Rankings'!$O$18+AF137*'Specialisation Rankings'!$O$19+AI137*'Specialisation Rankings'!$O$20+AK137*'Specialisation Rankings'!$O$21)</x:f>
        <x:v>70.48051948051948</x:v>
      </x:c>
      <x:c r="AN137" s="601" t="n">
        <x:f>IF(AM137="","",COUNTIFS($A$19:$A$186,A137,$AP$19:$AP$186,"Yes",$E$19:$E$186,"&gt;0",$AM$19:$AM$186,"&gt;"&amp;AM137)+COUNTIFS($A$19:A137,A137,$AP$19:AP137,"Yes",$E$19:E137,"&gt;0",$AM$19:AM137,AM137))</x:f>
        <x:v>5</x:v>
      </x:c>
      <x:c r="AO137" s="601" t="n">
        <x:f>IF(AM137="","",COUNTIFS($AP$19:$AP$186,"Yes",$E$19:$E$186,"&gt;0",$AM$19:$AM$186,"&gt;"&amp;AM137)+COUNTIFS($AP$19:AP137,"Yes",$E$19:E137,"&gt;0",$AM$19:AM137,AM137))</x:f>
        <x:v>34</x:v>
      </x:c>
      <x:c r="AP137" s="602" t="str">
        <x:f>IF(COUNTIFS('Player Scenario Model'!$A$6:$A$172,A137,'Player Scenario Model'!$B$6:$B$172,B137)&gt;0,"Yes","No")</x:f>
        <x:v>Yes</x:v>
      </x:c>
    </x:row>
    <x:row r="138" ht="24" customHeight="1">
      <x:c r="A138" s="430" t="str">
        <x:v>K54</x:v>
      </x:c>
      <x:c r="B138" s="430" t="str">
        <x:v>奕星的殺猪盤</x:v>
      </x:c>
      <x:c r="C138" s="431" t="n">
        <x:f>COUNTIFS('Specialisations'!$A$6:$A$527,A138,'Specialisations'!$B$6:$B$527,B138)</x:f>
        <x:v>2</x:v>
      </x:c>
      <x:c r="D138" s="431" t="n">
        <x:f>COUNTIFS('Specialisations'!$A$6:$A$527,A138,'Specialisations'!$B$6:$B$527,B138,'Specialisations'!$P$6:$P$527,"OK")</x:f>
        <x:v>2</x:v>
      </x:c>
      <x:c r="E138" s="431" t="n">
        <x:f>COUNTIFS('Specialisations'!$A$6:$A$527,A138,'Specialisations'!$B$6:$B$527,B138,'Specialisations'!$P$6:$P$527,"OK",'Specialisations'!$C$6:$C$527,"&lt;&gt;Guards")</x:f>
        <x:v>2</x:v>
      </x:c>
      <x:c r="F138" s="432" t="n">
        <x:f>IF(C138=0,"",D138/C138)</x:f>
        <x:v>1</x:v>
      </x:c>
      <x:c r="G138" s="495" t="n">
        <x:f>SUMIFS('Specialisations'!$Q$6:$Q$527,'Specialisations'!$A$6:$A$527,A138,'Specialisations'!$B$6:$B$527,B138,'Specialisations'!$C$6:$C$527,"Guards")</x:f>
        <x:v>0</x:v>
      </x:c>
      <x:c r="H138" s="495" t="n">
        <x:f>SUMIFS('Specialisations'!$Q$6:$Q$527,'Specialisations'!$A$6:$A$527,A138,'Specialisations'!$B$6:$B$527,B138,'Specialisations'!$C$6:$C$527,"Archers")</x:f>
        <x:v>0</x:v>
      </x:c>
      <x:c r="I138" s="495" t="n">
        <x:f>SUMIFS('Specialisations'!$Q$6:$Q$527,'Specialisations'!$A$6:$A$527,A138,'Specialisations'!$B$6:$B$527,B138,'Specialisations'!$C$6:$C$527,"Cavalry")</x:f>
        <x:v>83.96</x:v>
      </x:c>
      <x:c r="J138" s="495" t="n">
        <x:f>SUMIFS('Specialisations'!$Q$6:$Q$527,'Specialisations'!$A$6:$A$527,A138,'Specialisations'!$B$6:$B$527,B138,'Specialisations'!$C$6:$C$527,"Siege")</x:f>
        <x:v>0</x:v>
      </x:c>
      <x:c r="K138" s="495" t="n">
        <x:f>SUM(H138:J138)</x:f>
        <x:v>83.96</x:v>
      </x:c>
      <x:c r="L138" s="495" t="n">
        <x:f>SUM(G138,K138)</x:f>
        <x:v>83.96</x:v>
      </x:c>
      <x:c r="M138" s="433" t="n">
        <x:f>SUMIFS('Specialisations'!$N$6:$N$527,'Specialisations'!$A$6:$A$527,A138,'Specialisations'!$B$6:$B$527,B138,'Specialisations'!$C$6:$C$527,"Guards")</x:f>
        <x:v>0</x:v>
      </x:c>
      <x:c r="N138" s="433" t="n">
        <x:f>SUMIFS('Specialisations'!$N$6:$N$527,'Specialisations'!$A$6:$A$527,A138,'Specialisations'!$B$6:$B$527,B138,'Specialisations'!$C$6:$C$527,"&lt;&gt;Guards")</x:f>
        <x:v>8568600</x:v>
      </x:c>
      <x:c r="O138" s="433" t="n">
        <x:f>SUM(M138:N138)</x:f>
        <x:v>8568600</x:v>
      </x:c>
      <x:c r="P138" s="434" t="n">
        <x:f>IF(E138=0,"",K138/E138)</x:f>
        <x:v>41.98</x:v>
      </x:c>
      <x:c r="Q138" s="501" t="n">
        <x:f>IF(E138=0,"",IFERROR(100*(COUNTIFS($E$19:$E$186,"&gt;0",$K$19:$K$186,"&lt;"&amp;K138)+(COUNTIFS($E$19:$E$186,"&gt;0",$K$19:$K$186,K138)-1)/2)/(COUNTIF($E$19:$E$186,"&gt;0")-1),50))</x:f>
        <x:v>42.857142857142854</x:v>
      </x:c>
      <x:c r="R138" s="501" t="n">
        <x:f>IF(E138=0,"",IFERROR(100*(COUNTIFS($E$19:$E$186,"&gt;0",$N$19:$N$186,"&lt;"&amp;N138)+(COUNTIFS($E$19:$E$186,"&gt;0",$N$19:$N$186,N138)-1)/2)/(COUNTIF($E$19:$E$186,"&gt;0")-1),50))</x:f>
        <x:v>31.16883116883117</x:v>
      </x:c>
      <x:c r="S138" s="501" t="n">
        <x:f>IF(E138=0,"",Q138*$R$5+R138*$R$6)</x:f>
        <x:v>40.51948051948052</x:v>
      </x:c>
      <x:c r="T138" s="501" t="str">
        <x:f>IF(M138=0,"",IFERROR(100*(COUNTIFS($M$19:$M$186,"&gt;0",$G$19:$G$186,"&gt;"&amp;G138)+(COUNTIFS($M$19:$M$186,"&gt;0",$G$19:$G$186,G138)-1)/2)/(COUNTIF($M$19:$M$186,"&gt;0")-1),50))</x:f>
      </x:c>
      <x:c r="U138" s="501" t="str">
        <x:f>IF(M138=0,"",IFERROR(100*(COUNTIFS($M$19:$M$186,"&gt;0",$M$19:$M$186,"&lt;"&amp;M138)+(COUNTIFS($M$19:$M$186,"&gt;0",$M$19:$M$186,M138)-1)/2)/(COUNTIF($M$19:$M$186,"&gt;0")-1),50))</x:f>
      </x:c>
      <x:c r="V138" s="501" t="str">
        <x:f>IF(M138=0,"",T138*$R$5+U138*$R$6)</x:f>
      </x:c>
      <x:c r="W138" s="431" t="n">
        <x:f>IF(E138=0,"",COUNTIFS($A$19:$A$186,A138,$S$19:$S$186,"&gt;"&amp;S138)+COUNTIFS($A$19:A138,A138,$E$19:E138,"&gt;0",$S$19:S138,S138))</x:f>
        <x:v>10</x:v>
      </x:c>
      <x:c r="X138" s="431" t="n">
        <x:f>IF(S138="","",1+COUNTIF($S$19:$S$186,"&gt;"&amp;S138))</x:f>
        <x:v>91</x:v>
      </x:c>
      <x:c r="Y138" s="431" t="str">
        <x:f>IF(V138="","",1+COUNTIFS($A$19:$A$186,A138,$V$19:$V$186,"&gt;"&amp;V138))</x:f>
      </x:c>
      <x:c r="Z138" s="431" t="str">
        <x:f>IF(V138="","",1+COUNTIF($V$19:$V$186,"&gt;"&amp;V138))</x:f>
      </x:c>
      <x:c r="AA138" s="430" t="str">
        <x:f>IF(C138=0,"No specialisations recorded",IF(D138&lt;C138,"Review missing level","Recorded skills only"))</x:f>
        <x:v>Recorded skills only</x:v>
      </x:c>
      <x:c r="AB138" s="601" t="n">
        <x:f>IF(OR(AP138&lt;&gt;"Yes",E138=0),"",IFERROR(100*(COUNTIFS($AP$19:$AP$186,"Yes",$E$19:$E$186,"&gt;0",$I$19:$I$186,"&lt;"&amp;I138)+(COUNTIFS($AP$19:$AP$186,"Yes",$E$19:$E$186,"&gt;0",$I$19:$I$186,I138)-1)/2)/(COUNTIFS($AP$19:$AP$186,"Yes",$E$19:$E$186,"&gt;0")-1),50))</x:f>
        <x:v>70.12987012987013</x:v>
      </x:c>
      <x:c r="AC138" s="601" t="n">
        <x:f>IF(AB138="","",AB138*'Specialisation Rankings'!$O$16+R138*'Specialisation Rankings'!$O$17)</x:f>
        <x:v>62.33766233766234</x:v>
      </x:c>
      <x:c r="AD138" s="601" t="n">
        <x:f>IF(AC138="","",COUNTIFS($A$19:$A$186,A138,$AP$19:$AP$186,"Yes",$E$19:$E$186,"&gt;0",$AC$19:$AC$186,"&gt;"&amp;AC138)+COUNTIFS($A$19:A138,A138,$AP$19:AP138,"Yes",$E$19:E138,"&gt;0",$AC$19:AC138,AC138))</x:f>
        <x:v>9</x:v>
      </x:c>
      <x:c r="AE138" s="601" t="n">
        <x:f>IF(OR(AP138&lt;&gt;"Yes",E138=0),"",IFERROR(100*(COUNTIFS($AP$19:$AP$186,"Yes",$E$19:$E$186,"&gt;0",$H$19:$H$186,"&lt;"&amp;H138)+(COUNTIFS($AP$19:$AP$186,"Yes",$E$19:$E$186,"&gt;0",$H$19:$H$186,H138)-1)/2)/(COUNTIFS($AP$19:$AP$186,"Yes",$E$19:$E$186,"&gt;0")-1),50))</x:f>
        <x:v>11.688311688311689</x:v>
      </x:c>
      <x:c r="AF138" s="601" t="n">
        <x:f>IF(AE138="","",AE138*'Specialisation Rankings'!$O$16+R138*'Specialisation Rankings'!$O$17)</x:f>
        <x:v>15.584415584415586</x:v>
      </x:c>
      <x:c r="AG138" s="601" t="n">
        <x:f>IF(AF138="","",COUNTIFS($A$19:$A$186,A138,$AP$19:$AP$186,"Yes",$E$19:$E$186,"&gt;0",$AF$19:$AF$186,"&gt;"&amp;AF138)+COUNTIFS($A$19:A138,A138,$AP$19:AP138,"Yes",$E$19:E138,"&gt;0",$AF$19:AF138,AF138))</x:f>
        <x:v>10</x:v>
      </x:c>
      <x:c r="AH138" s="601" t="n">
        <x:f>IF(OR(AP138&lt;&gt;"Yes",E138=0),"",IFERROR(100*(COUNTIFS($AP$19:$AP$186,"Yes",$E$19:$E$186,"&gt;0",$J$19:$J$186,"&lt;"&amp;J138)+(COUNTIFS($AP$19:$AP$186,"Yes",$E$19:$E$186,"&gt;0",$J$19:$J$186,J138)-1)/2)/(COUNTIFS($AP$19:$AP$186,"Yes",$E$19:$E$186,"&gt;0")-1),50))</x:f>
        <x:v>33.116883116883116</x:v>
      </x:c>
      <x:c r="AI138" s="601" t="n">
        <x:f>IF(AH138="","",AH138*'Specialisation Rankings'!$O$16+R138*'Specialisation Rankings'!$O$17)</x:f>
        <x:v>32.72727272727273</x:v>
      </x:c>
      <x:c r="AJ138" s="601" t="n">
        <x:f>IF(AI138="","",COUNTIFS($A$19:$A$186,A138,$AP$19:$AP$186,"Yes",$E$19:$E$186,"&gt;0",$AI$19:$AI$186,"&gt;"&amp;AI138)+COUNTIFS($A$19:A138,A138,$AP$19:AP138,"Yes",$E$19:E138,"&gt;0",$AI$19:AI138,AI138))</x:f>
        <x:v>10</x:v>
      </x:c>
      <x:c r="AK138" s="601" t="n">
        <x:f>IF(OR(AP138&lt;&gt;"Yes",E138=0),"",IF(M138=0,'Specialisation Rankings'!$O$23,V138))</x:f>
        <x:v>50</x:v>
      </x:c>
      <x:c r="AL138" s="601" t="n">
        <x:f>IF(AK138="","",COUNTIFS($A$19:$A$186,A138,$AP$19:$AP$186,"Yes",$E$19:$E$186,"&gt;0",$AK$19:$AK$186,"&gt;"&amp;AK138)+COUNTIFS($A$19:A138,A138,$AP$19:AP138,"Yes",$E$19:E138,"&gt;0",$AK$19:AK138,AK138))</x:f>
        <x:v>9</x:v>
      </x:c>
      <x:c r="AM138" s="601" t="n">
        <x:f>IF(AC138="","",AC138*'Specialisation Rankings'!$O$18+AF138*'Specialisation Rankings'!$O$19+AI138*'Specialisation Rankings'!$O$20+AK138*'Specialisation Rankings'!$O$21)</x:f>
        <x:v>51.98701298701298</x:v>
      </x:c>
      <x:c r="AN138" s="601" t="n">
        <x:f>IF(AM138="","",COUNTIFS($A$19:$A$186,A138,$AP$19:$AP$186,"Yes",$E$19:$E$186,"&gt;0",$AM$19:$AM$186,"&gt;"&amp;AM138)+COUNTIFS($A$19:A138,A138,$AP$19:AP138,"Yes",$E$19:E138,"&gt;0",$AM$19:AM138,AM138))</x:f>
        <x:v>9</x:v>
      </x:c>
      <x:c r="AO138" s="601" t="n">
        <x:f>IF(AM138="","",COUNTIFS($AP$19:$AP$186,"Yes",$E$19:$E$186,"&gt;0",$AM$19:$AM$186,"&gt;"&amp;AM138)+COUNTIFS($AP$19:AP138,"Yes",$E$19:E138,"&gt;0",$AM$19:AM138,AM138))</x:f>
        <x:v>66</x:v>
      </x:c>
      <x:c r="AP138" s="602" t="str">
        <x:f>IF(COUNTIFS('Player Scenario Model'!$A$6:$A$172,A138,'Player Scenario Model'!$B$6:$B$172,B138)&gt;0,"Yes","No")</x:f>
        <x:v>Yes</x:v>
      </x:c>
    </x:row>
    <x:row r="139" ht="24" customHeight="1">
      <x:c r="A139" s="430" t="str">
        <x:v>K54</x:v>
      </x:c>
      <x:c r="B139" s="430" t="str">
        <x:v>纵横,,,离火</x:v>
      </x:c>
      <x:c r="C139" s="431" t="n">
        <x:f>COUNTIFS('Specialisations'!$A$6:$A$527,A139,'Specialisations'!$B$6:$B$527,B139)</x:f>
        <x:v>4</x:v>
      </x:c>
      <x:c r="D139" s="431" t="n">
        <x:f>COUNTIFS('Specialisations'!$A$6:$A$527,A139,'Specialisations'!$B$6:$B$527,B139,'Specialisations'!$P$6:$P$527,"OK")</x:f>
        <x:v>4</x:v>
      </x:c>
      <x:c r="E139" s="431" t="n">
        <x:f>COUNTIFS('Specialisations'!$A$6:$A$527,A139,'Specialisations'!$B$6:$B$527,B139,'Specialisations'!$P$6:$P$527,"OK",'Specialisations'!$C$6:$C$527,"&lt;&gt;Guards")</x:f>
        <x:v>4</x:v>
      </x:c>
      <x:c r="F139" s="432" t="n">
        <x:f>IF(C139=0,"",D139/C139)</x:f>
        <x:v>1</x:v>
      </x:c>
      <x:c r="G139" s="495" t="n">
        <x:f>SUMIFS('Specialisations'!$Q$6:$Q$527,'Specialisations'!$A$6:$A$527,A139,'Specialisations'!$B$6:$B$527,B139,'Specialisations'!$C$6:$C$527,"Guards")</x:f>
        <x:v>0</x:v>
      </x:c>
      <x:c r="H139" s="495" t="n">
        <x:f>SUMIFS('Specialisations'!$Q$6:$Q$527,'Specialisations'!$A$6:$A$527,A139,'Specialisations'!$B$6:$B$527,B139,'Specialisations'!$C$6:$C$527,"Archers")</x:f>
        <x:v>35.98</x:v>
      </x:c>
      <x:c r="I139" s="495" t="n">
        <x:f>SUMIFS('Specialisations'!$Q$6:$Q$527,'Specialisations'!$A$6:$A$527,A139,'Specialisations'!$B$6:$B$527,B139,'Specialisations'!$C$6:$C$527,"Cavalry")</x:f>
        <x:v>77.96</x:v>
      </x:c>
      <x:c r="J139" s="495" t="n">
        <x:f>SUMIFS('Specialisations'!$Q$6:$Q$527,'Specialisations'!$A$6:$A$527,A139,'Specialisations'!$B$6:$B$527,B139,'Specialisations'!$C$6:$C$527,"Siege")</x:f>
        <x:v>30.38</x:v>
      </x:c>
      <x:c r="K139" s="495" t="n">
        <x:f>SUM(H139:J139)</x:f>
        <x:v>144.32</x:v>
      </x:c>
      <x:c r="L139" s="495" t="n">
        <x:f>SUM(G139,K139)</x:f>
        <x:v>144.32</x:v>
      </x:c>
      <x:c r="M139" s="433" t="n">
        <x:f>SUMIFS('Specialisations'!$N$6:$N$527,'Specialisations'!$A$6:$A$527,A139,'Specialisations'!$B$6:$B$527,B139,'Specialisations'!$C$6:$C$527,"Guards")</x:f>
        <x:v>0</x:v>
      </x:c>
      <x:c r="N139" s="433" t="n">
        <x:f>SUMIFS('Specialisations'!$N$6:$N$527,'Specialisations'!$A$6:$A$527,A139,'Specialisations'!$B$6:$B$527,B139,'Specialisations'!$C$6:$C$527,"&lt;&gt;Guards")</x:f>
        <x:v>13297200</x:v>
      </x:c>
      <x:c r="O139" s="433" t="n">
        <x:f>SUM(M139:N139)</x:f>
        <x:v>13297200</x:v>
      </x:c>
      <x:c r="P139" s="434" t="n">
        <x:f>IF(E139=0,"",K139/E139)</x:f>
        <x:v>36.08</x:v>
      </x:c>
      <x:c r="Q139" s="501" t="n">
        <x:f>IF(E139=0,"",IFERROR(100*(COUNTIFS($E$19:$E$186,"&gt;0",$K$19:$K$186,"&lt;"&amp;K139)+(COUNTIFS($E$19:$E$186,"&gt;0",$K$19:$K$186,K139)-1)/2)/(COUNTIF($E$19:$E$186,"&gt;0")-1),50))</x:f>
        <x:v>86.36363636363636</x:v>
      </x:c>
      <x:c r="R139" s="501" t="n">
        <x:f>IF(E139=0,"",IFERROR(100*(COUNTIFS($E$19:$E$186,"&gt;0",$N$19:$N$186,"&lt;"&amp;N139)+(COUNTIFS($E$19:$E$186,"&gt;0",$N$19:$N$186,N139)-1)/2)/(COUNTIF($E$19:$E$186,"&gt;0")-1),50))</x:f>
        <x:v>69.48051948051948</x:v>
      </x:c>
      <x:c r="S139" s="501" t="n">
        <x:f>IF(E139=0,"",Q139*$R$5+R139*$R$6)</x:f>
        <x:v>82.98701298701299</x:v>
      </x:c>
      <x:c r="T139" s="501" t="str">
        <x:f>IF(M139=0,"",IFERROR(100*(COUNTIFS($M$19:$M$186,"&gt;0",$G$19:$G$186,"&gt;"&amp;G139)+(COUNTIFS($M$19:$M$186,"&gt;0",$G$19:$G$186,G139)-1)/2)/(COUNTIF($M$19:$M$186,"&gt;0")-1),50))</x:f>
      </x:c>
      <x:c r="U139" s="501" t="str">
        <x:f>IF(M139=0,"",IFERROR(100*(COUNTIFS($M$19:$M$186,"&gt;0",$M$19:$M$186,"&lt;"&amp;M139)+(COUNTIFS($M$19:$M$186,"&gt;0",$M$19:$M$186,M139)-1)/2)/(COUNTIF($M$19:$M$186,"&gt;0")-1),50))</x:f>
      </x:c>
      <x:c r="V139" s="501" t="str">
        <x:f>IF(M139=0,"",T139*$R$5+U139*$R$6)</x:f>
      </x:c>
      <x:c r="W139" s="431" t="n">
        <x:f>IF(E139=0,"",COUNTIFS($A$19:$A$186,A139,$S$19:$S$186,"&gt;"&amp;S139)+COUNTIFS($A$19:A139,A139,$E$19:E139,"&gt;0",$S$19:S139,S139))</x:f>
        <x:v>5</x:v>
      </x:c>
      <x:c r="X139" s="431" t="n">
        <x:f>IF(S139="","",1+COUNTIF($S$19:$S$186,"&gt;"&amp;S139))</x:f>
        <x:v>23</x:v>
      </x:c>
      <x:c r="Y139" s="431" t="str">
        <x:f>IF(V139="","",1+COUNTIFS($A$19:$A$186,A139,$V$19:$V$186,"&gt;"&amp;V139))</x:f>
      </x:c>
      <x:c r="Z139" s="431" t="str">
        <x:f>IF(V139="","",1+COUNTIF($V$19:$V$186,"&gt;"&amp;V139))</x:f>
      </x:c>
      <x:c r="AA139" s="430" t="str">
        <x:f>IF(C139=0,"No specialisations recorded",IF(D139&lt;C139,"Review missing level","Recorded skills only"))</x:f>
        <x:v>Recorded skills only</x:v>
      </x:c>
      <x:c r="AB139" s="601" t="n">
        <x:f>IF(OR(AP139&lt;&gt;"Yes",E139=0),"",IFERROR(100*(COUNTIFS($AP$19:$AP$186,"Yes",$E$19:$E$186,"&gt;0",$I$19:$I$186,"&lt;"&amp;I139)+(COUNTIFS($AP$19:$AP$186,"Yes",$E$19:$E$186,"&gt;0",$I$19:$I$186,I139)-1)/2)/(COUNTIFS($AP$19:$AP$186,"Yes",$E$19:$E$186,"&gt;0")-1),50))</x:f>
        <x:v>61.03896103896104</x:v>
      </x:c>
      <x:c r="AC139" s="601" t="n">
        <x:f>IF(AB139="","",AB139*'Specialisation Rankings'!$O$16+R139*'Specialisation Rankings'!$O$17)</x:f>
        <x:v>62.727272727272734</x:v>
      </x:c>
      <x:c r="AD139" s="601" t="n">
        <x:f>IF(AC139="","",COUNTIFS($A$19:$A$186,A139,$AP$19:$AP$186,"Yes",$E$19:$E$186,"&gt;0",$AC$19:$AC$186,"&gt;"&amp;AC139)+COUNTIFS($A$19:A139,A139,$AP$19:AP139,"Yes",$E$19:E139,"&gt;0",$AC$19:AC139,AC139))</x:f>
        <x:v>8</x:v>
      </x:c>
      <x:c r="AE139" s="601" t="n">
        <x:f>IF(OR(AP139&lt;&gt;"Yes",E139=0),"",IFERROR(100*(COUNTIFS($AP$19:$AP$186,"Yes",$E$19:$E$186,"&gt;0",$H$19:$H$186,"&lt;"&amp;H139)+(COUNTIFS($AP$19:$AP$186,"Yes",$E$19:$E$186,"&gt;0",$H$19:$H$186,H139)-1)/2)/(COUNTIFS($AP$19:$AP$186,"Yes",$E$19:$E$186,"&gt;0")-1),50))</x:f>
        <x:v>61.03896103896104</x:v>
      </x:c>
      <x:c r="AF139" s="601" t="n">
        <x:f>IF(AE139="","",AE139*'Specialisation Rankings'!$O$16+R139*'Specialisation Rankings'!$O$17)</x:f>
        <x:v>62.727272727272734</x:v>
      </x:c>
      <x:c r="AG139" s="601" t="n">
        <x:f>IF(AF139="","",COUNTIFS($A$19:$A$186,A139,$AP$19:$AP$186,"Yes",$E$19:$E$186,"&gt;0",$AF$19:$AF$186,"&gt;"&amp;AF139)+COUNTIFS($A$19:A139,A139,$AP$19:AP139,"Yes",$E$19:E139,"&gt;0",$AF$19:AF139,AF139))</x:f>
        <x:v>6</x:v>
      </x:c>
      <x:c r="AH139" s="601" t="n">
        <x:f>IF(OR(AP139&lt;&gt;"Yes",E139=0),"",IFERROR(100*(COUNTIFS($AP$19:$AP$186,"Yes",$E$19:$E$186,"&gt;0",$J$19:$J$186,"&lt;"&amp;J139)+(COUNTIFS($AP$19:$AP$186,"Yes",$E$19:$E$186,"&gt;0",$J$19:$J$186,J139)-1)/2)/(COUNTIFS($AP$19:$AP$186,"Yes",$E$19:$E$186,"&gt;0")-1),50))</x:f>
        <x:v>84.74025974025975</x:v>
      </x:c>
      <x:c r="AI139" s="601" t="n">
        <x:f>IF(AH139="","",AH139*'Specialisation Rankings'!$O$16+R139*'Specialisation Rankings'!$O$17)</x:f>
        <x:v>81.6883116883117</x:v>
      </x:c>
      <x:c r="AJ139" s="601" t="n">
        <x:f>IF(AI139="","",COUNTIFS($A$19:$A$186,A139,$AP$19:$AP$186,"Yes",$E$19:$E$186,"&gt;0",$AI$19:$AI$186,"&gt;"&amp;AI139)+COUNTIFS($A$19:A139,A139,$AP$19:AP139,"Yes",$E$19:E139,"&gt;0",$AI$19:AI139,AI139))</x:f>
        <x:v>5</x:v>
      </x:c>
      <x:c r="AK139" s="601" t="n">
        <x:f>IF(OR(AP139&lt;&gt;"Yes",E139=0),"",IF(M139=0,'Specialisation Rankings'!$O$23,V139))</x:f>
        <x:v>50</x:v>
      </x:c>
      <x:c r="AL139" s="601" t="n">
        <x:f>IF(AK139="","",COUNTIFS($A$19:$A$186,A139,$AP$19:$AP$186,"Yes",$E$19:$E$186,"&gt;0",$AK$19:$AK$186,"&gt;"&amp;AK139)+COUNTIFS($A$19:A139,A139,$AP$19:AP139,"Yes",$E$19:E139,"&gt;0",$AK$19:AK139,AK139))</x:f>
        <x:v>10</x:v>
      </x:c>
      <x:c r="AM139" s="601" t="n">
        <x:f>IF(AC139="","",AC139*'Specialisation Rankings'!$O$18+AF139*'Specialisation Rankings'!$O$19+AI139*'Specialisation Rankings'!$O$20+AK139*'Specialisation Rankings'!$O$21)</x:f>
        <x:v>64.2987012987013</x:v>
      </x:c>
      <x:c r="AN139" s="601" t="n">
        <x:f>IF(AM139="","",COUNTIFS($A$19:$A$186,A139,$AP$19:$AP$186,"Yes",$E$19:$E$186,"&gt;0",$AM$19:$AM$186,"&gt;"&amp;AM139)+COUNTIFS($A$19:A139,A139,$AP$19:AP139,"Yes",$E$19:E139,"&gt;0",$AM$19:AM139,AM139))</x:f>
        <x:v>7</x:v>
      </x:c>
      <x:c r="AO139" s="601" t="n">
        <x:f>IF(AM139="","",COUNTIFS($AP$19:$AP$186,"Yes",$E$19:$E$186,"&gt;0",$AM$19:$AM$186,"&gt;"&amp;AM139)+COUNTIFS($AP$19:AP139,"Yes",$E$19:E139,"&gt;0",$AM$19:AM139,AM139))</x:f>
        <x:v>46</x:v>
      </x:c>
      <x:c r="AP139" s="602" t="str">
        <x:f>IF(COUNTIFS('Player Scenario Model'!$A$6:$A$172,A139,'Player Scenario Model'!$B$6:$B$172,B139)&gt;0,"Yes","No")</x:f>
        <x:v>Yes</x:v>
      </x:c>
    </x:row>
    <x:row r="140" ht="24" customHeight="1">
      <x:c r="A140" s="430" t="str">
        <x:v>K54</x:v>
      </x:c>
      <x:c r="B140" s="430" t="str">
        <x:v>ony</x:v>
      </x:c>
      <x:c r="C140" s="431" t="n">
        <x:f>COUNTIFS('Specialisations'!$A$6:$A$527,A140,'Specialisations'!$B$6:$B$527,B140)</x:f>
        <x:v>4</x:v>
      </x:c>
      <x:c r="D140" s="431" t="n">
        <x:f>COUNTIFS('Specialisations'!$A$6:$A$527,A140,'Specialisations'!$B$6:$B$527,B140,'Specialisations'!$P$6:$P$527,"OK")</x:f>
        <x:v>4</x:v>
      </x:c>
      <x:c r="E140" s="431" t="n">
        <x:f>COUNTIFS('Specialisations'!$A$6:$A$527,A140,'Specialisations'!$B$6:$B$527,B140,'Specialisations'!$P$6:$P$527,"OK",'Specialisations'!$C$6:$C$527,"&lt;&gt;Guards")</x:f>
        <x:v>4</x:v>
      </x:c>
      <x:c r="F140" s="432" t="n">
        <x:f>IF(C140=0,"",D140/C140)</x:f>
        <x:v>1</x:v>
      </x:c>
      <x:c r="G140" s="495" t="n">
        <x:f>SUMIFS('Specialisations'!$Q$6:$Q$527,'Specialisations'!$A$6:$A$527,A140,'Specialisations'!$B$6:$B$527,B140,'Specialisations'!$C$6:$C$527,"Guards")</x:f>
        <x:v>0</x:v>
      </x:c>
      <x:c r="H140" s="495" t="n">
        <x:f>SUMIFS('Specialisations'!$Q$6:$Q$527,'Specialisations'!$A$6:$A$527,A140,'Specialisations'!$B$6:$B$527,B140,'Specialisations'!$C$6:$C$527,"Archers")</x:f>
        <x:v>35.98</x:v>
      </x:c>
      <x:c r="I140" s="495" t="n">
        <x:f>SUMIFS('Specialisations'!$Q$6:$Q$527,'Specialisations'!$A$6:$A$527,A140,'Specialisations'!$B$6:$B$527,B140,'Specialisations'!$C$6:$C$527,"Cavalry")</x:f>
        <x:v>106.94</x:v>
      </x:c>
      <x:c r="J140" s="495" t="n">
        <x:f>SUMIFS('Specialisations'!$Q$6:$Q$527,'Specialisations'!$A$6:$A$527,A140,'Specialisations'!$B$6:$B$527,B140,'Specialisations'!$C$6:$C$527,"Siege")</x:f>
        <x:v>39.93</x:v>
      </x:c>
      <x:c r="K140" s="495" t="n">
        <x:f>SUM(H140:J140)</x:f>
        <x:v>182.85</x:v>
      </x:c>
      <x:c r="L140" s="495" t="n">
        <x:f>SUM(G140,K140)</x:f>
        <x:v>182.85</x:v>
      </x:c>
      <x:c r="M140" s="433" t="n">
        <x:f>SUMIFS('Specialisations'!$N$6:$N$527,'Specialisations'!$A$6:$A$527,A140,'Specialisations'!$B$6:$B$527,B140,'Specialisations'!$C$6:$C$527,"Guards")</x:f>
        <x:v>0</x:v>
      </x:c>
      <x:c r="N140" s="433" t="n">
        <x:f>SUMIFS('Specialisations'!$N$6:$N$527,'Specialisations'!$A$6:$A$527,A140,'Specialisations'!$B$6:$B$527,B140,'Specialisations'!$C$6:$C$527,"&lt;&gt;Guards")</x:f>
        <x:v>22237200</x:v>
      </x:c>
      <x:c r="O140" s="433" t="n">
        <x:f>SUM(M140:N140)</x:f>
        <x:v>22237200</x:v>
      </x:c>
      <x:c r="P140" s="434" t="n">
        <x:f>IF(E140=0,"",K140/E140)</x:f>
        <x:v>45.7125</x:v>
      </x:c>
      <x:c r="Q140" s="501" t="n">
        <x:f>IF(E140=0,"",IFERROR(100*(COUNTIFS($E$19:$E$186,"&gt;0",$K$19:$K$186,"&lt;"&amp;K140)+(COUNTIFS($E$19:$E$186,"&gt;0",$K$19:$K$186,K140)-1)/2)/(COUNTIF($E$19:$E$186,"&gt;0")-1),50))</x:f>
        <x:v>94.8051948051948</x:v>
      </x:c>
      <x:c r="R140" s="501" t="n">
        <x:f>IF(E140=0,"",IFERROR(100*(COUNTIFS($E$19:$E$186,"&gt;0",$N$19:$N$186,"&lt;"&amp;N140)+(COUNTIFS($E$19:$E$186,"&gt;0",$N$19:$N$186,N140)-1)/2)/(COUNTIF($E$19:$E$186,"&gt;0")-1),50))</x:f>
        <x:v>93.50649350649351</x:v>
      </x:c>
      <x:c r="S140" s="501" t="n">
        <x:f>IF(E140=0,"",Q140*$R$5+R140*$R$6)</x:f>
        <x:v>94.54545454545455</x:v>
      </x:c>
      <x:c r="T140" s="501" t="str">
        <x:f>IF(M140=0,"",IFERROR(100*(COUNTIFS($M$19:$M$186,"&gt;0",$G$19:$G$186,"&gt;"&amp;G140)+(COUNTIFS($M$19:$M$186,"&gt;0",$G$19:$G$186,G140)-1)/2)/(COUNTIF($M$19:$M$186,"&gt;0")-1),50))</x:f>
      </x:c>
      <x:c r="U140" s="501" t="str">
        <x:f>IF(M140=0,"",IFERROR(100*(COUNTIFS($M$19:$M$186,"&gt;0",$M$19:$M$186,"&lt;"&amp;M140)+(COUNTIFS($M$19:$M$186,"&gt;0",$M$19:$M$186,M140)-1)/2)/(COUNTIF($M$19:$M$186,"&gt;0")-1),50))</x:f>
      </x:c>
      <x:c r="V140" s="501" t="str">
        <x:f>IF(M140=0,"",T140*$R$5+U140*$R$6)</x:f>
      </x:c>
      <x:c r="W140" s="431" t="n">
        <x:f>IF(E140=0,"",COUNTIFS($A$19:$A$186,A140,$S$19:$S$186,"&gt;"&amp;S140)+COUNTIFS($A$19:A140,A140,$E$19:E140,"&gt;0",$S$19:S140,S140))</x:f>
        <x:v>3</x:v>
      </x:c>
      <x:c r="X140" s="431" t="n">
        <x:f>IF(S140="","",1+COUNTIF($S$19:$S$186,"&gt;"&amp;S140))</x:f>
        <x:v>9</x:v>
      </x:c>
      <x:c r="Y140" s="431" t="str">
        <x:f>IF(V140="","",1+COUNTIFS($A$19:$A$186,A140,$V$19:$V$186,"&gt;"&amp;V140))</x:f>
      </x:c>
      <x:c r="Z140" s="431" t="str">
        <x:f>IF(V140="","",1+COUNTIF($V$19:$V$186,"&gt;"&amp;V140))</x:f>
      </x:c>
      <x:c r="AA140" s="430" t="str">
        <x:f>IF(C140=0,"No specialisations recorded",IF(D140&lt;C140,"Review missing level","Recorded skills only"))</x:f>
        <x:v>Recorded skills only</x:v>
      </x:c>
      <x:c r="AB140" s="601" t="n">
        <x:f>IF(OR(AP140&lt;&gt;"Yes",E140=0),"",IFERROR(100*(COUNTIFS($AP$19:$AP$186,"Yes",$E$19:$E$186,"&gt;0",$I$19:$I$186,"&lt;"&amp;I140)+(COUNTIFS($AP$19:$AP$186,"Yes",$E$19:$E$186,"&gt;0",$I$19:$I$186,I140)-1)/2)/(COUNTIFS($AP$19:$AP$186,"Yes",$E$19:$E$186,"&gt;0")-1),50))</x:f>
        <x:v>93.83116883116882</x:v>
      </x:c>
      <x:c r="AC140" s="601" t="n">
        <x:f>IF(AB140="","",AB140*'Specialisation Rankings'!$O$16+R140*'Specialisation Rankings'!$O$17)</x:f>
        <x:v>93.76623376623377</x:v>
      </x:c>
      <x:c r="AD140" s="601" t="n">
        <x:f>IF(AC140="","",COUNTIFS($A$19:$A$186,A140,$AP$19:$AP$186,"Yes",$E$19:$E$186,"&gt;0",$AC$19:$AC$186,"&gt;"&amp;AC140)+COUNTIFS($A$19:A140,A140,$AP$19:AP140,"Yes",$E$19:E140,"&gt;0",$AC$19:AC140,AC140))</x:f>
        <x:v>2</x:v>
      </x:c>
      <x:c r="AE140" s="601" t="n">
        <x:f>IF(OR(AP140&lt;&gt;"Yes",E140=0),"",IFERROR(100*(COUNTIFS($AP$19:$AP$186,"Yes",$E$19:$E$186,"&gt;0",$H$19:$H$186,"&lt;"&amp;H140)+(COUNTIFS($AP$19:$AP$186,"Yes",$E$19:$E$186,"&gt;0",$H$19:$H$186,H140)-1)/2)/(COUNTIFS($AP$19:$AP$186,"Yes",$E$19:$E$186,"&gt;0")-1),50))</x:f>
        <x:v>61.03896103896104</x:v>
      </x:c>
      <x:c r="AF140" s="601" t="n">
        <x:f>IF(AE140="","",AE140*'Specialisation Rankings'!$O$16+R140*'Specialisation Rankings'!$O$17)</x:f>
        <x:v>67.53246753246754</x:v>
      </x:c>
      <x:c r="AG140" s="601" t="n">
        <x:f>IF(AF140="","",COUNTIFS($A$19:$A$186,A140,$AP$19:$AP$186,"Yes",$E$19:$E$186,"&gt;0",$AF$19:$AF$186,"&gt;"&amp;AF140)+COUNTIFS($A$19:A140,A140,$AP$19:AP140,"Yes",$E$19:E140,"&gt;0",$AF$19:AF140,AF140))</x:f>
        <x:v>5</x:v>
      </x:c>
      <x:c r="AH140" s="601" t="n">
        <x:f>IF(OR(AP140&lt;&gt;"Yes",E140=0),"",IFERROR(100*(COUNTIFS($AP$19:$AP$186,"Yes",$E$19:$E$186,"&gt;0",$J$19:$J$186,"&lt;"&amp;J140)+(COUNTIFS($AP$19:$AP$186,"Yes",$E$19:$E$186,"&gt;0",$J$19:$J$186,J140)-1)/2)/(COUNTIFS($AP$19:$AP$186,"Yes",$E$19:$E$186,"&gt;0")-1),50))</x:f>
        <x:v>89.28571428571429</x:v>
      </x:c>
      <x:c r="AI140" s="601" t="n">
        <x:f>IF(AH140="","",AH140*'Specialisation Rankings'!$O$16+R140*'Specialisation Rankings'!$O$17)</x:f>
        <x:v>90.12987012987014</x:v>
      </x:c>
      <x:c r="AJ140" s="601" t="n">
        <x:f>IF(AI140="","",COUNTIFS($A$19:$A$186,A140,$AP$19:$AP$186,"Yes",$E$19:$E$186,"&gt;0",$AI$19:$AI$186,"&gt;"&amp;AI140)+COUNTIFS($A$19:A140,A140,$AP$19:AP140,"Yes",$E$19:E140,"&gt;0",$AI$19:AI140,AI140))</x:f>
        <x:v>4</x:v>
      </x:c>
      <x:c r="AK140" s="601" t="n">
        <x:f>IF(OR(AP140&lt;&gt;"Yes",E140=0),"",IF(M140=0,'Specialisation Rankings'!$O$23,V140))</x:f>
        <x:v>50</x:v>
      </x:c>
      <x:c r="AL140" s="601" t="n">
        <x:f>IF(AK140="","",COUNTIFS($A$19:$A$186,A140,$AP$19:$AP$186,"Yes",$E$19:$E$186,"&gt;0",$AK$19:$AK$186,"&gt;"&amp;AK140)+COUNTIFS($A$19:A140,A140,$AP$19:AP140,"Yes",$E$19:E140,"&gt;0",$AK$19:AK140,AK140))</x:f>
        <x:v>11</x:v>
      </x:c>
      <x:c r="AM140" s="601" t="n">
        <x:f>IF(AC140="","",AC140*'Specialisation Rankings'!$O$18+AF140*'Specialisation Rankings'!$O$19+AI140*'Specialisation Rankings'!$O$20+AK140*'Specialisation Rankings'!$O$21)</x:f>
        <x:v>86.22077922077922</x:v>
      </x:c>
      <x:c r="AN140" s="601" t="n">
        <x:f>IF(AM140="","",COUNTIFS($A$19:$A$186,A140,$AP$19:$AP$186,"Yes",$E$19:$E$186,"&gt;0",$AM$19:$AM$186,"&gt;"&amp;AM140)+COUNTIFS($A$19:A140,A140,$AP$19:AP140,"Yes",$E$19:E140,"&gt;0",$AM$19:AM140,AM140))</x:f>
        <x:v>3</x:v>
      </x:c>
      <x:c r="AO140" s="601" t="n">
        <x:f>IF(AM140="","",COUNTIFS($AP$19:$AP$186,"Yes",$E$19:$E$186,"&gt;0",$AM$19:$AM$186,"&gt;"&amp;AM140)+COUNTIFS($AP$19:AP140,"Yes",$E$19:E140,"&gt;0",$AM$19:AM140,AM140))</x:f>
        <x:v>10</x:v>
      </x:c>
      <x:c r="AP140" s="602" t="str">
        <x:f>IF(COUNTIFS('Player Scenario Model'!$A$6:$A$172,A140,'Player Scenario Model'!$B$6:$B$172,B140)&gt;0,"Yes","No")</x:f>
        <x:v>Yes</x:v>
      </x:c>
    </x:row>
    <x:row r="141" ht="24" customHeight="1">
      <x:c r="A141" s="430" t="str">
        <x:v>K197</x:v>
      </x:c>
      <x:c r="B141" s="430" t="str">
        <x:v>Хлебушек</x:v>
      </x:c>
      <x:c r="C141" s="431" t="n">
        <x:f>COUNTIFS('Specialisations'!$A$6:$A$527,A141,'Specialisations'!$B$6:$B$527,B141)</x:f>
        <x:v>6</x:v>
      </x:c>
      <x:c r="D141" s="431" t="n">
        <x:f>COUNTIFS('Specialisations'!$A$6:$A$527,A141,'Specialisations'!$B$6:$B$527,B141,'Specialisations'!$P$6:$P$527,"OK")</x:f>
        <x:v>6</x:v>
      </x:c>
      <x:c r="E141" s="431" t="n">
        <x:f>COUNTIFS('Specialisations'!$A$6:$A$527,A141,'Specialisations'!$B$6:$B$527,B141,'Specialisations'!$P$6:$P$527,"OK",'Specialisations'!$C$6:$C$527,"&lt;&gt;Guards")</x:f>
        <x:v>5</x:v>
      </x:c>
      <x:c r="F141" s="432" t="n">
        <x:f>IF(C141=0,"",D141/C141)</x:f>
        <x:v>1</x:v>
      </x:c>
      <x:c r="G141" s="495" t="n">
        <x:f>SUMIFS('Specialisations'!$Q$6:$Q$527,'Specialisations'!$A$6:$A$527,A141,'Specialisations'!$B$6:$B$527,B141,'Specialisations'!$C$6:$C$527,"Guards")</x:f>
        <x:v>-60</x:v>
      </x:c>
      <x:c r="H141" s="495" t="n">
        <x:f>SUMIFS('Specialisations'!$Q$6:$Q$527,'Specialisations'!$A$6:$A$527,A141,'Specialisations'!$B$6:$B$527,B141,'Specialisations'!$C$6:$C$527,"Archers")</x:f>
        <x:v>120</x:v>
      </x:c>
      <x:c r="I141" s="495" t="n">
        <x:f>SUMIFS('Specialisations'!$Q$6:$Q$527,'Specialisations'!$A$6:$A$527,A141,'Specialisations'!$B$6:$B$527,B141,'Specialisations'!$C$6:$C$527,"Cavalry")</x:f>
        <x:v>120</x:v>
      </x:c>
      <x:c r="J141" s="495" t="n">
        <x:f>SUMIFS('Specialisations'!$Q$6:$Q$527,'Specialisations'!$A$6:$A$527,A141,'Specialisations'!$B$6:$B$527,B141,'Specialisations'!$C$6:$C$527,"Siege")</x:f>
        <x:v>60</x:v>
      </x:c>
      <x:c r="K141" s="495" t="n">
        <x:f>SUM(H141:J141)</x:f>
        <x:v>300</x:v>
      </x:c>
      <x:c r="L141" s="495" t="n">
        <x:f>SUM(G141,K141)</x:f>
        <x:v>240</x:v>
      </x:c>
      <x:c r="M141" s="433" t="n">
        <x:f>SUMIFS('Specialisations'!$N$6:$N$527,'Specialisations'!$A$6:$A$527,A141,'Specialisations'!$B$6:$B$527,B141,'Specialisations'!$C$6:$C$527,"Guards")</x:f>
        <x:v>10334300</x:v>
      </x:c>
      <x:c r="N141" s="433" t="n">
        <x:f>SUMIFS('Specialisations'!$N$6:$N$527,'Specialisations'!$A$6:$A$527,A141,'Specialisations'!$B$6:$B$527,B141,'Specialisations'!$C$6:$C$527,"&lt;&gt;Guards")</x:f>
        <x:v>51671500</x:v>
      </x:c>
      <x:c r="O141" s="433" t="n">
        <x:f>SUM(M141:N141)</x:f>
        <x:v>62005800</x:v>
      </x:c>
      <x:c r="P141" s="434" t="n">
        <x:f>IF(E141=0,"",K141/E141)</x:f>
        <x:v>60</x:v>
      </x:c>
      <x:c r="Q141" s="501" t="n">
        <x:f>IF(E141=0,"",IFERROR(100*(COUNTIFS($E$19:$E$186,"&gt;0",$K$19:$K$186,"&lt;"&amp;K141)+(COUNTIFS($E$19:$E$186,"&gt;0",$K$19:$K$186,K141)-1)/2)/(COUNTIF($E$19:$E$186,"&gt;0")-1),50))</x:f>
        <x:v>100</x:v>
      </x:c>
      <x:c r="R141" s="501" t="n">
        <x:f>IF(E141=0,"",IFERROR(100*(COUNTIFS($E$19:$E$186,"&gt;0",$N$19:$N$186,"&lt;"&amp;N141)+(COUNTIFS($E$19:$E$186,"&gt;0",$N$19:$N$186,N141)-1)/2)/(COUNTIF($E$19:$E$186,"&gt;0")-1),50))</x:f>
        <x:v>100</x:v>
      </x:c>
      <x:c r="S141" s="501" t="n">
        <x:f>IF(E141=0,"",Q141*$R$5+R141*$R$6)</x:f>
        <x:v>100</x:v>
      </x:c>
      <x:c r="T141" s="501" t="n">
        <x:f>IF(M141=0,"",IFERROR(100*(COUNTIFS($M$19:$M$186,"&gt;0",$G$19:$G$186,"&gt;"&amp;G141)+(COUNTIFS($M$19:$M$186,"&gt;0",$G$19:$G$186,G141)-1)/2)/(COUNTIF($M$19:$M$186,"&gt;0")-1),50))</x:f>
        <x:v>93.16239316239316</x:v>
      </x:c>
      <x:c r="U141" s="501" t="n">
        <x:f>IF(M141=0,"",IFERROR(100*(COUNTIFS($M$19:$M$186,"&gt;0",$M$19:$M$186,"&lt;"&amp;M141)+(COUNTIFS($M$19:$M$186,"&gt;0",$M$19:$M$186,M141)-1)/2)/(COUNTIF($M$19:$M$186,"&gt;0")-1),50))</x:f>
        <x:v>93.16239316239316</x:v>
      </x:c>
      <x:c r="V141" s="501" t="n">
        <x:f>IF(M141=0,"",T141*$R$5+U141*$R$6)</x:f>
        <x:v>93.16239316239316</x:v>
      </x:c>
      <x:c r="W141" s="431" t="n">
        <x:f>IF(E141=0,"",COUNTIFS($A$19:$A$186,A141,$S$19:$S$186,"&gt;"&amp;S141)+COUNTIFS($A$19:A141,A141,$E$19:E141,"&gt;0",$S$19:S141,S141))</x:f>
        <x:v>1</x:v>
      </x:c>
      <x:c r="X141" s="431" t="n">
        <x:f>IF(S141="","",1+COUNTIF($S$19:$S$186,"&gt;"&amp;S141))</x:f>
        <x:v>1</x:v>
      </x:c>
      <x:c r="Y141" s="431" t="n">
        <x:f>IF(V141="","",1+COUNTIFS($A$19:$A$186,A141,$V$19:$V$186,"&gt;"&amp;V141))</x:f>
        <x:v>1</x:v>
      </x:c>
      <x:c r="Z141" s="431" t="n">
        <x:f>IF(V141="","",1+COUNTIF($V$19:$V$186,"&gt;"&amp;V141))</x:f>
        <x:v>1</x:v>
      </x:c>
      <x:c r="AA141" s="430" t="str">
        <x:f>IF(C141=0,"No specialisations recorded",IF(D141&lt;C141,"Review missing level","Recorded skills only"))</x:f>
        <x:v>Recorded skills only</x:v>
      </x:c>
      <x:c r="AB141" s="601" t="n">
        <x:f>IF(OR(AP141&lt;&gt;"Yes",E141=0),"",IFERROR(100*(COUNTIFS($AP$19:$AP$186,"Yes",$E$19:$E$186,"&gt;0",$I$19:$I$186,"&lt;"&amp;I141)+(COUNTIFS($AP$19:$AP$186,"Yes",$E$19:$E$186,"&gt;0",$I$19:$I$186,I141)-1)/2)/(COUNTIFS($AP$19:$AP$186,"Yes",$E$19:$E$186,"&gt;0")-1),50))</x:f>
        <x:v>99.02597402597402</x:v>
      </x:c>
      <x:c r="AC141" s="601" t="n">
        <x:f>IF(AB141="","",AB141*'Specialisation Rankings'!$O$16+R141*'Specialisation Rankings'!$O$17)</x:f>
        <x:v>99.22077922077922</x:v>
      </x:c>
      <x:c r="AD141" s="601" t="n">
        <x:f>IF(AC141="","",COUNTIFS($A$19:$A$186,A141,$AP$19:$AP$186,"Yes",$E$19:$E$186,"&gt;0",$AC$19:$AC$186,"&gt;"&amp;AC141)+COUNTIFS($A$19:A141,A141,$AP$19:AP141,"Yes",$E$19:E141,"&gt;0",$AC$19:AC141,AC141))</x:f>
        <x:v>1</x:v>
      </x:c>
      <x:c r="AE141" s="601" t="n">
        <x:f>IF(OR(AP141&lt;&gt;"Yes",E141=0),"",IFERROR(100*(COUNTIFS($AP$19:$AP$186,"Yes",$E$19:$E$186,"&gt;0",$H$19:$H$186,"&lt;"&amp;H141)+(COUNTIFS($AP$19:$AP$186,"Yes",$E$19:$E$186,"&gt;0",$H$19:$H$186,H141)-1)/2)/(COUNTIFS($AP$19:$AP$186,"Yes",$E$19:$E$186,"&gt;0")-1),50))</x:f>
        <x:v>100</x:v>
      </x:c>
      <x:c r="AF141" s="601" t="n">
        <x:f>IF(AE141="","",AE141*'Specialisation Rankings'!$O$16+R141*'Specialisation Rankings'!$O$17)</x:f>
        <x:v>100</x:v>
      </x:c>
      <x:c r="AG141" s="601" t="n">
        <x:f>IF(AF141="","",COUNTIFS($A$19:$A$186,A141,$AP$19:$AP$186,"Yes",$E$19:$E$186,"&gt;0",$AF$19:$AF$186,"&gt;"&amp;AF141)+COUNTIFS($A$19:A141,A141,$AP$19:AP141,"Yes",$E$19:E141,"&gt;0",$AF$19:AF141,AF141))</x:f>
        <x:v>1</x:v>
      </x:c>
      <x:c r="AH141" s="601" t="n">
        <x:f>IF(OR(AP141&lt;&gt;"Yes",E141=0),"",IFERROR(100*(COUNTIFS($AP$19:$AP$186,"Yes",$E$19:$E$186,"&gt;0",$J$19:$J$186,"&lt;"&amp;J141)+(COUNTIFS($AP$19:$AP$186,"Yes",$E$19:$E$186,"&gt;0",$J$19:$J$186,J141)-1)/2)/(COUNTIFS($AP$19:$AP$186,"Yes",$E$19:$E$186,"&gt;0")-1),50))</x:f>
        <x:v>97.40259740259741</x:v>
      </x:c>
      <x:c r="AI141" s="601" t="n">
        <x:f>IF(AH141="","",AH141*'Specialisation Rankings'!$O$16+R141*'Specialisation Rankings'!$O$17)</x:f>
        <x:v>97.92207792207793</x:v>
      </x:c>
      <x:c r="AJ141" s="601" t="n">
        <x:f>IF(AI141="","",COUNTIFS($A$19:$A$186,A141,$AP$19:$AP$186,"Yes",$E$19:$E$186,"&gt;0",$AI$19:$AI$186,"&gt;"&amp;AI141)+COUNTIFS($A$19:A141,A141,$AP$19:AP141,"Yes",$E$19:E141,"&gt;0",$AI$19:AI141,AI141))</x:f>
        <x:v>1</x:v>
      </x:c>
      <x:c r="AK141" s="601" t="n">
        <x:f>IF(OR(AP141&lt;&gt;"Yes",E141=0),"",IF(M141=0,'Specialisation Rankings'!$O$23,V141))</x:f>
        <x:v>93.16239316239316</x:v>
      </x:c>
      <x:c r="AL141" s="601" t="n">
        <x:f>IF(AK141="","",COUNTIFS($A$19:$A$186,A141,$AP$19:$AP$186,"Yes",$E$19:$E$186,"&gt;0",$AK$19:$AK$186,"&gt;"&amp;AK141)+COUNTIFS($A$19:A141,A141,$AP$19:AP141,"Yes",$E$19:E141,"&gt;0",$AK$19:AK141,AK141))</x:f>
        <x:v>1</x:v>
      </x:c>
      <x:c r="AM141" s="601" t="n">
        <x:f>IF(AC141="","",AC141*'Specialisation Rankings'!$O$18+AF141*'Specialisation Rankings'!$O$19+AI141*'Specialisation Rankings'!$O$20+AK141*'Specialisation Rankings'!$O$21)</x:f>
        <x:v>98.4980574980575</x:v>
      </x:c>
      <x:c r="AN141" s="601" t="n">
        <x:f>IF(AM141="","",COUNTIFS($A$19:$A$186,A141,$AP$19:$AP$186,"Yes",$E$19:$E$186,"&gt;0",$AM$19:$AM$186,"&gt;"&amp;AM141)+COUNTIFS($A$19:A141,A141,$AP$19:AP141,"Yes",$E$19:E141,"&gt;0",$AM$19:AM141,AM141))</x:f>
        <x:v>1</x:v>
      </x:c>
      <x:c r="AO141" s="601" t="n">
        <x:f>IF(AM141="","",COUNTIFS($AP$19:$AP$186,"Yes",$E$19:$E$186,"&gt;0",$AM$19:$AM$186,"&gt;"&amp;AM141)+COUNTIFS($AP$19:AP141,"Yes",$E$19:E141,"&gt;0",$AM$19:AM141,AM141))</x:f>
        <x:v>1</x:v>
      </x:c>
      <x:c r="AP141" s="602" t="str">
        <x:f>IF(COUNTIFS('Player Scenario Model'!$A$6:$A$172,A141,'Player Scenario Model'!$B$6:$B$172,B141)&gt;0,"Yes","No")</x:f>
        <x:v>Yes</x:v>
      </x:c>
    </x:row>
    <x:row r="142" ht="24" customHeight="1">
      <x:c r="A142" s="430" t="str">
        <x:v>K197</x:v>
      </x:c>
      <x:c r="B142" s="430" t="str">
        <x:v>Zakmil23139</x:v>
      </x:c>
      <x:c r="C142" s="431" t="n">
        <x:f>COUNTIFS('Specialisations'!$A$6:$A$527,A142,'Specialisations'!$B$6:$B$527,B142)</x:f>
        <x:v>3</x:v>
      </x:c>
      <x:c r="D142" s="431" t="n">
        <x:f>COUNTIFS('Specialisations'!$A$6:$A$527,A142,'Specialisations'!$B$6:$B$527,B142,'Specialisations'!$P$6:$P$527,"OK")</x:f>
        <x:v>3</x:v>
      </x:c>
      <x:c r="E142" s="431" t="n">
        <x:f>COUNTIFS('Specialisations'!$A$6:$A$527,A142,'Specialisations'!$B$6:$B$527,B142,'Specialisations'!$P$6:$P$527,"OK",'Specialisations'!$C$6:$C$527,"&lt;&gt;Guards")</x:f>
        <x:v>3</x:v>
      </x:c>
      <x:c r="F142" s="432" t="n">
        <x:f>IF(C142=0,"",D142/C142)</x:f>
        <x:v>1</x:v>
      </x:c>
      <x:c r="G142" s="495" t="n">
        <x:f>SUMIFS('Specialisations'!$Q$6:$Q$527,'Specialisations'!$A$6:$A$527,A142,'Specialisations'!$B$6:$B$527,B142,'Specialisations'!$C$6:$C$527,"Guards")</x:f>
        <x:v>0</x:v>
      </x:c>
      <x:c r="H142" s="495" t="n">
        <x:f>SUMIFS('Specialisations'!$Q$6:$Q$527,'Specialisations'!$A$6:$A$527,A142,'Specialisations'!$B$6:$B$527,B142,'Specialisations'!$C$6:$C$527,"Archers")</x:f>
        <x:v>60</x:v>
      </x:c>
      <x:c r="I142" s="495" t="n">
        <x:f>SUMIFS('Specialisations'!$Q$6:$Q$527,'Specialisations'!$A$6:$A$527,A142,'Specialisations'!$B$6:$B$527,B142,'Specialisations'!$C$6:$C$527,"Cavalry")</x:f>
        <x:v>45.13</x:v>
      </x:c>
      <x:c r="J142" s="495" t="n">
        <x:f>SUMIFS('Specialisations'!$Q$6:$Q$527,'Specialisations'!$A$6:$A$527,A142,'Specialisations'!$B$6:$B$527,B142,'Specialisations'!$C$6:$C$527,"Siege")</x:f>
        <x:v>20.73</x:v>
      </x:c>
      <x:c r="K142" s="495" t="n">
        <x:f>SUM(H142:J142)</x:f>
        <x:v>125.86</x:v>
      </x:c>
      <x:c r="L142" s="495" t="n">
        <x:f>SUM(G142,K142)</x:f>
        <x:v>125.86</x:v>
      </x:c>
      <x:c r="M142" s="433" t="n">
        <x:f>SUMIFS('Specialisations'!$N$6:$N$527,'Specialisations'!$A$6:$A$527,A142,'Specialisations'!$B$6:$B$527,B142,'Specialisations'!$C$6:$C$527,"Guards")</x:f>
        <x:v>0</x:v>
      </x:c>
      <x:c r="N142" s="433" t="n">
        <x:f>SUMIFS('Specialisations'!$N$6:$N$527,'Specialisations'!$A$6:$A$527,A142,'Specialisations'!$B$6:$B$527,B142,'Specialisations'!$C$6:$C$527,"&lt;&gt;Guards")</x:f>
        <x:v>16962900</x:v>
      </x:c>
      <x:c r="O142" s="433" t="n">
        <x:f>SUM(M142:N142)</x:f>
        <x:v>16962900</x:v>
      </x:c>
      <x:c r="P142" s="434" t="n">
        <x:f>IF(E142=0,"",K142/E142)</x:f>
        <x:v>41.95333333333333</x:v>
      </x:c>
      <x:c r="Q142" s="501" t="n">
        <x:f>IF(E142=0,"",IFERROR(100*(COUNTIFS($E$19:$E$186,"&gt;0",$K$19:$K$186,"&lt;"&amp;K142)+(COUNTIFS($E$19:$E$186,"&gt;0",$K$19:$K$186,K142)-1)/2)/(COUNTIF($E$19:$E$186,"&gt;0")-1),50))</x:f>
        <x:v>75.97402597402598</x:v>
      </x:c>
      <x:c r="R142" s="501" t="n">
        <x:f>IF(E142=0,"",IFERROR(100*(COUNTIFS($E$19:$E$186,"&gt;0",$N$19:$N$186,"&lt;"&amp;N142)+(COUNTIFS($E$19:$E$186,"&gt;0",$N$19:$N$186,N142)-1)/2)/(COUNTIF($E$19:$E$186,"&gt;0")-1),50))</x:f>
        <x:v>84.41558441558442</x:v>
      </x:c>
      <x:c r="S142" s="501" t="n">
        <x:f>IF(E142=0,"",Q142*$R$5+R142*$R$6)</x:f>
        <x:v>77.66233766233766</x:v>
      </x:c>
      <x:c r="T142" s="501" t="str">
        <x:f>IF(M142=0,"",IFERROR(100*(COUNTIFS($M$19:$M$186,"&gt;0",$G$19:$G$186,"&gt;"&amp;G142)+(COUNTIFS($M$19:$M$186,"&gt;0",$G$19:$G$186,G142)-1)/2)/(COUNTIF($M$19:$M$186,"&gt;0")-1),50))</x:f>
      </x:c>
      <x:c r="U142" s="501" t="str">
        <x:f>IF(M142=0,"",IFERROR(100*(COUNTIFS($M$19:$M$186,"&gt;0",$M$19:$M$186,"&lt;"&amp;M142)+(COUNTIFS($M$19:$M$186,"&gt;0",$M$19:$M$186,M142)-1)/2)/(COUNTIF($M$19:$M$186,"&gt;0")-1),50))</x:f>
      </x:c>
      <x:c r="V142" s="501" t="str">
        <x:f>IF(M142=0,"",T142*$R$5+U142*$R$6)</x:f>
      </x:c>
      <x:c r="W142" s="431" t="n">
        <x:f>IF(E142=0,"",COUNTIFS($A$19:$A$186,A142,$S$19:$S$186,"&gt;"&amp;S142)+COUNTIFS($A$19:A142,A142,$E$19:E142,"&gt;0",$S$19:S142,S142))</x:f>
        <x:v>3</x:v>
      </x:c>
      <x:c r="X142" s="431" t="n">
        <x:f>IF(S142="","",1+COUNTIF($S$19:$S$186,"&gt;"&amp;S142))</x:f>
        <x:v>36</x:v>
      </x:c>
      <x:c r="Y142" s="431" t="str">
        <x:f>IF(V142="","",1+COUNTIFS($A$19:$A$186,A142,$V$19:$V$186,"&gt;"&amp;V142))</x:f>
      </x:c>
      <x:c r="Z142" s="431" t="str">
        <x:f>IF(V142="","",1+COUNTIF($V$19:$V$186,"&gt;"&amp;V142))</x:f>
      </x:c>
      <x:c r="AA142" s="430" t="str">
        <x:f>IF(C142=0,"No specialisations recorded",IF(D142&lt;C142,"Review missing level","Recorded skills only"))</x:f>
        <x:v>Recorded skills only</x:v>
      </x:c>
      <x:c r="AB142" s="601" t="n">
        <x:f>IF(OR(AP142&lt;&gt;"Yes",E142=0),"",IFERROR(100*(COUNTIFS($AP$19:$AP$186,"Yes",$E$19:$E$186,"&gt;0",$I$19:$I$186,"&lt;"&amp;I142)+(COUNTIFS($AP$19:$AP$186,"Yes",$E$19:$E$186,"&gt;0",$I$19:$I$186,I142)-1)/2)/(COUNTIFS($AP$19:$AP$186,"Yes",$E$19:$E$186,"&gt;0")-1),50))</x:f>
        <x:v>37.66233766233766</x:v>
      </x:c>
      <x:c r="AC142" s="601" t="n">
        <x:f>IF(AB142="","",AB142*'Specialisation Rankings'!$O$16+R142*'Specialisation Rankings'!$O$17)</x:f>
        <x:v>47.01298701298701</x:v>
      </x:c>
      <x:c r="AD142" s="601" t="n">
        <x:f>IF(AC142="","",COUNTIFS($A$19:$A$186,A142,$AP$19:$AP$186,"Yes",$E$19:$E$186,"&gt;0",$AC$19:$AC$186,"&gt;"&amp;AC142)+COUNTIFS($A$19:A142,A142,$AP$19:AP142,"Yes",$E$19:E142,"&gt;0",$AC$19:AC142,AC142))</x:f>
        <x:v>7</x:v>
      </x:c>
      <x:c r="AE142" s="601" t="n">
        <x:f>IF(OR(AP142&lt;&gt;"Yes",E142=0),"",IFERROR(100*(COUNTIFS($AP$19:$AP$186,"Yes",$E$19:$E$186,"&gt;0",$H$19:$H$186,"&lt;"&amp;H142)+(COUNTIFS($AP$19:$AP$186,"Yes",$E$19:$E$186,"&gt;0",$H$19:$H$186,H142)-1)/2)/(COUNTIFS($AP$19:$AP$186,"Yes",$E$19:$E$186,"&gt;0")-1),50))</x:f>
        <x:v>89.6103896103896</x:v>
      </x:c>
      <x:c r="AF142" s="601" t="n">
        <x:f>IF(AE142="","",AE142*'Specialisation Rankings'!$O$16+R142*'Specialisation Rankings'!$O$17)</x:f>
        <x:v>88.57142857142857</x:v>
      </x:c>
      <x:c r="AG142" s="601" t="n">
        <x:f>IF(AF142="","",COUNTIFS($A$19:$A$186,A142,$AP$19:$AP$186,"Yes",$E$19:$E$186,"&gt;0",$AF$19:$AF$186,"&gt;"&amp;AF142)+COUNTIFS($A$19:A142,A142,$AP$19:AP142,"Yes",$E$19:E142,"&gt;0",$AF$19:AF142,AF142))</x:f>
        <x:v>3</x:v>
      </x:c>
      <x:c r="AH142" s="601" t="n">
        <x:f>IF(OR(AP142&lt;&gt;"Yes",E142=0),"",IFERROR(100*(COUNTIFS($AP$19:$AP$186,"Yes",$E$19:$E$186,"&gt;0",$J$19:$J$186,"&lt;"&amp;J142)+(COUNTIFS($AP$19:$AP$186,"Yes",$E$19:$E$186,"&gt;0",$J$19:$J$186,J142)-1)/2)/(COUNTIFS($AP$19:$AP$186,"Yes",$E$19:$E$186,"&gt;0")-1),50))</x:f>
        <x:v>75.97402597402598</x:v>
      </x:c>
      <x:c r="AI142" s="601" t="n">
        <x:f>IF(AH142="","",AH142*'Specialisation Rankings'!$O$16+R142*'Specialisation Rankings'!$O$17)</x:f>
        <x:v>77.66233766233768</x:v>
      </x:c>
      <x:c r="AJ142" s="601" t="n">
        <x:f>IF(AI142="","",COUNTIFS($A$19:$A$186,A142,$AP$19:$AP$186,"Yes",$E$19:$E$186,"&gt;0",$AI$19:$AI$186,"&gt;"&amp;AI142)+COUNTIFS($A$19:A142,A142,$AP$19:AP142,"Yes",$E$19:E142,"&gt;0",$AI$19:AI142,AI142))</x:f>
        <x:v>3</x:v>
      </x:c>
      <x:c r="AK142" s="601" t="n">
        <x:f>IF(OR(AP142&lt;&gt;"Yes",E142=0),"",IF(M142=0,'Specialisation Rankings'!$O$23,V142))</x:f>
        <x:v>50</x:v>
      </x:c>
      <x:c r="AL142" s="601" t="n">
        <x:f>IF(AK142="","",COUNTIFS($A$19:$A$186,A142,$AP$19:$AP$186,"Yes",$E$19:$E$186,"&gt;0",$AK$19:$AK$186,"&gt;"&amp;AK142)+COUNTIFS($A$19:A142,A142,$AP$19:AP142,"Yes",$E$19:E142,"&gt;0",$AK$19:AK142,AK142))</x:f>
        <x:v>3</x:v>
      </x:c>
      <x:c r="AM142" s="601" t="n">
        <x:f>IF(AC142="","",AC142*'Specialisation Rankings'!$O$18+AF142*'Specialisation Rankings'!$O$19+AI142*'Specialisation Rankings'!$O$20+AK142*'Specialisation Rankings'!$O$21)</x:f>
        <x:v>56.06493506493507</x:v>
      </x:c>
      <x:c r="AN142" s="601" t="n">
        <x:f>IF(AM142="","",COUNTIFS($A$19:$A$186,A142,$AP$19:$AP$186,"Yes",$E$19:$E$186,"&gt;0",$AM$19:$AM$186,"&gt;"&amp;AM142)+COUNTIFS($A$19:A142,A142,$AP$19:AP142,"Yes",$E$19:E142,"&gt;0",$AM$19:AM142,AM142))</x:f>
        <x:v>4</x:v>
      </x:c>
      <x:c r="AO142" s="601" t="n">
        <x:f>IF(AM142="","",COUNTIFS($AP$19:$AP$186,"Yes",$E$19:$E$186,"&gt;0",$AM$19:$AM$186,"&gt;"&amp;AM142)+COUNTIFS($AP$19:AP142,"Yes",$E$19:E142,"&gt;0",$AM$19:AM142,AM142))</x:f>
        <x:v>58</x:v>
      </x:c>
      <x:c r="AP142" s="602" t="str">
        <x:f>IF(COUNTIFS('Player Scenario Model'!$A$6:$A$172,A142,'Player Scenario Model'!$B$6:$B$172,B142)&gt;0,"Yes","No")</x:f>
        <x:v>Yes</x:v>
      </x:c>
    </x:row>
    <x:row r="143" ht="24" customHeight="1">
      <x:c r="A143" s="430" t="str">
        <x:v>K197</x:v>
      </x:c>
      <x:c r="B143" s="430" t="str">
        <x:v>NightFury</x:v>
      </x:c>
      <x:c r="C143" s="431" t="n">
        <x:f>COUNTIFS('Specialisations'!$A$6:$A$527,A143,'Specialisations'!$B$6:$B$527,B143)</x:f>
        <x:v>2</x:v>
      </x:c>
      <x:c r="D143" s="431" t="n">
        <x:f>COUNTIFS('Specialisations'!$A$6:$A$527,A143,'Specialisations'!$B$6:$B$527,B143,'Specialisations'!$P$6:$P$527,"OK")</x:f>
        <x:v>2</x:v>
      </x:c>
      <x:c r="E143" s="431" t="n">
        <x:f>COUNTIFS('Specialisations'!$A$6:$A$527,A143,'Specialisations'!$B$6:$B$527,B143,'Specialisations'!$P$6:$P$527,"OK",'Specialisations'!$C$6:$C$527,"&lt;&gt;Guards")</x:f>
        <x:v>1</x:v>
      </x:c>
      <x:c r="F143" s="432" t="n">
        <x:f>IF(C143=0,"",D143/C143)</x:f>
        <x:v>1</x:v>
      </x:c>
      <x:c r="G143" s="495" t="n">
        <x:f>SUMIFS('Specialisations'!$Q$6:$Q$527,'Specialisations'!$A$6:$A$527,A143,'Specialisations'!$B$6:$B$527,B143,'Specialisations'!$C$6:$C$527,"Guards")</x:f>
        <x:v>-16.2</x:v>
      </x:c>
      <x:c r="H143" s="495" t="n">
        <x:f>SUMIFS('Specialisations'!$Q$6:$Q$527,'Specialisations'!$A$6:$A$527,A143,'Specialisations'!$B$6:$B$527,B143,'Specialisations'!$C$6:$C$527,"Archers")</x:f>
        <x:v>0</x:v>
      </x:c>
      <x:c r="I143" s="495" t="n">
        <x:f>SUMIFS('Specialisations'!$Q$6:$Q$527,'Specialisations'!$A$6:$A$527,A143,'Specialisations'!$B$6:$B$527,B143,'Specialisations'!$C$6:$C$527,"Cavalry")</x:f>
        <x:v>60</x:v>
      </x:c>
      <x:c r="J143" s="495" t="n">
        <x:f>SUMIFS('Specialisations'!$Q$6:$Q$527,'Specialisations'!$A$6:$A$527,A143,'Specialisations'!$B$6:$B$527,B143,'Specialisations'!$C$6:$C$527,"Siege")</x:f>
        <x:v>0</x:v>
      </x:c>
      <x:c r="K143" s="495" t="n">
        <x:f>SUM(H143:J143)</x:f>
        <x:v>60</x:v>
      </x:c>
      <x:c r="L143" s="495" t="n">
        <x:f>SUM(G143,K143)</x:f>
        <x:v>43.8</x:v>
      </x:c>
      <x:c r="M143" s="433" t="n">
        <x:f>SUMIFS('Specialisations'!$N$6:$N$527,'Specialisations'!$A$6:$A$527,A143,'Specialisations'!$B$6:$B$527,B143,'Specialisations'!$C$6:$C$527,"Guards")</x:f>
        <x:v>1194300</x:v>
      </x:c>
      <x:c r="N143" s="433" t="n">
        <x:f>SUMIFS('Specialisations'!$N$6:$N$527,'Specialisations'!$A$6:$A$527,A143,'Specialisations'!$B$6:$B$527,B143,'Specialisations'!$C$6:$C$527,"&lt;&gt;Guards")</x:f>
        <x:v>10334300</x:v>
      </x:c>
      <x:c r="O143" s="433" t="n">
        <x:f>SUM(M143:N143)</x:f>
        <x:v>11528600</x:v>
      </x:c>
      <x:c r="P143" s="434" t="n">
        <x:f>IF(E143=0,"",K143/E143)</x:f>
        <x:v>60</x:v>
      </x:c>
      <x:c r="Q143" s="501" t="n">
        <x:f>IF(E143=0,"",IFERROR(100*(COUNTIFS($E$19:$E$186,"&gt;0",$K$19:$K$186,"&lt;"&amp;K143)+(COUNTIFS($E$19:$E$186,"&gt;0",$K$19:$K$186,K143)-1)/2)/(COUNTIF($E$19:$E$186,"&gt;0")-1),50))</x:f>
        <x:v>24.675324675324674</x:v>
      </x:c>
      <x:c r="R143" s="501" t="n">
        <x:f>IF(E143=0,"",IFERROR(100*(COUNTIFS($E$19:$E$186,"&gt;0",$N$19:$N$186,"&lt;"&amp;N143)+(COUNTIFS($E$19:$E$186,"&gt;0",$N$19:$N$186,N143)-1)/2)/(COUNTIF($E$19:$E$186,"&gt;0")-1),50))</x:f>
        <x:v>48.701298701298704</x:v>
      </x:c>
      <x:c r="S143" s="501" t="n">
        <x:f>IF(E143=0,"",Q143*$R$5+R143*$R$6)</x:f>
        <x:v>29.48051948051948</x:v>
      </x:c>
      <x:c r="T143" s="501" t="n">
        <x:f>IF(M143=0,"",IFERROR(100*(COUNTIFS($M$19:$M$186,"&gt;0",$G$19:$G$186,"&gt;"&amp;G143)+(COUNTIFS($M$19:$M$186,"&gt;0",$G$19:$G$186,G143)-1)/2)/(COUNTIF($M$19:$M$186,"&gt;0")-1),50))</x:f>
        <x:v>14.102564102564102</x:v>
      </x:c>
      <x:c r="U143" s="501" t="n">
        <x:f>IF(M143=0,"",IFERROR(100*(COUNTIFS($M$19:$M$186,"&gt;0",$M$19:$M$186,"&lt;"&amp;M143)+(COUNTIFS($M$19:$M$186,"&gt;0",$M$19:$M$186,M143)-1)/2)/(COUNTIF($M$19:$M$186,"&gt;0")-1),50))</x:f>
        <x:v>14.102564102564102</x:v>
      </x:c>
      <x:c r="V143" s="501" t="n">
        <x:f>IF(M143=0,"",T143*$R$5+U143*$R$6)</x:f>
        <x:v>14.102564102564102</x:v>
      </x:c>
      <x:c r="W143" s="431" t="n">
        <x:f>IF(E143=0,"",COUNTIFS($A$19:$A$186,A143,$S$19:$S$186,"&gt;"&amp;S143)+COUNTIFS($A$19:A143,A143,$E$19:E143,"&gt;0",$S$19:S143,S143))</x:f>
        <x:v>5</x:v>
      </x:c>
      <x:c r="X143" s="431" t="n">
        <x:f>IF(S143="","",1+COUNTIF($S$19:$S$186,"&gt;"&amp;S143))</x:f>
        <x:v>106</x:v>
      </x:c>
      <x:c r="Y143" s="431" t="n">
        <x:f>IF(V143="","",1+COUNTIFS($A$19:$A$186,A143,$V$19:$V$186,"&gt;"&amp;V143))</x:f>
        <x:v>4</x:v>
      </x:c>
      <x:c r="Z143" s="431" t="n">
        <x:f>IF(V143="","",1+COUNTIF($V$19:$V$186,"&gt;"&amp;V143))</x:f>
        <x:v>101</x:v>
      </x:c>
      <x:c r="AA143" s="430" t="str">
        <x:f>IF(C143=0,"No specialisations recorded",IF(D143&lt;C143,"Review missing level","Recorded skills only"))</x:f>
        <x:v>Recorded skills only</x:v>
      </x:c>
      <x:c r="AB143" s="601" t="n">
        <x:f>IF(OR(AP143&lt;&gt;"Yes",E143=0),"",IFERROR(100*(COUNTIFS($AP$19:$AP$186,"Yes",$E$19:$E$186,"&gt;0",$I$19:$I$186,"&lt;"&amp;I143)+(COUNTIFS($AP$19:$AP$186,"Yes",$E$19:$E$186,"&gt;0",$I$19:$I$186,I143)-1)/2)/(COUNTIFS($AP$19:$AP$186,"Yes",$E$19:$E$186,"&gt;0")-1),50))</x:f>
        <x:v>48.701298701298704</x:v>
      </x:c>
      <x:c r="AC143" s="601" t="n">
        <x:f>IF(AB143="","",AB143*'Specialisation Rankings'!$O$16+R143*'Specialisation Rankings'!$O$17)</x:f>
        <x:v>48.70129870129871</x:v>
      </x:c>
      <x:c r="AD143" s="601" t="n">
        <x:f>IF(AC143="","",COUNTIFS($A$19:$A$186,A143,$AP$19:$AP$186,"Yes",$E$19:$E$186,"&gt;0",$AC$19:$AC$186,"&gt;"&amp;AC143)+COUNTIFS($A$19:A143,A143,$AP$19:AP143,"Yes",$E$19:E143,"&gt;0",$AC$19:AC143,AC143))</x:f>
        <x:v>4</x:v>
      </x:c>
      <x:c r="AE143" s="601" t="n">
        <x:f>IF(OR(AP143&lt;&gt;"Yes",E143=0),"",IFERROR(100*(COUNTIFS($AP$19:$AP$186,"Yes",$E$19:$E$186,"&gt;0",$H$19:$H$186,"&lt;"&amp;H143)+(COUNTIFS($AP$19:$AP$186,"Yes",$E$19:$E$186,"&gt;0",$H$19:$H$186,H143)-1)/2)/(COUNTIFS($AP$19:$AP$186,"Yes",$E$19:$E$186,"&gt;0")-1),50))</x:f>
        <x:v>11.688311688311689</x:v>
      </x:c>
      <x:c r="AF143" s="601" t="n">
        <x:f>IF(AE143="","",AE143*'Specialisation Rankings'!$O$16+R143*'Specialisation Rankings'!$O$17)</x:f>
        <x:v>19.090909090909093</x:v>
      </x:c>
      <x:c r="AG143" s="601" t="n">
        <x:f>IF(AF143="","",COUNTIFS($A$19:$A$186,A143,$AP$19:$AP$186,"Yes",$E$19:$E$186,"&gt;0",$AF$19:$AF$186,"&gt;"&amp;AF143)+COUNTIFS($A$19:A143,A143,$AP$19:AP143,"Yes",$E$19:E143,"&gt;0",$AF$19:AF143,AF143))</x:f>
        <x:v>17</x:v>
      </x:c>
      <x:c r="AH143" s="601" t="n">
        <x:f>IF(OR(AP143&lt;&gt;"Yes",E143=0),"",IFERROR(100*(COUNTIFS($AP$19:$AP$186,"Yes",$E$19:$E$186,"&gt;0",$J$19:$J$186,"&lt;"&amp;J143)+(COUNTIFS($AP$19:$AP$186,"Yes",$E$19:$E$186,"&gt;0",$J$19:$J$186,J143)-1)/2)/(COUNTIFS($AP$19:$AP$186,"Yes",$E$19:$E$186,"&gt;0")-1),50))</x:f>
        <x:v>33.116883116883116</x:v>
      </x:c>
      <x:c r="AI143" s="601" t="n">
        <x:f>IF(AH143="","",AH143*'Specialisation Rankings'!$O$16+R143*'Specialisation Rankings'!$O$17)</x:f>
        <x:v>36.23376623376623</x:v>
      </x:c>
      <x:c r="AJ143" s="601" t="n">
        <x:f>IF(AI143="","",COUNTIFS($A$19:$A$186,A143,$AP$19:$AP$186,"Yes",$E$19:$E$186,"&gt;0",$AI$19:$AI$186,"&gt;"&amp;AI143)+COUNTIFS($A$19:A143,A143,$AP$19:AP143,"Yes",$E$19:E143,"&gt;0",$AI$19:AI143,AI143))</x:f>
        <x:v>5</x:v>
      </x:c>
      <x:c r="AK143" s="601" t="n">
        <x:f>IF(OR(AP143&lt;&gt;"Yes",E143=0),"",IF(M143=0,'Specialisation Rankings'!$O$23,V143))</x:f>
        <x:v>14.102564102564102</x:v>
      </x:c>
      <x:c r="AL143" s="601" t="n">
        <x:f>IF(AK143="","",COUNTIFS($A$19:$A$186,A143,$AP$19:$AP$186,"Yes",$E$19:$E$186,"&gt;0",$AK$19:$AK$186,"&gt;"&amp;AK143)+COUNTIFS($A$19:A143,A143,$AP$19:AP143,"Yes",$E$19:E143,"&gt;0",$AK$19:AK143,AK143))</x:f>
        <x:v>17</x:v>
      </x:c>
      <x:c r="AM143" s="601" t="n">
        <x:f>IF(AC143="","",AC143*'Specialisation Rankings'!$O$18+AF143*'Specialisation Rankings'!$O$19+AI143*'Specialisation Rankings'!$O$20+AK143*'Specialisation Rankings'!$O$21)</x:f>
        <x:v>40.410256410256416</x:v>
      </x:c>
      <x:c r="AN143" s="601" t="n">
        <x:f>IF(AM143="","",COUNTIFS($A$19:$A$186,A143,$AP$19:$AP$186,"Yes",$E$19:$E$186,"&gt;0",$AM$19:$AM$186,"&gt;"&amp;AM143)+COUNTIFS($A$19:A143,A143,$AP$19:AP143,"Yes",$E$19:E143,"&gt;0",$AM$19:AM143,AM143))</x:f>
        <x:v>7</x:v>
      </x:c>
      <x:c r="AO143" s="601" t="n">
        <x:f>IF(AM143="","",COUNTIFS($AP$19:$AP$186,"Yes",$E$19:$E$186,"&gt;0",$AM$19:$AM$186,"&gt;"&amp;AM143)+COUNTIFS($AP$19:AP143,"Yes",$E$19:E143,"&gt;0",$AM$19:AM143,AM143))</x:f>
        <x:v>95</x:v>
      </x:c>
      <x:c r="AP143" s="602" t="str">
        <x:f>IF(COUNTIFS('Player Scenario Model'!$A$6:$A$172,A143,'Player Scenario Model'!$B$6:$B$172,B143)&gt;0,"Yes","No")</x:f>
        <x:v>Yes</x:v>
      </x:c>
    </x:row>
    <x:row r="144" ht="24" customHeight="1">
      <x:c r="A144" s="430" t="str">
        <x:v>K197</x:v>
      </x:c>
      <x:c r="B144" s="430" t="str">
        <x:v>Saku</x:v>
      </x:c>
      <x:c r="C144" s="431" t="n">
        <x:f>COUNTIFS('Specialisations'!$A$6:$A$527,A144,'Specialisations'!$B$6:$B$527,B144)</x:f>
        <x:v>2</x:v>
      </x:c>
      <x:c r="D144" s="431" t="n">
        <x:f>COUNTIFS('Specialisations'!$A$6:$A$527,A144,'Specialisations'!$B$6:$B$527,B144,'Specialisations'!$P$6:$P$527,"OK")</x:f>
        <x:v>2</x:v>
      </x:c>
      <x:c r="E144" s="431" t="n">
        <x:f>COUNTIFS('Specialisations'!$A$6:$A$527,A144,'Specialisations'!$B$6:$B$527,B144,'Specialisations'!$P$6:$P$527,"OK",'Specialisations'!$C$6:$C$527,"&lt;&gt;Guards")</x:f>
        <x:v>2</x:v>
      </x:c>
      <x:c r="F144" s="432" t="n">
        <x:f>IF(C144=0,"",D144/C144)</x:f>
        <x:v>1</x:v>
      </x:c>
      <x:c r="G144" s="495" t="n">
        <x:f>SUMIFS('Specialisations'!$Q$6:$Q$527,'Specialisations'!$A$6:$A$527,A144,'Specialisations'!$B$6:$B$527,B144,'Specialisations'!$C$6:$C$527,"Guards")</x:f>
        <x:v>0</x:v>
      </x:c>
      <x:c r="H144" s="495" t="n">
        <x:f>SUMIFS('Specialisations'!$Q$6:$Q$527,'Specialisations'!$A$6:$A$527,A144,'Specialisations'!$B$6:$B$527,B144,'Specialisations'!$C$6:$C$527,"Archers")</x:f>
        <x:v>60</x:v>
      </x:c>
      <x:c r="I144" s="495" t="n">
        <x:f>SUMIFS('Specialisations'!$Q$6:$Q$527,'Specialisations'!$A$6:$A$527,A144,'Specialisations'!$B$6:$B$527,B144,'Specialisations'!$C$6:$C$527,"Cavalry")</x:f>
        <x:v>60</x:v>
      </x:c>
      <x:c r="J144" s="495" t="n">
        <x:f>SUMIFS('Specialisations'!$Q$6:$Q$527,'Specialisations'!$A$6:$A$527,A144,'Specialisations'!$B$6:$B$527,B144,'Specialisations'!$C$6:$C$527,"Siege")</x:f>
        <x:v>0</x:v>
      </x:c>
      <x:c r="K144" s="495" t="n">
        <x:f>SUM(H144:J144)</x:f>
        <x:v>120</x:v>
      </x:c>
      <x:c r="L144" s="495" t="n">
        <x:f>SUM(G144,K144)</x:f>
        <x:v>120</x:v>
      </x:c>
      <x:c r="M144" s="433" t="n">
        <x:f>SUMIFS('Specialisations'!$N$6:$N$527,'Specialisations'!$A$6:$A$527,A144,'Specialisations'!$B$6:$B$527,B144,'Specialisations'!$C$6:$C$527,"Guards")</x:f>
        <x:v>0</x:v>
      </x:c>
      <x:c r="N144" s="433" t="n">
        <x:f>SUMIFS('Specialisations'!$N$6:$N$527,'Specialisations'!$A$6:$A$527,A144,'Specialisations'!$B$6:$B$527,B144,'Specialisations'!$C$6:$C$527,"&lt;&gt;Guards")</x:f>
        <x:v>20668600</x:v>
      </x:c>
      <x:c r="O144" s="433" t="n">
        <x:f>SUM(M144:N144)</x:f>
        <x:v>20668600</x:v>
      </x:c>
      <x:c r="P144" s="434" t="n">
        <x:f>IF(E144=0,"",K144/E144)</x:f>
        <x:v>60</x:v>
      </x:c>
      <x:c r="Q144" s="501" t="n">
        <x:f>IF(E144=0,"",IFERROR(100*(COUNTIFS($E$19:$E$186,"&gt;0",$K$19:$K$186,"&lt;"&amp;K144)+(COUNTIFS($E$19:$E$186,"&gt;0",$K$19:$K$186,K144)-1)/2)/(COUNTIF($E$19:$E$186,"&gt;0")-1),50))</x:f>
        <x:v>72.07792207792208</x:v>
      </x:c>
      <x:c r="R144" s="501" t="n">
        <x:f>IF(E144=0,"",IFERROR(100*(COUNTIFS($E$19:$E$186,"&gt;0",$N$19:$N$186,"&lt;"&amp;N144)+(COUNTIFS($E$19:$E$186,"&gt;0",$N$19:$N$186,N144)-1)/2)/(COUNTIF($E$19:$E$186,"&gt;0")-1),50))</x:f>
        <x:v>90.9090909090909</x:v>
      </x:c>
      <x:c r="S144" s="501" t="n">
        <x:f>IF(E144=0,"",Q144*$R$5+R144*$R$6)</x:f>
        <x:v>75.84415584415585</x:v>
      </x:c>
      <x:c r="T144" s="501" t="str">
        <x:f>IF(M144=0,"",IFERROR(100*(COUNTIFS($M$19:$M$186,"&gt;0",$G$19:$G$186,"&gt;"&amp;G144)+(COUNTIFS($M$19:$M$186,"&gt;0",$G$19:$G$186,G144)-1)/2)/(COUNTIF($M$19:$M$186,"&gt;0")-1),50))</x:f>
      </x:c>
      <x:c r="U144" s="501" t="str">
        <x:f>IF(M144=0,"",IFERROR(100*(COUNTIFS($M$19:$M$186,"&gt;0",$M$19:$M$186,"&lt;"&amp;M144)+(COUNTIFS($M$19:$M$186,"&gt;0",$M$19:$M$186,M144)-1)/2)/(COUNTIF($M$19:$M$186,"&gt;0")-1),50))</x:f>
      </x:c>
      <x:c r="V144" s="501" t="str">
        <x:f>IF(M144=0,"",T144*$R$5+U144*$R$6)</x:f>
      </x:c>
      <x:c r="W144" s="431" t="n">
        <x:f>IF(E144=0,"",COUNTIFS($A$19:$A$186,A144,$S$19:$S$186,"&gt;"&amp;S144)+COUNTIFS($A$19:A144,A144,$E$19:E144,"&gt;0",$S$19:S144,S144))</x:f>
        <x:v>4</x:v>
      </x:c>
      <x:c r="X144" s="431" t="n">
        <x:f>IF(S144="","",1+COUNTIF($S$19:$S$186,"&gt;"&amp;S144))</x:f>
        <x:v>39</x:v>
      </x:c>
      <x:c r="Y144" s="431" t="str">
        <x:f>IF(V144="","",1+COUNTIFS($A$19:$A$186,A144,$V$19:$V$186,"&gt;"&amp;V144))</x:f>
      </x:c>
      <x:c r="Z144" s="431" t="str">
        <x:f>IF(V144="","",1+COUNTIF($V$19:$V$186,"&gt;"&amp;V144))</x:f>
      </x:c>
      <x:c r="AA144" s="430" t="str">
        <x:f>IF(C144=0,"No specialisations recorded",IF(D144&lt;C144,"Review missing level","Recorded skills only"))</x:f>
        <x:v>Recorded skills only</x:v>
      </x:c>
      <x:c r="AB144" s="601" t="n">
        <x:f>IF(OR(AP144&lt;&gt;"Yes",E144=0),"",IFERROR(100*(COUNTIFS($AP$19:$AP$186,"Yes",$E$19:$E$186,"&gt;0",$I$19:$I$186,"&lt;"&amp;I144)+(COUNTIFS($AP$19:$AP$186,"Yes",$E$19:$E$186,"&gt;0",$I$19:$I$186,I144)-1)/2)/(COUNTIFS($AP$19:$AP$186,"Yes",$E$19:$E$186,"&gt;0")-1),50))</x:f>
        <x:v>48.701298701298704</x:v>
      </x:c>
      <x:c r="AC144" s="601" t="n">
        <x:f>IF(AB144="","",AB144*'Specialisation Rankings'!$O$16+R144*'Specialisation Rankings'!$O$17)</x:f>
        <x:v>57.14285714285715</x:v>
      </x:c>
      <x:c r="AD144" s="601" t="n">
        <x:f>IF(AC144="","",COUNTIFS($A$19:$A$186,A144,$AP$19:$AP$186,"Yes",$E$19:$E$186,"&gt;0",$AC$19:$AC$186,"&gt;"&amp;AC144)+COUNTIFS($A$19:A144,A144,$AP$19:AP144,"Yes",$E$19:E144,"&gt;0",$AC$19:AC144,AC144))</x:f>
        <x:v>3</x:v>
      </x:c>
      <x:c r="AE144" s="601" t="n">
        <x:f>IF(OR(AP144&lt;&gt;"Yes",E144=0),"",IFERROR(100*(COUNTIFS($AP$19:$AP$186,"Yes",$E$19:$E$186,"&gt;0",$H$19:$H$186,"&lt;"&amp;H144)+(COUNTIFS($AP$19:$AP$186,"Yes",$E$19:$E$186,"&gt;0",$H$19:$H$186,H144)-1)/2)/(COUNTIFS($AP$19:$AP$186,"Yes",$E$19:$E$186,"&gt;0")-1),50))</x:f>
        <x:v>89.6103896103896</x:v>
      </x:c>
      <x:c r="AF144" s="601" t="n">
        <x:f>IF(AE144="","",AE144*'Specialisation Rankings'!$O$16+R144*'Specialisation Rankings'!$O$17)</x:f>
        <x:v>89.87012987012987</x:v>
      </x:c>
      <x:c r="AG144" s="601" t="n">
        <x:f>IF(AF144="","",COUNTIFS($A$19:$A$186,A144,$AP$19:$AP$186,"Yes",$E$19:$E$186,"&gt;0",$AF$19:$AF$186,"&gt;"&amp;AF144)+COUNTIFS($A$19:A144,A144,$AP$19:AP144,"Yes",$E$19:E144,"&gt;0",$AF$19:AF144,AF144))</x:f>
        <x:v>2</x:v>
      </x:c>
      <x:c r="AH144" s="601" t="n">
        <x:f>IF(OR(AP144&lt;&gt;"Yes",E144=0),"",IFERROR(100*(COUNTIFS($AP$19:$AP$186,"Yes",$E$19:$E$186,"&gt;0",$J$19:$J$186,"&lt;"&amp;J144)+(COUNTIFS($AP$19:$AP$186,"Yes",$E$19:$E$186,"&gt;0",$J$19:$J$186,J144)-1)/2)/(COUNTIFS($AP$19:$AP$186,"Yes",$E$19:$E$186,"&gt;0")-1),50))</x:f>
        <x:v>33.116883116883116</x:v>
      </x:c>
      <x:c r="AI144" s="601" t="n">
        <x:f>IF(AH144="","",AH144*'Specialisation Rankings'!$O$16+R144*'Specialisation Rankings'!$O$17)</x:f>
        <x:v>44.675324675324674</x:v>
      </x:c>
      <x:c r="AJ144" s="601" t="n">
        <x:f>IF(AI144="","",COUNTIFS($A$19:$A$186,A144,$AP$19:$AP$186,"Yes",$E$19:$E$186,"&gt;0",$AI$19:$AI$186,"&gt;"&amp;AI144)+COUNTIFS($A$19:A144,A144,$AP$19:AP144,"Yes",$E$19:E144,"&gt;0",$AI$19:AI144,AI144))</x:f>
        <x:v>4</x:v>
      </x:c>
      <x:c r="AK144" s="601" t="n">
        <x:f>IF(OR(AP144&lt;&gt;"Yes",E144=0),"",IF(M144=0,'Specialisation Rankings'!$O$23,V144))</x:f>
        <x:v>50</x:v>
      </x:c>
      <x:c r="AL144" s="601" t="n">
        <x:f>IF(AK144="","",COUNTIFS($A$19:$A$186,A144,$AP$19:$AP$186,"Yes",$E$19:$E$186,"&gt;0",$AK$19:$AK$186,"&gt;"&amp;AK144)+COUNTIFS($A$19:A144,A144,$AP$19:AP144,"Yes",$E$19:E144,"&gt;0",$AK$19:AK144,AK144))</x:f>
        <x:v>4</x:v>
      </x:c>
      <x:c r="AM144" s="601" t="n">
        <x:f>IF(AC144="","",AC144*'Specialisation Rankings'!$O$18+AF144*'Specialisation Rankings'!$O$19+AI144*'Specialisation Rankings'!$O$20+AK144*'Specialisation Rankings'!$O$21)</x:f>
        <x:v>57.831168831168846</x:v>
      </x:c>
      <x:c r="AN144" s="601" t="n">
        <x:f>IF(AM144="","",COUNTIFS($A$19:$A$186,A144,$AP$19:$AP$186,"Yes",$E$19:$E$186,"&gt;0",$AM$19:$AM$186,"&gt;"&amp;AM144)+COUNTIFS($A$19:A144,A144,$AP$19:AP144,"Yes",$E$19:E144,"&gt;0",$AM$19:AM144,AM144))</x:f>
        <x:v>3</x:v>
      </x:c>
      <x:c r="AO144" s="601" t="n">
        <x:f>IF(AM144="","",COUNTIFS($AP$19:$AP$186,"Yes",$E$19:$E$186,"&gt;0",$AM$19:$AM$186,"&gt;"&amp;AM144)+COUNTIFS($AP$19:AP144,"Yes",$E$19:E144,"&gt;0",$AM$19:AM144,AM144))</x:f>
        <x:v>56</x:v>
      </x:c>
      <x:c r="AP144" s="602" t="str">
        <x:f>IF(COUNTIFS('Player Scenario Model'!$A$6:$A$172,A144,'Player Scenario Model'!$B$6:$B$172,B144)&gt;0,"Yes","No")</x:f>
        <x:v>Yes</x:v>
      </x:c>
    </x:row>
    <x:row r="145" ht="24" customHeight="1">
      <x:c r="A145" s="430" t="str">
        <x:v>K197</x:v>
      </x:c>
      <x:c r="B145" s="430" t="str">
        <x:v>Бапм</x:v>
      </x:c>
      <x:c r="C145" s="431" t="n">
        <x:f>COUNTIFS('Specialisations'!$A$6:$A$527,A145,'Specialisations'!$B$6:$B$527,B145)</x:f>
        <x:v>1</x:v>
      </x:c>
      <x:c r="D145" s="431" t="n">
        <x:f>COUNTIFS('Specialisations'!$A$6:$A$527,A145,'Specialisations'!$B$6:$B$527,B145,'Specialisations'!$P$6:$P$527,"OK")</x:f>
        <x:v>1</x:v>
      </x:c>
      <x:c r="E145" s="431" t="n">
        <x:f>COUNTIFS('Specialisations'!$A$6:$A$527,A145,'Specialisations'!$B$6:$B$527,B145,'Specialisations'!$P$6:$P$527,"OK",'Specialisations'!$C$6:$C$527,"&lt;&gt;Guards")</x:f>
        <x:v>1</x:v>
      </x:c>
      <x:c r="F145" s="432" t="n">
        <x:f>IF(C145=0,"",D145/C145)</x:f>
        <x:v>1</x:v>
      </x:c>
      <x:c r="G145" s="495" t="n">
        <x:f>SUMIFS('Specialisations'!$Q$6:$Q$527,'Specialisations'!$A$6:$A$527,A145,'Specialisations'!$B$6:$B$527,B145,'Specialisations'!$C$6:$C$527,"Guards")</x:f>
        <x:v>0</x:v>
      </x:c>
      <x:c r="H145" s="495" t="n">
        <x:f>SUMIFS('Specialisations'!$Q$6:$Q$527,'Specialisations'!$A$6:$A$527,A145,'Specialisations'!$B$6:$B$527,B145,'Specialisations'!$C$6:$C$527,"Archers")</x:f>
        <x:v>0</x:v>
      </x:c>
      <x:c r="I145" s="495" t="n">
        <x:f>SUMIFS('Specialisations'!$Q$6:$Q$527,'Specialisations'!$A$6:$A$527,A145,'Specialisations'!$B$6:$B$527,B145,'Specialisations'!$C$6:$C$527,"Cavalry")</x:f>
        <x:v>60</x:v>
      </x:c>
      <x:c r="J145" s="495" t="n">
        <x:f>SUMIFS('Specialisations'!$Q$6:$Q$527,'Specialisations'!$A$6:$A$527,A145,'Specialisations'!$B$6:$B$527,B145,'Specialisations'!$C$6:$C$527,"Siege")</x:f>
        <x:v>0</x:v>
      </x:c>
      <x:c r="K145" s="495" t="n">
        <x:f>SUM(H145:J145)</x:f>
        <x:v>60</x:v>
      </x:c>
      <x:c r="L145" s="495" t="n">
        <x:f>SUM(G145,K145)</x:f>
        <x:v>60</x:v>
      </x:c>
      <x:c r="M145" s="433" t="n">
        <x:f>SUMIFS('Specialisations'!$N$6:$N$527,'Specialisations'!$A$6:$A$527,A145,'Specialisations'!$B$6:$B$527,B145,'Specialisations'!$C$6:$C$527,"Guards")</x:f>
        <x:v>0</x:v>
      </x:c>
      <x:c r="N145" s="433" t="n">
        <x:f>SUMIFS('Specialisations'!$N$6:$N$527,'Specialisations'!$A$6:$A$527,A145,'Specialisations'!$B$6:$B$527,B145,'Specialisations'!$C$6:$C$527,"&lt;&gt;Guards")</x:f>
        <x:v>10334300</x:v>
      </x:c>
      <x:c r="O145" s="433" t="n">
        <x:f>SUM(M145:N145)</x:f>
        <x:v>10334300</x:v>
      </x:c>
      <x:c r="P145" s="434" t="n">
        <x:f>IF(E145=0,"",K145/E145)</x:f>
        <x:v>60</x:v>
      </x:c>
      <x:c r="Q145" s="501" t="n">
        <x:f>IF(E145=0,"",IFERROR(100*(COUNTIFS($E$19:$E$186,"&gt;0",$K$19:$K$186,"&lt;"&amp;K145)+(COUNTIFS($E$19:$E$186,"&gt;0",$K$19:$K$186,K145)-1)/2)/(COUNTIF($E$19:$E$186,"&gt;0")-1),50))</x:f>
        <x:v>24.675324675324674</x:v>
      </x:c>
      <x:c r="R145" s="501" t="n">
        <x:f>IF(E145=0,"",IFERROR(100*(COUNTIFS($E$19:$E$186,"&gt;0",$N$19:$N$186,"&lt;"&amp;N145)+(COUNTIFS($E$19:$E$186,"&gt;0",$N$19:$N$186,N145)-1)/2)/(COUNTIF($E$19:$E$186,"&gt;0")-1),50))</x:f>
        <x:v>48.701298701298704</x:v>
      </x:c>
      <x:c r="S145" s="501" t="n">
        <x:f>IF(E145=0,"",Q145*$R$5+R145*$R$6)</x:f>
        <x:v>29.48051948051948</x:v>
      </x:c>
      <x:c r="T145" s="501" t="str">
        <x:f>IF(M145=0,"",IFERROR(100*(COUNTIFS($M$19:$M$186,"&gt;0",$G$19:$G$186,"&gt;"&amp;G145)+(COUNTIFS($M$19:$M$186,"&gt;0",$G$19:$G$186,G145)-1)/2)/(COUNTIF($M$19:$M$186,"&gt;0")-1),50))</x:f>
      </x:c>
      <x:c r="U145" s="501" t="str">
        <x:f>IF(M145=0,"",IFERROR(100*(COUNTIFS($M$19:$M$186,"&gt;0",$M$19:$M$186,"&lt;"&amp;M145)+(COUNTIFS($M$19:$M$186,"&gt;0",$M$19:$M$186,M145)-1)/2)/(COUNTIF($M$19:$M$186,"&gt;0")-1),50))</x:f>
      </x:c>
      <x:c r="V145" s="501" t="str">
        <x:f>IF(M145=0,"",T145*$R$5+U145*$R$6)</x:f>
      </x:c>
      <x:c r="W145" s="431" t="n">
        <x:f>IF(E145=0,"",COUNTIFS($A$19:$A$186,A145,$S$19:$S$186,"&gt;"&amp;S145)+COUNTIFS($A$19:A145,A145,$E$19:E145,"&gt;0",$S$19:S145,S145))</x:f>
        <x:v>6</x:v>
      </x:c>
      <x:c r="X145" s="431" t="n">
        <x:f>IF(S145="","",1+COUNTIF($S$19:$S$186,"&gt;"&amp;S145))</x:f>
        <x:v>106</x:v>
      </x:c>
      <x:c r="Y145" s="431" t="str">
        <x:f>IF(V145="","",1+COUNTIFS($A$19:$A$186,A145,$V$19:$V$186,"&gt;"&amp;V145))</x:f>
      </x:c>
      <x:c r="Z145" s="431" t="str">
        <x:f>IF(V145="","",1+COUNTIF($V$19:$V$186,"&gt;"&amp;V145))</x:f>
      </x:c>
      <x:c r="AA145" s="430" t="str">
        <x:f>IF(C145=0,"No specialisations recorded",IF(D145&lt;C145,"Review missing level","Recorded skills only"))</x:f>
        <x:v>Recorded skills only</x:v>
      </x:c>
      <x:c r="AB145" s="601" t="n">
        <x:f>IF(OR(AP145&lt;&gt;"Yes",E145=0),"",IFERROR(100*(COUNTIFS($AP$19:$AP$186,"Yes",$E$19:$E$186,"&gt;0",$I$19:$I$186,"&lt;"&amp;I145)+(COUNTIFS($AP$19:$AP$186,"Yes",$E$19:$E$186,"&gt;0",$I$19:$I$186,I145)-1)/2)/(COUNTIFS($AP$19:$AP$186,"Yes",$E$19:$E$186,"&gt;0")-1),50))</x:f>
        <x:v>48.701298701298704</x:v>
      </x:c>
      <x:c r="AC145" s="601" t="n">
        <x:f>IF(AB145="","",AB145*'Specialisation Rankings'!$O$16+R145*'Specialisation Rankings'!$O$17)</x:f>
        <x:v>48.70129870129871</x:v>
      </x:c>
      <x:c r="AD145" s="601" t="n">
        <x:f>IF(AC145="","",COUNTIFS($A$19:$A$186,A145,$AP$19:$AP$186,"Yes",$E$19:$E$186,"&gt;0",$AC$19:$AC$186,"&gt;"&amp;AC145)+COUNTIFS($A$19:A145,A145,$AP$19:AP145,"Yes",$E$19:E145,"&gt;0",$AC$19:AC145,AC145))</x:f>
        <x:v>5</x:v>
      </x:c>
      <x:c r="AE145" s="601" t="n">
        <x:f>IF(OR(AP145&lt;&gt;"Yes",E145=0),"",IFERROR(100*(COUNTIFS($AP$19:$AP$186,"Yes",$E$19:$E$186,"&gt;0",$H$19:$H$186,"&lt;"&amp;H145)+(COUNTIFS($AP$19:$AP$186,"Yes",$E$19:$E$186,"&gt;0",$H$19:$H$186,H145)-1)/2)/(COUNTIFS($AP$19:$AP$186,"Yes",$E$19:$E$186,"&gt;0")-1),50))</x:f>
        <x:v>11.688311688311689</x:v>
      </x:c>
      <x:c r="AF145" s="601" t="n">
        <x:f>IF(AE145="","",AE145*'Specialisation Rankings'!$O$16+R145*'Specialisation Rankings'!$O$17)</x:f>
        <x:v>19.090909090909093</x:v>
      </x:c>
      <x:c r="AG145" s="601" t="n">
        <x:f>IF(AF145="","",COUNTIFS($A$19:$A$186,A145,$AP$19:$AP$186,"Yes",$E$19:$E$186,"&gt;0",$AF$19:$AF$186,"&gt;"&amp;AF145)+COUNTIFS($A$19:A145,A145,$AP$19:AP145,"Yes",$E$19:E145,"&gt;0",$AF$19:AF145,AF145))</x:f>
        <x:v>18</x:v>
      </x:c>
      <x:c r="AH145" s="601" t="n">
        <x:f>IF(OR(AP145&lt;&gt;"Yes",E145=0),"",IFERROR(100*(COUNTIFS($AP$19:$AP$186,"Yes",$E$19:$E$186,"&gt;0",$J$19:$J$186,"&lt;"&amp;J145)+(COUNTIFS($AP$19:$AP$186,"Yes",$E$19:$E$186,"&gt;0",$J$19:$J$186,J145)-1)/2)/(COUNTIFS($AP$19:$AP$186,"Yes",$E$19:$E$186,"&gt;0")-1),50))</x:f>
        <x:v>33.116883116883116</x:v>
      </x:c>
      <x:c r="AI145" s="601" t="n">
        <x:f>IF(AH145="","",AH145*'Specialisation Rankings'!$O$16+R145*'Specialisation Rankings'!$O$17)</x:f>
        <x:v>36.23376623376623</x:v>
      </x:c>
      <x:c r="AJ145" s="601" t="n">
        <x:f>IF(AI145="","",COUNTIFS($A$19:$A$186,A145,$AP$19:$AP$186,"Yes",$E$19:$E$186,"&gt;0",$AI$19:$AI$186,"&gt;"&amp;AI145)+COUNTIFS($A$19:A145,A145,$AP$19:AP145,"Yes",$E$19:E145,"&gt;0",$AI$19:AI145,AI145))</x:f>
        <x:v>6</x:v>
      </x:c>
      <x:c r="AK145" s="601" t="n">
        <x:f>IF(OR(AP145&lt;&gt;"Yes",E145=0),"",IF(M145=0,'Specialisation Rankings'!$O$23,V145))</x:f>
        <x:v>50</x:v>
      </x:c>
      <x:c r="AL145" s="601" t="n">
        <x:f>IF(AK145="","",COUNTIFS($A$19:$A$186,A145,$AP$19:$AP$186,"Yes",$E$19:$E$186,"&gt;0",$AK$19:$AK$186,"&gt;"&amp;AK145)+COUNTIFS($A$19:A145,A145,$AP$19:AP145,"Yes",$E$19:E145,"&gt;0",$AK$19:AK145,AK145))</x:f>
        <x:v>5</x:v>
      </x:c>
      <x:c r="AM145" s="601" t="n">
        <x:f>IF(AC145="","",AC145*'Specialisation Rankings'!$O$18+AF145*'Specialisation Rankings'!$O$19+AI145*'Specialisation Rankings'!$O$20+AK145*'Specialisation Rankings'!$O$21)</x:f>
        <x:v>44.00000000000001</x:v>
      </x:c>
      <x:c r="AN145" s="601" t="n">
        <x:f>IF(AM145="","",COUNTIFS($A$19:$A$186,A145,$AP$19:$AP$186,"Yes",$E$19:$E$186,"&gt;0",$AM$19:$AM$186,"&gt;"&amp;AM145)+COUNTIFS($A$19:A145,A145,$AP$19:AP145,"Yes",$E$19:E145,"&gt;0",$AM$19:AM145,AM145))</x:f>
        <x:v>5</x:v>
      </x:c>
      <x:c r="AO145" s="601" t="n">
        <x:f>IF(AM145="","",COUNTIFS($AP$19:$AP$186,"Yes",$E$19:$E$186,"&gt;0",$AM$19:$AM$186,"&gt;"&amp;AM145)+COUNTIFS($AP$19:AP145,"Yes",$E$19:E145,"&gt;0",$AM$19:AM145,AM145))</x:f>
        <x:v>88</x:v>
      </x:c>
      <x:c r="AP145" s="602" t="str">
        <x:f>IF(COUNTIFS('Player Scenario Model'!$A$6:$A$172,A145,'Player Scenario Model'!$B$6:$B$172,B145)&gt;0,"Yes","No")</x:f>
        <x:v>Yes</x:v>
      </x:c>
    </x:row>
    <x:row r="146" ht="24" customHeight="1">
      <x:c r="A146" s="430" t="str">
        <x:v>K197</x:v>
      </x:c>
      <x:c r="B146" s="430" t="str">
        <x:v>Oiuuuuuuuuuuuuu</x:v>
      </x:c>
      <x:c r="C146" s="431" t="n">
        <x:f>COUNTIFS('Specialisations'!$A$6:$A$527,A146,'Specialisations'!$B$6:$B$527,B146)</x:f>
        <x:v>2</x:v>
      </x:c>
      <x:c r="D146" s="431" t="n">
        <x:f>COUNTIFS('Specialisations'!$A$6:$A$527,A146,'Specialisations'!$B$6:$B$527,B146,'Specialisations'!$P$6:$P$527,"OK")</x:f>
        <x:v>2</x:v>
      </x:c>
      <x:c r="E146" s="431" t="n">
        <x:f>COUNTIFS('Specialisations'!$A$6:$A$527,A146,'Specialisations'!$B$6:$B$527,B146,'Specialisations'!$P$6:$P$527,"OK",'Specialisations'!$C$6:$C$527,"&lt;&gt;Guards")</x:f>
        <x:v>1</x:v>
      </x:c>
      <x:c r="F146" s="432" t="n">
        <x:f>IF(C146=0,"",D146/C146)</x:f>
        <x:v>1</x:v>
      </x:c>
      <x:c r="G146" s="495" t="n">
        <x:f>SUMIFS('Specialisations'!$Q$6:$Q$527,'Specialisations'!$A$6:$A$527,A146,'Specialisations'!$B$6:$B$527,B146,'Specialisations'!$C$6:$C$527,"Guards")</x:f>
        <x:v>-27.74</x:v>
      </x:c>
      <x:c r="H146" s="495" t="n">
        <x:f>SUMIFS('Specialisations'!$Q$6:$Q$527,'Specialisations'!$A$6:$A$527,A146,'Specialisations'!$B$6:$B$527,B146,'Specialisations'!$C$6:$C$527,"Archers")</x:f>
        <x:v>60</x:v>
      </x:c>
      <x:c r="I146" s="495" t="n">
        <x:f>SUMIFS('Specialisations'!$Q$6:$Q$527,'Specialisations'!$A$6:$A$527,A146,'Specialisations'!$B$6:$B$527,B146,'Specialisations'!$C$6:$C$527,"Cavalry")</x:f>
        <x:v>0</x:v>
      </x:c>
      <x:c r="J146" s="495" t="n">
        <x:f>SUMIFS('Specialisations'!$Q$6:$Q$527,'Specialisations'!$A$6:$A$527,A146,'Specialisations'!$B$6:$B$527,B146,'Specialisations'!$C$6:$C$527,"Siege")</x:f>
        <x:v>0</x:v>
      </x:c>
      <x:c r="K146" s="495" t="n">
        <x:f>SUM(H146:J146)</x:f>
        <x:v>60</x:v>
      </x:c>
      <x:c r="L146" s="495" t="n">
        <x:f>SUM(G146,K146)</x:f>
        <x:v>32.260000000000005</x:v>
      </x:c>
      <x:c r="M146" s="433" t="n">
        <x:f>SUMIFS('Specialisations'!$N$6:$N$527,'Specialisations'!$A$6:$A$527,A146,'Specialisations'!$B$6:$B$527,B146,'Specialisations'!$C$6:$C$527,"Guards")</x:f>
        <x:v>2244300</x:v>
      </x:c>
      <x:c r="N146" s="433" t="n">
        <x:f>SUMIFS('Specialisations'!$N$6:$N$527,'Specialisations'!$A$6:$A$527,A146,'Specialisations'!$B$6:$B$527,B146,'Specialisations'!$C$6:$C$527,"&lt;&gt;Guards")</x:f>
        <x:v>10334300</x:v>
      </x:c>
      <x:c r="O146" s="433" t="n">
        <x:f>SUM(M146:N146)</x:f>
        <x:v>12578600</x:v>
      </x:c>
      <x:c r="P146" s="434" t="n">
        <x:f>IF(E146=0,"",K146/E146)</x:f>
        <x:v>60</x:v>
      </x:c>
      <x:c r="Q146" s="501" t="n">
        <x:f>IF(E146=0,"",IFERROR(100*(COUNTIFS($E$19:$E$186,"&gt;0",$K$19:$K$186,"&lt;"&amp;K146)+(COUNTIFS($E$19:$E$186,"&gt;0",$K$19:$K$186,K146)-1)/2)/(COUNTIF($E$19:$E$186,"&gt;0")-1),50))</x:f>
        <x:v>24.675324675324674</x:v>
      </x:c>
      <x:c r="R146" s="501" t="n">
        <x:f>IF(E146=0,"",IFERROR(100*(COUNTIFS($E$19:$E$186,"&gt;0",$N$19:$N$186,"&lt;"&amp;N146)+(COUNTIFS($E$19:$E$186,"&gt;0",$N$19:$N$186,N146)-1)/2)/(COUNTIF($E$19:$E$186,"&gt;0")-1),50))</x:f>
        <x:v>48.701298701298704</x:v>
      </x:c>
      <x:c r="S146" s="501" t="n">
        <x:f>IF(E146=0,"",Q146*$R$5+R146*$R$6)</x:f>
        <x:v>29.48051948051948</x:v>
      </x:c>
      <x:c r="T146" s="501" t="n">
        <x:f>IF(M146=0,"",IFERROR(100*(COUNTIFS($M$19:$M$186,"&gt;0",$G$19:$G$186,"&gt;"&amp;G146)+(COUNTIFS($M$19:$M$186,"&gt;0",$G$19:$G$186,G146)-1)/2)/(COUNTIF($M$19:$M$186,"&gt;0")-1),50))</x:f>
        <x:v>29.487179487179485</x:v>
      </x:c>
      <x:c r="U146" s="501" t="n">
        <x:f>IF(M146=0,"",IFERROR(100*(COUNTIFS($M$19:$M$186,"&gt;0",$M$19:$M$186,"&lt;"&amp;M146)+(COUNTIFS($M$19:$M$186,"&gt;0",$M$19:$M$186,M146)-1)/2)/(COUNTIF($M$19:$M$186,"&gt;0")-1),50))</x:f>
        <x:v>29.487179487179485</x:v>
      </x:c>
      <x:c r="V146" s="501" t="n">
        <x:f>IF(M146=0,"",T146*$R$5+U146*$R$6)</x:f>
        <x:v>29.48717948717949</x:v>
      </x:c>
      <x:c r="W146" s="431" t="n">
        <x:f>IF(E146=0,"",COUNTIFS($A$19:$A$186,A146,$S$19:$S$186,"&gt;"&amp;S146)+COUNTIFS($A$19:A146,A146,$E$19:E146,"&gt;0",$S$19:S146,S146))</x:f>
        <x:v>7</x:v>
      </x:c>
      <x:c r="X146" s="431" t="n">
        <x:f>IF(S146="","",1+COUNTIF($S$19:$S$186,"&gt;"&amp;S146))</x:f>
        <x:v>106</x:v>
      </x:c>
      <x:c r="Y146" s="431" t="n">
        <x:f>IF(V146="","",1+COUNTIFS($A$19:$A$186,A146,$V$19:$V$186,"&gt;"&amp;V146))</x:f>
        <x:v>3</x:v>
      </x:c>
      <x:c r="Z146" s="431" t="n">
        <x:f>IF(V146="","",1+COUNTIF($V$19:$V$186,"&gt;"&amp;V146))</x:f>
        <x:v>70</x:v>
      </x:c>
      <x:c r="AA146" s="430" t="str">
        <x:f>IF(C146=0,"No specialisations recorded",IF(D146&lt;C146,"Review missing level","Recorded skills only"))</x:f>
        <x:v>Recorded skills only</x:v>
      </x:c>
      <x:c r="AB146" s="601" t="n">
        <x:f>IF(OR(AP146&lt;&gt;"Yes",E146=0),"",IFERROR(100*(COUNTIFS($AP$19:$AP$186,"Yes",$E$19:$E$186,"&gt;0",$I$19:$I$186,"&lt;"&amp;I146)+(COUNTIFS($AP$19:$AP$186,"Yes",$E$19:$E$186,"&gt;0",$I$19:$I$186,I146)-1)/2)/(COUNTIFS($AP$19:$AP$186,"Yes",$E$19:$E$186,"&gt;0")-1),50))</x:f>
        <x:v>10.38961038961039</x:v>
      </x:c>
      <x:c r="AC146" s="601" t="n">
        <x:f>IF(AB146="","",AB146*'Specialisation Rankings'!$O$16+R146*'Specialisation Rankings'!$O$17)</x:f>
        <x:v>18.051948051948052</x:v>
      </x:c>
      <x:c r="AD146" s="601" t="n">
        <x:f>IF(AC146="","",COUNTIFS($A$19:$A$186,A146,$AP$19:$AP$186,"Yes",$E$19:$E$186,"&gt;0",$AC$19:$AC$186,"&gt;"&amp;AC146)+COUNTIFS($A$19:A146,A146,$AP$19:AP146,"Yes",$E$19:E146,"&gt;0",$AC$19:AC146,AC146))</x:f>
        <x:v>8</x:v>
      </x:c>
      <x:c r="AE146" s="601" t="n">
        <x:f>IF(OR(AP146&lt;&gt;"Yes",E146=0),"",IFERROR(100*(COUNTIFS($AP$19:$AP$186,"Yes",$E$19:$E$186,"&gt;0",$H$19:$H$186,"&lt;"&amp;H146)+(COUNTIFS($AP$19:$AP$186,"Yes",$E$19:$E$186,"&gt;0",$H$19:$H$186,H146)-1)/2)/(COUNTIFS($AP$19:$AP$186,"Yes",$E$19:$E$186,"&gt;0")-1),50))</x:f>
        <x:v>89.6103896103896</x:v>
      </x:c>
      <x:c r="AF146" s="601" t="n">
        <x:f>IF(AE146="","",AE146*'Specialisation Rankings'!$O$16+R146*'Specialisation Rankings'!$O$17)</x:f>
        <x:v>81.42857142857143</x:v>
      </x:c>
      <x:c r="AG146" s="601" t="n">
        <x:f>IF(AF146="","",COUNTIFS($A$19:$A$186,A146,$AP$19:$AP$186,"Yes",$E$19:$E$186,"&gt;0",$AF$19:$AF$186,"&gt;"&amp;AF146)+COUNTIFS($A$19:A146,A146,$AP$19:AP146,"Yes",$E$19:E146,"&gt;0",$AF$19:AF146,AF146))</x:f>
        <x:v>5</x:v>
      </x:c>
      <x:c r="AH146" s="601" t="n">
        <x:f>IF(OR(AP146&lt;&gt;"Yes",E146=0),"",IFERROR(100*(COUNTIFS($AP$19:$AP$186,"Yes",$E$19:$E$186,"&gt;0",$J$19:$J$186,"&lt;"&amp;J146)+(COUNTIFS($AP$19:$AP$186,"Yes",$E$19:$E$186,"&gt;0",$J$19:$J$186,J146)-1)/2)/(COUNTIFS($AP$19:$AP$186,"Yes",$E$19:$E$186,"&gt;0")-1),50))</x:f>
        <x:v>33.116883116883116</x:v>
      </x:c>
      <x:c r="AI146" s="601" t="n">
        <x:f>IF(AH146="","",AH146*'Specialisation Rankings'!$O$16+R146*'Specialisation Rankings'!$O$17)</x:f>
        <x:v>36.23376623376623</x:v>
      </x:c>
      <x:c r="AJ146" s="601" t="n">
        <x:f>IF(AI146="","",COUNTIFS($A$19:$A$186,A146,$AP$19:$AP$186,"Yes",$E$19:$E$186,"&gt;0",$AI$19:$AI$186,"&gt;"&amp;AI146)+COUNTIFS($A$19:A146,A146,$AP$19:AP146,"Yes",$E$19:E146,"&gt;0",$AI$19:AI146,AI146))</x:f>
        <x:v>7</x:v>
      </x:c>
      <x:c r="AK146" s="601" t="n">
        <x:f>IF(OR(AP146&lt;&gt;"Yes",E146=0),"",IF(M146=0,'Specialisation Rankings'!$O$23,V146))</x:f>
        <x:v>29.48717948717949</x:v>
      </x:c>
      <x:c r="AL146" s="601" t="n">
        <x:f>IF(AK146="","",COUNTIFS($A$19:$A$186,A146,$AP$19:$AP$186,"Yes",$E$19:$E$186,"&gt;0",$AK$19:$AK$186,"&gt;"&amp;AK146)+COUNTIFS($A$19:A146,A146,$AP$19:AP146,"Yes",$E$19:E146,"&gt;0",$AK$19:AK146,AK146))</x:f>
        <x:v>16</x:v>
      </x:c>
      <x:c r="AM146" s="601" t="n">
        <x:f>IF(AC146="","",AC146*'Specialisation Rankings'!$O$18+AF146*'Specialisation Rankings'!$O$19+AI146*'Specialisation Rankings'!$O$20+AK146*'Specialisation Rankings'!$O$21)</x:f>
        <x:v>28.260406260406263</x:v>
      </x:c>
      <x:c r="AN146" s="601" t="n">
        <x:f>IF(AM146="","",COUNTIFS($A$19:$A$186,A146,$AP$19:$AP$186,"Yes",$E$19:$E$186,"&gt;0",$AM$19:$AM$186,"&gt;"&amp;AM146)+COUNTIFS($A$19:A146,A146,$AP$19:AP146,"Yes",$E$19:E146,"&gt;0",$AM$19:AM146,AM146))</x:f>
        <x:v>13</x:v>
      </x:c>
      <x:c r="AO146" s="601" t="n">
        <x:f>IF(AM146="","",COUNTIFS($AP$19:$AP$186,"Yes",$E$19:$E$186,"&gt;0",$AM$19:$AM$186,"&gt;"&amp;AM146)+COUNTIFS($AP$19:AP146,"Yes",$E$19:E146,"&gt;0",$AM$19:AM146,AM146))</x:f>
        <x:v>130</x:v>
      </x:c>
      <x:c r="AP146" s="602" t="str">
        <x:f>IF(COUNTIFS('Player Scenario Model'!$A$6:$A$172,A146,'Player Scenario Model'!$B$6:$B$172,B146)&gt;0,"Yes","No")</x:f>
        <x:v>Yes</x:v>
      </x:c>
    </x:row>
    <x:row r="147" ht="24" customHeight="1">
      <x:c r="A147" s="430" t="str">
        <x:v>K197</x:v>
      </x:c>
      <x:c r="B147" s="430" t="str">
        <x:v>々нυηтєя々</x:v>
      </x:c>
      <x:c r="C147" s="431" t="n">
        <x:f>COUNTIFS('Specialisations'!$A$6:$A$527,A147,'Specialisations'!$B$6:$B$527,B147)</x:f>
        <x:v>1</x:v>
      </x:c>
      <x:c r="D147" s="431" t="n">
        <x:f>COUNTIFS('Specialisations'!$A$6:$A$527,A147,'Specialisations'!$B$6:$B$527,B147,'Specialisations'!$P$6:$P$527,"OK")</x:f>
        <x:v>1</x:v>
      </x:c>
      <x:c r="E147" s="431" t="n">
        <x:f>COUNTIFS('Specialisations'!$A$6:$A$527,A147,'Specialisations'!$B$6:$B$527,B147,'Specialisations'!$P$6:$P$527,"OK",'Specialisations'!$C$6:$C$527,"&lt;&gt;Guards")</x:f>
        <x:v>1</x:v>
      </x:c>
      <x:c r="F147" s="432" t="n">
        <x:f>IF(C147=0,"",D147/C147)</x:f>
        <x:v>1</x:v>
      </x:c>
      <x:c r="G147" s="495" t="n">
        <x:f>SUMIFS('Specialisations'!$Q$6:$Q$527,'Specialisations'!$A$6:$A$527,A147,'Specialisations'!$B$6:$B$527,B147,'Specialisations'!$C$6:$C$527,"Guards")</x:f>
        <x:v>0</x:v>
      </x:c>
      <x:c r="H147" s="495" t="n">
        <x:f>SUMIFS('Specialisations'!$Q$6:$Q$527,'Specialisations'!$A$6:$A$527,A147,'Specialisations'!$B$6:$B$527,B147,'Specialisations'!$C$6:$C$527,"Archers")</x:f>
        <x:v>45.13</x:v>
      </x:c>
      <x:c r="I147" s="495" t="n">
        <x:f>SUMIFS('Specialisations'!$Q$6:$Q$527,'Specialisations'!$A$6:$A$527,A147,'Specialisations'!$B$6:$B$527,B147,'Specialisations'!$C$6:$C$527,"Cavalry")</x:f>
        <x:v>0</x:v>
      </x:c>
      <x:c r="J147" s="495" t="n">
        <x:f>SUMIFS('Specialisations'!$Q$6:$Q$527,'Specialisations'!$A$6:$A$527,A147,'Specialisations'!$B$6:$B$527,B147,'Specialisations'!$C$6:$C$527,"Siege")</x:f>
        <x:v>0</x:v>
      </x:c>
      <x:c r="K147" s="495" t="n">
        <x:f>SUM(H147:J147)</x:f>
        <x:v>45.13</x:v>
      </x:c>
      <x:c r="L147" s="495" t="n">
        <x:f>SUM(G147,K147)</x:f>
        <x:v>45.13</x:v>
      </x:c>
      <x:c r="M147" s="433" t="n">
        <x:f>SUMIFS('Specialisations'!$N$6:$N$527,'Specialisations'!$A$6:$A$527,A147,'Specialisations'!$B$6:$B$527,B147,'Specialisations'!$C$6:$C$527,"Guards")</x:f>
        <x:v>0</x:v>
      </x:c>
      <x:c r="N147" s="433" t="n">
        <x:f>SUMIFS('Specialisations'!$N$6:$N$527,'Specialisations'!$A$6:$A$527,A147,'Specialisations'!$B$6:$B$527,B147,'Specialisations'!$C$6:$C$527,"&lt;&gt;Guards")</x:f>
        <x:v>5004300</x:v>
      </x:c>
      <x:c r="O147" s="433" t="n">
        <x:f>SUM(M147:N147)</x:f>
        <x:v>5004300</x:v>
      </x:c>
      <x:c r="P147" s="434" t="n">
        <x:f>IF(E147=0,"",K147/E147)</x:f>
        <x:v>45.13</x:v>
      </x:c>
      <x:c r="Q147" s="501" t="n">
        <x:f>IF(E147=0,"",IFERROR(100*(COUNTIFS($E$19:$E$186,"&gt;0",$K$19:$K$186,"&lt;"&amp;K147)+(COUNTIFS($E$19:$E$186,"&gt;0",$K$19:$K$186,K147)-1)/2)/(COUNTIF($E$19:$E$186,"&gt;0")-1),50))</x:f>
        <x:v>9.415584415584416</x:v>
      </x:c>
      <x:c r="R147" s="501" t="n">
        <x:f>IF(E147=0,"",IFERROR(100*(COUNTIFS($E$19:$E$186,"&gt;0",$N$19:$N$186,"&lt;"&amp;N147)+(COUNTIFS($E$19:$E$186,"&gt;0",$N$19:$N$186,N147)-1)/2)/(COUNTIF($E$19:$E$186,"&gt;0")-1),50))</x:f>
        <x:v>12.012987012987013</x:v>
      </x:c>
      <x:c r="S147" s="501" t="n">
        <x:f>IF(E147=0,"",Q147*$R$5+R147*$R$6)</x:f>
        <x:v>9.935064935064934</x:v>
      </x:c>
      <x:c r="T147" s="501" t="str">
        <x:f>IF(M147=0,"",IFERROR(100*(COUNTIFS($M$19:$M$186,"&gt;0",$G$19:$G$186,"&gt;"&amp;G147)+(COUNTIFS($M$19:$M$186,"&gt;0",$G$19:$G$186,G147)-1)/2)/(COUNTIF($M$19:$M$186,"&gt;0")-1),50))</x:f>
      </x:c>
      <x:c r="U147" s="501" t="str">
        <x:f>IF(M147=0,"",IFERROR(100*(COUNTIFS($M$19:$M$186,"&gt;0",$M$19:$M$186,"&lt;"&amp;M147)+(COUNTIFS($M$19:$M$186,"&gt;0",$M$19:$M$186,M147)-1)/2)/(COUNTIF($M$19:$M$186,"&gt;0")-1),50))</x:f>
      </x:c>
      <x:c r="V147" s="501" t="str">
        <x:f>IF(M147=0,"",T147*$R$5+U147*$R$6)</x:f>
      </x:c>
      <x:c r="W147" s="431" t="n">
        <x:f>IF(E147=0,"",COUNTIFS($A$19:$A$186,A147,$S$19:$S$186,"&gt;"&amp;S147)+COUNTIFS($A$19:A147,A147,$E$19:E147,"&gt;0",$S$19:S147,S147))</x:f>
        <x:v>18</x:v>
      </x:c>
      <x:c r="X147" s="431" t="n">
        <x:f>IF(S147="","",1+COUNTIF($S$19:$S$186,"&gt;"&amp;S147))</x:f>
        <x:v>139</x:v>
      </x:c>
      <x:c r="Y147" s="431" t="str">
        <x:f>IF(V147="","",1+COUNTIFS($A$19:$A$186,A147,$V$19:$V$186,"&gt;"&amp;V147))</x:f>
      </x:c>
      <x:c r="Z147" s="431" t="str">
        <x:f>IF(V147="","",1+COUNTIF($V$19:$V$186,"&gt;"&amp;V147))</x:f>
      </x:c>
      <x:c r="AA147" s="430" t="str">
        <x:f>IF(C147=0,"No specialisations recorded",IF(D147&lt;C147,"Review missing level","Recorded skills only"))</x:f>
        <x:v>Recorded skills only</x:v>
      </x:c>
      <x:c r="AB147" s="601" t="n">
        <x:f>IF(OR(AP147&lt;&gt;"Yes",E147=0),"",IFERROR(100*(COUNTIFS($AP$19:$AP$186,"Yes",$E$19:$E$186,"&gt;0",$I$19:$I$186,"&lt;"&amp;I147)+(COUNTIFS($AP$19:$AP$186,"Yes",$E$19:$E$186,"&gt;0",$I$19:$I$186,I147)-1)/2)/(COUNTIFS($AP$19:$AP$186,"Yes",$E$19:$E$186,"&gt;0")-1),50))</x:f>
        <x:v>10.38961038961039</x:v>
      </x:c>
      <x:c r="AC147" s="601" t="n">
        <x:f>IF(AB147="","",AB147*'Specialisation Rankings'!$O$16+R147*'Specialisation Rankings'!$O$17)</x:f>
        <x:v>10.714285714285715</x:v>
      </x:c>
      <x:c r="AD147" s="601" t="n">
        <x:f>IF(AC147="","",COUNTIFS($A$19:$A$186,A147,$AP$19:$AP$186,"Yes",$E$19:$E$186,"&gt;0",$AC$19:$AC$186,"&gt;"&amp;AC147)+COUNTIFS($A$19:A147,A147,$AP$19:AP147,"Yes",$E$19:E147,"&gt;0",$AC$19:AC147,AC147))</x:f>
        <x:v>18</x:v>
      </x:c>
      <x:c r="AE147" s="601" t="n">
        <x:f>IF(OR(AP147&lt;&gt;"Yes",E147=0),"",IFERROR(100*(COUNTIFS($AP$19:$AP$186,"Yes",$E$19:$E$186,"&gt;0",$H$19:$H$186,"&lt;"&amp;H147)+(COUNTIFS($AP$19:$AP$186,"Yes",$E$19:$E$186,"&gt;0",$H$19:$H$186,H147)-1)/2)/(COUNTIFS($AP$19:$AP$186,"Yes",$E$19:$E$186,"&gt;0")-1),50))</x:f>
        <x:v>74.02597402597402</x:v>
      </x:c>
      <x:c r="AF147" s="601" t="n">
        <x:f>IF(AE147="","",AE147*'Specialisation Rankings'!$O$16+R147*'Specialisation Rankings'!$O$17)</x:f>
        <x:v>61.62337662337662</x:v>
      </x:c>
      <x:c r="AG147" s="601" t="n">
        <x:f>IF(AF147="","",COUNTIFS($A$19:$A$186,A147,$AP$19:$AP$186,"Yes",$E$19:$E$186,"&gt;0",$AF$19:$AF$186,"&gt;"&amp;AF147)+COUNTIFS($A$19:A147,A147,$AP$19:AP147,"Yes",$E$19:E147,"&gt;0",$AF$19:AF147,AF147))</x:f>
        <x:v>15</x:v>
      </x:c>
      <x:c r="AH147" s="601" t="n">
        <x:f>IF(OR(AP147&lt;&gt;"Yes",E147=0),"",IFERROR(100*(COUNTIFS($AP$19:$AP$186,"Yes",$E$19:$E$186,"&gt;0",$J$19:$J$186,"&lt;"&amp;J147)+(COUNTIFS($AP$19:$AP$186,"Yes",$E$19:$E$186,"&gt;0",$J$19:$J$186,J147)-1)/2)/(COUNTIFS($AP$19:$AP$186,"Yes",$E$19:$E$186,"&gt;0")-1),50))</x:f>
        <x:v>33.116883116883116</x:v>
      </x:c>
      <x:c r="AI147" s="601" t="n">
        <x:f>IF(AH147="","",AH147*'Specialisation Rankings'!$O$16+R147*'Specialisation Rankings'!$O$17)</x:f>
        <x:v>28.896103896103895</x:v>
      </x:c>
      <x:c r="AJ147" s="601" t="n">
        <x:f>IF(AI147="","",COUNTIFS($A$19:$A$186,A147,$AP$19:$AP$186,"Yes",$E$19:$E$186,"&gt;0",$AI$19:$AI$186,"&gt;"&amp;AI147)+COUNTIFS($A$19:A147,A147,$AP$19:AP147,"Yes",$E$19:E147,"&gt;0",$AI$19:AI147,AI147))</x:f>
        <x:v>18</x:v>
      </x:c>
      <x:c r="AK147" s="601" t="n">
        <x:f>IF(OR(AP147&lt;&gt;"Yes",E147=0),"",IF(M147=0,'Specialisation Rankings'!$O$23,V147))</x:f>
        <x:v>50</x:v>
      </x:c>
      <x:c r="AL147" s="601" t="n">
        <x:f>IF(AK147="","",COUNTIFS($A$19:$A$186,A147,$AP$19:$AP$186,"Yes",$E$19:$E$186,"&gt;0",$AK$19:$AK$186,"&gt;"&amp;AK147)+COUNTIFS($A$19:A147,A147,$AP$19:AP147,"Yes",$E$19:E147,"&gt;0",$AK$19:AK147,AK147))</x:f>
        <x:v>6</x:v>
      </x:c>
      <x:c r="AM147" s="601" t="n">
        <x:f>IF(AC147="","",AC147*'Specialisation Rankings'!$O$18+AF147*'Specialisation Rankings'!$O$19+AI147*'Specialisation Rankings'!$O$20+AK147*'Specialisation Rankings'!$O$21)</x:f>
        <x:v>22.461038961038962</x:v>
      </x:c>
      <x:c r="AN147" s="601" t="n">
        <x:f>IF(AM147="","",COUNTIFS($A$19:$A$186,A147,$AP$19:$AP$186,"Yes",$E$19:$E$186,"&gt;0",$AM$19:$AM$186,"&gt;"&amp;AM147)+COUNTIFS($A$19:A147,A147,$AP$19:AP147,"Yes",$E$19:E147,"&gt;0",$AM$19:AM147,AM147))</x:f>
        <x:v>17</x:v>
      </x:c>
      <x:c r="AO147" s="601" t="n">
        <x:f>IF(AM147="","",COUNTIFS($AP$19:$AP$186,"Yes",$E$19:$E$186,"&gt;0",$AM$19:$AM$186,"&gt;"&amp;AM147)+COUNTIFS($AP$19:AP147,"Yes",$E$19:E147,"&gt;0",$AM$19:AM147,AM147))</x:f>
        <x:v>142</x:v>
      </x:c>
      <x:c r="AP147" s="602" t="str">
        <x:f>IF(COUNTIFS('Player Scenario Model'!$A$6:$A$172,A147,'Player Scenario Model'!$B$6:$B$172,B147)&gt;0,"Yes","No")</x:f>
        <x:v>Yes</x:v>
      </x:c>
    </x:row>
    <x:row r="148" ht="24" customHeight="1">
      <x:c r="A148" s="430" t="str">
        <x:v>K197</x:v>
      </x:c>
      <x:c r="B148" s="430" t="str">
        <x:v>Caramel</x:v>
      </x:c>
      <x:c r="C148" s="431" t="n">
        <x:f>COUNTIFS('Specialisations'!$A$6:$A$527,A148,'Specialisations'!$B$6:$B$527,B148)</x:f>
        <x:v>1</x:v>
      </x:c>
      <x:c r="D148" s="431" t="n">
        <x:f>COUNTIFS('Specialisations'!$A$6:$A$527,A148,'Specialisations'!$B$6:$B$527,B148,'Specialisations'!$P$6:$P$527,"OK")</x:f>
        <x:v>1</x:v>
      </x:c>
      <x:c r="E148" s="431" t="n">
        <x:f>COUNTIFS('Specialisations'!$A$6:$A$527,A148,'Specialisations'!$B$6:$B$527,B148,'Specialisations'!$P$6:$P$527,"OK",'Specialisations'!$C$6:$C$527,"&lt;&gt;Guards")</x:f>
        <x:v>1</x:v>
      </x:c>
      <x:c r="F148" s="432" t="n">
        <x:f>IF(C148=0,"",D148/C148)</x:f>
        <x:v>1</x:v>
      </x:c>
      <x:c r="G148" s="495" t="n">
        <x:f>SUMIFS('Specialisations'!$Q$6:$Q$527,'Specialisations'!$A$6:$A$527,A148,'Specialisations'!$B$6:$B$527,B148,'Specialisations'!$C$6:$C$527,"Guards")</x:f>
        <x:v>0</x:v>
      </x:c>
      <x:c r="H148" s="495" t="n">
        <x:f>SUMIFS('Specialisations'!$Q$6:$Q$527,'Specialisations'!$A$6:$A$527,A148,'Specialisations'!$B$6:$B$527,B148,'Specialisations'!$C$6:$C$527,"Archers")</x:f>
        <x:v>60</x:v>
      </x:c>
      <x:c r="I148" s="495" t="n">
        <x:f>SUMIFS('Specialisations'!$Q$6:$Q$527,'Specialisations'!$A$6:$A$527,A148,'Specialisations'!$B$6:$B$527,B148,'Specialisations'!$C$6:$C$527,"Cavalry")</x:f>
        <x:v>0</x:v>
      </x:c>
      <x:c r="J148" s="495" t="n">
        <x:f>SUMIFS('Specialisations'!$Q$6:$Q$527,'Specialisations'!$A$6:$A$527,A148,'Specialisations'!$B$6:$B$527,B148,'Specialisations'!$C$6:$C$527,"Siege")</x:f>
        <x:v>0</x:v>
      </x:c>
      <x:c r="K148" s="495" t="n">
        <x:f>SUM(H148:J148)</x:f>
        <x:v>60</x:v>
      </x:c>
      <x:c r="L148" s="495" t="n">
        <x:f>SUM(G148,K148)</x:f>
        <x:v>60</x:v>
      </x:c>
      <x:c r="M148" s="433" t="n">
        <x:f>SUMIFS('Specialisations'!$N$6:$N$527,'Specialisations'!$A$6:$A$527,A148,'Specialisations'!$B$6:$B$527,B148,'Specialisations'!$C$6:$C$527,"Guards")</x:f>
        <x:v>0</x:v>
      </x:c>
      <x:c r="N148" s="433" t="n">
        <x:f>SUMIFS('Specialisations'!$N$6:$N$527,'Specialisations'!$A$6:$A$527,A148,'Specialisations'!$B$6:$B$527,B148,'Specialisations'!$C$6:$C$527,"&lt;&gt;Guards")</x:f>
        <x:v>10334300</x:v>
      </x:c>
      <x:c r="O148" s="433" t="n">
        <x:f>SUM(M148:N148)</x:f>
        <x:v>10334300</x:v>
      </x:c>
      <x:c r="P148" s="434" t="n">
        <x:f>IF(E148=0,"",K148/E148)</x:f>
        <x:v>60</x:v>
      </x:c>
      <x:c r="Q148" s="501" t="n">
        <x:f>IF(E148=0,"",IFERROR(100*(COUNTIFS($E$19:$E$186,"&gt;0",$K$19:$K$186,"&lt;"&amp;K148)+(COUNTIFS($E$19:$E$186,"&gt;0",$K$19:$K$186,K148)-1)/2)/(COUNTIF($E$19:$E$186,"&gt;0")-1),50))</x:f>
        <x:v>24.675324675324674</x:v>
      </x:c>
      <x:c r="R148" s="501" t="n">
        <x:f>IF(E148=0,"",IFERROR(100*(COUNTIFS($E$19:$E$186,"&gt;0",$N$19:$N$186,"&lt;"&amp;N148)+(COUNTIFS($E$19:$E$186,"&gt;0",$N$19:$N$186,N148)-1)/2)/(COUNTIF($E$19:$E$186,"&gt;0")-1),50))</x:f>
        <x:v>48.701298701298704</x:v>
      </x:c>
      <x:c r="S148" s="501" t="n">
        <x:f>IF(E148=0,"",Q148*$R$5+R148*$R$6)</x:f>
        <x:v>29.48051948051948</x:v>
      </x:c>
      <x:c r="T148" s="501" t="str">
        <x:f>IF(M148=0,"",IFERROR(100*(COUNTIFS($M$19:$M$186,"&gt;0",$G$19:$G$186,"&gt;"&amp;G148)+(COUNTIFS($M$19:$M$186,"&gt;0",$G$19:$G$186,G148)-1)/2)/(COUNTIF($M$19:$M$186,"&gt;0")-1),50))</x:f>
      </x:c>
      <x:c r="U148" s="501" t="str">
        <x:f>IF(M148=0,"",IFERROR(100*(COUNTIFS($M$19:$M$186,"&gt;0",$M$19:$M$186,"&lt;"&amp;M148)+(COUNTIFS($M$19:$M$186,"&gt;0",$M$19:$M$186,M148)-1)/2)/(COUNTIF($M$19:$M$186,"&gt;0")-1),50))</x:f>
      </x:c>
      <x:c r="V148" s="501" t="str">
        <x:f>IF(M148=0,"",T148*$R$5+U148*$R$6)</x:f>
      </x:c>
      <x:c r="W148" s="431" t="n">
        <x:f>IF(E148=0,"",COUNTIFS($A$19:$A$186,A148,$S$19:$S$186,"&gt;"&amp;S148)+COUNTIFS($A$19:A148,A148,$E$19:E148,"&gt;0",$S$19:S148,S148))</x:f>
        <x:v>8</x:v>
      </x:c>
      <x:c r="X148" s="431" t="n">
        <x:f>IF(S148="","",1+COUNTIF($S$19:$S$186,"&gt;"&amp;S148))</x:f>
        <x:v>106</x:v>
      </x:c>
      <x:c r="Y148" s="431" t="str">
        <x:f>IF(V148="","",1+COUNTIFS($A$19:$A$186,A148,$V$19:$V$186,"&gt;"&amp;V148))</x:f>
      </x:c>
      <x:c r="Z148" s="431" t="str">
        <x:f>IF(V148="","",1+COUNTIF($V$19:$V$186,"&gt;"&amp;V148))</x:f>
      </x:c>
      <x:c r="AA148" s="430" t="str">
        <x:f>IF(C148=0,"No specialisations recorded",IF(D148&lt;C148,"Review missing level","Recorded skills only"))</x:f>
        <x:v>Recorded skills only</x:v>
      </x:c>
      <x:c r="AB148" s="601" t="n">
        <x:f>IF(OR(AP148&lt;&gt;"Yes",E148=0),"",IFERROR(100*(COUNTIFS($AP$19:$AP$186,"Yes",$E$19:$E$186,"&gt;0",$I$19:$I$186,"&lt;"&amp;I148)+(COUNTIFS($AP$19:$AP$186,"Yes",$E$19:$E$186,"&gt;0",$I$19:$I$186,I148)-1)/2)/(COUNTIFS($AP$19:$AP$186,"Yes",$E$19:$E$186,"&gt;0")-1),50))</x:f>
        <x:v>10.38961038961039</x:v>
      </x:c>
      <x:c r="AC148" s="601" t="n">
        <x:f>IF(AB148="","",AB148*'Specialisation Rankings'!$O$16+R148*'Specialisation Rankings'!$O$17)</x:f>
        <x:v>18.051948051948052</x:v>
      </x:c>
      <x:c r="AD148" s="601" t="n">
        <x:f>IF(AC148="","",COUNTIFS($A$19:$A$186,A148,$AP$19:$AP$186,"Yes",$E$19:$E$186,"&gt;0",$AC$19:$AC$186,"&gt;"&amp;AC148)+COUNTIFS($A$19:A148,A148,$AP$19:AP148,"Yes",$E$19:E148,"&gt;0",$AC$19:AC148,AC148))</x:f>
        <x:v>9</x:v>
      </x:c>
      <x:c r="AE148" s="601" t="n">
        <x:f>IF(OR(AP148&lt;&gt;"Yes",E148=0),"",IFERROR(100*(COUNTIFS($AP$19:$AP$186,"Yes",$E$19:$E$186,"&gt;0",$H$19:$H$186,"&lt;"&amp;H148)+(COUNTIFS($AP$19:$AP$186,"Yes",$E$19:$E$186,"&gt;0",$H$19:$H$186,H148)-1)/2)/(COUNTIFS($AP$19:$AP$186,"Yes",$E$19:$E$186,"&gt;0")-1),50))</x:f>
        <x:v>89.6103896103896</x:v>
      </x:c>
      <x:c r="AF148" s="601" t="n">
        <x:f>IF(AE148="","",AE148*'Specialisation Rankings'!$O$16+R148*'Specialisation Rankings'!$O$17)</x:f>
        <x:v>81.42857142857143</x:v>
      </x:c>
      <x:c r="AG148" s="601" t="n">
        <x:f>IF(AF148="","",COUNTIFS($A$19:$A$186,A148,$AP$19:$AP$186,"Yes",$E$19:$E$186,"&gt;0",$AF$19:$AF$186,"&gt;"&amp;AF148)+COUNTIFS($A$19:A148,A148,$AP$19:AP148,"Yes",$E$19:E148,"&gt;0",$AF$19:AF148,AF148))</x:f>
        <x:v>6</x:v>
      </x:c>
      <x:c r="AH148" s="601" t="n">
        <x:f>IF(OR(AP148&lt;&gt;"Yes",E148=0),"",IFERROR(100*(COUNTIFS($AP$19:$AP$186,"Yes",$E$19:$E$186,"&gt;0",$J$19:$J$186,"&lt;"&amp;J148)+(COUNTIFS($AP$19:$AP$186,"Yes",$E$19:$E$186,"&gt;0",$J$19:$J$186,J148)-1)/2)/(COUNTIFS($AP$19:$AP$186,"Yes",$E$19:$E$186,"&gt;0")-1),50))</x:f>
        <x:v>33.116883116883116</x:v>
      </x:c>
      <x:c r="AI148" s="601" t="n">
        <x:f>IF(AH148="","",AH148*'Specialisation Rankings'!$O$16+R148*'Specialisation Rankings'!$O$17)</x:f>
        <x:v>36.23376623376623</x:v>
      </x:c>
      <x:c r="AJ148" s="601" t="n">
        <x:f>IF(AI148="","",COUNTIFS($A$19:$A$186,A148,$AP$19:$AP$186,"Yes",$E$19:$E$186,"&gt;0",$AI$19:$AI$186,"&gt;"&amp;AI148)+COUNTIFS($A$19:A148,A148,$AP$19:AP148,"Yes",$E$19:E148,"&gt;0",$AI$19:AI148,AI148))</x:f>
        <x:v>8</x:v>
      </x:c>
      <x:c r="AK148" s="601" t="n">
        <x:f>IF(OR(AP148&lt;&gt;"Yes",E148=0),"",IF(M148=0,'Specialisation Rankings'!$O$23,V148))</x:f>
        <x:v>50</x:v>
      </x:c>
      <x:c r="AL148" s="601" t="n">
        <x:f>IF(AK148="","",COUNTIFS($A$19:$A$186,A148,$AP$19:$AP$186,"Yes",$E$19:$E$186,"&gt;0",$AK$19:$AK$186,"&gt;"&amp;AK148)+COUNTIFS($A$19:A148,A148,$AP$19:AP148,"Yes",$E$19:E148,"&gt;0",$AK$19:AK148,AK148))</x:f>
        <x:v>7</x:v>
      </x:c>
      <x:c r="AM148" s="601" t="n">
        <x:f>IF(AC148="","",AC148*'Specialisation Rankings'!$O$18+AF148*'Specialisation Rankings'!$O$19+AI148*'Specialisation Rankings'!$O$20+AK148*'Specialisation Rankings'!$O$21)</x:f>
        <x:v>30.311688311688314</x:v>
      </x:c>
      <x:c r="AN148" s="601" t="n">
        <x:f>IF(AM148="","",COUNTIFS($A$19:$A$186,A148,$AP$19:$AP$186,"Yes",$E$19:$E$186,"&gt;0",$AM$19:$AM$186,"&gt;"&amp;AM148)+COUNTIFS($A$19:A148,A148,$AP$19:AP148,"Yes",$E$19:E148,"&gt;0",$AM$19:AM148,AM148))</x:f>
        <x:v>9</x:v>
      </x:c>
      <x:c r="AO148" s="601" t="n">
        <x:f>IF(AM148="","",COUNTIFS($AP$19:$AP$186,"Yes",$E$19:$E$186,"&gt;0",$AM$19:$AM$186,"&gt;"&amp;AM148)+COUNTIFS($AP$19:AP148,"Yes",$E$19:E148,"&gt;0",$AM$19:AM148,AM148))</x:f>
        <x:v>120</x:v>
      </x:c>
      <x:c r="AP148" s="602" t="str">
        <x:f>IF(COUNTIFS('Player Scenario Model'!$A$6:$A$172,A148,'Player Scenario Model'!$B$6:$B$172,B148)&gt;0,"Yes","No")</x:f>
        <x:v>Yes</x:v>
      </x:c>
    </x:row>
    <x:row r="149" ht="24" customHeight="1">
      <x:c r="A149" s="430" t="str">
        <x:v>K197</x:v>
      </x:c>
      <x:c r="B149" s="430" t="str">
        <x:v>†ŁØRD†</x:v>
      </x:c>
      <x:c r="C149" s="431" t="n">
        <x:f>COUNTIFS('Specialisations'!$A$6:$A$527,A149,'Specialisations'!$B$6:$B$527,B149)</x:f>
        <x:v>1</x:v>
      </x:c>
      <x:c r="D149" s="431" t="n">
        <x:f>COUNTIFS('Specialisations'!$A$6:$A$527,A149,'Specialisations'!$B$6:$B$527,B149,'Specialisations'!$P$6:$P$527,"OK")</x:f>
        <x:v>1</x:v>
      </x:c>
      <x:c r="E149" s="431" t="n">
        <x:f>COUNTIFS('Specialisations'!$A$6:$A$527,A149,'Specialisations'!$B$6:$B$527,B149,'Specialisations'!$P$6:$P$527,"OK",'Specialisations'!$C$6:$C$527,"&lt;&gt;Guards")</x:f>
        <x:v>1</x:v>
      </x:c>
      <x:c r="F149" s="432" t="n">
        <x:f>IF(C149=0,"",D149/C149)</x:f>
        <x:v>1</x:v>
      </x:c>
      <x:c r="G149" s="495" t="n">
        <x:f>SUMIFS('Specialisations'!$Q$6:$Q$527,'Specialisations'!$A$6:$A$527,A149,'Specialisations'!$B$6:$B$527,B149,'Specialisations'!$C$6:$C$527,"Guards")</x:f>
        <x:v>0</x:v>
      </x:c>
      <x:c r="H149" s="495" t="n">
        <x:f>SUMIFS('Specialisations'!$Q$6:$Q$527,'Specialisations'!$A$6:$A$527,A149,'Specialisations'!$B$6:$B$527,B149,'Specialisations'!$C$6:$C$527,"Archers")</x:f>
        <x:v>55.2</x:v>
      </x:c>
      <x:c r="I149" s="495" t="n">
        <x:f>SUMIFS('Specialisations'!$Q$6:$Q$527,'Specialisations'!$A$6:$A$527,A149,'Specialisations'!$B$6:$B$527,B149,'Specialisations'!$C$6:$C$527,"Cavalry")</x:f>
        <x:v>0</x:v>
      </x:c>
      <x:c r="J149" s="495" t="n">
        <x:f>SUMIFS('Specialisations'!$Q$6:$Q$527,'Specialisations'!$A$6:$A$527,A149,'Specialisations'!$B$6:$B$527,B149,'Specialisations'!$C$6:$C$527,"Siege")</x:f>
        <x:v>0</x:v>
      </x:c>
      <x:c r="K149" s="495" t="n">
        <x:f>SUM(H149:J149)</x:f>
        <x:v>55.2</x:v>
      </x:c>
      <x:c r="L149" s="495" t="n">
        <x:f>SUM(G149,K149)</x:f>
        <x:v>55.2</x:v>
      </x:c>
      <x:c r="M149" s="433" t="n">
        <x:f>SUMIFS('Specialisations'!$N$6:$N$527,'Specialisations'!$A$6:$A$527,A149,'Specialisations'!$B$6:$B$527,B149,'Specialisations'!$C$6:$C$527,"Guards")</x:f>
        <x:v>0</x:v>
      </x:c>
      <x:c r="N149" s="433" t="n">
        <x:f>SUMIFS('Specialisations'!$N$6:$N$527,'Specialisations'!$A$6:$A$527,A149,'Specialisations'!$B$6:$B$527,B149,'Specialisations'!$C$6:$C$527,"&lt;&gt;Guards")</x:f>
        <x:v>8334300</x:v>
      </x:c>
      <x:c r="O149" s="433" t="n">
        <x:f>SUM(M149:N149)</x:f>
        <x:v>8334300</x:v>
      </x:c>
      <x:c r="P149" s="434" t="n">
        <x:f>IF(E149=0,"",K149/E149)</x:f>
        <x:v>55.2</x:v>
      </x:c>
      <x:c r="Q149" s="501" t="n">
        <x:f>IF(E149=0,"",IFERROR(100*(COUNTIFS($E$19:$E$186,"&gt;0",$K$19:$K$186,"&lt;"&amp;K149)+(COUNTIFS($E$19:$E$186,"&gt;0",$K$19:$K$186,K149)-1)/2)/(COUNTIF($E$19:$E$186,"&gt;0")-1),50))</x:f>
        <x:v>14.285714285714286</x:v>
      </x:c>
      <x:c r="R149" s="501" t="n">
        <x:f>IF(E149=0,"",IFERROR(100*(COUNTIFS($E$19:$E$186,"&gt;0",$N$19:$N$186,"&lt;"&amp;N149)+(COUNTIFS($E$19:$E$186,"&gt;0",$N$19:$N$186,N149)-1)/2)/(COUNTIF($E$19:$E$186,"&gt;0")-1),50))</x:f>
        <x:v>29.87012987012987</x:v>
      </x:c>
      <x:c r="S149" s="501" t="n">
        <x:f>IF(E149=0,"",Q149*$R$5+R149*$R$6)</x:f>
        <x:v>17.402597402597404</x:v>
      </x:c>
      <x:c r="T149" s="501" t="str">
        <x:f>IF(M149=0,"",IFERROR(100*(COUNTIFS($M$19:$M$186,"&gt;0",$G$19:$G$186,"&gt;"&amp;G149)+(COUNTIFS($M$19:$M$186,"&gt;0",$G$19:$G$186,G149)-1)/2)/(COUNTIF($M$19:$M$186,"&gt;0")-1),50))</x:f>
      </x:c>
      <x:c r="U149" s="501" t="str">
        <x:f>IF(M149=0,"",IFERROR(100*(COUNTIFS($M$19:$M$186,"&gt;0",$M$19:$M$186,"&lt;"&amp;M149)+(COUNTIFS($M$19:$M$186,"&gt;0",$M$19:$M$186,M149)-1)/2)/(COUNTIF($M$19:$M$186,"&gt;0")-1),50))</x:f>
      </x:c>
      <x:c r="V149" s="501" t="str">
        <x:f>IF(M149=0,"",T149*$R$5+U149*$R$6)</x:f>
      </x:c>
      <x:c r="W149" s="431" t="n">
        <x:f>IF(E149=0,"",COUNTIFS($A$19:$A$186,A149,$S$19:$S$186,"&gt;"&amp;S149)+COUNTIFS($A$19:A149,A149,$E$19:E149,"&gt;0",$S$19:S149,S149))</x:f>
        <x:v>15</x:v>
      </x:c>
      <x:c r="X149" s="431" t="n">
        <x:f>IF(S149="","",1+COUNTIF($S$19:$S$186,"&gt;"&amp;S149))</x:f>
        <x:v>128</x:v>
      </x:c>
      <x:c r="Y149" s="431" t="str">
        <x:f>IF(V149="","",1+COUNTIFS($A$19:$A$186,A149,$V$19:$V$186,"&gt;"&amp;V149))</x:f>
      </x:c>
      <x:c r="Z149" s="431" t="str">
        <x:f>IF(V149="","",1+COUNTIF($V$19:$V$186,"&gt;"&amp;V149))</x:f>
      </x:c>
      <x:c r="AA149" s="430" t="str">
        <x:f>IF(C149=0,"No specialisations recorded",IF(D149&lt;C149,"Review missing level","Recorded skills only"))</x:f>
        <x:v>Recorded skills only</x:v>
      </x:c>
      <x:c r="AB149" s="601" t="n">
        <x:f>IF(OR(AP149&lt;&gt;"Yes",E149=0),"",IFERROR(100*(COUNTIFS($AP$19:$AP$186,"Yes",$E$19:$E$186,"&gt;0",$I$19:$I$186,"&lt;"&amp;I149)+(COUNTIFS($AP$19:$AP$186,"Yes",$E$19:$E$186,"&gt;0",$I$19:$I$186,I149)-1)/2)/(COUNTIFS($AP$19:$AP$186,"Yes",$E$19:$E$186,"&gt;0")-1),50))</x:f>
        <x:v>10.38961038961039</x:v>
      </x:c>
      <x:c r="AC149" s="601" t="n">
        <x:f>IF(AB149="","",AB149*'Specialisation Rankings'!$O$16+R149*'Specialisation Rankings'!$O$17)</x:f>
        <x:v>14.285714285714286</x:v>
      </x:c>
      <x:c r="AD149" s="601" t="n">
        <x:f>IF(AC149="","",COUNTIFS($A$19:$A$186,A149,$AP$19:$AP$186,"Yes",$E$19:$E$186,"&gt;0",$AC$19:$AC$186,"&gt;"&amp;AC149)+COUNTIFS($A$19:A149,A149,$AP$19:AP149,"Yes",$E$19:E149,"&gt;0",$AC$19:AC149,AC149))</x:f>
        <x:v>15</x:v>
      </x:c>
      <x:c r="AE149" s="601" t="n">
        <x:f>IF(OR(AP149&lt;&gt;"Yes",E149=0),"",IFERROR(100*(COUNTIFS($AP$19:$AP$186,"Yes",$E$19:$E$186,"&gt;0",$H$19:$H$186,"&lt;"&amp;H149)+(COUNTIFS($AP$19:$AP$186,"Yes",$E$19:$E$186,"&gt;0",$H$19:$H$186,H149)-1)/2)/(COUNTIFS($AP$19:$AP$186,"Yes",$E$19:$E$186,"&gt;0")-1),50))</x:f>
        <x:v>82.14285714285714</x:v>
      </x:c>
      <x:c r="AF149" s="601" t="n">
        <x:f>IF(AE149="","",AE149*'Specialisation Rankings'!$O$16+R149*'Specialisation Rankings'!$O$17)</x:f>
        <x:v>71.68831168831169</x:v>
      </x:c>
      <x:c r="AG149" s="601" t="n">
        <x:f>IF(AF149="","",COUNTIFS($A$19:$A$186,A149,$AP$19:$AP$186,"Yes",$E$19:$E$186,"&gt;0",$AF$19:$AF$186,"&gt;"&amp;AF149)+COUNTIFS($A$19:A149,A149,$AP$19:AP149,"Yes",$E$19:E149,"&gt;0",$AF$19:AF149,AF149))</x:f>
        <x:v>12</x:v>
      </x:c>
      <x:c r="AH149" s="601" t="n">
        <x:f>IF(OR(AP149&lt;&gt;"Yes",E149=0),"",IFERROR(100*(COUNTIFS($AP$19:$AP$186,"Yes",$E$19:$E$186,"&gt;0",$J$19:$J$186,"&lt;"&amp;J149)+(COUNTIFS($AP$19:$AP$186,"Yes",$E$19:$E$186,"&gt;0",$J$19:$J$186,J149)-1)/2)/(COUNTIFS($AP$19:$AP$186,"Yes",$E$19:$E$186,"&gt;0")-1),50))</x:f>
        <x:v>33.116883116883116</x:v>
      </x:c>
      <x:c r="AI149" s="601" t="n">
        <x:f>IF(AH149="","",AH149*'Specialisation Rankings'!$O$16+R149*'Specialisation Rankings'!$O$17)</x:f>
        <x:v>32.467532467532465</x:v>
      </x:c>
      <x:c r="AJ149" s="601" t="n">
        <x:f>IF(AI149="","",COUNTIFS($A$19:$A$186,A149,$AP$19:$AP$186,"Yes",$E$19:$E$186,"&gt;0",$AI$19:$AI$186,"&gt;"&amp;AI149)+COUNTIFS($A$19:A149,A149,$AP$19:AP149,"Yes",$E$19:E149,"&gt;0",$AI$19:AI149,AI149))</x:f>
        <x:v>15</x:v>
      </x:c>
      <x:c r="AK149" s="601" t="n">
        <x:f>IF(OR(AP149&lt;&gt;"Yes",E149=0),"",IF(M149=0,'Specialisation Rankings'!$O$23,V149))</x:f>
        <x:v>50</x:v>
      </x:c>
      <x:c r="AL149" s="601" t="n">
        <x:f>IF(AK149="","",COUNTIFS($A$19:$A$186,A149,$AP$19:$AP$186,"Yes",$E$19:$E$186,"&gt;0",$AK$19:$AK$186,"&gt;"&amp;AK149)+COUNTIFS($A$19:A149,A149,$AP$19:AP149,"Yes",$E$19:E149,"&gt;0",$AK$19:AK149,AK149))</x:f>
        <x:v>8</x:v>
      </x:c>
      <x:c r="AM149" s="601" t="n">
        <x:f>IF(AC149="","",AC149*'Specialisation Rankings'!$O$18+AF149*'Specialisation Rankings'!$O$19+AI149*'Specialisation Rankings'!$O$20+AK149*'Specialisation Rankings'!$O$21)</x:f>
        <x:v>26.324675324675322</x:v>
      </x:c>
      <x:c r="AN149" s="601" t="n">
        <x:f>IF(AM149="","",COUNTIFS($A$19:$A$186,A149,$AP$19:$AP$186,"Yes",$E$19:$E$186,"&gt;0",$AM$19:$AM$186,"&gt;"&amp;AM149)+COUNTIFS($A$19:A149,A149,$AP$19:AP149,"Yes",$E$19:E149,"&gt;0",$AM$19:AM149,AM149))</x:f>
        <x:v>14</x:v>
      </x:c>
      <x:c r="AO149" s="601" t="n">
        <x:f>IF(AM149="","",COUNTIFS($AP$19:$AP$186,"Yes",$E$19:$E$186,"&gt;0",$AM$19:$AM$186,"&gt;"&amp;AM149)+COUNTIFS($AP$19:AP149,"Yes",$E$19:E149,"&gt;0",$AM$19:AM149,AM149))</x:f>
        <x:v>134</x:v>
      </x:c>
      <x:c r="AP149" s="602" t="str">
        <x:f>IF(COUNTIFS('Player Scenario Model'!$A$6:$A$172,A149,'Player Scenario Model'!$B$6:$B$172,B149)&gt;0,"Yes","No")</x:f>
        <x:v>Yes</x:v>
      </x:c>
    </x:row>
    <x:row r="150" ht="24" customHeight="1">
      <x:c r="A150" s="430" t="str">
        <x:v>K197</x:v>
      </x:c>
      <x:c r="B150" s="430" t="str">
        <x:v>RΣDΣYΣ</x:v>
      </x:c>
      <x:c r="C150" s="431" t="n">
        <x:f>COUNTIFS('Specialisations'!$A$6:$A$527,A150,'Specialisations'!$B$6:$B$527,B150)</x:f>
        <x:v>1</x:v>
      </x:c>
      <x:c r="D150" s="431" t="n">
        <x:f>COUNTIFS('Specialisations'!$A$6:$A$527,A150,'Specialisations'!$B$6:$B$527,B150,'Specialisations'!$P$6:$P$527,"OK")</x:f>
        <x:v>1</x:v>
      </x:c>
      <x:c r="E150" s="431" t="n">
        <x:f>COUNTIFS('Specialisations'!$A$6:$A$527,A150,'Specialisations'!$B$6:$B$527,B150,'Specialisations'!$P$6:$P$527,"OK",'Specialisations'!$C$6:$C$527,"&lt;&gt;Guards")</x:f>
        <x:v>1</x:v>
      </x:c>
      <x:c r="F150" s="432" t="n">
        <x:f>IF(C150=0,"",D150/C150)</x:f>
        <x:v>1</x:v>
      </x:c>
      <x:c r="G150" s="495" t="n">
        <x:f>SUMIFS('Specialisations'!$Q$6:$Q$527,'Specialisations'!$A$6:$A$527,A150,'Specialisations'!$B$6:$B$527,B150,'Specialisations'!$C$6:$C$527,"Guards")</x:f>
        <x:v>0</x:v>
      </x:c>
      <x:c r="H150" s="495" t="n">
        <x:f>SUMIFS('Specialisations'!$Q$6:$Q$527,'Specialisations'!$A$6:$A$527,A150,'Specialisations'!$B$6:$B$527,B150,'Specialisations'!$C$6:$C$527,"Archers")</x:f>
        <x:v>48.38</x:v>
      </x:c>
      <x:c r="I150" s="495" t="n">
        <x:f>SUMIFS('Specialisations'!$Q$6:$Q$527,'Specialisations'!$A$6:$A$527,A150,'Specialisations'!$B$6:$B$527,B150,'Specialisations'!$C$6:$C$527,"Cavalry")</x:f>
        <x:v>0</x:v>
      </x:c>
      <x:c r="J150" s="495" t="n">
        <x:f>SUMIFS('Specialisations'!$Q$6:$Q$527,'Specialisations'!$A$6:$A$527,A150,'Specialisations'!$B$6:$B$527,B150,'Specialisations'!$C$6:$C$527,"Siege")</x:f>
        <x:v>0</x:v>
      </x:c>
      <x:c r="K150" s="495" t="n">
        <x:f>SUM(H150:J150)</x:f>
        <x:v>48.38</x:v>
      </x:c>
      <x:c r="L150" s="495" t="n">
        <x:f>SUM(G150,K150)</x:f>
        <x:v>48.38</x:v>
      </x:c>
      <x:c r="M150" s="433" t="n">
        <x:f>SUMIFS('Specialisations'!$N$6:$N$527,'Specialisations'!$A$6:$A$527,A150,'Specialisations'!$B$6:$B$527,B150,'Specialisations'!$C$6:$C$527,"Guards")</x:f>
        <x:v>0</x:v>
      </x:c>
      <x:c r="N150" s="433" t="n">
        <x:f>SUMIFS('Specialisations'!$N$6:$N$527,'Specialisations'!$A$6:$A$527,A150,'Specialisations'!$B$6:$B$527,B150,'Specialisations'!$C$6:$C$527,"&lt;&gt;Guards")</x:f>
        <x:v>5884300</x:v>
      </x:c>
      <x:c r="O150" s="433" t="n">
        <x:f>SUM(M150:N150)</x:f>
        <x:v>5884300</x:v>
      </x:c>
      <x:c r="P150" s="434" t="n">
        <x:f>IF(E150=0,"",K150/E150)</x:f>
        <x:v>48.38</x:v>
      </x:c>
      <x:c r="Q150" s="501" t="n">
        <x:f>IF(E150=0,"",IFERROR(100*(COUNTIFS($E$19:$E$186,"&gt;0",$K$19:$K$186,"&lt;"&amp;K150)+(COUNTIFS($E$19:$E$186,"&gt;0",$K$19:$K$186,K150)-1)/2)/(COUNTIF($E$19:$E$186,"&gt;0")-1),50))</x:f>
        <x:v>12.012987012987013</x:v>
      </x:c>
      <x:c r="R150" s="501" t="n">
        <x:f>IF(E150=0,"",IFERROR(100*(COUNTIFS($E$19:$E$186,"&gt;0",$N$19:$N$186,"&lt;"&amp;N150)+(COUNTIFS($E$19:$E$186,"&gt;0",$N$19:$N$186,N150)-1)/2)/(COUNTIF($E$19:$E$186,"&gt;0")-1),50))</x:f>
        <x:v>18.506493506493506</x:v>
      </x:c>
      <x:c r="S150" s="501" t="n">
        <x:f>IF(E150=0,"",Q150*$R$5+R150*$R$6)</x:f>
        <x:v>13.311688311688311</x:v>
      </x:c>
      <x:c r="T150" s="501" t="str">
        <x:f>IF(M150=0,"",IFERROR(100*(COUNTIFS($M$19:$M$186,"&gt;0",$G$19:$G$186,"&gt;"&amp;G150)+(COUNTIFS($M$19:$M$186,"&gt;0",$G$19:$G$186,G150)-1)/2)/(COUNTIF($M$19:$M$186,"&gt;0")-1),50))</x:f>
      </x:c>
      <x:c r="U150" s="501" t="str">
        <x:f>IF(M150=0,"",IFERROR(100*(COUNTIFS($M$19:$M$186,"&gt;0",$M$19:$M$186,"&lt;"&amp;M150)+(COUNTIFS($M$19:$M$186,"&gt;0",$M$19:$M$186,M150)-1)/2)/(COUNTIF($M$19:$M$186,"&gt;0")-1),50))</x:f>
      </x:c>
      <x:c r="V150" s="501" t="str">
        <x:f>IF(M150=0,"",T150*$R$5+U150*$R$6)</x:f>
      </x:c>
      <x:c r="W150" s="431" t="n">
        <x:f>IF(E150=0,"",COUNTIFS($A$19:$A$186,A150,$S$19:$S$186,"&gt;"&amp;S150)+COUNTIFS($A$19:A150,A150,$E$19:E150,"&gt;0",$S$19:S150,S150))</x:f>
        <x:v>17</x:v>
      </x:c>
      <x:c r="X150" s="431" t="n">
        <x:f>IF(S150="","",1+COUNTIF($S$19:$S$186,"&gt;"&amp;S150))</x:f>
        <x:v>135</x:v>
      </x:c>
      <x:c r="Y150" s="431" t="str">
        <x:f>IF(V150="","",1+COUNTIFS($A$19:$A$186,A150,$V$19:$V$186,"&gt;"&amp;V150))</x:f>
      </x:c>
      <x:c r="Z150" s="431" t="str">
        <x:f>IF(V150="","",1+COUNTIF($V$19:$V$186,"&gt;"&amp;V150))</x:f>
      </x:c>
      <x:c r="AA150" s="430" t="str">
        <x:f>IF(C150=0,"No specialisations recorded",IF(D150&lt;C150,"Review missing level","Recorded skills only"))</x:f>
        <x:v>Recorded skills only</x:v>
      </x:c>
      <x:c r="AB150" s="601" t="n">
        <x:f>IF(OR(AP150&lt;&gt;"Yes",E150=0),"",IFERROR(100*(COUNTIFS($AP$19:$AP$186,"Yes",$E$19:$E$186,"&gt;0",$I$19:$I$186,"&lt;"&amp;I150)+(COUNTIFS($AP$19:$AP$186,"Yes",$E$19:$E$186,"&gt;0",$I$19:$I$186,I150)-1)/2)/(COUNTIFS($AP$19:$AP$186,"Yes",$E$19:$E$186,"&gt;0")-1),50))</x:f>
        <x:v>10.38961038961039</x:v>
      </x:c>
      <x:c r="AC150" s="601" t="n">
        <x:f>IF(AB150="","",AB150*'Specialisation Rankings'!$O$16+R150*'Specialisation Rankings'!$O$17)</x:f>
        <x:v>12.012987012987015</x:v>
      </x:c>
      <x:c r="AD150" s="601" t="n">
        <x:f>IF(AC150="","",COUNTIFS($A$19:$A$186,A150,$AP$19:$AP$186,"Yes",$E$19:$E$186,"&gt;0",$AC$19:$AC$186,"&gt;"&amp;AC150)+COUNTIFS($A$19:A150,A150,$AP$19:AP150,"Yes",$E$19:E150,"&gt;0",$AC$19:AC150,AC150))</x:f>
        <x:v>17</x:v>
      </x:c>
      <x:c r="AE150" s="601" t="n">
        <x:f>IF(OR(AP150&lt;&gt;"Yes",E150=0),"",IFERROR(100*(COUNTIFS($AP$19:$AP$186,"Yes",$E$19:$E$186,"&gt;0",$H$19:$H$186,"&lt;"&amp;H150)+(COUNTIFS($AP$19:$AP$186,"Yes",$E$19:$E$186,"&gt;0",$H$19:$H$186,H150)-1)/2)/(COUNTIFS($AP$19:$AP$186,"Yes",$E$19:$E$186,"&gt;0")-1),50))</x:f>
        <x:v>76.94805194805195</x:v>
      </x:c>
      <x:c r="AF150" s="601" t="n">
        <x:f>IF(AE150="","",AE150*'Specialisation Rankings'!$O$16+R150*'Specialisation Rankings'!$O$17)</x:f>
        <x:v>65.25974025974027</x:v>
      </x:c>
      <x:c r="AG150" s="601" t="n">
        <x:f>IF(AF150="","",COUNTIFS($A$19:$A$186,A150,$AP$19:$AP$186,"Yes",$E$19:$E$186,"&gt;0",$AF$19:$AF$186,"&gt;"&amp;AF150)+COUNTIFS($A$19:A150,A150,$AP$19:AP150,"Yes",$E$19:E150,"&gt;0",$AF$19:AF150,AF150))</x:f>
        <x:v>14</x:v>
      </x:c>
      <x:c r="AH150" s="601" t="n">
        <x:f>IF(OR(AP150&lt;&gt;"Yes",E150=0),"",IFERROR(100*(COUNTIFS($AP$19:$AP$186,"Yes",$E$19:$E$186,"&gt;0",$J$19:$J$186,"&lt;"&amp;J150)+(COUNTIFS($AP$19:$AP$186,"Yes",$E$19:$E$186,"&gt;0",$J$19:$J$186,J150)-1)/2)/(COUNTIFS($AP$19:$AP$186,"Yes",$E$19:$E$186,"&gt;0")-1),50))</x:f>
        <x:v>33.116883116883116</x:v>
      </x:c>
      <x:c r="AI150" s="601" t="n">
        <x:f>IF(AH150="","",AH150*'Specialisation Rankings'!$O$16+R150*'Specialisation Rankings'!$O$17)</x:f>
        <x:v>30.194805194805195</x:v>
      </x:c>
      <x:c r="AJ150" s="601" t="n">
        <x:f>IF(AI150="","",COUNTIFS($A$19:$A$186,A150,$AP$19:$AP$186,"Yes",$E$19:$E$186,"&gt;0",$AI$19:$AI$186,"&gt;"&amp;AI150)+COUNTIFS($A$19:A150,A150,$AP$19:AP150,"Yes",$E$19:E150,"&gt;0",$AI$19:AI150,AI150))</x:f>
        <x:v>17</x:v>
      </x:c>
      <x:c r="AK150" s="601" t="n">
        <x:f>IF(OR(AP150&lt;&gt;"Yes",E150=0),"",IF(M150=0,'Specialisation Rankings'!$O$23,V150))</x:f>
        <x:v>50</x:v>
      </x:c>
      <x:c r="AL150" s="601" t="n">
        <x:f>IF(AK150="","",COUNTIFS($A$19:$A$186,A150,$AP$19:$AP$186,"Yes",$E$19:$E$186,"&gt;0",$AK$19:$AK$186,"&gt;"&amp;AK150)+COUNTIFS($A$19:A150,A150,$AP$19:AP150,"Yes",$E$19:E150,"&gt;0",$AK$19:AK150,AK150))</x:f>
        <x:v>9</x:v>
      </x:c>
      <x:c r="AM150" s="601" t="n">
        <x:f>IF(AC150="","",AC150*'Specialisation Rankings'!$O$18+AF150*'Specialisation Rankings'!$O$19+AI150*'Specialisation Rankings'!$O$20+AK150*'Specialisation Rankings'!$O$21)</x:f>
        <x:v>23.863636363636367</x:v>
      </x:c>
      <x:c r="AN150" s="601" t="n">
        <x:f>IF(AM150="","",COUNTIFS($A$19:$A$186,A150,$AP$19:$AP$186,"Yes",$E$19:$E$186,"&gt;0",$AM$19:$AM$186,"&gt;"&amp;AM150)+COUNTIFS($A$19:A150,A150,$AP$19:AP150,"Yes",$E$19:E150,"&gt;0",$AM$19:AM150,AM150))</x:f>
        <x:v>16</x:v>
      </x:c>
      <x:c r="AO150" s="601" t="n">
        <x:f>IF(AM150="","",COUNTIFS($AP$19:$AP$186,"Yes",$E$19:$E$186,"&gt;0",$AM$19:$AM$186,"&gt;"&amp;AM150)+COUNTIFS($AP$19:AP150,"Yes",$E$19:E150,"&gt;0",$AM$19:AM150,AM150))</x:f>
        <x:v>139</x:v>
      </x:c>
      <x:c r="AP150" s="602" t="str">
        <x:f>IF(COUNTIFS('Player Scenario Model'!$A$6:$A$172,A150,'Player Scenario Model'!$B$6:$B$172,B150)&gt;0,"Yes","No")</x:f>
        <x:v>Yes</x:v>
      </x:c>
    </x:row>
    <x:row r="151" ht="24" customHeight="1">
      <x:c r="A151" s="430" t="str">
        <x:v>K197</x:v>
      </x:c>
      <x:c r="B151" s="430" t="str">
        <x:v>Loong</x:v>
      </x:c>
      <x:c r="C151" s="431" t="n">
        <x:f>COUNTIFS('Specialisations'!$A$6:$A$527,A151,'Specialisations'!$B$6:$B$527,B151)</x:f>
        <x:v>2</x:v>
      </x:c>
      <x:c r="D151" s="431" t="n">
        <x:f>COUNTIFS('Specialisations'!$A$6:$A$527,A151,'Specialisations'!$B$6:$B$527,B151,'Specialisations'!$P$6:$P$527,"OK")</x:f>
        <x:v>2</x:v>
      </x:c>
      <x:c r="E151" s="431" t="n">
        <x:f>COUNTIFS('Specialisations'!$A$6:$A$527,A151,'Specialisations'!$B$6:$B$527,B151,'Specialisations'!$P$6:$P$527,"OK",'Specialisations'!$C$6:$C$527,"&lt;&gt;Guards")</x:f>
        <x:v>1</x:v>
      </x:c>
      <x:c r="F151" s="432" t="n">
        <x:f>IF(C151=0,"",D151/C151)</x:f>
        <x:v>1</x:v>
      </x:c>
      <x:c r="G151" s="495" t="n">
        <x:f>SUMIFS('Specialisations'!$Q$6:$Q$527,'Specialisations'!$A$6:$A$527,A151,'Specialisations'!$B$6:$B$527,B151,'Specialisations'!$C$6:$C$527,"Guards")</x:f>
        <x:v>-55.2</x:v>
      </x:c>
      <x:c r="H151" s="495" t="n">
        <x:f>SUMIFS('Specialisations'!$Q$6:$Q$527,'Specialisations'!$A$6:$A$527,A151,'Specialisations'!$B$6:$B$527,B151,'Specialisations'!$C$6:$C$527,"Archers")</x:f>
        <x:v>60</x:v>
      </x:c>
      <x:c r="I151" s="495" t="n">
        <x:f>SUMIFS('Specialisations'!$Q$6:$Q$527,'Specialisations'!$A$6:$A$527,A151,'Specialisations'!$B$6:$B$527,B151,'Specialisations'!$C$6:$C$527,"Cavalry")</x:f>
        <x:v>0</x:v>
      </x:c>
      <x:c r="J151" s="495" t="n">
        <x:f>SUMIFS('Specialisations'!$Q$6:$Q$527,'Specialisations'!$A$6:$A$527,A151,'Specialisations'!$B$6:$B$527,B151,'Specialisations'!$C$6:$C$527,"Siege")</x:f>
        <x:v>0</x:v>
      </x:c>
      <x:c r="K151" s="495" t="n">
        <x:f>SUM(H151:J151)</x:f>
        <x:v>60</x:v>
      </x:c>
      <x:c r="L151" s="495" t="n">
        <x:f>SUM(G151,K151)</x:f>
        <x:v>4.799999999999997</x:v>
      </x:c>
      <x:c r="M151" s="433" t="n">
        <x:f>SUMIFS('Specialisations'!$N$6:$N$527,'Specialisations'!$A$6:$A$527,A151,'Specialisations'!$B$6:$B$527,B151,'Specialisations'!$C$6:$C$527,"Guards")</x:f>
        <x:v>8334300</x:v>
      </x:c>
      <x:c r="N151" s="433" t="n">
        <x:f>SUMIFS('Specialisations'!$N$6:$N$527,'Specialisations'!$A$6:$A$527,A151,'Specialisations'!$B$6:$B$527,B151,'Specialisations'!$C$6:$C$527,"&lt;&gt;Guards")</x:f>
        <x:v>10334300</x:v>
      </x:c>
      <x:c r="O151" s="433" t="n">
        <x:f>SUM(M151:N151)</x:f>
        <x:v>18668600</x:v>
      </x:c>
      <x:c r="P151" s="434" t="n">
        <x:f>IF(E151=0,"",K151/E151)</x:f>
        <x:v>60</x:v>
      </x:c>
      <x:c r="Q151" s="501" t="n">
        <x:f>IF(E151=0,"",IFERROR(100*(COUNTIFS($E$19:$E$186,"&gt;0",$K$19:$K$186,"&lt;"&amp;K151)+(COUNTIFS($E$19:$E$186,"&gt;0",$K$19:$K$186,K151)-1)/2)/(COUNTIF($E$19:$E$186,"&gt;0")-1),50))</x:f>
        <x:v>24.675324675324674</x:v>
      </x:c>
      <x:c r="R151" s="501" t="n">
        <x:f>IF(E151=0,"",IFERROR(100*(COUNTIFS($E$19:$E$186,"&gt;0",$N$19:$N$186,"&lt;"&amp;N151)+(COUNTIFS($E$19:$E$186,"&gt;0",$N$19:$N$186,N151)-1)/2)/(COUNTIF($E$19:$E$186,"&gt;0")-1),50))</x:f>
        <x:v>48.701298701298704</x:v>
      </x:c>
      <x:c r="S151" s="501" t="n">
        <x:f>IF(E151=0,"",Q151*$R$5+R151*$R$6)</x:f>
        <x:v>29.48051948051948</x:v>
      </x:c>
      <x:c r="T151" s="501" t="n">
        <x:f>IF(M151=0,"",IFERROR(100*(COUNTIFS($M$19:$M$186,"&gt;0",$G$19:$G$186,"&gt;"&amp;G151)+(COUNTIFS($M$19:$M$186,"&gt;0",$G$19:$G$186,G151)-1)/2)/(COUNTIF($M$19:$M$186,"&gt;0")-1),50))</x:f>
        <x:v>84.1880341880342</x:v>
      </x:c>
      <x:c r="U151" s="501" t="n">
        <x:f>IF(M151=0,"",IFERROR(100*(COUNTIFS($M$19:$M$186,"&gt;0",$M$19:$M$186,"&lt;"&amp;M151)+(COUNTIFS($M$19:$M$186,"&gt;0",$M$19:$M$186,M151)-1)/2)/(COUNTIF($M$19:$M$186,"&gt;0")-1),50))</x:f>
        <x:v>84.1880341880342</x:v>
      </x:c>
      <x:c r="V151" s="501" t="n">
        <x:f>IF(M151=0,"",T151*$R$5+U151*$R$6)</x:f>
        <x:v>84.18803418803418</x:v>
      </x:c>
      <x:c r="W151" s="431" t="n">
        <x:f>IF(E151=0,"",COUNTIFS($A$19:$A$186,A151,$S$19:$S$186,"&gt;"&amp;S151)+COUNTIFS($A$19:A151,A151,$E$19:E151,"&gt;0",$S$19:S151,S151))</x:f>
        <x:v>9</x:v>
      </x:c>
      <x:c r="X151" s="431" t="n">
        <x:f>IF(S151="","",1+COUNTIF($S$19:$S$186,"&gt;"&amp;S151))</x:f>
        <x:v>106</x:v>
      </x:c>
      <x:c r="Y151" s="431" t="n">
        <x:f>IF(V151="","",1+COUNTIFS($A$19:$A$186,A151,$V$19:$V$186,"&gt;"&amp;V151))</x:f>
        <x:v>2</x:v>
      </x:c>
      <x:c r="Z151" s="431" t="n">
        <x:f>IF(V151="","",1+COUNTIF($V$19:$V$186,"&gt;"&amp;V151))</x:f>
        <x:v>18</x:v>
      </x:c>
      <x:c r="AA151" s="430" t="str">
        <x:f>IF(C151=0,"No specialisations recorded",IF(D151&lt;C151,"Review missing level","Recorded skills only"))</x:f>
        <x:v>Recorded skills only</x:v>
      </x:c>
      <x:c r="AB151" s="601" t="n">
        <x:f>IF(OR(AP151&lt;&gt;"Yes",E151=0),"",IFERROR(100*(COUNTIFS($AP$19:$AP$186,"Yes",$E$19:$E$186,"&gt;0",$I$19:$I$186,"&lt;"&amp;I151)+(COUNTIFS($AP$19:$AP$186,"Yes",$E$19:$E$186,"&gt;0",$I$19:$I$186,I151)-1)/2)/(COUNTIFS($AP$19:$AP$186,"Yes",$E$19:$E$186,"&gt;0")-1),50))</x:f>
        <x:v>10.38961038961039</x:v>
      </x:c>
      <x:c r="AC151" s="601" t="n">
        <x:f>IF(AB151="","",AB151*'Specialisation Rankings'!$O$16+R151*'Specialisation Rankings'!$O$17)</x:f>
        <x:v>18.051948051948052</x:v>
      </x:c>
      <x:c r="AD151" s="601" t="n">
        <x:f>IF(AC151="","",COUNTIFS($A$19:$A$186,A151,$AP$19:$AP$186,"Yes",$E$19:$E$186,"&gt;0",$AC$19:$AC$186,"&gt;"&amp;AC151)+COUNTIFS($A$19:A151,A151,$AP$19:AP151,"Yes",$E$19:E151,"&gt;0",$AC$19:AC151,AC151))</x:f>
        <x:v>10</x:v>
      </x:c>
      <x:c r="AE151" s="601" t="n">
        <x:f>IF(OR(AP151&lt;&gt;"Yes",E151=0),"",IFERROR(100*(COUNTIFS($AP$19:$AP$186,"Yes",$E$19:$E$186,"&gt;0",$H$19:$H$186,"&lt;"&amp;H151)+(COUNTIFS($AP$19:$AP$186,"Yes",$E$19:$E$186,"&gt;0",$H$19:$H$186,H151)-1)/2)/(COUNTIFS($AP$19:$AP$186,"Yes",$E$19:$E$186,"&gt;0")-1),50))</x:f>
        <x:v>89.6103896103896</x:v>
      </x:c>
      <x:c r="AF151" s="601" t="n">
        <x:f>IF(AE151="","",AE151*'Specialisation Rankings'!$O$16+R151*'Specialisation Rankings'!$O$17)</x:f>
        <x:v>81.42857142857143</x:v>
      </x:c>
      <x:c r="AG151" s="601" t="n">
        <x:f>IF(AF151="","",COUNTIFS($A$19:$A$186,A151,$AP$19:$AP$186,"Yes",$E$19:$E$186,"&gt;0",$AF$19:$AF$186,"&gt;"&amp;AF151)+COUNTIFS($A$19:A151,A151,$AP$19:AP151,"Yes",$E$19:E151,"&gt;0",$AF$19:AF151,AF151))</x:f>
        <x:v>7</x:v>
      </x:c>
      <x:c r="AH151" s="601" t="n">
        <x:f>IF(OR(AP151&lt;&gt;"Yes",E151=0),"",IFERROR(100*(COUNTIFS($AP$19:$AP$186,"Yes",$E$19:$E$186,"&gt;0",$J$19:$J$186,"&lt;"&amp;J151)+(COUNTIFS($AP$19:$AP$186,"Yes",$E$19:$E$186,"&gt;0",$J$19:$J$186,J151)-1)/2)/(COUNTIFS($AP$19:$AP$186,"Yes",$E$19:$E$186,"&gt;0")-1),50))</x:f>
        <x:v>33.116883116883116</x:v>
      </x:c>
      <x:c r="AI151" s="601" t="n">
        <x:f>IF(AH151="","",AH151*'Specialisation Rankings'!$O$16+R151*'Specialisation Rankings'!$O$17)</x:f>
        <x:v>36.23376623376623</x:v>
      </x:c>
      <x:c r="AJ151" s="601" t="n">
        <x:f>IF(AI151="","",COUNTIFS($A$19:$A$186,A151,$AP$19:$AP$186,"Yes",$E$19:$E$186,"&gt;0",$AI$19:$AI$186,"&gt;"&amp;AI151)+COUNTIFS($A$19:A151,A151,$AP$19:AP151,"Yes",$E$19:E151,"&gt;0",$AI$19:AI151,AI151))</x:f>
        <x:v>9</x:v>
      </x:c>
      <x:c r="AK151" s="601" t="n">
        <x:f>IF(OR(AP151&lt;&gt;"Yes",E151=0),"",IF(M151=0,'Specialisation Rankings'!$O$23,V151))</x:f>
        <x:v>84.18803418803418</x:v>
      </x:c>
      <x:c r="AL151" s="601" t="n">
        <x:f>IF(AK151="","",COUNTIFS($A$19:$A$186,A151,$AP$19:$AP$186,"Yes",$E$19:$E$186,"&gt;0",$AK$19:$AK$186,"&gt;"&amp;AK151)+COUNTIFS($A$19:A151,A151,$AP$19:AP151,"Yes",$E$19:E151,"&gt;0",$AK$19:AK151,AK151))</x:f>
        <x:v>2</x:v>
      </x:c>
      <x:c r="AM151" s="601" t="n">
        <x:f>IF(AC151="","",AC151*'Specialisation Rankings'!$O$18+AF151*'Specialisation Rankings'!$O$19+AI151*'Specialisation Rankings'!$O$20+AK151*'Specialisation Rankings'!$O$21)</x:f>
        <x:v>33.730491730491735</x:v>
      </x:c>
      <x:c r="AN151" s="601" t="n">
        <x:f>IF(AM151="","",COUNTIFS($A$19:$A$186,A151,$AP$19:$AP$186,"Yes",$E$19:$E$186,"&gt;0",$AM$19:$AM$186,"&gt;"&amp;AM151)+COUNTIFS($A$19:A151,A151,$AP$19:AP151,"Yes",$E$19:E151,"&gt;0",$AM$19:AM151,AM151))</x:f>
        <x:v>8</x:v>
      </x:c>
      <x:c r="AO151" s="601" t="n">
        <x:f>IF(AM151="","",COUNTIFS($AP$19:$AP$186,"Yes",$E$19:$E$186,"&gt;0",$AM$19:$AM$186,"&gt;"&amp;AM151)+COUNTIFS($AP$19:AP151,"Yes",$E$19:E151,"&gt;0",$AM$19:AM151,AM151))</x:f>
        <x:v>108</x:v>
      </x:c>
      <x:c r="AP151" s="602" t="str">
        <x:f>IF(COUNTIFS('Player Scenario Model'!$A$6:$A$172,A151,'Player Scenario Model'!$B$6:$B$172,B151)&gt;0,"Yes","No")</x:f>
        <x:v>Yes</x:v>
      </x:c>
    </x:row>
    <x:row r="152" ht="24" customHeight="1">
      <x:c r="A152" s="430" t="str">
        <x:v>K197</x:v>
      </x:c>
      <x:c r="B152" s="430" t="str">
        <x:v>LUIGUI</x:v>
      </x:c>
      <x:c r="C152" s="431" t="n">
        <x:f>COUNTIFS('Specialisations'!$A$6:$A$527,A152,'Specialisations'!$B$6:$B$527,B152)</x:f>
        <x:v>1</x:v>
      </x:c>
      <x:c r="D152" s="431" t="n">
        <x:f>COUNTIFS('Specialisations'!$A$6:$A$527,A152,'Specialisations'!$B$6:$B$527,B152,'Specialisations'!$P$6:$P$527,"OK")</x:f>
        <x:v>1</x:v>
      </x:c>
      <x:c r="E152" s="431" t="n">
        <x:f>COUNTIFS('Specialisations'!$A$6:$A$527,A152,'Specialisations'!$B$6:$B$527,B152,'Specialisations'!$P$6:$P$527,"OK",'Specialisations'!$C$6:$C$527,"&lt;&gt;Guards")</x:f>
        <x:v>1</x:v>
      </x:c>
      <x:c r="F152" s="432" t="n">
        <x:f>IF(C152=0,"",D152/C152)</x:f>
        <x:v>1</x:v>
      </x:c>
      <x:c r="G152" s="495" t="n">
        <x:f>SUMIFS('Specialisations'!$Q$6:$Q$527,'Specialisations'!$A$6:$A$527,A152,'Specialisations'!$B$6:$B$527,B152,'Specialisations'!$C$6:$C$527,"Guards")</x:f>
        <x:v>0</x:v>
      </x:c>
      <x:c r="H152" s="495" t="n">
        <x:f>SUMIFS('Specialisations'!$Q$6:$Q$527,'Specialisations'!$A$6:$A$527,A152,'Specialisations'!$B$6:$B$527,B152,'Specialisations'!$C$6:$C$527,"Archers")</x:f>
        <x:v>27.74</x:v>
      </x:c>
      <x:c r="I152" s="495" t="n">
        <x:f>SUMIFS('Specialisations'!$Q$6:$Q$527,'Specialisations'!$A$6:$A$527,A152,'Specialisations'!$B$6:$B$527,B152,'Specialisations'!$C$6:$C$527,"Cavalry")</x:f>
        <x:v>0</x:v>
      </x:c>
      <x:c r="J152" s="495" t="n">
        <x:f>SUMIFS('Specialisations'!$Q$6:$Q$527,'Specialisations'!$A$6:$A$527,A152,'Specialisations'!$B$6:$B$527,B152,'Specialisations'!$C$6:$C$527,"Siege")</x:f>
        <x:v>0</x:v>
      </x:c>
      <x:c r="K152" s="495" t="n">
        <x:f>SUM(H152:J152)</x:f>
        <x:v>27.74</x:v>
      </x:c>
      <x:c r="L152" s="495" t="n">
        <x:f>SUM(G152,K152)</x:f>
        <x:v>27.74</x:v>
      </x:c>
      <x:c r="M152" s="433" t="n">
        <x:f>SUMIFS('Specialisations'!$N$6:$N$527,'Specialisations'!$A$6:$A$527,A152,'Specialisations'!$B$6:$B$527,B152,'Specialisations'!$C$6:$C$527,"Guards")</x:f>
        <x:v>0</x:v>
      </x:c>
      <x:c r="N152" s="433" t="n">
        <x:f>SUMIFS('Specialisations'!$N$6:$N$527,'Specialisations'!$A$6:$A$527,A152,'Specialisations'!$B$6:$B$527,B152,'Specialisations'!$C$6:$C$527,"&lt;&gt;Guards")</x:f>
        <x:v>2244300</x:v>
      </x:c>
      <x:c r="O152" s="433" t="n">
        <x:f>SUM(M152:N152)</x:f>
        <x:v>2244300</x:v>
      </x:c>
      <x:c r="P152" s="434" t="n">
        <x:f>IF(E152=0,"",K152/E152)</x:f>
        <x:v>27.74</x:v>
      </x:c>
      <x:c r="Q152" s="501" t="n">
        <x:f>IF(E152=0,"",IFERROR(100*(COUNTIFS($E$19:$E$186,"&gt;0",$K$19:$K$186,"&lt;"&amp;K152)+(COUNTIFS($E$19:$E$186,"&gt;0",$K$19:$K$186,K152)-1)/2)/(COUNTIF($E$19:$E$186,"&gt;0")-1),50))</x:f>
        <x:v>3.2467532467532467</x:v>
      </x:c>
      <x:c r="R152" s="501" t="n">
        <x:f>IF(E152=0,"",IFERROR(100*(COUNTIFS($E$19:$E$186,"&gt;0",$N$19:$N$186,"&lt;"&amp;N152)+(COUNTIFS($E$19:$E$186,"&gt;0",$N$19:$N$186,N152)-1)/2)/(COUNTIF($E$19:$E$186,"&gt;0")-1),50))</x:f>
        <x:v>3.2467532467532467</x:v>
      </x:c>
      <x:c r="S152" s="501" t="n">
        <x:f>IF(E152=0,"",Q152*$R$5+R152*$R$6)</x:f>
        <x:v>3.2467532467532467</x:v>
      </x:c>
      <x:c r="T152" s="501" t="str">
        <x:f>IF(M152=0,"",IFERROR(100*(COUNTIFS($M$19:$M$186,"&gt;0",$G$19:$G$186,"&gt;"&amp;G152)+(COUNTIFS($M$19:$M$186,"&gt;0",$G$19:$G$186,G152)-1)/2)/(COUNTIF($M$19:$M$186,"&gt;0")-1),50))</x:f>
      </x:c>
      <x:c r="U152" s="501" t="str">
        <x:f>IF(M152=0,"",IFERROR(100*(COUNTIFS($M$19:$M$186,"&gt;0",$M$19:$M$186,"&lt;"&amp;M152)+(COUNTIFS($M$19:$M$186,"&gt;0",$M$19:$M$186,M152)-1)/2)/(COUNTIF($M$19:$M$186,"&gt;0")-1),50))</x:f>
      </x:c>
      <x:c r="V152" s="501" t="str">
        <x:f>IF(M152=0,"",T152*$R$5+U152*$R$6)</x:f>
      </x:c>
      <x:c r="W152" s="431" t="n">
        <x:f>IF(E152=0,"",COUNTIFS($A$19:$A$186,A152,$S$19:$S$186,"&gt;"&amp;S152)+COUNTIFS($A$19:A152,A152,$E$19:E152,"&gt;0",$S$19:S152,S152))</x:f>
        <x:v>19</x:v>
      </x:c>
      <x:c r="X152" s="431" t="n">
        <x:f>IF(S152="","",1+COUNTIF($S$19:$S$186,"&gt;"&amp;S152))</x:f>
        <x:v>150</x:v>
      </x:c>
      <x:c r="Y152" s="431" t="str">
        <x:f>IF(V152="","",1+COUNTIFS($A$19:$A$186,A152,$V$19:$V$186,"&gt;"&amp;V152))</x:f>
      </x:c>
      <x:c r="Z152" s="431" t="str">
        <x:f>IF(V152="","",1+COUNTIF($V$19:$V$186,"&gt;"&amp;V152))</x:f>
      </x:c>
      <x:c r="AA152" s="430" t="str">
        <x:f>IF(C152=0,"No specialisations recorded",IF(D152&lt;C152,"Review missing level","Recorded skills only"))</x:f>
        <x:v>Recorded skills only</x:v>
      </x:c>
      <x:c r="AB152" s="601" t="n">
        <x:f>IF(OR(AP152&lt;&gt;"Yes",E152=0),"",IFERROR(100*(COUNTIFS($AP$19:$AP$186,"Yes",$E$19:$E$186,"&gt;0",$I$19:$I$186,"&lt;"&amp;I152)+(COUNTIFS($AP$19:$AP$186,"Yes",$E$19:$E$186,"&gt;0",$I$19:$I$186,I152)-1)/2)/(COUNTIFS($AP$19:$AP$186,"Yes",$E$19:$E$186,"&gt;0")-1),50))</x:f>
        <x:v>10.38961038961039</x:v>
      </x:c>
      <x:c r="AC152" s="601" t="n">
        <x:f>IF(AB152="","",AB152*'Specialisation Rankings'!$O$16+R152*'Specialisation Rankings'!$O$17)</x:f>
        <x:v>8.961038961038962</x:v>
      </x:c>
      <x:c r="AD152" s="601" t="n">
        <x:f>IF(AC152="","",COUNTIFS($A$19:$A$186,A152,$AP$19:$AP$186,"Yes",$E$19:$E$186,"&gt;0",$AC$19:$AC$186,"&gt;"&amp;AC152)+COUNTIFS($A$19:A152,A152,$AP$19:AP152,"Yes",$E$19:E152,"&gt;0",$AC$19:AC152,AC152))</x:f>
        <x:v>19</x:v>
      </x:c>
      <x:c r="AE152" s="601" t="n">
        <x:f>IF(OR(AP152&lt;&gt;"Yes",E152=0),"",IFERROR(100*(COUNTIFS($AP$19:$AP$186,"Yes",$E$19:$E$186,"&gt;0",$H$19:$H$186,"&lt;"&amp;H152)+(COUNTIFS($AP$19:$AP$186,"Yes",$E$19:$E$186,"&gt;0",$H$19:$H$186,H152)-1)/2)/(COUNTIFS($AP$19:$AP$186,"Yes",$E$19:$E$186,"&gt;0")-1),50))</x:f>
        <x:v>42.20779220779221</x:v>
      </x:c>
      <x:c r="AF152" s="601" t="n">
        <x:f>IF(AE152="","",AE152*'Specialisation Rankings'!$O$16+R152*'Specialisation Rankings'!$O$17)</x:f>
        <x:v>34.41558441558442</x:v>
      </x:c>
      <x:c r="AG152" s="601" t="n">
        <x:f>IF(AF152="","",COUNTIFS($A$19:$A$186,A152,$AP$19:$AP$186,"Yes",$E$19:$E$186,"&gt;0",$AF$19:$AF$186,"&gt;"&amp;AF152)+COUNTIFS($A$19:A152,A152,$AP$19:AP152,"Yes",$E$19:E152,"&gt;0",$AF$19:AF152,AF152))</x:f>
        <x:v>16</x:v>
      </x:c>
      <x:c r="AH152" s="601" t="n">
        <x:f>IF(OR(AP152&lt;&gt;"Yes",E152=0),"",IFERROR(100*(COUNTIFS($AP$19:$AP$186,"Yes",$E$19:$E$186,"&gt;0",$J$19:$J$186,"&lt;"&amp;J152)+(COUNTIFS($AP$19:$AP$186,"Yes",$E$19:$E$186,"&gt;0",$J$19:$J$186,J152)-1)/2)/(COUNTIFS($AP$19:$AP$186,"Yes",$E$19:$E$186,"&gt;0")-1),50))</x:f>
        <x:v>33.116883116883116</x:v>
      </x:c>
      <x:c r="AI152" s="601" t="n">
        <x:f>IF(AH152="","",AH152*'Specialisation Rankings'!$O$16+R152*'Specialisation Rankings'!$O$17)</x:f>
        <x:v>27.142857142857142</x:v>
      </x:c>
      <x:c r="AJ152" s="601" t="n">
        <x:f>IF(AI152="","",COUNTIFS($A$19:$A$186,A152,$AP$19:$AP$186,"Yes",$E$19:$E$186,"&gt;0",$AI$19:$AI$186,"&gt;"&amp;AI152)+COUNTIFS($A$19:A152,A152,$AP$19:AP152,"Yes",$E$19:E152,"&gt;0",$AI$19:AI152,AI152))</x:f>
        <x:v>19</x:v>
      </x:c>
      <x:c r="AK152" s="601" t="n">
        <x:f>IF(OR(AP152&lt;&gt;"Yes",E152=0),"",IF(M152=0,'Specialisation Rankings'!$O$23,V152))</x:f>
        <x:v>50</x:v>
      </x:c>
      <x:c r="AL152" s="601" t="n">
        <x:f>IF(AK152="","",COUNTIFS($A$19:$A$186,A152,$AP$19:$AP$186,"Yes",$E$19:$E$186,"&gt;0",$AK$19:$AK$186,"&gt;"&amp;AK152)+COUNTIFS($A$19:A152,A152,$AP$19:AP152,"Yes",$E$19:E152,"&gt;0",$AK$19:AK152,AK152))</x:f>
        <x:v>10</x:v>
      </x:c>
      <x:c r="AM152" s="601" t="n">
        <x:f>IF(AC152="","",AC152*'Specialisation Rankings'!$O$18+AF152*'Specialisation Rankings'!$O$19+AI152*'Specialisation Rankings'!$O$20+AK152*'Specialisation Rankings'!$O$21)</x:f>
        <x:v>18.337662337662337</x:v>
      </x:c>
      <x:c r="AN152" s="601" t="n">
        <x:f>IF(AM152="","",COUNTIFS($A$19:$A$186,A152,$AP$19:$AP$186,"Yes",$E$19:$E$186,"&gt;0",$AM$19:$AM$186,"&gt;"&amp;AM152)+COUNTIFS($A$19:A152,A152,$AP$19:AP152,"Yes",$E$19:E152,"&gt;0",$AM$19:AM152,AM152))</x:f>
        <x:v>19</x:v>
      </x:c>
      <x:c r="AO152" s="601" t="n">
        <x:f>IF(AM152="","",COUNTIFS($AP$19:$AP$186,"Yes",$E$19:$E$186,"&gt;0",$AM$19:$AM$186,"&gt;"&amp;AM152)+COUNTIFS($AP$19:AP152,"Yes",$E$19:E152,"&gt;0",$AM$19:AM152,AM152))</x:f>
        <x:v>152</x:v>
      </x:c>
      <x:c r="AP152" s="602" t="str">
        <x:f>IF(COUNTIFS('Player Scenario Model'!$A$6:$A$172,A152,'Player Scenario Model'!$B$6:$B$172,B152)&gt;0,"Yes","No")</x:f>
        <x:v>Yes</x:v>
      </x:c>
    </x:row>
    <x:row r="153" ht="24" customHeight="1">
      <x:c r="A153" s="430" t="str">
        <x:v>K197</x:v>
      </x:c>
      <x:c r="B153" s="430" t="str">
        <x:v>BocchiT__T</x:v>
      </x:c>
      <x:c r="C153" s="431" t="n">
        <x:f>COUNTIFS('Specialisations'!$A$6:$A$527,A153,'Specialisations'!$B$6:$B$527,B153)</x:f>
        <x:v>1</x:v>
      </x:c>
      <x:c r="D153" s="431" t="n">
        <x:f>COUNTIFS('Specialisations'!$A$6:$A$527,A153,'Specialisations'!$B$6:$B$527,B153,'Specialisations'!$P$6:$P$527,"OK")</x:f>
        <x:v>1</x:v>
      </x:c>
      <x:c r="E153" s="431" t="n">
        <x:f>COUNTIFS('Specialisations'!$A$6:$A$527,A153,'Specialisations'!$B$6:$B$527,B153,'Specialisations'!$P$6:$P$527,"OK",'Specialisations'!$C$6:$C$527,"&lt;&gt;Guards")</x:f>
        <x:v>1</x:v>
      </x:c>
      <x:c r="F153" s="432" t="n">
        <x:f>IF(C153=0,"",D153/C153)</x:f>
        <x:v>1</x:v>
      </x:c>
      <x:c r="G153" s="495" t="n">
        <x:f>SUMIFS('Specialisations'!$Q$6:$Q$527,'Specialisations'!$A$6:$A$527,A153,'Specialisations'!$B$6:$B$527,B153,'Specialisations'!$C$6:$C$527,"Guards")</x:f>
        <x:v>0</x:v>
      </x:c>
      <x:c r="H153" s="495" t="n">
        <x:f>SUMIFS('Specialisations'!$Q$6:$Q$527,'Specialisations'!$A$6:$A$527,A153,'Specialisations'!$B$6:$B$527,B153,'Specialisations'!$C$6:$C$527,"Archers")</x:f>
        <x:v>60</x:v>
      </x:c>
      <x:c r="I153" s="495" t="n">
        <x:f>SUMIFS('Specialisations'!$Q$6:$Q$527,'Specialisations'!$A$6:$A$527,A153,'Specialisations'!$B$6:$B$527,B153,'Specialisations'!$C$6:$C$527,"Cavalry")</x:f>
        <x:v>0</x:v>
      </x:c>
      <x:c r="J153" s="495" t="n">
        <x:f>SUMIFS('Specialisations'!$Q$6:$Q$527,'Specialisations'!$A$6:$A$527,A153,'Specialisations'!$B$6:$B$527,B153,'Specialisations'!$C$6:$C$527,"Siege")</x:f>
        <x:v>0</x:v>
      </x:c>
      <x:c r="K153" s="495" t="n">
        <x:f>SUM(H153:J153)</x:f>
        <x:v>60</x:v>
      </x:c>
      <x:c r="L153" s="495" t="n">
        <x:f>SUM(G153,K153)</x:f>
        <x:v>60</x:v>
      </x:c>
      <x:c r="M153" s="433" t="n">
        <x:f>SUMIFS('Specialisations'!$N$6:$N$527,'Specialisations'!$A$6:$A$527,A153,'Specialisations'!$B$6:$B$527,B153,'Specialisations'!$C$6:$C$527,"Guards")</x:f>
        <x:v>0</x:v>
      </x:c>
      <x:c r="N153" s="433" t="n">
        <x:f>SUMIFS('Specialisations'!$N$6:$N$527,'Specialisations'!$A$6:$A$527,A153,'Specialisations'!$B$6:$B$527,B153,'Specialisations'!$C$6:$C$527,"&lt;&gt;Guards")</x:f>
        <x:v>10334300</x:v>
      </x:c>
      <x:c r="O153" s="433" t="n">
        <x:f>SUM(M153:N153)</x:f>
        <x:v>10334300</x:v>
      </x:c>
      <x:c r="P153" s="434" t="n">
        <x:f>IF(E153=0,"",K153/E153)</x:f>
        <x:v>60</x:v>
      </x:c>
      <x:c r="Q153" s="501" t="n">
        <x:f>IF(E153=0,"",IFERROR(100*(COUNTIFS($E$19:$E$186,"&gt;0",$K$19:$K$186,"&lt;"&amp;K153)+(COUNTIFS($E$19:$E$186,"&gt;0",$K$19:$K$186,K153)-1)/2)/(COUNTIF($E$19:$E$186,"&gt;0")-1),50))</x:f>
        <x:v>24.675324675324674</x:v>
      </x:c>
      <x:c r="R153" s="501" t="n">
        <x:f>IF(E153=0,"",IFERROR(100*(COUNTIFS($E$19:$E$186,"&gt;0",$N$19:$N$186,"&lt;"&amp;N153)+(COUNTIFS($E$19:$E$186,"&gt;0",$N$19:$N$186,N153)-1)/2)/(COUNTIF($E$19:$E$186,"&gt;0")-1),50))</x:f>
        <x:v>48.701298701298704</x:v>
      </x:c>
      <x:c r="S153" s="501" t="n">
        <x:f>IF(E153=0,"",Q153*$R$5+R153*$R$6)</x:f>
        <x:v>29.48051948051948</x:v>
      </x:c>
      <x:c r="T153" s="501" t="str">
        <x:f>IF(M153=0,"",IFERROR(100*(COUNTIFS($M$19:$M$186,"&gt;0",$G$19:$G$186,"&gt;"&amp;G153)+(COUNTIFS($M$19:$M$186,"&gt;0",$G$19:$G$186,G153)-1)/2)/(COUNTIF($M$19:$M$186,"&gt;0")-1),50))</x:f>
      </x:c>
      <x:c r="U153" s="501" t="str">
        <x:f>IF(M153=0,"",IFERROR(100*(COUNTIFS($M$19:$M$186,"&gt;0",$M$19:$M$186,"&lt;"&amp;M153)+(COUNTIFS($M$19:$M$186,"&gt;0",$M$19:$M$186,M153)-1)/2)/(COUNTIF($M$19:$M$186,"&gt;0")-1),50))</x:f>
      </x:c>
      <x:c r="V153" s="501" t="str">
        <x:f>IF(M153=0,"",T153*$R$5+U153*$R$6)</x:f>
      </x:c>
      <x:c r="W153" s="431" t="n">
        <x:f>IF(E153=0,"",COUNTIFS($A$19:$A$186,A153,$S$19:$S$186,"&gt;"&amp;S153)+COUNTIFS($A$19:A153,A153,$E$19:E153,"&gt;0",$S$19:S153,S153))</x:f>
        <x:v>10</x:v>
      </x:c>
      <x:c r="X153" s="431" t="n">
        <x:f>IF(S153="","",1+COUNTIF($S$19:$S$186,"&gt;"&amp;S153))</x:f>
        <x:v>106</x:v>
      </x:c>
      <x:c r="Y153" s="431" t="str">
        <x:f>IF(V153="","",1+COUNTIFS($A$19:$A$186,A153,$V$19:$V$186,"&gt;"&amp;V153))</x:f>
      </x:c>
      <x:c r="Z153" s="431" t="str">
        <x:f>IF(V153="","",1+COUNTIF($V$19:$V$186,"&gt;"&amp;V153))</x:f>
      </x:c>
      <x:c r="AA153" s="430" t="str">
        <x:f>IF(C153=0,"No specialisations recorded",IF(D153&lt;C153,"Review missing level","Recorded skills only"))</x:f>
        <x:v>Recorded skills only</x:v>
      </x:c>
      <x:c r="AB153" s="601" t="n">
        <x:f>IF(OR(AP153&lt;&gt;"Yes",E153=0),"",IFERROR(100*(COUNTIFS($AP$19:$AP$186,"Yes",$E$19:$E$186,"&gt;0",$I$19:$I$186,"&lt;"&amp;I153)+(COUNTIFS($AP$19:$AP$186,"Yes",$E$19:$E$186,"&gt;0",$I$19:$I$186,I153)-1)/2)/(COUNTIFS($AP$19:$AP$186,"Yes",$E$19:$E$186,"&gt;0")-1),50))</x:f>
        <x:v>10.38961038961039</x:v>
      </x:c>
      <x:c r="AC153" s="601" t="n">
        <x:f>IF(AB153="","",AB153*'Specialisation Rankings'!$O$16+R153*'Specialisation Rankings'!$O$17)</x:f>
        <x:v>18.051948051948052</x:v>
      </x:c>
      <x:c r="AD153" s="601" t="n">
        <x:f>IF(AC153="","",COUNTIFS($A$19:$A$186,A153,$AP$19:$AP$186,"Yes",$E$19:$E$186,"&gt;0",$AC$19:$AC$186,"&gt;"&amp;AC153)+COUNTIFS($A$19:A153,A153,$AP$19:AP153,"Yes",$E$19:E153,"&gt;0",$AC$19:AC153,AC153))</x:f>
        <x:v>11</x:v>
      </x:c>
      <x:c r="AE153" s="601" t="n">
        <x:f>IF(OR(AP153&lt;&gt;"Yes",E153=0),"",IFERROR(100*(COUNTIFS($AP$19:$AP$186,"Yes",$E$19:$E$186,"&gt;0",$H$19:$H$186,"&lt;"&amp;H153)+(COUNTIFS($AP$19:$AP$186,"Yes",$E$19:$E$186,"&gt;0",$H$19:$H$186,H153)-1)/2)/(COUNTIFS($AP$19:$AP$186,"Yes",$E$19:$E$186,"&gt;0")-1),50))</x:f>
        <x:v>89.6103896103896</x:v>
      </x:c>
      <x:c r="AF153" s="601" t="n">
        <x:f>IF(AE153="","",AE153*'Specialisation Rankings'!$O$16+R153*'Specialisation Rankings'!$O$17)</x:f>
        <x:v>81.42857142857143</x:v>
      </x:c>
      <x:c r="AG153" s="601" t="n">
        <x:f>IF(AF153="","",COUNTIFS($A$19:$A$186,A153,$AP$19:$AP$186,"Yes",$E$19:$E$186,"&gt;0",$AF$19:$AF$186,"&gt;"&amp;AF153)+COUNTIFS($A$19:A153,A153,$AP$19:AP153,"Yes",$E$19:E153,"&gt;0",$AF$19:AF153,AF153))</x:f>
        <x:v>8</x:v>
      </x:c>
      <x:c r="AH153" s="601" t="n">
        <x:f>IF(OR(AP153&lt;&gt;"Yes",E153=0),"",IFERROR(100*(COUNTIFS($AP$19:$AP$186,"Yes",$E$19:$E$186,"&gt;0",$J$19:$J$186,"&lt;"&amp;J153)+(COUNTIFS($AP$19:$AP$186,"Yes",$E$19:$E$186,"&gt;0",$J$19:$J$186,J153)-1)/2)/(COUNTIFS($AP$19:$AP$186,"Yes",$E$19:$E$186,"&gt;0")-1),50))</x:f>
        <x:v>33.116883116883116</x:v>
      </x:c>
      <x:c r="AI153" s="601" t="n">
        <x:f>IF(AH153="","",AH153*'Specialisation Rankings'!$O$16+R153*'Specialisation Rankings'!$O$17)</x:f>
        <x:v>36.23376623376623</x:v>
      </x:c>
      <x:c r="AJ153" s="601" t="n">
        <x:f>IF(AI153="","",COUNTIFS($A$19:$A$186,A153,$AP$19:$AP$186,"Yes",$E$19:$E$186,"&gt;0",$AI$19:$AI$186,"&gt;"&amp;AI153)+COUNTIFS($A$19:A153,A153,$AP$19:AP153,"Yes",$E$19:E153,"&gt;0",$AI$19:AI153,AI153))</x:f>
        <x:v>10</x:v>
      </x:c>
      <x:c r="AK153" s="601" t="n">
        <x:f>IF(OR(AP153&lt;&gt;"Yes",E153=0),"",IF(M153=0,'Specialisation Rankings'!$O$23,V153))</x:f>
        <x:v>50</x:v>
      </x:c>
      <x:c r="AL153" s="601" t="n">
        <x:f>IF(AK153="","",COUNTIFS($A$19:$A$186,A153,$AP$19:$AP$186,"Yes",$E$19:$E$186,"&gt;0",$AK$19:$AK$186,"&gt;"&amp;AK153)+COUNTIFS($A$19:A153,A153,$AP$19:AP153,"Yes",$E$19:E153,"&gt;0",$AK$19:AK153,AK153))</x:f>
        <x:v>11</x:v>
      </x:c>
      <x:c r="AM153" s="601" t="n">
        <x:f>IF(AC153="","",AC153*'Specialisation Rankings'!$O$18+AF153*'Specialisation Rankings'!$O$19+AI153*'Specialisation Rankings'!$O$20+AK153*'Specialisation Rankings'!$O$21)</x:f>
        <x:v>30.311688311688314</x:v>
      </x:c>
      <x:c r="AN153" s="601" t="n">
        <x:f>IF(AM153="","",COUNTIFS($A$19:$A$186,A153,$AP$19:$AP$186,"Yes",$E$19:$E$186,"&gt;0",$AM$19:$AM$186,"&gt;"&amp;AM153)+COUNTIFS($A$19:A153,A153,$AP$19:AP153,"Yes",$E$19:E153,"&gt;0",$AM$19:AM153,AM153))</x:f>
        <x:v>10</x:v>
      </x:c>
      <x:c r="AO153" s="601" t="n">
        <x:f>IF(AM153="","",COUNTIFS($AP$19:$AP$186,"Yes",$E$19:$E$186,"&gt;0",$AM$19:$AM$186,"&gt;"&amp;AM153)+COUNTIFS($AP$19:AP153,"Yes",$E$19:E153,"&gt;0",$AM$19:AM153,AM153))</x:f>
        <x:v>121</x:v>
      </x:c>
      <x:c r="AP153" s="602" t="str">
        <x:f>IF(COUNTIFS('Player Scenario Model'!$A$6:$A$172,A153,'Player Scenario Model'!$B$6:$B$172,B153)&gt;0,"Yes","No")</x:f>
        <x:v>Yes</x:v>
      </x:c>
    </x:row>
    <x:row r="154" ht="24" customHeight="1">
      <x:c r="A154" s="430" t="str">
        <x:v>K197</x:v>
      </x:c>
      <x:c r="B154" s="430" t="str">
        <x:v>-GAMERMAN-</x:v>
      </x:c>
      <x:c r="C154" s="431" t="n">
        <x:f>COUNTIFS('Specialisations'!$A$6:$A$527,A154,'Specialisations'!$B$6:$B$527,B154)</x:f>
        <x:v>4</x:v>
      </x:c>
      <x:c r="D154" s="431" t="n">
        <x:f>COUNTIFS('Specialisations'!$A$6:$A$527,A154,'Specialisations'!$B$6:$B$527,B154,'Specialisations'!$P$6:$P$527,"OK")</x:f>
        <x:v>4</x:v>
      </x:c>
      <x:c r="E154" s="431" t="n">
        <x:f>COUNTIFS('Specialisations'!$A$6:$A$527,A154,'Specialisations'!$B$6:$B$527,B154,'Specialisations'!$P$6:$P$527,"OK",'Specialisations'!$C$6:$C$527,"&lt;&gt;Guards")</x:f>
        <x:v>4</x:v>
      </x:c>
      <x:c r="F154" s="432" t="n">
        <x:f>IF(C154=0,"",D154/C154)</x:f>
        <x:v>1</x:v>
      </x:c>
      <x:c r="G154" s="495" t="n">
        <x:f>SUMIFS('Specialisations'!$Q$6:$Q$527,'Specialisations'!$A$6:$A$527,A154,'Specialisations'!$B$6:$B$527,B154,'Specialisations'!$C$6:$C$527,"Guards")</x:f>
        <x:v>0</x:v>
      </x:c>
      <x:c r="H154" s="495" t="n">
        <x:f>SUMIFS('Specialisations'!$Q$6:$Q$527,'Specialisations'!$A$6:$A$527,A154,'Specialisations'!$B$6:$B$527,B154,'Specialisations'!$C$6:$C$527,"Archers")</x:f>
        <x:v>51.74</x:v>
      </x:c>
      <x:c r="I154" s="495" t="n">
        <x:f>SUMIFS('Specialisations'!$Q$6:$Q$527,'Specialisations'!$A$6:$A$527,A154,'Specialisations'!$B$6:$B$527,B154,'Specialisations'!$C$6:$C$527,"Cavalry")</x:f>
        <x:v>115.2</x:v>
      </x:c>
      <x:c r="J154" s="495" t="n">
        <x:f>SUMIFS('Specialisations'!$Q$6:$Q$527,'Specialisations'!$A$6:$A$527,A154,'Specialisations'!$B$6:$B$527,B154,'Specialisations'!$C$6:$C$527,"Siege")</x:f>
        <x:v>60</x:v>
      </x:c>
      <x:c r="K154" s="495" t="n">
        <x:f>SUM(H154:J154)</x:f>
        <x:v>226.94</x:v>
      </x:c>
      <x:c r="L154" s="495" t="n">
        <x:f>SUM(G154,K154)</x:f>
        <x:v>226.94</x:v>
      </x:c>
      <x:c r="M154" s="433" t="n">
        <x:f>SUMIFS('Specialisations'!$N$6:$N$527,'Specialisations'!$A$6:$A$527,A154,'Specialisations'!$B$6:$B$527,B154,'Specialisations'!$C$6:$C$527,"Guards")</x:f>
        <x:v>0</x:v>
      </x:c>
      <x:c r="N154" s="433" t="n">
        <x:f>SUMIFS('Specialisations'!$N$6:$N$527,'Specialisations'!$A$6:$A$527,A154,'Specialisations'!$B$6:$B$527,B154,'Specialisations'!$C$6:$C$527,"&lt;&gt;Guards")</x:f>
        <x:v>35937200</x:v>
      </x:c>
      <x:c r="O154" s="433" t="n">
        <x:f>SUM(M154:N154)</x:f>
        <x:v>35937200</x:v>
      </x:c>
      <x:c r="P154" s="434" t="n">
        <x:f>IF(E154=0,"",K154/E154)</x:f>
        <x:v>56.735</x:v>
      </x:c>
      <x:c r="Q154" s="501" t="n">
        <x:f>IF(E154=0,"",IFERROR(100*(COUNTIFS($E$19:$E$186,"&gt;0",$K$19:$K$186,"&lt;"&amp;K154)+(COUNTIFS($E$19:$E$186,"&gt;0",$K$19:$K$186,K154)-1)/2)/(COUNTIF($E$19:$E$186,"&gt;0")-1),50))</x:f>
        <x:v>98.7012987012987</x:v>
      </x:c>
      <x:c r="R154" s="501" t="n">
        <x:f>IF(E154=0,"",IFERROR(100*(COUNTIFS($E$19:$E$186,"&gt;0",$N$19:$N$186,"&lt;"&amp;N154)+(COUNTIFS($E$19:$E$186,"&gt;0",$N$19:$N$186,N154)-1)/2)/(COUNTIF($E$19:$E$186,"&gt;0")-1),50))</x:f>
        <x:v>98.7012987012987</x:v>
      </x:c>
      <x:c r="S154" s="501" t="n">
        <x:f>IF(E154=0,"",Q154*$R$5+R154*$R$6)</x:f>
        <x:v>98.7012987012987</x:v>
      </x:c>
      <x:c r="T154" s="501" t="str">
        <x:f>IF(M154=0,"",IFERROR(100*(COUNTIFS($M$19:$M$186,"&gt;0",$G$19:$G$186,"&gt;"&amp;G154)+(COUNTIFS($M$19:$M$186,"&gt;0",$G$19:$G$186,G154)-1)/2)/(COUNTIF($M$19:$M$186,"&gt;0")-1),50))</x:f>
      </x:c>
      <x:c r="U154" s="501" t="str">
        <x:f>IF(M154=0,"",IFERROR(100*(COUNTIFS($M$19:$M$186,"&gt;0",$M$19:$M$186,"&lt;"&amp;M154)+(COUNTIFS($M$19:$M$186,"&gt;0",$M$19:$M$186,M154)-1)/2)/(COUNTIF($M$19:$M$186,"&gt;0")-1),50))</x:f>
      </x:c>
      <x:c r="V154" s="501" t="str">
        <x:f>IF(M154=0,"",T154*$R$5+U154*$R$6)</x:f>
      </x:c>
      <x:c r="W154" s="431" t="n">
        <x:f>IF(E154=0,"",COUNTIFS($A$19:$A$186,A154,$S$19:$S$186,"&gt;"&amp;S154)+COUNTIFS($A$19:A154,A154,$E$19:E154,"&gt;0",$S$19:S154,S154))</x:f>
        <x:v>2</x:v>
      </x:c>
      <x:c r="X154" s="431" t="n">
        <x:f>IF(S154="","",1+COUNTIF($S$19:$S$186,"&gt;"&amp;S154))</x:f>
        <x:v>3</x:v>
      </x:c>
      <x:c r="Y154" s="431" t="str">
        <x:f>IF(V154="","",1+COUNTIFS($A$19:$A$186,A154,$V$19:$V$186,"&gt;"&amp;V154))</x:f>
      </x:c>
      <x:c r="Z154" s="431" t="str">
        <x:f>IF(V154="","",1+COUNTIF($V$19:$V$186,"&gt;"&amp;V154))</x:f>
      </x:c>
      <x:c r="AA154" s="430" t="str">
        <x:f>IF(C154=0,"No specialisations recorded",IF(D154&lt;C154,"Review missing level","Recorded skills only"))</x:f>
        <x:v>Recorded skills only</x:v>
      </x:c>
      <x:c r="AB154" s="601" t="n">
        <x:f>IF(OR(AP154&lt;&gt;"Yes",E154=0),"",IFERROR(100*(COUNTIFS($AP$19:$AP$186,"Yes",$E$19:$E$186,"&gt;0",$I$19:$I$186,"&lt;"&amp;I154)+(COUNTIFS($AP$19:$AP$186,"Yes",$E$19:$E$186,"&gt;0",$I$19:$I$186,I154)-1)/2)/(COUNTIFS($AP$19:$AP$186,"Yes",$E$19:$E$186,"&gt;0")-1),50))</x:f>
        <x:v>97.40259740259741</x:v>
      </x:c>
      <x:c r="AC154" s="601" t="n">
        <x:f>IF(AB154="","",AB154*'Specialisation Rankings'!$O$16+R154*'Specialisation Rankings'!$O$17)</x:f>
        <x:v>97.66233766233768</x:v>
      </x:c>
      <x:c r="AD154" s="601" t="n">
        <x:f>IF(AC154="","",COUNTIFS($A$19:$A$186,A154,$AP$19:$AP$186,"Yes",$E$19:$E$186,"&gt;0",$AC$19:$AC$186,"&gt;"&amp;AC154)+COUNTIFS($A$19:A154,A154,$AP$19:AP154,"Yes",$E$19:E154,"&gt;0",$AC$19:AC154,AC154))</x:f>
        <x:v>2</x:v>
      </x:c>
      <x:c r="AE154" s="601" t="n">
        <x:f>IF(OR(AP154&lt;&gt;"Yes",E154=0),"",IFERROR(100*(COUNTIFS($AP$19:$AP$186,"Yes",$E$19:$E$186,"&gt;0",$H$19:$H$186,"&lt;"&amp;H154)+(COUNTIFS($AP$19:$AP$186,"Yes",$E$19:$E$186,"&gt;0",$H$19:$H$186,H154)-1)/2)/(COUNTIFS($AP$19:$AP$186,"Yes",$E$19:$E$186,"&gt;0")-1),50))</x:f>
        <x:v>79.54545454545455</x:v>
      </x:c>
      <x:c r="AF154" s="601" t="n">
        <x:f>IF(AE154="","",AE154*'Specialisation Rankings'!$O$16+R154*'Specialisation Rankings'!$O$17)</x:f>
        <x:v>83.37662337662339</x:v>
      </x:c>
      <x:c r="AG154" s="601" t="n">
        <x:f>IF(AF154="","",COUNTIFS($A$19:$A$186,A154,$AP$19:$AP$186,"Yes",$E$19:$E$186,"&gt;0",$AF$19:$AF$186,"&gt;"&amp;AF154)+COUNTIFS($A$19:A154,A154,$AP$19:AP154,"Yes",$E$19:E154,"&gt;0",$AF$19:AF154,AF154))</x:f>
        <x:v>4</x:v>
      </x:c>
      <x:c r="AH154" s="601" t="n">
        <x:f>IF(OR(AP154&lt;&gt;"Yes",E154=0),"",IFERROR(100*(COUNTIFS($AP$19:$AP$186,"Yes",$E$19:$E$186,"&gt;0",$J$19:$J$186,"&lt;"&amp;J154)+(COUNTIFS($AP$19:$AP$186,"Yes",$E$19:$E$186,"&gt;0",$J$19:$J$186,J154)-1)/2)/(COUNTIFS($AP$19:$AP$186,"Yes",$E$19:$E$186,"&gt;0")-1),50))</x:f>
        <x:v>97.40259740259741</x:v>
      </x:c>
      <x:c r="AI154" s="601" t="n">
        <x:f>IF(AH154="","",AH154*'Specialisation Rankings'!$O$16+R154*'Specialisation Rankings'!$O$17)</x:f>
        <x:v>97.66233766233768</x:v>
      </x:c>
      <x:c r="AJ154" s="601" t="n">
        <x:f>IF(AI154="","",COUNTIFS($A$19:$A$186,A154,$AP$19:$AP$186,"Yes",$E$19:$E$186,"&gt;0",$AI$19:$AI$186,"&gt;"&amp;AI154)+COUNTIFS($A$19:A154,A154,$AP$19:AP154,"Yes",$E$19:E154,"&gt;0",$AI$19:AI154,AI154))</x:f>
        <x:v>2</x:v>
      </x:c>
      <x:c r="AK154" s="601" t="n">
        <x:f>IF(OR(AP154&lt;&gt;"Yes",E154=0),"",IF(M154=0,'Specialisation Rankings'!$O$23,V154))</x:f>
        <x:v>50</x:v>
      </x:c>
      <x:c r="AL154" s="601" t="n">
        <x:f>IF(AK154="","",COUNTIFS($A$19:$A$186,A154,$AP$19:$AP$186,"Yes",$E$19:$E$186,"&gt;0",$AK$19:$AK$186,"&gt;"&amp;AK154)+COUNTIFS($A$19:A154,A154,$AP$19:AP154,"Yes",$E$19:E154,"&gt;0",$AK$19:AK154,AK154))</x:f>
        <x:v>12</x:v>
      </x:c>
      <x:c r="AM154" s="601" t="n">
        <x:f>IF(AC154="","",AC154*'Specialisation Rankings'!$O$18+AF154*'Specialisation Rankings'!$O$19+AI154*'Specialisation Rankings'!$O$20+AK154*'Specialisation Rankings'!$O$21)</x:f>
        <x:v>91.46753246753248</x:v>
      </x:c>
      <x:c r="AN154" s="601" t="n">
        <x:f>IF(AM154="","",COUNTIFS($A$19:$A$186,A154,$AP$19:$AP$186,"Yes",$E$19:$E$186,"&gt;0",$AM$19:$AM$186,"&gt;"&amp;AM154)+COUNTIFS($A$19:A154,A154,$AP$19:AP154,"Yes",$E$19:E154,"&gt;0",$AM$19:AM154,AM154))</x:f>
        <x:v>2</x:v>
      </x:c>
      <x:c r="AO154" s="601" t="n">
        <x:f>IF(AM154="","",COUNTIFS($AP$19:$AP$186,"Yes",$E$19:$E$186,"&gt;0",$AM$19:$AM$186,"&gt;"&amp;AM154)+COUNTIFS($AP$19:AP154,"Yes",$E$19:E154,"&gt;0",$AM$19:AM154,AM154))</x:f>
        <x:v>3</x:v>
      </x:c>
      <x:c r="AP154" s="602" t="str">
        <x:f>IF(COUNTIFS('Player Scenario Model'!$A$6:$A$172,A154,'Player Scenario Model'!$B$6:$B$172,B154)&gt;0,"Yes","No")</x:f>
        <x:v>Yes</x:v>
      </x:c>
    </x:row>
    <x:row r="155" ht="24" customHeight="1">
      <x:c r="A155" s="430" t="str">
        <x:v>K197</x:v>
      </x:c>
      <x:c r="B155" s="430" t="str">
        <x:v>ღbaby买买买ღ</x:v>
      </x:c>
      <x:c r="C155" s="431" t="n">
        <x:f>COUNTIFS('Specialisations'!$A$6:$A$527,A155,'Specialisations'!$B$6:$B$527,B155)</x:f>
        <x:v>2</x:v>
      </x:c>
      <x:c r="D155" s="431" t="n">
        <x:f>COUNTIFS('Specialisations'!$A$6:$A$527,A155,'Specialisations'!$B$6:$B$527,B155,'Specialisations'!$P$6:$P$527,"OK")</x:f>
        <x:v>1</x:v>
      </x:c>
      <x:c r="E155" s="431" t="n">
        <x:f>COUNTIFS('Specialisations'!$A$6:$A$527,A155,'Specialisations'!$B$6:$B$527,B155,'Specialisations'!$P$6:$P$527,"OK",'Specialisations'!$C$6:$C$527,"&lt;&gt;Guards")</x:f>
        <x:v>1</x:v>
      </x:c>
      <x:c r="F155" s="432" t="n">
        <x:f>IF(C155=0,"",D155/C155)</x:f>
        <x:v>0.5</x:v>
      </x:c>
      <x:c r="G155" s="495" t="n">
        <x:f>SUMIFS('Specialisations'!$Q$6:$Q$527,'Specialisations'!$A$6:$A$527,A155,'Specialisations'!$B$6:$B$527,B155,'Specialisations'!$C$6:$C$527,"Guards")</x:f>
        <x:v>0</x:v>
      </x:c>
      <x:c r="H155" s="495" t="n">
        <x:f>SUMIFS('Specialisations'!$Q$6:$Q$527,'Specialisations'!$A$6:$A$527,A155,'Specialisations'!$B$6:$B$527,B155,'Specialisations'!$C$6:$C$527,"Archers")</x:f>
        <x:v>60</x:v>
      </x:c>
      <x:c r="I155" s="495" t="n">
        <x:f>SUMIFS('Specialisations'!$Q$6:$Q$527,'Specialisations'!$A$6:$A$527,A155,'Specialisations'!$B$6:$B$527,B155,'Specialisations'!$C$6:$C$527,"Cavalry")</x:f>
        <x:v>0</x:v>
      </x:c>
      <x:c r="J155" s="495" t="n">
        <x:f>SUMIFS('Specialisations'!$Q$6:$Q$527,'Specialisations'!$A$6:$A$527,A155,'Specialisations'!$B$6:$B$527,B155,'Specialisations'!$C$6:$C$527,"Siege")</x:f>
        <x:v>0</x:v>
      </x:c>
      <x:c r="K155" s="495" t="n">
        <x:f>SUM(H155:J155)</x:f>
        <x:v>60</x:v>
      </x:c>
      <x:c r="L155" s="495" t="n">
        <x:f>SUM(G155,K155)</x:f>
        <x:v>60</x:v>
      </x:c>
      <x:c r="M155" s="433" t="n">
        <x:f>SUMIFS('Specialisations'!$N$6:$N$527,'Specialisations'!$A$6:$A$527,A155,'Specialisations'!$B$6:$B$527,B155,'Specialisations'!$C$6:$C$527,"Guards")</x:f>
        <x:v>0</x:v>
      </x:c>
      <x:c r="N155" s="433" t="n">
        <x:f>SUMIFS('Specialisations'!$N$6:$N$527,'Specialisations'!$A$6:$A$527,A155,'Specialisations'!$B$6:$B$527,B155,'Specialisations'!$C$6:$C$527,"&lt;&gt;Guards")</x:f>
        <x:v>10334300</x:v>
      </x:c>
      <x:c r="O155" s="433" t="n">
        <x:f>SUM(M155:N155)</x:f>
        <x:v>10334300</x:v>
      </x:c>
      <x:c r="P155" s="434" t="n">
        <x:f>IF(E155=0,"",K155/E155)</x:f>
        <x:v>60</x:v>
      </x:c>
      <x:c r="Q155" s="501" t="n">
        <x:f>IF(E155=0,"",IFERROR(100*(COUNTIFS($E$19:$E$186,"&gt;0",$K$19:$K$186,"&lt;"&amp;K155)+(COUNTIFS($E$19:$E$186,"&gt;0",$K$19:$K$186,K155)-1)/2)/(COUNTIF($E$19:$E$186,"&gt;0")-1),50))</x:f>
        <x:v>24.675324675324674</x:v>
      </x:c>
      <x:c r="R155" s="501" t="n">
        <x:f>IF(E155=0,"",IFERROR(100*(COUNTIFS($E$19:$E$186,"&gt;0",$N$19:$N$186,"&lt;"&amp;N155)+(COUNTIFS($E$19:$E$186,"&gt;0",$N$19:$N$186,N155)-1)/2)/(COUNTIF($E$19:$E$186,"&gt;0")-1),50))</x:f>
        <x:v>48.701298701298704</x:v>
      </x:c>
      <x:c r="S155" s="501" t="n">
        <x:f>IF(E155=0,"",Q155*$R$5+R155*$R$6)</x:f>
        <x:v>29.48051948051948</x:v>
      </x:c>
      <x:c r="T155" s="501" t="str">
        <x:f>IF(M155=0,"",IFERROR(100*(COUNTIFS($M$19:$M$186,"&gt;0",$G$19:$G$186,"&gt;"&amp;G155)+(COUNTIFS($M$19:$M$186,"&gt;0",$G$19:$G$186,G155)-1)/2)/(COUNTIF($M$19:$M$186,"&gt;0")-1),50))</x:f>
      </x:c>
      <x:c r="U155" s="501" t="str">
        <x:f>IF(M155=0,"",IFERROR(100*(COUNTIFS($M$19:$M$186,"&gt;0",$M$19:$M$186,"&lt;"&amp;M155)+(COUNTIFS($M$19:$M$186,"&gt;0",$M$19:$M$186,M155)-1)/2)/(COUNTIF($M$19:$M$186,"&gt;0")-1),50))</x:f>
      </x:c>
      <x:c r="V155" s="501" t="str">
        <x:f>IF(M155=0,"",T155*$R$5+U155*$R$6)</x:f>
      </x:c>
      <x:c r="W155" s="431" t="n">
        <x:f>IF(E155=0,"",COUNTIFS($A$19:$A$186,A155,$S$19:$S$186,"&gt;"&amp;S155)+COUNTIFS($A$19:A155,A155,$E$19:E155,"&gt;0",$S$19:S155,S155))</x:f>
        <x:v>11</x:v>
      </x:c>
      <x:c r="X155" s="431" t="n">
        <x:f>IF(S155="","",1+COUNTIF($S$19:$S$186,"&gt;"&amp;S155))</x:f>
        <x:v>106</x:v>
      </x:c>
      <x:c r="Y155" s="431" t="str">
        <x:f>IF(V155="","",1+COUNTIFS($A$19:$A$186,A155,$V$19:$V$186,"&gt;"&amp;V155))</x:f>
      </x:c>
      <x:c r="Z155" s="431" t="str">
        <x:f>IF(V155="","",1+COUNTIF($V$19:$V$186,"&gt;"&amp;V155))</x:f>
      </x:c>
      <x:c r="AA155" s="430" t="str">
        <x:f>IF(C155=0,"No specialisations recorded",IF(D155&lt;C155,"Review missing level","Recorded skills only"))</x:f>
        <x:v>Review missing level</x:v>
      </x:c>
      <x:c r="AB155" s="601" t="n">
        <x:f>IF(OR(AP155&lt;&gt;"Yes",E155=0),"",IFERROR(100*(COUNTIFS($AP$19:$AP$186,"Yes",$E$19:$E$186,"&gt;0",$I$19:$I$186,"&lt;"&amp;I155)+(COUNTIFS($AP$19:$AP$186,"Yes",$E$19:$E$186,"&gt;0",$I$19:$I$186,I155)-1)/2)/(COUNTIFS($AP$19:$AP$186,"Yes",$E$19:$E$186,"&gt;0")-1),50))</x:f>
        <x:v>10.38961038961039</x:v>
      </x:c>
      <x:c r="AC155" s="601" t="n">
        <x:f>IF(AB155="","",AB155*'Specialisation Rankings'!$O$16+R155*'Specialisation Rankings'!$O$17)</x:f>
        <x:v>18.051948051948052</x:v>
      </x:c>
      <x:c r="AD155" s="601" t="n">
        <x:f>IF(AC155="","",COUNTIFS($A$19:$A$186,A155,$AP$19:$AP$186,"Yes",$E$19:$E$186,"&gt;0",$AC$19:$AC$186,"&gt;"&amp;AC155)+COUNTIFS($A$19:A155,A155,$AP$19:AP155,"Yes",$E$19:E155,"&gt;0",$AC$19:AC155,AC155))</x:f>
        <x:v>12</x:v>
      </x:c>
      <x:c r="AE155" s="601" t="n">
        <x:f>IF(OR(AP155&lt;&gt;"Yes",E155=0),"",IFERROR(100*(COUNTIFS($AP$19:$AP$186,"Yes",$E$19:$E$186,"&gt;0",$H$19:$H$186,"&lt;"&amp;H155)+(COUNTIFS($AP$19:$AP$186,"Yes",$E$19:$E$186,"&gt;0",$H$19:$H$186,H155)-1)/2)/(COUNTIFS($AP$19:$AP$186,"Yes",$E$19:$E$186,"&gt;0")-1),50))</x:f>
        <x:v>89.6103896103896</x:v>
      </x:c>
      <x:c r="AF155" s="601" t="n">
        <x:f>IF(AE155="","",AE155*'Specialisation Rankings'!$O$16+R155*'Specialisation Rankings'!$O$17)</x:f>
        <x:v>81.42857142857143</x:v>
      </x:c>
      <x:c r="AG155" s="601" t="n">
        <x:f>IF(AF155="","",COUNTIFS($A$19:$A$186,A155,$AP$19:$AP$186,"Yes",$E$19:$E$186,"&gt;0",$AF$19:$AF$186,"&gt;"&amp;AF155)+COUNTIFS($A$19:A155,A155,$AP$19:AP155,"Yes",$E$19:E155,"&gt;0",$AF$19:AF155,AF155))</x:f>
        <x:v>9</x:v>
      </x:c>
      <x:c r="AH155" s="601" t="n">
        <x:f>IF(OR(AP155&lt;&gt;"Yes",E155=0),"",IFERROR(100*(COUNTIFS($AP$19:$AP$186,"Yes",$E$19:$E$186,"&gt;0",$J$19:$J$186,"&lt;"&amp;J155)+(COUNTIFS($AP$19:$AP$186,"Yes",$E$19:$E$186,"&gt;0",$J$19:$J$186,J155)-1)/2)/(COUNTIFS($AP$19:$AP$186,"Yes",$E$19:$E$186,"&gt;0")-1),50))</x:f>
        <x:v>33.116883116883116</x:v>
      </x:c>
      <x:c r="AI155" s="601" t="n">
        <x:f>IF(AH155="","",AH155*'Specialisation Rankings'!$O$16+R155*'Specialisation Rankings'!$O$17)</x:f>
        <x:v>36.23376623376623</x:v>
      </x:c>
      <x:c r="AJ155" s="601" t="n">
        <x:f>IF(AI155="","",COUNTIFS($A$19:$A$186,A155,$AP$19:$AP$186,"Yes",$E$19:$E$186,"&gt;0",$AI$19:$AI$186,"&gt;"&amp;AI155)+COUNTIFS($A$19:A155,A155,$AP$19:AP155,"Yes",$E$19:E155,"&gt;0",$AI$19:AI155,AI155))</x:f>
        <x:v>11</x:v>
      </x:c>
      <x:c r="AK155" s="601" t="n">
        <x:f>IF(OR(AP155&lt;&gt;"Yes",E155=0),"",IF(M155=0,'Specialisation Rankings'!$O$23,V155))</x:f>
        <x:v>50</x:v>
      </x:c>
      <x:c r="AL155" s="601" t="n">
        <x:f>IF(AK155="","",COUNTIFS($A$19:$A$186,A155,$AP$19:$AP$186,"Yes",$E$19:$E$186,"&gt;0",$AK$19:$AK$186,"&gt;"&amp;AK155)+COUNTIFS($A$19:A155,A155,$AP$19:AP155,"Yes",$E$19:E155,"&gt;0",$AK$19:AK155,AK155))</x:f>
        <x:v>13</x:v>
      </x:c>
      <x:c r="AM155" s="601" t="n">
        <x:f>IF(AC155="","",AC155*'Specialisation Rankings'!$O$18+AF155*'Specialisation Rankings'!$O$19+AI155*'Specialisation Rankings'!$O$20+AK155*'Specialisation Rankings'!$O$21)</x:f>
        <x:v>30.311688311688314</x:v>
      </x:c>
      <x:c r="AN155" s="601" t="n">
        <x:f>IF(AM155="","",COUNTIFS($A$19:$A$186,A155,$AP$19:$AP$186,"Yes",$E$19:$E$186,"&gt;0",$AM$19:$AM$186,"&gt;"&amp;AM155)+COUNTIFS($A$19:A155,A155,$AP$19:AP155,"Yes",$E$19:E155,"&gt;0",$AM$19:AM155,AM155))</x:f>
        <x:v>11</x:v>
      </x:c>
      <x:c r="AO155" s="601" t="n">
        <x:f>IF(AM155="","",COUNTIFS($AP$19:$AP$186,"Yes",$E$19:$E$186,"&gt;0",$AM$19:$AM$186,"&gt;"&amp;AM155)+COUNTIFS($AP$19:AP155,"Yes",$E$19:E155,"&gt;0",$AM$19:AM155,AM155))</x:f>
        <x:v>122</x:v>
      </x:c>
      <x:c r="AP155" s="602" t="str">
        <x:f>IF(COUNTIFS('Player Scenario Model'!$A$6:$A$172,A155,'Player Scenario Model'!$B$6:$B$172,B155)&gt;0,"Yes","No")</x:f>
        <x:v>Yes</x:v>
      </x:c>
    </x:row>
    <x:row r="156" ht="24" customHeight="1">
      <x:c r="A156" s="430" t="str">
        <x:v>K197</x:v>
      </x:c>
      <x:c r="B156" s="430" t="str">
        <x:v>Viking</x:v>
      </x:c>
      <x:c r="C156" s="431" t="n">
        <x:f>COUNTIFS('Specialisations'!$A$6:$A$527,A156,'Specialisations'!$B$6:$B$527,B156)</x:f>
        <x:v>1</x:v>
      </x:c>
      <x:c r="D156" s="431" t="n">
        <x:f>COUNTIFS('Specialisations'!$A$6:$A$527,A156,'Specialisations'!$B$6:$B$527,B156,'Specialisations'!$P$6:$P$527,"OK")</x:f>
        <x:v>1</x:v>
      </x:c>
      <x:c r="E156" s="431" t="n">
        <x:f>COUNTIFS('Specialisations'!$A$6:$A$527,A156,'Specialisations'!$B$6:$B$527,B156,'Specialisations'!$P$6:$P$527,"OK",'Specialisations'!$C$6:$C$527,"&lt;&gt;Guards")</x:f>
        <x:v>1</x:v>
      </x:c>
      <x:c r="F156" s="432" t="n">
        <x:f>IF(C156=0,"",D156/C156)</x:f>
        <x:v>1</x:v>
      </x:c>
      <x:c r="G156" s="495" t="n">
        <x:f>SUMIFS('Specialisations'!$Q$6:$Q$527,'Specialisations'!$A$6:$A$527,A156,'Specialisations'!$B$6:$B$527,B156,'Specialisations'!$C$6:$C$527,"Guards")</x:f>
        <x:v>0</x:v>
      </x:c>
      <x:c r="H156" s="495" t="n">
        <x:f>SUMIFS('Specialisations'!$Q$6:$Q$527,'Specialisations'!$A$6:$A$527,A156,'Specialisations'!$B$6:$B$527,B156,'Specialisations'!$C$6:$C$527,"Archers")</x:f>
        <x:v>60</x:v>
      </x:c>
      <x:c r="I156" s="495" t="n">
        <x:f>SUMIFS('Specialisations'!$Q$6:$Q$527,'Specialisations'!$A$6:$A$527,A156,'Specialisations'!$B$6:$B$527,B156,'Specialisations'!$C$6:$C$527,"Cavalry")</x:f>
        <x:v>0</x:v>
      </x:c>
      <x:c r="J156" s="495" t="n">
        <x:f>SUMIFS('Specialisations'!$Q$6:$Q$527,'Specialisations'!$A$6:$A$527,A156,'Specialisations'!$B$6:$B$527,B156,'Specialisations'!$C$6:$C$527,"Siege")</x:f>
        <x:v>0</x:v>
      </x:c>
      <x:c r="K156" s="495" t="n">
        <x:f>SUM(H156:J156)</x:f>
        <x:v>60</x:v>
      </x:c>
      <x:c r="L156" s="495" t="n">
        <x:f>SUM(G156,K156)</x:f>
        <x:v>60</x:v>
      </x:c>
      <x:c r="M156" s="433" t="n">
        <x:f>SUMIFS('Specialisations'!$N$6:$N$527,'Specialisations'!$A$6:$A$527,A156,'Specialisations'!$B$6:$B$527,B156,'Specialisations'!$C$6:$C$527,"Guards")</x:f>
        <x:v>0</x:v>
      </x:c>
      <x:c r="N156" s="433" t="n">
        <x:f>SUMIFS('Specialisations'!$N$6:$N$527,'Specialisations'!$A$6:$A$527,A156,'Specialisations'!$B$6:$B$527,B156,'Specialisations'!$C$6:$C$527,"&lt;&gt;Guards")</x:f>
        <x:v>10334300</x:v>
      </x:c>
      <x:c r="O156" s="433" t="n">
        <x:f>SUM(M156:N156)</x:f>
        <x:v>10334300</x:v>
      </x:c>
      <x:c r="P156" s="434" t="n">
        <x:f>IF(E156=0,"",K156/E156)</x:f>
        <x:v>60</x:v>
      </x:c>
      <x:c r="Q156" s="501" t="n">
        <x:f>IF(E156=0,"",IFERROR(100*(COUNTIFS($E$19:$E$186,"&gt;0",$K$19:$K$186,"&lt;"&amp;K156)+(COUNTIFS($E$19:$E$186,"&gt;0",$K$19:$K$186,K156)-1)/2)/(COUNTIF($E$19:$E$186,"&gt;0")-1),50))</x:f>
        <x:v>24.675324675324674</x:v>
      </x:c>
      <x:c r="R156" s="501" t="n">
        <x:f>IF(E156=0,"",IFERROR(100*(COUNTIFS($E$19:$E$186,"&gt;0",$N$19:$N$186,"&lt;"&amp;N156)+(COUNTIFS($E$19:$E$186,"&gt;0",$N$19:$N$186,N156)-1)/2)/(COUNTIF($E$19:$E$186,"&gt;0")-1),50))</x:f>
        <x:v>48.701298701298704</x:v>
      </x:c>
      <x:c r="S156" s="501" t="n">
        <x:f>IF(E156=0,"",Q156*$R$5+R156*$R$6)</x:f>
        <x:v>29.48051948051948</x:v>
      </x:c>
      <x:c r="T156" s="501" t="str">
        <x:f>IF(M156=0,"",IFERROR(100*(COUNTIFS($M$19:$M$186,"&gt;0",$G$19:$G$186,"&gt;"&amp;G156)+(COUNTIFS($M$19:$M$186,"&gt;0",$G$19:$G$186,G156)-1)/2)/(COUNTIF($M$19:$M$186,"&gt;0")-1),50))</x:f>
      </x:c>
      <x:c r="U156" s="501" t="str">
        <x:f>IF(M156=0,"",IFERROR(100*(COUNTIFS($M$19:$M$186,"&gt;0",$M$19:$M$186,"&lt;"&amp;M156)+(COUNTIFS($M$19:$M$186,"&gt;0",$M$19:$M$186,M156)-1)/2)/(COUNTIF($M$19:$M$186,"&gt;0")-1),50))</x:f>
      </x:c>
      <x:c r="V156" s="501" t="str">
        <x:f>IF(M156=0,"",T156*$R$5+U156*$R$6)</x:f>
      </x:c>
      <x:c r="W156" s="431" t="n">
        <x:f>IF(E156=0,"",COUNTIFS($A$19:$A$186,A156,$S$19:$S$186,"&gt;"&amp;S156)+COUNTIFS($A$19:A156,A156,$E$19:E156,"&gt;0",$S$19:S156,S156))</x:f>
        <x:v>12</x:v>
      </x:c>
      <x:c r="X156" s="431" t="n">
        <x:f>IF(S156="","",1+COUNTIF($S$19:$S$186,"&gt;"&amp;S156))</x:f>
        <x:v>106</x:v>
      </x:c>
      <x:c r="Y156" s="431" t="str">
        <x:f>IF(V156="","",1+COUNTIFS($A$19:$A$186,A156,$V$19:$V$186,"&gt;"&amp;V156))</x:f>
      </x:c>
      <x:c r="Z156" s="431" t="str">
        <x:f>IF(V156="","",1+COUNTIF($V$19:$V$186,"&gt;"&amp;V156))</x:f>
      </x:c>
      <x:c r="AA156" s="430" t="str">
        <x:f>IF(C156=0,"No specialisations recorded",IF(D156&lt;C156,"Review missing level","Recorded skills only"))</x:f>
        <x:v>Recorded skills only</x:v>
      </x:c>
      <x:c r="AB156" s="601" t="n">
        <x:f>IF(OR(AP156&lt;&gt;"Yes",E156=0),"",IFERROR(100*(COUNTIFS($AP$19:$AP$186,"Yes",$E$19:$E$186,"&gt;0",$I$19:$I$186,"&lt;"&amp;I156)+(COUNTIFS($AP$19:$AP$186,"Yes",$E$19:$E$186,"&gt;0",$I$19:$I$186,I156)-1)/2)/(COUNTIFS($AP$19:$AP$186,"Yes",$E$19:$E$186,"&gt;0")-1),50))</x:f>
        <x:v>10.38961038961039</x:v>
      </x:c>
      <x:c r="AC156" s="601" t="n">
        <x:f>IF(AB156="","",AB156*'Specialisation Rankings'!$O$16+R156*'Specialisation Rankings'!$O$17)</x:f>
        <x:v>18.051948051948052</x:v>
      </x:c>
      <x:c r="AD156" s="601" t="n">
        <x:f>IF(AC156="","",COUNTIFS($A$19:$A$186,A156,$AP$19:$AP$186,"Yes",$E$19:$E$186,"&gt;0",$AC$19:$AC$186,"&gt;"&amp;AC156)+COUNTIFS($A$19:A156,A156,$AP$19:AP156,"Yes",$E$19:E156,"&gt;0",$AC$19:AC156,AC156))</x:f>
        <x:v>13</x:v>
      </x:c>
      <x:c r="AE156" s="601" t="n">
        <x:f>IF(OR(AP156&lt;&gt;"Yes",E156=0),"",IFERROR(100*(COUNTIFS($AP$19:$AP$186,"Yes",$E$19:$E$186,"&gt;0",$H$19:$H$186,"&lt;"&amp;H156)+(COUNTIFS($AP$19:$AP$186,"Yes",$E$19:$E$186,"&gt;0",$H$19:$H$186,H156)-1)/2)/(COUNTIFS($AP$19:$AP$186,"Yes",$E$19:$E$186,"&gt;0")-1),50))</x:f>
        <x:v>89.6103896103896</x:v>
      </x:c>
      <x:c r="AF156" s="601" t="n">
        <x:f>IF(AE156="","",AE156*'Specialisation Rankings'!$O$16+R156*'Specialisation Rankings'!$O$17)</x:f>
        <x:v>81.42857142857143</x:v>
      </x:c>
      <x:c r="AG156" s="601" t="n">
        <x:f>IF(AF156="","",COUNTIFS($A$19:$A$186,A156,$AP$19:$AP$186,"Yes",$E$19:$E$186,"&gt;0",$AF$19:$AF$186,"&gt;"&amp;AF156)+COUNTIFS($A$19:A156,A156,$AP$19:AP156,"Yes",$E$19:E156,"&gt;0",$AF$19:AF156,AF156))</x:f>
        <x:v>10</x:v>
      </x:c>
      <x:c r="AH156" s="601" t="n">
        <x:f>IF(OR(AP156&lt;&gt;"Yes",E156=0),"",IFERROR(100*(COUNTIFS($AP$19:$AP$186,"Yes",$E$19:$E$186,"&gt;0",$J$19:$J$186,"&lt;"&amp;J156)+(COUNTIFS($AP$19:$AP$186,"Yes",$E$19:$E$186,"&gt;0",$J$19:$J$186,J156)-1)/2)/(COUNTIFS($AP$19:$AP$186,"Yes",$E$19:$E$186,"&gt;0")-1),50))</x:f>
        <x:v>33.116883116883116</x:v>
      </x:c>
      <x:c r="AI156" s="601" t="n">
        <x:f>IF(AH156="","",AH156*'Specialisation Rankings'!$O$16+R156*'Specialisation Rankings'!$O$17)</x:f>
        <x:v>36.23376623376623</x:v>
      </x:c>
      <x:c r="AJ156" s="601" t="n">
        <x:f>IF(AI156="","",COUNTIFS($A$19:$A$186,A156,$AP$19:$AP$186,"Yes",$E$19:$E$186,"&gt;0",$AI$19:$AI$186,"&gt;"&amp;AI156)+COUNTIFS($A$19:A156,A156,$AP$19:AP156,"Yes",$E$19:E156,"&gt;0",$AI$19:AI156,AI156))</x:f>
        <x:v>12</x:v>
      </x:c>
      <x:c r="AK156" s="601" t="n">
        <x:f>IF(OR(AP156&lt;&gt;"Yes",E156=0),"",IF(M156=0,'Specialisation Rankings'!$O$23,V156))</x:f>
        <x:v>50</x:v>
      </x:c>
      <x:c r="AL156" s="601" t="n">
        <x:f>IF(AK156="","",COUNTIFS($A$19:$A$186,A156,$AP$19:$AP$186,"Yes",$E$19:$E$186,"&gt;0",$AK$19:$AK$186,"&gt;"&amp;AK156)+COUNTIFS($A$19:A156,A156,$AP$19:AP156,"Yes",$E$19:E156,"&gt;0",$AK$19:AK156,AK156))</x:f>
        <x:v>14</x:v>
      </x:c>
      <x:c r="AM156" s="601" t="n">
        <x:f>IF(AC156="","",AC156*'Specialisation Rankings'!$O$18+AF156*'Specialisation Rankings'!$O$19+AI156*'Specialisation Rankings'!$O$20+AK156*'Specialisation Rankings'!$O$21)</x:f>
        <x:v>30.311688311688314</x:v>
      </x:c>
      <x:c r="AN156" s="601" t="n">
        <x:f>IF(AM156="","",COUNTIFS($A$19:$A$186,A156,$AP$19:$AP$186,"Yes",$E$19:$E$186,"&gt;0",$AM$19:$AM$186,"&gt;"&amp;AM156)+COUNTIFS($A$19:A156,A156,$AP$19:AP156,"Yes",$E$19:E156,"&gt;0",$AM$19:AM156,AM156))</x:f>
        <x:v>12</x:v>
      </x:c>
      <x:c r="AO156" s="601" t="n">
        <x:f>IF(AM156="","",COUNTIFS($AP$19:$AP$186,"Yes",$E$19:$E$186,"&gt;0",$AM$19:$AM$186,"&gt;"&amp;AM156)+COUNTIFS($AP$19:AP156,"Yes",$E$19:E156,"&gt;0",$AM$19:AM156,AM156))</x:f>
        <x:v>123</x:v>
      </x:c>
      <x:c r="AP156" s="602" t="str">
        <x:f>IF(COUNTIFS('Player Scenario Model'!$A$6:$A$172,A156,'Player Scenario Model'!$B$6:$B$172,B156)&gt;0,"Yes","No")</x:f>
        <x:v>Yes</x:v>
      </x:c>
    </x:row>
    <x:row r="157" ht="24" customHeight="1">
      <x:c r="A157" s="430" t="str">
        <x:v>K197</x:v>
      </x:c>
      <x:c r="B157" s="430" t="str">
        <x:v>ღ买买买babyღ</x:v>
      </x:c>
      <x:c r="C157" s="431" t="n">
        <x:f>COUNTIFS('Specialisations'!$A$6:$A$527,A157,'Specialisations'!$B$6:$B$527,B157)</x:f>
        <x:v>2</x:v>
      </x:c>
      <x:c r="D157" s="431" t="n">
        <x:f>COUNTIFS('Specialisations'!$A$6:$A$527,A157,'Specialisations'!$B$6:$B$527,B157,'Specialisations'!$P$6:$P$527,"OK")</x:f>
        <x:v>2</x:v>
      </x:c>
      <x:c r="E157" s="431" t="n">
        <x:f>COUNTIFS('Specialisations'!$A$6:$A$527,A157,'Specialisations'!$B$6:$B$527,B157,'Specialisations'!$P$6:$P$527,"OK",'Specialisations'!$C$6:$C$527,"&lt;&gt;Guards")</x:f>
        <x:v>1</x:v>
      </x:c>
      <x:c r="F157" s="432" t="n">
        <x:f>IF(C157=0,"",D157/C157)</x:f>
        <x:v>1</x:v>
      </x:c>
      <x:c r="G157" s="495" t="n">
        <x:f>SUMIFS('Specialisations'!$Q$6:$Q$527,'Specialisations'!$A$6:$A$527,A157,'Specialisations'!$B$6:$B$527,B157,'Specialisations'!$C$6:$C$527,"Guards")</x:f>
        <x:v>-10.82</x:v>
      </x:c>
      <x:c r="H157" s="495" t="n">
        <x:f>SUMIFS('Specialisations'!$Q$6:$Q$527,'Specialisations'!$A$6:$A$527,A157,'Specialisations'!$B$6:$B$527,B157,'Specialisations'!$C$6:$C$527,"Archers")</x:f>
        <x:v>60</x:v>
      </x:c>
      <x:c r="I157" s="495" t="n">
        <x:f>SUMIFS('Specialisations'!$Q$6:$Q$527,'Specialisations'!$A$6:$A$527,A157,'Specialisations'!$B$6:$B$527,B157,'Specialisations'!$C$6:$C$527,"Cavalry")</x:f>
        <x:v>0</x:v>
      </x:c>
      <x:c r="J157" s="495" t="n">
        <x:f>SUMIFS('Specialisations'!$Q$6:$Q$527,'Specialisations'!$A$6:$A$527,A157,'Specialisations'!$B$6:$B$527,B157,'Specialisations'!$C$6:$C$527,"Siege")</x:f>
        <x:v>0</x:v>
      </x:c>
      <x:c r="K157" s="495" t="n">
        <x:f>SUM(H157:J157)</x:f>
        <x:v>60</x:v>
      </x:c>
      <x:c r="L157" s="495" t="n">
        <x:f>SUM(G157,K157)</x:f>
        <x:v>49.18</x:v>
      </x:c>
      <x:c r="M157" s="433" t="n">
        <x:f>SUMIFS('Specialisations'!$N$6:$N$527,'Specialisations'!$A$6:$A$527,A157,'Specialisations'!$B$6:$B$527,B157,'Specialisations'!$C$6:$C$527,"Guards")</x:f>
        <x:v>774300</x:v>
      </x:c>
      <x:c r="N157" s="433" t="n">
        <x:f>SUMIFS('Specialisations'!$N$6:$N$527,'Specialisations'!$A$6:$A$527,A157,'Specialisations'!$B$6:$B$527,B157,'Specialisations'!$C$6:$C$527,"&lt;&gt;Guards")</x:f>
        <x:v>10334300</x:v>
      </x:c>
      <x:c r="O157" s="433" t="n">
        <x:f>SUM(M157:N157)</x:f>
        <x:v>11108600</x:v>
      </x:c>
      <x:c r="P157" s="434" t="n">
        <x:f>IF(E157=0,"",K157/E157)</x:f>
        <x:v>60</x:v>
      </x:c>
      <x:c r="Q157" s="501" t="n">
        <x:f>IF(E157=0,"",IFERROR(100*(COUNTIFS($E$19:$E$186,"&gt;0",$K$19:$K$186,"&lt;"&amp;K157)+(COUNTIFS($E$19:$E$186,"&gt;0",$K$19:$K$186,K157)-1)/2)/(COUNTIF($E$19:$E$186,"&gt;0")-1),50))</x:f>
        <x:v>24.675324675324674</x:v>
      </x:c>
      <x:c r="R157" s="501" t="n">
        <x:f>IF(E157=0,"",IFERROR(100*(COUNTIFS($E$19:$E$186,"&gt;0",$N$19:$N$186,"&lt;"&amp;N157)+(COUNTIFS($E$19:$E$186,"&gt;0",$N$19:$N$186,N157)-1)/2)/(COUNTIF($E$19:$E$186,"&gt;0")-1),50))</x:f>
        <x:v>48.701298701298704</x:v>
      </x:c>
      <x:c r="S157" s="501" t="n">
        <x:f>IF(E157=0,"",Q157*$R$5+R157*$R$6)</x:f>
        <x:v>29.48051948051948</x:v>
      </x:c>
      <x:c r="T157" s="501" t="n">
        <x:f>IF(M157=0,"",IFERROR(100*(COUNTIFS($M$19:$M$186,"&gt;0",$G$19:$G$186,"&gt;"&amp;G157)+(COUNTIFS($M$19:$M$186,"&gt;0",$G$19:$G$186,G157)-1)/2)/(COUNTIF($M$19:$M$186,"&gt;0")-1),50))</x:f>
        <x:v>8.547008547008547</x:v>
      </x:c>
      <x:c r="U157" s="501" t="n">
        <x:f>IF(M157=0,"",IFERROR(100*(COUNTIFS($M$19:$M$186,"&gt;0",$M$19:$M$186,"&lt;"&amp;M157)+(COUNTIFS($M$19:$M$186,"&gt;0",$M$19:$M$186,M157)-1)/2)/(COUNTIF($M$19:$M$186,"&gt;0")-1),50))</x:f>
        <x:v>8.547008547008547</x:v>
      </x:c>
      <x:c r="V157" s="501" t="n">
        <x:f>IF(M157=0,"",T157*$R$5+U157*$R$6)</x:f>
        <x:v>8.547008547008547</x:v>
      </x:c>
      <x:c r="W157" s="431" t="n">
        <x:f>IF(E157=0,"",COUNTIFS($A$19:$A$186,A157,$S$19:$S$186,"&gt;"&amp;S157)+COUNTIFS($A$19:A157,A157,$E$19:E157,"&gt;0",$S$19:S157,S157))</x:f>
        <x:v>13</x:v>
      </x:c>
      <x:c r="X157" s="431" t="n">
        <x:f>IF(S157="","",1+COUNTIF($S$19:$S$186,"&gt;"&amp;S157))</x:f>
        <x:v>106</x:v>
      </x:c>
      <x:c r="Y157" s="431" t="n">
        <x:f>IF(V157="","",1+COUNTIFS($A$19:$A$186,A157,$V$19:$V$186,"&gt;"&amp;V157))</x:f>
        <x:v>5</x:v>
      </x:c>
      <x:c r="Z157" s="431" t="n">
        <x:f>IF(V157="","",1+COUNTIF($V$19:$V$186,"&gt;"&amp;V157))</x:f>
        <x:v>105</x:v>
      </x:c>
      <x:c r="AA157" s="430" t="str">
        <x:f>IF(C157=0,"No specialisations recorded",IF(D157&lt;C157,"Review missing level","Recorded skills only"))</x:f>
        <x:v>Recorded skills only</x:v>
      </x:c>
      <x:c r="AB157" s="601" t="n">
        <x:f>IF(OR(AP157&lt;&gt;"Yes",E157=0),"",IFERROR(100*(COUNTIFS($AP$19:$AP$186,"Yes",$E$19:$E$186,"&gt;0",$I$19:$I$186,"&lt;"&amp;I157)+(COUNTIFS($AP$19:$AP$186,"Yes",$E$19:$E$186,"&gt;0",$I$19:$I$186,I157)-1)/2)/(COUNTIFS($AP$19:$AP$186,"Yes",$E$19:$E$186,"&gt;0")-1),50))</x:f>
        <x:v>10.38961038961039</x:v>
      </x:c>
      <x:c r="AC157" s="601" t="n">
        <x:f>IF(AB157="","",AB157*'Specialisation Rankings'!$O$16+R157*'Specialisation Rankings'!$O$17)</x:f>
        <x:v>18.051948051948052</x:v>
      </x:c>
      <x:c r="AD157" s="601" t="n">
        <x:f>IF(AC157="","",COUNTIFS($A$19:$A$186,A157,$AP$19:$AP$186,"Yes",$E$19:$E$186,"&gt;0",$AC$19:$AC$186,"&gt;"&amp;AC157)+COUNTIFS($A$19:A157,A157,$AP$19:AP157,"Yes",$E$19:E157,"&gt;0",$AC$19:AC157,AC157))</x:f>
        <x:v>14</x:v>
      </x:c>
      <x:c r="AE157" s="601" t="n">
        <x:f>IF(OR(AP157&lt;&gt;"Yes",E157=0),"",IFERROR(100*(COUNTIFS($AP$19:$AP$186,"Yes",$E$19:$E$186,"&gt;0",$H$19:$H$186,"&lt;"&amp;H157)+(COUNTIFS($AP$19:$AP$186,"Yes",$E$19:$E$186,"&gt;0",$H$19:$H$186,H157)-1)/2)/(COUNTIFS($AP$19:$AP$186,"Yes",$E$19:$E$186,"&gt;0")-1),50))</x:f>
        <x:v>89.6103896103896</x:v>
      </x:c>
      <x:c r="AF157" s="601" t="n">
        <x:f>IF(AE157="","",AE157*'Specialisation Rankings'!$O$16+R157*'Specialisation Rankings'!$O$17)</x:f>
        <x:v>81.42857142857143</x:v>
      </x:c>
      <x:c r="AG157" s="601" t="n">
        <x:f>IF(AF157="","",COUNTIFS($A$19:$A$186,A157,$AP$19:$AP$186,"Yes",$E$19:$E$186,"&gt;0",$AF$19:$AF$186,"&gt;"&amp;AF157)+COUNTIFS($A$19:A157,A157,$AP$19:AP157,"Yes",$E$19:E157,"&gt;0",$AF$19:AF157,AF157))</x:f>
        <x:v>11</x:v>
      </x:c>
      <x:c r="AH157" s="601" t="n">
        <x:f>IF(OR(AP157&lt;&gt;"Yes",E157=0),"",IFERROR(100*(COUNTIFS($AP$19:$AP$186,"Yes",$E$19:$E$186,"&gt;0",$J$19:$J$186,"&lt;"&amp;J157)+(COUNTIFS($AP$19:$AP$186,"Yes",$E$19:$E$186,"&gt;0",$J$19:$J$186,J157)-1)/2)/(COUNTIFS($AP$19:$AP$186,"Yes",$E$19:$E$186,"&gt;0")-1),50))</x:f>
        <x:v>33.116883116883116</x:v>
      </x:c>
      <x:c r="AI157" s="601" t="n">
        <x:f>IF(AH157="","",AH157*'Specialisation Rankings'!$O$16+R157*'Specialisation Rankings'!$O$17)</x:f>
        <x:v>36.23376623376623</x:v>
      </x:c>
      <x:c r="AJ157" s="601" t="n">
        <x:f>IF(AI157="","",COUNTIFS($A$19:$A$186,A157,$AP$19:$AP$186,"Yes",$E$19:$E$186,"&gt;0",$AI$19:$AI$186,"&gt;"&amp;AI157)+COUNTIFS($A$19:A157,A157,$AP$19:AP157,"Yes",$E$19:E157,"&gt;0",$AI$19:AI157,AI157))</x:f>
        <x:v>13</x:v>
      </x:c>
      <x:c r="AK157" s="601" t="n">
        <x:f>IF(OR(AP157&lt;&gt;"Yes",E157=0),"",IF(M157=0,'Specialisation Rankings'!$O$23,V157))</x:f>
        <x:v>8.547008547008547</x:v>
      </x:c>
      <x:c r="AL157" s="601" t="n">
        <x:f>IF(AK157="","",COUNTIFS($A$19:$A$186,A157,$AP$19:$AP$186,"Yes",$E$19:$E$186,"&gt;0",$AK$19:$AK$186,"&gt;"&amp;AK157)+COUNTIFS($A$19:A157,A157,$AP$19:AP157,"Yes",$E$19:E157,"&gt;0",$AK$19:AK157,AK157))</x:f>
        <x:v>18</x:v>
      </x:c>
      <x:c r="AM157" s="601" t="n">
        <x:f>IF(AC157="","",AC157*'Specialisation Rankings'!$O$18+AF157*'Specialisation Rankings'!$O$19+AI157*'Specialisation Rankings'!$O$20+AK157*'Specialisation Rankings'!$O$21)</x:f>
        <x:v>26.16638916638917</x:v>
      </x:c>
      <x:c r="AN157" s="601" t="n">
        <x:f>IF(AM157="","",COUNTIFS($A$19:$A$186,A157,$AP$19:$AP$186,"Yes",$E$19:$E$186,"&gt;0",$AM$19:$AM$186,"&gt;"&amp;AM157)+COUNTIFS($A$19:A157,A157,$AP$19:AP157,"Yes",$E$19:E157,"&gt;0",$AM$19:AM157,AM157))</x:f>
        <x:v>15</x:v>
      </x:c>
      <x:c r="AO157" s="601" t="n">
        <x:f>IF(AM157="","",COUNTIFS($AP$19:$AP$186,"Yes",$E$19:$E$186,"&gt;0",$AM$19:$AM$186,"&gt;"&amp;AM157)+COUNTIFS($AP$19:AP157,"Yes",$E$19:E157,"&gt;0",$AM$19:AM157,AM157))</x:f>
        <x:v>135</x:v>
      </x:c>
      <x:c r="AP157" s="602" t="str">
        <x:f>IF(COUNTIFS('Player Scenario Model'!$A$6:$A$172,A157,'Player Scenario Model'!$B$6:$B$172,B157)&gt;0,"Yes","No")</x:f>
        <x:v>Yes</x:v>
      </x:c>
    </x:row>
    <x:row r="158" ht="24" customHeight="1">
      <x:c r="A158" s="430" t="str">
        <x:v>K197</x:v>
      </x:c>
      <x:c r="B158" s="430" t="str">
        <x:v>优乐美</x:v>
      </x:c>
      <x:c r="C158" s="431" t="n">
        <x:f>COUNTIFS('Specialisations'!$A$6:$A$527,A158,'Specialisations'!$B$6:$B$527,B158)</x:f>
        <x:v>1</x:v>
      </x:c>
      <x:c r="D158" s="431" t="n">
        <x:f>COUNTIFS('Specialisations'!$A$6:$A$527,A158,'Specialisations'!$B$6:$B$527,B158,'Specialisations'!$P$6:$P$527,"OK")</x:f>
        <x:v>1</x:v>
      </x:c>
      <x:c r="E158" s="431" t="n">
        <x:f>COUNTIFS('Specialisations'!$A$6:$A$527,A158,'Specialisations'!$B$6:$B$527,B158,'Specialisations'!$P$6:$P$527,"OK",'Specialisations'!$C$6:$C$527,"&lt;&gt;Guards")</x:f>
        <x:v>1</x:v>
      </x:c>
      <x:c r="F158" s="432" t="n">
        <x:f>IF(C158=0,"",D158/C158)</x:f>
        <x:v>1</x:v>
      </x:c>
      <x:c r="G158" s="495" t="n">
        <x:f>SUMIFS('Specialisations'!$Q$6:$Q$527,'Specialisations'!$A$6:$A$527,A158,'Specialisations'!$B$6:$B$527,B158,'Specialisations'!$C$6:$C$527,"Guards")</x:f>
        <x:v>0</x:v>
      </x:c>
      <x:c r="H158" s="495" t="n">
        <x:f>SUMIFS('Specialisations'!$Q$6:$Q$527,'Specialisations'!$A$6:$A$527,A158,'Specialisations'!$B$6:$B$527,B158,'Specialisations'!$C$6:$C$527,"Archers")</x:f>
        <x:v>0</x:v>
      </x:c>
      <x:c r="I158" s="495" t="n">
        <x:f>SUMIFS('Specialisations'!$Q$6:$Q$527,'Specialisations'!$A$6:$A$527,A158,'Specialisations'!$B$6:$B$527,B158,'Specialisations'!$C$6:$C$527,"Cavalry")</x:f>
        <x:v>60</x:v>
      </x:c>
      <x:c r="J158" s="495" t="n">
        <x:f>SUMIFS('Specialisations'!$Q$6:$Q$527,'Specialisations'!$A$6:$A$527,A158,'Specialisations'!$B$6:$B$527,B158,'Specialisations'!$C$6:$C$527,"Siege")</x:f>
        <x:v>0</x:v>
      </x:c>
      <x:c r="K158" s="495" t="n">
        <x:f>SUM(H158:J158)</x:f>
        <x:v>60</x:v>
      </x:c>
      <x:c r="L158" s="495" t="n">
        <x:f>SUM(G158,K158)</x:f>
        <x:v>60</x:v>
      </x:c>
      <x:c r="M158" s="433" t="n">
        <x:f>SUMIFS('Specialisations'!$N$6:$N$527,'Specialisations'!$A$6:$A$527,A158,'Specialisations'!$B$6:$B$527,B158,'Specialisations'!$C$6:$C$527,"Guards")</x:f>
        <x:v>0</x:v>
      </x:c>
      <x:c r="N158" s="433" t="n">
        <x:f>SUMIFS('Specialisations'!$N$6:$N$527,'Specialisations'!$A$6:$A$527,A158,'Specialisations'!$B$6:$B$527,B158,'Specialisations'!$C$6:$C$527,"&lt;&gt;Guards")</x:f>
        <x:v>10334300</x:v>
      </x:c>
      <x:c r="O158" s="433" t="n">
        <x:f>SUM(M158:N158)</x:f>
        <x:v>10334300</x:v>
      </x:c>
      <x:c r="P158" s="434" t="n">
        <x:f>IF(E158=0,"",K158/E158)</x:f>
        <x:v>60</x:v>
      </x:c>
      <x:c r="Q158" s="501" t="n">
        <x:f>IF(E158=0,"",IFERROR(100*(COUNTIFS($E$19:$E$186,"&gt;0",$K$19:$K$186,"&lt;"&amp;K158)+(COUNTIFS($E$19:$E$186,"&gt;0",$K$19:$K$186,K158)-1)/2)/(COUNTIF($E$19:$E$186,"&gt;0")-1),50))</x:f>
        <x:v>24.675324675324674</x:v>
      </x:c>
      <x:c r="R158" s="501" t="n">
        <x:f>IF(E158=0,"",IFERROR(100*(COUNTIFS($E$19:$E$186,"&gt;0",$N$19:$N$186,"&lt;"&amp;N158)+(COUNTIFS($E$19:$E$186,"&gt;0",$N$19:$N$186,N158)-1)/2)/(COUNTIF($E$19:$E$186,"&gt;0")-1),50))</x:f>
        <x:v>48.701298701298704</x:v>
      </x:c>
      <x:c r="S158" s="501" t="n">
        <x:f>IF(E158=0,"",Q158*$R$5+R158*$R$6)</x:f>
        <x:v>29.48051948051948</x:v>
      </x:c>
      <x:c r="T158" s="501" t="str">
        <x:f>IF(M158=0,"",IFERROR(100*(COUNTIFS($M$19:$M$186,"&gt;0",$G$19:$G$186,"&gt;"&amp;G158)+(COUNTIFS($M$19:$M$186,"&gt;0",$G$19:$G$186,G158)-1)/2)/(COUNTIF($M$19:$M$186,"&gt;0")-1),50))</x:f>
      </x:c>
      <x:c r="U158" s="501" t="str">
        <x:f>IF(M158=0,"",IFERROR(100*(COUNTIFS($M$19:$M$186,"&gt;0",$M$19:$M$186,"&lt;"&amp;M158)+(COUNTIFS($M$19:$M$186,"&gt;0",$M$19:$M$186,M158)-1)/2)/(COUNTIF($M$19:$M$186,"&gt;0")-1),50))</x:f>
      </x:c>
      <x:c r="V158" s="501" t="str">
        <x:f>IF(M158=0,"",T158*$R$5+U158*$R$6)</x:f>
      </x:c>
      <x:c r="W158" s="431" t="n">
        <x:f>IF(E158=0,"",COUNTIFS($A$19:$A$186,A158,$S$19:$S$186,"&gt;"&amp;S158)+COUNTIFS($A$19:A158,A158,$E$19:E158,"&gt;0",$S$19:S158,S158))</x:f>
        <x:v>14</x:v>
      </x:c>
      <x:c r="X158" s="431" t="n">
        <x:f>IF(S158="","",1+COUNTIF($S$19:$S$186,"&gt;"&amp;S158))</x:f>
        <x:v>106</x:v>
      </x:c>
      <x:c r="Y158" s="431" t="str">
        <x:f>IF(V158="","",1+COUNTIFS($A$19:$A$186,A158,$V$19:$V$186,"&gt;"&amp;V158))</x:f>
      </x:c>
      <x:c r="Z158" s="431" t="str">
        <x:f>IF(V158="","",1+COUNTIF($V$19:$V$186,"&gt;"&amp;V158))</x:f>
      </x:c>
      <x:c r="AA158" s="430" t="str">
        <x:f>IF(C158=0,"No specialisations recorded",IF(D158&lt;C158,"Review missing level","Recorded skills only"))</x:f>
        <x:v>Recorded skills only</x:v>
      </x:c>
      <x:c r="AB158" s="601" t="n">
        <x:f>IF(OR(AP158&lt;&gt;"Yes",E158=0),"",IFERROR(100*(COUNTIFS($AP$19:$AP$186,"Yes",$E$19:$E$186,"&gt;0",$I$19:$I$186,"&lt;"&amp;I158)+(COUNTIFS($AP$19:$AP$186,"Yes",$E$19:$E$186,"&gt;0",$I$19:$I$186,I158)-1)/2)/(COUNTIFS($AP$19:$AP$186,"Yes",$E$19:$E$186,"&gt;0")-1),50))</x:f>
        <x:v>48.701298701298704</x:v>
      </x:c>
      <x:c r="AC158" s="601" t="n">
        <x:f>IF(AB158="","",AB158*'Specialisation Rankings'!$O$16+R158*'Specialisation Rankings'!$O$17)</x:f>
        <x:v>48.70129870129871</x:v>
      </x:c>
      <x:c r="AD158" s="601" t="n">
        <x:f>IF(AC158="","",COUNTIFS($A$19:$A$186,A158,$AP$19:$AP$186,"Yes",$E$19:$E$186,"&gt;0",$AC$19:$AC$186,"&gt;"&amp;AC158)+COUNTIFS($A$19:A158,A158,$AP$19:AP158,"Yes",$E$19:E158,"&gt;0",$AC$19:AC158,AC158))</x:f>
        <x:v>6</x:v>
      </x:c>
      <x:c r="AE158" s="601" t="n">
        <x:f>IF(OR(AP158&lt;&gt;"Yes",E158=0),"",IFERROR(100*(COUNTIFS($AP$19:$AP$186,"Yes",$E$19:$E$186,"&gt;0",$H$19:$H$186,"&lt;"&amp;H158)+(COUNTIFS($AP$19:$AP$186,"Yes",$E$19:$E$186,"&gt;0",$H$19:$H$186,H158)-1)/2)/(COUNTIFS($AP$19:$AP$186,"Yes",$E$19:$E$186,"&gt;0")-1),50))</x:f>
        <x:v>11.688311688311689</x:v>
      </x:c>
      <x:c r="AF158" s="601" t="n">
        <x:f>IF(AE158="","",AE158*'Specialisation Rankings'!$O$16+R158*'Specialisation Rankings'!$O$17)</x:f>
        <x:v>19.090909090909093</x:v>
      </x:c>
      <x:c r="AG158" s="601" t="n">
        <x:f>IF(AF158="","",COUNTIFS($A$19:$A$186,A158,$AP$19:$AP$186,"Yes",$E$19:$E$186,"&gt;0",$AF$19:$AF$186,"&gt;"&amp;AF158)+COUNTIFS($A$19:A158,A158,$AP$19:AP158,"Yes",$E$19:E158,"&gt;0",$AF$19:AF158,AF158))</x:f>
        <x:v>19</x:v>
      </x:c>
      <x:c r="AH158" s="601" t="n">
        <x:f>IF(OR(AP158&lt;&gt;"Yes",E158=0),"",IFERROR(100*(COUNTIFS($AP$19:$AP$186,"Yes",$E$19:$E$186,"&gt;0",$J$19:$J$186,"&lt;"&amp;J158)+(COUNTIFS($AP$19:$AP$186,"Yes",$E$19:$E$186,"&gt;0",$J$19:$J$186,J158)-1)/2)/(COUNTIFS($AP$19:$AP$186,"Yes",$E$19:$E$186,"&gt;0")-1),50))</x:f>
        <x:v>33.116883116883116</x:v>
      </x:c>
      <x:c r="AI158" s="601" t="n">
        <x:f>IF(AH158="","",AH158*'Specialisation Rankings'!$O$16+R158*'Specialisation Rankings'!$O$17)</x:f>
        <x:v>36.23376623376623</x:v>
      </x:c>
      <x:c r="AJ158" s="601" t="n">
        <x:f>IF(AI158="","",COUNTIFS($A$19:$A$186,A158,$AP$19:$AP$186,"Yes",$E$19:$E$186,"&gt;0",$AI$19:$AI$186,"&gt;"&amp;AI158)+COUNTIFS($A$19:A158,A158,$AP$19:AP158,"Yes",$E$19:E158,"&gt;0",$AI$19:AI158,AI158))</x:f>
        <x:v>14</x:v>
      </x:c>
      <x:c r="AK158" s="601" t="n">
        <x:f>IF(OR(AP158&lt;&gt;"Yes",E158=0),"",IF(M158=0,'Specialisation Rankings'!$O$23,V158))</x:f>
        <x:v>50</x:v>
      </x:c>
      <x:c r="AL158" s="601" t="n">
        <x:f>IF(AK158="","",COUNTIFS($A$19:$A$186,A158,$AP$19:$AP$186,"Yes",$E$19:$E$186,"&gt;0",$AK$19:$AK$186,"&gt;"&amp;AK158)+COUNTIFS($A$19:A158,A158,$AP$19:AP158,"Yes",$E$19:E158,"&gt;0",$AK$19:AK158,AK158))</x:f>
        <x:v>15</x:v>
      </x:c>
      <x:c r="AM158" s="601" t="n">
        <x:f>IF(AC158="","",AC158*'Specialisation Rankings'!$O$18+AF158*'Specialisation Rankings'!$O$19+AI158*'Specialisation Rankings'!$O$20+AK158*'Specialisation Rankings'!$O$21)</x:f>
        <x:v>44.00000000000001</x:v>
      </x:c>
      <x:c r="AN158" s="601" t="n">
        <x:f>IF(AM158="","",COUNTIFS($A$19:$A$186,A158,$AP$19:$AP$186,"Yes",$E$19:$E$186,"&gt;0",$AM$19:$AM$186,"&gt;"&amp;AM158)+COUNTIFS($A$19:A158,A158,$AP$19:AP158,"Yes",$E$19:E158,"&gt;0",$AM$19:AM158,AM158))</x:f>
        <x:v>6</x:v>
      </x:c>
      <x:c r="AO158" s="601" t="n">
        <x:f>IF(AM158="","",COUNTIFS($AP$19:$AP$186,"Yes",$E$19:$E$186,"&gt;0",$AM$19:$AM$186,"&gt;"&amp;AM158)+COUNTIFS($AP$19:AP158,"Yes",$E$19:E158,"&gt;0",$AM$19:AM158,AM158))</x:f>
        <x:v>89</x:v>
      </x:c>
      <x:c r="AP158" s="602" t="str">
        <x:f>IF(COUNTIFS('Player Scenario Model'!$A$6:$A$172,A158,'Player Scenario Model'!$B$6:$B$172,B158)&gt;0,"Yes","No")</x:f>
        <x:v>Yes</x:v>
      </x:c>
    </x:row>
    <x:row r="159" ht="24" customHeight="1">
      <x:c r="A159" s="430" t="str">
        <x:v>K197</x:v>
      </x:c>
      <x:c r="B159" s="430" t="str">
        <x:v>Mira</x:v>
      </x:c>
      <x:c r="C159" s="431" t="n">
        <x:f>COUNTIFS('Specialisations'!$A$6:$A$527,A159,'Specialisations'!$B$6:$B$527,B159)</x:f>
        <x:v>2</x:v>
      </x:c>
      <x:c r="D159" s="431" t="n">
        <x:f>COUNTIFS('Specialisations'!$A$6:$A$527,A159,'Specialisations'!$B$6:$B$527,B159,'Specialisations'!$P$6:$P$527,"OK")</x:f>
        <x:v>2</x:v>
      </x:c>
      <x:c r="E159" s="431" t="n">
        <x:f>COUNTIFS('Specialisations'!$A$6:$A$527,A159,'Specialisations'!$B$6:$B$527,B159,'Specialisations'!$P$6:$P$527,"OK",'Specialisations'!$C$6:$C$527,"&lt;&gt;Guards")</x:f>
        <x:v>1</x:v>
      </x:c>
      <x:c r="F159" s="432" t="n">
        <x:f>IF(C159=0,"",D159/C159)</x:f>
        <x:v>1</x:v>
      </x:c>
      <x:c r="G159" s="495" t="n">
        <x:f>SUMIFS('Specialisations'!$Q$6:$Q$527,'Specialisations'!$A$6:$A$527,A159,'Specialisations'!$B$6:$B$527,B159,'Specialisations'!$C$6:$C$527,"Guards")</x:f>
        <x:v>-6.11</x:v>
      </x:c>
      <x:c r="H159" s="495" t="n">
        <x:f>SUMIFS('Specialisations'!$Q$6:$Q$527,'Specialisations'!$A$6:$A$527,A159,'Specialisations'!$B$6:$B$527,B159,'Specialisations'!$C$6:$C$527,"Archers")</x:f>
        <x:v>55.2</x:v>
      </x:c>
      <x:c r="I159" s="495" t="n">
        <x:f>SUMIFS('Specialisations'!$Q$6:$Q$527,'Specialisations'!$A$6:$A$527,A159,'Specialisations'!$B$6:$B$527,B159,'Specialisations'!$C$6:$C$527,"Cavalry")</x:f>
        <x:v>0</x:v>
      </x:c>
      <x:c r="J159" s="495" t="n">
        <x:f>SUMIFS('Specialisations'!$Q$6:$Q$527,'Specialisations'!$A$6:$A$527,A159,'Specialisations'!$B$6:$B$527,B159,'Specialisations'!$C$6:$C$527,"Siege")</x:f>
        <x:v>0</x:v>
      </x:c>
      <x:c r="K159" s="495" t="n">
        <x:f>SUM(H159:J159)</x:f>
        <x:v>55.2</x:v>
      </x:c>
      <x:c r="L159" s="495" t="n">
        <x:f>SUM(G159,K159)</x:f>
        <x:v>49.09</x:v>
      </x:c>
      <x:c r="M159" s="433" t="n">
        <x:f>SUMIFS('Specialisations'!$N$6:$N$527,'Specialisations'!$A$6:$A$527,A159,'Specialisations'!$B$6:$B$527,B159,'Specialisations'!$C$6:$C$527,"Guards")</x:f>
        <x:v>424300</x:v>
      </x:c>
      <x:c r="N159" s="433" t="n">
        <x:f>SUMIFS('Specialisations'!$N$6:$N$527,'Specialisations'!$A$6:$A$527,A159,'Specialisations'!$B$6:$B$527,B159,'Specialisations'!$C$6:$C$527,"&lt;&gt;Guards")</x:f>
        <x:v>8334300</x:v>
      </x:c>
      <x:c r="O159" s="433" t="n">
        <x:f>SUM(M159:N159)</x:f>
        <x:v>8758600</x:v>
      </x:c>
      <x:c r="P159" s="434" t="n">
        <x:f>IF(E159=0,"",K159/E159)</x:f>
        <x:v>55.2</x:v>
      </x:c>
      <x:c r="Q159" s="501" t="n">
        <x:f>IF(E159=0,"",IFERROR(100*(COUNTIFS($E$19:$E$186,"&gt;0",$K$19:$K$186,"&lt;"&amp;K159)+(COUNTIFS($E$19:$E$186,"&gt;0",$K$19:$K$186,K159)-1)/2)/(COUNTIF($E$19:$E$186,"&gt;0")-1),50))</x:f>
        <x:v>14.285714285714286</x:v>
      </x:c>
      <x:c r="R159" s="501" t="n">
        <x:f>IF(E159=0,"",IFERROR(100*(COUNTIFS($E$19:$E$186,"&gt;0",$N$19:$N$186,"&lt;"&amp;N159)+(COUNTIFS($E$19:$E$186,"&gt;0",$N$19:$N$186,N159)-1)/2)/(COUNTIF($E$19:$E$186,"&gt;0")-1),50))</x:f>
        <x:v>29.87012987012987</x:v>
      </x:c>
      <x:c r="S159" s="501" t="n">
        <x:f>IF(E159=0,"",Q159*$R$5+R159*$R$6)</x:f>
        <x:v>17.402597402597404</x:v>
      </x:c>
      <x:c r="T159" s="501" t="n">
        <x:f>IF(M159=0,"",IFERROR(100*(COUNTIFS($M$19:$M$186,"&gt;0",$G$19:$G$186,"&gt;"&amp;G159)+(COUNTIFS($M$19:$M$186,"&gt;0",$G$19:$G$186,G159)-1)/2)/(COUNTIF($M$19:$M$186,"&gt;0")-1),50))</x:f>
        <x:v>2.5641025641025643</x:v>
      </x:c>
      <x:c r="U159" s="501" t="n">
        <x:f>IF(M159=0,"",IFERROR(100*(COUNTIFS($M$19:$M$186,"&gt;0",$M$19:$M$186,"&lt;"&amp;M159)+(COUNTIFS($M$19:$M$186,"&gt;0",$M$19:$M$186,M159)-1)/2)/(COUNTIF($M$19:$M$186,"&gt;0")-1),50))</x:f>
        <x:v>2.5641025641025643</x:v>
      </x:c>
      <x:c r="V159" s="501" t="n">
        <x:f>IF(M159=0,"",T159*$R$5+U159*$R$6)</x:f>
        <x:v>2.5641025641025643</x:v>
      </x:c>
      <x:c r="W159" s="431" t="n">
        <x:f>IF(E159=0,"",COUNTIFS($A$19:$A$186,A159,$S$19:$S$186,"&gt;"&amp;S159)+COUNTIFS($A$19:A159,A159,$E$19:E159,"&gt;0",$S$19:S159,S159))</x:f>
        <x:v>16</x:v>
      </x:c>
      <x:c r="X159" s="431" t="n">
        <x:f>IF(S159="","",1+COUNTIF($S$19:$S$186,"&gt;"&amp;S159))</x:f>
        <x:v>128</x:v>
      </x:c>
      <x:c r="Y159" s="431" t="n">
        <x:f>IF(V159="","",1+COUNTIFS($A$19:$A$186,A159,$V$19:$V$186,"&gt;"&amp;V159))</x:f>
        <x:v>6</x:v>
      </x:c>
      <x:c r="Z159" s="431" t="n">
        <x:f>IF(V159="","",1+COUNTIF($V$19:$V$186,"&gt;"&amp;V159))</x:f>
        <x:v>115</x:v>
      </x:c>
      <x:c r="AA159" s="430" t="str">
        <x:f>IF(C159=0,"No specialisations recorded",IF(D159&lt;C159,"Review missing level","Recorded skills only"))</x:f>
        <x:v>Recorded skills only</x:v>
      </x:c>
      <x:c r="AB159" s="601" t="n">
        <x:f>IF(OR(AP159&lt;&gt;"Yes",E159=0),"",IFERROR(100*(COUNTIFS($AP$19:$AP$186,"Yes",$E$19:$E$186,"&gt;0",$I$19:$I$186,"&lt;"&amp;I159)+(COUNTIFS($AP$19:$AP$186,"Yes",$E$19:$E$186,"&gt;0",$I$19:$I$186,I159)-1)/2)/(COUNTIFS($AP$19:$AP$186,"Yes",$E$19:$E$186,"&gt;0")-1),50))</x:f>
        <x:v>10.38961038961039</x:v>
      </x:c>
      <x:c r="AC159" s="601" t="n">
        <x:f>IF(AB159="","",AB159*'Specialisation Rankings'!$O$16+R159*'Specialisation Rankings'!$O$17)</x:f>
        <x:v>14.285714285714286</x:v>
      </x:c>
      <x:c r="AD159" s="601" t="n">
        <x:f>IF(AC159="","",COUNTIFS($A$19:$A$186,A159,$AP$19:$AP$186,"Yes",$E$19:$E$186,"&gt;0",$AC$19:$AC$186,"&gt;"&amp;AC159)+COUNTIFS($A$19:A159,A159,$AP$19:AP159,"Yes",$E$19:E159,"&gt;0",$AC$19:AC159,AC159))</x:f>
        <x:v>16</x:v>
      </x:c>
      <x:c r="AE159" s="601" t="n">
        <x:f>IF(OR(AP159&lt;&gt;"Yes",E159=0),"",IFERROR(100*(COUNTIFS($AP$19:$AP$186,"Yes",$E$19:$E$186,"&gt;0",$H$19:$H$186,"&lt;"&amp;H159)+(COUNTIFS($AP$19:$AP$186,"Yes",$E$19:$E$186,"&gt;0",$H$19:$H$186,H159)-1)/2)/(COUNTIFS($AP$19:$AP$186,"Yes",$E$19:$E$186,"&gt;0")-1),50))</x:f>
        <x:v>82.14285714285714</x:v>
      </x:c>
      <x:c r="AF159" s="601" t="n">
        <x:f>IF(AE159="","",AE159*'Specialisation Rankings'!$O$16+R159*'Specialisation Rankings'!$O$17)</x:f>
        <x:v>71.68831168831169</x:v>
      </x:c>
      <x:c r="AG159" s="601" t="n">
        <x:f>IF(AF159="","",COUNTIFS($A$19:$A$186,A159,$AP$19:$AP$186,"Yes",$E$19:$E$186,"&gt;0",$AF$19:$AF$186,"&gt;"&amp;AF159)+COUNTIFS($A$19:A159,A159,$AP$19:AP159,"Yes",$E$19:E159,"&gt;0",$AF$19:AF159,AF159))</x:f>
        <x:v>13</x:v>
      </x:c>
      <x:c r="AH159" s="601" t="n">
        <x:f>IF(OR(AP159&lt;&gt;"Yes",E159=0),"",IFERROR(100*(COUNTIFS($AP$19:$AP$186,"Yes",$E$19:$E$186,"&gt;0",$J$19:$J$186,"&lt;"&amp;J159)+(COUNTIFS($AP$19:$AP$186,"Yes",$E$19:$E$186,"&gt;0",$J$19:$J$186,J159)-1)/2)/(COUNTIFS($AP$19:$AP$186,"Yes",$E$19:$E$186,"&gt;0")-1),50))</x:f>
        <x:v>33.116883116883116</x:v>
      </x:c>
      <x:c r="AI159" s="601" t="n">
        <x:f>IF(AH159="","",AH159*'Specialisation Rankings'!$O$16+R159*'Specialisation Rankings'!$O$17)</x:f>
        <x:v>32.467532467532465</x:v>
      </x:c>
      <x:c r="AJ159" s="601" t="n">
        <x:f>IF(AI159="","",COUNTIFS($A$19:$A$186,A159,$AP$19:$AP$186,"Yes",$E$19:$E$186,"&gt;0",$AI$19:$AI$186,"&gt;"&amp;AI159)+COUNTIFS($A$19:A159,A159,$AP$19:AP159,"Yes",$E$19:E159,"&gt;0",$AI$19:AI159,AI159))</x:f>
        <x:v>16</x:v>
      </x:c>
      <x:c r="AK159" s="601" t="n">
        <x:f>IF(OR(AP159&lt;&gt;"Yes",E159=0),"",IF(M159=0,'Specialisation Rankings'!$O$23,V159))</x:f>
        <x:v>2.5641025641025643</x:v>
      </x:c>
      <x:c r="AL159" s="601" t="n">
        <x:f>IF(AK159="","",COUNTIFS($A$19:$A$186,A159,$AP$19:$AP$186,"Yes",$E$19:$E$186,"&gt;0",$AK$19:$AK$186,"&gt;"&amp;AK159)+COUNTIFS($A$19:A159,A159,$AP$19:AP159,"Yes",$E$19:E159,"&gt;0",$AK$19:AK159,AK159))</x:f>
        <x:v>19</x:v>
      </x:c>
      <x:c r="AM159" s="601" t="n">
        <x:f>IF(AC159="","",AC159*'Specialisation Rankings'!$O$18+AF159*'Specialisation Rankings'!$O$19+AI159*'Specialisation Rankings'!$O$20+AK159*'Specialisation Rankings'!$O$21)</x:f>
        <x:v>21.581085581085578</x:v>
      </x:c>
      <x:c r="AN159" s="601" t="n">
        <x:f>IF(AM159="","",COUNTIFS($A$19:$A$186,A159,$AP$19:$AP$186,"Yes",$E$19:$E$186,"&gt;0",$AM$19:$AM$186,"&gt;"&amp;AM159)+COUNTIFS($A$19:A159,A159,$AP$19:AP159,"Yes",$E$19:E159,"&gt;0",$AM$19:AM159,AM159))</x:f>
        <x:v>18</x:v>
      </x:c>
      <x:c r="AO159" s="601" t="n">
        <x:f>IF(AM159="","",COUNTIFS($AP$19:$AP$186,"Yes",$E$19:$E$186,"&gt;0",$AM$19:$AM$186,"&gt;"&amp;AM159)+COUNTIFS($AP$19:AP159,"Yes",$E$19:E159,"&gt;0",$AM$19:AM159,AM159))</x:f>
        <x:v>145</x:v>
      </x:c>
      <x:c r="AP159" s="602" t="str">
        <x:f>IF(COUNTIFS('Player Scenario Model'!$A$6:$A$172,A159,'Player Scenario Model'!$B$6:$B$172,B159)&gt;0,"Yes","No")</x:f>
        <x:v>Yes</x:v>
      </x:c>
    </x:row>
    <x:row r="160" ht="24" customHeight="1">
      <x:c r="A160" s="430" t="str">
        <x:v>K176</x:v>
      </x:c>
      <x:c r="B160" s="430" t="str">
        <x:v>苟拓通天肆意妄为</x:v>
      </x:c>
      <x:c r="C160" s="431" t="n">
        <x:f>COUNTIFS('Specialisations'!$A$6:$A$527,A160,'Specialisations'!$B$6:$B$527,B160)</x:f>
        <x:v>5</x:v>
      </x:c>
      <x:c r="D160" s="431" t="n">
        <x:f>COUNTIFS('Specialisations'!$A$6:$A$527,A160,'Specialisations'!$B$6:$B$527,B160,'Specialisations'!$P$6:$P$527,"OK")</x:f>
        <x:v>5</x:v>
      </x:c>
      <x:c r="E160" s="431" t="n">
        <x:f>COUNTIFS('Specialisations'!$A$6:$A$527,A160,'Specialisations'!$B$6:$B$527,B160,'Specialisations'!$P$6:$P$527,"OK",'Specialisations'!$C$6:$C$527,"&lt;&gt;Guards")</x:f>
        <x:v>4</x:v>
      </x:c>
      <x:c r="F160" s="432" t="n">
        <x:f>IF(C160=0,"",D160/C160)</x:f>
        <x:v>1</x:v>
      </x:c>
      <x:c r="G160" s="495" t="n">
        <x:f>SUMIFS('Specialisations'!$Q$6:$Q$527,'Specialisations'!$A$6:$A$527,A160,'Specialisations'!$B$6:$B$527,B160,'Specialisations'!$C$6:$C$527,"Guards")</x:f>
        <x:v>-60</x:v>
      </x:c>
      <x:c r="H160" s="495" t="n">
        <x:f>SUMIFS('Specialisations'!$Q$6:$Q$527,'Specialisations'!$A$6:$A$527,A160,'Specialisations'!$B$6:$B$527,B160,'Specialisations'!$C$6:$C$527,"Archers")</x:f>
        <x:v>51.74</x:v>
      </x:c>
      <x:c r="I160" s="495" t="n">
        <x:f>SUMIFS('Specialisations'!$Q$6:$Q$527,'Specialisations'!$A$6:$A$527,A160,'Specialisations'!$B$6:$B$527,B160,'Specialisations'!$C$6:$C$527,"Cavalry")</x:f>
        <x:v>103.48</x:v>
      </x:c>
      <x:c r="J160" s="495" t="n">
        <x:f>SUMIFS('Specialisations'!$Q$6:$Q$527,'Specialisations'!$A$6:$A$527,A160,'Specialisations'!$B$6:$B$527,B160,'Specialisations'!$C$6:$C$527,"Siege")</x:f>
        <x:v>51.74</x:v>
      </x:c>
      <x:c r="K160" s="495" t="n">
        <x:f>SUM(H160:J160)</x:f>
        <x:v>206.96</x:v>
      </x:c>
      <x:c r="L160" s="495" t="n">
        <x:f>SUM(G160,K160)</x:f>
        <x:v>146.96</x:v>
      </x:c>
      <x:c r="M160" s="433" t="n">
        <x:f>SUMIFS('Specialisations'!$N$6:$N$527,'Specialisations'!$A$6:$A$527,A160,'Specialisations'!$B$6:$B$527,B160,'Specialisations'!$C$6:$C$527,"Guards")</x:f>
        <x:v>10334300</x:v>
      </x:c>
      <x:c r="N160" s="433" t="n">
        <x:f>SUMIFS('Specialisations'!$N$6:$N$527,'Specialisations'!$A$6:$A$527,A160,'Specialisations'!$B$6:$B$527,B160,'Specialisations'!$C$6:$C$527,"&lt;&gt;Guards")</x:f>
        <x:v>27737200</x:v>
      </x:c>
      <x:c r="O160" s="433" t="n">
        <x:f>SUM(M160:N160)</x:f>
        <x:v>38071500</x:v>
      </x:c>
      <x:c r="P160" s="434" t="n">
        <x:f>IF(E160=0,"",K160/E160)</x:f>
        <x:v>51.74</x:v>
      </x:c>
      <x:c r="Q160" s="501" t="n">
        <x:f>IF(E160=0,"",IFERROR(100*(COUNTIFS($E$19:$E$186,"&gt;0",$K$19:$K$186,"&lt;"&amp;K160)+(COUNTIFS($E$19:$E$186,"&gt;0",$K$19:$K$186,K160)-1)/2)/(COUNTIF($E$19:$E$186,"&gt;0")-1),50))</x:f>
        <x:v>96.75324675324676</x:v>
      </x:c>
      <x:c r="R160" s="501" t="n">
        <x:f>IF(E160=0,"",IFERROR(100*(COUNTIFS($E$19:$E$186,"&gt;0",$N$19:$N$186,"&lt;"&amp;N160)+(COUNTIFS($E$19:$E$186,"&gt;0",$N$19:$N$186,N160)-1)/2)/(COUNTIF($E$19:$E$186,"&gt;0")-1),50))</x:f>
        <x:v>96.75324675324676</x:v>
      </x:c>
      <x:c r="S160" s="501" t="n">
        <x:f>IF(E160=0,"",Q160*$R$5+R160*$R$6)</x:f>
        <x:v>96.75324675324676</x:v>
      </x:c>
      <x:c r="T160" s="501" t="n">
        <x:f>IF(M160=0,"",IFERROR(100*(COUNTIFS($M$19:$M$186,"&gt;0",$G$19:$G$186,"&gt;"&amp;G160)+(COUNTIFS($M$19:$M$186,"&gt;0",$G$19:$G$186,G160)-1)/2)/(COUNTIF($M$19:$M$186,"&gt;0")-1),50))</x:f>
        <x:v>93.16239316239316</x:v>
      </x:c>
      <x:c r="U160" s="501" t="n">
        <x:f>IF(M160=0,"",IFERROR(100*(COUNTIFS($M$19:$M$186,"&gt;0",$M$19:$M$186,"&lt;"&amp;M160)+(COUNTIFS($M$19:$M$186,"&gt;0",$M$19:$M$186,M160)-1)/2)/(COUNTIF($M$19:$M$186,"&gt;0")-1),50))</x:f>
        <x:v>93.16239316239316</x:v>
      </x:c>
      <x:c r="V160" s="501" t="n">
        <x:f>IF(M160=0,"",T160*$R$5+U160*$R$6)</x:f>
        <x:v>93.16239316239316</x:v>
      </x:c>
      <x:c r="W160" s="431" t="n">
        <x:f>IF(E160=0,"",COUNTIFS($A$19:$A$186,A160,$S$19:$S$186,"&gt;"&amp;S160)+COUNTIFS($A$19:A160,A160,$E$19:E160,"&gt;0",$S$19:S160,S160))</x:f>
        <x:v>1</x:v>
      </x:c>
      <x:c r="X160" s="431" t="n">
        <x:f>IF(S160="","",1+COUNTIF($S$19:$S$186,"&gt;"&amp;S160))</x:f>
        <x:v>6</x:v>
      </x:c>
      <x:c r="Y160" s="431" t="n">
        <x:f>IF(V160="","",1+COUNTIFS($A$19:$A$186,A160,$V$19:$V$186,"&gt;"&amp;V160))</x:f>
        <x:v>1</x:v>
      </x:c>
      <x:c r="Z160" s="431" t="n">
        <x:f>IF(V160="","",1+COUNTIF($V$19:$V$186,"&gt;"&amp;V160))</x:f>
        <x:v>1</x:v>
      </x:c>
      <x:c r="AA160" s="430" t="str">
        <x:f>IF(C160=0,"No specialisations recorded",IF(D160&lt;C160,"Review missing level","Recorded skills only"))</x:f>
        <x:v>Recorded skills only</x:v>
      </x:c>
      <x:c r="AB160" s="601" t="n">
        <x:f>IF(OR(AP160&lt;&gt;"Yes",E160=0),"",IFERROR(100*(COUNTIFS($AP$19:$AP$186,"Yes",$E$19:$E$186,"&gt;0",$I$19:$I$186,"&lt;"&amp;I160)+(COUNTIFS($AP$19:$AP$186,"Yes",$E$19:$E$186,"&gt;0",$I$19:$I$186,I160)-1)/2)/(COUNTIFS($AP$19:$AP$186,"Yes",$E$19:$E$186,"&gt;0")-1),50))</x:f>
        <x:v>88.31168831168831</x:v>
      </x:c>
      <x:c r="AC160" s="601" t="n">
        <x:f>IF(AB160="","",AB160*'Specialisation Rankings'!$O$16+R160*'Specialisation Rankings'!$O$17)</x:f>
        <x:v>90</x:v>
      </x:c>
      <x:c r="AD160" s="601" t="n">
        <x:f>IF(AC160="","",COUNTIFS($A$19:$A$186,A160,$AP$19:$AP$186,"Yes",$E$19:$E$186,"&gt;0",$AC$19:$AC$186,"&gt;"&amp;AC160)+COUNTIFS($A$19:A160,A160,$AP$19:AP160,"Yes",$E$19:E160,"&gt;0",$AC$19:AC160,AC160))</x:f>
        <x:v>4</x:v>
      </x:c>
      <x:c r="AE160" s="601" t="n">
        <x:f>IF(OR(AP160&lt;&gt;"Yes",E160=0),"",IFERROR(100*(COUNTIFS($AP$19:$AP$186,"Yes",$E$19:$E$186,"&gt;0",$H$19:$H$186,"&lt;"&amp;H160)+(COUNTIFS($AP$19:$AP$186,"Yes",$E$19:$E$186,"&gt;0",$H$19:$H$186,H160)-1)/2)/(COUNTIFS($AP$19:$AP$186,"Yes",$E$19:$E$186,"&gt;0")-1),50))</x:f>
        <x:v>79.54545454545455</x:v>
      </x:c>
      <x:c r="AF160" s="601" t="n">
        <x:f>IF(AE160="","",AE160*'Specialisation Rankings'!$O$16+R160*'Specialisation Rankings'!$O$17)</x:f>
        <x:v>82.98701298701299</x:v>
      </x:c>
      <x:c r="AG160" s="601" t="n">
        <x:f>IF(AF160="","",COUNTIFS($A$19:$A$186,A160,$AP$19:$AP$186,"Yes",$E$19:$E$186,"&gt;0",$AF$19:$AF$186,"&gt;"&amp;AF160)+COUNTIFS($A$19:A160,A160,$AP$19:AP160,"Yes",$E$19:E160,"&gt;0",$AF$19:AF160,AF160))</x:f>
        <x:v>1</x:v>
      </x:c>
      <x:c r="AH160" s="601" t="n">
        <x:f>IF(OR(AP160&lt;&gt;"Yes",E160=0),"",IFERROR(100*(COUNTIFS($AP$19:$AP$186,"Yes",$E$19:$E$186,"&gt;0",$J$19:$J$186,"&lt;"&amp;J160)+(COUNTIFS($AP$19:$AP$186,"Yes",$E$19:$E$186,"&gt;0",$J$19:$J$186,J160)-1)/2)/(COUNTIFS($AP$19:$AP$186,"Yes",$E$19:$E$186,"&gt;0")-1),50))</x:f>
        <x:v>95.12987012987013</x:v>
      </x:c>
      <x:c r="AI160" s="601" t="n">
        <x:f>IF(AH160="","",AH160*'Specialisation Rankings'!$O$16+R160*'Specialisation Rankings'!$O$17)</x:f>
        <x:v>95.45454545454545</x:v>
      </x:c>
      <x:c r="AJ160" s="601" t="n">
        <x:f>IF(AI160="","",COUNTIFS($A$19:$A$186,A160,$AP$19:$AP$186,"Yes",$E$19:$E$186,"&gt;0",$AI$19:$AI$186,"&gt;"&amp;AI160)+COUNTIFS($A$19:A160,A160,$AP$19:AP160,"Yes",$E$19:E160,"&gt;0",$AI$19:AI160,AI160))</x:f>
        <x:v>1</x:v>
      </x:c>
      <x:c r="AK160" s="601" t="n">
        <x:f>IF(OR(AP160&lt;&gt;"Yes",E160=0),"",IF(M160=0,'Specialisation Rankings'!$O$23,V160))</x:f>
        <x:v>93.16239316239316</x:v>
      </x:c>
      <x:c r="AL160" s="601" t="n">
        <x:f>IF(AK160="","",COUNTIFS($A$19:$A$186,A160,$AP$19:$AP$186,"Yes",$E$19:$E$186,"&gt;0",$AK$19:$AK$186,"&gt;"&amp;AK160)+COUNTIFS($A$19:A160,A160,$AP$19:AP160,"Yes",$E$19:E160,"&gt;0",$AK$19:AK160,AK160))</x:f>
        <x:v>1</x:v>
      </x:c>
      <x:c r="AM160" s="601" t="n">
        <x:f>IF(AC160="","",AC160*'Specialisation Rankings'!$O$18+AF160*'Specialisation Rankings'!$O$19+AI160*'Specialisation Rankings'!$O$20+AK160*'Specialisation Rankings'!$O$21)</x:f>
        <x:v>90.43312243312243</x:v>
      </x:c>
      <x:c r="AN160" s="601" t="n">
        <x:f>IF(AM160="","",COUNTIFS($A$19:$A$186,A160,$AP$19:$AP$186,"Yes",$E$19:$E$186,"&gt;0",$AM$19:$AM$186,"&gt;"&amp;AM160)+COUNTIFS($A$19:A160,A160,$AP$19:AP160,"Yes",$E$19:E160,"&gt;0",$AM$19:AM160,AM160))</x:f>
        <x:v>1</x:v>
      </x:c>
      <x:c r="AO160" s="601" t="n">
        <x:f>IF(AM160="","",COUNTIFS($AP$19:$AP$186,"Yes",$E$19:$E$186,"&gt;0",$AM$19:$AM$186,"&gt;"&amp;AM160)+COUNTIFS($AP$19:AP160,"Yes",$E$19:E160,"&gt;0",$AM$19:AM160,AM160))</x:f>
        <x:v>4</x:v>
      </x:c>
      <x:c r="AP160" s="602" t="str">
        <x:f>IF(COUNTIFS('Player Scenario Model'!$A$6:$A$172,A160,'Player Scenario Model'!$B$6:$B$172,B160)&gt;0,"Yes","No")</x:f>
        <x:v>Yes</x:v>
      </x:c>
    </x:row>
    <x:row r="161" ht="24" customHeight="1">
      <x:c r="A161" s="430" t="str">
        <x:v>K176</x:v>
      </x:c>
      <x:c r="B161" s="430" t="str">
        <x:v>Evildagger</x:v>
      </x:c>
      <x:c r="C161" s="431" t="n">
        <x:f>COUNTIFS('Specialisations'!$A$6:$A$527,A161,'Specialisations'!$B$6:$B$527,B161)</x:f>
        <x:v>2</x:v>
      </x:c>
      <x:c r="D161" s="431" t="n">
        <x:f>COUNTIFS('Specialisations'!$A$6:$A$527,A161,'Specialisations'!$B$6:$B$527,B161,'Specialisations'!$P$6:$P$527,"OK")</x:f>
        <x:v>2</x:v>
      </x:c>
      <x:c r="E161" s="431" t="n">
        <x:f>COUNTIFS('Specialisations'!$A$6:$A$527,A161,'Specialisations'!$B$6:$B$527,B161,'Specialisations'!$P$6:$P$527,"OK",'Specialisations'!$C$6:$C$527,"&lt;&gt;Guards")</x:f>
        <x:v>2</x:v>
      </x:c>
      <x:c r="F161" s="432" t="n">
        <x:f>IF(C161=0,"",D161/C161)</x:f>
        <x:v>1</x:v>
      </x:c>
      <x:c r="G161" s="495" t="n">
        <x:f>SUMIFS('Specialisations'!$Q$6:$Q$527,'Specialisations'!$A$6:$A$527,A161,'Specialisations'!$B$6:$B$527,B161,'Specialisations'!$C$6:$C$527,"Guards")</x:f>
        <x:v>0</x:v>
      </x:c>
      <x:c r="H161" s="495" t="n">
        <x:f>SUMIFS('Specialisations'!$Q$6:$Q$527,'Specialisations'!$A$6:$A$527,A161,'Specialisations'!$B$6:$B$527,B161,'Specialisations'!$C$6:$C$527,"Archers")</x:f>
        <x:v>0</x:v>
      </x:c>
      <x:c r="I161" s="495" t="n">
        <x:f>SUMIFS('Specialisations'!$Q$6:$Q$527,'Specialisations'!$A$6:$A$527,A161,'Specialisations'!$B$6:$B$527,B161,'Specialisations'!$C$6:$C$527,"Cavalry")</x:f>
        <x:v>93.51</x:v>
      </x:c>
      <x:c r="J161" s="495" t="n">
        <x:f>SUMIFS('Specialisations'!$Q$6:$Q$527,'Specialisations'!$A$6:$A$527,A161,'Specialisations'!$B$6:$B$527,B161,'Specialisations'!$C$6:$C$527,"Siege")</x:f>
        <x:v>0</x:v>
      </x:c>
      <x:c r="K161" s="495" t="n">
        <x:f>SUM(H161:J161)</x:f>
        <x:v>93.51</x:v>
      </x:c>
      <x:c r="L161" s="495" t="n">
        <x:f>SUM(G161,K161)</x:f>
        <x:v>93.51</x:v>
      </x:c>
      <x:c r="M161" s="433" t="n">
        <x:f>SUMIFS('Specialisations'!$N$6:$N$527,'Specialisations'!$A$6:$A$527,A161,'Specialisations'!$B$6:$B$527,B161,'Specialisations'!$C$6:$C$527,"Guards")</x:f>
        <x:v>0</x:v>
      </x:c>
      <x:c r="N161" s="433" t="n">
        <x:f>SUMIFS('Specialisations'!$N$6:$N$527,'Specialisations'!$A$6:$A$527,A161,'Specialisations'!$B$6:$B$527,B161,'Specialisations'!$C$6:$C$527,"&lt;&gt;Guards")</x:f>
        <x:v>10888600</x:v>
      </x:c>
      <x:c r="O161" s="433" t="n">
        <x:f>SUM(M161:N161)</x:f>
        <x:v>10888600</x:v>
      </x:c>
      <x:c r="P161" s="434" t="n">
        <x:f>IF(E161=0,"",K161/E161)</x:f>
        <x:v>46.755</x:v>
      </x:c>
      <x:c r="Q161" s="501" t="n">
        <x:f>IF(E161=0,"",IFERROR(100*(COUNTIFS($E$19:$E$186,"&gt;0",$K$19:$K$186,"&lt;"&amp;K161)+(COUNTIFS($E$19:$E$186,"&gt;0",$K$19:$K$186,K161)-1)/2)/(COUNTIF($E$19:$E$186,"&gt;0")-1),50))</x:f>
        <x:v>49.35064935064935</x:v>
      </x:c>
      <x:c r="R161" s="501" t="n">
        <x:f>IF(E161=0,"",IFERROR(100*(COUNTIFS($E$19:$E$186,"&gt;0",$N$19:$N$186,"&lt;"&amp;N161)+(COUNTIFS($E$19:$E$186,"&gt;0",$N$19:$N$186,N161)-1)/2)/(COUNTIF($E$19:$E$186,"&gt;0")-1),50))</x:f>
        <x:v>55.84415584415584</x:v>
      </x:c>
      <x:c r="S161" s="501" t="n">
        <x:f>IF(E161=0,"",Q161*$R$5+R161*$R$6)</x:f>
        <x:v>50.64935064935065</x:v>
      </x:c>
      <x:c r="T161" s="501" t="str">
        <x:f>IF(M161=0,"",IFERROR(100*(COUNTIFS($M$19:$M$186,"&gt;0",$G$19:$G$186,"&gt;"&amp;G161)+(COUNTIFS($M$19:$M$186,"&gt;0",$G$19:$G$186,G161)-1)/2)/(COUNTIF($M$19:$M$186,"&gt;0")-1),50))</x:f>
      </x:c>
      <x:c r="U161" s="501" t="str">
        <x:f>IF(M161=0,"",IFERROR(100*(COUNTIFS($M$19:$M$186,"&gt;0",$M$19:$M$186,"&lt;"&amp;M161)+(COUNTIFS($M$19:$M$186,"&gt;0",$M$19:$M$186,M161)-1)/2)/(COUNTIF($M$19:$M$186,"&gt;0")-1),50))</x:f>
      </x:c>
      <x:c r="V161" s="501" t="str">
        <x:f>IF(M161=0,"",T161*$R$5+U161*$R$6)</x:f>
      </x:c>
      <x:c r="W161" s="431" t="n">
        <x:f>IF(E161=0,"",COUNTIFS($A$19:$A$186,A161,$S$19:$S$186,"&gt;"&amp;S161)+COUNTIFS($A$19:A161,A161,$E$19:E161,"&gt;0",$S$19:S161,S161))</x:f>
        <x:v>17</x:v>
      </x:c>
      <x:c r="X161" s="431" t="n">
        <x:f>IF(S161="","",1+COUNTIF($S$19:$S$186,"&gt;"&amp;S161))</x:f>
        <x:v>76</x:v>
      </x:c>
      <x:c r="Y161" s="431" t="str">
        <x:f>IF(V161="","",1+COUNTIFS($A$19:$A$186,A161,$V$19:$V$186,"&gt;"&amp;V161))</x:f>
      </x:c>
      <x:c r="Z161" s="431" t="str">
        <x:f>IF(V161="","",1+COUNTIF($V$19:$V$186,"&gt;"&amp;V161))</x:f>
      </x:c>
      <x:c r="AA161" s="430" t="str">
        <x:f>IF(C161=0,"No specialisations recorded",IF(D161&lt;C161,"Review missing level","Recorded skills only"))</x:f>
        <x:v>Recorded skills only</x:v>
      </x:c>
      <x:c r="AB161" s="601" t="n">
        <x:f>IF(OR(AP161&lt;&gt;"Yes",E161=0),"",IFERROR(100*(COUNTIFS($AP$19:$AP$186,"Yes",$E$19:$E$186,"&gt;0",$I$19:$I$186,"&lt;"&amp;I161)+(COUNTIFS($AP$19:$AP$186,"Yes",$E$19:$E$186,"&gt;0",$I$19:$I$186,I161)-1)/2)/(COUNTIFS($AP$19:$AP$186,"Yes",$E$19:$E$186,"&gt;0")-1),50))</x:f>
        <x:v>78.8961038961039</x:v>
      </x:c>
      <x:c r="AC161" s="601" t="n">
        <x:f>IF(AB161="","",AB161*'Specialisation Rankings'!$O$16+R161*'Specialisation Rankings'!$O$17)</x:f>
        <x:v>74.28571428571428</x:v>
      </x:c>
      <x:c r="AD161" s="601" t="n">
        <x:f>IF(AC161="","",COUNTIFS($A$19:$A$186,A161,$AP$19:$AP$186,"Yes",$E$19:$E$186,"&gt;0",$AC$19:$AC$186,"&gt;"&amp;AC161)+COUNTIFS($A$19:A161,A161,$AP$19:AP161,"Yes",$E$19:E161,"&gt;0",$AC$19:AC161,AC161))</x:f>
        <x:v>11</x:v>
      </x:c>
      <x:c r="AE161" s="601" t="n">
        <x:f>IF(OR(AP161&lt;&gt;"Yes",E161=0),"",IFERROR(100*(COUNTIFS($AP$19:$AP$186,"Yes",$E$19:$E$186,"&gt;0",$H$19:$H$186,"&lt;"&amp;H161)+(COUNTIFS($AP$19:$AP$186,"Yes",$E$19:$E$186,"&gt;0",$H$19:$H$186,H161)-1)/2)/(COUNTIFS($AP$19:$AP$186,"Yes",$E$19:$E$186,"&gt;0")-1),50))</x:f>
        <x:v>11.688311688311689</x:v>
      </x:c>
      <x:c r="AF161" s="601" t="n">
        <x:f>IF(AE161="","",AE161*'Specialisation Rankings'!$O$16+R161*'Specialisation Rankings'!$O$17)</x:f>
        <x:v>20.51948051948052</x:v>
      </x:c>
      <x:c r="AG161" s="601" t="n">
        <x:f>IF(AF161="","",COUNTIFS($A$19:$A$186,A161,$AP$19:$AP$186,"Yes",$E$19:$E$186,"&gt;0",$AF$19:$AF$186,"&gt;"&amp;AF161)+COUNTIFS($A$19:A161,A161,$AP$19:AP161,"Yes",$E$19:E161,"&gt;0",$AF$19:AF161,AF161))</x:f>
        <x:v>17</x:v>
      </x:c>
      <x:c r="AH161" s="601" t="n">
        <x:f>IF(OR(AP161&lt;&gt;"Yes",E161=0),"",IFERROR(100*(COUNTIFS($AP$19:$AP$186,"Yes",$E$19:$E$186,"&gt;0",$J$19:$J$186,"&lt;"&amp;J161)+(COUNTIFS($AP$19:$AP$186,"Yes",$E$19:$E$186,"&gt;0",$J$19:$J$186,J161)-1)/2)/(COUNTIFS($AP$19:$AP$186,"Yes",$E$19:$E$186,"&gt;0")-1),50))</x:f>
        <x:v>33.116883116883116</x:v>
      </x:c>
      <x:c r="AI161" s="601" t="n">
        <x:f>IF(AH161="","",AH161*'Specialisation Rankings'!$O$16+R161*'Specialisation Rankings'!$O$17)</x:f>
        <x:v>37.66233766233766</x:v>
      </x:c>
      <x:c r="AJ161" s="601" t="n">
        <x:f>IF(AI161="","",COUNTIFS($A$19:$A$186,A161,$AP$19:$AP$186,"Yes",$E$19:$E$186,"&gt;0",$AI$19:$AI$186,"&gt;"&amp;AI161)+COUNTIFS($A$19:A161,A161,$AP$19:AP161,"Yes",$E$19:E161,"&gt;0",$AI$19:AI161,AI161))</x:f>
        <x:v>17</x:v>
      </x:c>
      <x:c r="AK161" s="601" t="n">
        <x:f>IF(OR(AP161&lt;&gt;"Yes",E161=0),"",IF(M161=0,'Specialisation Rankings'!$O$23,V161))</x:f>
        <x:v>50</x:v>
      </x:c>
      <x:c r="AL161" s="601" t="n">
        <x:f>IF(AK161="","",COUNTIFS($A$19:$A$186,A161,$AP$19:$AP$186,"Yes",$E$19:$E$186,"&gt;0",$AK$19:$AK$186,"&gt;"&amp;AK161)+COUNTIFS($A$19:A161,A161,$AP$19:AP161,"Yes",$E$19:E161,"&gt;0",$AK$19:AK161,AK161))</x:f>
        <x:v>18</x:v>
      </x:c>
      <x:c r="AM161" s="601" t="n">
        <x:f>IF(AC161="","",AC161*'Specialisation Rankings'!$O$18+AF161*'Specialisation Rankings'!$O$19+AI161*'Specialisation Rankings'!$O$20+AK161*'Specialisation Rankings'!$O$21)</x:f>
        <x:v>60.98701298701299</x:v>
      </x:c>
      <x:c r="AN161" s="601" t="n">
        <x:f>IF(AM161="","",COUNTIFS($A$19:$A$186,A161,$AP$19:$AP$186,"Yes",$E$19:$E$186,"&gt;0",$AM$19:$AM$186,"&gt;"&amp;AM161)+COUNTIFS($A$19:A161,A161,$AP$19:AP161,"Yes",$E$19:E161,"&gt;0",$AM$19:AM161,AM161))</x:f>
        <x:v>15</x:v>
      </x:c>
      <x:c r="AO161" s="601" t="n">
        <x:f>IF(AM161="","",COUNTIFS($AP$19:$AP$186,"Yes",$E$19:$E$186,"&gt;0",$AM$19:$AM$186,"&gt;"&amp;AM161)+COUNTIFS($AP$19:AP161,"Yes",$E$19:E161,"&gt;0",$AM$19:AM161,AM161))</x:f>
        <x:v>52</x:v>
      </x:c>
      <x:c r="AP161" s="602" t="str">
        <x:f>IF(COUNTIFS('Player Scenario Model'!$A$6:$A$172,A161,'Player Scenario Model'!$B$6:$B$172,B161)&gt;0,"Yes","No")</x:f>
        <x:v>Yes</x:v>
      </x:c>
    </x:row>
    <x:row r="162" ht="24" customHeight="1">
      <x:c r="A162" s="430" t="str">
        <x:v>K176</x:v>
      </x:c>
      <x:c r="B162" s="430" t="str">
        <x:v>༺肥者先食༻</x:v>
      </x:c>
      <x:c r="C162" s="431" t="n">
        <x:f>COUNTIFS('Specialisations'!$A$6:$A$527,A162,'Specialisations'!$B$6:$B$527,B162)</x:f>
        <x:v>5</x:v>
      </x:c>
      <x:c r="D162" s="431" t="n">
        <x:f>COUNTIFS('Specialisations'!$A$6:$A$527,A162,'Specialisations'!$B$6:$B$527,B162,'Specialisations'!$P$6:$P$527,"OK")</x:f>
        <x:v>5</x:v>
      </x:c>
      <x:c r="E162" s="431" t="n">
        <x:f>COUNTIFS('Specialisations'!$A$6:$A$527,A162,'Specialisations'!$B$6:$B$527,B162,'Specialisations'!$P$6:$P$527,"OK",'Specialisations'!$C$6:$C$527,"&lt;&gt;Guards")</x:f>
        <x:v>4</x:v>
      </x:c>
      <x:c r="F162" s="432" t="n">
        <x:f>IF(C162=0,"",D162/C162)</x:f>
        <x:v>1</x:v>
      </x:c>
      <x:c r="G162" s="495" t="n">
        <x:f>SUMIFS('Specialisations'!$Q$6:$Q$527,'Specialisations'!$A$6:$A$527,A162,'Specialisations'!$B$6:$B$527,B162,'Specialisations'!$C$6:$C$527,"Guards")</x:f>
        <x:v>-41.98</x:v>
      </x:c>
      <x:c r="H162" s="495" t="n">
        <x:f>SUMIFS('Specialisations'!$Q$6:$Q$527,'Specialisations'!$A$6:$A$527,A162,'Specialisations'!$B$6:$B$527,B162,'Specialisations'!$C$6:$C$527,"Archers")</x:f>
        <x:v>27.74</x:v>
      </x:c>
      <x:c r="I162" s="495" t="n">
        <x:f>SUMIFS('Specialisations'!$Q$6:$Q$527,'Specialisations'!$A$6:$A$527,A162,'Specialisations'!$B$6:$B$527,B162,'Specialisations'!$C$6:$C$527,"Cavalry")</x:f>
        <x:v>69.11</x:v>
      </x:c>
      <x:c r="J162" s="495" t="n">
        <x:f>SUMIFS('Specialisations'!$Q$6:$Q$527,'Specialisations'!$A$6:$A$527,A162,'Specialisations'!$B$6:$B$527,B162,'Specialisations'!$C$6:$C$527,"Siege")</x:f>
        <x:v>5.44</x:v>
      </x:c>
      <x:c r="K162" s="495" t="n">
        <x:f>SUM(H162:J162)</x:f>
        <x:v>102.28999999999999</x:v>
      </x:c>
      <x:c r="L162" s="495" t="n">
        <x:f>SUM(G162,K162)</x:f>
        <x:v>60.309999999999995</x:v>
      </x:c>
      <x:c r="M162" s="433" t="n">
        <x:f>SUMIFS('Specialisations'!$N$6:$N$527,'Specialisations'!$A$6:$A$527,A162,'Specialisations'!$B$6:$B$527,B162,'Specialisations'!$C$6:$C$527,"Guards")</x:f>
        <x:v>4284300</x:v>
      </x:c>
      <x:c r="N162" s="433" t="n">
        <x:f>SUMIFS('Specialisations'!$N$6:$N$527,'Specialisations'!$A$6:$A$527,A162,'Specialisations'!$B$6:$B$527,B162,'Specialisations'!$C$6:$C$527,"&lt;&gt;Guards")</x:f>
        <x:v>8702200</x:v>
      </x:c>
      <x:c r="O162" s="433" t="n">
        <x:f>SUM(M162:N162)</x:f>
        <x:v>12986500</x:v>
      </x:c>
      <x:c r="P162" s="434" t="n">
        <x:f>IF(E162=0,"",K162/E162)</x:f>
        <x:v>25.572499999999998</x:v>
      </x:c>
      <x:c r="Q162" s="501" t="n">
        <x:f>IF(E162=0,"",IFERROR(100*(COUNTIFS($E$19:$E$186,"&gt;0",$K$19:$K$186,"&lt;"&amp;K162)+(COUNTIFS($E$19:$E$186,"&gt;0",$K$19:$K$186,K162)-1)/2)/(COUNTIF($E$19:$E$186,"&gt;0")-1),50))</x:f>
        <x:v>56.493506493506494</x:v>
      </x:c>
      <x:c r="R162" s="501" t="n">
        <x:f>IF(E162=0,"",IFERROR(100*(COUNTIFS($E$19:$E$186,"&gt;0",$N$19:$N$186,"&lt;"&amp;N162)+(COUNTIFS($E$19:$E$186,"&gt;0",$N$19:$N$186,N162)-1)/2)/(COUNTIF($E$19:$E$186,"&gt;0")-1),50))</x:f>
        <x:v>31.818181818181817</x:v>
      </x:c>
      <x:c r="S162" s="501" t="n">
        <x:f>IF(E162=0,"",Q162*$R$5+R162*$R$6)</x:f>
        <x:v>51.55844155844156</x:v>
      </x:c>
      <x:c r="T162" s="501" t="n">
        <x:f>IF(M162=0,"",IFERROR(100*(COUNTIFS($M$19:$M$186,"&gt;0",$G$19:$G$186,"&gt;"&amp;G162)+(COUNTIFS($M$19:$M$186,"&gt;0",$G$19:$G$186,G162)-1)/2)/(COUNTIF($M$19:$M$186,"&gt;0")-1),50))</x:f>
        <x:v>60.256410256410255</x:v>
      </x:c>
      <x:c r="U162" s="501" t="n">
        <x:f>IF(M162=0,"",IFERROR(100*(COUNTIFS($M$19:$M$186,"&gt;0",$M$19:$M$186,"&lt;"&amp;M162)+(COUNTIFS($M$19:$M$186,"&gt;0",$M$19:$M$186,M162)-1)/2)/(COUNTIF($M$19:$M$186,"&gt;0")-1),50))</x:f>
        <x:v>60.256410256410255</x:v>
      </x:c>
      <x:c r="V162" s="501" t="n">
        <x:f>IF(M162=0,"",T162*$R$5+U162*$R$6)</x:f>
        <x:v>60.25641025641025</x:v>
      </x:c>
      <x:c r="W162" s="431" t="n">
        <x:f>IF(E162=0,"",COUNTIFS($A$19:$A$186,A162,$S$19:$S$186,"&gt;"&amp;S162)+COUNTIFS($A$19:A162,A162,$E$19:E162,"&gt;0",$S$19:S162,S162))</x:f>
        <x:v>16</x:v>
      </x:c>
      <x:c r="X162" s="431" t="n">
        <x:f>IF(S162="","",1+COUNTIF($S$19:$S$186,"&gt;"&amp;S162))</x:f>
        <x:v>75</x:v>
      </x:c>
      <x:c r="Y162" s="431" t="n">
        <x:f>IF(V162="","",1+COUNTIFS($A$19:$A$186,A162,$V$19:$V$186,"&gt;"&amp;V162))</x:f>
        <x:v>6</x:v>
      </x:c>
      <x:c r="Z162" s="431" t="n">
        <x:f>IF(V162="","",1+COUNTIF($V$19:$V$186,"&gt;"&amp;V162))</x:f>
        <x:v>35</x:v>
      </x:c>
      <x:c r="AA162" s="430" t="str">
        <x:f>IF(C162=0,"No specialisations recorded",IF(D162&lt;C162,"Review missing level","Recorded skills only"))</x:f>
        <x:v>Recorded skills only</x:v>
      </x:c>
      <x:c r="AB162" s="601" t="n">
        <x:f>IF(OR(AP162&lt;&gt;"Yes",E162=0),"",IFERROR(100*(COUNTIFS($AP$19:$AP$186,"Yes",$E$19:$E$186,"&gt;0",$I$19:$I$186,"&lt;"&amp;I162)+(COUNTIFS($AP$19:$AP$186,"Yes",$E$19:$E$186,"&gt;0",$I$19:$I$186,I162)-1)/2)/(COUNTIFS($AP$19:$AP$186,"Yes",$E$19:$E$186,"&gt;0")-1),50))</x:f>
        <x:v>55.1948051948052</x:v>
      </x:c>
      <x:c r="AC162" s="601" t="n">
        <x:f>IF(AB162="","",AB162*'Specialisation Rankings'!$O$16+R162*'Specialisation Rankings'!$O$17)</x:f>
        <x:v>50.519480519480524</x:v>
      </x:c>
      <x:c r="AD162" s="601" t="n">
        <x:f>IF(AC162="","",COUNTIFS($A$19:$A$186,A162,$AP$19:$AP$186,"Yes",$E$19:$E$186,"&gt;0",$AC$19:$AC$186,"&gt;"&amp;AC162)+COUNTIFS($A$19:A162,A162,$AP$19:AP162,"Yes",$E$19:E162,"&gt;0",$AC$19:AC162,AC162))</x:f>
        <x:v>16</x:v>
      </x:c>
      <x:c r="AE162" s="601" t="n">
        <x:f>IF(OR(AP162&lt;&gt;"Yes",E162=0),"",IFERROR(100*(COUNTIFS($AP$19:$AP$186,"Yes",$E$19:$E$186,"&gt;0",$H$19:$H$186,"&lt;"&amp;H162)+(COUNTIFS($AP$19:$AP$186,"Yes",$E$19:$E$186,"&gt;0",$H$19:$H$186,H162)-1)/2)/(COUNTIFS($AP$19:$AP$186,"Yes",$E$19:$E$186,"&gt;0")-1),50))</x:f>
        <x:v>42.20779220779221</x:v>
      </x:c>
      <x:c r="AF162" s="601" t="n">
        <x:f>IF(AE162="","",AE162*'Specialisation Rankings'!$O$16+R162*'Specialisation Rankings'!$O$17)</x:f>
        <x:v>40.12987012987013</x:v>
      </x:c>
      <x:c r="AG162" s="601" t="n">
        <x:f>IF(AF162="","",COUNTIFS($A$19:$A$186,A162,$AP$19:$AP$186,"Yes",$E$19:$E$186,"&gt;0",$AF$19:$AF$186,"&gt;"&amp;AF162)+COUNTIFS($A$19:A162,A162,$AP$19:AP162,"Yes",$E$19:E162,"&gt;0",$AF$19:AF162,AF162))</x:f>
        <x:v>6</x:v>
      </x:c>
      <x:c r="AH162" s="601" t="n">
        <x:f>IF(OR(AP162&lt;&gt;"Yes",E162=0),"",IFERROR(100*(COUNTIFS($AP$19:$AP$186,"Yes",$E$19:$E$186,"&gt;0",$J$19:$J$186,"&lt;"&amp;J162)+(COUNTIFS($AP$19:$AP$186,"Yes",$E$19:$E$186,"&gt;0",$J$19:$J$186,J162)-1)/2)/(COUNTIFS($AP$19:$AP$186,"Yes",$E$19:$E$186,"&gt;0")-1),50))</x:f>
        <x:v>68.18181818181819</x:v>
      </x:c>
      <x:c r="AI162" s="601" t="n">
        <x:f>IF(AH162="","",AH162*'Specialisation Rankings'!$O$16+R162*'Specialisation Rankings'!$O$17)</x:f>
        <x:v>60.90909090909092</x:v>
      </x:c>
      <x:c r="AJ162" s="601" t="n">
        <x:f>IF(AI162="","",COUNTIFS($A$19:$A$186,A162,$AP$19:$AP$186,"Yes",$E$19:$E$186,"&gt;0",$AI$19:$AI$186,"&gt;"&amp;AI162)+COUNTIFS($A$19:A162,A162,$AP$19:AP162,"Yes",$E$19:E162,"&gt;0",$AI$19:AI162,AI162))</x:f>
        <x:v>16</x:v>
      </x:c>
      <x:c r="AK162" s="601" t="n">
        <x:f>IF(OR(AP162&lt;&gt;"Yes",E162=0),"",IF(M162=0,'Specialisation Rankings'!$O$23,V162))</x:f>
        <x:v>60.25641025641025</x:v>
      </x:c>
      <x:c r="AL162" s="601" t="n">
        <x:f>IF(AK162="","",COUNTIFS($A$19:$A$186,A162,$AP$19:$AP$186,"Yes",$E$19:$E$186,"&gt;0",$AK$19:$AK$186,"&gt;"&amp;AK162)+COUNTIFS($A$19:A162,A162,$AP$19:AP162,"Yes",$E$19:E162,"&gt;0",$AK$19:AK162,AK162))</x:f>
        <x:v>6</x:v>
      </x:c>
      <x:c r="AM162" s="601" t="n">
        <x:f>IF(AC162="","",AC162*'Specialisation Rankings'!$O$18+AF162*'Specialisation Rankings'!$O$19+AI162*'Specialisation Rankings'!$O$20+AK162*'Specialisation Rankings'!$O$21)</x:f>
        <x:v>52.012654012654025</x:v>
      </x:c>
      <x:c r="AN162" s="601" t="n">
        <x:f>IF(AM162="","",COUNTIFS($A$19:$A$186,A162,$AP$19:$AP$186,"Yes",$E$19:$E$186,"&gt;0",$AM$19:$AM$186,"&gt;"&amp;AM162)+COUNTIFS($A$19:A162,A162,$AP$19:AP162,"Yes",$E$19:E162,"&gt;0",$AM$19:AM162,AM162))</x:f>
        <x:v>16</x:v>
      </x:c>
      <x:c r="AO162" s="601" t="n">
        <x:f>IF(AM162="","",COUNTIFS($AP$19:$AP$186,"Yes",$E$19:$E$186,"&gt;0",$AM$19:$AM$186,"&gt;"&amp;AM162)+COUNTIFS($AP$19:AP162,"Yes",$E$19:E162,"&gt;0",$AM$19:AM162,AM162))</x:f>
        <x:v>65</x:v>
      </x:c>
      <x:c r="AP162" s="602" t="str">
        <x:f>IF(COUNTIFS('Player Scenario Model'!$A$6:$A$172,A162,'Player Scenario Model'!$B$6:$B$172,B162)&gt;0,"Yes","No")</x:f>
        <x:v>Yes</x:v>
      </x:c>
    </x:row>
    <x:row r="163" ht="24" customHeight="1">
      <x:c r="A163" s="430" t="str">
        <x:v>K176</x:v>
      </x:c>
      <x:c r="B163" s="430" t="str">
        <x:v>༺璀璨星辰༻</x:v>
      </x:c>
      <x:c r="C163" s="431" t="n">
        <x:f>COUNTIFS('Specialisations'!$A$6:$A$527,A163,'Specialisations'!$B$6:$B$527,B163)</x:f>
        <x:v>4</x:v>
      </x:c>
      <x:c r="D163" s="431" t="n">
        <x:f>COUNTIFS('Specialisations'!$A$6:$A$527,A163,'Specialisations'!$B$6:$B$527,B163,'Specialisations'!$P$6:$P$527,"OK")</x:f>
        <x:v>4</x:v>
      </x:c>
      <x:c r="E163" s="431" t="n">
        <x:f>COUNTIFS('Specialisations'!$A$6:$A$527,A163,'Specialisations'!$B$6:$B$527,B163,'Specialisations'!$P$6:$P$527,"OK",'Specialisations'!$C$6:$C$527,"&lt;&gt;Guards")</x:f>
        <x:v>3</x:v>
      </x:c>
      <x:c r="F163" s="432" t="n">
        <x:f>IF(C163=0,"",D163/C163)</x:f>
        <x:v>1</x:v>
      </x:c>
      <x:c r="G163" s="495" t="n">
        <x:f>SUMIFS('Specialisations'!$Q$6:$Q$527,'Specialisations'!$A$6:$A$527,A163,'Specialisations'!$B$6:$B$527,B163,'Specialisations'!$C$6:$C$527,"Guards")</x:f>
        <x:v>-41.98</x:v>
      </x:c>
      <x:c r="H163" s="495" t="n">
        <x:f>SUMIFS('Specialisations'!$Q$6:$Q$527,'Specialisations'!$A$6:$A$527,A163,'Specialisations'!$B$6:$B$527,B163,'Specialisations'!$C$6:$C$527,"Archers")</x:f>
        <x:v>0</x:v>
      </x:c>
      <x:c r="I163" s="495" t="n">
        <x:f>SUMIFS('Specialisations'!$Q$6:$Q$527,'Specialisations'!$A$6:$A$527,A163,'Specialisations'!$B$6:$B$527,B163,'Specialisations'!$C$6:$C$527,"Cavalry")</x:f>
        <x:v>120</x:v>
      </x:c>
      <x:c r="J163" s="495" t="n">
        <x:f>SUMIFS('Specialisations'!$Q$6:$Q$527,'Specialisations'!$A$6:$A$527,A163,'Specialisations'!$B$6:$B$527,B163,'Specialisations'!$C$6:$C$527,"Siege")</x:f>
        <x:v>41.98</x:v>
      </x:c>
      <x:c r="K163" s="495" t="n">
        <x:f>SUM(H163:J163)</x:f>
        <x:v>161.98</x:v>
      </x:c>
      <x:c r="L163" s="495" t="n">
        <x:f>SUM(G163,K163)</x:f>
        <x:v>120</x:v>
      </x:c>
      <x:c r="M163" s="433" t="n">
        <x:f>SUMIFS('Specialisations'!$N$6:$N$527,'Specialisations'!$A$6:$A$527,A163,'Specialisations'!$B$6:$B$527,B163,'Specialisations'!$C$6:$C$527,"Guards")</x:f>
        <x:v>4284300</x:v>
      </x:c>
      <x:c r="N163" s="433" t="n">
        <x:f>SUMIFS('Specialisations'!$N$6:$N$527,'Specialisations'!$A$6:$A$527,A163,'Specialisations'!$B$6:$B$527,B163,'Specialisations'!$C$6:$C$527,"&lt;&gt;Guards")</x:f>
        <x:v>24952900</x:v>
      </x:c>
      <x:c r="O163" s="433" t="n">
        <x:f>SUM(M163:N163)</x:f>
        <x:v>29237200</x:v>
      </x:c>
      <x:c r="P163" s="434" t="n">
        <x:f>IF(E163=0,"",K163/E163)</x:f>
        <x:v>53.99333333333333</x:v>
      </x:c>
      <x:c r="Q163" s="501" t="n">
        <x:f>IF(E163=0,"",IFERROR(100*(COUNTIFS($E$19:$E$186,"&gt;0",$K$19:$K$186,"&lt;"&amp;K163)+(COUNTIFS($E$19:$E$186,"&gt;0",$K$19:$K$186,K163)-1)/2)/(COUNTIF($E$19:$E$186,"&gt;0")-1),50))</x:f>
        <x:v>88.96103896103897</x:v>
      </x:c>
      <x:c r="R163" s="501" t="n">
        <x:f>IF(E163=0,"",IFERROR(100*(COUNTIFS($E$19:$E$186,"&gt;0",$N$19:$N$186,"&lt;"&amp;N163)+(COUNTIFS($E$19:$E$186,"&gt;0",$N$19:$N$186,N163)-1)/2)/(COUNTIF($E$19:$E$186,"&gt;0")-1),50))</x:f>
        <x:v>95.45454545454545</x:v>
      </x:c>
      <x:c r="S163" s="501" t="n">
        <x:f>IF(E163=0,"",Q163*$R$5+R163*$R$6)</x:f>
        <x:v>90.25974025974025</x:v>
      </x:c>
      <x:c r="T163" s="501" t="n">
        <x:f>IF(M163=0,"",IFERROR(100*(COUNTIFS($M$19:$M$186,"&gt;0",$G$19:$G$186,"&gt;"&amp;G163)+(COUNTIFS($M$19:$M$186,"&gt;0",$G$19:$G$186,G163)-1)/2)/(COUNTIF($M$19:$M$186,"&gt;0")-1),50))</x:f>
        <x:v>60.256410256410255</x:v>
      </x:c>
      <x:c r="U163" s="501" t="n">
        <x:f>IF(M163=0,"",IFERROR(100*(COUNTIFS($M$19:$M$186,"&gt;0",$M$19:$M$186,"&lt;"&amp;M163)+(COUNTIFS($M$19:$M$186,"&gt;0",$M$19:$M$186,M163)-1)/2)/(COUNTIF($M$19:$M$186,"&gt;0")-1),50))</x:f>
        <x:v>60.256410256410255</x:v>
      </x:c>
      <x:c r="V163" s="501" t="n">
        <x:f>IF(M163=0,"",T163*$R$5+U163*$R$6)</x:f>
        <x:v>60.25641025641025</x:v>
      </x:c>
      <x:c r="W163" s="431" t="n">
        <x:f>IF(E163=0,"",COUNTIFS($A$19:$A$186,A163,$S$19:$S$186,"&gt;"&amp;S163)+COUNTIFS($A$19:A163,A163,$E$19:E163,"&gt;0",$S$19:S163,S163))</x:f>
        <x:v>2</x:v>
      </x:c>
      <x:c r="X163" s="431" t="n">
        <x:f>IF(S163="","",1+COUNTIF($S$19:$S$186,"&gt;"&amp;S163))</x:f>
        <x:v>16</x:v>
      </x:c>
      <x:c r="Y163" s="431" t="n">
        <x:f>IF(V163="","",1+COUNTIFS($A$19:$A$186,A163,$V$19:$V$186,"&gt;"&amp;V163))</x:f>
        <x:v>6</x:v>
      </x:c>
      <x:c r="Z163" s="431" t="n">
        <x:f>IF(V163="","",1+COUNTIF($V$19:$V$186,"&gt;"&amp;V163))</x:f>
        <x:v>35</x:v>
      </x:c>
      <x:c r="AA163" s="430" t="str">
        <x:f>IF(C163=0,"No specialisations recorded",IF(D163&lt;C163,"Review missing level","Recorded skills only"))</x:f>
        <x:v>Recorded skills only</x:v>
      </x:c>
      <x:c r="AB163" s="601" t="n">
        <x:f>IF(OR(AP163&lt;&gt;"Yes",E163=0),"",IFERROR(100*(COUNTIFS($AP$19:$AP$186,"Yes",$E$19:$E$186,"&gt;0",$I$19:$I$186,"&lt;"&amp;I163)+(COUNTIFS($AP$19:$AP$186,"Yes",$E$19:$E$186,"&gt;0",$I$19:$I$186,I163)-1)/2)/(COUNTIFS($AP$19:$AP$186,"Yes",$E$19:$E$186,"&gt;0")-1),50))</x:f>
        <x:v>99.02597402597402</x:v>
      </x:c>
      <x:c r="AC163" s="601" t="n">
        <x:f>IF(AB163="","",AB163*'Specialisation Rankings'!$O$16+R163*'Specialisation Rankings'!$O$17)</x:f>
        <x:v>98.31168831168831</x:v>
      </x:c>
      <x:c r="AD163" s="601" t="n">
        <x:f>IF(AC163="","",COUNTIFS($A$19:$A$186,A163,$AP$19:$AP$186,"Yes",$E$19:$E$186,"&gt;0",$AC$19:$AC$186,"&gt;"&amp;AC163)+COUNTIFS($A$19:A163,A163,$AP$19:AP163,"Yes",$E$19:E163,"&gt;0",$AC$19:AC163,AC163))</x:f>
        <x:v>1</x:v>
      </x:c>
      <x:c r="AE163" s="601" t="n">
        <x:f>IF(OR(AP163&lt;&gt;"Yes",E163=0),"",IFERROR(100*(COUNTIFS($AP$19:$AP$186,"Yes",$E$19:$E$186,"&gt;0",$H$19:$H$186,"&lt;"&amp;H163)+(COUNTIFS($AP$19:$AP$186,"Yes",$E$19:$E$186,"&gt;0",$H$19:$H$186,H163)-1)/2)/(COUNTIFS($AP$19:$AP$186,"Yes",$E$19:$E$186,"&gt;0")-1),50))</x:f>
        <x:v>11.688311688311689</x:v>
      </x:c>
      <x:c r="AF163" s="601" t="n">
        <x:f>IF(AE163="","",AE163*'Specialisation Rankings'!$O$16+R163*'Specialisation Rankings'!$O$17)</x:f>
        <x:v>28.441558441558442</x:v>
      </x:c>
      <x:c r="AG163" s="601" t="n">
        <x:f>IF(AF163="","",COUNTIFS($A$19:$A$186,A163,$AP$19:$AP$186,"Yes",$E$19:$E$186,"&gt;0",$AF$19:$AF$186,"&gt;"&amp;AF163)+COUNTIFS($A$19:A163,A163,$AP$19:AP163,"Yes",$E$19:E163,"&gt;0",$AF$19:AF163,AF163))</x:f>
        <x:v>10</x:v>
      </x:c>
      <x:c r="AH163" s="601" t="n">
        <x:f>IF(OR(AP163&lt;&gt;"Yes",E163=0),"",IFERROR(100*(COUNTIFS($AP$19:$AP$186,"Yes",$E$19:$E$186,"&gt;0",$J$19:$J$186,"&lt;"&amp;J163)+(COUNTIFS($AP$19:$AP$186,"Yes",$E$19:$E$186,"&gt;0",$J$19:$J$186,J163)-1)/2)/(COUNTIFS($AP$19:$AP$186,"Yes",$E$19:$E$186,"&gt;0")-1),50))</x:f>
        <x:v>91.23376623376623</x:v>
      </x:c>
      <x:c r="AI163" s="601" t="n">
        <x:f>IF(AH163="","",AH163*'Specialisation Rankings'!$O$16+R163*'Specialisation Rankings'!$O$17)</x:f>
        <x:v>92.07792207792208</x:v>
      </x:c>
      <x:c r="AJ163" s="601" t="n">
        <x:f>IF(AI163="","",COUNTIFS($A$19:$A$186,A163,$AP$19:$AP$186,"Yes",$E$19:$E$186,"&gt;0",$AI$19:$AI$186,"&gt;"&amp;AI163)+COUNTIFS($A$19:A163,A163,$AP$19:AP163,"Yes",$E$19:E163,"&gt;0",$AI$19:AI163,AI163))</x:f>
        <x:v>2</x:v>
      </x:c>
      <x:c r="AK163" s="601" t="n">
        <x:f>IF(OR(AP163&lt;&gt;"Yes",E163=0),"",IF(M163=0,'Specialisation Rankings'!$O$23,V163))</x:f>
        <x:v>60.25641025641025</x:v>
      </x:c>
      <x:c r="AL163" s="601" t="n">
        <x:f>IF(AK163="","",COUNTIFS($A$19:$A$186,A163,$AP$19:$AP$186,"Yes",$E$19:$E$186,"&gt;0",$AK$19:$AK$186,"&gt;"&amp;AK163)+COUNTIFS($A$19:A163,A163,$AP$19:AP163,"Yes",$E$19:E163,"&gt;0",$AK$19:AK163,AK163))</x:f>
        <x:v>7</x:v>
      </x:c>
      <x:c r="AM163" s="601" t="n">
        <x:f>IF(AC163="","",AC163*'Specialisation Rankings'!$O$18+AF163*'Specialisation Rankings'!$O$19+AI163*'Specialisation Rankings'!$O$20+AK163*'Specialisation Rankings'!$O$21)</x:f>
        <x:v>86.5840825840826</x:v>
      </x:c>
      <x:c r="AN163" s="601" t="n">
        <x:f>IF(AM163="","",COUNTIFS($A$19:$A$186,A163,$AP$19:$AP$186,"Yes",$E$19:$E$186,"&gt;0",$AM$19:$AM$186,"&gt;"&amp;AM163)+COUNTIFS($A$19:A163,A163,$AP$19:AP163,"Yes",$E$19:E163,"&gt;0",$AM$19:AM163,AM163))</x:f>
        <x:v>2</x:v>
      </x:c>
      <x:c r="AO163" s="601" t="n">
        <x:f>IF(AM163="","",COUNTIFS($AP$19:$AP$186,"Yes",$E$19:$E$186,"&gt;0",$AM$19:$AM$186,"&gt;"&amp;AM163)+COUNTIFS($AP$19:AP163,"Yes",$E$19:E163,"&gt;0",$AM$19:AM163,AM163))</x:f>
        <x:v>9</x:v>
      </x:c>
      <x:c r="AP163" s="602" t="str">
        <x:f>IF(COUNTIFS('Player Scenario Model'!$A$6:$A$172,A163,'Player Scenario Model'!$B$6:$B$172,B163)&gt;0,"Yes","No")</x:f>
        <x:v>Yes</x:v>
      </x:c>
    </x:row>
    <x:row r="164" ht="24" customHeight="1">
      <x:c r="A164" s="430" t="str">
        <x:v>K176</x:v>
      </x:c>
      <x:c r="B164" s="430" t="str">
        <x:v>临兵斗者皆阵列前</x:v>
      </x:c>
      <x:c r="C164" s="431" t="n">
        <x:f>COUNTIFS('Specialisations'!$A$6:$A$527,A164,'Specialisations'!$B$6:$B$527,B164)</x:f>
        <x:v>5</x:v>
      </x:c>
      <x:c r="D164" s="431" t="n">
        <x:f>COUNTIFS('Specialisations'!$A$6:$A$527,A164,'Specialisations'!$B$6:$B$527,B164,'Specialisations'!$P$6:$P$527,"OK")</x:f>
        <x:v>5</x:v>
      </x:c>
      <x:c r="E164" s="431" t="n">
        <x:f>COUNTIFS('Specialisations'!$A$6:$A$527,A164,'Specialisations'!$B$6:$B$527,B164,'Specialisations'!$P$6:$P$527,"OK",'Specialisations'!$C$6:$C$527,"&lt;&gt;Guards")</x:f>
        <x:v>4</x:v>
      </x:c>
      <x:c r="F164" s="432" t="n">
        <x:f>IF(C164=0,"",D164/C164)</x:f>
        <x:v>1</x:v>
      </x:c>
      <x:c r="G164" s="495" t="n">
        <x:f>SUMIFS('Specialisations'!$Q$6:$Q$527,'Specialisations'!$A$6:$A$527,A164,'Specialisations'!$B$6:$B$527,B164,'Specialisations'!$C$6:$C$527,"Guards")</x:f>
        <x:v>-41.98</x:v>
      </x:c>
      <x:c r="H164" s="495" t="n">
        <x:f>SUMIFS('Specialisations'!$Q$6:$Q$527,'Specialisations'!$A$6:$A$527,A164,'Specialisations'!$B$6:$B$527,B164,'Specialisations'!$C$6:$C$527,"Archers")</x:f>
        <x:v>17.66</x:v>
      </x:c>
      <x:c r="I164" s="495" t="n">
        <x:f>SUMIFS('Specialisations'!$Q$6:$Q$527,'Specialisations'!$A$6:$A$527,A164,'Specialisations'!$B$6:$B$527,B164,'Specialisations'!$C$6:$C$527,"Cavalry")</x:f>
        <x:v>93.72</x:v>
      </x:c>
      <x:c r="J164" s="495" t="n">
        <x:f>SUMIFS('Specialisations'!$Q$6:$Q$527,'Specialisations'!$A$6:$A$527,A164,'Specialisations'!$B$6:$B$527,B164,'Specialisations'!$C$6:$C$527,"Siege")</x:f>
        <x:v>4.18</x:v>
      </x:c>
      <x:c r="K164" s="495" t="n">
        <x:f>SUM(H164:J164)</x:f>
        <x:v>115.56</x:v>
      </x:c>
      <x:c r="L164" s="495" t="n">
        <x:f>SUM(G164,K164)</x:f>
        <x:v>73.58000000000001</x:v>
      </x:c>
      <x:c r="M164" s="433" t="n">
        <x:f>SUMIFS('Specialisations'!$N$6:$N$527,'Specialisations'!$A$6:$A$527,A164,'Specialisations'!$B$6:$B$527,B164,'Specialisations'!$C$6:$C$527,"Guards")</x:f>
        <x:v>4284300</x:v>
      </x:c>
      <x:c r="N164" s="433" t="n">
        <x:f>SUMIFS('Specialisations'!$N$6:$N$527,'Specialisations'!$A$6:$A$527,A164,'Specialisations'!$B$6:$B$527,B164,'Specialisations'!$C$6:$C$527,"&lt;&gt;Guards")</x:f>
        <x:v>12814700</x:v>
      </x:c>
      <x:c r="O164" s="433" t="n">
        <x:f>SUM(M164:N164)</x:f>
        <x:v>17099000</x:v>
      </x:c>
      <x:c r="P164" s="434" t="n">
        <x:f>IF(E164=0,"",K164/E164)</x:f>
        <x:v>28.89</x:v>
      </x:c>
      <x:c r="Q164" s="501" t="n">
        <x:f>IF(E164=0,"",IFERROR(100*(COUNTIFS($E$19:$E$186,"&gt;0",$K$19:$K$186,"&lt;"&amp;K164)+(COUNTIFS($E$19:$E$186,"&gt;0",$K$19:$K$186,K164)-1)/2)/(COUNTIF($E$19:$E$186,"&gt;0")-1),50))</x:f>
        <x:v>68.83116883116882</x:v>
      </x:c>
      <x:c r="R164" s="501" t="n">
        <x:f>IF(E164=0,"",IFERROR(100*(COUNTIFS($E$19:$E$186,"&gt;0",$N$19:$N$186,"&lt;"&amp;N164)+(COUNTIFS($E$19:$E$186,"&gt;0",$N$19:$N$186,N164)-1)/2)/(COUNTIF($E$19:$E$186,"&gt;0")-1),50))</x:f>
        <x:v>64.93506493506493</x:v>
      </x:c>
      <x:c r="S164" s="501" t="n">
        <x:f>IF(E164=0,"",Q164*$R$5+R164*$R$6)</x:f>
        <x:v>68.05194805194805</x:v>
      </x:c>
      <x:c r="T164" s="501" t="n">
        <x:f>IF(M164=0,"",IFERROR(100*(COUNTIFS($M$19:$M$186,"&gt;0",$G$19:$G$186,"&gt;"&amp;G164)+(COUNTIFS($M$19:$M$186,"&gt;0",$G$19:$G$186,G164)-1)/2)/(COUNTIF($M$19:$M$186,"&gt;0")-1),50))</x:f>
        <x:v>60.256410256410255</x:v>
      </x:c>
      <x:c r="U164" s="501" t="n">
        <x:f>IF(M164=0,"",IFERROR(100*(COUNTIFS($M$19:$M$186,"&gt;0",$M$19:$M$186,"&lt;"&amp;M164)+(COUNTIFS($M$19:$M$186,"&gt;0",$M$19:$M$186,M164)-1)/2)/(COUNTIF($M$19:$M$186,"&gt;0")-1),50))</x:f>
        <x:v>60.256410256410255</x:v>
      </x:c>
      <x:c r="V164" s="501" t="n">
        <x:f>IF(M164=0,"",T164*$R$5+U164*$R$6)</x:f>
        <x:v>60.25641025641025</x:v>
      </x:c>
      <x:c r="W164" s="431" t="n">
        <x:f>IF(E164=0,"",COUNTIFS($A$19:$A$186,A164,$S$19:$S$186,"&gt;"&amp;S164)+COUNTIFS($A$19:A164,A164,$E$19:E164,"&gt;0",$S$19:S164,S164))</x:f>
        <x:v>12</x:v>
      </x:c>
      <x:c r="X164" s="431" t="n">
        <x:f>IF(S164="","",1+COUNTIF($S$19:$S$186,"&gt;"&amp;S164))</x:f>
        <x:v>50</x:v>
      </x:c>
      <x:c r="Y164" s="431" t="n">
        <x:f>IF(V164="","",1+COUNTIFS($A$19:$A$186,A164,$V$19:$V$186,"&gt;"&amp;V164))</x:f>
        <x:v>6</x:v>
      </x:c>
      <x:c r="Z164" s="431" t="n">
        <x:f>IF(V164="","",1+COUNTIF($V$19:$V$186,"&gt;"&amp;V164))</x:f>
        <x:v>35</x:v>
      </x:c>
      <x:c r="AA164" s="430" t="str">
        <x:f>IF(C164=0,"No specialisations recorded",IF(D164&lt;C164,"Review missing level","Recorded skills only"))</x:f>
        <x:v>Recorded skills only</x:v>
      </x:c>
      <x:c r="AB164" s="601" t="n">
        <x:f>IF(OR(AP164&lt;&gt;"Yes",E164=0),"",IFERROR(100*(COUNTIFS($AP$19:$AP$186,"Yes",$E$19:$E$186,"&gt;0",$I$19:$I$186,"&lt;"&amp;I164)+(COUNTIFS($AP$19:$AP$186,"Yes",$E$19:$E$186,"&gt;0",$I$19:$I$186,I164)-1)/2)/(COUNTIFS($AP$19:$AP$186,"Yes",$E$19:$E$186,"&gt;0")-1),50))</x:f>
        <x:v>80.51948051948052</x:v>
      </x:c>
      <x:c r="AC164" s="601" t="n">
        <x:f>IF(AB164="","",AB164*'Specialisation Rankings'!$O$16+R164*'Specialisation Rankings'!$O$17)</x:f>
        <x:v>77.40259740259741</x:v>
      </x:c>
      <x:c r="AD164" s="601" t="n">
        <x:f>IF(AC164="","",COUNTIFS($A$19:$A$186,A164,$AP$19:$AP$186,"Yes",$E$19:$E$186,"&gt;0",$AC$19:$AC$186,"&gt;"&amp;AC164)+COUNTIFS($A$19:A164,A164,$AP$19:AP164,"Yes",$E$19:E164,"&gt;0",$AC$19:AC164,AC164))</x:f>
        <x:v>9</x:v>
      </x:c>
      <x:c r="AE164" s="601" t="n">
        <x:f>IF(OR(AP164&lt;&gt;"Yes",E164=0),"",IFERROR(100*(COUNTIFS($AP$19:$AP$186,"Yes",$E$19:$E$186,"&gt;0",$H$19:$H$186,"&lt;"&amp;H164)+(COUNTIFS($AP$19:$AP$186,"Yes",$E$19:$E$186,"&gt;0",$H$19:$H$186,H164)-1)/2)/(COUNTIFS($AP$19:$AP$186,"Yes",$E$19:$E$186,"&gt;0")-1),50))</x:f>
        <x:v>29.87012987012987</x:v>
      </x:c>
      <x:c r="AF164" s="601" t="n">
        <x:f>IF(AE164="","",AE164*'Specialisation Rankings'!$O$16+R164*'Specialisation Rankings'!$O$17)</x:f>
        <x:v>36.883116883116884</x:v>
      </x:c>
      <x:c r="AG164" s="601" t="n">
        <x:f>IF(AF164="","",COUNTIFS($A$19:$A$186,A164,$AP$19:$AP$186,"Yes",$E$19:$E$186,"&gt;0",$AF$19:$AF$186,"&gt;"&amp;AF164)+COUNTIFS($A$19:A164,A164,$AP$19:AP164,"Yes",$E$19:E164,"&gt;0",$AF$19:AF164,AF164))</x:f>
        <x:v>8</x:v>
      </x:c>
      <x:c r="AH164" s="601" t="n">
        <x:f>IF(OR(AP164&lt;&gt;"Yes",E164=0),"",IFERROR(100*(COUNTIFS($AP$19:$AP$186,"Yes",$E$19:$E$186,"&gt;0",$J$19:$J$186,"&lt;"&amp;J164)+(COUNTIFS($AP$19:$AP$186,"Yes",$E$19:$E$186,"&gt;0",$J$19:$J$186,J164)-1)/2)/(COUNTIFS($AP$19:$AP$186,"Yes",$E$19:$E$186,"&gt;0")-1),50))</x:f>
        <x:v>67.53246753246754</x:v>
      </x:c>
      <x:c r="AI164" s="601" t="n">
        <x:f>IF(AH164="","",AH164*'Specialisation Rankings'!$O$16+R164*'Specialisation Rankings'!$O$17)</x:f>
        <x:v>67.01298701298701</x:v>
      </x:c>
      <x:c r="AJ164" s="601" t="n">
        <x:f>IF(AI164="","",COUNTIFS($A$19:$A$186,A164,$AP$19:$AP$186,"Yes",$E$19:$E$186,"&gt;0",$AI$19:$AI$186,"&gt;"&amp;AI164)+COUNTIFS($A$19:A164,A164,$AP$19:AP164,"Yes",$E$19:E164,"&gt;0",$AI$19:AI164,AI164))</x:f>
        <x:v>14</x:v>
      </x:c>
      <x:c r="AK164" s="601" t="n">
        <x:f>IF(OR(AP164&lt;&gt;"Yes",E164=0),"",IF(M164=0,'Specialisation Rankings'!$O$23,V164))</x:f>
        <x:v>60.25641025641025</x:v>
      </x:c>
      <x:c r="AL164" s="601" t="n">
        <x:f>IF(AK164="","",COUNTIFS($A$19:$A$186,A164,$AP$19:$AP$186,"Yes",$E$19:$E$186,"&gt;0",$AK$19:$AK$186,"&gt;"&amp;AK164)+COUNTIFS($A$19:A164,A164,$AP$19:AP164,"Yes",$E$19:E164,"&gt;0",$AK$19:AK164,AK164))</x:f>
        <x:v>8</x:v>
      </x:c>
      <x:c r="AM164" s="601" t="n">
        <x:f>IF(AC164="","",AC164*'Specialisation Rankings'!$O$18+AF164*'Specialisation Rankings'!$O$19+AI164*'Specialisation Rankings'!$O$20+AK164*'Specialisation Rankings'!$O$21)</x:f>
        <x:v>70.07758907758907</x:v>
      </x:c>
      <x:c r="AN164" s="601" t="n">
        <x:f>IF(AM164="","",COUNTIFS($A$19:$A$186,A164,$AP$19:$AP$186,"Yes",$E$19:$E$186,"&gt;0",$AM$19:$AM$186,"&gt;"&amp;AM164)+COUNTIFS($A$19:A164,A164,$AP$19:AP164,"Yes",$E$19:E164,"&gt;0",$AM$19:AM164,AM164))</x:f>
        <x:v>10</x:v>
      </x:c>
      <x:c r="AO164" s="601" t="n">
        <x:f>IF(AM164="","",COUNTIFS($AP$19:$AP$186,"Yes",$E$19:$E$186,"&gt;0",$AM$19:$AM$186,"&gt;"&amp;AM164)+COUNTIFS($AP$19:AP164,"Yes",$E$19:E164,"&gt;0",$AM$19:AM164,AM164))</x:f>
        <x:v>35</x:v>
      </x:c>
      <x:c r="AP164" s="602" t="str">
        <x:f>IF(COUNTIFS('Player Scenario Model'!$A$6:$A$172,A164,'Player Scenario Model'!$B$6:$B$172,B164)&gt;0,"Yes","No")</x:f>
        <x:v>Yes</x:v>
      </x:c>
    </x:row>
    <x:row r="165" ht="24" customHeight="1">
      <x:c r="A165" s="430" t="str">
        <x:v>K176</x:v>
      </x:c>
      <x:c r="B165" s="430" t="str">
        <x:v>梦山河</x:v>
      </x:c>
      <x:c r="C165" s="431" t="n">
        <x:f>COUNTIFS('Specialisations'!$A$6:$A$527,A165,'Specialisations'!$B$6:$B$527,B165)</x:f>
        <x:v>4</x:v>
      </x:c>
      <x:c r="D165" s="431" t="n">
        <x:f>COUNTIFS('Specialisations'!$A$6:$A$527,A165,'Specialisations'!$B$6:$B$527,B165,'Specialisations'!$P$6:$P$527,"OK")</x:f>
        <x:v>4</x:v>
      </x:c>
      <x:c r="E165" s="431" t="n">
        <x:f>COUNTIFS('Specialisations'!$A$6:$A$527,A165,'Specialisations'!$B$6:$B$527,B165,'Specialisations'!$P$6:$P$527,"OK",'Specialisations'!$C$6:$C$527,"&lt;&gt;Guards")</x:f>
        <x:v>3</x:v>
      </x:c>
      <x:c r="F165" s="432" t="n">
        <x:f>IF(C165=0,"",D165/C165)</x:f>
        <x:v>1</x:v>
      </x:c>
      <x:c r="G165" s="495" t="n">
        <x:f>SUMIFS('Specialisations'!$Q$6:$Q$527,'Specialisations'!$A$6:$A$527,A165,'Specialisations'!$B$6:$B$527,B165,'Specialisations'!$C$6:$C$527,"Guards")</x:f>
        <x:v>-41.98</x:v>
      </x:c>
      <x:c r="H165" s="495" t="n">
        <x:f>SUMIFS('Specialisations'!$Q$6:$Q$527,'Specialisations'!$A$6:$A$527,A165,'Specialisations'!$B$6:$B$527,B165,'Specialisations'!$C$6:$C$527,"Archers")</x:f>
        <x:v>0</x:v>
      </x:c>
      <x:c r="I165" s="495" t="n">
        <x:f>SUMIFS('Specialisations'!$Q$6:$Q$527,'Specialisations'!$A$6:$A$527,A165,'Specialisations'!$B$6:$B$527,B165,'Specialisations'!$C$6:$C$527,"Cavalry")</x:f>
        <x:v>110.4</x:v>
      </x:c>
      <x:c r="J165" s="495" t="n">
        <x:f>SUMIFS('Specialisations'!$Q$6:$Q$527,'Specialisations'!$A$6:$A$527,A165,'Specialisations'!$B$6:$B$527,B165,'Specialisations'!$C$6:$C$527,"Siege")</x:f>
        <x:v>39.93</x:v>
      </x:c>
      <x:c r="K165" s="495" t="n">
        <x:f>SUM(H165:J165)</x:f>
        <x:v>150.33</x:v>
      </x:c>
      <x:c r="L165" s="495" t="n">
        <x:f>SUM(G165,K165)</x:f>
        <x:v>108.35000000000002</x:v>
      </x:c>
      <x:c r="M165" s="433" t="n">
        <x:f>SUMIFS('Specialisations'!$N$6:$N$527,'Specialisations'!$A$6:$A$527,A165,'Specialisations'!$B$6:$B$527,B165,'Specialisations'!$C$6:$C$527,"Guards")</x:f>
        <x:v>4284300</x:v>
      </x:c>
      <x:c r="N165" s="433" t="n">
        <x:f>SUMIFS('Specialisations'!$N$6:$N$527,'Specialisations'!$A$6:$A$527,A165,'Specialisations'!$B$6:$B$527,B165,'Specialisations'!$C$6:$C$527,"&lt;&gt;Guards")</x:f>
        <x:v>20392900</x:v>
      </x:c>
      <x:c r="O165" s="433" t="n">
        <x:f>SUM(M165:N165)</x:f>
        <x:v>24677200</x:v>
      </x:c>
      <x:c r="P165" s="434" t="n">
        <x:f>IF(E165=0,"",K165/E165)</x:f>
        <x:v>50.11000000000001</x:v>
      </x:c>
      <x:c r="Q165" s="501" t="n">
        <x:f>IF(E165=0,"",IFERROR(100*(COUNTIFS($E$19:$E$186,"&gt;0",$K$19:$K$186,"&lt;"&amp;K165)+(COUNTIFS($E$19:$E$186,"&gt;0",$K$19:$K$186,K165)-1)/2)/(COUNTIF($E$19:$E$186,"&gt;0")-1),50))</x:f>
        <x:v>87.66233766233766</x:v>
      </x:c>
      <x:c r="R165" s="501" t="n">
        <x:f>IF(E165=0,"",IFERROR(100*(COUNTIFS($E$19:$E$186,"&gt;0",$N$19:$N$186,"&lt;"&amp;N165)+(COUNTIFS($E$19:$E$186,"&gt;0",$N$19:$N$186,N165)-1)/2)/(COUNTIF($E$19:$E$186,"&gt;0")-1),50))</x:f>
        <x:v>90.25974025974025</x:v>
      </x:c>
      <x:c r="S165" s="501" t="n">
        <x:f>IF(E165=0,"",Q165*$R$5+R165*$R$6)</x:f>
        <x:v>88.18181818181817</x:v>
      </x:c>
      <x:c r="T165" s="501" t="n">
        <x:f>IF(M165=0,"",IFERROR(100*(COUNTIFS($M$19:$M$186,"&gt;0",$G$19:$G$186,"&gt;"&amp;G165)+(COUNTIFS($M$19:$M$186,"&gt;0",$G$19:$G$186,G165)-1)/2)/(COUNTIF($M$19:$M$186,"&gt;0")-1),50))</x:f>
        <x:v>60.256410256410255</x:v>
      </x:c>
      <x:c r="U165" s="501" t="n">
        <x:f>IF(M165=0,"",IFERROR(100*(COUNTIFS($M$19:$M$186,"&gt;0",$M$19:$M$186,"&lt;"&amp;M165)+(COUNTIFS($M$19:$M$186,"&gt;0",$M$19:$M$186,M165)-1)/2)/(COUNTIF($M$19:$M$186,"&gt;0")-1),50))</x:f>
        <x:v>60.256410256410255</x:v>
      </x:c>
      <x:c r="V165" s="501" t="n">
        <x:f>IF(M165=0,"",T165*$R$5+U165*$R$6)</x:f>
        <x:v>60.25641025641025</x:v>
      </x:c>
      <x:c r="W165" s="431" t="n">
        <x:f>IF(E165=0,"",COUNTIFS($A$19:$A$186,A165,$S$19:$S$186,"&gt;"&amp;S165)+COUNTIFS($A$19:A165,A165,$E$19:E165,"&gt;0",$S$19:S165,S165))</x:f>
        <x:v>3</x:v>
      </x:c>
      <x:c r="X165" s="431" t="n">
        <x:f>IF(S165="","",1+COUNTIF($S$19:$S$186,"&gt;"&amp;S165))</x:f>
        <x:v>19</x:v>
      </x:c>
      <x:c r="Y165" s="431" t="n">
        <x:f>IF(V165="","",1+COUNTIFS($A$19:$A$186,A165,$V$19:$V$186,"&gt;"&amp;V165))</x:f>
        <x:v>6</x:v>
      </x:c>
      <x:c r="Z165" s="431" t="n">
        <x:f>IF(V165="","",1+COUNTIF($V$19:$V$186,"&gt;"&amp;V165))</x:f>
        <x:v>35</x:v>
      </x:c>
      <x:c r="AA165" s="430" t="str">
        <x:f>IF(C165=0,"No specialisations recorded",IF(D165&lt;C165,"Review missing level","Recorded skills only"))</x:f>
        <x:v>Recorded skills only</x:v>
      </x:c>
      <x:c r="AB165" s="601" t="n">
        <x:f>IF(OR(AP165&lt;&gt;"Yes",E165=0),"",IFERROR(100*(COUNTIFS($AP$19:$AP$186,"Yes",$E$19:$E$186,"&gt;0",$I$19:$I$186,"&lt;"&amp;I165)+(COUNTIFS($AP$19:$AP$186,"Yes",$E$19:$E$186,"&gt;0",$I$19:$I$186,I165)-1)/2)/(COUNTIFS($AP$19:$AP$186,"Yes",$E$19:$E$186,"&gt;0")-1),50))</x:f>
        <x:v>96.42857142857143</x:v>
      </x:c>
      <x:c r="AC165" s="601" t="n">
        <x:f>IF(AB165="","",AB165*'Specialisation Rankings'!$O$16+R165*'Specialisation Rankings'!$O$17)</x:f>
        <x:v>95.19480519480521</x:v>
      </x:c>
      <x:c r="AD165" s="601" t="n">
        <x:f>IF(AC165="","",COUNTIFS($A$19:$A$186,A165,$AP$19:$AP$186,"Yes",$E$19:$E$186,"&gt;0",$AC$19:$AC$186,"&gt;"&amp;AC165)+COUNTIFS($A$19:A165,A165,$AP$19:AP165,"Yes",$E$19:E165,"&gt;0",$AC$19:AC165,AC165))</x:f>
        <x:v>2</x:v>
      </x:c>
      <x:c r="AE165" s="601" t="n">
        <x:f>IF(OR(AP165&lt;&gt;"Yes",E165=0),"",IFERROR(100*(COUNTIFS($AP$19:$AP$186,"Yes",$E$19:$E$186,"&gt;0",$H$19:$H$186,"&lt;"&amp;H165)+(COUNTIFS($AP$19:$AP$186,"Yes",$E$19:$E$186,"&gt;0",$H$19:$H$186,H165)-1)/2)/(COUNTIFS($AP$19:$AP$186,"Yes",$E$19:$E$186,"&gt;0")-1),50))</x:f>
        <x:v>11.688311688311689</x:v>
      </x:c>
      <x:c r="AF165" s="601" t="n">
        <x:f>IF(AE165="","",AE165*'Specialisation Rankings'!$O$16+R165*'Specialisation Rankings'!$O$17)</x:f>
        <x:v>27.402597402597404</x:v>
      </x:c>
      <x:c r="AG165" s="601" t="n">
        <x:f>IF(AF165="","",COUNTIFS($A$19:$A$186,A165,$AP$19:$AP$186,"Yes",$E$19:$E$186,"&gt;0",$AF$19:$AF$186,"&gt;"&amp;AF165)+COUNTIFS($A$19:A165,A165,$AP$19:AP165,"Yes",$E$19:E165,"&gt;0",$AF$19:AF165,AF165))</x:f>
        <x:v>11</x:v>
      </x:c>
      <x:c r="AH165" s="601" t="n">
        <x:f>IF(OR(AP165&lt;&gt;"Yes",E165=0),"",IFERROR(100*(COUNTIFS($AP$19:$AP$186,"Yes",$E$19:$E$186,"&gt;0",$J$19:$J$186,"&lt;"&amp;J165)+(COUNTIFS($AP$19:$AP$186,"Yes",$E$19:$E$186,"&gt;0",$J$19:$J$186,J165)-1)/2)/(COUNTIFS($AP$19:$AP$186,"Yes",$E$19:$E$186,"&gt;0")-1),50))</x:f>
        <x:v>89.28571428571429</x:v>
      </x:c>
      <x:c r="AI165" s="601" t="n">
        <x:f>IF(AH165="","",AH165*'Specialisation Rankings'!$O$16+R165*'Specialisation Rankings'!$O$17)</x:f>
        <x:v>89.48051948051949</x:v>
      </x:c>
      <x:c r="AJ165" s="601" t="n">
        <x:f>IF(AI165="","",COUNTIFS($A$19:$A$186,A165,$AP$19:$AP$186,"Yes",$E$19:$E$186,"&gt;0",$AI$19:$AI$186,"&gt;"&amp;AI165)+COUNTIFS($A$19:A165,A165,$AP$19:AP165,"Yes",$E$19:E165,"&gt;0",$AI$19:AI165,AI165))</x:f>
        <x:v>4</x:v>
      </x:c>
      <x:c r="AK165" s="601" t="n">
        <x:f>IF(OR(AP165&lt;&gt;"Yes",E165=0),"",IF(M165=0,'Specialisation Rankings'!$O$23,V165))</x:f>
        <x:v>60.25641025641025</x:v>
      </x:c>
      <x:c r="AL165" s="601" t="n">
        <x:f>IF(AK165="","",COUNTIFS($A$19:$A$186,A165,$AP$19:$AP$186,"Yes",$E$19:$E$186,"&gt;0",$AK$19:$AK$186,"&gt;"&amp;AK165)+COUNTIFS($A$19:A165,A165,$AP$19:AP165,"Yes",$E$19:E165,"&gt;0",$AK$19:AK165,AK165))</x:f>
        <x:v>9</x:v>
      </x:c>
      <x:c r="AM165" s="601" t="n">
        <x:f>IF(AC165="","",AC165*'Specialisation Rankings'!$O$18+AF165*'Specialisation Rankings'!$O$19+AI165*'Specialisation Rankings'!$O$20+AK165*'Specialisation Rankings'!$O$21)</x:f>
        <x:v>84.06460206460207</x:v>
      </x:c>
      <x:c r="AN165" s="601" t="n">
        <x:f>IF(AM165="","",COUNTIFS($A$19:$A$186,A165,$AP$19:$AP$186,"Yes",$E$19:$E$186,"&gt;0",$AM$19:$AM$186,"&gt;"&amp;AM165)+COUNTIFS($A$19:A165,A165,$AP$19:AP165,"Yes",$E$19:E165,"&gt;0",$AM$19:AM165,AM165))</x:f>
        <x:v>3</x:v>
      </x:c>
      <x:c r="AO165" s="601" t="n">
        <x:f>IF(AM165="","",COUNTIFS($AP$19:$AP$186,"Yes",$E$19:$E$186,"&gt;0",$AM$19:$AM$186,"&gt;"&amp;AM165)+COUNTIFS($AP$19:AP165,"Yes",$E$19:E165,"&gt;0",$AM$19:AM165,AM165))</x:f>
        <x:v>13</x:v>
      </x:c>
      <x:c r="AP165" s="602" t="str">
        <x:f>IF(COUNTIFS('Player Scenario Model'!$A$6:$A$172,A165,'Player Scenario Model'!$B$6:$B$172,B165)&gt;0,"Yes","No")</x:f>
        <x:v>Yes</x:v>
      </x:c>
    </x:row>
    <x:row r="166" ht="24" customHeight="1">
      <x:c r="A166" s="430" t="str">
        <x:v>K176</x:v>
      </x:c>
      <x:c r="B166" s="430" t="str">
        <x:v>岑胖子</x:v>
      </x:c>
      <x:c r="C166" s="431" t="n">
        <x:f>COUNTIFS('Specialisations'!$A$6:$A$527,A166,'Specialisations'!$B$6:$B$527,B166)</x:f>
        <x:v>5</x:v>
      </x:c>
      <x:c r="D166" s="431" t="n">
        <x:f>COUNTIFS('Specialisations'!$A$6:$A$527,A166,'Specialisations'!$B$6:$B$527,B166,'Specialisations'!$P$6:$P$527,"OK")</x:f>
        <x:v>5</x:v>
      </x:c>
      <x:c r="E166" s="431" t="n">
        <x:f>COUNTIFS('Specialisations'!$A$6:$A$527,A166,'Specialisations'!$B$6:$B$527,B166,'Specialisations'!$P$6:$P$527,"OK",'Specialisations'!$C$6:$C$527,"&lt;&gt;Guards")</x:f>
        <x:v>4</x:v>
      </x:c>
      <x:c r="F166" s="432" t="n">
        <x:f>IF(C166=0,"",D166/C166)</x:f>
        <x:v>1</x:v>
      </x:c>
      <x:c r="G166" s="495" t="n">
        <x:f>SUMIFS('Specialisations'!$Q$6:$Q$527,'Specialisations'!$A$6:$A$527,A166,'Specialisations'!$B$6:$B$527,B166,'Specialisations'!$C$6:$C$527,"Guards")</x:f>
        <x:v>-41.98</x:v>
      </x:c>
      <x:c r="H166" s="495" t="n">
        <x:f>SUMIFS('Specialisations'!$Q$6:$Q$527,'Specialisations'!$A$6:$A$527,A166,'Specialisations'!$B$6:$B$527,B166,'Specialisations'!$C$6:$C$527,"Archers")</x:f>
        <x:v>12.09</x:v>
      </x:c>
      <x:c r="I166" s="495" t="n">
        <x:f>SUMIFS('Specialisations'!$Q$6:$Q$527,'Specialisations'!$A$6:$A$527,A166,'Specialisations'!$B$6:$B$527,B166,'Specialisations'!$C$6:$C$527,"Cavalry")</x:f>
        <x:v>87.11</x:v>
      </x:c>
      <x:c r="J166" s="495" t="n">
        <x:f>SUMIFS('Specialisations'!$Q$6:$Q$527,'Specialisations'!$A$6:$A$527,A166,'Specialisations'!$B$6:$B$527,B166,'Specialisations'!$C$6:$C$527,"Siege")</x:f>
        <x:v>3</x:v>
      </x:c>
      <x:c r="K166" s="495" t="n">
        <x:f>SUM(H166:J166)</x:f>
        <x:v>102.2</x:v>
      </x:c>
      <x:c r="L166" s="495" t="n">
        <x:f>SUM(G166,K166)</x:f>
        <x:v>60.220000000000006</x:v>
      </x:c>
      <x:c r="M166" s="433" t="n">
        <x:f>SUMIFS('Specialisations'!$N$6:$N$527,'Specialisations'!$A$6:$A$527,A166,'Specialisations'!$B$6:$B$527,B166,'Specialisations'!$C$6:$C$527,"Guards")</x:f>
        <x:v>4284300</x:v>
      </x:c>
      <x:c r="N166" s="433" t="n">
        <x:f>SUMIFS('Specialisations'!$N$6:$N$527,'Specialisations'!$A$6:$A$527,A166,'Specialisations'!$B$6:$B$527,B166,'Specialisations'!$C$6:$C$527,"&lt;&gt;Guards")</x:f>
        <x:v>10337200</x:v>
      </x:c>
      <x:c r="O166" s="433" t="n">
        <x:f>SUM(M166:N166)</x:f>
        <x:v>14621500</x:v>
      </x:c>
      <x:c r="P166" s="434" t="n">
        <x:f>IF(E166=0,"",K166/E166)</x:f>
        <x:v>25.55</x:v>
      </x:c>
      <x:c r="Q166" s="501" t="n">
        <x:f>IF(E166=0,"",IFERROR(100*(COUNTIFS($E$19:$E$186,"&gt;0",$K$19:$K$186,"&lt;"&amp;K166)+(COUNTIFS($E$19:$E$186,"&gt;0",$K$19:$K$186,K166)-1)/2)/(COUNTIF($E$19:$E$186,"&gt;0")-1),50))</x:f>
        <x:v>55.84415584415584</x:v>
      </x:c>
      <x:c r="R166" s="501" t="n">
        <x:f>IF(E166=0,"",IFERROR(100*(COUNTIFS($E$19:$E$186,"&gt;0",$N$19:$N$186,"&lt;"&amp;N166)+(COUNTIFS($E$19:$E$186,"&gt;0",$N$19:$N$186,N166)-1)/2)/(COUNTIF($E$19:$E$186,"&gt;0")-1),50))</x:f>
        <x:v>53.246753246753244</x:v>
      </x:c>
      <x:c r="S166" s="501" t="n">
        <x:f>IF(E166=0,"",Q166*$R$5+R166*$R$6)</x:f>
        <x:v>55.32467532467532</x:v>
      </x:c>
      <x:c r="T166" s="501" t="n">
        <x:f>IF(M166=0,"",IFERROR(100*(COUNTIFS($M$19:$M$186,"&gt;0",$G$19:$G$186,"&gt;"&amp;G166)+(COUNTIFS($M$19:$M$186,"&gt;0",$G$19:$G$186,G166)-1)/2)/(COUNTIF($M$19:$M$186,"&gt;0")-1),50))</x:f>
        <x:v>60.256410256410255</x:v>
      </x:c>
      <x:c r="U166" s="501" t="n">
        <x:f>IF(M166=0,"",IFERROR(100*(COUNTIFS($M$19:$M$186,"&gt;0",$M$19:$M$186,"&lt;"&amp;M166)+(COUNTIFS($M$19:$M$186,"&gt;0",$M$19:$M$186,M166)-1)/2)/(COUNTIF($M$19:$M$186,"&gt;0")-1),50))</x:f>
        <x:v>60.256410256410255</x:v>
      </x:c>
      <x:c r="V166" s="501" t="n">
        <x:f>IF(M166=0,"",T166*$R$5+U166*$R$6)</x:f>
        <x:v>60.25641025641025</x:v>
      </x:c>
      <x:c r="W166" s="431" t="n">
        <x:f>IF(E166=0,"",COUNTIFS($A$19:$A$186,A166,$S$19:$S$186,"&gt;"&amp;S166)+COUNTIFS($A$19:A166,A166,$E$19:E166,"&gt;0",$S$19:S166,S166))</x:f>
        <x:v>14</x:v>
      </x:c>
      <x:c r="X166" s="431" t="n">
        <x:f>IF(S166="","",1+COUNTIF($S$19:$S$186,"&gt;"&amp;S166))</x:f>
        <x:v>66</x:v>
      </x:c>
      <x:c r="Y166" s="431" t="n">
        <x:f>IF(V166="","",1+COUNTIFS($A$19:$A$186,A166,$V$19:$V$186,"&gt;"&amp;V166))</x:f>
        <x:v>6</x:v>
      </x:c>
      <x:c r="Z166" s="431" t="n">
        <x:f>IF(V166="","",1+COUNTIF($V$19:$V$186,"&gt;"&amp;V166))</x:f>
        <x:v>35</x:v>
      </x:c>
      <x:c r="AA166" s="430" t="str">
        <x:f>IF(C166=0,"No specialisations recorded",IF(D166&lt;C166,"Review missing level","Recorded skills only"))</x:f>
        <x:v>Recorded skills only</x:v>
      </x:c>
      <x:c r="AB166" s="601" t="n">
        <x:f>IF(OR(AP166&lt;&gt;"Yes",E166=0),"",IFERROR(100*(COUNTIFS($AP$19:$AP$186,"Yes",$E$19:$E$186,"&gt;0",$I$19:$I$186,"&lt;"&amp;I166)+(COUNTIFS($AP$19:$AP$186,"Yes",$E$19:$E$186,"&gt;0",$I$19:$I$186,I166)-1)/2)/(COUNTIFS($AP$19:$AP$186,"Yes",$E$19:$E$186,"&gt;0")-1),50))</x:f>
        <x:v>73.05194805194805</x:v>
      </x:c>
      <x:c r="AC166" s="601" t="n">
        <x:f>IF(AB166="","",AB166*'Specialisation Rankings'!$O$16+R166*'Specialisation Rankings'!$O$17)</x:f>
        <x:v>69.0909090909091</x:v>
      </x:c>
      <x:c r="AD166" s="601" t="n">
        <x:f>IF(AC166="","",COUNTIFS($A$19:$A$186,A166,$AP$19:$AP$186,"Yes",$E$19:$E$186,"&gt;0",$AC$19:$AC$186,"&gt;"&amp;AC166)+COUNTIFS($A$19:A166,A166,$AP$19:AP166,"Yes",$E$19:E166,"&gt;0",$AC$19:AC166,AC166))</x:f>
        <x:v>12</x:v>
      </x:c>
      <x:c r="AE166" s="601" t="n">
        <x:f>IF(OR(AP166&lt;&gt;"Yes",E166=0),"",IFERROR(100*(COUNTIFS($AP$19:$AP$186,"Yes",$E$19:$E$186,"&gt;0",$H$19:$H$186,"&lt;"&amp;H166)+(COUNTIFS($AP$19:$AP$186,"Yes",$E$19:$E$186,"&gt;0",$H$19:$H$186,H166)-1)/2)/(COUNTIFS($AP$19:$AP$186,"Yes",$E$19:$E$186,"&gt;0")-1),50))</x:f>
        <x:v>26.623376623376622</x:v>
      </x:c>
      <x:c r="AF166" s="601" t="n">
        <x:f>IF(AE166="","",AE166*'Specialisation Rankings'!$O$16+R166*'Specialisation Rankings'!$O$17)</x:f>
        <x:v>31.948051948051948</x:v>
      </x:c>
      <x:c r="AG166" s="601" t="n">
        <x:f>IF(AF166="","",COUNTIFS($A$19:$A$186,A166,$AP$19:$AP$186,"Yes",$E$19:$E$186,"&gt;0",$AF$19:$AF$186,"&gt;"&amp;AF166)+COUNTIFS($A$19:A166,A166,$AP$19:AP166,"Yes",$E$19:E166,"&gt;0",$AF$19:AF166,AF166))</x:f>
        <x:v>9</x:v>
      </x:c>
      <x:c r="AH166" s="601" t="n">
        <x:f>IF(OR(AP166&lt;&gt;"Yes",E166=0),"",IFERROR(100*(COUNTIFS($AP$19:$AP$186,"Yes",$E$19:$E$186,"&gt;0",$J$19:$J$186,"&lt;"&amp;J166)+(COUNTIFS($AP$19:$AP$186,"Yes",$E$19:$E$186,"&gt;0",$J$19:$J$186,J166)-1)/2)/(COUNTIFS($AP$19:$AP$186,"Yes",$E$19:$E$186,"&gt;0")-1),50))</x:f>
        <x:v>66.88311688311688</x:v>
      </x:c>
      <x:c r="AI166" s="601" t="n">
        <x:f>IF(AH166="","",AH166*'Specialisation Rankings'!$O$16+R166*'Specialisation Rankings'!$O$17)</x:f>
        <x:v>64.15584415584416</x:v>
      </x:c>
      <x:c r="AJ166" s="601" t="n">
        <x:f>IF(AI166="","",COUNTIFS($A$19:$A$186,A166,$AP$19:$AP$186,"Yes",$E$19:$E$186,"&gt;0",$AI$19:$AI$186,"&gt;"&amp;AI166)+COUNTIFS($A$19:A166,A166,$AP$19:AP166,"Yes",$E$19:E166,"&gt;0",$AI$19:AI166,AI166))</x:f>
        <x:v>15</x:v>
      </x:c>
      <x:c r="AK166" s="601" t="n">
        <x:f>IF(OR(AP166&lt;&gt;"Yes",E166=0),"",IF(M166=0,'Specialisation Rankings'!$O$23,V166))</x:f>
        <x:v>60.25641025641025</x:v>
      </x:c>
      <x:c r="AL166" s="601" t="n">
        <x:f>IF(AK166="","",COUNTIFS($A$19:$A$186,A166,$AP$19:$AP$186,"Yes",$E$19:$E$186,"&gt;0",$AK$19:$AK$186,"&gt;"&amp;AK166)+COUNTIFS($A$19:A166,A166,$AP$19:AP166,"Yes",$E$19:E166,"&gt;0",$AK$19:AK166,AK166))</x:f>
        <x:v>10</x:v>
      </x:c>
      <x:c r="AM166" s="601" t="n">
        <x:f>IF(AC166="","",AC166*'Specialisation Rankings'!$O$18+AF166*'Specialisation Rankings'!$O$19+AI166*'Specialisation Rankings'!$O$20+AK166*'Specialisation Rankings'!$O$21)</x:f>
        <x:v>63.752913752913756</x:v>
      </x:c>
      <x:c r="AN166" s="601" t="n">
        <x:f>IF(AM166="","",COUNTIFS($A$19:$A$186,A166,$AP$19:$AP$186,"Yes",$E$19:$E$186,"&gt;0",$AM$19:$AM$186,"&gt;"&amp;AM166)+COUNTIFS($A$19:A166,A166,$AP$19:AP166,"Yes",$E$19:E166,"&gt;0",$AM$19:AM166,AM166))</x:f>
        <x:v>12</x:v>
      </x:c>
      <x:c r="AO166" s="601" t="n">
        <x:f>IF(AM166="","",COUNTIFS($AP$19:$AP$186,"Yes",$E$19:$E$186,"&gt;0",$AM$19:$AM$186,"&gt;"&amp;AM166)+COUNTIFS($AP$19:AP166,"Yes",$E$19:E166,"&gt;0",$AM$19:AM166,AM166))</x:f>
        <x:v>47</x:v>
      </x:c>
      <x:c r="AP166" s="602" t="str">
        <x:f>IF(COUNTIFS('Player Scenario Model'!$A$6:$A$172,A166,'Player Scenario Model'!$B$6:$B$172,B166)&gt;0,"Yes","No")</x:f>
        <x:v>Yes</x:v>
      </x:c>
    </x:row>
    <x:row r="167" ht="24" customHeight="1">
      <x:c r="A167" s="430" t="str">
        <x:v>K176</x:v>
      </x:c>
      <x:c r="B167" s="430" t="str">
        <x:v>三月的心思你别猜</x:v>
      </x:c>
      <x:c r="C167" s="431" t="n">
        <x:f>COUNTIFS('Specialisations'!$A$6:$A$527,A167,'Specialisations'!$B$6:$B$527,B167)</x:f>
        <x:v>0</x:v>
      </x:c>
      <x:c r="D167" s="431" t="n">
        <x:f>COUNTIFS('Specialisations'!$A$6:$A$527,A167,'Specialisations'!$B$6:$B$527,B167,'Specialisations'!$P$6:$P$527,"OK")</x:f>
        <x:v>0</x:v>
      </x:c>
      <x:c r="E167" s="431" t="n">
        <x:f>COUNTIFS('Specialisations'!$A$6:$A$527,A167,'Specialisations'!$B$6:$B$527,B167,'Specialisations'!$P$6:$P$527,"OK",'Specialisations'!$C$6:$C$527,"&lt;&gt;Guards")</x:f>
        <x:v>0</x:v>
      </x:c>
      <x:c r="F167" s="432" t="str">
        <x:f>IF(C167=0,"",D167/C167)</x:f>
      </x:c>
      <x:c r="G167" s="495" t="n">
        <x:f>SUMIFS('Specialisations'!$Q$6:$Q$527,'Specialisations'!$A$6:$A$527,A167,'Specialisations'!$B$6:$B$527,B167,'Specialisations'!$C$6:$C$527,"Guards")</x:f>
        <x:v>0</x:v>
      </x:c>
      <x:c r="H167" s="495" t="n">
        <x:f>SUMIFS('Specialisations'!$Q$6:$Q$527,'Specialisations'!$A$6:$A$527,A167,'Specialisations'!$B$6:$B$527,B167,'Specialisations'!$C$6:$C$527,"Archers")</x:f>
        <x:v>0</x:v>
      </x:c>
      <x:c r="I167" s="495" t="n">
        <x:f>SUMIFS('Specialisations'!$Q$6:$Q$527,'Specialisations'!$A$6:$A$527,A167,'Specialisations'!$B$6:$B$527,B167,'Specialisations'!$C$6:$C$527,"Cavalry")</x:f>
        <x:v>0</x:v>
      </x:c>
      <x:c r="J167" s="495" t="n">
        <x:f>SUMIFS('Specialisations'!$Q$6:$Q$527,'Specialisations'!$A$6:$A$527,A167,'Specialisations'!$B$6:$B$527,B167,'Specialisations'!$C$6:$C$527,"Siege")</x:f>
        <x:v>0</x:v>
      </x:c>
      <x:c r="K167" s="495" t="n">
        <x:f>SUM(H167:J167)</x:f>
        <x:v>0</x:v>
      </x:c>
      <x:c r="L167" s="495" t="n">
        <x:f>SUM(G167,K167)</x:f>
        <x:v>0</x:v>
      </x:c>
      <x:c r="M167" s="433" t="n">
        <x:f>SUMIFS('Specialisations'!$N$6:$N$527,'Specialisations'!$A$6:$A$527,A167,'Specialisations'!$B$6:$B$527,B167,'Specialisations'!$C$6:$C$527,"Guards")</x:f>
        <x:v>0</x:v>
      </x:c>
      <x:c r="N167" s="433" t="n">
        <x:f>SUMIFS('Specialisations'!$N$6:$N$527,'Specialisations'!$A$6:$A$527,A167,'Specialisations'!$B$6:$B$527,B167,'Specialisations'!$C$6:$C$527,"&lt;&gt;Guards")</x:f>
        <x:v>0</x:v>
      </x:c>
      <x:c r="O167" s="433" t="n">
        <x:f>SUM(M167:N167)</x:f>
        <x:v>0</x:v>
      </x:c>
      <x:c r="P167" s="434" t="str">
        <x:f>IF(E167=0,"",K167/E167)</x:f>
      </x:c>
      <x:c r="Q167" s="501" t="str">
        <x:f>IF(E167=0,"",IFERROR(100*(COUNTIFS($E$19:$E$186,"&gt;0",$K$19:$K$186,"&lt;"&amp;K167)+(COUNTIFS($E$19:$E$186,"&gt;0",$K$19:$K$186,K167)-1)/2)/(COUNTIF($E$19:$E$186,"&gt;0")-1),50))</x:f>
      </x:c>
      <x:c r="R167" s="501" t="str">
        <x:f>IF(E167=0,"",IFERROR(100*(COUNTIFS($E$19:$E$186,"&gt;0",$N$19:$N$186,"&lt;"&amp;N167)+(COUNTIFS($E$19:$E$186,"&gt;0",$N$19:$N$186,N167)-1)/2)/(COUNTIF($E$19:$E$186,"&gt;0")-1),50))</x:f>
      </x:c>
      <x:c r="S167" s="501" t="str">
        <x:f>IF(E167=0,"",Q167*$R$5+R167*$R$6)</x:f>
      </x:c>
      <x:c r="T167" s="501" t="str">
        <x:f>IF(M167=0,"",IFERROR(100*(COUNTIFS($M$19:$M$186,"&gt;0",$G$19:$G$186,"&gt;"&amp;G167)+(COUNTIFS($M$19:$M$186,"&gt;0",$G$19:$G$186,G167)-1)/2)/(COUNTIF($M$19:$M$186,"&gt;0")-1),50))</x:f>
      </x:c>
      <x:c r="U167" s="501" t="str">
        <x:f>IF(M167=0,"",IFERROR(100*(COUNTIFS($M$19:$M$186,"&gt;0",$M$19:$M$186,"&lt;"&amp;M167)+(COUNTIFS($M$19:$M$186,"&gt;0",$M$19:$M$186,M167)-1)/2)/(COUNTIF($M$19:$M$186,"&gt;0")-1),50))</x:f>
      </x:c>
      <x:c r="V167" s="501" t="str">
        <x:f>IF(M167=0,"",T167*$R$5+U167*$R$6)</x:f>
      </x:c>
      <x:c r="W167" s="431" t="str">
        <x:f>IF(E167=0,"",COUNTIFS($A$19:$A$186,A167,$S$19:$S$186,"&gt;"&amp;S167)+COUNTIFS($A$19:A167,A167,$E$19:E167,"&gt;0",$S$19:S167,S167))</x:f>
      </x:c>
      <x:c r="X167" s="431" t="str">
        <x:f>IF(S167="","",1+COUNTIF($S$19:$S$186,"&gt;"&amp;S167))</x:f>
      </x:c>
      <x:c r="Y167" s="431" t="str">
        <x:f>IF(V167="","",1+COUNTIFS($A$19:$A$186,A167,$V$19:$V$186,"&gt;"&amp;V167))</x:f>
      </x:c>
      <x:c r="Z167" s="431" t="str">
        <x:f>IF(V167="","",1+COUNTIF($V$19:$V$186,"&gt;"&amp;V167))</x:f>
      </x:c>
      <x:c r="AA167" s="430" t="str">
        <x:f>IF(C167=0,"No specialisations recorded",IF(D167&lt;C167,"Review missing level","Recorded skills only"))</x:f>
        <x:v>No specialisations recorded</x:v>
      </x:c>
      <x:c r="AB167" s="601" t="str">
        <x:f>IF(OR(AP167&lt;&gt;"Yes",E167=0),"",IFERROR(100*(COUNTIFS($AP$19:$AP$186,"Yes",$E$19:$E$186,"&gt;0",$I$19:$I$186,"&lt;"&amp;I167)+(COUNTIFS($AP$19:$AP$186,"Yes",$E$19:$E$186,"&gt;0",$I$19:$I$186,I167)-1)/2)/(COUNTIFS($AP$19:$AP$186,"Yes",$E$19:$E$186,"&gt;0")-1),50))</x:f>
      </x:c>
      <x:c r="AC167" s="601" t="str">
        <x:f>IF(AB167="","",AB167*'Specialisation Rankings'!$O$16+R167*'Specialisation Rankings'!$O$17)</x:f>
      </x:c>
      <x:c r="AD167" s="601" t="str">
        <x:f>IF(AC167="","",COUNTIFS($A$19:$A$186,A167,$AP$19:$AP$186,"Yes",$E$19:$E$186,"&gt;0",$AC$19:$AC$186,"&gt;"&amp;AC167)+COUNTIFS($A$19:A167,A167,$AP$19:AP167,"Yes",$E$19:E167,"&gt;0",$AC$19:AC167,AC167))</x:f>
      </x:c>
      <x:c r="AE167" s="601" t="str">
        <x:f>IF(OR(AP167&lt;&gt;"Yes",E167=0),"",IFERROR(100*(COUNTIFS($AP$19:$AP$186,"Yes",$E$19:$E$186,"&gt;0",$H$19:$H$186,"&lt;"&amp;H167)+(COUNTIFS($AP$19:$AP$186,"Yes",$E$19:$E$186,"&gt;0",$H$19:$H$186,H167)-1)/2)/(COUNTIFS($AP$19:$AP$186,"Yes",$E$19:$E$186,"&gt;0")-1),50))</x:f>
      </x:c>
      <x:c r="AF167" s="601" t="str">
        <x:f>IF(AE167="","",AE167*'Specialisation Rankings'!$O$16+R167*'Specialisation Rankings'!$O$17)</x:f>
      </x:c>
      <x:c r="AG167" s="601" t="str">
        <x:f>IF(AF167="","",COUNTIFS($A$19:$A$186,A167,$AP$19:$AP$186,"Yes",$E$19:$E$186,"&gt;0",$AF$19:$AF$186,"&gt;"&amp;AF167)+COUNTIFS($A$19:A167,A167,$AP$19:AP167,"Yes",$E$19:E167,"&gt;0",$AF$19:AF167,AF167))</x:f>
      </x:c>
      <x:c r="AH167" s="601" t="str">
        <x:f>IF(OR(AP167&lt;&gt;"Yes",E167=0),"",IFERROR(100*(COUNTIFS($AP$19:$AP$186,"Yes",$E$19:$E$186,"&gt;0",$J$19:$J$186,"&lt;"&amp;J167)+(COUNTIFS($AP$19:$AP$186,"Yes",$E$19:$E$186,"&gt;0",$J$19:$J$186,J167)-1)/2)/(COUNTIFS($AP$19:$AP$186,"Yes",$E$19:$E$186,"&gt;0")-1),50))</x:f>
      </x:c>
      <x:c r="AI167" s="601" t="str">
        <x:f>IF(AH167="","",AH167*'Specialisation Rankings'!$O$16+R167*'Specialisation Rankings'!$O$17)</x:f>
      </x:c>
      <x:c r="AJ167" s="601" t="str">
        <x:f>IF(AI167="","",COUNTIFS($A$19:$A$186,A167,$AP$19:$AP$186,"Yes",$E$19:$E$186,"&gt;0",$AI$19:$AI$186,"&gt;"&amp;AI167)+COUNTIFS($A$19:A167,A167,$AP$19:AP167,"Yes",$E$19:E167,"&gt;0",$AI$19:AI167,AI167))</x:f>
      </x:c>
      <x:c r="AK167" s="601" t="str">
        <x:f>IF(OR(AP167&lt;&gt;"Yes",E167=0),"",IF(M167=0,'Specialisation Rankings'!$O$23,V167))</x:f>
      </x:c>
      <x:c r="AL167" s="601" t="str">
        <x:f>IF(AK167="","",COUNTIFS($A$19:$A$186,A167,$AP$19:$AP$186,"Yes",$E$19:$E$186,"&gt;0",$AK$19:$AK$186,"&gt;"&amp;AK167)+COUNTIFS($A$19:A167,A167,$AP$19:AP167,"Yes",$E$19:E167,"&gt;0",$AK$19:AK167,AK167))</x:f>
      </x:c>
      <x:c r="AM167" s="601" t="str">
        <x:f>IF(AC167="","",AC167*'Specialisation Rankings'!$O$18+AF167*'Specialisation Rankings'!$O$19+AI167*'Specialisation Rankings'!$O$20+AK167*'Specialisation Rankings'!$O$21)</x:f>
      </x:c>
      <x:c r="AN167" s="601" t="str">
        <x:f>IF(AM167="","",COUNTIFS($A$19:$A$186,A167,$AP$19:$AP$186,"Yes",$E$19:$E$186,"&gt;0",$AM$19:$AM$186,"&gt;"&amp;AM167)+COUNTIFS($A$19:A167,A167,$AP$19:AP167,"Yes",$E$19:E167,"&gt;0",$AM$19:AM167,AM167))</x:f>
      </x:c>
      <x:c r="AO167" s="601" t="str">
        <x:f>IF(AM167="","",COUNTIFS($AP$19:$AP$186,"Yes",$E$19:$E$186,"&gt;0",$AM$19:$AM$186,"&gt;"&amp;AM167)+COUNTIFS($AP$19:AP167,"Yes",$E$19:E167,"&gt;0",$AM$19:AM167,AM167))</x:f>
      </x:c>
      <x:c r="AP167" s="602" t="str">
        <x:f>IF(COUNTIFS('Player Scenario Model'!$A$6:$A$172,A167,'Player Scenario Model'!$B$6:$B$172,B167)&gt;0,"Yes","No")</x:f>
        <x:v>Yes</x:v>
      </x:c>
    </x:row>
    <x:row r="168" ht="24" customHeight="1">
      <x:c r="A168" s="430" t="str">
        <x:v>K176</x:v>
      </x:c>
      <x:c r="B168" s="430" t="str">
        <x:v>顺顺顺</x:v>
      </x:c>
      <x:c r="C168" s="431" t="n">
        <x:f>COUNTIFS('Specialisations'!$A$6:$A$527,A168,'Specialisations'!$B$6:$B$527,B168)</x:f>
        <x:v>0</x:v>
      </x:c>
      <x:c r="D168" s="431" t="n">
        <x:f>COUNTIFS('Specialisations'!$A$6:$A$527,A168,'Specialisations'!$B$6:$B$527,B168,'Specialisations'!$P$6:$P$527,"OK")</x:f>
        <x:v>0</x:v>
      </x:c>
      <x:c r="E168" s="431" t="n">
        <x:f>COUNTIFS('Specialisations'!$A$6:$A$527,A168,'Specialisations'!$B$6:$B$527,B168,'Specialisations'!$P$6:$P$527,"OK",'Specialisations'!$C$6:$C$527,"&lt;&gt;Guards")</x:f>
        <x:v>0</x:v>
      </x:c>
      <x:c r="F168" s="432" t="str">
        <x:f>IF(C168=0,"",D168/C168)</x:f>
      </x:c>
      <x:c r="G168" s="495" t="n">
        <x:f>SUMIFS('Specialisations'!$Q$6:$Q$527,'Specialisations'!$A$6:$A$527,A168,'Specialisations'!$B$6:$B$527,B168,'Specialisations'!$C$6:$C$527,"Guards")</x:f>
        <x:v>0</x:v>
      </x:c>
      <x:c r="H168" s="495" t="n">
        <x:f>SUMIFS('Specialisations'!$Q$6:$Q$527,'Specialisations'!$A$6:$A$527,A168,'Specialisations'!$B$6:$B$527,B168,'Specialisations'!$C$6:$C$527,"Archers")</x:f>
        <x:v>0</x:v>
      </x:c>
      <x:c r="I168" s="495" t="n">
        <x:f>SUMIFS('Specialisations'!$Q$6:$Q$527,'Specialisations'!$A$6:$A$527,A168,'Specialisations'!$B$6:$B$527,B168,'Specialisations'!$C$6:$C$527,"Cavalry")</x:f>
        <x:v>0</x:v>
      </x:c>
      <x:c r="J168" s="495" t="n">
        <x:f>SUMIFS('Specialisations'!$Q$6:$Q$527,'Specialisations'!$A$6:$A$527,A168,'Specialisations'!$B$6:$B$527,B168,'Specialisations'!$C$6:$C$527,"Siege")</x:f>
        <x:v>0</x:v>
      </x:c>
      <x:c r="K168" s="495" t="n">
        <x:f>SUM(H168:J168)</x:f>
        <x:v>0</x:v>
      </x:c>
      <x:c r="L168" s="495" t="n">
        <x:f>SUM(G168,K168)</x:f>
        <x:v>0</x:v>
      </x:c>
      <x:c r="M168" s="433" t="n">
        <x:f>SUMIFS('Specialisations'!$N$6:$N$527,'Specialisations'!$A$6:$A$527,A168,'Specialisations'!$B$6:$B$527,B168,'Specialisations'!$C$6:$C$527,"Guards")</x:f>
        <x:v>0</x:v>
      </x:c>
      <x:c r="N168" s="433" t="n">
        <x:f>SUMIFS('Specialisations'!$N$6:$N$527,'Specialisations'!$A$6:$A$527,A168,'Specialisations'!$B$6:$B$527,B168,'Specialisations'!$C$6:$C$527,"&lt;&gt;Guards")</x:f>
        <x:v>0</x:v>
      </x:c>
      <x:c r="O168" s="433" t="n">
        <x:f>SUM(M168:N168)</x:f>
        <x:v>0</x:v>
      </x:c>
      <x:c r="P168" s="434" t="str">
        <x:f>IF(E168=0,"",K168/E168)</x:f>
      </x:c>
      <x:c r="Q168" s="501" t="str">
        <x:f>IF(E168=0,"",IFERROR(100*(COUNTIFS($E$19:$E$186,"&gt;0",$K$19:$K$186,"&lt;"&amp;K168)+(COUNTIFS($E$19:$E$186,"&gt;0",$K$19:$K$186,K168)-1)/2)/(COUNTIF($E$19:$E$186,"&gt;0")-1),50))</x:f>
      </x:c>
      <x:c r="R168" s="501" t="str">
        <x:f>IF(E168=0,"",IFERROR(100*(COUNTIFS($E$19:$E$186,"&gt;0",$N$19:$N$186,"&lt;"&amp;N168)+(COUNTIFS($E$19:$E$186,"&gt;0",$N$19:$N$186,N168)-1)/2)/(COUNTIF($E$19:$E$186,"&gt;0")-1),50))</x:f>
      </x:c>
      <x:c r="S168" s="501" t="str">
        <x:f>IF(E168=0,"",Q168*$R$5+R168*$R$6)</x:f>
      </x:c>
      <x:c r="T168" s="501" t="str">
        <x:f>IF(M168=0,"",IFERROR(100*(COUNTIFS($M$19:$M$186,"&gt;0",$G$19:$G$186,"&gt;"&amp;G168)+(COUNTIFS($M$19:$M$186,"&gt;0",$G$19:$G$186,G168)-1)/2)/(COUNTIF($M$19:$M$186,"&gt;0")-1),50))</x:f>
      </x:c>
      <x:c r="U168" s="501" t="str">
        <x:f>IF(M168=0,"",IFERROR(100*(COUNTIFS($M$19:$M$186,"&gt;0",$M$19:$M$186,"&lt;"&amp;M168)+(COUNTIFS($M$19:$M$186,"&gt;0",$M$19:$M$186,M168)-1)/2)/(COUNTIF($M$19:$M$186,"&gt;0")-1),50))</x:f>
      </x:c>
      <x:c r="V168" s="501" t="str">
        <x:f>IF(M168=0,"",T168*$R$5+U168*$R$6)</x:f>
      </x:c>
      <x:c r="W168" s="431" t="str">
        <x:f>IF(E168=0,"",COUNTIFS($A$19:$A$186,A168,$S$19:$S$186,"&gt;"&amp;S168)+COUNTIFS($A$19:A168,A168,$E$19:E168,"&gt;0",$S$19:S168,S168))</x:f>
      </x:c>
      <x:c r="X168" s="431" t="str">
        <x:f>IF(S168="","",1+COUNTIF($S$19:$S$186,"&gt;"&amp;S168))</x:f>
      </x:c>
      <x:c r="Y168" s="431" t="str">
        <x:f>IF(V168="","",1+COUNTIFS($A$19:$A$186,A168,$V$19:$V$186,"&gt;"&amp;V168))</x:f>
      </x:c>
      <x:c r="Z168" s="431" t="str">
        <x:f>IF(V168="","",1+COUNTIF($V$19:$V$186,"&gt;"&amp;V168))</x:f>
      </x:c>
      <x:c r="AA168" s="430" t="str">
        <x:f>IF(C168=0,"No specialisations recorded",IF(D168&lt;C168,"Review missing level","Recorded skills only"))</x:f>
        <x:v>No specialisations recorded</x:v>
      </x:c>
      <x:c r="AB168" s="601" t="str">
        <x:f>IF(OR(AP168&lt;&gt;"Yes",E168=0),"",IFERROR(100*(COUNTIFS($AP$19:$AP$186,"Yes",$E$19:$E$186,"&gt;0",$I$19:$I$186,"&lt;"&amp;I168)+(COUNTIFS($AP$19:$AP$186,"Yes",$E$19:$E$186,"&gt;0",$I$19:$I$186,I168)-1)/2)/(COUNTIFS($AP$19:$AP$186,"Yes",$E$19:$E$186,"&gt;0")-1),50))</x:f>
      </x:c>
      <x:c r="AC168" s="601" t="str">
        <x:f>IF(AB168="","",AB168*'Specialisation Rankings'!$O$16+R168*'Specialisation Rankings'!$O$17)</x:f>
      </x:c>
      <x:c r="AD168" s="601" t="str">
        <x:f>IF(AC168="","",COUNTIFS($A$19:$A$186,A168,$AP$19:$AP$186,"Yes",$E$19:$E$186,"&gt;0",$AC$19:$AC$186,"&gt;"&amp;AC168)+COUNTIFS($A$19:A168,A168,$AP$19:AP168,"Yes",$E$19:E168,"&gt;0",$AC$19:AC168,AC168))</x:f>
      </x:c>
      <x:c r="AE168" s="601" t="str">
        <x:f>IF(OR(AP168&lt;&gt;"Yes",E168=0),"",IFERROR(100*(COUNTIFS($AP$19:$AP$186,"Yes",$E$19:$E$186,"&gt;0",$H$19:$H$186,"&lt;"&amp;H168)+(COUNTIFS($AP$19:$AP$186,"Yes",$E$19:$E$186,"&gt;0",$H$19:$H$186,H168)-1)/2)/(COUNTIFS($AP$19:$AP$186,"Yes",$E$19:$E$186,"&gt;0")-1),50))</x:f>
      </x:c>
      <x:c r="AF168" s="601" t="str">
        <x:f>IF(AE168="","",AE168*'Specialisation Rankings'!$O$16+R168*'Specialisation Rankings'!$O$17)</x:f>
      </x:c>
      <x:c r="AG168" s="601" t="str">
        <x:f>IF(AF168="","",COUNTIFS($A$19:$A$186,A168,$AP$19:$AP$186,"Yes",$E$19:$E$186,"&gt;0",$AF$19:$AF$186,"&gt;"&amp;AF168)+COUNTIFS($A$19:A168,A168,$AP$19:AP168,"Yes",$E$19:E168,"&gt;0",$AF$19:AF168,AF168))</x:f>
      </x:c>
      <x:c r="AH168" s="601" t="str">
        <x:f>IF(OR(AP168&lt;&gt;"Yes",E168=0),"",IFERROR(100*(COUNTIFS($AP$19:$AP$186,"Yes",$E$19:$E$186,"&gt;0",$J$19:$J$186,"&lt;"&amp;J168)+(COUNTIFS($AP$19:$AP$186,"Yes",$E$19:$E$186,"&gt;0",$J$19:$J$186,J168)-1)/2)/(COUNTIFS($AP$19:$AP$186,"Yes",$E$19:$E$186,"&gt;0")-1),50))</x:f>
      </x:c>
      <x:c r="AI168" s="601" t="str">
        <x:f>IF(AH168="","",AH168*'Specialisation Rankings'!$O$16+R168*'Specialisation Rankings'!$O$17)</x:f>
      </x:c>
      <x:c r="AJ168" s="601" t="str">
        <x:f>IF(AI168="","",COUNTIFS($A$19:$A$186,A168,$AP$19:$AP$186,"Yes",$E$19:$E$186,"&gt;0",$AI$19:$AI$186,"&gt;"&amp;AI168)+COUNTIFS($A$19:A168,A168,$AP$19:AP168,"Yes",$E$19:E168,"&gt;0",$AI$19:AI168,AI168))</x:f>
      </x:c>
      <x:c r="AK168" s="601" t="str">
        <x:f>IF(OR(AP168&lt;&gt;"Yes",E168=0),"",IF(M168=0,'Specialisation Rankings'!$O$23,V168))</x:f>
      </x:c>
      <x:c r="AL168" s="601" t="str">
        <x:f>IF(AK168="","",COUNTIFS($A$19:$A$186,A168,$AP$19:$AP$186,"Yes",$E$19:$E$186,"&gt;0",$AK$19:$AK$186,"&gt;"&amp;AK168)+COUNTIFS($A$19:A168,A168,$AP$19:AP168,"Yes",$E$19:E168,"&gt;0",$AK$19:AK168,AK168))</x:f>
      </x:c>
      <x:c r="AM168" s="601" t="str">
        <x:f>IF(AC168="","",AC168*'Specialisation Rankings'!$O$18+AF168*'Specialisation Rankings'!$O$19+AI168*'Specialisation Rankings'!$O$20+AK168*'Specialisation Rankings'!$O$21)</x:f>
      </x:c>
      <x:c r="AN168" s="601" t="str">
        <x:f>IF(AM168="","",COUNTIFS($A$19:$A$186,A168,$AP$19:$AP$186,"Yes",$E$19:$E$186,"&gt;0",$AM$19:$AM$186,"&gt;"&amp;AM168)+COUNTIFS($A$19:A168,A168,$AP$19:AP168,"Yes",$E$19:E168,"&gt;0",$AM$19:AM168,AM168))</x:f>
      </x:c>
      <x:c r="AO168" s="601" t="str">
        <x:f>IF(AM168="","",COUNTIFS($AP$19:$AP$186,"Yes",$E$19:$E$186,"&gt;0",$AM$19:$AM$186,"&gt;"&amp;AM168)+COUNTIFS($AP$19:AP168,"Yes",$E$19:E168,"&gt;0",$AM$19:AM168,AM168))</x:f>
      </x:c>
      <x:c r="AP168" s="602" t="str">
        <x:f>IF(COUNTIFS('Player Scenario Model'!$A$6:$A$172,A168,'Player Scenario Model'!$B$6:$B$172,B168)&gt;0,"Yes","No")</x:f>
        <x:v>Yes</x:v>
      </x:c>
    </x:row>
    <x:row r="169" ht="24" customHeight="1">
      <x:c r="A169" s="430" t="str">
        <x:v>K176</x:v>
      </x:c>
      <x:c r="B169" s="430" t="str">
        <x:v>♱Seraphim織羽♱</x:v>
      </x:c>
      <x:c r="C169" s="431" t="n">
        <x:f>COUNTIFS('Specialisations'!$A$6:$A$527,A169,'Specialisations'!$B$6:$B$527,B169)</x:f>
        <x:v>4</x:v>
      </x:c>
      <x:c r="D169" s="431" t="n">
        <x:f>COUNTIFS('Specialisations'!$A$6:$A$527,A169,'Specialisations'!$B$6:$B$527,B169,'Specialisations'!$P$6:$P$527,"OK")</x:f>
        <x:v>4</x:v>
      </x:c>
      <x:c r="E169" s="431" t="n">
        <x:f>COUNTIFS('Specialisations'!$A$6:$A$527,A169,'Specialisations'!$B$6:$B$527,B169,'Specialisations'!$P$6:$P$527,"OK",'Specialisations'!$C$6:$C$527,"&lt;&gt;Guards")</x:f>
        <x:v>3</x:v>
      </x:c>
      <x:c r="F169" s="432" t="n">
        <x:f>IF(C169=0,"",D169/C169)</x:f>
        <x:v>1</x:v>
      </x:c>
      <x:c r="G169" s="495" t="n">
        <x:f>SUMIFS('Specialisations'!$Q$6:$Q$527,'Specialisations'!$A$6:$A$527,A169,'Specialisations'!$B$6:$B$527,B169,'Specialisations'!$C$6:$C$527,"Guards")</x:f>
        <x:v>-41.98</x:v>
      </x:c>
      <x:c r="H169" s="495" t="n">
        <x:f>SUMIFS('Specialisations'!$Q$6:$Q$527,'Specialisations'!$A$6:$A$527,A169,'Specialisations'!$B$6:$B$527,B169,'Specialisations'!$C$6:$C$527,"Archers")</x:f>
        <x:v>0</x:v>
      </x:c>
      <x:c r="I169" s="495" t="n">
        <x:f>SUMIFS('Specialisations'!$Q$6:$Q$527,'Specialisations'!$A$6:$A$527,A169,'Specialisations'!$B$6:$B$527,B169,'Specialisations'!$C$6:$C$527,"Cavalry")</x:f>
        <x:v>110.4</x:v>
      </x:c>
      <x:c r="J169" s="495" t="n">
        <x:f>SUMIFS('Specialisations'!$Q$6:$Q$527,'Specialisations'!$A$6:$A$527,A169,'Specialisations'!$B$6:$B$527,B169,'Specialisations'!$C$6:$C$527,"Siege")</x:f>
        <x:v>27.74</x:v>
      </x:c>
      <x:c r="K169" s="495" t="n">
        <x:f>SUM(H169:J169)</x:f>
        <x:v>138.14000000000001</x:v>
      </x:c>
      <x:c r="L169" s="495" t="n">
        <x:f>SUM(G169,K169)</x:f>
        <x:v>96.16000000000003</x:v>
      </x:c>
      <x:c r="M169" s="433" t="n">
        <x:f>SUMIFS('Specialisations'!$N$6:$N$527,'Specialisations'!$A$6:$A$527,A169,'Specialisations'!$B$6:$B$527,B169,'Specialisations'!$C$6:$C$527,"Guards")</x:f>
        <x:v>4284300</x:v>
      </x:c>
      <x:c r="N169" s="433" t="n">
        <x:f>SUMIFS('Specialisations'!$N$6:$N$527,'Specialisations'!$A$6:$A$527,A169,'Specialisations'!$B$6:$B$527,B169,'Specialisations'!$C$6:$C$527,"&lt;&gt;Guards")</x:f>
        <x:v>18912900</x:v>
      </x:c>
      <x:c r="O169" s="433" t="n">
        <x:f>SUM(M169:N169)</x:f>
        <x:v>23197200</x:v>
      </x:c>
      <x:c r="P169" s="434" t="n">
        <x:f>IF(E169=0,"",K169/E169)</x:f>
        <x:v>46.046666666666674</x:v>
      </x:c>
      <x:c r="Q169" s="501" t="n">
        <x:f>IF(E169=0,"",IFERROR(100*(COUNTIFS($E$19:$E$186,"&gt;0",$K$19:$K$186,"&lt;"&amp;K169)+(COUNTIFS($E$19:$E$186,"&gt;0",$K$19:$K$186,K169)-1)/2)/(COUNTIF($E$19:$E$186,"&gt;0")-1),50))</x:f>
        <x:v>83.11688311688312</x:v>
      </x:c>
      <x:c r="R169" s="501" t="n">
        <x:f>IF(E169=0,"",IFERROR(100*(COUNTIFS($E$19:$E$186,"&gt;0",$N$19:$N$186,"&lt;"&amp;N169)+(COUNTIFS($E$19:$E$186,"&gt;0",$N$19:$N$186,N169)-1)/2)/(COUNTIF($E$19:$E$186,"&gt;0")-1),50))</x:f>
        <x:v>87.66233766233766</x:v>
      </x:c>
      <x:c r="S169" s="501" t="n">
        <x:f>IF(E169=0,"",Q169*$R$5+R169*$R$6)</x:f>
        <x:v>84.02597402597402</x:v>
      </x:c>
      <x:c r="T169" s="501" t="n">
        <x:f>IF(M169=0,"",IFERROR(100*(COUNTIFS($M$19:$M$186,"&gt;0",$G$19:$G$186,"&gt;"&amp;G169)+(COUNTIFS($M$19:$M$186,"&gt;0",$G$19:$G$186,G169)-1)/2)/(COUNTIF($M$19:$M$186,"&gt;0")-1),50))</x:f>
        <x:v>60.256410256410255</x:v>
      </x:c>
      <x:c r="U169" s="501" t="n">
        <x:f>IF(M169=0,"",IFERROR(100*(COUNTIFS($M$19:$M$186,"&gt;0",$M$19:$M$186,"&lt;"&amp;M169)+(COUNTIFS($M$19:$M$186,"&gt;0",$M$19:$M$186,M169)-1)/2)/(COUNTIF($M$19:$M$186,"&gt;0")-1),50))</x:f>
        <x:v>60.256410256410255</x:v>
      </x:c>
      <x:c r="V169" s="501" t="n">
        <x:f>IF(M169=0,"",T169*$R$5+U169*$R$6)</x:f>
        <x:v>60.25641025641025</x:v>
      </x:c>
      <x:c r="W169" s="431" t="n">
        <x:f>IF(E169=0,"",COUNTIFS($A$19:$A$186,A169,$S$19:$S$186,"&gt;"&amp;S169)+COUNTIFS($A$19:A169,A169,$E$19:E169,"&gt;0",$S$19:S169,S169))</x:f>
        <x:v>4</x:v>
      </x:c>
      <x:c r="X169" s="431" t="n">
        <x:f>IF(S169="","",1+COUNTIF($S$19:$S$186,"&gt;"&amp;S169))</x:f>
        <x:v>21</x:v>
      </x:c>
      <x:c r="Y169" s="431" t="n">
        <x:f>IF(V169="","",1+COUNTIFS($A$19:$A$186,A169,$V$19:$V$186,"&gt;"&amp;V169))</x:f>
        <x:v>6</x:v>
      </x:c>
      <x:c r="Z169" s="431" t="n">
        <x:f>IF(V169="","",1+COUNTIF($V$19:$V$186,"&gt;"&amp;V169))</x:f>
        <x:v>35</x:v>
      </x:c>
      <x:c r="AA169" s="430" t="str">
        <x:f>IF(C169=0,"No specialisations recorded",IF(D169&lt;C169,"Review missing level","Recorded skills only"))</x:f>
        <x:v>Recorded skills only</x:v>
      </x:c>
      <x:c r="AB169" s="601" t="n">
        <x:f>IF(OR(AP169&lt;&gt;"Yes",E169=0),"",IFERROR(100*(COUNTIFS($AP$19:$AP$186,"Yes",$E$19:$E$186,"&gt;0",$I$19:$I$186,"&lt;"&amp;I169)+(COUNTIFS($AP$19:$AP$186,"Yes",$E$19:$E$186,"&gt;0",$I$19:$I$186,I169)-1)/2)/(COUNTIFS($AP$19:$AP$186,"Yes",$E$19:$E$186,"&gt;0")-1),50))</x:f>
        <x:v>96.42857142857143</x:v>
      </x:c>
      <x:c r="AC169" s="601" t="n">
        <x:f>IF(AB169="","",AB169*'Specialisation Rankings'!$O$16+R169*'Specialisation Rankings'!$O$17)</x:f>
        <x:v>94.67532467532469</x:v>
      </x:c>
      <x:c r="AD169" s="601" t="n">
        <x:f>IF(AC169="","",COUNTIFS($A$19:$A$186,A169,$AP$19:$AP$186,"Yes",$E$19:$E$186,"&gt;0",$AC$19:$AC$186,"&gt;"&amp;AC169)+COUNTIFS($A$19:A169,A169,$AP$19:AP169,"Yes",$E$19:E169,"&gt;0",$AC$19:AC169,AC169))</x:f>
        <x:v>3</x:v>
      </x:c>
      <x:c r="AE169" s="601" t="n">
        <x:f>IF(OR(AP169&lt;&gt;"Yes",E169=0),"",IFERROR(100*(COUNTIFS($AP$19:$AP$186,"Yes",$E$19:$E$186,"&gt;0",$H$19:$H$186,"&lt;"&amp;H169)+(COUNTIFS($AP$19:$AP$186,"Yes",$E$19:$E$186,"&gt;0",$H$19:$H$186,H169)-1)/2)/(COUNTIFS($AP$19:$AP$186,"Yes",$E$19:$E$186,"&gt;0")-1),50))</x:f>
        <x:v>11.688311688311689</x:v>
      </x:c>
      <x:c r="AF169" s="601" t="n">
        <x:f>IF(AE169="","",AE169*'Specialisation Rankings'!$O$16+R169*'Specialisation Rankings'!$O$17)</x:f>
        <x:v>26.883116883116884</x:v>
      </x:c>
      <x:c r="AG169" s="601" t="n">
        <x:f>IF(AF169="","",COUNTIFS($A$19:$A$186,A169,$AP$19:$AP$186,"Yes",$E$19:$E$186,"&gt;0",$AF$19:$AF$186,"&gt;"&amp;AF169)+COUNTIFS($A$19:A169,A169,$AP$19:AP169,"Yes",$E$19:E169,"&gt;0",$AF$19:AF169,AF169))</x:f>
        <x:v>12</x:v>
      </x:c>
      <x:c r="AH169" s="601" t="n">
        <x:f>IF(OR(AP169&lt;&gt;"Yes",E169=0),"",IFERROR(100*(COUNTIFS($AP$19:$AP$186,"Yes",$E$19:$E$186,"&gt;0",$J$19:$J$186,"&lt;"&amp;J169)+(COUNTIFS($AP$19:$AP$186,"Yes",$E$19:$E$186,"&gt;0",$J$19:$J$186,J169)-1)/2)/(COUNTIFS($AP$19:$AP$186,"Yes",$E$19:$E$186,"&gt;0")-1),50))</x:f>
        <x:v>80.84415584415585</x:v>
      </x:c>
      <x:c r="AI169" s="601" t="n">
        <x:f>IF(AH169="","",AH169*'Specialisation Rankings'!$O$16+R169*'Specialisation Rankings'!$O$17)</x:f>
        <x:v>82.20779220779222</x:v>
      </x:c>
      <x:c r="AJ169" s="601" t="n">
        <x:f>IF(AI169="","",COUNTIFS($A$19:$A$186,A169,$AP$19:$AP$186,"Yes",$E$19:$E$186,"&gt;0",$AI$19:$AI$186,"&gt;"&amp;AI169)+COUNTIFS($A$19:A169,A169,$AP$19:AP169,"Yes",$E$19:E169,"&gt;0",$AI$19:AI169,AI169))</x:f>
        <x:v>7</x:v>
      </x:c>
      <x:c r="AK169" s="601" t="n">
        <x:f>IF(OR(AP169&lt;&gt;"Yes",E169=0),"",IF(M169=0,'Specialisation Rankings'!$O$23,V169))</x:f>
        <x:v>60.25641025641025</x:v>
      </x:c>
      <x:c r="AL169" s="601" t="n">
        <x:f>IF(AK169="","",COUNTIFS($A$19:$A$186,A169,$AP$19:$AP$186,"Yes",$E$19:$E$186,"&gt;0",$AK$19:$AK$186,"&gt;"&amp;AK169)+COUNTIFS($A$19:A169,A169,$AP$19:AP169,"Yes",$E$19:E169,"&gt;0",$AK$19:AK169,AK169))</x:f>
        <x:v>11</x:v>
      </x:c>
      <x:c r="AM169" s="601" t="n">
        <x:f>IF(AC169="","",AC169*'Specialisation Rankings'!$O$18+AF169*'Specialisation Rankings'!$O$19+AI169*'Specialisation Rankings'!$O$20+AK169*'Specialisation Rankings'!$O$21)</x:f>
        <x:v>82.5840825840826</x:v>
      </x:c>
      <x:c r="AN169" s="601" t="n">
        <x:f>IF(AM169="","",COUNTIFS($A$19:$A$186,A169,$AP$19:$AP$186,"Yes",$E$19:$E$186,"&gt;0",$AM$19:$AM$186,"&gt;"&amp;AM169)+COUNTIFS($A$19:A169,A169,$AP$19:AP169,"Yes",$E$19:E169,"&gt;0",$AM$19:AM169,AM169))</x:f>
        <x:v>4</x:v>
      </x:c>
      <x:c r="AO169" s="601" t="n">
        <x:f>IF(AM169="","",COUNTIFS($AP$19:$AP$186,"Yes",$E$19:$E$186,"&gt;0",$AM$19:$AM$186,"&gt;"&amp;AM169)+COUNTIFS($AP$19:AP169,"Yes",$E$19:E169,"&gt;0",$AM$19:AM169,AM169))</x:f>
        <x:v>14</x:v>
      </x:c>
      <x:c r="AP169" s="602" t="str">
        <x:f>IF(COUNTIFS('Player Scenario Model'!$A$6:$A$172,A169,'Player Scenario Model'!$B$6:$B$172,B169)&gt;0,"Yes","No")</x:f>
        <x:v>Yes</x:v>
      </x:c>
    </x:row>
    <x:row r="170" ht="24" customHeight="1">
      <x:c r="A170" s="430" t="str">
        <x:v>K176</x:v>
      </x:c>
      <x:c r="B170" s="430" t="str">
        <x:v>ʚ老⑥ɞ</x:v>
      </x:c>
      <x:c r="C170" s="431" t="n">
        <x:f>COUNTIFS('Specialisations'!$A$6:$A$527,A170,'Specialisations'!$B$6:$B$527,B170)</x:f>
        <x:v>5</x:v>
      </x:c>
      <x:c r="D170" s="431" t="n">
        <x:f>COUNTIFS('Specialisations'!$A$6:$A$527,A170,'Specialisations'!$B$6:$B$527,B170,'Specialisations'!$P$6:$P$527,"OK")</x:f>
        <x:v>5</x:v>
      </x:c>
      <x:c r="E170" s="431" t="n">
        <x:f>COUNTIFS('Specialisations'!$A$6:$A$527,A170,'Specialisations'!$B$6:$B$527,B170,'Specialisations'!$P$6:$P$527,"OK",'Specialisations'!$C$6:$C$527,"&lt;&gt;Guards")</x:f>
        <x:v>4</x:v>
      </x:c>
      <x:c r="F170" s="432" t="n">
        <x:f>IF(C170=0,"",D170/C170)</x:f>
        <x:v>1</x:v>
      </x:c>
      <x:c r="G170" s="495" t="n">
        <x:f>SUMIFS('Specialisations'!$Q$6:$Q$527,'Specialisations'!$A$6:$A$527,A170,'Specialisations'!$B$6:$B$527,B170,'Specialisations'!$C$6:$C$527,"Guards")</x:f>
        <x:v>-35.98</x:v>
      </x:c>
      <x:c r="H170" s="495" t="n">
        <x:f>SUMIFS('Specialisations'!$Q$6:$Q$527,'Specialisations'!$A$6:$A$527,A170,'Specialisations'!$B$6:$B$527,B170,'Specialisations'!$C$6:$C$527,"Archers")</x:f>
        <x:v>35.98</x:v>
      </x:c>
      <x:c r="I170" s="495" t="n">
        <x:f>SUMIFS('Specialisations'!$Q$6:$Q$527,'Specialisations'!$A$6:$A$527,A170,'Specialisations'!$B$6:$B$527,B170,'Specialisations'!$C$6:$C$527,"Cavalry")</x:f>
        <x:v>71.96</x:v>
      </x:c>
      <x:c r="J170" s="495" t="n">
        <x:f>SUMIFS('Specialisations'!$Q$6:$Q$527,'Specialisations'!$A$6:$A$527,A170,'Specialisations'!$B$6:$B$527,B170,'Specialisations'!$C$6:$C$527,"Siege")</x:f>
        <x:v>35.98</x:v>
      </x:c>
      <x:c r="K170" s="495" t="n">
        <x:f>SUM(H170:J170)</x:f>
        <x:v>143.92</x:v>
      </x:c>
      <x:c r="L170" s="495" t="n">
        <x:f>SUM(G170,K170)</x:f>
        <x:v>107.94</x:v>
      </x:c>
      <x:c r="M170" s="433" t="n">
        <x:f>SUMIFS('Specialisations'!$N$6:$N$527,'Specialisations'!$A$6:$A$527,A170,'Specialisations'!$B$6:$B$527,B170,'Specialisations'!$C$6:$C$527,"Guards")</x:f>
        <x:v>3244300</x:v>
      </x:c>
      <x:c r="N170" s="433" t="n">
        <x:f>SUMIFS('Specialisations'!$N$6:$N$527,'Specialisations'!$A$6:$A$527,A170,'Specialisations'!$B$6:$B$527,B170,'Specialisations'!$C$6:$C$527,"&lt;&gt;Guards")</x:f>
        <x:v>12977200</x:v>
      </x:c>
      <x:c r="O170" s="433" t="n">
        <x:f>SUM(M170:N170)</x:f>
        <x:v>16221500</x:v>
      </x:c>
      <x:c r="P170" s="434" t="n">
        <x:f>IF(E170=0,"",K170/E170)</x:f>
        <x:v>35.98</x:v>
      </x:c>
      <x:c r="Q170" s="501" t="n">
        <x:f>IF(E170=0,"",IFERROR(100*(COUNTIFS($E$19:$E$186,"&gt;0",$K$19:$K$186,"&lt;"&amp;K170)+(COUNTIFS($E$19:$E$186,"&gt;0",$K$19:$K$186,K170)-1)/2)/(COUNTIF($E$19:$E$186,"&gt;0")-1),50))</x:f>
        <x:v>85.71428571428571</x:v>
      </x:c>
      <x:c r="R170" s="501" t="n">
        <x:f>IF(E170=0,"",IFERROR(100*(COUNTIFS($E$19:$E$186,"&gt;0",$N$19:$N$186,"&lt;"&amp;N170)+(COUNTIFS($E$19:$E$186,"&gt;0",$N$19:$N$186,N170)-1)/2)/(COUNTIF($E$19:$E$186,"&gt;0")-1),50))</x:f>
        <x:v>66.88311688311688</x:v>
      </x:c>
      <x:c r="S170" s="501" t="n">
        <x:f>IF(E170=0,"",Q170*$R$5+R170*$R$6)</x:f>
        <x:v>81.94805194805194</x:v>
      </x:c>
      <x:c r="T170" s="501" t="n">
        <x:f>IF(M170=0,"",IFERROR(100*(COUNTIFS($M$19:$M$186,"&gt;0",$G$19:$G$186,"&gt;"&amp;G170)+(COUNTIFS($M$19:$M$186,"&gt;0",$G$19:$G$186,G170)-1)/2)/(COUNTIF($M$19:$M$186,"&gt;0")-1),50))</x:f>
        <x:v>46.58119658119658</x:v>
      </x:c>
      <x:c r="U170" s="501" t="n">
        <x:f>IF(M170=0,"",IFERROR(100*(COUNTIFS($M$19:$M$186,"&gt;0",$M$19:$M$186,"&lt;"&amp;M170)+(COUNTIFS($M$19:$M$186,"&gt;0",$M$19:$M$186,M170)-1)/2)/(COUNTIF($M$19:$M$186,"&gt;0")-1),50))</x:f>
        <x:v>46.58119658119658</x:v>
      </x:c>
      <x:c r="V170" s="501" t="n">
        <x:f>IF(M170=0,"",T170*$R$5+U170*$R$6)</x:f>
        <x:v>46.58119658119658</x:v>
      </x:c>
      <x:c r="W170" s="431" t="n">
        <x:f>IF(E170=0,"",COUNTIFS($A$19:$A$186,A170,$S$19:$S$186,"&gt;"&amp;S170)+COUNTIFS($A$19:A170,A170,$E$19:E170,"&gt;0",$S$19:S170,S170))</x:f>
        <x:v>5</x:v>
      </x:c>
      <x:c r="X170" s="431" t="n">
        <x:f>IF(S170="","",1+COUNTIF($S$19:$S$186,"&gt;"&amp;S170))</x:f>
        <x:v>27</x:v>
      </x:c>
      <x:c r="Y170" s="431" t="n">
        <x:f>IF(V170="","",1+COUNTIFS($A$19:$A$186,A170,$V$19:$V$186,"&gt;"&amp;V170))</x:f>
        <x:v>18</x:v>
      </x:c>
      <x:c r="Z170" s="431" t="n">
        <x:f>IF(V170="","",1+COUNTIF($V$19:$V$186,"&gt;"&amp;V170))</x:f>
        <x:v>63</x:v>
      </x:c>
      <x:c r="AA170" s="430" t="str">
        <x:f>IF(C170=0,"No specialisations recorded",IF(D170&lt;C170,"Review missing level","Recorded skills only"))</x:f>
        <x:v>Recorded skills only</x:v>
      </x:c>
      <x:c r="AB170" s="601" t="n">
        <x:f>IF(OR(AP170&lt;&gt;"Yes",E170=0),"",IFERROR(100*(COUNTIFS($AP$19:$AP$186,"Yes",$E$19:$E$186,"&gt;0",$I$19:$I$186,"&lt;"&amp;I170)+(COUNTIFS($AP$19:$AP$186,"Yes",$E$19:$E$186,"&gt;0",$I$19:$I$186,I170)-1)/2)/(COUNTIFS($AP$19:$AP$186,"Yes",$E$19:$E$186,"&gt;0")-1),50))</x:f>
        <x:v>56.81818181818182</x:v>
      </x:c>
      <x:c r="AC170" s="601" t="n">
        <x:f>IF(AB170="","",AB170*'Specialisation Rankings'!$O$16+R170*'Specialisation Rankings'!$O$17)</x:f>
        <x:v>58.83116883116884</x:v>
      </x:c>
      <x:c r="AD170" s="601" t="n">
        <x:f>IF(AC170="","",COUNTIFS($A$19:$A$186,A170,$AP$19:$AP$186,"Yes",$E$19:$E$186,"&gt;0",$AC$19:$AC$186,"&gt;"&amp;AC170)+COUNTIFS($A$19:A170,A170,$AP$19:AP170,"Yes",$E$19:E170,"&gt;0",$AC$19:AC170,AC170))</x:f>
        <x:v>14</x:v>
      </x:c>
      <x:c r="AE170" s="601" t="n">
        <x:f>IF(OR(AP170&lt;&gt;"Yes",E170=0),"",IFERROR(100*(COUNTIFS($AP$19:$AP$186,"Yes",$E$19:$E$186,"&gt;0",$H$19:$H$186,"&lt;"&amp;H170)+(COUNTIFS($AP$19:$AP$186,"Yes",$E$19:$E$186,"&gt;0",$H$19:$H$186,H170)-1)/2)/(COUNTIFS($AP$19:$AP$186,"Yes",$E$19:$E$186,"&gt;0")-1),50))</x:f>
        <x:v>61.03896103896104</x:v>
      </x:c>
      <x:c r="AF170" s="601" t="n">
        <x:f>IF(AE170="","",AE170*'Specialisation Rankings'!$O$16+R170*'Specialisation Rankings'!$O$17)</x:f>
        <x:v>62.20779220779222</x:v>
      </x:c>
      <x:c r="AG170" s="601" t="n">
        <x:f>IF(AF170="","",COUNTIFS($A$19:$A$186,A170,$AP$19:$AP$186,"Yes",$E$19:$E$186,"&gt;0",$AF$19:$AF$186,"&gt;"&amp;AF170)+COUNTIFS($A$19:A170,A170,$AP$19:AP170,"Yes",$E$19:E170,"&gt;0",$AF$19:AF170,AF170))</x:f>
        <x:v>3</x:v>
      </x:c>
      <x:c r="AH170" s="601" t="n">
        <x:f>IF(OR(AP170&lt;&gt;"Yes",E170=0),"",IFERROR(100*(COUNTIFS($AP$19:$AP$186,"Yes",$E$19:$E$186,"&gt;0",$J$19:$J$186,"&lt;"&amp;J170)+(COUNTIFS($AP$19:$AP$186,"Yes",$E$19:$E$186,"&gt;0",$J$19:$J$186,J170)-1)/2)/(COUNTIFS($AP$19:$AP$186,"Yes",$E$19:$E$186,"&gt;0")-1),50))</x:f>
        <x:v>88.31168831168831</x:v>
      </x:c>
      <x:c r="AI170" s="601" t="n">
        <x:f>IF(AH170="","",AH170*'Specialisation Rankings'!$O$16+R170*'Specialisation Rankings'!$O$17)</x:f>
        <x:v>84.02597402597402</x:v>
      </x:c>
      <x:c r="AJ170" s="601" t="n">
        <x:f>IF(AI170="","",COUNTIFS($A$19:$A$186,A170,$AP$19:$AP$186,"Yes",$E$19:$E$186,"&gt;0",$AI$19:$AI$186,"&gt;"&amp;AI170)+COUNTIFS($A$19:A170,A170,$AP$19:AP170,"Yes",$E$19:E170,"&gt;0",$AI$19:AI170,AI170))</x:f>
        <x:v>5</x:v>
      </x:c>
      <x:c r="AK170" s="601" t="n">
        <x:f>IF(OR(AP170&lt;&gt;"Yes",E170=0),"",IF(M170=0,'Specialisation Rankings'!$O$23,V170))</x:f>
        <x:v>46.58119658119658</x:v>
      </x:c>
      <x:c r="AL170" s="601" t="n">
        <x:f>IF(AK170="","",COUNTIFS($A$19:$A$186,A170,$AP$19:$AP$186,"Yes",$E$19:$E$186,"&gt;0",$AK$19:$AK$186,"&gt;"&amp;AK170)+COUNTIFS($A$19:A170,A170,$AP$19:AP170,"Yes",$E$19:E170,"&gt;0",$AK$19:AK170,AK170))</x:f>
        <x:v>20</x:v>
      </x:c>
      <x:c r="AM170" s="601" t="n">
        <x:f>IF(AC170="","",AC170*'Specialisation Rankings'!$O$18+AF170*'Specialisation Rankings'!$O$19+AI170*'Specialisation Rankings'!$O$20+AK170*'Specialisation Rankings'!$O$21)</x:f>
        <x:v>61.72305472305473</x:v>
      </x:c>
      <x:c r="AN170" s="601" t="n">
        <x:f>IF(AM170="","",COUNTIFS($A$19:$A$186,A170,$AP$19:$AP$186,"Yes",$E$19:$E$186,"&gt;0",$AM$19:$AM$186,"&gt;"&amp;AM170)+COUNTIFS($A$19:A170,A170,$AP$19:AP170,"Yes",$E$19:E170,"&gt;0",$AM$19:AM170,AM170))</x:f>
        <x:v>13</x:v>
      </x:c>
      <x:c r="AO170" s="601" t="n">
        <x:f>IF(AM170="","",COUNTIFS($AP$19:$AP$186,"Yes",$E$19:$E$186,"&gt;0",$AM$19:$AM$186,"&gt;"&amp;AM170)+COUNTIFS($AP$19:AP170,"Yes",$E$19:E170,"&gt;0",$AM$19:AM170,AM170))</x:f>
        <x:v>50</x:v>
      </x:c>
      <x:c r="AP170" s="602" t="str">
        <x:f>IF(COUNTIFS('Player Scenario Model'!$A$6:$A$172,A170,'Player Scenario Model'!$B$6:$B$172,B170)&gt;0,"Yes","No")</x:f>
        <x:v>Yes</x:v>
      </x:c>
    </x:row>
    <x:row r="171" ht="24" customHeight="1">
      <x:c r="A171" s="430" t="str">
        <x:v>K176</x:v>
      </x:c>
      <x:c r="B171" s="430" t="str">
        <x:v>灰色轨迹</x:v>
      </x:c>
      <x:c r="C171" s="431" t="n">
        <x:f>COUNTIFS('Specialisations'!$A$6:$A$527,A171,'Specialisations'!$B$6:$B$527,B171)</x:f>
        <x:v>5</x:v>
      </x:c>
      <x:c r="D171" s="431" t="n">
        <x:f>COUNTIFS('Specialisations'!$A$6:$A$527,A171,'Specialisations'!$B$6:$B$527,B171,'Specialisations'!$P$6:$P$527,"OK")</x:f>
        <x:v>5</x:v>
      </x:c>
      <x:c r="E171" s="431" t="n">
        <x:f>COUNTIFS('Specialisations'!$A$6:$A$527,A171,'Specialisations'!$B$6:$B$527,B171,'Specialisations'!$P$6:$P$527,"OK",'Specialisations'!$C$6:$C$527,"&lt;&gt;Guards")</x:f>
        <x:v>4</x:v>
      </x:c>
      <x:c r="F171" s="432" t="n">
        <x:f>IF(C171=0,"",D171/C171)</x:f>
        <x:v>1</x:v>
      </x:c>
      <x:c r="G171" s="495" t="n">
        <x:f>SUMIFS('Specialisations'!$Q$6:$Q$527,'Specialisations'!$A$6:$A$527,A171,'Specialisations'!$B$6:$B$527,B171,'Specialisations'!$C$6:$C$527,"Guards")</x:f>
        <x:v>-41.98</x:v>
      </x:c>
      <x:c r="H171" s="495" t="n">
        <x:f>SUMIFS('Specialisations'!$Q$6:$Q$527,'Specialisations'!$A$6:$A$527,A171,'Specialisations'!$B$6:$B$527,B171,'Specialisations'!$C$6:$C$527,"Archers")</x:f>
        <x:v>16.2</x:v>
      </x:c>
      <x:c r="I171" s="495" t="n">
        <x:f>SUMIFS('Specialisations'!$Q$6:$Q$527,'Specialisations'!$A$6:$A$527,A171,'Specialisations'!$B$6:$B$527,B171,'Specialisations'!$C$6:$C$527,"Cavalry")</x:f>
        <x:v>96.87</x:v>
      </x:c>
      <x:c r="J171" s="495" t="n">
        <x:f>SUMIFS('Specialisations'!$Q$6:$Q$527,'Specialisations'!$A$6:$A$527,A171,'Specialisations'!$B$6:$B$527,B171,'Specialisations'!$C$6:$C$527,"Siege")</x:f>
        <x:v>6.11</x:v>
      </x:c>
      <x:c r="K171" s="495" t="n">
        <x:f>SUM(H171:J171)</x:f>
        <x:v>119.18</x:v>
      </x:c>
      <x:c r="L171" s="495" t="n">
        <x:f>SUM(G171,K171)</x:f>
        <x:v>77.20000000000002</x:v>
      </x:c>
      <x:c r="M171" s="433" t="n">
        <x:f>SUMIFS('Specialisations'!$N$6:$N$527,'Specialisations'!$A$6:$A$527,A171,'Specialisations'!$B$6:$B$527,B171,'Specialisations'!$C$6:$C$527,"Guards")</x:f>
        <x:v>4284300</x:v>
      </x:c>
      <x:c r="N171" s="433" t="n">
        <x:f>SUMIFS('Specialisations'!$N$6:$N$527,'Specialisations'!$A$6:$A$527,A171,'Specialisations'!$B$6:$B$527,B171,'Specialisations'!$C$6:$C$527,"&lt;&gt;Guards")</x:f>
        <x:v>13557200</x:v>
      </x:c>
      <x:c r="O171" s="433" t="n">
        <x:f>SUM(M171:N171)</x:f>
        <x:v>17841500</x:v>
      </x:c>
      <x:c r="P171" s="434" t="n">
        <x:f>IF(E171=0,"",K171/E171)</x:f>
        <x:v>29.795</x:v>
      </x:c>
      <x:c r="Q171" s="501" t="n">
        <x:f>IF(E171=0,"",IFERROR(100*(COUNTIFS($E$19:$E$186,"&gt;0",$K$19:$K$186,"&lt;"&amp;K171)+(COUNTIFS($E$19:$E$186,"&gt;0",$K$19:$K$186,K171)-1)/2)/(COUNTIF($E$19:$E$186,"&gt;0")-1),50))</x:f>
        <x:v>71.42857142857143</x:v>
      </x:c>
      <x:c r="R171" s="501" t="n">
        <x:f>IF(E171=0,"",IFERROR(100*(COUNTIFS($E$19:$E$186,"&gt;0",$N$19:$N$186,"&lt;"&amp;N171)+(COUNTIFS($E$19:$E$186,"&gt;0",$N$19:$N$186,N171)-1)/2)/(COUNTIF($E$19:$E$186,"&gt;0")-1),50))</x:f>
        <x:v>72.07792207792208</x:v>
      </x:c>
      <x:c r="S171" s="501" t="n">
        <x:f>IF(E171=0,"",Q171*$R$5+R171*$R$6)</x:f>
        <x:v>71.55844155844156</x:v>
      </x:c>
      <x:c r="T171" s="501" t="n">
        <x:f>IF(M171=0,"",IFERROR(100*(COUNTIFS($M$19:$M$186,"&gt;0",$G$19:$G$186,"&gt;"&amp;G171)+(COUNTIFS($M$19:$M$186,"&gt;0",$G$19:$G$186,G171)-1)/2)/(COUNTIF($M$19:$M$186,"&gt;0")-1),50))</x:f>
        <x:v>60.256410256410255</x:v>
      </x:c>
      <x:c r="U171" s="501" t="n">
        <x:f>IF(M171=0,"",IFERROR(100*(COUNTIFS($M$19:$M$186,"&gt;0",$M$19:$M$186,"&lt;"&amp;M171)+(COUNTIFS($M$19:$M$186,"&gt;0",$M$19:$M$186,M171)-1)/2)/(COUNTIF($M$19:$M$186,"&gt;0")-1),50))</x:f>
        <x:v>60.256410256410255</x:v>
      </x:c>
      <x:c r="V171" s="501" t="n">
        <x:f>IF(M171=0,"",T171*$R$5+U171*$R$6)</x:f>
        <x:v>60.25641025641025</x:v>
      </x:c>
      <x:c r="W171" s="431" t="n">
        <x:f>IF(E171=0,"",COUNTIFS($A$19:$A$186,A171,$S$19:$S$186,"&gt;"&amp;S171)+COUNTIFS($A$19:A171,A171,$E$19:E171,"&gt;0",$S$19:S171,S171))</x:f>
        <x:v>11</x:v>
      </x:c>
      <x:c r="X171" s="431" t="n">
        <x:f>IF(S171="","",1+COUNTIF($S$19:$S$186,"&gt;"&amp;S171))</x:f>
        <x:v>46</x:v>
      </x:c>
      <x:c r="Y171" s="431" t="n">
        <x:f>IF(V171="","",1+COUNTIFS($A$19:$A$186,A171,$V$19:$V$186,"&gt;"&amp;V171))</x:f>
        <x:v>6</x:v>
      </x:c>
      <x:c r="Z171" s="431" t="n">
        <x:f>IF(V171="","",1+COUNTIF($V$19:$V$186,"&gt;"&amp;V171))</x:f>
        <x:v>35</x:v>
      </x:c>
      <x:c r="AA171" s="430" t="str">
        <x:f>IF(C171=0,"No specialisations recorded",IF(D171&lt;C171,"Review missing level","Recorded skills only"))</x:f>
        <x:v>Recorded skills only</x:v>
      </x:c>
      <x:c r="AB171" s="601" t="n">
        <x:f>IF(OR(AP171&lt;&gt;"Yes",E171=0),"",IFERROR(100*(COUNTIFS($AP$19:$AP$186,"Yes",$E$19:$E$186,"&gt;0",$I$19:$I$186,"&lt;"&amp;I171)+(COUNTIFS($AP$19:$AP$186,"Yes",$E$19:$E$186,"&gt;0",$I$19:$I$186,I171)-1)/2)/(COUNTIFS($AP$19:$AP$186,"Yes",$E$19:$E$186,"&gt;0")-1),50))</x:f>
        <x:v>83.76623376623377</x:v>
      </x:c>
      <x:c r="AC171" s="601" t="n">
        <x:f>IF(AB171="","",AB171*'Specialisation Rankings'!$O$16+R171*'Specialisation Rankings'!$O$17)</x:f>
        <x:v>81.42857142857143</x:v>
      </x:c>
      <x:c r="AD171" s="601" t="n">
        <x:f>IF(AC171="","",COUNTIFS($A$19:$A$186,A171,$AP$19:$AP$186,"Yes",$E$19:$E$186,"&gt;0",$AC$19:$AC$186,"&gt;"&amp;AC171)+COUNTIFS($A$19:A171,A171,$AP$19:AP171,"Yes",$E$19:E171,"&gt;0",$AC$19:AC171,AC171))</x:f>
        <x:v>7</x:v>
      </x:c>
      <x:c r="AE171" s="601" t="n">
        <x:f>IF(OR(AP171&lt;&gt;"Yes",E171=0),"",IFERROR(100*(COUNTIFS($AP$19:$AP$186,"Yes",$E$19:$E$186,"&gt;0",$H$19:$H$186,"&lt;"&amp;H171)+(COUNTIFS($AP$19:$AP$186,"Yes",$E$19:$E$186,"&gt;0",$H$19:$H$186,H171)-1)/2)/(COUNTIFS($AP$19:$AP$186,"Yes",$E$19:$E$186,"&gt;0")-1),50))</x:f>
        <x:v>28.571428571428573</x:v>
      </x:c>
      <x:c r="AF171" s="601" t="n">
        <x:f>IF(AE171="","",AE171*'Specialisation Rankings'!$O$16+R171*'Specialisation Rankings'!$O$17)</x:f>
        <x:v>37.27272727272728</x:v>
      </x:c>
      <x:c r="AG171" s="601" t="n">
        <x:f>IF(AF171="","",COUNTIFS($A$19:$A$186,A171,$AP$19:$AP$186,"Yes",$E$19:$E$186,"&gt;0",$AF$19:$AF$186,"&gt;"&amp;AF171)+COUNTIFS($A$19:A171,A171,$AP$19:AP171,"Yes",$E$19:E171,"&gt;0",$AF$19:AF171,AF171))</x:f>
        <x:v>7</x:v>
      </x:c>
      <x:c r="AH171" s="601" t="n">
        <x:f>IF(OR(AP171&lt;&gt;"Yes",E171=0),"",IFERROR(100*(COUNTIFS($AP$19:$AP$186,"Yes",$E$19:$E$186,"&gt;0",$J$19:$J$186,"&lt;"&amp;J171)+(COUNTIFS($AP$19:$AP$186,"Yes",$E$19:$E$186,"&gt;0",$J$19:$J$186,J171)-1)/2)/(COUNTIFS($AP$19:$AP$186,"Yes",$E$19:$E$186,"&gt;0")-1),50))</x:f>
        <x:v>69.15584415584415</x:v>
      </x:c>
      <x:c r="AI171" s="601" t="n">
        <x:f>IF(AH171="","",AH171*'Specialisation Rankings'!$O$16+R171*'Specialisation Rankings'!$O$17)</x:f>
        <x:v>69.74025974025975</x:v>
      </x:c>
      <x:c r="AJ171" s="601" t="n">
        <x:f>IF(AI171="","",COUNTIFS($A$19:$A$186,A171,$AP$19:$AP$186,"Yes",$E$19:$E$186,"&gt;0",$AI$19:$AI$186,"&gt;"&amp;AI171)+COUNTIFS($A$19:A171,A171,$AP$19:AP171,"Yes",$E$19:E171,"&gt;0",$AI$19:AI171,AI171))</x:f>
        <x:v>12</x:v>
      </x:c>
      <x:c r="AK171" s="601" t="n">
        <x:f>IF(OR(AP171&lt;&gt;"Yes",E171=0),"",IF(M171=0,'Specialisation Rankings'!$O$23,V171))</x:f>
        <x:v>60.25641025641025</x:v>
      </x:c>
      <x:c r="AL171" s="601" t="n">
        <x:f>IF(AK171="","",COUNTIFS($A$19:$A$186,A171,$AP$19:$AP$186,"Yes",$E$19:$E$186,"&gt;0",$AK$19:$AK$186,"&gt;"&amp;AK171)+COUNTIFS($A$19:A171,A171,$AP$19:AP171,"Yes",$E$19:E171,"&gt;0",$AK$19:AK171,AK171))</x:f>
        <x:v>12</x:v>
      </x:c>
      <x:c r="AM171" s="601" t="n">
        <x:f>IF(AC171="","",AC171*'Specialisation Rankings'!$O$18+AF171*'Specialisation Rankings'!$O$19+AI171*'Specialisation Rankings'!$O$20+AK171*'Specialisation Rankings'!$O$21)</x:f>
        <x:v>73.14252414252414</x:v>
      </x:c>
      <x:c r="AN171" s="601" t="n">
        <x:f>IF(AM171="","",COUNTIFS($A$19:$A$186,A171,$AP$19:$AP$186,"Yes",$E$19:$E$186,"&gt;0",$AM$19:$AM$186,"&gt;"&amp;AM171)+COUNTIFS($A$19:A171,A171,$AP$19:AP171,"Yes",$E$19:E171,"&gt;0",$AM$19:AM171,AM171))</x:f>
        <x:v>8</x:v>
      </x:c>
      <x:c r="AO171" s="601" t="n">
        <x:f>IF(AM171="","",COUNTIFS($AP$19:$AP$186,"Yes",$E$19:$E$186,"&gt;0",$AM$19:$AM$186,"&gt;"&amp;AM171)+COUNTIFS($AP$19:AP171,"Yes",$E$19:E171,"&gt;0",$AM$19:AM171,AM171))</x:f>
        <x:v>28</x:v>
      </x:c>
      <x:c r="AP171" s="602" t="str">
        <x:f>IF(COUNTIFS('Player Scenario Model'!$A$6:$A$172,A171,'Player Scenario Model'!$B$6:$B$172,B171)&gt;0,"Yes","No")</x:f>
        <x:v>Yes</x:v>
      </x:c>
    </x:row>
    <x:row r="172" ht="24" customHeight="1">
      <x:c r="A172" s="430" t="str">
        <x:v>K176</x:v>
      </x:c>
      <x:c r="B172" s="430" t="str">
        <x:v>罗密欧与猪过夜</x:v>
      </x:c>
      <x:c r="C172" s="431" t="n">
        <x:f>COUNTIFS('Specialisations'!$A$6:$A$527,A172,'Specialisations'!$B$6:$B$527,B172)</x:f>
        <x:v>4</x:v>
      </x:c>
      <x:c r="D172" s="431" t="n">
        <x:f>COUNTIFS('Specialisations'!$A$6:$A$527,A172,'Specialisations'!$B$6:$B$527,B172,'Specialisations'!$P$6:$P$527,"OK")</x:f>
        <x:v>4</x:v>
      </x:c>
      <x:c r="E172" s="431" t="n">
        <x:f>COUNTIFS('Specialisations'!$A$6:$A$527,A172,'Specialisations'!$B$6:$B$527,B172,'Specialisations'!$P$6:$P$527,"OK",'Specialisations'!$C$6:$C$527,"&lt;&gt;Guards")</x:f>
        <x:v>3</x:v>
      </x:c>
      <x:c r="F172" s="432" t="n">
        <x:f>IF(C172=0,"",D172/C172)</x:f>
        <x:v>1</x:v>
      </x:c>
      <x:c r="G172" s="495" t="n">
        <x:f>SUMIFS('Specialisations'!$Q$6:$Q$527,'Specialisations'!$A$6:$A$527,A172,'Specialisations'!$B$6:$B$527,B172,'Specialisations'!$C$6:$C$527,"Guards")</x:f>
        <x:v>-41.98</x:v>
      </x:c>
      <x:c r="H172" s="495" t="n">
        <x:f>SUMIFS('Specialisations'!$Q$6:$Q$527,'Specialisations'!$A$6:$A$527,A172,'Specialisations'!$B$6:$B$527,B172,'Specialisations'!$C$6:$C$527,"Archers")</x:f>
        <x:v>0</x:v>
      </x:c>
      <x:c r="I172" s="495" t="n">
        <x:f>SUMIFS('Specialisations'!$Q$6:$Q$527,'Specialisations'!$A$6:$A$527,A172,'Specialisations'!$B$6:$B$527,B172,'Specialisations'!$C$6:$C$527,"Cavalry")</x:f>
        <x:v>96.76</x:v>
      </x:c>
      <x:c r="J172" s="495" t="n">
        <x:f>SUMIFS('Specialisations'!$Q$6:$Q$527,'Specialisations'!$A$6:$A$527,A172,'Specialisations'!$B$6:$B$527,B172,'Specialisations'!$C$6:$C$527,"Siege")</x:f>
        <x:v>33.13</x:v>
      </x:c>
      <x:c r="K172" s="495" t="n">
        <x:f>SUM(H172:J172)</x:f>
        <x:v>129.89000000000001</x:v>
      </x:c>
      <x:c r="L172" s="495" t="n">
        <x:f>SUM(G172,K172)</x:f>
        <x:v>87.91000000000003</x:v>
      </x:c>
      <x:c r="M172" s="433" t="n">
        <x:f>SUMIFS('Specialisations'!$N$6:$N$527,'Specialisations'!$A$6:$A$527,A172,'Specialisations'!$B$6:$B$527,B172,'Specialisations'!$C$6:$C$527,"Guards")</x:f>
        <x:v>4284300</x:v>
      </x:c>
      <x:c r="N172" s="433" t="n">
        <x:f>SUMIFS('Specialisations'!$N$6:$N$527,'Specialisations'!$A$6:$A$527,A172,'Specialisations'!$B$6:$B$527,B172,'Specialisations'!$C$6:$C$527,"&lt;&gt;Guards")</x:f>
        <x:v>14612900</x:v>
      </x:c>
      <x:c r="O172" s="433" t="n">
        <x:f>SUM(M172:N172)</x:f>
        <x:v>18897200</x:v>
      </x:c>
      <x:c r="P172" s="434" t="n">
        <x:f>IF(E172=0,"",K172/E172)</x:f>
        <x:v>43.296666666666674</x:v>
      </x:c>
      <x:c r="Q172" s="501" t="n">
        <x:f>IF(E172=0,"",IFERROR(100*(COUNTIFS($E$19:$E$186,"&gt;0",$K$19:$K$186,"&lt;"&amp;K172)+(COUNTIFS($E$19:$E$186,"&gt;0",$K$19:$K$186,K172)-1)/2)/(COUNTIF($E$19:$E$186,"&gt;0")-1),50))</x:f>
        <x:v>77.27272727272727</x:v>
      </x:c>
      <x:c r="R172" s="501" t="n">
        <x:f>IF(E172=0,"",IFERROR(100*(COUNTIFS($E$19:$E$186,"&gt;0",$N$19:$N$186,"&lt;"&amp;N172)+(COUNTIFS($E$19:$E$186,"&gt;0",$N$19:$N$186,N172)-1)/2)/(COUNTIF($E$19:$E$186,"&gt;0")-1),50))</x:f>
        <x:v>74.67532467532467</x:v>
      </x:c>
      <x:c r="S172" s="501" t="n">
        <x:f>IF(E172=0,"",Q172*$R$5+R172*$R$6)</x:f>
        <x:v>76.75324675324674</x:v>
      </x:c>
      <x:c r="T172" s="501" t="n">
        <x:f>IF(M172=0,"",IFERROR(100*(COUNTIFS($M$19:$M$186,"&gt;0",$G$19:$G$186,"&gt;"&amp;G172)+(COUNTIFS($M$19:$M$186,"&gt;0",$G$19:$G$186,G172)-1)/2)/(COUNTIF($M$19:$M$186,"&gt;0")-1),50))</x:f>
        <x:v>60.256410256410255</x:v>
      </x:c>
      <x:c r="U172" s="501" t="n">
        <x:f>IF(M172=0,"",IFERROR(100*(COUNTIFS($M$19:$M$186,"&gt;0",$M$19:$M$186,"&lt;"&amp;M172)+(COUNTIFS($M$19:$M$186,"&gt;0",$M$19:$M$186,M172)-1)/2)/(COUNTIF($M$19:$M$186,"&gt;0")-1),50))</x:f>
        <x:v>60.256410256410255</x:v>
      </x:c>
      <x:c r="V172" s="501" t="n">
        <x:f>IF(M172=0,"",T172*$R$5+U172*$R$6)</x:f>
        <x:v>60.25641025641025</x:v>
      </x:c>
      <x:c r="W172" s="431" t="n">
        <x:f>IF(E172=0,"",COUNTIFS($A$19:$A$186,A172,$S$19:$S$186,"&gt;"&amp;S172)+COUNTIFS($A$19:A172,A172,$E$19:E172,"&gt;0",$S$19:S172,S172))</x:f>
        <x:v>7</x:v>
      </x:c>
      <x:c r="X172" s="431" t="n">
        <x:f>IF(S172="","",1+COUNTIF($S$19:$S$186,"&gt;"&amp;S172))</x:f>
        <x:v>37</x:v>
      </x:c>
      <x:c r="Y172" s="431" t="n">
        <x:f>IF(V172="","",1+COUNTIFS($A$19:$A$186,A172,$V$19:$V$186,"&gt;"&amp;V172))</x:f>
        <x:v>6</x:v>
      </x:c>
      <x:c r="Z172" s="431" t="n">
        <x:f>IF(V172="","",1+COUNTIF($V$19:$V$186,"&gt;"&amp;V172))</x:f>
        <x:v>35</x:v>
      </x:c>
      <x:c r="AA172" s="430" t="str">
        <x:f>IF(C172=0,"No specialisations recorded",IF(D172&lt;C172,"Review missing level","Recorded skills only"))</x:f>
        <x:v>Recorded skills only</x:v>
      </x:c>
      <x:c r="AB172" s="601" t="n">
        <x:f>IF(OR(AP172&lt;&gt;"Yes",E172=0),"",IFERROR(100*(COUNTIFS($AP$19:$AP$186,"Yes",$E$19:$E$186,"&gt;0",$I$19:$I$186,"&lt;"&amp;I172)+(COUNTIFS($AP$19:$AP$186,"Yes",$E$19:$E$186,"&gt;0",$I$19:$I$186,I172)-1)/2)/(COUNTIFS($AP$19:$AP$186,"Yes",$E$19:$E$186,"&gt;0")-1),50))</x:f>
        <x:v>82.14285714285714</x:v>
      </x:c>
      <x:c r="AC172" s="601" t="n">
        <x:f>IF(AB172="","",AB172*'Specialisation Rankings'!$O$16+R172*'Specialisation Rankings'!$O$17)</x:f>
        <x:v>80.64935064935065</x:v>
      </x:c>
      <x:c r="AD172" s="601" t="n">
        <x:f>IF(AC172="","",COUNTIFS($A$19:$A$186,A172,$AP$19:$AP$186,"Yes",$E$19:$E$186,"&gt;0",$AC$19:$AC$186,"&gt;"&amp;AC172)+COUNTIFS($A$19:A172,A172,$AP$19:AP172,"Yes",$E$19:E172,"&gt;0",$AC$19:AC172,AC172))</x:f>
        <x:v>8</x:v>
      </x:c>
      <x:c r="AE172" s="601" t="n">
        <x:f>IF(OR(AP172&lt;&gt;"Yes",E172=0),"",IFERROR(100*(COUNTIFS($AP$19:$AP$186,"Yes",$E$19:$E$186,"&gt;0",$H$19:$H$186,"&lt;"&amp;H172)+(COUNTIFS($AP$19:$AP$186,"Yes",$E$19:$E$186,"&gt;0",$H$19:$H$186,H172)-1)/2)/(COUNTIFS($AP$19:$AP$186,"Yes",$E$19:$E$186,"&gt;0")-1),50))</x:f>
        <x:v>11.688311688311689</x:v>
      </x:c>
      <x:c r="AF172" s="601" t="n">
        <x:f>IF(AE172="","",AE172*'Specialisation Rankings'!$O$16+R172*'Specialisation Rankings'!$O$17)</x:f>
        <x:v>24.28571428571429</x:v>
      </x:c>
      <x:c r="AG172" s="601" t="n">
        <x:f>IF(AF172="","",COUNTIFS($A$19:$A$186,A172,$AP$19:$AP$186,"Yes",$E$19:$E$186,"&gt;0",$AF$19:$AF$186,"&gt;"&amp;AF172)+COUNTIFS($A$19:A172,A172,$AP$19:AP172,"Yes",$E$19:E172,"&gt;0",$AF$19:AF172,AF172))</x:f>
        <x:v>14</x:v>
      </x:c>
      <x:c r="AH172" s="601" t="n">
        <x:f>IF(OR(AP172&lt;&gt;"Yes",E172=0),"",IFERROR(100*(COUNTIFS($AP$19:$AP$186,"Yes",$E$19:$E$186,"&gt;0",$J$19:$J$186,"&lt;"&amp;J172)+(COUNTIFS($AP$19:$AP$186,"Yes",$E$19:$E$186,"&gt;0",$J$19:$J$186,J172)-1)/2)/(COUNTIFS($AP$19:$AP$186,"Yes",$E$19:$E$186,"&gt;0")-1),50))</x:f>
        <x:v>86.36363636363636</x:v>
      </x:c>
      <x:c r="AI172" s="601" t="n">
        <x:f>IF(AH172="","",AH172*'Specialisation Rankings'!$O$16+R172*'Specialisation Rankings'!$O$17)</x:f>
        <x:v>84.02597402597402</x:v>
      </x:c>
      <x:c r="AJ172" s="601" t="n">
        <x:f>IF(AI172="","",COUNTIFS($A$19:$A$186,A172,$AP$19:$AP$186,"Yes",$E$19:$E$186,"&gt;0",$AI$19:$AI$186,"&gt;"&amp;AI172)+COUNTIFS($A$19:A172,A172,$AP$19:AP172,"Yes",$E$19:E172,"&gt;0",$AI$19:AI172,AI172))</x:f>
        <x:v>6</x:v>
      </x:c>
      <x:c r="AK172" s="601" t="n">
        <x:f>IF(OR(AP172&lt;&gt;"Yes",E172=0),"",IF(M172=0,'Specialisation Rankings'!$O$23,V172))</x:f>
        <x:v>60.25641025641025</x:v>
      </x:c>
      <x:c r="AL172" s="601" t="n">
        <x:f>IF(AK172="","",COUNTIFS($A$19:$A$186,A172,$AP$19:$AP$186,"Yes",$E$19:$E$186,"&gt;0",$AK$19:$AK$186,"&gt;"&amp;AK172)+COUNTIFS($A$19:A172,A172,$AP$19:AP172,"Yes",$E$19:E172,"&gt;0",$AK$19:AK172,AK172))</x:f>
        <x:v>13</x:v>
      </x:c>
      <x:c r="AM172" s="601" t="n">
        <x:f>IF(AC172="","",AC172*'Specialisation Rankings'!$O$18+AF172*'Specialisation Rankings'!$O$19+AI172*'Specialisation Rankings'!$O$20+AK172*'Specialisation Rankings'!$O$21)</x:f>
        <x:v>73.48018648018648</x:v>
      </x:c>
      <x:c r="AN172" s="601" t="n">
        <x:f>IF(AM172="","",COUNTIFS($A$19:$A$186,A172,$AP$19:$AP$186,"Yes",$E$19:$E$186,"&gt;0",$AM$19:$AM$186,"&gt;"&amp;AM172)+COUNTIFS($A$19:A172,A172,$AP$19:AP172,"Yes",$E$19:E172,"&gt;0",$AM$19:AM172,AM172))</x:f>
        <x:v>7</x:v>
      </x:c>
      <x:c r="AO172" s="601" t="n">
        <x:f>IF(AM172="","",COUNTIFS($AP$19:$AP$186,"Yes",$E$19:$E$186,"&gt;0",$AM$19:$AM$186,"&gt;"&amp;AM172)+COUNTIFS($AP$19:AP172,"Yes",$E$19:E172,"&gt;0",$AM$19:AM172,AM172))</x:f>
        <x:v>27</x:v>
      </x:c>
      <x:c r="AP172" s="602" t="str">
        <x:f>IF(COUNTIFS('Player Scenario Model'!$A$6:$A$172,A172,'Player Scenario Model'!$B$6:$B$172,B172)&gt;0,"Yes","No")</x:f>
        <x:v>Yes</x:v>
      </x:c>
    </x:row>
    <x:row r="173" ht="24" customHeight="1">
      <x:c r="A173" s="430" t="str">
        <x:v>K176</x:v>
      </x:c>
      <x:c r="B173" s="430" t="str">
        <x:v>WARBLOOD</x:v>
      </x:c>
      <x:c r="C173" s="431" t="n">
        <x:f>COUNTIFS('Specialisations'!$A$6:$A$527,A173,'Specialisations'!$B$6:$B$527,B173)</x:f>
        <x:v>3</x:v>
      </x:c>
      <x:c r="D173" s="431" t="n">
        <x:f>COUNTIFS('Specialisations'!$A$6:$A$527,A173,'Specialisations'!$B$6:$B$527,B173,'Specialisations'!$P$6:$P$527,"OK")</x:f>
        <x:v>3</x:v>
      </x:c>
      <x:c r="E173" s="431" t="n">
        <x:f>COUNTIFS('Specialisations'!$A$6:$A$527,A173,'Specialisations'!$B$6:$B$527,B173,'Specialisations'!$P$6:$P$527,"OK",'Specialisations'!$C$6:$C$527,"&lt;&gt;Guards")</x:f>
        <x:v>2</x:v>
      </x:c>
      <x:c r="F173" s="432" t="n">
        <x:f>IF(C173=0,"",D173/C173)</x:f>
        <x:v>1</x:v>
      </x:c>
      <x:c r="G173" s="495" t="n">
        <x:f>SUMIFS('Specialisations'!$Q$6:$Q$527,'Specialisations'!$A$6:$A$527,A173,'Specialisations'!$B$6:$B$527,B173,'Specialisations'!$C$6:$C$527,"Guards")</x:f>
        <x:v>-55.2</x:v>
      </x:c>
      <x:c r="H173" s="495" t="n">
        <x:f>SUMIFS('Specialisations'!$Q$6:$Q$527,'Specialisations'!$A$6:$A$527,A173,'Specialisations'!$B$6:$B$527,B173,'Specialisations'!$C$6:$C$527,"Archers")</x:f>
        <x:v>0</x:v>
      </x:c>
      <x:c r="I173" s="495" t="n">
        <x:f>SUMIFS('Specialisations'!$Q$6:$Q$527,'Specialisations'!$A$6:$A$527,A173,'Specialisations'!$B$6:$B$527,B173,'Specialisations'!$C$6:$C$527,"Cavalry")</x:f>
        <x:v>43.94</x:v>
      </x:c>
      <x:c r="J173" s="495" t="n">
        <x:f>SUMIFS('Specialisations'!$Q$6:$Q$527,'Specialisations'!$A$6:$A$527,A173,'Specialisations'!$B$6:$B$527,B173,'Specialisations'!$C$6:$C$527,"Siege")</x:f>
        <x:v>0</x:v>
      </x:c>
      <x:c r="K173" s="495" t="n">
        <x:f>SUM(H173:J173)</x:f>
        <x:v>43.94</x:v>
      </x:c>
      <x:c r="L173" s="495" t="n">
        <x:f>SUM(G173,K173)</x:f>
        <x:v>-11.260000000000005</x:v>
      </x:c>
      <x:c r="M173" s="433" t="n">
        <x:f>SUMIFS('Specialisations'!$N$6:$N$527,'Specialisations'!$A$6:$A$527,A173,'Specialisations'!$B$6:$B$527,B173,'Specialisations'!$C$6:$C$527,"Guards")</x:f>
        <x:v>8334300</x:v>
      </x:c>
      <x:c r="N173" s="433" t="n">
        <x:f>SUMIFS('Specialisations'!$N$6:$N$527,'Specialisations'!$A$6:$A$527,A173,'Specialisations'!$B$6:$B$527,B173,'Specialisations'!$C$6:$C$527,"&lt;&gt;Guards")</x:f>
        <x:v>3438600</x:v>
      </x:c>
      <x:c r="O173" s="433" t="n">
        <x:f>SUM(M173:N173)</x:f>
        <x:v>11772900</x:v>
      </x:c>
      <x:c r="P173" s="434" t="n">
        <x:f>IF(E173=0,"",K173/E173)</x:f>
        <x:v>21.97</x:v>
      </x:c>
      <x:c r="Q173" s="501" t="n">
        <x:f>IF(E173=0,"",IFERROR(100*(COUNTIFS($E$19:$E$186,"&gt;0",$K$19:$K$186,"&lt;"&amp;K173)+(COUNTIFS($E$19:$E$186,"&gt;0",$K$19:$K$186,K173)-1)/2)/(COUNTIF($E$19:$E$186,"&gt;0")-1),50))</x:f>
        <x:v>7.792207792207792</x:v>
      </x:c>
      <x:c r="R173" s="501" t="n">
        <x:f>IF(E173=0,"",IFERROR(100*(COUNTIFS($E$19:$E$186,"&gt;0",$N$19:$N$186,"&lt;"&amp;N173)+(COUNTIFS($E$19:$E$186,"&gt;0",$N$19:$N$186,N173)-1)/2)/(COUNTIF($E$19:$E$186,"&gt;0")-1),50))</x:f>
        <x:v>5.194805194805195</x:v>
      </x:c>
      <x:c r="S173" s="501" t="n">
        <x:f>IF(E173=0,"",Q173*$R$5+R173*$R$6)</x:f>
        <x:v>7.2727272727272725</x:v>
      </x:c>
      <x:c r="T173" s="501" t="n">
        <x:f>IF(M173=0,"",IFERROR(100*(COUNTIFS($M$19:$M$186,"&gt;0",$G$19:$G$186,"&gt;"&amp;G173)+(COUNTIFS($M$19:$M$186,"&gt;0",$G$19:$G$186,G173)-1)/2)/(COUNTIF($M$19:$M$186,"&gt;0")-1),50))</x:f>
        <x:v>84.1880341880342</x:v>
      </x:c>
      <x:c r="U173" s="501" t="n">
        <x:f>IF(M173=0,"",IFERROR(100*(COUNTIFS($M$19:$M$186,"&gt;0",$M$19:$M$186,"&lt;"&amp;M173)+(COUNTIFS($M$19:$M$186,"&gt;0",$M$19:$M$186,M173)-1)/2)/(COUNTIF($M$19:$M$186,"&gt;0")-1),50))</x:f>
        <x:v>84.1880341880342</x:v>
      </x:c>
      <x:c r="V173" s="501" t="n">
        <x:f>IF(M173=0,"",T173*$R$5+U173*$R$6)</x:f>
        <x:v>84.18803418803418</x:v>
      </x:c>
      <x:c r="W173" s="431" t="n">
        <x:f>IF(E173=0,"",COUNTIFS($A$19:$A$186,A173,$S$19:$S$186,"&gt;"&amp;S173)+COUNTIFS($A$19:A173,A173,$E$19:E173,"&gt;0",$S$19:S173,S173))</x:f>
        <x:v>20</x:v>
      </x:c>
      <x:c r="X173" s="431" t="n">
        <x:f>IF(S173="","",1+COUNTIF($S$19:$S$186,"&gt;"&amp;S173))</x:f>
        <x:v>143</x:v>
      </x:c>
      <x:c r="Y173" s="431" t="n">
        <x:f>IF(V173="","",1+COUNTIFS($A$19:$A$186,A173,$V$19:$V$186,"&gt;"&amp;V173))</x:f>
        <x:v>2</x:v>
      </x:c>
      <x:c r="Z173" s="431" t="n">
        <x:f>IF(V173="","",1+COUNTIF($V$19:$V$186,"&gt;"&amp;V173))</x:f>
        <x:v>18</x:v>
      </x:c>
      <x:c r="AA173" s="430" t="str">
        <x:f>IF(C173=0,"No specialisations recorded",IF(D173&lt;C173,"Review missing level","Recorded skills only"))</x:f>
        <x:v>Recorded skills only</x:v>
      </x:c>
      <x:c r="AB173" s="601" t="n">
        <x:f>IF(OR(AP173&lt;&gt;"Yes",E173=0),"",IFERROR(100*(COUNTIFS($AP$19:$AP$186,"Yes",$E$19:$E$186,"&gt;0",$I$19:$I$186,"&lt;"&amp;I173)+(COUNTIFS($AP$19:$AP$186,"Yes",$E$19:$E$186,"&gt;0",$I$19:$I$186,I173)-1)/2)/(COUNTIFS($AP$19:$AP$186,"Yes",$E$19:$E$186,"&gt;0")-1),50))</x:f>
        <x:v>35.38961038961039</x:v>
      </x:c>
      <x:c r="AC173" s="601" t="n">
        <x:f>IF(AB173="","",AB173*'Specialisation Rankings'!$O$16+R173*'Specialisation Rankings'!$O$17)</x:f>
        <x:v>29.350649350649352</x:v>
      </x:c>
      <x:c r="AD173" s="601" t="n">
        <x:f>IF(AC173="","",COUNTIFS($A$19:$A$186,A173,$AP$19:$AP$186,"Yes",$E$19:$E$186,"&gt;0",$AC$19:$AC$186,"&gt;"&amp;AC173)+COUNTIFS($A$19:A173,A173,$AP$19:AP173,"Yes",$E$19:E173,"&gt;0",$AC$19:AC173,AC173))</x:f>
        <x:v>20</x:v>
      </x:c>
      <x:c r="AE173" s="601" t="n">
        <x:f>IF(OR(AP173&lt;&gt;"Yes",E173=0),"",IFERROR(100*(COUNTIFS($AP$19:$AP$186,"Yes",$E$19:$E$186,"&gt;0",$H$19:$H$186,"&lt;"&amp;H173)+(COUNTIFS($AP$19:$AP$186,"Yes",$E$19:$E$186,"&gt;0",$H$19:$H$186,H173)-1)/2)/(COUNTIFS($AP$19:$AP$186,"Yes",$E$19:$E$186,"&gt;0")-1),50))</x:f>
        <x:v>11.688311688311689</x:v>
      </x:c>
      <x:c r="AF173" s="601" t="n">
        <x:f>IF(AE173="","",AE173*'Specialisation Rankings'!$O$16+R173*'Specialisation Rankings'!$O$17)</x:f>
        <x:v>10.389610389610391</x:v>
      </x:c>
      <x:c r="AG173" s="601" t="n">
        <x:f>IF(AF173="","",COUNTIFS($A$19:$A$186,A173,$AP$19:$AP$186,"Yes",$E$19:$E$186,"&gt;0",$AF$19:$AF$186,"&gt;"&amp;AF173)+COUNTIFS($A$19:A173,A173,$AP$19:AP173,"Yes",$E$19:E173,"&gt;0",$AF$19:AF173,AF173))</x:f>
        <x:v>20</x:v>
      </x:c>
      <x:c r="AH173" s="601" t="n">
        <x:f>IF(OR(AP173&lt;&gt;"Yes",E173=0),"",IFERROR(100*(COUNTIFS($AP$19:$AP$186,"Yes",$E$19:$E$186,"&gt;0",$J$19:$J$186,"&lt;"&amp;J173)+(COUNTIFS($AP$19:$AP$186,"Yes",$E$19:$E$186,"&gt;0",$J$19:$J$186,J173)-1)/2)/(COUNTIFS($AP$19:$AP$186,"Yes",$E$19:$E$186,"&gt;0")-1),50))</x:f>
        <x:v>33.116883116883116</x:v>
      </x:c>
      <x:c r="AI173" s="601" t="n">
        <x:f>IF(AH173="","",AH173*'Specialisation Rankings'!$O$16+R173*'Specialisation Rankings'!$O$17)</x:f>
        <x:v>27.532467532467532</x:v>
      </x:c>
      <x:c r="AJ173" s="601" t="n">
        <x:f>IF(AI173="","",COUNTIFS($A$19:$A$186,A173,$AP$19:$AP$186,"Yes",$E$19:$E$186,"&gt;0",$AI$19:$AI$186,"&gt;"&amp;AI173)+COUNTIFS($A$19:A173,A173,$AP$19:AP173,"Yes",$E$19:E173,"&gt;0",$AI$19:AI173,AI173))</x:f>
        <x:v>20</x:v>
      </x:c>
      <x:c r="AK173" s="601" t="n">
        <x:f>IF(OR(AP173&lt;&gt;"Yes",E173=0),"",IF(M173=0,'Specialisation Rankings'!$O$23,V173))</x:f>
        <x:v>84.18803418803418</x:v>
      </x:c>
      <x:c r="AL173" s="601" t="n">
        <x:f>IF(AK173="","",COUNTIFS($A$19:$A$186,A173,$AP$19:$AP$186,"Yes",$E$19:$E$186,"&gt;0",$AK$19:$AK$186,"&gt;"&amp;AK173)+COUNTIFS($A$19:A173,A173,$AP$19:AP173,"Yes",$E$19:E173,"&gt;0",$AK$19:AK173,AK173))</x:f>
        <x:v>2</x:v>
      </x:c>
      <x:c r="AM173" s="601" t="n">
        <x:f>IF(AC173="","",AC173*'Specialisation Rankings'!$O$18+AF173*'Specialisation Rankings'!$O$19+AI173*'Specialisation Rankings'!$O$20+AK173*'Specialisation Rankings'!$O$21)</x:f>
        <x:v>32.665556665556664</x:v>
      </x:c>
      <x:c r="AN173" s="601" t="n">
        <x:f>IF(AM173="","",COUNTIFS($A$19:$A$186,A173,$AP$19:$AP$186,"Yes",$E$19:$E$186,"&gt;0",$AM$19:$AM$186,"&gt;"&amp;AM173)+COUNTIFS($A$19:A173,A173,$AP$19:AP173,"Yes",$E$19:E173,"&gt;0",$AM$19:AM173,AM173))</x:f>
        <x:v>20</x:v>
      </x:c>
      <x:c r="AO173" s="601" t="n">
        <x:f>IF(AM173="","",COUNTIFS($AP$19:$AP$186,"Yes",$E$19:$E$186,"&gt;0",$AM$19:$AM$186,"&gt;"&amp;AM173)+COUNTIFS($AP$19:AP173,"Yes",$E$19:E173,"&gt;0",$AM$19:AM173,AM173))</x:f>
        <x:v>113</x:v>
      </x:c>
      <x:c r="AP173" s="602" t="str">
        <x:f>IF(COUNTIFS('Player Scenario Model'!$A$6:$A$172,A173,'Player Scenario Model'!$B$6:$B$172,B173)&gt;0,"Yes","No")</x:f>
        <x:v>Yes</x:v>
      </x:c>
    </x:row>
    <x:row r="174" ht="24" customHeight="1">
      <x:c r="A174" s="430" t="str">
        <x:v>K176</x:v>
      </x:c>
      <x:c r="B174" s="430" t="str">
        <x:v>老黑黑</x:v>
      </x:c>
      <x:c r="C174" s="431" t="n">
        <x:f>COUNTIFS('Specialisations'!$A$6:$A$527,A174,'Specialisations'!$B$6:$B$527,B174)</x:f>
        <x:v>5</x:v>
      </x:c>
      <x:c r="D174" s="431" t="n">
        <x:f>COUNTIFS('Specialisations'!$A$6:$A$527,A174,'Specialisations'!$B$6:$B$527,B174,'Specialisations'!$P$6:$P$527,"OK")</x:f>
        <x:v>5</x:v>
      </x:c>
      <x:c r="E174" s="431" t="n">
        <x:f>COUNTIFS('Specialisations'!$A$6:$A$527,A174,'Specialisations'!$B$6:$B$527,B174,'Specialisations'!$P$6:$P$527,"OK",'Specialisations'!$C$6:$C$527,"&lt;&gt;Guards")</x:f>
        <x:v>4</x:v>
      </x:c>
      <x:c r="F174" s="432" t="n">
        <x:f>IF(C174=0,"",D174/C174)</x:f>
        <x:v>1</x:v>
      </x:c>
      <x:c r="G174" s="495" t="n">
        <x:f>SUMIFS('Specialisations'!$Q$6:$Q$527,'Specialisations'!$A$6:$A$527,A174,'Specialisations'!$B$6:$B$527,B174,'Specialisations'!$C$6:$C$527,"Guards")</x:f>
        <x:v>-41.98</x:v>
      </x:c>
      <x:c r="H174" s="495" t="n">
        <x:f>SUMIFS('Specialisations'!$Q$6:$Q$527,'Specialisations'!$A$6:$A$527,A174,'Specialisations'!$B$6:$B$527,B174,'Specialisations'!$C$6:$C$527,"Archers")</x:f>
        <x:v>41.98</x:v>
      </x:c>
      <x:c r="I174" s="495" t="n">
        <x:f>SUMIFS('Specialisations'!$Q$6:$Q$527,'Specialisations'!$A$6:$A$527,A174,'Specialisations'!$B$6:$B$527,B174,'Specialisations'!$C$6:$C$527,"Cavalry")</x:f>
        <x:v>81.91</x:v>
      </x:c>
      <x:c r="J174" s="495" t="n">
        <x:f>SUMIFS('Specialisations'!$Q$6:$Q$527,'Specialisations'!$A$6:$A$527,A174,'Specialisations'!$B$6:$B$527,B174,'Specialisations'!$C$6:$C$527,"Siege")</x:f>
        <x:v>6.11</x:v>
      </x:c>
      <x:c r="K174" s="495" t="n">
        <x:f>SUM(H174:J174)</x:f>
        <x:v>130</x:v>
      </x:c>
      <x:c r="L174" s="495" t="n">
        <x:f>SUM(G174,K174)</x:f>
        <x:v>88.02000000000001</x:v>
      </x:c>
      <x:c r="M174" s="433" t="n">
        <x:f>SUMIFS('Specialisations'!$N$6:$N$527,'Specialisations'!$A$6:$A$527,A174,'Specialisations'!$B$6:$B$527,B174,'Specialisations'!$C$6:$C$527,"Guards")</x:f>
        <x:v>4284300</x:v>
      </x:c>
      <x:c r="N174" s="433" t="n">
        <x:f>SUMIFS('Specialisations'!$N$6:$N$527,'Specialisations'!$A$6:$A$527,A174,'Specialisations'!$B$6:$B$527,B174,'Specialisations'!$C$6:$C$527,"&lt;&gt;Guards")</x:f>
        <x:v>12717200</x:v>
      </x:c>
      <x:c r="O174" s="433" t="n">
        <x:f>SUM(M174:N174)</x:f>
        <x:v>17001500</x:v>
      </x:c>
      <x:c r="P174" s="434" t="n">
        <x:f>IF(E174=0,"",K174/E174)</x:f>
        <x:v>32.5</x:v>
      </x:c>
      <x:c r="Q174" s="501" t="n">
        <x:f>IF(E174=0,"",IFERROR(100*(COUNTIFS($E$19:$E$186,"&gt;0",$K$19:$K$186,"&lt;"&amp;K174)+(COUNTIFS($E$19:$E$186,"&gt;0",$K$19:$K$186,K174)-1)/2)/(COUNTIF($E$19:$E$186,"&gt;0")-1),50))</x:f>
        <x:v>77.92207792207792</x:v>
      </x:c>
      <x:c r="R174" s="501" t="n">
        <x:f>IF(E174=0,"",IFERROR(100*(COUNTIFS($E$19:$E$186,"&gt;0",$N$19:$N$186,"&lt;"&amp;N174)+(COUNTIFS($E$19:$E$186,"&gt;0",$N$19:$N$186,N174)-1)/2)/(COUNTIF($E$19:$E$186,"&gt;0")-1),50))</x:f>
        <x:v>64.28571428571429</x:v>
      </x:c>
      <x:c r="S174" s="501" t="n">
        <x:f>IF(E174=0,"",Q174*$R$5+R174*$R$6)</x:f>
        <x:v>75.1948051948052</x:v>
      </x:c>
      <x:c r="T174" s="501" t="n">
        <x:f>IF(M174=0,"",IFERROR(100*(COUNTIFS($M$19:$M$186,"&gt;0",$G$19:$G$186,"&gt;"&amp;G174)+(COUNTIFS($M$19:$M$186,"&gt;0",$G$19:$G$186,G174)-1)/2)/(COUNTIF($M$19:$M$186,"&gt;0")-1),50))</x:f>
        <x:v>60.256410256410255</x:v>
      </x:c>
      <x:c r="U174" s="501" t="n">
        <x:f>IF(M174=0,"",IFERROR(100*(COUNTIFS($M$19:$M$186,"&gt;0",$M$19:$M$186,"&lt;"&amp;M174)+(COUNTIFS($M$19:$M$186,"&gt;0",$M$19:$M$186,M174)-1)/2)/(COUNTIF($M$19:$M$186,"&gt;0")-1),50))</x:f>
        <x:v>60.256410256410255</x:v>
      </x:c>
      <x:c r="V174" s="501" t="n">
        <x:f>IF(M174=0,"",T174*$R$5+U174*$R$6)</x:f>
        <x:v>60.25641025641025</x:v>
      </x:c>
      <x:c r="W174" s="431" t="n">
        <x:f>IF(E174=0,"",COUNTIFS($A$19:$A$186,A174,$S$19:$S$186,"&gt;"&amp;S174)+COUNTIFS($A$19:A174,A174,$E$19:E174,"&gt;0",$S$19:S174,S174))</x:f>
        <x:v>9</x:v>
      </x:c>
      <x:c r="X174" s="431" t="n">
        <x:f>IF(S174="","",1+COUNTIF($S$19:$S$186,"&gt;"&amp;S174))</x:f>
        <x:v>41</x:v>
      </x:c>
      <x:c r="Y174" s="431" t="n">
        <x:f>IF(V174="","",1+COUNTIFS($A$19:$A$186,A174,$V$19:$V$186,"&gt;"&amp;V174))</x:f>
        <x:v>6</x:v>
      </x:c>
      <x:c r="Z174" s="431" t="n">
        <x:f>IF(V174="","",1+COUNTIF($V$19:$V$186,"&gt;"&amp;V174))</x:f>
        <x:v>35</x:v>
      </x:c>
      <x:c r="AA174" s="430" t="str">
        <x:f>IF(C174=0,"No specialisations recorded",IF(D174&lt;C174,"Review missing level","Recorded skills only"))</x:f>
        <x:v>Recorded skills only</x:v>
      </x:c>
      <x:c r="AB174" s="601" t="n">
        <x:f>IF(OR(AP174&lt;&gt;"Yes",E174=0),"",IFERROR(100*(COUNTIFS($AP$19:$AP$186,"Yes",$E$19:$E$186,"&gt;0",$I$19:$I$186,"&lt;"&amp;I174)+(COUNTIFS($AP$19:$AP$186,"Yes",$E$19:$E$186,"&gt;0",$I$19:$I$186,I174)-1)/2)/(COUNTIFS($AP$19:$AP$186,"Yes",$E$19:$E$186,"&gt;0")-1),50))</x:f>
        <x:v>66.23376623376623</x:v>
      </x:c>
      <x:c r="AC174" s="601" t="n">
        <x:f>IF(AB174="","",AB174*'Specialisation Rankings'!$O$16+R174*'Specialisation Rankings'!$O$17)</x:f>
        <x:v>65.84415584415585</x:v>
      </x:c>
      <x:c r="AD174" s="601" t="n">
        <x:f>IF(AC174="","",COUNTIFS($A$19:$A$186,A174,$AP$19:$AP$186,"Yes",$E$19:$E$186,"&gt;0",$AC$19:$AC$186,"&gt;"&amp;AC174)+COUNTIFS($A$19:A174,A174,$AP$19:AP174,"Yes",$E$19:E174,"&gt;0",$AC$19:AC174,AC174))</x:f>
        <x:v>13</x:v>
      </x:c>
      <x:c r="AE174" s="601" t="n">
        <x:f>IF(OR(AP174&lt;&gt;"Yes",E174=0),"",IFERROR(100*(COUNTIFS($AP$19:$AP$186,"Yes",$E$19:$E$186,"&gt;0",$H$19:$H$186,"&lt;"&amp;H174)+(COUNTIFS($AP$19:$AP$186,"Yes",$E$19:$E$186,"&gt;0",$H$19:$H$186,H174)-1)/2)/(COUNTIFS($AP$19:$AP$186,"Yes",$E$19:$E$186,"&gt;0")-1),50))</x:f>
        <x:v>68.50649350649351</x:v>
      </x:c>
      <x:c r="AF174" s="601" t="n">
        <x:f>IF(AE174="","",AE174*'Specialisation Rankings'!$O$16+R174*'Specialisation Rankings'!$O$17)</x:f>
        <x:v>67.66233766233768</x:v>
      </x:c>
      <x:c r="AG174" s="601" t="n">
        <x:f>IF(AF174="","",COUNTIFS($A$19:$A$186,A174,$AP$19:$AP$186,"Yes",$E$19:$E$186,"&gt;0",$AF$19:$AF$186,"&gt;"&amp;AF174)+COUNTIFS($A$19:A174,A174,$AP$19:AP174,"Yes",$E$19:E174,"&gt;0",$AF$19:AF174,AF174))</x:f>
        <x:v>2</x:v>
      </x:c>
      <x:c r="AH174" s="601" t="n">
        <x:f>IF(OR(AP174&lt;&gt;"Yes",E174=0),"",IFERROR(100*(COUNTIFS($AP$19:$AP$186,"Yes",$E$19:$E$186,"&gt;0",$J$19:$J$186,"&lt;"&amp;J174)+(COUNTIFS($AP$19:$AP$186,"Yes",$E$19:$E$186,"&gt;0",$J$19:$J$186,J174)-1)/2)/(COUNTIFS($AP$19:$AP$186,"Yes",$E$19:$E$186,"&gt;0")-1),50))</x:f>
        <x:v>69.15584415584415</x:v>
      </x:c>
      <x:c r="AI174" s="601" t="n">
        <x:f>IF(AH174="","",AH174*'Specialisation Rankings'!$O$16+R174*'Specialisation Rankings'!$O$17)</x:f>
        <x:v>68.18181818181819</x:v>
      </x:c>
      <x:c r="AJ174" s="601" t="n">
        <x:f>IF(AI174="","",COUNTIFS($A$19:$A$186,A174,$AP$19:$AP$186,"Yes",$E$19:$E$186,"&gt;0",$AI$19:$AI$186,"&gt;"&amp;AI174)+COUNTIFS($A$19:A174,A174,$AP$19:AP174,"Yes",$E$19:E174,"&gt;0",$AI$19:AI174,AI174))</x:f>
        <x:v>13</x:v>
      </x:c>
      <x:c r="AK174" s="601" t="n">
        <x:f>IF(OR(AP174&lt;&gt;"Yes",E174=0),"",IF(M174=0,'Specialisation Rankings'!$O$23,V174))</x:f>
        <x:v>60.25641025641025</x:v>
      </x:c>
      <x:c r="AL174" s="601" t="n">
        <x:f>IF(AK174="","",COUNTIFS($A$19:$A$186,A174,$AP$19:$AP$186,"Yes",$E$19:$E$186,"&gt;0",$AK$19:$AK$186,"&gt;"&amp;AK174)+COUNTIFS($A$19:A174,A174,$AP$19:AP174,"Yes",$E$19:E174,"&gt;0",$AK$19:AK174,AK174))</x:f>
        <x:v>14</x:v>
      </x:c>
      <x:c r="AM174" s="601" t="n">
        <x:f>IF(AC174="","",AC174*'Specialisation Rankings'!$O$18+AF174*'Specialisation Rankings'!$O$19+AI174*'Specialisation Rankings'!$O$20+AK174*'Specialisation Rankings'!$O$21)</x:f>
        <x:v>65.81784881784883</x:v>
      </x:c>
      <x:c r="AN174" s="601" t="n">
        <x:f>IF(AM174="","",COUNTIFS($A$19:$A$186,A174,$AP$19:$AP$186,"Yes",$E$19:$E$186,"&gt;0",$AM$19:$AM$186,"&gt;"&amp;AM174)+COUNTIFS($A$19:A174,A174,$AP$19:AP174,"Yes",$E$19:E174,"&gt;0",$AM$19:AM174,AM174))</x:f>
        <x:v>11</x:v>
      </x:c>
      <x:c r="AO174" s="601" t="n">
        <x:f>IF(AM174="","",COUNTIFS($AP$19:$AP$186,"Yes",$E$19:$E$186,"&gt;0",$AM$19:$AM$186,"&gt;"&amp;AM174)+COUNTIFS($AP$19:AP174,"Yes",$E$19:E174,"&gt;0",$AM$19:AM174,AM174))</x:f>
        <x:v>44</x:v>
      </x:c>
      <x:c r="AP174" s="602" t="str">
        <x:f>IF(COUNTIFS('Player Scenario Model'!$A$6:$A$172,A174,'Player Scenario Model'!$B$6:$B$172,B174)&gt;0,"Yes","No")</x:f>
        <x:v>Yes</x:v>
      </x:c>
    </x:row>
    <x:row r="175" ht="24" customHeight="1">
      <x:c r="A175" s="430" t="str">
        <x:v>K176</x:v>
      </x:c>
      <x:c r="B175" s="430" t="str">
        <x:v>温不胜</x:v>
      </x:c>
      <x:c r="C175" s="431" t="n">
        <x:f>COUNTIFS('Specialisations'!$A$6:$A$527,A175,'Specialisations'!$B$6:$B$527,B175)</x:f>
        <x:v>2</x:v>
      </x:c>
      <x:c r="D175" s="431" t="n">
        <x:f>COUNTIFS('Specialisations'!$A$6:$A$527,A175,'Specialisations'!$B$6:$B$527,B175,'Specialisations'!$P$6:$P$527,"OK")</x:f>
        <x:v>2</x:v>
      </x:c>
      <x:c r="E175" s="431" t="n">
        <x:f>COUNTIFS('Specialisations'!$A$6:$A$527,A175,'Specialisations'!$B$6:$B$527,B175,'Specialisations'!$P$6:$P$527,"OK",'Specialisations'!$C$6:$C$527,"&lt;&gt;Guards")</x:f>
        <x:v>1</x:v>
      </x:c>
      <x:c r="F175" s="432" t="n">
        <x:f>IF(C175=0,"",D175/C175)</x:f>
        <x:v>1</x:v>
      </x:c>
      <x:c r="G175" s="495" t="n">
        <x:f>SUMIFS('Specialisations'!$Q$6:$Q$527,'Specialisations'!$A$6:$A$527,A175,'Specialisations'!$B$6:$B$527,B175,'Specialisations'!$C$6:$C$527,"Guards")</x:f>
        <x:v>-41.98</x:v>
      </x:c>
      <x:c r="H175" s="495" t="n">
        <x:f>SUMIFS('Specialisations'!$Q$6:$Q$527,'Specialisations'!$A$6:$A$527,A175,'Specialisations'!$B$6:$B$527,B175,'Specialisations'!$C$6:$C$527,"Archers")</x:f>
        <x:v>0</x:v>
      </x:c>
      <x:c r="I175" s="495" t="n">
        <x:f>SUMIFS('Specialisations'!$Q$6:$Q$527,'Specialisations'!$A$6:$A$527,A175,'Specialisations'!$B$6:$B$527,B175,'Specialisations'!$C$6:$C$527,"Cavalry")</x:f>
        <x:v>55.2</x:v>
      </x:c>
      <x:c r="J175" s="495" t="n">
        <x:f>SUMIFS('Specialisations'!$Q$6:$Q$527,'Specialisations'!$A$6:$A$527,A175,'Specialisations'!$B$6:$B$527,B175,'Specialisations'!$C$6:$C$527,"Siege")</x:f>
        <x:v>0</x:v>
      </x:c>
      <x:c r="K175" s="495" t="n">
        <x:f>SUM(H175:J175)</x:f>
        <x:v>55.2</x:v>
      </x:c>
      <x:c r="L175" s="495" t="n">
        <x:f>SUM(G175,K175)</x:f>
        <x:v>13.220000000000006</x:v>
      </x:c>
      <x:c r="M175" s="433" t="n">
        <x:f>SUMIFS('Specialisations'!$N$6:$N$527,'Specialisations'!$A$6:$A$527,A175,'Specialisations'!$B$6:$B$527,B175,'Specialisations'!$C$6:$C$527,"Guards")</x:f>
        <x:v>4284300</x:v>
      </x:c>
      <x:c r="N175" s="433" t="n">
        <x:f>SUMIFS('Specialisations'!$N$6:$N$527,'Specialisations'!$A$6:$A$527,A175,'Specialisations'!$B$6:$B$527,B175,'Specialisations'!$C$6:$C$527,"&lt;&gt;Guards")</x:f>
        <x:v>8334300</x:v>
      </x:c>
      <x:c r="O175" s="433" t="n">
        <x:f>SUM(M175:N175)</x:f>
        <x:v>12618600</x:v>
      </x:c>
      <x:c r="P175" s="434" t="n">
        <x:f>IF(E175=0,"",K175/E175)</x:f>
        <x:v>55.2</x:v>
      </x:c>
      <x:c r="Q175" s="501" t="n">
        <x:f>IF(E175=0,"",IFERROR(100*(COUNTIFS($E$19:$E$186,"&gt;0",$K$19:$K$186,"&lt;"&amp;K175)+(COUNTIFS($E$19:$E$186,"&gt;0",$K$19:$K$186,K175)-1)/2)/(COUNTIF($E$19:$E$186,"&gt;0")-1),50))</x:f>
        <x:v>14.285714285714286</x:v>
      </x:c>
      <x:c r="R175" s="501" t="n">
        <x:f>IF(E175=0,"",IFERROR(100*(COUNTIFS($E$19:$E$186,"&gt;0",$N$19:$N$186,"&lt;"&amp;N175)+(COUNTIFS($E$19:$E$186,"&gt;0",$N$19:$N$186,N175)-1)/2)/(COUNTIF($E$19:$E$186,"&gt;0")-1),50))</x:f>
        <x:v>29.87012987012987</x:v>
      </x:c>
      <x:c r="S175" s="501" t="n">
        <x:f>IF(E175=0,"",Q175*$R$5+R175*$R$6)</x:f>
        <x:v>17.402597402597404</x:v>
      </x:c>
      <x:c r="T175" s="501" t="n">
        <x:f>IF(M175=0,"",IFERROR(100*(COUNTIFS($M$19:$M$186,"&gt;0",$G$19:$G$186,"&gt;"&amp;G175)+(COUNTIFS($M$19:$M$186,"&gt;0",$G$19:$G$186,G175)-1)/2)/(COUNTIF($M$19:$M$186,"&gt;0")-1),50))</x:f>
        <x:v>60.256410256410255</x:v>
      </x:c>
      <x:c r="U175" s="501" t="n">
        <x:f>IF(M175=0,"",IFERROR(100*(COUNTIFS($M$19:$M$186,"&gt;0",$M$19:$M$186,"&lt;"&amp;M175)+(COUNTIFS($M$19:$M$186,"&gt;0",$M$19:$M$186,M175)-1)/2)/(COUNTIF($M$19:$M$186,"&gt;0")-1),50))</x:f>
        <x:v>60.256410256410255</x:v>
      </x:c>
      <x:c r="V175" s="501" t="n">
        <x:f>IF(M175=0,"",T175*$R$5+U175*$R$6)</x:f>
        <x:v>60.25641025641025</x:v>
      </x:c>
      <x:c r="W175" s="431" t="n">
        <x:f>IF(E175=0,"",COUNTIFS($A$19:$A$186,A175,$S$19:$S$186,"&gt;"&amp;S175)+COUNTIFS($A$19:A175,A175,$E$19:E175,"&gt;0",$S$19:S175,S175))</x:f>
        <x:v>19</x:v>
      </x:c>
      <x:c r="X175" s="431" t="n">
        <x:f>IF(S175="","",1+COUNTIF($S$19:$S$186,"&gt;"&amp;S175))</x:f>
        <x:v>128</x:v>
      </x:c>
      <x:c r="Y175" s="431" t="n">
        <x:f>IF(V175="","",1+COUNTIFS($A$19:$A$186,A175,$V$19:$V$186,"&gt;"&amp;V175))</x:f>
        <x:v>6</x:v>
      </x:c>
      <x:c r="Z175" s="431" t="n">
        <x:f>IF(V175="","",1+COUNTIF($V$19:$V$186,"&gt;"&amp;V175))</x:f>
        <x:v>35</x:v>
      </x:c>
      <x:c r="AA175" s="430" t="str">
        <x:f>IF(C175=0,"No specialisations recorded",IF(D175&lt;C175,"Review missing level","Recorded skills only"))</x:f>
        <x:v>Recorded skills only</x:v>
      </x:c>
      <x:c r="AB175" s="601" t="n">
        <x:f>IF(OR(AP175&lt;&gt;"Yes",E175=0),"",IFERROR(100*(COUNTIFS($AP$19:$AP$186,"Yes",$E$19:$E$186,"&gt;0",$I$19:$I$186,"&lt;"&amp;I175)+(COUNTIFS($AP$19:$AP$186,"Yes",$E$19:$E$186,"&gt;0",$I$19:$I$186,I175)-1)/2)/(COUNTIFS($AP$19:$AP$186,"Yes",$E$19:$E$186,"&gt;0")-1),50))</x:f>
        <x:v>42.20779220779221</x:v>
      </x:c>
      <x:c r="AC175" s="601" t="n">
        <x:f>IF(AB175="","",AB175*'Specialisation Rankings'!$O$16+R175*'Specialisation Rankings'!$O$17)</x:f>
        <x:v>39.740259740259745</x:v>
      </x:c>
      <x:c r="AD175" s="601" t="n">
        <x:f>IF(AC175="","",COUNTIFS($A$19:$A$186,A175,$AP$19:$AP$186,"Yes",$E$19:$E$186,"&gt;0",$AC$19:$AC$186,"&gt;"&amp;AC175)+COUNTIFS($A$19:A175,A175,$AP$19:AP175,"Yes",$E$19:E175,"&gt;0",$AC$19:AC175,AC175))</x:f>
        <x:v>18</x:v>
      </x:c>
      <x:c r="AE175" s="601" t="n">
        <x:f>IF(OR(AP175&lt;&gt;"Yes",E175=0),"",IFERROR(100*(COUNTIFS($AP$19:$AP$186,"Yes",$E$19:$E$186,"&gt;0",$H$19:$H$186,"&lt;"&amp;H175)+(COUNTIFS($AP$19:$AP$186,"Yes",$E$19:$E$186,"&gt;0",$H$19:$H$186,H175)-1)/2)/(COUNTIFS($AP$19:$AP$186,"Yes",$E$19:$E$186,"&gt;0")-1),50))</x:f>
        <x:v>11.688311688311689</x:v>
      </x:c>
      <x:c r="AF175" s="601" t="n">
        <x:f>IF(AE175="","",AE175*'Specialisation Rankings'!$O$16+R175*'Specialisation Rankings'!$O$17)</x:f>
        <x:v>15.324675324675326</x:v>
      </x:c>
      <x:c r="AG175" s="601" t="n">
        <x:f>IF(AF175="","",COUNTIFS($A$19:$A$186,A175,$AP$19:$AP$186,"Yes",$E$19:$E$186,"&gt;0",$AF$19:$AF$186,"&gt;"&amp;AF175)+COUNTIFS($A$19:A175,A175,$AP$19:AP175,"Yes",$E$19:E175,"&gt;0",$AF$19:AF175,AF175))</x:f>
        <x:v>18</x:v>
      </x:c>
      <x:c r="AH175" s="601" t="n">
        <x:f>IF(OR(AP175&lt;&gt;"Yes",E175=0),"",IFERROR(100*(COUNTIFS($AP$19:$AP$186,"Yes",$E$19:$E$186,"&gt;0",$J$19:$J$186,"&lt;"&amp;J175)+(COUNTIFS($AP$19:$AP$186,"Yes",$E$19:$E$186,"&gt;0",$J$19:$J$186,J175)-1)/2)/(COUNTIFS($AP$19:$AP$186,"Yes",$E$19:$E$186,"&gt;0")-1),50))</x:f>
        <x:v>33.116883116883116</x:v>
      </x:c>
      <x:c r="AI175" s="601" t="n">
        <x:f>IF(AH175="","",AH175*'Specialisation Rankings'!$O$16+R175*'Specialisation Rankings'!$O$17)</x:f>
        <x:v>32.467532467532465</x:v>
      </x:c>
      <x:c r="AJ175" s="601" t="n">
        <x:f>IF(AI175="","",COUNTIFS($A$19:$A$186,A175,$AP$19:$AP$186,"Yes",$E$19:$E$186,"&gt;0",$AI$19:$AI$186,"&gt;"&amp;AI175)+COUNTIFS($A$19:A175,A175,$AP$19:AP175,"Yes",$E$19:E175,"&gt;0",$AI$19:AI175,AI175))</x:f>
        <x:v>18</x:v>
      </x:c>
      <x:c r="AK175" s="601" t="n">
        <x:f>IF(OR(AP175&lt;&gt;"Yes",E175=0),"",IF(M175=0,'Specialisation Rankings'!$O$23,V175))</x:f>
        <x:v>60.25641025641025</x:v>
      </x:c>
      <x:c r="AL175" s="601" t="n">
        <x:f>IF(AK175="","",COUNTIFS($A$19:$A$186,A175,$AP$19:$AP$186,"Yes",$E$19:$E$186,"&gt;0",$AK$19:$AK$186,"&gt;"&amp;AK175)+COUNTIFS($A$19:A175,A175,$AP$19:AP175,"Yes",$E$19:E175,"&gt;0",$AK$19:AK175,AK175))</x:f>
        <x:v>15</x:v>
      </x:c>
      <x:c r="AM175" s="601" t="n">
        <x:f>IF(AC175="","",AC175*'Specialisation Rankings'!$O$18+AF175*'Specialisation Rankings'!$O$19+AI175*'Specialisation Rankings'!$O$20+AK175*'Specialisation Rankings'!$O$21)</x:f>
        <x:v>38.25940725940727</x:v>
      </x:c>
      <x:c r="AN175" s="601" t="n">
        <x:f>IF(AM175="","",COUNTIFS($A$19:$A$186,A175,$AP$19:$AP$186,"Yes",$E$19:$E$186,"&gt;0",$AM$19:$AM$186,"&gt;"&amp;AM175)+COUNTIFS($A$19:A175,A175,$AP$19:AP175,"Yes",$E$19:E175,"&gt;0",$AM$19:AM175,AM175))</x:f>
        <x:v>19</x:v>
      </x:c>
      <x:c r="AO175" s="601" t="n">
        <x:f>IF(AM175="","",COUNTIFS($AP$19:$AP$186,"Yes",$E$19:$E$186,"&gt;0",$AM$19:$AM$186,"&gt;"&amp;AM175)+COUNTIFS($AP$19:AP175,"Yes",$E$19:E175,"&gt;0",$AM$19:AM175,AM175))</x:f>
        <x:v>99</x:v>
      </x:c>
      <x:c r="AP175" s="602" t="str">
        <x:f>IF(COUNTIFS('Player Scenario Model'!$A$6:$A$172,A175,'Player Scenario Model'!$B$6:$B$172,B175)&gt;0,"Yes","No")</x:f>
        <x:v>Yes</x:v>
      </x:c>
    </x:row>
    <x:row r="176" ht="24" customHeight="1">
      <x:c r="A176" s="430" t="str">
        <x:v>K176</x:v>
      </x:c>
      <x:c r="B176" s="430" t="str">
        <x:v>我是贤熙</x:v>
      </x:c>
      <x:c r="C176" s="431" t="n">
        <x:f>COUNTIFS('Specialisations'!$A$6:$A$527,A176,'Specialisations'!$B$6:$B$527,B176)</x:f>
        <x:v>2</x:v>
      </x:c>
      <x:c r="D176" s="431" t="n">
        <x:f>COUNTIFS('Specialisations'!$A$6:$A$527,A176,'Specialisations'!$B$6:$B$527,B176,'Specialisations'!$P$6:$P$527,"OK")</x:f>
        <x:v>2</x:v>
      </x:c>
      <x:c r="E176" s="431" t="n">
        <x:f>COUNTIFS('Specialisations'!$A$6:$A$527,A176,'Specialisations'!$B$6:$B$527,B176,'Specialisations'!$P$6:$P$527,"OK",'Specialisations'!$C$6:$C$527,"&lt;&gt;Guards")</x:f>
        <x:v>2</x:v>
      </x:c>
      <x:c r="F176" s="432" t="n">
        <x:f>IF(C176=0,"",D176/C176)</x:f>
        <x:v>1</x:v>
      </x:c>
      <x:c r="G176" s="495" t="n">
        <x:f>SUMIFS('Specialisations'!$Q$6:$Q$527,'Specialisations'!$A$6:$A$527,A176,'Specialisations'!$B$6:$B$527,B176,'Specialisations'!$C$6:$C$527,"Guards")</x:f>
        <x:v>0</x:v>
      </x:c>
      <x:c r="H176" s="495" t="n">
        <x:f>SUMIFS('Specialisations'!$Q$6:$Q$527,'Specialisations'!$A$6:$A$527,A176,'Specialisations'!$B$6:$B$527,B176,'Specialisations'!$C$6:$C$527,"Archers")</x:f>
        <x:v>0</x:v>
      </x:c>
      <x:c r="I176" s="495" t="n">
        <x:f>SUMIFS('Specialisations'!$Q$6:$Q$527,'Specialisations'!$A$6:$A$527,A176,'Specialisations'!$B$6:$B$527,B176,'Specialisations'!$C$6:$C$527,"Cavalry")</x:f>
        <x:v>63.72</x:v>
      </x:c>
      <x:c r="J176" s="495" t="n">
        <x:f>SUMIFS('Specialisations'!$Q$6:$Q$527,'Specialisations'!$A$6:$A$527,A176,'Specialisations'!$B$6:$B$527,B176,'Specialisations'!$C$6:$C$527,"Siege")</x:f>
        <x:v>0</x:v>
      </x:c>
      <x:c r="K176" s="495" t="n">
        <x:f>SUM(H176:J176)</x:f>
        <x:v>63.72</x:v>
      </x:c>
      <x:c r="L176" s="495" t="n">
        <x:f>SUM(G176,K176)</x:f>
        <x:v>63.72</x:v>
      </x:c>
      <x:c r="M176" s="433" t="n">
        <x:f>SUMIFS('Specialisations'!$N$6:$N$527,'Specialisations'!$A$6:$A$527,A176,'Specialisations'!$B$6:$B$527,B176,'Specialisations'!$C$6:$C$527,"Guards")</x:f>
        <x:v>0</x:v>
      </x:c>
      <x:c r="N176" s="433" t="n">
        <x:f>SUMIFS('Specialisations'!$N$6:$N$527,'Specialisations'!$A$6:$A$527,A176,'Specialisations'!$B$6:$B$527,B176,'Specialisations'!$C$6:$C$527,"&lt;&gt;Guards")</x:f>
        <x:v>5488600</x:v>
      </x:c>
      <x:c r="O176" s="433" t="n">
        <x:f>SUM(M176:N176)</x:f>
        <x:v>5488600</x:v>
      </x:c>
      <x:c r="P176" s="434" t="n">
        <x:f>IF(E176=0,"",K176/E176)</x:f>
        <x:v>31.86</x:v>
      </x:c>
      <x:c r="Q176" s="501" t="n">
        <x:f>IF(E176=0,"",IFERROR(100*(COUNTIFS($E$19:$E$186,"&gt;0",$K$19:$K$186,"&lt;"&amp;K176)+(COUNTIFS($E$19:$E$186,"&gt;0",$K$19:$K$186,K176)-1)/2)/(COUNTIF($E$19:$E$186,"&gt;0")-1),50))</x:f>
        <x:v>30.194805194805195</x:v>
      </x:c>
      <x:c r="R176" s="501" t="n">
        <x:f>IF(E176=0,"",IFERROR(100*(COUNTIFS($E$19:$E$186,"&gt;0",$N$19:$N$186,"&lt;"&amp;N176)+(COUNTIFS($E$19:$E$186,"&gt;0",$N$19:$N$186,N176)-1)/2)/(COUNTIF($E$19:$E$186,"&gt;0")-1),50))</x:f>
        <x:v>15.25974025974026</x:v>
      </x:c>
      <x:c r="S176" s="501" t="n">
        <x:f>IF(E176=0,"",Q176*$R$5+R176*$R$6)</x:f>
        <x:v>27.20779220779221</x:v>
      </x:c>
      <x:c r="T176" s="501" t="str">
        <x:f>IF(M176=0,"",IFERROR(100*(COUNTIFS($M$19:$M$186,"&gt;0",$G$19:$G$186,"&gt;"&amp;G176)+(COUNTIFS($M$19:$M$186,"&gt;0",$G$19:$G$186,G176)-1)/2)/(COUNTIF($M$19:$M$186,"&gt;0")-1),50))</x:f>
      </x:c>
      <x:c r="U176" s="501" t="str">
        <x:f>IF(M176=0,"",IFERROR(100*(COUNTIFS($M$19:$M$186,"&gt;0",$M$19:$M$186,"&lt;"&amp;M176)+(COUNTIFS($M$19:$M$186,"&gt;0",$M$19:$M$186,M176)-1)/2)/(COUNTIF($M$19:$M$186,"&gt;0")-1),50))</x:f>
      </x:c>
      <x:c r="V176" s="501" t="str">
        <x:f>IF(M176=0,"",T176*$R$5+U176*$R$6)</x:f>
      </x:c>
      <x:c r="W176" s="431" t="n">
        <x:f>IF(E176=0,"",COUNTIFS($A$19:$A$186,A176,$S$19:$S$186,"&gt;"&amp;S176)+COUNTIFS($A$19:A176,A176,$E$19:E176,"&gt;0",$S$19:S176,S176))</x:f>
        <x:v>18</x:v>
      </x:c>
      <x:c r="X176" s="431" t="n">
        <x:f>IF(S176="","",1+COUNTIF($S$19:$S$186,"&gt;"&amp;S176))</x:f>
        <x:v>121</x:v>
      </x:c>
      <x:c r="Y176" s="431" t="str">
        <x:f>IF(V176="","",1+COUNTIFS($A$19:$A$186,A176,$V$19:$V$186,"&gt;"&amp;V176))</x:f>
      </x:c>
      <x:c r="Z176" s="431" t="str">
        <x:f>IF(V176="","",1+COUNTIF($V$19:$V$186,"&gt;"&amp;V176))</x:f>
      </x:c>
      <x:c r="AA176" s="430" t="str">
        <x:f>IF(C176=0,"No specialisations recorded",IF(D176&lt;C176,"Review missing level","Recorded skills only"))</x:f>
        <x:v>Recorded skills only</x:v>
      </x:c>
      <x:c r="AB176" s="601" t="n">
        <x:f>IF(OR(AP176&lt;&gt;"Yes",E176=0),"",IFERROR(100*(COUNTIFS($AP$19:$AP$186,"Yes",$E$19:$E$186,"&gt;0",$I$19:$I$186,"&lt;"&amp;I176)+(COUNTIFS($AP$19:$AP$186,"Yes",$E$19:$E$186,"&gt;0",$I$19:$I$186,I176)-1)/2)/(COUNTIFS($AP$19:$AP$186,"Yes",$E$19:$E$186,"&gt;0")-1),50))</x:f>
        <x:v>53.57142857142857</x:v>
      </x:c>
      <x:c r="AC176" s="601" t="n">
        <x:f>IF(AB176="","",AB176*'Specialisation Rankings'!$O$16+R176*'Specialisation Rankings'!$O$17)</x:f>
        <x:v>45.909090909090914</x:v>
      </x:c>
      <x:c r="AD176" s="601" t="n">
        <x:f>IF(AC176="","",COUNTIFS($A$19:$A$186,A176,$AP$19:$AP$186,"Yes",$E$19:$E$186,"&gt;0",$AC$19:$AC$186,"&gt;"&amp;AC176)+COUNTIFS($A$19:A176,A176,$AP$19:AP176,"Yes",$E$19:E176,"&gt;0",$AC$19:AC176,AC176))</x:f>
        <x:v>17</x:v>
      </x:c>
      <x:c r="AE176" s="601" t="n">
        <x:f>IF(OR(AP176&lt;&gt;"Yes",E176=0),"",IFERROR(100*(COUNTIFS($AP$19:$AP$186,"Yes",$E$19:$E$186,"&gt;0",$H$19:$H$186,"&lt;"&amp;H176)+(COUNTIFS($AP$19:$AP$186,"Yes",$E$19:$E$186,"&gt;0",$H$19:$H$186,H176)-1)/2)/(COUNTIFS($AP$19:$AP$186,"Yes",$E$19:$E$186,"&gt;0")-1),50))</x:f>
        <x:v>11.688311688311689</x:v>
      </x:c>
      <x:c r="AF176" s="601" t="n">
        <x:f>IF(AE176="","",AE176*'Specialisation Rankings'!$O$16+R176*'Specialisation Rankings'!$O$17)</x:f>
        <x:v>12.402597402597404</x:v>
      </x:c>
      <x:c r="AG176" s="601" t="n">
        <x:f>IF(AF176="","",COUNTIFS($A$19:$A$186,A176,$AP$19:$AP$186,"Yes",$E$19:$E$186,"&gt;0",$AF$19:$AF$186,"&gt;"&amp;AF176)+COUNTIFS($A$19:A176,A176,$AP$19:AP176,"Yes",$E$19:E176,"&gt;0",$AF$19:AF176,AF176))</x:f>
        <x:v>19</x:v>
      </x:c>
      <x:c r="AH176" s="601" t="n">
        <x:f>IF(OR(AP176&lt;&gt;"Yes",E176=0),"",IFERROR(100*(COUNTIFS($AP$19:$AP$186,"Yes",$E$19:$E$186,"&gt;0",$J$19:$J$186,"&lt;"&amp;J176)+(COUNTIFS($AP$19:$AP$186,"Yes",$E$19:$E$186,"&gt;0",$J$19:$J$186,J176)-1)/2)/(COUNTIFS($AP$19:$AP$186,"Yes",$E$19:$E$186,"&gt;0")-1),50))</x:f>
        <x:v>33.116883116883116</x:v>
      </x:c>
      <x:c r="AI176" s="601" t="n">
        <x:f>IF(AH176="","",AH176*'Specialisation Rankings'!$O$16+R176*'Specialisation Rankings'!$O$17)</x:f>
        <x:v>29.545454545454547</x:v>
      </x:c>
      <x:c r="AJ176" s="601" t="n">
        <x:f>IF(AI176="","",COUNTIFS($A$19:$A$186,A176,$AP$19:$AP$186,"Yes",$E$19:$E$186,"&gt;0",$AI$19:$AI$186,"&gt;"&amp;AI176)+COUNTIFS($A$19:A176,A176,$AP$19:AP176,"Yes",$E$19:E176,"&gt;0",$AI$19:AI176,AI176))</x:f>
        <x:v>19</x:v>
      </x:c>
      <x:c r="AK176" s="601" t="n">
        <x:f>IF(OR(AP176&lt;&gt;"Yes",E176=0),"",IF(M176=0,'Specialisation Rankings'!$O$23,V176))</x:f>
        <x:v>50</x:v>
      </x:c>
      <x:c r="AL176" s="601" t="n">
        <x:f>IF(AK176="","",COUNTIFS($A$19:$A$186,A176,$AP$19:$AP$186,"Yes",$E$19:$E$186,"&gt;0",$AK$19:$AK$186,"&gt;"&amp;AK176)+COUNTIFS($A$19:A176,A176,$AP$19:AP176,"Yes",$E$19:E176,"&gt;0",$AK$19:AK176,AK176))</x:f>
        <x:v>19</x:v>
      </x:c>
      <x:c r="AM176" s="601" t="n">
        <x:f>IF(AC176="","",AC176*'Specialisation Rankings'!$O$18+AF176*'Specialisation Rankings'!$O$19+AI176*'Specialisation Rankings'!$O$20+AK176*'Specialisation Rankings'!$O$21)</x:f>
        <x:v>40.51298701298702</x:v>
      </x:c>
      <x:c r="AN176" s="601" t="n">
        <x:f>IF(AM176="","",COUNTIFS($A$19:$A$186,A176,$AP$19:$AP$186,"Yes",$E$19:$E$186,"&gt;0",$AM$19:$AM$186,"&gt;"&amp;AM176)+COUNTIFS($A$19:A176,A176,$AP$19:AP176,"Yes",$E$19:E176,"&gt;0",$AM$19:AM176,AM176))</x:f>
        <x:v>18</x:v>
      </x:c>
      <x:c r="AO176" s="601" t="n">
        <x:f>IF(AM176="","",COUNTIFS($AP$19:$AP$186,"Yes",$E$19:$E$186,"&gt;0",$AM$19:$AM$186,"&gt;"&amp;AM176)+COUNTIFS($AP$19:AP176,"Yes",$E$19:E176,"&gt;0",$AM$19:AM176,AM176))</x:f>
        <x:v>94</x:v>
      </x:c>
      <x:c r="AP176" s="602" t="str">
        <x:f>IF(COUNTIFS('Player Scenario Model'!$A$6:$A$172,A176,'Player Scenario Model'!$B$6:$B$172,B176)&gt;0,"Yes","No")</x:f>
        <x:v>Yes</x:v>
      </x:c>
    </x:row>
    <x:row r="177" ht="24" customHeight="1">
      <x:c r="A177" s="430" t="str">
        <x:v>K176</x:v>
      </x:c>
      <x:c r="B177" s="430" t="str">
        <x:v>金玉其外败絮其中</x:v>
      </x:c>
      <x:c r="C177" s="431" t="n">
        <x:f>COUNTIFS('Specialisations'!$A$6:$A$527,A177,'Specialisations'!$B$6:$B$527,B177)</x:f>
        <x:v>4</x:v>
      </x:c>
      <x:c r="D177" s="431" t="n">
        <x:f>COUNTIFS('Specialisations'!$A$6:$A$527,A177,'Specialisations'!$B$6:$B$527,B177,'Specialisations'!$P$6:$P$527,"OK")</x:f>
        <x:v>4</x:v>
      </x:c>
      <x:c r="E177" s="431" t="n">
        <x:f>COUNTIFS('Specialisations'!$A$6:$A$527,A177,'Specialisations'!$B$6:$B$527,B177,'Specialisations'!$P$6:$P$527,"OK",'Specialisations'!$C$6:$C$527,"&lt;&gt;Guards")</x:f>
        <x:v>3</x:v>
      </x:c>
      <x:c r="F177" s="432" t="n">
        <x:f>IF(C177=0,"",D177/C177)</x:f>
        <x:v>1</x:v>
      </x:c>
      <x:c r="G177" s="495" t="n">
        <x:f>SUMIFS('Specialisations'!$Q$6:$Q$527,'Specialisations'!$A$6:$A$527,A177,'Specialisations'!$B$6:$B$527,B177,'Specialisations'!$C$6:$C$527,"Guards")</x:f>
        <x:v>-48.38</x:v>
      </x:c>
      <x:c r="H177" s="495" t="n">
        <x:f>SUMIFS('Specialisations'!$Q$6:$Q$527,'Specialisations'!$A$6:$A$527,A177,'Specialisations'!$B$6:$B$527,B177,'Specialisations'!$C$6:$C$527,"Archers")</x:f>
        <x:v>0</x:v>
      </x:c>
      <x:c r="I177" s="495" t="n">
        <x:f>SUMIFS('Specialisations'!$Q$6:$Q$527,'Specialisations'!$A$6:$A$527,A177,'Specialisations'!$B$6:$B$527,B177,'Specialisations'!$C$6:$C$527,"Cavalry")</x:f>
        <x:v>103.48</x:v>
      </x:c>
      <x:c r="J177" s="495" t="n">
        <x:f>SUMIFS('Specialisations'!$Q$6:$Q$527,'Specialisations'!$A$6:$A$527,A177,'Specialisations'!$B$6:$B$527,B177,'Specialisations'!$C$6:$C$527,"Siege")</x:f>
        <x:v>20.73</x:v>
      </x:c>
      <x:c r="K177" s="495" t="n">
        <x:f>SUM(H177:J177)</x:f>
        <x:v>124.21000000000001</x:v>
      </x:c>
      <x:c r="L177" s="495" t="n">
        <x:f>SUM(G177,K177)</x:f>
        <x:v>75.83000000000001</x:v>
      </x:c>
      <x:c r="M177" s="433" t="n">
        <x:f>SUMIFS('Specialisations'!$N$6:$N$527,'Specialisations'!$A$6:$A$527,A177,'Specialisations'!$B$6:$B$527,B177,'Specialisations'!$C$6:$C$527,"Guards")</x:f>
        <x:v>5884300</x:v>
      </x:c>
      <x:c r="N177" s="433" t="n">
        <x:f>SUMIFS('Specialisations'!$N$6:$N$527,'Specialisations'!$A$6:$A$527,A177,'Specialisations'!$B$6:$B$527,B177,'Specialisations'!$C$6:$C$527,"&lt;&gt;Guards")</x:f>
        <x:v>15492900</x:v>
      </x:c>
      <x:c r="O177" s="433" t="n">
        <x:f>SUM(M177:N177)</x:f>
        <x:v>21377200</x:v>
      </x:c>
      <x:c r="P177" s="434" t="n">
        <x:f>IF(E177=0,"",K177/E177)</x:f>
        <x:v>41.403333333333336</x:v>
      </x:c>
      <x:c r="Q177" s="501" t="n">
        <x:f>IF(E177=0,"",IFERROR(100*(COUNTIFS($E$19:$E$186,"&gt;0",$K$19:$K$186,"&lt;"&amp;K177)+(COUNTIFS($E$19:$E$186,"&gt;0",$K$19:$K$186,K177)-1)/2)/(COUNTIF($E$19:$E$186,"&gt;0")-1),50))</x:f>
        <x:v>75.32467532467533</x:v>
      </x:c>
      <x:c r="R177" s="501" t="n">
        <x:f>IF(E177=0,"",IFERROR(100*(COUNTIFS($E$19:$E$186,"&gt;0",$N$19:$N$186,"&lt;"&amp;N177)+(COUNTIFS($E$19:$E$186,"&gt;0",$N$19:$N$186,N177)-1)/2)/(COUNTIF($E$19:$E$186,"&gt;0")-1),50))</x:f>
        <x:v>80.51948051948052</x:v>
      </x:c>
      <x:c r="S177" s="501" t="n">
        <x:f>IF(E177=0,"",Q177*$R$5+R177*$R$6)</x:f>
        <x:v>76.36363636363636</x:v>
      </x:c>
      <x:c r="T177" s="501" t="n">
        <x:f>IF(M177=0,"",IFERROR(100*(COUNTIFS($M$19:$M$186,"&gt;0",$G$19:$G$186,"&gt;"&amp;G177)+(COUNTIFS($M$19:$M$186,"&gt;0",$G$19:$G$186,G177)-1)/2)/(COUNTIF($M$19:$M$186,"&gt;0")-1),50))</x:f>
        <x:v>76.06837606837607</x:v>
      </x:c>
      <x:c r="U177" s="501" t="n">
        <x:f>IF(M177=0,"",IFERROR(100*(COUNTIFS($M$19:$M$186,"&gt;0",$M$19:$M$186,"&lt;"&amp;M177)+(COUNTIFS($M$19:$M$186,"&gt;0",$M$19:$M$186,M177)-1)/2)/(COUNTIF($M$19:$M$186,"&gt;0")-1),50))</x:f>
        <x:v>76.06837606837607</x:v>
      </x:c>
      <x:c r="V177" s="501" t="n">
        <x:f>IF(M177=0,"",T177*$R$5+U177*$R$6)</x:f>
        <x:v>76.06837606837607</x:v>
      </x:c>
      <x:c r="W177" s="431" t="n">
        <x:f>IF(E177=0,"",COUNTIFS($A$19:$A$186,A177,$S$19:$S$186,"&gt;"&amp;S177)+COUNTIFS($A$19:A177,A177,$E$19:E177,"&gt;0",$S$19:S177,S177))</x:f>
        <x:v>8</x:v>
      </x:c>
      <x:c r="X177" s="431" t="n">
        <x:f>IF(S177="","",1+COUNTIF($S$19:$S$186,"&gt;"&amp;S177))</x:f>
        <x:v>38</x:v>
      </x:c>
      <x:c r="Y177" s="431" t="n">
        <x:f>IF(V177="","",1+COUNTIFS($A$19:$A$186,A177,$V$19:$V$186,"&gt;"&amp;V177))</x:f>
        <x:v>4</x:v>
      </x:c>
      <x:c r="Z177" s="431" t="n">
        <x:f>IF(V177="","",1+COUNTIF($V$19:$V$186,"&gt;"&amp;V177))</x:f>
        <x:v>28</x:v>
      </x:c>
      <x:c r="AA177" s="430" t="str">
        <x:f>IF(C177=0,"No specialisations recorded",IF(D177&lt;C177,"Review missing level","Recorded skills only"))</x:f>
        <x:v>Recorded skills only</x:v>
      </x:c>
      <x:c r="AB177" s="601" t="n">
        <x:f>IF(OR(AP177&lt;&gt;"Yes",E177=0),"",IFERROR(100*(COUNTIFS($AP$19:$AP$186,"Yes",$E$19:$E$186,"&gt;0",$I$19:$I$186,"&lt;"&amp;I177)+(COUNTIFS($AP$19:$AP$186,"Yes",$E$19:$E$186,"&gt;0",$I$19:$I$186,I177)-1)/2)/(COUNTIFS($AP$19:$AP$186,"Yes",$E$19:$E$186,"&gt;0")-1),50))</x:f>
        <x:v>88.31168831168831</x:v>
      </x:c>
      <x:c r="AC177" s="601" t="n">
        <x:f>IF(AB177="","",AB177*'Specialisation Rankings'!$O$16+R177*'Specialisation Rankings'!$O$17)</x:f>
        <x:v>86.75324675324676</x:v>
      </x:c>
      <x:c r="AD177" s="601" t="n">
        <x:f>IF(AC177="","",COUNTIFS($A$19:$A$186,A177,$AP$19:$AP$186,"Yes",$E$19:$E$186,"&gt;0",$AC$19:$AC$186,"&gt;"&amp;AC177)+COUNTIFS($A$19:A177,A177,$AP$19:AP177,"Yes",$E$19:E177,"&gt;0",$AC$19:AC177,AC177))</x:f>
        <x:v>5</x:v>
      </x:c>
      <x:c r="AE177" s="601" t="n">
        <x:f>IF(OR(AP177&lt;&gt;"Yes",E177=0),"",IFERROR(100*(COUNTIFS($AP$19:$AP$186,"Yes",$E$19:$E$186,"&gt;0",$H$19:$H$186,"&lt;"&amp;H177)+(COUNTIFS($AP$19:$AP$186,"Yes",$E$19:$E$186,"&gt;0",$H$19:$H$186,H177)-1)/2)/(COUNTIFS($AP$19:$AP$186,"Yes",$E$19:$E$186,"&gt;0")-1),50))</x:f>
        <x:v>11.688311688311689</x:v>
      </x:c>
      <x:c r="AF177" s="601" t="n">
        <x:f>IF(AE177="","",AE177*'Specialisation Rankings'!$O$16+R177*'Specialisation Rankings'!$O$17)</x:f>
        <x:v>25.454545454545457</x:v>
      </x:c>
      <x:c r="AG177" s="601" t="n">
        <x:f>IF(AF177="","",COUNTIFS($A$19:$A$186,A177,$AP$19:$AP$186,"Yes",$E$19:$E$186,"&gt;0",$AF$19:$AF$186,"&gt;"&amp;AF177)+COUNTIFS($A$19:A177,A177,$AP$19:AP177,"Yes",$E$19:E177,"&gt;0",$AF$19:AF177,AF177))</x:f>
        <x:v>13</x:v>
      </x:c>
      <x:c r="AH177" s="601" t="n">
        <x:f>IF(OR(AP177&lt;&gt;"Yes",E177=0),"",IFERROR(100*(COUNTIFS($AP$19:$AP$186,"Yes",$E$19:$E$186,"&gt;0",$J$19:$J$186,"&lt;"&amp;J177)+(COUNTIFS($AP$19:$AP$186,"Yes",$E$19:$E$186,"&gt;0",$J$19:$J$186,J177)-1)/2)/(COUNTIFS($AP$19:$AP$186,"Yes",$E$19:$E$186,"&gt;0")-1),50))</x:f>
        <x:v>75.97402597402598</x:v>
      </x:c>
      <x:c r="AI177" s="601" t="n">
        <x:f>IF(AH177="","",AH177*'Specialisation Rankings'!$O$16+R177*'Specialisation Rankings'!$O$17)</x:f>
        <x:v>76.88311688311688</x:v>
      </x:c>
      <x:c r="AJ177" s="601" t="n">
        <x:f>IF(AI177="","",COUNTIFS($A$19:$A$186,A177,$AP$19:$AP$186,"Yes",$E$19:$E$186,"&gt;0",$AI$19:$AI$186,"&gt;"&amp;AI177)+COUNTIFS($A$19:A177,A177,$AP$19:AP177,"Yes",$E$19:E177,"&gt;0",$AI$19:AI177,AI177))</x:f>
        <x:v>9</x:v>
      </x:c>
      <x:c r="AK177" s="601" t="n">
        <x:f>IF(OR(AP177&lt;&gt;"Yes",E177=0),"",IF(M177=0,'Specialisation Rankings'!$O$23,V177))</x:f>
        <x:v>76.06837606837607</x:v>
      </x:c>
      <x:c r="AL177" s="601" t="n">
        <x:f>IF(AK177="","",COUNTIFS($A$19:$A$186,A177,$AP$19:$AP$186,"Yes",$E$19:$E$186,"&gt;0",$AK$19:$AK$186,"&gt;"&amp;AK177)+COUNTIFS($A$19:A177,A177,$AP$19:AP177,"Yes",$E$19:E177,"&gt;0",$AK$19:AK177,AK177))</x:f>
        <x:v>4</x:v>
      </x:c>
      <x:c r="AM177" s="601" t="n">
        <x:f>IF(AC177="","",AC177*'Specialisation Rankings'!$O$18+AF177*'Specialisation Rankings'!$O$19+AI177*'Specialisation Rankings'!$O$20+AK177*'Specialisation Rankings'!$O$21)</x:f>
        <x:v>78.07437007437008</x:v>
      </x:c>
      <x:c r="AN177" s="601" t="n">
        <x:f>IF(AM177="","",COUNTIFS($A$19:$A$186,A177,$AP$19:$AP$186,"Yes",$E$19:$E$186,"&gt;0",$AM$19:$AM$186,"&gt;"&amp;AM177)+COUNTIFS($A$19:A177,A177,$AP$19:AP177,"Yes",$E$19:E177,"&gt;0",$AM$19:AM177,AM177))</x:f>
        <x:v>5</x:v>
      </x:c>
      <x:c r="AO177" s="601" t="n">
        <x:f>IF(AM177="","",COUNTIFS($AP$19:$AP$186,"Yes",$E$19:$E$186,"&gt;0",$AM$19:$AM$186,"&gt;"&amp;AM177)+COUNTIFS($AP$19:AP177,"Yes",$E$19:E177,"&gt;0",$AM$19:AM177,AM177))</x:f>
        <x:v>18</x:v>
      </x:c>
      <x:c r="AP177" s="602" t="str">
        <x:f>IF(COUNTIFS('Player Scenario Model'!$A$6:$A$172,A177,'Player Scenario Model'!$B$6:$B$172,B177)&gt;0,"Yes","No")</x:f>
        <x:v>Yes</x:v>
      </x:c>
    </x:row>
    <x:row r="178" ht="24" customHeight="1">
      <x:c r="A178" s="430" t="str">
        <x:v>K176</x:v>
      </x:c>
      <x:c r="B178" s="430" t="str">
        <x:v>温水煮青蛙</x:v>
      </x:c>
      <x:c r="C178" s="431" t="n">
        <x:f>COUNTIFS('Specialisations'!$A$6:$A$527,A178,'Specialisations'!$B$6:$B$527,B178)</x:f>
        <x:v>4</x:v>
      </x:c>
      <x:c r="D178" s="431" t="n">
        <x:f>COUNTIFS('Specialisations'!$A$6:$A$527,A178,'Specialisations'!$B$6:$B$527,B178,'Specialisations'!$P$6:$P$527,"OK")</x:f>
        <x:v>4</x:v>
      </x:c>
      <x:c r="E178" s="431" t="n">
        <x:f>COUNTIFS('Specialisations'!$A$6:$A$527,A178,'Specialisations'!$B$6:$B$527,B178,'Specialisations'!$P$6:$P$527,"OK",'Specialisations'!$C$6:$C$527,"&lt;&gt;Guards")</x:f>
        <x:v>3</x:v>
      </x:c>
      <x:c r="F178" s="432" t="n">
        <x:f>IF(C178=0,"",D178/C178)</x:f>
        <x:v>1</x:v>
      </x:c>
      <x:c r="G178" s="495" t="n">
        <x:f>SUMIFS('Specialisations'!$Q$6:$Q$527,'Specialisations'!$A$6:$A$527,A178,'Specialisations'!$B$6:$B$527,B178,'Specialisations'!$C$6:$C$527,"Guards")</x:f>
        <x:v>-45.13</x:v>
      </x:c>
      <x:c r="H178" s="495" t="n">
        <x:f>SUMIFS('Specialisations'!$Q$6:$Q$527,'Specialisations'!$A$6:$A$527,A178,'Specialisations'!$B$6:$B$527,B178,'Specialisations'!$C$6:$C$527,"Archers")</x:f>
        <x:v>0</x:v>
      </x:c>
      <x:c r="I178" s="495" t="n">
        <x:f>SUMIFS('Specialisations'!$Q$6:$Q$527,'Specialisations'!$A$6:$A$527,A178,'Specialisations'!$B$6:$B$527,B178,'Specialisations'!$C$6:$C$527,"Cavalry")</x:f>
        <x:v>100.12</x:v>
      </x:c>
      <x:c r="J178" s="495" t="n">
        <x:f>SUMIFS('Specialisations'!$Q$6:$Q$527,'Specialisations'!$A$6:$A$527,A178,'Specialisations'!$B$6:$B$527,B178,'Specialisations'!$C$6:$C$527,"Siege")</x:f>
        <x:v>6.8</x:v>
      </x:c>
      <x:c r="K178" s="495" t="n">
        <x:f>SUM(H178:J178)</x:f>
        <x:v>106.92</x:v>
      </x:c>
      <x:c r="L178" s="495" t="n">
        <x:f>SUM(G178,K178)</x:f>
        <x:v>61.79</x:v>
      </x:c>
      <x:c r="M178" s="433" t="n">
        <x:f>SUMIFS('Specialisations'!$N$6:$N$527,'Specialisations'!$A$6:$A$527,A178,'Specialisations'!$B$6:$B$527,B178,'Specialisations'!$C$6:$C$527,"Guards")</x:f>
        <x:v>5004300</x:v>
      </x:c>
      <x:c r="N178" s="433" t="n">
        <x:f>SUMIFS('Specialisations'!$N$6:$N$527,'Specialisations'!$A$6:$A$527,A178,'Specialisations'!$B$6:$B$527,B178,'Specialisations'!$C$6:$C$527,"&lt;&gt;Guards")</x:f>
        <x:v>13302900</x:v>
      </x:c>
      <x:c r="O178" s="433" t="n">
        <x:f>SUM(M178:N178)</x:f>
        <x:v>18307200</x:v>
      </x:c>
      <x:c r="P178" s="434" t="n">
        <x:f>IF(E178=0,"",K178/E178)</x:f>
        <x:v>35.64</x:v>
      </x:c>
      <x:c r="Q178" s="501" t="n">
        <x:f>IF(E178=0,"",IFERROR(100*(COUNTIFS($E$19:$E$186,"&gt;0",$K$19:$K$186,"&lt;"&amp;K178)+(COUNTIFS($E$19:$E$186,"&gt;0",$K$19:$K$186,K178)-1)/2)/(COUNTIF($E$19:$E$186,"&gt;0")-1),50))</x:f>
        <x:v>59.74025974025974</x:v>
      </x:c>
      <x:c r="R178" s="501" t="n">
        <x:f>IF(E178=0,"",IFERROR(100*(COUNTIFS($E$19:$E$186,"&gt;0",$N$19:$N$186,"&lt;"&amp;N178)+(COUNTIFS($E$19:$E$186,"&gt;0",$N$19:$N$186,N178)-1)/2)/(COUNTIF($E$19:$E$186,"&gt;0")-1),50))</x:f>
        <x:v>70.12987012987013</x:v>
      </x:c>
      <x:c r="S178" s="501" t="n">
        <x:f>IF(E178=0,"",Q178*$R$5+R178*$R$6)</x:f>
        <x:v>61.81818181818181</x:v>
      </x:c>
      <x:c r="T178" s="501" t="n">
        <x:f>IF(M178=0,"",IFERROR(100*(COUNTIFS($M$19:$M$186,"&gt;0",$G$19:$G$186,"&gt;"&amp;G178)+(COUNTIFS($M$19:$M$186,"&gt;0",$G$19:$G$186,G178)-1)/2)/(COUNTIF($M$19:$M$186,"&gt;0")-1),50))</x:f>
        <x:v>73.07692307692308</x:v>
      </x:c>
      <x:c r="U178" s="501" t="n">
        <x:f>IF(M178=0,"",IFERROR(100*(COUNTIFS($M$19:$M$186,"&gt;0",$M$19:$M$186,"&lt;"&amp;M178)+(COUNTIFS($M$19:$M$186,"&gt;0",$M$19:$M$186,M178)-1)/2)/(COUNTIF($M$19:$M$186,"&gt;0")-1),50))</x:f>
        <x:v>73.07692307692308</x:v>
      </x:c>
      <x:c r="V178" s="501" t="n">
        <x:f>IF(M178=0,"",T178*$R$5+U178*$R$6)</x:f>
        <x:v>73.07692307692308</x:v>
      </x:c>
      <x:c r="W178" s="431" t="n">
        <x:f>IF(E178=0,"",COUNTIFS($A$19:$A$186,A178,$S$19:$S$186,"&gt;"&amp;S178)+COUNTIFS($A$19:A178,A178,$E$19:E178,"&gt;0",$S$19:S178,S178))</x:f>
        <x:v>13</x:v>
      </x:c>
      <x:c r="X178" s="431" t="n">
        <x:f>IF(S178="","",1+COUNTIF($S$19:$S$186,"&gt;"&amp;S178))</x:f>
        <x:v>57</x:v>
      </x:c>
      <x:c r="Y178" s="431" t="n">
        <x:f>IF(V178="","",1+COUNTIFS($A$19:$A$186,A178,$V$19:$V$186,"&gt;"&amp;V178))</x:f>
        <x:v>5</x:v>
      </x:c>
      <x:c r="Z178" s="431" t="n">
        <x:f>IF(V178="","",1+COUNTIF($V$19:$V$186,"&gt;"&amp;V178))</x:f>
        <x:v>31</x:v>
      </x:c>
      <x:c r="AA178" s="430" t="str">
        <x:f>IF(C178=0,"No specialisations recorded",IF(D178&lt;C178,"Review missing level","Recorded skills only"))</x:f>
        <x:v>Recorded skills only</x:v>
      </x:c>
      <x:c r="AB178" s="601" t="n">
        <x:f>IF(OR(AP178&lt;&gt;"Yes",E178=0),"",IFERROR(100*(COUNTIFS($AP$19:$AP$186,"Yes",$E$19:$E$186,"&gt;0",$I$19:$I$186,"&lt;"&amp;I178)+(COUNTIFS($AP$19:$AP$186,"Yes",$E$19:$E$186,"&gt;0",$I$19:$I$186,I178)-1)/2)/(COUNTIFS($AP$19:$AP$186,"Yes",$E$19:$E$186,"&gt;0")-1),50))</x:f>
        <x:v>85.3896103896104</x:v>
      </x:c>
      <x:c r="AC178" s="601" t="n">
        <x:f>IF(AB178="","",AB178*'Specialisation Rankings'!$O$16+R178*'Specialisation Rankings'!$O$17)</x:f>
        <x:v>82.33766233766234</x:v>
      </x:c>
      <x:c r="AD178" s="601" t="n">
        <x:f>IF(AC178="","",COUNTIFS($A$19:$A$186,A178,$AP$19:$AP$186,"Yes",$E$19:$E$186,"&gt;0",$AC$19:$AC$186,"&gt;"&amp;AC178)+COUNTIFS($A$19:A178,A178,$AP$19:AP178,"Yes",$E$19:E178,"&gt;0",$AC$19:AC178,AC178))</x:f>
        <x:v>6</x:v>
      </x:c>
      <x:c r="AE178" s="601" t="n">
        <x:f>IF(OR(AP178&lt;&gt;"Yes",E178=0),"",IFERROR(100*(COUNTIFS($AP$19:$AP$186,"Yes",$E$19:$E$186,"&gt;0",$H$19:$H$186,"&lt;"&amp;H178)+(COUNTIFS($AP$19:$AP$186,"Yes",$E$19:$E$186,"&gt;0",$H$19:$H$186,H178)-1)/2)/(COUNTIFS($AP$19:$AP$186,"Yes",$E$19:$E$186,"&gt;0")-1),50))</x:f>
        <x:v>11.688311688311689</x:v>
      </x:c>
      <x:c r="AF178" s="601" t="n">
        <x:f>IF(AE178="","",AE178*'Specialisation Rankings'!$O$16+R178*'Specialisation Rankings'!$O$17)</x:f>
        <x:v>23.376623376623378</x:v>
      </x:c>
      <x:c r="AG178" s="601" t="n">
        <x:f>IF(AF178="","",COUNTIFS($A$19:$A$186,A178,$AP$19:$AP$186,"Yes",$E$19:$E$186,"&gt;0",$AF$19:$AF$186,"&gt;"&amp;AF178)+COUNTIFS($A$19:A178,A178,$AP$19:AP178,"Yes",$E$19:E178,"&gt;0",$AF$19:AF178,AF178))</x:f>
        <x:v>15</x:v>
      </x:c>
      <x:c r="AH178" s="601" t="n">
        <x:f>IF(OR(AP178&lt;&gt;"Yes",E178=0),"",IFERROR(100*(COUNTIFS($AP$19:$AP$186,"Yes",$E$19:$E$186,"&gt;0",$J$19:$J$186,"&lt;"&amp;J178)+(COUNTIFS($AP$19:$AP$186,"Yes",$E$19:$E$186,"&gt;0",$J$19:$J$186,J178)-1)/2)/(COUNTIFS($AP$19:$AP$186,"Yes",$E$19:$E$186,"&gt;0")-1),50))</x:f>
        <x:v>70.45454545454545</x:v>
      </x:c>
      <x:c r="AI178" s="601" t="n">
        <x:f>IF(AH178="","",AH178*'Specialisation Rankings'!$O$16+R178*'Specialisation Rankings'!$O$17)</x:f>
        <x:v>70.3896103896104</x:v>
      </x:c>
      <x:c r="AJ178" s="601" t="n">
        <x:f>IF(AI178="","",COUNTIFS($A$19:$A$186,A178,$AP$19:$AP$186,"Yes",$E$19:$E$186,"&gt;0",$AI$19:$AI$186,"&gt;"&amp;AI178)+COUNTIFS($A$19:A178,A178,$AP$19:AP178,"Yes",$E$19:E178,"&gt;0",$AI$19:AI178,AI178))</x:f>
        <x:v>11</x:v>
      </x:c>
      <x:c r="AK178" s="601" t="n">
        <x:f>IF(OR(AP178&lt;&gt;"Yes",E178=0),"",IF(M178=0,'Specialisation Rankings'!$O$23,V178))</x:f>
        <x:v>73.07692307692308</x:v>
      </x:c>
      <x:c r="AL178" s="601" t="n">
        <x:f>IF(AK178="","",COUNTIFS($A$19:$A$186,A178,$AP$19:$AP$186,"Yes",$E$19:$E$186,"&gt;0",$AK$19:$AK$186,"&gt;"&amp;AK178)+COUNTIFS($A$19:A178,A178,$AP$19:AP178,"Yes",$E$19:E178,"&gt;0",$AK$19:AK178,AK178))</x:f>
        <x:v>5</x:v>
      </x:c>
      <x:c r="AM178" s="601" t="n">
        <x:f>IF(AC178="","",AC178*'Specialisation Rankings'!$O$18+AF178*'Specialisation Rankings'!$O$19+AI178*'Specialisation Rankings'!$O$20+AK178*'Specialisation Rankings'!$O$21)</x:f>
        <x:v>73.72327672327673</x:v>
      </x:c>
      <x:c r="AN178" s="601" t="n">
        <x:f>IF(AM178="","",COUNTIFS($A$19:$A$186,A178,$AP$19:$AP$186,"Yes",$E$19:$E$186,"&gt;0",$AM$19:$AM$186,"&gt;"&amp;AM178)+COUNTIFS($A$19:A178,A178,$AP$19:AP178,"Yes",$E$19:E178,"&gt;0",$AM$19:AM178,AM178))</x:f>
        <x:v>6</x:v>
      </x:c>
      <x:c r="AO178" s="601" t="n">
        <x:f>IF(AM178="","",COUNTIFS($AP$19:$AP$186,"Yes",$E$19:$E$186,"&gt;0",$AM$19:$AM$186,"&gt;"&amp;AM178)+COUNTIFS($AP$19:AP178,"Yes",$E$19:E178,"&gt;0",$AM$19:AM178,AM178))</x:f>
        <x:v>26</x:v>
      </x:c>
      <x:c r="AP178" s="602" t="str">
        <x:f>IF(COUNTIFS('Player Scenario Model'!$A$6:$A$172,A178,'Player Scenario Model'!$B$6:$B$172,B178)&gt;0,"Yes","No")</x:f>
        <x:v>Yes</x:v>
      </x:c>
    </x:row>
    <x:row r="179" ht="24" customHeight="1">
      <x:c r="A179" s="430" t="str">
        <x:v>K176</x:v>
      </x:c>
      <x:c r="B179" s="430" t="str">
        <x:v>我于杀戮之中绽放</x:v>
      </x:c>
      <x:c r="C179" s="431" t="n">
        <x:f>COUNTIFS('Specialisations'!$A$6:$A$527,A179,'Specialisations'!$B$6:$B$527,B179)</x:f>
        <x:v>4</x:v>
      </x:c>
      <x:c r="D179" s="431" t="n">
        <x:f>COUNTIFS('Specialisations'!$A$6:$A$527,A179,'Specialisations'!$B$6:$B$527,B179,'Specialisations'!$P$6:$P$527,"OK")</x:f>
        <x:v>4</x:v>
      </x:c>
      <x:c r="E179" s="431" t="n">
        <x:f>COUNTIFS('Specialisations'!$A$6:$A$527,A179,'Specialisations'!$B$6:$B$527,B179,'Specialisations'!$P$6:$P$527,"OK",'Specialisations'!$C$6:$C$527,"&lt;&gt;Guards")</x:f>
        <x:v>3</x:v>
      </x:c>
      <x:c r="F179" s="432" t="n">
        <x:f>IF(C179=0,"",D179/C179)</x:f>
        <x:v>1</x:v>
      </x:c>
      <x:c r="G179" s="495" t="n">
        <x:f>SUMIFS('Specialisations'!$Q$6:$Q$527,'Specialisations'!$A$6:$A$527,A179,'Specialisations'!$B$6:$B$527,B179,'Specialisations'!$C$6:$C$527,"Guards")</x:f>
        <x:v>-51.74</x:v>
      </x:c>
      <x:c r="H179" s="495" t="n">
        <x:f>SUMIFS('Specialisations'!$Q$6:$Q$527,'Specialisations'!$A$6:$A$527,A179,'Specialisations'!$B$6:$B$527,B179,'Specialisations'!$C$6:$C$527,"Archers")</x:f>
        <x:v>0</x:v>
      </x:c>
      <x:c r="I179" s="495" t="n">
        <x:f>SUMIFS('Specialisations'!$Q$6:$Q$527,'Specialisations'!$A$6:$A$527,A179,'Specialisations'!$B$6:$B$527,B179,'Specialisations'!$C$6:$C$527,"Cavalry")</x:f>
        <x:v>93.51</x:v>
      </x:c>
      <x:c r="J179" s="495" t="n">
        <x:f>SUMIFS('Specialisations'!$Q$6:$Q$527,'Specialisations'!$A$6:$A$527,A179,'Specialisations'!$B$6:$B$527,B179,'Specialisations'!$C$6:$C$527,"Siege")</x:f>
        <x:v>27.74</x:v>
      </x:c>
      <x:c r="K179" s="495" t="n">
        <x:f>SUM(H179:J179)</x:f>
        <x:v>121.25</x:v>
      </x:c>
      <x:c r="L179" s="495" t="n">
        <x:f>SUM(G179,K179)</x:f>
        <x:v>69.50999999999999</x:v>
      </x:c>
      <x:c r="M179" s="433" t="n">
        <x:f>SUMIFS('Specialisations'!$N$6:$N$527,'Specialisations'!$A$6:$A$527,A179,'Specialisations'!$B$6:$B$527,B179,'Specialisations'!$C$6:$C$527,"Guards")</x:f>
        <x:v>6934300</x:v>
      </x:c>
      <x:c r="N179" s="433" t="n">
        <x:f>SUMIFS('Specialisations'!$N$6:$N$527,'Specialisations'!$A$6:$A$527,A179,'Specialisations'!$B$6:$B$527,B179,'Specialisations'!$C$6:$C$527,"&lt;&gt;Guards")</x:f>
        <x:v>13132900</x:v>
      </x:c>
      <x:c r="O179" s="433" t="n">
        <x:f>SUM(M179:N179)</x:f>
        <x:v>20067200</x:v>
      </x:c>
      <x:c r="P179" s="434" t="n">
        <x:f>IF(E179=0,"",K179/E179)</x:f>
        <x:v>40.416666666666664</x:v>
      </x:c>
      <x:c r="Q179" s="501" t="n">
        <x:f>IF(E179=0,"",IFERROR(100*(COUNTIFS($E$19:$E$186,"&gt;0",$K$19:$K$186,"&lt;"&amp;K179)+(COUNTIFS($E$19:$E$186,"&gt;0",$K$19:$K$186,K179)-1)/2)/(COUNTIF($E$19:$E$186,"&gt;0")-1),50))</x:f>
        <x:v>73.05194805194805</x:v>
      </x:c>
      <x:c r="R179" s="501" t="n">
        <x:f>IF(E179=0,"",IFERROR(100*(COUNTIFS($E$19:$E$186,"&gt;0",$N$19:$N$186,"&lt;"&amp;N179)+(COUNTIFS($E$19:$E$186,"&gt;0",$N$19:$N$186,N179)-1)/2)/(COUNTIF($E$19:$E$186,"&gt;0")-1),50))</x:f>
        <x:v>67.85714285714286</x:v>
      </x:c>
      <x:c r="S179" s="501" t="n">
        <x:f>IF(E179=0,"",Q179*$R$5+R179*$R$6)</x:f>
        <x:v>72.01298701298701</x:v>
      </x:c>
      <x:c r="T179" s="501" t="n">
        <x:f>IF(M179=0,"",IFERROR(100*(COUNTIFS($M$19:$M$186,"&gt;0",$G$19:$G$186,"&gt;"&amp;G179)+(COUNTIFS($M$19:$M$186,"&gt;0",$G$19:$G$186,G179)-1)/2)/(COUNTIF($M$19:$M$186,"&gt;0")-1),50))</x:f>
        <x:v>79.91452991452991</x:v>
      </x:c>
      <x:c r="U179" s="501" t="n">
        <x:f>IF(M179=0,"",IFERROR(100*(COUNTIFS($M$19:$M$186,"&gt;0",$M$19:$M$186,"&lt;"&amp;M179)+(COUNTIFS($M$19:$M$186,"&gt;0",$M$19:$M$186,M179)-1)/2)/(COUNTIF($M$19:$M$186,"&gt;0")-1),50))</x:f>
        <x:v>79.91452991452991</x:v>
      </x:c>
      <x:c r="V179" s="501" t="n">
        <x:f>IF(M179=0,"",T179*$R$5+U179*$R$6)</x:f>
        <x:v>79.91452991452991</x:v>
      </x:c>
      <x:c r="W179" s="431" t="n">
        <x:f>IF(E179=0,"",COUNTIFS($A$19:$A$186,A179,$S$19:$S$186,"&gt;"&amp;S179)+COUNTIFS($A$19:A179,A179,$E$19:E179,"&gt;0",$S$19:S179,S179))</x:f>
        <x:v>10</x:v>
      </x:c>
      <x:c r="X179" s="431" t="n">
        <x:f>IF(S179="","",1+COUNTIF($S$19:$S$186,"&gt;"&amp;S179))</x:f>
        <x:v>44</x:v>
      </x:c>
      <x:c r="Y179" s="431" t="n">
        <x:f>IF(V179="","",1+COUNTIFS($A$19:$A$186,A179,$V$19:$V$186,"&gt;"&amp;V179))</x:f>
        <x:v>3</x:v>
      </x:c>
      <x:c r="Z179" s="431" t="n">
        <x:f>IF(V179="","",1+COUNTIF($V$19:$V$186,"&gt;"&amp;V179))</x:f>
        <x:v>22</x:v>
      </x:c>
      <x:c r="AA179" s="430" t="str">
        <x:f>IF(C179=0,"No specialisations recorded",IF(D179&lt;C179,"Review missing level","Recorded skills only"))</x:f>
        <x:v>Recorded skills only</x:v>
      </x:c>
      <x:c r="AB179" s="601" t="n">
        <x:f>IF(OR(AP179&lt;&gt;"Yes",E179=0),"",IFERROR(100*(COUNTIFS($AP$19:$AP$186,"Yes",$E$19:$E$186,"&gt;0",$I$19:$I$186,"&lt;"&amp;I179)+(COUNTIFS($AP$19:$AP$186,"Yes",$E$19:$E$186,"&gt;0",$I$19:$I$186,I179)-1)/2)/(COUNTIFS($AP$19:$AP$186,"Yes",$E$19:$E$186,"&gt;0")-1),50))</x:f>
        <x:v>78.8961038961039</x:v>
      </x:c>
      <x:c r="AC179" s="601" t="n">
        <x:f>IF(AB179="","",AB179*'Specialisation Rankings'!$O$16+R179*'Specialisation Rankings'!$O$17)</x:f>
        <x:v>76.68831168831169</x:v>
      </x:c>
      <x:c r="AD179" s="601" t="n">
        <x:f>IF(AC179="","",COUNTIFS($A$19:$A$186,A179,$AP$19:$AP$186,"Yes",$E$19:$E$186,"&gt;0",$AC$19:$AC$186,"&gt;"&amp;AC179)+COUNTIFS($A$19:A179,A179,$AP$19:AP179,"Yes",$E$19:E179,"&gt;0",$AC$19:AC179,AC179))</x:f>
        <x:v>10</x:v>
      </x:c>
      <x:c r="AE179" s="601" t="n">
        <x:f>IF(OR(AP179&lt;&gt;"Yes",E179=0),"",IFERROR(100*(COUNTIFS($AP$19:$AP$186,"Yes",$E$19:$E$186,"&gt;0",$H$19:$H$186,"&lt;"&amp;H179)+(COUNTIFS($AP$19:$AP$186,"Yes",$E$19:$E$186,"&gt;0",$H$19:$H$186,H179)-1)/2)/(COUNTIFS($AP$19:$AP$186,"Yes",$E$19:$E$186,"&gt;0")-1),50))</x:f>
        <x:v>11.688311688311689</x:v>
      </x:c>
      <x:c r="AF179" s="601" t="n">
        <x:f>IF(AE179="","",AE179*'Specialisation Rankings'!$O$16+R179*'Specialisation Rankings'!$O$17)</x:f>
        <x:v>22.922077922077925</x:v>
      </x:c>
      <x:c r="AG179" s="601" t="n">
        <x:f>IF(AF179="","",COUNTIFS($A$19:$A$186,A179,$AP$19:$AP$186,"Yes",$E$19:$E$186,"&gt;0",$AF$19:$AF$186,"&gt;"&amp;AF179)+COUNTIFS($A$19:A179,A179,$AP$19:AP179,"Yes",$E$19:E179,"&gt;0",$AF$19:AF179,AF179))</x:f>
        <x:v>16</x:v>
      </x:c>
      <x:c r="AH179" s="601" t="n">
        <x:f>IF(OR(AP179&lt;&gt;"Yes",E179=0),"",IFERROR(100*(COUNTIFS($AP$19:$AP$186,"Yes",$E$19:$E$186,"&gt;0",$J$19:$J$186,"&lt;"&amp;J179)+(COUNTIFS($AP$19:$AP$186,"Yes",$E$19:$E$186,"&gt;0",$J$19:$J$186,J179)-1)/2)/(COUNTIFS($AP$19:$AP$186,"Yes",$E$19:$E$186,"&gt;0")-1),50))</x:f>
        <x:v>80.84415584415585</x:v>
      </x:c>
      <x:c r="AI179" s="601" t="n">
        <x:f>IF(AH179="","",AH179*'Specialisation Rankings'!$O$16+R179*'Specialisation Rankings'!$O$17)</x:f>
        <x:v>78.24675324675326</x:v>
      </x:c>
      <x:c r="AJ179" s="601" t="n">
        <x:f>IF(AI179="","",COUNTIFS($A$19:$A$186,A179,$AP$19:$AP$186,"Yes",$E$19:$E$186,"&gt;0",$AI$19:$AI$186,"&gt;"&amp;AI179)+COUNTIFS($A$19:A179,A179,$AP$19:AP179,"Yes",$E$19:E179,"&gt;0",$AI$19:AI179,AI179))</x:f>
        <x:v>8</x:v>
      </x:c>
      <x:c r="AK179" s="601" t="n">
        <x:f>IF(OR(AP179&lt;&gt;"Yes",E179=0),"",IF(M179=0,'Specialisation Rankings'!$O$23,V179))</x:f>
        <x:v>79.91452991452991</x:v>
      </x:c>
      <x:c r="AL179" s="601" t="n">
        <x:f>IF(AK179="","",COUNTIFS($A$19:$A$186,A179,$AP$19:$AP$186,"Yes",$E$19:$E$186,"&gt;0",$AK$19:$AK$186,"&gt;"&amp;AK179)+COUNTIFS($A$19:A179,A179,$AP$19:AP179,"Yes",$E$19:E179,"&gt;0",$AK$19:AK179,AK179))</x:f>
        <x:v>3</x:v>
      </x:c>
      <x:c r="AM179" s="601" t="n">
        <x:f>IF(AC179="","",AC179*'Specialisation Rankings'!$O$18+AF179*'Specialisation Rankings'!$O$19+AI179*'Specialisation Rankings'!$O$20+AK179*'Specialisation Rankings'!$O$21)</x:f>
        <x:v>71.86807636807637</x:v>
      </x:c>
      <x:c r="AN179" s="601" t="n">
        <x:f>IF(AM179="","",COUNTIFS($A$19:$A$186,A179,$AP$19:$AP$186,"Yes",$E$19:$E$186,"&gt;0",$AM$19:$AM$186,"&gt;"&amp;AM179)+COUNTIFS($A$19:A179,A179,$AP$19:AP179,"Yes",$E$19:E179,"&gt;0",$AM$19:AM179,AM179))</x:f>
        <x:v>9</x:v>
      </x:c>
      <x:c r="AO179" s="601" t="n">
        <x:f>IF(AM179="","",COUNTIFS($AP$19:$AP$186,"Yes",$E$19:$E$186,"&gt;0",$AM$19:$AM$186,"&gt;"&amp;AM179)+COUNTIFS($AP$19:AP179,"Yes",$E$19:E179,"&gt;0",$AM$19:AM179,AM179))</x:f>
        <x:v>33</x:v>
      </x:c>
      <x:c r="AP179" s="602" t="str">
        <x:f>IF(COUNTIFS('Player Scenario Model'!$A$6:$A$172,A179,'Player Scenario Model'!$B$6:$B$172,B179)&gt;0,"Yes","No")</x:f>
        <x:v>Yes</x:v>
      </x:c>
    </x:row>
    <x:row r="180" ht="24" customHeight="1">
      <x:c r="A180" s="430" t="str">
        <x:v>K176</x:v>
      </x:c>
      <x:c r="B180" s="430" t="str">
        <x:v>璀璨星芒</x:v>
      </x:c>
      <x:c r="C180" s="431" t="n">
        <x:f>COUNTIFS('Specialisations'!$A$6:$A$527,A180,'Specialisations'!$B$6:$B$527,B180)</x:f>
        <x:v>4</x:v>
      </x:c>
      <x:c r="D180" s="431" t="n">
        <x:f>COUNTIFS('Specialisations'!$A$6:$A$527,A180,'Specialisations'!$B$6:$B$527,B180,'Specialisations'!$P$6:$P$527,"OK")</x:f>
        <x:v>4</x:v>
      </x:c>
      <x:c r="E180" s="431" t="n">
        <x:f>COUNTIFS('Specialisations'!$A$6:$A$527,A180,'Specialisations'!$B$6:$B$527,B180,'Specialisations'!$P$6:$P$527,"OK",'Specialisations'!$C$6:$C$527,"&lt;&gt;Guards")</x:f>
        <x:v>3</x:v>
      </x:c>
      <x:c r="F180" s="432" t="n">
        <x:f>IF(C180=0,"",D180/C180)</x:f>
        <x:v>1</x:v>
      </x:c>
      <x:c r="G180" s="495" t="n">
        <x:f>SUMIFS('Specialisations'!$Q$6:$Q$527,'Specialisations'!$A$6:$A$527,A180,'Specialisations'!$B$6:$B$527,B180,'Specialisations'!$C$6:$C$527,"Guards")</x:f>
        <x:v>-41.98</x:v>
      </x:c>
      <x:c r="H180" s="495" t="n">
        <x:f>SUMIFS('Specialisations'!$Q$6:$Q$527,'Specialisations'!$A$6:$A$527,A180,'Specialisations'!$B$6:$B$527,B180,'Specialisations'!$C$6:$C$527,"Archers")</x:f>
        <x:v>27.74</x:v>
      </x:c>
      <x:c r="I180" s="495" t="n">
        <x:f>SUMIFS('Specialisations'!$Q$6:$Q$527,'Specialisations'!$A$6:$A$527,A180,'Specialisations'!$B$6:$B$527,B180,'Specialisations'!$C$6:$C$527,"Cavalry")</x:f>
        <x:v>45.13</x:v>
      </x:c>
      <x:c r="J180" s="495" t="n">
        <x:f>SUMIFS('Specialisations'!$Q$6:$Q$527,'Specialisations'!$A$6:$A$527,A180,'Specialisations'!$B$6:$B$527,B180,'Specialisations'!$C$6:$C$527,"Siege")</x:f>
        <x:v>27.74</x:v>
      </x:c>
      <x:c r="K180" s="495" t="n">
        <x:f>SUM(H180:J180)</x:f>
        <x:v>100.61</x:v>
      </x:c>
      <x:c r="L180" s="495" t="n">
        <x:f>SUM(G180,K180)</x:f>
        <x:v>58.63</x:v>
      </x:c>
      <x:c r="M180" s="433" t="n">
        <x:f>SUMIFS('Specialisations'!$N$6:$N$527,'Specialisations'!$A$6:$A$527,A180,'Specialisations'!$B$6:$B$527,B180,'Specialisations'!$C$6:$C$527,"Guards")</x:f>
        <x:v>4284300</x:v>
      </x:c>
      <x:c r="N180" s="433" t="n">
        <x:f>SUMIFS('Specialisations'!$N$6:$N$527,'Specialisations'!$A$6:$A$527,A180,'Specialisations'!$B$6:$B$527,B180,'Specialisations'!$C$6:$C$527,"&lt;&gt;Guards")</x:f>
        <x:v>9492900</x:v>
      </x:c>
      <x:c r="O180" s="433" t="n">
        <x:f>SUM(M180:N180)</x:f>
        <x:v>13777200</x:v>
      </x:c>
      <x:c r="P180" s="434" t="n">
        <x:f>IF(E180=0,"",K180/E180)</x:f>
        <x:v>33.53666666666667</x:v>
      </x:c>
      <x:c r="Q180" s="501" t="n">
        <x:f>IF(E180=0,"",IFERROR(100*(COUNTIFS($E$19:$E$186,"&gt;0",$K$19:$K$186,"&lt;"&amp;K180)+(COUNTIFS($E$19:$E$186,"&gt;0",$K$19:$K$186,K180)-1)/2)/(COUNTIF($E$19:$E$186,"&gt;0")-1),50))</x:f>
        <x:v>55.1948051948052</x:v>
      </x:c>
      <x:c r="R180" s="501" t="n">
        <x:f>IF(E180=0,"",IFERROR(100*(COUNTIFS($E$19:$E$186,"&gt;0",$N$19:$N$186,"&lt;"&amp;N180)+(COUNTIFS($E$19:$E$186,"&gt;0",$N$19:$N$186,N180)-1)/2)/(COUNTIF($E$19:$E$186,"&gt;0")-1),50))</x:f>
        <x:v>37.98701298701299</x:v>
      </x:c>
      <x:c r="S180" s="501" t="n">
        <x:f>IF(E180=0,"",Q180*$R$5+R180*$R$6)</x:f>
        <x:v>51.75324675324676</x:v>
      </x:c>
      <x:c r="T180" s="501" t="n">
        <x:f>IF(M180=0,"",IFERROR(100*(COUNTIFS($M$19:$M$186,"&gt;0",$G$19:$G$186,"&gt;"&amp;G180)+(COUNTIFS($M$19:$M$186,"&gt;0",$G$19:$G$186,G180)-1)/2)/(COUNTIF($M$19:$M$186,"&gt;0")-1),50))</x:f>
        <x:v>60.256410256410255</x:v>
      </x:c>
      <x:c r="U180" s="501" t="n">
        <x:f>IF(M180=0,"",IFERROR(100*(COUNTIFS($M$19:$M$186,"&gt;0",$M$19:$M$186,"&lt;"&amp;M180)+(COUNTIFS($M$19:$M$186,"&gt;0",$M$19:$M$186,M180)-1)/2)/(COUNTIF($M$19:$M$186,"&gt;0")-1),50))</x:f>
        <x:v>60.256410256410255</x:v>
      </x:c>
      <x:c r="V180" s="501" t="n">
        <x:f>IF(M180=0,"",T180*$R$5+U180*$R$6)</x:f>
        <x:v>60.25641025641025</x:v>
      </x:c>
      <x:c r="W180" s="431" t="n">
        <x:f>IF(E180=0,"",COUNTIFS($A$19:$A$186,A180,$S$19:$S$186,"&gt;"&amp;S180)+COUNTIFS($A$19:A180,A180,$E$19:E180,"&gt;0",$S$19:S180,S180))</x:f>
        <x:v>15</x:v>
      </x:c>
      <x:c r="X180" s="431" t="n">
        <x:f>IF(S180="","",1+COUNTIF($S$19:$S$186,"&gt;"&amp;S180))</x:f>
        <x:v>74</x:v>
      </x:c>
      <x:c r="Y180" s="431" t="n">
        <x:f>IF(V180="","",1+COUNTIFS($A$19:$A$186,A180,$V$19:$V$186,"&gt;"&amp;V180))</x:f>
        <x:v>6</x:v>
      </x:c>
      <x:c r="Z180" s="431" t="n">
        <x:f>IF(V180="","",1+COUNTIF($V$19:$V$186,"&gt;"&amp;V180))</x:f>
        <x:v>35</x:v>
      </x:c>
      <x:c r="AA180" s="430" t="str">
        <x:f>IF(C180=0,"No specialisations recorded",IF(D180&lt;C180,"Review missing level","Recorded skills only"))</x:f>
        <x:v>Recorded skills only</x:v>
      </x:c>
      <x:c r="AB180" s="601" t="n">
        <x:f>IF(OR(AP180&lt;&gt;"Yes",E180=0),"",IFERROR(100*(COUNTIFS($AP$19:$AP$186,"Yes",$E$19:$E$186,"&gt;0",$I$19:$I$186,"&lt;"&amp;I180)+(COUNTIFS($AP$19:$AP$186,"Yes",$E$19:$E$186,"&gt;0",$I$19:$I$186,I180)-1)/2)/(COUNTIFS($AP$19:$AP$186,"Yes",$E$19:$E$186,"&gt;0")-1),50))</x:f>
        <x:v>37.66233766233766</x:v>
      </x:c>
      <x:c r="AC180" s="601" t="n">
        <x:f>IF(AB180="","",AB180*'Specialisation Rankings'!$O$16+R180*'Specialisation Rankings'!$O$17)</x:f>
        <x:v>37.72727272727273</x:v>
      </x:c>
      <x:c r="AD180" s="601" t="n">
        <x:f>IF(AC180="","",COUNTIFS($A$19:$A$186,A180,$AP$19:$AP$186,"Yes",$E$19:$E$186,"&gt;0",$AC$19:$AC$186,"&gt;"&amp;AC180)+COUNTIFS($A$19:A180,A180,$AP$19:AP180,"Yes",$E$19:E180,"&gt;0",$AC$19:AC180,AC180))</x:f>
        <x:v>19</x:v>
      </x:c>
      <x:c r="AE180" s="601" t="n">
        <x:f>IF(OR(AP180&lt;&gt;"Yes",E180=0),"",IFERROR(100*(COUNTIFS($AP$19:$AP$186,"Yes",$E$19:$E$186,"&gt;0",$H$19:$H$186,"&lt;"&amp;H180)+(COUNTIFS($AP$19:$AP$186,"Yes",$E$19:$E$186,"&gt;0",$H$19:$H$186,H180)-1)/2)/(COUNTIFS($AP$19:$AP$186,"Yes",$E$19:$E$186,"&gt;0")-1),50))</x:f>
        <x:v>42.20779220779221</x:v>
      </x:c>
      <x:c r="AF180" s="601" t="n">
        <x:f>IF(AE180="","",AE180*'Specialisation Rankings'!$O$16+R180*'Specialisation Rankings'!$O$17)</x:f>
        <x:v>41.36363636363637</x:v>
      </x:c>
      <x:c r="AG180" s="601" t="n">
        <x:f>IF(AF180="","",COUNTIFS($A$19:$A$186,A180,$AP$19:$AP$186,"Yes",$E$19:$E$186,"&gt;0",$AF$19:$AF$186,"&gt;"&amp;AF180)+COUNTIFS($A$19:A180,A180,$AP$19:AP180,"Yes",$E$19:E180,"&gt;0",$AF$19:AF180,AF180))</x:f>
        <x:v>5</x:v>
      </x:c>
      <x:c r="AH180" s="601" t="n">
        <x:f>IF(OR(AP180&lt;&gt;"Yes",E180=0),"",IFERROR(100*(COUNTIFS($AP$19:$AP$186,"Yes",$E$19:$E$186,"&gt;0",$J$19:$J$186,"&lt;"&amp;J180)+(COUNTIFS($AP$19:$AP$186,"Yes",$E$19:$E$186,"&gt;0",$J$19:$J$186,J180)-1)/2)/(COUNTIFS($AP$19:$AP$186,"Yes",$E$19:$E$186,"&gt;0")-1),50))</x:f>
        <x:v>80.84415584415585</x:v>
      </x:c>
      <x:c r="AI180" s="601" t="n">
        <x:f>IF(AH180="","",AH180*'Specialisation Rankings'!$O$16+R180*'Specialisation Rankings'!$O$17)</x:f>
        <x:v>72.27272727272728</x:v>
      </x:c>
      <x:c r="AJ180" s="601" t="n">
        <x:f>IF(AI180="","",COUNTIFS($A$19:$A$186,A180,$AP$19:$AP$186,"Yes",$E$19:$E$186,"&gt;0",$AI$19:$AI$186,"&gt;"&amp;AI180)+COUNTIFS($A$19:A180,A180,$AP$19:AP180,"Yes",$E$19:E180,"&gt;0",$AI$19:AI180,AI180))</x:f>
        <x:v>10</x:v>
      </x:c>
      <x:c r="AK180" s="601" t="n">
        <x:f>IF(OR(AP180&lt;&gt;"Yes",E180=0),"",IF(M180=0,'Specialisation Rankings'!$O$23,V180))</x:f>
        <x:v>60.25641025641025</x:v>
      </x:c>
      <x:c r="AL180" s="601" t="n">
        <x:f>IF(AK180="","",COUNTIFS($A$19:$A$186,A180,$AP$19:$AP$186,"Yes",$E$19:$E$186,"&gt;0",$AK$19:$AK$186,"&gt;"&amp;AK180)+COUNTIFS($A$19:A180,A180,$AP$19:AP180,"Yes",$E$19:E180,"&gt;0",$AK$19:AK180,AK180))</x:f>
        <x:v>16</x:v>
      </x:c>
      <x:c r="AM180" s="601" t="n">
        <x:f>IF(AC180="","",AC180*'Specialisation Rankings'!$O$18+AF180*'Specialisation Rankings'!$O$19+AI180*'Specialisation Rankings'!$O$20+AK180*'Specialisation Rankings'!$O$21)</x:f>
        <x:v>45.52564102564102</x:v>
      </x:c>
      <x:c r="AN180" s="601" t="n">
        <x:f>IF(AM180="","",COUNTIFS($A$19:$A$186,A180,$AP$19:$AP$186,"Yes",$E$19:$E$186,"&gt;0",$AM$19:$AM$186,"&gt;"&amp;AM180)+COUNTIFS($A$19:A180,A180,$AP$19:AP180,"Yes",$E$19:E180,"&gt;0",$AM$19:AM180,AM180))</x:f>
        <x:v>17</x:v>
      </x:c>
      <x:c r="AO180" s="601" t="n">
        <x:f>IF(AM180="","",COUNTIFS($AP$19:$AP$186,"Yes",$E$19:$E$186,"&gt;0",$AM$19:$AM$186,"&gt;"&amp;AM180)+COUNTIFS($AP$19:AP180,"Yes",$E$19:E180,"&gt;0",$AM$19:AM180,AM180))</x:f>
        <x:v>86</x:v>
      </x:c>
      <x:c r="AP180" s="602" t="str">
        <x:f>IF(COUNTIFS('Player Scenario Model'!$A$6:$A$172,A180,'Player Scenario Model'!$B$6:$B$172,B180)&gt;0,"Yes","No")</x:f>
        <x:v>Yes</x:v>
      </x:c>
    </x:row>
    <x:row r="181" ht="24" customHeight="1">
      <x:c r="A181" s="430" t="str">
        <x:v>K176</x:v>
      </x:c>
      <x:c r="B181" s="430" t="str">
        <x:v>「鳥傷」</x:v>
      </x:c>
      <x:c r="C181" s="431" t="n">
        <x:f>COUNTIFS('Specialisations'!$A$6:$A$527,A181,'Specialisations'!$B$6:$B$527,B181)</x:f>
        <x:v>4</x:v>
      </x:c>
      <x:c r="D181" s="431" t="n">
        <x:f>COUNTIFS('Specialisations'!$A$6:$A$527,A181,'Specialisations'!$B$6:$B$527,B181,'Specialisations'!$P$6:$P$527,"OK")</x:f>
        <x:v>4</x:v>
      </x:c>
      <x:c r="E181" s="431" t="n">
        <x:f>COUNTIFS('Specialisations'!$A$6:$A$527,A181,'Specialisations'!$B$6:$B$527,B181,'Specialisations'!$P$6:$P$527,"OK",'Specialisations'!$C$6:$C$527,"&lt;&gt;Guards")</x:f>
        <x:v>3</x:v>
      </x:c>
      <x:c r="F181" s="432" t="n">
        <x:f>IF(C181=0,"",D181/C181)</x:f>
        <x:v>1</x:v>
      </x:c>
      <x:c r="G181" s="495" t="n">
        <x:f>SUMIFS('Specialisations'!$Q$6:$Q$527,'Specialisations'!$A$6:$A$527,A181,'Specialisations'!$B$6:$B$527,B181,'Specialisations'!$C$6:$C$527,"Guards")</x:f>
        <x:v>-41.98</x:v>
      </x:c>
      <x:c r="H181" s="495" t="n">
        <x:f>SUMIFS('Specialisations'!$Q$6:$Q$527,'Specialisations'!$A$6:$A$527,A181,'Specialisations'!$B$6:$B$527,B181,'Specialisations'!$C$6:$C$527,"Archers")</x:f>
        <x:v>27.74</x:v>
      </x:c>
      <x:c r="I181" s="495" t="n">
        <x:f>SUMIFS('Specialisations'!$Q$6:$Q$527,'Specialisations'!$A$6:$A$527,A181,'Specialisations'!$B$6:$B$527,B181,'Specialisations'!$C$6:$C$527,"Cavalry")</x:f>
        <x:v>60</x:v>
      </x:c>
      <x:c r="J181" s="495" t="n">
        <x:f>SUMIFS('Specialisations'!$Q$6:$Q$527,'Specialisations'!$A$6:$A$527,A181,'Specialisations'!$B$6:$B$527,B181,'Specialisations'!$C$6:$C$527,"Siege")</x:f>
        <x:v>45.13</x:v>
      </x:c>
      <x:c r="K181" s="495" t="n">
        <x:f>SUM(H181:J181)</x:f>
        <x:v>132.87</x:v>
      </x:c>
      <x:c r="L181" s="495" t="n">
        <x:f>SUM(G181,K181)</x:f>
        <x:v>90.89000000000001</x:v>
      </x:c>
      <x:c r="M181" s="433" t="n">
        <x:f>SUMIFS('Specialisations'!$N$6:$N$527,'Specialisations'!$A$6:$A$527,A181,'Specialisations'!$B$6:$B$527,B181,'Specialisations'!$C$6:$C$527,"Guards")</x:f>
        <x:v>4284300</x:v>
      </x:c>
      <x:c r="N181" s="433" t="n">
        <x:f>SUMIFS('Specialisations'!$N$6:$N$527,'Specialisations'!$A$6:$A$527,A181,'Specialisations'!$B$6:$B$527,B181,'Specialisations'!$C$6:$C$527,"&lt;&gt;Guards")</x:f>
        <x:v>17582900</x:v>
      </x:c>
      <x:c r="O181" s="433" t="n">
        <x:f>SUM(M181:N181)</x:f>
        <x:v>21867200</x:v>
      </x:c>
      <x:c r="P181" s="434" t="n">
        <x:f>IF(E181=0,"",K181/E181)</x:f>
        <x:v>44.29</x:v>
      </x:c>
      <x:c r="Q181" s="501" t="n">
        <x:f>IF(E181=0,"",IFERROR(100*(COUNTIFS($E$19:$E$186,"&gt;0",$K$19:$K$186,"&lt;"&amp;K181)+(COUNTIFS($E$19:$E$186,"&gt;0",$K$19:$K$186,K181)-1)/2)/(COUNTIF($E$19:$E$186,"&gt;0")-1),50))</x:f>
        <x:v>79.54545454545455</x:v>
      </x:c>
      <x:c r="R181" s="501" t="n">
        <x:f>IF(E181=0,"",IFERROR(100*(COUNTIFS($E$19:$E$186,"&gt;0",$N$19:$N$186,"&lt;"&amp;N181)+(COUNTIFS($E$19:$E$186,"&gt;0",$N$19:$N$186,N181)-1)/2)/(COUNTIF($E$19:$E$186,"&gt;0")-1),50))</x:f>
        <x:v>86.68831168831169</x:v>
      </x:c>
      <x:c r="S181" s="501" t="n">
        <x:f>IF(E181=0,"",Q181*$R$5+R181*$R$6)</x:f>
        <x:v>80.97402597402598</x:v>
      </x:c>
      <x:c r="T181" s="501" t="n">
        <x:f>IF(M181=0,"",IFERROR(100*(COUNTIFS($M$19:$M$186,"&gt;0",$G$19:$G$186,"&gt;"&amp;G181)+(COUNTIFS($M$19:$M$186,"&gt;0",$G$19:$G$186,G181)-1)/2)/(COUNTIF($M$19:$M$186,"&gt;0")-1),50))</x:f>
        <x:v>60.256410256410255</x:v>
      </x:c>
      <x:c r="U181" s="501" t="n">
        <x:f>IF(M181=0,"",IFERROR(100*(COUNTIFS($M$19:$M$186,"&gt;0",$M$19:$M$186,"&lt;"&amp;M181)+(COUNTIFS($M$19:$M$186,"&gt;0",$M$19:$M$186,M181)-1)/2)/(COUNTIF($M$19:$M$186,"&gt;0")-1),50))</x:f>
        <x:v>60.256410256410255</x:v>
      </x:c>
      <x:c r="V181" s="501" t="n">
        <x:f>IF(M181=0,"",T181*$R$5+U181*$R$6)</x:f>
        <x:v>60.25641025641025</x:v>
      </x:c>
      <x:c r="W181" s="431" t="n">
        <x:f>IF(E181=0,"",COUNTIFS($A$19:$A$186,A181,$S$19:$S$186,"&gt;"&amp;S181)+COUNTIFS($A$19:A181,A181,$E$19:E181,"&gt;0",$S$19:S181,S181))</x:f>
        <x:v>6</x:v>
      </x:c>
      <x:c r="X181" s="431" t="n">
        <x:f>IF(S181="","",1+COUNTIF($S$19:$S$186,"&gt;"&amp;S181))</x:f>
        <x:v>29</x:v>
      </x:c>
      <x:c r="Y181" s="431" t="n">
        <x:f>IF(V181="","",1+COUNTIFS($A$19:$A$186,A181,$V$19:$V$186,"&gt;"&amp;V181))</x:f>
        <x:v>6</x:v>
      </x:c>
      <x:c r="Z181" s="431" t="n">
        <x:f>IF(V181="","",1+COUNTIF($V$19:$V$186,"&gt;"&amp;V181))</x:f>
        <x:v>35</x:v>
      </x:c>
      <x:c r="AA181" s="430" t="str">
        <x:f>IF(C181=0,"No specialisations recorded",IF(D181&lt;C181,"Review missing level","Recorded skills only"))</x:f>
        <x:v>Recorded skills only</x:v>
      </x:c>
      <x:c r="AB181" s="601" t="n">
        <x:f>IF(OR(AP181&lt;&gt;"Yes",E181=0),"",IFERROR(100*(COUNTIFS($AP$19:$AP$186,"Yes",$E$19:$E$186,"&gt;0",$I$19:$I$186,"&lt;"&amp;I181)+(COUNTIFS($AP$19:$AP$186,"Yes",$E$19:$E$186,"&gt;0",$I$19:$I$186,I181)-1)/2)/(COUNTIFS($AP$19:$AP$186,"Yes",$E$19:$E$186,"&gt;0")-1),50))</x:f>
        <x:v>48.701298701298704</x:v>
      </x:c>
      <x:c r="AC181" s="601" t="n">
        <x:f>IF(AB181="","",AB181*'Specialisation Rankings'!$O$16+R181*'Specialisation Rankings'!$O$17)</x:f>
        <x:v>56.2987012987013</x:v>
      </x:c>
      <x:c r="AD181" s="601" t="n">
        <x:f>IF(AC181="","",COUNTIFS($A$19:$A$186,A181,$AP$19:$AP$186,"Yes",$E$19:$E$186,"&gt;0",$AC$19:$AC$186,"&gt;"&amp;AC181)+COUNTIFS($A$19:A181,A181,$AP$19:AP181,"Yes",$E$19:E181,"&gt;0",$AC$19:AC181,AC181))</x:f>
        <x:v>15</x:v>
      </x:c>
      <x:c r="AE181" s="601" t="n">
        <x:f>IF(OR(AP181&lt;&gt;"Yes",E181=0),"",IFERROR(100*(COUNTIFS($AP$19:$AP$186,"Yes",$E$19:$E$186,"&gt;0",$H$19:$H$186,"&lt;"&amp;H181)+(COUNTIFS($AP$19:$AP$186,"Yes",$E$19:$E$186,"&gt;0",$H$19:$H$186,H181)-1)/2)/(COUNTIFS($AP$19:$AP$186,"Yes",$E$19:$E$186,"&gt;0")-1),50))</x:f>
        <x:v>42.20779220779221</x:v>
      </x:c>
      <x:c r="AF181" s="601" t="n">
        <x:f>IF(AE181="","",AE181*'Specialisation Rankings'!$O$16+R181*'Specialisation Rankings'!$O$17)</x:f>
        <x:v>51.103896103896105</x:v>
      </x:c>
      <x:c r="AG181" s="601" t="n">
        <x:f>IF(AF181="","",COUNTIFS($A$19:$A$186,A181,$AP$19:$AP$186,"Yes",$E$19:$E$186,"&gt;0",$AF$19:$AF$186,"&gt;"&amp;AF181)+COUNTIFS($A$19:A181,A181,$AP$19:AP181,"Yes",$E$19:E181,"&gt;0",$AF$19:AF181,AF181))</x:f>
        <x:v>4</x:v>
      </x:c>
      <x:c r="AH181" s="601" t="n">
        <x:f>IF(OR(AP181&lt;&gt;"Yes",E181=0),"",IFERROR(100*(COUNTIFS($AP$19:$AP$186,"Yes",$E$19:$E$186,"&gt;0",$J$19:$J$186,"&lt;"&amp;J181)+(COUNTIFS($AP$19:$AP$186,"Yes",$E$19:$E$186,"&gt;0",$J$19:$J$186,J181)-1)/2)/(COUNTIFS($AP$19:$AP$186,"Yes",$E$19:$E$186,"&gt;0")-1),50))</x:f>
        <x:v>93.18181818181819</x:v>
      </x:c>
      <x:c r="AI181" s="601" t="n">
        <x:f>IF(AH181="","",AH181*'Specialisation Rankings'!$O$16+R181*'Specialisation Rankings'!$O$17)</x:f>
        <x:v>91.88311688311688</x:v>
      </x:c>
      <x:c r="AJ181" s="601" t="n">
        <x:f>IF(AI181="","",COUNTIFS($A$19:$A$186,A181,$AP$19:$AP$186,"Yes",$E$19:$E$186,"&gt;0",$AI$19:$AI$186,"&gt;"&amp;AI181)+COUNTIFS($A$19:A181,A181,$AP$19:AP181,"Yes",$E$19:E181,"&gt;0",$AI$19:AI181,AI181))</x:f>
        <x:v>3</x:v>
      </x:c>
      <x:c r="AK181" s="601" t="n">
        <x:f>IF(OR(AP181&lt;&gt;"Yes",E181=0),"",IF(M181=0,'Specialisation Rankings'!$O$23,V181))</x:f>
        <x:v>60.25641025641025</x:v>
      </x:c>
      <x:c r="AL181" s="601" t="n">
        <x:f>IF(AK181="","",COUNTIFS($A$19:$A$186,A181,$AP$19:$AP$186,"Yes",$E$19:$E$186,"&gt;0",$AK$19:$AK$186,"&gt;"&amp;AK181)+COUNTIFS($A$19:A181,A181,$AP$19:AP181,"Yes",$E$19:E181,"&gt;0",$AK$19:AK181,AK181))</x:f>
        <x:v>17</x:v>
      </x:c>
      <x:c r="AM181" s="601" t="n">
        <x:f>IF(AC181="","",AC181*'Specialisation Rankings'!$O$18+AF181*'Specialisation Rankings'!$O$19+AI181*'Specialisation Rankings'!$O$20+AK181*'Specialisation Rankings'!$O$21)</x:f>
        <x:v>61.51265401265401</x:v>
      </x:c>
      <x:c r="AN181" s="601" t="n">
        <x:f>IF(AM181="","",COUNTIFS($A$19:$A$186,A181,$AP$19:$AP$186,"Yes",$E$19:$E$186,"&gt;0",$AM$19:$AM$186,"&gt;"&amp;AM181)+COUNTIFS($A$19:A181,A181,$AP$19:AP181,"Yes",$E$19:E181,"&gt;0",$AM$19:AM181,AM181))</x:f>
        <x:v>14</x:v>
      </x:c>
      <x:c r="AO181" s="601" t="n">
        <x:f>IF(AM181="","",COUNTIFS($AP$19:$AP$186,"Yes",$E$19:$E$186,"&gt;0",$AM$19:$AM$186,"&gt;"&amp;AM181)+COUNTIFS($AP$19:AP181,"Yes",$E$19:E181,"&gt;0",$AM$19:AM181,AM181))</x:f>
        <x:v>51</x:v>
      </x:c>
      <x:c r="AP181" s="602" t="str">
        <x:f>IF(COUNTIFS('Player Scenario Model'!$A$6:$A$172,A181,'Player Scenario Model'!$B$6:$B$172,B181)&gt;0,"Yes","No")</x:f>
        <x:v>Yes</x:v>
      </x:c>
    </x:row>
    <x:row r="182" ht="24" customHeight="1">
      <x:c r="A182" s="430" t="str">
        <x:v>K54</x:v>
      </x:c>
      <x:c r="B182" s="430" t="str">
        <x:v>極惡九孔</x:v>
      </x:c>
      <x:c r="C182" s="431" t="n">
        <x:f>COUNTIFS('Specialisations'!$A$6:$A$527,A182,'Specialisations'!$B$6:$B$527,B182)</x:f>
        <x:v>1</x:v>
      </x:c>
      <x:c r="D182" s="431" t="n">
        <x:f>COUNTIFS('Specialisations'!$A$6:$A$527,A182,'Specialisations'!$B$6:$B$527,B182,'Specialisations'!$P$6:$P$527,"OK")</x:f>
        <x:v>1</x:v>
      </x:c>
      <x:c r="E182" s="431" t="n">
        <x:f>COUNTIFS('Specialisations'!$A$6:$A$527,A182,'Specialisations'!$B$6:$B$527,B182,'Specialisations'!$P$6:$P$527,"OK",'Specialisations'!$C$6:$C$527,"&lt;&gt;Guards")</x:f>
        <x:v>0</x:v>
      </x:c>
      <x:c r="F182" s="432" t="n">
        <x:f>IF(C182=0,"",D182/C182)</x:f>
        <x:v>1</x:v>
      </x:c>
      <x:c r="G182" s="495" t="n">
        <x:f>SUMIFS('Specialisations'!$Q$6:$Q$527,'Specialisations'!$A$6:$A$527,A182,'Specialisations'!$B$6:$B$527,B182,'Specialisations'!$C$6:$C$527,"Guards")</x:f>
        <x:v>-51.74</x:v>
      </x:c>
      <x:c r="H182" s="495" t="n">
        <x:f>SUMIFS('Specialisations'!$Q$6:$Q$527,'Specialisations'!$A$6:$A$527,A182,'Specialisations'!$B$6:$B$527,B182,'Specialisations'!$C$6:$C$527,"Archers")</x:f>
        <x:v>0</x:v>
      </x:c>
      <x:c r="I182" s="495" t="n">
        <x:f>SUMIFS('Specialisations'!$Q$6:$Q$527,'Specialisations'!$A$6:$A$527,A182,'Specialisations'!$B$6:$B$527,B182,'Specialisations'!$C$6:$C$527,"Cavalry")</x:f>
        <x:v>0</x:v>
      </x:c>
      <x:c r="J182" s="495" t="n">
        <x:f>SUMIFS('Specialisations'!$Q$6:$Q$527,'Specialisations'!$A$6:$A$527,A182,'Specialisations'!$B$6:$B$527,B182,'Specialisations'!$C$6:$C$527,"Siege")</x:f>
        <x:v>0</x:v>
      </x:c>
      <x:c r="K182" s="495" t="n">
        <x:f>SUM(H182:J182)</x:f>
        <x:v>0</x:v>
      </x:c>
      <x:c r="L182" s="495" t="n">
        <x:f>SUM(G182,K182)</x:f>
        <x:v>-51.74</x:v>
      </x:c>
      <x:c r="M182" s="433" t="n">
        <x:f>SUMIFS('Specialisations'!$N$6:$N$527,'Specialisations'!$A$6:$A$527,A182,'Specialisations'!$B$6:$B$527,B182,'Specialisations'!$C$6:$C$527,"Guards")</x:f>
        <x:v>6934300</x:v>
      </x:c>
      <x:c r="N182" s="433" t="n">
        <x:f>SUMIFS('Specialisations'!$N$6:$N$527,'Specialisations'!$A$6:$A$527,A182,'Specialisations'!$B$6:$B$527,B182,'Specialisations'!$C$6:$C$527,"&lt;&gt;Guards")</x:f>
        <x:v>0</x:v>
      </x:c>
      <x:c r="O182" s="433" t="n">
        <x:f>SUM(M182:N182)</x:f>
        <x:v>6934300</x:v>
      </x:c>
      <x:c r="P182" s="434" t="str">
        <x:f>IF(E182=0,"",K182/E182)</x:f>
      </x:c>
      <x:c r="Q182" s="501" t="str">
        <x:f>IF(E182=0,"",IFERROR(100*(COUNTIFS($E$19:$E$186,"&gt;0",$K$19:$K$186,"&lt;"&amp;K182)+(COUNTIFS($E$19:$E$186,"&gt;0",$K$19:$K$186,K182)-1)/2)/(COUNTIF($E$19:$E$186,"&gt;0")-1),50))</x:f>
      </x:c>
      <x:c r="R182" s="501" t="str">
        <x:f>IF(E182=0,"",IFERROR(100*(COUNTIFS($E$19:$E$186,"&gt;0",$N$19:$N$186,"&lt;"&amp;N182)+(COUNTIFS($E$19:$E$186,"&gt;0",$N$19:$N$186,N182)-1)/2)/(COUNTIF($E$19:$E$186,"&gt;0")-1),50))</x:f>
      </x:c>
      <x:c r="S182" s="501" t="str">
        <x:f>IF(E182=0,"",Q182*$R$5+R182*$R$6)</x:f>
      </x:c>
      <x:c r="T182" s="501" t="n">
        <x:f>IF(M182=0,"",IFERROR(100*(COUNTIFS($M$19:$M$186,"&gt;0",$G$19:$G$186,"&gt;"&amp;G182)+(COUNTIFS($M$19:$M$186,"&gt;0",$G$19:$G$186,G182)-1)/2)/(COUNTIF($M$19:$M$186,"&gt;0")-1),50))</x:f>
        <x:v>79.91452991452991</x:v>
      </x:c>
      <x:c r="U182" s="501" t="n">
        <x:f>IF(M182=0,"",IFERROR(100*(COUNTIFS($M$19:$M$186,"&gt;0",$M$19:$M$186,"&lt;"&amp;M182)+(COUNTIFS($M$19:$M$186,"&gt;0",$M$19:$M$186,M182)-1)/2)/(COUNTIF($M$19:$M$186,"&gt;0")-1),50))</x:f>
        <x:v>79.91452991452991</x:v>
      </x:c>
      <x:c r="V182" s="501" t="n">
        <x:f>IF(M182=0,"",T182*$R$5+U182*$R$6)</x:f>
        <x:v>79.91452991452991</x:v>
      </x:c>
      <x:c r="W182" s="431" t="str">
        <x:f>IF(E182=0,"",COUNTIFS($A$19:$A$186,A182,$S$19:$S$186,"&gt;"&amp;S182)+COUNTIFS($A$19:A182,A182,$E$19:E182,"&gt;0",$S$19:S182,S182))</x:f>
      </x:c>
      <x:c r="X182" s="431" t="str">
        <x:f>IF(S182="","",1+COUNTIF($S$19:$S$186,"&gt;"&amp;S182))</x:f>
      </x:c>
      <x:c r="Y182" s="431" t="n">
        <x:f>IF(V182="","",1+COUNTIFS($A$19:$A$186,A182,$V$19:$V$186,"&gt;"&amp;V182))</x:f>
        <x:v>2</x:v>
      </x:c>
      <x:c r="Z182" s="431" t="n">
        <x:f>IF(V182="","",1+COUNTIF($V$19:$V$186,"&gt;"&amp;V182))</x:f>
        <x:v>22</x:v>
      </x:c>
      <x:c r="AA182" s="430" t="str">
        <x:f>IF(C182=0,"No specialisations recorded",IF(D182&lt;C182,"Review missing level","Recorded skills only"))</x:f>
        <x:v>Recorded skills only</x:v>
      </x:c>
      <x:c r="AB182" s="601" t="str">
        <x:f>IF(OR(AP182&lt;&gt;"Yes",E182=0),"",IFERROR(100*(COUNTIFS($AP$19:$AP$186,"Yes",$E$19:$E$186,"&gt;0",$I$19:$I$186,"&lt;"&amp;I182)+(COUNTIFS($AP$19:$AP$186,"Yes",$E$19:$E$186,"&gt;0",$I$19:$I$186,I182)-1)/2)/(COUNTIFS($AP$19:$AP$186,"Yes",$E$19:$E$186,"&gt;0")-1),50))</x:f>
      </x:c>
      <x:c r="AC182" s="601" t="str">
        <x:f>IF(AB182="","",AB182*'Specialisation Rankings'!$O$16+R182*'Specialisation Rankings'!$O$17)</x:f>
      </x:c>
      <x:c r="AD182" s="601" t="str">
        <x:f>IF(AC182="","",COUNTIFS($A$19:$A$186,A182,$AP$19:$AP$186,"Yes",$E$19:$E$186,"&gt;0",$AC$19:$AC$186,"&gt;"&amp;AC182)+COUNTIFS($A$19:A182,A182,$AP$19:AP182,"Yes",$E$19:E182,"&gt;0",$AC$19:AC182,AC182))</x:f>
      </x:c>
      <x:c r="AE182" s="601" t="str">
        <x:f>IF(OR(AP182&lt;&gt;"Yes",E182=0),"",IFERROR(100*(COUNTIFS($AP$19:$AP$186,"Yes",$E$19:$E$186,"&gt;0",$H$19:$H$186,"&lt;"&amp;H182)+(COUNTIFS($AP$19:$AP$186,"Yes",$E$19:$E$186,"&gt;0",$H$19:$H$186,H182)-1)/2)/(COUNTIFS($AP$19:$AP$186,"Yes",$E$19:$E$186,"&gt;0")-1),50))</x:f>
      </x:c>
      <x:c r="AF182" s="601" t="str">
        <x:f>IF(AE182="","",AE182*'Specialisation Rankings'!$O$16+R182*'Specialisation Rankings'!$O$17)</x:f>
      </x:c>
      <x:c r="AG182" s="601" t="str">
        <x:f>IF(AF182="","",COUNTIFS($A$19:$A$186,A182,$AP$19:$AP$186,"Yes",$E$19:$E$186,"&gt;0",$AF$19:$AF$186,"&gt;"&amp;AF182)+COUNTIFS($A$19:A182,A182,$AP$19:AP182,"Yes",$E$19:E182,"&gt;0",$AF$19:AF182,AF182))</x:f>
      </x:c>
      <x:c r="AH182" s="601" t="str">
        <x:f>IF(OR(AP182&lt;&gt;"Yes",E182=0),"",IFERROR(100*(COUNTIFS($AP$19:$AP$186,"Yes",$E$19:$E$186,"&gt;0",$J$19:$J$186,"&lt;"&amp;J182)+(COUNTIFS($AP$19:$AP$186,"Yes",$E$19:$E$186,"&gt;0",$J$19:$J$186,J182)-1)/2)/(COUNTIFS($AP$19:$AP$186,"Yes",$E$19:$E$186,"&gt;0")-1),50))</x:f>
      </x:c>
      <x:c r="AI182" s="601" t="str">
        <x:f>IF(AH182="","",AH182*'Specialisation Rankings'!$O$16+R182*'Specialisation Rankings'!$O$17)</x:f>
      </x:c>
      <x:c r="AJ182" s="601" t="str">
        <x:f>IF(AI182="","",COUNTIFS($A$19:$A$186,A182,$AP$19:$AP$186,"Yes",$E$19:$E$186,"&gt;0",$AI$19:$AI$186,"&gt;"&amp;AI182)+COUNTIFS($A$19:A182,A182,$AP$19:AP182,"Yes",$E$19:E182,"&gt;0",$AI$19:AI182,AI182))</x:f>
      </x:c>
      <x:c r="AK182" s="601" t="str">
        <x:f>IF(OR(AP182&lt;&gt;"Yes",E182=0),"",IF(M182=0,'Specialisation Rankings'!$O$23,V182))</x:f>
      </x:c>
      <x:c r="AL182" s="601" t="str">
        <x:f>IF(AK182="","",COUNTIFS($A$19:$A$186,A182,$AP$19:$AP$186,"Yes",$E$19:$E$186,"&gt;0",$AK$19:$AK$186,"&gt;"&amp;AK182)+COUNTIFS($A$19:A182,A182,$AP$19:AP182,"Yes",$E$19:E182,"&gt;0",$AK$19:AK182,AK182))</x:f>
      </x:c>
      <x:c r="AM182" s="601" t="str">
        <x:f>IF(AC182="","",AC182*'Specialisation Rankings'!$O$18+AF182*'Specialisation Rankings'!$O$19+AI182*'Specialisation Rankings'!$O$20+AK182*'Specialisation Rankings'!$O$21)</x:f>
      </x:c>
      <x:c r="AN182" s="601" t="str">
        <x:f>IF(AM182="","",COUNTIFS($A$19:$A$186,A182,$AP$19:$AP$186,"Yes",$E$19:$E$186,"&gt;0",$AM$19:$AM$186,"&gt;"&amp;AM182)+COUNTIFS($A$19:A182,A182,$AP$19:AP182,"Yes",$E$19:E182,"&gt;0",$AM$19:AM182,AM182))</x:f>
      </x:c>
      <x:c r="AO182" s="601" t="str">
        <x:f>IF(AM182="","",COUNTIFS($AP$19:$AP$186,"Yes",$E$19:$E$186,"&gt;0",$AM$19:$AM$186,"&gt;"&amp;AM182)+COUNTIFS($AP$19:AP182,"Yes",$E$19:E182,"&gt;0",$AM$19:AM182,AM182))</x:f>
      </x:c>
      <x:c r="AP182" s="602" t="str">
        <x:f>IF(COUNTIFS('Player Scenario Model'!$A$6:$A$172,A182,'Player Scenario Model'!$B$6:$B$172,B182)&gt;0,"Yes","No")</x:f>
        <x:v>No</x:v>
      </x:c>
    </x:row>
    <x:row r="183">
      <x:c r="A183" s="774" t="str">
        <x:v>K138</x:v>
      </x:c>
      <x:c r="B183" s="774" t="str">
        <x:v>(RaW)Leprechaun</x:v>
      </x:c>
      <x:c r="C183" s="789" t="n">
        <x:f>COUNTIFS('Specialisations'!$A$6:$A$527,A183,'Specialisations'!$B$6:$B$527,B183)</x:f>
        <x:v>2</x:v>
      </x:c>
      <x:c r="D183" s="789" t="n">
        <x:f>COUNTIFS('Specialisations'!$A$6:$A$527,A183,'Specialisations'!$B$6:$B$527,B183,'Specialisations'!$P$6:$P$527,"OK")</x:f>
        <x:v>2</x:v>
      </x:c>
      <x:c r="E183" s="789" t="n">
        <x:f>COUNTIFS('Specialisations'!$A$6:$A$527,A183,'Specialisations'!$B$6:$B$527,B183,'Specialisations'!$P$6:$P$527,"OK",'Specialisations'!$C$6:$C$527,"&lt;&gt;Guards")</x:f>
        <x:v>1</x:v>
      </x:c>
      <x:c r="F183" s="782" t="n">
        <x:f>IF(C183=0,"",D183/C183)</x:f>
        <x:v>1</x:v>
      </x:c>
      <x:c r="G183" s="784" t="n">
        <x:f>SUMIFS('Specialisations'!$Q$6:$Q$527,'Specialisations'!$A$6:$A$527,A183,'Specialisations'!$B$6:$B$527,B183,'Specialisations'!$C$6:$C$527,"Guards")</x:f>
        <x:v>-60</x:v>
      </x:c>
      <x:c r="H183" s="784" t="n">
        <x:f>SUMIFS('Specialisations'!$Q$6:$Q$527,'Specialisations'!$A$6:$A$527,A183,'Specialisations'!$B$6:$B$527,B183,'Specialisations'!$C$6:$C$527,"Archers")</x:f>
        <x:v>0</x:v>
      </x:c>
      <x:c r="I183" s="784" t="n">
        <x:f>SUMIFS('Specialisations'!$Q$6:$Q$527,'Specialisations'!$A$6:$A$527,A183,'Specialisations'!$B$6:$B$527,B183,'Specialisations'!$C$6:$C$527,"Cavalry")</x:f>
        <x:v>60</x:v>
      </x:c>
      <x:c r="J183" s="784" t="n">
        <x:f>SUMIFS('Specialisations'!$Q$6:$Q$527,'Specialisations'!$A$6:$A$527,A183,'Specialisations'!$B$6:$B$527,B183,'Specialisations'!$C$6:$C$527,"Siege")</x:f>
        <x:v>0</x:v>
      </x:c>
      <x:c r="K183" s="784" t="n">
        <x:f>SUM(H183:J183)</x:f>
        <x:v>60</x:v>
      </x:c>
      <x:c r="L183" s="784" t="n">
        <x:f>SUM(G183,K183)</x:f>
        <x:v>0</x:v>
      </x:c>
      <x:c r="M183" s="781" t="n">
        <x:f>SUMIFS('Specialisations'!$N$6:$N$527,'Specialisations'!$A$6:$A$527,A183,'Specialisations'!$B$6:$B$527,B183,'Specialisations'!$C$6:$C$527,"Guards")</x:f>
        <x:v>10334300</x:v>
      </x:c>
      <x:c r="N183" s="781" t="n">
        <x:f>SUMIFS('Specialisations'!$N$6:$N$527,'Specialisations'!$A$6:$A$527,A183,'Specialisations'!$B$6:$B$527,B183,'Specialisations'!$C$6:$C$527,"&lt;&gt;Guards")</x:f>
        <x:v>10334300</x:v>
      </x:c>
      <x:c r="O183" s="781" t="n">
        <x:f>SUM(M183:N183)</x:f>
        <x:v>20668600</x:v>
      </x:c>
      <x:c r="P183" s="783" t="n">
        <x:f>IF(E183=0,"",K183/E183)</x:f>
        <x:v>60</x:v>
      </x:c>
      <x:c r="Q183" s="783" t="n">
        <x:f>IF(E183=0,"",IFERROR(100*(COUNTIFS($E$19:$E$186,"&gt;0",$K$19:$K$186,"&lt;"&amp;K183)+(COUNTIFS($E$19:$E$186,"&gt;0",$K$19:$K$186,K183)-1)/2)/(COUNTIF($E$19:$E$186,"&gt;0")-1),50))</x:f>
        <x:v>24.675324675324674</x:v>
      </x:c>
      <x:c r="R183" s="783" t="n">
        <x:f>IF(E183=0,"",IFERROR(100*(COUNTIFS($E$19:$E$186,"&gt;0",$N$19:$N$186,"&lt;"&amp;N183)+(COUNTIFS($E$19:$E$186,"&gt;0",$N$19:$N$186,N183)-1)/2)/(COUNTIF($E$19:$E$186,"&gt;0")-1),50))</x:f>
        <x:v>48.701298701298704</x:v>
      </x:c>
      <x:c r="S183" s="783" t="n">
        <x:f>IF(E183=0,"",Q183*$R$5+R183*$R$6)</x:f>
        <x:v>29.48051948051948</x:v>
      </x:c>
      <x:c r="T183" s="783" t="n">
        <x:f>IF(M183=0,"",IFERROR(100*(COUNTIFS($M$19:$M$186,"&gt;0",$G$19:$G$186,"&gt;"&amp;G183)+(COUNTIFS($M$19:$M$186,"&gt;0",$G$19:$G$186,G183)-1)/2)/(COUNTIF($M$19:$M$186,"&gt;0")-1),50))</x:f>
        <x:v>93.16239316239316</x:v>
      </x:c>
      <x:c r="U183" s="783" t="n">
        <x:f>IF(M183=0,"",IFERROR(100*(COUNTIFS($M$19:$M$186,"&gt;0",$M$19:$M$186,"&lt;"&amp;M183)+(COUNTIFS($M$19:$M$186,"&gt;0",$M$19:$M$186,M183)-1)/2)/(COUNTIF($M$19:$M$186,"&gt;0")-1),50))</x:f>
        <x:v>93.16239316239316</x:v>
      </x:c>
      <x:c r="V183" s="783" t="n">
        <x:f>IF(M183=0,"",T183*$R$5+U183*$R$6)</x:f>
        <x:v>93.16239316239316</x:v>
      </x:c>
      <x:c r="W183" s="789" t="n">
        <x:f>IF(E183=0,"",COUNTIFS($A$19:$A$186,A183,$S$19:$S$186,"&gt;"&amp;S183)+COUNTIFS($A$19:A183,A183,$E$19:E183,"&gt;0",$S$19:S183,S183))</x:f>
        <x:v>13</x:v>
      </x:c>
      <x:c r="X183" s="789" t="n">
        <x:f>IF(S183="","",1+COUNTIF($S$19:$S$186,"&gt;"&amp;S183))</x:f>
        <x:v>106</x:v>
      </x:c>
      <x:c r="Y183" s="789" t="n">
        <x:f>IF(V183="","",1+COUNTIFS($A$19:$A$186,A183,$V$19:$V$186,"&gt;"&amp;V183))</x:f>
        <x:v>1</x:v>
      </x:c>
      <x:c r="Z183" s="789" t="n">
        <x:f>IF(V183="","",1+COUNTIF($V$19:$V$186,"&gt;"&amp;V183))</x:f>
        <x:v>1</x:v>
      </x:c>
      <x:c r="AA183" s="772" t="str">
        <x:f>IF(C183=0,"No specialisations recorded",IF(D183&lt;C183,"Review missing level","Recorded skills only"))</x:f>
        <x:v>Recorded skills only</x:v>
      </x:c>
      <x:c r="AB183" s="783" t="n">
        <x:f>IF(OR(AP183&lt;&gt;"Yes",E183=0),"",IFERROR(100*(COUNTIFS($AP$19:$AP$186,"Yes",$E$19:$E$186,"&gt;0",$I$19:$I$186,"&lt;"&amp;I183)+(COUNTIFS($AP$19:$AP$186,"Yes",$E$19:$E$186,"&gt;0",$I$19:$I$186,I183)-1)/2)/(COUNTIFS($AP$19:$AP$186,"Yes",$E$19:$E$186,"&gt;0")-1),50))</x:f>
        <x:v>48.701298701298704</x:v>
      </x:c>
      <x:c r="AC183" s="783" t="n">
        <x:f>IF(AB183="","",AB183*'Specialisation Rankings'!$O$16+R183*'Specialisation Rankings'!$O$17)</x:f>
        <x:v>48.70129870129871</x:v>
      </x:c>
      <x:c r="AD183" s="783" t="n">
        <x:f>IF(AC183="","",COUNTIFS($A$19:$A$186,A183,$AP$19:$AP$186,"Yes",$E$19:$E$186,"&gt;0",$AC$19:$AC$186,"&gt;"&amp;AC183)+COUNTIFS($A$19:A183,A183,$AP$19:AP183,"Yes",$E$19:E183,"&gt;0",$AC$19:AC183,AC183))</x:f>
        <x:v>9</x:v>
      </x:c>
      <x:c r="AE183" s="783" t="n">
        <x:f>IF(OR(AP183&lt;&gt;"Yes",E183=0),"",IFERROR(100*(COUNTIFS($AP$19:$AP$186,"Yes",$E$19:$E$186,"&gt;0",$H$19:$H$186,"&lt;"&amp;H183)+(COUNTIFS($AP$19:$AP$186,"Yes",$E$19:$E$186,"&gt;0",$H$19:$H$186,H183)-1)/2)/(COUNTIFS($AP$19:$AP$186,"Yes",$E$19:$E$186,"&gt;0")-1),50))</x:f>
        <x:v>11.688311688311689</x:v>
      </x:c>
      <x:c r="AF183" s="783" t="n">
        <x:f>IF(AE183="","",AE183*'Specialisation Rankings'!$O$16+R183*'Specialisation Rankings'!$O$17)</x:f>
        <x:v>19.090909090909093</x:v>
      </x:c>
      <x:c r="AG183" s="783" t="n">
        <x:f>IF(AF183="","",COUNTIFS($A$19:$A$186,A183,$AP$19:$AP$186,"Yes",$E$19:$E$186,"&gt;0",$AF$19:$AF$186,"&gt;"&amp;AF183)+COUNTIFS($A$19:A183,A183,$AP$19:AP183,"Yes",$E$19:E183,"&gt;0",$AF$19:AF183,AF183))</x:f>
        <x:v>23</x:v>
      </x:c>
      <x:c r="AH183" s="783" t="n">
        <x:f>IF(OR(AP183&lt;&gt;"Yes",E183=0),"",IFERROR(100*(COUNTIFS($AP$19:$AP$186,"Yes",$E$19:$E$186,"&gt;0",$J$19:$J$186,"&lt;"&amp;J183)+(COUNTIFS($AP$19:$AP$186,"Yes",$E$19:$E$186,"&gt;0",$J$19:$J$186,J183)-1)/2)/(COUNTIFS($AP$19:$AP$186,"Yes",$E$19:$E$186,"&gt;0")-1),50))</x:f>
        <x:v>33.116883116883116</x:v>
      </x:c>
      <x:c r="AI183" s="783" t="n">
        <x:f>IF(AH183="","",AH183*'Specialisation Rankings'!$O$16+R183*'Specialisation Rankings'!$O$17)</x:f>
        <x:v>36.23376623376623</x:v>
      </x:c>
      <x:c r="AJ183" s="783" t="n">
        <x:f>IF(AI183="","",COUNTIFS($A$19:$A$186,A183,$AP$19:$AP$186,"Yes",$E$19:$E$186,"&gt;0",$AI$19:$AI$186,"&gt;"&amp;AI183)+COUNTIFS($A$19:A183,A183,$AP$19:AP183,"Yes",$E$19:E183,"&gt;0",$AI$19:AI183,AI183))</x:f>
        <x:v>10</x:v>
      </x:c>
      <x:c r="AK183" s="783" t="n">
        <x:f>IF(OR(AP183&lt;&gt;"Yes",E183=0),"",IF(M183=0,'Specialisation Rankings'!$O$23,V183))</x:f>
        <x:v>93.16239316239316</x:v>
      </x:c>
      <x:c r="AL183" s="783" t="n">
        <x:f>IF(AK183="","",COUNTIFS($A$19:$A$186,A183,$AP$19:$AP$186,"Yes",$E$19:$E$186,"&gt;0",$AK$19:$AK$186,"&gt;"&amp;AK183)+COUNTIFS($A$19:A183,A183,$AP$19:AP183,"Yes",$E$19:E183,"&gt;0",$AK$19:AK183,AK183))</x:f>
        <x:v>5</x:v>
      </x:c>
      <x:c r="AM183" s="783" t="n">
        <x:f>IF(AC183="","",AC183*'Specialisation Rankings'!$O$18+AF183*'Specialisation Rankings'!$O$19+AI183*'Specialisation Rankings'!$O$20+AK183*'Specialisation Rankings'!$O$21)</x:f>
        <x:v>48.316239316239326</x:v>
      </x:c>
      <x:c r="AN183" s="789" t="n">
        <x:f>IF(AM183="","",COUNTIFS($A$19:$A$186,A183,$AP$19:$AP$186,"Yes",$E$19:$E$186,"&gt;0",$AM$19:$AM$186,"&gt;"&amp;AM183)+COUNTIFS($A$19:A183,A183,$AP$19:AP183,"Yes",$E$19:E183,"&gt;0",$AM$19:AM183,AM183))</x:f>
        <x:v>9</x:v>
      </x:c>
      <x:c r="AO183" s="789" t="n">
        <x:f>IF(AM183="","",COUNTIFS($AP$19:$AP$186,"Yes",$E$19:$E$186,"&gt;0",$AM$19:$AM$186,"&gt;"&amp;AM183)+COUNTIFS($AP$19:AP183,"Yes",$E$19:E183,"&gt;0",$AM$19:AM183,AM183))</x:f>
        <x:v>77</x:v>
      </x:c>
      <x:c r="AP183" s="772" t="str">
        <x:f>IF(COUNTIFS('Player Scenario Model'!$A$6:$A$172,A183,'Player Scenario Model'!$B$6:$B$172,B183)&gt;0,"Yes","No")</x:f>
        <x:v>Yes</x:v>
      </x:c>
    </x:row>
    <x:row r="184">
      <x:c r="A184" s="771" t="str">
        <x:v>K138</x:v>
      </x:c>
      <x:c r="B184" s="771" t="str">
        <x:v>(RaW)༺TsuStark༻</x:v>
      </x:c>
      <x:c r="C184" s="789" t="n">
        <x:f>COUNTIFS('Specialisations'!$A$6:$A$527,A184,'Specialisations'!$B$6:$B$527,B184)</x:f>
        <x:v>2</x:v>
      </x:c>
      <x:c r="D184" s="789" t="n">
        <x:f>COUNTIFS('Specialisations'!$A$6:$A$527,A184,'Specialisations'!$B$6:$B$527,B184,'Specialisations'!$P$6:$P$527,"OK")</x:f>
        <x:v>2</x:v>
      </x:c>
      <x:c r="E184" s="789" t="n">
        <x:f>COUNTIFS('Specialisations'!$A$6:$A$527,A184,'Specialisations'!$B$6:$B$527,B184,'Specialisations'!$P$6:$P$527,"OK",'Specialisations'!$C$6:$C$527,"&lt;&gt;Guards")</x:f>
        <x:v>1</x:v>
      </x:c>
      <x:c r="F184" s="782" t="n">
        <x:f>IF(C184=0,"",D184/C184)</x:f>
        <x:v>1</x:v>
      </x:c>
      <x:c r="G184" s="784" t="n">
        <x:f>SUMIFS('Specialisations'!$Q$6:$Q$527,'Specialisations'!$A$6:$A$527,A184,'Specialisations'!$B$6:$B$527,B184,'Specialisations'!$C$6:$C$527,"Guards")</x:f>
        <x:v>-33.13</x:v>
      </x:c>
      <x:c r="H184" s="784" t="n">
        <x:f>SUMIFS('Specialisations'!$Q$6:$Q$527,'Specialisations'!$A$6:$A$527,A184,'Specialisations'!$B$6:$B$527,B184,'Specialisations'!$C$6:$C$527,"Archers")</x:f>
        <x:v>0</x:v>
      </x:c>
      <x:c r="I184" s="784" t="n">
        <x:f>SUMIFS('Specialisations'!$Q$6:$Q$527,'Specialisations'!$A$6:$A$527,A184,'Specialisations'!$B$6:$B$527,B184,'Specialisations'!$C$6:$C$527,"Cavalry")</x:f>
        <x:v>39.93</x:v>
      </x:c>
      <x:c r="J184" s="784" t="n">
        <x:f>SUMIFS('Specialisations'!$Q$6:$Q$527,'Specialisations'!$A$6:$A$527,A184,'Specialisations'!$B$6:$B$527,B184,'Specialisations'!$C$6:$C$527,"Siege")</x:f>
        <x:v>0</x:v>
      </x:c>
      <x:c r="K184" s="784" t="n">
        <x:f>SUM(H184:J184)</x:f>
        <x:v>39.93</x:v>
      </x:c>
      <x:c r="L184" s="784" t="n">
        <x:f>SUM(G184,K184)</x:f>
        <x:v>6.799999999999997</x:v>
      </x:c>
      <x:c r="M184" s="781" t="n">
        <x:f>SUMIFS('Specialisations'!$N$6:$N$527,'Specialisations'!$A$6:$A$527,A184,'Specialisations'!$B$6:$B$527,B184,'Specialisations'!$C$6:$C$527,"Guards")</x:f>
        <x:v>2844300</x:v>
      </x:c>
      <x:c r="N184" s="781" t="n">
        <x:f>SUMIFS('Specialisations'!$N$6:$N$527,'Specialisations'!$A$6:$A$527,A184,'Specialisations'!$B$6:$B$527,B184,'Specialisations'!$C$6:$C$527,"&lt;&gt;Guards")</x:f>
        <x:v>3724300</x:v>
      </x:c>
      <x:c r="O184" s="781" t="n">
        <x:f>SUM(M184:N184)</x:f>
        <x:v>6568600</x:v>
      </x:c>
      <x:c r="P184" s="783" t="n">
        <x:f>IF(E184=0,"",K184/E184)</x:f>
        <x:v>39.93</x:v>
      </x:c>
      <x:c r="Q184" s="783" t="n">
        <x:f>IF(E184=0,"",IFERROR(100*(COUNTIFS($E$19:$E$186,"&gt;0",$K$19:$K$186,"&lt;"&amp;K184)+(COUNTIFS($E$19:$E$186,"&gt;0",$K$19:$K$186,K184)-1)/2)/(COUNTIF($E$19:$E$186,"&gt;0")-1),50))</x:f>
        <x:v>5.194805194805195</x:v>
      </x:c>
      <x:c r="R184" s="783" t="n">
        <x:f>IF(E184=0,"",IFERROR(100*(COUNTIFS($E$19:$E$186,"&gt;0",$N$19:$N$186,"&lt;"&amp;N184)+(COUNTIFS($E$19:$E$186,"&gt;0",$N$19:$N$186,N184)-1)/2)/(COUNTIF($E$19:$E$186,"&gt;0")-1),50))</x:f>
        <x:v>6.4935064935064934</x:v>
      </x:c>
      <x:c r="S184" s="783" t="n">
        <x:f>IF(E184=0,"",Q184*$R$5+R184*$R$6)</x:f>
        <x:v>5.454545454545455</x:v>
      </x:c>
      <x:c r="T184" s="783" t="n">
        <x:f>IF(M184=0,"",IFERROR(100*(COUNTIFS($M$19:$M$186,"&gt;0",$G$19:$G$186,"&gt;"&amp;G184)+(COUNTIFS($M$19:$M$186,"&gt;0",$G$19:$G$186,G184)-1)/2)/(COUNTIF($M$19:$M$186,"&gt;0")-1),50))</x:f>
        <x:v>43.58974358974359</x:v>
      </x:c>
      <x:c r="U184" s="783" t="n">
        <x:f>IF(M184=0,"",IFERROR(100*(COUNTIFS($M$19:$M$186,"&gt;0",$M$19:$M$186,"&lt;"&amp;M184)+(COUNTIFS($M$19:$M$186,"&gt;0",$M$19:$M$186,M184)-1)/2)/(COUNTIF($M$19:$M$186,"&gt;0")-1),50))</x:f>
        <x:v>43.58974358974359</x:v>
      </x:c>
      <x:c r="V184" s="783" t="n">
        <x:f>IF(M184=0,"",T184*$R$5+U184*$R$6)</x:f>
        <x:v>43.58974358974359</x:v>
      </x:c>
      <x:c r="W184" s="789" t="n">
        <x:f>IF(E184=0,"",COUNTIFS($A$19:$A$186,A184,$S$19:$S$186,"&gt;"&amp;S184)+COUNTIFS($A$19:A184,A184,$E$19:E184,"&gt;0",$S$19:S184,S184))</x:f>
        <x:v>22</x:v>
      </x:c>
      <x:c r="X184" s="789" t="n">
        <x:f>IF(S184="","",1+COUNTIF($S$19:$S$186,"&gt;"&amp;S184))</x:f>
        <x:v>147</x:v>
      </x:c>
      <x:c r="Y184" s="789" t="n">
        <x:f>IF(V184="","",1+COUNTIFS($A$19:$A$186,A184,$V$19:$V$186,"&gt;"&amp;V184))</x:f>
        <x:v>17</x:v>
      </x:c>
      <x:c r="Z184" s="789" t="n">
        <x:f>IF(V184="","",1+COUNTIF($V$19:$V$186,"&gt;"&amp;V184))</x:f>
        <x:v>65</x:v>
      </x:c>
      <x:c r="AA184" s="772" t="str">
        <x:f>IF(C184=0,"No specialisations recorded",IF(D184&lt;C184,"Review missing level","Recorded skills only"))</x:f>
        <x:v>Recorded skills only</x:v>
      </x:c>
      <x:c r="AB184" s="783" t="n">
        <x:f>IF(OR(AP184&lt;&gt;"Yes",E184=0),"",IFERROR(100*(COUNTIFS($AP$19:$AP$186,"Yes",$E$19:$E$186,"&gt;0",$I$19:$I$186,"&lt;"&amp;I184)+(COUNTIFS($AP$19:$AP$186,"Yes",$E$19:$E$186,"&gt;0",$I$19:$I$186,I184)-1)/2)/(COUNTIFS($AP$19:$AP$186,"Yes",$E$19:$E$186,"&gt;0")-1),50))</x:f>
        <x:v>31.16883116883117</x:v>
      </x:c>
      <x:c r="AC184" s="783" t="n">
        <x:f>IF(AB184="","",AB184*'Specialisation Rankings'!$O$16+R184*'Specialisation Rankings'!$O$17)</x:f>
        <x:v>26.233766233766236</x:v>
      </x:c>
      <x:c r="AD184" s="783" t="n">
        <x:f>IF(AC184="","",COUNTIFS($A$19:$A$186,A184,$AP$19:$AP$186,"Yes",$E$19:$E$186,"&gt;0",$AC$19:$AC$186,"&gt;"&amp;AC184)+COUNTIFS($A$19:A184,A184,$AP$19:AP184,"Yes",$E$19:E184,"&gt;0",$AC$19:AC184,AC184))</x:f>
        <x:v>16</x:v>
      </x:c>
      <x:c r="AE184" s="783" t="n">
        <x:f>IF(OR(AP184&lt;&gt;"Yes",E184=0),"",IFERROR(100*(COUNTIFS($AP$19:$AP$186,"Yes",$E$19:$E$186,"&gt;0",$H$19:$H$186,"&lt;"&amp;H184)+(COUNTIFS($AP$19:$AP$186,"Yes",$E$19:$E$186,"&gt;0",$H$19:$H$186,H184)-1)/2)/(COUNTIFS($AP$19:$AP$186,"Yes",$E$19:$E$186,"&gt;0")-1),50))</x:f>
        <x:v>11.688311688311689</x:v>
      </x:c>
      <x:c r="AF184" s="783" t="n">
        <x:f>IF(AE184="","",AE184*'Specialisation Rankings'!$O$16+R184*'Specialisation Rankings'!$O$17)</x:f>
        <x:v>10.649350649350652</x:v>
      </x:c>
      <x:c r="AG184" s="783" t="n">
        <x:f>IF(AF184="","",COUNTIFS($A$19:$A$186,A184,$AP$19:$AP$186,"Yes",$E$19:$E$186,"&gt;0",$AF$19:$AF$186,"&gt;"&amp;AF184)+COUNTIFS($A$19:A184,A184,$AP$19:AP184,"Yes",$E$19:E184,"&gt;0",$AF$19:AF184,AF184))</x:f>
        <x:v>26</x:v>
      </x:c>
      <x:c r="AH184" s="783" t="n">
        <x:f>IF(OR(AP184&lt;&gt;"Yes",E184=0),"",IFERROR(100*(COUNTIFS($AP$19:$AP$186,"Yes",$E$19:$E$186,"&gt;0",$J$19:$J$186,"&lt;"&amp;J184)+(COUNTIFS($AP$19:$AP$186,"Yes",$E$19:$E$186,"&gt;0",$J$19:$J$186,J184)-1)/2)/(COUNTIFS($AP$19:$AP$186,"Yes",$E$19:$E$186,"&gt;0")-1),50))</x:f>
        <x:v>33.116883116883116</x:v>
      </x:c>
      <x:c r="AI184" s="783" t="n">
        <x:f>IF(AH184="","",AH184*'Specialisation Rankings'!$O$16+R184*'Specialisation Rankings'!$O$17)</x:f>
        <x:v>27.792207792207794</x:v>
      </x:c>
      <x:c r="AJ184" s="783" t="n">
        <x:f>IF(AI184="","",COUNTIFS($A$19:$A$186,A184,$AP$19:$AP$186,"Yes",$E$19:$E$186,"&gt;0",$AI$19:$AI$186,"&gt;"&amp;AI184)+COUNTIFS($A$19:A184,A184,$AP$19:AP184,"Yes",$E$19:E184,"&gt;0",$AI$19:AI184,AI184))</x:f>
        <x:v>22</x:v>
      </x:c>
      <x:c r="AK184" s="783" t="n">
        <x:f>IF(OR(AP184&lt;&gt;"Yes",E184=0),"",IF(M184=0,'Specialisation Rankings'!$O$23,V184))</x:f>
        <x:v>43.58974358974359</x:v>
      </x:c>
      <x:c r="AL184" s="783" t="n">
        <x:f>IF(AK184="","",COUNTIFS($A$19:$A$186,A184,$AP$19:$AP$186,"Yes",$E$19:$E$186,"&gt;0",$AK$19:$AK$186,"&gt;"&amp;AK184)+COUNTIFS($A$19:A184,A184,$AP$19:AP184,"Yes",$E$19:E184,"&gt;0",$AK$19:AK184,AK184))</x:f>
        <x:v>23</x:v>
      </x:c>
      <x:c r="AM184" s="783" t="n">
        <x:f>IF(AC184="","",AC184*'Specialisation Rankings'!$O$18+AF184*'Specialisation Rankings'!$O$19+AI184*'Specialisation Rankings'!$O$20+AK184*'Specialisation Rankings'!$O$21)</x:f>
        <x:v>26.644688644688642</x:v>
      </x:c>
      <x:c r="AN184" s="789" t="n">
        <x:f>IF(AM184="","",COUNTIFS($A$19:$A$186,A184,$AP$19:$AP$186,"Yes",$E$19:$E$186,"&gt;0",$AM$19:$AM$186,"&gt;"&amp;AM184)+COUNTIFS($A$19:A184,A184,$AP$19:AP184,"Yes",$E$19:E184,"&gt;0",$AM$19:AM184,AM184))</x:f>
        <x:v>20</x:v>
      </x:c>
      <x:c r="AO184" s="789" t="n">
        <x:f>IF(AM184="","",COUNTIFS($AP$19:$AP$186,"Yes",$E$19:$E$186,"&gt;0",$AM$19:$AM$186,"&gt;"&amp;AM184)+COUNTIFS($AP$19:AP184,"Yes",$E$19:E184,"&gt;0",$AM$19:AM184,AM184))</x:f>
        <x:v>133</x:v>
      </x:c>
      <x:c r="AP184" s="772" t="str">
        <x:f>IF(COUNTIFS('Player Scenario Model'!$A$6:$A$172,A184,'Player Scenario Model'!$B$6:$B$172,B184)&gt;0,"Yes","No")</x:f>
        <x:v>Yes</x:v>
      </x:c>
    </x:row>
    <x:row r="185">
      <x:c r="A185" s="774" t="str">
        <x:v>K138</x:v>
      </x:c>
      <x:c r="B185" s="774" t="str">
        <x:v>(RaW)ⓀⒶⓃⓃⓄⓃ</x:v>
      </x:c>
      <x:c r="C185" s="789" t="n">
        <x:f>COUNTIFS('Specialisations'!$A$6:$A$527,A185,'Specialisations'!$B$6:$B$527,B185)</x:f>
        <x:v>2</x:v>
      </x:c>
      <x:c r="D185" s="789" t="n">
        <x:f>COUNTIFS('Specialisations'!$A$6:$A$527,A185,'Specialisations'!$B$6:$B$527,B185,'Specialisations'!$P$6:$P$527,"OK")</x:f>
        <x:v>2</x:v>
      </x:c>
      <x:c r="E185" s="789" t="n">
        <x:f>COUNTIFS('Specialisations'!$A$6:$A$527,A185,'Specialisations'!$B$6:$B$527,B185,'Specialisations'!$P$6:$P$527,"OK",'Specialisations'!$C$6:$C$527,"&lt;&gt;Guards")</x:f>
        <x:v>1</x:v>
      </x:c>
      <x:c r="F185" s="782" t="n">
        <x:f>IF(C185=0,"",D185/C185)</x:f>
        <x:v>1</x:v>
      </x:c>
      <x:c r="G185" s="784" t="n">
        <x:f>SUMIFS('Specialisations'!$Q$6:$Q$527,'Specialisations'!$A$6:$A$527,A185,'Specialisations'!$B$6:$B$527,B185,'Specialisations'!$C$6:$C$527,"Guards")</x:f>
        <x:v>-33.13</x:v>
      </x:c>
      <x:c r="H185" s="784" t="n">
        <x:f>SUMIFS('Specialisations'!$Q$6:$Q$527,'Specialisations'!$A$6:$A$527,A185,'Specialisations'!$B$6:$B$527,B185,'Specialisations'!$C$6:$C$527,"Archers")</x:f>
        <x:v>0</x:v>
      </x:c>
      <x:c r="I185" s="784" t="n">
        <x:f>SUMIFS('Specialisations'!$Q$6:$Q$527,'Specialisations'!$A$6:$A$527,A185,'Specialisations'!$B$6:$B$527,B185,'Specialisations'!$C$6:$C$527,"Cavalry")</x:f>
        <x:v>45.13</x:v>
      </x:c>
      <x:c r="J185" s="784" t="n">
        <x:f>SUMIFS('Specialisations'!$Q$6:$Q$527,'Specialisations'!$A$6:$A$527,A185,'Specialisations'!$B$6:$B$527,B185,'Specialisations'!$C$6:$C$527,"Siege")</x:f>
        <x:v>0</x:v>
      </x:c>
      <x:c r="K185" s="784" t="n">
        <x:f>SUM(H185:J185)</x:f>
        <x:v>45.13</x:v>
      </x:c>
      <x:c r="L185" s="784" t="n">
        <x:f>SUM(G185,K185)</x:f>
        <x:v>12</x:v>
      </x:c>
      <x:c r="M185" s="781" t="n">
        <x:f>SUMIFS('Specialisations'!$N$6:$N$527,'Specialisations'!$A$6:$A$527,A185,'Specialisations'!$B$6:$B$527,B185,'Specialisations'!$C$6:$C$527,"Guards")</x:f>
        <x:v>2844300</x:v>
      </x:c>
      <x:c r="N185" s="781" t="n">
        <x:f>SUMIFS('Specialisations'!$N$6:$N$527,'Specialisations'!$A$6:$A$527,A185,'Specialisations'!$B$6:$B$527,B185,'Specialisations'!$C$6:$C$527,"&lt;&gt;Guards")</x:f>
        <x:v>5004300</x:v>
      </x:c>
      <x:c r="O185" s="781" t="n">
        <x:f>SUM(M185:N185)</x:f>
        <x:v>7848600</x:v>
      </x:c>
      <x:c r="P185" s="783" t="n">
        <x:f>IF(E185=0,"",K185/E185)</x:f>
        <x:v>45.13</x:v>
      </x:c>
      <x:c r="Q185" s="783" t="n">
        <x:f>IF(E185=0,"",IFERROR(100*(COUNTIFS($E$19:$E$186,"&gt;0",$K$19:$K$186,"&lt;"&amp;K185)+(COUNTIFS($E$19:$E$186,"&gt;0",$K$19:$K$186,K185)-1)/2)/(COUNTIF($E$19:$E$186,"&gt;0")-1),50))</x:f>
        <x:v>9.415584415584416</x:v>
      </x:c>
      <x:c r="R185" s="783" t="n">
        <x:f>IF(E185=0,"",IFERROR(100*(COUNTIFS($E$19:$E$186,"&gt;0",$N$19:$N$186,"&lt;"&amp;N185)+(COUNTIFS($E$19:$E$186,"&gt;0",$N$19:$N$186,N185)-1)/2)/(COUNTIF($E$19:$E$186,"&gt;0")-1),50))</x:f>
        <x:v>12.012987012987013</x:v>
      </x:c>
      <x:c r="S185" s="783" t="n">
        <x:f>IF(E185=0,"",Q185*$R$5+R185*$R$6)</x:f>
        <x:v>9.935064935064934</x:v>
      </x:c>
      <x:c r="T185" s="783" t="n">
        <x:f>IF(M185=0,"",IFERROR(100*(COUNTIFS($M$19:$M$186,"&gt;0",$G$19:$G$186,"&gt;"&amp;G185)+(COUNTIFS($M$19:$M$186,"&gt;0",$G$19:$G$186,G185)-1)/2)/(COUNTIF($M$19:$M$186,"&gt;0")-1),50))</x:f>
        <x:v>43.58974358974359</x:v>
      </x:c>
      <x:c r="U185" s="783" t="n">
        <x:f>IF(M185=0,"",IFERROR(100*(COUNTIFS($M$19:$M$186,"&gt;0",$M$19:$M$186,"&lt;"&amp;M185)+(COUNTIFS($M$19:$M$186,"&gt;0",$M$19:$M$186,M185)-1)/2)/(COUNTIF($M$19:$M$186,"&gt;0")-1),50))</x:f>
        <x:v>43.58974358974359</x:v>
      </x:c>
      <x:c r="V185" s="783" t="n">
        <x:f>IF(M185=0,"",T185*$R$5+U185*$R$6)</x:f>
        <x:v>43.58974358974359</x:v>
      </x:c>
      <x:c r="W185" s="789" t="n">
        <x:f>IF(E185=0,"",COUNTIFS($A$19:$A$186,A185,$S$19:$S$186,"&gt;"&amp;S185)+COUNTIFS($A$19:A185,A185,$E$19:E185,"&gt;0",$S$19:S185,S185))</x:f>
        <x:v>19</x:v>
      </x:c>
      <x:c r="X185" s="789" t="n">
        <x:f>IF(S185="","",1+COUNTIF($S$19:$S$186,"&gt;"&amp;S185))</x:f>
        <x:v>139</x:v>
      </x:c>
      <x:c r="Y185" s="789" t="n">
        <x:f>IF(V185="","",1+COUNTIFS($A$19:$A$186,A185,$V$19:$V$186,"&gt;"&amp;V185))</x:f>
        <x:v>17</x:v>
      </x:c>
      <x:c r="Z185" s="789" t="n">
        <x:f>IF(V185="","",1+COUNTIF($V$19:$V$186,"&gt;"&amp;V185))</x:f>
        <x:v>65</x:v>
      </x:c>
      <x:c r="AA185" s="772" t="str">
        <x:f>IF(C185=0,"No specialisations recorded",IF(D185&lt;C185,"Review missing level","Recorded skills only"))</x:f>
        <x:v>Recorded skills only</x:v>
      </x:c>
      <x:c r="AB185" s="783" t="n">
        <x:f>IF(OR(AP185&lt;&gt;"Yes",E185=0),"",IFERROR(100*(COUNTIFS($AP$19:$AP$186,"Yes",$E$19:$E$186,"&gt;0",$I$19:$I$186,"&lt;"&amp;I185)+(COUNTIFS($AP$19:$AP$186,"Yes",$E$19:$E$186,"&gt;0",$I$19:$I$186,I185)-1)/2)/(COUNTIFS($AP$19:$AP$186,"Yes",$E$19:$E$186,"&gt;0")-1),50))</x:f>
        <x:v>37.66233766233766</x:v>
      </x:c>
      <x:c r="AC185" s="783" t="n">
        <x:f>IF(AB185="","",AB185*'Specialisation Rankings'!$O$16+R185*'Specialisation Rankings'!$O$17)</x:f>
        <x:v>32.532467532467535</x:v>
      </x:c>
      <x:c r="AD185" s="783" t="n">
        <x:f>IF(AC185="","",COUNTIFS($A$19:$A$186,A185,$AP$19:$AP$186,"Yes",$E$19:$E$186,"&gt;0",$AC$19:$AC$186,"&gt;"&amp;AC185)+COUNTIFS($A$19:A185,A185,$AP$19:AP185,"Yes",$E$19:E185,"&gt;0",$AC$19:AC185,AC185))</x:f>
        <x:v>13</x:v>
      </x:c>
      <x:c r="AE185" s="783" t="n">
        <x:f>IF(OR(AP185&lt;&gt;"Yes",E185=0),"",IFERROR(100*(COUNTIFS($AP$19:$AP$186,"Yes",$E$19:$E$186,"&gt;0",$H$19:$H$186,"&lt;"&amp;H185)+(COUNTIFS($AP$19:$AP$186,"Yes",$E$19:$E$186,"&gt;0",$H$19:$H$186,H185)-1)/2)/(COUNTIFS($AP$19:$AP$186,"Yes",$E$19:$E$186,"&gt;0")-1),50))</x:f>
        <x:v>11.688311688311689</x:v>
      </x:c>
      <x:c r="AF185" s="783" t="n">
        <x:f>IF(AE185="","",AE185*'Specialisation Rankings'!$O$16+R185*'Specialisation Rankings'!$O$17)</x:f>
        <x:v>11.753246753246755</x:v>
      </x:c>
      <x:c r="AG185" s="783" t="n">
        <x:f>IF(AF185="","",COUNTIFS($A$19:$A$186,A185,$AP$19:$AP$186,"Yes",$E$19:$E$186,"&gt;0",$AF$19:$AF$186,"&gt;"&amp;AF185)+COUNTIFS($A$19:A185,A185,$AP$19:AP185,"Yes",$E$19:E185,"&gt;0",$AF$19:AF185,AF185))</x:f>
        <x:v>25</x:v>
      </x:c>
      <x:c r="AH185" s="783" t="n">
        <x:f>IF(OR(AP185&lt;&gt;"Yes",E185=0),"",IFERROR(100*(COUNTIFS($AP$19:$AP$186,"Yes",$E$19:$E$186,"&gt;0",$J$19:$J$186,"&lt;"&amp;J185)+(COUNTIFS($AP$19:$AP$186,"Yes",$E$19:$E$186,"&gt;0",$J$19:$J$186,J185)-1)/2)/(COUNTIFS($AP$19:$AP$186,"Yes",$E$19:$E$186,"&gt;0")-1),50))</x:f>
        <x:v>33.116883116883116</x:v>
      </x:c>
      <x:c r="AI185" s="783" t="n">
        <x:f>IF(AH185="","",AH185*'Specialisation Rankings'!$O$16+R185*'Specialisation Rankings'!$O$17)</x:f>
        <x:v>28.896103896103895</x:v>
      </x:c>
      <x:c r="AJ185" s="783" t="n">
        <x:f>IF(AI185="","",COUNTIFS($A$19:$A$186,A185,$AP$19:$AP$186,"Yes",$E$19:$E$186,"&gt;0",$AI$19:$AI$186,"&gt;"&amp;AI185)+COUNTIFS($A$19:A185,A185,$AP$19:AP185,"Yes",$E$19:E185,"&gt;0",$AI$19:AI185,AI185))</x:f>
        <x:v>17</x:v>
      </x:c>
      <x:c r="AK185" s="783" t="n">
        <x:f>IF(OR(AP185&lt;&gt;"Yes",E185=0),"",IF(M185=0,'Specialisation Rankings'!$O$23,V185))</x:f>
        <x:v>43.58974358974359</x:v>
      </x:c>
      <x:c r="AL185" s="783" t="n">
        <x:f>IF(AK185="","",COUNTIFS($A$19:$A$186,A185,$AP$19:$AP$186,"Yes",$E$19:$E$186,"&gt;0",$AK$19:$AK$186,"&gt;"&amp;AK185)+COUNTIFS($A$19:A185,A185,$AP$19:AP185,"Yes",$E$19:E185,"&gt;0",$AK$19:AK185,AK185))</x:f>
        <x:v>24</x:v>
      </x:c>
      <x:c r="AM185" s="783" t="n">
        <x:f>IF(AC185="","",AC185*'Specialisation Rankings'!$O$18+AF185*'Specialisation Rankings'!$O$19+AI185*'Specialisation Rankings'!$O$20+AK185*'Specialisation Rankings'!$O$21)</x:f>
        <x:v>31.014818514818515</x:v>
      </x:c>
      <x:c r="AN185" s="789" t="n">
        <x:f>IF(AM185="","",COUNTIFS($A$19:$A$186,A185,$AP$19:$AP$186,"Yes",$E$19:$E$186,"&gt;0",$AM$19:$AM$186,"&gt;"&amp;AM185)+COUNTIFS($A$19:A185,A185,$AP$19:AP185,"Yes",$E$19:E185,"&gt;0",$AM$19:AM185,AM185))</x:f>
        <x:v>17</x:v>
      </x:c>
      <x:c r="AO185" s="789" t="n">
        <x:f>IF(AM185="","",COUNTIFS($AP$19:$AP$186,"Yes",$E$19:$E$186,"&gt;0",$AM$19:$AM$186,"&gt;"&amp;AM185)+COUNTIFS($AP$19:AP185,"Yes",$E$19:E185,"&gt;0",$AM$19:AM185,AM185))</x:f>
        <x:v>119</x:v>
      </x:c>
      <x:c r="AP185" s="772" t="str">
        <x:f>IF(COUNTIFS('Player Scenario Model'!$A$6:$A$172,A185,'Player Scenario Model'!$B$6:$B$172,B185)&gt;0,"Yes","No")</x:f>
        <x:v>Yes</x:v>
      </x:c>
    </x:row>
    <x:row r="186">
      <x:c r="A186" s="771" t="str">
        <x:v>K138</x:v>
      </x:c>
      <x:c r="B186" s="771" t="str">
        <x:v>(RaW)Des</x:v>
      </x:c>
      <x:c r="C186" s="789" t="n">
        <x:f>COUNTIFS('Specialisations'!$A$6:$A$527,A186,'Specialisations'!$B$6:$B$527,B186)</x:f>
        <x:v>2</x:v>
      </x:c>
      <x:c r="D186" s="789" t="n">
        <x:f>COUNTIFS('Specialisations'!$A$6:$A$527,A186,'Specialisations'!$B$6:$B$527,B186,'Specialisations'!$P$6:$P$527,"OK")</x:f>
        <x:v>2</x:v>
      </x:c>
      <x:c r="E186" s="789" t="n">
        <x:f>COUNTIFS('Specialisations'!$A$6:$A$527,A186,'Specialisations'!$B$6:$B$527,B186,'Specialisations'!$P$6:$P$527,"OK",'Specialisations'!$C$6:$C$527,"&lt;&gt;Guards")</x:f>
        <x:v>1</x:v>
      </x:c>
      <x:c r="F186" s="782" t="n">
        <x:f>IF(C186=0,"",D186/C186)</x:f>
        <x:v>1</x:v>
      </x:c>
      <x:c r="G186" s="784" t="n">
        <x:f>SUMIFS('Specialisations'!$Q$6:$Q$527,'Specialisations'!$A$6:$A$527,A186,'Specialisations'!$B$6:$B$527,B186,'Specialisations'!$C$6:$C$527,"Guards")</x:f>
        <x:v>-60</x:v>
      </x:c>
      <x:c r="H186" s="784" t="n">
        <x:f>SUMIFS('Specialisations'!$Q$6:$Q$527,'Specialisations'!$A$6:$A$527,A186,'Specialisations'!$B$6:$B$527,B186,'Specialisations'!$C$6:$C$527,"Archers")</x:f>
        <x:v>0</x:v>
      </x:c>
      <x:c r="I186" s="784" t="n">
        <x:f>SUMIFS('Specialisations'!$Q$6:$Q$527,'Specialisations'!$A$6:$A$527,A186,'Specialisations'!$B$6:$B$527,B186,'Specialisations'!$C$6:$C$527,"Cavalry")</x:f>
        <x:v>60</x:v>
      </x:c>
      <x:c r="J186" s="784" t="n">
        <x:f>SUMIFS('Specialisations'!$Q$6:$Q$527,'Specialisations'!$A$6:$A$527,A186,'Specialisations'!$B$6:$B$527,B186,'Specialisations'!$C$6:$C$527,"Siege")</x:f>
        <x:v>0</x:v>
      </x:c>
      <x:c r="K186" s="784" t="n">
        <x:f>SUM(H186:J186)</x:f>
        <x:v>60</x:v>
      </x:c>
      <x:c r="L186" s="784" t="n">
        <x:f>SUM(G186,K186)</x:f>
        <x:v>0</x:v>
      </x:c>
      <x:c r="M186" s="781" t="n">
        <x:f>SUMIFS('Specialisations'!$N$6:$N$527,'Specialisations'!$A$6:$A$527,A186,'Specialisations'!$B$6:$B$527,B186,'Specialisations'!$C$6:$C$527,"Guards")</x:f>
        <x:v>10334300</x:v>
      </x:c>
      <x:c r="N186" s="781" t="n">
        <x:f>SUMIFS('Specialisations'!$N$6:$N$527,'Specialisations'!$A$6:$A$527,A186,'Specialisations'!$B$6:$B$527,B186,'Specialisations'!$C$6:$C$527,"&lt;&gt;Guards")</x:f>
        <x:v>10334300</x:v>
      </x:c>
      <x:c r="O186" s="781" t="n">
        <x:f>SUM(M186:N186)</x:f>
        <x:v>20668600</x:v>
      </x:c>
      <x:c r="P186" s="783" t="n">
        <x:f>IF(E186=0,"",K186/E186)</x:f>
        <x:v>60</x:v>
      </x:c>
      <x:c r="Q186" s="783" t="n">
        <x:f>IF(E186=0,"",IFERROR(100*(COUNTIFS($E$19:$E$186,"&gt;0",$K$19:$K$186,"&lt;"&amp;K186)+(COUNTIFS($E$19:$E$186,"&gt;0",$K$19:$K$186,K186)-1)/2)/(COUNTIF($E$19:$E$186,"&gt;0")-1),50))</x:f>
        <x:v>24.675324675324674</x:v>
      </x:c>
      <x:c r="R186" s="783" t="n">
        <x:f>IF(E186=0,"",IFERROR(100*(COUNTIFS($E$19:$E$186,"&gt;0",$N$19:$N$186,"&lt;"&amp;N186)+(COUNTIFS($E$19:$E$186,"&gt;0",$N$19:$N$186,N186)-1)/2)/(COUNTIF($E$19:$E$186,"&gt;0")-1),50))</x:f>
        <x:v>48.701298701298704</x:v>
      </x:c>
      <x:c r="S186" s="783" t="n">
        <x:f>IF(E186=0,"",Q186*$R$5+R186*$R$6)</x:f>
        <x:v>29.48051948051948</x:v>
      </x:c>
      <x:c r="T186" s="783" t="n">
        <x:f>IF(M186=0,"",IFERROR(100*(COUNTIFS($M$19:$M$186,"&gt;0",$G$19:$G$186,"&gt;"&amp;G186)+(COUNTIFS($M$19:$M$186,"&gt;0",$G$19:$G$186,G186)-1)/2)/(COUNTIF($M$19:$M$186,"&gt;0")-1),50))</x:f>
        <x:v>93.16239316239316</x:v>
      </x:c>
      <x:c r="U186" s="783" t="n">
        <x:f>IF(M186=0,"",IFERROR(100*(COUNTIFS($M$19:$M$186,"&gt;0",$M$19:$M$186,"&lt;"&amp;M186)+(COUNTIFS($M$19:$M$186,"&gt;0",$M$19:$M$186,M186)-1)/2)/(COUNTIF($M$19:$M$186,"&gt;0")-1),50))</x:f>
        <x:v>93.16239316239316</x:v>
      </x:c>
      <x:c r="V186" s="783" t="n">
        <x:f>IF(M186=0,"",T186*$R$5+U186*$R$6)</x:f>
        <x:v>93.16239316239316</x:v>
      </x:c>
      <x:c r="W186" s="789" t="n">
        <x:f>IF(E186=0,"",COUNTIFS($A$19:$A$186,A186,$S$19:$S$186,"&gt;"&amp;S186)+COUNTIFS($A$19:A186,A186,$E$19:E186,"&gt;0",$S$19:S186,S186))</x:f>
        <x:v>14</x:v>
      </x:c>
      <x:c r="X186" s="789" t="n">
        <x:f>IF(S186="","",1+COUNTIF($S$19:$S$186,"&gt;"&amp;S186))</x:f>
        <x:v>106</x:v>
      </x:c>
      <x:c r="Y186" s="789" t="n">
        <x:f>IF(V186="","",1+COUNTIFS($A$19:$A$186,A186,$V$19:$V$186,"&gt;"&amp;V186))</x:f>
        <x:v>1</x:v>
      </x:c>
      <x:c r="Z186" s="789" t="n">
        <x:f>IF(V186="","",1+COUNTIF($V$19:$V$186,"&gt;"&amp;V186))</x:f>
        <x:v>1</x:v>
      </x:c>
      <x:c r="AA186" s="772" t="str">
        <x:f>IF(C186=0,"No specialisations recorded",IF(D186&lt;C186,"Review missing level","Recorded skills only"))</x:f>
        <x:v>Recorded skills only</x:v>
      </x:c>
      <x:c r="AB186" s="783" t="n">
        <x:f>IF(OR(AP186&lt;&gt;"Yes",E186=0),"",IFERROR(100*(COUNTIFS($AP$19:$AP$186,"Yes",$E$19:$E$186,"&gt;0",$I$19:$I$186,"&lt;"&amp;I186)+(COUNTIFS($AP$19:$AP$186,"Yes",$E$19:$E$186,"&gt;0",$I$19:$I$186,I186)-1)/2)/(COUNTIFS($AP$19:$AP$186,"Yes",$E$19:$E$186,"&gt;0")-1),50))</x:f>
        <x:v>48.701298701298704</x:v>
      </x:c>
      <x:c r="AC186" s="783" t="n">
        <x:f>IF(AB186="","",AB186*'Specialisation Rankings'!$O$16+R186*'Specialisation Rankings'!$O$17)</x:f>
        <x:v>48.70129870129871</x:v>
      </x:c>
      <x:c r="AD186" s="783" t="n">
        <x:f>IF(AC186="","",COUNTIFS($A$19:$A$186,A186,$AP$19:$AP$186,"Yes",$E$19:$E$186,"&gt;0",$AC$19:$AC$186,"&gt;"&amp;AC186)+COUNTIFS($A$19:A186,A186,$AP$19:AP186,"Yes",$E$19:E186,"&gt;0",$AC$19:AC186,AC186))</x:f>
        <x:v>10</x:v>
      </x:c>
      <x:c r="AE186" s="783" t="n">
        <x:f>IF(OR(AP186&lt;&gt;"Yes",E186=0),"",IFERROR(100*(COUNTIFS($AP$19:$AP$186,"Yes",$E$19:$E$186,"&gt;0",$H$19:$H$186,"&lt;"&amp;H186)+(COUNTIFS($AP$19:$AP$186,"Yes",$E$19:$E$186,"&gt;0",$H$19:$H$186,H186)-1)/2)/(COUNTIFS($AP$19:$AP$186,"Yes",$E$19:$E$186,"&gt;0")-1),50))</x:f>
        <x:v>11.688311688311689</x:v>
      </x:c>
      <x:c r="AF186" s="783" t="n">
        <x:f>IF(AE186="","",AE186*'Specialisation Rankings'!$O$16+R186*'Specialisation Rankings'!$O$17)</x:f>
        <x:v>19.090909090909093</x:v>
      </x:c>
      <x:c r="AG186" s="783" t="n">
        <x:f>IF(AF186="","",COUNTIFS($A$19:$A$186,A186,$AP$19:$AP$186,"Yes",$E$19:$E$186,"&gt;0",$AF$19:$AF$186,"&gt;"&amp;AF186)+COUNTIFS($A$19:A186,A186,$AP$19:AP186,"Yes",$E$19:E186,"&gt;0",$AF$19:AF186,AF186))</x:f>
        <x:v>24</x:v>
      </x:c>
      <x:c r="AH186" s="783" t="n">
        <x:f>IF(OR(AP186&lt;&gt;"Yes",E186=0),"",IFERROR(100*(COUNTIFS($AP$19:$AP$186,"Yes",$E$19:$E$186,"&gt;0",$J$19:$J$186,"&lt;"&amp;J186)+(COUNTIFS($AP$19:$AP$186,"Yes",$E$19:$E$186,"&gt;0",$J$19:$J$186,J186)-1)/2)/(COUNTIFS($AP$19:$AP$186,"Yes",$E$19:$E$186,"&gt;0")-1),50))</x:f>
        <x:v>33.116883116883116</x:v>
      </x:c>
      <x:c r="AI186" s="783" t="n">
        <x:f>IF(AH186="","",AH186*'Specialisation Rankings'!$O$16+R186*'Specialisation Rankings'!$O$17)</x:f>
        <x:v>36.23376623376623</x:v>
      </x:c>
      <x:c r="AJ186" s="783" t="n">
        <x:f>IF(AI186="","",COUNTIFS($A$19:$A$186,A186,$AP$19:$AP$186,"Yes",$E$19:$E$186,"&gt;0",$AI$19:$AI$186,"&gt;"&amp;AI186)+COUNTIFS($A$19:A186,A186,$AP$19:AP186,"Yes",$E$19:E186,"&gt;0",$AI$19:AI186,AI186))</x:f>
        <x:v>11</x:v>
      </x:c>
      <x:c r="AK186" s="783" t="n">
        <x:f>IF(OR(AP186&lt;&gt;"Yes",E186=0),"",IF(M186=0,'Specialisation Rankings'!$O$23,V186))</x:f>
        <x:v>93.16239316239316</x:v>
      </x:c>
      <x:c r="AL186" s="783" t="n">
        <x:f>IF(AK186="","",COUNTIFS($A$19:$A$186,A186,$AP$19:$AP$186,"Yes",$E$19:$E$186,"&gt;0",$AK$19:$AK$186,"&gt;"&amp;AK186)+COUNTIFS($A$19:A186,A186,$AP$19:AP186,"Yes",$E$19:E186,"&gt;0",$AK$19:AK186,AK186))</x:f>
        <x:v>6</x:v>
      </x:c>
      <x:c r="AM186" s="783" t="n">
        <x:f>IF(AC186="","",AC186*'Specialisation Rankings'!$O$18+AF186*'Specialisation Rankings'!$O$19+AI186*'Specialisation Rankings'!$O$20+AK186*'Specialisation Rankings'!$O$21)</x:f>
        <x:v>48.316239316239326</x:v>
      </x:c>
      <x:c r="AN186" s="789" t="n">
        <x:f>IF(AM186="","",COUNTIFS($A$19:$A$186,A186,$AP$19:$AP$186,"Yes",$E$19:$E$186,"&gt;0",$AM$19:$AM$186,"&gt;"&amp;AM186)+COUNTIFS($A$19:A186,A186,$AP$19:AP186,"Yes",$E$19:E186,"&gt;0",$AM$19:AM186,AM186))</x:f>
        <x:v>10</x:v>
      </x:c>
      <x:c r="AO186" s="789" t="n">
        <x:f>IF(AM186="","",COUNTIFS($AP$19:$AP$186,"Yes",$E$19:$E$186,"&gt;0",$AM$19:$AM$186,"&gt;"&amp;AM186)+COUNTIFS($AP$19:AP186,"Yes",$E$19:E186,"&gt;0",$AM$19:AM186,AM186))</x:f>
        <x:v>78</x:v>
      </x:c>
      <x:c r="AP186" s="772" t="str">
        <x:f>IF(COUNTIFS('Player Scenario Model'!$A$6:$A$172,A186,'Player Scenario Model'!$B$6:$B$172,B186)&gt;0,"Yes","No")</x:f>
        <x:v>Yes</x:v>
      </x:c>
    </x:row>
  </x:sheetData>
  <x:mergeCells>
    <x:mergeCell ref="A1:AA1"/>
    <x:mergeCell ref="A2:AA2"/>
    <x:mergeCell ref="A4:O4"/>
    <x:mergeCell ref="Q4:AA4"/>
    <x:mergeCell ref="S5:AA5"/>
    <x:mergeCell ref="S6:AA6"/>
    <x:mergeCell ref="R7:AA7"/>
    <x:mergeCell ref="R8:AA8"/>
    <x:mergeCell ref="R9:AA9"/>
    <x:mergeCell ref="A15:AA15"/>
    <x:mergeCell ref="A16:AA16"/>
  </x:mergeCells>
  <x:conditionalFormatting sqref="F19:F182">
    <x:cfRule type="cellIs" dxfId="15" priority="1" operator="lessThan">
      <x:formula>1</x:formula>
    </x:cfRule>
  </x:conditionalFormatting>
  <x:conditionalFormatting sqref="G19:G182">
    <x:cfRule type="cellIs" dxfId="16" priority="2" operator="lessThan">
      <x:formula>0</x:formula>
    </x:cfRule>
  </x:conditionalFormatting>
  <x:conditionalFormatting sqref="S19:S182">
    <x:cfRule type="expression" dxfId="17" priority="3">
      <x:formula>AND($S19&lt;&gt;"",$S19&gt;=70)</x:formula>
    </x:cfRule>
    <x:cfRule type="expression" dxfId="18" priority="4">
      <x:formula>AND($S19&lt;&gt;"",$S19&gt;=40,$S19&lt;70)</x:formula>
    </x:cfRule>
    <x:cfRule type="expression" dxfId="19" priority="5">
      <x:formula>AND($S19&lt;&gt;"",$S19&lt;40)</x:formula>
    </x:cfRule>
  </x:conditionalFormatting>
  <x:conditionalFormatting sqref="V19:V182">
    <x:cfRule type="expression" dxfId="20" priority="6">
      <x:formula>AND($V19&lt;&gt;"",$V19&gt;=70)</x:formula>
    </x:cfRule>
    <x:cfRule type="expression" dxfId="21" priority="7">
      <x:formula>AND($V19&lt;&gt;"",$V19&gt;=40,$V19&lt;70)</x:formula>
    </x:cfRule>
    <x:cfRule type="expression" dxfId="22" priority="8">
      <x:formula>AND($V19&lt;&gt;"",$V19&lt;40)</x:formula>
    </x:cfRule>
  </x:conditionalFormatting>
  <x:conditionalFormatting sqref="AA19:AA182">
    <x:cfRule type="containsText" dxfId="23" priority="9" operator="containsText" text="Review"/>
    <x:cfRule type="containsText" dxfId="24" priority="10" operator="containsText" text="No specialisations"/>
  </x:conditionalFormatting>
  <x:conditionalFormatting sqref="D6:D13">
    <x:cfRule type="colorScale" priority="11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AC19:AC182">
    <x:cfRule type="colorScale" priority="1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F19:AF182">
    <x:cfRule type="colorScale" priority="1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I19:AI182">
    <x:cfRule type="colorScale" priority="1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M19:AM182">
    <x:cfRule type="colorScale" priority="1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ddbaec137aa4d2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3" hidden="0" customWidth="1"/>
    <x:col min="10" max="10" width="17" hidden="0" customWidth="1"/>
    <x:col min="11" max="11" width="17" hidden="0" customWidth="1"/>
    <x:col min="12" max="12" width="17" hidden="0" customWidth="1"/>
    <x:col min="13" max="13" width="13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20" hidden="0" customWidth="1"/>
    <x:col min="26" max="26" width="20" hidden="0" customWidth="1"/>
    <x:col min="27" max="27" width="20" hidden="0" customWidth="1"/>
    <x:col min="28" max="28" width="35" hidden="0" customWidth="1"/>
    <x:col min="29" max="29" width="17" hidden="0" customWidth="1"/>
  </x:cols>
  <x:sheetData>
    <x:row r="1" ht="28" customHeight="1">
      <x:c r="A1" s="504" t="str">
        <x:v>Player Specialisation Scenario Model</x:v>
      </x:c>
      <x:c r="B1" s="504"/>
      <x:c r="C1" s="504"/>
      <x:c r="D1" s="504"/>
      <x:c r="E1" s="504"/>
      <x:c r="F1" s="504"/>
      <x:c r="G1" s="504"/>
      <x:c r="H1" s="504"/>
      <x:c r="I1" s="504"/>
      <x:c r="J1" s="504"/>
      <x:c r="K1" s="504"/>
      <x:c r="L1" s="504"/>
      <x:c r="M1" s="504"/>
      <x:c r="N1" s="504"/>
      <x:c r="O1" s="504"/>
      <x:c r="P1" s="504"/>
      <x:c r="Q1" s="504"/>
      <x:c r="R1" s="504"/>
      <x:c r="S1" s="504"/>
      <x:c r="T1" s="504"/>
      <x:c r="U1" s="504"/>
      <x:c r="V1" s="504"/>
      <x:c r="W1" s="504"/>
      <x:c r="X1" s="504"/>
      <x:c r="Y1" s="504"/>
      <x:c r="Z1" s="504"/>
      <x:c r="AA1" s="504"/>
      <x:c r="AB1" s="504"/>
      <x:c r="AC1" s="504"/>
    </x:row>
    <x:row r="2" ht="30" customHeight="1">
      <x:c r="A2" s="508" t="str">
        <x:v>Offense is recalculated with the Cavalry-dominant 15% / 60% / 10% / 15% weighting. Specialisation is now applied once as a separate kingdom component; legacy player blend columns remain diagnostic only.</x:v>
      </x:c>
      <x:c r="B2" s="508"/>
      <x:c r="C2" s="508"/>
      <x:c r="D2" s="508"/>
      <x:c r="E2" s="508"/>
      <x:c r="F2" s="508"/>
      <x:c r="G2" s="508"/>
      <x:c r="H2" s="508"/>
      <x:c r="I2" s="508"/>
      <x:c r="J2" s="508"/>
      <x:c r="K2" s="508"/>
      <x:c r="L2" s="508"/>
      <x:c r="M2" s="508"/>
      <x:c r="N2" s="508"/>
      <x:c r="O2" s="508"/>
      <x:c r="P2" s="508"/>
      <x:c r="Q2" s="508"/>
      <x:c r="R2" s="508"/>
      <x:c r="S2" s="508"/>
      <x:c r="T2" s="508"/>
      <x:c r="U2" s="508"/>
      <x:c r="V2" s="508"/>
      <x:c r="W2" s="508"/>
      <x:c r="X2" s="508"/>
      <x:c r="Y2" s="508"/>
      <x:c r="Z2" s="508"/>
      <x:c r="AA2" s="508"/>
      <x:c r="AB2" s="508"/>
      <x:c r="AC2" s="50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  <x:c r="AC4" s="27"/>
    </x:row>
    <x:row r="5" ht="42" customHeight="1">
      <x:c r="A5" s="525" t="str">
        <x:v>Server</x:v>
      </x:c>
      <x:c r="B5" s="525" t="str">
        <x:v>Player</x:v>
      </x:c>
      <x:c r="C5" s="525" t="str">
        <x:v>General Score</x:v>
      </x:c>
      <x:c r="D5" s="525" t="str">
        <x:v>Cavalry Score</x:v>
      </x:c>
      <x:c r="E5" s="525" t="str">
        <x:v>Archer Score</x:v>
      </x:c>
      <x:c r="F5" s="525" t="str">
        <x:v>Siege Score</x:v>
      </x:c>
      <x:c r="G5" s="525" t="str">
        <x:v>Base Offense</x:v>
      </x:c>
      <x:c r="H5" s="525" t="str">
        <x:v>Specialist Offense</x:v>
      </x:c>
      <x:c r="I5" s="525" t="str">
        <x:v>Capture Factor</x:v>
      </x:c>
      <x:c r="J5" s="525" t="str">
        <x:v>Baseline Offense</x:v>
      </x:c>
      <x:c r="K5" s="525" t="str">
        <x:v>Recommended Offense</x:v>
      </x:c>
      <x:c r="L5" s="525" t="str">
        <x:v>High Offense</x:v>
      </x:c>
      <x:c r="M5" s="525" t="str">
        <x:v>Eligible Tank</x:v>
      </x:c>
      <x:c r="N5" s="525" t="str">
        <x:v>Base Tank</x:v>
      </x:c>
      <x:c r="O5" s="525" t="str">
        <x:v>Specialist Guard</x:v>
      </x:c>
      <x:c r="P5" s="525" t="str">
        <x:v>Baseline Tank</x:v>
      </x:c>
      <x:c r="Q5" s="525" t="str">
        <x:v>Recommended Tank</x:v>
      </x:c>
      <x:c r="R5" s="525" t="str">
        <x:v>High Tank</x:v>
      </x:c>
      <x:c r="S5" s="525" t="str">
        <x:v>Offense Rank Base</x:v>
      </x:c>
      <x:c r="T5" s="525" t="str">
        <x:v>Offense Rank Recommended</x:v>
      </x:c>
      <x:c r="U5" s="525" t="str">
        <x:v>Offense Rank High</x:v>
      </x:c>
      <x:c r="V5" s="525" t="str">
        <x:v>Tank Rank Base</x:v>
      </x:c>
      <x:c r="W5" s="525" t="str">
        <x:v>Tank Rank Recommended</x:v>
      </x:c>
      <x:c r="X5" s="525" t="str">
        <x:v>Tank Rank High</x:v>
      </x:c>
      <x:c r="Y5" s="525" t="str">
        <x:v>Tank Key Base</x:v>
      </x:c>
      <x:c r="Z5" s="525" t="str">
        <x:v>Tank Key Recommended</x:v>
      </x:c>
      <x:c r="AA5" s="525" t="str">
        <x:v>Tank Key High</x:v>
      </x:c>
      <x:c r="AB5" s="525" t="str">
        <x:v>Data Status</x:v>
      </x:c>
      <x:c r="AC5" s="525" t="str">
        <x:v>Guard Capture Factor</x:v>
      </x:c>
    </x:row>
    <x:row r="6">
      <x:c r="A6" s="570" t="str">
        <x:v>K60</x:v>
      </x:c>
      <x:c r="B6" s="570" t="str">
        <x:v>CerialKiller</x:v>
      </x:c>
      <x:c r="C6" s="574" t="n">
        <x:f>IF($A6="","",AVERAGE(100*((COUNTIF('All Stats'!$D$6:$D$172,"&lt;"&amp;'All Stats'!D6)+(COUNTIF('All Stats'!$D$6:$D$172,'All Stats'!D6)-1)/2)/(COUNT('All Stats'!$D$6:$D$172)-1))^'Specialisation Scenarios'!$X$10,100*((COUNTIF('All Stats'!$G$6:$G$172,"&lt;"&amp;'All Stats'!G6)+(COUNTIF('All Stats'!$G$6:$G$172,'All Stats'!G6)-1)/2)/(COUNT('All Stats'!$G$6:$G$172)-1))^'Specialisation Scenarios'!$X$10,100*((COUNTIF('All Stats'!$I$6:$I$172,"&lt;"&amp;'All Stats'!I6)+(COUNTIF('All Stats'!$I$6:$I$172,'All Stats'!I6)-1)/2)/(COUNT('All Stats'!$I$6:$I$172)-1))^'Specialisation Scenarios'!$X$10))</x:f>
        <x:v>69.74748052868632</x:v>
      </x:c>
      <x:c r="D6" s="574" t="n">
        <x:f>IF($A6="","",AVERAGE(100*((COUNTIF('All Stats'!$R$6:$R$172,"&lt;"&amp;'All Stats'!R6)+(COUNTIF('All Stats'!$R$6:$R$172,'All Stats'!R6)-1)/2)/(COUNT('All Stats'!$R$6:$R$172)-1))^'Specialisation Scenarios'!$X$10,100*((COUNTIF('All Stats'!$U$6:$U$172,"&lt;"&amp;'All Stats'!U6)+(COUNTIF('All Stats'!$U$6:$U$172,'All Stats'!U6)-1)/2)/(COUNT('All Stats'!$U$6:$U$172)-1))^'Specialisation Scenarios'!$X$10,100*((COUNTIF('All Stats'!$W$6:$W$172,"&lt;"&amp;'All Stats'!W6)+(COUNTIF('All Stats'!$W$6:$W$172,'All Stats'!W6)-1)/2)/(COUNT('All Stats'!$W$6:$W$172)-1))^'Specialisation Scenarios'!$X$10))</x:f>
        <x:v>57.08331694162291</x:v>
      </x:c>
      <x:c r="E6" s="574" t="n">
        <x:f>IF($A6="","",AVERAGE(100*((COUNTIF('All Stats'!$Y$6:$Y$172,"&lt;"&amp;'All Stats'!Y6)+(COUNTIF('All Stats'!$Y$6:$Y$172,'All Stats'!Y6)-1)/2)/(COUNT('All Stats'!$Y$6:$Y$172)-1))^'Specialisation Scenarios'!$X$10,100*((COUNTIF('All Stats'!$AB$6:$AB$172,"&lt;"&amp;'All Stats'!AB6)+(COUNTIF('All Stats'!$AB$6:$AB$172,'All Stats'!AB6)-1)/2)/(COUNT('All Stats'!$AB$6:$AB$172)-1))^'Specialisation Scenarios'!$X$10,100*((COUNTIF('All Stats'!$AD$6:$AD$172,"&lt;"&amp;'All Stats'!AD6)+(COUNTIF('All Stats'!$AD$6:$AD$172,'All Stats'!AD6)-1)/2)/(COUNT('All Stats'!$AD$6:$AD$172)-1))^'Specialisation Scenarios'!$X$10))</x:f>
        <x:v>85.44141948695703</x:v>
      </x:c>
      <x:c r="F6" s="574" t="n">
        <x:f>IF($A6="","",AVERAGE(100*((COUNTIF('All Stats'!$AF$6:$AF$172,"&lt;"&amp;'All Stats'!AF6)+(COUNTIF('All Stats'!$AF$6:$AF$172,'All Stats'!AF6)-1)/2)/(COUNT('All Stats'!$AF$6:$AF$172)-1))^'Specialisation Scenarios'!$X$10,100*((COUNTIF('All Stats'!$AI$6:$AI$172,"&lt;"&amp;'All Stats'!AI6)+(COUNTIF('All Stats'!$AI$6:$AI$172,'All Stats'!AI6)-1)/2)/(COUNT('All Stats'!$AI$6:$AI$172)-1))^'Specialisation Scenarios'!$X$10,100*((COUNTIF('All Stats'!$AK$6:$AK$172,"&lt;"&amp;'All Stats'!AK6)+(COUNTIF('All Stats'!$AK$6:$AK$172,'All Stats'!AK6)-1)/2)/(COUNT('All Stats'!$AK$6:$AK$172)-1))^'Specialisation Scenarios'!$X$10))</x:f>
        <x:v>72.10902040836815</x:v>
      </x:c>
      <x:c r="G6" s="574" t="n">
        <x:f>IF($A6="","",C6*'Specialisation Scenarios'!$X$11+D6*'Specialisation Scenarios'!$X$12+E6*'Specialisation Scenarios'!$X$13+F6*'Specialisation Scenarios'!$X$14)</x:f>
        <x:v>64.07260725422762</x:v>
      </x:c>
      <x:c r="H6" s="574" t="n">
        <x:f>IF(SUMIFS('Specialisation Impact'!$E$19:$E$186,'Specialisation Impact'!$A$19:$A$186,A6,'Specialisation Impact'!$B$19:$B$186,B6)=0,"",SUMIFS('Specialisation Impact'!$S$19:$S$186,'Specialisation Impact'!$A$19:$A$186,A6,'Specialisation Impact'!$B$19:$B$186,B6))</x:f>
        <x:v>80.71428571428571</x:v>
      </x:c>
      <x:c r="I6" s="578" t="n">
        <x:f>IF(SUMIFS('Specialisation Impact'!$E$19:$E$186,'Specialisation Impact'!$A$19:$A$186,A6,'Specialisation Impact'!$B$19:$B$186,B6)=0,0,SUMIFS('Specialisation Impact'!$F$19:$F$186,'Specialisation Impact'!$A$19:$A$186,A6,'Specialisation Impact'!$B$19:$B$186,B6))</x:f>
        <x:v>1</x:v>
      </x:c>
      <x:c r="J6" s="574" t="n">
        <x:f>G6</x:f>
        <x:v>64.07260725422762</x:v>
      </x:c>
      <x:c r="K6" s="574" t="n">
        <x:f>IF(G6="","",IF(I6=0,G6,MAX(0,MIN(100,G6*(1-'Specialisation Scenarios'!$B$8*I6)+H6*('Specialisation Scenarios'!$B$8*I6)))))</x:f>
        <x:v>68.23302686924214</x:v>
      </x:c>
      <x:c r="L6" s="574" t="n">
        <x:f>IF(G6="","",IF(I6=0,G6,MAX(0,MIN(100,G6*(1-'Specialisation Scenarios'!$B$9*I6)+H6*('Specialisation Scenarios'!$B$9*I6)))))</x:f>
        <x:v>69.89719471524795</x:v>
      </x:c>
      <x:c r="M6" s="574" t="str">
        <x:f>IF(COUNTIFS('Tank &amp; Control'!$A$23:$A$189,A6,'Tank &amp; Control'!$B$23:$B$189,B6,'Tank &amp; Control'!$C$23:$C$189,"Yes")&gt;0,"Yes","No")</x:f>
        <x:v>Yes</x:v>
      </x:c>
      <x:c r="N6" s="574" t="n">
        <x:f>IF(M6&lt;&gt;"Yes","",SUMIFS('Tank &amp; Control'!$L$23:$L$189,'Tank &amp; Control'!$A$23:$A$189,A6,'Tank &amp; Control'!$B$23:$B$189,B6))</x:f>
        <x:v>60.82790461700929</x:v>
      </x:c>
      <x:c r="O6" s="574" t="n">
        <x:f>IF(SUMIFS('Specialisation Impact'!$M$19:$M$186,'Specialisation Impact'!$A$19:$A$186,A6,'Specialisation Impact'!$B$19:$B$186,B6)=0,"",SUMIFS('Specialisation Impact'!$V$19:$V$186,'Specialisation Impact'!$A$19:$A$186,A6,'Specialisation Impact'!$B$19:$B$186,B6))</x:f>
        <x:v>93.16239316239316</x:v>
      </x:c>
      <x:c r="P6" s="574" t="n">
        <x:f>IF(N6="","",N6)</x:f>
        <x:v>60.82790461700929</x:v>
      </x:c>
      <x:c r="Q6" s="574" t="n">
        <x:f>IF(N6="","",IF(AC6=0,N6,MAX(0,MIN(100,N6*(1-'Specialisation Scenarios'!$B$8*AC6)+O6*('Specialisation Scenarios'!$B$8*AC6)))))</x:f>
        <x:v>68.91152675335525</x:v>
      </x:c>
      <x:c r="R6" s="574" t="n">
        <x:f>IF(N6="","",IF(AC6=0,N6,MAX(0,MIN(100,N6*(1-'Specialisation Scenarios'!$B$9*AC6)+O6*('Specialisation Scenarios'!$B$9*AC6)))))</x:f>
        <x:v>72.14497560789364</x:v>
      </x:c>
      <x:c r="S6" s="582" t="n">
        <x:f>IF(J6="","",COUNTIFS($A$6:$A$172,A6,$J$6:$J$172,"&gt;"&amp;J6)+COUNTIFS($A$6:A6,A6,$J$6:J6,J6))</x:f>
        <x:v>4</x:v>
      </x:c>
      <x:c r="T6" s="582" t="n">
        <x:f>IF(K6="","",COUNTIFS($A$6:$A$172,A6,$K$6:$K$172,"&gt;"&amp;K6)+COUNTIFS($A$6:A6,A6,$K$6:K6,K6))</x:f>
        <x:v>4</x:v>
      </x:c>
      <x:c r="U6" s="582" t="n">
        <x:f>IF(L6="","",COUNTIFS($A$6:$A$172,A6,$L$6:$L$172,"&gt;"&amp;L6)+COUNTIFS($A$6:A6,A6,$L$6:L6,L6))</x:f>
        <x:v>4</x:v>
      </x:c>
      <x:c r="V6" s="582" t="n">
        <x:f>IF(P6="","",COUNTIFS($A$6:$A$172,A6,$P$6:$P$172,"&gt;"&amp;P6)+COUNTIFS($A$6:A6,A6,$P$6:P6,P6))</x:f>
        <x:v>1</x:v>
      </x:c>
      <x:c r="W6" s="582" t="n">
        <x:f>IF(Q6="","",COUNTIFS($A$6:$A$172,A6,$Q$6:$Q$172,"&gt;"&amp;Q6)+COUNTIFS($A$6:A6,A6,$Q$6:Q6,Q6))</x:f>
        <x:v>1</x:v>
      </x:c>
      <x:c r="X6" s="582" t="n">
        <x:f>IF(R6="","",COUNTIFS($A$6:$A$172,A6,$R$6:$R$172,"&gt;"&amp;R6)+COUNTIFS($A$6:A6,A6,$R$6:R6,R6))</x:f>
        <x:v>1</x:v>
      </x:c>
      <x:c r="Y6" s="570" t="str">
        <x:f>IF(V6="","",A6&amp;"|"&amp;V6)</x:f>
        <x:v>K60|1</x:v>
      </x:c>
      <x:c r="Z6" s="570" t="str">
        <x:f>IF(W6="","",A6&amp;"|"&amp;W6)</x:f>
        <x:v>K60|1</x:v>
      </x:c>
      <x:c r="AA6" s="570" t="str">
        <x:f>IF(X6="","",A6&amp;"|"&amp;X6)</x:f>
        <x:v>K60|1</x:v>
      </x:c>
      <x:c r="AB6" s="570" t="str">
        <x:f>IF(A6="","",IF(I6=0,"Offense neutral — no recorded offensive skills",IF(I6&lt;1,"Partial lookup — adjustment scaled",IF(AND(M6="Yes",AC6=0),"Offense adjusted; Guard neutral","Captured"))))</x:f>
        <x:v>Captured</x:v>
      </x:c>
      <x:c r="AC6" s="578" t="n">
        <x:f>IF(SUMIFS('Specialisation Impact'!$M$19:$M$186,'Specialisation Impact'!$A$19:$A$186,A6,'Specialisation Impact'!$B$19:$B$186,B6)=0,0,SUMIFS('Specialisation Impact'!$F$19:$F$186,'Specialisation Impact'!$A$19:$A$186,A6,'Specialisation Impact'!$B$19:$B$186,B6))</x:f>
        <x:v>1</x:v>
      </x:c>
    </x:row>
    <x:row r="7">
      <x:c r="A7" s="571" t="str">
        <x:v>K60</x:v>
      </x:c>
      <x:c r="B7" s="571" t="str">
        <x:v>Hitt</x:v>
      </x:c>
      <x:c r="C7" s="575" t="n">
        <x:f>IF($A7="","",AVERAGE(100*((COUNTIF('All Stats'!$D$6:$D$172,"&lt;"&amp;'All Stats'!D7)+(COUNTIF('All Stats'!$D$6:$D$172,'All Stats'!D7)-1)/2)/(COUNT('All Stats'!$D$6:$D$172)-1))^'Specialisation Scenarios'!$X$10,100*((COUNTIF('All Stats'!$G$6:$G$172,"&lt;"&amp;'All Stats'!G7)+(COUNTIF('All Stats'!$G$6:$G$172,'All Stats'!G7)-1)/2)/(COUNT('All Stats'!$G$6:$G$172)-1))^'Specialisation Scenarios'!$X$10,100*((COUNTIF('All Stats'!$I$6:$I$172,"&lt;"&amp;'All Stats'!I7)+(COUNTIF('All Stats'!$I$6:$I$172,'All Stats'!I7)-1)/2)/(COUNT('All Stats'!$I$6:$I$172)-1))^'Specialisation Scenarios'!$X$10))</x:f>
        <x:v>10.353558618901472</x:v>
      </x:c>
      <x:c r="D7" s="575" t="n">
        <x:f>IF($A7="","",AVERAGE(100*((COUNTIF('All Stats'!$R$6:$R$172,"&lt;"&amp;'All Stats'!R7)+(COUNTIF('All Stats'!$R$6:$R$172,'All Stats'!R7)-1)/2)/(COUNT('All Stats'!$R$6:$R$172)-1))^'Specialisation Scenarios'!$X$10,100*((COUNTIF('All Stats'!$U$6:$U$172,"&lt;"&amp;'All Stats'!U7)+(COUNTIF('All Stats'!$U$6:$U$172,'All Stats'!U7)-1)/2)/(COUNT('All Stats'!$U$6:$U$172)-1))^'Specialisation Scenarios'!$X$10,100*((COUNTIF('All Stats'!$W$6:$W$172,"&lt;"&amp;'All Stats'!W7)+(COUNTIF('All Stats'!$W$6:$W$172,'All Stats'!W7)-1)/2)/(COUNT('All Stats'!$W$6:$W$172)-1))^'Specialisation Scenarios'!$X$10))</x:f>
        <x:v>29.831348458603333</x:v>
      </x:c>
      <x:c r="E7" s="575" t="n">
        <x:f>IF($A7="","",AVERAGE(100*((COUNTIF('All Stats'!$Y$6:$Y$172,"&lt;"&amp;'All Stats'!Y7)+(COUNTIF('All Stats'!$Y$6:$Y$172,'All Stats'!Y7)-1)/2)/(COUNT('All Stats'!$Y$6:$Y$172)-1))^'Specialisation Scenarios'!$X$10,100*((COUNTIF('All Stats'!$AB$6:$AB$172,"&lt;"&amp;'All Stats'!AB7)+(COUNTIF('All Stats'!$AB$6:$AB$172,'All Stats'!AB7)-1)/2)/(COUNT('All Stats'!$AB$6:$AB$172)-1))^'Specialisation Scenarios'!$X$10,100*((COUNTIF('All Stats'!$AD$6:$AD$172,"&lt;"&amp;'All Stats'!AD7)+(COUNTIF('All Stats'!$AD$6:$AD$172,'All Stats'!AD7)-1)/2)/(COUNT('All Stats'!$AD$6:$AD$172)-1))^'Specialisation Scenarios'!$X$10))</x:f>
        <x:v>29.37707391442069</x:v>
      </x:c>
      <x:c r="F7" s="575" t="n">
        <x:f>IF($A7="","",AVERAGE(100*((COUNTIF('All Stats'!$AF$6:$AF$172,"&lt;"&amp;'All Stats'!AF7)+(COUNTIF('All Stats'!$AF$6:$AF$172,'All Stats'!AF7)-1)/2)/(COUNT('All Stats'!$AF$6:$AF$172)-1))^'Specialisation Scenarios'!$X$10,100*((COUNTIF('All Stats'!$AI$6:$AI$172,"&lt;"&amp;'All Stats'!AI7)+(COUNTIF('All Stats'!$AI$6:$AI$172,'All Stats'!AI7)-1)/2)/(COUNT('All Stats'!$AI$6:$AI$172)-1))^'Specialisation Scenarios'!$X$10,100*((COUNTIF('All Stats'!$AK$6:$AK$172,"&lt;"&amp;'All Stats'!AK7)+(COUNTIF('All Stats'!$AK$6:$AK$172,'All Stats'!AK7)-1)/2)/(COUNT('All Stats'!$AK$6:$AK$172)-1))^'Specialisation Scenarios'!$X$10))</x:f>
        <x:v>7.314751939064341</x:v>
      </x:c>
      <x:c r="G7" s="575" t="n">
        <x:f>IF($A7="","",C7*'Specialisation Scenarios'!$X$11+D7*'Specialisation Scenarios'!$X$12+E7*'Specialisation Scenarios'!$X$13+F7*'Specialisation Scenarios'!$X$14)</x:f>
        <x:v>23.48676305029894</x:v>
      </x:c>
      <x:c r="H7" s="575" t="n">
        <x:f>IF(SUMIFS('Specialisation Impact'!$E$19:$E$186,'Specialisation Impact'!$A$19:$A$186,A7,'Specialisation Impact'!$B$19:$B$186,B7)=0,"",SUMIFS('Specialisation Impact'!$S$19:$S$186,'Specialisation Impact'!$A$19:$A$186,A7,'Specialisation Impact'!$B$19:$B$186,B7))</x:f>
        <x:v>53.506493506493506</x:v>
      </x:c>
      <x:c r="I7" s="579" t="n">
        <x:f>IF(SUMIFS('Specialisation Impact'!$E$19:$E$186,'Specialisation Impact'!$A$19:$A$186,A7,'Specialisation Impact'!$B$19:$B$186,B7)=0,0,SUMIFS('Specialisation Impact'!$F$19:$F$186,'Specialisation Impact'!$A$19:$A$186,A7,'Specialisation Impact'!$B$19:$B$186,B7))</x:f>
        <x:v>1</x:v>
      </x:c>
      <x:c r="J7" s="575" t="n">
        <x:f>G7</x:f>
        <x:v>23.48676305029894</x:v>
      </x:c>
      <x:c r="K7" s="575" t="n">
        <x:f>IF(G7="","",IF(I7=0,G7,MAX(0,MIN(100,G7*(1-'Specialisation Scenarios'!$B$8*I7)+H7*('Specialisation Scenarios'!$B$8*I7)))))</x:f>
        <x:v>30.99169566434758</x:v>
      </x:c>
      <x:c r="L7" s="575" t="n">
        <x:f>IF(G7="","",IF(I7=0,G7,MAX(0,MIN(100,G7*(1-'Specialisation Scenarios'!$B$9*I7)+H7*('Specialisation Scenarios'!$B$9*I7)))))</x:f>
        <x:v>33.99366870996704</x:v>
      </x:c>
      <x:c r="M7" s="575" t="str">
        <x:f>IF(COUNTIFS('Tank &amp; Control'!$A$23:$A$189,A7,'Tank &amp; Control'!$B$23:$B$189,B7,'Tank &amp; Control'!$C$23:$C$189,"Yes")&gt;0,"Yes","No")</x:f>
        <x:v>No</x:v>
      </x:c>
      <x:c r="N7" s="575" t="str">
        <x:f>IF(M7&lt;&gt;"Yes","",SUMIFS('Tank &amp; Control'!$L$23:$L$189,'Tank &amp; Control'!$A$23:$A$189,A7,'Tank &amp; Control'!$B$23:$B$189,B7))</x:f>
      </x:c>
      <x:c r="O7" s="575" t="n">
        <x:f>IF(SUMIFS('Specialisation Impact'!$M$19:$M$186,'Specialisation Impact'!$A$19:$A$186,A7,'Specialisation Impact'!$B$19:$B$186,B7)=0,"",SUMIFS('Specialisation Impact'!$V$19:$V$186,'Specialisation Impact'!$A$19:$A$186,A7,'Specialisation Impact'!$B$19:$B$186,B7))</x:f>
        <x:v>29.48717948717949</x:v>
      </x:c>
      <x:c r="P7" s="575" t="str">
        <x:f>IF(N7="","",N7)</x:f>
      </x:c>
      <x:c r="Q7" s="575" t="str">
        <x:f>IF(N7="","",IF(AC7=0,N7,MAX(0,MIN(100,N7*(1-'Specialisation Scenarios'!$B$8*AC7)+O7*('Specialisation Scenarios'!$B$8*AC7)))))</x:f>
      </x:c>
      <x:c r="R7" s="575" t="str">
        <x:f>IF(N7="","",IF(AC7=0,N7,MAX(0,MIN(100,N7*(1-'Specialisation Scenarios'!$B$9*AC7)+O7*('Specialisation Scenarios'!$B$9*AC7)))))</x:f>
      </x:c>
      <x:c r="S7" s="583" t="n">
        <x:f>IF(J7="","",COUNTIFS($A$6:$A$172,A7,$J$6:$J$172,"&gt;"&amp;J7)+COUNTIFS($A$6:A7,A7,$J$6:J7,J7))</x:f>
        <x:v>23</x:v>
      </x:c>
      <x:c r="T7" s="583" t="n">
        <x:f>IF(K7="","",COUNTIFS($A$6:$A$172,A7,$K$6:$K$172,"&gt;"&amp;K7)+COUNTIFS($A$6:A7,A7,$K$6:K7,K7))</x:f>
        <x:v>22</x:v>
      </x:c>
      <x:c r="U7" s="583" t="n">
        <x:f>IF(L7="","",COUNTIFS($A$6:$A$172,A7,$L$6:$L$172,"&gt;"&amp;L7)+COUNTIFS($A$6:A7,A7,$L$6:L7,L7))</x:f>
        <x:v>23</x:v>
      </x:c>
      <x:c r="V7" s="583" t="str">
        <x:f>IF(P7="","",COUNTIFS($A$6:$A$172,A7,$P$6:$P$172,"&gt;"&amp;P7)+COUNTIFS($A$6:A7,A7,$P$6:P7,P7))</x:f>
      </x:c>
      <x:c r="W7" s="583" t="str">
        <x:f>IF(Q7="","",COUNTIFS($A$6:$A$172,A7,$Q$6:$Q$172,"&gt;"&amp;Q7)+COUNTIFS($A$6:A7,A7,$Q$6:Q7,Q7))</x:f>
      </x:c>
      <x:c r="X7" s="583" t="str">
        <x:f>IF(R7="","",COUNTIFS($A$6:$A$172,A7,$R$6:$R$172,"&gt;"&amp;R7)+COUNTIFS($A$6:A7,A7,$R$6:R7,R7))</x:f>
      </x:c>
      <x:c r="Y7" s="571" t="str">
        <x:f>IF(V7="","",A7&amp;"|"&amp;V7)</x:f>
      </x:c>
      <x:c r="Z7" s="571" t="str">
        <x:f>IF(W7="","",A7&amp;"|"&amp;W7)</x:f>
      </x:c>
      <x:c r="AA7" s="571" t="str">
        <x:f>IF(X7="","",A7&amp;"|"&amp;X7)</x:f>
      </x:c>
      <x:c r="AB7" s="571" t="str">
        <x:f>IF(A7="","",IF(I7=0,"Offense neutral — no recorded offensive skills",IF(I7&lt;1,"Partial lookup — adjustment scaled",IF(AND(M7="Yes",AC7=0),"Offense adjusted; Guard neutral","Captured"))))</x:f>
        <x:v>Captured</x:v>
      </x:c>
      <x:c r="AC7" s="579" t="n">
        <x:f>IF(SUMIFS('Specialisation Impact'!$M$19:$M$186,'Specialisation Impact'!$A$19:$A$186,A7,'Specialisation Impact'!$B$19:$B$186,B7)=0,0,SUMIFS('Specialisation Impact'!$F$19:$F$186,'Specialisation Impact'!$A$19:$A$186,A7,'Specialisation Impact'!$B$19:$B$186,B7))</x:f>
        <x:v>1</x:v>
      </x:c>
    </x:row>
    <x:row r="8">
      <x:c r="A8" s="572" t="str">
        <x:v>K60</x:v>
      </x:c>
      <x:c r="B8" s="572" t="str">
        <x:v>Λžtěč (Aztec)</x:v>
      </x:c>
      <x:c r="C8" s="576" t="n">
        <x:f>IF($A8="","",AVERAGE(100*((COUNTIF('All Stats'!$D$6:$D$172,"&lt;"&amp;'All Stats'!D8)+(COUNTIF('All Stats'!$D$6:$D$172,'All Stats'!D8)-1)/2)/(COUNT('All Stats'!$D$6:$D$172)-1))^'Specialisation Scenarios'!$X$10,100*((COUNTIF('All Stats'!$G$6:$G$172,"&lt;"&amp;'All Stats'!G8)+(COUNTIF('All Stats'!$G$6:$G$172,'All Stats'!G8)-1)/2)/(COUNT('All Stats'!$G$6:$G$172)-1))^'Specialisation Scenarios'!$X$10,100*((COUNTIF('All Stats'!$I$6:$I$172,"&lt;"&amp;'All Stats'!I8)+(COUNTIF('All Stats'!$I$6:$I$172,'All Stats'!I8)-1)/2)/(COUNT('All Stats'!$I$6:$I$172)-1))^'Specialisation Scenarios'!$X$10))</x:f>
        <x:v>39.626363165805</x:v>
      </x:c>
      <x:c r="D8" s="576" t="n">
        <x:f>IF($A8="","",AVERAGE(100*((COUNTIF('All Stats'!$R$6:$R$172,"&lt;"&amp;'All Stats'!R8)+(COUNTIF('All Stats'!$R$6:$R$172,'All Stats'!R8)-1)/2)/(COUNT('All Stats'!$R$6:$R$172)-1))^'Specialisation Scenarios'!$X$10,100*((COUNTIF('All Stats'!$U$6:$U$172,"&lt;"&amp;'All Stats'!U8)+(COUNTIF('All Stats'!$U$6:$U$172,'All Stats'!U8)-1)/2)/(COUNT('All Stats'!$U$6:$U$172)-1))^'Specialisation Scenarios'!$X$10,100*((COUNTIF('All Stats'!$W$6:$W$172,"&lt;"&amp;'All Stats'!W8)+(COUNTIF('All Stats'!$W$6:$W$172,'All Stats'!W8)-1)/2)/(COUNT('All Stats'!$W$6:$W$172)-1))^'Specialisation Scenarios'!$X$10))</x:f>
        <x:v>27.49808735551497</x:v>
      </x:c>
      <x:c r="E8" s="576" t="n">
        <x:f>IF($A8="","",AVERAGE(100*((COUNTIF('All Stats'!$Y$6:$Y$172,"&lt;"&amp;'All Stats'!Y8)+(COUNTIF('All Stats'!$Y$6:$Y$172,'All Stats'!Y8)-1)/2)/(COUNT('All Stats'!$Y$6:$Y$172)-1))^'Specialisation Scenarios'!$X$10,100*((COUNTIF('All Stats'!$AB$6:$AB$172,"&lt;"&amp;'All Stats'!AB8)+(COUNTIF('All Stats'!$AB$6:$AB$172,'All Stats'!AB8)-1)/2)/(COUNT('All Stats'!$AB$6:$AB$172)-1))^'Specialisation Scenarios'!$X$10,100*((COUNTIF('All Stats'!$AD$6:$AD$172,"&lt;"&amp;'All Stats'!AD8)+(COUNTIF('All Stats'!$AD$6:$AD$172,'All Stats'!AD8)-1)/2)/(COUNT('All Stats'!$AD$6:$AD$172)-1))^'Specialisation Scenarios'!$X$10))</x:f>
        <x:v>37.14755665693915</x:v>
      </x:c>
      <x:c r="F8" s="576" t="n">
        <x:f>IF($A8="","",AVERAGE(100*((COUNTIF('All Stats'!$AF$6:$AF$172,"&lt;"&amp;'All Stats'!AF8)+(COUNTIF('All Stats'!$AF$6:$AF$172,'All Stats'!AF8)-1)/2)/(COUNT('All Stats'!$AF$6:$AF$172)-1))^'Specialisation Scenarios'!$X$10,100*((COUNTIF('All Stats'!$AI$6:$AI$172,"&lt;"&amp;'All Stats'!AI8)+(COUNTIF('All Stats'!$AI$6:$AI$172,'All Stats'!AI8)-1)/2)/(COUNT('All Stats'!$AI$6:$AI$172)-1))^'Specialisation Scenarios'!$X$10,100*((COUNTIF('All Stats'!$AK$6:$AK$172,"&lt;"&amp;'All Stats'!AK8)+(COUNTIF('All Stats'!$AK$6:$AK$172,'All Stats'!AK8)-1)/2)/(COUNT('All Stats'!$AK$6:$AK$172)-1))^'Specialisation Scenarios'!$X$10))</x:f>
        <x:v>14.436333390582028</x:v>
      </x:c>
      <x:c r="G8" s="576" t="n">
        <x:f>IF($A8="","",C8*'Specialisation Scenarios'!$X$11+D8*'Specialisation Scenarios'!$X$12+E8*'Specialisation Scenarios'!$X$13+F8*'Specialisation Scenarios'!$X$14)</x:f>
        <x:v>28.32301256246095</x:v>
      </x:c>
      <x:c r="H8" s="576" t="n">
        <x:f>IF(SUMIFS('Specialisation Impact'!$E$19:$E$186,'Specialisation Impact'!$A$19:$A$186,A8,'Specialisation Impact'!$B$19:$B$186,B8)=0,"",SUMIFS('Specialisation Impact'!$S$19:$S$186,'Specialisation Impact'!$A$19:$A$186,A8,'Specialisation Impact'!$B$19:$B$186,B8))</x:f>
        <x:v>56.23376623376623</x:v>
      </x:c>
      <x:c r="I8" s="580" t="n">
        <x:f>IF(SUMIFS('Specialisation Impact'!$E$19:$E$186,'Specialisation Impact'!$A$19:$A$186,A8,'Specialisation Impact'!$B$19:$B$186,B8)=0,0,SUMIFS('Specialisation Impact'!$F$19:$F$186,'Specialisation Impact'!$A$19:$A$186,A8,'Specialisation Impact'!$B$19:$B$186,B8))</x:f>
        <x:v>1</x:v>
      </x:c>
      <x:c r="J8" s="576" t="n">
        <x:f>G8</x:f>
        <x:v>28.32301256246095</x:v>
      </x:c>
      <x:c r="K8" s="576" t="n">
        <x:f>IF(G8="","",IF(I8=0,G8,MAX(0,MIN(100,G8*(1-'Specialisation Scenarios'!$B$8*I8)+H8*('Specialisation Scenarios'!$B$8*I8)))))</x:f>
        <x:v>35.300700980287274</x:v>
      </x:c>
      <x:c r="L8" s="576" t="n">
        <x:f>IF(G8="","",IF(I8=0,G8,MAX(0,MIN(100,G8*(1-'Specialisation Scenarios'!$B$9*I8)+H8*('Specialisation Scenarios'!$B$9*I8)))))</x:f>
        <x:v>38.0917763474178</x:v>
      </x:c>
      <x:c r="M8" s="576" t="str">
        <x:f>IF(COUNTIFS('Tank &amp; Control'!$A$23:$A$189,A8,'Tank &amp; Control'!$B$23:$B$189,B8,'Tank &amp; Control'!$C$23:$C$189,"Yes")&gt;0,"Yes","No")</x:f>
        <x:v>No</x:v>
      </x:c>
      <x:c r="N8" s="576" t="str">
        <x:f>IF(M8&lt;&gt;"Yes","",SUMIFS('Tank &amp; Control'!$L$23:$L$189,'Tank &amp; Control'!$A$23:$A$189,A8,'Tank &amp; Control'!$B$23:$B$189,B8))</x:f>
      </x:c>
      <x:c r="O8" s="576" t="n">
        <x:f>IF(SUMIFS('Specialisation Impact'!$M$19:$M$186,'Specialisation Impact'!$A$19:$A$186,A8,'Specialisation Impact'!$B$19:$B$186,B8)=0,"",SUMIFS('Specialisation Impact'!$V$19:$V$186,'Specialisation Impact'!$A$19:$A$186,A8,'Specialisation Impact'!$B$19:$B$186,B8))</x:f>
        <x:v>29.48717948717949</x:v>
      </x:c>
      <x:c r="P8" s="576" t="str">
        <x:f>IF(N8="","",N8)</x:f>
      </x:c>
      <x:c r="Q8" s="576" t="str">
        <x:f>IF(N8="","",IF(AC8=0,N8,MAX(0,MIN(100,N8*(1-'Specialisation Scenarios'!$B$8*AC8)+O8*('Specialisation Scenarios'!$B$8*AC8)))))</x:f>
      </x:c>
      <x:c r="R8" s="576" t="str">
        <x:f>IF(N8="","",IF(AC8=0,N8,MAX(0,MIN(100,N8*(1-'Specialisation Scenarios'!$B$9*AC8)+O8*('Specialisation Scenarios'!$B$9*AC8)))))</x:f>
      </x:c>
      <x:c r="S8" s="584" t="n">
        <x:f>IF(J8="","",COUNTIFS($A$6:$A$172,A8,$J$6:$J$172,"&gt;"&amp;J8)+COUNTIFS($A$6:A8,A8,$J$6:J8,J8))</x:f>
        <x:v>19</x:v>
      </x:c>
      <x:c r="T8" s="584" t="n">
        <x:f>IF(K8="","",COUNTIFS($A$6:$A$172,A8,$K$6:$K$172,"&gt;"&amp;K8)+COUNTIFS($A$6:A8,A8,$K$6:K8,K8))</x:f>
        <x:v>19</x:v>
      </x:c>
      <x:c r="U8" s="584" t="n">
        <x:f>IF(L8="","",COUNTIFS($A$6:$A$172,A8,$L$6:$L$172,"&gt;"&amp;L8)+COUNTIFS($A$6:A8,A8,$L$6:L8,L8))</x:f>
        <x:v>20</x:v>
      </x:c>
      <x:c r="V8" s="584" t="str">
        <x:f>IF(P8="","",COUNTIFS($A$6:$A$172,A8,$P$6:$P$172,"&gt;"&amp;P8)+COUNTIFS($A$6:A8,A8,$P$6:P8,P8))</x:f>
      </x:c>
      <x:c r="W8" s="584" t="str">
        <x:f>IF(Q8="","",COUNTIFS($A$6:$A$172,A8,$Q$6:$Q$172,"&gt;"&amp;Q8)+COUNTIFS($A$6:A8,A8,$Q$6:Q8,Q8))</x:f>
      </x:c>
      <x:c r="X8" s="584" t="str">
        <x:f>IF(R8="","",COUNTIFS($A$6:$A$172,A8,$R$6:$R$172,"&gt;"&amp;R8)+COUNTIFS($A$6:A8,A8,$R$6:R8,R8))</x:f>
      </x:c>
      <x:c r="Y8" s="572" t="str">
        <x:f>IF(V8="","",A8&amp;"|"&amp;V8)</x:f>
      </x:c>
      <x:c r="Z8" s="572" t="str">
        <x:f>IF(W8="","",A8&amp;"|"&amp;W8)</x:f>
      </x:c>
      <x:c r="AA8" s="572" t="str">
        <x:f>IF(X8="","",A8&amp;"|"&amp;X8)</x:f>
      </x:c>
      <x:c r="AB8" s="572" t="str">
        <x:f>IF(A8="","",IF(I8=0,"Offense neutral — no recorded offensive skills",IF(I8&lt;1,"Partial lookup — adjustment scaled",IF(AND(M8="Yes",AC8=0),"Offense adjusted; Guard neutral","Captured"))))</x:f>
        <x:v>Captured</x:v>
      </x:c>
      <x:c r="AC8" s="580" t="n">
        <x:f>IF(SUMIFS('Specialisation Impact'!$M$19:$M$186,'Specialisation Impact'!$A$19:$A$186,A8,'Specialisation Impact'!$B$19:$B$186,B8)=0,0,SUMIFS('Specialisation Impact'!$F$19:$F$186,'Specialisation Impact'!$A$19:$A$186,A8,'Specialisation Impact'!$B$19:$B$186,B8))</x:f>
        <x:v>1</x:v>
      </x:c>
    </x:row>
    <x:row r="9">
      <x:c r="A9" s="571" t="str">
        <x:v>K60</x:v>
      </x:c>
      <x:c r="B9" s="571" t="str">
        <x:v>MoonLight</x:v>
      </x:c>
      <x:c r="C9" s="575" t="n">
        <x:f>IF($A9="","",AVERAGE(100*((COUNTIF('All Stats'!$D$6:$D$172,"&lt;"&amp;'All Stats'!D9)+(COUNTIF('All Stats'!$D$6:$D$172,'All Stats'!D9)-1)/2)/(COUNT('All Stats'!$D$6:$D$172)-1))^'Specialisation Scenarios'!$X$10,100*((COUNTIF('All Stats'!$G$6:$G$172,"&lt;"&amp;'All Stats'!G9)+(COUNTIF('All Stats'!$G$6:$G$172,'All Stats'!G9)-1)/2)/(COUNT('All Stats'!$G$6:$G$172)-1))^'Specialisation Scenarios'!$X$10,100*((COUNTIF('All Stats'!$I$6:$I$172,"&lt;"&amp;'All Stats'!I9)+(COUNTIF('All Stats'!$I$6:$I$172,'All Stats'!I9)-1)/2)/(COUNT('All Stats'!$I$6:$I$172)-1))^'Specialisation Scenarios'!$X$10))</x:f>
        <x:v>49.0526686418085</x:v>
      </x:c>
      <x:c r="D9" s="575" t="n">
        <x:f>IF($A9="","",AVERAGE(100*((COUNTIF('All Stats'!$R$6:$R$172,"&lt;"&amp;'All Stats'!R9)+(COUNTIF('All Stats'!$R$6:$R$172,'All Stats'!R9)-1)/2)/(COUNT('All Stats'!$R$6:$R$172)-1))^'Specialisation Scenarios'!$X$10,100*((COUNTIF('All Stats'!$U$6:$U$172,"&lt;"&amp;'All Stats'!U9)+(COUNTIF('All Stats'!$U$6:$U$172,'All Stats'!U9)-1)/2)/(COUNT('All Stats'!$U$6:$U$172)-1))^'Specialisation Scenarios'!$X$10,100*((COUNTIF('All Stats'!$W$6:$W$172,"&lt;"&amp;'All Stats'!W9)+(COUNTIF('All Stats'!$W$6:$W$172,'All Stats'!W9)-1)/2)/(COUNT('All Stats'!$W$6:$W$172)-1))^'Specialisation Scenarios'!$X$10))</x:f>
        <x:v>45.98717446507584</x:v>
      </x:c>
      <x:c r="E9" s="575" t="n">
        <x:f>IF($A9="","",AVERAGE(100*((COUNTIF('All Stats'!$Y$6:$Y$172,"&lt;"&amp;'All Stats'!Y9)+(COUNTIF('All Stats'!$Y$6:$Y$172,'All Stats'!Y9)-1)/2)/(COUNT('All Stats'!$Y$6:$Y$172)-1))^'Specialisation Scenarios'!$X$10,100*((COUNTIF('All Stats'!$AB$6:$AB$172,"&lt;"&amp;'All Stats'!AB9)+(COUNTIF('All Stats'!$AB$6:$AB$172,'All Stats'!AB9)-1)/2)/(COUNT('All Stats'!$AB$6:$AB$172)-1))^'Specialisation Scenarios'!$X$10,100*((COUNTIF('All Stats'!$AD$6:$AD$172,"&lt;"&amp;'All Stats'!AD9)+(COUNTIF('All Stats'!$AD$6:$AD$172,'All Stats'!AD9)-1)/2)/(COUNT('All Stats'!$AD$6:$AD$172)-1))^'Specialisation Scenarios'!$X$10))</x:f>
        <x:v>55.77709823542549</x:v>
      </x:c>
      <x:c r="F9" s="575" t="n">
        <x:f>IF($A9="","",AVERAGE(100*((COUNTIF('All Stats'!$AF$6:$AF$172,"&lt;"&amp;'All Stats'!AF9)+(COUNTIF('All Stats'!$AF$6:$AF$172,'All Stats'!AF9)-1)/2)/(COUNT('All Stats'!$AF$6:$AF$172)-1))^'Specialisation Scenarios'!$X$10,100*((COUNTIF('All Stats'!$AI$6:$AI$172,"&lt;"&amp;'All Stats'!AI9)+(COUNTIF('All Stats'!$AI$6:$AI$172,'All Stats'!AI9)-1)/2)/(COUNT('All Stats'!$AI$6:$AI$172)-1))^'Specialisation Scenarios'!$X$10,100*((COUNTIF('All Stats'!$AK$6:$AK$172,"&lt;"&amp;'All Stats'!AK9)+(COUNTIF('All Stats'!$AK$6:$AK$172,'All Stats'!AK9)-1)/2)/(COUNT('All Stats'!$AK$6:$AK$172)-1))^'Specialisation Scenarios'!$X$10))</x:f>
        <x:v>21.38115485048925</x:v>
      </x:c>
      <x:c r="G9" s="575" t="n">
        <x:f>IF($A9="","",C9*'Specialisation Scenarios'!$X$11+D9*'Specialisation Scenarios'!$X$12+E9*'Specialisation Scenarios'!$X$13+F9*'Specialisation Scenarios'!$X$14)</x:f>
        <x:v>43.73508802643271</x:v>
      </x:c>
      <x:c r="H9" s="575" t="n">
        <x:f>IF(SUMIFS('Specialisation Impact'!$E$19:$E$186,'Specialisation Impact'!$A$19:$A$186,A9,'Specialisation Impact'!$B$19:$B$186,B9)=0,"",SUMIFS('Specialisation Impact'!$S$19:$S$186,'Specialisation Impact'!$A$19:$A$186,A9,'Specialisation Impact'!$B$19:$B$186,B9))</x:f>
        <x:v>29.35064935064935</x:v>
      </x:c>
      <x:c r="I9" s="579" t="n">
        <x:f>IF(SUMIFS('Specialisation Impact'!$E$19:$E$186,'Specialisation Impact'!$A$19:$A$186,A9,'Specialisation Impact'!$B$19:$B$186,B9)=0,0,SUMIFS('Specialisation Impact'!$F$19:$F$186,'Specialisation Impact'!$A$19:$A$186,A9,'Specialisation Impact'!$B$19:$B$186,B9))</x:f>
        <x:v>1</x:v>
      </x:c>
      <x:c r="J9" s="575" t="n">
        <x:f>G9</x:f>
        <x:v>43.73508802643271</x:v>
      </x:c>
      <x:c r="K9" s="575" t="n">
        <x:f>IF(G9="","",IF(I9=0,G9,MAX(0,MIN(100,G9*(1-'Specialisation Scenarios'!$B$8*I9)+H9*('Specialisation Scenarios'!$B$8*I9)))))</x:f>
        <x:v>40.13897835748687</x:v>
      </x:c>
      <x:c r="L9" s="575" t="n">
        <x:f>IF(G9="","",IF(I9=0,G9,MAX(0,MIN(100,G9*(1-'Specialisation Scenarios'!$B$9*I9)+H9*('Specialisation Scenarios'!$B$9*I9)))))</x:f>
        <x:v>38.700534489908534</x:v>
      </x:c>
      <x:c r="M9" s="575" t="str">
        <x:f>IF(COUNTIFS('Tank &amp; Control'!$A$23:$A$189,A9,'Tank &amp; Control'!$B$23:$B$189,B9,'Tank &amp; Control'!$C$23:$C$189,"Yes")&gt;0,"Yes","No")</x:f>
        <x:v>No</x:v>
      </x:c>
      <x:c r="N9" s="575" t="str">
        <x:f>IF(M9&lt;&gt;"Yes","",SUMIFS('Tank &amp; Control'!$L$23:$L$189,'Tank &amp; Control'!$A$23:$A$189,A9,'Tank &amp; Control'!$B$23:$B$189,B9))</x:f>
      </x:c>
      <x:c r="O9" s="575" t="n">
        <x:f>IF(SUMIFS('Specialisation Impact'!$M$19:$M$186,'Specialisation Impact'!$A$19:$A$186,A9,'Specialisation Impact'!$B$19:$B$186,B9)=0,"",SUMIFS('Specialisation Impact'!$V$19:$V$186,'Specialisation Impact'!$A$19:$A$186,A9,'Specialisation Impact'!$B$19:$B$186,B9))</x:f>
        <x:v>29.48717948717949</x:v>
      </x:c>
      <x:c r="P9" s="575" t="str">
        <x:f>IF(N9="","",N9)</x:f>
      </x:c>
      <x:c r="Q9" s="575" t="str">
        <x:f>IF(N9="","",IF(AC9=0,N9,MAX(0,MIN(100,N9*(1-'Specialisation Scenarios'!$B$8*AC9)+O9*('Specialisation Scenarios'!$B$8*AC9)))))</x:f>
      </x:c>
      <x:c r="R9" s="575" t="str">
        <x:f>IF(N9="","",IF(AC9=0,N9,MAX(0,MIN(100,N9*(1-'Specialisation Scenarios'!$B$9*AC9)+O9*('Specialisation Scenarios'!$B$9*AC9)))))</x:f>
      </x:c>
      <x:c r="S9" s="583" t="n">
        <x:f>IF(J9="","",COUNTIFS($A$6:$A$172,A9,$J$6:$J$172,"&gt;"&amp;J9)+COUNTIFS($A$6:A9,A9,$J$6:J9,J9))</x:f>
        <x:v>13</x:v>
      </x:c>
      <x:c r="T9" s="583" t="n">
        <x:f>IF(K9="","",COUNTIFS($A$6:$A$172,A9,$K$6:$K$172,"&gt;"&amp;K9)+COUNTIFS($A$6:A9,A9,$K$6:K9,K9))</x:f>
        <x:v>16</x:v>
      </x:c>
      <x:c r="U9" s="583" t="n">
        <x:f>IF(L9="","",COUNTIFS($A$6:$A$172,A9,$L$6:$L$172,"&gt;"&amp;L9)+COUNTIFS($A$6:A9,A9,$L$6:L9,L9))</x:f>
        <x:v>18</x:v>
      </x:c>
      <x:c r="V9" s="583" t="str">
        <x:f>IF(P9="","",COUNTIFS($A$6:$A$172,A9,$P$6:$P$172,"&gt;"&amp;P9)+COUNTIFS($A$6:A9,A9,$P$6:P9,P9))</x:f>
      </x:c>
      <x:c r="W9" s="583" t="str">
        <x:f>IF(Q9="","",COUNTIFS($A$6:$A$172,A9,$Q$6:$Q$172,"&gt;"&amp;Q9)+COUNTIFS($A$6:A9,A9,$Q$6:Q9,Q9))</x:f>
      </x:c>
      <x:c r="X9" s="583" t="str">
        <x:f>IF(R9="","",COUNTIFS($A$6:$A$172,A9,$R$6:$R$172,"&gt;"&amp;R9)+COUNTIFS($A$6:A9,A9,$R$6:R9,R9))</x:f>
      </x:c>
      <x:c r="Y9" s="571" t="str">
        <x:f>IF(V9="","",A9&amp;"|"&amp;V9)</x:f>
      </x:c>
      <x:c r="Z9" s="571" t="str">
        <x:f>IF(W9="","",A9&amp;"|"&amp;W9)</x:f>
      </x:c>
      <x:c r="AA9" s="571" t="str">
        <x:f>IF(X9="","",A9&amp;"|"&amp;X9)</x:f>
      </x:c>
      <x:c r="AB9" s="571" t="str">
        <x:f>IF(A9="","",IF(I9=0,"Offense neutral — no recorded offensive skills",IF(I9&lt;1,"Partial lookup — adjustment scaled",IF(AND(M9="Yes",AC9=0),"Offense adjusted; Guard neutral","Captured"))))</x:f>
        <x:v>Captured</x:v>
      </x:c>
      <x:c r="AC9" s="579" t="n">
        <x:f>IF(SUMIFS('Specialisation Impact'!$M$19:$M$186,'Specialisation Impact'!$A$19:$A$186,A9,'Specialisation Impact'!$B$19:$B$186,B9)=0,0,SUMIFS('Specialisation Impact'!$F$19:$F$186,'Specialisation Impact'!$A$19:$A$186,A9,'Specialisation Impact'!$B$19:$B$186,B9))</x:f>
        <x:v>1</x:v>
      </x:c>
    </x:row>
    <x:row r="10">
      <x:c r="A10" s="572" t="str">
        <x:v>K60</x:v>
      </x:c>
      <x:c r="B10" s="572" t="str">
        <x:v>KingSkorpioN</x:v>
      </x:c>
      <x:c r="C10" s="576" t="n">
        <x:f>IF($A10="","",AVERAGE(100*((COUNTIF('All Stats'!$D$6:$D$172,"&lt;"&amp;'All Stats'!D10)+(COUNTIF('All Stats'!$D$6:$D$172,'All Stats'!D10)-1)/2)/(COUNT('All Stats'!$D$6:$D$172)-1))^'Specialisation Scenarios'!$X$10,100*((COUNTIF('All Stats'!$G$6:$G$172,"&lt;"&amp;'All Stats'!G10)+(COUNTIF('All Stats'!$G$6:$G$172,'All Stats'!G10)-1)/2)/(COUNT('All Stats'!$G$6:$G$172)-1))^'Specialisation Scenarios'!$X$10,100*((COUNTIF('All Stats'!$I$6:$I$172,"&lt;"&amp;'All Stats'!I10)+(COUNTIF('All Stats'!$I$6:$I$172,'All Stats'!I10)-1)/2)/(COUNT('All Stats'!$I$6:$I$172)-1))^'Specialisation Scenarios'!$X$10))</x:f>
        <x:v>38.82290995105644</x:v>
      </x:c>
      <x:c r="D10" s="576" t="n">
        <x:f>IF($A10="","",AVERAGE(100*((COUNTIF('All Stats'!$R$6:$R$172,"&lt;"&amp;'All Stats'!R10)+(COUNTIF('All Stats'!$R$6:$R$172,'All Stats'!R10)-1)/2)/(COUNT('All Stats'!$R$6:$R$172)-1))^'Specialisation Scenarios'!$X$10,100*((COUNTIF('All Stats'!$U$6:$U$172,"&lt;"&amp;'All Stats'!U10)+(COUNTIF('All Stats'!$U$6:$U$172,'All Stats'!U10)-1)/2)/(COUNT('All Stats'!$U$6:$U$172)-1))^'Specialisation Scenarios'!$X$10,100*((COUNTIF('All Stats'!$W$6:$W$172,"&lt;"&amp;'All Stats'!W10)+(COUNTIF('All Stats'!$W$6:$W$172,'All Stats'!W10)-1)/2)/(COUNT('All Stats'!$W$6:$W$172)-1))^'Specialisation Scenarios'!$X$10))</x:f>
        <x:v>20.296461995261854</x:v>
      </x:c>
      <x:c r="E10" s="576" t="n">
        <x:f>IF($A10="","",AVERAGE(100*((COUNTIF('All Stats'!$Y$6:$Y$172,"&lt;"&amp;'All Stats'!Y10)+(COUNTIF('All Stats'!$Y$6:$Y$172,'All Stats'!Y10)-1)/2)/(COUNT('All Stats'!$Y$6:$Y$172)-1))^'Specialisation Scenarios'!$X$10,100*((COUNTIF('All Stats'!$AB$6:$AB$172,"&lt;"&amp;'All Stats'!AB10)+(COUNTIF('All Stats'!$AB$6:$AB$172,'All Stats'!AB10)-1)/2)/(COUNT('All Stats'!$AB$6:$AB$172)-1))^'Specialisation Scenarios'!$X$10,100*((COUNTIF('All Stats'!$AD$6:$AD$172,"&lt;"&amp;'All Stats'!AD10)+(COUNTIF('All Stats'!$AD$6:$AD$172,'All Stats'!AD10)-1)/2)/(COUNT('All Stats'!$AD$6:$AD$172)-1))^'Specialisation Scenarios'!$X$10))</x:f>
        <x:v>34.6478554799453</x:v>
      </x:c>
      <x:c r="F10" s="576" t="n">
        <x:f>IF($A10="","",AVERAGE(100*((COUNTIF('All Stats'!$AF$6:$AF$172,"&lt;"&amp;'All Stats'!AF10)+(COUNTIF('All Stats'!$AF$6:$AF$172,'All Stats'!AF10)-1)/2)/(COUNT('All Stats'!$AF$6:$AF$172)-1))^'Specialisation Scenarios'!$X$10,100*((COUNTIF('All Stats'!$AI$6:$AI$172,"&lt;"&amp;'All Stats'!AI10)+(COUNTIF('All Stats'!$AI$6:$AI$172,'All Stats'!AI10)-1)/2)/(COUNT('All Stats'!$AI$6:$AI$172)-1))^'Specialisation Scenarios'!$X$10,100*((COUNTIF('All Stats'!$AK$6:$AK$172,"&lt;"&amp;'All Stats'!AK10)+(COUNTIF('All Stats'!$AK$6:$AK$172,'All Stats'!AK10)-1)/2)/(COUNT('All Stats'!$AK$6:$AK$172)-1))^'Specialisation Scenarios'!$X$10))</x:f>
        <x:v>14.851156453926558</x:v>
      </x:c>
      <x:c r="G10" s="576" t="n">
        <x:f>IF($A10="","",C10*'Specialisation Scenarios'!$X$11+D10*'Specialisation Scenarios'!$X$12+E10*'Specialisation Scenarios'!$X$13+F10*'Specialisation Scenarios'!$X$14)</x:f>
        <x:v>23.693772705899093</x:v>
      </x:c>
      <x:c r="H10" s="576" t="n">
        <x:f>IF(SUMIFS('Specialisation Impact'!$E$19:$E$186,'Specialisation Impact'!$A$19:$A$186,A10,'Specialisation Impact'!$B$19:$B$186,B10)=0,"",SUMIFS('Specialisation Impact'!$S$19:$S$186,'Specialisation Impact'!$A$19:$A$186,A10,'Specialisation Impact'!$B$19:$B$186,B10))</x:f>
        <x:v>34.285714285714285</x:v>
      </x:c>
      <x:c r="I10" s="580" t="n">
        <x:f>IF(SUMIFS('Specialisation Impact'!$E$19:$E$186,'Specialisation Impact'!$A$19:$A$186,A10,'Specialisation Impact'!$B$19:$B$186,B10)=0,0,SUMIFS('Specialisation Impact'!$F$19:$F$186,'Specialisation Impact'!$A$19:$A$186,A10,'Specialisation Impact'!$B$19:$B$186,B10))</x:f>
        <x:v>1</x:v>
      </x:c>
      <x:c r="J10" s="576" t="n">
        <x:f>G10</x:f>
        <x:v>23.693772705899093</x:v>
      </x:c>
      <x:c r="K10" s="576" t="n">
        <x:f>IF(G10="","",IF(I10=0,G10,MAX(0,MIN(100,G10*(1-'Specialisation Scenarios'!$B$8*I10)+H10*('Specialisation Scenarios'!$B$8*I10)))))</x:f>
        <x:v>26.341758100852893</x:v>
      </x:c>
      <x:c r="L10" s="576" t="n">
        <x:f>IF(G10="","",IF(I10=0,G10,MAX(0,MIN(100,G10*(1-'Specialisation Scenarios'!$B$9*I10)+H10*('Specialisation Scenarios'!$B$9*I10)))))</x:f>
        <x:v>27.40095225883441</x:v>
      </x:c>
      <x:c r="M10" s="576" t="str">
        <x:f>IF(COUNTIFS('Tank &amp; Control'!$A$23:$A$189,A10,'Tank &amp; Control'!$B$23:$B$189,B10,'Tank &amp; Control'!$C$23:$C$189,"Yes")&gt;0,"Yes","No")</x:f>
        <x:v>No</x:v>
      </x:c>
      <x:c r="N10" s="576" t="str">
        <x:f>IF(M10&lt;&gt;"Yes","",SUMIFS('Tank &amp; Control'!$L$23:$L$189,'Tank &amp; Control'!$A$23:$A$189,A10,'Tank &amp; Control'!$B$23:$B$189,B10))</x:f>
      </x:c>
      <x:c r="O10" s="576" t="n">
        <x:f>IF(SUMIFS('Specialisation Impact'!$M$19:$M$186,'Specialisation Impact'!$A$19:$A$186,A10,'Specialisation Impact'!$B$19:$B$186,B10)=0,"",SUMIFS('Specialisation Impact'!$V$19:$V$186,'Specialisation Impact'!$A$19:$A$186,A10,'Specialisation Impact'!$B$19:$B$186,B10))</x:f>
        <x:v>29.48717948717949</x:v>
      </x:c>
      <x:c r="P10" s="576" t="str">
        <x:f>IF(N10="","",N10)</x:f>
      </x:c>
      <x:c r="Q10" s="576" t="str">
        <x:f>IF(N10="","",IF(AC10=0,N10,MAX(0,MIN(100,N10*(1-'Specialisation Scenarios'!$B$8*AC10)+O10*('Specialisation Scenarios'!$B$8*AC10)))))</x:f>
      </x:c>
      <x:c r="R10" s="576" t="str">
        <x:f>IF(N10="","",IF(AC10=0,N10,MAX(0,MIN(100,N10*(1-'Specialisation Scenarios'!$B$9*AC10)+O10*('Specialisation Scenarios'!$B$9*AC10)))))</x:f>
      </x:c>
      <x:c r="S10" s="584" t="n">
        <x:f>IF(J10="","",COUNTIFS($A$6:$A$172,A10,$J$6:$J$172,"&gt;"&amp;J10)+COUNTIFS($A$6:A10,A10,$J$6:J10,J10))</x:f>
        <x:v>22</x:v>
      </x:c>
      <x:c r="T10" s="584" t="n">
        <x:f>IF(K10="","",COUNTIFS($A$6:$A$172,A10,$K$6:$K$172,"&gt;"&amp;K10)+COUNTIFS($A$6:A10,A10,$K$6:K10,K10))</x:f>
        <x:v>24</x:v>
      </x:c>
      <x:c r="U10" s="584" t="n">
        <x:f>IF(L10="","",COUNTIFS($A$6:$A$172,A10,$L$6:$L$172,"&gt;"&amp;L10)+COUNTIFS($A$6:A10,A10,$L$6:L10,L10))</x:f>
        <x:v>24</x:v>
      </x:c>
      <x:c r="V10" s="584" t="str">
        <x:f>IF(P10="","",COUNTIFS($A$6:$A$172,A10,$P$6:$P$172,"&gt;"&amp;P10)+COUNTIFS($A$6:A10,A10,$P$6:P10,P10))</x:f>
      </x:c>
      <x:c r="W10" s="584" t="str">
        <x:f>IF(Q10="","",COUNTIFS($A$6:$A$172,A10,$Q$6:$Q$172,"&gt;"&amp;Q10)+COUNTIFS($A$6:A10,A10,$Q$6:Q10,Q10))</x:f>
      </x:c>
      <x:c r="X10" s="584" t="str">
        <x:f>IF(R10="","",COUNTIFS($A$6:$A$172,A10,$R$6:$R$172,"&gt;"&amp;R10)+COUNTIFS($A$6:A10,A10,$R$6:R10,R10))</x:f>
      </x:c>
      <x:c r="Y10" s="572" t="str">
        <x:f>IF(V10="","",A10&amp;"|"&amp;V10)</x:f>
      </x:c>
      <x:c r="Z10" s="572" t="str">
        <x:f>IF(W10="","",A10&amp;"|"&amp;W10)</x:f>
      </x:c>
      <x:c r="AA10" s="572" t="str">
        <x:f>IF(X10="","",A10&amp;"|"&amp;X10)</x:f>
      </x:c>
      <x:c r="AB10" s="572" t="str">
        <x:f>IF(A10="","",IF(I10=0,"Offense neutral — no recorded offensive skills",IF(I10&lt;1,"Partial lookup — adjustment scaled",IF(AND(M10="Yes",AC10=0),"Offense adjusted; Guard neutral","Captured"))))</x:f>
        <x:v>Captured</x:v>
      </x:c>
      <x:c r="AC10" s="580" t="n">
        <x:f>IF(SUMIFS('Specialisation Impact'!$M$19:$M$186,'Specialisation Impact'!$A$19:$A$186,A10,'Specialisation Impact'!$B$19:$B$186,B10)=0,0,SUMIFS('Specialisation Impact'!$F$19:$F$186,'Specialisation Impact'!$A$19:$A$186,A10,'Specialisation Impact'!$B$19:$B$186,B10))</x:f>
        <x:v>1</x:v>
      </x:c>
    </x:row>
    <x:row r="11">
      <x:c r="A11" s="571" t="str">
        <x:v>K60</x:v>
      </x:c>
      <x:c r="B11" s="571" t="str">
        <x:v>Crixus</x:v>
      </x:c>
      <x:c r="C11" s="575" t="n">
        <x:f>IF($A11="","",AVERAGE(100*((COUNTIF('All Stats'!$D$6:$D$172,"&lt;"&amp;'All Stats'!D11)+(COUNTIF('All Stats'!$D$6:$D$172,'All Stats'!D11)-1)/2)/(COUNT('All Stats'!$D$6:$D$172)-1))^'Specialisation Scenarios'!$X$10,100*((COUNTIF('All Stats'!$G$6:$G$172,"&lt;"&amp;'All Stats'!G11)+(COUNTIF('All Stats'!$G$6:$G$172,'All Stats'!G11)-1)/2)/(COUNT('All Stats'!$G$6:$G$172)-1))^'Specialisation Scenarios'!$X$10,100*((COUNTIF('All Stats'!$I$6:$I$172,"&lt;"&amp;'All Stats'!I11)+(COUNTIF('All Stats'!$I$6:$I$172,'All Stats'!I11)-1)/2)/(COUNT('All Stats'!$I$6:$I$172)-1))^'Specialisation Scenarios'!$X$10))</x:f>
        <x:v>50.094114559237255</x:v>
      </x:c>
      <x:c r="D11" s="575" t="n">
        <x:f>IF($A11="","",AVERAGE(100*((COUNTIF('All Stats'!$R$6:$R$172,"&lt;"&amp;'All Stats'!R11)+(COUNTIF('All Stats'!$R$6:$R$172,'All Stats'!R11)-1)/2)/(COUNT('All Stats'!$R$6:$R$172)-1))^'Specialisation Scenarios'!$X$10,100*((COUNTIF('All Stats'!$U$6:$U$172,"&lt;"&amp;'All Stats'!U11)+(COUNTIF('All Stats'!$U$6:$U$172,'All Stats'!U11)-1)/2)/(COUNT('All Stats'!$U$6:$U$172)-1))^'Specialisation Scenarios'!$X$10,100*((COUNTIF('All Stats'!$W$6:$W$172,"&lt;"&amp;'All Stats'!W11)+(COUNTIF('All Stats'!$W$6:$W$172,'All Stats'!W11)-1)/2)/(COUNT('All Stats'!$W$6:$W$172)-1))^'Specialisation Scenarios'!$X$10))</x:f>
        <x:v>51.87258891746854</x:v>
      </x:c>
      <x:c r="E11" s="575" t="n">
        <x:f>IF($A11="","",AVERAGE(100*((COUNTIF('All Stats'!$Y$6:$Y$172,"&lt;"&amp;'All Stats'!Y11)+(COUNTIF('All Stats'!$Y$6:$Y$172,'All Stats'!Y11)-1)/2)/(COUNT('All Stats'!$Y$6:$Y$172)-1))^'Specialisation Scenarios'!$X$10,100*((COUNTIF('All Stats'!$AB$6:$AB$172,"&lt;"&amp;'All Stats'!AB11)+(COUNTIF('All Stats'!$AB$6:$AB$172,'All Stats'!AB11)-1)/2)/(COUNT('All Stats'!$AB$6:$AB$172)-1))^'Specialisation Scenarios'!$X$10,100*((COUNTIF('All Stats'!$AD$6:$AD$172,"&lt;"&amp;'All Stats'!AD11)+(COUNTIF('All Stats'!$AD$6:$AD$172,'All Stats'!AD11)-1)/2)/(COUNT('All Stats'!$AD$6:$AD$172)-1))^'Specialisation Scenarios'!$X$10))</x:f>
        <x:v>47.64077590275273</x:v>
      </x:c>
      <x:c r="F11" s="575" t="n">
        <x:f>IF($A11="","",AVERAGE(100*((COUNTIF('All Stats'!$AF$6:$AF$172,"&lt;"&amp;'All Stats'!AF11)+(COUNTIF('All Stats'!$AF$6:$AF$172,'All Stats'!AF11)-1)/2)/(COUNT('All Stats'!$AF$6:$AF$172)-1))^'Specialisation Scenarios'!$X$10,100*((COUNTIF('All Stats'!$AI$6:$AI$172,"&lt;"&amp;'All Stats'!AI11)+(COUNTIF('All Stats'!$AI$6:$AI$172,'All Stats'!AI11)-1)/2)/(COUNT('All Stats'!$AI$6:$AI$172)-1))^'Specialisation Scenarios'!$X$10,100*((COUNTIF('All Stats'!$AK$6:$AK$172,"&lt;"&amp;'All Stats'!AK11)+(COUNTIF('All Stats'!$AK$6:$AK$172,'All Stats'!AK11)-1)/2)/(COUNT('All Stats'!$AK$6:$AK$172)-1))^'Specialisation Scenarios'!$X$10))</x:f>
        <x:v>17.839698192943604</x:v>
      </x:c>
      <x:c r="G11" s="575" t="n">
        <x:f>IF($A11="","",C11*'Specialisation Scenarios'!$X$11+D11*'Specialisation Scenarios'!$X$12+E11*'Specialisation Scenarios'!$X$13+F11*'Specialisation Scenarios'!$X$14)</x:f>
        <x:v>46.077702853583524</x:v>
      </x:c>
      <x:c r="H11" s="575" t="n">
        <x:f>IF(SUMIFS('Specialisation Impact'!$E$19:$E$186,'Specialisation Impact'!$A$19:$A$186,A11,'Specialisation Impact'!$B$19:$B$186,B11)=0,"",SUMIFS('Specialisation Impact'!$S$19:$S$186,'Specialisation Impact'!$A$19:$A$186,A11,'Specialisation Impact'!$B$19:$B$186,B11))</x:f>
        <x:v>58.57142857142858</x:v>
      </x:c>
      <x:c r="I11" s="579" t="n">
        <x:f>IF(SUMIFS('Specialisation Impact'!$E$19:$E$186,'Specialisation Impact'!$A$19:$A$186,A11,'Specialisation Impact'!$B$19:$B$186,B11)=0,0,SUMIFS('Specialisation Impact'!$F$19:$F$186,'Specialisation Impact'!$A$19:$A$186,A11,'Specialisation Impact'!$B$19:$B$186,B11))</x:f>
        <x:v>1</x:v>
      </x:c>
      <x:c r="J11" s="575" t="n">
        <x:f>G11</x:f>
        <x:v>46.077702853583524</x:v>
      </x:c>
      <x:c r="K11" s="575" t="n">
        <x:f>IF(G11="","",IF(I11=0,G11,MAX(0,MIN(100,G11*(1-'Specialisation Scenarios'!$B$8*I11)+H11*('Specialisation Scenarios'!$B$8*I11)))))</x:f>
        <x:v>49.20113428304479</x:v>
      </x:c>
      <x:c r="L11" s="575" t="n">
        <x:f>IF(G11="","",IF(I11=0,G11,MAX(0,MIN(100,G11*(1-'Specialisation Scenarios'!$B$9*I11)+H11*('Specialisation Scenarios'!$B$9*I11)))))</x:f>
        <x:v>50.45050685482929</x:v>
      </x:c>
      <x:c r="M11" s="575" t="str">
        <x:f>IF(COUNTIFS('Tank &amp; Control'!$A$23:$A$189,A11,'Tank &amp; Control'!$B$23:$B$189,B11,'Tank &amp; Control'!$C$23:$C$189,"Yes")&gt;0,"Yes","No")</x:f>
        <x:v>No</x:v>
      </x:c>
      <x:c r="N11" s="575" t="str">
        <x:f>IF(M11&lt;&gt;"Yes","",SUMIFS('Tank &amp; Control'!$L$23:$L$189,'Tank &amp; Control'!$A$23:$A$189,A11,'Tank &amp; Control'!$B$23:$B$189,B11))</x:f>
      </x:c>
      <x:c r="O11" s="575" t="n">
        <x:f>IF(SUMIFS('Specialisation Impact'!$M$19:$M$186,'Specialisation Impact'!$A$19:$A$186,A11,'Specialisation Impact'!$B$19:$B$186,B11)=0,"",SUMIFS('Specialisation Impact'!$V$19:$V$186,'Specialisation Impact'!$A$19:$A$186,A11,'Specialisation Impact'!$B$19:$B$186,B11))</x:f>
        <x:v>29.48717948717949</x:v>
      </x:c>
      <x:c r="P11" s="575" t="str">
        <x:f>IF(N11="","",N11)</x:f>
      </x:c>
      <x:c r="Q11" s="575" t="str">
        <x:f>IF(N11="","",IF(AC11=0,N11,MAX(0,MIN(100,N11*(1-'Specialisation Scenarios'!$B$8*AC11)+O11*('Specialisation Scenarios'!$B$8*AC11)))))</x:f>
      </x:c>
      <x:c r="R11" s="575" t="str">
        <x:f>IF(N11="","",IF(AC11=0,N11,MAX(0,MIN(100,N11*(1-'Specialisation Scenarios'!$B$9*AC11)+O11*('Specialisation Scenarios'!$B$9*AC11)))))</x:f>
      </x:c>
      <x:c r="S11" s="583" t="n">
        <x:f>IF(J11="","",COUNTIFS($A$6:$A$172,A11,$J$6:$J$172,"&gt;"&amp;J11)+COUNTIFS($A$6:A11,A11,$J$6:J11,J11))</x:f>
        <x:v>12</x:v>
      </x:c>
      <x:c r="T11" s="583" t="n">
        <x:f>IF(K11="","",COUNTIFS($A$6:$A$172,A11,$K$6:$K$172,"&gt;"&amp;K11)+COUNTIFS($A$6:A11,A11,$K$6:K11,K11))</x:f>
        <x:v>11</x:v>
      </x:c>
      <x:c r="U11" s="583" t="n">
        <x:f>IF(L11="","",COUNTIFS($A$6:$A$172,A11,$L$6:$L$172,"&gt;"&amp;L11)+COUNTIFS($A$6:A11,A11,$L$6:L11,L11))</x:f>
        <x:v>12</x:v>
      </x:c>
      <x:c r="V11" s="583" t="str">
        <x:f>IF(P11="","",COUNTIFS($A$6:$A$172,A11,$P$6:$P$172,"&gt;"&amp;P11)+COUNTIFS($A$6:A11,A11,$P$6:P11,P11))</x:f>
      </x:c>
      <x:c r="W11" s="583" t="str">
        <x:f>IF(Q11="","",COUNTIFS($A$6:$A$172,A11,$Q$6:$Q$172,"&gt;"&amp;Q11)+COUNTIFS($A$6:A11,A11,$Q$6:Q11,Q11))</x:f>
      </x:c>
      <x:c r="X11" s="583" t="str">
        <x:f>IF(R11="","",COUNTIFS($A$6:$A$172,A11,$R$6:$R$172,"&gt;"&amp;R11)+COUNTIFS($A$6:A11,A11,$R$6:R11,R11))</x:f>
      </x:c>
      <x:c r="Y11" s="571" t="str">
        <x:f>IF(V11="","",A11&amp;"|"&amp;V11)</x:f>
      </x:c>
      <x:c r="Z11" s="571" t="str">
        <x:f>IF(W11="","",A11&amp;"|"&amp;W11)</x:f>
      </x:c>
      <x:c r="AA11" s="571" t="str">
        <x:f>IF(X11="","",A11&amp;"|"&amp;X11)</x:f>
      </x:c>
      <x:c r="AB11" s="571" t="str">
        <x:f>IF(A11="","",IF(I11=0,"Offense neutral — no recorded offensive skills",IF(I11&lt;1,"Partial lookup — adjustment scaled",IF(AND(M11="Yes",AC11=0),"Offense adjusted; Guard neutral","Captured"))))</x:f>
        <x:v>Captured</x:v>
      </x:c>
      <x:c r="AC11" s="579" t="n">
        <x:f>IF(SUMIFS('Specialisation Impact'!$M$19:$M$186,'Specialisation Impact'!$A$19:$A$186,A11,'Specialisation Impact'!$B$19:$B$186,B11)=0,0,SUMIFS('Specialisation Impact'!$F$19:$F$186,'Specialisation Impact'!$A$19:$A$186,A11,'Specialisation Impact'!$B$19:$B$186,B11))</x:f>
        <x:v>1</x:v>
      </x:c>
    </x:row>
    <x:row r="12">
      <x:c r="A12" s="572" t="str">
        <x:v>K60</x:v>
      </x:c>
      <x:c r="B12" s="572" t="str">
        <x:v>Ёжик</x:v>
      </x:c>
      <x:c r="C12" s="576" t="n">
        <x:f>IF($A12="","",AVERAGE(100*((COUNTIF('All Stats'!$D$6:$D$172,"&lt;"&amp;'All Stats'!D12)+(COUNTIF('All Stats'!$D$6:$D$172,'All Stats'!D12)-1)/2)/(COUNT('All Stats'!$D$6:$D$172)-1))^'Specialisation Scenarios'!$X$10,100*((COUNTIF('All Stats'!$G$6:$G$172,"&lt;"&amp;'All Stats'!G12)+(COUNTIF('All Stats'!$G$6:$G$172,'All Stats'!G12)-1)/2)/(COUNT('All Stats'!$G$6:$G$172)-1))^'Specialisation Scenarios'!$X$10,100*((COUNTIF('All Stats'!$I$6:$I$172,"&lt;"&amp;'All Stats'!I12)+(COUNTIF('All Stats'!$I$6:$I$172,'All Stats'!I12)-1)/2)/(COUNT('All Stats'!$I$6:$I$172)-1))^'Specialisation Scenarios'!$X$10))</x:f>
        <x:v>32.24695951489205</x:v>
      </x:c>
      <x:c r="D12" s="576" t="n">
        <x:f>IF($A12="","",AVERAGE(100*((COUNTIF('All Stats'!$R$6:$R$172,"&lt;"&amp;'All Stats'!R12)+(COUNTIF('All Stats'!$R$6:$R$172,'All Stats'!R12)-1)/2)/(COUNT('All Stats'!$R$6:$R$172)-1))^'Specialisation Scenarios'!$X$10,100*((COUNTIF('All Stats'!$U$6:$U$172,"&lt;"&amp;'All Stats'!U12)+(COUNTIF('All Stats'!$U$6:$U$172,'All Stats'!U12)-1)/2)/(COUNT('All Stats'!$U$6:$U$172)-1))^'Specialisation Scenarios'!$X$10,100*((COUNTIF('All Stats'!$W$6:$W$172,"&lt;"&amp;'All Stats'!W12)+(COUNTIF('All Stats'!$W$6:$W$172,'All Stats'!W12)-1)/2)/(COUNT('All Stats'!$W$6:$W$172)-1))^'Specialisation Scenarios'!$X$10))</x:f>
        <x:v>31.12935802317205</x:v>
      </x:c>
      <x:c r="E12" s="576" t="n">
        <x:f>IF($A12="","",AVERAGE(100*((COUNTIF('All Stats'!$Y$6:$Y$172,"&lt;"&amp;'All Stats'!Y12)+(COUNTIF('All Stats'!$Y$6:$Y$172,'All Stats'!Y12)-1)/2)/(COUNT('All Stats'!$Y$6:$Y$172)-1))^'Specialisation Scenarios'!$X$10,100*((COUNTIF('All Stats'!$AB$6:$AB$172,"&lt;"&amp;'All Stats'!AB12)+(COUNTIF('All Stats'!$AB$6:$AB$172,'All Stats'!AB12)-1)/2)/(COUNT('All Stats'!$AB$6:$AB$172)-1))^'Specialisation Scenarios'!$X$10,100*((COUNTIF('All Stats'!$AD$6:$AD$172,"&lt;"&amp;'All Stats'!AD12)+(COUNTIF('All Stats'!$AD$6:$AD$172,'All Stats'!AD12)-1)/2)/(COUNT('All Stats'!$AD$6:$AD$172)-1))^'Specialisation Scenarios'!$X$10))</x:f>
        <x:v>8.55297932936843</x:v>
      </x:c>
      <x:c r="F12" s="576" t="n">
        <x:f>IF($A12="","",AVERAGE(100*((COUNTIF('All Stats'!$AF$6:$AF$172,"&lt;"&amp;'All Stats'!AF12)+(COUNTIF('All Stats'!$AF$6:$AF$172,'All Stats'!AF12)-1)/2)/(COUNT('All Stats'!$AF$6:$AF$172)-1))^'Specialisation Scenarios'!$X$10,100*((COUNTIF('All Stats'!$AI$6:$AI$172,"&lt;"&amp;'All Stats'!AI12)+(COUNTIF('All Stats'!$AI$6:$AI$172,'All Stats'!AI12)-1)/2)/(COUNT('All Stats'!$AI$6:$AI$172)-1))^'Specialisation Scenarios'!$X$10,100*((COUNTIF('All Stats'!$AK$6:$AK$172,"&lt;"&amp;'All Stats'!AK12)+(COUNTIF('All Stats'!$AK$6:$AK$172,'All Stats'!AK12)-1)/2)/(COUNT('All Stats'!$AK$6:$AK$172)-1))^'Specialisation Scenarios'!$X$10))</x:f>
        <x:v>31.034157448443626</x:v>
      </x:c>
      <x:c r="G12" s="576" t="n">
        <x:f>IF($A12="","",C12*'Specialisation Scenarios'!$X$11+D12*'Specialisation Scenarios'!$X$12+E12*'Specialisation Scenarios'!$X$13+F12*'Specialisation Scenarios'!$X$14)</x:f>
        <x:v>29.025080291340423</x:v>
      </x:c>
      <x:c r="H12" s="576" t="n">
        <x:f>IF(SUMIFS('Specialisation Impact'!$E$19:$E$186,'Specialisation Impact'!$A$19:$A$186,A12,'Specialisation Impact'!$B$19:$B$186,B12)=0,"",SUMIFS('Specialisation Impact'!$S$19:$S$186,'Specialisation Impact'!$A$19:$A$186,A12,'Specialisation Impact'!$B$19:$B$186,B12))</x:f>
        <x:v>65.64935064935065</x:v>
      </x:c>
      <x:c r="I12" s="580" t="n">
        <x:f>IF(SUMIFS('Specialisation Impact'!$E$19:$E$186,'Specialisation Impact'!$A$19:$A$186,A12,'Specialisation Impact'!$B$19:$B$186,B12)=0,0,SUMIFS('Specialisation Impact'!$F$19:$F$186,'Specialisation Impact'!$A$19:$A$186,A12,'Specialisation Impact'!$B$19:$B$186,B12))</x:f>
        <x:v>1</x:v>
      </x:c>
      <x:c r="J12" s="576" t="n">
        <x:f>G12</x:f>
        <x:v>29.025080291340423</x:v>
      </x:c>
      <x:c r="K12" s="576" t="n">
        <x:f>IF(G12="","",IF(I12=0,G12,MAX(0,MIN(100,G12*(1-'Specialisation Scenarios'!$B$8*I12)+H12*('Specialisation Scenarios'!$B$8*I12)))))</x:f>
        <x:v>38.18114788084298</x:v>
      </x:c>
      <x:c r="L12" s="576" t="n">
        <x:f>IF(G12="","",IF(I12=0,G12,MAX(0,MIN(100,G12*(1-'Specialisation Scenarios'!$B$9*I12)+H12*('Specialisation Scenarios'!$B$9*I12)))))</x:f>
        <x:v>41.843574916644</x:v>
      </x:c>
      <x:c r="M12" s="576" t="str">
        <x:f>IF(COUNTIFS('Tank &amp; Control'!$A$23:$A$189,A12,'Tank &amp; Control'!$B$23:$B$189,B12,'Tank &amp; Control'!$C$23:$C$189,"Yes")&gt;0,"Yes","No")</x:f>
        <x:v>No</x:v>
      </x:c>
      <x:c r="N12" s="576" t="str">
        <x:f>IF(M12&lt;&gt;"Yes","",SUMIFS('Tank &amp; Control'!$L$23:$L$189,'Tank &amp; Control'!$A$23:$A$189,A12,'Tank &amp; Control'!$B$23:$B$189,B12))</x:f>
      </x:c>
      <x:c r="O12" s="576" t="n">
        <x:f>IF(SUMIFS('Specialisation Impact'!$M$19:$M$186,'Specialisation Impact'!$A$19:$A$186,A12,'Specialisation Impact'!$B$19:$B$186,B12)=0,"",SUMIFS('Specialisation Impact'!$V$19:$V$186,'Specialisation Impact'!$A$19:$A$186,A12,'Specialisation Impact'!$B$19:$B$186,B12))</x:f>
        <x:v>29.48717948717949</x:v>
      </x:c>
      <x:c r="P12" s="576" t="str">
        <x:f>IF(N12="","",N12)</x:f>
      </x:c>
      <x:c r="Q12" s="576" t="str">
        <x:f>IF(N12="","",IF(AC12=0,N12,MAX(0,MIN(100,N12*(1-'Specialisation Scenarios'!$B$8*AC12)+O12*('Specialisation Scenarios'!$B$8*AC12)))))</x:f>
      </x:c>
      <x:c r="R12" s="576" t="str">
        <x:f>IF(N12="","",IF(AC12=0,N12,MAX(0,MIN(100,N12*(1-'Specialisation Scenarios'!$B$9*AC12)+O12*('Specialisation Scenarios'!$B$9*AC12)))))</x:f>
      </x:c>
      <x:c r="S12" s="584" t="n">
        <x:f>IF(J12="","",COUNTIFS($A$6:$A$172,A12,$J$6:$J$172,"&gt;"&amp;J12)+COUNTIFS($A$6:A12,A12,$J$6:J12,J12))</x:f>
        <x:v>18</x:v>
      </x:c>
      <x:c r="T12" s="584" t="n">
        <x:f>IF(K12="","",COUNTIFS($A$6:$A$172,A12,$K$6:$K$172,"&gt;"&amp;K12)+COUNTIFS($A$6:A12,A12,$K$6:K12,K12))</x:f>
        <x:v>18</x:v>
      </x:c>
      <x:c r="U12" s="584" t="n">
        <x:f>IF(L12="","",COUNTIFS($A$6:$A$172,A12,$L$6:$L$172,"&gt;"&amp;L12)+COUNTIFS($A$6:A12,A12,$L$6:L12,L12))</x:f>
        <x:v>16</x:v>
      </x:c>
      <x:c r="V12" s="584" t="str">
        <x:f>IF(P12="","",COUNTIFS($A$6:$A$172,A12,$P$6:$P$172,"&gt;"&amp;P12)+COUNTIFS($A$6:A12,A12,$P$6:P12,P12))</x:f>
      </x:c>
      <x:c r="W12" s="584" t="str">
        <x:f>IF(Q12="","",COUNTIFS($A$6:$A$172,A12,$Q$6:$Q$172,"&gt;"&amp;Q12)+COUNTIFS($A$6:A12,A12,$Q$6:Q12,Q12))</x:f>
      </x:c>
      <x:c r="X12" s="584" t="str">
        <x:f>IF(R12="","",COUNTIFS($A$6:$A$172,A12,$R$6:$R$172,"&gt;"&amp;R12)+COUNTIFS($A$6:A12,A12,$R$6:R12,R12))</x:f>
      </x:c>
      <x:c r="Y12" s="572" t="str">
        <x:f>IF(V12="","",A12&amp;"|"&amp;V12)</x:f>
      </x:c>
      <x:c r="Z12" s="572" t="str">
        <x:f>IF(W12="","",A12&amp;"|"&amp;W12)</x:f>
      </x:c>
      <x:c r="AA12" s="572" t="str">
        <x:f>IF(X12="","",A12&amp;"|"&amp;X12)</x:f>
      </x:c>
      <x:c r="AB12" s="572" t="str">
        <x:f>IF(A12="","",IF(I12=0,"Offense neutral — no recorded offensive skills",IF(I12&lt;1,"Partial lookup — adjustment scaled",IF(AND(M12="Yes",AC12=0),"Offense adjusted; Guard neutral","Captured"))))</x:f>
        <x:v>Captured</x:v>
      </x:c>
      <x:c r="AC12" s="580" t="n">
        <x:f>IF(SUMIFS('Specialisation Impact'!$M$19:$M$186,'Specialisation Impact'!$A$19:$A$186,A12,'Specialisation Impact'!$B$19:$B$186,B12)=0,0,SUMIFS('Specialisation Impact'!$F$19:$F$186,'Specialisation Impact'!$A$19:$A$186,A12,'Specialisation Impact'!$B$19:$B$186,B12))</x:f>
        <x:v>1</x:v>
      </x:c>
    </x:row>
    <x:row r="13">
      <x:c r="A13" s="571" t="str">
        <x:v>K60</x:v>
      </x:c>
      <x:c r="B13" s="571" t="str">
        <x:v>༺۝Foxik۝༻</x:v>
      </x:c>
      <x:c r="C13" s="575" t="n">
        <x:f>IF($A13="","",AVERAGE(100*((COUNTIF('All Stats'!$D$6:$D$172,"&lt;"&amp;'All Stats'!D13)+(COUNTIF('All Stats'!$D$6:$D$172,'All Stats'!D13)-1)/2)/(COUNT('All Stats'!$D$6:$D$172)-1))^'Specialisation Scenarios'!$X$10,100*((COUNTIF('All Stats'!$G$6:$G$172,"&lt;"&amp;'All Stats'!G13)+(COUNTIF('All Stats'!$G$6:$G$172,'All Stats'!G13)-1)/2)/(COUNT('All Stats'!$G$6:$G$172)-1))^'Specialisation Scenarios'!$X$10,100*((COUNTIF('All Stats'!$I$6:$I$172,"&lt;"&amp;'All Stats'!I13)+(COUNTIF('All Stats'!$I$6:$I$172,'All Stats'!I13)-1)/2)/(COUNT('All Stats'!$I$6:$I$172)-1))^'Specialisation Scenarios'!$X$10))</x:f>
        <x:v>9.668316423783091</x:v>
      </x:c>
      <x:c r="D13" s="575" t="n">
        <x:f>IF($A13="","",AVERAGE(100*((COUNTIF('All Stats'!$R$6:$R$172,"&lt;"&amp;'All Stats'!R13)+(COUNTIF('All Stats'!$R$6:$R$172,'All Stats'!R13)-1)/2)/(COUNT('All Stats'!$R$6:$R$172)-1))^'Specialisation Scenarios'!$X$10,100*((COUNTIF('All Stats'!$U$6:$U$172,"&lt;"&amp;'All Stats'!U13)+(COUNTIF('All Stats'!$U$6:$U$172,'All Stats'!U13)-1)/2)/(COUNT('All Stats'!$U$6:$U$172)-1))^'Specialisation Scenarios'!$X$10,100*((COUNTIF('All Stats'!$W$6:$W$172,"&lt;"&amp;'All Stats'!W13)+(COUNTIF('All Stats'!$W$6:$W$172,'All Stats'!W13)-1)/2)/(COUNT('All Stats'!$W$6:$W$172)-1))^'Specialisation Scenarios'!$X$10))</x:f>
        <x:v>22.543116800998277</x:v>
      </x:c>
      <x:c r="E13" s="575" t="n">
        <x:f>IF($A13="","",AVERAGE(100*((COUNTIF('All Stats'!$Y$6:$Y$172,"&lt;"&amp;'All Stats'!Y13)+(COUNTIF('All Stats'!$Y$6:$Y$172,'All Stats'!Y13)-1)/2)/(COUNT('All Stats'!$Y$6:$Y$172)-1))^'Specialisation Scenarios'!$X$10,100*((COUNTIF('All Stats'!$AB$6:$AB$172,"&lt;"&amp;'All Stats'!AB13)+(COUNTIF('All Stats'!$AB$6:$AB$172,'All Stats'!AB13)-1)/2)/(COUNT('All Stats'!$AB$6:$AB$172)-1))^'Specialisation Scenarios'!$X$10,100*((COUNTIF('All Stats'!$AD$6:$AD$172,"&lt;"&amp;'All Stats'!AD13)+(COUNTIF('All Stats'!$AD$6:$AD$172,'All Stats'!AD13)-1)/2)/(COUNT('All Stats'!$AD$6:$AD$172)-1))^'Specialisation Scenarios'!$X$10))</x:f>
        <x:v>19.545673091053278</x:v>
      </x:c>
      <x:c r="F13" s="575" t="n">
        <x:f>IF($A13="","",AVERAGE(100*((COUNTIF('All Stats'!$AF$6:$AF$172,"&lt;"&amp;'All Stats'!AF13)+(COUNTIF('All Stats'!$AF$6:$AF$172,'All Stats'!AF13)-1)/2)/(COUNT('All Stats'!$AF$6:$AF$172)-1))^'Specialisation Scenarios'!$X$10,100*((COUNTIF('All Stats'!$AI$6:$AI$172,"&lt;"&amp;'All Stats'!AI13)+(COUNTIF('All Stats'!$AI$6:$AI$172,'All Stats'!AI13)-1)/2)/(COUNT('All Stats'!$AI$6:$AI$172)-1))^'Specialisation Scenarios'!$X$10,100*((COUNTIF('All Stats'!$AK$6:$AK$172,"&lt;"&amp;'All Stats'!AK13)+(COUNTIF('All Stats'!$AK$6:$AK$172,'All Stats'!AK13)-1)/2)/(COUNT('All Stats'!$AK$6:$AK$172)-1))^'Specialisation Scenarios'!$X$10))</x:f>
        <x:v>11.865590323714885</x:v>
      </x:c>
      <x:c r="G13" s="575" t="n">
        <x:f>IF($A13="","",C13*'Specialisation Scenarios'!$X$11+D13*'Specialisation Scenarios'!$X$12+E13*'Specialisation Scenarios'!$X$13+F13*'Specialisation Scenarios'!$X$14)</x:f>
        <x:v>18.71052340182899</x:v>
      </x:c>
      <x:c r="H13" s="575" t="n">
        <x:f>IF(SUMIFS('Specialisation Impact'!$E$19:$E$186,'Specialisation Impact'!$A$19:$A$186,A13,'Specialisation Impact'!$B$19:$B$186,B13)=0,"",SUMIFS('Specialisation Impact'!$S$19:$S$186,'Specialisation Impact'!$A$19:$A$186,A13,'Specialisation Impact'!$B$19:$B$186,B13))</x:f>
        <x:v>37.79220779220779</x:v>
      </x:c>
      <x:c r="I13" s="579" t="n">
        <x:f>IF(SUMIFS('Specialisation Impact'!$E$19:$E$186,'Specialisation Impact'!$A$19:$A$186,A13,'Specialisation Impact'!$B$19:$B$186,B13)=0,0,SUMIFS('Specialisation Impact'!$F$19:$F$186,'Specialisation Impact'!$A$19:$A$186,A13,'Specialisation Impact'!$B$19:$B$186,B13))</x:f>
        <x:v>1</x:v>
      </x:c>
      <x:c r="J13" s="575" t="n">
        <x:f>G13</x:f>
        <x:v>18.71052340182899</x:v>
      </x:c>
      <x:c r="K13" s="575" t="n">
        <x:f>IF(G13="","",IF(I13=0,G13,MAX(0,MIN(100,G13*(1-'Specialisation Scenarios'!$B$8*I13)+H13*('Specialisation Scenarios'!$B$8*I13)))))</x:f>
        <x:v>23.48094449942369</x:v>
      </x:c>
      <x:c r="L13" s="575" t="n">
        <x:f>IF(G13="","",IF(I13=0,G13,MAX(0,MIN(100,G13*(1-'Specialisation Scenarios'!$B$9*I13)+H13*('Specialisation Scenarios'!$B$9*I13)))))</x:f>
        <x:v>25.389112938461572</x:v>
      </x:c>
      <x:c r="M13" s="575" t="str">
        <x:f>IF(COUNTIFS('Tank &amp; Control'!$A$23:$A$189,A13,'Tank &amp; Control'!$B$23:$B$189,B13,'Tank &amp; Control'!$C$23:$C$189,"Yes")&gt;0,"Yes","No")</x:f>
        <x:v>No</x:v>
      </x:c>
      <x:c r="N13" s="575" t="str">
        <x:f>IF(M13&lt;&gt;"Yes","",SUMIFS('Tank &amp; Control'!$L$23:$L$189,'Tank &amp; Control'!$A$23:$A$189,A13,'Tank &amp; Control'!$B$23:$B$189,B13))</x:f>
      </x:c>
      <x:c r="O13" s="575" t="n">
        <x:f>IF(SUMIFS('Specialisation Impact'!$M$19:$M$186,'Specialisation Impact'!$A$19:$A$186,A13,'Specialisation Impact'!$B$19:$B$186,B13)=0,"",SUMIFS('Specialisation Impact'!$V$19:$V$186,'Specialisation Impact'!$A$19:$A$186,A13,'Specialisation Impact'!$B$19:$B$186,B13))</x:f>
        <x:v>29.48717948717949</x:v>
      </x:c>
      <x:c r="P13" s="575" t="str">
        <x:f>IF(N13="","",N13)</x:f>
      </x:c>
      <x:c r="Q13" s="575" t="str">
        <x:f>IF(N13="","",IF(AC13=0,N13,MAX(0,MIN(100,N13*(1-'Specialisation Scenarios'!$B$8*AC13)+O13*('Specialisation Scenarios'!$B$8*AC13)))))</x:f>
      </x:c>
      <x:c r="R13" s="575" t="str">
        <x:f>IF(N13="","",IF(AC13=0,N13,MAX(0,MIN(100,N13*(1-'Specialisation Scenarios'!$B$9*AC13)+O13*('Specialisation Scenarios'!$B$9*AC13)))))</x:f>
      </x:c>
      <x:c r="S13" s="583" t="n">
        <x:f>IF(J13="","",COUNTIFS($A$6:$A$172,A13,$J$6:$J$172,"&gt;"&amp;J13)+COUNTIFS($A$6:A13,A13,$J$6:J13,J13))</x:f>
        <x:v>24</x:v>
      </x:c>
      <x:c r="T13" s="583" t="n">
        <x:f>IF(K13="","",COUNTIFS($A$6:$A$172,A13,$K$6:$K$172,"&gt;"&amp;K13)+COUNTIFS($A$6:A13,A13,$K$6:K13,K13))</x:f>
        <x:v>25</x:v>
      </x:c>
      <x:c r="U13" s="583" t="n">
        <x:f>IF(L13="","",COUNTIFS($A$6:$A$172,A13,$L$6:$L$172,"&gt;"&amp;L13)+COUNTIFS($A$6:A13,A13,$L$6:L13,L13))</x:f>
        <x:v>25</x:v>
      </x:c>
      <x:c r="V13" s="583" t="str">
        <x:f>IF(P13="","",COUNTIFS($A$6:$A$172,A13,$P$6:$P$172,"&gt;"&amp;P13)+COUNTIFS($A$6:A13,A13,$P$6:P13,P13))</x:f>
      </x:c>
      <x:c r="W13" s="583" t="str">
        <x:f>IF(Q13="","",COUNTIFS($A$6:$A$172,A13,$Q$6:$Q$172,"&gt;"&amp;Q13)+COUNTIFS($A$6:A13,A13,$Q$6:Q13,Q13))</x:f>
      </x:c>
      <x:c r="X13" s="583" t="str">
        <x:f>IF(R13="","",COUNTIFS($A$6:$A$172,A13,$R$6:$R$172,"&gt;"&amp;R13)+COUNTIFS($A$6:A13,A13,$R$6:R13,R13))</x:f>
      </x:c>
      <x:c r="Y13" s="571" t="str">
        <x:f>IF(V13="","",A13&amp;"|"&amp;V13)</x:f>
      </x:c>
      <x:c r="Z13" s="571" t="str">
        <x:f>IF(W13="","",A13&amp;"|"&amp;W13)</x:f>
      </x:c>
      <x:c r="AA13" s="571" t="str">
        <x:f>IF(X13="","",A13&amp;"|"&amp;X13)</x:f>
      </x:c>
      <x:c r="AB13" s="571" t="str">
        <x:f>IF(A13="","",IF(I13=0,"Offense neutral — no recorded offensive skills",IF(I13&lt;1,"Partial lookup — adjustment scaled",IF(AND(M13="Yes",AC13=0),"Offense adjusted; Guard neutral","Captured"))))</x:f>
        <x:v>Captured</x:v>
      </x:c>
      <x:c r="AC13" s="579" t="n">
        <x:f>IF(SUMIFS('Specialisation Impact'!$M$19:$M$186,'Specialisation Impact'!$A$19:$A$186,A13,'Specialisation Impact'!$B$19:$B$186,B13)=0,0,SUMIFS('Specialisation Impact'!$F$19:$F$186,'Specialisation Impact'!$A$19:$A$186,A13,'Specialisation Impact'!$B$19:$B$186,B13))</x:f>
        <x:v>1</x:v>
      </x:c>
    </x:row>
    <x:row r="14">
      <x:c r="A14" s="572" t="str">
        <x:v>K60</x:v>
      </x:c>
      <x:c r="B14" s="572" t="str">
        <x:v>Houdini</x:v>
      </x:c>
      <x:c r="C14" s="576" t="n">
        <x:f>IF($A14="","",AVERAGE(100*((COUNTIF('All Stats'!$D$6:$D$172,"&lt;"&amp;'All Stats'!D14)+(COUNTIF('All Stats'!$D$6:$D$172,'All Stats'!D14)-1)/2)/(COUNT('All Stats'!$D$6:$D$172)-1))^'Specialisation Scenarios'!$X$10,100*((COUNTIF('All Stats'!$G$6:$G$172,"&lt;"&amp;'All Stats'!G14)+(COUNTIF('All Stats'!$G$6:$G$172,'All Stats'!G14)-1)/2)/(COUNT('All Stats'!$G$6:$G$172)-1))^'Specialisation Scenarios'!$X$10,100*((COUNTIF('All Stats'!$I$6:$I$172,"&lt;"&amp;'All Stats'!I14)+(COUNTIF('All Stats'!$I$6:$I$172,'All Stats'!I14)-1)/2)/(COUNT('All Stats'!$I$6:$I$172)-1))^'Specialisation Scenarios'!$X$10))</x:f>
        <x:v>9.483956155458218</x:v>
      </x:c>
      <x:c r="D14" s="576" t="n">
        <x:f>IF($A14="","",AVERAGE(100*((COUNTIF('All Stats'!$R$6:$R$172,"&lt;"&amp;'All Stats'!R14)+(COUNTIF('All Stats'!$R$6:$R$172,'All Stats'!R14)-1)/2)/(COUNT('All Stats'!$R$6:$R$172)-1))^'Specialisation Scenarios'!$X$10,100*((COUNTIF('All Stats'!$U$6:$U$172,"&lt;"&amp;'All Stats'!U14)+(COUNTIF('All Stats'!$U$6:$U$172,'All Stats'!U14)-1)/2)/(COUNT('All Stats'!$U$6:$U$172)-1))^'Specialisation Scenarios'!$X$10,100*((COUNTIF('All Stats'!$W$6:$W$172,"&lt;"&amp;'All Stats'!W14)+(COUNTIF('All Stats'!$W$6:$W$172,'All Stats'!W14)-1)/2)/(COUNT('All Stats'!$W$6:$W$172)-1))^'Specialisation Scenarios'!$X$10))</x:f>
        <x:v>20.247967758941382</x:v>
      </x:c>
      <x:c r="E14" s="576" t="n">
        <x:f>IF($A14="","",AVERAGE(100*((COUNTIF('All Stats'!$Y$6:$Y$172,"&lt;"&amp;'All Stats'!Y14)+(COUNTIF('All Stats'!$Y$6:$Y$172,'All Stats'!Y14)-1)/2)/(COUNT('All Stats'!$Y$6:$Y$172)-1))^'Specialisation Scenarios'!$X$10,100*((COUNTIF('All Stats'!$AB$6:$AB$172,"&lt;"&amp;'All Stats'!AB14)+(COUNTIF('All Stats'!$AB$6:$AB$172,'All Stats'!AB14)-1)/2)/(COUNT('All Stats'!$AB$6:$AB$172)-1))^'Specialisation Scenarios'!$X$10,100*((COUNTIF('All Stats'!$AD$6:$AD$172,"&lt;"&amp;'All Stats'!AD14)+(COUNTIF('All Stats'!$AD$6:$AD$172,'All Stats'!AD14)-1)/2)/(COUNT('All Stats'!$AD$6:$AD$172)-1))^'Specialisation Scenarios'!$X$10))</x:f>
        <x:v>23.100334826534677</x:v>
      </x:c>
      <x:c r="F14" s="576" t="n">
        <x:f>IF($A14="","",AVERAGE(100*((COUNTIF('All Stats'!$AF$6:$AF$172,"&lt;"&amp;'All Stats'!AF14)+(COUNTIF('All Stats'!$AF$6:$AF$172,'All Stats'!AF14)-1)/2)/(COUNT('All Stats'!$AF$6:$AF$172)-1))^'Specialisation Scenarios'!$X$10,100*((COUNTIF('All Stats'!$AI$6:$AI$172,"&lt;"&amp;'All Stats'!AI14)+(COUNTIF('All Stats'!$AI$6:$AI$172,'All Stats'!AI14)-1)/2)/(COUNT('All Stats'!$AI$6:$AI$172)-1))^'Specialisation Scenarios'!$X$10,100*((COUNTIF('All Stats'!$AK$6:$AK$172,"&lt;"&amp;'All Stats'!AK14)+(COUNTIF('All Stats'!$AK$6:$AK$172,'All Stats'!AK14)-1)/2)/(COUNT('All Stats'!$AK$6:$AK$172)-1))^'Specialisation Scenarios'!$X$10))</x:f>
        <x:v>5.764483246735566</x:v>
      </x:c>
      <x:c r="G14" s="576" t="n">
        <x:f>IF($A14="","",C14*'Specialisation Scenarios'!$X$11+D14*'Specialisation Scenarios'!$X$12+E14*'Specialisation Scenarios'!$X$13+F14*'Specialisation Scenarios'!$X$14)</x:f>
        <x:v>16.746080048347366</x:v>
      </x:c>
      <x:c r="H14" s="576" t="n">
        <x:f>IF(SUMIFS('Specialisation Impact'!$E$19:$E$186,'Specialisation Impact'!$A$19:$A$186,A14,'Specialisation Impact'!$B$19:$B$186,B14)=0,"",SUMIFS('Specialisation Impact'!$S$19:$S$186,'Specialisation Impact'!$A$19:$A$186,A14,'Specialisation Impact'!$B$19:$B$186,B14))</x:f>
        <x:v>72.85714285714286</x:v>
      </x:c>
      <x:c r="I14" s="580" t="n">
        <x:f>IF(SUMIFS('Specialisation Impact'!$E$19:$E$186,'Specialisation Impact'!$A$19:$A$186,A14,'Specialisation Impact'!$B$19:$B$186,B14)=0,0,SUMIFS('Specialisation Impact'!$F$19:$F$186,'Specialisation Impact'!$A$19:$A$186,A14,'Specialisation Impact'!$B$19:$B$186,B14))</x:f>
        <x:v>1</x:v>
      </x:c>
      <x:c r="J14" s="576" t="n">
        <x:f>G14</x:f>
        <x:v>16.746080048347366</x:v>
      </x:c>
      <x:c r="K14" s="576" t="n">
        <x:f>IF(G14="","",IF(I14=0,G14,MAX(0,MIN(100,G14*(1-'Specialisation Scenarios'!$B$8*I14)+H14*('Specialisation Scenarios'!$B$8*I14)))))</x:f>
        <x:v>30.77384575054624</x:v>
      </x:c>
      <x:c r="L14" s="576" t="n">
        <x:f>IF(G14="","",IF(I14=0,G14,MAX(0,MIN(100,G14*(1-'Specialisation Scenarios'!$B$9*I14)+H14*('Specialisation Scenarios'!$B$9*I14)))))</x:f>
        <x:v>36.38495203142579</x:v>
      </x:c>
      <x:c r="M14" s="576" t="str">
        <x:f>IF(COUNTIFS('Tank &amp; Control'!$A$23:$A$189,A14,'Tank &amp; Control'!$B$23:$B$189,B14,'Tank &amp; Control'!$C$23:$C$189,"Yes")&gt;0,"Yes","No")</x:f>
        <x:v>No</x:v>
      </x:c>
      <x:c r="N14" s="576" t="str">
        <x:f>IF(M14&lt;&gt;"Yes","",SUMIFS('Tank &amp; Control'!$L$23:$L$189,'Tank &amp; Control'!$A$23:$A$189,A14,'Tank &amp; Control'!$B$23:$B$189,B14))</x:f>
      </x:c>
      <x:c r="O14" s="576" t="str">
        <x:f>IF(SUMIFS('Specialisation Impact'!$M$19:$M$186,'Specialisation Impact'!$A$19:$A$186,A14,'Specialisation Impact'!$B$19:$B$186,B14)=0,"",SUMIFS('Specialisation Impact'!$V$19:$V$186,'Specialisation Impact'!$A$19:$A$186,A14,'Specialisation Impact'!$B$19:$B$186,B14))</x:f>
      </x:c>
      <x:c r="P14" s="576" t="str">
        <x:f>IF(N14="","",N14)</x:f>
      </x:c>
      <x:c r="Q14" s="576" t="str">
        <x:f>IF(N14="","",IF(AC14=0,N14,MAX(0,MIN(100,N14*(1-'Specialisation Scenarios'!$B$8*AC14)+O14*('Specialisation Scenarios'!$B$8*AC14)))))</x:f>
      </x:c>
      <x:c r="R14" s="576" t="str">
        <x:f>IF(N14="","",IF(AC14=0,N14,MAX(0,MIN(100,N14*(1-'Specialisation Scenarios'!$B$9*AC14)+O14*('Specialisation Scenarios'!$B$9*AC14)))))</x:f>
      </x:c>
      <x:c r="S14" s="584" t="n">
        <x:f>IF(J14="","",COUNTIFS($A$6:$A$172,A14,$J$6:$J$172,"&gt;"&amp;J14)+COUNTIFS($A$6:A14,A14,$J$6:J14,J14))</x:f>
        <x:v>25</x:v>
      </x:c>
      <x:c r="T14" s="584" t="n">
        <x:f>IF(K14="","",COUNTIFS($A$6:$A$172,A14,$K$6:$K$172,"&gt;"&amp;K14)+COUNTIFS($A$6:A14,A14,$K$6:K14,K14))</x:f>
        <x:v>23</x:v>
      </x:c>
      <x:c r="U14" s="584" t="n">
        <x:f>IF(L14="","",COUNTIFS($A$6:$A$172,A14,$L$6:$L$172,"&gt;"&amp;L14)+COUNTIFS($A$6:A14,A14,$L$6:L14,L14))</x:f>
        <x:v>21</x:v>
      </x:c>
      <x:c r="V14" s="584" t="str">
        <x:f>IF(P14="","",COUNTIFS($A$6:$A$172,A14,$P$6:$P$172,"&gt;"&amp;P14)+COUNTIFS($A$6:A14,A14,$P$6:P14,P14))</x:f>
      </x:c>
      <x:c r="W14" s="584" t="str">
        <x:f>IF(Q14="","",COUNTIFS($A$6:$A$172,A14,$Q$6:$Q$172,"&gt;"&amp;Q14)+COUNTIFS($A$6:A14,A14,$Q$6:Q14,Q14))</x:f>
      </x:c>
      <x:c r="X14" s="584" t="str">
        <x:f>IF(R14="","",COUNTIFS($A$6:$A$172,A14,$R$6:$R$172,"&gt;"&amp;R14)+COUNTIFS($A$6:A14,A14,$R$6:R14,R14))</x:f>
      </x:c>
      <x:c r="Y14" s="572" t="str">
        <x:f>IF(V14="","",A14&amp;"|"&amp;V14)</x:f>
      </x:c>
      <x:c r="Z14" s="572" t="str">
        <x:f>IF(W14="","",A14&amp;"|"&amp;W14)</x:f>
      </x:c>
      <x:c r="AA14" s="572" t="str">
        <x:f>IF(X14="","",A14&amp;"|"&amp;X14)</x:f>
      </x:c>
      <x:c r="AB14" s="572" t="str">
        <x:f>IF(A14="","",IF(I14=0,"Offense neutral — no recorded offensive skills",IF(I14&lt;1,"Partial lookup — adjustment scaled",IF(AND(M14="Yes",AC14=0),"Offense adjusted; Guard neutral","Captured"))))</x:f>
        <x:v>Captured</x:v>
      </x:c>
      <x:c r="AC14" s="580" t="n">
        <x:f>IF(SUMIFS('Specialisation Impact'!$M$19:$M$186,'Specialisation Impact'!$A$19:$A$186,A14,'Specialisation Impact'!$B$19:$B$186,B14)=0,0,SUMIFS('Specialisation Impact'!$F$19:$F$186,'Specialisation Impact'!$A$19:$A$186,A14,'Specialisation Impact'!$B$19:$B$186,B14))</x:f>
        <x:v>0</x:v>
      </x:c>
    </x:row>
    <x:row r="15">
      <x:c r="A15" s="571" t="str">
        <x:v>K60</x:v>
      </x:c>
      <x:c r="B15" s="571" t="str">
        <x:v>Дерог</x:v>
      </x:c>
      <x:c r="C15" s="575" t="n">
        <x:f>IF($A15="","",AVERAGE(100*((COUNTIF('All Stats'!$D$6:$D$172,"&lt;"&amp;'All Stats'!D15)+(COUNTIF('All Stats'!$D$6:$D$172,'All Stats'!D15)-1)/2)/(COUNT('All Stats'!$D$6:$D$172)-1))^'Specialisation Scenarios'!$X$10,100*((COUNTIF('All Stats'!$G$6:$G$172,"&lt;"&amp;'All Stats'!G15)+(COUNTIF('All Stats'!$G$6:$G$172,'All Stats'!G15)-1)/2)/(COUNT('All Stats'!$G$6:$G$172)-1))^'Specialisation Scenarios'!$X$10,100*((COUNTIF('All Stats'!$I$6:$I$172,"&lt;"&amp;'All Stats'!I15)+(COUNTIF('All Stats'!$I$6:$I$172,'All Stats'!I15)-1)/2)/(COUNT('All Stats'!$I$6:$I$172)-1))^'Specialisation Scenarios'!$X$10))</x:f>
        <x:v>61.054916779205804</x:v>
      </x:c>
      <x:c r="D15" s="575" t="n">
        <x:f>IF($A15="","",AVERAGE(100*((COUNTIF('All Stats'!$R$6:$R$172,"&lt;"&amp;'All Stats'!R15)+(COUNTIF('All Stats'!$R$6:$R$172,'All Stats'!R15)-1)/2)/(COUNT('All Stats'!$R$6:$R$172)-1))^'Specialisation Scenarios'!$X$10,100*((COUNTIF('All Stats'!$U$6:$U$172,"&lt;"&amp;'All Stats'!U15)+(COUNTIF('All Stats'!$U$6:$U$172,'All Stats'!U15)-1)/2)/(COUNT('All Stats'!$U$6:$U$172)-1))^'Specialisation Scenarios'!$X$10,100*((COUNTIF('All Stats'!$W$6:$W$172,"&lt;"&amp;'All Stats'!W15)+(COUNTIF('All Stats'!$W$6:$W$172,'All Stats'!W15)-1)/2)/(COUNT('All Stats'!$W$6:$W$172)-1))^'Specialisation Scenarios'!$X$10))</x:f>
        <x:v>49.86047066710321</x:v>
      </x:c>
      <x:c r="E15" s="575" t="n">
        <x:f>IF($A15="","",AVERAGE(100*((COUNTIF('All Stats'!$Y$6:$Y$172,"&lt;"&amp;'All Stats'!Y15)+(COUNTIF('All Stats'!$Y$6:$Y$172,'All Stats'!Y15)-1)/2)/(COUNT('All Stats'!$Y$6:$Y$172)-1))^'Specialisation Scenarios'!$X$10,100*((COUNTIF('All Stats'!$AB$6:$AB$172,"&lt;"&amp;'All Stats'!AB15)+(COUNTIF('All Stats'!$AB$6:$AB$172,'All Stats'!AB15)-1)/2)/(COUNT('All Stats'!$AB$6:$AB$172)-1))^'Specialisation Scenarios'!$X$10,100*((COUNTIF('All Stats'!$AD$6:$AD$172,"&lt;"&amp;'All Stats'!AD15)+(COUNTIF('All Stats'!$AD$6:$AD$172,'All Stats'!AD15)-1)/2)/(COUNT('All Stats'!$AD$6:$AD$172)-1))^'Specialisation Scenarios'!$X$10))</x:f>
        <x:v>44.79433703409421</x:v>
      </x:c>
      <x:c r="F15" s="575" t="n">
        <x:f>IF($A15="","",AVERAGE(100*((COUNTIF('All Stats'!$AF$6:$AF$172,"&lt;"&amp;'All Stats'!AF15)+(COUNTIF('All Stats'!$AF$6:$AF$172,'All Stats'!AF15)-1)/2)/(COUNT('All Stats'!$AF$6:$AF$172)-1))^'Specialisation Scenarios'!$X$10,100*((COUNTIF('All Stats'!$AI$6:$AI$172,"&lt;"&amp;'All Stats'!AI15)+(COUNTIF('All Stats'!$AI$6:$AI$172,'All Stats'!AI15)-1)/2)/(COUNT('All Stats'!$AI$6:$AI$172)-1))^'Specialisation Scenarios'!$X$10,100*((COUNTIF('All Stats'!$AK$6:$AK$172,"&lt;"&amp;'All Stats'!AK15)+(COUNTIF('All Stats'!$AK$6:$AK$172,'All Stats'!AK15)-1)/2)/(COUNT('All Stats'!$AK$6:$AK$172)-1))^'Specialisation Scenarios'!$X$10))</x:f>
        <x:v>69.24800163672678</x:v>
      </x:c>
      <x:c r="G15" s="575" t="n">
        <x:f>IF($A15="","",C15*'Specialisation Scenarios'!$X$11+D15*'Specialisation Scenarios'!$X$12+E15*'Specialisation Scenarios'!$X$13+F15*'Specialisation Scenarios'!$X$14)</x:f>
        <x:v>53.94115386606123</x:v>
      </x:c>
      <x:c r="H15" s="575" t="n">
        <x:f>IF(SUMIFS('Specialisation Impact'!$E$19:$E$186,'Specialisation Impact'!$A$19:$A$186,A15,'Specialisation Impact'!$B$19:$B$186,B15)=0,"",SUMIFS('Specialisation Impact'!$S$19:$S$186,'Specialisation Impact'!$A$19:$A$186,A15,'Specialisation Impact'!$B$19:$B$186,B15))</x:f>
        <x:v>92.20779220779221</x:v>
      </x:c>
      <x:c r="I15" s="579" t="n">
        <x:f>IF(SUMIFS('Specialisation Impact'!$E$19:$E$186,'Specialisation Impact'!$A$19:$A$186,A15,'Specialisation Impact'!$B$19:$B$186,B15)=0,0,SUMIFS('Specialisation Impact'!$F$19:$F$186,'Specialisation Impact'!$A$19:$A$186,A15,'Specialisation Impact'!$B$19:$B$186,B15))</x:f>
        <x:v>1</x:v>
      </x:c>
      <x:c r="J15" s="575" t="n">
        <x:f>G15</x:f>
        <x:v>53.94115386606123</x:v>
      </x:c>
      <x:c r="K15" s="575" t="n">
        <x:f>IF(G15="","",IF(I15=0,G15,MAX(0,MIN(100,G15*(1-'Specialisation Scenarios'!$B$8*I15)+H15*('Specialisation Scenarios'!$B$8*I15)))))</x:f>
        <x:v>63.50781345149397</x:v>
      </x:c>
      <x:c r="L15" s="575" t="n">
        <x:f>IF(G15="","",IF(I15=0,G15,MAX(0,MIN(100,G15*(1-'Specialisation Scenarios'!$B$9*I15)+H15*('Specialisation Scenarios'!$B$9*I15)))))</x:f>
        <x:v>67.33447728566708</x:v>
      </x:c>
      <x:c r="M15" s="575" t="str">
        <x:f>IF(COUNTIFS('Tank &amp; Control'!$A$23:$A$189,A15,'Tank &amp; Control'!$B$23:$B$189,B15,'Tank &amp; Control'!$C$23:$C$189,"Yes")&gt;0,"Yes","No")</x:f>
        <x:v>No</x:v>
      </x:c>
      <x:c r="N15" s="575" t="str">
        <x:f>IF(M15&lt;&gt;"Yes","",SUMIFS('Tank &amp; Control'!$L$23:$L$189,'Tank &amp; Control'!$A$23:$A$189,A15,'Tank &amp; Control'!$B$23:$B$189,B15))</x:f>
      </x:c>
      <x:c r="O15" s="575" t="n">
        <x:f>IF(SUMIFS('Specialisation Impact'!$M$19:$M$186,'Specialisation Impact'!$A$19:$A$186,A15,'Specialisation Impact'!$B$19:$B$186,B15)=0,"",SUMIFS('Specialisation Impact'!$V$19:$V$186,'Specialisation Impact'!$A$19:$A$186,A15,'Specialisation Impact'!$B$19:$B$186,B15))</x:f>
        <x:v>29.48717948717949</x:v>
      </x:c>
      <x:c r="P15" s="575" t="str">
        <x:f>IF(N15="","",N15)</x:f>
      </x:c>
      <x:c r="Q15" s="575" t="str">
        <x:f>IF(N15="","",IF(AC15=0,N15,MAX(0,MIN(100,N15*(1-'Specialisation Scenarios'!$B$8*AC15)+O15*('Specialisation Scenarios'!$B$8*AC15)))))</x:f>
      </x:c>
      <x:c r="R15" s="575" t="str">
        <x:f>IF(N15="","",IF(AC15=0,N15,MAX(0,MIN(100,N15*(1-'Specialisation Scenarios'!$B$9*AC15)+O15*('Specialisation Scenarios'!$B$9*AC15)))))</x:f>
      </x:c>
      <x:c r="S15" s="583" t="n">
        <x:f>IF(J15="","",COUNTIFS($A$6:$A$172,A15,$J$6:$J$172,"&gt;"&amp;J15)+COUNTIFS($A$6:A15,A15,$J$6:J15,J15))</x:f>
        <x:v>6</x:v>
      </x:c>
      <x:c r="T15" s="583" t="n">
        <x:f>IF(K15="","",COUNTIFS($A$6:$A$172,A15,$K$6:$K$172,"&gt;"&amp;K15)+COUNTIFS($A$6:A15,A15,$K$6:K15,K15))</x:f>
        <x:v>6</x:v>
      </x:c>
      <x:c r="U15" s="583" t="n">
        <x:f>IF(L15="","",COUNTIFS($A$6:$A$172,A15,$L$6:$L$172,"&gt;"&amp;L15)+COUNTIFS($A$6:A15,A15,$L$6:L15,L15))</x:f>
        <x:v>6</x:v>
      </x:c>
      <x:c r="V15" s="583" t="str">
        <x:f>IF(P15="","",COUNTIFS($A$6:$A$172,A15,$P$6:$P$172,"&gt;"&amp;P15)+COUNTIFS($A$6:A15,A15,$P$6:P15,P15))</x:f>
      </x:c>
      <x:c r="W15" s="583" t="str">
        <x:f>IF(Q15="","",COUNTIFS($A$6:$A$172,A15,$Q$6:$Q$172,"&gt;"&amp;Q15)+COUNTIFS($A$6:A15,A15,$Q$6:Q15,Q15))</x:f>
      </x:c>
      <x:c r="X15" s="583" t="str">
        <x:f>IF(R15="","",COUNTIFS($A$6:$A$172,A15,$R$6:$R$172,"&gt;"&amp;R15)+COUNTIFS($A$6:A15,A15,$R$6:R15,R15))</x:f>
      </x:c>
      <x:c r="Y15" s="571" t="str">
        <x:f>IF(V15="","",A15&amp;"|"&amp;V15)</x:f>
      </x:c>
      <x:c r="Z15" s="571" t="str">
        <x:f>IF(W15="","",A15&amp;"|"&amp;W15)</x:f>
      </x:c>
      <x:c r="AA15" s="571" t="str">
        <x:f>IF(X15="","",A15&amp;"|"&amp;X15)</x:f>
      </x:c>
      <x:c r="AB15" s="571" t="str">
        <x:f>IF(A15="","",IF(I15=0,"Offense neutral — no recorded offensive skills",IF(I15&lt;1,"Partial lookup — adjustment scaled",IF(AND(M15="Yes",AC15=0),"Offense adjusted; Guard neutral","Captured"))))</x:f>
        <x:v>Captured</x:v>
      </x:c>
      <x:c r="AC15" s="579" t="n">
        <x:f>IF(SUMIFS('Specialisation Impact'!$M$19:$M$186,'Specialisation Impact'!$A$19:$A$186,A15,'Specialisation Impact'!$B$19:$B$186,B15)=0,0,SUMIFS('Specialisation Impact'!$F$19:$F$186,'Specialisation Impact'!$A$19:$A$186,A15,'Specialisation Impact'!$B$19:$B$186,B15))</x:f>
        <x:v>1</x:v>
      </x:c>
    </x:row>
    <x:row r="16">
      <x:c r="A16" s="572" t="str">
        <x:v>K60</x:v>
      </x:c>
      <x:c r="B16" s="572" t="str">
        <x:v>#11 元气满满 (122,000)</x:v>
      </x:c>
      <x:c r="C16" s="576" t="n">
        <x:f>IF($A16="","",AVERAGE(100*((COUNTIF('All Stats'!$D$6:$D$172,"&lt;"&amp;'All Stats'!D16)+(COUNTIF('All Stats'!$D$6:$D$172,'All Stats'!D16)-1)/2)/(COUNT('All Stats'!$D$6:$D$172)-1))^'Specialisation Scenarios'!$X$10,100*((COUNTIF('All Stats'!$G$6:$G$172,"&lt;"&amp;'All Stats'!G16)+(COUNTIF('All Stats'!$G$6:$G$172,'All Stats'!G16)-1)/2)/(COUNT('All Stats'!$G$6:$G$172)-1))^'Specialisation Scenarios'!$X$10,100*((COUNTIF('All Stats'!$I$6:$I$172,"&lt;"&amp;'All Stats'!I16)+(COUNTIF('All Stats'!$I$6:$I$172,'All Stats'!I16)-1)/2)/(COUNT('All Stats'!$I$6:$I$172)-1))^'Specialisation Scenarios'!$X$10))</x:f>
        <x:v>52.41252335643471</x:v>
      </x:c>
      <x:c r="D16" s="576" t="n">
        <x:f>IF($A16="","",AVERAGE(100*((COUNTIF('All Stats'!$R$6:$R$172,"&lt;"&amp;'All Stats'!R16)+(COUNTIF('All Stats'!$R$6:$R$172,'All Stats'!R16)-1)/2)/(COUNT('All Stats'!$R$6:$R$172)-1))^'Specialisation Scenarios'!$X$10,100*((COUNTIF('All Stats'!$U$6:$U$172,"&lt;"&amp;'All Stats'!U16)+(COUNTIF('All Stats'!$U$6:$U$172,'All Stats'!U16)-1)/2)/(COUNT('All Stats'!$U$6:$U$172)-1))^'Specialisation Scenarios'!$X$10,100*((COUNTIF('All Stats'!$W$6:$W$172,"&lt;"&amp;'All Stats'!W16)+(COUNTIF('All Stats'!$W$6:$W$172,'All Stats'!W16)-1)/2)/(COUNT('All Stats'!$W$6:$W$172)-1))^'Specialisation Scenarios'!$X$10))</x:f>
        <x:v>47.27637984661087</x:v>
      </x:c>
      <x:c r="E16" s="576" t="n">
        <x:f>IF($A16="","",AVERAGE(100*((COUNTIF('All Stats'!$Y$6:$Y$172,"&lt;"&amp;'All Stats'!Y16)+(COUNTIF('All Stats'!$Y$6:$Y$172,'All Stats'!Y16)-1)/2)/(COUNT('All Stats'!$Y$6:$Y$172)-1))^'Specialisation Scenarios'!$X$10,100*((COUNTIF('All Stats'!$AB$6:$AB$172,"&lt;"&amp;'All Stats'!AB16)+(COUNTIF('All Stats'!$AB$6:$AB$172,'All Stats'!AB16)-1)/2)/(COUNT('All Stats'!$AB$6:$AB$172)-1))^'Specialisation Scenarios'!$X$10,100*((COUNTIF('All Stats'!$AD$6:$AD$172,"&lt;"&amp;'All Stats'!AD16)+(COUNTIF('All Stats'!$AD$6:$AD$172,'All Stats'!AD16)-1)/2)/(COUNT('All Stats'!$AD$6:$AD$172)-1))^'Specialisation Scenarios'!$X$10))</x:f>
        <x:v>54.41962526883358</x:v>
      </x:c>
      <x:c r="F16" s="576" t="n">
        <x:f>IF($A16="","",AVERAGE(100*((COUNTIF('All Stats'!$AF$6:$AF$172,"&lt;"&amp;'All Stats'!AF16)+(COUNTIF('All Stats'!$AF$6:$AF$172,'All Stats'!AF16)-1)/2)/(COUNT('All Stats'!$AF$6:$AF$172)-1))^'Specialisation Scenarios'!$X$10,100*((COUNTIF('All Stats'!$AI$6:$AI$172,"&lt;"&amp;'All Stats'!AI16)+(COUNTIF('All Stats'!$AI$6:$AI$172,'All Stats'!AI16)-1)/2)/(COUNT('All Stats'!$AI$6:$AI$172)-1))^'Specialisation Scenarios'!$X$10,100*((COUNTIF('All Stats'!$AK$6:$AK$172,"&lt;"&amp;'All Stats'!AK16)+(COUNTIF('All Stats'!$AK$6:$AK$172,'All Stats'!AK16)-1)/2)/(COUNT('All Stats'!$AK$6:$AK$172)-1))^'Specialisation Scenarios'!$X$10))</x:f>
        <x:v>34.36234754394271</x:v>
      </x:c>
      <x:c r="G16" s="576" t="n">
        <x:f>IF($A16="","",C16*'Specialisation Scenarios'!$X$11+D16*'Specialisation Scenarios'!$X$12+E16*'Specialisation Scenarios'!$X$13+F16*'Specialisation Scenarios'!$X$14)</x:f>
        <x:v>46.82402106990649</x:v>
      </x:c>
      <x:c r="H16" s="576" t="n">
        <x:f>IF(SUMIFS('Specialisation Impact'!$E$19:$E$186,'Specialisation Impact'!$A$19:$A$186,A16,'Specialisation Impact'!$B$19:$B$186,B16)=0,"",SUMIFS('Specialisation Impact'!$S$19:$S$186,'Specialisation Impact'!$A$19:$A$186,A16,'Specialisation Impact'!$B$19:$B$186,B16))</x:f>
        <x:v>36.94805194805195</x:v>
      </x:c>
      <x:c r="I16" s="580" t="n">
        <x:f>IF(SUMIFS('Specialisation Impact'!$E$19:$E$186,'Specialisation Impact'!$A$19:$A$186,A16,'Specialisation Impact'!$B$19:$B$186,B16)=0,0,SUMIFS('Specialisation Impact'!$F$19:$F$186,'Specialisation Impact'!$A$19:$A$186,A16,'Specialisation Impact'!$B$19:$B$186,B16))</x:f>
        <x:v>1</x:v>
      </x:c>
      <x:c r="J16" s="576" t="n">
        <x:f>G16</x:f>
        <x:v>46.82402106990649</x:v>
      </x:c>
      <x:c r="K16" s="576" t="n">
        <x:f>IF(G16="","",IF(I16=0,G16,MAX(0,MIN(100,G16*(1-'Specialisation Scenarios'!$B$8*I16)+H16*('Specialisation Scenarios'!$B$8*I16)))))</x:f>
        <x:v>44.355028789442855</x:v>
      </x:c>
      <x:c r="L16" s="576" t="n">
        <x:f>IF(G16="","",IF(I16=0,G16,MAX(0,MIN(100,G16*(1-'Specialisation Scenarios'!$B$9*I16)+H16*('Specialisation Scenarios'!$B$9*I16)))))</x:f>
        <x:v>43.3674318772574</x:v>
      </x:c>
      <x:c r="M16" s="576" t="str">
        <x:f>IF(COUNTIFS('Tank &amp; Control'!$A$23:$A$189,A16,'Tank &amp; Control'!$B$23:$B$189,B16,'Tank &amp; Control'!$C$23:$C$189,"Yes")&gt;0,"Yes","No")</x:f>
        <x:v>No</x:v>
      </x:c>
      <x:c r="N16" s="576" t="str">
        <x:f>IF(M16&lt;&gt;"Yes","",SUMIFS('Tank &amp; Control'!$L$23:$L$189,'Tank &amp; Control'!$A$23:$A$189,A16,'Tank &amp; Control'!$B$23:$B$189,B16))</x:f>
      </x:c>
      <x:c r="O16" s="576" t="n">
        <x:f>IF(SUMIFS('Specialisation Impact'!$M$19:$M$186,'Specialisation Impact'!$A$19:$A$186,A16,'Specialisation Impact'!$B$19:$B$186,B16)=0,"",SUMIFS('Specialisation Impact'!$V$19:$V$186,'Specialisation Impact'!$A$19:$A$186,A16,'Specialisation Impact'!$B$19:$B$186,B16))</x:f>
        <x:v>48.2905982905983</x:v>
      </x:c>
      <x:c r="P16" s="576" t="str">
        <x:f>IF(N16="","",N16)</x:f>
      </x:c>
      <x:c r="Q16" s="576" t="str">
        <x:f>IF(N16="","",IF(AC16=0,N16,MAX(0,MIN(100,N16*(1-'Specialisation Scenarios'!$B$8*AC16)+O16*('Specialisation Scenarios'!$B$8*AC16)))))</x:f>
      </x:c>
      <x:c r="R16" s="576" t="str">
        <x:f>IF(N16="","",IF(AC16=0,N16,MAX(0,MIN(100,N16*(1-'Specialisation Scenarios'!$B$9*AC16)+O16*('Specialisation Scenarios'!$B$9*AC16)))))</x:f>
      </x:c>
      <x:c r="S16" s="584" t="n">
        <x:f>IF(J16="","",COUNTIFS($A$6:$A$172,A16,$J$6:$J$172,"&gt;"&amp;J16)+COUNTIFS($A$6:A16,A16,$J$6:J16,J16))</x:f>
        <x:v>11</x:v>
      </x:c>
      <x:c r="T16" s="584" t="n">
        <x:f>IF(K16="","",COUNTIFS($A$6:$A$172,A16,$K$6:$K$172,"&gt;"&amp;K16)+COUNTIFS($A$6:A16,A16,$K$6:K16,K16))</x:f>
        <x:v>13</x:v>
      </x:c>
      <x:c r="U16" s="584" t="n">
        <x:f>IF(L16="","",COUNTIFS($A$6:$A$172,A16,$L$6:$L$172,"&gt;"&amp;L16)+COUNTIFS($A$6:A16,A16,$L$6:L16,L16))</x:f>
        <x:v>14</x:v>
      </x:c>
      <x:c r="V16" s="584" t="str">
        <x:f>IF(P16="","",COUNTIFS($A$6:$A$172,A16,$P$6:$P$172,"&gt;"&amp;P16)+COUNTIFS($A$6:A16,A16,$P$6:P16,P16))</x:f>
      </x:c>
      <x:c r="W16" s="584" t="str">
        <x:f>IF(Q16="","",COUNTIFS($A$6:$A$172,A16,$Q$6:$Q$172,"&gt;"&amp;Q16)+COUNTIFS($A$6:A16,A16,$Q$6:Q16,Q16))</x:f>
      </x:c>
      <x:c r="X16" s="584" t="str">
        <x:f>IF(R16="","",COUNTIFS($A$6:$A$172,A16,$R$6:$R$172,"&gt;"&amp;R16)+COUNTIFS($A$6:A16,A16,$R$6:R16,R16))</x:f>
      </x:c>
      <x:c r="Y16" s="572" t="str">
        <x:f>IF(V16="","",A16&amp;"|"&amp;V16)</x:f>
      </x:c>
      <x:c r="Z16" s="572" t="str">
        <x:f>IF(W16="","",A16&amp;"|"&amp;W16)</x:f>
      </x:c>
      <x:c r="AA16" s="572" t="str">
        <x:f>IF(X16="","",A16&amp;"|"&amp;X16)</x:f>
      </x:c>
      <x:c r="AB16" s="572" t="str">
        <x:f>IF(A16="","",IF(I16=0,"Offense neutral — no recorded offensive skills",IF(I16&lt;1,"Partial lookup — adjustment scaled",IF(AND(M16="Yes",AC16=0),"Offense adjusted; Guard neutral","Captured"))))</x:f>
        <x:v>Captured</x:v>
      </x:c>
      <x:c r="AC16" s="580" t="n">
        <x:f>IF(SUMIFS('Specialisation Impact'!$M$19:$M$186,'Specialisation Impact'!$A$19:$A$186,A16,'Specialisation Impact'!$B$19:$B$186,B16)=0,0,SUMIFS('Specialisation Impact'!$F$19:$F$186,'Specialisation Impact'!$A$19:$A$186,A16,'Specialisation Impact'!$B$19:$B$186,B16))</x:f>
        <x:v>1</x:v>
      </x:c>
    </x:row>
    <x:row r="17">
      <x:c r="A17" s="571" t="str">
        <x:v>K60</x:v>
      </x:c>
      <x:c r="B17" s="571" t="str">
        <x:v>邪恶的Xero</x:v>
      </x:c>
      <x:c r="C17" s="575" t="n">
        <x:f>IF($A17="","",AVERAGE(100*((COUNTIF('All Stats'!$D$6:$D$172,"&lt;"&amp;'All Stats'!D17)+(COUNTIF('All Stats'!$D$6:$D$172,'All Stats'!D17)-1)/2)/(COUNT('All Stats'!$D$6:$D$172)-1))^'Specialisation Scenarios'!$X$10,100*((COUNTIF('All Stats'!$G$6:$G$172,"&lt;"&amp;'All Stats'!G17)+(COUNTIF('All Stats'!$G$6:$G$172,'All Stats'!G17)-1)/2)/(COUNT('All Stats'!$G$6:$G$172)-1))^'Specialisation Scenarios'!$X$10,100*((COUNTIF('All Stats'!$I$6:$I$172,"&lt;"&amp;'All Stats'!I17)+(COUNTIF('All Stats'!$I$6:$I$172,'All Stats'!I17)-1)/2)/(COUNT('All Stats'!$I$6:$I$172)-1))^'Specialisation Scenarios'!$X$10))</x:f>
        <x:v>38.05944852170171</x:v>
      </x:c>
      <x:c r="D17" s="575" t="n">
        <x:f>IF($A17="","",AVERAGE(100*((COUNTIF('All Stats'!$R$6:$R$172,"&lt;"&amp;'All Stats'!R17)+(COUNTIF('All Stats'!$R$6:$R$172,'All Stats'!R17)-1)/2)/(COUNT('All Stats'!$R$6:$R$172)-1))^'Specialisation Scenarios'!$X$10,100*((COUNTIF('All Stats'!$U$6:$U$172,"&lt;"&amp;'All Stats'!U17)+(COUNTIF('All Stats'!$U$6:$U$172,'All Stats'!U17)-1)/2)/(COUNT('All Stats'!$U$6:$U$172)-1))^'Specialisation Scenarios'!$X$10,100*((COUNTIF('All Stats'!$W$6:$W$172,"&lt;"&amp;'All Stats'!W17)+(COUNTIF('All Stats'!$W$6:$W$172,'All Stats'!W17)-1)/2)/(COUNT('All Stats'!$W$6:$W$172)-1))^'Specialisation Scenarios'!$X$10))</x:f>
        <x:v>59.36606438282467</x:v>
      </x:c>
      <x:c r="E17" s="575" t="n">
        <x:f>IF($A17="","",AVERAGE(100*((COUNTIF('All Stats'!$Y$6:$Y$172,"&lt;"&amp;'All Stats'!Y17)+(COUNTIF('All Stats'!$Y$6:$Y$172,'All Stats'!Y17)-1)/2)/(COUNT('All Stats'!$Y$6:$Y$172)-1))^'Specialisation Scenarios'!$X$10,100*((COUNTIF('All Stats'!$AB$6:$AB$172,"&lt;"&amp;'All Stats'!AB17)+(COUNTIF('All Stats'!$AB$6:$AB$172,'All Stats'!AB17)-1)/2)/(COUNT('All Stats'!$AB$6:$AB$172)-1))^'Specialisation Scenarios'!$X$10,100*((COUNTIF('All Stats'!$AD$6:$AD$172,"&lt;"&amp;'All Stats'!AD17)+(COUNTIF('All Stats'!$AD$6:$AD$172,'All Stats'!AD17)-1)/2)/(COUNT('All Stats'!$AD$6:$AD$172)-1))^'Specialisation Scenarios'!$X$10))</x:f>
        <x:v>61.20647262766125</x:v>
      </x:c>
      <x:c r="F17" s="575" t="n">
        <x:f>IF($A17="","",AVERAGE(100*((COUNTIF('All Stats'!$AF$6:$AF$172,"&lt;"&amp;'All Stats'!AF17)+(COUNTIF('All Stats'!$AF$6:$AF$172,'All Stats'!AF17)-1)/2)/(COUNT('All Stats'!$AF$6:$AF$172)-1))^'Specialisation Scenarios'!$X$10,100*((COUNTIF('All Stats'!$AI$6:$AI$172,"&lt;"&amp;'All Stats'!AI17)+(COUNTIF('All Stats'!$AI$6:$AI$172,'All Stats'!AI17)-1)/2)/(COUNT('All Stats'!$AI$6:$AI$172)-1))^'Specialisation Scenarios'!$X$10,100*((COUNTIF('All Stats'!$AK$6:$AK$172,"&lt;"&amp;'All Stats'!AK17)+(COUNTIF('All Stats'!$AK$6:$AK$172,'All Stats'!AK17)-1)/2)/(COUNT('All Stats'!$AK$6:$AK$172)-1))^'Specialisation Scenarios'!$X$10))</x:f>
        <x:v>40.51589044589931</x:v>
      </x:c>
      <x:c r="G17" s="575" t="n">
        <x:f>IF($A17="","",C17*'Specialisation Scenarios'!$X$11+D17*'Specialisation Scenarios'!$X$12+E17*'Specialisation Scenarios'!$X$13+F17*'Specialisation Scenarios'!$X$14)</x:f>
        <x:v>53.52658673760108</x:v>
      </x:c>
      <x:c r="H17" s="575" t="n">
        <x:f>IF(SUMIFS('Specialisation Impact'!$E$19:$E$186,'Specialisation Impact'!$A$19:$A$186,A17,'Specialisation Impact'!$B$19:$B$186,B17)=0,"",SUMIFS('Specialisation Impact'!$S$19:$S$186,'Specialisation Impact'!$A$19:$A$186,A17,'Specialisation Impact'!$B$19:$B$186,B17))</x:f>
        <x:v>80.64935064935065</x:v>
      </x:c>
      <x:c r="I17" s="579" t="n">
        <x:f>IF(SUMIFS('Specialisation Impact'!$E$19:$E$186,'Specialisation Impact'!$A$19:$A$186,A17,'Specialisation Impact'!$B$19:$B$186,B17)=0,0,SUMIFS('Specialisation Impact'!$F$19:$F$186,'Specialisation Impact'!$A$19:$A$186,A17,'Specialisation Impact'!$B$19:$B$186,B17))</x:f>
        <x:v>1</x:v>
      </x:c>
      <x:c r="J17" s="575" t="n">
        <x:f>G17</x:f>
        <x:v>53.52658673760108</x:v>
      </x:c>
      <x:c r="K17" s="575" t="n">
        <x:f>IF(G17="","",IF(I17=0,G17,MAX(0,MIN(100,G17*(1-'Specialisation Scenarios'!$B$8*I17)+H17*('Specialisation Scenarios'!$B$8*I17)))))</x:f>
        <x:v>60.307277715538476</x:v>
      </x:c>
      <x:c r="L17" s="575" t="n">
        <x:f>IF(G17="","",IF(I17=0,G17,MAX(0,MIN(100,G17*(1-'Specialisation Scenarios'!$B$9*I17)+H17*('Specialisation Scenarios'!$B$9*I17)))))</x:f>
        <x:v>63.01955410671343</x:v>
      </x:c>
      <x:c r="M17" s="575" t="str">
        <x:f>IF(COUNTIFS('Tank &amp; Control'!$A$23:$A$189,A17,'Tank &amp; Control'!$B$23:$B$189,B17,'Tank &amp; Control'!$C$23:$C$189,"Yes")&gt;0,"Yes","No")</x:f>
        <x:v>No</x:v>
      </x:c>
      <x:c r="N17" s="575" t="str">
        <x:f>IF(M17&lt;&gt;"Yes","",SUMIFS('Tank &amp; Control'!$L$23:$L$189,'Tank &amp; Control'!$A$23:$A$189,A17,'Tank &amp; Control'!$B$23:$B$189,B17))</x:f>
      </x:c>
      <x:c r="O17" s="575" t="str">
        <x:f>IF(SUMIFS('Specialisation Impact'!$M$19:$M$186,'Specialisation Impact'!$A$19:$A$186,A17,'Specialisation Impact'!$B$19:$B$186,B17)=0,"",SUMIFS('Specialisation Impact'!$V$19:$V$186,'Specialisation Impact'!$A$19:$A$186,A17,'Specialisation Impact'!$B$19:$B$186,B17))</x:f>
      </x:c>
      <x:c r="P17" s="575" t="str">
        <x:f>IF(N17="","",N17)</x:f>
      </x:c>
      <x:c r="Q17" s="575" t="str">
        <x:f>IF(N17="","",IF(AC17=0,N17,MAX(0,MIN(100,N17*(1-'Specialisation Scenarios'!$B$8*AC17)+O17*('Specialisation Scenarios'!$B$8*AC17)))))</x:f>
      </x:c>
      <x:c r="R17" s="575" t="str">
        <x:f>IF(N17="","",IF(AC17=0,N17,MAX(0,MIN(100,N17*(1-'Specialisation Scenarios'!$B$9*AC17)+O17*('Specialisation Scenarios'!$B$9*AC17)))))</x:f>
      </x:c>
      <x:c r="S17" s="583" t="n">
        <x:f>IF(J17="","",COUNTIFS($A$6:$A$172,A17,$J$6:$J$172,"&gt;"&amp;J17)+COUNTIFS($A$6:A17,A17,$J$6:J17,J17))</x:f>
        <x:v>7</x:v>
      </x:c>
      <x:c r="T17" s="583" t="n">
        <x:f>IF(K17="","",COUNTIFS($A$6:$A$172,A17,$K$6:$K$172,"&gt;"&amp;K17)+COUNTIFS($A$6:A17,A17,$K$6:K17,K17))</x:f>
        <x:v>7</x:v>
      </x:c>
      <x:c r="U17" s="583" t="n">
        <x:f>IF(L17="","",COUNTIFS($A$6:$A$172,A17,$L$6:$L$172,"&gt;"&amp;L17)+COUNTIFS($A$6:A17,A17,$L$6:L17,L17))</x:f>
        <x:v>7</x:v>
      </x:c>
      <x:c r="V17" s="583" t="str">
        <x:f>IF(P17="","",COUNTIFS($A$6:$A$172,A17,$P$6:$P$172,"&gt;"&amp;P17)+COUNTIFS($A$6:A17,A17,$P$6:P17,P17))</x:f>
      </x:c>
      <x:c r="W17" s="583" t="str">
        <x:f>IF(Q17="","",COUNTIFS($A$6:$A$172,A17,$Q$6:$Q$172,"&gt;"&amp;Q17)+COUNTIFS($A$6:A17,A17,$Q$6:Q17,Q17))</x:f>
      </x:c>
      <x:c r="X17" s="583" t="str">
        <x:f>IF(R17="","",COUNTIFS($A$6:$A$172,A17,$R$6:$R$172,"&gt;"&amp;R17)+COUNTIFS($A$6:A17,A17,$R$6:R17,R17))</x:f>
      </x:c>
      <x:c r="Y17" s="571" t="str">
        <x:f>IF(V17="","",A17&amp;"|"&amp;V17)</x:f>
      </x:c>
      <x:c r="Z17" s="571" t="str">
        <x:f>IF(W17="","",A17&amp;"|"&amp;W17)</x:f>
      </x:c>
      <x:c r="AA17" s="571" t="str">
        <x:f>IF(X17="","",A17&amp;"|"&amp;X17)</x:f>
      </x:c>
      <x:c r="AB17" s="571" t="str">
        <x:f>IF(A17="","",IF(I17=0,"Offense neutral — no recorded offensive skills",IF(I17&lt;1,"Partial lookup — adjustment scaled",IF(AND(M17="Yes",AC17=0),"Offense adjusted; Guard neutral","Captured"))))</x:f>
        <x:v>Captured</x:v>
      </x:c>
      <x:c r="AC17" s="579" t="n">
        <x:f>IF(SUMIFS('Specialisation Impact'!$M$19:$M$186,'Specialisation Impact'!$A$19:$A$186,A17,'Specialisation Impact'!$B$19:$B$186,B17)=0,0,SUMIFS('Specialisation Impact'!$F$19:$F$186,'Specialisation Impact'!$A$19:$A$186,A17,'Specialisation Impact'!$B$19:$B$186,B17))</x:f>
        <x:v>0</x:v>
      </x:c>
    </x:row>
    <x:row r="18">
      <x:c r="A18" s="572" t="str">
        <x:v>K60</x:v>
      </x:c>
      <x:c r="B18" s="572" t="str">
        <x:v>AAB</x:v>
      </x:c>
      <x:c r="C18" s="576" t="n">
        <x:f>IF($A18="","",AVERAGE(100*((COUNTIF('All Stats'!$D$6:$D$172,"&lt;"&amp;'All Stats'!D18)+(COUNTIF('All Stats'!$D$6:$D$172,'All Stats'!D18)-1)/2)/(COUNT('All Stats'!$D$6:$D$172)-1))^'Specialisation Scenarios'!$X$10,100*((COUNTIF('All Stats'!$G$6:$G$172,"&lt;"&amp;'All Stats'!G18)+(COUNTIF('All Stats'!$G$6:$G$172,'All Stats'!G18)-1)/2)/(COUNT('All Stats'!$G$6:$G$172)-1))^'Specialisation Scenarios'!$X$10,100*((COUNTIF('All Stats'!$I$6:$I$172,"&lt;"&amp;'All Stats'!I18)+(COUNTIF('All Stats'!$I$6:$I$172,'All Stats'!I18)-1)/2)/(COUNT('All Stats'!$I$6:$I$172)-1))^'Specialisation Scenarios'!$X$10))</x:f>
        <x:v>41.251985202785164</x:v>
      </x:c>
      <x:c r="D18" s="576" t="n">
        <x:f>IF($A18="","",AVERAGE(100*((COUNTIF('All Stats'!$R$6:$R$172,"&lt;"&amp;'All Stats'!R18)+(COUNTIF('All Stats'!$R$6:$R$172,'All Stats'!R18)-1)/2)/(COUNT('All Stats'!$R$6:$R$172)-1))^'Specialisation Scenarios'!$X$10,100*((COUNTIF('All Stats'!$U$6:$U$172,"&lt;"&amp;'All Stats'!U18)+(COUNTIF('All Stats'!$U$6:$U$172,'All Stats'!U18)-1)/2)/(COUNT('All Stats'!$U$6:$U$172)-1))^'Specialisation Scenarios'!$X$10,100*((COUNTIF('All Stats'!$W$6:$W$172,"&lt;"&amp;'All Stats'!W18)+(COUNTIF('All Stats'!$W$6:$W$172,'All Stats'!W18)-1)/2)/(COUNT('All Stats'!$W$6:$W$172)-1))^'Specialisation Scenarios'!$X$10))</x:f>
        <x:v>56.22727560387102</x:v>
      </x:c>
      <x:c r="E18" s="576" t="n">
        <x:f>IF($A18="","",AVERAGE(100*((COUNTIF('All Stats'!$Y$6:$Y$172,"&lt;"&amp;'All Stats'!Y18)+(COUNTIF('All Stats'!$Y$6:$Y$172,'All Stats'!Y18)-1)/2)/(COUNT('All Stats'!$Y$6:$Y$172)-1))^'Specialisation Scenarios'!$X$10,100*((COUNTIF('All Stats'!$AB$6:$AB$172,"&lt;"&amp;'All Stats'!AB18)+(COUNTIF('All Stats'!$AB$6:$AB$172,'All Stats'!AB18)-1)/2)/(COUNT('All Stats'!$AB$6:$AB$172)-1))^'Specialisation Scenarios'!$X$10,100*((COUNTIF('All Stats'!$AD$6:$AD$172,"&lt;"&amp;'All Stats'!AD18)+(COUNTIF('All Stats'!$AD$6:$AD$172,'All Stats'!AD18)-1)/2)/(COUNT('All Stats'!$AD$6:$AD$172)-1))^'Specialisation Scenarios'!$X$10))</x:f>
        <x:v>46.87349779673355</x:v>
      </x:c>
      <x:c r="F18" s="576" t="n">
        <x:f>IF($A18="","",AVERAGE(100*((COUNTIF('All Stats'!$AF$6:$AF$172,"&lt;"&amp;'All Stats'!AF18)+(COUNTIF('All Stats'!$AF$6:$AF$172,'All Stats'!AF18)-1)/2)/(COUNT('All Stats'!$AF$6:$AF$172)-1))^'Specialisation Scenarios'!$X$10,100*((COUNTIF('All Stats'!$AI$6:$AI$172,"&lt;"&amp;'All Stats'!AI18)+(COUNTIF('All Stats'!$AI$6:$AI$172,'All Stats'!AI18)-1)/2)/(COUNT('All Stats'!$AI$6:$AI$172)-1))^'Specialisation Scenarios'!$X$10,100*((COUNTIF('All Stats'!$AK$6:$AK$172,"&lt;"&amp;'All Stats'!AK18)+(COUNTIF('All Stats'!$AK$6:$AK$172,'All Stats'!AK18)-1)/2)/(COUNT('All Stats'!$AK$6:$AK$172)-1))^'Specialisation Scenarios'!$X$10))</x:f>
        <x:v>48.1211291713166</x:v>
      </x:c>
      <x:c r="G18" s="576" t="n">
        <x:f>IF($A18="","",C18*'Specialisation Scenarios'!$X$11+D18*'Specialisation Scenarios'!$X$12+E18*'Specialisation Scenarios'!$X$13+F18*'Specialisation Scenarios'!$X$14)</x:f>
        <x:v>51.82968229811123</x:v>
      </x:c>
      <x:c r="H18" s="576" t="n">
        <x:f>IF(SUMIFS('Specialisation Impact'!$E$19:$E$186,'Specialisation Impact'!$A$19:$A$186,A18,'Specialisation Impact'!$B$19:$B$186,B18)=0,"",SUMIFS('Specialisation Impact'!$S$19:$S$186,'Specialisation Impact'!$A$19:$A$186,A18,'Specialisation Impact'!$B$19:$B$186,B18))</x:f>
        <x:v>65.64935064935065</x:v>
      </x:c>
      <x:c r="I18" s="580" t="n">
        <x:f>IF(SUMIFS('Specialisation Impact'!$E$19:$E$186,'Specialisation Impact'!$A$19:$A$186,A18,'Specialisation Impact'!$B$19:$B$186,B18)=0,0,SUMIFS('Specialisation Impact'!$F$19:$F$186,'Specialisation Impact'!$A$19:$A$186,A18,'Specialisation Impact'!$B$19:$B$186,B18))</x:f>
        <x:v>1</x:v>
      </x:c>
      <x:c r="J18" s="576" t="n">
        <x:f>G18</x:f>
        <x:v>51.82968229811123</x:v>
      </x:c>
      <x:c r="K18" s="576" t="n">
        <x:f>IF(G18="","",IF(I18=0,G18,MAX(0,MIN(100,G18*(1-'Specialisation Scenarios'!$B$8*I18)+H18*('Specialisation Scenarios'!$B$8*I18)))))</x:f>
        <x:v>55.284599385921084</x:v>
      </x:c>
      <x:c r="L18" s="576" t="n">
        <x:f>IF(G18="","",IF(I18=0,G18,MAX(0,MIN(100,G18*(1-'Specialisation Scenarios'!$B$9*I18)+H18*('Specialisation Scenarios'!$B$9*I18)))))</x:f>
        <x:v>56.66656622104503</x:v>
      </x:c>
      <x:c r="M18" s="576" t="str">
        <x:f>IF(COUNTIFS('Tank &amp; Control'!$A$23:$A$189,A18,'Tank &amp; Control'!$B$23:$B$189,B18,'Tank &amp; Control'!$C$23:$C$189,"Yes")&gt;0,"Yes","No")</x:f>
        <x:v>No</x:v>
      </x:c>
      <x:c r="N18" s="576" t="str">
        <x:f>IF(M18&lt;&gt;"Yes","",SUMIFS('Tank &amp; Control'!$L$23:$L$189,'Tank &amp; Control'!$A$23:$A$189,A18,'Tank &amp; Control'!$B$23:$B$189,B18))</x:f>
      </x:c>
      <x:c r="O18" s="576" t="n">
        <x:f>IF(SUMIFS('Specialisation Impact'!$M$19:$M$186,'Specialisation Impact'!$A$19:$A$186,A18,'Specialisation Impact'!$B$19:$B$186,B18)=0,"",SUMIFS('Specialisation Impact'!$V$19:$V$186,'Specialisation Impact'!$A$19:$A$186,A18,'Specialisation Impact'!$B$19:$B$186,B18))</x:f>
        <x:v>29.48717948717949</x:v>
      </x:c>
      <x:c r="P18" s="576" t="str">
        <x:f>IF(N18="","",N18)</x:f>
      </x:c>
      <x:c r="Q18" s="576" t="str">
        <x:f>IF(N18="","",IF(AC18=0,N18,MAX(0,MIN(100,N18*(1-'Specialisation Scenarios'!$B$8*AC18)+O18*('Specialisation Scenarios'!$B$8*AC18)))))</x:f>
      </x:c>
      <x:c r="R18" s="576" t="str">
        <x:f>IF(N18="","",IF(AC18=0,N18,MAX(0,MIN(100,N18*(1-'Specialisation Scenarios'!$B$9*AC18)+O18*('Specialisation Scenarios'!$B$9*AC18)))))</x:f>
      </x:c>
      <x:c r="S18" s="584" t="n">
        <x:f>IF(J18="","",COUNTIFS($A$6:$A$172,A18,$J$6:$J$172,"&gt;"&amp;J18)+COUNTIFS($A$6:A18,A18,$J$6:J18,J18))</x:f>
        <x:v>8</x:v>
      </x:c>
      <x:c r="T18" s="584" t="n">
        <x:f>IF(K18="","",COUNTIFS($A$6:$A$172,A18,$K$6:$K$172,"&gt;"&amp;K18)+COUNTIFS($A$6:A18,A18,$K$6:K18,K18))</x:f>
        <x:v>9</x:v>
      </x:c>
      <x:c r="U18" s="584" t="n">
        <x:f>IF(L18="","",COUNTIFS($A$6:$A$172,A18,$L$6:$L$172,"&gt;"&amp;L18)+COUNTIFS($A$6:A18,A18,$L$6:L18,L18))</x:f>
        <x:v>10</x:v>
      </x:c>
      <x:c r="V18" s="584" t="str">
        <x:f>IF(P18="","",COUNTIFS($A$6:$A$172,A18,$P$6:$P$172,"&gt;"&amp;P18)+COUNTIFS($A$6:A18,A18,$P$6:P18,P18))</x:f>
      </x:c>
      <x:c r="W18" s="584" t="str">
        <x:f>IF(Q18="","",COUNTIFS($A$6:$A$172,A18,$Q$6:$Q$172,"&gt;"&amp;Q18)+COUNTIFS($A$6:A18,A18,$Q$6:Q18,Q18))</x:f>
      </x:c>
      <x:c r="X18" s="584" t="str">
        <x:f>IF(R18="","",COUNTIFS($A$6:$A$172,A18,$R$6:$R$172,"&gt;"&amp;R18)+COUNTIFS($A$6:A18,A18,$R$6:R18,R18))</x:f>
      </x:c>
      <x:c r="Y18" s="572" t="str">
        <x:f>IF(V18="","",A18&amp;"|"&amp;V18)</x:f>
      </x:c>
      <x:c r="Z18" s="572" t="str">
        <x:f>IF(W18="","",A18&amp;"|"&amp;W18)</x:f>
      </x:c>
      <x:c r="AA18" s="572" t="str">
        <x:f>IF(X18="","",A18&amp;"|"&amp;X18)</x:f>
      </x:c>
      <x:c r="AB18" s="572" t="str">
        <x:f>IF(A18="","",IF(I18=0,"Offense neutral — no recorded offensive skills",IF(I18&lt;1,"Partial lookup — adjustment scaled",IF(AND(M18="Yes",AC18=0),"Offense adjusted; Guard neutral","Captured"))))</x:f>
        <x:v>Captured</x:v>
      </x:c>
      <x:c r="AC18" s="580" t="n">
        <x:f>IF(SUMIFS('Specialisation Impact'!$M$19:$M$186,'Specialisation Impact'!$A$19:$A$186,A18,'Specialisation Impact'!$B$19:$B$186,B18)=0,0,SUMIFS('Specialisation Impact'!$F$19:$F$186,'Specialisation Impact'!$A$19:$A$186,A18,'Specialisation Impact'!$B$19:$B$186,B18))</x:f>
        <x:v>1</x:v>
      </x:c>
    </x:row>
    <x:row r="19">
      <x:c r="A19" s="571" t="str">
        <x:v>K60</x:v>
      </x:c>
      <x:c r="B19" s="571" t="str">
        <x:v>#14 元气满满 (148,500)</x:v>
      </x:c>
      <x:c r="C19" s="575" t="n">
        <x:f>IF($A19="","",AVERAGE(100*((COUNTIF('All Stats'!$D$6:$D$172,"&lt;"&amp;'All Stats'!D19)+(COUNTIF('All Stats'!$D$6:$D$172,'All Stats'!D19)-1)/2)/(COUNT('All Stats'!$D$6:$D$172)-1))^'Specialisation Scenarios'!$X$10,100*((COUNTIF('All Stats'!$G$6:$G$172,"&lt;"&amp;'All Stats'!G19)+(COUNTIF('All Stats'!$G$6:$G$172,'All Stats'!G19)-1)/2)/(COUNT('All Stats'!$G$6:$G$172)-1))^'Specialisation Scenarios'!$X$10,100*((COUNTIF('All Stats'!$I$6:$I$172,"&lt;"&amp;'All Stats'!I19)+(COUNTIF('All Stats'!$I$6:$I$172,'All Stats'!I19)-1)/2)/(COUNT('All Stats'!$I$6:$I$172)-1))^'Specialisation Scenarios'!$X$10))</x:f>
        <x:v>58.82533789683993</x:v>
      </x:c>
      <x:c r="D19" s="575" t="n">
        <x:f>IF($A19="","",AVERAGE(100*((COUNTIF('All Stats'!$R$6:$R$172,"&lt;"&amp;'All Stats'!R19)+(COUNTIF('All Stats'!$R$6:$R$172,'All Stats'!R19)-1)/2)/(COUNT('All Stats'!$R$6:$R$172)-1))^'Specialisation Scenarios'!$X$10,100*((COUNTIF('All Stats'!$U$6:$U$172,"&lt;"&amp;'All Stats'!U19)+(COUNTIF('All Stats'!$U$6:$U$172,'All Stats'!U19)-1)/2)/(COUNT('All Stats'!$U$6:$U$172)-1))^'Specialisation Scenarios'!$X$10,100*((COUNTIF('All Stats'!$W$6:$W$172,"&lt;"&amp;'All Stats'!W19)+(COUNTIF('All Stats'!$W$6:$W$172,'All Stats'!W19)-1)/2)/(COUNT('All Stats'!$W$6:$W$172)-1))^'Specialisation Scenarios'!$X$10))</x:f>
        <x:v>70.79830166428127</x:v>
      </x:c>
      <x:c r="E19" s="575" t="n">
        <x:f>IF($A19="","",AVERAGE(100*((COUNTIF('All Stats'!$Y$6:$Y$172,"&lt;"&amp;'All Stats'!Y19)+(COUNTIF('All Stats'!$Y$6:$Y$172,'All Stats'!Y19)-1)/2)/(COUNT('All Stats'!$Y$6:$Y$172)-1))^'Specialisation Scenarios'!$X$10,100*((COUNTIF('All Stats'!$AB$6:$AB$172,"&lt;"&amp;'All Stats'!AB19)+(COUNTIF('All Stats'!$AB$6:$AB$172,'All Stats'!AB19)-1)/2)/(COUNT('All Stats'!$AB$6:$AB$172)-1))^'Specialisation Scenarios'!$X$10,100*((COUNTIF('All Stats'!$AD$6:$AD$172,"&lt;"&amp;'All Stats'!AD19)+(COUNTIF('All Stats'!$AD$6:$AD$172,'All Stats'!AD19)-1)/2)/(COUNT('All Stats'!$AD$6:$AD$172)-1))^'Specialisation Scenarios'!$X$10))</x:f>
        <x:v>66.85280207201332</x:v>
      </x:c>
      <x:c r="F19" s="575" t="n">
        <x:f>IF($A19="","",AVERAGE(100*((COUNTIF('All Stats'!$AF$6:$AF$172,"&lt;"&amp;'All Stats'!AF19)+(COUNTIF('All Stats'!$AF$6:$AF$172,'All Stats'!AF19)-1)/2)/(COUNT('All Stats'!$AF$6:$AF$172)-1))^'Specialisation Scenarios'!$X$10,100*((COUNTIF('All Stats'!$AI$6:$AI$172,"&lt;"&amp;'All Stats'!AI19)+(COUNTIF('All Stats'!$AI$6:$AI$172,'All Stats'!AI19)-1)/2)/(COUNT('All Stats'!$AI$6:$AI$172)-1))^'Specialisation Scenarios'!$X$10,100*((COUNTIF('All Stats'!$AK$6:$AK$172,"&lt;"&amp;'All Stats'!AK19)+(COUNTIF('All Stats'!$AK$6:$AK$172,'All Stats'!AK19)-1)/2)/(COUNT('All Stats'!$AK$6:$AK$172)-1))^'Specialisation Scenarios'!$X$10))</x:f>
        <x:v>82.82843038441348</x:v>
      </x:c>
      <x:c r="G19" s="575" t="n">
        <x:f>IF($A19="","",C19*'Specialisation Scenarios'!$X$11+D19*'Specialisation Scenarios'!$X$12+E19*'Specialisation Scenarios'!$X$13+F19*'Specialisation Scenarios'!$X$14)</x:f>
        <x:v>70.41232644795811</x:v>
      </x:c>
      <x:c r="H19" s="575" t="n">
        <x:f>IF(SUMIFS('Specialisation Impact'!$E$19:$E$186,'Specialisation Impact'!$A$19:$A$186,A19,'Specialisation Impact'!$B$19:$B$186,B19)=0,"",SUMIFS('Specialisation Impact'!$S$19:$S$186,'Specialisation Impact'!$A$19:$A$186,A19,'Specialisation Impact'!$B$19:$B$186,B19))</x:f>
        <x:v>97.92207792207792</x:v>
      </x:c>
      <x:c r="I19" s="579" t="n">
        <x:f>IF(SUMIFS('Specialisation Impact'!$E$19:$E$186,'Specialisation Impact'!$A$19:$A$186,A19,'Specialisation Impact'!$B$19:$B$186,B19)=0,0,SUMIFS('Specialisation Impact'!$F$19:$F$186,'Specialisation Impact'!$A$19:$A$186,A19,'Specialisation Impact'!$B$19:$B$186,B19))</x:f>
        <x:v>1</x:v>
      </x:c>
      <x:c r="J19" s="575" t="n">
        <x:f>G19</x:f>
        <x:v>70.41232644795811</x:v>
      </x:c>
      <x:c r="K19" s="575" t="n">
        <x:f>IF(G19="","",IF(I19=0,G19,MAX(0,MIN(100,G19*(1-'Specialisation Scenarios'!$B$8*I19)+H19*('Specialisation Scenarios'!$B$8*I19)))))</x:f>
        <x:v>77.28976431648806</x:v>
      </x:c>
      <x:c r="L19" s="575" t="n">
        <x:f>IF(G19="","",IF(I19=0,G19,MAX(0,MIN(100,G19*(1-'Specialisation Scenarios'!$B$9*I19)+H19*('Specialisation Scenarios'!$B$9*I19)))))</x:f>
        <x:v>80.04073946390004</x:v>
      </x:c>
      <x:c r="M19" s="575" t="str">
        <x:f>IF(COUNTIFS('Tank &amp; Control'!$A$23:$A$189,A19,'Tank &amp; Control'!$B$23:$B$189,B19,'Tank &amp; Control'!$C$23:$C$189,"Yes")&gt;0,"Yes","No")</x:f>
        <x:v>No</x:v>
      </x:c>
      <x:c r="N19" s="575" t="str">
        <x:f>IF(M19&lt;&gt;"Yes","",SUMIFS('Tank &amp; Control'!$L$23:$L$189,'Tank &amp; Control'!$A$23:$A$189,A19,'Tank &amp; Control'!$B$23:$B$189,B19))</x:f>
      </x:c>
      <x:c r="O19" s="575" t="str">
        <x:f>IF(SUMIFS('Specialisation Impact'!$M$19:$M$186,'Specialisation Impact'!$A$19:$A$186,A19,'Specialisation Impact'!$B$19:$B$186,B19)=0,"",SUMIFS('Specialisation Impact'!$V$19:$V$186,'Specialisation Impact'!$A$19:$A$186,A19,'Specialisation Impact'!$B$19:$B$186,B19))</x:f>
      </x:c>
      <x:c r="P19" s="575" t="str">
        <x:f>IF(N19="","",N19)</x:f>
      </x:c>
      <x:c r="Q19" s="575" t="str">
        <x:f>IF(N19="","",IF(AC19=0,N19,MAX(0,MIN(100,N19*(1-'Specialisation Scenarios'!$B$8*AC19)+O19*('Specialisation Scenarios'!$B$8*AC19)))))</x:f>
      </x:c>
      <x:c r="R19" s="575" t="str">
        <x:f>IF(N19="","",IF(AC19=0,N19,MAX(0,MIN(100,N19*(1-'Specialisation Scenarios'!$B$9*AC19)+O19*('Specialisation Scenarios'!$B$9*AC19)))))</x:f>
      </x:c>
      <x:c r="S19" s="583" t="n">
        <x:f>IF(J19="","",COUNTIFS($A$6:$A$172,A19,$J$6:$J$172,"&gt;"&amp;J19)+COUNTIFS($A$6:A19,A19,$J$6:J19,J19))</x:f>
        <x:v>2</x:v>
      </x:c>
      <x:c r="T19" s="583" t="n">
        <x:f>IF(K19="","",COUNTIFS($A$6:$A$172,A19,$K$6:$K$172,"&gt;"&amp;K19)+COUNTIFS($A$6:A19,A19,$K$6:K19,K19))</x:f>
        <x:v>2</x:v>
      </x:c>
      <x:c r="U19" s="583" t="n">
        <x:f>IF(L19="","",COUNTIFS($A$6:$A$172,A19,$L$6:$L$172,"&gt;"&amp;L19)+COUNTIFS($A$6:A19,A19,$L$6:L19,L19))</x:f>
        <x:v>1</x:v>
      </x:c>
      <x:c r="V19" s="583" t="str">
        <x:f>IF(P19="","",COUNTIFS($A$6:$A$172,A19,$P$6:$P$172,"&gt;"&amp;P19)+COUNTIFS($A$6:A19,A19,$P$6:P19,P19))</x:f>
      </x:c>
      <x:c r="W19" s="583" t="str">
        <x:f>IF(Q19="","",COUNTIFS($A$6:$A$172,A19,$Q$6:$Q$172,"&gt;"&amp;Q19)+COUNTIFS($A$6:A19,A19,$Q$6:Q19,Q19))</x:f>
      </x:c>
      <x:c r="X19" s="583" t="str">
        <x:f>IF(R19="","",COUNTIFS($A$6:$A$172,A19,$R$6:$R$172,"&gt;"&amp;R19)+COUNTIFS($A$6:A19,A19,$R$6:R19,R19))</x:f>
      </x:c>
      <x:c r="Y19" s="571" t="str">
        <x:f>IF(V19="","",A19&amp;"|"&amp;V19)</x:f>
      </x:c>
      <x:c r="Z19" s="571" t="str">
        <x:f>IF(W19="","",A19&amp;"|"&amp;W19)</x:f>
      </x:c>
      <x:c r="AA19" s="571" t="str">
        <x:f>IF(X19="","",A19&amp;"|"&amp;X19)</x:f>
      </x:c>
      <x:c r="AB19" s="571" t="str">
        <x:f>IF(A19="","",IF(I19=0,"Offense neutral — no recorded offensive skills",IF(I19&lt;1,"Partial lookup — adjustment scaled",IF(AND(M19="Yes",AC19=0),"Offense adjusted; Guard neutral","Captured"))))</x:f>
        <x:v>Captured</x:v>
      </x:c>
      <x:c r="AC19" s="579" t="n">
        <x:f>IF(SUMIFS('Specialisation Impact'!$M$19:$M$186,'Specialisation Impact'!$A$19:$A$186,A19,'Specialisation Impact'!$B$19:$B$186,B19)=0,0,SUMIFS('Specialisation Impact'!$F$19:$F$186,'Specialisation Impact'!$A$19:$A$186,A19,'Specialisation Impact'!$B$19:$B$186,B19))</x:f>
        <x:v>0</x:v>
      </x:c>
    </x:row>
    <x:row r="20">
      <x:c r="A20" s="572" t="str">
        <x:v>K60</x:v>
      </x:c>
      <x:c r="B20" s="572" t="str">
        <x:v>InFlames</x:v>
      </x:c>
      <x:c r="C20" s="576" t="n">
        <x:f>IF($A20="","",AVERAGE(100*((COUNTIF('All Stats'!$D$6:$D$172,"&lt;"&amp;'All Stats'!D20)+(COUNTIF('All Stats'!$D$6:$D$172,'All Stats'!D20)-1)/2)/(COUNT('All Stats'!$D$6:$D$172)-1))^'Specialisation Scenarios'!$X$10,100*((COUNTIF('All Stats'!$G$6:$G$172,"&lt;"&amp;'All Stats'!G20)+(COUNTIF('All Stats'!$G$6:$G$172,'All Stats'!G20)-1)/2)/(COUNT('All Stats'!$G$6:$G$172)-1))^'Specialisation Scenarios'!$X$10,100*((COUNTIF('All Stats'!$I$6:$I$172,"&lt;"&amp;'All Stats'!I20)+(COUNTIF('All Stats'!$I$6:$I$172,'All Stats'!I20)-1)/2)/(COUNT('All Stats'!$I$6:$I$172)-1))^'Specialisation Scenarios'!$X$10))</x:f>
        <x:v>66.66005694231724</x:v>
      </x:c>
      <x:c r="D20" s="576" t="n">
        <x:f>IF($A20="","",AVERAGE(100*((COUNTIF('All Stats'!$R$6:$R$172,"&lt;"&amp;'All Stats'!R20)+(COUNTIF('All Stats'!$R$6:$R$172,'All Stats'!R20)-1)/2)/(COUNT('All Stats'!$R$6:$R$172)-1))^'Specialisation Scenarios'!$X$10,100*((COUNTIF('All Stats'!$U$6:$U$172,"&lt;"&amp;'All Stats'!U20)+(COUNTIF('All Stats'!$U$6:$U$172,'All Stats'!U20)-1)/2)/(COUNT('All Stats'!$U$6:$U$172)-1))^'Specialisation Scenarios'!$X$10,100*((COUNTIF('All Stats'!$W$6:$W$172,"&lt;"&amp;'All Stats'!W20)+(COUNTIF('All Stats'!$W$6:$W$172,'All Stats'!W20)-1)/2)/(COUNT('All Stats'!$W$6:$W$172)-1))^'Specialisation Scenarios'!$X$10))</x:f>
        <x:v>92.94483510419052</x:v>
      </x:c>
      <x:c r="E20" s="576" t="n">
        <x:f>IF($A20="","",AVERAGE(100*((COUNTIF('All Stats'!$Y$6:$Y$172,"&lt;"&amp;'All Stats'!Y20)+(COUNTIF('All Stats'!$Y$6:$Y$172,'All Stats'!Y20)-1)/2)/(COUNT('All Stats'!$Y$6:$Y$172)-1))^'Specialisation Scenarios'!$X$10,100*((COUNTIF('All Stats'!$AB$6:$AB$172,"&lt;"&amp;'All Stats'!AB20)+(COUNTIF('All Stats'!$AB$6:$AB$172,'All Stats'!AB20)-1)/2)/(COUNT('All Stats'!$AB$6:$AB$172)-1))^'Specialisation Scenarios'!$X$10,100*((COUNTIF('All Stats'!$AD$6:$AD$172,"&lt;"&amp;'All Stats'!AD20)+(COUNTIF('All Stats'!$AD$6:$AD$172,'All Stats'!AD20)-1)/2)/(COUNT('All Stats'!$AD$6:$AD$172)-1))^'Specialisation Scenarios'!$X$10))</x:f>
        <x:v>67.50342639640259</x:v>
      </x:c>
      <x:c r="F20" s="576" t="n">
        <x:f>IF($A20="","",AVERAGE(100*((COUNTIF('All Stats'!$AF$6:$AF$172,"&lt;"&amp;'All Stats'!AF20)+(COUNTIF('All Stats'!$AF$6:$AF$172,'All Stats'!AF20)-1)/2)/(COUNT('All Stats'!$AF$6:$AF$172)-1))^'Specialisation Scenarios'!$X$10,100*((COUNTIF('All Stats'!$AI$6:$AI$172,"&lt;"&amp;'All Stats'!AI20)+(COUNTIF('All Stats'!$AI$6:$AI$172,'All Stats'!AI20)-1)/2)/(COUNT('All Stats'!$AI$6:$AI$172)-1))^'Specialisation Scenarios'!$X$10,100*((COUNTIF('All Stats'!$AK$6:$AK$172,"&lt;"&amp;'All Stats'!AK20)+(COUNTIF('All Stats'!$AK$6:$AK$172,'All Stats'!AK20)-1)/2)/(COUNT('All Stats'!$AK$6:$AK$172)-1))^'Specialisation Scenarios'!$X$10))</x:f>
        <x:v>86.01238584146138</x:v>
      </x:c>
      <x:c r="G20" s="576" t="n">
        <x:f>IF($A20="","",C20*'Specialisation Scenarios'!$X$11+D20*'Specialisation Scenarios'!$X$12+E20*'Specialisation Scenarios'!$X$13+F20*'Specialisation Scenarios'!$X$14)</x:f>
        <x:v>85.41811011972136</x:v>
      </x:c>
      <x:c r="H20" s="576" t="n">
        <x:f>IF(SUMIFS('Specialisation Impact'!$E$19:$E$186,'Specialisation Impact'!$A$19:$A$186,A20,'Specialisation Impact'!$B$19:$B$186,B20)=0,"",SUMIFS('Specialisation Impact'!$S$19:$S$186,'Specialisation Impact'!$A$19:$A$186,A20,'Specialisation Impact'!$B$19:$B$186,B20))</x:f>
        <x:v>60.259740259740255</x:v>
      </x:c>
      <x:c r="I20" s="580" t="n">
        <x:f>IF(SUMIFS('Specialisation Impact'!$E$19:$E$186,'Specialisation Impact'!$A$19:$A$186,A20,'Specialisation Impact'!$B$19:$B$186,B20)=0,0,SUMIFS('Specialisation Impact'!$F$19:$F$186,'Specialisation Impact'!$A$19:$A$186,A20,'Specialisation Impact'!$B$19:$B$186,B20))</x:f>
        <x:v>1</x:v>
      </x:c>
      <x:c r="J20" s="576" t="n">
        <x:f>G20</x:f>
        <x:v>85.41811011972136</x:v>
      </x:c>
      <x:c r="K20" s="576" t="n">
        <x:f>IF(G20="","",IF(I20=0,G20,MAX(0,MIN(100,G20*(1-'Specialisation Scenarios'!$B$8*I20)+H20*('Specialisation Scenarios'!$B$8*I20)))))</x:f>
        <x:v>79.1285176547261</x:v>
      </x:c>
      <x:c r="L20" s="576" t="n">
        <x:f>IF(G20="","",IF(I20=0,G20,MAX(0,MIN(100,G20*(1-'Specialisation Scenarios'!$B$9*I20)+H20*('Specialisation Scenarios'!$B$9*I20)))))</x:f>
        <x:v>76.61268066872798</x:v>
      </x:c>
      <x:c r="M20" s="576" t="str">
        <x:f>IF(COUNTIFS('Tank &amp; Control'!$A$23:$A$189,A20,'Tank &amp; Control'!$B$23:$B$189,B20,'Tank &amp; Control'!$C$23:$C$189,"Yes")&gt;0,"Yes","No")</x:f>
        <x:v>Yes</x:v>
      </x:c>
      <x:c r="N20" s="576" t="n">
        <x:f>IF(M20&lt;&gt;"Yes","",SUMIFS('Tank &amp; Control'!$L$23:$L$189,'Tank &amp; Control'!$A$23:$A$189,A20,'Tank &amp; Control'!$B$23:$B$189,B20))</x:f>
        <x:v>37.818678083089196</x:v>
      </x:c>
      <x:c r="O20" s="576" t="n">
        <x:f>IF(SUMIFS('Specialisation Impact'!$M$19:$M$186,'Specialisation Impact'!$A$19:$A$186,A20,'Specialisation Impact'!$B$19:$B$186,B20)=0,"",SUMIFS('Specialisation Impact'!$V$19:$V$186,'Specialisation Impact'!$A$19:$A$186,A20,'Specialisation Impact'!$B$19:$B$186,B20))</x:f>
        <x:v>29.48717948717949</x:v>
      </x:c>
      <x:c r="P20" s="576" t="n">
        <x:f>IF(N20="","",N20)</x:f>
        <x:v>37.818678083089196</x:v>
      </x:c>
      <x:c r="Q20" s="576" t="n">
        <x:f>IF(N20="","",IF(AC20=0,N20,MAX(0,MIN(100,N20*(1-'Specialisation Scenarios'!$B$8*AC20)+O20*('Specialisation Scenarios'!$B$8*AC20)))))</x:f>
        <x:v>35.73580343411177</x:v>
      </x:c>
      <x:c r="R20" s="576" t="n">
        <x:f>IF(N20="","",IF(AC20=0,N20,MAX(0,MIN(100,N20*(1-'Specialisation Scenarios'!$B$9*AC20)+O20*('Specialisation Scenarios'!$B$9*AC20)))))</x:f>
        <x:v>34.9026535745208</x:v>
      </x:c>
      <x:c r="S20" s="584" t="n">
        <x:f>IF(J20="","",COUNTIFS($A$6:$A$172,A20,$J$6:$J$172,"&gt;"&amp;J20)+COUNTIFS($A$6:A20,A20,$J$6:J20,J20))</x:f>
        <x:v>1</x:v>
      </x:c>
      <x:c r="T20" s="584" t="n">
        <x:f>IF(K20="","",COUNTIFS($A$6:$A$172,A20,$K$6:$K$172,"&gt;"&amp;K20)+COUNTIFS($A$6:A20,A20,$K$6:K20,K20))</x:f>
        <x:v>1</x:v>
      </x:c>
      <x:c r="U20" s="584" t="n">
        <x:f>IF(L20="","",COUNTIFS($A$6:$A$172,A20,$L$6:$L$172,"&gt;"&amp;L20)+COUNTIFS($A$6:A20,A20,$L$6:L20,L20))</x:f>
        <x:v>3</x:v>
      </x:c>
      <x:c r="V20" s="584" t="n">
        <x:f>IF(P20="","",COUNTIFS($A$6:$A$172,A20,$P$6:$P$172,"&gt;"&amp;P20)+COUNTIFS($A$6:A20,A20,$P$6:P20,P20))</x:f>
        <x:v>2</x:v>
      </x:c>
      <x:c r="W20" s="584" t="n">
        <x:f>IF(Q20="","",COUNTIFS($A$6:$A$172,A20,$Q$6:$Q$172,"&gt;"&amp;Q20)+COUNTIFS($A$6:A20,A20,$Q$6:Q20,Q20))</x:f>
        <x:v>2</x:v>
      </x:c>
      <x:c r="X20" s="584" t="n">
        <x:f>IF(R20="","",COUNTIFS($A$6:$A$172,A20,$R$6:$R$172,"&gt;"&amp;R20)+COUNTIFS($A$6:A20,A20,$R$6:R20,R20))</x:f>
        <x:v>2</x:v>
      </x:c>
      <x:c r="Y20" s="572" t="str">
        <x:f>IF(V20="","",A20&amp;"|"&amp;V20)</x:f>
        <x:v>K60|2</x:v>
      </x:c>
      <x:c r="Z20" s="572" t="str">
        <x:f>IF(W20="","",A20&amp;"|"&amp;W20)</x:f>
        <x:v>K60|2</x:v>
      </x:c>
      <x:c r="AA20" s="572" t="str">
        <x:f>IF(X20="","",A20&amp;"|"&amp;X20)</x:f>
        <x:v>K60|2</x:v>
      </x:c>
      <x:c r="AB20" s="572" t="str">
        <x:f>IF(A20="","",IF(I20=0,"Offense neutral — no recorded offensive skills",IF(I20&lt;1,"Partial lookup — adjustment scaled",IF(AND(M20="Yes",AC20=0),"Offense adjusted; Guard neutral","Captured"))))</x:f>
        <x:v>Captured</x:v>
      </x:c>
      <x:c r="AC20" s="580" t="n">
        <x:f>IF(SUMIFS('Specialisation Impact'!$M$19:$M$186,'Specialisation Impact'!$A$19:$A$186,A20,'Specialisation Impact'!$B$19:$B$186,B20)=0,0,SUMIFS('Specialisation Impact'!$F$19:$F$186,'Specialisation Impact'!$A$19:$A$186,A20,'Specialisation Impact'!$B$19:$B$186,B20))</x:f>
        <x:v>1</x:v>
      </x:c>
    </x:row>
    <x:row r="21">
      <x:c r="A21" s="571" t="str">
        <x:v>K60</x:v>
      </x:c>
      <x:c r="B21" s="571" t="str">
        <x:v>ΨRØÇKYΨ</x:v>
      </x:c>
      <x:c r="C21" s="575" t="n">
        <x:f>IF($A21="","",AVERAGE(100*((COUNTIF('All Stats'!$D$6:$D$172,"&lt;"&amp;'All Stats'!D21)+(COUNTIF('All Stats'!$D$6:$D$172,'All Stats'!D21)-1)/2)/(COUNT('All Stats'!$D$6:$D$172)-1))^'Specialisation Scenarios'!$X$10,100*((COUNTIF('All Stats'!$G$6:$G$172,"&lt;"&amp;'All Stats'!G21)+(COUNTIF('All Stats'!$G$6:$G$172,'All Stats'!G21)-1)/2)/(COUNT('All Stats'!$G$6:$G$172)-1))^'Specialisation Scenarios'!$X$10,100*((COUNTIF('All Stats'!$I$6:$I$172,"&lt;"&amp;'All Stats'!I21)+(COUNTIF('All Stats'!$I$6:$I$172,'All Stats'!I21)-1)/2)/(COUNT('All Stats'!$I$6:$I$172)-1))^'Specialisation Scenarios'!$X$10))</x:f>
        <x:v>33.38056912230027</x:v>
      </x:c>
      <x:c r="D21" s="575" t="n">
        <x:f>IF($A21="","",AVERAGE(100*((COUNTIF('All Stats'!$R$6:$R$172,"&lt;"&amp;'All Stats'!R21)+(COUNTIF('All Stats'!$R$6:$R$172,'All Stats'!R21)-1)/2)/(COUNT('All Stats'!$R$6:$R$172)-1))^'Specialisation Scenarios'!$X$10,100*((COUNTIF('All Stats'!$U$6:$U$172,"&lt;"&amp;'All Stats'!U21)+(COUNTIF('All Stats'!$U$6:$U$172,'All Stats'!U21)-1)/2)/(COUNT('All Stats'!$U$6:$U$172)-1))^'Specialisation Scenarios'!$X$10,100*((COUNTIF('All Stats'!$W$6:$W$172,"&lt;"&amp;'All Stats'!W21)+(COUNTIF('All Stats'!$W$6:$W$172,'All Stats'!W21)-1)/2)/(COUNT('All Stats'!$W$6:$W$172)-1))^'Specialisation Scenarios'!$X$10))</x:f>
        <x:v>53.483209138915754</x:v>
      </x:c>
      <x:c r="E21" s="575" t="n">
        <x:f>IF($A21="","",AVERAGE(100*((COUNTIF('All Stats'!$Y$6:$Y$172,"&lt;"&amp;'All Stats'!Y21)+(COUNTIF('All Stats'!$Y$6:$Y$172,'All Stats'!Y21)-1)/2)/(COUNT('All Stats'!$Y$6:$Y$172)-1))^'Specialisation Scenarios'!$X$10,100*((COUNTIF('All Stats'!$AB$6:$AB$172,"&lt;"&amp;'All Stats'!AB21)+(COUNTIF('All Stats'!$AB$6:$AB$172,'All Stats'!AB21)-1)/2)/(COUNT('All Stats'!$AB$6:$AB$172)-1))^'Specialisation Scenarios'!$X$10,100*((COUNTIF('All Stats'!$AD$6:$AD$172,"&lt;"&amp;'All Stats'!AD21)+(COUNTIF('All Stats'!$AD$6:$AD$172,'All Stats'!AD21)-1)/2)/(COUNT('All Stats'!$AD$6:$AD$172)-1))^'Specialisation Scenarios'!$X$10))</x:f>
        <x:v>19.09102124489502</x:v>
      </x:c>
      <x:c r="F21" s="575" t="n">
        <x:f>IF($A21="","",AVERAGE(100*((COUNTIF('All Stats'!$AF$6:$AF$172,"&lt;"&amp;'All Stats'!AF21)+(COUNTIF('All Stats'!$AF$6:$AF$172,'All Stats'!AF21)-1)/2)/(COUNT('All Stats'!$AF$6:$AF$172)-1))^'Specialisation Scenarios'!$X$10,100*((COUNTIF('All Stats'!$AI$6:$AI$172,"&lt;"&amp;'All Stats'!AI21)+(COUNTIF('All Stats'!$AI$6:$AI$172,'All Stats'!AI21)-1)/2)/(COUNT('All Stats'!$AI$6:$AI$172)-1))^'Specialisation Scenarios'!$X$10,100*((COUNTIF('All Stats'!$AK$6:$AK$172,"&lt;"&amp;'All Stats'!AK21)+(COUNTIF('All Stats'!$AK$6:$AK$172,'All Stats'!AK21)-1)/2)/(COUNT('All Stats'!$AK$6:$AK$172)-1))^'Specialisation Scenarios'!$X$10))</x:f>
        <x:v>30.585270244430944</x:v>
      </x:c>
      <x:c r="G21" s="575" t="n">
        <x:f>IF($A21="","",C21*'Specialisation Scenarios'!$X$11+D21*'Specialisation Scenarios'!$X$12+E21*'Specialisation Scenarios'!$X$13+F21*'Specialisation Scenarios'!$X$14)</x:f>
        <x:v>43.593903512848634</x:v>
      </x:c>
      <x:c r="H21" s="575" t="n">
        <x:f>IF(SUMIFS('Specialisation Impact'!$E$19:$E$186,'Specialisation Impact'!$A$19:$A$186,A21,'Specialisation Impact'!$B$19:$B$186,B21)=0,"",SUMIFS('Specialisation Impact'!$S$19:$S$186,'Specialisation Impact'!$A$19:$A$186,A21,'Specialisation Impact'!$B$19:$B$186,B21))</x:f>
        <x:v>64.54545454545455</x:v>
      </x:c>
      <x:c r="I21" s="579" t="n">
        <x:f>IF(SUMIFS('Specialisation Impact'!$E$19:$E$186,'Specialisation Impact'!$A$19:$A$186,A21,'Specialisation Impact'!$B$19:$B$186,B21)=0,0,SUMIFS('Specialisation Impact'!$F$19:$F$186,'Specialisation Impact'!$A$19:$A$186,A21,'Specialisation Impact'!$B$19:$B$186,B21))</x:f>
        <x:v>1</x:v>
      </x:c>
      <x:c r="J21" s="575" t="n">
        <x:f>G21</x:f>
        <x:v>43.593903512848634</x:v>
      </x:c>
      <x:c r="K21" s="575" t="n">
        <x:f>IF(G21="","",IF(I21=0,G21,MAX(0,MIN(100,G21*(1-'Specialisation Scenarios'!$B$8*I21)+H21*('Specialisation Scenarios'!$B$8*I21)))))</x:f>
        <x:v>48.831791271000114</x:v>
      </x:c>
      <x:c r="L21" s="575" t="n">
        <x:f>IF(G21="","",IF(I21=0,G21,MAX(0,MIN(100,G21*(1-'Specialisation Scenarios'!$B$9*I21)+H21*('Specialisation Scenarios'!$B$9*I21)))))</x:f>
        <x:v>50.9269463742607</x:v>
      </x:c>
      <x:c r="M21" s="575" t="str">
        <x:f>IF(COUNTIFS('Tank &amp; Control'!$A$23:$A$189,A21,'Tank &amp; Control'!$B$23:$B$189,B21,'Tank &amp; Control'!$C$23:$C$189,"Yes")&gt;0,"Yes","No")</x:f>
        <x:v>No</x:v>
      </x:c>
      <x:c r="N21" s="575" t="str">
        <x:f>IF(M21&lt;&gt;"Yes","",SUMIFS('Tank &amp; Control'!$L$23:$L$189,'Tank &amp; Control'!$A$23:$A$189,A21,'Tank &amp; Control'!$B$23:$B$189,B21))</x:f>
      </x:c>
      <x:c r="O21" s="575" t="n">
        <x:f>IF(SUMIFS('Specialisation Impact'!$M$19:$M$186,'Specialisation Impact'!$A$19:$A$186,A21,'Specialisation Impact'!$B$19:$B$186,B21)=0,"",SUMIFS('Specialisation Impact'!$V$19:$V$186,'Specialisation Impact'!$A$19:$A$186,A21,'Specialisation Impact'!$B$19:$B$186,B21))</x:f>
        <x:v>29.48717948717949</x:v>
      </x:c>
      <x:c r="P21" s="575" t="str">
        <x:f>IF(N21="","",N21)</x:f>
      </x:c>
      <x:c r="Q21" s="575" t="str">
        <x:f>IF(N21="","",IF(AC21=0,N21,MAX(0,MIN(100,N21*(1-'Specialisation Scenarios'!$B$8*AC21)+O21*('Specialisation Scenarios'!$B$8*AC21)))))</x:f>
      </x:c>
      <x:c r="R21" s="575" t="str">
        <x:f>IF(N21="","",IF(AC21=0,N21,MAX(0,MIN(100,N21*(1-'Specialisation Scenarios'!$B$9*AC21)+O21*('Specialisation Scenarios'!$B$9*AC21)))))</x:f>
      </x:c>
      <x:c r="S21" s="583" t="n">
        <x:f>IF(J21="","",COUNTIFS($A$6:$A$172,A21,$J$6:$J$172,"&gt;"&amp;J21)+COUNTIFS($A$6:A21,A21,$J$6:J21,J21))</x:f>
        <x:v>14</x:v>
      </x:c>
      <x:c r="T21" s="583" t="n">
        <x:f>IF(K21="","",COUNTIFS($A$6:$A$172,A21,$K$6:$K$172,"&gt;"&amp;K21)+COUNTIFS($A$6:A21,A21,$K$6:K21,K21))</x:f>
        <x:v>12</x:v>
      </x:c>
      <x:c r="U21" s="583" t="n">
        <x:f>IF(L21="","",COUNTIFS($A$6:$A$172,A21,$L$6:$L$172,"&gt;"&amp;L21)+COUNTIFS($A$6:A21,A21,$L$6:L21,L21))</x:f>
        <x:v>11</x:v>
      </x:c>
      <x:c r="V21" s="583" t="str">
        <x:f>IF(P21="","",COUNTIFS($A$6:$A$172,A21,$P$6:$P$172,"&gt;"&amp;P21)+COUNTIFS($A$6:A21,A21,$P$6:P21,P21))</x:f>
      </x:c>
      <x:c r="W21" s="583" t="str">
        <x:f>IF(Q21="","",COUNTIFS($A$6:$A$172,A21,$Q$6:$Q$172,"&gt;"&amp;Q21)+COUNTIFS($A$6:A21,A21,$Q$6:Q21,Q21))</x:f>
      </x:c>
      <x:c r="X21" s="583" t="str">
        <x:f>IF(R21="","",COUNTIFS($A$6:$A$172,A21,$R$6:$R$172,"&gt;"&amp;R21)+COUNTIFS($A$6:A21,A21,$R$6:R21,R21))</x:f>
      </x:c>
      <x:c r="Y21" s="571" t="str">
        <x:f>IF(V21="","",A21&amp;"|"&amp;V21)</x:f>
      </x:c>
      <x:c r="Z21" s="571" t="str">
        <x:f>IF(W21="","",A21&amp;"|"&amp;W21)</x:f>
      </x:c>
      <x:c r="AA21" s="571" t="str">
        <x:f>IF(X21="","",A21&amp;"|"&amp;X21)</x:f>
      </x:c>
      <x:c r="AB21" s="571" t="str">
        <x:f>IF(A21="","",IF(I21=0,"Offense neutral — no recorded offensive skills",IF(I21&lt;1,"Partial lookup — adjustment scaled",IF(AND(M21="Yes",AC21=0),"Offense adjusted; Guard neutral","Captured"))))</x:f>
        <x:v>Captured</x:v>
      </x:c>
      <x:c r="AC21" s="579" t="n">
        <x:f>IF(SUMIFS('Specialisation Impact'!$M$19:$M$186,'Specialisation Impact'!$A$19:$A$186,A21,'Specialisation Impact'!$B$19:$B$186,B21)=0,0,SUMIFS('Specialisation Impact'!$F$19:$F$186,'Specialisation Impact'!$A$19:$A$186,A21,'Specialisation Impact'!$B$19:$B$186,B21))</x:f>
        <x:v>1</x:v>
      </x:c>
    </x:row>
    <x:row r="22">
      <x:c r="A22" s="572" t="str">
        <x:v>K60</x:v>
      </x:c>
      <x:c r="B22" s="572" t="str">
        <x:v>Jepp</x:v>
      </x:c>
      <x:c r="C22" s="576" t="n">
        <x:f>IF($A22="","",AVERAGE(100*((COUNTIF('All Stats'!$D$6:$D$172,"&lt;"&amp;'All Stats'!D22)+(COUNTIF('All Stats'!$D$6:$D$172,'All Stats'!D22)-1)/2)/(COUNT('All Stats'!$D$6:$D$172)-1))^'Specialisation Scenarios'!$X$10,100*((COUNTIF('All Stats'!$G$6:$G$172,"&lt;"&amp;'All Stats'!G22)+(COUNTIF('All Stats'!$G$6:$G$172,'All Stats'!G22)-1)/2)/(COUNT('All Stats'!$G$6:$G$172)-1))^'Specialisation Scenarios'!$X$10,100*((COUNTIF('All Stats'!$I$6:$I$172,"&lt;"&amp;'All Stats'!I22)+(COUNTIF('All Stats'!$I$6:$I$172,'All Stats'!I22)-1)/2)/(COUNT('All Stats'!$I$6:$I$172)-1))^'Specialisation Scenarios'!$X$10))</x:f>
        <x:v>24.773790821339276</x:v>
      </x:c>
      <x:c r="D22" s="576" t="n">
        <x:f>IF($A22="","",AVERAGE(100*((COUNTIF('All Stats'!$R$6:$R$172,"&lt;"&amp;'All Stats'!R22)+(COUNTIF('All Stats'!$R$6:$R$172,'All Stats'!R22)-1)/2)/(COUNT('All Stats'!$R$6:$R$172)-1))^'Specialisation Scenarios'!$X$10,100*((COUNTIF('All Stats'!$U$6:$U$172,"&lt;"&amp;'All Stats'!U22)+(COUNTIF('All Stats'!$U$6:$U$172,'All Stats'!U22)-1)/2)/(COUNT('All Stats'!$U$6:$U$172)-1))^'Specialisation Scenarios'!$X$10,100*((COUNTIF('All Stats'!$W$6:$W$172,"&lt;"&amp;'All Stats'!W22)+(COUNTIF('All Stats'!$W$6:$W$172,'All Stats'!W22)-1)/2)/(COUNT('All Stats'!$W$6:$W$172)-1))^'Specialisation Scenarios'!$X$10))</x:f>
        <x:v>41.20850105416539</x:v>
      </x:c>
      <x:c r="E22" s="576" t="n">
        <x:f>IF($A22="","",AVERAGE(100*((COUNTIF('All Stats'!$Y$6:$Y$172,"&lt;"&amp;'All Stats'!Y22)+(COUNTIF('All Stats'!$Y$6:$Y$172,'All Stats'!Y22)-1)/2)/(COUNT('All Stats'!$Y$6:$Y$172)-1))^'Specialisation Scenarios'!$X$10,100*((COUNTIF('All Stats'!$AB$6:$AB$172,"&lt;"&amp;'All Stats'!AB22)+(COUNTIF('All Stats'!$AB$6:$AB$172,'All Stats'!AB22)-1)/2)/(COUNT('All Stats'!$AB$6:$AB$172)-1))^'Specialisation Scenarios'!$X$10,100*((COUNTIF('All Stats'!$AD$6:$AD$172,"&lt;"&amp;'All Stats'!AD22)+(COUNTIF('All Stats'!$AD$6:$AD$172,'All Stats'!AD22)-1)/2)/(COUNT('All Stats'!$AD$6:$AD$172)-1))^'Specialisation Scenarios'!$X$10))</x:f>
        <x:v>41.533245174399696</x:v>
      </x:c>
      <x:c r="F22" s="576" t="n">
        <x:f>IF($A22="","",AVERAGE(100*((COUNTIF('All Stats'!$AF$6:$AF$172,"&lt;"&amp;'All Stats'!AF22)+(COUNTIF('All Stats'!$AF$6:$AF$172,'All Stats'!AF22)-1)/2)/(COUNT('All Stats'!$AF$6:$AF$172)-1))^'Specialisation Scenarios'!$X$10,100*((COUNTIF('All Stats'!$AI$6:$AI$172,"&lt;"&amp;'All Stats'!AI22)+(COUNTIF('All Stats'!$AI$6:$AI$172,'All Stats'!AI22)-1)/2)/(COUNT('All Stats'!$AI$6:$AI$172)-1))^'Specialisation Scenarios'!$X$10,100*((COUNTIF('All Stats'!$AK$6:$AK$172,"&lt;"&amp;'All Stats'!AK22)+(COUNTIF('All Stats'!$AK$6:$AK$172,'All Stats'!AK22)-1)/2)/(COUNT('All Stats'!$AK$6:$AK$172)-1))^'Specialisation Scenarios'!$X$10))</x:f>
        <x:v>15.462634128250947</x:v>
      </x:c>
      <x:c r="G22" s="576" t="n">
        <x:f>IF($A22="","",C22*'Specialisation Scenarios'!$X$11+D22*'Specialisation Scenarios'!$X$12+E22*'Specialisation Scenarios'!$X$13+F22*'Specialisation Scenarios'!$X$14)</x:f>
        <x:v>34.91388889237773</x:v>
      </x:c>
      <x:c r="H22" s="576" t="n">
        <x:f>IF(SUMIFS('Specialisation Impact'!$E$19:$E$186,'Specialisation Impact'!$A$19:$A$186,A22,'Specialisation Impact'!$B$19:$B$186,B22)=0,"",SUMIFS('Specialisation Impact'!$S$19:$S$186,'Specialisation Impact'!$A$19:$A$186,A22,'Specialisation Impact'!$B$19:$B$186,B22))</x:f>
        <x:v>58.37662337662337</x:v>
      </x:c>
      <x:c r="I22" s="580" t="n">
        <x:f>IF(SUMIFS('Specialisation Impact'!$E$19:$E$186,'Specialisation Impact'!$A$19:$A$186,A22,'Specialisation Impact'!$B$19:$B$186,B22)=0,0,SUMIFS('Specialisation Impact'!$F$19:$F$186,'Specialisation Impact'!$A$19:$A$186,A22,'Specialisation Impact'!$B$19:$B$186,B22))</x:f>
        <x:v>1</x:v>
      </x:c>
      <x:c r="J22" s="576" t="n">
        <x:f>G22</x:f>
        <x:v>34.91388889237773</x:v>
      </x:c>
      <x:c r="K22" s="576" t="n">
        <x:f>IF(G22="","",IF(I22=0,G22,MAX(0,MIN(100,G22*(1-'Specialisation Scenarios'!$B$8*I22)+H22*('Specialisation Scenarios'!$B$8*I22)))))</x:f>
        <x:v>40.779572513439135</x:v>
      </x:c>
      <x:c r="L22" s="576" t="n">
        <x:f>IF(G22="","",IF(I22=0,G22,MAX(0,MIN(100,G22*(1-'Specialisation Scenarios'!$B$9*I22)+H22*('Specialisation Scenarios'!$B$9*I22)))))</x:f>
        <x:v>43.1258459618637</x:v>
      </x:c>
      <x:c r="M22" s="576" t="str">
        <x:f>IF(COUNTIFS('Tank &amp; Control'!$A$23:$A$189,A22,'Tank &amp; Control'!$B$23:$B$189,B22,'Tank &amp; Control'!$C$23:$C$189,"Yes")&gt;0,"Yes","No")</x:f>
        <x:v>No</x:v>
      </x:c>
      <x:c r="N22" s="576" t="str">
        <x:f>IF(M22&lt;&gt;"Yes","",SUMIFS('Tank &amp; Control'!$L$23:$L$189,'Tank &amp; Control'!$A$23:$A$189,A22,'Tank &amp; Control'!$B$23:$B$189,B22))</x:f>
      </x:c>
      <x:c r="O22" s="576" t="n">
        <x:f>IF(SUMIFS('Specialisation Impact'!$M$19:$M$186,'Specialisation Impact'!$A$19:$A$186,A22,'Specialisation Impact'!$B$19:$B$186,B22)=0,"",SUMIFS('Specialisation Impact'!$V$19:$V$186,'Specialisation Impact'!$A$19:$A$186,A22,'Specialisation Impact'!$B$19:$B$186,B22))</x:f>
        <x:v>29.48717948717949</x:v>
      </x:c>
      <x:c r="P22" s="576" t="str">
        <x:f>IF(N22="","",N22)</x:f>
      </x:c>
      <x:c r="Q22" s="576" t="str">
        <x:f>IF(N22="","",IF(AC22=0,N22,MAX(0,MIN(100,N22*(1-'Specialisation Scenarios'!$B$8*AC22)+O22*('Specialisation Scenarios'!$B$8*AC22)))))</x:f>
      </x:c>
      <x:c r="R22" s="576" t="str">
        <x:f>IF(N22="","",IF(AC22=0,N22,MAX(0,MIN(100,N22*(1-'Specialisation Scenarios'!$B$9*AC22)+O22*('Specialisation Scenarios'!$B$9*AC22)))))</x:f>
      </x:c>
      <x:c r="S22" s="584" t="n">
        <x:f>IF(J22="","",COUNTIFS($A$6:$A$172,A22,$J$6:$J$172,"&gt;"&amp;J22)+COUNTIFS($A$6:A22,A22,$J$6:J22,J22))</x:f>
        <x:v>16</x:v>
      </x:c>
      <x:c r="T22" s="584" t="n">
        <x:f>IF(K22="","",COUNTIFS($A$6:$A$172,A22,$K$6:$K$172,"&gt;"&amp;K22)+COUNTIFS($A$6:A22,A22,$K$6:K22,K22))</x:f>
        <x:v>15</x:v>
      </x:c>
      <x:c r="U22" s="584" t="n">
        <x:f>IF(L22="","",COUNTIFS($A$6:$A$172,A22,$L$6:$L$172,"&gt;"&amp;L22)+COUNTIFS($A$6:A22,A22,$L$6:L22,L22))</x:f>
        <x:v>15</x:v>
      </x:c>
      <x:c r="V22" s="584" t="str">
        <x:f>IF(P22="","",COUNTIFS($A$6:$A$172,A22,$P$6:$P$172,"&gt;"&amp;P22)+COUNTIFS($A$6:A22,A22,$P$6:P22,P22))</x:f>
      </x:c>
      <x:c r="W22" s="584" t="str">
        <x:f>IF(Q22="","",COUNTIFS($A$6:$A$172,A22,$Q$6:$Q$172,"&gt;"&amp;Q22)+COUNTIFS($A$6:A22,A22,$Q$6:Q22,Q22))</x:f>
      </x:c>
      <x:c r="X22" s="584" t="str">
        <x:f>IF(R22="","",COUNTIFS($A$6:$A$172,A22,$R$6:$R$172,"&gt;"&amp;R22)+COUNTIFS($A$6:A22,A22,$R$6:R22,R22))</x:f>
      </x:c>
      <x:c r="Y22" s="572" t="str">
        <x:f>IF(V22="","",A22&amp;"|"&amp;V22)</x:f>
      </x:c>
      <x:c r="Z22" s="572" t="str">
        <x:f>IF(W22="","",A22&amp;"|"&amp;W22)</x:f>
      </x:c>
      <x:c r="AA22" s="572" t="str">
        <x:f>IF(X22="","",A22&amp;"|"&amp;X22)</x:f>
      </x:c>
      <x:c r="AB22" s="572" t="str">
        <x:f>IF(A22="","",IF(I22=0,"Offense neutral — no recorded offensive skills",IF(I22&lt;1,"Partial lookup — adjustment scaled",IF(AND(M22="Yes",AC22=0),"Offense adjusted; Guard neutral","Captured"))))</x:f>
        <x:v>Captured</x:v>
      </x:c>
      <x:c r="AC22" s="580" t="n">
        <x:f>IF(SUMIFS('Specialisation Impact'!$M$19:$M$186,'Specialisation Impact'!$A$19:$A$186,A22,'Specialisation Impact'!$B$19:$B$186,B22)=0,0,SUMIFS('Specialisation Impact'!$F$19:$F$186,'Specialisation Impact'!$A$19:$A$186,A22,'Specialisation Impact'!$B$19:$B$186,B22))</x:f>
        <x:v>1</x:v>
      </x:c>
    </x:row>
    <x:row r="23">
      <x:c r="A23" s="571" t="str">
        <x:v>K60</x:v>
      </x:c>
      <x:c r="B23" s="571" t="str">
        <x:v>kvisteer</x:v>
      </x:c>
      <x:c r="C23" s="575" t="n">
        <x:f>IF($A23="","",AVERAGE(100*((COUNTIF('All Stats'!$D$6:$D$172,"&lt;"&amp;'All Stats'!D23)+(COUNTIF('All Stats'!$D$6:$D$172,'All Stats'!D23)-1)/2)/(COUNT('All Stats'!$D$6:$D$172)-1))^'Specialisation Scenarios'!$X$10,100*((COUNTIF('All Stats'!$G$6:$G$172,"&lt;"&amp;'All Stats'!G23)+(COUNTIF('All Stats'!$G$6:$G$172,'All Stats'!G23)-1)/2)/(COUNT('All Stats'!$G$6:$G$172)-1))^'Specialisation Scenarios'!$X$10,100*((COUNTIF('All Stats'!$I$6:$I$172,"&lt;"&amp;'All Stats'!I23)+(COUNTIF('All Stats'!$I$6:$I$172,'All Stats'!I23)-1)/2)/(COUNT('All Stats'!$I$6:$I$172)-1))^'Specialisation Scenarios'!$X$10))</x:f>
        <x:v>57.07890629554615</x:v>
      </x:c>
      <x:c r="D23" s="575" t="n">
        <x:f>IF($A23="","",AVERAGE(100*((COUNTIF('All Stats'!$R$6:$R$172,"&lt;"&amp;'All Stats'!R23)+(COUNTIF('All Stats'!$R$6:$R$172,'All Stats'!R23)-1)/2)/(COUNT('All Stats'!$R$6:$R$172)-1))^'Specialisation Scenarios'!$X$10,100*((COUNTIF('All Stats'!$U$6:$U$172,"&lt;"&amp;'All Stats'!U23)+(COUNTIF('All Stats'!$U$6:$U$172,'All Stats'!U23)-1)/2)/(COUNT('All Stats'!$U$6:$U$172)-1))^'Specialisation Scenarios'!$X$10,100*((COUNTIF('All Stats'!$W$6:$W$172,"&lt;"&amp;'All Stats'!W23)+(COUNTIF('All Stats'!$W$6:$W$172,'All Stats'!W23)-1)/2)/(COUNT('All Stats'!$W$6:$W$172)-1))^'Specialisation Scenarios'!$X$10))</x:f>
        <x:v>47.366876409484895</x:v>
      </x:c>
      <x:c r="E23" s="575" t="n">
        <x:f>IF($A23="","",AVERAGE(100*((COUNTIF('All Stats'!$Y$6:$Y$172,"&lt;"&amp;'All Stats'!Y23)+(COUNTIF('All Stats'!$Y$6:$Y$172,'All Stats'!Y23)-1)/2)/(COUNT('All Stats'!$Y$6:$Y$172)-1))^'Specialisation Scenarios'!$X$10,100*((COUNTIF('All Stats'!$AB$6:$AB$172,"&lt;"&amp;'All Stats'!AB23)+(COUNTIF('All Stats'!$AB$6:$AB$172,'All Stats'!AB23)-1)/2)/(COUNT('All Stats'!$AB$6:$AB$172)-1))^'Specialisation Scenarios'!$X$10,100*((COUNTIF('All Stats'!$AD$6:$AD$172,"&lt;"&amp;'All Stats'!AD23)+(COUNTIF('All Stats'!$AD$6:$AD$172,'All Stats'!AD23)-1)/2)/(COUNT('All Stats'!$AD$6:$AD$172)-1))^'Specialisation Scenarios'!$X$10))</x:f>
        <x:v>57.89453236041245</x:v>
      </x:c>
      <x:c r="F23" s="575" t="n">
        <x:f>IF($A23="","",AVERAGE(100*((COUNTIF('All Stats'!$AF$6:$AF$172,"&lt;"&amp;'All Stats'!AF23)+(COUNTIF('All Stats'!$AF$6:$AF$172,'All Stats'!AF23)-1)/2)/(COUNT('All Stats'!$AF$6:$AF$172)-1))^'Specialisation Scenarios'!$X$10,100*((COUNTIF('All Stats'!$AI$6:$AI$172,"&lt;"&amp;'All Stats'!AI23)+(COUNTIF('All Stats'!$AI$6:$AI$172,'All Stats'!AI23)-1)/2)/(COUNT('All Stats'!$AI$6:$AI$172)-1))^'Specialisation Scenarios'!$X$10,100*((COUNTIF('All Stats'!$AK$6:$AK$172,"&lt;"&amp;'All Stats'!AK23)+(COUNTIF('All Stats'!$AK$6:$AK$172,'All Stats'!AK23)-1)/2)/(COUNT('All Stats'!$AK$6:$AK$172)-1))^'Specialisation Scenarios'!$X$10))</x:f>
        <x:v>29.32689312071126</x:v>
      </x:c>
      <x:c r="G23" s="575" t="n">
        <x:f>IF($A23="","",C23*'Specialisation Scenarios'!$X$11+D23*'Specialisation Scenarios'!$X$12+E23*'Specialisation Scenarios'!$X$13+F23*'Specialisation Scenarios'!$X$14)</x:f>
        <x:v>47.1704489941708</x:v>
      </x:c>
      <x:c r="H23" s="575" t="n">
        <x:f>IF(SUMIFS('Specialisation Impact'!$E$19:$E$186,'Specialisation Impact'!$A$19:$A$186,A23,'Specialisation Impact'!$B$19:$B$186,B23)=0,"",SUMIFS('Specialisation Impact'!$S$19:$S$186,'Specialisation Impact'!$A$19:$A$186,A23,'Specialisation Impact'!$B$19:$B$186,B23))</x:f>
        <x:v>78.11688311688312</x:v>
      </x:c>
      <x:c r="I23" s="579" t="n">
        <x:f>IF(SUMIFS('Specialisation Impact'!$E$19:$E$186,'Specialisation Impact'!$A$19:$A$186,A23,'Specialisation Impact'!$B$19:$B$186,B23)=0,0,SUMIFS('Specialisation Impact'!$F$19:$F$186,'Specialisation Impact'!$A$19:$A$186,A23,'Specialisation Impact'!$B$19:$B$186,B23))</x:f>
        <x:v>1</x:v>
      </x:c>
      <x:c r="J23" s="575" t="n">
        <x:f>G23</x:f>
        <x:v>47.1704489941708</x:v>
      </x:c>
      <x:c r="K23" s="575" t="n">
        <x:f>IF(G23="","",IF(I23=0,G23,MAX(0,MIN(100,G23*(1-'Specialisation Scenarios'!$B$8*I23)+H23*('Specialisation Scenarios'!$B$8*I23)))))</x:f>
        <x:v>54.90705752484888</x:v>
      </x:c>
      <x:c r="L23" s="575" t="n">
        <x:f>IF(G23="","",IF(I23=0,G23,MAX(0,MIN(100,G23*(1-'Specialisation Scenarios'!$B$9*I23)+H23*('Specialisation Scenarios'!$B$9*I23)))))</x:f>
        <x:v>58.001700937120106</x:v>
      </x:c>
      <x:c r="M23" s="575" t="str">
        <x:f>IF(COUNTIFS('Tank &amp; Control'!$A$23:$A$189,A23,'Tank &amp; Control'!$B$23:$B$189,B23,'Tank &amp; Control'!$C$23:$C$189,"Yes")&gt;0,"Yes","No")</x:f>
        <x:v>No</x:v>
      </x:c>
      <x:c r="N23" s="575" t="str">
        <x:f>IF(M23&lt;&gt;"Yes","",SUMIFS('Tank &amp; Control'!$L$23:$L$189,'Tank &amp; Control'!$A$23:$A$189,A23,'Tank &amp; Control'!$B$23:$B$189,B23))</x:f>
      </x:c>
      <x:c r="O23" s="575" t="n">
        <x:f>IF(SUMIFS('Specialisation Impact'!$M$19:$M$186,'Specialisation Impact'!$A$19:$A$186,A23,'Specialisation Impact'!$B$19:$B$186,B23)=0,"",SUMIFS('Specialisation Impact'!$V$19:$V$186,'Specialisation Impact'!$A$19:$A$186,A23,'Specialisation Impact'!$B$19:$B$186,B23))</x:f>
        <x:v>29.48717948717949</x:v>
      </x:c>
      <x:c r="P23" s="575" t="str">
        <x:f>IF(N23="","",N23)</x:f>
      </x:c>
      <x:c r="Q23" s="575" t="str">
        <x:f>IF(N23="","",IF(AC23=0,N23,MAX(0,MIN(100,N23*(1-'Specialisation Scenarios'!$B$8*AC23)+O23*('Specialisation Scenarios'!$B$8*AC23)))))</x:f>
      </x:c>
      <x:c r="R23" s="575" t="str">
        <x:f>IF(N23="","",IF(AC23=0,N23,MAX(0,MIN(100,N23*(1-'Specialisation Scenarios'!$B$9*AC23)+O23*('Specialisation Scenarios'!$B$9*AC23)))))</x:f>
      </x:c>
      <x:c r="S23" s="583" t="n">
        <x:f>IF(J23="","",COUNTIFS($A$6:$A$172,A23,$J$6:$J$172,"&gt;"&amp;J23)+COUNTIFS($A$6:A23,A23,$J$6:J23,J23))</x:f>
        <x:v>10</x:v>
      </x:c>
      <x:c r="T23" s="583" t="n">
        <x:f>IF(K23="","",COUNTIFS($A$6:$A$172,A23,$K$6:$K$172,"&gt;"&amp;K23)+COUNTIFS($A$6:A23,A23,$K$6:K23,K23))</x:f>
        <x:v>10</x:v>
      </x:c>
      <x:c r="U23" s="583" t="n">
        <x:f>IF(L23="","",COUNTIFS($A$6:$A$172,A23,$L$6:$L$172,"&gt;"&amp;L23)+COUNTIFS($A$6:A23,A23,$L$6:L23,L23))</x:f>
        <x:v>9</x:v>
      </x:c>
      <x:c r="V23" s="583" t="str">
        <x:f>IF(P23="","",COUNTIFS($A$6:$A$172,A23,$P$6:$P$172,"&gt;"&amp;P23)+COUNTIFS($A$6:A23,A23,$P$6:P23,P23))</x:f>
      </x:c>
      <x:c r="W23" s="583" t="str">
        <x:f>IF(Q23="","",COUNTIFS($A$6:$A$172,A23,$Q$6:$Q$172,"&gt;"&amp;Q23)+COUNTIFS($A$6:A23,A23,$Q$6:Q23,Q23))</x:f>
      </x:c>
      <x:c r="X23" s="583" t="str">
        <x:f>IF(R23="","",COUNTIFS($A$6:$A$172,A23,$R$6:$R$172,"&gt;"&amp;R23)+COUNTIFS($A$6:A23,A23,$R$6:R23,R23))</x:f>
      </x:c>
      <x:c r="Y23" s="571" t="str">
        <x:f>IF(V23="","",A23&amp;"|"&amp;V23)</x:f>
      </x:c>
      <x:c r="Z23" s="571" t="str">
        <x:f>IF(W23="","",A23&amp;"|"&amp;W23)</x:f>
      </x:c>
      <x:c r="AA23" s="571" t="str">
        <x:f>IF(X23="","",A23&amp;"|"&amp;X23)</x:f>
      </x:c>
      <x:c r="AB23" s="571" t="str">
        <x:f>IF(A23="","",IF(I23=0,"Offense neutral — no recorded offensive skills",IF(I23&lt;1,"Partial lookup — adjustment scaled",IF(AND(M23="Yes",AC23=0),"Offense adjusted; Guard neutral","Captured"))))</x:f>
        <x:v>Captured</x:v>
      </x:c>
      <x:c r="AC23" s="579" t="n">
        <x:f>IF(SUMIFS('Specialisation Impact'!$M$19:$M$186,'Specialisation Impact'!$A$19:$A$186,A23,'Specialisation Impact'!$B$19:$B$186,B23)=0,0,SUMIFS('Specialisation Impact'!$F$19:$F$186,'Specialisation Impact'!$A$19:$A$186,A23,'Specialisation Impact'!$B$19:$B$186,B23))</x:f>
        <x:v>1</x:v>
      </x:c>
    </x:row>
    <x:row r="24">
      <x:c r="A24" s="572" t="str">
        <x:v>K60</x:v>
      </x:c>
      <x:c r="B24" s="572" t="str">
        <x:v>Blud</x:v>
      </x:c>
      <x:c r="C24" s="576" t="n">
        <x:f>IF($A24="","",AVERAGE(100*((COUNTIF('All Stats'!$D$6:$D$172,"&lt;"&amp;'All Stats'!D24)+(COUNTIF('All Stats'!$D$6:$D$172,'All Stats'!D24)-1)/2)/(COUNT('All Stats'!$D$6:$D$172)-1))^'Specialisation Scenarios'!$X$10,100*((COUNTIF('All Stats'!$G$6:$G$172,"&lt;"&amp;'All Stats'!G24)+(COUNTIF('All Stats'!$G$6:$G$172,'All Stats'!G24)-1)/2)/(COUNT('All Stats'!$G$6:$G$172)-1))^'Specialisation Scenarios'!$X$10,100*((COUNTIF('All Stats'!$I$6:$I$172,"&lt;"&amp;'All Stats'!I24)+(COUNTIF('All Stats'!$I$6:$I$172,'All Stats'!I24)-1)/2)/(COUNT('All Stats'!$I$6:$I$172)-1))^'Specialisation Scenarios'!$X$10))</x:f>
        <x:v>36.94117311448395</x:v>
      </x:c>
      <x:c r="D24" s="576" t="n">
        <x:f>IF($A24="","",AVERAGE(100*((COUNTIF('All Stats'!$R$6:$R$172,"&lt;"&amp;'All Stats'!R24)+(COUNTIF('All Stats'!$R$6:$R$172,'All Stats'!R24)-1)/2)/(COUNT('All Stats'!$R$6:$R$172)-1))^'Specialisation Scenarios'!$X$10,100*((COUNTIF('All Stats'!$U$6:$U$172,"&lt;"&amp;'All Stats'!U24)+(COUNTIF('All Stats'!$U$6:$U$172,'All Stats'!U24)-1)/2)/(COUNT('All Stats'!$U$6:$U$172)-1))^'Specialisation Scenarios'!$X$10,100*((COUNTIF('All Stats'!$W$6:$W$172,"&lt;"&amp;'All Stats'!W24)+(COUNTIF('All Stats'!$W$6:$W$172,'All Stats'!W24)-1)/2)/(COUNT('All Stats'!$W$6:$W$172)-1))^'Specialisation Scenarios'!$X$10))</x:f>
        <x:v>28.242378687123445</x:v>
      </x:c>
      <x:c r="E24" s="576" t="n">
        <x:f>IF($A24="","",AVERAGE(100*((COUNTIF('All Stats'!$Y$6:$Y$172,"&lt;"&amp;'All Stats'!Y24)+(COUNTIF('All Stats'!$Y$6:$Y$172,'All Stats'!Y24)-1)/2)/(COUNT('All Stats'!$Y$6:$Y$172)-1))^'Specialisation Scenarios'!$X$10,100*((COUNTIF('All Stats'!$AB$6:$AB$172,"&lt;"&amp;'All Stats'!AB24)+(COUNTIF('All Stats'!$AB$6:$AB$172,'All Stats'!AB24)-1)/2)/(COUNT('All Stats'!$AB$6:$AB$172)-1))^'Specialisation Scenarios'!$X$10,100*((COUNTIF('All Stats'!$AD$6:$AD$172,"&lt;"&amp;'All Stats'!AD24)+(COUNTIF('All Stats'!$AD$6:$AD$172,'All Stats'!AD24)-1)/2)/(COUNT('All Stats'!$AD$6:$AD$172)-1))^'Specialisation Scenarios'!$X$10))</x:f>
        <x:v>24.573862982386743</x:v>
      </x:c>
      <x:c r="F24" s="576" t="n">
        <x:f>IF($A24="","",AVERAGE(100*((COUNTIF('All Stats'!$AF$6:$AF$172,"&lt;"&amp;'All Stats'!AF24)+(COUNTIF('All Stats'!$AF$6:$AF$172,'All Stats'!AF24)-1)/2)/(COUNT('All Stats'!$AF$6:$AF$172)-1))^'Specialisation Scenarios'!$X$10,100*((COUNTIF('All Stats'!$AI$6:$AI$172,"&lt;"&amp;'All Stats'!AI24)+(COUNTIF('All Stats'!$AI$6:$AI$172,'All Stats'!AI24)-1)/2)/(COUNT('All Stats'!$AI$6:$AI$172)-1))^'Specialisation Scenarios'!$X$10,100*((COUNTIF('All Stats'!$AK$6:$AK$172,"&lt;"&amp;'All Stats'!AK24)+(COUNTIF('All Stats'!$AK$6:$AK$172,'All Stats'!AK24)-1)/2)/(COUNT('All Stats'!$AK$6:$AK$172)-1))^'Specialisation Scenarios'!$X$10))</x:f>
        <x:v>16.781701810666874</x:v>
      </x:c>
      <x:c r="G24" s="576" t="n">
        <x:f>IF($A24="","",C24*'Specialisation Scenarios'!$X$11+D24*'Specialisation Scenarios'!$X$12+E24*'Specialisation Scenarios'!$X$13+F24*'Specialisation Scenarios'!$X$14)</x:f>
        <x:v>27.461244749285363</x:v>
      </x:c>
      <x:c r="H24" s="576" t="n">
        <x:f>IF(SUMIFS('Specialisation Impact'!$E$19:$E$186,'Specialisation Impact'!$A$19:$A$186,A24,'Specialisation Impact'!$B$19:$B$186,B24)=0,"",SUMIFS('Specialisation Impact'!$S$19:$S$186,'Specialisation Impact'!$A$19:$A$186,A24,'Specialisation Impact'!$B$19:$B$186,B24))</x:f>
        <x:v>58.37662337662337</x:v>
      </x:c>
      <x:c r="I24" s="580" t="n">
        <x:f>IF(SUMIFS('Specialisation Impact'!$E$19:$E$186,'Specialisation Impact'!$A$19:$A$186,A24,'Specialisation Impact'!$B$19:$B$186,B24)=0,0,SUMIFS('Specialisation Impact'!$F$19:$F$186,'Specialisation Impact'!$A$19:$A$186,A24,'Specialisation Impact'!$B$19:$B$186,B24))</x:f>
        <x:v>1</x:v>
      </x:c>
      <x:c r="J24" s="576" t="n">
        <x:f>G24</x:f>
        <x:v>27.461244749285363</x:v>
      </x:c>
      <x:c r="K24" s="576" t="n">
        <x:f>IF(G24="","",IF(I24=0,G24,MAX(0,MIN(100,G24*(1-'Specialisation Scenarios'!$B$8*I24)+H24*('Specialisation Scenarios'!$B$8*I24)))))</x:f>
        <x:v>35.19008940611987</x:v>
      </x:c>
      <x:c r="L24" s="576" t="n">
        <x:f>IF(G24="","",IF(I24=0,G24,MAX(0,MIN(100,G24*(1-'Specialisation Scenarios'!$B$9*I24)+H24*('Specialisation Scenarios'!$B$9*I24)))))</x:f>
        <x:v>38.28162726885367</x:v>
      </x:c>
      <x:c r="M24" s="576" t="str">
        <x:f>IF(COUNTIFS('Tank &amp; Control'!$A$23:$A$189,A24,'Tank &amp; Control'!$B$23:$B$189,B24,'Tank &amp; Control'!$C$23:$C$189,"Yes")&gt;0,"Yes","No")</x:f>
        <x:v>No</x:v>
      </x:c>
      <x:c r="N24" s="576" t="str">
        <x:f>IF(M24&lt;&gt;"Yes","",SUMIFS('Tank &amp; Control'!$L$23:$L$189,'Tank &amp; Control'!$A$23:$A$189,A24,'Tank &amp; Control'!$B$23:$B$189,B24))</x:f>
      </x:c>
      <x:c r="O24" s="576" t="n">
        <x:f>IF(SUMIFS('Specialisation Impact'!$M$19:$M$186,'Specialisation Impact'!$A$19:$A$186,A24,'Specialisation Impact'!$B$19:$B$186,B24)=0,"",SUMIFS('Specialisation Impact'!$V$19:$V$186,'Specialisation Impact'!$A$19:$A$186,A24,'Specialisation Impact'!$B$19:$B$186,B24))</x:f>
        <x:v>29.48717948717949</x:v>
      </x:c>
      <x:c r="P24" s="576" t="str">
        <x:f>IF(N24="","",N24)</x:f>
      </x:c>
      <x:c r="Q24" s="576" t="str">
        <x:f>IF(N24="","",IF(AC24=0,N24,MAX(0,MIN(100,N24*(1-'Specialisation Scenarios'!$B$8*AC24)+O24*('Specialisation Scenarios'!$B$8*AC24)))))</x:f>
      </x:c>
      <x:c r="R24" s="576" t="str">
        <x:f>IF(N24="","",IF(AC24=0,N24,MAX(0,MIN(100,N24*(1-'Specialisation Scenarios'!$B$9*AC24)+O24*('Specialisation Scenarios'!$B$9*AC24)))))</x:f>
      </x:c>
      <x:c r="S24" s="584" t="n">
        <x:f>IF(J24="","",COUNTIFS($A$6:$A$172,A24,$J$6:$J$172,"&gt;"&amp;J24)+COUNTIFS($A$6:A24,A24,$J$6:J24,J24))</x:f>
        <x:v>20</x:v>
      </x:c>
      <x:c r="T24" s="584" t="n">
        <x:f>IF(K24="","",COUNTIFS($A$6:$A$172,A24,$K$6:$K$172,"&gt;"&amp;K24)+COUNTIFS($A$6:A24,A24,$K$6:K24,K24))</x:f>
        <x:v>20</x:v>
      </x:c>
      <x:c r="U24" s="584" t="n">
        <x:f>IF(L24="","",COUNTIFS($A$6:$A$172,A24,$L$6:$L$172,"&gt;"&amp;L24)+COUNTIFS($A$6:A24,A24,$L$6:L24,L24))</x:f>
        <x:v>19</x:v>
      </x:c>
      <x:c r="V24" s="584" t="str">
        <x:f>IF(P24="","",COUNTIFS($A$6:$A$172,A24,$P$6:$P$172,"&gt;"&amp;P24)+COUNTIFS($A$6:A24,A24,$P$6:P24,P24))</x:f>
      </x:c>
      <x:c r="W24" s="584" t="str">
        <x:f>IF(Q24="","",COUNTIFS($A$6:$A$172,A24,$Q$6:$Q$172,"&gt;"&amp;Q24)+COUNTIFS($A$6:A24,A24,$Q$6:Q24,Q24))</x:f>
      </x:c>
      <x:c r="X24" s="584" t="str">
        <x:f>IF(R24="","",COUNTIFS($A$6:$A$172,A24,$R$6:$R$172,"&gt;"&amp;R24)+COUNTIFS($A$6:A24,A24,$R$6:R24,R24))</x:f>
      </x:c>
      <x:c r="Y24" s="572" t="str">
        <x:f>IF(V24="","",A24&amp;"|"&amp;V24)</x:f>
      </x:c>
      <x:c r="Z24" s="572" t="str">
        <x:f>IF(W24="","",A24&amp;"|"&amp;W24)</x:f>
      </x:c>
      <x:c r="AA24" s="572" t="str">
        <x:f>IF(X24="","",A24&amp;"|"&amp;X24)</x:f>
      </x:c>
      <x:c r="AB24" s="572" t="str">
        <x:f>IF(A24="","",IF(I24=0,"Offense neutral — no recorded offensive skills",IF(I24&lt;1,"Partial lookup — adjustment scaled",IF(AND(M24="Yes",AC24=0),"Offense adjusted; Guard neutral","Captured"))))</x:f>
        <x:v>Captured</x:v>
      </x:c>
      <x:c r="AC24" s="580" t="n">
        <x:f>IF(SUMIFS('Specialisation Impact'!$M$19:$M$186,'Specialisation Impact'!$A$19:$A$186,A24,'Specialisation Impact'!$B$19:$B$186,B24)=0,0,SUMIFS('Specialisation Impact'!$F$19:$F$186,'Specialisation Impact'!$A$19:$A$186,A24,'Specialisation Impact'!$B$19:$B$186,B24))</x:f>
        <x:v>1</x:v>
      </x:c>
    </x:row>
    <x:row r="25">
      <x:c r="A25" s="571" t="str">
        <x:v>K60</x:v>
      </x:c>
      <x:c r="B25" s="571" t="str">
        <x:v>陰影Sam</x:v>
      </x:c>
      <x:c r="C25" s="575" t="n">
        <x:f>IF($A25="","",AVERAGE(100*((COUNTIF('All Stats'!$D$6:$D$172,"&lt;"&amp;'All Stats'!D25)+(COUNTIF('All Stats'!$D$6:$D$172,'All Stats'!D25)-1)/2)/(COUNT('All Stats'!$D$6:$D$172)-1))^'Specialisation Scenarios'!$X$10,100*((COUNTIF('All Stats'!$G$6:$G$172,"&lt;"&amp;'All Stats'!G25)+(COUNTIF('All Stats'!$G$6:$G$172,'All Stats'!G25)-1)/2)/(COUNT('All Stats'!$G$6:$G$172)-1))^'Specialisation Scenarios'!$X$10,100*((COUNTIF('All Stats'!$I$6:$I$172,"&lt;"&amp;'All Stats'!I25)+(COUNTIF('All Stats'!$I$6:$I$172,'All Stats'!I25)-1)/2)/(COUNT('All Stats'!$I$6:$I$172)-1))^'Specialisation Scenarios'!$X$10))</x:f>
        <x:v>26.269369327691766</x:v>
      </x:c>
      <x:c r="D25" s="575" t="n">
        <x:f>IF($A25="","",AVERAGE(100*((COUNTIF('All Stats'!$R$6:$R$172,"&lt;"&amp;'All Stats'!R25)+(COUNTIF('All Stats'!$R$6:$R$172,'All Stats'!R25)-1)/2)/(COUNT('All Stats'!$R$6:$R$172)-1))^'Specialisation Scenarios'!$X$10,100*((COUNTIF('All Stats'!$U$6:$U$172,"&lt;"&amp;'All Stats'!U25)+(COUNTIF('All Stats'!$U$6:$U$172,'All Stats'!U25)-1)/2)/(COUNT('All Stats'!$U$6:$U$172)-1))^'Specialisation Scenarios'!$X$10,100*((COUNTIF('All Stats'!$W$6:$W$172,"&lt;"&amp;'All Stats'!W25)+(COUNTIF('All Stats'!$W$6:$W$172,'All Stats'!W25)-1)/2)/(COUNT('All Stats'!$W$6:$W$172)-1))^'Specialisation Scenarios'!$X$10))</x:f>
        <x:v>35.13225295667146</x:v>
      </x:c>
      <x:c r="E25" s="575" t="n">
        <x:f>IF($A25="","",AVERAGE(100*((COUNTIF('All Stats'!$Y$6:$Y$172,"&lt;"&amp;'All Stats'!Y25)+(COUNTIF('All Stats'!$Y$6:$Y$172,'All Stats'!Y25)-1)/2)/(COUNT('All Stats'!$Y$6:$Y$172)-1))^'Specialisation Scenarios'!$X$10,100*((COUNTIF('All Stats'!$AB$6:$AB$172,"&lt;"&amp;'All Stats'!AB25)+(COUNTIF('All Stats'!$AB$6:$AB$172,'All Stats'!AB25)-1)/2)/(COUNT('All Stats'!$AB$6:$AB$172)-1))^'Specialisation Scenarios'!$X$10,100*((COUNTIF('All Stats'!$AD$6:$AD$172,"&lt;"&amp;'All Stats'!AD25)+(COUNTIF('All Stats'!$AD$6:$AD$172,'All Stats'!AD25)-1)/2)/(COUNT('All Stats'!$AD$6:$AD$172)-1))^'Specialisation Scenarios'!$X$10))</x:f>
        <x:v>46.49599774918036</x:v>
      </x:c>
      <x:c r="F25" s="575" t="n">
        <x:f>IF($A25="","",AVERAGE(100*((COUNTIF('All Stats'!$AF$6:$AF$172,"&lt;"&amp;'All Stats'!AF25)+(COUNTIF('All Stats'!$AF$6:$AF$172,'All Stats'!AF25)-1)/2)/(COUNT('All Stats'!$AF$6:$AF$172)-1))^'Specialisation Scenarios'!$X$10,100*((COUNTIF('All Stats'!$AI$6:$AI$172,"&lt;"&amp;'All Stats'!AI25)+(COUNTIF('All Stats'!$AI$6:$AI$172,'All Stats'!AI25)-1)/2)/(COUNT('All Stats'!$AI$6:$AI$172)-1))^'Specialisation Scenarios'!$X$10,100*((COUNTIF('All Stats'!$AK$6:$AK$172,"&lt;"&amp;'All Stats'!AK25)+(COUNTIF('All Stats'!$AK$6:$AK$172,'All Stats'!AK25)-1)/2)/(COUNT('All Stats'!$AK$6:$AK$172)-1))^'Specialisation Scenarios'!$X$10))</x:f>
        <x:v>15.073182086356804</x:v>
      </x:c>
      <x:c r="G25" s="575" t="n">
        <x:f>IF($A25="","",C25*'Specialisation Scenarios'!$X$11+D25*'Specialisation Scenarios'!$X$12+E25*'Specialisation Scenarios'!$X$13+F25*'Specialisation Scenarios'!$X$14)</x:f>
        <x:v>31.930334261028197</x:v>
      </x:c>
      <x:c r="H25" s="575" t="n">
        <x:f>IF(SUMIFS('Specialisation Impact'!$E$19:$E$186,'Specialisation Impact'!$A$19:$A$186,A25,'Specialisation Impact'!$B$19:$B$186,B25)=0,"",SUMIFS('Specialisation Impact'!$S$19:$S$186,'Specialisation Impact'!$A$19:$A$186,A25,'Specialisation Impact'!$B$19:$B$186,B25))</x:f>
        <x:v>72.01298701298701</x:v>
      </x:c>
      <x:c r="I25" s="579" t="n">
        <x:f>IF(SUMIFS('Specialisation Impact'!$E$19:$E$186,'Specialisation Impact'!$A$19:$A$186,A25,'Specialisation Impact'!$B$19:$B$186,B25)=0,0,SUMIFS('Specialisation Impact'!$F$19:$F$186,'Specialisation Impact'!$A$19:$A$186,A25,'Specialisation Impact'!$B$19:$B$186,B25))</x:f>
        <x:v>1</x:v>
      </x:c>
      <x:c r="J25" s="575" t="n">
        <x:f>G25</x:f>
        <x:v>31.930334261028197</x:v>
      </x:c>
      <x:c r="K25" s="575" t="n">
        <x:f>IF(G25="","",IF(I25=0,G25,MAX(0,MIN(100,G25*(1-'Specialisation Scenarios'!$B$8*I25)+H25*('Specialisation Scenarios'!$B$8*I25)))))</x:f>
        <x:v>41.950997449017905</x:v>
      </x:c>
      <x:c r="L25" s="575" t="n">
        <x:f>IF(G25="","",IF(I25=0,G25,MAX(0,MIN(100,G25*(1-'Specialisation Scenarios'!$B$9*I25)+H25*('Specialisation Scenarios'!$B$9*I25)))))</x:f>
        <x:v>45.95926272421379</x:v>
      </x:c>
      <x:c r="M25" s="575" t="str">
        <x:f>IF(COUNTIFS('Tank &amp; Control'!$A$23:$A$189,A25,'Tank &amp; Control'!$B$23:$B$189,B25,'Tank &amp; Control'!$C$23:$C$189,"Yes")&gt;0,"Yes","No")</x:f>
        <x:v>No</x:v>
      </x:c>
      <x:c r="N25" s="575" t="str">
        <x:f>IF(M25&lt;&gt;"Yes","",SUMIFS('Tank &amp; Control'!$L$23:$L$189,'Tank &amp; Control'!$A$23:$A$189,A25,'Tank &amp; Control'!$B$23:$B$189,B25))</x:f>
      </x:c>
      <x:c r="O25" s="575" t="n">
        <x:f>IF(SUMIFS('Specialisation Impact'!$M$19:$M$186,'Specialisation Impact'!$A$19:$A$186,A25,'Specialisation Impact'!$B$19:$B$186,B25)=0,"",SUMIFS('Specialisation Impact'!$V$19:$V$186,'Specialisation Impact'!$A$19:$A$186,A25,'Specialisation Impact'!$B$19:$B$186,B25))</x:f>
        <x:v>29.48717948717949</x:v>
      </x:c>
      <x:c r="P25" s="575" t="str">
        <x:f>IF(N25="","",N25)</x:f>
      </x:c>
      <x:c r="Q25" s="575" t="str">
        <x:f>IF(N25="","",IF(AC25=0,N25,MAX(0,MIN(100,N25*(1-'Specialisation Scenarios'!$B$8*AC25)+O25*('Specialisation Scenarios'!$B$8*AC25)))))</x:f>
      </x:c>
      <x:c r="R25" s="575" t="str">
        <x:f>IF(N25="","",IF(AC25=0,N25,MAX(0,MIN(100,N25*(1-'Specialisation Scenarios'!$B$9*AC25)+O25*('Specialisation Scenarios'!$B$9*AC25)))))</x:f>
      </x:c>
      <x:c r="S25" s="583" t="n">
        <x:f>IF(J25="","",COUNTIFS($A$6:$A$172,A25,$J$6:$J$172,"&gt;"&amp;J25)+COUNTIFS($A$6:A25,A25,$J$6:J25,J25))</x:f>
        <x:v>17</x:v>
      </x:c>
      <x:c r="T25" s="583" t="n">
        <x:f>IF(K25="","",COUNTIFS($A$6:$A$172,A25,$K$6:$K$172,"&gt;"&amp;K25)+COUNTIFS($A$6:A25,A25,$K$6:K25,K25))</x:f>
        <x:v>14</x:v>
      </x:c>
      <x:c r="U25" s="583" t="n">
        <x:f>IF(L25="","",COUNTIFS($A$6:$A$172,A25,$L$6:$L$172,"&gt;"&amp;L25)+COUNTIFS($A$6:A25,A25,$L$6:L25,L25))</x:f>
        <x:v>13</x:v>
      </x:c>
      <x:c r="V25" s="583" t="str">
        <x:f>IF(P25="","",COUNTIFS($A$6:$A$172,A25,$P$6:$P$172,"&gt;"&amp;P25)+COUNTIFS($A$6:A25,A25,$P$6:P25,P25))</x:f>
      </x:c>
      <x:c r="W25" s="583" t="str">
        <x:f>IF(Q25="","",COUNTIFS($A$6:$A$172,A25,$Q$6:$Q$172,"&gt;"&amp;Q25)+COUNTIFS($A$6:A25,A25,$Q$6:Q25,Q25))</x:f>
      </x:c>
      <x:c r="X25" s="583" t="str">
        <x:f>IF(R25="","",COUNTIFS($A$6:$A$172,A25,$R$6:$R$172,"&gt;"&amp;R25)+COUNTIFS($A$6:A25,A25,$R$6:R25,R25))</x:f>
      </x:c>
      <x:c r="Y25" s="571" t="str">
        <x:f>IF(V25="","",A25&amp;"|"&amp;V25)</x:f>
      </x:c>
      <x:c r="Z25" s="571" t="str">
        <x:f>IF(W25="","",A25&amp;"|"&amp;W25)</x:f>
      </x:c>
      <x:c r="AA25" s="571" t="str">
        <x:f>IF(X25="","",A25&amp;"|"&amp;X25)</x:f>
      </x:c>
      <x:c r="AB25" s="571" t="str">
        <x:f>IF(A25="","",IF(I25=0,"Offense neutral — no recorded offensive skills",IF(I25&lt;1,"Partial lookup — adjustment scaled",IF(AND(M25="Yes",AC25=0),"Offense adjusted; Guard neutral","Captured"))))</x:f>
        <x:v>Captured</x:v>
      </x:c>
      <x:c r="AC25" s="579" t="n">
        <x:f>IF(SUMIFS('Specialisation Impact'!$M$19:$M$186,'Specialisation Impact'!$A$19:$A$186,A25,'Specialisation Impact'!$B$19:$B$186,B25)=0,0,SUMIFS('Specialisation Impact'!$F$19:$F$186,'Specialisation Impact'!$A$19:$A$186,A25,'Specialisation Impact'!$B$19:$B$186,B25))</x:f>
        <x:v>1</x:v>
      </x:c>
    </x:row>
    <x:row r="26">
      <x:c r="A26" s="572" t="str">
        <x:v>K60</x:v>
      </x:c>
      <x:c r="B26" s="572" t="str">
        <x:v>RONINtrike</x:v>
      </x:c>
      <x:c r="C26" s="576" t="n">
        <x:f>IF($A26="","",AVERAGE(100*((COUNTIF('All Stats'!$D$6:$D$172,"&lt;"&amp;'All Stats'!D26)+(COUNTIF('All Stats'!$D$6:$D$172,'All Stats'!D26)-1)/2)/(COUNT('All Stats'!$D$6:$D$172)-1))^'Specialisation Scenarios'!$X$10,100*((COUNTIF('All Stats'!$G$6:$G$172,"&lt;"&amp;'All Stats'!G26)+(COUNTIF('All Stats'!$G$6:$G$172,'All Stats'!G26)-1)/2)/(COUNT('All Stats'!$G$6:$G$172)-1))^'Specialisation Scenarios'!$X$10,100*((COUNTIF('All Stats'!$I$6:$I$172,"&lt;"&amp;'All Stats'!I26)+(COUNTIF('All Stats'!$I$6:$I$172,'All Stats'!I26)-1)/2)/(COUNT('All Stats'!$I$6:$I$172)-1))^'Specialisation Scenarios'!$X$10))</x:f>
        <x:v>76.85802401121373</x:v>
      </x:c>
      <x:c r="D26" s="576" t="n">
        <x:f>IF($A26="","",AVERAGE(100*((COUNTIF('All Stats'!$R$6:$R$172,"&lt;"&amp;'All Stats'!R26)+(COUNTIF('All Stats'!$R$6:$R$172,'All Stats'!R26)-1)/2)/(COUNT('All Stats'!$R$6:$R$172)-1))^'Specialisation Scenarios'!$X$10,100*((COUNTIF('All Stats'!$U$6:$U$172,"&lt;"&amp;'All Stats'!U26)+(COUNTIF('All Stats'!$U$6:$U$172,'All Stats'!U26)-1)/2)/(COUNT('All Stats'!$U$6:$U$172)-1))^'Specialisation Scenarios'!$X$10,100*((COUNTIF('All Stats'!$W$6:$W$172,"&lt;"&amp;'All Stats'!W26)+(COUNTIF('All Stats'!$W$6:$W$172,'All Stats'!W26)-1)/2)/(COUNT('All Stats'!$W$6:$W$172)-1))^'Specialisation Scenarios'!$X$10))</x:f>
        <x:v>51.85619726762221</x:v>
      </x:c>
      <x:c r="E26" s="576" t="n">
        <x:f>IF($A26="","",AVERAGE(100*((COUNTIF('All Stats'!$Y$6:$Y$172,"&lt;"&amp;'All Stats'!Y26)+(COUNTIF('All Stats'!$Y$6:$Y$172,'All Stats'!Y26)-1)/2)/(COUNT('All Stats'!$Y$6:$Y$172)-1))^'Specialisation Scenarios'!$X$10,100*((COUNTIF('All Stats'!$AB$6:$AB$172,"&lt;"&amp;'All Stats'!AB26)+(COUNTIF('All Stats'!$AB$6:$AB$172,'All Stats'!AB26)-1)/2)/(COUNT('All Stats'!$AB$6:$AB$172)-1))^'Specialisation Scenarios'!$X$10,100*((COUNTIF('All Stats'!$AD$6:$AD$172,"&lt;"&amp;'All Stats'!AD26)+(COUNTIF('All Stats'!$AD$6:$AD$172,'All Stats'!AD26)-1)/2)/(COUNT('All Stats'!$AD$6:$AD$172)-1))^'Specialisation Scenarios'!$X$10))</x:f>
        <x:v>67.69861563505184</x:v>
      </x:c>
      <x:c r="F26" s="576" t="n">
        <x:f>IF($A26="","",AVERAGE(100*((COUNTIF('All Stats'!$AF$6:$AF$172,"&lt;"&amp;'All Stats'!AF26)+(COUNTIF('All Stats'!$AF$6:$AF$172,'All Stats'!AF26)-1)/2)/(COUNT('All Stats'!$AF$6:$AF$172)-1))^'Specialisation Scenarios'!$X$10,100*((COUNTIF('All Stats'!$AI$6:$AI$172,"&lt;"&amp;'All Stats'!AI26)+(COUNTIF('All Stats'!$AI$6:$AI$172,'All Stats'!AI26)-1)/2)/(COUNT('All Stats'!$AI$6:$AI$172)-1))^'Specialisation Scenarios'!$X$10,100*((COUNTIF('All Stats'!$AK$6:$AK$172,"&lt;"&amp;'All Stats'!AK26)+(COUNTIF('All Stats'!$AK$6:$AK$172,'All Stats'!AK26)-1)/2)/(COUNT('All Stats'!$AK$6:$AK$172)-1))^'Specialisation Scenarios'!$X$10))</x:f>
        <x:v>85.3407527281425</x:v>
      </x:c>
      <x:c r="G26" s="576" t="n">
        <x:f>IF($A26="","",C26*'Specialisation Scenarios'!$X$11+D26*'Specialisation Scenarios'!$X$12+E26*'Specialisation Scenarios'!$X$13+F26*'Specialisation Scenarios'!$X$14)</x:f>
        <x:v>62.213396434981945</x:v>
      </x:c>
      <x:c r="H26" s="576" t="n">
        <x:f>IF(SUMIFS('Specialisation Impact'!$E$19:$E$186,'Specialisation Impact'!$A$19:$A$186,A26,'Specialisation Impact'!$B$19:$B$186,B26)=0,"",SUMIFS('Specialisation Impact'!$S$19:$S$186,'Specialisation Impact'!$A$19:$A$186,A26,'Specialisation Impact'!$B$19:$B$186,B26))</x:f>
        <x:v>83.8961038961039</x:v>
      </x:c>
      <x:c r="I26" s="580" t="n">
        <x:f>IF(SUMIFS('Specialisation Impact'!$E$19:$E$186,'Specialisation Impact'!$A$19:$A$186,A26,'Specialisation Impact'!$B$19:$B$186,B26)=0,0,SUMIFS('Specialisation Impact'!$F$19:$F$186,'Specialisation Impact'!$A$19:$A$186,A26,'Specialisation Impact'!$B$19:$B$186,B26))</x:f>
        <x:v>0.8</x:v>
      </x:c>
      <x:c r="J26" s="576" t="n">
        <x:f>G26</x:f>
        <x:v>62.213396434981945</x:v>
      </x:c>
      <x:c r="K26" s="576" t="n">
        <x:f>IF(G26="","",IF(I26=0,G26,MAX(0,MIN(100,G26*(1-'Specialisation Scenarios'!$B$8*I26)+H26*('Specialisation Scenarios'!$B$8*I26)))))</x:f>
        <x:v>66.54993792720634</x:v>
      </x:c>
      <x:c r="L26" s="576" t="n">
        <x:f>IF(G26="","",IF(I26=0,G26,MAX(0,MIN(100,G26*(1-'Specialisation Scenarios'!$B$9*I26)+H26*('Specialisation Scenarios'!$B$9*I26)))))</x:f>
        <x:v>68.28455452409608</x:v>
      </x:c>
      <x:c r="M26" s="576" t="str">
        <x:f>IF(COUNTIFS('Tank &amp; Control'!$A$23:$A$189,A26,'Tank &amp; Control'!$B$23:$B$189,B26,'Tank &amp; Control'!$C$23:$C$189,"Yes")&gt;0,"Yes","No")</x:f>
        <x:v>Yes</x:v>
      </x:c>
      <x:c r="N26" s="576" t="n">
        <x:f>IF(M26&lt;&gt;"Yes","",SUMIFS('Tank &amp; Control'!$L$23:$L$189,'Tank &amp; Control'!$A$23:$A$189,A26,'Tank &amp; Control'!$B$23:$B$189,B26))</x:f>
        <x:v>5.309327184273216</x:v>
      </x:c>
      <x:c r="O26" s="576" t="str">
        <x:f>IF(SUMIFS('Specialisation Impact'!$M$19:$M$186,'Specialisation Impact'!$A$19:$A$186,A26,'Specialisation Impact'!$B$19:$B$186,B26)=0,"",SUMIFS('Specialisation Impact'!$V$19:$V$186,'Specialisation Impact'!$A$19:$A$186,A26,'Specialisation Impact'!$B$19:$B$186,B26))</x:f>
      </x:c>
      <x:c r="P26" s="576" t="n">
        <x:f>IF(N26="","",N26)</x:f>
        <x:v>5.309327184273216</x:v>
      </x:c>
      <x:c r="Q26" s="576" t="n">
        <x:f>IF(N26="","",IF(AC26=0,N26,MAX(0,MIN(100,N26*(1-'Specialisation Scenarios'!$B$8*AC26)+O26*('Specialisation Scenarios'!$B$8*AC26)))))</x:f>
        <x:v>5.309327184273216</x:v>
      </x:c>
      <x:c r="R26" s="576" t="n">
        <x:f>IF(N26="","",IF(AC26=0,N26,MAX(0,MIN(100,N26*(1-'Specialisation Scenarios'!$B$9*AC26)+O26*('Specialisation Scenarios'!$B$9*AC26)))))</x:f>
        <x:v>5.309327184273216</x:v>
      </x:c>
      <x:c r="S26" s="584" t="n">
        <x:f>IF(J26="","",COUNTIFS($A$6:$A$172,A26,$J$6:$J$172,"&gt;"&amp;J26)+COUNTIFS($A$6:A26,A26,$J$6:J26,J26))</x:f>
        <x:v>5</x:v>
      </x:c>
      <x:c r="T26" s="584" t="n">
        <x:f>IF(K26="","",COUNTIFS($A$6:$A$172,A26,$K$6:$K$172,"&gt;"&amp;K26)+COUNTIFS($A$6:A26,A26,$K$6:K26,K26))</x:f>
        <x:v>5</x:v>
      </x:c>
      <x:c r="U26" s="584" t="n">
        <x:f>IF(L26="","",COUNTIFS($A$6:$A$172,A26,$L$6:$L$172,"&gt;"&amp;L26)+COUNTIFS($A$6:A26,A26,$L$6:L26,L26))</x:f>
        <x:v>5</x:v>
      </x:c>
      <x:c r="V26" s="584" t="n">
        <x:f>IF(P26="","",COUNTIFS($A$6:$A$172,A26,$P$6:$P$172,"&gt;"&amp;P26)+COUNTIFS($A$6:A26,A26,$P$6:P26,P26))</x:f>
        <x:v>4</x:v>
      </x:c>
      <x:c r="W26" s="584" t="n">
        <x:f>IF(Q26="","",COUNTIFS($A$6:$A$172,A26,$Q$6:$Q$172,"&gt;"&amp;Q26)+COUNTIFS($A$6:A26,A26,$Q$6:Q26,Q26))</x:f>
        <x:v>5</x:v>
      </x:c>
      <x:c r="X26" s="584" t="n">
        <x:f>IF(R26="","",COUNTIFS($A$6:$A$172,A26,$R$6:$R$172,"&gt;"&amp;R26)+COUNTIFS($A$6:A26,A26,$R$6:R26,R26))</x:f>
        <x:v>5</x:v>
      </x:c>
      <x:c r="Y26" s="572" t="str">
        <x:f>IF(V26="","",A26&amp;"|"&amp;V26)</x:f>
        <x:v>K60|4</x:v>
      </x:c>
      <x:c r="Z26" s="572" t="str">
        <x:f>IF(W26="","",A26&amp;"|"&amp;W26)</x:f>
        <x:v>K60|5</x:v>
      </x:c>
      <x:c r="AA26" s="572" t="str">
        <x:f>IF(X26="","",A26&amp;"|"&amp;X26)</x:f>
        <x:v>K60|5</x:v>
      </x:c>
      <x:c r="AB26" s="572" t="str">
        <x:f>IF(A26="","",IF(I26=0,"Offense neutral — no recorded offensive skills",IF(I26&lt;1,"Partial lookup — adjustment scaled",IF(AND(M26="Yes",AC26=0),"Offense adjusted; Guard neutral","Captured"))))</x:f>
        <x:v>Partial lookup — adjustment scaled</x:v>
      </x:c>
      <x:c r="AC26" s="580" t="n">
        <x:f>IF(SUMIFS('Specialisation Impact'!$M$19:$M$186,'Specialisation Impact'!$A$19:$A$186,A26,'Specialisation Impact'!$B$19:$B$186,B26)=0,0,SUMIFS('Specialisation Impact'!$F$19:$F$186,'Specialisation Impact'!$A$19:$A$186,A26,'Specialisation Impact'!$B$19:$B$186,B26))</x:f>
        <x:v>0</x:v>
      </x:c>
    </x:row>
    <x:row r="27">
      <x:c r="A27" s="571" t="str">
        <x:v>K60</x:v>
      </x:c>
      <x:c r="B27" s="571" t="str">
        <x:v>雪Snowy</x:v>
      </x:c>
      <x:c r="C27" s="575" t="n">
        <x:f>IF($A27="","",AVERAGE(100*((COUNTIF('All Stats'!$D$6:$D$172,"&lt;"&amp;'All Stats'!D27)+(COUNTIF('All Stats'!$D$6:$D$172,'All Stats'!D27)-1)/2)/(COUNT('All Stats'!$D$6:$D$172)-1))^'Specialisation Scenarios'!$X$10,100*((COUNTIF('All Stats'!$G$6:$G$172,"&lt;"&amp;'All Stats'!G27)+(COUNTIF('All Stats'!$G$6:$G$172,'All Stats'!G27)-1)/2)/(COUNT('All Stats'!$G$6:$G$172)-1))^'Specialisation Scenarios'!$X$10,100*((COUNTIF('All Stats'!$I$6:$I$172,"&lt;"&amp;'All Stats'!I27)+(COUNTIF('All Stats'!$I$6:$I$172,'All Stats'!I27)-1)/2)/(COUNT('All Stats'!$I$6:$I$172)-1))^'Specialisation Scenarios'!$X$10))</x:f>
        <x:v>60.68955927200923</x:v>
      </x:c>
      <x:c r="D27" s="575" t="n">
        <x:f>IF($A27="","",AVERAGE(100*((COUNTIF('All Stats'!$R$6:$R$172,"&lt;"&amp;'All Stats'!R27)+(COUNTIF('All Stats'!$R$6:$R$172,'All Stats'!R27)-1)/2)/(COUNT('All Stats'!$R$6:$R$172)-1))^'Specialisation Scenarios'!$X$10,100*((COUNTIF('All Stats'!$U$6:$U$172,"&lt;"&amp;'All Stats'!U27)+(COUNTIF('All Stats'!$U$6:$U$172,'All Stats'!U27)-1)/2)/(COUNT('All Stats'!$U$6:$U$172)-1))^'Specialisation Scenarios'!$X$10,100*((COUNTIF('All Stats'!$W$6:$W$172,"&lt;"&amp;'All Stats'!W27)+(COUNTIF('All Stats'!$W$6:$W$172,'All Stats'!W27)-1)/2)/(COUNT('All Stats'!$W$6:$W$172)-1))^'Specialisation Scenarios'!$X$10))</x:f>
        <x:v>51.0126195033882</x:v>
      </x:c>
      <x:c r="E27" s="575" t="n">
        <x:f>IF($A27="","",AVERAGE(100*((COUNTIF('All Stats'!$Y$6:$Y$172,"&lt;"&amp;'All Stats'!Y27)+(COUNTIF('All Stats'!$Y$6:$Y$172,'All Stats'!Y27)-1)/2)/(COUNT('All Stats'!$Y$6:$Y$172)-1))^'Specialisation Scenarios'!$X$10,100*((COUNTIF('All Stats'!$AB$6:$AB$172,"&lt;"&amp;'All Stats'!AB27)+(COUNTIF('All Stats'!$AB$6:$AB$172,'All Stats'!AB27)-1)/2)/(COUNT('All Stats'!$AB$6:$AB$172)-1))^'Specialisation Scenarios'!$X$10,100*((COUNTIF('All Stats'!$AD$6:$AD$172,"&lt;"&amp;'All Stats'!AD27)+(COUNTIF('All Stats'!$AD$6:$AD$172,'All Stats'!AD27)-1)/2)/(COUNT('All Stats'!$AD$6:$AD$172)-1))^'Specialisation Scenarios'!$X$10))</x:f>
        <x:v>45.21238422423476</x:v>
      </x:c>
      <x:c r="F27" s="575" t="n">
        <x:f>IF($A27="","",AVERAGE(100*((COUNTIF('All Stats'!$AF$6:$AF$172,"&lt;"&amp;'All Stats'!AF27)+(COUNTIF('All Stats'!$AF$6:$AF$172,'All Stats'!AF27)-1)/2)/(COUNT('All Stats'!$AF$6:$AF$172)-1))^'Specialisation Scenarios'!$X$10,100*((COUNTIF('All Stats'!$AI$6:$AI$172,"&lt;"&amp;'All Stats'!AI27)+(COUNTIF('All Stats'!$AI$6:$AI$172,'All Stats'!AI27)-1)/2)/(COUNT('All Stats'!$AI$6:$AI$172)-1))^'Specialisation Scenarios'!$X$10,100*((COUNTIF('All Stats'!$AK$6:$AK$172,"&lt;"&amp;'All Stats'!AK27)+(COUNTIF('All Stats'!$AK$6:$AK$172,'All Stats'!AK27)-1)/2)/(COUNT('All Stats'!$AK$6:$AK$172)-1))^'Specialisation Scenarios'!$X$10))</x:f>
        <x:v>21.697032066103045</x:v>
      </x:c>
      <x:c r="G27" s="575" t="n">
        <x:f>IF($A27="","",C27*'Specialisation Scenarios'!$X$11+D27*'Specialisation Scenarios'!$X$12+E27*'Specialisation Scenarios'!$X$13+F27*'Specialisation Scenarios'!$X$14)</x:f>
        <x:v>47.48679882517323</x:v>
      </x:c>
      <x:c r="H27" s="575" t="n">
        <x:f>IF(SUMIFS('Specialisation Impact'!$E$19:$E$186,'Specialisation Impact'!$A$19:$A$186,A27,'Specialisation Impact'!$B$19:$B$186,B27)=0,"",SUMIFS('Specialisation Impact'!$S$19:$S$186,'Specialisation Impact'!$A$19:$A$186,A27,'Specialisation Impact'!$B$19:$B$186,B27))</x:f>
        <x:v>82.07792207792208</x:v>
      </x:c>
      <x:c r="I27" s="579" t="n">
        <x:f>IF(SUMIFS('Specialisation Impact'!$E$19:$E$186,'Specialisation Impact'!$A$19:$A$186,A27,'Specialisation Impact'!$B$19:$B$186,B27)=0,0,SUMIFS('Specialisation Impact'!$F$19:$F$186,'Specialisation Impact'!$A$19:$A$186,A27,'Specialisation Impact'!$B$19:$B$186,B27))</x:f>
        <x:v>1</x:v>
      </x:c>
      <x:c r="J27" s="575" t="n">
        <x:f>G27</x:f>
        <x:v>47.48679882517323</x:v>
      </x:c>
      <x:c r="K27" s="575" t="n">
        <x:f>IF(G27="","",IF(I27=0,G27,MAX(0,MIN(100,G27*(1-'Specialisation Scenarios'!$B$8*I27)+H27*('Specialisation Scenarios'!$B$8*I27)))))</x:f>
        <x:v>56.13457963836045</x:v>
      </x:c>
      <x:c r="L27" s="575" t="n">
        <x:f>IF(G27="","",IF(I27=0,G27,MAX(0,MIN(100,G27*(1-'Specialisation Scenarios'!$B$9*I27)+H27*('Specialisation Scenarios'!$B$9*I27)))))</x:f>
        <x:v>59.59369196363533</x:v>
      </x:c>
      <x:c r="M27" s="575" t="str">
        <x:f>IF(COUNTIFS('Tank &amp; Control'!$A$23:$A$189,A27,'Tank &amp; Control'!$B$23:$B$189,B27,'Tank &amp; Control'!$C$23:$C$189,"Yes")&gt;0,"Yes","No")</x:f>
        <x:v>No</x:v>
      </x:c>
      <x:c r="N27" s="575" t="str">
        <x:f>IF(M27&lt;&gt;"Yes","",SUMIFS('Tank &amp; Control'!$L$23:$L$189,'Tank &amp; Control'!$A$23:$A$189,A27,'Tank &amp; Control'!$B$23:$B$189,B27))</x:f>
      </x:c>
      <x:c r="O27" s="575" t="n">
        <x:f>IF(SUMIFS('Specialisation Impact'!$M$19:$M$186,'Specialisation Impact'!$A$19:$A$186,A27,'Specialisation Impact'!$B$19:$B$186,B27)=0,"",SUMIFS('Specialisation Impact'!$V$19:$V$186,'Specialisation Impact'!$A$19:$A$186,A27,'Specialisation Impact'!$B$19:$B$186,B27))</x:f>
        <x:v>29.48717948717949</x:v>
      </x:c>
      <x:c r="P27" s="575" t="str">
        <x:f>IF(N27="","",N27)</x:f>
      </x:c>
      <x:c r="Q27" s="575" t="str">
        <x:f>IF(N27="","",IF(AC27=0,N27,MAX(0,MIN(100,N27*(1-'Specialisation Scenarios'!$B$8*AC27)+O27*('Specialisation Scenarios'!$B$8*AC27)))))</x:f>
      </x:c>
      <x:c r="R27" s="575" t="str">
        <x:f>IF(N27="","",IF(AC27=0,N27,MAX(0,MIN(100,N27*(1-'Specialisation Scenarios'!$B$9*AC27)+O27*('Specialisation Scenarios'!$B$9*AC27)))))</x:f>
      </x:c>
      <x:c r="S27" s="583" t="n">
        <x:f>IF(J27="","",COUNTIFS($A$6:$A$172,A27,$J$6:$J$172,"&gt;"&amp;J27)+COUNTIFS($A$6:A27,A27,$J$6:J27,J27))</x:f>
        <x:v>9</x:v>
      </x:c>
      <x:c r="T27" s="583" t="n">
        <x:f>IF(K27="","",COUNTIFS($A$6:$A$172,A27,$K$6:$K$172,"&gt;"&amp;K27)+COUNTIFS($A$6:A27,A27,$K$6:K27,K27))</x:f>
        <x:v>8</x:v>
      </x:c>
      <x:c r="U27" s="583" t="n">
        <x:f>IF(L27="","",COUNTIFS($A$6:$A$172,A27,$L$6:$L$172,"&gt;"&amp;L27)+COUNTIFS($A$6:A27,A27,$L$6:L27,L27))</x:f>
        <x:v>8</x:v>
      </x:c>
      <x:c r="V27" s="583" t="str">
        <x:f>IF(P27="","",COUNTIFS($A$6:$A$172,A27,$P$6:$P$172,"&gt;"&amp;P27)+COUNTIFS($A$6:A27,A27,$P$6:P27,P27))</x:f>
      </x:c>
      <x:c r="W27" s="583" t="str">
        <x:f>IF(Q27="","",COUNTIFS($A$6:$A$172,A27,$Q$6:$Q$172,"&gt;"&amp;Q27)+COUNTIFS($A$6:A27,A27,$Q$6:Q27,Q27))</x:f>
      </x:c>
      <x:c r="X27" s="583" t="str">
        <x:f>IF(R27="","",COUNTIFS($A$6:$A$172,A27,$R$6:$R$172,"&gt;"&amp;R27)+COUNTIFS($A$6:A27,A27,$R$6:R27,R27))</x:f>
      </x:c>
      <x:c r="Y27" s="571" t="str">
        <x:f>IF(V27="","",A27&amp;"|"&amp;V27)</x:f>
      </x:c>
      <x:c r="Z27" s="571" t="str">
        <x:f>IF(W27="","",A27&amp;"|"&amp;W27)</x:f>
      </x:c>
      <x:c r="AA27" s="571" t="str">
        <x:f>IF(X27="","",A27&amp;"|"&amp;X27)</x:f>
      </x:c>
      <x:c r="AB27" s="571" t="str">
        <x:f>IF(A27="","",IF(I27=0,"Offense neutral — no recorded offensive skills",IF(I27&lt;1,"Partial lookup — adjustment scaled",IF(AND(M27="Yes",AC27=0),"Offense adjusted; Guard neutral","Captured"))))</x:f>
        <x:v>Captured</x:v>
      </x:c>
      <x:c r="AC27" s="579" t="n">
        <x:f>IF(SUMIFS('Specialisation Impact'!$M$19:$M$186,'Specialisation Impact'!$A$19:$A$186,A27,'Specialisation Impact'!$B$19:$B$186,B27)=0,0,SUMIFS('Specialisation Impact'!$F$19:$F$186,'Specialisation Impact'!$A$19:$A$186,A27,'Specialisation Impact'!$B$19:$B$186,B27))</x:f>
        <x:v>1</x:v>
      </x:c>
    </x:row>
    <x:row r="28">
      <x:c r="A28" s="572" t="str">
        <x:v>K60</x:v>
      </x:c>
      <x:c r="B28" s="572" t="str">
        <x:v>Lare</x:v>
      </x:c>
      <x:c r="C28" s="576" t="n">
        <x:f>IF($A28="","",AVERAGE(100*((COUNTIF('All Stats'!$D$6:$D$172,"&lt;"&amp;'All Stats'!D28)+(COUNTIF('All Stats'!$D$6:$D$172,'All Stats'!D28)-1)/2)/(COUNT('All Stats'!$D$6:$D$172)-1))^'Specialisation Scenarios'!$X$10,100*((COUNTIF('All Stats'!$G$6:$G$172,"&lt;"&amp;'All Stats'!G28)+(COUNTIF('All Stats'!$G$6:$G$172,'All Stats'!G28)-1)/2)/(COUNT('All Stats'!$G$6:$G$172)-1))^'Specialisation Scenarios'!$X$10,100*((COUNTIF('All Stats'!$I$6:$I$172,"&lt;"&amp;'All Stats'!I28)+(COUNTIF('All Stats'!$I$6:$I$172,'All Stats'!I28)-1)/2)/(COUNT('All Stats'!$I$6:$I$172)-1))^'Specialisation Scenarios'!$X$10))</x:f>
        <x:v>15.371098025501553</x:v>
      </x:c>
      <x:c r="D28" s="576" t="n">
        <x:f>IF($A28="","",AVERAGE(100*((COUNTIF('All Stats'!$R$6:$R$172,"&lt;"&amp;'All Stats'!R28)+(COUNTIF('All Stats'!$R$6:$R$172,'All Stats'!R28)-1)/2)/(COUNT('All Stats'!$R$6:$R$172)-1))^'Specialisation Scenarios'!$X$10,100*((COUNTIF('All Stats'!$U$6:$U$172,"&lt;"&amp;'All Stats'!U28)+(COUNTIF('All Stats'!$U$6:$U$172,'All Stats'!U28)-1)/2)/(COUNT('All Stats'!$U$6:$U$172)-1))^'Specialisation Scenarios'!$X$10,100*((COUNTIF('All Stats'!$W$6:$W$172,"&lt;"&amp;'All Stats'!W28)+(COUNTIF('All Stats'!$W$6:$W$172,'All Stats'!W28)-1)/2)/(COUNT('All Stats'!$W$6:$W$172)-1))^'Specialisation Scenarios'!$X$10))</x:f>
        <x:v>34.26701306104981</x:v>
      </x:c>
      <x:c r="E28" s="576" t="n">
        <x:f>IF($A28="","",AVERAGE(100*((COUNTIF('All Stats'!$Y$6:$Y$172,"&lt;"&amp;'All Stats'!Y28)+(COUNTIF('All Stats'!$Y$6:$Y$172,'All Stats'!Y28)-1)/2)/(COUNT('All Stats'!$Y$6:$Y$172)-1))^'Specialisation Scenarios'!$X$10,100*((COUNTIF('All Stats'!$AB$6:$AB$172,"&lt;"&amp;'All Stats'!AB28)+(COUNTIF('All Stats'!$AB$6:$AB$172,'All Stats'!AB28)-1)/2)/(COUNT('All Stats'!$AB$6:$AB$172)-1))^'Specialisation Scenarios'!$X$10,100*((COUNTIF('All Stats'!$AD$6:$AD$172,"&lt;"&amp;'All Stats'!AD28)+(COUNTIF('All Stats'!$AD$6:$AD$172,'All Stats'!AD28)-1)/2)/(COUNT('All Stats'!$AD$6:$AD$172)-1))^'Specialisation Scenarios'!$X$10))</x:f>
        <x:v>8.703142730828647</x:v>
      </x:c>
      <x:c r="F28" s="576" t="n">
        <x:f>IF($A28="","",AVERAGE(100*((COUNTIF('All Stats'!$AF$6:$AF$172,"&lt;"&amp;'All Stats'!AF28)+(COUNTIF('All Stats'!$AF$6:$AF$172,'All Stats'!AF28)-1)/2)/(COUNT('All Stats'!$AF$6:$AF$172)-1))^'Specialisation Scenarios'!$X$10,100*((COUNTIF('All Stats'!$AI$6:$AI$172,"&lt;"&amp;'All Stats'!AI28)+(COUNTIF('All Stats'!$AI$6:$AI$172,'All Stats'!AI28)-1)/2)/(COUNT('All Stats'!$AI$6:$AI$172)-1))^'Specialisation Scenarios'!$X$10,100*((COUNTIF('All Stats'!$AK$6:$AK$172,"&lt;"&amp;'All Stats'!AK28)+(COUNTIF('All Stats'!$AK$6:$AK$172,'All Stats'!AK28)-1)/2)/(COUNT('All Stats'!$AK$6:$AK$172)-1))^'Specialisation Scenarios'!$X$10))</x:f>
        <x:v>9.553943729759807</x:v>
      </x:c>
      <x:c r="G28" s="576" t="n">
        <x:f>IF($A28="","",C28*'Specialisation Scenarios'!$X$11+D28*'Specialisation Scenarios'!$X$12+E28*'Specialisation Scenarios'!$X$13+F28*'Specialisation Scenarios'!$X$14)</x:f>
        <x:v>25.169278373001955</x:v>
      </x:c>
      <x:c r="H28" s="576" t="n">
        <x:f>IF(SUMIFS('Specialisation Impact'!$E$19:$E$186,'Specialisation Impact'!$A$19:$A$186,A28,'Specialisation Impact'!$B$19:$B$186,B28)=0,"",SUMIFS('Specialisation Impact'!$S$19:$S$186,'Specialisation Impact'!$A$19:$A$186,A28,'Specialisation Impact'!$B$19:$B$186,B28))</x:f>
        <x:v>54.87012987012988</x:v>
      </x:c>
      <x:c r="I28" s="580" t="n">
        <x:f>IF(SUMIFS('Specialisation Impact'!$E$19:$E$186,'Specialisation Impact'!$A$19:$A$186,A28,'Specialisation Impact'!$B$19:$B$186,B28)=0,0,SUMIFS('Specialisation Impact'!$F$19:$F$186,'Specialisation Impact'!$A$19:$A$186,A28,'Specialisation Impact'!$B$19:$B$186,B28))</x:f>
        <x:v>1</x:v>
      </x:c>
      <x:c r="J28" s="576" t="n">
        <x:f>G28</x:f>
        <x:v>25.169278373001955</x:v>
      </x:c>
      <x:c r="K28" s="576" t="n">
        <x:f>IF(G28="","",IF(I28=0,G28,MAX(0,MIN(100,G28*(1-'Specialisation Scenarios'!$B$8*I28)+H28*('Specialisation Scenarios'!$B$8*I28)))))</x:f>
        <x:v>32.59449124728393</x:v>
      </x:c>
      <x:c r="L28" s="576" t="n">
        <x:f>IF(G28="","",IF(I28=0,G28,MAX(0,MIN(100,G28*(1-'Specialisation Scenarios'!$B$9*I28)+H28*('Specialisation Scenarios'!$B$9*I28)))))</x:f>
        <x:v>35.56457639699673</x:v>
      </x:c>
      <x:c r="M28" s="576" t="str">
        <x:f>IF(COUNTIFS('Tank &amp; Control'!$A$23:$A$189,A28,'Tank &amp; Control'!$B$23:$B$189,B28,'Tank &amp; Control'!$C$23:$C$189,"Yes")&gt;0,"Yes","No")</x:f>
        <x:v>No</x:v>
      </x:c>
      <x:c r="N28" s="576" t="str">
        <x:f>IF(M28&lt;&gt;"Yes","",SUMIFS('Tank &amp; Control'!$L$23:$L$189,'Tank &amp; Control'!$A$23:$A$189,A28,'Tank &amp; Control'!$B$23:$B$189,B28))</x:f>
      </x:c>
      <x:c r="O28" s="576" t="n">
        <x:f>IF(SUMIFS('Specialisation Impact'!$M$19:$M$186,'Specialisation Impact'!$A$19:$A$186,A28,'Specialisation Impact'!$B$19:$B$186,B28)=0,"",SUMIFS('Specialisation Impact'!$V$19:$V$186,'Specialisation Impact'!$A$19:$A$186,A28,'Specialisation Impact'!$B$19:$B$186,B28))</x:f>
        <x:v>29.48717948717949</x:v>
      </x:c>
      <x:c r="P28" s="576" t="str">
        <x:f>IF(N28="","",N28)</x:f>
      </x:c>
      <x:c r="Q28" s="576" t="str">
        <x:f>IF(N28="","",IF(AC28=0,N28,MAX(0,MIN(100,N28*(1-'Specialisation Scenarios'!$B$8*AC28)+O28*('Specialisation Scenarios'!$B$8*AC28)))))</x:f>
      </x:c>
      <x:c r="R28" s="576" t="str">
        <x:f>IF(N28="","",IF(AC28=0,N28,MAX(0,MIN(100,N28*(1-'Specialisation Scenarios'!$B$9*AC28)+O28*('Specialisation Scenarios'!$B$9*AC28)))))</x:f>
      </x:c>
      <x:c r="S28" s="584" t="n">
        <x:f>IF(J28="","",COUNTIFS($A$6:$A$172,A28,$J$6:$J$172,"&gt;"&amp;J28)+COUNTIFS($A$6:A28,A28,$J$6:J28,J28))</x:f>
        <x:v>21</x:v>
      </x:c>
      <x:c r="T28" s="584" t="n">
        <x:f>IF(K28="","",COUNTIFS($A$6:$A$172,A28,$K$6:$K$172,"&gt;"&amp;K28)+COUNTIFS($A$6:A28,A28,$K$6:K28,K28))</x:f>
        <x:v>21</x:v>
      </x:c>
      <x:c r="U28" s="584" t="n">
        <x:f>IF(L28="","",COUNTIFS($A$6:$A$172,A28,$L$6:$L$172,"&gt;"&amp;L28)+COUNTIFS($A$6:A28,A28,$L$6:L28,L28))</x:f>
        <x:v>22</x:v>
      </x:c>
      <x:c r="V28" s="584" t="str">
        <x:f>IF(P28="","",COUNTIFS($A$6:$A$172,A28,$P$6:$P$172,"&gt;"&amp;P28)+COUNTIFS($A$6:A28,A28,$P$6:P28,P28))</x:f>
      </x:c>
      <x:c r="W28" s="584" t="str">
        <x:f>IF(Q28="","",COUNTIFS($A$6:$A$172,A28,$Q$6:$Q$172,"&gt;"&amp;Q28)+COUNTIFS($A$6:A28,A28,$Q$6:Q28,Q28))</x:f>
      </x:c>
      <x:c r="X28" s="584" t="str">
        <x:f>IF(R28="","",COUNTIFS($A$6:$A$172,A28,$R$6:$R$172,"&gt;"&amp;R28)+COUNTIFS($A$6:A28,A28,$R$6:R28,R28))</x:f>
      </x:c>
      <x:c r="Y28" s="572" t="str">
        <x:f>IF(V28="","",A28&amp;"|"&amp;V28)</x:f>
      </x:c>
      <x:c r="Z28" s="572" t="str">
        <x:f>IF(W28="","",A28&amp;"|"&amp;W28)</x:f>
      </x:c>
      <x:c r="AA28" s="572" t="str">
        <x:f>IF(X28="","",A28&amp;"|"&amp;X28)</x:f>
      </x:c>
      <x:c r="AB28" s="572" t="str">
        <x:f>IF(A28="","",IF(I28=0,"Offense neutral — no recorded offensive skills",IF(I28&lt;1,"Partial lookup — adjustment scaled",IF(AND(M28="Yes",AC28=0),"Offense adjusted; Guard neutral","Captured"))))</x:f>
        <x:v>Captured</x:v>
      </x:c>
      <x:c r="AC28" s="580" t="n">
        <x:f>IF(SUMIFS('Specialisation Impact'!$M$19:$M$186,'Specialisation Impact'!$A$19:$A$186,A28,'Specialisation Impact'!$B$19:$B$186,B28)=0,0,SUMIFS('Specialisation Impact'!$F$19:$F$186,'Specialisation Impact'!$A$19:$A$186,A28,'Specialisation Impact'!$B$19:$B$186,B28))</x:f>
        <x:v>1</x:v>
      </x:c>
    </x:row>
    <x:row r="29">
      <x:c r="A29" s="571" t="str">
        <x:v>K60</x:v>
      </x:c>
      <x:c r="B29" s="571" t="str">
        <x:v>Legendⁱᵃᵐ</x:v>
      </x:c>
      <x:c r="C29" s="575" t="n">
        <x:f>IF($A29="","",AVERAGE(100*((COUNTIF('All Stats'!$D$6:$D$172,"&lt;"&amp;'All Stats'!D29)+(COUNTIF('All Stats'!$D$6:$D$172,'All Stats'!D29)-1)/2)/(COUNT('All Stats'!$D$6:$D$172)-1))^'Specialisation Scenarios'!$X$10,100*((COUNTIF('All Stats'!$G$6:$G$172,"&lt;"&amp;'All Stats'!G29)+(COUNTIF('All Stats'!$G$6:$G$172,'All Stats'!G29)-1)/2)/(COUNT('All Stats'!$G$6:$G$172)-1))^'Specialisation Scenarios'!$X$10,100*((COUNTIF('All Stats'!$I$6:$I$172,"&lt;"&amp;'All Stats'!I29)+(COUNTIF('All Stats'!$I$6:$I$172,'All Stats'!I29)-1)/2)/(COUNT('All Stats'!$I$6:$I$172)-1))^'Specialisation Scenarios'!$X$10))</x:f>
        <x:v>26.56756054463411</x:v>
      </x:c>
      <x:c r="D29" s="575" t="n">
        <x:f>IF($A29="","",AVERAGE(100*((COUNTIF('All Stats'!$R$6:$R$172,"&lt;"&amp;'All Stats'!R29)+(COUNTIF('All Stats'!$R$6:$R$172,'All Stats'!R29)-1)/2)/(COUNT('All Stats'!$R$6:$R$172)-1))^'Specialisation Scenarios'!$X$10,100*((COUNTIF('All Stats'!$U$6:$U$172,"&lt;"&amp;'All Stats'!U29)+(COUNTIF('All Stats'!$U$6:$U$172,'All Stats'!U29)-1)/2)/(COUNT('All Stats'!$U$6:$U$172)-1))^'Specialisation Scenarios'!$X$10,100*((COUNTIF('All Stats'!$W$6:$W$172,"&lt;"&amp;'All Stats'!W29)+(COUNTIF('All Stats'!$W$6:$W$172,'All Stats'!W29)-1)/2)/(COUNT('All Stats'!$W$6:$W$172)-1))^'Specialisation Scenarios'!$X$10))</x:f>
        <x:v>40.09977658967312</x:v>
      </x:c>
      <x:c r="E29" s="575" t="n">
        <x:f>IF($A29="","",AVERAGE(100*((COUNTIF('All Stats'!$Y$6:$Y$172,"&lt;"&amp;'All Stats'!Y29)+(COUNTIF('All Stats'!$Y$6:$Y$172,'All Stats'!Y29)-1)/2)/(COUNT('All Stats'!$Y$6:$Y$172)-1))^'Specialisation Scenarios'!$X$10,100*((COUNTIF('All Stats'!$AB$6:$AB$172,"&lt;"&amp;'All Stats'!AB29)+(COUNTIF('All Stats'!$AB$6:$AB$172,'All Stats'!AB29)-1)/2)/(COUNT('All Stats'!$AB$6:$AB$172)-1))^'Specialisation Scenarios'!$X$10,100*((COUNTIF('All Stats'!$AD$6:$AD$172,"&lt;"&amp;'All Stats'!AD29)+(COUNTIF('All Stats'!$AD$6:$AD$172,'All Stats'!AD29)-1)/2)/(COUNT('All Stats'!$AD$6:$AD$172)-1))^'Specialisation Scenarios'!$X$10))</x:f>
        <x:v>39.58586514759235</x:v>
      </x:c>
      <x:c r="F29" s="575" t="n">
        <x:f>IF($A29="","",AVERAGE(100*((COUNTIF('All Stats'!$AF$6:$AF$172,"&lt;"&amp;'All Stats'!AF29)+(COUNTIF('All Stats'!$AF$6:$AF$172,'All Stats'!AF29)-1)/2)/(COUNT('All Stats'!$AF$6:$AF$172)-1))^'Specialisation Scenarios'!$X$10,100*((COUNTIF('All Stats'!$AI$6:$AI$172,"&lt;"&amp;'All Stats'!AI29)+(COUNTIF('All Stats'!$AI$6:$AI$172,'All Stats'!AI29)-1)/2)/(COUNT('All Stats'!$AI$6:$AI$172)-1))^'Specialisation Scenarios'!$X$10,100*((COUNTIF('All Stats'!$AK$6:$AK$172,"&lt;"&amp;'All Stats'!AK29)+(COUNTIF('All Stats'!$AK$6:$AK$172,'All Stats'!AK29)-1)/2)/(COUNT('All Stats'!$AK$6:$AK$172)-1))^'Specialisation Scenarios'!$X$10))</x:f>
        <x:v>26.460391131562996</x:v>
      </x:c>
      <x:c r="G29" s="575" t="n">
        <x:f>IF($A29="","",C29*'Specialisation Scenarios'!$X$11+D29*'Specialisation Scenarios'!$X$12+E29*'Specialisation Scenarios'!$X$13+F29*'Specialisation Scenarios'!$X$14)</x:f>
        <x:v>35.97264521999267</x:v>
      </x:c>
      <x:c r="H29" s="575" t="n">
        <x:f>IF(SUMIFS('Specialisation Impact'!$E$19:$E$186,'Specialisation Impact'!$A$19:$A$186,A29,'Specialisation Impact'!$B$19:$B$186,B29)=0,"",SUMIFS('Specialisation Impact'!$S$19:$S$186,'Specialisation Impact'!$A$19:$A$186,A29,'Specialisation Impact'!$B$19:$B$186,B29))</x:f>
        <x:v>49.41558441558442</x:v>
      </x:c>
      <x:c r="I29" s="579" t="n">
        <x:f>IF(SUMIFS('Specialisation Impact'!$E$19:$E$186,'Specialisation Impact'!$A$19:$A$186,A29,'Specialisation Impact'!$B$19:$B$186,B29)=0,0,SUMIFS('Specialisation Impact'!$F$19:$F$186,'Specialisation Impact'!$A$19:$A$186,A29,'Specialisation Impact'!$B$19:$B$186,B29))</x:f>
        <x:v>1</x:v>
      </x:c>
      <x:c r="J29" s="575" t="n">
        <x:f>G29</x:f>
        <x:v>35.97264521999267</x:v>
      </x:c>
      <x:c r="K29" s="575" t="n">
        <x:f>IF(G29="","",IF(I29=0,G29,MAX(0,MIN(100,G29*(1-'Specialisation Scenarios'!$B$8*I29)+H29*('Specialisation Scenarios'!$B$8*I29)))))</x:f>
        <x:v>39.33338001889061</x:v>
      </x:c>
      <x:c r="L29" s="575" t="n">
        <x:f>IF(G29="","",IF(I29=0,G29,MAX(0,MIN(100,G29*(1-'Specialisation Scenarios'!$B$9*I29)+H29*('Specialisation Scenarios'!$B$9*I29)))))</x:f>
        <x:v>40.677673938449786</x:v>
      </x:c>
      <x:c r="M29" s="575" t="str">
        <x:f>IF(COUNTIFS('Tank &amp; Control'!$A$23:$A$189,A29,'Tank &amp; Control'!$B$23:$B$189,B29,'Tank &amp; Control'!$C$23:$C$189,"Yes")&gt;0,"Yes","No")</x:f>
        <x:v>Yes</x:v>
      </x:c>
      <x:c r="N29" s="575" t="n">
        <x:f>IF(M29&lt;&gt;"Yes","",SUMIFS('Tank &amp; Control'!$L$23:$L$189,'Tank &amp; Control'!$A$23:$A$189,A29,'Tank &amp; Control'!$B$23:$B$189,B29))</x:f>
        <x:v>4.5311408280491134</x:v>
      </x:c>
      <x:c r="O29" s="575" t="n">
        <x:f>IF(SUMIFS('Specialisation Impact'!$M$19:$M$186,'Specialisation Impact'!$A$19:$A$186,A29,'Specialisation Impact'!$B$19:$B$186,B29)=0,"",SUMIFS('Specialisation Impact'!$V$19:$V$186,'Specialisation Impact'!$A$19:$A$186,A29,'Specialisation Impact'!$B$19:$B$186,B29))</x:f>
        <x:v>29.48717948717949</x:v>
      </x:c>
      <x:c r="P29" s="575" t="n">
        <x:f>IF(N29="","",N29)</x:f>
        <x:v>4.5311408280491134</x:v>
      </x:c>
      <x:c r="Q29" s="575" t="n">
        <x:f>IF(N29="","",IF(AC29=0,N29,MAX(0,MIN(100,N29*(1-'Specialisation Scenarios'!$B$8*AC29)+O29*('Specialisation Scenarios'!$B$8*AC29)))))</x:f>
        <x:v>10.770150492831707</x:v>
      </x:c>
      <x:c r="R29" s="575" t="n">
        <x:f>IF(N29="","",IF(AC29=0,N29,MAX(0,MIN(100,N29*(1-'Specialisation Scenarios'!$B$9*AC29)+O29*('Specialisation Scenarios'!$B$9*AC29)))))</x:f>
        <x:v>13.265754358744745</x:v>
      </x:c>
      <x:c r="S29" s="583" t="n">
        <x:f>IF(J29="","",COUNTIFS($A$6:$A$172,A29,$J$6:$J$172,"&gt;"&amp;J29)+COUNTIFS($A$6:A29,A29,$J$6:J29,J29))</x:f>
        <x:v>15</x:v>
      </x:c>
      <x:c r="T29" s="583" t="n">
        <x:f>IF(K29="","",COUNTIFS($A$6:$A$172,A29,$K$6:$K$172,"&gt;"&amp;K29)+COUNTIFS($A$6:A29,A29,$K$6:K29,K29))</x:f>
        <x:v>17</x:v>
      </x:c>
      <x:c r="U29" s="583" t="n">
        <x:f>IF(L29="","",COUNTIFS($A$6:$A$172,A29,$L$6:$L$172,"&gt;"&amp;L29)+COUNTIFS($A$6:A29,A29,$L$6:L29,L29))</x:f>
        <x:v>17</x:v>
      </x:c>
      <x:c r="V29" s="583" t="n">
        <x:f>IF(P29="","",COUNTIFS($A$6:$A$172,A29,$P$6:$P$172,"&gt;"&amp;P29)+COUNTIFS($A$6:A29,A29,$P$6:P29,P29))</x:f>
        <x:v>5</x:v>
      </x:c>
      <x:c r="W29" s="583" t="n">
        <x:f>IF(Q29="","",COUNTIFS($A$6:$A$172,A29,$Q$6:$Q$172,"&gt;"&amp;Q29)+COUNTIFS($A$6:A29,A29,$Q$6:Q29,Q29))</x:f>
        <x:v>4</x:v>
      </x:c>
      <x:c r="X29" s="583" t="n">
        <x:f>IF(R29="","",COUNTIFS($A$6:$A$172,A29,$R$6:$R$172,"&gt;"&amp;R29)+COUNTIFS($A$6:A29,A29,$R$6:R29,R29))</x:f>
        <x:v>4</x:v>
      </x:c>
      <x:c r="Y29" s="571" t="str">
        <x:f>IF(V29="","",A29&amp;"|"&amp;V29)</x:f>
        <x:v>K60|5</x:v>
      </x:c>
      <x:c r="Z29" s="571" t="str">
        <x:f>IF(W29="","",A29&amp;"|"&amp;W29)</x:f>
        <x:v>K60|4</x:v>
      </x:c>
      <x:c r="AA29" s="571" t="str">
        <x:f>IF(X29="","",A29&amp;"|"&amp;X29)</x:f>
        <x:v>K60|4</x:v>
      </x:c>
      <x:c r="AB29" s="571" t="str">
        <x:f>IF(A29="","",IF(I29=0,"Offense neutral — no recorded offensive skills",IF(I29&lt;1,"Partial lookup — adjustment scaled",IF(AND(M29="Yes",AC29=0),"Offense adjusted; Guard neutral","Captured"))))</x:f>
        <x:v>Captured</x:v>
      </x:c>
      <x:c r="AC29" s="579" t="n">
        <x:f>IF(SUMIFS('Specialisation Impact'!$M$19:$M$186,'Specialisation Impact'!$A$19:$A$186,A29,'Specialisation Impact'!$B$19:$B$186,B29)=0,0,SUMIFS('Specialisation Impact'!$F$19:$F$186,'Specialisation Impact'!$A$19:$A$186,A29,'Specialisation Impact'!$B$19:$B$186,B29))</x:f>
        <x:v>1</x:v>
      </x:c>
    </x:row>
    <x:row r="30">
      <x:c r="A30" s="572" t="str">
        <x:v>K60</x:v>
      </x:c>
      <x:c r="B30" s="572" t="str">
        <x:v>°Silent°</x:v>
      </x:c>
      <x:c r="C30" s="576" t="n">
        <x:f>IF($A30="","",AVERAGE(100*((COUNTIF('All Stats'!$D$6:$D$172,"&lt;"&amp;'All Stats'!D30)+(COUNTIF('All Stats'!$D$6:$D$172,'All Stats'!D30)-1)/2)/(COUNT('All Stats'!$D$6:$D$172)-1))^'Specialisation Scenarios'!$X$10,100*((COUNTIF('All Stats'!$G$6:$G$172,"&lt;"&amp;'All Stats'!G30)+(COUNTIF('All Stats'!$G$6:$G$172,'All Stats'!G30)-1)/2)/(COUNT('All Stats'!$G$6:$G$172)-1))^'Specialisation Scenarios'!$X$10,100*((COUNTIF('All Stats'!$I$6:$I$172,"&lt;"&amp;'All Stats'!I30)+(COUNTIF('All Stats'!$I$6:$I$172,'All Stats'!I30)-1)/2)/(COUNT('All Stats'!$I$6:$I$172)-1))^'Specialisation Scenarios'!$X$10))</x:f>
        <x:v>75.85907348922876</x:v>
      </x:c>
      <x:c r="D30" s="576" t="n">
        <x:f>IF($A30="","",AVERAGE(100*((COUNTIF('All Stats'!$R$6:$R$172,"&lt;"&amp;'All Stats'!R30)+(COUNTIF('All Stats'!$R$6:$R$172,'All Stats'!R30)-1)/2)/(COUNT('All Stats'!$R$6:$R$172)-1))^'Specialisation Scenarios'!$X$10,100*((COUNTIF('All Stats'!$U$6:$U$172,"&lt;"&amp;'All Stats'!U30)+(COUNTIF('All Stats'!$U$6:$U$172,'All Stats'!U30)-1)/2)/(COUNT('All Stats'!$U$6:$U$172)-1))^'Specialisation Scenarios'!$X$10,100*((COUNTIF('All Stats'!$W$6:$W$172,"&lt;"&amp;'All Stats'!W30)+(COUNTIF('All Stats'!$W$6:$W$172,'All Stats'!W30)-1)/2)/(COUNT('All Stats'!$W$6:$W$172)-1))^'Specialisation Scenarios'!$X$10))</x:f>
        <x:v>63.89451110075938</x:v>
      </x:c>
      <x:c r="E30" s="576" t="n">
        <x:f>IF($A30="","",AVERAGE(100*((COUNTIF('All Stats'!$Y$6:$Y$172,"&lt;"&amp;'All Stats'!Y30)+(COUNTIF('All Stats'!$Y$6:$Y$172,'All Stats'!Y30)-1)/2)/(COUNT('All Stats'!$Y$6:$Y$172)-1))^'Specialisation Scenarios'!$X$10,100*((COUNTIF('All Stats'!$AB$6:$AB$172,"&lt;"&amp;'All Stats'!AB30)+(COUNTIF('All Stats'!$AB$6:$AB$172,'All Stats'!AB30)-1)/2)/(COUNT('All Stats'!$AB$6:$AB$172)-1))^'Specialisation Scenarios'!$X$10,100*((COUNTIF('All Stats'!$AD$6:$AD$172,"&lt;"&amp;'All Stats'!AD30)+(COUNTIF('All Stats'!$AD$6:$AD$172,'All Stats'!AD30)-1)/2)/(COUNT('All Stats'!$AD$6:$AD$172)-1))^'Specialisation Scenarios'!$X$10))</x:f>
        <x:v>79.52032598889303</x:v>
      </x:c>
      <x:c r="F30" s="576" t="n">
        <x:f>IF($A30="","",AVERAGE(100*((COUNTIF('All Stats'!$AF$6:$AF$172,"&lt;"&amp;'All Stats'!AF30)+(COUNTIF('All Stats'!$AF$6:$AF$172,'All Stats'!AF30)-1)/2)/(COUNT('All Stats'!$AF$6:$AF$172)-1))^'Specialisation Scenarios'!$X$10,100*((COUNTIF('All Stats'!$AI$6:$AI$172,"&lt;"&amp;'All Stats'!AI30)+(COUNTIF('All Stats'!$AI$6:$AI$172,'All Stats'!AI30)-1)/2)/(COUNT('All Stats'!$AI$6:$AI$172)-1))^'Specialisation Scenarios'!$X$10,100*((COUNTIF('All Stats'!$AK$6:$AK$172,"&lt;"&amp;'All Stats'!AK30)+(COUNTIF('All Stats'!$AK$6:$AK$172,'All Stats'!AK30)-1)/2)/(COUNT('All Stats'!$AK$6:$AK$172)-1))^'Specialisation Scenarios'!$X$10))</x:f>
        <x:v>83.92120047980582</x:v>
      </x:c>
      <x:c r="G30" s="576" t="n">
        <x:f>IF($A30="","",C30*'Specialisation Scenarios'!$X$11+D30*'Specialisation Scenarios'!$X$12+E30*'Specialisation Scenarios'!$X$13+F30*'Specialisation Scenarios'!$X$14)</x:f>
        <x:v>70.25578035470011</x:v>
      </x:c>
      <x:c r="H30" s="576" t="n">
        <x:f>IF(SUMIFS('Specialisation Impact'!$E$19:$E$186,'Specialisation Impact'!$A$19:$A$186,A30,'Specialisation Impact'!$B$19:$B$186,B30)=0,"",SUMIFS('Specialisation Impact'!$S$19:$S$186,'Specialisation Impact'!$A$19:$A$186,A30,'Specialisation Impact'!$B$19:$B$186,B30))</x:f>
        <x:v>95.71428571428571</x:v>
      </x:c>
      <x:c r="I30" s="580" t="n">
        <x:f>IF(SUMIFS('Specialisation Impact'!$E$19:$E$186,'Specialisation Impact'!$A$19:$A$186,A30,'Specialisation Impact'!$B$19:$B$186,B30)=0,0,SUMIFS('Specialisation Impact'!$F$19:$F$186,'Specialisation Impact'!$A$19:$A$186,A30,'Specialisation Impact'!$B$19:$B$186,B30))</x:f>
        <x:v>1</x:v>
      </x:c>
      <x:c r="J30" s="576" t="n">
        <x:f>G30</x:f>
        <x:v>70.25578035470011</x:v>
      </x:c>
      <x:c r="K30" s="576" t="n">
        <x:f>IF(G30="","",IF(I30=0,G30,MAX(0,MIN(100,G30*(1-'Specialisation Scenarios'!$B$8*I30)+H30*('Specialisation Scenarios'!$B$8*I30)))))</x:f>
        <x:v>76.62040669459651</x:v>
      </x:c>
      <x:c r="L30" s="576" t="n">
        <x:f>IF(G30="","",IF(I30=0,G30,MAX(0,MIN(100,G30*(1-'Specialisation Scenarios'!$B$9*I30)+H30*('Specialisation Scenarios'!$B$9*I30)))))</x:f>
        <x:v>79.16625723055506</x:v>
      </x:c>
      <x:c r="M30" s="576" t="str">
        <x:f>IF(COUNTIFS('Tank &amp; Control'!$A$23:$A$189,A30,'Tank &amp; Control'!$B$23:$B$189,B30,'Tank &amp; Control'!$C$23:$C$189,"Yes")&gt;0,"Yes","No")</x:f>
        <x:v>Yes</x:v>
      </x:c>
      <x:c r="N30" s="576" t="n">
        <x:f>IF(M30&lt;&gt;"Yes","",SUMIFS('Tank &amp; Control'!$L$23:$L$189,'Tank &amp; Control'!$A$23:$A$189,A30,'Tank &amp; Control'!$B$23:$B$189,B30))</x:f>
        <x:v>25.875954872259577</x:v>
      </x:c>
      <x:c r="O30" s="576" t="str">
        <x:f>IF(SUMIFS('Specialisation Impact'!$M$19:$M$186,'Specialisation Impact'!$A$19:$A$186,A30,'Specialisation Impact'!$B$19:$B$186,B30)=0,"",SUMIFS('Specialisation Impact'!$V$19:$V$186,'Specialisation Impact'!$A$19:$A$186,A30,'Specialisation Impact'!$B$19:$B$186,B30))</x:f>
      </x:c>
      <x:c r="P30" s="576" t="n">
        <x:f>IF(N30="","",N30)</x:f>
        <x:v>25.875954872259577</x:v>
      </x:c>
      <x:c r="Q30" s="576" t="n">
        <x:f>IF(N30="","",IF(AC30=0,N30,MAX(0,MIN(100,N30*(1-'Specialisation Scenarios'!$B$8*AC30)+O30*('Specialisation Scenarios'!$B$8*AC30)))))</x:f>
        <x:v>25.875954872259577</x:v>
      </x:c>
      <x:c r="R30" s="576" t="n">
        <x:f>IF(N30="","",IF(AC30=0,N30,MAX(0,MIN(100,N30*(1-'Specialisation Scenarios'!$B$9*AC30)+O30*('Specialisation Scenarios'!$B$9*AC30)))))</x:f>
        <x:v>25.875954872259577</x:v>
      </x:c>
      <x:c r="S30" s="584" t="n">
        <x:f>IF(J30="","",COUNTIFS($A$6:$A$172,A30,$J$6:$J$172,"&gt;"&amp;J30)+COUNTIFS($A$6:A30,A30,$J$6:J30,J30))</x:f>
        <x:v>3</x:v>
      </x:c>
      <x:c r="T30" s="584" t="n">
        <x:f>IF(K30="","",COUNTIFS($A$6:$A$172,A30,$K$6:$K$172,"&gt;"&amp;K30)+COUNTIFS($A$6:A30,A30,$K$6:K30,K30))</x:f>
        <x:v>3</x:v>
      </x:c>
      <x:c r="U30" s="584" t="n">
        <x:f>IF(L30="","",COUNTIFS($A$6:$A$172,A30,$L$6:$L$172,"&gt;"&amp;L30)+COUNTIFS($A$6:A30,A30,$L$6:L30,L30))</x:f>
        <x:v>2</x:v>
      </x:c>
      <x:c r="V30" s="584" t="n">
        <x:f>IF(P30="","",COUNTIFS($A$6:$A$172,A30,$P$6:$P$172,"&gt;"&amp;P30)+COUNTIFS($A$6:A30,A30,$P$6:P30,P30))</x:f>
        <x:v>3</x:v>
      </x:c>
      <x:c r="W30" s="584" t="n">
        <x:f>IF(Q30="","",COUNTIFS($A$6:$A$172,A30,$Q$6:$Q$172,"&gt;"&amp;Q30)+COUNTIFS($A$6:A30,A30,$Q$6:Q30,Q30))</x:f>
        <x:v>3</x:v>
      </x:c>
      <x:c r="X30" s="584" t="n">
        <x:f>IF(R30="","",COUNTIFS($A$6:$A$172,A30,$R$6:$R$172,"&gt;"&amp;R30)+COUNTIFS($A$6:A30,A30,$R$6:R30,R30))</x:f>
        <x:v>3</x:v>
      </x:c>
      <x:c r="Y30" s="572" t="str">
        <x:f>IF(V30="","",A30&amp;"|"&amp;V30)</x:f>
        <x:v>K60|3</x:v>
      </x:c>
      <x:c r="Z30" s="572" t="str">
        <x:f>IF(W30="","",A30&amp;"|"&amp;W30)</x:f>
        <x:v>K60|3</x:v>
      </x:c>
      <x:c r="AA30" s="572" t="str">
        <x:f>IF(X30="","",A30&amp;"|"&amp;X30)</x:f>
        <x:v>K60|3</x:v>
      </x:c>
      <x:c r="AB30" s="572" t="str">
        <x:f>IF(A30="","",IF(I30=0,"Offense neutral — no recorded offensive skills",IF(I30&lt;1,"Partial lookup — adjustment scaled",IF(AND(M30="Yes",AC30=0),"Offense adjusted; Guard neutral","Captured"))))</x:f>
        <x:v>Offense adjusted; Guard neutral</x:v>
      </x:c>
      <x:c r="AC30" s="580" t="n">
        <x:f>IF(SUMIFS('Specialisation Impact'!$M$19:$M$186,'Specialisation Impact'!$A$19:$A$186,A30,'Specialisation Impact'!$B$19:$B$186,B30)=0,0,SUMIFS('Specialisation Impact'!$F$19:$F$186,'Specialisation Impact'!$A$19:$A$186,A30,'Specialisation Impact'!$B$19:$B$186,B30))</x:f>
        <x:v>0</x:v>
      </x:c>
    </x:row>
    <x:row r="31">
      <x:c r="A31" s="571" t="str">
        <x:v>K91</x:v>
      </x:c>
      <x:c r="B31" s="571" t="str">
        <x:v>•Pain•</x:v>
      </x:c>
      <x:c r="C31" s="575" t="n">
        <x:f>IF($A31="","",AVERAGE(100*((COUNTIF('All Stats'!$D$6:$D$172,"&lt;"&amp;'All Stats'!D31)+(COUNTIF('All Stats'!$D$6:$D$172,'All Stats'!D31)-1)/2)/(COUNT('All Stats'!$D$6:$D$172)-1))^'Specialisation Scenarios'!$X$10,100*((COUNTIF('All Stats'!$G$6:$G$172,"&lt;"&amp;'All Stats'!G31)+(COUNTIF('All Stats'!$G$6:$G$172,'All Stats'!G31)-1)/2)/(COUNT('All Stats'!$G$6:$G$172)-1))^'Specialisation Scenarios'!$X$10,100*((COUNTIF('All Stats'!$I$6:$I$172,"&lt;"&amp;'All Stats'!I31)+(COUNTIF('All Stats'!$I$6:$I$172,'All Stats'!I31)-1)/2)/(COUNT('All Stats'!$I$6:$I$172)-1))^'Specialisation Scenarios'!$X$10))</x:f>
        <x:v>79.18117422637987</x:v>
      </x:c>
      <x:c r="D31" s="575" t="n">
        <x:f>IF($A31="","",AVERAGE(100*((COUNTIF('All Stats'!$R$6:$R$172,"&lt;"&amp;'All Stats'!R31)+(COUNTIF('All Stats'!$R$6:$R$172,'All Stats'!R31)-1)/2)/(COUNT('All Stats'!$R$6:$R$172)-1))^'Specialisation Scenarios'!$X$10,100*((COUNTIF('All Stats'!$U$6:$U$172,"&lt;"&amp;'All Stats'!U31)+(COUNTIF('All Stats'!$U$6:$U$172,'All Stats'!U31)-1)/2)/(COUNT('All Stats'!$U$6:$U$172)-1))^'Specialisation Scenarios'!$X$10,100*((COUNTIF('All Stats'!$W$6:$W$172,"&lt;"&amp;'All Stats'!W31)+(COUNTIF('All Stats'!$W$6:$W$172,'All Stats'!W31)-1)/2)/(COUNT('All Stats'!$W$6:$W$172)-1))^'Specialisation Scenarios'!$X$10))</x:f>
        <x:v>97.21262404907303</x:v>
      </x:c>
      <x:c r="E31" s="575" t="n">
        <x:f>IF($A31="","",AVERAGE(100*((COUNTIF('All Stats'!$Y$6:$Y$172,"&lt;"&amp;'All Stats'!Y31)+(COUNTIF('All Stats'!$Y$6:$Y$172,'All Stats'!Y31)-1)/2)/(COUNT('All Stats'!$Y$6:$Y$172)-1))^'Specialisation Scenarios'!$X$10,100*((COUNTIF('All Stats'!$AB$6:$AB$172,"&lt;"&amp;'All Stats'!AB31)+(COUNTIF('All Stats'!$AB$6:$AB$172,'All Stats'!AB31)-1)/2)/(COUNT('All Stats'!$AB$6:$AB$172)-1))^'Specialisation Scenarios'!$X$10,100*((COUNTIF('All Stats'!$AD$6:$AD$172,"&lt;"&amp;'All Stats'!AD31)+(COUNTIF('All Stats'!$AD$6:$AD$172,'All Stats'!AD31)-1)/2)/(COUNT('All Stats'!$AD$6:$AD$172)-1))^'Specialisation Scenarios'!$X$10))</x:f>
        <x:v>74.31017712795996</x:v>
      </x:c>
      <x:c r="F31" s="575" t="n">
        <x:f>IF($A31="","",AVERAGE(100*((COUNTIF('All Stats'!$AF$6:$AF$172,"&lt;"&amp;'All Stats'!AF31)+(COUNTIF('All Stats'!$AF$6:$AF$172,'All Stats'!AF31)-1)/2)/(COUNT('All Stats'!$AF$6:$AF$172)-1))^'Specialisation Scenarios'!$X$10,100*((COUNTIF('All Stats'!$AI$6:$AI$172,"&lt;"&amp;'All Stats'!AI31)+(COUNTIF('All Stats'!$AI$6:$AI$172,'All Stats'!AI31)-1)/2)/(COUNT('All Stats'!$AI$6:$AI$172)-1))^'Specialisation Scenarios'!$X$10,100*((COUNTIF('All Stats'!$AK$6:$AK$172,"&lt;"&amp;'All Stats'!AK31)+(COUNTIF('All Stats'!$AK$6:$AK$172,'All Stats'!AK31)-1)/2)/(COUNT('All Stats'!$AK$6:$AK$172)-1))^'Specialisation Scenarios'!$X$10))</x:f>
        <x:v>92.09847760645927</x:v>
      </x:c>
      <x:c r="G31" s="575" t="n">
        <x:f>IF($A31="","",C31*'Specialisation Scenarios'!$X$11+D31*'Specialisation Scenarios'!$X$12+E31*'Specialisation Scenarios'!$X$13+F31*'Specialisation Scenarios'!$X$14)</x:f>
        <x:v>91.45053991716567</x:v>
      </x:c>
      <x:c r="H31" s="575" t="n">
        <x:f>IF(SUMIFS('Specialisation Impact'!$E$19:$E$186,'Specialisation Impact'!$A$19:$A$186,A31,'Specialisation Impact'!$B$19:$B$186,B31)=0,"",SUMIFS('Specialisation Impact'!$S$19:$S$186,'Specialisation Impact'!$A$19:$A$186,A31,'Specialisation Impact'!$B$19:$B$186,B31))</x:f>
        <x:v>95.32467532467531</x:v>
      </x:c>
      <x:c r="I31" s="579" t="n">
        <x:f>IF(SUMIFS('Specialisation Impact'!$E$19:$E$186,'Specialisation Impact'!$A$19:$A$186,A31,'Specialisation Impact'!$B$19:$B$186,B31)=0,0,SUMIFS('Specialisation Impact'!$F$19:$F$186,'Specialisation Impact'!$A$19:$A$186,A31,'Specialisation Impact'!$B$19:$B$186,B31))</x:f>
        <x:v>1</x:v>
      </x:c>
      <x:c r="J31" s="575" t="n">
        <x:f>G31</x:f>
        <x:v>91.45053991716567</x:v>
      </x:c>
      <x:c r="K31" s="575" t="n">
        <x:f>IF(G31="","",IF(I31=0,G31,MAX(0,MIN(100,G31*(1-'Specialisation Scenarios'!$B$8*I31)+H31*('Specialisation Scenarios'!$B$8*I31)))))</x:f>
        <x:v>92.41907376904308</x:v>
      </x:c>
      <x:c r="L31" s="575" t="n">
        <x:f>IF(G31="","",IF(I31=0,G31,MAX(0,MIN(100,G31*(1-'Specialisation Scenarios'!$B$9*I31)+H31*('Specialisation Scenarios'!$B$9*I31)))))</x:f>
        <x:v>92.80648730979405</x:v>
      </x:c>
      <x:c r="M31" s="575" t="str">
        <x:f>IF(COUNTIFS('Tank &amp; Control'!$A$23:$A$189,A31,'Tank &amp; Control'!$B$23:$B$189,B31,'Tank &amp; Control'!$C$23:$C$189,"Yes")&gt;0,"Yes","No")</x:f>
        <x:v>Yes</x:v>
      </x:c>
      <x:c r="N31" s="575" t="n">
        <x:f>IF(M31&lt;&gt;"Yes","",SUMIFS('Tank &amp; Control'!$L$23:$L$189,'Tank &amp; Control'!$A$23:$A$189,A31,'Tank &amp; Control'!$B$23:$B$189,B31))</x:f>
        <x:v>83.9303893784542</x:v>
      </x:c>
      <x:c r="O31" s="575" t="str">
        <x:f>IF(SUMIFS('Specialisation Impact'!$M$19:$M$186,'Specialisation Impact'!$A$19:$A$186,A31,'Specialisation Impact'!$B$19:$B$186,B31)=0,"",SUMIFS('Specialisation Impact'!$V$19:$V$186,'Specialisation Impact'!$A$19:$A$186,A31,'Specialisation Impact'!$B$19:$B$186,B31))</x:f>
      </x:c>
      <x:c r="P31" s="575" t="n">
        <x:f>IF(N31="","",N31)</x:f>
        <x:v>83.9303893784542</x:v>
      </x:c>
      <x:c r="Q31" s="575" t="n">
        <x:f>IF(N31="","",IF(AC31=0,N31,MAX(0,MIN(100,N31*(1-'Specialisation Scenarios'!$B$8*AC31)+O31*('Specialisation Scenarios'!$B$8*AC31)))))</x:f>
        <x:v>83.9303893784542</x:v>
      </x:c>
      <x:c r="R31" s="575" t="n">
        <x:f>IF(N31="","",IF(AC31=0,N31,MAX(0,MIN(100,N31*(1-'Specialisation Scenarios'!$B$9*AC31)+O31*('Specialisation Scenarios'!$B$9*AC31)))))</x:f>
        <x:v>83.9303893784542</x:v>
      </x:c>
      <x:c r="S31" s="583" t="n">
        <x:f>IF(J31="","",COUNTIFS($A$6:$A$172,A31,$J$6:$J$172,"&gt;"&amp;J31)+COUNTIFS($A$6:A31,A31,$J$6:J31,J31))</x:f>
        <x:v>1</x:v>
      </x:c>
      <x:c r="T31" s="583" t="n">
        <x:f>IF(K31="","",COUNTIFS($A$6:$A$172,A31,$K$6:$K$172,"&gt;"&amp;K31)+COUNTIFS($A$6:A31,A31,$K$6:K31,K31))</x:f>
        <x:v>1</x:v>
      </x:c>
      <x:c r="U31" s="583" t="n">
        <x:f>IF(L31="","",COUNTIFS($A$6:$A$172,A31,$L$6:$L$172,"&gt;"&amp;L31)+COUNTIFS($A$6:A31,A31,$L$6:L31,L31))</x:f>
        <x:v>1</x:v>
      </x:c>
      <x:c r="V31" s="583" t="n">
        <x:f>IF(P31="","",COUNTIFS($A$6:$A$172,A31,$P$6:$P$172,"&gt;"&amp;P31)+COUNTIFS($A$6:A31,A31,$P$6:P31,P31))</x:f>
        <x:v>1</x:v>
      </x:c>
      <x:c r="W31" s="583" t="n">
        <x:f>IF(Q31="","",COUNTIFS($A$6:$A$172,A31,$Q$6:$Q$172,"&gt;"&amp;Q31)+COUNTIFS($A$6:A31,A31,$Q$6:Q31,Q31))</x:f>
        <x:v>1</x:v>
      </x:c>
      <x:c r="X31" s="583" t="n">
        <x:f>IF(R31="","",COUNTIFS($A$6:$A$172,A31,$R$6:$R$172,"&gt;"&amp;R31)+COUNTIFS($A$6:A31,A31,$R$6:R31,R31))</x:f>
        <x:v>1</x:v>
      </x:c>
      <x:c r="Y31" s="571" t="str">
        <x:f>IF(V31="","",A31&amp;"|"&amp;V31)</x:f>
        <x:v>K91|1</x:v>
      </x:c>
      <x:c r="Z31" s="571" t="str">
        <x:f>IF(W31="","",A31&amp;"|"&amp;W31)</x:f>
        <x:v>K91|1</x:v>
      </x:c>
      <x:c r="AA31" s="571" t="str">
        <x:f>IF(X31="","",A31&amp;"|"&amp;X31)</x:f>
        <x:v>K91|1</x:v>
      </x:c>
      <x:c r="AB31" s="571" t="str">
        <x:f>IF(A31="","",IF(I31=0,"Offense neutral — no recorded offensive skills",IF(I31&lt;1,"Partial lookup — adjustment scaled",IF(AND(M31="Yes",AC31=0),"Offense adjusted; Guard neutral","Captured"))))</x:f>
        <x:v>Offense adjusted; Guard neutral</x:v>
      </x:c>
      <x:c r="AC31" s="579" t="n">
        <x:f>IF(SUMIFS('Specialisation Impact'!$M$19:$M$186,'Specialisation Impact'!$A$19:$A$186,A31,'Specialisation Impact'!$B$19:$B$186,B31)=0,0,SUMIFS('Specialisation Impact'!$F$19:$F$186,'Specialisation Impact'!$A$19:$A$186,A31,'Specialisation Impact'!$B$19:$B$186,B31))</x:f>
        <x:v>0</x:v>
      </x:c>
    </x:row>
    <x:row r="32">
      <x:c r="A32" s="572" t="str">
        <x:v>K91</x:v>
      </x:c>
      <x:c r="B32" s="572" t="str">
        <x:v>Trinità</x:v>
      </x:c>
      <x:c r="C32" s="576" t="n">
        <x:f>IF($A32="","",AVERAGE(100*((COUNTIF('All Stats'!$D$6:$D$172,"&lt;"&amp;'All Stats'!D32)+(COUNTIF('All Stats'!$D$6:$D$172,'All Stats'!D32)-1)/2)/(COUNT('All Stats'!$D$6:$D$172)-1))^'Specialisation Scenarios'!$X$10,100*((COUNTIF('All Stats'!$G$6:$G$172,"&lt;"&amp;'All Stats'!G32)+(COUNTIF('All Stats'!$G$6:$G$172,'All Stats'!G32)-1)/2)/(COUNT('All Stats'!$G$6:$G$172)-1))^'Specialisation Scenarios'!$X$10,100*((COUNTIF('All Stats'!$I$6:$I$172,"&lt;"&amp;'All Stats'!I32)+(COUNTIF('All Stats'!$I$6:$I$172,'All Stats'!I32)-1)/2)/(COUNT('All Stats'!$I$6:$I$172)-1))^'Specialisation Scenarios'!$X$10))</x:f>
        <x:v>16.76210395655395</x:v>
      </x:c>
      <x:c r="D32" s="576" t="n">
        <x:f>IF($A32="","",AVERAGE(100*((COUNTIF('All Stats'!$R$6:$R$172,"&lt;"&amp;'All Stats'!R32)+(COUNTIF('All Stats'!$R$6:$R$172,'All Stats'!R32)-1)/2)/(COUNT('All Stats'!$R$6:$R$172)-1))^'Specialisation Scenarios'!$X$10,100*((COUNTIF('All Stats'!$U$6:$U$172,"&lt;"&amp;'All Stats'!U32)+(COUNTIF('All Stats'!$U$6:$U$172,'All Stats'!U32)-1)/2)/(COUNT('All Stats'!$U$6:$U$172)-1))^'Specialisation Scenarios'!$X$10,100*((COUNTIF('All Stats'!$W$6:$W$172,"&lt;"&amp;'All Stats'!W32)+(COUNTIF('All Stats'!$W$6:$W$172,'All Stats'!W32)-1)/2)/(COUNT('All Stats'!$W$6:$W$172)-1))^'Specialisation Scenarios'!$X$10))</x:f>
        <x:v>21.31701105839396</x:v>
      </x:c>
      <x:c r="E32" s="576" t="n">
        <x:f>IF($A32="","",AVERAGE(100*((COUNTIF('All Stats'!$Y$6:$Y$172,"&lt;"&amp;'All Stats'!Y32)+(COUNTIF('All Stats'!$Y$6:$Y$172,'All Stats'!Y32)-1)/2)/(COUNT('All Stats'!$Y$6:$Y$172)-1))^'Specialisation Scenarios'!$X$10,100*((COUNTIF('All Stats'!$AB$6:$AB$172,"&lt;"&amp;'All Stats'!AB32)+(COUNTIF('All Stats'!$AB$6:$AB$172,'All Stats'!AB32)-1)/2)/(COUNT('All Stats'!$AB$6:$AB$172)-1))^'Specialisation Scenarios'!$X$10,100*((COUNTIF('All Stats'!$AD$6:$AD$172,"&lt;"&amp;'All Stats'!AD32)+(COUNTIF('All Stats'!$AD$6:$AD$172,'All Stats'!AD32)-1)/2)/(COUNT('All Stats'!$AD$6:$AD$172)-1))^'Specialisation Scenarios'!$X$10))</x:f>
        <x:v>24.914577134802</x:v>
      </x:c>
      <x:c r="F32" s="576" t="n">
        <x:f>IF($A32="","",AVERAGE(100*((COUNTIF('All Stats'!$AF$6:$AF$172,"&lt;"&amp;'All Stats'!AF32)+(COUNTIF('All Stats'!$AF$6:$AF$172,'All Stats'!AF32)-1)/2)/(COUNT('All Stats'!$AF$6:$AF$172)-1))^'Specialisation Scenarios'!$X$10,100*((COUNTIF('All Stats'!$AI$6:$AI$172,"&lt;"&amp;'All Stats'!AI32)+(COUNTIF('All Stats'!$AI$6:$AI$172,'All Stats'!AI32)-1)/2)/(COUNT('All Stats'!$AI$6:$AI$172)-1))^'Specialisation Scenarios'!$X$10,100*((COUNTIF('All Stats'!$AK$6:$AK$172,"&lt;"&amp;'All Stats'!AK32)+(COUNTIF('All Stats'!$AK$6:$AK$172,'All Stats'!AK32)-1)/2)/(COUNT('All Stats'!$AK$6:$AK$172)-1))^'Specialisation Scenarios'!$X$10))</x:f>
        <x:v>27.808407469038702</x:v>
      </x:c>
      <x:c r="G32" s="576" t="n">
        <x:f>IF($A32="","",C32*'Specialisation Scenarios'!$X$11+D32*'Specialisation Scenarios'!$X$12+E32*'Specialisation Scenarios'!$X$13+F32*'Specialisation Scenarios'!$X$14)</x:f>
        <x:v>21.967241062355473</x:v>
      </x:c>
      <x:c r="H32" s="576" t="n">
        <x:f>IF(SUMIFS('Specialisation Impact'!$E$19:$E$186,'Specialisation Impact'!$A$19:$A$186,A32,'Specialisation Impact'!$B$19:$B$186,B32)=0,"",SUMIFS('Specialisation Impact'!$S$19:$S$186,'Specialisation Impact'!$A$19:$A$186,A32,'Specialisation Impact'!$B$19:$B$186,B32))</x:f>
        <x:v>28.181818181818183</x:v>
      </x:c>
      <x:c r="I32" s="580" t="n">
        <x:f>IF(SUMIFS('Specialisation Impact'!$E$19:$E$186,'Specialisation Impact'!$A$19:$A$186,A32,'Specialisation Impact'!$B$19:$B$186,B32)=0,0,SUMIFS('Specialisation Impact'!$F$19:$F$186,'Specialisation Impact'!$A$19:$A$186,A32,'Specialisation Impact'!$B$19:$B$186,B32))</x:f>
        <x:v>1</x:v>
      </x:c>
      <x:c r="J32" s="576" t="n">
        <x:f>G32</x:f>
        <x:v>21.967241062355473</x:v>
      </x:c>
      <x:c r="K32" s="576" t="n">
        <x:f>IF(G32="","",IF(I32=0,G32,MAX(0,MIN(100,G32*(1-'Specialisation Scenarios'!$B$8*I32)+H32*('Specialisation Scenarios'!$B$8*I32)))))</x:f>
        <x:v>23.520885342221153</x:v>
      </x:c>
      <x:c r="L32" s="576" t="n">
        <x:f>IF(G32="","",IF(I32=0,G32,MAX(0,MIN(100,G32*(1-'Specialisation Scenarios'!$B$9*I32)+H32*('Specialisation Scenarios'!$B$9*I32)))))</x:f>
        <x:v>24.14234305416742</x:v>
      </x:c>
      <x:c r="M32" s="576" t="str">
        <x:f>IF(COUNTIFS('Tank &amp; Control'!$A$23:$A$189,A32,'Tank &amp; Control'!$B$23:$B$189,B32,'Tank &amp; Control'!$C$23:$C$189,"Yes")&gt;0,"Yes","No")</x:f>
        <x:v>No</x:v>
      </x:c>
      <x:c r="N32" s="576" t="str">
        <x:f>IF(M32&lt;&gt;"Yes","",SUMIFS('Tank &amp; Control'!$L$23:$L$189,'Tank &amp; Control'!$A$23:$A$189,A32,'Tank &amp; Control'!$B$23:$B$189,B32))</x:f>
      </x:c>
      <x:c r="O32" s="576" t="n">
        <x:f>IF(SUMIFS('Specialisation Impact'!$M$19:$M$186,'Specialisation Impact'!$A$19:$A$186,A32,'Specialisation Impact'!$B$19:$B$186,B32)=0,"",SUMIFS('Specialisation Impact'!$V$19:$V$186,'Specialisation Impact'!$A$19:$A$186,A32,'Specialisation Impact'!$B$19:$B$186,B32))</x:f>
        <x:v>12.820512820512821</x:v>
      </x:c>
      <x:c r="P32" s="576" t="str">
        <x:f>IF(N32="","",N32)</x:f>
      </x:c>
      <x:c r="Q32" s="576" t="str">
        <x:f>IF(N32="","",IF(AC32=0,N32,MAX(0,MIN(100,N32*(1-'Specialisation Scenarios'!$B$8*AC32)+O32*('Specialisation Scenarios'!$B$8*AC32)))))</x:f>
      </x:c>
      <x:c r="R32" s="576" t="str">
        <x:f>IF(N32="","",IF(AC32=0,N32,MAX(0,MIN(100,N32*(1-'Specialisation Scenarios'!$B$9*AC32)+O32*('Specialisation Scenarios'!$B$9*AC32)))))</x:f>
      </x:c>
      <x:c r="S32" s="584" t="n">
        <x:f>IF(J32="","",COUNTIFS($A$6:$A$172,A32,$J$6:$J$172,"&gt;"&amp;J32)+COUNTIFS($A$6:A32,A32,$J$6:J32,J32))</x:f>
        <x:v>6</x:v>
      </x:c>
      <x:c r="T32" s="584" t="n">
        <x:f>IF(K32="","",COUNTIFS($A$6:$A$172,A32,$K$6:$K$172,"&gt;"&amp;K32)+COUNTIFS($A$6:A32,A32,$K$6:K32,K32))</x:f>
        <x:v>9</x:v>
      </x:c>
      <x:c r="U32" s="584" t="n">
        <x:f>IF(L32="","",COUNTIFS($A$6:$A$172,A32,$L$6:$L$172,"&gt;"&amp;L32)+COUNTIFS($A$6:A32,A32,$L$6:L32,L32))</x:f>
        <x:v>12</x:v>
      </x:c>
      <x:c r="V32" s="584" t="str">
        <x:f>IF(P32="","",COUNTIFS($A$6:$A$172,A32,$P$6:$P$172,"&gt;"&amp;P32)+COUNTIFS($A$6:A32,A32,$P$6:P32,P32))</x:f>
      </x:c>
      <x:c r="W32" s="584" t="str">
        <x:f>IF(Q32="","",COUNTIFS($A$6:$A$172,A32,$Q$6:$Q$172,"&gt;"&amp;Q32)+COUNTIFS($A$6:A32,A32,$Q$6:Q32,Q32))</x:f>
      </x:c>
      <x:c r="X32" s="584" t="str">
        <x:f>IF(R32="","",COUNTIFS($A$6:$A$172,A32,$R$6:$R$172,"&gt;"&amp;R32)+COUNTIFS($A$6:A32,A32,$R$6:R32,R32))</x:f>
      </x:c>
      <x:c r="Y32" s="572" t="str">
        <x:f>IF(V32="","",A32&amp;"|"&amp;V32)</x:f>
      </x:c>
      <x:c r="Z32" s="572" t="str">
        <x:f>IF(W32="","",A32&amp;"|"&amp;W32)</x:f>
      </x:c>
      <x:c r="AA32" s="572" t="str">
        <x:f>IF(X32="","",A32&amp;"|"&amp;X32)</x:f>
      </x:c>
      <x:c r="AB32" s="572" t="str">
        <x:f>IF(A32="","",IF(I32=0,"Offense neutral — no recorded offensive skills",IF(I32&lt;1,"Partial lookup — adjustment scaled",IF(AND(M32="Yes",AC32=0),"Offense adjusted; Guard neutral","Captured"))))</x:f>
        <x:v>Captured</x:v>
      </x:c>
      <x:c r="AC32" s="580" t="n">
        <x:f>IF(SUMIFS('Specialisation Impact'!$M$19:$M$186,'Specialisation Impact'!$A$19:$A$186,A32,'Specialisation Impact'!$B$19:$B$186,B32)=0,0,SUMIFS('Specialisation Impact'!$F$19:$F$186,'Specialisation Impact'!$A$19:$A$186,A32,'Specialisation Impact'!$B$19:$B$186,B32))</x:f>
        <x:v>1</x:v>
      </x:c>
    </x:row>
    <x:row r="33">
      <x:c r="A33" s="571" t="str">
        <x:v>K91</x:v>
      </x:c>
      <x:c r="B33" s="571" t="str">
        <x:v>λTλ⁵⁷βЄЧ</x:v>
      </x:c>
      <x:c r="C33" s="575" t="n">
        <x:f>IF($A33="","",AVERAGE(100*((COUNTIF('All Stats'!$D$6:$D$172,"&lt;"&amp;'All Stats'!D33)+(COUNTIF('All Stats'!$D$6:$D$172,'All Stats'!D33)-1)/2)/(COUNT('All Stats'!$D$6:$D$172)-1))^'Specialisation Scenarios'!$X$10,100*((COUNTIF('All Stats'!$G$6:$G$172,"&lt;"&amp;'All Stats'!G33)+(COUNTIF('All Stats'!$G$6:$G$172,'All Stats'!G33)-1)/2)/(COUNT('All Stats'!$G$6:$G$172)-1))^'Specialisation Scenarios'!$X$10,100*((COUNTIF('All Stats'!$I$6:$I$172,"&lt;"&amp;'All Stats'!I33)+(COUNTIF('All Stats'!$I$6:$I$172,'All Stats'!I33)-1)/2)/(COUNT('All Stats'!$I$6:$I$172)-1))^'Specialisation Scenarios'!$X$10))</x:f>
        <x:v>72.6349740081444</x:v>
      </x:c>
      <x:c r="D33" s="575" t="n">
        <x:f>IF($A33="","",AVERAGE(100*((COUNTIF('All Stats'!$R$6:$R$172,"&lt;"&amp;'All Stats'!R33)+(COUNTIF('All Stats'!$R$6:$R$172,'All Stats'!R33)-1)/2)/(COUNT('All Stats'!$R$6:$R$172)-1))^'Specialisation Scenarios'!$X$10,100*((COUNTIF('All Stats'!$U$6:$U$172,"&lt;"&amp;'All Stats'!U33)+(COUNTIF('All Stats'!$U$6:$U$172,'All Stats'!U33)-1)/2)/(COUNT('All Stats'!$U$6:$U$172)-1))^'Specialisation Scenarios'!$X$10,100*((COUNTIF('All Stats'!$W$6:$W$172,"&lt;"&amp;'All Stats'!W33)+(COUNTIF('All Stats'!$W$6:$W$172,'All Stats'!W33)-1)/2)/(COUNT('All Stats'!$W$6:$W$172)-1))^'Specialisation Scenarios'!$X$10))</x:f>
        <x:v>10.54625614132111</x:v>
      </x:c>
      <x:c r="E33" s="575" t="n">
        <x:f>IF($A33="","",AVERAGE(100*((COUNTIF('All Stats'!$Y$6:$Y$172,"&lt;"&amp;'All Stats'!Y33)+(COUNTIF('All Stats'!$Y$6:$Y$172,'All Stats'!Y33)-1)/2)/(COUNT('All Stats'!$Y$6:$Y$172)-1))^'Specialisation Scenarios'!$X$10,100*((COUNTIF('All Stats'!$AB$6:$AB$172,"&lt;"&amp;'All Stats'!AB33)+(COUNTIF('All Stats'!$AB$6:$AB$172,'All Stats'!AB33)-1)/2)/(COUNT('All Stats'!$AB$6:$AB$172)-1))^'Specialisation Scenarios'!$X$10,100*((COUNTIF('All Stats'!$AD$6:$AD$172,"&lt;"&amp;'All Stats'!AD33)+(COUNTIF('All Stats'!$AD$6:$AD$172,'All Stats'!AD33)-1)/2)/(COUNT('All Stats'!$AD$6:$AD$172)-1))^'Specialisation Scenarios'!$X$10))</x:f>
        <x:v>64.62845277212479</x:v>
      </x:c>
      <x:c r="F33" s="575" t="n">
        <x:f>IF($A33="","",AVERAGE(100*((COUNTIF('All Stats'!$AF$6:$AF$172,"&lt;"&amp;'All Stats'!AF33)+(COUNTIF('All Stats'!$AF$6:$AF$172,'All Stats'!AF33)-1)/2)/(COUNT('All Stats'!$AF$6:$AF$172)-1))^'Specialisation Scenarios'!$X$10,100*((COUNTIF('All Stats'!$AI$6:$AI$172,"&lt;"&amp;'All Stats'!AI33)+(COUNTIF('All Stats'!$AI$6:$AI$172,'All Stats'!AI33)-1)/2)/(COUNT('All Stats'!$AI$6:$AI$172)-1))^'Specialisation Scenarios'!$X$10,100*((COUNTIF('All Stats'!$AK$6:$AK$172,"&lt;"&amp;'All Stats'!AK33)+(COUNTIF('All Stats'!$AK$6:$AK$172,'All Stats'!AK33)-1)/2)/(COUNT('All Stats'!$AK$6:$AK$172)-1))^'Specialisation Scenarios'!$X$10))</x:f>
        <x:v>17.59864155048231</x:v>
      </x:c>
      <x:c r="G33" s="575" t="n">
        <x:f>IF($A33="","",C33*'Specialisation Scenarios'!$X$11+D33*'Specialisation Scenarios'!$X$12+E33*'Specialisation Scenarios'!$X$13+F33*'Specialisation Scenarios'!$X$14)</x:f>
        <x:v>26.32564129579915</x:v>
      </x:c>
      <x:c r="H33" s="575" t="n">
        <x:f>IF(SUMIFS('Specialisation Impact'!$E$19:$E$186,'Specialisation Impact'!$A$19:$A$186,A33,'Specialisation Impact'!$B$19:$B$186,B33)=0,"",SUMIFS('Specialisation Impact'!$S$19:$S$186,'Specialisation Impact'!$A$19:$A$186,A33,'Specialisation Impact'!$B$19:$B$186,B33))</x:f>
        <x:v>55.06493506493507</x:v>
      </x:c>
      <x:c r="I33" s="579" t="n">
        <x:f>IF(SUMIFS('Specialisation Impact'!$E$19:$E$186,'Specialisation Impact'!$A$19:$A$186,A33,'Specialisation Impact'!$B$19:$B$186,B33)=0,0,SUMIFS('Specialisation Impact'!$F$19:$F$186,'Specialisation Impact'!$A$19:$A$186,A33,'Specialisation Impact'!$B$19:$B$186,B33))</x:f>
        <x:v>1</x:v>
      </x:c>
      <x:c r="J33" s="575" t="n">
        <x:f>G33</x:f>
        <x:v>26.32564129579915</x:v>
      </x:c>
      <x:c r="K33" s="575" t="n">
        <x:f>IF(G33="","",IF(I33=0,G33,MAX(0,MIN(100,G33*(1-'Specialisation Scenarios'!$B$8*I33)+H33*('Specialisation Scenarios'!$B$8*I33)))))</x:f>
        <x:v>33.51046473808313</x:v>
      </x:c>
      <x:c r="L33" s="575" t="n">
        <x:f>IF(G33="","",IF(I33=0,G33,MAX(0,MIN(100,G33*(1-'Specialisation Scenarios'!$B$9*I33)+H33*('Specialisation Scenarios'!$B$9*I33)))))</x:f>
        <x:v>36.384394114996724</x:v>
      </x:c>
      <x:c r="M33" s="575" t="str">
        <x:f>IF(COUNTIFS('Tank &amp; Control'!$A$23:$A$189,A33,'Tank &amp; Control'!$B$23:$B$189,B33,'Tank &amp; Control'!$C$23:$C$189,"Yes")&gt;0,"Yes","No")</x:f>
        <x:v>No</x:v>
      </x:c>
      <x:c r="N33" s="575" t="str">
        <x:f>IF(M33&lt;&gt;"Yes","",SUMIFS('Tank &amp; Control'!$L$23:$L$189,'Tank &amp; Control'!$A$23:$A$189,A33,'Tank &amp; Control'!$B$23:$B$189,B33))</x:f>
      </x:c>
      <x:c r="O33" s="575" t="n">
        <x:f>IF(SUMIFS('Specialisation Impact'!$M$19:$M$186,'Specialisation Impact'!$A$19:$A$186,A33,'Specialisation Impact'!$B$19:$B$186,B33)=0,"",SUMIFS('Specialisation Impact'!$V$19:$V$186,'Specialisation Impact'!$A$19:$A$186,A33,'Specialisation Impact'!$B$19:$B$186,B33))</x:f>
        <x:v>29.48717948717949</x:v>
      </x:c>
      <x:c r="P33" s="575" t="str">
        <x:f>IF(N33="","",N33)</x:f>
      </x:c>
      <x:c r="Q33" s="575" t="str">
        <x:f>IF(N33="","",IF(AC33=0,N33,MAX(0,MIN(100,N33*(1-'Specialisation Scenarios'!$B$8*AC33)+O33*('Specialisation Scenarios'!$B$8*AC33)))))</x:f>
      </x:c>
      <x:c r="R33" s="575" t="str">
        <x:f>IF(N33="","",IF(AC33=0,N33,MAX(0,MIN(100,N33*(1-'Specialisation Scenarios'!$B$9*AC33)+O33*('Specialisation Scenarios'!$B$9*AC33)))))</x:f>
      </x:c>
      <x:c r="S33" s="583" t="n">
        <x:f>IF(J33="","",COUNTIFS($A$6:$A$172,A33,$J$6:$J$172,"&gt;"&amp;J33)+COUNTIFS($A$6:A33,A33,$J$6:J33,J33))</x:f>
        <x:v>5</x:v>
      </x:c>
      <x:c r="T33" s="583" t="n">
        <x:f>IF(K33="","",COUNTIFS($A$6:$A$172,A33,$K$6:$K$172,"&gt;"&amp;K33)+COUNTIFS($A$6:A33,A33,$K$6:K33,K33))</x:f>
        <x:v>5</x:v>
      </x:c>
      <x:c r="U33" s="583" t="n">
        <x:f>IF(L33="","",COUNTIFS($A$6:$A$172,A33,$L$6:$L$172,"&gt;"&amp;L33)+COUNTIFS($A$6:A33,A33,$L$6:L33,L33))</x:f>
        <x:v>5</x:v>
      </x:c>
      <x:c r="V33" s="583" t="str">
        <x:f>IF(P33="","",COUNTIFS($A$6:$A$172,A33,$P$6:$P$172,"&gt;"&amp;P33)+COUNTIFS($A$6:A33,A33,$P$6:P33,P33))</x:f>
      </x:c>
      <x:c r="W33" s="583" t="str">
        <x:f>IF(Q33="","",COUNTIFS($A$6:$A$172,A33,$Q$6:$Q$172,"&gt;"&amp;Q33)+COUNTIFS($A$6:A33,A33,$Q$6:Q33,Q33))</x:f>
      </x:c>
      <x:c r="X33" s="583" t="str">
        <x:f>IF(R33="","",COUNTIFS($A$6:$A$172,A33,$R$6:$R$172,"&gt;"&amp;R33)+COUNTIFS($A$6:A33,A33,$R$6:R33,R33))</x:f>
      </x:c>
      <x:c r="Y33" s="571" t="str">
        <x:f>IF(V33="","",A33&amp;"|"&amp;V33)</x:f>
      </x:c>
      <x:c r="Z33" s="571" t="str">
        <x:f>IF(W33="","",A33&amp;"|"&amp;W33)</x:f>
      </x:c>
      <x:c r="AA33" s="571" t="str">
        <x:f>IF(X33="","",A33&amp;"|"&amp;X33)</x:f>
      </x:c>
      <x:c r="AB33" s="571" t="str">
        <x:f>IF(A33="","",IF(I33=0,"Offense neutral — no recorded offensive skills",IF(I33&lt;1,"Partial lookup — adjustment scaled",IF(AND(M33="Yes",AC33=0),"Offense adjusted; Guard neutral","Captured"))))</x:f>
        <x:v>Captured</x:v>
      </x:c>
      <x:c r="AC33" s="579" t="n">
        <x:f>IF(SUMIFS('Specialisation Impact'!$M$19:$M$186,'Specialisation Impact'!$A$19:$A$186,A33,'Specialisation Impact'!$B$19:$B$186,B33)=0,0,SUMIFS('Specialisation Impact'!$F$19:$F$186,'Specialisation Impact'!$A$19:$A$186,A33,'Specialisation Impact'!$B$19:$B$186,B33))</x:f>
        <x:v>1</x:v>
      </x:c>
    </x:row>
    <x:row r="34">
      <x:c r="A34" s="572" t="str">
        <x:v>K91</x:v>
      </x:c>
      <x:c r="B34" s="572" t="str">
        <x:v>Antoni</x:v>
      </x:c>
      <x:c r="C34" s="576" t="n">
        <x:f>IF($A34="","",AVERAGE(100*((COUNTIF('All Stats'!$D$6:$D$172,"&lt;"&amp;'All Stats'!D34)+(COUNTIF('All Stats'!$D$6:$D$172,'All Stats'!D34)-1)/2)/(COUNT('All Stats'!$D$6:$D$172)-1))^'Specialisation Scenarios'!$X$10,100*((COUNTIF('All Stats'!$G$6:$G$172,"&lt;"&amp;'All Stats'!G34)+(COUNTIF('All Stats'!$G$6:$G$172,'All Stats'!G34)-1)/2)/(COUNT('All Stats'!$G$6:$G$172)-1))^'Specialisation Scenarios'!$X$10,100*((COUNTIF('All Stats'!$I$6:$I$172,"&lt;"&amp;'All Stats'!I34)+(COUNTIF('All Stats'!$I$6:$I$172,'All Stats'!I34)-1)/2)/(COUNT('All Stats'!$I$6:$I$172)-1))^'Specialisation Scenarios'!$X$10))</x:f>
        <x:v>43.69335294437096</x:v>
      </x:c>
      <x:c r="D34" s="576" t="n">
        <x:f>IF($A34="","",AVERAGE(100*((COUNTIF('All Stats'!$R$6:$R$172,"&lt;"&amp;'All Stats'!R34)+(COUNTIF('All Stats'!$R$6:$R$172,'All Stats'!R34)-1)/2)/(COUNT('All Stats'!$R$6:$R$172)-1))^'Specialisation Scenarios'!$X$10,100*((COUNTIF('All Stats'!$U$6:$U$172,"&lt;"&amp;'All Stats'!U34)+(COUNTIF('All Stats'!$U$6:$U$172,'All Stats'!U34)-1)/2)/(COUNT('All Stats'!$U$6:$U$172)-1))^'Specialisation Scenarios'!$X$10,100*((COUNTIF('All Stats'!$W$6:$W$172,"&lt;"&amp;'All Stats'!W34)+(COUNTIF('All Stats'!$W$6:$W$172,'All Stats'!W34)-1)/2)/(COUNT('All Stats'!$W$6:$W$172)-1))^'Specialisation Scenarios'!$X$10))</x:f>
        <x:v>4.568248605108323</x:v>
      </x:c>
      <x:c r="E34" s="576" t="n">
        <x:f>IF($A34="","",AVERAGE(100*((COUNTIF('All Stats'!$Y$6:$Y$172,"&lt;"&amp;'All Stats'!Y34)+(COUNTIF('All Stats'!$Y$6:$Y$172,'All Stats'!Y34)-1)/2)/(COUNT('All Stats'!$Y$6:$Y$172)-1))^'Specialisation Scenarios'!$X$10,100*((COUNTIF('All Stats'!$AB$6:$AB$172,"&lt;"&amp;'All Stats'!AB34)+(COUNTIF('All Stats'!$AB$6:$AB$172,'All Stats'!AB34)-1)/2)/(COUNT('All Stats'!$AB$6:$AB$172)-1))^'Specialisation Scenarios'!$X$10,100*((COUNTIF('All Stats'!$AD$6:$AD$172,"&lt;"&amp;'All Stats'!AD34)+(COUNTIF('All Stats'!$AD$6:$AD$172,'All Stats'!AD34)-1)/2)/(COUNT('All Stats'!$AD$6:$AD$172)-1))^'Specialisation Scenarios'!$X$10))</x:f>
        <x:v>35.10559248148166</x:v>
      </x:c>
      <x:c r="F34" s="576" t="n">
        <x:f>IF($A34="","",AVERAGE(100*((COUNTIF('All Stats'!$AF$6:$AF$172,"&lt;"&amp;'All Stats'!AF34)+(COUNTIF('All Stats'!$AF$6:$AF$172,'All Stats'!AF34)-1)/2)/(COUNT('All Stats'!$AF$6:$AF$172)-1))^'Specialisation Scenarios'!$X$10,100*((COUNTIF('All Stats'!$AI$6:$AI$172,"&lt;"&amp;'All Stats'!AI34)+(COUNTIF('All Stats'!$AI$6:$AI$172,'All Stats'!AI34)-1)/2)/(COUNT('All Stats'!$AI$6:$AI$172)-1))^'Specialisation Scenarios'!$X$10,100*((COUNTIF('All Stats'!$AK$6:$AK$172,"&lt;"&amp;'All Stats'!AK34)+(COUNTIF('All Stats'!$AK$6:$AK$172,'All Stats'!AK34)-1)/2)/(COUNT('All Stats'!$AK$6:$AK$172)-1))^'Specialisation Scenarios'!$X$10))</x:f>
        <x:v>15.141435142912655</x:v>
      </x:c>
      <x:c r="G34" s="576" t="n">
        <x:f>IF($A34="","",C34*'Specialisation Scenarios'!$X$11+D34*'Specialisation Scenarios'!$X$12+E34*'Specialisation Scenarios'!$X$13+F34*'Specialisation Scenarios'!$X$14)</x:f>
        <x:v>15.076726624305701</x:v>
      </x:c>
      <x:c r="H34" s="576" t="n">
        <x:f>IF(SUMIFS('Specialisation Impact'!$E$19:$E$186,'Specialisation Impact'!$A$19:$A$186,A34,'Specialisation Impact'!$B$19:$B$186,B34)=0,"",SUMIFS('Specialisation Impact'!$S$19:$S$186,'Specialisation Impact'!$A$19:$A$186,A34,'Specialisation Impact'!$B$19:$B$186,B34))</x:f>
        <x:v>43.896103896103895</x:v>
      </x:c>
      <x:c r="I34" s="580" t="n">
        <x:f>IF(SUMIFS('Specialisation Impact'!$E$19:$E$186,'Specialisation Impact'!$A$19:$A$186,A34,'Specialisation Impact'!$B$19:$B$186,B34)=0,0,SUMIFS('Specialisation Impact'!$F$19:$F$186,'Specialisation Impact'!$A$19:$A$186,A34,'Specialisation Impact'!$B$19:$B$186,B34))</x:f>
        <x:v>1</x:v>
      </x:c>
      <x:c r="J34" s="576" t="n">
        <x:f>G34</x:f>
        <x:v>15.076726624305701</x:v>
      </x:c>
      <x:c r="K34" s="576" t="n">
        <x:f>IF(G34="","",IF(I34=0,G34,MAX(0,MIN(100,G34*(1-'Specialisation Scenarios'!$B$8*I34)+H34*('Specialisation Scenarios'!$B$8*I34)))))</x:f>
        <x:v>22.28157094225525</x:v>
      </x:c>
      <x:c r="L34" s="576" t="n">
        <x:f>IF(G34="","",IF(I34=0,G34,MAX(0,MIN(100,G34*(1-'Specialisation Scenarios'!$B$9*I34)+H34*('Specialisation Scenarios'!$B$9*I34)))))</x:f>
        <x:v>25.163508669435068</x:v>
      </x:c>
      <x:c r="M34" s="576" t="str">
        <x:f>IF(COUNTIFS('Tank &amp; Control'!$A$23:$A$189,A34,'Tank &amp; Control'!$B$23:$B$189,B34,'Tank &amp; Control'!$C$23:$C$189,"Yes")&gt;0,"Yes","No")</x:f>
        <x:v>No</x:v>
      </x:c>
      <x:c r="N34" s="576" t="str">
        <x:f>IF(M34&lt;&gt;"Yes","",SUMIFS('Tank &amp; Control'!$L$23:$L$189,'Tank &amp; Control'!$A$23:$A$189,A34,'Tank &amp; Control'!$B$23:$B$189,B34))</x:f>
      </x:c>
      <x:c r="O34" s="576" t="n">
        <x:f>IF(SUMIFS('Specialisation Impact'!$M$19:$M$186,'Specialisation Impact'!$A$19:$A$186,A34,'Specialisation Impact'!$B$19:$B$186,B34)=0,"",SUMIFS('Specialisation Impact'!$V$19:$V$186,'Specialisation Impact'!$A$19:$A$186,A34,'Specialisation Impact'!$B$19:$B$186,B34))</x:f>
        <x:v>1.7094017094017093</x:v>
      </x:c>
      <x:c r="P34" s="576" t="str">
        <x:f>IF(N34="","",N34)</x:f>
      </x:c>
      <x:c r="Q34" s="576" t="str">
        <x:f>IF(N34="","",IF(AC34=0,N34,MAX(0,MIN(100,N34*(1-'Specialisation Scenarios'!$B$8*AC34)+O34*('Specialisation Scenarios'!$B$8*AC34)))))</x:f>
      </x:c>
      <x:c r="R34" s="576" t="str">
        <x:f>IF(N34="","",IF(AC34=0,N34,MAX(0,MIN(100,N34*(1-'Specialisation Scenarios'!$B$9*AC34)+O34*('Specialisation Scenarios'!$B$9*AC34)))))</x:f>
      </x:c>
      <x:c r="S34" s="584" t="n">
        <x:f>IF(J34="","",COUNTIFS($A$6:$A$172,A34,$J$6:$J$172,"&gt;"&amp;J34)+COUNTIFS($A$6:A34,A34,$J$6:J34,J34))</x:f>
        <x:v>11</x:v>
      </x:c>
      <x:c r="T34" s="584" t="n">
        <x:f>IF(K34="","",COUNTIFS($A$6:$A$172,A34,$K$6:$K$172,"&gt;"&amp;K34)+COUNTIFS($A$6:A34,A34,$K$6:K34,K34))</x:f>
        <x:v>11</x:v>
      </x:c>
      <x:c r="U34" s="584" t="n">
        <x:f>IF(L34="","",COUNTIFS($A$6:$A$172,A34,$L$6:$L$172,"&gt;"&amp;L34)+COUNTIFS($A$6:A34,A34,$L$6:L34,L34))</x:f>
        <x:v>10</x:v>
      </x:c>
      <x:c r="V34" s="584" t="str">
        <x:f>IF(P34="","",COUNTIFS($A$6:$A$172,A34,$P$6:$P$172,"&gt;"&amp;P34)+COUNTIFS($A$6:A34,A34,$P$6:P34,P34))</x:f>
      </x:c>
      <x:c r="W34" s="584" t="str">
        <x:f>IF(Q34="","",COUNTIFS($A$6:$A$172,A34,$Q$6:$Q$172,"&gt;"&amp;Q34)+COUNTIFS($A$6:A34,A34,$Q$6:Q34,Q34))</x:f>
      </x:c>
      <x:c r="X34" s="584" t="str">
        <x:f>IF(R34="","",COUNTIFS($A$6:$A$172,A34,$R$6:$R$172,"&gt;"&amp;R34)+COUNTIFS($A$6:A34,A34,$R$6:R34,R34))</x:f>
      </x:c>
      <x:c r="Y34" s="572" t="str">
        <x:f>IF(V34="","",A34&amp;"|"&amp;V34)</x:f>
      </x:c>
      <x:c r="Z34" s="572" t="str">
        <x:f>IF(W34="","",A34&amp;"|"&amp;W34)</x:f>
      </x:c>
      <x:c r="AA34" s="572" t="str">
        <x:f>IF(X34="","",A34&amp;"|"&amp;X34)</x:f>
      </x:c>
      <x:c r="AB34" s="572" t="str">
        <x:f>IF(A34="","",IF(I34=0,"Offense neutral — no recorded offensive skills",IF(I34&lt;1,"Partial lookup — adjustment scaled",IF(AND(M34="Yes",AC34=0),"Offense adjusted; Guard neutral","Captured"))))</x:f>
        <x:v>Captured</x:v>
      </x:c>
      <x:c r="AC34" s="580" t="n">
        <x:f>IF(SUMIFS('Specialisation Impact'!$M$19:$M$186,'Specialisation Impact'!$A$19:$A$186,A34,'Specialisation Impact'!$B$19:$B$186,B34)=0,0,SUMIFS('Specialisation Impact'!$F$19:$F$186,'Specialisation Impact'!$A$19:$A$186,A34,'Specialisation Impact'!$B$19:$B$186,B34))</x:f>
        <x:v>1</x:v>
      </x:c>
    </x:row>
    <x:row r="35">
      <x:c r="A35" s="571" t="str">
        <x:v>K91</x:v>
      </x:c>
      <x:c r="B35" s="571" t="str">
        <x:v>Nixxx</x:v>
      </x:c>
      <x:c r="C35" s="575" t="n">
        <x:f>IF($A35="","",AVERAGE(100*((COUNTIF('All Stats'!$D$6:$D$172,"&lt;"&amp;'All Stats'!D35)+(COUNTIF('All Stats'!$D$6:$D$172,'All Stats'!D35)-1)/2)/(COUNT('All Stats'!$D$6:$D$172)-1))^'Specialisation Scenarios'!$X$10,100*((COUNTIF('All Stats'!$G$6:$G$172,"&lt;"&amp;'All Stats'!G35)+(COUNTIF('All Stats'!$G$6:$G$172,'All Stats'!G35)-1)/2)/(COUNT('All Stats'!$G$6:$G$172)-1))^'Specialisation Scenarios'!$X$10,100*((COUNTIF('All Stats'!$I$6:$I$172,"&lt;"&amp;'All Stats'!I35)+(COUNTIF('All Stats'!$I$6:$I$172,'All Stats'!I35)-1)/2)/(COUNT('All Stats'!$I$6:$I$172)-1))^'Specialisation Scenarios'!$X$10))</x:f>
        <x:v>46.65634332924272</x:v>
      </x:c>
      <x:c r="D35" s="575" t="n">
        <x:f>IF($A35="","",AVERAGE(100*((COUNTIF('All Stats'!$R$6:$R$172,"&lt;"&amp;'All Stats'!R35)+(COUNTIF('All Stats'!$R$6:$R$172,'All Stats'!R35)-1)/2)/(COUNT('All Stats'!$R$6:$R$172)-1))^'Specialisation Scenarios'!$X$10,100*((COUNTIF('All Stats'!$U$6:$U$172,"&lt;"&amp;'All Stats'!U35)+(COUNTIF('All Stats'!$U$6:$U$172,'All Stats'!U35)-1)/2)/(COUNT('All Stats'!$U$6:$U$172)-1))^'Specialisation Scenarios'!$X$10,100*((COUNTIF('All Stats'!$W$6:$W$172,"&lt;"&amp;'All Stats'!W35)+(COUNTIF('All Stats'!$W$6:$W$172,'All Stats'!W35)-1)/2)/(COUNT('All Stats'!$W$6:$W$172)-1))^'Specialisation Scenarios'!$X$10))</x:f>
        <x:v>4.558240394956306</x:v>
      </x:c>
      <x:c r="E35" s="575" t="n">
        <x:f>IF($A35="","",AVERAGE(100*((COUNTIF('All Stats'!$Y$6:$Y$172,"&lt;"&amp;'All Stats'!Y35)+(COUNTIF('All Stats'!$Y$6:$Y$172,'All Stats'!Y35)-1)/2)/(COUNT('All Stats'!$Y$6:$Y$172)-1))^'Specialisation Scenarios'!$X$10,100*((COUNTIF('All Stats'!$AB$6:$AB$172,"&lt;"&amp;'All Stats'!AB35)+(COUNTIF('All Stats'!$AB$6:$AB$172,'All Stats'!AB35)-1)/2)/(COUNT('All Stats'!$AB$6:$AB$172)-1))^'Specialisation Scenarios'!$X$10,100*((COUNTIF('All Stats'!$AD$6:$AD$172,"&lt;"&amp;'All Stats'!AD35)+(COUNTIF('All Stats'!$AD$6:$AD$172,'All Stats'!AD35)-1)/2)/(COUNT('All Stats'!$AD$6:$AD$172)-1))^'Specialisation Scenarios'!$X$10))</x:f>
        <x:v>74.09439640261178</x:v>
      </x:c>
      <x:c r="F35" s="575" t="n">
        <x:f>IF($A35="","",AVERAGE(100*((COUNTIF('All Stats'!$AF$6:$AF$172,"&lt;"&amp;'All Stats'!AF35)+(COUNTIF('All Stats'!$AF$6:$AF$172,'All Stats'!AF35)-1)/2)/(COUNT('All Stats'!$AF$6:$AF$172)-1))^'Specialisation Scenarios'!$X$10,100*((COUNTIF('All Stats'!$AI$6:$AI$172,"&lt;"&amp;'All Stats'!AI35)+(COUNTIF('All Stats'!$AI$6:$AI$172,'All Stats'!AI35)-1)/2)/(COUNT('All Stats'!$AI$6:$AI$172)-1))^'Specialisation Scenarios'!$X$10,100*((COUNTIF('All Stats'!$AK$6:$AK$172,"&lt;"&amp;'All Stats'!AK35)+(COUNTIF('All Stats'!$AK$6:$AK$172,'All Stats'!AK35)-1)/2)/(COUNT('All Stats'!$AK$6:$AK$172)-1))^'Specialisation Scenarios'!$X$10))</x:f>
        <x:v>13.499101194201993</x:v>
      </x:c>
      <x:c r="G35" s="575" t="n">
        <x:f>IF($A35="","",C35*'Specialisation Scenarios'!$X$11+D35*'Specialisation Scenarios'!$X$12+E35*'Specialisation Scenarios'!$X$13+F35*'Specialisation Scenarios'!$X$14)</x:f>
        <x:v>19.16770055575167</x:v>
      </x:c>
      <x:c r="H35" s="575" t="n">
        <x:f>IF(SUMIFS('Specialisation Impact'!$E$19:$E$186,'Specialisation Impact'!$A$19:$A$186,A35,'Specialisation Impact'!$B$19:$B$186,B35)=0,"",SUMIFS('Specialisation Impact'!$S$19:$S$186,'Specialisation Impact'!$A$19:$A$186,A35,'Specialisation Impact'!$B$19:$B$186,B35))</x:f>
        <x:v>49.8051948051948</x:v>
      </x:c>
      <x:c r="I35" s="579" t="n">
        <x:f>IF(SUMIFS('Specialisation Impact'!$E$19:$E$186,'Specialisation Impact'!$A$19:$A$186,A35,'Specialisation Impact'!$B$19:$B$186,B35)=0,0,SUMIFS('Specialisation Impact'!$F$19:$F$186,'Specialisation Impact'!$A$19:$A$186,A35,'Specialisation Impact'!$B$19:$B$186,B35))</x:f>
        <x:v>1</x:v>
      </x:c>
      <x:c r="J35" s="575" t="n">
        <x:f>G35</x:f>
        <x:v>19.16770055575167</x:v>
      </x:c>
      <x:c r="K35" s="575" t="n">
        <x:f>IF(G35="","",IF(I35=0,G35,MAX(0,MIN(100,G35*(1-'Specialisation Scenarios'!$B$8*I35)+H35*('Specialisation Scenarios'!$B$8*I35)))))</x:f>
        <x:v>26.827074118112453</x:v>
      </x:c>
      <x:c r="L35" s="575" t="n">
        <x:f>IF(G35="","",IF(I35=0,G35,MAX(0,MIN(100,G35*(1-'Specialisation Scenarios'!$B$9*I35)+H35*('Specialisation Scenarios'!$B$9*I35)))))</x:f>
        <x:v>29.890823543056765</x:v>
      </x:c>
      <x:c r="M35" s="575" t="str">
        <x:f>IF(COUNTIFS('Tank &amp; Control'!$A$23:$A$189,A35,'Tank &amp; Control'!$B$23:$B$189,B35,'Tank &amp; Control'!$C$23:$C$189,"Yes")&gt;0,"Yes","No")</x:f>
        <x:v>No</x:v>
      </x:c>
      <x:c r="N35" s="575" t="str">
        <x:f>IF(M35&lt;&gt;"Yes","",SUMIFS('Tank &amp; Control'!$L$23:$L$189,'Tank &amp; Control'!$A$23:$A$189,A35,'Tank &amp; Control'!$B$23:$B$189,B35))</x:f>
      </x:c>
      <x:c r="O35" s="575" t="n">
        <x:f>IF(SUMIFS('Specialisation Impact'!$M$19:$M$186,'Specialisation Impact'!$A$19:$A$186,A35,'Specialisation Impact'!$B$19:$B$186,B35)=0,"",SUMIFS('Specialisation Impact'!$V$19:$V$186,'Specialisation Impact'!$A$19:$A$186,A35,'Specialisation Impact'!$B$19:$B$186,B35))</x:f>
        <x:v>8.547008547008547</x:v>
      </x:c>
      <x:c r="P35" s="575" t="str">
        <x:f>IF(N35="","",N35)</x:f>
      </x:c>
      <x:c r="Q35" s="575" t="str">
        <x:f>IF(N35="","",IF(AC35=0,N35,MAX(0,MIN(100,N35*(1-'Specialisation Scenarios'!$B$8*AC35)+O35*('Specialisation Scenarios'!$B$8*AC35)))))</x:f>
      </x:c>
      <x:c r="R35" s="575" t="str">
        <x:f>IF(N35="","",IF(AC35=0,N35,MAX(0,MIN(100,N35*(1-'Specialisation Scenarios'!$B$9*AC35)+O35*('Specialisation Scenarios'!$B$9*AC35)))))</x:f>
      </x:c>
      <x:c r="S35" s="583" t="n">
        <x:f>IF(J35="","",COUNTIFS($A$6:$A$172,A35,$J$6:$J$172,"&gt;"&amp;J35)+COUNTIFS($A$6:A35,A35,$J$6:J35,J35))</x:f>
        <x:v>9</x:v>
      </x:c>
      <x:c r="T35" s="583" t="n">
        <x:f>IF(K35="","",COUNTIFS($A$6:$A$172,A35,$K$6:$K$172,"&gt;"&amp;K35)+COUNTIFS($A$6:A35,A35,$K$6:K35,K35))</x:f>
        <x:v>7</x:v>
      </x:c>
      <x:c r="U35" s="583" t="n">
        <x:f>IF(L35="","",COUNTIFS($A$6:$A$172,A35,$L$6:$L$172,"&gt;"&amp;L35)+COUNTIFS($A$6:A35,A35,$L$6:L35,L35))</x:f>
        <x:v>7</x:v>
      </x:c>
      <x:c r="V35" s="583" t="str">
        <x:f>IF(P35="","",COUNTIFS($A$6:$A$172,A35,$P$6:$P$172,"&gt;"&amp;P35)+COUNTIFS($A$6:A35,A35,$P$6:P35,P35))</x:f>
      </x:c>
      <x:c r="W35" s="583" t="str">
        <x:f>IF(Q35="","",COUNTIFS($A$6:$A$172,A35,$Q$6:$Q$172,"&gt;"&amp;Q35)+COUNTIFS($A$6:A35,A35,$Q$6:Q35,Q35))</x:f>
      </x:c>
      <x:c r="X35" s="583" t="str">
        <x:f>IF(R35="","",COUNTIFS($A$6:$A$172,A35,$R$6:$R$172,"&gt;"&amp;R35)+COUNTIFS($A$6:A35,A35,$R$6:R35,R35))</x:f>
      </x:c>
      <x:c r="Y35" s="571" t="str">
        <x:f>IF(V35="","",A35&amp;"|"&amp;V35)</x:f>
      </x:c>
      <x:c r="Z35" s="571" t="str">
        <x:f>IF(W35="","",A35&amp;"|"&amp;W35)</x:f>
      </x:c>
      <x:c r="AA35" s="571" t="str">
        <x:f>IF(X35="","",A35&amp;"|"&amp;X35)</x:f>
      </x:c>
      <x:c r="AB35" s="571" t="str">
        <x:f>IF(A35="","",IF(I35=0,"Offense neutral — no recorded offensive skills",IF(I35&lt;1,"Partial lookup — adjustment scaled",IF(AND(M35="Yes",AC35=0),"Offense adjusted; Guard neutral","Captured"))))</x:f>
        <x:v>Captured</x:v>
      </x:c>
      <x:c r="AC35" s="579" t="n">
        <x:f>IF(SUMIFS('Specialisation Impact'!$M$19:$M$186,'Specialisation Impact'!$A$19:$A$186,A35,'Specialisation Impact'!$B$19:$B$186,B35)=0,0,SUMIFS('Specialisation Impact'!$F$19:$F$186,'Specialisation Impact'!$A$19:$A$186,A35,'Specialisation Impact'!$B$19:$B$186,B35))</x:f>
        <x:v>1</x:v>
      </x:c>
    </x:row>
    <x:row r="36">
      <x:c r="A36" s="572" t="str">
        <x:v>K91</x:v>
      </x:c>
      <x:c r="B36" s="572" t="str">
        <x:v>TatyToy</x:v>
      </x:c>
      <x:c r="C36" s="576" t="n">
        <x:f>IF($A36="","",AVERAGE(100*((COUNTIF('All Stats'!$D$6:$D$172,"&lt;"&amp;'All Stats'!D36)+(COUNTIF('All Stats'!$D$6:$D$172,'All Stats'!D36)-1)/2)/(COUNT('All Stats'!$D$6:$D$172)-1))^'Specialisation Scenarios'!$X$10,100*((COUNTIF('All Stats'!$G$6:$G$172,"&lt;"&amp;'All Stats'!G36)+(COUNTIF('All Stats'!$G$6:$G$172,'All Stats'!G36)-1)/2)/(COUNT('All Stats'!$G$6:$G$172)-1))^'Specialisation Scenarios'!$X$10,100*((COUNTIF('All Stats'!$I$6:$I$172,"&lt;"&amp;'All Stats'!I36)+(COUNTIF('All Stats'!$I$6:$I$172,'All Stats'!I36)-1)/2)/(COUNT('All Stats'!$I$6:$I$172)-1))^'Specialisation Scenarios'!$X$10))</x:f>
        <x:v>26.858700289526016</x:v>
      </x:c>
      <x:c r="D36" s="576" t="n">
        <x:f>IF($A36="","",AVERAGE(100*((COUNTIF('All Stats'!$R$6:$R$172,"&lt;"&amp;'All Stats'!R36)+(COUNTIF('All Stats'!$R$6:$R$172,'All Stats'!R36)-1)/2)/(COUNT('All Stats'!$R$6:$R$172)-1))^'Specialisation Scenarios'!$X$10,100*((COUNTIF('All Stats'!$U$6:$U$172,"&lt;"&amp;'All Stats'!U36)+(COUNTIF('All Stats'!$U$6:$U$172,'All Stats'!U36)-1)/2)/(COUNT('All Stats'!$U$6:$U$172)-1))^'Specialisation Scenarios'!$X$10,100*((COUNTIF('All Stats'!$W$6:$W$172,"&lt;"&amp;'All Stats'!W36)+(COUNTIF('All Stats'!$W$6:$W$172,'All Stats'!W36)-1)/2)/(COUNT('All Stats'!$W$6:$W$172)-1))^'Specialisation Scenarios'!$X$10))</x:f>
        <x:v>2.961822441618223</x:v>
      </x:c>
      <x:c r="E36" s="576" t="n">
        <x:f>IF($A36="","",AVERAGE(100*((COUNTIF('All Stats'!$Y$6:$Y$172,"&lt;"&amp;'All Stats'!Y36)+(COUNTIF('All Stats'!$Y$6:$Y$172,'All Stats'!Y36)-1)/2)/(COUNT('All Stats'!$Y$6:$Y$172)-1))^'Specialisation Scenarios'!$X$10,100*((COUNTIF('All Stats'!$AB$6:$AB$172,"&lt;"&amp;'All Stats'!AB36)+(COUNTIF('All Stats'!$AB$6:$AB$172,'All Stats'!AB36)-1)/2)/(COUNT('All Stats'!$AB$6:$AB$172)-1))^'Specialisation Scenarios'!$X$10,100*((COUNTIF('All Stats'!$AD$6:$AD$172,"&lt;"&amp;'All Stats'!AD36)+(COUNTIF('All Stats'!$AD$6:$AD$172,'All Stats'!AD36)-1)/2)/(COUNT('All Stats'!$AD$6:$AD$172)-1))^'Specialisation Scenarios'!$X$10))</x:f>
        <x:v>26.191541432611555</x:v>
      </x:c>
      <x:c r="F36" s="576" t="n">
        <x:f>IF($A36="","",AVERAGE(100*((COUNTIF('All Stats'!$AF$6:$AF$172,"&lt;"&amp;'All Stats'!AF36)+(COUNTIF('All Stats'!$AF$6:$AF$172,'All Stats'!AF36)-1)/2)/(COUNT('All Stats'!$AF$6:$AF$172)-1))^'Specialisation Scenarios'!$X$10,100*((COUNTIF('All Stats'!$AI$6:$AI$172,"&lt;"&amp;'All Stats'!AI36)+(COUNTIF('All Stats'!$AI$6:$AI$172,'All Stats'!AI36)-1)/2)/(COUNT('All Stats'!$AI$6:$AI$172)-1))^'Specialisation Scenarios'!$X$10,100*((COUNTIF('All Stats'!$AK$6:$AK$172,"&lt;"&amp;'All Stats'!AK36)+(COUNTIF('All Stats'!$AK$6:$AK$172,'All Stats'!AK36)-1)/2)/(COUNT('All Stats'!$AK$6:$AK$172)-1))^'Specialisation Scenarios'!$X$10))</x:f>
        <x:v>8.835540956282033</x:v>
      </x:c>
      <x:c r="G36" s="576" t="n">
        <x:f>IF($A36="","",C36*'Specialisation Scenarios'!$X$11+D36*'Specialisation Scenarios'!$X$12+E36*'Specialisation Scenarios'!$X$13+F36*'Specialisation Scenarios'!$X$14)</x:f>
        <x:v>9.750383795103296</x:v>
      </x:c>
      <x:c r="H36" s="576" t="n">
        <x:f>IF(SUMIFS('Specialisation Impact'!$E$19:$E$186,'Specialisation Impact'!$A$19:$A$186,A36,'Specialisation Impact'!$B$19:$B$186,B36)=0,"",SUMIFS('Specialisation Impact'!$S$19:$S$186,'Specialisation Impact'!$A$19:$A$186,A36,'Specialisation Impact'!$B$19:$B$186,B36))</x:f>
        <x:v>13.116883116883116</x:v>
      </x:c>
      <x:c r="I36" s="580" t="n">
        <x:f>IF(SUMIFS('Specialisation Impact'!$E$19:$E$186,'Specialisation Impact'!$A$19:$A$186,A36,'Specialisation Impact'!$B$19:$B$186,B36)=0,0,SUMIFS('Specialisation Impact'!$F$19:$F$186,'Specialisation Impact'!$A$19:$A$186,A36,'Specialisation Impact'!$B$19:$B$186,B36))</x:f>
        <x:v>1</x:v>
      </x:c>
      <x:c r="J36" s="576" t="n">
        <x:f>G36</x:f>
        <x:v>9.750383795103296</x:v>
      </x:c>
      <x:c r="K36" s="576" t="n">
        <x:f>IF(G36="","",IF(I36=0,G36,MAX(0,MIN(100,G36*(1-'Specialisation Scenarios'!$B$8*I36)+H36*('Specialisation Scenarios'!$B$8*I36)))))</x:f>
        <x:v>10.592008625548251</x:v>
      </x:c>
      <x:c r="L36" s="576" t="n">
        <x:f>IF(G36="","",IF(I36=0,G36,MAX(0,MIN(100,G36*(1-'Specialisation Scenarios'!$B$9*I36)+H36*('Specialisation Scenarios'!$B$9*I36)))))</x:f>
        <x:v>10.928658557726234</x:v>
      </x:c>
      <x:c r="M36" s="576" t="str">
        <x:f>IF(COUNTIFS('Tank &amp; Control'!$A$23:$A$189,A36,'Tank &amp; Control'!$B$23:$B$189,B36,'Tank &amp; Control'!$C$23:$C$189,"Yes")&gt;0,"Yes","No")</x:f>
        <x:v>No</x:v>
      </x:c>
      <x:c r="N36" s="576" t="str">
        <x:f>IF(M36&lt;&gt;"Yes","",SUMIFS('Tank &amp; Control'!$L$23:$L$189,'Tank &amp; Control'!$A$23:$A$189,A36,'Tank &amp; Control'!$B$23:$B$189,B36))</x:f>
      </x:c>
      <x:c r="O36" s="576" t="n">
        <x:f>IF(SUMIFS('Specialisation Impact'!$M$19:$M$186,'Specialisation Impact'!$A$19:$A$186,A36,'Specialisation Impact'!$B$19:$B$186,B36)=0,"",SUMIFS('Specialisation Impact'!$V$19:$V$186,'Specialisation Impact'!$A$19:$A$186,A36,'Specialisation Impact'!$B$19:$B$186,B36))</x:f>
        <x:v>4.700854700854701</x:v>
      </x:c>
      <x:c r="P36" s="576" t="str">
        <x:f>IF(N36="","",N36)</x:f>
      </x:c>
      <x:c r="Q36" s="576" t="str">
        <x:f>IF(N36="","",IF(AC36=0,N36,MAX(0,MIN(100,N36*(1-'Specialisation Scenarios'!$B$8*AC36)+O36*('Specialisation Scenarios'!$B$8*AC36)))))</x:f>
      </x:c>
      <x:c r="R36" s="576" t="str">
        <x:f>IF(N36="","",IF(AC36=0,N36,MAX(0,MIN(100,N36*(1-'Specialisation Scenarios'!$B$9*AC36)+O36*('Specialisation Scenarios'!$B$9*AC36)))))</x:f>
      </x:c>
      <x:c r="S36" s="584" t="n">
        <x:f>IF(J36="","",COUNTIFS($A$6:$A$172,A36,$J$6:$J$172,"&gt;"&amp;J36)+COUNTIFS($A$6:A36,A36,$J$6:J36,J36))</x:f>
        <x:v>16</x:v>
      </x:c>
      <x:c r="T36" s="584" t="n">
        <x:f>IF(K36="","",COUNTIFS($A$6:$A$172,A36,$K$6:$K$172,"&gt;"&amp;K36)+COUNTIFS($A$6:A36,A36,$K$6:K36,K36))</x:f>
        <x:v>19</x:v>
      </x:c>
      <x:c r="U36" s="584" t="n">
        <x:f>IF(L36="","",COUNTIFS($A$6:$A$172,A36,$L$6:$L$172,"&gt;"&amp;L36)+COUNTIFS($A$6:A36,A36,$L$6:L36,L36))</x:f>
        <x:v>19</x:v>
      </x:c>
      <x:c r="V36" s="584" t="str">
        <x:f>IF(P36="","",COUNTIFS($A$6:$A$172,A36,$P$6:$P$172,"&gt;"&amp;P36)+COUNTIFS($A$6:A36,A36,$P$6:P36,P36))</x:f>
      </x:c>
      <x:c r="W36" s="584" t="str">
        <x:f>IF(Q36="","",COUNTIFS($A$6:$A$172,A36,$Q$6:$Q$172,"&gt;"&amp;Q36)+COUNTIFS($A$6:A36,A36,$Q$6:Q36,Q36))</x:f>
      </x:c>
      <x:c r="X36" s="584" t="str">
        <x:f>IF(R36="","",COUNTIFS($A$6:$A$172,A36,$R$6:$R$172,"&gt;"&amp;R36)+COUNTIFS($A$6:A36,A36,$R$6:R36,R36))</x:f>
      </x:c>
      <x:c r="Y36" s="572" t="str">
        <x:f>IF(V36="","",A36&amp;"|"&amp;V36)</x:f>
      </x:c>
      <x:c r="Z36" s="572" t="str">
        <x:f>IF(W36="","",A36&amp;"|"&amp;W36)</x:f>
      </x:c>
      <x:c r="AA36" s="572" t="str">
        <x:f>IF(X36="","",A36&amp;"|"&amp;X36)</x:f>
      </x:c>
      <x:c r="AB36" s="572" t="str">
        <x:f>IF(A36="","",IF(I36=0,"Offense neutral — no recorded offensive skills",IF(I36&lt;1,"Partial lookup — adjustment scaled",IF(AND(M36="Yes",AC36=0),"Offense adjusted; Guard neutral","Captured"))))</x:f>
        <x:v>Captured</x:v>
      </x:c>
      <x:c r="AC36" s="580" t="n">
        <x:f>IF(SUMIFS('Specialisation Impact'!$M$19:$M$186,'Specialisation Impact'!$A$19:$A$186,A36,'Specialisation Impact'!$B$19:$B$186,B36)=0,0,SUMIFS('Specialisation Impact'!$F$19:$F$186,'Specialisation Impact'!$A$19:$A$186,A36,'Specialisation Impact'!$B$19:$B$186,B36))</x:f>
        <x:v>1</x:v>
      </x:c>
    </x:row>
    <x:row r="37">
      <x:c r="A37" s="571" t="str">
        <x:v>K91</x:v>
      </x:c>
      <x:c r="B37" s="571" t="str">
        <x:v>AMANTIS</x:v>
      </x:c>
      <x:c r="C37" s="575" t="n">
        <x:f>IF($A37="","",AVERAGE(100*((COUNTIF('All Stats'!$D$6:$D$172,"&lt;"&amp;'All Stats'!D37)+(COUNTIF('All Stats'!$D$6:$D$172,'All Stats'!D37)-1)/2)/(COUNT('All Stats'!$D$6:$D$172)-1))^'Specialisation Scenarios'!$X$10,100*((COUNTIF('All Stats'!$G$6:$G$172,"&lt;"&amp;'All Stats'!G37)+(COUNTIF('All Stats'!$G$6:$G$172,'All Stats'!G37)-1)/2)/(COUNT('All Stats'!$G$6:$G$172)-1))^'Specialisation Scenarios'!$X$10,100*((COUNTIF('All Stats'!$I$6:$I$172,"&lt;"&amp;'All Stats'!I37)+(COUNTIF('All Stats'!$I$6:$I$172,'All Stats'!I37)-1)/2)/(COUNT('All Stats'!$I$6:$I$172)-1))^'Specialisation Scenarios'!$X$10))</x:f>
        <x:v>35.509426999983134</x:v>
      </x:c>
      <x:c r="D37" s="575" t="n">
        <x:f>IF($A37="","",AVERAGE(100*((COUNTIF('All Stats'!$R$6:$R$172,"&lt;"&amp;'All Stats'!R37)+(COUNTIF('All Stats'!$R$6:$R$172,'All Stats'!R37)-1)/2)/(COUNT('All Stats'!$R$6:$R$172)-1))^'Specialisation Scenarios'!$X$10,100*((COUNTIF('All Stats'!$U$6:$U$172,"&lt;"&amp;'All Stats'!U37)+(COUNTIF('All Stats'!$U$6:$U$172,'All Stats'!U37)-1)/2)/(COUNT('All Stats'!$U$6:$U$172)-1))^'Specialisation Scenarios'!$X$10,100*((COUNTIF('All Stats'!$W$6:$W$172,"&lt;"&amp;'All Stats'!W37)+(COUNTIF('All Stats'!$W$6:$W$172,'All Stats'!W37)-1)/2)/(COUNT('All Stats'!$W$6:$W$172)-1))^'Specialisation Scenarios'!$X$10))</x:f>
        <x:v>5.937342158525677</x:v>
      </x:c>
      <x:c r="E37" s="575" t="n">
        <x:f>IF($A37="","",AVERAGE(100*((COUNTIF('All Stats'!$Y$6:$Y$172,"&lt;"&amp;'All Stats'!Y37)+(COUNTIF('All Stats'!$Y$6:$Y$172,'All Stats'!Y37)-1)/2)/(COUNT('All Stats'!$Y$6:$Y$172)-1))^'Specialisation Scenarios'!$X$10,100*((COUNTIF('All Stats'!$AB$6:$AB$172,"&lt;"&amp;'All Stats'!AB37)+(COUNTIF('All Stats'!$AB$6:$AB$172,'All Stats'!AB37)-1)/2)/(COUNT('All Stats'!$AB$6:$AB$172)-1))^'Specialisation Scenarios'!$X$10,100*((COUNTIF('All Stats'!$AD$6:$AD$172,"&lt;"&amp;'All Stats'!AD37)+(COUNTIF('All Stats'!$AD$6:$AD$172,'All Stats'!AD37)-1)/2)/(COUNT('All Stats'!$AD$6:$AD$172)-1))^'Specialisation Scenarios'!$X$10))</x:f>
        <x:v>42.49264215761855</x:v>
      </x:c>
      <x:c r="F37" s="575" t="n">
        <x:f>IF($A37="","",AVERAGE(100*((COUNTIF('All Stats'!$AF$6:$AF$172,"&lt;"&amp;'All Stats'!AF37)+(COUNTIF('All Stats'!$AF$6:$AF$172,'All Stats'!AF37)-1)/2)/(COUNT('All Stats'!$AF$6:$AF$172)-1))^'Specialisation Scenarios'!$X$10,100*((COUNTIF('All Stats'!$AI$6:$AI$172,"&lt;"&amp;'All Stats'!AI37)+(COUNTIF('All Stats'!$AI$6:$AI$172,'All Stats'!AI37)-1)/2)/(COUNT('All Stats'!$AI$6:$AI$172)-1))^'Specialisation Scenarios'!$X$10,100*((COUNTIF('All Stats'!$AK$6:$AK$172,"&lt;"&amp;'All Stats'!AK37)+(COUNTIF('All Stats'!$AK$6:$AK$172,'All Stats'!AK37)-1)/2)/(COUNT('All Stats'!$AK$6:$AK$172)-1))^'Specialisation Scenarios'!$X$10))</x:f>
        <x:v>8.442376152180843</x:v>
      </x:c>
      <x:c r="G37" s="575" t="n">
        <x:f>IF($A37="","",C37*'Specialisation Scenarios'!$X$11+D37*'Specialisation Scenarios'!$X$12+E37*'Specialisation Scenarios'!$X$13+F37*'Specialisation Scenarios'!$X$14)</x:f>
        <x:v>14.404439983701858</x:v>
      </x:c>
      <x:c r="H37" s="575" t="n">
        <x:f>IF(SUMIFS('Specialisation Impact'!$E$19:$E$186,'Specialisation Impact'!$A$19:$A$186,A37,'Specialisation Impact'!$B$19:$B$186,B37)=0,"",SUMIFS('Specialisation Impact'!$S$19:$S$186,'Specialisation Impact'!$A$19:$A$186,A37,'Specialisation Impact'!$B$19:$B$186,B37))</x:f>
        <x:v>37.79220779220779</x:v>
      </x:c>
      <x:c r="I37" s="579" t="n">
        <x:f>IF(SUMIFS('Specialisation Impact'!$E$19:$E$186,'Specialisation Impact'!$A$19:$A$186,A37,'Specialisation Impact'!$B$19:$B$186,B37)=0,0,SUMIFS('Specialisation Impact'!$F$19:$F$186,'Specialisation Impact'!$A$19:$A$186,A37,'Specialisation Impact'!$B$19:$B$186,B37))</x:f>
        <x:v>1</x:v>
      </x:c>
      <x:c r="J37" s="575" t="n">
        <x:f>G37</x:f>
        <x:v>14.404439983701858</x:v>
      </x:c>
      <x:c r="K37" s="575" t="n">
        <x:f>IF(G37="","",IF(I37=0,G37,MAX(0,MIN(100,G37*(1-'Specialisation Scenarios'!$B$8*I37)+H37*('Specialisation Scenarios'!$B$8*I37)))))</x:f>
        <x:v>20.25138193582834</x:v>
      </x:c>
      <x:c r="L37" s="575" t="n">
        <x:f>IF(G37="","",IF(I37=0,G37,MAX(0,MIN(100,G37*(1-'Specialisation Scenarios'!$B$9*I37)+H37*('Specialisation Scenarios'!$B$9*I37)))))</x:f>
        <x:v>22.590158716678935</x:v>
      </x:c>
      <x:c r="M37" s="575" t="str">
        <x:f>IF(COUNTIFS('Tank &amp; Control'!$A$23:$A$189,A37,'Tank &amp; Control'!$B$23:$B$189,B37,'Tank &amp; Control'!$C$23:$C$189,"Yes")&gt;0,"Yes","No")</x:f>
        <x:v>No</x:v>
      </x:c>
      <x:c r="N37" s="575" t="str">
        <x:f>IF(M37&lt;&gt;"Yes","",SUMIFS('Tank &amp; Control'!$L$23:$L$189,'Tank &amp; Control'!$A$23:$A$189,A37,'Tank &amp; Control'!$B$23:$B$189,B37))</x:f>
      </x:c>
      <x:c r="O37" s="575" t="n">
        <x:f>IF(SUMIFS('Specialisation Impact'!$M$19:$M$186,'Specialisation Impact'!$A$19:$A$186,A37,'Specialisation Impact'!$B$19:$B$186,B37)=0,"",SUMIFS('Specialisation Impact'!$V$19:$V$186,'Specialisation Impact'!$A$19:$A$186,A37,'Specialisation Impact'!$B$19:$B$186,B37))</x:f>
        <x:v>0</x:v>
      </x:c>
      <x:c r="P37" s="575" t="str">
        <x:f>IF(N37="","",N37)</x:f>
      </x:c>
      <x:c r="Q37" s="575" t="str">
        <x:f>IF(N37="","",IF(AC37=0,N37,MAX(0,MIN(100,N37*(1-'Specialisation Scenarios'!$B$8*AC37)+O37*('Specialisation Scenarios'!$B$8*AC37)))))</x:f>
      </x:c>
      <x:c r="R37" s="575" t="str">
        <x:f>IF(N37="","",IF(AC37=0,N37,MAX(0,MIN(100,N37*(1-'Specialisation Scenarios'!$B$9*AC37)+O37*('Specialisation Scenarios'!$B$9*AC37)))))</x:f>
      </x:c>
      <x:c r="S37" s="583" t="n">
        <x:f>IF(J37="","",COUNTIFS($A$6:$A$172,A37,$J$6:$J$172,"&gt;"&amp;J37)+COUNTIFS($A$6:A37,A37,$J$6:J37,J37))</x:f>
        <x:v>14</x:v>
      </x:c>
      <x:c r="T37" s="583" t="n">
        <x:f>IF(K37="","",COUNTIFS($A$6:$A$172,A37,$K$6:$K$172,"&gt;"&amp;K37)+COUNTIFS($A$6:A37,A37,$K$6:K37,K37))</x:f>
        <x:v>14</x:v>
      </x:c>
      <x:c r="U37" s="583" t="n">
        <x:f>IF(L37="","",COUNTIFS($A$6:$A$172,A37,$L$6:$L$172,"&gt;"&amp;L37)+COUNTIFS($A$6:A37,A37,$L$6:L37,L37))</x:f>
        <x:v>14</x:v>
      </x:c>
      <x:c r="V37" s="583" t="str">
        <x:f>IF(P37="","",COUNTIFS($A$6:$A$172,A37,$P$6:$P$172,"&gt;"&amp;P37)+COUNTIFS($A$6:A37,A37,$P$6:P37,P37))</x:f>
      </x:c>
      <x:c r="W37" s="583" t="str">
        <x:f>IF(Q37="","",COUNTIFS($A$6:$A$172,A37,$Q$6:$Q$172,"&gt;"&amp;Q37)+COUNTIFS($A$6:A37,A37,$Q$6:Q37,Q37))</x:f>
      </x:c>
      <x:c r="X37" s="583" t="str">
        <x:f>IF(R37="","",COUNTIFS($A$6:$A$172,A37,$R$6:$R$172,"&gt;"&amp;R37)+COUNTIFS($A$6:A37,A37,$R$6:R37,R37))</x:f>
      </x:c>
      <x:c r="Y37" s="571" t="str">
        <x:f>IF(V37="","",A37&amp;"|"&amp;V37)</x:f>
      </x:c>
      <x:c r="Z37" s="571" t="str">
        <x:f>IF(W37="","",A37&amp;"|"&amp;W37)</x:f>
      </x:c>
      <x:c r="AA37" s="571" t="str">
        <x:f>IF(X37="","",A37&amp;"|"&amp;X37)</x:f>
      </x:c>
      <x:c r="AB37" s="571" t="str">
        <x:f>IF(A37="","",IF(I37=0,"Offense neutral — no recorded offensive skills",IF(I37&lt;1,"Partial lookup — adjustment scaled",IF(AND(M37="Yes",AC37=0),"Offense adjusted; Guard neutral","Captured"))))</x:f>
        <x:v>Captured</x:v>
      </x:c>
      <x:c r="AC37" s="579" t="n">
        <x:f>IF(SUMIFS('Specialisation Impact'!$M$19:$M$186,'Specialisation Impact'!$A$19:$A$186,A37,'Specialisation Impact'!$B$19:$B$186,B37)=0,0,SUMIFS('Specialisation Impact'!$F$19:$F$186,'Specialisation Impact'!$A$19:$A$186,A37,'Specialisation Impact'!$B$19:$B$186,B37))</x:f>
        <x:v>1</x:v>
      </x:c>
    </x:row>
    <x:row r="38">
      <x:c r="A38" s="572" t="str">
        <x:v>K91</x:v>
      </x:c>
      <x:c r="B38" s="572" t="str">
        <x:v>Milhaus</x:v>
      </x:c>
      <x:c r="C38" s="576" t="n">
        <x:f>IF($A38="","",AVERAGE(100*((COUNTIF('All Stats'!$D$6:$D$172,"&lt;"&amp;'All Stats'!D38)+(COUNTIF('All Stats'!$D$6:$D$172,'All Stats'!D38)-1)/2)/(COUNT('All Stats'!$D$6:$D$172)-1))^'Specialisation Scenarios'!$X$10,100*((COUNTIF('All Stats'!$G$6:$G$172,"&lt;"&amp;'All Stats'!G38)+(COUNTIF('All Stats'!$G$6:$G$172,'All Stats'!G38)-1)/2)/(COUNT('All Stats'!$G$6:$G$172)-1))^'Specialisation Scenarios'!$X$10,100*((COUNTIF('All Stats'!$I$6:$I$172,"&lt;"&amp;'All Stats'!I38)+(COUNTIF('All Stats'!$I$6:$I$172,'All Stats'!I38)-1)/2)/(COUNT('All Stats'!$I$6:$I$172)-1))^'Specialisation Scenarios'!$X$10))</x:f>
        <x:v>48.92154055200709</x:v>
      </x:c>
      <x:c r="D38" s="576" t="n">
        <x:f>IF($A38="","",AVERAGE(100*((COUNTIF('All Stats'!$R$6:$R$172,"&lt;"&amp;'All Stats'!R38)+(COUNTIF('All Stats'!$R$6:$R$172,'All Stats'!R38)-1)/2)/(COUNT('All Stats'!$R$6:$R$172)-1))^'Specialisation Scenarios'!$X$10,100*((COUNTIF('All Stats'!$U$6:$U$172,"&lt;"&amp;'All Stats'!U38)+(COUNTIF('All Stats'!$U$6:$U$172,'All Stats'!U38)-1)/2)/(COUNT('All Stats'!$U$6:$U$172)-1))^'Specialisation Scenarios'!$X$10,100*((COUNTIF('All Stats'!$W$6:$W$172,"&lt;"&amp;'All Stats'!W38)+(COUNTIF('All Stats'!$W$6:$W$172,'All Stats'!W38)-1)/2)/(COUNT('All Stats'!$W$6:$W$172)-1))^'Specialisation Scenarios'!$X$10))</x:f>
        <x:v>5.73205137806826</x:v>
      </x:c>
      <x:c r="E38" s="576" t="n">
        <x:f>IF($A38="","",AVERAGE(100*((COUNTIF('All Stats'!$Y$6:$Y$172,"&lt;"&amp;'All Stats'!Y38)+(COUNTIF('All Stats'!$Y$6:$Y$172,'All Stats'!Y38)-1)/2)/(COUNT('All Stats'!$Y$6:$Y$172)-1))^'Specialisation Scenarios'!$X$10,100*((COUNTIF('All Stats'!$AB$6:$AB$172,"&lt;"&amp;'All Stats'!AB38)+(COUNTIF('All Stats'!$AB$6:$AB$172,'All Stats'!AB38)-1)/2)/(COUNT('All Stats'!$AB$6:$AB$172)-1))^'Specialisation Scenarios'!$X$10,100*((COUNTIF('All Stats'!$AD$6:$AD$172,"&lt;"&amp;'All Stats'!AD38)+(COUNTIF('All Stats'!$AD$6:$AD$172,'All Stats'!AD38)-1)/2)/(COUNT('All Stats'!$AD$6:$AD$172)-1))^'Specialisation Scenarios'!$X$10))</x:f>
        <x:v>56.93177279312747</x:v>
      </x:c>
      <x:c r="F38" s="576" t="n">
        <x:f>IF($A38="","",AVERAGE(100*((COUNTIF('All Stats'!$AF$6:$AF$172,"&lt;"&amp;'All Stats'!AF38)+(COUNTIF('All Stats'!$AF$6:$AF$172,'All Stats'!AF38)-1)/2)/(COUNT('All Stats'!$AF$6:$AF$172)-1))^'Specialisation Scenarios'!$X$10,100*((COUNTIF('All Stats'!$AI$6:$AI$172,"&lt;"&amp;'All Stats'!AI38)+(COUNTIF('All Stats'!$AI$6:$AI$172,'All Stats'!AI38)-1)/2)/(COUNT('All Stats'!$AI$6:$AI$172)-1))^'Specialisation Scenarios'!$X$10,100*((COUNTIF('All Stats'!$AK$6:$AK$172,"&lt;"&amp;'All Stats'!AK38)+(COUNTIF('All Stats'!$AK$6:$AK$172,'All Stats'!AK38)-1)/2)/(COUNT('All Stats'!$AK$6:$AK$172)-1))^'Specialisation Scenarios'!$X$10))</x:f>
        <x:v>18.965837292113363</x:v>
      </x:c>
      <x:c r="G38" s="576" t="n">
        <x:f>IF($A38="","",C38*'Specialisation Scenarios'!$X$11+D38*'Specialisation Scenarios'!$X$12+E38*'Specialisation Scenarios'!$X$13+F38*'Specialisation Scenarios'!$X$14)</x:f>
        <x:v>19.315514782771768</x:v>
      </x:c>
      <x:c r="H38" s="576" t="n">
        <x:f>IF(SUMIFS('Specialisation Impact'!$E$19:$E$186,'Specialisation Impact'!$A$19:$A$186,A38,'Specialisation Impact'!$B$19:$B$186,B38)=0,"",SUMIFS('Specialisation Impact'!$S$19:$S$186,'Specialisation Impact'!$A$19:$A$186,A38,'Specialisation Impact'!$B$19:$B$186,B38))</x:f>
        <x:v>47.27272727272727</x:v>
      </x:c>
      <x:c r="I38" s="580" t="n">
        <x:f>IF(SUMIFS('Specialisation Impact'!$E$19:$E$186,'Specialisation Impact'!$A$19:$A$186,A38,'Specialisation Impact'!$B$19:$B$186,B38)=0,0,SUMIFS('Specialisation Impact'!$F$19:$F$186,'Specialisation Impact'!$A$19:$A$186,A38,'Specialisation Impact'!$B$19:$B$186,B38))</x:f>
        <x:v>1</x:v>
      </x:c>
      <x:c r="J38" s="576" t="n">
        <x:f>G38</x:f>
        <x:v>19.315514782771768</x:v>
      </x:c>
      <x:c r="K38" s="576" t="n">
        <x:f>IF(G38="","",IF(I38=0,G38,MAX(0,MIN(100,G38*(1-'Specialisation Scenarios'!$B$8*I38)+H38*('Specialisation Scenarios'!$B$8*I38)))))</x:f>
        <x:v>26.30481790526064</x:v>
      </x:c>
      <x:c r="L38" s="576" t="n">
        <x:f>IF(G38="","",IF(I38=0,G38,MAX(0,MIN(100,G38*(1-'Specialisation Scenarios'!$B$9*I38)+H38*('Specialisation Scenarios'!$B$9*I38)))))</x:f>
        <x:v>29.100539154256193</x:v>
      </x:c>
      <x:c r="M38" s="576" t="str">
        <x:f>IF(COUNTIFS('Tank &amp; Control'!$A$23:$A$189,A38,'Tank &amp; Control'!$B$23:$B$189,B38,'Tank &amp; Control'!$C$23:$C$189,"Yes")&gt;0,"Yes","No")</x:f>
        <x:v>No</x:v>
      </x:c>
      <x:c r="N38" s="576" t="str">
        <x:f>IF(M38&lt;&gt;"Yes","",SUMIFS('Tank &amp; Control'!$L$23:$L$189,'Tank &amp; Control'!$A$23:$A$189,A38,'Tank &amp; Control'!$B$23:$B$189,B38))</x:f>
      </x:c>
      <x:c r="O38" s="576" t="n">
        <x:f>IF(SUMIFS('Specialisation Impact'!$M$19:$M$186,'Specialisation Impact'!$A$19:$A$186,A38,'Specialisation Impact'!$B$19:$B$186,B38)=0,"",SUMIFS('Specialisation Impact'!$V$19:$V$186,'Specialisation Impact'!$A$19:$A$186,A38,'Specialisation Impact'!$B$19:$B$186,B38))</x:f>
        <x:v>29.48717948717949</x:v>
      </x:c>
      <x:c r="P38" s="576" t="str">
        <x:f>IF(N38="","",N38)</x:f>
      </x:c>
      <x:c r="Q38" s="576" t="str">
        <x:f>IF(N38="","",IF(AC38=0,N38,MAX(0,MIN(100,N38*(1-'Specialisation Scenarios'!$B$8*AC38)+O38*('Specialisation Scenarios'!$B$8*AC38)))))</x:f>
      </x:c>
      <x:c r="R38" s="576" t="str">
        <x:f>IF(N38="","",IF(AC38=0,N38,MAX(0,MIN(100,N38*(1-'Specialisation Scenarios'!$B$9*AC38)+O38*('Specialisation Scenarios'!$B$9*AC38)))))</x:f>
      </x:c>
      <x:c r="S38" s="584" t="n">
        <x:f>IF(J38="","",COUNTIFS($A$6:$A$172,A38,$J$6:$J$172,"&gt;"&amp;J38)+COUNTIFS($A$6:A38,A38,$J$6:J38,J38))</x:f>
        <x:v>8</x:v>
      </x:c>
      <x:c r="T38" s="584" t="n">
        <x:f>IF(K38="","",COUNTIFS($A$6:$A$172,A38,$K$6:$K$172,"&gt;"&amp;K38)+COUNTIFS($A$6:A38,A38,$K$6:K38,K38))</x:f>
        <x:v>8</x:v>
      </x:c>
      <x:c r="U38" s="584" t="n">
        <x:f>IF(L38="","",COUNTIFS($A$6:$A$172,A38,$L$6:$L$172,"&gt;"&amp;L38)+COUNTIFS($A$6:A38,A38,$L$6:L38,L38))</x:f>
        <x:v>9</x:v>
      </x:c>
      <x:c r="V38" s="584" t="str">
        <x:f>IF(P38="","",COUNTIFS($A$6:$A$172,A38,$P$6:$P$172,"&gt;"&amp;P38)+COUNTIFS($A$6:A38,A38,$P$6:P38,P38))</x:f>
      </x:c>
      <x:c r="W38" s="584" t="str">
        <x:f>IF(Q38="","",COUNTIFS($A$6:$A$172,A38,$Q$6:$Q$172,"&gt;"&amp;Q38)+COUNTIFS($A$6:A38,A38,$Q$6:Q38,Q38))</x:f>
      </x:c>
      <x:c r="X38" s="584" t="str">
        <x:f>IF(R38="","",COUNTIFS($A$6:$A$172,A38,$R$6:$R$172,"&gt;"&amp;R38)+COUNTIFS($A$6:A38,A38,$R$6:R38,R38))</x:f>
      </x:c>
      <x:c r="Y38" s="572" t="str">
        <x:f>IF(V38="","",A38&amp;"|"&amp;V38)</x:f>
      </x:c>
      <x:c r="Z38" s="572" t="str">
        <x:f>IF(W38="","",A38&amp;"|"&amp;W38)</x:f>
      </x:c>
      <x:c r="AA38" s="572" t="str">
        <x:f>IF(X38="","",A38&amp;"|"&amp;X38)</x:f>
      </x:c>
      <x:c r="AB38" s="572" t="str">
        <x:f>IF(A38="","",IF(I38=0,"Offense neutral — no recorded offensive skills",IF(I38&lt;1,"Partial lookup — adjustment scaled",IF(AND(M38="Yes",AC38=0),"Offense adjusted; Guard neutral","Captured"))))</x:f>
        <x:v>Captured</x:v>
      </x:c>
      <x:c r="AC38" s="580" t="n">
        <x:f>IF(SUMIFS('Specialisation Impact'!$M$19:$M$186,'Specialisation Impact'!$A$19:$A$186,A38,'Specialisation Impact'!$B$19:$B$186,B38)=0,0,SUMIFS('Specialisation Impact'!$F$19:$F$186,'Specialisation Impact'!$A$19:$A$186,A38,'Specialisation Impact'!$B$19:$B$186,B38))</x:f>
        <x:v>1</x:v>
      </x:c>
    </x:row>
    <x:row r="39">
      <x:c r="A39" s="571" t="str">
        <x:v>K91</x:v>
      </x:c>
      <x:c r="B39" s="571" t="str">
        <x:v>金灵蛇</x:v>
      </x:c>
      <x:c r="C39" s="575" t="n">
        <x:f>IF($A39="","",AVERAGE(100*((COUNTIF('All Stats'!$D$6:$D$172,"&lt;"&amp;'All Stats'!D39)+(COUNTIF('All Stats'!$D$6:$D$172,'All Stats'!D39)-1)/2)/(COUNT('All Stats'!$D$6:$D$172)-1))^'Specialisation Scenarios'!$X$10,100*((COUNTIF('All Stats'!$G$6:$G$172,"&lt;"&amp;'All Stats'!G39)+(COUNTIF('All Stats'!$G$6:$G$172,'All Stats'!G39)-1)/2)/(COUNT('All Stats'!$G$6:$G$172)-1))^'Specialisation Scenarios'!$X$10,100*((COUNTIF('All Stats'!$I$6:$I$172,"&lt;"&amp;'All Stats'!I39)+(COUNTIF('All Stats'!$I$6:$I$172,'All Stats'!I39)-1)/2)/(COUNT('All Stats'!$I$6:$I$172)-1))^'Specialisation Scenarios'!$X$10))</x:f>
        <x:v>47.51717913174167</x:v>
      </x:c>
      <x:c r="D39" s="575" t="n">
        <x:f>IF($A39="","",AVERAGE(100*((COUNTIF('All Stats'!$R$6:$R$172,"&lt;"&amp;'All Stats'!R39)+(COUNTIF('All Stats'!$R$6:$R$172,'All Stats'!R39)-1)/2)/(COUNT('All Stats'!$R$6:$R$172)-1))^'Specialisation Scenarios'!$X$10,100*((COUNTIF('All Stats'!$U$6:$U$172,"&lt;"&amp;'All Stats'!U39)+(COUNTIF('All Stats'!$U$6:$U$172,'All Stats'!U39)-1)/2)/(COUNT('All Stats'!$U$6:$U$172)-1))^'Specialisation Scenarios'!$X$10,100*((COUNTIF('All Stats'!$W$6:$W$172,"&lt;"&amp;'All Stats'!W39)+(COUNTIF('All Stats'!$W$6:$W$172,'All Stats'!W39)-1)/2)/(COUNT('All Stats'!$W$6:$W$172)-1))^'Specialisation Scenarios'!$X$10))</x:f>
        <x:v>2.4018506067769994</x:v>
      </x:c>
      <x:c r="E39" s="575" t="n">
        <x:f>IF($A39="","",AVERAGE(100*((COUNTIF('All Stats'!$Y$6:$Y$172,"&lt;"&amp;'All Stats'!Y39)+(COUNTIF('All Stats'!$Y$6:$Y$172,'All Stats'!Y39)-1)/2)/(COUNT('All Stats'!$Y$6:$Y$172)-1))^'Specialisation Scenarios'!$X$10,100*((COUNTIF('All Stats'!$AB$6:$AB$172,"&lt;"&amp;'All Stats'!AB39)+(COUNTIF('All Stats'!$AB$6:$AB$172,'All Stats'!AB39)-1)/2)/(COUNT('All Stats'!$AB$6:$AB$172)-1))^'Specialisation Scenarios'!$X$10,100*((COUNTIF('All Stats'!$AD$6:$AD$172,"&lt;"&amp;'All Stats'!AD39)+(COUNTIF('All Stats'!$AD$6:$AD$172,'All Stats'!AD39)-1)/2)/(COUNT('All Stats'!$AD$6:$AD$172)-1))^'Specialisation Scenarios'!$X$10))</x:f>
        <x:v>46.818070662445926</x:v>
      </x:c>
      <x:c r="F39" s="575" t="n">
        <x:f>IF($A39="","",AVERAGE(100*((COUNTIF('All Stats'!$AF$6:$AF$172,"&lt;"&amp;'All Stats'!AF39)+(COUNTIF('All Stats'!$AF$6:$AF$172,'All Stats'!AF39)-1)/2)/(COUNT('All Stats'!$AF$6:$AF$172)-1))^'Specialisation Scenarios'!$X$10,100*((COUNTIF('All Stats'!$AI$6:$AI$172,"&lt;"&amp;'All Stats'!AI39)+(COUNTIF('All Stats'!$AI$6:$AI$172,'All Stats'!AI39)-1)/2)/(COUNT('All Stats'!$AI$6:$AI$172)-1))^'Specialisation Scenarios'!$X$10,100*((COUNTIF('All Stats'!$AK$6:$AK$172,"&lt;"&amp;'All Stats'!AK39)+(COUNTIF('All Stats'!$AK$6:$AK$172,'All Stats'!AK39)-1)/2)/(COUNT('All Stats'!$AK$6:$AK$172)-1))^'Specialisation Scenarios'!$X$10))</x:f>
        <x:v>4.376117004201444</x:v>
      </x:c>
      <x:c r="G39" s="575" t="n">
        <x:f>IF($A39="","",C39*'Specialisation Scenarios'!$X$11+D39*'Specialisation Scenarios'!$X$12+E39*'Specialisation Scenarios'!$X$13+F39*'Specialisation Scenarios'!$X$14)</x:f>
        <x:v>13.90691185070226</x:v>
      </x:c>
      <x:c r="H39" s="575" t="n">
        <x:f>IF(SUMIFS('Specialisation Impact'!$E$19:$E$186,'Specialisation Impact'!$A$19:$A$186,A39,'Specialisation Impact'!$B$19:$B$186,B39)=0,"",SUMIFS('Specialisation Impact'!$S$19:$S$186,'Specialisation Impact'!$A$19:$A$186,A39,'Specialisation Impact'!$B$19:$B$186,B39))</x:f>
        <x:v>17.662337662337663</x:v>
      </x:c>
      <x:c r="I39" s="579" t="n">
        <x:f>IF(SUMIFS('Specialisation Impact'!$E$19:$E$186,'Specialisation Impact'!$A$19:$A$186,A39,'Specialisation Impact'!$B$19:$B$186,B39)=0,0,SUMIFS('Specialisation Impact'!$F$19:$F$186,'Specialisation Impact'!$A$19:$A$186,A39,'Specialisation Impact'!$B$19:$B$186,B39))</x:f>
        <x:v>1</x:v>
      </x:c>
      <x:c r="J39" s="575" t="n">
        <x:f>G39</x:f>
        <x:v>13.90691185070226</x:v>
      </x:c>
      <x:c r="K39" s="575" t="n">
        <x:f>IF(G39="","",IF(I39=0,G39,MAX(0,MIN(100,G39*(1-'Specialisation Scenarios'!$B$8*I39)+H39*('Specialisation Scenarios'!$B$8*I39)))))</x:f>
        <x:v>14.845768303611111</x:v>
      </x:c>
      <x:c r="L39" s="575" t="n">
        <x:f>IF(G39="","",IF(I39=0,G39,MAX(0,MIN(100,G39*(1-'Specialisation Scenarios'!$B$9*I39)+H39*('Specialisation Scenarios'!$B$9*I39)))))</x:f>
        <x:v>15.22131088477465</x:v>
      </x:c>
      <x:c r="M39" s="575" t="str">
        <x:f>IF(COUNTIFS('Tank &amp; Control'!$A$23:$A$189,A39,'Tank &amp; Control'!$B$23:$B$189,B39,'Tank &amp; Control'!$C$23:$C$189,"Yes")&gt;0,"Yes","No")</x:f>
        <x:v>No</x:v>
      </x:c>
      <x:c r="N39" s="575" t="str">
        <x:f>IF(M39&lt;&gt;"Yes","",SUMIFS('Tank &amp; Control'!$L$23:$L$189,'Tank &amp; Control'!$A$23:$A$189,A39,'Tank &amp; Control'!$B$23:$B$189,B39))</x:f>
      </x:c>
      <x:c r="O39" s="575" t="n">
        <x:f>IF(SUMIFS('Specialisation Impact'!$M$19:$M$186,'Specialisation Impact'!$A$19:$A$186,A39,'Specialisation Impact'!$B$19:$B$186,B39)=0,"",SUMIFS('Specialisation Impact'!$V$19:$V$186,'Specialisation Impact'!$A$19:$A$186,A39,'Specialisation Impact'!$B$19:$B$186,B39))</x:f>
        <x:v>14.102564102564102</x:v>
      </x:c>
      <x:c r="P39" s="575" t="str">
        <x:f>IF(N39="","",N39)</x:f>
      </x:c>
      <x:c r="Q39" s="575" t="str">
        <x:f>IF(N39="","",IF(AC39=0,N39,MAX(0,MIN(100,N39*(1-'Specialisation Scenarios'!$B$8*AC39)+O39*('Specialisation Scenarios'!$B$8*AC39)))))</x:f>
      </x:c>
      <x:c r="R39" s="575" t="str">
        <x:f>IF(N39="","",IF(AC39=0,N39,MAX(0,MIN(100,N39*(1-'Specialisation Scenarios'!$B$9*AC39)+O39*('Specialisation Scenarios'!$B$9*AC39)))))</x:f>
      </x:c>
      <x:c r="S39" s="583" t="n">
        <x:f>IF(J39="","",COUNTIFS($A$6:$A$172,A39,$J$6:$J$172,"&gt;"&amp;J39)+COUNTIFS($A$6:A39,A39,$J$6:J39,J39))</x:f>
        <x:v>15</x:v>
      </x:c>
      <x:c r="T39" s="583" t="n">
        <x:f>IF(K39="","",COUNTIFS($A$6:$A$172,A39,$K$6:$K$172,"&gt;"&amp;K39)+COUNTIFS($A$6:A39,A39,$K$6:K39,K39))</x:f>
        <x:v>16</x:v>
      </x:c>
      <x:c r="U39" s="583" t="n">
        <x:f>IF(L39="","",COUNTIFS($A$6:$A$172,A39,$L$6:$L$172,"&gt;"&amp;L39)+COUNTIFS($A$6:A39,A39,$L$6:L39,L39))</x:f>
        <x:v>17</x:v>
      </x:c>
      <x:c r="V39" s="583" t="str">
        <x:f>IF(P39="","",COUNTIFS($A$6:$A$172,A39,$P$6:$P$172,"&gt;"&amp;P39)+COUNTIFS($A$6:A39,A39,$P$6:P39,P39))</x:f>
      </x:c>
      <x:c r="W39" s="583" t="str">
        <x:f>IF(Q39="","",COUNTIFS($A$6:$A$172,A39,$Q$6:$Q$172,"&gt;"&amp;Q39)+COUNTIFS($A$6:A39,A39,$Q$6:Q39,Q39))</x:f>
      </x:c>
      <x:c r="X39" s="583" t="str">
        <x:f>IF(R39="","",COUNTIFS($A$6:$A$172,A39,$R$6:$R$172,"&gt;"&amp;R39)+COUNTIFS($A$6:A39,A39,$R$6:R39,R39))</x:f>
      </x:c>
      <x:c r="Y39" s="571" t="str">
        <x:f>IF(V39="","",A39&amp;"|"&amp;V39)</x:f>
      </x:c>
      <x:c r="Z39" s="571" t="str">
        <x:f>IF(W39="","",A39&amp;"|"&amp;W39)</x:f>
      </x:c>
      <x:c r="AA39" s="571" t="str">
        <x:f>IF(X39="","",A39&amp;"|"&amp;X39)</x:f>
      </x:c>
      <x:c r="AB39" s="571" t="str">
        <x:f>IF(A39="","",IF(I39=0,"Offense neutral — no recorded offensive skills",IF(I39&lt;1,"Partial lookup — adjustment scaled",IF(AND(M39="Yes",AC39=0),"Offense adjusted; Guard neutral","Captured"))))</x:f>
        <x:v>Captured</x:v>
      </x:c>
      <x:c r="AC39" s="579" t="n">
        <x:f>IF(SUMIFS('Specialisation Impact'!$M$19:$M$186,'Specialisation Impact'!$A$19:$A$186,A39,'Specialisation Impact'!$B$19:$B$186,B39)=0,0,SUMIFS('Specialisation Impact'!$F$19:$F$186,'Specialisation Impact'!$A$19:$A$186,A39,'Specialisation Impact'!$B$19:$B$186,B39))</x:f>
        <x:v>1</x:v>
      </x:c>
    </x:row>
    <x:row r="40">
      <x:c r="A40" s="572" t="str">
        <x:v>K91</x:v>
      </x:c>
      <x:c r="B40" s="572" t="str">
        <x:v>Nico•</x:v>
      </x:c>
      <x:c r="C40" s="576" t="n">
        <x:f>IF($A40="","",AVERAGE(100*((COUNTIF('All Stats'!$D$6:$D$172,"&lt;"&amp;'All Stats'!D40)+(COUNTIF('All Stats'!$D$6:$D$172,'All Stats'!D40)-1)/2)/(COUNT('All Stats'!$D$6:$D$172)-1))^'Specialisation Scenarios'!$X$10,100*((COUNTIF('All Stats'!$G$6:$G$172,"&lt;"&amp;'All Stats'!G40)+(COUNTIF('All Stats'!$G$6:$G$172,'All Stats'!G40)-1)/2)/(COUNT('All Stats'!$G$6:$G$172)-1))^'Specialisation Scenarios'!$X$10,100*((COUNTIF('All Stats'!$I$6:$I$172,"&lt;"&amp;'All Stats'!I40)+(COUNTIF('All Stats'!$I$6:$I$172,'All Stats'!I40)-1)/2)/(COUNT('All Stats'!$I$6:$I$172)-1))^'Specialisation Scenarios'!$X$10))</x:f>
        <x:v>10.107121334845964</x:v>
      </x:c>
      <x:c r="D40" s="576" t="n">
        <x:f>IF($A40="","",AVERAGE(100*((COUNTIF('All Stats'!$R$6:$R$172,"&lt;"&amp;'All Stats'!R40)+(COUNTIF('All Stats'!$R$6:$R$172,'All Stats'!R40)-1)/2)/(COUNT('All Stats'!$R$6:$R$172)-1))^'Specialisation Scenarios'!$X$10,100*((COUNTIF('All Stats'!$U$6:$U$172,"&lt;"&amp;'All Stats'!U40)+(COUNTIF('All Stats'!$U$6:$U$172,'All Stats'!U40)-1)/2)/(COUNT('All Stats'!$U$6:$U$172)-1))^'Specialisation Scenarios'!$X$10,100*((COUNTIF('All Stats'!$W$6:$W$172,"&lt;"&amp;'All Stats'!W40)+(COUNTIF('All Stats'!$W$6:$W$172,'All Stats'!W40)-1)/2)/(COUNT('All Stats'!$W$6:$W$172)-1))^'Specialisation Scenarios'!$X$10))</x:f>
        <x:v>6.064977671550687</x:v>
      </x:c>
      <x:c r="E40" s="576" t="n">
        <x:f>IF($A40="","",AVERAGE(100*((COUNTIF('All Stats'!$Y$6:$Y$172,"&lt;"&amp;'All Stats'!Y40)+(COUNTIF('All Stats'!$Y$6:$Y$172,'All Stats'!Y40)-1)/2)/(COUNT('All Stats'!$Y$6:$Y$172)-1))^'Specialisation Scenarios'!$X$10,100*((COUNTIF('All Stats'!$AB$6:$AB$172,"&lt;"&amp;'All Stats'!AB40)+(COUNTIF('All Stats'!$AB$6:$AB$172,'All Stats'!AB40)-1)/2)/(COUNT('All Stats'!$AB$6:$AB$172)-1))^'Specialisation Scenarios'!$X$10,100*((COUNTIF('All Stats'!$AD$6:$AD$172,"&lt;"&amp;'All Stats'!AD40)+(COUNTIF('All Stats'!$AD$6:$AD$172,'All Stats'!AD40)-1)/2)/(COUNT('All Stats'!$AD$6:$AD$172)-1))^'Specialisation Scenarios'!$X$10))</x:f>
        <x:v>24.50116185246439</x:v>
      </x:c>
      <x:c r="F40" s="576" t="n">
        <x:f>IF($A40="","",AVERAGE(100*((COUNTIF('All Stats'!$AF$6:$AF$172,"&lt;"&amp;'All Stats'!AF40)+(COUNTIF('All Stats'!$AF$6:$AF$172,'All Stats'!AF40)-1)/2)/(COUNT('All Stats'!$AF$6:$AF$172)-1))^'Specialisation Scenarios'!$X$10,100*((COUNTIF('All Stats'!$AI$6:$AI$172,"&lt;"&amp;'All Stats'!AI40)+(COUNTIF('All Stats'!$AI$6:$AI$172,'All Stats'!AI40)-1)/2)/(COUNT('All Stats'!$AI$6:$AI$172)-1))^'Specialisation Scenarios'!$X$10,100*((COUNTIF('All Stats'!$AK$6:$AK$172,"&lt;"&amp;'All Stats'!AK40)+(COUNTIF('All Stats'!$AK$6:$AK$172,'All Stats'!AK40)-1)/2)/(COUNT('All Stats'!$AK$6:$AK$172)-1))^'Specialisation Scenarios'!$X$10))</x:f>
        <x:v>3.432718405744066</x:v>
      </x:c>
      <x:c r="G40" s="576" t="n">
        <x:f>IF($A40="","",C40*'Specialisation Scenarios'!$X$11+D40*'Specialisation Scenarios'!$X$12+E40*'Specialisation Scenarios'!$X$13+F40*'Specialisation Scenarios'!$X$14)</x:f>
        <x:v>8.120078749265355</x:v>
      </x:c>
      <x:c r="H40" s="576" t="n">
        <x:f>IF(SUMIFS('Specialisation Impact'!$E$19:$E$186,'Specialisation Impact'!$A$19:$A$186,A40,'Specialisation Impact'!$B$19:$B$186,B40)=0,"",SUMIFS('Specialisation Impact'!$S$19:$S$186,'Specialisation Impact'!$A$19:$A$186,A40,'Specialisation Impact'!$B$19:$B$186,B40))</x:f>
        <x:v>20</x:v>
      </x:c>
      <x:c r="I40" s="580" t="n">
        <x:f>IF(SUMIFS('Specialisation Impact'!$E$19:$E$186,'Specialisation Impact'!$A$19:$A$186,A40,'Specialisation Impact'!$B$19:$B$186,B40)=0,0,SUMIFS('Specialisation Impact'!$F$19:$F$186,'Specialisation Impact'!$A$19:$A$186,A40,'Specialisation Impact'!$B$19:$B$186,B40))</x:f>
        <x:v>1</x:v>
      </x:c>
      <x:c r="J40" s="576" t="n">
        <x:f>G40</x:f>
        <x:v>8.120078749265355</x:v>
      </x:c>
      <x:c r="K40" s="576" t="n">
        <x:f>IF(G40="","",IF(I40=0,G40,MAX(0,MIN(100,G40*(1-'Specialisation Scenarios'!$B$8*I40)+H40*('Specialisation Scenarios'!$B$8*I40)))))</x:f>
        <x:v>11.090059061949017</x:v>
      </x:c>
      <x:c r="L40" s="576" t="n">
        <x:f>IF(G40="","",IF(I40=0,G40,MAX(0,MIN(100,G40*(1-'Specialisation Scenarios'!$B$9*I40)+H40*('Specialisation Scenarios'!$B$9*I40)))))</x:f>
        <x:v>12.27805118702248</x:v>
      </x:c>
      <x:c r="M40" s="576" t="str">
        <x:f>IF(COUNTIFS('Tank &amp; Control'!$A$23:$A$189,A40,'Tank &amp; Control'!$B$23:$B$189,B40,'Tank &amp; Control'!$C$23:$C$189,"Yes")&gt;0,"Yes","No")</x:f>
        <x:v>No</x:v>
      </x:c>
      <x:c r="N40" s="576" t="str">
        <x:f>IF(M40&lt;&gt;"Yes","",SUMIFS('Tank &amp; Control'!$L$23:$L$189,'Tank &amp; Control'!$A$23:$A$189,A40,'Tank &amp; Control'!$B$23:$B$189,B40))</x:f>
      </x:c>
      <x:c r="O40" s="576" t="n">
        <x:f>IF(SUMIFS('Specialisation Impact'!$M$19:$M$186,'Specialisation Impact'!$A$19:$A$186,A40,'Specialisation Impact'!$B$19:$B$186,B40)=0,"",SUMIFS('Specialisation Impact'!$V$19:$V$186,'Specialisation Impact'!$A$19:$A$186,A40,'Specialisation Impact'!$B$19:$B$186,B40))</x:f>
        <x:v>8.547008547008547</x:v>
      </x:c>
      <x:c r="P40" s="576" t="str">
        <x:f>IF(N40="","",N40)</x:f>
      </x:c>
      <x:c r="Q40" s="576" t="str">
        <x:f>IF(N40="","",IF(AC40=0,N40,MAX(0,MIN(100,N40*(1-'Specialisation Scenarios'!$B$8*AC40)+O40*('Specialisation Scenarios'!$B$8*AC40)))))</x:f>
      </x:c>
      <x:c r="R40" s="576" t="str">
        <x:f>IF(N40="","",IF(AC40=0,N40,MAX(0,MIN(100,N40*(1-'Specialisation Scenarios'!$B$9*AC40)+O40*('Specialisation Scenarios'!$B$9*AC40)))))</x:f>
      </x:c>
      <x:c r="S40" s="584" t="n">
        <x:f>IF(J40="","",COUNTIFS($A$6:$A$172,A40,$J$6:$J$172,"&gt;"&amp;J40)+COUNTIFS($A$6:A40,A40,$J$6:J40,J40))</x:f>
        <x:v>18</x:v>
      </x:c>
      <x:c r="T40" s="584" t="n">
        <x:f>IF(K40="","",COUNTIFS($A$6:$A$172,A40,$K$6:$K$172,"&gt;"&amp;K40)+COUNTIFS($A$6:A40,A40,$K$6:K40,K40))</x:f>
        <x:v>18</x:v>
      </x:c>
      <x:c r="U40" s="584" t="n">
        <x:f>IF(L40="","",COUNTIFS($A$6:$A$172,A40,$L$6:$L$172,"&gt;"&amp;L40)+COUNTIFS($A$6:A40,A40,$L$6:L40,L40))</x:f>
        <x:v>18</x:v>
      </x:c>
      <x:c r="V40" s="584" t="str">
        <x:f>IF(P40="","",COUNTIFS($A$6:$A$172,A40,$P$6:$P$172,"&gt;"&amp;P40)+COUNTIFS($A$6:A40,A40,$P$6:P40,P40))</x:f>
      </x:c>
      <x:c r="W40" s="584" t="str">
        <x:f>IF(Q40="","",COUNTIFS($A$6:$A$172,A40,$Q$6:$Q$172,"&gt;"&amp;Q40)+COUNTIFS($A$6:A40,A40,$Q$6:Q40,Q40))</x:f>
      </x:c>
      <x:c r="X40" s="584" t="str">
        <x:f>IF(R40="","",COUNTIFS($A$6:$A$172,A40,$R$6:$R$172,"&gt;"&amp;R40)+COUNTIFS($A$6:A40,A40,$R$6:R40,R40))</x:f>
      </x:c>
      <x:c r="Y40" s="572" t="str">
        <x:f>IF(V40="","",A40&amp;"|"&amp;V40)</x:f>
      </x:c>
      <x:c r="Z40" s="572" t="str">
        <x:f>IF(W40="","",A40&amp;"|"&amp;W40)</x:f>
      </x:c>
      <x:c r="AA40" s="572" t="str">
        <x:f>IF(X40="","",A40&amp;"|"&amp;X40)</x:f>
      </x:c>
      <x:c r="AB40" s="572" t="str">
        <x:f>IF(A40="","",IF(I40=0,"Offense neutral — no recorded offensive skills",IF(I40&lt;1,"Partial lookup — adjustment scaled",IF(AND(M40="Yes",AC40=0),"Offense adjusted; Guard neutral","Captured"))))</x:f>
        <x:v>Captured</x:v>
      </x:c>
      <x:c r="AC40" s="580" t="n">
        <x:f>IF(SUMIFS('Specialisation Impact'!$M$19:$M$186,'Specialisation Impact'!$A$19:$A$186,A40,'Specialisation Impact'!$B$19:$B$186,B40)=0,0,SUMIFS('Specialisation Impact'!$F$19:$F$186,'Specialisation Impact'!$A$19:$A$186,A40,'Specialisation Impact'!$B$19:$B$186,B40))</x:f>
        <x:v>1</x:v>
      </x:c>
    </x:row>
    <x:row r="41">
      <x:c r="A41" s="571" t="str">
        <x:v>K91</x:v>
      </x:c>
      <x:c r="B41" s="571" t="str">
        <x:v>†LORD•ZARIEL†</x:v>
      </x:c>
      <x:c r="C41" s="575" t="n">
        <x:f>IF($A41="","",AVERAGE(100*((COUNTIF('All Stats'!$D$6:$D$172,"&lt;"&amp;'All Stats'!D41)+(COUNTIF('All Stats'!$D$6:$D$172,'All Stats'!D41)-1)/2)/(COUNT('All Stats'!$D$6:$D$172)-1))^'Specialisation Scenarios'!$X$10,100*((COUNTIF('All Stats'!$G$6:$G$172,"&lt;"&amp;'All Stats'!G41)+(COUNTIF('All Stats'!$G$6:$G$172,'All Stats'!G41)-1)/2)/(COUNT('All Stats'!$G$6:$G$172)-1))^'Specialisation Scenarios'!$X$10,100*((COUNTIF('All Stats'!$I$6:$I$172,"&lt;"&amp;'All Stats'!I41)+(COUNTIF('All Stats'!$I$6:$I$172,'All Stats'!I41)-1)/2)/(COUNT('All Stats'!$I$6:$I$172)-1))^'Specialisation Scenarios'!$X$10))</x:f>
        <x:v>15.967527772628772</x:v>
      </x:c>
      <x:c r="D41" s="575" t="n">
        <x:f>IF($A41="","",AVERAGE(100*((COUNTIF('All Stats'!$R$6:$R$172,"&lt;"&amp;'All Stats'!R41)+(COUNTIF('All Stats'!$R$6:$R$172,'All Stats'!R41)-1)/2)/(COUNT('All Stats'!$R$6:$R$172)-1))^'Specialisation Scenarios'!$X$10,100*((COUNTIF('All Stats'!$U$6:$U$172,"&lt;"&amp;'All Stats'!U41)+(COUNTIF('All Stats'!$U$6:$U$172,'All Stats'!U41)-1)/2)/(COUNT('All Stats'!$U$6:$U$172)-1))^'Specialisation Scenarios'!$X$10,100*((COUNTIF('All Stats'!$W$6:$W$172,"&lt;"&amp;'All Stats'!W41)+(COUNTIF('All Stats'!$W$6:$W$172,'All Stats'!W41)-1)/2)/(COUNT('All Stats'!$W$6:$W$172)-1))^'Specialisation Scenarios'!$X$10))</x:f>
        <x:v>2.492923573084934</x:v>
      </x:c>
      <x:c r="E41" s="575" t="n">
        <x:f>IF($A41="","",AVERAGE(100*((COUNTIF('All Stats'!$Y$6:$Y$172,"&lt;"&amp;'All Stats'!Y41)+(COUNTIF('All Stats'!$Y$6:$Y$172,'All Stats'!Y41)-1)/2)/(COUNT('All Stats'!$Y$6:$Y$172)-1))^'Specialisation Scenarios'!$X$10,100*((COUNTIF('All Stats'!$AB$6:$AB$172,"&lt;"&amp;'All Stats'!AB41)+(COUNTIF('All Stats'!$AB$6:$AB$172,'All Stats'!AB41)-1)/2)/(COUNT('All Stats'!$AB$6:$AB$172)-1))^'Specialisation Scenarios'!$X$10,100*((COUNTIF('All Stats'!$AD$6:$AD$172,"&lt;"&amp;'All Stats'!AD41)+(COUNTIF('All Stats'!$AD$6:$AD$172,'All Stats'!AD41)-1)/2)/(COUNT('All Stats'!$AD$6:$AD$172)-1))^'Specialisation Scenarios'!$X$10))</x:f>
        <x:v>26.30370067001351</x:v>
      </x:c>
      <x:c r="F41" s="575" t="n">
        <x:f>IF($A41="","",AVERAGE(100*((COUNTIF('All Stats'!$AF$6:$AF$172,"&lt;"&amp;'All Stats'!AF41)+(COUNTIF('All Stats'!$AF$6:$AF$172,'All Stats'!AF41)-1)/2)/(COUNT('All Stats'!$AF$6:$AF$172)-1))^'Specialisation Scenarios'!$X$10,100*((COUNTIF('All Stats'!$AI$6:$AI$172,"&lt;"&amp;'All Stats'!AI41)+(COUNTIF('All Stats'!$AI$6:$AI$172,'All Stats'!AI41)-1)/2)/(COUNT('All Stats'!$AI$6:$AI$172)-1))^'Specialisation Scenarios'!$X$10,100*((COUNTIF('All Stats'!$AK$6:$AK$172,"&lt;"&amp;'All Stats'!AK41)+(COUNTIF('All Stats'!$AK$6:$AK$172,'All Stats'!AK41)-1)/2)/(COUNT('All Stats'!$AK$6:$AK$172)-1))^'Specialisation Scenarios'!$X$10))</x:f>
        <x:v>4.242801858639448</x:v>
      </x:c>
      <x:c r="G41" s="575" t="n">
        <x:f>IF($A41="","",C41*'Specialisation Scenarios'!$X$11+D41*'Specialisation Scenarios'!$X$12+E41*'Specialisation Scenarios'!$X$13+F41*'Specialisation Scenarios'!$X$14)</x:f>
        <x:v>7.157673655542545</x:v>
      </x:c>
      <x:c r="H41" s="575" t="n">
        <x:f>IF(SUMIFS('Specialisation Impact'!$E$19:$E$186,'Specialisation Impact'!$A$19:$A$186,A41,'Specialisation Impact'!$B$19:$B$186,B41)=0,"",SUMIFS('Specialisation Impact'!$S$19:$S$186,'Specialisation Impact'!$A$19:$A$186,A41,'Specialisation Impact'!$B$19:$B$186,B41))</x:f>
        <x:v>13.311688311688311</x:v>
      </x:c>
      <x:c r="I41" s="579" t="n">
        <x:f>IF(SUMIFS('Specialisation Impact'!$E$19:$E$186,'Specialisation Impact'!$A$19:$A$186,A41,'Specialisation Impact'!$B$19:$B$186,B41)=0,0,SUMIFS('Specialisation Impact'!$F$19:$F$186,'Specialisation Impact'!$A$19:$A$186,A41,'Specialisation Impact'!$B$19:$B$186,B41))</x:f>
        <x:v>1</x:v>
      </x:c>
      <x:c r="J41" s="575" t="n">
        <x:f>G41</x:f>
        <x:v>7.157673655542545</x:v>
      </x:c>
      <x:c r="K41" s="575" t="n">
        <x:f>IF(G41="","",IF(I41=0,G41,MAX(0,MIN(100,G41*(1-'Specialisation Scenarios'!$B$8*I41)+H41*('Specialisation Scenarios'!$B$8*I41)))))</x:f>
        <x:v>8.696177319578986</x:v>
      </x:c>
      <x:c r="L41" s="575" t="n">
        <x:f>IF(G41="","",IF(I41=0,G41,MAX(0,MIN(100,G41*(1-'Specialisation Scenarios'!$B$9*I41)+H41*('Specialisation Scenarios'!$B$9*I41)))))</x:f>
        <x:v>9.311578785193563</x:v>
      </x:c>
      <x:c r="M41" s="575" t="str">
        <x:f>IF(COUNTIFS('Tank &amp; Control'!$A$23:$A$189,A41,'Tank &amp; Control'!$B$23:$B$189,B41,'Tank &amp; Control'!$C$23:$C$189,"Yes")&gt;0,"Yes","No")</x:f>
        <x:v>No</x:v>
      </x:c>
      <x:c r="N41" s="575" t="str">
        <x:f>IF(M41&lt;&gt;"Yes","",SUMIFS('Tank &amp; Control'!$L$23:$L$189,'Tank &amp; Control'!$A$23:$A$189,A41,'Tank &amp; Control'!$B$23:$B$189,B41))</x:f>
      </x:c>
      <x:c r="O41" s="575" t="n">
        <x:f>IF(SUMIFS('Specialisation Impact'!$M$19:$M$186,'Specialisation Impact'!$A$19:$A$186,A41,'Specialisation Impact'!$B$19:$B$186,B41)=0,"",SUMIFS('Specialisation Impact'!$V$19:$V$186,'Specialisation Impact'!$A$19:$A$186,A41,'Specialisation Impact'!$B$19:$B$186,B41))</x:f>
        <x:v>8.547008547008547</x:v>
      </x:c>
      <x:c r="P41" s="575" t="str">
        <x:f>IF(N41="","",N41)</x:f>
      </x:c>
      <x:c r="Q41" s="575" t="str">
        <x:f>IF(N41="","",IF(AC41=0,N41,MAX(0,MIN(100,N41*(1-'Specialisation Scenarios'!$B$8*AC41)+O41*('Specialisation Scenarios'!$B$8*AC41)))))</x:f>
      </x:c>
      <x:c r="R41" s="575" t="str">
        <x:f>IF(N41="","",IF(AC41=0,N41,MAX(0,MIN(100,N41*(1-'Specialisation Scenarios'!$B$9*AC41)+O41*('Specialisation Scenarios'!$B$9*AC41)))))</x:f>
      </x:c>
      <x:c r="S41" s="583" t="n">
        <x:f>IF(J41="","",COUNTIFS($A$6:$A$172,A41,$J$6:$J$172,"&gt;"&amp;J41)+COUNTIFS($A$6:A41,A41,$J$6:J41,J41))</x:f>
        <x:v>19</x:v>
      </x:c>
      <x:c r="T41" s="583" t="n">
        <x:f>IF(K41="","",COUNTIFS($A$6:$A$172,A41,$K$6:$K$172,"&gt;"&amp;K41)+COUNTIFS($A$6:A41,A41,$K$6:K41,K41))</x:f>
        <x:v>20</x:v>
      </x:c>
      <x:c r="U41" s="583" t="n">
        <x:f>IF(L41="","",COUNTIFS($A$6:$A$172,A41,$L$6:$L$172,"&gt;"&amp;L41)+COUNTIFS($A$6:A41,A41,$L$6:L41,L41))</x:f>
        <x:v>20</x:v>
      </x:c>
      <x:c r="V41" s="583" t="str">
        <x:f>IF(P41="","",COUNTIFS($A$6:$A$172,A41,$P$6:$P$172,"&gt;"&amp;P41)+COUNTIFS($A$6:A41,A41,$P$6:P41,P41))</x:f>
      </x:c>
      <x:c r="W41" s="583" t="str">
        <x:f>IF(Q41="","",COUNTIFS($A$6:$A$172,A41,$Q$6:$Q$172,"&gt;"&amp;Q41)+COUNTIFS($A$6:A41,A41,$Q$6:Q41,Q41))</x:f>
      </x:c>
      <x:c r="X41" s="583" t="str">
        <x:f>IF(R41="","",COUNTIFS($A$6:$A$172,A41,$R$6:$R$172,"&gt;"&amp;R41)+COUNTIFS($A$6:A41,A41,$R$6:R41,R41))</x:f>
      </x:c>
      <x:c r="Y41" s="571" t="str">
        <x:f>IF(V41="","",A41&amp;"|"&amp;V41)</x:f>
      </x:c>
      <x:c r="Z41" s="571" t="str">
        <x:f>IF(W41="","",A41&amp;"|"&amp;W41)</x:f>
      </x:c>
      <x:c r="AA41" s="571" t="str">
        <x:f>IF(X41="","",A41&amp;"|"&amp;X41)</x:f>
      </x:c>
      <x:c r="AB41" s="571" t="str">
        <x:f>IF(A41="","",IF(I41=0,"Offense neutral — no recorded offensive skills",IF(I41&lt;1,"Partial lookup — adjustment scaled",IF(AND(M41="Yes",AC41=0),"Offense adjusted; Guard neutral","Captured"))))</x:f>
        <x:v>Captured</x:v>
      </x:c>
      <x:c r="AC41" s="579" t="n">
        <x:f>IF(SUMIFS('Specialisation Impact'!$M$19:$M$186,'Specialisation Impact'!$A$19:$A$186,A41,'Specialisation Impact'!$B$19:$B$186,B41)=0,0,SUMIFS('Specialisation Impact'!$F$19:$F$186,'Specialisation Impact'!$A$19:$A$186,A41,'Specialisation Impact'!$B$19:$B$186,B41))</x:f>
        <x:v>1</x:v>
      </x:c>
    </x:row>
    <x:row r="42">
      <x:c r="A42" s="572" t="str">
        <x:v>K91</x:v>
      </x:c>
      <x:c r="B42" s="572" t="str">
        <x:v>TÜRK 81</x:v>
      </x:c>
      <x:c r="C42" s="576" t="n">
        <x:f>IF($A42="","",AVERAGE(100*((COUNTIF('All Stats'!$D$6:$D$172,"&lt;"&amp;'All Stats'!D42)+(COUNTIF('All Stats'!$D$6:$D$172,'All Stats'!D42)-1)/2)/(COUNT('All Stats'!$D$6:$D$172)-1))^'Specialisation Scenarios'!$X$10,100*((COUNTIF('All Stats'!$G$6:$G$172,"&lt;"&amp;'All Stats'!G42)+(COUNTIF('All Stats'!$G$6:$G$172,'All Stats'!G42)-1)/2)/(COUNT('All Stats'!$G$6:$G$172)-1))^'Specialisation Scenarios'!$X$10,100*((COUNTIF('All Stats'!$I$6:$I$172,"&lt;"&amp;'All Stats'!I42)+(COUNTIF('All Stats'!$I$6:$I$172,'All Stats'!I42)-1)/2)/(COUNT('All Stats'!$I$6:$I$172)-1))^'Specialisation Scenarios'!$X$10))</x:f>
        <x:v>59.385899866334</x:v>
      </x:c>
      <x:c r="D42" s="576" t="n">
        <x:f>IF($A42="","",AVERAGE(100*((COUNTIF('All Stats'!$R$6:$R$172,"&lt;"&amp;'All Stats'!R42)+(COUNTIF('All Stats'!$R$6:$R$172,'All Stats'!R42)-1)/2)/(COUNT('All Stats'!$R$6:$R$172)-1))^'Specialisation Scenarios'!$X$10,100*((COUNTIF('All Stats'!$U$6:$U$172,"&lt;"&amp;'All Stats'!U42)+(COUNTIF('All Stats'!$U$6:$U$172,'All Stats'!U42)-1)/2)/(COUNT('All Stats'!$U$6:$U$172)-1))^'Specialisation Scenarios'!$X$10,100*((COUNTIF('All Stats'!$W$6:$W$172,"&lt;"&amp;'All Stats'!W42)+(COUNTIF('All Stats'!$W$6:$W$172,'All Stats'!W42)-1)/2)/(COUNT('All Stats'!$W$6:$W$172)-1))^'Specialisation Scenarios'!$X$10))</x:f>
        <x:v>5.954224999452138</x:v>
      </x:c>
      <x:c r="E42" s="576" t="n">
        <x:f>IF($A42="","",AVERAGE(100*((COUNTIF('All Stats'!$Y$6:$Y$172,"&lt;"&amp;'All Stats'!Y42)+(COUNTIF('All Stats'!$Y$6:$Y$172,'All Stats'!Y42)-1)/2)/(COUNT('All Stats'!$Y$6:$Y$172)-1))^'Specialisation Scenarios'!$X$10,100*((COUNTIF('All Stats'!$AB$6:$AB$172,"&lt;"&amp;'All Stats'!AB42)+(COUNTIF('All Stats'!$AB$6:$AB$172,'All Stats'!AB42)-1)/2)/(COUNT('All Stats'!$AB$6:$AB$172)-1))^'Specialisation Scenarios'!$X$10,100*((COUNTIF('All Stats'!$AD$6:$AD$172,"&lt;"&amp;'All Stats'!AD42)+(COUNTIF('All Stats'!$AD$6:$AD$172,'All Stats'!AD42)-1)/2)/(COUNT('All Stats'!$AD$6:$AD$172)-1))^'Specialisation Scenarios'!$X$10))</x:f>
        <x:v>63.84696980710563</x:v>
      </x:c>
      <x:c r="F42" s="576" t="n">
        <x:f>IF($A42="","",AVERAGE(100*((COUNTIF('All Stats'!$AF$6:$AF$172,"&lt;"&amp;'All Stats'!AF42)+(COUNTIF('All Stats'!$AF$6:$AF$172,'All Stats'!AF42)-1)/2)/(COUNT('All Stats'!$AF$6:$AF$172)-1))^'Specialisation Scenarios'!$X$10,100*((COUNTIF('All Stats'!$AI$6:$AI$172,"&lt;"&amp;'All Stats'!AI42)+(COUNTIF('All Stats'!$AI$6:$AI$172,'All Stats'!AI42)-1)/2)/(COUNT('All Stats'!$AI$6:$AI$172)-1))^'Specialisation Scenarios'!$X$10,100*((COUNTIF('All Stats'!$AK$6:$AK$172,"&lt;"&amp;'All Stats'!AK42)+(COUNTIF('All Stats'!$AK$6:$AK$172,'All Stats'!AK42)-1)/2)/(COUNT('All Stats'!$AK$6:$AK$172)-1))^'Specialisation Scenarios'!$X$10))</x:f>
        <x:v>7.426513561358198</x:v>
      </x:c>
      <x:c r="G42" s="576" t="n">
        <x:f>IF($A42="","",C42*'Specialisation Scenarios'!$X$11+D42*'Specialisation Scenarios'!$X$12+E42*'Specialisation Scenarios'!$X$13+F42*'Specialisation Scenarios'!$X$14)</x:f>
        <x:v>19.979093994535674</x:v>
      </x:c>
      <x:c r="H42" s="576" t="n">
        <x:f>IF(SUMIFS('Specialisation Impact'!$E$19:$E$186,'Specialisation Impact'!$A$19:$A$186,A42,'Specialisation Impact'!$B$19:$B$186,B42)=0,"",SUMIFS('Specialisation Impact'!$S$19:$S$186,'Specialisation Impact'!$A$19:$A$186,A42,'Specialisation Impact'!$B$19:$B$186,B42))</x:f>
        <x:v>52.20779220779221</x:v>
      </x:c>
      <x:c r="I42" s="580" t="n">
        <x:f>IF(SUMIFS('Specialisation Impact'!$E$19:$E$186,'Specialisation Impact'!$A$19:$A$186,A42,'Specialisation Impact'!$B$19:$B$186,B42)=0,0,SUMIFS('Specialisation Impact'!$F$19:$F$186,'Specialisation Impact'!$A$19:$A$186,A42,'Specialisation Impact'!$B$19:$B$186,B42))</x:f>
        <x:v>1</x:v>
      </x:c>
      <x:c r="J42" s="576" t="n">
        <x:f>G42</x:f>
        <x:v>19.979093994535674</x:v>
      </x:c>
      <x:c r="K42" s="576" t="n">
        <x:f>IF(G42="","",IF(I42=0,G42,MAX(0,MIN(100,G42*(1-'Specialisation Scenarios'!$B$8*I42)+H42*('Specialisation Scenarios'!$B$8*I42)))))</x:f>
        <x:v>28.036268547849808</x:v>
      </x:c>
      <x:c r="L42" s="576" t="n">
        <x:f>IF(G42="","",IF(I42=0,G42,MAX(0,MIN(100,G42*(1-'Specialisation Scenarios'!$B$9*I42)+H42*('Specialisation Scenarios'!$B$9*I42)))))</x:f>
        <x:v>31.25913836917546</x:v>
      </x:c>
      <x:c r="M42" s="576" t="str">
        <x:f>IF(COUNTIFS('Tank &amp; Control'!$A$23:$A$189,A42,'Tank &amp; Control'!$B$23:$B$189,B42,'Tank &amp; Control'!$C$23:$C$189,"Yes")&gt;0,"Yes","No")</x:f>
        <x:v>No</x:v>
      </x:c>
      <x:c r="N42" s="576" t="str">
        <x:f>IF(M42&lt;&gt;"Yes","",SUMIFS('Tank &amp; Control'!$L$23:$L$189,'Tank &amp; Control'!$A$23:$A$189,A42,'Tank &amp; Control'!$B$23:$B$189,B42))</x:f>
      </x:c>
      <x:c r="O42" s="576" t="n">
        <x:f>IF(SUMIFS('Specialisation Impact'!$M$19:$M$186,'Specialisation Impact'!$A$19:$A$186,A42,'Specialisation Impact'!$B$19:$B$186,B42)=0,"",SUMIFS('Specialisation Impact'!$V$19:$V$186,'Specialisation Impact'!$A$19:$A$186,A42,'Specialisation Impact'!$B$19:$B$186,B42))</x:f>
        <x:v>43.58974358974359</x:v>
      </x:c>
      <x:c r="P42" s="576" t="str">
        <x:f>IF(N42="","",N42)</x:f>
      </x:c>
      <x:c r="Q42" s="576" t="str">
        <x:f>IF(N42="","",IF(AC42=0,N42,MAX(0,MIN(100,N42*(1-'Specialisation Scenarios'!$B$8*AC42)+O42*('Specialisation Scenarios'!$B$8*AC42)))))</x:f>
      </x:c>
      <x:c r="R42" s="576" t="str">
        <x:f>IF(N42="","",IF(AC42=0,N42,MAX(0,MIN(100,N42*(1-'Specialisation Scenarios'!$B$9*AC42)+O42*('Specialisation Scenarios'!$B$9*AC42)))))</x:f>
      </x:c>
      <x:c r="S42" s="584" t="n">
        <x:f>IF(J42="","",COUNTIFS($A$6:$A$172,A42,$J$6:$J$172,"&gt;"&amp;J42)+COUNTIFS($A$6:A42,A42,$J$6:J42,J42))</x:f>
        <x:v>7</x:v>
      </x:c>
      <x:c r="T42" s="584" t="n">
        <x:f>IF(K42="","",COUNTIFS($A$6:$A$172,A42,$K$6:$K$172,"&gt;"&amp;K42)+COUNTIFS($A$6:A42,A42,$K$6:K42,K42))</x:f>
        <x:v>6</x:v>
      </x:c>
      <x:c r="U42" s="584" t="n">
        <x:f>IF(L42="","",COUNTIFS($A$6:$A$172,A42,$L$6:$L$172,"&gt;"&amp;L42)+COUNTIFS($A$6:A42,A42,$L$6:L42,L42))</x:f>
        <x:v>6</x:v>
      </x:c>
      <x:c r="V42" s="584" t="str">
        <x:f>IF(P42="","",COUNTIFS($A$6:$A$172,A42,$P$6:$P$172,"&gt;"&amp;P42)+COUNTIFS($A$6:A42,A42,$P$6:P42,P42))</x:f>
      </x:c>
      <x:c r="W42" s="584" t="str">
        <x:f>IF(Q42="","",COUNTIFS($A$6:$A$172,A42,$Q$6:$Q$172,"&gt;"&amp;Q42)+COUNTIFS($A$6:A42,A42,$Q$6:Q42,Q42))</x:f>
      </x:c>
      <x:c r="X42" s="584" t="str">
        <x:f>IF(R42="","",COUNTIFS($A$6:$A$172,A42,$R$6:$R$172,"&gt;"&amp;R42)+COUNTIFS($A$6:A42,A42,$R$6:R42,R42))</x:f>
      </x:c>
      <x:c r="Y42" s="572" t="str">
        <x:f>IF(V42="","",A42&amp;"|"&amp;V42)</x:f>
      </x:c>
      <x:c r="Z42" s="572" t="str">
        <x:f>IF(W42="","",A42&amp;"|"&amp;W42)</x:f>
      </x:c>
      <x:c r="AA42" s="572" t="str">
        <x:f>IF(X42="","",A42&amp;"|"&amp;X42)</x:f>
      </x:c>
      <x:c r="AB42" s="572" t="str">
        <x:f>IF(A42="","",IF(I42=0,"Offense neutral — no recorded offensive skills",IF(I42&lt;1,"Partial lookup — adjustment scaled",IF(AND(M42="Yes",AC42=0),"Offense adjusted; Guard neutral","Captured"))))</x:f>
        <x:v>Captured</x:v>
      </x:c>
      <x:c r="AC42" s="580" t="n">
        <x:f>IF(SUMIFS('Specialisation Impact'!$M$19:$M$186,'Specialisation Impact'!$A$19:$A$186,A42,'Specialisation Impact'!$B$19:$B$186,B42)=0,0,SUMIFS('Specialisation Impact'!$F$19:$F$186,'Specialisation Impact'!$A$19:$A$186,A42,'Specialisation Impact'!$B$19:$B$186,B42))</x:f>
        <x:v>1</x:v>
      </x:c>
    </x:row>
    <x:row r="43">
      <x:c r="A43" s="571" t="str">
        <x:v>K91</x:v>
      </x:c>
      <x:c r="B43" s="571" t="str">
        <x:v>A†RO/</x:v>
      </x:c>
      <x:c r="C43" s="575" t="n">
        <x:f>IF($A43="","",AVERAGE(100*((COUNTIF('All Stats'!$D$6:$D$172,"&lt;"&amp;'All Stats'!D43)+(COUNTIF('All Stats'!$D$6:$D$172,'All Stats'!D43)-1)/2)/(COUNT('All Stats'!$D$6:$D$172)-1))^'Specialisation Scenarios'!$X$10,100*((COUNTIF('All Stats'!$G$6:$G$172,"&lt;"&amp;'All Stats'!G43)+(COUNTIF('All Stats'!$G$6:$G$172,'All Stats'!G43)-1)/2)/(COUNT('All Stats'!$G$6:$G$172)-1))^'Specialisation Scenarios'!$X$10,100*((COUNTIF('All Stats'!$I$6:$I$172,"&lt;"&amp;'All Stats'!I43)+(COUNTIF('All Stats'!$I$6:$I$172,'All Stats'!I43)-1)/2)/(COUNT('All Stats'!$I$6:$I$172)-1))^'Specialisation Scenarios'!$X$10))</x:f>
        <x:v>11.621471499896328</x:v>
      </x:c>
      <x:c r="D43" s="575" t="n">
        <x:f>IF($A43="","",AVERAGE(100*((COUNTIF('All Stats'!$R$6:$R$172,"&lt;"&amp;'All Stats'!R43)+(COUNTIF('All Stats'!$R$6:$R$172,'All Stats'!R43)-1)/2)/(COUNT('All Stats'!$R$6:$R$172)-1))^'Specialisation Scenarios'!$X$10,100*((COUNTIF('All Stats'!$U$6:$U$172,"&lt;"&amp;'All Stats'!U43)+(COUNTIF('All Stats'!$U$6:$U$172,'All Stats'!U43)-1)/2)/(COUNT('All Stats'!$U$6:$U$172)-1))^'Specialisation Scenarios'!$X$10,100*((COUNTIF('All Stats'!$W$6:$W$172,"&lt;"&amp;'All Stats'!W43)+(COUNTIF('All Stats'!$W$6:$W$172,'All Stats'!W43)-1)/2)/(COUNT('All Stats'!$W$6:$W$172)-1))^'Specialisation Scenarios'!$X$10))</x:f>
        <x:v>0.893680933504669</x:v>
      </x:c>
      <x:c r="E43" s="575" t="n">
        <x:f>IF($A43="","",AVERAGE(100*((COUNTIF('All Stats'!$Y$6:$Y$172,"&lt;"&amp;'All Stats'!Y43)+(COUNTIF('All Stats'!$Y$6:$Y$172,'All Stats'!Y43)-1)/2)/(COUNT('All Stats'!$Y$6:$Y$172)-1))^'Specialisation Scenarios'!$X$10,100*((COUNTIF('All Stats'!$AB$6:$AB$172,"&lt;"&amp;'All Stats'!AB43)+(COUNTIF('All Stats'!$AB$6:$AB$172,'All Stats'!AB43)-1)/2)/(COUNT('All Stats'!$AB$6:$AB$172)-1))^'Specialisation Scenarios'!$X$10,100*((COUNTIF('All Stats'!$AD$6:$AD$172,"&lt;"&amp;'All Stats'!AD43)+(COUNTIF('All Stats'!$AD$6:$AD$172,'All Stats'!AD43)-1)/2)/(COUNT('All Stats'!$AD$6:$AD$172)-1))^'Specialisation Scenarios'!$X$10))</x:f>
        <x:v>35.39281311873693</x:v>
      </x:c>
      <x:c r="F43" s="575" t="n">
        <x:f>IF($A43="","",AVERAGE(100*((COUNTIF('All Stats'!$AF$6:$AF$172,"&lt;"&amp;'All Stats'!AF43)+(COUNTIF('All Stats'!$AF$6:$AF$172,'All Stats'!AF43)-1)/2)/(COUNT('All Stats'!$AF$6:$AF$172)-1))^'Specialisation Scenarios'!$X$10,100*((COUNTIF('All Stats'!$AI$6:$AI$172,"&lt;"&amp;'All Stats'!AI43)+(COUNTIF('All Stats'!$AI$6:$AI$172,'All Stats'!AI43)-1)/2)/(COUNT('All Stats'!$AI$6:$AI$172)-1))^'Specialisation Scenarios'!$X$10,100*((COUNTIF('All Stats'!$AK$6:$AK$172,"&lt;"&amp;'All Stats'!AK43)+(COUNTIF('All Stats'!$AK$6:$AK$172,'All Stats'!AK43)-1)/2)/(COUNT('All Stats'!$AK$6:$AK$172)-1))^'Specialisation Scenarios'!$X$10))</x:f>
        <x:v>3.798208466597002</x:v>
      </x:c>
      <x:c r="G43" s="575" t="n">
        <x:f>IF($A43="","",C43*'Specialisation Scenarios'!$X$11+D43*'Specialisation Scenarios'!$X$12+E43*'Specialisation Scenarios'!$X$13+F43*'Specialisation Scenarios'!$X$14)</x:f>
        <x:v>6.388441866950494</x:v>
      </x:c>
      <x:c r="H43" s="575" t="n">
        <x:f>IF(SUMIFS('Specialisation Impact'!$E$19:$E$186,'Specialisation Impact'!$A$19:$A$186,A43,'Specialisation Impact'!$B$19:$B$186,B43)=0,"",SUMIFS('Specialisation Impact'!$S$19:$S$186,'Specialisation Impact'!$A$19:$A$186,A43,'Specialisation Impact'!$B$19:$B$186,B43))</x:f>
        <x:v>35.324675324675326</x:v>
      </x:c>
      <x:c r="I43" s="579" t="n">
        <x:f>IF(SUMIFS('Specialisation Impact'!$E$19:$E$186,'Specialisation Impact'!$A$19:$A$186,A43,'Specialisation Impact'!$B$19:$B$186,B43)=0,0,SUMIFS('Specialisation Impact'!$F$19:$F$186,'Specialisation Impact'!$A$19:$A$186,A43,'Specialisation Impact'!$B$19:$B$186,B43))</x:f>
        <x:v>1</x:v>
      </x:c>
      <x:c r="J43" s="575" t="n">
        <x:f>G43</x:f>
        <x:v>6.388441866950494</x:v>
      </x:c>
      <x:c r="K43" s="575" t="n">
        <x:f>IF(G43="","",IF(I43=0,G43,MAX(0,MIN(100,G43*(1-'Specialisation Scenarios'!$B$8*I43)+H43*('Specialisation Scenarios'!$B$8*I43)))))</x:f>
        <x:v>13.622500231381702</x:v>
      </x:c>
      <x:c r="L43" s="575" t="n">
        <x:f>IF(G43="","",IF(I43=0,G43,MAX(0,MIN(100,G43*(1-'Specialisation Scenarios'!$B$9*I43)+H43*('Specialisation Scenarios'!$B$9*I43)))))</x:f>
        <x:v>16.516123577154183</x:v>
      </x:c>
      <x:c r="M43" s="575" t="str">
        <x:f>IF(COUNTIFS('Tank &amp; Control'!$A$23:$A$189,A43,'Tank &amp; Control'!$B$23:$B$189,B43,'Tank &amp; Control'!$C$23:$C$189,"Yes")&gt;0,"Yes","No")</x:f>
        <x:v>No</x:v>
      </x:c>
      <x:c r="N43" s="575" t="str">
        <x:f>IF(M43&lt;&gt;"Yes","",SUMIFS('Tank &amp; Control'!$L$23:$L$189,'Tank &amp; Control'!$A$23:$A$189,A43,'Tank &amp; Control'!$B$23:$B$189,B43))</x:f>
      </x:c>
      <x:c r="O43" s="575" t="n">
        <x:f>IF(SUMIFS('Specialisation Impact'!$M$19:$M$186,'Specialisation Impact'!$A$19:$A$186,A43,'Specialisation Impact'!$B$19:$B$186,B43)=0,"",SUMIFS('Specialisation Impact'!$V$19:$V$186,'Specialisation Impact'!$A$19:$A$186,A43,'Specialisation Impact'!$B$19:$B$186,B43))</x:f>
        <x:v>8.547008547008547</x:v>
      </x:c>
      <x:c r="P43" s="575" t="str">
        <x:f>IF(N43="","",N43)</x:f>
      </x:c>
      <x:c r="Q43" s="575" t="str">
        <x:f>IF(N43="","",IF(AC43=0,N43,MAX(0,MIN(100,N43*(1-'Specialisation Scenarios'!$B$8*AC43)+O43*('Specialisation Scenarios'!$B$8*AC43)))))</x:f>
      </x:c>
      <x:c r="R43" s="575" t="str">
        <x:f>IF(N43="","",IF(AC43=0,N43,MAX(0,MIN(100,N43*(1-'Specialisation Scenarios'!$B$9*AC43)+O43*('Specialisation Scenarios'!$B$9*AC43)))))</x:f>
      </x:c>
      <x:c r="S43" s="583" t="n">
        <x:f>IF(J43="","",COUNTIFS($A$6:$A$172,A43,$J$6:$J$172,"&gt;"&amp;J43)+COUNTIFS($A$6:A43,A43,$J$6:J43,J43))</x:f>
        <x:v>20</x:v>
      </x:c>
      <x:c r="T43" s="583" t="n">
        <x:f>IF(K43="","",COUNTIFS($A$6:$A$172,A43,$K$6:$K$172,"&gt;"&amp;K43)+COUNTIFS($A$6:A43,A43,$K$6:K43,K43))</x:f>
        <x:v>17</x:v>
      </x:c>
      <x:c r="U43" s="583" t="n">
        <x:f>IF(L43="","",COUNTIFS($A$6:$A$172,A43,$L$6:$L$172,"&gt;"&amp;L43)+COUNTIFS($A$6:A43,A43,$L$6:L43,L43))</x:f>
        <x:v>16</x:v>
      </x:c>
      <x:c r="V43" s="583" t="str">
        <x:f>IF(P43="","",COUNTIFS($A$6:$A$172,A43,$P$6:$P$172,"&gt;"&amp;P43)+COUNTIFS($A$6:A43,A43,$P$6:P43,P43))</x:f>
      </x:c>
      <x:c r="W43" s="583" t="str">
        <x:f>IF(Q43="","",COUNTIFS($A$6:$A$172,A43,$Q$6:$Q$172,"&gt;"&amp;Q43)+COUNTIFS($A$6:A43,A43,$Q$6:Q43,Q43))</x:f>
      </x:c>
      <x:c r="X43" s="583" t="str">
        <x:f>IF(R43="","",COUNTIFS($A$6:$A$172,A43,$R$6:$R$172,"&gt;"&amp;R43)+COUNTIFS($A$6:A43,A43,$R$6:R43,R43))</x:f>
      </x:c>
      <x:c r="Y43" s="571" t="str">
        <x:f>IF(V43="","",A43&amp;"|"&amp;V43)</x:f>
      </x:c>
      <x:c r="Z43" s="571" t="str">
        <x:f>IF(W43="","",A43&amp;"|"&amp;W43)</x:f>
      </x:c>
      <x:c r="AA43" s="571" t="str">
        <x:f>IF(X43="","",A43&amp;"|"&amp;X43)</x:f>
      </x:c>
      <x:c r="AB43" s="571" t="str">
        <x:f>IF(A43="","",IF(I43=0,"Offense neutral — no recorded offensive skills",IF(I43&lt;1,"Partial lookup — adjustment scaled",IF(AND(M43="Yes",AC43=0),"Offense adjusted; Guard neutral","Captured"))))</x:f>
        <x:v>Captured</x:v>
      </x:c>
      <x:c r="AC43" s="579" t="n">
        <x:f>IF(SUMIFS('Specialisation Impact'!$M$19:$M$186,'Specialisation Impact'!$A$19:$A$186,A43,'Specialisation Impact'!$B$19:$B$186,B43)=0,0,SUMIFS('Specialisation Impact'!$F$19:$F$186,'Specialisation Impact'!$A$19:$A$186,A43,'Specialisation Impact'!$B$19:$B$186,B43))</x:f>
        <x:v>1</x:v>
      </x:c>
    </x:row>
    <x:row r="44">
      <x:c r="A44" s="572" t="str">
        <x:v>K91</x:v>
      </x:c>
      <x:c r="B44" s="572" t="str">
        <x:v>Skrapz</x:v>
      </x:c>
      <x:c r="C44" s="576" t="n">
        <x:f>IF($A44="","",AVERAGE(100*((COUNTIF('All Stats'!$D$6:$D$172,"&lt;"&amp;'All Stats'!D44)+(COUNTIF('All Stats'!$D$6:$D$172,'All Stats'!D44)-1)/2)/(COUNT('All Stats'!$D$6:$D$172)-1))^'Specialisation Scenarios'!$X$10,100*((COUNTIF('All Stats'!$G$6:$G$172,"&lt;"&amp;'All Stats'!G44)+(COUNTIF('All Stats'!$G$6:$G$172,'All Stats'!G44)-1)/2)/(COUNT('All Stats'!$G$6:$G$172)-1))^'Specialisation Scenarios'!$X$10,100*((COUNTIF('All Stats'!$I$6:$I$172,"&lt;"&amp;'All Stats'!I44)+(COUNTIF('All Stats'!$I$6:$I$172,'All Stats'!I44)-1)/2)/(COUNT('All Stats'!$I$6:$I$172)-1))^'Specialisation Scenarios'!$X$10))</x:f>
        <x:v>70.7794409989168</x:v>
      </x:c>
      <x:c r="D44" s="576" t="n">
        <x:f>IF($A44="","",AVERAGE(100*((COUNTIF('All Stats'!$R$6:$R$172,"&lt;"&amp;'All Stats'!R44)+(COUNTIF('All Stats'!$R$6:$R$172,'All Stats'!R44)-1)/2)/(COUNT('All Stats'!$R$6:$R$172)-1))^'Specialisation Scenarios'!$X$10,100*((COUNTIF('All Stats'!$U$6:$U$172,"&lt;"&amp;'All Stats'!U44)+(COUNTIF('All Stats'!$U$6:$U$172,'All Stats'!U44)-1)/2)/(COUNT('All Stats'!$U$6:$U$172)-1))^'Specialisation Scenarios'!$X$10,100*((COUNTIF('All Stats'!$W$6:$W$172,"&lt;"&amp;'All Stats'!W44)+(COUNTIF('All Stats'!$W$6:$W$172,'All Stats'!W44)-1)/2)/(COUNT('All Stats'!$W$6:$W$172)-1))^'Specialisation Scenarios'!$X$10))</x:f>
        <x:v>72.17687837763053</x:v>
      </x:c>
      <x:c r="E44" s="576" t="n">
        <x:f>IF($A44="","",AVERAGE(100*((COUNTIF('All Stats'!$Y$6:$Y$172,"&lt;"&amp;'All Stats'!Y44)+(COUNTIF('All Stats'!$Y$6:$Y$172,'All Stats'!Y44)-1)/2)/(COUNT('All Stats'!$Y$6:$Y$172)-1))^'Specialisation Scenarios'!$X$10,100*((COUNTIF('All Stats'!$AB$6:$AB$172,"&lt;"&amp;'All Stats'!AB44)+(COUNTIF('All Stats'!$AB$6:$AB$172,'All Stats'!AB44)-1)/2)/(COUNT('All Stats'!$AB$6:$AB$172)-1))^'Specialisation Scenarios'!$X$10,100*((COUNTIF('All Stats'!$AD$6:$AD$172,"&lt;"&amp;'All Stats'!AD44)+(COUNTIF('All Stats'!$AD$6:$AD$172,'All Stats'!AD44)-1)/2)/(COUNT('All Stats'!$AD$6:$AD$172)-1))^'Specialisation Scenarios'!$X$10))</x:f>
        <x:v>59.176061472652236</x:v>
      </x:c>
      <x:c r="F44" s="576" t="n">
        <x:f>IF($A44="","",AVERAGE(100*((COUNTIF('All Stats'!$AF$6:$AF$172,"&lt;"&amp;'All Stats'!AF44)+(COUNTIF('All Stats'!$AF$6:$AF$172,'All Stats'!AF44)-1)/2)/(COUNT('All Stats'!$AF$6:$AF$172)-1))^'Specialisation Scenarios'!$X$10,100*((COUNTIF('All Stats'!$AI$6:$AI$172,"&lt;"&amp;'All Stats'!AI44)+(COUNTIF('All Stats'!$AI$6:$AI$172,'All Stats'!AI44)-1)/2)/(COUNT('All Stats'!$AI$6:$AI$172)-1))^'Specialisation Scenarios'!$X$10,100*((COUNTIF('All Stats'!$AK$6:$AK$172,"&lt;"&amp;'All Stats'!AK44)+(COUNTIF('All Stats'!$AK$6:$AK$172,'All Stats'!AK44)-1)/2)/(COUNT('All Stats'!$AK$6:$AK$172)-1))^'Specialisation Scenarios'!$X$10))</x:f>
        <x:v>80.93677365627148</x:v>
      </x:c>
      <x:c r="G44" s="576" t="n">
        <x:f>IF($A44="","",C44*'Specialisation Scenarios'!$X$11+D44*'Specialisation Scenarios'!$X$12+E44*'Specialisation Scenarios'!$X$13+F44*'Specialisation Scenarios'!$X$14)</x:f>
        <x:v>71.98116537212178</x:v>
      </x:c>
      <x:c r="H44" s="576" t="n">
        <x:f>IF(SUMIFS('Specialisation Impact'!$E$19:$E$186,'Specialisation Impact'!$A$19:$A$186,A44,'Specialisation Impact'!$B$19:$B$186,B44)=0,"",SUMIFS('Specialisation Impact'!$S$19:$S$186,'Specialisation Impact'!$A$19:$A$186,A44,'Specialisation Impact'!$B$19:$B$186,B44))</x:f>
        <x:v>93.8961038961039</x:v>
      </x:c>
      <x:c r="I44" s="580" t="n">
        <x:f>IF(SUMIFS('Specialisation Impact'!$E$19:$E$186,'Specialisation Impact'!$A$19:$A$186,A44,'Specialisation Impact'!$B$19:$B$186,B44)=0,0,SUMIFS('Specialisation Impact'!$F$19:$F$186,'Specialisation Impact'!$A$19:$A$186,A44,'Specialisation Impact'!$B$19:$B$186,B44))</x:f>
        <x:v>1</x:v>
      </x:c>
      <x:c r="J44" s="576" t="n">
        <x:f>G44</x:f>
        <x:v>71.98116537212178</x:v>
      </x:c>
      <x:c r="K44" s="576" t="n">
        <x:f>IF(G44="","",IF(I44=0,G44,MAX(0,MIN(100,G44*(1-'Specialisation Scenarios'!$B$8*I44)+H44*('Specialisation Scenarios'!$B$8*I44)))))</x:f>
        <x:v>77.45990000311731</x:v>
      </x:c>
      <x:c r="L44" s="576" t="n">
        <x:f>IF(G44="","",IF(I44=0,G44,MAX(0,MIN(100,G44*(1-'Specialisation Scenarios'!$B$9*I44)+H44*('Specialisation Scenarios'!$B$9*I44)))))</x:f>
        <x:v>79.65139385551552</x:v>
      </x:c>
      <x:c r="M44" s="576" t="str">
        <x:f>IF(COUNTIFS('Tank &amp; Control'!$A$23:$A$189,A44,'Tank &amp; Control'!$B$23:$B$189,B44,'Tank &amp; Control'!$C$23:$C$189,"Yes")&gt;0,"Yes","No")</x:f>
        <x:v>Yes</x:v>
      </x:c>
      <x:c r="N44" s="576" t="n">
        <x:f>IF(M44&lt;&gt;"Yes","",SUMIFS('Tank &amp; Control'!$L$23:$L$189,'Tank &amp; Control'!$A$23:$A$189,A44,'Tank &amp; Control'!$B$23:$B$189,B44))</x:f>
        <x:v>28.506871945286193</x:v>
      </x:c>
      <x:c r="O44" s="576" t="n">
        <x:f>IF(SUMIFS('Specialisation Impact'!$M$19:$M$186,'Specialisation Impact'!$A$19:$A$186,A44,'Specialisation Impact'!$B$19:$B$186,B44)=0,"",SUMIFS('Specialisation Impact'!$V$19:$V$186,'Specialisation Impact'!$A$19:$A$186,A44,'Specialisation Impact'!$B$19:$B$186,B44))</x:f>
        <x:v>29.48717948717949</x:v>
      </x:c>
      <x:c r="P44" s="576" t="n">
        <x:f>IF(N44="","",N44)</x:f>
        <x:v>28.506871945286193</x:v>
      </x:c>
      <x:c r="Q44" s="576" t="n">
        <x:f>IF(N44="","",IF(AC44=0,N44,MAX(0,MIN(100,N44*(1-'Specialisation Scenarios'!$B$8*AC44)+O44*('Specialisation Scenarios'!$B$8*AC44)))))</x:f>
        <x:v>28.751948830759517</x:v>
      </x:c>
      <x:c r="R44" s="576" t="n">
        <x:f>IF(N44="","",IF(AC44=0,N44,MAX(0,MIN(100,N44*(1-'Specialisation Scenarios'!$B$9*AC44)+O44*('Specialisation Scenarios'!$B$9*AC44)))))</x:f>
        <x:v>28.849979584948848</x:v>
      </x:c>
      <x:c r="S44" s="584" t="n">
        <x:f>IF(J44="","",COUNTIFS($A$6:$A$172,A44,$J$6:$J$172,"&gt;"&amp;J44)+COUNTIFS($A$6:A44,A44,$J$6:J44,J44))</x:f>
        <x:v>2</x:v>
      </x:c>
      <x:c r="T44" s="584" t="n">
        <x:f>IF(K44="","",COUNTIFS($A$6:$A$172,A44,$K$6:$K$172,"&gt;"&amp;K44)+COUNTIFS($A$6:A44,A44,$K$6:K44,K44))</x:f>
        <x:v>2</x:v>
      </x:c>
      <x:c r="U44" s="584" t="n">
        <x:f>IF(L44="","",COUNTIFS($A$6:$A$172,A44,$L$6:$L$172,"&gt;"&amp;L44)+COUNTIFS($A$6:A44,A44,$L$6:L44,L44))</x:f>
        <x:v>2</x:v>
      </x:c>
      <x:c r="V44" s="584" t="n">
        <x:f>IF(P44="","",COUNTIFS($A$6:$A$172,A44,$P$6:$P$172,"&gt;"&amp;P44)+COUNTIFS($A$6:A44,A44,$P$6:P44,P44))</x:f>
        <x:v>2</x:v>
      </x:c>
      <x:c r="W44" s="584" t="n">
        <x:f>IF(Q44="","",COUNTIFS($A$6:$A$172,A44,$Q$6:$Q$172,"&gt;"&amp;Q44)+COUNTIFS($A$6:A44,A44,$Q$6:Q44,Q44))</x:f>
        <x:v>2</x:v>
      </x:c>
      <x:c r="X44" s="584" t="n">
        <x:f>IF(R44="","",COUNTIFS($A$6:$A$172,A44,$R$6:$R$172,"&gt;"&amp;R44)+COUNTIFS($A$6:A44,A44,$R$6:R44,R44))</x:f>
        <x:v>2</x:v>
      </x:c>
      <x:c r="Y44" s="572" t="str">
        <x:f>IF(V44="","",A44&amp;"|"&amp;V44)</x:f>
        <x:v>K91|2</x:v>
      </x:c>
      <x:c r="Z44" s="572" t="str">
        <x:f>IF(W44="","",A44&amp;"|"&amp;W44)</x:f>
        <x:v>K91|2</x:v>
      </x:c>
      <x:c r="AA44" s="572" t="str">
        <x:f>IF(X44="","",A44&amp;"|"&amp;X44)</x:f>
        <x:v>K91|2</x:v>
      </x:c>
      <x:c r="AB44" s="572" t="str">
        <x:f>IF(A44="","",IF(I44=0,"Offense neutral — no recorded offensive skills",IF(I44&lt;1,"Partial lookup — adjustment scaled",IF(AND(M44="Yes",AC44=0),"Offense adjusted; Guard neutral","Captured"))))</x:f>
        <x:v>Captured</x:v>
      </x:c>
      <x:c r="AC44" s="580" t="n">
        <x:f>IF(SUMIFS('Specialisation Impact'!$M$19:$M$186,'Specialisation Impact'!$A$19:$A$186,A44,'Specialisation Impact'!$B$19:$B$186,B44)=0,0,SUMIFS('Specialisation Impact'!$F$19:$F$186,'Specialisation Impact'!$A$19:$A$186,A44,'Specialisation Impact'!$B$19:$B$186,B44))</x:f>
        <x:v>1</x:v>
      </x:c>
    </x:row>
    <x:row r="45">
      <x:c r="A45" s="571" t="str">
        <x:v>K91</x:v>
      </x:c>
      <x:c r="B45" s="571" t="str">
        <x:v>JustBlaze</x:v>
      </x:c>
      <x:c r="C45" s="575" t="n">
        <x:f>IF($A45="","",AVERAGE(100*((COUNTIF('All Stats'!$D$6:$D$172,"&lt;"&amp;'All Stats'!D45)+(COUNTIF('All Stats'!$D$6:$D$172,'All Stats'!D45)-1)/2)/(COUNT('All Stats'!$D$6:$D$172)-1))^'Specialisation Scenarios'!$X$10,100*((COUNTIF('All Stats'!$G$6:$G$172,"&lt;"&amp;'All Stats'!G45)+(COUNTIF('All Stats'!$G$6:$G$172,'All Stats'!G45)-1)/2)/(COUNT('All Stats'!$G$6:$G$172)-1))^'Specialisation Scenarios'!$X$10,100*((COUNTIF('All Stats'!$I$6:$I$172,"&lt;"&amp;'All Stats'!I45)+(COUNTIF('All Stats'!$I$6:$I$172,'All Stats'!I45)-1)/2)/(COUNT('All Stats'!$I$6:$I$172)-1))^'Specialisation Scenarios'!$X$10))</x:f>
        <x:v>27.31537545602639</x:v>
      </x:c>
      <x:c r="D45" s="575" t="n">
        <x:f>IF($A45="","",AVERAGE(100*((COUNTIF('All Stats'!$R$6:$R$172,"&lt;"&amp;'All Stats'!R45)+(COUNTIF('All Stats'!$R$6:$R$172,'All Stats'!R45)-1)/2)/(COUNT('All Stats'!$R$6:$R$172)-1))^'Specialisation Scenarios'!$X$10,100*((COUNTIF('All Stats'!$U$6:$U$172,"&lt;"&amp;'All Stats'!U45)+(COUNTIF('All Stats'!$U$6:$U$172,'All Stats'!U45)-1)/2)/(COUNT('All Stats'!$U$6:$U$172)-1))^'Specialisation Scenarios'!$X$10,100*((COUNTIF('All Stats'!$W$6:$W$172,"&lt;"&amp;'All Stats'!W45)+(COUNTIF('All Stats'!$W$6:$W$172,'All Stats'!W45)-1)/2)/(COUNT('All Stats'!$W$6:$W$172)-1))^'Specialisation Scenarios'!$X$10))</x:f>
        <x:v>25.777066833985092</x:v>
      </x:c>
      <x:c r="E45" s="575" t="n">
        <x:f>IF($A45="","",AVERAGE(100*((COUNTIF('All Stats'!$Y$6:$Y$172,"&lt;"&amp;'All Stats'!Y45)+(COUNTIF('All Stats'!$Y$6:$Y$172,'All Stats'!Y45)-1)/2)/(COUNT('All Stats'!$Y$6:$Y$172)-1))^'Specialisation Scenarios'!$X$10,100*((COUNTIF('All Stats'!$AB$6:$AB$172,"&lt;"&amp;'All Stats'!AB45)+(COUNTIF('All Stats'!$AB$6:$AB$172,'All Stats'!AB45)-1)/2)/(COUNT('All Stats'!$AB$6:$AB$172)-1))^'Specialisation Scenarios'!$X$10,100*((COUNTIF('All Stats'!$AD$6:$AD$172,"&lt;"&amp;'All Stats'!AD45)+(COUNTIF('All Stats'!$AD$6:$AD$172,'All Stats'!AD45)-1)/2)/(COUNT('All Stats'!$AD$6:$AD$172)-1))^'Specialisation Scenarios'!$X$10))</x:f>
        <x:v>40.34828583226775</x:v>
      </x:c>
      <x:c r="F45" s="575" t="n">
        <x:f>IF($A45="","",AVERAGE(100*((COUNTIF('All Stats'!$AF$6:$AF$172,"&lt;"&amp;'All Stats'!AF45)+(COUNTIF('All Stats'!$AF$6:$AF$172,'All Stats'!AF45)-1)/2)/(COUNT('All Stats'!$AF$6:$AF$172)-1))^'Specialisation Scenarios'!$X$10,100*((COUNTIF('All Stats'!$AI$6:$AI$172,"&lt;"&amp;'All Stats'!AI45)+(COUNTIF('All Stats'!$AI$6:$AI$172,'All Stats'!AI45)-1)/2)/(COUNT('All Stats'!$AI$6:$AI$172)-1))^'Specialisation Scenarios'!$X$10,100*((COUNTIF('All Stats'!$AK$6:$AK$172,"&lt;"&amp;'All Stats'!AK45)+(COUNTIF('All Stats'!$AK$6:$AK$172,'All Stats'!AK45)-1)/2)/(COUNT('All Stats'!$AK$6:$AK$172)-1))^'Specialisation Scenarios'!$X$10))</x:f>
        <x:v>24.92668517878201</x:v>
      </x:c>
      <x:c r="G45" s="575" t="n">
        <x:f>IF($A45="","",C45*'Specialisation Scenarios'!$X$11+D45*'Specialisation Scenarios'!$X$12+E45*'Specialisation Scenarios'!$X$13+F45*'Specialisation Scenarios'!$X$14)</x:f>
        <x:v>27.33737777883909</x:v>
      </x:c>
      <x:c r="H45" s="575" t="n">
        <x:f>IF(SUMIFS('Specialisation Impact'!$E$19:$E$186,'Specialisation Impact'!$A$19:$A$186,A45,'Specialisation Impact'!$B$19:$B$186,B45)=0,"",SUMIFS('Specialisation Impact'!$S$19:$S$186,'Specialisation Impact'!$A$19:$A$186,A45,'Specialisation Impact'!$B$19:$B$186,B45))</x:f>
        <x:v>65.1948051948052</x:v>
      </x:c>
      <x:c r="I45" s="579" t="n">
        <x:f>IF(SUMIFS('Specialisation Impact'!$E$19:$E$186,'Specialisation Impact'!$A$19:$A$186,A45,'Specialisation Impact'!$B$19:$B$186,B45)=0,0,SUMIFS('Specialisation Impact'!$F$19:$F$186,'Specialisation Impact'!$A$19:$A$186,A45,'Specialisation Impact'!$B$19:$B$186,B45))</x:f>
        <x:v>1</x:v>
      </x:c>
      <x:c r="J45" s="575" t="n">
        <x:f>G45</x:f>
        <x:v>27.33737777883909</x:v>
      </x:c>
      <x:c r="K45" s="575" t="n">
        <x:f>IF(G45="","",IF(I45=0,G45,MAX(0,MIN(100,G45*(1-'Specialisation Scenarios'!$B$8*I45)+H45*('Specialisation Scenarios'!$B$8*I45)))))</x:f>
        <x:v>36.801734632830616</x:v>
      </x:c>
      <x:c r="L45" s="575" t="n">
        <x:f>IF(G45="","",IF(I45=0,G45,MAX(0,MIN(100,G45*(1-'Specialisation Scenarios'!$B$9*I45)+H45*('Specialisation Scenarios'!$B$9*I45)))))</x:f>
        <x:v>40.58747737442722</x:v>
      </x:c>
      <x:c r="M45" s="575" t="str">
        <x:f>IF(COUNTIFS('Tank &amp; Control'!$A$23:$A$189,A45,'Tank &amp; Control'!$B$23:$B$189,B45,'Tank &amp; Control'!$C$23:$C$189,"Yes")&gt;0,"Yes","No")</x:f>
        <x:v>No</x:v>
      </x:c>
      <x:c r="N45" s="575" t="str">
        <x:f>IF(M45&lt;&gt;"Yes","",SUMIFS('Tank &amp; Control'!$L$23:$L$189,'Tank &amp; Control'!$A$23:$A$189,A45,'Tank &amp; Control'!$B$23:$B$189,B45))</x:f>
      </x:c>
      <x:c r="O45" s="575" t="n">
        <x:f>IF(SUMIFS('Specialisation Impact'!$M$19:$M$186,'Specialisation Impact'!$A$19:$A$186,A45,'Specialisation Impact'!$B$19:$B$186,B45)=0,"",SUMIFS('Specialisation Impact'!$V$19:$V$186,'Specialisation Impact'!$A$19:$A$186,A45,'Specialisation Impact'!$B$19:$B$186,B45))</x:f>
        <x:v>3.4188034188034186</x:v>
      </x:c>
      <x:c r="P45" s="575" t="str">
        <x:f>IF(N45="","",N45)</x:f>
      </x:c>
      <x:c r="Q45" s="575" t="str">
        <x:f>IF(N45="","",IF(AC45=0,N45,MAX(0,MIN(100,N45*(1-'Specialisation Scenarios'!$B$8*AC45)+O45*('Specialisation Scenarios'!$B$8*AC45)))))</x:f>
      </x:c>
      <x:c r="R45" s="575" t="str">
        <x:f>IF(N45="","",IF(AC45=0,N45,MAX(0,MIN(100,N45*(1-'Specialisation Scenarios'!$B$9*AC45)+O45*('Specialisation Scenarios'!$B$9*AC45)))))</x:f>
      </x:c>
      <x:c r="S45" s="583" t="n">
        <x:f>IF(J45="","",COUNTIFS($A$6:$A$172,A45,$J$6:$J$172,"&gt;"&amp;J45)+COUNTIFS($A$6:A45,A45,$J$6:J45,J45))</x:f>
        <x:v>4</x:v>
      </x:c>
      <x:c r="T45" s="583" t="n">
        <x:f>IF(K45="","",COUNTIFS($A$6:$A$172,A45,$K$6:$K$172,"&gt;"&amp;K45)+COUNTIFS($A$6:A45,A45,$K$6:K45,K45))</x:f>
        <x:v>4</x:v>
      </x:c>
      <x:c r="U45" s="583" t="n">
        <x:f>IF(L45="","",COUNTIFS($A$6:$A$172,A45,$L$6:$L$172,"&gt;"&amp;L45)+COUNTIFS($A$6:A45,A45,$L$6:L45,L45))</x:f>
        <x:v>4</x:v>
      </x:c>
      <x:c r="V45" s="583" t="str">
        <x:f>IF(P45="","",COUNTIFS($A$6:$A$172,A45,$P$6:$P$172,"&gt;"&amp;P45)+COUNTIFS($A$6:A45,A45,$P$6:P45,P45))</x:f>
      </x:c>
      <x:c r="W45" s="583" t="str">
        <x:f>IF(Q45="","",COUNTIFS($A$6:$A$172,A45,$Q$6:$Q$172,"&gt;"&amp;Q45)+COUNTIFS($A$6:A45,A45,$Q$6:Q45,Q45))</x:f>
      </x:c>
      <x:c r="X45" s="583" t="str">
        <x:f>IF(R45="","",COUNTIFS($A$6:$A$172,A45,$R$6:$R$172,"&gt;"&amp;R45)+COUNTIFS($A$6:A45,A45,$R$6:R45,R45))</x:f>
      </x:c>
      <x:c r="Y45" s="571" t="str">
        <x:f>IF(V45="","",A45&amp;"|"&amp;V45)</x:f>
      </x:c>
      <x:c r="Z45" s="571" t="str">
        <x:f>IF(W45="","",A45&amp;"|"&amp;W45)</x:f>
      </x:c>
      <x:c r="AA45" s="571" t="str">
        <x:f>IF(X45="","",A45&amp;"|"&amp;X45)</x:f>
      </x:c>
      <x:c r="AB45" s="571" t="str">
        <x:f>IF(A45="","",IF(I45=0,"Offense neutral — no recorded offensive skills",IF(I45&lt;1,"Partial lookup — adjustment scaled",IF(AND(M45="Yes",AC45=0),"Offense adjusted; Guard neutral","Captured"))))</x:f>
        <x:v>Captured</x:v>
      </x:c>
      <x:c r="AC45" s="579" t="n">
        <x:f>IF(SUMIFS('Specialisation Impact'!$M$19:$M$186,'Specialisation Impact'!$A$19:$A$186,A45,'Specialisation Impact'!$B$19:$B$186,B45)=0,0,SUMIFS('Specialisation Impact'!$F$19:$F$186,'Specialisation Impact'!$A$19:$A$186,A45,'Specialisation Impact'!$B$19:$B$186,B45))</x:f>
        <x:v>1</x:v>
      </x:c>
    </x:row>
    <x:row r="46">
      <x:c r="A46" s="572" t="str">
        <x:v>K91</x:v>
      </x:c>
      <x:c r="B46" s="572" t="str">
        <x:v>KaladinTheHerald</x:v>
      </x:c>
      <x:c r="C46" s="576" t="n">
        <x:f>IF($A46="","",AVERAGE(100*((COUNTIF('All Stats'!$D$6:$D$172,"&lt;"&amp;'All Stats'!D46)+(COUNTIF('All Stats'!$D$6:$D$172,'All Stats'!D46)-1)/2)/(COUNT('All Stats'!$D$6:$D$172)-1))^'Specialisation Scenarios'!$X$10,100*((COUNTIF('All Stats'!$G$6:$G$172,"&lt;"&amp;'All Stats'!G46)+(COUNTIF('All Stats'!$G$6:$G$172,'All Stats'!G46)-1)/2)/(COUNT('All Stats'!$G$6:$G$172)-1))^'Specialisation Scenarios'!$X$10,100*((COUNTIF('All Stats'!$I$6:$I$172,"&lt;"&amp;'All Stats'!I46)+(COUNTIF('All Stats'!$I$6:$I$172,'All Stats'!I46)-1)/2)/(COUNT('All Stats'!$I$6:$I$172)-1))^'Specialisation Scenarios'!$X$10))</x:f>
        <x:v>37.94210520521435</x:v>
      </x:c>
      <x:c r="D46" s="576" t="n">
        <x:f>IF($A46="","",AVERAGE(100*((COUNTIF('All Stats'!$R$6:$R$172,"&lt;"&amp;'All Stats'!R46)+(COUNTIF('All Stats'!$R$6:$R$172,'All Stats'!R46)-1)/2)/(COUNT('All Stats'!$R$6:$R$172)-1))^'Specialisation Scenarios'!$X$10,100*((COUNTIF('All Stats'!$U$6:$U$172,"&lt;"&amp;'All Stats'!U46)+(COUNTIF('All Stats'!$U$6:$U$172,'All Stats'!U46)-1)/2)/(COUNT('All Stats'!$U$6:$U$172)-1))^'Specialisation Scenarios'!$X$10,100*((COUNTIF('All Stats'!$W$6:$W$172,"&lt;"&amp;'All Stats'!W46)+(COUNTIF('All Stats'!$W$6:$W$172,'All Stats'!W46)-1)/2)/(COUNT('All Stats'!$W$6:$W$172)-1))^'Specialisation Scenarios'!$X$10))</x:f>
        <x:v>63.239031112373745</x:v>
      </x:c>
      <x:c r="E46" s="576" t="n">
        <x:f>IF($A46="","",AVERAGE(100*((COUNTIF('All Stats'!$Y$6:$Y$172,"&lt;"&amp;'All Stats'!Y46)+(COUNTIF('All Stats'!$Y$6:$Y$172,'All Stats'!Y46)-1)/2)/(COUNT('All Stats'!$Y$6:$Y$172)-1))^'Specialisation Scenarios'!$X$10,100*((COUNTIF('All Stats'!$AB$6:$AB$172,"&lt;"&amp;'All Stats'!AB46)+(COUNTIF('All Stats'!$AB$6:$AB$172,'All Stats'!AB46)-1)/2)/(COUNT('All Stats'!$AB$6:$AB$172)-1))^'Specialisation Scenarios'!$X$10,100*((COUNTIF('All Stats'!$AD$6:$AD$172,"&lt;"&amp;'All Stats'!AD46)+(COUNTIF('All Stats'!$AD$6:$AD$172,'All Stats'!AD46)-1)/2)/(COUNT('All Stats'!$AD$6:$AD$172)-1))^'Specialisation Scenarios'!$X$10))</x:f>
        <x:v>21.739074147285113</x:v>
      </x:c>
      <x:c r="F46" s="576" t="n">
        <x:f>IF($A46="","",AVERAGE(100*((COUNTIF('All Stats'!$AF$6:$AF$172,"&lt;"&amp;'All Stats'!AF46)+(COUNTIF('All Stats'!$AF$6:$AF$172,'All Stats'!AF46)-1)/2)/(COUNT('All Stats'!$AF$6:$AF$172)-1))^'Specialisation Scenarios'!$X$10,100*((COUNTIF('All Stats'!$AI$6:$AI$172,"&lt;"&amp;'All Stats'!AI46)+(COUNTIF('All Stats'!$AI$6:$AI$172,'All Stats'!AI46)-1)/2)/(COUNT('All Stats'!$AI$6:$AI$172)-1))^'Specialisation Scenarios'!$X$10,100*((COUNTIF('All Stats'!$AK$6:$AK$172,"&lt;"&amp;'All Stats'!AK46)+(COUNTIF('All Stats'!$AK$6:$AK$172,'All Stats'!AK46)-1)/2)/(COUNT('All Stats'!$AK$6:$AK$172)-1))^'Specialisation Scenarios'!$X$10))</x:f>
        <x:v>33.07283376952001</x:v>
      </x:c>
      <x:c r="G46" s="576" t="n">
        <x:f>IF($A46="","",C46*'Specialisation Scenarios'!$X$11+D46*'Specialisation Scenarios'!$X$12+E46*'Specialisation Scenarios'!$X$13+F46*'Specialisation Scenarios'!$X$14)</x:f>
        <x:v>50.76956692836291</x:v>
      </x:c>
      <x:c r="H46" s="576" t="n">
        <x:f>IF(SUMIFS('Specialisation Impact'!$E$19:$E$186,'Specialisation Impact'!$A$19:$A$186,A46,'Specialisation Impact'!$B$19:$B$186,B46)=0,"",SUMIFS('Specialisation Impact'!$S$19:$S$186,'Specialisation Impact'!$A$19:$A$186,A46,'Specialisation Impact'!$B$19:$B$186,B46))</x:f>
        <x:v>62.72727272727273</x:v>
      </x:c>
      <x:c r="I46" s="580" t="n">
        <x:f>IF(SUMIFS('Specialisation Impact'!$E$19:$E$186,'Specialisation Impact'!$A$19:$A$186,A46,'Specialisation Impact'!$B$19:$B$186,B46)=0,0,SUMIFS('Specialisation Impact'!$F$19:$F$186,'Specialisation Impact'!$A$19:$A$186,A46,'Specialisation Impact'!$B$19:$B$186,B46))</x:f>
        <x:v>1</x:v>
      </x:c>
      <x:c r="J46" s="576" t="n">
        <x:f>G46</x:f>
        <x:v>50.76956692836291</x:v>
      </x:c>
      <x:c r="K46" s="576" t="n">
        <x:f>IF(G46="","",IF(I46=0,G46,MAX(0,MIN(100,G46*(1-'Specialisation Scenarios'!$B$8*I46)+H46*('Specialisation Scenarios'!$B$8*I46)))))</x:f>
        <x:v>53.758993378090366</x:v>
      </x:c>
      <x:c r="L46" s="576" t="n">
        <x:f>IF(G46="","",IF(I46=0,G46,MAX(0,MIN(100,G46*(1-'Specialisation Scenarios'!$B$9*I46)+H46*('Specialisation Scenarios'!$B$9*I46)))))</x:f>
        <x:v>54.95476395798135</x:v>
      </x:c>
      <x:c r="M46" s="576" t="str">
        <x:f>IF(COUNTIFS('Tank &amp; Control'!$A$23:$A$189,A46,'Tank &amp; Control'!$B$23:$B$189,B46,'Tank &amp; Control'!$C$23:$C$189,"Yes")&gt;0,"Yes","No")</x:f>
        <x:v>No</x:v>
      </x:c>
      <x:c r="N46" s="576" t="str">
        <x:f>IF(M46&lt;&gt;"Yes","",SUMIFS('Tank &amp; Control'!$L$23:$L$189,'Tank &amp; Control'!$A$23:$A$189,A46,'Tank &amp; Control'!$B$23:$B$189,B46))</x:f>
      </x:c>
      <x:c r="O46" s="576" t="n">
        <x:f>IF(SUMIFS('Specialisation Impact'!$M$19:$M$186,'Specialisation Impact'!$A$19:$A$186,A46,'Specialisation Impact'!$B$19:$B$186,B46)=0,"",SUMIFS('Specialisation Impact'!$V$19:$V$186,'Specialisation Impact'!$A$19:$A$186,A46,'Specialisation Impact'!$B$19:$B$186,B46))</x:f>
        <x:v>17.094017094017094</x:v>
      </x:c>
      <x:c r="P46" s="576" t="str">
        <x:f>IF(N46="","",N46)</x:f>
      </x:c>
      <x:c r="Q46" s="576" t="str">
        <x:f>IF(N46="","",IF(AC46=0,N46,MAX(0,MIN(100,N46*(1-'Specialisation Scenarios'!$B$8*AC46)+O46*('Specialisation Scenarios'!$B$8*AC46)))))</x:f>
      </x:c>
      <x:c r="R46" s="576" t="str">
        <x:f>IF(N46="","",IF(AC46=0,N46,MAX(0,MIN(100,N46*(1-'Specialisation Scenarios'!$B$9*AC46)+O46*('Specialisation Scenarios'!$B$9*AC46)))))</x:f>
      </x:c>
      <x:c r="S46" s="584" t="n">
        <x:f>IF(J46="","",COUNTIFS($A$6:$A$172,A46,$J$6:$J$172,"&gt;"&amp;J46)+COUNTIFS($A$6:A46,A46,$J$6:J46,J46))</x:f>
        <x:v>3</x:v>
      </x:c>
      <x:c r="T46" s="584" t="n">
        <x:f>IF(K46="","",COUNTIFS($A$6:$A$172,A46,$K$6:$K$172,"&gt;"&amp;K46)+COUNTIFS($A$6:A46,A46,$K$6:K46,K46))</x:f>
        <x:v>3</x:v>
      </x:c>
      <x:c r="U46" s="584" t="n">
        <x:f>IF(L46="","",COUNTIFS($A$6:$A$172,A46,$L$6:$L$172,"&gt;"&amp;L46)+COUNTIFS($A$6:A46,A46,$L$6:L46,L46))</x:f>
        <x:v>3</x:v>
      </x:c>
      <x:c r="V46" s="584" t="str">
        <x:f>IF(P46="","",COUNTIFS($A$6:$A$172,A46,$P$6:$P$172,"&gt;"&amp;P46)+COUNTIFS($A$6:A46,A46,$P$6:P46,P46))</x:f>
      </x:c>
      <x:c r="W46" s="584" t="str">
        <x:f>IF(Q46="","",COUNTIFS($A$6:$A$172,A46,$Q$6:$Q$172,"&gt;"&amp;Q46)+COUNTIFS($A$6:A46,A46,$Q$6:Q46,Q46))</x:f>
      </x:c>
      <x:c r="X46" s="584" t="str">
        <x:f>IF(R46="","",COUNTIFS($A$6:$A$172,A46,$R$6:$R$172,"&gt;"&amp;R46)+COUNTIFS($A$6:A46,A46,$R$6:R46,R46))</x:f>
      </x:c>
      <x:c r="Y46" s="572" t="str">
        <x:f>IF(V46="","",A46&amp;"|"&amp;V46)</x:f>
      </x:c>
      <x:c r="Z46" s="572" t="str">
        <x:f>IF(W46="","",A46&amp;"|"&amp;W46)</x:f>
      </x:c>
      <x:c r="AA46" s="572" t="str">
        <x:f>IF(X46="","",A46&amp;"|"&amp;X46)</x:f>
      </x:c>
      <x:c r="AB46" s="572" t="str">
        <x:f>IF(A46="","",IF(I46=0,"Offense neutral — no recorded offensive skills",IF(I46&lt;1,"Partial lookup — adjustment scaled",IF(AND(M46="Yes",AC46=0),"Offense adjusted; Guard neutral","Captured"))))</x:f>
        <x:v>Captured</x:v>
      </x:c>
      <x:c r="AC46" s="580" t="n">
        <x:f>IF(SUMIFS('Specialisation Impact'!$M$19:$M$186,'Specialisation Impact'!$A$19:$A$186,A46,'Specialisation Impact'!$B$19:$B$186,B46)=0,0,SUMIFS('Specialisation Impact'!$F$19:$F$186,'Specialisation Impact'!$A$19:$A$186,A46,'Specialisation Impact'!$B$19:$B$186,B46))</x:f>
        <x:v>1</x:v>
      </x:c>
    </x:row>
    <x:row r="47">
      <x:c r="A47" s="571" t="str">
        <x:v>K91</x:v>
      </x:c>
      <x:c r="B47" s="571" t="str">
        <x:v>Crash</x:v>
      </x:c>
      <x:c r="C47" s="575" t="n">
        <x:f>IF($A47="","",AVERAGE(100*((COUNTIF('All Stats'!$D$6:$D$172,"&lt;"&amp;'All Stats'!D47)+(COUNTIF('All Stats'!$D$6:$D$172,'All Stats'!D47)-1)/2)/(COUNT('All Stats'!$D$6:$D$172)-1))^'Specialisation Scenarios'!$X$10,100*((COUNTIF('All Stats'!$G$6:$G$172,"&lt;"&amp;'All Stats'!G47)+(COUNTIF('All Stats'!$G$6:$G$172,'All Stats'!G47)-1)/2)/(COUNT('All Stats'!$G$6:$G$172)-1))^'Specialisation Scenarios'!$X$10,100*((COUNTIF('All Stats'!$I$6:$I$172,"&lt;"&amp;'All Stats'!I47)+(COUNTIF('All Stats'!$I$6:$I$172,'All Stats'!I47)-1)/2)/(COUNT('All Stats'!$I$6:$I$172)-1))^'Specialisation Scenarios'!$X$10))</x:f>
        <x:v>3.8265547622753124</x:v>
      </x:c>
      <x:c r="D47" s="575" t="n">
        <x:f>IF($A47="","",AVERAGE(100*((COUNTIF('All Stats'!$R$6:$R$172,"&lt;"&amp;'All Stats'!R47)+(COUNTIF('All Stats'!$R$6:$R$172,'All Stats'!R47)-1)/2)/(COUNT('All Stats'!$R$6:$R$172)-1))^'Specialisation Scenarios'!$X$10,100*((COUNTIF('All Stats'!$U$6:$U$172,"&lt;"&amp;'All Stats'!U47)+(COUNTIF('All Stats'!$U$6:$U$172,'All Stats'!U47)-1)/2)/(COUNT('All Stats'!$U$6:$U$172)-1))^'Specialisation Scenarios'!$X$10,100*((COUNTIF('All Stats'!$W$6:$W$172,"&lt;"&amp;'All Stats'!W47)+(COUNTIF('All Stats'!$W$6:$W$172,'All Stats'!W47)-1)/2)/(COUNT('All Stats'!$W$6:$W$172)-1))^'Specialisation Scenarios'!$X$10))</x:f>
        <x:v>21.451797787289347</x:v>
      </x:c>
      <x:c r="E47" s="575" t="n">
        <x:f>IF($A47="","",AVERAGE(100*((COUNTIF('All Stats'!$Y$6:$Y$172,"&lt;"&amp;'All Stats'!Y47)+(COUNTIF('All Stats'!$Y$6:$Y$172,'All Stats'!Y47)-1)/2)/(COUNT('All Stats'!$Y$6:$Y$172)-1))^'Specialisation Scenarios'!$X$10,100*((COUNTIF('All Stats'!$AB$6:$AB$172,"&lt;"&amp;'All Stats'!AB47)+(COUNTIF('All Stats'!$AB$6:$AB$172,'All Stats'!AB47)-1)/2)/(COUNT('All Stats'!$AB$6:$AB$172)-1))^'Specialisation Scenarios'!$X$10,100*((COUNTIF('All Stats'!$AD$6:$AD$172,"&lt;"&amp;'All Stats'!AD47)+(COUNTIF('All Stats'!$AD$6:$AD$172,'All Stats'!AD47)-1)/2)/(COUNT('All Stats'!$AD$6:$AD$172)-1))^'Specialisation Scenarios'!$X$10))</x:f>
        <x:v>1.81709762667734</x:v>
      </x:c>
      <x:c r="F47" s="575" t="n">
        <x:f>IF($A47="","",AVERAGE(100*((COUNTIF('All Stats'!$AF$6:$AF$172,"&lt;"&amp;'All Stats'!AF47)+(COUNTIF('All Stats'!$AF$6:$AF$172,'All Stats'!AF47)-1)/2)/(COUNT('All Stats'!$AF$6:$AF$172)-1))^'Specialisation Scenarios'!$X$10,100*((COUNTIF('All Stats'!$AI$6:$AI$172,"&lt;"&amp;'All Stats'!AI47)+(COUNTIF('All Stats'!$AI$6:$AI$172,'All Stats'!AI47)-1)/2)/(COUNT('All Stats'!$AI$6:$AI$172)-1))^'Specialisation Scenarios'!$X$10,100*((COUNTIF('All Stats'!$AK$6:$AK$172,"&lt;"&amp;'All Stats'!AK47)+(COUNTIF('All Stats'!$AK$6:$AK$172,'All Stats'!AK47)-1)/2)/(COUNT('All Stats'!$AK$6:$AK$172)-1))^'Specialisation Scenarios'!$X$10))</x:f>
        <x:v>9.354355383692031</x:v>
      </x:c>
      <x:c r="G47" s="575" t="n">
        <x:f>IF($A47="","",C47*'Specialisation Scenarios'!$X$11+D47*'Specialisation Scenarios'!$X$12+E47*'Specialisation Scenarios'!$X$13+F47*'Specialisation Scenarios'!$X$14)</x:f>
        <x:v>15.029924956936444</x:v>
      </x:c>
      <x:c r="H47" s="575" t="n">
        <x:f>IF(SUMIFS('Specialisation Impact'!$E$19:$E$186,'Specialisation Impact'!$A$19:$A$186,A47,'Specialisation Impact'!$B$19:$B$186,B47)=0,"",SUMIFS('Specialisation Impact'!$S$19:$S$186,'Specialisation Impact'!$A$19:$A$186,A47,'Specialisation Impact'!$B$19:$B$186,B47))</x:f>
        <x:v>43.37662337662337</x:v>
      </x:c>
      <x:c r="I47" s="579" t="n">
        <x:f>IF(SUMIFS('Specialisation Impact'!$E$19:$E$186,'Specialisation Impact'!$A$19:$A$186,A47,'Specialisation Impact'!$B$19:$B$186,B47)=0,0,SUMIFS('Specialisation Impact'!$F$19:$F$186,'Specialisation Impact'!$A$19:$A$186,A47,'Specialisation Impact'!$B$19:$B$186,B47))</x:f>
        <x:v>1</x:v>
      </x:c>
      <x:c r="J47" s="575" t="n">
        <x:f>G47</x:f>
        <x:v>15.029924956936444</x:v>
      </x:c>
      <x:c r="K47" s="575" t="n">
        <x:f>IF(G47="","",IF(I47=0,G47,MAX(0,MIN(100,G47*(1-'Specialisation Scenarios'!$B$8*I47)+H47*('Specialisation Scenarios'!$B$8*I47)))))</x:f>
        <x:v>22.116599561858177</x:v>
      </x:c>
      <x:c r="L47" s="575" t="n">
        <x:f>IF(G47="","",IF(I47=0,G47,MAX(0,MIN(100,G47*(1-'Specialisation Scenarios'!$B$9*I47)+H47*('Specialisation Scenarios'!$B$9*I47)))))</x:f>
        <x:v>24.951269403826867</x:v>
      </x:c>
      <x:c r="M47" s="575" t="str">
        <x:f>IF(COUNTIFS('Tank &amp; Control'!$A$23:$A$189,A47,'Tank &amp; Control'!$B$23:$B$189,B47,'Tank &amp; Control'!$C$23:$C$189,"Yes")&gt;0,"Yes","No")</x:f>
        <x:v>No</x:v>
      </x:c>
      <x:c r="N47" s="575" t="str">
        <x:f>IF(M47&lt;&gt;"Yes","",SUMIFS('Tank &amp; Control'!$L$23:$L$189,'Tank &amp; Control'!$A$23:$A$189,A47,'Tank &amp; Control'!$B$23:$B$189,B47))</x:f>
      </x:c>
      <x:c r="O47" s="575" t="n">
        <x:f>IF(SUMIFS('Specialisation Impact'!$M$19:$M$186,'Specialisation Impact'!$A$19:$A$186,A47,'Specialisation Impact'!$B$19:$B$186,B47)=0,"",SUMIFS('Specialisation Impact'!$V$19:$V$186,'Specialisation Impact'!$A$19:$A$186,A47,'Specialisation Impact'!$B$19:$B$186,B47))</x:f>
        <x:v>11.965811965811966</x:v>
      </x:c>
      <x:c r="P47" s="575" t="str">
        <x:f>IF(N47="","",N47)</x:f>
      </x:c>
      <x:c r="Q47" s="575" t="str">
        <x:f>IF(N47="","",IF(AC47=0,N47,MAX(0,MIN(100,N47*(1-'Specialisation Scenarios'!$B$8*AC47)+O47*('Specialisation Scenarios'!$B$8*AC47)))))</x:f>
      </x:c>
      <x:c r="R47" s="575" t="str">
        <x:f>IF(N47="","",IF(AC47=0,N47,MAX(0,MIN(100,N47*(1-'Specialisation Scenarios'!$B$9*AC47)+O47*('Specialisation Scenarios'!$B$9*AC47)))))</x:f>
      </x:c>
      <x:c r="S47" s="583" t="n">
        <x:f>IF(J47="","",COUNTIFS($A$6:$A$172,A47,$J$6:$J$172,"&gt;"&amp;J47)+COUNTIFS($A$6:A47,A47,$J$6:J47,J47))</x:f>
        <x:v>13</x:v>
      </x:c>
      <x:c r="T47" s="583" t="n">
        <x:f>IF(K47="","",COUNTIFS($A$6:$A$172,A47,$K$6:$K$172,"&gt;"&amp;K47)+COUNTIFS($A$6:A47,A47,$K$6:K47,K47))</x:f>
        <x:v>12</x:v>
      </x:c>
      <x:c r="U47" s="583" t="n">
        <x:f>IF(L47="","",COUNTIFS($A$6:$A$172,A47,$L$6:$L$172,"&gt;"&amp;L47)+COUNTIFS($A$6:A47,A47,$L$6:L47,L47))</x:f>
        <x:v>11</x:v>
      </x:c>
      <x:c r="V47" s="583" t="str">
        <x:f>IF(P47="","",COUNTIFS($A$6:$A$172,A47,$P$6:$P$172,"&gt;"&amp;P47)+COUNTIFS($A$6:A47,A47,$P$6:P47,P47))</x:f>
      </x:c>
      <x:c r="W47" s="583" t="str">
        <x:f>IF(Q47="","",COUNTIFS($A$6:$A$172,A47,$Q$6:$Q$172,"&gt;"&amp;Q47)+COUNTIFS($A$6:A47,A47,$Q$6:Q47,Q47))</x:f>
      </x:c>
      <x:c r="X47" s="583" t="str">
        <x:f>IF(R47="","",COUNTIFS($A$6:$A$172,A47,$R$6:$R$172,"&gt;"&amp;R47)+COUNTIFS($A$6:A47,A47,$R$6:R47,R47))</x:f>
      </x:c>
      <x:c r="Y47" s="571" t="str">
        <x:f>IF(V47="","",A47&amp;"|"&amp;V47)</x:f>
      </x:c>
      <x:c r="Z47" s="571" t="str">
        <x:f>IF(W47="","",A47&amp;"|"&amp;W47)</x:f>
      </x:c>
      <x:c r="AA47" s="571" t="str">
        <x:f>IF(X47="","",A47&amp;"|"&amp;X47)</x:f>
      </x:c>
      <x:c r="AB47" s="571" t="str">
        <x:f>IF(A47="","",IF(I47=0,"Offense neutral — no recorded offensive skills",IF(I47&lt;1,"Partial lookup — adjustment scaled",IF(AND(M47="Yes",AC47=0),"Offense adjusted; Guard neutral","Captured"))))</x:f>
        <x:v>Captured</x:v>
      </x:c>
      <x:c r="AC47" s="579" t="n">
        <x:f>IF(SUMIFS('Specialisation Impact'!$M$19:$M$186,'Specialisation Impact'!$A$19:$A$186,A47,'Specialisation Impact'!$B$19:$B$186,B47)=0,0,SUMIFS('Specialisation Impact'!$F$19:$F$186,'Specialisation Impact'!$A$19:$A$186,A47,'Specialisation Impact'!$B$19:$B$186,B47))</x:f>
        <x:v>1</x:v>
      </x:c>
    </x:row>
    <x:row r="48">
      <x:c r="A48" s="572" t="str">
        <x:v>K91</x:v>
      </x:c>
      <x:c r="B48" s="572" t="str">
        <x:v>WindRunner</x:v>
      </x:c>
      <x:c r="C48" s="576" t="n">
        <x:f>IF($A48="","",AVERAGE(100*((COUNTIF('All Stats'!$D$6:$D$172,"&lt;"&amp;'All Stats'!D48)+(COUNTIF('All Stats'!$D$6:$D$172,'All Stats'!D48)-1)/2)/(COUNT('All Stats'!$D$6:$D$172)-1))^'Specialisation Scenarios'!$X$10,100*((COUNTIF('All Stats'!$G$6:$G$172,"&lt;"&amp;'All Stats'!G48)+(COUNTIF('All Stats'!$G$6:$G$172,'All Stats'!G48)-1)/2)/(COUNT('All Stats'!$G$6:$G$172)-1))^'Specialisation Scenarios'!$X$10,100*((COUNTIF('All Stats'!$I$6:$I$172,"&lt;"&amp;'All Stats'!I48)+(COUNTIF('All Stats'!$I$6:$I$172,'All Stats'!I48)-1)/2)/(COUNT('All Stats'!$I$6:$I$172)-1))^'Specialisation Scenarios'!$X$10))</x:f>
        <x:v>23.18960183993191</x:v>
      </x:c>
      <x:c r="D48" s="576" t="n">
        <x:f>IF($A48="","",AVERAGE(100*((COUNTIF('All Stats'!$R$6:$R$172,"&lt;"&amp;'All Stats'!R48)+(COUNTIF('All Stats'!$R$6:$R$172,'All Stats'!R48)-1)/2)/(COUNT('All Stats'!$R$6:$R$172)-1))^'Specialisation Scenarios'!$X$10,100*((COUNTIF('All Stats'!$U$6:$U$172,"&lt;"&amp;'All Stats'!U48)+(COUNTIF('All Stats'!$U$6:$U$172,'All Stats'!U48)-1)/2)/(COUNT('All Stats'!$U$6:$U$172)-1))^'Specialisation Scenarios'!$X$10,100*((COUNTIF('All Stats'!$W$6:$W$172,"&lt;"&amp;'All Stats'!W48)+(COUNTIF('All Stats'!$W$6:$W$172,'All Stats'!W48)-1)/2)/(COUNT('All Stats'!$W$6:$W$172)-1))^'Specialisation Scenarios'!$X$10))</x:f>
        <x:v>0.6998127790140473</x:v>
      </x:c>
      <x:c r="E48" s="576" t="n">
        <x:f>IF($A48="","",AVERAGE(100*((COUNTIF('All Stats'!$Y$6:$Y$172,"&lt;"&amp;'All Stats'!Y48)+(COUNTIF('All Stats'!$Y$6:$Y$172,'All Stats'!Y48)-1)/2)/(COUNT('All Stats'!$Y$6:$Y$172)-1))^'Specialisation Scenarios'!$X$10,100*((COUNTIF('All Stats'!$AB$6:$AB$172,"&lt;"&amp;'All Stats'!AB48)+(COUNTIF('All Stats'!$AB$6:$AB$172,'All Stats'!AB48)-1)/2)/(COUNT('All Stats'!$AB$6:$AB$172)-1))^'Specialisation Scenarios'!$X$10,100*((COUNTIF('All Stats'!$AD$6:$AD$172,"&lt;"&amp;'All Stats'!AD48)+(COUNTIF('All Stats'!$AD$6:$AD$172,'All Stats'!AD48)-1)/2)/(COUNT('All Stats'!$AD$6:$AD$172)-1))^'Specialisation Scenarios'!$X$10))</x:f>
        <x:v>39.63107415714274</x:v>
      </x:c>
      <x:c r="F48" s="576" t="n">
        <x:f>IF($A48="","",AVERAGE(100*((COUNTIF('All Stats'!$AF$6:$AF$172,"&lt;"&amp;'All Stats'!AF48)+(COUNTIF('All Stats'!$AF$6:$AF$172,'All Stats'!AF48)-1)/2)/(COUNT('All Stats'!$AF$6:$AF$172)-1))^'Specialisation Scenarios'!$X$10,100*((COUNTIF('All Stats'!$AI$6:$AI$172,"&lt;"&amp;'All Stats'!AI48)+(COUNTIF('All Stats'!$AI$6:$AI$172,'All Stats'!AI48)-1)/2)/(COUNT('All Stats'!$AI$6:$AI$172)-1))^'Specialisation Scenarios'!$X$10,100*((COUNTIF('All Stats'!$AK$6:$AK$172,"&lt;"&amp;'All Stats'!AK48)+(COUNTIF('All Stats'!$AK$6:$AK$172,'All Stats'!AK48)-1)/2)/(COUNT('All Stats'!$AK$6:$AK$172)-1))^'Specialisation Scenarios'!$X$10))</x:f>
        <x:v>2.128599505741187</x:v>
      </x:c>
      <x:c r="G48" s="576" t="n">
        <x:f>IF($A48="","",C48*'Specialisation Scenarios'!$X$11+D48*'Specialisation Scenarios'!$X$12+E48*'Specialisation Scenarios'!$X$13+F48*'Specialisation Scenarios'!$X$14)</x:f>
        <x:v>8.180725284973667</x:v>
      </x:c>
      <x:c r="H48" s="576" t="n">
        <x:f>IF(SUMIFS('Specialisation Impact'!$E$19:$E$186,'Specialisation Impact'!$A$19:$A$186,A48,'Specialisation Impact'!$B$19:$B$186,B48)=0,"",SUMIFS('Specialisation Impact'!$S$19:$S$186,'Specialisation Impact'!$A$19:$A$186,A48,'Specialisation Impact'!$B$19:$B$186,B48))</x:f>
        <x:v>69.48051948051948</x:v>
      </x:c>
      <x:c r="I48" s="580" t="n">
        <x:f>IF(SUMIFS('Specialisation Impact'!$E$19:$E$186,'Specialisation Impact'!$A$19:$A$186,A48,'Specialisation Impact'!$B$19:$B$186,B48)=0,0,SUMIFS('Specialisation Impact'!$F$19:$F$186,'Specialisation Impact'!$A$19:$A$186,A48,'Specialisation Impact'!$B$19:$B$186,B48))</x:f>
        <x:v>1</x:v>
      </x:c>
      <x:c r="J48" s="576" t="n">
        <x:f>G48</x:f>
        <x:v>8.180725284973667</x:v>
      </x:c>
      <x:c r="K48" s="576" t="n">
        <x:f>IF(G48="","",IF(I48=0,G48,MAX(0,MIN(100,G48*(1-'Specialisation Scenarios'!$B$8*I48)+H48*('Specialisation Scenarios'!$B$8*I48)))))</x:f>
        <x:v>23.50567383386012</x:v>
      </x:c>
      <x:c r="L48" s="576" t="n">
        <x:f>IF(G48="","",IF(I48=0,G48,MAX(0,MIN(100,G48*(1-'Specialisation Scenarios'!$B$9*I48)+H48*('Specialisation Scenarios'!$B$9*I48)))))</x:f>
        <x:v>29.635653253414702</x:v>
      </x:c>
      <x:c r="M48" s="576" t="str">
        <x:f>IF(COUNTIFS('Tank &amp; Control'!$A$23:$A$189,A48,'Tank &amp; Control'!$B$23:$B$189,B48,'Tank &amp; Control'!$C$23:$C$189,"Yes")&gt;0,"Yes","No")</x:f>
        <x:v>No</x:v>
      </x:c>
      <x:c r="N48" s="576" t="str">
        <x:f>IF(M48&lt;&gt;"Yes","",SUMIFS('Tank &amp; Control'!$L$23:$L$189,'Tank &amp; Control'!$A$23:$A$189,A48,'Tank &amp; Control'!$B$23:$B$189,B48))</x:f>
      </x:c>
      <x:c r="O48" s="576" t="n">
        <x:f>IF(SUMIFS('Specialisation Impact'!$M$19:$M$186,'Specialisation Impact'!$A$19:$A$186,A48,'Specialisation Impact'!$B$19:$B$186,B48)=0,"",SUMIFS('Specialisation Impact'!$V$19:$V$186,'Specialisation Impact'!$A$19:$A$186,A48,'Specialisation Impact'!$B$19:$B$186,B48))</x:f>
        <x:v>15.811965811965813</x:v>
      </x:c>
      <x:c r="P48" s="576" t="str">
        <x:f>IF(N48="","",N48)</x:f>
      </x:c>
      <x:c r="Q48" s="576" t="str">
        <x:f>IF(N48="","",IF(AC48=0,N48,MAX(0,MIN(100,N48*(1-'Specialisation Scenarios'!$B$8*AC48)+O48*('Specialisation Scenarios'!$B$8*AC48)))))</x:f>
      </x:c>
      <x:c r="R48" s="576" t="str">
        <x:f>IF(N48="","",IF(AC48=0,N48,MAX(0,MIN(100,N48*(1-'Specialisation Scenarios'!$B$9*AC48)+O48*('Specialisation Scenarios'!$B$9*AC48)))))</x:f>
      </x:c>
      <x:c r="S48" s="584" t="n">
        <x:f>IF(J48="","",COUNTIFS($A$6:$A$172,A48,$J$6:$J$172,"&gt;"&amp;J48)+COUNTIFS($A$6:A48,A48,$J$6:J48,J48))</x:f>
        <x:v>17</x:v>
      </x:c>
      <x:c r="T48" s="584" t="n">
        <x:f>IF(K48="","",COUNTIFS($A$6:$A$172,A48,$K$6:$K$172,"&gt;"&amp;K48)+COUNTIFS($A$6:A48,A48,$K$6:K48,K48))</x:f>
        <x:v>10</x:v>
      </x:c>
      <x:c r="U48" s="584" t="n">
        <x:f>IF(L48="","",COUNTIFS($A$6:$A$172,A48,$L$6:$L$172,"&gt;"&amp;L48)+COUNTIFS($A$6:A48,A48,$L$6:L48,L48))</x:f>
        <x:v>8</x:v>
      </x:c>
      <x:c r="V48" s="584" t="str">
        <x:f>IF(P48="","",COUNTIFS($A$6:$A$172,A48,$P$6:$P$172,"&gt;"&amp;P48)+COUNTIFS($A$6:A48,A48,$P$6:P48,P48))</x:f>
      </x:c>
      <x:c r="W48" s="584" t="str">
        <x:f>IF(Q48="","",COUNTIFS($A$6:$A$172,A48,$Q$6:$Q$172,"&gt;"&amp;Q48)+COUNTIFS($A$6:A48,A48,$Q$6:Q48,Q48))</x:f>
      </x:c>
      <x:c r="X48" s="584" t="str">
        <x:f>IF(R48="","",COUNTIFS($A$6:$A$172,A48,$R$6:$R$172,"&gt;"&amp;R48)+COUNTIFS($A$6:A48,A48,$R$6:R48,R48))</x:f>
      </x:c>
      <x:c r="Y48" s="572" t="str">
        <x:f>IF(V48="","",A48&amp;"|"&amp;V48)</x:f>
      </x:c>
      <x:c r="Z48" s="572" t="str">
        <x:f>IF(W48="","",A48&amp;"|"&amp;W48)</x:f>
      </x:c>
      <x:c r="AA48" s="572" t="str">
        <x:f>IF(X48="","",A48&amp;"|"&amp;X48)</x:f>
      </x:c>
      <x:c r="AB48" s="572" t="str">
        <x:f>IF(A48="","",IF(I48=0,"Offense neutral — no recorded offensive skills",IF(I48&lt;1,"Partial lookup — adjustment scaled",IF(AND(M48="Yes",AC48=0),"Offense adjusted; Guard neutral","Captured"))))</x:f>
        <x:v>Captured</x:v>
      </x:c>
      <x:c r="AC48" s="580" t="n">
        <x:f>IF(SUMIFS('Specialisation Impact'!$M$19:$M$186,'Specialisation Impact'!$A$19:$A$186,A48,'Specialisation Impact'!$B$19:$B$186,B48)=0,0,SUMIFS('Specialisation Impact'!$F$19:$F$186,'Specialisation Impact'!$A$19:$A$186,A48,'Specialisation Impact'!$B$19:$B$186,B48))</x:f>
        <x:v>1</x:v>
      </x:c>
    </x:row>
    <x:row r="49">
      <x:c r="A49" s="571" t="str">
        <x:v>K91</x:v>
      </x:c>
      <x:c r="B49" s="571" t="str">
        <x:v>•Scorpio•NM85</x:v>
      </x:c>
      <x:c r="C49" s="575" t="n">
        <x:f>IF($A49="","",AVERAGE(100*((COUNTIF('All Stats'!$D$6:$D$172,"&lt;"&amp;'All Stats'!D49)+(COUNTIF('All Stats'!$D$6:$D$172,'All Stats'!D49)-1)/2)/(COUNT('All Stats'!$D$6:$D$172)-1))^'Specialisation Scenarios'!$X$10,100*((COUNTIF('All Stats'!$G$6:$G$172,"&lt;"&amp;'All Stats'!G49)+(COUNTIF('All Stats'!$G$6:$G$172,'All Stats'!G49)-1)/2)/(COUNT('All Stats'!$G$6:$G$172)-1))^'Specialisation Scenarios'!$X$10,100*((COUNTIF('All Stats'!$I$6:$I$172,"&lt;"&amp;'All Stats'!I49)+(COUNTIF('All Stats'!$I$6:$I$172,'All Stats'!I49)-1)/2)/(COUNT('All Stats'!$I$6:$I$172)-1))^'Specialisation Scenarios'!$X$10))</x:f>
        <x:v>23.51034565517099</x:v>
      </x:c>
      <x:c r="D49" s="575" t="n">
        <x:f>IF($A49="","",AVERAGE(100*((COUNTIF('All Stats'!$R$6:$R$172,"&lt;"&amp;'All Stats'!R49)+(COUNTIF('All Stats'!$R$6:$R$172,'All Stats'!R49)-1)/2)/(COUNT('All Stats'!$R$6:$R$172)-1))^'Specialisation Scenarios'!$X$10,100*((COUNTIF('All Stats'!$U$6:$U$172,"&lt;"&amp;'All Stats'!U49)+(COUNTIF('All Stats'!$U$6:$U$172,'All Stats'!U49)-1)/2)/(COUNT('All Stats'!$U$6:$U$172)-1))^'Specialisation Scenarios'!$X$10,100*((COUNTIF('All Stats'!$W$6:$W$172,"&lt;"&amp;'All Stats'!W49)+(COUNTIF('All Stats'!$W$6:$W$172,'All Stats'!W49)-1)/2)/(COUNT('All Stats'!$W$6:$W$172)-1))^'Specialisation Scenarios'!$X$10))</x:f>
        <x:v>9.474845266992395</x:v>
      </x:c>
      <x:c r="E49" s="575" t="n">
        <x:f>IF($A49="","",AVERAGE(100*((COUNTIF('All Stats'!$Y$6:$Y$172,"&lt;"&amp;'All Stats'!Y49)+(COUNTIF('All Stats'!$Y$6:$Y$172,'All Stats'!Y49)-1)/2)/(COUNT('All Stats'!$Y$6:$Y$172)-1))^'Specialisation Scenarios'!$X$10,100*((COUNTIF('All Stats'!$AB$6:$AB$172,"&lt;"&amp;'All Stats'!AB49)+(COUNTIF('All Stats'!$AB$6:$AB$172,'All Stats'!AB49)-1)/2)/(COUNT('All Stats'!$AB$6:$AB$172)-1))^'Specialisation Scenarios'!$X$10,100*((COUNTIF('All Stats'!$AD$6:$AD$172,"&lt;"&amp;'All Stats'!AD49)+(COUNTIF('All Stats'!$AD$6:$AD$172,'All Stats'!AD49)-1)/2)/(COUNT('All Stats'!$AD$6:$AD$172)-1))^'Specialisation Scenarios'!$X$10))</x:f>
        <x:v>32.21639239825622</x:v>
      </x:c>
      <x:c r="F49" s="575" t="n">
        <x:f>IF($A49="","",AVERAGE(100*((COUNTIF('All Stats'!$AF$6:$AF$172,"&lt;"&amp;'All Stats'!AF49)+(COUNTIF('All Stats'!$AF$6:$AF$172,'All Stats'!AF49)-1)/2)/(COUNT('All Stats'!$AF$6:$AF$172)-1))^'Specialisation Scenarios'!$X$10,100*((COUNTIF('All Stats'!$AI$6:$AI$172,"&lt;"&amp;'All Stats'!AI49)+(COUNTIF('All Stats'!$AI$6:$AI$172,'All Stats'!AI49)-1)/2)/(COUNT('All Stats'!$AI$6:$AI$172)-1))^'Specialisation Scenarios'!$X$10,100*((COUNTIF('All Stats'!$AK$6:$AK$172,"&lt;"&amp;'All Stats'!AK49)+(COUNTIF('All Stats'!$AK$6:$AK$172,'All Stats'!AK49)-1)/2)/(COUNT('All Stats'!$AK$6:$AK$172)-1))^'Specialisation Scenarios'!$X$10))</x:f>
        <x:v>22.911600089515712</x:v>
      </x:c>
      <x:c r="G49" s="575" t="n">
        <x:f>IF($A49="","",C49*'Specialisation Scenarios'!$X$11+D49*'Specialisation Scenarios'!$X$12+E49*'Specialisation Scenarios'!$X$13+F49*'Specialisation Scenarios'!$X$14)</x:f>
        <x:v>15.869838261724064</x:v>
      </x:c>
      <x:c r="H49" s="575" t="n">
        <x:f>IF(SUMIFS('Specialisation Impact'!$E$19:$E$186,'Specialisation Impact'!$A$19:$A$186,A49,'Specialisation Impact'!$B$19:$B$186,B49)=0,"",SUMIFS('Specialisation Impact'!$S$19:$S$186,'Specialisation Impact'!$A$19:$A$186,A49,'Specialisation Impact'!$B$19:$B$186,B49))</x:f>
        <x:v>18.961038961038962</x:v>
      </x:c>
      <x:c r="I49" s="579" t="n">
        <x:f>IF(SUMIFS('Specialisation Impact'!$E$19:$E$186,'Specialisation Impact'!$A$19:$A$186,A49,'Specialisation Impact'!$B$19:$B$186,B49)=0,0,SUMIFS('Specialisation Impact'!$F$19:$F$186,'Specialisation Impact'!$A$19:$A$186,A49,'Specialisation Impact'!$B$19:$B$186,B49))</x:f>
        <x:v>1</x:v>
      </x:c>
      <x:c r="J49" s="575" t="n">
        <x:f>G49</x:f>
        <x:v>15.869838261724064</x:v>
      </x:c>
      <x:c r="K49" s="575" t="n">
        <x:f>IF(G49="","",IF(I49=0,G49,MAX(0,MIN(100,G49*(1-'Specialisation Scenarios'!$B$8*I49)+H49*('Specialisation Scenarios'!$B$8*I49)))))</x:f>
        <x:v>16.64263843655279</x:v>
      </x:c>
      <x:c r="L49" s="575" t="n">
        <x:f>IF(G49="","",IF(I49=0,G49,MAX(0,MIN(100,G49*(1-'Specialisation Scenarios'!$B$9*I49)+H49*('Specialisation Scenarios'!$B$9*I49)))))</x:f>
        <x:v>16.95175850648428</x:v>
      </x:c>
      <x:c r="M49" s="575" t="str">
        <x:f>IF(COUNTIFS('Tank &amp; Control'!$A$23:$A$189,A49,'Tank &amp; Control'!$B$23:$B$189,B49,'Tank &amp; Control'!$C$23:$C$189,"Yes")&gt;0,"Yes","No")</x:f>
        <x:v>No</x:v>
      </x:c>
      <x:c r="N49" s="575" t="str">
        <x:f>IF(M49&lt;&gt;"Yes","",SUMIFS('Tank &amp; Control'!$L$23:$L$189,'Tank &amp; Control'!$A$23:$A$189,A49,'Tank &amp; Control'!$B$23:$B$189,B49))</x:f>
      </x:c>
      <x:c r="O49" s="575" t="n">
        <x:f>IF(SUMIFS('Specialisation Impact'!$M$19:$M$186,'Specialisation Impact'!$A$19:$A$186,A49,'Specialisation Impact'!$B$19:$B$186,B49)=0,"",SUMIFS('Specialisation Impact'!$V$19:$V$186,'Specialisation Impact'!$A$19:$A$186,A49,'Specialisation Impact'!$B$19:$B$186,B49))</x:f>
        <x:v>8.547008547008547</x:v>
      </x:c>
      <x:c r="P49" s="575" t="str">
        <x:f>IF(N49="","",N49)</x:f>
      </x:c>
      <x:c r="Q49" s="575" t="str">
        <x:f>IF(N49="","",IF(AC49=0,N49,MAX(0,MIN(100,N49*(1-'Specialisation Scenarios'!$B$8*AC49)+O49*('Specialisation Scenarios'!$B$8*AC49)))))</x:f>
      </x:c>
      <x:c r="R49" s="575" t="str">
        <x:f>IF(N49="","",IF(AC49=0,N49,MAX(0,MIN(100,N49*(1-'Specialisation Scenarios'!$B$9*AC49)+O49*('Specialisation Scenarios'!$B$9*AC49)))))</x:f>
      </x:c>
      <x:c r="S49" s="583" t="n">
        <x:f>IF(J49="","",COUNTIFS($A$6:$A$172,A49,$J$6:$J$172,"&gt;"&amp;J49)+COUNTIFS($A$6:A49,A49,$J$6:J49,J49))</x:f>
        <x:v>10</x:v>
      </x:c>
      <x:c r="T49" s="583" t="n">
        <x:f>IF(K49="","",COUNTIFS($A$6:$A$172,A49,$K$6:$K$172,"&gt;"&amp;K49)+COUNTIFS($A$6:A49,A49,$K$6:K49,K49))</x:f>
        <x:v>15</x:v>
      </x:c>
      <x:c r="U49" s="583" t="n">
        <x:f>IF(L49="","",COUNTIFS($A$6:$A$172,A49,$L$6:$L$172,"&gt;"&amp;L49)+COUNTIFS($A$6:A49,A49,$L$6:L49,L49))</x:f>
        <x:v>15</x:v>
      </x:c>
      <x:c r="V49" s="583" t="str">
        <x:f>IF(P49="","",COUNTIFS($A$6:$A$172,A49,$P$6:$P$172,"&gt;"&amp;P49)+COUNTIFS($A$6:A49,A49,$P$6:P49,P49))</x:f>
      </x:c>
      <x:c r="W49" s="583" t="str">
        <x:f>IF(Q49="","",COUNTIFS($A$6:$A$172,A49,$Q$6:$Q$172,"&gt;"&amp;Q49)+COUNTIFS($A$6:A49,A49,$Q$6:Q49,Q49))</x:f>
      </x:c>
      <x:c r="X49" s="583" t="str">
        <x:f>IF(R49="","",COUNTIFS($A$6:$A$172,A49,$R$6:$R$172,"&gt;"&amp;R49)+COUNTIFS($A$6:A49,A49,$R$6:R49,R49))</x:f>
      </x:c>
      <x:c r="Y49" s="571" t="str">
        <x:f>IF(V49="","",A49&amp;"|"&amp;V49)</x:f>
      </x:c>
      <x:c r="Z49" s="571" t="str">
        <x:f>IF(W49="","",A49&amp;"|"&amp;W49)</x:f>
      </x:c>
      <x:c r="AA49" s="571" t="str">
        <x:f>IF(X49="","",A49&amp;"|"&amp;X49)</x:f>
      </x:c>
      <x:c r="AB49" s="571" t="str">
        <x:f>IF(A49="","",IF(I49=0,"Offense neutral — no recorded offensive skills",IF(I49&lt;1,"Partial lookup — adjustment scaled",IF(AND(M49="Yes",AC49=0),"Offense adjusted; Guard neutral","Captured"))))</x:f>
        <x:v>Captured</x:v>
      </x:c>
      <x:c r="AC49" s="579" t="n">
        <x:f>IF(SUMIFS('Specialisation Impact'!$M$19:$M$186,'Specialisation Impact'!$A$19:$A$186,A49,'Specialisation Impact'!$B$19:$B$186,B49)=0,0,SUMIFS('Specialisation Impact'!$F$19:$F$186,'Specialisation Impact'!$A$19:$A$186,A49,'Specialisation Impact'!$B$19:$B$186,B49))</x:f>
        <x:v>1</x:v>
      </x:c>
    </x:row>
    <x:row r="50">
      <x:c r="A50" s="572" t="str">
        <x:v>K91</x:v>
      </x:c>
      <x:c r="B50" s="572" t="str">
        <x:v>•BigBoss•NM85</x:v>
      </x:c>
      <x:c r="C50" s="576" t="n">
        <x:f>IF($A50="","",AVERAGE(100*((COUNTIF('All Stats'!$D$6:$D$172,"&lt;"&amp;'All Stats'!D50)+(COUNTIF('All Stats'!$D$6:$D$172,'All Stats'!D50)-1)/2)/(COUNT('All Stats'!$D$6:$D$172)-1))^'Specialisation Scenarios'!$X$10,100*((COUNTIF('All Stats'!$G$6:$G$172,"&lt;"&amp;'All Stats'!G50)+(COUNTIF('All Stats'!$G$6:$G$172,'All Stats'!G50)-1)/2)/(COUNT('All Stats'!$G$6:$G$172)-1))^'Specialisation Scenarios'!$X$10,100*((COUNTIF('All Stats'!$I$6:$I$172,"&lt;"&amp;'All Stats'!I50)+(COUNTIF('All Stats'!$I$6:$I$172,'All Stats'!I50)-1)/2)/(COUNT('All Stats'!$I$6:$I$172)-1))^'Specialisation Scenarios'!$X$10))</x:f>
        <x:v>33.835033600167996</x:v>
      </x:c>
      <x:c r="D50" s="576" t="n">
        <x:f>IF($A50="","",AVERAGE(100*((COUNTIF('All Stats'!$R$6:$R$172,"&lt;"&amp;'All Stats'!R50)+(COUNTIF('All Stats'!$R$6:$R$172,'All Stats'!R50)-1)/2)/(COUNT('All Stats'!$R$6:$R$172)-1))^'Specialisation Scenarios'!$X$10,100*((COUNTIF('All Stats'!$U$6:$U$172,"&lt;"&amp;'All Stats'!U50)+(COUNTIF('All Stats'!$U$6:$U$172,'All Stats'!U50)-1)/2)/(COUNT('All Stats'!$U$6:$U$172)-1))^'Specialisation Scenarios'!$X$10,100*((COUNTIF('All Stats'!$W$6:$W$172,"&lt;"&amp;'All Stats'!W50)+(COUNTIF('All Stats'!$W$6:$W$172,'All Stats'!W50)-1)/2)/(COUNT('All Stats'!$W$6:$W$172)-1))^'Specialisation Scenarios'!$X$10))</x:f>
        <x:v>6.35416626398479</x:v>
      </x:c>
      <x:c r="E50" s="576" t="n">
        <x:f>IF($A50="","",AVERAGE(100*((COUNTIF('All Stats'!$Y$6:$Y$172,"&lt;"&amp;'All Stats'!Y50)+(COUNTIF('All Stats'!$Y$6:$Y$172,'All Stats'!Y50)-1)/2)/(COUNT('All Stats'!$Y$6:$Y$172)-1))^'Specialisation Scenarios'!$X$10,100*((COUNTIF('All Stats'!$AB$6:$AB$172,"&lt;"&amp;'All Stats'!AB50)+(COUNTIF('All Stats'!$AB$6:$AB$172,'All Stats'!AB50)-1)/2)/(COUNT('All Stats'!$AB$6:$AB$172)-1))^'Specialisation Scenarios'!$X$10,100*((COUNTIF('All Stats'!$AD$6:$AD$172,"&lt;"&amp;'All Stats'!AD50)+(COUNTIF('All Stats'!$AD$6:$AD$172,'All Stats'!AD50)-1)/2)/(COUNT('All Stats'!$AD$6:$AD$172)-1))^'Specialisation Scenarios'!$X$10))</x:f>
        <x:v>32.57608889550779</x:v>
      </x:c>
      <x:c r="F50" s="576" t="n">
        <x:f>IF($A50="","",AVERAGE(100*((COUNTIF('All Stats'!$AF$6:$AF$172,"&lt;"&amp;'All Stats'!AF50)+(COUNTIF('All Stats'!$AF$6:$AF$172,'All Stats'!AF50)-1)/2)/(COUNT('All Stats'!$AF$6:$AF$172)-1))^'Specialisation Scenarios'!$X$10,100*((COUNTIF('All Stats'!$AI$6:$AI$172,"&lt;"&amp;'All Stats'!AI50)+(COUNTIF('All Stats'!$AI$6:$AI$172,'All Stats'!AI50)-1)/2)/(COUNT('All Stats'!$AI$6:$AI$172)-1))^'Specialisation Scenarios'!$X$10,100*((COUNTIF('All Stats'!$AK$6:$AK$172,"&lt;"&amp;'All Stats'!AK50)+(COUNTIF('All Stats'!$AK$6:$AK$172,'All Stats'!AK50)-1)/2)/(COUNT('All Stats'!$AK$6:$AK$172)-1))^'Specialisation Scenarios'!$X$10))</x:f>
        <x:v>19.2404616076569</x:v>
      </x:c>
      <x:c r="G50" s="576" t="n">
        <x:f>IF($A50="","",C50*'Specialisation Scenarios'!$X$11+D50*'Specialisation Scenarios'!$X$12+E50*'Specialisation Scenarios'!$X$13+F50*'Specialisation Scenarios'!$X$14)</x:f>
        <x:v>15.031432929115386</x:v>
      </x:c>
      <x:c r="H50" s="576" t="n">
        <x:f>IF(SUMIFS('Specialisation Impact'!$E$19:$E$186,'Specialisation Impact'!$A$19:$A$186,A50,'Specialisation Impact'!$B$19:$B$186,B50)=0,"",SUMIFS('Specialisation Impact'!$S$19:$S$186,'Specialisation Impact'!$A$19:$A$186,A50,'Specialisation Impact'!$B$19:$B$186,B50))</x:f>
        <x:v>40.259740259740255</x:v>
      </x:c>
      <x:c r="I50" s="580" t="n">
        <x:f>IF(SUMIFS('Specialisation Impact'!$E$19:$E$186,'Specialisation Impact'!$A$19:$A$186,A50,'Specialisation Impact'!$B$19:$B$186,B50)=0,0,SUMIFS('Specialisation Impact'!$F$19:$F$186,'Specialisation Impact'!$A$19:$A$186,A50,'Specialisation Impact'!$B$19:$B$186,B50))</x:f>
        <x:v>1</x:v>
      </x:c>
      <x:c r="J50" s="576" t="n">
        <x:f>G50</x:f>
        <x:v>15.031432929115386</x:v>
      </x:c>
      <x:c r="K50" s="576" t="n">
        <x:f>IF(G50="","",IF(I50=0,G50,MAX(0,MIN(100,G50*(1-'Specialisation Scenarios'!$B$8*I50)+H50*('Specialisation Scenarios'!$B$8*I50)))))</x:f>
        <x:v>21.338509761771604</x:v>
      </x:c>
      <x:c r="L50" s="576" t="n">
        <x:f>IF(G50="","",IF(I50=0,G50,MAX(0,MIN(100,G50*(1-'Specialisation Scenarios'!$B$9*I50)+H50*('Specialisation Scenarios'!$B$9*I50)))))</x:f>
        <x:v>23.86134049483409</x:v>
      </x:c>
      <x:c r="M50" s="576" t="str">
        <x:f>IF(COUNTIFS('Tank &amp; Control'!$A$23:$A$189,A50,'Tank &amp; Control'!$B$23:$B$189,B50,'Tank &amp; Control'!$C$23:$C$189,"Yes")&gt;0,"Yes","No")</x:f>
        <x:v>No</x:v>
      </x:c>
      <x:c r="N50" s="576" t="str">
        <x:f>IF(M50&lt;&gt;"Yes","",SUMIFS('Tank &amp; Control'!$L$23:$L$189,'Tank &amp; Control'!$A$23:$A$189,A50,'Tank &amp; Control'!$B$23:$B$189,B50))</x:f>
      </x:c>
      <x:c r="O50" s="576" t="n">
        <x:f>IF(SUMIFS('Specialisation Impact'!$M$19:$M$186,'Specialisation Impact'!$A$19:$A$186,A50,'Specialisation Impact'!$B$19:$B$186,B50)=0,"",SUMIFS('Specialisation Impact'!$V$19:$V$186,'Specialisation Impact'!$A$19:$A$186,A50,'Specialisation Impact'!$B$19:$B$186,B50))</x:f>
        <x:v>8.547008547008547</x:v>
      </x:c>
      <x:c r="P50" s="576" t="str">
        <x:f>IF(N50="","",N50)</x:f>
      </x:c>
      <x:c r="Q50" s="576" t="str">
        <x:f>IF(N50="","",IF(AC50=0,N50,MAX(0,MIN(100,N50*(1-'Specialisation Scenarios'!$B$8*AC50)+O50*('Specialisation Scenarios'!$B$8*AC50)))))</x:f>
      </x:c>
      <x:c r="R50" s="576" t="str">
        <x:f>IF(N50="","",IF(AC50=0,N50,MAX(0,MIN(100,N50*(1-'Specialisation Scenarios'!$B$9*AC50)+O50*('Specialisation Scenarios'!$B$9*AC50)))))</x:f>
      </x:c>
      <x:c r="S50" s="584" t="n">
        <x:f>IF(J50="","",COUNTIFS($A$6:$A$172,A50,$J$6:$J$172,"&gt;"&amp;J50)+COUNTIFS($A$6:A50,A50,$J$6:J50,J50))</x:f>
        <x:v>12</x:v>
      </x:c>
      <x:c r="T50" s="584" t="n">
        <x:f>IF(K50="","",COUNTIFS($A$6:$A$172,A50,$K$6:$K$172,"&gt;"&amp;K50)+COUNTIFS($A$6:A50,A50,$K$6:K50,K50))</x:f>
        <x:v>13</x:v>
      </x:c>
      <x:c r="U50" s="584" t="n">
        <x:f>IF(L50="","",COUNTIFS($A$6:$A$172,A50,$L$6:$L$172,"&gt;"&amp;L50)+COUNTIFS($A$6:A50,A50,$L$6:L50,L50))</x:f>
        <x:v>13</x:v>
      </x:c>
      <x:c r="V50" s="584" t="str">
        <x:f>IF(P50="","",COUNTIFS($A$6:$A$172,A50,$P$6:$P$172,"&gt;"&amp;P50)+COUNTIFS($A$6:A50,A50,$P$6:P50,P50))</x:f>
      </x:c>
      <x:c r="W50" s="584" t="str">
        <x:f>IF(Q50="","",COUNTIFS($A$6:$A$172,A50,$Q$6:$Q$172,"&gt;"&amp;Q50)+COUNTIFS($A$6:A50,A50,$Q$6:Q50,Q50))</x:f>
      </x:c>
      <x:c r="X50" s="584" t="str">
        <x:f>IF(R50="","",COUNTIFS($A$6:$A$172,A50,$R$6:$R$172,"&gt;"&amp;R50)+COUNTIFS($A$6:A50,A50,$R$6:R50,R50))</x:f>
      </x:c>
      <x:c r="Y50" s="572" t="str">
        <x:f>IF(V50="","",A50&amp;"|"&amp;V50)</x:f>
      </x:c>
      <x:c r="Z50" s="572" t="str">
        <x:f>IF(W50="","",A50&amp;"|"&amp;W50)</x:f>
      </x:c>
      <x:c r="AA50" s="572" t="str">
        <x:f>IF(X50="","",A50&amp;"|"&amp;X50)</x:f>
      </x:c>
      <x:c r="AB50" s="572" t="str">
        <x:f>IF(A50="","",IF(I50=0,"Offense neutral — no recorded offensive skills",IF(I50&lt;1,"Partial lookup — adjustment scaled",IF(AND(M50="Yes",AC50=0),"Offense adjusted; Guard neutral","Captured"))))</x:f>
        <x:v>Captured</x:v>
      </x:c>
      <x:c r="AC50" s="580" t="n">
        <x:f>IF(SUMIFS('Specialisation Impact'!$M$19:$M$186,'Specialisation Impact'!$A$19:$A$186,A50,'Specialisation Impact'!$B$19:$B$186,B50)=0,0,SUMIFS('Specialisation Impact'!$F$19:$F$186,'Specialisation Impact'!$A$19:$A$186,A50,'Specialisation Impact'!$B$19:$B$186,B50))</x:f>
        <x:v>1</x:v>
      </x:c>
    </x:row>
    <x:row r="51">
      <x:c r="A51" s="571" t="str">
        <x:v>K116</x:v>
      </x:c>
      <x:c r="B51" s="571" t="str">
        <x:v>Jesse</x:v>
      </x:c>
      <x:c r="C51" s="575" t="n">
        <x:f>IF($A51="","",AVERAGE(100*((COUNTIF('All Stats'!$D$6:$D$172,"&lt;"&amp;'All Stats'!D51)+(COUNTIF('All Stats'!$D$6:$D$172,'All Stats'!D51)-1)/2)/(COUNT('All Stats'!$D$6:$D$172)-1))^'Specialisation Scenarios'!$X$10,100*((COUNTIF('All Stats'!$G$6:$G$172,"&lt;"&amp;'All Stats'!G51)+(COUNTIF('All Stats'!$G$6:$G$172,'All Stats'!G51)-1)/2)/(COUNT('All Stats'!$G$6:$G$172)-1))^'Specialisation Scenarios'!$X$10,100*((COUNTIF('All Stats'!$I$6:$I$172,"&lt;"&amp;'All Stats'!I51)+(COUNTIF('All Stats'!$I$6:$I$172,'All Stats'!I51)-1)/2)/(COUNT('All Stats'!$I$6:$I$172)-1))^'Specialisation Scenarios'!$X$10))</x:f>
        <x:v>90.09165835163871</x:v>
      </x:c>
      <x:c r="D51" s="575" t="n">
        <x:f>IF($A51="","",AVERAGE(100*((COUNTIF('All Stats'!$R$6:$R$172,"&lt;"&amp;'All Stats'!R51)+(COUNTIF('All Stats'!$R$6:$R$172,'All Stats'!R51)-1)/2)/(COUNT('All Stats'!$R$6:$R$172)-1))^'Specialisation Scenarios'!$X$10,100*((COUNTIF('All Stats'!$U$6:$U$172,"&lt;"&amp;'All Stats'!U51)+(COUNTIF('All Stats'!$U$6:$U$172,'All Stats'!U51)-1)/2)/(COUNT('All Stats'!$U$6:$U$172)-1))^'Specialisation Scenarios'!$X$10,100*((COUNTIF('All Stats'!$W$6:$W$172,"&lt;"&amp;'All Stats'!W51)+(COUNTIF('All Stats'!$W$6:$W$172,'All Stats'!W51)-1)/2)/(COUNT('All Stats'!$W$6:$W$172)-1))^'Specialisation Scenarios'!$X$10))</x:f>
        <x:v>91.08454530183661</x:v>
      </x:c>
      <x:c r="E51" s="575" t="n">
        <x:f>IF($A51="","",AVERAGE(100*((COUNTIF('All Stats'!$Y$6:$Y$172,"&lt;"&amp;'All Stats'!Y51)+(COUNTIF('All Stats'!$Y$6:$Y$172,'All Stats'!Y51)-1)/2)/(COUNT('All Stats'!$Y$6:$Y$172)-1))^'Specialisation Scenarios'!$X$10,100*((COUNTIF('All Stats'!$AB$6:$AB$172,"&lt;"&amp;'All Stats'!AB51)+(COUNTIF('All Stats'!$AB$6:$AB$172,'All Stats'!AB51)-1)/2)/(COUNT('All Stats'!$AB$6:$AB$172)-1))^'Specialisation Scenarios'!$X$10,100*((COUNTIF('All Stats'!$AD$6:$AD$172,"&lt;"&amp;'All Stats'!AD51)+(COUNTIF('All Stats'!$AD$6:$AD$172,'All Stats'!AD51)-1)/2)/(COUNT('All Stats'!$AD$6:$AD$172)-1))^'Specialisation Scenarios'!$X$10))</x:f>
        <x:v>74.10148444671161</x:v>
      </x:c>
      <x:c r="F51" s="575" t="n">
        <x:f>IF($A51="","",AVERAGE(100*((COUNTIF('All Stats'!$AF$6:$AF$172,"&lt;"&amp;'All Stats'!AF51)+(COUNTIF('All Stats'!$AF$6:$AF$172,'All Stats'!AF51)-1)/2)/(COUNT('All Stats'!$AF$6:$AF$172)-1))^'Specialisation Scenarios'!$X$10,100*((COUNTIF('All Stats'!$AI$6:$AI$172,"&lt;"&amp;'All Stats'!AI51)+(COUNTIF('All Stats'!$AI$6:$AI$172,'All Stats'!AI51)-1)/2)/(COUNT('All Stats'!$AI$6:$AI$172)-1))^'Specialisation Scenarios'!$X$10,100*((COUNTIF('All Stats'!$AK$6:$AK$172,"&lt;"&amp;'All Stats'!AK51)+(COUNTIF('All Stats'!$AK$6:$AK$172,'All Stats'!AK51)-1)/2)/(COUNT('All Stats'!$AK$6:$AK$172)-1))^'Specialisation Scenarios'!$X$10))</x:f>
        <x:v>88.6993023291753</x:v>
      </x:c>
      <x:c r="G51" s="575" t="n">
        <x:f>IF($A51="","",C51*'Specialisation Scenarios'!$X$11+D51*'Specialisation Scenarios'!$X$12+E51*'Specialisation Scenarios'!$X$13+F51*'Specialisation Scenarios'!$X$14)</x:f>
        <x:v>88.87951972789523</x:v>
      </x:c>
      <x:c r="H51" s="575" t="n">
        <x:f>IF(SUMIFS('Specialisation Impact'!$E$19:$E$186,'Specialisation Impact'!$A$19:$A$186,A51,'Specialisation Impact'!$B$19:$B$186,B51)=0,"",SUMIFS('Specialisation Impact'!$S$19:$S$186,'Specialisation Impact'!$A$19:$A$186,A51,'Specialisation Impact'!$B$19:$B$186,B51))</x:f>
        <x:v>91.68831168831169</x:v>
      </x:c>
      <x:c r="I51" s="579" t="n">
        <x:f>IF(SUMIFS('Specialisation Impact'!$E$19:$E$186,'Specialisation Impact'!$A$19:$A$186,A51,'Specialisation Impact'!$B$19:$B$186,B51)=0,0,SUMIFS('Specialisation Impact'!$F$19:$F$186,'Specialisation Impact'!$A$19:$A$186,A51,'Specialisation Impact'!$B$19:$B$186,B51))</x:f>
        <x:v>1</x:v>
      </x:c>
      <x:c r="J51" s="575" t="n">
        <x:f>G51</x:f>
        <x:v>88.87951972789523</x:v>
      </x:c>
      <x:c r="K51" s="575" t="n">
        <x:f>IF(G51="","",IF(I51=0,G51,MAX(0,MIN(100,G51*(1-'Specialisation Scenarios'!$B$8*I51)+H51*('Specialisation Scenarios'!$B$8*I51)))))</x:f>
        <x:v>89.58171771799934</x:v>
      </x:c>
      <x:c r="L51" s="575" t="n">
        <x:f>IF(G51="","",IF(I51=0,G51,MAX(0,MIN(100,G51*(1-'Specialisation Scenarios'!$B$9*I51)+H51*('Specialisation Scenarios'!$B$9*I51)))))</x:f>
        <x:v>89.86259691404098</x:v>
      </x:c>
      <x:c r="M51" s="575" t="str">
        <x:f>IF(COUNTIFS('Tank &amp; Control'!$A$23:$A$189,A51,'Tank &amp; Control'!$B$23:$B$189,B51,'Tank &amp; Control'!$C$23:$C$189,"Yes")&gt;0,"Yes","No")</x:f>
        <x:v>Yes</x:v>
      </x:c>
      <x:c r="N51" s="575" t="n">
        <x:f>IF(M51&lt;&gt;"Yes","",SUMIFS('Tank &amp; Control'!$L$23:$L$189,'Tank &amp; Control'!$A$23:$A$189,A51,'Tank &amp; Control'!$B$23:$B$189,B51))</x:f>
        <x:v>74.28901926266018</x:v>
      </x:c>
      <x:c r="O51" s="575" t="n">
        <x:f>IF(SUMIFS('Specialisation Impact'!$M$19:$M$186,'Specialisation Impact'!$A$19:$A$186,A51,'Specialisation Impact'!$B$19:$B$186,B51)=0,"",SUMIFS('Specialisation Impact'!$V$19:$V$186,'Specialisation Impact'!$A$19:$A$186,A51,'Specialisation Impact'!$B$19:$B$186,B51))</x:f>
        <x:v>93.16239316239316</x:v>
      </x:c>
      <x:c r="P51" s="575" t="n">
        <x:f>IF(N51="","",N51)</x:f>
        <x:v>74.28901926266018</x:v>
      </x:c>
      <x:c r="Q51" s="575" t="n">
        <x:f>IF(N51="","",IF(AC51=0,N51,MAX(0,MIN(100,N51*(1-'Specialisation Scenarios'!$B$8*AC51)+O51*('Specialisation Scenarios'!$B$8*AC51)))))</x:f>
        <x:v>79.00736273759341</x:v>
      </x:c>
      <x:c r="R51" s="575" t="n">
        <x:f>IF(N51="","",IF(AC51=0,N51,MAX(0,MIN(100,N51*(1-'Specialisation Scenarios'!$B$9*AC51)+O51*('Specialisation Scenarios'!$B$9*AC51)))))</x:f>
        <x:v>80.89470012756672</x:v>
      </x:c>
      <x:c r="S51" s="583" t="n">
        <x:f>IF(J51="","",COUNTIFS($A$6:$A$172,A51,$J$6:$J$172,"&gt;"&amp;J51)+COUNTIFS($A$6:A51,A51,$J$6:J51,J51))</x:f>
        <x:v>1</x:v>
      </x:c>
      <x:c r="T51" s="583" t="n">
        <x:f>IF(K51="","",COUNTIFS($A$6:$A$172,A51,$K$6:$K$172,"&gt;"&amp;K51)+COUNTIFS($A$6:A51,A51,$K$6:K51,K51))</x:f>
        <x:v>1</x:v>
      </x:c>
      <x:c r="U51" s="583" t="n">
        <x:f>IF(L51="","",COUNTIFS($A$6:$A$172,A51,$L$6:$L$172,"&gt;"&amp;L51)+COUNTIFS($A$6:A51,A51,$L$6:L51,L51))</x:f>
        <x:v>1</x:v>
      </x:c>
      <x:c r="V51" s="583" t="n">
        <x:f>IF(P51="","",COUNTIFS($A$6:$A$172,A51,$P$6:$P$172,"&gt;"&amp;P51)+COUNTIFS($A$6:A51,A51,$P$6:P51,P51))</x:f>
        <x:v>1</x:v>
      </x:c>
      <x:c r="W51" s="583" t="n">
        <x:f>IF(Q51="","",COUNTIFS($A$6:$A$172,A51,$Q$6:$Q$172,"&gt;"&amp;Q51)+COUNTIFS($A$6:A51,A51,$Q$6:Q51,Q51))</x:f>
        <x:v>1</x:v>
      </x:c>
      <x:c r="X51" s="583" t="n">
        <x:f>IF(R51="","",COUNTIFS($A$6:$A$172,A51,$R$6:$R$172,"&gt;"&amp;R51)+COUNTIFS($A$6:A51,A51,$R$6:R51,R51))</x:f>
        <x:v>1</x:v>
      </x:c>
      <x:c r="Y51" s="571" t="str">
        <x:f>IF(V51="","",A51&amp;"|"&amp;V51)</x:f>
        <x:v>K116|1</x:v>
      </x:c>
      <x:c r="Z51" s="571" t="str">
        <x:f>IF(W51="","",A51&amp;"|"&amp;W51)</x:f>
        <x:v>K116|1</x:v>
      </x:c>
      <x:c r="AA51" s="571" t="str">
        <x:f>IF(X51="","",A51&amp;"|"&amp;X51)</x:f>
        <x:v>K116|1</x:v>
      </x:c>
      <x:c r="AB51" s="571" t="str">
        <x:f>IF(A51="","",IF(I51=0,"Offense neutral — no recorded offensive skills",IF(I51&lt;1,"Partial lookup — adjustment scaled",IF(AND(M51="Yes",AC51=0),"Offense adjusted; Guard neutral","Captured"))))</x:f>
        <x:v>Captured</x:v>
      </x:c>
      <x:c r="AC51" s="579" t="n">
        <x:f>IF(SUMIFS('Specialisation Impact'!$M$19:$M$186,'Specialisation Impact'!$A$19:$A$186,A51,'Specialisation Impact'!$B$19:$B$186,B51)=0,0,SUMIFS('Specialisation Impact'!$F$19:$F$186,'Specialisation Impact'!$A$19:$A$186,A51,'Specialisation Impact'!$B$19:$B$186,B51))</x:f>
        <x:v>1</x:v>
      </x:c>
    </x:row>
    <x:row r="52">
      <x:c r="A52" s="572" t="str">
        <x:v>K116</x:v>
      </x:c>
      <x:c r="B52" s="572" t="str">
        <x:v>逍遥大官人</x:v>
      </x:c>
      <x:c r="C52" s="576" t="n">
        <x:f>IF($A52="","",AVERAGE(100*((COUNTIF('All Stats'!$D$6:$D$172,"&lt;"&amp;'All Stats'!D52)+(COUNTIF('All Stats'!$D$6:$D$172,'All Stats'!D52)-1)/2)/(COUNT('All Stats'!$D$6:$D$172)-1))^'Specialisation Scenarios'!$X$10,100*((COUNTIF('All Stats'!$G$6:$G$172,"&lt;"&amp;'All Stats'!G52)+(COUNTIF('All Stats'!$G$6:$G$172,'All Stats'!G52)-1)/2)/(COUNT('All Stats'!$G$6:$G$172)-1))^'Specialisation Scenarios'!$X$10,100*((COUNTIF('All Stats'!$I$6:$I$172,"&lt;"&amp;'All Stats'!I52)+(COUNTIF('All Stats'!$I$6:$I$172,'All Stats'!I52)-1)/2)/(COUNT('All Stats'!$I$6:$I$172)-1))^'Specialisation Scenarios'!$X$10))</x:f>
        <x:v>1.5080717087387716</x:v>
      </x:c>
      <x:c r="D52" s="576" t="n">
        <x:f>IF($A52="","",AVERAGE(100*((COUNTIF('All Stats'!$R$6:$R$172,"&lt;"&amp;'All Stats'!R52)+(COUNTIF('All Stats'!$R$6:$R$172,'All Stats'!R52)-1)/2)/(COUNT('All Stats'!$R$6:$R$172)-1))^'Specialisation Scenarios'!$X$10,100*((COUNTIF('All Stats'!$U$6:$U$172,"&lt;"&amp;'All Stats'!U52)+(COUNTIF('All Stats'!$U$6:$U$172,'All Stats'!U52)-1)/2)/(COUNT('All Stats'!$U$6:$U$172)-1))^'Specialisation Scenarios'!$X$10,100*((COUNTIF('All Stats'!$W$6:$W$172,"&lt;"&amp;'All Stats'!W52)+(COUNTIF('All Stats'!$W$6:$W$172,'All Stats'!W52)-1)/2)/(COUNT('All Stats'!$W$6:$W$172)-1))^'Specialisation Scenarios'!$X$10))</x:f>
        <x:v>8.593222649185824</x:v>
      </x:c>
      <x:c r="E52" s="576" t="n">
        <x:f>IF($A52="","",AVERAGE(100*((COUNTIF('All Stats'!$Y$6:$Y$172,"&lt;"&amp;'All Stats'!Y52)+(COUNTIF('All Stats'!$Y$6:$Y$172,'All Stats'!Y52)-1)/2)/(COUNT('All Stats'!$Y$6:$Y$172)-1))^'Specialisation Scenarios'!$X$10,100*((COUNTIF('All Stats'!$AB$6:$AB$172,"&lt;"&amp;'All Stats'!AB52)+(COUNTIF('All Stats'!$AB$6:$AB$172,'All Stats'!AB52)-1)/2)/(COUNT('All Stats'!$AB$6:$AB$172)-1))^'Specialisation Scenarios'!$X$10,100*((COUNTIF('All Stats'!$AD$6:$AD$172,"&lt;"&amp;'All Stats'!AD52)+(COUNTIF('All Stats'!$AD$6:$AD$172,'All Stats'!AD52)-1)/2)/(COUNT('All Stats'!$AD$6:$AD$172)-1))^'Specialisation Scenarios'!$X$10))</x:f>
        <x:v>0.9282974168036514</x:v>
      </x:c>
      <x:c r="F52" s="576" t="n">
        <x:f>IF($A52="","",AVERAGE(100*((COUNTIF('All Stats'!$AF$6:$AF$172,"&lt;"&amp;'All Stats'!AF52)+(COUNTIF('All Stats'!$AF$6:$AF$172,'All Stats'!AF52)-1)/2)/(COUNT('All Stats'!$AF$6:$AF$172)-1))^'Specialisation Scenarios'!$X$10,100*((COUNTIF('All Stats'!$AI$6:$AI$172,"&lt;"&amp;'All Stats'!AI52)+(COUNTIF('All Stats'!$AI$6:$AI$172,'All Stats'!AI52)-1)/2)/(COUNT('All Stats'!$AI$6:$AI$172)-1))^'Specialisation Scenarios'!$X$10,100*((COUNTIF('All Stats'!$AK$6:$AK$172,"&lt;"&amp;'All Stats'!AK52)+(COUNTIF('All Stats'!$AK$6:$AK$172,'All Stats'!AK52)-1)/2)/(COUNT('All Stats'!$AK$6:$AK$172)-1))^'Specialisation Scenarios'!$X$10))</x:f>
        <x:v>12.397833098424629</x:v>
      </x:c>
      <x:c r="G52" s="576" t="n">
        <x:f>IF($A52="","",C52*'Specialisation Scenarios'!$X$11+D52*'Specialisation Scenarios'!$X$12+E52*'Specialisation Scenarios'!$X$13+F52*'Specialisation Scenarios'!$X$14)</x:f>
        <x:v>7.33464905226637</x:v>
      </x:c>
      <x:c r="H52" s="576" t="n">
        <x:f>IF(SUMIFS('Specialisation Impact'!$E$19:$E$186,'Specialisation Impact'!$A$19:$A$186,A52,'Specialisation Impact'!$B$19:$B$186,B52)=0,"",SUMIFS('Specialisation Impact'!$S$19:$S$186,'Specialisation Impact'!$A$19:$A$186,A52,'Specialisation Impact'!$B$19:$B$186,B52))</x:f>
        <x:v>0.6493506493506493</x:v>
      </x:c>
      <x:c r="I52" s="580" t="n">
        <x:f>IF(SUMIFS('Specialisation Impact'!$E$19:$E$186,'Specialisation Impact'!$A$19:$A$186,A52,'Specialisation Impact'!$B$19:$B$186,B52)=0,0,SUMIFS('Specialisation Impact'!$F$19:$F$186,'Specialisation Impact'!$A$19:$A$186,A52,'Specialisation Impact'!$B$19:$B$186,B52))</x:f>
        <x:v>1</x:v>
      </x:c>
      <x:c r="J52" s="576" t="n">
        <x:f>G52</x:f>
        <x:v>7.33464905226637</x:v>
      </x:c>
      <x:c r="K52" s="576" t="n">
        <x:f>IF(G52="","",IF(I52=0,G52,MAX(0,MIN(100,G52*(1-'Specialisation Scenarios'!$B$8*I52)+H52*('Specialisation Scenarios'!$B$8*I52)))))</x:f>
        <x:v>5.663324451537439</x:v>
      </x:c>
      <x:c r="L52" s="576" t="n">
        <x:f>IF(G52="","",IF(I52=0,G52,MAX(0,MIN(100,G52*(1-'Specialisation Scenarios'!$B$9*I52)+H52*('Specialisation Scenarios'!$B$9*I52)))))</x:f>
        <x:v>4.994794611245868</x:v>
      </x:c>
      <x:c r="M52" s="576" t="str">
        <x:f>IF(COUNTIFS('Tank &amp; Control'!$A$23:$A$189,A52,'Tank &amp; Control'!$B$23:$B$189,B52,'Tank &amp; Control'!$C$23:$C$189,"Yes")&gt;0,"Yes","No")</x:f>
        <x:v>No</x:v>
      </x:c>
      <x:c r="N52" s="576" t="str">
        <x:f>IF(M52&lt;&gt;"Yes","",SUMIFS('Tank &amp; Control'!$L$23:$L$189,'Tank &amp; Control'!$A$23:$A$189,A52,'Tank &amp; Control'!$B$23:$B$189,B52))</x:f>
      </x:c>
      <x:c r="O52" s="576" t="n">
        <x:f>IF(SUMIFS('Specialisation Impact'!$M$19:$M$186,'Specialisation Impact'!$A$19:$A$186,A52,'Specialisation Impact'!$B$19:$B$186,B52)=0,"",SUMIFS('Specialisation Impact'!$V$19:$V$186,'Specialisation Impact'!$A$19:$A$186,A52,'Specialisation Impact'!$B$19:$B$186,B52))</x:f>
        <x:v>60.25641025641025</x:v>
      </x:c>
      <x:c r="P52" s="576" t="str">
        <x:f>IF(N52="","",N52)</x:f>
      </x:c>
      <x:c r="Q52" s="576" t="str">
        <x:f>IF(N52="","",IF(AC52=0,N52,MAX(0,MIN(100,N52*(1-'Specialisation Scenarios'!$B$8*AC52)+O52*('Specialisation Scenarios'!$B$8*AC52)))))</x:f>
      </x:c>
      <x:c r="R52" s="576" t="str">
        <x:f>IF(N52="","",IF(AC52=0,N52,MAX(0,MIN(100,N52*(1-'Specialisation Scenarios'!$B$9*AC52)+O52*('Specialisation Scenarios'!$B$9*AC52)))))</x:f>
      </x:c>
      <x:c r="S52" s="584" t="n">
        <x:f>IF(J52="","",COUNTIFS($A$6:$A$172,A52,$J$6:$J$172,"&gt;"&amp;J52)+COUNTIFS($A$6:A52,A52,$J$6:J52,J52))</x:f>
        <x:v>17</x:v>
      </x:c>
      <x:c r="T52" s="584" t="n">
        <x:f>IF(K52="","",COUNTIFS($A$6:$A$172,A52,$K$6:$K$172,"&gt;"&amp;K52)+COUNTIFS($A$6:A52,A52,$K$6:K52,K52))</x:f>
        <x:v>18</x:v>
      </x:c>
      <x:c r="U52" s="584" t="n">
        <x:f>IF(L52="","",COUNTIFS($A$6:$A$172,A52,$L$6:$L$172,"&gt;"&amp;L52)+COUNTIFS($A$6:A52,A52,$L$6:L52,L52))</x:f>
        <x:v>18</x:v>
      </x:c>
      <x:c r="V52" s="584" t="str">
        <x:f>IF(P52="","",COUNTIFS($A$6:$A$172,A52,$P$6:$P$172,"&gt;"&amp;P52)+COUNTIFS($A$6:A52,A52,$P$6:P52,P52))</x:f>
      </x:c>
      <x:c r="W52" s="584" t="str">
        <x:f>IF(Q52="","",COUNTIFS($A$6:$A$172,A52,$Q$6:$Q$172,"&gt;"&amp;Q52)+COUNTIFS($A$6:A52,A52,$Q$6:Q52,Q52))</x:f>
      </x:c>
      <x:c r="X52" s="584" t="str">
        <x:f>IF(R52="","",COUNTIFS($A$6:$A$172,A52,$R$6:$R$172,"&gt;"&amp;R52)+COUNTIFS($A$6:A52,A52,$R$6:R52,R52))</x:f>
      </x:c>
      <x:c r="Y52" s="572" t="str">
        <x:f>IF(V52="","",A52&amp;"|"&amp;V52)</x:f>
      </x:c>
      <x:c r="Z52" s="572" t="str">
        <x:f>IF(W52="","",A52&amp;"|"&amp;W52)</x:f>
      </x:c>
      <x:c r="AA52" s="572" t="str">
        <x:f>IF(X52="","",A52&amp;"|"&amp;X52)</x:f>
      </x:c>
      <x:c r="AB52" s="572" t="str">
        <x:f>IF(A52="","",IF(I52=0,"Offense neutral — no recorded offensive skills",IF(I52&lt;1,"Partial lookup — adjustment scaled",IF(AND(M52="Yes",AC52=0),"Offense adjusted; Guard neutral","Captured"))))</x:f>
        <x:v>Captured</x:v>
      </x:c>
      <x:c r="AC52" s="580" t="n">
        <x:f>IF(SUMIFS('Specialisation Impact'!$M$19:$M$186,'Specialisation Impact'!$A$19:$A$186,A52,'Specialisation Impact'!$B$19:$B$186,B52)=0,0,SUMIFS('Specialisation Impact'!$F$19:$F$186,'Specialisation Impact'!$A$19:$A$186,A52,'Specialisation Impact'!$B$19:$B$186,B52))</x:f>
        <x:v>1</x:v>
      </x:c>
    </x:row>
    <x:row r="53">
      <x:c r="A53" s="571" t="str">
        <x:v>K116</x:v>
      </x:c>
      <x:c r="B53" s="571" t="str">
        <x:v>苦瓜大王</x:v>
      </x:c>
      <x:c r="C53" s="575" t="n">
        <x:f>IF($A53="","",AVERAGE(100*((COUNTIF('All Stats'!$D$6:$D$172,"&lt;"&amp;'All Stats'!D53)+(COUNTIF('All Stats'!$D$6:$D$172,'All Stats'!D53)-1)/2)/(COUNT('All Stats'!$D$6:$D$172)-1))^'Specialisation Scenarios'!$X$10,100*((COUNTIF('All Stats'!$G$6:$G$172,"&lt;"&amp;'All Stats'!G53)+(COUNTIF('All Stats'!$G$6:$G$172,'All Stats'!G53)-1)/2)/(COUNT('All Stats'!$G$6:$G$172)-1))^'Specialisation Scenarios'!$X$10,100*((COUNTIF('All Stats'!$I$6:$I$172,"&lt;"&amp;'All Stats'!I53)+(COUNTIF('All Stats'!$I$6:$I$172,'All Stats'!I53)-1)/2)/(COUNT('All Stats'!$I$6:$I$172)-1))^'Specialisation Scenarios'!$X$10))</x:f>
        <x:v>50.7055744451284</x:v>
      </x:c>
      <x:c r="D53" s="575" t="n">
        <x:f>IF($A53="","",AVERAGE(100*((COUNTIF('All Stats'!$R$6:$R$172,"&lt;"&amp;'All Stats'!R53)+(COUNTIF('All Stats'!$R$6:$R$172,'All Stats'!R53)-1)/2)/(COUNT('All Stats'!$R$6:$R$172)-1))^'Specialisation Scenarios'!$X$10,100*((COUNTIF('All Stats'!$U$6:$U$172,"&lt;"&amp;'All Stats'!U53)+(COUNTIF('All Stats'!$U$6:$U$172,'All Stats'!U53)-1)/2)/(COUNT('All Stats'!$U$6:$U$172)-1))^'Specialisation Scenarios'!$X$10,100*((COUNTIF('All Stats'!$W$6:$W$172,"&lt;"&amp;'All Stats'!W53)+(COUNTIF('All Stats'!$W$6:$W$172,'All Stats'!W53)-1)/2)/(COUNT('All Stats'!$W$6:$W$172)-1))^'Specialisation Scenarios'!$X$10))</x:f>
        <x:v>58.72801696326792</x:v>
      </x:c>
      <x:c r="E53" s="575" t="n">
        <x:f>IF($A53="","",AVERAGE(100*((COUNTIF('All Stats'!$Y$6:$Y$172,"&lt;"&amp;'All Stats'!Y53)+(COUNTIF('All Stats'!$Y$6:$Y$172,'All Stats'!Y53)-1)/2)/(COUNT('All Stats'!$Y$6:$Y$172)-1))^'Specialisation Scenarios'!$X$10,100*((COUNTIF('All Stats'!$AB$6:$AB$172,"&lt;"&amp;'All Stats'!AB53)+(COUNTIF('All Stats'!$AB$6:$AB$172,'All Stats'!AB53)-1)/2)/(COUNT('All Stats'!$AB$6:$AB$172)-1))^'Specialisation Scenarios'!$X$10,100*((COUNTIF('All Stats'!$AD$6:$AD$172,"&lt;"&amp;'All Stats'!AD53)+(COUNTIF('All Stats'!$AD$6:$AD$172,'All Stats'!AD53)-1)/2)/(COUNT('All Stats'!$AD$6:$AD$172)-1))^'Specialisation Scenarios'!$X$10))</x:f>
        <x:v>45.563314786892626</x:v>
      </x:c>
      <x:c r="F53" s="575" t="n">
        <x:f>IF($A53="","",AVERAGE(100*((COUNTIF('All Stats'!$AF$6:$AF$172,"&lt;"&amp;'All Stats'!AF53)+(COUNTIF('All Stats'!$AF$6:$AF$172,'All Stats'!AF53)-1)/2)/(COUNT('All Stats'!$AF$6:$AF$172)-1))^'Specialisation Scenarios'!$X$10,100*((COUNTIF('All Stats'!$AI$6:$AI$172,"&lt;"&amp;'All Stats'!AI53)+(COUNTIF('All Stats'!$AI$6:$AI$172,'All Stats'!AI53)-1)/2)/(COUNT('All Stats'!$AI$6:$AI$172)-1))^'Specialisation Scenarios'!$X$10,100*((COUNTIF('All Stats'!$AK$6:$AK$172,"&lt;"&amp;'All Stats'!AK53)+(COUNTIF('All Stats'!$AK$6:$AK$172,'All Stats'!AK53)-1)/2)/(COUNT('All Stats'!$AK$6:$AK$172)-1))^'Specialisation Scenarios'!$X$10))</x:f>
        <x:v>50.170605357985416</x:v>
      </x:c>
      <x:c r="G53" s="575" t="n">
        <x:f>IF($A53="","",C53*'Specialisation Scenarios'!$X$11+D53*'Specialisation Scenarios'!$X$12+E53*'Specialisation Scenarios'!$X$13+F53*'Specialisation Scenarios'!$X$14)</x:f>
        <x:v>54.92456862711708</x:v>
      </x:c>
      <x:c r="H53" s="575" t="n">
        <x:f>IF(SUMIFS('Specialisation Impact'!$E$19:$E$186,'Specialisation Impact'!$A$19:$A$186,A53,'Specialisation Impact'!$B$19:$B$186,B53)=0,"",SUMIFS('Specialisation Impact'!$S$19:$S$186,'Specialisation Impact'!$A$19:$A$186,A53,'Specialisation Impact'!$B$19:$B$186,B53))</x:f>
        <x:v>26.233766233766236</x:v>
      </x:c>
      <x:c r="I53" s="579" t="n">
        <x:f>IF(SUMIFS('Specialisation Impact'!$E$19:$E$186,'Specialisation Impact'!$A$19:$A$186,A53,'Specialisation Impact'!$B$19:$B$186,B53)=0,0,SUMIFS('Specialisation Impact'!$F$19:$F$186,'Specialisation Impact'!$A$19:$A$186,A53,'Specialisation Impact'!$B$19:$B$186,B53))</x:f>
        <x:v>1</x:v>
      </x:c>
      <x:c r="J53" s="575" t="n">
        <x:f>G53</x:f>
        <x:v>54.92456862711708</x:v>
      </x:c>
      <x:c r="K53" s="575" t="n">
        <x:f>IF(G53="","",IF(I53=0,G53,MAX(0,MIN(100,G53*(1-'Specialisation Scenarios'!$B$8*I53)+H53*('Specialisation Scenarios'!$B$8*I53)))))</x:f>
        <x:v>47.75186802877937</x:v>
      </x:c>
      <x:c r="L53" s="575" t="n">
        <x:f>IF(G53="","",IF(I53=0,G53,MAX(0,MIN(100,G53*(1-'Specialisation Scenarios'!$B$9*I53)+H53*('Specialisation Scenarios'!$B$9*I53)))))</x:f>
        <x:v>44.882787789444286</x:v>
      </x:c>
      <x:c r="M53" s="575" t="str">
        <x:f>IF(COUNTIFS('Tank &amp; Control'!$A$23:$A$189,A53,'Tank &amp; Control'!$B$23:$B$189,B53,'Tank &amp; Control'!$C$23:$C$189,"Yes")&gt;0,"Yes","No")</x:f>
        <x:v>Yes</x:v>
      </x:c>
      <x:c r="N53" s="575" t="n">
        <x:f>IF(M53&lt;&gt;"Yes","",SUMIFS('Tank &amp; Control'!$L$23:$L$189,'Tank &amp; Control'!$A$23:$A$189,A53,'Tank &amp; Control'!$B$23:$B$189,B53))</x:f>
        <x:v>21.721803664303213</x:v>
      </x:c>
      <x:c r="O53" s="575" t="n">
        <x:f>IF(SUMIFS('Specialisation Impact'!$M$19:$M$186,'Specialisation Impact'!$A$19:$A$186,A53,'Specialisation Impact'!$B$19:$B$186,B53)=0,"",SUMIFS('Specialisation Impact'!$V$19:$V$186,'Specialisation Impact'!$A$19:$A$186,A53,'Specialisation Impact'!$B$19:$B$186,B53))</x:f>
        <x:v>93.16239316239316</x:v>
      </x:c>
      <x:c r="P53" s="575" t="n">
        <x:f>IF(N53="","",N53)</x:f>
        <x:v>21.721803664303213</x:v>
      </x:c>
      <x:c r="Q53" s="575" t="n">
        <x:f>IF(N53="","",IF(AC53=0,N53,MAX(0,MIN(100,N53*(1-'Specialisation Scenarios'!$B$8*AC53)+O53*('Specialisation Scenarios'!$B$8*AC53)))))</x:f>
        <x:v>39.5819510388257</x:v>
      </x:c>
      <x:c r="R53" s="575" t="n">
        <x:f>IF(N53="","",IF(AC53=0,N53,MAX(0,MIN(100,N53*(1-'Specialisation Scenarios'!$B$9*AC53)+O53*('Specialisation Scenarios'!$B$9*AC53)))))</x:f>
        <x:v>46.72600998863469</x:v>
      </x:c>
      <x:c r="S53" s="583" t="n">
        <x:f>IF(J53="","",COUNTIFS($A$6:$A$172,A53,$J$6:$J$172,"&gt;"&amp;J53)+COUNTIFS($A$6:A53,A53,$J$6:J53,J53))</x:f>
        <x:v>4</x:v>
      </x:c>
      <x:c r="T53" s="583" t="n">
        <x:f>IF(K53="","",COUNTIFS($A$6:$A$172,A53,$K$6:$K$172,"&gt;"&amp;K53)+COUNTIFS($A$6:A53,A53,$K$6:K53,K53))</x:f>
        <x:v>7</x:v>
      </x:c>
      <x:c r="U53" s="583" t="n">
        <x:f>IF(L53="","",COUNTIFS($A$6:$A$172,A53,$L$6:$L$172,"&gt;"&amp;L53)+COUNTIFS($A$6:A53,A53,$L$6:L53,L53))</x:f>
        <x:v>8</x:v>
      </x:c>
      <x:c r="V53" s="583" t="n">
        <x:f>IF(P53="","",COUNTIFS($A$6:$A$172,A53,$P$6:$P$172,"&gt;"&amp;P53)+COUNTIFS($A$6:A53,A53,$P$6:P53,P53))</x:f>
        <x:v>4</x:v>
      </x:c>
      <x:c r="W53" s="583" t="n">
        <x:f>IF(Q53="","",COUNTIFS($A$6:$A$172,A53,$Q$6:$Q$172,"&gt;"&amp;Q53)+COUNTIFS($A$6:A53,A53,$Q$6:Q53,Q53))</x:f>
        <x:v>3</x:v>
      </x:c>
      <x:c r="X53" s="583" t="n">
        <x:f>IF(R53="","",COUNTIFS($A$6:$A$172,A53,$R$6:$R$172,"&gt;"&amp;R53)+COUNTIFS($A$6:A53,A53,$R$6:R53,R53))</x:f>
        <x:v>3</x:v>
      </x:c>
      <x:c r="Y53" s="571" t="str">
        <x:f>IF(V53="","",A53&amp;"|"&amp;V53)</x:f>
        <x:v>K116|4</x:v>
      </x:c>
      <x:c r="Z53" s="571" t="str">
        <x:f>IF(W53="","",A53&amp;"|"&amp;W53)</x:f>
        <x:v>K116|3</x:v>
      </x:c>
      <x:c r="AA53" s="571" t="str">
        <x:f>IF(X53="","",A53&amp;"|"&amp;X53)</x:f>
        <x:v>K116|3</x:v>
      </x:c>
      <x:c r="AB53" s="571" t="str">
        <x:f>IF(A53="","",IF(I53=0,"Offense neutral — no recorded offensive skills",IF(I53&lt;1,"Partial lookup — adjustment scaled",IF(AND(M53="Yes",AC53=0),"Offense adjusted; Guard neutral","Captured"))))</x:f>
        <x:v>Captured</x:v>
      </x:c>
      <x:c r="AC53" s="579" t="n">
        <x:f>IF(SUMIFS('Specialisation Impact'!$M$19:$M$186,'Specialisation Impact'!$A$19:$A$186,A53,'Specialisation Impact'!$B$19:$B$186,B53)=0,0,SUMIFS('Specialisation Impact'!$F$19:$F$186,'Specialisation Impact'!$A$19:$A$186,A53,'Specialisation Impact'!$B$19:$B$186,B53))</x:f>
        <x:v>1</x:v>
      </x:c>
    </x:row>
    <x:row r="54">
      <x:c r="A54" s="572" t="str">
        <x:v>K116</x:v>
      </x:c>
      <x:c r="B54" s="572" t="str">
        <x:v>Derek</x:v>
      </x:c>
      <x:c r="C54" s="576" t="n">
        <x:f>IF($A54="","",AVERAGE(100*((COUNTIF('All Stats'!$D$6:$D$172,"&lt;"&amp;'All Stats'!D54)+(COUNTIF('All Stats'!$D$6:$D$172,'All Stats'!D54)-1)/2)/(COUNT('All Stats'!$D$6:$D$172)-1))^'Specialisation Scenarios'!$X$10,100*((COUNTIF('All Stats'!$G$6:$G$172,"&lt;"&amp;'All Stats'!G54)+(COUNTIF('All Stats'!$G$6:$G$172,'All Stats'!G54)-1)/2)/(COUNT('All Stats'!$G$6:$G$172)-1))^'Specialisation Scenarios'!$X$10,100*((COUNTIF('All Stats'!$I$6:$I$172,"&lt;"&amp;'All Stats'!I54)+(COUNTIF('All Stats'!$I$6:$I$172,'All Stats'!I54)-1)/2)/(COUNT('All Stats'!$I$6:$I$172)-1))^'Specialisation Scenarios'!$X$10))</x:f>
        <x:v>13.32654127287194</x:v>
      </x:c>
      <x:c r="D54" s="576" t="n">
        <x:f>IF($A54="","",AVERAGE(100*((COUNTIF('All Stats'!$R$6:$R$172,"&lt;"&amp;'All Stats'!R54)+(COUNTIF('All Stats'!$R$6:$R$172,'All Stats'!R54)-1)/2)/(COUNT('All Stats'!$R$6:$R$172)-1))^'Specialisation Scenarios'!$X$10,100*((COUNTIF('All Stats'!$U$6:$U$172,"&lt;"&amp;'All Stats'!U54)+(COUNTIF('All Stats'!$U$6:$U$172,'All Stats'!U54)-1)/2)/(COUNT('All Stats'!$U$6:$U$172)-1))^'Specialisation Scenarios'!$X$10,100*((COUNTIF('All Stats'!$W$6:$W$172,"&lt;"&amp;'All Stats'!W54)+(COUNTIF('All Stats'!$W$6:$W$172,'All Stats'!W54)-1)/2)/(COUNT('All Stats'!$W$6:$W$172)-1))^'Specialisation Scenarios'!$X$10))</x:f>
        <x:v>25.657492753490448</x:v>
      </x:c>
      <x:c r="E54" s="576" t="n">
        <x:f>IF($A54="","",AVERAGE(100*((COUNTIF('All Stats'!$Y$6:$Y$172,"&lt;"&amp;'All Stats'!Y54)+(COUNTIF('All Stats'!$Y$6:$Y$172,'All Stats'!Y54)-1)/2)/(COUNT('All Stats'!$Y$6:$Y$172)-1))^'Specialisation Scenarios'!$X$10,100*((COUNTIF('All Stats'!$AB$6:$AB$172,"&lt;"&amp;'All Stats'!AB54)+(COUNTIF('All Stats'!$AB$6:$AB$172,'All Stats'!AB54)-1)/2)/(COUNT('All Stats'!$AB$6:$AB$172)-1))^'Specialisation Scenarios'!$X$10,100*((COUNTIF('All Stats'!$AD$6:$AD$172,"&lt;"&amp;'All Stats'!AD54)+(COUNTIF('All Stats'!$AD$6:$AD$172,'All Stats'!AD54)-1)/2)/(COUNT('All Stats'!$AD$6:$AD$172)-1))^'Specialisation Scenarios'!$X$10))</x:f>
        <x:v>0.7015651914906719</x:v>
      </x:c>
      <x:c r="F54" s="576" t="n">
        <x:f>IF($A54="","",AVERAGE(100*((COUNTIF('All Stats'!$AF$6:$AF$172,"&lt;"&amp;'All Stats'!AF54)+(COUNTIF('All Stats'!$AF$6:$AF$172,'All Stats'!AF54)-1)/2)/(COUNT('All Stats'!$AF$6:$AF$172)-1))^'Specialisation Scenarios'!$X$10,100*((COUNTIF('All Stats'!$AI$6:$AI$172,"&lt;"&amp;'All Stats'!AI54)+(COUNTIF('All Stats'!$AI$6:$AI$172,'All Stats'!AI54)-1)/2)/(COUNT('All Stats'!$AI$6:$AI$172)-1))^'Specialisation Scenarios'!$X$10,100*((COUNTIF('All Stats'!$AK$6:$AK$172,"&lt;"&amp;'All Stats'!AK54)+(COUNTIF('All Stats'!$AK$6:$AK$172,'All Stats'!AK54)-1)/2)/(COUNT('All Stats'!$AK$6:$AK$172)-1))^'Specialisation Scenarios'!$X$10))</x:f>
        <x:v>14.341980068811116</x:v>
      </x:c>
      <x:c r="G54" s="576" t="n">
        <x:f>IF($A54="","",C54*'Specialisation Scenarios'!$X$11+D54*'Specialisation Scenarios'!$X$12+E54*'Specialisation Scenarios'!$X$13+F54*'Specialisation Scenarios'!$X$14)</x:f>
        <x:v>19.61493037249579</x:v>
      </x:c>
      <x:c r="H54" s="576" t="str">
        <x:f>IF(SUMIFS('Specialisation Impact'!$E$19:$E$186,'Specialisation Impact'!$A$19:$A$186,A54,'Specialisation Impact'!$B$19:$B$186,B54)=0,"",SUMIFS('Specialisation Impact'!$S$19:$S$186,'Specialisation Impact'!$A$19:$A$186,A54,'Specialisation Impact'!$B$19:$B$186,B54))</x:f>
      </x:c>
      <x:c r="I54" s="580" t="n">
        <x:f>IF(SUMIFS('Specialisation Impact'!$E$19:$E$186,'Specialisation Impact'!$A$19:$A$186,A54,'Specialisation Impact'!$B$19:$B$186,B54)=0,0,SUMIFS('Specialisation Impact'!$F$19:$F$186,'Specialisation Impact'!$A$19:$A$186,A54,'Specialisation Impact'!$B$19:$B$186,B54))</x:f>
        <x:v>0</x:v>
      </x:c>
      <x:c r="J54" s="576" t="n">
        <x:f>G54</x:f>
        <x:v>19.61493037249579</x:v>
      </x:c>
      <x:c r="K54" s="576" t="n">
        <x:f>IF(G54="","",IF(I54=0,G54,MAX(0,MIN(100,G54*(1-'Specialisation Scenarios'!$B$8*I54)+H54*('Specialisation Scenarios'!$B$8*I54)))))</x:f>
        <x:v>19.61493037249579</x:v>
      </x:c>
      <x:c r="L54" s="576" t="n">
        <x:f>IF(G54="","",IF(I54=0,G54,MAX(0,MIN(100,G54*(1-'Specialisation Scenarios'!$B$9*I54)+H54*('Specialisation Scenarios'!$B$9*I54)))))</x:f>
        <x:v>19.61493037249579</x:v>
      </x:c>
      <x:c r="M54" s="576" t="str">
        <x:f>IF(COUNTIFS('Tank &amp; Control'!$A$23:$A$189,A54,'Tank &amp; Control'!$B$23:$B$189,B54,'Tank &amp; Control'!$C$23:$C$189,"Yes")&gt;0,"Yes","No")</x:f>
        <x:v>No</x:v>
      </x:c>
      <x:c r="N54" s="576" t="str">
        <x:f>IF(M54&lt;&gt;"Yes","",SUMIFS('Tank &amp; Control'!$L$23:$L$189,'Tank &amp; Control'!$A$23:$A$189,A54,'Tank &amp; Control'!$B$23:$B$189,B54))</x:f>
      </x:c>
      <x:c r="O54" s="576" t="str">
        <x:f>IF(SUMIFS('Specialisation Impact'!$M$19:$M$186,'Specialisation Impact'!$A$19:$A$186,A54,'Specialisation Impact'!$B$19:$B$186,B54)=0,"",SUMIFS('Specialisation Impact'!$V$19:$V$186,'Specialisation Impact'!$A$19:$A$186,A54,'Specialisation Impact'!$B$19:$B$186,B54))</x:f>
      </x:c>
      <x:c r="P54" s="576" t="str">
        <x:f>IF(N54="","",N54)</x:f>
      </x:c>
      <x:c r="Q54" s="576" t="str">
        <x:f>IF(N54="","",IF(AC54=0,N54,MAX(0,MIN(100,N54*(1-'Specialisation Scenarios'!$B$8*AC54)+O54*('Specialisation Scenarios'!$B$8*AC54)))))</x:f>
      </x:c>
      <x:c r="R54" s="576" t="str">
        <x:f>IF(N54="","",IF(AC54=0,N54,MAX(0,MIN(100,N54*(1-'Specialisation Scenarios'!$B$9*AC54)+O54*('Specialisation Scenarios'!$B$9*AC54)))))</x:f>
      </x:c>
      <x:c r="S54" s="584" t="n">
        <x:f>IF(J54="","",COUNTIFS($A$6:$A$172,A54,$J$6:$J$172,"&gt;"&amp;J54)+COUNTIFS($A$6:A54,A54,$J$6:J54,J54))</x:f>
        <x:v>14</x:v>
      </x:c>
      <x:c r="T54" s="584" t="n">
        <x:f>IF(K54="","",COUNTIFS($A$6:$A$172,A54,$K$6:$K$172,"&gt;"&amp;K54)+COUNTIFS($A$6:A54,A54,$K$6:K54,K54))</x:f>
        <x:v>13</x:v>
      </x:c>
      <x:c r="U54" s="584" t="n">
        <x:f>IF(L54="","",COUNTIFS($A$6:$A$172,A54,$L$6:$L$172,"&gt;"&amp;L54)+COUNTIFS($A$6:A54,A54,$L$6:L54,L54))</x:f>
        <x:v>13</x:v>
      </x:c>
      <x:c r="V54" s="584" t="str">
        <x:f>IF(P54="","",COUNTIFS($A$6:$A$172,A54,$P$6:$P$172,"&gt;"&amp;P54)+COUNTIFS($A$6:A54,A54,$P$6:P54,P54))</x:f>
      </x:c>
      <x:c r="W54" s="584" t="str">
        <x:f>IF(Q54="","",COUNTIFS($A$6:$A$172,A54,$Q$6:$Q$172,"&gt;"&amp;Q54)+COUNTIFS($A$6:A54,A54,$Q$6:Q54,Q54))</x:f>
      </x:c>
      <x:c r="X54" s="584" t="str">
        <x:f>IF(R54="","",COUNTIFS($A$6:$A$172,A54,$R$6:$R$172,"&gt;"&amp;R54)+COUNTIFS($A$6:A54,A54,$R$6:R54,R54))</x:f>
      </x:c>
      <x:c r="Y54" s="572" t="str">
        <x:f>IF(V54="","",A54&amp;"|"&amp;V54)</x:f>
      </x:c>
      <x:c r="Z54" s="572" t="str">
        <x:f>IF(W54="","",A54&amp;"|"&amp;W54)</x:f>
      </x:c>
      <x:c r="AA54" s="572" t="str">
        <x:f>IF(X54="","",A54&amp;"|"&amp;X54)</x:f>
      </x:c>
      <x:c r="AB54" s="572" t="str">
        <x:f>IF(A54="","",IF(I54=0,"Offense neutral — no recorded offensive skills",IF(I54&lt;1,"Partial lookup — adjustment scaled",IF(AND(M54="Yes",AC54=0),"Offense adjusted; Guard neutral","Captured"))))</x:f>
        <x:v>Offense neutral — no recorded offensive skills</x:v>
      </x:c>
      <x:c r="AC54" s="580" t="n">
        <x:f>IF(SUMIFS('Specialisation Impact'!$M$19:$M$186,'Specialisation Impact'!$A$19:$A$186,A54,'Specialisation Impact'!$B$19:$B$186,B54)=0,0,SUMIFS('Specialisation Impact'!$F$19:$F$186,'Specialisation Impact'!$A$19:$A$186,A54,'Specialisation Impact'!$B$19:$B$186,B54))</x:f>
        <x:v>0</x:v>
      </x:c>
    </x:row>
    <x:row r="55">
      <x:c r="A55" s="571" t="str">
        <x:v>K116</x:v>
      </x:c>
      <x:c r="B55" s="571" t="str">
        <x:v>陶渊明</x:v>
      </x:c>
      <x:c r="C55" s="575" t="n">
        <x:f>IF($A55="","",AVERAGE(100*((COUNTIF('All Stats'!$D$6:$D$172,"&lt;"&amp;'All Stats'!D55)+(COUNTIF('All Stats'!$D$6:$D$172,'All Stats'!D55)-1)/2)/(COUNT('All Stats'!$D$6:$D$172)-1))^'Specialisation Scenarios'!$X$10,100*((COUNTIF('All Stats'!$G$6:$G$172,"&lt;"&amp;'All Stats'!G55)+(COUNTIF('All Stats'!$G$6:$G$172,'All Stats'!G55)-1)/2)/(COUNT('All Stats'!$G$6:$G$172)-1))^'Specialisation Scenarios'!$X$10,100*((COUNTIF('All Stats'!$I$6:$I$172,"&lt;"&amp;'All Stats'!I55)+(COUNTIF('All Stats'!$I$6:$I$172,'All Stats'!I55)-1)/2)/(COUNT('All Stats'!$I$6:$I$172)-1))^'Specialisation Scenarios'!$X$10))</x:f>
        <x:v>0.23308559455648026</x:v>
      </x:c>
      <x:c r="D55" s="575" t="n">
        <x:f>IF($A55="","",AVERAGE(100*((COUNTIF('All Stats'!$R$6:$R$172,"&lt;"&amp;'All Stats'!R55)+(COUNTIF('All Stats'!$R$6:$R$172,'All Stats'!R55)-1)/2)/(COUNT('All Stats'!$R$6:$R$172)-1))^'Specialisation Scenarios'!$X$10,100*((COUNTIF('All Stats'!$U$6:$U$172,"&lt;"&amp;'All Stats'!U55)+(COUNTIF('All Stats'!$U$6:$U$172,'All Stats'!U55)-1)/2)/(COUNT('All Stats'!$U$6:$U$172)-1))^'Specialisation Scenarios'!$X$10,100*((COUNTIF('All Stats'!$W$6:$W$172,"&lt;"&amp;'All Stats'!W55)+(COUNTIF('All Stats'!$W$6:$W$172,'All Stats'!W55)-1)/2)/(COUNT('All Stats'!$W$6:$W$172)-1))^'Specialisation Scenarios'!$X$10))</x:f>
        <x:v>10.421260457085731</x:v>
      </x:c>
      <x:c r="E55" s="575" t="n">
        <x:f>IF($A55="","",AVERAGE(100*((COUNTIF('All Stats'!$Y$6:$Y$172,"&lt;"&amp;'All Stats'!Y55)+(COUNTIF('All Stats'!$Y$6:$Y$172,'All Stats'!Y55)-1)/2)/(COUNT('All Stats'!$Y$6:$Y$172)-1))^'Specialisation Scenarios'!$X$10,100*((COUNTIF('All Stats'!$AB$6:$AB$172,"&lt;"&amp;'All Stats'!AB55)+(COUNTIF('All Stats'!$AB$6:$AB$172,'All Stats'!AB55)-1)/2)/(COUNT('All Stats'!$AB$6:$AB$172)-1))^'Specialisation Scenarios'!$X$10,100*((COUNTIF('All Stats'!$AD$6:$AD$172,"&lt;"&amp;'All Stats'!AD55)+(COUNTIF('All Stats'!$AD$6:$AD$172,'All Stats'!AD55)-1)/2)/(COUNT('All Stats'!$AD$6:$AD$172)-1))^'Specialisation Scenarios'!$X$10))</x:f>
        <x:v>1.222880919888044</x:v>
      </x:c>
      <x:c r="F55" s="575" t="n">
        <x:f>IF($A55="","",AVERAGE(100*((COUNTIF('All Stats'!$AF$6:$AF$172,"&lt;"&amp;'All Stats'!AF55)+(COUNTIF('All Stats'!$AF$6:$AF$172,'All Stats'!AF55)-1)/2)/(COUNT('All Stats'!$AF$6:$AF$172)-1))^'Specialisation Scenarios'!$X$10,100*((COUNTIF('All Stats'!$AI$6:$AI$172,"&lt;"&amp;'All Stats'!AI55)+(COUNTIF('All Stats'!$AI$6:$AI$172,'All Stats'!AI55)-1)/2)/(COUNT('All Stats'!$AI$6:$AI$172)-1))^'Specialisation Scenarios'!$X$10,100*((COUNTIF('All Stats'!$AK$6:$AK$172,"&lt;"&amp;'All Stats'!AK55)+(COUNTIF('All Stats'!$AK$6:$AK$172,'All Stats'!AK55)-1)/2)/(COUNT('All Stats'!$AK$6:$AK$172)-1))^'Specialisation Scenarios'!$X$10))</x:f>
        <x:v>13.208972177767174</x:v>
      </x:c>
      <x:c r="G55" s="575" t="n">
        <x:f>IF($A55="","",C55*'Specialisation Scenarios'!$X$11+D55*'Specialisation Scenarios'!$X$12+E55*'Specialisation Scenarios'!$X$13+F55*'Specialisation Scenarios'!$X$14)</x:f>
        <x:v>8.39135303208879</x:v>
      </x:c>
      <x:c r="H55" s="575" t="str">
        <x:f>IF(SUMIFS('Specialisation Impact'!$E$19:$E$186,'Specialisation Impact'!$A$19:$A$186,A55,'Specialisation Impact'!$B$19:$B$186,B55)=0,"",SUMIFS('Specialisation Impact'!$S$19:$S$186,'Specialisation Impact'!$A$19:$A$186,A55,'Specialisation Impact'!$B$19:$B$186,B55))</x:f>
      </x:c>
      <x:c r="I55" s="579" t="n">
        <x:f>IF(SUMIFS('Specialisation Impact'!$E$19:$E$186,'Specialisation Impact'!$A$19:$A$186,A55,'Specialisation Impact'!$B$19:$B$186,B55)=0,0,SUMIFS('Specialisation Impact'!$F$19:$F$186,'Specialisation Impact'!$A$19:$A$186,A55,'Specialisation Impact'!$B$19:$B$186,B55))</x:f>
        <x:v>0</x:v>
      </x:c>
      <x:c r="J55" s="575" t="n">
        <x:f>G55</x:f>
        <x:v>8.39135303208879</x:v>
      </x:c>
      <x:c r="K55" s="575" t="n">
        <x:f>IF(G55="","",IF(I55=0,G55,MAX(0,MIN(100,G55*(1-'Specialisation Scenarios'!$B$8*I55)+H55*('Specialisation Scenarios'!$B$8*I55)))))</x:f>
        <x:v>8.39135303208879</x:v>
      </x:c>
      <x:c r="L55" s="575" t="n">
        <x:f>IF(G55="","",IF(I55=0,G55,MAX(0,MIN(100,G55*(1-'Specialisation Scenarios'!$B$9*I55)+H55*('Specialisation Scenarios'!$B$9*I55)))))</x:f>
        <x:v>8.39135303208879</x:v>
      </x:c>
      <x:c r="M55" s="575" t="str">
        <x:f>IF(COUNTIFS('Tank &amp; Control'!$A$23:$A$189,A55,'Tank &amp; Control'!$B$23:$B$189,B55,'Tank &amp; Control'!$C$23:$C$189,"Yes")&gt;0,"Yes","No")</x:f>
        <x:v>No</x:v>
      </x:c>
      <x:c r="N55" s="575" t="str">
        <x:f>IF(M55&lt;&gt;"Yes","",SUMIFS('Tank &amp; Control'!$L$23:$L$189,'Tank &amp; Control'!$A$23:$A$189,A55,'Tank &amp; Control'!$B$23:$B$189,B55))</x:f>
      </x:c>
      <x:c r="O55" s="575" t="str">
        <x:f>IF(SUMIFS('Specialisation Impact'!$M$19:$M$186,'Specialisation Impact'!$A$19:$A$186,A55,'Specialisation Impact'!$B$19:$B$186,B55)=0,"",SUMIFS('Specialisation Impact'!$V$19:$V$186,'Specialisation Impact'!$A$19:$A$186,A55,'Specialisation Impact'!$B$19:$B$186,B55))</x:f>
      </x:c>
      <x:c r="P55" s="575" t="str">
        <x:f>IF(N55="","",N55)</x:f>
      </x:c>
      <x:c r="Q55" s="575" t="str">
        <x:f>IF(N55="","",IF(AC55=0,N55,MAX(0,MIN(100,N55*(1-'Specialisation Scenarios'!$B$8*AC55)+O55*('Specialisation Scenarios'!$B$8*AC55)))))</x:f>
      </x:c>
      <x:c r="R55" s="575" t="str">
        <x:f>IF(N55="","",IF(AC55=0,N55,MAX(0,MIN(100,N55*(1-'Specialisation Scenarios'!$B$9*AC55)+O55*('Specialisation Scenarios'!$B$9*AC55)))))</x:f>
      </x:c>
      <x:c r="S55" s="583" t="n">
        <x:f>IF(J55="","",COUNTIFS($A$6:$A$172,A55,$J$6:$J$172,"&gt;"&amp;J55)+COUNTIFS($A$6:A55,A55,$J$6:J55,J55))</x:f>
        <x:v>15</x:v>
      </x:c>
      <x:c r="T55" s="583" t="n">
        <x:f>IF(K55="","",COUNTIFS($A$6:$A$172,A55,$K$6:$K$172,"&gt;"&amp;K55)+COUNTIFS($A$6:A55,A55,$K$6:K55,K55))</x:f>
        <x:v>15</x:v>
      </x:c>
      <x:c r="U55" s="583" t="n">
        <x:f>IF(L55="","",COUNTIFS($A$6:$A$172,A55,$L$6:$L$172,"&gt;"&amp;L55)+COUNTIFS($A$6:A55,A55,$L$6:L55,L55))</x:f>
        <x:v>15</x:v>
      </x:c>
      <x:c r="V55" s="583" t="str">
        <x:f>IF(P55="","",COUNTIFS($A$6:$A$172,A55,$P$6:$P$172,"&gt;"&amp;P55)+COUNTIFS($A$6:A55,A55,$P$6:P55,P55))</x:f>
      </x:c>
      <x:c r="W55" s="583" t="str">
        <x:f>IF(Q55="","",COUNTIFS($A$6:$A$172,A55,$Q$6:$Q$172,"&gt;"&amp;Q55)+COUNTIFS($A$6:A55,A55,$Q$6:Q55,Q55))</x:f>
      </x:c>
      <x:c r="X55" s="583" t="str">
        <x:f>IF(R55="","",COUNTIFS($A$6:$A$172,A55,$R$6:$R$172,"&gt;"&amp;R55)+COUNTIFS($A$6:A55,A55,$R$6:R55,R55))</x:f>
      </x:c>
      <x:c r="Y55" s="571" t="str">
        <x:f>IF(V55="","",A55&amp;"|"&amp;V55)</x:f>
      </x:c>
      <x:c r="Z55" s="571" t="str">
        <x:f>IF(W55="","",A55&amp;"|"&amp;W55)</x:f>
      </x:c>
      <x:c r="AA55" s="571" t="str">
        <x:f>IF(X55="","",A55&amp;"|"&amp;X55)</x:f>
      </x:c>
      <x:c r="AB55" s="571" t="str">
        <x:f>IF(A55="","",IF(I55=0,"Offense neutral — no recorded offensive skills",IF(I55&lt;1,"Partial lookup — adjustment scaled",IF(AND(M55="Yes",AC55=0),"Offense adjusted; Guard neutral","Captured"))))</x:f>
        <x:v>Offense neutral — no recorded offensive skills</x:v>
      </x:c>
      <x:c r="AC55" s="579" t="n">
        <x:f>IF(SUMIFS('Specialisation Impact'!$M$19:$M$186,'Specialisation Impact'!$A$19:$A$186,A55,'Specialisation Impact'!$B$19:$B$186,B55)=0,0,SUMIFS('Specialisation Impact'!$F$19:$F$186,'Specialisation Impact'!$A$19:$A$186,A55,'Specialisation Impact'!$B$19:$B$186,B55))</x:f>
        <x:v>0</x:v>
      </x:c>
    </x:row>
    <x:row r="56">
      <x:c r="A56" s="572" t="str">
        <x:v>K116</x:v>
      </x:c>
      <x:c r="B56" s="572" t="str">
        <x:v>开始摆烂</x:v>
      </x:c>
      <x:c r="C56" s="576" t="n">
        <x:f>IF($A56="","",AVERAGE(100*((COUNTIF('All Stats'!$D$6:$D$172,"&lt;"&amp;'All Stats'!D56)+(COUNTIF('All Stats'!$D$6:$D$172,'All Stats'!D56)-1)/2)/(COUNT('All Stats'!$D$6:$D$172)-1))^'Specialisation Scenarios'!$X$10,100*((COUNTIF('All Stats'!$G$6:$G$172,"&lt;"&amp;'All Stats'!G56)+(COUNTIF('All Stats'!$G$6:$G$172,'All Stats'!G56)-1)/2)/(COUNT('All Stats'!$G$6:$G$172)-1))^'Specialisation Scenarios'!$X$10,100*((COUNTIF('All Stats'!$I$6:$I$172,"&lt;"&amp;'All Stats'!I56)+(COUNTIF('All Stats'!$I$6:$I$172,'All Stats'!I56)-1)/2)/(COUNT('All Stats'!$I$6:$I$172)-1))^'Specialisation Scenarios'!$X$10))</x:f>
        <x:v>10.679194399947429</x:v>
      </x:c>
      <x:c r="D56" s="576" t="n">
        <x:f>IF($A56="","",AVERAGE(100*((COUNTIF('All Stats'!$R$6:$R$172,"&lt;"&amp;'All Stats'!R56)+(COUNTIF('All Stats'!$R$6:$R$172,'All Stats'!R56)-1)/2)/(COUNT('All Stats'!$R$6:$R$172)-1))^'Specialisation Scenarios'!$X$10,100*((COUNTIF('All Stats'!$U$6:$U$172,"&lt;"&amp;'All Stats'!U56)+(COUNTIF('All Stats'!$U$6:$U$172,'All Stats'!U56)-1)/2)/(COUNT('All Stats'!$U$6:$U$172)-1))^'Specialisation Scenarios'!$X$10,100*((COUNTIF('All Stats'!$W$6:$W$172,"&lt;"&amp;'All Stats'!W56)+(COUNTIF('All Stats'!$W$6:$W$172,'All Stats'!W56)-1)/2)/(COUNT('All Stats'!$W$6:$W$172)-1))^'Specialisation Scenarios'!$X$10))</x:f>
        <x:v>57.26481556846634</x:v>
      </x:c>
      <x:c r="E56" s="576" t="n">
        <x:f>IF($A56="","",AVERAGE(100*((COUNTIF('All Stats'!$Y$6:$Y$172,"&lt;"&amp;'All Stats'!Y56)+(COUNTIF('All Stats'!$Y$6:$Y$172,'All Stats'!Y56)-1)/2)/(COUNT('All Stats'!$Y$6:$Y$172)-1))^'Specialisation Scenarios'!$X$10,100*((COUNTIF('All Stats'!$AB$6:$AB$172,"&lt;"&amp;'All Stats'!AB56)+(COUNTIF('All Stats'!$AB$6:$AB$172,'All Stats'!AB56)-1)/2)/(COUNT('All Stats'!$AB$6:$AB$172)-1))^'Specialisation Scenarios'!$X$10,100*((COUNTIF('All Stats'!$AD$6:$AD$172,"&lt;"&amp;'All Stats'!AD56)+(COUNTIF('All Stats'!$AD$6:$AD$172,'All Stats'!AD56)-1)/2)/(COUNT('All Stats'!$AD$6:$AD$172)-1))^'Specialisation Scenarios'!$X$10))</x:f>
        <x:v>17.661457073108064</x:v>
      </x:c>
      <x:c r="F56" s="576" t="n">
        <x:f>IF($A56="","",AVERAGE(100*((COUNTIF('All Stats'!$AF$6:$AF$172,"&lt;"&amp;'All Stats'!AF56)+(COUNTIF('All Stats'!$AF$6:$AF$172,'All Stats'!AF56)-1)/2)/(COUNT('All Stats'!$AF$6:$AF$172)-1))^'Specialisation Scenarios'!$X$10,100*((COUNTIF('All Stats'!$AI$6:$AI$172,"&lt;"&amp;'All Stats'!AI56)+(COUNTIF('All Stats'!$AI$6:$AI$172,'All Stats'!AI56)-1)/2)/(COUNT('All Stats'!$AI$6:$AI$172)-1))^'Specialisation Scenarios'!$X$10,100*((COUNTIF('All Stats'!$AK$6:$AK$172,"&lt;"&amp;'All Stats'!AK56)+(COUNTIF('All Stats'!$AK$6:$AK$172,'All Stats'!AK56)-1)/2)/(COUNT('All Stats'!$AK$6:$AK$172)-1))^'Specialisation Scenarios'!$X$10))</x:f>
        <x:v>27.538329891808534</x:v>
      </x:c>
      <x:c r="G56" s="576" t="n">
        <x:f>IF($A56="","",C56*'Specialisation Scenarios'!$X$11+D56*'Specialisation Scenarios'!$X$12+E56*'Specialisation Scenarios'!$X$13+F56*'Specialisation Scenarios'!$X$14)</x:f>
        <x:v>41.857663692154006</x:v>
      </x:c>
      <x:c r="H56" s="576" t="str">
        <x:f>IF(SUMIFS('Specialisation Impact'!$E$19:$E$186,'Specialisation Impact'!$A$19:$A$186,A56,'Specialisation Impact'!$B$19:$B$186,B56)=0,"",SUMIFS('Specialisation Impact'!$S$19:$S$186,'Specialisation Impact'!$A$19:$A$186,A56,'Specialisation Impact'!$B$19:$B$186,B56))</x:f>
      </x:c>
      <x:c r="I56" s="580" t="n">
        <x:f>IF(SUMIFS('Specialisation Impact'!$E$19:$E$186,'Specialisation Impact'!$A$19:$A$186,A56,'Specialisation Impact'!$B$19:$B$186,B56)=0,0,SUMIFS('Specialisation Impact'!$F$19:$F$186,'Specialisation Impact'!$A$19:$A$186,A56,'Specialisation Impact'!$B$19:$B$186,B56))</x:f>
        <x:v>0</x:v>
      </x:c>
      <x:c r="J56" s="576" t="n">
        <x:f>G56</x:f>
        <x:v>41.857663692154006</x:v>
      </x:c>
      <x:c r="K56" s="576" t="n">
        <x:f>IF(G56="","",IF(I56=0,G56,MAX(0,MIN(100,G56*(1-'Specialisation Scenarios'!$B$8*I56)+H56*('Specialisation Scenarios'!$B$8*I56)))))</x:f>
        <x:v>41.857663692154006</x:v>
      </x:c>
      <x:c r="L56" s="576" t="n">
        <x:f>IF(G56="","",IF(I56=0,G56,MAX(0,MIN(100,G56*(1-'Specialisation Scenarios'!$B$9*I56)+H56*('Specialisation Scenarios'!$B$9*I56)))))</x:f>
        <x:v>41.857663692154006</x:v>
      </x:c>
      <x:c r="M56" s="576" t="str">
        <x:f>IF(COUNTIFS('Tank &amp; Control'!$A$23:$A$189,A56,'Tank &amp; Control'!$B$23:$B$189,B56,'Tank &amp; Control'!$C$23:$C$189,"Yes")&gt;0,"Yes","No")</x:f>
        <x:v>No</x:v>
      </x:c>
      <x:c r="N56" s="576" t="str">
        <x:f>IF(M56&lt;&gt;"Yes","",SUMIFS('Tank &amp; Control'!$L$23:$L$189,'Tank &amp; Control'!$A$23:$A$189,A56,'Tank &amp; Control'!$B$23:$B$189,B56))</x:f>
      </x:c>
      <x:c r="O56" s="576" t="str">
        <x:f>IF(SUMIFS('Specialisation Impact'!$M$19:$M$186,'Specialisation Impact'!$A$19:$A$186,A56,'Specialisation Impact'!$B$19:$B$186,B56)=0,"",SUMIFS('Specialisation Impact'!$V$19:$V$186,'Specialisation Impact'!$A$19:$A$186,A56,'Specialisation Impact'!$B$19:$B$186,B56))</x:f>
      </x:c>
      <x:c r="P56" s="576" t="str">
        <x:f>IF(N56="","",N56)</x:f>
      </x:c>
      <x:c r="Q56" s="576" t="str">
        <x:f>IF(N56="","",IF(AC56=0,N56,MAX(0,MIN(100,N56*(1-'Specialisation Scenarios'!$B$8*AC56)+O56*('Specialisation Scenarios'!$B$8*AC56)))))</x:f>
      </x:c>
      <x:c r="R56" s="576" t="str">
        <x:f>IF(N56="","",IF(AC56=0,N56,MAX(0,MIN(100,N56*(1-'Specialisation Scenarios'!$B$9*AC56)+O56*('Specialisation Scenarios'!$B$9*AC56)))))</x:f>
      </x:c>
      <x:c r="S56" s="584" t="n">
        <x:f>IF(J56="","",COUNTIFS($A$6:$A$172,A56,$J$6:$J$172,"&gt;"&amp;J56)+COUNTIFS($A$6:A56,A56,$J$6:J56,J56))</x:f>
        <x:v>10</x:v>
      </x:c>
      <x:c r="T56" s="584" t="n">
        <x:f>IF(K56="","",COUNTIFS($A$6:$A$172,A56,$K$6:$K$172,"&gt;"&amp;K56)+COUNTIFS($A$6:A56,A56,$K$6:K56,K56))</x:f>
        <x:v>10</x:v>
      </x:c>
      <x:c r="U56" s="584" t="n">
        <x:f>IF(L56="","",COUNTIFS($A$6:$A$172,A56,$L$6:$L$172,"&gt;"&amp;L56)+COUNTIFS($A$6:A56,A56,$L$6:L56,L56))</x:f>
        <x:v>10</x:v>
      </x:c>
      <x:c r="V56" s="584" t="str">
        <x:f>IF(P56="","",COUNTIFS($A$6:$A$172,A56,$P$6:$P$172,"&gt;"&amp;P56)+COUNTIFS($A$6:A56,A56,$P$6:P56,P56))</x:f>
      </x:c>
      <x:c r="W56" s="584" t="str">
        <x:f>IF(Q56="","",COUNTIFS($A$6:$A$172,A56,$Q$6:$Q$172,"&gt;"&amp;Q56)+COUNTIFS($A$6:A56,A56,$Q$6:Q56,Q56))</x:f>
      </x:c>
      <x:c r="X56" s="584" t="str">
        <x:f>IF(R56="","",COUNTIFS($A$6:$A$172,A56,$R$6:$R$172,"&gt;"&amp;R56)+COUNTIFS($A$6:A56,A56,$R$6:R56,R56))</x:f>
      </x:c>
      <x:c r="Y56" s="572" t="str">
        <x:f>IF(V56="","",A56&amp;"|"&amp;V56)</x:f>
      </x:c>
      <x:c r="Z56" s="572" t="str">
        <x:f>IF(W56="","",A56&amp;"|"&amp;W56)</x:f>
      </x:c>
      <x:c r="AA56" s="572" t="str">
        <x:f>IF(X56="","",A56&amp;"|"&amp;X56)</x:f>
      </x:c>
      <x:c r="AB56" s="572" t="str">
        <x:f>IF(A56="","",IF(I56=0,"Offense neutral — no recorded offensive skills",IF(I56&lt;1,"Partial lookup — adjustment scaled",IF(AND(M56="Yes",AC56=0),"Offense adjusted; Guard neutral","Captured"))))</x:f>
        <x:v>Offense neutral — no recorded offensive skills</x:v>
      </x:c>
      <x:c r="AC56" s="580" t="n">
        <x:f>IF(SUMIFS('Specialisation Impact'!$M$19:$M$186,'Specialisation Impact'!$A$19:$A$186,A56,'Specialisation Impact'!$B$19:$B$186,B56)=0,0,SUMIFS('Specialisation Impact'!$F$19:$F$186,'Specialisation Impact'!$A$19:$A$186,A56,'Specialisation Impact'!$B$19:$B$186,B56))</x:f>
        <x:v>0</x:v>
      </x:c>
    </x:row>
    <x:row r="57">
      <x:c r="A57" s="571" t="str">
        <x:v>K116</x:v>
      </x:c>
      <x:c r="B57" s="571" t="str">
        <x:v>山君</x:v>
      </x:c>
      <x:c r="C57" s="575" t="n">
        <x:f>IF($A57="","",AVERAGE(100*((COUNTIF('All Stats'!$D$6:$D$172,"&lt;"&amp;'All Stats'!D57)+(COUNTIF('All Stats'!$D$6:$D$172,'All Stats'!D57)-1)/2)/(COUNT('All Stats'!$D$6:$D$172)-1))^'Specialisation Scenarios'!$X$10,100*((COUNTIF('All Stats'!$G$6:$G$172,"&lt;"&amp;'All Stats'!G57)+(COUNTIF('All Stats'!$G$6:$G$172,'All Stats'!G57)-1)/2)/(COUNT('All Stats'!$G$6:$G$172)-1))^'Specialisation Scenarios'!$X$10,100*((COUNTIF('All Stats'!$I$6:$I$172,"&lt;"&amp;'All Stats'!I57)+(COUNTIF('All Stats'!$I$6:$I$172,'All Stats'!I57)-1)/2)/(COUNT('All Stats'!$I$6:$I$172)-1))^'Specialisation Scenarios'!$X$10))</x:f>
        <x:v>19.559429052425447</x:v>
      </x:c>
      <x:c r="D57" s="575" t="n">
        <x:f>IF($A57="","",AVERAGE(100*((COUNTIF('All Stats'!$R$6:$R$172,"&lt;"&amp;'All Stats'!R57)+(COUNTIF('All Stats'!$R$6:$R$172,'All Stats'!R57)-1)/2)/(COUNT('All Stats'!$R$6:$R$172)-1))^'Specialisation Scenarios'!$X$10,100*((COUNTIF('All Stats'!$U$6:$U$172,"&lt;"&amp;'All Stats'!U57)+(COUNTIF('All Stats'!$U$6:$U$172,'All Stats'!U57)-1)/2)/(COUNT('All Stats'!$U$6:$U$172)-1))^'Specialisation Scenarios'!$X$10,100*((COUNTIF('All Stats'!$W$6:$W$172,"&lt;"&amp;'All Stats'!W57)+(COUNTIF('All Stats'!$W$6:$W$172,'All Stats'!W57)-1)/2)/(COUNT('All Stats'!$W$6:$W$172)-1))^'Specialisation Scenarios'!$X$10))</x:f>
        <x:v>55.49098243382837</x:v>
      </x:c>
      <x:c r="E57" s="575" t="n">
        <x:f>IF($A57="","",AVERAGE(100*((COUNTIF('All Stats'!$Y$6:$Y$172,"&lt;"&amp;'All Stats'!Y57)+(COUNTIF('All Stats'!$Y$6:$Y$172,'All Stats'!Y57)-1)/2)/(COUNT('All Stats'!$Y$6:$Y$172)-1))^'Specialisation Scenarios'!$X$10,100*((COUNTIF('All Stats'!$AB$6:$AB$172,"&lt;"&amp;'All Stats'!AB57)+(COUNTIF('All Stats'!$AB$6:$AB$172,'All Stats'!AB57)-1)/2)/(COUNT('All Stats'!$AB$6:$AB$172)-1))^'Specialisation Scenarios'!$X$10,100*((COUNTIF('All Stats'!$AD$6:$AD$172,"&lt;"&amp;'All Stats'!AD57)+(COUNTIF('All Stats'!$AD$6:$AD$172,'All Stats'!AD57)-1)/2)/(COUNT('All Stats'!$AD$6:$AD$172)-1))^'Specialisation Scenarios'!$X$10))</x:f>
        <x:v>19.03075207557234</x:v>
      </x:c>
      <x:c r="F57" s="575" t="n">
        <x:f>IF($A57="","",AVERAGE(100*((COUNTIF('All Stats'!$AF$6:$AF$172,"&lt;"&amp;'All Stats'!AF57)+(COUNTIF('All Stats'!$AF$6:$AF$172,'All Stats'!AF57)-1)/2)/(COUNT('All Stats'!$AF$6:$AF$172)-1))^'Specialisation Scenarios'!$X$10,100*((COUNTIF('All Stats'!$AI$6:$AI$172,"&lt;"&amp;'All Stats'!AI57)+(COUNTIF('All Stats'!$AI$6:$AI$172,'All Stats'!AI57)-1)/2)/(COUNT('All Stats'!$AI$6:$AI$172)-1))^'Specialisation Scenarios'!$X$10,100*((COUNTIF('All Stats'!$AK$6:$AK$172,"&lt;"&amp;'All Stats'!AK57)+(COUNTIF('All Stats'!$AK$6:$AK$172,'All Stats'!AK57)-1)/2)/(COUNT('All Stats'!$AK$6:$AK$172)-1))^'Specialisation Scenarios'!$X$10))</x:f>
        <x:v>43.46342187354785</x:v>
      </x:c>
      <x:c r="G57" s="575" t="n">
        <x:f>IF($A57="","",C57*'Specialisation Scenarios'!$X$11+D57*'Specialisation Scenarios'!$X$12+E57*'Specialisation Scenarios'!$X$13+F57*'Specialisation Scenarios'!$X$14)</x:f>
        <x:v>44.65109230675025</x:v>
      </x:c>
      <x:c r="H57" s="575" t="str">
        <x:f>IF(SUMIFS('Specialisation Impact'!$E$19:$E$186,'Specialisation Impact'!$A$19:$A$186,A57,'Specialisation Impact'!$B$19:$B$186,B57)=0,"",SUMIFS('Specialisation Impact'!$S$19:$S$186,'Specialisation Impact'!$A$19:$A$186,A57,'Specialisation Impact'!$B$19:$B$186,B57))</x:f>
      </x:c>
      <x:c r="I57" s="579" t="n">
        <x:f>IF(SUMIFS('Specialisation Impact'!$E$19:$E$186,'Specialisation Impact'!$A$19:$A$186,A57,'Specialisation Impact'!$B$19:$B$186,B57)=0,0,SUMIFS('Specialisation Impact'!$F$19:$F$186,'Specialisation Impact'!$A$19:$A$186,A57,'Specialisation Impact'!$B$19:$B$186,B57))</x:f>
        <x:v>0</x:v>
      </x:c>
      <x:c r="J57" s="575" t="n">
        <x:f>G57</x:f>
        <x:v>44.65109230675025</x:v>
      </x:c>
      <x:c r="K57" s="575" t="n">
        <x:f>IF(G57="","",IF(I57=0,G57,MAX(0,MIN(100,G57*(1-'Specialisation Scenarios'!$B$8*I57)+H57*('Specialisation Scenarios'!$B$8*I57)))))</x:f>
        <x:v>44.65109230675025</x:v>
      </x:c>
      <x:c r="L57" s="575" t="n">
        <x:f>IF(G57="","",IF(I57=0,G57,MAX(0,MIN(100,G57*(1-'Specialisation Scenarios'!$B$9*I57)+H57*('Specialisation Scenarios'!$B$9*I57)))))</x:f>
        <x:v>44.65109230675025</x:v>
      </x:c>
      <x:c r="M57" s="575" t="str">
        <x:f>IF(COUNTIFS('Tank &amp; Control'!$A$23:$A$189,A57,'Tank &amp; Control'!$B$23:$B$189,B57,'Tank &amp; Control'!$C$23:$C$189,"Yes")&gt;0,"Yes","No")</x:f>
        <x:v>No</x:v>
      </x:c>
      <x:c r="N57" s="575" t="str">
        <x:f>IF(M57&lt;&gt;"Yes","",SUMIFS('Tank &amp; Control'!$L$23:$L$189,'Tank &amp; Control'!$A$23:$A$189,A57,'Tank &amp; Control'!$B$23:$B$189,B57))</x:f>
      </x:c>
      <x:c r="O57" s="575" t="str">
        <x:f>IF(SUMIFS('Specialisation Impact'!$M$19:$M$186,'Specialisation Impact'!$A$19:$A$186,A57,'Specialisation Impact'!$B$19:$B$186,B57)=0,"",SUMIFS('Specialisation Impact'!$V$19:$V$186,'Specialisation Impact'!$A$19:$A$186,A57,'Specialisation Impact'!$B$19:$B$186,B57))</x:f>
      </x:c>
      <x:c r="P57" s="575" t="str">
        <x:f>IF(N57="","",N57)</x:f>
      </x:c>
      <x:c r="Q57" s="575" t="str">
        <x:f>IF(N57="","",IF(AC57=0,N57,MAX(0,MIN(100,N57*(1-'Specialisation Scenarios'!$B$8*AC57)+O57*('Specialisation Scenarios'!$B$8*AC57)))))</x:f>
      </x:c>
      <x:c r="R57" s="575" t="str">
        <x:f>IF(N57="","",IF(AC57=0,N57,MAX(0,MIN(100,N57*(1-'Specialisation Scenarios'!$B$9*AC57)+O57*('Specialisation Scenarios'!$B$9*AC57)))))</x:f>
      </x:c>
      <x:c r="S57" s="583" t="n">
        <x:f>IF(J57="","",COUNTIFS($A$6:$A$172,A57,$J$6:$J$172,"&gt;"&amp;J57)+COUNTIFS($A$6:A57,A57,$J$6:J57,J57))</x:f>
        <x:v>9</x:v>
      </x:c>
      <x:c r="T57" s="583" t="n">
        <x:f>IF(K57="","",COUNTIFS($A$6:$A$172,A57,$K$6:$K$172,"&gt;"&amp;K57)+COUNTIFS($A$6:A57,A57,$K$6:K57,K57))</x:f>
        <x:v>9</x:v>
      </x:c>
      <x:c r="U57" s="583" t="n">
        <x:f>IF(L57="","",COUNTIFS($A$6:$A$172,A57,$L$6:$L$172,"&gt;"&amp;L57)+COUNTIFS($A$6:A57,A57,$L$6:L57,L57))</x:f>
        <x:v>9</x:v>
      </x:c>
      <x:c r="V57" s="583" t="str">
        <x:f>IF(P57="","",COUNTIFS($A$6:$A$172,A57,$P$6:$P$172,"&gt;"&amp;P57)+COUNTIFS($A$6:A57,A57,$P$6:P57,P57))</x:f>
      </x:c>
      <x:c r="W57" s="583" t="str">
        <x:f>IF(Q57="","",COUNTIFS($A$6:$A$172,A57,$Q$6:$Q$172,"&gt;"&amp;Q57)+COUNTIFS($A$6:A57,A57,$Q$6:Q57,Q57))</x:f>
      </x:c>
      <x:c r="X57" s="583" t="str">
        <x:f>IF(R57="","",COUNTIFS($A$6:$A$172,A57,$R$6:$R$172,"&gt;"&amp;R57)+COUNTIFS($A$6:A57,A57,$R$6:R57,R57))</x:f>
      </x:c>
      <x:c r="Y57" s="571" t="str">
        <x:f>IF(V57="","",A57&amp;"|"&amp;V57)</x:f>
      </x:c>
      <x:c r="Z57" s="571" t="str">
        <x:f>IF(W57="","",A57&amp;"|"&amp;W57)</x:f>
      </x:c>
      <x:c r="AA57" s="571" t="str">
        <x:f>IF(X57="","",A57&amp;"|"&amp;X57)</x:f>
      </x:c>
      <x:c r="AB57" s="571" t="str">
        <x:f>IF(A57="","",IF(I57=0,"Offense neutral — no recorded offensive skills",IF(I57&lt;1,"Partial lookup — adjustment scaled",IF(AND(M57="Yes",AC57=0),"Offense adjusted; Guard neutral","Captured"))))</x:f>
        <x:v>Offense neutral — no recorded offensive skills</x:v>
      </x:c>
      <x:c r="AC57" s="579" t="n">
        <x:f>IF(SUMIFS('Specialisation Impact'!$M$19:$M$186,'Specialisation Impact'!$A$19:$A$186,A57,'Specialisation Impact'!$B$19:$B$186,B57)=0,0,SUMIFS('Specialisation Impact'!$F$19:$F$186,'Specialisation Impact'!$A$19:$A$186,A57,'Specialisation Impact'!$B$19:$B$186,B57))</x:f>
        <x:v>0</x:v>
      </x:c>
    </x:row>
    <x:row r="58">
      <x:c r="A58" s="572" t="str">
        <x:v>K116</x:v>
      </x:c>
      <x:c r="B58" s="572" t="str">
        <x:v>汰需尚青</x:v>
      </x:c>
      <x:c r="C58" s="576" t="n">
        <x:f>IF($A58="","",AVERAGE(100*((COUNTIF('All Stats'!$D$6:$D$172,"&lt;"&amp;'All Stats'!D58)+(COUNTIF('All Stats'!$D$6:$D$172,'All Stats'!D58)-1)/2)/(COUNT('All Stats'!$D$6:$D$172)-1))^'Specialisation Scenarios'!$X$10,100*((COUNTIF('All Stats'!$G$6:$G$172,"&lt;"&amp;'All Stats'!G58)+(COUNTIF('All Stats'!$G$6:$G$172,'All Stats'!G58)-1)/2)/(COUNT('All Stats'!$G$6:$G$172)-1))^'Specialisation Scenarios'!$X$10,100*((COUNTIF('All Stats'!$I$6:$I$172,"&lt;"&amp;'All Stats'!I58)+(COUNTIF('All Stats'!$I$6:$I$172,'All Stats'!I58)-1)/2)/(COUNT('All Stats'!$I$6:$I$172)-1))^'Specialisation Scenarios'!$X$10))</x:f>
        <x:v>73.74480699726554</x:v>
      </x:c>
      <x:c r="D58" s="576" t="n">
        <x:f>IF($A58="","",AVERAGE(100*((COUNTIF('All Stats'!$R$6:$R$172,"&lt;"&amp;'All Stats'!R58)+(COUNTIF('All Stats'!$R$6:$R$172,'All Stats'!R58)-1)/2)/(COUNT('All Stats'!$R$6:$R$172)-1))^'Specialisation Scenarios'!$X$10,100*((COUNTIF('All Stats'!$U$6:$U$172,"&lt;"&amp;'All Stats'!U58)+(COUNTIF('All Stats'!$U$6:$U$172,'All Stats'!U58)-1)/2)/(COUNT('All Stats'!$U$6:$U$172)-1))^'Specialisation Scenarios'!$X$10,100*((COUNTIF('All Stats'!$W$6:$W$172,"&lt;"&amp;'All Stats'!W58)+(COUNTIF('All Stats'!$W$6:$W$172,'All Stats'!W58)-1)/2)/(COUNT('All Stats'!$W$6:$W$172)-1))^'Specialisation Scenarios'!$X$10))</x:f>
        <x:v>64.5212522299548</x:v>
      </x:c>
      <x:c r="E58" s="576" t="n">
        <x:f>IF($A58="","",AVERAGE(100*((COUNTIF('All Stats'!$Y$6:$Y$172,"&lt;"&amp;'All Stats'!Y58)+(COUNTIF('All Stats'!$Y$6:$Y$172,'All Stats'!Y58)-1)/2)/(COUNT('All Stats'!$Y$6:$Y$172)-1))^'Specialisation Scenarios'!$X$10,100*((COUNTIF('All Stats'!$AB$6:$AB$172,"&lt;"&amp;'All Stats'!AB58)+(COUNTIF('All Stats'!$AB$6:$AB$172,'All Stats'!AB58)-1)/2)/(COUNT('All Stats'!$AB$6:$AB$172)-1))^'Specialisation Scenarios'!$X$10,100*((COUNTIF('All Stats'!$AD$6:$AD$172,"&lt;"&amp;'All Stats'!AD58)+(COUNTIF('All Stats'!$AD$6:$AD$172,'All Stats'!AD58)-1)/2)/(COUNT('All Stats'!$AD$6:$AD$172)-1))^'Specialisation Scenarios'!$X$10))</x:f>
        <x:v>77.8274418737201</x:v>
      </x:c>
      <x:c r="F58" s="576" t="n">
        <x:f>IF($A58="","",AVERAGE(100*((COUNTIF('All Stats'!$AF$6:$AF$172,"&lt;"&amp;'All Stats'!AF58)+(COUNTIF('All Stats'!$AF$6:$AF$172,'All Stats'!AF58)-1)/2)/(COUNT('All Stats'!$AF$6:$AF$172)-1))^'Specialisation Scenarios'!$X$10,100*((COUNTIF('All Stats'!$AI$6:$AI$172,"&lt;"&amp;'All Stats'!AI58)+(COUNTIF('All Stats'!$AI$6:$AI$172,'All Stats'!AI58)-1)/2)/(COUNT('All Stats'!$AI$6:$AI$172)-1))^'Specialisation Scenarios'!$X$10,100*((COUNTIF('All Stats'!$AK$6:$AK$172,"&lt;"&amp;'All Stats'!AK58)+(COUNTIF('All Stats'!$AK$6:$AK$172,'All Stats'!AK58)-1)/2)/(COUNT('All Stats'!$AK$6:$AK$172)-1))^'Specialisation Scenarios'!$X$10))</x:f>
        <x:v>64.08604730679004</x:v>
      </x:c>
      <x:c r="G58" s="576" t="n">
        <x:f>IF($A58="","",C58*'Specialisation Scenarios'!$X$11+D58*'Specialisation Scenarios'!$X$12+E58*'Specialisation Scenarios'!$X$13+F58*'Specialisation Scenarios'!$X$14)</x:f>
        <x:v>67.17012367095323</x:v>
      </x:c>
      <x:c r="H58" s="576" t="n">
        <x:f>IF(SUMIFS('Specialisation Impact'!$E$19:$E$186,'Specialisation Impact'!$A$19:$A$186,A58,'Specialisation Impact'!$B$19:$B$186,B58)=0,"",SUMIFS('Specialisation Impact'!$S$19:$S$186,'Specialisation Impact'!$A$19:$A$186,A58,'Specialisation Impact'!$B$19:$B$186,B58))</x:f>
        <x:v>29.48051948051948</x:v>
      </x:c>
      <x:c r="I58" s="580" t="n">
        <x:f>IF(SUMIFS('Specialisation Impact'!$E$19:$E$186,'Specialisation Impact'!$A$19:$A$186,A58,'Specialisation Impact'!$B$19:$B$186,B58)=0,0,SUMIFS('Specialisation Impact'!$F$19:$F$186,'Specialisation Impact'!$A$19:$A$186,A58,'Specialisation Impact'!$B$19:$B$186,B58))</x:f>
        <x:v>1</x:v>
      </x:c>
      <x:c r="J58" s="576" t="n">
        <x:f>G58</x:f>
        <x:v>67.17012367095323</x:v>
      </x:c>
      <x:c r="K58" s="576" t="n">
        <x:f>IF(G58="","",IF(I58=0,G58,MAX(0,MIN(100,G58*(1-'Specialisation Scenarios'!$B$8*I58)+H58*('Specialisation Scenarios'!$B$8*I58)))))</x:f>
        <x:v>57.7477226233448</x:v>
      </x:c>
      <x:c r="L58" s="576" t="n">
        <x:f>IF(G58="","",IF(I58=0,G58,MAX(0,MIN(100,G58*(1-'Specialisation Scenarios'!$B$9*I58)+H58*('Specialisation Scenarios'!$B$9*I58)))))</x:f>
        <x:v>53.97876220430142</x:v>
      </x:c>
      <x:c r="M58" s="576" t="str">
        <x:f>IF(COUNTIFS('Tank &amp; Control'!$A$23:$A$189,A58,'Tank &amp; Control'!$B$23:$B$189,B58,'Tank &amp; Control'!$C$23:$C$189,"Yes")&gt;0,"Yes","No")</x:f>
        <x:v>Yes</x:v>
      </x:c>
      <x:c r="N58" s="576" t="n">
        <x:f>IF(M58&lt;&gt;"Yes","",SUMIFS('Tank &amp; Control'!$L$23:$L$189,'Tank &amp; Control'!$A$23:$A$189,A58,'Tank &amp; Control'!$B$23:$B$189,B58))</x:f>
        <x:v>35.52144091902879</x:v>
      </x:c>
      <x:c r="O58" s="576" t="str">
        <x:f>IF(SUMIFS('Specialisation Impact'!$M$19:$M$186,'Specialisation Impact'!$A$19:$A$186,A58,'Specialisation Impact'!$B$19:$B$186,B58)=0,"",SUMIFS('Specialisation Impact'!$V$19:$V$186,'Specialisation Impact'!$A$19:$A$186,A58,'Specialisation Impact'!$B$19:$B$186,B58))</x:f>
      </x:c>
      <x:c r="P58" s="576" t="n">
        <x:f>IF(N58="","",N58)</x:f>
        <x:v>35.52144091902879</x:v>
      </x:c>
      <x:c r="Q58" s="576" t="n">
        <x:f>IF(N58="","",IF(AC58=0,N58,MAX(0,MIN(100,N58*(1-'Specialisation Scenarios'!$B$8*AC58)+O58*('Specialisation Scenarios'!$B$8*AC58)))))</x:f>
        <x:v>35.52144091902879</x:v>
      </x:c>
      <x:c r="R58" s="576" t="n">
        <x:f>IF(N58="","",IF(AC58=0,N58,MAX(0,MIN(100,N58*(1-'Specialisation Scenarios'!$B$9*AC58)+O58*('Specialisation Scenarios'!$B$9*AC58)))))</x:f>
        <x:v>35.52144091902879</x:v>
      </x:c>
      <x:c r="S58" s="584" t="n">
        <x:f>IF(J58="","",COUNTIFS($A$6:$A$172,A58,$J$6:$J$172,"&gt;"&amp;J58)+COUNTIFS($A$6:A58,A58,$J$6:J58,J58))</x:f>
        <x:v>2</x:v>
      </x:c>
      <x:c r="T58" s="584" t="n">
        <x:f>IF(K58="","",COUNTIFS($A$6:$A$172,A58,$K$6:$K$172,"&gt;"&amp;K58)+COUNTIFS($A$6:A58,A58,$K$6:K58,K58))</x:f>
        <x:v>4</x:v>
      </x:c>
      <x:c r="U58" s="584" t="n">
        <x:f>IF(L58="","",COUNTIFS($A$6:$A$172,A58,$L$6:$L$172,"&gt;"&amp;L58)+COUNTIFS($A$6:A58,A58,$L$6:L58,L58))</x:f>
        <x:v>4</x:v>
      </x:c>
      <x:c r="V58" s="584" t="n">
        <x:f>IF(P58="","",COUNTIFS($A$6:$A$172,A58,$P$6:$P$172,"&gt;"&amp;P58)+COUNTIFS($A$6:A58,A58,$P$6:P58,P58))</x:f>
        <x:v>2</x:v>
      </x:c>
      <x:c r="W58" s="584" t="n">
        <x:f>IF(Q58="","",COUNTIFS($A$6:$A$172,A58,$Q$6:$Q$172,"&gt;"&amp;Q58)+COUNTIFS($A$6:A58,A58,$Q$6:Q58,Q58))</x:f>
        <x:v>4</x:v>
      </x:c>
      <x:c r="X58" s="584" t="n">
        <x:f>IF(R58="","",COUNTIFS($A$6:$A$172,A58,$R$6:$R$172,"&gt;"&amp;R58)+COUNTIFS($A$6:A58,A58,$R$6:R58,R58))</x:f>
        <x:v>5</x:v>
      </x:c>
      <x:c r="Y58" s="572" t="str">
        <x:f>IF(V58="","",A58&amp;"|"&amp;V58)</x:f>
        <x:v>K116|2</x:v>
      </x:c>
      <x:c r="Z58" s="572" t="str">
        <x:f>IF(W58="","",A58&amp;"|"&amp;W58)</x:f>
        <x:v>K116|4</x:v>
      </x:c>
      <x:c r="AA58" s="572" t="str">
        <x:f>IF(X58="","",A58&amp;"|"&amp;X58)</x:f>
        <x:v>K116|5</x:v>
      </x:c>
      <x:c r="AB58" s="572" t="str">
        <x:f>IF(A58="","",IF(I58=0,"Offense neutral — no recorded offensive skills",IF(I58&lt;1,"Partial lookup — adjustment scaled",IF(AND(M58="Yes",AC58=0),"Offense adjusted; Guard neutral","Captured"))))</x:f>
        <x:v>Offense adjusted; Guard neutral</x:v>
      </x:c>
      <x:c r="AC58" s="580" t="n">
        <x:f>IF(SUMIFS('Specialisation Impact'!$M$19:$M$186,'Specialisation Impact'!$A$19:$A$186,A58,'Specialisation Impact'!$B$19:$B$186,B58)=0,0,SUMIFS('Specialisation Impact'!$F$19:$F$186,'Specialisation Impact'!$A$19:$A$186,A58,'Specialisation Impact'!$B$19:$B$186,B58))</x:f>
        <x:v>0</x:v>
      </x:c>
    </x:row>
    <x:row r="59">
      <x:c r="A59" s="571" t="str">
        <x:v>K116</x:v>
      </x:c>
      <x:c r="B59" s="571" t="str">
        <x:v>独守孤城</x:v>
      </x:c>
      <x:c r="C59" s="575" t="n">
        <x:f>IF($A59="","",AVERAGE(100*((COUNTIF('All Stats'!$D$6:$D$172,"&lt;"&amp;'All Stats'!D59)+(COUNTIF('All Stats'!$D$6:$D$172,'All Stats'!D59)-1)/2)/(COUNT('All Stats'!$D$6:$D$172)-1))^'Specialisation Scenarios'!$X$10,100*((COUNTIF('All Stats'!$G$6:$G$172,"&lt;"&amp;'All Stats'!G59)+(COUNTIF('All Stats'!$G$6:$G$172,'All Stats'!G59)-1)/2)/(COUNT('All Stats'!$G$6:$G$172)-1))^'Specialisation Scenarios'!$X$10,100*((COUNTIF('All Stats'!$I$6:$I$172,"&lt;"&amp;'All Stats'!I59)+(COUNTIF('All Stats'!$I$6:$I$172,'All Stats'!I59)-1)/2)/(COUNT('All Stats'!$I$6:$I$172)-1))^'Specialisation Scenarios'!$X$10))</x:f>
        <x:v>37.715315781707424</x:v>
      </x:c>
      <x:c r="D59" s="575" t="n">
        <x:f>IF($A59="","",AVERAGE(100*((COUNTIF('All Stats'!$R$6:$R$172,"&lt;"&amp;'All Stats'!R59)+(COUNTIF('All Stats'!$R$6:$R$172,'All Stats'!R59)-1)/2)/(COUNT('All Stats'!$R$6:$R$172)-1))^'Specialisation Scenarios'!$X$10,100*((COUNTIF('All Stats'!$U$6:$U$172,"&lt;"&amp;'All Stats'!U59)+(COUNTIF('All Stats'!$U$6:$U$172,'All Stats'!U59)-1)/2)/(COUNT('All Stats'!$U$6:$U$172)-1))^'Specialisation Scenarios'!$X$10,100*((COUNTIF('All Stats'!$W$6:$W$172,"&lt;"&amp;'All Stats'!W59)+(COUNTIF('All Stats'!$W$6:$W$172,'All Stats'!W59)-1)/2)/(COUNT('All Stats'!$W$6:$W$172)-1))^'Specialisation Scenarios'!$X$10))</x:f>
        <x:v>45.501933692933044</x:v>
      </x:c>
      <x:c r="E59" s="575" t="n">
        <x:f>IF($A59="","",AVERAGE(100*((COUNTIF('All Stats'!$Y$6:$Y$172,"&lt;"&amp;'All Stats'!Y59)+(COUNTIF('All Stats'!$Y$6:$Y$172,'All Stats'!Y59)-1)/2)/(COUNT('All Stats'!$Y$6:$Y$172)-1))^'Specialisation Scenarios'!$X$10,100*((COUNTIF('All Stats'!$AB$6:$AB$172,"&lt;"&amp;'All Stats'!AB59)+(COUNTIF('All Stats'!$AB$6:$AB$172,'All Stats'!AB59)-1)/2)/(COUNT('All Stats'!$AB$6:$AB$172)-1))^'Specialisation Scenarios'!$X$10,100*((COUNTIF('All Stats'!$AD$6:$AD$172,"&lt;"&amp;'All Stats'!AD59)+(COUNTIF('All Stats'!$AD$6:$AD$172,'All Stats'!AD59)-1)/2)/(COUNT('All Stats'!$AD$6:$AD$172)-1))^'Specialisation Scenarios'!$X$10))</x:f>
        <x:v>47.39417628176245</x:v>
      </x:c>
      <x:c r="F59" s="575" t="n">
        <x:f>IF($A59="","",AVERAGE(100*((COUNTIF('All Stats'!$AF$6:$AF$172,"&lt;"&amp;'All Stats'!AF59)+(COUNTIF('All Stats'!$AF$6:$AF$172,'All Stats'!AF59)-1)/2)/(COUNT('All Stats'!$AF$6:$AF$172)-1))^'Specialisation Scenarios'!$X$10,100*((COUNTIF('All Stats'!$AI$6:$AI$172,"&lt;"&amp;'All Stats'!AI59)+(COUNTIF('All Stats'!$AI$6:$AI$172,'All Stats'!AI59)-1)/2)/(COUNT('All Stats'!$AI$6:$AI$172)-1))^'Specialisation Scenarios'!$X$10,100*((COUNTIF('All Stats'!$AK$6:$AK$172,"&lt;"&amp;'All Stats'!AK59)+(COUNTIF('All Stats'!$AK$6:$AK$172,'All Stats'!AK59)-1)/2)/(COUNT('All Stats'!$AK$6:$AK$172)-1))^'Specialisation Scenarios'!$X$10))</x:f>
        <x:v>57.247866723442066</x:v>
      </x:c>
      <x:c r="G59" s="575" t="n">
        <x:f>IF($A59="","",C59*'Specialisation Scenarios'!$X$11+D59*'Specialisation Scenarios'!$X$12+E59*'Specialisation Scenarios'!$X$13+F59*'Specialisation Scenarios'!$X$14)</x:f>
        <x:v>46.2850552197085</x:v>
      </x:c>
      <x:c r="H59" s="575" t="str">
        <x:f>IF(SUMIFS('Specialisation Impact'!$E$19:$E$186,'Specialisation Impact'!$A$19:$A$186,A59,'Specialisation Impact'!$B$19:$B$186,B59)=0,"",SUMIFS('Specialisation Impact'!$S$19:$S$186,'Specialisation Impact'!$A$19:$A$186,A59,'Specialisation Impact'!$B$19:$B$186,B59))</x:f>
      </x:c>
      <x:c r="I59" s="579" t="n">
        <x:f>IF(SUMIFS('Specialisation Impact'!$E$19:$E$186,'Specialisation Impact'!$A$19:$A$186,A59,'Specialisation Impact'!$B$19:$B$186,B59)=0,0,SUMIFS('Specialisation Impact'!$F$19:$F$186,'Specialisation Impact'!$A$19:$A$186,A59,'Specialisation Impact'!$B$19:$B$186,B59))</x:f>
        <x:v>0</x:v>
      </x:c>
      <x:c r="J59" s="575" t="n">
        <x:f>G59</x:f>
        <x:v>46.2850552197085</x:v>
      </x:c>
      <x:c r="K59" s="575" t="n">
        <x:f>IF(G59="","",IF(I59=0,G59,MAX(0,MIN(100,G59*(1-'Specialisation Scenarios'!$B$8*I59)+H59*('Specialisation Scenarios'!$B$8*I59)))))</x:f>
        <x:v>46.2850552197085</x:v>
      </x:c>
      <x:c r="L59" s="575" t="n">
        <x:f>IF(G59="","",IF(I59=0,G59,MAX(0,MIN(100,G59*(1-'Specialisation Scenarios'!$B$9*I59)+H59*('Specialisation Scenarios'!$B$9*I59)))))</x:f>
        <x:v>46.2850552197085</x:v>
      </x:c>
      <x:c r="M59" s="575" t="str">
        <x:f>IF(COUNTIFS('Tank &amp; Control'!$A$23:$A$189,A59,'Tank &amp; Control'!$B$23:$B$189,B59,'Tank &amp; Control'!$C$23:$C$189,"Yes")&gt;0,"Yes","No")</x:f>
        <x:v>No</x:v>
      </x:c>
      <x:c r="N59" s="575" t="str">
        <x:f>IF(M59&lt;&gt;"Yes","",SUMIFS('Tank &amp; Control'!$L$23:$L$189,'Tank &amp; Control'!$A$23:$A$189,A59,'Tank &amp; Control'!$B$23:$B$189,B59))</x:f>
      </x:c>
      <x:c r="O59" s="575" t="str">
        <x:f>IF(SUMIFS('Specialisation Impact'!$M$19:$M$186,'Specialisation Impact'!$A$19:$A$186,A59,'Specialisation Impact'!$B$19:$B$186,B59)=0,"",SUMIFS('Specialisation Impact'!$V$19:$V$186,'Specialisation Impact'!$A$19:$A$186,A59,'Specialisation Impact'!$B$19:$B$186,B59))</x:f>
      </x:c>
      <x:c r="P59" s="575" t="str">
        <x:f>IF(N59="","",N59)</x:f>
      </x:c>
      <x:c r="Q59" s="575" t="str">
        <x:f>IF(N59="","",IF(AC59=0,N59,MAX(0,MIN(100,N59*(1-'Specialisation Scenarios'!$B$8*AC59)+O59*('Specialisation Scenarios'!$B$8*AC59)))))</x:f>
      </x:c>
      <x:c r="R59" s="575" t="str">
        <x:f>IF(N59="","",IF(AC59=0,N59,MAX(0,MIN(100,N59*(1-'Specialisation Scenarios'!$B$9*AC59)+O59*('Specialisation Scenarios'!$B$9*AC59)))))</x:f>
      </x:c>
      <x:c r="S59" s="583" t="n">
        <x:f>IF(J59="","",COUNTIFS($A$6:$A$172,A59,$J$6:$J$172,"&gt;"&amp;J59)+COUNTIFS($A$6:A59,A59,$J$6:J59,J59))</x:f>
        <x:v>8</x:v>
      </x:c>
      <x:c r="T59" s="583" t="n">
        <x:f>IF(K59="","",COUNTIFS($A$6:$A$172,A59,$K$6:$K$172,"&gt;"&amp;K59)+COUNTIFS($A$6:A59,A59,$K$6:K59,K59))</x:f>
        <x:v>8</x:v>
      </x:c>
      <x:c r="U59" s="583" t="n">
        <x:f>IF(L59="","",COUNTIFS($A$6:$A$172,A59,$L$6:$L$172,"&gt;"&amp;L59)+COUNTIFS($A$6:A59,A59,$L$6:L59,L59))</x:f>
        <x:v>7</x:v>
      </x:c>
      <x:c r="V59" s="583" t="str">
        <x:f>IF(P59="","",COUNTIFS($A$6:$A$172,A59,$P$6:$P$172,"&gt;"&amp;P59)+COUNTIFS($A$6:A59,A59,$P$6:P59,P59))</x:f>
      </x:c>
      <x:c r="W59" s="583" t="str">
        <x:f>IF(Q59="","",COUNTIFS($A$6:$A$172,A59,$Q$6:$Q$172,"&gt;"&amp;Q59)+COUNTIFS($A$6:A59,A59,$Q$6:Q59,Q59))</x:f>
      </x:c>
      <x:c r="X59" s="583" t="str">
        <x:f>IF(R59="","",COUNTIFS($A$6:$A$172,A59,$R$6:$R$172,"&gt;"&amp;R59)+COUNTIFS($A$6:A59,A59,$R$6:R59,R59))</x:f>
      </x:c>
      <x:c r="Y59" s="571" t="str">
        <x:f>IF(V59="","",A59&amp;"|"&amp;V59)</x:f>
      </x:c>
      <x:c r="Z59" s="571" t="str">
        <x:f>IF(W59="","",A59&amp;"|"&amp;W59)</x:f>
      </x:c>
      <x:c r="AA59" s="571" t="str">
        <x:f>IF(X59="","",A59&amp;"|"&amp;X59)</x:f>
      </x:c>
      <x:c r="AB59" s="571" t="str">
        <x:f>IF(A59="","",IF(I59=0,"Offense neutral — no recorded offensive skills",IF(I59&lt;1,"Partial lookup — adjustment scaled",IF(AND(M59="Yes",AC59=0),"Offense adjusted; Guard neutral","Captured"))))</x:f>
        <x:v>Offense neutral — no recorded offensive skills</x:v>
      </x:c>
      <x:c r="AC59" s="579" t="n">
        <x:f>IF(SUMIFS('Specialisation Impact'!$M$19:$M$186,'Specialisation Impact'!$A$19:$A$186,A59,'Specialisation Impact'!$B$19:$B$186,B59)=0,0,SUMIFS('Specialisation Impact'!$F$19:$F$186,'Specialisation Impact'!$A$19:$A$186,A59,'Specialisation Impact'!$B$19:$B$186,B59))</x:f>
        <x:v>0</x:v>
      </x:c>
    </x:row>
    <x:row r="60">
      <x:c r="A60" s="572" t="str">
        <x:v>K116</x:v>
      </x:c>
      <x:c r="B60" s="572" t="str">
        <x:v>Yuke</x:v>
      </x:c>
      <x:c r="C60" s="576" t="n">
        <x:f>IF($A60="","",AVERAGE(100*((COUNTIF('All Stats'!$D$6:$D$172,"&lt;"&amp;'All Stats'!D60)+(COUNTIF('All Stats'!$D$6:$D$172,'All Stats'!D60)-1)/2)/(COUNT('All Stats'!$D$6:$D$172)-1))^'Specialisation Scenarios'!$X$10,100*((COUNTIF('All Stats'!$G$6:$G$172,"&lt;"&amp;'All Stats'!G60)+(COUNTIF('All Stats'!$G$6:$G$172,'All Stats'!G60)-1)/2)/(COUNT('All Stats'!$G$6:$G$172)-1))^'Specialisation Scenarios'!$X$10,100*((COUNTIF('All Stats'!$I$6:$I$172,"&lt;"&amp;'All Stats'!I60)+(COUNTIF('All Stats'!$I$6:$I$172,'All Stats'!I60)-1)/2)/(COUNT('All Stats'!$I$6:$I$172)-1))^'Specialisation Scenarios'!$X$10))</x:f>
        <x:v>14.763179198386949</x:v>
      </x:c>
      <x:c r="D60" s="576" t="n">
        <x:f>IF($A60="","",AVERAGE(100*((COUNTIF('All Stats'!$R$6:$R$172,"&lt;"&amp;'All Stats'!R60)+(COUNTIF('All Stats'!$R$6:$R$172,'All Stats'!R60)-1)/2)/(COUNT('All Stats'!$R$6:$R$172)-1))^'Specialisation Scenarios'!$X$10,100*((COUNTIF('All Stats'!$U$6:$U$172,"&lt;"&amp;'All Stats'!U60)+(COUNTIF('All Stats'!$U$6:$U$172,'All Stats'!U60)-1)/2)/(COUNT('All Stats'!$U$6:$U$172)-1))^'Specialisation Scenarios'!$X$10,100*((COUNTIF('All Stats'!$W$6:$W$172,"&lt;"&amp;'All Stats'!W60)+(COUNTIF('All Stats'!$W$6:$W$172,'All Stats'!W60)-1)/2)/(COUNT('All Stats'!$W$6:$W$172)-1))^'Specialisation Scenarios'!$X$10))</x:f>
        <x:v>1.021030426465868</x:v>
      </x:c>
      <x:c r="E60" s="576" t="n">
        <x:f>IF($A60="","",AVERAGE(100*((COUNTIF('All Stats'!$Y$6:$Y$172,"&lt;"&amp;'All Stats'!Y60)+(COUNTIF('All Stats'!$Y$6:$Y$172,'All Stats'!Y60)-1)/2)/(COUNT('All Stats'!$Y$6:$Y$172)-1))^'Specialisation Scenarios'!$X$10,100*((COUNTIF('All Stats'!$AB$6:$AB$172,"&lt;"&amp;'All Stats'!AB60)+(COUNTIF('All Stats'!$AB$6:$AB$172,'All Stats'!AB60)-1)/2)/(COUNT('All Stats'!$AB$6:$AB$172)-1))^'Specialisation Scenarios'!$X$10,100*((COUNTIF('All Stats'!$AD$6:$AD$172,"&lt;"&amp;'All Stats'!AD60)+(COUNTIF('All Stats'!$AD$6:$AD$172,'All Stats'!AD60)-1)/2)/(COUNT('All Stats'!$AD$6:$AD$172)-1))^'Specialisation Scenarios'!$X$10))</x:f>
        <x:v>28.42501928512192</x:v>
      </x:c>
      <x:c r="F60" s="576" t="n">
        <x:f>IF($A60="","",AVERAGE(100*((COUNTIF('All Stats'!$AF$6:$AF$172,"&lt;"&amp;'All Stats'!AF60)+(COUNTIF('All Stats'!$AF$6:$AF$172,'All Stats'!AF60)-1)/2)/(COUNT('All Stats'!$AF$6:$AF$172)-1))^'Specialisation Scenarios'!$X$10,100*((COUNTIF('All Stats'!$AI$6:$AI$172,"&lt;"&amp;'All Stats'!AI60)+(COUNTIF('All Stats'!$AI$6:$AI$172,'All Stats'!AI60)-1)/2)/(COUNT('All Stats'!$AI$6:$AI$172)-1))^'Specialisation Scenarios'!$X$10,100*((COUNTIF('All Stats'!$AK$6:$AK$172,"&lt;"&amp;'All Stats'!AK60)+(COUNTIF('All Stats'!$AK$6:$AK$172,'All Stats'!AK60)-1)/2)/(COUNT('All Stats'!$AK$6:$AK$172)-1))^'Specialisation Scenarios'!$X$10))</x:f>
        <x:v>6.660742181647341</x:v>
      </x:c>
      <x:c r="G60" s="576" t="n">
        <x:f>IF($A60="","",C60*'Specialisation Scenarios'!$X$11+D60*'Specialisation Scenarios'!$X$12+E60*'Specialisation Scenarios'!$X$13+F60*'Specialisation Scenarios'!$X$14)</x:f>
        <x:v>6.668708391396857</x:v>
      </x:c>
      <x:c r="H60" s="576" t="str">
        <x:f>IF(SUMIFS('Specialisation Impact'!$E$19:$E$186,'Specialisation Impact'!$A$19:$A$186,A60,'Specialisation Impact'!$B$19:$B$186,B60)=0,"",SUMIFS('Specialisation Impact'!$S$19:$S$186,'Specialisation Impact'!$A$19:$A$186,A60,'Specialisation Impact'!$B$19:$B$186,B60))</x:f>
      </x:c>
      <x:c r="I60" s="580" t="n">
        <x:f>IF(SUMIFS('Specialisation Impact'!$E$19:$E$186,'Specialisation Impact'!$A$19:$A$186,A60,'Specialisation Impact'!$B$19:$B$186,B60)=0,0,SUMIFS('Specialisation Impact'!$F$19:$F$186,'Specialisation Impact'!$A$19:$A$186,A60,'Specialisation Impact'!$B$19:$B$186,B60))</x:f>
        <x:v>0</x:v>
      </x:c>
      <x:c r="J60" s="576" t="n">
        <x:f>G60</x:f>
        <x:v>6.668708391396857</x:v>
      </x:c>
      <x:c r="K60" s="576" t="n">
        <x:f>IF(G60="","",IF(I60=0,G60,MAX(0,MIN(100,G60*(1-'Specialisation Scenarios'!$B$8*I60)+H60*('Specialisation Scenarios'!$B$8*I60)))))</x:f>
        <x:v>6.668708391396857</x:v>
      </x:c>
      <x:c r="L60" s="576" t="n">
        <x:f>IF(G60="","",IF(I60=0,G60,MAX(0,MIN(100,G60*(1-'Specialisation Scenarios'!$B$9*I60)+H60*('Specialisation Scenarios'!$B$9*I60)))))</x:f>
        <x:v>6.668708391396857</x:v>
      </x:c>
      <x:c r="M60" s="576" t="str">
        <x:f>IF(COUNTIFS('Tank &amp; Control'!$A$23:$A$189,A60,'Tank &amp; Control'!$B$23:$B$189,B60,'Tank &amp; Control'!$C$23:$C$189,"Yes")&gt;0,"Yes","No")</x:f>
        <x:v>No</x:v>
      </x:c>
      <x:c r="N60" s="576" t="str">
        <x:f>IF(M60&lt;&gt;"Yes","",SUMIFS('Tank &amp; Control'!$L$23:$L$189,'Tank &amp; Control'!$A$23:$A$189,A60,'Tank &amp; Control'!$B$23:$B$189,B60))</x:f>
      </x:c>
      <x:c r="O60" s="576" t="n">
        <x:f>IF(SUMIFS('Specialisation Impact'!$M$19:$M$186,'Specialisation Impact'!$A$19:$A$186,A60,'Specialisation Impact'!$B$19:$B$186,B60)=0,"",SUMIFS('Specialisation Impact'!$V$19:$V$186,'Specialisation Impact'!$A$19:$A$186,A60,'Specialisation Impact'!$B$19:$B$186,B60))</x:f>
        <x:v>4.700854700854701</x:v>
      </x:c>
      <x:c r="P60" s="576" t="str">
        <x:f>IF(N60="","",N60)</x:f>
      </x:c>
      <x:c r="Q60" s="576" t="str">
        <x:f>IF(N60="","",IF(AC60=0,N60,MAX(0,MIN(100,N60*(1-'Specialisation Scenarios'!$B$8*AC60)+O60*('Specialisation Scenarios'!$B$8*AC60)))))</x:f>
      </x:c>
      <x:c r="R60" s="576" t="str">
        <x:f>IF(N60="","",IF(AC60=0,N60,MAX(0,MIN(100,N60*(1-'Specialisation Scenarios'!$B$9*AC60)+O60*('Specialisation Scenarios'!$B$9*AC60)))))</x:f>
      </x:c>
      <x:c r="S60" s="584" t="n">
        <x:f>IF(J60="","",COUNTIFS($A$6:$A$172,A60,$J$6:$J$172,"&gt;"&amp;J60)+COUNTIFS($A$6:A60,A60,$J$6:J60,J60))</x:f>
        <x:v>18</x:v>
      </x:c>
      <x:c r="T60" s="584" t="n">
        <x:f>IF(K60="","",COUNTIFS($A$6:$A$172,A60,$K$6:$K$172,"&gt;"&amp;K60)+COUNTIFS($A$6:A60,A60,$K$6:K60,K60))</x:f>
        <x:v>16</x:v>
      </x:c>
      <x:c r="U60" s="584" t="n">
        <x:f>IF(L60="","",COUNTIFS($A$6:$A$172,A60,$L$6:$L$172,"&gt;"&amp;L60)+COUNTIFS($A$6:A60,A60,$L$6:L60,L60))</x:f>
        <x:v>17</x:v>
      </x:c>
      <x:c r="V60" s="584" t="str">
        <x:f>IF(P60="","",COUNTIFS($A$6:$A$172,A60,$P$6:$P$172,"&gt;"&amp;P60)+COUNTIFS($A$6:A60,A60,$P$6:P60,P60))</x:f>
      </x:c>
      <x:c r="W60" s="584" t="str">
        <x:f>IF(Q60="","",COUNTIFS($A$6:$A$172,A60,$Q$6:$Q$172,"&gt;"&amp;Q60)+COUNTIFS($A$6:A60,A60,$Q$6:Q60,Q60))</x:f>
      </x:c>
      <x:c r="X60" s="584" t="str">
        <x:f>IF(R60="","",COUNTIFS($A$6:$A$172,A60,$R$6:$R$172,"&gt;"&amp;R60)+COUNTIFS($A$6:A60,A60,$R$6:R60,R60))</x:f>
      </x:c>
      <x:c r="Y60" s="572" t="str">
        <x:f>IF(V60="","",A60&amp;"|"&amp;V60)</x:f>
      </x:c>
      <x:c r="Z60" s="572" t="str">
        <x:f>IF(W60="","",A60&amp;"|"&amp;W60)</x:f>
      </x:c>
      <x:c r="AA60" s="572" t="str">
        <x:f>IF(X60="","",A60&amp;"|"&amp;X60)</x:f>
      </x:c>
      <x:c r="AB60" s="572" t="str">
        <x:f>IF(A60="","",IF(I60=0,"Offense neutral — no recorded offensive skills",IF(I60&lt;1,"Partial lookup — adjustment scaled",IF(AND(M60="Yes",AC60=0),"Offense adjusted; Guard neutral","Captured"))))</x:f>
        <x:v>Offense neutral — no recorded offensive skills</x:v>
      </x:c>
      <x:c r="AC60" s="580" t="n">
        <x:f>IF(SUMIFS('Specialisation Impact'!$M$19:$M$186,'Specialisation Impact'!$A$19:$A$186,A60,'Specialisation Impact'!$B$19:$B$186,B60)=0,0,SUMIFS('Specialisation Impact'!$F$19:$F$186,'Specialisation Impact'!$A$19:$A$186,A60,'Specialisation Impact'!$B$19:$B$186,B60))</x:f>
        <x:v>1</x:v>
      </x:c>
    </x:row>
    <x:row r="61">
      <x:c r="A61" s="571" t="str">
        <x:v>K116</x:v>
      </x:c>
      <x:c r="B61" s="571" t="str">
        <x:v>不可理喻</x:v>
      </x:c>
      <x:c r="C61" s="575" t="n">
        <x:f>IF($A61="","",AVERAGE(100*((COUNTIF('All Stats'!$D$6:$D$172,"&lt;"&amp;'All Stats'!D61)+(COUNTIF('All Stats'!$D$6:$D$172,'All Stats'!D61)-1)/2)/(COUNT('All Stats'!$D$6:$D$172)-1))^'Specialisation Scenarios'!$X$10,100*((COUNTIF('All Stats'!$G$6:$G$172,"&lt;"&amp;'All Stats'!G61)+(COUNTIF('All Stats'!$G$6:$G$172,'All Stats'!G61)-1)/2)/(COUNT('All Stats'!$G$6:$G$172)-1))^'Specialisation Scenarios'!$X$10,100*((COUNTIF('All Stats'!$I$6:$I$172,"&lt;"&amp;'All Stats'!I61)+(COUNTIF('All Stats'!$I$6:$I$172,'All Stats'!I61)-1)/2)/(COUNT('All Stats'!$I$6:$I$172)-1))^'Specialisation Scenarios'!$X$10))</x:f>
        <x:v>49.07623331772576</x:v>
      </x:c>
      <x:c r="D61" s="575" t="n">
        <x:f>IF($A61="","",AVERAGE(100*((COUNTIF('All Stats'!$R$6:$R$172,"&lt;"&amp;'All Stats'!R61)+(COUNTIF('All Stats'!$R$6:$R$172,'All Stats'!R61)-1)/2)/(COUNT('All Stats'!$R$6:$R$172)-1))^'Specialisation Scenarios'!$X$10,100*((COUNTIF('All Stats'!$U$6:$U$172,"&lt;"&amp;'All Stats'!U61)+(COUNTIF('All Stats'!$U$6:$U$172,'All Stats'!U61)-1)/2)/(COUNT('All Stats'!$U$6:$U$172)-1))^'Specialisation Scenarios'!$X$10,100*((COUNTIF('All Stats'!$W$6:$W$172,"&lt;"&amp;'All Stats'!W61)+(COUNTIF('All Stats'!$W$6:$W$172,'All Stats'!W61)-1)/2)/(COUNT('All Stats'!$W$6:$W$172)-1))^'Specialisation Scenarios'!$X$10))</x:f>
        <x:v>55.7455263436737</x:v>
      </x:c>
      <x:c r="E61" s="575" t="n">
        <x:f>IF($A61="","",AVERAGE(100*((COUNTIF('All Stats'!$Y$6:$Y$172,"&lt;"&amp;'All Stats'!Y61)+(COUNTIF('All Stats'!$Y$6:$Y$172,'All Stats'!Y61)-1)/2)/(COUNT('All Stats'!$Y$6:$Y$172)-1))^'Specialisation Scenarios'!$X$10,100*((COUNTIF('All Stats'!$AB$6:$AB$172,"&lt;"&amp;'All Stats'!AB61)+(COUNTIF('All Stats'!$AB$6:$AB$172,'All Stats'!AB61)-1)/2)/(COUNT('All Stats'!$AB$6:$AB$172)-1))^'Specialisation Scenarios'!$X$10,100*((COUNTIF('All Stats'!$AD$6:$AD$172,"&lt;"&amp;'All Stats'!AD61)+(COUNTIF('All Stats'!$AD$6:$AD$172,'All Stats'!AD61)-1)/2)/(COUNT('All Stats'!$AD$6:$AD$172)-1))^'Specialisation Scenarios'!$X$10))</x:f>
        <x:v>37.5761445004646</x:v>
      </x:c>
      <x:c r="F61" s="575" t="n">
        <x:f>IF($A61="","",AVERAGE(100*((COUNTIF('All Stats'!$AF$6:$AF$172,"&lt;"&amp;'All Stats'!AF61)+(COUNTIF('All Stats'!$AF$6:$AF$172,'All Stats'!AF61)-1)/2)/(COUNT('All Stats'!$AF$6:$AF$172)-1))^'Specialisation Scenarios'!$X$10,100*((COUNTIF('All Stats'!$AI$6:$AI$172,"&lt;"&amp;'All Stats'!AI61)+(COUNTIF('All Stats'!$AI$6:$AI$172,'All Stats'!AI61)-1)/2)/(COUNT('All Stats'!$AI$6:$AI$172)-1))^'Specialisation Scenarios'!$X$10,100*((COUNTIF('All Stats'!$AK$6:$AK$172,"&lt;"&amp;'All Stats'!AK61)+(COUNTIF('All Stats'!$AK$6:$AK$172,'All Stats'!AK61)-1)/2)/(COUNT('All Stats'!$AK$6:$AK$172)-1))^'Specialisation Scenarios'!$X$10))</x:f>
        <x:v>69.0698371478363</x:v>
      </x:c>
      <x:c r="G61" s="575" t="n">
        <x:f>IF($A61="","",C61*'Specialisation Scenarios'!$X$11+D61*'Specialisation Scenarios'!$X$12+E61*'Specialisation Scenarios'!$X$13+F61*'Specialisation Scenarios'!$X$14)</x:f>
        <x:v>54.92684082608499</x:v>
      </x:c>
      <x:c r="H61" s="575" t="n">
        <x:f>IF(SUMIFS('Specialisation Impact'!$E$19:$E$186,'Specialisation Impact'!$A$19:$A$186,A61,'Specialisation Impact'!$B$19:$B$186,B61)=0,"",SUMIFS('Specialisation Impact'!$S$19:$S$186,'Specialisation Impact'!$A$19:$A$186,A61,'Specialisation Impact'!$B$19:$B$186,B61))</x:f>
        <x:v>82.20779220779221</x:v>
      </x:c>
      <x:c r="I61" s="579" t="n">
        <x:f>IF(SUMIFS('Specialisation Impact'!$E$19:$E$186,'Specialisation Impact'!$A$19:$A$186,A61,'Specialisation Impact'!$B$19:$B$186,B61)=0,0,SUMIFS('Specialisation Impact'!$F$19:$F$186,'Specialisation Impact'!$A$19:$A$186,A61,'Specialisation Impact'!$B$19:$B$186,B61))</x:f>
        <x:v>1</x:v>
      </x:c>
      <x:c r="J61" s="575" t="n">
        <x:f>G61</x:f>
        <x:v>54.92684082608499</x:v>
      </x:c>
      <x:c r="K61" s="575" t="n">
        <x:f>IF(G61="","",IF(I61=0,G61,MAX(0,MIN(100,G61*(1-'Specialisation Scenarios'!$B$8*I61)+H61*('Specialisation Scenarios'!$B$8*I61)))))</x:f>
        <x:v>61.747078671511794</x:v>
      </x:c>
      <x:c r="L61" s="575" t="n">
        <x:f>IF(G61="","",IF(I61=0,G61,MAX(0,MIN(100,G61*(1-'Specialisation Scenarios'!$B$9*I61)+H61*('Specialisation Scenarios'!$B$9*I61)))))</x:f>
        <x:v>64.47517380968252</x:v>
      </x:c>
      <x:c r="M61" s="575" t="str">
        <x:f>IF(COUNTIFS('Tank &amp; Control'!$A$23:$A$189,A61,'Tank &amp; Control'!$B$23:$B$189,B61,'Tank &amp; Control'!$C$23:$C$189,"Yes")&gt;0,"Yes","No")</x:f>
        <x:v>Yes</x:v>
      </x:c>
      <x:c r="N61" s="575" t="n">
        <x:f>IF(M61&lt;&gt;"Yes","",SUMIFS('Tank &amp; Control'!$L$23:$L$189,'Tank &amp; Control'!$A$23:$A$189,A61,'Tank &amp; Control'!$B$23:$B$189,B61))</x:f>
        <x:v>15.7954891956226</x:v>
      </x:c>
      <x:c r="O61" s="575" t="n">
        <x:f>IF(SUMIFS('Specialisation Impact'!$M$19:$M$186,'Specialisation Impact'!$A$19:$A$186,A61,'Specialisation Impact'!$B$19:$B$186,B61)=0,"",SUMIFS('Specialisation Impact'!$V$19:$V$186,'Specialisation Impact'!$A$19:$A$186,A61,'Specialisation Impact'!$B$19:$B$186,B61))</x:f>
        <x:v>73.07692307692308</x:v>
      </x:c>
      <x:c r="P61" s="575" t="n">
        <x:f>IF(N61="","",N61)</x:f>
        <x:v>15.7954891956226</x:v>
      </x:c>
      <x:c r="Q61" s="575" t="n">
        <x:f>IF(N61="","",IF(AC61=0,N61,MAX(0,MIN(100,N61*(1-'Specialisation Scenarios'!$B$8*AC61)+O61*('Specialisation Scenarios'!$B$8*AC61)))))</x:f>
        <x:v>30.11584766594772</x:v>
      </x:c>
      <x:c r="R61" s="575" t="n">
        <x:f>IF(N61="","",IF(AC61=0,N61,MAX(0,MIN(100,N61*(1-'Specialisation Scenarios'!$B$9*AC61)+O61*('Specialisation Scenarios'!$B$9*AC61)))))</x:f>
        <x:v>35.84399105407777</x:v>
      </x:c>
      <x:c r="S61" s="583" t="n">
        <x:f>IF(J61="","",COUNTIFS($A$6:$A$172,A61,$J$6:$J$172,"&gt;"&amp;J61)+COUNTIFS($A$6:A61,A61,$J$6:J61,J61))</x:f>
        <x:v>3</x:v>
      </x:c>
      <x:c r="T61" s="583" t="n">
        <x:f>IF(K61="","",COUNTIFS($A$6:$A$172,A61,$K$6:$K$172,"&gt;"&amp;K61)+COUNTIFS($A$6:A61,A61,$K$6:K61,K61))</x:f>
        <x:v>3</x:v>
      </x:c>
      <x:c r="U61" s="583" t="n">
        <x:f>IF(L61="","",COUNTIFS($A$6:$A$172,A61,$L$6:$L$172,"&gt;"&amp;L61)+COUNTIFS($A$6:A61,A61,$L$6:L61,L61))</x:f>
        <x:v>3</x:v>
      </x:c>
      <x:c r="V61" s="583" t="n">
        <x:f>IF(P61="","",COUNTIFS($A$6:$A$172,A61,$P$6:$P$172,"&gt;"&amp;P61)+COUNTIFS($A$6:A61,A61,$P$6:P61,P61))</x:f>
        <x:v>5</x:v>
      </x:c>
      <x:c r="W61" s="583" t="n">
        <x:f>IF(Q61="","",COUNTIFS($A$6:$A$172,A61,$Q$6:$Q$172,"&gt;"&amp;Q61)+COUNTIFS($A$6:A61,A61,$Q$6:Q61,Q61))</x:f>
        <x:v>5</x:v>
      </x:c>
      <x:c r="X61" s="583" t="n">
        <x:f>IF(R61="","",COUNTIFS($A$6:$A$172,A61,$R$6:$R$172,"&gt;"&amp;R61)+COUNTIFS($A$6:A61,A61,$R$6:R61,R61))</x:f>
        <x:v>4</x:v>
      </x:c>
      <x:c r="Y61" s="571" t="str">
        <x:f>IF(V61="","",A61&amp;"|"&amp;V61)</x:f>
        <x:v>K116|5</x:v>
      </x:c>
      <x:c r="Z61" s="571" t="str">
        <x:f>IF(W61="","",A61&amp;"|"&amp;W61)</x:f>
        <x:v>K116|5</x:v>
      </x:c>
      <x:c r="AA61" s="571" t="str">
        <x:f>IF(X61="","",A61&amp;"|"&amp;X61)</x:f>
        <x:v>K116|4</x:v>
      </x:c>
      <x:c r="AB61" s="571" t="str">
        <x:f>IF(A61="","",IF(I61=0,"Offense neutral — no recorded offensive skills",IF(I61&lt;1,"Partial lookup — adjustment scaled",IF(AND(M61="Yes",AC61=0),"Offense adjusted; Guard neutral","Captured"))))</x:f>
        <x:v>Captured</x:v>
      </x:c>
      <x:c r="AC61" s="579" t="n">
        <x:f>IF(SUMIFS('Specialisation Impact'!$M$19:$M$186,'Specialisation Impact'!$A$19:$A$186,A61,'Specialisation Impact'!$B$19:$B$186,B61)=0,0,SUMIFS('Specialisation Impact'!$F$19:$F$186,'Specialisation Impact'!$A$19:$A$186,A61,'Specialisation Impact'!$B$19:$B$186,B61))</x:f>
        <x:v>1</x:v>
      </x:c>
    </x:row>
    <x:row r="62">
      <x:c r="A62" s="572" t="str">
        <x:v>K116</x:v>
      </x:c>
      <x:c r="B62" s="572" t="str">
        <x:v>懒洋洋爱看腿</x:v>
      </x:c>
      <x:c r="C62" s="576" t="n">
        <x:f>IF($A62="","",AVERAGE(100*((COUNTIF('All Stats'!$D$6:$D$172,"&lt;"&amp;'All Stats'!D62)+(COUNTIF('All Stats'!$D$6:$D$172,'All Stats'!D62)-1)/2)/(COUNT('All Stats'!$D$6:$D$172)-1))^'Specialisation Scenarios'!$X$10,100*((COUNTIF('All Stats'!$G$6:$G$172,"&lt;"&amp;'All Stats'!G62)+(COUNTIF('All Stats'!$G$6:$G$172,'All Stats'!G62)-1)/2)/(COUNT('All Stats'!$G$6:$G$172)-1))^'Specialisation Scenarios'!$X$10,100*((COUNTIF('All Stats'!$I$6:$I$172,"&lt;"&amp;'All Stats'!I62)+(COUNTIF('All Stats'!$I$6:$I$172,'All Stats'!I62)-1)/2)/(COUNT('All Stats'!$I$6:$I$172)-1))^'Specialisation Scenarios'!$X$10))</x:f>
        <x:v>60.24573439344433</x:v>
      </x:c>
      <x:c r="D62" s="576" t="n">
        <x:f>IF($A62="","",AVERAGE(100*((COUNTIF('All Stats'!$R$6:$R$172,"&lt;"&amp;'All Stats'!R62)+(COUNTIF('All Stats'!$R$6:$R$172,'All Stats'!R62)-1)/2)/(COUNT('All Stats'!$R$6:$R$172)-1))^'Specialisation Scenarios'!$X$10,100*((COUNTIF('All Stats'!$U$6:$U$172,"&lt;"&amp;'All Stats'!U62)+(COUNTIF('All Stats'!$U$6:$U$172,'All Stats'!U62)-1)/2)/(COUNT('All Stats'!$U$6:$U$172)-1))^'Specialisation Scenarios'!$X$10,100*((COUNTIF('All Stats'!$W$6:$W$172,"&lt;"&amp;'All Stats'!W62)+(COUNTIF('All Stats'!$W$6:$W$172,'All Stats'!W62)-1)/2)/(COUNT('All Stats'!$W$6:$W$172)-1))^'Specialisation Scenarios'!$X$10))</x:f>
        <x:v>47.10114147709373</x:v>
      </x:c>
      <x:c r="E62" s="576" t="n">
        <x:f>IF($A62="","",AVERAGE(100*((COUNTIF('All Stats'!$Y$6:$Y$172,"&lt;"&amp;'All Stats'!Y62)+(COUNTIF('All Stats'!$Y$6:$Y$172,'All Stats'!Y62)-1)/2)/(COUNT('All Stats'!$Y$6:$Y$172)-1))^'Specialisation Scenarios'!$X$10,100*((COUNTIF('All Stats'!$AB$6:$AB$172,"&lt;"&amp;'All Stats'!AB62)+(COUNTIF('All Stats'!$AB$6:$AB$172,'All Stats'!AB62)-1)/2)/(COUNT('All Stats'!$AB$6:$AB$172)-1))^'Specialisation Scenarios'!$X$10,100*((COUNTIF('All Stats'!$AD$6:$AD$172,"&lt;"&amp;'All Stats'!AD62)+(COUNTIF('All Stats'!$AD$6:$AD$172,'All Stats'!AD62)-1)/2)/(COUNT('All Stats'!$AD$6:$AD$172)-1))^'Specialisation Scenarios'!$X$10))</x:f>
        <x:v>54.786629417723354</x:v>
      </x:c>
      <x:c r="F62" s="576" t="n">
        <x:f>IF($A62="","",AVERAGE(100*((COUNTIF('All Stats'!$AF$6:$AF$172,"&lt;"&amp;'All Stats'!AF62)+(COUNTIF('All Stats'!$AF$6:$AF$172,'All Stats'!AF62)-1)/2)/(COUNT('All Stats'!$AF$6:$AF$172)-1))^'Specialisation Scenarios'!$X$10,100*((COUNTIF('All Stats'!$AI$6:$AI$172,"&lt;"&amp;'All Stats'!AI62)+(COUNTIF('All Stats'!$AI$6:$AI$172,'All Stats'!AI62)-1)/2)/(COUNT('All Stats'!$AI$6:$AI$172)-1))^'Specialisation Scenarios'!$X$10,100*((COUNTIF('All Stats'!$AK$6:$AK$172,"&lt;"&amp;'All Stats'!AK62)+(COUNTIF('All Stats'!$AK$6:$AK$172,'All Stats'!AK62)-1)/2)/(COUNT('All Stats'!$AK$6:$AK$172)-1))^'Specialisation Scenarios'!$X$10))</x:f>
        <x:v>46.46145626645811</x:v>
      </x:c>
      <x:c r="G62" s="576" t="n">
        <x:f>IF($A62="","",C62*'Specialisation Scenarios'!$X$11+D62*'Specialisation Scenarios'!$X$12+E62*'Specialisation Scenarios'!$X$13+F62*'Specialisation Scenarios'!$X$14)</x:f>
        <x:v>49.74542642701393</x:v>
      </x:c>
      <x:c r="H62" s="576" t="n">
        <x:f>IF(SUMIFS('Specialisation Impact'!$E$19:$E$186,'Specialisation Impact'!$A$19:$A$186,A62,'Specialisation Impact'!$B$19:$B$186,B62)=0,"",SUMIFS('Specialisation Impact'!$S$19:$S$186,'Specialisation Impact'!$A$19:$A$186,A62,'Specialisation Impact'!$B$19:$B$186,B62))</x:f>
        <x:v>58.31168831168832</x:v>
      </x:c>
      <x:c r="I62" s="580" t="n">
        <x:f>IF(SUMIFS('Specialisation Impact'!$E$19:$E$186,'Specialisation Impact'!$A$19:$A$186,A62,'Specialisation Impact'!$B$19:$B$186,B62)=0,0,SUMIFS('Specialisation Impact'!$F$19:$F$186,'Specialisation Impact'!$A$19:$A$186,A62,'Specialisation Impact'!$B$19:$B$186,B62))</x:f>
        <x:v>1</x:v>
      </x:c>
      <x:c r="J62" s="576" t="n">
        <x:f>G62</x:f>
        <x:v>49.74542642701393</x:v>
      </x:c>
      <x:c r="K62" s="576" t="n">
        <x:f>IF(G62="","",IF(I62=0,G62,MAX(0,MIN(100,G62*(1-'Specialisation Scenarios'!$B$8*I62)+H62*('Specialisation Scenarios'!$B$8*I62)))))</x:f>
        <x:v>51.88699189818253</x:v>
      </x:c>
      <x:c r="L62" s="576" t="n">
        <x:f>IF(G62="","",IF(I62=0,G62,MAX(0,MIN(100,G62*(1-'Specialisation Scenarios'!$B$9*I62)+H62*('Specialisation Scenarios'!$B$9*I62)))))</x:f>
        <x:v>52.743618086649974</x:v>
      </x:c>
      <x:c r="M62" s="576" t="str">
        <x:f>IF(COUNTIFS('Tank &amp; Control'!$A$23:$A$189,A62,'Tank &amp; Control'!$B$23:$B$189,B62,'Tank &amp; Control'!$C$23:$C$189,"Yes")&gt;0,"Yes","No")</x:f>
        <x:v>No</x:v>
      </x:c>
      <x:c r="N62" s="576" t="str">
        <x:f>IF(M62&lt;&gt;"Yes","",SUMIFS('Tank &amp; Control'!$L$23:$L$189,'Tank &amp; Control'!$A$23:$A$189,A62,'Tank &amp; Control'!$B$23:$B$189,B62))</x:f>
      </x:c>
      <x:c r="O62" s="576" t="n">
        <x:f>IF(SUMIFS('Specialisation Impact'!$M$19:$M$186,'Specialisation Impact'!$A$19:$A$186,A62,'Specialisation Impact'!$B$19:$B$186,B62)=0,"",SUMIFS('Specialisation Impact'!$V$19:$V$186,'Specialisation Impact'!$A$19:$A$186,A62,'Specialisation Impact'!$B$19:$B$186,B62))</x:f>
        <x:v>60.25641025641025</x:v>
      </x:c>
      <x:c r="P62" s="576" t="str">
        <x:f>IF(N62="","",N62)</x:f>
      </x:c>
      <x:c r="Q62" s="576" t="str">
        <x:f>IF(N62="","",IF(AC62=0,N62,MAX(0,MIN(100,N62*(1-'Specialisation Scenarios'!$B$8*AC62)+O62*('Specialisation Scenarios'!$B$8*AC62)))))</x:f>
      </x:c>
      <x:c r="R62" s="576" t="str">
        <x:f>IF(N62="","",IF(AC62=0,N62,MAX(0,MIN(100,N62*(1-'Specialisation Scenarios'!$B$9*AC62)+O62*('Specialisation Scenarios'!$B$9*AC62)))))</x:f>
      </x:c>
      <x:c r="S62" s="584" t="n">
        <x:f>IF(J62="","",COUNTIFS($A$6:$A$172,A62,$J$6:$J$172,"&gt;"&amp;J62)+COUNTIFS($A$6:A62,A62,$J$6:J62,J62))</x:f>
        <x:v>7</x:v>
      </x:c>
      <x:c r="T62" s="584" t="n">
        <x:f>IF(K62="","",COUNTIFS($A$6:$A$172,A62,$K$6:$K$172,"&gt;"&amp;K62)+COUNTIFS($A$6:A62,A62,$K$6:K62,K62))</x:f>
        <x:v>5</x:v>
      </x:c>
      <x:c r="U62" s="584" t="n">
        <x:f>IF(L62="","",COUNTIFS($A$6:$A$172,A62,$L$6:$L$172,"&gt;"&amp;L62)+COUNTIFS($A$6:A62,A62,$L$6:L62,L62))</x:f>
        <x:v>5</x:v>
      </x:c>
      <x:c r="V62" s="584" t="str">
        <x:f>IF(P62="","",COUNTIFS($A$6:$A$172,A62,$P$6:$P$172,"&gt;"&amp;P62)+COUNTIFS($A$6:A62,A62,$P$6:P62,P62))</x:f>
      </x:c>
      <x:c r="W62" s="584" t="str">
        <x:f>IF(Q62="","",COUNTIFS($A$6:$A$172,A62,$Q$6:$Q$172,"&gt;"&amp;Q62)+COUNTIFS($A$6:A62,A62,$Q$6:Q62,Q62))</x:f>
      </x:c>
      <x:c r="X62" s="584" t="str">
        <x:f>IF(R62="","",COUNTIFS($A$6:$A$172,A62,$R$6:$R$172,"&gt;"&amp;R62)+COUNTIFS($A$6:A62,A62,$R$6:R62,R62))</x:f>
      </x:c>
      <x:c r="Y62" s="572" t="str">
        <x:f>IF(V62="","",A62&amp;"|"&amp;V62)</x:f>
      </x:c>
      <x:c r="Z62" s="572" t="str">
        <x:f>IF(W62="","",A62&amp;"|"&amp;W62)</x:f>
      </x:c>
      <x:c r="AA62" s="572" t="str">
        <x:f>IF(X62="","",A62&amp;"|"&amp;X62)</x:f>
      </x:c>
      <x:c r="AB62" s="572" t="str">
        <x:f>IF(A62="","",IF(I62=0,"Offense neutral — no recorded offensive skills",IF(I62&lt;1,"Partial lookup — adjustment scaled",IF(AND(M62="Yes",AC62=0),"Offense adjusted; Guard neutral","Captured"))))</x:f>
        <x:v>Captured</x:v>
      </x:c>
      <x:c r="AC62" s="580" t="n">
        <x:f>IF(SUMIFS('Specialisation Impact'!$M$19:$M$186,'Specialisation Impact'!$A$19:$A$186,A62,'Specialisation Impact'!$B$19:$B$186,B62)=0,0,SUMIFS('Specialisation Impact'!$F$19:$F$186,'Specialisation Impact'!$A$19:$A$186,A62,'Specialisation Impact'!$B$19:$B$186,B62))</x:f>
        <x:v>1</x:v>
      </x:c>
    </x:row>
    <x:row r="63">
      <x:c r="A63" s="571" t="str">
        <x:v>K116</x:v>
      </x:c>
      <x:c r="B63" s="571" t="str">
        <x:v>蜜蜜°</x:v>
      </x:c>
      <x:c r="C63" s="575" t="n">
        <x:f>IF($A63="","",AVERAGE(100*((COUNTIF('All Stats'!$D$6:$D$172,"&lt;"&amp;'All Stats'!D63)+(COUNTIF('All Stats'!$D$6:$D$172,'All Stats'!D63)-1)/2)/(COUNT('All Stats'!$D$6:$D$172)-1))^'Specialisation Scenarios'!$X$10,100*((COUNTIF('All Stats'!$G$6:$G$172,"&lt;"&amp;'All Stats'!G63)+(COUNTIF('All Stats'!$G$6:$G$172,'All Stats'!G63)-1)/2)/(COUNT('All Stats'!$G$6:$G$172)-1))^'Specialisation Scenarios'!$X$10,100*((COUNTIF('All Stats'!$I$6:$I$172,"&lt;"&amp;'All Stats'!I63)+(COUNTIF('All Stats'!$I$6:$I$172,'All Stats'!I63)-1)/2)/(COUNT('All Stats'!$I$6:$I$172)-1))^'Specialisation Scenarios'!$X$10))</x:f>
        <x:v>39.2546711196733</x:v>
      </x:c>
      <x:c r="D63" s="575" t="n">
        <x:f>IF($A63="","",AVERAGE(100*((COUNTIF('All Stats'!$R$6:$R$172,"&lt;"&amp;'All Stats'!R63)+(COUNTIF('All Stats'!$R$6:$R$172,'All Stats'!R63)-1)/2)/(COUNT('All Stats'!$R$6:$R$172)-1))^'Specialisation Scenarios'!$X$10,100*((COUNTIF('All Stats'!$U$6:$U$172,"&lt;"&amp;'All Stats'!U63)+(COUNTIF('All Stats'!$U$6:$U$172,'All Stats'!U63)-1)/2)/(COUNT('All Stats'!$U$6:$U$172)-1))^'Specialisation Scenarios'!$X$10,100*((COUNTIF('All Stats'!$W$6:$W$172,"&lt;"&amp;'All Stats'!W63)+(COUNTIF('All Stats'!$W$6:$W$172,'All Stats'!W63)-1)/2)/(COUNT('All Stats'!$W$6:$W$172)-1))^'Specialisation Scenarios'!$X$10))</x:f>
        <x:v>23.178407501912233</x:v>
      </x:c>
      <x:c r="E63" s="575" t="n">
        <x:f>IF($A63="","",AVERAGE(100*((COUNTIF('All Stats'!$Y$6:$Y$172,"&lt;"&amp;'All Stats'!Y63)+(COUNTIF('All Stats'!$Y$6:$Y$172,'All Stats'!Y63)-1)/2)/(COUNT('All Stats'!$Y$6:$Y$172)-1))^'Specialisation Scenarios'!$X$10,100*((COUNTIF('All Stats'!$AB$6:$AB$172,"&lt;"&amp;'All Stats'!AB63)+(COUNTIF('All Stats'!$AB$6:$AB$172,'All Stats'!AB63)-1)/2)/(COUNT('All Stats'!$AB$6:$AB$172)-1))^'Specialisation Scenarios'!$X$10,100*((COUNTIF('All Stats'!$AD$6:$AD$172,"&lt;"&amp;'All Stats'!AD63)+(COUNTIF('All Stats'!$AD$6:$AD$172,'All Stats'!AD63)-1)/2)/(COUNT('All Stats'!$AD$6:$AD$172)-1))^'Specialisation Scenarios'!$X$10))</x:f>
        <x:v>26.63294840693491</x:v>
      </x:c>
      <x:c r="F63" s="575" t="n">
        <x:f>IF($A63="","",AVERAGE(100*((COUNTIF('All Stats'!$AF$6:$AF$172,"&lt;"&amp;'All Stats'!AF63)+(COUNTIF('All Stats'!$AF$6:$AF$172,'All Stats'!AF63)-1)/2)/(COUNT('All Stats'!$AF$6:$AF$172)-1))^'Specialisation Scenarios'!$X$10,100*((COUNTIF('All Stats'!$AI$6:$AI$172,"&lt;"&amp;'All Stats'!AI63)+(COUNTIF('All Stats'!$AI$6:$AI$172,'All Stats'!AI63)-1)/2)/(COUNT('All Stats'!$AI$6:$AI$172)-1))^'Specialisation Scenarios'!$X$10,100*((COUNTIF('All Stats'!$AK$6:$AK$172,"&lt;"&amp;'All Stats'!AK63)+(COUNTIF('All Stats'!$AK$6:$AK$172,'All Stats'!AK63)-1)/2)/(COUNT('All Stats'!$AK$6:$AK$172)-1))^'Specialisation Scenarios'!$X$10))</x:f>
        <x:v>64.71007519837688</x:v>
      </x:c>
      <x:c r="G63" s="575" t="n">
        <x:f>IF($A63="","",C63*'Specialisation Scenarios'!$X$11+D63*'Specialisation Scenarios'!$X$12+E63*'Specialisation Scenarios'!$X$13+F63*'Specialisation Scenarios'!$X$14)</x:f>
        <x:v>32.16505128954836</x:v>
      </x:c>
      <x:c r="H63" s="575" t="n">
        <x:f>IF(SUMIFS('Specialisation Impact'!$E$19:$E$186,'Specialisation Impact'!$A$19:$A$186,A63,'Specialisation Impact'!$B$19:$B$186,B63)=0,"",SUMIFS('Specialisation Impact'!$S$19:$S$186,'Specialisation Impact'!$A$19:$A$186,A63,'Specialisation Impact'!$B$19:$B$186,B63))</x:f>
        <x:v>42.85714285714286</x:v>
      </x:c>
      <x:c r="I63" s="579" t="n">
        <x:f>IF(SUMIFS('Specialisation Impact'!$E$19:$E$186,'Specialisation Impact'!$A$19:$A$186,A63,'Specialisation Impact'!$B$19:$B$186,B63)=0,0,SUMIFS('Specialisation Impact'!$F$19:$F$186,'Specialisation Impact'!$A$19:$A$186,A63,'Specialisation Impact'!$B$19:$B$186,B63))</x:f>
        <x:v>1</x:v>
      </x:c>
      <x:c r="J63" s="575" t="n">
        <x:f>G63</x:f>
        <x:v>32.16505128954836</x:v>
      </x:c>
      <x:c r="K63" s="575" t="n">
        <x:f>IF(G63="","",IF(I63=0,G63,MAX(0,MIN(100,G63*(1-'Specialisation Scenarios'!$B$8*I63)+H63*('Specialisation Scenarios'!$B$8*I63)))))</x:f>
        <x:v>34.838074181446984</x:v>
      </x:c>
      <x:c r="L63" s="575" t="n">
        <x:f>IF(G63="","",IF(I63=0,G63,MAX(0,MIN(100,G63*(1-'Specialisation Scenarios'!$B$9*I63)+H63*('Specialisation Scenarios'!$B$9*I63)))))</x:f>
        <x:v>35.90728333820643</x:v>
      </x:c>
      <x:c r="M63" s="575" t="str">
        <x:f>IF(COUNTIFS('Tank &amp; Control'!$A$23:$A$189,A63,'Tank &amp; Control'!$B$23:$B$189,B63,'Tank &amp; Control'!$C$23:$C$189,"Yes")&gt;0,"Yes","No")</x:f>
        <x:v>No</x:v>
      </x:c>
      <x:c r="N63" s="575" t="str">
        <x:f>IF(M63&lt;&gt;"Yes","",SUMIFS('Tank &amp; Control'!$L$23:$L$189,'Tank &amp; Control'!$A$23:$A$189,A63,'Tank &amp; Control'!$B$23:$B$189,B63))</x:f>
      </x:c>
      <x:c r="O63" s="575" t="n">
        <x:f>IF(SUMIFS('Specialisation Impact'!$M$19:$M$186,'Specialisation Impact'!$A$19:$A$186,A63,'Specialisation Impact'!$B$19:$B$186,B63)=0,"",SUMIFS('Specialisation Impact'!$V$19:$V$186,'Specialisation Impact'!$A$19:$A$186,A63,'Specialisation Impact'!$B$19:$B$186,B63))</x:f>
        <x:v>93.16239316239316</x:v>
      </x:c>
      <x:c r="P63" s="575" t="str">
        <x:f>IF(N63="","",N63)</x:f>
      </x:c>
      <x:c r="Q63" s="575" t="str">
        <x:f>IF(N63="","",IF(AC63=0,N63,MAX(0,MIN(100,N63*(1-'Specialisation Scenarios'!$B$8*AC63)+O63*('Specialisation Scenarios'!$B$8*AC63)))))</x:f>
      </x:c>
      <x:c r="R63" s="575" t="str">
        <x:f>IF(N63="","",IF(AC63=0,N63,MAX(0,MIN(100,N63*(1-'Specialisation Scenarios'!$B$9*AC63)+O63*('Specialisation Scenarios'!$B$9*AC63)))))</x:f>
      </x:c>
      <x:c r="S63" s="583" t="n">
        <x:f>IF(J63="","",COUNTIFS($A$6:$A$172,A63,$J$6:$J$172,"&gt;"&amp;J63)+COUNTIFS($A$6:A63,A63,$J$6:J63,J63))</x:f>
        <x:v>12</x:v>
      </x:c>
      <x:c r="T63" s="583" t="n">
        <x:f>IF(K63="","",COUNTIFS($A$6:$A$172,A63,$K$6:$K$172,"&gt;"&amp;K63)+COUNTIFS($A$6:A63,A63,$K$6:K63,K63))</x:f>
        <x:v>12</x:v>
      </x:c>
      <x:c r="U63" s="583" t="n">
        <x:f>IF(L63="","",COUNTIFS($A$6:$A$172,A63,$L$6:$L$172,"&gt;"&amp;L63)+COUNTIFS($A$6:A63,A63,$L$6:L63,L63))</x:f>
        <x:v>12</x:v>
      </x:c>
      <x:c r="V63" s="583" t="str">
        <x:f>IF(P63="","",COUNTIFS($A$6:$A$172,A63,$P$6:$P$172,"&gt;"&amp;P63)+COUNTIFS($A$6:A63,A63,$P$6:P63,P63))</x:f>
      </x:c>
      <x:c r="W63" s="583" t="str">
        <x:f>IF(Q63="","",COUNTIFS($A$6:$A$172,A63,$Q$6:$Q$172,"&gt;"&amp;Q63)+COUNTIFS($A$6:A63,A63,$Q$6:Q63,Q63))</x:f>
      </x:c>
      <x:c r="X63" s="583" t="str">
        <x:f>IF(R63="","",COUNTIFS($A$6:$A$172,A63,$R$6:$R$172,"&gt;"&amp;R63)+COUNTIFS($A$6:A63,A63,$R$6:R63,R63))</x:f>
      </x:c>
      <x:c r="Y63" s="571" t="str">
        <x:f>IF(V63="","",A63&amp;"|"&amp;V63)</x:f>
      </x:c>
      <x:c r="Z63" s="571" t="str">
        <x:f>IF(W63="","",A63&amp;"|"&amp;W63)</x:f>
      </x:c>
      <x:c r="AA63" s="571" t="str">
        <x:f>IF(X63="","",A63&amp;"|"&amp;X63)</x:f>
      </x:c>
      <x:c r="AB63" s="571" t="str">
        <x:f>IF(A63="","",IF(I63=0,"Offense neutral — no recorded offensive skills",IF(I63&lt;1,"Partial lookup — adjustment scaled",IF(AND(M63="Yes",AC63=0),"Offense adjusted; Guard neutral","Captured"))))</x:f>
        <x:v>Captured</x:v>
      </x:c>
      <x:c r="AC63" s="579" t="n">
        <x:f>IF(SUMIFS('Specialisation Impact'!$M$19:$M$186,'Specialisation Impact'!$A$19:$A$186,A63,'Specialisation Impact'!$B$19:$B$186,B63)=0,0,SUMIFS('Specialisation Impact'!$F$19:$F$186,'Specialisation Impact'!$A$19:$A$186,A63,'Specialisation Impact'!$B$19:$B$186,B63))</x:f>
        <x:v>1</x:v>
      </x:c>
    </x:row>
    <x:row r="64">
      <x:c r="A64" s="572" t="str">
        <x:v>K116</x:v>
      </x:c>
      <x:c r="B64" s="572" t="str">
        <x:v>红烧狮子头</x:v>
      </x:c>
      <x:c r="C64" s="576" t="n">
        <x:f>IF($A64="","",AVERAGE(100*((COUNTIF('All Stats'!$D$6:$D$172,"&lt;"&amp;'All Stats'!D64)+(COUNTIF('All Stats'!$D$6:$D$172,'All Stats'!D64)-1)/2)/(COUNT('All Stats'!$D$6:$D$172)-1))^'Specialisation Scenarios'!$X$10,100*((COUNTIF('All Stats'!$G$6:$G$172,"&lt;"&amp;'All Stats'!G64)+(COUNTIF('All Stats'!$G$6:$G$172,'All Stats'!G64)-1)/2)/(COUNT('All Stats'!$G$6:$G$172)-1))^'Specialisation Scenarios'!$X$10,100*((COUNTIF('All Stats'!$I$6:$I$172,"&lt;"&amp;'All Stats'!I64)+(COUNTIF('All Stats'!$I$6:$I$172,'All Stats'!I64)-1)/2)/(COUNT('All Stats'!$I$6:$I$172)-1))^'Specialisation Scenarios'!$X$10))</x:f>
        <x:v>26.44238351367112</x:v>
      </x:c>
      <x:c r="D64" s="576" t="n">
        <x:f>IF($A64="","",AVERAGE(100*((COUNTIF('All Stats'!$R$6:$R$172,"&lt;"&amp;'All Stats'!R64)+(COUNTIF('All Stats'!$R$6:$R$172,'All Stats'!R64)-1)/2)/(COUNT('All Stats'!$R$6:$R$172)-1))^'Specialisation Scenarios'!$X$10,100*((COUNTIF('All Stats'!$U$6:$U$172,"&lt;"&amp;'All Stats'!U64)+(COUNTIF('All Stats'!$U$6:$U$172,'All Stats'!U64)-1)/2)/(COUNT('All Stats'!$U$6:$U$172)-1))^'Specialisation Scenarios'!$X$10,100*((COUNTIF('All Stats'!$W$6:$W$172,"&lt;"&amp;'All Stats'!W64)+(COUNTIF('All Stats'!$W$6:$W$172,'All Stats'!W64)-1)/2)/(COUNT('All Stats'!$W$6:$W$172)-1))^'Specialisation Scenarios'!$X$10))</x:f>
        <x:v>44.052522014967195</x:v>
      </x:c>
      <x:c r="E64" s="576" t="n">
        <x:f>IF($A64="","",AVERAGE(100*((COUNTIF('All Stats'!$Y$6:$Y$172,"&lt;"&amp;'All Stats'!Y64)+(COUNTIF('All Stats'!$Y$6:$Y$172,'All Stats'!Y64)-1)/2)/(COUNT('All Stats'!$Y$6:$Y$172)-1))^'Specialisation Scenarios'!$X$10,100*((COUNTIF('All Stats'!$AB$6:$AB$172,"&lt;"&amp;'All Stats'!AB64)+(COUNTIF('All Stats'!$AB$6:$AB$172,'All Stats'!AB64)-1)/2)/(COUNT('All Stats'!$AB$6:$AB$172)-1))^'Specialisation Scenarios'!$X$10,100*((COUNTIF('All Stats'!$AD$6:$AD$172,"&lt;"&amp;'All Stats'!AD64)+(COUNTIF('All Stats'!$AD$6:$AD$172,'All Stats'!AD64)-1)/2)/(COUNT('All Stats'!$AD$6:$AD$172)-1))^'Specialisation Scenarios'!$X$10))</x:f>
        <x:v>19.13617207480944</x:v>
      </x:c>
      <x:c r="F64" s="576" t="n">
        <x:f>IF($A64="","",AVERAGE(100*((COUNTIF('All Stats'!$AF$6:$AF$172,"&lt;"&amp;'All Stats'!AF64)+(COUNTIF('All Stats'!$AF$6:$AF$172,'All Stats'!AF64)-1)/2)/(COUNT('All Stats'!$AF$6:$AF$172)-1))^'Specialisation Scenarios'!$X$10,100*((COUNTIF('All Stats'!$AI$6:$AI$172,"&lt;"&amp;'All Stats'!AI64)+(COUNTIF('All Stats'!$AI$6:$AI$172,'All Stats'!AI64)-1)/2)/(COUNT('All Stats'!$AI$6:$AI$172)-1))^'Specialisation Scenarios'!$X$10,100*((COUNTIF('All Stats'!$AK$6:$AK$172,"&lt;"&amp;'All Stats'!AK64)+(COUNTIF('All Stats'!$AK$6:$AK$172,'All Stats'!AK64)-1)/2)/(COUNT('All Stats'!$AK$6:$AK$172)-1))^'Specialisation Scenarios'!$X$10))</x:f>
        <x:v>45.42590317826745</x:v>
      </x:c>
      <x:c r="G64" s="576" t="n">
        <x:f>IF($A64="","",C64*'Specialisation Scenarios'!$X$11+D64*'Specialisation Scenarios'!$X$12+E64*'Specialisation Scenarios'!$X$13+F64*'Specialisation Scenarios'!$X$14)</x:f>
        <x:v>39.125373420252046</x:v>
      </x:c>
      <x:c r="H64" s="576" t="n">
        <x:f>IF(SUMIFS('Specialisation Impact'!$E$19:$E$186,'Specialisation Impact'!$A$19:$A$186,A64,'Specialisation Impact'!$B$19:$B$186,B64)=0,"",SUMIFS('Specialisation Impact'!$S$19:$S$186,'Specialisation Impact'!$A$19:$A$186,A64,'Specialisation Impact'!$B$19:$B$186,B64))</x:f>
        <x:v>40.38961038961039</x:v>
      </x:c>
      <x:c r="I64" s="580" t="n">
        <x:f>IF(SUMIFS('Specialisation Impact'!$E$19:$E$186,'Specialisation Impact'!$A$19:$A$186,A64,'Specialisation Impact'!$B$19:$B$186,B64)=0,0,SUMIFS('Specialisation Impact'!$F$19:$F$186,'Specialisation Impact'!$A$19:$A$186,A64,'Specialisation Impact'!$B$19:$B$186,B64))</x:f>
        <x:v>1</x:v>
      </x:c>
      <x:c r="J64" s="576" t="n">
        <x:f>G64</x:f>
        <x:v>39.125373420252046</x:v>
      </x:c>
      <x:c r="K64" s="576" t="n">
        <x:f>IF(G64="","",IF(I64=0,G64,MAX(0,MIN(100,G64*(1-'Specialisation Scenarios'!$B$8*I64)+H64*('Specialisation Scenarios'!$B$8*I64)))))</x:f>
        <x:v>39.44143266259163</x:v>
      </x:c>
      <x:c r="L64" s="576" t="n">
        <x:f>IF(G64="","",IF(I64=0,G64,MAX(0,MIN(100,G64*(1-'Specialisation Scenarios'!$B$9*I64)+H64*('Specialisation Scenarios'!$B$9*I64)))))</x:f>
        <x:v>39.56785635952747</x:v>
      </x:c>
      <x:c r="M64" s="576" t="str">
        <x:f>IF(COUNTIFS('Tank &amp; Control'!$A$23:$A$189,A64,'Tank &amp; Control'!$B$23:$B$189,B64,'Tank &amp; Control'!$C$23:$C$189,"Yes")&gt;0,"Yes","No")</x:f>
        <x:v>No</x:v>
      </x:c>
      <x:c r="N64" s="576" t="str">
        <x:f>IF(M64&lt;&gt;"Yes","",SUMIFS('Tank &amp; Control'!$L$23:$L$189,'Tank &amp; Control'!$A$23:$A$189,A64,'Tank &amp; Control'!$B$23:$B$189,B64))</x:f>
      </x:c>
      <x:c r="O64" s="576" t="n">
        <x:f>IF(SUMIFS('Specialisation Impact'!$M$19:$M$186,'Specialisation Impact'!$A$19:$A$186,A64,'Specialisation Impact'!$B$19:$B$186,B64)=0,"",SUMIFS('Specialisation Impact'!$V$19:$V$186,'Specialisation Impact'!$A$19:$A$186,A64,'Specialisation Impact'!$B$19:$B$186,B64))</x:f>
        <x:v>93.16239316239316</x:v>
      </x:c>
      <x:c r="P64" s="576" t="str">
        <x:f>IF(N64="","",N64)</x:f>
      </x:c>
      <x:c r="Q64" s="576" t="str">
        <x:f>IF(N64="","",IF(AC64=0,N64,MAX(0,MIN(100,N64*(1-'Specialisation Scenarios'!$B$8*AC64)+O64*('Specialisation Scenarios'!$B$8*AC64)))))</x:f>
      </x:c>
      <x:c r="R64" s="576" t="str">
        <x:f>IF(N64="","",IF(AC64=0,N64,MAX(0,MIN(100,N64*(1-'Specialisation Scenarios'!$B$9*AC64)+O64*('Specialisation Scenarios'!$B$9*AC64)))))</x:f>
      </x:c>
      <x:c r="S64" s="584" t="n">
        <x:f>IF(J64="","",COUNTIFS($A$6:$A$172,A64,$J$6:$J$172,"&gt;"&amp;J64)+COUNTIFS($A$6:A64,A64,$J$6:J64,J64))</x:f>
        <x:v>11</x:v>
      </x:c>
      <x:c r="T64" s="584" t="n">
        <x:f>IF(K64="","",COUNTIFS($A$6:$A$172,A64,$K$6:$K$172,"&gt;"&amp;K64)+COUNTIFS($A$6:A64,A64,$K$6:K64,K64))</x:f>
        <x:v>11</x:v>
      </x:c>
      <x:c r="U64" s="584" t="n">
        <x:f>IF(L64="","",COUNTIFS($A$6:$A$172,A64,$L$6:$L$172,"&gt;"&amp;L64)+COUNTIFS($A$6:A64,A64,$L$6:L64,L64))</x:f>
        <x:v>11</x:v>
      </x:c>
      <x:c r="V64" s="584" t="str">
        <x:f>IF(P64="","",COUNTIFS($A$6:$A$172,A64,$P$6:$P$172,"&gt;"&amp;P64)+COUNTIFS($A$6:A64,A64,$P$6:P64,P64))</x:f>
      </x:c>
      <x:c r="W64" s="584" t="str">
        <x:f>IF(Q64="","",COUNTIFS($A$6:$A$172,A64,$Q$6:$Q$172,"&gt;"&amp;Q64)+COUNTIFS($A$6:A64,A64,$Q$6:Q64,Q64))</x:f>
      </x:c>
      <x:c r="X64" s="584" t="str">
        <x:f>IF(R64="","",COUNTIFS($A$6:$A$172,A64,$R$6:$R$172,"&gt;"&amp;R64)+COUNTIFS($A$6:A64,A64,$R$6:R64,R64))</x:f>
      </x:c>
      <x:c r="Y64" s="572" t="str">
        <x:f>IF(V64="","",A64&amp;"|"&amp;V64)</x:f>
      </x:c>
      <x:c r="Z64" s="572" t="str">
        <x:f>IF(W64="","",A64&amp;"|"&amp;W64)</x:f>
      </x:c>
      <x:c r="AA64" s="572" t="str">
        <x:f>IF(X64="","",A64&amp;"|"&amp;X64)</x:f>
      </x:c>
      <x:c r="AB64" s="572" t="str">
        <x:f>IF(A64="","",IF(I64=0,"Offense neutral — no recorded offensive skills",IF(I64&lt;1,"Partial lookup — adjustment scaled",IF(AND(M64="Yes",AC64=0),"Offense adjusted; Guard neutral","Captured"))))</x:f>
        <x:v>Captured</x:v>
      </x:c>
      <x:c r="AC64" s="580" t="n">
        <x:f>IF(SUMIFS('Specialisation Impact'!$M$19:$M$186,'Specialisation Impact'!$A$19:$A$186,A64,'Specialisation Impact'!$B$19:$B$186,B64)=0,0,SUMIFS('Specialisation Impact'!$F$19:$F$186,'Specialisation Impact'!$A$19:$A$186,A64,'Specialisation Impact'!$B$19:$B$186,B64))</x:f>
        <x:v>1</x:v>
      </x:c>
    </x:row>
    <x:row r="65">
      <x:c r="A65" s="571" t="str">
        <x:v>K116</x:v>
      </x:c>
      <x:c r="B65" s="571" t="str">
        <x:v>那时像风一样</x:v>
      </x:c>
      <x:c r="C65" s="575" t="n">
        <x:f>IF($A65="","",AVERAGE(100*((COUNTIF('All Stats'!$D$6:$D$172,"&lt;"&amp;'All Stats'!D65)+(COUNTIF('All Stats'!$D$6:$D$172,'All Stats'!D65)-1)/2)/(COUNT('All Stats'!$D$6:$D$172)-1))^'Specialisation Scenarios'!$X$10,100*((COUNTIF('All Stats'!$G$6:$G$172,"&lt;"&amp;'All Stats'!G65)+(COUNTIF('All Stats'!$G$6:$G$172,'All Stats'!G65)-1)/2)/(COUNT('All Stats'!$G$6:$G$172)-1))^'Specialisation Scenarios'!$X$10,100*((COUNTIF('All Stats'!$I$6:$I$172,"&lt;"&amp;'All Stats'!I65)+(COUNTIF('All Stats'!$I$6:$I$172,'All Stats'!I65)-1)/2)/(COUNT('All Stats'!$I$6:$I$172)-1))^'Specialisation Scenarios'!$X$10))</x:f>
        <x:v>27.07147576509328</x:v>
      </x:c>
      <x:c r="D65" s="575" t="n">
        <x:f>IF($A65="","",AVERAGE(100*((COUNTIF('All Stats'!$R$6:$R$172,"&lt;"&amp;'All Stats'!R65)+(COUNTIF('All Stats'!$R$6:$R$172,'All Stats'!R65)-1)/2)/(COUNT('All Stats'!$R$6:$R$172)-1))^'Specialisation Scenarios'!$X$10,100*((COUNTIF('All Stats'!$U$6:$U$172,"&lt;"&amp;'All Stats'!U65)+(COUNTIF('All Stats'!$U$6:$U$172,'All Stats'!U65)-1)/2)/(COUNT('All Stats'!$U$6:$U$172)-1))^'Specialisation Scenarios'!$X$10,100*((COUNTIF('All Stats'!$W$6:$W$172,"&lt;"&amp;'All Stats'!W65)+(COUNTIF('All Stats'!$W$6:$W$172,'All Stats'!W65)-1)/2)/(COUNT('All Stats'!$W$6:$W$172)-1))^'Specialisation Scenarios'!$X$10))</x:f>
        <x:v>61.23311344333374</x:v>
      </x:c>
      <x:c r="E65" s="575" t="n">
        <x:f>IF($A65="","",AVERAGE(100*((COUNTIF('All Stats'!$Y$6:$Y$172,"&lt;"&amp;'All Stats'!Y65)+(COUNTIF('All Stats'!$Y$6:$Y$172,'All Stats'!Y65)-1)/2)/(COUNT('All Stats'!$Y$6:$Y$172)-1))^'Specialisation Scenarios'!$X$10,100*((COUNTIF('All Stats'!$AB$6:$AB$172,"&lt;"&amp;'All Stats'!AB65)+(COUNTIF('All Stats'!$AB$6:$AB$172,'All Stats'!AB65)-1)/2)/(COUNT('All Stats'!$AB$6:$AB$172)-1))^'Specialisation Scenarios'!$X$10,100*((COUNTIF('All Stats'!$AD$6:$AD$172,"&lt;"&amp;'All Stats'!AD65)+(COUNTIF('All Stats'!$AD$6:$AD$172,'All Stats'!AD65)-1)/2)/(COUNT('All Stats'!$AD$6:$AD$172)-1))^'Specialisation Scenarios'!$X$10))</x:f>
        <x:v>23.48345960775335</x:v>
      </x:c>
      <x:c r="F65" s="575" t="n">
        <x:f>IF($A65="","",AVERAGE(100*((COUNTIF('All Stats'!$AF$6:$AF$172,"&lt;"&amp;'All Stats'!AF65)+(COUNTIF('All Stats'!$AF$6:$AF$172,'All Stats'!AF65)-1)/2)/(COUNT('All Stats'!$AF$6:$AF$172)-1))^'Specialisation Scenarios'!$X$10,100*((COUNTIF('All Stats'!$AI$6:$AI$172,"&lt;"&amp;'All Stats'!AI65)+(COUNTIF('All Stats'!$AI$6:$AI$172,'All Stats'!AI65)-1)/2)/(COUNT('All Stats'!$AI$6:$AI$172)-1))^'Specialisation Scenarios'!$X$10,100*((COUNTIF('All Stats'!$AK$6:$AK$172,"&lt;"&amp;'All Stats'!AK65)+(COUNTIF('All Stats'!$AK$6:$AK$172,'All Stats'!AK65)-1)/2)/(COUNT('All Stats'!$AK$6:$AK$172)-1))^'Specialisation Scenarios'!$X$10))</x:f>
        <x:v>52.75494430731624</x:v>
      </x:c>
      <x:c r="G65" s="575" t="n">
        <x:f>IF($A65="","",C65*'Specialisation Scenarios'!$X$11+D65*'Specialisation Scenarios'!$X$12+E65*'Specialisation Scenarios'!$X$13+F65*'Specialisation Scenarios'!$X$14)</x:f>
        <x:v>51.062177037637</x:v>
      </x:c>
      <x:c r="H65" s="575" t="n">
        <x:f>IF(SUMIFS('Specialisation Impact'!$E$19:$E$186,'Specialisation Impact'!$A$19:$A$186,A65,'Specialisation Impact'!$B$19:$B$186,B65)=0,"",SUMIFS('Specialisation Impact'!$S$19:$S$186,'Specialisation Impact'!$A$19:$A$186,A65,'Specialisation Impact'!$B$19:$B$186,B65))</x:f>
        <x:v>49.41558441558442</x:v>
      </x:c>
      <x:c r="I65" s="579" t="n">
        <x:f>IF(SUMIFS('Specialisation Impact'!$E$19:$E$186,'Specialisation Impact'!$A$19:$A$186,A65,'Specialisation Impact'!$B$19:$B$186,B65)=0,0,SUMIFS('Specialisation Impact'!$F$19:$F$186,'Specialisation Impact'!$A$19:$A$186,A65,'Specialisation Impact'!$B$19:$B$186,B65))</x:f>
        <x:v>1</x:v>
      </x:c>
      <x:c r="J65" s="575" t="n">
        <x:f>G65</x:f>
        <x:v>51.062177037637</x:v>
      </x:c>
      <x:c r="K65" s="575" t="n">
        <x:f>IF(G65="","",IF(I65=0,G65,MAX(0,MIN(100,G65*(1-'Specialisation Scenarios'!$B$8*I65)+H65*('Specialisation Scenarios'!$B$8*I65)))))</x:f>
        <x:v>50.65052888212385</x:v>
      </x:c>
      <x:c r="L65" s="575" t="n">
        <x:f>IF(G65="","",IF(I65=0,G65,MAX(0,MIN(100,G65*(1-'Specialisation Scenarios'!$B$9*I65)+H65*('Specialisation Scenarios'!$B$9*I65)))))</x:f>
        <x:v>50.485869619918596</x:v>
      </x:c>
      <x:c r="M65" s="575" t="str">
        <x:f>IF(COUNTIFS('Tank &amp; Control'!$A$23:$A$189,A65,'Tank &amp; Control'!$B$23:$B$189,B65,'Tank &amp; Control'!$C$23:$C$189,"Yes")&gt;0,"Yes","No")</x:f>
        <x:v>No</x:v>
      </x:c>
      <x:c r="N65" s="575" t="str">
        <x:f>IF(M65&lt;&gt;"Yes","",SUMIFS('Tank &amp; Control'!$L$23:$L$189,'Tank &amp; Control'!$A$23:$A$189,A65,'Tank &amp; Control'!$B$23:$B$189,B65))</x:f>
      </x:c>
      <x:c r="O65" s="575" t="n">
        <x:f>IF(SUMIFS('Specialisation Impact'!$M$19:$M$186,'Specialisation Impact'!$A$19:$A$186,A65,'Specialisation Impact'!$B$19:$B$186,B65)=0,"",SUMIFS('Specialisation Impact'!$V$19:$V$186,'Specialisation Impact'!$A$19:$A$186,A65,'Specialisation Impact'!$B$19:$B$186,B65))</x:f>
        <x:v>60.25641025641025</x:v>
      </x:c>
      <x:c r="P65" s="575" t="str">
        <x:f>IF(N65="","",N65)</x:f>
      </x:c>
      <x:c r="Q65" s="575" t="str">
        <x:f>IF(N65="","",IF(AC65=0,N65,MAX(0,MIN(100,N65*(1-'Specialisation Scenarios'!$B$8*AC65)+O65*('Specialisation Scenarios'!$B$8*AC65)))))</x:f>
      </x:c>
      <x:c r="R65" s="575" t="str">
        <x:f>IF(N65="","",IF(AC65=0,N65,MAX(0,MIN(100,N65*(1-'Specialisation Scenarios'!$B$9*AC65)+O65*('Specialisation Scenarios'!$B$9*AC65)))))</x:f>
      </x:c>
      <x:c r="S65" s="583" t="n">
        <x:f>IF(J65="","",COUNTIFS($A$6:$A$172,A65,$J$6:$J$172,"&gt;"&amp;J65)+COUNTIFS($A$6:A65,A65,$J$6:J65,J65))</x:f>
        <x:v>6</x:v>
      </x:c>
      <x:c r="T65" s="583" t="n">
        <x:f>IF(K65="","",COUNTIFS($A$6:$A$172,A65,$K$6:$K$172,"&gt;"&amp;K65)+COUNTIFS($A$6:A65,A65,$K$6:K65,K65))</x:f>
        <x:v>6</x:v>
      </x:c>
      <x:c r="U65" s="583" t="n">
        <x:f>IF(L65="","",COUNTIFS($A$6:$A$172,A65,$L$6:$L$172,"&gt;"&amp;L65)+COUNTIFS($A$6:A65,A65,$L$6:L65,L65))</x:f>
        <x:v>6</x:v>
      </x:c>
      <x:c r="V65" s="583" t="str">
        <x:f>IF(P65="","",COUNTIFS($A$6:$A$172,A65,$P$6:$P$172,"&gt;"&amp;P65)+COUNTIFS($A$6:A65,A65,$P$6:P65,P65))</x:f>
      </x:c>
      <x:c r="W65" s="583" t="str">
        <x:f>IF(Q65="","",COUNTIFS($A$6:$A$172,A65,$Q$6:$Q$172,"&gt;"&amp;Q65)+COUNTIFS($A$6:A65,A65,$Q$6:Q65,Q65))</x:f>
      </x:c>
      <x:c r="X65" s="583" t="str">
        <x:f>IF(R65="","",COUNTIFS($A$6:$A$172,A65,$R$6:$R$172,"&gt;"&amp;R65)+COUNTIFS($A$6:A65,A65,$R$6:R65,R65))</x:f>
      </x:c>
      <x:c r="Y65" s="571" t="str">
        <x:f>IF(V65="","",A65&amp;"|"&amp;V65)</x:f>
      </x:c>
      <x:c r="Z65" s="571" t="str">
        <x:f>IF(W65="","",A65&amp;"|"&amp;W65)</x:f>
      </x:c>
      <x:c r="AA65" s="571" t="str">
        <x:f>IF(X65="","",A65&amp;"|"&amp;X65)</x:f>
      </x:c>
      <x:c r="AB65" s="571" t="str">
        <x:f>IF(A65="","",IF(I65=0,"Offense neutral — no recorded offensive skills",IF(I65&lt;1,"Partial lookup — adjustment scaled",IF(AND(M65="Yes",AC65=0),"Offense adjusted; Guard neutral","Captured"))))</x:f>
        <x:v>Captured</x:v>
      </x:c>
      <x:c r="AC65" s="579" t="n">
        <x:f>IF(SUMIFS('Specialisation Impact'!$M$19:$M$186,'Specialisation Impact'!$A$19:$A$186,A65,'Specialisation Impact'!$B$19:$B$186,B65)=0,0,SUMIFS('Specialisation Impact'!$F$19:$F$186,'Specialisation Impact'!$A$19:$A$186,A65,'Specialisation Impact'!$B$19:$B$186,B65))</x:f>
        <x:v>1</x:v>
      </x:c>
    </x:row>
    <x:row r="66">
      <x:c r="A66" s="572" t="str">
        <x:v>K116</x:v>
      </x:c>
      <x:c r="B66" s="572" t="str">
        <x:v>芙蕾魚</x:v>
      </x:c>
      <x:c r="C66" s="576" t="n">
        <x:f>IF($A66="","",AVERAGE(100*((COUNTIF('All Stats'!$D$6:$D$172,"&lt;"&amp;'All Stats'!D66)+(COUNTIF('All Stats'!$D$6:$D$172,'All Stats'!D66)-1)/2)/(COUNT('All Stats'!$D$6:$D$172)-1))^'Specialisation Scenarios'!$X$10,100*((COUNTIF('All Stats'!$G$6:$G$172,"&lt;"&amp;'All Stats'!G66)+(COUNTIF('All Stats'!$G$6:$G$172,'All Stats'!G66)-1)/2)/(COUNT('All Stats'!$G$6:$G$172)-1))^'Specialisation Scenarios'!$X$10,100*((COUNTIF('All Stats'!$I$6:$I$172,"&lt;"&amp;'All Stats'!I66)+(COUNTIF('All Stats'!$I$6:$I$172,'All Stats'!I66)-1)/2)/(COUNT('All Stats'!$I$6:$I$172)-1))^'Specialisation Scenarios'!$X$10))</x:f>
        <x:v>0.004341997721414818</x:v>
      </x:c>
      <x:c r="D66" s="576" t="n">
        <x:f>IF($A66="","",AVERAGE(100*((COUNTIF('All Stats'!$R$6:$R$172,"&lt;"&amp;'All Stats'!R66)+(COUNTIF('All Stats'!$R$6:$R$172,'All Stats'!R66)-1)/2)/(COUNT('All Stats'!$R$6:$R$172)-1))^'Specialisation Scenarios'!$X$10,100*((COUNTIF('All Stats'!$U$6:$U$172,"&lt;"&amp;'All Stats'!U66)+(COUNTIF('All Stats'!$U$6:$U$172,'All Stats'!U66)-1)/2)/(COUNT('All Stats'!$U$6:$U$172)-1))^'Specialisation Scenarios'!$X$10,100*((COUNTIF('All Stats'!$W$6:$W$172,"&lt;"&amp;'All Stats'!W66)+(COUNTIF('All Stats'!$W$6:$W$172,'All Stats'!W66)-1)/2)/(COUNT('All Stats'!$W$6:$W$172)-1))^'Specialisation Scenarios'!$X$10))</x:f>
        <x:v>9.177247462449545</x:v>
      </x:c>
      <x:c r="E66" s="576" t="n">
        <x:f>IF($A66="","",AVERAGE(100*((COUNTIF('All Stats'!$Y$6:$Y$172,"&lt;"&amp;'All Stats'!Y66)+(COUNTIF('All Stats'!$Y$6:$Y$172,'All Stats'!Y66)-1)/2)/(COUNT('All Stats'!$Y$6:$Y$172)-1))^'Specialisation Scenarios'!$X$10,100*((COUNTIF('All Stats'!$AB$6:$AB$172,"&lt;"&amp;'All Stats'!AB66)+(COUNTIF('All Stats'!$AB$6:$AB$172,'All Stats'!AB66)-1)/2)/(COUNT('All Stats'!$AB$6:$AB$172)-1))^'Specialisation Scenarios'!$X$10,100*((COUNTIF('All Stats'!$AD$6:$AD$172,"&lt;"&amp;'All Stats'!AD66)+(COUNTIF('All Stats'!$AD$6:$AD$172,'All Stats'!AD66)-1)/2)/(COUNT('All Stats'!$AD$6:$AD$172)-1))^'Specialisation Scenarios'!$X$10))</x:f>
        <x:v>0.5535959931660225</x:v>
      </x:c>
      <x:c r="F66" s="576" t="n">
        <x:f>IF($A66="","",AVERAGE(100*((COUNTIF('All Stats'!$AF$6:$AF$172,"&lt;"&amp;'All Stats'!AF66)+(COUNTIF('All Stats'!$AF$6:$AF$172,'All Stats'!AF66)-1)/2)/(COUNT('All Stats'!$AF$6:$AF$172)-1))^'Specialisation Scenarios'!$X$10,100*((COUNTIF('All Stats'!$AI$6:$AI$172,"&lt;"&amp;'All Stats'!AI66)+(COUNTIF('All Stats'!$AI$6:$AI$172,'All Stats'!AI66)-1)/2)/(COUNT('All Stats'!$AI$6:$AI$172)-1))^'Specialisation Scenarios'!$X$10,100*((COUNTIF('All Stats'!$AK$6:$AK$172,"&lt;"&amp;'All Stats'!AK66)+(COUNTIF('All Stats'!$AK$6:$AK$172,'All Stats'!AK66)-1)/2)/(COUNT('All Stats'!$AK$6:$AK$172)-1))^'Specialisation Scenarios'!$X$10))</x:f>
        <x:v>13.681369719528854</x:v>
      </x:c>
      <x:c r="G66" s="576" t="n">
        <x:f>IF($A66="","",C66*'Specialisation Scenarios'!$X$11+D66*'Specialisation Scenarios'!$X$12+E66*'Specialisation Scenarios'!$X$13+F66*'Specialisation Scenarios'!$X$14)</x:f>
        <x:v>7.614564834373869</x:v>
      </x:c>
      <x:c r="H66" s="576" t="n">
        <x:f>IF(SUMIFS('Specialisation Impact'!$E$19:$E$186,'Specialisation Impact'!$A$19:$A$186,A66,'Specialisation Impact'!$B$19:$B$186,B66)=0,"",SUMIFS('Specialisation Impact'!$S$19:$S$186,'Specialisation Impact'!$A$19:$A$186,A66,'Specialisation Impact'!$B$19:$B$186,B66))</x:f>
        <x:v>0</x:v>
      </x:c>
      <x:c r="I66" s="580" t="n">
        <x:f>IF(SUMIFS('Specialisation Impact'!$E$19:$E$186,'Specialisation Impact'!$A$19:$A$186,A66,'Specialisation Impact'!$B$19:$B$186,B66)=0,0,SUMIFS('Specialisation Impact'!$F$19:$F$186,'Specialisation Impact'!$A$19:$A$186,A66,'Specialisation Impact'!$B$19:$B$186,B66))</x:f>
        <x:v>1</x:v>
      </x:c>
      <x:c r="J66" s="576" t="n">
        <x:f>G66</x:f>
        <x:v>7.614564834373869</x:v>
      </x:c>
      <x:c r="K66" s="576" t="n">
        <x:f>IF(G66="","",IF(I66=0,G66,MAX(0,MIN(100,G66*(1-'Specialisation Scenarios'!$B$8*I66)+H66*('Specialisation Scenarios'!$B$8*I66)))))</x:f>
        <x:v>5.710923625780402</x:v>
      </x:c>
      <x:c r="L66" s="576" t="n">
        <x:f>IF(G66="","",IF(I66=0,G66,MAX(0,MIN(100,G66*(1-'Specialisation Scenarios'!$B$9*I66)+H66*('Specialisation Scenarios'!$B$9*I66)))))</x:f>
        <x:v>4.949467142343015</x:v>
      </x:c>
      <x:c r="M66" s="576" t="str">
        <x:f>IF(COUNTIFS('Tank &amp; Control'!$A$23:$A$189,A66,'Tank &amp; Control'!$B$23:$B$189,B66,'Tank &amp; Control'!$C$23:$C$189,"Yes")&gt;0,"Yes","No")</x:f>
        <x:v>No</x:v>
      </x:c>
      <x:c r="N66" s="576" t="str">
        <x:f>IF(M66&lt;&gt;"Yes","",SUMIFS('Tank &amp; Control'!$L$23:$L$189,'Tank &amp; Control'!$A$23:$A$189,A66,'Tank &amp; Control'!$B$23:$B$189,B66))</x:f>
      </x:c>
      <x:c r="O66" s="576" t="n">
        <x:f>IF(SUMIFS('Specialisation Impact'!$M$19:$M$186,'Specialisation Impact'!$A$19:$A$186,A66,'Specialisation Impact'!$B$19:$B$186,B66)=0,"",SUMIFS('Specialisation Impact'!$V$19:$V$186,'Specialisation Impact'!$A$19:$A$186,A66,'Specialisation Impact'!$B$19:$B$186,B66))</x:f>
        <x:v>15.811965811965813</x:v>
      </x:c>
      <x:c r="P66" s="576" t="str">
        <x:f>IF(N66="","",N66)</x:f>
      </x:c>
      <x:c r="Q66" s="576" t="str">
        <x:f>IF(N66="","",IF(AC66=0,N66,MAX(0,MIN(100,N66*(1-'Specialisation Scenarios'!$B$8*AC66)+O66*('Specialisation Scenarios'!$B$8*AC66)))))</x:f>
      </x:c>
      <x:c r="R66" s="576" t="str">
        <x:f>IF(N66="","",IF(AC66=0,N66,MAX(0,MIN(100,N66*(1-'Specialisation Scenarios'!$B$9*AC66)+O66*('Specialisation Scenarios'!$B$9*AC66)))))</x:f>
      </x:c>
      <x:c r="S66" s="584" t="n">
        <x:f>IF(J66="","",COUNTIFS($A$6:$A$172,A66,$J$6:$J$172,"&gt;"&amp;J66)+COUNTIFS($A$6:A66,A66,$J$6:J66,J66))</x:f>
        <x:v>16</x:v>
      </x:c>
      <x:c r="T66" s="584" t="n">
        <x:f>IF(K66="","",COUNTIFS($A$6:$A$172,A66,$K$6:$K$172,"&gt;"&amp;K66)+COUNTIFS($A$6:A66,A66,$K$6:K66,K66))</x:f>
        <x:v>17</x:v>
      </x:c>
      <x:c r="U66" s="584" t="n">
        <x:f>IF(L66="","",COUNTIFS($A$6:$A$172,A66,$L$6:$L$172,"&gt;"&amp;L66)+COUNTIFS($A$6:A66,A66,$L$6:L66,L66))</x:f>
        <x:v>19</x:v>
      </x:c>
      <x:c r="V66" s="584" t="str">
        <x:f>IF(P66="","",COUNTIFS($A$6:$A$172,A66,$P$6:$P$172,"&gt;"&amp;P66)+COUNTIFS($A$6:A66,A66,$P$6:P66,P66))</x:f>
      </x:c>
      <x:c r="W66" s="584" t="str">
        <x:f>IF(Q66="","",COUNTIFS($A$6:$A$172,A66,$Q$6:$Q$172,"&gt;"&amp;Q66)+COUNTIFS($A$6:A66,A66,$Q$6:Q66,Q66))</x:f>
      </x:c>
      <x:c r="X66" s="584" t="str">
        <x:f>IF(R66="","",COUNTIFS($A$6:$A$172,A66,$R$6:$R$172,"&gt;"&amp;R66)+COUNTIFS($A$6:A66,A66,$R$6:R66,R66))</x:f>
      </x:c>
      <x:c r="Y66" s="572" t="str">
        <x:f>IF(V66="","",A66&amp;"|"&amp;V66)</x:f>
      </x:c>
      <x:c r="Z66" s="572" t="str">
        <x:f>IF(W66="","",A66&amp;"|"&amp;W66)</x:f>
      </x:c>
      <x:c r="AA66" s="572" t="str">
        <x:f>IF(X66="","",A66&amp;"|"&amp;X66)</x:f>
      </x:c>
      <x:c r="AB66" s="572" t="str">
        <x:f>IF(A66="","",IF(I66=0,"Offense neutral — no recorded offensive skills",IF(I66&lt;1,"Partial lookup — adjustment scaled",IF(AND(M66="Yes",AC66=0),"Offense adjusted; Guard neutral","Captured"))))</x:f>
        <x:v>Captured</x:v>
      </x:c>
      <x:c r="AC66" s="580" t="n">
        <x:f>IF(SUMIFS('Specialisation Impact'!$M$19:$M$186,'Specialisation Impact'!$A$19:$A$186,A66,'Specialisation Impact'!$B$19:$B$186,B66)=0,0,SUMIFS('Specialisation Impact'!$F$19:$F$186,'Specialisation Impact'!$A$19:$A$186,A66,'Specialisation Impact'!$B$19:$B$186,B66))</x:f>
        <x:v>1</x:v>
      </x:c>
    </x:row>
    <x:row r="67">
      <x:c r="A67" s="571" t="str">
        <x:v>K116</x:v>
      </x:c>
      <x:c r="B67" s="571" t="str">
        <x:v>ALI</x:v>
      </x:c>
      <x:c r="C67" s="575" t="n">
        <x:f>IF($A67="","",AVERAGE(100*((COUNTIF('All Stats'!$D$6:$D$172,"&lt;"&amp;'All Stats'!D67)+(COUNTIF('All Stats'!$D$6:$D$172,'All Stats'!D67)-1)/2)/(COUNT('All Stats'!$D$6:$D$172)-1))^'Specialisation Scenarios'!$X$10,100*((COUNTIF('All Stats'!$G$6:$G$172,"&lt;"&amp;'All Stats'!G67)+(COUNTIF('All Stats'!$G$6:$G$172,'All Stats'!G67)-1)/2)/(COUNT('All Stats'!$G$6:$G$172)-1))^'Specialisation Scenarios'!$X$10,100*((COUNTIF('All Stats'!$I$6:$I$172,"&lt;"&amp;'All Stats'!I67)+(COUNTIF('All Stats'!$I$6:$I$172,'All Stats'!I67)-1)/2)/(COUNT('All Stats'!$I$6:$I$172)-1))^'Specialisation Scenarios'!$X$10))</x:f>
        <x:v>2.554020150475299</x:v>
      </x:c>
      <x:c r="D67" s="575" t="n">
        <x:f>IF($A67="","",AVERAGE(100*((COUNTIF('All Stats'!$R$6:$R$172,"&lt;"&amp;'All Stats'!R67)+(COUNTIF('All Stats'!$R$6:$R$172,'All Stats'!R67)-1)/2)/(COUNT('All Stats'!$R$6:$R$172)-1))^'Specialisation Scenarios'!$X$10,100*((COUNTIF('All Stats'!$U$6:$U$172,"&lt;"&amp;'All Stats'!U67)+(COUNTIF('All Stats'!$U$6:$U$172,'All Stats'!U67)-1)/2)/(COUNT('All Stats'!$U$6:$U$172)-1))^'Specialisation Scenarios'!$X$10,100*((COUNTIF('All Stats'!$W$6:$W$172,"&lt;"&amp;'All Stats'!W67)+(COUNTIF('All Stats'!$W$6:$W$172,'All Stats'!W67)-1)/2)/(COUNT('All Stats'!$W$6:$W$172)-1))^'Specialisation Scenarios'!$X$10))</x:f>
        <x:v>0.0486395223390648</x:v>
      </x:c>
      <x:c r="E67" s="575" t="n">
        <x:f>IF($A67="","",AVERAGE(100*((COUNTIF('All Stats'!$Y$6:$Y$172,"&lt;"&amp;'All Stats'!Y67)+(COUNTIF('All Stats'!$Y$6:$Y$172,'All Stats'!Y67)-1)/2)/(COUNT('All Stats'!$Y$6:$Y$172)-1))^'Specialisation Scenarios'!$X$10,100*((COUNTIF('All Stats'!$AB$6:$AB$172,"&lt;"&amp;'All Stats'!AB67)+(COUNTIF('All Stats'!$AB$6:$AB$172,'All Stats'!AB67)-1)/2)/(COUNT('All Stats'!$AB$6:$AB$172)-1))^'Specialisation Scenarios'!$X$10,100*((COUNTIF('All Stats'!$AD$6:$AD$172,"&lt;"&amp;'All Stats'!AD67)+(COUNTIF('All Stats'!$AD$6:$AD$172,'All Stats'!AD67)-1)/2)/(COUNT('All Stats'!$AD$6:$AD$172)-1))^'Specialisation Scenarios'!$X$10))</x:f>
        <x:v>6.396021925218605</x:v>
      </x:c>
      <x:c r="F67" s="575" t="n">
        <x:f>IF($A67="","",AVERAGE(100*((COUNTIF('All Stats'!$AF$6:$AF$172,"&lt;"&amp;'All Stats'!AF67)+(COUNTIF('All Stats'!$AF$6:$AF$172,'All Stats'!AF67)-1)/2)/(COUNT('All Stats'!$AF$6:$AF$172)-1))^'Specialisation Scenarios'!$X$10,100*((COUNTIF('All Stats'!$AI$6:$AI$172,"&lt;"&amp;'All Stats'!AI67)+(COUNTIF('All Stats'!$AI$6:$AI$172,'All Stats'!AI67)-1)/2)/(COUNT('All Stats'!$AI$6:$AI$172)-1))^'Specialisation Scenarios'!$X$10,100*((COUNTIF('All Stats'!$AK$6:$AK$172,"&lt;"&amp;'All Stats'!AK67)+(COUNTIF('All Stats'!$AK$6:$AK$172,'All Stats'!AK67)-1)/2)/(COUNT('All Stats'!$AK$6:$AK$172)-1))^'Specialisation Scenarios'!$X$10))</x:f>
        <x:v>0.7800213346291901</x:v>
      </x:c>
      <x:c r="G67" s="575" t="n">
        <x:f>IF($A67="","",C67*'Specialisation Scenarios'!$X$11+D67*'Specialisation Scenarios'!$X$12+E67*'Specialisation Scenarios'!$X$13+F67*'Specialisation Scenarios'!$X$14)</x:f>
        <x:v>1.1688921286909728</x:v>
      </x:c>
      <x:c r="H67" s="575" t="n">
        <x:f>IF(SUMIFS('Specialisation Impact'!$E$19:$E$186,'Specialisation Impact'!$A$19:$A$186,A67,'Specialisation Impact'!$B$19:$B$186,B67)=0,"",SUMIFS('Specialisation Impact'!$S$19:$S$186,'Specialisation Impact'!$A$19:$A$186,A67,'Specialisation Impact'!$B$19:$B$186,B67))</x:f>
        <x:v>17.01298701298701</x:v>
      </x:c>
      <x:c r="I67" s="579" t="n">
        <x:f>IF(SUMIFS('Specialisation Impact'!$E$19:$E$186,'Specialisation Impact'!$A$19:$A$186,A67,'Specialisation Impact'!$B$19:$B$186,B67)=0,0,SUMIFS('Specialisation Impact'!$F$19:$F$186,'Specialisation Impact'!$A$19:$A$186,A67,'Specialisation Impact'!$B$19:$B$186,B67))</x:f>
        <x:v>1</x:v>
      </x:c>
      <x:c r="J67" s="575" t="n">
        <x:f>G67</x:f>
        <x:v>1.1688921286909728</x:v>
      </x:c>
      <x:c r="K67" s="575" t="n">
        <x:f>IF(G67="","",IF(I67=0,G67,MAX(0,MIN(100,G67*(1-'Specialisation Scenarios'!$B$8*I67)+H67*('Specialisation Scenarios'!$B$8*I67)))))</x:f>
        <x:v>5.129915849764982</x:v>
      </x:c>
      <x:c r="L67" s="575" t="n">
        <x:f>IF(G67="","",IF(I67=0,G67,MAX(0,MIN(100,G67*(1-'Specialisation Scenarios'!$B$9*I67)+H67*('Specialisation Scenarios'!$B$9*I67)))))</x:f>
        <x:v>6.714325338194586</x:v>
      </x:c>
      <x:c r="M67" s="575" t="str">
        <x:f>IF(COUNTIFS('Tank &amp; Control'!$A$23:$A$189,A67,'Tank &amp; Control'!$B$23:$B$189,B67,'Tank &amp; Control'!$C$23:$C$189,"Yes")&gt;0,"Yes","No")</x:f>
        <x:v>No</x:v>
      </x:c>
      <x:c r="N67" s="575" t="str">
        <x:f>IF(M67&lt;&gt;"Yes","",SUMIFS('Tank &amp; Control'!$L$23:$L$189,'Tank &amp; Control'!$A$23:$A$189,A67,'Tank &amp; Control'!$B$23:$B$189,B67))</x:f>
      </x:c>
      <x:c r="O67" s="575" t="n">
        <x:f>IF(SUMIFS('Specialisation Impact'!$M$19:$M$186,'Specialisation Impact'!$A$19:$A$186,A67,'Specialisation Impact'!$B$19:$B$186,B67)=0,"",SUMIFS('Specialisation Impact'!$V$19:$V$186,'Specialisation Impact'!$A$19:$A$186,A67,'Specialisation Impact'!$B$19:$B$186,B67))</x:f>
        <x:v>84.18803418803418</x:v>
      </x:c>
      <x:c r="P67" s="575" t="str">
        <x:f>IF(N67="","",N67)</x:f>
      </x:c>
      <x:c r="Q67" s="575" t="str">
        <x:f>IF(N67="","",IF(AC67=0,N67,MAX(0,MIN(100,N67*(1-'Specialisation Scenarios'!$B$8*AC67)+O67*('Specialisation Scenarios'!$B$8*AC67)))))</x:f>
      </x:c>
      <x:c r="R67" s="575" t="str">
        <x:f>IF(N67="","",IF(AC67=0,N67,MAX(0,MIN(100,N67*(1-'Specialisation Scenarios'!$B$9*AC67)+O67*('Specialisation Scenarios'!$B$9*AC67)))))</x:f>
      </x:c>
      <x:c r="S67" s="583" t="n">
        <x:f>IF(J67="","",COUNTIFS($A$6:$A$172,A67,$J$6:$J$172,"&gt;"&amp;J67)+COUNTIFS($A$6:A67,A67,$J$6:J67,J67))</x:f>
        <x:v>19</x:v>
      </x:c>
      <x:c r="T67" s="583" t="n">
        <x:f>IF(K67="","",COUNTIFS($A$6:$A$172,A67,$K$6:$K$172,"&gt;"&amp;K67)+COUNTIFS($A$6:A67,A67,$K$6:K67,K67))</x:f>
        <x:v>19</x:v>
      </x:c>
      <x:c r="U67" s="583" t="n">
        <x:f>IF(L67="","",COUNTIFS($A$6:$A$172,A67,$L$6:$L$172,"&gt;"&amp;L67)+COUNTIFS($A$6:A67,A67,$L$6:L67,L67))</x:f>
        <x:v>16</x:v>
      </x:c>
      <x:c r="V67" s="583" t="str">
        <x:f>IF(P67="","",COUNTIFS($A$6:$A$172,A67,$P$6:$P$172,"&gt;"&amp;P67)+COUNTIFS($A$6:A67,A67,$P$6:P67,P67))</x:f>
      </x:c>
      <x:c r="W67" s="583" t="str">
        <x:f>IF(Q67="","",COUNTIFS($A$6:$A$172,A67,$Q$6:$Q$172,"&gt;"&amp;Q67)+COUNTIFS($A$6:A67,A67,$Q$6:Q67,Q67))</x:f>
      </x:c>
      <x:c r="X67" s="583" t="str">
        <x:f>IF(R67="","",COUNTIFS($A$6:$A$172,A67,$R$6:$R$172,"&gt;"&amp;R67)+COUNTIFS($A$6:A67,A67,$R$6:R67,R67))</x:f>
      </x:c>
      <x:c r="Y67" s="571" t="str">
        <x:f>IF(V67="","",A67&amp;"|"&amp;V67)</x:f>
      </x:c>
      <x:c r="Z67" s="571" t="str">
        <x:f>IF(W67="","",A67&amp;"|"&amp;W67)</x:f>
      </x:c>
      <x:c r="AA67" s="571" t="str">
        <x:f>IF(X67="","",A67&amp;"|"&amp;X67)</x:f>
      </x:c>
      <x:c r="AB67" s="571" t="str">
        <x:f>IF(A67="","",IF(I67=0,"Offense neutral — no recorded offensive skills",IF(I67&lt;1,"Partial lookup — adjustment scaled",IF(AND(M67="Yes",AC67=0),"Offense adjusted; Guard neutral","Captured"))))</x:f>
        <x:v>Captured</x:v>
      </x:c>
      <x:c r="AC67" s="579" t="n">
        <x:f>IF(SUMIFS('Specialisation Impact'!$M$19:$M$186,'Specialisation Impact'!$A$19:$A$186,A67,'Specialisation Impact'!$B$19:$B$186,B67)=0,0,SUMIFS('Specialisation Impact'!$F$19:$F$186,'Specialisation Impact'!$A$19:$A$186,A67,'Specialisation Impact'!$B$19:$B$186,B67))</x:f>
        <x:v>1</x:v>
      </x:c>
    </x:row>
    <x:row r="68">
      <x:c r="A68" s="572" t="str">
        <x:v>K116</x:v>
      </x:c>
      <x:c r="B68" s="572" t="str">
        <x:v>不可盾号</x:v>
      </x:c>
      <x:c r="C68" s="576" t="n">
        <x:f>IF($A68="","",AVERAGE(100*((COUNTIF('All Stats'!$D$6:$D$172,"&lt;"&amp;'All Stats'!D68)+(COUNTIF('All Stats'!$D$6:$D$172,'All Stats'!D68)-1)/2)/(COUNT('All Stats'!$D$6:$D$172)-1))^'Specialisation Scenarios'!$X$10,100*((COUNTIF('All Stats'!$G$6:$G$172,"&lt;"&amp;'All Stats'!G68)+(COUNTIF('All Stats'!$G$6:$G$172,'All Stats'!G68)-1)/2)/(COUNT('All Stats'!$G$6:$G$172)-1))^'Specialisation Scenarios'!$X$10,100*((COUNTIF('All Stats'!$I$6:$I$172,"&lt;"&amp;'All Stats'!I68)+(COUNTIF('All Stats'!$I$6:$I$172,'All Stats'!I68)-1)/2)/(COUNT('All Stats'!$I$6:$I$172)-1))^'Specialisation Scenarios'!$X$10))</x:f>
        <x:v>0.044297524617649985</x:v>
      </x:c>
      <x:c r="D68" s="576" t="n">
        <x:f>IF($A68="","",AVERAGE(100*((COUNTIF('All Stats'!$R$6:$R$172,"&lt;"&amp;'All Stats'!R68)+(COUNTIF('All Stats'!$R$6:$R$172,'All Stats'!R68)-1)/2)/(COUNT('All Stats'!$R$6:$R$172)-1))^'Specialisation Scenarios'!$X$10,100*((COUNTIF('All Stats'!$U$6:$U$172,"&lt;"&amp;'All Stats'!U68)+(COUNTIF('All Stats'!$U$6:$U$172,'All Stats'!U68)-1)/2)/(COUNT('All Stats'!$U$6:$U$172)-1))^'Specialisation Scenarios'!$X$10,100*((COUNTIF('All Stats'!$W$6:$W$172,"&lt;"&amp;'All Stats'!W68)+(COUNTIF('All Stats'!$W$6:$W$172,'All Stats'!W68)-1)/2)/(COUNT('All Stats'!$W$6:$W$172)-1))^'Specialisation Scenarios'!$X$10))</x:f>
        <x:v>0</x:v>
      </x:c>
      <x:c r="E68" s="576" t="n">
        <x:f>IF($A68="","",AVERAGE(100*((COUNTIF('All Stats'!$Y$6:$Y$172,"&lt;"&amp;'All Stats'!Y68)+(COUNTIF('All Stats'!$Y$6:$Y$172,'All Stats'!Y68)-1)/2)/(COUNT('All Stats'!$Y$6:$Y$172)-1))^'Specialisation Scenarios'!$X$10,100*((COUNTIF('All Stats'!$AB$6:$AB$172,"&lt;"&amp;'All Stats'!AB68)+(COUNTIF('All Stats'!$AB$6:$AB$172,'All Stats'!AB68)-1)/2)/(COUNT('All Stats'!$AB$6:$AB$172)-1))^'Specialisation Scenarios'!$X$10,100*((COUNTIF('All Stats'!$AD$6:$AD$172,"&lt;"&amp;'All Stats'!AD68)+(COUNTIF('All Stats'!$AD$6:$AD$172,'All Stats'!AD68)-1)/2)/(COUNT('All Stats'!$AD$6:$AD$172)-1))^'Specialisation Scenarios'!$X$10))</x:f>
        <x:v>1.3260089540446256</x:v>
      </x:c>
      <x:c r="F68" s="576" t="n">
        <x:f>IF($A68="","",AVERAGE(100*((COUNTIF('All Stats'!$AF$6:$AF$172,"&lt;"&amp;'All Stats'!AF68)+(COUNTIF('All Stats'!$AF$6:$AF$172,'All Stats'!AF68)-1)/2)/(COUNT('All Stats'!$AF$6:$AF$172)-1))^'Specialisation Scenarios'!$X$10,100*((COUNTIF('All Stats'!$AI$6:$AI$172,"&lt;"&amp;'All Stats'!AI68)+(COUNTIF('All Stats'!$AI$6:$AI$172,'All Stats'!AI68)-1)/2)/(COUNT('All Stats'!$AI$6:$AI$172)-1))^'Specialisation Scenarios'!$X$10,100*((COUNTIF('All Stats'!$AK$6:$AK$172,"&lt;"&amp;'All Stats'!AK68)+(COUNTIF('All Stats'!$AK$6:$AK$172,'All Stats'!AK68)-1)/2)/(COUNT('All Stats'!$AK$6:$AK$172)-1))^'Specialisation Scenarios'!$X$10))</x:f>
        <x:v>0</x:v>
      </x:c>
      <x:c r="G68" s="576" t="n">
        <x:f>IF($A68="","",C68*'Specialisation Scenarios'!$X$11+D68*'Specialisation Scenarios'!$X$12+E68*'Specialisation Scenarios'!$X$13+F68*'Specialisation Scenarios'!$X$14)</x:f>
        <x:v>0.13924552409711008</x:v>
      </x:c>
      <x:c r="H68" s="576" t="str">
        <x:f>IF(SUMIFS('Specialisation Impact'!$E$19:$E$186,'Specialisation Impact'!$A$19:$A$186,A68,'Specialisation Impact'!$B$19:$B$186,B68)=0,"",SUMIFS('Specialisation Impact'!$S$19:$S$186,'Specialisation Impact'!$A$19:$A$186,A68,'Specialisation Impact'!$B$19:$B$186,B68))</x:f>
      </x:c>
      <x:c r="I68" s="580" t="n">
        <x:f>IF(SUMIFS('Specialisation Impact'!$E$19:$E$186,'Specialisation Impact'!$A$19:$A$186,A68,'Specialisation Impact'!$B$19:$B$186,B68)=0,0,SUMIFS('Specialisation Impact'!$F$19:$F$186,'Specialisation Impact'!$A$19:$A$186,A68,'Specialisation Impact'!$B$19:$B$186,B68))</x:f>
        <x:v>0</x:v>
      </x:c>
      <x:c r="J68" s="576" t="n">
        <x:f>G68</x:f>
        <x:v>0.13924552409711008</x:v>
      </x:c>
      <x:c r="K68" s="576" t="n">
        <x:f>IF(G68="","",IF(I68=0,G68,MAX(0,MIN(100,G68*(1-'Specialisation Scenarios'!$B$8*I68)+H68*('Specialisation Scenarios'!$B$8*I68)))))</x:f>
        <x:v>0.13924552409711008</x:v>
      </x:c>
      <x:c r="L68" s="576" t="n">
        <x:f>IF(G68="","",IF(I68=0,G68,MAX(0,MIN(100,G68*(1-'Specialisation Scenarios'!$B$9*I68)+H68*('Specialisation Scenarios'!$B$9*I68)))))</x:f>
        <x:v>0.13924552409711008</x:v>
      </x:c>
      <x:c r="M68" s="576" t="str">
        <x:f>IF(COUNTIFS('Tank &amp; Control'!$A$23:$A$189,A68,'Tank &amp; Control'!$B$23:$B$189,B68,'Tank &amp; Control'!$C$23:$C$189,"Yes")&gt;0,"Yes","No")</x:f>
        <x:v>No</x:v>
      </x:c>
      <x:c r="N68" s="576" t="str">
        <x:f>IF(M68&lt;&gt;"Yes","",SUMIFS('Tank &amp; Control'!$L$23:$L$189,'Tank &amp; Control'!$A$23:$A$189,A68,'Tank &amp; Control'!$B$23:$B$189,B68))</x:f>
      </x:c>
      <x:c r="O68" s="576" t="n">
        <x:f>IF(SUMIFS('Specialisation Impact'!$M$19:$M$186,'Specialisation Impact'!$A$19:$A$186,A68,'Specialisation Impact'!$B$19:$B$186,B68)=0,"",SUMIFS('Specialisation Impact'!$V$19:$V$186,'Specialisation Impact'!$A$19:$A$186,A68,'Specialisation Impact'!$B$19:$B$186,B68))</x:f>
        <x:v>29.48717948717949</x:v>
      </x:c>
      <x:c r="P68" s="576" t="str">
        <x:f>IF(N68="","",N68)</x:f>
      </x:c>
      <x:c r="Q68" s="576" t="str">
        <x:f>IF(N68="","",IF(AC68=0,N68,MAX(0,MIN(100,N68*(1-'Specialisation Scenarios'!$B$8*AC68)+O68*('Specialisation Scenarios'!$B$8*AC68)))))</x:f>
      </x:c>
      <x:c r="R68" s="576" t="str">
        <x:f>IF(N68="","",IF(AC68=0,N68,MAX(0,MIN(100,N68*(1-'Specialisation Scenarios'!$B$9*AC68)+O68*('Specialisation Scenarios'!$B$9*AC68)))))</x:f>
      </x:c>
      <x:c r="S68" s="584" t="n">
        <x:f>IF(J68="","",COUNTIFS($A$6:$A$172,A68,$J$6:$J$172,"&gt;"&amp;J68)+COUNTIFS($A$6:A68,A68,$J$6:J68,J68))</x:f>
        <x:v>20</x:v>
      </x:c>
      <x:c r="T68" s="584" t="n">
        <x:f>IF(K68="","",COUNTIFS($A$6:$A$172,A68,$K$6:$K$172,"&gt;"&amp;K68)+COUNTIFS($A$6:A68,A68,$K$6:K68,K68))</x:f>
        <x:v>20</x:v>
      </x:c>
      <x:c r="U68" s="584" t="n">
        <x:f>IF(L68="","",COUNTIFS($A$6:$A$172,A68,$L$6:$L$172,"&gt;"&amp;L68)+COUNTIFS($A$6:A68,A68,$L$6:L68,L68))</x:f>
        <x:v>20</x:v>
      </x:c>
      <x:c r="V68" s="584" t="str">
        <x:f>IF(P68="","",COUNTIFS($A$6:$A$172,A68,$P$6:$P$172,"&gt;"&amp;P68)+COUNTIFS($A$6:A68,A68,$P$6:P68,P68))</x:f>
      </x:c>
      <x:c r="W68" s="584" t="str">
        <x:f>IF(Q68="","",COUNTIFS($A$6:$A$172,A68,$Q$6:$Q$172,"&gt;"&amp;Q68)+COUNTIFS($A$6:A68,A68,$Q$6:Q68,Q68))</x:f>
      </x:c>
      <x:c r="X68" s="584" t="str">
        <x:f>IF(R68="","",COUNTIFS($A$6:$A$172,A68,$R$6:$R$172,"&gt;"&amp;R68)+COUNTIFS($A$6:A68,A68,$R$6:R68,R68))</x:f>
      </x:c>
      <x:c r="Y68" s="572" t="str">
        <x:f>IF(V68="","",A68&amp;"|"&amp;V68)</x:f>
      </x:c>
      <x:c r="Z68" s="572" t="str">
        <x:f>IF(W68="","",A68&amp;"|"&amp;W68)</x:f>
      </x:c>
      <x:c r="AA68" s="572" t="str">
        <x:f>IF(X68="","",A68&amp;"|"&amp;X68)</x:f>
      </x:c>
      <x:c r="AB68" s="572" t="str">
        <x:f>IF(A68="","",IF(I68=0,"Offense neutral — no recorded offensive skills",IF(I68&lt;1,"Partial lookup — adjustment scaled",IF(AND(M68="Yes",AC68=0),"Offense adjusted; Guard neutral","Captured"))))</x:f>
        <x:v>Offense neutral — no recorded offensive skills</x:v>
      </x:c>
      <x:c r="AC68" s="580" t="n">
        <x:f>IF(SUMIFS('Specialisation Impact'!$M$19:$M$186,'Specialisation Impact'!$A$19:$A$186,A68,'Specialisation Impact'!$B$19:$B$186,B68)=0,0,SUMIFS('Specialisation Impact'!$F$19:$F$186,'Specialisation Impact'!$A$19:$A$186,A68,'Specialisation Impact'!$B$19:$B$186,B68))</x:f>
        <x:v>1</x:v>
      </x:c>
    </x:row>
    <x:row r="69">
      <x:c r="A69" s="571" t="str">
        <x:v>K116</x:v>
      </x:c>
      <x:c r="B69" s="571" t="str">
        <x:v>光之使者</x:v>
      </x:c>
      <x:c r="C69" s="575" t="n">
        <x:f>IF($A69="","",AVERAGE(100*((COUNTIF('All Stats'!$D$6:$D$172,"&lt;"&amp;'All Stats'!D69)+(COUNTIF('All Stats'!$D$6:$D$172,'All Stats'!D69)-1)/2)/(COUNT('All Stats'!$D$6:$D$172)-1))^'Specialisation Scenarios'!$X$10,100*((COUNTIF('All Stats'!$G$6:$G$172,"&lt;"&amp;'All Stats'!G69)+(COUNTIF('All Stats'!$G$6:$G$172,'All Stats'!G69)-1)/2)/(COUNT('All Stats'!$G$6:$G$172)-1))^'Specialisation Scenarios'!$X$10,100*((COUNTIF('All Stats'!$I$6:$I$172,"&lt;"&amp;'All Stats'!I69)+(COUNTIF('All Stats'!$I$6:$I$172,'All Stats'!I69)-1)/2)/(COUNT('All Stats'!$I$6:$I$172)-1))^'Specialisation Scenarios'!$X$10))</x:f>
        <x:v>78.21252171079085</x:v>
      </x:c>
      <x:c r="D69" s="575" t="n">
        <x:f>IF($A69="","",AVERAGE(100*((COUNTIF('All Stats'!$R$6:$R$172,"&lt;"&amp;'All Stats'!R69)+(COUNTIF('All Stats'!$R$6:$R$172,'All Stats'!R69)-1)/2)/(COUNT('All Stats'!$R$6:$R$172)-1))^'Specialisation Scenarios'!$X$10,100*((COUNTIF('All Stats'!$U$6:$U$172,"&lt;"&amp;'All Stats'!U69)+(COUNTIF('All Stats'!$U$6:$U$172,'All Stats'!U69)-1)/2)/(COUNT('All Stats'!$U$6:$U$172)-1))^'Specialisation Scenarios'!$X$10,100*((COUNTIF('All Stats'!$W$6:$W$172,"&lt;"&amp;'All Stats'!W69)+(COUNTIF('All Stats'!$W$6:$W$172,'All Stats'!W69)-1)/2)/(COUNT('All Stats'!$W$6:$W$172)-1))^'Specialisation Scenarios'!$X$10))</x:f>
        <x:v>42.42129544304967</x:v>
      </x:c>
      <x:c r="E69" s="575" t="n">
        <x:f>IF($A69="","",AVERAGE(100*((COUNTIF('All Stats'!$Y$6:$Y$172,"&lt;"&amp;'All Stats'!Y69)+(COUNTIF('All Stats'!$Y$6:$Y$172,'All Stats'!Y69)-1)/2)/(COUNT('All Stats'!$Y$6:$Y$172)-1))^'Specialisation Scenarios'!$X$10,100*((COUNTIF('All Stats'!$AB$6:$AB$172,"&lt;"&amp;'All Stats'!AB69)+(COUNTIF('All Stats'!$AB$6:$AB$172,'All Stats'!AB69)-1)/2)/(COUNT('All Stats'!$AB$6:$AB$172)-1))^'Specialisation Scenarios'!$X$10,100*((COUNTIF('All Stats'!$AD$6:$AD$172,"&lt;"&amp;'All Stats'!AD69)+(COUNTIF('All Stats'!$AD$6:$AD$172,'All Stats'!AD69)-1)/2)/(COUNT('All Stats'!$AD$6:$AD$172)-1))^'Specialisation Scenarios'!$X$10))</x:f>
        <x:v>54.469911462613176</x:v>
      </x:c>
      <x:c r="F69" s="575" t="n">
        <x:f>IF($A69="","",AVERAGE(100*((COUNTIF('All Stats'!$AF$6:$AF$172,"&lt;"&amp;'All Stats'!AF69)+(COUNTIF('All Stats'!$AF$6:$AF$172,'All Stats'!AF69)-1)/2)/(COUNT('All Stats'!$AF$6:$AF$172)-1))^'Specialisation Scenarios'!$X$10,100*((COUNTIF('All Stats'!$AI$6:$AI$172,"&lt;"&amp;'All Stats'!AI69)+(COUNTIF('All Stats'!$AI$6:$AI$172,'All Stats'!AI69)-1)/2)/(COUNT('All Stats'!$AI$6:$AI$172)-1))^'Specialisation Scenarios'!$X$10,100*((COUNTIF('All Stats'!$AK$6:$AK$172,"&lt;"&amp;'All Stats'!AK69)+(COUNTIF('All Stats'!$AK$6:$AK$172,'All Stats'!AK69)-1)/2)/(COUNT('All Stats'!$AK$6:$AK$172)-1))^'Specialisation Scenarios'!$X$10))</x:f>
        <x:v>77.93567793273606</x:v>
      </x:c>
      <x:c r="G69" s="575" t="n">
        <x:f>IF($A69="","",C69*'Specialisation Scenarios'!$X$11+D69*'Specialisation Scenarios'!$X$12+E69*'Specialisation Scenarios'!$X$13+F69*'Specialisation Scenarios'!$X$14)</x:f>
        <x:v>54.32199835862016</x:v>
      </x:c>
      <x:c r="H69" s="575" t="n">
        <x:f>IF(SUMIFS('Specialisation Impact'!$E$19:$E$186,'Specialisation Impact'!$A$19:$A$186,A69,'Specialisation Impact'!$B$19:$B$186,B69)=0,"",SUMIFS('Specialisation Impact'!$S$19:$S$186,'Specialisation Impact'!$A$19:$A$186,A69,'Specialisation Impact'!$B$19:$B$186,B69))</x:f>
        <x:v>88.83116883116882</x:v>
      </x:c>
      <x:c r="I69" s="579" t="n">
        <x:f>IF(SUMIFS('Specialisation Impact'!$E$19:$E$186,'Specialisation Impact'!$A$19:$A$186,A69,'Specialisation Impact'!$B$19:$B$186,B69)=0,0,SUMIFS('Specialisation Impact'!$F$19:$F$186,'Specialisation Impact'!$A$19:$A$186,A69,'Specialisation Impact'!$B$19:$B$186,B69))</x:f>
        <x:v>1</x:v>
      </x:c>
      <x:c r="J69" s="575" t="n">
        <x:f>G69</x:f>
        <x:v>54.32199835862016</x:v>
      </x:c>
      <x:c r="K69" s="575" t="n">
        <x:f>IF(G69="","",IF(I69=0,G69,MAX(0,MIN(100,G69*(1-'Specialisation Scenarios'!$B$8*I69)+H69*('Specialisation Scenarios'!$B$8*I69)))))</x:f>
        <x:v>62.949290976757325</x:v>
      </x:c>
      <x:c r="L69" s="575" t="n">
        <x:f>IF(G69="","",IF(I69=0,G69,MAX(0,MIN(100,G69*(1-'Specialisation Scenarios'!$B$9*I69)+H69*('Specialisation Scenarios'!$B$9*I69)))))</x:f>
        <x:v>66.40020802401219</x:v>
      </x:c>
      <x:c r="M69" s="575" t="str">
        <x:f>IF(COUNTIFS('Tank &amp; Control'!$A$23:$A$189,A69,'Tank &amp; Control'!$B$23:$B$189,B69,'Tank &amp; Control'!$C$23:$C$189,"Yes")&gt;0,"Yes","No")</x:f>
        <x:v>Yes</x:v>
      </x:c>
      <x:c r="N69" s="575" t="n">
        <x:f>IF(M69&lt;&gt;"Yes","",SUMIFS('Tank &amp; Control'!$L$23:$L$189,'Tank &amp; Control'!$A$23:$A$189,A69,'Tank &amp; Control'!$B$23:$B$189,B69))</x:f>
        <x:v>33.80794940354615</x:v>
      </x:c>
      <x:c r="O69" s="575" t="n">
        <x:f>IF(SUMIFS('Specialisation Impact'!$M$19:$M$186,'Specialisation Impact'!$A$19:$A$186,A69,'Specialisation Impact'!$B$19:$B$186,B69)=0,"",SUMIFS('Specialisation Impact'!$V$19:$V$186,'Specialisation Impact'!$A$19:$A$186,A69,'Specialisation Impact'!$B$19:$B$186,B69))</x:f>
        <x:v>93.16239316239316</x:v>
      </x:c>
      <x:c r="P69" s="575" t="n">
        <x:f>IF(N69="","",N69)</x:f>
        <x:v>33.80794940354615</x:v>
      </x:c>
      <x:c r="Q69" s="575" t="n">
        <x:f>IF(N69="","",IF(AC69=0,N69,MAX(0,MIN(100,N69*(1-'Specialisation Scenarios'!$B$8*AC69)+O69*('Specialisation Scenarios'!$B$8*AC69)))))</x:f>
        <x:v>48.6465603432579</x:v>
      </x:c>
      <x:c r="R69" s="575" t="n">
        <x:f>IF(N69="","",IF(AC69=0,N69,MAX(0,MIN(100,N69*(1-'Specialisation Scenarios'!$B$9*AC69)+O69*('Specialisation Scenarios'!$B$9*AC69)))))</x:f>
        <x:v>54.582004719142596</x:v>
      </x:c>
      <x:c r="S69" s="583" t="n">
        <x:f>IF(J69="","",COUNTIFS($A$6:$A$172,A69,$J$6:$J$172,"&gt;"&amp;J69)+COUNTIFS($A$6:A69,A69,$J$6:J69,J69))</x:f>
        <x:v>5</x:v>
      </x:c>
      <x:c r="T69" s="583" t="n">
        <x:f>IF(K69="","",COUNTIFS($A$6:$A$172,A69,$K$6:$K$172,"&gt;"&amp;K69)+COUNTIFS($A$6:A69,A69,$K$6:K69,K69))</x:f>
        <x:v>2</x:v>
      </x:c>
      <x:c r="U69" s="583" t="n">
        <x:f>IF(L69="","",COUNTIFS($A$6:$A$172,A69,$L$6:$L$172,"&gt;"&amp;L69)+COUNTIFS($A$6:A69,A69,$L$6:L69,L69))</x:f>
        <x:v>2</x:v>
      </x:c>
      <x:c r="V69" s="583" t="n">
        <x:f>IF(P69="","",COUNTIFS($A$6:$A$172,A69,$P$6:$P$172,"&gt;"&amp;P69)+COUNTIFS($A$6:A69,A69,$P$6:P69,P69))</x:f>
        <x:v>3</x:v>
      </x:c>
      <x:c r="W69" s="583" t="n">
        <x:f>IF(Q69="","",COUNTIFS($A$6:$A$172,A69,$Q$6:$Q$172,"&gt;"&amp;Q69)+COUNTIFS($A$6:A69,A69,$Q$6:Q69,Q69))</x:f>
        <x:v>2</x:v>
      </x:c>
      <x:c r="X69" s="583" t="n">
        <x:f>IF(R69="","",COUNTIFS($A$6:$A$172,A69,$R$6:$R$172,"&gt;"&amp;R69)+COUNTIFS($A$6:A69,A69,$R$6:R69,R69))</x:f>
        <x:v>2</x:v>
      </x:c>
      <x:c r="Y69" s="571" t="str">
        <x:f>IF(V69="","",A69&amp;"|"&amp;V69)</x:f>
        <x:v>K116|3</x:v>
      </x:c>
      <x:c r="Z69" s="571" t="str">
        <x:f>IF(W69="","",A69&amp;"|"&amp;W69)</x:f>
        <x:v>K116|2</x:v>
      </x:c>
      <x:c r="AA69" s="571" t="str">
        <x:f>IF(X69="","",A69&amp;"|"&amp;X69)</x:f>
        <x:v>K116|2</x:v>
      </x:c>
      <x:c r="AB69" s="571" t="str">
        <x:f>IF(A69="","",IF(I69=0,"Offense neutral — no recorded offensive skills",IF(I69&lt;1,"Partial lookup — adjustment scaled",IF(AND(M69="Yes",AC69=0),"Offense adjusted; Guard neutral","Captured"))))</x:f>
        <x:v>Captured</x:v>
      </x:c>
      <x:c r="AC69" s="579" t="n">
        <x:f>IF(SUMIFS('Specialisation Impact'!$M$19:$M$186,'Specialisation Impact'!$A$19:$A$186,A69,'Specialisation Impact'!$B$19:$B$186,B69)=0,0,SUMIFS('Specialisation Impact'!$F$19:$F$186,'Specialisation Impact'!$A$19:$A$186,A69,'Specialisation Impact'!$B$19:$B$186,B69))</x:f>
        <x:v>1</x:v>
      </x:c>
    </x:row>
    <x:row r="70">
      <x:c r="A70" s="572" t="str">
        <x:v>K116</x:v>
      </x:c>
      <x:c r="B70" s="572" t="str">
        <x:v>逍遥浪四月</x:v>
      </x:c>
      <x:c r="C70" s="576" t="n">
        <x:f>IF($A70="","",AVERAGE(100*((COUNTIF('All Stats'!$D$6:$D$172,"&lt;"&amp;'All Stats'!D70)+(COUNTIF('All Stats'!$D$6:$D$172,'All Stats'!D70)-1)/2)/(COUNT('All Stats'!$D$6:$D$172)-1))^'Specialisation Scenarios'!$X$10,100*((COUNTIF('All Stats'!$G$6:$G$172,"&lt;"&amp;'All Stats'!G70)+(COUNTIF('All Stats'!$G$6:$G$172,'All Stats'!G70)-1)/2)/(COUNT('All Stats'!$G$6:$G$172)-1))^'Specialisation Scenarios'!$X$10,100*((COUNTIF('All Stats'!$I$6:$I$172,"&lt;"&amp;'All Stats'!I70)+(COUNTIF('All Stats'!$I$6:$I$172,'All Stats'!I70)-1)/2)/(COUNT('All Stats'!$I$6:$I$172)-1))^'Specialisation Scenarios'!$X$10))</x:f>
        <x:v>13.59809653950253</x:v>
      </x:c>
      <x:c r="D70" s="576" t="n">
        <x:f>IF($A70="","",AVERAGE(100*((COUNTIF('All Stats'!$R$6:$R$172,"&lt;"&amp;'All Stats'!R70)+(COUNTIF('All Stats'!$R$6:$R$172,'All Stats'!R70)-1)/2)/(COUNT('All Stats'!$R$6:$R$172)-1))^'Specialisation Scenarios'!$X$10,100*((COUNTIF('All Stats'!$U$6:$U$172,"&lt;"&amp;'All Stats'!U70)+(COUNTIF('All Stats'!$U$6:$U$172,'All Stats'!U70)-1)/2)/(COUNT('All Stats'!$U$6:$U$172)-1))^'Specialisation Scenarios'!$X$10,100*((COUNTIF('All Stats'!$W$6:$W$172,"&lt;"&amp;'All Stats'!W70)+(COUNTIF('All Stats'!$W$6:$W$172,'All Stats'!W70)-1)/2)/(COUNT('All Stats'!$W$6:$W$172)-1))^'Specialisation Scenarios'!$X$10))</x:f>
        <x:v>23.27754991228098</x:v>
      </x:c>
      <x:c r="E70" s="576" t="n">
        <x:f>IF($A70="","",AVERAGE(100*((COUNTIF('All Stats'!$Y$6:$Y$172,"&lt;"&amp;'All Stats'!Y70)+(COUNTIF('All Stats'!$Y$6:$Y$172,'All Stats'!Y70)-1)/2)/(COUNT('All Stats'!$Y$6:$Y$172)-1))^'Specialisation Scenarios'!$X$10,100*((COUNTIF('All Stats'!$AB$6:$AB$172,"&lt;"&amp;'All Stats'!AB70)+(COUNTIF('All Stats'!$AB$6:$AB$172,'All Stats'!AB70)-1)/2)/(COUNT('All Stats'!$AB$6:$AB$172)-1))^'Specialisation Scenarios'!$X$10,100*((COUNTIF('All Stats'!$AD$6:$AD$172,"&lt;"&amp;'All Stats'!AD70)+(COUNTIF('All Stats'!$AD$6:$AD$172,'All Stats'!AD70)-1)/2)/(COUNT('All Stats'!$AD$6:$AD$172)-1))^'Specialisation Scenarios'!$X$10))</x:f>
        <x:v>4.671636961632745</x:v>
      </x:c>
      <x:c r="F70" s="576" t="n">
        <x:f>IF($A70="","",AVERAGE(100*((COUNTIF('All Stats'!$AF$6:$AF$172,"&lt;"&amp;'All Stats'!AF70)+(COUNTIF('All Stats'!$AF$6:$AF$172,'All Stats'!AF70)-1)/2)/(COUNT('All Stats'!$AF$6:$AF$172)-1))^'Specialisation Scenarios'!$X$10,100*((COUNTIF('All Stats'!$AI$6:$AI$172,"&lt;"&amp;'All Stats'!AI70)+(COUNTIF('All Stats'!$AI$6:$AI$172,'All Stats'!AI70)-1)/2)/(COUNT('All Stats'!$AI$6:$AI$172)-1))^'Specialisation Scenarios'!$X$10,100*((COUNTIF('All Stats'!$AK$6:$AK$172,"&lt;"&amp;'All Stats'!AK70)+(COUNTIF('All Stats'!$AK$6:$AK$172,'All Stats'!AK70)-1)/2)/(COUNT('All Stats'!$AK$6:$AK$172)-1))^'Specialisation Scenarios'!$X$10))</x:f>
        <x:v>21.866160338557595</x:v>
      </x:c>
      <x:c r="G70" s="576" t="n">
        <x:f>IF($A70="","",C70*'Specialisation Scenarios'!$X$11+D70*'Specialisation Scenarios'!$X$12+E70*'Specialisation Scenarios'!$X$13+F70*'Specialisation Scenarios'!$X$14)</x:f>
        <x:v>19.75333217524088</x:v>
      </x:c>
      <x:c r="H70" s="576" t="n">
        <x:f>IF(SUMIFS('Specialisation Impact'!$E$19:$E$186,'Specialisation Impact'!$A$19:$A$186,A70,'Specialisation Impact'!$B$19:$B$186,B70)=0,"",SUMIFS('Specialisation Impact'!$S$19:$S$186,'Specialisation Impact'!$A$19:$A$186,A70,'Specialisation Impact'!$B$19:$B$186,B70))</x:f>
        <x:v>14.285714285714286</x:v>
      </x:c>
      <x:c r="I70" s="580" t="n">
        <x:f>IF(SUMIFS('Specialisation Impact'!$E$19:$E$186,'Specialisation Impact'!$A$19:$A$186,A70,'Specialisation Impact'!$B$19:$B$186,B70)=0,0,SUMIFS('Specialisation Impact'!$F$19:$F$186,'Specialisation Impact'!$A$19:$A$186,A70,'Specialisation Impact'!$B$19:$B$186,B70))</x:f>
        <x:v>1</x:v>
      </x:c>
      <x:c r="J70" s="576" t="n">
        <x:f>G70</x:f>
        <x:v>19.75333217524088</x:v>
      </x:c>
      <x:c r="K70" s="576" t="n">
        <x:f>IF(G70="","",IF(I70=0,G70,MAX(0,MIN(100,G70*(1-'Specialisation Scenarios'!$B$8*I70)+H70*('Specialisation Scenarios'!$B$8*I70)))))</x:f>
        <x:v>18.386427702859233</x:v>
      </x:c>
      <x:c r="L70" s="576" t="n">
        <x:f>IF(G70="","",IF(I70=0,G70,MAX(0,MIN(100,G70*(1-'Specialisation Scenarios'!$B$9*I70)+H70*('Specialisation Scenarios'!$B$9*I70)))))</x:f>
        <x:v>17.839665913906572</x:v>
      </x:c>
      <x:c r="M70" s="576" t="str">
        <x:f>IF(COUNTIFS('Tank &amp; Control'!$A$23:$A$189,A70,'Tank &amp; Control'!$B$23:$B$189,B70,'Tank &amp; Control'!$C$23:$C$189,"Yes")&gt;0,"Yes","No")</x:f>
        <x:v>No</x:v>
      </x:c>
      <x:c r="N70" s="576" t="str">
        <x:f>IF(M70&lt;&gt;"Yes","",SUMIFS('Tank &amp; Control'!$L$23:$L$189,'Tank &amp; Control'!$A$23:$A$189,A70,'Tank &amp; Control'!$B$23:$B$189,B70))</x:f>
      </x:c>
      <x:c r="O70" s="576" t="n">
        <x:f>IF(SUMIFS('Specialisation Impact'!$M$19:$M$186,'Specialisation Impact'!$A$19:$A$186,A70,'Specialisation Impact'!$B$19:$B$186,B70)=0,"",SUMIFS('Specialisation Impact'!$V$19:$V$186,'Specialisation Impact'!$A$19:$A$186,A70,'Specialisation Impact'!$B$19:$B$186,B70))</x:f>
        <x:v>29.48717948717949</x:v>
      </x:c>
      <x:c r="P70" s="576" t="str">
        <x:f>IF(N70="","",N70)</x:f>
      </x:c>
      <x:c r="Q70" s="576" t="str">
        <x:f>IF(N70="","",IF(AC70=0,N70,MAX(0,MIN(100,N70*(1-'Specialisation Scenarios'!$B$8*AC70)+O70*('Specialisation Scenarios'!$B$8*AC70)))))</x:f>
      </x:c>
      <x:c r="R70" s="576" t="str">
        <x:f>IF(N70="","",IF(AC70=0,N70,MAX(0,MIN(100,N70*(1-'Specialisation Scenarios'!$B$9*AC70)+O70*('Specialisation Scenarios'!$B$9*AC70)))))</x:f>
      </x:c>
      <x:c r="S70" s="584" t="n">
        <x:f>IF(J70="","",COUNTIFS($A$6:$A$172,A70,$J$6:$J$172,"&gt;"&amp;J70)+COUNTIFS($A$6:A70,A70,$J$6:J70,J70))</x:f>
        <x:v>13</x:v>
      </x:c>
      <x:c r="T70" s="584" t="n">
        <x:f>IF(K70="","",COUNTIFS($A$6:$A$172,A70,$K$6:$K$172,"&gt;"&amp;K70)+COUNTIFS($A$6:A70,A70,$K$6:K70,K70))</x:f>
        <x:v>14</x:v>
      </x:c>
      <x:c r="U70" s="584" t="n">
        <x:f>IF(L70="","",COUNTIFS($A$6:$A$172,A70,$L$6:$L$172,"&gt;"&amp;L70)+COUNTIFS($A$6:A70,A70,$L$6:L70,L70))</x:f>
        <x:v>14</x:v>
      </x:c>
      <x:c r="V70" s="584" t="str">
        <x:f>IF(P70="","",COUNTIFS($A$6:$A$172,A70,$P$6:$P$172,"&gt;"&amp;P70)+COUNTIFS($A$6:A70,A70,$P$6:P70,P70))</x:f>
      </x:c>
      <x:c r="W70" s="584" t="str">
        <x:f>IF(Q70="","",COUNTIFS($A$6:$A$172,A70,$Q$6:$Q$172,"&gt;"&amp;Q70)+COUNTIFS($A$6:A70,A70,$Q$6:Q70,Q70))</x:f>
      </x:c>
      <x:c r="X70" s="584" t="str">
        <x:f>IF(R70="","",COUNTIFS($A$6:$A$172,A70,$R$6:$R$172,"&gt;"&amp;R70)+COUNTIFS($A$6:A70,A70,$R$6:R70,R70))</x:f>
      </x:c>
      <x:c r="Y70" s="572" t="str">
        <x:f>IF(V70="","",A70&amp;"|"&amp;V70)</x:f>
      </x:c>
      <x:c r="Z70" s="572" t="str">
        <x:f>IF(W70="","",A70&amp;"|"&amp;W70)</x:f>
      </x:c>
      <x:c r="AA70" s="572" t="str">
        <x:f>IF(X70="","",A70&amp;"|"&amp;X70)</x:f>
      </x:c>
      <x:c r="AB70" s="572" t="str">
        <x:f>IF(A70="","",IF(I70=0,"Offense neutral — no recorded offensive skills",IF(I70&lt;1,"Partial lookup — adjustment scaled",IF(AND(M70="Yes",AC70=0),"Offense adjusted; Guard neutral","Captured"))))</x:f>
        <x:v>Captured</x:v>
      </x:c>
      <x:c r="AC70" s="580" t="n">
        <x:f>IF(SUMIFS('Specialisation Impact'!$M$19:$M$186,'Specialisation Impact'!$A$19:$A$186,A70,'Specialisation Impact'!$B$19:$B$186,B70)=0,0,SUMIFS('Specialisation Impact'!$F$19:$F$186,'Specialisation Impact'!$A$19:$A$186,A70,'Specialisation Impact'!$B$19:$B$186,B70))</x:f>
        <x:v>1</x:v>
      </x:c>
    </x:row>
    <x:row r="71">
      <x:c r="A71" s="571" t="str">
        <x:v>K138</x:v>
      </x:c>
      <x:c r="B71" s="571" t="str">
        <x:v>(RaW)༺博卡Ajax༻</x:v>
      </x:c>
      <x:c r="C71" s="575" t="n">
        <x:f>IF($A71="","",AVERAGE(100*((COUNTIF('All Stats'!$D$6:$D$172,"&lt;"&amp;'All Stats'!D71)+(COUNTIF('All Stats'!$D$6:$D$172,'All Stats'!D71)-1)/2)/(COUNT('All Stats'!$D$6:$D$172)-1))^'Specialisation Scenarios'!$X$10,100*((COUNTIF('All Stats'!$G$6:$G$172,"&lt;"&amp;'All Stats'!G71)+(COUNTIF('All Stats'!$G$6:$G$172,'All Stats'!G71)-1)/2)/(COUNT('All Stats'!$G$6:$G$172)-1))^'Specialisation Scenarios'!$X$10,100*((COUNTIF('All Stats'!$I$6:$I$172,"&lt;"&amp;'All Stats'!I71)+(COUNTIF('All Stats'!$I$6:$I$172,'All Stats'!I71)-1)/2)/(COUNT('All Stats'!$I$6:$I$172)-1))^'Specialisation Scenarios'!$X$10))</x:f>
        <x:v>72.95001451747989</x:v>
      </x:c>
      <x:c r="D71" s="575" t="n">
        <x:f>IF($A71="","",AVERAGE(100*((COUNTIF('All Stats'!$R$6:$R$172,"&lt;"&amp;'All Stats'!R71)+(COUNTIF('All Stats'!$R$6:$R$172,'All Stats'!R71)-1)/2)/(COUNT('All Stats'!$R$6:$R$172)-1))^'Specialisation Scenarios'!$X$10,100*((COUNTIF('All Stats'!$U$6:$U$172,"&lt;"&amp;'All Stats'!U71)+(COUNTIF('All Stats'!$U$6:$U$172,'All Stats'!U71)-1)/2)/(COUNT('All Stats'!$U$6:$U$172)-1))^'Specialisation Scenarios'!$X$10,100*((COUNTIF('All Stats'!$W$6:$W$172,"&lt;"&amp;'All Stats'!W71)+(COUNTIF('All Stats'!$W$6:$W$172,'All Stats'!W71)-1)/2)/(COUNT('All Stats'!$W$6:$W$172)-1))^'Specialisation Scenarios'!$X$10))</x:f>
        <x:v>59.440051865351556</x:v>
      </x:c>
      <x:c r="E71" s="575" t="n">
        <x:f>IF($A71="","",AVERAGE(100*((COUNTIF('All Stats'!$Y$6:$Y$172,"&lt;"&amp;'All Stats'!Y71)+(COUNTIF('All Stats'!$Y$6:$Y$172,'All Stats'!Y71)-1)/2)/(COUNT('All Stats'!$Y$6:$Y$172)-1))^'Specialisation Scenarios'!$X$10,100*((COUNTIF('All Stats'!$AB$6:$AB$172,"&lt;"&amp;'All Stats'!AB71)+(COUNTIF('All Stats'!$AB$6:$AB$172,'All Stats'!AB71)-1)/2)/(COUNT('All Stats'!$AB$6:$AB$172)-1))^'Specialisation Scenarios'!$X$10,100*((COUNTIF('All Stats'!$AD$6:$AD$172,"&lt;"&amp;'All Stats'!AD71)+(COUNTIF('All Stats'!$AD$6:$AD$172,'All Stats'!AD71)-1)/2)/(COUNT('All Stats'!$AD$6:$AD$172)-1))^'Specialisation Scenarios'!$X$10))</x:f>
        <x:v>33.55180762463802</x:v>
      </x:c>
      <x:c r="F71" s="575" t="n">
        <x:f>IF($A71="","",AVERAGE(100*((COUNTIF('All Stats'!$AF$6:$AF$172,"&lt;"&amp;'All Stats'!AF71)+(COUNTIF('All Stats'!$AF$6:$AF$172,'All Stats'!AF71)-1)/2)/(COUNT('All Stats'!$AF$6:$AF$172)-1))^'Specialisation Scenarios'!$X$10,100*((COUNTIF('All Stats'!$AI$6:$AI$172,"&lt;"&amp;'All Stats'!AI71)+(COUNTIF('All Stats'!$AI$6:$AI$172,'All Stats'!AI71)-1)/2)/(COUNT('All Stats'!$AI$6:$AI$172)-1))^'Specialisation Scenarios'!$X$10,100*((COUNTIF('All Stats'!$AK$6:$AK$172,"&lt;"&amp;'All Stats'!AK71)+(COUNTIF('All Stats'!$AK$6:$AK$172,'All Stats'!AK71)-1)/2)/(COUNT('All Stats'!$AK$6:$AK$172)-1))^'Specialisation Scenarios'!$X$10))</x:f>
        <x:v>72.09345377417752</x:v>
      </x:c>
      <x:c r="G71" s="575" t="n">
        <x:f>IF($A71="","",C71*'Specialisation Scenarios'!$X$11+D71*'Specialisation Scenarios'!$X$12+E71*'Specialisation Scenarios'!$X$13+F71*'Specialisation Scenarios'!$X$14)</x:f>
        <x:v>60.775732125423346</x:v>
      </x:c>
      <x:c r="H71" s="575" t="n">
        <x:f>IF(SUMIFS('Specialisation Impact'!$E$19:$E$186,'Specialisation Impact'!$A$19:$A$186,A71,'Specialisation Impact'!$B$19:$B$186,B71)=0,"",SUMIFS('Specialisation Impact'!$S$19:$S$186,'Specialisation Impact'!$A$19:$A$186,A71,'Specialisation Impact'!$B$19:$B$186,B71))</x:f>
        <x:v>80.77922077922078</x:v>
      </x:c>
      <x:c r="I71" s="579" t="n">
        <x:f>IF(SUMIFS('Specialisation Impact'!$E$19:$E$186,'Specialisation Impact'!$A$19:$A$186,A71,'Specialisation Impact'!$B$19:$B$186,B71)=0,0,SUMIFS('Specialisation Impact'!$F$19:$F$186,'Specialisation Impact'!$A$19:$A$186,A71,'Specialisation Impact'!$B$19:$B$186,B71))</x:f>
        <x:v>1</x:v>
      </x:c>
      <x:c r="J71" s="575" t="n">
        <x:f>G71</x:f>
        <x:v>60.775732125423346</x:v>
      </x:c>
      <x:c r="K71" s="575" t="n">
        <x:f>IF(G71="","",IF(I71=0,G71,MAX(0,MIN(100,G71*(1-'Specialisation Scenarios'!$B$8*I71)+H71*('Specialisation Scenarios'!$B$8*I71)))))</x:f>
        <x:v>65.7766042888727</x:v>
      </x:c>
      <x:c r="L71" s="575" t="n">
        <x:f>IF(G71="","",IF(I71=0,G71,MAX(0,MIN(100,G71*(1-'Specialisation Scenarios'!$B$9*I71)+H71*('Specialisation Scenarios'!$B$9*I71)))))</x:f>
        <x:v>67.77695315425244</x:v>
      </x:c>
      <x:c r="M71" s="575" t="str">
        <x:f>IF(COUNTIFS('Tank &amp; Control'!$A$23:$A$189,A71,'Tank &amp; Control'!$B$23:$B$189,B71,'Tank &amp; Control'!$C$23:$C$189,"Yes")&gt;0,"Yes","No")</x:f>
        <x:v>Yes</x:v>
      </x:c>
      <x:c r="N71" s="575" t="n">
        <x:f>IF(M71&lt;&gt;"Yes","",SUMIFS('Tank &amp; Control'!$L$23:$L$189,'Tank &amp; Control'!$A$23:$A$189,A71,'Tank &amp; Control'!$B$23:$B$189,B71))</x:f>
        <x:v>23.614921870225167</x:v>
      </x:c>
      <x:c r="O71" s="575" t="n">
        <x:f>IF(SUMIFS('Specialisation Impact'!$M$19:$M$186,'Specialisation Impact'!$A$19:$A$186,A71,'Specialisation Impact'!$B$19:$B$186,B71)=0,"",SUMIFS('Specialisation Impact'!$V$19:$V$186,'Specialisation Impact'!$A$19:$A$186,A71,'Specialisation Impact'!$B$19:$B$186,B71))</x:f>
        <x:v>93.16239316239316</x:v>
      </x:c>
      <x:c r="P71" s="575" t="n">
        <x:f>IF(N71="","",N71)</x:f>
        <x:v>23.614921870225167</x:v>
      </x:c>
      <x:c r="Q71" s="575" t="n">
        <x:f>IF(N71="","",IF(AC71=0,N71,MAX(0,MIN(100,N71*(1-'Specialisation Scenarios'!$B$8*AC71)+O71*('Specialisation Scenarios'!$B$8*AC71)))))</x:f>
        <x:v>41.00178969326716</x:v>
      </x:c>
      <x:c r="R71" s="575" t="n">
        <x:f>IF(N71="","",IF(AC71=0,N71,MAX(0,MIN(100,N71*(1-'Specialisation Scenarios'!$B$9*AC71)+O71*('Specialisation Scenarios'!$B$9*AC71)))))</x:f>
        <x:v>47.95653682248396</x:v>
      </x:c>
      <x:c r="S71" s="583" t="n">
        <x:f>IF(J71="","",COUNTIFS($A$6:$A$172,A71,$J$6:$J$172,"&gt;"&amp;J71)+COUNTIFS($A$6:A71,A71,$J$6:J71,J71))</x:f>
        <x:v>4</x:v>
      </x:c>
      <x:c r="T71" s="583" t="n">
        <x:f>IF(K71="","",COUNTIFS($A$6:$A$172,A71,$K$6:$K$172,"&gt;"&amp;K71)+COUNTIFS($A$6:A71,A71,$K$6:K71,K71))</x:f>
        <x:v>3</x:v>
      </x:c>
      <x:c r="U71" s="583" t="n">
        <x:f>IF(L71="","",COUNTIFS($A$6:$A$172,A71,$L$6:$L$172,"&gt;"&amp;L71)+COUNTIFS($A$6:A71,A71,$L$6:L71,L71))</x:f>
        <x:v>3</x:v>
      </x:c>
      <x:c r="V71" s="583" t="n">
        <x:f>IF(P71="","",COUNTIFS($A$6:$A$172,A71,$P$6:$P$172,"&gt;"&amp;P71)+COUNTIFS($A$6:A71,A71,$P$6:P71,P71))</x:f>
        <x:v>2</x:v>
      </x:c>
      <x:c r="W71" s="583" t="n">
        <x:f>IF(Q71="","",COUNTIFS($A$6:$A$172,A71,$Q$6:$Q$172,"&gt;"&amp;Q71)+COUNTIFS($A$6:A71,A71,$Q$6:Q71,Q71))</x:f>
        <x:v>2</x:v>
      </x:c>
      <x:c r="X71" s="583" t="n">
        <x:f>IF(R71="","",COUNTIFS($A$6:$A$172,A71,$R$6:$R$172,"&gt;"&amp;R71)+COUNTIFS($A$6:A71,A71,$R$6:R71,R71))</x:f>
        <x:v>2</x:v>
      </x:c>
      <x:c r="Y71" s="571" t="str">
        <x:f>IF(V71="","",A71&amp;"|"&amp;V71)</x:f>
        <x:v>K138|2</x:v>
      </x:c>
      <x:c r="Z71" s="571" t="str">
        <x:f>IF(W71="","",A71&amp;"|"&amp;W71)</x:f>
        <x:v>K138|2</x:v>
      </x:c>
      <x:c r="AA71" s="571" t="str">
        <x:f>IF(X71="","",A71&amp;"|"&amp;X71)</x:f>
        <x:v>K138|2</x:v>
      </x:c>
      <x:c r="AB71" s="571" t="str">
        <x:f>IF(A71="","",IF(I71=0,"Offense neutral — no recorded offensive skills",IF(I71&lt;1,"Partial lookup — adjustment scaled",IF(AND(M71="Yes",AC71=0),"Offense adjusted; Guard neutral","Captured"))))</x:f>
        <x:v>Captured</x:v>
      </x:c>
      <x:c r="AC71" s="579" t="n">
        <x:f>IF(SUMIFS('Specialisation Impact'!$M$19:$M$186,'Specialisation Impact'!$A$19:$A$186,A71,'Specialisation Impact'!$B$19:$B$186,B71)=0,0,SUMIFS('Specialisation Impact'!$F$19:$F$186,'Specialisation Impact'!$A$19:$A$186,A71,'Specialisation Impact'!$B$19:$B$186,B71))</x:f>
        <x:v>1</x:v>
      </x:c>
    </x:row>
    <x:row r="72">
      <x:c r="A72" s="572" t="str">
        <x:v>K138</x:v>
      </x:c>
      <x:c r="B72" s="572" t="str">
        <x:v>(RaW)Venom毒液</x:v>
      </x:c>
      <x:c r="C72" s="576" t="n">
        <x:f>IF($A72="","",AVERAGE(100*((COUNTIF('All Stats'!$D$6:$D$172,"&lt;"&amp;'All Stats'!D72)+(COUNTIF('All Stats'!$D$6:$D$172,'All Stats'!D72)-1)/2)/(COUNT('All Stats'!$D$6:$D$172)-1))^'Specialisation Scenarios'!$X$10,100*((COUNTIF('All Stats'!$G$6:$G$172,"&lt;"&amp;'All Stats'!G72)+(COUNTIF('All Stats'!$G$6:$G$172,'All Stats'!G72)-1)/2)/(COUNT('All Stats'!$G$6:$G$172)-1))^'Specialisation Scenarios'!$X$10,100*((COUNTIF('All Stats'!$I$6:$I$172,"&lt;"&amp;'All Stats'!I72)+(COUNTIF('All Stats'!$I$6:$I$172,'All Stats'!I72)-1)/2)/(COUNT('All Stats'!$I$6:$I$172)-1))^'Specialisation Scenarios'!$X$10))</x:f>
        <x:v>3.494155966780554</x:v>
      </x:c>
      <x:c r="D72" s="576" t="n">
        <x:f>IF($A72="","",AVERAGE(100*((COUNTIF('All Stats'!$R$6:$R$172,"&lt;"&amp;'All Stats'!R72)+(COUNTIF('All Stats'!$R$6:$R$172,'All Stats'!R72)-1)/2)/(COUNT('All Stats'!$R$6:$R$172)-1))^'Specialisation Scenarios'!$X$10,100*((COUNTIF('All Stats'!$U$6:$U$172,"&lt;"&amp;'All Stats'!U72)+(COUNTIF('All Stats'!$U$6:$U$172,'All Stats'!U72)-1)/2)/(COUNT('All Stats'!$U$6:$U$172)-1))^'Specialisation Scenarios'!$X$10,100*((COUNTIF('All Stats'!$W$6:$W$172,"&lt;"&amp;'All Stats'!W72)+(COUNTIF('All Stats'!$W$6:$W$172,'All Stats'!W72)-1)/2)/(COUNT('All Stats'!$W$6:$W$172)-1))^'Specialisation Scenarios'!$X$10))</x:f>
        <x:v>6.518886322945748</x:v>
      </x:c>
      <x:c r="E72" s="576" t="n">
        <x:f>IF($A72="","",AVERAGE(100*((COUNTIF('All Stats'!$Y$6:$Y$172,"&lt;"&amp;'All Stats'!Y72)+(COUNTIF('All Stats'!$Y$6:$Y$172,'All Stats'!Y72)-1)/2)/(COUNT('All Stats'!$Y$6:$Y$172)-1))^'Specialisation Scenarios'!$X$10,100*((COUNTIF('All Stats'!$AB$6:$AB$172,"&lt;"&amp;'All Stats'!AB72)+(COUNTIF('All Stats'!$AB$6:$AB$172,'All Stats'!AB72)-1)/2)/(COUNT('All Stats'!$AB$6:$AB$172)-1))^'Specialisation Scenarios'!$X$10,100*((COUNTIF('All Stats'!$AD$6:$AD$172,"&lt;"&amp;'All Stats'!AD72)+(COUNTIF('All Stats'!$AD$6:$AD$172,'All Stats'!AD72)-1)/2)/(COUNT('All Stats'!$AD$6:$AD$172)-1))^'Specialisation Scenarios'!$X$10))</x:f>
        <x:v>29.40727229329049</x:v>
      </x:c>
      <x:c r="F72" s="576" t="n">
        <x:f>IF($A72="","",AVERAGE(100*((COUNTIF('All Stats'!$AF$6:$AF$172,"&lt;"&amp;'All Stats'!AF72)+(COUNTIF('All Stats'!$AF$6:$AF$172,'All Stats'!AF72)-1)/2)/(COUNT('All Stats'!$AF$6:$AF$172)-1))^'Specialisation Scenarios'!$X$10,100*((COUNTIF('All Stats'!$AI$6:$AI$172,"&lt;"&amp;'All Stats'!AI72)+(COUNTIF('All Stats'!$AI$6:$AI$172,'All Stats'!AI72)-1)/2)/(COUNT('All Stats'!$AI$6:$AI$172)-1))^'Specialisation Scenarios'!$X$10,100*((COUNTIF('All Stats'!$AK$6:$AK$172,"&lt;"&amp;'All Stats'!AK72)+(COUNTIF('All Stats'!$AK$6:$AK$172,'All Stats'!AK72)-1)/2)/(COUNT('All Stats'!$AK$6:$AK$172)-1))^'Specialisation Scenarios'!$X$10))</x:f>
        <x:v>11.253837581158535</x:v>
      </x:c>
      <x:c r="G72" s="576" t="n">
        <x:f>IF($A72="","",C72*'Specialisation Scenarios'!$X$11+D72*'Specialisation Scenarios'!$X$12+E72*'Specialisation Scenarios'!$X$13+F72*'Specialisation Scenarios'!$X$14)</x:f>
        <x:v>9.064258055287361</x:v>
      </x:c>
      <x:c r="H72" s="576" t="n">
        <x:f>IF(SUMIFS('Specialisation Impact'!$E$19:$E$186,'Specialisation Impact'!$A$19:$A$186,A72,'Specialisation Impact'!$B$19:$B$186,B72)=0,"",SUMIFS('Specialisation Impact'!$S$19:$S$186,'Specialisation Impact'!$A$19:$A$186,A72,'Specialisation Impact'!$B$19:$B$186,B72))</x:f>
        <x:v>1.948051948051948</x:v>
      </x:c>
      <x:c r="I72" s="580" t="n">
        <x:f>IF(SUMIFS('Specialisation Impact'!$E$19:$E$186,'Specialisation Impact'!$A$19:$A$186,A72,'Specialisation Impact'!$B$19:$B$186,B72)=0,0,SUMIFS('Specialisation Impact'!$F$19:$F$186,'Specialisation Impact'!$A$19:$A$186,A72,'Specialisation Impact'!$B$19:$B$186,B72))</x:f>
        <x:v>1</x:v>
      </x:c>
      <x:c r="J72" s="576" t="n">
        <x:f>G72</x:f>
        <x:v>9.064258055287361</x:v>
      </x:c>
      <x:c r="K72" s="576" t="n">
        <x:f>IF(G72="","",IF(I72=0,G72,MAX(0,MIN(100,G72*(1-'Specialisation Scenarios'!$B$8*I72)+H72*('Specialisation Scenarios'!$B$8*I72)))))</x:f>
        <x:v>7.285206528478508</x:v>
      </x:c>
      <x:c r="L72" s="576" t="n">
        <x:f>IF(G72="","",IF(I72=0,G72,MAX(0,MIN(100,G72*(1-'Specialisation Scenarios'!$B$9*I72)+H72*('Specialisation Scenarios'!$B$9*I72)))))</x:f>
        <x:v>6.573585917754967</x:v>
      </x:c>
      <x:c r="M72" s="576" t="str">
        <x:f>IF(COUNTIFS('Tank &amp; Control'!$A$23:$A$189,A72,'Tank &amp; Control'!$B$23:$B$189,B72,'Tank &amp; Control'!$C$23:$C$189,"Yes")&gt;0,"Yes","No")</x:f>
        <x:v>No</x:v>
      </x:c>
      <x:c r="N72" s="576" t="str">
        <x:f>IF(M72&lt;&gt;"Yes","",SUMIFS('Tank &amp; Control'!$L$23:$L$189,'Tank &amp; Control'!$A$23:$A$189,A72,'Tank &amp; Control'!$B$23:$B$189,B72))</x:f>
      </x:c>
      <x:c r="O72" s="576" t="n">
        <x:f>IF(SUMIFS('Specialisation Impact'!$M$19:$M$186,'Specialisation Impact'!$A$19:$A$186,A72,'Specialisation Impact'!$B$19:$B$186,B72)=0,"",SUMIFS('Specialisation Impact'!$V$19:$V$186,'Specialisation Impact'!$A$19:$A$186,A72,'Specialisation Impact'!$B$19:$B$186,B72))</x:f>
        <x:v>84.18803418803418</x:v>
      </x:c>
      <x:c r="P72" s="576" t="str">
        <x:f>IF(N72="","",N72)</x:f>
      </x:c>
      <x:c r="Q72" s="576" t="str">
        <x:f>IF(N72="","",IF(AC72=0,N72,MAX(0,MIN(100,N72*(1-'Specialisation Scenarios'!$B$8*AC72)+O72*('Specialisation Scenarios'!$B$8*AC72)))))</x:f>
      </x:c>
      <x:c r="R72" s="576" t="str">
        <x:f>IF(N72="","",IF(AC72=0,N72,MAX(0,MIN(100,N72*(1-'Specialisation Scenarios'!$B$9*AC72)+O72*('Specialisation Scenarios'!$B$9*AC72)))))</x:f>
      </x:c>
      <x:c r="S72" s="584" t="n">
        <x:f>IF(J72="","",COUNTIFS($A$6:$A$172,A72,$J$6:$J$172,"&gt;"&amp;J72)+COUNTIFS($A$6:A72,A72,$J$6:J72,J72))</x:f>
        <x:v>23</x:v>
      </x:c>
      <x:c r="T72" s="584" t="n">
        <x:f>IF(K72="","",COUNTIFS($A$6:$A$172,A72,$K$6:$K$172,"&gt;"&amp;K72)+COUNTIFS($A$6:A72,A72,$K$6:K72,K72))</x:f>
        <x:v>23</x:v>
      </x:c>
      <x:c r="U72" s="584" t="n">
        <x:f>IF(L72="","",COUNTIFS($A$6:$A$172,A72,$L$6:$L$172,"&gt;"&amp;L72)+COUNTIFS($A$6:A72,A72,$L$6:L72,L72))</x:f>
        <x:v>23</x:v>
      </x:c>
      <x:c r="V72" s="584" t="str">
        <x:f>IF(P72="","",COUNTIFS($A$6:$A$172,A72,$P$6:$P$172,"&gt;"&amp;P72)+COUNTIFS($A$6:A72,A72,$P$6:P72,P72))</x:f>
      </x:c>
      <x:c r="W72" s="584" t="str">
        <x:f>IF(Q72="","",COUNTIFS($A$6:$A$172,A72,$Q$6:$Q$172,"&gt;"&amp;Q72)+COUNTIFS($A$6:A72,A72,$Q$6:Q72,Q72))</x:f>
      </x:c>
      <x:c r="X72" s="584" t="str">
        <x:f>IF(R72="","",COUNTIFS($A$6:$A$172,A72,$R$6:$R$172,"&gt;"&amp;R72)+COUNTIFS($A$6:A72,A72,$R$6:R72,R72))</x:f>
      </x:c>
      <x:c r="Y72" s="572" t="str">
        <x:f>IF(V72="","",A72&amp;"|"&amp;V72)</x:f>
      </x:c>
      <x:c r="Z72" s="572" t="str">
        <x:f>IF(W72="","",A72&amp;"|"&amp;W72)</x:f>
      </x:c>
      <x:c r="AA72" s="572" t="str">
        <x:f>IF(X72="","",A72&amp;"|"&amp;X72)</x:f>
      </x:c>
      <x:c r="AB72" s="572" t="str">
        <x:f>IF(A72="","",IF(I72=0,"Offense neutral — no recorded offensive skills",IF(I72&lt;1,"Partial lookup — adjustment scaled",IF(AND(M72="Yes",AC72=0),"Offense adjusted; Guard neutral","Captured"))))</x:f>
        <x:v>Captured</x:v>
      </x:c>
      <x:c r="AC72" s="580" t="n">
        <x:f>IF(SUMIFS('Specialisation Impact'!$M$19:$M$186,'Specialisation Impact'!$A$19:$A$186,A72,'Specialisation Impact'!$B$19:$B$186,B72)=0,0,SUMIFS('Specialisation Impact'!$F$19:$F$186,'Specialisation Impact'!$A$19:$A$186,A72,'Specialisation Impact'!$B$19:$B$186,B72))</x:f>
        <x:v>1</x:v>
      </x:c>
    </x:row>
    <x:row r="73">
      <x:c r="A73" s="571" t="str">
        <x:v>K138</x:v>
      </x:c>
      <x:c r="B73" s="571" t="str">
        <x:v>(RaW)༺JOJO༻</x:v>
      </x:c>
      <x:c r="C73" s="575" t="n">
        <x:f>IF($A73="","",AVERAGE(100*((COUNTIF('All Stats'!$D$6:$D$172,"&lt;"&amp;'All Stats'!D73)+(COUNTIF('All Stats'!$D$6:$D$172,'All Stats'!D73)-1)/2)/(COUNT('All Stats'!$D$6:$D$172)-1))^'Specialisation Scenarios'!$X$10,100*((COUNTIF('All Stats'!$G$6:$G$172,"&lt;"&amp;'All Stats'!G73)+(COUNTIF('All Stats'!$G$6:$G$172,'All Stats'!G73)-1)/2)/(COUNT('All Stats'!$G$6:$G$172)-1))^'Specialisation Scenarios'!$X$10,100*((COUNTIF('All Stats'!$I$6:$I$172,"&lt;"&amp;'All Stats'!I73)+(COUNTIF('All Stats'!$I$6:$I$172,'All Stats'!I73)-1)/2)/(COUNT('All Stats'!$I$6:$I$172)-1))^'Specialisation Scenarios'!$X$10))</x:f>
        <x:v>29.488091495759974</x:v>
      </x:c>
      <x:c r="D73" s="575" t="n">
        <x:f>IF($A73="","",AVERAGE(100*((COUNTIF('All Stats'!$R$6:$R$172,"&lt;"&amp;'All Stats'!R73)+(COUNTIF('All Stats'!$R$6:$R$172,'All Stats'!R73)-1)/2)/(COUNT('All Stats'!$R$6:$R$172)-1))^'Specialisation Scenarios'!$X$10,100*((COUNTIF('All Stats'!$U$6:$U$172,"&lt;"&amp;'All Stats'!U73)+(COUNTIF('All Stats'!$U$6:$U$172,'All Stats'!U73)-1)/2)/(COUNT('All Stats'!$U$6:$U$172)-1))^'Specialisation Scenarios'!$X$10,100*((COUNTIF('All Stats'!$W$6:$W$172,"&lt;"&amp;'All Stats'!W73)+(COUNTIF('All Stats'!$W$6:$W$172,'All Stats'!W73)-1)/2)/(COUNT('All Stats'!$W$6:$W$172)-1))^'Specialisation Scenarios'!$X$10))</x:f>
        <x:v>31.38014715544283</x:v>
      </x:c>
      <x:c r="E73" s="575" t="n">
        <x:f>IF($A73="","",AVERAGE(100*((COUNTIF('All Stats'!$Y$6:$Y$172,"&lt;"&amp;'All Stats'!Y73)+(COUNTIF('All Stats'!$Y$6:$Y$172,'All Stats'!Y73)-1)/2)/(COUNT('All Stats'!$Y$6:$Y$172)-1))^'Specialisation Scenarios'!$X$10,100*((COUNTIF('All Stats'!$AB$6:$AB$172,"&lt;"&amp;'All Stats'!AB73)+(COUNTIF('All Stats'!$AB$6:$AB$172,'All Stats'!AB73)-1)/2)/(COUNT('All Stats'!$AB$6:$AB$172)-1))^'Specialisation Scenarios'!$X$10,100*((COUNTIF('All Stats'!$AD$6:$AD$172,"&lt;"&amp;'All Stats'!AD73)+(COUNTIF('All Stats'!$AD$6:$AD$172,'All Stats'!AD73)-1)/2)/(COUNT('All Stats'!$AD$6:$AD$172)-1))^'Specialisation Scenarios'!$X$10))</x:f>
        <x:v>26.194149449734407</x:v>
      </x:c>
      <x:c r="F73" s="575" t="n">
        <x:f>IF($A73="","",AVERAGE(100*((COUNTIF('All Stats'!$AF$6:$AF$172,"&lt;"&amp;'All Stats'!AF73)+(COUNTIF('All Stats'!$AF$6:$AF$172,'All Stats'!AF73)-1)/2)/(COUNT('All Stats'!$AF$6:$AF$172)-1))^'Specialisation Scenarios'!$X$10,100*((COUNTIF('All Stats'!$AI$6:$AI$172,"&lt;"&amp;'All Stats'!AI73)+(COUNTIF('All Stats'!$AI$6:$AI$172,'All Stats'!AI73)-1)/2)/(COUNT('All Stats'!$AI$6:$AI$172)-1))^'Specialisation Scenarios'!$X$10,100*((COUNTIF('All Stats'!$AK$6:$AK$172,"&lt;"&amp;'All Stats'!AK73)+(COUNTIF('All Stats'!$AK$6:$AK$172,'All Stats'!AK73)-1)/2)/(COUNT('All Stats'!$AK$6:$AK$172)-1))^'Specialisation Scenarios'!$X$10))</x:f>
        <x:v>30.311915757911972</x:v>
      </x:c>
      <x:c r="G73" s="575" t="n">
        <x:f>IF($A73="","",C73*'Specialisation Scenarios'!$X$11+D73*'Specialisation Scenarios'!$X$12+E73*'Specialisation Scenarios'!$X$13+F73*'Specialisation Scenarios'!$X$14)</x:f>
        <x:v>30.41750432628993</x:v>
      </x:c>
      <x:c r="H73" s="575" t="n">
        <x:f>IF(SUMIFS('Specialisation Impact'!$E$19:$E$186,'Specialisation Impact'!$A$19:$A$186,A73,'Specialisation Impact'!$B$19:$B$186,B73)=0,"",SUMIFS('Specialisation Impact'!$S$19:$S$186,'Specialisation Impact'!$A$19:$A$186,A73,'Specialisation Impact'!$B$19:$B$186,B73))</x:f>
        <x:v>17.337662337662337</x:v>
      </x:c>
      <x:c r="I73" s="579" t="n">
        <x:f>IF(SUMIFS('Specialisation Impact'!$E$19:$E$186,'Specialisation Impact'!$A$19:$A$186,A73,'Specialisation Impact'!$B$19:$B$186,B73)=0,0,SUMIFS('Specialisation Impact'!$F$19:$F$186,'Specialisation Impact'!$A$19:$A$186,A73,'Specialisation Impact'!$B$19:$B$186,B73))</x:f>
        <x:v>1</x:v>
      </x:c>
      <x:c r="J73" s="575" t="n">
        <x:f>G73</x:f>
        <x:v>30.41750432628993</x:v>
      </x:c>
      <x:c r="K73" s="575" t="n">
        <x:f>IF(G73="","",IF(I73=0,G73,MAX(0,MIN(100,G73*(1-'Specialisation Scenarios'!$B$8*I73)+H73*('Specialisation Scenarios'!$B$8*I73)))))</x:f>
        <x:v>27.14754382913303</x:v>
      </x:c>
      <x:c r="L73" s="575" t="n">
        <x:f>IF(G73="","",IF(I73=0,G73,MAX(0,MIN(100,G73*(1-'Specialisation Scenarios'!$B$9*I73)+H73*('Specialisation Scenarios'!$B$9*I73)))))</x:f>
        <x:v>25.839559630270273</x:v>
      </x:c>
      <x:c r="M73" s="575" t="str">
        <x:f>IF(COUNTIFS('Tank &amp; Control'!$A$23:$A$189,A73,'Tank &amp; Control'!$B$23:$B$189,B73,'Tank &amp; Control'!$C$23:$C$189,"Yes")&gt;0,"Yes","No")</x:f>
        <x:v>No</x:v>
      </x:c>
      <x:c r="N73" s="575" t="str">
        <x:f>IF(M73&lt;&gt;"Yes","",SUMIFS('Tank &amp; Control'!$L$23:$L$189,'Tank &amp; Control'!$A$23:$A$189,A73,'Tank &amp; Control'!$B$23:$B$189,B73))</x:f>
      </x:c>
      <x:c r="O73" s="575" t="n">
        <x:f>IF(SUMIFS('Specialisation Impact'!$M$19:$M$186,'Specialisation Impact'!$A$19:$A$186,A73,'Specialisation Impact'!$B$19:$B$186,B73)=0,"",SUMIFS('Specialisation Impact'!$V$19:$V$186,'Specialisation Impact'!$A$19:$A$186,A73,'Specialisation Impact'!$B$19:$B$186,B73))</x:f>
        <x:v>60.25641025641025</x:v>
      </x:c>
      <x:c r="P73" s="575" t="str">
        <x:f>IF(N73="","",N73)</x:f>
      </x:c>
      <x:c r="Q73" s="575" t="str">
        <x:f>IF(N73="","",IF(AC73=0,N73,MAX(0,MIN(100,N73*(1-'Specialisation Scenarios'!$B$8*AC73)+O73*('Specialisation Scenarios'!$B$8*AC73)))))</x:f>
      </x:c>
      <x:c r="R73" s="575" t="str">
        <x:f>IF(N73="","",IF(AC73=0,N73,MAX(0,MIN(100,N73*(1-'Specialisation Scenarios'!$B$9*AC73)+O73*('Specialisation Scenarios'!$B$9*AC73)))))</x:f>
      </x:c>
      <x:c r="S73" s="583" t="n">
        <x:f>IF(J73="","",COUNTIFS($A$6:$A$172,A73,$J$6:$J$172,"&gt;"&amp;J73)+COUNTIFS($A$6:A73,A73,$J$6:J73,J73))</x:f>
        <x:v>12</x:v>
      </x:c>
      <x:c r="T73" s="583" t="n">
        <x:f>IF(K73="","",COUNTIFS($A$6:$A$172,A73,$K$6:$K$172,"&gt;"&amp;K73)+COUNTIFS($A$6:A73,A73,$K$6:K73,K73))</x:f>
        <x:v>15</x:v>
      </x:c>
      <x:c r="U73" s="583" t="n">
        <x:f>IF(L73="","",COUNTIFS($A$6:$A$172,A73,$L$6:$L$172,"&gt;"&amp;L73)+COUNTIFS($A$6:A73,A73,$L$6:L73,L73))</x:f>
        <x:v>15</x:v>
      </x:c>
      <x:c r="V73" s="583" t="str">
        <x:f>IF(P73="","",COUNTIFS($A$6:$A$172,A73,$P$6:$P$172,"&gt;"&amp;P73)+COUNTIFS($A$6:A73,A73,$P$6:P73,P73))</x:f>
      </x:c>
      <x:c r="W73" s="583" t="str">
        <x:f>IF(Q73="","",COUNTIFS($A$6:$A$172,A73,$Q$6:$Q$172,"&gt;"&amp;Q73)+COUNTIFS($A$6:A73,A73,$Q$6:Q73,Q73))</x:f>
      </x:c>
      <x:c r="X73" s="583" t="str">
        <x:f>IF(R73="","",COUNTIFS($A$6:$A$172,A73,$R$6:$R$172,"&gt;"&amp;R73)+COUNTIFS($A$6:A73,A73,$R$6:R73,R73))</x:f>
      </x:c>
      <x:c r="Y73" s="571" t="str">
        <x:f>IF(V73="","",A73&amp;"|"&amp;V73)</x:f>
      </x:c>
      <x:c r="Z73" s="571" t="str">
        <x:f>IF(W73="","",A73&amp;"|"&amp;W73)</x:f>
      </x:c>
      <x:c r="AA73" s="571" t="str">
        <x:f>IF(X73="","",A73&amp;"|"&amp;X73)</x:f>
      </x:c>
      <x:c r="AB73" s="571" t="str">
        <x:f>IF(A73="","",IF(I73=0,"Offense neutral — no recorded offensive skills",IF(I73&lt;1,"Partial lookup — adjustment scaled",IF(AND(M73="Yes",AC73=0),"Offense adjusted; Guard neutral","Captured"))))</x:f>
        <x:v>Captured</x:v>
      </x:c>
      <x:c r="AC73" s="579" t="n">
        <x:f>IF(SUMIFS('Specialisation Impact'!$M$19:$M$186,'Specialisation Impact'!$A$19:$A$186,A73,'Specialisation Impact'!$B$19:$B$186,B73)=0,0,SUMIFS('Specialisation Impact'!$F$19:$F$186,'Specialisation Impact'!$A$19:$A$186,A73,'Specialisation Impact'!$B$19:$B$186,B73))</x:f>
        <x:v>1</x:v>
      </x:c>
    </x:row>
    <x:row r="74">
      <x:c r="A74" s="572" t="str">
        <x:v>K138</x:v>
      </x:c>
      <x:c r="B74" s="572" t="str">
        <x:v>(RaW)SLAP</x:v>
      </x:c>
      <x:c r="C74" s="576" t="n">
        <x:f>IF($A74="","",AVERAGE(100*((COUNTIF('All Stats'!$D$6:$D$172,"&lt;"&amp;'All Stats'!D74)+(COUNTIF('All Stats'!$D$6:$D$172,'All Stats'!D74)-1)/2)/(COUNT('All Stats'!$D$6:$D$172)-1))^'Specialisation Scenarios'!$X$10,100*((COUNTIF('All Stats'!$G$6:$G$172,"&lt;"&amp;'All Stats'!G74)+(COUNTIF('All Stats'!$G$6:$G$172,'All Stats'!G74)-1)/2)/(COUNT('All Stats'!$G$6:$G$172)-1))^'Specialisation Scenarios'!$X$10,100*((COUNTIF('All Stats'!$I$6:$I$172,"&lt;"&amp;'All Stats'!I74)+(COUNTIF('All Stats'!$I$6:$I$172,'All Stats'!I74)-1)/2)/(COUNT('All Stats'!$I$6:$I$172)-1))^'Specialisation Scenarios'!$X$10))</x:f>
        <x:v>72.32158149212891</x:v>
      </x:c>
      <x:c r="D74" s="576" t="n">
        <x:f>IF($A74="","",AVERAGE(100*((COUNTIF('All Stats'!$R$6:$R$172,"&lt;"&amp;'All Stats'!R74)+(COUNTIF('All Stats'!$R$6:$R$172,'All Stats'!R74)-1)/2)/(COUNT('All Stats'!$R$6:$R$172)-1))^'Specialisation Scenarios'!$X$10,100*((COUNTIF('All Stats'!$U$6:$U$172,"&lt;"&amp;'All Stats'!U74)+(COUNTIF('All Stats'!$U$6:$U$172,'All Stats'!U74)-1)/2)/(COUNT('All Stats'!$U$6:$U$172)-1))^'Specialisation Scenarios'!$X$10,100*((COUNTIF('All Stats'!$W$6:$W$172,"&lt;"&amp;'All Stats'!W74)+(COUNTIF('All Stats'!$W$6:$W$172,'All Stats'!W74)-1)/2)/(COUNT('All Stats'!$W$6:$W$172)-1))^'Specialisation Scenarios'!$X$10))</x:f>
        <x:v>78.3885247653843</x:v>
      </x:c>
      <x:c r="E74" s="576" t="n">
        <x:f>IF($A74="","",AVERAGE(100*((COUNTIF('All Stats'!$Y$6:$Y$172,"&lt;"&amp;'All Stats'!Y74)+(COUNTIF('All Stats'!$Y$6:$Y$172,'All Stats'!Y74)-1)/2)/(COUNT('All Stats'!$Y$6:$Y$172)-1))^'Specialisation Scenarios'!$X$10,100*((COUNTIF('All Stats'!$AB$6:$AB$172,"&lt;"&amp;'All Stats'!AB74)+(COUNTIF('All Stats'!$AB$6:$AB$172,'All Stats'!AB74)-1)/2)/(COUNT('All Stats'!$AB$6:$AB$172)-1))^'Specialisation Scenarios'!$X$10,100*((COUNTIF('All Stats'!$AD$6:$AD$172,"&lt;"&amp;'All Stats'!AD74)+(COUNTIF('All Stats'!$AD$6:$AD$172,'All Stats'!AD74)-1)/2)/(COUNT('All Stats'!$AD$6:$AD$172)-1))^'Specialisation Scenarios'!$X$10))</x:f>
        <x:v>69.44600496739363</x:v>
      </x:c>
      <x:c r="F74" s="576" t="n">
        <x:f>IF($A74="","",AVERAGE(100*((COUNTIF('All Stats'!$AF$6:$AF$172,"&lt;"&amp;'All Stats'!AF74)+(COUNTIF('All Stats'!$AF$6:$AF$172,'All Stats'!AF74)-1)/2)/(COUNT('All Stats'!$AF$6:$AF$172)-1))^'Specialisation Scenarios'!$X$10,100*((COUNTIF('All Stats'!$AI$6:$AI$172,"&lt;"&amp;'All Stats'!AI74)+(COUNTIF('All Stats'!$AI$6:$AI$172,'All Stats'!AI74)-1)/2)/(COUNT('All Stats'!$AI$6:$AI$172)-1))^'Specialisation Scenarios'!$X$10,100*((COUNTIF('All Stats'!$AK$6:$AK$172,"&lt;"&amp;'All Stats'!AK74)+(COUNTIF('All Stats'!$AK$6:$AK$172,'All Stats'!AK74)-1)/2)/(COUNT('All Stats'!$AK$6:$AK$172)-1))^'Specialisation Scenarios'!$X$10))</x:f>
        <x:v>86.44531206879937</x:v>
      </x:c>
      <x:c r="G74" s="576" t="n">
        <x:f>IF($A74="","",C74*'Specialisation Scenarios'!$X$11+D74*'Specialisation Scenarios'!$X$12+E74*'Specialisation Scenarios'!$X$13+F74*'Specialisation Scenarios'!$X$14)</x:f>
        <x:v>77.7927493901092</x:v>
      </x:c>
      <x:c r="H74" s="576" t="n">
        <x:f>IF(SUMIFS('Specialisation Impact'!$E$19:$E$186,'Specialisation Impact'!$A$19:$A$186,A74,'Specialisation Impact'!$B$19:$B$186,B74)=0,"",SUMIFS('Specialisation Impact'!$S$19:$S$186,'Specialisation Impact'!$A$19:$A$186,A74,'Specialisation Impact'!$B$19:$B$186,B74))</x:f>
        <x:v>89.35064935064935</x:v>
      </x:c>
      <x:c r="I74" s="580" t="n">
        <x:f>IF(SUMIFS('Specialisation Impact'!$E$19:$E$186,'Specialisation Impact'!$A$19:$A$186,A74,'Specialisation Impact'!$B$19:$B$186,B74)=0,0,SUMIFS('Specialisation Impact'!$F$19:$F$186,'Specialisation Impact'!$A$19:$A$186,A74,'Specialisation Impact'!$B$19:$B$186,B74))</x:f>
        <x:v>1</x:v>
      </x:c>
      <x:c r="J74" s="576" t="n">
        <x:f>G74</x:f>
        <x:v>77.7927493901092</x:v>
      </x:c>
      <x:c r="K74" s="576" t="n">
        <x:f>IF(G74="","",IF(I74=0,G74,MAX(0,MIN(100,G74*(1-'Specialisation Scenarios'!$B$8*I74)+H74*('Specialisation Scenarios'!$B$8*I74)))))</x:f>
        <x:v>80.68222438024424</x:v>
      </x:c>
      <x:c r="L74" s="576" t="n">
        <x:f>IF(G74="","",IF(I74=0,G74,MAX(0,MIN(100,G74*(1-'Specialisation Scenarios'!$B$9*I74)+H74*('Specialisation Scenarios'!$B$9*I74)))))</x:f>
        <x:v>81.83801437629825</x:v>
      </x:c>
      <x:c r="M74" s="576" t="str">
        <x:f>IF(COUNTIFS('Tank &amp; Control'!$A$23:$A$189,A74,'Tank &amp; Control'!$B$23:$B$189,B74,'Tank &amp; Control'!$C$23:$C$189,"Yes")&gt;0,"Yes","No")</x:f>
        <x:v>Yes</x:v>
      </x:c>
      <x:c r="N74" s="576" t="n">
        <x:f>IF(M74&lt;&gt;"Yes","",SUMIFS('Tank &amp; Control'!$L$23:$L$189,'Tank &amp; Control'!$A$23:$A$189,A74,'Tank &amp; Control'!$B$23:$B$189,B74))</x:f>
        <x:v>11.283666155730732</x:v>
      </x:c>
      <x:c r="O74" s="576" t="str">
        <x:f>IF(SUMIFS('Specialisation Impact'!$M$19:$M$186,'Specialisation Impact'!$A$19:$A$186,A74,'Specialisation Impact'!$B$19:$B$186,B74)=0,"",SUMIFS('Specialisation Impact'!$V$19:$V$186,'Specialisation Impact'!$A$19:$A$186,A74,'Specialisation Impact'!$B$19:$B$186,B74))</x:f>
      </x:c>
      <x:c r="P74" s="576" t="n">
        <x:f>IF(N74="","",N74)</x:f>
        <x:v>11.283666155730732</x:v>
      </x:c>
      <x:c r="Q74" s="576" t="n">
        <x:f>IF(N74="","",IF(AC74=0,N74,MAX(0,MIN(100,N74*(1-'Specialisation Scenarios'!$B$8*AC74)+O74*('Specialisation Scenarios'!$B$8*AC74)))))</x:f>
        <x:v>11.283666155730732</x:v>
      </x:c>
      <x:c r="R74" s="576" t="n">
        <x:f>IF(N74="","",IF(AC74=0,N74,MAX(0,MIN(100,N74*(1-'Specialisation Scenarios'!$B$9*AC74)+O74*('Specialisation Scenarios'!$B$9*AC74)))))</x:f>
        <x:v>11.283666155730732</x:v>
      </x:c>
      <x:c r="S74" s="584" t="n">
        <x:f>IF(J74="","",COUNTIFS($A$6:$A$172,A74,$J$6:$J$172,"&gt;"&amp;J74)+COUNTIFS($A$6:A74,A74,$J$6:J74,J74))</x:f>
        <x:v>2</x:v>
      </x:c>
      <x:c r="T74" s="584" t="n">
        <x:f>IF(K74="","",COUNTIFS($A$6:$A$172,A74,$K$6:$K$172,"&gt;"&amp;K74)+COUNTIFS($A$6:A74,A74,$K$6:K74,K74))</x:f>
        <x:v>2</x:v>
      </x:c>
      <x:c r="U74" s="584" t="n">
        <x:f>IF(L74="","",COUNTIFS($A$6:$A$172,A74,$L$6:$L$172,"&gt;"&amp;L74)+COUNTIFS($A$6:A74,A74,$L$6:L74,L74))</x:f>
        <x:v>2</x:v>
      </x:c>
      <x:c r="V74" s="584" t="n">
        <x:f>IF(P74="","",COUNTIFS($A$6:$A$172,A74,$P$6:$P$172,"&gt;"&amp;P74)+COUNTIFS($A$6:A74,A74,$P$6:P74,P74))</x:f>
        <x:v>5</x:v>
      </x:c>
      <x:c r="W74" s="584" t="n">
        <x:f>IF(Q74="","",COUNTIFS($A$6:$A$172,A74,$Q$6:$Q$172,"&gt;"&amp;Q74)+COUNTIFS($A$6:A74,A74,$Q$6:Q74,Q74))</x:f>
        <x:v>5</x:v>
      </x:c>
      <x:c r="X74" s="584" t="n">
        <x:f>IF(R74="","",COUNTIFS($A$6:$A$172,A74,$R$6:$R$172,"&gt;"&amp;R74)+COUNTIFS($A$6:A74,A74,$R$6:R74,R74))</x:f>
        <x:v>5</x:v>
      </x:c>
      <x:c r="Y74" s="572" t="str">
        <x:f>IF(V74="","",A74&amp;"|"&amp;V74)</x:f>
        <x:v>K138|5</x:v>
      </x:c>
      <x:c r="Z74" s="572" t="str">
        <x:f>IF(W74="","",A74&amp;"|"&amp;W74)</x:f>
        <x:v>K138|5</x:v>
      </x:c>
      <x:c r="AA74" s="572" t="str">
        <x:f>IF(X74="","",A74&amp;"|"&amp;X74)</x:f>
        <x:v>K138|5</x:v>
      </x:c>
      <x:c r="AB74" s="572" t="str">
        <x:f>IF(A74="","",IF(I74=0,"Offense neutral — no recorded offensive skills",IF(I74&lt;1,"Partial lookup — adjustment scaled",IF(AND(M74="Yes",AC74=0),"Offense adjusted; Guard neutral","Captured"))))</x:f>
        <x:v>Offense adjusted; Guard neutral</x:v>
      </x:c>
      <x:c r="AC74" s="580" t="n">
        <x:f>IF(SUMIFS('Specialisation Impact'!$M$19:$M$186,'Specialisation Impact'!$A$19:$A$186,A74,'Specialisation Impact'!$B$19:$B$186,B74)=0,0,SUMIFS('Specialisation Impact'!$F$19:$F$186,'Specialisation Impact'!$A$19:$A$186,A74,'Specialisation Impact'!$B$19:$B$186,B74))</x:f>
        <x:v>0</x:v>
      </x:c>
    </x:row>
    <x:row r="75">
      <x:c r="A75" s="571" t="str">
        <x:v>K138</x:v>
      </x:c>
      <x:c r="B75" s="571" t="str">
        <x:v>(RaW)༺Aryz༻</x:v>
      </x:c>
      <x:c r="C75" s="575" t="n">
        <x:f>IF($A75="","",AVERAGE(100*((COUNTIF('All Stats'!$D$6:$D$172,"&lt;"&amp;'All Stats'!D75)+(COUNTIF('All Stats'!$D$6:$D$172,'All Stats'!D75)-1)/2)/(COUNT('All Stats'!$D$6:$D$172)-1))^'Specialisation Scenarios'!$X$10,100*((COUNTIF('All Stats'!$G$6:$G$172,"&lt;"&amp;'All Stats'!G75)+(COUNTIF('All Stats'!$G$6:$G$172,'All Stats'!G75)-1)/2)/(COUNT('All Stats'!$G$6:$G$172)-1))^'Specialisation Scenarios'!$X$10,100*((COUNTIF('All Stats'!$I$6:$I$172,"&lt;"&amp;'All Stats'!I75)+(COUNTIF('All Stats'!$I$6:$I$172,'All Stats'!I75)-1)/2)/(COUNT('All Stats'!$I$6:$I$172)-1))^'Specialisation Scenarios'!$X$10))</x:f>
        <x:v>38.56063674750216</x:v>
      </x:c>
      <x:c r="D75" s="575" t="n">
        <x:f>IF($A75="","",AVERAGE(100*((COUNTIF('All Stats'!$R$6:$R$172,"&lt;"&amp;'All Stats'!R75)+(COUNTIF('All Stats'!$R$6:$R$172,'All Stats'!R75)-1)/2)/(COUNT('All Stats'!$R$6:$R$172)-1))^'Specialisation Scenarios'!$X$10,100*((COUNTIF('All Stats'!$U$6:$U$172,"&lt;"&amp;'All Stats'!U75)+(COUNTIF('All Stats'!$U$6:$U$172,'All Stats'!U75)-1)/2)/(COUNT('All Stats'!$U$6:$U$172)-1))^'Specialisation Scenarios'!$X$10,100*((COUNTIF('All Stats'!$W$6:$W$172,"&lt;"&amp;'All Stats'!W75)+(COUNTIF('All Stats'!$W$6:$W$172,'All Stats'!W75)-1)/2)/(COUNT('All Stats'!$W$6:$W$172)-1))^'Specialisation Scenarios'!$X$10))</x:f>
        <x:v>61.29929257342954</x:v>
      </x:c>
      <x:c r="E75" s="575" t="n">
        <x:f>IF($A75="","",AVERAGE(100*((COUNTIF('All Stats'!$Y$6:$Y$172,"&lt;"&amp;'All Stats'!Y75)+(COUNTIF('All Stats'!$Y$6:$Y$172,'All Stats'!Y75)-1)/2)/(COUNT('All Stats'!$Y$6:$Y$172)-1))^'Specialisation Scenarios'!$X$10,100*((COUNTIF('All Stats'!$AB$6:$AB$172,"&lt;"&amp;'All Stats'!AB75)+(COUNTIF('All Stats'!$AB$6:$AB$172,'All Stats'!AB75)-1)/2)/(COUNT('All Stats'!$AB$6:$AB$172)-1))^'Specialisation Scenarios'!$X$10,100*((COUNTIF('All Stats'!$AD$6:$AD$172,"&lt;"&amp;'All Stats'!AD75)+(COUNTIF('All Stats'!$AD$6:$AD$172,'All Stats'!AD75)-1)/2)/(COUNT('All Stats'!$AD$6:$AD$172)-1))^'Specialisation Scenarios'!$X$10))</x:f>
        <x:v>49.38236440151238</x:v>
      </x:c>
      <x:c r="F75" s="575" t="n">
        <x:f>IF($A75="","",AVERAGE(100*((COUNTIF('All Stats'!$AF$6:$AF$172,"&lt;"&amp;'All Stats'!AF75)+(COUNTIF('All Stats'!$AF$6:$AF$172,'All Stats'!AF75)-1)/2)/(COUNT('All Stats'!$AF$6:$AF$172)-1))^'Specialisation Scenarios'!$X$10,100*((COUNTIF('All Stats'!$AI$6:$AI$172,"&lt;"&amp;'All Stats'!AI75)+(COUNTIF('All Stats'!$AI$6:$AI$172,'All Stats'!AI75)-1)/2)/(COUNT('All Stats'!$AI$6:$AI$172)-1))^'Specialisation Scenarios'!$X$10,100*((COUNTIF('All Stats'!$AK$6:$AK$172,"&lt;"&amp;'All Stats'!AK75)+(COUNTIF('All Stats'!$AK$6:$AK$172,'All Stats'!AK75)-1)/2)/(COUNT('All Stats'!$AK$6:$AK$172)-1))^'Specialisation Scenarios'!$X$10))</x:f>
        <x:v>66.56407386808303</x:v>
      </x:c>
      <x:c r="G75" s="575" t="n">
        <x:f>IF($A75="","",C75*'Specialisation Scenarios'!$X$11+D75*'Specialisation Scenarios'!$X$12+E75*'Specialisation Scenarios'!$X$13+F75*'Specialisation Scenarios'!$X$14)</x:f>
        <x:v>57.486518576546736</x:v>
      </x:c>
      <x:c r="H75" s="575" t="n">
        <x:f>IF(SUMIFS('Specialisation Impact'!$E$19:$E$186,'Specialisation Impact'!$A$19:$A$186,A75,'Specialisation Impact'!$B$19:$B$186,B75)=0,"",SUMIFS('Specialisation Impact'!$S$19:$S$186,'Specialisation Impact'!$A$19:$A$186,A75,'Specialisation Impact'!$B$19:$B$186,B75))</x:f>
        <x:v>86.1038961038961</x:v>
      </x:c>
      <x:c r="I75" s="579" t="n">
        <x:f>IF(SUMIFS('Specialisation Impact'!$E$19:$E$186,'Specialisation Impact'!$A$19:$A$186,A75,'Specialisation Impact'!$B$19:$B$186,B75)=0,0,SUMIFS('Specialisation Impact'!$F$19:$F$186,'Specialisation Impact'!$A$19:$A$186,A75,'Specialisation Impact'!$B$19:$B$186,B75))</x:f>
        <x:v>1</x:v>
      </x:c>
      <x:c r="J75" s="575" t="n">
        <x:f>G75</x:f>
        <x:v>57.486518576546736</x:v>
      </x:c>
      <x:c r="K75" s="575" t="n">
        <x:f>IF(G75="","",IF(I75=0,G75,MAX(0,MIN(100,G75*(1-'Specialisation Scenarios'!$B$8*I75)+H75*('Specialisation Scenarios'!$B$8*I75)))))</x:f>
        <x:v>64.64086295838408</x:v>
      </x:c>
      <x:c r="L75" s="575" t="n">
        <x:f>IF(G75="","",IF(I75=0,G75,MAX(0,MIN(100,G75*(1-'Specialisation Scenarios'!$B$9*I75)+H75*('Specialisation Scenarios'!$B$9*I75)))))</x:f>
        <x:v>67.50260071111902</x:v>
      </x:c>
      <x:c r="M75" s="575" t="str">
        <x:f>IF(COUNTIFS('Tank &amp; Control'!$A$23:$A$189,A75,'Tank &amp; Control'!$B$23:$B$189,B75,'Tank &amp; Control'!$C$23:$C$189,"Yes")&gt;0,"Yes","No")</x:f>
        <x:v>No</x:v>
      </x:c>
      <x:c r="N75" s="575" t="str">
        <x:f>IF(M75&lt;&gt;"Yes","",SUMIFS('Tank &amp; Control'!$L$23:$L$189,'Tank &amp; Control'!$A$23:$A$189,A75,'Tank &amp; Control'!$B$23:$B$189,B75))</x:f>
      </x:c>
      <x:c r="O75" s="575" t="str">
        <x:f>IF(SUMIFS('Specialisation Impact'!$M$19:$M$186,'Specialisation Impact'!$A$19:$A$186,A75,'Specialisation Impact'!$B$19:$B$186,B75)=0,"",SUMIFS('Specialisation Impact'!$V$19:$V$186,'Specialisation Impact'!$A$19:$A$186,A75,'Specialisation Impact'!$B$19:$B$186,B75))</x:f>
      </x:c>
      <x:c r="P75" s="575" t="str">
        <x:f>IF(N75="","",N75)</x:f>
      </x:c>
      <x:c r="Q75" s="575" t="str">
        <x:f>IF(N75="","",IF(AC75=0,N75,MAX(0,MIN(100,N75*(1-'Specialisation Scenarios'!$B$8*AC75)+O75*('Specialisation Scenarios'!$B$8*AC75)))))</x:f>
      </x:c>
      <x:c r="R75" s="575" t="str">
        <x:f>IF(N75="","",IF(AC75=0,N75,MAX(0,MIN(100,N75*(1-'Specialisation Scenarios'!$B$9*AC75)+O75*('Specialisation Scenarios'!$B$9*AC75)))))</x:f>
      </x:c>
      <x:c r="S75" s="583" t="n">
        <x:f>IF(J75="","",COUNTIFS($A$6:$A$172,A75,$J$6:$J$172,"&gt;"&amp;J75)+COUNTIFS($A$6:A75,A75,$J$6:J75,J75))</x:f>
        <x:v>5</x:v>
      </x:c>
      <x:c r="T75" s="583" t="n">
        <x:f>IF(K75="","",COUNTIFS($A$6:$A$172,A75,$K$6:$K$172,"&gt;"&amp;K75)+COUNTIFS($A$6:A75,A75,$K$6:K75,K75))</x:f>
        <x:v>4</x:v>
      </x:c>
      <x:c r="U75" s="583" t="n">
        <x:f>IF(L75="","",COUNTIFS($A$6:$A$172,A75,$L$6:$L$172,"&gt;"&amp;L75)+COUNTIFS($A$6:A75,A75,$L$6:L75,L75))</x:f>
        <x:v>4</x:v>
      </x:c>
      <x:c r="V75" s="583" t="str">
        <x:f>IF(P75="","",COUNTIFS($A$6:$A$172,A75,$P$6:$P$172,"&gt;"&amp;P75)+COUNTIFS($A$6:A75,A75,$P$6:P75,P75))</x:f>
      </x:c>
      <x:c r="W75" s="583" t="str">
        <x:f>IF(Q75="","",COUNTIFS($A$6:$A$172,A75,$Q$6:$Q$172,"&gt;"&amp;Q75)+COUNTIFS($A$6:A75,A75,$Q$6:Q75,Q75))</x:f>
      </x:c>
      <x:c r="X75" s="583" t="str">
        <x:f>IF(R75="","",COUNTIFS($A$6:$A$172,A75,$R$6:$R$172,"&gt;"&amp;R75)+COUNTIFS($A$6:A75,A75,$R$6:R75,R75))</x:f>
      </x:c>
      <x:c r="Y75" s="571" t="str">
        <x:f>IF(V75="","",A75&amp;"|"&amp;V75)</x:f>
      </x:c>
      <x:c r="Z75" s="571" t="str">
        <x:f>IF(W75="","",A75&amp;"|"&amp;W75)</x:f>
      </x:c>
      <x:c r="AA75" s="571" t="str">
        <x:f>IF(X75="","",A75&amp;"|"&amp;X75)</x:f>
      </x:c>
      <x:c r="AB75" s="571" t="str">
        <x:f>IF(A75="","",IF(I75=0,"Offense neutral — no recorded offensive skills",IF(I75&lt;1,"Partial lookup — adjustment scaled",IF(AND(M75="Yes",AC75=0),"Offense adjusted; Guard neutral","Captured"))))</x:f>
        <x:v>Captured</x:v>
      </x:c>
      <x:c r="AC75" s="579" t="n">
        <x:f>IF(SUMIFS('Specialisation Impact'!$M$19:$M$186,'Specialisation Impact'!$A$19:$A$186,A75,'Specialisation Impact'!$B$19:$B$186,B75)=0,0,SUMIFS('Specialisation Impact'!$F$19:$F$186,'Specialisation Impact'!$A$19:$A$186,A75,'Specialisation Impact'!$B$19:$B$186,B75))</x:f>
        <x:v>0</x:v>
      </x:c>
    </x:row>
    <x:row r="76">
      <x:c r="A76" s="572" t="str">
        <x:v>K138</x:v>
      </x:c>
      <x:c r="B76" s="572" t="str">
        <x:v>(RaW)©•SGT©•</x:v>
      </x:c>
      <x:c r="C76" s="576" t="n">
        <x:f>IF($A76="","",AVERAGE(100*((COUNTIF('All Stats'!$D$6:$D$172,"&lt;"&amp;'All Stats'!D76)+(COUNTIF('All Stats'!$D$6:$D$172,'All Stats'!D76)-1)/2)/(COUNT('All Stats'!$D$6:$D$172)-1))^'Specialisation Scenarios'!$X$10,100*((COUNTIF('All Stats'!$G$6:$G$172,"&lt;"&amp;'All Stats'!G76)+(COUNTIF('All Stats'!$G$6:$G$172,'All Stats'!G76)-1)/2)/(COUNT('All Stats'!$G$6:$G$172)-1))^'Specialisation Scenarios'!$X$10,100*((COUNTIF('All Stats'!$I$6:$I$172,"&lt;"&amp;'All Stats'!I76)+(COUNTIF('All Stats'!$I$6:$I$172,'All Stats'!I76)-1)/2)/(COUNT('All Stats'!$I$6:$I$172)-1))^'Specialisation Scenarios'!$X$10))</x:f>
        <x:v>30.235664230922026</x:v>
      </x:c>
      <x:c r="D76" s="576" t="n">
        <x:f>IF($A76="","",AVERAGE(100*((COUNTIF('All Stats'!$R$6:$R$172,"&lt;"&amp;'All Stats'!R76)+(COUNTIF('All Stats'!$R$6:$R$172,'All Stats'!R76)-1)/2)/(COUNT('All Stats'!$R$6:$R$172)-1))^'Specialisation Scenarios'!$X$10,100*((COUNTIF('All Stats'!$U$6:$U$172,"&lt;"&amp;'All Stats'!U76)+(COUNTIF('All Stats'!$U$6:$U$172,'All Stats'!U76)-1)/2)/(COUNT('All Stats'!$U$6:$U$172)-1))^'Specialisation Scenarios'!$X$10,100*((COUNTIF('All Stats'!$W$6:$W$172,"&lt;"&amp;'All Stats'!W76)+(COUNTIF('All Stats'!$W$6:$W$172,'All Stats'!W76)-1)/2)/(COUNT('All Stats'!$W$6:$W$172)-1))^'Specialisation Scenarios'!$X$10))</x:f>
        <x:v>34.34597791135254</x:v>
      </x:c>
      <x:c r="E76" s="576" t="n">
        <x:f>IF($A76="","",AVERAGE(100*((COUNTIF('All Stats'!$Y$6:$Y$172,"&lt;"&amp;'All Stats'!Y76)+(COUNTIF('All Stats'!$Y$6:$Y$172,'All Stats'!Y76)-1)/2)/(COUNT('All Stats'!$Y$6:$Y$172)-1))^'Specialisation Scenarios'!$X$10,100*((COUNTIF('All Stats'!$AB$6:$AB$172,"&lt;"&amp;'All Stats'!AB76)+(COUNTIF('All Stats'!$AB$6:$AB$172,'All Stats'!AB76)-1)/2)/(COUNT('All Stats'!$AB$6:$AB$172)-1))^'Specialisation Scenarios'!$X$10,100*((COUNTIF('All Stats'!$AD$6:$AD$172,"&lt;"&amp;'All Stats'!AD76)+(COUNTIF('All Stats'!$AD$6:$AD$172,'All Stats'!AD76)-1)/2)/(COUNT('All Stats'!$AD$6:$AD$172)-1))^'Specialisation Scenarios'!$X$10))</x:f>
        <x:v>63.60868667803316</x:v>
      </x:c>
      <x:c r="F76" s="576" t="n">
        <x:f>IF($A76="","",AVERAGE(100*((COUNTIF('All Stats'!$AF$6:$AF$172,"&lt;"&amp;'All Stats'!AF76)+(COUNTIF('All Stats'!$AF$6:$AF$172,'All Stats'!AF76)-1)/2)/(COUNT('All Stats'!$AF$6:$AF$172)-1))^'Specialisation Scenarios'!$X$10,100*((COUNTIF('All Stats'!$AI$6:$AI$172,"&lt;"&amp;'All Stats'!AI76)+(COUNTIF('All Stats'!$AI$6:$AI$172,'All Stats'!AI76)-1)/2)/(COUNT('All Stats'!$AI$6:$AI$172)-1))^'Specialisation Scenarios'!$X$10,100*((COUNTIF('All Stats'!$AK$6:$AK$172,"&lt;"&amp;'All Stats'!AK76)+(COUNTIF('All Stats'!$AK$6:$AK$172,'All Stats'!AK76)-1)/2)/(COUNT('All Stats'!$AK$6:$AK$172)-1))^'Specialisation Scenarios'!$X$10))</x:f>
        <x:v>15.583937831037643</x:v>
      </x:c>
      <x:c r="G76" s="576" t="n">
        <x:f>IF($A76="","",C76*'Specialisation Scenarios'!$X$11+D76*'Specialisation Scenarios'!$X$12+E76*'Specialisation Scenarios'!$X$13+F76*'Specialisation Scenarios'!$X$14)</x:f>
        <x:v>33.84139572390879</x:v>
      </x:c>
      <x:c r="H76" s="576" t="n">
        <x:f>IF(SUMIFS('Specialisation Impact'!$E$19:$E$186,'Specialisation Impact'!$A$19:$A$186,A76,'Specialisation Impact'!$B$19:$B$186,B76)=0,"",SUMIFS('Specialisation Impact'!$S$19:$S$186,'Specialisation Impact'!$A$19:$A$186,A76,'Specialisation Impact'!$B$19:$B$186,B76))</x:f>
        <x:v>18.83116883116883</x:v>
      </x:c>
      <x:c r="I76" s="580" t="n">
        <x:f>IF(SUMIFS('Specialisation Impact'!$E$19:$E$186,'Specialisation Impact'!$A$19:$A$186,A76,'Specialisation Impact'!$B$19:$B$186,B76)=0,0,SUMIFS('Specialisation Impact'!$F$19:$F$186,'Specialisation Impact'!$A$19:$A$186,A76,'Specialisation Impact'!$B$19:$B$186,B76))</x:f>
        <x:v>1</x:v>
      </x:c>
      <x:c r="J76" s="576" t="n">
        <x:f>G76</x:f>
        <x:v>33.84139572390879</x:v>
      </x:c>
      <x:c r="K76" s="576" t="n">
        <x:f>IF(G76="","",IF(I76=0,G76,MAX(0,MIN(100,G76*(1-'Specialisation Scenarios'!$B$8*I76)+H76*('Specialisation Scenarios'!$B$8*I76)))))</x:f>
        <x:v>30.0888390007238</x:v>
      </x:c>
      <x:c r="L76" s="576" t="n">
        <x:f>IF(G76="","",IF(I76=0,G76,MAX(0,MIN(100,G76*(1-'Specialisation Scenarios'!$B$9*I76)+H76*('Specialisation Scenarios'!$B$9*I76)))))</x:f>
        <x:v>28.587816311449803</x:v>
      </x:c>
      <x:c r="M76" s="576" t="str">
        <x:f>IF(COUNTIFS('Tank &amp; Control'!$A$23:$A$189,A76,'Tank &amp; Control'!$B$23:$B$189,B76,'Tank &amp; Control'!$C$23:$C$189,"Yes")&gt;0,"Yes","No")</x:f>
        <x:v>No</x:v>
      </x:c>
      <x:c r="N76" s="576" t="str">
        <x:f>IF(M76&lt;&gt;"Yes","",SUMIFS('Tank &amp; Control'!$L$23:$L$189,'Tank &amp; Control'!$A$23:$A$189,A76,'Tank &amp; Control'!$B$23:$B$189,B76))</x:f>
      </x:c>
      <x:c r="O76" s="576" t="n">
        <x:f>IF(SUMIFS('Specialisation Impact'!$M$19:$M$186,'Specialisation Impact'!$A$19:$A$186,A76,'Specialisation Impact'!$B$19:$B$186,B76)=0,"",SUMIFS('Specialisation Impact'!$V$19:$V$186,'Specialisation Impact'!$A$19:$A$186,A76,'Specialisation Impact'!$B$19:$B$186,B76))</x:f>
        <x:v>76.06837606837607</x:v>
      </x:c>
      <x:c r="P76" s="576" t="str">
        <x:f>IF(N76="","",N76)</x:f>
      </x:c>
      <x:c r="Q76" s="576" t="str">
        <x:f>IF(N76="","",IF(AC76=0,N76,MAX(0,MIN(100,N76*(1-'Specialisation Scenarios'!$B$8*AC76)+O76*('Specialisation Scenarios'!$B$8*AC76)))))</x:f>
      </x:c>
      <x:c r="R76" s="576" t="str">
        <x:f>IF(N76="","",IF(AC76=0,N76,MAX(0,MIN(100,N76*(1-'Specialisation Scenarios'!$B$9*AC76)+O76*('Specialisation Scenarios'!$B$9*AC76)))))</x:f>
      </x:c>
      <x:c r="S76" s="584" t="n">
        <x:f>IF(J76="","",COUNTIFS($A$6:$A$172,A76,$J$6:$J$172,"&gt;"&amp;J76)+COUNTIFS($A$6:A76,A76,$J$6:J76,J76))</x:f>
        <x:v>11</x:v>
      </x:c>
      <x:c r="T76" s="584" t="n">
        <x:f>IF(K76="","",COUNTIFS($A$6:$A$172,A76,$K$6:$K$172,"&gt;"&amp;K76)+COUNTIFS($A$6:A76,A76,$K$6:K76,K76))</x:f>
        <x:v>13</x:v>
      </x:c>
      <x:c r="U76" s="584" t="n">
        <x:f>IF(L76="","",COUNTIFS($A$6:$A$172,A76,$L$6:$L$172,"&gt;"&amp;L76)+COUNTIFS($A$6:A76,A76,$L$6:L76,L76))</x:f>
        <x:v>14</x:v>
      </x:c>
      <x:c r="V76" s="584" t="str">
        <x:f>IF(P76="","",COUNTIFS($A$6:$A$172,A76,$P$6:$P$172,"&gt;"&amp;P76)+COUNTIFS($A$6:A76,A76,$P$6:P76,P76))</x:f>
      </x:c>
      <x:c r="W76" s="584" t="str">
        <x:f>IF(Q76="","",COUNTIFS($A$6:$A$172,A76,$Q$6:$Q$172,"&gt;"&amp;Q76)+COUNTIFS($A$6:A76,A76,$Q$6:Q76,Q76))</x:f>
      </x:c>
      <x:c r="X76" s="584" t="str">
        <x:f>IF(R76="","",COUNTIFS($A$6:$A$172,A76,$R$6:$R$172,"&gt;"&amp;R76)+COUNTIFS($A$6:A76,A76,$R$6:R76,R76))</x:f>
      </x:c>
      <x:c r="Y76" s="572" t="str">
        <x:f>IF(V76="","",A76&amp;"|"&amp;V76)</x:f>
      </x:c>
      <x:c r="Z76" s="572" t="str">
        <x:f>IF(W76="","",A76&amp;"|"&amp;W76)</x:f>
      </x:c>
      <x:c r="AA76" s="572" t="str">
        <x:f>IF(X76="","",A76&amp;"|"&amp;X76)</x:f>
      </x:c>
      <x:c r="AB76" s="572" t="str">
        <x:f>IF(A76="","",IF(I76=0,"Offense neutral — no recorded offensive skills",IF(I76&lt;1,"Partial lookup — adjustment scaled",IF(AND(M76="Yes",AC76=0),"Offense adjusted; Guard neutral","Captured"))))</x:f>
        <x:v>Captured</x:v>
      </x:c>
      <x:c r="AC76" s="580" t="n">
        <x:f>IF(SUMIFS('Specialisation Impact'!$M$19:$M$186,'Specialisation Impact'!$A$19:$A$186,A76,'Specialisation Impact'!$B$19:$B$186,B76)=0,0,SUMIFS('Specialisation Impact'!$F$19:$F$186,'Specialisation Impact'!$A$19:$A$186,A76,'Specialisation Impact'!$B$19:$B$186,B76))</x:f>
        <x:v>1</x:v>
      </x:c>
    </x:row>
    <x:row r="77">
      <x:c r="A77" s="571" t="str">
        <x:v>K138</x:v>
      </x:c>
      <x:c r="B77" s="571" t="str">
        <x:v>(RaW)JØNS</x:v>
      </x:c>
      <x:c r="C77" s="575" t="n">
        <x:f>IF($A77="","",AVERAGE(100*((COUNTIF('All Stats'!$D$6:$D$172,"&lt;"&amp;'All Stats'!D77)+(COUNTIF('All Stats'!$D$6:$D$172,'All Stats'!D77)-1)/2)/(COUNT('All Stats'!$D$6:$D$172)-1))^'Specialisation Scenarios'!$X$10,100*((COUNTIF('All Stats'!$G$6:$G$172,"&lt;"&amp;'All Stats'!G77)+(COUNTIF('All Stats'!$G$6:$G$172,'All Stats'!G77)-1)/2)/(COUNT('All Stats'!$G$6:$G$172)-1))^'Specialisation Scenarios'!$X$10,100*((COUNTIF('All Stats'!$I$6:$I$172,"&lt;"&amp;'All Stats'!I77)+(COUNTIF('All Stats'!$I$6:$I$172,'All Stats'!I77)-1)/2)/(COUNT('All Stats'!$I$6:$I$172)-1))^'Specialisation Scenarios'!$X$10))</x:f>
        <x:v>9.39066137577967</x:v>
      </x:c>
      <x:c r="D77" s="575" t="n">
        <x:f>IF($A77="","",AVERAGE(100*((COUNTIF('All Stats'!$R$6:$R$172,"&lt;"&amp;'All Stats'!R77)+(COUNTIF('All Stats'!$R$6:$R$172,'All Stats'!R77)-1)/2)/(COUNT('All Stats'!$R$6:$R$172)-1))^'Specialisation Scenarios'!$X$10,100*((COUNTIF('All Stats'!$U$6:$U$172,"&lt;"&amp;'All Stats'!U77)+(COUNTIF('All Stats'!$U$6:$U$172,'All Stats'!U77)-1)/2)/(COUNT('All Stats'!$U$6:$U$172)-1))^'Specialisation Scenarios'!$X$10,100*((COUNTIF('All Stats'!$W$6:$W$172,"&lt;"&amp;'All Stats'!W77)+(COUNTIF('All Stats'!$W$6:$W$172,'All Stats'!W77)-1)/2)/(COUNT('All Stats'!$W$6:$W$172)-1))^'Specialisation Scenarios'!$X$10))</x:f>
        <x:v>0.09342162114099327</x:v>
      </x:c>
      <x:c r="E77" s="575" t="n">
        <x:f>IF($A77="","",AVERAGE(100*((COUNTIF('All Stats'!$Y$6:$Y$172,"&lt;"&amp;'All Stats'!Y77)+(COUNTIF('All Stats'!$Y$6:$Y$172,'All Stats'!Y77)-1)/2)/(COUNT('All Stats'!$Y$6:$Y$172)-1))^'Specialisation Scenarios'!$X$10,100*((COUNTIF('All Stats'!$AB$6:$AB$172,"&lt;"&amp;'All Stats'!AB77)+(COUNTIF('All Stats'!$AB$6:$AB$172,'All Stats'!AB77)-1)/2)/(COUNT('All Stats'!$AB$6:$AB$172)-1))^'Specialisation Scenarios'!$X$10,100*((COUNTIF('All Stats'!$AD$6:$AD$172,"&lt;"&amp;'All Stats'!AD77)+(COUNTIF('All Stats'!$AD$6:$AD$172,'All Stats'!AD77)-1)/2)/(COUNT('All Stats'!$AD$6:$AD$172)-1))^'Specialisation Scenarios'!$X$10))</x:f>
        <x:v>26.2979725277978</x:v>
      </x:c>
      <x:c r="F77" s="575" t="n">
        <x:f>IF($A77="","",AVERAGE(100*((COUNTIF('All Stats'!$AF$6:$AF$172,"&lt;"&amp;'All Stats'!AF77)+(COUNTIF('All Stats'!$AF$6:$AF$172,'All Stats'!AF77)-1)/2)/(COUNT('All Stats'!$AF$6:$AF$172)-1))^'Specialisation Scenarios'!$X$10,100*((COUNTIF('All Stats'!$AI$6:$AI$172,"&lt;"&amp;'All Stats'!AI77)+(COUNTIF('All Stats'!$AI$6:$AI$172,'All Stats'!AI77)-1)/2)/(COUNT('All Stats'!$AI$6:$AI$172)-1))^'Specialisation Scenarios'!$X$10,100*((COUNTIF('All Stats'!$AK$6:$AK$172,"&lt;"&amp;'All Stats'!AK77)+(COUNTIF('All Stats'!$AK$6:$AK$172,'All Stats'!AK77)-1)/2)/(COUNT('All Stats'!$AK$6:$AK$172)-1))^'Specialisation Scenarios'!$X$10))</x:f>
        <x:v>1.6372988514843572</x:v>
      </x:c>
      <x:c r="G77" s="575" t="n">
        <x:f>IF($A77="","",C77*'Specialisation Scenarios'!$X$11+D77*'Specialisation Scenarios'!$X$12+E77*'Specialisation Scenarios'!$X$13+F77*'Specialisation Scenarios'!$X$14)</x:f>
        <x:v>4.340044259553981</x:v>
      </x:c>
      <x:c r="H77" s="575" t="n">
        <x:f>IF(SUMIFS('Specialisation Impact'!$E$19:$E$186,'Specialisation Impact'!$A$19:$A$186,A77,'Specialisation Impact'!$B$19:$B$186,B77)=0,"",SUMIFS('Specialisation Impact'!$S$19:$S$186,'Specialisation Impact'!$A$19:$A$186,A77,'Specialisation Impact'!$B$19:$B$186,B77))</x:f>
        <x:v>2.5974025974025974</x:v>
      </x:c>
      <x:c r="I77" s="579" t="n">
        <x:f>IF(SUMIFS('Specialisation Impact'!$E$19:$E$186,'Specialisation Impact'!$A$19:$A$186,A77,'Specialisation Impact'!$B$19:$B$186,B77)=0,0,SUMIFS('Specialisation Impact'!$F$19:$F$186,'Specialisation Impact'!$A$19:$A$186,A77,'Specialisation Impact'!$B$19:$B$186,B77))</x:f>
        <x:v>1</x:v>
      </x:c>
      <x:c r="J77" s="575" t="n">
        <x:f>G77</x:f>
        <x:v>4.340044259553981</x:v>
      </x:c>
      <x:c r="K77" s="575" t="n">
        <x:f>IF(G77="","",IF(I77=0,G77,MAX(0,MIN(100,G77*(1-'Specialisation Scenarios'!$B$8*I77)+H77*('Specialisation Scenarios'!$B$8*I77)))))</x:f>
        <x:v>3.904383844016135</x:v>
      </x:c>
      <x:c r="L77" s="575" t="n">
        <x:f>IF(G77="","",IF(I77=0,G77,MAX(0,MIN(100,G77*(1-'Specialisation Scenarios'!$B$9*I77)+H77*('Specialisation Scenarios'!$B$9*I77)))))</x:f>
        <x:v>3.730119677800997</x:v>
      </x:c>
      <x:c r="M77" s="575" t="str">
        <x:f>IF(COUNTIFS('Tank &amp; Control'!$A$23:$A$189,A77,'Tank &amp; Control'!$B$23:$B$189,B77,'Tank &amp; Control'!$C$23:$C$189,"Yes")&gt;0,"Yes","No")</x:f>
        <x:v>No</x:v>
      </x:c>
      <x:c r="N77" s="575" t="str">
        <x:f>IF(M77&lt;&gt;"Yes","",SUMIFS('Tank &amp; Control'!$L$23:$L$189,'Tank &amp; Control'!$A$23:$A$189,A77,'Tank &amp; Control'!$B$23:$B$189,B77))</x:f>
      </x:c>
      <x:c r="O77" s="575" t="n">
        <x:f>IF(SUMIFS('Specialisation Impact'!$M$19:$M$186,'Specialisation Impact'!$A$19:$A$186,A77,'Specialisation Impact'!$B$19:$B$186,B77)=0,"",SUMIFS('Specialisation Impact'!$V$19:$V$186,'Specialisation Impact'!$A$19:$A$186,A77,'Specialisation Impact'!$B$19:$B$186,B77))</x:f>
        <x:v>0.8547008547008547</x:v>
      </x:c>
      <x:c r="P77" s="575" t="str">
        <x:f>IF(N77="","",N77)</x:f>
      </x:c>
      <x:c r="Q77" s="575" t="str">
        <x:f>IF(N77="","",IF(AC77=0,N77,MAX(0,MIN(100,N77*(1-'Specialisation Scenarios'!$B$8*AC77)+O77*('Specialisation Scenarios'!$B$8*AC77)))))</x:f>
      </x:c>
      <x:c r="R77" s="575" t="str">
        <x:f>IF(N77="","",IF(AC77=0,N77,MAX(0,MIN(100,N77*(1-'Specialisation Scenarios'!$B$9*AC77)+O77*('Specialisation Scenarios'!$B$9*AC77)))))</x:f>
      </x:c>
      <x:c r="S77" s="583" t="n">
        <x:f>IF(J77="","",COUNTIFS($A$6:$A$172,A77,$J$6:$J$172,"&gt;"&amp;J77)+COUNTIFS($A$6:A77,A77,$J$6:J77,J77))</x:f>
        <x:v>25</x:v>
      </x:c>
      <x:c r="T77" s="583" t="n">
        <x:f>IF(K77="","",COUNTIFS($A$6:$A$172,A77,$K$6:$K$172,"&gt;"&amp;K77)+COUNTIFS($A$6:A77,A77,$K$6:K77,K77))</x:f>
        <x:v>27</x:v>
      </x:c>
      <x:c r="U77" s="583" t="n">
        <x:f>IF(L77="","",COUNTIFS($A$6:$A$172,A77,$L$6:$L$172,"&gt;"&amp;L77)+COUNTIFS($A$6:A77,A77,$L$6:L77,L77))</x:f>
        <x:v>27</x:v>
      </x:c>
      <x:c r="V77" s="583" t="str">
        <x:f>IF(P77="","",COUNTIFS($A$6:$A$172,A77,$P$6:$P$172,"&gt;"&amp;P77)+COUNTIFS($A$6:A77,A77,$P$6:P77,P77))</x:f>
      </x:c>
      <x:c r="W77" s="583" t="str">
        <x:f>IF(Q77="","",COUNTIFS($A$6:$A$172,A77,$Q$6:$Q$172,"&gt;"&amp;Q77)+COUNTIFS($A$6:A77,A77,$Q$6:Q77,Q77))</x:f>
      </x:c>
      <x:c r="X77" s="583" t="str">
        <x:f>IF(R77="","",COUNTIFS($A$6:$A$172,A77,$R$6:$R$172,"&gt;"&amp;R77)+COUNTIFS($A$6:A77,A77,$R$6:R77,R77))</x:f>
      </x:c>
      <x:c r="Y77" s="571" t="str">
        <x:f>IF(V77="","",A77&amp;"|"&amp;V77)</x:f>
      </x:c>
      <x:c r="Z77" s="571" t="str">
        <x:f>IF(W77="","",A77&amp;"|"&amp;W77)</x:f>
      </x:c>
      <x:c r="AA77" s="571" t="str">
        <x:f>IF(X77="","",A77&amp;"|"&amp;X77)</x:f>
      </x:c>
      <x:c r="AB77" s="571" t="str">
        <x:f>IF(A77="","",IF(I77=0,"Offense neutral — no recorded offensive skills",IF(I77&lt;1,"Partial lookup — adjustment scaled",IF(AND(M77="Yes",AC77=0),"Offense adjusted; Guard neutral","Captured"))))</x:f>
        <x:v>Captured</x:v>
      </x:c>
      <x:c r="AC77" s="579" t="n">
        <x:f>IF(SUMIFS('Specialisation Impact'!$M$19:$M$186,'Specialisation Impact'!$A$19:$A$186,A77,'Specialisation Impact'!$B$19:$B$186,B77)=0,0,SUMIFS('Specialisation Impact'!$F$19:$F$186,'Specialisation Impact'!$A$19:$A$186,A77,'Specialisation Impact'!$B$19:$B$186,B77))</x:f>
        <x:v>1</x:v>
      </x:c>
    </x:row>
    <x:row r="78">
      <x:c r="A78" s="572" t="str">
        <x:v>K138</x:v>
      </x:c>
      <x:c r="B78" s="572" t="str">
        <x:v>(RaW)༺Frankie༻</x:v>
      </x:c>
      <x:c r="C78" s="576" t="n">
        <x:f>IF($A78="","",AVERAGE(100*((COUNTIF('All Stats'!$D$6:$D$172,"&lt;"&amp;'All Stats'!D78)+(COUNTIF('All Stats'!$D$6:$D$172,'All Stats'!D78)-1)/2)/(COUNT('All Stats'!$D$6:$D$172)-1))^'Specialisation Scenarios'!$X$10,100*((COUNTIF('All Stats'!$G$6:$G$172,"&lt;"&amp;'All Stats'!G78)+(COUNTIF('All Stats'!$G$6:$G$172,'All Stats'!G78)-1)/2)/(COUNT('All Stats'!$G$6:$G$172)-1))^'Specialisation Scenarios'!$X$10,100*((COUNTIF('All Stats'!$I$6:$I$172,"&lt;"&amp;'All Stats'!I78)+(COUNTIF('All Stats'!$I$6:$I$172,'All Stats'!I78)-1)/2)/(COUNT('All Stats'!$I$6:$I$172)-1))^'Specialisation Scenarios'!$X$10))</x:f>
        <x:v>63.963965923458424</x:v>
      </x:c>
      <x:c r="D78" s="576" t="n">
        <x:f>IF($A78="","",AVERAGE(100*((COUNTIF('All Stats'!$R$6:$R$172,"&lt;"&amp;'All Stats'!R78)+(COUNTIF('All Stats'!$R$6:$R$172,'All Stats'!R78)-1)/2)/(COUNT('All Stats'!$R$6:$R$172)-1))^'Specialisation Scenarios'!$X$10,100*((COUNTIF('All Stats'!$U$6:$U$172,"&lt;"&amp;'All Stats'!U78)+(COUNTIF('All Stats'!$U$6:$U$172,'All Stats'!U78)-1)/2)/(COUNT('All Stats'!$U$6:$U$172)-1))^'Specialisation Scenarios'!$X$10,100*((COUNTIF('All Stats'!$W$6:$W$172,"&lt;"&amp;'All Stats'!W78)+(COUNTIF('All Stats'!$W$6:$W$172,'All Stats'!W78)-1)/2)/(COUNT('All Stats'!$W$6:$W$172)-1))^'Specialisation Scenarios'!$X$10))</x:f>
        <x:v>63.96933578216783</x:v>
      </x:c>
      <x:c r="E78" s="576" t="n">
        <x:f>IF($A78="","",AVERAGE(100*((COUNTIF('All Stats'!$Y$6:$Y$172,"&lt;"&amp;'All Stats'!Y78)+(COUNTIF('All Stats'!$Y$6:$Y$172,'All Stats'!Y78)-1)/2)/(COUNT('All Stats'!$Y$6:$Y$172)-1))^'Specialisation Scenarios'!$X$10,100*((COUNTIF('All Stats'!$AB$6:$AB$172,"&lt;"&amp;'All Stats'!AB78)+(COUNTIF('All Stats'!$AB$6:$AB$172,'All Stats'!AB78)-1)/2)/(COUNT('All Stats'!$AB$6:$AB$172)-1))^'Specialisation Scenarios'!$X$10,100*((COUNTIF('All Stats'!$AD$6:$AD$172,"&lt;"&amp;'All Stats'!AD78)+(COUNTIF('All Stats'!$AD$6:$AD$172,'All Stats'!AD78)-1)/2)/(COUNT('All Stats'!$AD$6:$AD$172)-1))^'Specialisation Scenarios'!$X$10))</x:f>
        <x:v>47.976348496718295</x:v>
      </x:c>
      <x:c r="F78" s="576" t="n">
        <x:f>IF($A78="","",AVERAGE(100*((COUNTIF('All Stats'!$AF$6:$AF$172,"&lt;"&amp;'All Stats'!AF78)+(COUNTIF('All Stats'!$AF$6:$AF$172,'All Stats'!AF78)-1)/2)/(COUNT('All Stats'!$AF$6:$AF$172)-1))^'Specialisation Scenarios'!$X$10,100*((COUNTIF('All Stats'!$AI$6:$AI$172,"&lt;"&amp;'All Stats'!AI78)+(COUNTIF('All Stats'!$AI$6:$AI$172,'All Stats'!AI78)-1)/2)/(COUNT('All Stats'!$AI$6:$AI$172)-1))^'Specialisation Scenarios'!$X$10,100*((COUNTIF('All Stats'!$AK$6:$AK$172,"&lt;"&amp;'All Stats'!AK78)+(COUNTIF('All Stats'!$AK$6:$AK$172,'All Stats'!AK78)-1)/2)/(COUNT('All Stats'!$AK$6:$AK$172)-1))^'Specialisation Scenarios'!$X$10))</x:f>
        <x:v>80.74754795351585</x:v>
      </x:c>
      <x:c r="G78" s="576" t="n">
        <x:f>IF($A78="","",C78*'Specialisation Scenarios'!$X$11+D78*'Specialisation Scenarios'!$X$12+E78*'Specialisation Scenarios'!$X$13+F78*'Specialisation Scenarios'!$X$14)</x:f>
        <x:v>64.88596340051866</x:v>
      </x:c>
      <x:c r="H78" s="576" t="n">
        <x:f>IF(SUMIFS('Specialisation Impact'!$E$19:$E$186,'Specialisation Impact'!$A$19:$A$186,A78,'Specialisation Impact'!$B$19:$B$186,B78)=0,"",SUMIFS('Specialisation Impact'!$S$19:$S$186,'Specialisation Impact'!$A$19:$A$186,A78,'Specialisation Impact'!$B$19:$B$186,B78))</x:f>
        <x:v>61.81818181818181</x:v>
      </x:c>
      <x:c r="I78" s="580" t="n">
        <x:f>IF(SUMIFS('Specialisation Impact'!$E$19:$E$186,'Specialisation Impact'!$A$19:$A$186,A78,'Specialisation Impact'!$B$19:$B$186,B78)=0,0,SUMIFS('Specialisation Impact'!$F$19:$F$186,'Specialisation Impact'!$A$19:$A$186,A78,'Specialisation Impact'!$B$19:$B$186,B78))</x:f>
        <x:v>1</x:v>
      </x:c>
      <x:c r="J78" s="576" t="n">
        <x:f>G78</x:f>
        <x:v>64.88596340051866</x:v>
      </x:c>
      <x:c r="K78" s="576" t="n">
        <x:f>IF(G78="","",IF(I78=0,G78,MAX(0,MIN(100,G78*(1-'Specialisation Scenarios'!$B$8*I78)+H78*('Specialisation Scenarios'!$B$8*I78)))))</x:f>
        <x:v>64.11901800493445</x:v>
      </x:c>
      <x:c r="L78" s="576" t="n">
        <x:f>IF(G78="","",IF(I78=0,G78,MAX(0,MIN(100,G78*(1-'Specialisation Scenarios'!$B$9*I78)+H78*('Specialisation Scenarios'!$B$9*I78)))))</x:f>
        <x:v>63.81223984670076</x:v>
      </x:c>
      <x:c r="M78" s="576" t="str">
        <x:f>IF(COUNTIFS('Tank &amp; Control'!$A$23:$A$189,A78,'Tank &amp; Control'!$B$23:$B$189,B78,'Tank &amp; Control'!$C$23:$C$189,"Yes")&gt;0,"Yes","No")</x:f>
        <x:v>Yes</x:v>
      </x:c>
      <x:c r="N78" s="576" t="n">
        <x:f>IF(M78&lt;&gt;"Yes","",SUMIFS('Tank &amp; Control'!$L$23:$L$189,'Tank &amp; Control'!$A$23:$A$189,A78,'Tank &amp; Control'!$B$23:$B$189,B78))</x:f>
        <x:v>15.34268703859582</x:v>
      </x:c>
      <x:c r="O78" s="576" t="n">
        <x:f>IF(SUMIFS('Specialisation Impact'!$M$19:$M$186,'Specialisation Impact'!$A$19:$A$186,A78,'Specialisation Impact'!$B$19:$B$186,B78)=0,"",SUMIFS('Specialisation Impact'!$V$19:$V$186,'Specialisation Impact'!$A$19:$A$186,A78,'Specialisation Impact'!$B$19:$B$186,B78))</x:f>
        <x:v>93.16239316239316</x:v>
      </x:c>
      <x:c r="P78" s="576" t="n">
        <x:f>IF(N78="","",N78)</x:f>
        <x:v>15.34268703859582</x:v>
      </x:c>
      <x:c r="Q78" s="576" t="n">
        <x:f>IF(N78="","",IF(AC78=0,N78,MAX(0,MIN(100,N78*(1-'Specialisation Scenarios'!$B$8*AC78)+O78*('Specialisation Scenarios'!$B$8*AC78)))))</x:f>
        <x:v>34.797613569545156</x:v>
      </x:c>
      <x:c r="R78" s="576" t="n">
        <x:f>IF(N78="","",IF(AC78=0,N78,MAX(0,MIN(100,N78*(1-'Specialisation Scenarios'!$B$9*AC78)+O78*('Specialisation Scenarios'!$B$9*AC78)))))</x:f>
        <x:v>42.579584181924886</x:v>
      </x:c>
      <x:c r="S78" s="584" t="n">
        <x:f>IF(J78="","",COUNTIFS($A$6:$A$172,A78,$J$6:$J$172,"&gt;"&amp;J78)+COUNTIFS($A$6:A78,A78,$J$6:J78,J78))</x:f>
        <x:v>3</x:v>
      </x:c>
      <x:c r="T78" s="584" t="n">
        <x:f>IF(K78="","",COUNTIFS($A$6:$A$172,A78,$K$6:$K$172,"&gt;"&amp;K78)+COUNTIFS($A$6:A78,A78,$K$6:K78,K78))</x:f>
        <x:v>5</x:v>
      </x:c>
      <x:c r="U78" s="584" t="n">
        <x:f>IF(L78="","",COUNTIFS($A$6:$A$172,A78,$L$6:$L$172,"&gt;"&amp;L78)+COUNTIFS($A$6:A78,A78,$L$6:L78,L78))</x:f>
        <x:v>5</x:v>
      </x:c>
      <x:c r="V78" s="584" t="n">
        <x:f>IF(P78="","",COUNTIFS($A$6:$A$172,A78,$P$6:$P$172,"&gt;"&amp;P78)+COUNTIFS($A$6:A78,A78,$P$6:P78,P78))</x:f>
        <x:v>4</x:v>
      </x:c>
      <x:c r="W78" s="584" t="n">
        <x:f>IF(Q78="","",COUNTIFS($A$6:$A$172,A78,$Q$6:$Q$172,"&gt;"&amp;Q78)+COUNTIFS($A$6:A78,A78,$Q$6:Q78,Q78))</x:f>
        <x:v>3</x:v>
      </x:c>
      <x:c r="X78" s="584" t="n">
        <x:f>IF(R78="","",COUNTIFS($A$6:$A$172,A78,$R$6:$R$172,"&gt;"&amp;R78)+COUNTIFS($A$6:A78,A78,$R$6:R78,R78))</x:f>
        <x:v>3</x:v>
      </x:c>
      <x:c r="Y78" s="572" t="str">
        <x:f>IF(V78="","",A78&amp;"|"&amp;V78)</x:f>
        <x:v>K138|4</x:v>
      </x:c>
      <x:c r="Z78" s="572" t="str">
        <x:f>IF(W78="","",A78&amp;"|"&amp;W78)</x:f>
        <x:v>K138|3</x:v>
      </x:c>
      <x:c r="AA78" s="572" t="str">
        <x:f>IF(X78="","",A78&amp;"|"&amp;X78)</x:f>
        <x:v>K138|3</x:v>
      </x:c>
      <x:c r="AB78" s="572" t="str">
        <x:f>IF(A78="","",IF(I78=0,"Offense neutral — no recorded offensive skills",IF(I78&lt;1,"Partial lookup — adjustment scaled",IF(AND(M78="Yes",AC78=0),"Offense adjusted; Guard neutral","Captured"))))</x:f>
        <x:v>Captured</x:v>
      </x:c>
      <x:c r="AC78" s="580" t="n">
        <x:f>IF(SUMIFS('Specialisation Impact'!$M$19:$M$186,'Specialisation Impact'!$A$19:$A$186,A78,'Specialisation Impact'!$B$19:$B$186,B78)=0,0,SUMIFS('Specialisation Impact'!$F$19:$F$186,'Specialisation Impact'!$A$19:$A$186,A78,'Specialisation Impact'!$B$19:$B$186,B78))</x:f>
        <x:v>1</x:v>
      </x:c>
    </x:row>
    <x:row r="79">
      <x:c r="A79" s="571" t="str">
        <x:v>K138</x:v>
      </x:c>
      <x:c r="B79" s="571" t="str">
        <x:v>(RaW)Critykal</x:v>
      </x:c>
      <x:c r="C79" s="575" t="n">
        <x:f>IF($A79="","",AVERAGE(100*((COUNTIF('All Stats'!$D$6:$D$172,"&lt;"&amp;'All Stats'!D79)+(COUNTIF('All Stats'!$D$6:$D$172,'All Stats'!D79)-1)/2)/(COUNT('All Stats'!$D$6:$D$172)-1))^'Specialisation Scenarios'!$X$10,100*((COUNTIF('All Stats'!$G$6:$G$172,"&lt;"&amp;'All Stats'!G79)+(COUNTIF('All Stats'!$G$6:$G$172,'All Stats'!G79)-1)/2)/(COUNT('All Stats'!$G$6:$G$172)-1))^'Specialisation Scenarios'!$X$10,100*((COUNTIF('All Stats'!$I$6:$I$172,"&lt;"&amp;'All Stats'!I79)+(COUNTIF('All Stats'!$I$6:$I$172,'All Stats'!I79)-1)/2)/(COUNT('All Stats'!$I$6:$I$172)-1))^'Specialisation Scenarios'!$X$10))</x:f>
        <x:v>57.12126857535416</x:v>
      </x:c>
      <x:c r="D79" s="575" t="n">
        <x:f>IF($A79="","",AVERAGE(100*((COUNTIF('All Stats'!$R$6:$R$172,"&lt;"&amp;'All Stats'!R79)+(COUNTIF('All Stats'!$R$6:$R$172,'All Stats'!R79)-1)/2)/(COUNT('All Stats'!$R$6:$R$172)-1))^'Specialisation Scenarios'!$X$10,100*((COUNTIF('All Stats'!$U$6:$U$172,"&lt;"&amp;'All Stats'!U79)+(COUNTIF('All Stats'!$U$6:$U$172,'All Stats'!U79)-1)/2)/(COUNT('All Stats'!$U$6:$U$172)-1))^'Specialisation Scenarios'!$X$10,100*((COUNTIF('All Stats'!$W$6:$W$172,"&lt;"&amp;'All Stats'!W79)+(COUNTIF('All Stats'!$W$6:$W$172,'All Stats'!W79)-1)/2)/(COUNT('All Stats'!$W$6:$W$172)-1))^'Specialisation Scenarios'!$X$10))</x:f>
        <x:v>86.79943797700484</x:v>
      </x:c>
      <x:c r="E79" s="575" t="n">
        <x:f>IF($A79="","",AVERAGE(100*((COUNTIF('All Stats'!$Y$6:$Y$172,"&lt;"&amp;'All Stats'!Y79)+(COUNTIF('All Stats'!$Y$6:$Y$172,'All Stats'!Y79)-1)/2)/(COUNT('All Stats'!$Y$6:$Y$172)-1))^'Specialisation Scenarios'!$X$10,100*((COUNTIF('All Stats'!$AB$6:$AB$172,"&lt;"&amp;'All Stats'!AB79)+(COUNTIF('All Stats'!$AB$6:$AB$172,'All Stats'!AB79)-1)/2)/(COUNT('All Stats'!$AB$6:$AB$172)-1))^'Specialisation Scenarios'!$X$10,100*((COUNTIF('All Stats'!$AD$6:$AD$172,"&lt;"&amp;'All Stats'!AD79)+(COUNTIF('All Stats'!$AD$6:$AD$172,'All Stats'!AD79)-1)/2)/(COUNT('All Stats'!$AD$6:$AD$172)-1))^'Specialisation Scenarios'!$X$10))</x:f>
        <x:v>56.1775689954176</x:v>
      </x:c>
      <x:c r="F79" s="575" t="n">
        <x:f>IF($A79="","",AVERAGE(100*((COUNTIF('All Stats'!$AF$6:$AF$172,"&lt;"&amp;'All Stats'!AF79)+(COUNTIF('All Stats'!$AF$6:$AF$172,'All Stats'!AF79)-1)/2)/(COUNT('All Stats'!$AF$6:$AF$172)-1))^'Specialisation Scenarios'!$X$10,100*((COUNTIF('All Stats'!$AI$6:$AI$172,"&lt;"&amp;'All Stats'!AI79)+(COUNTIF('All Stats'!$AI$6:$AI$172,'All Stats'!AI79)-1)/2)/(COUNT('All Stats'!$AI$6:$AI$172)-1))^'Specialisation Scenarios'!$X$10,100*((COUNTIF('All Stats'!$AK$6:$AK$172,"&lt;"&amp;'All Stats'!AK79)+(COUNTIF('All Stats'!$AK$6:$AK$172,'All Stats'!AK79)-1)/2)/(COUNT('All Stats'!$AK$6:$AK$172)-1))^'Specialisation Scenarios'!$X$10))</x:f>
        <x:v>77.67339297348008</x:v>
      </x:c>
      <x:c r="G79" s="575" t="n">
        <x:f>IF($A79="","",C79*'Specialisation Scenarios'!$X$11+D79*'Specialisation Scenarios'!$X$12+E79*'Specialisation Scenarios'!$X$13+F79*'Specialisation Scenarios'!$X$14)</x:f>
        <x:v>77.9166189180698</x:v>
      </x:c>
      <x:c r="H79" s="575" t="n">
        <x:f>IF(SUMIFS('Specialisation Impact'!$E$19:$E$186,'Specialisation Impact'!$A$19:$A$186,A79,'Specialisation Impact'!$B$19:$B$186,B79)=0,"",SUMIFS('Specialisation Impact'!$S$19:$S$186,'Specialisation Impact'!$A$19:$A$186,A79,'Specialisation Impact'!$B$19:$B$186,B79))</x:f>
        <x:v>92.98701298701299</x:v>
      </x:c>
      <x:c r="I79" s="579" t="n">
        <x:f>IF(SUMIFS('Specialisation Impact'!$E$19:$E$186,'Specialisation Impact'!$A$19:$A$186,A79,'Specialisation Impact'!$B$19:$B$186,B79)=0,0,SUMIFS('Specialisation Impact'!$F$19:$F$186,'Specialisation Impact'!$A$19:$A$186,A79,'Specialisation Impact'!$B$19:$B$186,B79))</x:f>
        <x:v>1</x:v>
      </x:c>
      <x:c r="J79" s="575" t="n">
        <x:f>G79</x:f>
        <x:v>77.9166189180698</x:v>
      </x:c>
      <x:c r="K79" s="575" t="n">
        <x:f>IF(G79="","",IF(I79=0,G79,MAX(0,MIN(100,G79*(1-'Specialisation Scenarios'!$B$8*I79)+H79*('Specialisation Scenarios'!$B$8*I79)))))</x:f>
        <x:v>81.6842174353056</x:v>
      </x:c>
      <x:c r="L79" s="575" t="n">
        <x:f>IF(G79="","",IF(I79=0,G79,MAX(0,MIN(100,G79*(1-'Specialisation Scenarios'!$B$9*I79)+H79*('Specialisation Scenarios'!$B$9*I79)))))</x:f>
        <x:v>83.19125684219992</x:v>
      </x:c>
      <x:c r="M79" s="575" t="str">
        <x:f>IF(COUNTIFS('Tank &amp; Control'!$A$23:$A$189,A79,'Tank &amp; Control'!$B$23:$B$189,B79,'Tank &amp; Control'!$C$23:$C$189,"Yes")&gt;0,"Yes","No")</x:f>
        <x:v>Yes</x:v>
      </x:c>
      <x:c r="N79" s="575" t="n">
        <x:f>IF(M79&lt;&gt;"Yes","",SUMIFS('Tank &amp; Control'!$L$23:$L$189,'Tank &amp; Control'!$A$23:$A$189,A79,'Tank &amp; Control'!$B$23:$B$189,B79))</x:f>
        <x:v>19.856439519566074</x:v>
      </x:c>
      <x:c r="O79" s="575" t="str">
        <x:f>IF(SUMIFS('Specialisation Impact'!$M$19:$M$186,'Specialisation Impact'!$A$19:$A$186,A79,'Specialisation Impact'!$B$19:$B$186,B79)=0,"",SUMIFS('Specialisation Impact'!$V$19:$V$186,'Specialisation Impact'!$A$19:$A$186,A79,'Specialisation Impact'!$B$19:$B$186,B79))</x:f>
      </x:c>
      <x:c r="P79" s="575" t="n">
        <x:f>IF(N79="","",N79)</x:f>
        <x:v>19.856439519566074</x:v>
      </x:c>
      <x:c r="Q79" s="575" t="n">
        <x:f>IF(N79="","",IF(AC79=0,N79,MAX(0,MIN(100,N79*(1-'Specialisation Scenarios'!$B$8*AC79)+O79*('Specialisation Scenarios'!$B$8*AC79)))))</x:f>
        <x:v>19.856439519566074</x:v>
      </x:c>
      <x:c r="R79" s="575" t="n">
        <x:f>IF(N79="","",IF(AC79=0,N79,MAX(0,MIN(100,N79*(1-'Specialisation Scenarios'!$B$9*AC79)+O79*('Specialisation Scenarios'!$B$9*AC79)))))</x:f>
        <x:v>19.856439519566074</x:v>
      </x:c>
      <x:c r="S79" s="583" t="n">
        <x:f>IF(J79="","",COUNTIFS($A$6:$A$172,A79,$J$6:$J$172,"&gt;"&amp;J79)+COUNTIFS($A$6:A79,A79,$J$6:J79,J79))</x:f>
        <x:v>1</x:v>
      </x:c>
      <x:c r="T79" s="583" t="n">
        <x:f>IF(K79="","",COUNTIFS($A$6:$A$172,A79,$K$6:$K$172,"&gt;"&amp;K79)+COUNTIFS($A$6:A79,A79,$K$6:K79,K79))</x:f>
        <x:v>1</x:v>
      </x:c>
      <x:c r="U79" s="583" t="n">
        <x:f>IF(L79="","",COUNTIFS($A$6:$A$172,A79,$L$6:$L$172,"&gt;"&amp;L79)+COUNTIFS($A$6:A79,A79,$L$6:L79,L79))</x:f>
        <x:v>1</x:v>
      </x:c>
      <x:c r="V79" s="583" t="n">
        <x:f>IF(P79="","",COUNTIFS($A$6:$A$172,A79,$P$6:$P$172,"&gt;"&amp;P79)+COUNTIFS($A$6:A79,A79,$P$6:P79,P79))</x:f>
        <x:v>3</x:v>
      </x:c>
      <x:c r="W79" s="583" t="n">
        <x:f>IF(Q79="","",COUNTIFS($A$6:$A$172,A79,$Q$6:$Q$172,"&gt;"&amp;Q79)+COUNTIFS($A$6:A79,A79,$Q$6:Q79,Q79))</x:f>
        <x:v>4</x:v>
      </x:c>
      <x:c r="X79" s="583" t="n">
        <x:f>IF(R79="","",COUNTIFS($A$6:$A$172,A79,$R$6:$R$172,"&gt;"&amp;R79)+COUNTIFS($A$6:A79,A79,$R$6:R79,R79))</x:f>
        <x:v>4</x:v>
      </x:c>
      <x:c r="Y79" s="571" t="str">
        <x:f>IF(V79="","",A79&amp;"|"&amp;V79)</x:f>
        <x:v>K138|3</x:v>
      </x:c>
      <x:c r="Z79" s="571" t="str">
        <x:f>IF(W79="","",A79&amp;"|"&amp;W79)</x:f>
        <x:v>K138|4</x:v>
      </x:c>
      <x:c r="AA79" s="571" t="str">
        <x:f>IF(X79="","",A79&amp;"|"&amp;X79)</x:f>
        <x:v>K138|4</x:v>
      </x:c>
      <x:c r="AB79" s="571" t="str">
        <x:f>IF(A79="","",IF(I79=0,"Offense neutral — no recorded offensive skills",IF(I79&lt;1,"Partial lookup — adjustment scaled",IF(AND(M79="Yes",AC79=0),"Offense adjusted; Guard neutral","Captured"))))</x:f>
        <x:v>Offense adjusted; Guard neutral</x:v>
      </x:c>
      <x:c r="AC79" s="579" t="n">
        <x:f>IF(SUMIFS('Specialisation Impact'!$M$19:$M$186,'Specialisation Impact'!$A$19:$A$186,A79,'Specialisation Impact'!$B$19:$B$186,B79)=0,0,SUMIFS('Specialisation Impact'!$F$19:$F$186,'Specialisation Impact'!$A$19:$A$186,A79,'Specialisation Impact'!$B$19:$B$186,B79))</x:f>
        <x:v>0</x:v>
      </x:c>
    </x:row>
    <x:row r="80">
      <x:c r="A80" s="572" t="str">
        <x:v>K138</x:v>
      </x:c>
      <x:c r="B80" s="572" t="str">
        <x:v>(RaW)Maddog</x:v>
      </x:c>
      <x:c r="C80" s="576" t="n">
        <x:f>IF($A80="","",AVERAGE(100*((COUNTIF('All Stats'!$D$6:$D$172,"&lt;"&amp;'All Stats'!D80)+(COUNTIF('All Stats'!$D$6:$D$172,'All Stats'!D80)-1)/2)/(COUNT('All Stats'!$D$6:$D$172)-1))^'Specialisation Scenarios'!$X$10,100*((COUNTIF('All Stats'!$G$6:$G$172,"&lt;"&amp;'All Stats'!G80)+(COUNTIF('All Stats'!$G$6:$G$172,'All Stats'!G80)-1)/2)/(COUNT('All Stats'!$G$6:$G$172)-1))^'Specialisation Scenarios'!$X$10,100*((COUNTIF('All Stats'!$I$6:$I$172,"&lt;"&amp;'All Stats'!I80)+(COUNTIF('All Stats'!$I$6:$I$172,'All Stats'!I80)-1)/2)/(COUNT('All Stats'!$I$6:$I$172)-1))^'Specialisation Scenarios'!$X$10))</x:f>
        <x:v>46.54362916252546</x:v>
      </x:c>
      <x:c r="D80" s="576" t="n">
        <x:f>IF($A80="","",AVERAGE(100*((COUNTIF('All Stats'!$R$6:$R$172,"&lt;"&amp;'All Stats'!R80)+(COUNTIF('All Stats'!$R$6:$R$172,'All Stats'!R80)-1)/2)/(COUNT('All Stats'!$R$6:$R$172)-1))^'Specialisation Scenarios'!$X$10,100*((COUNTIF('All Stats'!$U$6:$U$172,"&lt;"&amp;'All Stats'!U80)+(COUNTIF('All Stats'!$U$6:$U$172,'All Stats'!U80)-1)/2)/(COUNT('All Stats'!$U$6:$U$172)-1))^'Specialisation Scenarios'!$X$10,100*((COUNTIF('All Stats'!$W$6:$W$172,"&lt;"&amp;'All Stats'!W80)+(COUNTIF('All Stats'!$W$6:$W$172,'All Stats'!W80)-1)/2)/(COUNT('All Stats'!$W$6:$W$172)-1))^'Specialisation Scenarios'!$X$10))</x:f>
        <x:v>43.050794276021634</x:v>
      </x:c>
      <x:c r="E80" s="576" t="n">
        <x:f>IF($A80="","",AVERAGE(100*((COUNTIF('All Stats'!$Y$6:$Y$172,"&lt;"&amp;'All Stats'!Y80)+(COUNTIF('All Stats'!$Y$6:$Y$172,'All Stats'!Y80)-1)/2)/(COUNT('All Stats'!$Y$6:$Y$172)-1))^'Specialisation Scenarios'!$X$10,100*((COUNTIF('All Stats'!$AB$6:$AB$172,"&lt;"&amp;'All Stats'!AB80)+(COUNTIF('All Stats'!$AB$6:$AB$172,'All Stats'!AB80)-1)/2)/(COUNT('All Stats'!$AB$6:$AB$172)-1))^'Specialisation Scenarios'!$X$10,100*((COUNTIF('All Stats'!$AD$6:$AD$172,"&lt;"&amp;'All Stats'!AD80)+(COUNTIF('All Stats'!$AD$6:$AD$172,'All Stats'!AD80)-1)/2)/(COUNT('All Stats'!$AD$6:$AD$172)-1))^'Specialisation Scenarios'!$X$10))</x:f>
        <x:v>39.68327980310631</x:v>
      </x:c>
      <x:c r="F80" s="576" t="n">
        <x:f>IF($A80="","",AVERAGE(100*((COUNTIF('All Stats'!$AF$6:$AF$172,"&lt;"&amp;'All Stats'!AF80)+(COUNTIF('All Stats'!$AF$6:$AF$172,'All Stats'!AF80)-1)/2)/(COUNT('All Stats'!$AF$6:$AF$172)-1))^'Specialisation Scenarios'!$X$10,100*((COUNTIF('All Stats'!$AI$6:$AI$172,"&lt;"&amp;'All Stats'!AI80)+(COUNTIF('All Stats'!$AI$6:$AI$172,'All Stats'!AI80)-1)/2)/(COUNT('All Stats'!$AI$6:$AI$172)-1))^'Specialisation Scenarios'!$X$10,100*((COUNTIF('All Stats'!$AK$6:$AK$172,"&lt;"&amp;'All Stats'!AK80)+(COUNTIF('All Stats'!$AK$6:$AK$172,'All Stats'!AK80)-1)/2)/(COUNT('All Stats'!$AK$6:$AK$172)-1))^'Specialisation Scenarios'!$X$10))</x:f>
        <x:v>56.170660926094826</x:v>
      </x:c>
      <x:c r="G80" s="576" t="n">
        <x:f>IF($A80="","",C80*'Specialisation Scenarios'!$X$11+D80*'Specialisation Scenarios'!$X$12+E80*'Specialisation Scenarios'!$X$13+F80*'Specialisation Scenarios'!$X$14)</x:f>
        <x:v>45.20594805921665</x:v>
      </x:c>
      <x:c r="H80" s="576" t="n">
        <x:f>IF(SUMIFS('Specialisation Impact'!$E$19:$E$186,'Specialisation Impact'!$A$19:$A$186,A80,'Specialisation Impact'!$B$19:$B$186,B80)=0,"",SUMIFS('Specialisation Impact'!$S$19:$S$186,'Specialisation Impact'!$A$19:$A$186,A80,'Specialisation Impact'!$B$19:$B$186,B80))</x:f>
        <x:v>10.25974025974026</x:v>
      </x:c>
      <x:c r="I80" s="580" t="n">
        <x:f>IF(SUMIFS('Specialisation Impact'!$E$19:$E$186,'Specialisation Impact'!$A$19:$A$186,A80,'Specialisation Impact'!$B$19:$B$186,B80)=0,0,SUMIFS('Specialisation Impact'!$F$19:$F$186,'Specialisation Impact'!$A$19:$A$186,A80,'Specialisation Impact'!$B$19:$B$186,B80))</x:f>
        <x:v>1</x:v>
      </x:c>
      <x:c r="J80" s="576" t="n">
        <x:f>G80</x:f>
        <x:v>45.20594805921665</x:v>
      </x:c>
      <x:c r="K80" s="576" t="n">
        <x:f>IF(G80="","",IF(I80=0,G80,MAX(0,MIN(100,G80*(1-'Specialisation Scenarios'!$B$8*I80)+H80*('Specialisation Scenarios'!$B$8*I80)))))</x:f>
        <x:v>36.46939610934755</x:v>
      </x:c>
      <x:c r="L80" s="576" t="n">
        <x:f>IF(G80="","",IF(I80=0,G80,MAX(0,MIN(100,G80*(1-'Specialisation Scenarios'!$B$9*I80)+H80*('Specialisation Scenarios'!$B$9*I80)))))</x:f>
        <x:v>32.97477532939992</x:v>
      </x:c>
      <x:c r="M80" s="576" t="str">
        <x:f>IF(COUNTIFS('Tank &amp; Control'!$A$23:$A$189,A80,'Tank &amp; Control'!$B$23:$B$189,B80,'Tank &amp; Control'!$C$23:$C$189,"Yes")&gt;0,"Yes","No")</x:f>
        <x:v>No</x:v>
      </x:c>
      <x:c r="N80" s="576" t="str">
        <x:f>IF(M80&lt;&gt;"Yes","",SUMIFS('Tank &amp; Control'!$L$23:$L$189,'Tank &amp; Control'!$A$23:$A$189,A80,'Tank &amp; Control'!$B$23:$B$189,B80))</x:f>
      </x:c>
      <x:c r="O80" s="576" t="n">
        <x:f>IF(SUMIFS('Specialisation Impact'!$M$19:$M$186,'Specialisation Impact'!$A$19:$A$186,A80,'Specialisation Impact'!$B$19:$B$186,B80)=0,"",SUMIFS('Specialisation Impact'!$V$19:$V$186,'Specialisation Impact'!$A$19:$A$186,A80,'Specialisation Impact'!$B$19:$B$186,B80))</x:f>
        <x:v>93.16239316239316</x:v>
      </x:c>
      <x:c r="P80" s="576" t="str">
        <x:f>IF(N80="","",N80)</x:f>
      </x:c>
      <x:c r="Q80" s="576" t="str">
        <x:f>IF(N80="","",IF(AC80=0,N80,MAX(0,MIN(100,N80*(1-'Specialisation Scenarios'!$B$8*AC80)+O80*('Specialisation Scenarios'!$B$8*AC80)))))</x:f>
      </x:c>
      <x:c r="R80" s="576" t="str">
        <x:f>IF(N80="","",IF(AC80=0,N80,MAX(0,MIN(100,N80*(1-'Specialisation Scenarios'!$B$9*AC80)+O80*('Specialisation Scenarios'!$B$9*AC80)))))</x:f>
      </x:c>
      <x:c r="S80" s="584" t="n">
        <x:f>IF(J80="","",COUNTIFS($A$6:$A$172,A80,$J$6:$J$172,"&gt;"&amp;J80)+COUNTIFS($A$6:A80,A80,$J$6:J80,J80))</x:f>
        <x:v>8</x:v>
      </x:c>
      <x:c r="T80" s="584" t="n">
        <x:f>IF(K80="","",COUNTIFS($A$6:$A$172,A80,$K$6:$K$172,"&gt;"&amp;K80)+COUNTIFS($A$6:A80,A80,$K$6:K80,K80))</x:f>
        <x:v>9</x:v>
      </x:c>
      <x:c r="U80" s="584" t="n">
        <x:f>IF(L80="","",COUNTIFS($A$6:$A$172,A80,$L$6:$L$172,"&gt;"&amp;L80)+COUNTIFS($A$6:A80,A80,$L$6:L80,L80))</x:f>
        <x:v>12</x:v>
      </x:c>
      <x:c r="V80" s="584" t="str">
        <x:f>IF(P80="","",COUNTIFS($A$6:$A$172,A80,$P$6:$P$172,"&gt;"&amp;P80)+COUNTIFS($A$6:A80,A80,$P$6:P80,P80))</x:f>
      </x:c>
      <x:c r="W80" s="584" t="str">
        <x:f>IF(Q80="","",COUNTIFS($A$6:$A$172,A80,$Q$6:$Q$172,"&gt;"&amp;Q80)+COUNTIFS($A$6:A80,A80,$Q$6:Q80,Q80))</x:f>
      </x:c>
      <x:c r="X80" s="584" t="str">
        <x:f>IF(R80="","",COUNTIFS($A$6:$A$172,A80,$R$6:$R$172,"&gt;"&amp;R80)+COUNTIFS($A$6:A80,A80,$R$6:R80,R80))</x:f>
      </x:c>
      <x:c r="Y80" s="572" t="str">
        <x:f>IF(V80="","",A80&amp;"|"&amp;V80)</x:f>
      </x:c>
      <x:c r="Z80" s="572" t="str">
        <x:f>IF(W80="","",A80&amp;"|"&amp;W80)</x:f>
      </x:c>
      <x:c r="AA80" s="572" t="str">
        <x:f>IF(X80="","",A80&amp;"|"&amp;X80)</x:f>
      </x:c>
      <x:c r="AB80" s="572" t="str">
        <x:f>IF(A80="","",IF(I80=0,"Offense neutral — no recorded offensive skills",IF(I80&lt;1,"Partial lookup — adjustment scaled",IF(AND(M80="Yes",AC80=0),"Offense adjusted; Guard neutral","Captured"))))</x:f>
        <x:v>Captured</x:v>
      </x:c>
      <x:c r="AC80" s="580" t="n">
        <x:f>IF(SUMIFS('Specialisation Impact'!$M$19:$M$186,'Specialisation Impact'!$A$19:$A$186,A80,'Specialisation Impact'!$B$19:$B$186,B80)=0,0,SUMIFS('Specialisation Impact'!$F$19:$F$186,'Specialisation Impact'!$A$19:$A$186,A80,'Specialisation Impact'!$B$19:$B$186,B80))</x:f>
        <x:v>1</x:v>
      </x:c>
    </x:row>
    <x:row r="81">
      <x:c r="A81" s="571" t="str">
        <x:v>K138</x:v>
      </x:c>
      <x:c r="B81" s="571" t="str">
        <x:v>(RaW)BEYKOZLU</x:v>
      </x:c>
      <x:c r="C81" s="575" t="n">
        <x:f>IF($A81="","",AVERAGE(100*((COUNTIF('All Stats'!$D$6:$D$172,"&lt;"&amp;'All Stats'!D81)+(COUNTIF('All Stats'!$D$6:$D$172,'All Stats'!D81)-1)/2)/(COUNT('All Stats'!$D$6:$D$172)-1))^'Specialisation Scenarios'!$X$10,100*((COUNTIF('All Stats'!$G$6:$G$172,"&lt;"&amp;'All Stats'!G81)+(COUNTIF('All Stats'!$G$6:$G$172,'All Stats'!G81)-1)/2)/(COUNT('All Stats'!$G$6:$G$172)-1))^'Specialisation Scenarios'!$X$10,100*((COUNTIF('All Stats'!$I$6:$I$172,"&lt;"&amp;'All Stats'!I81)+(COUNTIF('All Stats'!$I$6:$I$172,'All Stats'!I81)-1)/2)/(COUNT('All Stats'!$I$6:$I$172)-1))^'Specialisation Scenarios'!$X$10))</x:f>
        <x:v>10.393448695941109</x:v>
      </x:c>
      <x:c r="D81" s="575" t="n">
        <x:f>IF($A81="","",AVERAGE(100*((COUNTIF('All Stats'!$R$6:$R$172,"&lt;"&amp;'All Stats'!R81)+(COUNTIF('All Stats'!$R$6:$R$172,'All Stats'!R81)-1)/2)/(COUNT('All Stats'!$R$6:$R$172)-1))^'Specialisation Scenarios'!$X$10,100*((COUNTIF('All Stats'!$U$6:$U$172,"&lt;"&amp;'All Stats'!U81)+(COUNTIF('All Stats'!$U$6:$U$172,'All Stats'!U81)-1)/2)/(COUNT('All Stats'!$U$6:$U$172)-1))^'Specialisation Scenarios'!$X$10,100*((COUNTIF('All Stats'!$W$6:$W$172,"&lt;"&amp;'All Stats'!W81)+(COUNTIF('All Stats'!$W$6:$W$172,'All Stats'!W81)-1)/2)/(COUNT('All Stats'!$W$6:$W$172)-1))^'Specialisation Scenarios'!$X$10))</x:f>
        <x:v>35.059135450738545</x:v>
      </x:c>
      <x:c r="E81" s="575" t="n">
        <x:f>IF($A81="","",AVERAGE(100*((COUNTIF('All Stats'!$Y$6:$Y$172,"&lt;"&amp;'All Stats'!Y81)+(COUNTIF('All Stats'!$Y$6:$Y$172,'All Stats'!Y81)-1)/2)/(COUNT('All Stats'!$Y$6:$Y$172)-1))^'Specialisation Scenarios'!$X$10,100*((COUNTIF('All Stats'!$AB$6:$AB$172,"&lt;"&amp;'All Stats'!AB81)+(COUNTIF('All Stats'!$AB$6:$AB$172,'All Stats'!AB81)-1)/2)/(COUNT('All Stats'!$AB$6:$AB$172)-1))^'Specialisation Scenarios'!$X$10,100*((COUNTIF('All Stats'!$AD$6:$AD$172,"&lt;"&amp;'All Stats'!AD81)+(COUNTIF('All Stats'!$AD$6:$AD$172,'All Stats'!AD81)-1)/2)/(COUNT('All Stats'!$AD$6:$AD$172)-1))^'Specialisation Scenarios'!$X$10))</x:f>
        <x:v>10.673611708289974</x:v>
      </x:c>
      <x:c r="F81" s="575" t="n">
        <x:f>IF($A81="","",AVERAGE(100*((COUNTIF('All Stats'!$AF$6:$AF$172,"&lt;"&amp;'All Stats'!AF81)+(COUNTIF('All Stats'!$AF$6:$AF$172,'All Stats'!AF81)-1)/2)/(COUNT('All Stats'!$AF$6:$AF$172)-1))^'Specialisation Scenarios'!$X$10,100*((COUNTIF('All Stats'!$AI$6:$AI$172,"&lt;"&amp;'All Stats'!AI81)+(COUNTIF('All Stats'!$AI$6:$AI$172,'All Stats'!AI81)-1)/2)/(COUNT('All Stats'!$AI$6:$AI$172)-1))^'Specialisation Scenarios'!$X$10,100*((COUNTIF('All Stats'!$AK$6:$AK$172,"&lt;"&amp;'All Stats'!AK81)+(COUNTIF('All Stats'!$AK$6:$AK$172,'All Stats'!AK81)-1)/2)/(COUNT('All Stats'!$AK$6:$AK$172)-1))^'Specialisation Scenarios'!$X$10))</x:f>
        <x:v>34.77949543501233</x:v>
      </x:c>
      <x:c r="G81" s="575" t="n">
        <x:f>IF($A81="","",C81*'Specialisation Scenarios'!$X$11+D81*'Specialisation Scenarios'!$X$12+E81*'Specialisation Scenarios'!$X$13+F81*'Specialisation Scenarios'!$X$14)</x:f>
        <x:v>28.878784060915137</x:v>
      </x:c>
      <x:c r="H81" s="575" t="n">
        <x:f>IF(SUMIFS('Specialisation Impact'!$E$19:$E$186,'Specialisation Impact'!$A$19:$A$186,A81,'Specialisation Impact'!$B$19:$B$186,B81)=0,"",SUMIFS('Specialisation Impact'!$S$19:$S$186,'Specialisation Impact'!$A$19:$A$186,A81,'Specialisation Impact'!$B$19:$B$186,B81))</x:f>
        <x:v>44.935064935064936</x:v>
      </x:c>
      <x:c r="I81" s="579" t="n">
        <x:f>IF(SUMIFS('Specialisation Impact'!$E$19:$E$186,'Specialisation Impact'!$A$19:$A$186,A81,'Specialisation Impact'!$B$19:$B$186,B81)=0,0,SUMIFS('Specialisation Impact'!$F$19:$F$186,'Specialisation Impact'!$A$19:$A$186,A81,'Specialisation Impact'!$B$19:$B$186,B81))</x:f>
        <x:v>1</x:v>
      </x:c>
      <x:c r="J81" s="575" t="n">
        <x:f>G81</x:f>
        <x:v>28.878784060915137</x:v>
      </x:c>
      <x:c r="K81" s="575" t="n">
        <x:f>IF(G81="","",IF(I81=0,G81,MAX(0,MIN(100,G81*(1-'Specialisation Scenarios'!$B$8*I81)+H81*('Specialisation Scenarios'!$B$8*I81)))))</x:f>
        <x:v>32.892854279452585</x:v>
      </x:c>
      <x:c r="L81" s="575" t="n">
        <x:f>IF(G81="","",IF(I81=0,G81,MAX(0,MIN(100,G81*(1-'Specialisation Scenarios'!$B$9*I81)+H81*('Specialisation Scenarios'!$B$9*I81)))))</x:f>
        <x:v>34.49848236686756</x:v>
      </x:c>
      <x:c r="M81" s="575" t="str">
        <x:f>IF(COUNTIFS('Tank &amp; Control'!$A$23:$A$189,A81,'Tank &amp; Control'!$B$23:$B$189,B81,'Tank &amp; Control'!$C$23:$C$189,"Yes")&gt;0,"Yes","No")</x:f>
        <x:v>No</x:v>
      </x:c>
      <x:c r="N81" s="575" t="str">
        <x:f>IF(M81&lt;&gt;"Yes","",SUMIFS('Tank &amp; Control'!$L$23:$L$189,'Tank &amp; Control'!$A$23:$A$189,A81,'Tank &amp; Control'!$B$23:$B$189,B81))</x:f>
      </x:c>
      <x:c r="O81" s="575" t="n">
        <x:f>IF(SUMIFS('Specialisation Impact'!$M$19:$M$186,'Specialisation Impact'!$A$19:$A$186,A81,'Specialisation Impact'!$B$19:$B$186,B81)=0,"",SUMIFS('Specialisation Impact'!$V$19:$V$186,'Specialisation Impact'!$A$19:$A$186,A81,'Specialisation Impact'!$B$19:$B$186,B81))</x:f>
        <x:v>79.91452991452991</x:v>
      </x:c>
      <x:c r="P81" s="575" t="str">
        <x:f>IF(N81="","",N81)</x:f>
      </x:c>
      <x:c r="Q81" s="575" t="str">
        <x:f>IF(N81="","",IF(AC81=0,N81,MAX(0,MIN(100,N81*(1-'Specialisation Scenarios'!$B$8*AC81)+O81*('Specialisation Scenarios'!$B$8*AC81)))))</x:f>
      </x:c>
      <x:c r="R81" s="575" t="str">
        <x:f>IF(N81="","",IF(AC81=0,N81,MAX(0,MIN(100,N81*(1-'Specialisation Scenarios'!$B$9*AC81)+O81*('Specialisation Scenarios'!$B$9*AC81)))))</x:f>
      </x:c>
      <x:c r="S81" s="583" t="n">
        <x:f>IF(J81="","",COUNTIFS($A$6:$A$172,A81,$J$6:$J$172,"&gt;"&amp;J81)+COUNTIFS($A$6:A81,A81,$J$6:J81,J81))</x:f>
        <x:v>14</x:v>
      </x:c>
      <x:c r="T81" s="583" t="n">
        <x:f>IF(K81="","",COUNTIFS($A$6:$A$172,A81,$K$6:$K$172,"&gt;"&amp;K81)+COUNTIFS($A$6:A81,A81,$K$6:K81,K81))</x:f>
        <x:v>12</x:v>
      </x:c>
      <x:c r="U81" s="583" t="n">
        <x:f>IF(L81="","",COUNTIFS($A$6:$A$172,A81,$L$6:$L$172,"&gt;"&amp;L81)+COUNTIFS($A$6:A81,A81,$L$6:L81,L81))</x:f>
        <x:v>11</x:v>
      </x:c>
      <x:c r="V81" s="583" t="str">
        <x:f>IF(P81="","",COUNTIFS($A$6:$A$172,A81,$P$6:$P$172,"&gt;"&amp;P81)+COUNTIFS($A$6:A81,A81,$P$6:P81,P81))</x:f>
      </x:c>
      <x:c r="W81" s="583" t="str">
        <x:f>IF(Q81="","",COUNTIFS($A$6:$A$172,A81,$Q$6:$Q$172,"&gt;"&amp;Q81)+COUNTIFS($A$6:A81,A81,$Q$6:Q81,Q81))</x:f>
      </x:c>
      <x:c r="X81" s="583" t="str">
        <x:f>IF(R81="","",COUNTIFS($A$6:$A$172,A81,$R$6:$R$172,"&gt;"&amp;R81)+COUNTIFS($A$6:A81,A81,$R$6:R81,R81))</x:f>
      </x:c>
      <x:c r="Y81" s="571" t="str">
        <x:f>IF(V81="","",A81&amp;"|"&amp;V81)</x:f>
      </x:c>
      <x:c r="Z81" s="571" t="str">
        <x:f>IF(W81="","",A81&amp;"|"&amp;W81)</x:f>
      </x:c>
      <x:c r="AA81" s="571" t="str">
        <x:f>IF(X81="","",A81&amp;"|"&amp;X81)</x:f>
      </x:c>
      <x:c r="AB81" s="571" t="str">
        <x:f>IF(A81="","",IF(I81=0,"Offense neutral — no recorded offensive skills",IF(I81&lt;1,"Partial lookup — adjustment scaled",IF(AND(M81="Yes",AC81=0),"Offense adjusted; Guard neutral","Captured"))))</x:f>
        <x:v>Captured</x:v>
      </x:c>
      <x:c r="AC81" s="579" t="n">
        <x:f>IF(SUMIFS('Specialisation Impact'!$M$19:$M$186,'Specialisation Impact'!$A$19:$A$186,A81,'Specialisation Impact'!$B$19:$B$186,B81)=0,0,SUMIFS('Specialisation Impact'!$F$19:$F$186,'Specialisation Impact'!$A$19:$A$186,A81,'Specialisation Impact'!$B$19:$B$186,B81))</x:f>
        <x:v>1</x:v>
      </x:c>
    </x:row>
    <x:row r="82">
      <x:c r="A82" s="572" t="str">
        <x:v>K138</x:v>
      </x:c>
      <x:c r="B82" s="572" t="str">
        <x:v>(RaW)༺ASOS༻</x:v>
      </x:c>
      <x:c r="C82" s="576" t="n">
        <x:f>IF($A82="","",AVERAGE(100*((COUNTIF('All Stats'!$D$6:$D$172,"&lt;"&amp;'All Stats'!D82)+(COUNTIF('All Stats'!$D$6:$D$172,'All Stats'!D82)-1)/2)/(COUNT('All Stats'!$D$6:$D$172)-1))^'Specialisation Scenarios'!$X$10,100*((COUNTIF('All Stats'!$G$6:$G$172,"&lt;"&amp;'All Stats'!G82)+(COUNTIF('All Stats'!$G$6:$G$172,'All Stats'!G82)-1)/2)/(COUNT('All Stats'!$G$6:$G$172)-1))^'Specialisation Scenarios'!$X$10,100*((COUNTIF('All Stats'!$I$6:$I$172,"&lt;"&amp;'All Stats'!I82)+(COUNTIF('All Stats'!$I$6:$I$172,'All Stats'!I82)-1)/2)/(COUNT('All Stats'!$I$6:$I$172)-1))^'Specialisation Scenarios'!$X$10))</x:f>
        <x:v>8.645504630173406</x:v>
      </x:c>
      <x:c r="D82" s="576" t="n">
        <x:f>IF($A82="","",AVERAGE(100*((COUNTIF('All Stats'!$R$6:$R$172,"&lt;"&amp;'All Stats'!R82)+(COUNTIF('All Stats'!$R$6:$R$172,'All Stats'!R82)-1)/2)/(COUNT('All Stats'!$R$6:$R$172)-1))^'Specialisation Scenarios'!$X$10,100*((COUNTIF('All Stats'!$U$6:$U$172,"&lt;"&amp;'All Stats'!U82)+(COUNTIF('All Stats'!$U$6:$U$172,'All Stats'!U82)-1)/2)/(COUNT('All Stats'!$U$6:$U$172)-1))^'Specialisation Scenarios'!$X$10,100*((COUNTIF('All Stats'!$W$6:$W$172,"&lt;"&amp;'All Stats'!W82)+(COUNTIF('All Stats'!$W$6:$W$172,'All Stats'!W82)-1)/2)/(COUNT('All Stats'!$W$6:$W$172)-1))^'Specialisation Scenarios'!$X$10))</x:f>
        <x:v>0.36862585789096763</x:v>
      </x:c>
      <x:c r="E82" s="576" t="n">
        <x:f>IF($A82="","",AVERAGE(100*((COUNTIF('All Stats'!$Y$6:$Y$172,"&lt;"&amp;'All Stats'!Y82)+(COUNTIF('All Stats'!$Y$6:$Y$172,'All Stats'!Y82)-1)/2)/(COUNT('All Stats'!$Y$6:$Y$172)-1))^'Specialisation Scenarios'!$X$10,100*((COUNTIF('All Stats'!$AB$6:$AB$172,"&lt;"&amp;'All Stats'!AB82)+(COUNTIF('All Stats'!$AB$6:$AB$172,'All Stats'!AB82)-1)/2)/(COUNT('All Stats'!$AB$6:$AB$172)-1))^'Specialisation Scenarios'!$X$10,100*((COUNTIF('All Stats'!$AD$6:$AD$172,"&lt;"&amp;'All Stats'!AD82)+(COUNTIF('All Stats'!$AD$6:$AD$172,'All Stats'!AD82)-1)/2)/(COUNT('All Stats'!$AD$6:$AD$172)-1))^'Specialisation Scenarios'!$X$10))</x:f>
        <x:v>15.090074771522483</x:v>
      </x:c>
      <x:c r="F82" s="576" t="n">
        <x:f>IF($A82="","",AVERAGE(100*((COUNTIF('All Stats'!$AF$6:$AF$172,"&lt;"&amp;'All Stats'!AF82)+(COUNTIF('All Stats'!$AF$6:$AF$172,'All Stats'!AF82)-1)/2)/(COUNT('All Stats'!$AF$6:$AF$172)-1))^'Specialisation Scenarios'!$X$10,100*((COUNTIF('All Stats'!$AI$6:$AI$172,"&lt;"&amp;'All Stats'!AI82)+(COUNTIF('All Stats'!$AI$6:$AI$172,'All Stats'!AI82)-1)/2)/(COUNT('All Stats'!$AI$6:$AI$172)-1))^'Specialisation Scenarios'!$X$10,100*((COUNTIF('All Stats'!$AK$6:$AK$172,"&lt;"&amp;'All Stats'!AK82)+(COUNTIF('All Stats'!$AK$6:$AK$172,'All Stats'!AK82)-1)/2)/(COUNT('All Stats'!$AK$6:$AK$172)-1))^'Specialisation Scenarios'!$X$10))</x:f>
        <x:v>1.9650782792416697</x:v>
      </x:c>
      <x:c r="G82" s="576" t="n">
        <x:f>IF($A82="","",C82*'Specialisation Scenarios'!$X$11+D82*'Specialisation Scenarios'!$X$12+E82*'Specialisation Scenarios'!$X$13+F82*'Specialisation Scenarios'!$X$14)</x:f>
        <x:v>3.3217704282990903</x:v>
      </x:c>
      <x:c r="H82" s="576" t="n">
        <x:f>IF(SUMIFS('Specialisation Impact'!$E$19:$E$186,'Specialisation Impact'!$A$19:$A$186,A82,'Specialisation Impact'!$B$19:$B$186,B82)=0,"",SUMIFS('Specialisation Impact'!$S$19:$S$186,'Specialisation Impact'!$A$19:$A$186,A82,'Specialisation Impact'!$B$19:$B$186,B82))</x:f>
        <x:v>9.935064935064934</x:v>
      </x:c>
      <x:c r="I82" s="580" t="n">
        <x:f>IF(SUMIFS('Specialisation Impact'!$E$19:$E$186,'Specialisation Impact'!$A$19:$A$186,A82,'Specialisation Impact'!$B$19:$B$186,B82)=0,0,SUMIFS('Specialisation Impact'!$F$19:$F$186,'Specialisation Impact'!$A$19:$A$186,A82,'Specialisation Impact'!$B$19:$B$186,B82))</x:f>
        <x:v>1</x:v>
      </x:c>
      <x:c r="J82" s="576" t="n">
        <x:f>G82</x:f>
        <x:v>3.3217704282990903</x:v>
      </x:c>
      <x:c r="K82" s="576" t="n">
        <x:f>IF(G82="","",IF(I82=0,G82,MAX(0,MIN(100,G82*(1-'Specialisation Scenarios'!$B$8*I82)+H82*('Specialisation Scenarios'!$B$8*I82)))))</x:f>
        <x:v>4.975094054990551</x:v>
      </x:c>
      <x:c r="L82" s="576" t="n">
        <x:f>IF(G82="","",IF(I82=0,G82,MAX(0,MIN(100,G82*(1-'Specialisation Scenarios'!$B$9*I82)+H82*('Specialisation Scenarios'!$B$9*I82)))))</x:f>
        <x:v>5.6364235056671355</x:v>
      </x:c>
      <x:c r="M82" s="576" t="str">
        <x:f>IF(COUNTIFS('Tank &amp; Control'!$A$23:$A$189,A82,'Tank &amp; Control'!$B$23:$B$189,B82,'Tank &amp; Control'!$C$23:$C$189,"Yes")&gt;0,"Yes","No")</x:f>
        <x:v>No</x:v>
      </x:c>
      <x:c r="N82" s="576" t="str">
        <x:f>IF(M82&lt;&gt;"Yes","",SUMIFS('Tank &amp; Control'!$L$23:$L$189,'Tank &amp; Control'!$A$23:$A$189,A82,'Tank &amp; Control'!$B$23:$B$189,B82))</x:f>
      </x:c>
      <x:c r="O82" s="576" t="n">
        <x:f>IF(SUMIFS('Specialisation Impact'!$M$19:$M$186,'Specialisation Impact'!$A$19:$A$186,A82,'Specialisation Impact'!$B$19:$B$186,B82)=0,"",SUMIFS('Specialisation Impact'!$V$19:$V$186,'Specialisation Impact'!$A$19:$A$186,A82,'Specialisation Impact'!$B$19:$B$186,B82))</x:f>
        <x:v>60.25641025641025</x:v>
      </x:c>
      <x:c r="P82" s="576" t="str">
        <x:f>IF(N82="","",N82)</x:f>
      </x:c>
      <x:c r="Q82" s="576" t="str">
        <x:f>IF(N82="","",IF(AC82=0,N82,MAX(0,MIN(100,N82*(1-'Specialisation Scenarios'!$B$8*AC82)+O82*('Specialisation Scenarios'!$B$8*AC82)))))</x:f>
      </x:c>
      <x:c r="R82" s="576" t="str">
        <x:f>IF(N82="","",IF(AC82=0,N82,MAX(0,MIN(100,N82*(1-'Specialisation Scenarios'!$B$9*AC82)+O82*('Specialisation Scenarios'!$B$9*AC82)))))</x:f>
      </x:c>
      <x:c r="S82" s="584" t="n">
        <x:f>IF(J82="","",COUNTIFS($A$6:$A$172,A82,$J$6:$J$172,"&gt;"&amp;J82)+COUNTIFS($A$6:A82,A82,$J$6:J82,J82))</x:f>
        <x:v>27</x:v>
      </x:c>
      <x:c r="T82" s="584" t="n">
        <x:f>IF(K82="","",COUNTIFS($A$6:$A$172,A82,$K$6:$K$172,"&gt;"&amp;K82)+COUNTIFS($A$6:A82,A82,$K$6:K82,K82))</x:f>
        <x:v>26</x:v>
      </x:c>
      <x:c r="U82" s="584" t="n">
        <x:f>IF(L82="","",COUNTIFS($A$6:$A$172,A82,$L$6:$L$172,"&gt;"&amp;L82)+COUNTIFS($A$6:A82,A82,$L$6:L82,L82))</x:f>
        <x:v>25</x:v>
      </x:c>
      <x:c r="V82" s="584" t="str">
        <x:f>IF(P82="","",COUNTIFS($A$6:$A$172,A82,$P$6:$P$172,"&gt;"&amp;P82)+COUNTIFS($A$6:A82,A82,$P$6:P82,P82))</x:f>
      </x:c>
      <x:c r="W82" s="584" t="str">
        <x:f>IF(Q82="","",COUNTIFS($A$6:$A$172,A82,$Q$6:$Q$172,"&gt;"&amp;Q82)+COUNTIFS($A$6:A82,A82,$Q$6:Q82,Q82))</x:f>
      </x:c>
      <x:c r="X82" s="584" t="str">
        <x:f>IF(R82="","",COUNTIFS($A$6:$A$172,A82,$R$6:$R$172,"&gt;"&amp;R82)+COUNTIFS($A$6:A82,A82,$R$6:R82,R82))</x:f>
      </x:c>
      <x:c r="Y82" s="572" t="str">
        <x:f>IF(V82="","",A82&amp;"|"&amp;V82)</x:f>
      </x:c>
      <x:c r="Z82" s="572" t="str">
        <x:f>IF(W82="","",A82&amp;"|"&amp;W82)</x:f>
      </x:c>
      <x:c r="AA82" s="572" t="str">
        <x:f>IF(X82="","",A82&amp;"|"&amp;X82)</x:f>
      </x:c>
      <x:c r="AB82" s="572" t="str">
        <x:f>IF(A82="","",IF(I82=0,"Offense neutral — no recorded offensive skills",IF(I82&lt;1,"Partial lookup — adjustment scaled",IF(AND(M82="Yes",AC82=0),"Offense adjusted; Guard neutral","Captured"))))</x:f>
        <x:v>Captured</x:v>
      </x:c>
      <x:c r="AC82" s="580" t="n">
        <x:f>IF(SUMIFS('Specialisation Impact'!$M$19:$M$186,'Specialisation Impact'!$A$19:$A$186,A82,'Specialisation Impact'!$B$19:$B$186,B82)=0,0,SUMIFS('Specialisation Impact'!$F$19:$F$186,'Specialisation Impact'!$A$19:$A$186,A82,'Specialisation Impact'!$B$19:$B$186,B82))</x:f>
        <x:v>1</x:v>
      </x:c>
    </x:row>
    <x:row r="83">
      <x:c r="A83" s="571" t="str">
        <x:v>K138</x:v>
      </x:c>
      <x:c r="B83" s="571" t="str">
        <x:v>(RaW)Nightmare</x:v>
      </x:c>
      <x:c r="C83" s="575" t="n">
        <x:f>IF($A83="","",AVERAGE(100*((COUNTIF('All Stats'!$D$6:$D$172,"&lt;"&amp;'All Stats'!D83)+(COUNTIF('All Stats'!$D$6:$D$172,'All Stats'!D83)-1)/2)/(COUNT('All Stats'!$D$6:$D$172)-1))^'Specialisation Scenarios'!$X$10,100*((COUNTIF('All Stats'!$G$6:$G$172,"&lt;"&amp;'All Stats'!G83)+(COUNTIF('All Stats'!$G$6:$G$172,'All Stats'!G83)-1)/2)/(COUNT('All Stats'!$G$6:$G$172)-1))^'Specialisation Scenarios'!$X$10,100*((COUNTIF('All Stats'!$I$6:$I$172,"&lt;"&amp;'All Stats'!I83)+(COUNTIF('All Stats'!$I$6:$I$172,'All Stats'!I83)-1)/2)/(COUNT('All Stats'!$I$6:$I$172)-1))^'Specialisation Scenarios'!$X$10))</x:f>
        <x:v>8.862296278751847</x:v>
      </x:c>
      <x:c r="D83" s="575" t="n">
        <x:f>IF($A83="","",AVERAGE(100*((COUNTIF('All Stats'!$R$6:$R$172,"&lt;"&amp;'All Stats'!R83)+(COUNTIF('All Stats'!$R$6:$R$172,'All Stats'!R83)-1)/2)/(COUNT('All Stats'!$R$6:$R$172)-1))^'Specialisation Scenarios'!$X$10,100*((COUNTIF('All Stats'!$U$6:$U$172,"&lt;"&amp;'All Stats'!U83)+(COUNTIF('All Stats'!$U$6:$U$172,'All Stats'!U83)-1)/2)/(COUNT('All Stats'!$U$6:$U$172)-1))^'Specialisation Scenarios'!$X$10,100*((COUNTIF('All Stats'!$W$6:$W$172,"&lt;"&amp;'All Stats'!W83)+(COUNTIF('All Stats'!$W$6:$W$172,'All Stats'!W83)-1)/2)/(COUNT('All Stats'!$W$6:$W$172)-1))^'Specialisation Scenarios'!$X$10))</x:f>
        <x:v>29.54249482802861</x:v>
      </x:c>
      <x:c r="E83" s="575" t="n">
        <x:f>IF($A83="","",AVERAGE(100*((COUNTIF('All Stats'!$Y$6:$Y$172,"&lt;"&amp;'All Stats'!Y83)+(COUNTIF('All Stats'!$Y$6:$Y$172,'All Stats'!Y83)-1)/2)/(COUNT('All Stats'!$Y$6:$Y$172)-1))^'Specialisation Scenarios'!$X$10,100*((COUNTIF('All Stats'!$AB$6:$AB$172,"&lt;"&amp;'All Stats'!AB83)+(COUNTIF('All Stats'!$AB$6:$AB$172,'All Stats'!AB83)-1)/2)/(COUNT('All Stats'!$AB$6:$AB$172)-1))^'Specialisation Scenarios'!$X$10,100*((COUNTIF('All Stats'!$AD$6:$AD$172,"&lt;"&amp;'All Stats'!AD83)+(COUNTIF('All Stats'!$AD$6:$AD$172,'All Stats'!AD83)-1)/2)/(COUNT('All Stats'!$AD$6:$AD$172)-1))^'Specialisation Scenarios'!$X$10))</x:f>
        <x:v>29.511889296005563</x:v>
      </x:c>
      <x:c r="F83" s="575" t="n">
        <x:f>IF($A83="","",AVERAGE(100*((COUNTIF('All Stats'!$AF$6:$AF$172,"&lt;"&amp;'All Stats'!AF83)+(COUNTIF('All Stats'!$AF$6:$AF$172,'All Stats'!AF83)-1)/2)/(COUNT('All Stats'!$AF$6:$AF$172)-1))^'Specialisation Scenarios'!$X$10,100*((COUNTIF('All Stats'!$AI$6:$AI$172,"&lt;"&amp;'All Stats'!AI83)+(COUNTIF('All Stats'!$AI$6:$AI$172,'All Stats'!AI83)-1)/2)/(COUNT('All Stats'!$AI$6:$AI$172)-1))^'Specialisation Scenarios'!$X$10,100*((COUNTIF('All Stats'!$AK$6:$AK$172,"&lt;"&amp;'All Stats'!AK83)+(COUNTIF('All Stats'!$AK$6:$AK$172,'All Stats'!AK83)-1)/2)/(COUNT('All Stats'!$AK$6:$AK$172)-1))^'Specialisation Scenarios'!$X$10))</x:f>
        <x:v>12.040036444755534</x:v>
      </x:c>
      <x:c r="G83" s="575" t="n">
        <x:f>IF($A83="","",C83*'Specialisation Scenarios'!$X$11+D83*'Specialisation Scenarios'!$X$12+E83*'Specialisation Scenarios'!$X$13+F83*'Specialisation Scenarios'!$X$14)</x:f>
        <x:v>23.812035734943827</x:v>
      </x:c>
      <x:c r="H83" s="575" t="n">
        <x:f>IF(SUMIFS('Specialisation Impact'!$E$19:$E$186,'Specialisation Impact'!$A$19:$A$186,A83,'Specialisation Impact'!$B$19:$B$186,B83)=0,"",SUMIFS('Specialisation Impact'!$S$19:$S$186,'Specialisation Impact'!$A$19:$A$186,A83,'Specialisation Impact'!$B$19:$B$186,B83))</x:f>
        <x:v>37.79220779220779</x:v>
      </x:c>
      <x:c r="I83" s="579" t="n">
        <x:f>IF(SUMIFS('Specialisation Impact'!$E$19:$E$186,'Specialisation Impact'!$A$19:$A$186,A83,'Specialisation Impact'!$B$19:$B$186,B83)=0,0,SUMIFS('Specialisation Impact'!$F$19:$F$186,'Specialisation Impact'!$A$19:$A$186,A83,'Specialisation Impact'!$B$19:$B$186,B83))</x:f>
        <x:v>1</x:v>
      </x:c>
      <x:c r="J83" s="575" t="n">
        <x:f>G83</x:f>
        <x:v>23.812035734943827</x:v>
      </x:c>
      <x:c r="K83" s="575" t="n">
        <x:f>IF(G83="","",IF(I83=0,G83,MAX(0,MIN(100,G83*(1-'Specialisation Scenarios'!$B$8*I83)+H83*('Specialisation Scenarios'!$B$8*I83)))))</x:f>
        <x:v>27.307078749259816</x:v>
      </x:c>
      <x:c r="L83" s="575" t="n">
        <x:f>IF(G83="","",IF(I83=0,G83,MAX(0,MIN(100,G83*(1-'Specialisation Scenarios'!$B$9*I83)+H83*('Specialisation Scenarios'!$B$9*I83)))))</x:f>
        <x:v>28.705095954986213</x:v>
      </x:c>
      <x:c r="M83" s="575" t="str">
        <x:f>IF(COUNTIFS('Tank &amp; Control'!$A$23:$A$189,A83,'Tank &amp; Control'!$B$23:$B$189,B83,'Tank &amp; Control'!$C$23:$C$189,"Yes")&gt;0,"Yes","No")</x:f>
        <x:v>No</x:v>
      </x:c>
      <x:c r="N83" s="575" t="str">
        <x:f>IF(M83&lt;&gt;"Yes","",SUMIFS('Tank &amp; Control'!$L$23:$L$189,'Tank &amp; Control'!$A$23:$A$189,A83,'Tank &amp; Control'!$B$23:$B$189,B83))</x:f>
      </x:c>
      <x:c r="O83" s="575" t="n">
        <x:f>IF(SUMIFS('Specialisation Impact'!$M$19:$M$186,'Specialisation Impact'!$A$19:$A$186,A83,'Specialisation Impact'!$B$19:$B$186,B83)=0,"",SUMIFS('Specialisation Impact'!$V$19:$V$186,'Specialisation Impact'!$A$19:$A$186,A83,'Specialisation Impact'!$B$19:$B$186,B83))</x:f>
        <x:v>60.25641025641025</x:v>
      </x:c>
      <x:c r="P83" s="575" t="str">
        <x:f>IF(N83="","",N83)</x:f>
      </x:c>
      <x:c r="Q83" s="575" t="str">
        <x:f>IF(N83="","",IF(AC83=0,N83,MAX(0,MIN(100,N83*(1-'Specialisation Scenarios'!$B$8*AC83)+O83*('Specialisation Scenarios'!$B$8*AC83)))))</x:f>
      </x:c>
      <x:c r="R83" s="575" t="str">
        <x:f>IF(N83="","",IF(AC83=0,N83,MAX(0,MIN(100,N83*(1-'Specialisation Scenarios'!$B$9*AC83)+O83*('Specialisation Scenarios'!$B$9*AC83)))))</x:f>
      </x:c>
      <x:c r="S83" s="583" t="n">
        <x:f>IF(J83="","",COUNTIFS($A$6:$A$172,A83,$J$6:$J$172,"&gt;"&amp;J83)+COUNTIFS($A$6:A83,A83,$J$6:J83,J83))</x:f>
        <x:v>16</x:v>
      </x:c>
      <x:c r="T83" s="583" t="n">
        <x:f>IF(K83="","",COUNTIFS($A$6:$A$172,A83,$K$6:$K$172,"&gt;"&amp;K83)+COUNTIFS($A$6:A83,A83,$K$6:K83,K83))</x:f>
        <x:v>14</x:v>
      </x:c>
      <x:c r="U83" s="583" t="n">
        <x:f>IF(L83="","",COUNTIFS($A$6:$A$172,A83,$L$6:$L$172,"&gt;"&amp;L83)+COUNTIFS($A$6:A83,A83,$L$6:L83,L83))</x:f>
        <x:v>13</x:v>
      </x:c>
      <x:c r="V83" s="583" t="str">
        <x:f>IF(P83="","",COUNTIFS($A$6:$A$172,A83,$P$6:$P$172,"&gt;"&amp;P83)+COUNTIFS($A$6:A83,A83,$P$6:P83,P83))</x:f>
      </x:c>
      <x:c r="W83" s="583" t="str">
        <x:f>IF(Q83="","",COUNTIFS($A$6:$A$172,A83,$Q$6:$Q$172,"&gt;"&amp;Q83)+COUNTIFS($A$6:A83,A83,$Q$6:Q83,Q83))</x:f>
      </x:c>
      <x:c r="X83" s="583" t="str">
        <x:f>IF(R83="","",COUNTIFS($A$6:$A$172,A83,$R$6:$R$172,"&gt;"&amp;R83)+COUNTIFS($A$6:A83,A83,$R$6:R83,R83))</x:f>
      </x:c>
      <x:c r="Y83" s="571" t="str">
        <x:f>IF(V83="","",A83&amp;"|"&amp;V83)</x:f>
      </x:c>
      <x:c r="Z83" s="571" t="str">
        <x:f>IF(W83="","",A83&amp;"|"&amp;W83)</x:f>
      </x:c>
      <x:c r="AA83" s="571" t="str">
        <x:f>IF(X83="","",A83&amp;"|"&amp;X83)</x:f>
      </x:c>
      <x:c r="AB83" s="571" t="str">
        <x:f>IF(A83="","",IF(I83=0,"Offense neutral — no recorded offensive skills",IF(I83&lt;1,"Partial lookup — adjustment scaled",IF(AND(M83="Yes",AC83=0),"Offense adjusted; Guard neutral","Captured"))))</x:f>
        <x:v>Captured</x:v>
      </x:c>
      <x:c r="AC83" s="579" t="n">
        <x:f>IF(SUMIFS('Specialisation Impact'!$M$19:$M$186,'Specialisation Impact'!$A$19:$A$186,A83,'Specialisation Impact'!$B$19:$B$186,B83)=0,0,SUMIFS('Specialisation Impact'!$F$19:$F$186,'Specialisation Impact'!$A$19:$A$186,A83,'Specialisation Impact'!$B$19:$B$186,B83))</x:f>
        <x:v>1</x:v>
      </x:c>
    </x:row>
    <x:row r="84">
      <x:c r="A84" s="572" t="str">
        <x:v>K138</x:v>
      </x:c>
      <x:c r="B84" s="572" t="str">
        <x:v>(RaW)MARYEL</x:v>
      </x:c>
      <x:c r="C84" s="576" t="n">
        <x:f>IF($A84="","",AVERAGE(100*((COUNTIF('All Stats'!$D$6:$D$172,"&lt;"&amp;'All Stats'!D84)+(COUNTIF('All Stats'!$D$6:$D$172,'All Stats'!D84)-1)/2)/(COUNT('All Stats'!$D$6:$D$172)-1))^'Specialisation Scenarios'!$X$10,100*((COUNTIF('All Stats'!$G$6:$G$172,"&lt;"&amp;'All Stats'!G84)+(COUNTIF('All Stats'!$G$6:$G$172,'All Stats'!G84)-1)/2)/(COUNT('All Stats'!$G$6:$G$172)-1))^'Specialisation Scenarios'!$X$10,100*((COUNTIF('All Stats'!$I$6:$I$172,"&lt;"&amp;'All Stats'!I84)+(COUNTIF('All Stats'!$I$6:$I$172,'All Stats'!I84)-1)/2)/(COUNT('All Stats'!$I$6:$I$172)-1))^'Specialisation Scenarios'!$X$10))</x:f>
        <x:v>37.38153618014976</x:v>
      </x:c>
      <x:c r="D84" s="576" t="n">
        <x:f>IF($A84="","",AVERAGE(100*((COUNTIF('All Stats'!$R$6:$R$172,"&lt;"&amp;'All Stats'!R84)+(COUNTIF('All Stats'!$R$6:$R$172,'All Stats'!R84)-1)/2)/(COUNT('All Stats'!$R$6:$R$172)-1))^'Specialisation Scenarios'!$X$10,100*((COUNTIF('All Stats'!$U$6:$U$172,"&lt;"&amp;'All Stats'!U84)+(COUNTIF('All Stats'!$U$6:$U$172,'All Stats'!U84)-1)/2)/(COUNT('All Stats'!$U$6:$U$172)-1))^'Specialisation Scenarios'!$X$10,100*((COUNTIF('All Stats'!$W$6:$W$172,"&lt;"&amp;'All Stats'!W84)+(COUNTIF('All Stats'!$W$6:$W$172,'All Stats'!W84)-1)/2)/(COUNT('All Stats'!$W$6:$W$172)-1))^'Specialisation Scenarios'!$X$10))</x:f>
        <x:v>19.126028402689894</x:v>
      </x:c>
      <x:c r="E84" s="576" t="n">
        <x:f>IF($A84="","",AVERAGE(100*((COUNTIF('All Stats'!$Y$6:$Y$172,"&lt;"&amp;'All Stats'!Y84)+(COUNTIF('All Stats'!$Y$6:$Y$172,'All Stats'!Y84)-1)/2)/(COUNT('All Stats'!$Y$6:$Y$172)-1))^'Specialisation Scenarios'!$X$10,100*((COUNTIF('All Stats'!$AB$6:$AB$172,"&lt;"&amp;'All Stats'!AB84)+(COUNTIF('All Stats'!$AB$6:$AB$172,'All Stats'!AB84)-1)/2)/(COUNT('All Stats'!$AB$6:$AB$172)-1))^'Specialisation Scenarios'!$X$10,100*((COUNTIF('All Stats'!$AD$6:$AD$172,"&lt;"&amp;'All Stats'!AD84)+(COUNTIF('All Stats'!$AD$6:$AD$172,'All Stats'!AD84)-1)/2)/(COUNT('All Stats'!$AD$6:$AD$172)-1))^'Specialisation Scenarios'!$X$10))</x:f>
        <x:v>19.16601857045334</x:v>
      </x:c>
      <x:c r="F84" s="576" t="n">
        <x:f>IF($A84="","",AVERAGE(100*((COUNTIF('All Stats'!$AF$6:$AF$172,"&lt;"&amp;'All Stats'!AF84)+(COUNTIF('All Stats'!$AF$6:$AF$172,'All Stats'!AF84)-1)/2)/(COUNT('All Stats'!$AF$6:$AF$172)-1))^'Specialisation Scenarios'!$X$10,100*((COUNTIF('All Stats'!$AI$6:$AI$172,"&lt;"&amp;'All Stats'!AI84)+(COUNTIF('All Stats'!$AI$6:$AI$172,'All Stats'!AI84)-1)/2)/(COUNT('All Stats'!$AI$6:$AI$172)-1))^'Specialisation Scenarios'!$X$10,100*((COUNTIF('All Stats'!$AK$6:$AK$172,"&lt;"&amp;'All Stats'!AK84)+(COUNTIF('All Stats'!$AK$6:$AK$172,'All Stats'!AK84)-1)/2)/(COUNT('All Stats'!$AK$6:$AK$172)-1))^'Specialisation Scenarios'!$X$10))</x:f>
        <x:v>38.31459453705485</x:v>
      </x:c>
      <x:c r="G84" s="576" t="n">
        <x:f>IF($A84="","",C84*'Specialisation Scenarios'!$X$11+D84*'Specialisation Scenarios'!$X$12+E84*'Specialisation Scenarios'!$X$13+F84*'Specialisation Scenarios'!$X$14)</x:f>
        <x:v>24.746638506239957</x:v>
      </x:c>
      <x:c r="H84" s="576" t="n">
        <x:f>IF(SUMIFS('Specialisation Impact'!$E$19:$E$186,'Specialisation Impact'!$A$19:$A$186,A84,'Specialisation Impact'!$B$19:$B$186,B84)=0,"",SUMIFS('Specialisation Impact'!$S$19:$S$186,'Specialisation Impact'!$A$19:$A$186,A84,'Specialisation Impact'!$B$19:$B$186,B84))</x:f>
        <x:v>4.415584415584416</x:v>
      </x:c>
      <x:c r="I84" s="580" t="n">
        <x:f>IF(SUMIFS('Specialisation Impact'!$E$19:$E$186,'Specialisation Impact'!$A$19:$A$186,A84,'Specialisation Impact'!$B$19:$B$186,B84)=0,0,SUMIFS('Specialisation Impact'!$F$19:$F$186,'Specialisation Impact'!$A$19:$A$186,A84,'Specialisation Impact'!$B$19:$B$186,B84))</x:f>
        <x:v>1</x:v>
      </x:c>
      <x:c r="J84" s="576" t="n">
        <x:f>G84</x:f>
        <x:v>24.746638506239957</x:v>
      </x:c>
      <x:c r="K84" s="576" t="n">
        <x:f>IF(G84="","",IF(I84=0,G84,MAX(0,MIN(100,G84*(1-'Specialisation Scenarios'!$B$8*I84)+H84*('Specialisation Scenarios'!$B$8*I84)))))</x:f>
        <x:v>19.663874983576072</x:v>
      </x:c>
      <x:c r="L84" s="576" t="n">
        <x:f>IF(G84="","",IF(I84=0,G84,MAX(0,MIN(100,G84*(1-'Specialisation Scenarios'!$B$9*I84)+H84*('Specialisation Scenarios'!$B$9*I84)))))</x:f>
        <x:v>17.63076957451052</x:v>
      </x:c>
      <x:c r="M84" s="576" t="str">
        <x:f>IF(COUNTIFS('Tank &amp; Control'!$A$23:$A$189,A84,'Tank &amp; Control'!$B$23:$B$189,B84,'Tank &amp; Control'!$C$23:$C$189,"Yes")&gt;0,"Yes","No")</x:f>
        <x:v>No</x:v>
      </x:c>
      <x:c r="N84" s="576" t="str">
        <x:f>IF(M84&lt;&gt;"Yes","",SUMIFS('Tank &amp; Control'!$L$23:$L$189,'Tank &amp; Control'!$A$23:$A$189,A84,'Tank &amp; Control'!$B$23:$B$189,B84))</x:f>
      </x:c>
      <x:c r="O84" s="576" t="n">
        <x:f>IF(SUMIFS('Specialisation Impact'!$M$19:$M$186,'Specialisation Impact'!$A$19:$A$186,A84,'Specialisation Impact'!$B$19:$B$186,B84)=0,"",SUMIFS('Specialisation Impact'!$V$19:$V$186,'Specialisation Impact'!$A$19:$A$186,A84,'Specialisation Impact'!$B$19:$B$186,B84))</x:f>
        <x:v>93.16239316239316</x:v>
      </x:c>
      <x:c r="P84" s="576" t="str">
        <x:f>IF(N84="","",N84)</x:f>
      </x:c>
      <x:c r="Q84" s="576" t="str">
        <x:f>IF(N84="","",IF(AC84=0,N84,MAX(0,MIN(100,N84*(1-'Specialisation Scenarios'!$B$8*AC84)+O84*('Specialisation Scenarios'!$B$8*AC84)))))</x:f>
      </x:c>
      <x:c r="R84" s="576" t="str">
        <x:f>IF(N84="","",IF(AC84=0,N84,MAX(0,MIN(100,N84*(1-'Specialisation Scenarios'!$B$9*AC84)+O84*('Specialisation Scenarios'!$B$9*AC84)))))</x:f>
      </x:c>
      <x:c r="S84" s="584" t="n">
        <x:f>IF(J84="","",COUNTIFS($A$6:$A$172,A84,$J$6:$J$172,"&gt;"&amp;J84)+COUNTIFS($A$6:A84,A84,$J$6:J84,J84))</x:f>
        <x:v>15</x:v>
      </x:c>
      <x:c r="T84" s="584" t="n">
        <x:f>IF(K84="","",COUNTIFS($A$6:$A$172,A84,$K$6:$K$172,"&gt;"&amp;K84)+COUNTIFS($A$6:A84,A84,$K$6:K84,K84))</x:f>
        <x:v>18</x:v>
      </x:c>
      <x:c r="U84" s="584" t="n">
        <x:f>IF(L84="","",COUNTIFS($A$6:$A$172,A84,$L$6:$L$172,"&gt;"&amp;L84)+COUNTIFS($A$6:A84,A84,$L$6:L84,L84))</x:f>
        <x:v>19</x:v>
      </x:c>
      <x:c r="V84" s="584" t="str">
        <x:f>IF(P84="","",COUNTIFS($A$6:$A$172,A84,$P$6:$P$172,"&gt;"&amp;P84)+COUNTIFS($A$6:A84,A84,$P$6:P84,P84))</x:f>
      </x:c>
      <x:c r="W84" s="584" t="str">
        <x:f>IF(Q84="","",COUNTIFS($A$6:$A$172,A84,$Q$6:$Q$172,"&gt;"&amp;Q84)+COUNTIFS($A$6:A84,A84,$Q$6:Q84,Q84))</x:f>
      </x:c>
      <x:c r="X84" s="584" t="str">
        <x:f>IF(R84="","",COUNTIFS($A$6:$A$172,A84,$R$6:$R$172,"&gt;"&amp;R84)+COUNTIFS($A$6:A84,A84,$R$6:R84,R84))</x:f>
      </x:c>
      <x:c r="Y84" s="572" t="str">
        <x:f>IF(V84="","",A84&amp;"|"&amp;V84)</x:f>
      </x:c>
      <x:c r="Z84" s="572" t="str">
        <x:f>IF(W84="","",A84&amp;"|"&amp;W84)</x:f>
      </x:c>
      <x:c r="AA84" s="572" t="str">
        <x:f>IF(X84="","",A84&amp;"|"&amp;X84)</x:f>
      </x:c>
      <x:c r="AB84" s="572" t="str">
        <x:f>IF(A84="","",IF(I84=0,"Offense neutral — no recorded offensive skills",IF(I84&lt;1,"Partial lookup — adjustment scaled",IF(AND(M84="Yes",AC84=0),"Offense adjusted; Guard neutral","Captured"))))</x:f>
        <x:v>Captured</x:v>
      </x:c>
      <x:c r="AC84" s="580" t="n">
        <x:f>IF(SUMIFS('Specialisation Impact'!$M$19:$M$186,'Specialisation Impact'!$A$19:$A$186,A84,'Specialisation Impact'!$B$19:$B$186,B84)=0,0,SUMIFS('Specialisation Impact'!$F$19:$F$186,'Specialisation Impact'!$A$19:$A$186,A84,'Specialisation Impact'!$B$19:$B$186,B84))</x:f>
        <x:v>1</x:v>
      </x:c>
    </x:row>
    <x:row r="85">
      <x:c r="A85" s="571" t="str">
        <x:v>K138</x:v>
      </x:c>
      <x:c r="B85" s="571" t="str">
        <x:v>(RaW)༺惊鸿༻</x:v>
      </x:c>
      <x:c r="C85" s="575" t="n">
        <x:f>IF($A85="","",AVERAGE(100*((COUNTIF('All Stats'!$D$6:$D$172,"&lt;"&amp;'All Stats'!D85)+(COUNTIF('All Stats'!$D$6:$D$172,'All Stats'!D85)-1)/2)/(COUNT('All Stats'!$D$6:$D$172)-1))^'Specialisation Scenarios'!$X$10,100*((COUNTIF('All Stats'!$G$6:$G$172,"&lt;"&amp;'All Stats'!G85)+(COUNTIF('All Stats'!$G$6:$G$172,'All Stats'!G85)-1)/2)/(COUNT('All Stats'!$G$6:$G$172)-1))^'Specialisation Scenarios'!$X$10,100*((COUNTIF('All Stats'!$I$6:$I$172,"&lt;"&amp;'All Stats'!I85)+(COUNTIF('All Stats'!$I$6:$I$172,'All Stats'!I85)-1)/2)/(COUNT('All Stats'!$I$6:$I$172)-1))^'Specialisation Scenarios'!$X$10))</x:f>
        <x:v>44.70767271622824</x:v>
      </x:c>
      <x:c r="D85" s="575" t="n">
        <x:f>IF($A85="","",AVERAGE(100*((COUNTIF('All Stats'!$R$6:$R$172,"&lt;"&amp;'All Stats'!R85)+(COUNTIF('All Stats'!$R$6:$R$172,'All Stats'!R85)-1)/2)/(COUNT('All Stats'!$R$6:$R$172)-1))^'Specialisation Scenarios'!$X$10,100*((COUNTIF('All Stats'!$U$6:$U$172,"&lt;"&amp;'All Stats'!U85)+(COUNTIF('All Stats'!$U$6:$U$172,'All Stats'!U85)-1)/2)/(COUNT('All Stats'!$U$6:$U$172)-1))^'Specialisation Scenarios'!$X$10,100*((COUNTIF('All Stats'!$W$6:$W$172,"&lt;"&amp;'All Stats'!W85)+(COUNTIF('All Stats'!$W$6:$W$172,'All Stats'!W85)-1)/2)/(COUNT('All Stats'!$W$6:$W$172)-1))^'Specialisation Scenarios'!$X$10))</x:f>
        <x:v>34.09564807380171</x:v>
      </x:c>
      <x:c r="E85" s="575" t="n">
        <x:f>IF($A85="","",AVERAGE(100*((COUNTIF('All Stats'!$Y$6:$Y$172,"&lt;"&amp;'All Stats'!Y85)+(COUNTIF('All Stats'!$Y$6:$Y$172,'All Stats'!Y85)-1)/2)/(COUNT('All Stats'!$Y$6:$Y$172)-1))^'Specialisation Scenarios'!$X$10,100*((COUNTIF('All Stats'!$AB$6:$AB$172,"&lt;"&amp;'All Stats'!AB85)+(COUNTIF('All Stats'!$AB$6:$AB$172,'All Stats'!AB85)-1)/2)/(COUNT('All Stats'!$AB$6:$AB$172)-1))^'Specialisation Scenarios'!$X$10,100*((COUNTIF('All Stats'!$AD$6:$AD$172,"&lt;"&amp;'All Stats'!AD85)+(COUNTIF('All Stats'!$AD$6:$AD$172,'All Stats'!AD85)-1)/2)/(COUNT('All Stats'!$AD$6:$AD$172)-1))^'Specialisation Scenarios'!$X$10))</x:f>
        <x:v>65.59961399853246</x:v>
      </x:c>
      <x:c r="F85" s="575" t="n">
        <x:f>IF($A85="","",AVERAGE(100*((COUNTIF('All Stats'!$AF$6:$AF$172,"&lt;"&amp;'All Stats'!AF85)+(COUNTIF('All Stats'!$AF$6:$AF$172,'All Stats'!AF85)-1)/2)/(COUNT('All Stats'!$AF$6:$AF$172)-1))^'Specialisation Scenarios'!$X$10,100*((COUNTIF('All Stats'!$AI$6:$AI$172,"&lt;"&amp;'All Stats'!AI85)+(COUNTIF('All Stats'!$AI$6:$AI$172,'All Stats'!AI85)-1)/2)/(COUNT('All Stats'!$AI$6:$AI$172)-1))^'Specialisation Scenarios'!$X$10,100*((COUNTIF('All Stats'!$AK$6:$AK$172,"&lt;"&amp;'All Stats'!AK85)+(COUNTIF('All Stats'!$AK$6:$AK$172,'All Stats'!AK85)-1)/2)/(COUNT('All Stats'!$AK$6:$AK$172)-1))^'Specialisation Scenarios'!$X$10))</x:f>
        <x:v>20.659188876245995</x:v>
      </x:c>
      <x:c r="G85" s="575" t="n">
        <x:f>IF($A85="","",C85*'Specialisation Scenarios'!$X$11+D85*'Specialisation Scenarios'!$X$12+E85*'Specialisation Scenarios'!$X$13+F85*'Specialisation Scenarios'!$X$14)</x:f>
        <x:v>36.82237948300541</x:v>
      </x:c>
      <x:c r="H85" s="575" t="n">
        <x:f>IF(SUMIFS('Specialisation Impact'!$E$19:$E$186,'Specialisation Impact'!$A$19:$A$186,A85,'Specialisation Impact'!$B$19:$B$186,B85)=0,"",SUMIFS('Specialisation Impact'!$S$19:$S$186,'Specialisation Impact'!$A$19:$A$186,A85,'Specialisation Impact'!$B$19:$B$186,B85))</x:f>
        <x:v>80.97402597402598</x:v>
      </x:c>
      <x:c r="I85" s="579" t="n">
        <x:f>IF(SUMIFS('Specialisation Impact'!$E$19:$E$186,'Specialisation Impact'!$A$19:$A$186,A85,'Specialisation Impact'!$B$19:$B$186,B85)=0,0,SUMIFS('Specialisation Impact'!$F$19:$F$186,'Specialisation Impact'!$A$19:$A$186,A85,'Specialisation Impact'!$B$19:$B$186,B85))</x:f>
        <x:v>1</x:v>
      </x:c>
      <x:c r="J85" s="575" t="n">
        <x:f>G85</x:f>
        <x:v>36.82237948300541</x:v>
      </x:c>
      <x:c r="K85" s="575" t="n">
        <x:f>IF(G85="","",IF(I85=0,G85,MAX(0,MIN(100,G85*(1-'Specialisation Scenarios'!$B$8*I85)+H85*('Specialisation Scenarios'!$B$8*I85)))))</x:f>
        <x:v>47.86029110576055</x:v>
      </x:c>
      <x:c r="L85" s="575" t="n">
        <x:f>IF(G85="","",IF(I85=0,G85,MAX(0,MIN(100,G85*(1-'Specialisation Scenarios'!$B$9*I85)+H85*('Specialisation Scenarios'!$B$9*I85)))))</x:f>
        <x:v>52.275455754862605</x:v>
      </x:c>
      <x:c r="M85" s="575" t="str">
        <x:f>IF(COUNTIFS('Tank &amp; Control'!$A$23:$A$189,A85,'Tank &amp; Control'!$B$23:$B$189,B85,'Tank &amp; Control'!$C$23:$C$189,"Yes")&gt;0,"Yes","No")</x:f>
        <x:v>No</x:v>
      </x:c>
      <x:c r="N85" s="575" t="str">
        <x:f>IF(M85&lt;&gt;"Yes","",SUMIFS('Tank &amp; Control'!$L$23:$L$189,'Tank &amp; Control'!$A$23:$A$189,A85,'Tank &amp; Control'!$B$23:$B$189,B85))</x:f>
      </x:c>
      <x:c r="O85" s="575" t="str">
        <x:f>IF(SUMIFS('Specialisation Impact'!$M$19:$M$186,'Specialisation Impact'!$A$19:$A$186,A85,'Specialisation Impact'!$B$19:$B$186,B85)=0,"",SUMIFS('Specialisation Impact'!$V$19:$V$186,'Specialisation Impact'!$A$19:$A$186,A85,'Specialisation Impact'!$B$19:$B$186,B85))</x:f>
      </x:c>
      <x:c r="P85" s="575" t="str">
        <x:f>IF(N85="","",N85)</x:f>
      </x:c>
      <x:c r="Q85" s="575" t="str">
        <x:f>IF(N85="","",IF(AC85=0,N85,MAX(0,MIN(100,N85*(1-'Specialisation Scenarios'!$B$8*AC85)+O85*('Specialisation Scenarios'!$B$8*AC85)))))</x:f>
      </x:c>
      <x:c r="R85" s="575" t="str">
        <x:f>IF(N85="","",IF(AC85=0,N85,MAX(0,MIN(100,N85*(1-'Specialisation Scenarios'!$B$9*AC85)+O85*('Specialisation Scenarios'!$B$9*AC85)))))</x:f>
      </x:c>
      <x:c r="S85" s="583" t="n">
        <x:f>IF(J85="","",COUNTIFS($A$6:$A$172,A85,$J$6:$J$172,"&gt;"&amp;J85)+COUNTIFS($A$6:A85,A85,$J$6:J85,J85))</x:f>
        <x:v>9</x:v>
      </x:c>
      <x:c r="T85" s="583" t="n">
        <x:f>IF(K85="","",COUNTIFS($A$6:$A$172,A85,$K$6:$K$172,"&gt;"&amp;K85)+COUNTIFS($A$6:A85,A85,$K$6:K85,K85))</x:f>
        <x:v>8</x:v>
      </x:c>
      <x:c r="U85" s="583" t="n">
        <x:f>IF(L85="","",COUNTIFS($A$6:$A$172,A85,$L$6:$L$172,"&gt;"&amp;L85)+COUNTIFS($A$6:A85,A85,$L$6:L85,L85))</x:f>
        <x:v>7</x:v>
      </x:c>
      <x:c r="V85" s="583" t="str">
        <x:f>IF(P85="","",COUNTIFS($A$6:$A$172,A85,$P$6:$P$172,"&gt;"&amp;P85)+COUNTIFS($A$6:A85,A85,$P$6:P85,P85))</x:f>
      </x:c>
      <x:c r="W85" s="583" t="str">
        <x:f>IF(Q85="","",COUNTIFS($A$6:$A$172,A85,$Q$6:$Q$172,"&gt;"&amp;Q85)+COUNTIFS($A$6:A85,A85,$Q$6:Q85,Q85))</x:f>
      </x:c>
      <x:c r="X85" s="583" t="str">
        <x:f>IF(R85="","",COUNTIFS($A$6:$A$172,A85,$R$6:$R$172,"&gt;"&amp;R85)+COUNTIFS($A$6:A85,A85,$R$6:R85,R85))</x:f>
      </x:c>
      <x:c r="Y85" s="571" t="str">
        <x:f>IF(V85="","",A85&amp;"|"&amp;V85)</x:f>
      </x:c>
      <x:c r="Z85" s="571" t="str">
        <x:f>IF(W85="","",A85&amp;"|"&amp;W85)</x:f>
      </x:c>
      <x:c r="AA85" s="571" t="str">
        <x:f>IF(X85="","",A85&amp;"|"&amp;X85)</x:f>
      </x:c>
      <x:c r="AB85" s="571" t="str">
        <x:f>IF(A85="","",IF(I85=0,"Offense neutral — no recorded offensive skills",IF(I85&lt;1,"Partial lookup — adjustment scaled",IF(AND(M85="Yes",AC85=0),"Offense adjusted; Guard neutral","Captured"))))</x:f>
        <x:v>Captured</x:v>
      </x:c>
      <x:c r="AC85" s="579" t="n">
        <x:f>IF(SUMIFS('Specialisation Impact'!$M$19:$M$186,'Specialisation Impact'!$A$19:$A$186,A85,'Specialisation Impact'!$B$19:$B$186,B85)=0,0,SUMIFS('Specialisation Impact'!$F$19:$F$186,'Specialisation Impact'!$A$19:$A$186,A85,'Specialisation Impact'!$B$19:$B$186,B85))</x:f>
        <x:v>0</x:v>
      </x:c>
    </x:row>
    <x:row r="86">
      <x:c r="A86" s="572" t="str">
        <x:v>K138</x:v>
      </x:c>
      <x:c r="B86" s="572" t="str">
        <x:v>(RaW)让世界沐浴在血中</x:v>
      </x:c>
      <x:c r="C86" s="576" t="n">
        <x:f>IF($A86="","",AVERAGE(100*((COUNTIF('All Stats'!$D$6:$D$172,"&lt;"&amp;'All Stats'!D86)+(COUNTIF('All Stats'!$D$6:$D$172,'All Stats'!D86)-1)/2)/(COUNT('All Stats'!$D$6:$D$172)-1))^'Specialisation Scenarios'!$X$10,100*((COUNTIF('All Stats'!$G$6:$G$172,"&lt;"&amp;'All Stats'!G86)+(COUNTIF('All Stats'!$G$6:$G$172,'All Stats'!G86)-1)/2)/(COUNT('All Stats'!$G$6:$G$172)-1))^'Specialisation Scenarios'!$X$10,100*((COUNTIF('All Stats'!$I$6:$I$172,"&lt;"&amp;'All Stats'!I86)+(COUNTIF('All Stats'!$I$6:$I$172,'All Stats'!I86)-1)/2)/(COUNT('All Stats'!$I$6:$I$172)-1))^'Specialisation Scenarios'!$X$10))</x:f>
        <x:v>36.20006901830859</x:v>
      </x:c>
      <x:c r="D86" s="576" t="n">
        <x:f>IF($A86="","",AVERAGE(100*((COUNTIF('All Stats'!$R$6:$R$172,"&lt;"&amp;'All Stats'!R86)+(COUNTIF('All Stats'!$R$6:$R$172,'All Stats'!R86)-1)/2)/(COUNT('All Stats'!$R$6:$R$172)-1))^'Specialisation Scenarios'!$X$10,100*((COUNTIF('All Stats'!$U$6:$U$172,"&lt;"&amp;'All Stats'!U86)+(COUNTIF('All Stats'!$U$6:$U$172,'All Stats'!U86)-1)/2)/(COUNT('All Stats'!$U$6:$U$172)-1))^'Specialisation Scenarios'!$X$10,100*((COUNTIF('All Stats'!$W$6:$W$172,"&lt;"&amp;'All Stats'!W86)+(COUNTIF('All Stats'!$W$6:$W$172,'All Stats'!W86)-1)/2)/(COUNT('All Stats'!$W$6:$W$172)-1))^'Specialisation Scenarios'!$X$10))</x:f>
        <x:v>54.82846666427503</x:v>
      </x:c>
      <x:c r="E86" s="576" t="n">
        <x:f>IF($A86="","",AVERAGE(100*((COUNTIF('All Stats'!$Y$6:$Y$172,"&lt;"&amp;'All Stats'!Y86)+(COUNTIF('All Stats'!$Y$6:$Y$172,'All Stats'!Y86)-1)/2)/(COUNT('All Stats'!$Y$6:$Y$172)-1))^'Specialisation Scenarios'!$X$10,100*((COUNTIF('All Stats'!$AB$6:$AB$172,"&lt;"&amp;'All Stats'!AB86)+(COUNTIF('All Stats'!$AB$6:$AB$172,'All Stats'!AB86)-1)/2)/(COUNT('All Stats'!$AB$6:$AB$172)-1))^'Specialisation Scenarios'!$X$10,100*((COUNTIF('All Stats'!$AD$6:$AD$172,"&lt;"&amp;'All Stats'!AD86)+(COUNTIF('All Stats'!$AD$6:$AD$172,'All Stats'!AD86)-1)/2)/(COUNT('All Stats'!$AD$6:$AD$172)-1))^'Specialisation Scenarios'!$X$10))</x:f>
        <x:v>57.649349313440496</x:v>
      </x:c>
      <x:c r="F86" s="576" t="n">
        <x:f>IF($A86="","",AVERAGE(100*((COUNTIF('All Stats'!$AF$6:$AF$172,"&lt;"&amp;'All Stats'!AF86)+(COUNTIF('All Stats'!$AF$6:$AF$172,'All Stats'!AF86)-1)/2)/(COUNT('All Stats'!$AF$6:$AF$172)-1))^'Specialisation Scenarios'!$X$10,100*((COUNTIF('All Stats'!$AI$6:$AI$172,"&lt;"&amp;'All Stats'!AI86)+(COUNTIF('All Stats'!$AI$6:$AI$172,'All Stats'!AI86)-1)/2)/(COUNT('All Stats'!$AI$6:$AI$172)-1))^'Specialisation Scenarios'!$X$10,100*((COUNTIF('All Stats'!$AK$6:$AK$172,"&lt;"&amp;'All Stats'!AK86)+(COUNTIF('All Stats'!$AK$6:$AK$172,'All Stats'!AK86)-1)/2)/(COUNT('All Stats'!$AK$6:$AK$172)-1))^'Specialisation Scenarios'!$X$10))</x:f>
        <x:v>80.52274455729899</x:v>
      </x:c>
      <x:c r="G86" s="576" t="n">
        <x:f>IF($A86="","",C86*'Specialisation Scenarios'!$X$11+D86*'Specialisation Scenarios'!$X$12+E86*'Specialisation Scenarios'!$X$13+F86*'Specialisation Scenarios'!$X$14)</x:f>
        <x:v>56.1704369662502</x:v>
      </x:c>
      <x:c r="H86" s="576" t="n">
        <x:f>IF(SUMIFS('Specialisation Impact'!$E$19:$E$186,'Specialisation Impact'!$A$19:$A$186,A86,'Specialisation Impact'!$B$19:$B$186,B86)=0,"",SUMIFS('Specialisation Impact'!$S$19:$S$186,'Specialisation Impact'!$A$19:$A$186,A86,'Specialisation Impact'!$B$19:$B$186,B86))</x:f>
        <x:v>64.54545454545455</x:v>
      </x:c>
      <x:c r="I86" s="580" t="n">
        <x:f>IF(SUMIFS('Specialisation Impact'!$E$19:$E$186,'Specialisation Impact'!$A$19:$A$186,A86,'Specialisation Impact'!$B$19:$B$186,B86)=0,0,SUMIFS('Specialisation Impact'!$F$19:$F$186,'Specialisation Impact'!$A$19:$A$186,A86,'Specialisation Impact'!$B$19:$B$186,B86))</x:f>
        <x:v>1</x:v>
      </x:c>
      <x:c r="J86" s="576" t="n">
        <x:f>G86</x:f>
        <x:v>56.1704369662502</x:v>
      </x:c>
      <x:c r="K86" s="576" t="n">
        <x:f>IF(G86="","",IF(I86=0,G86,MAX(0,MIN(100,G86*(1-'Specialisation Scenarios'!$B$8*I86)+H86*('Specialisation Scenarios'!$B$8*I86)))))</x:f>
        <x:v>58.26419136105129</x:v>
      </x:c>
      <x:c r="L86" s="576" t="n">
        <x:f>IF(G86="","",IF(I86=0,G86,MAX(0,MIN(100,G86*(1-'Specialisation Scenarios'!$B$9*I86)+H86*('Specialisation Scenarios'!$B$9*I86)))))</x:f>
        <x:v>59.101693118971724</x:v>
      </x:c>
      <x:c r="M86" s="576" t="str">
        <x:f>IF(COUNTIFS('Tank &amp; Control'!$A$23:$A$189,A86,'Tank &amp; Control'!$B$23:$B$189,B86,'Tank &amp; Control'!$C$23:$C$189,"Yes")&gt;0,"Yes","No")</x:f>
        <x:v>No</x:v>
      </x:c>
      <x:c r="N86" s="576" t="str">
        <x:f>IF(M86&lt;&gt;"Yes","",SUMIFS('Tank &amp; Control'!$L$23:$L$189,'Tank &amp; Control'!$A$23:$A$189,A86,'Tank &amp; Control'!$B$23:$B$189,B86))</x:f>
      </x:c>
      <x:c r="O86" s="576" t="n">
        <x:f>IF(SUMIFS('Specialisation Impact'!$M$19:$M$186,'Specialisation Impact'!$A$19:$A$186,A86,'Specialisation Impact'!$B$19:$B$186,B86)=0,"",SUMIFS('Specialisation Impact'!$V$19:$V$186,'Specialisation Impact'!$A$19:$A$186,A86,'Specialisation Impact'!$B$19:$B$186,B86))</x:f>
        <x:v>29.48717948717949</x:v>
      </x:c>
      <x:c r="P86" s="576" t="str">
        <x:f>IF(N86="","",N86)</x:f>
      </x:c>
      <x:c r="Q86" s="576" t="str">
        <x:f>IF(N86="","",IF(AC86=0,N86,MAX(0,MIN(100,N86*(1-'Specialisation Scenarios'!$B$8*AC86)+O86*('Specialisation Scenarios'!$B$8*AC86)))))</x:f>
      </x:c>
      <x:c r="R86" s="576" t="str">
        <x:f>IF(N86="","",IF(AC86=0,N86,MAX(0,MIN(100,N86*(1-'Specialisation Scenarios'!$B$9*AC86)+O86*('Specialisation Scenarios'!$B$9*AC86)))))</x:f>
      </x:c>
      <x:c r="S86" s="584" t="n">
        <x:f>IF(J86="","",COUNTIFS($A$6:$A$172,A86,$J$6:$J$172,"&gt;"&amp;J86)+COUNTIFS($A$6:A86,A86,$J$6:J86,J86))</x:f>
        <x:v>6</x:v>
      </x:c>
      <x:c r="T86" s="584" t="n">
        <x:f>IF(K86="","",COUNTIFS($A$6:$A$172,A86,$K$6:$K$172,"&gt;"&amp;K86)+COUNTIFS($A$6:A86,A86,$K$6:K86,K86))</x:f>
        <x:v>6</x:v>
      </x:c>
      <x:c r="U86" s="584" t="n">
        <x:f>IF(L86="","",COUNTIFS($A$6:$A$172,A86,$L$6:$L$172,"&gt;"&amp;L86)+COUNTIFS($A$6:A86,A86,$L$6:L86,L86))</x:f>
        <x:v>6</x:v>
      </x:c>
      <x:c r="V86" s="584" t="str">
        <x:f>IF(P86="","",COUNTIFS($A$6:$A$172,A86,$P$6:$P$172,"&gt;"&amp;P86)+COUNTIFS($A$6:A86,A86,$P$6:P86,P86))</x:f>
      </x:c>
      <x:c r="W86" s="584" t="str">
        <x:f>IF(Q86="","",COUNTIFS($A$6:$A$172,A86,$Q$6:$Q$172,"&gt;"&amp;Q86)+COUNTIFS($A$6:A86,A86,$Q$6:Q86,Q86))</x:f>
      </x:c>
      <x:c r="X86" s="584" t="str">
        <x:f>IF(R86="","",COUNTIFS($A$6:$A$172,A86,$R$6:$R$172,"&gt;"&amp;R86)+COUNTIFS($A$6:A86,A86,$R$6:R86,R86))</x:f>
      </x:c>
      <x:c r="Y86" s="572" t="str">
        <x:f>IF(V86="","",A86&amp;"|"&amp;V86)</x:f>
      </x:c>
      <x:c r="Z86" s="572" t="str">
        <x:f>IF(W86="","",A86&amp;"|"&amp;W86)</x:f>
      </x:c>
      <x:c r="AA86" s="572" t="str">
        <x:f>IF(X86="","",A86&amp;"|"&amp;X86)</x:f>
      </x:c>
      <x:c r="AB86" s="572" t="str">
        <x:f>IF(A86="","",IF(I86=0,"Offense neutral — no recorded offensive skills",IF(I86&lt;1,"Partial lookup — adjustment scaled",IF(AND(M86="Yes",AC86=0),"Offense adjusted; Guard neutral","Captured"))))</x:f>
        <x:v>Captured</x:v>
      </x:c>
      <x:c r="AC86" s="580" t="n">
        <x:f>IF(SUMIFS('Specialisation Impact'!$M$19:$M$186,'Specialisation Impact'!$A$19:$A$186,A86,'Specialisation Impact'!$B$19:$B$186,B86)=0,0,SUMIFS('Specialisation Impact'!$F$19:$F$186,'Specialisation Impact'!$A$19:$A$186,A86,'Specialisation Impact'!$B$19:$B$186,B86))</x:f>
        <x:v>1</x:v>
      </x:c>
    </x:row>
    <x:row r="87">
      <x:c r="A87" s="571" t="str">
        <x:v>K138</x:v>
      </x:c>
      <x:c r="B87" s="571" t="str">
        <x:v>(RaW)YAMI</x:v>
      </x:c>
      <x:c r="C87" s="575" t="n">
        <x:f>IF($A87="","",AVERAGE(100*((COUNTIF('All Stats'!$D$6:$D$172,"&lt;"&amp;'All Stats'!D87)+(COUNTIF('All Stats'!$D$6:$D$172,'All Stats'!D87)-1)/2)/(COUNT('All Stats'!$D$6:$D$172)-1))^'Specialisation Scenarios'!$X$10,100*((COUNTIF('All Stats'!$G$6:$G$172,"&lt;"&amp;'All Stats'!G87)+(COUNTIF('All Stats'!$G$6:$G$172,'All Stats'!G87)-1)/2)/(COUNT('All Stats'!$G$6:$G$172)-1))^'Specialisation Scenarios'!$X$10,100*((COUNTIF('All Stats'!$I$6:$I$172,"&lt;"&amp;'All Stats'!I87)+(COUNTIF('All Stats'!$I$6:$I$172,'All Stats'!I87)-1)/2)/(COUNT('All Stats'!$I$6:$I$172)-1))^'Specialisation Scenarios'!$X$10))</x:f>
        <x:v>51.2525071214369</x:v>
      </x:c>
      <x:c r="D87" s="575" t="n">
        <x:f>IF($A87="","",AVERAGE(100*((COUNTIF('All Stats'!$R$6:$R$172,"&lt;"&amp;'All Stats'!R87)+(COUNTIF('All Stats'!$R$6:$R$172,'All Stats'!R87)-1)/2)/(COUNT('All Stats'!$R$6:$R$172)-1))^'Specialisation Scenarios'!$X$10,100*((COUNTIF('All Stats'!$U$6:$U$172,"&lt;"&amp;'All Stats'!U87)+(COUNTIF('All Stats'!$U$6:$U$172,'All Stats'!U87)-1)/2)/(COUNT('All Stats'!$U$6:$U$172)-1))^'Specialisation Scenarios'!$X$10,100*((COUNTIF('All Stats'!$W$6:$W$172,"&lt;"&amp;'All Stats'!W87)+(COUNTIF('All Stats'!$W$6:$W$172,'All Stats'!W87)-1)/2)/(COUNT('All Stats'!$W$6:$W$172)-1))^'Specialisation Scenarios'!$X$10))</x:f>
        <x:v>56.35884118997111</x:v>
      </x:c>
      <x:c r="E87" s="575" t="n">
        <x:f>IF($A87="","",AVERAGE(100*((COUNTIF('All Stats'!$Y$6:$Y$172,"&lt;"&amp;'All Stats'!Y87)+(COUNTIF('All Stats'!$Y$6:$Y$172,'All Stats'!Y87)-1)/2)/(COUNT('All Stats'!$Y$6:$Y$172)-1))^'Specialisation Scenarios'!$X$10,100*((COUNTIF('All Stats'!$AB$6:$AB$172,"&lt;"&amp;'All Stats'!AB87)+(COUNTIF('All Stats'!$AB$6:$AB$172,'All Stats'!AB87)-1)/2)/(COUNT('All Stats'!$AB$6:$AB$172)-1))^'Specialisation Scenarios'!$X$10,100*((COUNTIF('All Stats'!$AD$6:$AD$172,"&lt;"&amp;'All Stats'!AD87)+(COUNTIF('All Stats'!$AD$6:$AD$172,'All Stats'!AD87)-1)/2)/(COUNT('All Stats'!$AD$6:$AD$172)-1))^'Specialisation Scenarios'!$X$10))</x:f>
        <x:v>6.930328799472002</x:v>
      </x:c>
      <x:c r="F87" s="575" t="n">
        <x:f>IF($A87="","",AVERAGE(100*((COUNTIF('All Stats'!$AF$6:$AF$172,"&lt;"&amp;'All Stats'!AF87)+(COUNTIF('All Stats'!$AF$6:$AF$172,'All Stats'!AF87)-1)/2)/(COUNT('All Stats'!$AF$6:$AF$172)-1))^'Specialisation Scenarios'!$X$10,100*((COUNTIF('All Stats'!$AI$6:$AI$172,"&lt;"&amp;'All Stats'!AI87)+(COUNTIF('All Stats'!$AI$6:$AI$172,'All Stats'!AI87)-1)/2)/(COUNT('All Stats'!$AI$6:$AI$172)-1))^'Specialisation Scenarios'!$X$10,100*((COUNTIF('All Stats'!$AK$6:$AK$172,"&lt;"&amp;'All Stats'!AK87)+(COUNTIF('All Stats'!$AK$6:$AK$172,'All Stats'!AK87)-1)/2)/(COUNT('All Stats'!$AK$6:$AK$172)-1))^'Specialisation Scenarios'!$X$10))</x:f>
        <x:v>65.31045596982422</x:v>
      </x:c>
      <x:c r="G87" s="575" t="n">
        <x:f>IF($A87="","",C87*'Specialisation Scenarios'!$X$11+D87*'Specialisation Scenarios'!$X$12+E87*'Specialisation Scenarios'!$X$13+F87*'Specialisation Scenarios'!$X$14)</x:f>
        <x:v>51.99278205761904</x:v>
      </x:c>
      <x:c r="H87" s="575" t="n">
        <x:f>IF(SUMIFS('Specialisation Impact'!$E$19:$E$186,'Specialisation Impact'!$A$19:$A$186,A87,'Specialisation Impact'!$B$19:$B$186,B87)=0,"",SUMIFS('Specialisation Impact'!$S$19:$S$186,'Specialisation Impact'!$A$19:$A$186,A87,'Specialisation Impact'!$B$19:$B$186,B87))</x:f>
        <x:v>49.8051948051948</x:v>
      </x:c>
      <x:c r="I87" s="579" t="n">
        <x:f>IF(SUMIFS('Specialisation Impact'!$E$19:$E$186,'Specialisation Impact'!$A$19:$A$186,A87,'Specialisation Impact'!$B$19:$B$186,B87)=0,0,SUMIFS('Specialisation Impact'!$F$19:$F$186,'Specialisation Impact'!$A$19:$A$186,A87,'Specialisation Impact'!$B$19:$B$186,B87))</x:f>
        <x:v>1</x:v>
      </x:c>
      <x:c r="J87" s="575" t="n">
        <x:f>G87</x:f>
        <x:v>51.99278205761904</x:v>
      </x:c>
      <x:c r="K87" s="575" t="n">
        <x:f>IF(G87="","",IF(I87=0,G87,MAX(0,MIN(100,G87*(1-'Specialisation Scenarios'!$B$8*I87)+H87*('Specialisation Scenarios'!$B$8*I87)))))</x:f>
        <x:v>51.44588524451298</x:v>
      </x:c>
      <x:c r="L87" s="575" t="n">
        <x:f>IF(G87="","",IF(I87=0,G87,MAX(0,MIN(100,G87*(1-'Specialisation Scenarios'!$B$9*I87)+H87*('Specialisation Scenarios'!$B$9*I87)))))</x:f>
        <x:v>51.227126519270556</x:v>
      </x:c>
      <x:c r="M87" s="575" t="str">
        <x:f>IF(COUNTIFS('Tank &amp; Control'!$A$23:$A$189,A87,'Tank &amp; Control'!$B$23:$B$189,B87,'Tank &amp; Control'!$C$23:$C$189,"Yes")&gt;0,"Yes","No")</x:f>
        <x:v>No</x:v>
      </x:c>
      <x:c r="N87" s="575" t="str">
        <x:f>IF(M87&lt;&gt;"Yes","",SUMIFS('Tank &amp; Control'!$L$23:$L$189,'Tank &amp; Control'!$A$23:$A$189,A87,'Tank &amp; Control'!$B$23:$B$189,B87))</x:f>
      </x:c>
      <x:c r="O87" s="575" t="n">
        <x:f>IF(SUMIFS('Specialisation Impact'!$M$19:$M$186,'Specialisation Impact'!$A$19:$A$186,A87,'Specialisation Impact'!$B$19:$B$186,B87)=0,"",SUMIFS('Specialisation Impact'!$V$19:$V$186,'Specialisation Impact'!$A$19:$A$186,A87,'Specialisation Impact'!$B$19:$B$186,B87))</x:f>
        <x:v>43.58974358974359</x:v>
      </x:c>
      <x:c r="P87" s="575" t="str">
        <x:f>IF(N87="","",N87)</x:f>
      </x:c>
      <x:c r="Q87" s="575" t="str">
        <x:f>IF(N87="","",IF(AC87=0,N87,MAX(0,MIN(100,N87*(1-'Specialisation Scenarios'!$B$8*AC87)+O87*('Specialisation Scenarios'!$B$8*AC87)))))</x:f>
      </x:c>
      <x:c r="R87" s="575" t="str">
        <x:f>IF(N87="","",IF(AC87=0,N87,MAX(0,MIN(100,N87*(1-'Specialisation Scenarios'!$B$9*AC87)+O87*('Specialisation Scenarios'!$B$9*AC87)))))</x:f>
      </x:c>
      <x:c r="S87" s="583" t="n">
        <x:f>IF(J87="","",COUNTIFS($A$6:$A$172,A87,$J$6:$J$172,"&gt;"&amp;J87)+COUNTIFS($A$6:A87,A87,$J$6:J87,J87))</x:f>
        <x:v>7</x:v>
      </x:c>
      <x:c r="T87" s="583" t="n">
        <x:f>IF(K87="","",COUNTIFS($A$6:$A$172,A87,$K$6:$K$172,"&gt;"&amp;K87)+COUNTIFS($A$6:A87,A87,$K$6:K87,K87))</x:f>
        <x:v>7</x:v>
      </x:c>
      <x:c r="U87" s="583" t="n">
        <x:f>IF(L87="","",COUNTIFS($A$6:$A$172,A87,$L$6:$L$172,"&gt;"&amp;L87)+COUNTIFS($A$6:A87,A87,$L$6:L87,L87))</x:f>
        <x:v>8</x:v>
      </x:c>
      <x:c r="V87" s="583" t="str">
        <x:f>IF(P87="","",COUNTIFS($A$6:$A$172,A87,$P$6:$P$172,"&gt;"&amp;P87)+COUNTIFS($A$6:A87,A87,$P$6:P87,P87))</x:f>
      </x:c>
      <x:c r="W87" s="583" t="str">
        <x:f>IF(Q87="","",COUNTIFS($A$6:$A$172,A87,$Q$6:$Q$172,"&gt;"&amp;Q87)+COUNTIFS($A$6:A87,A87,$Q$6:Q87,Q87))</x:f>
      </x:c>
      <x:c r="X87" s="583" t="str">
        <x:f>IF(R87="","",COUNTIFS($A$6:$A$172,A87,$R$6:$R$172,"&gt;"&amp;R87)+COUNTIFS($A$6:A87,A87,$R$6:R87,R87))</x:f>
      </x:c>
      <x:c r="Y87" s="571" t="str">
        <x:f>IF(V87="","",A87&amp;"|"&amp;V87)</x:f>
      </x:c>
      <x:c r="Z87" s="571" t="str">
        <x:f>IF(W87="","",A87&amp;"|"&amp;W87)</x:f>
      </x:c>
      <x:c r="AA87" s="571" t="str">
        <x:f>IF(X87="","",A87&amp;"|"&amp;X87)</x:f>
      </x:c>
      <x:c r="AB87" s="571" t="str">
        <x:f>IF(A87="","",IF(I87=0,"Offense neutral — no recorded offensive skills",IF(I87&lt;1,"Partial lookup — adjustment scaled",IF(AND(M87="Yes",AC87=0),"Offense adjusted; Guard neutral","Captured"))))</x:f>
        <x:v>Captured</x:v>
      </x:c>
      <x:c r="AC87" s="579" t="n">
        <x:f>IF(SUMIFS('Specialisation Impact'!$M$19:$M$186,'Specialisation Impact'!$A$19:$A$186,A87,'Specialisation Impact'!$B$19:$B$186,B87)=0,0,SUMIFS('Specialisation Impact'!$F$19:$F$186,'Specialisation Impact'!$A$19:$A$186,A87,'Specialisation Impact'!$B$19:$B$186,B87))</x:f>
        <x:v>1</x:v>
      </x:c>
    </x:row>
    <x:row r="88">
      <x:c r="A88" s="572" t="str">
        <x:v>K138</x:v>
      </x:c>
      <x:c r="B88" s="572" t="str">
        <x:v>(RaW)༺ⓉⒶⓇⓉⒶⓇ༻</x:v>
      </x:c>
      <x:c r="C88" s="576" t="n">
        <x:f>IF($A88="","",AVERAGE(100*((COUNTIF('All Stats'!$D$6:$D$172,"&lt;"&amp;'All Stats'!D88)+(COUNTIF('All Stats'!$D$6:$D$172,'All Stats'!D88)-1)/2)/(COUNT('All Stats'!$D$6:$D$172)-1))^'Specialisation Scenarios'!$X$10,100*((COUNTIF('All Stats'!$G$6:$G$172,"&lt;"&amp;'All Stats'!G88)+(COUNTIF('All Stats'!$G$6:$G$172,'All Stats'!G88)-1)/2)/(COUNT('All Stats'!$G$6:$G$172)-1))^'Specialisation Scenarios'!$X$10,100*((COUNTIF('All Stats'!$I$6:$I$172,"&lt;"&amp;'All Stats'!I88)+(COUNTIF('All Stats'!$I$6:$I$172,'All Stats'!I88)-1)/2)/(COUNT('All Stats'!$I$6:$I$172)-1))^'Specialisation Scenarios'!$X$10))</x:f>
        <x:v>15.403876801236443</x:v>
      </x:c>
      <x:c r="D88" s="576" t="n">
        <x:f>IF($A88="","",AVERAGE(100*((COUNTIF('All Stats'!$R$6:$R$172,"&lt;"&amp;'All Stats'!R88)+(COUNTIF('All Stats'!$R$6:$R$172,'All Stats'!R88)-1)/2)/(COUNT('All Stats'!$R$6:$R$172)-1))^'Specialisation Scenarios'!$X$10,100*((COUNTIF('All Stats'!$U$6:$U$172,"&lt;"&amp;'All Stats'!U88)+(COUNTIF('All Stats'!$U$6:$U$172,'All Stats'!U88)-1)/2)/(COUNT('All Stats'!$U$6:$U$172)-1))^'Specialisation Scenarios'!$X$10,100*((COUNTIF('All Stats'!$W$6:$W$172,"&lt;"&amp;'All Stats'!W88)+(COUNTIF('All Stats'!$W$6:$W$172,'All Stats'!W88)-1)/2)/(COUNT('All Stats'!$W$6:$W$172)-1))^'Specialisation Scenarios'!$X$10))</x:f>
        <x:v>9.93332245991814</x:v>
      </x:c>
      <x:c r="E88" s="576" t="n">
        <x:f>IF($A88="","",AVERAGE(100*((COUNTIF('All Stats'!$Y$6:$Y$172,"&lt;"&amp;'All Stats'!Y88)+(COUNTIF('All Stats'!$Y$6:$Y$172,'All Stats'!Y88)-1)/2)/(COUNT('All Stats'!$Y$6:$Y$172)-1))^'Specialisation Scenarios'!$X$10,100*((COUNTIF('All Stats'!$AB$6:$AB$172,"&lt;"&amp;'All Stats'!AB88)+(COUNTIF('All Stats'!$AB$6:$AB$172,'All Stats'!AB88)-1)/2)/(COUNT('All Stats'!$AB$6:$AB$172)-1))^'Specialisation Scenarios'!$X$10,100*((COUNTIF('All Stats'!$AD$6:$AD$172,"&lt;"&amp;'All Stats'!AD88)+(COUNTIF('All Stats'!$AD$6:$AD$172,'All Stats'!AD88)-1)/2)/(COUNT('All Stats'!$AD$6:$AD$172)-1))^'Specialisation Scenarios'!$X$10))</x:f>
        <x:v>24.614255549131666</x:v>
      </x:c>
      <x:c r="F88" s="576" t="n">
        <x:f>IF($A88="","",AVERAGE(100*((COUNTIF('All Stats'!$AF$6:$AF$172,"&lt;"&amp;'All Stats'!AF88)+(COUNTIF('All Stats'!$AF$6:$AF$172,'All Stats'!AF88)-1)/2)/(COUNT('All Stats'!$AF$6:$AF$172)-1))^'Specialisation Scenarios'!$X$10,100*((COUNTIF('All Stats'!$AI$6:$AI$172,"&lt;"&amp;'All Stats'!AI88)+(COUNTIF('All Stats'!$AI$6:$AI$172,'All Stats'!AI88)-1)/2)/(COUNT('All Stats'!$AI$6:$AI$172)-1))^'Specialisation Scenarios'!$X$10,100*((COUNTIF('All Stats'!$AK$6:$AK$172,"&lt;"&amp;'All Stats'!AK88)+(COUNTIF('All Stats'!$AK$6:$AK$172,'All Stats'!AK88)-1)/2)/(COUNT('All Stats'!$AK$6:$AK$172)-1))^'Specialisation Scenarios'!$X$10))</x:f>
        <x:v>26.688925903190036</x:v>
      </x:c>
      <x:c r="G88" s="576" t="n">
        <x:f>IF($A88="","",C88*'Specialisation Scenarios'!$X$11+D88*'Specialisation Scenarios'!$X$12+E88*'Specialisation Scenarios'!$X$13+F88*'Specialisation Scenarios'!$X$14)</x:f>
        <x:v>14.735339436528022</x:v>
      </x:c>
      <x:c r="H88" s="576" t="n">
        <x:f>IF(SUMIFS('Specialisation Impact'!$E$19:$E$186,'Specialisation Impact'!$A$19:$A$186,A88,'Specialisation Impact'!$B$19:$B$186,B88)=0,"",SUMIFS('Specialisation Impact'!$S$19:$S$186,'Specialisation Impact'!$A$19:$A$186,A88,'Specialisation Impact'!$B$19:$B$186,B88))</x:f>
        <x:v>45.84415584415584</x:v>
      </x:c>
      <x:c r="I88" s="580" t="n">
        <x:f>IF(SUMIFS('Specialisation Impact'!$E$19:$E$186,'Specialisation Impact'!$A$19:$A$186,A88,'Specialisation Impact'!$B$19:$B$186,B88)=0,0,SUMIFS('Specialisation Impact'!$F$19:$F$186,'Specialisation Impact'!$A$19:$A$186,A88,'Specialisation Impact'!$B$19:$B$186,B88))</x:f>
        <x:v>1</x:v>
      </x:c>
      <x:c r="J88" s="576" t="n">
        <x:f>G88</x:f>
        <x:v>14.735339436528022</x:v>
      </x:c>
      <x:c r="K88" s="576" t="n">
        <x:f>IF(G88="","",IF(I88=0,G88,MAX(0,MIN(100,G88*(1-'Specialisation Scenarios'!$B$8*I88)+H88*('Specialisation Scenarios'!$B$8*I88)))))</x:f>
        <x:v>22.512543538434976</x:v>
      </x:c>
      <x:c r="L88" s="576" t="n">
        <x:f>IF(G88="","",IF(I88=0,G88,MAX(0,MIN(100,G88*(1-'Specialisation Scenarios'!$B$9*I88)+H88*('Specialisation Scenarios'!$B$9*I88)))))</x:f>
        <x:v>25.62342517919776</x:v>
      </x:c>
      <x:c r="M88" s="576" t="str">
        <x:f>IF(COUNTIFS('Tank &amp; Control'!$A$23:$A$189,A88,'Tank &amp; Control'!$B$23:$B$189,B88,'Tank &amp; Control'!$C$23:$C$189,"Yes")&gt;0,"Yes","No")</x:f>
        <x:v>No</x:v>
      </x:c>
      <x:c r="N88" s="576" t="str">
        <x:f>IF(M88&lt;&gt;"Yes","",SUMIFS('Tank &amp; Control'!$L$23:$L$189,'Tank &amp; Control'!$A$23:$A$189,A88,'Tank &amp; Control'!$B$23:$B$189,B88))</x:f>
      </x:c>
      <x:c r="O88" s="576" t="n">
        <x:f>IF(SUMIFS('Specialisation Impact'!$M$19:$M$186,'Specialisation Impact'!$A$19:$A$186,A88,'Specialisation Impact'!$B$19:$B$186,B88)=0,"",SUMIFS('Specialisation Impact'!$V$19:$V$186,'Specialisation Impact'!$A$19:$A$186,A88,'Specialisation Impact'!$B$19:$B$186,B88))</x:f>
        <x:v>60.25641025641025</x:v>
      </x:c>
      <x:c r="P88" s="576" t="str">
        <x:f>IF(N88="","",N88)</x:f>
      </x:c>
      <x:c r="Q88" s="576" t="str">
        <x:f>IF(N88="","",IF(AC88=0,N88,MAX(0,MIN(100,N88*(1-'Specialisation Scenarios'!$B$8*AC88)+O88*('Specialisation Scenarios'!$B$8*AC88)))))</x:f>
      </x:c>
      <x:c r="R88" s="576" t="str">
        <x:f>IF(N88="","",IF(AC88=0,N88,MAX(0,MIN(100,N88*(1-'Specialisation Scenarios'!$B$9*AC88)+O88*('Specialisation Scenarios'!$B$9*AC88)))))</x:f>
      </x:c>
      <x:c r="S88" s="584" t="n">
        <x:f>IF(J88="","",COUNTIFS($A$6:$A$172,A88,$J$6:$J$172,"&gt;"&amp;J88)+COUNTIFS($A$6:A88,A88,$J$6:J88,J88))</x:f>
        <x:v>18</x:v>
      </x:c>
      <x:c r="T88" s="584" t="n">
        <x:f>IF(K88="","",COUNTIFS($A$6:$A$172,A88,$K$6:$K$172,"&gt;"&amp;K88)+COUNTIFS($A$6:A88,A88,$K$6:K88,K88))</x:f>
        <x:v>16</x:v>
      </x:c>
      <x:c r="U88" s="584" t="n">
        <x:f>IF(L88="","",COUNTIFS($A$6:$A$172,A88,$L$6:$L$172,"&gt;"&amp;L88)+COUNTIFS($A$6:A88,A88,$L$6:L88,L88))</x:f>
        <x:v>16</x:v>
      </x:c>
      <x:c r="V88" s="584" t="str">
        <x:f>IF(P88="","",COUNTIFS($A$6:$A$172,A88,$P$6:$P$172,"&gt;"&amp;P88)+COUNTIFS($A$6:A88,A88,$P$6:P88,P88))</x:f>
      </x:c>
      <x:c r="W88" s="584" t="str">
        <x:f>IF(Q88="","",COUNTIFS($A$6:$A$172,A88,$Q$6:$Q$172,"&gt;"&amp;Q88)+COUNTIFS($A$6:A88,A88,$Q$6:Q88,Q88))</x:f>
      </x:c>
      <x:c r="X88" s="584" t="str">
        <x:f>IF(R88="","",COUNTIFS($A$6:$A$172,A88,$R$6:$R$172,"&gt;"&amp;R88)+COUNTIFS($A$6:A88,A88,$R$6:R88,R88))</x:f>
      </x:c>
      <x:c r="Y88" s="572" t="str">
        <x:f>IF(V88="","",A88&amp;"|"&amp;V88)</x:f>
      </x:c>
      <x:c r="Z88" s="572" t="str">
        <x:f>IF(W88="","",A88&amp;"|"&amp;W88)</x:f>
      </x:c>
      <x:c r="AA88" s="572" t="str">
        <x:f>IF(X88="","",A88&amp;"|"&amp;X88)</x:f>
      </x:c>
      <x:c r="AB88" s="572" t="str">
        <x:f>IF(A88="","",IF(I88=0,"Offense neutral — no recorded offensive skills",IF(I88&lt;1,"Partial lookup — adjustment scaled",IF(AND(M88="Yes",AC88=0),"Offense adjusted; Guard neutral","Captured"))))</x:f>
        <x:v>Captured</x:v>
      </x:c>
      <x:c r="AC88" s="580" t="n">
        <x:f>IF(SUMIFS('Specialisation Impact'!$M$19:$M$186,'Specialisation Impact'!$A$19:$A$186,A88,'Specialisation Impact'!$B$19:$B$186,B88)=0,0,SUMIFS('Specialisation Impact'!$F$19:$F$186,'Specialisation Impact'!$A$19:$A$186,A88,'Specialisation Impact'!$B$19:$B$186,B88))</x:f>
        <x:v>1</x:v>
      </x:c>
    </x:row>
    <x:row r="89">
      <x:c r="A89" s="571" t="str">
        <x:v>K138</x:v>
      </x:c>
      <x:c r="B89" s="571" t="str">
        <x:v>(RaW)PPP_253</x:v>
      </x:c>
      <x:c r="C89" s="575" t="n">
        <x:f>IF($A89="","",AVERAGE(100*((COUNTIF('All Stats'!$D$6:$D$172,"&lt;"&amp;'All Stats'!D89)+(COUNTIF('All Stats'!$D$6:$D$172,'All Stats'!D89)-1)/2)/(COUNT('All Stats'!$D$6:$D$172)-1))^'Specialisation Scenarios'!$X$10,100*((COUNTIF('All Stats'!$G$6:$G$172,"&lt;"&amp;'All Stats'!G89)+(COUNTIF('All Stats'!$G$6:$G$172,'All Stats'!G89)-1)/2)/(COUNT('All Stats'!$G$6:$G$172)-1))^'Specialisation Scenarios'!$X$10,100*((COUNTIF('All Stats'!$I$6:$I$172,"&lt;"&amp;'All Stats'!I89)+(COUNTIF('All Stats'!$I$6:$I$172,'All Stats'!I89)-1)/2)/(COUNT('All Stats'!$I$6:$I$172)-1))^'Specialisation Scenarios'!$X$10))</x:f>
        <x:v>6.798909064063157</x:v>
      </x:c>
      <x:c r="D89" s="575" t="n">
        <x:f>IF($A89="","",AVERAGE(100*((COUNTIF('All Stats'!$R$6:$R$172,"&lt;"&amp;'All Stats'!R89)+(COUNTIF('All Stats'!$R$6:$R$172,'All Stats'!R89)-1)/2)/(COUNT('All Stats'!$R$6:$R$172)-1))^'Specialisation Scenarios'!$X$10,100*((COUNTIF('All Stats'!$U$6:$U$172,"&lt;"&amp;'All Stats'!U89)+(COUNTIF('All Stats'!$U$6:$U$172,'All Stats'!U89)-1)/2)/(COUNT('All Stats'!$U$6:$U$172)-1))^'Specialisation Scenarios'!$X$10,100*((COUNTIF('All Stats'!$W$6:$W$172,"&lt;"&amp;'All Stats'!W89)+(COUNTIF('All Stats'!$W$6:$W$172,'All Stats'!W89)-1)/2)/(COUNT('All Stats'!$W$6:$W$172)-1))^'Specialisation Scenarios'!$X$10))</x:f>
        <x:v>0.13632049980990021</x:v>
      </x:c>
      <x:c r="E89" s="575" t="n">
        <x:f>IF($A89="","",AVERAGE(100*((COUNTIF('All Stats'!$Y$6:$Y$172,"&lt;"&amp;'All Stats'!Y89)+(COUNTIF('All Stats'!$Y$6:$Y$172,'All Stats'!Y89)-1)/2)/(COUNT('All Stats'!$Y$6:$Y$172)-1))^'Specialisation Scenarios'!$X$10,100*((COUNTIF('All Stats'!$AB$6:$AB$172,"&lt;"&amp;'All Stats'!AB89)+(COUNTIF('All Stats'!$AB$6:$AB$172,'All Stats'!AB89)-1)/2)/(COUNT('All Stats'!$AB$6:$AB$172)-1))^'Specialisation Scenarios'!$X$10,100*((COUNTIF('All Stats'!$AD$6:$AD$172,"&lt;"&amp;'All Stats'!AD89)+(COUNTIF('All Stats'!$AD$6:$AD$172,'All Stats'!AD89)-1)/2)/(COUNT('All Stats'!$AD$6:$AD$172)-1))^'Specialisation Scenarios'!$X$10))</x:f>
        <x:v>19.919240843786117</x:v>
      </x:c>
      <x:c r="F89" s="575" t="n">
        <x:f>IF($A89="","",AVERAGE(100*((COUNTIF('All Stats'!$AF$6:$AF$172,"&lt;"&amp;'All Stats'!AF89)+(COUNTIF('All Stats'!$AF$6:$AF$172,'All Stats'!AF89)-1)/2)/(COUNT('All Stats'!$AF$6:$AF$172)-1))^'Specialisation Scenarios'!$X$10,100*((COUNTIF('All Stats'!$AI$6:$AI$172,"&lt;"&amp;'All Stats'!AI89)+(COUNTIF('All Stats'!$AI$6:$AI$172,'All Stats'!AI89)-1)/2)/(COUNT('All Stats'!$AI$6:$AI$172)-1))^'Specialisation Scenarios'!$X$10,100*((COUNTIF('All Stats'!$AK$6:$AK$172,"&lt;"&amp;'All Stats'!AK89)+(COUNTIF('All Stats'!$AK$6:$AK$172,'All Stats'!AK89)-1)/2)/(COUNT('All Stats'!$AK$6:$AK$172)-1))^'Specialisation Scenarios'!$X$10))</x:f>
        <x:v>7.9564937157053</x:v>
      </x:c>
      <x:c r="G89" s="575" t="n">
        <x:f>IF($A89="","",C89*'Specialisation Scenarios'!$X$11+D89*'Specialisation Scenarios'!$X$12+E89*'Specialisation Scenarios'!$X$13+F89*'Specialisation Scenarios'!$X$14)</x:f>
        <x:v>4.28702680122982</x:v>
      </x:c>
      <x:c r="H89" s="575" t="n">
        <x:f>IF(SUMIFS('Specialisation Impact'!$E$19:$E$186,'Specialisation Impact'!$A$19:$A$186,A89,'Specialisation Impact'!$B$19:$B$186,B89)=0,"",SUMIFS('Specialisation Impact'!$S$19:$S$186,'Specialisation Impact'!$A$19:$A$186,A89,'Specialisation Impact'!$B$19:$B$186,B89))</x:f>
        <x:v>7.077922077922078</x:v>
      </x:c>
      <x:c r="I89" s="579" t="n">
        <x:f>IF(SUMIFS('Specialisation Impact'!$E$19:$E$186,'Specialisation Impact'!$A$19:$A$186,A89,'Specialisation Impact'!$B$19:$B$186,B89)=0,0,SUMIFS('Specialisation Impact'!$F$19:$F$186,'Specialisation Impact'!$A$19:$A$186,A89,'Specialisation Impact'!$B$19:$B$186,B89))</x:f>
        <x:v>1</x:v>
      </x:c>
      <x:c r="J89" s="575" t="n">
        <x:f>G89</x:f>
        <x:v>4.28702680122982</x:v>
      </x:c>
      <x:c r="K89" s="575" t="n">
        <x:f>IF(G89="","",IF(I89=0,G89,MAX(0,MIN(100,G89*(1-'Specialisation Scenarios'!$B$8*I89)+H89*('Specialisation Scenarios'!$B$8*I89)))))</x:f>
        <x:v>4.984750620402885</x:v>
      </x:c>
      <x:c r="L89" s="575" t="n">
        <x:f>IF(G89="","",IF(I89=0,G89,MAX(0,MIN(100,G89*(1-'Specialisation Scenarios'!$B$9*I89)+H89*('Specialisation Scenarios'!$B$9*I89)))))</x:f>
        <x:v>5.26384014807211</x:v>
      </x:c>
      <x:c r="M89" s="575" t="str">
        <x:f>IF(COUNTIFS('Tank &amp; Control'!$A$23:$A$189,A89,'Tank &amp; Control'!$B$23:$B$189,B89,'Tank &amp; Control'!$C$23:$C$189,"Yes")&gt;0,"Yes","No")</x:f>
        <x:v>No</x:v>
      </x:c>
      <x:c r="N89" s="575" t="str">
        <x:f>IF(M89&lt;&gt;"Yes","",SUMIFS('Tank &amp; Control'!$L$23:$L$189,'Tank &amp; Control'!$A$23:$A$189,A89,'Tank &amp; Control'!$B$23:$B$189,B89))</x:f>
      </x:c>
      <x:c r="O89" s="575" t="n">
        <x:f>IF(SUMIFS('Specialisation Impact'!$M$19:$M$186,'Specialisation Impact'!$A$19:$A$186,A89,'Specialisation Impact'!$B$19:$B$186,B89)=0,"",SUMIFS('Specialisation Impact'!$V$19:$V$186,'Specialisation Impact'!$A$19:$A$186,A89,'Specialisation Impact'!$B$19:$B$186,B89))</x:f>
        <x:v>60.25641025641025</x:v>
      </x:c>
      <x:c r="P89" s="575" t="str">
        <x:f>IF(N89="","",N89)</x:f>
      </x:c>
      <x:c r="Q89" s="575" t="str">
        <x:f>IF(N89="","",IF(AC89=0,N89,MAX(0,MIN(100,N89*(1-'Specialisation Scenarios'!$B$8*AC89)+O89*('Specialisation Scenarios'!$B$8*AC89)))))</x:f>
      </x:c>
      <x:c r="R89" s="575" t="str">
        <x:f>IF(N89="","",IF(AC89=0,N89,MAX(0,MIN(100,N89*(1-'Specialisation Scenarios'!$B$9*AC89)+O89*('Specialisation Scenarios'!$B$9*AC89)))))</x:f>
      </x:c>
      <x:c r="S89" s="583" t="n">
        <x:f>IF(J89="","",COUNTIFS($A$6:$A$172,A89,$J$6:$J$172,"&gt;"&amp;J89)+COUNTIFS($A$6:A89,A89,$J$6:J89,J89))</x:f>
        <x:v>26</x:v>
      </x:c>
      <x:c r="T89" s="583" t="n">
        <x:f>IF(K89="","",COUNTIFS($A$6:$A$172,A89,$K$6:$K$172,"&gt;"&amp;K89)+COUNTIFS($A$6:A89,A89,$K$6:K89,K89))</x:f>
        <x:v>25</x:v>
      </x:c>
      <x:c r="U89" s="583" t="n">
        <x:f>IF(L89="","",COUNTIFS($A$6:$A$172,A89,$L$6:$L$172,"&gt;"&amp;L89)+COUNTIFS($A$6:A89,A89,$L$6:L89,L89))</x:f>
        <x:v>26</x:v>
      </x:c>
      <x:c r="V89" s="583" t="str">
        <x:f>IF(P89="","",COUNTIFS($A$6:$A$172,A89,$P$6:$P$172,"&gt;"&amp;P89)+COUNTIFS($A$6:A89,A89,$P$6:P89,P89))</x:f>
      </x:c>
      <x:c r="W89" s="583" t="str">
        <x:f>IF(Q89="","",COUNTIFS($A$6:$A$172,A89,$Q$6:$Q$172,"&gt;"&amp;Q89)+COUNTIFS($A$6:A89,A89,$Q$6:Q89,Q89))</x:f>
      </x:c>
      <x:c r="X89" s="583" t="str">
        <x:f>IF(R89="","",COUNTIFS($A$6:$A$172,A89,$R$6:$R$172,"&gt;"&amp;R89)+COUNTIFS($A$6:A89,A89,$R$6:R89,R89))</x:f>
      </x:c>
      <x:c r="Y89" s="571" t="str">
        <x:f>IF(V89="","",A89&amp;"|"&amp;V89)</x:f>
      </x:c>
      <x:c r="Z89" s="571" t="str">
        <x:f>IF(W89="","",A89&amp;"|"&amp;W89)</x:f>
      </x:c>
      <x:c r="AA89" s="571" t="str">
        <x:f>IF(X89="","",A89&amp;"|"&amp;X89)</x:f>
      </x:c>
      <x:c r="AB89" s="571" t="str">
        <x:f>IF(A89="","",IF(I89=0,"Offense neutral — no recorded offensive skills",IF(I89&lt;1,"Partial lookup — adjustment scaled",IF(AND(M89="Yes",AC89=0),"Offense adjusted; Guard neutral","Captured"))))</x:f>
        <x:v>Captured</x:v>
      </x:c>
      <x:c r="AC89" s="579" t="n">
        <x:f>IF(SUMIFS('Specialisation Impact'!$M$19:$M$186,'Specialisation Impact'!$A$19:$A$186,A89,'Specialisation Impact'!$B$19:$B$186,B89)=0,0,SUMIFS('Specialisation Impact'!$F$19:$F$186,'Specialisation Impact'!$A$19:$A$186,A89,'Specialisation Impact'!$B$19:$B$186,B89))</x:f>
        <x:v>1</x:v>
      </x:c>
    </x:row>
    <x:row r="90">
      <x:c r="A90" s="572" t="str">
        <x:v>K138</x:v>
      </x:c>
      <x:c r="B90" s="572" t="str">
        <x:v>(RaW)GoŁΛ</x:v>
      </x:c>
      <x:c r="C90" s="576" t="n">
        <x:f>IF($A90="","",AVERAGE(100*((COUNTIF('All Stats'!$D$6:$D$172,"&lt;"&amp;'All Stats'!D90)+(COUNTIF('All Stats'!$D$6:$D$172,'All Stats'!D90)-1)/2)/(COUNT('All Stats'!$D$6:$D$172)-1))^'Specialisation Scenarios'!$X$10,100*((COUNTIF('All Stats'!$G$6:$G$172,"&lt;"&amp;'All Stats'!G90)+(COUNTIF('All Stats'!$G$6:$G$172,'All Stats'!G90)-1)/2)/(COUNT('All Stats'!$G$6:$G$172)-1))^'Specialisation Scenarios'!$X$10,100*((COUNTIF('All Stats'!$I$6:$I$172,"&lt;"&amp;'All Stats'!I90)+(COUNTIF('All Stats'!$I$6:$I$172,'All Stats'!I90)-1)/2)/(COUNT('All Stats'!$I$6:$I$172)-1))^'Specialisation Scenarios'!$X$10))</x:f>
        <x:v>10.506861852172182</x:v>
      </x:c>
      <x:c r="D90" s="576" t="n">
        <x:f>IF($A90="","",AVERAGE(100*((COUNTIF('All Stats'!$R$6:$R$172,"&lt;"&amp;'All Stats'!R90)+(COUNTIF('All Stats'!$R$6:$R$172,'All Stats'!R90)-1)/2)/(COUNT('All Stats'!$R$6:$R$172)-1))^'Specialisation Scenarios'!$X$10,100*((COUNTIF('All Stats'!$U$6:$U$172,"&lt;"&amp;'All Stats'!U90)+(COUNTIF('All Stats'!$U$6:$U$172,'All Stats'!U90)-1)/2)/(COUNT('All Stats'!$U$6:$U$172)-1))^'Specialisation Scenarios'!$X$10,100*((COUNTIF('All Stats'!$W$6:$W$172,"&lt;"&amp;'All Stats'!W90)+(COUNTIF('All Stats'!$W$6:$W$172,'All Stats'!W90)-1)/2)/(COUNT('All Stats'!$W$6:$W$172)-1))^'Specialisation Scenarios'!$X$10))</x:f>
        <x:v>9.025147019668234</x:v>
      </x:c>
      <x:c r="E90" s="576" t="n">
        <x:f>IF($A90="","",AVERAGE(100*((COUNTIF('All Stats'!$Y$6:$Y$172,"&lt;"&amp;'All Stats'!Y90)+(COUNTIF('All Stats'!$Y$6:$Y$172,'All Stats'!Y90)-1)/2)/(COUNT('All Stats'!$Y$6:$Y$172)-1))^'Specialisation Scenarios'!$X$10,100*((COUNTIF('All Stats'!$AB$6:$AB$172,"&lt;"&amp;'All Stats'!AB90)+(COUNTIF('All Stats'!$AB$6:$AB$172,'All Stats'!AB90)-1)/2)/(COUNT('All Stats'!$AB$6:$AB$172)-1))^'Specialisation Scenarios'!$X$10,100*((COUNTIF('All Stats'!$AD$6:$AD$172,"&lt;"&amp;'All Stats'!AD90)+(COUNTIF('All Stats'!$AD$6:$AD$172,'All Stats'!AD90)-1)/2)/(COUNT('All Stats'!$AD$6:$AD$172)-1))^'Specialisation Scenarios'!$X$10))</x:f>
        <x:v>37.94100429234275</x:v>
      </x:c>
      <x:c r="F90" s="576" t="n">
        <x:f>IF($A90="","",AVERAGE(100*((COUNTIF('All Stats'!$AF$6:$AF$172,"&lt;"&amp;'All Stats'!AF90)+(COUNTIF('All Stats'!$AF$6:$AF$172,'All Stats'!AF90)-1)/2)/(COUNT('All Stats'!$AF$6:$AF$172)-1))^'Specialisation Scenarios'!$X$10,100*((COUNTIF('All Stats'!$AI$6:$AI$172,"&lt;"&amp;'All Stats'!AI90)+(COUNTIF('All Stats'!$AI$6:$AI$172,'All Stats'!AI90)-1)/2)/(COUNT('All Stats'!$AI$6:$AI$172)-1))^'Specialisation Scenarios'!$X$10,100*((COUNTIF('All Stats'!$AK$6:$AK$172,"&lt;"&amp;'All Stats'!AK90)+(COUNTIF('All Stats'!$AK$6:$AK$172,'All Stats'!AK90)-1)/2)/(COUNT('All Stats'!$AK$6:$AK$172)-1))^'Specialisation Scenarios'!$X$10))</x:f>
        <x:v>7.588773836236776</x:v>
      </x:c>
      <x:c r="G90" s="576" t="n">
        <x:f>IF($A90="","",C90*'Specialisation Scenarios'!$X$11+D90*'Specialisation Scenarios'!$X$12+E90*'Specialisation Scenarios'!$X$13+F90*'Specialisation Scenarios'!$X$14)</x:f>
        <x:v>11.92353399429656</x:v>
      </x:c>
      <x:c r="H90" s="576" t="n">
        <x:f>IF(SUMIFS('Specialisation Impact'!$E$19:$E$186,'Specialisation Impact'!$A$19:$A$186,A90,'Specialisation Impact'!$B$19:$B$186,B90)=0,"",SUMIFS('Specialisation Impact'!$S$19:$S$186,'Specialisation Impact'!$A$19:$A$186,A90,'Specialisation Impact'!$B$19:$B$186,B90))</x:f>
        <x:v>7.077922077922078</x:v>
      </x:c>
      <x:c r="I90" s="580" t="n">
        <x:f>IF(SUMIFS('Specialisation Impact'!$E$19:$E$186,'Specialisation Impact'!$A$19:$A$186,A90,'Specialisation Impact'!$B$19:$B$186,B90)=0,0,SUMIFS('Specialisation Impact'!$F$19:$F$186,'Specialisation Impact'!$A$19:$A$186,A90,'Specialisation Impact'!$B$19:$B$186,B90))</x:f>
        <x:v>1</x:v>
      </x:c>
      <x:c r="J90" s="576" t="n">
        <x:f>G90</x:f>
        <x:v>11.92353399429656</x:v>
      </x:c>
      <x:c r="K90" s="576" t="n">
        <x:f>IF(G90="","",IF(I90=0,G90,MAX(0,MIN(100,G90*(1-'Specialisation Scenarios'!$B$8*I90)+H90*('Specialisation Scenarios'!$B$8*I90)))))</x:f>
        <x:v>10.712131015202939</x:v>
      </x:c>
      <x:c r="L90" s="576" t="n">
        <x:f>IF(G90="","",IF(I90=0,G90,MAX(0,MIN(100,G90*(1-'Specialisation Scenarios'!$B$9*I90)+H90*('Specialisation Scenarios'!$B$9*I90)))))</x:f>
        <x:v>10.227569823565492</x:v>
      </x:c>
      <x:c r="M90" s="576" t="str">
        <x:f>IF(COUNTIFS('Tank &amp; Control'!$A$23:$A$189,A90,'Tank &amp; Control'!$B$23:$B$189,B90,'Tank &amp; Control'!$C$23:$C$189,"Yes")&gt;0,"Yes","No")</x:f>
        <x:v>No</x:v>
      </x:c>
      <x:c r="N90" s="576" t="str">
        <x:f>IF(M90&lt;&gt;"Yes","",SUMIFS('Tank &amp; Control'!$L$23:$L$189,'Tank &amp; Control'!$A$23:$A$189,A90,'Tank &amp; Control'!$B$23:$B$189,B90))</x:f>
      </x:c>
      <x:c r="O90" s="576" t="n">
        <x:f>IF(SUMIFS('Specialisation Impact'!$M$19:$M$186,'Specialisation Impact'!$A$19:$A$186,A90,'Specialisation Impact'!$B$19:$B$186,B90)=0,"",SUMIFS('Specialisation Impact'!$V$19:$V$186,'Specialisation Impact'!$A$19:$A$186,A90,'Specialisation Impact'!$B$19:$B$186,B90))</x:f>
        <x:v>46.58119658119658</x:v>
      </x:c>
      <x:c r="P90" s="576" t="str">
        <x:f>IF(N90="","",N90)</x:f>
      </x:c>
      <x:c r="Q90" s="576" t="str">
        <x:f>IF(N90="","",IF(AC90=0,N90,MAX(0,MIN(100,N90*(1-'Specialisation Scenarios'!$B$8*AC90)+O90*('Specialisation Scenarios'!$B$8*AC90)))))</x:f>
      </x:c>
      <x:c r="R90" s="576" t="str">
        <x:f>IF(N90="","",IF(AC90=0,N90,MAX(0,MIN(100,N90*(1-'Specialisation Scenarios'!$B$9*AC90)+O90*('Specialisation Scenarios'!$B$9*AC90)))))</x:f>
      </x:c>
      <x:c r="S90" s="584" t="n">
        <x:f>IF(J90="","",COUNTIFS($A$6:$A$172,A90,$J$6:$J$172,"&gt;"&amp;J90)+COUNTIFS($A$6:A90,A90,$J$6:J90,J90))</x:f>
        <x:v>22</x:v>
      </x:c>
      <x:c r="T90" s="584" t="n">
        <x:f>IF(K90="","",COUNTIFS($A$6:$A$172,A90,$K$6:$K$172,"&gt;"&amp;K90)+COUNTIFS($A$6:A90,A90,$K$6:K90,K90))</x:f>
        <x:v>22</x:v>
      </x:c>
      <x:c r="U90" s="584" t="n">
        <x:f>IF(L90="","",COUNTIFS($A$6:$A$172,A90,$L$6:$L$172,"&gt;"&amp;L90)+COUNTIFS($A$6:A90,A90,$L$6:L90,L90))</x:f>
        <x:v>22</x:v>
      </x:c>
      <x:c r="V90" s="584" t="str">
        <x:f>IF(P90="","",COUNTIFS($A$6:$A$172,A90,$P$6:$P$172,"&gt;"&amp;P90)+COUNTIFS($A$6:A90,A90,$P$6:P90,P90))</x:f>
      </x:c>
      <x:c r="W90" s="584" t="str">
        <x:f>IF(Q90="","",COUNTIFS($A$6:$A$172,A90,$Q$6:$Q$172,"&gt;"&amp;Q90)+COUNTIFS($A$6:A90,A90,$Q$6:Q90,Q90))</x:f>
      </x:c>
      <x:c r="X90" s="584" t="str">
        <x:f>IF(R90="","",COUNTIFS($A$6:$A$172,A90,$R$6:$R$172,"&gt;"&amp;R90)+COUNTIFS($A$6:A90,A90,$R$6:R90,R90))</x:f>
      </x:c>
      <x:c r="Y90" s="572" t="str">
        <x:f>IF(V90="","",A90&amp;"|"&amp;V90)</x:f>
      </x:c>
      <x:c r="Z90" s="572" t="str">
        <x:f>IF(W90="","",A90&amp;"|"&amp;W90)</x:f>
      </x:c>
      <x:c r="AA90" s="572" t="str">
        <x:f>IF(X90="","",A90&amp;"|"&amp;X90)</x:f>
      </x:c>
      <x:c r="AB90" s="572" t="str">
        <x:f>IF(A90="","",IF(I90=0,"Offense neutral — no recorded offensive skills",IF(I90&lt;1,"Partial lookup — adjustment scaled",IF(AND(M90="Yes",AC90=0),"Offense adjusted; Guard neutral","Captured"))))</x:f>
        <x:v>Captured</x:v>
      </x:c>
      <x:c r="AC90" s="580" t="n">
        <x:f>IF(SUMIFS('Specialisation Impact'!$M$19:$M$186,'Specialisation Impact'!$A$19:$A$186,A90,'Specialisation Impact'!$B$19:$B$186,B90)=0,0,SUMIFS('Specialisation Impact'!$F$19:$F$186,'Specialisation Impact'!$A$19:$A$186,A90,'Specialisation Impact'!$B$19:$B$186,B90))</x:f>
        <x:v>1</x:v>
      </x:c>
    </x:row>
    <x:row r="91">
      <x:c r="A91" s="571" t="str">
        <x:v>K138</x:v>
      </x:c>
      <x:c r="B91" s="571" t="str">
        <x:v>(RaW)Baqi</x:v>
      </x:c>
      <x:c r="C91" s="575" t="n">
        <x:f>IF($A91="","",AVERAGE(100*((COUNTIF('All Stats'!$D$6:$D$172,"&lt;"&amp;'All Stats'!D91)+(COUNTIF('All Stats'!$D$6:$D$172,'All Stats'!D91)-1)/2)/(COUNT('All Stats'!$D$6:$D$172)-1))^'Specialisation Scenarios'!$X$10,100*((COUNTIF('All Stats'!$G$6:$G$172,"&lt;"&amp;'All Stats'!G91)+(COUNTIF('All Stats'!$G$6:$G$172,'All Stats'!G91)-1)/2)/(COUNT('All Stats'!$G$6:$G$172)-1))^'Specialisation Scenarios'!$X$10,100*((COUNTIF('All Stats'!$I$6:$I$172,"&lt;"&amp;'All Stats'!I91)+(COUNTIF('All Stats'!$I$6:$I$172,'All Stats'!I91)-1)/2)/(COUNT('All Stats'!$I$6:$I$172)-1))^'Specialisation Scenarios'!$X$10))</x:f>
        <x:v>32.70148465599821</x:v>
      </x:c>
      <x:c r="D91" s="575" t="n">
        <x:f>IF($A91="","",AVERAGE(100*((COUNTIF('All Stats'!$R$6:$R$172,"&lt;"&amp;'All Stats'!R91)+(COUNTIF('All Stats'!$R$6:$R$172,'All Stats'!R91)-1)/2)/(COUNT('All Stats'!$R$6:$R$172)-1))^'Specialisation Scenarios'!$X$10,100*((COUNTIF('All Stats'!$U$6:$U$172,"&lt;"&amp;'All Stats'!U91)+(COUNTIF('All Stats'!$U$6:$U$172,'All Stats'!U91)-1)/2)/(COUNT('All Stats'!$U$6:$U$172)-1))^'Specialisation Scenarios'!$X$10,100*((COUNTIF('All Stats'!$W$6:$W$172,"&lt;"&amp;'All Stats'!W91)+(COUNTIF('All Stats'!$W$6:$W$172,'All Stats'!W91)-1)/2)/(COUNT('All Stats'!$W$6:$W$172)-1))^'Specialisation Scenarios'!$X$10))</x:f>
        <x:v>25.365921643370324</x:v>
      </x:c>
      <x:c r="E91" s="575" t="n">
        <x:f>IF($A91="","",AVERAGE(100*((COUNTIF('All Stats'!$Y$6:$Y$172,"&lt;"&amp;'All Stats'!Y91)+(COUNTIF('All Stats'!$Y$6:$Y$172,'All Stats'!Y91)-1)/2)/(COUNT('All Stats'!$Y$6:$Y$172)-1))^'Specialisation Scenarios'!$X$10,100*((COUNTIF('All Stats'!$AB$6:$AB$172,"&lt;"&amp;'All Stats'!AB91)+(COUNTIF('All Stats'!$AB$6:$AB$172,'All Stats'!AB91)-1)/2)/(COUNT('All Stats'!$AB$6:$AB$172)-1))^'Specialisation Scenarios'!$X$10,100*((COUNTIF('All Stats'!$AD$6:$AD$172,"&lt;"&amp;'All Stats'!AD91)+(COUNTIF('All Stats'!$AD$6:$AD$172,'All Stats'!AD91)-1)/2)/(COUNT('All Stats'!$AD$6:$AD$172)-1))^'Specialisation Scenarios'!$X$10))</x:f>
        <x:v>34.94242544146459</x:v>
      </x:c>
      <x:c r="F91" s="575" t="n">
        <x:f>IF($A91="","",AVERAGE(100*((COUNTIF('All Stats'!$AF$6:$AF$172,"&lt;"&amp;'All Stats'!AF91)+(COUNTIF('All Stats'!$AF$6:$AF$172,'All Stats'!AF91)-1)/2)/(COUNT('All Stats'!$AF$6:$AF$172)-1))^'Specialisation Scenarios'!$X$10,100*((COUNTIF('All Stats'!$AI$6:$AI$172,"&lt;"&amp;'All Stats'!AI91)+(COUNTIF('All Stats'!$AI$6:$AI$172,'All Stats'!AI91)-1)/2)/(COUNT('All Stats'!$AI$6:$AI$172)-1))^'Specialisation Scenarios'!$X$10,100*((COUNTIF('All Stats'!$AK$6:$AK$172,"&lt;"&amp;'All Stats'!AK91)+(COUNTIF('All Stats'!$AK$6:$AK$172,'All Stats'!AK91)-1)/2)/(COUNT('All Stats'!$AK$6:$AK$172)-1))^'Specialisation Scenarios'!$X$10))</x:f>
        <x:v>37.20804384510809</x:v>
      </x:c>
      <x:c r="G91" s="575" t="n">
        <x:f>IF($A91="","",C91*'Specialisation Scenarios'!$X$11+D91*'Specialisation Scenarios'!$X$12+E91*'Specialisation Scenarios'!$X$13+F91*'Specialisation Scenarios'!$X$14)</x:f>
        <x:v>29.2002248053346</x:v>
      </x:c>
      <x:c r="H91" s="575" t="n">
        <x:f>IF(SUMIFS('Specialisation Impact'!$E$19:$E$186,'Specialisation Impact'!$A$19:$A$186,A91,'Specialisation Impact'!$B$19:$B$186,B91)=0,"",SUMIFS('Specialisation Impact'!$S$19:$S$186,'Specialisation Impact'!$A$19:$A$186,A91,'Specialisation Impact'!$B$19:$B$186,B91))</x:f>
        <x:v>44.8051948051948</x:v>
      </x:c>
      <x:c r="I91" s="579" t="n">
        <x:f>IF(SUMIFS('Specialisation Impact'!$E$19:$E$186,'Specialisation Impact'!$A$19:$A$186,A91,'Specialisation Impact'!$B$19:$B$186,B91)=0,0,SUMIFS('Specialisation Impact'!$F$19:$F$186,'Specialisation Impact'!$A$19:$A$186,A91,'Specialisation Impact'!$B$19:$B$186,B91))</x:f>
        <x:v>1</x:v>
      </x:c>
      <x:c r="J91" s="575" t="n">
        <x:f>G91</x:f>
        <x:v>29.2002248053346</x:v>
      </x:c>
      <x:c r="K91" s="575" t="n">
        <x:f>IF(G91="","",IF(I91=0,G91,MAX(0,MIN(100,G91*(1-'Specialisation Scenarios'!$B$8*I91)+H91*('Specialisation Scenarios'!$B$8*I91)))))</x:f>
        <x:v>33.10146730529965</x:v>
      </x:c>
      <x:c r="L91" s="575" t="n">
        <x:f>IF(G91="","",IF(I91=0,G91,MAX(0,MIN(100,G91*(1-'Specialisation Scenarios'!$B$9*I91)+H91*('Specialisation Scenarios'!$B$9*I91)))))</x:f>
        <x:v>34.66196430528567</x:v>
      </x:c>
      <x:c r="M91" s="575" t="str">
        <x:f>IF(COUNTIFS('Tank &amp; Control'!$A$23:$A$189,A91,'Tank &amp; Control'!$B$23:$B$189,B91,'Tank &amp; Control'!$C$23:$C$189,"Yes")&gt;0,"Yes","No")</x:f>
        <x:v>No</x:v>
      </x:c>
      <x:c r="N91" s="575" t="str">
        <x:f>IF(M91&lt;&gt;"Yes","",SUMIFS('Tank &amp; Control'!$L$23:$L$189,'Tank &amp; Control'!$A$23:$A$189,A91,'Tank &amp; Control'!$B$23:$B$189,B91))</x:f>
      </x:c>
      <x:c r="O91" s="575" t="n">
        <x:f>IF(SUMIFS('Specialisation Impact'!$M$19:$M$186,'Specialisation Impact'!$A$19:$A$186,A91,'Specialisation Impact'!$B$19:$B$186,B91)=0,"",SUMIFS('Specialisation Impact'!$V$19:$V$186,'Specialisation Impact'!$A$19:$A$186,A91,'Specialisation Impact'!$B$19:$B$186,B91))</x:f>
        <x:v>43.58974358974359</x:v>
      </x:c>
      <x:c r="P91" s="575" t="str">
        <x:f>IF(N91="","",N91)</x:f>
      </x:c>
      <x:c r="Q91" s="575" t="str">
        <x:f>IF(N91="","",IF(AC91=0,N91,MAX(0,MIN(100,N91*(1-'Specialisation Scenarios'!$B$8*AC91)+O91*('Specialisation Scenarios'!$B$8*AC91)))))</x:f>
      </x:c>
      <x:c r="R91" s="575" t="str">
        <x:f>IF(N91="","",IF(AC91=0,N91,MAX(0,MIN(100,N91*(1-'Specialisation Scenarios'!$B$9*AC91)+O91*('Specialisation Scenarios'!$B$9*AC91)))))</x:f>
      </x:c>
      <x:c r="S91" s="583" t="n">
        <x:f>IF(J91="","",COUNTIFS($A$6:$A$172,A91,$J$6:$J$172,"&gt;"&amp;J91)+COUNTIFS($A$6:A91,A91,$J$6:J91,J91))</x:f>
        <x:v>13</x:v>
      </x:c>
      <x:c r="T91" s="583" t="n">
        <x:f>IF(K91="","",COUNTIFS($A$6:$A$172,A91,$K$6:$K$172,"&gt;"&amp;K91)+COUNTIFS($A$6:A91,A91,$K$6:K91,K91))</x:f>
        <x:v>11</x:v>
      </x:c>
      <x:c r="U91" s="583" t="n">
        <x:f>IF(L91="","",COUNTIFS($A$6:$A$172,A91,$L$6:$L$172,"&gt;"&amp;L91)+COUNTIFS($A$6:A91,A91,$L$6:L91,L91))</x:f>
        <x:v>10</x:v>
      </x:c>
      <x:c r="V91" s="583" t="str">
        <x:f>IF(P91="","",COUNTIFS($A$6:$A$172,A91,$P$6:$P$172,"&gt;"&amp;P91)+COUNTIFS($A$6:A91,A91,$P$6:P91,P91))</x:f>
      </x:c>
      <x:c r="W91" s="583" t="str">
        <x:f>IF(Q91="","",COUNTIFS($A$6:$A$172,A91,$Q$6:$Q$172,"&gt;"&amp;Q91)+COUNTIFS($A$6:A91,A91,$Q$6:Q91,Q91))</x:f>
      </x:c>
      <x:c r="X91" s="583" t="str">
        <x:f>IF(R91="","",COUNTIFS($A$6:$A$172,A91,$R$6:$R$172,"&gt;"&amp;R91)+COUNTIFS($A$6:A91,A91,$R$6:R91,R91))</x:f>
      </x:c>
      <x:c r="Y91" s="571" t="str">
        <x:f>IF(V91="","",A91&amp;"|"&amp;V91)</x:f>
      </x:c>
      <x:c r="Z91" s="571" t="str">
        <x:f>IF(W91="","",A91&amp;"|"&amp;W91)</x:f>
      </x:c>
      <x:c r="AA91" s="571" t="str">
        <x:f>IF(X91="","",A91&amp;"|"&amp;X91)</x:f>
      </x:c>
      <x:c r="AB91" s="571" t="str">
        <x:f>IF(A91="","",IF(I91=0,"Offense neutral — no recorded offensive skills",IF(I91&lt;1,"Partial lookup — adjustment scaled",IF(AND(M91="Yes",AC91=0),"Offense adjusted; Guard neutral","Captured"))))</x:f>
        <x:v>Captured</x:v>
      </x:c>
      <x:c r="AC91" s="579" t="n">
        <x:f>IF(SUMIFS('Specialisation Impact'!$M$19:$M$186,'Specialisation Impact'!$A$19:$A$186,A91,'Specialisation Impact'!$B$19:$B$186,B91)=0,0,SUMIFS('Specialisation Impact'!$F$19:$F$186,'Specialisation Impact'!$A$19:$A$186,A91,'Specialisation Impact'!$B$19:$B$186,B91))</x:f>
        <x:v>1</x:v>
      </x:c>
    </x:row>
    <x:row r="92">
      <x:c r="A92" s="572" t="str">
        <x:v>K138</x:v>
      </x:c>
      <x:c r="B92" s="572" t="str">
        <x:v>(RaW)༺飞K༻</x:v>
      </x:c>
      <x:c r="C92" s="576" t="n">
        <x:f>IF($A92="","",AVERAGE(100*((COUNTIF('All Stats'!$D$6:$D$172,"&lt;"&amp;'All Stats'!D92)+(COUNTIF('All Stats'!$D$6:$D$172,'All Stats'!D92)-1)/2)/(COUNT('All Stats'!$D$6:$D$172)-1))^'Specialisation Scenarios'!$X$10,100*((COUNTIF('All Stats'!$G$6:$G$172,"&lt;"&amp;'All Stats'!G92)+(COUNTIF('All Stats'!$G$6:$G$172,'All Stats'!G92)-1)/2)/(COUNT('All Stats'!$G$6:$G$172)-1))^'Specialisation Scenarios'!$X$10,100*((COUNTIF('All Stats'!$I$6:$I$172,"&lt;"&amp;'All Stats'!I92)+(COUNTIF('All Stats'!$I$6:$I$172,'All Stats'!I92)-1)/2)/(COUNT('All Stats'!$I$6:$I$172)-1))^'Specialisation Scenarios'!$X$10))</x:f>
        <x:v>19.573934817586448</x:v>
      </x:c>
      <x:c r="D92" s="576" t="n">
        <x:f>IF($A92="","",AVERAGE(100*((COUNTIF('All Stats'!$R$6:$R$172,"&lt;"&amp;'All Stats'!R92)+(COUNTIF('All Stats'!$R$6:$R$172,'All Stats'!R92)-1)/2)/(COUNT('All Stats'!$R$6:$R$172)-1))^'Specialisation Scenarios'!$X$10,100*((COUNTIF('All Stats'!$U$6:$U$172,"&lt;"&amp;'All Stats'!U92)+(COUNTIF('All Stats'!$U$6:$U$172,'All Stats'!U92)-1)/2)/(COUNT('All Stats'!$U$6:$U$172)-1))^'Specialisation Scenarios'!$X$10,100*((COUNTIF('All Stats'!$W$6:$W$172,"&lt;"&amp;'All Stats'!W92)+(COUNTIF('All Stats'!$W$6:$W$172,'All Stats'!W92)-1)/2)/(COUNT('All Stats'!$W$6:$W$172)-1))^'Specialisation Scenarios'!$X$10))</x:f>
        <x:v>2.6704922569942506</x:v>
      </x:c>
      <x:c r="E92" s="576" t="n">
        <x:f>IF($A92="","",AVERAGE(100*((COUNTIF('All Stats'!$Y$6:$Y$172,"&lt;"&amp;'All Stats'!Y92)+(COUNTIF('All Stats'!$Y$6:$Y$172,'All Stats'!Y92)-1)/2)/(COUNT('All Stats'!$Y$6:$Y$172)-1))^'Specialisation Scenarios'!$X$10,100*((COUNTIF('All Stats'!$AB$6:$AB$172,"&lt;"&amp;'All Stats'!AB92)+(COUNTIF('All Stats'!$AB$6:$AB$172,'All Stats'!AB92)-1)/2)/(COUNT('All Stats'!$AB$6:$AB$172)-1))^'Specialisation Scenarios'!$X$10,100*((COUNTIF('All Stats'!$AD$6:$AD$172,"&lt;"&amp;'All Stats'!AD92)+(COUNTIF('All Stats'!$AD$6:$AD$172,'All Stats'!AD92)-1)/2)/(COUNT('All Stats'!$AD$6:$AD$172)-1))^'Specialisation Scenarios'!$X$10))</x:f>
        <x:v>32.419449852838845</x:v>
      </x:c>
      <x:c r="F92" s="576" t="n">
        <x:f>IF($A92="","",AVERAGE(100*((COUNTIF('All Stats'!$AF$6:$AF$172,"&lt;"&amp;'All Stats'!AF92)+(COUNTIF('All Stats'!$AF$6:$AF$172,'All Stats'!AF92)-1)/2)/(COUNT('All Stats'!$AF$6:$AF$172)-1))^'Specialisation Scenarios'!$X$10,100*((COUNTIF('All Stats'!$AI$6:$AI$172,"&lt;"&amp;'All Stats'!AI92)+(COUNTIF('All Stats'!$AI$6:$AI$172,'All Stats'!AI92)-1)/2)/(COUNT('All Stats'!$AI$6:$AI$172)-1))^'Specialisation Scenarios'!$X$10,100*((COUNTIF('All Stats'!$AK$6:$AK$172,"&lt;"&amp;'All Stats'!AK92)+(COUNTIF('All Stats'!$AK$6:$AK$172,'All Stats'!AK92)-1)/2)/(COUNT('All Stats'!$AK$6:$AK$172)-1))^'Specialisation Scenarios'!$X$10))</x:f>
        <x:v>1.7455908272717036</x:v>
      </x:c>
      <x:c r="G92" s="576" t="n">
        <x:f>IF($A92="","",C92*'Specialisation Scenarios'!$X$11+D92*'Specialisation Scenarios'!$X$12+E92*'Specialisation Scenarios'!$X$13+F92*'Specialisation Scenarios'!$X$14)</x:f>
        <x:v>8.042169186209158</x:v>
      </x:c>
      <x:c r="H92" s="576" t="n">
        <x:f>IF(SUMIFS('Specialisation Impact'!$E$19:$E$186,'Specialisation Impact'!$A$19:$A$186,A92,'Specialisation Impact'!$B$19:$B$186,B92)=0,"",SUMIFS('Specialisation Impact'!$S$19:$S$186,'Specialisation Impact'!$A$19:$A$186,A92,'Specialisation Impact'!$B$19:$B$186,B92))</x:f>
        <x:v>1.2987012987012987</x:v>
      </x:c>
      <x:c r="I92" s="580" t="n">
        <x:f>IF(SUMIFS('Specialisation Impact'!$E$19:$E$186,'Specialisation Impact'!$A$19:$A$186,A92,'Specialisation Impact'!$B$19:$B$186,B92)=0,0,SUMIFS('Specialisation Impact'!$F$19:$F$186,'Specialisation Impact'!$A$19:$A$186,A92,'Specialisation Impact'!$B$19:$B$186,B92))</x:f>
        <x:v>1</x:v>
      </x:c>
      <x:c r="J92" s="576" t="n">
        <x:f>G92</x:f>
        <x:v>8.042169186209158</x:v>
      </x:c>
      <x:c r="K92" s="576" t="n">
        <x:f>IF(G92="","",IF(I92=0,G92,MAX(0,MIN(100,G92*(1-'Specialisation Scenarios'!$B$8*I92)+H92*('Specialisation Scenarios'!$B$8*I92)))))</x:f>
        <x:v>6.356302214332193</x:v>
      </x:c>
      <x:c r="L92" s="576" t="n">
        <x:f>IF(G92="","",IF(I92=0,G92,MAX(0,MIN(100,G92*(1-'Specialisation Scenarios'!$B$9*I92)+H92*('Specialisation Scenarios'!$B$9*I92)))))</x:f>
        <x:v>5.681955425581407</x:v>
      </x:c>
      <x:c r="M92" s="576" t="str">
        <x:f>IF(COUNTIFS('Tank &amp; Control'!$A$23:$A$189,A92,'Tank &amp; Control'!$B$23:$B$189,B92,'Tank &amp; Control'!$C$23:$C$189,"Yes")&gt;0,"Yes","No")</x:f>
        <x:v>No</x:v>
      </x:c>
      <x:c r="N92" s="576" t="str">
        <x:f>IF(M92&lt;&gt;"Yes","",SUMIFS('Tank &amp; Control'!$L$23:$L$189,'Tank &amp; Control'!$A$23:$A$189,A92,'Tank &amp; Control'!$B$23:$B$189,B92))</x:f>
      </x:c>
      <x:c r="O92" s="576" t="n">
        <x:f>IF(SUMIFS('Specialisation Impact'!$M$19:$M$186,'Specialisation Impact'!$A$19:$A$186,A92,'Specialisation Impact'!$B$19:$B$186,B92)=0,"",SUMIFS('Specialisation Impact'!$V$19:$V$186,'Specialisation Impact'!$A$19:$A$186,A92,'Specialisation Impact'!$B$19:$B$186,B92))</x:f>
        <x:v>60.25641025641025</x:v>
      </x:c>
      <x:c r="P92" s="576" t="str">
        <x:f>IF(N92="","",N92)</x:f>
      </x:c>
      <x:c r="Q92" s="576" t="str">
        <x:f>IF(N92="","",IF(AC92=0,N92,MAX(0,MIN(100,N92*(1-'Specialisation Scenarios'!$B$8*AC92)+O92*('Specialisation Scenarios'!$B$8*AC92)))))</x:f>
      </x:c>
      <x:c r="R92" s="576" t="str">
        <x:f>IF(N92="","",IF(AC92=0,N92,MAX(0,MIN(100,N92*(1-'Specialisation Scenarios'!$B$9*AC92)+O92*('Specialisation Scenarios'!$B$9*AC92)))))</x:f>
      </x:c>
      <x:c r="S92" s="584" t="n">
        <x:f>IF(J92="","",COUNTIFS($A$6:$A$172,A92,$J$6:$J$172,"&gt;"&amp;J92)+COUNTIFS($A$6:A92,A92,$J$6:J92,J92))</x:f>
        <x:v>24</x:v>
      </x:c>
      <x:c r="T92" s="584" t="n">
        <x:f>IF(K92="","",COUNTIFS($A$6:$A$172,A92,$K$6:$K$172,"&gt;"&amp;K92)+COUNTIFS($A$6:A92,A92,$K$6:K92,K92))</x:f>
        <x:v>24</x:v>
      </x:c>
      <x:c r="U92" s="584" t="n">
        <x:f>IF(L92="","",COUNTIFS($A$6:$A$172,A92,$L$6:$L$172,"&gt;"&amp;L92)+COUNTIFS($A$6:A92,A92,$L$6:L92,L92))</x:f>
        <x:v>24</x:v>
      </x:c>
      <x:c r="V92" s="584" t="str">
        <x:f>IF(P92="","",COUNTIFS($A$6:$A$172,A92,$P$6:$P$172,"&gt;"&amp;P92)+COUNTIFS($A$6:A92,A92,$P$6:P92,P92))</x:f>
      </x:c>
      <x:c r="W92" s="584" t="str">
        <x:f>IF(Q92="","",COUNTIFS($A$6:$A$172,A92,$Q$6:$Q$172,"&gt;"&amp;Q92)+COUNTIFS($A$6:A92,A92,$Q$6:Q92,Q92))</x:f>
      </x:c>
      <x:c r="X92" s="584" t="str">
        <x:f>IF(R92="","",COUNTIFS($A$6:$A$172,A92,$R$6:$R$172,"&gt;"&amp;R92)+COUNTIFS($A$6:A92,A92,$R$6:R92,R92))</x:f>
      </x:c>
      <x:c r="Y92" s="572" t="str">
        <x:f>IF(V92="","",A92&amp;"|"&amp;V92)</x:f>
      </x:c>
      <x:c r="Z92" s="572" t="str">
        <x:f>IF(W92="","",A92&amp;"|"&amp;W92)</x:f>
      </x:c>
      <x:c r="AA92" s="572" t="str">
        <x:f>IF(X92="","",A92&amp;"|"&amp;X92)</x:f>
      </x:c>
      <x:c r="AB92" s="572" t="str">
        <x:f>IF(A92="","",IF(I92=0,"Offense neutral — no recorded offensive skills",IF(I92&lt;1,"Partial lookup — adjustment scaled",IF(AND(M92="Yes",AC92=0),"Offense adjusted; Guard neutral","Captured"))))</x:f>
        <x:v>Captured</x:v>
      </x:c>
      <x:c r="AC92" s="580" t="n">
        <x:f>IF(SUMIFS('Specialisation Impact'!$M$19:$M$186,'Specialisation Impact'!$A$19:$A$186,A92,'Specialisation Impact'!$B$19:$B$186,B92)=0,0,SUMIFS('Specialisation Impact'!$F$19:$F$186,'Specialisation Impact'!$A$19:$A$186,A92,'Specialisation Impact'!$B$19:$B$186,B92))</x:f>
        <x:v>1</x:v>
      </x:c>
    </x:row>
    <x:row r="93">
      <x:c r="A93" s="571" t="str">
        <x:v>K138</x:v>
      </x:c>
      <x:c r="B93" s="571" t="str">
        <x:v>(RaW)ϟCrozyϟ</x:v>
      </x:c>
      <x:c r="C93" s="575" t="n">
        <x:f>IF($A93="","",AVERAGE(100*((COUNTIF('All Stats'!$D$6:$D$172,"&lt;"&amp;'All Stats'!D93)+(COUNTIF('All Stats'!$D$6:$D$172,'All Stats'!D93)-1)/2)/(COUNT('All Stats'!$D$6:$D$172)-1))^'Specialisation Scenarios'!$X$10,100*((COUNTIF('All Stats'!$G$6:$G$172,"&lt;"&amp;'All Stats'!G93)+(COUNTIF('All Stats'!$G$6:$G$172,'All Stats'!G93)-1)/2)/(COUNT('All Stats'!$G$6:$G$172)-1))^'Specialisation Scenarios'!$X$10,100*((COUNTIF('All Stats'!$I$6:$I$172,"&lt;"&amp;'All Stats'!I93)+(COUNTIF('All Stats'!$I$6:$I$172,'All Stats'!I93)-1)/2)/(COUNT('All Stats'!$I$6:$I$172)-1))^'Specialisation Scenarios'!$X$10))</x:f>
        <x:v>42.53629394226554</x:v>
      </x:c>
      <x:c r="D93" s="575" t="n">
        <x:f>IF($A93="","",AVERAGE(100*((COUNTIF('All Stats'!$R$6:$R$172,"&lt;"&amp;'All Stats'!R93)+(COUNTIF('All Stats'!$R$6:$R$172,'All Stats'!R93)-1)/2)/(COUNT('All Stats'!$R$6:$R$172)-1))^'Specialisation Scenarios'!$X$10,100*((COUNTIF('All Stats'!$U$6:$U$172,"&lt;"&amp;'All Stats'!U93)+(COUNTIF('All Stats'!$U$6:$U$172,'All Stats'!U93)-1)/2)/(COUNT('All Stats'!$U$6:$U$172)-1))^'Specialisation Scenarios'!$X$10,100*((COUNTIF('All Stats'!$W$6:$W$172,"&lt;"&amp;'All Stats'!W93)+(COUNTIF('All Stats'!$W$6:$W$172,'All Stats'!W93)-1)/2)/(COUNT('All Stats'!$W$6:$W$172)-1))^'Specialisation Scenarios'!$X$10))</x:f>
        <x:v>31.808732741197023</x:v>
      </x:c>
      <x:c r="E93" s="575" t="n">
        <x:f>IF($A93="","",AVERAGE(100*((COUNTIF('All Stats'!$Y$6:$Y$172,"&lt;"&amp;'All Stats'!Y93)+(COUNTIF('All Stats'!$Y$6:$Y$172,'All Stats'!Y93)-1)/2)/(COUNT('All Stats'!$Y$6:$Y$172)-1))^'Specialisation Scenarios'!$X$10,100*((COUNTIF('All Stats'!$AB$6:$AB$172,"&lt;"&amp;'All Stats'!AB93)+(COUNTIF('All Stats'!$AB$6:$AB$172,'All Stats'!AB93)-1)/2)/(COUNT('All Stats'!$AB$6:$AB$172)-1))^'Specialisation Scenarios'!$X$10,100*((COUNTIF('All Stats'!$AD$6:$AD$172,"&lt;"&amp;'All Stats'!AD93)+(COUNTIF('All Stats'!$AD$6:$AD$172,'All Stats'!AD93)-1)/2)/(COUNT('All Stats'!$AD$6:$AD$172)-1))^'Specialisation Scenarios'!$X$10))</x:f>
        <x:v>41.25859872034663</x:v>
      </x:c>
      <x:c r="F93" s="575" t="n">
        <x:f>IF($A93="","",AVERAGE(100*((COUNTIF('All Stats'!$AF$6:$AF$172,"&lt;"&amp;'All Stats'!AF93)+(COUNTIF('All Stats'!$AF$6:$AF$172,'All Stats'!AF93)-1)/2)/(COUNT('All Stats'!$AF$6:$AF$172)-1))^'Specialisation Scenarios'!$X$10,100*((COUNTIF('All Stats'!$AI$6:$AI$172,"&lt;"&amp;'All Stats'!AI93)+(COUNTIF('All Stats'!$AI$6:$AI$172,'All Stats'!AI93)-1)/2)/(COUNT('All Stats'!$AI$6:$AI$172)-1))^'Specialisation Scenarios'!$X$10,100*((COUNTIF('All Stats'!$AK$6:$AK$172,"&lt;"&amp;'All Stats'!AK93)+(COUNTIF('All Stats'!$AK$6:$AK$172,'All Stats'!AK93)-1)/2)/(COUNT('All Stats'!$AK$6:$AK$172)-1))^'Specialisation Scenarios'!$X$10))</x:f>
        <x:v>38.77793691438503</x:v>
      </x:c>
      <x:c r="G93" s="575" t="n">
        <x:f>IF($A93="","",C93*'Specialisation Scenarios'!$X$11+D93*'Specialisation Scenarios'!$X$12+E93*'Specialisation Scenarios'!$X$13+F93*'Specialisation Scenarios'!$X$14)</x:f>
        <x:v>35.40823414525046</x:v>
      </x:c>
      <x:c r="H93" s="575" t="str">
        <x:f>IF(SUMIFS('Specialisation Impact'!$E$19:$E$186,'Specialisation Impact'!$A$19:$A$186,A93,'Specialisation Impact'!$B$19:$B$186,B93)=0,"",SUMIFS('Specialisation Impact'!$S$19:$S$186,'Specialisation Impact'!$A$19:$A$186,A93,'Specialisation Impact'!$B$19:$B$186,B93))</x:f>
      </x:c>
      <x:c r="I93" s="579" t="n">
        <x:f>IF(SUMIFS('Specialisation Impact'!$E$19:$E$186,'Specialisation Impact'!$A$19:$A$186,A93,'Specialisation Impact'!$B$19:$B$186,B93)=0,0,SUMIFS('Specialisation Impact'!$F$19:$F$186,'Specialisation Impact'!$A$19:$A$186,A93,'Specialisation Impact'!$B$19:$B$186,B93))</x:f>
        <x:v>0</x:v>
      </x:c>
      <x:c r="J93" s="575" t="n">
        <x:f>G93</x:f>
        <x:v>35.40823414525046</x:v>
      </x:c>
      <x:c r="K93" s="575" t="n">
        <x:f>IF(G93="","",IF(I93=0,G93,MAX(0,MIN(100,G93*(1-'Specialisation Scenarios'!$B$8*I93)+H93*('Specialisation Scenarios'!$B$8*I93)))))</x:f>
        <x:v>35.40823414525046</x:v>
      </x:c>
      <x:c r="L93" s="575" t="n">
        <x:f>IF(G93="","",IF(I93=0,G93,MAX(0,MIN(100,G93*(1-'Specialisation Scenarios'!$B$9*I93)+H93*('Specialisation Scenarios'!$B$9*I93)))))</x:f>
        <x:v>35.40823414525046</x:v>
      </x:c>
      <x:c r="M93" s="575" t="str">
        <x:f>IF(COUNTIFS('Tank &amp; Control'!$A$23:$A$189,A93,'Tank &amp; Control'!$B$23:$B$189,B93,'Tank &amp; Control'!$C$23:$C$189,"Yes")&gt;0,"Yes","No")</x:f>
        <x:v>Yes</x:v>
      </x:c>
      <x:c r="N93" s="575" t="n">
        <x:f>IF(M93&lt;&gt;"Yes","",SUMIFS('Tank &amp; Control'!$L$23:$L$189,'Tank &amp; Control'!$A$23:$A$189,A93,'Tank &amp; Control'!$B$23:$B$189,B93))</x:f>
        <x:v>52.973218922766854</x:v>
      </x:c>
      <x:c r="O93" s="575" t="str">
        <x:f>IF(SUMIFS('Specialisation Impact'!$M$19:$M$186,'Specialisation Impact'!$A$19:$A$186,A93,'Specialisation Impact'!$B$19:$B$186,B93)=0,"",SUMIFS('Specialisation Impact'!$V$19:$V$186,'Specialisation Impact'!$A$19:$A$186,A93,'Specialisation Impact'!$B$19:$B$186,B93))</x:f>
      </x:c>
      <x:c r="P93" s="575" t="n">
        <x:f>IF(N93="","",N93)</x:f>
        <x:v>52.973218922766854</x:v>
      </x:c>
      <x:c r="Q93" s="575" t="n">
        <x:f>IF(N93="","",IF(AC93=0,N93,MAX(0,MIN(100,N93*(1-'Specialisation Scenarios'!$B$8*AC93)+O93*('Specialisation Scenarios'!$B$8*AC93)))))</x:f>
        <x:v>52.973218922766854</x:v>
      </x:c>
      <x:c r="R93" s="575" t="n">
        <x:f>IF(N93="","",IF(AC93=0,N93,MAX(0,MIN(100,N93*(1-'Specialisation Scenarios'!$B$9*AC93)+O93*('Specialisation Scenarios'!$B$9*AC93)))))</x:f>
        <x:v>52.973218922766854</x:v>
      </x:c>
      <x:c r="S93" s="583" t="n">
        <x:f>IF(J93="","",COUNTIFS($A$6:$A$172,A93,$J$6:$J$172,"&gt;"&amp;J93)+COUNTIFS($A$6:A93,A93,$J$6:J93,J93))</x:f>
        <x:v>10</x:v>
      </x:c>
      <x:c r="T93" s="583" t="n">
        <x:f>IF(K93="","",COUNTIFS($A$6:$A$172,A93,$K$6:$K$172,"&gt;"&amp;K93)+COUNTIFS($A$6:A93,A93,$K$6:K93,K93))</x:f>
        <x:v>10</x:v>
      </x:c>
      <x:c r="U93" s="583" t="n">
        <x:f>IF(L93="","",COUNTIFS($A$6:$A$172,A93,$L$6:$L$172,"&gt;"&amp;L93)+COUNTIFS($A$6:A93,A93,$L$6:L93,L93))</x:f>
        <x:v>9</x:v>
      </x:c>
      <x:c r="V93" s="583" t="n">
        <x:f>IF(P93="","",COUNTIFS($A$6:$A$172,A93,$P$6:$P$172,"&gt;"&amp;P93)+COUNTIFS($A$6:A93,A93,$P$6:P93,P93))</x:f>
        <x:v>1</x:v>
      </x:c>
      <x:c r="W93" s="583" t="n">
        <x:f>IF(Q93="","",COUNTIFS($A$6:$A$172,A93,$Q$6:$Q$172,"&gt;"&amp;Q93)+COUNTIFS($A$6:A93,A93,$Q$6:Q93,Q93))</x:f>
        <x:v>1</x:v>
      </x:c>
      <x:c r="X93" s="583" t="n">
        <x:f>IF(R93="","",COUNTIFS($A$6:$A$172,A93,$R$6:$R$172,"&gt;"&amp;R93)+COUNTIFS($A$6:A93,A93,$R$6:R93,R93))</x:f>
        <x:v>1</x:v>
      </x:c>
      <x:c r="Y93" s="571" t="str">
        <x:f>IF(V93="","",A93&amp;"|"&amp;V93)</x:f>
        <x:v>K138|1</x:v>
      </x:c>
      <x:c r="Z93" s="571" t="str">
        <x:f>IF(W93="","",A93&amp;"|"&amp;W93)</x:f>
        <x:v>K138|1</x:v>
      </x:c>
      <x:c r="AA93" s="571" t="str">
        <x:f>IF(X93="","",A93&amp;"|"&amp;X93)</x:f>
        <x:v>K138|1</x:v>
      </x:c>
      <x:c r="AB93" s="571" t="str">
        <x:f>IF(A93="","",IF(I93=0,"Offense neutral — no recorded offensive skills",IF(I93&lt;1,"Partial lookup — adjustment scaled",IF(AND(M93="Yes",AC93=0),"Offense adjusted; Guard neutral","Captured"))))</x:f>
        <x:v>Offense neutral — no recorded offensive skills</x:v>
      </x:c>
      <x:c r="AC93" s="579" t="n">
        <x:f>IF(SUMIFS('Specialisation Impact'!$M$19:$M$186,'Specialisation Impact'!$A$19:$A$186,A93,'Specialisation Impact'!$B$19:$B$186,B93)=0,0,SUMIFS('Specialisation Impact'!$F$19:$F$186,'Specialisation Impact'!$A$19:$A$186,A93,'Specialisation Impact'!$B$19:$B$186,B93))</x:f>
        <x:v>0</x:v>
      </x:c>
    </x:row>
    <x:row r="94">
      <x:c r="A94" s="572" t="str">
        <x:v>K170</x:v>
      </x:c>
      <x:c r="B94" s="572" t="str">
        <x:v>(AOT)SanSW°</x:v>
      </x:c>
      <x:c r="C94" s="576" t="n">
        <x:f>IF($A94="","",AVERAGE(100*((COUNTIF('All Stats'!$D$6:$D$172,"&lt;"&amp;'All Stats'!D94)+(COUNTIF('All Stats'!$D$6:$D$172,'All Stats'!D94)-1)/2)/(COUNT('All Stats'!$D$6:$D$172)-1))^'Specialisation Scenarios'!$X$10,100*((COUNTIF('All Stats'!$G$6:$G$172,"&lt;"&amp;'All Stats'!G94)+(COUNTIF('All Stats'!$G$6:$G$172,'All Stats'!G94)-1)/2)/(COUNT('All Stats'!$G$6:$G$172)-1))^'Specialisation Scenarios'!$X$10,100*((COUNTIF('All Stats'!$I$6:$I$172,"&lt;"&amp;'All Stats'!I94)+(COUNTIF('All Stats'!$I$6:$I$172,'All Stats'!I94)-1)/2)/(COUNT('All Stats'!$I$6:$I$172)-1))^'Specialisation Scenarios'!$X$10))</x:f>
        <x:v>52.425501598549346</x:v>
      </x:c>
      <x:c r="D94" s="576" t="n">
        <x:f>IF($A94="","",AVERAGE(100*((COUNTIF('All Stats'!$R$6:$R$172,"&lt;"&amp;'All Stats'!R94)+(COUNTIF('All Stats'!$R$6:$R$172,'All Stats'!R94)-1)/2)/(COUNT('All Stats'!$R$6:$R$172)-1))^'Specialisation Scenarios'!$X$10,100*((COUNTIF('All Stats'!$U$6:$U$172,"&lt;"&amp;'All Stats'!U94)+(COUNTIF('All Stats'!$U$6:$U$172,'All Stats'!U94)-1)/2)/(COUNT('All Stats'!$U$6:$U$172)-1))^'Specialisation Scenarios'!$X$10,100*((COUNTIF('All Stats'!$W$6:$W$172,"&lt;"&amp;'All Stats'!W94)+(COUNTIF('All Stats'!$W$6:$W$172,'All Stats'!W94)-1)/2)/(COUNT('All Stats'!$W$6:$W$172)-1))^'Specialisation Scenarios'!$X$10))</x:f>
        <x:v>45.093747823655484</x:v>
      </x:c>
      <x:c r="E94" s="576" t="n">
        <x:f>IF($A94="","",AVERAGE(100*((COUNTIF('All Stats'!$Y$6:$Y$172,"&lt;"&amp;'All Stats'!Y94)+(COUNTIF('All Stats'!$Y$6:$Y$172,'All Stats'!Y94)-1)/2)/(COUNT('All Stats'!$Y$6:$Y$172)-1))^'Specialisation Scenarios'!$X$10,100*((COUNTIF('All Stats'!$AB$6:$AB$172,"&lt;"&amp;'All Stats'!AB94)+(COUNTIF('All Stats'!$AB$6:$AB$172,'All Stats'!AB94)-1)/2)/(COUNT('All Stats'!$AB$6:$AB$172)-1))^'Specialisation Scenarios'!$X$10,100*((COUNTIF('All Stats'!$AD$6:$AD$172,"&lt;"&amp;'All Stats'!AD94)+(COUNTIF('All Stats'!$AD$6:$AD$172,'All Stats'!AD94)-1)/2)/(COUNT('All Stats'!$AD$6:$AD$172)-1))^'Specialisation Scenarios'!$X$10))</x:f>
        <x:v>15.97521042697493</x:v>
      </x:c>
      <x:c r="F94" s="576" t="n">
        <x:f>IF($A94="","",AVERAGE(100*((COUNTIF('All Stats'!$AF$6:$AF$172,"&lt;"&amp;'All Stats'!AF94)+(COUNTIF('All Stats'!$AF$6:$AF$172,'All Stats'!AF94)-1)/2)/(COUNT('All Stats'!$AF$6:$AF$172)-1))^'Specialisation Scenarios'!$X$10,100*((COUNTIF('All Stats'!$AI$6:$AI$172,"&lt;"&amp;'All Stats'!AI94)+(COUNTIF('All Stats'!$AI$6:$AI$172,'All Stats'!AI94)-1)/2)/(COUNT('All Stats'!$AI$6:$AI$172)-1))^'Specialisation Scenarios'!$X$10,100*((COUNTIF('All Stats'!$AK$6:$AK$172,"&lt;"&amp;'All Stats'!AK94)+(COUNTIF('All Stats'!$AK$6:$AK$172,'All Stats'!AK94)-1)/2)/(COUNT('All Stats'!$AK$6:$AK$172)-1))^'Specialisation Scenarios'!$X$10))</x:f>
        <x:v>26.460679930783794</x:v>
      </x:c>
      <x:c r="G94" s="576" t="n">
        <x:f>IF($A94="","",C94*'Specialisation Scenarios'!$X$11+D94*'Specialisation Scenarios'!$X$12+E94*'Specialisation Scenarios'!$X$13+F94*'Specialisation Scenarios'!$X$14)</x:f>
        <x:v>40.48669696629076</x:v>
      </x:c>
      <x:c r="H94" s="576" t="n">
        <x:f>IF(SUMIFS('Specialisation Impact'!$E$19:$E$186,'Specialisation Impact'!$A$19:$A$186,A94,'Specialisation Impact'!$B$19:$B$186,B94)=0,"",SUMIFS('Specialisation Impact'!$S$19:$S$186,'Specialisation Impact'!$A$19:$A$186,A94,'Specialisation Impact'!$B$19:$B$186,B94))</x:f>
        <x:v>72.46753246753246</x:v>
      </x:c>
      <x:c r="I94" s="580" t="n">
        <x:f>IF(SUMIFS('Specialisation Impact'!$E$19:$E$186,'Specialisation Impact'!$A$19:$A$186,A94,'Specialisation Impact'!$B$19:$B$186,B94)=0,0,SUMIFS('Specialisation Impact'!$F$19:$F$186,'Specialisation Impact'!$A$19:$A$186,A94,'Specialisation Impact'!$B$19:$B$186,B94))</x:f>
        <x:v>1</x:v>
      </x:c>
      <x:c r="J94" s="576" t="n">
        <x:f>G94</x:f>
        <x:v>40.48669696629076</x:v>
      </x:c>
      <x:c r="K94" s="576" t="n">
        <x:f>IF(G94="","",IF(I94=0,G94,MAX(0,MIN(100,G94*(1-'Specialisation Scenarios'!$B$8*I94)+H94*('Specialisation Scenarios'!$B$8*I94)))))</x:f>
        <x:v>48.48190584160118</x:v>
      </x:c>
      <x:c r="L94" s="576" t="n">
        <x:f>IF(G94="","",IF(I94=0,G94,MAX(0,MIN(100,G94*(1-'Specialisation Scenarios'!$B$9*I94)+H94*('Specialisation Scenarios'!$B$9*I94)))))</x:f>
        <x:v>51.67998939172536</x:v>
      </x:c>
      <x:c r="M94" s="576" t="str">
        <x:f>IF(COUNTIFS('Tank &amp; Control'!$A$23:$A$189,A94,'Tank &amp; Control'!$B$23:$B$189,B94,'Tank &amp; Control'!$C$23:$C$189,"Yes")&gt;0,"Yes","No")</x:f>
        <x:v>Yes</x:v>
      </x:c>
      <x:c r="N94" s="576" t="n">
        <x:f>IF(M94&lt;&gt;"Yes","",SUMIFS('Tank &amp; Control'!$L$23:$L$189,'Tank &amp; Control'!$A$23:$A$189,A94,'Tank &amp; Control'!$B$23:$B$189,B94))</x:f>
        <x:v>53.24285509054768</x:v>
      </x:c>
      <x:c r="O94" s="576" t="n">
        <x:f>IF(SUMIFS('Specialisation Impact'!$M$19:$M$186,'Specialisation Impact'!$A$19:$A$186,A94,'Specialisation Impact'!$B$19:$B$186,B94)=0,"",SUMIFS('Specialisation Impact'!$V$19:$V$186,'Specialisation Impact'!$A$19:$A$186,A94,'Specialisation Impact'!$B$19:$B$186,B94))</x:f>
        <x:v>93.16239316239316</x:v>
      </x:c>
      <x:c r="P94" s="576" t="n">
        <x:f>IF(N94="","",N94)</x:f>
        <x:v>53.24285509054768</x:v>
      </x:c>
      <x:c r="Q94" s="576" t="n">
        <x:f>IF(N94="","",IF(AC94=0,N94,MAX(0,MIN(100,N94*(1-'Specialisation Scenarios'!$B$8*AC94)+O94*('Specialisation Scenarios'!$B$8*AC94)))))</x:f>
        <x:v>63.22273960850905</x:v>
      </x:c>
      <x:c r="R94" s="576" t="n">
        <x:f>IF(N94="","",IF(AC94=0,N94,MAX(0,MIN(100,N94*(1-'Specialisation Scenarios'!$B$9*AC94)+O94*('Specialisation Scenarios'!$B$9*AC94)))))</x:f>
        <x:v>67.2146934156936</x:v>
      </x:c>
      <x:c r="S94" s="584" t="n">
        <x:f>IF(J94="","",COUNTIFS($A$6:$A$172,A94,$J$6:$J$172,"&gt;"&amp;J94)+COUNTIFS($A$6:A94,A94,$J$6:J94,J94))</x:f>
        <x:v>11</x:v>
      </x:c>
      <x:c r="T94" s="584" t="n">
        <x:f>IF(K94="","",COUNTIFS($A$6:$A$172,A94,$K$6:$K$172,"&gt;"&amp;K94)+COUNTIFS($A$6:A94,A94,$K$6:K94,K94))</x:f>
        <x:v>9</x:v>
      </x:c>
      <x:c r="U94" s="584" t="n">
        <x:f>IF(L94="","",COUNTIFS($A$6:$A$172,A94,$L$6:$L$172,"&gt;"&amp;L94)+COUNTIFS($A$6:A94,A94,$L$6:L94,L94))</x:f>
        <x:v>7</x:v>
      </x:c>
      <x:c r="V94" s="584" t="n">
        <x:f>IF(P94="","",COUNTIFS($A$6:$A$172,A94,$P$6:$P$172,"&gt;"&amp;P94)+COUNTIFS($A$6:A94,A94,$P$6:P94,P94))</x:f>
        <x:v>1</x:v>
      </x:c>
      <x:c r="W94" s="584" t="n">
        <x:f>IF(Q94="","",COUNTIFS($A$6:$A$172,A94,$Q$6:$Q$172,"&gt;"&amp;Q94)+COUNTIFS($A$6:A94,A94,$Q$6:Q94,Q94))</x:f>
        <x:v>1</x:v>
      </x:c>
      <x:c r="X94" s="584" t="n">
        <x:f>IF(R94="","",COUNTIFS($A$6:$A$172,A94,$R$6:$R$172,"&gt;"&amp;R94)+COUNTIFS($A$6:A94,A94,$R$6:R94,R94))</x:f>
        <x:v>1</x:v>
      </x:c>
      <x:c r="Y94" s="572" t="str">
        <x:f>IF(V94="","",A94&amp;"|"&amp;V94)</x:f>
        <x:v>K170|1</x:v>
      </x:c>
      <x:c r="Z94" s="572" t="str">
        <x:f>IF(W94="","",A94&amp;"|"&amp;W94)</x:f>
        <x:v>K170|1</x:v>
      </x:c>
      <x:c r="AA94" s="572" t="str">
        <x:f>IF(X94="","",A94&amp;"|"&amp;X94)</x:f>
        <x:v>K170|1</x:v>
      </x:c>
      <x:c r="AB94" s="572" t="str">
        <x:f>IF(A94="","",IF(I94=0,"Offense neutral — no recorded offensive skills",IF(I94&lt;1,"Partial lookup — adjustment scaled",IF(AND(M94="Yes",AC94=0),"Offense adjusted; Guard neutral","Captured"))))</x:f>
        <x:v>Captured</x:v>
      </x:c>
      <x:c r="AC94" s="580" t="n">
        <x:f>IF(SUMIFS('Specialisation Impact'!$M$19:$M$186,'Specialisation Impact'!$A$19:$A$186,A94,'Specialisation Impact'!$B$19:$B$186,B94)=0,0,SUMIFS('Specialisation Impact'!$F$19:$F$186,'Specialisation Impact'!$A$19:$A$186,A94,'Specialisation Impact'!$B$19:$B$186,B94))</x:f>
        <x:v>1</x:v>
      </x:c>
    </x:row>
    <x:row r="95">
      <x:c r="A95" s="571" t="str">
        <x:v>K170</x:v>
      </x:c>
      <x:c r="B95" s="571" t="str">
        <x:v>(AOT)Fenixx</x:v>
      </x:c>
      <x:c r="C95" s="575" t="n">
        <x:f>IF($A95="","",AVERAGE(100*((COUNTIF('All Stats'!$D$6:$D$172,"&lt;"&amp;'All Stats'!D95)+(COUNTIF('All Stats'!$D$6:$D$172,'All Stats'!D95)-1)/2)/(COUNT('All Stats'!$D$6:$D$172)-1))^'Specialisation Scenarios'!$X$10,100*((COUNTIF('All Stats'!$G$6:$G$172,"&lt;"&amp;'All Stats'!G95)+(COUNTIF('All Stats'!$G$6:$G$172,'All Stats'!G95)-1)/2)/(COUNT('All Stats'!$G$6:$G$172)-1))^'Specialisation Scenarios'!$X$10,100*((COUNTIF('All Stats'!$I$6:$I$172,"&lt;"&amp;'All Stats'!I95)+(COUNTIF('All Stats'!$I$6:$I$172,'All Stats'!I95)-1)/2)/(COUNT('All Stats'!$I$6:$I$172)-1))^'Specialisation Scenarios'!$X$10))</x:f>
        <x:v>34.087872566997184</x:v>
      </x:c>
      <x:c r="D95" s="575" t="n">
        <x:f>IF($A95="","",AVERAGE(100*((COUNTIF('All Stats'!$R$6:$R$172,"&lt;"&amp;'All Stats'!R95)+(COUNTIF('All Stats'!$R$6:$R$172,'All Stats'!R95)-1)/2)/(COUNT('All Stats'!$R$6:$R$172)-1))^'Specialisation Scenarios'!$X$10,100*((COUNTIF('All Stats'!$U$6:$U$172,"&lt;"&amp;'All Stats'!U95)+(COUNTIF('All Stats'!$U$6:$U$172,'All Stats'!U95)-1)/2)/(COUNT('All Stats'!$U$6:$U$172)-1))^'Specialisation Scenarios'!$X$10,100*((COUNTIF('All Stats'!$W$6:$W$172,"&lt;"&amp;'All Stats'!W95)+(COUNTIF('All Stats'!$W$6:$W$172,'All Stats'!W95)-1)/2)/(COUNT('All Stats'!$W$6:$W$172)-1))^'Specialisation Scenarios'!$X$10))</x:f>
        <x:v>40.26701023389598</x:v>
      </x:c>
      <x:c r="E95" s="575" t="n">
        <x:f>IF($A95="","",AVERAGE(100*((COUNTIF('All Stats'!$Y$6:$Y$172,"&lt;"&amp;'All Stats'!Y95)+(COUNTIF('All Stats'!$Y$6:$Y$172,'All Stats'!Y95)-1)/2)/(COUNT('All Stats'!$Y$6:$Y$172)-1))^'Specialisation Scenarios'!$X$10,100*((COUNTIF('All Stats'!$AB$6:$AB$172,"&lt;"&amp;'All Stats'!AB95)+(COUNTIF('All Stats'!$AB$6:$AB$172,'All Stats'!AB95)-1)/2)/(COUNT('All Stats'!$AB$6:$AB$172)-1))^'Specialisation Scenarios'!$X$10,100*((COUNTIF('All Stats'!$AD$6:$AD$172,"&lt;"&amp;'All Stats'!AD95)+(COUNTIF('All Stats'!$AD$6:$AD$172,'All Stats'!AD95)-1)/2)/(COUNT('All Stats'!$AD$6:$AD$172)-1))^'Specialisation Scenarios'!$X$10))</x:f>
        <x:v>42.4931784872012</x:v>
      </x:c>
      <x:c r="F95" s="575" t="n">
        <x:f>IF($A95="","",AVERAGE(100*((COUNTIF('All Stats'!$AF$6:$AF$172,"&lt;"&amp;'All Stats'!AF95)+(COUNTIF('All Stats'!$AF$6:$AF$172,'All Stats'!AF95)-1)/2)/(COUNT('All Stats'!$AF$6:$AF$172)-1))^'Specialisation Scenarios'!$X$10,100*((COUNTIF('All Stats'!$AI$6:$AI$172,"&lt;"&amp;'All Stats'!AI95)+(COUNTIF('All Stats'!$AI$6:$AI$172,'All Stats'!AI95)-1)/2)/(COUNT('All Stats'!$AI$6:$AI$172)-1))^'Specialisation Scenarios'!$X$10,100*((COUNTIF('All Stats'!$AK$6:$AK$172,"&lt;"&amp;'All Stats'!AK95)+(COUNTIF('All Stats'!$AK$6:$AK$172,'All Stats'!AK95)-1)/2)/(COUNT('All Stats'!$AK$6:$AK$172)-1))^'Specialisation Scenarios'!$X$10))</x:f>
        <x:v>54.76289707269973</x:v>
      </x:c>
      <x:c r="G95" s="575" t="n">
        <x:f>IF($A95="","",C95*'Specialisation Scenarios'!$X$11+D95*'Specialisation Scenarios'!$X$12+E95*'Specialisation Scenarios'!$X$13+F95*'Specialisation Scenarios'!$X$14)</x:f>
        <x:v>41.73713943501224</x:v>
      </x:c>
      <x:c r="H95" s="575" t="n">
        <x:f>IF(SUMIFS('Specialisation Impact'!$E$19:$E$186,'Specialisation Impact'!$A$19:$A$186,A95,'Specialisation Impact'!$B$19:$B$186,B95)=0,"",SUMIFS('Specialisation Impact'!$S$19:$S$186,'Specialisation Impact'!$A$19:$A$186,A95,'Specialisation Impact'!$B$19:$B$186,B95))</x:f>
        <x:v>52.33766233766234</x:v>
      </x:c>
      <x:c r="I95" s="579" t="n">
        <x:f>IF(SUMIFS('Specialisation Impact'!$E$19:$E$186,'Specialisation Impact'!$A$19:$A$186,A95,'Specialisation Impact'!$B$19:$B$186,B95)=0,0,SUMIFS('Specialisation Impact'!$F$19:$F$186,'Specialisation Impact'!$A$19:$A$186,A95,'Specialisation Impact'!$B$19:$B$186,B95))</x:f>
        <x:v>1</x:v>
      </x:c>
      <x:c r="J95" s="575" t="n">
        <x:f>G95</x:f>
        <x:v>41.73713943501224</x:v>
      </x:c>
      <x:c r="K95" s="575" t="n">
        <x:f>IF(G95="","",IF(I95=0,G95,MAX(0,MIN(100,G95*(1-'Specialisation Scenarios'!$B$8*I95)+H95*('Specialisation Scenarios'!$B$8*I95)))))</x:f>
        <x:v>44.38727016067476</x:v>
      </x:c>
      <x:c r="L95" s="575" t="n">
        <x:f>IF(G95="","",IF(I95=0,G95,MAX(0,MIN(100,G95*(1-'Specialisation Scenarios'!$B$9*I95)+H95*('Specialisation Scenarios'!$B$9*I95)))))</x:f>
        <x:v>45.44732245093977</x:v>
      </x:c>
      <x:c r="M95" s="575" t="str">
        <x:f>IF(COUNTIFS('Tank &amp; Control'!$A$23:$A$189,A95,'Tank &amp; Control'!$B$23:$B$189,B95,'Tank &amp; Control'!$C$23:$C$189,"Yes")&gt;0,"Yes","No")</x:f>
        <x:v>No</x:v>
      </x:c>
      <x:c r="N95" s="575" t="str">
        <x:f>IF(M95&lt;&gt;"Yes","",SUMIFS('Tank &amp; Control'!$L$23:$L$189,'Tank &amp; Control'!$A$23:$A$189,A95,'Tank &amp; Control'!$B$23:$B$189,B95))</x:f>
      </x:c>
      <x:c r="O95" s="575" t="n">
        <x:f>IF(SUMIFS('Specialisation Impact'!$M$19:$M$186,'Specialisation Impact'!$A$19:$A$186,A95,'Specialisation Impact'!$B$19:$B$186,B95)=0,"",SUMIFS('Specialisation Impact'!$V$19:$V$186,'Specialisation Impact'!$A$19:$A$186,A95,'Specialisation Impact'!$B$19:$B$186,B95))</x:f>
        <x:v>60.25641025641025</x:v>
      </x:c>
      <x:c r="P95" s="575" t="str">
        <x:f>IF(N95="","",N95)</x:f>
      </x:c>
      <x:c r="Q95" s="575" t="str">
        <x:f>IF(N95="","",IF(AC95=0,N95,MAX(0,MIN(100,N95*(1-'Specialisation Scenarios'!$B$8*AC95)+O95*('Specialisation Scenarios'!$B$8*AC95)))))</x:f>
      </x:c>
      <x:c r="R95" s="575" t="str">
        <x:f>IF(N95="","",IF(AC95=0,N95,MAX(0,MIN(100,N95*(1-'Specialisation Scenarios'!$B$9*AC95)+O95*('Specialisation Scenarios'!$B$9*AC95)))))</x:f>
      </x:c>
      <x:c r="S95" s="583" t="n">
        <x:f>IF(J95="","",COUNTIFS($A$6:$A$172,A95,$J$6:$J$172,"&gt;"&amp;J95)+COUNTIFS($A$6:A95,A95,$J$6:J95,J95))</x:f>
        <x:v>10</x:v>
      </x:c>
      <x:c r="T95" s="583" t="n">
        <x:f>IF(K95="","",COUNTIFS($A$6:$A$172,A95,$K$6:$K$172,"&gt;"&amp;K95)+COUNTIFS($A$6:A95,A95,$K$6:K95,K95))</x:f>
        <x:v>11</x:v>
      </x:c>
      <x:c r="U95" s="583" t="n">
        <x:f>IF(L95="","",COUNTIFS($A$6:$A$172,A95,$L$6:$L$172,"&gt;"&amp;L95)+COUNTIFS($A$6:A95,A95,$L$6:L95,L95))</x:f>
        <x:v>11</x:v>
      </x:c>
      <x:c r="V95" s="583" t="str">
        <x:f>IF(P95="","",COUNTIFS($A$6:$A$172,A95,$P$6:$P$172,"&gt;"&amp;P95)+COUNTIFS($A$6:A95,A95,$P$6:P95,P95))</x:f>
      </x:c>
      <x:c r="W95" s="583" t="str">
        <x:f>IF(Q95="","",COUNTIFS($A$6:$A$172,A95,$Q$6:$Q$172,"&gt;"&amp;Q95)+COUNTIFS($A$6:A95,A95,$Q$6:Q95,Q95))</x:f>
      </x:c>
      <x:c r="X95" s="583" t="str">
        <x:f>IF(R95="","",COUNTIFS($A$6:$A$172,A95,$R$6:$R$172,"&gt;"&amp;R95)+COUNTIFS($A$6:A95,A95,$R$6:R95,R95))</x:f>
      </x:c>
      <x:c r="Y95" s="571" t="str">
        <x:f>IF(V95="","",A95&amp;"|"&amp;V95)</x:f>
      </x:c>
      <x:c r="Z95" s="571" t="str">
        <x:f>IF(W95="","",A95&amp;"|"&amp;W95)</x:f>
      </x:c>
      <x:c r="AA95" s="571" t="str">
        <x:f>IF(X95="","",A95&amp;"|"&amp;X95)</x:f>
      </x:c>
      <x:c r="AB95" s="571" t="str">
        <x:f>IF(A95="","",IF(I95=0,"Offense neutral — no recorded offensive skills",IF(I95&lt;1,"Partial lookup — adjustment scaled",IF(AND(M95="Yes",AC95=0),"Offense adjusted; Guard neutral","Captured"))))</x:f>
        <x:v>Captured</x:v>
      </x:c>
      <x:c r="AC95" s="579" t="n">
        <x:f>IF(SUMIFS('Specialisation Impact'!$M$19:$M$186,'Specialisation Impact'!$A$19:$A$186,A95,'Specialisation Impact'!$B$19:$B$186,B95)=0,0,SUMIFS('Specialisation Impact'!$F$19:$F$186,'Specialisation Impact'!$A$19:$A$186,A95,'Specialisation Impact'!$B$19:$B$186,B95))</x:f>
        <x:v>1</x:v>
      </x:c>
    </x:row>
    <x:row r="96">
      <x:c r="A96" s="572" t="str">
        <x:v>K170</x:v>
      </x:c>
      <x:c r="B96" s="572" t="str">
        <x:v>(AOT)D®a©o</x:v>
      </x:c>
      <x:c r="C96" s="576" t="n">
        <x:f>IF($A96="","",AVERAGE(100*((COUNTIF('All Stats'!$D$6:$D$172,"&lt;"&amp;'All Stats'!D96)+(COUNTIF('All Stats'!$D$6:$D$172,'All Stats'!D96)-1)/2)/(COUNT('All Stats'!$D$6:$D$172)-1))^'Specialisation Scenarios'!$X$10,100*((COUNTIF('All Stats'!$G$6:$G$172,"&lt;"&amp;'All Stats'!G96)+(COUNTIF('All Stats'!$G$6:$G$172,'All Stats'!G96)-1)/2)/(COUNT('All Stats'!$G$6:$G$172)-1))^'Specialisation Scenarios'!$X$10,100*((COUNTIF('All Stats'!$I$6:$I$172,"&lt;"&amp;'All Stats'!I96)+(COUNTIF('All Stats'!$I$6:$I$172,'All Stats'!I96)-1)/2)/(COUNT('All Stats'!$I$6:$I$172)-1))^'Specialisation Scenarios'!$X$10))</x:f>
        <x:v>18.004546628478398</x:v>
      </x:c>
      <x:c r="D96" s="576" t="n">
        <x:f>IF($A96="","",AVERAGE(100*((COUNTIF('All Stats'!$R$6:$R$172,"&lt;"&amp;'All Stats'!R96)+(COUNTIF('All Stats'!$R$6:$R$172,'All Stats'!R96)-1)/2)/(COUNT('All Stats'!$R$6:$R$172)-1))^'Specialisation Scenarios'!$X$10,100*((COUNTIF('All Stats'!$U$6:$U$172,"&lt;"&amp;'All Stats'!U96)+(COUNTIF('All Stats'!$U$6:$U$172,'All Stats'!U96)-1)/2)/(COUNT('All Stats'!$U$6:$U$172)-1))^'Specialisation Scenarios'!$X$10,100*((COUNTIF('All Stats'!$W$6:$W$172,"&lt;"&amp;'All Stats'!W96)+(COUNTIF('All Stats'!$W$6:$W$172,'All Stats'!W96)-1)/2)/(COUNT('All Stats'!$W$6:$W$172)-1))^'Specialisation Scenarios'!$X$10))</x:f>
        <x:v>24.51671890119708</x:v>
      </x:c>
      <x:c r="E96" s="576" t="n">
        <x:f>IF($A96="","",AVERAGE(100*((COUNTIF('All Stats'!$Y$6:$Y$172,"&lt;"&amp;'All Stats'!Y96)+(COUNTIF('All Stats'!$Y$6:$Y$172,'All Stats'!Y96)-1)/2)/(COUNT('All Stats'!$Y$6:$Y$172)-1))^'Specialisation Scenarios'!$X$10,100*((COUNTIF('All Stats'!$AB$6:$AB$172,"&lt;"&amp;'All Stats'!AB96)+(COUNTIF('All Stats'!$AB$6:$AB$172,'All Stats'!AB96)-1)/2)/(COUNT('All Stats'!$AB$6:$AB$172)-1))^'Specialisation Scenarios'!$X$10,100*((COUNTIF('All Stats'!$AD$6:$AD$172,"&lt;"&amp;'All Stats'!AD96)+(COUNTIF('All Stats'!$AD$6:$AD$172,'All Stats'!AD96)-1)/2)/(COUNT('All Stats'!$AD$6:$AD$172)-1))^'Specialisation Scenarios'!$X$10))</x:f>
        <x:v>32.66952677876434</x:v>
      </x:c>
      <x:c r="F96" s="576" t="n">
        <x:f>IF($A96="","",AVERAGE(100*((COUNTIF('All Stats'!$AF$6:$AF$172,"&lt;"&amp;'All Stats'!AF96)+(COUNTIF('All Stats'!$AF$6:$AF$172,'All Stats'!AF96)-1)/2)/(COUNT('All Stats'!$AF$6:$AF$172)-1))^'Specialisation Scenarios'!$X$10,100*((COUNTIF('All Stats'!$AI$6:$AI$172,"&lt;"&amp;'All Stats'!AI96)+(COUNTIF('All Stats'!$AI$6:$AI$172,'All Stats'!AI96)-1)/2)/(COUNT('All Stats'!$AI$6:$AI$172)-1))^'Specialisation Scenarios'!$X$10,100*((COUNTIF('All Stats'!$AK$6:$AK$172,"&lt;"&amp;'All Stats'!AK96)+(COUNTIF('All Stats'!$AK$6:$AK$172,'All Stats'!AK96)-1)/2)/(COUNT('All Stats'!$AK$6:$AK$172)-1))^'Specialisation Scenarios'!$X$10))</x:f>
        <x:v>23.933107855270283</x:v>
      </x:c>
      <x:c r="G96" s="576" t="n">
        <x:f>IF($A96="","",C96*'Specialisation Scenarios'!$X$11+D96*'Specialisation Scenarios'!$X$12+E96*'Specialisation Scenarios'!$X$13+F96*'Specialisation Scenarios'!$X$14)</x:f>
        <x:v>24.267632191156984</x:v>
      </x:c>
      <x:c r="H96" s="576" t="n">
        <x:f>IF(SUMIFS('Specialisation Impact'!$E$19:$E$186,'Specialisation Impact'!$A$19:$A$186,A96,'Specialisation Impact'!$B$19:$B$186,B96)=0,"",SUMIFS('Specialisation Impact'!$S$19:$S$186,'Specialisation Impact'!$A$19:$A$186,A96,'Specialisation Impact'!$B$19:$B$186,B96))</x:f>
        <x:v>32.5974025974026</x:v>
      </x:c>
      <x:c r="I96" s="580" t="n">
        <x:f>IF(SUMIFS('Specialisation Impact'!$E$19:$E$186,'Specialisation Impact'!$A$19:$A$186,A96,'Specialisation Impact'!$B$19:$B$186,B96)=0,0,SUMIFS('Specialisation Impact'!$F$19:$F$186,'Specialisation Impact'!$A$19:$A$186,A96,'Specialisation Impact'!$B$19:$B$186,B96))</x:f>
        <x:v>1</x:v>
      </x:c>
      <x:c r="J96" s="576" t="n">
        <x:f>G96</x:f>
        <x:v>24.267632191156984</x:v>
      </x:c>
      <x:c r="K96" s="576" t="n">
        <x:f>IF(G96="","",IF(I96=0,G96,MAX(0,MIN(100,G96*(1-'Specialisation Scenarios'!$B$8*I96)+H96*('Specialisation Scenarios'!$B$8*I96)))))</x:f>
        <x:v>26.350074792718388</x:v>
      </x:c>
      <x:c r="L96" s="576" t="n">
        <x:f>IF(G96="","",IF(I96=0,G96,MAX(0,MIN(100,G96*(1-'Specialisation Scenarios'!$B$9*I96)+H96*('Specialisation Scenarios'!$B$9*I96)))))</x:f>
        <x:v>27.18305183334295</x:v>
      </x:c>
      <x:c r="M96" s="576" t="str">
        <x:f>IF(COUNTIFS('Tank &amp; Control'!$A$23:$A$189,A96,'Tank &amp; Control'!$B$23:$B$189,B96,'Tank &amp; Control'!$C$23:$C$189,"Yes")&gt;0,"Yes","No")</x:f>
        <x:v>No</x:v>
      </x:c>
      <x:c r="N96" s="576" t="str">
        <x:f>IF(M96&lt;&gt;"Yes","",SUMIFS('Tank &amp; Control'!$L$23:$L$189,'Tank &amp; Control'!$A$23:$A$189,A96,'Tank &amp; Control'!$B$23:$B$189,B96))</x:f>
      </x:c>
      <x:c r="O96" s="576" t="n">
        <x:f>IF(SUMIFS('Specialisation Impact'!$M$19:$M$186,'Specialisation Impact'!$A$19:$A$186,A96,'Specialisation Impact'!$B$19:$B$186,B96)=0,"",SUMIFS('Specialisation Impact'!$V$19:$V$186,'Specialisation Impact'!$A$19:$A$186,A96,'Specialisation Impact'!$B$19:$B$186,B96))</x:f>
        <x:v>60.25641025641025</x:v>
      </x:c>
      <x:c r="P96" s="576" t="str">
        <x:f>IF(N96="","",N96)</x:f>
      </x:c>
      <x:c r="Q96" s="576" t="str">
        <x:f>IF(N96="","",IF(AC96=0,N96,MAX(0,MIN(100,N96*(1-'Specialisation Scenarios'!$B$8*AC96)+O96*('Specialisation Scenarios'!$B$8*AC96)))))</x:f>
      </x:c>
      <x:c r="R96" s="576" t="str">
        <x:f>IF(N96="","",IF(AC96=0,N96,MAX(0,MIN(100,N96*(1-'Specialisation Scenarios'!$B$9*AC96)+O96*('Specialisation Scenarios'!$B$9*AC96)))))</x:f>
      </x:c>
      <x:c r="S96" s="584" t="n">
        <x:f>IF(J96="","",COUNTIFS($A$6:$A$172,A96,$J$6:$J$172,"&gt;"&amp;J96)+COUNTIFS($A$6:A96,A96,$J$6:J96,J96))</x:f>
        <x:v>16</x:v>
      </x:c>
      <x:c r="T96" s="584" t="n">
        <x:f>IF(K96="","",COUNTIFS($A$6:$A$172,A96,$K$6:$K$172,"&gt;"&amp;K96)+COUNTIFS($A$6:A96,A96,$K$6:K96,K96))</x:f>
        <x:v>18</x:v>
      </x:c>
      <x:c r="U96" s="584" t="n">
        <x:f>IF(L96="","",COUNTIFS($A$6:$A$172,A96,$L$6:$L$172,"&gt;"&amp;L96)+COUNTIFS($A$6:A96,A96,$L$6:L96,L96))</x:f>
        <x:v>18</x:v>
      </x:c>
      <x:c r="V96" s="584" t="str">
        <x:f>IF(P96="","",COUNTIFS($A$6:$A$172,A96,$P$6:$P$172,"&gt;"&amp;P96)+COUNTIFS($A$6:A96,A96,$P$6:P96,P96))</x:f>
      </x:c>
      <x:c r="W96" s="584" t="str">
        <x:f>IF(Q96="","",COUNTIFS($A$6:$A$172,A96,$Q$6:$Q$172,"&gt;"&amp;Q96)+COUNTIFS($A$6:A96,A96,$Q$6:Q96,Q96))</x:f>
      </x:c>
      <x:c r="X96" s="584" t="str">
        <x:f>IF(R96="","",COUNTIFS($A$6:$A$172,A96,$R$6:$R$172,"&gt;"&amp;R96)+COUNTIFS($A$6:A96,A96,$R$6:R96,R96))</x:f>
      </x:c>
      <x:c r="Y96" s="572" t="str">
        <x:f>IF(V96="","",A96&amp;"|"&amp;V96)</x:f>
      </x:c>
      <x:c r="Z96" s="572" t="str">
        <x:f>IF(W96="","",A96&amp;"|"&amp;W96)</x:f>
      </x:c>
      <x:c r="AA96" s="572" t="str">
        <x:f>IF(X96="","",A96&amp;"|"&amp;X96)</x:f>
      </x:c>
      <x:c r="AB96" s="572" t="str">
        <x:f>IF(A96="","",IF(I96=0,"Offense neutral — no recorded offensive skills",IF(I96&lt;1,"Partial lookup — adjustment scaled",IF(AND(M96="Yes",AC96=0),"Offense adjusted; Guard neutral","Captured"))))</x:f>
        <x:v>Captured</x:v>
      </x:c>
      <x:c r="AC96" s="580" t="n">
        <x:f>IF(SUMIFS('Specialisation Impact'!$M$19:$M$186,'Specialisation Impact'!$A$19:$A$186,A96,'Specialisation Impact'!$B$19:$B$186,B96)=0,0,SUMIFS('Specialisation Impact'!$F$19:$F$186,'Specialisation Impact'!$A$19:$A$186,A96,'Specialisation Impact'!$B$19:$B$186,B96))</x:f>
        <x:v>1</x:v>
      </x:c>
    </x:row>
    <x:row r="97">
      <x:c r="A97" s="571" t="str">
        <x:v>K170</x:v>
      </x:c>
      <x:c r="B97" s="571" t="str">
        <x:v>(AOT)Themechanic</x:v>
      </x:c>
      <x:c r="C97" s="575" t="n">
        <x:f>IF($A97="","",AVERAGE(100*((COUNTIF('All Stats'!$D$6:$D$172,"&lt;"&amp;'All Stats'!D97)+(COUNTIF('All Stats'!$D$6:$D$172,'All Stats'!D97)-1)/2)/(COUNT('All Stats'!$D$6:$D$172)-1))^'Specialisation Scenarios'!$X$10,100*((COUNTIF('All Stats'!$G$6:$G$172,"&lt;"&amp;'All Stats'!G97)+(COUNTIF('All Stats'!$G$6:$G$172,'All Stats'!G97)-1)/2)/(COUNT('All Stats'!$G$6:$G$172)-1))^'Specialisation Scenarios'!$X$10,100*((COUNTIF('All Stats'!$I$6:$I$172,"&lt;"&amp;'All Stats'!I97)+(COUNTIF('All Stats'!$I$6:$I$172,'All Stats'!I97)-1)/2)/(COUNT('All Stats'!$I$6:$I$172)-1))^'Specialisation Scenarios'!$X$10))</x:f>
        <x:v>40.0652349263711</x:v>
      </x:c>
      <x:c r="D97" s="575" t="n">
        <x:f>IF($A97="","",AVERAGE(100*((COUNTIF('All Stats'!$R$6:$R$172,"&lt;"&amp;'All Stats'!R97)+(COUNTIF('All Stats'!$R$6:$R$172,'All Stats'!R97)-1)/2)/(COUNT('All Stats'!$R$6:$R$172)-1))^'Specialisation Scenarios'!$X$10,100*((COUNTIF('All Stats'!$U$6:$U$172,"&lt;"&amp;'All Stats'!U97)+(COUNTIF('All Stats'!$U$6:$U$172,'All Stats'!U97)-1)/2)/(COUNT('All Stats'!$U$6:$U$172)-1))^'Specialisation Scenarios'!$X$10,100*((COUNTIF('All Stats'!$W$6:$W$172,"&lt;"&amp;'All Stats'!W97)+(COUNTIF('All Stats'!$W$6:$W$172,'All Stats'!W97)-1)/2)/(COUNT('All Stats'!$W$6:$W$172)-1))^'Specialisation Scenarios'!$X$10))</x:f>
        <x:v>48.19429062423699</x:v>
      </x:c>
      <x:c r="E97" s="575" t="n">
        <x:f>IF($A97="","",AVERAGE(100*((COUNTIF('All Stats'!$Y$6:$Y$172,"&lt;"&amp;'All Stats'!Y97)+(COUNTIF('All Stats'!$Y$6:$Y$172,'All Stats'!Y97)-1)/2)/(COUNT('All Stats'!$Y$6:$Y$172)-1))^'Specialisation Scenarios'!$X$10,100*((COUNTIF('All Stats'!$AB$6:$AB$172,"&lt;"&amp;'All Stats'!AB97)+(COUNTIF('All Stats'!$AB$6:$AB$172,'All Stats'!AB97)-1)/2)/(COUNT('All Stats'!$AB$6:$AB$172)-1))^'Specialisation Scenarios'!$X$10,100*((COUNTIF('All Stats'!$AD$6:$AD$172,"&lt;"&amp;'All Stats'!AD97)+(COUNTIF('All Stats'!$AD$6:$AD$172,'All Stats'!AD97)-1)/2)/(COUNT('All Stats'!$AD$6:$AD$172)-1))^'Specialisation Scenarios'!$X$10))</x:f>
        <x:v>69.04051455663593</x:v>
      </x:c>
      <x:c r="F97" s="575" t="n">
        <x:f>IF($A97="","",AVERAGE(100*((COUNTIF('All Stats'!$AF$6:$AF$172,"&lt;"&amp;'All Stats'!AF97)+(COUNTIF('All Stats'!$AF$6:$AF$172,'All Stats'!AF97)-1)/2)/(COUNT('All Stats'!$AF$6:$AF$172)-1))^'Specialisation Scenarios'!$X$10,100*((COUNTIF('All Stats'!$AI$6:$AI$172,"&lt;"&amp;'All Stats'!AI97)+(COUNTIF('All Stats'!$AI$6:$AI$172,'All Stats'!AI97)-1)/2)/(COUNT('All Stats'!$AI$6:$AI$172)-1))^'Specialisation Scenarios'!$X$10,100*((COUNTIF('All Stats'!$AK$6:$AK$172,"&lt;"&amp;'All Stats'!AK97)+(COUNTIF('All Stats'!$AK$6:$AK$172,'All Stats'!AK97)-1)/2)/(COUNT('All Stats'!$AK$6:$AK$172)-1))^'Specialisation Scenarios'!$X$10))</x:f>
        <x:v>55.000228122209656</x:v>
      </x:c>
      <x:c r="G97" s="575" t="n">
        <x:f>IF($A97="","",C97*'Specialisation Scenarios'!$X$11+D97*'Specialisation Scenarios'!$X$12+E97*'Specialisation Scenarios'!$X$13+F97*'Specialisation Scenarios'!$X$14)</x:f>
        <x:v>50.0804452874929</x:v>
      </x:c>
      <x:c r="H97" s="575" t="n">
        <x:f>IF(SUMIFS('Specialisation Impact'!$E$19:$E$186,'Specialisation Impact'!$A$19:$A$186,A97,'Specialisation Impact'!$B$19:$B$186,B97)=0,"",SUMIFS('Specialisation Impact'!$S$19:$S$186,'Specialisation Impact'!$A$19:$A$186,A97,'Specialisation Impact'!$B$19:$B$186,B97))</x:f>
        <x:v>75.71428571428571</x:v>
      </x:c>
      <x:c r="I97" s="579" t="n">
        <x:f>IF(SUMIFS('Specialisation Impact'!$E$19:$E$186,'Specialisation Impact'!$A$19:$A$186,A97,'Specialisation Impact'!$B$19:$B$186,B97)=0,0,SUMIFS('Specialisation Impact'!$F$19:$F$186,'Specialisation Impact'!$A$19:$A$186,A97,'Specialisation Impact'!$B$19:$B$186,B97))</x:f>
        <x:v>1</x:v>
      </x:c>
      <x:c r="J97" s="575" t="n">
        <x:f>G97</x:f>
        <x:v>50.0804452874929</x:v>
      </x:c>
      <x:c r="K97" s="575" t="n">
        <x:f>IF(G97="","",IF(I97=0,G97,MAX(0,MIN(100,G97*(1-'Specialisation Scenarios'!$B$8*I97)+H97*('Specialisation Scenarios'!$B$8*I97)))))</x:f>
        <x:v>56.48890539419111</x:v>
      </x:c>
      <x:c r="L97" s="575" t="n">
        <x:f>IF(G97="","",IF(I97=0,G97,MAX(0,MIN(100,G97*(1-'Specialisation Scenarios'!$B$9*I97)+H97*('Specialisation Scenarios'!$B$9*I97)))))</x:f>
        <x:v>59.05228943687038</x:v>
      </x:c>
      <x:c r="M97" s="575" t="str">
        <x:f>IF(COUNTIFS('Tank &amp; Control'!$A$23:$A$189,A97,'Tank &amp; Control'!$B$23:$B$189,B97,'Tank &amp; Control'!$C$23:$C$189,"Yes")&gt;0,"Yes","No")</x:f>
        <x:v>No</x:v>
      </x:c>
      <x:c r="N97" s="575" t="str">
        <x:f>IF(M97&lt;&gt;"Yes","",SUMIFS('Tank &amp; Control'!$L$23:$L$189,'Tank &amp; Control'!$A$23:$A$189,A97,'Tank &amp; Control'!$B$23:$B$189,B97))</x:f>
      </x:c>
      <x:c r="O97" s="575" t="n">
        <x:f>IF(SUMIFS('Specialisation Impact'!$M$19:$M$186,'Specialisation Impact'!$A$19:$A$186,A97,'Specialisation Impact'!$B$19:$B$186,B97)=0,"",SUMIFS('Specialisation Impact'!$V$19:$V$186,'Specialisation Impact'!$A$19:$A$186,A97,'Specialisation Impact'!$B$19:$B$186,B97))</x:f>
        <x:v>76.06837606837607</x:v>
      </x:c>
      <x:c r="P97" s="575" t="str">
        <x:f>IF(N97="","",N97)</x:f>
      </x:c>
      <x:c r="Q97" s="575" t="str">
        <x:f>IF(N97="","",IF(AC97=0,N97,MAX(0,MIN(100,N97*(1-'Specialisation Scenarios'!$B$8*AC97)+O97*('Specialisation Scenarios'!$B$8*AC97)))))</x:f>
      </x:c>
      <x:c r="R97" s="575" t="str">
        <x:f>IF(N97="","",IF(AC97=0,N97,MAX(0,MIN(100,N97*(1-'Specialisation Scenarios'!$B$9*AC97)+O97*('Specialisation Scenarios'!$B$9*AC97)))))</x:f>
      </x:c>
      <x:c r="S97" s="583" t="n">
        <x:f>IF(J97="","",COUNTIFS($A$6:$A$172,A97,$J$6:$J$172,"&gt;"&amp;J97)+COUNTIFS($A$6:A97,A97,$J$6:J97,J97))</x:f>
        <x:v>5</x:v>
      </x:c>
      <x:c r="T97" s="583" t="n">
        <x:f>IF(K97="","",COUNTIFS($A$6:$A$172,A97,$K$6:$K$172,"&gt;"&amp;K97)+COUNTIFS($A$6:A97,A97,$K$6:K97,K97))</x:f>
        <x:v>3</x:v>
      </x:c>
      <x:c r="U97" s="583" t="n">
        <x:f>IF(L97="","",COUNTIFS($A$6:$A$172,A97,$L$6:$L$172,"&gt;"&amp;L97)+COUNTIFS($A$6:A97,A97,$L$6:L97,L97))</x:f>
        <x:v>3</x:v>
      </x:c>
      <x:c r="V97" s="583" t="str">
        <x:f>IF(P97="","",COUNTIFS($A$6:$A$172,A97,$P$6:$P$172,"&gt;"&amp;P97)+COUNTIFS($A$6:A97,A97,$P$6:P97,P97))</x:f>
      </x:c>
      <x:c r="W97" s="583" t="str">
        <x:f>IF(Q97="","",COUNTIFS($A$6:$A$172,A97,$Q$6:$Q$172,"&gt;"&amp;Q97)+COUNTIFS($A$6:A97,A97,$Q$6:Q97,Q97))</x:f>
      </x:c>
      <x:c r="X97" s="583" t="str">
        <x:f>IF(R97="","",COUNTIFS($A$6:$A$172,A97,$R$6:$R$172,"&gt;"&amp;R97)+COUNTIFS($A$6:A97,A97,$R$6:R97,R97))</x:f>
      </x:c>
      <x:c r="Y97" s="571" t="str">
        <x:f>IF(V97="","",A97&amp;"|"&amp;V97)</x:f>
      </x:c>
      <x:c r="Z97" s="571" t="str">
        <x:f>IF(W97="","",A97&amp;"|"&amp;W97)</x:f>
      </x:c>
      <x:c r="AA97" s="571" t="str">
        <x:f>IF(X97="","",A97&amp;"|"&amp;X97)</x:f>
      </x:c>
      <x:c r="AB97" s="571" t="str">
        <x:f>IF(A97="","",IF(I97=0,"Offense neutral — no recorded offensive skills",IF(I97&lt;1,"Partial lookup — adjustment scaled",IF(AND(M97="Yes",AC97=0),"Offense adjusted; Guard neutral","Captured"))))</x:f>
        <x:v>Captured</x:v>
      </x:c>
      <x:c r="AC97" s="579" t="n">
        <x:f>IF(SUMIFS('Specialisation Impact'!$M$19:$M$186,'Specialisation Impact'!$A$19:$A$186,A97,'Specialisation Impact'!$B$19:$B$186,B97)=0,0,SUMIFS('Specialisation Impact'!$F$19:$F$186,'Specialisation Impact'!$A$19:$A$186,A97,'Specialisation Impact'!$B$19:$B$186,B97))</x:f>
        <x:v>1</x:v>
      </x:c>
    </x:row>
    <x:row r="98">
      <x:c r="A98" s="572" t="str">
        <x:v>K170</x:v>
      </x:c>
      <x:c r="B98" s="572" t="str">
        <x:v>(AOT)Aauudd</x:v>
      </x:c>
      <x:c r="C98" s="576" t="n">
        <x:f>IF($A98="","",AVERAGE(100*((COUNTIF('All Stats'!$D$6:$D$172,"&lt;"&amp;'All Stats'!D98)+(COUNTIF('All Stats'!$D$6:$D$172,'All Stats'!D98)-1)/2)/(COUNT('All Stats'!$D$6:$D$172)-1))^'Specialisation Scenarios'!$X$10,100*((COUNTIF('All Stats'!$G$6:$G$172,"&lt;"&amp;'All Stats'!G98)+(COUNTIF('All Stats'!$G$6:$G$172,'All Stats'!G98)-1)/2)/(COUNT('All Stats'!$G$6:$G$172)-1))^'Specialisation Scenarios'!$X$10,100*((COUNTIF('All Stats'!$I$6:$I$172,"&lt;"&amp;'All Stats'!I98)+(COUNTIF('All Stats'!$I$6:$I$172,'All Stats'!I98)-1)/2)/(COUNT('All Stats'!$I$6:$I$172)-1))^'Specialisation Scenarios'!$X$10))</x:f>
        <x:v>22.137273549853514</x:v>
      </x:c>
      <x:c r="D98" s="576" t="n">
        <x:f>IF($A98="","",AVERAGE(100*((COUNTIF('All Stats'!$R$6:$R$172,"&lt;"&amp;'All Stats'!R98)+(COUNTIF('All Stats'!$R$6:$R$172,'All Stats'!R98)-1)/2)/(COUNT('All Stats'!$R$6:$R$172)-1))^'Specialisation Scenarios'!$X$10,100*((COUNTIF('All Stats'!$U$6:$U$172,"&lt;"&amp;'All Stats'!U98)+(COUNTIF('All Stats'!$U$6:$U$172,'All Stats'!U98)-1)/2)/(COUNT('All Stats'!$U$6:$U$172)-1))^'Specialisation Scenarios'!$X$10,100*((COUNTIF('All Stats'!$W$6:$W$172,"&lt;"&amp;'All Stats'!W98)+(COUNTIF('All Stats'!$W$6:$W$172,'All Stats'!W98)-1)/2)/(COUNT('All Stats'!$W$6:$W$172)-1))^'Specialisation Scenarios'!$X$10))</x:f>
        <x:v>20.673925311764865</x:v>
      </x:c>
      <x:c r="E98" s="576" t="n">
        <x:f>IF($A98="","",AVERAGE(100*((COUNTIF('All Stats'!$Y$6:$Y$172,"&lt;"&amp;'All Stats'!Y98)+(COUNTIF('All Stats'!$Y$6:$Y$172,'All Stats'!Y98)-1)/2)/(COUNT('All Stats'!$Y$6:$Y$172)-1))^'Specialisation Scenarios'!$X$10,100*((COUNTIF('All Stats'!$AB$6:$AB$172,"&lt;"&amp;'All Stats'!AB98)+(COUNTIF('All Stats'!$AB$6:$AB$172,'All Stats'!AB98)-1)/2)/(COUNT('All Stats'!$AB$6:$AB$172)-1))^'Specialisation Scenarios'!$X$10,100*((COUNTIF('All Stats'!$AD$6:$AD$172,"&lt;"&amp;'All Stats'!AD98)+(COUNTIF('All Stats'!$AD$6:$AD$172,'All Stats'!AD98)-1)/2)/(COUNT('All Stats'!$AD$6:$AD$172)-1))^'Specialisation Scenarios'!$X$10))</x:f>
        <x:v>21.730406849190018</x:v>
      </x:c>
      <x:c r="F98" s="576" t="n">
        <x:f>IF($A98="","",AVERAGE(100*((COUNTIF('All Stats'!$AF$6:$AF$172,"&lt;"&amp;'All Stats'!AF98)+(COUNTIF('All Stats'!$AF$6:$AF$172,'All Stats'!AF98)-1)/2)/(COUNT('All Stats'!$AF$6:$AF$172)-1))^'Specialisation Scenarios'!$X$10,100*((COUNTIF('All Stats'!$AI$6:$AI$172,"&lt;"&amp;'All Stats'!AI98)+(COUNTIF('All Stats'!$AI$6:$AI$172,'All Stats'!AI98)-1)/2)/(COUNT('All Stats'!$AI$6:$AI$172)-1))^'Specialisation Scenarios'!$X$10,100*((COUNTIF('All Stats'!$AK$6:$AK$172,"&lt;"&amp;'All Stats'!AK98)+(COUNTIF('All Stats'!$AK$6:$AK$172,'All Stats'!AK98)-1)/2)/(COUNT('All Stats'!$AK$6:$AK$172)-1))^'Specialisation Scenarios'!$X$10))</x:f>
        <x:v>35.42358413108794</x:v>
      </x:c>
      <x:c r="G98" s="576" t="n">
        <x:f>IF($A98="","",C98*'Specialisation Scenarios'!$X$11+D98*'Specialisation Scenarios'!$X$12+E98*'Specialisation Scenarios'!$X$13+F98*'Specialisation Scenarios'!$X$14)</x:f>
        <x:v>23.211524524119138</x:v>
      </x:c>
      <x:c r="H98" s="576" t="n">
        <x:f>IF(SUMIFS('Specialisation Impact'!$E$19:$E$186,'Specialisation Impact'!$A$19:$A$186,A98,'Specialisation Impact'!$B$19:$B$186,B98)=0,"",SUMIFS('Specialisation Impact'!$S$19:$S$186,'Specialisation Impact'!$A$19:$A$186,A98,'Specialisation Impact'!$B$19:$B$186,B98))</x:f>
        <x:v>46.75324675324675</x:v>
      </x:c>
      <x:c r="I98" s="580" t="n">
        <x:f>IF(SUMIFS('Specialisation Impact'!$E$19:$E$186,'Specialisation Impact'!$A$19:$A$186,A98,'Specialisation Impact'!$B$19:$B$186,B98)=0,0,SUMIFS('Specialisation Impact'!$F$19:$F$186,'Specialisation Impact'!$A$19:$A$186,A98,'Specialisation Impact'!$B$19:$B$186,B98))</x:f>
        <x:v>1</x:v>
      </x:c>
      <x:c r="J98" s="576" t="n">
        <x:f>G98</x:f>
        <x:v>23.211524524119138</x:v>
      </x:c>
      <x:c r="K98" s="576" t="n">
        <x:f>IF(G98="","",IF(I98=0,G98,MAX(0,MIN(100,G98*(1-'Specialisation Scenarios'!$B$8*I98)+H98*('Specialisation Scenarios'!$B$8*I98)))))</x:f>
        <x:v>29.096955081401042</x:v>
      </x:c>
      <x:c r="L98" s="576" t="n">
        <x:f>IF(G98="","",IF(I98=0,G98,MAX(0,MIN(100,G98*(1-'Specialisation Scenarios'!$B$9*I98)+H98*('Specialisation Scenarios'!$B$9*I98)))))</x:f>
        <x:v>31.4511273043138</x:v>
      </x:c>
      <x:c r="M98" s="576" t="str">
        <x:f>IF(COUNTIFS('Tank &amp; Control'!$A$23:$A$189,A98,'Tank &amp; Control'!$B$23:$B$189,B98,'Tank &amp; Control'!$C$23:$C$189,"Yes")&gt;0,"Yes","No")</x:f>
        <x:v>Yes</x:v>
      </x:c>
      <x:c r="N98" s="576" t="n">
        <x:f>IF(M98&lt;&gt;"Yes","",SUMIFS('Tank &amp; Control'!$L$23:$L$189,'Tank &amp; Control'!$A$23:$A$189,A98,'Tank &amp; Control'!$B$23:$B$189,B98))</x:f>
        <x:v>17.08126148463348</x:v>
      </x:c>
      <x:c r="O98" s="576" t="str">
        <x:f>IF(SUMIFS('Specialisation Impact'!$M$19:$M$186,'Specialisation Impact'!$A$19:$A$186,A98,'Specialisation Impact'!$B$19:$B$186,B98)=0,"",SUMIFS('Specialisation Impact'!$V$19:$V$186,'Specialisation Impact'!$A$19:$A$186,A98,'Specialisation Impact'!$B$19:$B$186,B98))</x:f>
      </x:c>
      <x:c r="P98" s="576" t="n">
        <x:f>IF(N98="","",N98)</x:f>
        <x:v>17.08126148463348</x:v>
      </x:c>
      <x:c r="Q98" s="576" t="n">
        <x:f>IF(N98="","",IF(AC98=0,N98,MAX(0,MIN(100,N98*(1-'Specialisation Scenarios'!$B$8*AC98)+O98*('Specialisation Scenarios'!$B$8*AC98)))))</x:f>
        <x:v>17.08126148463348</x:v>
      </x:c>
      <x:c r="R98" s="576" t="n">
        <x:f>IF(N98="","",IF(AC98=0,N98,MAX(0,MIN(100,N98*(1-'Specialisation Scenarios'!$B$9*AC98)+O98*('Specialisation Scenarios'!$B$9*AC98)))))</x:f>
        <x:v>17.08126148463348</x:v>
      </x:c>
      <x:c r="S98" s="584" t="n">
        <x:f>IF(J98="","",COUNTIFS($A$6:$A$172,A98,$J$6:$J$172,"&gt;"&amp;J98)+COUNTIFS($A$6:A98,A98,$J$6:J98,J98))</x:f>
        <x:v>18</x:v>
      </x:c>
      <x:c r="T98" s="584" t="n">
        <x:f>IF(K98="","",COUNTIFS($A$6:$A$172,A98,$K$6:$K$172,"&gt;"&amp;K98)+COUNTIFS($A$6:A98,A98,$K$6:K98,K98))</x:f>
        <x:v>14</x:v>
      </x:c>
      <x:c r="U98" s="584" t="n">
        <x:f>IF(L98="","",COUNTIFS($A$6:$A$172,A98,$L$6:$L$172,"&gt;"&amp;L98)+COUNTIFS($A$6:A98,A98,$L$6:L98,L98))</x:f>
        <x:v>14</x:v>
      </x:c>
      <x:c r="V98" s="584" t="n">
        <x:f>IF(P98="","",COUNTIFS($A$6:$A$172,A98,$P$6:$P$172,"&gt;"&amp;P98)+COUNTIFS($A$6:A98,A98,$P$6:P98,P98))</x:f>
        <x:v>2</x:v>
      </x:c>
      <x:c r="W98" s="584" t="n">
        <x:f>IF(Q98="","",COUNTIFS($A$6:$A$172,A98,$Q$6:$Q$172,"&gt;"&amp;Q98)+COUNTIFS($A$6:A98,A98,$Q$6:Q98,Q98))</x:f>
        <x:v>3</x:v>
      </x:c>
      <x:c r="X98" s="584" t="n">
        <x:f>IF(R98="","",COUNTIFS($A$6:$A$172,A98,$R$6:$R$172,"&gt;"&amp;R98)+COUNTIFS($A$6:A98,A98,$R$6:R98,R98))</x:f>
        <x:v>3</x:v>
      </x:c>
      <x:c r="Y98" s="572" t="str">
        <x:f>IF(V98="","",A98&amp;"|"&amp;V98)</x:f>
        <x:v>K170|2</x:v>
      </x:c>
      <x:c r="Z98" s="572" t="str">
        <x:f>IF(W98="","",A98&amp;"|"&amp;W98)</x:f>
        <x:v>K170|3</x:v>
      </x:c>
      <x:c r="AA98" s="572" t="str">
        <x:f>IF(X98="","",A98&amp;"|"&amp;X98)</x:f>
        <x:v>K170|3</x:v>
      </x:c>
      <x:c r="AB98" s="572" t="str">
        <x:f>IF(A98="","",IF(I98=0,"Offense neutral — no recorded offensive skills",IF(I98&lt;1,"Partial lookup — adjustment scaled",IF(AND(M98="Yes",AC98=0),"Offense adjusted; Guard neutral","Captured"))))</x:f>
        <x:v>Offense adjusted; Guard neutral</x:v>
      </x:c>
      <x:c r="AC98" s="580" t="n">
        <x:f>IF(SUMIFS('Specialisation Impact'!$M$19:$M$186,'Specialisation Impact'!$A$19:$A$186,A98,'Specialisation Impact'!$B$19:$B$186,B98)=0,0,SUMIFS('Specialisation Impact'!$F$19:$F$186,'Specialisation Impact'!$A$19:$A$186,A98,'Specialisation Impact'!$B$19:$B$186,B98))</x:f>
        <x:v>0</x:v>
      </x:c>
    </x:row>
    <x:row r="99">
      <x:c r="A99" s="571" t="str">
        <x:v>K170</x:v>
      </x:c>
      <x:c r="B99" s="571" t="str">
        <x:v>(AOT)Brauni°</x:v>
      </x:c>
      <x:c r="C99" s="575" t="n">
        <x:f>IF($A99="","",AVERAGE(100*((COUNTIF('All Stats'!$D$6:$D$172,"&lt;"&amp;'All Stats'!D99)+(COUNTIF('All Stats'!$D$6:$D$172,'All Stats'!D99)-1)/2)/(COUNT('All Stats'!$D$6:$D$172)-1))^'Specialisation Scenarios'!$X$10,100*((COUNTIF('All Stats'!$G$6:$G$172,"&lt;"&amp;'All Stats'!G99)+(COUNTIF('All Stats'!$G$6:$G$172,'All Stats'!G99)-1)/2)/(COUNT('All Stats'!$G$6:$G$172)-1))^'Specialisation Scenarios'!$X$10,100*((COUNTIF('All Stats'!$I$6:$I$172,"&lt;"&amp;'All Stats'!I99)+(COUNTIF('All Stats'!$I$6:$I$172,'All Stats'!I99)-1)/2)/(COUNT('All Stats'!$I$6:$I$172)-1))^'Specialisation Scenarios'!$X$10))</x:f>
        <x:v>17.98184408239713</x:v>
      </x:c>
      <x:c r="D99" s="575" t="n">
        <x:f>IF($A99="","",AVERAGE(100*((COUNTIF('All Stats'!$R$6:$R$172,"&lt;"&amp;'All Stats'!R99)+(COUNTIF('All Stats'!$R$6:$R$172,'All Stats'!R99)-1)/2)/(COUNT('All Stats'!$R$6:$R$172)-1))^'Specialisation Scenarios'!$X$10,100*((COUNTIF('All Stats'!$U$6:$U$172,"&lt;"&amp;'All Stats'!U99)+(COUNTIF('All Stats'!$U$6:$U$172,'All Stats'!U99)-1)/2)/(COUNT('All Stats'!$U$6:$U$172)-1))^'Specialisation Scenarios'!$X$10,100*((COUNTIF('All Stats'!$W$6:$W$172,"&lt;"&amp;'All Stats'!W99)+(COUNTIF('All Stats'!$W$6:$W$172,'All Stats'!W99)-1)/2)/(COUNT('All Stats'!$W$6:$W$172)-1))^'Specialisation Scenarios'!$X$10))</x:f>
        <x:v>10.065035709237648</x:v>
      </x:c>
      <x:c r="E99" s="575" t="n">
        <x:f>IF($A99="","",AVERAGE(100*((COUNTIF('All Stats'!$Y$6:$Y$172,"&lt;"&amp;'All Stats'!Y99)+(COUNTIF('All Stats'!$Y$6:$Y$172,'All Stats'!Y99)-1)/2)/(COUNT('All Stats'!$Y$6:$Y$172)-1))^'Specialisation Scenarios'!$X$10,100*((COUNTIF('All Stats'!$AB$6:$AB$172,"&lt;"&amp;'All Stats'!AB99)+(COUNTIF('All Stats'!$AB$6:$AB$172,'All Stats'!AB99)-1)/2)/(COUNT('All Stats'!$AB$6:$AB$172)-1))^'Specialisation Scenarios'!$X$10,100*((COUNTIF('All Stats'!$AD$6:$AD$172,"&lt;"&amp;'All Stats'!AD99)+(COUNTIF('All Stats'!$AD$6:$AD$172,'All Stats'!AD99)-1)/2)/(COUNT('All Stats'!$AD$6:$AD$172)-1))^'Specialisation Scenarios'!$X$10))</x:f>
        <x:v>35.27138663392933</x:v>
      </x:c>
      <x:c r="F99" s="575" t="n">
        <x:f>IF($A99="","",AVERAGE(100*((COUNTIF('All Stats'!$AF$6:$AF$172,"&lt;"&amp;'All Stats'!AF99)+(COUNTIF('All Stats'!$AF$6:$AF$172,'All Stats'!AF99)-1)/2)/(COUNT('All Stats'!$AF$6:$AF$172)-1))^'Specialisation Scenarios'!$X$10,100*((COUNTIF('All Stats'!$AI$6:$AI$172,"&lt;"&amp;'All Stats'!AI99)+(COUNTIF('All Stats'!$AI$6:$AI$172,'All Stats'!AI99)-1)/2)/(COUNT('All Stats'!$AI$6:$AI$172)-1))^'Specialisation Scenarios'!$X$10,100*((COUNTIF('All Stats'!$AK$6:$AK$172,"&lt;"&amp;'All Stats'!AK99)+(COUNTIF('All Stats'!$AK$6:$AK$172,'All Stats'!AK99)-1)/2)/(COUNT('All Stats'!$AK$6:$AK$172)-1))^'Specialisation Scenarios'!$X$10))</x:f>
        <x:v>10.474441457374287</x:v>
      </x:c>
      <x:c r="G99" s="575" t="n">
        <x:f>IF($A99="","",C99*'Specialisation Scenarios'!$X$11+D99*'Specialisation Scenarios'!$X$12+E99*'Specialisation Scenarios'!$X$13+F99*'Specialisation Scenarios'!$X$14)</x:f>
        <x:v>13.834602919901235</x:v>
      </x:c>
      <x:c r="H99" s="575" t="n">
        <x:f>IF(SUMIFS('Specialisation Impact'!$E$19:$E$186,'Specialisation Impact'!$A$19:$A$186,A99,'Specialisation Impact'!$B$19:$B$186,B99)=0,"",SUMIFS('Specialisation Impact'!$S$19:$S$186,'Specialisation Impact'!$A$19:$A$186,A99,'Specialisation Impact'!$B$19:$B$186,B99))</x:f>
        <x:v>37.79220779220779</x:v>
      </x:c>
      <x:c r="I99" s="579" t="n">
        <x:f>IF(SUMIFS('Specialisation Impact'!$E$19:$E$186,'Specialisation Impact'!$A$19:$A$186,A99,'Specialisation Impact'!$B$19:$B$186,B99)=0,0,SUMIFS('Specialisation Impact'!$F$19:$F$186,'Specialisation Impact'!$A$19:$A$186,A99,'Specialisation Impact'!$B$19:$B$186,B99))</x:f>
        <x:v>1</x:v>
      </x:c>
      <x:c r="J99" s="575" t="n">
        <x:f>G99</x:f>
        <x:v>13.834602919901235</x:v>
      </x:c>
      <x:c r="K99" s="575" t="n">
        <x:f>IF(G99="","",IF(I99=0,G99,MAX(0,MIN(100,G99*(1-'Specialisation Scenarios'!$B$8*I99)+H99*('Specialisation Scenarios'!$B$8*I99)))))</x:f>
        <x:v>19.824004137977873</x:v>
      </x:c>
      <x:c r="L99" s="575" t="n">
        <x:f>IF(G99="","",IF(I99=0,G99,MAX(0,MIN(100,G99*(1-'Specialisation Scenarios'!$B$9*I99)+H99*('Specialisation Scenarios'!$B$9*I99)))))</x:f>
        <x:v>22.21976462520853</x:v>
      </x:c>
      <x:c r="M99" s="575" t="str">
        <x:f>IF(COUNTIFS('Tank &amp; Control'!$A$23:$A$189,A99,'Tank &amp; Control'!$B$23:$B$189,B99,'Tank &amp; Control'!$C$23:$C$189,"Yes")&gt;0,"Yes","No")</x:f>
        <x:v>No</x:v>
      </x:c>
      <x:c r="N99" s="575" t="str">
        <x:f>IF(M99&lt;&gt;"Yes","",SUMIFS('Tank &amp; Control'!$L$23:$L$189,'Tank &amp; Control'!$A$23:$A$189,A99,'Tank &amp; Control'!$B$23:$B$189,B99))</x:f>
      </x:c>
      <x:c r="O99" s="575" t="n">
        <x:f>IF(SUMIFS('Specialisation Impact'!$M$19:$M$186,'Specialisation Impact'!$A$19:$A$186,A99,'Specialisation Impact'!$B$19:$B$186,B99)=0,"",SUMIFS('Specialisation Impact'!$V$19:$V$186,'Specialisation Impact'!$A$19:$A$186,A99,'Specialisation Impact'!$B$19:$B$186,B99))</x:f>
        <x:v>29.48717948717949</x:v>
      </x:c>
      <x:c r="P99" s="575" t="str">
        <x:f>IF(N99="","",N99)</x:f>
      </x:c>
      <x:c r="Q99" s="575" t="str">
        <x:f>IF(N99="","",IF(AC99=0,N99,MAX(0,MIN(100,N99*(1-'Specialisation Scenarios'!$B$8*AC99)+O99*('Specialisation Scenarios'!$B$8*AC99)))))</x:f>
      </x:c>
      <x:c r="R99" s="575" t="str">
        <x:f>IF(N99="","",IF(AC99=0,N99,MAX(0,MIN(100,N99*(1-'Specialisation Scenarios'!$B$9*AC99)+O99*('Specialisation Scenarios'!$B$9*AC99)))))</x:f>
      </x:c>
      <x:c r="S99" s="583" t="n">
        <x:f>IF(J99="","",COUNTIFS($A$6:$A$172,A99,$J$6:$J$172,"&gt;"&amp;J99)+COUNTIFS($A$6:A99,A99,$J$6:J99,J99))</x:f>
        <x:v>21</x:v>
      </x:c>
      <x:c r="T99" s="583" t="n">
        <x:f>IF(K99="","",COUNTIFS($A$6:$A$172,A99,$K$6:$K$172,"&gt;"&amp;K99)+COUNTIFS($A$6:A99,A99,$K$6:K99,K99))</x:f>
        <x:v>19</x:v>
      </x:c>
      <x:c r="U99" s="583" t="n">
        <x:f>IF(L99="","",COUNTIFS($A$6:$A$172,A99,$L$6:$L$172,"&gt;"&amp;L99)+COUNTIFS($A$6:A99,A99,$L$6:L99,L99))</x:f>
        <x:v>19</x:v>
      </x:c>
      <x:c r="V99" s="583" t="str">
        <x:f>IF(P99="","",COUNTIFS($A$6:$A$172,A99,$P$6:$P$172,"&gt;"&amp;P99)+COUNTIFS($A$6:A99,A99,$P$6:P99,P99))</x:f>
      </x:c>
      <x:c r="W99" s="583" t="str">
        <x:f>IF(Q99="","",COUNTIFS($A$6:$A$172,A99,$Q$6:$Q$172,"&gt;"&amp;Q99)+COUNTIFS($A$6:A99,A99,$Q$6:Q99,Q99))</x:f>
      </x:c>
      <x:c r="X99" s="583" t="str">
        <x:f>IF(R99="","",COUNTIFS($A$6:$A$172,A99,$R$6:$R$172,"&gt;"&amp;R99)+COUNTIFS($A$6:A99,A99,$R$6:R99,R99))</x:f>
      </x:c>
      <x:c r="Y99" s="571" t="str">
        <x:f>IF(V99="","",A99&amp;"|"&amp;V99)</x:f>
      </x:c>
      <x:c r="Z99" s="571" t="str">
        <x:f>IF(W99="","",A99&amp;"|"&amp;W99)</x:f>
      </x:c>
      <x:c r="AA99" s="571" t="str">
        <x:f>IF(X99="","",A99&amp;"|"&amp;X99)</x:f>
      </x:c>
      <x:c r="AB99" s="571" t="str">
        <x:f>IF(A99="","",IF(I99=0,"Offense neutral — no recorded offensive skills",IF(I99&lt;1,"Partial lookup — adjustment scaled",IF(AND(M99="Yes",AC99=0),"Offense adjusted; Guard neutral","Captured"))))</x:f>
        <x:v>Captured</x:v>
      </x:c>
      <x:c r="AC99" s="579" t="n">
        <x:f>IF(SUMIFS('Specialisation Impact'!$M$19:$M$186,'Specialisation Impact'!$A$19:$A$186,A99,'Specialisation Impact'!$B$19:$B$186,B99)=0,0,SUMIFS('Specialisation Impact'!$F$19:$F$186,'Specialisation Impact'!$A$19:$A$186,A99,'Specialisation Impact'!$B$19:$B$186,B99))</x:f>
        <x:v>1</x:v>
      </x:c>
    </x:row>
    <x:row r="100">
      <x:c r="A100" s="572" t="str">
        <x:v>K170</x:v>
      </x:c>
      <x:c r="B100" s="572" t="str">
        <x:v>(AOT)Kelley</x:v>
      </x:c>
      <x:c r="C100" s="576" t="n">
        <x:f>IF($A100="","",AVERAGE(100*((COUNTIF('All Stats'!$D$6:$D$172,"&lt;"&amp;'All Stats'!D100)+(COUNTIF('All Stats'!$D$6:$D$172,'All Stats'!D100)-1)/2)/(COUNT('All Stats'!$D$6:$D$172)-1))^'Specialisation Scenarios'!$X$10,100*((COUNTIF('All Stats'!$G$6:$G$172,"&lt;"&amp;'All Stats'!G100)+(COUNTIF('All Stats'!$G$6:$G$172,'All Stats'!G100)-1)/2)/(COUNT('All Stats'!$G$6:$G$172)-1))^'Specialisation Scenarios'!$X$10,100*((COUNTIF('All Stats'!$I$6:$I$172,"&lt;"&amp;'All Stats'!I100)+(COUNTIF('All Stats'!$I$6:$I$172,'All Stats'!I100)-1)/2)/(COUNT('All Stats'!$I$6:$I$172)-1))^'Specialisation Scenarios'!$X$10))</x:f>
        <x:v>24.409442607746616</x:v>
      </x:c>
      <x:c r="D100" s="576" t="n">
        <x:f>IF($A100="","",AVERAGE(100*((COUNTIF('All Stats'!$R$6:$R$172,"&lt;"&amp;'All Stats'!R100)+(COUNTIF('All Stats'!$R$6:$R$172,'All Stats'!R100)-1)/2)/(COUNT('All Stats'!$R$6:$R$172)-1))^'Specialisation Scenarios'!$X$10,100*((COUNTIF('All Stats'!$U$6:$U$172,"&lt;"&amp;'All Stats'!U100)+(COUNTIF('All Stats'!$U$6:$U$172,'All Stats'!U100)-1)/2)/(COUNT('All Stats'!$U$6:$U$172)-1))^'Specialisation Scenarios'!$X$10,100*((COUNTIF('All Stats'!$W$6:$W$172,"&lt;"&amp;'All Stats'!W100)+(COUNTIF('All Stats'!$W$6:$W$172,'All Stats'!W100)-1)/2)/(COUNT('All Stats'!$W$6:$W$172)-1))^'Specialisation Scenarios'!$X$10))</x:f>
        <x:v>49.23979786641476</x:v>
      </x:c>
      <x:c r="E100" s="576" t="n">
        <x:f>IF($A100="","",AVERAGE(100*((COUNTIF('All Stats'!$Y$6:$Y$172,"&lt;"&amp;'All Stats'!Y100)+(COUNTIF('All Stats'!$Y$6:$Y$172,'All Stats'!Y100)-1)/2)/(COUNT('All Stats'!$Y$6:$Y$172)-1))^'Specialisation Scenarios'!$X$10,100*((COUNTIF('All Stats'!$AB$6:$AB$172,"&lt;"&amp;'All Stats'!AB100)+(COUNTIF('All Stats'!$AB$6:$AB$172,'All Stats'!AB100)-1)/2)/(COUNT('All Stats'!$AB$6:$AB$172)-1))^'Specialisation Scenarios'!$X$10,100*((COUNTIF('All Stats'!$AD$6:$AD$172,"&lt;"&amp;'All Stats'!AD100)+(COUNTIF('All Stats'!$AD$6:$AD$172,'All Stats'!AD100)-1)/2)/(COUNT('All Stats'!$AD$6:$AD$172)-1))^'Specialisation Scenarios'!$X$10))</x:f>
        <x:v>54.10632583690093</x:v>
      </x:c>
      <x:c r="F100" s="576" t="n">
        <x:f>IF($A100="","",AVERAGE(100*((COUNTIF('All Stats'!$AF$6:$AF$172,"&lt;"&amp;'All Stats'!AF100)+(COUNTIF('All Stats'!$AF$6:$AF$172,'All Stats'!AF100)-1)/2)/(COUNT('All Stats'!$AF$6:$AF$172)-1))^'Specialisation Scenarios'!$X$10,100*((COUNTIF('All Stats'!$AI$6:$AI$172,"&lt;"&amp;'All Stats'!AI100)+(COUNTIF('All Stats'!$AI$6:$AI$172,'All Stats'!AI100)-1)/2)/(COUNT('All Stats'!$AI$6:$AI$172)-1))^'Specialisation Scenarios'!$X$10,100*((COUNTIF('All Stats'!$AK$6:$AK$172,"&lt;"&amp;'All Stats'!AK100)+(COUNTIF('All Stats'!$AK$6:$AK$172,'All Stats'!AK100)-1)/2)/(COUNT('All Stats'!$AK$6:$AK$172)-1))^'Specialisation Scenarios'!$X$10))</x:f>
        <x:v>52.77287687936354</x:v>
      </x:c>
      <x:c r="G100" s="576" t="n">
        <x:f>IF($A100="","",C100*'Specialisation Scenarios'!$X$11+D100*'Specialisation Scenarios'!$X$12+E100*'Specialisation Scenarios'!$X$13+F100*'Specialisation Scenarios'!$X$14)</x:f>
        <x:v>46.53185922660548</x:v>
      </x:c>
      <x:c r="H100" s="576" t="str">
        <x:f>IF(SUMIFS('Specialisation Impact'!$E$19:$E$186,'Specialisation Impact'!$A$19:$A$186,A100,'Specialisation Impact'!$B$19:$B$186,B100)=0,"",SUMIFS('Specialisation Impact'!$S$19:$S$186,'Specialisation Impact'!$A$19:$A$186,A100,'Specialisation Impact'!$B$19:$B$186,B100))</x:f>
      </x:c>
      <x:c r="I100" s="580" t="n">
        <x:f>IF(SUMIFS('Specialisation Impact'!$E$19:$E$186,'Specialisation Impact'!$A$19:$A$186,A100,'Specialisation Impact'!$B$19:$B$186,B100)=0,0,SUMIFS('Specialisation Impact'!$F$19:$F$186,'Specialisation Impact'!$A$19:$A$186,A100,'Specialisation Impact'!$B$19:$B$186,B100))</x:f>
        <x:v>0</x:v>
      </x:c>
      <x:c r="J100" s="576" t="n">
        <x:f>G100</x:f>
        <x:v>46.53185922660548</x:v>
      </x:c>
      <x:c r="K100" s="576" t="n">
        <x:f>IF(G100="","",IF(I100=0,G100,MAX(0,MIN(100,G100*(1-'Specialisation Scenarios'!$B$8*I100)+H100*('Specialisation Scenarios'!$B$8*I100)))))</x:f>
        <x:v>46.53185922660548</x:v>
      </x:c>
      <x:c r="L100" s="576" t="n">
        <x:f>IF(G100="","",IF(I100=0,G100,MAX(0,MIN(100,G100*(1-'Specialisation Scenarios'!$B$9*I100)+H100*('Specialisation Scenarios'!$B$9*I100)))))</x:f>
        <x:v>46.53185922660548</x:v>
      </x:c>
      <x:c r="M100" s="576" t="str">
        <x:f>IF(COUNTIFS('Tank &amp; Control'!$A$23:$A$189,A100,'Tank &amp; Control'!$B$23:$B$189,B100,'Tank &amp; Control'!$C$23:$C$189,"Yes")&gt;0,"Yes","No")</x:f>
        <x:v>No</x:v>
      </x:c>
      <x:c r="N100" s="576" t="str">
        <x:f>IF(M100&lt;&gt;"Yes","",SUMIFS('Tank &amp; Control'!$L$23:$L$189,'Tank &amp; Control'!$A$23:$A$189,A100,'Tank &amp; Control'!$B$23:$B$189,B100))</x:f>
      </x:c>
      <x:c r="O100" s="576" t="str">
        <x:f>IF(SUMIFS('Specialisation Impact'!$M$19:$M$186,'Specialisation Impact'!$A$19:$A$186,A100,'Specialisation Impact'!$B$19:$B$186,B100)=0,"",SUMIFS('Specialisation Impact'!$V$19:$V$186,'Specialisation Impact'!$A$19:$A$186,A100,'Specialisation Impact'!$B$19:$B$186,B100))</x:f>
      </x:c>
      <x:c r="P100" s="576" t="str">
        <x:f>IF(N100="","",N100)</x:f>
      </x:c>
      <x:c r="Q100" s="576" t="str">
        <x:f>IF(N100="","",IF(AC100=0,N100,MAX(0,MIN(100,N100*(1-'Specialisation Scenarios'!$B$8*AC100)+O100*('Specialisation Scenarios'!$B$8*AC100)))))</x:f>
      </x:c>
      <x:c r="R100" s="576" t="str">
        <x:f>IF(N100="","",IF(AC100=0,N100,MAX(0,MIN(100,N100*(1-'Specialisation Scenarios'!$B$9*AC100)+O100*('Specialisation Scenarios'!$B$9*AC100)))))</x:f>
      </x:c>
      <x:c r="S100" s="584" t="n">
        <x:f>IF(J100="","",COUNTIFS($A$6:$A$172,A100,$J$6:$J$172,"&gt;"&amp;J100)+COUNTIFS($A$6:A100,A100,$J$6:J100,J100))</x:f>
        <x:v>7</x:v>
      </x:c>
      <x:c r="T100" s="584" t="n">
        <x:f>IF(K100="","",COUNTIFS($A$6:$A$172,A100,$K$6:$K$172,"&gt;"&amp;K100)+COUNTIFS($A$6:A100,A100,$K$6:K100,K100))</x:f>
        <x:v>10</x:v>
      </x:c>
      <x:c r="U100" s="584" t="n">
        <x:f>IF(L100="","",COUNTIFS($A$6:$A$172,A100,$L$6:$L$172,"&gt;"&amp;L100)+COUNTIFS($A$6:A100,A100,$L$6:L100,L100))</x:f>
        <x:v>10</x:v>
      </x:c>
      <x:c r="V100" s="584" t="str">
        <x:f>IF(P100="","",COUNTIFS($A$6:$A$172,A100,$P$6:$P$172,"&gt;"&amp;P100)+COUNTIFS($A$6:A100,A100,$P$6:P100,P100))</x:f>
      </x:c>
      <x:c r="W100" s="584" t="str">
        <x:f>IF(Q100="","",COUNTIFS($A$6:$A$172,A100,$Q$6:$Q$172,"&gt;"&amp;Q100)+COUNTIFS($A$6:A100,A100,$Q$6:Q100,Q100))</x:f>
      </x:c>
      <x:c r="X100" s="584" t="str">
        <x:f>IF(R100="","",COUNTIFS($A$6:$A$172,A100,$R$6:$R$172,"&gt;"&amp;R100)+COUNTIFS($A$6:A100,A100,$R$6:R100,R100))</x:f>
      </x:c>
      <x:c r="Y100" s="572" t="str">
        <x:f>IF(V100="","",A100&amp;"|"&amp;V100)</x:f>
      </x:c>
      <x:c r="Z100" s="572" t="str">
        <x:f>IF(W100="","",A100&amp;"|"&amp;W100)</x:f>
      </x:c>
      <x:c r="AA100" s="572" t="str">
        <x:f>IF(X100="","",A100&amp;"|"&amp;X100)</x:f>
      </x:c>
      <x:c r="AB100" s="572" t="str">
        <x:f>IF(A100="","",IF(I100=0,"Offense neutral — no recorded offensive skills",IF(I100&lt;1,"Partial lookup — adjustment scaled",IF(AND(M100="Yes",AC100=0),"Offense adjusted; Guard neutral","Captured"))))</x:f>
        <x:v>Offense neutral — no recorded offensive skills</x:v>
      </x:c>
      <x:c r="AC100" s="580" t="n">
        <x:f>IF(SUMIFS('Specialisation Impact'!$M$19:$M$186,'Specialisation Impact'!$A$19:$A$186,A100,'Specialisation Impact'!$B$19:$B$186,B100)=0,0,SUMIFS('Specialisation Impact'!$F$19:$F$186,'Specialisation Impact'!$A$19:$A$186,A100,'Specialisation Impact'!$B$19:$B$186,B100))</x:f>
        <x:v>0</x:v>
      </x:c>
    </x:row>
    <x:row r="101">
      <x:c r="A101" s="571" t="str">
        <x:v>K170</x:v>
      </x:c>
      <x:c r="B101" s="571" t="str">
        <x:v>(AOT)鸣鸣鸣</x:v>
      </x:c>
      <x:c r="C101" s="575" t="n">
        <x:f>IF($A101="","",AVERAGE(100*((COUNTIF('All Stats'!$D$6:$D$172,"&lt;"&amp;'All Stats'!D101)+(COUNTIF('All Stats'!$D$6:$D$172,'All Stats'!D101)-1)/2)/(COUNT('All Stats'!$D$6:$D$172)-1))^'Specialisation Scenarios'!$X$10,100*((COUNTIF('All Stats'!$G$6:$G$172,"&lt;"&amp;'All Stats'!G101)+(COUNTIF('All Stats'!$G$6:$G$172,'All Stats'!G101)-1)/2)/(COUNT('All Stats'!$G$6:$G$172)-1))^'Specialisation Scenarios'!$X$10,100*((COUNTIF('All Stats'!$I$6:$I$172,"&lt;"&amp;'All Stats'!I101)+(COUNTIF('All Stats'!$I$6:$I$172,'All Stats'!I101)-1)/2)/(COUNT('All Stats'!$I$6:$I$172)-1))^'Specialisation Scenarios'!$X$10))</x:f>
        <x:v>48.860205247898996</x:v>
      </x:c>
      <x:c r="D101" s="575" t="n">
        <x:f>IF($A101="","",AVERAGE(100*((COUNTIF('All Stats'!$R$6:$R$172,"&lt;"&amp;'All Stats'!R101)+(COUNTIF('All Stats'!$R$6:$R$172,'All Stats'!R101)-1)/2)/(COUNT('All Stats'!$R$6:$R$172)-1))^'Specialisation Scenarios'!$X$10,100*((COUNTIF('All Stats'!$U$6:$U$172,"&lt;"&amp;'All Stats'!U101)+(COUNTIF('All Stats'!$U$6:$U$172,'All Stats'!U101)-1)/2)/(COUNT('All Stats'!$U$6:$U$172)-1))^'Specialisation Scenarios'!$X$10,100*((COUNTIF('All Stats'!$W$6:$W$172,"&lt;"&amp;'All Stats'!W101)+(COUNTIF('All Stats'!$W$6:$W$172,'All Stats'!W101)-1)/2)/(COUNT('All Stats'!$W$6:$W$172)-1))^'Specialisation Scenarios'!$X$10))</x:f>
        <x:v>45.86292980480287</x:v>
      </x:c>
      <x:c r="E101" s="575" t="n">
        <x:f>IF($A101="","",AVERAGE(100*((COUNTIF('All Stats'!$Y$6:$Y$172,"&lt;"&amp;'All Stats'!Y101)+(COUNTIF('All Stats'!$Y$6:$Y$172,'All Stats'!Y101)-1)/2)/(COUNT('All Stats'!$Y$6:$Y$172)-1))^'Specialisation Scenarios'!$X$10,100*((COUNTIF('All Stats'!$AB$6:$AB$172,"&lt;"&amp;'All Stats'!AB101)+(COUNTIF('All Stats'!$AB$6:$AB$172,'All Stats'!AB101)-1)/2)/(COUNT('All Stats'!$AB$6:$AB$172)-1))^'Specialisation Scenarios'!$X$10,100*((COUNTIF('All Stats'!$AD$6:$AD$172,"&lt;"&amp;'All Stats'!AD101)+(COUNTIF('All Stats'!$AD$6:$AD$172,'All Stats'!AD101)-1)/2)/(COUNT('All Stats'!$AD$6:$AD$172)-1))^'Specialisation Scenarios'!$X$10))</x:f>
        <x:v>61.27940861560916</x:v>
      </x:c>
      <x:c r="F101" s="575" t="n">
        <x:f>IF($A101="","",AVERAGE(100*((COUNTIF('All Stats'!$AF$6:$AF$172,"&lt;"&amp;'All Stats'!AF101)+(COUNTIF('All Stats'!$AF$6:$AF$172,'All Stats'!AF101)-1)/2)/(COUNT('All Stats'!$AF$6:$AF$172)-1))^'Specialisation Scenarios'!$X$10,100*((COUNTIF('All Stats'!$AI$6:$AI$172,"&lt;"&amp;'All Stats'!AI101)+(COUNTIF('All Stats'!$AI$6:$AI$172,'All Stats'!AI101)-1)/2)/(COUNT('All Stats'!$AI$6:$AI$172)-1))^'Specialisation Scenarios'!$X$10,100*((COUNTIF('All Stats'!$AK$6:$AK$172,"&lt;"&amp;'All Stats'!AK101)+(COUNTIF('All Stats'!$AK$6:$AK$172,'All Stats'!AK101)-1)/2)/(COUNT('All Stats'!$AK$6:$AK$172)-1))^'Specialisation Scenarios'!$X$10))</x:f>
        <x:v>38.70852237812688</x:v>
      </x:c>
      <x:c r="G101" s="575" t="n">
        <x:f>IF($A101="","",C101*'Specialisation Scenarios'!$X$11+D101*'Specialisation Scenarios'!$X$12+E101*'Specialisation Scenarios'!$X$13+F101*'Specialisation Scenarios'!$X$14)</x:f>
        <x:v>46.78100788834652</x:v>
      </x:c>
      <x:c r="H101" s="575" t="n">
        <x:f>IF(SUMIFS('Specialisation Impact'!$E$19:$E$186,'Specialisation Impact'!$A$19:$A$186,A101,'Specialisation Impact'!$B$19:$B$186,B101)=0,"",SUMIFS('Specialisation Impact'!$S$19:$S$186,'Specialisation Impact'!$A$19:$A$186,A101,'Specialisation Impact'!$B$19:$B$186,B101))</x:f>
        <x:v>81.55844155844156</x:v>
      </x:c>
      <x:c r="I101" s="579" t="n">
        <x:f>IF(SUMIFS('Specialisation Impact'!$E$19:$E$186,'Specialisation Impact'!$A$19:$A$186,A101,'Specialisation Impact'!$B$19:$B$186,B101)=0,0,SUMIFS('Specialisation Impact'!$F$19:$F$186,'Specialisation Impact'!$A$19:$A$186,A101,'Specialisation Impact'!$B$19:$B$186,B101))</x:f>
        <x:v>1</x:v>
      </x:c>
      <x:c r="J101" s="575" t="n">
        <x:f>G101</x:f>
        <x:v>46.78100788834652</x:v>
      </x:c>
      <x:c r="K101" s="575" t="n">
        <x:f>IF(G101="","",IF(I101=0,G101,MAX(0,MIN(100,G101*(1-'Specialisation Scenarios'!$B$8*I101)+H101*('Specialisation Scenarios'!$B$8*I101)))))</x:f>
        <x:v>55.47536630587028</x:v>
      </x:c>
      <x:c r="L101" s="575" t="n">
        <x:f>IF(G101="","",IF(I101=0,G101,MAX(0,MIN(100,G101*(1-'Specialisation Scenarios'!$B$9*I101)+H101*('Specialisation Scenarios'!$B$9*I101)))))</x:f>
        <x:v>58.95310967287978</x:v>
      </x:c>
      <x:c r="M101" s="575" t="str">
        <x:f>IF(COUNTIFS('Tank &amp; Control'!$A$23:$A$189,A101,'Tank &amp; Control'!$B$23:$B$189,B101,'Tank &amp; Control'!$C$23:$C$189,"Yes")&gt;0,"Yes","No")</x:f>
        <x:v>No</x:v>
      </x:c>
      <x:c r="N101" s="575" t="str">
        <x:f>IF(M101&lt;&gt;"Yes","",SUMIFS('Tank &amp; Control'!$L$23:$L$189,'Tank &amp; Control'!$A$23:$A$189,A101,'Tank &amp; Control'!$B$23:$B$189,B101))</x:f>
      </x:c>
      <x:c r="O101" s="575" t="str">
        <x:f>IF(SUMIFS('Specialisation Impact'!$M$19:$M$186,'Specialisation Impact'!$A$19:$A$186,A101,'Specialisation Impact'!$B$19:$B$186,B101)=0,"",SUMIFS('Specialisation Impact'!$V$19:$V$186,'Specialisation Impact'!$A$19:$A$186,A101,'Specialisation Impact'!$B$19:$B$186,B101))</x:f>
      </x:c>
      <x:c r="P101" s="575" t="str">
        <x:f>IF(N101="","",N101)</x:f>
      </x:c>
      <x:c r="Q101" s="575" t="str">
        <x:f>IF(N101="","",IF(AC101=0,N101,MAX(0,MIN(100,N101*(1-'Specialisation Scenarios'!$B$8*AC101)+O101*('Specialisation Scenarios'!$B$8*AC101)))))</x:f>
      </x:c>
      <x:c r="R101" s="575" t="str">
        <x:f>IF(N101="","",IF(AC101=0,N101,MAX(0,MIN(100,N101*(1-'Specialisation Scenarios'!$B$9*AC101)+O101*('Specialisation Scenarios'!$B$9*AC101)))))</x:f>
      </x:c>
      <x:c r="S101" s="583" t="n">
        <x:f>IF(J101="","",COUNTIFS($A$6:$A$172,A101,$J$6:$J$172,"&gt;"&amp;J101)+COUNTIFS($A$6:A101,A101,$J$6:J101,J101))</x:f>
        <x:v>6</x:v>
      </x:c>
      <x:c r="T101" s="583" t="n">
        <x:f>IF(K101="","",COUNTIFS($A$6:$A$172,A101,$K$6:$K$172,"&gt;"&amp;K101)+COUNTIFS($A$6:A101,A101,$K$6:K101,K101))</x:f>
        <x:v>4</x:v>
      </x:c>
      <x:c r="U101" s="583" t="n">
        <x:f>IF(L101="","",COUNTIFS($A$6:$A$172,A101,$L$6:$L$172,"&gt;"&amp;L101)+COUNTIFS($A$6:A101,A101,$L$6:L101,L101))</x:f>
        <x:v>4</x:v>
      </x:c>
      <x:c r="V101" s="583" t="str">
        <x:f>IF(P101="","",COUNTIFS($A$6:$A$172,A101,$P$6:$P$172,"&gt;"&amp;P101)+COUNTIFS($A$6:A101,A101,$P$6:P101,P101))</x:f>
      </x:c>
      <x:c r="W101" s="583" t="str">
        <x:f>IF(Q101="","",COUNTIFS($A$6:$A$172,A101,$Q$6:$Q$172,"&gt;"&amp;Q101)+COUNTIFS($A$6:A101,A101,$Q$6:Q101,Q101))</x:f>
      </x:c>
      <x:c r="X101" s="583" t="str">
        <x:f>IF(R101="","",COUNTIFS($A$6:$A$172,A101,$R$6:$R$172,"&gt;"&amp;R101)+COUNTIFS($A$6:A101,A101,$R$6:R101,R101))</x:f>
      </x:c>
      <x:c r="Y101" s="571" t="str">
        <x:f>IF(V101="","",A101&amp;"|"&amp;V101)</x:f>
      </x:c>
      <x:c r="Z101" s="571" t="str">
        <x:f>IF(W101="","",A101&amp;"|"&amp;W101)</x:f>
      </x:c>
      <x:c r="AA101" s="571" t="str">
        <x:f>IF(X101="","",A101&amp;"|"&amp;X101)</x:f>
      </x:c>
      <x:c r="AB101" s="571" t="str">
        <x:f>IF(A101="","",IF(I101=0,"Offense neutral — no recorded offensive skills",IF(I101&lt;1,"Partial lookup — adjustment scaled",IF(AND(M101="Yes",AC101=0),"Offense adjusted; Guard neutral","Captured"))))</x:f>
        <x:v>Captured</x:v>
      </x:c>
      <x:c r="AC101" s="579" t="n">
        <x:f>IF(SUMIFS('Specialisation Impact'!$M$19:$M$186,'Specialisation Impact'!$A$19:$A$186,A101,'Specialisation Impact'!$B$19:$B$186,B101)=0,0,SUMIFS('Specialisation Impact'!$F$19:$F$186,'Specialisation Impact'!$A$19:$A$186,A101,'Specialisation Impact'!$B$19:$B$186,B101))</x:f>
        <x:v>0</x:v>
      </x:c>
    </x:row>
    <x:row r="102">
      <x:c r="A102" s="572" t="str">
        <x:v>K170</x:v>
      </x:c>
      <x:c r="B102" s="572" t="str">
        <x:v>(AOT)aweirdmind</x:v>
      </x:c>
      <x:c r="C102" s="576" t="n">
        <x:f>IF($A102="","",AVERAGE(100*((COUNTIF('All Stats'!$D$6:$D$172,"&lt;"&amp;'All Stats'!D102)+(COUNTIF('All Stats'!$D$6:$D$172,'All Stats'!D102)-1)/2)/(COUNT('All Stats'!$D$6:$D$172)-1))^'Specialisation Scenarios'!$X$10,100*((COUNTIF('All Stats'!$G$6:$G$172,"&lt;"&amp;'All Stats'!G102)+(COUNTIF('All Stats'!$G$6:$G$172,'All Stats'!G102)-1)/2)/(COUNT('All Stats'!$G$6:$G$172)-1))^'Specialisation Scenarios'!$X$10,100*((COUNTIF('All Stats'!$I$6:$I$172,"&lt;"&amp;'All Stats'!I102)+(COUNTIF('All Stats'!$I$6:$I$172,'All Stats'!I102)-1)/2)/(COUNT('All Stats'!$I$6:$I$172)-1))^'Specialisation Scenarios'!$X$10))</x:f>
        <x:v>42.65824852860552</x:v>
      </x:c>
      <x:c r="D102" s="576" t="n">
        <x:f>IF($A102="","",AVERAGE(100*((COUNTIF('All Stats'!$R$6:$R$172,"&lt;"&amp;'All Stats'!R102)+(COUNTIF('All Stats'!$R$6:$R$172,'All Stats'!R102)-1)/2)/(COUNT('All Stats'!$R$6:$R$172)-1))^'Specialisation Scenarios'!$X$10,100*((COUNTIF('All Stats'!$U$6:$U$172,"&lt;"&amp;'All Stats'!U102)+(COUNTIF('All Stats'!$U$6:$U$172,'All Stats'!U102)-1)/2)/(COUNT('All Stats'!$U$6:$U$172)-1))^'Specialisation Scenarios'!$X$10,100*((COUNTIF('All Stats'!$W$6:$W$172,"&lt;"&amp;'All Stats'!W102)+(COUNTIF('All Stats'!$W$6:$W$172,'All Stats'!W102)-1)/2)/(COUNT('All Stats'!$W$6:$W$172)-1))^'Specialisation Scenarios'!$X$10))</x:f>
        <x:v>57.828613254079265</x:v>
      </x:c>
      <x:c r="E102" s="576" t="n">
        <x:f>IF($A102="","",AVERAGE(100*((COUNTIF('All Stats'!$Y$6:$Y$172,"&lt;"&amp;'All Stats'!Y102)+(COUNTIF('All Stats'!$Y$6:$Y$172,'All Stats'!Y102)-1)/2)/(COUNT('All Stats'!$Y$6:$Y$172)-1))^'Specialisation Scenarios'!$X$10,100*((COUNTIF('All Stats'!$AB$6:$AB$172,"&lt;"&amp;'All Stats'!AB102)+(COUNTIF('All Stats'!$AB$6:$AB$172,'All Stats'!AB102)-1)/2)/(COUNT('All Stats'!$AB$6:$AB$172)-1))^'Specialisation Scenarios'!$X$10,100*((COUNTIF('All Stats'!$AD$6:$AD$172,"&lt;"&amp;'All Stats'!AD102)+(COUNTIF('All Stats'!$AD$6:$AD$172,'All Stats'!AD102)-1)/2)/(COUNT('All Stats'!$AD$6:$AD$172)-1))^'Specialisation Scenarios'!$X$10))</x:f>
        <x:v>61.48954116629753</x:v>
      </x:c>
      <x:c r="F102" s="576" t="n">
        <x:f>IF($A102="","",AVERAGE(100*((COUNTIF('All Stats'!$AF$6:$AF$172,"&lt;"&amp;'All Stats'!AF102)+(COUNTIF('All Stats'!$AF$6:$AF$172,'All Stats'!AF102)-1)/2)/(COUNT('All Stats'!$AF$6:$AF$172)-1))^'Specialisation Scenarios'!$X$10,100*((COUNTIF('All Stats'!$AI$6:$AI$172,"&lt;"&amp;'All Stats'!AI102)+(COUNTIF('All Stats'!$AI$6:$AI$172,'All Stats'!AI102)-1)/2)/(COUNT('All Stats'!$AI$6:$AI$172)-1))^'Specialisation Scenarios'!$X$10,100*((COUNTIF('All Stats'!$AK$6:$AK$172,"&lt;"&amp;'All Stats'!AK102)+(COUNTIF('All Stats'!$AK$6:$AK$172,'All Stats'!AK102)-1)/2)/(COUNT('All Stats'!$AK$6:$AK$172)-1))^'Specialisation Scenarios'!$X$10))</x:f>
        <x:v>44.646984790168936</x:v>
      </x:c>
      <x:c r="G102" s="576" t="n">
        <x:f>IF($A102="","",C102*'Specialisation Scenarios'!$X$11+D102*'Specialisation Scenarios'!$X$12+E102*'Specialisation Scenarios'!$X$13+F102*'Specialisation Scenarios'!$X$14)</x:f>
        <x:v>53.94190706689348</x:v>
      </x:c>
      <x:c r="H102" s="576" t="str">
        <x:f>IF(SUMIFS('Specialisation Impact'!$E$19:$E$186,'Specialisation Impact'!$A$19:$A$186,A102,'Specialisation Impact'!$B$19:$B$186,B102)=0,"",SUMIFS('Specialisation Impact'!$S$19:$S$186,'Specialisation Impact'!$A$19:$A$186,A102,'Specialisation Impact'!$B$19:$B$186,B102))</x:f>
      </x:c>
      <x:c r="I102" s="580" t="n">
        <x:f>IF(SUMIFS('Specialisation Impact'!$E$19:$E$186,'Specialisation Impact'!$A$19:$A$186,A102,'Specialisation Impact'!$B$19:$B$186,B102)=0,0,SUMIFS('Specialisation Impact'!$F$19:$F$186,'Specialisation Impact'!$A$19:$A$186,A102,'Specialisation Impact'!$B$19:$B$186,B102))</x:f>
        <x:v>0</x:v>
      </x:c>
      <x:c r="J102" s="576" t="n">
        <x:f>G102</x:f>
        <x:v>53.94190706689348</x:v>
      </x:c>
      <x:c r="K102" s="576" t="n">
        <x:f>IF(G102="","",IF(I102=0,G102,MAX(0,MIN(100,G102*(1-'Specialisation Scenarios'!$B$8*I102)+H102*('Specialisation Scenarios'!$B$8*I102)))))</x:f>
        <x:v>53.94190706689348</x:v>
      </x:c>
      <x:c r="L102" s="576" t="n">
        <x:f>IF(G102="","",IF(I102=0,G102,MAX(0,MIN(100,G102*(1-'Specialisation Scenarios'!$B$9*I102)+H102*('Specialisation Scenarios'!$B$9*I102)))))</x:f>
        <x:v>53.94190706689348</x:v>
      </x:c>
      <x:c r="M102" s="576" t="str">
        <x:f>IF(COUNTIFS('Tank &amp; Control'!$A$23:$A$189,A102,'Tank &amp; Control'!$B$23:$B$189,B102,'Tank &amp; Control'!$C$23:$C$189,"Yes")&gt;0,"Yes","No")</x:f>
        <x:v>No</x:v>
      </x:c>
      <x:c r="N102" s="576" t="str">
        <x:f>IF(M102&lt;&gt;"Yes","",SUMIFS('Tank &amp; Control'!$L$23:$L$189,'Tank &amp; Control'!$A$23:$A$189,A102,'Tank &amp; Control'!$B$23:$B$189,B102))</x:f>
      </x:c>
      <x:c r="O102" s="576" t="str">
        <x:f>IF(SUMIFS('Specialisation Impact'!$M$19:$M$186,'Specialisation Impact'!$A$19:$A$186,A102,'Specialisation Impact'!$B$19:$B$186,B102)=0,"",SUMIFS('Specialisation Impact'!$V$19:$V$186,'Specialisation Impact'!$A$19:$A$186,A102,'Specialisation Impact'!$B$19:$B$186,B102))</x:f>
      </x:c>
      <x:c r="P102" s="576" t="str">
        <x:f>IF(N102="","",N102)</x:f>
      </x:c>
      <x:c r="Q102" s="576" t="str">
        <x:f>IF(N102="","",IF(AC102=0,N102,MAX(0,MIN(100,N102*(1-'Specialisation Scenarios'!$B$8*AC102)+O102*('Specialisation Scenarios'!$B$8*AC102)))))</x:f>
      </x:c>
      <x:c r="R102" s="576" t="str">
        <x:f>IF(N102="","",IF(AC102=0,N102,MAX(0,MIN(100,N102*(1-'Specialisation Scenarios'!$B$9*AC102)+O102*('Specialisation Scenarios'!$B$9*AC102)))))</x:f>
      </x:c>
      <x:c r="S102" s="584" t="n">
        <x:f>IF(J102="","",COUNTIFS($A$6:$A$172,A102,$J$6:$J$172,"&gt;"&amp;J102)+COUNTIFS($A$6:A102,A102,$J$6:J102,J102))</x:f>
        <x:v>4</x:v>
      </x:c>
      <x:c r="T102" s="584" t="n">
        <x:f>IF(K102="","",COUNTIFS($A$6:$A$172,A102,$K$6:$K$172,"&gt;"&amp;K102)+COUNTIFS($A$6:A102,A102,$K$6:K102,K102))</x:f>
        <x:v>5</x:v>
      </x:c>
      <x:c r="U102" s="584" t="n">
        <x:f>IF(L102="","",COUNTIFS($A$6:$A$172,A102,$L$6:$L$172,"&gt;"&amp;L102)+COUNTIFS($A$6:A102,A102,$L$6:L102,L102))</x:f>
        <x:v>6</x:v>
      </x:c>
      <x:c r="V102" s="584" t="str">
        <x:f>IF(P102="","",COUNTIFS($A$6:$A$172,A102,$P$6:$P$172,"&gt;"&amp;P102)+COUNTIFS($A$6:A102,A102,$P$6:P102,P102))</x:f>
      </x:c>
      <x:c r="W102" s="584" t="str">
        <x:f>IF(Q102="","",COUNTIFS($A$6:$A$172,A102,$Q$6:$Q$172,"&gt;"&amp;Q102)+COUNTIFS($A$6:A102,A102,$Q$6:Q102,Q102))</x:f>
      </x:c>
      <x:c r="X102" s="584" t="str">
        <x:f>IF(R102="","",COUNTIFS($A$6:$A$172,A102,$R$6:$R$172,"&gt;"&amp;R102)+COUNTIFS($A$6:A102,A102,$R$6:R102,R102))</x:f>
      </x:c>
      <x:c r="Y102" s="572" t="str">
        <x:f>IF(V102="","",A102&amp;"|"&amp;V102)</x:f>
      </x:c>
      <x:c r="Z102" s="572" t="str">
        <x:f>IF(W102="","",A102&amp;"|"&amp;W102)</x:f>
      </x:c>
      <x:c r="AA102" s="572" t="str">
        <x:f>IF(X102="","",A102&amp;"|"&amp;X102)</x:f>
      </x:c>
      <x:c r="AB102" s="572" t="str">
        <x:f>IF(A102="","",IF(I102=0,"Offense neutral — no recorded offensive skills",IF(I102&lt;1,"Partial lookup — adjustment scaled",IF(AND(M102="Yes",AC102=0),"Offense adjusted; Guard neutral","Captured"))))</x:f>
        <x:v>Offense neutral — no recorded offensive skills</x:v>
      </x:c>
      <x:c r="AC102" s="580" t="n">
        <x:f>IF(SUMIFS('Specialisation Impact'!$M$19:$M$186,'Specialisation Impact'!$A$19:$A$186,A102,'Specialisation Impact'!$B$19:$B$186,B102)=0,0,SUMIFS('Specialisation Impact'!$F$19:$F$186,'Specialisation Impact'!$A$19:$A$186,A102,'Specialisation Impact'!$B$19:$B$186,B102))</x:f>
        <x:v>0</x:v>
      </x:c>
    </x:row>
    <x:row r="103">
      <x:c r="A103" s="571" t="str">
        <x:v>K170</x:v>
      </x:c>
      <x:c r="B103" s="571" t="str">
        <x:v>(AOT)Panda</x:v>
      </x:c>
      <x:c r="C103" s="575" t="n">
        <x:f>IF($A103="","",AVERAGE(100*((COUNTIF('All Stats'!$D$6:$D$172,"&lt;"&amp;'All Stats'!D103)+(COUNTIF('All Stats'!$D$6:$D$172,'All Stats'!D103)-1)/2)/(COUNT('All Stats'!$D$6:$D$172)-1))^'Specialisation Scenarios'!$X$10,100*((COUNTIF('All Stats'!$G$6:$G$172,"&lt;"&amp;'All Stats'!G103)+(COUNTIF('All Stats'!$G$6:$G$172,'All Stats'!G103)-1)/2)/(COUNT('All Stats'!$G$6:$G$172)-1))^'Specialisation Scenarios'!$X$10,100*((COUNTIF('All Stats'!$I$6:$I$172,"&lt;"&amp;'All Stats'!I103)+(COUNTIF('All Stats'!$I$6:$I$172,'All Stats'!I103)-1)/2)/(COUNT('All Stats'!$I$6:$I$172)-1))^'Specialisation Scenarios'!$X$10))</x:f>
        <x:v>29.88191476646401</x:v>
      </x:c>
      <x:c r="D103" s="575" t="n">
        <x:f>IF($A103="","",AVERAGE(100*((COUNTIF('All Stats'!$R$6:$R$172,"&lt;"&amp;'All Stats'!R103)+(COUNTIF('All Stats'!$R$6:$R$172,'All Stats'!R103)-1)/2)/(COUNT('All Stats'!$R$6:$R$172)-1))^'Specialisation Scenarios'!$X$10,100*((COUNTIF('All Stats'!$U$6:$U$172,"&lt;"&amp;'All Stats'!U103)+(COUNTIF('All Stats'!$U$6:$U$172,'All Stats'!U103)-1)/2)/(COUNT('All Stats'!$U$6:$U$172)-1))^'Specialisation Scenarios'!$X$10,100*((COUNTIF('All Stats'!$W$6:$W$172,"&lt;"&amp;'All Stats'!W103)+(COUNTIF('All Stats'!$W$6:$W$172,'All Stats'!W103)-1)/2)/(COUNT('All Stats'!$W$6:$W$172)-1))^'Specialisation Scenarios'!$X$10))</x:f>
        <x:v>48.53394936065328</x:v>
      </x:c>
      <x:c r="E103" s="575" t="n">
        <x:f>IF($A103="","",AVERAGE(100*((COUNTIF('All Stats'!$Y$6:$Y$172,"&lt;"&amp;'All Stats'!Y103)+(COUNTIF('All Stats'!$Y$6:$Y$172,'All Stats'!Y103)-1)/2)/(COUNT('All Stats'!$Y$6:$Y$172)-1))^'Specialisation Scenarios'!$X$10,100*((COUNTIF('All Stats'!$AB$6:$AB$172,"&lt;"&amp;'All Stats'!AB103)+(COUNTIF('All Stats'!$AB$6:$AB$172,'All Stats'!AB103)-1)/2)/(COUNT('All Stats'!$AB$6:$AB$172)-1))^'Specialisation Scenarios'!$X$10,100*((COUNTIF('All Stats'!$AD$6:$AD$172,"&lt;"&amp;'All Stats'!AD103)+(COUNTIF('All Stats'!$AD$6:$AD$172,'All Stats'!AD103)-1)/2)/(COUNT('All Stats'!$AD$6:$AD$172)-1))^'Specialisation Scenarios'!$X$10))</x:f>
        <x:v>33.401229610734454</x:v>
      </x:c>
      <x:c r="F103" s="575" t="n">
        <x:f>IF($A103="","",AVERAGE(100*((COUNTIF('All Stats'!$AF$6:$AF$172,"&lt;"&amp;'All Stats'!AF103)+(COUNTIF('All Stats'!$AF$6:$AF$172,'All Stats'!AF103)-1)/2)/(COUNT('All Stats'!$AF$6:$AF$172)-1))^'Specialisation Scenarios'!$X$10,100*((COUNTIF('All Stats'!$AI$6:$AI$172,"&lt;"&amp;'All Stats'!AI103)+(COUNTIF('All Stats'!$AI$6:$AI$172,'All Stats'!AI103)-1)/2)/(COUNT('All Stats'!$AI$6:$AI$172)-1))^'Specialisation Scenarios'!$X$10,100*((COUNTIF('All Stats'!$AK$6:$AK$172,"&lt;"&amp;'All Stats'!AK103)+(COUNTIF('All Stats'!$AK$6:$AK$172,'All Stats'!AK103)-1)/2)/(COUNT('All Stats'!$AK$6:$AK$172)-1))^'Specialisation Scenarios'!$X$10))</x:f>
        <x:v>45.69869817409514</x:v>
      </x:c>
      <x:c r="G103" s="575" t="n">
        <x:f>IF($A103="","",C103*'Specialisation Scenarios'!$X$11+D103*'Specialisation Scenarios'!$X$12+E103*'Specialisation Scenarios'!$X$13+F103*'Specialisation Scenarios'!$X$14)</x:f>
        <x:v>43.79758451854929</x:v>
      </x:c>
      <x:c r="H103" s="575" t="n">
        <x:f>IF(SUMIFS('Specialisation Impact'!$E$19:$E$186,'Specialisation Impact'!$A$19:$A$186,A103,'Specialisation Impact'!$B$19:$B$186,B103)=0,"",SUMIFS('Specialisation Impact'!$S$19:$S$186,'Specialisation Impact'!$A$19:$A$186,A103,'Specialisation Impact'!$B$19:$B$186,B103))</x:f>
        <x:v>78.05194805194805</x:v>
      </x:c>
      <x:c r="I103" s="579" t="n">
        <x:f>IF(SUMIFS('Specialisation Impact'!$E$19:$E$186,'Specialisation Impact'!$A$19:$A$186,A103,'Specialisation Impact'!$B$19:$B$186,B103)=0,0,SUMIFS('Specialisation Impact'!$F$19:$F$186,'Specialisation Impact'!$A$19:$A$186,A103,'Specialisation Impact'!$B$19:$B$186,B103))</x:f>
        <x:v>1</x:v>
      </x:c>
      <x:c r="J103" s="575" t="n">
        <x:f>G103</x:f>
        <x:v>43.79758451854929</x:v>
      </x:c>
      <x:c r="K103" s="575" t="n">
        <x:f>IF(G103="","",IF(I103=0,G103,MAX(0,MIN(100,G103*(1-'Specialisation Scenarios'!$B$8*I103)+H103*('Specialisation Scenarios'!$B$8*I103)))))</x:f>
        <x:v>52.36117540189898</x:v>
      </x:c>
      <x:c r="L103" s="575" t="n">
        <x:f>IF(G103="","",IF(I103=0,G103,MAX(0,MIN(100,G103*(1-'Specialisation Scenarios'!$B$9*I103)+H103*('Specialisation Scenarios'!$B$9*I103)))))</x:f>
        <x:v>55.78661175523885</x:v>
      </x:c>
      <x:c r="M103" s="575" t="str">
        <x:f>IF(COUNTIFS('Tank &amp; Control'!$A$23:$A$189,A103,'Tank &amp; Control'!$B$23:$B$189,B103,'Tank &amp; Control'!$C$23:$C$189,"Yes")&gt;0,"Yes","No")</x:f>
        <x:v>Yes</x:v>
      </x:c>
      <x:c r="N103" s="575" t="n">
        <x:f>IF(M103&lt;&gt;"Yes","",SUMIFS('Tank &amp; Control'!$L$23:$L$189,'Tank &amp; Control'!$A$23:$A$189,A103,'Tank &amp; Control'!$B$23:$B$189,B103))</x:f>
        <x:v>12.178953136464155</x:v>
      </x:c>
      <x:c r="O103" s="575" t="n">
        <x:f>IF(SUMIFS('Specialisation Impact'!$M$19:$M$186,'Specialisation Impact'!$A$19:$A$186,A103,'Specialisation Impact'!$B$19:$B$186,B103)=0,"",SUMIFS('Specialisation Impact'!$V$19:$V$186,'Specialisation Impact'!$A$19:$A$186,A103,'Specialisation Impact'!$B$19:$B$186,B103))</x:f>
        <x:v>93.16239316239316</x:v>
      </x:c>
      <x:c r="P103" s="575" t="n">
        <x:f>IF(N103="","",N103)</x:f>
        <x:v>12.178953136464155</x:v>
      </x:c>
      <x:c r="Q103" s="575" t="n">
        <x:f>IF(N103="","",IF(AC103=0,N103,MAX(0,MIN(100,N103*(1-'Specialisation Scenarios'!$B$8*AC103)+O103*('Specialisation Scenarios'!$B$8*AC103)))))</x:f>
        <x:v>32.424813142946405</x:v>
      </x:c>
      <x:c r="R103" s="575" t="n">
        <x:f>IF(N103="","",IF(AC103=0,N103,MAX(0,MIN(100,N103*(1-'Specialisation Scenarios'!$B$9*AC103)+O103*('Specialisation Scenarios'!$B$9*AC103)))))</x:f>
        <x:v>40.5231571455393</x:v>
      </x:c>
      <x:c r="S103" s="583" t="n">
        <x:f>IF(J103="","",COUNTIFS($A$6:$A$172,A103,$J$6:$J$172,"&gt;"&amp;J103)+COUNTIFS($A$6:A103,A103,$J$6:J103,J103))</x:f>
        <x:v>9</x:v>
      </x:c>
      <x:c r="T103" s="583" t="n">
        <x:f>IF(K103="","",COUNTIFS($A$6:$A$172,A103,$K$6:$K$172,"&gt;"&amp;K103)+COUNTIFS($A$6:A103,A103,$K$6:K103,K103))</x:f>
        <x:v>7</x:v>
      </x:c>
      <x:c r="U103" s="583" t="n">
        <x:f>IF(L103="","",COUNTIFS($A$6:$A$172,A103,$L$6:$L$172,"&gt;"&amp;L103)+COUNTIFS($A$6:A103,A103,$L$6:L103,L103))</x:f>
        <x:v>5</x:v>
      </x:c>
      <x:c r="V103" s="583" t="n">
        <x:f>IF(P103="","",COUNTIFS($A$6:$A$172,A103,$P$6:$P$172,"&gt;"&amp;P103)+COUNTIFS($A$6:A103,A103,$P$6:P103,P103))</x:f>
        <x:v>3</x:v>
      </x:c>
      <x:c r="W103" s="583" t="n">
        <x:f>IF(Q103="","",COUNTIFS($A$6:$A$172,A103,$Q$6:$Q$172,"&gt;"&amp;Q103)+COUNTIFS($A$6:A103,A103,$Q$6:Q103,Q103))</x:f>
        <x:v>2</x:v>
      </x:c>
      <x:c r="X103" s="583" t="n">
        <x:f>IF(R103="","",COUNTIFS($A$6:$A$172,A103,$R$6:$R$172,"&gt;"&amp;R103)+COUNTIFS($A$6:A103,A103,$R$6:R103,R103))</x:f>
        <x:v>2</x:v>
      </x:c>
      <x:c r="Y103" s="571" t="str">
        <x:f>IF(V103="","",A103&amp;"|"&amp;V103)</x:f>
        <x:v>K170|3</x:v>
      </x:c>
      <x:c r="Z103" s="571" t="str">
        <x:f>IF(W103="","",A103&amp;"|"&amp;W103)</x:f>
        <x:v>K170|2</x:v>
      </x:c>
      <x:c r="AA103" s="571" t="str">
        <x:f>IF(X103="","",A103&amp;"|"&amp;X103)</x:f>
        <x:v>K170|2</x:v>
      </x:c>
      <x:c r="AB103" s="571" t="str">
        <x:f>IF(A103="","",IF(I103=0,"Offense neutral — no recorded offensive skills",IF(I103&lt;1,"Partial lookup — adjustment scaled",IF(AND(M103="Yes",AC103=0),"Offense adjusted; Guard neutral","Captured"))))</x:f>
        <x:v>Captured</x:v>
      </x:c>
      <x:c r="AC103" s="579" t="n">
        <x:f>IF(SUMIFS('Specialisation Impact'!$M$19:$M$186,'Specialisation Impact'!$A$19:$A$186,A103,'Specialisation Impact'!$B$19:$B$186,B103)=0,0,SUMIFS('Specialisation Impact'!$F$19:$F$186,'Specialisation Impact'!$A$19:$A$186,A103,'Specialisation Impact'!$B$19:$B$186,B103))</x:f>
        <x:v>1</x:v>
      </x:c>
    </x:row>
    <x:row r="104">
      <x:c r="A104" s="572" t="str">
        <x:v>K170</x:v>
      </x:c>
      <x:c r="B104" s="572" t="str">
        <x:v>(AOT)StFruz</x:v>
      </x:c>
      <x:c r="C104" s="576" t="n">
        <x:f>IF($A104="","",AVERAGE(100*((COUNTIF('All Stats'!$D$6:$D$172,"&lt;"&amp;'All Stats'!D104)+(COUNTIF('All Stats'!$D$6:$D$172,'All Stats'!D104)-1)/2)/(COUNT('All Stats'!$D$6:$D$172)-1))^'Specialisation Scenarios'!$X$10,100*((COUNTIF('All Stats'!$G$6:$G$172,"&lt;"&amp;'All Stats'!G104)+(COUNTIF('All Stats'!$G$6:$G$172,'All Stats'!G104)-1)/2)/(COUNT('All Stats'!$G$6:$G$172)-1))^'Specialisation Scenarios'!$X$10,100*((COUNTIF('All Stats'!$I$6:$I$172,"&lt;"&amp;'All Stats'!I104)+(COUNTIF('All Stats'!$I$6:$I$172,'All Stats'!I104)-1)/2)/(COUNT('All Stats'!$I$6:$I$172)-1))^'Specialisation Scenarios'!$X$10))</x:f>
        <x:v>32.034337704707596</x:v>
      </x:c>
      <x:c r="D104" s="576" t="n">
        <x:f>IF($A104="","",AVERAGE(100*((COUNTIF('All Stats'!$R$6:$R$172,"&lt;"&amp;'All Stats'!R104)+(COUNTIF('All Stats'!$R$6:$R$172,'All Stats'!R104)-1)/2)/(COUNT('All Stats'!$R$6:$R$172)-1))^'Specialisation Scenarios'!$X$10,100*((COUNTIF('All Stats'!$U$6:$U$172,"&lt;"&amp;'All Stats'!U104)+(COUNTIF('All Stats'!$U$6:$U$172,'All Stats'!U104)-1)/2)/(COUNT('All Stats'!$U$6:$U$172)-1))^'Specialisation Scenarios'!$X$10,100*((COUNTIF('All Stats'!$W$6:$W$172,"&lt;"&amp;'All Stats'!W104)+(COUNTIF('All Stats'!$W$6:$W$172,'All Stats'!W104)-1)/2)/(COUNT('All Stats'!$W$6:$W$172)-1))^'Specialisation Scenarios'!$X$10))</x:f>
        <x:v>55.05988699791241</x:v>
      </x:c>
      <x:c r="E104" s="576" t="n">
        <x:f>IF($A104="","",AVERAGE(100*((COUNTIF('All Stats'!$Y$6:$Y$172,"&lt;"&amp;'All Stats'!Y104)+(COUNTIF('All Stats'!$Y$6:$Y$172,'All Stats'!Y104)-1)/2)/(COUNT('All Stats'!$Y$6:$Y$172)-1))^'Specialisation Scenarios'!$X$10,100*((COUNTIF('All Stats'!$AB$6:$AB$172,"&lt;"&amp;'All Stats'!AB104)+(COUNTIF('All Stats'!$AB$6:$AB$172,'All Stats'!AB104)-1)/2)/(COUNT('All Stats'!$AB$6:$AB$172)-1))^'Specialisation Scenarios'!$X$10,100*((COUNTIF('All Stats'!$AD$6:$AD$172,"&lt;"&amp;'All Stats'!AD104)+(COUNTIF('All Stats'!$AD$6:$AD$172,'All Stats'!AD104)-1)/2)/(COUNT('All Stats'!$AD$6:$AD$172)-1))^'Specialisation Scenarios'!$X$10))</x:f>
        <x:v>66.3214021395412</x:v>
      </x:c>
      <x:c r="F104" s="576" t="n">
        <x:f>IF($A104="","",AVERAGE(100*((COUNTIF('All Stats'!$AF$6:$AF$172,"&lt;"&amp;'All Stats'!AF104)+(COUNTIF('All Stats'!$AF$6:$AF$172,'All Stats'!AF104)-1)/2)/(COUNT('All Stats'!$AF$6:$AF$172)-1))^'Specialisation Scenarios'!$X$10,100*((COUNTIF('All Stats'!$AI$6:$AI$172,"&lt;"&amp;'All Stats'!AI104)+(COUNTIF('All Stats'!$AI$6:$AI$172,'All Stats'!AI104)-1)/2)/(COUNT('All Stats'!$AI$6:$AI$172)-1))^'Specialisation Scenarios'!$X$10,100*((COUNTIF('All Stats'!$AK$6:$AK$172,"&lt;"&amp;'All Stats'!AK104)+(COUNTIF('All Stats'!$AK$6:$AK$172,'All Stats'!AK104)-1)/2)/(COUNT('All Stats'!$AK$6:$AK$172)-1))^'Specialisation Scenarios'!$X$10))</x:f>
        <x:v>71.17604153788257</x:v>
      </x:c>
      <x:c r="G104" s="576" t="n">
        <x:f>IF($A104="","",C104*'Specialisation Scenarios'!$X$11+D104*'Specialisation Scenarios'!$X$12+E104*'Specialisation Scenarios'!$X$13+F104*'Specialisation Scenarios'!$X$14)</x:f>
        <x:v>55.149629299090094</x:v>
      </x:c>
      <x:c r="H104" s="576" t="n">
        <x:f>IF(SUMIFS('Specialisation Impact'!$E$19:$E$186,'Specialisation Impact'!$A$19:$A$186,A104,'Specialisation Impact'!$B$19:$B$186,B104)=0,"",SUMIFS('Specialisation Impact'!$S$19:$S$186,'Specialisation Impact'!$A$19:$A$186,A104,'Specialisation Impact'!$B$19:$B$186,B104))</x:f>
        <x:v>71.29870129870129</x:v>
      </x:c>
      <x:c r="I104" s="580" t="n">
        <x:f>IF(SUMIFS('Specialisation Impact'!$E$19:$E$186,'Specialisation Impact'!$A$19:$A$186,A104,'Specialisation Impact'!$B$19:$B$186,B104)=0,0,SUMIFS('Specialisation Impact'!$F$19:$F$186,'Specialisation Impact'!$A$19:$A$186,A104,'Specialisation Impact'!$B$19:$B$186,B104))</x:f>
        <x:v>1</x:v>
      </x:c>
      <x:c r="J104" s="576" t="n">
        <x:f>G104</x:f>
        <x:v>55.149629299090094</x:v>
      </x:c>
      <x:c r="K104" s="576" t="n">
        <x:f>IF(G104="","",IF(I104=0,G104,MAX(0,MIN(100,G104*(1-'Specialisation Scenarios'!$B$8*I104)+H104*('Specialisation Scenarios'!$B$8*I104)))))</x:f>
        <x:v>59.18689729899289</x:v>
      </x:c>
      <x:c r="L104" s="576" t="n">
        <x:f>IF(G104="","",IF(I104=0,G104,MAX(0,MIN(100,G104*(1-'Specialisation Scenarios'!$B$9*I104)+H104*('Specialisation Scenarios'!$B$9*I104)))))</x:f>
        <x:v>60.80180449895401</x:v>
      </x:c>
      <x:c r="M104" s="576" t="str">
        <x:f>IF(COUNTIFS('Tank &amp; Control'!$A$23:$A$189,A104,'Tank &amp; Control'!$B$23:$B$189,B104,'Tank &amp; Control'!$C$23:$C$189,"Yes")&gt;0,"Yes","No")</x:f>
        <x:v>No</x:v>
      </x:c>
      <x:c r="N104" s="576" t="str">
        <x:f>IF(M104&lt;&gt;"Yes","",SUMIFS('Tank &amp; Control'!$L$23:$L$189,'Tank &amp; Control'!$A$23:$A$189,A104,'Tank &amp; Control'!$B$23:$B$189,B104))</x:f>
      </x:c>
      <x:c r="O104" s="576" t="str">
        <x:f>IF(SUMIFS('Specialisation Impact'!$M$19:$M$186,'Specialisation Impact'!$A$19:$A$186,A104,'Specialisation Impact'!$B$19:$B$186,B104)=0,"",SUMIFS('Specialisation Impact'!$V$19:$V$186,'Specialisation Impact'!$A$19:$A$186,A104,'Specialisation Impact'!$B$19:$B$186,B104))</x:f>
      </x:c>
      <x:c r="P104" s="576" t="str">
        <x:f>IF(N104="","",N104)</x:f>
      </x:c>
      <x:c r="Q104" s="576" t="str">
        <x:f>IF(N104="","",IF(AC104=0,N104,MAX(0,MIN(100,N104*(1-'Specialisation Scenarios'!$B$8*AC104)+O104*('Specialisation Scenarios'!$B$8*AC104)))))</x:f>
      </x:c>
      <x:c r="R104" s="576" t="str">
        <x:f>IF(N104="","",IF(AC104=0,N104,MAX(0,MIN(100,N104*(1-'Specialisation Scenarios'!$B$9*AC104)+O104*('Specialisation Scenarios'!$B$9*AC104)))))</x:f>
      </x:c>
      <x:c r="S104" s="584" t="n">
        <x:f>IF(J104="","",COUNTIFS($A$6:$A$172,A104,$J$6:$J$172,"&gt;"&amp;J104)+COUNTIFS($A$6:A104,A104,$J$6:J104,J104))</x:f>
        <x:v>3</x:v>
      </x:c>
      <x:c r="T104" s="584" t="n">
        <x:f>IF(K104="","",COUNTIFS($A$6:$A$172,A104,$K$6:$K$172,"&gt;"&amp;K104)+COUNTIFS($A$6:A104,A104,$K$6:K104,K104))</x:f>
        <x:v>2</x:v>
      </x:c>
      <x:c r="U104" s="584" t="n">
        <x:f>IF(L104="","",COUNTIFS($A$6:$A$172,A104,$L$6:$L$172,"&gt;"&amp;L104)+COUNTIFS($A$6:A104,A104,$L$6:L104,L104))</x:f>
        <x:v>2</x:v>
      </x:c>
      <x:c r="V104" s="584" t="str">
        <x:f>IF(P104="","",COUNTIFS($A$6:$A$172,A104,$P$6:$P$172,"&gt;"&amp;P104)+COUNTIFS($A$6:A104,A104,$P$6:P104,P104))</x:f>
      </x:c>
      <x:c r="W104" s="584" t="str">
        <x:f>IF(Q104="","",COUNTIFS($A$6:$A$172,A104,$Q$6:$Q$172,"&gt;"&amp;Q104)+COUNTIFS($A$6:A104,A104,$Q$6:Q104,Q104))</x:f>
      </x:c>
      <x:c r="X104" s="584" t="str">
        <x:f>IF(R104="","",COUNTIFS($A$6:$A$172,A104,$R$6:$R$172,"&gt;"&amp;R104)+COUNTIFS($A$6:A104,A104,$R$6:R104,R104))</x:f>
      </x:c>
      <x:c r="Y104" s="572" t="str">
        <x:f>IF(V104="","",A104&amp;"|"&amp;V104)</x:f>
      </x:c>
      <x:c r="Z104" s="572" t="str">
        <x:f>IF(W104="","",A104&amp;"|"&amp;W104)</x:f>
      </x:c>
      <x:c r="AA104" s="572" t="str">
        <x:f>IF(X104="","",A104&amp;"|"&amp;X104)</x:f>
      </x:c>
      <x:c r="AB104" s="572" t="str">
        <x:f>IF(A104="","",IF(I104=0,"Offense neutral — no recorded offensive skills",IF(I104&lt;1,"Partial lookup — adjustment scaled",IF(AND(M104="Yes",AC104=0),"Offense adjusted; Guard neutral","Captured"))))</x:f>
        <x:v>Captured</x:v>
      </x:c>
      <x:c r="AC104" s="580" t="n">
        <x:f>IF(SUMIFS('Specialisation Impact'!$M$19:$M$186,'Specialisation Impact'!$A$19:$A$186,A104,'Specialisation Impact'!$B$19:$B$186,B104)=0,0,SUMIFS('Specialisation Impact'!$F$19:$F$186,'Specialisation Impact'!$A$19:$A$186,A104,'Specialisation Impact'!$B$19:$B$186,B104))</x:f>
        <x:v>0</x:v>
      </x:c>
    </x:row>
    <x:row r="105">
      <x:c r="A105" s="571" t="str">
        <x:v>K170</x:v>
      </x:c>
      <x:c r="B105" s="571" t="str">
        <x:v>(AOT)WeleS</x:v>
      </x:c>
      <x:c r="C105" s="575" t="n">
        <x:f>IF($A105="","",AVERAGE(100*((COUNTIF('All Stats'!$D$6:$D$172,"&lt;"&amp;'All Stats'!D105)+(COUNTIF('All Stats'!$D$6:$D$172,'All Stats'!D105)-1)/2)/(COUNT('All Stats'!$D$6:$D$172)-1))^'Specialisation Scenarios'!$X$10,100*((COUNTIF('All Stats'!$G$6:$G$172,"&lt;"&amp;'All Stats'!G105)+(COUNTIF('All Stats'!$G$6:$G$172,'All Stats'!G105)-1)/2)/(COUNT('All Stats'!$G$6:$G$172)-1))^'Specialisation Scenarios'!$X$10,100*((COUNTIF('All Stats'!$I$6:$I$172,"&lt;"&amp;'All Stats'!I105)+(COUNTIF('All Stats'!$I$6:$I$172,'All Stats'!I105)-1)/2)/(COUNT('All Stats'!$I$6:$I$172)-1))^'Specialisation Scenarios'!$X$10))</x:f>
        <x:v>58.56713965662026</x:v>
      </x:c>
      <x:c r="D105" s="575" t="n">
        <x:f>IF($A105="","",AVERAGE(100*((COUNTIF('All Stats'!$R$6:$R$172,"&lt;"&amp;'All Stats'!R105)+(COUNTIF('All Stats'!$R$6:$R$172,'All Stats'!R105)-1)/2)/(COUNT('All Stats'!$R$6:$R$172)-1))^'Specialisation Scenarios'!$X$10,100*((COUNTIF('All Stats'!$U$6:$U$172,"&lt;"&amp;'All Stats'!U105)+(COUNTIF('All Stats'!$U$6:$U$172,'All Stats'!U105)-1)/2)/(COUNT('All Stats'!$U$6:$U$172)-1))^'Specialisation Scenarios'!$X$10,100*((COUNTIF('All Stats'!$W$6:$W$172,"&lt;"&amp;'All Stats'!W105)+(COUNTIF('All Stats'!$W$6:$W$172,'All Stats'!W105)-1)/2)/(COUNT('All Stats'!$W$6:$W$172)-1))^'Specialisation Scenarios'!$X$10))</x:f>
        <x:v>16.249917586711863</x:v>
      </x:c>
      <x:c r="E105" s="575" t="n">
        <x:f>IF($A105="","",AVERAGE(100*((COUNTIF('All Stats'!$Y$6:$Y$172,"&lt;"&amp;'All Stats'!Y105)+(COUNTIF('All Stats'!$Y$6:$Y$172,'All Stats'!Y105)-1)/2)/(COUNT('All Stats'!$Y$6:$Y$172)-1))^'Specialisation Scenarios'!$X$10,100*((COUNTIF('All Stats'!$AB$6:$AB$172,"&lt;"&amp;'All Stats'!AB105)+(COUNTIF('All Stats'!$AB$6:$AB$172,'All Stats'!AB105)-1)/2)/(COUNT('All Stats'!$AB$6:$AB$172)-1))^'Specialisation Scenarios'!$X$10,100*((COUNTIF('All Stats'!$AD$6:$AD$172,"&lt;"&amp;'All Stats'!AD105)+(COUNTIF('All Stats'!$AD$6:$AD$172,'All Stats'!AD105)-1)/2)/(COUNT('All Stats'!$AD$6:$AD$172)-1))^'Specialisation Scenarios'!$X$10))</x:f>
        <x:v>68.4143363790085</x:v>
      </x:c>
      <x:c r="F105" s="575" t="n">
        <x:f>IF($A105="","",AVERAGE(100*((COUNTIF('All Stats'!$AF$6:$AF$172,"&lt;"&amp;'All Stats'!AF105)+(COUNTIF('All Stats'!$AF$6:$AF$172,'All Stats'!AF105)-1)/2)/(COUNT('All Stats'!$AF$6:$AF$172)-1))^'Specialisation Scenarios'!$X$10,100*((COUNTIF('All Stats'!$AI$6:$AI$172,"&lt;"&amp;'All Stats'!AI105)+(COUNTIF('All Stats'!$AI$6:$AI$172,'All Stats'!AI105)-1)/2)/(COUNT('All Stats'!$AI$6:$AI$172)-1))^'Specialisation Scenarios'!$X$10,100*((COUNTIF('All Stats'!$AK$6:$AK$172,"&lt;"&amp;'All Stats'!AK105)+(COUNTIF('All Stats'!$AK$6:$AK$172,'All Stats'!AK105)-1)/2)/(COUNT('All Stats'!$AK$6:$AK$172)-1))^'Specialisation Scenarios'!$X$10))</x:f>
        <x:v>58.36718716556643</x:v>
      </x:c>
      <x:c r="G105" s="575" t="n">
        <x:f>IF($A105="","",C105*'Specialisation Scenarios'!$X$11+D105*'Specialisation Scenarios'!$X$12+E105*'Specialisation Scenarios'!$X$13+F105*'Specialisation Scenarios'!$X$14)</x:f>
        <x:v>34.13153321325597</x:v>
      </x:c>
      <x:c r="H105" s="575" t="n">
        <x:f>IF(SUMIFS('Specialisation Impact'!$E$19:$E$186,'Specialisation Impact'!$A$19:$A$186,A105,'Specialisation Impact'!$B$19:$B$186,B105)=0,"",SUMIFS('Specialisation Impact'!$S$19:$S$186,'Specialisation Impact'!$A$19:$A$186,A105,'Specialisation Impact'!$B$19:$B$186,B105))</x:f>
        <x:v>60.3896103896104</x:v>
      </x:c>
      <x:c r="I105" s="579" t="n">
        <x:f>IF(SUMIFS('Specialisation Impact'!$E$19:$E$186,'Specialisation Impact'!$A$19:$A$186,A105,'Specialisation Impact'!$B$19:$B$186,B105)=0,0,SUMIFS('Specialisation Impact'!$F$19:$F$186,'Specialisation Impact'!$A$19:$A$186,A105,'Specialisation Impact'!$B$19:$B$186,B105))</x:f>
        <x:v>1</x:v>
      </x:c>
      <x:c r="J105" s="575" t="n">
        <x:f>G105</x:f>
        <x:v>34.13153321325597</x:v>
      </x:c>
      <x:c r="K105" s="575" t="n">
        <x:f>IF(G105="","",IF(I105=0,G105,MAX(0,MIN(100,G105*(1-'Specialisation Scenarios'!$B$8*I105)+H105*('Specialisation Scenarios'!$B$8*I105)))))</x:f>
        <x:v>40.696052507344575</x:v>
      </x:c>
      <x:c r="L105" s="575" t="n">
        <x:f>IF(G105="","",IF(I105=0,G105,MAX(0,MIN(100,G105*(1-'Specialisation Scenarios'!$B$9*I105)+H105*('Specialisation Scenarios'!$B$9*I105)))))</x:f>
        <x:v>43.321860224980014</x:v>
      </x:c>
      <x:c r="M105" s="575" t="str">
        <x:f>IF(COUNTIFS('Tank &amp; Control'!$A$23:$A$189,A105,'Tank &amp; Control'!$B$23:$B$189,B105,'Tank &amp; Control'!$C$23:$C$189,"Yes")&gt;0,"Yes","No")</x:f>
        <x:v>No</x:v>
      </x:c>
      <x:c r="N105" s="575" t="str">
        <x:f>IF(M105&lt;&gt;"Yes","",SUMIFS('Tank &amp; Control'!$L$23:$L$189,'Tank &amp; Control'!$A$23:$A$189,A105,'Tank &amp; Control'!$B$23:$B$189,B105))</x:f>
      </x:c>
      <x:c r="O105" s="575" t="n">
        <x:f>IF(SUMIFS('Specialisation Impact'!$M$19:$M$186,'Specialisation Impact'!$A$19:$A$186,A105,'Specialisation Impact'!$B$19:$B$186,B105)=0,"",SUMIFS('Specialisation Impact'!$V$19:$V$186,'Specialisation Impact'!$A$19:$A$186,A105,'Specialisation Impact'!$B$19:$B$186,B105))</x:f>
        <x:v>79.91452991452991</x:v>
      </x:c>
      <x:c r="P105" s="575" t="str">
        <x:f>IF(N105="","",N105)</x:f>
      </x:c>
      <x:c r="Q105" s="575" t="str">
        <x:f>IF(N105="","",IF(AC105=0,N105,MAX(0,MIN(100,N105*(1-'Specialisation Scenarios'!$B$8*AC105)+O105*('Specialisation Scenarios'!$B$8*AC105)))))</x:f>
      </x:c>
      <x:c r="R105" s="575" t="str">
        <x:f>IF(N105="","",IF(AC105=0,N105,MAX(0,MIN(100,N105*(1-'Specialisation Scenarios'!$B$9*AC105)+O105*('Specialisation Scenarios'!$B$9*AC105)))))</x:f>
      </x:c>
      <x:c r="S105" s="583" t="n">
        <x:f>IF(J105="","",COUNTIFS($A$6:$A$172,A105,$J$6:$J$172,"&gt;"&amp;J105)+COUNTIFS($A$6:A105,A105,$J$6:J105,J105))</x:f>
        <x:v>12</x:v>
      </x:c>
      <x:c r="T105" s="583" t="n">
        <x:f>IF(K105="","",COUNTIFS($A$6:$A$172,A105,$K$6:$K$172,"&gt;"&amp;K105)+COUNTIFS($A$6:A105,A105,$K$6:K105,K105))</x:f>
        <x:v>12</x:v>
      </x:c>
      <x:c r="U105" s="583" t="n">
        <x:f>IF(L105="","",COUNTIFS($A$6:$A$172,A105,$L$6:$L$172,"&gt;"&amp;L105)+COUNTIFS($A$6:A105,A105,$L$6:L105,L105))</x:f>
        <x:v>12</x:v>
      </x:c>
      <x:c r="V105" s="583" t="str">
        <x:f>IF(P105="","",COUNTIFS($A$6:$A$172,A105,$P$6:$P$172,"&gt;"&amp;P105)+COUNTIFS($A$6:A105,A105,$P$6:P105,P105))</x:f>
      </x:c>
      <x:c r="W105" s="583" t="str">
        <x:f>IF(Q105="","",COUNTIFS($A$6:$A$172,A105,$Q$6:$Q$172,"&gt;"&amp;Q105)+COUNTIFS($A$6:A105,A105,$Q$6:Q105,Q105))</x:f>
      </x:c>
      <x:c r="X105" s="583" t="str">
        <x:f>IF(R105="","",COUNTIFS($A$6:$A$172,A105,$R$6:$R$172,"&gt;"&amp;R105)+COUNTIFS($A$6:A105,A105,$R$6:R105,R105))</x:f>
      </x:c>
      <x:c r="Y105" s="571" t="str">
        <x:f>IF(V105="","",A105&amp;"|"&amp;V105)</x:f>
      </x:c>
      <x:c r="Z105" s="571" t="str">
        <x:f>IF(W105="","",A105&amp;"|"&amp;W105)</x:f>
      </x:c>
      <x:c r="AA105" s="571" t="str">
        <x:f>IF(X105="","",A105&amp;"|"&amp;X105)</x:f>
      </x:c>
      <x:c r="AB105" s="571" t="str">
        <x:f>IF(A105="","",IF(I105=0,"Offense neutral — no recorded offensive skills",IF(I105&lt;1,"Partial lookup — adjustment scaled",IF(AND(M105="Yes",AC105=0),"Offense adjusted; Guard neutral","Captured"))))</x:f>
        <x:v>Captured</x:v>
      </x:c>
      <x:c r="AC105" s="579" t="n">
        <x:f>IF(SUMIFS('Specialisation Impact'!$M$19:$M$186,'Specialisation Impact'!$A$19:$A$186,A105,'Specialisation Impact'!$B$19:$B$186,B105)=0,0,SUMIFS('Specialisation Impact'!$F$19:$F$186,'Specialisation Impact'!$A$19:$A$186,A105,'Specialisation Impact'!$B$19:$B$186,B105))</x:f>
        <x:v>1</x:v>
      </x:c>
    </x:row>
    <x:row r="106">
      <x:c r="A106" s="572" t="str">
        <x:v>K170</x:v>
      </x:c>
      <x:c r="B106" s="572" t="str">
        <x:v>(AOT)Doctopussy</x:v>
      </x:c>
      <x:c r="C106" s="576" t="n">
        <x:f>IF($A106="","",AVERAGE(100*((COUNTIF('All Stats'!$D$6:$D$172,"&lt;"&amp;'All Stats'!D106)+(COUNTIF('All Stats'!$D$6:$D$172,'All Stats'!D106)-1)/2)/(COUNT('All Stats'!$D$6:$D$172)-1))^'Specialisation Scenarios'!$X$10,100*((COUNTIF('All Stats'!$G$6:$G$172,"&lt;"&amp;'All Stats'!G106)+(COUNTIF('All Stats'!$G$6:$G$172,'All Stats'!G106)-1)/2)/(COUNT('All Stats'!$G$6:$G$172)-1))^'Specialisation Scenarios'!$X$10,100*((COUNTIF('All Stats'!$I$6:$I$172,"&lt;"&amp;'All Stats'!I106)+(COUNTIF('All Stats'!$I$6:$I$172,'All Stats'!I106)-1)/2)/(COUNT('All Stats'!$I$6:$I$172)-1))^'Specialisation Scenarios'!$X$10))</x:f>
        <x:v>38.372510911002216</x:v>
      </x:c>
      <x:c r="D106" s="576" t="n">
        <x:f>IF($A106="","",AVERAGE(100*((COUNTIF('All Stats'!$R$6:$R$172,"&lt;"&amp;'All Stats'!R106)+(COUNTIF('All Stats'!$R$6:$R$172,'All Stats'!R106)-1)/2)/(COUNT('All Stats'!$R$6:$R$172)-1))^'Specialisation Scenarios'!$X$10,100*((COUNTIF('All Stats'!$U$6:$U$172,"&lt;"&amp;'All Stats'!U106)+(COUNTIF('All Stats'!$U$6:$U$172,'All Stats'!U106)-1)/2)/(COUNT('All Stats'!$U$6:$U$172)-1))^'Specialisation Scenarios'!$X$10,100*((COUNTIF('All Stats'!$W$6:$W$172,"&lt;"&amp;'All Stats'!W106)+(COUNTIF('All Stats'!$W$6:$W$172,'All Stats'!W106)-1)/2)/(COUNT('All Stats'!$W$6:$W$172)-1))^'Specialisation Scenarios'!$X$10))</x:f>
        <x:v>46.880761643791296</x:v>
      </x:c>
      <x:c r="E106" s="576" t="n">
        <x:f>IF($A106="","",AVERAGE(100*((COUNTIF('All Stats'!$Y$6:$Y$172,"&lt;"&amp;'All Stats'!Y106)+(COUNTIF('All Stats'!$Y$6:$Y$172,'All Stats'!Y106)-1)/2)/(COUNT('All Stats'!$Y$6:$Y$172)-1))^'Specialisation Scenarios'!$X$10,100*((COUNTIF('All Stats'!$AB$6:$AB$172,"&lt;"&amp;'All Stats'!AB106)+(COUNTIF('All Stats'!$AB$6:$AB$172,'All Stats'!AB106)-1)/2)/(COUNT('All Stats'!$AB$6:$AB$172)-1))^'Specialisation Scenarios'!$X$10,100*((COUNTIF('All Stats'!$AD$6:$AD$172,"&lt;"&amp;'All Stats'!AD106)+(COUNTIF('All Stats'!$AD$6:$AD$172,'All Stats'!AD106)-1)/2)/(COUNT('All Stats'!$AD$6:$AD$172)-1))^'Specialisation Scenarios'!$X$10))</x:f>
        <x:v>64.42961734424334</x:v>
      </x:c>
      <x:c r="F106" s="576" t="n">
        <x:f>IF($A106="","",AVERAGE(100*((COUNTIF('All Stats'!$AF$6:$AF$172,"&lt;"&amp;'All Stats'!AF106)+(COUNTIF('All Stats'!$AF$6:$AF$172,'All Stats'!AF106)-1)/2)/(COUNT('All Stats'!$AF$6:$AF$172)-1))^'Specialisation Scenarios'!$X$10,100*((COUNTIF('All Stats'!$AI$6:$AI$172,"&lt;"&amp;'All Stats'!AI106)+(COUNTIF('All Stats'!$AI$6:$AI$172,'All Stats'!AI106)-1)/2)/(COUNT('All Stats'!$AI$6:$AI$172)-1))^'Specialisation Scenarios'!$X$10,100*((COUNTIF('All Stats'!$AK$6:$AK$172,"&lt;"&amp;'All Stats'!AK106)+(COUNTIF('All Stats'!$AK$6:$AK$172,'All Stats'!AK106)-1)/2)/(COUNT('All Stats'!$AK$6:$AK$172)-1))^'Specialisation Scenarios'!$X$10))</x:f>
        <x:v>39.76534195461999</x:v>
      </x:c>
      <x:c r="G106" s="576" t="n">
        <x:f>IF($A106="","",C106*'Specialisation Scenarios'!$X$11+D106*'Specialisation Scenarios'!$X$12+E106*'Specialisation Scenarios'!$X$13+F106*'Specialisation Scenarios'!$X$14)</x:f>
        <x:v>46.29209665054245</x:v>
      </x:c>
      <x:c r="H106" s="576" t="n">
        <x:f>IF(SUMIFS('Specialisation Impact'!$E$19:$E$186,'Specialisation Impact'!$A$19:$A$186,A106,'Specialisation Impact'!$B$19:$B$186,B106)=0,"",SUMIFS('Specialisation Impact'!$S$19:$S$186,'Specialisation Impact'!$A$19:$A$186,A106,'Specialisation Impact'!$B$19:$B$186,B106))</x:f>
        <x:v>55.06493506493507</x:v>
      </x:c>
      <x:c r="I106" s="580" t="n">
        <x:f>IF(SUMIFS('Specialisation Impact'!$E$19:$E$186,'Specialisation Impact'!$A$19:$A$186,A106,'Specialisation Impact'!$B$19:$B$186,B106)=0,0,SUMIFS('Specialisation Impact'!$F$19:$F$186,'Specialisation Impact'!$A$19:$A$186,A106,'Specialisation Impact'!$B$19:$B$186,B106))</x:f>
        <x:v>1</x:v>
      </x:c>
      <x:c r="J106" s="576" t="n">
        <x:f>G106</x:f>
        <x:v>46.29209665054245</x:v>
      </x:c>
      <x:c r="K106" s="576" t="n">
        <x:f>IF(G106="","",IF(I106=0,G106,MAX(0,MIN(100,G106*(1-'Specialisation Scenarios'!$B$8*I106)+H106*('Specialisation Scenarios'!$B$8*I106)))))</x:f>
        <x:v>48.4853062541406</x:v>
      </x:c>
      <x:c r="L106" s="576" t="n">
        <x:f>IF(G106="","",IF(I106=0,G106,MAX(0,MIN(100,G106*(1-'Specialisation Scenarios'!$B$9*I106)+H106*('Specialisation Scenarios'!$B$9*I106)))))</x:f>
        <x:v>49.36259009557986</x:v>
      </x:c>
      <x:c r="M106" s="576" t="str">
        <x:f>IF(COUNTIFS('Tank &amp; Control'!$A$23:$A$189,A106,'Tank &amp; Control'!$B$23:$B$189,B106,'Tank &amp; Control'!$C$23:$C$189,"Yes")&gt;0,"Yes","No")</x:f>
        <x:v>No</x:v>
      </x:c>
      <x:c r="N106" s="576" t="str">
        <x:f>IF(M106&lt;&gt;"Yes","",SUMIFS('Tank &amp; Control'!$L$23:$L$189,'Tank &amp; Control'!$A$23:$A$189,A106,'Tank &amp; Control'!$B$23:$B$189,B106))</x:f>
      </x:c>
      <x:c r="O106" s="576" t="n">
        <x:f>IF(SUMIFS('Specialisation Impact'!$M$19:$M$186,'Specialisation Impact'!$A$19:$A$186,A106,'Specialisation Impact'!$B$19:$B$186,B106)=0,"",SUMIFS('Specialisation Impact'!$V$19:$V$186,'Specialisation Impact'!$A$19:$A$186,A106,'Specialisation Impact'!$B$19:$B$186,B106))</x:f>
        <x:v>48.2905982905983</x:v>
      </x:c>
      <x:c r="P106" s="576" t="str">
        <x:f>IF(N106="","",N106)</x:f>
      </x:c>
      <x:c r="Q106" s="576" t="str">
        <x:f>IF(N106="","",IF(AC106=0,N106,MAX(0,MIN(100,N106*(1-'Specialisation Scenarios'!$B$8*AC106)+O106*('Specialisation Scenarios'!$B$8*AC106)))))</x:f>
      </x:c>
      <x:c r="R106" s="576" t="str">
        <x:f>IF(N106="","",IF(AC106=0,N106,MAX(0,MIN(100,N106*(1-'Specialisation Scenarios'!$B$9*AC106)+O106*('Specialisation Scenarios'!$B$9*AC106)))))</x:f>
      </x:c>
      <x:c r="S106" s="584" t="n">
        <x:f>IF(J106="","",COUNTIFS($A$6:$A$172,A106,$J$6:$J$172,"&gt;"&amp;J106)+COUNTIFS($A$6:A106,A106,$J$6:J106,J106))</x:f>
        <x:v>8</x:v>
      </x:c>
      <x:c r="T106" s="584" t="n">
        <x:f>IF(K106="","",COUNTIFS($A$6:$A$172,A106,$K$6:$K$172,"&gt;"&amp;K106)+COUNTIFS($A$6:A106,A106,$K$6:K106,K106))</x:f>
        <x:v>8</x:v>
      </x:c>
      <x:c r="U106" s="584" t="n">
        <x:f>IF(L106="","",COUNTIFS($A$6:$A$172,A106,$L$6:$L$172,"&gt;"&amp;L106)+COUNTIFS($A$6:A106,A106,$L$6:L106,L106))</x:f>
        <x:v>9</x:v>
      </x:c>
      <x:c r="V106" s="584" t="str">
        <x:f>IF(P106="","",COUNTIFS($A$6:$A$172,A106,$P$6:$P$172,"&gt;"&amp;P106)+COUNTIFS($A$6:A106,A106,$P$6:P106,P106))</x:f>
      </x:c>
      <x:c r="W106" s="584" t="str">
        <x:f>IF(Q106="","",COUNTIFS($A$6:$A$172,A106,$Q$6:$Q$172,"&gt;"&amp;Q106)+COUNTIFS($A$6:A106,A106,$Q$6:Q106,Q106))</x:f>
      </x:c>
      <x:c r="X106" s="584" t="str">
        <x:f>IF(R106="","",COUNTIFS($A$6:$A$172,A106,$R$6:$R$172,"&gt;"&amp;R106)+COUNTIFS($A$6:A106,A106,$R$6:R106,R106))</x:f>
      </x:c>
      <x:c r="Y106" s="572" t="str">
        <x:f>IF(V106="","",A106&amp;"|"&amp;V106)</x:f>
      </x:c>
      <x:c r="Z106" s="572" t="str">
        <x:f>IF(W106="","",A106&amp;"|"&amp;W106)</x:f>
      </x:c>
      <x:c r="AA106" s="572" t="str">
        <x:f>IF(X106="","",A106&amp;"|"&amp;X106)</x:f>
      </x:c>
      <x:c r="AB106" s="572" t="str">
        <x:f>IF(A106="","",IF(I106=0,"Offense neutral — no recorded offensive skills",IF(I106&lt;1,"Partial lookup — adjustment scaled",IF(AND(M106="Yes",AC106=0),"Offense adjusted; Guard neutral","Captured"))))</x:f>
        <x:v>Captured</x:v>
      </x:c>
      <x:c r="AC106" s="580" t="n">
        <x:f>IF(SUMIFS('Specialisation Impact'!$M$19:$M$186,'Specialisation Impact'!$A$19:$A$186,A106,'Specialisation Impact'!$B$19:$B$186,B106)=0,0,SUMIFS('Specialisation Impact'!$F$19:$F$186,'Specialisation Impact'!$A$19:$A$186,A106,'Specialisation Impact'!$B$19:$B$186,B106))</x:f>
        <x:v>1</x:v>
      </x:c>
    </x:row>
    <x:row r="107">
      <x:c r="A107" s="571" t="str">
        <x:v>K170</x:v>
      </x:c>
      <x:c r="B107" s="571" t="str">
        <x:v>(AOT)SugarDADDY</x:v>
      </x:c>
      <x:c r="C107" s="575" t="n">
        <x:f>IF($A107="","",AVERAGE(100*((COUNTIF('All Stats'!$D$6:$D$172,"&lt;"&amp;'All Stats'!D107)+(COUNTIF('All Stats'!$D$6:$D$172,'All Stats'!D107)-1)/2)/(COUNT('All Stats'!$D$6:$D$172)-1))^'Specialisation Scenarios'!$X$10,100*((COUNTIF('All Stats'!$G$6:$G$172,"&lt;"&amp;'All Stats'!G107)+(COUNTIF('All Stats'!$G$6:$G$172,'All Stats'!G107)-1)/2)/(COUNT('All Stats'!$G$6:$G$172)-1))^'Specialisation Scenarios'!$X$10,100*((COUNTIF('All Stats'!$I$6:$I$172,"&lt;"&amp;'All Stats'!I107)+(COUNTIF('All Stats'!$I$6:$I$172,'All Stats'!I107)-1)/2)/(COUNT('All Stats'!$I$6:$I$172)-1))^'Specialisation Scenarios'!$X$10))</x:f>
        <x:v>37.35958166946736</x:v>
      </x:c>
      <x:c r="D107" s="575" t="n">
        <x:f>IF($A107="","",AVERAGE(100*((COUNTIF('All Stats'!$R$6:$R$172,"&lt;"&amp;'All Stats'!R107)+(COUNTIF('All Stats'!$R$6:$R$172,'All Stats'!R107)-1)/2)/(COUNT('All Stats'!$R$6:$R$172)-1))^'Specialisation Scenarios'!$X$10,100*((COUNTIF('All Stats'!$U$6:$U$172,"&lt;"&amp;'All Stats'!U107)+(COUNTIF('All Stats'!$U$6:$U$172,'All Stats'!U107)-1)/2)/(COUNT('All Stats'!$U$6:$U$172)-1))^'Specialisation Scenarios'!$X$10,100*((COUNTIF('All Stats'!$W$6:$W$172,"&lt;"&amp;'All Stats'!W107)+(COUNTIF('All Stats'!$W$6:$W$172,'All Stats'!W107)-1)/2)/(COUNT('All Stats'!$W$6:$W$172)-1))^'Specialisation Scenarios'!$X$10))</x:f>
        <x:v>70.53988044258159</x:v>
      </x:c>
      <x:c r="E107" s="575" t="n">
        <x:f>IF($A107="","",AVERAGE(100*((COUNTIF('All Stats'!$Y$6:$Y$172,"&lt;"&amp;'All Stats'!Y107)+(COUNTIF('All Stats'!$Y$6:$Y$172,'All Stats'!Y107)-1)/2)/(COUNT('All Stats'!$Y$6:$Y$172)-1))^'Specialisation Scenarios'!$X$10,100*((COUNTIF('All Stats'!$AB$6:$AB$172,"&lt;"&amp;'All Stats'!AB107)+(COUNTIF('All Stats'!$AB$6:$AB$172,'All Stats'!AB107)-1)/2)/(COUNT('All Stats'!$AB$6:$AB$172)-1))^'Specialisation Scenarios'!$X$10,100*((COUNTIF('All Stats'!$AD$6:$AD$172,"&lt;"&amp;'All Stats'!AD107)+(COUNTIF('All Stats'!$AD$6:$AD$172,'All Stats'!AD107)-1)/2)/(COUNT('All Stats'!$AD$6:$AD$172)-1))^'Specialisation Scenarios'!$X$10))</x:f>
        <x:v>4.3404716113804716</x:v>
      </x:c>
      <x:c r="F107" s="575" t="n">
        <x:f>IF($A107="","",AVERAGE(100*((COUNTIF('All Stats'!$AF$6:$AF$172,"&lt;"&amp;'All Stats'!AF107)+(COUNTIF('All Stats'!$AF$6:$AF$172,'All Stats'!AF107)-1)/2)/(COUNT('All Stats'!$AF$6:$AF$172)-1))^'Specialisation Scenarios'!$X$10,100*((COUNTIF('All Stats'!$AI$6:$AI$172,"&lt;"&amp;'All Stats'!AI107)+(COUNTIF('All Stats'!$AI$6:$AI$172,'All Stats'!AI107)-1)/2)/(COUNT('All Stats'!$AI$6:$AI$172)-1))^'Specialisation Scenarios'!$X$10,100*((COUNTIF('All Stats'!$AK$6:$AK$172,"&lt;"&amp;'All Stats'!AK107)+(COUNTIF('All Stats'!$AK$6:$AK$172,'All Stats'!AK107)-1)/2)/(COUNT('All Stats'!$AK$6:$AK$172)-1))^'Specialisation Scenarios'!$X$10))</x:f>
        <x:v>73.09840405982784</x:v>
      </x:c>
      <x:c r="G107" s="575" t="n">
        <x:f>IF($A107="","",C107*'Specialisation Scenarios'!$X$11+D107*'Specialisation Scenarios'!$X$12+E107*'Specialisation Scenarios'!$X$13+F107*'Specialisation Scenarios'!$X$14)</x:f>
        <x:v>59.326673286081274</x:v>
      </x:c>
      <x:c r="H107" s="575" t="n">
        <x:f>IF(SUMIFS('Specialisation Impact'!$E$19:$E$186,'Specialisation Impact'!$A$19:$A$186,A107,'Specialisation Impact'!$B$19:$B$186,B107)=0,"",SUMIFS('Specialisation Impact'!$S$19:$S$186,'Specialisation Impact'!$A$19:$A$186,A107,'Specialisation Impact'!$B$19:$B$186,B107))</x:f>
        <x:v>34.675324675324674</x:v>
      </x:c>
      <x:c r="I107" s="579" t="n">
        <x:f>IF(SUMIFS('Specialisation Impact'!$E$19:$E$186,'Specialisation Impact'!$A$19:$A$186,A107,'Specialisation Impact'!$B$19:$B$186,B107)=0,0,SUMIFS('Specialisation Impact'!$F$19:$F$186,'Specialisation Impact'!$A$19:$A$186,A107,'Specialisation Impact'!$B$19:$B$186,B107))</x:f>
        <x:v>1</x:v>
      </x:c>
      <x:c r="J107" s="575" t="n">
        <x:f>G107</x:f>
        <x:v>59.326673286081274</x:v>
      </x:c>
      <x:c r="K107" s="575" t="n">
        <x:f>IF(G107="","",IF(I107=0,G107,MAX(0,MIN(100,G107*(1-'Specialisation Scenarios'!$B$8*I107)+H107*('Specialisation Scenarios'!$B$8*I107)))))</x:f>
        <x:v>53.163836133392124</x:v>
      </x:c>
      <x:c r="L107" s="575" t="n">
        <x:f>IF(G107="","",IF(I107=0,G107,MAX(0,MIN(100,G107*(1-'Specialisation Scenarios'!$B$9*I107)+H107*('Specialisation Scenarios'!$B$9*I107)))))</x:f>
        <x:v>50.69870127231646</x:v>
      </x:c>
      <x:c r="M107" s="575" t="str">
        <x:f>IF(COUNTIFS('Tank &amp; Control'!$A$23:$A$189,A107,'Tank &amp; Control'!$B$23:$B$189,B107,'Tank &amp; Control'!$C$23:$C$189,"Yes")&gt;0,"Yes","No")</x:f>
        <x:v>No</x:v>
      </x:c>
      <x:c r="N107" s="575" t="str">
        <x:f>IF(M107&lt;&gt;"Yes","",SUMIFS('Tank &amp; Control'!$L$23:$L$189,'Tank &amp; Control'!$A$23:$A$189,A107,'Tank &amp; Control'!$B$23:$B$189,B107))</x:f>
      </x:c>
      <x:c r="O107" s="575" t="str">
        <x:f>IF(SUMIFS('Specialisation Impact'!$M$19:$M$186,'Specialisation Impact'!$A$19:$A$186,A107,'Specialisation Impact'!$B$19:$B$186,B107)=0,"",SUMIFS('Specialisation Impact'!$V$19:$V$186,'Specialisation Impact'!$A$19:$A$186,A107,'Specialisation Impact'!$B$19:$B$186,B107))</x:f>
      </x:c>
      <x:c r="P107" s="575" t="str">
        <x:f>IF(N107="","",N107)</x:f>
      </x:c>
      <x:c r="Q107" s="575" t="str">
        <x:f>IF(N107="","",IF(AC107=0,N107,MAX(0,MIN(100,N107*(1-'Specialisation Scenarios'!$B$8*AC107)+O107*('Specialisation Scenarios'!$B$8*AC107)))))</x:f>
      </x:c>
      <x:c r="R107" s="575" t="str">
        <x:f>IF(N107="","",IF(AC107=0,N107,MAX(0,MIN(100,N107*(1-'Specialisation Scenarios'!$B$9*AC107)+O107*('Specialisation Scenarios'!$B$9*AC107)))))</x:f>
      </x:c>
      <x:c r="S107" s="583" t="n">
        <x:f>IF(J107="","",COUNTIFS($A$6:$A$172,A107,$J$6:$J$172,"&gt;"&amp;J107)+COUNTIFS($A$6:A107,A107,$J$6:J107,J107))</x:f>
        <x:v>2</x:v>
      </x:c>
      <x:c r="T107" s="583" t="n">
        <x:f>IF(K107="","",COUNTIFS($A$6:$A$172,A107,$K$6:$K$172,"&gt;"&amp;K107)+COUNTIFS($A$6:A107,A107,$K$6:K107,K107))</x:f>
        <x:v>6</x:v>
      </x:c>
      <x:c r="U107" s="583" t="n">
        <x:f>IF(L107="","",COUNTIFS($A$6:$A$172,A107,$L$6:$L$172,"&gt;"&amp;L107)+COUNTIFS($A$6:A107,A107,$L$6:L107,L107))</x:f>
        <x:v>8</x:v>
      </x:c>
      <x:c r="V107" s="583" t="str">
        <x:f>IF(P107="","",COUNTIFS($A$6:$A$172,A107,$P$6:$P$172,"&gt;"&amp;P107)+COUNTIFS($A$6:A107,A107,$P$6:P107,P107))</x:f>
      </x:c>
      <x:c r="W107" s="583" t="str">
        <x:f>IF(Q107="","",COUNTIFS($A$6:$A$172,A107,$Q$6:$Q$172,"&gt;"&amp;Q107)+COUNTIFS($A$6:A107,A107,$Q$6:Q107,Q107))</x:f>
      </x:c>
      <x:c r="X107" s="583" t="str">
        <x:f>IF(R107="","",COUNTIFS($A$6:$A$172,A107,$R$6:$R$172,"&gt;"&amp;R107)+COUNTIFS($A$6:A107,A107,$R$6:R107,R107))</x:f>
      </x:c>
      <x:c r="Y107" s="571" t="str">
        <x:f>IF(V107="","",A107&amp;"|"&amp;V107)</x:f>
      </x:c>
      <x:c r="Z107" s="571" t="str">
        <x:f>IF(W107="","",A107&amp;"|"&amp;W107)</x:f>
      </x:c>
      <x:c r="AA107" s="571" t="str">
        <x:f>IF(X107="","",A107&amp;"|"&amp;X107)</x:f>
      </x:c>
      <x:c r="AB107" s="571" t="str">
        <x:f>IF(A107="","",IF(I107=0,"Offense neutral — no recorded offensive skills",IF(I107&lt;1,"Partial lookup — adjustment scaled",IF(AND(M107="Yes",AC107=0),"Offense adjusted; Guard neutral","Captured"))))</x:f>
        <x:v>Captured</x:v>
      </x:c>
      <x:c r="AC107" s="579" t="n">
        <x:f>IF(SUMIFS('Specialisation Impact'!$M$19:$M$186,'Specialisation Impact'!$A$19:$A$186,A107,'Specialisation Impact'!$B$19:$B$186,B107)=0,0,SUMIFS('Specialisation Impact'!$F$19:$F$186,'Specialisation Impact'!$A$19:$A$186,A107,'Specialisation Impact'!$B$19:$B$186,B107))</x:f>
        <x:v>0</x:v>
      </x:c>
    </x:row>
    <x:row r="108">
      <x:c r="A108" s="572" t="str">
        <x:v>K170</x:v>
      </x:c>
      <x:c r="B108" s="572" t="str">
        <x:v>(AOT)MONKEY</x:v>
      </x:c>
      <x:c r="C108" s="576" t="n">
        <x:f>IF($A108="","",AVERAGE(100*((COUNTIF('All Stats'!$D$6:$D$172,"&lt;"&amp;'All Stats'!D108)+(COUNTIF('All Stats'!$D$6:$D$172,'All Stats'!D108)-1)/2)/(COUNT('All Stats'!$D$6:$D$172)-1))^'Specialisation Scenarios'!$X$10,100*((COUNTIF('All Stats'!$G$6:$G$172,"&lt;"&amp;'All Stats'!G108)+(COUNTIF('All Stats'!$G$6:$G$172,'All Stats'!G108)-1)/2)/(COUNT('All Stats'!$G$6:$G$172)-1))^'Specialisation Scenarios'!$X$10,100*((COUNTIF('All Stats'!$I$6:$I$172,"&lt;"&amp;'All Stats'!I108)+(COUNTIF('All Stats'!$I$6:$I$172,'All Stats'!I108)-1)/2)/(COUNT('All Stats'!$I$6:$I$172)-1))^'Specialisation Scenarios'!$X$10))</x:f>
        <x:v>46.005395396101655</x:v>
      </x:c>
      <x:c r="D108" s="576" t="n">
        <x:f>IF($A108="","",AVERAGE(100*((COUNTIF('All Stats'!$R$6:$R$172,"&lt;"&amp;'All Stats'!R108)+(COUNTIF('All Stats'!$R$6:$R$172,'All Stats'!R108)-1)/2)/(COUNT('All Stats'!$R$6:$R$172)-1))^'Specialisation Scenarios'!$X$10,100*((COUNTIF('All Stats'!$U$6:$U$172,"&lt;"&amp;'All Stats'!U108)+(COUNTIF('All Stats'!$U$6:$U$172,'All Stats'!U108)-1)/2)/(COUNT('All Stats'!$U$6:$U$172)-1))^'Specialisation Scenarios'!$X$10,100*((COUNTIF('All Stats'!$W$6:$W$172,"&lt;"&amp;'All Stats'!W108)+(COUNTIF('All Stats'!$W$6:$W$172,'All Stats'!W108)-1)/2)/(COUNT('All Stats'!$W$6:$W$172)-1))^'Specialisation Scenarios'!$X$10))</x:f>
        <x:v>17.49601185994667</x:v>
      </x:c>
      <x:c r="E108" s="576" t="n">
        <x:f>IF($A108="","",AVERAGE(100*((COUNTIF('All Stats'!$Y$6:$Y$172,"&lt;"&amp;'All Stats'!Y108)+(COUNTIF('All Stats'!$Y$6:$Y$172,'All Stats'!Y108)-1)/2)/(COUNT('All Stats'!$Y$6:$Y$172)-1))^'Specialisation Scenarios'!$X$10,100*((COUNTIF('All Stats'!$AB$6:$AB$172,"&lt;"&amp;'All Stats'!AB108)+(COUNTIF('All Stats'!$AB$6:$AB$172,'All Stats'!AB108)-1)/2)/(COUNT('All Stats'!$AB$6:$AB$172)-1))^'Specialisation Scenarios'!$X$10,100*((COUNTIF('All Stats'!$AD$6:$AD$172,"&lt;"&amp;'All Stats'!AD108)+(COUNTIF('All Stats'!$AD$6:$AD$172,'All Stats'!AD108)-1)/2)/(COUNT('All Stats'!$AD$6:$AD$172)-1))^'Specialisation Scenarios'!$X$10))</x:f>
        <x:v>34.16930711242192</x:v>
      </x:c>
      <x:c r="F108" s="576" t="n">
        <x:f>IF($A108="","",AVERAGE(100*((COUNTIF('All Stats'!$AF$6:$AF$172,"&lt;"&amp;'All Stats'!AF108)+(COUNTIF('All Stats'!$AF$6:$AF$172,'All Stats'!AF108)-1)/2)/(COUNT('All Stats'!$AF$6:$AF$172)-1))^'Specialisation Scenarios'!$X$10,100*((COUNTIF('All Stats'!$AI$6:$AI$172,"&lt;"&amp;'All Stats'!AI108)+(COUNTIF('All Stats'!$AI$6:$AI$172,'All Stats'!AI108)-1)/2)/(COUNT('All Stats'!$AI$6:$AI$172)-1))^'Specialisation Scenarios'!$X$10,100*((COUNTIF('All Stats'!$AK$6:$AK$172,"&lt;"&amp;'All Stats'!AK108)+(COUNTIF('All Stats'!$AK$6:$AK$172,'All Stats'!AK108)-1)/2)/(COUNT('All Stats'!$AK$6:$AK$172)-1))^'Specialisation Scenarios'!$X$10))</x:f>
        <x:v>28.230935970000164</x:v>
      </x:c>
      <x:c r="G108" s="576" t="n">
        <x:f>IF($A108="","",C108*'Specialisation Scenarios'!$X$11+D108*'Specialisation Scenarios'!$X$12+E108*'Specialisation Scenarios'!$X$13+F108*'Specialisation Scenarios'!$X$14)</x:f>
        <x:v>25.049987532125463</x:v>
      </x:c>
      <x:c r="H108" s="576" t="n">
        <x:f>IF(SUMIFS('Specialisation Impact'!$E$19:$E$186,'Specialisation Impact'!$A$19:$A$186,A108,'Specialisation Impact'!$B$19:$B$186,B108)=0,"",SUMIFS('Specialisation Impact'!$S$19:$S$186,'Specialisation Impact'!$A$19:$A$186,A108,'Specialisation Impact'!$B$19:$B$186,B108))</x:f>
        <x:v>31.2987012987013</x:v>
      </x:c>
      <x:c r="I108" s="580" t="n">
        <x:f>IF(SUMIFS('Specialisation Impact'!$E$19:$E$186,'Specialisation Impact'!$A$19:$A$186,A108,'Specialisation Impact'!$B$19:$B$186,B108)=0,0,SUMIFS('Specialisation Impact'!$F$19:$F$186,'Specialisation Impact'!$A$19:$A$186,A108,'Specialisation Impact'!$B$19:$B$186,B108))</x:f>
        <x:v>1</x:v>
      </x:c>
      <x:c r="J108" s="576" t="n">
        <x:f>G108</x:f>
        <x:v>25.049987532125463</x:v>
      </x:c>
      <x:c r="K108" s="576" t="n">
        <x:f>IF(G108="","",IF(I108=0,G108,MAX(0,MIN(100,G108*(1-'Specialisation Scenarios'!$B$8*I108)+H108*('Specialisation Scenarios'!$B$8*I108)))))</x:f>
        <x:v>26.61216597376942</x:v>
      </x:c>
      <x:c r="L108" s="576" t="n">
        <x:f>IF(G108="","",IF(I108=0,G108,MAX(0,MIN(100,G108*(1-'Specialisation Scenarios'!$B$9*I108)+H108*('Specialisation Scenarios'!$B$9*I108)))))</x:f>
        <x:v>27.23703735042701</x:v>
      </x:c>
      <x:c r="M108" s="576" t="str">
        <x:f>IF(COUNTIFS('Tank &amp; Control'!$A$23:$A$189,A108,'Tank &amp; Control'!$B$23:$B$189,B108,'Tank &amp; Control'!$C$23:$C$189,"Yes")&gt;0,"Yes","No")</x:f>
        <x:v>No</x:v>
      </x:c>
      <x:c r="N108" s="576" t="str">
        <x:f>IF(M108&lt;&gt;"Yes","",SUMIFS('Tank &amp; Control'!$L$23:$L$189,'Tank &amp; Control'!$A$23:$A$189,A108,'Tank &amp; Control'!$B$23:$B$189,B108))</x:f>
      </x:c>
      <x:c r="O108" s="576" t="n">
        <x:f>IF(SUMIFS('Specialisation Impact'!$M$19:$M$186,'Specialisation Impact'!$A$19:$A$186,A108,'Specialisation Impact'!$B$19:$B$186,B108)=0,"",SUMIFS('Specialisation Impact'!$V$19:$V$186,'Specialisation Impact'!$A$19:$A$186,A108,'Specialisation Impact'!$B$19:$B$186,B108))</x:f>
        <x:v>29.48717948717949</x:v>
      </x:c>
      <x:c r="P108" s="576" t="str">
        <x:f>IF(N108="","",N108)</x:f>
      </x:c>
      <x:c r="Q108" s="576" t="str">
        <x:f>IF(N108="","",IF(AC108=0,N108,MAX(0,MIN(100,N108*(1-'Specialisation Scenarios'!$B$8*AC108)+O108*('Specialisation Scenarios'!$B$8*AC108)))))</x:f>
      </x:c>
      <x:c r="R108" s="576" t="str">
        <x:f>IF(N108="","",IF(AC108=0,N108,MAX(0,MIN(100,N108*(1-'Specialisation Scenarios'!$B$9*AC108)+O108*('Specialisation Scenarios'!$B$9*AC108)))))</x:f>
      </x:c>
      <x:c r="S108" s="584" t="n">
        <x:f>IF(J108="","",COUNTIFS($A$6:$A$172,A108,$J$6:$J$172,"&gt;"&amp;J108)+COUNTIFS($A$6:A108,A108,$J$6:J108,J108))</x:f>
        <x:v>15</x:v>
      </x:c>
      <x:c r="T108" s="584" t="n">
        <x:f>IF(K108="","",COUNTIFS($A$6:$A$172,A108,$K$6:$K$172,"&gt;"&amp;K108)+COUNTIFS($A$6:A108,A108,$K$6:K108,K108))</x:f>
        <x:v>17</x:v>
      </x:c>
      <x:c r="U108" s="584" t="n">
        <x:f>IF(L108="","",COUNTIFS($A$6:$A$172,A108,$L$6:$L$172,"&gt;"&amp;L108)+COUNTIFS($A$6:A108,A108,$L$6:L108,L108))</x:f>
        <x:v>17</x:v>
      </x:c>
      <x:c r="V108" s="584" t="str">
        <x:f>IF(P108="","",COUNTIFS($A$6:$A$172,A108,$P$6:$P$172,"&gt;"&amp;P108)+COUNTIFS($A$6:A108,A108,$P$6:P108,P108))</x:f>
      </x:c>
      <x:c r="W108" s="584" t="str">
        <x:f>IF(Q108="","",COUNTIFS($A$6:$A$172,A108,$Q$6:$Q$172,"&gt;"&amp;Q108)+COUNTIFS($A$6:A108,A108,$Q$6:Q108,Q108))</x:f>
      </x:c>
      <x:c r="X108" s="584" t="str">
        <x:f>IF(R108="","",COUNTIFS($A$6:$A$172,A108,$R$6:$R$172,"&gt;"&amp;R108)+COUNTIFS($A$6:A108,A108,$R$6:R108,R108))</x:f>
      </x:c>
      <x:c r="Y108" s="572" t="str">
        <x:f>IF(V108="","",A108&amp;"|"&amp;V108)</x:f>
      </x:c>
      <x:c r="Z108" s="572" t="str">
        <x:f>IF(W108="","",A108&amp;"|"&amp;W108)</x:f>
      </x:c>
      <x:c r="AA108" s="572" t="str">
        <x:f>IF(X108="","",A108&amp;"|"&amp;X108)</x:f>
      </x:c>
      <x:c r="AB108" s="572" t="str">
        <x:f>IF(A108="","",IF(I108=0,"Offense neutral — no recorded offensive skills",IF(I108&lt;1,"Partial lookup — adjustment scaled",IF(AND(M108="Yes",AC108=0),"Offense adjusted; Guard neutral","Captured"))))</x:f>
        <x:v>Captured</x:v>
      </x:c>
      <x:c r="AC108" s="580" t="n">
        <x:f>IF(SUMIFS('Specialisation Impact'!$M$19:$M$186,'Specialisation Impact'!$A$19:$A$186,A108,'Specialisation Impact'!$B$19:$B$186,B108)=0,0,SUMIFS('Specialisation Impact'!$F$19:$F$186,'Specialisation Impact'!$A$19:$A$186,A108,'Specialisation Impact'!$B$19:$B$186,B108))</x:f>
        <x:v>1</x:v>
      </x:c>
    </x:row>
    <x:row r="109">
      <x:c r="A109" s="571" t="str">
        <x:v>K170</x:v>
      </x:c>
      <x:c r="B109" s="571" t="str">
        <x:v>(AOT)Paian</x:v>
      </x:c>
      <x:c r="C109" s="575" t="n">
        <x:f>IF($A109="","",AVERAGE(100*((COUNTIF('All Stats'!$D$6:$D$172,"&lt;"&amp;'All Stats'!D109)+(COUNTIF('All Stats'!$D$6:$D$172,'All Stats'!D109)-1)/2)/(COUNT('All Stats'!$D$6:$D$172)-1))^'Specialisation Scenarios'!$X$10,100*((COUNTIF('All Stats'!$G$6:$G$172,"&lt;"&amp;'All Stats'!G109)+(COUNTIF('All Stats'!$G$6:$G$172,'All Stats'!G109)-1)/2)/(COUNT('All Stats'!$G$6:$G$172)-1))^'Specialisation Scenarios'!$X$10,100*((COUNTIF('All Stats'!$I$6:$I$172,"&lt;"&amp;'All Stats'!I109)+(COUNTIF('All Stats'!$I$6:$I$172,'All Stats'!I109)-1)/2)/(COUNT('All Stats'!$I$6:$I$172)-1))^'Specialisation Scenarios'!$X$10))</x:f>
        <x:v>17.440887920519597</x:v>
      </x:c>
      <x:c r="D109" s="575" t="n">
        <x:f>IF($A109="","",AVERAGE(100*((COUNTIF('All Stats'!$R$6:$R$172,"&lt;"&amp;'All Stats'!R109)+(COUNTIF('All Stats'!$R$6:$R$172,'All Stats'!R109)-1)/2)/(COUNT('All Stats'!$R$6:$R$172)-1))^'Specialisation Scenarios'!$X$10,100*((COUNTIF('All Stats'!$U$6:$U$172,"&lt;"&amp;'All Stats'!U109)+(COUNTIF('All Stats'!$U$6:$U$172,'All Stats'!U109)-1)/2)/(COUNT('All Stats'!$U$6:$U$172)-1))^'Specialisation Scenarios'!$X$10,100*((COUNTIF('All Stats'!$W$6:$W$172,"&lt;"&amp;'All Stats'!W109)+(COUNTIF('All Stats'!$W$6:$W$172,'All Stats'!W109)-1)/2)/(COUNT('All Stats'!$W$6:$W$172)-1))^'Specialisation Scenarios'!$X$10))</x:f>
        <x:v>4.76516153829608</x:v>
      </x:c>
      <x:c r="E109" s="575" t="n">
        <x:f>IF($A109="","",AVERAGE(100*((COUNTIF('All Stats'!$Y$6:$Y$172,"&lt;"&amp;'All Stats'!Y109)+(COUNTIF('All Stats'!$Y$6:$Y$172,'All Stats'!Y109)-1)/2)/(COUNT('All Stats'!$Y$6:$Y$172)-1))^'Specialisation Scenarios'!$X$10,100*((COUNTIF('All Stats'!$AB$6:$AB$172,"&lt;"&amp;'All Stats'!AB109)+(COUNTIF('All Stats'!$AB$6:$AB$172,'All Stats'!AB109)-1)/2)/(COUNT('All Stats'!$AB$6:$AB$172)-1))^'Specialisation Scenarios'!$X$10,100*((COUNTIF('All Stats'!$AD$6:$AD$172,"&lt;"&amp;'All Stats'!AD109)+(COUNTIF('All Stats'!$AD$6:$AD$172,'All Stats'!AD109)-1)/2)/(COUNT('All Stats'!$AD$6:$AD$172)-1))^'Specialisation Scenarios'!$X$10))</x:f>
        <x:v>10.188844355787781</x:v>
      </x:c>
      <x:c r="F109" s="575" t="n">
        <x:f>IF($A109="","",AVERAGE(100*((COUNTIF('All Stats'!$AF$6:$AF$172,"&lt;"&amp;'All Stats'!AF109)+(COUNTIF('All Stats'!$AF$6:$AF$172,'All Stats'!AF109)-1)/2)/(COUNT('All Stats'!$AF$6:$AF$172)-1))^'Specialisation Scenarios'!$X$10,100*((COUNTIF('All Stats'!$AI$6:$AI$172,"&lt;"&amp;'All Stats'!AI109)+(COUNTIF('All Stats'!$AI$6:$AI$172,'All Stats'!AI109)-1)/2)/(COUNT('All Stats'!$AI$6:$AI$172)-1))^'Specialisation Scenarios'!$X$10,100*((COUNTIF('All Stats'!$AK$6:$AK$172,"&lt;"&amp;'All Stats'!AK109)+(COUNTIF('All Stats'!$AK$6:$AK$172,'All Stats'!AK109)-1)/2)/(COUNT('All Stats'!$AK$6:$AK$172)-1))^'Specialisation Scenarios'!$X$10))</x:f>
        <x:v>9.615492690206729</x:v>
      </x:c>
      <x:c r="G109" s="575" t="n">
        <x:f>IF($A109="","",C109*'Specialisation Scenarios'!$X$11+D109*'Specialisation Scenarios'!$X$12+E109*'Specialisation Scenarios'!$X$13+F109*'Specialisation Scenarios'!$X$14)</x:f>
        <x:v>7.936438450165375</x:v>
      </x:c>
      <x:c r="H109" s="575" t="n">
        <x:f>IF(SUMIFS('Specialisation Impact'!$E$19:$E$186,'Specialisation Impact'!$A$19:$A$186,A109,'Specialisation Impact'!$B$19:$B$186,B109)=0,"",SUMIFS('Specialisation Impact'!$S$19:$S$186,'Specialisation Impact'!$A$19:$A$186,A109,'Specialisation Impact'!$B$19:$B$186,B109))</x:f>
        <x:v>4.025974025974026</x:v>
      </x:c>
      <x:c r="I109" s="579" t="n">
        <x:f>IF(SUMIFS('Specialisation Impact'!$E$19:$E$186,'Specialisation Impact'!$A$19:$A$186,A109,'Specialisation Impact'!$B$19:$B$186,B109)=0,0,SUMIFS('Specialisation Impact'!$F$19:$F$186,'Specialisation Impact'!$A$19:$A$186,A109,'Specialisation Impact'!$B$19:$B$186,B109))</x:f>
        <x:v>1</x:v>
      </x:c>
      <x:c r="J109" s="575" t="n">
        <x:f>G109</x:f>
        <x:v>7.936438450165375</x:v>
      </x:c>
      <x:c r="K109" s="575" t="n">
        <x:f>IF(G109="","",IF(I109=0,G109,MAX(0,MIN(100,G109*(1-'Specialisation Scenarios'!$B$8*I109)+H109*('Specialisation Scenarios'!$B$8*I109)))))</x:f>
        <x:v>6.958822344117538</x:v>
      </x:c>
      <x:c r="L109" s="575" t="n">
        <x:f>IF(G109="","",IF(I109=0,G109,MAX(0,MIN(100,G109*(1-'Specialisation Scenarios'!$B$9*I109)+H109*('Specialisation Scenarios'!$B$9*I109)))))</x:f>
        <x:v>6.567775901698403</x:v>
      </x:c>
      <x:c r="M109" s="575" t="str">
        <x:f>IF(COUNTIFS('Tank &amp; Control'!$A$23:$A$189,A109,'Tank &amp; Control'!$B$23:$B$189,B109,'Tank &amp; Control'!$C$23:$C$189,"Yes")&gt;0,"Yes","No")</x:f>
        <x:v>No</x:v>
      </x:c>
      <x:c r="N109" s="575" t="str">
        <x:f>IF(M109&lt;&gt;"Yes","",SUMIFS('Tank &amp; Control'!$L$23:$L$189,'Tank &amp; Control'!$A$23:$A$189,A109,'Tank &amp; Control'!$B$23:$B$189,B109))</x:f>
      </x:c>
      <x:c r="O109" s="575" t="n">
        <x:f>IF(SUMIFS('Specialisation Impact'!$M$19:$M$186,'Specialisation Impact'!$A$19:$A$186,A109,'Specialisation Impact'!$B$19:$B$186,B109)=0,"",SUMIFS('Specialisation Impact'!$V$19:$V$186,'Specialisation Impact'!$A$19:$A$186,A109,'Specialisation Impact'!$B$19:$B$186,B109))</x:f>
        <x:v>29.48717948717949</x:v>
      </x:c>
      <x:c r="P109" s="575" t="str">
        <x:f>IF(N109="","",N109)</x:f>
      </x:c>
      <x:c r="Q109" s="575" t="str">
        <x:f>IF(N109="","",IF(AC109=0,N109,MAX(0,MIN(100,N109*(1-'Specialisation Scenarios'!$B$8*AC109)+O109*('Specialisation Scenarios'!$B$8*AC109)))))</x:f>
      </x:c>
      <x:c r="R109" s="575" t="str">
        <x:f>IF(N109="","",IF(AC109=0,N109,MAX(0,MIN(100,N109*(1-'Specialisation Scenarios'!$B$9*AC109)+O109*('Specialisation Scenarios'!$B$9*AC109)))))</x:f>
      </x:c>
      <x:c r="S109" s="583" t="n">
        <x:f>IF(J109="","",COUNTIFS($A$6:$A$172,A109,$J$6:$J$172,"&gt;"&amp;J109)+COUNTIFS($A$6:A109,A109,$J$6:J109,J109))</x:f>
        <x:v>23</x:v>
      </x:c>
      <x:c r="T109" s="583" t="n">
        <x:f>IF(K109="","",COUNTIFS($A$6:$A$172,A109,$K$6:$K$172,"&gt;"&amp;K109)+COUNTIFS($A$6:A109,A109,$K$6:K109,K109))</x:f>
        <x:v>23</x:v>
      </x:c>
      <x:c r="U109" s="583" t="n">
        <x:f>IF(L109="","",COUNTIFS($A$6:$A$172,A109,$L$6:$L$172,"&gt;"&amp;L109)+COUNTIFS($A$6:A109,A109,$L$6:L109,L109))</x:f>
        <x:v>23</x:v>
      </x:c>
      <x:c r="V109" s="583" t="str">
        <x:f>IF(P109="","",COUNTIFS($A$6:$A$172,A109,$P$6:$P$172,"&gt;"&amp;P109)+COUNTIFS($A$6:A109,A109,$P$6:P109,P109))</x:f>
      </x:c>
      <x:c r="W109" s="583" t="str">
        <x:f>IF(Q109="","",COUNTIFS($A$6:$A$172,A109,$Q$6:$Q$172,"&gt;"&amp;Q109)+COUNTIFS($A$6:A109,A109,$Q$6:Q109,Q109))</x:f>
      </x:c>
      <x:c r="X109" s="583" t="str">
        <x:f>IF(R109="","",COUNTIFS($A$6:$A$172,A109,$R$6:$R$172,"&gt;"&amp;R109)+COUNTIFS($A$6:A109,A109,$R$6:R109,R109))</x:f>
      </x:c>
      <x:c r="Y109" s="571" t="str">
        <x:f>IF(V109="","",A109&amp;"|"&amp;V109)</x:f>
      </x:c>
      <x:c r="Z109" s="571" t="str">
        <x:f>IF(W109="","",A109&amp;"|"&amp;W109)</x:f>
      </x:c>
      <x:c r="AA109" s="571" t="str">
        <x:f>IF(X109="","",A109&amp;"|"&amp;X109)</x:f>
      </x:c>
      <x:c r="AB109" s="571" t="str">
        <x:f>IF(A109="","",IF(I109=0,"Offense neutral — no recorded offensive skills",IF(I109&lt;1,"Partial lookup — adjustment scaled",IF(AND(M109="Yes",AC109=0),"Offense adjusted; Guard neutral","Captured"))))</x:f>
        <x:v>Captured</x:v>
      </x:c>
      <x:c r="AC109" s="579" t="n">
        <x:f>IF(SUMIFS('Specialisation Impact'!$M$19:$M$186,'Specialisation Impact'!$A$19:$A$186,A109,'Specialisation Impact'!$B$19:$B$186,B109)=0,0,SUMIFS('Specialisation Impact'!$F$19:$F$186,'Specialisation Impact'!$A$19:$A$186,A109,'Specialisation Impact'!$B$19:$B$186,B109))</x:f>
        <x:v>1</x:v>
      </x:c>
    </x:row>
    <x:row r="110">
      <x:c r="A110" s="572" t="str">
        <x:v>K170</x:v>
      </x:c>
      <x:c r="B110" s="572" t="str">
        <x:v>(AOT)Matis</x:v>
      </x:c>
      <x:c r="C110" s="576" t="n">
        <x:f>IF($A110="","",AVERAGE(100*((COUNTIF('All Stats'!$D$6:$D$172,"&lt;"&amp;'All Stats'!D110)+(COUNTIF('All Stats'!$D$6:$D$172,'All Stats'!D110)-1)/2)/(COUNT('All Stats'!$D$6:$D$172)-1))^'Specialisation Scenarios'!$X$10,100*((COUNTIF('All Stats'!$G$6:$G$172,"&lt;"&amp;'All Stats'!G110)+(COUNTIF('All Stats'!$G$6:$G$172,'All Stats'!G110)-1)/2)/(COUNT('All Stats'!$G$6:$G$172)-1))^'Specialisation Scenarios'!$X$10,100*((COUNTIF('All Stats'!$I$6:$I$172,"&lt;"&amp;'All Stats'!I110)+(COUNTIF('All Stats'!$I$6:$I$172,'All Stats'!I110)-1)/2)/(COUNT('All Stats'!$I$6:$I$172)-1))^'Specialisation Scenarios'!$X$10))</x:f>
        <x:v>13.995401369182348</x:v>
      </x:c>
      <x:c r="D110" s="576" t="n">
        <x:f>IF($A110="","",AVERAGE(100*((COUNTIF('All Stats'!$R$6:$R$172,"&lt;"&amp;'All Stats'!R110)+(COUNTIF('All Stats'!$R$6:$R$172,'All Stats'!R110)-1)/2)/(COUNT('All Stats'!$R$6:$R$172)-1))^'Specialisation Scenarios'!$X$10,100*((COUNTIF('All Stats'!$U$6:$U$172,"&lt;"&amp;'All Stats'!U110)+(COUNTIF('All Stats'!$U$6:$U$172,'All Stats'!U110)-1)/2)/(COUNT('All Stats'!$U$6:$U$172)-1))^'Specialisation Scenarios'!$X$10,100*((COUNTIF('All Stats'!$W$6:$W$172,"&lt;"&amp;'All Stats'!W110)+(COUNTIF('All Stats'!$W$6:$W$172,'All Stats'!W110)-1)/2)/(COUNT('All Stats'!$W$6:$W$172)-1))^'Specialisation Scenarios'!$X$10))</x:f>
        <x:v>16.54623267098773</x:v>
      </x:c>
      <x:c r="E110" s="576" t="n">
        <x:f>IF($A110="","",AVERAGE(100*((COUNTIF('All Stats'!$Y$6:$Y$172,"&lt;"&amp;'All Stats'!Y110)+(COUNTIF('All Stats'!$Y$6:$Y$172,'All Stats'!Y110)-1)/2)/(COUNT('All Stats'!$Y$6:$Y$172)-1))^'Specialisation Scenarios'!$X$10,100*((COUNTIF('All Stats'!$AB$6:$AB$172,"&lt;"&amp;'All Stats'!AB110)+(COUNTIF('All Stats'!$AB$6:$AB$172,'All Stats'!AB110)-1)/2)/(COUNT('All Stats'!$AB$6:$AB$172)-1))^'Specialisation Scenarios'!$X$10,100*((COUNTIF('All Stats'!$AD$6:$AD$172,"&lt;"&amp;'All Stats'!AD110)+(COUNTIF('All Stats'!$AD$6:$AD$172,'All Stats'!AD110)-1)/2)/(COUNT('All Stats'!$AD$6:$AD$172)-1))^'Specialisation Scenarios'!$X$10))</x:f>
        <x:v>22.486556379343238</x:v>
      </x:c>
      <x:c r="F110" s="576" t="n">
        <x:f>IF($A110="","",AVERAGE(100*((COUNTIF('All Stats'!$AF$6:$AF$172,"&lt;"&amp;'All Stats'!AF110)+(COUNTIF('All Stats'!$AF$6:$AF$172,'All Stats'!AF110)-1)/2)/(COUNT('All Stats'!$AF$6:$AF$172)-1))^'Specialisation Scenarios'!$X$10,100*((COUNTIF('All Stats'!$AI$6:$AI$172,"&lt;"&amp;'All Stats'!AI110)+(COUNTIF('All Stats'!$AI$6:$AI$172,'All Stats'!AI110)-1)/2)/(COUNT('All Stats'!$AI$6:$AI$172)-1))^'Specialisation Scenarios'!$X$10,100*((COUNTIF('All Stats'!$AK$6:$AK$172,"&lt;"&amp;'All Stats'!AK110)+(COUNTIF('All Stats'!$AK$6:$AK$172,'All Stats'!AK110)-1)/2)/(COUNT('All Stats'!$AK$6:$AK$172)-1))^'Specialisation Scenarios'!$X$10))</x:f>
        <x:v>18.128021603346046</x:v>
      </x:c>
      <x:c r="G110" s="576" t="n">
        <x:f>IF($A110="","",C110*'Specialisation Scenarios'!$X$11+D110*'Specialisation Scenarios'!$X$12+E110*'Specialisation Scenarios'!$X$13+F110*'Specialisation Scenarios'!$X$14)</x:f>
        <x:v>16.99490868640622</x:v>
      </x:c>
      <x:c r="H110" s="576" t="n">
        <x:f>IF(SUMIFS('Specialisation Impact'!$E$19:$E$186,'Specialisation Impact'!$A$19:$A$186,A110,'Specialisation Impact'!$B$19:$B$186,B110)=0,"",SUMIFS('Specialisation Impact'!$S$19:$S$186,'Specialisation Impact'!$A$19:$A$186,A110,'Specialisation Impact'!$B$19:$B$186,B110))</x:f>
        <x:v>5.8441558441558445</x:v>
      </x:c>
      <x:c r="I110" s="580" t="n">
        <x:f>IF(SUMIFS('Specialisation Impact'!$E$19:$E$186,'Specialisation Impact'!$A$19:$A$186,A110,'Specialisation Impact'!$B$19:$B$186,B110)=0,0,SUMIFS('Specialisation Impact'!$F$19:$F$186,'Specialisation Impact'!$A$19:$A$186,A110,'Specialisation Impact'!$B$19:$B$186,B110))</x:f>
        <x:v>1</x:v>
      </x:c>
      <x:c r="J110" s="576" t="n">
        <x:f>G110</x:f>
        <x:v>16.99490868640622</x:v>
      </x:c>
      <x:c r="K110" s="576" t="n">
        <x:f>IF(G110="","",IF(I110=0,G110,MAX(0,MIN(100,G110*(1-'Specialisation Scenarios'!$B$8*I110)+H110*('Specialisation Scenarios'!$B$8*I110)))))</x:f>
        <x:v>14.207220475843625</x:v>
      </x:c>
      <x:c r="L110" s="576" t="n">
        <x:f>IF(G110="","",IF(I110=0,G110,MAX(0,MIN(100,G110*(1-'Specialisation Scenarios'!$B$9*I110)+H110*('Specialisation Scenarios'!$B$9*I110)))))</x:f>
        <x:v>13.092145191618588</x:v>
      </x:c>
      <x:c r="M110" s="576" t="str">
        <x:f>IF(COUNTIFS('Tank &amp; Control'!$A$23:$A$189,A110,'Tank &amp; Control'!$B$23:$B$189,B110,'Tank &amp; Control'!$C$23:$C$189,"Yes")&gt;0,"Yes","No")</x:f>
        <x:v>No</x:v>
      </x:c>
      <x:c r="N110" s="576" t="str">
        <x:f>IF(M110&lt;&gt;"Yes","",SUMIFS('Tank &amp; Control'!$L$23:$L$189,'Tank &amp; Control'!$A$23:$A$189,A110,'Tank &amp; Control'!$B$23:$B$189,B110))</x:f>
      </x:c>
      <x:c r="O110" s="576" t="n">
        <x:f>IF(SUMIFS('Specialisation Impact'!$M$19:$M$186,'Specialisation Impact'!$A$19:$A$186,A110,'Specialisation Impact'!$B$19:$B$186,B110)=0,"",SUMIFS('Specialisation Impact'!$V$19:$V$186,'Specialisation Impact'!$A$19:$A$186,A110,'Specialisation Impact'!$B$19:$B$186,B110))</x:f>
        <x:v>79.91452991452991</x:v>
      </x:c>
      <x:c r="P110" s="576" t="str">
        <x:f>IF(N110="","",N110)</x:f>
      </x:c>
      <x:c r="Q110" s="576" t="str">
        <x:f>IF(N110="","",IF(AC110=0,N110,MAX(0,MIN(100,N110*(1-'Specialisation Scenarios'!$B$8*AC110)+O110*('Specialisation Scenarios'!$B$8*AC110)))))</x:f>
      </x:c>
      <x:c r="R110" s="576" t="str">
        <x:f>IF(N110="","",IF(AC110=0,N110,MAX(0,MIN(100,N110*(1-'Specialisation Scenarios'!$B$9*AC110)+O110*('Specialisation Scenarios'!$B$9*AC110)))))</x:f>
      </x:c>
      <x:c r="S110" s="584" t="n">
        <x:f>IF(J110="","",COUNTIFS($A$6:$A$172,A110,$J$6:$J$172,"&gt;"&amp;J110)+COUNTIFS($A$6:A110,A110,$J$6:J110,J110))</x:f>
        <x:v>19</x:v>
      </x:c>
      <x:c r="T110" s="584" t="n">
        <x:f>IF(K110="","",COUNTIFS($A$6:$A$172,A110,$K$6:$K$172,"&gt;"&amp;K110)+COUNTIFS($A$6:A110,A110,$K$6:K110,K110))</x:f>
        <x:v>21</x:v>
      </x:c>
      <x:c r="U110" s="584" t="n">
        <x:f>IF(L110="","",COUNTIFS($A$6:$A$172,A110,$L$6:$L$172,"&gt;"&amp;L110)+COUNTIFS($A$6:A110,A110,$L$6:L110,L110))</x:f>
        <x:v>21</x:v>
      </x:c>
      <x:c r="V110" s="584" t="str">
        <x:f>IF(P110="","",COUNTIFS($A$6:$A$172,A110,$P$6:$P$172,"&gt;"&amp;P110)+COUNTIFS($A$6:A110,A110,$P$6:P110,P110))</x:f>
      </x:c>
      <x:c r="W110" s="584" t="str">
        <x:f>IF(Q110="","",COUNTIFS($A$6:$A$172,A110,$Q$6:$Q$172,"&gt;"&amp;Q110)+COUNTIFS($A$6:A110,A110,$Q$6:Q110,Q110))</x:f>
      </x:c>
      <x:c r="X110" s="584" t="str">
        <x:f>IF(R110="","",COUNTIFS($A$6:$A$172,A110,$R$6:$R$172,"&gt;"&amp;R110)+COUNTIFS($A$6:A110,A110,$R$6:R110,R110))</x:f>
      </x:c>
      <x:c r="Y110" s="572" t="str">
        <x:f>IF(V110="","",A110&amp;"|"&amp;V110)</x:f>
      </x:c>
      <x:c r="Z110" s="572" t="str">
        <x:f>IF(W110="","",A110&amp;"|"&amp;W110)</x:f>
      </x:c>
      <x:c r="AA110" s="572" t="str">
        <x:f>IF(X110="","",A110&amp;"|"&amp;X110)</x:f>
      </x:c>
      <x:c r="AB110" s="572" t="str">
        <x:f>IF(A110="","",IF(I110=0,"Offense neutral — no recorded offensive skills",IF(I110&lt;1,"Partial lookup — adjustment scaled",IF(AND(M110="Yes",AC110=0),"Offense adjusted; Guard neutral","Captured"))))</x:f>
        <x:v>Captured</x:v>
      </x:c>
      <x:c r="AC110" s="580" t="n">
        <x:f>IF(SUMIFS('Specialisation Impact'!$M$19:$M$186,'Specialisation Impact'!$A$19:$A$186,A110,'Specialisation Impact'!$B$19:$B$186,B110)=0,0,SUMIFS('Specialisation Impact'!$F$19:$F$186,'Specialisation Impact'!$A$19:$A$186,A110,'Specialisation Impact'!$B$19:$B$186,B110))</x:f>
        <x:v>1</x:v>
      </x:c>
    </x:row>
    <x:row r="111">
      <x:c r="A111" s="571" t="str">
        <x:v>K170</x:v>
      </x:c>
      <x:c r="B111" s="571" t="str">
        <x:v>(AOT)BAT</x:v>
      </x:c>
      <x:c r="C111" s="575" t="n">
        <x:f>IF($A111="","",AVERAGE(100*((COUNTIF('All Stats'!$D$6:$D$172,"&lt;"&amp;'All Stats'!D111)+(COUNTIF('All Stats'!$D$6:$D$172,'All Stats'!D111)-1)/2)/(COUNT('All Stats'!$D$6:$D$172)-1))^'Specialisation Scenarios'!$X$10,100*((COUNTIF('All Stats'!$G$6:$G$172,"&lt;"&amp;'All Stats'!G111)+(COUNTIF('All Stats'!$G$6:$G$172,'All Stats'!G111)-1)/2)/(COUNT('All Stats'!$G$6:$G$172)-1))^'Specialisation Scenarios'!$X$10,100*((COUNTIF('All Stats'!$I$6:$I$172,"&lt;"&amp;'All Stats'!I111)+(COUNTIF('All Stats'!$I$6:$I$172,'All Stats'!I111)-1)/2)/(COUNT('All Stats'!$I$6:$I$172)-1))^'Specialisation Scenarios'!$X$10))</x:f>
        <x:v>12.148404317830597</x:v>
      </x:c>
      <x:c r="D111" s="575" t="n">
        <x:f>IF($A111="","",AVERAGE(100*((COUNTIF('All Stats'!$R$6:$R$172,"&lt;"&amp;'All Stats'!R111)+(COUNTIF('All Stats'!$R$6:$R$172,'All Stats'!R111)-1)/2)/(COUNT('All Stats'!$R$6:$R$172)-1))^'Specialisation Scenarios'!$X$10,100*((COUNTIF('All Stats'!$U$6:$U$172,"&lt;"&amp;'All Stats'!U111)+(COUNTIF('All Stats'!$U$6:$U$172,'All Stats'!U111)-1)/2)/(COUNT('All Stats'!$U$6:$U$172)-1))^'Specialisation Scenarios'!$X$10,100*((COUNTIF('All Stats'!$W$6:$W$172,"&lt;"&amp;'All Stats'!W111)+(COUNTIF('All Stats'!$W$6:$W$172,'All Stats'!W111)-1)/2)/(COUNT('All Stats'!$W$6:$W$172)-1))^'Specialisation Scenarios'!$X$10))</x:f>
        <x:v>40.470466433297894</x:v>
      </x:c>
      <x:c r="E111" s="575" t="n">
        <x:f>IF($A111="","",AVERAGE(100*((COUNTIF('All Stats'!$Y$6:$Y$172,"&lt;"&amp;'All Stats'!Y111)+(COUNTIF('All Stats'!$Y$6:$Y$172,'All Stats'!Y111)-1)/2)/(COUNT('All Stats'!$Y$6:$Y$172)-1))^'Specialisation Scenarios'!$X$10,100*((COUNTIF('All Stats'!$AB$6:$AB$172,"&lt;"&amp;'All Stats'!AB111)+(COUNTIF('All Stats'!$AB$6:$AB$172,'All Stats'!AB111)-1)/2)/(COUNT('All Stats'!$AB$6:$AB$172)-1))^'Specialisation Scenarios'!$X$10,100*((COUNTIF('All Stats'!$AD$6:$AD$172,"&lt;"&amp;'All Stats'!AD111)+(COUNTIF('All Stats'!$AD$6:$AD$172,'All Stats'!AD111)-1)/2)/(COUNT('All Stats'!$AD$6:$AD$172)-1))^'Specialisation Scenarios'!$X$10))</x:f>
        <x:v>3.6880714415333524</x:v>
      </x:c>
      <x:c r="F111" s="575" t="n">
        <x:f>IF($A111="","",AVERAGE(100*((COUNTIF('All Stats'!$AF$6:$AF$172,"&lt;"&amp;'All Stats'!AF111)+(COUNTIF('All Stats'!$AF$6:$AF$172,'All Stats'!AF111)-1)/2)/(COUNT('All Stats'!$AF$6:$AF$172)-1))^'Specialisation Scenarios'!$X$10,100*((COUNTIF('All Stats'!$AI$6:$AI$172,"&lt;"&amp;'All Stats'!AI111)+(COUNTIF('All Stats'!$AI$6:$AI$172,'All Stats'!AI111)-1)/2)/(COUNT('All Stats'!$AI$6:$AI$172)-1))^'Specialisation Scenarios'!$X$10,100*((COUNTIF('All Stats'!$AK$6:$AK$172,"&lt;"&amp;'All Stats'!AK111)+(COUNTIF('All Stats'!$AK$6:$AK$172,'All Stats'!AK111)-1)/2)/(COUNT('All Stats'!$AK$6:$AK$172)-1))^'Specialisation Scenarios'!$X$10))</x:f>
        <x:v>6.482425089066716</x:v>
      </x:c>
      <x:c r="G111" s="575" t="n">
        <x:f>IF($A111="","",C111*'Specialisation Scenarios'!$X$11+D111*'Specialisation Scenarios'!$X$12+E111*'Specialisation Scenarios'!$X$13+F111*'Specialisation Scenarios'!$X$14)</x:f>
        <x:v>27.44571141516667</x:v>
      </x:c>
      <x:c r="H111" s="575" t="n">
        <x:f>IF(SUMIFS('Specialisation Impact'!$E$19:$E$186,'Specialisation Impact'!$A$19:$A$186,A111,'Specialisation Impact'!$B$19:$B$186,B111)=0,"",SUMIFS('Specialisation Impact'!$S$19:$S$186,'Specialisation Impact'!$A$19:$A$186,A111,'Specialisation Impact'!$B$19:$B$186,B111))</x:f>
        <x:v>27.20779220779221</x:v>
      </x:c>
      <x:c r="I111" s="579" t="n">
        <x:f>IF(SUMIFS('Specialisation Impact'!$E$19:$E$186,'Specialisation Impact'!$A$19:$A$186,A111,'Specialisation Impact'!$B$19:$B$186,B111)=0,0,SUMIFS('Specialisation Impact'!$F$19:$F$186,'Specialisation Impact'!$A$19:$A$186,A111,'Specialisation Impact'!$B$19:$B$186,B111))</x:f>
        <x:v>1</x:v>
      </x:c>
      <x:c r="J111" s="575" t="n">
        <x:f>G111</x:f>
        <x:v>27.44571141516667</x:v>
      </x:c>
      <x:c r="K111" s="575" t="n">
        <x:f>IF(G111="","",IF(I111=0,G111,MAX(0,MIN(100,G111*(1-'Specialisation Scenarios'!$B$8*I111)+H111*('Specialisation Scenarios'!$B$8*I111)))))</x:f>
        <x:v>27.386231613323055</x:v>
      </x:c>
      <x:c r="L111" s="575" t="n">
        <x:f>IF(G111="","",IF(I111=0,G111,MAX(0,MIN(100,G111*(1-'Specialisation Scenarios'!$B$9*I111)+H111*('Specialisation Scenarios'!$B$9*I111)))))</x:f>
        <x:v>27.36243969258561</x:v>
      </x:c>
      <x:c r="M111" s="575" t="str">
        <x:f>IF(COUNTIFS('Tank &amp; Control'!$A$23:$A$189,A111,'Tank &amp; Control'!$B$23:$B$189,B111,'Tank &amp; Control'!$C$23:$C$189,"Yes")&gt;0,"Yes","No")</x:f>
        <x:v>No</x:v>
      </x:c>
      <x:c r="N111" s="575" t="str">
        <x:f>IF(M111&lt;&gt;"Yes","",SUMIFS('Tank &amp; Control'!$L$23:$L$189,'Tank &amp; Control'!$A$23:$A$189,A111,'Tank &amp; Control'!$B$23:$B$189,B111))</x:f>
      </x:c>
      <x:c r="O111" s="575" t="n">
        <x:f>IF(SUMIFS('Specialisation Impact'!$M$19:$M$186,'Specialisation Impact'!$A$19:$A$186,A111,'Specialisation Impact'!$B$19:$B$186,B111)=0,"",SUMIFS('Specialisation Impact'!$V$19:$V$186,'Specialisation Impact'!$A$19:$A$186,A111,'Specialisation Impact'!$B$19:$B$186,B111))</x:f>
        <x:v>79.91452991452991</x:v>
      </x:c>
      <x:c r="P111" s="575" t="str">
        <x:f>IF(N111="","",N111)</x:f>
      </x:c>
      <x:c r="Q111" s="575" t="str">
        <x:f>IF(N111="","",IF(AC111=0,N111,MAX(0,MIN(100,N111*(1-'Specialisation Scenarios'!$B$8*AC111)+O111*('Specialisation Scenarios'!$B$8*AC111)))))</x:f>
      </x:c>
      <x:c r="R111" s="575" t="str">
        <x:f>IF(N111="","",IF(AC111=0,N111,MAX(0,MIN(100,N111*(1-'Specialisation Scenarios'!$B$9*AC111)+O111*('Specialisation Scenarios'!$B$9*AC111)))))</x:f>
      </x:c>
      <x:c r="S111" s="583" t="n">
        <x:f>IF(J111="","",COUNTIFS($A$6:$A$172,A111,$J$6:$J$172,"&gt;"&amp;J111)+COUNTIFS($A$6:A111,A111,$J$6:J111,J111))</x:f>
        <x:v>13</x:v>
      </x:c>
      <x:c r="T111" s="583" t="n">
        <x:f>IF(K111="","",COUNTIFS($A$6:$A$172,A111,$K$6:$K$172,"&gt;"&amp;K111)+COUNTIFS($A$6:A111,A111,$K$6:K111,K111))</x:f>
        <x:v>15</x:v>
      </x:c>
      <x:c r="U111" s="583" t="n">
        <x:f>IF(L111="","",COUNTIFS($A$6:$A$172,A111,$L$6:$L$172,"&gt;"&amp;L111)+COUNTIFS($A$6:A111,A111,$L$6:L111,L111))</x:f>
        <x:v>16</x:v>
      </x:c>
      <x:c r="V111" s="583" t="str">
        <x:f>IF(P111="","",COUNTIFS($A$6:$A$172,A111,$P$6:$P$172,"&gt;"&amp;P111)+COUNTIFS($A$6:A111,A111,$P$6:P111,P111))</x:f>
      </x:c>
      <x:c r="W111" s="583" t="str">
        <x:f>IF(Q111="","",COUNTIFS($A$6:$A$172,A111,$Q$6:$Q$172,"&gt;"&amp;Q111)+COUNTIFS($A$6:A111,A111,$Q$6:Q111,Q111))</x:f>
      </x:c>
      <x:c r="X111" s="583" t="str">
        <x:f>IF(R111="","",COUNTIFS($A$6:$A$172,A111,$R$6:$R$172,"&gt;"&amp;R111)+COUNTIFS($A$6:A111,A111,$R$6:R111,R111))</x:f>
      </x:c>
      <x:c r="Y111" s="571" t="str">
        <x:f>IF(V111="","",A111&amp;"|"&amp;V111)</x:f>
      </x:c>
      <x:c r="Z111" s="571" t="str">
        <x:f>IF(W111="","",A111&amp;"|"&amp;W111)</x:f>
      </x:c>
      <x:c r="AA111" s="571" t="str">
        <x:f>IF(X111="","",A111&amp;"|"&amp;X111)</x:f>
      </x:c>
      <x:c r="AB111" s="571" t="str">
        <x:f>IF(A111="","",IF(I111=0,"Offense neutral — no recorded offensive skills",IF(I111&lt;1,"Partial lookup — adjustment scaled",IF(AND(M111="Yes",AC111=0),"Offense adjusted; Guard neutral","Captured"))))</x:f>
        <x:v>Captured</x:v>
      </x:c>
      <x:c r="AC111" s="579" t="n">
        <x:f>IF(SUMIFS('Specialisation Impact'!$M$19:$M$186,'Specialisation Impact'!$A$19:$A$186,A111,'Specialisation Impact'!$B$19:$B$186,B111)=0,0,SUMIFS('Specialisation Impact'!$F$19:$F$186,'Specialisation Impact'!$A$19:$A$186,A111,'Specialisation Impact'!$B$19:$B$186,B111))</x:f>
        <x:v>1</x:v>
      </x:c>
    </x:row>
    <x:row r="112">
      <x:c r="A112" s="572" t="str">
        <x:v>K170</x:v>
      </x:c>
      <x:c r="B112" s="572" t="str">
        <x:v>(AOT)金木研_254</x:v>
      </x:c>
      <x:c r="C112" s="576" t="n">
        <x:f>IF($A112="","",AVERAGE(100*((COUNTIF('All Stats'!$D$6:$D$172,"&lt;"&amp;'All Stats'!D112)+(COUNTIF('All Stats'!$D$6:$D$172,'All Stats'!D112)-1)/2)/(COUNT('All Stats'!$D$6:$D$172)-1))^'Specialisation Scenarios'!$X$10,100*((COUNTIF('All Stats'!$G$6:$G$172,"&lt;"&amp;'All Stats'!G112)+(COUNTIF('All Stats'!$G$6:$G$172,'All Stats'!G112)-1)/2)/(COUNT('All Stats'!$G$6:$G$172)-1))^'Specialisation Scenarios'!$X$10,100*((COUNTIF('All Stats'!$I$6:$I$172,"&lt;"&amp;'All Stats'!I112)+(COUNTIF('All Stats'!$I$6:$I$172,'All Stats'!I112)-1)/2)/(COUNT('All Stats'!$I$6:$I$172)-1))^'Specialisation Scenarios'!$X$10))</x:f>
        <x:v>9.863571172333428</x:v>
      </x:c>
      <x:c r="D112" s="576" t="n">
        <x:f>IF($A112="","",AVERAGE(100*((COUNTIF('All Stats'!$R$6:$R$172,"&lt;"&amp;'All Stats'!R112)+(COUNTIF('All Stats'!$R$6:$R$172,'All Stats'!R112)-1)/2)/(COUNT('All Stats'!$R$6:$R$172)-1))^'Specialisation Scenarios'!$X$10,100*((COUNTIF('All Stats'!$U$6:$U$172,"&lt;"&amp;'All Stats'!U112)+(COUNTIF('All Stats'!$U$6:$U$172,'All Stats'!U112)-1)/2)/(COUNT('All Stats'!$U$6:$U$172)-1))^'Specialisation Scenarios'!$X$10,100*((COUNTIF('All Stats'!$W$6:$W$172,"&lt;"&amp;'All Stats'!W112)+(COUNTIF('All Stats'!$W$6:$W$172,'All Stats'!W112)-1)/2)/(COUNT('All Stats'!$W$6:$W$172)-1))^'Specialisation Scenarios'!$X$10))</x:f>
        <x:v>34.90817556009759</x:v>
      </x:c>
      <x:c r="E112" s="576" t="n">
        <x:f>IF($A112="","",AVERAGE(100*((COUNTIF('All Stats'!$Y$6:$Y$172,"&lt;"&amp;'All Stats'!Y112)+(COUNTIF('All Stats'!$Y$6:$Y$172,'All Stats'!Y112)-1)/2)/(COUNT('All Stats'!$Y$6:$Y$172)-1))^'Specialisation Scenarios'!$X$10,100*((COUNTIF('All Stats'!$AB$6:$AB$172,"&lt;"&amp;'All Stats'!AB112)+(COUNTIF('All Stats'!$AB$6:$AB$172,'All Stats'!AB112)-1)/2)/(COUNT('All Stats'!$AB$6:$AB$172)-1))^'Specialisation Scenarios'!$X$10,100*((COUNTIF('All Stats'!$AD$6:$AD$172,"&lt;"&amp;'All Stats'!AD112)+(COUNTIF('All Stats'!$AD$6:$AD$172,'All Stats'!AD112)-1)/2)/(COUNT('All Stats'!$AD$6:$AD$172)-1))^'Specialisation Scenarios'!$X$10))</x:f>
        <x:v>2.685781699786397</x:v>
      </x:c>
      <x:c r="F112" s="576" t="n">
        <x:f>IF($A112="","",AVERAGE(100*((COUNTIF('All Stats'!$AF$6:$AF$172,"&lt;"&amp;'All Stats'!AF112)+(COUNTIF('All Stats'!$AF$6:$AF$172,'All Stats'!AF112)-1)/2)/(COUNT('All Stats'!$AF$6:$AF$172)-1))^'Specialisation Scenarios'!$X$10,100*((COUNTIF('All Stats'!$AI$6:$AI$172,"&lt;"&amp;'All Stats'!AI112)+(COUNTIF('All Stats'!$AI$6:$AI$172,'All Stats'!AI112)-1)/2)/(COUNT('All Stats'!$AI$6:$AI$172)-1))^'Specialisation Scenarios'!$X$10,100*((COUNTIF('All Stats'!$AK$6:$AK$172,"&lt;"&amp;'All Stats'!AK112)+(COUNTIF('All Stats'!$AK$6:$AK$172,'All Stats'!AK112)-1)/2)/(COUNT('All Stats'!$AK$6:$AK$172)-1))^'Specialisation Scenarios'!$X$10))</x:f>
        <x:v>9.122389355993468</x:v>
      </x:c>
      <x:c r="G112" s="576" t="n">
        <x:f>IF($A112="","",C112*'Specialisation Scenarios'!$X$11+D112*'Specialisation Scenarios'!$X$12+E112*'Specialisation Scenarios'!$X$13+F112*'Specialisation Scenarios'!$X$14)</x:f>
        <x:v>24.061377585286227</x:v>
      </x:c>
      <x:c r="H112" s="576" t="n">
        <x:f>IF(SUMIFS('Specialisation Impact'!$E$19:$E$186,'Specialisation Impact'!$A$19:$A$186,A112,'Specialisation Impact'!$B$19:$B$186,B112)=0,"",SUMIFS('Specialisation Impact'!$S$19:$S$186,'Specialisation Impact'!$A$19:$A$186,A112,'Specialisation Impact'!$B$19:$B$186,B112))</x:f>
        <x:v>36.94805194805195</x:v>
      </x:c>
      <x:c r="I112" s="580" t="n">
        <x:f>IF(SUMIFS('Specialisation Impact'!$E$19:$E$186,'Specialisation Impact'!$A$19:$A$186,A112,'Specialisation Impact'!$B$19:$B$186,B112)=0,0,SUMIFS('Specialisation Impact'!$F$19:$F$186,'Specialisation Impact'!$A$19:$A$186,A112,'Specialisation Impact'!$B$19:$B$186,B112))</x:f>
        <x:v>1</x:v>
      </x:c>
      <x:c r="J112" s="576" t="n">
        <x:f>G112</x:f>
        <x:v>24.061377585286227</x:v>
      </x:c>
      <x:c r="K112" s="576" t="n">
        <x:f>IF(G112="","",IF(I112=0,G112,MAX(0,MIN(100,G112*(1-'Specialisation Scenarios'!$B$8*I112)+H112*('Specialisation Scenarios'!$B$8*I112)))))</x:f>
        <x:v>27.28304617597766</x:v>
      </x:c>
      <x:c r="L112" s="576" t="n">
        <x:f>IF(G112="","",IF(I112=0,G112,MAX(0,MIN(100,G112*(1-'Specialisation Scenarios'!$B$9*I112)+H112*('Specialisation Scenarios'!$B$9*I112)))))</x:f>
        <x:v>28.57171361225423</x:v>
      </x:c>
      <x:c r="M112" s="576" t="str">
        <x:f>IF(COUNTIFS('Tank &amp; Control'!$A$23:$A$189,A112,'Tank &amp; Control'!$B$23:$B$189,B112,'Tank &amp; Control'!$C$23:$C$189,"Yes")&gt;0,"Yes","No")</x:f>
        <x:v>No</x:v>
      </x:c>
      <x:c r="N112" s="576" t="str">
        <x:f>IF(M112&lt;&gt;"Yes","",SUMIFS('Tank &amp; Control'!$L$23:$L$189,'Tank &amp; Control'!$A$23:$A$189,A112,'Tank &amp; Control'!$B$23:$B$189,B112))</x:f>
      </x:c>
      <x:c r="O112" s="576" t="n">
        <x:f>IF(SUMIFS('Specialisation Impact'!$M$19:$M$186,'Specialisation Impact'!$A$19:$A$186,A112,'Specialisation Impact'!$B$19:$B$186,B112)=0,"",SUMIFS('Specialisation Impact'!$V$19:$V$186,'Specialisation Impact'!$A$19:$A$186,A112,'Specialisation Impact'!$B$19:$B$186,B112))</x:f>
        <x:v>60.25641025641025</x:v>
      </x:c>
      <x:c r="P112" s="576" t="str">
        <x:f>IF(N112="","",N112)</x:f>
      </x:c>
      <x:c r="Q112" s="576" t="str">
        <x:f>IF(N112="","",IF(AC112=0,N112,MAX(0,MIN(100,N112*(1-'Specialisation Scenarios'!$B$8*AC112)+O112*('Specialisation Scenarios'!$B$8*AC112)))))</x:f>
      </x:c>
      <x:c r="R112" s="576" t="str">
        <x:f>IF(N112="","",IF(AC112=0,N112,MAX(0,MIN(100,N112*(1-'Specialisation Scenarios'!$B$9*AC112)+O112*('Specialisation Scenarios'!$B$9*AC112)))))</x:f>
      </x:c>
      <x:c r="S112" s="584" t="n">
        <x:f>IF(J112="","",COUNTIFS($A$6:$A$172,A112,$J$6:$J$172,"&gt;"&amp;J112)+COUNTIFS($A$6:A112,A112,$J$6:J112,J112))</x:f>
        <x:v>17</x:v>
      </x:c>
      <x:c r="T112" s="584" t="n">
        <x:f>IF(K112="","",COUNTIFS($A$6:$A$172,A112,$K$6:$K$172,"&gt;"&amp;K112)+COUNTIFS($A$6:A112,A112,$K$6:K112,K112))</x:f>
        <x:v>16</x:v>
      </x:c>
      <x:c r="U112" s="584" t="n">
        <x:f>IF(L112="","",COUNTIFS($A$6:$A$172,A112,$L$6:$L$172,"&gt;"&amp;L112)+COUNTIFS($A$6:A112,A112,$L$6:L112,L112))</x:f>
        <x:v>15</x:v>
      </x:c>
      <x:c r="V112" s="584" t="str">
        <x:f>IF(P112="","",COUNTIFS($A$6:$A$172,A112,$P$6:$P$172,"&gt;"&amp;P112)+COUNTIFS($A$6:A112,A112,$P$6:P112,P112))</x:f>
      </x:c>
      <x:c r="W112" s="584" t="str">
        <x:f>IF(Q112="","",COUNTIFS($A$6:$A$172,A112,$Q$6:$Q$172,"&gt;"&amp;Q112)+COUNTIFS($A$6:A112,A112,$Q$6:Q112,Q112))</x:f>
      </x:c>
      <x:c r="X112" s="584" t="str">
        <x:f>IF(R112="","",COUNTIFS($A$6:$A$172,A112,$R$6:$R$172,"&gt;"&amp;R112)+COUNTIFS($A$6:A112,A112,$R$6:R112,R112))</x:f>
      </x:c>
      <x:c r="Y112" s="572" t="str">
        <x:f>IF(V112="","",A112&amp;"|"&amp;V112)</x:f>
      </x:c>
      <x:c r="Z112" s="572" t="str">
        <x:f>IF(W112="","",A112&amp;"|"&amp;W112)</x:f>
      </x:c>
      <x:c r="AA112" s="572" t="str">
        <x:f>IF(X112="","",A112&amp;"|"&amp;X112)</x:f>
      </x:c>
      <x:c r="AB112" s="572" t="str">
        <x:f>IF(A112="","",IF(I112=0,"Offense neutral — no recorded offensive skills",IF(I112&lt;1,"Partial lookup — adjustment scaled",IF(AND(M112="Yes",AC112=0),"Offense adjusted; Guard neutral","Captured"))))</x:f>
        <x:v>Captured</x:v>
      </x:c>
      <x:c r="AC112" s="580" t="n">
        <x:f>IF(SUMIFS('Specialisation Impact'!$M$19:$M$186,'Specialisation Impact'!$A$19:$A$186,A112,'Specialisation Impact'!$B$19:$B$186,B112)=0,0,SUMIFS('Specialisation Impact'!$F$19:$F$186,'Specialisation Impact'!$A$19:$A$186,A112,'Specialisation Impact'!$B$19:$B$186,B112))</x:f>
        <x:v>1</x:v>
      </x:c>
    </x:row>
    <x:row r="113">
      <x:c r="A113" s="571" t="str">
        <x:v>K170</x:v>
      </x:c>
      <x:c r="B113" s="571" t="str">
        <x:v>(AOT)MG·Yu</x:v>
      </x:c>
      <x:c r="C113" s="575" t="n">
        <x:f>IF($A113="","",AVERAGE(100*((COUNTIF('All Stats'!$D$6:$D$172,"&lt;"&amp;'All Stats'!D113)+(COUNTIF('All Stats'!$D$6:$D$172,'All Stats'!D113)-1)/2)/(COUNT('All Stats'!$D$6:$D$172)-1))^'Specialisation Scenarios'!$X$10,100*((COUNTIF('All Stats'!$G$6:$G$172,"&lt;"&amp;'All Stats'!G113)+(COUNTIF('All Stats'!$G$6:$G$172,'All Stats'!G113)-1)/2)/(COUNT('All Stats'!$G$6:$G$172)-1))^'Specialisation Scenarios'!$X$10,100*((COUNTIF('All Stats'!$I$6:$I$172,"&lt;"&amp;'All Stats'!I113)+(COUNTIF('All Stats'!$I$6:$I$172,'All Stats'!I113)-1)/2)/(COUNT('All Stats'!$I$6:$I$172)-1))^'Specialisation Scenarios'!$X$10))</x:f>
        <x:v>69.87412185762877</x:v>
      </x:c>
      <x:c r="D113" s="575" t="n">
        <x:f>IF($A113="","",AVERAGE(100*((COUNTIF('All Stats'!$R$6:$R$172,"&lt;"&amp;'All Stats'!R113)+(COUNTIF('All Stats'!$R$6:$R$172,'All Stats'!R113)-1)/2)/(COUNT('All Stats'!$R$6:$R$172)-1))^'Specialisation Scenarios'!$X$10,100*((COUNTIF('All Stats'!$U$6:$U$172,"&lt;"&amp;'All Stats'!U113)+(COUNTIF('All Stats'!$U$6:$U$172,'All Stats'!U113)-1)/2)/(COUNT('All Stats'!$U$6:$U$172)-1))^'Specialisation Scenarios'!$X$10,100*((COUNTIF('All Stats'!$W$6:$W$172,"&lt;"&amp;'All Stats'!W113)+(COUNTIF('All Stats'!$W$6:$W$172,'All Stats'!W113)-1)/2)/(COUNT('All Stats'!$W$6:$W$172)-1))^'Specialisation Scenarios'!$X$10))</x:f>
        <x:v>78.29242324615818</x:v>
      </x:c>
      <x:c r="E113" s="575" t="n">
        <x:f>IF($A113="","",AVERAGE(100*((COUNTIF('All Stats'!$Y$6:$Y$172,"&lt;"&amp;'All Stats'!Y113)+(COUNTIF('All Stats'!$Y$6:$Y$172,'All Stats'!Y113)-1)/2)/(COUNT('All Stats'!$Y$6:$Y$172)-1))^'Specialisation Scenarios'!$X$10,100*((COUNTIF('All Stats'!$AB$6:$AB$172,"&lt;"&amp;'All Stats'!AB113)+(COUNTIF('All Stats'!$AB$6:$AB$172,'All Stats'!AB113)-1)/2)/(COUNT('All Stats'!$AB$6:$AB$172)-1))^'Specialisation Scenarios'!$X$10,100*((COUNTIF('All Stats'!$AD$6:$AD$172,"&lt;"&amp;'All Stats'!AD113)+(COUNTIF('All Stats'!$AD$6:$AD$172,'All Stats'!AD113)-1)/2)/(COUNT('All Stats'!$AD$6:$AD$172)-1))^'Specialisation Scenarios'!$X$10))</x:f>
        <x:v>90.216613736636</x:v>
      </x:c>
      <x:c r="F113" s="575" t="n">
        <x:f>IF($A113="","",AVERAGE(100*((COUNTIF('All Stats'!$AF$6:$AF$172,"&lt;"&amp;'All Stats'!AF113)+(COUNTIF('All Stats'!$AF$6:$AF$172,'All Stats'!AF113)-1)/2)/(COUNT('All Stats'!$AF$6:$AF$172)-1))^'Specialisation Scenarios'!$X$10,100*((COUNTIF('All Stats'!$AI$6:$AI$172,"&lt;"&amp;'All Stats'!AI113)+(COUNTIF('All Stats'!$AI$6:$AI$172,'All Stats'!AI113)-1)/2)/(COUNT('All Stats'!$AI$6:$AI$172)-1))^'Specialisation Scenarios'!$X$10,100*((COUNTIF('All Stats'!$AK$6:$AK$172,"&lt;"&amp;'All Stats'!AK113)+(COUNTIF('All Stats'!$AK$6:$AK$172,'All Stats'!AK113)-1)/2)/(COUNT('All Stats'!$AK$6:$AK$172)-1))^'Specialisation Scenarios'!$X$10))</x:f>
        <x:v>71.79315895738209</x:v>
      </x:c>
      <x:c r="G113" s="575" t="n">
        <x:f>IF($A113="","",C113*'Specialisation Scenarios'!$X$11+D113*'Specialisation Scenarios'!$X$12+E113*'Specialisation Scenarios'!$X$13+F113*'Specialisation Scenarios'!$X$14)</x:f>
        <x:v>77.24720744361014</x:v>
      </x:c>
      <x:c r="H113" s="575" t="n">
        <x:f>IF(SUMIFS('Specialisation Impact'!$E$19:$E$186,'Specialisation Impact'!$A$19:$A$186,A113,'Specialisation Impact'!$B$19:$B$186,B113)=0,"",SUMIFS('Specialisation Impact'!$S$19:$S$186,'Specialisation Impact'!$A$19:$A$186,A113,'Specialisation Impact'!$B$19:$B$186,B113))</x:f>
        <x:v>91.03896103896105</x:v>
      </x:c>
      <x:c r="I113" s="579" t="n">
        <x:f>IF(SUMIFS('Specialisation Impact'!$E$19:$E$186,'Specialisation Impact'!$A$19:$A$186,A113,'Specialisation Impact'!$B$19:$B$186,B113)=0,0,SUMIFS('Specialisation Impact'!$F$19:$F$186,'Specialisation Impact'!$A$19:$A$186,A113,'Specialisation Impact'!$B$19:$B$186,B113))</x:f>
        <x:v>1</x:v>
      </x:c>
      <x:c r="J113" s="575" t="n">
        <x:f>G113</x:f>
        <x:v>77.24720744361014</x:v>
      </x:c>
      <x:c r="K113" s="575" t="n">
        <x:f>IF(G113="","",IF(I113=0,G113,MAX(0,MIN(100,G113*(1-'Specialisation Scenarios'!$B$8*I113)+H113*('Specialisation Scenarios'!$B$8*I113)))))</x:f>
        <x:v>80.69514584244786</x:v>
      </x:c>
      <x:c r="L113" s="575" t="n">
        <x:f>IF(G113="","",IF(I113=0,G113,MAX(0,MIN(100,G113*(1-'Specialisation Scenarios'!$B$9*I113)+H113*('Specialisation Scenarios'!$B$9*I113)))))</x:f>
        <x:v>82.07432120198295</x:v>
      </x:c>
      <x:c r="M113" s="575" t="str">
        <x:f>IF(COUNTIFS('Tank &amp; Control'!$A$23:$A$189,A113,'Tank &amp; Control'!$B$23:$B$189,B113,'Tank &amp; Control'!$C$23:$C$189,"Yes")&gt;0,"Yes","No")</x:f>
        <x:v>No</x:v>
      </x:c>
      <x:c r="N113" s="575" t="str">
        <x:f>IF(M113&lt;&gt;"Yes","",SUMIFS('Tank &amp; Control'!$L$23:$L$189,'Tank &amp; Control'!$A$23:$A$189,A113,'Tank &amp; Control'!$B$23:$B$189,B113))</x:f>
      </x:c>
      <x:c r="O113" s="575" t="n">
        <x:f>IF(SUMIFS('Specialisation Impact'!$M$19:$M$186,'Specialisation Impact'!$A$19:$A$186,A113,'Specialisation Impact'!$B$19:$B$186,B113)=0,"",SUMIFS('Specialisation Impact'!$V$19:$V$186,'Specialisation Impact'!$A$19:$A$186,A113,'Specialisation Impact'!$B$19:$B$186,B113))</x:f>
        <x:v>73.07692307692308</x:v>
      </x:c>
      <x:c r="P113" s="575" t="str">
        <x:f>IF(N113="","",N113)</x:f>
      </x:c>
      <x:c r="Q113" s="575" t="str">
        <x:f>IF(N113="","",IF(AC113=0,N113,MAX(0,MIN(100,N113*(1-'Specialisation Scenarios'!$B$8*AC113)+O113*('Specialisation Scenarios'!$B$8*AC113)))))</x:f>
      </x:c>
      <x:c r="R113" s="575" t="str">
        <x:f>IF(N113="","",IF(AC113=0,N113,MAX(0,MIN(100,N113*(1-'Specialisation Scenarios'!$B$9*AC113)+O113*('Specialisation Scenarios'!$B$9*AC113)))))</x:f>
      </x:c>
      <x:c r="S113" s="583" t="n">
        <x:f>IF(J113="","",COUNTIFS($A$6:$A$172,A113,$J$6:$J$172,"&gt;"&amp;J113)+COUNTIFS($A$6:A113,A113,$J$6:J113,J113))</x:f>
        <x:v>1</x:v>
      </x:c>
      <x:c r="T113" s="583" t="n">
        <x:f>IF(K113="","",COUNTIFS($A$6:$A$172,A113,$K$6:$K$172,"&gt;"&amp;K113)+COUNTIFS($A$6:A113,A113,$K$6:K113,K113))</x:f>
        <x:v>1</x:v>
      </x:c>
      <x:c r="U113" s="583" t="n">
        <x:f>IF(L113="","",COUNTIFS($A$6:$A$172,A113,$L$6:$L$172,"&gt;"&amp;L113)+COUNTIFS($A$6:A113,A113,$L$6:L113,L113))</x:f>
        <x:v>1</x:v>
      </x:c>
      <x:c r="V113" s="583" t="str">
        <x:f>IF(P113="","",COUNTIFS($A$6:$A$172,A113,$P$6:$P$172,"&gt;"&amp;P113)+COUNTIFS($A$6:A113,A113,$P$6:P113,P113))</x:f>
      </x:c>
      <x:c r="W113" s="583" t="str">
        <x:f>IF(Q113="","",COUNTIFS($A$6:$A$172,A113,$Q$6:$Q$172,"&gt;"&amp;Q113)+COUNTIFS($A$6:A113,A113,$Q$6:Q113,Q113))</x:f>
      </x:c>
      <x:c r="X113" s="583" t="str">
        <x:f>IF(R113="","",COUNTIFS($A$6:$A$172,A113,$R$6:$R$172,"&gt;"&amp;R113)+COUNTIFS($A$6:A113,A113,$R$6:R113,R113))</x:f>
      </x:c>
      <x:c r="Y113" s="571" t="str">
        <x:f>IF(V113="","",A113&amp;"|"&amp;V113)</x:f>
      </x:c>
      <x:c r="Z113" s="571" t="str">
        <x:f>IF(W113="","",A113&amp;"|"&amp;W113)</x:f>
      </x:c>
      <x:c r="AA113" s="571" t="str">
        <x:f>IF(X113="","",A113&amp;"|"&amp;X113)</x:f>
      </x:c>
      <x:c r="AB113" s="571" t="str">
        <x:f>IF(A113="","",IF(I113=0,"Offense neutral — no recorded offensive skills",IF(I113&lt;1,"Partial lookup — adjustment scaled",IF(AND(M113="Yes",AC113=0),"Offense adjusted; Guard neutral","Captured"))))</x:f>
        <x:v>Captured</x:v>
      </x:c>
      <x:c r="AC113" s="579" t="n">
        <x:f>IF(SUMIFS('Specialisation Impact'!$M$19:$M$186,'Specialisation Impact'!$A$19:$A$186,A113,'Specialisation Impact'!$B$19:$B$186,B113)=0,0,SUMIFS('Specialisation Impact'!$F$19:$F$186,'Specialisation Impact'!$A$19:$A$186,A113,'Specialisation Impact'!$B$19:$B$186,B113))</x:f>
        <x:v>1</x:v>
      </x:c>
    </x:row>
    <x:row r="114">
      <x:c r="A114" s="572" t="str">
        <x:v>K170</x:v>
      </x:c>
      <x:c r="B114" s="572" t="str">
        <x:v>(AOT)Markspoon</x:v>
      </x:c>
      <x:c r="C114" s="576" t="n">
        <x:f>IF($A114="","",AVERAGE(100*((COUNTIF('All Stats'!$D$6:$D$172,"&lt;"&amp;'All Stats'!D114)+(COUNTIF('All Stats'!$D$6:$D$172,'All Stats'!D114)-1)/2)/(COUNT('All Stats'!$D$6:$D$172)-1))^'Specialisation Scenarios'!$X$10,100*((COUNTIF('All Stats'!$G$6:$G$172,"&lt;"&amp;'All Stats'!G114)+(COUNTIF('All Stats'!$G$6:$G$172,'All Stats'!G114)-1)/2)/(COUNT('All Stats'!$G$6:$G$172)-1))^'Specialisation Scenarios'!$X$10,100*((COUNTIF('All Stats'!$I$6:$I$172,"&lt;"&amp;'All Stats'!I114)+(COUNTIF('All Stats'!$I$6:$I$172,'All Stats'!I114)-1)/2)/(COUNT('All Stats'!$I$6:$I$172)-1))^'Specialisation Scenarios'!$X$10))</x:f>
        <x:v>12.560425220887637</x:v>
      </x:c>
      <x:c r="D114" s="576" t="n">
        <x:f>IF($A114="","",AVERAGE(100*((COUNTIF('All Stats'!$R$6:$R$172,"&lt;"&amp;'All Stats'!R114)+(COUNTIF('All Stats'!$R$6:$R$172,'All Stats'!R114)-1)/2)/(COUNT('All Stats'!$R$6:$R$172)-1))^'Specialisation Scenarios'!$X$10,100*((COUNTIF('All Stats'!$U$6:$U$172,"&lt;"&amp;'All Stats'!U114)+(COUNTIF('All Stats'!$U$6:$U$172,'All Stats'!U114)-1)/2)/(COUNT('All Stats'!$U$6:$U$172)-1))^'Specialisation Scenarios'!$X$10,100*((COUNTIF('All Stats'!$W$6:$W$172,"&lt;"&amp;'All Stats'!W114)+(COUNTIF('All Stats'!$W$6:$W$172,'All Stats'!W114)-1)/2)/(COUNT('All Stats'!$W$6:$W$172)-1))^'Specialisation Scenarios'!$X$10))</x:f>
        <x:v>12.572788724614803</x:v>
      </x:c>
      <x:c r="E114" s="576" t="n">
        <x:f>IF($A114="","",AVERAGE(100*((COUNTIF('All Stats'!$Y$6:$Y$172,"&lt;"&amp;'All Stats'!Y114)+(COUNTIF('All Stats'!$Y$6:$Y$172,'All Stats'!Y114)-1)/2)/(COUNT('All Stats'!$Y$6:$Y$172)-1))^'Specialisation Scenarios'!$X$10,100*((COUNTIF('All Stats'!$AB$6:$AB$172,"&lt;"&amp;'All Stats'!AB114)+(COUNTIF('All Stats'!$AB$6:$AB$172,'All Stats'!AB114)-1)/2)/(COUNT('All Stats'!$AB$6:$AB$172)-1))^'Specialisation Scenarios'!$X$10,100*((COUNTIF('All Stats'!$AD$6:$AD$172,"&lt;"&amp;'All Stats'!AD114)+(COUNTIF('All Stats'!$AD$6:$AD$172,'All Stats'!AD114)-1)/2)/(COUNT('All Stats'!$AD$6:$AD$172)-1))^'Specialisation Scenarios'!$X$10))</x:f>
        <x:v>30.378732423504403</x:v>
      </x:c>
      <x:c r="F114" s="576" t="n">
        <x:f>IF($A114="","",AVERAGE(100*((COUNTIF('All Stats'!$AF$6:$AF$172,"&lt;"&amp;'All Stats'!AF114)+(COUNTIF('All Stats'!$AF$6:$AF$172,'All Stats'!AF114)-1)/2)/(COUNT('All Stats'!$AF$6:$AF$172)-1))^'Specialisation Scenarios'!$X$10,100*((COUNTIF('All Stats'!$AI$6:$AI$172,"&lt;"&amp;'All Stats'!AI114)+(COUNTIF('All Stats'!$AI$6:$AI$172,'All Stats'!AI114)-1)/2)/(COUNT('All Stats'!$AI$6:$AI$172)-1))^'Specialisation Scenarios'!$X$10,100*((COUNTIF('All Stats'!$AK$6:$AK$172,"&lt;"&amp;'All Stats'!AK114)+(COUNTIF('All Stats'!$AK$6:$AK$172,'All Stats'!AK114)-1)/2)/(COUNT('All Stats'!$AK$6:$AK$172)-1))^'Specialisation Scenarios'!$X$10))</x:f>
        <x:v>23.780385438152717</x:v>
      </x:c>
      <x:c r="G114" s="576" t="n">
        <x:f>IF($A114="","",C114*'Specialisation Scenarios'!$X$11+D114*'Specialisation Scenarios'!$X$12+E114*'Specialisation Scenarios'!$X$13+F114*'Specialisation Scenarios'!$X$14)</x:f>
        <x:v>16.032668075975376</x:v>
      </x:c>
      <x:c r="H114" s="576" t="n">
        <x:f>IF(SUMIFS('Specialisation Impact'!$E$19:$E$186,'Specialisation Impact'!$A$19:$A$186,A114,'Specialisation Impact'!$B$19:$B$186,B114)=0,"",SUMIFS('Specialisation Impact'!$S$19:$S$186,'Specialisation Impact'!$A$19:$A$186,A114,'Specialisation Impact'!$B$19:$B$186,B114))</x:f>
        <x:v>29.610389610389607</x:v>
      </x:c>
      <x:c r="I114" s="580" t="n">
        <x:f>IF(SUMIFS('Specialisation Impact'!$E$19:$E$186,'Specialisation Impact'!$A$19:$A$186,A114,'Specialisation Impact'!$B$19:$B$186,B114)=0,0,SUMIFS('Specialisation Impact'!$F$19:$F$186,'Specialisation Impact'!$A$19:$A$186,A114,'Specialisation Impact'!$B$19:$B$186,B114))</x:f>
        <x:v>1</x:v>
      </x:c>
      <x:c r="J114" s="576" t="n">
        <x:f>G114</x:f>
        <x:v>16.032668075975376</x:v>
      </x:c>
      <x:c r="K114" s="576" t="n">
        <x:f>IF(G114="","",IF(I114=0,G114,MAX(0,MIN(100,G114*(1-'Specialisation Scenarios'!$B$8*I114)+H114*('Specialisation Scenarios'!$B$8*I114)))))</x:f>
        <x:v>19.427098459578932</x:v>
      </x:c>
      <x:c r="L114" s="576" t="n">
        <x:f>IF(G114="","",IF(I114=0,G114,MAX(0,MIN(100,G114*(1-'Specialisation Scenarios'!$B$9*I114)+H114*('Specialisation Scenarios'!$B$9*I114)))))</x:f>
        <x:v>20.784870613020356</x:v>
      </x:c>
      <x:c r="M114" s="576" t="str">
        <x:f>IF(COUNTIFS('Tank &amp; Control'!$A$23:$A$189,A114,'Tank &amp; Control'!$B$23:$B$189,B114,'Tank &amp; Control'!$C$23:$C$189,"Yes")&gt;0,"Yes","No")</x:f>
        <x:v>No</x:v>
      </x:c>
      <x:c r="N114" s="576" t="str">
        <x:f>IF(M114&lt;&gt;"Yes","",SUMIFS('Tank &amp; Control'!$L$23:$L$189,'Tank &amp; Control'!$A$23:$A$189,A114,'Tank &amp; Control'!$B$23:$B$189,B114))</x:f>
      </x:c>
      <x:c r="O114" s="576" t="n">
        <x:f>IF(SUMIFS('Specialisation Impact'!$M$19:$M$186,'Specialisation Impact'!$A$19:$A$186,A114,'Specialisation Impact'!$B$19:$B$186,B114)=0,"",SUMIFS('Specialisation Impact'!$V$19:$V$186,'Specialisation Impact'!$A$19:$A$186,A114,'Specialisation Impact'!$B$19:$B$186,B114))</x:f>
        <x:v>60.25641025641025</x:v>
      </x:c>
      <x:c r="P114" s="576" t="str">
        <x:f>IF(N114="","",N114)</x:f>
      </x:c>
      <x:c r="Q114" s="576" t="str">
        <x:f>IF(N114="","",IF(AC114=0,N114,MAX(0,MIN(100,N114*(1-'Specialisation Scenarios'!$B$8*AC114)+O114*('Specialisation Scenarios'!$B$8*AC114)))))</x:f>
      </x:c>
      <x:c r="R114" s="576" t="str">
        <x:f>IF(N114="","",IF(AC114=0,N114,MAX(0,MIN(100,N114*(1-'Specialisation Scenarios'!$B$9*AC114)+O114*('Specialisation Scenarios'!$B$9*AC114)))))</x:f>
      </x:c>
      <x:c r="S114" s="584" t="n">
        <x:f>IF(J114="","",COUNTIFS($A$6:$A$172,A114,$J$6:$J$172,"&gt;"&amp;J114)+COUNTIFS($A$6:A114,A114,$J$6:J114,J114))</x:f>
        <x:v>20</x:v>
      </x:c>
      <x:c r="T114" s="584" t="n">
        <x:f>IF(K114="","",COUNTIFS($A$6:$A$172,A114,$K$6:$K$172,"&gt;"&amp;K114)+COUNTIFS($A$6:A114,A114,$K$6:K114,K114))</x:f>
        <x:v>20</x:v>
      </x:c>
      <x:c r="U114" s="584" t="n">
        <x:f>IF(L114="","",COUNTIFS($A$6:$A$172,A114,$L$6:$L$172,"&gt;"&amp;L114)+COUNTIFS($A$6:A114,A114,$L$6:L114,L114))</x:f>
        <x:v>20</x:v>
      </x:c>
      <x:c r="V114" s="584" t="str">
        <x:f>IF(P114="","",COUNTIFS($A$6:$A$172,A114,$P$6:$P$172,"&gt;"&amp;P114)+COUNTIFS($A$6:A114,A114,$P$6:P114,P114))</x:f>
      </x:c>
      <x:c r="W114" s="584" t="str">
        <x:f>IF(Q114="","",COUNTIFS($A$6:$A$172,A114,$Q$6:$Q$172,"&gt;"&amp;Q114)+COUNTIFS($A$6:A114,A114,$Q$6:Q114,Q114))</x:f>
      </x:c>
      <x:c r="X114" s="584" t="str">
        <x:f>IF(R114="","",COUNTIFS($A$6:$A$172,A114,$R$6:$R$172,"&gt;"&amp;R114)+COUNTIFS($A$6:A114,A114,$R$6:R114,R114))</x:f>
      </x:c>
      <x:c r="Y114" s="572" t="str">
        <x:f>IF(V114="","",A114&amp;"|"&amp;V114)</x:f>
      </x:c>
      <x:c r="Z114" s="572" t="str">
        <x:f>IF(W114="","",A114&amp;"|"&amp;W114)</x:f>
      </x:c>
      <x:c r="AA114" s="572" t="str">
        <x:f>IF(X114="","",A114&amp;"|"&amp;X114)</x:f>
      </x:c>
      <x:c r="AB114" s="572" t="str">
        <x:f>IF(A114="","",IF(I114=0,"Offense neutral — no recorded offensive skills",IF(I114&lt;1,"Partial lookup — adjustment scaled",IF(AND(M114="Yes",AC114=0),"Offense adjusted; Guard neutral","Captured"))))</x:f>
        <x:v>Captured</x:v>
      </x:c>
      <x:c r="AC114" s="580" t="n">
        <x:f>IF(SUMIFS('Specialisation Impact'!$M$19:$M$186,'Specialisation Impact'!$A$19:$A$186,A114,'Specialisation Impact'!$B$19:$B$186,B114)=0,0,SUMIFS('Specialisation Impact'!$F$19:$F$186,'Specialisation Impact'!$A$19:$A$186,A114,'Specialisation Impact'!$B$19:$B$186,B114))</x:f>
        <x:v>1</x:v>
      </x:c>
    </x:row>
    <x:row r="115">
      <x:c r="A115" s="571" t="str">
        <x:v>K170</x:v>
      </x:c>
      <x:c r="B115" s="571" t="str">
        <x:v>(AOT)VAB999</x:v>
      </x:c>
      <x:c r="C115" s="575" t="n">
        <x:f>IF($A115="","",AVERAGE(100*((COUNTIF('All Stats'!$D$6:$D$172,"&lt;"&amp;'All Stats'!D115)+(COUNTIF('All Stats'!$D$6:$D$172,'All Stats'!D115)-1)/2)/(COUNT('All Stats'!$D$6:$D$172)-1))^'Specialisation Scenarios'!$X$10,100*((COUNTIF('All Stats'!$G$6:$G$172,"&lt;"&amp;'All Stats'!G115)+(COUNTIF('All Stats'!$G$6:$G$172,'All Stats'!G115)-1)/2)/(COUNT('All Stats'!$G$6:$G$172)-1))^'Specialisation Scenarios'!$X$10,100*((COUNTIF('All Stats'!$I$6:$I$172,"&lt;"&amp;'All Stats'!I115)+(COUNTIF('All Stats'!$I$6:$I$172,'All Stats'!I115)-1)/2)/(COUNT('All Stats'!$I$6:$I$172)-1))^'Specialisation Scenarios'!$X$10))</x:f>
        <x:v>36.06867415698425</x:v>
      </x:c>
      <x:c r="D115" s="575" t="n">
        <x:f>IF($A115="","",AVERAGE(100*((COUNTIF('All Stats'!$R$6:$R$172,"&lt;"&amp;'All Stats'!R115)+(COUNTIF('All Stats'!$R$6:$R$172,'All Stats'!R115)-1)/2)/(COUNT('All Stats'!$R$6:$R$172)-1))^'Specialisation Scenarios'!$X$10,100*((COUNTIF('All Stats'!$U$6:$U$172,"&lt;"&amp;'All Stats'!U115)+(COUNTIF('All Stats'!$U$6:$U$172,'All Stats'!U115)-1)/2)/(COUNT('All Stats'!$U$6:$U$172)-1))^'Specialisation Scenarios'!$X$10,100*((COUNTIF('All Stats'!$W$6:$W$172,"&lt;"&amp;'All Stats'!W115)+(COUNTIF('All Stats'!$W$6:$W$172,'All Stats'!W115)-1)/2)/(COUNT('All Stats'!$W$6:$W$172)-1))^'Specialisation Scenarios'!$X$10))</x:f>
        <x:v>9.709844424205665</x:v>
      </x:c>
      <x:c r="E115" s="575" t="n">
        <x:f>IF($A115="","",AVERAGE(100*((COUNTIF('All Stats'!$Y$6:$Y$172,"&lt;"&amp;'All Stats'!Y115)+(COUNTIF('All Stats'!$Y$6:$Y$172,'All Stats'!Y115)-1)/2)/(COUNT('All Stats'!$Y$6:$Y$172)-1))^'Specialisation Scenarios'!$X$10,100*((COUNTIF('All Stats'!$AB$6:$AB$172,"&lt;"&amp;'All Stats'!AB115)+(COUNTIF('All Stats'!$AB$6:$AB$172,'All Stats'!AB115)-1)/2)/(COUNT('All Stats'!$AB$6:$AB$172)-1))^'Specialisation Scenarios'!$X$10,100*((COUNTIF('All Stats'!$AD$6:$AD$172,"&lt;"&amp;'All Stats'!AD115)+(COUNTIF('All Stats'!$AD$6:$AD$172,'All Stats'!AD115)-1)/2)/(COUNT('All Stats'!$AD$6:$AD$172)-1))^'Specialisation Scenarios'!$X$10))</x:f>
        <x:v>79.72679304148495</x:v>
      </x:c>
      <x:c r="F115" s="575" t="n">
        <x:f>IF($A115="","",AVERAGE(100*((COUNTIF('All Stats'!$AF$6:$AF$172,"&lt;"&amp;'All Stats'!AF115)+(COUNTIF('All Stats'!$AF$6:$AF$172,'All Stats'!AF115)-1)/2)/(COUNT('All Stats'!$AF$6:$AF$172)-1))^'Specialisation Scenarios'!$X$10,100*((COUNTIF('All Stats'!$AI$6:$AI$172,"&lt;"&amp;'All Stats'!AI115)+(COUNTIF('All Stats'!$AI$6:$AI$172,'All Stats'!AI115)-1)/2)/(COUNT('All Stats'!$AI$6:$AI$172)-1))^'Specialisation Scenarios'!$X$10,100*((COUNTIF('All Stats'!$AK$6:$AK$172,"&lt;"&amp;'All Stats'!AK115)+(COUNTIF('All Stats'!$AK$6:$AK$172,'All Stats'!AK115)-1)/2)/(COUNT('All Stats'!$AK$6:$AK$172)-1))^'Specialisation Scenarios'!$X$10))</x:f>
        <x:v>45.99606516658073</x:v>
      </x:c>
      <x:c r="G115" s="575" t="n">
        <x:f>IF($A115="","",C115*'Specialisation Scenarios'!$X$11+D115*'Specialisation Scenarios'!$X$12+E115*'Specialisation Scenarios'!$X$13+F115*'Specialisation Scenarios'!$X$14)</x:f>
        <x:v>26.108296857206643</x:v>
      </x:c>
      <x:c r="H115" s="575" t="n">
        <x:f>IF(SUMIFS('Specialisation Impact'!$E$19:$E$186,'Specialisation Impact'!$A$19:$A$186,A115,'Specialisation Impact'!$B$19:$B$186,B115)=0,"",SUMIFS('Specialisation Impact'!$S$19:$S$186,'Specialisation Impact'!$A$19:$A$186,A115,'Specialisation Impact'!$B$19:$B$186,B115))</x:f>
        <x:v>69.61038961038962</x:v>
      </x:c>
      <x:c r="I115" s="579" t="n">
        <x:f>IF(SUMIFS('Specialisation Impact'!$E$19:$E$186,'Specialisation Impact'!$A$19:$A$186,A115,'Specialisation Impact'!$B$19:$B$186,B115)=0,0,SUMIFS('Specialisation Impact'!$F$19:$F$186,'Specialisation Impact'!$A$19:$A$186,A115,'Specialisation Impact'!$B$19:$B$186,B115))</x:f>
        <x:v>1</x:v>
      </x:c>
      <x:c r="J115" s="575" t="n">
        <x:f>G115</x:f>
        <x:v>26.108296857206643</x:v>
      </x:c>
      <x:c r="K115" s="575" t="n">
        <x:f>IF(G115="","",IF(I115=0,G115,MAX(0,MIN(100,G115*(1-'Specialisation Scenarios'!$B$8*I115)+H115*('Specialisation Scenarios'!$B$8*I115)))))</x:f>
        <x:v>36.983820045502384</x:v>
      </x:c>
      <x:c r="L115" s="575" t="n">
        <x:f>IF(G115="","",IF(I115=0,G115,MAX(0,MIN(100,G115*(1-'Specialisation Scenarios'!$B$9*I115)+H115*('Specialisation Scenarios'!$B$9*I115)))))</x:f>
        <x:v>41.33402932082068</x:v>
      </x:c>
      <x:c r="M115" s="575" t="str">
        <x:f>IF(COUNTIFS('Tank &amp; Control'!$A$23:$A$189,A115,'Tank &amp; Control'!$B$23:$B$189,B115,'Tank &amp; Control'!$C$23:$C$189,"Yes")&gt;0,"Yes","No")</x:f>
        <x:v>No</x:v>
      </x:c>
      <x:c r="N115" s="575" t="str">
        <x:f>IF(M115&lt;&gt;"Yes","",SUMIFS('Tank &amp; Control'!$L$23:$L$189,'Tank &amp; Control'!$A$23:$A$189,A115,'Tank &amp; Control'!$B$23:$B$189,B115))</x:f>
      </x:c>
      <x:c r="O115" s="575" t="n">
        <x:f>IF(SUMIFS('Specialisation Impact'!$M$19:$M$186,'Specialisation Impact'!$A$19:$A$186,A115,'Specialisation Impact'!$B$19:$B$186,B115)=0,"",SUMIFS('Specialisation Impact'!$V$19:$V$186,'Specialisation Impact'!$A$19:$A$186,A115,'Specialisation Impact'!$B$19:$B$186,B115))</x:f>
        <x:v>73.07692307692308</x:v>
      </x:c>
      <x:c r="P115" s="575" t="str">
        <x:f>IF(N115="","",N115)</x:f>
      </x:c>
      <x:c r="Q115" s="575" t="str">
        <x:f>IF(N115="","",IF(AC115=0,N115,MAX(0,MIN(100,N115*(1-'Specialisation Scenarios'!$B$8*AC115)+O115*('Specialisation Scenarios'!$B$8*AC115)))))</x:f>
      </x:c>
      <x:c r="R115" s="575" t="str">
        <x:f>IF(N115="","",IF(AC115=0,N115,MAX(0,MIN(100,N115*(1-'Specialisation Scenarios'!$B$9*AC115)+O115*('Specialisation Scenarios'!$B$9*AC115)))))</x:f>
      </x:c>
      <x:c r="S115" s="583" t="n">
        <x:f>IF(J115="","",COUNTIFS($A$6:$A$172,A115,$J$6:$J$172,"&gt;"&amp;J115)+COUNTIFS($A$6:A115,A115,$J$6:J115,J115))</x:f>
        <x:v>14</x:v>
      </x:c>
      <x:c r="T115" s="583" t="n">
        <x:f>IF(K115="","",COUNTIFS($A$6:$A$172,A115,$K$6:$K$172,"&gt;"&amp;K115)+COUNTIFS($A$6:A115,A115,$K$6:K115,K115))</x:f>
        <x:v>13</x:v>
      </x:c>
      <x:c r="U115" s="583" t="n">
        <x:f>IF(L115="","",COUNTIFS($A$6:$A$172,A115,$L$6:$L$172,"&gt;"&amp;L115)+COUNTIFS($A$6:A115,A115,$L$6:L115,L115))</x:f>
        <x:v>13</x:v>
      </x:c>
      <x:c r="V115" s="583" t="str">
        <x:f>IF(P115="","",COUNTIFS($A$6:$A$172,A115,$P$6:$P$172,"&gt;"&amp;P115)+COUNTIFS($A$6:A115,A115,$P$6:P115,P115))</x:f>
      </x:c>
      <x:c r="W115" s="583" t="str">
        <x:f>IF(Q115="","",COUNTIFS($A$6:$A$172,A115,$Q$6:$Q$172,"&gt;"&amp;Q115)+COUNTIFS($A$6:A115,A115,$Q$6:Q115,Q115))</x:f>
      </x:c>
      <x:c r="X115" s="583" t="str">
        <x:f>IF(R115="","",COUNTIFS($A$6:$A$172,A115,$R$6:$R$172,"&gt;"&amp;R115)+COUNTIFS($A$6:A115,A115,$R$6:R115,R115))</x:f>
      </x:c>
      <x:c r="Y115" s="571" t="str">
        <x:f>IF(V115="","",A115&amp;"|"&amp;V115)</x:f>
      </x:c>
      <x:c r="Z115" s="571" t="str">
        <x:f>IF(W115="","",A115&amp;"|"&amp;W115)</x:f>
      </x:c>
      <x:c r="AA115" s="571" t="str">
        <x:f>IF(X115="","",A115&amp;"|"&amp;X115)</x:f>
      </x:c>
      <x:c r="AB115" s="571" t="str">
        <x:f>IF(A115="","",IF(I115=0,"Offense neutral — no recorded offensive skills",IF(I115&lt;1,"Partial lookup — adjustment scaled",IF(AND(M115="Yes",AC115=0),"Offense adjusted; Guard neutral","Captured"))))</x:f>
        <x:v>Captured</x:v>
      </x:c>
      <x:c r="AC115" s="579" t="n">
        <x:f>IF(SUMIFS('Specialisation Impact'!$M$19:$M$186,'Specialisation Impact'!$A$19:$A$186,A115,'Specialisation Impact'!$B$19:$B$186,B115)=0,0,SUMIFS('Specialisation Impact'!$F$19:$F$186,'Specialisation Impact'!$A$19:$A$186,A115,'Specialisation Impact'!$B$19:$B$186,B115))</x:f>
        <x:v>1</x:v>
      </x:c>
    </x:row>
    <x:row r="116">
      <x:c r="A116" s="572" t="str">
        <x:v>K170</x:v>
      </x:c>
      <x:c r="B116" s="572" t="str">
        <x:v>(AOT)Paian2</x:v>
      </x:c>
      <x:c r="C116" s="576" t="n">
        <x:f>IF($A116="","",AVERAGE(100*((COUNTIF('All Stats'!$D$6:$D$172,"&lt;"&amp;'All Stats'!D116)+(COUNTIF('All Stats'!$D$6:$D$172,'All Stats'!D116)-1)/2)/(COUNT('All Stats'!$D$6:$D$172)-1))^'Specialisation Scenarios'!$X$10,100*((COUNTIF('All Stats'!$G$6:$G$172,"&lt;"&amp;'All Stats'!G116)+(COUNTIF('All Stats'!$G$6:$G$172,'All Stats'!G116)-1)/2)/(COUNT('All Stats'!$G$6:$G$172)-1))^'Specialisation Scenarios'!$X$10,100*((COUNTIF('All Stats'!$I$6:$I$172,"&lt;"&amp;'All Stats'!I116)+(COUNTIF('All Stats'!$I$6:$I$172,'All Stats'!I116)-1)/2)/(COUNT('All Stats'!$I$6:$I$172)-1))^'Specialisation Scenarios'!$X$10))</x:f>
        <x:v>27.55076922091318</x:v>
      </x:c>
      <x:c r="D116" s="576" t="n">
        <x:f>IF($A116="","",AVERAGE(100*((COUNTIF('All Stats'!$R$6:$R$172,"&lt;"&amp;'All Stats'!R116)+(COUNTIF('All Stats'!$R$6:$R$172,'All Stats'!R116)-1)/2)/(COUNT('All Stats'!$R$6:$R$172)-1))^'Specialisation Scenarios'!$X$10,100*((COUNTIF('All Stats'!$U$6:$U$172,"&lt;"&amp;'All Stats'!U116)+(COUNTIF('All Stats'!$U$6:$U$172,'All Stats'!U116)-1)/2)/(COUNT('All Stats'!$U$6:$U$172)-1))^'Specialisation Scenarios'!$X$10,100*((COUNTIF('All Stats'!$W$6:$W$172,"&lt;"&amp;'All Stats'!W116)+(COUNTIF('All Stats'!$W$6:$W$172,'All Stats'!W116)-1)/2)/(COUNT('All Stats'!$W$6:$W$172)-1))^'Specialisation Scenarios'!$X$10))</x:f>
        <x:v>5.37989367232412</x:v>
      </x:c>
      <x:c r="E116" s="576" t="n">
        <x:f>IF($A116="","",AVERAGE(100*((COUNTIF('All Stats'!$Y$6:$Y$172,"&lt;"&amp;'All Stats'!Y116)+(COUNTIF('All Stats'!$Y$6:$Y$172,'All Stats'!Y116)-1)/2)/(COUNT('All Stats'!$Y$6:$Y$172)-1))^'Specialisation Scenarios'!$X$10,100*((COUNTIF('All Stats'!$AB$6:$AB$172,"&lt;"&amp;'All Stats'!AB116)+(COUNTIF('All Stats'!$AB$6:$AB$172,'All Stats'!AB116)-1)/2)/(COUNT('All Stats'!$AB$6:$AB$172)-1))^'Specialisation Scenarios'!$X$10,100*((COUNTIF('All Stats'!$AD$6:$AD$172,"&lt;"&amp;'All Stats'!AD116)+(COUNTIF('All Stats'!$AD$6:$AD$172,'All Stats'!AD116)-1)/2)/(COUNT('All Stats'!$AD$6:$AD$172)-1))^'Specialisation Scenarios'!$X$10))</x:f>
        <x:v>12.474685908205679</x:v>
      </x:c>
      <x:c r="F116" s="576" t="n">
        <x:f>IF($A116="","",AVERAGE(100*((COUNTIF('All Stats'!$AF$6:$AF$172,"&lt;"&amp;'All Stats'!AF116)+(COUNTIF('All Stats'!$AF$6:$AF$172,'All Stats'!AF116)-1)/2)/(COUNT('All Stats'!$AF$6:$AF$172)-1))^'Specialisation Scenarios'!$X$10,100*((COUNTIF('All Stats'!$AI$6:$AI$172,"&lt;"&amp;'All Stats'!AI116)+(COUNTIF('All Stats'!$AI$6:$AI$172,'All Stats'!AI116)-1)/2)/(COUNT('All Stats'!$AI$6:$AI$172)-1))^'Specialisation Scenarios'!$X$10,100*((COUNTIF('All Stats'!$AK$6:$AK$172,"&lt;"&amp;'All Stats'!AK116)+(COUNTIF('All Stats'!$AK$6:$AK$172,'All Stats'!AK116)-1)/2)/(COUNT('All Stats'!$AK$6:$AK$172)-1))^'Specialisation Scenarios'!$X$10))</x:f>
        <x:v>13.18639774276169</x:v>
      </x:c>
      <x:c r="G116" s="576" t="n">
        <x:f>IF($A116="","",C116*'Specialisation Scenarios'!$X$11+D116*'Specialisation Scenarios'!$X$12+E116*'Specialisation Scenarios'!$X$13+F116*'Specialisation Scenarios'!$X$14)</x:f>
        <x:v>10.58597983876627</x:v>
      </x:c>
      <x:c r="H116" s="576" t="n">
        <x:f>IF(SUMIFS('Specialisation Impact'!$E$19:$E$186,'Specialisation Impact'!$A$19:$A$186,A116,'Specialisation Impact'!$B$19:$B$186,B116)=0,"",SUMIFS('Specialisation Impact'!$S$19:$S$186,'Specialisation Impact'!$A$19:$A$186,A116,'Specialisation Impact'!$B$19:$B$186,B116))</x:f>
        <x:v>9.935064935064934</x:v>
      </x:c>
      <x:c r="I116" s="580" t="n">
        <x:f>IF(SUMIFS('Specialisation Impact'!$E$19:$E$186,'Specialisation Impact'!$A$19:$A$186,A116,'Specialisation Impact'!$B$19:$B$186,B116)=0,0,SUMIFS('Specialisation Impact'!$F$19:$F$186,'Specialisation Impact'!$A$19:$A$186,A116,'Specialisation Impact'!$B$19:$B$186,B116))</x:f>
        <x:v>1</x:v>
      </x:c>
      <x:c r="J116" s="576" t="n">
        <x:f>G116</x:f>
        <x:v>10.58597983876627</x:v>
      </x:c>
      <x:c r="K116" s="576" t="n">
        <x:f>IF(G116="","",IF(I116=0,G116,MAX(0,MIN(100,G116*(1-'Specialisation Scenarios'!$B$8*I116)+H116*('Specialisation Scenarios'!$B$8*I116)))))</x:f>
        <x:v>10.423251112840937</x:v>
      </x:c>
      <x:c r="L116" s="576" t="n">
        <x:f>IF(G116="","",IF(I116=0,G116,MAX(0,MIN(100,G116*(1-'Specialisation Scenarios'!$B$9*I116)+H116*('Specialisation Scenarios'!$B$9*I116)))))</x:f>
        <x:v>10.358159622470803</x:v>
      </x:c>
      <x:c r="M116" s="576" t="str">
        <x:f>IF(COUNTIFS('Tank &amp; Control'!$A$23:$A$189,A116,'Tank &amp; Control'!$B$23:$B$189,B116,'Tank &amp; Control'!$C$23:$C$189,"Yes")&gt;0,"Yes","No")</x:f>
        <x:v>No</x:v>
      </x:c>
      <x:c r="N116" s="576" t="str">
        <x:f>IF(M116&lt;&gt;"Yes","",SUMIFS('Tank &amp; Control'!$L$23:$L$189,'Tank &amp; Control'!$A$23:$A$189,A116,'Tank &amp; Control'!$B$23:$B$189,B116))</x:f>
      </x:c>
      <x:c r="O116" s="576" t="n">
        <x:f>IF(SUMIFS('Specialisation Impact'!$M$19:$M$186,'Specialisation Impact'!$A$19:$A$186,A116,'Specialisation Impact'!$B$19:$B$186,B116)=0,"",SUMIFS('Specialisation Impact'!$V$19:$V$186,'Specialisation Impact'!$A$19:$A$186,A116,'Specialisation Impact'!$B$19:$B$186,B116))</x:f>
        <x:v>60.25641025641025</x:v>
      </x:c>
      <x:c r="P116" s="576" t="str">
        <x:f>IF(N116="","",N116)</x:f>
      </x:c>
      <x:c r="Q116" s="576" t="str">
        <x:f>IF(N116="","",IF(AC116=0,N116,MAX(0,MIN(100,N116*(1-'Specialisation Scenarios'!$B$8*AC116)+O116*('Specialisation Scenarios'!$B$8*AC116)))))</x:f>
      </x:c>
      <x:c r="R116" s="576" t="str">
        <x:f>IF(N116="","",IF(AC116=0,N116,MAX(0,MIN(100,N116*(1-'Specialisation Scenarios'!$B$9*AC116)+O116*('Specialisation Scenarios'!$B$9*AC116)))))</x:f>
      </x:c>
      <x:c r="S116" s="584" t="n">
        <x:f>IF(J116="","",COUNTIFS($A$6:$A$172,A116,$J$6:$J$172,"&gt;"&amp;J116)+COUNTIFS($A$6:A116,A116,$J$6:J116,J116))</x:f>
        <x:v>22</x:v>
      </x:c>
      <x:c r="T116" s="584" t="n">
        <x:f>IF(K116="","",COUNTIFS($A$6:$A$172,A116,$K$6:$K$172,"&gt;"&amp;K116)+COUNTIFS($A$6:A116,A116,$K$6:K116,K116))</x:f>
        <x:v>22</x:v>
      </x:c>
      <x:c r="U116" s="584" t="n">
        <x:f>IF(L116="","",COUNTIFS($A$6:$A$172,A116,$L$6:$L$172,"&gt;"&amp;L116)+COUNTIFS($A$6:A116,A116,$L$6:L116,L116))</x:f>
        <x:v>22</x:v>
      </x:c>
      <x:c r="V116" s="584" t="str">
        <x:f>IF(P116="","",COUNTIFS($A$6:$A$172,A116,$P$6:$P$172,"&gt;"&amp;P116)+COUNTIFS($A$6:A116,A116,$P$6:P116,P116))</x:f>
      </x:c>
      <x:c r="W116" s="584" t="str">
        <x:f>IF(Q116="","",COUNTIFS($A$6:$A$172,A116,$Q$6:$Q$172,"&gt;"&amp;Q116)+COUNTIFS($A$6:A116,A116,$Q$6:Q116,Q116))</x:f>
      </x:c>
      <x:c r="X116" s="584" t="str">
        <x:f>IF(R116="","",COUNTIFS($A$6:$A$172,A116,$R$6:$R$172,"&gt;"&amp;R116)+COUNTIFS($A$6:A116,A116,$R$6:R116,R116))</x:f>
      </x:c>
      <x:c r="Y116" s="572" t="str">
        <x:f>IF(V116="","",A116&amp;"|"&amp;V116)</x:f>
      </x:c>
      <x:c r="Z116" s="572" t="str">
        <x:f>IF(W116="","",A116&amp;"|"&amp;W116)</x:f>
      </x:c>
      <x:c r="AA116" s="572" t="str">
        <x:f>IF(X116="","",A116&amp;"|"&amp;X116)</x:f>
      </x:c>
      <x:c r="AB116" s="572" t="str">
        <x:f>IF(A116="","",IF(I116=0,"Offense neutral — no recorded offensive skills",IF(I116&lt;1,"Partial lookup — adjustment scaled",IF(AND(M116="Yes",AC116=0),"Offense adjusted; Guard neutral","Captured"))))</x:f>
        <x:v>Captured</x:v>
      </x:c>
      <x:c r="AC116" s="580" t="n">
        <x:f>IF(SUMIFS('Specialisation Impact'!$M$19:$M$186,'Specialisation Impact'!$A$19:$A$186,A116,'Specialisation Impact'!$B$19:$B$186,B116)=0,0,SUMIFS('Specialisation Impact'!$F$19:$F$186,'Specialisation Impact'!$A$19:$A$186,A116,'Specialisation Impact'!$B$19:$B$186,B116))</x:f>
        <x:v>1</x:v>
      </x:c>
    </x:row>
    <x:row r="117">
      <x:c r="A117" s="571" t="str">
        <x:v>K54</x:v>
      </x:c>
      <x:c r="B117" s="571" t="str">
        <x:v>爽歪歪</x:v>
      </x:c>
      <x:c r="C117" s="575" t="n">
        <x:f>IF($A117="","",AVERAGE(100*((COUNTIF('All Stats'!$D$6:$D$172,"&lt;"&amp;'All Stats'!D117)+(COUNTIF('All Stats'!$D$6:$D$172,'All Stats'!D117)-1)/2)/(COUNT('All Stats'!$D$6:$D$172)-1))^'Specialisation Scenarios'!$X$10,100*((COUNTIF('All Stats'!$G$6:$G$172,"&lt;"&amp;'All Stats'!G117)+(COUNTIF('All Stats'!$G$6:$G$172,'All Stats'!G117)-1)/2)/(COUNT('All Stats'!$G$6:$G$172)-1))^'Specialisation Scenarios'!$X$10,100*((COUNTIF('All Stats'!$I$6:$I$172,"&lt;"&amp;'All Stats'!I117)+(COUNTIF('All Stats'!$I$6:$I$172,'All Stats'!I117)-1)/2)/(COUNT('All Stats'!$I$6:$I$172)-1))^'Specialisation Scenarios'!$X$10))</x:f>
        <x:v>90.78810847074426</x:v>
      </x:c>
      <x:c r="D117" s="575" t="n">
        <x:f>IF($A117="","",AVERAGE(100*((COUNTIF('All Stats'!$R$6:$R$172,"&lt;"&amp;'All Stats'!R117)+(COUNTIF('All Stats'!$R$6:$R$172,'All Stats'!R117)-1)/2)/(COUNT('All Stats'!$R$6:$R$172)-1))^'Specialisation Scenarios'!$X$10,100*((COUNTIF('All Stats'!$U$6:$U$172,"&lt;"&amp;'All Stats'!U117)+(COUNTIF('All Stats'!$U$6:$U$172,'All Stats'!U117)-1)/2)/(COUNT('All Stats'!$U$6:$U$172)-1))^'Specialisation Scenarios'!$X$10,100*((COUNTIF('All Stats'!$W$6:$W$172,"&lt;"&amp;'All Stats'!W117)+(COUNTIF('All Stats'!$W$6:$W$172,'All Stats'!W117)-1)/2)/(COUNT('All Stats'!$W$6:$W$172)-1))^'Specialisation Scenarios'!$X$10))</x:f>
        <x:v>96.86360274149894</x:v>
      </x:c>
      <x:c r="E117" s="575" t="n">
        <x:f>IF($A117="","",AVERAGE(100*((COUNTIF('All Stats'!$Y$6:$Y$172,"&lt;"&amp;'All Stats'!Y117)+(COUNTIF('All Stats'!$Y$6:$Y$172,'All Stats'!Y117)-1)/2)/(COUNT('All Stats'!$Y$6:$Y$172)-1))^'Specialisation Scenarios'!$X$10,100*((COUNTIF('All Stats'!$AB$6:$AB$172,"&lt;"&amp;'All Stats'!AB117)+(COUNTIF('All Stats'!$AB$6:$AB$172,'All Stats'!AB117)-1)/2)/(COUNT('All Stats'!$AB$6:$AB$172)-1))^'Specialisation Scenarios'!$X$10,100*((COUNTIF('All Stats'!$AD$6:$AD$172,"&lt;"&amp;'All Stats'!AD117)+(COUNTIF('All Stats'!$AD$6:$AD$172,'All Stats'!AD117)-1)/2)/(COUNT('All Stats'!$AD$6:$AD$172)-1))^'Specialisation Scenarios'!$X$10))</x:f>
        <x:v>73.8953762157969</x:v>
      </x:c>
      <x:c r="F117" s="575" t="n">
        <x:f>IF($A117="","",AVERAGE(100*((COUNTIF('All Stats'!$AF$6:$AF$172,"&lt;"&amp;'All Stats'!AF117)+(COUNTIF('All Stats'!$AF$6:$AF$172,'All Stats'!AF117)-1)/2)/(COUNT('All Stats'!$AF$6:$AF$172)-1))^'Specialisation Scenarios'!$X$10,100*((COUNTIF('All Stats'!$AI$6:$AI$172,"&lt;"&amp;'All Stats'!AI117)+(COUNTIF('All Stats'!$AI$6:$AI$172,'All Stats'!AI117)-1)/2)/(COUNT('All Stats'!$AI$6:$AI$172)-1))^'Specialisation Scenarios'!$X$10,100*((COUNTIF('All Stats'!$AK$6:$AK$172,"&lt;"&amp;'All Stats'!AK117)+(COUNTIF('All Stats'!$AK$6:$AK$172,'All Stats'!AK117)-1)/2)/(COUNT('All Stats'!$AK$6:$AK$172)-1))^'Specialisation Scenarios'!$X$10))</x:f>
        <x:v>92.73677289783144</x:v>
      </x:c>
      <x:c r="G117" s="575" t="n">
        <x:f>IF($A117="","",C117*'Specialisation Scenarios'!$X$11+D117*'Specialisation Scenarios'!$X$12+E117*'Specialisation Scenarios'!$X$13+F117*'Specialisation Scenarios'!$X$14)</x:f>
        <x:v>93.03643147176541</x:v>
      </x:c>
      <x:c r="H117" s="575" t="n">
        <x:f>IF(SUMIFS('Specialisation Impact'!$E$19:$E$186,'Specialisation Impact'!$A$19:$A$186,A117,'Specialisation Impact'!$B$19:$B$186,B117)=0,"",SUMIFS('Specialisation Impact'!$S$19:$S$186,'Specialisation Impact'!$A$19:$A$186,A117,'Specialisation Impact'!$B$19:$B$186,B117))</x:f>
        <x:v>53.116883116883116</x:v>
      </x:c>
      <x:c r="I117" s="579" t="n">
        <x:f>IF(SUMIFS('Specialisation Impact'!$E$19:$E$186,'Specialisation Impact'!$A$19:$A$186,A117,'Specialisation Impact'!$B$19:$B$186,B117)=0,0,SUMIFS('Specialisation Impact'!$F$19:$F$186,'Specialisation Impact'!$A$19:$A$186,A117,'Specialisation Impact'!$B$19:$B$186,B117))</x:f>
        <x:v>1</x:v>
      </x:c>
      <x:c r="J117" s="575" t="n">
        <x:f>G117</x:f>
        <x:v>93.03643147176541</x:v>
      </x:c>
      <x:c r="K117" s="575" t="n">
        <x:f>IF(G117="","",IF(I117=0,G117,MAX(0,MIN(100,G117*(1-'Specialisation Scenarios'!$B$8*I117)+H117*('Specialisation Scenarios'!$B$8*I117)))))</x:f>
        <x:v>83.05654438304484</x:v>
      </x:c>
      <x:c r="L117" s="575" t="n">
        <x:f>IF(G117="","",IF(I117=0,G117,MAX(0,MIN(100,G117*(1-'Specialisation Scenarios'!$B$9*I117)+H117*('Specialisation Scenarios'!$B$9*I117)))))</x:f>
        <x:v>79.06458954755661</x:v>
      </x:c>
      <x:c r="M117" s="575" t="str">
        <x:f>IF(COUNTIFS('Tank &amp; Control'!$A$23:$A$189,A117,'Tank &amp; Control'!$B$23:$B$189,B117,'Tank &amp; Control'!$C$23:$C$189,"Yes")&gt;0,"Yes","No")</x:f>
        <x:v>Yes</x:v>
      </x:c>
      <x:c r="N117" s="575" t="n">
        <x:f>IF(M117&lt;&gt;"Yes","",SUMIFS('Tank &amp; Control'!$L$23:$L$189,'Tank &amp; Control'!$A$23:$A$189,A117,'Tank &amp; Control'!$B$23:$B$189,B117))</x:f>
        <x:v>94.52688397207652</x:v>
      </x:c>
      <x:c r="O117" s="575" t="n">
        <x:f>IF(SUMIFS('Specialisation Impact'!$M$19:$M$186,'Specialisation Impact'!$A$19:$A$186,A117,'Specialisation Impact'!$B$19:$B$186,B117)=0,"",SUMIFS('Specialisation Impact'!$V$19:$V$186,'Specialisation Impact'!$A$19:$A$186,A117,'Specialisation Impact'!$B$19:$B$186,B117))</x:f>
        <x:v>93.16239316239316</x:v>
      </x:c>
      <x:c r="P117" s="575" t="n">
        <x:f>IF(N117="","",N117)</x:f>
        <x:v>94.52688397207652</x:v>
      </x:c>
      <x:c r="Q117" s="575" t="n">
        <x:f>IF(N117="","",IF(AC117=0,N117,MAX(0,MIN(100,N117*(1-'Specialisation Scenarios'!$B$8*AC117)+O117*('Specialisation Scenarios'!$B$8*AC117)))))</x:f>
        <x:v>94.18576126965567</x:v>
      </x:c>
      <x:c r="R117" s="575" t="n">
        <x:f>IF(N117="","",IF(AC117=0,N117,MAX(0,MIN(100,N117*(1-'Specialisation Scenarios'!$B$9*AC117)+O117*('Specialisation Scenarios'!$B$9*AC117)))))</x:f>
        <x:v>94.04931218868734</x:v>
      </x:c>
      <x:c r="S117" s="583" t="n">
        <x:f>IF(J117="","",COUNTIFS($A$6:$A$172,A117,$J$6:$J$172,"&gt;"&amp;J117)+COUNTIFS($A$6:A117,A117,$J$6:J117,J117))</x:f>
        <x:v>1</x:v>
      </x:c>
      <x:c r="T117" s="583" t="n">
        <x:f>IF(K117="","",COUNTIFS($A$6:$A$172,A117,$K$6:$K$172,"&gt;"&amp;K117)+COUNTIFS($A$6:A117,A117,$K$6:K117,K117))</x:f>
        <x:v>3</x:v>
      </x:c>
      <x:c r="U117" s="583" t="n">
        <x:f>IF(L117="","",COUNTIFS($A$6:$A$172,A117,$L$6:$L$172,"&gt;"&amp;L117)+COUNTIFS($A$6:A117,A117,$L$6:L117,L117))</x:f>
        <x:v>3</x:v>
      </x:c>
      <x:c r="V117" s="583" t="n">
        <x:f>IF(P117="","",COUNTIFS($A$6:$A$172,A117,$P$6:$P$172,"&gt;"&amp;P117)+COUNTIFS($A$6:A117,A117,$P$6:P117,P117))</x:f>
        <x:v>1</x:v>
      </x:c>
      <x:c r="W117" s="583" t="n">
        <x:f>IF(Q117="","",COUNTIFS($A$6:$A$172,A117,$Q$6:$Q$172,"&gt;"&amp;Q117)+COUNTIFS($A$6:A117,A117,$Q$6:Q117,Q117))</x:f>
        <x:v>1</x:v>
      </x:c>
      <x:c r="X117" s="583" t="n">
        <x:f>IF(R117="","",COUNTIFS($A$6:$A$172,A117,$R$6:$R$172,"&gt;"&amp;R117)+COUNTIFS($A$6:A117,A117,$R$6:R117,R117))</x:f>
        <x:v>1</x:v>
      </x:c>
      <x:c r="Y117" s="571" t="str">
        <x:f>IF(V117="","",A117&amp;"|"&amp;V117)</x:f>
        <x:v>K54|1</x:v>
      </x:c>
      <x:c r="Z117" s="571" t="str">
        <x:f>IF(W117="","",A117&amp;"|"&amp;W117)</x:f>
        <x:v>K54|1</x:v>
      </x:c>
      <x:c r="AA117" s="571" t="str">
        <x:f>IF(X117="","",A117&amp;"|"&amp;X117)</x:f>
        <x:v>K54|1</x:v>
      </x:c>
      <x:c r="AB117" s="571" t="str">
        <x:f>IF(A117="","",IF(I117=0,"Offense neutral — no recorded offensive skills",IF(I117&lt;1,"Partial lookup — adjustment scaled",IF(AND(M117="Yes",AC117=0),"Offense adjusted; Guard neutral","Captured"))))</x:f>
        <x:v>Captured</x:v>
      </x:c>
      <x:c r="AC117" s="579" t="n">
        <x:f>IF(SUMIFS('Specialisation Impact'!$M$19:$M$186,'Specialisation Impact'!$A$19:$A$186,A117,'Specialisation Impact'!$B$19:$B$186,B117)=0,0,SUMIFS('Specialisation Impact'!$F$19:$F$186,'Specialisation Impact'!$A$19:$A$186,A117,'Specialisation Impact'!$B$19:$B$186,B117))</x:f>
        <x:v>1</x:v>
      </x:c>
    </x:row>
    <x:row r="118">
      <x:c r="A118" s="572" t="str">
        <x:v>K54</x:v>
      </x:c>
      <x:c r="B118" s="572" t="str">
        <x:v>纵横,,,杀戮</x:v>
      </x:c>
      <x:c r="C118" s="576" t="n">
        <x:f>IF($A118="","",AVERAGE(100*((COUNTIF('All Stats'!$D$6:$D$172,"&lt;"&amp;'All Stats'!D118)+(COUNTIF('All Stats'!$D$6:$D$172,'All Stats'!D118)-1)/2)/(COUNT('All Stats'!$D$6:$D$172)-1))^'Specialisation Scenarios'!$X$10,100*((COUNTIF('All Stats'!$G$6:$G$172,"&lt;"&amp;'All Stats'!G118)+(COUNTIF('All Stats'!$G$6:$G$172,'All Stats'!G118)-1)/2)/(COUNT('All Stats'!$G$6:$G$172)-1))^'Specialisation Scenarios'!$X$10,100*((COUNTIF('All Stats'!$I$6:$I$172,"&lt;"&amp;'All Stats'!I118)+(COUNTIF('All Stats'!$I$6:$I$172,'All Stats'!I118)-1)/2)/(COUNT('All Stats'!$I$6:$I$172)-1))^'Specialisation Scenarios'!$X$10))</x:f>
        <x:v>86.04763365463168</x:v>
      </x:c>
      <x:c r="D118" s="576" t="n">
        <x:f>IF($A118="","",AVERAGE(100*((COUNTIF('All Stats'!$R$6:$R$172,"&lt;"&amp;'All Stats'!R118)+(COUNTIF('All Stats'!$R$6:$R$172,'All Stats'!R118)-1)/2)/(COUNT('All Stats'!$R$6:$R$172)-1))^'Specialisation Scenarios'!$X$10,100*((COUNTIF('All Stats'!$U$6:$U$172,"&lt;"&amp;'All Stats'!U118)+(COUNTIF('All Stats'!$U$6:$U$172,'All Stats'!U118)-1)/2)/(COUNT('All Stats'!$U$6:$U$172)-1))^'Specialisation Scenarios'!$X$10,100*((COUNTIF('All Stats'!$W$6:$W$172,"&lt;"&amp;'All Stats'!W118)+(COUNTIF('All Stats'!$W$6:$W$172,'All Stats'!W118)-1)/2)/(COUNT('All Stats'!$W$6:$W$172)-1))^'Specialisation Scenarios'!$X$10))</x:f>
        <x:v>89.87193354123337</x:v>
      </x:c>
      <x:c r="E118" s="576" t="n">
        <x:f>IF($A118="","",AVERAGE(100*((COUNTIF('All Stats'!$Y$6:$Y$172,"&lt;"&amp;'All Stats'!Y118)+(COUNTIF('All Stats'!$Y$6:$Y$172,'All Stats'!Y118)-1)/2)/(COUNT('All Stats'!$Y$6:$Y$172)-1))^'Specialisation Scenarios'!$X$10,100*((COUNTIF('All Stats'!$AB$6:$AB$172,"&lt;"&amp;'All Stats'!AB118)+(COUNTIF('All Stats'!$AB$6:$AB$172,'All Stats'!AB118)-1)/2)/(COUNT('All Stats'!$AB$6:$AB$172)-1))^'Specialisation Scenarios'!$X$10,100*((COUNTIF('All Stats'!$AD$6:$AD$172,"&lt;"&amp;'All Stats'!AD118)+(COUNTIF('All Stats'!$AD$6:$AD$172,'All Stats'!AD118)-1)/2)/(COUNT('All Stats'!$AD$6:$AD$172)-1))^'Specialisation Scenarios'!$X$10))</x:f>
        <x:v>84.56702585144542</x:v>
      </x:c>
      <x:c r="F118" s="576" t="n">
        <x:f>IF($A118="","",AVERAGE(100*((COUNTIF('All Stats'!$AF$6:$AF$172,"&lt;"&amp;'All Stats'!AF118)+(COUNTIF('All Stats'!$AF$6:$AF$172,'All Stats'!AF118)-1)/2)/(COUNT('All Stats'!$AF$6:$AF$172)-1))^'Specialisation Scenarios'!$X$10,100*((COUNTIF('All Stats'!$AI$6:$AI$172,"&lt;"&amp;'All Stats'!AI118)+(COUNTIF('All Stats'!$AI$6:$AI$172,'All Stats'!AI118)-1)/2)/(COUNT('All Stats'!$AI$6:$AI$172)-1))^'Specialisation Scenarios'!$X$10,100*((COUNTIF('All Stats'!$AK$6:$AK$172,"&lt;"&amp;'All Stats'!AK118)+(COUNTIF('All Stats'!$AK$6:$AK$172,'All Stats'!AK118)-1)/2)/(COUNT('All Stats'!$AK$6:$AK$172)-1))^'Specialisation Scenarios'!$X$10))</x:f>
        <x:v>91.80277082090424</x:v>
      </x:c>
      <x:c r="G118" s="576" t="n">
        <x:f>IF($A118="","",C118*'Specialisation Scenarios'!$X$11+D118*'Specialisation Scenarios'!$X$12+E118*'Specialisation Scenarios'!$X$13+F118*'Specialisation Scenarios'!$X$14)</x:f>
        <x:v>89.05742338121495</x:v>
      </x:c>
      <x:c r="H118" s="576" t="n">
        <x:f>IF(SUMIFS('Specialisation Impact'!$E$19:$E$186,'Specialisation Impact'!$A$19:$A$186,A118,'Specialisation Impact'!$B$19:$B$186,B118)=0,"",SUMIFS('Specialisation Impact'!$S$19:$S$186,'Specialisation Impact'!$A$19:$A$186,A118,'Specialisation Impact'!$B$19:$B$186,B118))</x:f>
        <x:v>99.35064935064935</x:v>
      </x:c>
      <x:c r="I118" s="580" t="n">
        <x:f>IF(SUMIFS('Specialisation Impact'!$E$19:$E$186,'Specialisation Impact'!$A$19:$A$186,A118,'Specialisation Impact'!$B$19:$B$186,B118)=0,0,SUMIFS('Specialisation Impact'!$F$19:$F$186,'Specialisation Impact'!$A$19:$A$186,A118,'Specialisation Impact'!$B$19:$B$186,B118))</x:f>
        <x:v>1</x:v>
      </x:c>
      <x:c r="J118" s="576" t="n">
        <x:f>G118</x:f>
        <x:v>89.05742338121495</x:v>
      </x:c>
      <x:c r="K118" s="576" t="n">
        <x:f>IF(G118="","",IF(I118=0,G118,MAX(0,MIN(100,G118*(1-'Specialisation Scenarios'!$B$8*I118)+H118*('Specialisation Scenarios'!$B$8*I118)))))</x:f>
        <x:v>91.63072987357354</x:v>
      </x:c>
      <x:c r="L118" s="576" t="n">
        <x:f>IF(G118="","",IF(I118=0,G118,MAX(0,MIN(100,G118*(1-'Specialisation Scenarios'!$B$9*I118)+H118*('Specialisation Scenarios'!$B$9*I118)))))</x:f>
        <x:v>92.66005247051697</x:v>
      </x:c>
      <x:c r="M118" s="576" t="str">
        <x:f>IF(COUNTIFS('Tank &amp; Control'!$A$23:$A$189,A118,'Tank &amp; Control'!$B$23:$B$189,B118,'Tank &amp; Control'!$C$23:$C$189,"Yes")&gt;0,"Yes","No")</x:f>
        <x:v>Yes</x:v>
      </x:c>
      <x:c r="N118" s="576" t="n">
        <x:f>IF(M118&lt;&gt;"Yes","",SUMIFS('Tank &amp; Control'!$L$23:$L$189,'Tank &amp; Control'!$A$23:$A$189,A118,'Tank &amp; Control'!$B$23:$B$189,B118))</x:f>
        <x:v>13.101657389265341</x:v>
      </x:c>
      <x:c r="O118" s="576" t="str">
        <x:f>IF(SUMIFS('Specialisation Impact'!$M$19:$M$186,'Specialisation Impact'!$A$19:$A$186,A118,'Specialisation Impact'!$B$19:$B$186,B118)=0,"",SUMIFS('Specialisation Impact'!$V$19:$V$186,'Specialisation Impact'!$A$19:$A$186,A118,'Specialisation Impact'!$B$19:$B$186,B118))</x:f>
      </x:c>
      <x:c r="P118" s="576" t="n">
        <x:f>IF(N118="","",N118)</x:f>
        <x:v>13.101657389265341</x:v>
      </x:c>
      <x:c r="Q118" s="576" t="n">
        <x:f>IF(N118="","",IF(AC118=0,N118,MAX(0,MIN(100,N118*(1-'Specialisation Scenarios'!$B$8*AC118)+O118*('Specialisation Scenarios'!$B$8*AC118)))))</x:f>
        <x:v>13.101657389265341</x:v>
      </x:c>
      <x:c r="R118" s="576" t="n">
        <x:f>IF(N118="","",IF(AC118=0,N118,MAX(0,MIN(100,N118*(1-'Specialisation Scenarios'!$B$9*AC118)+O118*('Specialisation Scenarios'!$B$9*AC118)))))</x:f>
        <x:v>13.101657389265341</x:v>
      </x:c>
      <x:c r="S118" s="584" t="n">
        <x:f>IF(J118="","",COUNTIFS($A$6:$A$172,A118,$J$6:$J$172,"&gt;"&amp;J118)+COUNTIFS($A$6:A118,A118,$J$6:J118,J118))</x:f>
        <x:v>3</x:v>
      </x:c>
      <x:c r="T118" s="584" t="n">
        <x:f>IF(K118="","",COUNTIFS($A$6:$A$172,A118,$K$6:$K$172,"&gt;"&amp;K118)+COUNTIFS($A$6:A118,A118,$K$6:K118,K118))</x:f>
        <x:v>2</x:v>
      </x:c>
      <x:c r="U118" s="584" t="n">
        <x:f>IF(L118="","",COUNTIFS($A$6:$A$172,A118,$L$6:$L$172,"&gt;"&amp;L118)+COUNTIFS($A$6:A118,A118,$L$6:L118,L118))</x:f>
        <x:v>2</x:v>
      </x:c>
      <x:c r="V118" s="584" t="n">
        <x:f>IF(P118="","",COUNTIFS($A$6:$A$172,A118,$P$6:$P$172,"&gt;"&amp;P118)+COUNTIFS($A$6:A118,A118,$P$6:P118,P118))</x:f>
        <x:v>4</x:v>
      </x:c>
      <x:c r="W118" s="584" t="n">
        <x:f>IF(Q118="","",COUNTIFS($A$6:$A$172,A118,$Q$6:$Q$172,"&gt;"&amp;Q118)+COUNTIFS($A$6:A118,A118,$Q$6:Q118,Q118))</x:f>
        <x:v>4</x:v>
      </x:c>
      <x:c r="X118" s="584" t="n">
        <x:f>IF(R118="","",COUNTIFS($A$6:$A$172,A118,$R$6:$R$172,"&gt;"&amp;R118)+COUNTIFS($A$6:A118,A118,$R$6:R118,R118))</x:f>
        <x:v>4</x:v>
      </x:c>
      <x:c r="Y118" s="572" t="str">
        <x:f>IF(V118="","",A118&amp;"|"&amp;V118)</x:f>
        <x:v>K54|4</x:v>
      </x:c>
      <x:c r="Z118" s="572" t="str">
        <x:f>IF(W118="","",A118&amp;"|"&amp;W118)</x:f>
        <x:v>K54|4</x:v>
      </x:c>
      <x:c r="AA118" s="572" t="str">
        <x:f>IF(X118="","",A118&amp;"|"&amp;X118)</x:f>
        <x:v>K54|4</x:v>
      </x:c>
      <x:c r="AB118" s="572" t="str">
        <x:f>IF(A118="","",IF(I118=0,"Offense neutral — no recorded offensive skills",IF(I118&lt;1,"Partial lookup — adjustment scaled",IF(AND(M118="Yes",AC118=0),"Offense adjusted; Guard neutral","Captured"))))</x:f>
        <x:v>Offense adjusted; Guard neutral</x:v>
      </x:c>
      <x:c r="AC118" s="580" t="n">
        <x:f>IF(SUMIFS('Specialisation Impact'!$M$19:$M$186,'Specialisation Impact'!$A$19:$A$186,A118,'Specialisation Impact'!$B$19:$B$186,B118)=0,0,SUMIFS('Specialisation Impact'!$F$19:$F$186,'Specialisation Impact'!$A$19:$A$186,A118,'Specialisation Impact'!$B$19:$B$186,B118))</x:f>
        <x:v>0</x:v>
      </x:c>
    </x:row>
    <x:row r="119">
      <x:c r="A119" s="571" t="str">
        <x:v>K54</x:v>
      </x:c>
      <x:c r="B119" s="571" t="str">
        <x:v>纵横,,,大风</x:v>
      </x:c>
      <x:c r="C119" s="575" t="n">
        <x:f>IF($A119="","",AVERAGE(100*((COUNTIF('All Stats'!$D$6:$D$172,"&lt;"&amp;'All Stats'!D119)+(COUNTIF('All Stats'!$D$6:$D$172,'All Stats'!D119)-1)/2)/(COUNT('All Stats'!$D$6:$D$172)-1))^'Specialisation Scenarios'!$X$10,100*((COUNTIF('All Stats'!$G$6:$G$172,"&lt;"&amp;'All Stats'!G119)+(COUNTIF('All Stats'!$G$6:$G$172,'All Stats'!G119)-1)/2)/(COUNT('All Stats'!$G$6:$G$172)-1))^'Specialisation Scenarios'!$X$10,100*((COUNTIF('All Stats'!$I$6:$I$172,"&lt;"&amp;'All Stats'!I119)+(COUNTIF('All Stats'!$I$6:$I$172,'All Stats'!I119)-1)/2)/(COUNT('All Stats'!$I$6:$I$172)-1))^'Specialisation Scenarios'!$X$10))</x:f>
        <x:v>90.43908716317019</x:v>
      </x:c>
      <x:c r="D119" s="575" t="n">
        <x:f>IF($A119="","",AVERAGE(100*((COUNTIF('All Stats'!$R$6:$R$172,"&lt;"&amp;'All Stats'!R119)+(COUNTIF('All Stats'!$R$6:$R$172,'All Stats'!R119)-1)/2)/(COUNT('All Stats'!$R$6:$R$172)-1))^'Specialisation Scenarios'!$X$10,100*((COUNTIF('All Stats'!$U$6:$U$172,"&lt;"&amp;'All Stats'!U119)+(COUNTIF('All Stats'!$U$6:$U$172,'All Stats'!U119)-1)/2)/(COUNT('All Stats'!$U$6:$U$172)-1))^'Specialisation Scenarios'!$X$10,100*((COUNTIF('All Stats'!$W$6:$W$172,"&lt;"&amp;'All Stats'!W119)+(COUNTIF('All Stats'!$W$6:$W$172,'All Stats'!W119)-1)/2)/(COUNT('All Stats'!$W$6:$W$172)-1))^'Specialisation Scenarios'!$X$10))</x:f>
        <x:v>90.95653473345214</x:v>
      </x:c>
      <x:c r="E119" s="575" t="n">
        <x:f>IF($A119="","",AVERAGE(100*((COUNTIF('All Stats'!$Y$6:$Y$172,"&lt;"&amp;'All Stats'!Y119)+(COUNTIF('All Stats'!$Y$6:$Y$172,'All Stats'!Y119)-1)/2)/(COUNT('All Stats'!$Y$6:$Y$172)-1))^'Specialisation Scenarios'!$X$10,100*((COUNTIF('All Stats'!$AB$6:$AB$172,"&lt;"&amp;'All Stats'!AB119)+(COUNTIF('All Stats'!$AB$6:$AB$172,'All Stats'!AB119)-1)/2)/(COUNT('All Stats'!$AB$6:$AB$172)-1))^'Specialisation Scenarios'!$X$10,100*((COUNTIF('All Stats'!$AD$6:$AD$172,"&lt;"&amp;'All Stats'!AD119)+(COUNTIF('All Stats'!$AD$6:$AD$172,'All Stats'!AD119)-1)/2)/(COUNT('All Stats'!$AD$6:$AD$172)-1))^'Specialisation Scenarios'!$X$10))</x:f>
        <x:v>80.14837794815955</x:v>
      </x:c>
      <x:c r="F119" s="575" t="n">
        <x:f>IF($A119="","",AVERAGE(100*((COUNTIF('All Stats'!$AF$6:$AF$172,"&lt;"&amp;'All Stats'!AF119)+(COUNTIF('All Stats'!$AF$6:$AF$172,'All Stats'!AF119)-1)/2)/(COUNT('All Stats'!$AF$6:$AF$172)-1))^'Specialisation Scenarios'!$X$10,100*((COUNTIF('All Stats'!$AI$6:$AI$172,"&lt;"&amp;'All Stats'!AI119)+(COUNTIF('All Stats'!$AI$6:$AI$172,'All Stats'!AI119)-1)/2)/(COUNT('All Stats'!$AI$6:$AI$172)-1))^'Specialisation Scenarios'!$X$10,100*((COUNTIF('All Stats'!$AK$6:$AK$172,"&lt;"&amp;'All Stats'!AK119)+(COUNTIF('All Stats'!$AK$6:$AK$172,'All Stats'!AK119)-1)/2)/(COUNT('All Stats'!$AK$6:$AK$172)-1))^'Specialisation Scenarios'!$X$10))</x:f>
        <x:v>94.97011272194366</x:v>
      </x:c>
      <x:c r="G119" s="575" t="n">
        <x:f>IF($A119="","",C119*'Specialisation Scenarios'!$X$11+D119*'Specialisation Scenarios'!$X$12+E119*'Specialisation Scenarios'!$X$13+F119*'Specialisation Scenarios'!$X$14)</x:f>
        <x:v>90.40013861765432</x:v>
      </x:c>
      <x:c r="H119" s="575" t="n">
        <x:f>IF(SUMIFS('Specialisation Impact'!$E$19:$E$186,'Specialisation Impact'!$A$19:$A$186,A119,'Specialisation Impact'!$B$19:$B$186,B119)=0,"",SUMIFS('Specialisation Impact'!$S$19:$S$186,'Specialisation Impact'!$A$19:$A$186,A119,'Specialisation Impact'!$B$19:$B$186,B119))</x:f>
        <x:v>97.53246753246754</x:v>
      </x:c>
      <x:c r="I119" s="579" t="n">
        <x:f>IF(SUMIFS('Specialisation Impact'!$E$19:$E$186,'Specialisation Impact'!$A$19:$A$186,A119,'Specialisation Impact'!$B$19:$B$186,B119)=0,0,SUMIFS('Specialisation Impact'!$F$19:$F$186,'Specialisation Impact'!$A$19:$A$186,A119,'Specialisation Impact'!$B$19:$B$186,B119))</x:f>
        <x:v>1</x:v>
      </x:c>
      <x:c r="J119" s="575" t="n">
        <x:f>G119</x:f>
        <x:v>90.40013861765432</x:v>
      </x:c>
      <x:c r="K119" s="575" t="n">
        <x:f>IF(G119="","",IF(I119=0,G119,MAX(0,MIN(100,G119*(1-'Specialisation Scenarios'!$B$8*I119)+H119*('Specialisation Scenarios'!$B$8*I119)))))</x:f>
        <x:v>92.18322084635763</x:v>
      </x:c>
      <x:c r="L119" s="575" t="n">
        <x:f>IF(G119="","",IF(I119=0,G119,MAX(0,MIN(100,G119*(1-'Specialisation Scenarios'!$B$9*I119)+H119*('Specialisation Scenarios'!$B$9*I119)))))</x:f>
        <x:v>92.89645373783895</x:v>
      </x:c>
      <x:c r="M119" s="575" t="str">
        <x:f>IF(COUNTIFS('Tank &amp; Control'!$A$23:$A$189,A119,'Tank &amp; Control'!$B$23:$B$189,B119,'Tank &amp; Control'!$C$23:$C$189,"Yes")&gt;0,"Yes","No")</x:f>
        <x:v>Yes</x:v>
      </x:c>
      <x:c r="N119" s="575" t="n">
        <x:f>IF(M119&lt;&gt;"Yes","",SUMIFS('Tank &amp; Control'!$L$23:$L$189,'Tank &amp; Control'!$A$23:$A$189,A119,'Tank &amp; Control'!$B$23:$B$189,B119))</x:f>
        <x:v>22.61752133646813</x:v>
      </x:c>
      <x:c r="O119" s="575" t="str">
        <x:f>IF(SUMIFS('Specialisation Impact'!$M$19:$M$186,'Specialisation Impact'!$A$19:$A$186,A119,'Specialisation Impact'!$B$19:$B$186,B119)=0,"",SUMIFS('Specialisation Impact'!$V$19:$V$186,'Specialisation Impact'!$A$19:$A$186,A119,'Specialisation Impact'!$B$19:$B$186,B119))</x:f>
      </x:c>
      <x:c r="P119" s="575" t="n">
        <x:f>IF(N119="","",N119)</x:f>
        <x:v>22.61752133646813</x:v>
      </x:c>
      <x:c r="Q119" s="575" t="n">
        <x:f>IF(N119="","",IF(AC119=0,N119,MAX(0,MIN(100,N119*(1-'Specialisation Scenarios'!$B$8*AC119)+O119*('Specialisation Scenarios'!$B$8*AC119)))))</x:f>
        <x:v>22.61752133646813</x:v>
      </x:c>
      <x:c r="R119" s="575" t="n">
        <x:f>IF(N119="","",IF(AC119=0,N119,MAX(0,MIN(100,N119*(1-'Specialisation Scenarios'!$B$9*AC119)+O119*('Specialisation Scenarios'!$B$9*AC119)))))</x:f>
        <x:v>22.61752133646813</x:v>
      </x:c>
      <x:c r="S119" s="583" t="n">
        <x:f>IF(J119="","",COUNTIFS($A$6:$A$172,A119,$J$6:$J$172,"&gt;"&amp;J119)+COUNTIFS($A$6:A119,A119,$J$6:J119,J119))</x:f>
        <x:v>2</x:v>
      </x:c>
      <x:c r="T119" s="583" t="n">
        <x:f>IF(K119="","",COUNTIFS($A$6:$A$172,A119,$K$6:$K$172,"&gt;"&amp;K119)+COUNTIFS($A$6:A119,A119,$K$6:K119,K119))</x:f>
        <x:v>1</x:v>
      </x:c>
      <x:c r="U119" s="583" t="n">
        <x:f>IF(L119="","",COUNTIFS($A$6:$A$172,A119,$L$6:$L$172,"&gt;"&amp;L119)+COUNTIFS($A$6:A119,A119,$L$6:L119,L119))</x:f>
        <x:v>1</x:v>
      </x:c>
      <x:c r="V119" s="583" t="n">
        <x:f>IF(P119="","",COUNTIFS($A$6:$A$172,A119,$P$6:$P$172,"&gt;"&amp;P119)+COUNTIFS($A$6:A119,A119,$P$6:P119,P119))</x:f>
        <x:v>3</x:v>
      </x:c>
      <x:c r="W119" s="583" t="n">
        <x:f>IF(Q119="","",COUNTIFS($A$6:$A$172,A119,$Q$6:$Q$172,"&gt;"&amp;Q119)+COUNTIFS($A$6:A119,A119,$Q$6:Q119,Q119))</x:f>
        <x:v>3</x:v>
      </x:c>
      <x:c r="X119" s="583" t="n">
        <x:f>IF(R119="","",COUNTIFS($A$6:$A$172,A119,$R$6:$R$172,"&gt;"&amp;R119)+COUNTIFS($A$6:A119,A119,$R$6:R119,R119))</x:f>
        <x:v>3</x:v>
      </x:c>
      <x:c r="Y119" s="571" t="str">
        <x:f>IF(V119="","",A119&amp;"|"&amp;V119)</x:f>
        <x:v>K54|3</x:v>
      </x:c>
      <x:c r="Z119" s="571" t="str">
        <x:f>IF(W119="","",A119&amp;"|"&amp;W119)</x:f>
        <x:v>K54|3</x:v>
      </x:c>
      <x:c r="AA119" s="571" t="str">
        <x:f>IF(X119="","",A119&amp;"|"&amp;X119)</x:f>
        <x:v>K54|3</x:v>
      </x:c>
      <x:c r="AB119" s="571" t="str">
        <x:f>IF(A119="","",IF(I119=0,"Offense neutral — no recorded offensive skills",IF(I119&lt;1,"Partial lookup — adjustment scaled",IF(AND(M119="Yes",AC119=0),"Offense adjusted; Guard neutral","Captured"))))</x:f>
        <x:v>Offense adjusted; Guard neutral</x:v>
      </x:c>
      <x:c r="AC119" s="579" t="n">
        <x:f>IF(SUMIFS('Specialisation Impact'!$M$19:$M$186,'Specialisation Impact'!$A$19:$A$186,A119,'Specialisation Impact'!$B$19:$B$186,B119)=0,0,SUMIFS('Specialisation Impact'!$F$19:$F$186,'Specialisation Impact'!$A$19:$A$186,A119,'Specialisation Impact'!$B$19:$B$186,B119))</x:f>
        <x:v>0</x:v>
      </x:c>
    </x:row>
    <x:row r="120">
      <x:c r="A120" s="572" t="str">
        <x:v>K54</x:v>
      </x:c>
      <x:c r="B120" s="572" t="str">
        <x:v>Somnium</x:v>
      </x:c>
      <x:c r="C120" s="576" t="n">
        <x:f>IF($A120="","",AVERAGE(100*((COUNTIF('All Stats'!$D$6:$D$172,"&lt;"&amp;'All Stats'!D120)+(COUNTIF('All Stats'!$D$6:$D$172,'All Stats'!D120)-1)/2)/(COUNT('All Stats'!$D$6:$D$172)-1))^'Specialisation Scenarios'!$X$10,100*((COUNTIF('All Stats'!$G$6:$G$172,"&lt;"&amp;'All Stats'!G120)+(COUNTIF('All Stats'!$G$6:$G$172,'All Stats'!G120)-1)/2)/(COUNT('All Stats'!$G$6:$G$172)-1))^'Specialisation Scenarios'!$X$10,100*((COUNTIF('All Stats'!$I$6:$I$172,"&lt;"&amp;'All Stats'!I120)+(COUNTIF('All Stats'!$I$6:$I$172,'All Stats'!I120)-1)/2)/(COUNT('All Stats'!$I$6:$I$172)-1))^'Specialisation Scenarios'!$X$10))</x:f>
        <x:v>20.415462110641386</x:v>
      </x:c>
      <x:c r="D120" s="576" t="n">
        <x:f>IF($A120="","",AVERAGE(100*((COUNTIF('All Stats'!$R$6:$R$172,"&lt;"&amp;'All Stats'!R120)+(COUNTIF('All Stats'!$R$6:$R$172,'All Stats'!R120)-1)/2)/(COUNT('All Stats'!$R$6:$R$172)-1))^'Specialisation Scenarios'!$X$10,100*((COUNTIF('All Stats'!$U$6:$U$172,"&lt;"&amp;'All Stats'!U120)+(COUNTIF('All Stats'!$U$6:$U$172,'All Stats'!U120)-1)/2)/(COUNT('All Stats'!$U$6:$U$172)-1))^'Specialisation Scenarios'!$X$10,100*((COUNTIF('All Stats'!$W$6:$W$172,"&lt;"&amp;'All Stats'!W120)+(COUNTIF('All Stats'!$W$6:$W$172,'All Stats'!W120)-1)/2)/(COUNT('All Stats'!$W$6:$W$172)-1))^'Specialisation Scenarios'!$X$10))</x:f>
        <x:v>56.944572547855294</x:v>
      </x:c>
      <x:c r="E120" s="576" t="n">
        <x:f>IF($A120="","",AVERAGE(100*((COUNTIF('All Stats'!$Y$6:$Y$172,"&lt;"&amp;'All Stats'!Y120)+(COUNTIF('All Stats'!$Y$6:$Y$172,'All Stats'!Y120)-1)/2)/(COUNT('All Stats'!$Y$6:$Y$172)-1))^'Specialisation Scenarios'!$X$10,100*((COUNTIF('All Stats'!$AB$6:$AB$172,"&lt;"&amp;'All Stats'!AB120)+(COUNTIF('All Stats'!$AB$6:$AB$172,'All Stats'!AB120)-1)/2)/(COUNT('All Stats'!$AB$6:$AB$172)-1))^'Specialisation Scenarios'!$X$10,100*((COUNTIF('All Stats'!$AD$6:$AD$172,"&lt;"&amp;'All Stats'!AD120)+(COUNTIF('All Stats'!$AD$6:$AD$172,'All Stats'!AD120)-1)/2)/(COUNT('All Stats'!$AD$6:$AD$172)-1))^'Specialisation Scenarios'!$X$10))</x:f>
        <x:v>4.810147020245087</x:v>
      </x:c>
      <x:c r="F120" s="576" t="n">
        <x:f>IF($A120="","",AVERAGE(100*((COUNTIF('All Stats'!$AF$6:$AF$172,"&lt;"&amp;'All Stats'!AF120)+(COUNTIF('All Stats'!$AF$6:$AF$172,'All Stats'!AF120)-1)/2)/(COUNT('All Stats'!$AF$6:$AF$172)-1))^'Specialisation Scenarios'!$X$10,100*((COUNTIF('All Stats'!$AI$6:$AI$172,"&lt;"&amp;'All Stats'!AI120)+(COUNTIF('All Stats'!$AI$6:$AI$172,'All Stats'!AI120)-1)/2)/(COUNT('All Stats'!$AI$6:$AI$172)-1))^'Specialisation Scenarios'!$X$10,100*((COUNTIF('All Stats'!$AK$6:$AK$172,"&lt;"&amp;'All Stats'!AK120)+(COUNTIF('All Stats'!$AK$6:$AK$172,'All Stats'!AK120)-1)/2)/(COUNT('All Stats'!$AK$6:$AK$172)-1))^'Specialisation Scenarios'!$X$10))</x:f>
        <x:v>16.303495699599054</x:v>
      </x:c>
      <x:c r="G120" s="576" t="n">
        <x:f>IF($A120="","",C120*'Specialisation Scenarios'!$X$11+D120*'Specialisation Scenarios'!$X$12+E120*'Specialisation Scenarios'!$X$13+F120*'Specialisation Scenarios'!$X$14)</x:f>
        <x:v>40.15560190227375</x:v>
      </x:c>
      <x:c r="H120" s="576" t="n">
        <x:f>IF(SUMIFS('Specialisation Impact'!$E$19:$E$186,'Specialisation Impact'!$A$19:$A$186,A120,'Specialisation Impact'!$B$19:$B$186,B120)=0,"",SUMIFS('Specialisation Impact'!$S$19:$S$186,'Specialisation Impact'!$A$19:$A$186,A120,'Specialisation Impact'!$B$19:$B$186,B120))</x:f>
        <x:v>45.58441558441558</x:v>
      </x:c>
      <x:c r="I120" s="580" t="n">
        <x:f>IF(SUMIFS('Specialisation Impact'!$E$19:$E$186,'Specialisation Impact'!$A$19:$A$186,A120,'Specialisation Impact'!$B$19:$B$186,B120)=0,0,SUMIFS('Specialisation Impact'!$F$19:$F$186,'Specialisation Impact'!$A$19:$A$186,A120,'Specialisation Impact'!$B$19:$B$186,B120))</x:f>
        <x:v>1</x:v>
      </x:c>
      <x:c r="J120" s="576" t="n">
        <x:f>G120</x:f>
        <x:v>40.15560190227375</x:v>
      </x:c>
      <x:c r="K120" s="576" t="n">
        <x:f>IF(G120="","",IF(I120=0,G120,MAX(0,MIN(100,G120*(1-'Specialisation Scenarios'!$B$8*I120)+H120*('Specialisation Scenarios'!$B$8*I120)))))</x:f>
        <x:v>41.51280532280921</x:v>
      </x:c>
      <x:c r="L120" s="576" t="n">
        <x:f>IF(G120="","",IF(I120=0,G120,MAX(0,MIN(100,G120*(1-'Specialisation Scenarios'!$B$9*I120)+H120*('Specialisation Scenarios'!$B$9*I120)))))</x:f>
        <x:v>42.05568669102339</x:v>
      </x:c>
      <x:c r="M120" s="576" t="str">
        <x:f>IF(COUNTIFS('Tank &amp; Control'!$A$23:$A$189,A120,'Tank &amp; Control'!$B$23:$B$189,B120,'Tank &amp; Control'!$C$23:$C$189,"Yes")&gt;0,"Yes","No")</x:f>
        <x:v>No</x:v>
      </x:c>
      <x:c r="N120" s="576" t="str">
        <x:f>IF(M120&lt;&gt;"Yes","",SUMIFS('Tank &amp; Control'!$L$23:$L$189,'Tank &amp; Control'!$A$23:$A$189,A120,'Tank &amp; Control'!$B$23:$B$189,B120))</x:f>
      </x:c>
      <x:c r="O120" s="576" t="str">
        <x:f>IF(SUMIFS('Specialisation Impact'!$M$19:$M$186,'Specialisation Impact'!$A$19:$A$186,A120,'Specialisation Impact'!$B$19:$B$186,B120)=0,"",SUMIFS('Specialisation Impact'!$V$19:$V$186,'Specialisation Impact'!$A$19:$A$186,A120,'Specialisation Impact'!$B$19:$B$186,B120))</x:f>
      </x:c>
      <x:c r="P120" s="576" t="str">
        <x:f>IF(N120="","",N120)</x:f>
      </x:c>
      <x:c r="Q120" s="576" t="str">
        <x:f>IF(N120="","",IF(AC120=0,N120,MAX(0,MIN(100,N120*(1-'Specialisation Scenarios'!$B$8*AC120)+O120*('Specialisation Scenarios'!$B$8*AC120)))))</x:f>
      </x:c>
      <x:c r="R120" s="576" t="str">
        <x:f>IF(N120="","",IF(AC120=0,N120,MAX(0,MIN(100,N120*(1-'Specialisation Scenarios'!$B$9*AC120)+O120*('Specialisation Scenarios'!$B$9*AC120)))))</x:f>
      </x:c>
      <x:c r="S120" s="584" t="n">
        <x:f>IF(J120="","",COUNTIFS($A$6:$A$172,A120,$J$6:$J$172,"&gt;"&amp;J120)+COUNTIFS($A$6:A120,A120,$J$6:J120,J120))</x:f>
        <x:v>9</x:v>
      </x:c>
      <x:c r="T120" s="584" t="n">
        <x:f>IF(K120="","",COUNTIFS($A$6:$A$172,A120,$K$6:$K$172,"&gt;"&amp;K120)+COUNTIFS($A$6:A120,A120,$K$6:K120,K120))</x:f>
        <x:v>9</x:v>
      </x:c>
      <x:c r="U120" s="584" t="n">
        <x:f>IF(L120="","",COUNTIFS($A$6:$A$172,A120,$L$6:$L$172,"&gt;"&amp;L120)+COUNTIFS($A$6:A120,A120,$L$6:L120,L120))</x:f>
        <x:v>9</x:v>
      </x:c>
      <x:c r="V120" s="584" t="str">
        <x:f>IF(P120="","",COUNTIFS($A$6:$A$172,A120,$P$6:$P$172,"&gt;"&amp;P120)+COUNTIFS($A$6:A120,A120,$P$6:P120,P120))</x:f>
      </x:c>
      <x:c r="W120" s="584" t="str">
        <x:f>IF(Q120="","",COUNTIFS($A$6:$A$172,A120,$Q$6:$Q$172,"&gt;"&amp;Q120)+COUNTIFS($A$6:A120,A120,$Q$6:Q120,Q120))</x:f>
      </x:c>
      <x:c r="X120" s="584" t="str">
        <x:f>IF(R120="","",COUNTIFS($A$6:$A$172,A120,$R$6:$R$172,"&gt;"&amp;R120)+COUNTIFS($A$6:A120,A120,$R$6:R120,R120))</x:f>
      </x:c>
      <x:c r="Y120" s="572" t="str">
        <x:f>IF(V120="","",A120&amp;"|"&amp;V120)</x:f>
      </x:c>
      <x:c r="Z120" s="572" t="str">
        <x:f>IF(W120="","",A120&amp;"|"&amp;W120)</x:f>
      </x:c>
      <x:c r="AA120" s="572" t="str">
        <x:f>IF(X120="","",A120&amp;"|"&amp;X120)</x:f>
      </x:c>
      <x:c r="AB120" s="572" t="str">
        <x:f>IF(A120="","",IF(I120=0,"Offense neutral — no recorded offensive skills",IF(I120&lt;1,"Partial lookup — adjustment scaled",IF(AND(M120="Yes",AC120=0),"Offense adjusted; Guard neutral","Captured"))))</x:f>
        <x:v>Captured</x:v>
      </x:c>
      <x:c r="AC120" s="580" t="n">
        <x:f>IF(SUMIFS('Specialisation Impact'!$M$19:$M$186,'Specialisation Impact'!$A$19:$A$186,A120,'Specialisation Impact'!$B$19:$B$186,B120)=0,0,SUMIFS('Specialisation Impact'!$F$19:$F$186,'Specialisation Impact'!$A$19:$A$186,A120,'Specialisation Impact'!$B$19:$B$186,B120))</x:f>
        <x:v>0</x:v>
      </x:c>
    </x:row>
    <x:row r="121">
      <x:c r="A121" s="571" t="str">
        <x:v>K54</x:v>
      </x:c>
      <x:c r="B121" s="571" t="str">
        <x:v>纵横,,,Nike耐克</x:v>
      </x:c>
      <x:c r="C121" s="575" t="n">
        <x:f>IF($A121="","",AVERAGE(100*((COUNTIF('All Stats'!$D$6:$D$172,"&lt;"&amp;'All Stats'!D121)+(COUNTIF('All Stats'!$D$6:$D$172,'All Stats'!D121)-1)/2)/(COUNT('All Stats'!$D$6:$D$172)-1))^'Specialisation Scenarios'!$X$10,100*((COUNTIF('All Stats'!$G$6:$G$172,"&lt;"&amp;'All Stats'!G121)+(COUNTIF('All Stats'!$G$6:$G$172,'All Stats'!G121)-1)/2)/(COUNT('All Stats'!$G$6:$G$172)-1))^'Specialisation Scenarios'!$X$10,100*((COUNTIF('All Stats'!$I$6:$I$172,"&lt;"&amp;'All Stats'!I121)+(COUNTIF('All Stats'!$I$6:$I$172,'All Stats'!I121)-1)/2)/(COUNT('All Stats'!$I$6:$I$172)-1))^'Specialisation Scenarios'!$X$10))</x:f>
        <x:v>61.41850544823469</x:v>
      </x:c>
      <x:c r="D121" s="575" t="n">
        <x:f>IF($A121="","",AVERAGE(100*((COUNTIF('All Stats'!$R$6:$R$172,"&lt;"&amp;'All Stats'!R121)+(COUNTIF('All Stats'!$R$6:$R$172,'All Stats'!R121)-1)/2)/(COUNT('All Stats'!$R$6:$R$172)-1))^'Specialisation Scenarios'!$X$10,100*((COUNTIF('All Stats'!$U$6:$U$172,"&lt;"&amp;'All Stats'!U121)+(COUNTIF('All Stats'!$U$6:$U$172,'All Stats'!U121)-1)/2)/(COUNT('All Stats'!$U$6:$U$172)-1))^'Specialisation Scenarios'!$X$10,100*((COUNTIF('All Stats'!$W$6:$W$172,"&lt;"&amp;'All Stats'!W121)+(COUNTIF('All Stats'!$W$6:$W$172,'All Stats'!W121)-1)/2)/(COUNT('All Stats'!$W$6:$W$172)-1))^'Specialisation Scenarios'!$X$10))</x:f>
        <x:v>76.8298105507852</x:v>
      </x:c>
      <x:c r="E121" s="575" t="n">
        <x:f>IF($A121="","",AVERAGE(100*((COUNTIF('All Stats'!$Y$6:$Y$172,"&lt;"&amp;'All Stats'!Y121)+(COUNTIF('All Stats'!$Y$6:$Y$172,'All Stats'!Y121)-1)/2)/(COUNT('All Stats'!$Y$6:$Y$172)-1))^'Specialisation Scenarios'!$X$10,100*((COUNTIF('All Stats'!$AB$6:$AB$172,"&lt;"&amp;'All Stats'!AB121)+(COUNTIF('All Stats'!$AB$6:$AB$172,'All Stats'!AB121)-1)/2)/(COUNT('All Stats'!$AB$6:$AB$172)-1))^'Specialisation Scenarios'!$X$10,100*((COUNTIF('All Stats'!$AD$6:$AD$172,"&lt;"&amp;'All Stats'!AD121)+(COUNTIF('All Stats'!$AD$6:$AD$172,'All Stats'!AD121)-1)/2)/(COUNT('All Stats'!$AD$6:$AD$172)-1))^'Specialisation Scenarios'!$X$10))</x:f>
        <x:v>37.309975418219686</x:v>
      </x:c>
      <x:c r="F121" s="575" t="n">
        <x:f>IF($A121="","",AVERAGE(100*((COUNTIF('All Stats'!$AF$6:$AF$172,"&lt;"&amp;'All Stats'!AF121)+(COUNTIF('All Stats'!$AF$6:$AF$172,'All Stats'!AF121)-1)/2)/(COUNT('All Stats'!$AF$6:$AF$172)-1))^'Specialisation Scenarios'!$X$10,100*((COUNTIF('All Stats'!$AI$6:$AI$172,"&lt;"&amp;'All Stats'!AI121)+(COUNTIF('All Stats'!$AI$6:$AI$172,'All Stats'!AI121)-1)/2)/(COUNT('All Stats'!$AI$6:$AI$172)-1))^'Specialisation Scenarios'!$X$10,100*((COUNTIF('All Stats'!$AK$6:$AK$172,"&lt;"&amp;'All Stats'!AK121)+(COUNTIF('All Stats'!$AK$6:$AK$172,'All Stats'!AK121)-1)/2)/(COUNT('All Stats'!$AK$6:$AK$172)-1))^'Specialisation Scenarios'!$X$10))</x:f>
        <x:v>73.45382823541836</x:v>
      </x:c>
      <x:c r="G121" s="575" t="n">
        <x:f>IF($A121="","",C121*'Specialisation Scenarios'!$X$11+D121*'Specialisation Scenarios'!$X$12+E121*'Specialisation Scenarios'!$X$13+F121*'Specialisation Scenarios'!$X$14)</x:f>
        <x:v>70.05973392484105</x:v>
      </x:c>
      <x:c r="H121" s="575" t="n">
        <x:f>IF(SUMIFS('Specialisation Impact'!$E$19:$E$186,'Specialisation Impact'!$A$19:$A$186,A121,'Specialisation Impact'!$B$19:$B$186,B121)=0,"",SUMIFS('Specialisation Impact'!$S$19:$S$186,'Specialisation Impact'!$A$19:$A$186,A121,'Specialisation Impact'!$B$19:$B$186,B121))</x:f>
        <x:v>92.5974025974026</x:v>
      </x:c>
      <x:c r="I121" s="579" t="n">
        <x:f>IF(SUMIFS('Specialisation Impact'!$E$19:$E$186,'Specialisation Impact'!$A$19:$A$186,A121,'Specialisation Impact'!$B$19:$B$186,B121)=0,0,SUMIFS('Specialisation Impact'!$F$19:$F$186,'Specialisation Impact'!$A$19:$A$186,A121,'Specialisation Impact'!$B$19:$B$186,B121))</x:f>
        <x:v>1</x:v>
      </x:c>
      <x:c r="J121" s="575" t="n">
        <x:f>G121</x:f>
        <x:v>70.05973392484105</x:v>
      </x:c>
      <x:c r="K121" s="575" t="n">
        <x:f>IF(G121="","",IF(I121=0,G121,MAX(0,MIN(100,G121*(1-'Specialisation Scenarios'!$B$8*I121)+H121*('Specialisation Scenarios'!$B$8*I121)))))</x:f>
        <x:v>75.69415109298144</x:v>
      </x:c>
      <x:c r="L121" s="575" t="n">
        <x:f>IF(G121="","",IF(I121=0,G121,MAX(0,MIN(100,G121*(1-'Specialisation Scenarios'!$B$9*I121)+H121*('Specialisation Scenarios'!$B$9*I121)))))</x:f>
        <x:v>77.9479179602376</x:v>
      </x:c>
      <x:c r="M121" s="575" t="str">
        <x:f>IF(COUNTIFS('Tank &amp; Control'!$A$23:$A$189,A121,'Tank &amp; Control'!$B$23:$B$189,B121,'Tank &amp; Control'!$C$23:$C$189,"Yes")&gt;0,"Yes","No")</x:f>
        <x:v>No</x:v>
      </x:c>
      <x:c r="N121" s="575" t="str">
        <x:f>IF(M121&lt;&gt;"Yes","",SUMIFS('Tank &amp; Control'!$L$23:$L$189,'Tank &amp; Control'!$A$23:$A$189,A121,'Tank &amp; Control'!$B$23:$B$189,B121))</x:f>
      </x:c>
      <x:c r="O121" s="575" t="str">
        <x:f>IF(SUMIFS('Specialisation Impact'!$M$19:$M$186,'Specialisation Impact'!$A$19:$A$186,A121,'Specialisation Impact'!$B$19:$B$186,B121)=0,"",SUMIFS('Specialisation Impact'!$V$19:$V$186,'Specialisation Impact'!$A$19:$A$186,A121,'Specialisation Impact'!$B$19:$B$186,B121))</x:f>
      </x:c>
      <x:c r="P121" s="575" t="str">
        <x:f>IF(N121="","",N121)</x:f>
      </x:c>
      <x:c r="Q121" s="575" t="str">
        <x:f>IF(N121="","",IF(AC121=0,N121,MAX(0,MIN(100,N121*(1-'Specialisation Scenarios'!$B$8*AC121)+O121*('Specialisation Scenarios'!$B$8*AC121)))))</x:f>
      </x:c>
      <x:c r="R121" s="575" t="str">
        <x:f>IF(N121="","",IF(AC121=0,N121,MAX(0,MIN(100,N121*(1-'Specialisation Scenarios'!$B$9*AC121)+O121*('Specialisation Scenarios'!$B$9*AC121)))))</x:f>
      </x:c>
      <x:c r="S121" s="583" t="n">
        <x:f>IF(J121="","",COUNTIFS($A$6:$A$172,A121,$J$6:$J$172,"&gt;"&amp;J121)+COUNTIFS($A$6:A121,A121,$J$6:J121,J121))</x:f>
        <x:v>6</x:v>
      </x:c>
      <x:c r="T121" s="583" t="n">
        <x:f>IF(K121="","",COUNTIFS($A$6:$A$172,A121,$K$6:$K$172,"&gt;"&amp;K121)+COUNTIFS($A$6:A121,A121,$K$6:K121,K121))</x:f>
        <x:v>4</x:v>
      </x:c>
      <x:c r="U121" s="583" t="n">
        <x:f>IF(L121="","",COUNTIFS($A$6:$A$172,A121,$L$6:$L$172,"&gt;"&amp;L121)+COUNTIFS($A$6:A121,A121,$L$6:L121,L121))</x:f>
        <x:v>4</x:v>
      </x:c>
      <x:c r="V121" s="583" t="str">
        <x:f>IF(P121="","",COUNTIFS($A$6:$A$172,A121,$P$6:$P$172,"&gt;"&amp;P121)+COUNTIFS($A$6:A121,A121,$P$6:P121,P121))</x:f>
      </x:c>
      <x:c r="W121" s="583" t="str">
        <x:f>IF(Q121="","",COUNTIFS($A$6:$A$172,A121,$Q$6:$Q$172,"&gt;"&amp;Q121)+COUNTIFS($A$6:A121,A121,$Q$6:Q121,Q121))</x:f>
      </x:c>
      <x:c r="X121" s="583" t="str">
        <x:f>IF(R121="","",COUNTIFS($A$6:$A$172,A121,$R$6:$R$172,"&gt;"&amp;R121)+COUNTIFS($A$6:A121,A121,$R$6:R121,R121))</x:f>
      </x:c>
      <x:c r="Y121" s="571" t="str">
        <x:f>IF(V121="","",A121&amp;"|"&amp;V121)</x:f>
      </x:c>
      <x:c r="Z121" s="571" t="str">
        <x:f>IF(W121="","",A121&amp;"|"&amp;W121)</x:f>
      </x:c>
      <x:c r="AA121" s="571" t="str">
        <x:f>IF(X121="","",A121&amp;"|"&amp;X121)</x:f>
      </x:c>
      <x:c r="AB121" s="571" t="str">
        <x:f>IF(A121="","",IF(I121=0,"Offense neutral — no recorded offensive skills",IF(I121&lt;1,"Partial lookup — adjustment scaled",IF(AND(M121="Yes",AC121=0),"Offense adjusted; Guard neutral","Captured"))))</x:f>
        <x:v>Captured</x:v>
      </x:c>
      <x:c r="AC121" s="579" t="n">
        <x:f>IF(SUMIFS('Specialisation Impact'!$M$19:$M$186,'Specialisation Impact'!$A$19:$A$186,A121,'Specialisation Impact'!$B$19:$B$186,B121)=0,0,SUMIFS('Specialisation Impact'!$F$19:$F$186,'Specialisation Impact'!$A$19:$A$186,A121,'Specialisation Impact'!$B$19:$B$186,B121))</x:f>
        <x:v>0</x:v>
      </x:c>
    </x:row>
    <x:row r="122">
      <x:c r="A122" s="572" t="str">
        <x:v>K54</x:v>
      </x:c>
      <x:c r="B122" s="572" t="str">
        <x:v>醉红尘</x:v>
      </x:c>
      <x:c r="C122" s="576" t="n">
        <x:f>IF($A122="","",AVERAGE(100*((COUNTIF('All Stats'!$D$6:$D$172,"&lt;"&amp;'All Stats'!D122)+(COUNTIF('All Stats'!$D$6:$D$172,'All Stats'!D122)-1)/2)/(COUNT('All Stats'!$D$6:$D$172)-1))^'Specialisation Scenarios'!$X$10,100*((COUNTIF('All Stats'!$G$6:$G$172,"&lt;"&amp;'All Stats'!G122)+(COUNTIF('All Stats'!$G$6:$G$172,'All Stats'!G122)-1)/2)/(COUNT('All Stats'!$G$6:$G$172)-1))^'Specialisation Scenarios'!$X$10,100*((COUNTIF('All Stats'!$I$6:$I$172,"&lt;"&amp;'All Stats'!I122)+(COUNTIF('All Stats'!$I$6:$I$172,'All Stats'!I122)-1)/2)/(COUNT('All Stats'!$I$6:$I$172)-1))^'Specialisation Scenarios'!$X$10))</x:f>
        <x:v>77.871487441329</x:v>
      </x:c>
      <x:c r="D122" s="576" t="n">
        <x:f>IF($A122="","",AVERAGE(100*((COUNTIF('All Stats'!$R$6:$R$172,"&lt;"&amp;'All Stats'!R122)+(COUNTIF('All Stats'!$R$6:$R$172,'All Stats'!R122)-1)/2)/(COUNT('All Stats'!$R$6:$R$172)-1))^'Specialisation Scenarios'!$X$10,100*((COUNTIF('All Stats'!$U$6:$U$172,"&lt;"&amp;'All Stats'!U122)+(COUNTIF('All Stats'!$U$6:$U$172,'All Stats'!U122)-1)/2)/(COUNT('All Stats'!$U$6:$U$172)-1))^'Specialisation Scenarios'!$X$10,100*((COUNTIF('All Stats'!$W$6:$W$172,"&lt;"&amp;'All Stats'!W122)+(COUNTIF('All Stats'!$W$6:$W$172,'All Stats'!W122)-1)/2)/(COUNT('All Stats'!$W$6:$W$172)-1))^'Specialisation Scenarios'!$X$10))</x:f>
        <x:v>87.89539238972556</x:v>
      </x:c>
      <x:c r="E122" s="576" t="n">
        <x:f>IF($A122="","",AVERAGE(100*((COUNTIF('All Stats'!$Y$6:$Y$172,"&lt;"&amp;'All Stats'!Y122)+(COUNTIF('All Stats'!$Y$6:$Y$172,'All Stats'!Y122)-1)/2)/(COUNT('All Stats'!$Y$6:$Y$172)-1))^'Specialisation Scenarios'!$X$10,100*((COUNTIF('All Stats'!$AB$6:$AB$172,"&lt;"&amp;'All Stats'!AB122)+(COUNTIF('All Stats'!$AB$6:$AB$172,'All Stats'!AB122)-1)/2)/(COUNT('All Stats'!$AB$6:$AB$172)-1))^'Specialisation Scenarios'!$X$10,100*((COUNTIF('All Stats'!$AD$6:$AD$172,"&lt;"&amp;'All Stats'!AD122)+(COUNTIF('All Stats'!$AD$6:$AD$172,'All Stats'!AD122)-1)/2)/(COUNT('All Stats'!$AD$6:$AD$172)-1))^'Specialisation Scenarios'!$X$10))</x:f>
        <x:v>66.97688295088669</x:v>
      </x:c>
      <x:c r="F122" s="576" t="n">
        <x:f>IF($A122="","",AVERAGE(100*((COUNTIF('All Stats'!$AF$6:$AF$172,"&lt;"&amp;'All Stats'!AF122)+(COUNTIF('All Stats'!$AF$6:$AF$172,'All Stats'!AF122)-1)/2)/(COUNT('All Stats'!$AF$6:$AF$172)-1))^'Specialisation Scenarios'!$X$10,100*((COUNTIF('All Stats'!$AI$6:$AI$172,"&lt;"&amp;'All Stats'!AI122)+(COUNTIF('All Stats'!$AI$6:$AI$172,'All Stats'!AI122)-1)/2)/(COUNT('All Stats'!$AI$6:$AI$172)-1))^'Specialisation Scenarios'!$X$10,100*((COUNTIF('All Stats'!$AK$6:$AK$172,"&lt;"&amp;'All Stats'!AK122)+(COUNTIF('All Stats'!$AK$6:$AK$172,'All Stats'!AK122)-1)/2)/(COUNT('All Stats'!$AK$6:$AK$172)-1))^'Specialisation Scenarios'!$X$10))</x:f>
        <x:v>91.99509438967664</x:v>
      </x:c>
      <x:c r="G122" s="576" t="n">
        <x:f>IF($A122="","",C122*'Specialisation Scenarios'!$X$11+D122*'Specialisation Scenarios'!$X$12+E122*'Specialisation Scenarios'!$X$13+F122*'Specialisation Scenarios'!$X$14)</x:f>
        <x:v>84.91491100357484</x:v>
      </x:c>
      <x:c r="H122" s="576" t="n">
        <x:f>IF(SUMIFS('Specialisation Impact'!$E$19:$E$186,'Specialisation Impact'!$A$19:$A$186,A122,'Specialisation Impact'!$B$19:$B$186,B122)=0,"",SUMIFS('Specialisation Impact'!$S$19:$S$186,'Specialisation Impact'!$A$19:$A$186,A122,'Specialisation Impact'!$B$19:$B$186,B122))</x:f>
        <x:v>47.40259740259741</x:v>
      </x:c>
      <x:c r="I122" s="580" t="n">
        <x:f>IF(SUMIFS('Specialisation Impact'!$E$19:$E$186,'Specialisation Impact'!$A$19:$A$186,A122,'Specialisation Impact'!$B$19:$B$186,B122)=0,0,SUMIFS('Specialisation Impact'!$F$19:$F$186,'Specialisation Impact'!$A$19:$A$186,A122,'Specialisation Impact'!$B$19:$B$186,B122))</x:f>
        <x:v>1</x:v>
      </x:c>
      <x:c r="J122" s="576" t="n">
        <x:f>G122</x:f>
        <x:v>84.91491100357484</x:v>
      </x:c>
      <x:c r="K122" s="576" t="n">
        <x:f>IF(G122="","",IF(I122=0,G122,MAX(0,MIN(100,G122*(1-'Specialisation Scenarios'!$B$8*I122)+H122*('Specialisation Scenarios'!$B$8*I122)))))</x:f>
        <x:v>75.53683260333048</x:v>
      </x:c>
      <x:c r="L122" s="576" t="n">
        <x:f>IF(G122="","",IF(I122=0,G122,MAX(0,MIN(100,G122*(1-'Specialisation Scenarios'!$B$9*I122)+H122*('Specialisation Scenarios'!$B$9*I122)))))</x:f>
        <x:v>71.78560124323275</x:v>
      </x:c>
      <x:c r="M122" s="576" t="str">
        <x:f>IF(COUNTIFS('Tank &amp; Control'!$A$23:$A$189,A122,'Tank &amp; Control'!$B$23:$B$189,B122,'Tank &amp; Control'!$C$23:$C$189,"Yes")&gt;0,"Yes","No")</x:f>
        <x:v>Yes</x:v>
      </x:c>
      <x:c r="N122" s="576" t="n">
        <x:f>IF(M122&lt;&gt;"Yes","",SUMIFS('Tank &amp; Control'!$L$23:$L$189,'Tank &amp; Control'!$A$23:$A$189,A122,'Tank &amp; Control'!$B$23:$B$189,B122))</x:f>
        <x:v>83.8243384822975</x:v>
      </x:c>
      <x:c r="O122" s="576" t="str">
        <x:f>IF(SUMIFS('Specialisation Impact'!$M$19:$M$186,'Specialisation Impact'!$A$19:$A$186,A122,'Specialisation Impact'!$B$19:$B$186,B122)=0,"",SUMIFS('Specialisation Impact'!$V$19:$V$186,'Specialisation Impact'!$A$19:$A$186,A122,'Specialisation Impact'!$B$19:$B$186,B122))</x:f>
      </x:c>
      <x:c r="P122" s="576" t="n">
        <x:f>IF(N122="","",N122)</x:f>
        <x:v>83.8243384822975</x:v>
      </x:c>
      <x:c r="Q122" s="576" t="n">
        <x:f>IF(N122="","",IF(AC122=0,N122,MAX(0,MIN(100,N122*(1-'Specialisation Scenarios'!$B$8*AC122)+O122*('Specialisation Scenarios'!$B$8*AC122)))))</x:f>
        <x:v>83.8243384822975</x:v>
      </x:c>
      <x:c r="R122" s="576" t="n">
        <x:f>IF(N122="","",IF(AC122=0,N122,MAX(0,MIN(100,N122*(1-'Specialisation Scenarios'!$B$9*AC122)+O122*('Specialisation Scenarios'!$B$9*AC122)))))</x:f>
        <x:v>83.8243384822975</x:v>
      </x:c>
      <x:c r="S122" s="584" t="n">
        <x:f>IF(J122="","",COUNTIFS($A$6:$A$172,A122,$J$6:$J$172,"&gt;"&amp;J122)+COUNTIFS($A$6:A122,A122,$J$6:J122,J122))</x:f>
        <x:v>4</x:v>
      </x:c>
      <x:c r="T122" s="584" t="n">
        <x:f>IF(K122="","",COUNTIFS($A$6:$A$172,A122,$K$6:$K$172,"&gt;"&amp;K122)+COUNTIFS($A$6:A122,A122,$K$6:K122,K122))</x:f>
        <x:v>5</x:v>
      </x:c>
      <x:c r="U122" s="584" t="n">
        <x:f>IF(L122="","",COUNTIFS($A$6:$A$172,A122,$L$6:$L$172,"&gt;"&amp;L122)+COUNTIFS($A$6:A122,A122,$L$6:L122,L122))</x:f>
        <x:v>6</x:v>
      </x:c>
      <x:c r="V122" s="584" t="n">
        <x:f>IF(P122="","",COUNTIFS($A$6:$A$172,A122,$P$6:$P$172,"&gt;"&amp;P122)+COUNTIFS($A$6:A122,A122,$P$6:P122,P122))</x:f>
        <x:v>2</x:v>
      </x:c>
      <x:c r="W122" s="584" t="n">
        <x:f>IF(Q122="","",COUNTIFS($A$6:$A$172,A122,$Q$6:$Q$172,"&gt;"&amp;Q122)+COUNTIFS($A$6:A122,A122,$Q$6:Q122,Q122))</x:f>
        <x:v>2</x:v>
      </x:c>
      <x:c r="X122" s="584" t="n">
        <x:f>IF(R122="","",COUNTIFS($A$6:$A$172,A122,$R$6:$R$172,"&gt;"&amp;R122)+COUNTIFS($A$6:A122,A122,$R$6:R122,R122))</x:f>
        <x:v>2</x:v>
      </x:c>
      <x:c r="Y122" s="572" t="str">
        <x:f>IF(V122="","",A122&amp;"|"&amp;V122)</x:f>
        <x:v>K54|2</x:v>
      </x:c>
      <x:c r="Z122" s="572" t="str">
        <x:f>IF(W122="","",A122&amp;"|"&amp;W122)</x:f>
        <x:v>K54|2</x:v>
      </x:c>
      <x:c r="AA122" s="572" t="str">
        <x:f>IF(X122="","",A122&amp;"|"&amp;X122)</x:f>
        <x:v>K54|2</x:v>
      </x:c>
      <x:c r="AB122" s="572" t="str">
        <x:f>IF(A122="","",IF(I122=0,"Offense neutral — no recorded offensive skills",IF(I122&lt;1,"Partial lookup — adjustment scaled",IF(AND(M122="Yes",AC122=0),"Offense adjusted; Guard neutral","Captured"))))</x:f>
        <x:v>Offense adjusted; Guard neutral</x:v>
      </x:c>
      <x:c r="AC122" s="580" t="n">
        <x:f>IF(SUMIFS('Specialisation Impact'!$M$19:$M$186,'Specialisation Impact'!$A$19:$A$186,A122,'Specialisation Impact'!$B$19:$B$186,B122)=0,0,SUMIFS('Specialisation Impact'!$F$19:$F$186,'Specialisation Impact'!$A$19:$A$186,A122,'Specialisation Impact'!$B$19:$B$186,B122))</x:f>
        <x:v>0</x:v>
      </x:c>
    </x:row>
    <x:row r="123">
      <x:c r="A123" s="571" t="str">
        <x:v>K54</x:v>
      </x:c>
      <x:c r="B123" s="571" t="str">
        <x:v>纵横,,,飞哥</x:v>
      </x:c>
      <x:c r="C123" s="575" t="n">
        <x:f>IF($A123="","",AVERAGE(100*((COUNTIF('All Stats'!$D$6:$D$172,"&lt;"&amp;'All Stats'!D123)+(COUNTIF('All Stats'!$D$6:$D$172,'All Stats'!D123)-1)/2)/(COUNT('All Stats'!$D$6:$D$172)-1))^'Specialisation Scenarios'!$X$10,100*((COUNTIF('All Stats'!$G$6:$G$172,"&lt;"&amp;'All Stats'!G123)+(COUNTIF('All Stats'!$G$6:$G$172,'All Stats'!G123)-1)/2)/(COUNT('All Stats'!$G$6:$G$172)-1))^'Specialisation Scenarios'!$X$10,100*((COUNTIF('All Stats'!$I$6:$I$172,"&lt;"&amp;'All Stats'!I123)+(COUNTIF('All Stats'!$I$6:$I$172,'All Stats'!I123)-1)/2)/(COUNT('All Stats'!$I$6:$I$172)-1))^'Specialisation Scenarios'!$X$10))</x:f>
        <x:v>0.42323341709848944</x:v>
      </x:c>
      <x:c r="D123" s="575" t="n">
        <x:f>IF($A123="","",AVERAGE(100*((COUNTIF('All Stats'!$R$6:$R$172,"&lt;"&amp;'All Stats'!R123)+(COUNTIF('All Stats'!$R$6:$R$172,'All Stats'!R123)-1)/2)/(COUNT('All Stats'!$R$6:$R$172)-1))^'Specialisation Scenarios'!$X$10,100*((COUNTIF('All Stats'!$U$6:$U$172,"&lt;"&amp;'All Stats'!U123)+(COUNTIF('All Stats'!$U$6:$U$172,'All Stats'!U123)-1)/2)/(COUNT('All Stats'!$U$6:$U$172)-1))^'Specialisation Scenarios'!$X$10,100*((COUNTIF('All Stats'!$W$6:$W$172,"&lt;"&amp;'All Stats'!W123)+(COUNTIF('All Stats'!$W$6:$W$172,'All Stats'!W123)-1)/2)/(COUNT('All Stats'!$W$6:$W$172)-1))^'Specialisation Scenarios'!$X$10))</x:f>
        <x:v>25.66765801362935</x:v>
      </x:c>
      <x:c r="E123" s="575" t="n">
        <x:f>IF($A123="","",AVERAGE(100*((COUNTIF('All Stats'!$Y$6:$Y$172,"&lt;"&amp;'All Stats'!Y123)+(COUNTIF('All Stats'!$Y$6:$Y$172,'All Stats'!Y123)-1)/2)/(COUNT('All Stats'!$Y$6:$Y$172)-1))^'Specialisation Scenarios'!$X$10,100*((COUNTIF('All Stats'!$AB$6:$AB$172,"&lt;"&amp;'All Stats'!AB123)+(COUNTIF('All Stats'!$AB$6:$AB$172,'All Stats'!AB123)-1)/2)/(COUNT('All Stats'!$AB$6:$AB$172)-1))^'Specialisation Scenarios'!$X$10,100*((COUNTIF('All Stats'!$AD$6:$AD$172,"&lt;"&amp;'All Stats'!AD123)+(COUNTIF('All Stats'!$AD$6:$AD$172,'All Stats'!AD123)-1)/2)/(COUNT('All Stats'!$AD$6:$AD$172)-1))^'Specialisation Scenarios'!$X$10))</x:f>
        <x:v>0.23782482868687416</x:v>
      </x:c>
      <x:c r="F123" s="575" t="n">
        <x:f>IF($A123="","",AVERAGE(100*((COUNTIF('All Stats'!$AF$6:$AF$172,"&lt;"&amp;'All Stats'!AF123)+(COUNTIF('All Stats'!$AF$6:$AF$172,'All Stats'!AF123)-1)/2)/(COUNT('All Stats'!$AF$6:$AF$172)-1))^'Specialisation Scenarios'!$X$10,100*((COUNTIF('All Stats'!$AI$6:$AI$172,"&lt;"&amp;'All Stats'!AI123)+(COUNTIF('All Stats'!$AI$6:$AI$172,'All Stats'!AI123)-1)/2)/(COUNT('All Stats'!$AI$6:$AI$172)-1))^'Specialisation Scenarios'!$X$10,100*((COUNTIF('All Stats'!$AK$6:$AK$172,"&lt;"&amp;'All Stats'!AK123)+(COUNTIF('All Stats'!$AK$6:$AK$172,'All Stats'!AK123)-1)/2)/(COUNT('All Stats'!$AK$6:$AK$172)-1))^'Specialisation Scenarios'!$X$10))</x:f>
        <x:v>4.928734757967359</x:v>
      </x:c>
      <x:c r="G123" s="575" t="n">
        <x:f>IF($A123="","",C123*'Specialisation Scenarios'!$X$11+D123*'Specialisation Scenarios'!$X$12+E123*'Specialisation Scenarios'!$X$13+F123*'Specialisation Scenarios'!$X$14)</x:f>
        <x:v>16.227172517306172</x:v>
      </x:c>
      <x:c r="H123" s="575" t="n">
        <x:f>IF(SUMIFS('Specialisation Impact'!$E$19:$E$186,'Specialisation Impact'!$A$19:$A$186,A123,'Specialisation Impact'!$B$19:$B$186,B123)=0,"",SUMIFS('Specialisation Impact'!$S$19:$S$186,'Specialisation Impact'!$A$19:$A$186,A123,'Specialisation Impact'!$B$19:$B$186,B123))</x:f>
        <x:v>17.337662337662337</x:v>
      </x:c>
      <x:c r="I123" s="579" t="n">
        <x:f>IF(SUMIFS('Specialisation Impact'!$E$19:$E$186,'Specialisation Impact'!$A$19:$A$186,A123,'Specialisation Impact'!$B$19:$B$186,B123)=0,0,SUMIFS('Specialisation Impact'!$F$19:$F$186,'Specialisation Impact'!$A$19:$A$186,A123,'Specialisation Impact'!$B$19:$B$186,B123))</x:f>
        <x:v>1</x:v>
      </x:c>
      <x:c r="J123" s="575" t="n">
        <x:f>G123</x:f>
        <x:v>16.227172517306172</x:v>
      </x:c>
      <x:c r="K123" s="575" t="n">
        <x:f>IF(G123="","",IF(I123=0,G123,MAX(0,MIN(100,G123*(1-'Specialisation Scenarios'!$B$8*I123)+H123*('Specialisation Scenarios'!$B$8*I123)))))</x:f>
        <x:v>16.504794972395214</x:v>
      </x:c>
      <x:c r="L123" s="575" t="n">
        <x:f>IF(G123="","",IF(I123=0,G123,MAX(0,MIN(100,G123*(1-'Specialisation Scenarios'!$B$9*I123)+H123*('Specialisation Scenarios'!$B$9*I123)))))</x:f>
        <x:v>16.61584395443083</x:v>
      </x:c>
      <x:c r="M123" s="575" t="str">
        <x:f>IF(COUNTIFS('Tank &amp; Control'!$A$23:$A$189,A123,'Tank &amp; Control'!$B$23:$B$189,B123,'Tank &amp; Control'!$C$23:$C$189,"Yes")&gt;0,"Yes","No")</x:f>
        <x:v>No</x:v>
      </x:c>
      <x:c r="N123" s="575" t="str">
        <x:f>IF(M123&lt;&gt;"Yes","",SUMIFS('Tank &amp; Control'!$L$23:$L$189,'Tank &amp; Control'!$A$23:$A$189,A123,'Tank &amp; Control'!$B$23:$B$189,B123))</x:f>
      </x:c>
      <x:c r="O123" s="575" t="str">
        <x:f>IF(SUMIFS('Specialisation Impact'!$M$19:$M$186,'Specialisation Impact'!$A$19:$A$186,A123,'Specialisation Impact'!$B$19:$B$186,B123)=0,"",SUMIFS('Specialisation Impact'!$V$19:$V$186,'Specialisation Impact'!$A$19:$A$186,A123,'Specialisation Impact'!$B$19:$B$186,B123))</x:f>
      </x:c>
      <x:c r="P123" s="575" t="str">
        <x:f>IF(N123="","",N123)</x:f>
      </x:c>
      <x:c r="Q123" s="575" t="str">
        <x:f>IF(N123="","",IF(AC123=0,N123,MAX(0,MIN(100,N123*(1-'Specialisation Scenarios'!$B$8*AC123)+O123*('Specialisation Scenarios'!$B$8*AC123)))))</x:f>
      </x:c>
      <x:c r="R123" s="575" t="str">
        <x:f>IF(N123="","",IF(AC123=0,N123,MAX(0,MIN(100,N123*(1-'Specialisation Scenarios'!$B$9*AC123)+O123*('Specialisation Scenarios'!$B$9*AC123)))))</x:f>
      </x:c>
      <x:c r="S123" s="583" t="n">
        <x:f>IF(J123="","",COUNTIFS($A$6:$A$172,A123,$J$6:$J$172,"&gt;"&amp;J123)+COUNTIFS($A$6:A123,A123,$J$6:J123,J123))</x:f>
        <x:v>11</x:v>
      </x:c>
      <x:c r="T123" s="583" t="n">
        <x:f>IF(K123="","",COUNTIFS($A$6:$A$172,A123,$K$6:$K$172,"&gt;"&amp;K123)+COUNTIFS($A$6:A123,A123,$K$6:K123,K123))</x:f>
        <x:v>11</x:v>
      </x:c>
      <x:c r="U123" s="583" t="n">
        <x:f>IF(L123="","",COUNTIFS($A$6:$A$172,A123,$L$6:$L$172,"&gt;"&amp;L123)+COUNTIFS($A$6:A123,A123,$L$6:L123,L123))</x:f>
        <x:v>11</x:v>
      </x:c>
      <x:c r="V123" s="583" t="str">
        <x:f>IF(P123="","",COUNTIFS($A$6:$A$172,A123,$P$6:$P$172,"&gt;"&amp;P123)+COUNTIFS($A$6:A123,A123,$P$6:P123,P123))</x:f>
      </x:c>
      <x:c r="W123" s="583" t="str">
        <x:f>IF(Q123="","",COUNTIFS($A$6:$A$172,A123,$Q$6:$Q$172,"&gt;"&amp;Q123)+COUNTIFS($A$6:A123,A123,$Q$6:Q123,Q123))</x:f>
      </x:c>
      <x:c r="X123" s="583" t="str">
        <x:f>IF(R123="","",COUNTIFS($A$6:$A$172,A123,$R$6:$R$172,"&gt;"&amp;R123)+COUNTIFS($A$6:A123,A123,$R$6:R123,R123))</x:f>
      </x:c>
      <x:c r="Y123" s="571" t="str">
        <x:f>IF(V123="","",A123&amp;"|"&amp;V123)</x:f>
      </x:c>
      <x:c r="Z123" s="571" t="str">
        <x:f>IF(W123="","",A123&amp;"|"&amp;W123)</x:f>
      </x:c>
      <x:c r="AA123" s="571" t="str">
        <x:f>IF(X123="","",A123&amp;"|"&amp;X123)</x:f>
      </x:c>
      <x:c r="AB123" s="571" t="str">
        <x:f>IF(A123="","",IF(I123=0,"Offense neutral — no recorded offensive skills",IF(I123&lt;1,"Partial lookup — adjustment scaled",IF(AND(M123="Yes",AC123=0),"Offense adjusted; Guard neutral","Captured"))))</x:f>
        <x:v>Captured</x:v>
      </x:c>
      <x:c r="AC123" s="579" t="n">
        <x:f>IF(SUMIFS('Specialisation Impact'!$M$19:$M$186,'Specialisation Impact'!$A$19:$A$186,A123,'Specialisation Impact'!$B$19:$B$186,B123)=0,0,SUMIFS('Specialisation Impact'!$F$19:$F$186,'Specialisation Impact'!$A$19:$A$186,A123,'Specialisation Impact'!$B$19:$B$186,B123))</x:f>
        <x:v>0</x:v>
      </x:c>
    </x:row>
    <x:row r="124">
      <x:c r="A124" s="572" t="str">
        <x:v>K54</x:v>
      </x:c>
      <x:c r="B124" s="572" t="str">
        <x:v>纵横,,,金王</x:v>
      </x:c>
      <x:c r="C124" s="576" t="n">
        <x:f>IF($A124="","",AVERAGE(100*((COUNTIF('All Stats'!$D$6:$D$172,"&lt;"&amp;'All Stats'!D124)+(COUNTIF('All Stats'!$D$6:$D$172,'All Stats'!D124)-1)/2)/(COUNT('All Stats'!$D$6:$D$172)-1))^'Specialisation Scenarios'!$X$10,100*((COUNTIF('All Stats'!$G$6:$G$172,"&lt;"&amp;'All Stats'!G124)+(COUNTIF('All Stats'!$G$6:$G$172,'All Stats'!G124)-1)/2)/(COUNT('All Stats'!$G$6:$G$172)-1))^'Specialisation Scenarios'!$X$10,100*((COUNTIF('All Stats'!$I$6:$I$172,"&lt;"&amp;'All Stats'!I124)+(COUNTIF('All Stats'!$I$6:$I$172,'All Stats'!I124)-1)/2)/(COUNT('All Stats'!$I$6:$I$172)-1))^'Specialisation Scenarios'!$X$10))</x:f>
        <x:v>61.6371389107947</x:v>
      </x:c>
      <x:c r="D124" s="576" t="n">
        <x:f>IF($A124="","",AVERAGE(100*((COUNTIF('All Stats'!$R$6:$R$172,"&lt;"&amp;'All Stats'!R124)+(COUNTIF('All Stats'!$R$6:$R$172,'All Stats'!R124)-1)/2)/(COUNT('All Stats'!$R$6:$R$172)-1))^'Specialisation Scenarios'!$X$10,100*((COUNTIF('All Stats'!$U$6:$U$172,"&lt;"&amp;'All Stats'!U124)+(COUNTIF('All Stats'!$U$6:$U$172,'All Stats'!U124)-1)/2)/(COUNT('All Stats'!$U$6:$U$172)-1))^'Specialisation Scenarios'!$X$10,100*((COUNTIF('All Stats'!$W$6:$W$172,"&lt;"&amp;'All Stats'!W124)+(COUNTIF('All Stats'!$W$6:$W$172,'All Stats'!W124)-1)/2)/(COUNT('All Stats'!$W$6:$W$172)-1))^'Specialisation Scenarios'!$X$10))</x:f>
        <x:v>74.42157892052337</x:v>
      </x:c>
      <x:c r="E124" s="576" t="n">
        <x:f>IF($A124="","",AVERAGE(100*((COUNTIF('All Stats'!$Y$6:$Y$172,"&lt;"&amp;'All Stats'!Y124)+(COUNTIF('All Stats'!$Y$6:$Y$172,'All Stats'!Y124)-1)/2)/(COUNT('All Stats'!$Y$6:$Y$172)-1))^'Specialisation Scenarios'!$X$10,100*((COUNTIF('All Stats'!$AB$6:$AB$172,"&lt;"&amp;'All Stats'!AB124)+(COUNTIF('All Stats'!$AB$6:$AB$172,'All Stats'!AB124)-1)/2)/(COUNT('All Stats'!$AB$6:$AB$172)-1))^'Specialisation Scenarios'!$X$10,100*((COUNTIF('All Stats'!$AD$6:$AD$172,"&lt;"&amp;'All Stats'!AD124)+(COUNTIF('All Stats'!$AD$6:$AD$172,'All Stats'!AD124)-1)/2)/(COUNT('All Stats'!$AD$6:$AD$172)-1))^'Specialisation Scenarios'!$X$10))</x:f>
        <x:v>60.11907139416791</x:v>
      </x:c>
      <x:c r="F124" s="576" t="n">
        <x:f>IF($A124="","",AVERAGE(100*((COUNTIF('All Stats'!$AF$6:$AF$172,"&lt;"&amp;'All Stats'!AF124)+(COUNTIF('All Stats'!$AF$6:$AF$172,'All Stats'!AF124)-1)/2)/(COUNT('All Stats'!$AF$6:$AF$172)-1))^'Specialisation Scenarios'!$X$10,100*((COUNTIF('All Stats'!$AI$6:$AI$172,"&lt;"&amp;'All Stats'!AI124)+(COUNTIF('All Stats'!$AI$6:$AI$172,'All Stats'!AI124)-1)/2)/(COUNT('All Stats'!$AI$6:$AI$172)-1))^'Specialisation Scenarios'!$X$10,100*((COUNTIF('All Stats'!$AK$6:$AK$172,"&lt;"&amp;'All Stats'!AK124)+(COUNTIF('All Stats'!$AK$6:$AK$172,'All Stats'!AK124)-1)/2)/(COUNT('All Stats'!$AK$6:$AK$172)-1))^'Specialisation Scenarios'!$X$10))</x:f>
        <x:v>70.49075712058128</x:v>
      </x:c>
      <x:c r="G124" s="576" t="n">
        <x:f>IF($A124="","",C124*'Specialisation Scenarios'!$X$11+D124*'Specialisation Scenarios'!$X$12+E124*'Specialisation Scenarios'!$X$13+F124*'Specialisation Scenarios'!$X$14)</x:f>
        <x:v>70.48403889643721</x:v>
      </x:c>
      <x:c r="H124" s="576" t="n">
        <x:f>IF(SUMIFS('Specialisation Impact'!$E$19:$E$186,'Specialisation Impact'!$A$19:$A$186,A124,'Specialisation Impact'!$B$19:$B$186,B124)=0,"",SUMIFS('Specialisation Impact'!$S$19:$S$186,'Specialisation Impact'!$A$19:$A$186,A124,'Specialisation Impact'!$B$19:$B$186,B124))</x:f>
        <x:v>82.33766233766234</x:v>
      </x:c>
      <x:c r="I124" s="580" t="n">
        <x:f>IF(SUMIFS('Specialisation Impact'!$E$19:$E$186,'Specialisation Impact'!$A$19:$A$186,A124,'Specialisation Impact'!$B$19:$B$186,B124)=0,0,SUMIFS('Specialisation Impact'!$F$19:$F$186,'Specialisation Impact'!$A$19:$A$186,A124,'Specialisation Impact'!$B$19:$B$186,B124))</x:f>
        <x:v>1</x:v>
      </x:c>
      <x:c r="J124" s="576" t="n">
        <x:f>G124</x:f>
        <x:v>70.48403889643721</x:v>
      </x:c>
      <x:c r="K124" s="576" t="n">
        <x:f>IF(G124="","",IF(I124=0,G124,MAX(0,MIN(100,G124*(1-'Specialisation Scenarios'!$B$8*I124)+H124*('Specialisation Scenarios'!$B$8*I124)))))</x:f>
        <x:v>73.4474447567435</x:v>
      </x:c>
      <x:c r="L124" s="576" t="n">
        <x:f>IF(G124="","",IF(I124=0,G124,MAX(0,MIN(100,G124*(1-'Specialisation Scenarios'!$B$9*I124)+H124*('Specialisation Scenarios'!$B$9*I124)))))</x:f>
        <x:v>74.632807100866</x:v>
      </x:c>
      <x:c r="M124" s="576" t="str">
        <x:f>IF(COUNTIFS('Tank &amp; Control'!$A$23:$A$189,A124,'Tank &amp; Control'!$B$23:$B$189,B124,'Tank &amp; Control'!$C$23:$C$189,"Yes")&gt;0,"Yes","No")</x:f>
        <x:v>No</x:v>
      </x:c>
      <x:c r="N124" s="576" t="str">
        <x:f>IF(M124&lt;&gt;"Yes","",SUMIFS('Tank &amp; Control'!$L$23:$L$189,'Tank &amp; Control'!$A$23:$A$189,A124,'Tank &amp; Control'!$B$23:$B$189,B124))</x:f>
      </x:c>
      <x:c r="O124" s="576" t="str">
        <x:f>IF(SUMIFS('Specialisation Impact'!$M$19:$M$186,'Specialisation Impact'!$A$19:$A$186,A124,'Specialisation Impact'!$B$19:$B$186,B124)=0,"",SUMIFS('Specialisation Impact'!$V$19:$V$186,'Specialisation Impact'!$A$19:$A$186,A124,'Specialisation Impact'!$B$19:$B$186,B124))</x:f>
      </x:c>
      <x:c r="P124" s="576" t="str">
        <x:f>IF(N124="","",N124)</x:f>
      </x:c>
      <x:c r="Q124" s="576" t="str">
        <x:f>IF(N124="","",IF(AC124=0,N124,MAX(0,MIN(100,N124*(1-'Specialisation Scenarios'!$B$8*AC124)+O124*('Specialisation Scenarios'!$B$8*AC124)))))</x:f>
      </x:c>
      <x:c r="R124" s="576" t="str">
        <x:f>IF(N124="","",IF(AC124=0,N124,MAX(0,MIN(100,N124*(1-'Specialisation Scenarios'!$B$9*AC124)+O124*('Specialisation Scenarios'!$B$9*AC124)))))</x:f>
      </x:c>
      <x:c r="S124" s="584" t="n">
        <x:f>IF(J124="","",COUNTIFS($A$6:$A$172,A124,$J$6:$J$172,"&gt;"&amp;J124)+COUNTIFS($A$6:A124,A124,$J$6:J124,J124))</x:f>
        <x:v>5</x:v>
      </x:c>
      <x:c r="T124" s="584" t="n">
        <x:f>IF(K124="","",COUNTIFS($A$6:$A$172,A124,$K$6:$K$172,"&gt;"&amp;K124)+COUNTIFS($A$6:A124,A124,$K$6:K124,K124))</x:f>
        <x:v>6</x:v>
      </x:c>
      <x:c r="U124" s="584" t="n">
        <x:f>IF(L124="","",COUNTIFS($A$6:$A$172,A124,$L$6:$L$172,"&gt;"&amp;L124)+COUNTIFS($A$6:A124,A124,$L$6:L124,L124))</x:f>
        <x:v>5</x:v>
      </x:c>
      <x:c r="V124" s="584" t="str">
        <x:f>IF(P124="","",COUNTIFS($A$6:$A$172,A124,$P$6:$P$172,"&gt;"&amp;P124)+COUNTIFS($A$6:A124,A124,$P$6:P124,P124))</x:f>
      </x:c>
      <x:c r="W124" s="584" t="str">
        <x:f>IF(Q124="","",COUNTIFS($A$6:$A$172,A124,$Q$6:$Q$172,"&gt;"&amp;Q124)+COUNTIFS($A$6:A124,A124,$Q$6:Q124,Q124))</x:f>
      </x:c>
      <x:c r="X124" s="584" t="str">
        <x:f>IF(R124="","",COUNTIFS($A$6:$A$172,A124,$R$6:$R$172,"&gt;"&amp;R124)+COUNTIFS($A$6:A124,A124,$R$6:R124,R124))</x:f>
      </x:c>
      <x:c r="Y124" s="572" t="str">
        <x:f>IF(V124="","",A124&amp;"|"&amp;V124)</x:f>
      </x:c>
      <x:c r="Z124" s="572" t="str">
        <x:f>IF(W124="","",A124&amp;"|"&amp;W124)</x:f>
      </x:c>
      <x:c r="AA124" s="572" t="str">
        <x:f>IF(X124="","",A124&amp;"|"&amp;X124)</x:f>
      </x:c>
      <x:c r="AB124" s="572" t="str">
        <x:f>IF(A124="","",IF(I124=0,"Offense neutral — no recorded offensive skills",IF(I124&lt;1,"Partial lookup — adjustment scaled",IF(AND(M124="Yes",AC124=0),"Offense adjusted; Guard neutral","Captured"))))</x:f>
        <x:v>Captured</x:v>
      </x:c>
      <x:c r="AC124" s="580" t="n">
        <x:f>IF(SUMIFS('Specialisation Impact'!$M$19:$M$186,'Specialisation Impact'!$A$19:$A$186,A124,'Specialisation Impact'!$B$19:$B$186,B124)=0,0,SUMIFS('Specialisation Impact'!$F$19:$F$186,'Specialisation Impact'!$A$19:$A$186,A124,'Specialisation Impact'!$B$19:$B$186,B124))</x:f>
        <x:v>0</x:v>
      </x:c>
    </x:row>
    <x:row r="125">
      <x:c r="A125" s="571" t="str">
        <x:v>K54</x:v>
      </x:c>
      <x:c r="B125" s="571" t="str">
        <x:v>奕星的殺猪盤</x:v>
      </x:c>
      <x:c r="C125" s="575" t="n">
        <x:f>IF($A125="","",AVERAGE(100*((COUNTIF('All Stats'!$D$6:$D$172,"&lt;"&amp;'All Stats'!D125)+(COUNTIF('All Stats'!$D$6:$D$172,'All Stats'!D125)-1)/2)/(COUNT('All Stats'!$D$6:$D$172)-1))^'Specialisation Scenarios'!$X$10,100*((COUNTIF('All Stats'!$G$6:$G$172,"&lt;"&amp;'All Stats'!G125)+(COUNTIF('All Stats'!$G$6:$G$172,'All Stats'!G125)-1)/2)/(COUNT('All Stats'!$G$6:$G$172)-1))^'Specialisation Scenarios'!$X$10,100*((COUNTIF('All Stats'!$I$6:$I$172,"&lt;"&amp;'All Stats'!I125)+(COUNTIF('All Stats'!$I$6:$I$172,'All Stats'!I125)-1)/2)/(COUNT('All Stats'!$I$6:$I$172)-1))^'Specialisation Scenarios'!$X$10))</x:f>
        <x:v>10.974583053056604</x:v>
      </x:c>
      <x:c r="D125" s="575" t="n">
        <x:f>IF($A125="","",AVERAGE(100*((COUNTIF('All Stats'!$R$6:$R$172,"&lt;"&amp;'All Stats'!R125)+(COUNTIF('All Stats'!$R$6:$R$172,'All Stats'!R125)-1)/2)/(COUNT('All Stats'!$R$6:$R$172)-1))^'Specialisation Scenarios'!$X$10,100*((COUNTIF('All Stats'!$U$6:$U$172,"&lt;"&amp;'All Stats'!U125)+(COUNTIF('All Stats'!$U$6:$U$172,'All Stats'!U125)-1)/2)/(COUNT('All Stats'!$U$6:$U$172)-1))^'Specialisation Scenarios'!$X$10,100*((COUNTIF('All Stats'!$W$6:$W$172,"&lt;"&amp;'All Stats'!W125)+(COUNTIF('All Stats'!$W$6:$W$172,'All Stats'!W125)-1)/2)/(COUNT('All Stats'!$W$6:$W$172)-1))^'Specialisation Scenarios'!$X$10))</x:f>
        <x:v>48.27543382604949</x:v>
      </x:c>
      <x:c r="E125" s="575" t="n">
        <x:f>IF($A125="","",AVERAGE(100*((COUNTIF('All Stats'!$Y$6:$Y$172,"&lt;"&amp;'All Stats'!Y125)+(COUNTIF('All Stats'!$Y$6:$Y$172,'All Stats'!Y125)-1)/2)/(COUNT('All Stats'!$Y$6:$Y$172)-1))^'Specialisation Scenarios'!$X$10,100*((COUNTIF('All Stats'!$AB$6:$AB$172,"&lt;"&amp;'All Stats'!AB125)+(COUNTIF('All Stats'!$AB$6:$AB$172,'All Stats'!AB125)-1)/2)/(COUNT('All Stats'!$AB$6:$AB$172)-1))^'Specialisation Scenarios'!$X$10,100*((COUNTIF('All Stats'!$AD$6:$AD$172,"&lt;"&amp;'All Stats'!AD125)+(COUNTIF('All Stats'!$AD$6:$AD$172,'All Stats'!AD125)-1)/2)/(COUNT('All Stats'!$AD$6:$AD$172)-1))^'Specialisation Scenarios'!$X$10))</x:f>
        <x:v>0.2948003721170041</x:v>
      </x:c>
      <x:c r="F125" s="575" t="n">
        <x:f>IF($A125="","",AVERAGE(100*((COUNTIF('All Stats'!$AF$6:$AF$172,"&lt;"&amp;'All Stats'!AF125)+(COUNTIF('All Stats'!$AF$6:$AF$172,'All Stats'!AF125)-1)/2)/(COUNT('All Stats'!$AF$6:$AF$172)-1))^'Specialisation Scenarios'!$X$10,100*((COUNTIF('All Stats'!$AI$6:$AI$172,"&lt;"&amp;'All Stats'!AI125)+(COUNTIF('All Stats'!$AI$6:$AI$172,'All Stats'!AI125)-1)/2)/(COUNT('All Stats'!$AI$6:$AI$172)-1))^'Specialisation Scenarios'!$X$10,100*((COUNTIF('All Stats'!$AK$6:$AK$172,"&lt;"&amp;'All Stats'!AK125)+(COUNTIF('All Stats'!$AK$6:$AK$172,'All Stats'!AK125)-1)/2)/(COUNT('All Stats'!$AK$6:$AK$172)-1))^'Specialisation Scenarios'!$X$10))</x:f>
        <x:v>32.20173492167497</x:v>
      </x:c>
      <x:c r="G125" s="575" t="n">
        <x:f>IF($A125="","",C125*'Specialisation Scenarios'!$X$11+D125*'Specialisation Scenarios'!$X$12+E125*'Specialisation Scenarios'!$X$13+F125*'Specialisation Scenarios'!$X$14)</x:f>
        <x:v>35.471188029051135</x:v>
      </x:c>
      <x:c r="H125" s="575" t="n">
        <x:f>IF(SUMIFS('Specialisation Impact'!$E$19:$E$186,'Specialisation Impact'!$A$19:$A$186,A125,'Specialisation Impact'!$B$19:$B$186,B125)=0,"",SUMIFS('Specialisation Impact'!$S$19:$S$186,'Specialisation Impact'!$A$19:$A$186,A125,'Specialisation Impact'!$B$19:$B$186,B125))</x:f>
        <x:v>40.51948051948052</x:v>
      </x:c>
      <x:c r="I125" s="579" t="n">
        <x:f>IF(SUMIFS('Specialisation Impact'!$E$19:$E$186,'Specialisation Impact'!$A$19:$A$186,A125,'Specialisation Impact'!$B$19:$B$186,B125)=0,0,SUMIFS('Specialisation Impact'!$F$19:$F$186,'Specialisation Impact'!$A$19:$A$186,A125,'Specialisation Impact'!$B$19:$B$186,B125))</x:f>
        <x:v>1</x:v>
      </x:c>
      <x:c r="J125" s="575" t="n">
        <x:f>G125</x:f>
        <x:v>35.471188029051135</x:v>
      </x:c>
      <x:c r="K125" s="575" t="n">
        <x:f>IF(G125="","",IF(I125=0,G125,MAX(0,MIN(100,G125*(1-'Specialisation Scenarios'!$B$8*I125)+H125*('Specialisation Scenarios'!$B$8*I125)))))</x:f>
        <x:v>36.73326115165848</x:v>
      </x:c>
      <x:c r="L125" s="575" t="n">
        <x:f>IF(G125="","",IF(I125=0,G125,MAX(0,MIN(100,G125*(1-'Specialisation Scenarios'!$B$9*I125)+H125*('Specialisation Scenarios'!$B$9*I125)))))</x:f>
        <x:v>37.23809040070142</x:v>
      </x:c>
      <x:c r="M125" s="575" t="str">
        <x:f>IF(COUNTIFS('Tank &amp; Control'!$A$23:$A$189,A125,'Tank &amp; Control'!$B$23:$B$189,B125,'Tank &amp; Control'!$C$23:$C$189,"Yes")&gt;0,"Yes","No")</x:f>
        <x:v>No</x:v>
      </x:c>
      <x:c r="N125" s="575" t="str">
        <x:f>IF(M125&lt;&gt;"Yes","",SUMIFS('Tank &amp; Control'!$L$23:$L$189,'Tank &amp; Control'!$A$23:$A$189,A125,'Tank &amp; Control'!$B$23:$B$189,B125))</x:f>
      </x:c>
      <x:c r="O125" s="575" t="str">
        <x:f>IF(SUMIFS('Specialisation Impact'!$M$19:$M$186,'Specialisation Impact'!$A$19:$A$186,A125,'Specialisation Impact'!$B$19:$B$186,B125)=0,"",SUMIFS('Specialisation Impact'!$V$19:$V$186,'Specialisation Impact'!$A$19:$A$186,A125,'Specialisation Impact'!$B$19:$B$186,B125))</x:f>
      </x:c>
      <x:c r="P125" s="575" t="str">
        <x:f>IF(N125="","",N125)</x:f>
      </x:c>
      <x:c r="Q125" s="575" t="str">
        <x:f>IF(N125="","",IF(AC125=0,N125,MAX(0,MIN(100,N125*(1-'Specialisation Scenarios'!$B$8*AC125)+O125*('Specialisation Scenarios'!$B$8*AC125)))))</x:f>
      </x:c>
      <x:c r="R125" s="575" t="str">
        <x:f>IF(N125="","",IF(AC125=0,N125,MAX(0,MIN(100,N125*(1-'Specialisation Scenarios'!$B$9*AC125)+O125*('Specialisation Scenarios'!$B$9*AC125)))))</x:f>
      </x:c>
      <x:c r="S125" s="583" t="n">
        <x:f>IF(J125="","",COUNTIFS($A$6:$A$172,A125,$J$6:$J$172,"&gt;"&amp;J125)+COUNTIFS($A$6:A125,A125,$J$6:J125,J125))</x:f>
        <x:v>10</x:v>
      </x:c>
      <x:c r="T125" s="583" t="n">
        <x:f>IF(K125="","",COUNTIFS($A$6:$A$172,A125,$K$6:$K$172,"&gt;"&amp;K125)+COUNTIFS($A$6:A125,A125,$K$6:K125,K125))</x:f>
        <x:v>10</x:v>
      </x:c>
      <x:c r="U125" s="583" t="n">
        <x:f>IF(L125="","",COUNTIFS($A$6:$A$172,A125,$L$6:$L$172,"&gt;"&amp;L125)+COUNTIFS($A$6:A125,A125,$L$6:L125,L125))</x:f>
        <x:v>10</x:v>
      </x:c>
      <x:c r="V125" s="583" t="str">
        <x:f>IF(P125="","",COUNTIFS($A$6:$A$172,A125,$P$6:$P$172,"&gt;"&amp;P125)+COUNTIFS($A$6:A125,A125,$P$6:P125,P125))</x:f>
      </x:c>
      <x:c r="W125" s="583" t="str">
        <x:f>IF(Q125="","",COUNTIFS($A$6:$A$172,A125,$Q$6:$Q$172,"&gt;"&amp;Q125)+COUNTIFS($A$6:A125,A125,$Q$6:Q125,Q125))</x:f>
      </x:c>
      <x:c r="X125" s="583" t="str">
        <x:f>IF(R125="","",COUNTIFS($A$6:$A$172,A125,$R$6:$R$172,"&gt;"&amp;R125)+COUNTIFS($A$6:A125,A125,$R$6:R125,R125))</x:f>
      </x:c>
      <x:c r="Y125" s="571" t="str">
        <x:f>IF(V125="","",A125&amp;"|"&amp;V125)</x:f>
      </x:c>
      <x:c r="Z125" s="571" t="str">
        <x:f>IF(W125="","",A125&amp;"|"&amp;W125)</x:f>
      </x:c>
      <x:c r="AA125" s="571" t="str">
        <x:f>IF(X125="","",A125&amp;"|"&amp;X125)</x:f>
      </x:c>
      <x:c r="AB125" s="571" t="str">
        <x:f>IF(A125="","",IF(I125=0,"Offense neutral — no recorded offensive skills",IF(I125&lt;1,"Partial lookup — adjustment scaled",IF(AND(M125="Yes",AC125=0),"Offense adjusted; Guard neutral","Captured"))))</x:f>
        <x:v>Captured</x:v>
      </x:c>
      <x:c r="AC125" s="579" t="n">
        <x:f>IF(SUMIFS('Specialisation Impact'!$M$19:$M$186,'Specialisation Impact'!$A$19:$A$186,A125,'Specialisation Impact'!$B$19:$B$186,B125)=0,0,SUMIFS('Specialisation Impact'!$F$19:$F$186,'Specialisation Impact'!$A$19:$A$186,A125,'Specialisation Impact'!$B$19:$B$186,B125))</x:f>
        <x:v>0</x:v>
      </x:c>
    </x:row>
    <x:row r="126">
      <x:c r="A126" s="572" t="str">
        <x:v>K54</x:v>
      </x:c>
      <x:c r="B126" s="572" t="str">
        <x:v>纵横,,,离火</x:v>
      </x:c>
      <x:c r="C126" s="576" t="n">
        <x:f>IF($A126="","",AVERAGE(100*((COUNTIF('All Stats'!$D$6:$D$172,"&lt;"&amp;'All Stats'!D126)+(COUNTIF('All Stats'!$D$6:$D$172,'All Stats'!D126)-1)/2)/(COUNT('All Stats'!$D$6:$D$172)-1))^'Specialisation Scenarios'!$X$10,100*((COUNTIF('All Stats'!$G$6:$G$172,"&lt;"&amp;'All Stats'!G126)+(COUNTIF('All Stats'!$G$6:$G$172,'All Stats'!G126)-1)/2)/(COUNT('All Stats'!$G$6:$G$172)-1))^'Specialisation Scenarios'!$X$10,100*((COUNTIF('All Stats'!$I$6:$I$172,"&lt;"&amp;'All Stats'!I126)+(COUNTIF('All Stats'!$I$6:$I$172,'All Stats'!I126)-1)/2)/(COUNT('All Stats'!$I$6:$I$172)-1))^'Specialisation Scenarios'!$X$10))</x:f>
        <x:v>46.87971755242614</x:v>
      </x:c>
      <x:c r="D126" s="576" t="n">
        <x:f>IF($A126="","",AVERAGE(100*((COUNTIF('All Stats'!$R$6:$R$172,"&lt;"&amp;'All Stats'!R126)+(COUNTIF('All Stats'!$R$6:$R$172,'All Stats'!R126)-1)/2)/(COUNT('All Stats'!$R$6:$R$172)-1))^'Specialisation Scenarios'!$X$10,100*((COUNTIF('All Stats'!$U$6:$U$172,"&lt;"&amp;'All Stats'!U126)+(COUNTIF('All Stats'!$U$6:$U$172,'All Stats'!U126)-1)/2)/(COUNT('All Stats'!$U$6:$U$172)-1))^'Specialisation Scenarios'!$X$10,100*((COUNTIF('All Stats'!$W$6:$W$172,"&lt;"&amp;'All Stats'!W126)+(COUNTIF('All Stats'!$W$6:$W$172,'All Stats'!W126)-1)/2)/(COUNT('All Stats'!$W$6:$W$172)-1))^'Specialisation Scenarios'!$X$10))</x:f>
        <x:v>38.47950134102098</x:v>
      </x:c>
      <x:c r="E126" s="576" t="n">
        <x:f>IF($A126="","",AVERAGE(100*((COUNTIF('All Stats'!$Y$6:$Y$172,"&lt;"&amp;'All Stats'!Y126)+(COUNTIF('All Stats'!$Y$6:$Y$172,'All Stats'!Y126)-1)/2)/(COUNT('All Stats'!$Y$6:$Y$172)-1))^'Specialisation Scenarios'!$X$10,100*((COUNTIF('All Stats'!$AB$6:$AB$172,"&lt;"&amp;'All Stats'!AB126)+(COUNTIF('All Stats'!$AB$6:$AB$172,'All Stats'!AB126)-1)/2)/(COUNT('All Stats'!$AB$6:$AB$172)-1))^'Specialisation Scenarios'!$X$10,100*((COUNTIF('All Stats'!$AD$6:$AD$172,"&lt;"&amp;'All Stats'!AD126)+(COUNTIF('All Stats'!$AD$6:$AD$172,'All Stats'!AD126)-1)/2)/(COUNT('All Stats'!$AD$6:$AD$172)-1))^'Specialisation Scenarios'!$X$10))</x:f>
        <x:v>28.16339744940734</x:v>
      </x:c>
      <x:c r="F126" s="576" t="n">
        <x:f>IF($A126="","",AVERAGE(100*((COUNTIF('All Stats'!$AF$6:$AF$172,"&lt;"&amp;'All Stats'!AF126)+(COUNTIF('All Stats'!$AF$6:$AF$172,'All Stats'!AF126)-1)/2)/(COUNT('All Stats'!$AF$6:$AF$172)-1))^'Specialisation Scenarios'!$X$10,100*((COUNTIF('All Stats'!$AI$6:$AI$172,"&lt;"&amp;'All Stats'!AI126)+(COUNTIF('All Stats'!$AI$6:$AI$172,'All Stats'!AI126)-1)/2)/(COUNT('All Stats'!$AI$6:$AI$172)-1))^'Specialisation Scenarios'!$X$10,100*((COUNTIF('All Stats'!$AK$6:$AK$172,"&lt;"&amp;'All Stats'!AK126)+(COUNTIF('All Stats'!$AK$6:$AK$172,'All Stats'!AK126)-1)/2)/(COUNT('All Stats'!$AK$6:$AK$172)-1))^'Specialisation Scenarios'!$X$10))</x:f>
        <x:v>67.05242303583965</x:v>
      </x:c>
      <x:c r="G126" s="576" t="n">
        <x:f>IF($A126="","",C126*'Specialisation Scenarios'!$X$11+D126*'Specialisation Scenarios'!$X$12+E126*'Specialisation Scenarios'!$X$13+F126*'Specialisation Scenarios'!$X$14)</x:f>
        <x:v>42.99386163779319</x:v>
      </x:c>
      <x:c r="H126" s="576" t="n">
        <x:f>IF(SUMIFS('Specialisation Impact'!$E$19:$E$186,'Specialisation Impact'!$A$19:$A$186,A126,'Specialisation Impact'!$B$19:$B$186,B126)=0,"",SUMIFS('Specialisation Impact'!$S$19:$S$186,'Specialisation Impact'!$A$19:$A$186,A126,'Specialisation Impact'!$B$19:$B$186,B126))</x:f>
        <x:v>82.98701298701299</x:v>
      </x:c>
      <x:c r="I126" s="580" t="n">
        <x:f>IF(SUMIFS('Specialisation Impact'!$E$19:$E$186,'Specialisation Impact'!$A$19:$A$186,A126,'Specialisation Impact'!$B$19:$B$186,B126)=0,0,SUMIFS('Specialisation Impact'!$F$19:$F$186,'Specialisation Impact'!$A$19:$A$186,A126,'Specialisation Impact'!$B$19:$B$186,B126))</x:f>
        <x:v>1</x:v>
      </x:c>
      <x:c r="J126" s="576" t="n">
        <x:f>G126</x:f>
        <x:v>42.99386163779319</x:v>
      </x:c>
      <x:c r="K126" s="576" t="n">
        <x:f>IF(G126="","",IF(I126=0,G126,MAX(0,MIN(100,G126*(1-'Specialisation Scenarios'!$B$8*I126)+H126*('Specialisation Scenarios'!$B$8*I126)))))</x:f>
        <x:v>52.99214947509813</x:v>
      </x:c>
      <x:c r="L126" s="576" t="n">
        <x:f>IF(G126="","",IF(I126=0,G126,MAX(0,MIN(100,G126*(1-'Specialisation Scenarios'!$B$9*I126)+H126*('Specialisation Scenarios'!$B$9*I126)))))</x:f>
        <x:v>56.99146461002012</x:v>
      </x:c>
      <x:c r="M126" s="576" t="str">
        <x:f>IF(COUNTIFS('Tank &amp; Control'!$A$23:$A$189,A126,'Tank &amp; Control'!$B$23:$B$189,B126,'Tank &amp; Control'!$C$23:$C$189,"Yes")&gt;0,"Yes","No")</x:f>
        <x:v>No</x:v>
      </x:c>
      <x:c r="N126" s="576" t="str">
        <x:f>IF(M126&lt;&gt;"Yes","",SUMIFS('Tank &amp; Control'!$L$23:$L$189,'Tank &amp; Control'!$A$23:$A$189,A126,'Tank &amp; Control'!$B$23:$B$189,B126))</x:f>
      </x:c>
      <x:c r="O126" s="576" t="str">
        <x:f>IF(SUMIFS('Specialisation Impact'!$M$19:$M$186,'Specialisation Impact'!$A$19:$A$186,A126,'Specialisation Impact'!$B$19:$B$186,B126)=0,"",SUMIFS('Specialisation Impact'!$V$19:$V$186,'Specialisation Impact'!$A$19:$A$186,A126,'Specialisation Impact'!$B$19:$B$186,B126))</x:f>
      </x:c>
      <x:c r="P126" s="576" t="str">
        <x:f>IF(N126="","",N126)</x:f>
      </x:c>
      <x:c r="Q126" s="576" t="str">
        <x:f>IF(N126="","",IF(AC126=0,N126,MAX(0,MIN(100,N126*(1-'Specialisation Scenarios'!$B$8*AC126)+O126*('Specialisation Scenarios'!$B$8*AC126)))))</x:f>
      </x:c>
      <x:c r="R126" s="576" t="str">
        <x:f>IF(N126="","",IF(AC126=0,N126,MAX(0,MIN(100,N126*(1-'Specialisation Scenarios'!$B$9*AC126)+O126*('Specialisation Scenarios'!$B$9*AC126)))))</x:f>
      </x:c>
      <x:c r="S126" s="584" t="n">
        <x:f>IF(J126="","",COUNTIFS($A$6:$A$172,A126,$J$6:$J$172,"&gt;"&amp;J126)+COUNTIFS($A$6:A126,A126,$J$6:J126,J126))</x:f>
        <x:v>8</x:v>
      </x:c>
      <x:c r="T126" s="584" t="n">
        <x:f>IF(K126="","",COUNTIFS($A$6:$A$172,A126,$K$6:$K$172,"&gt;"&amp;K126)+COUNTIFS($A$6:A126,A126,$K$6:K126,K126))</x:f>
        <x:v>8</x:v>
      </x:c>
      <x:c r="U126" s="584" t="n">
        <x:f>IF(L126="","",COUNTIFS($A$6:$A$172,A126,$L$6:$L$172,"&gt;"&amp;L126)+COUNTIFS($A$6:A126,A126,$L$6:L126,L126))</x:f>
        <x:v>8</x:v>
      </x:c>
      <x:c r="V126" s="584" t="str">
        <x:f>IF(P126="","",COUNTIFS($A$6:$A$172,A126,$P$6:$P$172,"&gt;"&amp;P126)+COUNTIFS($A$6:A126,A126,$P$6:P126,P126))</x:f>
      </x:c>
      <x:c r="W126" s="584" t="str">
        <x:f>IF(Q126="","",COUNTIFS($A$6:$A$172,A126,$Q$6:$Q$172,"&gt;"&amp;Q126)+COUNTIFS($A$6:A126,A126,$Q$6:Q126,Q126))</x:f>
      </x:c>
      <x:c r="X126" s="584" t="str">
        <x:f>IF(R126="","",COUNTIFS($A$6:$A$172,A126,$R$6:$R$172,"&gt;"&amp;R126)+COUNTIFS($A$6:A126,A126,$R$6:R126,R126))</x:f>
      </x:c>
      <x:c r="Y126" s="572" t="str">
        <x:f>IF(V126="","",A126&amp;"|"&amp;V126)</x:f>
      </x:c>
      <x:c r="Z126" s="572" t="str">
        <x:f>IF(W126="","",A126&amp;"|"&amp;W126)</x:f>
      </x:c>
      <x:c r="AA126" s="572" t="str">
        <x:f>IF(X126="","",A126&amp;"|"&amp;X126)</x:f>
      </x:c>
      <x:c r="AB126" s="572" t="str">
        <x:f>IF(A126="","",IF(I126=0,"Offense neutral — no recorded offensive skills",IF(I126&lt;1,"Partial lookup — adjustment scaled",IF(AND(M126="Yes",AC126=0),"Offense adjusted; Guard neutral","Captured"))))</x:f>
        <x:v>Captured</x:v>
      </x:c>
      <x:c r="AC126" s="580" t="n">
        <x:f>IF(SUMIFS('Specialisation Impact'!$M$19:$M$186,'Specialisation Impact'!$A$19:$A$186,A126,'Specialisation Impact'!$B$19:$B$186,B126)=0,0,SUMIFS('Specialisation Impact'!$F$19:$F$186,'Specialisation Impact'!$A$19:$A$186,A126,'Specialisation Impact'!$B$19:$B$186,B126))</x:f>
        <x:v>0</x:v>
      </x:c>
    </x:row>
    <x:row r="127">
      <x:c r="A127" s="571" t="str">
        <x:v>K54</x:v>
      </x:c>
      <x:c r="B127" s="571" t="str">
        <x:v>ony</x:v>
      </x:c>
      <x:c r="C127" s="575" t="n">
        <x:f>IF($A127="","",AVERAGE(100*((COUNTIF('All Stats'!$D$6:$D$172,"&lt;"&amp;'All Stats'!D127)+(COUNTIF('All Stats'!$D$6:$D$172,'All Stats'!D127)-1)/2)/(COUNT('All Stats'!$D$6:$D$172)-1))^'Specialisation Scenarios'!$X$10,100*((COUNTIF('All Stats'!$G$6:$G$172,"&lt;"&amp;'All Stats'!G127)+(COUNTIF('All Stats'!$G$6:$G$172,'All Stats'!G127)-1)/2)/(COUNT('All Stats'!$G$6:$G$172)-1))^'Specialisation Scenarios'!$X$10,100*((COUNTIF('All Stats'!$I$6:$I$172,"&lt;"&amp;'All Stats'!I127)+(COUNTIF('All Stats'!$I$6:$I$172,'All Stats'!I127)-1)/2)/(COUNT('All Stats'!$I$6:$I$172)-1))^'Specialisation Scenarios'!$X$10))</x:f>
        <x:v>74.87470650544635</x:v>
      </x:c>
      <x:c r="D127" s="575" t="n">
        <x:f>IF($A127="","",AVERAGE(100*((COUNTIF('All Stats'!$R$6:$R$172,"&lt;"&amp;'All Stats'!R127)+(COUNTIF('All Stats'!$R$6:$R$172,'All Stats'!R127)-1)/2)/(COUNT('All Stats'!$R$6:$R$172)-1))^'Specialisation Scenarios'!$X$10,100*((COUNTIF('All Stats'!$U$6:$U$172,"&lt;"&amp;'All Stats'!U127)+(COUNTIF('All Stats'!$U$6:$U$172,'All Stats'!U127)-1)/2)/(COUNT('All Stats'!$U$6:$U$172)-1))^'Specialisation Scenarios'!$X$10,100*((COUNTIF('All Stats'!$W$6:$W$172,"&lt;"&amp;'All Stats'!W127)+(COUNTIF('All Stats'!$W$6:$W$172,'All Stats'!W127)-1)/2)/(COUNT('All Stats'!$W$6:$W$172)-1))^'Specialisation Scenarios'!$X$10))</x:f>
        <x:v>51.532158180382716</x:v>
      </x:c>
      <x:c r="E127" s="575" t="n">
        <x:f>IF($A127="","",AVERAGE(100*((COUNTIF('All Stats'!$Y$6:$Y$172,"&lt;"&amp;'All Stats'!Y127)+(COUNTIF('All Stats'!$Y$6:$Y$172,'All Stats'!Y127)-1)/2)/(COUNT('All Stats'!$Y$6:$Y$172)-1))^'Specialisation Scenarios'!$X$10,100*((COUNTIF('All Stats'!$AB$6:$AB$172,"&lt;"&amp;'All Stats'!AB127)+(COUNTIF('All Stats'!$AB$6:$AB$172,'All Stats'!AB127)-1)/2)/(COUNT('All Stats'!$AB$6:$AB$172)-1))^'Specialisation Scenarios'!$X$10,100*((COUNTIF('All Stats'!$AD$6:$AD$172,"&lt;"&amp;'All Stats'!AD127)+(COUNTIF('All Stats'!$AD$6:$AD$172,'All Stats'!AD127)-1)/2)/(COUNT('All Stats'!$AD$6:$AD$172)-1))^'Specialisation Scenarios'!$X$10))</x:f>
        <x:v>10.961520965353849</x:v>
      </x:c>
      <x:c r="F127" s="575" t="n">
        <x:f>IF($A127="","",AVERAGE(100*((COUNTIF('All Stats'!$AF$6:$AF$172,"&lt;"&amp;'All Stats'!AF127)+(COUNTIF('All Stats'!$AF$6:$AF$172,'All Stats'!AF127)-1)/2)/(COUNT('All Stats'!$AF$6:$AF$172)-1))^'Specialisation Scenarios'!$X$10,100*((COUNTIF('All Stats'!$AI$6:$AI$172,"&lt;"&amp;'All Stats'!AI127)+(COUNTIF('All Stats'!$AI$6:$AI$172,'All Stats'!AI127)-1)/2)/(COUNT('All Stats'!$AI$6:$AI$172)-1))^'Specialisation Scenarios'!$X$10,100*((COUNTIF('All Stats'!$AK$6:$AK$172,"&lt;"&amp;'All Stats'!AK127)+(COUNTIF('All Stats'!$AK$6:$AK$172,'All Stats'!AK127)-1)/2)/(COUNT('All Stats'!$AK$6:$AK$172)-1))^'Specialisation Scenarios'!$X$10))</x:f>
        <x:v>67.51394631705732</x:v>
      </x:c>
      <x:c r="G127" s="575" t="n">
        <x:f>IF($A127="","",C127*'Specialisation Scenarios'!$X$11+D127*'Specialisation Scenarios'!$X$12+E127*'Specialisation Scenarios'!$X$13+F127*'Specialisation Scenarios'!$X$14)</x:f>
        <x:v>53.37374492814056</x:v>
      </x:c>
      <x:c r="H127" s="575" t="n">
        <x:f>IF(SUMIFS('Specialisation Impact'!$E$19:$E$186,'Specialisation Impact'!$A$19:$A$186,A127,'Specialisation Impact'!$B$19:$B$186,B127)=0,"",SUMIFS('Specialisation Impact'!$S$19:$S$186,'Specialisation Impact'!$A$19:$A$186,A127,'Specialisation Impact'!$B$19:$B$186,B127))</x:f>
        <x:v>94.54545454545455</x:v>
      </x:c>
      <x:c r="I127" s="579" t="n">
        <x:f>IF(SUMIFS('Specialisation Impact'!$E$19:$E$186,'Specialisation Impact'!$A$19:$A$186,A127,'Specialisation Impact'!$B$19:$B$186,B127)=0,0,SUMIFS('Specialisation Impact'!$F$19:$F$186,'Specialisation Impact'!$A$19:$A$186,A127,'Specialisation Impact'!$B$19:$B$186,B127))</x:f>
        <x:v>1</x:v>
      </x:c>
      <x:c r="J127" s="575" t="n">
        <x:f>G127</x:f>
        <x:v>53.37374492814056</x:v>
      </x:c>
      <x:c r="K127" s="575" t="n">
        <x:f>IF(G127="","",IF(I127=0,G127,MAX(0,MIN(100,G127*(1-'Specialisation Scenarios'!$B$8*I127)+H127*('Specialisation Scenarios'!$B$8*I127)))))</x:f>
        <x:v>63.66667233246906</x:v>
      </x:c>
      <x:c r="L127" s="575" t="n">
        <x:f>IF(G127="","",IF(I127=0,G127,MAX(0,MIN(100,G127*(1-'Specialisation Scenarios'!$B$9*I127)+H127*('Specialisation Scenarios'!$B$9*I127)))))</x:f>
        <x:v>67.78384329420045</x:v>
      </x:c>
      <x:c r="M127" s="575" t="str">
        <x:f>IF(COUNTIFS('Tank &amp; Control'!$A$23:$A$189,A127,'Tank &amp; Control'!$B$23:$B$189,B127,'Tank &amp; Control'!$C$23:$C$189,"Yes")&gt;0,"Yes","No")</x:f>
        <x:v>No</x:v>
      </x:c>
      <x:c r="N127" s="575" t="str">
        <x:f>IF(M127&lt;&gt;"Yes","",SUMIFS('Tank &amp; Control'!$L$23:$L$189,'Tank &amp; Control'!$A$23:$A$189,A127,'Tank &amp; Control'!$B$23:$B$189,B127))</x:f>
      </x:c>
      <x:c r="O127" s="575" t="str">
        <x:f>IF(SUMIFS('Specialisation Impact'!$M$19:$M$186,'Specialisation Impact'!$A$19:$A$186,A127,'Specialisation Impact'!$B$19:$B$186,B127)=0,"",SUMIFS('Specialisation Impact'!$V$19:$V$186,'Specialisation Impact'!$A$19:$A$186,A127,'Specialisation Impact'!$B$19:$B$186,B127))</x:f>
      </x:c>
      <x:c r="P127" s="575" t="str">
        <x:f>IF(N127="","",N127)</x:f>
      </x:c>
      <x:c r="Q127" s="575" t="str">
        <x:f>IF(N127="","",IF(AC127=0,N127,MAX(0,MIN(100,N127*(1-'Specialisation Scenarios'!$B$8*AC127)+O127*('Specialisation Scenarios'!$B$8*AC127)))))</x:f>
      </x:c>
      <x:c r="R127" s="575" t="str">
        <x:f>IF(N127="","",IF(AC127=0,N127,MAX(0,MIN(100,N127*(1-'Specialisation Scenarios'!$B$9*AC127)+O127*('Specialisation Scenarios'!$B$9*AC127)))))</x:f>
      </x:c>
      <x:c r="S127" s="583" t="n">
        <x:f>IF(J127="","",COUNTIFS($A$6:$A$172,A127,$J$6:$J$172,"&gt;"&amp;J127)+COUNTIFS($A$6:A127,A127,$J$6:J127,J127))</x:f>
        <x:v>7</x:v>
      </x:c>
      <x:c r="T127" s="583" t="n">
        <x:f>IF(K127="","",COUNTIFS($A$6:$A$172,A127,$K$6:$K$172,"&gt;"&amp;K127)+COUNTIFS($A$6:A127,A127,$K$6:K127,K127))</x:f>
        <x:v>7</x:v>
      </x:c>
      <x:c r="U127" s="583" t="n">
        <x:f>IF(L127="","",COUNTIFS($A$6:$A$172,A127,$L$6:$L$172,"&gt;"&amp;L127)+COUNTIFS($A$6:A127,A127,$L$6:L127,L127))</x:f>
        <x:v>7</x:v>
      </x:c>
      <x:c r="V127" s="583" t="str">
        <x:f>IF(P127="","",COUNTIFS($A$6:$A$172,A127,$P$6:$P$172,"&gt;"&amp;P127)+COUNTIFS($A$6:A127,A127,$P$6:P127,P127))</x:f>
      </x:c>
      <x:c r="W127" s="583" t="str">
        <x:f>IF(Q127="","",COUNTIFS($A$6:$A$172,A127,$Q$6:$Q$172,"&gt;"&amp;Q127)+COUNTIFS($A$6:A127,A127,$Q$6:Q127,Q127))</x:f>
      </x:c>
      <x:c r="X127" s="583" t="str">
        <x:f>IF(R127="","",COUNTIFS($A$6:$A$172,A127,$R$6:$R$172,"&gt;"&amp;R127)+COUNTIFS($A$6:A127,A127,$R$6:R127,R127))</x:f>
      </x:c>
      <x:c r="Y127" s="571" t="str">
        <x:f>IF(V127="","",A127&amp;"|"&amp;V127)</x:f>
      </x:c>
      <x:c r="Z127" s="571" t="str">
        <x:f>IF(W127="","",A127&amp;"|"&amp;W127)</x:f>
      </x:c>
      <x:c r="AA127" s="571" t="str">
        <x:f>IF(X127="","",A127&amp;"|"&amp;X127)</x:f>
      </x:c>
      <x:c r="AB127" s="571" t="str">
        <x:f>IF(A127="","",IF(I127=0,"Offense neutral — no recorded offensive skills",IF(I127&lt;1,"Partial lookup — adjustment scaled",IF(AND(M127="Yes",AC127=0),"Offense adjusted; Guard neutral","Captured"))))</x:f>
        <x:v>Captured</x:v>
      </x:c>
      <x:c r="AC127" s="579" t="n">
        <x:f>IF(SUMIFS('Specialisation Impact'!$M$19:$M$186,'Specialisation Impact'!$A$19:$A$186,A127,'Specialisation Impact'!$B$19:$B$186,B127)=0,0,SUMIFS('Specialisation Impact'!$F$19:$F$186,'Specialisation Impact'!$A$19:$A$186,A127,'Specialisation Impact'!$B$19:$B$186,B127))</x:f>
        <x:v>0</x:v>
      </x:c>
    </x:row>
    <x:row r="128">
      <x:c r="A128" s="572" t="str">
        <x:v>K197</x:v>
      </x:c>
      <x:c r="B128" s="572" t="str">
        <x:v>Хлебушек</x:v>
      </x:c>
      <x:c r="C128" s="576" t="n">
        <x:f>IF($A128="","",AVERAGE(100*((COUNTIF('All Stats'!$D$6:$D$172,"&lt;"&amp;'All Stats'!D128)+(COUNTIF('All Stats'!$D$6:$D$172,'All Stats'!D128)-1)/2)/(COUNT('All Stats'!$D$6:$D$172)-1))^'Specialisation Scenarios'!$X$10,100*((COUNTIF('All Stats'!$G$6:$G$172,"&lt;"&amp;'All Stats'!G128)+(COUNTIF('All Stats'!$G$6:$G$172,'All Stats'!G128)-1)/2)/(COUNT('All Stats'!$G$6:$G$172)-1))^'Specialisation Scenarios'!$X$10,100*((COUNTIF('All Stats'!$I$6:$I$172,"&lt;"&amp;'All Stats'!I128)+(COUNTIF('All Stats'!$I$6:$I$172,'All Stats'!I128)-1)/2)/(COUNT('All Stats'!$I$6:$I$172)-1))^'Specialisation Scenarios'!$X$10))</x:f>
        <x:v>91.1387198559663</x:v>
      </x:c>
      <x:c r="D128" s="576" t="n">
        <x:f>IF($A128="","",AVERAGE(100*((COUNTIF('All Stats'!$R$6:$R$172,"&lt;"&amp;'All Stats'!R128)+(COUNTIF('All Stats'!$R$6:$R$172,'All Stats'!R128)-1)/2)/(COUNT('All Stats'!$R$6:$R$172)-1))^'Specialisation Scenarios'!$X$10,100*((COUNTIF('All Stats'!$U$6:$U$172,"&lt;"&amp;'All Stats'!U128)+(COUNTIF('All Stats'!$U$6:$U$172,'All Stats'!U128)-1)/2)/(COUNT('All Stats'!$U$6:$U$172)-1))^'Specialisation Scenarios'!$X$10,100*((COUNTIF('All Stats'!$W$6:$W$172,"&lt;"&amp;'All Stats'!W128)+(COUNTIF('All Stats'!$W$6:$W$172,'All Stats'!W128)-1)/2)/(COUNT('All Stats'!$W$6:$W$172)-1))^'Specialisation Scenarios'!$X$10))</x:f>
        <x:v>99.30036730720387</x:v>
      </x:c>
      <x:c r="E128" s="576" t="n">
        <x:f>IF($A128="","",AVERAGE(100*((COUNTIF('All Stats'!$Y$6:$Y$172,"&lt;"&amp;'All Stats'!Y128)+(COUNTIF('All Stats'!$Y$6:$Y$172,'All Stats'!Y128)-1)/2)/(COUNT('All Stats'!$Y$6:$Y$172)-1))^'Specialisation Scenarios'!$X$10,100*((COUNTIF('All Stats'!$AB$6:$AB$172,"&lt;"&amp;'All Stats'!AB128)+(COUNTIF('All Stats'!$AB$6:$AB$172,'All Stats'!AB128)-1)/2)/(COUNT('All Stats'!$AB$6:$AB$172)-1))^'Specialisation Scenarios'!$X$10,100*((COUNTIF('All Stats'!$AD$6:$AD$172,"&lt;"&amp;'All Stats'!AD128)+(COUNTIF('All Stats'!$AD$6:$AD$172,'All Stats'!AD128)-1)/2)/(COUNT('All Stats'!$AD$6:$AD$172)-1))^'Specialisation Scenarios'!$X$10))</x:f>
        <x:v>96.68569902806844</x:v>
      </x:c>
      <x:c r="F128" s="576" t="n">
        <x:f>IF($A128="","",AVERAGE(100*((COUNTIF('All Stats'!$AF$6:$AF$172,"&lt;"&amp;'All Stats'!AF128)+(COUNTIF('All Stats'!$AF$6:$AF$172,'All Stats'!AF128)-1)/2)/(COUNT('All Stats'!$AF$6:$AF$172)-1))^'Specialisation Scenarios'!$X$10,100*((COUNTIF('All Stats'!$AI$6:$AI$172,"&lt;"&amp;'All Stats'!AI128)+(COUNTIF('All Stats'!$AI$6:$AI$172,'All Stats'!AI128)-1)/2)/(COUNT('All Stats'!$AI$6:$AI$172)-1))^'Specialisation Scenarios'!$X$10,100*((COUNTIF('All Stats'!$AK$6:$AK$172,"&lt;"&amp;'All Stats'!AK128)+(COUNTIF('All Stats'!$AK$6:$AK$172,'All Stats'!AK128)-1)/2)/(COUNT('All Stats'!$AK$6:$AK$172)-1))^'Specialisation Scenarios'!$X$10))</x:f>
        <x:v>98.77345628012189</x:v>
      </x:c>
      <x:c r="G128" s="576" t="n">
        <x:f>IF($A128="","",C128*'Specialisation Scenarios'!$X$11+D128*'Specialisation Scenarios'!$X$12+E128*'Specialisation Scenarios'!$X$13+F128*'Specialisation Scenarios'!$X$14)</x:f>
        <x:v>97.73561670754239</x:v>
      </x:c>
      <x:c r="H128" s="576" t="n">
        <x:f>IF(SUMIFS('Specialisation Impact'!$E$19:$E$186,'Specialisation Impact'!$A$19:$A$186,A128,'Specialisation Impact'!$B$19:$B$186,B128)=0,"",SUMIFS('Specialisation Impact'!$S$19:$S$186,'Specialisation Impact'!$A$19:$A$186,A128,'Specialisation Impact'!$B$19:$B$186,B128))</x:f>
        <x:v>100</x:v>
      </x:c>
      <x:c r="I128" s="580" t="n">
        <x:f>IF(SUMIFS('Specialisation Impact'!$E$19:$E$186,'Specialisation Impact'!$A$19:$A$186,A128,'Specialisation Impact'!$B$19:$B$186,B128)=0,0,SUMIFS('Specialisation Impact'!$F$19:$F$186,'Specialisation Impact'!$A$19:$A$186,A128,'Specialisation Impact'!$B$19:$B$186,B128))</x:f>
        <x:v>1</x:v>
      </x:c>
      <x:c r="J128" s="576" t="n">
        <x:f>G128</x:f>
        <x:v>97.73561670754239</x:v>
      </x:c>
      <x:c r="K128" s="576" t="n">
        <x:f>IF(G128="","",IF(I128=0,G128,MAX(0,MIN(100,G128*(1-'Specialisation Scenarios'!$B$8*I128)+H128*('Specialisation Scenarios'!$B$8*I128)))))</x:f>
        <x:v>98.3017125306568</x:v>
      </x:c>
      <x:c r="L128" s="576" t="n">
        <x:f>IF(G128="","",IF(I128=0,G128,MAX(0,MIN(100,G128*(1-'Specialisation Scenarios'!$B$9*I128)+H128*('Specialisation Scenarios'!$B$9*I128)))))</x:f>
        <x:v>98.52815085990255</x:v>
      </x:c>
      <x:c r="M128" s="576" t="str">
        <x:f>IF(COUNTIFS('Tank &amp; Control'!$A$23:$A$189,A128,'Tank &amp; Control'!$B$23:$B$189,B128,'Tank &amp; Control'!$C$23:$C$189,"Yes")&gt;0,"Yes","No")</x:f>
        <x:v>Yes</x:v>
      </x:c>
      <x:c r="N128" s="576" t="n">
        <x:f>IF(M128&lt;&gt;"Yes","",SUMIFS('Tank &amp; Control'!$L$23:$L$189,'Tank &amp; Control'!$A$23:$A$189,A128,'Tank &amp; Control'!$B$23:$B$189,B128))</x:f>
        <x:v>89.05376794415304</x:v>
      </x:c>
      <x:c r="O128" s="576" t="n">
        <x:f>IF(SUMIFS('Specialisation Impact'!$M$19:$M$186,'Specialisation Impact'!$A$19:$A$186,A128,'Specialisation Impact'!$B$19:$B$186,B128)=0,"",SUMIFS('Specialisation Impact'!$V$19:$V$186,'Specialisation Impact'!$A$19:$A$186,A128,'Specialisation Impact'!$B$19:$B$186,B128))</x:f>
        <x:v>93.16239316239316</x:v>
      </x:c>
      <x:c r="P128" s="576" t="n">
        <x:f>IF(N128="","",N128)</x:f>
        <x:v>89.05376794415304</x:v>
      </x:c>
      <x:c r="Q128" s="576" t="n">
        <x:f>IF(N128="","",IF(AC128=0,N128,MAX(0,MIN(100,N128*(1-'Specialisation Scenarios'!$B$8*AC128)+O128*('Specialisation Scenarios'!$B$8*AC128)))))</x:f>
        <x:v>90.08092424871307</x:v>
      </x:c>
      <x:c r="R128" s="576" t="n">
        <x:f>IF(N128="","",IF(AC128=0,N128,MAX(0,MIN(100,N128*(1-'Specialisation Scenarios'!$B$9*AC128)+O128*('Specialisation Scenarios'!$B$9*AC128)))))</x:f>
        <x:v>90.49178677053708</x:v>
      </x:c>
      <x:c r="S128" s="584" t="n">
        <x:f>IF(J128="","",COUNTIFS($A$6:$A$172,A128,$J$6:$J$172,"&gt;"&amp;J128)+COUNTIFS($A$6:A128,A128,$J$6:J128,J128))</x:f>
        <x:v>1</x:v>
      </x:c>
      <x:c r="T128" s="584" t="n">
        <x:f>IF(K128="","",COUNTIFS($A$6:$A$172,A128,$K$6:$K$172,"&gt;"&amp;K128)+COUNTIFS($A$6:A128,A128,$K$6:K128,K128))</x:f>
        <x:v>1</x:v>
      </x:c>
      <x:c r="U128" s="584" t="n">
        <x:f>IF(L128="","",COUNTIFS($A$6:$A$172,A128,$L$6:$L$172,"&gt;"&amp;L128)+COUNTIFS($A$6:A128,A128,$L$6:L128,L128))</x:f>
        <x:v>1</x:v>
      </x:c>
      <x:c r="V128" s="584" t="n">
        <x:f>IF(P128="","",COUNTIFS($A$6:$A$172,A128,$P$6:$P$172,"&gt;"&amp;P128)+COUNTIFS($A$6:A128,A128,$P$6:P128,P128))</x:f>
        <x:v>1</x:v>
      </x:c>
      <x:c r="W128" s="584" t="n">
        <x:f>IF(Q128="","",COUNTIFS($A$6:$A$172,A128,$Q$6:$Q$172,"&gt;"&amp;Q128)+COUNTIFS($A$6:A128,A128,$Q$6:Q128,Q128))</x:f>
        <x:v>1</x:v>
      </x:c>
      <x:c r="X128" s="584" t="n">
        <x:f>IF(R128="","",COUNTIFS($A$6:$A$172,A128,$R$6:$R$172,"&gt;"&amp;R128)+COUNTIFS($A$6:A128,A128,$R$6:R128,R128))</x:f>
        <x:v>1</x:v>
      </x:c>
      <x:c r="Y128" s="572" t="str">
        <x:f>IF(V128="","",A128&amp;"|"&amp;V128)</x:f>
        <x:v>K197|1</x:v>
      </x:c>
      <x:c r="Z128" s="572" t="str">
        <x:f>IF(W128="","",A128&amp;"|"&amp;W128)</x:f>
        <x:v>K197|1</x:v>
      </x:c>
      <x:c r="AA128" s="572" t="str">
        <x:f>IF(X128="","",A128&amp;"|"&amp;X128)</x:f>
        <x:v>K197|1</x:v>
      </x:c>
      <x:c r="AB128" s="572" t="str">
        <x:f>IF(A128="","",IF(I128=0,"Offense neutral — no recorded offensive skills",IF(I128&lt;1,"Partial lookup — adjustment scaled",IF(AND(M128="Yes",AC128=0),"Offense adjusted; Guard neutral","Captured"))))</x:f>
        <x:v>Captured</x:v>
      </x:c>
      <x:c r="AC128" s="580" t="n">
        <x:f>IF(SUMIFS('Specialisation Impact'!$M$19:$M$186,'Specialisation Impact'!$A$19:$A$186,A128,'Specialisation Impact'!$B$19:$B$186,B128)=0,0,SUMIFS('Specialisation Impact'!$F$19:$F$186,'Specialisation Impact'!$A$19:$A$186,A128,'Specialisation Impact'!$B$19:$B$186,B128))</x:f>
        <x:v>1</x:v>
      </x:c>
    </x:row>
    <x:row r="129">
      <x:c r="A129" s="571" t="str">
        <x:v>K197</x:v>
      </x:c>
      <x:c r="B129" s="571" t="str">
        <x:v>Zakmil23139</x:v>
      </x:c>
      <x:c r="C129" s="575" t="n">
        <x:f>IF($A129="","",AVERAGE(100*((COUNTIF('All Stats'!$D$6:$D$172,"&lt;"&amp;'All Stats'!D129)+(COUNTIF('All Stats'!$D$6:$D$172,'All Stats'!D129)-1)/2)/(COUNT('All Stats'!$D$6:$D$172)-1))^'Specialisation Scenarios'!$X$10,100*((COUNTIF('All Stats'!$G$6:$G$172,"&lt;"&amp;'All Stats'!G129)+(COUNTIF('All Stats'!$G$6:$G$172,'All Stats'!G129)-1)/2)/(COUNT('All Stats'!$G$6:$G$172)-1))^'Specialisation Scenarios'!$X$10,100*((COUNTIF('All Stats'!$I$6:$I$172,"&lt;"&amp;'All Stats'!I129)+(COUNTIF('All Stats'!$I$6:$I$172,'All Stats'!I129)-1)/2)/(COUNT('All Stats'!$I$6:$I$172)-1))^'Specialisation Scenarios'!$X$10))</x:f>
        <x:v>61.47818785283067</x:v>
      </x:c>
      <x:c r="D129" s="575" t="n">
        <x:f>IF($A129="","",AVERAGE(100*((COUNTIF('All Stats'!$R$6:$R$172,"&lt;"&amp;'All Stats'!R129)+(COUNTIF('All Stats'!$R$6:$R$172,'All Stats'!R129)-1)/2)/(COUNT('All Stats'!$R$6:$R$172)-1))^'Specialisation Scenarios'!$X$10,100*((COUNTIF('All Stats'!$U$6:$U$172,"&lt;"&amp;'All Stats'!U129)+(COUNTIF('All Stats'!$U$6:$U$172,'All Stats'!U129)-1)/2)/(COUNT('All Stats'!$U$6:$U$172)-1))^'Specialisation Scenarios'!$X$10,100*((COUNTIF('All Stats'!$W$6:$W$172,"&lt;"&amp;'All Stats'!W129)+(COUNTIF('All Stats'!$W$6:$W$172,'All Stats'!W129)-1)/2)/(COUNT('All Stats'!$W$6:$W$172)-1))^'Specialisation Scenarios'!$X$10))</x:f>
        <x:v>36.34155652400658</x:v>
      </x:c>
      <x:c r="E129" s="575" t="n">
        <x:f>IF($A129="","",AVERAGE(100*((COUNTIF('All Stats'!$Y$6:$Y$172,"&lt;"&amp;'All Stats'!Y129)+(COUNTIF('All Stats'!$Y$6:$Y$172,'All Stats'!Y129)-1)/2)/(COUNT('All Stats'!$Y$6:$Y$172)-1))^'Specialisation Scenarios'!$X$10,100*((COUNTIF('All Stats'!$AB$6:$AB$172,"&lt;"&amp;'All Stats'!AB129)+(COUNTIF('All Stats'!$AB$6:$AB$172,'All Stats'!AB129)-1)/2)/(COUNT('All Stats'!$AB$6:$AB$172)-1))^'Specialisation Scenarios'!$X$10,100*((COUNTIF('All Stats'!$AD$6:$AD$172,"&lt;"&amp;'All Stats'!AD129)+(COUNTIF('All Stats'!$AD$6:$AD$172,'All Stats'!AD129)-1)/2)/(COUNT('All Stats'!$AD$6:$AD$172)-1))^'Specialisation Scenarios'!$X$10))</x:f>
        <x:v>63.95528725353858</x:v>
      </x:c>
      <x:c r="F129" s="575" t="n">
        <x:f>IF($A129="","",AVERAGE(100*((COUNTIF('All Stats'!$AF$6:$AF$172,"&lt;"&amp;'All Stats'!AF129)+(COUNTIF('All Stats'!$AF$6:$AF$172,'All Stats'!AF129)-1)/2)/(COUNT('All Stats'!$AF$6:$AF$172)-1))^'Specialisation Scenarios'!$X$10,100*((COUNTIF('All Stats'!$AI$6:$AI$172,"&lt;"&amp;'All Stats'!AI129)+(COUNTIF('All Stats'!$AI$6:$AI$172,'All Stats'!AI129)-1)/2)/(COUNT('All Stats'!$AI$6:$AI$172)-1))^'Specialisation Scenarios'!$X$10,100*((COUNTIF('All Stats'!$AK$6:$AK$172,"&lt;"&amp;'All Stats'!AK129)+(COUNTIF('All Stats'!$AK$6:$AK$172,'All Stats'!AK129)-1)/2)/(COUNT('All Stats'!$AK$6:$AK$172)-1))^'Specialisation Scenarios'!$X$10))</x:f>
        <x:v>44.45870103631865</x:v>
      </x:c>
      <x:c r="G129" s="575" t="n">
        <x:f>IF($A129="","",C129*'Specialisation Scenarios'!$X$11+D129*'Specialisation Scenarios'!$X$12+E129*'Specialisation Scenarios'!$X$13+F129*'Specialisation Scenarios'!$X$14)</x:f>
        <x:v>44.090995973130205</x:v>
      </x:c>
      <x:c r="H129" s="575" t="n">
        <x:f>IF(SUMIFS('Specialisation Impact'!$E$19:$E$186,'Specialisation Impact'!$A$19:$A$186,A129,'Specialisation Impact'!$B$19:$B$186,B129)=0,"",SUMIFS('Specialisation Impact'!$S$19:$S$186,'Specialisation Impact'!$A$19:$A$186,A129,'Specialisation Impact'!$B$19:$B$186,B129))</x:f>
        <x:v>77.66233766233766</x:v>
      </x:c>
      <x:c r="I129" s="579" t="n">
        <x:f>IF(SUMIFS('Specialisation Impact'!$E$19:$E$186,'Specialisation Impact'!$A$19:$A$186,A129,'Specialisation Impact'!$B$19:$B$186,B129)=0,0,SUMIFS('Specialisation Impact'!$F$19:$F$186,'Specialisation Impact'!$A$19:$A$186,A129,'Specialisation Impact'!$B$19:$B$186,B129))</x:f>
        <x:v>1</x:v>
      </x:c>
      <x:c r="J129" s="575" t="n">
        <x:f>G129</x:f>
        <x:v>44.090995973130205</x:v>
      </x:c>
      <x:c r="K129" s="575" t="n">
        <x:f>IF(G129="","",IF(I129=0,G129,MAX(0,MIN(100,G129*(1-'Specialisation Scenarios'!$B$8*I129)+H129*('Specialisation Scenarios'!$B$8*I129)))))</x:f>
        <x:v>52.48383139543208</x:v>
      </x:c>
      <x:c r="L129" s="575" t="n">
        <x:f>IF(G129="","",IF(I129=0,G129,MAX(0,MIN(100,G129*(1-'Specialisation Scenarios'!$B$9*I129)+H129*('Specialisation Scenarios'!$B$9*I129)))))</x:f>
        <x:v>55.840965564352814</x:v>
      </x:c>
      <x:c r="M129" s="575" t="str">
        <x:f>IF(COUNTIFS('Tank &amp; Control'!$A$23:$A$189,A129,'Tank &amp; Control'!$B$23:$B$189,B129,'Tank &amp; Control'!$C$23:$C$189,"Yes")&gt;0,"Yes","No")</x:f>
        <x:v>Yes</x:v>
      </x:c>
      <x:c r="N129" s="575" t="n">
        <x:f>IF(M129&lt;&gt;"Yes","",SUMIFS('Tank &amp; Control'!$L$23:$L$189,'Tank &amp; Control'!$A$23:$A$189,A129,'Tank &amp; Control'!$B$23:$B$189,B129))</x:f>
        <x:v>18.148671522774986</x:v>
      </x:c>
      <x:c r="O129" s="575" t="str">
        <x:f>IF(SUMIFS('Specialisation Impact'!$M$19:$M$186,'Specialisation Impact'!$A$19:$A$186,A129,'Specialisation Impact'!$B$19:$B$186,B129)=0,"",SUMIFS('Specialisation Impact'!$V$19:$V$186,'Specialisation Impact'!$A$19:$A$186,A129,'Specialisation Impact'!$B$19:$B$186,B129))</x:f>
      </x:c>
      <x:c r="P129" s="575" t="n">
        <x:f>IF(N129="","",N129)</x:f>
        <x:v>18.148671522774986</x:v>
      </x:c>
      <x:c r="Q129" s="575" t="n">
        <x:f>IF(N129="","",IF(AC129=0,N129,MAX(0,MIN(100,N129*(1-'Specialisation Scenarios'!$B$8*AC129)+O129*('Specialisation Scenarios'!$B$8*AC129)))))</x:f>
        <x:v>18.148671522774986</x:v>
      </x:c>
      <x:c r="R129" s="575" t="n">
        <x:f>IF(N129="","",IF(AC129=0,N129,MAX(0,MIN(100,N129*(1-'Specialisation Scenarios'!$B$9*AC129)+O129*('Specialisation Scenarios'!$B$9*AC129)))))</x:f>
        <x:v>18.148671522774986</x:v>
      </x:c>
      <x:c r="S129" s="583" t="n">
        <x:f>IF(J129="","",COUNTIFS($A$6:$A$172,A129,$J$6:$J$172,"&gt;"&amp;J129)+COUNTIFS($A$6:A129,A129,$J$6:J129,J129))</x:f>
        <x:v>4</x:v>
      </x:c>
      <x:c r="T129" s="583" t="n">
        <x:f>IF(K129="","",COUNTIFS($A$6:$A$172,A129,$K$6:$K$172,"&gt;"&amp;K129)+COUNTIFS($A$6:A129,A129,$K$6:K129,K129))</x:f>
        <x:v>4</x:v>
      </x:c>
      <x:c r="U129" s="583" t="n">
        <x:f>IF(L129="","",COUNTIFS($A$6:$A$172,A129,$L$6:$L$172,"&gt;"&amp;L129)+COUNTIFS($A$6:A129,A129,$L$6:L129,L129))</x:f>
        <x:v>4</x:v>
      </x:c>
      <x:c r="V129" s="583" t="n">
        <x:f>IF(P129="","",COUNTIFS($A$6:$A$172,A129,$P$6:$P$172,"&gt;"&amp;P129)+COUNTIFS($A$6:A129,A129,$P$6:P129,P129))</x:f>
        <x:v>3</x:v>
      </x:c>
      <x:c r="W129" s="583" t="n">
        <x:f>IF(Q129="","",COUNTIFS($A$6:$A$172,A129,$Q$6:$Q$172,"&gt;"&amp;Q129)+COUNTIFS($A$6:A129,A129,$Q$6:Q129,Q129))</x:f>
        <x:v>3</x:v>
      </x:c>
      <x:c r="X129" s="583" t="n">
        <x:f>IF(R129="","",COUNTIFS($A$6:$A$172,A129,$R$6:$R$172,"&gt;"&amp;R129)+COUNTIFS($A$6:A129,A129,$R$6:R129,R129))</x:f>
        <x:v>3</x:v>
      </x:c>
      <x:c r="Y129" s="571" t="str">
        <x:f>IF(V129="","",A129&amp;"|"&amp;V129)</x:f>
        <x:v>K197|3</x:v>
      </x:c>
      <x:c r="Z129" s="571" t="str">
        <x:f>IF(W129="","",A129&amp;"|"&amp;W129)</x:f>
        <x:v>K197|3</x:v>
      </x:c>
      <x:c r="AA129" s="571" t="str">
        <x:f>IF(X129="","",A129&amp;"|"&amp;X129)</x:f>
        <x:v>K197|3</x:v>
      </x:c>
      <x:c r="AB129" s="571" t="str">
        <x:f>IF(A129="","",IF(I129=0,"Offense neutral — no recorded offensive skills",IF(I129&lt;1,"Partial lookup — adjustment scaled",IF(AND(M129="Yes",AC129=0),"Offense adjusted; Guard neutral","Captured"))))</x:f>
        <x:v>Offense adjusted; Guard neutral</x:v>
      </x:c>
      <x:c r="AC129" s="579" t="n">
        <x:f>IF(SUMIFS('Specialisation Impact'!$M$19:$M$186,'Specialisation Impact'!$A$19:$A$186,A129,'Specialisation Impact'!$B$19:$B$186,B129)=0,0,SUMIFS('Specialisation Impact'!$F$19:$F$186,'Specialisation Impact'!$A$19:$A$186,A129,'Specialisation Impact'!$B$19:$B$186,B129))</x:f>
        <x:v>0</x:v>
      </x:c>
    </x:row>
    <x:row r="130">
      <x:c r="A130" s="572" t="str">
        <x:v>K197</x:v>
      </x:c>
      <x:c r="B130" s="572" t="str">
        <x:v>NightFury</x:v>
      </x:c>
      <x:c r="C130" s="576" t="n">
        <x:f>IF($A130="","",AVERAGE(100*((COUNTIF('All Stats'!$D$6:$D$172,"&lt;"&amp;'All Stats'!D130)+(COUNTIF('All Stats'!$D$6:$D$172,'All Stats'!D130)-1)/2)/(COUNT('All Stats'!$D$6:$D$172)-1))^'Specialisation Scenarios'!$X$10,100*((COUNTIF('All Stats'!$G$6:$G$172,"&lt;"&amp;'All Stats'!G130)+(COUNTIF('All Stats'!$G$6:$G$172,'All Stats'!G130)-1)/2)/(COUNT('All Stats'!$G$6:$G$172)-1))^'Specialisation Scenarios'!$X$10,100*((COUNTIF('All Stats'!$I$6:$I$172,"&lt;"&amp;'All Stats'!I130)+(COUNTIF('All Stats'!$I$6:$I$172,'All Stats'!I130)-1)/2)/(COUNT('All Stats'!$I$6:$I$172)-1))^'Specialisation Scenarios'!$X$10))</x:f>
        <x:v>6.502650294494113</x:v>
      </x:c>
      <x:c r="D130" s="576" t="n">
        <x:f>IF($A130="","",AVERAGE(100*((COUNTIF('All Stats'!$R$6:$R$172,"&lt;"&amp;'All Stats'!R130)+(COUNTIF('All Stats'!$R$6:$R$172,'All Stats'!R130)-1)/2)/(COUNT('All Stats'!$R$6:$R$172)-1))^'Specialisation Scenarios'!$X$10,100*((COUNTIF('All Stats'!$U$6:$U$172,"&lt;"&amp;'All Stats'!U130)+(COUNTIF('All Stats'!$U$6:$U$172,'All Stats'!U130)-1)/2)/(COUNT('All Stats'!$U$6:$U$172)-1))^'Specialisation Scenarios'!$X$10,100*((COUNTIF('All Stats'!$W$6:$W$172,"&lt;"&amp;'All Stats'!W130)+(COUNTIF('All Stats'!$W$6:$W$172,'All Stats'!W130)-1)/2)/(COUNT('All Stats'!$W$6:$W$172)-1))^'Specialisation Scenarios'!$X$10))</x:f>
        <x:v>34.363330474103286</x:v>
      </x:c>
      <x:c r="E130" s="576" t="n">
        <x:f>IF($A130="","",AVERAGE(100*((COUNTIF('All Stats'!$Y$6:$Y$172,"&lt;"&amp;'All Stats'!Y130)+(COUNTIF('All Stats'!$Y$6:$Y$172,'All Stats'!Y130)-1)/2)/(COUNT('All Stats'!$Y$6:$Y$172)-1))^'Specialisation Scenarios'!$X$10,100*((COUNTIF('All Stats'!$AB$6:$AB$172,"&lt;"&amp;'All Stats'!AB130)+(COUNTIF('All Stats'!$AB$6:$AB$172,'All Stats'!AB130)-1)/2)/(COUNT('All Stats'!$AB$6:$AB$172)-1))^'Specialisation Scenarios'!$X$10,100*((COUNTIF('All Stats'!$AD$6:$AD$172,"&lt;"&amp;'All Stats'!AD130)+(COUNTIF('All Stats'!$AD$6:$AD$172,'All Stats'!AD130)-1)/2)/(COUNT('All Stats'!$AD$6:$AD$172)-1))^'Specialisation Scenarios'!$X$10))</x:f>
        <x:v>4.131632779206728</x:v>
      </x:c>
      <x:c r="F130" s="576" t="n">
        <x:f>IF($A130="","",AVERAGE(100*((COUNTIF('All Stats'!$AF$6:$AF$172,"&lt;"&amp;'All Stats'!AF130)+(COUNTIF('All Stats'!$AF$6:$AF$172,'All Stats'!AF130)-1)/2)/(COUNT('All Stats'!$AF$6:$AF$172)-1))^'Specialisation Scenarios'!$X$10,100*((COUNTIF('All Stats'!$AI$6:$AI$172,"&lt;"&amp;'All Stats'!AI130)+(COUNTIF('All Stats'!$AI$6:$AI$172,'All Stats'!AI130)-1)/2)/(COUNT('All Stats'!$AI$6:$AI$172)-1))^'Specialisation Scenarios'!$X$10,100*((COUNTIF('All Stats'!$AK$6:$AK$172,"&lt;"&amp;'All Stats'!AK130)+(COUNTIF('All Stats'!$AK$6:$AK$172,'All Stats'!AK130)-1)/2)/(COUNT('All Stats'!$AK$6:$AK$172)-1))^'Specialisation Scenarios'!$X$10))</x:f>
        <x:v>8.126498926009829</x:v>
      </x:c>
      <x:c r="G130" s="576" t="n">
        <x:f>IF($A130="","",C130*'Specialisation Scenarios'!$X$11+D130*'Specialisation Scenarios'!$X$12+E130*'Specialisation Scenarios'!$X$13+F130*'Specialisation Scenarios'!$X$14)</x:f>
        <x:v>23.22553394545824</x:v>
      </x:c>
      <x:c r="H130" s="576" t="n">
        <x:f>IF(SUMIFS('Specialisation Impact'!$E$19:$E$186,'Specialisation Impact'!$A$19:$A$186,A130,'Specialisation Impact'!$B$19:$B$186,B130)=0,"",SUMIFS('Specialisation Impact'!$S$19:$S$186,'Specialisation Impact'!$A$19:$A$186,A130,'Specialisation Impact'!$B$19:$B$186,B130))</x:f>
        <x:v>29.48051948051948</x:v>
      </x:c>
      <x:c r="I130" s="580" t="n">
        <x:f>IF(SUMIFS('Specialisation Impact'!$E$19:$E$186,'Specialisation Impact'!$A$19:$A$186,A130,'Specialisation Impact'!$B$19:$B$186,B130)=0,0,SUMIFS('Specialisation Impact'!$F$19:$F$186,'Specialisation Impact'!$A$19:$A$186,A130,'Specialisation Impact'!$B$19:$B$186,B130))</x:f>
        <x:v>1</x:v>
      </x:c>
      <x:c r="J130" s="576" t="n">
        <x:f>G130</x:f>
        <x:v>23.22553394545824</x:v>
      </x:c>
      <x:c r="K130" s="576" t="n">
        <x:f>IF(G130="","",IF(I130=0,G130,MAX(0,MIN(100,G130*(1-'Specialisation Scenarios'!$B$8*I130)+H130*('Specialisation Scenarios'!$B$8*I130)))))</x:f>
        <x:v>24.789280329223548</x:v>
      </x:c>
      <x:c r="L130" s="576" t="n">
        <x:f>IF(G130="","",IF(I130=0,G130,MAX(0,MIN(100,G130*(1-'Specialisation Scenarios'!$B$9*I130)+H130*('Specialisation Scenarios'!$B$9*I130)))))</x:f>
        <x:v>25.41477888272967</x:v>
      </x:c>
      <x:c r="M130" s="576" t="str">
        <x:f>IF(COUNTIFS('Tank &amp; Control'!$A$23:$A$189,A130,'Tank &amp; Control'!$B$23:$B$189,B130,'Tank &amp; Control'!$C$23:$C$189,"Yes")&gt;0,"Yes","No")</x:f>
        <x:v>No</x:v>
      </x:c>
      <x:c r="N130" s="576" t="str">
        <x:f>IF(M130&lt;&gt;"Yes","",SUMIFS('Tank &amp; Control'!$L$23:$L$189,'Tank &amp; Control'!$A$23:$A$189,A130,'Tank &amp; Control'!$B$23:$B$189,B130))</x:f>
      </x:c>
      <x:c r="O130" s="576" t="n">
        <x:f>IF(SUMIFS('Specialisation Impact'!$M$19:$M$186,'Specialisation Impact'!$A$19:$A$186,A130,'Specialisation Impact'!$B$19:$B$186,B130)=0,"",SUMIFS('Specialisation Impact'!$V$19:$V$186,'Specialisation Impact'!$A$19:$A$186,A130,'Specialisation Impact'!$B$19:$B$186,B130))</x:f>
        <x:v>14.102564102564102</x:v>
      </x:c>
      <x:c r="P130" s="576" t="str">
        <x:f>IF(N130="","",N130)</x:f>
      </x:c>
      <x:c r="Q130" s="576" t="str">
        <x:f>IF(N130="","",IF(AC130=0,N130,MAX(0,MIN(100,N130*(1-'Specialisation Scenarios'!$B$8*AC130)+O130*('Specialisation Scenarios'!$B$8*AC130)))))</x:f>
      </x:c>
      <x:c r="R130" s="576" t="str">
        <x:f>IF(N130="","",IF(AC130=0,N130,MAX(0,MIN(100,N130*(1-'Specialisation Scenarios'!$B$9*AC130)+O130*('Specialisation Scenarios'!$B$9*AC130)))))</x:f>
      </x:c>
      <x:c r="S130" s="584" t="n">
        <x:f>IF(J130="","",COUNTIFS($A$6:$A$172,A130,$J$6:$J$172,"&gt;"&amp;J130)+COUNTIFS($A$6:A130,A130,$J$6:J130,J130))</x:f>
        <x:v>10</x:v>
      </x:c>
      <x:c r="T130" s="584" t="n">
        <x:f>IF(K130="","",COUNTIFS($A$6:$A$172,A130,$K$6:$K$172,"&gt;"&amp;K130)+COUNTIFS($A$6:A130,A130,$K$6:K130,K130))</x:f>
        <x:v>10</x:v>
      </x:c>
      <x:c r="U130" s="584" t="n">
        <x:f>IF(L130="","",COUNTIFS($A$6:$A$172,A130,$L$6:$L$172,"&gt;"&amp;L130)+COUNTIFS($A$6:A130,A130,$L$6:L130,L130))</x:f>
        <x:v>10</x:v>
      </x:c>
      <x:c r="V130" s="584" t="str">
        <x:f>IF(P130="","",COUNTIFS($A$6:$A$172,A130,$P$6:$P$172,"&gt;"&amp;P130)+COUNTIFS($A$6:A130,A130,$P$6:P130,P130))</x:f>
      </x:c>
      <x:c r="W130" s="584" t="str">
        <x:f>IF(Q130="","",COUNTIFS($A$6:$A$172,A130,$Q$6:$Q$172,"&gt;"&amp;Q130)+COUNTIFS($A$6:A130,A130,$Q$6:Q130,Q130))</x:f>
      </x:c>
      <x:c r="X130" s="584" t="str">
        <x:f>IF(R130="","",COUNTIFS($A$6:$A$172,A130,$R$6:$R$172,"&gt;"&amp;R130)+COUNTIFS($A$6:A130,A130,$R$6:R130,R130))</x:f>
      </x:c>
      <x:c r="Y130" s="572" t="str">
        <x:f>IF(V130="","",A130&amp;"|"&amp;V130)</x:f>
      </x:c>
      <x:c r="Z130" s="572" t="str">
        <x:f>IF(W130="","",A130&amp;"|"&amp;W130)</x:f>
      </x:c>
      <x:c r="AA130" s="572" t="str">
        <x:f>IF(X130="","",A130&amp;"|"&amp;X130)</x:f>
      </x:c>
      <x:c r="AB130" s="572" t="str">
        <x:f>IF(A130="","",IF(I130=0,"Offense neutral — no recorded offensive skills",IF(I130&lt;1,"Partial lookup — adjustment scaled",IF(AND(M130="Yes",AC130=0),"Offense adjusted; Guard neutral","Captured"))))</x:f>
        <x:v>Captured</x:v>
      </x:c>
      <x:c r="AC130" s="580" t="n">
        <x:f>IF(SUMIFS('Specialisation Impact'!$M$19:$M$186,'Specialisation Impact'!$A$19:$A$186,A130,'Specialisation Impact'!$B$19:$B$186,B130)=0,0,SUMIFS('Specialisation Impact'!$F$19:$F$186,'Specialisation Impact'!$A$19:$A$186,A130,'Specialisation Impact'!$B$19:$B$186,B130))</x:f>
        <x:v>1</x:v>
      </x:c>
    </x:row>
    <x:row r="131">
      <x:c r="A131" s="571" t="str">
        <x:v>K197</x:v>
      </x:c>
      <x:c r="B131" s="571" t="str">
        <x:v>Saku</x:v>
      </x:c>
      <x:c r="C131" s="575" t="n">
        <x:f>IF($A131="","",AVERAGE(100*((COUNTIF('All Stats'!$D$6:$D$172,"&lt;"&amp;'All Stats'!D131)+(COUNTIF('All Stats'!$D$6:$D$172,'All Stats'!D131)-1)/2)/(COUNT('All Stats'!$D$6:$D$172)-1))^'Specialisation Scenarios'!$X$10,100*((COUNTIF('All Stats'!$G$6:$G$172,"&lt;"&amp;'All Stats'!G131)+(COUNTIF('All Stats'!$G$6:$G$172,'All Stats'!G131)-1)/2)/(COUNT('All Stats'!$G$6:$G$172)-1))^'Specialisation Scenarios'!$X$10,100*((COUNTIF('All Stats'!$I$6:$I$172,"&lt;"&amp;'All Stats'!I131)+(COUNTIF('All Stats'!$I$6:$I$172,'All Stats'!I131)-1)/2)/(COUNT('All Stats'!$I$6:$I$172)-1))^'Specialisation Scenarios'!$X$10))</x:f>
        <x:v>66.12639144009933</x:v>
      </x:c>
      <x:c r="D131" s="575" t="n">
        <x:f>IF($A131="","",AVERAGE(100*((COUNTIF('All Stats'!$R$6:$R$172,"&lt;"&amp;'All Stats'!R131)+(COUNTIF('All Stats'!$R$6:$R$172,'All Stats'!R131)-1)/2)/(COUNT('All Stats'!$R$6:$R$172)-1))^'Specialisation Scenarios'!$X$10,100*((COUNTIF('All Stats'!$U$6:$U$172,"&lt;"&amp;'All Stats'!U131)+(COUNTIF('All Stats'!$U$6:$U$172,'All Stats'!U131)-1)/2)/(COUNT('All Stats'!$U$6:$U$172)-1))^'Specialisation Scenarios'!$X$10,100*((COUNTIF('All Stats'!$W$6:$W$172,"&lt;"&amp;'All Stats'!W131)+(COUNTIF('All Stats'!$W$6:$W$172,'All Stats'!W131)-1)/2)/(COUNT('All Stats'!$W$6:$W$172)-1))^'Specialisation Scenarios'!$X$10))</x:f>
        <x:v>59.9289024668694</x:v>
      </x:c>
      <x:c r="E131" s="575" t="n">
        <x:f>IF($A131="","",AVERAGE(100*((COUNTIF('All Stats'!$Y$6:$Y$172,"&lt;"&amp;'All Stats'!Y131)+(COUNTIF('All Stats'!$Y$6:$Y$172,'All Stats'!Y131)-1)/2)/(COUNT('All Stats'!$Y$6:$Y$172)-1))^'Specialisation Scenarios'!$X$10,100*((COUNTIF('All Stats'!$AB$6:$AB$172,"&lt;"&amp;'All Stats'!AB131)+(COUNTIF('All Stats'!$AB$6:$AB$172,'All Stats'!AB131)-1)/2)/(COUNT('All Stats'!$AB$6:$AB$172)-1))^'Specialisation Scenarios'!$X$10,100*((COUNTIF('All Stats'!$AD$6:$AD$172,"&lt;"&amp;'All Stats'!AD131)+(COUNTIF('All Stats'!$AD$6:$AD$172,'All Stats'!AD131)-1)/2)/(COUNT('All Stats'!$AD$6:$AD$172)-1))^'Specialisation Scenarios'!$X$10))</x:f>
        <x:v>84.24561559193576</x:v>
      </x:c>
      <x:c r="F131" s="575" t="n">
        <x:f>IF($A131="","",AVERAGE(100*((COUNTIF('All Stats'!$AF$6:$AF$172,"&lt;"&amp;'All Stats'!AF131)+(COUNTIF('All Stats'!$AF$6:$AF$172,'All Stats'!AF131)-1)/2)/(COUNT('All Stats'!$AF$6:$AF$172)-1))^'Specialisation Scenarios'!$X$10,100*((COUNTIF('All Stats'!$AI$6:$AI$172,"&lt;"&amp;'All Stats'!AI131)+(COUNTIF('All Stats'!$AI$6:$AI$172,'All Stats'!AI131)-1)/2)/(COUNT('All Stats'!$AI$6:$AI$172)-1))^'Specialisation Scenarios'!$X$10,100*((COUNTIF('All Stats'!$AK$6:$AK$172,"&lt;"&amp;'All Stats'!AK131)+(COUNTIF('All Stats'!$AK$6:$AK$172,'All Stats'!AK131)-1)/2)/(COUNT('All Stats'!$AK$6:$AK$172)-1))^'Specialisation Scenarios'!$X$10))</x:f>
        <x:v>65.80455288058066</x:v>
      </x:c>
      <x:c r="G131" s="575" t="n">
        <x:f>IF($A131="","",C131*'Specialisation Scenarios'!$X$11+D131*'Specialisation Scenarios'!$X$12+E131*'Specialisation Scenarios'!$X$13+F131*'Specialisation Scenarios'!$X$14)</x:f>
        <x:v>64.17154468741721</x:v>
      </x:c>
      <x:c r="H131" s="575" t="n">
        <x:f>IF(SUMIFS('Specialisation Impact'!$E$19:$E$186,'Specialisation Impact'!$A$19:$A$186,A131,'Specialisation Impact'!$B$19:$B$186,B131)=0,"",SUMIFS('Specialisation Impact'!$S$19:$S$186,'Specialisation Impact'!$A$19:$A$186,A131,'Specialisation Impact'!$B$19:$B$186,B131))</x:f>
        <x:v>75.84415584415585</x:v>
      </x:c>
      <x:c r="I131" s="579" t="n">
        <x:f>IF(SUMIFS('Specialisation Impact'!$E$19:$E$186,'Specialisation Impact'!$A$19:$A$186,A131,'Specialisation Impact'!$B$19:$B$186,B131)=0,0,SUMIFS('Specialisation Impact'!$F$19:$F$186,'Specialisation Impact'!$A$19:$A$186,A131,'Specialisation Impact'!$B$19:$B$186,B131))</x:f>
        <x:v>1</x:v>
      </x:c>
      <x:c r="J131" s="575" t="n">
        <x:f>G131</x:f>
        <x:v>64.17154468741721</x:v>
      </x:c>
      <x:c r="K131" s="575" t="n">
        <x:f>IF(G131="","",IF(I131=0,G131,MAX(0,MIN(100,G131*(1-'Specialisation Scenarios'!$B$8*I131)+H131*('Specialisation Scenarios'!$B$8*I131)))))</x:f>
        <x:v>67.08969747660187</x:v>
      </x:c>
      <x:c r="L131" s="575" t="n">
        <x:f>IF(G131="","",IF(I131=0,G131,MAX(0,MIN(100,G131*(1-'Specialisation Scenarios'!$B$9*I131)+H131*('Specialisation Scenarios'!$B$9*I131)))))</x:f>
        <x:v>68.25695859227574</x:v>
      </x:c>
      <x:c r="M131" s="575" t="str">
        <x:f>IF(COUNTIFS('Tank &amp; Control'!$A$23:$A$189,A131,'Tank &amp; Control'!$B$23:$B$189,B131,'Tank &amp; Control'!$C$23:$C$189,"Yes")&gt;0,"Yes","No")</x:f>
        <x:v>Yes</x:v>
      </x:c>
      <x:c r="N131" s="575" t="n">
        <x:f>IF(M131&lt;&gt;"Yes","",SUMIFS('Tank &amp; Control'!$L$23:$L$189,'Tank &amp; Control'!$A$23:$A$189,A131,'Tank &amp; Control'!$B$23:$B$189,B131))</x:f>
        <x:v>14.774613850775083</x:v>
      </x:c>
      <x:c r="O131" s="575" t="str">
        <x:f>IF(SUMIFS('Specialisation Impact'!$M$19:$M$186,'Specialisation Impact'!$A$19:$A$186,A131,'Specialisation Impact'!$B$19:$B$186,B131)=0,"",SUMIFS('Specialisation Impact'!$V$19:$V$186,'Specialisation Impact'!$A$19:$A$186,A131,'Specialisation Impact'!$B$19:$B$186,B131))</x:f>
      </x:c>
      <x:c r="P131" s="575" t="n">
        <x:f>IF(N131="","",N131)</x:f>
        <x:v>14.774613850775083</x:v>
      </x:c>
      <x:c r="Q131" s="575" t="n">
        <x:f>IF(N131="","",IF(AC131=0,N131,MAX(0,MIN(100,N131*(1-'Specialisation Scenarios'!$B$8*AC131)+O131*('Specialisation Scenarios'!$B$8*AC131)))))</x:f>
        <x:v>14.774613850775083</x:v>
      </x:c>
      <x:c r="R131" s="575" t="n">
        <x:f>IF(N131="","",IF(AC131=0,N131,MAX(0,MIN(100,N131*(1-'Specialisation Scenarios'!$B$9*AC131)+O131*('Specialisation Scenarios'!$B$9*AC131)))))</x:f>
        <x:v>14.774613850775083</x:v>
      </x:c>
      <x:c r="S131" s="583" t="n">
        <x:f>IF(J131="","",COUNTIFS($A$6:$A$172,A131,$J$6:$J$172,"&gt;"&amp;J131)+COUNTIFS($A$6:A131,A131,$J$6:J131,J131))</x:f>
        <x:v>3</x:v>
      </x:c>
      <x:c r="T131" s="583" t="n">
        <x:f>IF(K131="","",COUNTIFS($A$6:$A$172,A131,$K$6:$K$172,"&gt;"&amp;K131)+COUNTIFS($A$6:A131,A131,$K$6:K131,K131))</x:f>
        <x:v>3</x:v>
      </x:c>
      <x:c r="U131" s="583" t="n">
        <x:f>IF(L131="","",COUNTIFS($A$6:$A$172,A131,$L$6:$L$172,"&gt;"&amp;L131)+COUNTIFS($A$6:A131,A131,$L$6:L131,L131))</x:f>
        <x:v>3</x:v>
      </x:c>
      <x:c r="V131" s="583" t="n">
        <x:f>IF(P131="","",COUNTIFS($A$6:$A$172,A131,$P$6:$P$172,"&gt;"&amp;P131)+COUNTIFS($A$6:A131,A131,$P$6:P131,P131))</x:f>
        <x:v>4</x:v>
      </x:c>
      <x:c r="W131" s="583" t="n">
        <x:f>IF(Q131="","",COUNTIFS($A$6:$A$172,A131,$Q$6:$Q$172,"&gt;"&amp;Q131)+COUNTIFS($A$6:A131,A131,$Q$6:Q131,Q131))</x:f>
        <x:v>4</x:v>
      </x:c>
      <x:c r="X131" s="583" t="n">
        <x:f>IF(R131="","",COUNTIFS($A$6:$A$172,A131,$R$6:$R$172,"&gt;"&amp;R131)+COUNTIFS($A$6:A131,A131,$R$6:R131,R131))</x:f>
        <x:v>4</x:v>
      </x:c>
      <x:c r="Y131" s="571" t="str">
        <x:f>IF(V131="","",A131&amp;"|"&amp;V131)</x:f>
        <x:v>K197|4</x:v>
      </x:c>
      <x:c r="Z131" s="571" t="str">
        <x:f>IF(W131="","",A131&amp;"|"&amp;W131)</x:f>
        <x:v>K197|4</x:v>
      </x:c>
      <x:c r="AA131" s="571" t="str">
        <x:f>IF(X131="","",A131&amp;"|"&amp;X131)</x:f>
        <x:v>K197|4</x:v>
      </x:c>
      <x:c r="AB131" s="571" t="str">
        <x:f>IF(A131="","",IF(I131=0,"Offense neutral — no recorded offensive skills",IF(I131&lt;1,"Partial lookup — adjustment scaled",IF(AND(M131="Yes",AC131=0),"Offense adjusted; Guard neutral","Captured"))))</x:f>
        <x:v>Offense adjusted; Guard neutral</x:v>
      </x:c>
      <x:c r="AC131" s="579" t="n">
        <x:f>IF(SUMIFS('Specialisation Impact'!$M$19:$M$186,'Specialisation Impact'!$A$19:$A$186,A131,'Specialisation Impact'!$B$19:$B$186,B131)=0,0,SUMIFS('Specialisation Impact'!$F$19:$F$186,'Specialisation Impact'!$A$19:$A$186,A131,'Specialisation Impact'!$B$19:$B$186,B131))</x:f>
        <x:v>0</x:v>
      </x:c>
    </x:row>
    <x:row r="132">
      <x:c r="A132" s="572" t="str">
        <x:v>K197</x:v>
      </x:c>
      <x:c r="B132" s="572" t="str">
        <x:v>Бапм</x:v>
      </x:c>
      <x:c r="C132" s="576" t="n">
        <x:f>IF($A132="","",AVERAGE(100*((COUNTIF('All Stats'!$D$6:$D$172,"&lt;"&amp;'All Stats'!D132)+(COUNTIF('All Stats'!$D$6:$D$172,'All Stats'!D132)-1)/2)/(COUNT('All Stats'!$D$6:$D$172)-1))^'Specialisation Scenarios'!$X$10,100*((COUNTIF('All Stats'!$G$6:$G$172,"&lt;"&amp;'All Stats'!G132)+(COUNTIF('All Stats'!$G$6:$G$172,'All Stats'!G132)-1)/2)/(COUNT('All Stats'!$G$6:$G$172)-1))^'Specialisation Scenarios'!$X$10,100*((COUNTIF('All Stats'!$I$6:$I$172,"&lt;"&amp;'All Stats'!I132)+(COUNTIF('All Stats'!$I$6:$I$172,'All Stats'!I132)-1)/2)/(COUNT('All Stats'!$I$6:$I$172)-1))^'Specialisation Scenarios'!$X$10))</x:f>
        <x:v>7.165127227940485</x:v>
      </x:c>
      <x:c r="D132" s="576" t="n">
        <x:f>IF($A132="","",AVERAGE(100*((COUNTIF('All Stats'!$R$6:$R$172,"&lt;"&amp;'All Stats'!R132)+(COUNTIF('All Stats'!$R$6:$R$172,'All Stats'!R132)-1)/2)/(COUNT('All Stats'!$R$6:$R$172)-1))^'Specialisation Scenarios'!$X$10,100*((COUNTIF('All Stats'!$U$6:$U$172,"&lt;"&amp;'All Stats'!U132)+(COUNTIF('All Stats'!$U$6:$U$172,'All Stats'!U132)-1)/2)/(COUNT('All Stats'!$U$6:$U$172)-1))^'Specialisation Scenarios'!$X$10,100*((COUNTIF('All Stats'!$W$6:$W$172,"&lt;"&amp;'All Stats'!W132)+(COUNTIF('All Stats'!$W$6:$W$172,'All Stats'!W132)-1)/2)/(COUNT('All Stats'!$W$6:$W$172)-1))^'Specialisation Scenarios'!$X$10))</x:f>
        <x:v>26.109448434248545</x:v>
      </x:c>
      <x:c r="E132" s="576" t="n">
        <x:f>IF($A132="","",AVERAGE(100*((COUNTIF('All Stats'!$Y$6:$Y$172,"&lt;"&amp;'All Stats'!Y132)+(COUNTIF('All Stats'!$Y$6:$Y$172,'All Stats'!Y132)-1)/2)/(COUNT('All Stats'!$Y$6:$Y$172)-1))^'Specialisation Scenarios'!$X$10,100*((COUNTIF('All Stats'!$AB$6:$AB$172,"&lt;"&amp;'All Stats'!AB132)+(COUNTIF('All Stats'!$AB$6:$AB$172,'All Stats'!AB132)-1)/2)/(COUNT('All Stats'!$AB$6:$AB$172)-1))^'Specialisation Scenarios'!$X$10,100*((COUNTIF('All Stats'!$AD$6:$AD$172,"&lt;"&amp;'All Stats'!AD132)+(COUNTIF('All Stats'!$AD$6:$AD$172,'All Stats'!AD132)-1)/2)/(COUNT('All Stats'!$AD$6:$AD$172)-1))^'Specialisation Scenarios'!$X$10))</x:f>
        <x:v>0.02343241641757464</x:v>
      </x:c>
      <x:c r="F132" s="576" t="n">
        <x:f>IF($A132="","",AVERAGE(100*((COUNTIF('All Stats'!$AF$6:$AF$172,"&lt;"&amp;'All Stats'!AF132)+(COUNTIF('All Stats'!$AF$6:$AF$172,'All Stats'!AF132)-1)/2)/(COUNT('All Stats'!$AF$6:$AF$172)-1))^'Specialisation Scenarios'!$X$10,100*((COUNTIF('All Stats'!$AI$6:$AI$172,"&lt;"&amp;'All Stats'!AI132)+(COUNTIF('All Stats'!$AI$6:$AI$172,'All Stats'!AI132)-1)/2)/(COUNT('All Stats'!$AI$6:$AI$172)-1))^'Specialisation Scenarios'!$X$10,100*((COUNTIF('All Stats'!$AK$6:$AK$172,"&lt;"&amp;'All Stats'!AK132)+(COUNTIF('All Stats'!$AK$6:$AK$172,'All Stats'!AK132)-1)/2)/(COUNT('All Stats'!$AK$6:$AK$172)-1))^'Specialisation Scenarios'!$X$10))</x:f>
        <x:v>1.4598863788355232</x:v>
      </x:c>
      <x:c r="G132" s="576" t="n">
        <x:f>IF($A132="","",C132*'Specialisation Scenarios'!$X$11+D132*'Specialisation Scenarios'!$X$12+E132*'Specialisation Scenarios'!$X$13+F132*'Specialisation Scenarios'!$X$14)</x:f>
        <x:v>16.961764343207285</x:v>
      </x:c>
      <x:c r="H132" s="576" t="n">
        <x:f>IF(SUMIFS('Specialisation Impact'!$E$19:$E$186,'Specialisation Impact'!$A$19:$A$186,A132,'Specialisation Impact'!$B$19:$B$186,B132)=0,"",SUMIFS('Specialisation Impact'!$S$19:$S$186,'Specialisation Impact'!$A$19:$A$186,A132,'Specialisation Impact'!$B$19:$B$186,B132))</x:f>
        <x:v>29.48051948051948</x:v>
      </x:c>
      <x:c r="I132" s="580" t="n">
        <x:f>IF(SUMIFS('Specialisation Impact'!$E$19:$E$186,'Specialisation Impact'!$A$19:$A$186,A132,'Specialisation Impact'!$B$19:$B$186,B132)=0,0,SUMIFS('Specialisation Impact'!$F$19:$F$186,'Specialisation Impact'!$A$19:$A$186,A132,'Specialisation Impact'!$B$19:$B$186,B132))</x:f>
        <x:v>1</x:v>
      </x:c>
      <x:c r="J132" s="576" t="n">
        <x:f>G132</x:f>
        <x:v>16.961764343207285</x:v>
      </x:c>
      <x:c r="K132" s="576" t="n">
        <x:f>IF(G132="","",IF(I132=0,G132,MAX(0,MIN(100,G132*(1-'Specialisation Scenarios'!$B$8*I132)+H132*('Specialisation Scenarios'!$B$8*I132)))))</x:f>
        <x:v>20.091453127535335</x:v>
      </x:c>
      <x:c r="L132" s="576" t="n">
        <x:f>IF(G132="","",IF(I132=0,G132,MAX(0,MIN(100,G132*(1-'Specialisation Scenarios'!$B$9*I132)+H132*('Specialisation Scenarios'!$B$9*I132)))))</x:f>
        <x:v>21.343328641266552</x:v>
      </x:c>
      <x:c r="M132" s="576" t="str">
        <x:f>IF(COUNTIFS('Tank &amp; Control'!$A$23:$A$189,A132,'Tank &amp; Control'!$B$23:$B$189,B132,'Tank &amp; Control'!$C$23:$C$189,"Yes")&gt;0,"Yes","No")</x:f>
        <x:v>No</x:v>
      </x:c>
      <x:c r="N132" s="576" t="str">
        <x:f>IF(M132&lt;&gt;"Yes","",SUMIFS('Tank &amp; Control'!$L$23:$L$189,'Tank &amp; Control'!$A$23:$A$189,A132,'Tank &amp; Control'!$B$23:$B$189,B132))</x:f>
      </x:c>
      <x:c r="O132" s="576" t="str">
        <x:f>IF(SUMIFS('Specialisation Impact'!$M$19:$M$186,'Specialisation Impact'!$A$19:$A$186,A132,'Specialisation Impact'!$B$19:$B$186,B132)=0,"",SUMIFS('Specialisation Impact'!$V$19:$V$186,'Specialisation Impact'!$A$19:$A$186,A132,'Specialisation Impact'!$B$19:$B$186,B132))</x:f>
      </x:c>
      <x:c r="P132" s="576" t="str">
        <x:f>IF(N132="","",N132)</x:f>
      </x:c>
      <x:c r="Q132" s="576" t="str">
        <x:f>IF(N132="","",IF(AC132=0,N132,MAX(0,MIN(100,N132*(1-'Specialisation Scenarios'!$B$8*AC132)+O132*('Specialisation Scenarios'!$B$8*AC132)))))</x:f>
      </x:c>
      <x:c r="R132" s="576" t="str">
        <x:f>IF(N132="","",IF(AC132=0,N132,MAX(0,MIN(100,N132*(1-'Specialisation Scenarios'!$B$9*AC132)+O132*('Specialisation Scenarios'!$B$9*AC132)))))</x:f>
      </x:c>
      <x:c r="S132" s="584" t="n">
        <x:f>IF(J132="","",COUNTIFS($A$6:$A$172,A132,$J$6:$J$172,"&gt;"&amp;J132)+COUNTIFS($A$6:A132,A132,$J$6:J132,J132))</x:f>
        <x:v>12</x:v>
      </x:c>
      <x:c r="T132" s="584" t="n">
        <x:f>IF(K132="","",COUNTIFS($A$6:$A$172,A132,$K$6:$K$172,"&gt;"&amp;K132)+COUNTIFS($A$6:A132,A132,$K$6:K132,K132))</x:f>
        <x:v>12</x:v>
      </x:c>
      <x:c r="U132" s="584" t="n">
        <x:f>IF(L132="","",COUNTIFS($A$6:$A$172,A132,$L$6:$L$172,"&gt;"&amp;L132)+COUNTIFS($A$6:A132,A132,$L$6:L132,L132))</x:f>
        <x:v>12</x:v>
      </x:c>
      <x:c r="V132" s="584" t="str">
        <x:f>IF(P132="","",COUNTIFS($A$6:$A$172,A132,$P$6:$P$172,"&gt;"&amp;P132)+COUNTIFS($A$6:A132,A132,$P$6:P132,P132))</x:f>
      </x:c>
      <x:c r="W132" s="584" t="str">
        <x:f>IF(Q132="","",COUNTIFS($A$6:$A$172,A132,$Q$6:$Q$172,"&gt;"&amp;Q132)+COUNTIFS($A$6:A132,A132,$Q$6:Q132,Q132))</x:f>
      </x:c>
      <x:c r="X132" s="584" t="str">
        <x:f>IF(R132="","",COUNTIFS($A$6:$A$172,A132,$R$6:$R$172,"&gt;"&amp;R132)+COUNTIFS($A$6:A132,A132,$R$6:R132,R132))</x:f>
      </x:c>
      <x:c r="Y132" s="572" t="str">
        <x:f>IF(V132="","",A132&amp;"|"&amp;V132)</x:f>
      </x:c>
      <x:c r="Z132" s="572" t="str">
        <x:f>IF(W132="","",A132&amp;"|"&amp;W132)</x:f>
      </x:c>
      <x:c r="AA132" s="572" t="str">
        <x:f>IF(X132="","",A132&amp;"|"&amp;X132)</x:f>
      </x:c>
      <x:c r="AB132" s="572" t="str">
        <x:f>IF(A132="","",IF(I132=0,"Offense neutral — no recorded offensive skills",IF(I132&lt;1,"Partial lookup — adjustment scaled",IF(AND(M132="Yes",AC132=0),"Offense adjusted; Guard neutral","Captured"))))</x:f>
        <x:v>Captured</x:v>
      </x:c>
      <x:c r="AC132" s="580" t="n">
        <x:f>IF(SUMIFS('Specialisation Impact'!$M$19:$M$186,'Specialisation Impact'!$A$19:$A$186,A132,'Specialisation Impact'!$B$19:$B$186,B132)=0,0,SUMIFS('Specialisation Impact'!$F$19:$F$186,'Specialisation Impact'!$A$19:$A$186,A132,'Specialisation Impact'!$B$19:$B$186,B132))</x:f>
        <x:v>0</x:v>
      </x:c>
    </x:row>
    <x:row r="133">
      <x:c r="A133" s="571" t="str">
        <x:v>K197</x:v>
      </x:c>
      <x:c r="B133" s="571" t="str">
        <x:v>Oiuuuuuuuuuuuuu</x:v>
      </x:c>
      <x:c r="C133" s="575" t="n">
        <x:f>IF($A133="","",AVERAGE(100*((COUNTIF('All Stats'!$D$6:$D$172,"&lt;"&amp;'All Stats'!D133)+(COUNTIF('All Stats'!$D$6:$D$172,'All Stats'!D133)-1)/2)/(COUNT('All Stats'!$D$6:$D$172)-1))^'Specialisation Scenarios'!$X$10,100*((COUNTIF('All Stats'!$G$6:$G$172,"&lt;"&amp;'All Stats'!G133)+(COUNTIF('All Stats'!$G$6:$G$172,'All Stats'!G133)-1)/2)/(COUNT('All Stats'!$G$6:$G$172)-1))^'Specialisation Scenarios'!$X$10,100*((COUNTIF('All Stats'!$I$6:$I$172,"&lt;"&amp;'All Stats'!I133)+(COUNTIF('All Stats'!$I$6:$I$172,'All Stats'!I133)-1)/2)/(COUNT('All Stats'!$I$6:$I$172)-1))^'Specialisation Scenarios'!$X$10))</x:f>
        <x:v>70.32490229324537</x:v>
      </x:c>
      <x:c r="D133" s="575" t="n">
        <x:f>IF($A133="","",AVERAGE(100*((COUNTIF('All Stats'!$R$6:$R$172,"&lt;"&amp;'All Stats'!R133)+(COUNTIF('All Stats'!$R$6:$R$172,'All Stats'!R133)-1)/2)/(COUNT('All Stats'!$R$6:$R$172)-1))^'Specialisation Scenarios'!$X$10,100*((COUNTIF('All Stats'!$U$6:$U$172,"&lt;"&amp;'All Stats'!U133)+(COUNTIF('All Stats'!$U$6:$U$172,'All Stats'!U133)-1)/2)/(COUNT('All Stats'!$U$6:$U$172)-1))^'Specialisation Scenarios'!$X$10,100*((COUNTIF('All Stats'!$W$6:$W$172,"&lt;"&amp;'All Stats'!W133)+(COUNTIF('All Stats'!$W$6:$W$172,'All Stats'!W133)-1)/2)/(COUNT('All Stats'!$W$6:$W$172)-1))^'Specialisation Scenarios'!$X$10))</x:f>
        <x:v>13.57426069660013</x:v>
      </x:c>
      <x:c r="E133" s="575" t="n">
        <x:f>IF($A133="","",AVERAGE(100*((COUNTIF('All Stats'!$Y$6:$Y$172,"&lt;"&amp;'All Stats'!Y133)+(COUNTIF('All Stats'!$Y$6:$Y$172,'All Stats'!Y133)-1)/2)/(COUNT('All Stats'!$Y$6:$Y$172)-1))^'Specialisation Scenarios'!$X$10,100*((COUNTIF('All Stats'!$AB$6:$AB$172,"&lt;"&amp;'All Stats'!AB133)+(COUNTIF('All Stats'!$AB$6:$AB$172,'All Stats'!AB133)-1)/2)/(COUNT('All Stats'!$AB$6:$AB$172)-1))^'Specialisation Scenarios'!$X$10,100*((COUNTIF('All Stats'!$AD$6:$AD$172,"&lt;"&amp;'All Stats'!AD133)+(COUNTIF('All Stats'!$AD$6:$AD$172,'All Stats'!AD133)-1)/2)/(COUNT('All Stats'!$AD$6:$AD$172)-1))^'Specialisation Scenarios'!$X$10))</x:f>
        <x:v>57.63376912836415</x:v>
      </x:c>
      <x:c r="F133" s="575" t="n">
        <x:f>IF($A133="","",AVERAGE(100*((COUNTIF('All Stats'!$AF$6:$AF$172,"&lt;"&amp;'All Stats'!AF133)+(COUNTIF('All Stats'!$AF$6:$AF$172,'All Stats'!AF133)-1)/2)/(COUNT('All Stats'!$AF$6:$AF$172)-1))^'Specialisation Scenarios'!$X$10,100*((COUNTIF('All Stats'!$AI$6:$AI$172,"&lt;"&amp;'All Stats'!AI133)+(COUNTIF('All Stats'!$AI$6:$AI$172,'All Stats'!AI133)-1)/2)/(COUNT('All Stats'!$AI$6:$AI$172)-1))^'Specialisation Scenarios'!$X$10,100*((COUNTIF('All Stats'!$AK$6:$AK$172,"&lt;"&amp;'All Stats'!AK133)+(COUNTIF('All Stats'!$AK$6:$AK$172,'All Stats'!AK133)-1)/2)/(COUNT('All Stats'!$AK$6:$AK$172)-1))^'Specialisation Scenarios'!$X$10))</x:f>
        <x:v>18.640800360067956</x:v>
      </x:c>
      <x:c r="G133" s="575" t="n">
        <x:f>IF($A133="","",C133*'Specialisation Scenarios'!$X$11+D133*'Specialisation Scenarios'!$X$12+E133*'Specialisation Scenarios'!$X$13+F133*'Specialisation Scenarios'!$X$14)</x:f>
        <x:v>27.252788728793487</x:v>
      </x:c>
      <x:c r="H133" s="575" t="n">
        <x:f>IF(SUMIFS('Specialisation Impact'!$E$19:$E$186,'Specialisation Impact'!$A$19:$A$186,A133,'Specialisation Impact'!$B$19:$B$186,B133)=0,"",SUMIFS('Specialisation Impact'!$S$19:$S$186,'Specialisation Impact'!$A$19:$A$186,A133,'Specialisation Impact'!$B$19:$B$186,B133))</x:f>
        <x:v>29.48051948051948</x:v>
      </x:c>
      <x:c r="I133" s="579" t="n">
        <x:f>IF(SUMIFS('Specialisation Impact'!$E$19:$E$186,'Specialisation Impact'!$A$19:$A$186,A133,'Specialisation Impact'!$B$19:$B$186,B133)=0,0,SUMIFS('Specialisation Impact'!$F$19:$F$186,'Specialisation Impact'!$A$19:$A$186,A133,'Specialisation Impact'!$B$19:$B$186,B133))</x:f>
        <x:v>1</x:v>
      </x:c>
      <x:c r="J133" s="575" t="n">
        <x:f>G133</x:f>
        <x:v>27.252788728793487</x:v>
      </x:c>
      <x:c r="K133" s="575" t="n">
        <x:f>IF(G133="","",IF(I133=0,G133,MAX(0,MIN(100,G133*(1-'Specialisation Scenarios'!$B$8*I133)+H133*('Specialisation Scenarios'!$B$8*I133)))))</x:f>
        <x:v>27.809721416724983</x:v>
      </x:c>
      <x:c r="L133" s="575" t="n">
        <x:f>IF(G133="","",IF(I133=0,G133,MAX(0,MIN(100,G133*(1-'Specialisation Scenarios'!$B$9*I133)+H133*('Specialisation Scenarios'!$B$9*I133)))))</x:f>
        <x:v>28.032494491897584</x:v>
      </x:c>
      <x:c r="M133" s="575" t="str">
        <x:f>IF(COUNTIFS('Tank &amp; Control'!$A$23:$A$189,A133,'Tank &amp; Control'!$B$23:$B$189,B133,'Tank &amp; Control'!$C$23:$C$189,"Yes")&gt;0,"Yes","No")</x:f>
        <x:v>No</x:v>
      </x:c>
      <x:c r="N133" s="575" t="str">
        <x:f>IF(M133&lt;&gt;"Yes","",SUMIFS('Tank &amp; Control'!$L$23:$L$189,'Tank &amp; Control'!$A$23:$A$189,A133,'Tank &amp; Control'!$B$23:$B$189,B133))</x:f>
      </x:c>
      <x:c r="O133" s="575" t="n">
        <x:f>IF(SUMIFS('Specialisation Impact'!$M$19:$M$186,'Specialisation Impact'!$A$19:$A$186,A133,'Specialisation Impact'!$B$19:$B$186,B133)=0,"",SUMIFS('Specialisation Impact'!$V$19:$V$186,'Specialisation Impact'!$A$19:$A$186,A133,'Specialisation Impact'!$B$19:$B$186,B133))</x:f>
        <x:v>29.48717948717949</x:v>
      </x:c>
      <x:c r="P133" s="575" t="str">
        <x:f>IF(N133="","",N133)</x:f>
      </x:c>
      <x:c r="Q133" s="575" t="str">
        <x:f>IF(N133="","",IF(AC133=0,N133,MAX(0,MIN(100,N133*(1-'Specialisation Scenarios'!$B$8*AC133)+O133*('Specialisation Scenarios'!$B$8*AC133)))))</x:f>
      </x:c>
      <x:c r="R133" s="575" t="str">
        <x:f>IF(N133="","",IF(AC133=0,N133,MAX(0,MIN(100,N133*(1-'Specialisation Scenarios'!$B$9*AC133)+O133*('Specialisation Scenarios'!$B$9*AC133)))))</x:f>
      </x:c>
      <x:c r="S133" s="583" t="n">
        <x:f>IF(J133="","",COUNTIFS($A$6:$A$172,A133,$J$6:$J$172,"&gt;"&amp;J133)+COUNTIFS($A$6:A133,A133,$J$6:J133,J133))</x:f>
        <x:v>8</x:v>
      </x:c>
      <x:c r="T133" s="583" t="n">
        <x:f>IF(K133="","",COUNTIFS($A$6:$A$172,A133,$K$6:$K$172,"&gt;"&amp;K133)+COUNTIFS($A$6:A133,A133,$K$6:K133,K133))</x:f>
        <x:v>8</x:v>
      </x:c>
      <x:c r="U133" s="583" t="n">
        <x:f>IF(L133="","",COUNTIFS($A$6:$A$172,A133,$L$6:$L$172,"&gt;"&amp;L133)+COUNTIFS($A$6:A133,A133,$L$6:L133,L133))</x:f>
        <x:v>8</x:v>
      </x:c>
      <x:c r="V133" s="583" t="str">
        <x:f>IF(P133="","",COUNTIFS($A$6:$A$172,A133,$P$6:$P$172,"&gt;"&amp;P133)+COUNTIFS($A$6:A133,A133,$P$6:P133,P133))</x:f>
      </x:c>
      <x:c r="W133" s="583" t="str">
        <x:f>IF(Q133="","",COUNTIFS($A$6:$A$172,A133,$Q$6:$Q$172,"&gt;"&amp;Q133)+COUNTIFS($A$6:A133,A133,$Q$6:Q133,Q133))</x:f>
      </x:c>
      <x:c r="X133" s="583" t="str">
        <x:f>IF(R133="","",COUNTIFS($A$6:$A$172,A133,$R$6:$R$172,"&gt;"&amp;R133)+COUNTIFS($A$6:A133,A133,$R$6:R133,R133))</x:f>
      </x:c>
      <x:c r="Y133" s="571" t="str">
        <x:f>IF(V133="","",A133&amp;"|"&amp;V133)</x:f>
      </x:c>
      <x:c r="Z133" s="571" t="str">
        <x:f>IF(W133="","",A133&amp;"|"&amp;W133)</x:f>
      </x:c>
      <x:c r="AA133" s="571" t="str">
        <x:f>IF(X133="","",A133&amp;"|"&amp;X133)</x:f>
      </x:c>
      <x:c r="AB133" s="571" t="str">
        <x:f>IF(A133="","",IF(I133=0,"Offense neutral — no recorded offensive skills",IF(I133&lt;1,"Partial lookup — adjustment scaled",IF(AND(M133="Yes",AC133=0),"Offense adjusted; Guard neutral","Captured"))))</x:f>
        <x:v>Captured</x:v>
      </x:c>
      <x:c r="AC133" s="579" t="n">
        <x:f>IF(SUMIFS('Specialisation Impact'!$M$19:$M$186,'Specialisation Impact'!$A$19:$A$186,A133,'Specialisation Impact'!$B$19:$B$186,B133)=0,0,SUMIFS('Specialisation Impact'!$F$19:$F$186,'Specialisation Impact'!$A$19:$A$186,A133,'Specialisation Impact'!$B$19:$B$186,B133))</x:f>
        <x:v>1</x:v>
      </x:c>
    </x:row>
    <x:row r="134">
      <x:c r="A134" s="572" t="str">
        <x:v>K197</x:v>
      </x:c>
      <x:c r="B134" s="572" t="str">
        <x:v>々нυηтєя々</x:v>
      </x:c>
      <x:c r="C134" s="576" t="n">
        <x:f>IF($A134="","",AVERAGE(100*((COUNTIF('All Stats'!$D$6:$D$172,"&lt;"&amp;'All Stats'!D134)+(COUNTIF('All Stats'!$D$6:$D$172,'All Stats'!D134)-1)/2)/(COUNT('All Stats'!$D$6:$D$172)-1))^'Specialisation Scenarios'!$X$10,100*((COUNTIF('All Stats'!$G$6:$G$172,"&lt;"&amp;'All Stats'!G134)+(COUNTIF('All Stats'!$G$6:$G$172,'All Stats'!G134)-1)/2)/(COUNT('All Stats'!$G$6:$G$172)-1))^'Specialisation Scenarios'!$X$10,100*((COUNTIF('All Stats'!$I$6:$I$172,"&lt;"&amp;'All Stats'!I134)+(COUNTIF('All Stats'!$I$6:$I$172,'All Stats'!I134)-1)/2)/(COUNT('All Stats'!$I$6:$I$172)-1))^'Specialisation Scenarios'!$X$10))</x:f>
        <x:v>33.81397232874076</x:v>
      </x:c>
      <x:c r="D134" s="576" t="n">
        <x:f>IF($A134="","",AVERAGE(100*((COUNTIF('All Stats'!$R$6:$R$172,"&lt;"&amp;'All Stats'!R134)+(COUNTIF('All Stats'!$R$6:$R$172,'All Stats'!R134)-1)/2)/(COUNT('All Stats'!$R$6:$R$172)-1))^'Specialisation Scenarios'!$X$10,100*((COUNTIF('All Stats'!$U$6:$U$172,"&lt;"&amp;'All Stats'!U134)+(COUNTIF('All Stats'!$U$6:$U$172,'All Stats'!U134)-1)/2)/(COUNT('All Stats'!$U$6:$U$172)-1))^'Specialisation Scenarios'!$X$10,100*((COUNTIF('All Stats'!$W$6:$W$172,"&lt;"&amp;'All Stats'!W134)+(COUNTIF('All Stats'!$W$6:$W$172,'All Stats'!W134)-1)/2)/(COUNT('All Stats'!$W$6:$W$172)-1))^'Specialisation Scenarios'!$X$10))</x:f>
        <x:v>5.100970015551991</x:v>
      </x:c>
      <x:c r="E134" s="576" t="n">
        <x:f>IF($A134="","",AVERAGE(100*((COUNTIF('All Stats'!$Y$6:$Y$172,"&lt;"&amp;'All Stats'!Y134)+(COUNTIF('All Stats'!$Y$6:$Y$172,'All Stats'!Y134)-1)/2)/(COUNT('All Stats'!$Y$6:$Y$172)-1))^'Specialisation Scenarios'!$X$10,100*((COUNTIF('All Stats'!$AB$6:$AB$172,"&lt;"&amp;'All Stats'!AB134)+(COUNTIF('All Stats'!$AB$6:$AB$172,'All Stats'!AB134)-1)/2)/(COUNT('All Stats'!$AB$6:$AB$172)-1))^'Specialisation Scenarios'!$X$10,100*((COUNTIF('All Stats'!$AD$6:$AD$172,"&lt;"&amp;'All Stats'!AD134)+(COUNTIF('All Stats'!$AD$6:$AD$172,'All Stats'!AD134)-1)/2)/(COUNT('All Stats'!$AD$6:$AD$172)-1))^'Specialisation Scenarios'!$X$10))</x:f>
        <x:v>54.103495633555376</x:v>
      </x:c>
      <x:c r="F134" s="576" t="n">
        <x:f>IF($A134="","",AVERAGE(100*((COUNTIF('All Stats'!$AF$6:$AF$172,"&lt;"&amp;'All Stats'!AF134)+(COUNTIF('All Stats'!$AF$6:$AF$172,'All Stats'!AF134)-1)/2)/(COUNT('All Stats'!$AF$6:$AF$172)-1))^'Specialisation Scenarios'!$X$10,100*((COUNTIF('All Stats'!$AI$6:$AI$172,"&lt;"&amp;'All Stats'!AI134)+(COUNTIF('All Stats'!$AI$6:$AI$172,'All Stats'!AI134)-1)/2)/(COUNT('All Stats'!$AI$6:$AI$172)-1))^'Specialisation Scenarios'!$X$10,100*((COUNTIF('All Stats'!$AK$6:$AK$172,"&lt;"&amp;'All Stats'!AK134)+(COUNTIF('All Stats'!$AK$6:$AK$172,'All Stats'!AK134)-1)/2)/(COUNT('All Stats'!$AK$6:$AK$172)-1))^'Specialisation Scenarios'!$X$10))</x:f>
        <x:v>5.78066028755277</x:v>
      </x:c>
      <x:c r="G134" s="576" t="n">
        <x:f>IF($A134="","",C134*'Specialisation Scenarios'!$X$11+D134*'Specialisation Scenarios'!$X$12+E134*'Specialisation Scenarios'!$X$13+F134*'Specialisation Scenarios'!$X$14)</x:f>
        <x:v>14.410126465130762</x:v>
      </x:c>
      <x:c r="H134" s="576" t="n">
        <x:f>IF(SUMIFS('Specialisation Impact'!$E$19:$E$186,'Specialisation Impact'!$A$19:$A$186,A134,'Specialisation Impact'!$B$19:$B$186,B134)=0,"",SUMIFS('Specialisation Impact'!$S$19:$S$186,'Specialisation Impact'!$A$19:$A$186,A134,'Specialisation Impact'!$B$19:$B$186,B134))</x:f>
        <x:v>9.935064935064934</x:v>
      </x:c>
      <x:c r="I134" s="580" t="n">
        <x:f>IF(SUMIFS('Specialisation Impact'!$E$19:$E$186,'Specialisation Impact'!$A$19:$A$186,A134,'Specialisation Impact'!$B$19:$B$186,B134)=0,0,SUMIFS('Specialisation Impact'!$F$19:$F$186,'Specialisation Impact'!$A$19:$A$186,A134,'Specialisation Impact'!$B$19:$B$186,B134))</x:f>
        <x:v>1</x:v>
      </x:c>
      <x:c r="J134" s="576" t="n">
        <x:f>G134</x:f>
        <x:v>14.410126465130762</x:v>
      </x:c>
      <x:c r="K134" s="576" t="n">
        <x:f>IF(G134="","",IF(I134=0,G134,MAX(0,MIN(100,G134*(1-'Specialisation Scenarios'!$B$8*I134)+H134*('Specialisation Scenarios'!$B$8*I134)))))</x:f>
        <x:v>13.291361082614307</x:v>
      </x:c>
      <x:c r="L134" s="576" t="n">
        <x:f>IF(G134="","",IF(I134=0,G134,MAX(0,MIN(100,G134*(1-'Specialisation Scenarios'!$B$9*I134)+H134*('Specialisation Scenarios'!$B$9*I134)))))</x:f>
        <x:v>12.843854929607723</x:v>
      </x:c>
      <x:c r="M134" s="576" t="str">
        <x:f>IF(COUNTIFS('Tank &amp; Control'!$A$23:$A$189,A134,'Tank &amp; Control'!$B$23:$B$189,B134,'Tank &amp; Control'!$C$23:$C$189,"Yes")&gt;0,"Yes","No")</x:f>
        <x:v>No</x:v>
      </x:c>
      <x:c r="N134" s="576" t="str">
        <x:f>IF(M134&lt;&gt;"Yes","",SUMIFS('Tank &amp; Control'!$L$23:$L$189,'Tank &amp; Control'!$A$23:$A$189,A134,'Tank &amp; Control'!$B$23:$B$189,B134))</x:f>
      </x:c>
      <x:c r="O134" s="576" t="str">
        <x:f>IF(SUMIFS('Specialisation Impact'!$M$19:$M$186,'Specialisation Impact'!$A$19:$A$186,A134,'Specialisation Impact'!$B$19:$B$186,B134)=0,"",SUMIFS('Specialisation Impact'!$V$19:$V$186,'Specialisation Impact'!$A$19:$A$186,A134,'Specialisation Impact'!$B$19:$B$186,B134))</x:f>
      </x:c>
      <x:c r="P134" s="576" t="str">
        <x:f>IF(N134="","",N134)</x:f>
      </x:c>
      <x:c r="Q134" s="576" t="str">
        <x:f>IF(N134="","",IF(AC134=0,N134,MAX(0,MIN(100,N134*(1-'Specialisation Scenarios'!$B$8*AC134)+O134*('Specialisation Scenarios'!$B$8*AC134)))))</x:f>
      </x:c>
      <x:c r="R134" s="576" t="str">
        <x:f>IF(N134="","",IF(AC134=0,N134,MAX(0,MIN(100,N134*(1-'Specialisation Scenarios'!$B$9*AC134)+O134*('Specialisation Scenarios'!$B$9*AC134)))))</x:f>
      </x:c>
      <x:c r="S134" s="584" t="n">
        <x:f>IF(J134="","",COUNTIFS($A$6:$A$172,A134,$J$6:$J$172,"&gt;"&amp;J134)+COUNTIFS($A$6:A134,A134,$J$6:J134,J134))</x:f>
        <x:v>14</x:v>
      </x:c>
      <x:c r="T134" s="584" t="n">
        <x:f>IF(K134="","",COUNTIFS($A$6:$A$172,A134,$K$6:$K$172,"&gt;"&amp;K134)+COUNTIFS($A$6:A134,A134,$K$6:K134,K134))</x:f>
        <x:v>16</x:v>
      </x:c>
      <x:c r="U134" s="584" t="n">
        <x:f>IF(L134="","",COUNTIFS($A$6:$A$172,A134,$L$6:$L$172,"&gt;"&amp;L134)+COUNTIFS($A$6:A134,A134,$L$6:L134,L134))</x:f>
        <x:v>16</x:v>
      </x:c>
      <x:c r="V134" s="584" t="str">
        <x:f>IF(P134="","",COUNTIFS($A$6:$A$172,A134,$P$6:$P$172,"&gt;"&amp;P134)+COUNTIFS($A$6:A134,A134,$P$6:P134,P134))</x:f>
      </x:c>
      <x:c r="W134" s="584" t="str">
        <x:f>IF(Q134="","",COUNTIFS($A$6:$A$172,A134,$Q$6:$Q$172,"&gt;"&amp;Q134)+COUNTIFS($A$6:A134,A134,$Q$6:Q134,Q134))</x:f>
      </x:c>
      <x:c r="X134" s="584" t="str">
        <x:f>IF(R134="","",COUNTIFS($A$6:$A$172,A134,$R$6:$R$172,"&gt;"&amp;R134)+COUNTIFS($A$6:A134,A134,$R$6:R134,R134))</x:f>
      </x:c>
      <x:c r="Y134" s="572" t="str">
        <x:f>IF(V134="","",A134&amp;"|"&amp;V134)</x:f>
      </x:c>
      <x:c r="Z134" s="572" t="str">
        <x:f>IF(W134="","",A134&amp;"|"&amp;W134)</x:f>
      </x:c>
      <x:c r="AA134" s="572" t="str">
        <x:f>IF(X134="","",A134&amp;"|"&amp;X134)</x:f>
      </x:c>
      <x:c r="AB134" s="572" t="str">
        <x:f>IF(A134="","",IF(I134=0,"Offense neutral — no recorded offensive skills",IF(I134&lt;1,"Partial lookup — adjustment scaled",IF(AND(M134="Yes",AC134=0),"Offense adjusted; Guard neutral","Captured"))))</x:f>
        <x:v>Captured</x:v>
      </x:c>
      <x:c r="AC134" s="580" t="n">
        <x:f>IF(SUMIFS('Specialisation Impact'!$M$19:$M$186,'Specialisation Impact'!$A$19:$A$186,A134,'Specialisation Impact'!$B$19:$B$186,B134)=0,0,SUMIFS('Specialisation Impact'!$F$19:$F$186,'Specialisation Impact'!$A$19:$A$186,A134,'Specialisation Impact'!$B$19:$B$186,B134))</x:f>
        <x:v>0</x:v>
      </x:c>
    </x:row>
    <x:row r="135">
      <x:c r="A135" s="571" t="str">
        <x:v>K197</x:v>
      </x:c>
      <x:c r="B135" s="571" t="str">
        <x:v>Caramel</x:v>
      </x:c>
      <x:c r="C135" s="575" t="n">
        <x:f>IF($A135="","",AVERAGE(100*((COUNTIF('All Stats'!$D$6:$D$172,"&lt;"&amp;'All Stats'!D135)+(COUNTIF('All Stats'!$D$6:$D$172,'All Stats'!D135)-1)/2)/(COUNT('All Stats'!$D$6:$D$172)-1))^'Specialisation Scenarios'!$X$10,100*((COUNTIF('All Stats'!$G$6:$G$172,"&lt;"&amp;'All Stats'!G135)+(COUNTIF('All Stats'!$G$6:$G$172,'All Stats'!G135)-1)/2)/(COUNT('All Stats'!$G$6:$G$172)-1))^'Specialisation Scenarios'!$X$10,100*((COUNTIF('All Stats'!$I$6:$I$172,"&lt;"&amp;'All Stats'!I135)+(COUNTIF('All Stats'!$I$6:$I$172,'All Stats'!I135)-1)/2)/(COUNT('All Stats'!$I$6:$I$172)-1))^'Specialisation Scenarios'!$X$10))</x:f>
        <x:v>2.7982241748509438</x:v>
      </x:c>
      <x:c r="D135" s="575" t="n">
        <x:f>IF($A135="","",AVERAGE(100*((COUNTIF('All Stats'!$R$6:$R$172,"&lt;"&amp;'All Stats'!R135)+(COUNTIF('All Stats'!$R$6:$R$172,'All Stats'!R135)-1)/2)/(COUNT('All Stats'!$R$6:$R$172)-1))^'Specialisation Scenarios'!$X$10,100*((COUNTIF('All Stats'!$U$6:$U$172,"&lt;"&amp;'All Stats'!U135)+(COUNTIF('All Stats'!$U$6:$U$172,'All Stats'!U135)-1)/2)/(COUNT('All Stats'!$U$6:$U$172)-1))^'Specialisation Scenarios'!$X$10,100*((COUNTIF('All Stats'!$W$6:$W$172,"&lt;"&amp;'All Stats'!W135)+(COUNTIF('All Stats'!$W$6:$W$172,'All Stats'!W135)-1)/2)/(COUNT('All Stats'!$W$6:$W$172)-1))^'Specialisation Scenarios'!$X$10))</x:f>
        <x:v>0.39316699388576865</x:v>
      </x:c>
      <x:c r="E135" s="575" t="n">
        <x:f>IF($A135="","",AVERAGE(100*((COUNTIF('All Stats'!$Y$6:$Y$172,"&lt;"&amp;'All Stats'!Y135)+(COUNTIF('All Stats'!$Y$6:$Y$172,'All Stats'!Y135)-1)/2)/(COUNT('All Stats'!$Y$6:$Y$172)-1))^'Specialisation Scenarios'!$X$10,100*((COUNTIF('All Stats'!$AB$6:$AB$172,"&lt;"&amp;'All Stats'!AB135)+(COUNTIF('All Stats'!$AB$6:$AB$172,'All Stats'!AB135)-1)/2)/(COUNT('All Stats'!$AB$6:$AB$172)-1))^'Specialisation Scenarios'!$X$10,100*((COUNTIF('All Stats'!$AD$6:$AD$172,"&lt;"&amp;'All Stats'!AD135)+(COUNTIF('All Stats'!$AD$6:$AD$172,'All Stats'!AD135)-1)/2)/(COUNT('All Stats'!$AD$6:$AD$172)-1))^'Specialisation Scenarios'!$X$10))</x:f>
        <x:v>25.4739084321785</x:v>
      </x:c>
      <x:c r="F135" s="575" t="n">
        <x:f>IF($A135="","",AVERAGE(100*((COUNTIF('All Stats'!$AF$6:$AF$172,"&lt;"&amp;'All Stats'!AF135)+(COUNTIF('All Stats'!$AF$6:$AF$172,'All Stats'!AF135)-1)/2)/(COUNT('All Stats'!$AF$6:$AF$172)-1))^'Specialisation Scenarios'!$X$10,100*((COUNTIF('All Stats'!$AI$6:$AI$172,"&lt;"&amp;'All Stats'!AI135)+(COUNTIF('All Stats'!$AI$6:$AI$172,'All Stats'!AI135)-1)/2)/(COUNT('All Stats'!$AI$6:$AI$172)-1))^'Specialisation Scenarios'!$X$10,100*((COUNTIF('All Stats'!$AK$6:$AK$172,"&lt;"&amp;'All Stats'!AK135)+(COUNTIF('All Stats'!$AK$6:$AK$172,'All Stats'!AK135)-1)/2)/(COUNT('All Stats'!$AK$6:$AK$172)-1))^'Specialisation Scenarios'!$X$10))</x:f>
        <x:v>1.8883458823138133</x:v>
      </x:c>
      <x:c r="G135" s="575" t="n">
        <x:f>IF($A135="","",C135*'Specialisation Scenarios'!$X$11+D135*'Specialisation Scenarios'!$X$12+E135*'Specialisation Scenarios'!$X$13+F135*'Specialisation Scenarios'!$X$14)</x:f>
        <x:v>3.4862765481240245</x:v>
      </x:c>
      <x:c r="H135" s="575" t="n">
        <x:f>IF(SUMIFS('Specialisation Impact'!$E$19:$E$186,'Specialisation Impact'!$A$19:$A$186,A135,'Specialisation Impact'!$B$19:$B$186,B135)=0,"",SUMIFS('Specialisation Impact'!$S$19:$S$186,'Specialisation Impact'!$A$19:$A$186,A135,'Specialisation Impact'!$B$19:$B$186,B135))</x:f>
        <x:v>29.48051948051948</x:v>
      </x:c>
      <x:c r="I135" s="579" t="n">
        <x:f>IF(SUMIFS('Specialisation Impact'!$E$19:$E$186,'Specialisation Impact'!$A$19:$A$186,A135,'Specialisation Impact'!$B$19:$B$186,B135)=0,0,SUMIFS('Specialisation Impact'!$F$19:$F$186,'Specialisation Impact'!$A$19:$A$186,A135,'Specialisation Impact'!$B$19:$B$186,B135))</x:f>
        <x:v>1</x:v>
      </x:c>
      <x:c r="J135" s="575" t="n">
        <x:f>G135</x:f>
        <x:v>3.4862765481240245</x:v>
      </x:c>
      <x:c r="K135" s="575" t="n">
        <x:f>IF(G135="","",IF(I135=0,G135,MAX(0,MIN(100,G135*(1-'Specialisation Scenarios'!$B$8*I135)+H135*('Specialisation Scenarios'!$B$8*I135)))))</x:f>
        <x:v>9.984837281222887</x:v>
      </x:c>
      <x:c r="L135" s="575" t="n">
        <x:f>IF(G135="","",IF(I135=0,G135,MAX(0,MIN(100,G135*(1-'Specialisation Scenarios'!$B$9*I135)+H135*('Specialisation Scenarios'!$B$9*I135)))))</x:f>
        <x:v>12.584261574462433</x:v>
      </x:c>
      <x:c r="M135" s="575" t="str">
        <x:f>IF(COUNTIFS('Tank &amp; Control'!$A$23:$A$189,A135,'Tank &amp; Control'!$B$23:$B$189,B135,'Tank &amp; Control'!$C$23:$C$189,"Yes")&gt;0,"Yes","No")</x:f>
        <x:v>No</x:v>
      </x:c>
      <x:c r="N135" s="575" t="str">
        <x:f>IF(M135&lt;&gt;"Yes","",SUMIFS('Tank &amp; Control'!$L$23:$L$189,'Tank &amp; Control'!$A$23:$A$189,A135,'Tank &amp; Control'!$B$23:$B$189,B135))</x:f>
      </x:c>
      <x:c r="O135" s="575" t="str">
        <x:f>IF(SUMIFS('Specialisation Impact'!$M$19:$M$186,'Specialisation Impact'!$A$19:$A$186,A135,'Specialisation Impact'!$B$19:$B$186,B135)=0,"",SUMIFS('Specialisation Impact'!$V$19:$V$186,'Specialisation Impact'!$A$19:$A$186,A135,'Specialisation Impact'!$B$19:$B$186,B135))</x:f>
      </x:c>
      <x:c r="P135" s="575" t="str">
        <x:f>IF(N135="","",N135)</x:f>
      </x:c>
      <x:c r="Q135" s="575" t="str">
        <x:f>IF(N135="","",IF(AC135=0,N135,MAX(0,MIN(100,N135*(1-'Specialisation Scenarios'!$B$8*AC135)+O135*('Specialisation Scenarios'!$B$8*AC135)))))</x:f>
      </x:c>
      <x:c r="R135" s="575" t="str">
        <x:f>IF(N135="","",IF(AC135=0,N135,MAX(0,MIN(100,N135*(1-'Specialisation Scenarios'!$B$9*AC135)+O135*('Specialisation Scenarios'!$B$9*AC135)))))</x:f>
      </x:c>
      <x:c r="S135" s="583" t="n">
        <x:f>IF(J135="","",COUNTIFS($A$6:$A$172,A135,$J$6:$J$172,"&gt;"&amp;J135)+COUNTIFS($A$6:A135,A135,$J$6:J135,J135))</x:f>
        <x:v>18</x:v>
      </x:c>
      <x:c r="T135" s="583" t="n">
        <x:f>IF(K135="","",COUNTIFS($A$6:$A$172,A135,$K$6:$K$172,"&gt;"&amp;K135)+COUNTIFS($A$6:A135,A135,$K$6:K135,K135))</x:f>
        <x:v>17</x:v>
      </x:c>
      <x:c r="U135" s="583" t="n">
        <x:f>IF(L135="","",COUNTIFS($A$6:$A$172,A135,$L$6:$L$172,"&gt;"&amp;L135)+COUNTIFS($A$6:A135,A135,$L$6:L135,L135))</x:f>
        <x:v>17</x:v>
      </x:c>
      <x:c r="V135" s="583" t="str">
        <x:f>IF(P135="","",COUNTIFS($A$6:$A$172,A135,$P$6:$P$172,"&gt;"&amp;P135)+COUNTIFS($A$6:A135,A135,$P$6:P135,P135))</x:f>
      </x:c>
      <x:c r="W135" s="583" t="str">
        <x:f>IF(Q135="","",COUNTIFS($A$6:$A$172,A135,$Q$6:$Q$172,"&gt;"&amp;Q135)+COUNTIFS($A$6:A135,A135,$Q$6:Q135,Q135))</x:f>
      </x:c>
      <x:c r="X135" s="583" t="str">
        <x:f>IF(R135="","",COUNTIFS($A$6:$A$172,A135,$R$6:$R$172,"&gt;"&amp;R135)+COUNTIFS($A$6:A135,A135,$R$6:R135,R135))</x:f>
      </x:c>
      <x:c r="Y135" s="571" t="str">
        <x:f>IF(V135="","",A135&amp;"|"&amp;V135)</x:f>
      </x:c>
      <x:c r="Z135" s="571" t="str">
        <x:f>IF(W135="","",A135&amp;"|"&amp;W135)</x:f>
      </x:c>
      <x:c r="AA135" s="571" t="str">
        <x:f>IF(X135="","",A135&amp;"|"&amp;X135)</x:f>
      </x:c>
      <x:c r="AB135" s="571" t="str">
        <x:f>IF(A135="","",IF(I135=0,"Offense neutral — no recorded offensive skills",IF(I135&lt;1,"Partial lookup — adjustment scaled",IF(AND(M135="Yes",AC135=0),"Offense adjusted; Guard neutral","Captured"))))</x:f>
        <x:v>Captured</x:v>
      </x:c>
      <x:c r="AC135" s="579" t="n">
        <x:f>IF(SUMIFS('Specialisation Impact'!$M$19:$M$186,'Specialisation Impact'!$A$19:$A$186,A135,'Specialisation Impact'!$B$19:$B$186,B135)=0,0,SUMIFS('Specialisation Impact'!$F$19:$F$186,'Specialisation Impact'!$A$19:$A$186,A135,'Specialisation Impact'!$B$19:$B$186,B135))</x:f>
        <x:v>0</x:v>
      </x:c>
    </x:row>
    <x:row r="136">
      <x:c r="A136" s="572" t="str">
        <x:v>K197</x:v>
      </x:c>
      <x:c r="B136" s="572" t="str">
        <x:v>†ŁØRD†</x:v>
      </x:c>
      <x:c r="C136" s="576" t="n">
        <x:f>IF($A136="","",AVERAGE(100*((COUNTIF('All Stats'!$D$6:$D$172,"&lt;"&amp;'All Stats'!D136)+(COUNTIF('All Stats'!$D$6:$D$172,'All Stats'!D136)-1)/2)/(COUNT('All Stats'!$D$6:$D$172)-1))^'Specialisation Scenarios'!$X$10,100*((COUNTIF('All Stats'!$G$6:$G$172,"&lt;"&amp;'All Stats'!G136)+(COUNTIF('All Stats'!$G$6:$G$172,'All Stats'!G136)-1)/2)/(COUNT('All Stats'!$G$6:$G$172)-1))^'Specialisation Scenarios'!$X$10,100*((COUNTIF('All Stats'!$I$6:$I$172,"&lt;"&amp;'All Stats'!I136)+(COUNTIF('All Stats'!$I$6:$I$172,'All Stats'!I136)-1)/2)/(COUNT('All Stats'!$I$6:$I$172)-1))^'Specialisation Scenarios'!$X$10))</x:f>
        <x:v>11.343031623468834</x:v>
      </x:c>
      <x:c r="D136" s="576" t="n">
        <x:f>IF($A136="","",AVERAGE(100*((COUNTIF('All Stats'!$R$6:$R$172,"&lt;"&amp;'All Stats'!R136)+(COUNTIF('All Stats'!$R$6:$R$172,'All Stats'!R136)-1)/2)/(COUNT('All Stats'!$R$6:$R$172)-1))^'Specialisation Scenarios'!$X$10,100*((COUNTIF('All Stats'!$U$6:$U$172,"&lt;"&amp;'All Stats'!U136)+(COUNTIF('All Stats'!$U$6:$U$172,'All Stats'!U136)-1)/2)/(COUNT('All Stats'!$U$6:$U$172)-1))^'Specialisation Scenarios'!$X$10,100*((COUNTIF('All Stats'!$W$6:$W$172,"&lt;"&amp;'All Stats'!W136)+(COUNTIF('All Stats'!$W$6:$W$172,'All Stats'!W136)-1)/2)/(COUNT('All Stats'!$W$6:$W$172)-1))^'Specialisation Scenarios'!$X$10))</x:f>
        <x:v>3.2430776801267442</x:v>
      </x:c>
      <x:c r="E136" s="576" t="n">
        <x:f>IF($A136="","",AVERAGE(100*((COUNTIF('All Stats'!$Y$6:$Y$172,"&lt;"&amp;'All Stats'!Y136)+(COUNTIF('All Stats'!$Y$6:$Y$172,'All Stats'!Y136)-1)/2)/(COUNT('All Stats'!$Y$6:$Y$172)-1))^'Specialisation Scenarios'!$X$10,100*((COUNTIF('All Stats'!$AB$6:$AB$172,"&lt;"&amp;'All Stats'!AB136)+(COUNTIF('All Stats'!$AB$6:$AB$172,'All Stats'!AB136)-1)/2)/(COUNT('All Stats'!$AB$6:$AB$172)-1))^'Specialisation Scenarios'!$X$10,100*((COUNTIF('All Stats'!$AD$6:$AD$172,"&lt;"&amp;'All Stats'!AD136)+(COUNTIF('All Stats'!$AD$6:$AD$172,'All Stats'!AD136)-1)/2)/(COUNT('All Stats'!$AD$6:$AD$172)-1))^'Specialisation Scenarios'!$X$10))</x:f>
        <x:v>28.17760457136716</x:v>
      </x:c>
      <x:c r="F136" s="576" t="n">
        <x:f>IF($A136="","",AVERAGE(100*((COUNTIF('All Stats'!$AF$6:$AF$172,"&lt;"&amp;'All Stats'!AF136)+(COUNTIF('All Stats'!$AF$6:$AF$172,'All Stats'!AF136)-1)/2)/(COUNT('All Stats'!$AF$6:$AF$172)-1))^'Specialisation Scenarios'!$X$10,100*((COUNTIF('All Stats'!$AI$6:$AI$172,"&lt;"&amp;'All Stats'!AI136)+(COUNTIF('All Stats'!$AI$6:$AI$172,'All Stats'!AI136)-1)/2)/(COUNT('All Stats'!$AI$6:$AI$172)-1))^'Specialisation Scenarios'!$X$10,100*((COUNTIF('All Stats'!$AK$6:$AK$172,"&lt;"&amp;'All Stats'!AK136)+(COUNTIF('All Stats'!$AK$6:$AK$172,'All Stats'!AK136)-1)/2)/(COUNT('All Stats'!$AK$6:$AK$172)-1))^'Specialisation Scenarios'!$X$10))</x:f>
        <x:v>2.4825631081229464</x:v>
      </x:c>
      <x:c r="G136" s="576" t="n">
        <x:f>IF($A136="","",C136*'Specialisation Scenarios'!$X$11+D136*'Specialisation Scenarios'!$X$12+E136*'Specialisation Scenarios'!$X$13+F136*'Specialisation Scenarios'!$X$14)</x:f>
        <x:v>6.837446274951529</x:v>
      </x:c>
      <x:c r="H136" s="576" t="n">
        <x:f>IF(SUMIFS('Specialisation Impact'!$E$19:$E$186,'Specialisation Impact'!$A$19:$A$186,A136,'Specialisation Impact'!$B$19:$B$186,B136)=0,"",SUMIFS('Specialisation Impact'!$S$19:$S$186,'Specialisation Impact'!$A$19:$A$186,A136,'Specialisation Impact'!$B$19:$B$186,B136))</x:f>
        <x:v>17.402597402597404</x:v>
      </x:c>
      <x:c r="I136" s="580" t="n">
        <x:f>IF(SUMIFS('Specialisation Impact'!$E$19:$E$186,'Specialisation Impact'!$A$19:$A$186,A136,'Specialisation Impact'!$B$19:$B$186,B136)=0,0,SUMIFS('Specialisation Impact'!$F$19:$F$186,'Specialisation Impact'!$A$19:$A$186,A136,'Specialisation Impact'!$B$19:$B$186,B136))</x:f>
        <x:v>1</x:v>
      </x:c>
      <x:c r="J136" s="576" t="n">
        <x:f>G136</x:f>
        <x:v>6.837446274951529</x:v>
      </x:c>
      <x:c r="K136" s="576" t="n">
        <x:f>IF(G136="","",IF(I136=0,G136,MAX(0,MIN(100,G136*(1-'Specialisation Scenarios'!$B$8*I136)+H136*('Specialisation Scenarios'!$B$8*I136)))))</x:f>
        <x:v>9.478734056862997</x:v>
      </x:c>
      <x:c r="L136" s="576" t="n">
        <x:f>IF(G136="","",IF(I136=0,G136,MAX(0,MIN(100,G136*(1-'Specialisation Scenarios'!$B$9*I136)+H136*('Specialisation Scenarios'!$B$9*I136)))))</x:f>
        <x:v>10.535249169627585</x:v>
      </x:c>
      <x:c r="M136" s="576" t="str">
        <x:f>IF(COUNTIFS('Tank &amp; Control'!$A$23:$A$189,A136,'Tank &amp; Control'!$B$23:$B$189,B136,'Tank &amp; Control'!$C$23:$C$189,"Yes")&gt;0,"Yes","No")</x:f>
        <x:v>No</x:v>
      </x:c>
      <x:c r="N136" s="576" t="str">
        <x:f>IF(M136&lt;&gt;"Yes","",SUMIFS('Tank &amp; Control'!$L$23:$L$189,'Tank &amp; Control'!$A$23:$A$189,A136,'Tank &amp; Control'!$B$23:$B$189,B136))</x:f>
      </x:c>
      <x:c r="O136" s="576" t="str">
        <x:f>IF(SUMIFS('Specialisation Impact'!$M$19:$M$186,'Specialisation Impact'!$A$19:$A$186,A136,'Specialisation Impact'!$B$19:$B$186,B136)=0,"",SUMIFS('Specialisation Impact'!$V$19:$V$186,'Specialisation Impact'!$A$19:$A$186,A136,'Specialisation Impact'!$B$19:$B$186,B136))</x:f>
      </x:c>
      <x:c r="P136" s="576" t="str">
        <x:f>IF(N136="","",N136)</x:f>
      </x:c>
      <x:c r="Q136" s="576" t="str">
        <x:f>IF(N136="","",IF(AC136=0,N136,MAX(0,MIN(100,N136*(1-'Specialisation Scenarios'!$B$8*AC136)+O136*('Specialisation Scenarios'!$B$8*AC136)))))</x:f>
      </x:c>
      <x:c r="R136" s="576" t="str">
        <x:f>IF(N136="","",IF(AC136=0,N136,MAX(0,MIN(100,N136*(1-'Specialisation Scenarios'!$B$9*AC136)+O136*('Specialisation Scenarios'!$B$9*AC136)))))</x:f>
      </x:c>
      <x:c r="S136" s="584" t="n">
        <x:f>IF(J136="","",COUNTIFS($A$6:$A$172,A136,$J$6:$J$172,"&gt;"&amp;J136)+COUNTIFS($A$6:A136,A136,$J$6:J136,J136))</x:f>
        <x:v>17</x:v>
      </x:c>
      <x:c r="T136" s="584" t="n">
        <x:f>IF(K136="","",COUNTIFS($A$6:$A$172,A136,$K$6:$K$172,"&gt;"&amp;K136)+COUNTIFS($A$6:A136,A136,$K$6:K136,K136))</x:f>
        <x:v>18</x:v>
      </x:c>
      <x:c r="U136" s="584" t="n">
        <x:f>IF(L136="","",COUNTIFS($A$6:$A$172,A136,$L$6:$L$172,"&gt;"&amp;L136)+COUNTIFS($A$6:A136,A136,$L$6:L136,L136))</x:f>
        <x:v>18</x:v>
      </x:c>
      <x:c r="V136" s="584" t="str">
        <x:f>IF(P136="","",COUNTIFS($A$6:$A$172,A136,$P$6:$P$172,"&gt;"&amp;P136)+COUNTIFS($A$6:A136,A136,$P$6:P136,P136))</x:f>
      </x:c>
      <x:c r="W136" s="584" t="str">
        <x:f>IF(Q136="","",COUNTIFS($A$6:$A$172,A136,$Q$6:$Q$172,"&gt;"&amp;Q136)+COUNTIFS($A$6:A136,A136,$Q$6:Q136,Q136))</x:f>
      </x:c>
      <x:c r="X136" s="584" t="str">
        <x:f>IF(R136="","",COUNTIFS($A$6:$A$172,A136,$R$6:$R$172,"&gt;"&amp;R136)+COUNTIFS($A$6:A136,A136,$R$6:R136,R136))</x:f>
      </x:c>
      <x:c r="Y136" s="572" t="str">
        <x:f>IF(V136="","",A136&amp;"|"&amp;V136)</x:f>
      </x:c>
      <x:c r="Z136" s="572" t="str">
        <x:f>IF(W136="","",A136&amp;"|"&amp;W136)</x:f>
      </x:c>
      <x:c r="AA136" s="572" t="str">
        <x:f>IF(X136="","",A136&amp;"|"&amp;X136)</x:f>
      </x:c>
      <x:c r="AB136" s="572" t="str">
        <x:f>IF(A136="","",IF(I136=0,"Offense neutral — no recorded offensive skills",IF(I136&lt;1,"Partial lookup — adjustment scaled",IF(AND(M136="Yes",AC136=0),"Offense adjusted; Guard neutral","Captured"))))</x:f>
        <x:v>Captured</x:v>
      </x:c>
      <x:c r="AC136" s="580" t="n">
        <x:f>IF(SUMIFS('Specialisation Impact'!$M$19:$M$186,'Specialisation Impact'!$A$19:$A$186,A136,'Specialisation Impact'!$B$19:$B$186,B136)=0,0,SUMIFS('Specialisation Impact'!$F$19:$F$186,'Specialisation Impact'!$A$19:$A$186,A136,'Specialisation Impact'!$B$19:$B$186,B136))</x:f>
        <x:v>0</x:v>
      </x:c>
    </x:row>
    <x:row r="137">
      <x:c r="A137" s="571" t="str">
        <x:v>K197</x:v>
      </x:c>
      <x:c r="B137" s="571" t="str">
        <x:v>RΣDΣYΣ</x:v>
      </x:c>
      <x:c r="C137" s="575" t="n">
        <x:f>IF($A137="","",AVERAGE(100*((COUNTIF('All Stats'!$D$6:$D$172,"&lt;"&amp;'All Stats'!D137)+(COUNTIF('All Stats'!$D$6:$D$172,'All Stats'!D137)-1)/2)/(COUNT('All Stats'!$D$6:$D$172)-1))^'Specialisation Scenarios'!$X$10,100*((COUNTIF('All Stats'!$G$6:$G$172,"&lt;"&amp;'All Stats'!G137)+(COUNTIF('All Stats'!$G$6:$G$172,'All Stats'!G137)-1)/2)/(COUNT('All Stats'!$G$6:$G$172)-1))^'Specialisation Scenarios'!$X$10,100*((COUNTIF('All Stats'!$I$6:$I$172,"&lt;"&amp;'All Stats'!I137)+(COUNTIF('All Stats'!$I$6:$I$172,'All Stats'!I137)-1)/2)/(COUNT('All Stats'!$I$6:$I$172)-1))^'Specialisation Scenarios'!$X$10))</x:f>
        <x:v>28.1929637114647</x:v>
      </x:c>
      <x:c r="D137" s="575" t="n">
        <x:f>IF($A137="","",AVERAGE(100*((COUNTIF('All Stats'!$R$6:$R$172,"&lt;"&amp;'All Stats'!R137)+(COUNTIF('All Stats'!$R$6:$R$172,'All Stats'!R137)-1)/2)/(COUNT('All Stats'!$R$6:$R$172)-1))^'Specialisation Scenarios'!$X$10,100*((COUNTIF('All Stats'!$U$6:$U$172,"&lt;"&amp;'All Stats'!U137)+(COUNTIF('All Stats'!$U$6:$U$172,'All Stats'!U137)-1)/2)/(COUNT('All Stats'!$U$6:$U$172)-1))^'Specialisation Scenarios'!$X$10,100*((COUNTIF('All Stats'!$W$6:$W$172,"&lt;"&amp;'All Stats'!W137)+(COUNTIF('All Stats'!$W$6:$W$172,'All Stats'!W137)-1)/2)/(COUNT('All Stats'!$W$6:$W$172)-1))^'Specialisation Scenarios'!$X$10))</x:f>
        <x:v>6.9859811372772995</x:v>
      </x:c>
      <x:c r="E137" s="575" t="n">
        <x:f>IF($A137="","",AVERAGE(100*((COUNTIF('All Stats'!$Y$6:$Y$172,"&lt;"&amp;'All Stats'!Y137)+(COUNTIF('All Stats'!$Y$6:$Y$172,'All Stats'!Y137)-1)/2)/(COUNT('All Stats'!$Y$6:$Y$172)-1))^'Specialisation Scenarios'!$X$10,100*((COUNTIF('All Stats'!$AB$6:$AB$172,"&lt;"&amp;'All Stats'!AB137)+(COUNTIF('All Stats'!$AB$6:$AB$172,'All Stats'!AB137)-1)/2)/(COUNT('All Stats'!$AB$6:$AB$172)-1))^'Specialisation Scenarios'!$X$10,100*((COUNTIF('All Stats'!$AD$6:$AD$172,"&lt;"&amp;'All Stats'!AD137)+(COUNTIF('All Stats'!$AD$6:$AD$172,'All Stats'!AD137)-1)/2)/(COUNT('All Stats'!$AD$6:$AD$172)-1))^'Specialisation Scenarios'!$X$10))</x:f>
        <x:v>45.034410398756485</x:v>
      </x:c>
      <x:c r="F137" s="575" t="n">
        <x:f>IF($A137="","",AVERAGE(100*((COUNTIF('All Stats'!$AF$6:$AF$172,"&lt;"&amp;'All Stats'!AF137)+(COUNTIF('All Stats'!$AF$6:$AF$172,'All Stats'!AF137)-1)/2)/(COUNT('All Stats'!$AF$6:$AF$172)-1))^'Specialisation Scenarios'!$X$10,100*((COUNTIF('All Stats'!$AI$6:$AI$172,"&lt;"&amp;'All Stats'!AI137)+(COUNTIF('All Stats'!$AI$6:$AI$172,'All Stats'!AI137)-1)/2)/(COUNT('All Stats'!$AI$6:$AI$172)-1))^'Specialisation Scenarios'!$X$10,100*((COUNTIF('All Stats'!$AK$6:$AK$172,"&lt;"&amp;'All Stats'!AK137)+(COUNTIF('All Stats'!$AK$6:$AK$172,'All Stats'!AK137)-1)/2)/(COUNT('All Stats'!$AK$6:$AK$172)-1))^'Specialisation Scenarios'!$X$10))</x:f>
        <x:v>13.284253105921957</x:v>
      </x:c>
      <x:c r="G137" s="575" t="n">
        <x:f>IF($A137="","",C137*'Specialisation Scenarios'!$X$11+D137*'Specialisation Scenarios'!$X$12+E137*'Specialisation Scenarios'!$X$13+F137*'Specialisation Scenarios'!$X$14)</x:f>
        <x:v>14.916612244850027</x:v>
      </x:c>
      <x:c r="H137" s="575" t="n">
        <x:f>IF(SUMIFS('Specialisation Impact'!$E$19:$E$186,'Specialisation Impact'!$A$19:$A$186,A137,'Specialisation Impact'!$B$19:$B$186,B137)=0,"",SUMIFS('Specialisation Impact'!$S$19:$S$186,'Specialisation Impact'!$A$19:$A$186,A137,'Specialisation Impact'!$B$19:$B$186,B137))</x:f>
        <x:v>13.311688311688311</x:v>
      </x:c>
      <x:c r="I137" s="579" t="n">
        <x:f>IF(SUMIFS('Specialisation Impact'!$E$19:$E$186,'Specialisation Impact'!$A$19:$A$186,A137,'Specialisation Impact'!$B$19:$B$186,B137)=0,0,SUMIFS('Specialisation Impact'!$F$19:$F$186,'Specialisation Impact'!$A$19:$A$186,A137,'Specialisation Impact'!$B$19:$B$186,B137))</x:f>
        <x:v>1</x:v>
      </x:c>
      <x:c r="J137" s="575" t="n">
        <x:f>G137</x:f>
        <x:v>14.916612244850027</x:v>
      </x:c>
      <x:c r="K137" s="575" t="n">
        <x:f>IF(G137="","",IF(I137=0,G137,MAX(0,MIN(100,G137*(1-'Specialisation Scenarios'!$B$8*I137)+H137*('Specialisation Scenarios'!$B$8*I137)))))</x:f>
        <x:v>14.515381261559597</x:v>
      </x:c>
      <x:c r="L137" s="575" t="n">
        <x:f>IF(G137="","",IF(I137=0,G137,MAX(0,MIN(100,G137*(1-'Specialisation Scenarios'!$B$9*I137)+H137*('Specialisation Scenarios'!$B$9*I137)))))</x:f>
        <x:v>14.354888868243426</x:v>
      </x:c>
      <x:c r="M137" s="575" t="str">
        <x:f>IF(COUNTIFS('Tank &amp; Control'!$A$23:$A$189,A137,'Tank &amp; Control'!$B$23:$B$189,B137,'Tank &amp; Control'!$C$23:$C$189,"Yes")&gt;0,"Yes","No")</x:f>
        <x:v>No</x:v>
      </x:c>
      <x:c r="N137" s="575" t="str">
        <x:f>IF(M137&lt;&gt;"Yes","",SUMIFS('Tank &amp; Control'!$L$23:$L$189,'Tank &amp; Control'!$A$23:$A$189,A137,'Tank &amp; Control'!$B$23:$B$189,B137))</x:f>
      </x:c>
      <x:c r="O137" s="575" t="str">
        <x:f>IF(SUMIFS('Specialisation Impact'!$M$19:$M$186,'Specialisation Impact'!$A$19:$A$186,A137,'Specialisation Impact'!$B$19:$B$186,B137)=0,"",SUMIFS('Specialisation Impact'!$V$19:$V$186,'Specialisation Impact'!$A$19:$A$186,A137,'Specialisation Impact'!$B$19:$B$186,B137))</x:f>
      </x:c>
      <x:c r="P137" s="575" t="str">
        <x:f>IF(N137="","",N137)</x:f>
      </x:c>
      <x:c r="Q137" s="575" t="str">
        <x:f>IF(N137="","",IF(AC137=0,N137,MAX(0,MIN(100,N137*(1-'Specialisation Scenarios'!$B$8*AC137)+O137*('Specialisation Scenarios'!$B$8*AC137)))))</x:f>
      </x:c>
      <x:c r="R137" s="575" t="str">
        <x:f>IF(N137="","",IF(AC137=0,N137,MAX(0,MIN(100,N137*(1-'Specialisation Scenarios'!$B$9*AC137)+O137*('Specialisation Scenarios'!$B$9*AC137)))))</x:f>
      </x:c>
      <x:c r="S137" s="583" t="n">
        <x:f>IF(J137="","",COUNTIFS($A$6:$A$172,A137,$J$6:$J$172,"&gt;"&amp;J137)+COUNTIFS($A$6:A137,A137,$J$6:J137,J137))</x:f>
        <x:v>13</x:v>
      </x:c>
      <x:c r="T137" s="583" t="n">
        <x:f>IF(K137="","",COUNTIFS($A$6:$A$172,A137,$K$6:$K$172,"&gt;"&amp;K137)+COUNTIFS($A$6:A137,A137,$K$6:K137,K137))</x:f>
        <x:v>14</x:v>
      </x:c>
      <x:c r="U137" s="583" t="n">
        <x:f>IF(L137="","",COUNTIFS($A$6:$A$172,A137,$L$6:$L$172,"&gt;"&amp;L137)+COUNTIFS($A$6:A137,A137,$L$6:L137,L137))</x:f>
        <x:v>14</x:v>
      </x:c>
      <x:c r="V137" s="583" t="str">
        <x:f>IF(P137="","",COUNTIFS($A$6:$A$172,A137,$P$6:$P$172,"&gt;"&amp;P137)+COUNTIFS($A$6:A137,A137,$P$6:P137,P137))</x:f>
      </x:c>
      <x:c r="W137" s="583" t="str">
        <x:f>IF(Q137="","",COUNTIFS($A$6:$A$172,A137,$Q$6:$Q$172,"&gt;"&amp;Q137)+COUNTIFS($A$6:A137,A137,$Q$6:Q137,Q137))</x:f>
      </x:c>
      <x:c r="X137" s="583" t="str">
        <x:f>IF(R137="","",COUNTIFS($A$6:$A$172,A137,$R$6:$R$172,"&gt;"&amp;R137)+COUNTIFS($A$6:A137,A137,$R$6:R137,R137))</x:f>
      </x:c>
      <x:c r="Y137" s="571" t="str">
        <x:f>IF(V137="","",A137&amp;"|"&amp;V137)</x:f>
      </x:c>
      <x:c r="Z137" s="571" t="str">
        <x:f>IF(W137="","",A137&amp;"|"&amp;W137)</x:f>
      </x:c>
      <x:c r="AA137" s="571" t="str">
        <x:f>IF(X137="","",A137&amp;"|"&amp;X137)</x:f>
      </x:c>
      <x:c r="AB137" s="571" t="str">
        <x:f>IF(A137="","",IF(I137=0,"Offense neutral — no recorded offensive skills",IF(I137&lt;1,"Partial lookup — adjustment scaled",IF(AND(M137="Yes",AC137=0),"Offense adjusted; Guard neutral","Captured"))))</x:f>
        <x:v>Captured</x:v>
      </x:c>
      <x:c r="AC137" s="579" t="n">
        <x:f>IF(SUMIFS('Specialisation Impact'!$M$19:$M$186,'Specialisation Impact'!$A$19:$A$186,A137,'Specialisation Impact'!$B$19:$B$186,B137)=0,0,SUMIFS('Specialisation Impact'!$F$19:$F$186,'Specialisation Impact'!$A$19:$A$186,A137,'Specialisation Impact'!$B$19:$B$186,B137))</x:f>
        <x:v>0</x:v>
      </x:c>
    </x:row>
    <x:row r="138">
      <x:c r="A138" s="572" t="str">
        <x:v>K197</x:v>
      </x:c>
      <x:c r="B138" s="572" t="str">
        <x:v>Loong</x:v>
      </x:c>
      <x:c r="C138" s="576" t="n">
        <x:f>IF($A138="","",AVERAGE(100*((COUNTIF('All Stats'!$D$6:$D$172,"&lt;"&amp;'All Stats'!D138)+(COUNTIF('All Stats'!$D$6:$D$172,'All Stats'!D138)-1)/2)/(COUNT('All Stats'!$D$6:$D$172)-1))^'Specialisation Scenarios'!$X$10,100*((COUNTIF('All Stats'!$G$6:$G$172,"&lt;"&amp;'All Stats'!G138)+(COUNTIF('All Stats'!$G$6:$G$172,'All Stats'!G138)-1)/2)/(COUNT('All Stats'!$G$6:$G$172)-1))^'Specialisation Scenarios'!$X$10,100*((COUNTIF('All Stats'!$I$6:$I$172,"&lt;"&amp;'All Stats'!I138)+(COUNTIF('All Stats'!$I$6:$I$172,'All Stats'!I138)-1)/2)/(COUNT('All Stats'!$I$6:$I$172)-1))^'Specialisation Scenarios'!$X$10))</x:f>
        <x:v>77.61379998351744</x:v>
      </x:c>
      <x:c r="D138" s="576" t="n">
        <x:f>IF($A138="","",AVERAGE(100*((COUNTIF('All Stats'!$R$6:$R$172,"&lt;"&amp;'All Stats'!R138)+(COUNTIF('All Stats'!$R$6:$R$172,'All Stats'!R138)-1)/2)/(COUNT('All Stats'!$R$6:$R$172)-1))^'Specialisation Scenarios'!$X$10,100*((COUNTIF('All Stats'!$U$6:$U$172,"&lt;"&amp;'All Stats'!U138)+(COUNTIF('All Stats'!$U$6:$U$172,'All Stats'!U138)-1)/2)/(COUNT('All Stats'!$U$6:$U$172)-1))^'Specialisation Scenarios'!$X$10,100*((COUNTIF('All Stats'!$W$6:$W$172,"&lt;"&amp;'All Stats'!W138)+(COUNTIF('All Stats'!$W$6:$W$172,'All Stats'!W138)-1)/2)/(COUNT('All Stats'!$W$6:$W$172)-1))^'Specialisation Scenarios'!$X$10))</x:f>
        <x:v>20.721504408765608</x:v>
      </x:c>
      <x:c r="E138" s="576" t="n">
        <x:f>IF($A138="","",AVERAGE(100*((COUNTIF('All Stats'!$Y$6:$Y$172,"&lt;"&amp;'All Stats'!Y138)+(COUNTIF('All Stats'!$Y$6:$Y$172,'All Stats'!Y138)-1)/2)/(COUNT('All Stats'!$Y$6:$Y$172)-1))^'Specialisation Scenarios'!$X$10,100*((COUNTIF('All Stats'!$AB$6:$AB$172,"&lt;"&amp;'All Stats'!AB138)+(COUNTIF('All Stats'!$AB$6:$AB$172,'All Stats'!AB138)-1)/2)/(COUNT('All Stats'!$AB$6:$AB$172)-1))^'Specialisation Scenarios'!$X$10,100*((COUNTIF('All Stats'!$AD$6:$AD$172,"&lt;"&amp;'All Stats'!AD138)+(COUNTIF('All Stats'!$AD$6:$AD$172,'All Stats'!AD138)-1)/2)/(COUNT('All Stats'!$AD$6:$AD$172)-1))^'Specialisation Scenarios'!$X$10))</x:f>
        <x:v>76.34437577676088</x:v>
      </x:c>
      <x:c r="F138" s="576" t="n">
        <x:f>IF($A138="","",AVERAGE(100*((COUNTIF('All Stats'!$AF$6:$AF$172,"&lt;"&amp;'All Stats'!AF138)+(COUNTIF('All Stats'!$AF$6:$AF$172,'All Stats'!AF138)-1)/2)/(COUNT('All Stats'!$AF$6:$AF$172)-1))^'Specialisation Scenarios'!$X$10,100*((COUNTIF('All Stats'!$AI$6:$AI$172,"&lt;"&amp;'All Stats'!AI138)+(COUNTIF('All Stats'!$AI$6:$AI$172,'All Stats'!AI138)-1)/2)/(COUNT('All Stats'!$AI$6:$AI$172)-1))^'Specialisation Scenarios'!$X$10,100*((COUNTIF('All Stats'!$AK$6:$AK$172,"&lt;"&amp;'All Stats'!AK138)+(COUNTIF('All Stats'!$AK$6:$AK$172,'All Stats'!AK138)-1)/2)/(COUNT('All Stats'!$AK$6:$AK$172)-1))^'Specialisation Scenarios'!$X$10))</x:f>
        <x:v>19.832829174315606</x:v>
      </x:c>
      <x:c r="G138" s="576" t="n">
        <x:f>IF($A138="","",C138*'Specialisation Scenarios'!$X$11+D138*'Specialisation Scenarios'!$X$12+E138*'Specialisation Scenarios'!$X$13+F138*'Specialisation Scenarios'!$X$14)</x:f>
        <x:v>34.68433459661041</x:v>
      </x:c>
      <x:c r="H138" s="576" t="n">
        <x:f>IF(SUMIFS('Specialisation Impact'!$E$19:$E$186,'Specialisation Impact'!$A$19:$A$186,A138,'Specialisation Impact'!$B$19:$B$186,B138)=0,"",SUMIFS('Specialisation Impact'!$S$19:$S$186,'Specialisation Impact'!$A$19:$A$186,A138,'Specialisation Impact'!$B$19:$B$186,B138))</x:f>
        <x:v>29.48051948051948</x:v>
      </x:c>
      <x:c r="I138" s="580" t="n">
        <x:f>IF(SUMIFS('Specialisation Impact'!$E$19:$E$186,'Specialisation Impact'!$A$19:$A$186,A138,'Specialisation Impact'!$B$19:$B$186,B138)=0,0,SUMIFS('Specialisation Impact'!$F$19:$F$186,'Specialisation Impact'!$A$19:$A$186,A138,'Specialisation Impact'!$B$19:$B$186,B138))</x:f>
        <x:v>1</x:v>
      </x:c>
      <x:c r="J138" s="576" t="n">
        <x:f>G138</x:f>
        <x:v>34.68433459661041</x:v>
      </x:c>
      <x:c r="K138" s="576" t="n">
        <x:f>IF(G138="","",IF(I138=0,G138,MAX(0,MIN(100,G138*(1-'Specialisation Scenarios'!$B$8*I138)+H138*('Specialisation Scenarios'!$B$8*I138)))))</x:f>
        <x:v>33.38338081758768</x:v>
      </x:c>
      <x:c r="L138" s="576" t="n">
        <x:f>IF(G138="","",IF(I138=0,G138,MAX(0,MIN(100,G138*(1-'Specialisation Scenarios'!$B$9*I138)+H138*('Specialisation Scenarios'!$B$9*I138)))))</x:f>
        <x:v>32.86299930597859</x:v>
      </x:c>
      <x:c r="M138" s="576" t="str">
        <x:f>IF(COUNTIFS('Tank &amp; Control'!$A$23:$A$189,A138,'Tank &amp; Control'!$B$23:$B$189,B138,'Tank &amp; Control'!$C$23:$C$189,"Yes")&gt;0,"Yes","No")</x:f>
        <x:v>No</x:v>
      </x:c>
      <x:c r="N138" s="576" t="str">
        <x:f>IF(M138&lt;&gt;"Yes","",SUMIFS('Tank &amp; Control'!$L$23:$L$189,'Tank &amp; Control'!$A$23:$A$189,A138,'Tank &amp; Control'!$B$23:$B$189,B138))</x:f>
      </x:c>
      <x:c r="O138" s="576" t="n">
        <x:f>IF(SUMIFS('Specialisation Impact'!$M$19:$M$186,'Specialisation Impact'!$A$19:$A$186,A138,'Specialisation Impact'!$B$19:$B$186,B138)=0,"",SUMIFS('Specialisation Impact'!$V$19:$V$186,'Specialisation Impact'!$A$19:$A$186,A138,'Specialisation Impact'!$B$19:$B$186,B138))</x:f>
        <x:v>84.18803418803418</x:v>
      </x:c>
      <x:c r="P138" s="576" t="str">
        <x:f>IF(N138="","",N138)</x:f>
      </x:c>
      <x:c r="Q138" s="576" t="str">
        <x:f>IF(N138="","",IF(AC138=0,N138,MAX(0,MIN(100,N138*(1-'Specialisation Scenarios'!$B$8*AC138)+O138*('Specialisation Scenarios'!$B$8*AC138)))))</x:f>
      </x:c>
      <x:c r="R138" s="576" t="str">
        <x:f>IF(N138="","",IF(AC138=0,N138,MAX(0,MIN(100,N138*(1-'Specialisation Scenarios'!$B$9*AC138)+O138*('Specialisation Scenarios'!$B$9*AC138)))))</x:f>
      </x:c>
      <x:c r="S138" s="584" t="n">
        <x:f>IF(J138="","",COUNTIFS($A$6:$A$172,A138,$J$6:$J$172,"&gt;"&amp;J138)+COUNTIFS($A$6:A138,A138,$J$6:J138,J138))</x:f>
        <x:v>5</x:v>
      </x:c>
      <x:c r="T138" s="584" t="n">
        <x:f>IF(K138="","",COUNTIFS($A$6:$A$172,A138,$K$6:$K$172,"&gt;"&amp;K138)+COUNTIFS($A$6:A138,A138,$K$6:K138,K138))</x:f>
        <x:v>5</x:v>
      </x:c>
      <x:c r="U138" s="584" t="n">
        <x:f>IF(L138="","",COUNTIFS($A$6:$A$172,A138,$L$6:$L$172,"&gt;"&amp;L138)+COUNTIFS($A$6:A138,A138,$L$6:L138,L138))</x:f>
        <x:v>5</x:v>
      </x:c>
      <x:c r="V138" s="584" t="str">
        <x:f>IF(P138="","",COUNTIFS($A$6:$A$172,A138,$P$6:$P$172,"&gt;"&amp;P138)+COUNTIFS($A$6:A138,A138,$P$6:P138,P138))</x:f>
      </x:c>
      <x:c r="W138" s="584" t="str">
        <x:f>IF(Q138="","",COUNTIFS($A$6:$A$172,A138,$Q$6:$Q$172,"&gt;"&amp;Q138)+COUNTIFS($A$6:A138,A138,$Q$6:Q138,Q138))</x:f>
      </x:c>
      <x:c r="X138" s="584" t="str">
        <x:f>IF(R138="","",COUNTIFS($A$6:$A$172,A138,$R$6:$R$172,"&gt;"&amp;R138)+COUNTIFS($A$6:A138,A138,$R$6:R138,R138))</x:f>
      </x:c>
      <x:c r="Y138" s="572" t="str">
        <x:f>IF(V138="","",A138&amp;"|"&amp;V138)</x:f>
      </x:c>
      <x:c r="Z138" s="572" t="str">
        <x:f>IF(W138="","",A138&amp;"|"&amp;W138)</x:f>
      </x:c>
      <x:c r="AA138" s="572" t="str">
        <x:f>IF(X138="","",A138&amp;"|"&amp;X138)</x:f>
      </x:c>
      <x:c r="AB138" s="572" t="str">
        <x:f>IF(A138="","",IF(I138=0,"Offense neutral — no recorded offensive skills",IF(I138&lt;1,"Partial lookup — adjustment scaled",IF(AND(M138="Yes",AC138=0),"Offense adjusted; Guard neutral","Captured"))))</x:f>
        <x:v>Captured</x:v>
      </x:c>
      <x:c r="AC138" s="580" t="n">
        <x:f>IF(SUMIFS('Specialisation Impact'!$M$19:$M$186,'Specialisation Impact'!$A$19:$A$186,A138,'Specialisation Impact'!$B$19:$B$186,B138)=0,0,SUMIFS('Specialisation Impact'!$F$19:$F$186,'Specialisation Impact'!$A$19:$A$186,A138,'Specialisation Impact'!$B$19:$B$186,B138))</x:f>
        <x:v>1</x:v>
      </x:c>
    </x:row>
    <x:row r="139">
      <x:c r="A139" s="571" t="str">
        <x:v>K197</x:v>
      </x:c>
      <x:c r="B139" s="571" t="str">
        <x:v>LUIGUI</x:v>
      </x:c>
      <x:c r="C139" s="575" t="n">
        <x:f>IF($A139="","",AVERAGE(100*((COUNTIF('All Stats'!$D$6:$D$172,"&lt;"&amp;'All Stats'!D139)+(COUNTIF('All Stats'!$D$6:$D$172,'All Stats'!D139)-1)/2)/(COUNT('All Stats'!$D$6:$D$172)-1))^'Specialisation Scenarios'!$X$10,100*((COUNTIF('All Stats'!$G$6:$G$172,"&lt;"&amp;'All Stats'!G139)+(COUNTIF('All Stats'!$G$6:$G$172,'All Stats'!G139)-1)/2)/(COUNT('All Stats'!$G$6:$G$172)-1))^'Specialisation Scenarios'!$X$10,100*((COUNTIF('All Stats'!$I$6:$I$172,"&lt;"&amp;'All Stats'!I139)+(COUNTIF('All Stats'!$I$6:$I$172,'All Stats'!I139)-1)/2)/(COUNT('All Stats'!$I$6:$I$172)-1))^'Specialisation Scenarios'!$X$10))</x:f>
        <x:v>0.81015824957954</x:v>
      </x:c>
      <x:c r="D139" s="575" t="n">
        <x:f>IF($A139="","",AVERAGE(100*((COUNTIF('All Stats'!$R$6:$R$172,"&lt;"&amp;'All Stats'!R139)+(COUNTIF('All Stats'!$R$6:$R$172,'All Stats'!R139)-1)/2)/(COUNT('All Stats'!$R$6:$R$172)-1))^'Specialisation Scenarios'!$X$10,100*((COUNTIF('All Stats'!$U$6:$U$172,"&lt;"&amp;'All Stats'!U139)+(COUNTIF('All Stats'!$U$6:$U$172,'All Stats'!U139)-1)/2)/(COUNT('All Stats'!$U$6:$U$172)-1))^'Specialisation Scenarios'!$X$10,100*((COUNTIF('All Stats'!$W$6:$W$172,"&lt;"&amp;'All Stats'!W139)+(COUNTIF('All Stats'!$W$6:$W$172,'All Stats'!W139)-1)/2)/(COUNT('All Stats'!$W$6:$W$172)-1))^'Specialisation Scenarios'!$X$10))</x:f>
        <x:v>0.21173913325847615</x:v>
      </x:c>
      <x:c r="E139" s="575" t="n">
        <x:f>IF($A139="","",AVERAGE(100*((COUNTIF('All Stats'!$Y$6:$Y$172,"&lt;"&amp;'All Stats'!Y139)+(COUNTIF('All Stats'!$Y$6:$Y$172,'All Stats'!Y139)-1)/2)/(COUNT('All Stats'!$Y$6:$Y$172)-1))^'Specialisation Scenarios'!$X$10,100*((COUNTIF('All Stats'!$AB$6:$AB$172,"&lt;"&amp;'All Stats'!AB139)+(COUNTIF('All Stats'!$AB$6:$AB$172,'All Stats'!AB139)-1)/2)/(COUNT('All Stats'!$AB$6:$AB$172)-1))^'Specialisation Scenarios'!$X$10,100*((COUNTIF('All Stats'!$AD$6:$AD$172,"&lt;"&amp;'All Stats'!AD139)+(COUNTIF('All Stats'!$AD$6:$AD$172,'All Stats'!AD139)-1)/2)/(COUNT('All Stats'!$AD$6:$AD$172)-1))^'Specialisation Scenarios'!$X$10))</x:f>
        <x:v>7.285459070980511</x:v>
      </x:c>
      <x:c r="F139" s="575" t="n">
        <x:f>IF($A139="","",AVERAGE(100*((COUNTIF('All Stats'!$AF$6:$AF$172,"&lt;"&amp;'All Stats'!AF139)+(COUNTIF('All Stats'!$AF$6:$AF$172,'All Stats'!AF139)-1)/2)/(COUNT('All Stats'!$AF$6:$AF$172)-1))^'Specialisation Scenarios'!$X$10,100*((COUNTIF('All Stats'!$AI$6:$AI$172,"&lt;"&amp;'All Stats'!AI139)+(COUNTIF('All Stats'!$AI$6:$AI$172,'All Stats'!AI139)-1)/2)/(COUNT('All Stats'!$AI$6:$AI$172)-1))^'Specialisation Scenarios'!$X$10,100*((COUNTIF('All Stats'!$AK$6:$AK$172,"&lt;"&amp;'All Stats'!AK139)+(COUNTIF('All Stats'!$AK$6:$AK$172,'All Stats'!AK139)-1)/2)/(COUNT('All Stats'!$AK$6:$AK$172)-1))^'Specialisation Scenarios'!$X$10))</x:f>
        <x:v>0.32966093994111284</x:v>
      </x:c>
      <x:c r="G139" s="575" t="n">
        <x:f>IF($A139="","",C139*'Specialisation Scenarios'!$X$11+D139*'Specialisation Scenarios'!$X$12+E139*'Specialisation Scenarios'!$X$13+F139*'Specialisation Scenarios'!$X$14)</x:f>
        <x:v>1.0265622654812347</x:v>
      </x:c>
      <x:c r="H139" s="575" t="n">
        <x:f>IF(SUMIFS('Specialisation Impact'!$E$19:$E$186,'Specialisation Impact'!$A$19:$A$186,A139,'Specialisation Impact'!$B$19:$B$186,B139)=0,"",SUMIFS('Specialisation Impact'!$S$19:$S$186,'Specialisation Impact'!$A$19:$A$186,A139,'Specialisation Impact'!$B$19:$B$186,B139))</x:f>
        <x:v>3.2467532467532467</x:v>
      </x:c>
      <x:c r="I139" s="579" t="n">
        <x:f>IF(SUMIFS('Specialisation Impact'!$E$19:$E$186,'Specialisation Impact'!$A$19:$A$186,A139,'Specialisation Impact'!$B$19:$B$186,B139)=0,0,SUMIFS('Specialisation Impact'!$F$19:$F$186,'Specialisation Impact'!$A$19:$A$186,A139,'Specialisation Impact'!$B$19:$B$186,B139))</x:f>
        <x:v>1</x:v>
      </x:c>
      <x:c r="J139" s="575" t="n">
        <x:f>G139</x:f>
        <x:v>1.0265622654812347</x:v>
      </x:c>
      <x:c r="K139" s="575" t="n">
        <x:f>IF(G139="","",IF(I139=0,G139,MAX(0,MIN(100,G139*(1-'Specialisation Scenarios'!$B$8*I139)+H139*('Specialisation Scenarios'!$B$8*I139)))))</x:f>
        <x:v>1.581610010799238</x:v>
      </x:c>
      <x:c r="L139" s="575" t="n">
        <x:f>IF(G139="","",IF(I139=0,G139,MAX(0,MIN(100,G139*(1-'Specialisation Scenarios'!$B$9*I139)+H139*('Specialisation Scenarios'!$B$9*I139)))))</x:f>
        <x:v>1.803629108926439</x:v>
      </x:c>
      <x:c r="M139" s="575" t="str">
        <x:f>IF(COUNTIFS('Tank &amp; Control'!$A$23:$A$189,A139,'Tank &amp; Control'!$B$23:$B$189,B139,'Tank &amp; Control'!$C$23:$C$189,"Yes")&gt;0,"Yes","No")</x:f>
        <x:v>No</x:v>
      </x:c>
      <x:c r="N139" s="575" t="str">
        <x:f>IF(M139&lt;&gt;"Yes","",SUMIFS('Tank &amp; Control'!$L$23:$L$189,'Tank &amp; Control'!$A$23:$A$189,A139,'Tank &amp; Control'!$B$23:$B$189,B139))</x:f>
      </x:c>
      <x:c r="O139" s="575" t="str">
        <x:f>IF(SUMIFS('Specialisation Impact'!$M$19:$M$186,'Specialisation Impact'!$A$19:$A$186,A139,'Specialisation Impact'!$B$19:$B$186,B139)=0,"",SUMIFS('Specialisation Impact'!$V$19:$V$186,'Specialisation Impact'!$A$19:$A$186,A139,'Specialisation Impact'!$B$19:$B$186,B139))</x:f>
      </x:c>
      <x:c r="P139" s="575" t="str">
        <x:f>IF(N139="","",N139)</x:f>
      </x:c>
      <x:c r="Q139" s="575" t="str">
        <x:f>IF(N139="","",IF(AC139=0,N139,MAX(0,MIN(100,N139*(1-'Specialisation Scenarios'!$B$8*AC139)+O139*('Specialisation Scenarios'!$B$8*AC139)))))</x:f>
      </x:c>
      <x:c r="R139" s="575" t="str">
        <x:f>IF(N139="","",IF(AC139=0,N139,MAX(0,MIN(100,N139*(1-'Specialisation Scenarios'!$B$9*AC139)+O139*('Specialisation Scenarios'!$B$9*AC139)))))</x:f>
      </x:c>
      <x:c r="S139" s="583" t="n">
        <x:f>IF(J139="","",COUNTIFS($A$6:$A$172,A139,$J$6:$J$172,"&gt;"&amp;J139)+COUNTIFS($A$6:A139,A139,$J$6:J139,J139))</x:f>
        <x:v>19</x:v>
      </x:c>
      <x:c r="T139" s="583" t="n">
        <x:f>IF(K139="","",COUNTIFS($A$6:$A$172,A139,$K$6:$K$172,"&gt;"&amp;K139)+COUNTIFS($A$6:A139,A139,$K$6:K139,K139))</x:f>
        <x:v>19</x:v>
      </x:c>
      <x:c r="U139" s="583" t="n">
        <x:f>IF(L139="","",COUNTIFS($A$6:$A$172,A139,$L$6:$L$172,"&gt;"&amp;L139)+COUNTIFS($A$6:A139,A139,$L$6:L139,L139))</x:f>
        <x:v>19</x:v>
      </x:c>
      <x:c r="V139" s="583" t="str">
        <x:f>IF(P139="","",COUNTIFS($A$6:$A$172,A139,$P$6:$P$172,"&gt;"&amp;P139)+COUNTIFS($A$6:A139,A139,$P$6:P139,P139))</x:f>
      </x:c>
      <x:c r="W139" s="583" t="str">
        <x:f>IF(Q139="","",COUNTIFS($A$6:$A$172,A139,$Q$6:$Q$172,"&gt;"&amp;Q139)+COUNTIFS($A$6:A139,A139,$Q$6:Q139,Q139))</x:f>
      </x:c>
      <x:c r="X139" s="583" t="str">
        <x:f>IF(R139="","",COUNTIFS($A$6:$A$172,A139,$R$6:$R$172,"&gt;"&amp;R139)+COUNTIFS($A$6:A139,A139,$R$6:R139,R139))</x:f>
      </x:c>
      <x:c r="Y139" s="571" t="str">
        <x:f>IF(V139="","",A139&amp;"|"&amp;V139)</x:f>
      </x:c>
      <x:c r="Z139" s="571" t="str">
        <x:f>IF(W139="","",A139&amp;"|"&amp;W139)</x:f>
      </x:c>
      <x:c r="AA139" s="571" t="str">
        <x:f>IF(X139="","",A139&amp;"|"&amp;X139)</x:f>
      </x:c>
      <x:c r="AB139" s="571" t="str">
        <x:f>IF(A139="","",IF(I139=0,"Offense neutral — no recorded offensive skills",IF(I139&lt;1,"Partial lookup — adjustment scaled",IF(AND(M139="Yes",AC139=0),"Offense adjusted; Guard neutral","Captured"))))</x:f>
        <x:v>Captured</x:v>
      </x:c>
      <x:c r="AC139" s="579" t="n">
        <x:f>IF(SUMIFS('Specialisation Impact'!$M$19:$M$186,'Specialisation Impact'!$A$19:$A$186,A139,'Specialisation Impact'!$B$19:$B$186,B139)=0,0,SUMIFS('Specialisation Impact'!$F$19:$F$186,'Specialisation Impact'!$A$19:$A$186,A139,'Specialisation Impact'!$B$19:$B$186,B139))</x:f>
        <x:v>0</x:v>
      </x:c>
    </x:row>
    <x:row r="140">
      <x:c r="A140" s="572" t="str">
        <x:v>K197</x:v>
      </x:c>
      <x:c r="B140" s="572" t="str">
        <x:v>BocchiT__T</x:v>
      </x:c>
      <x:c r="C140" s="576" t="n">
        <x:f>IF($A140="","",AVERAGE(100*((COUNTIF('All Stats'!$D$6:$D$172,"&lt;"&amp;'All Stats'!D140)+(COUNTIF('All Stats'!$D$6:$D$172,'All Stats'!D140)-1)/2)/(COUNT('All Stats'!$D$6:$D$172)-1))^'Specialisation Scenarios'!$X$10,100*((COUNTIF('All Stats'!$G$6:$G$172,"&lt;"&amp;'All Stats'!G140)+(COUNTIF('All Stats'!$G$6:$G$172,'All Stats'!G140)-1)/2)/(COUNT('All Stats'!$G$6:$G$172)-1))^'Specialisation Scenarios'!$X$10,100*((COUNTIF('All Stats'!$I$6:$I$172,"&lt;"&amp;'All Stats'!I140)+(COUNTIF('All Stats'!$I$6:$I$172,'All Stats'!I140)-1)/2)/(COUNT('All Stats'!$I$6:$I$172)-1))^'Specialisation Scenarios'!$X$10))</x:f>
        <x:v>50.79540954796098</x:v>
      </x:c>
      <x:c r="D140" s="576" t="n">
        <x:f>IF($A140="","",AVERAGE(100*((COUNTIF('All Stats'!$R$6:$R$172,"&lt;"&amp;'All Stats'!R140)+(COUNTIF('All Stats'!$R$6:$R$172,'All Stats'!R140)-1)/2)/(COUNT('All Stats'!$R$6:$R$172)-1))^'Specialisation Scenarios'!$X$10,100*((COUNTIF('All Stats'!$U$6:$U$172,"&lt;"&amp;'All Stats'!U140)+(COUNTIF('All Stats'!$U$6:$U$172,'All Stats'!U140)-1)/2)/(COUNT('All Stats'!$U$6:$U$172)-1))^'Specialisation Scenarios'!$X$10,100*((COUNTIF('All Stats'!$W$6:$W$172,"&lt;"&amp;'All Stats'!W140)+(COUNTIF('All Stats'!$W$6:$W$172,'All Stats'!W140)-1)/2)/(COUNT('All Stats'!$W$6:$W$172)-1))^'Specialisation Scenarios'!$X$10))</x:f>
        <x:v>8.387307960515747</x:v>
      </x:c>
      <x:c r="E140" s="576" t="n">
        <x:f>IF($A140="","",AVERAGE(100*((COUNTIF('All Stats'!$Y$6:$Y$172,"&lt;"&amp;'All Stats'!Y140)+(COUNTIF('All Stats'!$Y$6:$Y$172,'All Stats'!Y140)-1)/2)/(COUNT('All Stats'!$Y$6:$Y$172)-1))^'Specialisation Scenarios'!$X$10,100*((COUNTIF('All Stats'!$AB$6:$AB$172,"&lt;"&amp;'All Stats'!AB140)+(COUNTIF('All Stats'!$AB$6:$AB$172,'All Stats'!AB140)-1)/2)/(COUNT('All Stats'!$AB$6:$AB$172)-1))^'Specialisation Scenarios'!$X$10,100*((COUNTIF('All Stats'!$AD$6:$AD$172,"&lt;"&amp;'All Stats'!AD140)+(COUNTIF('All Stats'!$AD$6:$AD$172,'All Stats'!AD140)-1)/2)/(COUNT('All Stats'!$AD$6:$AD$172)-1))^'Specialisation Scenarios'!$X$10))</x:f>
        <x:v>72.23681039379814</x:v>
      </x:c>
      <x:c r="F140" s="576" t="n">
        <x:f>IF($A140="","",AVERAGE(100*((COUNTIF('All Stats'!$AF$6:$AF$172,"&lt;"&amp;'All Stats'!AF140)+(COUNTIF('All Stats'!$AF$6:$AF$172,'All Stats'!AF140)-1)/2)/(COUNT('All Stats'!$AF$6:$AF$172)-1))^'Specialisation Scenarios'!$X$10,100*((COUNTIF('All Stats'!$AI$6:$AI$172,"&lt;"&amp;'All Stats'!AI140)+(COUNTIF('All Stats'!$AI$6:$AI$172,'All Stats'!AI140)-1)/2)/(COUNT('All Stats'!$AI$6:$AI$172)-1))^'Specialisation Scenarios'!$X$10,100*((COUNTIF('All Stats'!$AK$6:$AK$172,"&lt;"&amp;'All Stats'!AK140)+(COUNTIF('All Stats'!$AK$6:$AK$172,'All Stats'!AK140)-1)/2)/(COUNT('All Stats'!$AK$6:$AK$172)-1))^'Specialisation Scenarios'!$X$10))</x:f>
        <x:v>33.62038740319105</x:v>
      </x:c>
      <x:c r="G140" s="576" t="n">
        <x:f>IF($A140="","",C140*'Specialisation Scenarios'!$X$11+D140*'Specialisation Scenarios'!$X$12+E140*'Specialisation Scenarios'!$X$13+F140*'Specialisation Scenarios'!$X$14)</x:f>
        <x:v>24.918435358362064</x:v>
      </x:c>
      <x:c r="H140" s="576" t="n">
        <x:f>IF(SUMIFS('Specialisation Impact'!$E$19:$E$186,'Specialisation Impact'!$A$19:$A$186,A140,'Specialisation Impact'!$B$19:$B$186,B140)=0,"",SUMIFS('Specialisation Impact'!$S$19:$S$186,'Specialisation Impact'!$A$19:$A$186,A140,'Specialisation Impact'!$B$19:$B$186,B140))</x:f>
        <x:v>29.48051948051948</x:v>
      </x:c>
      <x:c r="I140" s="580" t="n">
        <x:f>IF(SUMIFS('Specialisation Impact'!$E$19:$E$186,'Specialisation Impact'!$A$19:$A$186,A140,'Specialisation Impact'!$B$19:$B$186,B140)=0,0,SUMIFS('Specialisation Impact'!$F$19:$F$186,'Specialisation Impact'!$A$19:$A$186,A140,'Specialisation Impact'!$B$19:$B$186,B140))</x:f>
        <x:v>1</x:v>
      </x:c>
      <x:c r="J140" s="576" t="n">
        <x:f>G140</x:f>
        <x:v>24.918435358362064</x:v>
      </x:c>
      <x:c r="K140" s="576" t="n">
        <x:f>IF(G140="","",IF(I140=0,G140,MAX(0,MIN(100,G140*(1-'Specialisation Scenarios'!$B$8*I140)+H140*('Specialisation Scenarios'!$B$8*I140)))))</x:f>
        <x:v>26.058956388901418</x:v>
      </x:c>
      <x:c r="L140" s="576" t="n">
        <x:f>IF(G140="","",IF(I140=0,G140,MAX(0,MIN(100,G140*(1-'Specialisation Scenarios'!$B$9*I140)+H140*('Specialisation Scenarios'!$B$9*I140)))))</x:f>
        <x:v>26.51516480111716</x:v>
      </x:c>
      <x:c r="M140" s="576" t="str">
        <x:f>IF(COUNTIFS('Tank &amp; Control'!$A$23:$A$189,A140,'Tank &amp; Control'!$B$23:$B$189,B140,'Tank &amp; Control'!$C$23:$C$189,"Yes")&gt;0,"Yes","No")</x:f>
        <x:v>No</x:v>
      </x:c>
      <x:c r="N140" s="576" t="str">
        <x:f>IF(M140&lt;&gt;"Yes","",SUMIFS('Tank &amp; Control'!$L$23:$L$189,'Tank &amp; Control'!$A$23:$A$189,A140,'Tank &amp; Control'!$B$23:$B$189,B140))</x:f>
      </x:c>
      <x:c r="O140" s="576" t="str">
        <x:f>IF(SUMIFS('Specialisation Impact'!$M$19:$M$186,'Specialisation Impact'!$A$19:$A$186,A140,'Specialisation Impact'!$B$19:$B$186,B140)=0,"",SUMIFS('Specialisation Impact'!$V$19:$V$186,'Specialisation Impact'!$A$19:$A$186,A140,'Specialisation Impact'!$B$19:$B$186,B140))</x:f>
      </x:c>
      <x:c r="P140" s="576" t="str">
        <x:f>IF(N140="","",N140)</x:f>
      </x:c>
      <x:c r="Q140" s="576" t="str">
        <x:f>IF(N140="","",IF(AC140=0,N140,MAX(0,MIN(100,N140*(1-'Specialisation Scenarios'!$B$8*AC140)+O140*('Specialisation Scenarios'!$B$8*AC140)))))</x:f>
      </x:c>
      <x:c r="R140" s="576" t="str">
        <x:f>IF(N140="","",IF(AC140=0,N140,MAX(0,MIN(100,N140*(1-'Specialisation Scenarios'!$B$9*AC140)+O140*('Specialisation Scenarios'!$B$9*AC140)))))</x:f>
      </x:c>
      <x:c r="S140" s="584" t="n">
        <x:f>IF(J140="","",COUNTIFS($A$6:$A$172,A140,$J$6:$J$172,"&gt;"&amp;J140)+COUNTIFS($A$6:A140,A140,$J$6:J140,J140))</x:f>
        <x:v>9</x:v>
      </x:c>
      <x:c r="T140" s="584" t="n">
        <x:f>IF(K140="","",COUNTIFS($A$6:$A$172,A140,$K$6:$K$172,"&gt;"&amp;K140)+COUNTIFS($A$6:A140,A140,$K$6:K140,K140))</x:f>
        <x:v>9</x:v>
      </x:c>
      <x:c r="U140" s="584" t="n">
        <x:f>IF(L140="","",COUNTIFS($A$6:$A$172,A140,$L$6:$L$172,"&gt;"&amp;L140)+COUNTIFS($A$6:A140,A140,$L$6:L140,L140))</x:f>
        <x:v>9</x:v>
      </x:c>
      <x:c r="V140" s="584" t="str">
        <x:f>IF(P140="","",COUNTIFS($A$6:$A$172,A140,$P$6:$P$172,"&gt;"&amp;P140)+COUNTIFS($A$6:A140,A140,$P$6:P140,P140))</x:f>
      </x:c>
      <x:c r="W140" s="584" t="str">
        <x:f>IF(Q140="","",COUNTIFS($A$6:$A$172,A140,$Q$6:$Q$172,"&gt;"&amp;Q140)+COUNTIFS($A$6:A140,A140,$Q$6:Q140,Q140))</x:f>
      </x:c>
      <x:c r="X140" s="584" t="str">
        <x:f>IF(R140="","",COUNTIFS($A$6:$A$172,A140,$R$6:$R$172,"&gt;"&amp;R140)+COUNTIFS($A$6:A140,A140,$R$6:R140,R140))</x:f>
      </x:c>
      <x:c r="Y140" s="572" t="str">
        <x:f>IF(V140="","",A140&amp;"|"&amp;V140)</x:f>
      </x:c>
      <x:c r="Z140" s="572" t="str">
        <x:f>IF(W140="","",A140&amp;"|"&amp;W140)</x:f>
      </x:c>
      <x:c r="AA140" s="572" t="str">
        <x:f>IF(X140="","",A140&amp;"|"&amp;X140)</x:f>
      </x:c>
      <x:c r="AB140" s="572" t="str">
        <x:f>IF(A140="","",IF(I140=0,"Offense neutral — no recorded offensive skills",IF(I140&lt;1,"Partial lookup — adjustment scaled",IF(AND(M140="Yes",AC140=0),"Offense adjusted; Guard neutral","Captured"))))</x:f>
        <x:v>Captured</x:v>
      </x:c>
      <x:c r="AC140" s="580" t="n">
        <x:f>IF(SUMIFS('Specialisation Impact'!$M$19:$M$186,'Specialisation Impact'!$A$19:$A$186,A140,'Specialisation Impact'!$B$19:$B$186,B140)=0,0,SUMIFS('Specialisation Impact'!$F$19:$F$186,'Specialisation Impact'!$A$19:$A$186,A140,'Specialisation Impact'!$B$19:$B$186,B140))</x:f>
        <x:v>0</x:v>
      </x:c>
    </x:row>
    <x:row r="141">
      <x:c r="A141" s="571" t="str">
        <x:v>K197</x:v>
      </x:c>
      <x:c r="B141" s="571" t="str">
        <x:v>-GAMERMAN-</x:v>
      </x:c>
      <x:c r="C141" s="575" t="n">
        <x:f>IF($A141="","",AVERAGE(100*((COUNTIF('All Stats'!$D$6:$D$172,"&lt;"&amp;'All Stats'!D141)+(COUNTIF('All Stats'!$D$6:$D$172,'All Stats'!D141)-1)/2)/(COUNT('All Stats'!$D$6:$D$172)-1))^'Specialisation Scenarios'!$X$10,100*((COUNTIF('All Stats'!$G$6:$G$172,"&lt;"&amp;'All Stats'!G141)+(COUNTIF('All Stats'!$G$6:$G$172,'All Stats'!G141)-1)/2)/(COUNT('All Stats'!$G$6:$G$172)-1))^'Specialisation Scenarios'!$X$10,100*((COUNTIF('All Stats'!$I$6:$I$172,"&lt;"&amp;'All Stats'!I141)+(COUNTIF('All Stats'!$I$6:$I$172,'All Stats'!I141)-1)/2)/(COUNT('All Stats'!$I$6:$I$172)-1))^'Specialisation Scenarios'!$X$10))</x:f>
        <x:v>73.74480699726554</x:v>
      </x:c>
      <x:c r="D141" s="575" t="n">
        <x:f>IF($A141="","",AVERAGE(100*((COUNTIF('All Stats'!$R$6:$R$172,"&lt;"&amp;'All Stats'!R141)+(COUNTIF('All Stats'!$R$6:$R$172,'All Stats'!R141)-1)/2)/(COUNT('All Stats'!$R$6:$R$172)-1))^'Specialisation Scenarios'!$X$10,100*((COUNTIF('All Stats'!$U$6:$U$172,"&lt;"&amp;'All Stats'!U141)+(COUNTIF('All Stats'!$U$6:$U$172,'All Stats'!U141)-1)/2)/(COUNT('All Stats'!$U$6:$U$172)-1))^'Specialisation Scenarios'!$X$10,100*((COUNTIF('All Stats'!$W$6:$W$172,"&lt;"&amp;'All Stats'!W141)+(COUNTIF('All Stats'!$W$6:$W$172,'All Stats'!W141)-1)/2)/(COUNT('All Stats'!$W$6:$W$172)-1))^'Specialisation Scenarios'!$X$10))</x:f>
        <x:v>82.13496814161296</x:v>
      </x:c>
      <x:c r="E141" s="575" t="n">
        <x:f>IF($A141="","",AVERAGE(100*((COUNTIF('All Stats'!$Y$6:$Y$172,"&lt;"&amp;'All Stats'!Y141)+(COUNTIF('All Stats'!$Y$6:$Y$172,'All Stats'!Y141)-1)/2)/(COUNT('All Stats'!$Y$6:$Y$172)-1))^'Specialisation Scenarios'!$X$10,100*((COUNTIF('All Stats'!$AB$6:$AB$172,"&lt;"&amp;'All Stats'!AB141)+(COUNTIF('All Stats'!$AB$6:$AB$172,'All Stats'!AB141)-1)/2)/(COUNT('All Stats'!$AB$6:$AB$172)-1))^'Specialisation Scenarios'!$X$10,100*((COUNTIF('All Stats'!$AD$6:$AD$172,"&lt;"&amp;'All Stats'!AD141)+(COUNTIF('All Stats'!$AD$6:$AD$172,'All Stats'!AD141)-1)/2)/(COUNT('All Stats'!$AD$6:$AD$172)-1))^'Specialisation Scenarios'!$X$10))</x:f>
        <x:v>78.42657695256133</x:v>
      </x:c>
      <x:c r="F141" s="575" t="n">
        <x:f>IF($A141="","",AVERAGE(100*((COUNTIF('All Stats'!$AF$6:$AF$172,"&lt;"&amp;'All Stats'!AF141)+(COUNTIF('All Stats'!$AF$6:$AF$172,'All Stats'!AF141)-1)/2)/(COUNT('All Stats'!$AF$6:$AF$172)-1))^'Specialisation Scenarios'!$X$10,100*((COUNTIF('All Stats'!$AI$6:$AI$172,"&lt;"&amp;'All Stats'!AI141)+(COUNTIF('All Stats'!$AI$6:$AI$172,'All Stats'!AI141)-1)/2)/(COUNT('All Stats'!$AI$6:$AI$172)-1))^'Specialisation Scenarios'!$X$10,100*((COUNTIF('All Stats'!$AK$6:$AK$172,"&lt;"&amp;'All Stats'!AK141)+(COUNTIF('All Stats'!$AK$6:$AK$172,'All Stats'!AK141)-1)/2)/(COUNT('All Stats'!$AK$6:$AK$172)-1))^'Specialisation Scenarios'!$X$10))</x:f>
        <x:v>91.22686106152473</x:v>
      </x:c>
      <x:c r="G141" s="575" t="n">
        <x:f>IF($A141="","",C141*'Specialisation Scenarios'!$X$11+D141*'Specialisation Scenarios'!$X$12+E141*'Specialisation Scenarios'!$X$13+F141*'Specialisation Scenarios'!$X$14)</x:f>
        <x:v>81.86938878904246</x:v>
      </x:c>
      <x:c r="H141" s="575" t="n">
        <x:f>IF(SUMIFS('Specialisation Impact'!$E$19:$E$186,'Specialisation Impact'!$A$19:$A$186,A141,'Specialisation Impact'!$B$19:$B$186,B141)=0,"",SUMIFS('Specialisation Impact'!$S$19:$S$186,'Specialisation Impact'!$A$19:$A$186,A141,'Specialisation Impact'!$B$19:$B$186,B141))</x:f>
        <x:v>98.7012987012987</x:v>
      </x:c>
      <x:c r="I141" s="579" t="n">
        <x:f>IF(SUMIFS('Specialisation Impact'!$E$19:$E$186,'Specialisation Impact'!$A$19:$A$186,A141,'Specialisation Impact'!$B$19:$B$186,B141)=0,0,SUMIFS('Specialisation Impact'!$F$19:$F$186,'Specialisation Impact'!$A$19:$A$186,A141,'Specialisation Impact'!$B$19:$B$186,B141))</x:f>
        <x:v>1</x:v>
      </x:c>
      <x:c r="J141" s="575" t="n">
        <x:f>G141</x:f>
        <x:v>81.86938878904246</x:v>
      </x:c>
      <x:c r="K141" s="575" t="n">
        <x:f>IF(G141="","",IF(I141=0,G141,MAX(0,MIN(100,G141*(1-'Specialisation Scenarios'!$B$8*I141)+H141*('Specialisation Scenarios'!$B$8*I141)))))</x:f>
        <x:v>86.07736626710653</x:v>
      </x:c>
      <x:c r="L141" s="575" t="n">
        <x:f>IF(G141="","",IF(I141=0,G141,MAX(0,MIN(100,G141*(1-'Specialisation Scenarios'!$B$9*I141)+H141*('Specialisation Scenarios'!$B$9*I141)))))</x:f>
        <x:v>87.76055725833214</x:v>
      </x:c>
      <x:c r="M141" s="575" t="str">
        <x:f>IF(COUNTIFS('Tank &amp; Control'!$A$23:$A$189,A141,'Tank &amp; Control'!$B$23:$B$189,B141,'Tank &amp; Control'!$C$23:$C$189,"Yes")&gt;0,"Yes","No")</x:f>
        <x:v>Yes</x:v>
      </x:c>
      <x:c r="N141" s="575" t="n">
        <x:f>IF(M141&lt;&gt;"Yes","",SUMIFS('Tank &amp; Control'!$L$23:$L$189,'Tank &amp; Control'!$A$23:$A$189,A141,'Tank &amp; Control'!$B$23:$B$189,B141))</x:f>
        <x:v>45.238810317329474</x:v>
      </x:c>
      <x:c r="O141" s="575" t="str">
        <x:f>IF(SUMIFS('Specialisation Impact'!$M$19:$M$186,'Specialisation Impact'!$A$19:$A$186,A141,'Specialisation Impact'!$B$19:$B$186,B141)=0,"",SUMIFS('Specialisation Impact'!$V$19:$V$186,'Specialisation Impact'!$A$19:$A$186,A141,'Specialisation Impact'!$B$19:$B$186,B141))</x:f>
      </x:c>
      <x:c r="P141" s="575" t="n">
        <x:f>IF(N141="","",N141)</x:f>
        <x:v>45.238810317329474</x:v>
      </x:c>
      <x:c r="Q141" s="575" t="n">
        <x:f>IF(N141="","",IF(AC141=0,N141,MAX(0,MIN(100,N141*(1-'Specialisation Scenarios'!$B$8*AC141)+O141*('Specialisation Scenarios'!$B$8*AC141)))))</x:f>
        <x:v>45.238810317329474</x:v>
      </x:c>
      <x:c r="R141" s="575" t="n">
        <x:f>IF(N141="","",IF(AC141=0,N141,MAX(0,MIN(100,N141*(1-'Specialisation Scenarios'!$B$9*AC141)+O141*('Specialisation Scenarios'!$B$9*AC141)))))</x:f>
        <x:v>45.238810317329474</x:v>
      </x:c>
      <x:c r="S141" s="583" t="n">
        <x:f>IF(J141="","",COUNTIFS($A$6:$A$172,A141,$J$6:$J$172,"&gt;"&amp;J141)+COUNTIFS($A$6:A141,A141,$J$6:J141,J141))</x:f>
        <x:v>2</x:v>
      </x:c>
      <x:c r="T141" s="583" t="n">
        <x:f>IF(K141="","",COUNTIFS($A$6:$A$172,A141,$K$6:$K$172,"&gt;"&amp;K141)+COUNTIFS($A$6:A141,A141,$K$6:K141,K141))</x:f>
        <x:v>2</x:v>
      </x:c>
      <x:c r="U141" s="583" t="n">
        <x:f>IF(L141="","",COUNTIFS($A$6:$A$172,A141,$L$6:$L$172,"&gt;"&amp;L141)+COUNTIFS($A$6:A141,A141,$L$6:L141,L141))</x:f>
        <x:v>2</x:v>
      </x:c>
      <x:c r="V141" s="583" t="n">
        <x:f>IF(P141="","",COUNTIFS($A$6:$A$172,A141,$P$6:$P$172,"&gt;"&amp;P141)+COUNTIFS($A$6:A141,A141,$P$6:P141,P141))</x:f>
        <x:v>2</x:v>
      </x:c>
      <x:c r="W141" s="583" t="n">
        <x:f>IF(Q141="","",COUNTIFS($A$6:$A$172,A141,$Q$6:$Q$172,"&gt;"&amp;Q141)+COUNTIFS($A$6:A141,A141,$Q$6:Q141,Q141))</x:f>
        <x:v>2</x:v>
      </x:c>
      <x:c r="X141" s="583" t="n">
        <x:f>IF(R141="","",COUNTIFS($A$6:$A$172,A141,$R$6:$R$172,"&gt;"&amp;R141)+COUNTIFS($A$6:A141,A141,$R$6:R141,R141))</x:f>
        <x:v>2</x:v>
      </x:c>
      <x:c r="Y141" s="571" t="str">
        <x:f>IF(V141="","",A141&amp;"|"&amp;V141)</x:f>
        <x:v>K197|2</x:v>
      </x:c>
      <x:c r="Z141" s="571" t="str">
        <x:f>IF(W141="","",A141&amp;"|"&amp;W141)</x:f>
        <x:v>K197|2</x:v>
      </x:c>
      <x:c r="AA141" s="571" t="str">
        <x:f>IF(X141="","",A141&amp;"|"&amp;X141)</x:f>
        <x:v>K197|2</x:v>
      </x:c>
      <x:c r="AB141" s="571" t="str">
        <x:f>IF(A141="","",IF(I141=0,"Offense neutral — no recorded offensive skills",IF(I141&lt;1,"Partial lookup — adjustment scaled",IF(AND(M141="Yes",AC141=0),"Offense adjusted; Guard neutral","Captured"))))</x:f>
        <x:v>Offense adjusted; Guard neutral</x:v>
      </x:c>
      <x:c r="AC141" s="579" t="n">
        <x:f>IF(SUMIFS('Specialisation Impact'!$M$19:$M$186,'Specialisation Impact'!$A$19:$A$186,A141,'Specialisation Impact'!$B$19:$B$186,B141)=0,0,SUMIFS('Specialisation Impact'!$F$19:$F$186,'Specialisation Impact'!$A$19:$A$186,A141,'Specialisation Impact'!$B$19:$B$186,B141))</x:f>
        <x:v>0</x:v>
      </x:c>
    </x:row>
    <x:row r="142">
      <x:c r="A142" s="572" t="str">
        <x:v>K197</x:v>
      </x:c>
      <x:c r="B142" s="572" t="str">
        <x:v>ღbaby买买买ღ</x:v>
      </x:c>
      <x:c r="C142" s="576" t="n">
        <x:f>IF($A142="","",AVERAGE(100*((COUNTIF('All Stats'!$D$6:$D$172,"&lt;"&amp;'All Stats'!D142)+(COUNTIF('All Stats'!$D$6:$D$172,'All Stats'!D142)-1)/2)/(COUNT('All Stats'!$D$6:$D$172)-1))^'Specialisation Scenarios'!$X$10,100*((COUNTIF('All Stats'!$G$6:$G$172,"&lt;"&amp;'All Stats'!G142)+(COUNTIF('All Stats'!$G$6:$G$172,'All Stats'!G142)-1)/2)/(COUNT('All Stats'!$G$6:$G$172)-1))^'Specialisation Scenarios'!$X$10,100*((COUNTIF('All Stats'!$I$6:$I$172,"&lt;"&amp;'All Stats'!I142)+(COUNTIF('All Stats'!$I$6:$I$172,'All Stats'!I142)-1)/2)/(COUNT('All Stats'!$I$6:$I$172)-1))^'Specialisation Scenarios'!$X$10))</x:f>
        <x:v>72.32021374155232</x:v>
      </x:c>
      <x:c r="D142" s="576" t="n">
        <x:f>IF($A142="","",AVERAGE(100*((COUNTIF('All Stats'!$R$6:$R$172,"&lt;"&amp;'All Stats'!R142)+(COUNTIF('All Stats'!$R$6:$R$172,'All Stats'!R142)-1)/2)/(COUNT('All Stats'!$R$6:$R$172)-1))^'Specialisation Scenarios'!$X$10,100*((COUNTIF('All Stats'!$U$6:$U$172,"&lt;"&amp;'All Stats'!U142)+(COUNTIF('All Stats'!$U$6:$U$172,'All Stats'!U142)-1)/2)/(COUNT('All Stats'!$U$6:$U$172)-1))^'Specialisation Scenarios'!$X$10,100*((COUNTIF('All Stats'!$W$6:$W$172,"&lt;"&amp;'All Stats'!W142)+(COUNTIF('All Stats'!$W$6:$W$172,'All Stats'!W142)-1)/2)/(COUNT('All Stats'!$W$6:$W$172)-1))^'Specialisation Scenarios'!$X$10))</x:f>
        <x:v>15.696554054443366</x:v>
      </x:c>
      <x:c r="E142" s="576" t="n">
        <x:f>IF($A142="","",AVERAGE(100*((COUNTIF('All Stats'!$Y$6:$Y$172,"&lt;"&amp;'All Stats'!Y142)+(COUNTIF('All Stats'!$Y$6:$Y$172,'All Stats'!Y142)-1)/2)/(COUNT('All Stats'!$Y$6:$Y$172)-1))^'Specialisation Scenarios'!$X$10,100*((COUNTIF('All Stats'!$AB$6:$AB$172,"&lt;"&amp;'All Stats'!AB142)+(COUNTIF('All Stats'!$AB$6:$AB$172,'All Stats'!AB142)-1)/2)/(COUNT('All Stats'!$AB$6:$AB$172)-1))^'Specialisation Scenarios'!$X$10,100*((COUNTIF('All Stats'!$AD$6:$AD$172,"&lt;"&amp;'All Stats'!AD142)+(COUNTIF('All Stats'!$AD$6:$AD$172,'All Stats'!AD142)-1)/2)/(COUNT('All Stats'!$AD$6:$AD$172)-1))^'Specialisation Scenarios'!$X$10))</x:f>
        <x:v>74.53052150775231</x:v>
      </x:c>
      <x:c r="F142" s="576" t="n">
        <x:f>IF($A142="","",AVERAGE(100*((COUNTIF('All Stats'!$AF$6:$AF$172,"&lt;"&amp;'All Stats'!AF142)+(COUNTIF('All Stats'!$AF$6:$AF$172,'All Stats'!AF142)-1)/2)/(COUNT('All Stats'!$AF$6:$AF$172)-1))^'Specialisation Scenarios'!$X$10,100*((COUNTIF('All Stats'!$AI$6:$AI$172,"&lt;"&amp;'All Stats'!AI142)+(COUNTIF('All Stats'!$AI$6:$AI$172,'All Stats'!AI142)-1)/2)/(COUNT('All Stats'!$AI$6:$AI$172)-1))^'Specialisation Scenarios'!$X$10,100*((COUNTIF('All Stats'!$AK$6:$AK$172,"&lt;"&amp;'All Stats'!AK142)+(COUNTIF('All Stats'!$AK$6:$AK$172,'All Stats'!AK142)-1)/2)/(COUNT('All Stats'!$AK$6:$AK$172)-1))^'Specialisation Scenarios'!$X$10))</x:f>
        <x:v>8.735253357474319</x:v>
      </x:c>
      <x:c r="G142" s="576" t="n">
        <x:f>IF($A142="","",C142*'Specialisation Scenarios'!$X$11+D142*'Specialisation Scenarios'!$X$12+E142*'Specialisation Scenarios'!$X$13+F142*'Specialisation Scenarios'!$X$14)</x:f>
        <x:v>29.029304648295245</x:v>
      </x:c>
      <x:c r="H142" s="576" t="n">
        <x:f>IF(SUMIFS('Specialisation Impact'!$E$19:$E$186,'Specialisation Impact'!$A$19:$A$186,A142,'Specialisation Impact'!$B$19:$B$186,B142)=0,"",SUMIFS('Specialisation Impact'!$S$19:$S$186,'Specialisation Impact'!$A$19:$A$186,A142,'Specialisation Impact'!$B$19:$B$186,B142))</x:f>
        <x:v>29.48051948051948</x:v>
      </x:c>
      <x:c r="I142" s="580" t="n">
        <x:f>IF(SUMIFS('Specialisation Impact'!$E$19:$E$186,'Specialisation Impact'!$A$19:$A$186,A142,'Specialisation Impact'!$B$19:$B$186,B142)=0,0,SUMIFS('Specialisation Impact'!$F$19:$F$186,'Specialisation Impact'!$A$19:$A$186,A142,'Specialisation Impact'!$B$19:$B$186,B142))</x:f>
        <x:v>0.5</x:v>
      </x:c>
      <x:c r="J142" s="576" t="n">
        <x:f>G142</x:f>
        <x:v>29.029304648295245</x:v>
      </x:c>
      <x:c r="K142" s="576" t="n">
        <x:f>IF(G142="","",IF(I142=0,G142,MAX(0,MIN(100,G142*(1-'Specialisation Scenarios'!$B$8*I142)+H142*('Specialisation Scenarios'!$B$8*I142)))))</x:f>
        <x:v>29.085706502323276</x:v>
      </x:c>
      <x:c r="L142" s="576" t="n">
        <x:f>IF(G142="","",IF(I142=0,G142,MAX(0,MIN(100,G142*(1-'Specialisation Scenarios'!$B$9*I142)+H142*('Specialisation Scenarios'!$B$9*I142)))))</x:f>
        <x:v>29.108267243934485</x:v>
      </x:c>
      <x:c r="M142" s="576" t="str">
        <x:f>IF(COUNTIFS('Tank &amp; Control'!$A$23:$A$189,A142,'Tank &amp; Control'!$B$23:$B$189,B142,'Tank &amp; Control'!$C$23:$C$189,"Yes")&gt;0,"Yes","No")</x:f>
        <x:v>No</x:v>
      </x:c>
      <x:c r="N142" s="576" t="str">
        <x:f>IF(M142&lt;&gt;"Yes","",SUMIFS('Tank &amp; Control'!$L$23:$L$189,'Tank &amp; Control'!$A$23:$A$189,A142,'Tank &amp; Control'!$B$23:$B$189,B142))</x:f>
      </x:c>
      <x:c r="O142" s="576" t="str">
        <x:f>IF(SUMIFS('Specialisation Impact'!$M$19:$M$186,'Specialisation Impact'!$A$19:$A$186,A142,'Specialisation Impact'!$B$19:$B$186,B142)=0,"",SUMIFS('Specialisation Impact'!$V$19:$V$186,'Specialisation Impact'!$A$19:$A$186,A142,'Specialisation Impact'!$B$19:$B$186,B142))</x:f>
      </x:c>
      <x:c r="P142" s="576" t="str">
        <x:f>IF(N142="","",N142)</x:f>
      </x:c>
      <x:c r="Q142" s="576" t="str">
        <x:f>IF(N142="","",IF(AC142=0,N142,MAX(0,MIN(100,N142*(1-'Specialisation Scenarios'!$B$8*AC142)+O142*('Specialisation Scenarios'!$B$8*AC142)))))</x:f>
      </x:c>
      <x:c r="R142" s="576" t="str">
        <x:f>IF(N142="","",IF(AC142=0,N142,MAX(0,MIN(100,N142*(1-'Specialisation Scenarios'!$B$9*AC142)+O142*('Specialisation Scenarios'!$B$9*AC142)))))</x:f>
      </x:c>
      <x:c r="S142" s="584" t="n">
        <x:f>IF(J142="","",COUNTIFS($A$6:$A$172,A142,$J$6:$J$172,"&gt;"&amp;J142)+COUNTIFS($A$6:A142,A142,$J$6:J142,J142))</x:f>
        <x:v>6</x:v>
      </x:c>
      <x:c r="T142" s="584" t="n">
        <x:f>IF(K142="","",COUNTIFS($A$6:$A$172,A142,$K$6:$K$172,"&gt;"&amp;K142)+COUNTIFS($A$6:A142,A142,$K$6:K142,K142))</x:f>
        <x:v>6</x:v>
      </x:c>
      <x:c r="U142" s="584" t="n">
        <x:f>IF(L142="","",COUNTIFS($A$6:$A$172,A142,$L$6:$L$172,"&gt;"&amp;L142)+COUNTIFS($A$6:A142,A142,$L$6:L142,L142))</x:f>
        <x:v>6</x:v>
      </x:c>
      <x:c r="V142" s="584" t="str">
        <x:f>IF(P142="","",COUNTIFS($A$6:$A$172,A142,$P$6:$P$172,"&gt;"&amp;P142)+COUNTIFS($A$6:A142,A142,$P$6:P142,P142))</x:f>
      </x:c>
      <x:c r="W142" s="584" t="str">
        <x:f>IF(Q142="","",COUNTIFS($A$6:$A$172,A142,$Q$6:$Q$172,"&gt;"&amp;Q142)+COUNTIFS($A$6:A142,A142,$Q$6:Q142,Q142))</x:f>
      </x:c>
      <x:c r="X142" s="584" t="str">
        <x:f>IF(R142="","",COUNTIFS($A$6:$A$172,A142,$R$6:$R$172,"&gt;"&amp;R142)+COUNTIFS($A$6:A142,A142,$R$6:R142,R142))</x:f>
      </x:c>
      <x:c r="Y142" s="572" t="str">
        <x:f>IF(V142="","",A142&amp;"|"&amp;V142)</x:f>
      </x:c>
      <x:c r="Z142" s="572" t="str">
        <x:f>IF(W142="","",A142&amp;"|"&amp;W142)</x:f>
      </x:c>
      <x:c r="AA142" s="572" t="str">
        <x:f>IF(X142="","",A142&amp;"|"&amp;X142)</x:f>
      </x:c>
      <x:c r="AB142" s="572" t="str">
        <x:f>IF(A142="","",IF(I142=0,"Offense neutral — no recorded offensive skills",IF(I142&lt;1,"Partial lookup — adjustment scaled",IF(AND(M142="Yes",AC142=0),"Offense adjusted; Guard neutral","Captured"))))</x:f>
        <x:v>Partial lookup — adjustment scaled</x:v>
      </x:c>
      <x:c r="AC142" s="580" t="n">
        <x:f>IF(SUMIFS('Specialisation Impact'!$M$19:$M$186,'Specialisation Impact'!$A$19:$A$186,A142,'Specialisation Impact'!$B$19:$B$186,B142)=0,0,SUMIFS('Specialisation Impact'!$F$19:$F$186,'Specialisation Impact'!$A$19:$A$186,A142,'Specialisation Impact'!$B$19:$B$186,B142))</x:f>
        <x:v>0</x:v>
      </x:c>
    </x:row>
    <x:row r="143">
      <x:c r="A143" s="571" t="str">
        <x:v>K197</x:v>
      </x:c>
      <x:c r="B143" s="571" t="str">
        <x:v>Viking</x:v>
      </x:c>
      <x:c r="C143" s="575" t="n">
        <x:f>IF($A143="","",AVERAGE(100*((COUNTIF('All Stats'!$D$6:$D$172,"&lt;"&amp;'All Stats'!D143)+(COUNTIF('All Stats'!$D$6:$D$172,'All Stats'!D143)-1)/2)/(COUNT('All Stats'!$D$6:$D$172)-1))^'Specialisation Scenarios'!$X$10,100*((COUNTIF('All Stats'!$G$6:$G$172,"&lt;"&amp;'All Stats'!G143)+(COUNTIF('All Stats'!$G$6:$G$172,'All Stats'!G143)-1)/2)/(COUNT('All Stats'!$G$6:$G$172)-1))^'Specialisation Scenarios'!$X$10,100*((COUNTIF('All Stats'!$I$6:$I$172,"&lt;"&amp;'All Stats'!I143)+(COUNTIF('All Stats'!$I$6:$I$172,'All Stats'!I143)-1)/2)/(COUNT('All Stats'!$I$6:$I$172)-1))^'Specialisation Scenarios'!$X$10))</x:f>
        <x:v>28.690359320632922</x:v>
      </x:c>
      <x:c r="D143" s="575" t="n">
        <x:f>IF($A143="","",AVERAGE(100*((COUNTIF('All Stats'!$R$6:$R$172,"&lt;"&amp;'All Stats'!R143)+(COUNTIF('All Stats'!$R$6:$R$172,'All Stats'!R143)-1)/2)/(COUNT('All Stats'!$R$6:$R$172)-1))^'Specialisation Scenarios'!$X$10,100*((COUNTIF('All Stats'!$U$6:$U$172,"&lt;"&amp;'All Stats'!U143)+(COUNTIF('All Stats'!$U$6:$U$172,'All Stats'!U143)-1)/2)/(COUNT('All Stats'!$U$6:$U$172)-1))^'Specialisation Scenarios'!$X$10,100*((COUNTIF('All Stats'!$W$6:$W$172,"&lt;"&amp;'All Stats'!W143)+(COUNTIF('All Stats'!$W$6:$W$172,'All Stats'!W143)-1)/2)/(COUNT('All Stats'!$W$6:$W$172)-1))^'Specialisation Scenarios'!$X$10))</x:f>
        <x:v>2.807627548893757</x:v>
      </x:c>
      <x:c r="E143" s="575" t="n">
        <x:f>IF($A143="","",AVERAGE(100*((COUNTIF('All Stats'!$Y$6:$Y$172,"&lt;"&amp;'All Stats'!Y143)+(COUNTIF('All Stats'!$Y$6:$Y$172,'All Stats'!Y143)-1)/2)/(COUNT('All Stats'!$Y$6:$Y$172)-1))^'Specialisation Scenarios'!$X$10,100*((COUNTIF('All Stats'!$AB$6:$AB$172,"&lt;"&amp;'All Stats'!AB143)+(COUNTIF('All Stats'!$AB$6:$AB$172,'All Stats'!AB143)-1)/2)/(COUNT('All Stats'!$AB$6:$AB$172)-1))^'Specialisation Scenarios'!$X$10,100*((COUNTIF('All Stats'!$AD$6:$AD$172,"&lt;"&amp;'All Stats'!AD143)+(COUNTIF('All Stats'!$AD$6:$AD$172,'All Stats'!AD143)-1)/2)/(COUNT('All Stats'!$AD$6:$AD$172)-1))^'Specialisation Scenarios'!$X$10))</x:f>
        <x:v>48.95386089343336</x:v>
      </x:c>
      <x:c r="F143" s="575" t="n">
        <x:f>IF($A143="","",AVERAGE(100*((COUNTIF('All Stats'!$AF$6:$AF$172,"&lt;"&amp;'All Stats'!AF143)+(COUNTIF('All Stats'!$AF$6:$AF$172,'All Stats'!AF143)-1)/2)/(COUNT('All Stats'!$AF$6:$AF$172)-1))^'Specialisation Scenarios'!$X$10,100*((COUNTIF('All Stats'!$AI$6:$AI$172,"&lt;"&amp;'All Stats'!AI143)+(COUNTIF('All Stats'!$AI$6:$AI$172,'All Stats'!AI143)-1)/2)/(COUNT('All Stats'!$AI$6:$AI$172)-1))^'Specialisation Scenarios'!$X$10,100*((COUNTIF('All Stats'!$AK$6:$AK$172,"&lt;"&amp;'All Stats'!AK143)+(COUNTIF('All Stats'!$AK$6:$AK$172,'All Stats'!AK143)-1)/2)/(COUNT('All Stats'!$AK$6:$AK$172)-1))^'Specialisation Scenarios'!$X$10))</x:f>
        <x:v>8.007319384588824</x:v>
      </x:c>
      <x:c r="G143" s="575" t="n">
        <x:f>IF($A143="","",C143*'Specialisation Scenarios'!$X$11+D143*'Specialisation Scenarios'!$X$12+E143*'Specialisation Scenarios'!$X$13+F143*'Specialisation Scenarios'!$X$14)</x:f>
        <x:v>12.084614424462853</x:v>
      </x:c>
      <x:c r="H143" s="575" t="n">
        <x:f>IF(SUMIFS('Specialisation Impact'!$E$19:$E$186,'Specialisation Impact'!$A$19:$A$186,A143,'Specialisation Impact'!$B$19:$B$186,B143)=0,"",SUMIFS('Specialisation Impact'!$S$19:$S$186,'Specialisation Impact'!$A$19:$A$186,A143,'Specialisation Impact'!$B$19:$B$186,B143))</x:f>
        <x:v>29.48051948051948</x:v>
      </x:c>
      <x:c r="I143" s="579" t="n">
        <x:f>IF(SUMIFS('Specialisation Impact'!$E$19:$E$186,'Specialisation Impact'!$A$19:$A$186,A143,'Specialisation Impact'!$B$19:$B$186,B143)=0,0,SUMIFS('Specialisation Impact'!$F$19:$F$186,'Specialisation Impact'!$A$19:$A$186,A143,'Specialisation Impact'!$B$19:$B$186,B143))</x:f>
        <x:v>1</x:v>
      </x:c>
      <x:c r="J143" s="575" t="n">
        <x:f>G143</x:f>
        <x:v>12.084614424462853</x:v>
      </x:c>
      <x:c r="K143" s="575" t="n">
        <x:f>IF(G143="","",IF(I143=0,G143,MAX(0,MIN(100,G143*(1-'Specialisation Scenarios'!$B$8*I143)+H143*('Specialisation Scenarios'!$B$8*I143)))))</x:f>
        <x:v>16.433590688477008</x:v>
      </x:c>
      <x:c r="L143" s="575" t="n">
        <x:f>IF(G143="","",IF(I143=0,G143,MAX(0,MIN(100,G143*(1-'Specialisation Scenarios'!$B$9*I143)+H143*('Specialisation Scenarios'!$B$9*I143)))))</x:f>
        <x:v>18.173181194082673</x:v>
      </x:c>
      <x:c r="M143" s="575" t="str">
        <x:f>IF(COUNTIFS('Tank &amp; Control'!$A$23:$A$189,A143,'Tank &amp; Control'!$B$23:$B$189,B143,'Tank &amp; Control'!$C$23:$C$189,"Yes")&gt;0,"Yes","No")</x:f>
        <x:v>No</x:v>
      </x:c>
      <x:c r="N143" s="575" t="str">
        <x:f>IF(M143&lt;&gt;"Yes","",SUMIFS('Tank &amp; Control'!$L$23:$L$189,'Tank &amp; Control'!$A$23:$A$189,A143,'Tank &amp; Control'!$B$23:$B$189,B143))</x:f>
      </x:c>
      <x:c r="O143" s="575" t="str">
        <x:f>IF(SUMIFS('Specialisation Impact'!$M$19:$M$186,'Specialisation Impact'!$A$19:$A$186,A143,'Specialisation Impact'!$B$19:$B$186,B143)=0,"",SUMIFS('Specialisation Impact'!$V$19:$V$186,'Specialisation Impact'!$A$19:$A$186,A143,'Specialisation Impact'!$B$19:$B$186,B143))</x:f>
      </x:c>
      <x:c r="P143" s="575" t="str">
        <x:f>IF(N143="","",N143)</x:f>
      </x:c>
      <x:c r="Q143" s="575" t="str">
        <x:f>IF(N143="","",IF(AC143=0,N143,MAX(0,MIN(100,N143*(1-'Specialisation Scenarios'!$B$8*AC143)+O143*('Specialisation Scenarios'!$B$8*AC143)))))</x:f>
      </x:c>
      <x:c r="R143" s="575" t="str">
        <x:f>IF(N143="","",IF(AC143=0,N143,MAX(0,MIN(100,N143*(1-'Specialisation Scenarios'!$B$9*AC143)+O143*('Specialisation Scenarios'!$B$9*AC143)))))</x:f>
      </x:c>
      <x:c r="S143" s="583" t="n">
        <x:f>IF(J143="","",COUNTIFS($A$6:$A$172,A143,$J$6:$J$172,"&gt;"&amp;J143)+COUNTIFS($A$6:A143,A143,$J$6:J143,J143))</x:f>
        <x:v>16</x:v>
      </x:c>
      <x:c r="T143" s="583" t="n">
        <x:f>IF(K143="","",COUNTIFS($A$6:$A$172,A143,$K$6:$K$172,"&gt;"&amp;K143)+COUNTIFS($A$6:A143,A143,$K$6:K143,K143))</x:f>
        <x:v>13</x:v>
      </x:c>
      <x:c r="U143" s="583" t="n">
        <x:f>IF(L143="","",COUNTIFS($A$6:$A$172,A143,$L$6:$L$172,"&gt;"&amp;L143)+COUNTIFS($A$6:A143,A143,$L$6:L143,L143))</x:f>
        <x:v>13</x:v>
      </x:c>
      <x:c r="V143" s="583" t="str">
        <x:f>IF(P143="","",COUNTIFS($A$6:$A$172,A143,$P$6:$P$172,"&gt;"&amp;P143)+COUNTIFS($A$6:A143,A143,$P$6:P143,P143))</x:f>
      </x:c>
      <x:c r="W143" s="583" t="str">
        <x:f>IF(Q143="","",COUNTIFS($A$6:$A$172,A143,$Q$6:$Q$172,"&gt;"&amp;Q143)+COUNTIFS($A$6:A143,A143,$Q$6:Q143,Q143))</x:f>
      </x:c>
      <x:c r="X143" s="583" t="str">
        <x:f>IF(R143="","",COUNTIFS($A$6:$A$172,A143,$R$6:$R$172,"&gt;"&amp;R143)+COUNTIFS($A$6:A143,A143,$R$6:R143,R143))</x:f>
      </x:c>
      <x:c r="Y143" s="571" t="str">
        <x:f>IF(V143="","",A143&amp;"|"&amp;V143)</x:f>
      </x:c>
      <x:c r="Z143" s="571" t="str">
        <x:f>IF(W143="","",A143&amp;"|"&amp;W143)</x:f>
      </x:c>
      <x:c r="AA143" s="571" t="str">
        <x:f>IF(X143="","",A143&amp;"|"&amp;X143)</x:f>
      </x:c>
      <x:c r="AB143" s="571" t="str">
        <x:f>IF(A143="","",IF(I143=0,"Offense neutral — no recorded offensive skills",IF(I143&lt;1,"Partial lookup — adjustment scaled",IF(AND(M143="Yes",AC143=0),"Offense adjusted; Guard neutral","Captured"))))</x:f>
        <x:v>Captured</x:v>
      </x:c>
      <x:c r="AC143" s="579" t="n">
        <x:f>IF(SUMIFS('Specialisation Impact'!$M$19:$M$186,'Specialisation Impact'!$A$19:$A$186,A143,'Specialisation Impact'!$B$19:$B$186,B143)=0,0,SUMIFS('Specialisation Impact'!$F$19:$F$186,'Specialisation Impact'!$A$19:$A$186,A143,'Specialisation Impact'!$B$19:$B$186,B143))</x:f>
        <x:v>0</x:v>
      </x:c>
    </x:row>
    <x:row r="144">
      <x:c r="A144" s="572" t="str">
        <x:v>K197</x:v>
      </x:c>
      <x:c r="B144" s="572" t="str">
        <x:v>ღ买买买babyღ</x:v>
      </x:c>
      <x:c r="C144" s="576" t="n">
        <x:f>IF($A144="","",AVERAGE(100*((COUNTIF('All Stats'!$D$6:$D$172,"&lt;"&amp;'All Stats'!D144)+(COUNTIF('All Stats'!$D$6:$D$172,'All Stats'!D144)-1)/2)/(COUNT('All Stats'!$D$6:$D$172)-1))^'Specialisation Scenarios'!$X$10,100*((COUNTIF('All Stats'!$G$6:$G$172,"&lt;"&amp;'All Stats'!G144)+(COUNTIF('All Stats'!$G$6:$G$172,'All Stats'!G144)-1)/2)/(COUNT('All Stats'!$G$6:$G$172)-1))^'Specialisation Scenarios'!$X$10,100*((COUNTIF('All Stats'!$I$6:$I$172,"&lt;"&amp;'All Stats'!I144)+(COUNTIF('All Stats'!$I$6:$I$172,'All Stats'!I144)-1)/2)/(COUNT('All Stats'!$I$6:$I$172)-1))^'Specialisation Scenarios'!$X$10))</x:f>
        <x:v>68.69049458376531</x:v>
      </x:c>
      <x:c r="D144" s="576" t="n">
        <x:f>IF($A144="","",AVERAGE(100*((COUNTIF('All Stats'!$R$6:$R$172,"&lt;"&amp;'All Stats'!R144)+(COUNTIF('All Stats'!$R$6:$R$172,'All Stats'!R144)-1)/2)/(COUNT('All Stats'!$R$6:$R$172)-1))^'Specialisation Scenarios'!$X$10,100*((COUNTIF('All Stats'!$U$6:$U$172,"&lt;"&amp;'All Stats'!U144)+(COUNTIF('All Stats'!$U$6:$U$172,'All Stats'!U144)-1)/2)/(COUNT('All Stats'!$U$6:$U$172)-1))^'Specialisation Scenarios'!$X$10,100*((COUNTIF('All Stats'!$W$6:$W$172,"&lt;"&amp;'All Stats'!W144)+(COUNTIF('All Stats'!$W$6:$W$172,'All Stats'!W144)-1)/2)/(COUNT('All Stats'!$W$6:$W$172)-1))^'Specialisation Scenarios'!$X$10))</x:f>
        <x:v>8.726639071693029</x:v>
      </x:c>
      <x:c r="E144" s="576" t="n">
        <x:f>IF($A144="","",AVERAGE(100*((COUNTIF('All Stats'!$Y$6:$Y$172,"&lt;"&amp;'All Stats'!Y144)+(COUNTIF('All Stats'!$Y$6:$Y$172,'All Stats'!Y144)-1)/2)/(COUNT('All Stats'!$Y$6:$Y$172)-1))^'Specialisation Scenarios'!$X$10,100*((COUNTIF('All Stats'!$AB$6:$AB$172,"&lt;"&amp;'All Stats'!AB144)+(COUNTIF('All Stats'!$AB$6:$AB$172,'All Stats'!AB144)-1)/2)/(COUNT('All Stats'!$AB$6:$AB$172)-1))^'Specialisation Scenarios'!$X$10,100*((COUNTIF('All Stats'!$AD$6:$AD$172,"&lt;"&amp;'All Stats'!AD144)+(COUNTIF('All Stats'!$AD$6:$AD$172,'All Stats'!AD144)-1)/2)/(COUNT('All Stats'!$AD$6:$AD$172)-1))^'Specialisation Scenarios'!$X$10))</x:f>
        <x:v>42.21145060240881</x:v>
      </x:c>
      <x:c r="F144" s="576" t="n">
        <x:f>IF($A144="","",AVERAGE(100*((COUNTIF('All Stats'!$AF$6:$AF$172,"&lt;"&amp;'All Stats'!AF144)+(COUNTIF('All Stats'!$AF$6:$AF$172,'All Stats'!AF144)-1)/2)/(COUNT('All Stats'!$AF$6:$AF$172)-1))^'Specialisation Scenarios'!$X$10,100*((COUNTIF('All Stats'!$AI$6:$AI$172,"&lt;"&amp;'All Stats'!AI144)+(COUNTIF('All Stats'!$AI$6:$AI$172,'All Stats'!AI144)-1)/2)/(COUNT('All Stats'!$AI$6:$AI$172)-1))^'Specialisation Scenarios'!$X$10,100*((COUNTIF('All Stats'!$AK$6:$AK$172,"&lt;"&amp;'All Stats'!AK144)+(COUNTIF('All Stats'!$AK$6:$AK$172,'All Stats'!AK144)-1)/2)/(COUNT('All Stats'!$AK$6:$AK$172)-1))^'Specialisation Scenarios'!$X$10))</x:f>
        <x:v>5.180006502284571</x:v>
      </x:c>
      <x:c r="G144" s="576" t="n">
        <x:f>IF($A144="","",C144*'Specialisation Scenarios'!$X$11+D144*'Specialisation Scenarios'!$X$12+E144*'Specialisation Scenarios'!$X$13+F144*'Specialisation Scenarios'!$X$14)</x:f>
        <x:v>20.53770366616418</x:v>
      </x:c>
      <x:c r="H144" s="576" t="n">
        <x:f>IF(SUMIFS('Specialisation Impact'!$E$19:$E$186,'Specialisation Impact'!$A$19:$A$186,A144,'Specialisation Impact'!$B$19:$B$186,B144)=0,"",SUMIFS('Specialisation Impact'!$S$19:$S$186,'Specialisation Impact'!$A$19:$A$186,A144,'Specialisation Impact'!$B$19:$B$186,B144))</x:f>
        <x:v>29.48051948051948</x:v>
      </x:c>
      <x:c r="I144" s="580" t="n">
        <x:f>IF(SUMIFS('Specialisation Impact'!$E$19:$E$186,'Specialisation Impact'!$A$19:$A$186,A144,'Specialisation Impact'!$B$19:$B$186,B144)=0,0,SUMIFS('Specialisation Impact'!$F$19:$F$186,'Specialisation Impact'!$A$19:$A$186,A144,'Specialisation Impact'!$B$19:$B$186,B144))</x:f>
        <x:v>1</x:v>
      </x:c>
      <x:c r="J144" s="576" t="n">
        <x:f>G144</x:f>
        <x:v>20.53770366616418</x:v>
      </x:c>
      <x:c r="K144" s="576" t="n">
        <x:f>IF(G144="","",IF(I144=0,G144,MAX(0,MIN(100,G144*(1-'Specialisation Scenarios'!$B$8*I144)+H144*('Specialisation Scenarios'!$B$8*I144)))))</x:f>
        <x:v>22.773407619753005</x:v>
      </x:c>
      <x:c r="L144" s="576" t="n">
        <x:f>IF(G144="","",IF(I144=0,G144,MAX(0,MIN(100,G144*(1-'Specialisation Scenarios'!$B$9*I144)+H144*('Specialisation Scenarios'!$B$9*I144)))))</x:f>
        <x:v>23.667689201188534</x:v>
      </x:c>
      <x:c r="M144" s="576" t="str">
        <x:f>IF(COUNTIFS('Tank &amp; Control'!$A$23:$A$189,A144,'Tank &amp; Control'!$B$23:$B$189,B144,'Tank &amp; Control'!$C$23:$C$189,"Yes")&gt;0,"Yes","No")</x:f>
        <x:v>No</x:v>
      </x:c>
      <x:c r="N144" s="576" t="str">
        <x:f>IF(M144&lt;&gt;"Yes","",SUMIFS('Tank &amp; Control'!$L$23:$L$189,'Tank &amp; Control'!$A$23:$A$189,A144,'Tank &amp; Control'!$B$23:$B$189,B144))</x:f>
      </x:c>
      <x:c r="O144" s="576" t="n">
        <x:f>IF(SUMIFS('Specialisation Impact'!$M$19:$M$186,'Specialisation Impact'!$A$19:$A$186,A144,'Specialisation Impact'!$B$19:$B$186,B144)=0,"",SUMIFS('Specialisation Impact'!$V$19:$V$186,'Specialisation Impact'!$A$19:$A$186,A144,'Specialisation Impact'!$B$19:$B$186,B144))</x:f>
        <x:v>8.547008547008547</x:v>
      </x:c>
      <x:c r="P144" s="576" t="str">
        <x:f>IF(N144="","",N144)</x:f>
      </x:c>
      <x:c r="Q144" s="576" t="str">
        <x:f>IF(N144="","",IF(AC144=0,N144,MAX(0,MIN(100,N144*(1-'Specialisation Scenarios'!$B$8*AC144)+O144*('Specialisation Scenarios'!$B$8*AC144)))))</x:f>
      </x:c>
      <x:c r="R144" s="576" t="str">
        <x:f>IF(N144="","",IF(AC144=0,N144,MAX(0,MIN(100,N144*(1-'Specialisation Scenarios'!$B$9*AC144)+O144*('Specialisation Scenarios'!$B$9*AC144)))))</x:f>
      </x:c>
      <x:c r="S144" s="584" t="n">
        <x:f>IF(J144="","",COUNTIFS($A$6:$A$172,A144,$J$6:$J$172,"&gt;"&amp;J144)+COUNTIFS($A$6:A144,A144,$J$6:J144,J144))</x:f>
        <x:v>11</x:v>
      </x:c>
      <x:c r="T144" s="584" t="n">
        <x:f>IF(K144="","",COUNTIFS($A$6:$A$172,A144,$K$6:$K$172,"&gt;"&amp;K144)+COUNTIFS($A$6:A144,A144,$K$6:K144,K144))</x:f>
        <x:v>11</x:v>
      </x:c>
      <x:c r="U144" s="584" t="n">
        <x:f>IF(L144="","",COUNTIFS($A$6:$A$172,A144,$L$6:$L$172,"&gt;"&amp;L144)+COUNTIFS($A$6:A144,A144,$L$6:L144,L144))</x:f>
        <x:v>11</x:v>
      </x:c>
      <x:c r="V144" s="584" t="str">
        <x:f>IF(P144="","",COUNTIFS($A$6:$A$172,A144,$P$6:$P$172,"&gt;"&amp;P144)+COUNTIFS($A$6:A144,A144,$P$6:P144,P144))</x:f>
      </x:c>
      <x:c r="W144" s="584" t="str">
        <x:f>IF(Q144="","",COUNTIFS($A$6:$A$172,A144,$Q$6:$Q$172,"&gt;"&amp;Q144)+COUNTIFS($A$6:A144,A144,$Q$6:Q144,Q144))</x:f>
      </x:c>
      <x:c r="X144" s="584" t="str">
        <x:f>IF(R144="","",COUNTIFS($A$6:$A$172,A144,$R$6:$R$172,"&gt;"&amp;R144)+COUNTIFS($A$6:A144,A144,$R$6:R144,R144))</x:f>
      </x:c>
      <x:c r="Y144" s="572" t="str">
        <x:f>IF(V144="","",A144&amp;"|"&amp;V144)</x:f>
      </x:c>
      <x:c r="Z144" s="572" t="str">
        <x:f>IF(W144="","",A144&amp;"|"&amp;W144)</x:f>
      </x:c>
      <x:c r="AA144" s="572" t="str">
        <x:f>IF(X144="","",A144&amp;"|"&amp;X144)</x:f>
      </x:c>
      <x:c r="AB144" s="572" t="str">
        <x:f>IF(A144="","",IF(I144=0,"Offense neutral — no recorded offensive skills",IF(I144&lt;1,"Partial lookup — adjustment scaled",IF(AND(M144="Yes",AC144=0),"Offense adjusted; Guard neutral","Captured"))))</x:f>
        <x:v>Captured</x:v>
      </x:c>
      <x:c r="AC144" s="580" t="n">
        <x:f>IF(SUMIFS('Specialisation Impact'!$M$19:$M$186,'Specialisation Impact'!$A$19:$A$186,A144,'Specialisation Impact'!$B$19:$B$186,B144)=0,0,SUMIFS('Specialisation Impact'!$F$19:$F$186,'Specialisation Impact'!$A$19:$A$186,A144,'Specialisation Impact'!$B$19:$B$186,B144))</x:f>
        <x:v>1</x:v>
      </x:c>
    </x:row>
    <x:row r="145">
      <x:c r="A145" s="571" t="str">
        <x:v>K197</x:v>
      </x:c>
      <x:c r="B145" s="571" t="str">
        <x:v>优乐美</x:v>
      </x:c>
      <x:c r="C145" s="575" t="n">
        <x:f>IF($A145="","",AVERAGE(100*((COUNTIF('All Stats'!$D$6:$D$172,"&lt;"&amp;'All Stats'!D145)+(COUNTIF('All Stats'!$D$6:$D$172,'All Stats'!D145)-1)/2)/(COUNT('All Stats'!$D$6:$D$172)-1))^'Specialisation Scenarios'!$X$10,100*((COUNTIF('All Stats'!$G$6:$G$172,"&lt;"&amp;'All Stats'!G145)+(COUNTIF('All Stats'!$G$6:$G$172,'All Stats'!G145)-1)/2)/(COUNT('All Stats'!$G$6:$G$172)-1))^'Specialisation Scenarios'!$X$10,100*((COUNTIF('All Stats'!$I$6:$I$172,"&lt;"&amp;'All Stats'!I145)+(COUNTIF('All Stats'!$I$6:$I$172,'All Stats'!I145)-1)/2)/(COUNT('All Stats'!$I$6:$I$172)-1))^'Specialisation Scenarios'!$X$10))</x:f>
        <x:v>30.25831070055993</x:v>
      </x:c>
      <x:c r="D145" s="575" t="n">
        <x:f>IF($A145="","",AVERAGE(100*((COUNTIF('All Stats'!$R$6:$R$172,"&lt;"&amp;'All Stats'!R145)+(COUNTIF('All Stats'!$R$6:$R$172,'All Stats'!R145)-1)/2)/(COUNT('All Stats'!$R$6:$R$172)-1))^'Specialisation Scenarios'!$X$10,100*((COUNTIF('All Stats'!$U$6:$U$172,"&lt;"&amp;'All Stats'!U145)+(COUNTIF('All Stats'!$U$6:$U$172,'All Stats'!U145)-1)/2)/(COUNT('All Stats'!$U$6:$U$172)-1))^'Specialisation Scenarios'!$X$10,100*((COUNTIF('All Stats'!$W$6:$W$172,"&lt;"&amp;'All Stats'!W145)+(COUNTIF('All Stats'!$W$6:$W$172,'All Stats'!W145)-1)/2)/(COUNT('All Stats'!$W$6:$W$172)-1))^'Specialisation Scenarios'!$X$10))</x:f>
        <x:v>38.65033991354043</x:v>
      </x:c>
      <x:c r="E145" s="575" t="n">
        <x:f>IF($A145="","",AVERAGE(100*((COUNTIF('All Stats'!$Y$6:$Y$172,"&lt;"&amp;'All Stats'!Y145)+(COUNTIF('All Stats'!$Y$6:$Y$172,'All Stats'!Y145)-1)/2)/(COUNT('All Stats'!$Y$6:$Y$172)-1))^'Specialisation Scenarios'!$X$10,100*((COUNTIF('All Stats'!$AB$6:$AB$172,"&lt;"&amp;'All Stats'!AB145)+(COUNTIF('All Stats'!$AB$6:$AB$172,'All Stats'!AB145)-1)/2)/(COUNT('All Stats'!$AB$6:$AB$172)-1))^'Specialisation Scenarios'!$X$10,100*((COUNTIF('All Stats'!$AD$6:$AD$172,"&lt;"&amp;'All Stats'!AD145)+(COUNTIF('All Stats'!$AD$6:$AD$172,'All Stats'!AD145)-1)/2)/(COUNT('All Stats'!$AD$6:$AD$172)-1))^'Specialisation Scenarios'!$X$10))</x:f>
        <x:v>0.5095897606623864</x:v>
      </x:c>
      <x:c r="F145" s="575" t="n">
        <x:f>IF($A145="","",AVERAGE(100*((COUNTIF('All Stats'!$AF$6:$AF$172,"&lt;"&amp;'All Stats'!AF145)+(COUNTIF('All Stats'!$AF$6:$AF$172,'All Stats'!AF145)-1)/2)/(COUNT('All Stats'!$AF$6:$AF$172)-1))^'Specialisation Scenarios'!$X$10,100*((COUNTIF('All Stats'!$AI$6:$AI$172,"&lt;"&amp;'All Stats'!AI145)+(COUNTIF('All Stats'!$AI$6:$AI$172,'All Stats'!AI145)-1)/2)/(COUNT('All Stats'!$AI$6:$AI$172)-1))^'Specialisation Scenarios'!$X$10,100*((COUNTIF('All Stats'!$AK$6:$AK$172,"&lt;"&amp;'All Stats'!AK145)+(COUNTIF('All Stats'!$AK$6:$AK$172,'All Stats'!AK145)-1)/2)/(COUNT('All Stats'!$AK$6:$AK$172)-1))^'Specialisation Scenarios'!$X$10))</x:f>
        <x:v>4.586064558497715</x:v>
      </x:c>
      <x:c r="G145" s="575" t="n">
        <x:f>IF($A145="","",C145*'Specialisation Scenarios'!$X$11+D145*'Specialisation Scenarios'!$X$12+E145*'Specialisation Scenarios'!$X$13+F145*'Specialisation Scenarios'!$X$14)</x:f>
        <x:v>28.46781921304914</x:v>
      </x:c>
      <x:c r="H145" s="575" t="n">
        <x:f>IF(SUMIFS('Specialisation Impact'!$E$19:$E$186,'Specialisation Impact'!$A$19:$A$186,A145,'Specialisation Impact'!$B$19:$B$186,B145)=0,"",SUMIFS('Specialisation Impact'!$S$19:$S$186,'Specialisation Impact'!$A$19:$A$186,A145,'Specialisation Impact'!$B$19:$B$186,B145))</x:f>
        <x:v>29.48051948051948</x:v>
      </x:c>
      <x:c r="I145" s="579" t="n">
        <x:f>IF(SUMIFS('Specialisation Impact'!$E$19:$E$186,'Specialisation Impact'!$A$19:$A$186,A145,'Specialisation Impact'!$B$19:$B$186,B145)=0,0,SUMIFS('Specialisation Impact'!$F$19:$F$186,'Specialisation Impact'!$A$19:$A$186,A145,'Specialisation Impact'!$B$19:$B$186,B145))</x:f>
        <x:v>1</x:v>
      </x:c>
      <x:c r="J145" s="575" t="n">
        <x:f>G145</x:f>
        <x:v>28.46781921304914</x:v>
      </x:c>
      <x:c r="K145" s="575" t="n">
        <x:f>IF(G145="","",IF(I145=0,G145,MAX(0,MIN(100,G145*(1-'Specialisation Scenarios'!$B$8*I145)+H145*('Specialisation Scenarios'!$B$8*I145)))))</x:f>
        <x:v>28.720994279916724</x:v>
      </x:c>
      <x:c r="L145" s="575" t="n">
        <x:f>IF(G145="","",IF(I145=0,G145,MAX(0,MIN(100,G145*(1-'Specialisation Scenarios'!$B$9*I145)+H145*('Specialisation Scenarios'!$B$9*I145)))))</x:f>
        <x:v>28.822264306663758</x:v>
      </x:c>
      <x:c r="M145" s="575" t="str">
        <x:f>IF(COUNTIFS('Tank &amp; Control'!$A$23:$A$189,A145,'Tank &amp; Control'!$B$23:$B$189,B145,'Tank &amp; Control'!$C$23:$C$189,"Yes")&gt;0,"Yes","No")</x:f>
        <x:v>No</x:v>
      </x:c>
      <x:c r="N145" s="575" t="str">
        <x:f>IF(M145&lt;&gt;"Yes","",SUMIFS('Tank &amp; Control'!$L$23:$L$189,'Tank &amp; Control'!$A$23:$A$189,A145,'Tank &amp; Control'!$B$23:$B$189,B145))</x:f>
      </x:c>
      <x:c r="O145" s="575" t="str">
        <x:f>IF(SUMIFS('Specialisation Impact'!$M$19:$M$186,'Specialisation Impact'!$A$19:$A$186,A145,'Specialisation Impact'!$B$19:$B$186,B145)=0,"",SUMIFS('Specialisation Impact'!$V$19:$V$186,'Specialisation Impact'!$A$19:$A$186,A145,'Specialisation Impact'!$B$19:$B$186,B145))</x:f>
      </x:c>
      <x:c r="P145" s="575" t="str">
        <x:f>IF(N145="","",N145)</x:f>
      </x:c>
      <x:c r="Q145" s="575" t="str">
        <x:f>IF(N145="","",IF(AC145=0,N145,MAX(0,MIN(100,N145*(1-'Specialisation Scenarios'!$B$8*AC145)+O145*('Specialisation Scenarios'!$B$8*AC145)))))</x:f>
      </x:c>
      <x:c r="R145" s="575" t="str">
        <x:f>IF(N145="","",IF(AC145=0,N145,MAX(0,MIN(100,N145*(1-'Specialisation Scenarios'!$B$9*AC145)+O145*('Specialisation Scenarios'!$B$9*AC145)))))</x:f>
      </x:c>
      <x:c r="S145" s="583" t="n">
        <x:f>IF(J145="","",COUNTIFS($A$6:$A$172,A145,$J$6:$J$172,"&gt;"&amp;J145)+COUNTIFS($A$6:A145,A145,$J$6:J145,J145))</x:f>
        <x:v>7</x:v>
      </x:c>
      <x:c r="T145" s="583" t="n">
        <x:f>IF(K145="","",COUNTIFS($A$6:$A$172,A145,$K$6:$K$172,"&gt;"&amp;K145)+COUNTIFS($A$6:A145,A145,$K$6:K145,K145))</x:f>
        <x:v>7</x:v>
      </x:c>
      <x:c r="U145" s="583" t="n">
        <x:f>IF(L145="","",COUNTIFS($A$6:$A$172,A145,$L$6:$L$172,"&gt;"&amp;L145)+COUNTIFS($A$6:A145,A145,$L$6:L145,L145))</x:f>
        <x:v>7</x:v>
      </x:c>
      <x:c r="V145" s="583" t="str">
        <x:f>IF(P145="","",COUNTIFS($A$6:$A$172,A145,$P$6:$P$172,"&gt;"&amp;P145)+COUNTIFS($A$6:A145,A145,$P$6:P145,P145))</x:f>
      </x:c>
      <x:c r="W145" s="583" t="str">
        <x:f>IF(Q145="","",COUNTIFS($A$6:$A$172,A145,$Q$6:$Q$172,"&gt;"&amp;Q145)+COUNTIFS($A$6:A145,A145,$Q$6:Q145,Q145))</x:f>
      </x:c>
      <x:c r="X145" s="583" t="str">
        <x:f>IF(R145="","",COUNTIFS($A$6:$A$172,A145,$R$6:$R$172,"&gt;"&amp;R145)+COUNTIFS($A$6:A145,A145,$R$6:R145,R145))</x:f>
      </x:c>
      <x:c r="Y145" s="571" t="str">
        <x:f>IF(V145="","",A145&amp;"|"&amp;V145)</x:f>
      </x:c>
      <x:c r="Z145" s="571" t="str">
        <x:f>IF(W145="","",A145&amp;"|"&amp;W145)</x:f>
      </x:c>
      <x:c r="AA145" s="571" t="str">
        <x:f>IF(X145="","",A145&amp;"|"&amp;X145)</x:f>
      </x:c>
      <x:c r="AB145" s="571" t="str">
        <x:f>IF(A145="","",IF(I145=0,"Offense neutral — no recorded offensive skills",IF(I145&lt;1,"Partial lookup — adjustment scaled",IF(AND(M145="Yes",AC145=0),"Offense adjusted; Guard neutral","Captured"))))</x:f>
        <x:v>Captured</x:v>
      </x:c>
      <x:c r="AC145" s="579" t="n">
        <x:f>IF(SUMIFS('Specialisation Impact'!$M$19:$M$186,'Specialisation Impact'!$A$19:$A$186,A145,'Specialisation Impact'!$B$19:$B$186,B145)=0,0,SUMIFS('Specialisation Impact'!$F$19:$F$186,'Specialisation Impact'!$A$19:$A$186,A145,'Specialisation Impact'!$B$19:$B$186,B145))</x:f>
        <x:v>0</x:v>
      </x:c>
    </x:row>
    <x:row r="146">
      <x:c r="A146" s="572" t="str">
        <x:v>K197</x:v>
      </x:c>
      <x:c r="B146" s="572" t="str">
        <x:v>Mira</x:v>
      </x:c>
      <x:c r="C146" s="576" t="n">
        <x:f>IF($A146="","",AVERAGE(100*((COUNTIF('All Stats'!$D$6:$D$172,"&lt;"&amp;'All Stats'!D146)+(COUNTIF('All Stats'!$D$6:$D$172,'All Stats'!D146)-1)/2)/(COUNT('All Stats'!$D$6:$D$172)-1))^'Specialisation Scenarios'!$X$10,100*((COUNTIF('All Stats'!$G$6:$G$172,"&lt;"&amp;'All Stats'!G146)+(COUNTIF('All Stats'!$G$6:$G$172,'All Stats'!G146)-1)/2)/(COUNT('All Stats'!$G$6:$G$172)-1))^'Specialisation Scenarios'!$X$10,100*((COUNTIF('All Stats'!$I$6:$I$172,"&lt;"&amp;'All Stats'!I146)+(COUNTIF('All Stats'!$I$6:$I$172,'All Stats'!I146)-1)/2)/(COUNT('All Stats'!$I$6:$I$172)-1))^'Specialisation Scenarios'!$X$10))</x:f>
        <x:v>30.283912730603834</x:v>
      </x:c>
      <x:c r="D146" s="576" t="n">
        <x:f>IF($A146="","",AVERAGE(100*((COUNTIF('All Stats'!$R$6:$R$172,"&lt;"&amp;'All Stats'!R146)+(COUNTIF('All Stats'!$R$6:$R$172,'All Stats'!R146)-1)/2)/(COUNT('All Stats'!$R$6:$R$172)-1))^'Specialisation Scenarios'!$X$10,100*((COUNTIF('All Stats'!$U$6:$U$172,"&lt;"&amp;'All Stats'!U146)+(COUNTIF('All Stats'!$U$6:$U$172,'All Stats'!U146)-1)/2)/(COUNT('All Stats'!$U$6:$U$172)-1))^'Specialisation Scenarios'!$X$10,100*((COUNTIF('All Stats'!$W$6:$W$172,"&lt;"&amp;'All Stats'!W146)+(COUNTIF('All Stats'!$W$6:$W$172,'All Stats'!W146)-1)/2)/(COUNT('All Stats'!$W$6:$W$172)-1))^'Specialisation Scenarios'!$X$10))</x:f>
        <x:v>1.8097818778411783</x:v>
      </x:c>
      <x:c r="E146" s="576" t="n">
        <x:f>IF($A146="","",AVERAGE(100*((COUNTIF('All Stats'!$Y$6:$Y$172,"&lt;"&amp;'All Stats'!Y146)+(COUNTIF('All Stats'!$Y$6:$Y$172,'All Stats'!Y146)-1)/2)/(COUNT('All Stats'!$Y$6:$Y$172)-1))^'Specialisation Scenarios'!$X$10,100*((COUNTIF('All Stats'!$AB$6:$AB$172,"&lt;"&amp;'All Stats'!AB146)+(COUNTIF('All Stats'!$AB$6:$AB$172,'All Stats'!AB146)-1)/2)/(COUNT('All Stats'!$AB$6:$AB$172)-1))^'Specialisation Scenarios'!$X$10,100*((COUNTIF('All Stats'!$AD$6:$AD$172,"&lt;"&amp;'All Stats'!AD146)+(COUNTIF('All Stats'!$AD$6:$AD$172,'All Stats'!AD146)-1)/2)/(COUNT('All Stats'!$AD$6:$AD$172)-1))^'Specialisation Scenarios'!$X$10))</x:f>
        <x:v>64.17220242163087</x:v>
      </x:c>
      <x:c r="F146" s="576" t="n">
        <x:f>IF($A146="","",AVERAGE(100*((COUNTIF('All Stats'!$AF$6:$AF$172,"&lt;"&amp;'All Stats'!AF146)+(COUNTIF('All Stats'!$AF$6:$AF$172,'All Stats'!AF146)-1)/2)/(COUNT('All Stats'!$AF$6:$AF$172)-1))^'Specialisation Scenarios'!$X$10,100*((COUNTIF('All Stats'!$AI$6:$AI$172,"&lt;"&amp;'All Stats'!AI146)+(COUNTIF('All Stats'!$AI$6:$AI$172,'All Stats'!AI146)-1)/2)/(COUNT('All Stats'!$AI$6:$AI$172)-1))^'Specialisation Scenarios'!$X$10,100*((COUNTIF('All Stats'!$AK$6:$AK$172,"&lt;"&amp;'All Stats'!AK146)+(COUNTIF('All Stats'!$AK$6:$AK$172,'All Stats'!AK146)-1)/2)/(COUNT('All Stats'!$AK$6:$AK$172)-1))^'Specialisation Scenarios'!$X$10))</x:f>
        <x:v>1.4650280522307593</x:v>
      </x:c>
      <x:c r="G146" s="576" t="n">
        <x:f>IF($A146="","",C146*'Specialisation Scenarios'!$X$11+D146*'Specialisation Scenarios'!$X$12+E146*'Specialisation Scenarios'!$X$13+F146*'Specialisation Scenarios'!$X$14)</x:f>
        <x:v>12.265430486292983</x:v>
      </x:c>
      <x:c r="H146" s="576" t="n">
        <x:f>IF(SUMIFS('Specialisation Impact'!$E$19:$E$186,'Specialisation Impact'!$A$19:$A$186,A146,'Specialisation Impact'!$B$19:$B$186,B146)=0,"",SUMIFS('Specialisation Impact'!$S$19:$S$186,'Specialisation Impact'!$A$19:$A$186,A146,'Specialisation Impact'!$B$19:$B$186,B146))</x:f>
        <x:v>17.402597402597404</x:v>
      </x:c>
      <x:c r="I146" s="580" t="n">
        <x:f>IF(SUMIFS('Specialisation Impact'!$E$19:$E$186,'Specialisation Impact'!$A$19:$A$186,A146,'Specialisation Impact'!$B$19:$B$186,B146)=0,0,SUMIFS('Specialisation Impact'!$F$19:$F$186,'Specialisation Impact'!$A$19:$A$186,A146,'Specialisation Impact'!$B$19:$B$186,B146))</x:f>
        <x:v>1</x:v>
      </x:c>
      <x:c r="J146" s="576" t="n">
        <x:f>G146</x:f>
        <x:v>12.265430486292983</x:v>
      </x:c>
      <x:c r="K146" s="576" t="n">
        <x:f>IF(G146="","",IF(I146=0,G146,MAX(0,MIN(100,G146*(1-'Specialisation Scenarios'!$B$8*I146)+H146*('Specialisation Scenarios'!$B$8*I146)))))</x:f>
        <x:v>13.549722215369087</x:v>
      </x:c>
      <x:c r="L146" s="576" t="n">
        <x:f>IF(G146="","",IF(I146=0,G146,MAX(0,MIN(100,G146*(1-'Specialisation Scenarios'!$B$9*I146)+H146*('Specialisation Scenarios'!$B$9*I146)))))</x:f>
        <x:v>14.06343890699953</x:v>
      </x:c>
      <x:c r="M146" s="576" t="str">
        <x:f>IF(COUNTIFS('Tank &amp; Control'!$A$23:$A$189,A146,'Tank &amp; Control'!$B$23:$B$189,B146,'Tank &amp; Control'!$C$23:$C$189,"Yes")&gt;0,"Yes","No")</x:f>
        <x:v>No</x:v>
      </x:c>
      <x:c r="N146" s="576" t="str">
        <x:f>IF(M146&lt;&gt;"Yes","",SUMIFS('Tank &amp; Control'!$L$23:$L$189,'Tank &amp; Control'!$A$23:$A$189,A146,'Tank &amp; Control'!$B$23:$B$189,B146))</x:f>
      </x:c>
      <x:c r="O146" s="576" t="n">
        <x:f>IF(SUMIFS('Specialisation Impact'!$M$19:$M$186,'Specialisation Impact'!$A$19:$A$186,A146,'Specialisation Impact'!$B$19:$B$186,B146)=0,"",SUMIFS('Specialisation Impact'!$V$19:$V$186,'Specialisation Impact'!$A$19:$A$186,A146,'Specialisation Impact'!$B$19:$B$186,B146))</x:f>
        <x:v>2.5641025641025643</x:v>
      </x:c>
      <x:c r="P146" s="576" t="str">
        <x:f>IF(N146="","",N146)</x:f>
      </x:c>
      <x:c r="Q146" s="576" t="str">
        <x:f>IF(N146="","",IF(AC146=0,N146,MAX(0,MIN(100,N146*(1-'Specialisation Scenarios'!$B$8*AC146)+O146*('Specialisation Scenarios'!$B$8*AC146)))))</x:f>
      </x:c>
      <x:c r="R146" s="576" t="str">
        <x:f>IF(N146="","",IF(AC146=0,N146,MAX(0,MIN(100,N146*(1-'Specialisation Scenarios'!$B$9*AC146)+O146*('Specialisation Scenarios'!$B$9*AC146)))))</x:f>
      </x:c>
      <x:c r="S146" s="584" t="n">
        <x:f>IF(J146="","",COUNTIFS($A$6:$A$172,A146,$J$6:$J$172,"&gt;"&amp;J146)+COUNTIFS($A$6:A146,A146,$J$6:J146,J146))</x:f>
        <x:v>15</x:v>
      </x:c>
      <x:c r="T146" s="584" t="n">
        <x:f>IF(K146="","",COUNTIFS($A$6:$A$172,A146,$K$6:$K$172,"&gt;"&amp;K146)+COUNTIFS($A$6:A146,A146,$K$6:K146,K146))</x:f>
        <x:v>15</x:v>
      </x:c>
      <x:c r="U146" s="584" t="n">
        <x:f>IF(L146="","",COUNTIFS($A$6:$A$172,A146,$L$6:$L$172,"&gt;"&amp;L146)+COUNTIFS($A$6:A146,A146,$L$6:L146,L146))</x:f>
        <x:v>15</x:v>
      </x:c>
      <x:c r="V146" s="584" t="str">
        <x:f>IF(P146="","",COUNTIFS($A$6:$A$172,A146,$P$6:$P$172,"&gt;"&amp;P146)+COUNTIFS($A$6:A146,A146,$P$6:P146,P146))</x:f>
      </x:c>
      <x:c r="W146" s="584" t="str">
        <x:f>IF(Q146="","",COUNTIFS($A$6:$A$172,A146,$Q$6:$Q$172,"&gt;"&amp;Q146)+COUNTIFS($A$6:A146,A146,$Q$6:Q146,Q146))</x:f>
      </x:c>
      <x:c r="X146" s="584" t="str">
        <x:f>IF(R146="","",COUNTIFS($A$6:$A$172,A146,$R$6:$R$172,"&gt;"&amp;R146)+COUNTIFS($A$6:A146,A146,$R$6:R146,R146))</x:f>
      </x:c>
      <x:c r="Y146" s="572" t="str">
        <x:f>IF(V146="","",A146&amp;"|"&amp;V146)</x:f>
      </x:c>
      <x:c r="Z146" s="572" t="str">
        <x:f>IF(W146="","",A146&amp;"|"&amp;W146)</x:f>
      </x:c>
      <x:c r="AA146" s="572" t="str">
        <x:f>IF(X146="","",A146&amp;"|"&amp;X146)</x:f>
      </x:c>
      <x:c r="AB146" s="572" t="str">
        <x:f>IF(A146="","",IF(I146=0,"Offense neutral — no recorded offensive skills",IF(I146&lt;1,"Partial lookup — adjustment scaled",IF(AND(M146="Yes",AC146=0),"Offense adjusted; Guard neutral","Captured"))))</x:f>
        <x:v>Captured</x:v>
      </x:c>
      <x:c r="AC146" s="580" t="n">
        <x:f>IF(SUMIFS('Specialisation Impact'!$M$19:$M$186,'Specialisation Impact'!$A$19:$A$186,A146,'Specialisation Impact'!$B$19:$B$186,B146)=0,0,SUMIFS('Specialisation Impact'!$F$19:$F$186,'Specialisation Impact'!$A$19:$A$186,A146,'Specialisation Impact'!$B$19:$B$186,B146))</x:f>
        <x:v>1</x:v>
      </x:c>
    </x:row>
    <x:row r="147">
      <x:c r="A147" s="571" t="str">
        <x:v>K176</x:v>
      </x:c>
      <x:c r="B147" s="571" t="str">
        <x:v>苟拓通天肆意妄为</x:v>
      </x:c>
      <x:c r="C147" s="575" t="n">
        <x:f>IF($A147="","",AVERAGE(100*((COUNTIF('All Stats'!$D$6:$D$172,"&lt;"&amp;'All Stats'!D147)+(COUNTIF('All Stats'!$D$6:$D$172,'All Stats'!D147)-1)/2)/(COUNT('All Stats'!$D$6:$D$172)-1))^'Specialisation Scenarios'!$X$10,100*((COUNTIF('All Stats'!$G$6:$G$172,"&lt;"&amp;'All Stats'!G147)+(COUNTIF('All Stats'!$G$6:$G$172,'All Stats'!G147)-1)/2)/(COUNT('All Stats'!$G$6:$G$172)-1))^'Specialisation Scenarios'!$X$10,100*((COUNTIF('All Stats'!$I$6:$I$172,"&lt;"&amp;'All Stats'!I147)+(COUNTIF('All Stats'!$I$6:$I$172,'All Stats'!I147)-1)/2)/(COUNT('All Stats'!$I$6:$I$172)-1))^'Specialisation Scenarios'!$X$10))</x:f>
        <x:v>78.55515833750167</x:v>
      </x:c>
      <x:c r="D147" s="575" t="n">
        <x:f>IF($A147="","",AVERAGE(100*((COUNTIF('All Stats'!$R$6:$R$172,"&lt;"&amp;'All Stats'!R147)+(COUNTIF('All Stats'!$R$6:$R$172,'All Stats'!R147)-1)/2)/(COUNT('All Stats'!$R$6:$R$172)-1))^'Specialisation Scenarios'!$X$10,100*((COUNTIF('All Stats'!$U$6:$U$172,"&lt;"&amp;'All Stats'!U147)+(COUNTIF('All Stats'!$U$6:$U$172,'All Stats'!U147)-1)/2)/(COUNT('All Stats'!$U$6:$U$172)-1))^'Specialisation Scenarios'!$X$10,100*((COUNTIF('All Stats'!$W$6:$W$172,"&lt;"&amp;'All Stats'!W147)+(COUNTIF('All Stats'!$W$6:$W$172,'All Stats'!W147)-1)/2)/(COUNT('All Stats'!$W$6:$W$172)-1))^'Specialisation Scenarios'!$X$10))</x:f>
        <x:v>66.1978406097133</x:v>
      </x:c>
      <x:c r="E147" s="575" t="n">
        <x:f>IF($A147="","",AVERAGE(100*((COUNTIF('All Stats'!$Y$6:$Y$172,"&lt;"&amp;'All Stats'!Y147)+(COUNTIF('All Stats'!$Y$6:$Y$172,'All Stats'!Y147)-1)/2)/(COUNT('All Stats'!$Y$6:$Y$172)-1))^'Specialisation Scenarios'!$X$10,100*((COUNTIF('All Stats'!$AB$6:$AB$172,"&lt;"&amp;'All Stats'!AB147)+(COUNTIF('All Stats'!$AB$6:$AB$172,'All Stats'!AB147)-1)/2)/(COUNT('All Stats'!$AB$6:$AB$172)-1))^'Specialisation Scenarios'!$X$10,100*((COUNTIF('All Stats'!$AD$6:$AD$172,"&lt;"&amp;'All Stats'!AD147)+(COUNTIF('All Stats'!$AD$6:$AD$172,'All Stats'!AD147)-1)/2)/(COUNT('All Stats'!$AD$6:$AD$172)-1))^'Specialisation Scenarios'!$X$10))</x:f>
        <x:v>66.86881056761318</x:v>
      </x:c>
      <x:c r="F147" s="575" t="n">
        <x:f>IF($A147="","",AVERAGE(100*((COUNTIF('All Stats'!$AF$6:$AF$172,"&lt;"&amp;'All Stats'!AF147)+(COUNTIF('All Stats'!$AF$6:$AF$172,'All Stats'!AF147)-1)/2)/(COUNT('All Stats'!$AF$6:$AF$172)-1))^'Specialisation Scenarios'!$X$10,100*((COUNTIF('All Stats'!$AI$6:$AI$172,"&lt;"&amp;'All Stats'!AI147)+(COUNTIF('All Stats'!$AI$6:$AI$172,'All Stats'!AI147)-1)/2)/(COUNT('All Stats'!$AI$6:$AI$172)-1))^'Specialisation Scenarios'!$X$10,100*((COUNTIF('All Stats'!$AK$6:$AK$172,"&lt;"&amp;'All Stats'!AK147)+(COUNTIF('All Stats'!$AK$6:$AK$172,'All Stats'!AK147)-1)/2)/(COUNT('All Stats'!$AK$6:$AK$172)-1))^'Specialisation Scenarios'!$X$10))</x:f>
        <x:v>67.1260044984245</x:v>
      </x:c>
      <x:c r="G147" s="575" t="n">
        <x:f>IF($A147="","",C147*'Specialisation Scenarios'!$X$11+D147*'Specialisation Scenarios'!$X$12+E147*'Specialisation Scenarios'!$X$13+F147*'Specialisation Scenarios'!$X$14)</x:f>
        <x:v>68.2577598479782</x:v>
      </x:c>
      <x:c r="H147" s="575" t="n">
        <x:f>IF(SUMIFS('Specialisation Impact'!$E$19:$E$186,'Specialisation Impact'!$A$19:$A$186,A147,'Specialisation Impact'!$B$19:$B$186,B147)=0,"",SUMIFS('Specialisation Impact'!$S$19:$S$186,'Specialisation Impact'!$A$19:$A$186,A147,'Specialisation Impact'!$B$19:$B$186,B147))</x:f>
        <x:v>96.75324675324676</x:v>
      </x:c>
      <x:c r="I147" s="579" t="n">
        <x:f>IF(SUMIFS('Specialisation Impact'!$E$19:$E$186,'Specialisation Impact'!$A$19:$A$186,A147,'Specialisation Impact'!$B$19:$B$186,B147)=0,0,SUMIFS('Specialisation Impact'!$F$19:$F$186,'Specialisation Impact'!$A$19:$A$186,A147,'Specialisation Impact'!$B$19:$B$186,B147))</x:f>
        <x:v>1</x:v>
      </x:c>
      <x:c r="J147" s="575" t="n">
        <x:f>G147</x:f>
        <x:v>68.2577598479782</x:v>
      </x:c>
      <x:c r="K147" s="575" t="n">
        <x:f>IF(G147="","",IF(I147=0,G147,MAX(0,MIN(100,G147*(1-'Specialisation Scenarios'!$B$8*I147)+H147*('Specialisation Scenarios'!$B$8*I147)))))</x:f>
        <x:v>75.38163157429534</x:v>
      </x:c>
      <x:c r="L147" s="575" t="n">
        <x:f>IF(G147="","",IF(I147=0,G147,MAX(0,MIN(100,G147*(1-'Specialisation Scenarios'!$B$9*I147)+H147*('Specialisation Scenarios'!$B$9*I147)))))</x:f>
        <x:v>78.2311802648222</x:v>
      </x:c>
      <x:c r="M147" s="575" t="str">
        <x:f>IF(COUNTIFS('Tank &amp; Control'!$A$23:$A$189,A147,'Tank &amp; Control'!$B$23:$B$189,B147,'Tank &amp; Control'!$C$23:$C$189,"Yes")&gt;0,"Yes","No")</x:f>
        <x:v>Yes</x:v>
      </x:c>
      <x:c r="N147" s="575" t="n">
        <x:f>IF(M147&lt;&gt;"Yes","",SUMIFS('Tank &amp; Control'!$L$23:$L$189,'Tank &amp; Control'!$A$23:$A$189,A147,'Tank &amp; Control'!$B$23:$B$189,B147))</x:f>
        <x:v>73.93669792686401</x:v>
      </x:c>
      <x:c r="O147" s="575" t="n">
        <x:f>IF(SUMIFS('Specialisation Impact'!$M$19:$M$186,'Specialisation Impact'!$A$19:$A$186,A147,'Specialisation Impact'!$B$19:$B$186,B147)=0,"",SUMIFS('Specialisation Impact'!$V$19:$V$186,'Specialisation Impact'!$A$19:$A$186,A147,'Specialisation Impact'!$B$19:$B$186,B147))</x:f>
        <x:v>93.16239316239316</x:v>
      </x:c>
      <x:c r="P147" s="575" t="n">
        <x:f>IF(N147="","",N147)</x:f>
        <x:v>73.93669792686401</x:v>
      </x:c>
      <x:c r="Q147" s="575" t="n">
        <x:f>IF(N147="","",IF(AC147=0,N147,MAX(0,MIN(100,N147*(1-'Specialisation Scenarios'!$B$8*AC147)+O147*('Specialisation Scenarios'!$B$8*AC147)))))</x:f>
        <x:v>78.7431217357463</x:v>
      </x:c>
      <x:c r="R147" s="575" t="n">
        <x:f>IF(N147="","",IF(AC147=0,N147,MAX(0,MIN(100,N147*(1-'Specialisation Scenarios'!$B$9*AC147)+O147*('Specialisation Scenarios'!$B$9*AC147)))))</x:f>
        <x:v>80.66569125929921</x:v>
      </x:c>
      <x:c r="S147" s="583" t="n">
        <x:f>IF(J147="","",COUNTIFS($A$6:$A$172,A147,$J$6:$J$172,"&gt;"&amp;J147)+COUNTIFS($A$6:A147,A147,$J$6:J147,J147))</x:f>
        <x:v>2</x:v>
      </x:c>
      <x:c r="T147" s="583" t="n">
        <x:f>IF(K147="","",COUNTIFS($A$6:$A$172,A147,$K$6:$K$172,"&gt;"&amp;K147)+COUNTIFS($A$6:A147,A147,$K$6:K147,K147))</x:f>
        <x:v>2</x:v>
      </x:c>
      <x:c r="U147" s="583" t="n">
        <x:f>IF(L147="","",COUNTIFS($A$6:$A$172,A147,$L$6:$L$172,"&gt;"&amp;L147)+COUNTIFS($A$6:A147,A147,$L$6:L147,L147))</x:f>
        <x:v>1</x:v>
      </x:c>
      <x:c r="V147" s="583" t="n">
        <x:f>IF(P147="","",COUNTIFS($A$6:$A$172,A147,$P$6:$P$172,"&gt;"&amp;P147)+COUNTIFS($A$6:A147,A147,$P$6:P147,P147))</x:f>
        <x:v>1</x:v>
      </x:c>
      <x:c r="W147" s="583" t="n">
        <x:f>IF(Q147="","",COUNTIFS($A$6:$A$172,A147,$Q$6:$Q$172,"&gt;"&amp;Q147)+COUNTIFS($A$6:A147,A147,$Q$6:Q147,Q147))</x:f>
        <x:v>1</x:v>
      </x:c>
      <x:c r="X147" s="583" t="n">
        <x:f>IF(R147="","",COUNTIFS($A$6:$A$172,A147,$R$6:$R$172,"&gt;"&amp;R147)+COUNTIFS($A$6:A147,A147,$R$6:R147,R147))</x:f>
        <x:v>1</x:v>
      </x:c>
      <x:c r="Y147" s="571" t="str">
        <x:f>IF(V147="","",A147&amp;"|"&amp;V147)</x:f>
        <x:v>K176|1</x:v>
      </x:c>
      <x:c r="Z147" s="571" t="str">
        <x:f>IF(W147="","",A147&amp;"|"&amp;W147)</x:f>
        <x:v>K176|1</x:v>
      </x:c>
      <x:c r="AA147" s="571" t="str">
        <x:f>IF(X147="","",A147&amp;"|"&amp;X147)</x:f>
        <x:v>K176|1</x:v>
      </x:c>
      <x:c r="AB147" s="571" t="str">
        <x:f>IF(A147="","",IF(I147=0,"Offense neutral — no recorded offensive skills",IF(I147&lt;1,"Partial lookup — adjustment scaled",IF(AND(M147="Yes",AC147=0),"Offense adjusted; Guard neutral","Captured"))))</x:f>
        <x:v>Captured</x:v>
      </x:c>
      <x:c r="AC147" s="579" t="n">
        <x:f>IF(SUMIFS('Specialisation Impact'!$M$19:$M$186,'Specialisation Impact'!$A$19:$A$186,A147,'Specialisation Impact'!$B$19:$B$186,B147)=0,0,SUMIFS('Specialisation Impact'!$F$19:$F$186,'Specialisation Impact'!$A$19:$A$186,A147,'Specialisation Impact'!$B$19:$B$186,B147))</x:f>
        <x:v>1</x:v>
      </x:c>
    </x:row>
    <x:row r="148">
      <x:c r="A148" s="572" t="str">
        <x:v>K176</x:v>
      </x:c>
      <x:c r="B148" s="572" t="str">
        <x:v>Evildagger</x:v>
      </x:c>
      <x:c r="C148" s="576" t="n">
        <x:f>IF($A148="","",AVERAGE(100*((COUNTIF('All Stats'!$D$6:$D$172,"&lt;"&amp;'All Stats'!D148)+(COUNTIF('All Stats'!$D$6:$D$172,'All Stats'!D148)-1)/2)/(COUNT('All Stats'!$D$6:$D$172)-1))^'Specialisation Scenarios'!$X$10,100*((COUNTIF('All Stats'!$G$6:$G$172,"&lt;"&amp;'All Stats'!G148)+(COUNTIF('All Stats'!$G$6:$G$172,'All Stats'!G148)-1)/2)/(COUNT('All Stats'!$G$6:$G$172)-1))^'Specialisation Scenarios'!$X$10,100*((COUNTIF('All Stats'!$I$6:$I$172,"&lt;"&amp;'All Stats'!I148)+(COUNTIF('All Stats'!$I$6:$I$172,'All Stats'!I148)-1)/2)/(COUNT('All Stats'!$I$6:$I$172)-1))^'Specialisation Scenarios'!$X$10))</x:f>
        <x:v>16.57597685832003</x:v>
      </x:c>
      <x:c r="D148" s="576" t="n">
        <x:f>IF($A148="","",AVERAGE(100*((COUNTIF('All Stats'!$R$6:$R$172,"&lt;"&amp;'All Stats'!R148)+(COUNTIF('All Stats'!$R$6:$R$172,'All Stats'!R148)-1)/2)/(COUNT('All Stats'!$R$6:$R$172)-1))^'Specialisation Scenarios'!$X$10,100*((COUNTIF('All Stats'!$U$6:$U$172,"&lt;"&amp;'All Stats'!U148)+(COUNTIF('All Stats'!$U$6:$U$172,'All Stats'!U148)-1)/2)/(COUNT('All Stats'!$U$6:$U$172)-1))^'Specialisation Scenarios'!$X$10,100*((COUNTIF('All Stats'!$W$6:$W$172,"&lt;"&amp;'All Stats'!W148)+(COUNTIF('All Stats'!$W$6:$W$172,'All Stats'!W148)-1)/2)/(COUNT('All Stats'!$W$6:$W$172)-1))^'Specialisation Scenarios'!$X$10))</x:f>
        <x:v>36.17346005899575</x:v>
      </x:c>
      <x:c r="E148" s="576" t="n">
        <x:f>IF($A148="","",AVERAGE(100*((COUNTIF('All Stats'!$Y$6:$Y$172,"&lt;"&amp;'All Stats'!Y148)+(COUNTIF('All Stats'!$Y$6:$Y$172,'All Stats'!Y148)-1)/2)/(COUNT('All Stats'!$Y$6:$Y$172)-1))^'Specialisation Scenarios'!$X$10,100*((COUNTIF('All Stats'!$AB$6:$AB$172,"&lt;"&amp;'All Stats'!AB148)+(COUNTIF('All Stats'!$AB$6:$AB$172,'All Stats'!AB148)-1)/2)/(COUNT('All Stats'!$AB$6:$AB$172)-1))^'Specialisation Scenarios'!$X$10,100*((COUNTIF('All Stats'!$AD$6:$AD$172,"&lt;"&amp;'All Stats'!AD148)+(COUNTIF('All Stats'!$AD$6:$AD$172,'All Stats'!AD148)-1)/2)/(COUNT('All Stats'!$AD$6:$AD$172)-1))^'Specialisation Scenarios'!$X$10))</x:f>
        <x:v>6.879566943113105</x:v>
      </x:c>
      <x:c r="F148" s="576" t="n">
        <x:f>IF($A148="","",AVERAGE(100*((COUNTIF('All Stats'!$AF$6:$AF$172,"&lt;"&amp;'All Stats'!AF148)+(COUNTIF('All Stats'!$AF$6:$AF$172,'All Stats'!AF148)-1)/2)/(COUNT('All Stats'!$AF$6:$AF$172)-1))^'Specialisation Scenarios'!$X$10,100*((COUNTIF('All Stats'!$AI$6:$AI$172,"&lt;"&amp;'All Stats'!AI148)+(COUNTIF('All Stats'!$AI$6:$AI$172,'All Stats'!AI148)-1)/2)/(COUNT('All Stats'!$AI$6:$AI$172)-1))^'Specialisation Scenarios'!$X$10,100*((COUNTIF('All Stats'!$AK$6:$AK$172,"&lt;"&amp;'All Stats'!AK148)+(COUNTIF('All Stats'!$AK$6:$AK$172,'All Stats'!AK148)-1)/2)/(COUNT('All Stats'!$AK$6:$AK$172)-1))^'Specialisation Scenarios'!$X$10))</x:f>
        <x:v>53.14235698837668</x:v>
      </x:c>
      <x:c r="G148" s="576" t="n">
        <x:f>IF($A148="","",C148*'Specialisation Scenarios'!$X$11+D148*'Specialisation Scenarios'!$X$12+E148*'Specialisation Scenarios'!$X$13+F148*'Specialisation Scenarios'!$X$14)</x:f>
        <x:v>32.849782806713264</x:v>
      </x:c>
      <x:c r="H148" s="576" t="n">
        <x:f>IF(SUMIFS('Specialisation Impact'!$E$19:$E$186,'Specialisation Impact'!$A$19:$A$186,A148,'Specialisation Impact'!$B$19:$B$186,B148)=0,"",SUMIFS('Specialisation Impact'!$S$19:$S$186,'Specialisation Impact'!$A$19:$A$186,A148,'Specialisation Impact'!$B$19:$B$186,B148))</x:f>
        <x:v>50.64935064935065</x:v>
      </x:c>
      <x:c r="I148" s="580" t="n">
        <x:f>IF(SUMIFS('Specialisation Impact'!$E$19:$E$186,'Specialisation Impact'!$A$19:$A$186,A148,'Specialisation Impact'!$B$19:$B$186,B148)=0,0,SUMIFS('Specialisation Impact'!$F$19:$F$186,'Specialisation Impact'!$A$19:$A$186,A148,'Specialisation Impact'!$B$19:$B$186,B148))</x:f>
        <x:v>1</x:v>
      </x:c>
      <x:c r="J148" s="576" t="n">
        <x:f>G148</x:f>
        <x:v>32.849782806713264</x:v>
      </x:c>
      <x:c r="K148" s="576" t="n">
        <x:f>IF(G148="","",IF(I148=0,G148,MAX(0,MIN(100,G148*(1-'Specialisation Scenarios'!$B$8*I148)+H148*('Specialisation Scenarios'!$B$8*I148)))))</x:f>
        <x:v>37.29967476737261</x:v>
      </x:c>
      <x:c r="L148" s="576" t="n">
        <x:f>IF(G148="","",IF(I148=0,G148,MAX(0,MIN(100,G148*(1-'Specialisation Scenarios'!$B$9*I148)+H148*('Specialisation Scenarios'!$B$9*I148)))))</x:f>
        <x:v>39.07963155163635</x:v>
      </x:c>
      <x:c r="M148" s="576" t="str">
        <x:f>IF(COUNTIFS('Tank &amp; Control'!$A$23:$A$189,A148,'Tank &amp; Control'!$B$23:$B$189,B148,'Tank &amp; Control'!$C$23:$C$189,"Yes")&gt;0,"Yes","No")</x:f>
        <x:v>No</x:v>
      </x:c>
      <x:c r="N148" s="576" t="str">
        <x:f>IF(M148&lt;&gt;"Yes","",SUMIFS('Tank &amp; Control'!$L$23:$L$189,'Tank &amp; Control'!$A$23:$A$189,A148,'Tank &amp; Control'!$B$23:$B$189,B148))</x:f>
      </x:c>
      <x:c r="O148" s="576" t="str">
        <x:f>IF(SUMIFS('Specialisation Impact'!$M$19:$M$186,'Specialisation Impact'!$A$19:$A$186,A148,'Specialisation Impact'!$B$19:$B$186,B148)=0,"",SUMIFS('Specialisation Impact'!$V$19:$V$186,'Specialisation Impact'!$A$19:$A$186,A148,'Specialisation Impact'!$B$19:$B$186,B148))</x:f>
      </x:c>
      <x:c r="P148" s="576" t="str">
        <x:f>IF(N148="","",N148)</x:f>
      </x:c>
      <x:c r="Q148" s="576" t="str">
        <x:f>IF(N148="","",IF(AC148=0,N148,MAX(0,MIN(100,N148*(1-'Specialisation Scenarios'!$B$8*AC148)+O148*('Specialisation Scenarios'!$B$8*AC148)))))</x:f>
      </x:c>
      <x:c r="R148" s="576" t="str">
        <x:f>IF(N148="","",IF(AC148=0,N148,MAX(0,MIN(100,N148*(1-'Specialisation Scenarios'!$B$9*AC148)+O148*('Specialisation Scenarios'!$B$9*AC148)))))</x:f>
      </x:c>
      <x:c r="S148" s="584" t="n">
        <x:f>IF(J148="","",COUNTIFS($A$6:$A$172,A148,$J$6:$J$172,"&gt;"&amp;J148)+COUNTIFS($A$6:A148,A148,$J$6:J148,J148))</x:f>
        <x:v>15</x:v>
      </x:c>
      <x:c r="T148" s="584" t="n">
        <x:f>IF(K148="","",COUNTIFS($A$6:$A$172,A148,$K$6:$K$172,"&gt;"&amp;K148)+COUNTIFS($A$6:A148,A148,$K$6:K148,K148))</x:f>
        <x:v>16</x:v>
      </x:c>
      <x:c r="U148" s="584" t="n">
        <x:f>IF(L148="","",COUNTIFS($A$6:$A$172,A148,$L$6:$L$172,"&gt;"&amp;L148)+COUNTIFS($A$6:A148,A148,$L$6:L148,L148))</x:f>
        <x:v>17</x:v>
      </x:c>
      <x:c r="V148" s="584" t="str">
        <x:f>IF(P148="","",COUNTIFS($A$6:$A$172,A148,$P$6:$P$172,"&gt;"&amp;P148)+COUNTIFS($A$6:A148,A148,$P$6:P148,P148))</x:f>
      </x:c>
      <x:c r="W148" s="584" t="str">
        <x:f>IF(Q148="","",COUNTIFS($A$6:$A$172,A148,$Q$6:$Q$172,"&gt;"&amp;Q148)+COUNTIFS($A$6:A148,A148,$Q$6:Q148,Q148))</x:f>
      </x:c>
      <x:c r="X148" s="584" t="str">
        <x:f>IF(R148="","",COUNTIFS($A$6:$A$172,A148,$R$6:$R$172,"&gt;"&amp;R148)+COUNTIFS($A$6:A148,A148,$R$6:R148,R148))</x:f>
      </x:c>
      <x:c r="Y148" s="572" t="str">
        <x:f>IF(V148="","",A148&amp;"|"&amp;V148)</x:f>
      </x:c>
      <x:c r="Z148" s="572" t="str">
        <x:f>IF(W148="","",A148&amp;"|"&amp;W148)</x:f>
      </x:c>
      <x:c r="AA148" s="572" t="str">
        <x:f>IF(X148="","",A148&amp;"|"&amp;X148)</x:f>
      </x:c>
      <x:c r="AB148" s="572" t="str">
        <x:f>IF(A148="","",IF(I148=0,"Offense neutral — no recorded offensive skills",IF(I148&lt;1,"Partial lookup — adjustment scaled",IF(AND(M148="Yes",AC148=0),"Offense adjusted; Guard neutral","Captured"))))</x:f>
        <x:v>Captured</x:v>
      </x:c>
      <x:c r="AC148" s="580" t="n">
        <x:f>IF(SUMIFS('Specialisation Impact'!$M$19:$M$186,'Specialisation Impact'!$A$19:$A$186,A148,'Specialisation Impact'!$B$19:$B$186,B148)=0,0,SUMIFS('Specialisation Impact'!$F$19:$F$186,'Specialisation Impact'!$A$19:$A$186,A148,'Specialisation Impact'!$B$19:$B$186,B148))</x:f>
        <x:v>0</x:v>
      </x:c>
    </x:row>
    <x:row r="149">
      <x:c r="A149" s="571" t="str">
        <x:v>K176</x:v>
      </x:c>
      <x:c r="B149" s="571" t="str">
        <x:v>༺肥者先食༻</x:v>
      </x:c>
      <x:c r="C149" s="575" t="n">
        <x:f>IF($A149="","",AVERAGE(100*((COUNTIF('All Stats'!$D$6:$D$172,"&lt;"&amp;'All Stats'!D149)+(COUNTIF('All Stats'!$D$6:$D$172,'All Stats'!D149)-1)/2)/(COUNT('All Stats'!$D$6:$D$172)-1))^'Specialisation Scenarios'!$X$10,100*((COUNTIF('All Stats'!$G$6:$G$172,"&lt;"&amp;'All Stats'!G149)+(COUNTIF('All Stats'!$G$6:$G$172,'All Stats'!G149)-1)/2)/(COUNT('All Stats'!$G$6:$G$172)-1))^'Specialisation Scenarios'!$X$10,100*((COUNTIF('All Stats'!$I$6:$I$172,"&lt;"&amp;'All Stats'!I149)+(COUNTIF('All Stats'!$I$6:$I$172,'All Stats'!I149)-1)/2)/(COUNT('All Stats'!$I$6:$I$172)-1))^'Specialisation Scenarios'!$X$10))</x:f>
        <x:v>3.747855006631602</x:v>
      </x:c>
      <x:c r="D149" s="575" t="n">
        <x:f>IF($A149="","",AVERAGE(100*((COUNTIF('All Stats'!$R$6:$R$172,"&lt;"&amp;'All Stats'!R149)+(COUNTIF('All Stats'!$R$6:$R$172,'All Stats'!R149)-1)/2)/(COUNT('All Stats'!$R$6:$R$172)-1))^'Specialisation Scenarios'!$X$10,100*((COUNTIF('All Stats'!$U$6:$U$172,"&lt;"&amp;'All Stats'!U149)+(COUNTIF('All Stats'!$U$6:$U$172,'All Stats'!U149)-1)/2)/(COUNT('All Stats'!$U$6:$U$172)-1))^'Specialisation Scenarios'!$X$10,100*((COUNTIF('All Stats'!$W$6:$W$172,"&lt;"&amp;'All Stats'!W149)+(COUNTIF('All Stats'!$W$6:$W$172,'All Stats'!W149)-1)/2)/(COUNT('All Stats'!$W$6:$W$172)-1))^'Specialisation Scenarios'!$X$10))</x:f>
        <x:v>24.490607808435673</x:v>
      </x:c>
      <x:c r="E149" s="575" t="n">
        <x:f>IF($A149="","",AVERAGE(100*((COUNTIF('All Stats'!$Y$6:$Y$172,"&lt;"&amp;'All Stats'!Y149)+(COUNTIF('All Stats'!$Y$6:$Y$172,'All Stats'!Y149)-1)/2)/(COUNT('All Stats'!$Y$6:$Y$172)-1))^'Specialisation Scenarios'!$X$10,100*((COUNTIF('All Stats'!$AB$6:$AB$172,"&lt;"&amp;'All Stats'!AB149)+(COUNTIF('All Stats'!$AB$6:$AB$172,'All Stats'!AB149)-1)/2)/(COUNT('All Stats'!$AB$6:$AB$172)-1))^'Specialisation Scenarios'!$X$10,100*((COUNTIF('All Stats'!$AD$6:$AD$172,"&lt;"&amp;'All Stats'!AD149)+(COUNTIF('All Stats'!$AD$6:$AD$172,'All Stats'!AD149)-1)/2)/(COUNT('All Stats'!$AD$6:$AD$172)-1))^'Specialisation Scenarios'!$X$10))</x:f>
        <x:v>24.281870609623713</x:v>
      </x:c>
      <x:c r="F149" s="575" t="n">
        <x:f>IF($A149="","",AVERAGE(100*((COUNTIF('All Stats'!$AF$6:$AF$172,"&lt;"&amp;'All Stats'!AF149)+(COUNTIF('All Stats'!$AF$6:$AF$172,'All Stats'!AF149)-1)/2)/(COUNT('All Stats'!$AF$6:$AF$172)-1))^'Specialisation Scenarios'!$X$10,100*((COUNTIF('All Stats'!$AI$6:$AI$172,"&lt;"&amp;'All Stats'!AI149)+(COUNTIF('All Stats'!$AI$6:$AI$172,'All Stats'!AI149)-1)/2)/(COUNT('All Stats'!$AI$6:$AI$172)-1))^'Specialisation Scenarios'!$X$10,100*((COUNTIF('All Stats'!$AK$6:$AK$172,"&lt;"&amp;'All Stats'!AK149)+(COUNTIF('All Stats'!$AK$6:$AK$172,'All Stats'!AK149)-1)/2)/(COUNT('All Stats'!$AK$6:$AK$172)-1))^'Specialisation Scenarios'!$X$10))</x:f>
        <x:v>18.565804317218817</x:v>
      </x:c>
      <x:c r="G149" s="575" t="n">
        <x:f>IF($A149="","",C149*'Specialisation Scenarios'!$X$11+D149*'Specialisation Scenarios'!$X$12+E149*'Specialisation Scenarios'!$X$13+F149*'Specialisation Scenarios'!$X$14)</x:f>
        <x:v>20.469600644601336</x:v>
      </x:c>
      <x:c r="H149" s="575" t="n">
        <x:f>IF(SUMIFS('Specialisation Impact'!$E$19:$E$186,'Specialisation Impact'!$A$19:$A$186,A149,'Specialisation Impact'!$B$19:$B$186,B149)=0,"",SUMIFS('Specialisation Impact'!$S$19:$S$186,'Specialisation Impact'!$A$19:$A$186,A149,'Specialisation Impact'!$B$19:$B$186,B149))</x:f>
        <x:v>51.55844155844156</x:v>
      </x:c>
      <x:c r="I149" s="579" t="n">
        <x:f>IF(SUMIFS('Specialisation Impact'!$E$19:$E$186,'Specialisation Impact'!$A$19:$A$186,A149,'Specialisation Impact'!$B$19:$B$186,B149)=0,0,SUMIFS('Specialisation Impact'!$F$19:$F$186,'Specialisation Impact'!$A$19:$A$186,A149,'Specialisation Impact'!$B$19:$B$186,B149))</x:f>
        <x:v>1</x:v>
      </x:c>
      <x:c r="J149" s="575" t="n">
        <x:f>G149</x:f>
        <x:v>20.469600644601336</x:v>
      </x:c>
      <x:c r="K149" s="575" t="n">
        <x:f>IF(G149="","",IF(I149=0,G149,MAX(0,MIN(100,G149*(1-'Specialisation Scenarios'!$B$8*I149)+H149*('Specialisation Scenarios'!$B$8*I149)))))</x:f>
        <x:v>28.24181087306139</x:v>
      </x:c>
      <x:c r="L149" s="575" t="n">
        <x:f>IF(G149="","",IF(I149=0,G149,MAX(0,MIN(100,G149*(1-'Specialisation Scenarios'!$B$9*I149)+H149*('Specialisation Scenarios'!$B$9*I149)))))</x:f>
        <x:v>31.35069496444541</x:v>
      </x:c>
      <x:c r="M149" s="575" t="str">
        <x:f>IF(COUNTIFS('Tank &amp; Control'!$A$23:$A$189,A149,'Tank &amp; Control'!$B$23:$B$189,B149,'Tank &amp; Control'!$C$23:$C$189,"Yes")&gt;0,"Yes","No")</x:f>
        <x:v>No</x:v>
      </x:c>
      <x:c r="N149" s="575" t="str">
        <x:f>IF(M149&lt;&gt;"Yes","",SUMIFS('Tank &amp; Control'!$L$23:$L$189,'Tank &amp; Control'!$A$23:$A$189,A149,'Tank &amp; Control'!$B$23:$B$189,B149))</x:f>
      </x:c>
      <x:c r="O149" s="575" t="n">
        <x:f>IF(SUMIFS('Specialisation Impact'!$M$19:$M$186,'Specialisation Impact'!$A$19:$A$186,A149,'Specialisation Impact'!$B$19:$B$186,B149)=0,"",SUMIFS('Specialisation Impact'!$V$19:$V$186,'Specialisation Impact'!$A$19:$A$186,A149,'Specialisation Impact'!$B$19:$B$186,B149))</x:f>
        <x:v>60.25641025641025</x:v>
      </x:c>
      <x:c r="P149" s="575" t="str">
        <x:f>IF(N149="","",N149)</x:f>
      </x:c>
      <x:c r="Q149" s="575" t="str">
        <x:f>IF(N149="","",IF(AC149=0,N149,MAX(0,MIN(100,N149*(1-'Specialisation Scenarios'!$B$8*AC149)+O149*('Specialisation Scenarios'!$B$8*AC149)))))</x:f>
      </x:c>
      <x:c r="R149" s="575" t="str">
        <x:f>IF(N149="","",IF(AC149=0,N149,MAX(0,MIN(100,N149*(1-'Specialisation Scenarios'!$B$9*AC149)+O149*('Specialisation Scenarios'!$B$9*AC149)))))</x:f>
      </x:c>
      <x:c r="S149" s="583" t="n">
        <x:f>IF(J149="","",COUNTIFS($A$6:$A$172,A149,$J$6:$J$172,"&gt;"&amp;J149)+COUNTIFS($A$6:A149,A149,$J$6:J149,J149))</x:f>
        <x:v>20</x:v>
      </x:c>
      <x:c r="T149" s="583" t="n">
        <x:f>IF(K149="","",COUNTIFS($A$6:$A$172,A149,$K$6:$K$172,"&gt;"&amp;K149)+COUNTIFS($A$6:A149,A149,$K$6:K149,K149))</x:f>
        <x:v>19</x:v>
      </x:c>
      <x:c r="U149" s="583" t="n">
        <x:f>IF(L149="","",COUNTIFS($A$6:$A$172,A149,$L$6:$L$172,"&gt;"&amp;L149)+COUNTIFS($A$6:A149,A149,$L$6:L149,L149))</x:f>
        <x:v>18</x:v>
      </x:c>
      <x:c r="V149" s="583" t="str">
        <x:f>IF(P149="","",COUNTIFS($A$6:$A$172,A149,$P$6:$P$172,"&gt;"&amp;P149)+COUNTIFS($A$6:A149,A149,$P$6:P149,P149))</x:f>
      </x:c>
      <x:c r="W149" s="583" t="str">
        <x:f>IF(Q149="","",COUNTIFS($A$6:$A$172,A149,$Q$6:$Q$172,"&gt;"&amp;Q149)+COUNTIFS($A$6:A149,A149,$Q$6:Q149,Q149))</x:f>
      </x:c>
      <x:c r="X149" s="583" t="str">
        <x:f>IF(R149="","",COUNTIFS($A$6:$A$172,A149,$R$6:$R$172,"&gt;"&amp;R149)+COUNTIFS($A$6:A149,A149,$R$6:R149,R149))</x:f>
      </x:c>
      <x:c r="Y149" s="571" t="str">
        <x:f>IF(V149="","",A149&amp;"|"&amp;V149)</x:f>
      </x:c>
      <x:c r="Z149" s="571" t="str">
        <x:f>IF(W149="","",A149&amp;"|"&amp;W149)</x:f>
      </x:c>
      <x:c r="AA149" s="571" t="str">
        <x:f>IF(X149="","",A149&amp;"|"&amp;X149)</x:f>
      </x:c>
      <x:c r="AB149" s="571" t="str">
        <x:f>IF(A149="","",IF(I149=0,"Offense neutral — no recorded offensive skills",IF(I149&lt;1,"Partial lookup — adjustment scaled",IF(AND(M149="Yes",AC149=0),"Offense adjusted; Guard neutral","Captured"))))</x:f>
        <x:v>Captured</x:v>
      </x:c>
      <x:c r="AC149" s="579" t="n">
        <x:f>IF(SUMIFS('Specialisation Impact'!$M$19:$M$186,'Specialisation Impact'!$A$19:$A$186,A149,'Specialisation Impact'!$B$19:$B$186,B149)=0,0,SUMIFS('Specialisation Impact'!$F$19:$F$186,'Specialisation Impact'!$A$19:$A$186,A149,'Specialisation Impact'!$B$19:$B$186,B149))</x:f>
        <x:v>1</x:v>
      </x:c>
    </x:row>
    <x:row r="150">
      <x:c r="A150" s="572" t="str">
        <x:v>K176</x:v>
      </x:c>
      <x:c r="B150" s="572" t="str">
        <x:v>༺璀璨星辰༻</x:v>
      </x:c>
      <x:c r="C150" s="576" t="n">
        <x:f>IF($A150="","",AVERAGE(100*((COUNTIF('All Stats'!$D$6:$D$172,"&lt;"&amp;'All Stats'!D150)+(COUNTIF('All Stats'!$D$6:$D$172,'All Stats'!D150)-1)/2)/(COUNT('All Stats'!$D$6:$D$172)-1))^'Specialisation Scenarios'!$X$10,100*((COUNTIF('All Stats'!$G$6:$G$172,"&lt;"&amp;'All Stats'!G150)+(COUNTIF('All Stats'!$G$6:$G$172,'All Stats'!G150)-1)/2)/(COUNT('All Stats'!$G$6:$G$172)-1))^'Specialisation Scenarios'!$X$10,100*((COUNTIF('All Stats'!$I$6:$I$172,"&lt;"&amp;'All Stats'!I150)+(COUNTIF('All Stats'!$I$6:$I$172,'All Stats'!I150)-1)/2)/(COUNT('All Stats'!$I$6:$I$172)-1))^'Specialisation Scenarios'!$X$10))</x:f>
        <x:v>75.52932723051146</x:v>
      </x:c>
      <x:c r="D150" s="576" t="n">
        <x:f>IF($A150="","",AVERAGE(100*((COUNTIF('All Stats'!$R$6:$R$172,"&lt;"&amp;'All Stats'!R150)+(COUNTIF('All Stats'!$R$6:$R$172,'All Stats'!R150)-1)/2)/(COUNT('All Stats'!$R$6:$R$172)-1))^'Specialisation Scenarios'!$X$10,100*((COUNTIF('All Stats'!$U$6:$U$172,"&lt;"&amp;'All Stats'!U150)+(COUNTIF('All Stats'!$U$6:$U$172,'All Stats'!U150)-1)/2)/(COUNT('All Stats'!$U$6:$U$172)-1))^'Specialisation Scenarios'!$X$10,100*((COUNTIF('All Stats'!$W$6:$W$172,"&lt;"&amp;'All Stats'!W150)+(COUNTIF('All Stats'!$W$6:$W$172,'All Stats'!W150)-1)/2)/(COUNT('All Stats'!$W$6:$W$172)-1))^'Specialisation Scenarios'!$X$10))</x:f>
        <x:v>79.41983862726403</x:v>
      </x:c>
      <x:c r="E150" s="576" t="n">
        <x:f>IF($A150="","",AVERAGE(100*((COUNTIF('All Stats'!$Y$6:$Y$172,"&lt;"&amp;'All Stats'!Y150)+(COUNTIF('All Stats'!$Y$6:$Y$172,'All Stats'!Y150)-1)/2)/(COUNT('All Stats'!$Y$6:$Y$172)-1))^'Specialisation Scenarios'!$X$10,100*((COUNTIF('All Stats'!$AB$6:$AB$172,"&lt;"&amp;'All Stats'!AB150)+(COUNTIF('All Stats'!$AB$6:$AB$172,'All Stats'!AB150)-1)/2)/(COUNT('All Stats'!$AB$6:$AB$172)-1))^'Specialisation Scenarios'!$X$10,100*((COUNTIF('All Stats'!$AD$6:$AD$172,"&lt;"&amp;'All Stats'!AD150)+(COUNTIF('All Stats'!$AD$6:$AD$172,'All Stats'!AD150)-1)/2)/(COUNT('All Stats'!$AD$6:$AD$172)-1))^'Specialisation Scenarios'!$X$10))</x:f>
        <x:v>8.818628822187447</x:v>
      </x:c>
      <x:c r="F150" s="576" t="n">
        <x:f>IF($A150="","",AVERAGE(100*((COUNTIF('All Stats'!$AF$6:$AF$172,"&lt;"&amp;'All Stats'!AF150)+(COUNTIF('All Stats'!$AF$6:$AF$172,'All Stats'!AF150)-1)/2)/(COUNT('All Stats'!$AF$6:$AF$172)-1))^'Specialisation Scenarios'!$X$10,100*((COUNTIF('All Stats'!$AI$6:$AI$172,"&lt;"&amp;'All Stats'!AI150)+(COUNTIF('All Stats'!$AI$6:$AI$172,'All Stats'!AI150)-1)/2)/(COUNT('All Stats'!$AI$6:$AI$172)-1))^'Specialisation Scenarios'!$X$10,100*((COUNTIF('All Stats'!$AK$6:$AK$172,"&lt;"&amp;'All Stats'!AK150)+(COUNTIF('All Stats'!$AK$6:$AK$172,'All Stats'!AK150)-1)/2)/(COUNT('All Stats'!$AK$6:$AK$172)-1))^'Specialisation Scenarios'!$X$10))</x:f>
        <x:v>76.49193570717158</x:v>
      </x:c>
      <x:c r="G150" s="576" t="n">
        <x:f>IF($A150="","",C150*'Specialisation Scenarios'!$X$11+D150*'Specialisation Scenarios'!$X$12+E150*'Specialisation Scenarios'!$X$13+F150*'Specialisation Scenarios'!$X$14)</x:f>
        <x:v>71.33695549922962</x:v>
      </x:c>
      <x:c r="H150" s="576" t="n">
        <x:f>IF(SUMIFS('Specialisation Impact'!$E$19:$E$186,'Specialisation Impact'!$A$19:$A$186,A150,'Specialisation Impact'!$B$19:$B$186,B150)=0,"",SUMIFS('Specialisation Impact'!$S$19:$S$186,'Specialisation Impact'!$A$19:$A$186,A150,'Specialisation Impact'!$B$19:$B$186,B150))</x:f>
        <x:v>90.25974025974025</x:v>
      </x:c>
      <x:c r="I150" s="580" t="n">
        <x:f>IF(SUMIFS('Specialisation Impact'!$E$19:$E$186,'Specialisation Impact'!$A$19:$A$186,A150,'Specialisation Impact'!$B$19:$B$186,B150)=0,0,SUMIFS('Specialisation Impact'!$F$19:$F$186,'Specialisation Impact'!$A$19:$A$186,A150,'Specialisation Impact'!$B$19:$B$186,B150))</x:f>
        <x:v>1</x:v>
      </x:c>
      <x:c r="J150" s="576" t="n">
        <x:f>G150</x:f>
        <x:v>71.33695549922962</x:v>
      </x:c>
      <x:c r="K150" s="576" t="n">
        <x:f>IF(G150="","",IF(I150=0,G150,MAX(0,MIN(100,G150*(1-'Specialisation Scenarios'!$B$8*I150)+H150*('Specialisation Scenarios'!$B$8*I150)))))</x:f>
        <x:v>76.06765168935728</x:v>
      </x:c>
      <x:c r="L150" s="576" t="n">
        <x:f>IF(G150="","",IF(I150=0,G150,MAX(0,MIN(100,G150*(1-'Specialisation Scenarios'!$B$9*I150)+H150*('Specialisation Scenarios'!$B$9*I150)))))</x:f>
        <x:v>77.95993016540834</x:v>
      </x:c>
      <x:c r="M150" s="576" t="str">
        <x:f>IF(COUNTIFS('Tank &amp; Control'!$A$23:$A$189,A150,'Tank &amp; Control'!$B$23:$B$189,B150,'Tank &amp; Control'!$C$23:$C$189,"Yes")&gt;0,"Yes","No")</x:f>
        <x:v>Yes</x:v>
      </x:c>
      <x:c r="N150" s="576" t="n">
        <x:f>IF(M150&lt;&gt;"Yes","",SUMIFS('Tank &amp; Control'!$L$23:$L$189,'Tank &amp; Control'!$A$23:$A$189,A150,'Tank &amp; Control'!$B$23:$B$189,B150))</x:f>
        <x:v>32.17305185209194</x:v>
      </x:c>
      <x:c r="O150" s="576" t="n">
        <x:f>IF(SUMIFS('Specialisation Impact'!$M$19:$M$186,'Specialisation Impact'!$A$19:$A$186,A150,'Specialisation Impact'!$B$19:$B$186,B150)=0,"",SUMIFS('Specialisation Impact'!$V$19:$V$186,'Specialisation Impact'!$A$19:$A$186,A150,'Specialisation Impact'!$B$19:$B$186,B150))</x:f>
        <x:v>60.25641025641025</x:v>
      </x:c>
      <x:c r="P150" s="576" t="n">
        <x:f>IF(N150="","",N150)</x:f>
        <x:v>32.17305185209194</x:v>
      </x:c>
      <x:c r="Q150" s="576" t="n">
        <x:f>IF(N150="","",IF(AC150=0,N150,MAX(0,MIN(100,N150*(1-'Specialisation Scenarios'!$B$8*AC150)+O150*('Specialisation Scenarios'!$B$8*AC150)))))</x:f>
        <x:v>39.19389145317152</x:v>
      </x:c>
      <x:c r="R150" s="576" t="n">
        <x:f>IF(N150="","",IF(AC150=0,N150,MAX(0,MIN(100,N150*(1-'Specialisation Scenarios'!$B$9*AC150)+O150*('Specialisation Scenarios'!$B$9*AC150)))))</x:f>
        <x:v>42.00222729360334</x:v>
      </x:c>
      <x:c r="S150" s="584" t="n">
        <x:f>IF(J150="","",COUNTIFS($A$6:$A$172,A150,$J$6:$J$172,"&gt;"&amp;J150)+COUNTIFS($A$6:A150,A150,$J$6:J150,J150))</x:f>
        <x:v>1</x:v>
      </x:c>
      <x:c r="T150" s="584" t="n">
        <x:f>IF(K150="","",COUNTIFS($A$6:$A$172,A150,$K$6:$K$172,"&gt;"&amp;K150)+COUNTIFS($A$6:A150,A150,$K$6:K150,K150))</x:f>
        <x:v>1</x:v>
      </x:c>
      <x:c r="U150" s="584" t="n">
        <x:f>IF(L150="","",COUNTIFS($A$6:$A$172,A150,$L$6:$L$172,"&gt;"&amp;L150)+COUNTIFS($A$6:A150,A150,$L$6:L150,L150))</x:f>
        <x:v>2</x:v>
      </x:c>
      <x:c r="V150" s="584" t="n">
        <x:f>IF(P150="","",COUNTIFS($A$6:$A$172,A150,$P$6:$P$172,"&gt;"&amp;P150)+COUNTIFS($A$6:A150,A150,$P$6:P150,P150))</x:f>
        <x:v>2</x:v>
      </x:c>
      <x:c r="W150" s="584" t="n">
        <x:f>IF(Q150="","",COUNTIFS($A$6:$A$172,A150,$Q$6:$Q$172,"&gt;"&amp;Q150)+COUNTIFS($A$6:A150,A150,$Q$6:Q150,Q150))</x:f>
        <x:v>2</x:v>
      </x:c>
      <x:c r="X150" s="584" t="n">
        <x:f>IF(R150="","",COUNTIFS($A$6:$A$172,A150,$R$6:$R$172,"&gt;"&amp;R150)+COUNTIFS($A$6:A150,A150,$R$6:R150,R150))</x:f>
        <x:v>2</x:v>
      </x:c>
      <x:c r="Y150" s="572" t="str">
        <x:f>IF(V150="","",A150&amp;"|"&amp;V150)</x:f>
        <x:v>K176|2</x:v>
      </x:c>
      <x:c r="Z150" s="572" t="str">
        <x:f>IF(W150="","",A150&amp;"|"&amp;W150)</x:f>
        <x:v>K176|2</x:v>
      </x:c>
      <x:c r="AA150" s="572" t="str">
        <x:f>IF(X150="","",A150&amp;"|"&amp;X150)</x:f>
        <x:v>K176|2</x:v>
      </x:c>
      <x:c r="AB150" s="572" t="str">
        <x:f>IF(A150="","",IF(I150=0,"Offense neutral — no recorded offensive skills",IF(I150&lt;1,"Partial lookup — adjustment scaled",IF(AND(M150="Yes",AC150=0),"Offense adjusted; Guard neutral","Captured"))))</x:f>
        <x:v>Captured</x:v>
      </x:c>
      <x:c r="AC150" s="580" t="n">
        <x:f>IF(SUMIFS('Specialisation Impact'!$M$19:$M$186,'Specialisation Impact'!$A$19:$A$186,A150,'Specialisation Impact'!$B$19:$B$186,B150)=0,0,SUMIFS('Specialisation Impact'!$F$19:$F$186,'Specialisation Impact'!$A$19:$A$186,A150,'Specialisation Impact'!$B$19:$B$186,B150))</x:f>
        <x:v>1</x:v>
      </x:c>
    </x:row>
    <x:row r="151">
      <x:c r="A151" s="571" t="str">
        <x:v>K176</x:v>
      </x:c>
      <x:c r="B151" s="571" t="str">
        <x:v>临兵斗者皆阵列前</x:v>
      </x:c>
      <x:c r="C151" s="575" t="n">
        <x:f>IF($A151="","",AVERAGE(100*((COUNTIF('All Stats'!$D$6:$D$172,"&lt;"&amp;'All Stats'!D151)+(COUNTIF('All Stats'!$D$6:$D$172,'All Stats'!D151)-1)/2)/(COUNT('All Stats'!$D$6:$D$172)-1))^'Specialisation Scenarios'!$X$10,100*((COUNTIF('All Stats'!$G$6:$G$172,"&lt;"&amp;'All Stats'!G151)+(COUNTIF('All Stats'!$G$6:$G$172,'All Stats'!G151)-1)/2)/(COUNT('All Stats'!$G$6:$G$172)-1))^'Specialisation Scenarios'!$X$10,100*((COUNTIF('All Stats'!$I$6:$I$172,"&lt;"&amp;'All Stats'!I151)+(COUNTIF('All Stats'!$I$6:$I$172,'All Stats'!I151)-1)/2)/(COUNT('All Stats'!$I$6:$I$172)-1))^'Specialisation Scenarios'!$X$10))</x:f>
        <x:v>8.981279254535135</x:v>
      </x:c>
      <x:c r="D151" s="575" t="n">
        <x:f>IF($A151="","",AVERAGE(100*((COUNTIF('All Stats'!$R$6:$R$172,"&lt;"&amp;'All Stats'!R151)+(COUNTIF('All Stats'!$R$6:$R$172,'All Stats'!R151)-1)/2)/(COUNT('All Stats'!$R$6:$R$172)-1))^'Specialisation Scenarios'!$X$10,100*((COUNTIF('All Stats'!$U$6:$U$172,"&lt;"&amp;'All Stats'!U151)+(COUNTIF('All Stats'!$U$6:$U$172,'All Stats'!U151)-1)/2)/(COUNT('All Stats'!$U$6:$U$172)-1))^'Specialisation Scenarios'!$X$10,100*((COUNTIF('All Stats'!$W$6:$W$172,"&lt;"&amp;'All Stats'!W151)+(COUNTIF('All Stats'!$W$6:$W$172,'All Stats'!W151)-1)/2)/(COUNT('All Stats'!$W$6:$W$172)-1))^'Specialisation Scenarios'!$X$10))</x:f>
        <x:v>33.35836742934662</x:v>
      </x:c>
      <x:c r="E151" s="575" t="n">
        <x:f>IF($A151="","",AVERAGE(100*((COUNTIF('All Stats'!$Y$6:$Y$172,"&lt;"&amp;'All Stats'!Y151)+(COUNTIF('All Stats'!$Y$6:$Y$172,'All Stats'!Y151)-1)/2)/(COUNT('All Stats'!$Y$6:$Y$172)-1))^'Specialisation Scenarios'!$X$10,100*((COUNTIF('All Stats'!$AB$6:$AB$172,"&lt;"&amp;'All Stats'!AB151)+(COUNTIF('All Stats'!$AB$6:$AB$172,'All Stats'!AB151)-1)/2)/(COUNT('All Stats'!$AB$6:$AB$172)-1))^'Specialisation Scenarios'!$X$10,100*((COUNTIF('All Stats'!$AD$6:$AD$172,"&lt;"&amp;'All Stats'!AD151)+(COUNTIF('All Stats'!$AD$6:$AD$172,'All Stats'!AD151)-1)/2)/(COUNT('All Stats'!$AD$6:$AD$172)-1))^'Specialisation Scenarios'!$X$10))</x:f>
        <x:v>12.90617264716785</x:v>
      </x:c>
      <x:c r="F151" s="575" t="n">
        <x:f>IF($A151="","",AVERAGE(100*((COUNTIF('All Stats'!$AF$6:$AF$172,"&lt;"&amp;'All Stats'!AF151)+(COUNTIF('All Stats'!$AF$6:$AF$172,'All Stats'!AF151)-1)/2)/(COUNT('All Stats'!$AF$6:$AF$172)-1))^'Specialisation Scenarios'!$X$10,100*((COUNTIF('All Stats'!$AI$6:$AI$172,"&lt;"&amp;'All Stats'!AI151)+(COUNTIF('All Stats'!$AI$6:$AI$172,'All Stats'!AI151)-1)/2)/(COUNT('All Stats'!$AI$6:$AI$172)-1))^'Specialisation Scenarios'!$X$10,100*((COUNTIF('All Stats'!$AK$6:$AK$172,"&lt;"&amp;'All Stats'!AK151)+(COUNTIF('All Stats'!$AK$6:$AK$172,'All Stats'!AK151)-1)/2)/(COUNT('All Stats'!$AK$6:$AK$172)-1))^'Specialisation Scenarios'!$X$10))</x:f>
        <x:v>34.75907490712817</x:v>
      </x:c>
      <x:c r="G151" s="575" t="n">
        <x:f>IF($A151="","",C151*'Specialisation Scenarios'!$X$11+D151*'Specialisation Scenarios'!$X$12+E151*'Specialisation Scenarios'!$X$13+F151*'Specialisation Scenarios'!$X$14)</x:f>
        <x:v>27.86669084657425</x:v>
      </x:c>
      <x:c r="H151" s="575" t="n">
        <x:f>IF(SUMIFS('Specialisation Impact'!$E$19:$E$186,'Specialisation Impact'!$A$19:$A$186,A151,'Specialisation Impact'!$B$19:$B$186,B151)=0,"",SUMIFS('Specialisation Impact'!$S$19:$S$186,'Specialisation Impact'!$A$19:$A$186,A151,'Specialisation Impact'!$B$19:$B$186,B151))</x:f>
        <x:v>68.05194805194805</x:v>
      </x:c>
      <x:c r="I151" s="579" t="n">
        <x:f>IF(SUMIFS('Specialisation Impact'!$E$19:$E$186,'Specialisation Impact'!$A$19:$A$186,A151,'Specialisation Impact'!$B$19:$B$186,B151)=0,0,SUMIFS('Specialisation Impact'!$F$19:$F$186,'Specialisation Impact'!$A$19:$A$186,A151,'Specialisation Impact'!$B$19:$B$186,B151))</x:f>
        <x:v>1</x:v>
      </x:c>
      <x:c r="J151" s="575" t="n">
        <x:f>G151</x:f>
        <x:v>27.86669084657425</x:v>
      </x:c>
      <x:c r="K151" s="575" t="n">
        <x:f>IF(G151="","",IF(I151=0,G151,MAX(0,MIN(100,G151*(1-'Specialisation Scenarios'!$B$8*I151)+H151*('Specialisation Scenarios'!$B$8*I151)))))</x:f>
        <x:v>37.9130051479177</x:v>
      </x:c>
      <x:c r="L151" s="575" t="n">
        <x:f>IF(G151="","",IF(I151=0,G151,MAX(0,MIN(100,G151*(1-'Specialisation Scenarios'!$B$9*I151)+H151*('Specialisation Scenarios'!$B$9*I151)))))</x:f>
        <x:v>41.93153086845508</x:v>
      </x:c>
      <x:c r="M151" s="575" t="str">
        <x:f>IF(COUNTIFS('Tank &amp; Control'!$A$23:$A$189,A151,'Tank &amp; Control'!$B$23:$B$189,B151,'Tank &amp; Control'!$C$23:$C$189,"Yes")&gt;0,"Yes","No")</x:f>
        <x:v>No</x:v>
      </x:c>
      <x:c r="N151" s="575" t="str">
        <x:f>IF(M151&lt;&gt;"Yes","",SUMIFS('Tank &amp; Control'!$L$23:$L$189,'Tank &amp; Control'!$A$23:$A$189,A151,'Tank &amp; Control'!$B$23:$B$189,B151))</x:f>
      </x:c>
      <x:c r="O151" s="575" t="n">
        <x:f>IF(SUMIFS('Specialisation Impact'!$M$19:$M$186,'Specialisation Impact'!$A$19:$A$186,A151,'Specialisation Impact'!$B$19:$B$186,B151)=0,"",SUMIFS('Specialisation Impact'!$V$19:$V$186,'Specialisation Impact'!$A$19:$A$186,A151,'Specialisation Impact'!$B$19:$B$186,B151))</x:f>
        <x:v>60.25641025641025</x:v>
      </x:c>
      <x:c r="P151" s="575" t="str">
        <x:f>IF(N151="","",N151)</x:f>
      </x:c>
      <x:c r="Q151" s="575" t="str">
        <x:f>IF(N151="","",IF(AC151=0,N151,MAX(0,MIN(100,N151*(1-'Specialisation Scenarios'!$B$8*AC151)+O151*('Specialisation Scenarios'!$B$8*AC151)))))</x:f>
      </x:c>
      <x:c r="R151" s="575" t="str">
        <x:f>IF(N151="","",IF(AC151=0,N151,MAX(0,MIN(100,N151*(1-'Specialisation Scenarios'!$B$9*AC151)+O151*('Specialisation Scenarios'!$B$9*AC151)))))</x:f>
      </x:c>
      <x:c r="S151" s="583" t="n">
        <x:f>IF(J151="","",COUNTIFS($A$6:$A$172,A151,$J$6:$J$172,"&gt;"&amp;J151)+COUNTIFS($A$6:A151,A151,$J$6:J151,J151))</x:f>
        <x:v>17</x:v>
      </x:c>
      <x:c r="T151" s="583" t="n">
        <x:f>IF(K151="","",COUNTIFS($A$6:$A$172,A151,$K$6:$K$172,"&gt;"&amp;K151)+COUNTIFS($A$6:A151,A151,$K$6:K151,K151))</x:f>
        <x:v>15</x:v>
      </x:c>
      <x:c r="U151" s="583" t="n">
        <x:f>IF(L151="","",COUNTIFS($A$6:$A$172,A151,$L$6:$L$172,"&gt;"&amp;L151)+COUNTIFS($A$6:A151,A151,$L$6:L151,L151))</x:f>
        <x:v>13</x:v>
      </x:c>
      <x:c r="V151" s="583" t="str">
        <x:f>IF(P151="","",COUNTIFS($A$6:$A$172,A151,$P$6:$P$172,"&gt;"&amp;P151)+COUNTIFS($A$6:A151,A151,$P$6:P151,P151))</x:f>
      </x:c>
      <x:c r="W151" s="583" t="str">
        <x:f>IF(Q151="","",COUNTIFS($A$6:$A$172,A151,$Q$6:$Q$172,"&gt;"&amp;Q151)+COUNTIFS($A$6:A151,A151,$Q$6:Q151,Q151))</x:f>
      </x:c>
      <x:c r="X151" s="583" t="str">
        <x:f>IF(R151="","",COUNTIFS($A$6:$A$172,A151,$R$6:$R$172,"&gt;"&amp;R151)+COUNTIFS($A$6:A151,A151,$R$6:R151,R151))</x:f>
      </x:c>
      <x:c r="Y151" s="571" t="str">
        <x:f>IF(V151="","",A151&amp;"|"&amp;V151)</x:f>
      </x:c>
      <x:c r="Z151" s="571" t="str">
        <x:f>IF(W151="","",A151&amp;"|"&amp;W151)</x:f>
      </x:c>
      <x:c r="AA151" s="571" t="str">
        <x:f>IF(X151="","",A151&amp;"|"&amp;X151)</x:f>
      </x:c>
      <x:c r="AB151" s="571" t="str">
        <x:f>IF(A151="","",IF(I151=0,"Offense neutral — no recorded offensive skills",IF(I151&lt;1,"Partial lookup — adjustment scaled",IF(AND(M151="Yes",AC151=0),"Offense adjusted; Guard neutral","Captured"))))</x:f>
        <x:v>Captured</x:v>
      </x:c>
      <x:c r="AC151" s="579" t="n">
        <x:f>IF(SUMIFS('Specialisation Impact'!$M$19:$M$186,'Specialisation Impact'!$A$19:$A$186,A151,'Specialisation Impact'!$B$19:$B$186,B151)=0,0,SUMIFS('Specialisation Impact'!$F$19:$F$186,'Specialisation Impact'!$A$19:$A$186,A151,'Specialisation Impact'!$B$19:$B$186,B151))</x:f>
        <x:v>1</x:v>
      </x:c>
    </x:row>
    <x:row r="152">
      <x:c r="A152" s="572" t="str">
        <x:v>K176</x:v>
      </x:c>
      <x:c r="B152" s="572" t="str">
        <x:v>梦山河</x:v>
      </x:c>
      <x:c r="C152" s="576" t="n">
        <x:f>IF($A152="","",AVERAGE(100*((COUNTIF('All Stats'!$D$6:$D$172,"&lt;"&amp;'All Stats'!D152)+(COUNTIF('All Stats'!$D$6:$D$172,'All Stats'!D152)-1)/2)/(COUNT('All Stats'!$D$6:$D$172)-1))^'Specialisation Scenarios'!$X$10,100*((COUNTIF('All Stats'!$G$6:$G$172,"&lt;"&amp;'All Stats'!G152)+(COUNTIF('All Stats'!$G$6:$G$172,'All Stats'!G152)-1)/2)/(COUNT('All Stats'!$G$6:$G$172)-1))^'Specialisation Scenarios'!$X$10,100*((COUNTIF('All Stats'!$I$6:$I$172,"&lt;"&amp;'All Stats'!I152)+(COUNTIF('All Stats'!$I$6:$I$172,'All Stats'!I152)-1)/2)/(COUNT('All Stats'!$I$6:$I$172)-1))^'Specialisation Scenarios'!$X$10))</x:f>
        <x:v>34.130274697262955</x:v>
      </x:c>
      <x:c r="D152" s="576" t="n">
        <x:f>IF($A152="","",AVERAGE(100*((COUNTIF('All Stats'!$R$6:$R$172,"&lt;"&amp;'All Stats'!R152)+(COUNTIF('All Stats'!$R$6:$R$172,'All Stats'!R152)-1)/2)/(COUNT('All Stats'!$R$6:$R$172)-1))^'Specialisation Scenarios'!$X$10,100*((COUNTIF('All Stats'!$U$6:$U$172,"&lt;"&amp;'All Stats'!U152)+(COUNTIF('All Stats'!$U$6:$U$172,'All Stats'!U152)-1)/2)/(COUNT('All Stats'!$U$6:$U$172)-1))^'Specialisation Scenarios'!$X$10,100*((COUNTIF('All Stats'!$W$6:$W$172,"&lt;"&amp;'All Stats'!W152)+(COUNTIF('All Stats'!$W$6:$W$172,'All Stats'!W152)-1)/2)/(COUNT('All Stats'!$W$6:$W$172)-1))^'Specialisation Scenarios'!$X$10))</x:f>
        <x:v>76.62888453290883</x:v>
      </x:c>
      <x:c r="E152" s="576" t="n">
        <x:f>IF($A152="","",AVERAGE(100*((COUNTIF('All Stats'!$Y$6:$Y$172,"&lt;"&amp;'All Stats'!Y152)+(COUNTIF('All Stats'!$Y$6:$Y$172,'All Stats'!Y152)-1)/2)/(COUNT('All Stats'!$Y$6:$Y$172)-1))^'Specialisation Scenarios'!$X$10,100*((COUNTIF('All Stats'!$AB$6:$AB$172,"&lt;"&amp;'All Stats'!AB152)+(COUNTIF('All Stats'!$AB$6:$AB$172,'All Stats'!AB152)-1)/2)/(COUNT('All Stats'!$AB$6:$AB$172)-1))^'Specialisation Scenarios'!$X$10,100*((COUNTIF('All Stats'!$AD$6:$AD$172,"&lt;"&amp;'All Stats'!AD152)+(COUNTIF('All Stats'!$AD$6:$AD$172,'All Stats'!AD152)-1)/2)/(COUNT('All Stats'!$AD$6:$AD$172)-1))^'Specialisation Scenarios'!$X$10))</x:f>
        <x:v>0.9168547909033108</x:v>
      </x:c>
      <x:c r="F152" s="576" t="n">
        <x:f>IF($A152="","",AVERAGE(100*((COUNTIF('All Stats'!$AF$6:$AF$172,"&lt;"&amp;'All Stats'!AF152)+(COUNTIF('All Stats'!$AF$6:$AF$172,'All Stats'!AF152)-1)/2)/(COUNT('All Stats'!$AF$6:$AF$172)-1))^'Specialisation Scenarios'!$X$10,100*((COUNTIF('All Stats'!$AI$6:$AI$172,"&lt;"&amp;'All Stats'!AI152)+(COUNTIF('All Stats'!$AI$6:$AI$172,'All Stats'!AI152)-1)/2)/(COUNT('All Stats'!$AI$6:$AI$172)-1))^'Specialisation Scenarios'!$X$10,100*((COUNTIF('All Stats'!$AK$6:$AK$172,"&lt;"&amp;'All Stats'!AK152)+(COUNTIF('All Stats'!$AK$6:$AK$172,'All Stats'!AK152)-1)/2)/(COUNT('All Stats'!$AK$6:$AK$172)-1))^'Specialisation Scenarios'!$X$10))</x:f>
        <x:v>68.34377340266904</x:v>
      </x:c>
      <x:c r="G152" s="576" t="n">
        <x:f>IF($A152="","",C152*'Specialisation Scenarios'!$X$11+D152*'Specialisation Scenarios'!$X$12+E152*'Specialisation Scenarios'!$X$13+F152*'Specialisation Scenarios'!$X$14)</x:f>
        <x:v>61.44012341382543</x:v>
      </x:c>
      <x:c r="H152" s="576" t="n">
        <x:f>IF(SUMIFS('Specialisation Impact'!$E$19:$E$186,'Specialisation Impact'!$A$19:$A$186,A152,'Specialisation Impact'!$B$19:$B$186,B152)=0,"",SUMIFS('Specialisation Impact'!$S$19:$S$186,'Specialisation Impact'!$A$19:$A$186,A152,'Specialisation Impact'!$B$19:$B$186,B152))</x:f>
        <x:v>88.18181818181817</x:v>
      </x:c>
      <x:c r="I152" s="580" t="n">
        <x:f>IF(SUMIFS('Specialisation Impact'!$E$19:$E$186,'Specialisation Impact'!$A$19:$A$186,A152,'Specialisation Impact'!$B$19:$B$186,B152)=0,0,SUMIFS('Specialisation Impact'!$F$19:$F$186,'Specialisation Impact'!$A$19:$A$186,A152,'Specialisation Impact'!$B$19:$B$186,B152))</x:f>
        <x:v>1</x:v>
      </x:c>
      <x:c r="J152" s="576" t="n">
        <x:f>G152</x:f>
        <x:v>61.44012341382543</x:v>
      </x:c>
      <x:c r="K152" s="576" t="n">
        <x:f>IF(G152="","",IF(I152=0,G152,MAX(0,MIN(100,G152*(1-'Specialisation Scenarios'!$B$8*I152)+H152*('Specialisation Scenarios'!$B$8*I152)))))</x:f>
        <x:v>68.12554710582361</x:v>
      </x:c>
      <x:c r="L152" s="576" t="n">
        <x:f>IF(G152="","",IF(I152=0,G152,MAX(0,MIN(100,G152*(1-'Specialisation Scenarios'!$B$9*I152)+H152*('Specialisation Scenarios'!$B$9*I152)))))</x:f>
        <x:v>70.79971658262289</x:v>
      </x:c>
      <x:c r="M152" s="576" t="str">
        <x:f>IF(COUNTIFS('Tank &amp; Control'!$A$23:$A$189,A152,'Tank &amp; Control'!$B$23:$B$189,B152,'Tank &amp; Control'!$C$23:$C$189,"Yes")&gt;0,"Yes","No")</x:f>
        <x:v>No</x:v>
      </x:c>
      <x:c r="N152" s="576" t="str">
        <x:f>IF(M152&lt;&gt;"Yes","",SUMIFS('Tank &amp; Control'!$L$23:$L$189,'Tank &amp; Control'!$A$23:$A$189,A152,'Tank &amp; Control'!$B$23:$B$189,B152))</x:f>
      </x:c>
      <x:c r="O152" s="576" t="n">
        <x:f>IF(SUMIFS('Specialisation Impact'!$M$19:$M$186,'Specialisation Impact'!$A$19:$A$186,A152,'Specialisation Impact'!$B$19:$B$186,B152)=0,"",SUMIFS('Specialisation Impact'!$V$19:$V$186,'Specialisation Impact'!$A$19:$A$186,A152,'Specialisation Impact'!$B$19:$B$186,B152))</x:f>
        <x:v>60.25641025641025</x:v>
      </x:c>
      <x:c r="P152" s="576" t="str">
        <x:f>IF(N152="","",N152)</x:f>
      </x:c>
      <x:c r="Q152" s="576" t="str">
        <x:f>IF(N152="","",IF(AC152=0,N152,MAX(0,MIN(100,N152*(1-'Specialisation Scenarios'!$B$8*AC152)+O152*('Specialisation Scenarios'!$B$8*AC152)))))</x:f>
      </x:c>
      <x:c r="R152" s="576" t="str">
        <x:f>IF(N152="","",IF(AC152=0,N152,MAX(0,MIN(100,N152*(1-'Specialisation Scenarios'!$B$9*AC152)+O152*('Specialisation Scenarios'!$B$9*AC152)))))</x:f>
      </x:c>
      <x:c r="S152" s="584" t="n">
        <x:f>IF(J152="","",COUNTIFS($A$6:$A$172,A152,$J$6:$J$172,"&gt;"&amp;J152)+COUNTIFS($A$6:A152,A152,$J$6:J152,J152))</x:f>
        <x:v>4</x:v>
      </x:c>
      <x:c r="T152" s="584" t="n">
        <x:f>IF(K152="","",COUNTIFS($A$6:$A$172,A152,$K$6:$K$172,"&gt;"&amp;K152)+COUNTIFS($A$6:A152,A152,$K$6:K152,K152))</x:f>
        <x:v>4</x:v>
      </x:c>
      <x:c r="U152" s="584" t="n">
        <x:f>IF(L152="","",COUNTIFS($A$6:$A$172,A152,$L$6:$L$172,"&gt;"&amp;L152)+COUNTIFS($A$6:A152,A152,$L$6:L152,L152))</x:f>
        <x:v>4</x:v>
      </x:c>
      <x:c r="V152" s="584" t="str">
        <x:f>IF(P152="","",COUNTIFS($A$6:$A$172,A152,$P$6:$P$172,"&gt;"&amp;P152)+COUNTIFS($A$6:A152,A152,$P$6:P152,P152))</x:f>
      </x:c>
      <x:c r="W152" s="584" t="str">
        <x:f>IF(Q152="","",COUNTIFS($A$6:$A$172,A152,$Q$6:$Q$172,"&gt;"&amp;Q152)+COUNTIFS($A$6:A152,A152,$Q$6:Q152,Q152))</x:f>
      </x:c>
      <x:c r="X152" s="584" t="str">
        <x:f>IF(R152="","",COUNTIFS($A$6:$A$172,A152,$R$6:$R$172,"&gt;"&amp;R152)+COUNTIFS($A$6:A152,A152,$R$6:R152,R152))</x:f>
      </x:c>
      <x:c r="Y152" s="572" t="str">
        <x:f>IF(V152="","",A152&amp;"|"&amp;V152)</x:f>
      </x:c>
      <x:c r="Z152" s="572" t="str">
        <x:f>IF(W152="","",A152&amp;"|"&amp;W152)</x:f>
      </x:c>
      <x:c r="AA152" s="572" t="str">
        <x:f>IF(X152="","",A152&amp;"|"&amp;X152)</x:f>
      </x:c>
      <x:c r="AB152" s="572" t="str">
        <x:f>IF(A152="","",IF(I152=0,"Offense neutral — no recorded offensive skills",IF(I152&lt;1,"Partial lookup — adjustment scaled",IF(AND(M152="Yes",AC152=0),"Offense adjusted; Guard neutral","Captured"))))</x:f>
        <x:v>Captured</x:v>
      </x:c>
      <x:c r="AC152" s="580" t="n">
        <x:f>IF(SUMIFS('Specialisation Impact'!$M$19:$M$186,'Specialisation Impact'!$A$19:$A$186,A152,'Specialisation Impact'!$B$19:$B$186,B152)=0,0,SUMIFS('Specialisation Impact'!$F$19:$F$186,'Specialisation Impact'!$A$19:$A$186,A152,'Specialisation Impact'!$B$19:$B$186,B152))</x:f>
        <x:v>1</x:v>
      </x:c>
    </x:row>
    <x:row r="153">
      <x:c r="A153" s="571" t="str">
        <x:v>K176</x:v>
      </x:c>
      <x:c r="B153" s="571" t="str">
        <x:v>岑胖子</x:v>
      </x:c>
      <x:c r="C153" s="575" t="n">
        <x:f>IF($A153="","",AVERAGE(100*((COUNTIF('All Stats'!$D$6:$D$172,"&lt;"&amp;'All Stats'!D153)+(COUNTIF('All Stats'!$D$6:$D$172,'All Stats'!D153)-1)/2)/(COUNT('All Stats'!$D$6:$D$172)-1))^'Specialisation Scenarios'!$X$10,100*((COUNTIF('All Stats'!$G$6:$G$172,"&lt;"&amp;'All Stats'!G153)+(COUNTIF('All Stats'!$G$6:$G$172,'All Stats'!G153)-1)/2)/(COUNT('All Stats'!$G$6:$G$172)-1))^'Specialisation Scenarios'!$X$10,100*((COUNTIF('All Stats'!$I$6:$I$172,"&lt;"&amp;'All Stats'!I153)+(COUNTIF('All Stats'!$I$6:$I$172,'All Stats'!I153)-1)/2)/(COUNT('All Stats'!$I$6:$I$172)-1))^'Specialisation Scenarios'!$X$10))</x:f>
        <x:v>20.15060232845583</x:v>
      </x:c>
      <x:c r="D153" s="575" t="n">
        <x:f>IF($A153="","",AVERAGE(100*((COUNTIF('All Stats'!$R$6:$R$172,"&lt;"&amp;'All Stats'!R153)+(COUNTIF('All Stats'!$R$6:$R$172,'All Stats'!R153)-1)/2)/(COUNT('All Stats'!$R$6:$R$172)-1))^'Specialisation Scenarios'!$X$10,100*((COUNTIF('All Stats'!$U$6:$U$172,"&lt;"&amp;'All Stats'!U153)+(COUNTIF('All Stats'!$U$6:$U$172,'All Stats'!U153)-1)/2)/(COUNT('All Stats'!$U$6:$U$172)-1))^'Specialisation Scenarios'!$X$10,100*((COUNTIF('All Stats'!$W$6:$W$172,"&lt;"&amp;'All Stats'!W153)+(COUNTIF('All Stats'!$W$6:$W$172,'All Stats'!W153)-1)/2)/(COUNT('All Stats'!$W$6:$W$172)-1))^'Specialisation Scenarios'!$X$10))</x:f>
        <x:v>35.32238036421523</x:v>
      </x:c>
      <x:c r="E153" s="575" t="n">
        <x:f>IF($A153="","",AVERAGE(100*((COUNTIF('All Stats'!$Y$6:$Y$172,"&lt;"&amp;'All Stats'!Y153)+(COUNTIF('All Stats'!$Y$6:$Y$172,'All Stats'!Y153)-1)/2)/(COUNT('All Stats'!$Y$6:$Y$172)-1))^'Specialisation Scenarios'!$X$10,100*((COUNTIF('All Stats'!$AB$6:$AB$172,"&lt;"&amp;'All Stats'!AB153)+(COUNTIF('All Stats'!$AB$6:$AB$172,'All Stats'!AB153)-1)/2)/(COUNT('All Stats'!$AB$6:$AB$172)-1))^'Specialisation Scenarios'!$X$10,100*((COUNTIF('All Stats'!$AD$6:$AD$172,"&lt;"&amp;'All Stats'!AD153)+(COUNTIF('All Stats'!$AD$6:$AD$172,'All Stats'!AD153)-1)/2)/(COUNT('All Stats'!$AD$6:$AD$172)-1))^'Specialisation Scenarios'!$X$10))</x:f>
        <x:v>34.23214556283255</x:v>
      </x:c>
      <x:c r="F153" s="575" t="n">
        <x:f>IF($A153="","",AVERAGE(100*((COUNTIF('All Stats'!$AF$6:$AF$172,"&lt;"&amp;'All Stats'!AF153)+(COUNTIF('All Stats'!$AF$6:$AF$172,'All Stats'!AF153)-1)/2)/(COUNT('All Stats'!$AF$6:$AF$172)-1))^'Specialisation Scenarios'!$X$10,100*((COUNTIF('All Stats'!$AI$6:$AI$172,"&lt;"&amp;'All Stats'!AI153)+(COUNTIF('All Stats'!$AI$6:$AI$172,'All Stats'!AI153)-1)/2)/(COUNT('All Stats'!$AI$6:$AI$172)-1))^'Specialisation Scenarios'!$X$10,100*((COUNTIF('All Stats'!$AK$6:$AK$172,"&lt;"&amp;'All Stats'!AK153)+(COUNTIF('All Stats'!$AK$6:$AK$172,'All Stats'!AK153)-1)/2)/(COUNT('All Stats'!$AK$6:$AK$172)-1))^'Specialisation Scenarios'!$X$10))</x:f>
        <x:v>43.483388589980024</x:v>
      </x:c>
      <x:c r="G153" s="575" t="n">
        <x:f>IF($A153="","",C153*'Specialisation Scenarios'!$X$11+D153*'Specialisation Scenarios'!$X$12+E153*'Specialisation Scenarios'!$X$13+F153*'Specialisation Scenarios'!$X$14)</x:f>
        <x:v>34.16174141257777</x:v>
      </x:c>
      <x:c r="H153" s="575" t="n">
        <x:f>IF(SUMIFS('Specialisation Impact'!$E$19:$E$186,'Specialisation Impact'!$A$19:$A$186,A153,'Specialisation Impact'!$B$19:$B$186,B153)=0,"",SUMIFS('Specialisation Impact'!$S$19:$S$186,'Specialisation Impact'!$A$19:$A$186,A153,'Specialisation Impact'!$B$19:$B$186,B153))</x:f>
        <x:v>55.32467532467532</x:v>
      </x:c>
      <x:c r="I153" s="579" t="n">
        <x:f>IF(SUMIFS('Specialisation Impact'!$E$19:$E$186,'Specialisation Impact'!$A$19:$A$186,A153,'Specialisation Impact'!$B$19:$B$186,B153)=0,0,SUMIFS('Specialisation Impact'!$F$19:$F$186,'Specialisation Impact'!$A$19:$A$186,A153,'Specialisation Impact'!$B$19:$B$186,B153))</x:f>
        <x:v>1</x:v>
      </x:c>
      <x:c r="J153" s="575" t="n">
        <x:f>G153</x:f>
        <x:v>34.16174141257777</x:v>
      </x:c>
      <x:c r="K153" s="575" t="n">
        <x:f>IF(G153="","",IF(I153=0,G153,MAX(0,MIN(100,G153*(1-'Specialisation Scenarios'!$B$8*I153)+H153*('Specialisation Scenarios'!$B$8*I153)))))</x:f>
        <x:v>39.452474890602154</x:v>
      </x:c>
      <x:c r="L153" s="575" t="n">
        <x:f>IF(G153="","",IF(I153=0,G153,MAX(0,MIN(100,G153*(1-'Specialisation Scenarios'!$B$9*I153)+H153*('Specialisation Scenarios'!$B$9*I153)))))</x:f>
        <x:v>41.56876828181191</x:v>
      </x:c>
      <x:c r="M153" s="575" t="str">
        <x:f>IF(COUNTIFS('Tank &amp; Control'!$A$23:$A$189,A153,'Tank &amp; Control'!$B$23:$B$189,B153,'Tank &amp; Control'!$C$23:$C$189,"Yes")&gt;0,"Yes","No")</x:f>
        <x:v>No</x:v>
      </x:c>
      <x:c r="N153" s="575" t="str">
        <x:f>IF(M153&lt;&gt;"Yes","",SUMIFS('Tank &amp; Control'!$L$23:$L$189,'Tank &amp; Control'!$A$23:$A$189,A153,'Tank &amp; Control'!$B$23:$B$189,B153))</x:f>
      </x:c>
      <x:c r="O153" s="575" t="n">
        <x:f>IF(SUMIFS('Specialisation Impact'!$M$19:$M$186,'Specialisation Impact'!$A$19:$A$186,A153,'Specialisation Impact'!$B$19:$B$186,B153)=0,"",SUMIFS('Specialisation Impact'!$V$19:$V$186,'Specialisation Impact'!$A$19:$A$186,A153,'Specialisation Impact'!$B$19:$B$186,B153))</x:f>
        <x:v>60.25641025641025</x:v>
      </x:c>
      <x:c r="P153" s="575" t="str">
        <x:f>IF(N153="","",N153)</x:f>
      </x:c>
      <x:c r="Q153" s="575" t="str">
        <x:f>IF(N153="","",IF(AC153=0,N153,MAX(0,MIN(100,N153*(1-'Specialisation Scenarios'!$B$8*AC153)+O153*('Specialisation Scenarios'!$B$8*AC153)))))</x:f>
      </x:c>
      <x:c r="R153" s="575" t="str">
        <x:f>IF(N153="","",IF(AC153=0,N153,MAX(0,MIN(100,N153*(1-'Specialisation Scenarios'!$B$9*AC153)+O153*('Specialisation Scenarios'!$B$9*AC153)))))</x:f>
      </x:c>
      <x:c r="S153" s="583" t="n">
        <x:f>IF(J153="","",COUNTIFS($A$6:$A$172,A153,$J$6:$J$172,"&gt;"&amp;J153)+COUNTIFS($A$6:A153,A153,$J$6:J153,J153))</x:f>
        <x:v>14</x:v>
      </x:c>
      <x:c r="T153" s="583" t="n">
        <x:f>IF(K153="","",COUNTIFS($A$6:$A$172,A153,$K$6:$K$172,"&gt;"&amp;K153)+COUNTIFS($A$6:A153,A153,$K$6:K153,K153))</x:f>
        <x:v>13</x:v>
      </x:c>
      <x:c r="U153" s="583" t="n">
        <x:f>IF(L153="","",COUNTIFS($A$6:$A$172,A153,$L$6:$L$172,"&gt;"&amp;L153)+COUNTIFS($A$6:A153,A153,$L$6:L153,L153))</x:f>
        <x:v>14</x:v>
      </x:c>
      <x:c r="V153" s="583" t="str">
        <x:f>IF(P153="","",COUNTIFS($A$6:$A$172,A153,$P$6:$P$172,"&gt;"&amp;P153)+COUNTIFS($A$6:A153,A153,$P$6:P153,P153))</x:f>
      </x:c>
      <x:c r="W153" s="583" t="str">
        <x:f>IF(Q153="","",COUNTIFS($A$6:$A$172,A153,$Q$6:$Q$172,"&gt;"&amp;Q153)+COUNTIFS($A$6:A153,A153,$Q$6:Q153,Q153))</x:f>
      </x:c>
      <x:c r="X153" s="583" t="str">
        <x:f>IF(R153="","",COUNTIFS($A$6:$A$172,A153,$R$6:$R$172,"&gt;"&amp;R153)+COUNTIFS($A$6:A153,A153,$R$6:R153,R153))</x:f>
      </x:c>
      <x:c r="Y153" s="571" t="str">
        <x:f>IF(V153="","",A153&amp;"|"&amp;V153)</x:f>
      </x:c>
      <x:c r="Z153" s="571" t="str">
        <x:f>IF(W153="","",A153&amp;"|"&amp;W153)</x:f>
      </x:c>
      <x:c r="AA153" s="571" t="str">
        <x:f>IF(X153="","",A153&amp;"|"&amp;X153)</x:f>
      </x:c>
      <x:c r="AB153" s="571" t="str">
        <x:f>IF(A153="","",IF(I153=0,"Offense neutral — no recorded offensive skills",IF(I153&lt;1,"Partial lookup — adjustment scaled",IF(AND(M153="Yes",AC153=0),"Offense adjusted; Guard neutral","Captured"))))</x:f>
        <x:v>Captured</x:v>
      </x:c>
      <x:c r="AC153" s="579" t="n">
        <x:f>IF(SUMIFS('Specialisation Impact'!$M$19:$M$186,'Specialisation Impact'!$A$19:$A$186,A153,'Specialisation Impact'!$B$19:$B$186,B153)=0,0,SUMIFS('Specialisation Impact'!$F$19:$F$186,'Specialisation Impact'!$A$19:$A$186,A153,'Specialisation Impact'!$B$19:$B$186,B153))</x:f>
        <x:v>1</x:v>
      </x:c>
    </x:row>
    <x:row r="154">
      <x:c r="A154" s="572" t="str">
        <x:v>K176</x:v>
      </x:c>
      <x:c r="B154" s="572" t="str">
        <x:v>三月的心思你别猜</x:v>
      </x:c>
      <x:c r="C154" s="576" t="n">
        <x:f>IF($A154="","",AVERAGE(100*((COUNTIF('All Stats'!$D$6:$D$172,"&lt;"&amp;'All Stats'!D154)+(COUNTIF('All Stats'!$D$6:$D$172,'All Stats'!D154)-1)/2)/(COUNT('All Stats'!$D$6:$D$172)-1))^'Specialisation Scenarios'!$X$10,100*((COUNTIF('All Stats'!$G$6:$G$172,"&lt;"&amp;'All Stats'!G154)+(COUNTIF('All Stats'!$G$6:$G$172,'All Stats'!G154)-1)/2)/(COUNT('All Stats'!$G$6:$G$172)-1))^'Specialisation Scenarios'!$X$10,100*((COUNTIF('All Stats'!$I$6:$I$172,"&lt;"&amp;'All Stats'!I154)+(COUNTIF('All Stats'!$I$6:$I$172,'All Stats'!I154)-1)/2)/(COUNT('All Stats'!$I$6:$I$172)-1))^'Specialisation Scenarios'!$X$10))</x:f>
        <x:v>28.201566749274544</x:v>
      </x:c>
      <x:c r="D154" s="576" t="n">
        <x:f>IF($A154="","",AVERAGE(100*((COUNTIF('All Stats'!$R$6:$R$172,"&lt;"&amp;'All Stats'!R154)+(COUNTIF('All Stats'!$R$6:$R$172,'All Stats'!R154)-1)/2)/(COUNT('All Stats'!$R$6:$R$172)-1))^'Specialisation Scenarios'!$X$10,100*((COUNTIF('All Stats'!$U$6:$U$172,"&lt;"&amp;'All Stats'!U154)+(COUNTIF('All Stats'!$U$6:$U$172,'All Stats'!U154)-1)/2)/(COUNT('All Stats'!$U$6:$U$172)-1))^'Specialisation Scenarios'!$X$10,100*((COUNTIF('All Stats'!$W$6:$W$172,"&lt;"&amp;'All Stats'!W154)+(COUNTIF('All Stats'!$W$6:$W$172,'All Stats'!W154)-1)/2)/(COUNT('All Stats'!$W$6:$W$172)-1))^'Specialisation Scenarios'!$X$10))</x:f>
        <x:v>60.75046744756761</x:v>
      </x:c>
      <x:c r="E154" s="576" t="n">
        <x:f>IF($A154="","",AVERAGE(100*((COUNTIF('All Stats'!$Y$6:$Y$172,"&lt;"&amp;'All Stats'!Y154)+(COUNTIF('All Stats'!$Y$6:$Y$172,'All Stats'!Y154)-1)/2)/(COUNT('All Stats'!$Y$6:$Y$172)-1))^'Specialisation Scenarios'!$X$10,100*((COUNTIF('All Stats'!$AB$6:$AB$172,"&lt;"&amp;'All Stats'!AB154)+(COUNTIF('All Stats'!$AB$6:$AB$172,'All Stats'!AB154)-1)/2)/(COUNT('All Stats'!$AB$6:$AB$172)-1))^'Specialisation Scenarios'!$X$10,100*((COUNTIF('All Stats'!$AD$6:$AD$172,"&lt;"&amp;'All Stats'!AD154)+(COUNTIF('All Stats'!$AD$6:$AD$172,'All Stats'!AD154)-1)/2)/(COUNT('All Stats'!$AD$6:$AD$172)-1))^'Specialisation Scenarios'!$X$10))</x:f>
        <x:v>3.224762992855517</x:v>
      </x:c>
      <x:c r="F154" s="576" t="n">
        <x:f>IF($A154="","",AVERAGE(100*((COUNTIF('All Stats'!$AF$6:$AF$172,"&lt;"&amp;'All Stats'!AF154)+(COUNTIF('All Stats'!$AF$6:$AF$172,'All Stats'!AF154)-1)/2)/(COUNT('All Stats'!$AF$6:$AF$172)-1))^'Specialisation Scenarios'!$X$10,100*((COUNTIF('All Stats'!$AI$6:$AI$172,"&lt;"&amp;'All Stats'!AI154)+(COUNTIF('All Stats'!$AI$6:$AI$172,'All Stats'!AI154)-1)/2)/(COUNT('All Stats'!$AI$6:$AI$172)-1))^'Specialisation Scenarios'!$X$10,100*((COUNTIF('All Stats'!$AK$6:$AK$172,"&lt;"&amp;'All Stats'!AK154)+(COUNTIF('All Stats'!$AK$6:$AK$172,'All Stats'!AK154)-1)/2)/(COUNT('All Stats'!$AK$6:$AK$172)-1))^'Specialisation Scenarios'!$X$10))</x:f>
        <x:v>66.65290291883211</x:v>
      </x:c>
      <x:c r="G154" s="576" t="n">
        <x:f>IF($A154="","",C154*'Specialisation Scenarios'!$X$11+D154*'Specialisation Scenarios'!$X$12+E154*'Specialisation Scenarios'!$X$13+F154*'Specialisation Scenarios'!$X$14)</x:f>
        <x:v>51.000927218042115</x:v>
      </x:c>
      <x:c r="H154" s="576" t="str">
        <x:f>IF(SUMIFS('Specialisation Impact'!$E$19:$E$186,'Specialisation Impact'!$A$19:$A$186,A154,'Specialisation Impact'!$B$19:$B$186,B154)=0,"",SUMIFS('Specialisation Impact'!$S$19:$S$186,'Specialisation Impact'!$A$19:$A$186,A154,'Specialisation Impact'!$B$19:$B$186,B154))</x:f>
      </x:c>
      <x:c r="I154" s="580" t="n">
        <x:f>IF(SUMIFS('Specialisation Impact'!$E$19:$E$186,'Specialisation Impact'!$A$19:$A$186,A154,'Specialisation Impact'!$B$19:$B$186,B154)=0,0,SUMIFS('Specialisation Impact'!$F$19:$F$186,'Specialisation Impact'!$A$19:$A$186,A154,'Specialisation Impact'!$B$19:$B$186,B154))</x:f>
        <x:v>0</x:v>
      </x:c>
      <x:c r="J154" s="576" t="n">
        <x:f>G154</x:f>
        <x:v>51.000927218042115</x:v>
      </x:c>
      <x:c r="K154" s="576" t="n">
        <x:f>IF(G154="","",IF(I154=0,G154,MAX(0,MIN(100,G154*(1-'Specialisation Scenarios'!$B$8*I154)+H154*('Specialisation Scenarios'!$B$8*I154)))))</x:f>
        <x:v>51.000927218042115</x:v>
      </x:c>
      <x:c r="L154" s="576" t="n">
        <x:f>IF(G154="","",IF(I154=0,G154,MAX(0,MIN(100,G154*(1-'Specialisation Scenarios'!$B$9*I154)+H154*('Specialisation Scenarios'!$B$9*I154)))))</x:f>
        <x:v>51.000927218042115</x:v>
      </x:c>
      <x:c r="M154" s="576" t="str">
        <x:f>IF(COUNTIFS('Tank &amp; Control'!$A$23:$A$189,A154,'Tank &amp; Control'!$B$23:$B$189,B154,'Tank &amp; Control'!$C$23:$C$189,"Yes")&gt;0,"Yes","No")</x:f>
        <x:v>Yes</x:v>
      </x:c>
      <x:c r="N154" s="576" t="n">
        <x:f>IF(M154&lt;&gt;"Yes","",SUMIFS('Tank &amp; Control'!$L$23:$L$189,'Tank &amp; Control'!$A$23:$A$189,A154,'Tank &amp; Control'!$B$23:$B$189,B154))</x:f>
        <x:v>15.561602636637662</x:v>
      </x:c>
      <x:c r="O154" s="576" t="str">
        <x:f>IF(SUMIFS('Specialisation Impact'!$M$19:$M$186,'Specialisation Impact'!$A$19:$A$186,A154,'Specialisation Impact'!$B$19:$B$186,B154)=0,"",SUMIFS('Specialisation Impact'!$V$19:$V$186,'Specialisation Impact'!$A$19:$A$186,A154,'Specialisation Impact'!$B$19:$B$186,B154))</x:f>
      </x:c>
      <x:c r="P154" s="576" t="n">
        <x:f>IF(N154="","",N154)</x:f>
        <x:v>15.561602636637662</x:v>
      </x:c>
      <x:c r="Q154" s="576" t="n">
        <x:f>IF(N154="","",IF(AC154=0,N154,MAX(0,MIN(100,N154*(1-'Specialisation Scenarios'!$B$8*AC154)+O154*('Specialisation Scenarios'!$B$8*AC154)))))</x:f>
        <x:v>15.561602636637662</x:v>
      </x:c>
      <x:c r="R154" s="576" t="n">
        <x:f>IF(N154="","",IF(AC154=0,N154,MAX(0,MIN(100,N154*(1-'Specialisation Scenarios'!$B$9*AC154)+O154*('Specialisation Scenarios'!$B$9*AC154)))))</x:f>
        <x:v>15.561602636637662</x:v>
      </x:c>
      <x:c r="S154" s="584" t="n">
        <x:f>IF(J154="","",COUNTIFS($A$6:$A$172,A154,$J$6:$J$172,"&gt;"&amp;J154)+COUNTIFS($A$6:A154,A154,$J$6:J154,J154))</x:f>
        <x:v>8</x:v>
      </x:c>
      <x:c r="T154" s="584" t="n">
        <x:f>IF(K154="","",COUNTIFS($A$6:$A$172,A154,$K$6:$K$172,"&gt;"&amp;K154)+COUNTIFS($A$6:A154,A154,$K$6:K154,K154))</x:f>
        <x:v>11</x:v>
      </x:c>
      <x:c r="U154" s="584" t="n">
        <x:f>IF(L154="","",COUNTIFS($A$6:$A$172,A154,$L$6:$L$172,"&gt;"&amp;L154)+COUNTIFS($A$6:A154,A154,$L$6:L154,L154))</x:f>
        <x:v>11</x:v>
      </x:c>
      <x:c r="V154" s="584" t="n">
        <x:f>IF(P154="","",COUNTIFS($A$6:$A$172,A154,$P$6:$P$172,"&gt;"&amp;P154)+COUNTIFS($A$6:A154,A154,$P$6:P154,P154))</x:f>
        <x:v>3</x:v>
      </x:c>
      <x:c r="W154" s="584" t="n">
        <x:f>IF(Q154="","",COUNTIFS($A$6:$A$172,A154,$Q$6:$Q$172,"&gt;"&amp;Q154)+COUNTIFS($A$6:A154,A154,$Q$6:Q154,Q154))</x:f>
        <x:v>4</x:v>
      </x:c>
      <x:c r="X154" s="584" t="n">
        <x:f>IF(R154="","",COUNTIFS($A$6:$A$172,A154,$R$6:$R$172,"&gt;"&amp;R154)+COUNTIFS($A$6:A154,A154,$R$6:R154,R154))</x:f>
        <x:v>4</x:v>
      </x:c>
      <x:c r="Y154" s="572" t="str">
        <x:f>IF(V154="","",A154&amp;"|"&amp;V154)</x:f>
        <x:v>K176|3</x:v>
      </x:c>
      <x:c r="Z154" s="572" t="str">
        <x:f>IF(W154="","",A154&amp;"|"&amp;W154)</x:f>
        <x:v>K176|4</x:v>
      </x:c>
      <x:c r="AA154" s="572" t="str">
        <x:f>IF(X154="","",A154&amp;"|"&amp;X154)</x:f>
        <x:v>K176|4</x:v>
      </x:c>
      <x:c r="AB154" s="572" t="str">
        <x:f>IF(A154="","",IF(I154=0,"Offense neutral — no recorded offensive skills",IF(I154&lt;1,"Partial lookup — adjustment scaled",IF(AND(M154="Yes",AC154=0),"Offense adjusted; Guard neutral","Captured"))))</x:f>
        <x:v>Offense neutral — no recorded offensive skills</x:v>
      </x:c>
      <x:c r="AC154" s="580" t="n">
        <x:f>IF(SUMIFS('Specialisation Impact'!$M$19:$M$186,'Specialisation Impact'!$A$19:$A$186,A154,'Specialisation Impact'!$B$19:$B$186,B154)=0,0,SUMIFS('Specialisation Impact'!$F$19:$F$186,'Specialisation Impact'!$A$19:$A$186,A154,'Specialisation Impact'!$B$19:$B$186,B154))</x:f>
        <x:v>0</x:v>
      </x:c>
    </x:row>
    <x:row r="155">
      <x:c r="A155" s="571" t="str">
        <x:v>K176</x:v>
      </x:c>
      <x:c r="B155" s="571" t="str">
        <x:v>顺顺顺</x:v>
      </x:c>
      <x:c r="C155" s="575" t="n">
        <x:f>IF($A155="","",AVERAGE(100*((COUNTIF('All Stats'!$D$6:$D$172,"&lt;"&amp;'All Stats'!D155)+(COUNTIF('All Stats'!$D$6:$D$172,'All Stats'!D155)-1)/2)/(COUNT('All Stats'!$D$6:$D$172)-1))^'Specialisation Scenarios'!$X$10,100*((COUNTIF('All Stats'!$G$6:$G$172,"&lt;"&amp;'All Stats'!G155)+(COUNTIF('All Stats'!$G$6:$G$172,'All Stats'!G155)-1)/2)/(COUNT('All Stats'!$G$6:$G$172)-1))^'Specialisation Scenarios'!$X$10,100*((COUNTIF('All Stats'!$I$6:$I$172,"&lt;"&amp;'All Stats'!I155)+(COUNTIF('All Stats'!$I$6:$I$172,'All Stats'!I155)-1)/2)/(COUNT('All Stats'!$I$6:$I$172)-1))^'Specialisation Scenarios'!$X$10))</x:f>
        <x:v>15.807143258682467</x:v>
      </x:c>
      <x:c r="D155" s="575" t="n">
        <x:f>IF($A155="","",AVERAGE(100*((COUNTIF('All Stats'!$R$6:$R$172,"&lt;"&amp;'All Stats'!R155)+(COUNTIF('All Stats'!$R$6:$R$172,'All Stats'!R155)-1)/2)/(COUNT('All Stats'!$R$6:$R$172)-1))^'Specialisation Scenarios'!$X$10,100*((COUNTIF('All Stats'!$U$6:$U$172,"&lt;"&amp;'All Stats'!U155)+(COUNTIF('All Stats'!$U$6:$U$172,'All Stats'!U155)-1)/2)/(COUNT('All Stats'!$U$6:$U$172)-1))^'Specialisation Scenarios'!$X$10,100*((COUNTIF('All Stats'!$W$6:$W$172,"&lt;"&amp;'All Stats'!W155)+(COUNTIF('All Stats'!$W$6:$W$172,'All Stats'!W155)-1)/2)/(COUNT('All Stats'!$W$6:$W$172)-1))^'Specialisation Scenarios'!$X$10))</x:f>
        <x:v>11.643933397403122</x:v>
      </x:c>
      <x:c r="E155" s="575" t="n">
        <x:f>IF($A155="","",AVERAGE(100*((COUNTIF('All Stats'!$Y$6:$Y$172,"&lt;"&amp;'All Stats'!Y155)+(COUNTIF('All Stats'!$Y$6:$Y$172,'All Stats'!Y155)-1)/2)/(COUNT('All Stats'!$Y$6:$Y$172)-1))^'Specialisation Scenarios'!$X$10,100*((COUNTIF('All Stats'!$AB$6:$AB$172,"&lt;"&amp;'All Stats'!AB155)+(COUNTIF('All Stats'!$AB$6:$AB$172,'All Stats'!AB155)-1)/2)/(COUNT('All Stats'!$AB$6:$AB$172)-1))^'Specialisation Scenarios'!$X$10,100*((COUNTIF('All Stats'!$AD$6:$AD$172,"&lt;"&amp;'All Stats'!AD155)+(COUNTIF('All Stats'!$AD$6:$AD$172,'All Stats'!AD155)-1)/2)/(COUNT('All Stats'!$AD$6:$AD$172)-1))^'Specialisation Scenarios'!$X$10))</x:f>
        <x:v>19.099371072236476</x:v>
      </x:c>
      <x:c r="F155" s="575" t="n">
        <x:f>IF($A155="","",AVERAGE(100*((COUNTIF('All Stats'!$AF$6:$AF$172,"&lt;"&amp;'All Stats'!AF155)+(COUNTIF('All Stats'!$AF$6:$AF$172,'All Stats'!AF155)-1)/2)/(COUNT('All Stats'!$AF$6:$AF$172)-1))^'Specialisation Scenarios'!$X$10,100*((COUNTIF('All Stats'!$AI$6:$AI$172,"&lt;"&amp;'All Stats'!AI155)+(COUNTIF('All Stats'!$AI$6:$AI$172,'All Stats'!AI155)-1)/2)/(COUNT('All Stats'!$AI$6:$AI$172)-1))^'Specialisation Scenarios'!$X$10,100*((COUNTIF('All Stats'!$AK$6:$AK$172,"&lt;"&amp;'All Stats'!AK155)+(COUNTIF('All Stats'!$AK$6:$AK$172,'All Stats'!AK155)-1)/2)/(COUNT('All Stats'!$AK$6:$AK$172)-1))^'Specialisation Scenarios'!$X$10))</x:f>
        <x:v>32.43903521472024</x:v>
      </x:c>
      <x:c r="G155" s="575" t="n">
        <x:f>IF($A155="","",C155*'Specialisation Scenarios'!$X$11+D155*'Specialisation Scenarios'!$X$12+E155*'Specialisation Scenarios'!$X$13+F155*'Specialisation Scenarios'!$X$14)</x:f>
        <x:v>16.133223916675927</x:v>
      </x:c>
      <x:c r="H155" s="575" t="str">
        <x:f>IF(SUMIFS('Specialisation Impact'!$E$19:$E$186,'Specialisation Impact'!$A$19:$A$186,A155,'Specialisation Impact'!$B$19:$B$186,B155)=0,"",SUMIFS('Specialisation Impact'!$S$19:$S$186,'Specialisation Impact'!$A$19:$A$186,A155,'Specialisation Impact'!$B$19:$B$186,B155))</x:f>
      </x:c>
      <x:c r="I155" s="579" t="n">
        <x:f>IF(SUMIFS('Specialisation Impact'!$E$19:$E$186,'Specialisation Impact'!$A$19:$A$186,A155,'Specialisation Impact'!$B$19:$B$186,B155)=0,0,SUMIFS('Specialisation Impact'!$F$19:$F$186,'Specialisation Impact'!$A$19:$A$186,A155,'Specialisation Impact'!$B$19:$B$186,B155))</x:f>
        <x:v>0</x:v>
      </x:c>
      <x:c r="J155" s="575" t="n">
        <x:f>G155</x:f>
        <x:v>16.133223916675927</x:v>
      </x:c>
      <x:c r="K155" s="575" t="n">
        <x:f>IF(G155="","",IF(I155=0,G155,MAX(0,MIN(100,G155*(1-'Specialisation Scenarios'!$B$8*I155)+H155*('Specialisation Scenarios'!$B$8*I155)))))</x:f>
        <x:v>16.133223916675927</x:v>
      </x:c>
      <x:c r="L155" s="575" t="n">
        <x:f>IF(G155="","",IF(I155=0,G155,MAX(0,MIN(100,G155*(1-'Specialisation Scenarios'!$B$9*I155)+H155*('Specialisation Scenarios'!$B$9*I155)))))</x:f>
        <x:v>16.133223916675927</x:v>
      </x:c>
      <x:c r="M155" s="575" t="str">
        <x:f>IF(COUNTIFS('Tank &amp; Control'!$A$23:$A$189,A155,'Tank &amp; Control'!$B$23:$B$189,B155,'Tank &amp; Control'!$C$23:$C$189,"Yes")&gt;0,"Yes","No")</x:f>
        <x:v>No</x:v>
      </x:c>
      <x:c r="N155" s="575" t="str">
        <x:f>IF(M155&lt;&gt;"Yes","",SUMIFS('Tank &amp; Control'!$L$23:$L$189,'Tank &amp; Control'!$A$23:$A$189,A155,'Tank &amp; Control'!$B$23:$B$189,B155))</x:f>
      </x:c>
      <x:c r="O155" s="575" t="str">
        <x:f>IF(SUMIFS('Specialisation Impact'!$M$19:$M$186,'Specialisation Impact'!$A$19:$A$186,A155,'Specialisation Impact'!$B$19:$B$186,B155)=0,"",SUMIFS('Specialisation Impact'!$V$19:$V$186,'Specialisation Impact'!$A$19:$A$186,A155,'Specialisation Impact'!$B$19:$B$186,B155))</x:f>
      </x:c>
      <x:c r="P155" s="575" t="str">
        <x:f>IF(N155="","",N155)</x:f>
      </x:c>
      <x:c r="Q155" s="575" t="str">
        <x:f>IF(N155="","",IF(AC155=0,N155,MAX(0,MIN(100,N155*(1-'Specialisation Scenarios'!$B$8*AC155)+O155*('Specialisation Scenarios'!$B$8*AC155)))))</x:f>
      </x:c>
      <x:c r="R155" s="575" t="str">
        <x:f>IF(N155="","",IF(AC155=0,N155,MAX(0,MIN(100,N155*(1-'Specialisation Scenarios'!$B$9*AC155)+O155*('Specialisation Scenarios'!$B$9*AC155)))))</x:f>
      </x:c>
      <x:c r="S155" s="583" t="n">
        <x:f>IF(J155="","",COUNTIFS($A$6:$A$172,A155,$J$6:$J$172,"&gt;"&amp;J155)+COUNTIFS($A$6:A155,A155,$J$6:J155,J155))</x:f>
        <x:v>21</x:v>
      </x:c>
      <x:c r="T155" s="583" t="n">
        <x:f>IF(K155="","",COUNTIFS($A$6:$A$172,A155,$K$6:$K$172,"&gt;"&amp;K155)+COUNTIFS($A$6:A155,A155,$K$6:K155,K155))</x:f>
        <x:v>21</x:v>
      </x:c>
      <x:c r="U155" s="583" t="n">
        <x:f>IF(L155="","",COUNTIFS($A$6:$A$172,A155,$L$6:$L$172,"&gt;"&amp;L155)+COUNTIFS($A$6:A155,A155,$L$6:L155,L155))</x:f>
        <x:v>20</x:v>
      </x:c>
      <x:c r="V155" s="583" t="str">
        <x:f>IF(P155="","",COUNTIFS($A$6:$A$172,A155,$P$6:$P$172,"&gt;"&amp;P155)+COUNTIFS($A$6:A155,A155,$P$6:P155,P155))</x:f>
      </x:c>
      <x:c r="W155" s="583" t="str">
        <x:f>IF(Q155="","",COUNTIFS($A$6:$A$172,A155,$Q$6:$Q$172,"&gt;"&amp;Q155)+COUNTIFS($A$6:A155,A155,$Q$6:Q155,Q155))</x:f>
      </x:c>
      <x:c r="X155" s="583" t="str">
        <x:f>IF(R155="","",COUNTIFS($A$6:$A$172,A155,$R$6:$R$172,"&gt;"&amp;R155)+COUNTIFS($A$6:A155,A155,$R$6:R155,R155))</x:f>
      </x:c>
      <x:c r="Y155" s="571" t="str">
        <x:f>IF(V155="","",A155&amp;"|"&amp;V155)</x:f>
      </x:c>
      <x:c r="Z155" s="571" t="str">
        <x:f>IF(W155="","",A155&amp;"|"&amp;W155)</x:f>
      </x:c>
      <x:c r="AA155" s="571" t="str">
        <x:f>IF(X155="","",A155&amp;"|"&amp;X155)</x:f>
      </x:c>
      <x:c r="AB155" s="571" t="str">
        <x:f>IF(A155="","",IF(I155=0,"Offense neutral — no recorded offensive skills",IF(I155&lt;1,"Partial lookup — adjustment scaled",IF(AND(M155="Yes",AC155=0),"Offense adjusted; Guard neutral","Captured"))))</x:f>
        <x:v>Offense neutral — no recorded offensive skills</x:v>
      </x:c>
      <x:c r="AC155" s="579" t="n">
        <x:f>IF(SUMIFS('Specialisation Impact'!$M$19:$M$186,'Specialisation Impact'!$A$19:$A$186,A155,'Specialisation Impact'!$B$19:$B$186,B155)=0,0,SUMIFS('Specialisation Impact'!$F$19:$F$186,'Specialisation Impact'!$A$19:$A$186,A155,'Specialisation Impact'!$B$19:$B$186,B155))</x:f>
        <x:v>0</x:v>
      </x:c>
    </x:row>
    <x:row r="156">
      <x:c r="A156" s="572" t="str">
        <x:v>K176</x:v>
      </x:c>
      <x:c r="B156" s="572" t="str">
        <x:v>♱Seraphim織羽♱</x:v>
      </x:c>
      <x:c r="C156" s="576" t="n">
        <x:f>IF($A156="","",AVERAGE(100*((COUNTIF('All Stats'!$D$6:$D$172,"&lt;"&amp;'All Stats'!D156)+(COUNTIF('All Stats'!$D$6:$D$172,'All Stats'!D156)-1)/2)/(COUNT('All Stats'!$D$6:$D$172)-1))^'Specialisation Scenarios'!$X$10,100*((COUNTIF('All Stats'!$G$6:$G$172,"&lt;"&amp;'All Stats'!G156)+(COUNTIF('All Stats'!$G$6:$G$172,'All Stats'!G156)-1)/2)/(COUNT('All Stats'!$G$6:$G$172)-1))^'Specialisation Scenarios'!$X$10,100*((COUNTIF('All Stats'!$I$6:$I$172,"&lt;"&amp;'All Stats'!I156)+(COUNTIF('All Stats'!$I$6:$I$172,'All Stats'!I156)-1)/2)/(COUNT('All Stats'!$I$6:$I$172)-1))^'Specialisation Scenarios'!$X$10))</x:f>
        <x:v>59.252856216558854</x:v>
      </x:c>
      <x:c r="D156" s="576" t="n">
        <x:f>IF($A156="","",AVERAGE(100*((COUNTIF('All Stats'!$R$6:$R$172,"&lt;"&amp;'All Stats'!R156)+(COUNTIF('All Stats'!$R$6:$R$172,'All Stats'!R156)-1)/2)/(COUNT('All Stats'!$R$6:$R$172)-1))^'Specialisation Scenarios'!$X$10,100*((COUNTIF('All Stats'!$U$6:$U$172,"&lt;"&amp;'All Stats'!U156)+(COUNTIF('All Stats'!$U$6:$U$172,'All Stats'!U156)-1)/2)/(COUNT('All Stats'!$U$6:$U$172)-1))^'Specialisation Scenarios'!$X$10,100*((COUNTIF('All Stats'!$W$6:$W$172,"&lt;"&amp;'All Stats'!W156)+(COUNTIF('All Stats'!$W$6:$W$172,'All Stats'!W156)-1)/2)/(COUNT('All Stats'!$W$6:$W$172)-1))^'Specialisation Scenarios'!$X$10))</x:f>
        <x:v>53.082306484760274</x:v>
      </x:c>
      <x:c r="E156" s="576" t="n">
        <x:f>IF($A156="","",AVERAGE(100*((COUNTIF('All Stats'!$Y$6:$Y$172,"&lt;"&amp;'All Stats'!Y156)+(COUNTIF('All Stats'!$Y$6:$Y$172,'All Stats'!Y156)-1)/2)/(COUNT('All Stats'!$Y$6:$Y$172)-1))^'Specialisation Scenarios'!$X$10,100*((COUNTIF('All Stats'!$AB$6:$AB$172,"&lt;"&amp;'All Stats'!AB156)+(COUNTIF('All Stats'!$AB$6:$AB$172,'All Stats'!AB156)-1)/2)/(COUNT('All Stats'!$AB$6:$AB$172)-1))^'Specialisation Scenarios'!$X$10,100*((COUNTIF('All Stats'!$AD$6:$AD$172,"&lt;"&amp;'All Stats'!AD156)+(COUNTIF('All Stats'!$AD$6:$AD$172,'All Stats'!AD156)-1)/2)/(COUNT('All Stats'!$AD$6:$AD$172)-1))^'Specialisation Scenarios'!$X$10))</x:f>
        <x:v>26.379409138707675</x:v>
      </x:c>
      <x:c r="F156" s="576" t="n">
        <x:f>IF($A156="","",AVERAGE(100*((COUNTIF('All Stats'!$AF$6:$AF$172,"&lt;"&amp;'All Stats'!AF156)+(COUNTIF('All Stats'!$AF$6:$AF$172,'All Stats'!AF156)-1)/2)/(COUNT('All Stats'!$AF$6:$AF$172)-1))^'Specialisation Scenarios'!$X$10,100*((COUNTIF('All Stats'!$AI$6:$AI$172,"&lt;"&amp;'All Stats'!AI156)+(COUNTIF('All Stats'!$AI$6:$AI$172,'All Stats'!AI156)-1)/2)/(COUNT('All Stats'!$AI$6:$AI$172)-1))^'Specialisation Scenarios'!$X$10,100*((COUNTIF('All Stats'!$AK$6:$AK$172,"&lt;"&amp;'All Stats'!AK156)+(COUNTIF('All Stats'!$AK$6:$AK$172,'All Stats'!AK156)-1)/2)/(COUNT('All Stats'!$AK$6:$AK$172)-1))^'Specialisation Scenarios'!$X$10))</x:f>
        <x:v>63.73092506857489</x:v>
      </x:c>
      <x:c r="G156" s="576" t="n">
        <x:f>IF($A156="","",C156*'Specialisation Scenarios'!$X$11+D156*'Specialisation Scenarios'!$X$12+E156*'Specialisation Scenarios'!$X$13+F156*'Specialisation Scenarios'!$X$14)</x:f>
        <x:v>52.93489199749699</x:v>
      </x:c>
      <x:c r="H156" s="576" t="n">
        <x:f>IF(SUMIFS('Specialisation Impact'!$E$19:$E$186,'Specialisation Impact'!$A$19:$A$186,A156,'Specialisation Impact'!$B$19:$B$186,B156)=0,"",SUMIFS('Specialisation Impact'!$S$19:$S$186,'Specialisation Impact'!$A$19:$A$186,A156,'Specialisation Impact'!$B$19:$B$186,B156))</x:f>
        <x:v>84.02597402597402</x:v>
      </x:c>
      <x:c r="I156" s="580" t="n">
        <x:f>IF(SUMIFS('Specialisation Impact'!$E$19:$E$186,'Specialisation Impact'!$A$19:$A$186,A156,'Specialisation Impact'!$B$19:$B$186,B156)=0,0,SUMIFS('Specialisation Impact'!$F$19:$F$186,'Specialisation Impact'!$A$19:$A$186,A156,'Specialisation Impact'!$B$19:$B$186,B156))</x:f>
        <x:v>1</x:v>
      </x:c>
      <x:c r="J156" s="576" t="n">
        <x:f>G156</x:f>
        <x:v>52.93489199749699</x:v>
      </x:c>
      <x:c r="K156" s="576" t="n">
        <x:f>IF(G156="","",IF(I156=0,G156,MAX(0,MIN(100,G156*(1-'Specialisation Scenarios'!$B$8*I156)+H156*('Specialisation Scenarios'!$B$8*I156)))))</x:f>
        <x:v>60.707662504616245</x:v>
      </x:c>
      <x:c r="L156" s="576" t="n">
        <x:f>IF(G156="","",IF(I156=0,G156,MAX(0,MIN(100,G156*(1-'Specialisation Scenarios'!$B$9*I156)+H156*('Specialisation Scenarios'!$B$9*I156)))))</x:f>
        <x:v>63.81677070746395</x:v>
      </x:c>
      <x:c r="M156" s="576" t="str">
        <x:f>IF(COUNTIFS('Tank &amp; Control'!$A$23:$A$189,A156,'Tank &amp; Control'!$B$23:$B$189,B156,'Tank &amp; Control'!$C$23:$C$189,"Yes")&gt;0,"Yes","No")</x:f>
        <x:v>No</x:v>
      </x:c>
      <x:c r="N156" s="576" t="str">
        <x:f>IF(M156&lt;&gt;"Yes","",SUMIFS('Tank &amp; Control'!$L$23:$L$189,'Tank &amp; Control'!$A$23:$A$189,A156,'Tank &amp; Control'!$B$23:$B$189,B156))</x:f>
      </x:c>
      <x:c r="O156" s="576" t="n">
        <x:f>IF(SUMIFS('Specialisation Impact'!$M$19:$M$186,'Specialisation Impact'!$A$19:$A$186,A156,'Specialisation Impact'!$B$19:$B$186,B156)=0,"",SUMIFS('Specialisation Impact'!$V$19:$V$186,'Specialisation Impact'!$A$19:$A$186,A156,'Specialisation Impact'!$B$19:$B$186,B156))</x:f>
        <x:v>60.25641025641025</x:v>
      </x:c>
      <x:c r="P156" s="576" t="str">
        <x:f>IF(N156="","",N156)</x:f>
      </x:c>
      <x:c r="Q156" s="576" t="str">
        <x:f>IF(N156="","",IF(AC156=0,N156,MAX(0,MIN(100,N156*(1-'Specialisation Scenarios'!$B$8*AC156)+O156*('Specialisation Scenarios'!$B$8*AC156)))))</x:f>
      </x:c>
      <x:c r="R156" s="576" t="str">
        <x:f>IF(N156="","",IF(AC156=0,N156,MAX(0,MIN(100,N156*(1-'Specialisation Scenarios'!$B$9*AC156)+O156*('Specialisation Scenarios'!$B$9*AC156)))))</x:f>
      </x:c>
      <x:c r="S156" s="584" t="n">
        <x:f>IF(J156="","",COUNTIFS($A$6:$A$172,A156,$J$6:$J$172,"&gt;"&amp;J156)+COUNTIFS($A$6:A156,A156,$J$6:J156,J156))</x:f>
        <x:v>7</x:v>
      </x:c>
      <x:c r="T156" s="584" t="n">
        <x:f>IF(K156="","",COUNTIFS($A$6:$A$172,A156,$K$6:$K$172,"&gt;"&amp;K156)+COUNTIFS($A$6:A156,A156,$K$6:K156,K156))</x:f>
        <x:v>7</x:v>
      </x:c>
      <x:c r="U156" s="584" t="n">
        <x:f>IF(L156="","",COUNTIFS($A$6:$A$172,A156,$L$6:$L$172,"&gt;"&amp;L156)+COUNTIFS($A$6:A156,A156,$L$6:L156,L156))</x:f>
        <x:v>7</x:v>
      </x:c>
      <x:c r="V156" s="584" t="str">
        <x:f>IF(P156="","",COUNTIFS($A$6:$A$172,A156,$P$6:$P$172,"&gt;"&amp;P156)+COUNTIFS($A$6:A156,A156,$P$6:P156,P156))</x:f>
      </x:c>
      <x:c r="W156" s="584" t="str">
        <x:f>IF(Q156="","",COUNTIFS($A$6:$A$172,A156,$Q$6:$Q$172,"&gt;"&amp;Q156)+COUNTIFS($A$6:A156,A156,$Q$6:Q156,Q156))</x:f>
      </x:c>
      <x:c r="X156" s="584" t="str">
        <x:f>IF(R156="","",COUNTIFS($A$6:$A$172,A156,$R$6:$R$172,"&gt;"&amp;R156)+COUNTIFS($A$6:A156,A156,$R$6:R156,R156))</x:f>
      </x:c>
      <x:c r="Y156" s="572" t="str">
        <x:f>IF(V156="","",A156&amp;"|"&amp;V156)</x:f>
      </x:c>
      <x:c r="Z156" s="572" t="str">
        <x:f>IF(W156="","",A156&amp;"|"&amp;W156)</x:f>
      </x:c>
      <x:c r="AA156" s="572" t="str">
        <x:f>IF(X156="","",A156&amp;"|"&amp;X156)</x:f>
      </x:c>
      <x:c r="AB156" s="572" t="str">
        <x:f>IF(A156="","",IF(I156=0,"Offense neutral — no recorded offensive skills",IF(I156&lt;1,"Partial lookup — adjustment scaled",IF(AND(M156="Yes",AC156=0),"Offense adjusted; Guard neutral","Captured"))))</x:f>
        <x:v>Captured</x:v>
      </x:c>
      <x:c r="AC156" s="580" t="n">
        <x:f>IF(SUMIFS('Specialisation Impact'!$M$19:$M$186,'Specialisation Impact'!$A$19:$A$186,A156,'Specialisation Impact'!$B$19:$B$186,B156)=0,0,SUMIFS('Specialisation Impact'!$F$19:$F$186,'Specialisation Impact'!$A$19:$A$186,A156,'Specialisation Impact'!$B$19:$B$186,B156))</x:f>
        <x:v>1</x:v>
      </x:c>
    </x:row>
    <x:row r="157">
      <x:c r="A157" s="571" t="str">
        <x:v>K176</x:v>
      </x:c>
      <x:c r="B157" s="571" t="str">
        <x:v>ʚ老⑥ɞ</x:v>
      </x:c>
      <x:c r="C157" s="575" t="n">
        <x:f>IF($A157="","",AVERAGE(100*((COUNTIF('All Stats'!$D$6:$D$172,"&lt;"&amp;'All Stats'!D157)+(COUNTIF('All Stats'!$D$6:$D$172,'All Stats'!D157)-1)/2)/(COUNT('All Stats'!$D$6:$D$172)-1))^'Specialisation Scenarios'!$X$10,100*((COUNTIF('All Stats'!$G$6:$G$172,"&lt;"&amp;'All Stats'!G157)+(COUNTIF('All Stats'!$G$6:$G$172,'All Stats'!G157)-1)/2)/(COUNT('All Stats'!$G$6:$G$172)-1))^'Specialisation Scenarios'!$X$10,100*((COUNTIF('All Stats'!$I$6:$I$172,"&lt;"&amp;'All Stats'!I157)+(COUNTIF('All Stats'!$I$6:$I$172,'All Stats'!I157)-1)/2)/(COUNT('All Stats'!$I$6:$I$172)-1))^'Specialisation Scenarios'!$X$10))</x:f>
        <x:v>69.83875999605225</x:v>
      </x:c>
      <x:c r="D157" s="575" t="n">
        <x:f>IF($A157="","",AVERAGE(100*((COUNTIF('All Stats'!$R$6:$R$172,"&lt;"&amp;'All Stats'!R157)+(COUNTIF('All Stats'!$R$6:$R$172,'All Stats'!R157)-1)/2)/(COUNT('All Stats'!$R$6:$R$172)-1))^'Specialisation Scenarios'!$X$10,100*((COUNTIF('All Stats'!$U$6:$U$172,"&lt;"&amp;'All Stats'!U157)+(COUNTIF('All Stats'!$U$6:$U$172,'All Stats'!U157)-1)/2)/(COUNT('All Stats'!$U$6:$U$172)-1))^'Specialisation Scenarios'!$X$10,100*((COUNTIF('All Stats'!$W$6:$W$172,"&lt;"&amp;'All Stats'!W157)+(COUNTIF('All Stats'!$W$6:$W$172,'All Stats'!W157)-1)/2)/(COUNT('All Stats'!$W$6:$W$172)-1))^'Specialisation Scenarios'!$X$10))</x:f>
        <x:v>67.37444763952321</x:v>
      </x:c>
      <x:c r="E157" s="575" t="n">
        <x:f>IF($A157="","",AVERAGE(100*((COUNTIF('All Stats'!$Y$6:$Y$172,"&lt;"&amp;'All Stats'!Y157)+(COUNTIF('All Stats'!$Y$6:$Y$172,'All Stats'!Y157)-1)/2)/(COUNT('All Stats'!$Y$6:$Y$172)-1))^'Specialisation Scenarios'!$X$10,100*((COUNTIF('All Stats'!$AB$6:$AB$172,"&lt;"&amp;'All Stats'!AB157)+(COUNTIF('All Stats'!$AB$6:$AB$172,'All Stats'!AB157)-1)/2)/(COUNT('All Stats'!$AB$6:$AB$172)-1))^'Specialisation Scenarios'!$X$10,100*((COUNTIF('All Stats'!$AD$6:$AD$172,"&lt;"&amp;'All Stats'!AD157)+(COUNTIF('All Stats'!$AD$6:$AD$172,'All Stats'!AD157)-1)/2)/(COUNT('All Stats'!$AD$6:$AD$172)-1))^'Specialisation Scenarios'!$X$10))</x:f>
        <x:v>45.512403519270265</x:v>
      </x:c>
      <x:c r="F157" s="575" t="n">
        <x:f>IF($A157="","",AVERAGE(100*((COUNTIF('All Stats'!$AF$6:$AF$172,"&lt;"&amp;'All Stats'!AF157)+(COUNTIF('All Stats'!$AF$6:$AF$172,'All Stats'!AF157)-1)/2)/(COUNT('All Stats'!$AF$6:$AF$172)-1))^'Specialisation Scenarios'!$X$10,100*((COUNTIF('All Stats'!$AI$6:$AI$172,"&lt;"&amp;'All Stats'!AI157)+(COUNTIF('All Stats'!$AI$6:$AI$172,'All Stats'!AI157)-1)/2)/(COUNT('All Stats'!$AI$6:$AI$172)-1))^'Specialisation Scenarios'!$X$10,100*((COUNTIF('All Stats'!$AK$6:$AK$172,"&lt;"&amp;'All Stats'!AK157)+(COUNTIF('All Stats'!$AK$6:$AK$172,'All Stats'!AK157)-1)/2)/(COUNT('All Stats'!$AK$6:$AK$172)-1))^'Specialisation Scenarios'!$X$10))</x:f>
        <x:v>75.47762700850937</x:v>
      </x:c>
      <x:c r="G157" s="575" t="n">
        <x:f>IF($A157="","",C157*'Specialisation Scenarios'!$X$11+D157*'Specialisation Scenarios'!$X$12+E157*'Specialisation Scenarios'!$X$13+F157*'Specialisation Scenarios'!$X$14)</x:f>
        <x:v>66.77336698632519</x:v>
      </x:c>
      <x:c r="H157" s="575" t="n">
        <x:f>IF(SUMIFS('Specialisation Impact'!$E$19:$E$186,'Specialisation Impact'!$A$19:$A$186,A157,'Specialisation Impact'!$B$19:$B$186,B157)=0,"",SUMIFS('Specialisation Impact'!$S$19:$S$186,'Specialisation Impact'!$A$19:$A$186,A157,'Specialisation Impact'!$B$19:$B$186,B157))</x:f>
        <x:v>81.94805194805194</x:v>
      </x:c>
      <x:c r="I157" s="579" t="n">
        <x:f>IF(SUMIFS('Specialisation Impact'!$E$19:$E$186,'Specialisation Impact'!$A$19:$A$186,A157,'Specialisation Impact'!$B$19:$B$186,B157)=0,0,SUMIFS('Specialisation Impact'!$F$19:$F$186,'Specialisation Impact'!$A$19:$A$186,A157,'Specialisation Impact'!$B$19:$B$186,B157))</x:f>
        <x:v>1</x:v>
      </x:c>
      <x:c r="J157" s="575" t="n">
        <x:f>G157</x:f>
        <x:v>66.77336698632519</x:v>
      </x:c>
      <x:c r="K157" s="575" t="n">
        <x:f>IF(G157="","",IF(I157=0,G157,MAX(0,MIN(100,G157*(1-'Specialisation Scenarios'!$B$8*I157)+H157*('Specialisation Scenarios'!$B$8*I157)))))</x:f>
        <x:v>70.56703822675688</x:v>
      </x:c>
      <x:c r="L157" s="575" t="n">
        <x:f>IF(G157="","",IF(I157=0,G157,MAX(0,MIN(100,G157*(1-'Specialisation Scenarios'!$B$9*I157)+H157*('Specialisation Scenarios'!$B$9*I157)))))</x:f>
        <x:v>72.08450672292955</x:v>
      </x:c>
      <x:c r="M157" s="575" t="str">
        <x:f>IF(COUNTIFS('Tank &amp; Control'!$A$23:$A$189,A157,'Tank &amp; Control'!$B$23:$B$189,B157,'Tank &amp; Control'!$C$23:$C$189,"Yes")&gt;0,"Yes","No")</x:f>
        <x:v>No</x:v>
      </x:c>
      <x:c r="N157" s="575" t="str">
        <x:f>IF(M157&lt;&gt;"Yes","",SUMIFS('Tank &amp; Control'!$L$23:$L$189,'Tank &amp; Control'!$A$23:$A$189,A157,'Tank &amp; Control'!$B$23:$B$189,B157))</x:f>
      </x:c>
      <x:c r="O157" s="575" t="n">
        <x:f>IF(SUMIFS('Specialisation Impact'!$M$19:$M$186,'Specialisation Impact'!$A$19:$A$186,A157,'Specialisation Impact'!$B$19:$B$186,B157)=0,"",SUMIFS('Specialisation Impact'!$V$19:$V$186,'Specialisation Impact'!$A$19:$A$186,A157,'Specialisation Impact'!$B$19:$B$186,B157))</x:f>
        <x:v>46.58119658119658</x:v>
      </x:c>
      <x:c r="P157" s="575" t="str">
        <x:f>IF(N157="","",N157)</x:f>
      </x:c>
      <x:c r="Q157" s="575" t="str">
        <x:f>IF(N157="","",IF(AC157=0,N157,MAX(0,MIN(100,N157*(1-'Specialisation Scenarios'!$B$8*AC157)+O157*('Specialisation Scenarios'!$B$8*AC157)))))</x:f>
      </x:c>
      <x:c r="R157" s="575" t="str">
        <x:f>IF(N157="","",IF(AC157=0,N157,MAX(0,MIN(100,N157*(1-'Specialisation Scenarios'!$B$9*AC157)+O157*('Specialisation Scenarios'!$B$9*AC157)))))</x:f>
      </x:c>
      <x:c r="S157" s="583" t="n">
        <x:f>IF(J157="","",COUNTIFS($A$6:$A$172,A157,$J$6:$J$172,"&gt;"&amp;J157)+COUNTIFS($A$6:A157,A157,$J$6:J157,J157))</x:f>
        <x:v>3</x:v>
      </x:c>
      <x:c r="T157" s="583" t="n">
        <x:f>IF(K157="","",COUNTIFS($A$6:$A$172,A157,$K$6:$K$172,"&gt;"&amp;K157)+COUNTIFS($A$6:A157,A157,$K$6:K157,K157))</x:f>
        <x:v>3</x:v>
      </x:c>
      <x:c r="U157" s="583" t="n">
        <x:f>IF(L157="","",COUNTIFS($A$6:$A$172,A157,$L$6:$L$172,"&gt;"&amp;L157)+COUNTIFS($A$6:A157,A157,$L$6:L157,L157))</x:f>
        <x:v>3</x:v>
      </x:c>
      <x:c r="V157" s="583" t="str">
        <x:f>IF(P157="","",COUNTIFS($A$6:$A$172,A157,$P$6:$P$172,"&gt;"&amp;P157)+COUNTIFS($A$6:A157,A157,$P$6:P157,P157))</x:f>
      </x:c>
      <x:c r="W157" s="583" t="str">
        <x:f>IF(Q157="","",COUNTIFS($A$6:$A$172,A157,$Q$6:$Q$172,"&gt;"&amp;Q157)+COUNTIFS($A$6:A157,A157,$Q$6:Q157,Q157))</x:f>
      </x:c>
      <x:c r="X157" s="583" t="str">
        <x:f>IF(R157="","",COUNTIFS($A$6:$A$172,A157,$R$6:$R$172,"&gt;"&amp;R157)+COUNTIFS($A$6:A157,A157,$R$6:R157,R157))</x:f>
      </x:c>
      <x:c r="Y157" s="571" t="str">
        <x:f>IF(V157="","",A157&amp;"|"&amp;V157)</x:f>
      </x:c>
      <x:c r="Z157" s="571" t="str">
        <x:f>IF(W157="","",A157&amp;"|"&amp;W157)</x:f>
      </x:c>
      <x:c r="AA157" s="571" t="str">
        <x:f>IF(X157="","",A157&amp;"|"&amp;X157)</x:f>
      </x:c>
      <x:c r="AB157" s="571" t="str">
        <x:f>IF(A157="","",IF(I157=0,"Offense neutral — no recorded offensive skills",IF(I157&lt;1,"Partial lookup — adjustment scaled",IF(AND(M157="Yes",AC157=0),"Offense adjusted; Guard neutral","Captured"))))</x:f>
        <x:v>Captured</x:v>
      </x:c>
      <x:c r="AC157" s="579" t="n">
        <x:f>IF(SUMIFS('Specialisation Impact'!$M$19:$M$186,'Specialisation Impact'!$A$19:$A$186,A157,'Specialisation Impact'!$B$19:$B$186,B157)=0,0,SUMIFS('Specialisation Impact'!$F$19:$F$186,'Specialisation Impact'!$A$19:$A$186,A157,'Specialisation Impact'!$B$19:$B$186,B157))</x:f>
        <x:v>1</x:v>
      </x:c>
    </x:row>
    <x:row r="158">
      <x:c r="A158" s="572" t="str">
        <x:v>K176</x:v>
      </x:c>
      <x:c r="B158" s="572" t="str">
        <x:v>灰色轨迹</x:v>
      </x:c>
      <x:c r="C158" s="576" t="n">
        <x:f>IF($A158="","",AVERAGE(100*((COUNTIF('All Stats'!$D$6:$D$172,"&lt;"&amp;'All Stats'!D158)+(COUNTIF('All Stats'!$D$6:$D$172,'All Stats'!D158)-1)/2)/(COUNT('All Stats'!$D$6:$D$172)-1))^'Specialisation Scenarios'!$X$10,100*((COUNTIF('All Stats'!$G$6:$G$172,"&lt;"&amp;'All Stats'!G158)+(COUNTIF('All Stats'!$G$6:$G$172,'All Stats'!G158)-1)/2)/(COUNT('All Stats'!$G$6:$G$172)-1))^'Specialisation Scenarios'!$X$10,100*((COUNTIF('All Stats'!$I$6:$I$172,"&lt;"&amp;'All Stats'!I158)+(COUNTIF('All Stats'!$I$6:$I$172,'All Stats'!I158)-1)/2)/(COUNT('All Stats'!$I$6:$I$172)-1))^'Specialisation Scenarios'!$X$10))</x:f>
        <x:v>34.33347961399526</x:v>
      </x:c>
      <x:c r="D158" s="576" t="n">
        <x:f>IF($A158="","",AVERAGE(100*((COUNTIF('All Stats'!$R$6:$R$172,"&lt;"&amp;'All Stats'!R158)+(COUNTIF('All Stats'!$R$6:$R$172,'All Stats'!R158)-1)/2)/(COUNT('All Stats'!$R$6:$R$172)-1))^'Specialisation Scenarios'!$X$10,100*((COUNTIF('All Stats'!$U$6:$U$172,"&lt;"&amp;'All Stats'!U158)+(COUNTIF('All Stats'!$U$6:$U$172,'All Stats'!U158)-1)/2)/(COUNT('All Stats'!$U$6:$U$172)-1))^'Specialisation Scenarios'!$X$10,100*((COUNTIF('All Stats'!$W$6:$W$172,"&lt;"&amp;'All Stats'!W158)+(COUNTIF('All Stats'!$W$6:$W$172,'All Stats'!W158)-1)/2)/(COUNT('All Stats'!$W$6:$W$172)-1))^'Specialisation Scenarios'!$X$10))</x:f>
        <x:v>46.879947664315154</x:v>
      </x:c>
      <x:c r="E158" s="576" t="n">
        <x:f>IF($A158="","",AVERAGE(100*((COUNTIF('All Stats'!$Y$6:$Y$172,"&lt;"&amp;'All Stats'!Y158)+(COUNTIF('All Stats'!$Y$6:$Y$172,'All Stats'!Y158)-1)/2)/(COUNT('All Stats'!$Y$6:$Y$172)-1))^'Specialisation Scenarios'!$X$10,100*((COUNTIF('All Stats'!$AB$6:$AB$172,"&lt;"&amp;'All Stats'!AB158)+(COUNTIF('All Stats'!$AB$6:$AB$172,'All Stats'!AB158)-1)/2)/(COUNT('All Stats'!$AB$6:$AB$172)-1))^'Specialisation Scenarios'!$X$10,100*((COUNTIF('All Stats'!$AD$6:$AD$172,"&lt;"&amp;'All Stats'!AD158)+(COUNTIF('All Stats'!$AD$6:$AD$172,'All Stats'!AD158)-1)/2)/(COUNT('All Stats'!$AD$6:$AD$172)-1))^'Specialisation Scenarios'!$X$10))</x:f>
        <x:v>35.733500788972556</x:v>
      </x:c>
      <x:c r="F158" s="576" t="n">
        <x:f>IF($A158="","",AVERAGE(100*((COUNTIF('All Stats'!$AF$6:$AF$172,"&lt;"&amp;'All Stats'!AF158)+(COUNTIF('All Stats'!$AF$6:$AF$172,'All Stats'!AF158)-1)/2)/(COUNT('All Stats'!$AF$6:$AF$172)-1))^'Specialisation Scenarios'!$X$10,100*((COUNTIF('All Stats'!$AI$6:$AI$172,"&lt;"&amp;'All Stats'!AI158)+(COUNTIF('All Stats'!$AI$6:$AI$172,'All Stats'!AI158)-1)/2)/(COUNT('All Stats'!$AI$6:$AI$172)-1))^'Specialisation Scenarios'!$X$10,100*((COUNTIF('All Stats'!$AK$6:$AK$172,"&lt;"&amp;'All Stats'!AK158)+(COUNTIF('All Stats'!$AK$6:$AK$172,'All Stats'!AK158)-1)/2)/(COUNT('All Stats'!$AK$6:$AK$172)-1))^'Specialisation Scenarios'!$X$10))</x:f>
        <x:v>60.92289843628776</x:v>
      </x:c>
      <x:c r="G158" s="576" t="n">
        <x:f>IF($A158="","",C158*'Specialisation Scenarios'!$X$11+D158*'Specialisation Scenarios'!$X$12+E158*'Specialisation Scenarios'!$X$13+F158*'Specialisation Scenarios'!$X$14)</x:f>
        <x:v>45.9897753850288</x:v>
      </x:c>
      <x:c r="H158" s="576" t="n">
        <x:f>IF(SUMIFS('Specialisation Impact'!$E$19:$E$186,'Specialisation Impact'!$A$19:$A$186,A158,'Specialisation Impact'!$B$19:$B$186,B158)=0,"",SUMIFS('Specialisation Impact'!$S$19:$S$186,'Specialisation Impact'!$A$19:$A$186,A158,'Specialisation Impact'!$B$19:$B$186,B158))</x:f>
        <x:v>71.55844155844156</x:v>
      </x:c>
      <x:c r="I158" s="580" t="n">
        <x:f>IF(SUMIFS('Specialisation Impact'!$E$19:$E$186,'Specialisation Impact'!$A$19:$A$186,A158,'Specialisation Impact'!$B$19:$B$186,B158)=0,0,SUMIFS('Specialisation Impact'!$F$19:$F$186,'Specialisation Impact'!$A$19:$A$186,A158,'Specialisation Impact'!$B$19:$B$186,B158))</x:f>
        <x:v>1</x:v>
      </x:c>
      <x:c r="J158" s="576" t="n">
        <x:f>G158</x:f>
        <x:v>45.9897753850288</x:v>
      </x:c>
      <x:c r="K158" s="576" t="n">
        <x:f>IF(G158="","",IF(I158=0,G158,MAX(0,MIN(100,G158*(1-'Specialisation Scenarios'!$B$8*I158)+H158*('Specialisation Scenarios'!$B$8*I158)))))</x:f>
        <x:v>52.38194192838199</x:v>
      </x:c>
      <x:c r="L158" s="576" t="n">
        <x:f>IF(G158="","",IF(I158=0,G158,MAX(0,MIN(100,G158*(1-'Specialisation Scenarios'!$B$9*I158)+H158*('Specialisation Scenarios'!$B$9*I158)))))</x:f>
        <x:v>54.93880854572326</x:v>
      </x:c>
      <x:c r="M158" s="576" t="str">
        <x:f>IF(COUNTIFS('Tank &amp; Control'!$A$23:$A$189,A158,'Tank &amp; Control'!$B$23:$B$189,B158,'Tank &amp; Control'!$C$23:$C$189,"Yes")&gt;0,"Yes","No")</x:f>
        <x:v>No</x:v>
      </x:c>
      <x:c r="N158" s="576" t="str">
        <x:f>IF(M158&lt;&gt;"Yes","",SUMIFS('Tank &amp; Control'!$L$23:$L$189,'Tank &amp; Control'!$A$23:$A$189,A158,'Tank &amp; Control'!$B$23:$B$189,B158))</x:f>
      </x:c>
      <x:c r="O158" s="576" t="n">
        <x:f>IF(SUMIFS('Specialisation Impact'!$M$19:$M$186,'Specialisation Impact'!$A$19:$A$186,A158,'Specialisation Impact'!$B$19:$B$186,B158)=0,"",SUMIFS('Specialisation Impact'!$V$19:$V$186,'Specialisation Impact'!$A$19:$A$186,A158,'Specialisation Impact'!$B$19:$B$186,B158))</x:f>
        <x:v>60.25641025641025</x:v>
      </x:c>
      <x:c r="P158" s="576" t="str">
        <x:f>IF(N158="","",N158)</x:f>
      </x:c>
      <x:c r="Q158" s="576" t="str">
        <x:f>IF(N158="","",IF(AC158=0,N158,MAX(0,MIN(100,N158*(1-'Specialisation Scenarios'!$B$8*AC158)+O158*('Specialisation Scenarios'!$B$8*AC158)))))</x:f>
      </x:c>
      <x:c r="R158" s="576" t="str">
        <x:f>IF(N158="","",IF(AC158=0,N158,MAX(0,MIN(100,N158*(1-'Specialisation Scenarios'!$B$9*AC158)+O158*('Specialisation Scenarios'!$B$9*AC158)))))</x:f>
      </x:c>
      <x:c r="S158" s="584" t="n">
        <x:f>IF(J158="","",COUNTIFS($A$6:$A$172,A158,$J$6:$J$172,"&gt;"&amp;J158)+COUNTIFS($A$6:A158,A158,$J$6:J158,J158))</x:f>
        <x:v>10</x:v>
      </x:c>
      <x:c r="T158" s="584" t="n">
        <x:f>IF(K158="","",COUNTIFS($A$6:$A$172,A158,$K$6:$K$172,"&gt;"&amp;K158)+COUNTIFS($A$6:A158,A158,$K$6:K158,K158))</x:f>
        <x:v>9</x:v>
      </x:c>
      <x:c r="U158" s="584" t="n">
        <x:f>IF(L158="","",COUNTIFS($A$6:$A$172,A158,$L$6:$L$172,"&gt;"&amp;L158)+COUNTIFS($A$6:A158,A158,$L$6:L158,L158))</x:f>
        <x:v>10</x:v>
      </x:c>
      <x:c r="V158" s="584" t="str">
        <x:f>IF(P158="","",COUNTIFS($A$6:$A$172,A158,$P$6:$P$172,"&gt;"&amp;P158)+COUNTIFS($A$6:A158,A158,$P$6:P158,P158))</x:f>
      </x:c>
      <x:c r="W158" s="584" t="str">
        <x:f>IF(Q158="","",COUNTIFS($A$6:$A$172,A158,$Q$6:$Q$172,"&gt;"&amp;Q158)+COUNTIFS($A$6:A158,A158,$Q$6:Q158,Q158))</x:f>
      </x:c>
      <x:c r="X158" s="584" t="str">
        <x:f>IF(R158="","",COUNTIFS($A$6:$A$172,A158,$R$6:$R$172,"&gt;"&amp;R158)+COUNTIFS($A$6:A158,A158,$R$6:R158,R158))</x:f>
      </x:c>
      <x:c r="Y158" s="572" t="str">
        <x:f>IF(V158="","",A158&amp;"|"&amp;V158)</x:f>
      </x:c>
      <x:c r="Z158" s="572" t="str">
        <x:f>IF(W158="","",A158&amp;"|"&amp;W158)</x:f>
      </x:c>
      <x:c r="AA158" s="572" t="str">
        <x:f>IF(X158="","",A158&amp;"|"&amp;X158)</x:f>
      </x:c>
      <x:c r="AB158" s="572" t="str">
        <x:f>IF(A158="","",IF(I158=0,"Offense neutral — no recorded offensive skills",IF(I158&lt;1,"Partial lookup — adjustment scaled",IF(AND(M158="Yes",AC158=0),"Offense adjusted; Guard neutral","Captured"))))</x:f>
        <x:v>Captured</x:v>
      </x:c>
      <x:c r="AC158" s="580" t="n">
        <x:f>IF(SUMIFS('Specialisation Impact'!$M$19:$M$186,'Specialisation Impact'!$A$19:$A$186,A158,'Specialisation Impact'!$B$19:$B$186,B158)=0,0,SUMIFS('Specialisation Impact'!$F$19:$F$186,'Specialisation Impact'!$A$19:$A$186,A158,'Specialisation Impact'!$B$19:$B$186,B158))</x:f>
        <x:v>1</x:v>
      </x:c>
    </x:row>
    <x:row r="159">
      <x:c r="A159" s="571" t="str">
        <x:v>K176</x:v>
      </x:c>
      <x:c r="B159" s="571" t="str">
        <x:v>罗密欧与猪过夜</x:v>
      </x:c>
      <x:c r="C159" s="575" t="n">
        <x:f>IF($A159="","",AVERAGE(100*((COUNTIF('All Stats'!$D$6:$D$172,"&lt;"&amp;'All Stats'!D159)+(COUNTIF('All Stats'!$D$6:$D$172,'All Stats'!D159)-1)/2)/(COUNT('All Stats'!$D$6:$D$172)-1))^'Specialisation Scenarios'!$X$10,100*((COUNTIF('All Stats'!$G$6:$G$172,"&lt;"&amp;'All Stats'!G159)+(COUNTIF('All Stats'!$G$6:$G$172,'All Stats'!G159)-1)/2)/(COUNT('All Stats'!$G$6:$G$172)-1))^'Specialisation Scenarios'!$X$10,100*((COUNTIF('All Stats'!$I$6:$I$172,"&lt;"&amp;'All Stats'!I159)+(COUNTIF('All Stats'!$I$6:$I$172,'All Stats'!I159)-1)/2)/(COUNT('All Stats'!$I$6:$I$172)-1))^'Specialisation Scenarios'!$X$10))</x:f>
        <x:v>5.897486793235767</x:v>
      </x:c>
      <x:c r="D159" s="575" t="n">
        <x:f>IF($A159="","",AVERAGE(100*((COUNTIF('All Stats'!$R$6:$R$172,"&lt;"&amp;'All Stats'!R159)+(COUNTIF('All Stats'!$R$6:$R$172,'All Stats'!R159)-1)/2)/(COUNT('All Stats'!$R$6:$R$172)-1))^'Specialisation Scenarios'!$X$10,100*((COUNTIF('All Stats'!$U$6:$U$172,"&lt;"&amp;'All Stats'!U159)+(COUNTIF('All Stats'!$U$6:$U$172,'All Stats'!U159)-1)/2)/(COUNT('All Stats'!$U$6:$U$172)-1))^'Specialisation Scenarios'!$X$10,100*((COUNTIF('All Stats'!$W$6:$W$172,"&lt;"&amp;'All Stats'!W159)+(COUNTIF('All Stats'!$W$6:$W$172,'All Stats'!W159)-1)/2)/(COUNT('All Stats'!$W$6:$W$172)-1))^'Specialisation Scenarios'!$X$10))</x:f>
        <x:v>65.6700355528953</x:v>
      </x:c>
      <x:c r="E159" s="575" t="n">
        <x:f>IF($A159="","",AVERAGE(100*((COUNTIF('All Stats'!$Y$6:$Y$172,"&lt;"&amp;'All Stats'!Y159)+(COUNTIF('All Stats'!$Y$6:$Y$172,'All Stats'!Y159)-1)/2)/(COUNT('All Stats'!$Y$6:$Y$172)-1))^'Specialisation Scenarios'!$X$10,100*((COUNTIF('All Stats'!$AB$6:$AB$172,"&lt;"&amp;'All Stats'!AB159)+(COUNTIF('All Stats'!$AB$6:$AB$172,'All Stats'!AB159)-1)/2)/(COUNT('All Stats'!$AB$6:$AB$172)-1))^'Specialisation Scenarios'!$X$10,100*((COUNTIF('All Stats'!$AD$6:$AD$172,"&lt;"&amp;'All Stats'!AD159)+(COUNTIF('All Stats'!$AD$6:$AD$172,'All Stats'!AD159)-1)/2)/(COUNT('All Stats'!$AD$6:$AD$172)-1))^'Specialisation Scenarios'!$X$10))</x:f>
        <x:v>0.7240589175977911</x:v>
      </x:c>
      <x:c r="F159" s="575" t="n">
        <x:f>IF($A159="","",AVERAGE(100*((COUNTIF('All Stats'!$AF$6:$AF$172,"&lt;"&amp;'All Stats'!AF159)+(COUNTIF('All Stats'!$AF$6:$AF$172,'All Stats'!AF159)-1)/2)/(COUNT('All Stats'!$AF$6:$AF$172)-1))^'Specialisation Scenarios'!$X$10,100*((COUNTIF('All Stats'!$AI$6:$AI$172,"&lt;"&amp;'All Stats'!AI159)+(COUNTIF('All Stats'!$AI$6:$AI$172,'All Stats'!AI159)-1)/2)/(COUNT('All Stats'!$AI$6:$AI$172)-1))^'Specialisation Scenarios'!$X$10,100*((COUNTIF('All Stats'!$AK$6:$AK$172,"&lt;"&amp;'All Stats'!AK159)+(COUNTIF('All Stats'!$AK$6:$AK$172,'All Stats'!AK159)-1)/2)/(COUNT('All Stats'!$AK$6:$AK$172)-1))^'Specialisation Scenarios'!$X$10))</x:f>
        <x:v>50.786750281999105</x:v>
      </x:c>
      <x:c r="G159" s="575" t="n">
        <x:f>IF($A159="","",C159*'Specialisation Scenarios'!$X$11+D159*'Specialisation Scenarios'!$X$12+E159*'Specialisation Scenarios'!$X$13+F159*'Specialisation Scenarios'!$X$14)</x:f>
        <x:v>47.97706278478219</x:v>
      </x:c>
      <x:c r="H159" s="575" t="n">
        <x:f>IF(SUMIFS('Specialisation Impact'!$E$19:$E$186,'Specialisation Impact'!$A$19:$A$186,A159,'Specialisation Impact'!$B$19:$B$186,B159)=0,"",SUMIFS('Specialisation Impact'!$S$19:$S$186,'Specialisation Impact'!$A$19:$A$186,A159,'Specialisation Impact'!$B$19:$B$186,B159))</x:f>
        <x:v>76.75324675324674</x:v>
      </x:c>
      <x:c r="I159" s="579" t="n">
        <x:f>IF(SUMIFS('Specialisation Impact'!$E$19:$E$186,'Specialisation Impact'!$A$19:$A$186,A159,'Specialisation Impact'!$B$19:$B$186,B159)=0,0,SUMIFS('Specialisation Impact'!$F$19:$F$186,'Specialisation Impact'!$A$19:$A$186,A159,'Specialisation Impact'!$B$19:$B$186,B159))</x:f>
        <x:v>1</x:v>
      </x:c>
      <x:c r="J159" s="575" t="n">
        <x:f>G159</x:f>
        <x:v>47.97706278478219</x:v>
      </x:c>
      <x:c r="K159" s="575" t="n">
        <x:f>IF(G159="","",IF(I159=0,G159,MAX(0,MIN(100,G159*(1-'Specialisation Scenarios'!$B$8*I159)+H159*('Specialisation Scenarios'!$B$8*I159)))))</x:f>
        <x:v>55.17110877689833</x:v>
      </x:c>
      <x:c r="L159" s="575" t="n">
        <x:f>IF(G159="","",IF(I159=0,G159,MAX(0,MIN(100,G159*(1-'Specialisation Scenarios'!$B$9*I159)+H159*('Specialisation Scenarios'!$B$9*I159)))))</x:f>
        <x:v>58.04872717374478</x:v>
      </x:c>
      <x:c r="M159" s="575" t="str">
        <x:f>IF(COUNTIFS('Tank &amp; Control'!$A$23:$A$189,A159,'Tank &amp; Control'!$B$23:$B$189,B159,'Tank &amp; Control'!$C$23:$C$189,"Yes")&gt;0,"Yes","No")</x:f>
        <x:v>No</x:v>
      </x:c>
      <x:c r="N159" s="575" t="str">
        <x:f>IF(M159&lt;&gt;"Yes","",SUMIFS('Tank &amp; Control'!$L$23:$L$189,'Tank &amp; Control'!$A$23:$A$189,A159,'Tank &amp; Control'!$B$23:$B$189,B159))</x:f>
      </x:c>
      <x:c r="O159" s="575" t="n">
        <x:f>IF(SUMIFS('Specialisation Impact'!$M$19:$M$186,'Specialisation Impact'!$A$19:$A$186,A159,'Specialisation Impact'!$B$19:$B$186,B159)=0,"",SUMIFS('Specialisation Impact'!$V$19:$V$186,'Specialisation Impact'!$A$19:$A$186,A159,'Specialisation Impact'!$B$19:$B$186,B159))</x:f>
        <x:v>60.25641025641025</x:v>
      </x:c>
      <x:c r="P159" s="575" t="str">
        <x:f>IF(N159="","",N159)</x:f>
      </x:c>
      <x:c r="Q159" s="575" t="str">
        <x:f>IF(N159="","",IF(AC159=0,N159,MAX(0,MIN(100,N159*(1-'Specialisation Scenarios'!$B$8*AC159)+O159*('Specialisation Scenarios'!$B$8*AC159)))))</x:f>
      </x:c>
      <x:c r="R159" s="575" t="str">
        <x:f>IF(N159="","",IF(AC159=0,N159,MAX(0,MIN(100,N159*(1-'Specialisation Scenarios'!$B$9*AC159)+O159*('Specialisation Scenarios'!$B$9*AC159)))))</x:f>
      </x:c>
      <x:c r="S159" s="583" t="n">
        <x:f>IF(J159="","",COUNTIFS($A$6:$A$172,A159,$J$6:$J$172,"&gt;"&amp;J159)+COUNTIFS($A$6:A159,A159,$J$6:J159,J159))</x:f>
        <x:v>9</x:v>
      </x:c>
      <x:c r="T159" s="583" t="n">
        <x:f>IF(K159="","",COUNTIFS($A$6:$A$172,A159,$K$6:$K$172,"&gt;"&amp;K159)+COUNTIFS($A$6:A159,A159,$K$6:K159,K159))</x:f>
        <x:v>8</x:v>
      </x:c>
      <x:c r="U159" s="583" t="n">
        <x:f>IF(L159="","",COUNTIFS($A$6:$A$172,A159,$L$6:$L$172,"&gt;"&amp;L159)+COUNTIFS($A$6:A159,A159,$L$6:L159,L159))</x:f>
        <x:v>8</x:v>
      </x:c>
      <x:c r="V159" s="583" t="str">
        <x:f>IF(P159="","",COUNTIFS($A$6:$A$172,A159,$P$6:$P$172,"&gt;"&amp;P159)+COUNTIFS($A$6:A159,A159,$P$6:P159,P159))</x:f>
      </x:c>
      <x:c r="W159" s="583" t="str">
        <x:f>IF(Q159="","",COUNTIFS($A$6:$A$172,A159,$Q$6:$Q$172,"&gt;"&amp;Q159)+COUNTIFS($A$6:A159,A159,$Q$6:Q159,Q159))</x:f>
      </x:c>
      <x:c r="X159" s="583" t="str">
        <x:f>IF(R159="","",COUNTIFS($A$6:$A$172,A159,$R$6:$R$172,"&gt;"&amp;R159)+COUNTIFS($A$6:A159,A159,$R$6:R159,R159))</x:f>
      </x:c>
      <x:c r="Y159" s="571" t="str">
        <x:f>IF(V159="","",A159&amp;"|"&amp;V159)</x:f>
      </x:c>
      <x:c r="Z159" s="571" t="str">
        <x:f>IF(W159="","",A159&amp;"|"&amp;W159)</x:f>
      </x:c>
      <x:c r="AA159" s="571" t="str">
        <x:f>IF(X159="","",A159&amp;"|"&amp;X159)</x:f>
      </x:c>
      <x:c r="AB159" s="571" t="str">
        <x:f>IF(A159="","",IF(I159=0,"Offense neutral — no recorded offensive skills",IF(I159&lt;1,"Partial lookup — adjustment scaled",IF(AND(M159="Yes",AC159=0),"Offense adjusted; Guard neutral","Captured"))))</x:f>
        <x:v>Captured</x:v>
      </x:c>
      <x:c r="AC159" s="579" t="n">
        <x:f>IF(SUMIFS('Specialisation Impact'!$M$19:$M$186,'Specialisation Impact'!$A$19:$A$186,A159,'Specialisation Impact'!$B$19:$B$186,B159)=0,0,SUMIFS('Specialisation Impact'!$F$19:$F$186,'Specialisation Impact'!$A$19:$A$186,A159,'Specialisation Impact'!$B$19:$B$186,B159))</x:f>
        <x:v>1</x:v>
      </x:c>
    </x:row>
    <x:row r="160">
      <x:c r="A160" s="572" t="str">
        <x:v>K176</x:v>
      </x:c>
      <x:c r="B160" s="572" t="str">
        <x:v>WARBLOOD</x:v>
      </x:c>
      <x:c r="C160" s="576" t="n">
        <x:f>IF($A160="","",AVERAGE(100*((COUNTIF('All Stats'!$D$6:$D$172,"&lt;"&amp;'All Stats'!D160)+(COUNTIF('All Stats'!$D$6:$D$172,'All Stats'!D160)-1)/2)/(COUNT('All Stats'!$D$6:$D$172)-1))^'Specialisation Scenarios'!$X$10,100*((COUNTIF('All Stats'!$G$6:$G$172,"&lt;"&amp;'All Stats'!G160)+(COUNTIF('All Stats'!$G$6:$G$172,'All Stats'!G160)-1)/2)/(COUNT('All Stats'!$G$6:$G$172)-1))^'Specialisation Scenarios'!$X$10,100*((COUNTIF('All Stats'!$I$6:$I$172,"&lt;"&amp;'All Stats'!I160)+(COUNTIF('All Stats'!$I$6:$I$172,'All Stats'!I160)-1)/2)/(COUNT('All Stats'!$I$6:$I$172)-1))^'Specialisation Scenarios'!$X$10))</x:f>
        <x:v>6.426704506683719</x:v>
      </x:c>
      <x:c r="D160" s="576" t="n">
        <x:f>IF($A160="","",AVERAGE(100*((COUNTIF('All Stats'!$R$6:$R$172,"&lt;"&amp;'All Stats'!R160)+(COUNTIF('All Stats'!$R$6:$R$172,'All Stats'!R160)-1)/2)/(COUNT('All Stats'!$R$6:$R$172)-1))^'Specialisation Scenarios'!$X$10,100*((COUNTIF('All Stats'!$U$6:$U$172,"&lt;"&amp;'All Stats'!U160)+(COUNTIF('All Stats'!$U$6:$U$172,'All Stats'!U160)-1)/2)/(COUNT('All Stats'!$U$6:$U$172)-1))^'Specialisation Scenarios'!$X$10,100*((COUNTIF('All Stats'!$W$6:$W$172,"&lt;"&amp;'All Stats'!W160)+(COUNTIF('All Stats'!$W$6:$W$172,'All Stats'!W160)-1)/2)/(COUNT('All Stats'!$W$6:$W$172)-1))^'Specialisation Scenarios'!$X$10))</x:f>
        <x:v>27.33716099838944</x:v>
      </x:c>
      <x:c r="E160" s="576" t="n">
        <x:f>IF($A160="","",AVERAGE(100*((COUNTIF('All Stats'!$Y$6:$Y$172,"&lt;"&amp;'All Stats'!Y160)+(COUNTIF('All Stats'!$Y$6:$Y$172,'All Stats'!Y160)-1)/2)/(COUNT('All Stats'!$Y$6:$Y$172)-1))^'Specialisation Scenarios'!$X$10,100*((COUNTIF('All Stats'!$AB$6:$AB$172,"&lt;"&amp;'All Stats'!AB160)+(COUNTIF('All Stats'!$AB$6:$AB$172,'All Stats'!AB160)-1)/2)/(COUNT('All Stats'!$AB$6:$AB$172)-1))^'Specialisation Scenarios'!$X$10,100*((COUNTIF('All Stats'!$AD$6:$AD$172,"&lt;"&amp;'All Stats'!AD160)+(COUNTIF('All Stats'!$AD$6:$AD$172,'All Stats'!AD160)-1)/2)/(COUNT('All Stats'!$AD$6:$AD$172)-1))^'Specialisation Scenarios'!$X$10))</x:f>
        <x:v>5.425779043824494</x:v>
      </x:c>
      <x:c r="F160" s="576" t="n">
        <x:f>IF($A160="","",AVERAGE(100*((COUNTIF('All Stats'!$AF$6:$AF$172,"&lt;"&amp;'All Stats'!AF160)+(COUNTIF('All Stats'!$AF$6:$AF$172,'All Stats'!AF160)-1)/2)/(COUNT('All Stats'!$AF$6:$AF$172)-1))^'Specialisation Scenarios'!$X$10,100*((COUNTIF('All Stats'!$AI$6:$AI$172,"&lt;"&amp;'All Stats'!AI160)+(COUNTIF('All Stats'!$AI$6:$AI$172,'All Stats'!AI160)-1)/2)/(COUNT('All Stats'!$AI$6:$AI$172)-1))^'Specialisation Scenarios'!$X$10,100*((COUNTIF('All Stats'!$AK$6:$AK$172,"&lt;"&amp;'All Stats'!AK160)+(COUNTIF('All Stats'!$AK$6:$AK$172,'All Stats'!AK160)-1)/2)/(COUNT('All Stats'!$AK$6:$AK$172)-1))^'Specialisation Scenarios'!$X$10))</x:f>
        <x:v>17.213597495848738</x:v>
      </x:c>
      <x:c r="G160" s="576" t="n">
        <x:f>IF($A160="","",C160*'Specialisation Scenarios'!$X$11+D160*'Specialisation Scenarios'!$X$12+E160*'Specialisation Scenarios'!$X$13+F160*'Specialisation Scenarios'!$X$14)</x:f>
        <x:v>20.490919803795975</x:v>
      </x:c>
      <x:c r="H160" s="576" t="n">
        <x:f>IF(SUMIFS('Specialisation Impact'!$E$19:$E$186,'Specialisation Impact'!$A$19:$A$186,A160,'Specialisation Impact'!$B$19:$B$186,B160)=0,"",SUMIFS('Specialisation Impact'!$S$19:$S$186,'Specialisation Impact'!$A$19:$A$186,A160,'Specialisation Impact'!$B$19:$B$186,B160))</x:f>
        <x:v>7.2727272727272725</x:v>
      </x:c>
      <x:c r="I160" s="580" t="n">
        <x:f>IF(SUMIFS('Specialisation Impact'!$E$19:$E$186,'Specialisation Impact'!$A$19:$A$186,A160,'Specialisation Impact'!$B$19:$B$186,B160)=0,0,SUMIFS('Specialisation Impact'!$F$19:$F$186,'Specialisation Impact'!$A$19:$A$186,A160,'Specialisation Impact'!$B$19:$B$186,B160))</x:f>
        <x:v>1</x:v>
      </x:c>
      <x:c r="J160" s="576" t="n">
        <x:f>G160</x:f>
        <x:v>20.490919803795975</x:v>
      </x:c>
      <x:c r="K160" s="576" t="n">
        <x:f>IF(G160="","",IF(I160=0,G160,MAX(0,MIN(100,G160*(1-'Specialisation Scenarios'!$B$8*I160)+H160*('Specialisation Scenarios'!$B$8*I160)))))</x:f>
        <x:v>17.186371671028798</x:v>
      </x:c>
      <x:c r="L160" s="576" t="n">
        <x:f>IF(G160="","",IF(I160=0,G160,MAX(0,MIN(100,G160*(1-'Specialisation Scenarios'!$B$9*I160)+H160*('Specialisation Scenarios'!$B$9*I160)))))</x:f>
        <x:v>15.86455241792193</x:v>
      </x:c>
      <x:c r="M160" s="576" t="str">
        <x:f>IF(COUNTIFS('Tank &amp; Control'!$A$23:$A$189,A160,'Tank &amp; Control'!$B$23:$B$189,B160,'Tank &amp; Control'!$C$23:$C$189,"Yes")&gt;0,"Yes","No")</x:f>
        <x:v>No</x:v>
      </x:c>
      <x:c r="N160" s="576" t="str">
        <x:f>IF(M160&lt;&gt;"Yes","",SUMIFS('Tank &amp; Control'!$L$23:$L$189,'Tank &amp; Control'!$A$23:$A$189,A160,'Tank &amp; Control'!$B$23:$B$189,B160))</x:f>
      </x:c>
      <x:c r="O160" s="576" t="n">
        <x:f>IF(SUMIFS('Specialisation Impact'!$M$19:$M$186,'Specialisation Impact'!$A$19:$A$186,A160,'Specialisation Impact'!$B$19:$B$186,B160)=0,"",SUMIFS('Specialisation Impact'!$V$19:$V$186,'Specialisation Impact'!$A$19:$A$186,A160,'Specialisation Impact'!$B$19:$B$186,B160))</x:f>
        <x:v>84.18803418803418</x:v>
      </x:c>
      <x:c r="P160" s="576" t="str">
        <x:f>IF(N160="","",N160)</x:f>
      </x:c>
      <x:c r="Q160" s="576" t="str">
        <x:f>IF(N160="","",IF(AC160=0,N160,MAX(0,MIN(100,N160*(1-'Specialisation Scenarios'!$B$8*AC160)+O160*('Specialisation Scenarios'!$B$8*AC160)))))</x:f>
      </x:c>
      <x:c r="R160" s="576" t="str">
        <x:f>IF(N160="","",IF(AC160=0,N160,MAX(0,MIN(100,N160*(1-'Specialisation Scenarios'!$B$9*AC160)+O160*('Specialisation Scenarios'!$B$9*AC160)))))</x:f>
      </x:c>
      <x:c r="S160" s="584" t="n">
        <x:f>IF(J160="","",COUNTIFS($A$6:$A$172,A160,$J$6:$J$172,"&gt;"&amp;J160)+COUNTIFS($A$6:A160,A160,$J$6:J160,J160))</x:f>
        <x:v>19</x:v>
      </x:c>
      <x:c r="T160" s="584" t="n">
        <x:f>IF(K160="","",COUNTIFS($A$6:$A$172,A160,$K$6:$K$172,"&gt;"&amp;K160)+COUNTIFS($A$6:A160,A160,$K$6:K160,K160))</x:f>
        <x:v>20</x:v>
      </x:c>
      <x:c r="U160" s="584" t="n">
        <x:f>IF(L160="","",COUNTIFS($A$6:$A$172,A160,$L$6:$L$172,"&gt;"&amp;L160)+COUNTIFS($A$6:A160,A160,$L$6:L160,L160))</x:f>
        <x:v>21</x:v>
      </x:c>
      <x:c r="V160" s="584" t="str">
        <x:f>IF(P160="","",COUNTIFS($A$6:$A$172,A160,$P$6:$P$172,"&gt;"&amp;P160)+COUNTIFS($A$6:A160,A160,$P$6:P160,P160))</x:f>
      </x:c>
      <x:c r="W160" s="584" t="str">
        <x:f>IF(Q160="","",COUNTIFS($A$6:$A$172,A160,$Q$6:$Q$172,"&gt;"&amp;Q160)+COUNTIFS($A$6:A160,A160,$Q$6:Q160,Q160))</x:f>
      </x:c>
      <x:c r="X160" s="584" t="str">
        <x:f>IF(R160="","",COUNTIFS($A$6:$A$172,A160,$R$6:$R$172,"&gt;"&amp;R160)+COUNTIFS($A$6:A160,A160,$R$6:R160,R160))</x:f>
      </x:c>
      <x:c r="Y160" s="572" t="str">
        <x:f>IF(V160="","",A160&amp;"|"&amp;V160)</x:f>
      </x:c>
      <x:c r="Z160" s="572" t="str">
        <x:f>IF(W160="","",A160&amp;"|"&amp;W160)</x:f>
      </x:c>
      <x:c r="AA160" s="572" t="str">
        <x:f>IF(X160="","",A160&amp;"|"&amp;X160)</x:f>
      </x:c>
      <x:c r="AB160" s="572" t="str">
        <x:f>IF(A160="","",IF(I160=0,"Offense neutral — no recorded offensive skills",IF(I160&lt;1,"Partial lookup — adjustment scaled",IF(AND(M160="Yes",AC160=0),"Offense adjusted; Guard neutral","Captured"))))</x:f>
        <x:v>Captured</x:v>
      </x:c>
      <x:c r="AC160" s="580" t="n">
        <x:f>IF(SUMIFS('Specialisation Impact'!$M$19:$M$186,'Specialisation Impact'!$A$19:$A$186,A160,'Specialisation Impact'!$B$19:$B$186,B160)=0,0,SUMIFS('Specialisation Impact'!$F$19:$F$186,'Specialisation Impact'!$A$19:$A$186,A160,'Specialisation Impact'!$B$19:$B$186,B160))</x:f>
        <x:v>1</x:v>
      </x:c>
    </x:row>
    <x:row r="161">
      <x:c r="A161" s="571" t="str">
        <x:v>K176</x:v>
      </x:c>
      <x:c r="B161" s="571" t="str">
        <x:v>老黑黑</x:v>
      </x:c>
      <x:c r="C161" s="575" t="n">
        <x:f>IF($A161="","",AVERAGE(100*((COUNTIF('All Stats'!$D$6:$D$172,"&lt;"&amp;'All Stats'!D161)+(COUNTIF('All Stats'!$D$6:$D$172,'All Stats'!D161)-1)/2)/(COUNT('All Stats'!$D$6:$D$172)-1))^'Specialisation Scenarios'!$X$10,100*((COUNTIF('All Stats'!$G$6:$G$172,"&lt;"&amp;'All Stats'!G161)+(COUNTIF('All Stats'!$G$6:$G$172,'All Stats'!G161)-1)/2)/(COUNT('All Stats'!$G$6:$G$172)-1))^'Specialisation Scenarios'!$X$10,100*((COUNTIF('All Stats'!$I$6:$I$172,"&lt;"&amp;'All Stats'!I161)+(COUNTIF('All Stats'!$I$6:$I$172,'All Stats'!I161)-1)/2)/(COUNT('All Stats'!$I$6:$I$172)-1))^'Specialisation Scenarios'!$X$10))</x:f>
        <x:v>21.175159431312714</x:v>
      </x:c>
      <x:c r="D161" s="575" t="n">
        <x:f>IF($A161="","",AVERAGE(100*((COUNTIF('All Stats'!$R$6:$R$172,"&lt;"&amp;'All Stats'!R161)+(COUNTIF('All Stats'!$R$6:$R$172,'All Stats'!R161)-1)/2)/(COUNT('All Stats'!$R$6:$R$172)-1))^'Specialisation Scenarios'!$X$10,100*((COUNTIF('All Stats'!$U$6:$U$172,"&lt;"&amp;'All Stats'!U161)+(COUNTIF('All Stats'!$U$6:$U$172,'All Stats'!U161)-1)/2)/(COUNT('All Stats'!$U$6:$U$172)-1))^'Specialisation Scenarios'!$X$10,100*((COUNTIF('All Stats'!$W$6:$W$172,"&lt;"&amp;'All Stats'!W161)+(COUNTIF('All Stats'!$W$6:$W$172,'All Stats'!W161)-1)/2)/(COUNT('All Stats'!$W$6:$W$172)-1))^'Specialisation Scenarios'!$X$10))</x:f>
        <x:v>22.343005652924745</x:v>
      </x:c>
      <x:c r="E161" s="575" t="n">
        <x:f>IF($A161="","",AVERAGE(100*((COUNTIF('All Stats'!$Y$6:$Y$172,"&lt;"&amp;'All Stats'!Y161)+(COUNTIF('All Stats'!$Y$6:$Y$172,'All Stats'!Y161)-1)/2)/(COUNT('All Stats'!$Y$6:$Y$172)-1))^'Specialisation Scenarios'!$X$10,100*((COUNTIF('All Stats'!$AB$6:$AB$172,"&lt;"&amp;'All Stats'!AB161)+(COUNTIF('All Stats'!$AB$6:$AB$172,'All Stats'!AB161)-1)/2)/(COUNT('All Stats'!$AB$6:$AB$172)-1))^'Specialisation Scenarios'!$X$10,100*((COUNTIF('All Stats'!$AD$6:$AD$172,"&lt;"&amp;'All Stats'!AD161)+(COUNTIF('All Stats'!$AD$6:$AD$172,'All Stats'!AD161)-1)/2)/(COUNT('All Stats'!$AD$6:$AD$172)-1))^'Specialisation Scenarios'!$X$10))</x:f>
        <x:v>22.796595735887664</x:v>
      </x:c>
      <x:c r="F161" s="575" t="n">
        <x:f>IF($A161="","",AVERAGE(100*((COUNTIF('All Stats'!$AF$6:$AF$172,"&lt;"&amp;'All Stats'!AF161)+(COUNTIF('All Stats'!$AF$6:$AF$172,'All Stats'!AF161)-1)/2)/(COUNT('All Stats'!$AF$6:$AF$172)-1))^'Specialisation Scenarios'!$X$10,100*((COUNTIF('All Stats'!$AI$6:$AI$172,"&lt;"&amp;'All Stats'!AI161)+(COUNTIF('All Stats'!$AI$6:$AI$172,'All Stats'!AI161)-1)/2)/(COUNT('All Stats'!$AI$6:$AI$172)-1))^'Specialisation Scenarios'!$X$10,100*((COUNTIF('All Stats'!$AK$6:$AK$172,"&lt;"&amp;'All Stats'!AK161)+(COUNTIF('All Stats'!$AK$6:$AK$172,'All Stats'!AK161)-1)/2)/(COUNT('All Stats'!$AK$6:$AK$172)-1))^'Specialisation Scenarios'!$X$10))</x:f>
        <x:v>25.89475409088927</x:v>
      </x:c>
      <x:c r="G161" s="575" t="n">
        <x:f>IF($A161="","",C161*'Specialisation Scenarios'!$X$11+D161*'Specialisation Scenarios'!$X$12+E161*'Specialisation Scenarios'!$X$13+F161*'Specialisation Scenarios'!$X$14)</x:f>
        <x:v>22.74594999367391</x:v>
      </x:c>
      <x:c r="H161" s="575" t="n">
        <x:f>IF(SUMIFS('Specialisation Impact'!$E$19:$E$186,'Specialisation Impact'!$A$19:$A$186,A161,'Specialisation Impact'!$B$19:$B$186,B161)=0,"",SUMIFS('Specialisation Impact'!$S$19:$S$186,'Specialisation Impact'!$A$19:$A$186,A161,'Specialisation Impact'!$B$19:$B$186,B161))</x:f>
        <x:v>75.1948051948052</x:v>
      </x:c>
      <x:c r="I161" s="579" t="n">
        <x:f>IF(SUMIFS('Specialisation Impact'!$E$19:$E$186,'Specialisation Impact'!$A$19:$A$186,A161,'Specialisation Impact'!$B$19:$B$186,B161)=0,0,SUMIFS('Specialisation Impact'!$F$19:$F$186,'Specialisation Impact'!$A$19:$A$186,A161,'Specialisation Impact'!$B$19:$B$186,B161))</x:f>
        <x:v>1</x:v>
      </x:c>
      <x:c r="J161" s="575" t="n">
        <x:f>G161</x:f>
        <x:v>22.74594999367391</x:v>
      </x:c>
      <x:c r="K161" s="575" t="n">
        <x:f>IF(G161="","",IF(I161=0,G161,MAX(0,MIN(100,G161*(1-'Specialisation Scenarios'!$B$8*I161)+H161*('Specialisation Scenarios'!$B$8*I161)))))</x:f>
        <x:v>35.858163793956734</x:v>
      </x:c>
      <x:c r="L161" s="575" t="n">
        <x:f>IF(G161="","",IF(I161=0,G161,MAX(0,MIN(100,G161*(1-'Specialisation Scenarios'!$B$9*I161)+H161*('Specialisation Scenarios'!$B$9*I161)))))</x:f>
        <x:v>41.10304931406986</x:v>
      </x:c>
      <x:c r="M161" s="575" t="str">
        <x:f>IF(COUNTIFS('Tank &amp; Control'!$A$23:$A$189,A161,'Tank &amp; Control'!$B$23:$B$189,B161,'Tank &amp; Control'!$C$23:$C$189,"Yes")&gt;0,"Yes","No")</x:f>
        <x:v>No</x:v>
      </x:c>
      <x:c r="N161" s="575" t="str">
        <x:f>IF(M161&lt;&gt;"Yes","",SUMIFS('Tank &amp; Control'!$L$23:$L$189,'Tank &amp; Control'!$A$23:$A$189,A161,'Tank &amp; Control'!$B$23:$B$189,B161))</x:f>
      </x:c>
      <x:c r="O161" s="575" t="n">
        <x:f>IF(SUMIFS('Specialisation Impact'!$M$19:$M$186,'Specialisation Impact'!$A$19:$A$186,A161,'Specialisation Impact'!$B$19:$B$186,B161)=0,"",SUMIFS('Specialisation Impact'!$V$19:$V$186,'Specialisation Impact'!$A$19:$A$186,A161,'Specialisation Impact'!$B$19:$B$186,B161))</x:f>
        <x:v>60.25641025641025</x:v>
      </x:c>
      <x:c r="P161" s="575" t="str">
        <x:f>IF(N161="","",N161)</x:f>
      </x:c>
      <x:c r="Q161" s="575" t="str">
        <x:f>IF(N161="","",IF(AC161=0,N161,MAX(0,MIN(100,N161*(1-'Specialisation Scenarios'!$B$8*AC161)+O161*('Specialisation Scenarios'!$B$8*AC161)))))</x:f>
      </x:c>
      <x:c r="R161" s="575" t="str">
        <x:f>IF(N161="","",IF(AC161=0,N161,MAX(0,MIN(100,N161*(1-'Specialisation Scenarios'!$B$9*AC161)+O161*('Specialisation Scenarios'!$B$9*AC161)))))</x:f>
      </x:c>
      <x:c r="S161" s="583" t="n">
        <x:f>IF(J161="","",COUNTIFS($A$6:$A$172,A161,$J$6:$J$172,"&gt;"&amp;J161)+COUNTIFS($A$6:A161,A161,$J$6:J161,J161))</x:f>
        <x:v>18</x:v>
      </x:c>
      <x:c r="T161" s="583" t="n">
        <x:f>IF(K161="","",COUNTIFS($A$6:$A$172,A161,$K$6:$K$172,"&gt;"&amp;K161)+COUNTIFS($A$6:A161,A161,$K$6:K161,K161))</x:f>
        <x:v>17</x:v>
      </x:c>
      <x:c r="U161" s="583" t="n">
        <x:f>IF(L161="","",COUNTIFS($A$6:$A$172,A161,$L$6:$L$172,"&gt;"&amp;L161)+COUNTIFS($A$6:A161,A161,$L$6:L161,L161))</x:f>
        <x:v>15</x:v>
      </x:c>
      <x:c r="V161" s="583" t="str">
        <x:f>IF(P161="","",COUNTIFS($A$6:$A$172,A161,$P$6:$P$172,"&gt;"&amp;P161)+COUNTIFS($A$6:A161,A161,$P$6:P161,P161))</x:f>
      </x:c>
      <x:c r="W161" s="583" t="str">
        <x:f>IF(Q161="","",COUNTIFS($A$6:$A$172,A161,$Q$6:$Q$172,"&gt;"&amp;Q161)+COUNTIFS($A$6:A161,A161,$Q$6:Q161,Q161))</x:f>
      </x:c>
      <x:c r="X161" s="583" t="str">
        <x:f>IF(R161="","",COUNTIFS($A$6:$A$172,A161,$R$6:$R$172,"&gt;"&amp;R161)+COUNTIFS($A$6:A161,A161,$R$6:R161,R161))</x:f>
      </x:c>
      <x:c r="Y161" s="571" t="str">
        <x:f>IF(V161="","",A161&amp;"|"&amp;V161)</x:f>
      </x:c>
      <x:c r="Z161" s="571" t="str">
        <x:f>IF(W161="","",A161&amp;"|"&amp;W161)</x:f>
      </x:c>
      <x:c r="AA161" s="571" t="str">
        <x:f>IF(X161="","",A161&amp;"|"&amp;X161)</x:f>
      </x:c>
      <x:c r="AB161" s="571" t="str">
        <x:f>IF(A161="","",IF(I161=0,"Offense neutral — no recorded offensive skills",IF(I161&lt;1,"Partial lookup — adjustment scaled",IF(AND(M161="Yes",AC161=0),"Offense adjusted; Guard neutral","Captured"))))</x:f>
        <x:v>Captured</x:v>
      </x:c>
      <x:c r="AC161" s="579" t="n">
        <x:f>IF(SUMIFS('Specialisation Impact'!$M$19:$M$186,'Specialisation Impact'!$A$19:$A$186,A161,'Specialisation Impact'!$B$19:$B$186,B161)=0,0,SUMIFS('Specialisation Impact'!$F$19:$F$186,'Specialisation Impact'!$A$19:$A$186,A161,'Specialisation Impact'!$B$19:$B$186,B161))</x:f>
        <x:v>1</x:v>
      </x:c>
    </x:row>
    <x:row r="162">
      <x:c r="A162" s="572" t="str">
        <x:v>K176</x:v>
      </x:c>
      <x:c r="B162" s="572" t="str">
        <x:v>温不胜</x:v>
      </x:c>
      <x:c r="C162" s="576" t="n">
        <x:f>IF($A162="","",AVERAGE(100*((COUNTIF('All Stats'!$D$6:$D$172,"&lt;"&amp;'All Stats'!D162)+(COUNTIF('All Stats'!$D$6:$D$172,'All Stats'!D162)-1)/2)/(COUNT('All Stats'!$D$6:$D$172)-1))^'Specialisation Scenarios'!$X$10,100*((COUNTIF('All Stats'!$G$6:$G$172,"&lt;"&amp;'All Stats'!G162)+(COUNTIF('All Stats'!$G$6:$G$172,'All Stats'!G162)-1)/2)/(COUNT('All Stats'!$G$6:$G$172)-1))^'Specialisation Scenarios'!$X$10,100*((COUNTIF('All Stats'!$I$6:$I$172,"&lt;"&amp;'All Stats'!I162)+(COUNTIF('All Stats'!$I$6:$I$172,'All Stats'!I162)-1)/2)/(COUNT('All Stats'!$I$6:$I$172)-1))^'Specialisation Scenarios'!$X$10))</x:f>
        <x:v>15.313752120942333</x:v>
      </x:c>
      <x:c r="D162" s="576" t="n">
        <x:f>IF($A162="","",AVERAGE(100*((COUNTIF('All Stats'!$R$6:$R$172,"&lt;"&amp;'All Stats'!R162)+(COUNTIF('All Stats'!$R$6:$R$172,'All Stats'!R162)-1)/2)/(COUNT('All Stats'!$R$6:$R$172)-1))^'Specialisation Scenarios'!$X$10,100*((COUNTIF('All Stats'!$U$6:$U$172,"&lt;"&amp;'All Stats'!U162)+(COUNTIF('All Stats'!$U$6:$U$172,'All Stats'!U162)-1)/2)/(COUNT('All Stats'!$U$6:$U$172)-1))^'Specialisation Scenarios'!$X$10,100*((COUNTIF('All Stats'!$W$6:$W$172,"&lt;"&amp;'All Stats'!W162)+(COUNTIF('All Stats'!$W$6:$W$172,'All Stats'!W162)-1)/2)/(COUNT('All Stats'!$W$6:$W$172)-1))^'Specialisation Scenarios'!$X$10))</x:f>
        <x:v>37.678633350692955</x:v>
      </x:c>
      <x:c r="E162" s="576" t="n">
        <x:f>IF($A162="","",AVERAGE(100*((COUNTIF('All Stats'!$Y$6:$Y$172,"&lt;"&amp;'All Stats'!Y162)+(COUNTIF('All Stats'!$Y$6:$Y$172,'All Stats'!Y162)-1)/2)/(COUNT('All Stats'!$Y$6:$Y$172)-1))^'Specialisation Scenarios'!$X$10,100*((COUNTIF('All Stats'!$AB$6:$AB$172,"&lt;"&amp;'All Stats'!AB162)+(COUNTIF('All Stats'!$AB$6:$AB$172,'All Stats'!AB162)-1)/2)/(COUNT('All Stats'!$AB$6:$AB$172)-1))^'Specialisation Scenarios'!$X$10,100*((COUNTIF('All Stats'!$AD$6:$AD$172,"&lt;"&amp;'All Stats'!AD162)+(COUNTIF('All Stats'!$AD$6:$AD$172,'All Stats'!AD162)-1)/2)/(COUNT('All Stats'!$AD$6:$AD$172)-1))^'Specialisation Scenarios'!$X$10))</x:f>
        <x:v>22.684216071576042</x:v>
      </x:c>
      <x:c r="F162" s="576" t="n">
        <x:f>IF($A162="","",AVERAGE(100*((COUNTIF('All Stats'!$AF$6:$AF$172,"&lt;"&amp;'All Stats'!AF162)+(COUNTIF('All Stats'!$AF$6:$AF$172,'All Stats'!AF162)-1)/2)/(COUNT('All Stats'!$AF$6:$AF$172)-1))^'Specialisation Scenarios'!$X$10,100*((COUNTIF('All Stats'!$AI$6:$AI$172,"&lt;"&amp;'All Stats'!AI162)+(COUNTIF('All Stats'!$AI$6:$AI$172,'All Stats'!AI162)-1)/2)/(COUNT('All Stats'!$AI$6:$AI$172)-1))^'Specialisation Scenarios'!$X$10,100*((COUNTIF('All Stats'!$AK$6:$AK$172,"&lt;"&amp;'All Stats'!AK162)+(COUNTIF('All Stats'!$AK$6:$AK$172,'All Stats'!AK162)-1)/2)/(COUNT('All Stats'!$AK$6:$AK$172)-1))^'Specialisation Scenarios'!$X$10))</x:f>
        <x:v>34.73930872775835</x:v>
      </x:c>
      <x:c r="G162" s="576" t="n">
        <x:f>IF($A162="","",C162*'Specialisation Scenarios'!$X$11+D162*'Specialisation Scenarios'!$X$12+E162*'Specialisation Scenarios'!$X$13+F162*'Specialisation Scenarios'!$X$14)</x:f>
        <x:v>32.38356074487847</x:v>
      </x:c>
      <x:c r="H162" s="576" t="n">
        <x:f>IF(SUMIFS('Specialisation Impact'!$E$19:$E$186,'Specialisation Impact'!$A$19:$A$186,A162,'Specialisation Impact'!$B$19:$B$186,B162)=0,"",SUMIFS('Specialisation Impact'!$S$19:$S$186,'Specialisation Impact'!$A$19:$A$186,A162,'Specialisation Impact'!$B$19:$B$186,B162))</x:f>
        <x:v>17.402597402597404</x:v>
      </x:c>
      <x:c r="I162" s="580" t="n">
        <x:f>IF(SUMIFS('Specialisation Impact'!$E$19:$E$186,'Specialisation Impact'!$A$19:$A$186,A162,'Specialisation Impact'!$B$19:$B$186,B162)=0,0,SUMIFS('Specialisation Impact'!$F$19:$F$186,'Specialisation Impact'!$A$19:$A$186,A162,'Specialisation Impact'!$B$19:$B$186,B162))</x:f>
        <x:v>1</x:v>
      </x:c>
      <x:c r="J162" s="576" t="n">
        <x:f>G162</x:f>
        <x:v>32.38356074487847</x:v>
      </x:c>
      <x:c r="K162" s="576" t="n">
        <x:f>IF(G162="","",IF(I162=0,G162,MAX(0,MIN(100,G162*(1-'Specialisation Scenarios'!$B$8*I162)+H162*('Specialisation Scenarios'!$B$8*I162)))))</x:f>
        <x:v>28.638319909308205</x:v>
      </x:c>
      <x:c r="L162" s="576" t="n">
        <x:f>IF(G162="","",IF(I162=0,G162,MAX(0,MIN(100,G162*(1-'Specialisation Scenarios'!$B$9*I162)+H162*('Specialisation Scenarios'!$B$9*I162)))))</x:f>
        <x:v>27.1402235750801</x:v>
      </x:c>
      <x:c r="M162" s="576" t="str">
        <x:f>IF(COUNTIFS('Tank &amp; Control'!$A$23:$A$189,A162,'Tank &amp; Control'!$B$23:$B$189,B162,'Tank &amp; Control'!$C$23:$C$189,"Yes")&gt;0,"Yes","No")</x:f>
        <x:v>No</x:v>
      </x:c>
      <x:c r="N162" s="576" t="str">
        <x:f>IF(M162&lt;&gt;"Yes","",SUMIFS('Tank &amp; Control'!$L$23:$L$189,'Tank &amp; Control'!$A$23:$A$189,A162,'Tank &amp; Control'!$B$23:$B$189,B162))</x:f>
      </x:c>
      <x:c r="O162" s="576" t="n">
        <x:f>IF(SUMIFS('Specialisation Impact'!$M$19:$M$186,'Specialisation Impact'!$A$19:$A$186,A162,'Specialisation Impact'!$B$19:$B$186,B162)=0,"",SUMIFS('Specialisation Impact'!$V$19:$V$186,'Specialisation Impact'!$A$19:$A$186,A162,'Specialisation Impact'!$B$19:$B$186,B162))</x:f>
        <x:v>60.25641025641025</x:v>
      </x:c>
      <x:c r="P162" s="576" t="str">
        <x:f>IF(N162="","",N162)</x:f>
      </x:c>
      <x:c r="Q162" s="576" t="str">
        <x:f>IF(N162="","",IF(AC162=0,N162,MAX(0,MIN(100,N162*(1-'Specialisation Scenarios'!$B$8*AC162)+O162*('Specialisation Scenarios'!$B$8*AC162)))))</x:f>
      </x:c>
      <x:c r="R162" s="576" t="str">
        <x:f>IF(N162="","",IF(AC162=0,N162,MAX(0,MIN(100,N162*(1-'Specialisation Scenarios'!$B$9*AC162)+O162*('Specialisation Scenarios'!$B$9*AC162)))))</x:f>
      </x:c>
      <x:c r="S162" s="584" t="n">
        <x:f>IF(J162="","",COUNTIFS($A$6:$A$172,A162,$J$6:$J$172,"&gt;"&amp;J162)+COUNTIFS($A$6:A162,A162,$J$6:J162,J162))</x:f>
        <x:v>16</x:v>
      </x:c>
      <x:c r="T162" s="584" t="n">
        <x:f>IF(K162="","",COUNTIFS($A$6:$A$172,A162,$K$6:$K$172,"&gt;"&amp;K162)+COUNTIFS($A$6:A162,A162,$K$6:K162,K162))</x:f>
        <x:v>18</x:v>
      </x:c>
      <x:c r="U162" s="584" t="n">
        <x:f>IF(L162="","",COUNTIFS($A$6:$A$172,A162,$L$6:$L$172,"&gt;"&amp;L162)+COUNTIFS($A$6:A162,A162,$L$6:L162,L162))</x:f>
        <x:v>19</x:v>
      </x:c>
      <x:c r="V162" s="584" t="str">
        <x:f>IF(P162="","",COUNTIFS($A$6:$A$172,A162,$P$6:$P$172,"&gt;"&amp;P162)+COUNTIFS($A$6:A162,A162,$P$6:P162,P162))</x:f>
      </x:c>
      <x:c r="W162" s="584" t="str">
        <x:f>IF(Q162="","",COUNTIFS($A$6:$A$172,A162,$Q$6:$Q$172,"&gt;"&amp;Q162)+COUNTIFS($A$6:A162,A162,$Q$6:Q162,Q162))</x:f>
      </x:c>
      <x:c r="X162" s="584" t="str">
        <x:f>IF(R162="","",COUNTIFS($A$6:$A$172,A162,$R$6:$R$172,"&gt;"&amp;R162)+COUNTIFS($A$6:A162,A162,$R$6:R162,R162))</x:f>
      </x:c>
      <x:c r="Y162" s="572" t="str">
        <x:f>IF(V162="","",A162&amp;"|"&amp;V162)</x:f>
      </x:c>
      <x:c r="Z162" s="572" t="str">
        <x:f>IF(W162="","",A162&amp;"|"&amp;W162)</x:f>
      </x:c>
      <x:c r="AA162" s="572" t="str">
        <x:f>IF(X162="","",A162&amp;"|"&amp;X162)</x:f>
      </x:c>
      <x:c r="AB162" s="572" t="str">
        <x:f>IF(A162="","",IF(I162=0,"Offense neutral — no recorded offensive skills",IF(I162&lt;1,"Partial lookup — adjustment scaled",IF(AND(M162="Yes",AC162=0),"Offense adjusted; Guard neutral","Captured"))))</x:f>
        <x:v>Captured</x:v>
      </x:c>
      <x:c r="AC162" s="580" t="n">
        <x:f>IF(SUMIFS('Specialisation Impact'!$M$19:$M$186,'Specialisation Impact'!$A$19:$A$186,A162,'Specialisation Impact'!$B$19:$B$186,B162)=0,0,SUMIFS('Specialisation Impact'!$F$19:$F$186,'Specialisation Impact'!$A$19:$A$186,A162,'Specialisation Impact'!$B$19:$B$186,B162))</x:f>
        <x:v>1</x:v>
      </x:c>
    </x:row>
    <x:row r="163">
      <x:c r="A163" s="571" t="str">
        <x:v>K176</x:v>
      </x:c>
      <x:c r="B163" s="571" t="str">
        <x:v>我是贤熙</x:v>
      </x:c>
      <x:c r="C163" s="575" t="n">
        <x:f>IF($A163="","",AVERAGE(100*((COUNTIF('All Stats'!$D$6:$D$172,"&lt;"&amp;'All Stats'!D163)+(COUNTIF('All Stats'!$D$6:$D$172,'All Stats'!D163)-1)/2)/(COUNT('All Stats'!$D$6:$D$172)-1))^'Specialisation Scenarios'!$X$10,100*((COUNTIF('All Stats'!$G$6:$G$172,"&lt;"&amp;'All Stats'!G163)+(COUNTIF('All Stats'!$G$6:$G$172,'All Stats'!G163)-1)/2)/(COUNT('All Stats'!$G$6:$G$172)-1))^'Specialisation Scenarios'!$X$10,100*((COUNTIF('All Stats'!$I$6:$I$172,"&lt;"&amp;'All Stats'!I163)+(COUNTIF('All Stats'!$I$6:$I$172,'All Stats'!I163)-1)/2)/(COUNT('All Stats'!$I$6:$I$172)-1))^'Specialisation Scenarios'!$X$10))</x:f>
        <x:v>2.0068617637218193</x:v>
      </x:c>
      <x:c r="D163" s="575" t="n">
        <x:f>IF($A163="","",AVERAGE(100*((COUNTIF('All Stats'!$R$6:$R$172,"&lt;"&amp;'All Stats'!R163)+(COUNTIF('All Stats'!$R$6:$R$172,'All Stats'!R163)-1)/2)/(COUNT('All Stats'!$R$6:$R$172)-1))^'Specialisation Scenarios'!$X$10,100*((COUNTIF('All Stats'!$U$6:$U$172,"&lt;"&amp;'All Stats'!U163)+(COUNTIF('All Stats'!$U$6:$U$172,'All Stats'!U163)-1)/2)/(COUNT('All Stats'!$U$6:$U$172)-1))^'Specialisation Scenarios'!$X$10,100*((COUNTIF('All Stats'!$W$6:$W$172,"&lt;"&amp;'All Stats'!W163)+(COUNTIF('All Stats'!$W$6:$W$172,'All Stats'!W163)-1)/2)/(COUNT('All Stats'!$W$6:$W$172)-1))^'Specialisation Scenarios'!$X$10))</x:f>
        <x:v>11.316258187387396</x:v>
      </x:c>
      <x:c r="E163" s="575" t="n">
        <x:f>IF($A163="","",AVERAGE(100*((COUNTIF('All Stats'!$Y$6:$Y$172,"&lt;"&amp;'All Stats'!Y163)+(COUNTIF('All Stats'!$Y$6:$Y$172,'All Stats'!Y163)-1)/2)/(COUNT('All Stats'!$Y$6:$Y$172)-1))^'Specialisation Scenarios'!$X$10,100*((COUNTIF('All Stats'!$AB$6:$AB$172,"&lt;"&amp;'All Stats'!AB163)+(COUNTIF('All Stats'!$AB$6:$AB$172,'All Stats'!AB163)-1)/2)/(COUNT('All Stats'!$AB$6:$AB$172)-1))^'Specialisation Scenarios'!$X$10,100*((COUNTIF('All Stats'!$AD$6:$AD$172,"&lt;"&amp;'All Stats'!AD163)+(COUNTIF('All Stats'!$AD$6:$AD$172,'All Stats'!AD163)-1)/2)/(COUNT('All Stats'!$AD$6:$AD$172)-1))^'Specialisation Scenarios'!$X$10))</x:f>
        <x:v>0.4590391825335273</x:v>
      </x:c>
      <x:c r="F163" s="575" t="n">
        <x:f>IF($A163="","",AVERAGE(100*((COUNTIF('All Stats'!$AF$6:$AF$172,"&lt;"&amp;'All Stats'!AF163)+(COUNTIF('All Stats'!$AF$6:$AF$172,'All Stats'!AF163)-1)/2)/(COUNT('All Stats'!$AF$6:$AF$172)-1))^'Specialisation Scenarios'!$X$10,100*((COUNTIF('All Stats'!$AI$6:$AI$172,"&lt;"&amp;'All Stats'!AI163)+(COUNTIF('All Stats'!$AI$6:$AI$172,'All Stats'!AI163)-1)/2)/(COUNT('All Stats'!$AI$6:$AI$172)-1))^'Specialisation Scenarios'!$X$10,100*((COUNTIF('All Stats'!$AK$6:$AK$172,"&lt;"&amp;'All Stats'!AK163)+(COUNTIF('All Stats'!$AK$6:$AK$172,'All Stats'!AK163)-1)/2)/(COUNT('All Stats'!$AK$6:$AK$172)-1))^'Specialisation Scenarios'!$X$10))</x:f>
        <x:v>14.119160552011666</x:v>
      </x:c>
      <x:c r="G163" s="575" t="n">
        <x:f>IF($A163="","",C163*'Specialisation Scenarios'!$X$11+D163*'Specialisation Scenarios'!$X$12+E163*'Specialisation Scenarios'!$X$13+F163*'Specialisation Scenarios'!$X$14)</x:f>
        <x:v>9.254562178045813</x:v>
      </x:c>
      <x:c r="H163" s="575" t="n">
        <x:f>IF(SUMIFS('Specialisation Impact'!$E$19:$E$186,'Specialisation Impact'!$A$19:$A$186,A163,'Specialisation Impact'!$B$19:$B$186,B163)=0,"",SUMIFS('Specialisation Impact'!$S$19:$S$186,'Specialisation Impact'!$A$19:$A$186,A163,'Specialisation Impact'!$B$19:$B$186,B163))</x:f>
        <x:v>27.20779220779221</x:v>
      </x:c>
      <x:c r="I163" s="579" t="n">
        <x:f>IF(SUMIFS('Specialisation Impact'!$E$19:$E$186,'Specialisation Impact'!$A$19:$A$186,A163,'Specialisation Impact'!$B$19:$B$186,B163)=0,0,SUMIFS('Specialisation Impact'!$F$19:$F$186,'Specialisation Impact'!$A$19:$A$186,A163,'Specialisation Impact'!$B$19:$B$186,B163))</x:f>
        <x:v>1</x:v>
      </x:c>
      <x:c r="J163" s="575" t="n">
        <x:f>G163</x:f>
        <x:v>9.254562178045813</x:v>
      </x:c>
      <x:c r="K163" s="575" t="n">
        <x:f>IF(G163="","",IF(I163=0,G163,MAX(0,MIN(100,G163*(1-'Specialisation Scenarios'!$B$8*I163)+H163*('Specialisation Scenarios'!$B$8*I163)))))</x:f>
        <x:v>13.742869685482411</x:v>
      </x:c>
      <x:c r="L163" s="575" t="n">
        <x:f>IF(G163="","",IF(I163=0,G163,MAX(0,MIN(100,G163*(1-'Specialisation Scenarios'!$B$9*I163)+H163*('Specialisation Scenarios'!$B$9*I163)))))</x:f>
        <x:v>15.538192688457052</x:v>
      </x:c>
      <x:c r="M163" s="575" t="str">
        <x:f>IF(COUNTIFS('Tank &amp; Control'!$A$23:$A$189,A163,'Tank &amp; Control'!$B$23:$B$189,B163,'Tank &amp; Control'!$C$23:$C$189,"Yes")&gt;0,"Yes","No")</x:f>
        <x:v>No</x:v>
      </x:c>
      <x:c r="N163" s="575" t="str">
        <x:f>IF(M163&lt;&gt;"Yes","",SUMIFS('Tank &amp; Control'!$L$23:$L$189,'Tank &amp; Control'!$A$23:$A$189,A163,'Tank &amp; Control'!$B$23:$B$189,B163))</x:f>
      </x:c>
      <x:c r="O163" s="575" t="str">
        <x:f>IF(SUMIFS('Specialisation Impact'!$M$19:$M$186,'Specialisation Impact'!$A$19:$A$186,A163,'Specialisation Impact'!$B$19:$B$186,B163)=0,"",SUMIFS('Specialisation Impact'!$V$19:$V$186,'Specialisation Impact'!$A$19:$A$186,A163,'Specialisation Impact'!$B$19:$B$186,B163))</x:f>
      </x:c>
      <x:c r="P163" s="575" t="str">
        <x:f>IF(N163="","",N163)</x:f>
      </x:c>
      <x:c r="Q163" s="575" t="str">
        <x:f>IF(N163="","",IF(AC163=0,N163,MAX(0,MIN(100,N163*(1-'Specialisation Scenarios'!$B$8*AC163)+O163*('Specialisation Scenarios'!$B$8*AC163)))))</x:f>
      </x:c>
      <x:c r="R163" s="575" t="str">
        <x:f>IF(N163="","",IF(AC163=0,N163,MAX(0,MIN(100,N163*(1-'Specialisation Scenarios'!$B$9*AC163)+O163*('Specialisation Scenarios'!$B$9*AC163)))))</x:f>
      </x:c>
      <x:c r="S163" s="583" t="n">
        <x:f>IF(J163="","",COUNTIFS($A$6:$A$172,A163,$J$6:$J$172,"&gt;"&amp;J163)+COUNTIFS($A$6:A163,A163,$J$6:J163,J163))</x:f>
        <x:v>22</x:v>
      </x:c>
      <x:c r="T163" s="583" t="n">
        <x:f>IF(K163="","",COUNTIFS($A$6:$A$172,A163,$K$6:$K$172,"&gt;"&amp;K163)+COUNTIFS($A$6:A163,A163,$K$6:K163,K163))</x:f>
        <x:v>22</x:v>
      </x:c>
      <x:c r="U163" s="583" t="n">
        <x:f>IF(L163="","",COUNTIFS($A$6:$A$172,A163,$L$6:$L$172,"&gt;"&amp;L163)+COUNTIFS($A$6:A163,A163,$L$6:L163,L163))</x:f>
        <x:v>22</x:v>
      </x:c>
      <x:c r="V163" s="583" t="str">
        <x:f>IF(P163="","",COUNTIFS($A$6:$A$172,A163,$P$6:$P$172,"&gt;"&amp;P163)+COUNTIFS($A$6:A163,A163,$P$6:P163,P163))</x:f>
      </x:c>
      <x:c r="W163" s="583" t="str">
        <x:f>IF(Q163="","",COUNTIFS($A$6:$A$172,A163,$Q$6:$Q$172,"&gt;"&amp;Q163)+COUNTIFS($A$6:A163,A163,$Q$6:Q163,Q163))</x:f>
      </x:c>
      <x:c r="X163" s="583" t="str">
        <x:f>IF(R163="","",COUNTIFS($A$6:$A$172,A163,$R$6:$R$172,"&gt;"&amp;R163)+COUNTIFS($A$6:A163,A163,$R$6:R163,R163))</x:f>
      </x:c>
      <x:c r="Y163" s="571" t="str">
        <x:f>IF(V163="","",A163&amp;"|"&amp;V163)</x:f>
      </x:c>
      <x:c r="Z163" s="571" t="str">
        <x:f>IF(W163="","",A163&amp;"|"&amp;W163)</x:f>
      </x:c>
      <x:c r="AA163" s="571" t="str">
        <x:f>IF(X163="","",A163&amp;"|"&amp;X163)</x:f>
      </x:c>
      <x:c r="AB163" s="571" t="str">
        <x:f>IF(A163="","",IF(I163=0,"Offense neutral — no recorded offensive skills",IF(I163&lt;1,"Partial lookup — adjustment scaled",IF(AND(M163="Yes",AC163=0),"Offense adjusted; Guard neutral","Captured"))))</x:f>
        <x:v>Captured</x:v>
      </x:c>
      <x:c r="AC163" s="579" t="n">
        <x:f>IF(SUMIFS('Specialisation Impact'!$M$19:$M$186,'Specialisation Impact'!$A$19:$A$186,A163,'Specialisation Impact'!$B$19:$B$186,B163)=0,0,SUMIFS('Specialisation Impact'!$F$19:$F$186,'Specialisation Impact'!$A$19:$A$186,A163,'Specialisation Impact'!$B$19:$B$186,B163))</x:f>
        <x:v>0</x:v>
      </x:c>
    </x:row>
    <x:row r="164">
      <x:c r="A164" s="572" t="str">
        <x:v>K176</x:v>
      </x:c>
      <x:c r="B164" s="572" t="str">
        <x:v>金玉其外败絮其中</x:v>
      </x:c>
      <x:c r="C164" s="576" t="n">
        <x:f>IF($A164="","",AVERAGE(100*((COUNTIF('All Stats'!$D$6:$D$172,"&lt;"&amp;'All Stats'!D164)+(COUNTIF('All Stats'!$D$6:$D$172,'All Stats'!D164)-1)/2)/(COUNT('All Stats'!$D$6:$D$172)-1))^'Specialisation Scenarios'!$X$10,100*((COUNTIF('All Stats'!$G$6:$G$172,"&lt;"&amp;'All Stats'!G164)+(COUNTIF('All Stats'!$G$6:$G$172,'All Stats'!G164)-1)/2)/(COUNT('All Stats'!$G$6:$G$172)-1))^'Specialisation Scenarios'!$X$10,100*((COUNTIF('All Stats'!$I$6:$I$172,"&lt;"&amp;'All Stats'!I164)+(COUNTIF('All Stats'!$I$6:$I$172,'All Stats'!I164)-1)/2)/(COUNT('All Stats'!$I$6:$I$172)-1))^'Specialisation Scenarios'!$X$10))</x:f>
        <x:v>36.741478847058985</x:v>
      </x:c>
      <x:c r="D164" s="576" t="n">
        <x:f>IF($A164="","",AVERAGE(100*((COUNTIF('All Stats'!$R$6:$R$172,"&lt;"&amp;'All Stats'!R164)+(COUNTIF('All Stats'!$R$6:$R$172,'All Stats'!R164)-1)/2)/(COUNT('All Stats'!$R$6:$R$172)-1))^'Specialisation Scenarios'!$X$10,100*((COUNTIF('All Stats'!$U$6:$U$172,"&lt;"&amp;'All Stats'!U164)+(COUNTIF('All Stats'!$U$6:$U$172,'All Stats'!U164)-1)/2)/(COUNT('All Stats'!$U$6:$U$172)-1))^'Specialisation Scenarios'!$X$10,100*((COUNTIF('All Stats'!$W$6:$W$172,"&lt;"&amp;'All Stats'!W164)+(COUNTIF('All Stats'!$W$6:$W$172,'All Stats'!W164)-1)/2)/(COUNT('All Stats'!$W$6:$W$172)-1))^'Specialisation Scenarios'!$X$10))</x:f>
        <x:v>70.41278268589737</x:v>
      </x:c>
      <x:c r="E164" s="576" t="n">
        <x:f>IF($A164="","",AVERAGE(100*((COUNTIF('All Stats'!$Y$6:$Y$172,"&lt;"&amp;'All Stats'!Y164)+(COUNTIF('All Stats'!$Y$6:$Y$172,'All Stats'!Y164)-1)/2)/(COUNT('All Stats'!$Y$6:$Y$172)-1))^'Specialisation Scenarios'!$X$10,100*((COUNTIF('All Stats'!$AB$6:$AB$172,"&lt;"&amp;'All Stats'!AB164)+(COUNTIF('All Stats'!$AB$6:$AB$172,'All Stats'!AB164)-1)/2)/(COUNT('All Stats'!$AB$6:$AB$172)-1))^'Specialisation Scenarios'!$X$10,100*((COUNTIF('All Stats'!$AD$6:$AD$172,"&lt;"&amp;'All Stats'!AD164)+(COUNTIF('All Stats'!$AD$6:$AD$172,'All Stats'!AD164)-1)/2)/(COUNT('All Stats'!$AD$6:$AD$172)-1))^'Specialisation Scenarios'!$X$10))</x:f>
        <x:v>12.308819276588414</x:v>
      </x:c>
      <x:c r="F164" s="576" t="n">
        <x:f>IF($A164="","",AVERAGE(100*((COUNTIF('All Stats'!$AF$6:$AF$172,"&lt;"&amp;'All Stats'!AF164)+(COUNTIF('All Stats'!$AF$6:$AF$172,'All Stats'!AF164)-1)/2)/(COUNT('All Stats'!$AF$6:$AF$172)-1))^'Specialisation Scenarios'!$X$10,100*((COUNTIF('All Stats'!$AI$6:$AI$172,"&lt;"&amp;'All Stats'!AI164)+(COUNTIF('All Stats'!$AI$6:$AI$172,'All Stats'!AI164)-1)/2)/(COUNT('All Stats'!$AI$6:$AI$172)-1))^'Specialisation Scenarios'!$X$10,100*((COUNTIF('All Stats'!$AK$6:$AK$172,"&lt;"&amp;'All Stats'!AK164)+(COUNTIF('All Stats'!$AK$6:$AK$172,'All Stats'!AK164)-1)/2)/(COUNT('All Stats'!$AK$6:$AK$172)-1))^'Specialisation Scenarios'!$X$10))</x:f>
        <x:v>69.17281940695261</x:v>
      </x:c>
      <x:c r="G164" s="576" t="n">
        <x:f>IF($A164="","",C164*'Specialisation Scenarios'!$X$11+D164*'Specialisation Scenarios'!$X$12+E164*'Specialisation Scenarios'!$X$13+F164*'Specialisation Scenarios'!$X$14)</x:f>
        <x:v>59.365696277299</x:v>
      </x:c>
      <x:c r="H164" s="576" t="n">
        <x:f>IF(SUMIFS('Specialisation Impact'!$E$19:$E$186,'Specialisation Impact'!$A$19:$A$186,A164,'Specialisation Impact'!$B$19:$B$186,B164)=0,"",SUMIFS('Specialisation Impact'!$S$19:$S$186,'Specialisation Impact'!$A$19:$A$186,A164,'Specialisation Impact'!$B$19:$B$186,B164))</x:f>
        <x:v>76.36363636363636</x:v>
      </x:c>
      <x:c r="I164" s="580" t="n">
        <x:f>IF(SUMIFS('Specialisation Impact'!$E$19:$E$186,'Specialisation Impact'!$A$19:$A$186,A164,'Specialisation Impact'!$B$19:$B$186,B164)=0,0,SUMIFS('Specialisation Impact'!$F$19:$F$186,'Specialisation Impact'!$A$19:$A$186,A164,'Specialisation Impact'!$B$19:$B$186,B164))</x:f>
        <x:v>1</x:v>
      </x:c>
      <x:c r="J164" s="576" t="n">
        <x:f>G164</x:f>
        <x:v>59.365696277299</x:v>
      </x:c>
      <x:c r="K164" s="576" t="n">
        <x:f>IF(G164="","",IF(I164=0,G164,MAX(0,MIN(100,G164*(1-'Specialisation Scenarios'!$B$8*I164)+H164*('Specialisation Scenarios'!$B$8*I164)))))</x:f>
        <x:v>63.61518129888334</x:v>
      </x:c>
      <x:c r="L164" s="576" t="n">
        <x:f>IF(G164="","",IF(I164=0,G164,MAX(0,MIN(100,G164*(1-'Specialisation Scenarios'!$B$9*I164)+H164*('Specialisation Scenarios'!$B$9*I164)))))</x:f>
        <x:v>65.31497530751707</x:v>
      </x:c>
      <x:c r="M164" s="576" t="str">
        <x:f>IF(COUNTIFS('Tank &amp; Control'!$A$23:$A$189,A164,'Tank &amp; Control'!$B$23:$B$189,B164,'Tank &amp; Control'!$C$23:$C$189,"Yes")&gt;0,"Yes","No")</x:f>
        <x:v>No</x:v>
      </x:c>
      <x:c r="N164" s="576" t="str">
        <x:f>IF(M164&lt;&gt;"Yes","",SUMIFS('Tank &amp; Control'!$L$23:$L$189,'Tank &amp; Control'!$A$23:$A$189,A164,'Tank &amp; Control'!$B$23:$B$189,B164))</x:f>
      </x:c>
      <x:c r="O164" s="576" t="n">
        <x:f>IF(SUMIFS('Specialisation Impact'!$M$19:$M$186,'Specialisation Impact'!$A$19:$A$186,A164,'Specialisation Impact'!$B$19:$B$186,B164)=0,"",SUMIFS('Specialisation Impact'!$V$19:$V$186,'Specialisation Impact'!$A$19:$A$186,A164,'Specialisation Impact'!$B$19:$B$186,B164))</x:f>
        <x:v>76.06837606837607</x:v>
      </x:c>
      <x:c r="P164" s="576" t="str">
        <x:f>IF(N164="","",N164)</x:f>
      </x:c>
      <x:c r="Q164" s="576" t="str">
        <x:f>IF(N164="","",IF(AC164=0,N164,MAX(0,MIN(100,N164*(1-'Specialisation Scenarios'!$B$8*AC164)+O164*('Specialisation Scenarios'!$B$8*AC164)))))</x:f>
      </x:c>
      <x:c r="R164" s="576" t="str">
        <x:f>IF(N164="","",IF(AC164=0,N164,MAX(0,MIN(100,N164*(1-'Specialisation Scenarios'!$B$9*AC164)+O164*('Specialisation Scenarios'!$B$9*AC164)))))</x:f>
      </x:c>
      <x:c r="S164" s="584" t="n">
        <x:f>IF(J164="","",COUNTIFS($A$6:$A$172,A164,$J$6:$J$172,"&gt;"&amp;J164)+COUNTIFS($A$6:A164,A164,$J$6:J164,J164))</x:f>
        <x:v>6</x:v>
      </x:c>
      <x:c r="T164" s="584" t="n">
        <x:f>IF(K164="","",COUNTIFS($A$6:$A$172,A164,$K$6:$K$172,"&gt;"&amp;K164)+COUNTIFS($A$6:A164,A164,$K$6:K164,K164))</x:f>
        <x:v>5</x:v>
      </x:c>
      <x:c r="U164" s="584" t="n">
        <x:f>IF(L164="","",COUNTIFS($A$6:$A$172,A164,$L$6:$L$172,"&gt;"&amp;L164)+COUNTIFS($A$6:A164,A164,$L$6:L164,L164))</x:f>
        <x:v>5</x:v>
      </x:c>
      <x:c r="V164" s="584" t="str">
        <x:f>IF(P164="","",COUNTIFS($A$6:$A$172,A164,$P$6:$P$172,"&gt;"&amp;P164)+COUNTIFS($A$6:A164,A164,$P$6:P164,P164))</x:f>
      </x:c>
      <x:c r="W164" s="584" t="str">
        <x:f>IF(Q164="","",COUNTIFS($A$6:$A$172,A164,$Q$6:$Q$172,"&gt;"&amp;Q164)+COUNTIFS($A$6:A164,A164,$Q$6:Q164,Q164))</x:f>
      </x:c>
      <x:c r="X164" s="584" t="str">
        <x:f>IF(R164="","",COUNTIFS($A$6:$A$172,A164,$R$6:$R$172,"&gt;"&amp;R164)+COUNTIFS($A$6:A164,A164,$R$6:R164,R164))</x:f>
      </x:c>
      <x:c r="Y164" s="572" t="str">
        <x:f>IF(V164="","",A164&amp;"|"&amp;V164)</x:f>
      </x:c>
      <x:c r="Z164" s="572" t="str">
        <x:f>IF(W164="","",A164&amp;"|"&amp;W164)</x:f>
      </x:c>
      <x:c r="AA164" s="572" t="str">
        <x:f>IF(X164="","",A164&amp;"|"&amp;X164)</x:f>
      </x:c>
      <x:c r="AB164" s="572" t="str">
        <x:f>IF(A164="","",IF(I164=0,"Offense neutral — no recorded offensive skills",IF(I164&lt;1,"Partial lookup — adjustment scaled",IF(AND(M164="Yes",AC164=0),"Offense adjusted; Guard neutral","Captured"))))</x:f>
        <x:v>Captured</x:v>
      </x:c>
      <x:c r="AC164" s="580" t="n">
        <x:f>IF(SUMIFS('Specialisation Impact'!$M$19:$M$186,'Specialisation Impact'!$A$19:$A$186,A164,'Specialisation Impact'!$B$19:$B$186,B164)=0,0,SUMIFS('Specialisation Impact'!$F$19:$F$186,'Specialisation Impact'!$A$19:$A$186,A164,'Specialisation Impact'!$B$19:$B$186,B164))</x:f>
        <x:v>1</x:v>
      </x:c>
    </x:row>
    <x:row r="165">
      <x:c r="A165" s="571" t="str">
        <x:v>K176</x:v>
      </x:c>
      <x:c r="B165" s="571" t="str">
        <x:v>温水煮青蛙</x:v>
      </x:c>
      <x:c r="C165" s="575" t="n">
        <x:f>IF($A165="","",AVERAGE(100*((COUNTIF('All Stats'!$D$6:$D$172,"&lt;"&amp;'All Stats'!D165)+(COUNTIF('All Stats'!$D$6:$D$172,'All Stats'!D165)-1)/2)/(COUNT('All Stats'!$D$6:$D$172)-1))^'Specialisation Scenarios'!$X$10,100*((COUNTIF('All Stats'!$G$6:$G$172,"&lt;"&amp;'All Stats'!G165)+(COUNTIF('All Stats'!$G$6:$G$172,'All Stats'!G165)-1)/2)/(COUNT('All Stats'!$G$6:$G$172)-1))^'Specialisation Scenarios'!$X$10,100*((COUNTIF('All Stats'!$I$6:$I$172,"&lt;"&amp;'All Stats'!I165)+(COUNTIF('All Stats'!$I$6:$I$172,'All Stats'!I165)-1)/2)/(COUNT('All Stats'!$I$6:$I$172)-1))^'Specialisation Scenarios'!$X$10))</x:f>
        <x:v>8.166520955647966</x:v>
      </x:c>
      <x:c r="D165" s="575" t="n">
        <x:f>IF($A165="","",AVERAGE(100*((COUNTIF('All Stats'!$R$6:$R$172,"&lt;"&amp;'All Stats'!R165)+(COUNTIF('All Stats'!$R$6:$R$172,'All Stats'!R165)-1)/2)/(COUNT('All Stats'!$R$6:$R$172)-1))^'Specialisation Scenarios'!$X$10,100*((COUNTIF('All Stats'!$U$6:$U$172,"&lt;"&amp;'All Stats'!U165)+(COUNTIF('All Stats'!$U$6:$U$172,'All Stats'!U165)-1)/2)/(COUNT('All Stats'!$U$6:$U$172)-1))^'Specialisation Scenarios'!$X$10,100*((COUNTIF('All Stats'!$W$6:$W$172,"&lt;"&amp;'All Stats'!W165)+(COUNTIF('All Stats'!$W$6:$W$172,'All Stats'!W165)-1)/2)/(COUNT('All Stats'!$W$6:$W$172)-1))^'Specialisation Scenarios'!$X$10))</x:f>
        <x:v>51.75608236684735</x:v>
      </x:c>
      <x:c r="E165" s="575" t="n">
        <x:f>IF($A165="","",AVERAGE(100*((COUNTIF('All Stats'!$Y$6:$Y$172,"&lt;"&amp;'All Stats'!Y165)+(COUNTIF('All Stats'!$Y$6:$Y$172,'All Stats'!Y165)-1)/2)/(COUNT('All Stats'!$Y$6:$Y$172)-1))^'Specialisation Scenarios'!$X$10,100*((COUNTIF('All Stats'!$AB$6:$AB$172,"&lt;"&amp;'All Stats'!AB165)+(COUNTIF('All Stats'!$AB$6:$AB$172,'All Stats'!AB165)-1)/2)/(COUNT('All Stats'!$AB$6:$AB$172)-1))^'Specialisation Scenarios'!$X$10,100*((COUNTIF('All Stats'!$AD$6:$AD$172,"&lt;"&amp;'All Stats'!AD165)+(COUNTIF('All Stats'!$AD$6:$AD$172,'All Stats'!AD165)-1)/2)/(COUNT('All Stats'!$AD$6:$AD$172)-1))^'Specialisation Scenarios'!$X$10))</x:f>
        <x:v>2.1983388728766853</x:v>
      </x:c>
      <x:c r="F165" s="575" t="n">
        <x:f>IF($A165="","",AVERAGE(100*((COUNTIF('All Stats'!$AF$6:$AF$172,"&lt;"&amp;'All Stats'!AF165)+(COUNTIF('All Stats'!$AF$6:$AF$172,'All Stats'!AF165)-1)/2)/(COUNT('All Stats'!$AF$6:$AF$172)-1))^'Specialisation Scenarios'!$X$10,100*((COUNTIF('All Stats'!$AI$6:$AI$172,"&lt;"&amp;'All Stats'!AI165)+(COUNTIF('All Stats'!$AI$6:$AI$172,'All Stats'!AI165)-1)/2)/(COUNT('All Stats'!$AI$6:$AI$172)-1))^'Specialisation Scenarios'!$X$10,100*((COUNTIF('All Stats'!$AK$6:$AK$172,"&lt;"&amp;'All Stats'!AK165)+(COUNTIF('All Stats'!$AK$6:$AK$172,'All Stats'!AK165)-1)/2)/(COUNT('All Stats'!$AK$6:$AK$172)-1))^'Specialisation Scenarios'!$X$10))</x:f>
        <x:v>47.51378465788573</x:v>
      </x:c>
      <x:c r="G165" s="575" t="n">
        <x:f>IF($A165="","",C165*'Specialisation Scenarios'!$X$11+D165*'Specialisation Scenarios'!$X$12+E165*'Specialisation Scenarios'!$X$13+F165*'Specialisation Scenarios'!$X$14)</x:f>
        <x:v>39.625529149426136</x:v>
      </x:c>
      <x:c r="H165" s="575" t="n">
        <x:f>IF(SUMIFS('Specialisation Impact'!$E$19:$E$186,'Specialisation Impact'!$A$19:$A$186,A165,'Specialisation Impact'!$B$19:$B$186,B165)=0,"",SUMIFS('Specialisation Impact'!$S$19:$S$186,'Specialisation Impact'!$A$19:$A$186,A165,'Specialisation Impact'!$B$19:$B$186,B165))</x:f>
        <x:v>61.81818181818181</x:v>
      </x:c>
      <x:c r="I165" s="579" t="n">
        <x:f>IF(SUMIFS('Specialisation Impact'!$E$19:$E$186,'Specialisation Impact'!$A$19:$A$186,A165,'Specialisation Impact'!$B$19:$B$186,B165)=0,0,SUMIFS('Specialisation Impact'!$F$19:$F$186,'Specialisation Impact'!$A$19:$A$186,A165,'Specialisation Impact'!$B$19:$B$186,B165))</x:f>
        <x:v>1</x:v>
      </x:c>
      <x:c r="J165" s="575" t="n">
        <x:f>G165</x:f>
        <x:v>39.625529149426136</x:v>
      </x:c>
      <x:c r="K165" s="575" t="n">
        <x:f>IF(G165="","",IF(I165=0,G165,MAX(0,MIN(100,G165*(1-'Specialisation Scenarios'!$B$8*I165)+H165*('Specialisation Scenarios'!$B$8*I165)))))</x:f>
        <x:v>45.17369231661505</x:v>
      </x:c>
      <x:c r="L165" s="575" t="n">
        <x:f>IF(G165="","",IF(I165=0,G165,MAX(0,MIN(100,G165*(1-'Specialisation Scenarios'!$B$9*I165)+H165*('Specialisation Scenarios'!$B$9*I165)))))</x:f>
        <x:v>47.39295758349063</x:v>
      </x:c>
      <x:c r="M165" s="575" t="str">
        <x:f>IF(COUNTIFS('Tank &amp; Control'!$A$23:$A$189,A165,'Tank &amp; Control'!$B$23:$B$189,B165,'Tank &amp; Control'!$C$23:$C$189,"Yes")&gt;0,"Yes","No")</x:f>
        <x:v>No</x:v>
      </x:c>
      <x:c r="N165" s="575" t="str">
        <x:f>IF(M165&lt;&gt;"Yes","",SUMIFS('Tank &amp; Control'!$L$23:$L$189,'Tank &amp; Control'!$A$23:$A$189,A165,'Tank &amp; Control'!$B$23:$B$189,B165))</x:f>
      </x:c>
      <x:c r="O165" s="575" t="n">
        <x:f>IF(SUMIFS('Specialisation Impact'!$M$19:$M$186,'Specialisation Impact'!$A$19:$A$186,A165,'Specialisation Impact'!$B$19:$B$186,B165)=0,"",SUMIFS('Specialisation Impact'!$V$19:$V$186,'Specialisation Impact'!$A$19:$A$186,A165,'Specialisation Impact'!$B$19:$B$186,B165))</x:f>
        <x:v>73.07692307692308</x:v>
      </x:c>
      <x:c r="P165" s="575" t="str">
        <x:f>IF(N165="","",N165)</x:f>
      </x:c>
      <x:c r="Q165" s="575" t="str">
        <x:f>IF(N165="","",IF(AC165=0,N165,MAX(0,MIN(100,N165*(1-'Specialisation Scenarios'!$B$8*AC165)+O165*('Specialisation Scenarios'!$B$8*AC165)))))</x:f>
      </x:c>
      <x:c r="R165" s="575" t="str">
        <x:f>IF(N165="","",IF(AC165=0,N165,MAX(0,MIN(100,N165*(1-'Specialisation Scenarios'!$B$9*AC165)+O165*('Specialisation Scenarios'!$B$9*AC165)))))</x:f>
      </x:c>
      <x:c r="S165" s="583" t="n">
        <x:f>IF(J165="","",COUNTIFS($A$6:$A$172,A165,$J$6:$J$172,"&gt;"&amp;J165)+COUNTIFS($A$6:A165,A165,$J$6:J165,J165))</x:f>
        <x:v>12</x:v>
      </x:c>
      <x:c r="T165" s="583" t="n">
        <x:f>IF(K165="","",COUNTIFS($A$6:$A$172,A165,$K$6:$K$172,"&gt;"&amp;K165)+COUNTIFS($A$6:A165,A165,$K$6:K165,K165))</x:f>
        <x:v>12</x:v>
      </x:c>
      <x:c r="U165" s="583" t="n">
        <x:f>IF(L165="","",COUNTIFS($A$6:$A$172,A165,$L$6:$L$172,"&gt;"&amp;L165)+COUNTIFS($A$6:A165,A165,$L$6:L165,L165))</x:f>
        <x:v>12</x:v>
      </x:c>
      <x:c r="V165" s="583" t="str">
        <x:f>IF(P165="","",COUNTIFS($A$6:$A$172,A165,$P$6:$P$172,"&gt;"&amp;P165)+COUNTIFS($A$6:A165,A165,$P$6:P165,P165))</x:f>
      </x:c>
      <x:c r="W165" s="583" t="str">
        <x:f>IF(Q165="","",COUNTIFS($A$6:$A$172,A165,$Q$6:$Q$172,"&gt;"&amp;Q165)+COUNTIFS($A$6:A165,A165,$Q$6:Q165,Q165))</x:f>
      </x:c>
      <x:c r="X165" s="583" t="str">
        <x:f>IF(R165="","",COUNTIFS($A$6:$A$172,A165,$R$6:$R$172,"&gt;"&amp;R165)+COUNTIFS($A$6:A165,A165,$R$6:R165,R165))</x:f>
      </x:c>
      <x:c r="Y165" s="571" t="str">
        <x:f>IF(V165="","",A165&amp;"|"&amp;V165)</x:f>
      </x:c>
      <x:c r="Z165" s="571" t="str">
        <x:f>IF(W165="","",A165&amp;"|"&amp;W165)</x:f>
      </x:c>
      <x:c r="AA165" s="571" t="str">
        <x:f>IF(X165="","",A165&amp;"|"&amp;X165)</x:f>
      </x:c>
      <x:c r="AB165" s="571" t="str">
        <x:f>IF(A165="","",IF(I165=0,"Offense neutral — no recorded offensive skills",IF(I165&lt;1,"Partial lookup — adjustment scaled",IF(AND(M165="Yes",AC165=0),"Offense adjusted; Guard neutral","Captured"))))</x:f>
        <x:v>Captured</x:v>
      </x:c>
      <x:c r="AC165" s="579" t="n">
        <x:f>IF(SUMIFS('Specialisation Impact'!$M$19:$M$186,'Specialisation Impact'!$A$19:$A$186,A165,'Specialisation Impact'!$B$19:$B$186,B165)=0,0,SUMIFS('Specialisation Impact'!$F$19:$F$186,'Specialisation Impact'!$A$19:$A$186,A165,'Specialisation Impact'!$B$19:$B$186,B165))</x:f>
        <x:v>1</x:v>
      </x:c>
    </x:row>
    <x:row r="166">
      <x:c r="A166" s="572" t="str">
        <x:v>K176</x:v>
      </x:c>
      <x:c r="B166" s="572" t="str">
        <x:v>我于杀戮之中绽放</x:v>
      </x:c>
      <x:c r="C166" s="576" t="n">
        <x:f>IF($A166="","",AVERAGE(100*((COUNTIF('All Stats'!$D$6:$D$172,"&lt;"&amp;'All Stats'!D166)+(COUNTIF('All Stats'!$D$6:$D$172,'All Stats'!D166)-1)/2)/(COUNT('All Stats'!$D$6:$D$172)-1))^'Specialisation Scenarios'!$X$10,100*((COUNTIF('All Stats'!$G$6:$G$172,"&lt;"&amp;'All Stats'!G166)+(COUNTIF('All Stats'!$G$6:$G$172,'All Stats'!G166)-1)/2)/(COUNT('All Stats'!$G$6:$G$172)-1))^'Specialisation Scenarios'!$X$10,100*((COUNTIF('All Stats'!$I$6:$I$172,"&lt;"&amp;'All Stats'!I166)+(COUNTIF('All Stats'!$I$6:$I$172,'All Stats'!I166)-1)/2)/(COUNT('All Stats'!$I$6:$I$172)-1))^'Specialisation Scenarios'!$X$10))</x:f>
        <x:v>45.057184748264376</x:v>
      </x:c>
      <x:c r="D166" s="576" t="n">
        <x:f>IF($A166="","",AVERAGE(100*((COUNTIF('All Stats'!$R$6:$R$172,"&lt;"&amp;'All Stats'!R166)+(COUNTIF('All Stats'!$R$6:$R$172,'All Stats'!R166)-1)/2)/(COUNT('All Stats'!$R$6:$R$172)-1))^'Specialisation Scenarios'!$X$10,100*((COUNTIF('All Stats'!$U$6:$U$172,"&lt;"&amp;'All Stats'!U166)+(COUNTIF('All Stats'!$U$6:$U$172,'All Stats'!U166)-1)/2)/(COUNT('All Stats'!$U$6:$U$172)-1))^'Specialisation Scenarios'!$X$10,100*((COUNTIF('All Stats'!$W$6:$W$172,"&lt;"&amp;'All Stats'!W166)+(COUNTIF('All Stats'!$W$6:$W$172,'All Stats'!W166)-1)/2)/(COUNT('All Stats'!$W$6:$W$172)-1))^'Specialisation Scenarios'!$X$10))</x:f>
        <x:v>70.5376134848518</x:v>
      </x:c>
      <x:c r="E166" s="576" t="n">
        <x:f>IF($A166="","",AVERAGE(100*((COUNTIF('All Stats'!$Y$6:$Y$172,"&lt;"&amp;'All Stats'!Y166)+(COUNTIF('All Stats'!$Y$6:$Y$172,'All Stats'!Y166)-1)/2)/(COUNT('All Stats'!$Y$6:$Y$172)-1))^'Specialisation Scenarios'!$X$10,100*((COUNTIF('All Stats'!$AB$6:$AB$172,"&lt;"&amp;'All Stats'!AB166)+(COUNTIF('All Stats'!$AB$6:$AB$172,'All Stats'!AB166)-1)/2)/(COUNT('All Stats'!$AB$6:$AB$172)-1))^'Specialisation Scenarios'!$X$10,100*((COUNTIF('All Stats'!$AD$6:$AD$172,"&lt;"&amp;'All Stats'!AD166)+(COUNTIF('All Stats'!$AD$6:$AD$172,'All Stats'!AD166)-1)/2)/(COUNT('All Stats'!$AD$6:$AD$172)-1))^'Specialisation Scenarios'!$X$10))</x:f>
        <x:v>4.390125383958876</x:v>
      </x:c>
      <x:c r="F166" s="576" t="n">
        <x:f>IF($A166="","",AVERAGE(100*((COUNTIF('All Stats'!$AF$6:$AF$172,"&lt;"&amp;'All Stats'!AF166)+(COUNTIF('All Stats'!$AF$6:$AF$172,'All Stats'!AF166)-1)/2)/(COUNT('All Stats'!$AF$6:$AF$172)-1))^'Specialisation Scenarios'!$X$10,100*((COUNTIF('All Stats'!$AI$6:$AI$172,"&lt;"&amp;'All Stats'!AI166)+(COUNTIF('All Stats'!$AI$6:$AI$172,'All Stats'!AI166)-1)/2)/(COUNT('All Stats'!$AI$6:$AI$172)-1))^'Specialisation Scenarios'!$X$10,100*((COUNTIF('All Stats'!$AK$6:$AK$172,"&lt;"&amp;'All Stats'!AK166)+(COUNTIF('All Stats'!$AK$6:$AK$172,'All Stats'!AK166)-1)/2)/(COUNT('All Stats'!$AK$6:$AK$172)-1))^'Specialisation Scenarios'!$X$10))</x:f>
        <x:v>70.62712870322342</x:v>
      </x:c>
      <x:c r="G166" s="576" t="n">
        <x:f>IF($A166="","",C166*'Specialisation Scenarios'!$X$11+D166*'Specialisation Scenarios'!$X$12+E166*'Specialisation Scenarios'!$X$13+F166*'Specialisation Scenarios'!$X$14)</x:f>
        <x:v>60.11422764703014</x:v>
      </x:c>
      <x:c r="H166" s="576" t="n">
        <x:f>IF(SUMIFS('Specialisation Impact'!$E$19:$E$186,'Specialisation Impact'!$A$19:$A$186,A166,'Specialisation Impact'!$B$19:$B$186,B166)=0,"",SUMIFS('Specialisation Impact'!$S$19:$S$186,'Specialisation Impact'!$A$19:$A$186,A166,'Specialisation Impact'!$B$19:$B$186,B166))</x:f>
        <x:v>72.01298701298701</x:v>
      </x:c>
      <x:c r="I166" s="580" t="n">
        <x:f>IF(SUMIFS('Specialisation Impact'!$E$19:$E$186,'Specialisation Impact'!$A$19:$A$186,A166,'Specialisation Impact'!$B$19:$B$186,B166)=0,0,SUMIFS('Specialisation Impact'!$F$19:$F$186,'Specialisation Impact'!$A$19:$A$186,A166,'Specialisation Impact'!$B$19:$B$186,B166))</x:f>
        <x:v>1</x:v>
      </x:c>
      <x:c r="J166" s="576" t="n">
        <x:f>G166</x:f>
        <x:v>60.11422764703014</x:v>
      </x:c>
      <x:c r="K166" s="576" t="n">
        <x:f>IF(G166="","",IF(I166=0,G166,MAX(0,MIN(100,G166*(1-'Specialisation Scenarios'!$B$8*I166)+H166*('Specialisation Scenarios'!$B$8*I166)))))</x:f>
        <x:v>63.08891748851936</x:v>
      </x:c>
      <x:c r="L166" s="576" t="n">
        <x:f>IF(G166="","",IF(I166=0,G166,MAX(0,MIN(100,G166*(1-'Specialisation Scenarios'!$B$9*I166)+H166*('Specialisation Scenarios'!$B$9*I166)))))</x:f>
        <x:v>64.27879342511505</x:v>
      </x:c>
      <x:c r="M166" s="576" t="str">
        <x:f>IF(COUNTIFS('Tank &amp; Control'!$A$23:$A$189,A166,'Tank &amp; Control'!$B$23:$B$189,B166,'Tank &amp; Control'!$C$23:$C$189,"Yes")&gt;0,"Yes","No")</x:f>
        <x:v>Yes</x:v>
      </x:c>
      <x:c r="N166" s="576" t="n">
        <x:f>IF(M166&lt;&gt;"Yes","",SUMIFS('Tank &amp; Control'!$L$23:$L$189,'Tank &amp; Control'!$A$23:$A$189,A166,'Tank &amp; Control'!$B$23:$B$189,B166))</x:f>
        <x:v>14.968187191261702</x:v>
      </x:c>
      <x:c r="O166" s="576" t="n">
        <x:f>IF(SUMIFS('Specialisation Impact'!$M$19:$M$186,'Specialisation Impact'!$A$19:$A$186,A166,'Specialisation Impact'!$B$19:$B$186,B166)=0,"",SUMIFS('Specialisation Impact'!$V$19:$V$186,'Specialisation Impact'!$A$19:$A$186,A166,'Specialisation Impact'!$B$19:$B$186,B166))</x:f>
        <x:v>79.91452991452991</x:v>
      </x:c>
      <x:c r="P166" s="576" t="n">
        <x:f>IF(N166="","",N166)</x:f>
        <x:v>14.968187191261702</x:v>
      </x:c>
      <x:c r="Q166" s="576" t="n">
        <x:f>IF(N166="","",IF(AC166=0,N166,MAX(0,MIN(100,N166*(1-'Specialisation Scenarios'!$B$8*AC166)+O166*('Specialisation Scenarios'!$B$8*AC166)))))</x:f>
        <x:v>31.204772872078752</x:v>
      </x:c>
      <x:c r="R166" s="576" t="n">
        <x:f>IF(N166="","",IF(AC166=0,N166,MAX(0,MIN(100,N166*(1-'Specialisation Scenarios'!$B$9*AC166)+O166*('Specialisation Scenarios'!$B$9*AC166)))))</x:f>
        <x:v>37.69940714440557</x:v>
      </x:c>
      <x:c r="S166" s="584" t="n">
        <x:f>IF(J166="","",COUNTIFS($A$6:$A$172,A166,$J$6:$J$172,"&gt;"&amp;J166)+COUNTIFS($A$6:A166,A166,$J$6:J166,J166))</x:f>
        <x:v>5</x:v>
      </x:c>
      <x:c r="T166" s="584" t="n">
        <x:f>IF(K166="","",COUNTIFS($A$6:$A$172,A166,$K$6:$K$172,"&gt;"&amp;K166)+COUNTIFS($A$6:A166,A166,$K$6:K166,K166))</x:f>
        <x:v>6</x:v>
      </x:c>
      <x:c r="U166" s="584" t="n">
        <x:f>IF(L166="","",COUNTIFS($A$6:$A$172,A166,$L$6:$L$172,"&gt;"&amp;L166)+COUNTIFS($A$6:A166,A166,$L$6:L166,L166))</x:f>
        <x:v>6</x:v>
      </x:c>
      <x:c r="V166" s="584" t="n">
        <x:f>IF(P166="","",COUNTIFS($A$6:$A$172,A166,$P$6:$P$172,"&gt;"&amp;P166)+COUNTIFS($A$6:A166,A166,$P$6:P166,P166))</x:f>
        <x:v>4</x:v>
      </x:c>
      <x:c r="W166" s="584" t="n">
        <x:f>IF(Q166="","",COUNTIFS($A$6:$A$172,A166,$Q$6:$Q$172,"&gt;"&amp;Q166)+COUNTIFS($A$6:A166,A166,$Q$6:Q166,Q166))</x:f>
        <x:v>3</x:v>
      </x:c>
      <x:c r="X166" s="584" t="n">
        <x:f>IF(R166="","",COUNTIFS($A$6:$A$172,A166,$R$6:$R$172,"&gt;"&amp;R166)+COUNTIFS($A$6:A166,A166,$R$6:R166,R166))</x:f>
        <x:v>3</x:v>
      </x:c>
      <x:c r="Y166" s="572" t="str">
        <x:f>IF(V166="","",A166&amp;"|"&amp;V166)</x:f>
        <x:v>K176|4</x:v>
      </x:c>
      <x:c r="Z166" s="572" t="str">
        <x:f>IF(W166="","",A166&amp;"|"&amp;W166)</x:f>
        <x:v>K176|3</x:v>
      </x:c>
      <x:c r="AA166" s="572" t="str">
        <x:f>IF(X166="","",A166&amp;"|"&amp;X166)</x:f>
        <x:v>K176|3</x:v>
      </x:c>
      <x:c r="AB166" s="572" t="str">
        <x:f>IF(A166="","",IF(I166=0,"Offense neutral — no recorded offensive skills",IF(I166&lt;1,"Partial lookup — adjustment scaled",IF(AND(M166="Yes",AC166=0),"Offense adjusted; Guard neutral","Captured"))))</x:f>
        <x:v>Captured</x:v>
      </x:c>
      <x:c r="AC166" s="580" t="n">
        <x:f>IF(SUMIFS('Specialisation Impact'!$M$19:$M$186,'Specialisation Impact'!$A$19:$A$186,A166,'Specialisation Impact'!$B$19:$B$186,B166)=0,0,SUMIFS('Specialisation Impact'!$F$19:$F$186,'Specialisation Impact'!$A$19:$A$186,A166,'Specialisation Impact'!$B$19:$B$186,B166))</x:f>
        <x:v>1</x:v>
      </x:c>
    </x:row>
    <x:row r="167">
      <x:c r="A167" s="571" t="str">
        <x:v>K176</x:v>
      </x:c>
      <x:c r="B167" s="571" t="str">
        <x:v>璀璨星芒</x:v>
      </x:c>
      <x:c r="C167" s="575" t="n">
        <x:f>IF($A167="","",AVERAGE(100*((COUNTIF('All Stats'!$D$6:$D$172,"&lt;"&amp;'All Stats'!D167)+(COUNTIF('All Stats'!$D$6:$D$172,'All Stats'!D167)-1)/2)/(COUNT('All Stats'!$D$6:$D$172)-1))^'Specialisation Scenarios'!$X$10,100*((COUNTIF('All Stats'!$G$6:$G$172,"&lt;"&amp;'All Stats'!G167)+(COUNTIF('All Stats'!$G$6:$G$172,'All Stats'!G167)-1)/2)/(COUNT('All Stats'!$G$6:$G$172)-1))^'Specialisation Scenarios'!$X$10,100*((COUNTIF('All Stats'!$I$6:$I$172,"&lt;"&amp;'All Stats'!I167)+(COUNTIF('All Stats'!$I$6:$I$172,'All Stats'!I167)-1)/2)/(COUNT('All Stats'!$I$6:$I$172)-1))^'Specialisation Scenarios'!$X$10))</x:f>
        <x:v>27.457504319998588</x:v>
      </x:c>
      <x:c r="D167" s="575" t="n">
        <x:f>IF($A167="","",AVERAGE(100*((COUNTIF('All Stats'!$R$6:$R$172,"&lt;"&amp;'All Stats'!R167)+(COUNTIF('All Stats'!$R$6:$R$172,'All Stats'!R167)-1)/2)/(COUNT('All Stats'!$R$6:$R$172)-1))^'Specialisation Scenarios'!$X$10,100*((COUNTIF('All Stats'!$U$6:$U$172,"&lt;"&amp;'All Stats'!U167)+(COUNTIF('All Stats'!$U$6:$U$172,'All Stats'!U167)-1)/2)/(COUNT('All Stats'!$U$6:$U$172)-1))^'Specialisation Scenarios'!$X$10,100*((COUNTIF('All Stats'!$W$6:$W$172,"&lt;"&amp;'All Stats'!W167)+(COUNTIF('All Stats'!$W$6:$W$172,'All Stats'!W167)-1)/2)/(COUNT('All Stats'!$W$6:$W$172)-1))^'Specialisation Scenarios'!$X$10))</x:f>
        <x:v>36.26851407287197</x:v>
      </x:c>
      <x:c r="E167" s="575" t="n">
        <x:f>IF($A167="","",AVERAGE(100*((COUNTIF('All Stats'!$Y$6:$Y$172,"&lt;"&amp;'All Stats'!Y167)+(COUNTIF('All Stats'!$Y$6:$Y$172,'All Stats'!Y167)-1)/2)/(COUNT('All Stats'!$Y$6:$Y$172)-1))^'Specialisation Scenarios'!$X$10,100*((COUNTIF('All Stats'!$AB$6:$AB$172,"&lt;"&amp;'All Stats'!AB167)+(COUNTIF('All Stats'!$AB$6:$AB$172,'All Stats'!AB167)-1)/2)/(COUNT('All Stats'!$AB$6:$AB$172)-1))^'Specialisation Scenarios'!$X$10,100*((COUNTIF('All Stats'!$AD$6:$AD$172,"&lt;"&amp;'All Stats'!AD167)+(COUNTIF('All Stats'!$AD$6:$AD$172,'All Stats'!AD167)-1)/2)/(COUNT('All Stats'!$AD$6:$AD$172)-1))^'Specialisation Scenarios'!$X$10))</x:f>
        <x:v>29.473587028788913</x:v>
      </x:c>
      <x:c r="F167" s="575" t="n">
        <x:f>IF($A167="","",AVERAGE(100*((COUNTIF('All Stats'!$AF$6:$AF$172,"&lt;"&amp;'All Stats'!AF167)+(COUNTIF('All Stats'!$AF$6:$AF$172,'All Stats'!AF167)-1)/2)/(COUNT('All Stats'!$AF$6:$AF$172)-1))^'Specialisation Scenarios'!$X$10,100*((COUNTIF('All Stats'!$AI$6:$AI$172,"&lt;"&amp;'All Stats'!AI167)+(COUNTIF('All Stats'!$AI$6:$AI$172,'All Stats'!AI167)-1)/2)/(COUNT('All Stats'!$AI$6:$AI$172)-1))^'Specialisation Scenarios'!$X$10,100*((COUNTIF('All Stats'!$AK$6:$AK$172,"&lt;"&amp;'All Stats'!AK167)+(COUNTIF('All Stats'!$AK$6:$AK$172,'All Stats'!AK167)-1)/2)/(COUNT('All Stats'!$AK$6:$AK$172)-1))^'Specialisation Scenarios'!$X$10))</x:f>
        <x:v>38.875958470803845</x:v>
      </x:c>
      <x:c r="G167" s="575" t="n">
        <x:f>IF($A167="","",C167*'Specialisation Scenarios'!$X$11+D167*'Specialisation Scenarios'!$X$12+E167*'Specialisation Scenarios'!$X$13+F167*'Specialisation Scenarios'!$X$14)</x:f>
        <x:v>34.65848656522244</x:v>
      </x:c>
      <x:c r="H167" s="575" t="n">
        <x:f>IF(SUMIFS('Specialisation Impact'!$E$19:$E$186,'Specialisation Impact'!$A$19:$A$186,A167,'Specialisation Impact'!$B$19:$B$186,B167)=0,"",SUMIFS('Specialisation Impact'!$S$19:$S$186,'Specialisation Impact'!$A$19:$A$186,A167,'Specialisation Impact'!$B$19:$B$186,B167))</x:f>
        <x:v>51.75324675324676</x:v>
      </x:c>
      <x:c r="I167" s="579" t="n">
        <x:f>IF(SUMIFS('Specialisation Impact'!$E$19:$E$186,'Specialisation Impact'!$A$19:$A$186,A167,'Specialisation Impact'!$B$19:$B$186,B167)=0,0,SUMIFS('Specialisation Impact'!$F$19:$F$186,'Specialisation Impact'!$A$19:$A$186,A167,'Specialisation Impact'!$B$19:$B$186,B167))</x:f>
        <x:v>1</x:v>
      </x:c>
      <x:c r="J167" s="575" t="n">
        <x:f>G167</x:f>
        <x:v>34.65848656522244</x:v>
      </x:c>
      <x:c r="K167" s="575" t="n">
        <x:f>IF(G167="","",IF(I167=0,G167,MAX(0,MIN(100,G167*(1-'Specialisation Scenarios'!$B$8*I167)+H167*('Specialisation Scenarios'!$B$8*I167)))))</x:f>
        <x:v>38.932176612228524</x:v>
      </x:c>
      <x:c r="L167" s="575" t="n">
        <x:f>IF(G167="","",IF(I167=0,G167,MAX(0,MIN(100,G167*(1-'Specialisation Scenarios'!$B$9*I167)+H167*('Specialisation Scenarios'!$B$9*I167)))))</x:f>
        <x:v>40.64165263103095</x:v>
      </x:c>
      <x:c r="M167" s="575" t="str">
        <x:f>IF(COUNTIFS('Tank &amp; Control'!$A$23:$A$189,A167,'Tank &amp; Control'!$B$23:$B$189,B167,'Tank &amp; Control'!$C$23:$C$189,"Yes")&gt;0,"Yes","No")</x:f>
        <x:v>No</x:v>
      </x:c>
      <x:c r="N167" s="575" t="str">
        <x:f>IF(M167&lt;&gt;"Yes","",SUMIFS('Tank &amp; Control'!$L$23:$L$189,'Tank &amp; Control'!$A$23:$A$189,A167,'Tank &amp; Control'!$B$23:$B$189,B167))</x:f>
      </x:c>
      <x:c r="O167" s="575" t="n">
        <x:f>IF(SUMIFS('Specialisation Impact'!$M$19:$M$186,'Specialisation Impact'!$A$19:$A$186,A167,'Specialisation Impact'!$B$19:$B$186,B167)=0,"",SUMIFS('Specialisation Impact'!$V$19:$V$186,'Specialisation Impact'!$A$19:$A$186,A167,'Specialisation Impact'!$B$19:$B$186,B167))</x:f>
        <x:v>60.25641025641025</x:v>
      </x:c>
      <x:c r="P167" s="575" t="str">
        <x:f>IF(N167="","",N167)</x:f>
      </x:c>
      <x:c r="Q167" s="575" t="str">
        <x:f>IF(N167="","",IF(AC167=0,N167,MAX(0,MIN(100,N167*(1-'Specialisation Scenarios'!$B$8*AC167)+O167*('Specialisation Scenarios'!$B$8*AC167)))))</x:f>
      </x:c>
      <x:c r="R167" s="575" t="str">
        <x:f>IF(N167="","",IF(AC167=0,N167,MAX(0,MIN(100,N167*(1-'Specialisation Scenarios'!$B$9*AC167)+O167*('Specialisation Scenarios'!$B$9*AC167)))))</x:f>
      </x:c>
      <x:c r="S167" s="583" t="n">
        <x:f>IF(J167="","",COUNTIFS($A$6:$A$172,A167,$J$6:$J$172,"&gt;"&amp;J167)+COUNTIFS($A$6:A167,A167,$J$6:J167,J167))</x:f>
        <x:v>13</x:v>
      </x:c>
      <x:c r="T167" s="583" t="n">
        <x:f>IF(K167="","",COUNTIFS($A$6:$A$172,A167,$K$6:$K$172,"&gt;"&amp;K167)+COUNTIFS($A$6:A167,A167,$K$6:K167,K167))</x:f>
        <x:v>14</x:v>
      </x:c>
      <x:c r="U167" s="583" t="n">
        <x:f>IF(L167="","",COUNTIFS($A$6:$A$172,A167,$L$6:$L$172,"&gt;"&amp;L167)+COUNTIFS($A$6:A167,A167,$L$6:L167,L167))</x:f>
        <x:v>16</x:v>
      </x:c>
      <x:c r="V167" s="583" t="str">
        <x:f>IF(P167="","",COUNTIFS($A$6:$A$172,A167,$P$6:$P$172,"&gt;"&amp;P167)+COUNTIFS($A$6:A167,A167,$P$6:P167,P167))</x:f>
      </x:c>
      <x:c r="W167" s="583" t="str">
        <x:f>IF(Q167="","",COUNTIFS($A$6:$A$172,A167,$Q$6:$Q$172,"&gt;"&amp;Q167)+COUNTIFS($A$6:A167,A167,$Q$6:Q167,Q167))</x:f>
      </x:c>
      <x:c r="X167" s="583" t="str">
        <x:f>IF(R167="","",COUNTIFS($A$6:$A$172,A167,$R$6:$R$172,"&gt;"&amp;R167)+COUNTIFS($A$6:A167,A167,$R$6:R167,R167))</x:f>
      </x:c>
      <x:c r="Y167" s="571" t="str">
        <x:f>IF(V167="","",A167&amp;"|"&amp;V167)</x:f>
      </x:c>
      <x:c r="Z167" s="571" t="str">
        <x:f>IF(W167="","",A167&amp;"|"&amp;W167)</x:f>
      </x:c>
      <x:c r="AA167" s="571" t="str">
        <x:f>IF(X167="","",A167&amp;"|"&amp;X167)</x:f>
      </x:c>
      <x:c r="AB167" s="571" t="str">
        <x:f>IF(A167="","",IF(I167=0,"Offense neutral — no recorded offensive skills",IF(I167&lt;1,"Partial lookup — adjustment scaled",IF(AND(M167="Yes",AC167=0),"Offense adjusted; Guard neutral","Captured"))))</x:f>
        <x:v>Captured</x:v>
      </x:c>
      <x:c r="AC167" s="579" t="n">
        <x:f>IF(SUMIFS('Specialisation Impact'!$M$19:$M$186,'Specialisation Impact'!$A$19:$A$186,A167,'Specialisation Impact'!$B$19:$B$186,B167)=0,0,SUMIFS('Specialisation Impact'!$F$19:$F$186,'Specialisation Impact'!$A$19:$A$186,A167,'Specialisation Impact'!$B$19:$B$186,B167))</x:f>
        <x:v>1</x:v>
      </x:c>
    </x:row>
    <x:row r="168">
      <x:c r="A168" s="573" t="str">
        <x:v>K176</x:v>
      </x:c>
      <x:c r="B168" s="573" t="str">
        <x:v>「鳥傷」</x:v>
      </x:c>
      <x:c r="C168" s="577" t="n">
        <x:f>IF($A168="","",AVERAGE(100*((COUNTIF('All Stats'!$D$6:$D$172,"&lt;"&amp;'All Stats'!D168)+(COUNTIF('All Stats'!$D$6:$D$172,'All Stats'!D168)-1)/2)/(COUNT('All Stats'!$D$6:$D$172)-1))^'Specialisation Scenarios'!$X$10,100*((COUNTIF('All Stats'!$G$6:$G$172,"&lt;"&amp;'All Stats'!G168)+(COUNTIF('All Stats'!$G$6:$G$172,'All Stats'!G168)-1)/2)/(COUNT('All Stats'!$G$6:$G$172)-1))^'Specialisation Scenarios'!$X$10,100*((COUNTIF('All Stats'!$I$6:$I$172,"&lt;"&amp;'All Stats'!I168)+(COUNTIF('All Stats'!$I$6:$I$172,'All Stats'!I168)-1)/2)/(COUNT('All Stats'!$I$6:$I$172)-1))^'Specialisation Scenarios'!$X$10))</x:f>
        <x:v>35.12343553759635</x:v>
      </x:c>
      <x:c r="D168" s="577" t="n">
        <x:f>IF($A168="","",AVERAGE(100*((COUNTIF('All Stats'!$R$6:$R$172,"&lt;"&amp;'All Stats'!R168)+(COUNTIF('All Stats'!$R$6:$R$172,'All Stats'!R168)-1)/2)/(COUNT('All Stats'!$R$6:$R$172)-1))^'Specialisation Scenarios'!$X$10,100*((COUNTIF('All Stats'!$U$6:$U$172,"&lt;"&amp;'All Stats'!U168)+(COUNTIF('All Stats'!$U$6:$U$172,'All Stats'!U168)-1)/2)/(COUNT('All Stats'!$U$6:$U$172)-1))^'Specialisation Scenarios'!$X$10,100*((COUNTIF('All Stats'!$W$6:$W$172,"&lt;"&amp;'All Stats'!W168)+(COUNTIF('All Stats'!$W$6:$W$172,'All Stats'!W168)-1)/2)/(COUNT('All Stats'!$W$6:$W$172)-1))^'Specialisation Scenarios'!$X$10))</x:f>
        <x:v>41.62697605132494</x:v>
      </x:c>
      <x:c r="E168" s="577" t="n">
        <x:f>IF($A168="","",AVERAGE(100*((COUNTIF('All Stats'!$Y$6:$Y$172,"&lt;"&amp;'All Stats'!Y168)+(COUNTIF('All Stats'!$Y$6:$Y$172,'All Stats'!Y168)-1)/2)/(COUNT('All Stats'!$Y$6:$Y$172)-1))^'Specialisation Scenarios'!$X$10,100*((COUNTIF('All Stats'!$AB$6:$AB$172,"&lt;"&amp;'All Stats'!AB168)+(COUNTIF('All Stats'!$AB$6:$AB$172,'All Stats'!AB168)-1)/2)/(COUNT('All Stats'!$AB$6:$AB$172)-1))^'Specialisation Scenarios'!$X$10,100*((COUNTIF('All Stats'!$AD$6:$AD$172,"&lt;"&amp;'All Stats'!AD168)+(COUNTIF('All Stats'!$AD$6:$AD$172,'All Stats'!AD168)-1)/2)/(COUNT('All Stats'!$AD$6:$AD$172)-1))^'Specialisation Scenarios'!$X$10))</x:f>
        <x:v>25.63568432850585</x:v>
      </x:c>
      <x:c r="F168" s="577" t="n">
        <x:f>IF($A168="","",AVERAGE(100*((COUNTIF('All Stats'!$AF$6:$AF$172,"&lt;"&amp;'All Stats'!AF168)+(COUNTIF('All Stats'!$AF$6:$AF$172,'All Stats'!AF168)-1)/2)/(COUNT('All Stats'!$AF$6:$AF$172)-1))^'Specialisation Scenarios'!$X$10,100*((COUNTIF('All Stats'!$AI$6:$AI$172,"&lt;"&amp;'All Stats'!AI168)+(COUNTIF('All Stats'!$AI$6:$AI$172,'All Stats'!AI168)-1)/2)/(COUNT('All Stats'!$AI$6:$AI$172)-1))^'Specialisation Scenarios'!$X$10,100*((COUNTIF('All Stats'!$AK$6:$AK$172,"&lt;"&amp;'All Stats'!AK168)+(COUNTIF('All Stats'!$AK$6:$AK$172,'All Stats'!AK168)-1)/2)/(COUNT('All Stats'!$AK$6:$AK$172)-1))^'Specialisation Scenarios'!$X$10))</x:f>
        <x:v>62.919934549072245</x:v>
      </x:c>
      <x:c r="G168" s="577" t="n">
        <x:f>IF($A168="","",C168*'Specialisation Scenarios'!$X$11+D168*'Specialisation Scenarios'!$X$12+E168*'Specialisation Scenarios'!$X$13+F168*'Specialisation Scenarios'!$X$14)</x:f>
        <x:v>42.24625957664583</x:v>
      </x:c>
      <x:c r="H168" s="577" t="n">
        <x:f>IF(SUMIFS('Specialisation Impact'!$E$19:$E$186,'Specialisation Impact'!$A$19:$A$186,A168,'Specialisation Impact'!$B$19:$B$186,B168)=0,"",SUMIFS('Specialisation Impact'!$S$19:$S$186,'Specialisation Impact'!$A$19:$A$186,A168,'Specialisation Impact'!$B$19:$B$186,B168))</x:f>
        <x:v>80.97402597402598</x:v>
      </x:c>
      <x:c r="I168" s="581" t="n">
        <x:f>IF(SUMIFS('Specialisation Impact'!$E$19:$E$186,'Specialisation Impact'!$A$19:$A$186,A168,'Specialisation Impact'!$B$19:$B$186,B168)=0,0,SUMIFS('Specialisation Impact'!$F$19:$F$186,'Specialisation Impact'!$A$19:$A$186,A168,'Specialisation Impact'!$B$19:$B$186,B168))</x:f>
        <x:v>1</x:v>
      </x:c>
      <x:c r="J168" s="577" t="n">
        <x:f>G168</x:f>
        <x:v>42.24625957664583</x:v>
      </x:c>
      <x:c r="K168" s="577" t="n">
        <x:f>IF(G168="","",IF(I168=0,G168,MAX(0,MIN(100,G168*(1-'Specialisation Scenarios'!$B$8*I168)+H168*('Specialisation Scenarios'!$B$8*I168)))))</x:f>
        <x:v>51.92820117599087</x:v>
      </x:c>
      <x:c r="L168" s="577" t="n">
        <x:f>IF(G168="","",IF(I168=0,G168,MAX(0,MIN(100,G168*(1-'Specialisation Scenarios'!$B$9*I168)+H168*('Specialisation Scenarios'!$B$9*I168)))))</x:f>
        <x:v>55.800977815728885</x:v>
      </x:c>
      <x:c r="M168" s="577" t="str">
        <x:f>IF(COUNTIFS('Tank &amp; Control'!$A$23:$A$189,A168,'Tank &amp; Control'!$B$23:$B$189,B168,'Tank &amp; Control'!$C$23:$C$189,"Yes")&gt;0,"Yes","No")</x:f>
        <x:v>No</x:v>
      </x:c>
      <x:c r="N168" s="577" t="str">
        <x:f>IF(M168&lt;&gt;"Yes","",SUMIFS('Tank &amp; Control'!$L$23:$L$189,'Tank &amp; Control'!$A$23:$A$189,A168,'Tank &amp; Control'!$B$23:$B$189,B168))</x:f>
      </x:c>
      <x:c r="O168" s="577" t="n">
        <x:f>IF(SUMIFS('Specialisation Impact'!$M$19:$M$186,'Specialisation Impact'!$A$19:$A$186,A168,'Specialisation Impact'!$B$19:$B$186,B168)=0,"",SUMIFS('Specialisation Impact'!$V$19:$V$186,'Specialisation Impact'!$A$19:$A$186,A168,'Specialisation Impact'!$B$19:$B$186,B168))</x:f>
        <x:v>60.25641025641025</x:v>
      </x:c>
      <x:c r="P168" s="577" t="str">
        <x:f>IF(N168="","",N168)</x:f>
      </x:c>
      <x:c r="Q168" s="577" t="str">
        <x:f>IF(N168="","",IF(AC168=0,N168,MAX(0,MIN(100,N168*(1-'Specialisation Scenarios'!$B$8*AC168)+O168*('Specialisation Scenarios'!$B$8*AC168)))))</x:f>
      </x:c>
      <x:c r="R168" s="577" t="str">
        <x:f>IF(N168="","",IF(AC168=0,N168,MAX(0,MIN(100,N168*(1-'Specialisation Scenarios'!$B$9*AC168)+O168*('Specialisation Scenarios'!$B$9*AC168)))))</x:f>
      </x:c>
      <x:c r="S168" s="585" t="n">
        <x:f>IF(J168="","",COUNTIFS($A$6:$A$172,A168,$J$6:$J$172,"&gt;"&amp;J168)+COUNTIFS($A$6:A168,A168,$J$6:J168,J168))</x:f>
        <x:v>11</x:v>
      </x:c>
      <x:c r="T168" s="585" t="n">
        <x:f>IF(K168="","",COUNTIFS($A$6:$A$172,A168,$K$6:$K$172,"&gt;"&amp;K168)+COUNTIFS($A$6:A168,A168,$K$6:K168,K168))</x:f>
        <x:v>10</x:v>
      </x:c>
      <x:c r="U168" s="585" t="n">
        <x:f>IF(L168="","",COUNTIFS($A$6:$A$172,A168,$L$6:$L$172,"&gt;"&amp;L168)+COUNTIFS($A$6:A168,A168,$L$6:L168,L168))</x:f>
        <x:v>9</x:v>
      </x:c>
      <x:c r="V168" s="585" t="str">
        <x:f>IF(P168="","",COUNTIFS($A$6:$A$172,A168,$P$6:$P$172,"&gt;"&amp;P168)+COUNTIFS($A$6:A168,A168,$P$6:P168,P168))</x:f>
      </x:c>
      <x:c r="W168" s="585" t="str">
        <x:f>IF(Q168="","",COUNTIFS($A$6:$A$172,A168,$Q$6:$Q$172,"&gt;"&amp;Q168)+COUNTIFS($A$6:A168,A168,$Q$6:Q168,Q168))</x:f>
      </x:c>
      <x:c r="X168" s="585" t="str">
        <x:f>IF(R168="","",COUNTIFS($A$6:$A$172,A168,$R$6:$R$172,"&gt;"&amp;R168)+COUNTIFS($A$6:A168,A168,$R$6:R168,R168))</x:f>
      </x:c>
      <x:c r="Y168" s="573" t="str">
        <x:f>IF(V168="","",A168&amp;"|"&amp;V168)</x:f>
      </x:c>
      <x:c r="Z168" s="573" t="str">
        <x:f>IF(W168="","",A168&amp;"|"&amp;W168)</x:f>
      </x:c>
      <x:c r="AA168" s="573" t="str">
        <x:f>IF(X168="","",A168&amp;"|"&amp;X168)</x:f>
      </x:c>
      <x:c r="AB168" s="573" t="str">
        <x:f>IF(A168="","",IF(I168=0,"Offense neutral — no recorded offensive skills",IF(I168&lt;1,"Partial lookup — adjustment scaled",IF(AND(M168="Yes",AC168=0),"Offense adjusted; Guard neutral","Captured"))))</x:f>
        <x:v>Captured</x:v>
      </x:c>
      <x:c r="AC168" s="581" t="n">
        <x:f>IF(SUMIFS('Specialisation Impact'!$M$19:$M$186,'Specialisation Impact'!$A$19:$A$186,A168,'Specialisation Impact'!$B$19:$B$186,B168)=0,0,SUMIFS('Specialisation Impact'!$F$19:$F$186,'Specialisation Impact'!$A$19:$A$186,A168,'Specialisation Impact'!$B$19:$B$186,B168))</x:f>
        <x:v>1</x:v>
      </x:c>
    </x:row>
    <x:row r="169">
      <x:c r="A169" s="774" t="str">
        <x:v>K138</x:v>
      </x:c>
      <x:c r="B169" s="774" t="str">
        <x:v>(RaW)Leprechaun</x:v>
      </x:c>
      <x:c r="C169" s="783" t="n">
        <x:f>IF($A169="","",AVERAGE(100*((COUNTIF('All Stats'!$D$6:$D$172,"&lt;"&amp;'All Stats'!D169)+(COUNTIF('All Stats'!$D$6:$D$172,'All Stats'!D169)-1)/2)/(COUNT('All Stats'!$D$6:$D$172)-1))^'Specialisation Scenarios'!$X$10,100*((COUNTIF('All Stats'!$G$6:$G$172,"&lt;"&amp;'All Stats'!G169)+(COUNTIF('All Stats'!$G$6:$G$172,'All Stats'!G169)-1)/2)/(COUNT('All Stats'!$G$6:$G$172)-1))^'Specialisation Scenarios'!$X$10,100*((COUNTIF('All Stats'!$I$6:$I$172,"&lt;"&amp;'All Stats'!I169)+(COUNTIF('All Stats'!$I$6:$I$172,'All Stats'!I169)-1)/2)/(COUNT('All Stats'!$I$6:$I$172)-1))^'Specialisation Scenarios'!$X$10))</x:f>
        <x:v>12.624844202089648</x:v>
      </x:c>
      <x:c r="D169" s="783" t="n">
        <x:f>IF($A169="","",AVERAGE(100*((COUNTIF('All Stats'!$R$6:$R$172,"&lt;"&amp;'All Stats'!R169)+(COUNTIF('All Stats'!$R$6:$R$172,'All Stats'!R169)-1)/2)/(COUNT('All Stats'!$R$6:$R$172)-1))^'Specialisation Scenarios'!$X$10,100*((COUNTIF('All Stats'!$U$6:$U$172,"&lt;"&amp;'All Stats'!U169)+(COUNTIF('All Stats'!$U$6:$U$172,'All Stats'!U169)-1)/2)/(COUNT('All Stats'!$U$6:$U$172)-1))^'Specialisation Scenarios'!$X$10,100*((COUNTIF('All Stats'!$W$6:$W$172,"&lt;"&amp;'All Stats'!W169)+(COUNTIF('All Stats'!$W$6:$W$172,'All Stats'!W169)-1)/2)/(COUNT('All Stats'!$W$6:$W$172)-1))^'Specialisation Scenarios'!$X$10))</x:f>
        <x:v>17.343730895737608</x:v>
      </x:c>
      <x:c r="E169" s="783" t="n">
        <x:f>IF($A169="","",AVERAGE(100*((COUNTIF('All Stats'!$Y$6:$Y$172,"&lt;"&amp;'All Stats'!Y169)+(COUNTIF('All Stats'!$Y$6:$Y$172,'All Stats'!Y169)-1)/2)/(COUNT('All Stats'!$Y$6:$Y$172)-1))^'Specialisation Scenarios'!$X$10,100*((COUNTIF('All Stats'!$AB$6:$AB$172,"&lt;"&amp;'All Stats'!AB169)+(COUNTIF('All Stats'!$AB$6:$AB$172,'All Stats'!AB169)-1)/2)/(COUNT('All Stats'!$AB$6:$AB$172)-1))^'Specialisation Scenarios'!$X$10,100*((COUNTIF('All Stats'!$AD$6:$AD$172,"&lt;"&amp;'All Stats'!AD169)+(COUNTIF('All Stats'!$AD$6:$AD$172,'All Stats'!AD169)-1)/2)/(COUNT('All Stats'!$AD$6:$AD$172)-1))^'Specialisation Scenarios'!$X$10))</x:f>
        <x:v>3.4002652109353804</x:v>
      </x:c>
      <x:c r="F169" s="783" t="n">
        <x:f>IF($A169="","",AVERAGE(100*((COUNTIF('All Stats'!$AF$6:$AF$172,"&lt;"&amp;'All Stats'!AF169)+(COUNTIF('All Stats'!$AF$6:$AF$172,'All Stats'!AF169)-1)/2)/(COUNT('All Stats'!$AF$6:$AF$172)-1))^'Specialisation Scenarios'!$X$10,100*((COUNTIF('All Stats'!$AI$6:$AI$172,"&lt;"&amp;'All Stats'!AI169)+(COUNTIF('All Stats'!$AI$6:$AI$172,'All Stats'!AI169)-1)/2)/(COUNT('All Stats'!$AI$6:$AI$172)-1))^'Specialisation Scenarios'!$X$10,100*((COUNTIF('All Stats'!$AK$6:$AK$172,"&lt;"&amp;'All Stats'!AK169)+(COUNTIF('All Stats'!$AK$6:$AK$172,'All Stats'!AK169)-1)/2)/(COUNT('All Stats'!$AK$6:$AK$172)-1))^'Specialisation Scenarios'!$X$10))</x:f>
        <x:v>7.202048490840514</x:v>
      </x:c>
      <x:c r="G169" s="783" t="n">
        <x:f>IF($A169="","",C169*'Specialisation Scenarios'!$X$11+D169*'Specialisation Scenarios'!$X$12+E169*'Specialisation Scenarios'!$X$13+F169*'Specialisation Scenarios'!$X$14)</x:f>
        <x:v>13.720298962475626</x:v>
      </x:c>
      <x:c r="H169" s="783" t="n">
        <x:f>IF(SUMIFS('Specialisation Impact'!$E$19:$E$186,'Specialisation Impact'!$A$19:$A$186,A169,'Specialisation Impact'!$B$19:$B$186,B169)=0,"",SUMIFS('Specialisation Impact'!$S$19:$S$186,'Specialisation Impact'!$A$19:$A$186,A169,'Specialisation Impact'!$B$19:$B$186,B169))</x:f>
        <x:v>29.48051948051948</x:v>
      </x:c>
      <x:c r="I169" s="783" t="n">
        <x:f>IF(SUMIFS('Specialisation Impact'!$E$19:$E$186,'Specialisation Impact'!$A$19:$A$186,A169,'Specialisation Impact'!$B$19:$B$186,B169)=0,0,SUMIFS('Specialisation Impact'!$F$19:$F$186,'Specialisation Impact'!$A$19:$A$186,A169,'Specialisation Impact'!$B$19:$B$186,B169))</x:f>
        <x:v>1</x:v>
      </x:c>
      <x:c r="J169" s="783" t="n">
        <x:f>G169</x:f>
        <x:v>13.720298962475626</x:v>
      </x:c>
      <x:c r="K169" s="783" t="n">
        <x:f>IF(G169="","",IF(I169=0,G169,MAX(0,MIN(100,G169*(1-'Specialisation Scenarios'!$B$8*I169)+H169*('Specialisation Scenarios'!$B$8*I169)))))</x:f>
        <x:v>17.66035409198659</x:v>
      </x:c>
      <x:c r="L169" s="783" t="n">
        <x:f>IF(G169="","",IF(I169=0,G169,MAX(0,MIN(100,G169*(1-'Specialisation Scenarios'!$B$9*I169)+H169*('Specialisation Scenarios'!$B$9*I169)))))</x:f>
        <x:v>19.236376143790974</x:v>
      </x:c>
      <x:c r="M169" s="783" t="str">
        <x:f>IF(COUNTIFS('Tank &amp; Control'!$A$23:$A$189,A169,'Tank &amp; Control'!$B$23:$B$189,B169,'Tank &amp; Control'!$C$23:$C$189,"Yes")&gt;0,"Yes","No")</x:f>
        <x:v>No</x:v>
      </x:c>
      <x:c r="N169" s="783" t="str">
        <x:f>IF(M169&lt;&gt;"Yes","",SUMIFS('Tank &amp; Control'!$L$23:$L$189,'Tank &amp; Control'!$A$23:$A$189,A169,'Tank &amp; Control'!$B$23:$B$189,B169))</x:f>
      </x:c>
      <x:c r="O169" s="783" t="n">
        <x:f>IF(SUMIFS('Specialisation Impact'!$M$19:$M$186,'Specialisation Impact'!$A$19:$A$186,A169,'Specialisation Impact'!$B$19:$B$186,B169)=0,"",SUMIFS('Specialisation Impact'!$V$19:$V$186,'Specialisation Impact'!$A$19:$A$186,A169,'Specialisation Impact'!$B$19:$B$186,B169))</x:f>
        <x:v>93.16239316239316</x:v>
      </x:c>
      <x:c r="P169" s="783" t="str">
        <x:f>IF(N169="","",N169)</x:f>
      </x:c>
      <x:c r="Q169" s="783" t="str">
        <x:f>IF(N169="","",IF(AC169=0,N169,MAX(0,MIN(100,N169*(1-'Specialisation Scenarios'!$B$8*AC169)+O169*('Specialisation Scenarios'!$B$8*AC169)))))</x:f>
      </x:c>
      <x:c r="R169" s="783" t="str">
        <x:f>IF(N169="","",IF(AC169=0,N169,MAX(0,MIN(100,N169*(1-'Specialisation Scenarios'!$B$9*AC169)+O169*('Specialisation Scenarios'!$B$9*AC169)))))</x:f>
      </x:c>
      <x:c r="S169" s="789" t="n">
        <x:f>IF(J169="","",COUNTIFS($A$6:$A$172,A169,$J$6:$J$172,"&gt;"&amp;J169)+COUNTIFS($A$6:A169,A169,$J$6:J169,J169))</x:f>
        <x:v>20</x:v>
      </x:c>
      <x:c r="T169" s="789" t="n">
        <x:f>IF(K169="","",COUNTIFS($A$6:$A$172,A169,$K$6:$K$172,"&gt;"&amp;K169)+COUNTIFS($A$6:A169,A169,$K$6:K169,K169))</x:f>
        <x:v>19</x:v>
      </x:c>
      <x:c r="U169" s="789" t="n">
        <x:f>IF(L169="","",COUNTIFS($A$6:$A$172,A169,$L$6:$L$172,"&gt;"&amp;L169)+COUNTIFS($A$6:A169,A169,$L$6:L169,L169))</x:f>
        <x:v>18</x:v>
      </x:c>
      <x:c r="V169" s="789" t="str">
        <x:f>IF(P169="","",COUNTIFS($A$6:$A$172,A169,$P$6:$P$172,"&gt;"&amp;P169)+COUNTIFS($A$6:A169,A169,$P$6:P169,P169))</x:f>
      </x:c>
      <x:c r="W169" s="789" t="str">
        <x:f>IF(Q169="","",COUNTIFS($A$6:$A$172,A169,$Q$6:$Q$172,"&gt;"&amp;Q169)+COUNTIFS($A$6:A169,A169,$Q$6:Q169,Q169))</x:f>
      </x:c>
      <x:c r="X169" s="789" t="str">
        <x:f>IF(R169="","",COUNTIFS($A$6:$A$172,A169,$R$6:$R$172,"&gt;"&amp;R169)+COUNTIFS($A$6:A169,A169,$R$6:R169,R169))</x:f>
      </x:c>
      <x:c r="Y169" s="772" t="str">
        <x:f>IF(V169="","",A169&amp;"|"&amp;V169)</x:f>
      </x:c>
      <x:c r="Z169" s="772" t="str">
        <x:f>IF(W169="","",A169&amp;"|"&amp;W169)</x:f>
      </x:c>
      <x:c r="AA169" s="772" t="str">
        <x:f>IF(X169="","",A169&amp;"|"&amp;X169)</x:f>
      </x:c>
      <x:c r="AB169" s="772" t="str">
        <x:f>IF(A169="","",IF(I169=0,"Offense neutral — no recorded offensive skills",IF(I169&lt;1,"Partial lookup — adjustment scaled",IF(AND(M169="Yes",AC169=0),"Offense adjusted; Guard neutral","Captured"))))</x:f>
        <x:v>Captured</x:v>
      </x:c>
      <x:c r="AC169" s="782" t="n">
        <x:f>IF(SUMIFS('Specialisation Impact'!$M$19:$M$186,'Specialisation Impact'!$A$19:$A$186,A169,'Specialisation Impact'!$B$19:$B$186,B169)=0,0,SUMIFS('Specialisation Impact'!$F$19:$F$186,'Specialisation Impact'!$A$19:$A$186,A169,'Specialisation Impact'!$B$19:$B$186,B169))</x:f>
        <x:v>1</x:v>
      </x:c>
    </x:row>
    <x:row r="170">
      <x:c r="A170" s="771" t="str">
        <x:v>K138</x:v>
      </x:c>
      <x:c r="B170" s="771" t="str">
        <x:v>(RaW)༺TsuStark༻</x:v>
      </x:c>
      <x:c r="C170" s="783" t="n">
        <x:f>IF($A170="","",AVERAGE(100*((COUNTIF('All Stats'!$D$6:$D$172,"&lt;"&amp;'All Stats'!D170)+(COUNTIF('All Stats'!$D$6:$D$172,'All Stats'!D170)-1)/2)/(COUNT('All Stats'!$D$6:$D$172)-1))^'Specialisation Scenarios'!$X$10,100*((COUNTIF('All Stats'!$G$6:$G$172,"&lt;"&amp;'All Stats'!G170)+(COUNTIF('All Stats'!$G$6:$G$172,'All Stats'!G170)-1)/2)/(COUNT('All Stats'!$G$6:$G$172)-1))^'Specialisation Scenarios'!$X$10,100*((COUNTIF('All Stats'!$I$6:$I$172,"&lt;"&amp;'All Stats'!I170)+(COUNTIF('All Stats'!$I$6:$I$172,'All Stats'!I170)-1)/2)/(COUNT('All Stats'!$I$6:$I$172)-1))^'Specialisation Scenarios'!$X$10))</x:f>
        <x:v>6.789223332917956</x:v>
      </x:c>
      <x:c r="D170" s="783" t="n">
        <x:f>IF($A170="","",AVERAGE(100*((COUNTIF('All Stats'!$R$6:$R$172,"&lt;"&amp;'All Stats'!R170)+(COUNTIF('All Stats'!$R$6:$R$172,'All Stats'!R170)-1)/2)/(COUNT('All Stats'!$R$6:$R$172)-1))^'Specialisation Scenarios'!$X$10,100*((COUNTIF('All Stats'!$U$6:$U$172,"&lt;"&amp;'All Stats'!U170)+(COUNTIF('All Stats'!$U$6:$U$172,'All Stats'!U170)-1)/2)/(COUNT('All Stats'!$U$6:$U$172)-1))^'Specialisation Scenarios'!$X$10,100*((COUNTIF('All Stats'!$W$6:$W$172,"&lt;"&amp;'All Stats'!W170)+(COUNTIF('All Stats'!$W$6:$W$172,'All Stats'!W170)-1)/2)/(COUNT('All Stats'!$W$6:$W$172)-1))^'Specialisation Scenarios'!$X$10))</x:f>
        <x:v>16.387659861927727</x:v>
      </x:c>
      <x:c r="E170" s="783" t="n">
        <x:f>IF($A170="","",AVERAGE(100*((COUNTIF('All Stats'!$Y$6:$Y$172,"&lt;"&amp;'All Stats'!Y170)+(COUNTIF('All Stats'!$Y$6:$Y$172,'All Stats'!Y170)-1)/2)/(COUNT('All Stats'!$Y$6:$Y$172)-1))^'Specialisation Scenarios'!$X$10,100*((COUNTIF('All Stats'!$AB$6:$AB$172,"&lt;"&amp;'All Stats'!AB170)+(COUNTIF('All Stats'!$AB$6:$AB$172,'All Stats'!AB170)-1)/2)/(COUNT('All Stats'!$AB$6:$AB$172)-1))^'Specialisation Scenarios'!$X$10,100*((COUNTIF('All Stats'!$AD$6:$AD$172,"&lt;"&amp;'All Stats'!AD170)+(COUNTIF('All Stats'!$AD$6:$AD$172,'All Stats'!AD170)-1)/2)/(COUNT('All Stats'!$AD$6:$AD$172)-1))^'Specialisation Scenarios'!$X$10))</x:f>
        <x:v>15.468633157726991</x:v>
      </x:c>
      <x:c r="F170" s="783" t="n">
        <x:f>IF($A170="","",AVERAGE(100*((COUNTIF('All Stats'!$AF$6:$AF$172,"&lt;"&amp;'All Stats'!AF170)+(COUNTIF('All Stats'!$AF$6:$AF$172,'All Stats'!AF170)-1)/2)/(COUNT('All Stats'!$AF$6:$AF$172)-1))^'Specialisation Scenarios'!$X$10,100*((COUNTIF('All Stats'!$AI$6:$AI$172,"&lt;"&amp;'All Stats'!AI170)+(COUNTIF('All Stats'!$AI$6:$AI$172,'All Stats'!AI170)-1)/2)/(COUNT('All Stats'!$AI$6:$AI$172)-1))^'Specialisation Scenarios'!$X$10,100*((COUNTIF('All Stats'!$AK$6:$AK$172,"&lt;"&amp;'All Stats'!AK170)+(COUNTIF('All Stats'!$AK$6:$AK$172,'All Stats'!AK170)-1)/2)/(COUNT('All Stats'!$AK$6:$AK$172)-1))^'Specialisation Scenarios'!$X$10))</x:f>
        <x:v>8.445149967250769</x:v>
      </x:c>
      <x:c r="G170" s="783" t="n">
        <x:f>IF($A170="","",C170*'Specialisation Scenarios'!$X$11+D170*'Specialisation Scenarios'!$X$12+E170*'Specialisation Scenarios'!$X$13+F170*'Specialisation Scenarios'!$X$14)</x:f>
        <x:v>13.664615227954643</x:v>
      </x:c>
      <x:c r="H170" s="783" t="n">
        <x:f>IF(SUMIFS('Specialisation Impact'!$E$19:$E$186,'Specialisation Impact'!$A$19:$A$186,A170,'Specialisation Impact'!$B$19:$B$186,B170)=0,"",SUMIFS('Specialisation Impact'!$S$19:$S$186,'Specialisation Impact'!$A$19:$A$186,A170,'Specialisation Impact'!$B$19:$B$186,B170))</x:f>
        <x:v>5.454545454545455</x:v>
      </x:c>
      <x:c r="I170" s="783" t="n">
        <x:f>IF(SUMIFS('Specialisation Impact'!$E$19:$E$186,'Specialisation Impact'!$A$19:$A$186,A170,'Specialisation Impact'!$B$19:$B$186,B170)=0,0,SUMIFS('Specialisation Impact'!$F$19:$F$186,'Specialisation Impact'!$A$19:$A$186,A170,'Specialisation Impact'!$B$19:$B$186,B170))</x:f>
        <x:v>1</x:v>
      </x:c>
      <x:c r="J170" s="783" t="n">
        <x:f>G170</x:f>
        <x:v>13.664615227954643</x:v>
      </x:c>
      <x:c r="K170" s="783" t="n">
        <x:f>IF(G170="","",IF(I170=0,G170,MAX(0,MIN(100,G170*(1-'Specialisation Scenarios'!$B$8*I170)+H170*('Specialisation Scenarios'!$B$8*I170)))))</x:f>
        <x:v>11.612097784602346</x:v>
      </x:c>
      <x:c r="L170" s="783" t="n">
        <x:f>IF(G170="","",IF(I170=0,G170,MAX(0,MIN(100,G170*(1-'Specialisation Scenarios'!$B$9*I170)+H170*('Specialisation Scenarios'!$B$9*I170)))))</x:f>
        <x:v>10.791090807261426</x:v>
      </x:c>
      <x:c r="M170" s="783" t="str">
        <x:f>IF(COUNTIFS('Tank &amp; Control'!$A$23:$A$189,A170,'Tank &amp; Control'!$B$23:$B$189,B170,'Tank &amp; Control'!$C$23:$C$189,"Yes")&gt;0,"Yes","No")</x:f>
        <x:v>No</x:v>
      </x:c>
      <x:c r="N170" s="783" t="str">
        <x:f>IF(M170&lt;&gt;"Yes","",SUMIFS('Tank &amp; Control'!$L$23:$L$189,'Tank &amp; Control'!$A$23:$A$189,A170,'Tank &amp; Control'!$B$23:$B$189,B170))</x:f>
      </x:c>
      <x:c r="O170" s="783" t="n">
        <x:f>IF(SUMIFS('Specialisation Impact'!$M$19:$M$186,'Specialisation Impact'!$A$19:$A$186,A170,'Specialisation Impact'!$B$19:$B$186,B170)=0,"",SUMIFS('Specialisation Impact'!$V$19:$V$186,'Specialisation Impact'!$A$19:$A$186,A170,'Specialisation Impact'!$B$19:$B$186,B170))</x:f>
        <x:v>43.58974358974359</x:v>
      </x:c>
      <x:c r="P170" s="783" t="str">
        <x:f>IF(N170="","",N170)</x:f>
      </x:c>
      <x:c r="Q170" s="783" t="str">
        <x:f>IF(N170="","",IF(AC170=0,N170,MAX(0,MIN(100,N170*(1-'Specialisation Scenarios'!$B$8*AC170)+O170*('Specialisation Scenarios'!$B$8*AC170)))))</x:f>
      </x:c>
      <x:c r="R170" s="783" t="str">
        <x:f>IF(N170="","",IF(AC170=0,N170,MAX(0,MIN(100,N170*(1-'Specialisation Scenarios'!$B$9*AC170)+O170*('Specialisation Scenarios'!$B$9*AC170)))))</x:f>
      </x:c>
      <x:c r="S170" s="789" t="n">
        <x:f>IF(J170="","",COUNTIFS($A$6:$A$172,A170,$J$6:$J$172,"&gt;"&amp;J170)+COUNTIFS($A$6:A170,A170,$J$6:J170,J170))</x:f>
        <x:v>21</x:v>
      </x:c>
      <x:c r="T170" s="789" t="n">
        <x:f>IF(K170="","",COUNTIFS($A$6:$A$172,A170,$K$6:$K$172,"&gt;"&amp;K170)+COUNTIFS($A$6:A170,A170,$K$6:K170,K170))</x:f>
        <x:v>21</x:v>
      </x:c>
      <x:c r="U170" s="789" t="n">
        <x:f>IF(L170="","",COUNTIFS($A$6:$A$172,A170,$L$6:$L$172,"&gt;"&amp;L170)+COUNTIFS($A$6:A170,A170,$L$6:L170,L170))</x:f>
        <x:v>21</x:v>
      </x:c>
      <x:c r="V170" s="789" t="str">
        <x:f>IF(P170="","",COUNTIFS($A$6:$A$172,A170,$P$6:$P$172,"&gt;"&amp;P170)+COUNTIFS($A$6:A170,A170,$P$6:P170,P170))</x:f>
      </x:c>
      <x:c r="W170" s="789" t="str">
        <x:f>IF(Q170="","",COUNTIFS($A$6:$A$172,A170,$Q$6:$Q$172,"&gt;"&amp;Q170)+COUNTIFS($A$6:A170,A170,$Q$6:Q170,Q170))</x:f>
      </x:c>
      <x:c r="X170" s="789" t="str">
        <x:f>IF(R170="","",COUNTIFS($A$6:$A$172,A170,$R$6:$R$172,"&gt;"&amp;R170)+COUNTIFS($A$6:A170,A170,$R$6:R170,R170))</x:f>
      </x:c>
      <x:c r="Y170" s="772" t="str">
        <x:f>IF(V170="","",A170&amp;"|"&amp;V170)</x:f>
      </x:c>
      <x:c r="Z170" s="772" t="str">
        <x:f>IF(W170="","",A170&amp;"|"&amp;W170)</x:f>
      </x:c>
      <x:c r="AA170" s="772" t="str">
        <x:f>IF(X170="","",A170&amp;"|"&amp;X170)</x:f>
      </x:c>
      <x:c r="AB170" s="772" t="str">
        <x:f>IF(A170="","",IF(I170=0,"Offense neutral — no recorded offensive skills",IF(I170&lt;1,"Partial lookup — adjustment scaled",IF(AND(M170="Yes",AC170=0),"Offense adjusted; Guard neutral","Captured"))))</x:f>
        <x:v>Captured</x:v>
      </x:c>
      <x:c r="AC170" s="782" t="n">
        <x:f>IF(SUMIFS('Specialisation Impact'!$M$19:$M$186,'Specialisation Impact'!$A$19:$A$186,A170,'Specialisation Impact'!$B$19:$B$186,B170)=0,0,SUMIFS('Specialisation Impact'!$F$19:$F$186,'Specialisation Impact'!$A$19:$A$186,A170,'Specialisation Impact'!$B$19:$B$186,B170))</x:f>
        <x:v>1</x:v>
      </x:c>
    </x:row>
    <x:row r="171">
      <x:c r="A171" s="774" t="str">
        <x:v>K138</x:v>
      </x:c>
      <x:c r="B171" s="774" t="str">
        <x:v>(RaW)ⓀⒶⓃⓃⓄⓃ</x:v>
      </x:c>
      <x:c r="C171" s="783" t="n">
        <x:f>IF($A171="","",AVERAGE(100*((COUNTIF('All Stats'!$D$6:$D$172,"&lt;"&amp;'All Stats'!D171)+(COUNTIF('All Stats'!$D$6:$D$172,'All Stats'!D171)-1)/2)/(COUNT('All Stats'!$D$6:$D$172)-1))^'Specialisation Scenarios'!$X$10,100*((COUNTIF('All Stats'!$G$6:$G$172,"&lt;"&amp;'All Stats'!G171)+(COUNTIF('All Stats'!$G$6:$G$172,'All Stats'!G171)-1)/2)/(COUNT('All Stats'!$G$6:$G$172)-1))^'Specialisation Scenarios'!$X$10,100*((COUNTIF('All Stats'!$I$6:$I$172,"&lt;"&amp;'All Stats'!I171)+(COUNTIF('All Stats'!$I$6:$I$172,'All Stats'!I171)-1)/2)/(COUNT('All Stats'!$I$6:$I$172)-1))^'Specialisation Scenarios'!$X$10))</x:f>
        <x:v>7.217690384435083</x:v>
      </x:c>
      <x:c r="D171" s="783" t="n">
        <x:f>IF($A171="","",AVERAGE(100*((COUNTIF('All Stats'!$R$6:$R$172,"&lt;"&amp;'All Stats'!R171)+(COUNTIF('All Stats'!$R$6:$R$172,'All Stats'!R171)-1)/2)/(COUNT('All Stats'!$R$6:$R$172)-1))^'Specialisation Scenarios'!$X$10,100*((COUNTIF('All Stats'!$U$6:$U$172,"&lt;"&amp;'All Stats'!U171)+(COUNTIF('All Stats'!$U$6:$U$172,'All Stats'!U171)-1)/2)/(COUNT('All Stats'!$U$6:$U$172)-1))^'Specialisation Scenarios'!$X$10,100*((COUNTIF('All Stats'!$W$6:$W$172,"&lt;"&amp;'All Stats'!W171)+(COUNTIF('All Stats'!$W$6:$W$172,'All Stats'!W171)-1)/2)/(COUNT('All Stats'!$W$6:$W$172)-1))^'Specialisation Scenarios'!$X$10))</x:f>
        <x:v>17.347462049349982</x:v>
      </x:c>
      <x:c r="E171" s="783" t="n">
        <x:f>IF($A171="","",AVERAGE(100*((COUNTIF('All Stats'!$Y$6:$Y$172,"&lt;"&amp;'All Stats'!Y171)+(COUNTIF('All Stats'!$Y$6:$Y$172,'All Stats'!Y171)-1)/2)/(COUNT('All Stats'!$Y$6:$Y$172)-1))^'Specialisation Scenarios'!$X$10,100*((COUNTIF('All Stats'!$AB$6:$AB$172,"&lt;"&amp;'All Stats'!AB171)+(COUNTIF('All Stats'!$AB$6:$AB$172,'All Stats'!AB171)-1)/2)/(COUNT('All Stats'!$AB$6:$AB$172)-1))^'Specialisation Scenarios'!$X$10,100*((COUNTIF('All Stats'!$AD$6:$AD$172,"&lt;"&amp;'All Stats'!AD171)+(COUNTIF('All Stats'!$AD$6:$AD$172,'All Stats'!AD171)-1)/2)/(COUNT('All Stats'!$AD$6:$AD$172)-1))^'Specialisation Scenarios'!$X$10))</x:f>
        <x:v>16.069876714974498</x:v>
      </x:c>
      <x:c r="F171" s="783" t="n">
        <x:f>IF($A171="","",AVERAGE(100*((COUNTIF('All Stats'!$AF$6:$AF$172,"&lt;"&amp;'All Stats'!AF171)+(COUNTIF('All Stats'!$AF$6:$AF$172,'All Stats'!AF171)-1)/2)/(COUNT('All Stats'!$AF$6:$AF$172)-1))^'Specialisation Scenarios'!$X$10,100*((COUNTIF('All Stats'!$AI$6:$AI$172,"&lt;"&amp;'All Stats'!AI171)+(COUNTIF('All Stats'!$AI$6:$AI$172,'All Stats'!AI171)-1)/2)/(COUNT('All Stats'!$AI$6:$AI$172)-1))^'Specialisation Scenarios'!$X$10,100*((COUNTIF('All Stats'!$AK$6:$AK$172,"&lt;"&amp;'All Stats'!AK171)+(COUNTIF('All Stats'!$AK$6:$AK$172,'All Stats'!AK171)-1)/2)/(COUNT('All Stats'!$AK$6:$AK$172)-1))^'Specialisation Scenarios'!$X$10))</x:f>
        <x:v>10.064189563072656</x:v>
      </x:c>
      <x:c r="G171" s="783" t="n">
        <x:f>IF($A171="","",C171*'Specialisation Scenarios'!$X$11+D171*'Specialisation Scenarios'!$X$12+E171*'Specialisation Scenarios'!$X$13+F171*'Specialisation Scenarios'!$X$14)</x:f>
        <x:v>14.6077468932336</x:v>
      </x:c>
      <x:c r="H171" s="783" t="n">
        <x:f>IF(SUMIFS('Specialisation Impact'!$E$19:$E$186,'Specialisation Impact'!$A$19:$A$186,A171,'Specialisation Impact'!$B$19:$B$186,B171)=0,"",SUMIFS('Specialisation Impact'!$S$19:$S$186,'Specialisation Impact'!$A$19:$A$186,A171,'Specialisation Impact'!$B$19:$B$186,B171))</x:f>
        <x:v>9.935064935064934</x:v>
      </x:c>
      <x:c r="I171" s="783" t="n">
        <x:f>IF(SUMIFS('Specialisation Impact'!$E$19:$E$186,'Specialisation Impact'!$A$19:$A$186,A171,'Specialisation Impact'!$B$19:$B$186,B171)=0,0,SUMIFS('Specialisation Impact'!$F$19:$F$186,'Specialisation Impact'!$A$19:$A$186,A171,'Specialisation Impact'!$B$19:$B$186,B171))</x:f>
        <x:v>1</x:v>
      </x:c>
      <x:c r="J171" s="783" t="n">
        <x:f>G171</x:f>
        <x:v>14.6077468932336</x:v>
      </x:c>
      <x:c r="K171" s="783" t="n">
        <x:f>IF(G171="","",IF(I171=0,G171,MAX(0,MIN(100,G171*(1-'Specialisation Scenarios'!$B$8*I171)+H171*('Specialisation Scenarios'!$B$8*I171)))))</x:f>
        <x:v>13.439576403691435</x:v>
      </x:c>
      <x:c r="L171" s="783" t="n">
        <x:f>IF(G171="","",IF(I171=0,G171,MAX(0,MIN(100,G171*(1-'Specialisation Scenarios'!$B$9*I171)+H171*('Specialisation Scenarios'!$B$9*I171)))))</x:f>
        <x:v>12.972308207874567</x:v>
      </x:c>
      <x:c r="M171" s="783" t="str">
        <x:f>IF(COUNTIFS('Tank &amp; Control'!$A$23:$A$189,A171,'Tank &amp; Control'!$B$23:$B$189,B171,'Tank &amp; Control'!$C$23:$C$189,"Yes")&gt;0,"Yes","No")</x:f>
        <x:v>No</x:v>
      </x:c>
      <x:c r="N171" s="783" t="str">
        <x:f>IF(M171&lt;&gt;"Yes","",SUMIFS('Tank &amp; Control'!$L$23:$L$189,'Tank &amp; Control'!$A$23:$A$189,A171,'Tank &amp; Control'!$B$23:$B$189,B171))</x:f>
      </x:c>
      <x:c r="O171" s="783" t="n">
        <x:f>IF(SUMIFS('Specialisation Impact'!$M$19:$M$186,'Specialisation Impact'!$A$19:$A$186,A171,'Specialisation Impact'!$B$19:$B$186,B171)=0,"",SUMIFS('Specialisation Impact'!$V$19:$V$186,'Specialisation Impact'!$A$19:$A$186,A171,'Specialisation Impact'!$B$19:$B$186,B171))</x:f>
        <x:v>43.58974358974359</x:v>
      </x:c>
      <x:c r="P171" s="783" t="str">
        <x:f>IF(N171="","",N171)</x:f>
      </x:c>
      <x:c r="Q171" s="783" t="str">
        <x:f>IF(N171="","",IF(AC171=0,N171,MAX(0,MIN(100,N171*(1-'Specialisation Scenarios'!$B$8*AC171)+O171*('Specialisation Scenarios'!$B$8*AC171)))))</x:f>
      </x:c>
      <x:c r="R171" s="783" t="str">
        <x:f>IF(N171="","",IF(AC171=0,N171,MAX(0,MIN(100,N171*(1-'Specialisation Scenarios'!$B$9*AC171)+O171*('Specialisation Scenarios'!$B$9*AC171)))))</x:f>
      </x:c>
      <x:c r="S171" s="789" t="n">
        <x:f>IF(J171="","",COUNTIFS($A$6:$A$172,A171,$J$6:$J$172,"&gt;"&amp;J171)+COUNTIFS($A$6:A171,A171,$J$6:J171,J171))</x:f>
        <x:v>19</x:v>
      </x:c>
      <x:c r="T171" s="789" t="n">
        <x:f>IF(K171="","",COUNTIFS($A$6:$A$172,A171,$K$6:$K$172,"&gt;"&amp;K171)+COUNTIFS($A$6:A171,A171,$K$6:K171,K171))</x:f>
        <x:v>20</x:v>
      </x:c>
      <x:c r="U171" s="789" t="n">
        <x:f>IF(L171="","",COUNTIFS($A$6:$A$172,A171,$L$6:$L$172,"&gt;"&amp;L171)+COUNTIFS($A$6:A171,A171,$L$6:L171,L171))</x:f>
        <x:v>20</x:v>
      </x:c>
      <x:c r="V171" s="789" t="str">
        <x:f>IF(P171="","",COUNTIFS($A$6:$A$172,A171,$P$6:$P$172,"&gt;"&amp;P171)+COUNTIFS($A$6:A171,A171,$P$6:P171,P171))</x:f>
      </x:c>
      <x:c r="W171" s="789" t="str">
        <x:f>IF(Q171="","",COUNTIFS($A$6:$A$172,A171,$Q$6:$Q$172,"&gt;"&amp;Q171)+COUNTIFS($A$6:A171,A171,$Q$6:Q171,Q171))</x:f>
      </x:c>
      <x:c r="X171" s="789" t="str">
        <x:f>IF(R171="","",COUNTIFS($A$6:$A$172,A171,$R$6:$R$172,"&gt;"&amp;R171)+COUNTIFS($A$6:A171,A171,$R$6:R171,R171))</x:f>
      </x:c>
      <x:c r="Y171" s="772" t="str">
        <x:f>IF(V171="","",A171&amp;"|"&amp;V171)</x:f>
      </x:c>
      <x:c r="Z171" s="772" t="str">
        <x:f>IF(W171="","",A171&amp;"|"&amp;W171)</x:f>
      </x:c>
      <x:c r="AA171" s="772" t="str">
        <x:f>IF(X171="","",A171&amp;"|"&amp;X171)</x:f>
      </x:c>
      <x:c r="AB171" s="772" t="str">
        <x:f>IF(A171="","",IF(I171=0,"Offense neutral — no recorded offensive skills",IF(I171&lt;1,"Partial lookup — adjustment scaled",IF(AND(M171="Yes",AC171=0),"Offense adjusted; Guard neutral","Captured"))))</x:f>
        <x:v>Captured</x:v>
      </x:c>
      <x:c r="AC171" s="782" t="n">
        <x:f>IF(SUMIFS('Specialisation Impact'!$M$19:$M$186,'Specialisation Impact'!$A$19:$A$186,A171,'Specialisation Impact'!$B$19:$B$186,B171)=0,0,SUMIFS('Specialisation Impact'!$F$19:$F$186,'Specialisation Impact'!$A$19:$A$186,A171,'Specialisation Impact'!$B$19:$B$186,B171))</x:f>
        <x:v>1</x:v>
      </x:c>
    </x:row>
    <x:row r="172">
      <x:c r="A172" s="771" t="str">
        <x:v>K138</x:v>
      </x:c>
      <x:c r="B172" s="771" t="str">
        <x:v>(RaW)Des</x:v>
      </x:c>
      <x:c r="C172" s="783" t="n">
        <x:f>IF($A172="","",AVERAGE(100*((COUNTIF('All Stats'!$D$6:$D$172,"&lt;"&amp;'All Stats'!D172)+(COUNTIF('All Stats'!$D$6:$D$172,'All Stats'!D172)-1)/2)/(COUNT('All Stats'!$D$6:$D$172)-1))^'Specialisation Scenarios'!$X$10,100*((COUNTIF('All Stats'!$G$6:$G$172,"&lt;"&amp;'All Stats'!G172)+(COUNTIF('All Stats'!$G$6:$G$172,'All Stats'!G172)-1)/2)/(COUNT('All Stats'!$G$6:$G$172)-1))^'Specialisation Scenarios'!$X$10,100*((COUNTIF('All Stats'!$I$6:$I$172,"&lt;"&amp;'All Stats'!I172)+(COUNTIF('All Stats'!$I$6:$I$172,'All Stats'!I172)-1)/2)/(COUNT('All Stats'!$I$6:$I$172)-1))^'Specialisation Scenarios'!$X$10))</x:f>
        <x:v>31.826279246451154</x:v>
      </x:c>
      <x:c r="D172" s="783" t="n">
        <x:f>IF($A172="","",AVERAGE(100*((COUNTIF('All Stats'!$R$6:$R$172,"&lt;"&amp;'All Stats'!R172)+(COUNTIF('All Stats'!$R$6:$R$172,'All Stats'!R172)-1)/2)/(COUNT('All Stats'!$R$6:$R$172)-1))^'Specialisation Scenarios'!$X$10,100*((COUNTIF('All Stats'!$U$6:$U$172,"&lt;"&amp;'All Stats'!U172)+(COUNTIF('All Stats'!$U$6:$U$172,'All Stats'!U172)-1)/2)/(COUNT('All Stats'!$U$6:$U$172)-1))^'Specialisation Scenarios'!$X$10,100*((COUNTIF('All Stats'!$W$6:$W$172,"&lt;"&amp;'All Stats'!W172)+(COUNTIF('All Stats'!$W$6:$W$172,'All Stats'!W172)-1)/2)/(COUNT('All Stats'!$W$6:$W$172)-1))^'Specialisation Scenarios'!$X$10))</x:f>
        <x:v>10.076577079061051</x:v>
      </x:c>
      <x:c r="E172" s="783" t="n">
        <x:f>IF($A172="","",AVERAGE(100*((COUNTIF('All Stats'!$Y$6:$Y$172,"&lt;"&amp;'All Stats'!Y172)+(COUNTIF('All Stats'!$Y$6:$Y$172,'All Stats'!Y172)-1)/2)/(COUNT('All Stats'!$Y$6:$Y$172)-1))^'Specialisation Scenarios'!$X$10,100*((COUNTIF('All Stats'!$AB$6:$AB$172,"&lt;"&amp;'All Stats'!AB172)+(COUNTIF('All Stats'!$AB$6:$AB$172,'All Stats'!AB172)-1)/2)/(COUNT('All Stats'!$AB$6:$AB$172)-1))^'Specialisation Scenarios'!$X$10,100*((COUNTIF('All Stats'!$AD$6:$AD$172,"&lt;"&amp;'All Stats'!AD172)+(COUNTIF('All Stats'!$AD$6:$AD$172,'All Stats'!AD172)-1)/2)/(COUNT('All Stats'!$AD$6:$AD$172)-1))^'Specialisation Scenarios'!$X$10))</x:f>
        <x:v>36.13496722951198</x:v>
      </x:c>
      <x:c r="F172" s="783" t="n">
        <x:f>IF($A172="","",AVERAGE(100*((COUNTIF('All Stats'!$AF$6:$AF$172,"&lt;"&amp;'All Stats'!AF172)+(COUNTIF('All Stats'!$AF$6:$AF$172,'All Stats'!AF172)-1)/2)/(COUNT('All Stats'!$AF$6:$AF$172)-1))^'Specialisation Scenarios'!$X$10,100*((COUNTIF('All Stats'!$AI$6:$AI$172,"&lt;"&amp;'All Stats'!AI172)+(COUNTIF('All Stats'!$AI$6:$AI$172,'All Stats'!AI172)-1)/2)/(COUNT('All Stats'!$AI$6:$AI$172)-1))^'Specialisation Scenarios'!$X$10,100*((COUNTIF('All Stats'!$AK$6:$AK$172,"&lt;"&amp;'All Stats'!AK172)+(COUNTIF('All Stats'!$AK$6:$AK$172,'All Stats'!AK172)-1)/2)/(COUNT('All Stats'!$AK$6:$AK$172)-1))^'Specialisation Scenarios'!$X$10))</x:f>
        <x:v>21.003948792928462</x:v>
      </x:c>
      <x:c r="G172" s="783" t="n">
        <x:f>IF($A172="","",C172*'Specialisation Scenarios'!$X$11+D172*'Specialisation Scenarios'!$X$12+E172*'Specialisation Scenarios'!$X$13+F172*'Specialisation Scenarios'!$X$14)</x:f>
        <x:v>17.583977176294773</x:v>
      </x:c>
      <x:c r="H172" s="783" t="n">
        <x:f>IF(SUMIFS('Specialisation Impact'!$E$19:$E$186,'Specialisation Impact'!$A$19:$A$186,A172,'Specialisation Impact'!$B$19:$B$186,B172)=0,"",SUMIFS('Specialisation Impact'!$S$19:$S$186,'Specialisation Impact'!$A$19:$A$186,A172,'Specialisation Impact'!$B$19:$B$186,B172))</x:f>
        <x:v>29.48051948051948</x:v>
      </x:c>
      <x:c r="I172" s="783" t="n">
        <x:f>IF(SUMIFS('Specialisation Impact'!$E$19:$E$186,'Specialisation Impact'!$A$19:$A$186,A172,'Specialisation Impact'!$B$19:$B$186,B172)=0,0,SUMIFS('Specialisation Impact'!$F$19:$F$186,'Specialisation Impact'!$A$19:$A$186,A172,'Specialisation Impact'!$B$19:$B$186,B172))</x:f>
        <x:v>1</x:v>
      </x:c>
      <x:c r="J172" s="783" t="n">
        <x:f>G172</x:f>
        <x:v>17.583977176294773</x:v>
      </x:c>
      <x:c r="K172" s="783" t="n">
        <x:f>IF(G172="","",IF(I172=0,G172,MAX(0,MIN(100,G172*(1-'Specialisation Scenarios'!$B$8*I172)+H172*('Specialisation Scenarios'!$B$8*I172)))))</x:f>
        <x:v>20.55811275235095</x:v>
      </x:c>
      <x:c r="L172" s="783" t="n">
        <x:f>IF(G172="","",IF(I172=0,G172,MAX(0,MIN(100,G172*(1-'Specialisation Scenarios'!$B$9*I172)+H172*('Specialisation Scenarios'!$B$9*I172)))))</x:f>
        <x:v>21.74776698277342</x:v>
      </x:c>
      <x:c r="M172" s="783" t="str">
        <x:f>IF(COUNTIFS('Tank &amp; Control'!$A$23:$A$189,A172,'Tank &amp; Control'!$B$23:$B$189,B172,'Tank &amp; Control'!$C$23:$C$189,"Yes")&gt;0,"Yes","No")</x:f>
        <x:v>No</x:v>
      </x:c>
      <x:c r="N172" s="783" t="str">
        <x:f>IF(M172&lt;&gt;"Yes","",SUMIFS('Tank &amp; Control'!$L$23:$L$189,'Tank &amp; Control'!$A$23:$A$189,A172,'Tank &amp; Control'!$B$23:$B$189,B172))</x:f>
      </x:c>
      <x:c r="O172" s="783" t="n">
        <x:f>IF(SUMIFS('Specialisation Impact'!$M$19:$M$186,'Specialisation Impact'!$A$19:$A$186,A172,'Specialisation Impact'!$B$19:$B$186,B172)=0,"",SUMIFS('Specialisation Impact'!$V$19:$V$186,'Specialisation Impact'!$A$19:$A$186,A172,'Specialisation Impact'!$B$19:$B$186,B172))</x:f>
        <x:v>93.16239316239316</x:v>
      </x:c>
      <x:c r="P172" s="783" t="str">
        <x:f>IF(N172="","",N172)</x:f>
      </x:c>
      <x:c r="Q172" s="783" t="str">
        <x:f>IF(N172="","",IF(AC172=0,N172,MAX(0,MIN(100,N172*(1-'Specialisation Scenarios'!$B$8*AC172)+O172*('Specialisation Scenarios'!$B$8*AC172)))))</x:f>
      </x:c>
      <x:c r="R172" s="783" t="str">
        <x:f>IF(N172="","",IF(AC172=0,N172,MAX(0,MIN(100,N172*(1-'Specialisation Scenarios'!$B$9*AC172)+O172*('Specialisation Scenarios'!$B$9*AC172)))))</x:f>
      </x:c>
      <x:c r="S172" s="789" t="n">
        <x:f>IF(J172="","",COUNTIFS($A$6:$A$172,A172,$J$6:$J$172,"&gt;"&amp;J172)+COUNTIFS($A$6:A172,A172,$J$6:J172,J172))</x:f>
        <x:v>17</x:v>
      </x:c>
      <x:c r="T172" s="789" t="n">
        <x:f>IF(K172="","",COUNTIFS($A$6:$A$172,A172,$K$6:$K$172,"&gt;"&amp;K172)+COUNTIFS($A$6:A172,A172,$K$6:K172,K172))</x:f>
        <x:v>17</x:v>
      </x:c>
      <x:c r="U172" s="789" t="n">
        <x:f>IF(L172="","",COUNTIFS($A$6:$A$172,A172,$L$6:$L$172,"&gt;"&amp;L172)+COUNTIFS($A$6:A172,A172,$L$6:L172,L172))</x:f>
        <x:v>17</x:v>
      </x:c>
      <x:c r="V172" s="789" t="str">
        <x:f>IF(P172="","",COUNTIFS($A$6:$A$172,A172,$P$6:$P$172,"&gt;"&amp;P172)+COUNTIFS($A$6:A172,A172,$P$6:P172,P172))</x:f>
      </x:c>
      <x:c r="W172" s="789" t="str">
        <x:f>IF(Q172="","",COUNTIFS($A$6:$A$172,A172,$Q$6:$Q$172,"&gt;"&amp;Q172)+COUNTIFS($A$6:A172,A172,$Q$6:Q172,Q172))</x:f>
      </x:c>
      <x:c r="X172" s="789" t="str">
        <x:f>IF(R172="","",COUNTIFS($A$6:$A$172,A172,$R$6:$R$172,"&gt;"&amp;R172)+COUNTIFS($A$6:A172,A172,$R$6:R172,R172))</x:f>
      </x:c>
      <x:c r="Y172" s="772" t="str">
        <x:f>IF(V172="","",A172&amp;"|"&amp;V172)</x:f>
      </x:c>
      <x:c r="Z172" s="772" t="str">
        <x:f>IF(W172="","",A172&amp;"|"&amp;W172)</x:f>
      </x:c>
      <x:c r="AA172" s="772" t="str">
        <x:f>IF(X172="","",A172&amp;"|"&amp;X172)</x:f>
      </x:c>
      <x:c r="AB172" s="772" t="str">
        <x:f>IF(A172="","",IF(I172=0,"Offense neutral — no recorded offensive skills",IF(I172&lt;1,"Partial lookup — adjustment scaled",IF(AND(M172="Yes",AC172=0),"Offense adjusted; Guard neutral","Captured"))))</x:f>
        <x:v>Captured</x:v>
      </x:c>
      <x:c r="AC172" s="782" t="n">
        <x:f>IF(SUMIFS('Specialisation Impact'!$M$19:$M$186,'Specialisation Impact'!$A$19:$A$186,A172,'Specialisation Impact'!$B$19:$B$186,B172)=0,0,SUMIFS('Specialisation Impact'!$F$19:$F$186,'Specialisation Impact'!$A$19:$A$186,A172,'Specialisation Impact'!$B$19:$B$186,B172))</x:f>
        <x:v>1</x:v>
      </x:c>
    </x:row>
  </x:sheetData>
  <x:mergeCells>
    <x:mergeCell ref="A1:AC1"/>
    <x:mergeCell ref="A2:AC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1" max="11" width="36" hidden="0" customWidth="1"/>
    <x:col min="13" max="13" width="16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9" max="9" width="15" hidden="0" customWidth="1"/>
    <x:col min="23" max="23" width="37" hidden="0" customWidth="1"/>
    <x:col min="24" max="24" width="14" hidden="0" customWidth="1"/>
    <x:col min="25" max="25" width="49" hidden="0" customWidth="1"/>
    <x:col min="27" max="27" width="16" hidden="0" customWidth="1"/>
    <x:col min="28" max="28" width="16" hidden="0" customWidth="1"/>
    <x:col min="29" max="29" width="16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10" max="10" width="15" hidden="0" customWidth="1"/>
  </x:cols>
  <x:sheetData>
    <x:row r="1" ht="28" customHeight="1">
      <x:c r="A1" s="504" t="str">
        <x:v>Specialisation-adjusted Strength Scenarios</x:v>
      </x:c>
      <x:c r="B1" s="504"/>
      <x:c r="C1" s="504"/>
      <x:c r="D1" s="504"/>
      <x:c r="E1" s="504"/>
      <x:c r="F1" s="504"/>
      <x:c r="G1" s="504"/>
      <x:c r="H1" s="504"/>
      <x:c r="I1" s="504"/>
      <x:c r="J1" s="504"/>
      <x:c r="K1" s="504"/>
      <x:c r="L1" s="504"/>
      <x:c r="M1" s="504"/>
      <x:c r="N1" s="504"/>
      <x:c r="O1" s="504"/>
      <x:c r="P1" s="504"/>
      <x:c r="Q1" s="504"/>
      <x:c r="R1" s="504"/>
      <x:c r="S1" s="504"/>
      <x:c r="T1" s="504"/>
      <x:c r="U1" s="504"/>
      <x:c r="V1" s="504"/>
      <x:c r="W1" s="504"/>
      <x:c r="X1" s="504"/>
      <x:c r="Y1" s="504"/>
      <x:c r="Z1" s="504"/>
      <x:c r="AA1" s="504"/>
      <x:c r="AB1" s="504"/>
      <x:c r="AC1" s="504"/>
      <x:c r="AD1" s="504"/>
      <x:c r="AE1" s="504"/>
      <x:c r="AF1" s="504"/>
      <x:c r="AG1" s="504"/>
      <x:c r="AH1" s="504"/>
      <x:c r="AI1" s="504"/>
    </x:row>
    <x:row r="2" ht="30" customHeight="1">
      <x:c r="A2" s="508" t="str">
        <x:v>Cavalry-dominant model: General 15%, Cavalry 60%, Archers 10% and Siege 15%. Specialisation is a separate 25% kingdom component, so it is not counted twice inside offense or tank scores.</x:v>
      </x:c>
      <x:c r="B2" s="508"/>
      <x:c r="C2" s="508"/>
      <x:c r="D2" s="508"/>
      <x:c r="E2" s="508"/>
      <x:c r="F2" s="508"/>
      <x:c r="G2" s="508"/>
      <x:c r="H2" s="508"/>
      <x:c r="I2" s="508"/>
      <x:c r="J2" s="508"/>
      <x:c r="K2" s="508"/>
      <x:c r="L2" s="508"/>
      <x:c r="M2" s="508"/>
      <x:c r="N2" s="508"/>
      <x:c r="O2" s="508"/>
      <x:c r="P2" s="508"/>
      <x:c r="Q2" s="508"/>
      <x:c r="R2" s="508"/>
      <x:c r="S2" s="508"/>
      <x:c r="T2" s="508"/>
      <x:c r="U2" s="508"/>
      <x:c r="V2" s="508"/>
      <x:c r="W2" s="508"/>
      <x:c r="X2" s="508"/>
      <x:c r="Y2" s="508"/>
      <x:c r="Z2" s="508"/>
      <x:c r="AA2" s="508"/>
      <x:c r="AB2" s="508"/>
      <x:c r="AC2" s="508"/>
      <x:c r="AD2" s="508"/>
      <x:c r="AE2" s="508"/>
      <x:c r="AF2" s="508"/>
      <x:c r="AG2" s="508"/>
      <x:c r="AH2" s="508"/>
      <x:c r="AI2" s="50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</x:row>
    <x:row r="4">
      <x:c r="A4" s="514" t="str">
        <x:v>Selected scenario</x:v>
      </x:c>
      <x:c r="B4" s="517" t="str">
        <x:v>Recommended</x:v>
      </x:c>
      <x:c r="C4" s="519" t="n">
        <x:f>INDEX($B$7:$B$9,MATCH(B4,$A$7:$A$9,0))</x:f>
        <x:v>0.25</x:v>
      </x:c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512" t="str">
        <x:v>Calibrated offense inputs</x:v>
      </x:c>
      <x:c r="X4" s="512"/>
      <x:c r="Y4" s="512"/>
      <x:c r="Z4" s="27"/>
      <x:c r="AA4" s="512" t="str">
        <x:v>Existing strength-model inputs</x:v>
      </x:c>
      <x:c r="AB4" s="512"/>
      <x:c r="AC4" s="512"/>
      <x:c r="AD4" s="27"/>
      <x:c r="AE4" s="27"/>
      <x:c r="AF4" s="27"/>
      <x:c r="AG4" s="27"/>
      <x:c r="AH4" s="27"/>
      <x:c r="AI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 t="str">
        <x:v>Effect share inside specialist score</x:v>
      </x:c>
      <x:c r="X5" s="566" t="n">
        <x:v>0.8</x:v>
      </x:c>
      <x:c r="Y5" s="27" t="str">
        <x:v>Actual looked-up damage effect</x:v>
      </x:c>
      <x:c r="Z5" s="27"/>
      <x:c r="AA5" s="27" t="str">
        <x:v>Main Tank in Tank Impact</x:v>
      </x:c>
      <x:c r="AB5" s="566" t="n">
        <x:f>'Tank &amp; Control'!$O$11</x:f>
        <x:v>0.75</x:v>
      </x:c>
      <x:c r="AC5" s="27" t="str">
        <x:v>75% main starter</x:v>
      </x:c>
      <x:c r="AD5" s="27"/>
      <x:c r="AE5" s="27"/>
      <x:c r="AF5" s="27"/>
      <x:c r="AG5" s="27"/>
      <x:c r="AH5" s="27"/>
      <x:c r="AI5" s="27"/>
    </x:row>
    <x:row r="6">
      <x:c r="A6" s="512" t="str">
        <x:v>Scenario weights</x:v>
      </x:c>
      <x:c r="B6" s="512"/>
      <x:c r="C6" s="512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 t="str">
        <x:v>Badge share inside specialist score</x:v>
      </x:c>
      <x:c r="X6" s="566" t="n">
        <x:v>0.2</x:v>
      </x:c>
      <x:c r="Y6" s="27" t="str">
        <x:v>Investment depth; deliberately small to avoid double counting</x:v>
      </x:c>
      <x:c r="Z6" s="27"/>
      <x:c r="AA6" s="27" t="str">
        <x:v>Tank Control in Tank Impact</x:v>
      </x:c>
      <x:c r="AB6" s="566" t="n">
        <x:f>'Tank &amp; Control'!$O$12</x:f>
        <x:v>0.25</x:v>
      </x:c>
      <x:c r="AC6" s="27" t="str">
        <x:v>25% depth/control</x:v>
      </x:c>
      <x:c r="AD6" s="27"/>
      <x:c r="AE6" s="27"/>
      <x:c r="AF6" s="27"/>
      <x:c r="AG6" s="27"/>
      <x:c r="AH6" s="27"/>
      <x:c r="AI6" s="27"/>
    </x:row>
    <x:row r="7">
      <x:c r="A7" s="27" t="str">
        <x:v>Baseline</x:v>
      </x:c>
      <x:c r="B7" s="566" t="n">
        <x:v>0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 t="str">
        <x:v>Minimum usable offense coverage</x:v>
      </x:c>
      <x:c r="X7" s="566" t="n">
        <x:v>0.8</x:v>
      </x:c>
      <x:c r="Y7" s="27" t="str">
        <x:v>Below this, the kingdom is marked Provisional</x:v>
      </x:c>
      <x:c r="Z7" s="27"/>
      <x:c r="AA7" s="27" t="str">
        <x:v>Tank Count in Control</x:v>
      </x:c>
      <x:c r="AB7" s="566" t="n">
        <x:f>'Tank &amp; Control'!$O$9</x:f>
        <x:v>0.7</x:v>
      </x:c>
      <x:c r="AC7" s="27" t="str">
        <x:v>Rewards number of eligible tanks</x:v>
      </x:c>
      <x:c r="AD7" s="27"/>
      <x:c r="AE7" s="27"/>
      <x:c r="AF7" s="27"/>
      <x:c r="AG7" s="27"/>
      <x:c r="AH7" s="27"/>
      <x:c r="AI7" s="27"/>
    </x:row>
    <x:row r="8">
      <x:c r="A8" s="27" t="str">
        <x:v>Recommended</x:v>
      </x:c>
      <x:c r="B8" s="566" t="n">
        <x:v>0.25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 t="str">
        <x:v>Recommended scenario weight</x:v>
      </x:c>
      <x:c r="X8" s="566" t="n">
        <x:f>$B$8</x:f>
        <x:v>0.25</x:v>
      </x:c>
      <x:c r="Y8" s="27" t="str">
        <x:v>User-selected active model weight</x:v>
      </x:c>
      <x:c r="Z8" s="27"/>
      <x:c r="AA8" s="27" t="str">
        <x:v>Backup Quality in Control</x:v>
      </x:c>
      <x:c r="AB8" s="566" t="n">
        <x:f>'Tank &amp; Control'!$O$10</x:f>
        <x:v>0.3</x:v>
      </x:c>
      <x:c r="AC8" s="27" t="str">
        <x:v>Average adjusted backup quality</x:v>
      </x:c>
      <x:c r="AD8" s="27"/>
      <x:c r="AE8" s="27"/>
      <x:c r="AF8" s="27"/>
      <x:c r="AG8" s="27"/>
      <x:c r="AH8" s="27"/>
      <x:c r="AI8" s="27"/>
    </x:row>
    <x:row r="9">
      <x:c r="A9" s="27" t="str">
        <x:v>High impact</x:v>
      </x:c>
      <x:c r="B9" s="566" t="n">
        <x:v>0.35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 t="str">
        <x:v>High-impact scenario weight</x:v>
      </x:c>
      <x:c r="X9" s="566" t="n">
        <x:v>0.35</x:v>
      </x:c>
      <x:c r="Y9" s="27" t="str">
        <x:v>Sensitivity case</x:v>
      </x:c>
      <x:c r="Z9" s="27"/>
      <x:c r="AA9" s="27" t="str">
        <x:v>Offense in Event / Throne</x:v>
      </x:c>
      <x:c r="AB9" s="566" t="n">
        <x:f>'Tank &amp; Control'!$O$13</x:f>
        <x:v>0.55</x:v>
      </x:c>
      <x:c r="AC9" s="27" t="str">
        <x:v>55%</x:v>
      </x:c>
      <x:c r="AD9" s="27"/>
      <x:c r="AE9" s="27"/>
      <x:c r="AF9" s="27"/>
      <x:c r="AG9" s="27"/>
      <x:c r="AH9" s="27"/>
      <x:c r="AI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 t="str">
        <x:v>Percentile power</x:v>
      </x:c>
      <x:c r="X10" s="27" t="n">
        <x:v>1.75</x:v>
      </x:c>
      <x:c r="Y10" s="27" t="str">
        <x:v>Matches the current kingdom offense engine</x:v>
      </x:c>
      <x:c r="Z10" s="27"/>
      <x:c r="AA10" s="27" t="str">
        <x:v>Tank in Event / Main in Throne</x:v>
      </x:c>
      <x:c r="AB10" s="566" t="n">
        <x:f>'Tank &amp; Control'!$O$14</x:f>
        <x:v>0.45</x:v>
      </x:c>
      <x:c r="AC10" s="27" t="str">
        <x:v>45%</x:v>
      </x:c>
      <x:c r="AD10" s="27"/>
      <x:c r="AE10" s="27"/>
      <x:c r="AF10" s="27"/>
      <x:c r="AG10" s="27"/>
      <x:c r="AH10" s="27"/>
      <x:c r="AI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 t="str">
        <x:v>General weight</x:v>
      </x:c>
      <x:c r="X11" s="566" t="n">
        <x:v>0.15</x:v>
      </x:c>
      <x:c r="Y11" s="27" t="str">
        <x:v>Player offense score</x:v>
      </x:c>
      <x:c r="Z11" s="27"/>
      <x:c r="AA11" s="27" t="str">
        <x:v>Probability scale</x:v>
      </x:c>
      <x:c r="AB11" s="27" t="n">
        <x:f>'Tank &amp; Control'!$O$15</x:f>
        <x:v>15</x:v>
      </x:c>
      <x:c r="AC11" s="27" t="str">
        <x:v>Logistic sensitivity</x:v>
      </x:c>
      <x:c r="AD11" s="27"/>
      <x:c r="AE11" s="27"/>
      <x:c r="AF11" s="27"/>
      <x:c r="AG11" s="27"/>
      <x:c r="AH11" s="27"/>
      <x:c r="AI11" s="27"/>
    </x:row>
    <x:row r="12">
      <x:c r="A12" s="512" t="str">
        <x:v>Selected Calibrated Ranking</x:v>
      </x:c>
      <x:c r="B12" s="512" t="str">
        <x:v>Selected Calibrated Ranking</x:v>
      </x:c>
      <x:c r="C12" s="512" t="str">
        <x:v>Selected Calibrated Ranking</x:v>
      </x:c>
      <x:c r="D12" s="512" t="str">
        <x:v>Selected Calibrated Ranking</x:v>
      </x:c>
      <x:c r="E12" s="512" t="str">
        <x:v>Selected Calibrated Ranking</x:v>
      </x:c>
      <x:c r="F12" s="512" t="str">
        <x:v>Selected Calibrated Ranking</x:v>
      </x:c>
      <x:c r="G12" s="512" t="str">
        <x:v>Selected Calibrated Ranking</x:v>
      </x:c>
      <x:c r="H12" s="512" t="str">
        <x:v>Selected Calibrated Ranking</x:v>
      </x:c>
      <x:c r="I12" s="512" t="str">
        <x:v>Selected Calibrated Ranking</x:v>
      </x:c>
      <x:c r="J12" s="512" t="str">
        <x:v>Selected Calibrated Ranking</x:v>
      </x:c>
      <x:c r="K12" s="512" t="str">
        <x:v>Selected Calibrated Ranking</x:v>
      </x:c>
      <x:c r="L12" s="27"/>
      <x:c r="M12" s="512" t="str">
        <x:v>Selected Throne-clash Probability — Row Kingdom Beats Column Kingdom</x:v>
      </x:c>
      <x:c r="N12" s="512"/>
      <x:c r="O12" s="512"/>
      <x:c r="P12" s="512"/>
      <x:c r="Q12" s="512"/>
      <x:c r="R12" s="512"/>
      <x:c r="S12" s="512"/>
      <x:c r="T12" s="512"/>
      <x:c r="U12" s="512"/>
      <x:c r="V12" s="27"/>
      <x:c r="W12" s="27" t="str">
        <x:v>Cavalry weight</x:v>
      </x:c>
      <x:c r="X12" s="566" t="n">
        <x:v>0.6</x:v>
      </x:c>
      <x:c r="Y12" s="27" t="str">
        <x:v>Player offense score</x:v>
      </x:c>
      <x:c r="Z12" s="27"/>
      <x:c r="AA12" s="27" t="str">
        <x:v>Minimum probability</x:v>
      </x:c>
      <x:c r="AB12" s="566" t="n">
        <x:f>'Tank &amp; Control'!$O$16</x:f>
        <x:v>0.2</x:v>
      </x:c>
      <x:c r="AC12" s="27" t="str">
        <x:v>Conservative floor</x:v>
      </x:c>
      <x:c r="AD12" s="27"/>
      <x:c r="AE12" s="27"/>
      <x:c r="AF12" s="27"/>
      <x:c r="AG12" s="27"/>
      <x:c r="AH12" s="27"/>
      <x:c r="AI12" s="27"/>
    </x:row>
    <x:row r="13">
      <x:c r="A13" s="525" t="str">
        <x:v>Rank</x:v>
      </x:c>
      <x:c r="B13" s="525" t="str">
        <x:v>Kingdom</x:v>
      </x:c>
      <x:c r="C13" s="525" t="str">
        <x:v>Overall Strength</x:v>
      </x:c>
      <x:c r="D13" s="525" t="str">
        <x:v>Stats Strength</x:v>
      </x:c>
      <x:c r="E13" s="525" t="str">
        <x:v>Specialisation</x:v>
      </x:c>
      <x:c r="F13" s="525" t="str">
        <x:v>Spec Rank</x:v>
      </x:c>
      <x:c r="G13" s="525" t="str">
        <x:v>Matchup Strength</x:v>
      </x:c>
      <x:c r="H13" s="525" t="str">
        <x:v>Main Starter</x:v>
      </x:c>
      <x:c r="I13" s="525" t="str">
        <x:v>Rank Change</x:v>
      </x:c>
      <x:c r="J13" s="525" t="str">
        <x:v>Offense Capture</x:v>
      </x:c>
      <x:c r="K13" s="525" t="str">
        <x:v>Status</x:v>
      </x:c>
      <x:c r="L13" s="27"/>
      <x:c r="M13" s="525" t="str">
        <x:v>Row ↓ / vs →</x:v>
      </x:c>
      <x:c r="N13" s="538" t="str">
        <x:v>K54</x:v>
      </x:c>
      <x:c r="O13" s="540" t="str">
        <x:v>K197</x:v>
      </x:c>
      <x:c r="P13" s="542" t="str">
        <x:v>K116</x:v>
      </x:c>
      <x:c r="Q13" s="544" t="str">
        <x:v>K60</x:v>
      </x:c>
      <x:c r="R13" s="546" t="str">
        <x:v>K91</x:v>
      </x:c>
      <x:c r="S13" s="548" t="str">
        <x:v>K176</x:v>
      </x:c>
      <x:c r="T13" s="550" t="str">
        <x:v>K138</x:v>
      </x:c>
      <x:c r="U13" s="552" t="str">
        <x:v>K170</x:v>
      </x:c>
      <x:c r="V13" s="27"/>
      <x:c r="W13" s="27" t="str">
        <x:v>Archers weight</x:v>
      </x:c>
      <x:c r="X13" s="566" t="n">
        <x:v>0.1</x:v>
      </x:c>
      <x:c r="Y13" s="27" t="str">
        <x:v>Player offense score</x:v>
      </x:c>
      <x:c r="Z13" s="27"/>
      <x:c r="AA13" s="27" t="str">
        <x:v>Maximum probability</x:v>
      </x:c>
      <x:c r="AB13" s="566" t="n">
        <x:f>'Tank &amp; Control'!$O$17</x:f>
        <x:v>0.8</x:v>
      </x:c>
      <x:c r="AC13" s="27" t="str">
        <x:v>Conservative ceiling</x:v>
      </x:c>
      <x:c r="AD13" s="27"/>
      <x:c r="AE13" s="27"/>
      <x:c r="AF13" s="27"/>
      <x:c r="AG13" s="27"/>
      <x:c r="AH13" s="27"/>
      <x:c r="AI13" s="27"/>
    </x:row>
    <x:row r="14">
      <x:c r="A14" s="554" t="n">
        <x:v>1</x:v>
      </x:c>
      <x:c r="B14" s="555" t="str">
        <x:f>INDEX($A$26:$A$33,MATCH(A14,$W$26:$W$33,0))</x:f>
        <x:v>K54</x:v>
      </x:c>
      <x:c r="C14" s="655" t="n">
        <x:f>SUMIFS($T$26:$T$33,$A$26:$A$33,B14)</x:f>
        <x:v>84.89138462436225</x:v>
      </x:c>
      <x:c r="D14" s="655" t="n">
        <x:f>SUMIFS($L$26:$L$33,$A$26:$A$33,B14)</x:f>
        <x:v>85.04060098002569</x:v>
      </x:c>
      <x:c r="E14" s="655" t="n">
        <x:f>SUMIFS($G$26:$G$33,$A$26:$A$33,B14)</x:f>
        <x:v>84.44373555737192</x:v>
      </x:c>
      <x:c r="F14" s="655" t="n">
        <x:f>SUMIFS($H$26:$H$33,$A$26:$A$33,B14)</x:f>
        <x:v>1</x:v>
      </x:c>
      <x:c r="G14" s="655" t="n">
        <x:f>SUMIFS($V$26:$V$33,$A$26:$A$33,B14)</x:f>
        <x:v>85.45189897653754</x:v>
      </x:c>
      <x:c r="H14" s="527" t="str">
        <x:f>INDEX($X$26:$X$33,MATCH(B14,$A$26:$A$33,0))</x:f>
        <x:v>爽歪歪</x:v>
      </x:c>
      <x:c r="I14" s="656" t="n">
        <x:f>SUMIFS($Z$26:$Z$33,$A$26:$A$33,B14)</x:f>
        <x:v>0</x:v>
      </x:c>
      <x:c r="J14" s="657" t="n">
        <x:f>SUMIFS($C$26:$C$33,$A$26:$A$33,B14)</x:f>
        <x:v>1</x:v>
      </x:c>
      <x:c r="K14" s="527" t="str">
        <x:f>INDEX($E$26:$E$33,MATCH(B14,$A$26:$A$33,0))</x:f>
        <x:v>Usable — Guard gaps left neutral</x:v>
      </x:c>
      <x:c r="L14" s="27"/>
      <x:c r="M14" s="529" t="str">
        <x:v>K54</x:v>
      </x:c>
      <x:c r="N14" s="563" t="str">
        <x:f>IF($M14=N$13,"—",MIN($AB$13,MAX($AB$12,1/(1+EXP(-(SUMIFS($V$26:$V$33,$A$26:$A$33,$M14)-SUMIFS($V$26:$V$33,$A$26:$A$33,N$13))/$AB$11)))))</x:f>
        <x:v>—</x:v>
      </x:c>
      <x:c r="O14" s="563" t="n">
        <x:f>IF($M14=O$13,"—",MIN($AB$13,MAX($AB$12,1/(1+EXP(-(SUMIFS($V$26:$V$33,$A$26:$A$33,$M14)-SUMIFS($V$26:$V$33,$A$26:$A$33,O$13))/$AB$11)))))</x:f>
        <x:v>0.6700001324258327</x:v>
      </x:c>
      <x:c r="P14" s="563" t="n">
        <x:f>IF($M14=P$13,"—",MIN($AB$13,MAX($AB$12,1/(1+EXP(-(SUMIFS($V$26:$V$33,$A$26:$A$33,$M14)-SUMIFS($V$26:$V$33,$A$26:$A$33,P$13))/$AB$11)))))</x:f>
        <x:v>0.7691967864253735</x:v>
      </x:c>
      <x:c r="Q14" s="563" t="n">
        <x:f>IF($M14=Q$13,"—",MIN($AB$13,MAX($AB$12,1/(1+EXP(-(SUMIFS($V$26:$V$33,$A$26:$A$33,$M14)-SUMIFS($V$26:$V$33,$A$26:$A$33,Q$13))/$AB$11)))))</x:f>
        <x:v>0.7361335150196685</x:v>
      </x:c>
      <x:c r="R14" s="563" t="n">
        <x:f>IF($M14=R$13,"—",MIN($AB$13,MAX($AB$12,1/(1+EXP(-(SUMIFS($V$26:$V$33,$A$26:$A$33,$M14)-SUMIFS($V$26:$V$33,$A$26:$A$33,R$13))/$AB$11)))))</x:f>
        <x:v>0.7622616678515847</x:v>
      </x:c>
      <x:c r="S14" s="563" t="n">
        <x:f>IF($M14=S$13,"—",MIN($AB$13,MAX($AB$12,1/(1+EXP(-(SUMIFS($V$26:$V$33,$A$26:$A$33,$M14)-SUMIFS($V$26:$V$33,$A$26:$A$33,S$13))/$AB$11)))))</x:f>
        <x:v>0.7245274111275888</x:v>
      </x:c>
      <x:c r="T14" s="563" t="n">
        <x:f>IF($M14=T$13,"—",MIN($AB$13,MAX($AB$12,1/(1+EXP(-(SUMIFS($V$26:$V$33,$A$26:$A$33,$M14)-SUMIFS($V$26:$V$33,$A$26:$A$33,T$13))/$AB$11)))))</x:f>
        <x:v>0.7931712356546687</x:v>
      </x:c>
      <x:c r="U14" s="563" t="n">
        <x:f>IF($M14=U$13,"—",MIN($AB$13,MAX($AB$12,1/(1+EXP(-(SUMIFS($V$26:$V$33,$A$26:$A$33,$M14)-SUMIFS($V$26:$V$33,$A$26:$A$33,U$13))/$AB$11)))))</x:f>
        <x:v>0.8</x:v>
      </x:c>
      <x:c r="V14" s="27"/>
      <x:c r="W14" s="27" t="str">
        <x:v>Siege weight</x:v>
      </x:c>
      <x:c r="X14" s="566" t="n">
        <x:v>0.15</x:v>
      </x:c>
      <x:c r="Y14" s="27" t="str">
        <x:v>Player offense score</x:v>
      </x:c>
      <x:c r="Z14" s="27"/>
      <x:c r="AA14" s="27" t="str">
        <x:v>Event share in matchup</x:v>
      </x:c>
      <x:c r="AB14" s="566" t="n">
        <x:v>0.75</x:v>
      </x:c>
      <x:c r="AC14" s="27" t="str">
        <x:v>Rewards the kingdom's repeatable rally strength</x:v>
      </x:c>
      <x:c r="AD14" s="27"/>
      <x:c r="AE14" s="27"/>
      <x:c r="AF14" s="27"/>
      <x:c r="AG14" s="27"/>
      <x:c r="AH14" s="27"/>
      <x:c r="AI14" s="27"/>
    </x:row>
    <x:row r="15">
      <x:c r="A15" s="554" t="n">
        <x:v>2</x:v>
      </x:c>
      <x:c r="B15" s="556" t="str">
        <x:f>INDEX($A$26:$A$33,MATCH(A15,$W$26:$W$33,0))</x:f>
        <x:v>K197</x:v>
      </x:c>
      <x:c r="C15" s="558" t="n">
        <x:f>SUMIFS($T$26:$T$33,$A$26:$A$33,B15)</x:f>
        <x:v>74.29675937658182</x:v>
      </x:c>
      <x:c r="D15" s="558" t="n">
        <x:f>SUMIFS($L$26:$L$33,$A$26:$A$33,B15)</x:f>
        <x:v>74.38259247963643</x:v>
      </x:c>
      <x:c r="E15" s="558" t="n">
        <x:f>SUMIFS($G$26:$G$33,$A$26:$A$33,B15)</x:f>
        <x:v>74.03926006741797</x:v>
      </x:c>
      <x:c r="F15" s="558" t="n">
        <x:f>SUMIFS($H$26:$H$33,$A$26:$A$33,B15)</x:f>
        <x:v>6</x:v>
      </x:c>
      <x:c r="G15" s="558" t="n">
        <x:f>SUMIFS($V$26:$V$33,$A$26:$A$33,B15)</x:f>
        <x:v>74.82911412355585</x:v>
      </x:c>
      <x:c r="H15" s="528" t="str">
        <x:f>INDEX($X$26:$X$33,MATCH(B15,$A$26:$A$33,0))</x:f>
        <x:v>Хлебушек</x:v>
      </x:c>
      <x:c r="I15" s="560" t="n">
        <x:f>SUMIFS($Z$26:$Z$33,$A$26:$A$33,B15)</x:f>
        <x:v>0</x:v>
      </x:c>
      <x:c r="J15" s="562" t="n">
        <x:f>SUMIFS($C$26:$C$33,$A$26:$A$33,B15)</x:f>
        <x:v>1</x:v>
      </x:c>
      <x:c r="K15" s="528" t="str">
        <x:f>INDEX($E$26:$E$33,MATCH(B15,$A$26:$A$33,0))</x:f>
        <x:v>Usable — Guard gaps left neutral</x:v>
      </x:c>
      <x:c r="L15" s="27"/>
      <x:c r="M15" s="530" t="str">
        <x:v>K197</x:v>
      </x:c>
      <x:c r="N15" s="563" t="n">
        <x:f>IF($M15=N$13,"—",MIN($AB$13,MAX($AB$12,1/(1+EXP(-(SUMIFS($V$26:$V$33,$A$26:$A$33,$M15)-SUMIFS($V$26:$V$33,$A$26:$A$33,N$13))/$AB$11)))))</x:f>
        <x:v>0.3299998675741673</x:v>
      </x:c>
      <x:c r="O15" s="563" t="str">
        <x:f>IF($M15=O$13,"—",MIN($AB$13,MAX($AB$12,1/(1+EXP(-(SUMIFS($V$26:$V$33,$A$26:$A$33,$M15)-SUMIFS($V$26:$V$33,$A$26:$A$33,O$13))/$AB$11)))))</x:f>
        <x:v>—</x:v>
      </x:c>
      <x:c r="P15" s="563" t="n">
        <x:f>IF($M15=P$13,"—",MIN($AB$13,MAX($AB$12,1/(1+EXP(-(SUMIFS($V$26:$V$33,$A$26:$A$33,$M15)-SUMIFS($V$26:$V$33,$A$26:$A$33,P$13))/$AB$11)))))</x:f>
        <x:v>0.6214237523930343</x:v>
      </x:c>
      <x:c r="Q15" s="563" t="n">
        <x:f>IF($M15=Q$13,"—",MIN($AB$13,MAX($AB$12,1/(1+EXP(-(SUMIFS($V$26:$V$33,$A$26:$A$33,$M15)-SUMIFS($V$26:$V$33,$A$26:$A$33,Q$13))/$AB$11)))))</x:f>
        <x:v>0.5787837636302594</x:v>
      </x:c>
      <x:c r="R15" s="563" t="n">
        <x:f>IF($M15=R$13,"—",MIN($AB$13,MAX($AB$12,1/(1+EXP(-(SUMIFS($V$26:$V$33,$A$26:$A$33,$M15)-SUMIFS($V$26:$V$33,$A$26:$A$33,R$13))/$AB$11)))))</x:f>
        <x:v>0.6122864920483095</x:v>
      </x:c>
      <x:c r="S15" s="563" t="n">
        <x:f>IF($M15=S$13,"—",MIN($AB$13,MAX($AB$12,1/(1+EXP(-(SUMIFS($V$26:$V$33,$A$26:$A$33,$M15)-SUMIFS($V$26:$V$33,$A$26:$A$33,S$13))/$AB$11)))))</x:f>
        <x:v>0.5643525454468797</x:v>
      </x:c>
      <x:c r="T15" s="563" t="n">
        <x:f>IF($M15=T$13,"—",MIN($AB$13,MAX($AB$12,1/(1+EXP(-(SUMIFS($V$26:$V$33,$A$26:$A$33,$M15)-SUMIFS($V$26:$V$33,$A$26:$A$33,T$13))/$AB$11)))))</x:f>
        <x:v>0.6538401522357496</x:v>
      </x:c>
      <x:c r="U15" s="563" t="n">
        <x:f>IF($M15=U$13,"—",MIN($AB$13,MAX($AB$12,1/(1+EXP(-(SUMIFS($V$26:$V$33,$A$26:$A$33,$M15)-SUMIFS($V$26:$V$33,$A$26:$A$33,U$13))/$AB$11)))))</x:f>
        <x:v>0.7162637070369025</x:v>
      </x:c>
      <x:c r="V15" s="27"/>
      <x:c r="W15" s="27" t="str">
        <x:v>Elite Top 3 share</x:v>
      </x:c>
      <x:c r="X15" s="566" t="n">
        <x:v>0.5</x:v>
      </x:c>
      <x:c r="Y15" s="27" t="str">
        <x:v>Kingdom offense rollup</x:v>
      </x:c>
      <x:c r="Z15" s="27"/>
      <x:c r="AA15" s="27" t="str">
        <x:v>Throne share in matchup</x:v>
      </x:c>
      <x:c r="AB15" s="566" t="n">
        <x:v>0.25</x:v>
      </x:c>
      <x:c r="AC15" s="27" t="str">
        <x:v>Keeps the strongest rally starter relevant</x:v>
      </x:c>
      <x:c r="AD15" s="27"/>
      <x:c r="AE15" s="27"/>
      <x:c r="AF15" s="27"/>
      <x:c r="AG15" s="27"/>
      <x:c r="AH15" s="27"/>
      <x:c r="AI15" s="27"/>
    </x:row>
    <x:row r="16">
      <x:c r="A16" s="554" t="n">
        <x:v>3</x:v>
      </x:c>
      <x:c r="B16" s="555" t="str">
        <x:f>INDEX($A$26:$A$33,MATCH(A16,$W$26:$W$33,0))</x:f>
        <x:v>K176</x:v>
      </x:c>
      <x:c r="C16" s="655" t="n">
        <x:f>SUMIFS($T$26:$T$33,$A$26:$A$33,B16)</x:f>
        <x:v>70.70033854322165</x:v>
      </x:c>
      <x:c r="D16" s="655" t="n">
        <x:f>SUMIFS($L$26:$L$33,$A$26:$A$33,B16)</x:f>
        <x:v>66.61276315327395</x:v>
      </x:c>
      <x:c r="E16" s="655" t="n">
        <x:f>SUMIFS($G$26:$G$33,$A$26:$A$33,B16)</x:f>
        <x:v>82.96306471306472</x:v>
      </x:c>
      <x:c r="F16" s="655" t="n">
        <x:f>SUMIFS($H$26:$H$33,$A$26:$A$33,B16)</x:f>
        <x:v>2</x:v>
      </x:c>
      <x:c r="G16" s="655" t="n">
        <x:f>SUMIFS($V$26:$V$33,$A$26:$A$33,B16)</x:f>
        <x:v>70.9464269584477</x:v>
      </x:c>
      <x:c r="H16" s="527" t="str">
        <x:f>INDEX($X$26:$X$33,MATCH(B16,$A$26:$A$33,0))</x:f>
        <x:v>苟拓通天肆意妄为</x:v>
      </x:c>
      <x:c r="I16" s="656" t="n">
        <x:f>SUMIFS($Z$26:$Z$33,$A$26:$A$33,B16)</x:f>
        <x:v>2</x:v>
      </x:c>
      <x:c r="J16" s="657" t="n">
        <x:f>SUMIFS($C$26:$C$33,$A$26:$A$33,B16)</x:f>
        <x:v>0.9090909090909091</x:v>
      </x:c>
      <x:c r="K16" s="527" t="str">
        <x:f>INDEX($E$26:$E$33,MATCH(B16,$A$26:$A$33,0))</x:f>
        <x:v>Usable — Guard gaps left neutral</x:v>
      </x:c>
      <x:c r="L16" s="27"/>
      <x:c r="M16" s="531" t="str">
        <x:v>K116</x:v>
      </x:c>
      <x:c r="N16" s="563" t="n">
        <x:f>IF($M16=N$13,"—",MIN($AB$13,MAX($AB$12,1/(1+EXP(-(SUMIFS($V$26:$V$33,$A$26:$A$33,$M16)-SUMIFS($V$26:$V$33,$A$26:$A$33,N$13))/$AB$11)))))</x:f>
        <x:v>0.2308032135746266</x:v>
      </x:c>
      <x:c r="O16" s="563" t="n">
        <x:f>IF($M16=O$13,"—",MIN($AB$13,MAX($AB$12,1/(1+EXP(-(SUMIFS($V$26:$V$33,$A$26:$A$33,$M16)-SUMIFS($V$26:$V$33,$A$26:$A$33,O$13))/$AB$11)))))</x:f>
        <x:v>0.3785762476069658</x:v>
      </x:c>
      <x:c r="P16" s="563" t="str">
        <x:f>IF($M16=P$13,"—",MIN($AB$13,MAX($AB$12,1/(1+EXP(-(SUMIFS($V$26:$V$33,$A$26:$A$33,$M16)-SUMIFS($V$26:$V$33,$A$26:$A$33,P$13))/$AB$11)))))</x:f>
        <x:v>—</x:v>
      </x:c>
      <x:c r="Q16" s="563" t="n">
        <x:f>IF($M16=Q$13,"—",MIN($AB$13,MAX($AB$12,1/(1+EXP(-(SUMIFS($V$26:$V$33,$A$26:$A$33,$M16)-SUMIFS($V$26:$V$33,$A$26:$A$33,Q$13))/$AB$11)))))</x:f>
        <x:v>0.45566347956639286</x:v>
      </x:c>
      <x:c r="R16" s="563" t="n">
        <x:f>IF($M16=R$13,"—",MIN($AB$13,MAX($AB$12,1/(1+EXP(-(SUMIFS($V$26:$V$33,$A$26:$A$33,$M16)-SUMIFS($V$26:$V$33,$A$26:$A$33,R$13))/$AB$11)))))</x:f>
        <x:v>0.4903356765555327</x:v>
      </x:c>
      <x:c r="S16" s="563" t="n">
        <x:f>IF($M16=S$13,"—",MIN($AB$13,MAX($AB$12,1/(1+EXP(-(SUMIFS($V$26:$V$33,$A$26:$A$33,$M16)-SUMIFS($V$26:$V$33,$A$26:$A$33,S$13))/$AB$11)))))</x:f>
        <x:v>0.44108743912537435</x:v>
      </x:c>
      <x:c r="T16" s="563" t="n">
        <x:f>IF($M16=T$13,"—",MIN($AB$13,MAX($AB$12,1/(1+EXP(-(SUMIFS($V$26:$V$33,$A$26:$A$33,$M16)-SUMIFS($V$26:$V$33,$A$26:$A$33,T$13))/$AB$11)))))</x:f>
        <x:v>0.5350341287172379</x:v>
      </x:c>
      <x:c r="U16" s="563" t="n">
        <x:f>IF($M16=U$13,"—",MIN($AB$13,MAX($AB$12,1/(1+EXP(-(SUMIFS($V$26:$V$33,$A$26:$A$33,$M16)-SUMIFS($V$26:$V$33,$A$26:$A$33,U$13))/$AB$11)))))</x:f>
        <x:v>0.6059709531616537</x:v>
      </x:c>
      <x:c r="V16" s="27"/>
      <x:c r="W16" s="27" t="str">
        <x:v>Top 5 share</x:v>
      </x:c>
      <x:c r="X16" s="566" t="n">
        <x:v>0.25</x:v>
      </x:c>
      <x:c r="Y16" s="27" t="str">
        <x:v>Kingdom offense rollup</x:v>
      </x:c>
      <x:c r="Z16" s="27"/>
      <x:c r="AA16" s="27"/>
      <x:c r="AB16" s="27"/>
      <x:c r="AC16" s="27"/>
      <x:c r="AD16" s="27"/>
      <x:c r="AE16" s="27"/>
      <x:c r="AF16" s="27"/>
      <x:c r="AG16" s="27"/>
      <x:c r="AH16" s="27"/>
      <x:c r="AI16" s="27"/>
    </x:row>
    <x:row r="17">
      <x:c r="A17" s="554" t="n">
        <x:v>4</x:v>
      </x:c>
      <x:c r="B17" s="556" t="str">
        <x:f>INDEX($A$26:$A$33,MATCH(A17,$W$26:$W$33,0))</x:f>
        <x:v>K60</x:v>
      </x:c>
      <x:c r="C17" s="558" t="n">
        <x:f>SUMIFS($T$26:$T$33,$A$26:$A$33,B17)</x:f>
        <x:v>70.37218361052061</x:v>
      </x:c>
      <x:c r="D17" s="558" t="n">
        <x:f>SUMIFS($L$26:$L$33,$A$26:$A$33,B17)</x:f>
        <x:v>67.03747617525885</x:v>
      </x:c>
      <x:c r="E17" s="558" t="n">
        <x:f>SUMIFS($G$26:$G$33,$A$26:$A$33,B17)</x:f>
        <x:v>80.37630591630591</x:v>
      </x:c>
      <x:c r="F17" s="558" t="n">
        <x:f>SUMIFS($H$26:$H$33,$A$26:$A$33,B17)</x:f>
        <x:v>3</x:v>
      </x:c>
      <x:c r="G17" s="558" t="n">
        <x:f>SUMIFS($V$26:$V$33,$A$26:$A$33,B17)</x:f>
        <x:v>70.06237489583289</x:v>
      </x:c>
      <x:c r="H17" s="528" t="str">
        <x:f>INDEX($X$26:$X$33,MATCH(B17,$A$26:$A$33,0))</x:f>
        <x:v>CerialKiller</x:v>
      </x:c>
      <x:c r="I17" s="560" t="n">
        <x:f>SUMIFS($Z$26:$Z$33,$A$26:$A$33,B17)</x:f>
        <x:v>0</x:v>
      </x:c>
      <x:c r="J17" s="562" t="n">
        <x:f>SUMIFS($C$26:$C$33,$A$26:$A$33,B17)</x:f>
        <x:v>1</x:v>
      </x:c>
      <x:c r="K17" s="528" t="str">
        <x:f>INDEX($E$26:$E$33,MATCH(B17,$A$26:$A$33,0))</x:f>
        <x:v>Usable — Guard gaps left neutral</x:v>
      </x:c>
      <x:c r="L17" s="27"/>
      <x:c r="M17" s="532" t="str">
        <x:v>K60</x:v>
      </x:c>
      <x:c r="N17" s="563" t="n">
        <x:f>IF($M17=N$13,"—",MIN($AB$13,MAX($AB$12,1/(1+EXP(-(SUMIFS($V$26:$V$33,$A$26:$A$33,$M17)-SUMIFS($V$26:$V$33,$A$26:$A$33,N$13))/$AB$11)))))</x:f>
        <x:v>0.26386648498033144</x:v>
      </x:c>
      <x:c r="O17" s="563" t="n">
        <x:f>IF($M17=O$13,"—",MIN($AB$13,MAX($AB$12,1/(1+EXP(-(SUMIFS($V$26:$V$33,$A$26:$A$33,$M17)-SUMIFS($V$26:$V$33,$A$26:$A$33,O$13))/$AB$11)))))</x:f>
        <x:v>0.4212162363697406</x:v>
      </x:c>
      <x:c r="P17" s="563" t="n">
        <x:f>IF($M17=P$13,"—",MIN($AB$13,MAX($AB$12,1/(1+EXP(-(SUMIFS($V$26:$V$33,$A$26:$A$33,$M17)-SUMIFS($V$26:$V$33,$A$26:$A$33,P$13))/$AB$11)))))</x:f>
        <x:v>0.544336520433607</x:v>
      </x:c>
      <x:c r="Q17" s="563" t="str">
        <x:f>IF($M17=Q$13,"—",MIN($AB$13,MAX($AB$12,1/(1+EXP(-(SUMIFS($V$26:$V$33,$A$26:$A$33,$M17)-SUMIFS($V$26:$V$33,$A$26:$A$33,Q$13))/$AB$11)))))</x:f>
        <x:v>—</x:v>
      </x:c>
      <x:c r="R17" s="563" t="n">
        <x:f>IF($M17=R$13,"—",MIN($AB$13,MAX($AB$12,1/(1+EXP(-(SUMIFS($V$26:$V$33,$A$26:$A$33,$M17)-SUMIFS($V$26:$V$33,$A$26:$A$33,R$13))/$AB$11)))))</x:f>
        <x:v>0.5347317247304773</x:v>
      </x:c>
      <x:c r="S17" s="563" t="n">
        <x:f>IF($M17=S$13,"—",MIN($AB$13,MAX($AB$12,1/(1+EXP(-(SUMIFS($V$26:$V$33,$A$26:$A$33,$M17)-SUMIFS($V$26:$V$33,$A$26:$A$33,S$13))/$AB$11)))))</x:f>
        <x:v>0.4852700624703207</x:v>
      </x:c>
      <x:c r="T17" s="563" t="n">
        <x:f>IF($M17=T$13,"—",MIN($AB$13,MAX($AB$12,1/(1+EXP(-(SUMIFS($V$26:$V$33,$A$26:$A$33,$M17)-SUMIFS($V$26:$V$33,$A$26:$A$33,T$13))/$AB$11)))))</x:f>
        <x:v>0.5788805512348427</x:v>
      </x:c>
      <x:c r="U17" s="563" t="n">
        <x:f>IF($M17=U$13,"—",MIN($AB$13,MAX($AB$12,1/(1+EXP(-(SUMIFS($V$26:$V$33,$A$26:$A$33,$M17)-SUMIFS($V$26:$V$33,$A$26:$A$33,U$13))/$AB$11)))))</x:f>
        <x:v>0.647534773905872</x:v>
      </x:c>
      <x:c r="V17" s="27"/>
      <x:c r="W17" s="27" t="str">
        <x:v>Top 15 share</x:v>
      </x:c>
      <x:c r="X17" s="566" t="n">
        <x:v>0.15</x:v>
      </x:c>
      <x:c r="Y17" s="27" t="str">
        <x:v>Kingdom offense rollup</x:v>
      </x:c>
      <x:c r="Z17" s="27"/>
      <x:c r="AA17" s="27"/>
      <x:c r="AB17" s="27"/>
      <x:c r="AC17" s="27"/>
      <x:c r="AD17" s="27"/>
      <x:c r="AE17" s="27"/>
      <x:c r="AF17" s="27"/>
      <x:c r="AG17" s="27"/>
      <x:c r="AH17" s="27"/>
      <x:c r="AI17" s="27"/>
    </x:row>
    <x:row r="18">
      <x:c r="A18" s="554" t="n">
        <x:v>5</x:v>
      </x:c>
      <x:c r="B18" s="555" t="str">
        <x:f>INDEX($A$26:$A$33,MATCH(A18,$W$26:$W$33,0))</x:f>
        <x:v>K116</x:v>
      </x:c>
      <x:c r="C18" s="655" t="n">
        <x:f>SUMIFS($T$26:$T$33,$A$26:$A$33,B18)</x:f>
        <x:v>67.47374160240145</x:v>
      </x:c>
      <x:c r="D18" s="655" t="n">
        <x:f>SUMIFS($L$26:$L$33,$A$26:$A$33,B18)</x:f>
        <x:v>69.05290355049166</x:v>
      </x:c>
      <x:c r="E18" s="655" t="n">
        <x:f>SUMIFS($G$26:$G$33,$A$26:$A$33,B18)</x:f>
        <x:v>62.73625575813077</x:v>
      </x:c>
      <x:c r="F18" s="655" t="n">
        <x:f>SUMIFS($H$26:$H$33,$A$26:$A$33,B18)</x:f>
        <x:v>8</x:v>
      </x:c>
      <x:c r="G18" s="655" t="n">
        <x:f>SUMIFS($V$26:$V$33,$A$26:$A$33,B18)</x:f>
        <x:v>67.39517831071961</x:v>
      </x:c>
      <x:c r="H18" s="527" t="str">
        <x:f>INDEX($X$26:$X$33,MATCH(B18,$A$26:$A$33,0))</x:f>
        <x:v>Jesse</x:v>
      </x:c>
      <x:c r="I18" s="656" t="n">
        <x:f>SUMIFS($Z$26:$Z$33,$A$26:$A$33,B18)</x:f>
        <x:v>-2</x:v>
      </x:c>
      <x:c r="J18" s="657" t="n">
        <x:f>SUMIFS($C$26:$C$33,$A$26:$A$33,B18)</x:f>
        <x:v>0.65</x:v>
      </x:c>
      <x:c r="K18" s="527" t="str">
        <x:f>INDEX($E$26:$E$33,MATCH(B18,$A$26:$A$33,0))</x:f>
        <x:v>Provisional — offense capture under 80%</x:v>
      </x:c>
      <x:c r="L18" s="27"/>
      <x:c r="M18" s="533" t="str">
        <x:v>K91</x:v>
      </x:c>
      <x:c r="N18" s="563" t="n">
        <x:f>IF($M18=N$13,"—",MIN($AB$13,MAX($AB$12,1/(1+EXP(-(SUMIFS($V$26:$V$33,$A$26:$A$33,$M18)-SUMIFS($V$26:$V$33,$A$26:$A$33,N$13))/$AB$11)))))</x:f>
        <x:v>0.23773833214841544</x:v>
      </x:c>
      <x:c r="O18" s="563" t="n">
        <x:f>IF($M18=O$13,"—",MIN($AB$13,MAX($AB$12,1/(1+EXP(-(SUMIFS($V$26:$V$33,$A$26:$A$33,$M18)-SUMIFS($V$26:$V$33,$A$26:$A$33,O$13))/$AB$11)))))</x:f>
        <x:v>0.38771350795169046</x:v>
      </x:c>
      <x:c r="P18" s="563" t="n">
        <x:f>IF($M18=P$13,"—",MIN($AB$13,MAX($AB$12,1/(1+EXP(-(SUMIFS($V$26:$V$33,$A$26:$A$33,$M18)-SUMIFS($V$26:$V$33,$A$26:$A$33,P$13))/$AB$11)))))</x:f>
        <x:v>0.5096643234444673</x:v>
      </x:c>
      <x:c r="Q18" s="563" t="n">
        <x:f>IF($M18=Q$13,"—",MIN($AB$13,MAX($AB$12,1/(1+EXP(-(SUMIFS($V$26:$V$33,$A$26:$A$33,$M18)-SUMIFS($V$26:$V$33,$A$26:$A$33,Q$13))/$AB$11)))))</x:f>
        <x:v>0.46526827526952264</x:v>
      </x:c>
      <x:c r="R18" s="563" t="str">
        <x:f>IF($M18=R$13,"—",MIN($AB$13,MAX($AB$12,1/(1+EXP(-(SUMIFS($V$26:$V$33,$A$26:$A$33,$M18)-SUMIFS($V$26:$V$33,$A$26:$A$33,R$13))/$AB$11)))))</x:f>
        <x:v>—</x:v>
      </x:c>
      <x:c r="S18" s="563" t="n">
        <x:f>IF($M18=S$13,"—",MIN($AB$13,MAX($AB$12,1/(1+EXP(-(SUMIFS($V$26:$V$33,$A$26:$A$33,$M18)-SUMIFS($V$26:$V$33,$A$26:$A$33,S$13))/$AB$11)))))</x:f>
        <x:v>0.45063934861383853</x:v>
      </x:c>
      <x:c r="T18" s="563" t="n">
        <x:f>IF($M18=T$13,"—",MIN($AB$13,MAX($AB$12,1/(1+EXP(-(SUMIFS($V$26:$V$33,$A$26:$A$33,$M18)-SUMIFS($V$26:$V$33,$A$26:$A$33,T$13))/$AB$11)))))</x:f>
        <x:v>0.5446379978228877</x:v>
      </x:c>
      <x:c r="U18" s="563" t="n">
        <x:f>IF($M18=U$13,"—",MIN($AB$13,MAX($AB$12,1/(1+EXP(-(SUMIFS($V$26:$V$33,$A$26:$A$33,$M18)-SUMIFS($V$26:$V$33,$A$26:$A$33,U$13))/$AB$11)))))</x:f>
        <x:v>0.615163503524859</x:v>
      </x:c>
      <x:c r="V18" s="27"/>
      <x:c r="W18" s="27" t="str">
        <x:v>Everyone share</x:v>
      </x:c>
      <x:c r="X18" s="566" t="n">
        <x:v>0.1</x:v>
      </x:c>
      <x:c r="Y18" s="27" t="str">
        <x:v>Kingdom offense rollup</x:v>
      </x:c>
      <x:c r="Z18" s="27"/>
      <x:c r="AA18" s="27"/>
      <x:c r="AB18" s="27"/>
      <x:c r="AC18" s="27"/>
      <x:c r="AD18" s="27"/>
      <x:c r="AE18" s="27"/>
      <x:c r="AF18" s="27"/>
      <x:c r="AG18" s="27"/>
      <x:c r="AH18" s="27"/>
      <x:c r="AI18" s="27"/>
    </x:row>
    <x:row r="19">
      <x:c r="A19" s="554" t="n">
        <x:v>6</x:v>
      </x:c>
      <x:c r="B19" s="556" t="str">
        <x:f>INDEX($A$26:$A$33,MATCH(A19,$W$26:$W$33,0))</x:f>
        <x:v>K91</x:v>
      </x:c>
      <x:c r="C19" s="558" t="n">
        <x:f>SUMIFS($T$26:$T$33,$A$26:$A$33,B19)</x:f>
        <x:v>66.97572334282145</x:v>
      </x:c>
      <x:c r="D19" s="558" t="n">
        <x:f>SUMIFS($L$26:$L$33,$A$26:$A$33,B19)</x:f>
        <x:v>64.82930371043453</x:v>
      </x:c>
      <x:c r="E19" s="558" t="n">
        <x:f>SUMIFS($G$26:$G$33,$A$26:$A$33,B19)</x:f>
        <x:v>73.41498223998227</x:v>
      </x:c>
      <x:c r="F19" s="558" t="n">
        <x:f>SUMIFS($H$26:$H$33,$A$26:$A$33,B19)</x:f>
        <x:v>7</x:v>
      </x:c>
      <x:c r="G19" s="558" t="n">
        <x:f>SUMIFS($V$26:$V$33,$A$26:$A$33,B19)</x:f>
        <x:v>67.97510994474446</x:v>
      </x:c>
      <x:c r="H19" s="528" t="str">
        <x:f>INDEX($X$26:$X$33,MATCH(B19,$A$26:$A$33,0))</x:f>
        <x:v>•Pain•</x:v>
      </x:c>
      <x:c r="I19" s="560" t="n">
        <x:f>SUMIFS($Z$26:$Z$33,$A$26:$A$33,B19)</x:f>
        <x:v>0</x:v>
      </x:c>
      <x:c r="J19" s="562" t="n">
        <x:f>SUMIFS($C$26:$C$33,$A$26:$A$33,B19)</x:f>
        <x:v>1</x:v>
      </x:c>
      <x:c r="K19" s="528" t="str">
        <x:f>INDEX($E$26:$E$33,MATCH(B19,$A$26:$A$33,0))</x:f>
        <x:v>Usable — Guard gaps left neutral</x:v>
      </x:c>
      <x:c r="L19" s="27"/>
      <x:c r="M19" s="534" t="str">
        <x:v>K176</x:v>
      </x:c>
      <x:c r="N19" s="563" t="n">
        <x:f>IF($M19=N$13,"—",MIN($AB$13,MAX($AB$12,1/(1+EXP(-(SUMIFS($V$26:$V$33,$A$26:$A$33,$M19)-SUMIFS($V$26:$V$33,$A$26:$A$33,N$13))/$AB$11)))))</x:f>
        <x:v>0.2754725888724113</x:v>
      </x:c>
      <x:c r="O19" s="563" t="n">
        <x:f>IF($M19=O$13,"—",MIN($AB$13,MAX($AB$12,1/(1+EXP(-(SUMIFS($V$26:$V$33,$A$26:$A$33,$M19)-SUMIFS($V$26:$V$33,$A$26:$A$33,O$13))/$AB$11)))))</x:f>
        <x:v>0.43564745455312015</x:v>
      </x:c>
      <x:c r="P19" s="563" t="n">
        <x:f>IF($M19=P$13,"—",MIN($AB$13,MAX($AB$12,1/(1+EXP(-(SUMIFS($V$26:$V$33,$A$26:$A$33,$M19)-SUMIFS($V$26:$V$33,$A$26:$A$33,P$13))/$AB$11)))))</x:f>
        <x:v>0.5589125608746257</x:v>
      </x:c>
      <x:c r="Q19" s="563" t="n">
        <x:f>IF($M19=Q$13,"—",MIN($AB$13,MAX($AB$12,1/(1+EXP(-(SUMIFS($V$26:$V$33,$A$26:$A$33,$M19)-SUMIFS($V$26:$V$33,$A$26:$A$33,Q$13))/$AB$11)))))</x:f>
        <x:v>0.5147299375296792</x:v>
      </x:c>
      <x:c r="R19" s="563" t="n">
        <x:f>IF($M19=R$13,"—",MIN($AB$13,MAX($AB$12,1/(1+EXP(-(SUMIFS($V$26:$V$33,$A$26:$A$33,$M19)-SUMIFS($V$26:$V$33,$A$26:$A$33,R$13))/$AB$11)))))</x:f>
        <x:v>0.5493606513861615</x:v>
      </x:c>
      <x:c r="S19" s="563" t="str">
        <x:f>IF($M19=S$13,"—",MIN($AB$13,MAX($AB$12,1/(1+EXP(-(SUMIFS($V$26:$V$33,$A$26:$A$33,$M19)-SUMIFS($V$26:$V$33,$A$26:$A$33,S$13))/$AB$11)))))</x:f>
        <x:v>—</x:v>
      </x:c>
      <x:c r="T19" s="563" t="n">
        <x:f>IF($M19=T$13,"—",MIN($AB$13,MAX($AB$12,1/(1+EXP(-(SUMIFS($V$26:$V$33,$A$26:$A$33,$M19)-SUMIFS($V$26:$V$33,$A$26:$A$33,T$13))/$AB$11)))))</x:f>
        <x:v>0.5931774352323448</x:v>
      </x:c>
      <x:c r="U19" s="563" t="n">
        <x:f>IF($M19=U$13,"—",MIN($AB$13,MAX($AB$12,1/(1+EXP(-(SUMIFS($V$26:$V$33,$A$26:$A$33,$M19)-SUMIFS($V$26:$V$33,$A$26:$A$33,U$13))/$AB$11)))))</x:f>
        <x:v>0.6608663466119736</x:v>
      </x:c>
      <x:c r="V19" s="27"/>
      <x:c r="W19" s="27" t="str">
        <x:v>Top 3 #1 weight</x:v>
      </x:c>
      <x:c r="X19" s="566" t="n">
        <x:v>0.5</x:v>
      </x:c>
      <x:c r="Y19" s="27" t="str">
        <x:v>Within Elite Top 3</x:v>
      </x:c>
      <x:c r="Z19" s="27"/>
      <x:c r="AA19" s="27"/>
      <x:c r="AB19" s="27"/>
      <x:c r="AC19" s="27"/>
      <x:c r="AD19" s="27"/>
      <x:c r="AE19" s="27"/>
      <x:c r="AF19" s="27"/>
      <x:c r="AG19" s="27"/>
      <x:c r="AH19" s="27"/>
      <x:c r="AI19" s="27"/>
    </x:row>
    <x:row r="20">
      <x:c r="A20" s="554" t="n">
        <x:v>7</x:v>
      </x:c>
      <x:c r="B20" s="555" t="str">
        <x:f>INDEX($A$26:$A$33,MATCH(A20,$W$26:$W$33,0))</x:f>
        <x:v>K138</x:v>
      </x:c>
      <x:c r="C20" s="655" t="n">
        <x:f>SUMIFS($T$26:$T$33,$A$26:$A$33,B20)</x:f>
        <x:v>65.75973581329441</x:v>
      </x:c>
      <x:c r="D20" s="655" t="n">
        <x:f>SUMIFS($L$26:$L$33,$A$26:$A$33,B20)</x:f>
        <x:v>62.00993460412384</x:v>
      </x:c>
      <x:c r="E20" s="655" t="n">
        <x:f>SUMIFS($G$26:$G$33,$A$26:$A$33,B20)</x:f>
        <x:v>77.0091394408061</x:v>
      </x:c>
      <x:c r="F20" s="655" t="n">
        <x:f>SUMIFS($H$26:$H$33,$A$26:$A$33,B20)</x:f>
        <x:v>4</x:v>
      </x:c>
      <x:c r="G20" s="655" t="n">
        <x:f>SUMIFS($V$26:$V$33,$A$26:$A$33,B20)</x:f>
        <x:v>65.28968037492086</x:v>
      </x:c>
      <x:c r="H20" s="527" t="str">
        <x:f>INDEX($X$26:$X$33,MATCH(B20,$A$26:$A$33,0))</x:f>
        <x:v>(RaW)ϟCrozyϟ</x:v>
      </x:c>
      <x:c r="I20" s="656" t="n">
        <x:f>SUMIFS($Z$26:$Z$33,$A$26:$A$33,B20)</x:f>
        <x:v>0</x:v>
      </x:c>
      <x:c r="J20" s="657" t="n">
        <x:f>SUMIFS($C$26:$C$33,$A$26:$A$33,B20)</x:f>
        <x:v>0.9629629629629629</x:v>
      </x:c>
      <x:c r="K20" s="527" t="str">
        <x:f>INDEX($E$26:$E$33,MATCH(B20,$A$26:$A$33,0))</x:f>
        <x:v>Usable — Guard gaps left neutral</x:v>
      </x:c>
      <x:c r="L20" s="27"/>
      <x:c r="M20" s="535" t="str">
        <x:v>K138</x:v>
      </x:c>
      <x:c r="N20" s="563" t="n">
        <x:f>IF($M20=N$13,"—",MIN($AB$13,MAX($AB$12,1/(1+EXP(-(SUMIFS($V$26:$V$33,$A$26:$A$33,$M20)-SUMIFS($V$26:$V$33,$A$26:$A$33,N$13))/$AB$11)))))</x:f>
        <x:v>0.2068287643453313</x:v>
      </x:c>
      <x:c r="O20" s="563" t="n">
        <x:f>IF($M20=O$13,"—",MIN($AB$13,MAX($AB$12,1/(1+EXP(-(SUMIFS($V$26:$V$33,$A$26:$A$33,$M20)-SUMIFS($V$26:$V$33,$A$26:$A$33,O$13))/$AB$11)))))</x:f>
        <x:v>0.34615984776425046</x:v>
      </x:c>
      <x:c r="P20" s="563" t="n">
        <x:f>IF($M20=P$13,"—",MIN($AB$13,MAX($AB$12,1/(1+EXP(-(SUMIFS($V$26:$V$33,$A$26:$A$33,$M20)-SUMIFS($V$26:$V$33,$A$26:$A$33,P$13))/$AB$11)))))</x:f>
        <x:v>0.4649658712827622</x:v>
      </x:c>
      <x:c r="Q20" s="563" t="n">
        <x:f>IF($M20=Q$13,"—",MIN($AB$13,MAX($AB$12,1/(1+EXP(-(SUMIFS($V$26:$V$33,$A$26:$A$33,$M20)-SUMIFS($V$26:$V$33,$A$26:$A$33,Q$13))/$AB$11)))))</x:f>
        <x:v>0.4211194487651572</x:v>
      </x:c>
      <x:c r="R20" s="563" t="n">
        <x:f>IF($M20=R$13,"—",MIN($AB$13,MAX($AB$12,1/(1+EXP(-(SUMIFS($V$26:$V$33,$A$26:$A$33,$M20)-SUMIFS($V$26:$V$33,$A$26:$A$33,R$13))/$AB$11)))))</x:f>
        <x:v>0.4553620021771122</x:v>
      </x:c>
      <x:c r="S20" s="563" t="n">
        <x:f>IF($M20=S$13,"—",MIN($AB$13,MAX($AB$12,1/(1+EXP(-(SUMIFS($V$26:$V$33,$A$26:$A$33,$M20)-SUMIFS($V$26:$V$33,$A$26:$A$33,S$13))/$AB$11)))))</x:f>
        <x:v>0.4068225647676552</x:v>
      </x:c>
      <x:c r="T20" s="563" t="str">
        <x:f>IF($M20=T$13,"—",MIN($AB$13,MAX($AB$12,1/(1+EXP(-(SUMIFS($V$26:$V$33,$A$26:$A$33,$M20)-SUMIFS($V$26:$V$33,$A$26:$A$33,T$13))/$AB$11)))))</x:f>
        <x:v>—</x:v>
      </x:c>
      <x:c r="U20" s="563" t="n">
        <x:f>IF($M20=U$13,"—",MIN($AB$13,MAX($AB$12,1/(1+EXP(-(SUMIFS($V$26:$V$33,$A$26:$A$33,$M20)-SUMIFS($V$26:$V$33,$A$26:$A$33,U$13))/$AB$11)))))</x:f>
        <x:v>0.5720061444964928</x:v>
      </x:c>
      <x:c r="V20" s="27"/>
      <x:c r="W20" s="27" t="str">
        <x:v>Top 3 #2 weight</x:v>
      </x:c>
      <x:c r="X20" s="566" t="n">
        <x:v>0.3</x:v>
      </x:c>
      <x:c r="Y20" s="27" t="str">
        <x:v>Within Elite Top 3</x:v>
      </x:c>
      <x:c r="Z20" s="27"/>
      <x:c r="AA20" s="27"/>
      <x:c r="AB20" s="27"/>
      <x:c r="AC20" s="27"/>
      <x:c r="AD20" s="27"/>
      <x:c r="AE20" s="27"/>
      <x:c r="AF20" s="27"/>
      <x:c r="AG20" s="27"/>
      <x:c r="AH20" s="27"/>
      <x:c r="AI20" s="27"/>
    </x:row>
    <x:row r="21">
      <x:c r="A21" s="554" t="n">
        <x:v>8</x:v>
      </x:c>
      <x:c r="B21" s="556" t="str">
        <x:f>INDEX($A$26:$A$33,MATCH(A21,$W$26:$W$33,0))</x:f>
        <x:v>K170</x:v>
      </x:c>
      <x:c r="C21" s="558" t="n">
        <x:f>SUMIFS($T$26:$T$33,$A$26:$A$33,B21)</x:f>
        <x:v>60.79449413412454</x:v>
      </x:c>
      <x:c r="D21" s="558" t="n">
        <x:f>SUMIFS($L$26:$L$33,$A$26:$A$33,B21)</x:f>
        <x:v>55.51743139983716</x:v>
      </x:c>
      <x:c r="E21" s="558" t="n">
        <x:f>SUMIFS($G$26:$G$33,$A$26:$A$33,B21)</x:f>
        <x:v>76.6256823369867</x:v>
      </x:c>
      <x:c r="F21" s="558" t="n">
        <x:f>SUMIFS($H$26:$H$33,$A$26:$A$33,B21)</x:f>
        <x:v>5</x:v>
      </x:c>
      <x:c r="G21" s="558" t="n">
        <x:f>SUMIFS($V$26:$V$33,$A$26:$A$33,B21)</x:f>
        <x:v>60.939066960866214</x:v>
      </x:c>
      <x:c r="H21" s="528" t="str">
        <x:f>INDEX($X$26:$X$33,MATCH(B21,$A$26:$A$33,0))</x:f>
        <x:v>(AOT)SanSW°</x:v>
      </x:c>
      <x:c r="I21" s="560" t="n">
        <x:f>SUMIFS($Z$26:$Z$33,$A$26:$A$33,B21)</x:f>
        <x:v>0</x:v>
      </x:c>
      <x:c r="J21" s="562" t="n">
        <x:f>SUMIFS($C$26:$C$33,$A$26:$A$33,B21)</x:f>
        <x:v>0.9130434782608695</x:v>
      </x:c>
      <x:c r="K21" s="528" t="str">
        <x:f>INDEX($E$26:$E$33,MATCH(B21,$A$26:$A$33,0))</x:f>
        <x:v>Usable — Guard gaps left neutral</x:v>
      </x:c>
      <x:c r="L21" s="27"/>
      <x:c r="M21" s="536" t="str">
        <x:v>K170</x:v>
      </x:c>
      <x:c r="N21" s="563" t="n">
        <x:f>IF($M21=N$13,"—",MIN($AB$13,MAX($AB$12,1/(1+EXP(-(SUMIFS($V$26:$V$33,$A$26:$A$33,$M21)-SUMIFS($V$26:$V$33,$A$26:$A$33,N$13))/$AB$11)))))</x:f>
        <x:v>0.2</x:v>
      </x:c>
      <x:c r="O21" s="563" t="n">
        <x:f>IF($M21=O$13,"—",MIN($AB$13,MAX($AB$12,1/(1+EXP(-(SUMIFS($V$26:$V$33,$A$26:$A$33,$M21)-SUMIFS($V$26:$V$33,$A$26:$A$33,O$13))/$AB$11)))))</x:f>
        <x:v>0.28373629296309755</x:v>
      </x:c>
      <x:c r="P21" s="563" t="n">
        <x:f>IF($M21=P$13,"—",MIN($AB$13,MAX($AB$12,1/(1+EXP(-(SUMIFS($V$26:$V$33,$A$26:$A$33,$M21)-SUMIFS($V$26:$V$33,$A$26:$A$33,P$13))/$AB$11)))))</x:f>
        <x:v>0.39402904683834633</x:v>
      </x:c>
      <x:c r="Q21" s="563" t="n">
        <x:f>IF($M21=Q$13,"—",MIN($AB$13,MAX($AB$12,1/(1+EXP(-(SUMIFS($V$26:$V$33,$A$26:$A$33,$M21)-SUMIFS($V$26:$V$33,$A$26:$A$33,Q$13))/$AB$11)))))</x:f>
        <x:v>0.352465226094128</x:v>
      </x:c>
      <x:c r="R21" s="563" t="n">
        <x:f>IF($M21=R$13,"—",MIN($AB$13,MAX($AB$12,1/(1+EXP(-(SUMIFS($V$26:$V$33,$A$26:$A$33,$M21)-SUMIFS($V$26:$V$33,$A$26:$A$33,R$13))/$AB$11)))))</x:f>
        <x:v>0.38483649647514107</x:v>
      </x:c>
      <x:c r="S21" s="563" t="n">
        <x:f>IF($M21=S$13,"—",MIN($AB$13,MAX($AB$12,1/(1+EXP(-(SUMIFS($V$26:$V$33,$A$26:$A$33,$M21)-SUMIFS($V$26:$V$33,$A$26:$A$33,S$13))/$AB$11)))))</x:f>
        <x:v>0.3391336533880263</x:v>
      </x:c>
      <x:c r="T21" s="563" t="n">
        <x:f>IF($M21=T$13,"—",MIN($AB$13,MAX($AB$12,1/(1+EXP(-(SUMIFS($V$26:$V$33,$A$26:$A$33,$M21)-SUMIFS($V$26:$V$33,$A$26:$A$33,T$13))/$AB$11)))))</x:f>
        <x:v>0.4279938555035072</x:v>
      </x:c>
      <x:c r="U21" s="563" t="str">
        <x:f>IF($M21=U$13,"—",MIN($AB$13,MAX($AB$12,1/(1+EXP(-(SUMIFS($V$26:$V$33,$A$26:$A$33,$M21)-SUMIFS($V$26:$V$33,$A$26:$A$33,U$13))/$AB$11)))))</x:f>
        <x:v>—</x:v>
      </x:c>
      <x:c r="V21" s="27"/>
      <x:c r="W21" s="27" t="str">
        <x:v>Top 3 #3 weight</x:v>
      </x:c>
      <x:c r="X21" s="566" t="n">
        <x:v>0.2</x:v>
      </x:c>
      <x:c r="Y21" s="27" t="str">
        <x:v>Within Elite Top 3</x:v>
      </x:c>
      <x:c r="Z21" s="27"/>
      <x:c r="AA21" s="27"/>
      <x:c r="AB21" s="27"/>
      <x:c r="AC21" s="27"/>
      <x:c r="AD21" s="27"/>
      <x:c r="AE21" s="27"/>
      <x:c r="AF21" s="27"/>
      <x:c r="AG21" s="27"/>
      <x:c r="AH21" s="27"/>
      <x:c r="AI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  <x:c r="AC22" s="27"/>
      <x:c r="AD22" s="27"/>
      <x:c r="AE22" s="27"/>
      <x:c r="AF22" s="27"/>
      <x:c r="AG22" s="27"/>
      <x:c r="AH22" s="27"/>
      <x:c r="AI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  <x:c r="AC23" s="27"/>
      <x:c r="AD23" s="27"/>
      <x:c r="AE23" s="27"/>
      <x:c r="AF23" s="27"/>
      <x:c r="AG23" s="27"/>
      <x:c r="AH23" s="27"/>
      <x:c r="AI23" s="27"/>
    </x:row>
    <x:row r="24">
      <x:c r="A24" s="613" t="str">
        <x:v>Calibrated Kingdom Rollup — Specialisation Applied Once as a Separate Component</x:v>
      </x:c>
      <x:c r="B24" s="613"/>
      <x:c r="C24" s="613"/>
      <x:c r="D24" s="613"/>
      <x:c r="E24" s="613"/>
      <x:c r="F24" s="613"/>
      <x:c r="G24" s="613"/>
      <x:c r="H24" s="613"/>
      <x:c r="I24" s="613"/>
      <x:c r="J24" s="613"/>
      <x:c r="K24" s="613"/>
      <x:c r="L24" s="613"/>
      <x:c r="M24" s="613"/>
      <x:c r="N24" s="613"/>
      <x:c r="O24" s="613"/>
      <x:c r="P24" s="613"/>
      <x:c r="Q24" s="613"/>
      <x:c r="R24" s="613"/>
      <x:c r="S24" s="613"/>
      <x:c r="T24" s="613"/>
      <x:c r="U24" s="613"/>
      <x:c r="V24" s="613"/>
      <x:c r="W24" s="613"/>
      <x:c r="X24" s="613"/>
      <x:c r="Y24" s="613"/>
      <x:c r="Z24" s="613"/>
      <x:c r="AA24"/>
      <x:c r="AB24"/>
      <x:c r="AC24"/>
      <x:c r="AD24"/>
      <x:c r="AE24"/>
      <x:c r="AF24"/>
      <x:c r="AG24"/>
      <x:c r="AH24"/>
      <x:c r="AI24"/>
    </x:row>
    <x:row r="25" ht="44" customHeight="1">
      <x:c r="A25" s="600" t="str">
        <x:v>Kingdom</x:v>
      </x:c>
      <x:c r="B25" s="600" t="str">
        <x:v>Profiles</x:v>
      </x:c>
      <x:c r="C25" s="600" t="str">
        <x:v>Offense Capture</x:v>
      </x:c>
      <x:c r="D25" s="600" t="str">
        <x:v>Guard Capture</x:v>
      </x:c>
      <x:c r="E25" s="600" t="str">
        <x:v>Status</x:v>
      </x:c>
      <x:c r="F25" s="600" t="str">
        <x:v>Stats Offense</x:v>
      </x:c>
      <x:c r="G25" s="600" t="str">
        <x:v>Specialisation Strength</x:v>
      </x:c>
      <x:c r="H25" s="600" t="str">
        <x:v>Spec Rank</x:v>
      </x:c>
      <x:c r="I25" s="600" t="str">
        <x:v>Main Tank</x:v>
      </x:c>
      <x:c r="J25" s="600" t="str">
        <x:v>Tank Control</x:v>
      </x:c>
      <x:c r="K25" s="600" t="str">
        <x:v>Tank Impact</x:v>
      </x:c>
      <x:c r="L25" s="600" t="str">
        <x:v>Stats Event</x:v>
      </x:c>
      <x:c r="M25" s="600" t="str">
        <x:v>Stats Throne</x:v>
      </x:c>
      <x:c r="N25" s="600" t="str">
        <x:v>Baseline Event</x:v>
      </x:c>
      <x:c r="O25" s="600" t="str">
        <x:v>Recommended Event</x:v>
      </x:c>
      <x:c r="P25" s="600" t="str">
        <x:v>High Event</x:v>
      </x:c>
      <x:c r="Q25" s="600" t="str">
        <x:v>Baseline Throne</x:v>
      </x:c>
      <x:c r="R25" s="600" t="str">
        <x:v>Recommended Throne</x:v>
      </x:c>
      <x:c r="S25" s="600" t="str">
        <x:v>High Throne</x:v>
      </x:c>
      <x:c r="T25" s="600" t="str">
        <x:v>Selected Event</x:v>
      </x:c>
      <x:c r="U25" s="600" t="str">
        <x:v>Selected Throne</x:v>
      </x:c>
      <x:c r="V25" s="600" t="str">
        <x:v>Matchup Strength</x:v>
      </x:c>
      <x:c r="W25" s="600" t="str">
        <x:v>Selected Rank</x:v>
      </x:c>
      <x:c r="X25" s="600" t="str">
        <x:v>Main Starter</x:v>
      </x:c>
      <x:c r="Y25" s="600" t="str">
        <x:v>Baseline Rank</x:v>
      </x:c>
      <x:c r="Z25" s="600" t="str">
        <x:v>Rank Change</x:v>
      </x:c>
      <x:c r="AA25" s="713" t="str">
        <x:v>Damage Strength</x:v>
      </x:c>
      <x:c r="AB25" s="713" t="str">
        <x:v>Guards Strength</x:v>
      </x:c>
      <x:c r="AC25" s="713" t="str">
        <x:v>Matchup Guards</x:v>
      </x:c>
      <x:c r="AD25"/>
      <x:c r="AE25"/>
      <x:c r="AF25"/>
      <x:c r="AG25"/>
      <x:c r="AH25"/>
      <x:c r="AI25"/>
    </x:row>
    <x:row r="26">
      <x:c r="A26" s="639" t="str">
        <x:f>'Tank &amp; Control'!A6</x:f>
        <x:v>K54</x:v>
      </x:c>
      <x:c r="B26" s="639" t="n">
        <x:f>COUNTIF('Player Scenario Model'!$A$6:$A$172,A26)</x:f>
        <x:v>11</x:v>
      </x:c>
      <x:c r="C26" s="643" t="n">
        <x:f>IFERROR(COUNTIFS('Player Scenario Model'!$A$6:$A$172,A26,'Player Scenario Model'!$I$6:$I$172,"&gt;0")/B26,0)</x:f>
        <x:v>1</x:v>
      </x:c>
      <x:c r="D26" s="643" t="n">
        <x:f>IFERROR(COUNTIFS('Player Scenario Model'!$A$6:$A$172,A26,'Player Scenario Model'!$M$6:$M$172,"Yes",'Player Scenario Model'!$AC$6:$AC$172,"&gt;0")/COUNTIFS('Player Scenario Model'!$A$6:$A$172,A26,'Player Scenario Model'!$M$6:$M$172,"Yes"),0)</x:f>
        <x:v>0.25</x:v>
      </x:c>
      <x:c r="E26" s="639" t="str">
        <x:f>IF(C26&lt;$X$7,"Provisional — offense capture under 80%",IF(D26&lt;$X$7,"Usable — Guard gaps left neutral",IF(C26&lt;1,"Partial — missing players neutral","Complete")))</x:f>
        <x:v>Usable — Guard gaps left neutral</x:v>
      </x:c>
      <x:c r="F26" s="647" t="n">
        <x:f>'Specialisation Scenarios'!$X$15*('Specialisation Scenarios'!$X$19*SUMIFS('Player Scenario Model'!$J$6:$J$172,'Player Scenario Model'!$A$6:$A$172,A26,'Player Scenario Model'!$S$6:$S$172,1)+'Specialisation Scenarios'!$X$20*SUMIFS('Player Scenario Model'!$J$6:$J$172,'Player Scenario Model'!$A$6:$A$172,A26,'Player Scenario Model'!$S$6:$S$172,2)+'Specialisation Scenarios'!$X$21*SUMIFS('Player Scenario Model'!$J$6:$J$172,'Player Scenario Model'!$A$6:$A$172,A26,'Player Scenario Model'!$S$6:$S$172,3))+'Specialisation Scenarios'!$X$16*SUMIFS('Player Scenario Model'!$J$6:$J$172,'Player Scenario Model'!$A$6:$A$172,A26,'Player Scenario Model'!$S$6:$S$172,"&lt;=5")/MIN(5,B26)+'Specialisation Scenarios'!$X$17*SUMIFS('Player Scenario Model'!$J$6:$J$172,'Player Scenario Model'!$A$6:$A$172,A26,'Player Scenario Model'!$S$6:$S$172,"&lt;=15")/MIN(15,B26)+'Specialisation Scenarios'!$X$18*SUMIFS('Player Scenario Model'!$J$6:$J$172,'Player Scenario Model'!$A$6:$A$172,A26)/B26</x:f>
        <x:v>82.71438740156272</x:v>
      </x:c>
      <x:c r="G26" s="647" t="n">
        <x:f>SUMIFS('Specialisation Rankings'!$Z$6:$Z$13,'Specialisation Rankings'!$N$6:$N$13,A26)</x:f>
        <x:v>84.44373555737192</x:v>
      </x:c>
      <x:c r="H26" s="647" t="n">
        <x:f>SUMIFS('Specialisation Rankings'!$AA$6:$AA$13,'Specialisation Rankings'!$N$6:$N$13,A26)</x:f>
        <x:v>1</x:v>
      </x:c>
      <x:c r="I26" s="647" t="n">
        <x:f>SUMIFS('Tank &amp; Control'!$D$6:$D$13,'Tank &amp; Control'!$A$6:$A$13,A26)</x:f>
        <x:v>94.52688397207652</x:v>
      </x:c>
      <x:c r="J26" s="647" t="n">
        <x:f>SUMIFS('Tank &amp; Control'!$G$6:$G$13,'Tank &amp; Control'!$A$6:$A$13,A26)</x:f>
        <x:v>67.95435172080309</x:v>
      </x:c>
      <x:c r="K26" s="647" t="n">
        <x:f>$AB$5*I26+$AB$6*J26</x:f>
        <x:v>87.88375090925817</x:v>
      </x:c>
      <x:c r="L26" s="647" t="n">
        <x:f>$AB$9*F26+$AB$10*K26</x:f>
        <x:v>85.04060098002569</x:v>
      </x:c>
      <x:c r="M26" s="647" t="n">
        <x:f>$AB$9*F26+$AB$10*I26</x:f>
        <x:v>88.03001085829393</x:v>
      </x:c>
      <x:c r="N26" s="647" t="n">
        <x:f>L26</x:f>
        <x:v>85.04060098002569</x:v>
      </x:c>
      <x:c r="O26" s="647" t="n">
        <x:f>(1-$B$8)*L26+$B$8*G26</x:f>
        <x:v>84.89138462436225</x:v>
      </x:c>
      <x:c r="P26" s="647" t="n">
        <x:f>(1-$B$9)*L26+$B$9*G26</x:f>
        <x:v>84.83169808209686</x:v>
      </x:c>
      <x:c r="Q26" s="647" t="n">
        <x:f>M26</x:f>
        <x:v>88.03001085829393</x:v>
      </x:c>
      <x:c r="R26" s="647" t="n">
        <x:f>(1-$B$8)*M26+$B$8*G26</x:f>
        <x:v>87.13344203306343</x:v>
      </x:c>
      <x:c r="S26" s="647" t="n">
        <x:f>(1-$B$9)*M26+$B$9*G26</x:f>
        <x:v>86.77481450297122</x:v>
      </x:c>
      <x:c r="T26" s="647" t="n">
        <x:f>IF($B$4="Baseline",N26,IF($B$4="High impact",P26,O26))</x:f>
        <x:v>84.89138462436225</x:v>
      </x:c>
      <x:c r="U26" s="647" t="n">
        <x:f>IF($B$4="Baseline",Q26,IF($B$4="High impact",S26,R26))</x:f>
        <x:v>87.13344203306343</x:v>
      </x:c>
      <x:c r="V26" s="647" t="n">
        <x:f>$AB$14*T26+$AB$15*U26</x:f>
        <x:v>85.45189897653754</x:v>
      </x:c>
      <x:c r="W26" s="639" t="n">
        <x:f>COUNTIF($T$26:$T$33,"&gt;"&amp;T26)+COUNTIF($T$26:T26,T26)</x:f>
        <x:v>1</x:v>
      </x:c>
      <x:c r="X26" s="639" t="str">
        <x:f>IFERROR(INDEX('Tank &amp; Control'!$C$6:$C$13,MATCH(A26,'Tank &amp; Control'!$A$6:$A$13,0)),"")</x:f>
        <x:v>爽歪歪</x:v>
      </x:c>
      <x:c r="Y26" s="639" t="n">
        <x:f>COUNTIF($N$26:$N$33,"&gt;"&amp;N26)+COUNTIF($N$26:N26,N26)</x:f>
        <x:v>1</x:v>
      </x:c>
      <x:c r="Z26" s="651" t="n">
        <x:f>Y26-W26</x:f>
        <x:v>0</x:v>
      </x:c>
      <x:c r="AA26" s="718" t="n">
        <x:f>IFERROR(((1-$C$4)*$AB$9*F26+$C$4*(SUMIFS('Specialisation Rankings'!$V$6:$V$13,'Specialisation Rankings'!$N$6:$N$13,A26)*'Specialisation Rankings'!$O$18+SUMIFS('Specialisation Rankings'!$W$6:$W$13,'Specialisation Rankings'!$N$6:$N$13,A26)*'Specialisation Rankings'!$O$19+SUMIFS('Specialisation Rankings'!$X$6:$X$13,'Specialisation Rankings'!$N$6:$N$13,A26)*'Specialisation Rankings'!$O$20))/((1-$C$4)*$AB$9+$C$4*('Specialisation Rankings'!$O$18+'Specialisation Rankings'!$O$19+'Specialisation Rankings'!$O$20)),0)</x:f>
        <x:v>84.12921828509107</x:v>
      </x:c>
      <x:c r="AB26" s="718" t="n">
        <x:f>IFERROR(((1-$C$4)*$AB$10*K26+$C$4*SUMIFS('Specialisation Rankings'!$Y$6:$Y$13,'Specialisation Rankings'!$N$6:$N$13,A26)*'Specialisation Rankings'!$O$21)/((1-$C$4)*$AB$10+$C$4*'Specialisation Rankings'!$O$21),0)</x:f>
        <x:v>86.2317461175632</x:v>
      </x:c>
      <x:c r="AC26" s="718" t="n">
        <x:f>IFERROR($AB$14*AB26+$AB$15*(((1-$C$4)*$AB$10*I26+$C$4*SUMIFS('Specialisation Rankings'!$Y$6:$Y$13,'Specialisation Rankings'!$N$6:$N$13,A26)*'Specialisation Rankings'!$O$21)/((1-$C$4)*$AB$10+$C$4*'Specialisation Rankings'!$O$21)),0)</x:f>
        <x:v>87.77799260632266</x:v>
      </x:c>
      <x:c r="AD26"/>
      <x:c r="AE26"/>
      <x:c r="AF26"/>
      <x:c r="AG26"/>
      <x:c r="AH26"/>
      <x:c r="AI26"/>
    </x:row>
    <x:row r="27">
      <x:c r="A27" s="640" t="str">
        <x:f>'Tank &amp; Control'!A7</x:f>
        <x:v>K197</x:v>
      </x:c>
      <x:c r="B27" s="640" t="n">
        <x:f>COUNTIF('Player Scenario Model'!$A$6:$A$172,A27)</x:f>
        <x:v>19</x:v>
      </x:c>
      <x:c r="C27" s="644" t="n">
        <x:f>IFERROR(COUNTIFS('Player Scenario Model'!$A$6:$A$172,A27,'Player Scenario Model'!$I$6:$I$172,"&gt;0")/B27,0)</x:f>
        <x:v>1</x:v>
      </x:c>
      <x:c r="D27" s="644" t="n">
        <x:f>IFERROR(COUNTIFS('Player Scenario Model'!$A$6:$A$172,A27,'Player Scenario Model'!$M$6:$M$172,"Yes",'Player Scenario Model'!$AC$6:$AC$172,"&gt;0")/COUNTIFS('Player Scenario Model'!$A$6:$A$172,A27,'Player Scenario Model'!$M$6:$M$172,"Yes"),0)</x:f>
        <x:v>0.25</x:v>
      </x:c>
      <x:c r="E27" s="640" t="str">
        <x:f>IF(C27&lt;$X$7,"Provisional — offense capture under 80%",IF(D27&lt;$X$7,"Usable — Guard gaps left neutral",IF(C27&lt;1,"Partial — missing players neutral","Complete")))</x:f>
        <x:v>Usable — Guard gaps left neutral</x:v>
      </x:c>
      <x:c r="F27" s="648" t="n">
        <x:f>'Specialisation Scenarios'!$X$15*('Specialisation Scenarios'!$X$19*SUMIFS('Player Scenario Model'!$J$6:$J$172,'Player Scenario Model'!$A$6:$A$172,A27,'Player Scenario Model'!$S$6:$S$172,1)+'Specialisation Scenarios'!$X$20*SUMIFS('Player Scenario Model'!$J$6:$J$172,'Player Scenario Model'!$A$6:$A$172,A27,'Player Scenario Model'!$S$6:$S$172,2)+'Specialisation Scenarios'!$X$21*SUMIFS('Player Scenario Model'!$J$6:$J$172,'Player Scenario Model'!$A$6:$A$172,A27,'Player Scenario Model'!$S$6:$S$172,3))+'Specialisation Scenarios'!$X$16*SUMIFS('Player Scenario Model'!$J$6:$J$172,'Player Scenario Model'!$A$6:$A$172,A27,'Player Scenario Model'!$S$6:$S$172,"&lt;=5")/MIN(5,B27)+'Specialisation Scenarios'!$X$17*SUMIFS('Player Scenario Model'!$J$6:$J$172,'Player Scenario Model'!$A$6:$A$172,A27,'Player Scenario Model'!$S$6:$S$172,"&lt;=15")/MIN(15,B27)+'Specialisation Scenarios'!$X$18*SUMIFS('Player Scenario Model'!$J$6:$J$172,'Player Scenario Model'!$A$6:$A$172,A27)/B27</x:f>
        <x:v>67.54113131265885</x:v>
      </x:c>
      <x:c r="G27" s="648" t="n">
        <x:f>SUMIFS('Specialisation Rankings'!$Z$6:$Z$13,'Specialisation Rankings'!$N$6:$N$13,A27)</x:f>
        <x:v>74.03926006741797</x:v>
      </x:c>
      <x:c r="H27" s="648" t="n">
        <x:f>SUMIFS('Specialisation Rankings'!$AA$6:$AA$13,'Specialisation Rankings'!$N$6:$N$13,A27)</x:f>
        <x:v>6</x:v>
      </x:c>
      <x:c r="I27" s="648" t="n">
        <x:f>SUMIFS('Tank &amp; Control'!$D$6:$D$13,'Tank &amp; Control'!$A$6:$A$13,A27)</x:f>
        <x:v>89.05376794415304</x:v>
      </x:c>
      <x:c r="J27" s="648" t="n">
        <x:f>SUMIFS('Tank &amp; Control'!$G$6:$G$13,'Tank &amp; Control'!$A$6:$A$13,A27)</x:f>
        <x:v>63.81620956908795</x:v>
      </x:c>
      <x:c r="K27" s="648" t="n">
        <x:f>$AB$5*I27+$AB$6*J27</x:f>
        <x:v>82.74437835038677</x:v>
      </x:c>
      <x:c r="L27" s="648" t="n">
        <x:f>$AB$9*F27+$AB$10*K27</x:f>
        <x:v>74.38259247963643</x:v>
      </x:c>
      <x:c r="M27" s="648" t="n">
        <x:f>$AB$9*F27+$AB$10*I27</x:f>
        <x:v>77.22181779683123</x:v>
      </x:c>
      <x:c r="N27" s="648" t="n">
        <x:f>L27</x:f>
        <x:v>74.38259247963643</x:v>
      </x:c>
      <x:c r="O27" s="648" t="n">
        <x:f>(1-$B$8)*L27+$B$8*G27</x:f>
        <x:v>74.29675937658182</x:v>
      </x:c>
      <x:c r="P27" s="648" t="n">
        <x:f>(1-$B$9)*L27+$B$9*G27</x:f>
        <x:v>74.26242613535996</x:v>
      </x:c>
      <x:c r="Q27" s="648" t="n">
        <x:f>M27</x:f>
        <x:v>77.22181779683123</x:v>
      </x:c>
      <x:c r="R27" s="648" t="n">
        <x:f>(1-$B$8)*M27+$B$8*G27</x:f>
        <x:v>76.42617836447792</x:v>
      </x:c>
      <x:c r="S27" s="648" t="n">
        <x:f>(1-$B$9)*M27+$B$9*G27</x:f>
        <x:v>76.10792259153659</x:v>
      </x:c>
      <x:c r="T27" s="648" t="n">
        <x:f>IF($B$4="Baseline",N27,IF($B$4="High impact",P27,O27))</x:f>
        <x:v>74.29675937658182</x:v>
      </x:c>
      <x:c r="U27" s="648" t="n">
        <x:f>IF($B$4="Baseline",Q27,IF($B$4="High impact",S27,R27))</x:f>
        <x:v>76.42617836447792</x:v>
      </x:c>
      <x:c r="V27" s="648" t="n">
        <x:f>$AB$14*T27+$AB$15*U27</x:f>
        <x:v>74.82911412355585</x:v>
      </x:c>
      <x:c r="W27" s="640" t="n">
        <x:f>COUNTIF($T$26:$T$33,"&gt;"&amp;T27)+COUNTIF($T$26:T27,T27)</x:f>
        <x:v>2</x:v>
      </x:c>
      <x:c r="X27" s="640" t="str">
        <x:f>IFERROR(INDEX('Tank &amp; Control'!$C$6:$C$13,MATCH(A27,'Tank &amp; Control'!$A$6:$A$13,0)),"")</x:f>
        <x:v>Хлебушек</x:v>
      </x:c>
      <x:c r="Y27" s="640" t="n">
        <x:f>COUNTIF($N$26:$N$33,"&gt;"&amp;N27)+COUNTIF($N$26:N27,N27)</x:f>
        <x:v>2</x:v>
      </x:c>
      <x:c r="Z27" s="652" t="n">
        <x:f>Y27-W27</x:f>
        <x:v>0</x:v>
      </x:c>
      <x:c r="AA27" s="719" t="n">
        <x:f>IFERROR(((1-$C$4)*$AB$9*F27+$C$4*(SUMIFS('Specialisation Rankings'!$V$6:$V$13,'Specialisation Rankings'!$N$6:$N$13,A27)*'Specialisation Rankings'!$O$18+SUMIFS('Specialisation Rankings'!$W$6:$W$13,'Specialisation Rankings'!$N$6:$N$13,A27)*'Specialisation Rankings'!$O$19+SUMIFS('Specialisation Rankings'!$X$6:$X$13,'Specialisation Rankings'!$N$6:$N$13,A27)*'Specialisation Rankings'!$O$20))/((1-$C$4)*$AB$9+$C$4*('Specialisation Rankings'!$O$18+'Specialisation Rankings'!$O$19+'Specialisation Rankings'!$O$20)),0)</x:f>
        <x:v>69.98506129821688</x:v>
      </x:c>
      <x:c r="AB27" s="719" t="n">
        <x:f>IFERROR(((1-$C$4)*$AB$10*K27+$C$4*SUMIFS('Specialisation Rankings'!$Y$6:$Y$13,'Specialisation Rankings'!$N$6:$N$13,A27)*'Specialisation Rankings'!$O$21)/((1-$C$4)*$AB$10+$C$4*'Specialisation Rankings'!$O$21),0)</x:f>
        <x:v>81.87940082474078</x:v>
      </x:c>
      <x:c r="AC27" s="719" t="n">
        <x:f>IFERROR($AB$14*AB27+$AB$15*(((1-$C$4)*$AB$10*I27+$C$4*SUMIFS('Specialisation Rankings'!$Y$6:$Y$13,'Specialisation Rankings'!$N$6:$N$13,A27)*'Specialisation Rankings'!$O$21)/((1-$C$4)*$AB$10+$C$4*'Specialisation Rankings'!$O$21)),0)</x:f>
        <x:v>83.34796564397948</x:v>
      </x:c>
      <x:c r="AD27"/>
      <x:c r="AE27"/>
      <x:c r="AF27"/>
      <x:c r="AG27"/>
      <x:c r="AH27"/>
      <x:c r="AI27"/>
    </x:row>
    <x:row r="28">
      <x:c r="A28" s="641" t="str">
        <x:f>'Tank &amp; Control'!A8</x:f>
        <x:v>K116</x:v>
      </x:c>
      <x:c r="B28" s="641" t="n">
        <x:f>COUNTIF('Player Scenario Model'!$A$6:$A$172,A28)</x:f>
        <x:v>20</x:v>
      </x:c>
      <x:c r="C28" s="645" t="n">
        <x:f>IFERROR(COUNTIFS('Player Scenario Model'!$A$6:$A$172,A28,'Player Scenario Model'!$I$6:$I$172,"&gt;0")/B28,0)</x:f>
        <x:v>0.65</x:v>
      </x:c>
      <x:c r="D28" s="645" t="n">
        <x:f>IFERROR(COUNTIFS('Player Scenario Model'!$A$6:$A$172,A28,'Player Scenario Model'!$M$6:$M$172,"Yes",'Player Scenario Model'!$AC$6:$AC$172,"&gt;0")/COUNTIFS('Player Scenario Model'!$A$6:$A$172,A28,'Player Scenario Model'!$M$6:$M$172,"Yes"),0)</x:f>
        <x:v>0.8</x:v>
      </x:c>
      <x:c r="E28" s="641" t="str">
        <x:f>IF(C28&lt;$X$7,"Provisional — offense capture under 80%",IF(D28&lt;$X$7,"Usable — Guard gaps left neutral",IF(C28&lt;1,"Partial — missing players neutral","Complete")))</x:f>
        <x:v>Provisional — offense capture under 80%</x:v>
      </x:c>
      <x:c r="F28" s="649" t="n">
        <x:f>'Specialisation Scenarios'!$X$15*('Specialisation Scenarios'!$X$19*SUMIFS('Player Scenario Model'!$J$6:$J$172,'Player Scenario Model'!$A$6:$A$172,A28,'Player Scenario Model'!$S$6:$S$172,1)+'Specialisation Scenarios'!$X$20*SUMIFS('Player Scenario Model'!$J$6:$J$172,'Player Scenario Model'!$A$6:$A$172,A28,'Player Scenario Model'!$S$6:$S$172,2)+'Specialisation Scenarios'!$X$21*SUMIFS('Player Scenario Model'!$J$6:$J$172,'Player Scenario Model'!$A$6:$A$172,A28,'Player Scenario Model'!$S$6:$S$172,3))+'Specialisation Scenarios'!$X$16*SUMIFS('Player Scenario Model'!$J$6:$J$172,'Player Scenario Model'!$A$6:$A$172,A28,'Player Scenario Model'!$S$6:$S$172,"&lt;=5")/MIN(5,B28)+'Specialisation Scenarios'!$X$17*SUMIFS('Player Scenario Model'!$J$6:$J$172,'Player Scenario Model'!$A$6:$A$172,A28,'Player Scenario Model'!$S$6:$S$172,"&lt;=15")/MIN(15,B28)+'Specialisation Scenarios'!$X$18*SUMIFS('Player Scenario Model'!$J$6:$J$172,'Player Scenario Model'!$A$6:$A$172,A28)/B28</x:f>
        <x:v>64.00698301816635</x:v>
      </x:c>
      <x:c r="G28" s="649" t="n">
        <x:f>SUMIFS('Specialisation Rankings'!$Z$6:$Z$13,'Specialisation Rankings'!$N$6:$N$13,A28)</x:f>
        <x:v>62.73625575813077</x:v>
      </x:c>
      <x:c r="H28" s="649" t="n">
        <x:f>SUMIFS('Specialisation Rankings'!$AA$6:$AA$13,'Specialisation Rankings'!$N$6:$N$13,A28)</x:f>
        <x:v>8</x:v>
      </x:c>
      <x:c r="I28" s="649" t="n">
        <x:f>SUMIFS('Tank &amp; Control'!$D$6:$D$13,'Tank &amp; Control'!$A$6:$A$13,A28)</x:f>
        <x:v>74.28901926266018</x:v>
      </x:c>
      <x:c r="J28" s="649" t="n">
        <x:f>SUMIFS('Tank &amp; Control'!$G$6:$G$13,'Tank &amp; Control'!$A$6:$A$13,A28)</x:f>
        <x:v>78.01350123868755</x:v>
      </x:c>
      <x:c r="K28" s="649" t="n">
        <x:f>$AB$5*I28+$AB$6*J28</x:f>
        <x:v>75.22013975666701</x:v>
      </x:c>
      <x:c r="L28" s="649" t="n">
        <x:f>$AB$9*F28+$AB$10*K28</x:f>
        <x:v>69.05290355049166</x:v>
      </x:c>
      <x:c r="M28" s="649" t="n">
        <x:f>$AB$9*F28+$AB$10*I28</x:f>
        <x:v>68.63389932818858</x:v>
      </x:c>
      <x:c r="N28" s="649" t="n">
        <x:f>L28</x:f>
        <x:v>69.05290355049166</x:v>
      </x:c>
      <x:c r="O28" s="649" t="n">
        <x:f>(1-$B$8)*L28+$B$8*G28</x:f>
        <x:v>67.47374160240145</x:v>
      </x:c>
      <x:c r="P28" s="649" t="n">
        <x:f>(1-$B$9)*L28+$B$9*G28</x:f>
        <x:v>66.84207682316534</x:v>
      </x:c>
      <x:c r="Q28" s="649" t="n">
        <x:f>M28</x:f>
        <x:v>68.63389932818858</x:v>
      </x:c>
      <x:c r="R28" s="649" t="n">
        <x:f>(1-$B$8)*M28+$B$8*G28</x:f>
        <x:v>67.15948843567412</x:v>
      </x:c>
      <x:c r="S28" s="649" t="n">
        <x:f>(1-$B$9)*M28+$B$9*G28</x:f>
        <x:v>66.56972407866834</x:v>
      </x:c>
      <x:c r="T28" s="649" t="n">
        <x:f>IF($B$4="Baseline",N28,IF($B$4="High impact",P28,O28))</x:f>
        <x:v>67.47374160240145</x:v>
      </x:c>
      <x:c r="U28" s="649" t="n">
        <x:f>IF($B$4="Baseline",Q28,IF($B$4="High impact",S28,R28))</x:f>
        <x:v>67.15948843567412</x:v>
      </x:c>
      <x:c r="V28" s="649" t="n">
        <x:f>$AB$14*T28+$AB$15*U28</x:f>
        <x:v>67.39517831071961</x:v>
      </x:c>
      <x:c r="W28" s="641" t="n">
        <x:f>COUNTIF($T$26:$T$33,"&gt;"&amp;T28)+COUNTIF($T$26:T28,T28)</x:f>
        <x:v>5</x:v>
      </x:c>
      <x:c r="X28" s="641" t="str">
        <x:f>IFERROR(INDEX('Tank &amp; Control'!$C$6:$C$13,MATCH(A28,'Tank &amp; Control'!$A$6:$A$13,0)),"")</x:f>
        <x:v>Jesse</x:v>
      </x:c>
      <x:c r="Y28" s="641" t="n">
        <x:f>COUNTIF($N$26:$N$33,"&gt;"&amp;N28)+COUNTIF($N$26:N28,N28)</x:f>
        <x:v>3</x:v>
      </x:c>
      <x:c r="Z28" s="653" t="n">
        <x:f>Y28-W28</x:f>
        <x:v>-2</x:v>
      </x:c>
      <x:c r="AA28" s="720" t="n">
        <x:f>IFERROR(((1-$C$4)*$AB$9*F28+$C$4*(SUMIFS('Specialisation Rankings'!$V$6:$V$13,'Specialisation Rankings'!$N$6:$N$13,A28)*'Specialisation Rankings'!$O$18+SUMIFS('Specialisation Rankings'!$W$6:$W$13,'Specialisation Rankings'!$N$6:$N$13,A28)*'Specialisation Rankings'!$O$19+SUMIFS('Specialisation Rankings'!$X$6:$X$13,'Specialisation Rankings'!$N$6:$N$13,A28)*'Specialisation Rankings'!$O$20))/((1-$C$4)*$AB$9+$C$4*('Specialisation Rankings'!$O$18+'Specialisation Rankings'!$O$19+'Specialisation Rankings'!$O$20)),0)</x:f>
        <x:v>63.11065860686547</x:v>
      </x:c>
      <x:c r="AB28" s="720" t="n">
        <x:f>IFERROR(((1-$C$4)*$AB$10*K28+$C$4*SUMIFS('Specialisation Rankings'!$Y$6:$Y$13,'Specialisation Rankings'!$N$6:$N$13,A28)*'Specialisation Rankings'!$O$21)/((1-$C$4)*$AB$10+$C$4*'Specialisation Rankings'!$O$21),0)</x:f>
        <x:v>75.14674962903362</x:v>
      </x:c>
      <x:c r="AC28" s="720" t="n">
        <x:f>IFERROR($AB$14*AB28+$AB$15*(((1-$C$4)*$AB$10*I28+$C$4*SUMIFS('Specialisation Rankings'!$Y$6:$Y$13,'Specialisation Rankings'!$N$6:$N$13,A28)*'Specialisation Rankings'!$O$21)/((1-$C$4)*$AB$10+$C$4*'Specialisation Rankings'!$O$21)),0)</x:f>
        <x:v>74.93002330715272</x:v>
      </x:c>
      <x:c r="AD28"/>
      <x:c r="AE28"/>
      <x:c r="AF28"/>
      <x:c r="AG28"/>
      <x:c r="AH28"/>
      <x:c r="AI28"/>
    </x:row>
    <x:row r="29">
      <x:c r="A29" s="640" t="str">
        <x:f>'Tank &amp; Control'!A9</x:f>
        <x:v>K60</x:v>
      </x:c>
      <x:c r="B29" s="640" t="n">
        <x:f>COUNTIF('Player Scenario Model'!$A$6:$A$172,A29)</x:f>
        <x:v>25</x:v>
      </x:c>
      <x:c r="C29" s="644" t="n">
        <x:f>IFERROR(COUNTIFS('Player Scenario Model'!$A$6:$A$172,A29,'Player Scenario Model'!$I$6:$I$172,"&gt;0")/B29,0)</x:f>
        <x:v>1</x:v>
      </x:c>
      <x:c r="D29" s="644" t="n">
        <x:f>IFERROR(COUNTIFS('Player Scenario Model'!$A$6:$A$172,A29,'Player Scenario Model'!$M$6:$M$172,"Yes",'Player Scenario Model'!$AC$6:$AC$172,"&gt;0")/COUNTIFS('Player Scenario Model'!$A$6:$A$172,A29,'Player Scenario Model'!$M$6:$M$172,"Yes"),0)</x:f>
        <x:v>0.6</x:v>
      </x:c>
      <x:c r="E29" s="640" t="str">
        <x:f>IF(C29&lt;$X$7,"Provisional — offense capture under 80%",IF(D29&lt;$X$7,"Usable — Guard gaps left neutral",IF(C29&lt;1,"Partial — missing players neutral","Complete")))</x:f>
        <x:v>Usable — Guard gaps left neutral</x:v>
      </x:c>
      <x:c r="F29" s="648" t="n">
        <x:f>'Specialisation Scenarios'!$X$15*('Specialisation Scenarios'!$X$19*SUMIFS('Player Scenario Model'!$J$6:$J$172,'Player Scenario Model'!$A$6:$A$172,A29,'Player Scenario Model'!$S$6:$S$172,1)+'Specialisation Scenarios'!$X$20*SUMIFS('Player Scenario Model'!$J$6:$J$172,'Player Scenario Model'!$A$6:$A$172,A29,'Player Scenario Model'!$S$6:$S$172,2)+'Specialisation Scenarios'!$X$21*SUMIFS('Player Scenario Model'!$J$6:$J$172,'Player Scenario Model'!$A$6:$A$172,A29,'Player Scenario Model'!$S$6:$S$172,3))+'Specialisation Scenarios'!$X$16*SUMIFS('Player Scenario Model'!$J$6:$J$172,'Player Scenario Model'!$A$6:$A$172,A29,'Player Scenario Model'!$S$6:$S$172,"&lt;=5")/MIN(5,B29)+'Specialisation Scenarios'!$X$17*SUMIFS('Player Scenario Model'!$J$6:$J$172,'Player Scenario Model'!$A$6:$A$172,A29,'Player Scenario Model'!$S$6:$S$172,"&lt;=15")/MIN(15,B29)+'Specialisation Scenarios'!$X$18*SUMIFS('Player Scenario Model'!$J$6:$J$172,'Player Scenario Model'!$A$6:$A$172,A29)/B29</x:f>
        <x:v>69.1138290047336</x:v>
      </x:c>
      <x:c r="G29" s="648" t="n">
        <x:f>SUMIFS('Specialisation Rankings'!$Z$6:$Z$13,'Specialisation Rankings'!$N$6:$N$13,A29)</x:f>
        <x:v>80.37630591630591</x:v>
      </x:c>
      <x:c r="H29" s="648" t="n">
        <x:f>SUMIFS('Specialisation Rankings'!$AA$6:$AA$13,'Specialisation Rankings'!$N$6:$N$13,A29)</x:f>
        <x:v>3</x:v>
      </x:c>
      <x:c r="I29" s="648" t="n">
        <x:f>SUMIFS('Tank &amp; Control'!$D$6:$D$13,'Tank &amp; Control'!$A$6:$A$13,A29)</x:f>
        <x:v>60.82790461700929</x:v>
      </x:c>
      <x:c r="J29" s="648" t="n">
        <x:f>SUMIFS('Tank &amp; Control'!$G$6:$G$13,'Tank &amp; Control'!$A$6:$A$13,A29)</x:f>
        <x:v>75.51513257257534</x:v>
      </x:c>
      <x:c r="K29" s="648" t="n">
        <x:f>$AB$5*I29+$AB$6*J29</x:f>
        <x:v>64.4997116059008</x:v>
      </x:c>
      <x:c r="L29" s="648" t="n">
        <x:f>$AB$9*F29+$AB$10*K29</x:f>
        <x:v>67.03747617525885</x:v>
      </x:c>
      <x:c r="M29" s="648" t="n">
        <x:f>$AB$9*F29+$AB$10*I29</x:f>
        <x:v>65.38516303025767</x:v>
      </x:c>
      <x:c r="N29" s="648" t="n">
        <x:f>L29</x:f>
        <x:v>67.03747617525885</x:v>
      </x:c>
      <x:c r="O29" s="648" t="n">
        <x:f>(1-$B$8)*L29+$B$8*G29</x:f>
        <x:v>70.37218361052061</x:v>
      </x:c>
      <x:c r="P29" s="648" t="n">
        <x:f>(1-$B$9)*L29+$B$9*G29</x:f>
        <x:v>71.70606658462532</x:v>
      </x:c>
      <x:c r="Q29" s="648" t="n">
        <x:f>M29</x:f>
        <x:v>65.38516303025767</x:v>
      </x:c>
      <x:c r="R29" s="648" t="n">
        <x:f>(1-$B$8)*M29+$B$8*G29</x:f>
        <x:v>69.13294875176973</x:v>
      </x:c>
      <x:c r="S29" s="648" t="n">
        <x:f>(1-$B$9)*M29+$B$9*G29</x:f>
        <x:v>70.63206304037456</x:v>
      </x:c>
      <x:c r="T29" s="648" t="n">
        <x:f>IF($B$4="Baseline",N29,IF($B$4="High impact",P29,O29))</x:f>
        <x:v>70.37218361052061</x:v>
      </x:c>
      <x:c r="U29" s="648" t="n">
        <x:f>IF($B$4="Baseline",Q29,IF($B$4="High impact",S29,R29))</x:f>
        <x:v>69.13294875176973</x:v>
      </x:c>
      <x:c r="V29" s="648" t="n">
        <x:f>$AB$14*T29+$AB$15*U29</x:f>
        <x:v>70.06237489583289</x:v>
      </x:c>
      <x:c r="W29" s="640" t="n">
        <x:f>COUNTIF($T$26:$T$33,"&gt;"&amp;T29)+COUNTIF($T$26:T29,T29)</x:f>
        <x:v>4</x:v>
      </x:c>
      <x:c r="X29" s="640" t="str">
        <x:f>IFERROR(INDEX('Tank &amp; Control'!$C$6:$C$13,MATCH(A29,'Tank &amp; Control'!$A$6:$A$13,0)),"")</x:f>
        <x:v>CerialKiller</x:v>
      </x:c>
      <x:c r="Y29" s="640" t="n">
        <x:f>COUNTIF($N$26:$N$33,"&gt;"&amp;N29)+COUNTIF($N$26:N29,N29)</x:f>
        <x:v>4</x:v>
      </x:c>
      <x:c r="Z29" s="652" t="n">
        <x:f>Y29-W29</x:f>
        <x:v>0</x:v>
      </x:c>
      <x:c r="AA29" s="719" t="n">
        <x:f>IFERROR(((1-$C$4)*$AB$9*F29+$C$4*(SUMIFS('Specialisation Rankings'!$V$6:$V$13,'Specialisation Rankings'!$N$6:$N$13,A29)*'Specialisation Rankings'!$O$18+SUMIFS('Specialisation Rankings'!$W$6:$W$13,'Specialisation Rankings'!$N$6:$N$13,A29)*'Specialisation Rankings'!$O$19+SUMIFS('Specialisation Rankings'!$X$6:$X$13,'Specialisation Rankings'!$N$6:$N$13,A29)*'Specialisation Rankings'!$O$20))/((1-$C$4)*$AB$9+$C$4*('Specialisation Rankings'!$O$18+'Specialisation Rankings'!$O$19+'Specialisation Rankings'!$O$20)),0)</x:f>
        <x:v>73.87176967176676</x:v>
      </x:c>
      <x:c r="AB29" s="719" t="n">
        <x:f>IFERROR(((1-$C$4)*$AB$10*K29+$C$4*SUMIFS('Specialisation Rankings'!$Y$6:$Y$13,'Specialisation Rankings'!$N$6:$N$13,A29)*'Specialisation Rankings'!$O$21)/((1-$C$4)*$AB$10+$C$4*'Specialisation Rankings'!$O$21),0)</x:f>
        <x:v>64.21773915798425</x:v>
      </x:c>
      <x:c r="AC29" s="719" t="n">
        <x:f>IFERROR($AB$14*AB29+$AB$15*(((1-$C$4)*$AB$10*I29+$C$4*SUMIFS('Specialisation Rankings'!$Y$6:$Y$13,'Specialisation Rankings'!$N$6:$N$13,A29)*'Specialisation Rankings'!$O$21)/((1-$C$4)*$AB$10+$C$4*'Specialisation Rankings'!$O$21)),0)</x:f>
        <x:v>63.363094427811234</x:v>
      </x:c>
      <x:c r="AD29"/>
      <x:c r="AE29"/>
      <x:c r="AF29"/>
      <x:c r="AG29"/>
      <x:c r="AH29"/>
      <x:c r="AI29"/>
    </x:row>
    <x:row r="30">
      <x:c r="A30" s="641" t="str">
        <x:f>'Tank &amp; Control'!A10</x:f>
        <x:v>K91</x:v>
      </x:c>
      <x:c r="B30" s="641" t="n">
        <x:f>COUNTIF('Player Scenario Model'!$A$6:$A$172,A30)</x:f>
        <x:v>20</x:v>
      </x:c>
      <x:c r="C30" s="645" t="n">
        <x:f>IFERROR(COUNTIFS('Player Scenario Model'!$A$6:$A$172,A30,'Player Scenario Model'!$I$6:$I$172,"&gt;0")/B30,0)</x:f>
        <x:v>1</x:v>
      </x:c>
      <x:c r="D30" s="645" t="n">
        <x:f>IFERROR(COUNTIFS('Player Scenario Model'!$A$6:$A$172,A30,'Player Scenario Model'!$M$6:$M$172,"Yes",'Player Scenario Model'!$AC$6:$AC$172,"&gt;0")/COUNTIFS('Player Scenario Model'!$A$6:$A$172,A30,'Player Scenario Model'!$M$6:$M$172,"Yes"),0)</x:f>
        <x:v>0.5</x:v>
      </x:c>
      <x:c r="E30" s="641" t="str">
        <x:f>IF(C30&lt;$X$7,"Provisional — offense capture under 80%",IF(D30&lt;$X$7,"Usable — Guard gaps left neutral",IF(C30&lt;1,"Partial — missing players neutral","Complete")))</x:f>
        <x:v>Usable — Guard gaps left neutral</x:v>
      </x:c>
      <x:c r="F30" s="649" t="n">
        <x:f>'Specialisation Scenarios'!$X$15*('Specialisation Scenarios'!$X$19*SUMIFS('Player Scenario Model'!$J$6:$J$172,'Player Scenario Model'!$A$6:$A$172,A30,'Player Scenario Model'!$S$6:$S$172,1)+'Specialisation Scenarios'!$X$20*SUMIFS('Player Scenario Model'!$J$6:$J$172,'Player Scenario Model'!$A$6:$A$172,A30,'Player Scenario Model'!$S$6:$S$172,2)+'Specialisation Scenarios'!$X$21*SUMIFS('Player Scenario Model'!$J$6:$J$172,'Player Scenario Model'!$A$6:$A$172,A30,'Player Scenario Model'!$S$6:$S$172,3))+'Specialisation Scenarios'!$X$16*SUMIFS('Player Scenario Model'!$J$6:$J$172,'Player Scenario Model'!$A$6:$A$172,A30,'Player Scenario Model'!$S$6:$S$172,"&lt;=5")/MIN(5,B30)+'Specialisation Scenarios'!$X$17*SUMIFS('Player Scenario Model'!$J$6:$J$172,'Player Scenario Model'!$A$6:$A$172,A30,'Player Scenario Model'!$S$6:$S$172,"&lt;=15")/MIN(15,B30)+'Specialisation Scenarios'!$X$18*SUMIFS('Player Scenario Model'!$J$6:$J$172,'Player Scenario Model'!$A$6:$A$172,A30)/B30</x:f>
        <x:v>58.89216430373242</x:v>
      </x:c>
      <x:c r="G30" s="649" t="n">
        <x:f>SUMIFS('Specialisation Rankings'!$Z$6:$Z$13,'Specialisation Rankings'!$N$6:$N$13,A30)</x:f>
        <x:v>73.41498223998227</x:v>
      </x:c>
      <x:c r="H30" s="649" t="n">
        <x:f>SUMIFS('Specialisation Rankings'!$AA$6:$AA$13,'Specialisation Rankings'!$N$6:$N$13,A30)</x:f>
        <x:v>7</x:v>
      </x:c>
      <x:c r="I30" s="649" t="n">
        <x:f>SUMIFS('Tank &amp; Control'!$D$6:$D$13,'Tank &amp; Control'!$A$6:$A$13,A30)</x:f>
        <x:v>83.9303893784542</x:v>
      </x:c>
      <x:c r="J30" s="649" t="n">
        <x:f>SUMIFS('Tank &amp; Control'!$G$6:$G$13,'Tank &amp; Control'!$A$6:$A$13,A30)</x:f>
        <x:v>36.552061583585854</x:v>
      </x:c>
      <x:c r="K30" s="649" t="n">
        <x:f>$AB$5*I30+$AB$6*J30</x:f>
        <x:v>72.0858074297371</x:v>
      </x:c>
      <x:c r="L30" s="649" t="n">
        <x:f>$AB$9*F30+$AB$10*K30</x:f>
        <x:v>64.82930371043453</x:v>
      </x:c>
      <x:c r="M30" s="649" t="n">
        <x:f>$AB$9*F30+$AB$10*I30</x:f>
        <x:v>70.15936558735723</x:v>
      </x:c>
      <x:c r="N30" s="649" t="n">
        <x:f>L30</x:f>
        <x:v>64.82930371043453</x:v>
      </x:c>
      <x:c r="O30" s="649" t="n">
        <x:f>(1-$B$8)*L30+$B$8*G30</x:f>
        <x:v>66.97572334282145</x:v>
      </x:c>
      <x:c r="P30" s="649" t="n">
        <x:f>(1-$B$9)*L30+$B$9*G30</x:f>
        <x:v>67.83429119577625</x:v>
      </x:c>
      <x:c r="Q30" s="649" t="n">
        <x:f>M30</x:f>
        <x:v>70.15936558735723</x:v>
      </x:c>
      <x:c r="R30" s="649" t="n">
        <x:f>(1-$B$8)*M30+$B$8*G30</x:f>
        <x:v>70.97326975051348</x:v>
      </x:c>
      <x:c r="S30" s="649" t="n">
        <x:f>(1-$B$9)*M30+$B$9*G30</x:f>
        <x:v>71.298831415776</x:v>
      </x:c>
      <x:c r="T30" s="649" t="n">
        <x:f>IF($B$4="Baseline",N30,IF($B$4="High impact",P30,O30))</x:f>
        <x:v>66.97572334282145</x:v>
      </x:c>
      <x:c r="U30" s="649" t="n">
        <x:f>IF($B$4="Baseline",Q30,IF($B$4="High impact",S30,R30))</x:f>
        <x:v>70.97326975051348</x:v>
      </x:c>
      <x:c r="V30" s="649" t="n">
        <x:f>$AB$14*T30+$AB$15*U30</x:f>
        <x:v>67.97510994474446</x:v>
      </x:c>
      <x:c r="W30" s="641" t="n">
        <x:f>COUNTIF($T$26:$T$33,"&gt;"&amp;T30)+COUNTIF($T$26:T30,T30)</x:f>
        <x:v>6</x:v>
      </x:c>
      <x:c r="X30" s="641" t="str">
        <x:f>IFERROR(INDEX('Tank &amp; Control'!$C$6:$C$13,MATCH(A30,'Tank &amp; Control'!$A$6:$A$13,0)),"")</x:f>
        <x:v>•Pain•</x:v>
      </x:c>
      <x:c r="Y30" s="641" t="n">
        <x:f>COUNTIF($N$26:$N$33,"&gt;"&amp;N30)+COUNTIF($N$26:N30,N30)</x:f>
        <x:v>6</x:v>
      </x:c>
      <x:c r="Z30" s="653" t="n">
        <x:f>Y30-W30</x:f>
        <x:v>0</x:v>
      </x:c>
      <x:c r="AA30" s="720" t="n">
        <x:f>IFERROR(((1-$C$4)*$AB$9*F30+$C$4*(SUMIFS('Specialisation Rankings'!$V$6:$V$13,'Specialisation Rankings'!$N$6:$N$13,A30)*'Specialisation Rankings'!$O$18+SUMIFS('Specialisation Rankings'!$W$6:$W$13,'Specialisation Rankings'!$N$6:$N$13,A30)*'Specialisation Rankings'!$O$19+SUMIFS('Specialisation Rankings'!$X$6:$X$13,'Specialisation Rankings'!$N$6:$N$13,A30)*'Specialisation Rankings'!$O$20))/((1-$C$4)*$AB$9+$C$4*('Specialisation Rankings'!$O$18+'Specialisation Rankings'!$O$19+'Specialisation Rankings'!$O$20)),0)</x:f>
        <x:v>65.49961535415943</x:v>
      </x:c>
      <x:c r="AB30" s="720" t="n">
        <x:f>IFERROR(((1-$C$4)*$AB$10*K30+$C$4*SUMIFS('Specialisation Rankings'!$Y$6:$Y$13,'Specialisation Rankings'!$N$6:$N$13,A30)*'Specialisation Rankings'!$O$21)/((1-$C$4)*$AB$10+$C$4*'Specialisation Rankings'!$O$21),0)</x:f>
        <x:v>69.57163739184777</x:v>
      </x:c>
      <x:c r="AC30" s="720" t="n">
        <x:f>IFERROR($AB$14*AB30+$AB$15*(((1-$C$4)*$AB$10*I30+$C$4*SUMIFS('Specialisation Rankings'!$Y$6:$Y$13,'Specialisation Rankings'!$N$6:$N$13,A30)*'Specialisation Rankings'!$O$21)/((1-$C$4)*$AB$10+$C$4*'Specialisation Rankings'!$O$21)),0)</x:f>
        <x:v>72.32856594887674</x:v>
      </x:c>
      <x:c r="AD30"/>
      <x:c r="AE30"/>
      <x:c r="AF30"/>
      <x:c r="AG30"/>
      <x:c r="AH30"/>
      <x:c r="AI30"/>
    </x:row>
    <x:row r="31">
      <x:c r="A31" s="640" t="str">
        <x:f>'Tank &amp; Control'!A11</x:f>
        <x:v>K176</x:v>
      </x:c>
      <x:c r="B31" s="640" t="n">
        <x:f>COUNTIF('Player Scenario Model'!$A$6:$A$172,A31)</x:f>
        <x:v>22</x:v>
      </x:c>
      <x:c r="C31" s="644" t="n">
        <x:f>IFERROR(COUNTIFS('Player Scenario Model'!$A$6:$A$172,A31,'Player Scenario Model'!$I$6:$I$172,"&gt;0")/B31,0)</x:f>
        <x:v>0.9090909090909091</x:v>
      </x:c>
      <x:c r="D31" s="644" t="n">
        <x:f>IFERROR(COUNTIFS('Player Scenario Model'!$A$6:$A$172,A31,'Player Scenario Model'!$M$6:$M$172,"Yes",'Player Scenario Model'!$AC$6:$AC$172,"&gt;0")/COUNTIFS('Player Scenario Model'!$A$6:$A$172,A31,'Player Scenario Model'!$M$6:$M$172,"Yes"),0)</x:f>
        <x:v>0.75</x:v>
      </x:c>
      <x:c r="E31" s="640" t="str">
        <x:f>IF(C31&lt;$X$7,"Provisional — offense capture under 80%",IF(D31&lt;$X$7,"Usable — Guard gaps left neutral",IF(C31&lt;1,"Partial — missing players neutral","Complete")))</x:f>
        <x:v>Usable — Guard gaps left neutral</x:v>
      </x:c>
      <x:c r="F31" s="648" t="n">
        <x:f>'Specialisation Scenarios'!$X$15*('Specialisation Scenarios'!$X$19*SUMIFS('Player Scenario Model'!$J$6:$J$172,'Player Scenario Model'!$A$6:$A$172,A31,'Player Scenario Model'!$S$6:$S$172,1)+'Specialisation Scenarios'!$X$20*SUMIFS('Player Scenario Model'!$J$6:$J$172,'Player Scenario Model'!$A$6:$A$172,A31,'Player Scenario Model'!$S$6:$S$172,2)+'Specialisation Scenarios'!$X$21*SUMIFS('Player Scenario Model'!$J$6:$J$172,'Player Scenario Model'!$A$6:$A$172,A31,'Player Scenario Model'!$S$6:$S$172,3))+'Specialisation Scenarios'!$X$16*SUMIFS('Player Scenario Model'!$J$6:$J$172,'Player Scenario Model'!$A$6:$A$172,A31,'Player Scenario Model'!$S$6:$S$172,"&lt;=5")/MIN(5,B31)+'Specialisation Scenarios'!$X$17*SUMIFS('Player Scenario Model'!$J$6:$J$172,'Player Scenario Model'!$A$6:$A$172,A31,'Player Scenario Model'!$S$6:$S$172,"&lt;=15")/MIN(15,B31)+'Specialisation Scenarios'!$X$18*SUMIFS('Player Scenario Model'!$J$6:$J$172,'Player Scenario Model'!$A$6:$A$172,A31)/B31</x:f>
        <x:v>63.006764789195344</x:v>
      </x:c>
      <x:c r="G31" s="648" t="n">
        <x:f>SUMIFS('Specialisation Rankings'!$Z$6:$Z$13,'Specialisation Rankings'!$N$6:$N$13,A31)</x:f>
        <x:v>82.96306471306472</x:v>
      </x:c>
      <x:c r="H31" s="648" t="n">
        <x:f>SUMIFS('Specialisation Rankings'!$AA$6:$AA$13,'Specialisation Rankings'!$N$6:$N$13,A31)</x:f>
        <x:v>2</x:v>
      </x:c>
      <x:c r="I31" s="648" t="n">
        <x:f>SUMIFS('Tank &amp; Control'!$D$6:$D$13,'Tank &amp; Control'!$A$6:$A$13,A31)</x:f>
        <x:v>73.93669792686401</x:v>
      </x:c>
      <x:c r="J31" s="648" t="n">
        <x:f>SUMIFS('Tank &amp; Control'!$G$6:$G$13,'Tank &amp; Control'!$A$6:$A$13,A31)</x:f>
        <x:v>62.27028416799913</x:v>
      </x:c>
      <x:c r="K31" s="648" t="n">
        <x:f>$AB$5*I31+$AB$6*J31</x:f>
        <x:v>71.02009448714779</x:v>
      </x:c>
      <x:c r="L31" s="648" t="n">
        <x:f>$AB$9*F31+$AB$10*K31</x:f>
        <x:v>66.61276315327395</x:v>
      </x:c>
      <x:c r="M31" s="648" t="n">
        <x:f>$AB$9*F31+$AB$10*I31</x:f>
        <x:v>67.92523470114625</x:v>
      </x:c>
      <x:c r="N31" s="648" t="n">
        <x:f>L31</x:f>
        <x:v>66.61276315327395</x:v>
      </x:c>
      <x:c r="O31" s="648" t="n">
        <x:f>(1-$B$8)*L31+$B$8*G31</x:f>
        <x:v>70.70033854322165</x:v>
      </x:c>
      <x:c r="P31" s="648" t="n">
        <x:f>(1-$B$9)*L31+$B$9*G31</x:f>
        <x:v>72.33536869920071</x:v>
      </x:c>
      <x:c r="Q31" s="648" t="n">
        <x:f>M31</x:f>
        <x:v>67.92523470114625</x:v>
      </x:c>
      <x:c r="R31" s="648" t="n">
        <x:f>(1-$B$8)*M31+$B$8*G31</x:f>
        <x:v>71.68469220412587</x:v>
      </x:c>
      <x:c r="S31" s="648" t="n">
        <x:f>(1-$B$9)*M31+$B$9*G31</x:f>
        <x:v>73.18847520531772</x:v>
      </x:c>
      <x:c r="T31" s="648" t="n">
        <x:f>IF($B$4="Baseline",N31,IF($B$4="High impact",P31,O31))</x:f>
        <x:v>70.70033854322165</x:v>
      </x:c>
      <x:c r="U31" s="648" t="n">
        <x:f>IF($B$4="Baseline",Q31,IF($B$4="High impact",S31,R31))</x:f>
        <x:v>71.68469220412587</x:v>
      </x:c>
      <x:c r="V31" s="648" t="n">
        <x:f>$AB$14*T31+$AB$15*U31</x:f>
        <x:v>70.9464269584477</x:v>
      </x:c>
      <x:c r="W31" s="640" t="n">
        <x:f>COUNTIF($T$26:$T$33,"&gt;"&amp;T31)+COUNTIF($T$26:T31,T31)</x:f>
        <x:v>3</x:v>
      </x:c>
      <x:c r="X31" s="640" t="str">
        <x:f>IFERROR(INDEX('Tank &amp; Control'!$C$6:$C$13,MATCH(A31,'Tank &amp; Control'!$A$6:$A$13,0)),"")</x:f>
        <x:v>苟拓通天肆意妄为</x:v>
      </x:c>
      <x:c r="Y31" s="640" t="n">
        <x:f>COUNTIF($N$26:$N$33,"&gt;"&amp;N31)+COUNTIF($N$26:N31,N31)</x:f>
        <x:v>5</x:v>
      </x:c>
      <x:c r="Z31" s="652" t="n">
        <x:f>Y31-W31</x:f>
        <x:v>2</x:v>
      </x:c>
      <x:c r="AA31" s="719" t="n">
        <x:f>IFERROR(((1-$C$4)*$AB$9*F31+$C$4*(SUMIFS('Specialisation Rankings'!$V$6:$V$13,'Specialisation Rankings'!$N$6:$N$13,A31)*'Specialisation Rankings'!$O$18+SUMIFS('Specialisation Rankings'!$W$6:$W$13,'Specialisation Rankings'!$N$6:$N$13,A31)*'Specialisation Rankings'!$O$19+SUMIFS('Specialisation Rankings'!$X$6:$X$13,'Specialisation Rankings'!$N$6:$N$13,A31)*'Specialisation Rankings'!$O$20))/((1-$C$4)*$AB$9+$C$4*('Specialisation Rankings'!$O$18+'Specialisation Rankings'!$O$19+'Specialisation Rankings'!$O$20)),0)</x:f>
        <x:v>70.24832934284323</x:v>
      </x:c>
      <x:c r="AB31" s="719" t="n">
        <x:f>IFERROR(((1-$C$4)*$AB$10*K31+$C$4*SUMIFS('Specialisation Rankings'!$Y$6:$Y$13,'Specialisation Rankings'!$N$6:$N$13,A31)*'Specialisation Rankings'!$O$21)/((1-$C$4)*$AB$10+$C$4*'Specialisation Rankings'!$O$21),0)</x:f>
        <x:v>71.49525127492159</x:v>
      </x:c>
      <x:c r="AC31" s="719" t="n">
        <x:f>IFERROR($AB$14*AB31+$AB$15*(((1-$C$4)*$AB$10*I31+$C$4*SUMIFS('Specialisation Rankings'!$Y$6:$Y$13,'Specialisation Rankings'!$N$6:$N$13,A31)*'Specialisation Rankings'!$O$21)/((1-$C$4)*$AB$10+$C$4*'Specialisation Rankings'!$O$21)),0)</x:f>
        <x:v>72.17411586864864</x:v>
      </x:c>
      <x:c r="AD31"/>
      <x:c r="AE31"/>
      <x:c r="AF31"/>
      <x:c r="AG31"/>
      <x:c r="AH31"/>
      <x:c r="AI31"/>
    </x:row>
    <x:row r="32">
      <x:c r="A32" s="641" t="str">
        <x:f>'Tank &amp; Control'!A12</x:f>
        <x:v>K138</x:v>
      </x:c>
      <x:c r="B32" s="641" t="n">
        <x:f>COUNTIF('Player Scenario Model'!$A$6:$A$172,A32)</x:f>
        <x:v>27</x:v>
      </x:c>
      <x:c r="C32" s="645" t="n">
        <x:f>IFERROR(COUNTIFS('Player Scenario Model'!$A$6:$A$172,A32,'Player Scenario Model'!$I$6:$I$172,"&gt;0")/B32,0)</x:f>
        <x:v>0.9629629629629629</x:v>
      </x:c>
      <x:c r="D32" s="645" t="n">
        <x:f>IFERROR(COUNTIFS('Player Scenario Model'!$A$6:$A$172,A32,'Player Scenario Model'!$M$6:$M$172,"Yes",'Player Scenario Model'!$AC$6:$AC$172,"&gt;0")/COUNTIFS('Player Scenario Model'!$A$6:$A$172,A32,'Player Scenario Model'!$M$6:$M$172,"Yes"),0)</x:f>
        <x:v>0.4</x:v>
      </x:c>
      <x:c r="E32" s="641" t="str">
        <x:f>IF(C32&lt;$X$7,"Provisional — offense capture under 80%",IF(D32&lt;$X$7,"Usable — Guard gaps left neutral",IF(C32&lt;1,"Partial — missing players neutral","Complete")))</x:f>
        <x:v>Usable — Guard gaps left neutral</x:v>
      </x:c>
      <x:c r="F32" s="649" t="n">
        <x:f>'Specialisation Scenarios'!$X$15*('Specialisation Scenarios'!$X$19*SUMIFS('Player Scenario Model'!$J$6:$J$172,'Player Scenario Model'!$A$6:$A$172,A32,'Player Scenario Model'!$S$6:$S$172,1)+'Specialisation Scenarios'!$X$20*SUMIFS('Player Scenario Model'!$J$6:$J$172,'Player Scenario Model'!$A$6:$A$172,A32,'Player Scenario Model'!$S$6:$S$172,2)+'Specialisation Scenarios'!$X$21*SUMIFS('Player Scenario Model'!$J$6:$J$172,'Player Scenario Model'!$A$6:$A$172,A32,'Player Scenario Model'!$S$6:$S$172,3))+'Specialisation Scenarios'!$X$16*SUMIFS('Player Scenario Model'!$J$6:$J$172,'Player Scenario Model'!$A$6:$A$172,A32,'Player Scenario Model'!$S$6:$S$172,"&lt;=5")/MIN(5,B32)+'Specialisation Scenarios'!$X$17*SUMIFS('Player Scenario Model'!$J$6:$J$172,'Player Scenario Model'!$A$6:$A$172,A32,'Player Scenario Model'!$S$6:$S$172,"&lt;=15")/MIN(15,B32)+'Specialisation Scenarios'!$X$18*SUMIFS('Player Scenario Model'!$J$6:$J$172,'Player Scenario Model'!$A$6:$A$172,A32)/B32</x:f>
        <x:v>64.8454977288846</x:v>
      </x:c>
      <x:c r="G32" s="649" t="n">
        <x:f>SUMIFS('Specialisation Rankings'!$Z$6:$Z$13,'Specialisation Rankings'!$N$6:$N$13,A32)</x:f>
        <x:v>77.0091394408061</x:v>
      </x:c>
      <x:c r="H32" s="649" t="n">
        <x:f>SUMIFS('Specialisation Rankings'!$AA$6:$AA$13,'Specialisation Rankings'!$N$6:$N$13,A32)</x:f>
        <x:v>4</x:v>
      </x:c>
      <x:c r="I32" s="649" t="n">
        <x:f>SUMIFS('Tank &amp; Control'!$D$6:$D$13,'Tank &amp; Control'!$A$6:$A$13,A32)</x:f>
        <x:v>52.973218922766854</x:v>
      </x:c>
      <x:c r="J32" s="649" t="n">
        <x:f>SUMIFS('Tank &amp; Control'!$G$6:$G$13,'Tank &amp; Control'!$A$6:$A$13,A32)</x:f>
        <x:v>75.25732859380884</x:v>
      </x:c>
      <x:c r="K32" s="649" t="n">
        <x:f>$AB$5*I32+$AB$6*J32</x:f>
        <x:v>58.54424634052735</x:v>
      </x:c>
      <x:c r="L32" s="649" t="n">
        <x:f>$AB$9*F32+$AB$10*K32</x:f>
        <x:v>62.00993460412384</x:v>
      </x:c>
      <x:c r="M32" s="649" t="n">
        <x:f>$AB$9*F32+$AB$10*I32</x:f>
        <x:v>59.50297226613162</x:v>
      </x:c>
      <x:c r="N32" s="649" t="n">
        <x:f>L32</x:f>
        <x:v>62.00993460412384</x:v>
      </x:c>
      <x:c r="O32" s="649" t="n">
        <x:f>(1-$B$8)*L32+$B$8*G32</x:f>
        <x:v>65.75973581329441</x:v>
      </x:c>
      <x:c r="P32" s="649" t="n">
        <x:f>(1-$B$9)*L32+$B$9*G32</x:f>
        <x:v>67.25965629696263</x:v>
      </x:c>
      <x:c r="Q32" s="649" t="n">
        <x:f>M32</x:f>
        <x:v>59.50297226613162</x:v>
      </x:c>
      <x:c r="R32" s="649" t="n">
        <x:f>(1-$B$8)*M32+$B$8*G32</x:f>
        <x:v>63.87951405980024</x:v>
      </x:c>
      <x:c r="S32" s="649" t="n">
        <x:f>(1-$B$9)*M32+$B$9*G32</x:f>
        <x:v>65.63013077726768</x:v>
      </x:c>
      <x:c r="T32" s="649" t="n">
        <x:f>IF($B$4="Baseline",N32,IF($B$4="High impact",P32,O32))</x:f>
        <x:v>65.75973581329441</x:v>
      </x:c>
      <x:c r="U32" s="649" t="n">
        <x:f>IF($B$4="Baseline",Q32,IF($B$4="High impact",S32,R32))</x:f>
        <x:v>63.87951405980024</x:v>
      </x:c>
      <x:c r="V32" s="649" t="n">
        <x:f>$AB$14*T32+$AB$15*U32</x:f>
        <x:v>65.28968037492086</x:v>
      </x:c>
      <x:c r="W32" s="641" t="n">
        <x:f>COUNTIF($T$26:$T$33,"&gt;"&amp;T32)+COUNTIF($T$26:T32,T32)</x:f>
        <x:v>7</x:v>
      </x:c>
      <x:c r="X32" s="641" t="str">
        <x:f>IFERROR(INDEX('Tank &amp; Control'!$C$6:$C$13,MATCH(A32,'Tank &amp; Control'!$A$6:$A$13,0)),"")</x:f>
        <x:v>(RaW)ϟCrozyϟ</x:v>
      </x:c>
      <x:c r="Y32" s="641" t="n">
        <x:f>COUNTIF($N$26:$N$33,"&gt;"&amp;N32)+COUNTIF($N$26:N32,N32)</x:f>
        <x:v>7</x:v>
      </x:c>
      <x:c r="Z32" s="653" t="n">
        <x:f>Y32-W32</x:f>
        <x:v>0</x:v>
      </x:c>
      <x:c r="AA32" s="720" t="n">
        <x:f>IFERROR(((1-$C$4)*$AB$9*F32+$C$4*(SUMIFS('Specialisation Rankings'!$V$6:$V$13,'Specialisation Rankings'!$N$6:$N$13,A32)*'Specialisation Rankings'!$O$18+SUMIFS('Specialisation Rankings'!$W$6:$W$13,'Specialisation Rankings'!$N$6:$N$13,A32)*'Specialisation Rankings'!$O$19+SUMIFS('Specialisation Rankings'!$X$6:$X$13,'Specialisation Rankings'!$N$6:$N$13,A32)*'Specialisation Rankings'!$O$20))/((1-$C$4)*$AB$9+$C$4*('Specialisation Rankings'!$O$18+'Specialisation Rankings'!$O$19+'Specialisation Rankings'!$O$20)),0)</x:f>
        <x:v>68.77486690137212</x:v>
      </x:c>
      <x:c r="AB32" s="720" t="n">
        <x:f>IFERROR(((1-$C$4)*$AB$10*K32+$C$4*SUMIFS('Specialisation Rankings'!$Y$6:$Y$13,'Specialisation Rankings'!$N$6:$N$13,A32)*'Specialisation Rankings'!$O$21)/((1-$C$4)*$AB$10+$C$4*'Specialisation Rankings'!$O$21),0)</x:f>
        <x:v>60.4572638997784</x:v>
      </x:c>
      <x:c r="AC32" s="720" t="n">
        <x:f>IFERROR($AB$14*AB32+$AB$15*(((1-$C$4)*$AB$10*I32+$C$4*SUMIFS('Specialisation Rankings'!$Y$6:$Y$13,'Specialisation Rankings'!$N$6:$N$13,A32)*'Specialisation Rankings'!$O$21)/((1-$C$4)*$AB$10+$C$4*'Specialisation Rankings'!$O$21)),0)</x:f>
        <x:v>59.160559242196214</x:v>
      </x:c>
      <x:c r="AD32"/>
      <x:c r="AE32"/>
      <x:c r="AF32"/>
      <x:c r="AG32"/>
      <x:c r="AH32"/>
      <x:c r="AI32"/>
    </x:row>
    <x:row r="33">
      <x:c r="A33" s="642" t="str">
        <x:f>'Tank &amp; Control'!A13</x:f>
        <x:v>K170</x:v>
      </x:c>
      <x:c r="B33" s="642" t="n">
        <x:f>COUNTIF('Player Scenario Model'!$A$6:$A$172,A33)</x:f>
        <x:v>23</x:v>
      </x:c>
      <x:c r="C33" s="646" t="n">
        <x:f>IFERROR(COUNTIFS('Player Scenario Model'!$A$6:$A$172,A33,'Player Scenario Model'!$I$6:$I$172,"&gt;0")/B33,0)</x:f>
        <x:v>0.9130434782608695</x:v>
      </x:c>
      <x:c r="D33" s="646" t="n">
        <x:f>IFERROR(COUNTIFS('Player Scenario Model'!$A$6:$A$172,A33,'Player Scenario Model'!$M$6:$M$172,"Yes",'Player Scenario Model'!$AC$6:$AC$172,"&gt;0")/COUNTIFS('Player Scenario Model'!$A$6:$A$172,A33,'Player Scenario Model'!$M$6:$M$172,"Yes"),0)</x:f>
        <x:v>0.6666666666666666</x:v>
      </x:c>
      <x:c r="E33" s="642" t="str">
        <x:f>IF(C33&lt;$X$7,"Provisional — offense capture under 80%",IF(D33&lt;$X$7,"Usable — Guard gaps left neutral",IF(C33&lt;1,"Partial — missing players neutral","Complete")))</x:f>
        <x:v>Usable — Guard gaps left neutral</x:v>
      </x:c>
      <x:c r="F33" s="650" t="n">
        <x:f>'Specialisation Scenarios'!$X$15*('Specialisation Scenarios'!$X$19*SUMIFS('Player Scenario Model'!$J$6:$J$172,'Player Scenario Model'!$A$6:$A$172,A33,'Player Scenario Model'!$S$6:$S$172,1)+'Specialisation Scenarios'!$X$20*SUMIFS('Player Scenario Model'!$J$6:$J$172,'Player Scenario Model'!$A$6:$A$172,A33,'Player Scenario Model'!$S$6:$S$172,2)+'Specialisation Scenarios'!$X$21*SUMIFS('Player Scenario Model'!$J$6:$J$172,'Player Scenario Model'!$A$6:$A$172,A33,'Player Scenario Model'!$S$6:$S$172,3))+'Specialisation Scenarios'!$X$16*SUMIFS('Player Scenario Model'!$J$6:$J$172,'Player Scenario Model'!$A$6:$A$172,A33,'Player Scenario Model'!$S$6:$S$172,"&lt;=5")/MIN(5,B33)+'Specialisation Scenarios'!$X$17*SUMIFS('Player Scenario Model'!$J$6:$J$172,'Player Scenario Model'!$A$6:$A$172,A33,'Player Scenario Model'!$S$6:$S$172,"&lt;=15")/MIN(15,B33)+'Specialisation Scenarios'!$X$18*SUMIFS('Player Scenario Model'!$J$6:$J$172,'Player Scenario Model'!$A$6:$A$172,A33)/B33</x:f>
        <x:v>58.78036670008416</x:v>
      </x:c>
      <x:c r="G33" s="650" t="n">
        <x:f>SUMIFS('Specialisation Rankings'!$Z$6:$Z$13,'Specialisation Rankings'!$N$6:$N$13,A33)</x:f>
        <x:v>76.6256823369867</x:v>
      </x:c>
      <x:c r="H33" s="650" t="n">
        <x:f>SUMIFS('Specialisation Rankings'!$AA$6:$AA$13,'Specialisation Rankings'!$N$6:$N$13,A33)</x:f>
        <x:v>5</x:v>
      </x:c>
      <x:c r="I33" s="650" t="n">
        <x:f>SUMIFS('Tank &amp; Control'!$D$6:$D$13,'Tank &amp; Control'!$A$6:$A$13,A33)</x:f>
        <x:v>53.24285509054768</x:v>
      </x:c>
      <x:c r="J33" s="650" t="n">
        <x:f>SUMIFS('Tank &amp; Control'!$G$6:$G$13,'Tank &amp; Control'!$A$6:$A$13,A33)</x:f>
        <x:v>46.389032193164645</x:v>
      </x:c>
      <x:c r="K33" s="650" t="n">
        <x:f>$AB$5*I33+$AB$6*J33</x:f>
        <x:v>51.52939936620192</x:v>
      </x:c>
      <x:c r="L33" s="650" t="n">
        <x:f>$AB$9*F33+$AB$10*K33</x:f>
        <x:v>55.51743139983716</x:v>
      </x:c>
      <x:c r="M33" s="650" t="n">
        <x:f>$AB$9*F33+$AB$10*I33</x:f>
        <x:v>56.28848647579275</x:v>
      </x:c>
      <x:c r="N33" s="650" t="n">
        <x:f>L33</x:f>
        <x:v>55.51743139983716</x:v>
      </x:c>
      <x:c r="O33" s="650" t="n">
        <x:f>(1-$B$8)*L33+$B$8*G33</x:f>
        <x:v>60.79449413412454</x:v>
      </x:c>
      <x:c r="P33" s="650" t="n">
        <x:f>(1-$B$9)*L33+$B$9*G33</x:f>
        <x:v>62.9053192278395</x:v>
      </x:c>
      <x:c r="Q33" s="650" t="n">
        <x:f>M33</x:f>
        <x:v>56.28848647579275</x:v>
      </x:c>
      <x:c r="R33" s="650" t="n">
        <x:f>(1-$B$8)*M33+$B$8*G33</x:f>
        <x:v>61.37278544109124</x:v>
      </x:c>
      <x:c r="S33" s="650" t="n">
        <x:f>(1-$B$9)*M33+$B$9*G33</x:f>
        <x:v>63.40650502721063</x:v>
      </x:c>
      <x:c r="T33" s="650" t="n">
        <x:f>IF($B$4="Baseline",N33,IF($B$4="High impact",P33,O33))</x:f>
        <x:v>60.79449413412454</x:v>
      </x:c>
      <x:c r="U33" s="650" t="n">
        <x:f>IF($B$4="Baseline",Q33,IF($B$4="High impact",S33,R33))</x:f>
        <x:v>61.37278544109124</x:v>
      </x:c>
      <x:c r="V33" s="650" t="n">
        <x:f>$AB$14*T33+$AB$15*U33</x:f>
        <x:v>60.939066960866214</x:v>
      </x:c>
      <x:c r="W33" s="642" t="n">
        <x:f>COUNTIF($T$26:$T$33,"&gt;"&amp;T33)+COUNTIF($T$26:T33,T33)</x:f>
        <x:v>8</x:v>
      </x:c>
      <x:c r="X33" s="642" t="str">
        <x:f>IFERROR(INDEX('Tank &amp; Control'!$C$6:$C$13,MATCH(A33,'Tank &amp; Control'!$A$6:$A$13,0)),"")</x:f>
        <x:v>(AOT)SanSW°</x:v>
      </x:c>
      <x:c r="Y33" s="642" t="n">
        <x:f>COUNTIF($N$26:$N$33,"&gt;"&amp;N33)+COUNTIF($N$26:N33,N33)</x:f>
        <x:v>8</x:v>
      </x:c>
      <x:c r="Z33" s="654" t="n">
        <x:f>Y33-W33</x:f>
        <x:v>0</x:v>
      </x:c>
      <x:c r="AA33" s="721" t="n">
        <x:f>IFERROR(((1-$C$4)*$AB$9*F33+$C$4*(SUMIFS('Specialisation Rankings'!$V$6:$V$13,'Specialisation Rankings'!$N$6:$N$13,A33)*'Specialisation Rankings'!$O$18+SUMIFS('Specialisation Rankings'!$W$6:$W$13,'Specialisation Rankings'!$N$6:$N$13,A33)*'Specialisation Rankings'!$O$19+SUMIFS('Specialisation Rankings'!$X$6:$X$13,'Specialisation Rankings'!$N$6:$N$13,A33)*'Specialisation Rankings'!$O$20))/((1-$C$4)*$AB$9+$C$4*('Specialisation Rankings'!$O$18+'Specialisation Rankings'!$O$19+'Specialisation Rankings'!$O$20)),0)</x:f>
        <x:v>64.93479446699017</x:v>
      </x:c>
      <x:c r="AB33" s="721" t="n">
        <x:f>IFERROR(((1-$C$4)*$AB$10*K33+$C$4*SUMIFS('Specialisation Rankings'!$Y$6:$Y$13,'Specialisation Rankings'!$N$6:$N$13,A33)*'Specialisation Rankings'!$O$21)/((1-$C$4)*$AB$10+$C$4*'Specialisation Rankings'!$O$21),0)</x:f>
        <x:v>53.51327630736084</x:v>
      </x:c>
      <x:c r="AC33" s="721" t="n">
        <x:f>IFERROR($AB$14*AB33+$AB$15*(((1-$C$4)*$AB$10*I33+$C$4*SUMIFS('Specialisation Rankings'!$Y$6:$Y$13,'Specialisation Rankings'!$N$6:$N$13,A33)*'Specialisation Rankings'!$O$21)/((1-$C$4)*$AB$10+$C$4*'Specialisation Rankings'!$O$21)),0)</x:f>
        <x:v>53.91209789837235</x:v>
      </x:c>
      <x:c r="AD33"/>
      <x:c r="AE33"/>
      <x:c r="AF33"/>
      <x:c r="AG33"/>
      <x:c r="AH33"/>
      <x:c r="AI33"/>
    </x:row>
  </x:sheetData>
  <x:mergeCells>
    <x:mergeCell ref="A1:AI1"/>
    <x:mergeCell ref="A2:AI2"/>
    <x:mergeCell ref="A12:K12"/>
    <x:mergeCell ref="M12:U12"/>
    <x:mergeCell ref="A24:Z24"/>
  </x:mergeCells>
  <x:conditionalFormatting sqref="N14:U21">
    <x:cfRule type="cellIs" dxfId="26" priority="1" operator="lessThan">
      <x:formula>0.35</x:formula>
    </x:cfRule>
    <x:cfRule type="cellIs" dxfId="27" priority="2" operator="between">
      <x:formula>0.35</x:formula>
      <x:formula>0.45</x:formula>
    </x:cfRule>
    <x:cfRule type="cellIs" dxfId="28" priority="3" operator="between">
      <x:formula>0.45</x:formula>
      <x:formula>0.55</x:formula>
    </x:cfRule>
    <x:cfRule type="cellIs" dxfId="29" priority="4" operator="between">
      <x:formula>0.55</x:formula>
      <x:formula>0.65</x:formula>
    </x:cfRule>
    <x:cfRule type="cellIs" dxfId="30" priority="5" operator="greaterThan">
      <x:formula>0.65</x:formula>
    </x:cfRule>
  </x:conditionalFormatting>
  <x:conditionalFormatting sqref="I14:I21">
    <x:cfRule type="cellIs" dxfId="31" priority="6" operator="greaterThan">
      <x:formula>0</x:formula>
    </x:cfRule>
    <x:cfRule type="cellIs" dxfId="32" priority="7" operator="lessThan">
      <x:formula>0</x:formula>
    </x:cfRule>
  </x:conditionalFormatting>
  <x:conditionalFormatting sqref="J14:J21">
    <x:cfRule type="colorScale" priority="8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E14:E21">
    <x:cfRule type="colorScale" priority="9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A26:AA33">
    <x:cfRule type="colorScale" priority="10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B26:AB33">
    <x:cfRule type="colorScale" priority="1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C26:AC33">
    <x:cfRule type="colorScale" priority="1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dataValidations count="1">
    <x:dataValidation type="list" allowBlank="0" showDropDown="0" sqref="B4">
      <x:formula1>"Baseline,Recommended,High impact"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2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16" hidden="0" customWidth="1"/>
    <x:col min="12" max="12" width="15" hidden="0" customWidth="1"/>
    <x:col min="13" max="13" width="34" hidden="0" customWidth="1"/>
    <x:col min="14" max="14" width="27" hidden="0" customWidth="1"/>
    <x:col min="15" max="15" width="15" hidden="0" customWidth="1"/>
    <x:col min="16" max="16" width="3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8" customHeight="1">
      <x:c r="A1" s="605" t="str">
        <x:v>Specialisation Strength Rankings</x:v>
      </x:c>
      <x:c r="B1" s="605"/>
      <x:c r="C1" s="605"/>
      <x:c r="D1" s="605"/>
      <x:c r="E1" s="605"/>
      <x:c r="F1" s="605"/>
      <x:c r="G1" s="605"/>
      <x:c r="H1" s="605"/>
      <x:c r="I1" s="605"/>
      <x:c r="J1" s="605"/>
      <x:c r="K1" s="605"/>
      <x:c r="L1" s="605"/>
      <x:c r="M1" s="605"/>
      <x:c r="N1" s="605"/>
      <x:c r="O1" s="605"/>
      <x:c r="P1" s="605"/>
      <x:c r="Q1" s="605"/>
      <x:c r="R1" s="605"/>
      <x:c r="S1" s="605"/>
      <x:c r="T1" s="605"/>
      <x:c r="U1" s="605"/>
      <x:c r="V1" s="605"/>
      <x:c r="W1" s="605"/>
      <x:c r="X1" s="605"/>
      <x:c r="Y1" s="605"/>
      <x:c r="Z1" s="605"/>
      <x:c r="AA1" s="605"/>
      <x:c r="AB1" s="605"/>
    </x:row>
    <x:row r="2" ht="30" customHeight="1">
      <x:c r="A2" s="609" t="str">
        <x:v>Player and kingdom rankings use 80% looked-up effect and 20% badge depth. Cavalry carries 65% of the specialisation score; uncaptured player profiles are shrunk toward neutral rather than treated as zero.</x:v>
      </x:c>
      <x:c r="B2" s="609"/>
      <x:c r="C2" s="609"/>
      <x:c r="D2" s="609"/>
      <x:c r="E2" s="609"/>
      <x:c r="F2" s="609"/>
      <x:c r="G2" s="609"/>
      <x:c r="H2" s="609"/>
      <x:c r="I2" s="609"/>
      <x:c r="J2" s="609"/>
      <x:c r="K2" s="609"/>
      <x:c r="L2" s="609"/>
      <x:c r="M2" s="609"/>
      <x:c r="N2" s="609"/>
      <x:c r="O2" s="609"/>
      <x:c r="P2" s="609"/>
      <x:c r="Q2" s="609"/>
      <x:c r="R2" s="609"/>
      <x:c r="S2" s="609"/>
      <x:c r="T2" s="609"/>
      <x:c r="U2" s="609"/>
      <x:c r="V2" s="609"/>
      <x:c r="W2" s="609"/>
      <x:c r="X2" s="609"/>
      <x:c r="Y2" s="609"/>
      <x:c r="Z2" s="609"/>
      <x:c r="AA2" s="609"/>
      <x:c r="AB2" s="609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</x:row>
    <x:row r="4">
      <x:c r="A4" s="613" t="str">
        <x:v>Kingdom Specialisation Ranking</x:v>
      </x:c>
      <x:c r="B4" s="613"/>
      <x:c r="C4" s="613"/>
      <x:c r="D4" s="613"/>
      <x:c r="E4" s="613"/>
      <x:c r="F4" s="613"/>
      <x:c r="G4" s="613"/>
      <x:c r="H4" s="613"/>
      <x:c r="I4" s="613"/>
      <x:c r="J4" s="613"/>
      <x:c r="K4" s="27"/>
      <x:c r="L4" s="27"/>
      <x:c r="M4" s="27"/>
      <x:c r="N4" s="613" t="str">
        <x:v>Kingdom Calculation Audit</x:v>
      </x:c>
      <x:c r="O4" s="613"/>
      <x:c r="P4" s="613"/>
      <x:c r="Q4" s="613"/>
      <x:c r="R4" s="613"/>
      <x:c r="S4" s="613"/>
      <x:c r="T4" s="613"/>
      <x:c r="U4" s="613"/>
      <x:c r="V4" s="613"/>
      <x:c r="W4" s="613"/>
      <x:c r="X4" s="613"/>
      <x:c r="Y4" s="613"/>
      <x:c r="Z4" s="613"/>
      <x:c r="AA4" s="613"/>
      <x:c r="AB4" s="613"/>
    </x:row>
    <x:row r="5" ht="44" customHeight="1">
      <x:c r="A5" s="600" t="str">
        <x:v>Rank</x:v>
      </x:c>
      <x:c r="B5" s="600" t="str">
        <x:v>Kingdom</x:v>
      </x:c>
      <x:c r="C5" s="600" t="str">
        <x:v>Specialisation Strength</x:v>
      </x:c>
      <x:c r="D5" s="600" t="str">
        <x:v>Cavalry</x:v>
      </x:c>
      <x:c r="E5" s="600" t="str">
        <x:v>Archers</x:v>
      </x:c>
      <x:c r="F5" s="600" t="str">
        <x:v>Siege</x:v>
      </x:c>
      <x:c r="G5" s="600" t="str">
        <x:v>Guards</x:v>
      </x:c>
      <x:c r="H5" s="600" t="str">
        <x:v>Player Capture</x:v>
      </x:c>
      <x:c r="I5" s="600" t="str">
        <x:v>Players</x:v>
      </x:c>
      <x:c r="J5" s="600" t="str">
        <x:v>Status</x:v>
      </x:c>
      <x:c r="K5" s="27"/>
      <x:c r="L5" s="27"/>
      <x:c r="M5" s="27"/>
      <x:c r="N5" s="600" t="str">
        <x:v>Kingdom</x:v>
      </x:c>
      <x:c r="O5" s="600" t="str">
        <x:v>Profiles</x:v>
      </x:c>
      <x:c r="P5" s="600" t="str">
        <x:v>Players Captured</x:v>
      </x:c>
      <x:c r="Q5" s="600" t="str">
        <x:v>Player Capture</x:v>
      </x:c>
      <x:c r="R5" s="600" t="str">
        <x:v>Cav Raw</x:v>
      </x:c>
      <x:c r="S5" s="600" t="str">
        <x:v>Archer Raw</x:v>
      </x:c>
      <x:c r="T5" s="600" t="str">
        <x:v>Siege Raw</x:v>
      </x:c>
      <x:c r="U5" s="600" t="str">
        <x:v>Guard Raw</x:v>
      </x:c>
      <x:c r="V5" s="600" t="str">
        <x:v>Cav Strength</x:v>
      </x:c>
      <x:c r="W5" s="600" t="str">
        <x:v>Archer Strength</x:v>
      </x:c>
      <x:c r="X5" s="600" t="str">
        <x:v>Siege Strength</x:v>
      </x:c>
      <x:c r="Y5" s="600" t="str">
        <x:v>Guard Strength</x:v>
      </x:c>
      <x:c r="Z5" s="600" t="str">
        <x:v>Spec Strength</x:v>
      </x:c>
      <x:c r="AA5" s="600" t="str">
        <x:v>Spec Rank</x:v>
      </x:c>
      <x:c r="AB5" s="600" t="str">
        <x:v>Status</x:v>
      </x:c>
    </x:row>
    <x:row r="6">
      <x:c r="A6" s="616" t="n">
        <x:v>1</x:v>
      </x:c>
      <x:c r="B6" s="616" t="str">
        <x:f>INDEX($N$6:$N$13,MATCH(A6,$AA$6:$AA$13,0))</x:f>
        <x:v>K54</x:v>
      </x:c>
      <x:c r="C6" s="621" t="n">
        <x:f>INDEX($Z$6:$Z$13,MATCH(A6,$AA$6:$AA$13,0))</x:f>
        <x:v>84.44373555737192</x:v>
      </x:c>
      <x:c r="D6" s="621" t="n">
        <x:f>INDEX($V$6:$V$13,MATCH(A6,$AA$6:$AA$13,0))</x:f>
        <x:v>88.0965171192444</x:v>
      </x:c>
      <x:c r="E6" s="621" t="n">
        <x:f>INDEX($W$6:$W$13,MATCH(A6,$AA$6:$AA$13,0))</x:f>
        <x:v>76.30312868949234</x:v>
      </x:c>
      <x:c r="F6" s="621" t="n">
        <x:f>INDEX($X$6:$X$13,MATCH(A6,$AA$6:$AA$13,0))</x:f>
        <x:v>87.71812278630462</x:v>
      </x:c>
      <x:c r="G6" s="621" t="n">
        <x:f>INDEX($Y$6:$Y$13,MATCH(A6,$AA$6:$AA$13,0))</x:f>
        <x:v>63.92968142968143</x:v>
      </x:c>
      <x:c r="H6" s="625" t="n">
        <x:f>INDEX($Q$6:$Q$13,MATCH(A6,$AA$6:$AA$13,0))</x:f>
        <x:v>1</x:v>
      </x:c>
      <x:c r="I6" s="616" t="n">
        <x:f>INDEX($O$6:$O$13,MATCH(A6,$AA$6:$AA$13,0))</x:f>
        <x:v>11</x:v>
      </x:c>
      <x:c r="J6" s="616" t="str">
        <x:f>INDEX($AB$6:$AB$13,MATCH(A6,$AA$6:$AA$13,0))</x:f>
        <x:v>Full player capture</x:v>
      </x:c>
      <x:c r="K6" s="27"/>
      <x:c r="L6" s="27"/>
      <x:c r="M6" s="27"/>
      <x:c r="N6" s="616" t="str">
        <x:f>'Tank &amp; Control'!A6</x:f>
        <x:v>K54</x:v>
      </x:c>
      <x:c r="O6" s="616" t="n">
        <x:f>COUNTIF('Player Scenario Model'!$A$6:$A$172,N6)</x:f>
        <x:v>11</x:v>
      </x:c>
      <x:c r="P6" s="616" t="n">
        <x:f>COUNTIFS('Specialisation Impact'!$A$19:$A$186,N6,'Specialisation Impact'!$AP$19:$AP$186,"Yes",'Specialisation Impact'!$E$19:$E$186,"&gt;0")</x:f>
        <x:v>11</x:v>
      </x:c>
      <x:c r="Q6" s="625" t="n">
        <x:f>IFERROR(P6/O6,0)</x:f>
        <x:v>1</x:v>
      </x:c>
      <x:c r="R6" s="621" t="n">
        <x:f>'Specialisation Scenarios'!$X$15*('Specialisation Scenarios'!$X$19*SUMIFS('Specialisation Impact'!$AC$19:$AC$186,'Specialisation Impact'!$A$19:$A$186,N6,'Specialisation Impact'!$AD$19:$AD$186,1)+'Specialisation Scenarios'!$X$20*SUMIFS('Specialisation Impact'!$AC$19:$AC$186,'Specialisation Impact'!$A$19:$A$186,N6,'Specialisation Impact'!$AD$19:$AD$186,2)+'Specialisation Scenarios'!$X$21*SUMIFS('Specialisation Impact'!$AC$19:$AC$186,'Specialisation Impact'!$A$19:$A$186,N6,'Specialisation Impact'!$AD$19:$AD$186,3))+'Specialisation Scenarios'!$X$16*SUMIFS('Specialisation Impact'!$AC$19:$AC$186,'Specialisation Impact'!$A$19:$A$186,N6,'Specialisation Impact'!$AD$19:$AD$186,"&lt;=5")/MIN(5,P6)+'Specialisation Scenarios'!$X$17*SUMIFS('Specialisation Impact'!$AC$19:$AC$186,'Specialisation Impact'!$A$19:$A$186,N6,'Specialisation Impact'!$AD$19:$AD$186,"&lt;=15")/MIN(15,P6)+'Specialisation Scenarios'!$X$18*SUMIFS('Specialisation Impact'!$AC$19:$AC$186,'Specialisation Impact'!$A$19:$A$186,N6)/P6</x:f>
        <x:v>88.0965171192444</x:v>
      </x:c>
      <x:c r="S6" s="621" t="n">
        <x:f>'Specialisation Scenarios'!$X$15*('Specialisation Scenarios'!$X$19*SUMIFS('Specialisation Impact'!$AF$19:$AF$186,'Specialisation Impact'!$A$19:$A$186,N6,'Specialisation Impact'!$AG$19:$AG$186,1)+'Specialisation Scenarios'!$X$20*SUMIFS('Specialisation Impact'!$AF$19:$AF$186,'Specialisation Impact'!$A$19:$A$186,N6,'Specialisation Impact'!$AG$19:$AG$186,2)+'Specialisation Scenarios'!$X$21*SUMIFS('Specialisation Impact'!$AF$19:$AF$186,'Specialisation Impact'!$A$19:$A$186,N6,'Specialisation Impact'!$AG$19:$AG$186,3))+'Specialisation Scenarios'!$X$16*SUMIFS('Specialisation Impact'!$AF$19:$AF$186,'Specialisation Impact'!$A$19:$A$186,N6,'Specialisation Impact'!$AG$19:$AG$186,"&lt;=5")/MIN(5,P6)+'Specialisation Scenarios'!$X$17*SUMIFS('Specialisation Impact'!$AF$19:$AF$186,'Specialisation Impact'!$A$19:$A$186,N6,'Specialisation Impact'!$AG$19:$AG$186,"&lt;=15")/MIN(15,P6)+'Specialisation Scenarios'!$X$18*SUMIFS('Specialisation Impact'!$AF$19:$AF$186,'Specialisation Impact'!$A$19:$A$186,N6)/P6</x:f>
        <x:v>76.30312868949234</x:v>
      </x:c>
      <x:c r="T6" s="621" t="n">
        <x:f>'Specialisation Scenarios'!$X$15*('Specialisation Scenarios'!$X$19*SUMIFS('Specialisation Impact'!$AI$19:$AI$186,'Specialisation Impact'!$A$19:$A$186,N6,'Specialisation Impact'!$AJ$19:$AJ$186,1)+'Specialisation Scenarios'!$X$20*SUMIFS('Specialisation Impact'!$AI$19:$AI$186,'Specialisation Impact'!$A$19:$A$186,N6,'Specialisation Impact'!$AJ$19:$AJ$186,2)+'Specialisation Scenarios'!$X$21*SUMIFS('Specialisation Impact'!$AI$19:$AI$186,'Specialisation Impact'!$A$19:$A$186,N6,'Specialisation Impact'!$AJ$19:$AJ$186,3))+'Specialisation Scenarios'!$X$16*SUMIFS('Specialisation Impact'!$AI$19:$AI$186,'Specialisation Impact'!$A$19:$A$186,N6,'Specialisation Impact'!$AJ$19:$AJ$186,"&lt;=5")/MIN(5,P6)+'Specialisation Scenarios'!$X$17*SUMIFS('Specialisation Impact'!$AI$19:$AI$186,'Specialisation Impact'!$A$19:$A$186,N6,'Specialisation Impact'!$AJ$19:$AJ$186,"&lt;=15")/MIN(15,P6)+'Specialisation Scenarios'!$X$18*SUMIFS('Specialisation Impact'!$AI$19:$AI$186,'Specialisation Impact'!$A$19:$A$186,N6)/P6</x:f>
        <x:v>87.71812278630462</x:v>
      </x:c>
      <x:c r="U6" s="621" t="n">
        <x:f>'Specialisation Scenarios'!$X$15*('Specialisation Scenarios'!$X$19*SUMIFS('Specialisation Impact'!$AK$19:$AK$186,'Specialisation Impact'!$A$19:$A$186,N6,'Specialisation Impact'!$AL$19:$AL$186,1)+'Specialisation Scenarios'!$X$20*SUMIFS('Specialisation Impact'!$AK$19:$AK$186,'Specialisation Impact'!$A$19:$A$186,N6,'Specialisation Impact'!$AL$19:$AL$186,2)+'Specialisation Scenarios'!$X$21*SUMIFS('Specialisation Impact'!$AK$19:$AK$186,'Specialisation Impact'!$A$19:$A$186,N6,'Specialisation Impact'!$AL$19:$AL$186,3))+'Specialisation Scenarios'!$X$16*SUMIFS('Specialisation Impact'!$AK$19:$AK$186,'Specialisation Impact'!$A$19:$A$186,N6,'Specialisation Impact'!$AL$19:$AL$186,"&lt;=5")/MIN(5,P6)+'Specialisation Scenarios'!$X$17*SUMIFS('Specialisation Impact'!$AK$19:$AK$186,'Specialisation Impact'!$A$19:$A$186,N6,'Specialisation Impact'!$AL$19:$AL$186,"&lt;=15")/MIN(15,P6)+'Specialisation Scenarios'!$X$18*SUMIFS('Specialisation Impact'!$AK$19:$AK$186,'Specialisation Impact'!$A$19:$A$186,N6)/P6</x:f>
        <x:v>63.92968142968143</x:v>
      </x:c>
      <x:c r="V6" s="621" t="n">
        <x:f>'Specialisation Rankings'!$O$23+(R6-'Specialisation Rankings'!$O$23)*Q6</x:f>
        <x:v>88.0965171192444</x:v>
      </x:c>
      <x:c r="W6" s="621" t="n">
        <x:f>'Specialisation Rankings'!$O$23+(S6-'Specialisation Rankings'!$O$23)*Q6</x:f>
        <x:v>76.30312868949234</x:v>
      </x:c>
      <x:c r="X6" s="621" t="n">
        <x:f>'Specialisation Rankings'!$O$23+(T6-'Specialisation Rankings'!$O$23)*Q6</x:f>
        <x:v>87.71812278630462</x:v>
      </x:c>
      <x:c r="Y6" s="621" t="n">
        <x:f>'Specialisation Rankings'!$O$23+(U6-'Specialisation Rankings'!$O$23)*Q6</x:f>
        <x:v>63.92968142968143</x:v>
      </x:c>
      <x:c r="Z6" s="621" t="n">
        <x:f>V6*$O$18+W6*$O$19+X6*$O$20+Y6*$O$21</x:f>
        <x:v>84.44373555737192</x:v>
      </x:c>
      <x:c r="AA6" s="616" t="n">
        <x:f>COUNTIF($Z$6:$Z$13,"&gt;"&amp;Z6)+COUNTIF($Z$6:Z6,Z6)</x:f>
        <x:v>1</x:v>
      </x:c>
      <x:c r="AB6" s="616" t="str">
        <x:f>IF(Q6&lt;$O$24,"Provisional — player capture under 80%",IF(Q6&lt;1,"Usable — uncaptured players neutral","Full player capture"))</x:f>
        <x:v>Full player capture</x:v>
      </x:c>
    </x:row>
    <x:row r="7">
      <x:c r="A7" s="617" t="n">
        <x:v>2</x:v>
      </x:c>
      <x:c r="B7" s="617" t="str">
        <x:f>INDEX($N$6:$N$13,MATCH(A7,$AA$6:$AA$13,0))</x:f>
        <x:v>K176</x:v>
      </x:c>
      <x:c r="C7" s="622" t="n">
        <x:f>INDEX($Z$6:$Z$13,MATCH(A7,$AA$6:$AA$13,0))</x:f>
        <x:v>82.96306471306472</x:v>
      </x:c>
      <x:c r="D7" s="622" t="n">
        <x:f>INDEX($V$6:$V$13,MATCH(A7,$AA$6:$AA$13,0))</x:f>
        <x:v>86.7314049586777</x:v>
      </x:c>
      <x:c r="E7" s="622" t="n">
        <x:f>INDEX($W$6:$W$13,MATCH(A7,$AA$6:$AA$13,0))</x:f>
        <x:v>60.81995277449823</x:v>
      </x:c>
      <x:c r="F7" s="622" t="n">
        <x:f>INDEX($X$6:$X$13,MATCH(A7,$AA$6:$AA$13,0))</x:f>
        <x:v>84.76446280991735</x:v>
      </x:c>
      <x:c r="G7" s="622" t="n">
        <x:f>INDEX($Y$6:$Y$13,MATCH(A7,$AA$6:$AA$13,0))</x:f>
        <x:v>77.9098679098679</x:v>
      </x:c>
      <x:c r="H7" s="626" t="n">
        <x:f>INDEX($Q$6:$Q$13,MATCH(A7,$AA$6:$AA$13,0))</x:f>
        <x:v>0.9090909090909091</x:v>
      </x:c>
      <x:c r="I7" s="617" t="n">
        <x:f>INDEX($O$6:$O$13,MATCH(A7,$AA$6:$AA$13,0))</x:f>
        <x:v>22</x:v>
      </x:c>
      <x:c r="J7" s="617" t="str">
        <x:f>INDEX($AB$6:$AB$13,MATCH(A7,$AA$6:$AA$13,0))</x:f>
        <x:v>Usable — uncaptured players neutral</x:v>
      </x:c>
      <x:c r="K7" s="27"/>
      <x:c r="L7" s="27"/>
      <x:c r="M7" s="27"/>
      <x:c r="N7" s="617" t="str">
        <x:f>'Tank &amp; Control'!A7</x:f>
        <x:v>K197</x:v>
      </x:c>
      <x:c r="O7" s="617" t="n">
        <x:f>COUNTIF('Player Scenario Model'!$A$6:$A$172,N7)</x:f>
        <x:v>19</x:v>
      </x:c>
      <x:c r="P7" s="617" t="n">
        <x:f>COUNTIFS('Specialisation Impact'!$A$19:$A$186,N7,'Specialisation Impact'!$AP$19:$AP$186,"Yes",'Specialisation Impact'!$E$19:$E$186,"&gt;0")</x:f>
        <x:v>19</x:v>
      </x:c>
      <x:c r="Q7" s="626" t="n">
        <x:f>IFERROR(P7/O7,0)</x:f>
        <x:v>1</x:v>
      </x:c>
      <x:c r="R7" s="622" t="n">
        <x:f>'Specialisation Scenarios'!$X$15*('Specialisation Scenarios'!$X$19*SUMIFS('Specialisation Impact'!$AC$19:$AC$186,'Specialisation Impact'!$A$19:$A$186,N7,'Specialisation Impact'!$AD$19:$AD$186,1)+'Specialisation Scenarios'!$X$20*SUMIFS('Specialisation Impact'!$AC$19:$AC$186,'Specialisation Impact'!$A$19:$A$186,N7,'Specialisation Impact'!$AD$19:$AD$186,2)+'Specialisation Scenarios'!$X$21*SUMIFS('Specialisation Impact'!$AC$19:$AC$186,'Specialisation Impact'!$A$19:$A$186,N7,'Specialisation Impact'!$AD$19:$AD$186,3))+'Specialisation Scenarios'!$X$16*SUMIFS('Specialisation Impact'!$AC$19:$AC$186,'Specialisation Impact'!$A$19:$A$186,N7,'Specialisation Impact'!$AD$19:$AD$186,"&lt;=5")/MIN(5,P7)+'Specialisation Scenarios'!$X$17*SUMIFS('Specialisation Impact'!$AC$19:$AC$186,'Specialisation Impact'!$A$19:$A$186,N7,'Specialisation Impact'!$AD$19:$AD$186,"&lt;=15")/MIN(15,P7)+'Specialisation Scenarios'!$X$18*SUMIFS('Specialisation Impact'!$AC$19:$AC$186,'Specialisation Impact'!$A$19:$A$186,N7)/P7</x:f>
        <x:v>71.95379357484622</x:v>
      </x:c>
      <x:c r="S7" s="622" t="n">
        <x:f>'Specialisation Scenarios'!$X$15*('Specialisation Scenarios'!$X$19*SUMIFS('Specialisation Impact'!$AF$19:$AF$186,'Specialisation Impact'!$A$19:$A$186,N7,'Specialisation Impact'!$AG$19:$AG$186,1)+'Specialisation Scenarios'!$X$20*SUMIFS('Specialisation Impact'!$AF$19:$AF$186,'Specialisation Impact'!$A$19:$A$186,N7,'Specialisation Impact'!$AG$19:$AG$186,2)+'Specialisation Scenarios'!$X$21*SUMIFS('Specialisation Impact'!$AF$19:$AF$186,'Specialisation Impact'!$A$19:$A$186,N7,'Specialisation Impact'!$AG$19:$AG$186,3))+'Specialisation Scenarios'!$X$16*SUMIFS('Specialisation Impact'!$AF$19:$AF$186,'Specialisation Impact'!$A$19:$A$186,N7,'Specialisation Impact'!$AG$19:$AG$186,"&lt;=5")/MIN(5,P7)+'Specialisation Scenarios'!$X$17*SUMIFS('Specialisation Impact'!$AF$19:$AF$186,'Specialisation Impact'!$A$19:$A$186,N7,'Specialisation Impact'!$AG$19:$AG$186,"&lt;=15")/MIN(15,P7)+'Specialisation Scenarios'!$X$18*SUMIFS('Specialisation Impact'!$AF$19:$AF$186,'Specialisation Impact'!$A$19:$A$186,N7)/P7</x:f>
        <x:v>88.33007518796992</x:v>
      </x:c>
      <x:c r="T7" s="622" t="n">
        <x:f>'Specialisation Scenarios'!$X$15*('Specialisation Scenarios'!$X$19*SUMIFS('Specialisation Impact'!$AI$19:$AI$186,'Specialisation Impact'!$A$19:$A$186,N7,'Specialisation Impact'!$AJ$19:$AJ$186,1)+'Specialisation Scenarios'!$X$20*SUMIFS('Specialisation Impact'!$AI$19:$AI$186,'Specialisation Impact'!$A$19:$A$186,N7,'Specialisation Impact'!$AJ$19:$AJ$186,2)+'Specialisation Scenarios'!$X$21*SUMIFS('Specialisation Impact'!$AI$19:$AI$186,'Specialisation Impact'!$A$19:$A$186,N7,'Specialisation Impact'!$AJ$19:$AJ$186,3))+'Specialisation Scenarios'!$X$16*SUMIFS('Specialisation Impact'!$AI$19:$AI$186,'Specialisation Impact'!$A$19:$A$186,N7,'Specialisation Impact'!$AJ$19:$AJ$186,"&lt;=5")/MIN(5,P7)+'Specialisation Scenarios'!$X$17*SUMIFS('Specialisation Impact'!$AI$19:$AI$186,'Specialisation Impact'!$A$19:$A$186,N7,'Specialisation Impact'!$AJ$19:$AJ$186,"&lt;=15")/MIN(15,P7)+'Specialisation Scenarios'!$X$18*SUMIFS('Specialisation Impact'!$AI$19:$AI$186,'Specialisation Impact'!$A$19:$A$186,N7)/P7</x:f>
        <x:v>76.1071086807929</x:v>
      </x:c>
      <x:c r="U7" s="622" t="n">
        <x:f>'Specialisation Scenarios'!$X$15*('Specialisation Scenarios'!$X$19*SUMIFS('Specialisation Impact'!$AK$19:$AK$186,'Specialisation Impact'!$A$19:$A$186,N7,'Specialisation Impact'!$AL$19:$AL$186,1)+'Specialisation Scenarios'!$X$20*SUMIFS('Specialisation Impact'!$AK$19:$AK$186,'Specialisation Impact'!$A$19:$A$186,N7,'Specialisation Impact'!$AL$19:$AL$186,2)+'Specialisation Scenarios'!$X$21*SUMIFS('Specialisation Impact'!$AK$19:$AK$186,'Specialisation Impact'!$A$19:$A$186,N7,'Specialisation Impact'!$AL$19:$AL$186,3))+'Specialisation Scenarios'!$X$16*SUMIFS('Specialisation Impact'!$AK$19:$AK$186,'Specialisation Impact'!$A$19:$A$186,N7,'Specialisation Impact'!$AL$19:$AL$186,"&lt;=5")/MIN(5,P7)+'Specialisation Scenarios'!$X$17*SUMIFS('Specialisation Impact'!$AK$19:$AK$186,'Specialisation Impact'!$A$19:$A$186,N7,'Specialisation Impact'!$AL$19:$AL$186,"&lt;=15")/MIN(15,P7)+'Specialisation Scenarios'!$X$18*SUMIFS('Specialisation Impact'!$AK$19:$AK$186,'Specialisation Impact'!$A$19:$A$186,N7)/P7</x:f>
        <x:v>70.20220422852002</x:v>
      </x:c>
      <x:c r="V7" s="622" t="n">
        <x:f>'Specialisation Rankings'!$O$23+(R7-'Specialisation Rankings'!$O$23)*Q7</x:f>
        <x:v>71.95379357484622</x:v>
      </x:c>
      <x:c r="W7" s="622" t="n">
        <x:f>'Specialisation Rankings'!$O$23+(S7-'Specialisation Rankings'!$O$23)*Q7</x:f>
        <x:v>88.33007518796992</x:v>
      </x:c>
      <x:c r="X7" s="622" t="n">
        <x:f>'Specialisation Rankings'!$O$23+(T7-'Specialisation Rankings'!$O$23)*Q7</x:f>
        <x:v>76.1071086807929</x:v>
      </x:c>
      <x:c r="Y7" s="622" t="n">
        <x:f>'Specialisation Rankings'!$O$23+(U7-'Specialisation Rankings'!$O$23)*Q7</x:f>
        <x:v>70.20220422852002</x:v>
      </x:c>
      <x:c r="Z7" s="622" t="n">
        <x:f>V7*$O$18+W7*$O$19+X7*$O$20+Y7*$O$21</x:f>
        <x:v>74.03926006741797</x:v>
      </x:c>
      <x:c r="AA7" s="617" t="n">
        <x:f>COUNTIF($Z$6:$Z$13,"&gt;"&amp;Z7)+COUNTIF($Z$6:Z7,Z7)</x:f>
        <x:v>6</x:v>
      </x:c>
      <x:c r="AB7" s="617" t="str">
        <x:f>IF(Q7&lt;$O$24,"Provisional — player capture under 80%",IF(Q7&lt;1,"Usable — uncaptured players neutral","Full player capture"))</x:f>
        <x:v>Full player capture</x:v>
      </x:c>
    </x:row>
    <x:row r="8">
      <x:c r="A8" s="618" t="n">
        <x:v>3</x:v>
      </x:c>
      <x:c r="B8" s="618" t="str">
        <x:f>INDEX($N$6:$N$13,MATCH(A8,$AA$6:$AA$13,0))</x:f>
        <x:v>K60</x:v>
      </x:c>
      <x:c r="C8" s="623" t="n">
        <x:f>INDEX($Z$6:$Z$13,MATCH(A8,$AA$6:$AA$13,0))</x:f>
        <x:v>80.37630591630591</x:v>
      </x:c>
      <x:c r="D8" s="623" t="n">
        <x:f>INDEX($V$6:$V$13,MATCH(A8,$AA$6:$AA$13,0))</x:f>
        <x:v>84.71688311688311</x:v>
      </x:c>
      <x:c r="E8" s="623" t="n">
        <x:f>INDEX($W$6:$W$13,MATCH(A8,$AA$6:$AA$13,0))</x:f>
        <x:v>65.94727272727273</x:v>
      </x:c>
      <x:c r="F8" s="623" t="n">
        <x:f>INDEX($X$6:$X$13,MATCH(A8,$AA$6:$AA$13,0))</x:f>
        <x:v>84.49662337662339</x:v>
      </x:c>
      <x:c r="G8" s="623" t="n">
        <x:f>INDEX($Y$6:$Y$13,MATCH(A8,$AA$6:$AA$13,0))</x:f>
        <x:v>60.41111111111111</x:v>
      </x:c>
      <x:c r="H8" s="627" t="n">
        <x:f>INDEX($Q$6:$Q$13,MATCH(A8,$AA$6:$AA$13,0))</x:f>
        <x:v>1</x:v>
      </x:c>
      <x:c r="I8" s="618" t="n">
        <x:f>INDEX($O$6:$O$13,MATCH(A8,$AA$6:$AA$13,0))</x:f>
        <x:v>25</x:v>
      </x:c>
      <x:c r="J8" s="618" t="str">
        <x:f>INDEX($AB$6:$AB$13,MATCH(A8,$AA$6:$AA$13,0))</x:f>
        <x:v>Full player capture</x:v>
      </x:c>
      <x:c r="K8" s="27"/>
      <x:c r="L8" s="27"/>
      <x:c r="M8" s="27"/>
      <x:c r="N8" s="618" t="str">
        <x:f>'Tank &amp; Control'!A8</x:f>
        <x:v>K116</x:v>
      </x:c>
      <x:c r="O8" s="618" t="n">
        <x:f>COUNTIF('Player Scenario Model'!$A$6:$A$172,N8)</x:f>
        <x:v>20</x:v>
      </x:c>
      <x:c r="P8" s="618" t="n">
        <x:f>COUNTIFS('Specialisation Impact'!$A$19:$A$186,N8,'Specialisation Impact'!$AP$19:$AP$186,"Yes",'Specialisation Impact'!$E$19:$E$186,"&gt;0")</x:f>
        <x:v>13</x:v>
      </x:c>
      <x:c r="Q8" s="627" t="n">
        <x:f>IFERROR(P8/O8,0)</x:f>
        <x:v>0.65</x:v>
      </x:c>
      <x:c r="R8" s="623" t="n">
        <x:f>'Specialisation Scenarios'!$X$15*('Specialisation Scenarios'!$X$19*SUMIFS('Specialisation Impact'!$AC$19:$AC$186,'Specialisation Impact'!$A$19:$A$186,N8,'Specialisation Impact'!$AD$19:$AD$186,1)+'Specialisation Scenarios'!$X$20*SUMIFS('Specialisation Impact'!$AC$19:$AC$186,'Specialisation Impact'!$A$19:$A$186,N8,'Specialisation Impact'!$AD$19:$AD$186,2)+'Specialisation Scenarios'!$X$21*SUMIFS('Specialisation Impact'!$AC$19:$AC$186,'Specialisation Impact'!$A$19:$A$186,N8,'Specialisation Impact'!$AD$19:$AD$186,3))+'Specialisation Scenarios'!$X$16*SUMIFS('Specialisation Impact'!$AC$19:$AC$186,'Specialisation Impact'!$A$19:$A$186,N8,'Specialisation Impact'!$AD$19:$AD$186,"&lt;=5")/MIN(5,P8)+'Specialisation Scenarios'!$X$17*SUMIFS('Specialisation Impact'!$AC$19:$AC$186,'Specialisation Impact'!$A$19:$A$186,N8,'Specialisation Impact'!$AD$19:$AD$186,"&lt;=15")/MIN(15,P8)+'Specialisation Scenarios'!$X$18*SUMIFS('Specialisation Impact'!$AC$19:$AC$186,'Specialisation Impact'!$A$19:$A$186,N8)/P8</x:f>
        <x:v>67.23026973026974</x:v>
      </x:c>
      <x:c r="S8" s="623" t="n">
        <x:f>'Specialisation Scenarios'!$X$15*('Specialisation Scenarios'!$X$19*SUMIFS('Specialisation Impact'!$AF$19:$AF$186,'Specialisation Impact'!$A$19:$A$186,N8,'Specialisation Impact'!$AG$19:$AG$186,1)+'Specialisation Scenarios'!$X$20*SUMIFS('Specialisation Impact'!$AF$19:$AF$186,'Specialisation Impact'!$A$19:$A$186,N8,'Specialisation Impact'!$AG$19:$AG$186,2)+'Specialisation Scenarios'!$X$21*SUMIFS('Specialisation Impact'!$AF$19:$AF$186,'Specialisation Impact'!$A$19:$A$186,N8,'Specialisation Impact'!$AG$19:$AG$186,3))+'Specialisation Scenarios'!$X$16*SUMIFS('Specialisation Impact'!$AF$19:$AF$186,'Specialisation Impact'!$A$19:$A$186,N8,'Specialisation Impact'!$AG$19:$AG$186,"&lt;=5")/MIN(5,P8)+'Specialisation Scenarios'!$X$17*SUMIFS('Specialisation Impact'!$AF$19:$AF$186,'Specialisation Impact'!$A$19:$A$186,N8,'Specialisation Impact'!$AG$19:$AG$186,"&lt;=15")/MIN(15,P8)+'Specialisation Scenarios'!$X$18*SUMIFS('Specialisation Impact'!$AF$19:$AF$186,'Specialisation Impact'!$A$19:$A$186,N8)/P8</x:f>
        <x:v>61.71053946053947</x:v>
      </x:c>
      <x:c r="T8" s="623" t="n">
        <x:f>'Specialisation Scenarios'!$X$15*('Specialisation Scenarios'!$X$19*SUMIFS('Specialisation Impact'!$AI$19:$AI$186,'Specialisation Impact'!$A$19:$A$186,N8,'Specialisation Impact'!$AJ$19:$AJ$186,1)+'Specialisation Scenarios'!$X$20*SUMIFS('Specialisation Impact'!$AI$19:$AI$186,'Specialisation Impact'!$A$19:$A$186,N8,'Specialisation Impact'!$AJ$19:$AJ$186,2)+'Specialisation Scenarios'!$X$21*SUMIFS('Specialisation Impact'!$AI$19:$AI$186,'Specialisation Impact'!$A$19:$A$186,N8,'Specialisation Impact'!$AJ$19:$AJ$186,3))+'Specialisation Scenarios'!$X$16*SUMIFS('Specialisation Impact'!$AI$19:$AI$186,'Specialisation Impact'!$A$19:$A$186,N8,'Specialisation Impact'!$AJ$19:$AJ$186,"&lt;=5")/MIN(5,P8)+'Specialisation Scenarios'!$X$17*SUMIFS('Specialisation Impact'!$AI$19:$AI$186,'Specialisation Impact'!$A$19:$A$186,N8,'Specialisation Impact'!$AJ$19:$AJ$186,"&lt;=15")/MIN(15,P8)+'Specialisation Scenarios'!$X$18*SUMIFS('Specialisation Impact'!$AI$19:$AI$186,'Specialisation Impact'!$A$19:$A$186,N8)/P8</x:f>
        <x:v>73.38136863136863</x:v>
      </x:c>
      <x:c r="U8" s="623" t="n">
        <x:f>'Specialisation Scenarios'!$X$15*('Specialisation Scenarios'!$X$19*SUMIFS('Specialisation Impact'!$AK$19:$AK$186,'Specialisation Impact'!$A$19:$A$186,N8,'Specialisation Impact'!$AL$19:$AL$186,1)+'Specialisation Scenarios'!$X$20*SUMIFS('Specialisation Impact'!$AK$19:$AK$186,'Specialisation Impact'!$A$19:$A$186,N8,'Specialisation Impact'!$AL$19:$AL$186,2)+'Specialisation Scenarios'!$X$21*SUMIFS('Specialisation Impact'!$AK$19:$AK$186,'Specialisation Impact'!$A$19:$A$186,N8,'Specialisation Impact'!$AL$19:$AL$186,3))+'Specialisation Scenarios'!$X$16*SUMIFS('Specialisation Impact'!$AK$19:$AK$186,'Specialisation Impact'!$A$19:$A$186,N8,'Specialisation Impact'!$AL$19:$AL$186,"&lt;=5")/MIN(5,P8)+'Specialisation Scenarios'!$X$17*SUMIFS('Specialisation Impact'!$AK$19:$AK$186,'Specialisation Impact'!$A$19:$A$186,N8,'Specialisation Impact'!$AL$19:$AL$186,"&lt;=15")/MIN(15,P8)+'Specialisation Scenarios'!$X$18*SUMIFS('Specialisation Impact'!$AK$19:$AK$186,'Specialisation Impact'!$A$19:$A$186,N8)/P8</x:f>
        <x:v>87.16305062458908</x:v>
      </x:c>
      <x:c r="V8" s="623" t="n">
        <x:f>'Specialisation Rankings'!$O$23+(R8-'Specialisation Rankings'!$O$23)*Q8</x:f>
        <x:v>61.19967532467533</x:v>
      </x:c>
      <x:c r="W8" s="623" t="n">
        <x:f>'Specialisation Rankings'!$O$23+(S8-'Specialisation Rankings'!$O$23)*Q8</x:f>
        <x:v>57.61185064935066</x:v>
      </x:c>
      <x:c r="X8" s="623" t="n">
        <x:f>'Specialisation Rankings'!$O$23+(T8-'Specialisation Rankings'!$O$23)*Q8</x:f>
        <x:v>65.19788961038961</x:v>
      </x:c>
      <x:c r="Y8" s="623" t="n">
        <x:f>'Specialisation Rankings'!$O$23+(U8-'Specialisation Rankings'!$O$23)*Q8</x:f>
        <x:v>74.1559829059829</x:v>
      </x:c>
      <x:c r="Z8" s="623" t="n">
        <x:f>V8*$O$18+W8*$O$19+X8*$O$20+Y8*$O$21</x:f>
        <x:v>62.73625575813077</x:v>
      </x:c>
      <x:c r="AA8" s="618" t="n">
        <x:f>COUNTIF($Z$6:$Z$13,"&gt;"&amp;Z8)+COUNTIF($Z$6:Z8,Z8)</x:f>
        <x:v>8</x:v>
      </x:c>
      <x:c r="AB8" s="618" t="str">
        <x:f>IF(Q8&lt;$O$24,"Provisional — player capture under 80%",IF(Q8&lt;1,"Usable — uncaptured players neutral","Full player capture"))</x:f>
        <x:v>Provisional — player capture under 80%</x:v>
      </x:c>
    </x:row>
    <x:row r="9">
      <x:c r="A9" s="617" t="n">
        <x:v>4</x:v>
      </x:c>
      <x:c r="B9" s="617" t="str">
        <x:f>INDEX($N$6:$N$13,MATCH(A9,$AA$6:$AA$13,0))</x:f>
        <x:v>K138</x:v>
      </x:c>
      <x:c r="C9" s="622" t="n">
        <x:f>INDEX($Z$6:$Z$13,MATCH(A9,$AA$6:$AA$13,0))</x:f>
        <x:v>77.0091394408061</x:v>
      </x:c>
      <x:c r="D9" s="622" t="n">
        <x:f>INDEX($V$6:$V$13,MATCH(A9,$AA$6:$AA$13,0))</x:f>
        <x:v>77.44420394420393</x:v>
      </x:c>
      <x:c r="E9" s="622" t="n">
        <x:f>INDEX($W$6:$W$13,MATCH(A9,$AA$6:$AA$13,0))</x:f>
        <x:v>68.8025974025974</x:v>
      </x:c>
      <x:c r="F9" s="622" t="n">
        <x:f>INDEX($X$6:$X$13,MATCH(A9,$AA$6:$AA$13,0))</x:f>
        <x:v>74.41231361231361</x:v>
      </x:c>
      <x:c r="G9" s="622" t="n">
        <x:f>INDEX($Y$6:$Y$13,MATCH(A9,$AA$6:$AA$13,0))</x:f>
        <x:v>86.28300094966761</x:v>
      </x:c>
      <x:c r="H9" s="626" t="n">
        <x:f>INDEX($Q$6:$Q$13,MATCH(A9,$AA$6:$AA$13,0))</x:f>
        <x:v>0.9629629629629629</x:v>
      </x:c>
      <x:c r="I9" s="617" t="n">
        <x:f>INDEX($O$6:$O$13,MATCH(A9,$AA$6:$AA$13,0))</x:f>
        <x:v>27</x:v>
      </x:c>
      <x:c r="J9" s="617" t="str">
        <x:f>INDEX($AB$6:$AB$13,MATCH(A9,$AA$6:$AA$13,0))</x:f>
        <x:v>Usable — uncaptured players neutral</x:v>
      </x:c>
      <x:c r="K9" s="27"/>
      <x:c r="L9" s="27"/>
      <x:c r="M9" s="27"/>
      <x:c r="N9" s="617" t="str">
        <x:f>'Tank &amp; Control'!A9</x:f>
        <x:v>K60</x:v>
      </x:c>
      <x:c r="O9" s="617" t="n">
        <x:f>COUNTIF('Player Scenario Model'!$A$6:$A$172,N9)</x:f>
        <x:v>25</x:v>
      </x:c>
      <x:c r="P9" s="617" t="n">
        <x:f>COUNTIFS('Specialisation Impact'!$A$19:$A$186,N9,'Specialisation Impact'!$AP$19:$AP$186,"Yes",'Specialisation Impact'!$E$19:$E$186,"&gt;0")</x:f>
        <x:v>25</x:v>
      </x:c>
      <x:c r="Q9" s="626" t="n">
        <x:f>IFERROR(P9/O9,0)</x:f>
        <x:v>1</x:v>
      </x:c>
      <x:c r="R9" s="622" t="n">
        <x:f>'Specialisation Scenarios'!$X$15*('Specialisation Scenarios'!$X$19*SUMIFS('Specialisation Impact'!$AC$19:$AC$186,'Specialisation Impact'!$A$19:$A$186,N9,'Specialisation Impact'!$AD$19:$AD$186,1)+'Specialisation Scenarios'!$X$20*SUMIFS('Specialisation Impact'!$AC$19:$AC$186,'Specialisation Impact'!$A$19:$A$186,N9,'Specialisation Impact'!$AD$19:$AD$186,2)+'Specialisation Scenarios'!$X$21*SUMIFS('Specialisation Impact'!$AC$19:$AC$186,'Specialisation Impact'!$A$19:$A$186,N9,'Specialisation Impact'!$AD$19:$AD$186,3))+'Specialisation Scenarios'!$X$16*SUMIFS('Specialisation Impact'!$AC$19:$AC$186,'Specialisation Impact'!$A$19:$A$186,N9,'Specialisation Impact'!$AD$19:$AD$186,"&lt;=5")/MIN(5,P9)+'Specialisation Scenarios'!$X$17*SUMIFS('Specialisation Impact'!$AC$19:$AC$186,'Specialisation Impact'!$A$19:$A$186,N9,'Specialisation Impact'!$AD$19:$AD$186,"&lt;=15")/MIN(15,P9)+'Specialisation Scenarios'!$X$18*SUMIFS('Specialisation Impact'!$AC$19:$AC$186,'Specialisation Impact'!$A$19:$A$186,N9)/P9</x:f>
        <x:v>84.71688311688311</x:v>
      </x:c>
      <x:c r="S9" s="622" t="n">
        <x:f>'Specialisation Scenarios'!$X$15*('Specialisation Scenarios'!$X$19*SUMIFS('Specialisation Impact'!$AF$19:$AF$186,'Specialisation Impact'!$A$19:$A$186,N9,'Specialisation Impact'!$AG$19:$AG$186,1)+'Specialisation Scenarios'!$X$20*SUMIFS('Specialisation Impact'!$AF$19:$AF$186,'Specialisation Impact'!$A$19:$A$186,N9,'Specialisation Impact'!$AG$19:$AG$186,2)+'Specialisation Scenarios'!$X$21*SUMIFS('Specialisation Impact'!$AF$19:$AF$186,'Specialisation Impact'!$A$19:$A$186,N9,'Specialisation Impact'!$AG$19:$AG$186,3))+'Specialisation Scenarios'!$X$16*SUMIFS('Specialisation Impact'!$AF$19:$AF$186,'Specialisation Impact'!$A$19:$A$186,N9,'Specialisation Impact'!$AG$19:$AG$186,"&lt;=5")/MIN(5,P9)+'Specialisation Scenarios'!$X$17*SUMIFS('Specialisation Impact'!$AF$19:$AF$186,'Specialisation Impact'!$A$19:$A$186,N9,'Specialisation Impact'!$AG$19:$AG$186,"&lt;=15")/MIN(15,P9)+'Specialisation Scenarios'!$X$18*SUMIFS('Specialisation Impact'!$AF$19:$AF$186,'Specialisation Impact'!$A$19:$A$186,N9)/P9</x:f>
        <x:v>65.94727272727273</x:v>
      </x:c>
      <x:c r="T9" s="622" t="n">
        <x:f>'Specialisation Scenarios'!$X$15*('Specialisation Scenarios'!$X$19*SUMIFS('Specialisation Impact'!$AI$19:$AI$186,'Specialisation Impact'!$A$19:$A$186,N9,'Specialisation Impact'!$AJ$19:$AJ$186,1)+'Specialisation Scenarios'!$X$20*SUMIFS('Specialisation Impact'!$AI$19:$AI$186,'Specialisation Impact'!$A$19:$A$186,N9,'Specialisation Impact'!$AJ$19:$AJ$186,2)+'Specialisation Scenarios'!$X$21*SUMIFS('Specialisation Impact'!$AI$19:$AI$186,'Specialisation Impact'!$A$19:$A$186,N9,'Specialisation Impact'!$AJ$19:$AJ$186,3))+'Specialisation Scenarios'!$X$16*SUMIFS('Specialisation Impact'!$AI$19:$AI$186,'Specialisation Impact'!$A$19:$A$186,N9,'Specialisation Impact'!$AJ$19:$AJ$186,"&lt;=5")/MIN(5,P9)+'Specialisation Scenarios'!$X$17*SUMIFS('Specialisation Impact'!$AI$19:$AI$186,'Specialisation Impact'!$A$19:$A$186,N9,'Specialisation Impact'!$AJ$19:$AJ$186,"&lt;=15")/MIN(15,P9)+'Specialisation Scenarios'!$X$18*SUMIFS('Specialisation Impact'!$AI$19:$AI$186,'Specialisation Impact'!$A$19:$A$186,N9)/P9</x:f>
        <x:v>84.49662337662339</x:v>
      </x:c>
      <x:c r="U9" s="622" t="n">
        <x:f>'Specialisation Scenarios'!$X$15*('Specialisation Scenarios'!$X$19*SUMIFS('Specialisation Impact'!$AK$19:$AK$186,'Specialisation Impact'!$A$19:$A$186,N9,'Specialisation Impact'!$AL$19:$AL$186,1)+'Specialisation Scenarios'!$X$20*SUMIFS('Specialisation Impact'!$AK$19:$AK$186,'Specialisation Impact'!$A$19:$A$186,N9,'Specialisation Impact'!$AL$19:$AL$186,2)+'Specialisation Scenarios'!$X$21*SUMIFS('Specialisation Impact'!$AK$19:$AK$186,'Specialisation Impact'!$A$19:$A$186,N9,'Specialisation Impact'!$AL$19:$AL$186,3))+'Specialisation Scenarios'!$X$16*SUMIFS('Specialisation Impact'!$AK$19:$AK$186,'Specialisation Impact'!$A$19:$A$186,N9,'Specialisation Impact'!$AL$19:$AL$186,"&lt;=5")/MIN(5,P9)+'Specialisation Scenarios'!$X$17*SUMIFS('Specialisation Impact'!$AK$19:$AK$186,'Specialisation Impact'!$A$19:$A$186,N9,'Specialisation Impact'!$AL$19:$AL$186,"&lt;=15")/MIN(15,P9)+'Specialisation Scenarios'!$X$18*SUMIFS('Specialisation Impact'!$AK$19:$AK$186,'Specialisation Impact'!$A$19:$A$186,N9)/P9</x:f>
        <x:v>60.41111111111111</x:v>
      </x:c>
      <x:c r="V9" s="622" t="n">
        <x:f>'Specialisation Rankings'!$O$23+(R9-'Specialisation Rankings'!$O$23)*Q9</x:f>
        <x:v>84.71688311688311</x:v>
      </x:c>
      <x:c r="W9" s="622" t="n">
        <x:f>'Specialisation Rankings'!$O$23+(S9-'Specialisation Rankings'!$O$23)*Q9</x:f>
        <x:v>65.94727272727273</x:v>
      </x:c>
      <x:c r="X9" s="622" t="n">
        <x:f>'Specialisation Rankings'!$O$23+(T9-'Specialisation Rankings'!$O$23)*Q9</x:f>
        <x:v>84.49662337662339</x:v>
      </x:c>
      <x:c r="Y9" s="622" t="n">
        <x:f>'Specialisation Rankings'!$O$23+(U9-'Specialisation Rankings'!$O$23)*Q9</x:f>
        <x:v>60.41111111111111</x:v>
      </x:c>
      <x:c r="Z9" s="622" t="n">
        <x:f>V9*$O$18+W9*$O$19+X9*$O$20+Y9*$O$21</x:f>
        <x:v>80.37630591630591</x:v>
      </x:c>
      <x:c r="AA9" s="617" t="n">
        <x:f>COUNTIF($Z$6:$Z$13,"&gt;"&amp;Z9)+COUNTIF($Z$6:Z9,Z9)</x:f>
        <x:v>3</x:v>
      </x:c>
      <x:c r="AB9" s="617" t="str">
        <x:f>IF(Q9&lt;$O$24,"Provisional — player capture under 80%",IF(Q9&lt;1,"Usable — uncaptured players neutral","Full player capture"))</x:f>
        <x:v>Full player capture</x:v>
      </x:c>
    </x:row>
    <x:row r="10">
      <x:c r="A10" s="618" t="n">
        <x:v>5</x:v>
      </x:c>
      <x:c r="B10" s="618" t="str">
        <x:f>INDEX($N$6:$N$13,MATCH(A10,$AA$6:$AA$13,0))</x:f>
        <x:v>K170</x:v>
      </x:c>
      <x:c r="C10" s="623" t="n">
        <x:f>INDEX($Z$6:$Z$13,MATCH(A10,$AA$6:$AA$13,0))</x:f>
        <x:v>76.6256823369867</x:v>
      </x:c>
      <x:c r="D10" s="623" t="n">
        <x:f>INDEX($V$6:$V$13,MATCH(A10,$AA$6:$AA$13,0))</x:f>
        <x:v>77.24452286843592</x:v>
      </x:c>
      <x:c r="E10" s="623" t="n">
        <x:f>INDEX($W$6:$W$13,MATCH(A10,$AA$6:$AA$13,0))</x:f>
        <x:v>70.73500846979108</x:v>
      </x:c>
      <x:c r="F10" s="623" t="n">
        <x:f>INDEX($X$6:$X$13,MATCH(A10,$AA$6:$AA$13,0))</x:f>
        <x:v>75.42453416149068</x:v>
      </x:c>
      <x:c r="G10" s="623" t="n">
        <x:f>INDEX($Y$6:$Y$13,MATCH(A10,$AA$6:$AA$13,0))</x:f>
        <x:v>80.2956150130063</x:v>
      </x:c>
      <x:c r="H10" s="627" t="n">
        <x:f>INDEX($Q$6:$Q$13,MATCH(A10,$AA$6:$AA$13,0))</x:f>
        <x:v>0.9130434782608695</x:v>
      </x:c>
      <x:c r="I10" s="618" t="n">
        <x:f>INDEX($O$6:$O$13,MATCH(A10,$AA$6:$AA$13,0))</x:f>
        <x:v>23</x:v>
      </x:c>
      <x:c r="J10" s="618" t="str">
        <x:f>INDEX($AB$6:$AB$13,MATCH(A10,$AA$6:$AA$13,0))</x:f>
        <x:v>Usable — uncaptured players neutral</x:v>
      </x:c>
      <x:c r="K10" s="27"/>
      <x:c r="L10" s="27"/>
      <x:c r="M10" s="27"/>
      <x:c r="N10" s="618" t="str">
        <x:f>'Tank &amp; Control'!A10</x:f>
        <x:v>K91</x:v>
      </x:c>
      <x:c r="O10" s="618" t="n">
        <x:f>COUNTIF('Player Scenario Model'!$A$6:$A$172,N10)</x:f>
        <x:v>20</x:v>
      </x:c>
      <x:c r="P10" s="618" t="n">
        <x:f>COUNTIFS('Specialisation Impact'!$A$19:$A$186,N10,'Specialisation Impact'!$AP$19:$AP$186,"Yes",'Specialisation Impact'!$E$19:$E$186,"&gt;0")</x:f>
        <x:v>20</x:v>
      </x:c>
      <x:c r="Q10" s="627" t="n">
        <x:f>IFERROR(P10/O10,0)</x:f>
        <x:v>1</x:v>
      </x:c>
      <x:c r="R10" s="623" t="n">
        <x:f>'Specialisation Scenarios'!$X$15*('Specialisation Scenarios'!$X$19*SUMIFS('Specialisation Impact'!$AC$19:$AC$186,'Specialisation Impact'!$A$19:$A$186,N10,'Specialisation Impact'!$AD$19:$AD$186,1)+'Specialisation Scenarios'!$X$20*SUMIFS('Specialisation Impact'!$AC$19:$AC$186,'Specialisation Impact'!$A$19:$A$186,N10,'Specialisation Impact'!$AD$19:$AD$186,2)+'Specialisation Scenarios'!$X$21*SUMIFS('Specialisation Impact'!$AC$19:$AC$186,'Specialisation Impact'!$A$19:$A$186,N10,'Specialisation Impact'!$AD$19:$AD$186,3))+'Specialisation Scenarios'!$X$16*SUMIFS('Specialisation Impact'!$AC$19:$AC$186,'Specialisation Impact'!$A$19:$A$186,N10,'Specialisation Impact'!$AD$19:$AD$186,"&lt;=5")/MIN(5,P10)+'Specialisation Scenarios'!$X$17*SUMIFS('Specialisation Impact'!$AC$19:$AC$186,'Specialisation Impact'!$A$19:$A$186,N10,'Specialisation Impact'!$AD$19:$AD$186,"&lt;=15")/MIN(15,P10)+'Specialisation Scenarios'!$X$18*SUMIFS('Specialisation Impact'!$AC$19:$AC$186,'Specialisation Impact'!$A$19:$A$186,N10)/P10</x:f>
        <x:v>77.88246753246754</x:v>
      </x:c>
      <x:c r="S10" s="623" t="n">
        <x:f>'Specialisation Scenarios'!$X$15*('Specialisation Scenarios'!$X$19*SUMIFS('Specialisation Impact'!$AF$19:$AF$186,'Specialisation Impact'!$A$19:$A$186,N10,'Specialisation Impact'!$AG$19:$AG$186,1)+'Specialisation Scenarios'!$X$20*SUMIFS('Specialisation Impact'!$AF$19:$AF$186,'Specialisation Impact'!$A$19:$A$186,N10,'Specialisation Impact'!$AG$19:$AG$186,2)+'Specialisation Scenarios'!$X$21*SUMIFS('Specialisation Impact'!$AF$19:$AF$186,'Specialisation Impact'!$A$19:$A$186,N10,'Specialisation Impact'!$AG$19:$AG$186,3))+'Specialisation Scenarios'!$X$16*SUMIFS('Specialisation Impact'!$AF$19:$AF$186,'Specialisation Impact'!$A$19:$A$186,N10,'Specialisation Impact'!$AG$19:$AG$186,"&lt;=5")/MIN(5,P10)+'Specialisation Scenarios'!$X$17*SUMIFS('Specialisation Impact'!$AF$19:$AF$186,'Specialisation Impact'!$A$19:$A$186,N10,'Specialisation Impact'!$AG$19:$AG$186,"&lt;=15")/MIN(15,P10)+'Specialisation Scenarios'!$X$18*SUMIFS('Specialisation Impact'!$AF$19:$AF$186,'Specialisation Impact'!$A$19:$A$186,N10)/P10</x:f>
        <x:v>89.58506493506493</x:v>
      </x:c>
      <x:c r="T10" s="623" t="n">
        <x:f>'Specialisation Scenarios'!$X$15*('Specialisation Scenarios'!$X$19*SUMIFS('Specialisation Impact'!$AI$19:$AI$186,'Specialisation Impact'!$A$19:$A$186,N10,'Specialisation Impact'!$AJ$19:$AJ$186,1)+'Specialisation Scenarios'!$X$20*SUMIFS('Specialisation Impact'!$AI$19:$AI$186,'Specialisation Impact'!$A$19:$A$186,N10,'Specialisation Impact'!$AJ$19:$AJ$186,2)+'Specialisation Scenarios'!$X$21*SUMIFS('Specialisation Impact'!$AI$19:$AI$186,'Specialisation Impact'!$A$19:$A$186,N10,'Specialisation Impact'!$AJ$19:$AJ$186,3))+'Specialisation Scenarios'!$X$16*SUMIFS('Specialisation Impact'!$AI$19:$AI$186,'Specialisation Impact'!$A$19:$A$186,N10,'Specialisation Impact'!$AJ$19:$AJ$186,"&lt;=5")/MIN(5,P10)+'Specialisation Scenarios'!$X$17*SUMIFS('Specialisation Impact'!$AI$19:$AI$186,'Specialisation Impact'!$A$19:$A$186,N10,'Specialisation Impact'!$AJ$19:$AJ$186,"&lt;=15")/MIN(15,P10)+'Specialisation Scenarios'!$X$18*SUMIFS('Specialisation Impact'!$AI$19:$AI$186,'Specialisation Impact'!$A$19:$A$186,N10)/P10</x:f>
        <x:v>68.46558441558442</x:v>
      </x:c>
      <x:c r="U10" s="623" t="n">
        <x:f>'Specialisation Scenarios'!$X$15*('Specialisation Scenarios'!$X$19*SUMIFS('Specialisation Impact'!$AK$19:$AK$186,'Specialisation Impact'!$A$19:$A$186,N10,'Specialisation Impact'!$AL$19:$AL$186,1)+'Specialisation Scenarios'!$X$20*SUMIFS('Specialisation Impact'!$AK$19:$AK$186,'Specialisation Impact'!$A$19:$A$186,N10,'Specialisation Impact'!$AL$19:$AL$186,2)+'Specialisation Scenarios'!$X$21*SUMIFS('Specialisation Impact'!$AK$19:$AK$186,'Specialisation Impact'!$A$19:$A$186,N10,'Specialisation Impact'!$AL$19:$AL$186,3))+'Specialisation Scenarios'!$X$16*SUMIFS('Specialisation Impact'!$AK$19:$AK$186,'Specialisation Impact'!$A$19:$A$186,N10,'Specialisation Impact'!$AL$19:$AL$186,"&lt;=5")/MIN(5,P10)+'Specialisation Scenarios'!$X$17*SUMIFS('Specialisation Impact'!$AK$19:$AK$186,'Specialisation Impact'!$A$19:$A$186,N10,'Specialisation Impact'!$AL$19:$AL$186,"&lt;=15")/MIN(15,P10)+'Specialisation Scenarios'!$X$18*SUMIFS('Specialisation Impact'!$AK$19:$AK$186,'Specialisation Impact'!$A$19:$A$186,N10)/P10</x:f>
        <x:v>35.63034188034188</x:v>
      </x:c>
      <x:c r="V10" s="623" t="n">
        <x:f>'Specialisation Rankings'!$O$23+(R10-'Specialisation Rankings'!$O$23)*Q10</x:f>
        <x:v>77.88246753246754</x:v>
      </x:c>
      <x:c r="W10" s="623" t="n">
        <x:f>'Specialisation Rankings'!$O$23+(S10-'Specialisation Rankings'!$O$23)*Q10</x:f>
        <x:v>89.58506493506493</x:v>
      </x:c>
      <x:c r="X10" s="623" t="n">
        <x:f>'Specialisation Rankings'!$O$23+(T10-'Specialisation Rankings'!$O$23)*Q10</x:f>
        <x:v>68.46558441558442</x:v>
      </x:c>
      <x:c r="Y10" s="623" t="n">
        <x:f>'Specialisation Rankings'!$O$23+(U10-'Specialisation Rankings'!$O$23)*Q10</x:f>
        <x:v>35.63034188034188</x:v>
      </x:c>
      <x:c r="Z10" s="623" t="n">
        <x:f>V10*$O$18+W10*$O$19+X10*$O$20+Y10*$O$21</x:f>
        <x:v>73.41498223998227</x:v>
      </x:c>
      <x:c r="AA10" s="618" t="n">
        <x:f>COUNTIF($Z$6:$Z$13,"&gt;"&amp;Z10)+COUNTIF($Z$6:Z10,Z10)</x:f>
        <x:v>7</x:v>
      </x:c>
      <x:c r="AB10" s="618" t="str">
        <x:f>IF(Q10&lt;$O$24,"Provisional — player capture under 80%",IF(Q10&lt;1,"Usable — uncaptured players neutral","Full player capture"))</x:f>
        <x:v>Full player capture</x:v>
      </x:c>
    </x:row>
    <x:row r="11">
      <x:c r="A11" s="617" t="n">
        <x:v>6</x:v>
      </x:c>
      <x:c r="B11" s="617" t="str">
        <x:f>INDEX($N$6:$N$13,MATCH(A11,$AA$6:$AA$13,0))</x:f>
        <x:v>K197</x:v>
      </x:c>
      <x:c r="C11" s="622" t="n">
        <x:f>INDEX($Z$6:$Z$13,MATCH(A11,$AA$6:$AA$13,0))</x:f>
        <x:v>74.03926006741797</x:v>
      </x:c>
      <x:c r="D11" s="622" t="n">
        <x:f>INDEX($V$6:$V$13,MATCH(A11,$AA$6:$AA$13,0))</x:f>
        <x:v>71.95379357484622</x:v>
      </x:c>
      <x:c r="E11" s="622" t="n">
        <x:f>INDEX($W$6:$W$13,MATCH(A11,$AA$6:$AA$13,0))</x:f>
        <x:v>88.33007518796992</x:v>
      </x:c>
      <x:c r="F11" s="622" t="n">
        <x:f>INDEX($X$6:$X$13,MATCH(A11,$AA$6:$AA$13,0))</x:f>
        <x:v>76.1071086807929</x:v>
      </x:c>
      <x:c r="G11" s="622" t="n">
        <x:f>INDEX($Y$6:$Y$13,MATCH(A11,$AA$6:$AA$13,0))</x:f>
        <x:v>70.20220422852002</x:v>
      </x:c>
      <x:c r="H11" s="626" t="n">
        <x:f>INDEX($Q$6:$Q$13,MATCH(A11,$AA$6:$AA$13,0))</x:f>
        <x:v>1</x:v>
      </x:c>
      <x:c r="I11" s="617" t="n">
        <x:f>INDEX($O$6:$O$13,MATCH(A11,$AA$6:$AA$13,0))</x:f>
        <x:v>19</x:v>
      </x:c>
      <x:c r="J11" s="617" t="str">
        <x:f>INDEX($AB$6:$AB$13,MATCH(A11,$AA$6:$AA$13,0))</x:f>
        <x:v>Full player capture</x:v>
      </x:c>
      <x:c r="K11" s="27"/>
      <x:c r="L11" s="27"/>
      <x:c r="M11" s="27"/>
      <x:c r="N11" s="617" t="str">
        <x:f>'Tank &amp; Control'!A11</x:f>
        <x:v>K176</x:v>
      </x:c>
      <x:c r="O11" s="617" t="n">
        <x:f>COUNTIF('Player Scenario Model'!$A$6:$A$172,N11)</x:f>
        <x:v>22</x:v>
      </x:c>
      <x:c r="P11" s="617" t="n">
        <x:f>COUNTIFS('Specialisation Impact'!$A$19:$A$186,N11,'Specialisation Impact'!$AP$19:$AP$186,"Yes",'Specialisation Impact'!$E$19:$E$186,"&gt;0")</x:f>
        <x:v>20</x:v>
      </x:c>
      <x:c r="Q11" s="626" t="n">
        <x:f>IFERROR(P11/O11,0)</x:f>
        <x:v>0.9090909090909091</x:v>
      </x:c>
      <x:c r="R11" s="622" t="n">
        <x:f>'Specialisation Scenarios'!$X$15*('Specialisation Scenarios'!$X$19*SUMIFS('Specialisation Impact'!$AC$19:$AC$186,'Specialisation Impact'!$A$19:$A$186,N11,'Specialisation Impact'!$AD$19:$AD$186,1)+'Specialisation Scenarios'!$X$20*SUMIFS('Specialisation Impact'!$AC$19:$AC$186,'Specialisation Impact'!$A$19:$A$186,N11,'Specialisation Impact'!$AD$19:$AD$186,2)+'Specialisation Scenarios'!$X$21*SUMIFS('Specialisation Impact'!$AC$19:$AC$186,'Specialisation Impact'!$A$19:$A$186,N11,'Specialisation Impact'!$AD$19:$AD$186,3))+'Specialisation Scenarios'!$X$16*SUMIFS('Specialisation Impact'!$AC$19:$AC$186,'Specialisation Impact'!$A$19:$A$186,N11,'Specialisation Impact'!$AD$19:$AD$186,"&lt;=5")/MIN(5,P11)+'Specialisation Scenarios'!$X$17*SUMIFS('Specialisation Impact'!$AC$19:$AC$186,'Specialisation Impact'!$A$19:$A$186,N11,'Specialisation Impact'!$AD$19:$AD$186,"&lt;=15")/MIN(15,P11)+'Specialisation Scenarios'!$X$18*SUMIFS('Specialisation Impact'!$AC$19:$AC$186,'Specialisation Impact'!$A$19:$A$186,N11)/P11</x:f>
        <x:v>90.40454545454547</x:v>
      </x:c>
      <x:c r="S11" s="622" t="n">
        <x:f>'Specialisation Scenarios'!$X$15*('Specialisation Scenarios'!$X$19*SUMIFS('Specialisation Impact'!$AF$19:$AF$186,'Specialisation Impact'!$A$19:$A$186,N11,'Specialisation Impact'!$AG$19:$AG$186,1)+'Specialisation Scenarios'!$X$20*SUMIFS('Specialisation Impact'!$AF$19:$AF$186,'Specialisation Impact'!$A$19:$A$186,N11,'Specialisation Impact'!$AG$19:$AG$186,2)+'Specialisation Scenarios'!$X$21*SUMIFS('Specialisation Impact'!$AF$19:$AF$186,'Specialisation Impact'!$A$19:$A$186,N11,'Specialisation Impact'!$AG$19:$AG$186,3))+'Specialisation Scenarios'!$X$16*SUMIFS('Specialisation Impact'!$AF$19:$AF$186,'Specialisation Impact'!$A$19:$A$186,N11,'Specialisation Impact'!$AG$19:$AG$186,"&lt;=5")/MIN(5,P11)+'Specialisation Scenarios'!$X$17*SUMIFS('Specialisation Impact'!$AF$19:$AF$186,'Specialisation Impact'!$A$19:$A$186,N11,'Specialisation Impact'!$AG$19:$AG$186,"&lt;=15")/MIN(15,P11)+'Specialisation Scenarios'!$X$18*SUMIFS('Specialisation Impact'!$AF$19:$AF$186,'Specialisation Impact'!$A$19:$A$186,N11)/P11</x:f>
        <x:v>61.901948051948054</x:v>
      </x:c>
      <x:c r="T11" s="622" t="n">
        <x:f>'Specialisation Scenarios'!$X$15*('Specialisation Scenarios'!$X$19*SUMIFS('Specialisation Impact'!$AI$19:$AI$186,'Specialisation Impact'!$A$19:$A$186,N11,'Specialisation Impact'!$AJ$19:$AJ$186,1)+'Specialisation Scenarios'!$X$20*SUMIFS('Specialisation Impact'!$AI$19:$AI$186,'Specialisation Impact'!$A$19:$A$186,N11,'Specialisation Impact'!$AJ$19:$AJ$186,2)+'Specialisation Scenarios'!$X$21*SUMIFS('Specialisation Impact'!$AI$19:$AI$186,'Specialisation Impact'!$A$19:$A$186,N11,'Specialisation Impact'!$AJ$19:$AJ$186,3))+'Specialisation Scenarios'!$X$16*SUMIFS('Specialisation Impact'!$AI$19:$AI$186,'Specialisation Impact'!$A$19:$A$186,N11,'Specialisation Impact'!$AJ$19:$AJ$186,"&lt;=5")/MIN(5,P11)+'Specialisation Scenarios'!$X$17*SUMIFS('Specialisation Impact'!$AI$19:$AI$186,'Specialisation Impact'!$A$19:$A$186,N11,'Specialisation Impact'!$AJ$19:$AJ$186,"&lt;=15")/MIN(15,P11)+'Specialisation Scenarios'!$X$18*SUMIFS('Specialisation Impact'!$AI$19:$AI$186,'Specialisation Impact'!$A$19:$A$186,N11)/P11</x:f>
        <x:v>88.24090909090908</x:v>
      </x:c>
      <x:c r="U11" s="622" t="n">
        <x:f>'Specialisation Scenarios'!$X$15*('Specialisation Scenarios'!$X$19*SUMIFS('Specialisation Impact'!$AK$19:$AK$186,'Specialisation Impact'!$A$19:$A$186,N11,'Specialisation Impact'!$AL$19:$AL$186,1)+'Specialisation Scenarios'!$X$20*SUMIFS('Specialisation Impact'!$AK$19:$AK$186,'Specialisation Impact'!$A$19:$A$186,N11,'Specialisation Impact'!$AL$19:$AL$186,2)+'Specialisation Scenarios'!$X$21*SUMIFS('Specialisation Impact'!$AK$19:$AK$186,'Specialisation Impact'!$A$19:$A$186,N11,'Specialisation Impact'!$AL$19:$AL$186,3))+'Specialisation Scenarios'!$X$16*SUMIFS('Specialisation Impact'!$AK$19:$AK$186,'Specialisation Impact'!$A$19:$A$186,N11,'Specialisation Impact'!$AL$19:$AL$186,"&lt;=5")/MIN(5,P11)+'Specialisation Scenarios'!$X$17*SUMIFS('Specialisation Impact'!$AK$19:$AK$186,'Specialisation Impact'!$A$19:$A$186,N11,'Specialisation Impact'!$AL$19:$AL$186,"&lt;=15")/MIN(15,P11)+'Specialisation Scenarios'!$X$18*SUMIFS('Specialisation Impact'!$AK$19:$AK$186,'Specialisation Impact'!$A$19:$A$186,N11)/P11</x:f>
        <x:v>80.70085470085469</x:v>
      </x:c>
      <x:c r="V11" s="622" t="n">
        <x:f>'Specialisation Rankings'!$O$23+(R11-'Specialisation Rankings'!$O$23)*Q11</x:f>
        <x:v>86.7314049586777</x:v>
      </x:c>
      <x:c r="W11" s="622" t="n">
        <x:f>'Specialisation Rankings'!$O$23+(S11-'Specialisation Rankings'!$O$23)*Q11</x:f>
        <x:v>60.81995277449823</x:v>
      </x:c>
      <x:c r="X11" s="622" t="n">
        <x:f>'Specialisation Rankings'!$O$23+(T11-'Specialisation Rankings'!$O$23)*Q11</x:f>
        <x:v>84.76446280991735</x:v>
      </x:c>
      <x:c r="Y11" s="622" t="n">
        <x:f>'Specialisation Rankings'!$O$23+(U11-'Specialisation Rankings'!$O$23)*Q11</x:f>
        <x:v>77.9098679098679</x:v>
      </x:c>
      <x:c r="Z11" s="622" t="n">
        <x:f>V11*$O$18+W11*$O$19+X11*$O$20+Y11*$O$21</x:f>
        <x:v>82.96306471306472</x:v>
      </x:c>
      <x:c r="AA11" s="617" t="n">
        <x:f>COUNTIF($Z$6:$Z$13,"&gt;"&amp;Z11)+COUNTIF($Z$6:Z11,Z11)</x:f>
        <x:v>2</x:v>
      </x:c>
      <x:c r="AB11" s="617" t="str">
        <x:f>IF(Q11&lt;$O$24,"Provisional — player capture under 80%",IF(Q11&lt;1,"Usable — uncaptured players neutral","Full player capture"))</x:f>
        <x:v>Usable — uncaptured players neutral</x:v>
      </x:c>
    </x:row>
    <x:row r="12">
      <x:c r="A12" s="618" t="n">
        <x:v>7</x:v>
      </x:c>
      <x:c r="B12" s="618" t="str">
        <x:f>INDEX($N$6:$N$13,MATCH(A12,$AA$6:$AA$13,0))</x:f>
        <x:v>K91</x:v>
      </x:c>
      <x:c r="C12" s="623" t="n">
        <x:f>INDEX($Z$6:$Z$13,MATCH(A12,$AA$6:$AA$13,0))</x:f>
        <x:v>73.41498223998227</x:v>
      </x:c>
      <x:c r="D12" s="623" t="n">
        <x:f>INDEX($V$6:$V$13,MATCH(A12,$AA$6:$AA$13,0))</x:f>
        <x:v>77.88246753246754</x:v>
      </x:c>
      <x:c r="E12" s="623" t="n">
        <x:f>INDEX($W$6:$W$13,MATCH(A12,$AA$6:$AA$13,0))</x:f>
        <x:v>89.58506493506493</x:v>
      </x:c>
      <x:c r="F12" s="623" t="n">
        <x:f>INDEX($X$6:$X$13,MATCH(A12,$AA$6:$AA$13,0))</x:f>
        <x:v>68.46558441558442</x:v>
      </x:c>
      <x:c r="G12" s="623" t="n">
        <x:f>INDEX($Y$6:$Y$13,MATCH(A12,$AA$6:$AA$13,0))</x:f>
        <x:v>35.63034188034188</x:v>
      </x:c>
      <x:c r="H12" s="627" t="n">
        <x:f>INDEX($Q$6:$Q$13,MATCH(A12,$AA$6:$AA$13,0))</x:f>
        <x:v>1</x:v>
      </x:c>
      <x:c r="I12" s="618" t="n">
        <x:f>INDEX($O$6:$O$13,MATCH(A12,$AA$6:$AA$13,0))</x:f>
        <x:v>20</x:v>
      </x:c>
      <x:c r="J12" s="618" t="str">
        <x:f>INDEX($AB$6:$AB$13,MATCH(A12,$AA$6:$AA$13,0))</x:f>
        <x:v>Full player capture</x:v>
      </x:c>
      <x:c r="K12" s="27"/>
      <x:c r="L12" s="27"/>
      <x:c r="M12" s="27"/>
      <x:c r="N12" s="618" t="str">
        <x:f>'Tank &amp; Control'!A12</x:f>
        <x:v>K138</x:v>
      </x:c>
      <x:c r="O12" s="618" t="n">
        <x:f>COUNTIF('Player Scenario Model'!$A$6:$A$172,N12)</x:f>
        <x:v>27</x:v>
      </x:c>
      <x:c r="P12" s="618" t="n">
        <x:f>COUNTIFS('Specialisation Impact'!$A$19:$A$186,N12,'Specialisation Impact'!$AP$19:$AP$186,"Yes",'Specialisation Impact'!$E$19:$E$186,"&gt;0")</x:f>
        <x:v>26</x:v>
      </x:c>
      <x:c r="Q12" s="627" t="n">
        <x:f>IFERROR(P12/O12,0)</x:f>
        <x:v>0.9629629629629629</x:v>
      </x:c>
      <x:c r="R12" s="623" t="n">
        <x:f>'Specialisation Scenarios'!$X$15*('Specialisation Scenarios'!$X$19*SUMIFS('Specialisation Impact'!$AC$19:$AC$186,'Specialisation Impact'!$A$19:$A$186,N12,'Specialisation Impact'!$AD$19:$AD$186,1)+'Specialisation Scenarios'!$X$20*SUMIFS('Specialisation Impact'!$AC$19:$AC$186,'Specialisation Impact'!$A$19:$A$186,N12,'Specialisation Impact'!$AD$19:$AD$186,2)+'Specialisation Scenarios'!$X$21*SUMIFS('Specialisation Impact'!$AC$19:$AC$186,'Specialisation Impact'!$A$19:$A$186,N12,'Specialisation Impact'!$AD$19:$AD$186,3))+'Specialisation Scenarios'!$X$16*SUMIFS('Specialisation Impact'!$AC$19:$AC$186,'Specialisation Impact'!$A$19:$A$186,N12,'Specialisation Impact'!$AD$19:$AD$186,"&lt;=5")/MIN(5,P12)+'Specialisation Scenarios'!$X$17*SUMIFS('Specialisation Impact'!$AC$19:$AC$186,'Specialisation Impact'!$A$19:$A$186,N12,'Specialisation Impact'!$AD$19:$AD$186,"&lt;=15")/MIN(15,P12)+'Specialisation Scenarios'!$X$18*SUMIFS('Specialisation Impact'!$AC$19:$AC$186,'Specialisation Impact'!$A$19:$A$186,N12)/P12</x:f>
        <x:v>78.49975024975025</x:v>
      </x:c>
      <x:c r="S12" s="623" t="n">
        <x:f>'Specialisation Scenarios'!$X$15*('Specialisation Scenarios'!$X$19*SUMIFS('Specialisation Impact'!$AF$19:$AF$186,'Specialisation Impact'!$A$19:$A$186,N12,'Specialisation Impact'!$AG$19:$AG$186,1)+'Specialisation Scenarios'!$X$20*SUMIFS('Specialisation Impact'!$AF$19:$AF$186,'Specialisation Impact'!$A$19:$A$186,N12,'Specialisation Impact'!$AG$19:$AG$186,2)+'Specialisation Scenarios'!$X$21*SUMIFS('Specialisation Impact'!$AF$19:$AF$186,'Specialisation Impact'!$A$19:$A$186,N12,'Specialisation Impact'!$AG$19:$AG$186,3))+'Specialisation Scenarios'!$X$16*SUMIFS('Specialisation Impact'!$AF$19:$AF$186,'Specialisation Impact'!$A$19:$A$186,N12,'Specialisation Impact'!$AG$19:$AG$186,"&lt;=5")/MIN(5,P12)+'Specialisation Scenarios'!$X$17*SUMIFS('Specialisation Impact'!$AF$19:$AF$186,'Specialisation Impact'!$A$19:$A$186,N12,'Specialisation Impact'!$AG$19:$AG$186,"&lt;=15")/MIN(15,P12)+'Specialisation Scenarios'!$X$18*SUMIFS('Specialisation Impact'!$AF$19:$AF$186,'Specialisation Impact'!$A$19:$A$186,N12)/P12</x:f>
        <x:v>69.52577422577423</x:v>
      </x:c>
      <x:c r="T12" s="623" t="n">
        <x:f>'Specialisation Scenarios'!$X$15*('Specialisation Scenarios'!$X$19*SUMIFS('Specialisation Impact'!$AI$19:$AI$186,'Specialisation Impact'!$A$19:$A$186,N12,'Specialisation Impact'!$AJ$19:$AJ$186,1)+'Specialisation Scenarios'!$X$20*SUMIFS('Specialisation Impact'!$AI$19:$AI$186,'Specialisation Impact'!$A$19:$A$186,N12,'Specialisation Impact'!$AJ$19:$AJ$186,2)+'Specialisation Scenarios'!$X$21*SUMIFS('Specialisation Impact'!$AI$19:$AI$186,'Specialisation Impact'!$A$19:$A$186,N12,'Specialisation Impact'!$AJ$19:$AJ$186,3))+'Specialisation Scenarios'!$X$16*SUMIFS('Specialisation Impact'!$AI$19:$AI$186,'Specialisation Impact'!$A$19:$A$186,N12,'Specialisation Impact'!$AJ$19:$AJ$186,"&lt;=5")/MIN(5,P12)+'Specialisation Scenarios'!$X$17*SUMIFS('Specialisation Impact'!$AI$19:$AI$186,'Specialisation Impact'!$A$19:$A$186,N12,'Specialisation Impact'!$AJ$19:$AJ$186,"&lt;=15")/MIN(15,P12)+'Specialisation Scenarios'!$X$18*SUMIFS('Specialisation Impact'!$AI$19:$AI$186,'Specialisation Impact'!$A$19:$A$186,N12)/P12</x:f>
        <x:v>75.35124875124875</x:v>
      </x:c>
      <x:c r="U12" s="623" t="n">
        <x:f>'Specialisation Scenarios'!$X$15*('Specialisation Scenarios'!$X$19*SUMIFS('Specialisation Impact'!$AK$19:$AK$186,'Specialisation Impact'!$A$19:$A$186,N12,'Specialisation Impact'!$AL$19:$AL$186,1)+'Specialisation Scenarios'!$X$20*SUMIFS('Specialisation Impact'!$AK$19:$AK$186,'Specialisation Impact'!$A$19:$A$186,N12,'Specialisation Impact'!$AL$19:$AL$186,2)+'Specialisation Scenarios'!$X$21*SUMIFS('Specialisation Impact'!$AK$19:$AK$186,'Specialisation Impact'!$A$19:$A$186,N12,'Specialisation Impact'!$AL$19:$AL$186,3))+'Specialisation Scenarios'!$X$16*SUMIFS('Specialisation Impact'!$AK$19:$AK$186,'Specialisation Impact'!$A$19:$A$186,N12,'Specialisation Impact'!$AL$19:$AL$186,"&lt;=5")/MIN(5,P12)+'Specialisation Scenarios'!$X$17*SUMIFS('Specialisation Impact'!$AK$19:$AK$186,'Specialisation Impact'!$A$19:$A$186,N12,'Specialisation Impact'!$AL$19:$AL$186,"&lt;=15")/MIN(15,P12)+'Specialisation Scenarios'!$X$18*SUMIFS('Specialisation Impact'!$AK$19:$AK$186,'Specialisation Impact'!$A$19:$A$186,N12)/P12</x:f>
        <x:v>87.67850098619328</x:v>
      </x:c>
      <x:c r="V12" s="623" t="n">
        <x:f>'Specialisation Rankings'!$O$23+(R12-'Specialisation Rankings'!$O$23)*Q12</x:f>
        <x:v>77.44420394420393</x:v>
      </x:c>
      <x:c r="W12" s="623" t="n">
        <x:f>'Specialisation Rankings'!$O$23+(S12-'Specialisation Rankings'!$O$23)*Q12</x:f>
        <x:v>68.8025974025974</x:v>
      </x:c>
      <x:c r="X12" s="623" t="n">
        <x:f>'Specialisation Rankings'!$O$23+(T12-'Specialisation Rankings'!$O$23)*Q12</x:f>
        <x:v>74.41231361231361</x:v>
      </x:c>
      <x:c r="Y12" s="623" t="n">
        <x:f>'Specialisation Rankings'!$O$23+(U12-'Specialisation Rankings'!$O$23)*Q12</x:f>
        <x:v>86.28300094966761</x:v>
      </x:c>
      <x:c r="Z12" s="623" t="n">
        <x:f>V12*$O$18+W12*$O$19+X12*$O$20+Y12*$O$21</x:f>
        <x:v>77.0091394408061</x:v>
      </x:c>
      <x:c r="AA12" s="618" t="n">
        <x:f>COUNTIF($Z$6:$Z$13,"&gt;"&amp;Z12)+COUNTIF($Z$6:Z12,Z12)</x:f>
        <x:v>4</x:v>
      </x:c>
      <x:c r="AB12" s="618" t="str">
        <x:f>IF(Q12&lt;$O$24,"Provisional — player capture under 80%",IF(Q12&lt;1,"Usable — uncaptured players neutral","Full player capture"))</x:f>
        <x:v>Usable — uncaptured players neutral</x:v>
      </x:c>
    </x:row>
    <x:row r="13">
      <x:c r="A13" s="619" t="n">
        <x:v>8</x:v>
      </x:c>
      <x:c r="B13" s="619" t="str">
        <x:f>INDEX($N$6:$N$13,MATCH(A13,$AA$6:$AA$13,0))</x:f>
        <x:v>K116</x:v>
      </x:c>
      <x:c r="C13" s="624" t="n">
        <x:f>INDEX($Z$6:$Z$13,MATCH(A13,$AA$6:$AA$13,0))</x:f>
        <x:v>62.73625575813077</x:v>
      </x:c>
      <x:c r="D13" s="624" t="n">
        <x:f>INDEX($V$6:$V$13,MATCH(A13,$AA$6:$AA$13,0))</x:f>
        <x:v>61.19967532467533</x:v>
      </x:c>
      <x:c r="E13" s="624" t="n">
        <x:f>INDEX($W$6:$W$13,MATCH(A13,$AA$6:$AA$13,0))</x:f>
        <x:v>57.61185064935066</x:v>
      </x:c>
      <x:c r="F13" s="624" t="n">
        <x:f>INDEX($X$6:$X$13,MATCH(A13,$AA$6:$AA$13,0))</x:f>
        <x:v>65.19788961038961</x:v>
      </x:c>
      <x:c r="G13" s="624" t="n">
        <x:f>INDEX($Y$6:$Y$13,MATCH(A13,$AA$6:$AA$13,0))</x:f>
        <x:v>74.1559829059829</x:v>
      </x:c>
      <x:c r="H13" s="628" t="n">
        <x:f>INDEX($Q$6:$Q$13,MATCH(A13,$AA$6:$AA$13,0))</x:f>
        <x:v>0.65</x:v>
      </x:c>
      <x:c r="I13" s="619" t="n">
        <x:f>INDEX($O$6:$O$13,MATCH(A13,$AA$6:$AA$13,0))</x:f>
        <x:v>20</x:v>
      </x:c>
      <x:c r="J13" s="619" t="str">
        <x:f>INDEX($AB$6:$AB$13,MATCH(A13,$AA$6:$AA$13,0))</x:f>
        <x:v>Provisional — player capture under 80%</x:v>
      </x:c>
      <x:c r="K13" s="27"/>
      <x:c r="L13" s="27"/>
      <x:c r="M13" s="27"/>
      <x:c r="N13" s="619" t="str">
        <x:f>'Tank &amp; Control'!A13</x:f>
        <x:v>K170</x:v>
      </x:c>
      <x:c r="O13" s="619" t="n">
        <x:f>COUNTIF('Player Scenario Model'!$A$6:$A$172,N13)</x:f>
        <x:v>23</x:v>
      </x:c>
      <x:c r="P13" s="619" t="n">
        <x:f>COUNTIFS('Specialisation Impact'!$A$19:$A$186,N13,'Specialisation Impact'!$AP$19:$AP$186,"Yes",'Specialisation Impact'!$E$19:$E$186,"&gt;0")</x:f>
        <x:v>21</x:v>
      </x:c>
      <x:c r="Q13" s="628" t="n">
        <x:f>IFERROR(P13/O13,0)</x:f>
        <x:v>0.9130434782608695</x:v>
      </x:c>
      <x:c r="R13" s="624" t="n">
        <x:f>'Specialisation Scenarios'!$X$15*('Specialisation Scenarios'!$X$19*SUMIFS('Specialisation Impact'!$AC$19:$AC$186,'Specialisation Impact'!$A$19:$A$186,N13,'Specialisation Impact'!$AD$19:$AD$186,1)+'Specialisation Scenarios'!$X$20*SUMIFS('Specialisation Impact'!$AC$19:$AC$186,'Specialisation Impact'!$A$19:$A$186,N13,'Specialisation Impact'!$AD$19:$AD$186,2)+'Specialisation Scenarios'!$X$21*SUMIFS('Specialisation Impact'!$AC$19:$AC$186,'Specialisation Impact'!$A$19:$A$186,N13,'Specialisation Impact'!$AD$19:$AD$186,3))+'Specialisation Scenarios'!$X$16*SUMIFS('Specialisation Impact'!$AC$19:$AC$186,'Specialisation Impact'!$A$19:$A$186,N13,'Specialisation Impact'!$AD$19:$AD$186,"&lt;=5")/MIN(5,P13)+'Specialisation Scenarios'!$X$17*SUMIFS('Specialisation Impact'!$AC$19:$AC$186,'Specialisation Impact'!$A$19:$A$186,N13,'Specialisation Impact'!$AD$19:$AD$186,"&lt;=15")/MIN(15,P13)+'Specialisation Scenarios'!$X$18*SUMIFS('Specialisation Impact'!$AC$19:$AC$186,'Specialisation Impact'!$A$19:$A$186,N13)/P13</x:f>
        <x:v>79.83923933209648</x:v>
      </x:c>
      <x:c r="S13" s="624" t="n">
        <x:f>'Specialisation Scenarios'!$X$15*('Specialisation Scenarios'!$X$19*SUMIFS('Specialisation Impact'!$AF$19:$AF$186,'Specialisation Impact'!$A$19:$A$186,N13,'Specialisation Impact'!$AG$19:$AG$186,1)+'Specialisation Scenarios'!$X$20*SUMIFS('Specialisation Impact'!$AF$19:$AF$186,'Specialisation Impact'!$A$19:$A$186,N13,'Specialisation Impact'!$AG$19:$AG$186,2)+'Specialisation Scenarios'!$X$21*SUMIFS('Specialisation Impact'!$AF$19:$AF$186,'Specialisation Impact'!$A$19:$A$186,N13,'Specialisation Impact'!$AG$19:$AG$186,3))+'Specialisation Scenarios'!$X$16*SUMIFS('Specialisation Impact'!$AF$19:$AF$186,'Specialisation Impact'!$A$19:$A$186,N13,'Specialisation Impact'!$AG$19:$AG$186,"&lt;=5")/MIN(5,P13)+'Specialisation Scenarios'!$X$17*SUMIFS('Specialisation Impact'!$AF$19:$AF$186,'Specialisation Impact'!$A$19:$A$186,N13,'Specialisation Impact'!$AG$19:$AG$186,"&lt;=15")/MIN(15,P13)+'Specialisation Scenarios'!$X$18*SUMIFS('Specialisation Impact'!$AF$19:$AF$186,'Specialisation Impact'!$A$19:$A$186,N13)/P13</x:f>
        <x:v>72.70977118119976</x:v>
      </x:c>
      <x:c r="T13" s="624" t="n">
        <x:f>'Specialisation Scenarios'!$X$15*('Specialisation Scenarios'!$X$19*SUMIFS('Specialisation Impact'!$AI$19:$AI$186,'Specialisation Impact'!$A$19:$A$186,N13,'Specialisation Impact'!$AJ$19:$AJ$186,1)+'Specialisation Scenarios'!$X$20*SUMIFS('Specialisation Impact'!$AI$19:$AI$186,'Specialisation Impact'!$A$19:$A$186,N13,'Specialisation Impact'!$AJ$19:$AJ$186,2)+'Specialisation Scenarios'!$X$21*SUMIFS('Specialisation Impact'!$AI$19:$AI$186,'Specialisation Impact'!$A$19:$A$186,N13,'Specialisation Impact'!$AJ$19:$AJ$186,3))+'Specialisation Scenarios'!$X$16*SUMIFS('Specialisation Impact'!$AI$19:$AI$186,'Specialisation Impact'!$A$19:$A$186,N13,'Specialisation Impact'!$AJ$19:$AJ$186,"&lt;=5")/MIN(5,P13)+'Specialisation Scenarios'!$X$17*SUMIFS('Specialisation Impact'!$AI$19:$AI$186,'Specialisation Impact'!$A$19:$A$186,N13,'Specialisation Impact'!$AJ$19:$AJ$186,"&lt;=15")/MIN(15,P13)+'Specialisation Scenarios'!$X$18*SUMIFS('Specialisation Impact'!$AI$19:$AI$186,'Specialisation Impact'!$A$19:$A$186,N13)/P13</x:f>
        <x:v>77.84591836734694</x:v>
      </x:c>
      <x:c r="U13" s="624" t="n">
        <x:f>'Specialisation Scenarios'!$X$15*('Specialisation Scenarios'!$X$19*SUMIFS('Specialisation Impact'!$AK$19:$AK$186,'Specialisation Impact'!$A$19:$A$186,N13,'Specialisation Impact'!$AL$19:$AL$186,1)+'Specialisation Scenarios'!$X$20*SUMIFS('Specialisation Impact'!$AK$19:$AK$186,'Specialisation Impact'!$A$19:$A$186,N13,'Specialisation Impact'!$AL$19:$AL$186,2)+'Specialisation Scenarios'!$X$21*SUMIFS('Specialisation Impact'!$AK$19:$AK$186,'Specialisation Impact'!$A$19:$A$186,N13,'Specialisation Impact'!$AL$19:$AL$186,3))+'Specialisation Scenarios'!$X$16*SUMIFS('Specialisation Impact'!$AK$19:$AK$186,'Specialisation Impact'!$A$19:$A$186,N13,'Specialisation Impact'!$AL$19:$AL$186,"&lt;=5")/MIN(5,P13)+'Specialisation Scenarios'!$X$17*SUMIFS('Specialisation Impact'!$AK$19:$AK$186,'Specialisation Impact'!$A$19:$A$186,N13,'Specialisation Impact'!$AL$19:$AL$186,"&lt;=15")/MIN(15,P13)+'Specialisation Scenarios'!$X$18*SUMIFS('Specialisation Impact'!$AK$19:$AK$186,'Specialisation Impact'!$A$19:$A$186,N13)/P13</x:f>
        <x:v>83.18091168091166</x:v>
      </x:c>
      <x:c r="V13" s="624" t="n">
        <x:f>'Specialisation Rankings'!$O$23+(R13-'Specialisation Rankings'!$O$23)*Q13</x:f>
        <x:v>77.24452286843592</x:v>
      </x:c>
      <x:c r="W13" s="624" t="n">
        <x:f>'Specialisation Rankings'!$O$23+(S13-'Specialisation Rankings'!$O$23)*Q13</x:f>
        <x:v>70.73500846979108</x:v>
      </x:c>
      <x:c r="X13" s="624" t="n">
        <x:f>'Specialisation Rankings'!$O$23+(T13-'Specialisation Rankings'!$O$23)*Q13</x:f>
        <x:v>75.42453416149068</x:v>
      </x:c>
      <x:c r="Y13" s="624" t="n">
        <x:f>'Specialisation Rankings'!$O$23+(U13-'Specialisation Rankings'!$O$23)*Q13</x:f>
        <x:v>80.2956150130063</x:v>
      </x:c>
      <x:c r="Z13" s="624" t="n">
        <x:f>V13*$O$18+W13*$O$19+X13*$O$20+Y13*$O$21</x:f>
        <x:v>76.6256823369867</x:v>
      </x:c>
      <x:c r="AA13" s="619" t="n">
        <x:f>COUNTIF($Z$6:$Z$13,"&gt;"&amp;Z13)+COUNTIF($Z$6:Z13,Z13)</x:f>
        <x:v>5</x:v>
      </x:c>
      <x:c r="AB13" s="619" t="str">
        <x:f>IF(Q13&lt;$O$24,"Provisional — player capture under 80%",IF(Q13&lt;1,"Usable — uncaptured players neutral","Full player capture"))</x:f>
        <x:v>Usable — uncaptured players neutral</x:v>
      </x:c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</x:row>
    <x:row r="15">
      <x:c r="A15" s="613" t="str">
        <x:v>Player Specialisation Ranking — recorded model players</x:v>
      </x:c>
      <x:c r="B15" s="613"/>
      <x:c r="C15" s="613"/>
      <x:c r="D15" s="613"/>
      <x:c r="E15" s="613"/>
      <x:c r="F15" s="613"/>
      <x:c r="G15" s="613"/>
      <x:c r="H15" s="613"/>
      <x:c r="I15" s="613"/>
      <x:c r="J15" s="613"/>
      <x:c r="K15" s="613"/>
      <x:c r="L15" s="613"/>
      <x:c r="M15" s="613"/>
      <x:c r="N15" s="613" t="str">
        <x:v>Model Weights</x:v>
      </x:c>
      <x:c r="O15" s="613"/>
      <x:c r="P15" s="613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</x:row>
    <x:row r="16" ht="44" customHeight="1">
      <x:c r="A16" s="600" t="str">
        <x:v>Global Rank</x:v>
      </x:c>
      <x:c r="B16" s="600" t="str">
        <x:v>Kingdom Rank</x:v>
      </x:c>
      <x:c r="C16" s="600" t="str">
        <x:v>Kingdom</x:v>
      </x:c>
      <x:c r="D16" s="600" t="str">
        <x:v>Player</x:v>
      </x:c>
      <x:c r="E16" s="600" t="str">
        <x:v>Overall Spec</x:v>
      </x:c>
      <x:c r="F16" s="600" t="str">
        <x:v>Cavalry</x:v>
      </x:c>
      <x:c r="G16" s="600" t="str">
        <x:v>Archers</x:v>
      </x:c>
      <x:c r="H16" s="600" t="str">
        <x:v>Siege</x:v>
      </x:c>
      <x:c r="I16" s="600" t="str">
        <x:v>Guards</x:v>
      </x:c>
      <x:c r="J16" s="600" t="str">
        <x:v>Offensive Skills</x:v>
      </x:c>
      <x:c r="K16" s="600" t="str">
        <x:v>Total Badges</x:v>
      </x:c>
      <x:c r="L16" s="600" t="str">
        <x:v>Lookup Coverage</x:v>
      </x:c>
      <x:c r="M16" s="600" t="str">
        <x:v>Status</x:v>
      </x:c>
      <x:c r="N16" s="27" t="str">
        <x:v>Effect share</x:v>
      </x:c>
      <x:c r="O16" s="566" t="n">
        <x:v>0.8</x:v>
      </x:c>
      <x:c r="P16" s="27" t="str">
        <x:v>Looked-up current-level effect</x:v>
      </x:c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</x:row>
    <x:row r="17">
      <x:c r="A17" s="620" t="n">
        <x:v>1</x:v>
      </x:c>
      <x:c r="B17" s="620" t="n">
        <x:f>INDEX('Specialisation Impact'!$AN$19:$AN$186,MATCH(A17,'Specialisation Impact'!$AO$19:$AO$186,0))</x:f>
        <x:v>1</x:v>
      </x:c>
      <x:c r="C17" s="620" t="str">
        <x:f>INDEX('Specialisation Impact'!$A$19:$A$186,MATCH(A17,'Specialisation Impact'!$AO$19:$AO$186,0))</x:f>
        <x:v>K197</x:v>
      </x:c>
      <x:c r="D17" s="620" t="str">
        <x:v>Хлебушек</x:v>
      </x:c>
      <x:c r="E17" s="629" t="n">
        <x:f>INDEX('Specialisation Impact'!$AM$19:$AM$186,MATCH(A17,'Specialisation Impact'!$AO$19:$AO$186,0))</x:f>
        <x:v>98.4980574980575</x:v>
      </x:c>
      <x:c r="F17" s="629" t="n">
        <x:f>INDEX('Specialisation Impact'!$AC$19:$AC$186,MATCH(A17,'Specialisation Impact'!$AO$19:$AO$186,0))</x:f>
        <x:v>99.22077922077922</x:v>
      </x:c>
      <x:c r="G17" s="629" t="n">
        <x:f>INDEX('Specialisation Impact'!$AF$19:$AF$186,MATCH(A17,'Specialisation Impact'!$AO$19:$AO$186,0))</x:f>
        <x:v>100</x:v>
      </x:c>
      <x:c r="H17" s="629" t="n">
        <x:f>INDEX('Specialisation Impact'!$AI$19:$AI$186,MATCH(A17,'Specialisation Impact'!$AO$19:$AO$186,0))</x:f>
        <x:v>97.92207792207793</x:v>
      </x:c>
      <x:c r="I17" s="629" t="n">
        <x:f>INDEX('Specialisation Impact'!$AK$19:$AK$186,MATCH(A17,'Specialisation Impact'!$AO$19:$AO$186,0))</x:f>
        <x:v>93.16239316239316</x:v>
      </x:c>
      <x:c r="J17" s="620" t="n">
        <x:f>INDEX('Specialisation Impact'!$E$19:$E$186,MATCH(A17,'Specialisation Impact'!$AO$19:$AO$186,0))</x:f>
        <x:v>5</x:v>
      </x:c>
      <x:c r="K17" s="630" t="n">
        <x:f>INDEX('Specialisation Impact'!$O$19:$O$186,MATCH(A17,'Specialisation Impact'!$AO$19:$AO$186,0))</x:f>
        <x:v>62005800</x:v>
      </x:c>
      <x:c r="L17" s="634" t="n">
        <x:f>INDEX('Specialisation Impact'!$F$19:$F$186,MATCH(A17,'Specialisation Impact'!$AO$19:$AO$186,0))</x:f>
        <x:v>1</x:v>
      </x:c>
      <x:c r="M17" s="620" t="str">
        <x:f>INDEX('Specialisation Impact'!$AA$19:$AA$186,MATCH(A17,'Specialisation Impact'!$AO$19:$AO$186,0))</x:f>
        <x:v>Recorded skills only</x:v>
      </x:c>
      <x:c r="N17" s="27" t="str">
        <x:v>Badge share</x:v>
      </x:c>
      <x:c r="O17" s="566" t="n">
        <x:v>0.2</x:v>
      </x:c>
      <x:c r="P17" s="27" t="str">
        <x:v>Investment depth</x:v>
      </x:c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</x:row>
    <x:row r="18">
      <x:c r="A18" s="618" t="n">
        <x:v>2</x:v>
      </x:c>
      <x:c r="B18" s="618" t="n">
        <x:f>INDEX('Specialisation Impact'!$AN$19:$AN$186,MATCH(A18,'Specialisation Impact'!$AO$19:$AO$186,0))</x:f>
        <x:v>1</x:v>
      </x:c>
      <x:c r="C18" s="618" t="str">
        <x:f>INDEX('Specialisation Impact'!$A$19:$A$186,MATCH(A18,'Specialisation Impact'!$AO$19:$AO$186,0))</x:f>
        <x:v>K54</x:v>
      </x:c>
      <x:c r="D18" s="618" t="str">
        <x:v>纵横,,,杀戮</x:v>
      </x:c>
      <x:c r="E18" s="623" t="n">
        <x:f>INDEX('Specialisation Impact'!$AM$19:$AM$186,MATCH(A18,'Specialisation Impact'!$AO$19:$AO$186,0))</x:f>
        <x:v>93.23376623376623</x:v>
      </x:c>
      <x:c r="F18" s="623" t="n">
        <x:f>INDEX('Specialisation Impact'!$AC$19:$AC$186,MATCH(A18,'Specialisation Impact'!$AO$19:$AO$186,0))</x:f>
        <x:v>99.0909090909091</x:v>
      </x:c>
      <x:c r="G18" s="623" t="n">
        <x:f>INDEX('Specialisation Impact'!$AF$19:$AF$186,MATCH(A18,'Specialisation Impact'!$AO$19:$AO$186,0))</x:f>
        <x:v>91.55844155844156</x:v>
      </x:c>
      <x:c r="H18" s="623" t="n">
        <x:f>INDEX('Specialisation Impact'!$AI$19:$AI$186,MATCH(A18,'Specialisation Impact'!$AO$19:$AO$186,0))</x:f>
        <x:v>97.7922077922078</x:v>
      </x:c>
      <x:c r="I18" s="623" t="n">
        <x:f>INDEX('Specialisation Impact'!$AK$19:$AK$186,MATCH(A18,'Specialisation Impact'!$AO$19:$AO$186,0))</x:f>
        <x:v>50</x:v>
      </x:c>
      <x:c r="J18" s="618" t="n">
        <x:f>INDEX('Specialisation Impact'!$E$19:$E$186,MATCH(A18,'Specialisation Impact'!$AO$19:$AO$186,0))</x:f>
        <x:v>4</x:v>
      </x:c>
      <x:c r="K18" s="631" t="n">
        <x:f>INDEX('Specialisation Impact'!$O$19:$O$186,MATCH(A18,'Specialisation Impact'!$AO$19:$AO$186,0))</x:f>
        <x:v>41337200</x:v>
      </x:c>
      <x:c r="L18" s="627" t="n">
        <x:f>INDEX('Specialisation Impact'!$F$19:$F$186,MATCH(A18,'Specialisation Impact'!$AO$19:$AO$186,0))</x:f>
        <x:v>1</x:v>
      </x:c>
      <x:c r="M18" s="618" t="str">
        <x:f>INDEX('Specialisation Impact'!$AA$19:$AA$186,MATCH(A18,'Specialisation Impact'!$AO$19:$AO$186,0))</x:f>
        <x:v>Recorded skills only</x:v>
      </x:c>
      <x:c r="N18" s="27" t="str">
        <x:v>Cavalry share</x:v>
      </x:c>
      <x:c r="O18" s="566" t="n">
        <x:v>0.65</x:v>
      </x:c>
      <x:c r="P18" s="27" t="str">
        <x:v>Dominant battle unit</x:v>
      </x:c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</x:row>
    <x:row r="19">
      <x:c r="A19" s="617" t="n">
        <x:v>3</x:v>
      </x:c>
      <x:c r="B19" s="617" t="n">
        <x:f>INDEX('Specialisation Impact'!$AN$19:$AN$186,MATCH(A19,'Specialisation Impact'!$AO$19:$AO$186,0))</x:f>
        <x:v>2</x:v>
      </x:c>
      <x:c r="C19" s="617" t="str">
        <x:f>INDEX('Specialisation Impact'!$A$19:$A$186,MATCH(A19,'Specialisation Impact'!$AO$19:$AO$186,0))</x:f>
        <x:v>K197</x:v>
      </x:c>
      <x:c r="D19" s="617" t="str">
        <x:v>-GAMERMAN-</x:v>
      </x:c>
      <x:c r="E19" s="622" t="n">
        <x:f>INDEX('Specialisation Impact'!$AM$19:$AM$186,MATCH(A19,'Specialisation Impact'!$AO$19:$AO$186,0))</x:f>
        <x:v>91.46753246753248</x:v>
      </x:c>
      <x:c r="F19" s="622" t="n">
        <x:f>INDEX('Specialisation Impact'!$AC$19:$AC$186,MATCH(A19,'Specialisation Impact'!$AO$19:$AO$186,0))</x:f>
        <x:v>97.66233766233768</x:v>
      </x:c>
      <x:c r="G19" s="622" t="n">
        <x:f>INDEX('Specialisation Impact'!$AF$19:$AF$186,MATCH(A19,'Specialisation Impact'!$AO$19:$AO$186,0))</x:f>
        <x:v>83.37662337662339</x:v>
      </x:c>
      <x:c r="H19" s="622" t="n">
        <x:f>INDEX('Specialisation Impact'!$AI$19:$AI$186,MATCH(A19,'Specialisation Impact'!$AO$19:$AO$186,0))</x:f>
        <x:v>97.66233766233768</x:v>
      </x:c>
      <x:c r="I19" s="622" t="n">
        <x:f>INDEX('Specialisation Impact'!$AK$19:$AK$186,MATCH(A19,'Specialisation Impact'!$AO$19:$AO$186,0))</x:f>
        <x:v>50</x:v>
      </x:c>
      <x:c r="J19" s="617" t="n">
        <x:f>INDEX('Specialisation Impact'!$E$19:$E$186,MATCH(A19,'Specialisation Impact'!$AO$19:$AO$186,0))</x:f>
        <x:v>4</x:v>
      </x:c>
      <x:c r="K19" s="632" t="n">
        <x:f>INDEX('Specialisation Impact'!$O$19:$O$186,MATCH(A19,'Specialisation Impact'!$AO$19:$AO$186,0))</x:f>
        <x:v>35937200</x:v>
      </x:c>
      <x:c r="L19" s="626" t="n">
        <x:f>INDEX('Specialisation Impact'!$F$19:$F$186,MATCH(A19,'Specialisation Impact'!$AO$19:$AO$186,0))</x:f>
        <x:v>1</x:v>
      </x:c>
      <x:c r="M19" s="617" t="str">
        <x:f>INDEX('Specialisation Impact'!$AA$19:$AA$186,MATCH(A19,'Specialisation Impact'!$AO$19:$AO$186,0))</x:f>
        <x:v>Recorded skills only</x:v>
      </x:c>
      <x:c r="N19" s="27" t="str">
        <x:v>Archer share</x:v>
      </x:c>
      <x:c r="O19" s="566" t="n">
        <x:v>0.1</x:v>
      </x:c>
      <x:c r="P19" s="27" t="str">
        <x:v>Supporting damage unit</x:v>
      </x:c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</x:row>
    <x:row r="20">
      <x:c r="A20" s="618" t="n">
        <x:v>4</x:v>
      </x:c>
      <x:c r="B20" s="618" t="n">
        <x:f>INDEX('Specialisation Impact'!$AN$19:$AN$186,MATCH(A20,'Specialisation Impact'!$AO$19:$AO$186,0))</x:f>
        <x:v>1</x:v>
      </x:c>
      <x:c r="C20" s="618" t="str">
        <x:f>INDEX('Specialisation Impact'!$A$19:$A$186,MATCH(A20,'Specialisation Impact'!$AO$19:$AO$186,0))</x:f>
        <x:v>K176</x:v>
      </x:c>
      <x:c r="D20" s="618" t="str">
        <x:v>苟拓通天肆意妄为</x:v>
      </x:c>
      <x:c r="E20" s="623" t="n">
        <x:f>INDEX('Specialisation Impact'!$AM$19:$AM$186,MATCH(A20,'Specialisation Impact'!$AO$19:$AO$186,0))</x:f>
        <x:v>90.43312243312243</x:v>
      </x:c>
      <x:c r="F20" s="623" t="n">
        <x:f>INDEX('Specialisation Impact'!$AC$19:$AC$186,MATCH(A20,'Specialisation Impact'!$AO$19:$AO$186,0))</x:f>
        <x:v>90</x:v>
      </x:c>
      <x:c r="G20" s="623" t="n">
        <x:f>INDEX('Specialisation Impact'!$AF$19:$AF$186,MATCH(A20,'Specialisation Impact'!$AO$19:$AO$186,0))</x:f>
        <x:v>82.98701298701299</x:v>
      </x:c>
      <x:c r="H20" s="623" t="n">
        <x:f>INDEX('Specialisation Impact'!$AI$19:$AI$186,MATCH(A20,'Specialisation Impact'!$AO$19:$AO$186,0))</x:f>
        <x:v>95.45454545454545</x:v>
      </x:c>
      <x:c r="I20" s="623" t="n">
        <x:f>INDEX('Specialisation Impact'!$AK$19:$AK$186,MATCH(A20,'Specialisation Impact'!$AO$19:$AO$186,0))</x:f>
        <x:v>93.16239316239316</x:v>
      </x:c>
      <x:c r="J20" s="618" t="n">
        <x:f>INDEX('Specialisation Impact'!$E$19:$E$186,MATCH(A20,'Specialisation Impact'!$AO$19:$AO$186,0))</x:f>
        <x:v>4</x:v>
      </x:c>
      <x:c r="K20" s="631" t="n">
        <x:f>INDEX('Specialisation Impact'!$O$19:$O$186,MATCH(A20,'Specialisation Impact'!$AO$19:$AO$186,0))</x:f>
        <x:v>38071500</x:v>
      </x:c>
      <x:c r="L20" s="627" t="n">
        <x:f>INDEX('Specialisation Impact'!$F$19:$F$186,MATCH(A20,'Specialisation Impact'!$AO$19:$AO$186,0))</x:f>
        <x:v>1</x:v>
      </x:c>
      <x:c r="M20" s="618" t="str">
        <x:f>INDEX('Specialisation Impact'!$AA$19:$AA$186,MATCH(A20,'Specialisation Impact'!$AO$19:$AO$186,0))</x:f>
        <x:v>Recorded skills only</x:v>
      </x:c>
      <x:c r="N20" s="27" t="str">
        <x:v>Siege share</x:v>
      </x:c>
      <x:c r="O20" s="566" t="n">
        <x:v>0.15</x:v>
      </x:c>
      <x:c r="P20" s="27" t="str">
        <x:v>Supporting damage unit</x:v>
      </x:c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</x:row>
    <x:row r="21">
      <x:c r="A21" s="617" t="n">
        <x:v>5</x:v>
      </x:c>
      <x:c r="B21" s="617" t="n">
        <x:f>INDEX('Specialisation Impact'!$AN$19:$AN$186,MATCH(A21,'Specialisation Impact'!$AO$19:$AO$186,0))</x:f>
        <x:v>1</x:v>
      </x:c>
      <x:c r="C21" s="617" t="str">
        <x:f>INDEX('Specialisation Impact'!$A$19:$A$186,MATCH(A21,'Specialisation Impact'!$AO$19:$AO$186,0))</x:f>
        <x:v>K116</x:v>
      </x:c>
      <x:c r="D21" s="617" t="str">
        <x:v>Jesse</x:v>
      </x:c>
      <x:c r="E21" s="622" t="n">
        <x:f>INDEX('Specialisation Impact'!$AM$19:$AM$186,MATCH(A21,'Specialisation Impact'!$AO$19:$AO$186,0))</x:f>
        <x:v>89.09546009546011</x:v>
      </x:c>
      <x:c r="F21" s="622" t="n">
        <x:f>INDEX('Specialisation Impact'!$AC$19:$AC$186,MATCH(A21,'Specialisation Impact'!$AO$19:$AO$186,0))</x:f>
        <x:v>91.94805194805195</x:v>
      </x:c>
      <x:c r="G21" s="622" t="n">
        <x:f>INDEX('Specialisation Impact'!$AF$19:$AF$186,MATCH(A21,'Specialisation Impact'!$AO$19:$AO$186,0))</x:f>
        <x:v>67.27272727272728</x:v>
      </x:c>
      <x:c r="H21" s="622" t="n">
        <x:f>INDEX('Specialisation Impact'!$AI$19:$AI$186,MATCH(A21,'Specialisation Impact'!$AO$19:$AO$186,0))</x:f>
        <x:v>88.57142857142857</x:v>
      </x:c>
      <x:c r="I21" s="622" t="n">
        <x:f>INDEX('Specialisation Impact'!$AK$19:$AK$186,MATCH(A21,'Specialisation Impact'!$AO$19:$AO$186,0))</x:f>
        <x:v>93.16239316239316</x:v>
      </x:c>
      <x:c r="J21" s="617" t="n">
        <x:f>INDEX('Specialisation Impact'!$E$19:$E$186,MATCH(A21,'Specialisation Impact'!$AO$19:$AO$186,0))</x:f>
        <x:v>5</x:v>
      </x:c>
      <x:c r="K21" s="632" t="n">
        <x:f>INDEX('Specialisation Impact'!$O$19:$O$186,MATCH(A21,'Specialisation Impact'!$AO$19:$AO$186,0))</x:f>
        <x:v>31530800</x:v>
      </x:c>
      <x:c r="L21" s="626" t="n">
        <x:f>INDEX('Specialisation Impact'!$F$19:$F$186,MATCH(A21,'Specialisation Impact'!$AO$19:$AO$186,0))</x:f>
        <x:v>1</x:v>
      </x:c>
      <x:c r="M21" s="617" t="str">
        <x:f>INDEX('Specialisation Impact'!$AA$19:$AA$186,MATCH(A21,'Specialisation Impact'!$AO$19:$AO$186,0))</x:f>
        <x:v>Recorded skills only</x:v>
      </x:c>
      <x:c r="N21" s="27" t="str">
        <x:v>Guard share</x:v>
      </x:c>
      <x:c r="O21" s="566" t="n">
        <x:v>0.1</x:v>
      </x:c>
      <x:c r="P21" s="27" t="str">
        <x:v>Defensive specialisation</x:v>
      </x:c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</x:row>
    <x:row r="22">
      <x:c r="A22" s="618" t="n">
        <x:v>6</x:v>
      </x:c>
      <x:c r="B22" s="618" t="n">
        <x:f>INDEX('Specialisation Impact'!$AN$19:$AN$186,MATCH(A22,'Specialisation Impact'!$AO$19:$AO$186,0))</x:f>
        <x:v>2</x:v>
      </x:c>
      <x:c r="C22" s="618" t="str">
        <x:f>INDEX('Specialisation Impact'!$A$19:$A$186,MATCH(A22,'Specialisation Impact'!$AO$19:$AO$186,0))</x:f>
        <x:v>K54</x:v>
      </x:c>
      <x:c r="D22" s="618" t="str">
        <x:v>纵横,,,大风</x:v>
      </x:c>
      <x:c r="E22" s="623" t="n">
        <x:f>INDEX('Specialisation Impact'!$AM$19:$AM$186,MATCH(A22,'Specialisation Impact'!$AO$19:$AO$186,0))</x:f>
        <x:v>89.01298701298703</x:v>
      </x:c>
      <x:c r="F22" s="623" t="n">
        <x:f>INDEX('Specialisation Impact'!$AC$19:$AC$186,MATCH(A22,'Specialisation Impact'!$AO$19:$AO$186,0))</x:f>
        <x:v>93.11688311688312</x:v>
      </x:c>
      <x:c r="G22" s="623" t="n">
        <x:f>INDEX('Specialisation Impact'!$AF$19:$AF$186,MATCH(A22,'Specialisation Impact'!$AO$19:$AO$186,0))</x:f>
        <x:v>91.2987012987013</x:v>
      </x:c>
      <x:c r="H22" s="623" t="n">
        <x:f>INDEX('Specialisation Impact'!$AI$19:$AI$186,MATCH(A22,'Specialisation Impact'!$AO$19:$AO$186,0))</x:f>
        <x:v>95.71428571428572</x:v>
      </x:c>
      <x:c r="I22" s="623" t="n">
        <x:f>INDEX('Specialisation Impact'!$AK$19:$AK$186,MATCH(A22,'Specialisation Impact'!$AO$19:$AO$186,0))</x:f>
        <x:v>50</x:v>
      </x:c>
      <x:c r="J22" s="618" t="n">
        <x:f>INDEX('Specialisation Impact'!$E$19:$E$186,MATCH(A22,'Specialisation Impact'!$AO$19:$AO$186,0))</x:f>
        <x:v>4</x:v>
      </x:c>
      <x:c r="K22" s="631" t="n">
        <x:f>INDEX('Specialisation Impact'!$O$19:$O$186,MATCH(A22,'Specialisation Impact'!$AO$19:$AO$186,0))</x:f>
        <x:v>32607200</x:v>
      </x:c>
      <x:c r="L22" s="627" t="n">
        <x:f>INDEX('Specialisation Impact'!$F$19:$F$186,MATCH(A22,'Specialisation Impact'!$AO$19:$AO$186,0))</x:f>
        <x:v>1</x:v>
      </x:c>
      <x:c r="M22" s="618" t="str">
        <x:f>INDEX('Specialisation Impact'!$AA$19:$AA$186,MATCH(A22,'Specialisation Impact'!$AO$19:$AO$186,0))</x:f>
        <x:v>Recorded skills only</x:v>
      </x:c>
      <x:c r="N22" s="27" t="str">
        <x:v>Active model weight</x:v>
      </x:c>
      <x:c r="O22" s="566" t="n">
        <x:f>'Specialisation Scenarios'!$B$8</x:f>
        <x:v>0.25</x:v>
      </x:c>
      <x:c r="P22" s="27" t="str">
        <x:v>Share of overall kingdom strength</x:v>
      </x:c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</x:row>
    <x:row r="23">
      <x:c r="A23" s="617" t="n">
        <x:v>7</x:v>
      </x:c>
      <x:c r="B23" s="617" t="n">
        <x:f>INDEX('Specialisation Impact'!$AN$19:$AN$186,MATCH(A23,'Specialisation Impact'!$AO$19:$AO$186,0))</x:f>
        <x:v>1</x:v>
      </x:c>
      <x:c r="C23" s="617" t="str">
        <x:f>INDEX('Specialisation Impact'!$A$19:$A$186,MATCH(A23,'Specialisation Impact'!$AO$19:$AO$186,0))</x:f>
        <x:v>K91</x:v>
      </x:c>
      <x:c r="D23" s="617" t="str">
        <x:v>•Pain•</x:v>
      </x:c>
      <x:c r="E23" s="622" t="n">
        <x:f>INDEX('Specialisation Impact'!$AM$19:$AM$186,MATCH(A23,'Specialisation Impact'!$AO$19:$AO$186,0))</x:f>
        <x:v>88.31168831168831</x:v>
      </x:c>
      <x:c r="F23" s="622" t="n">
        <x:f>INDEX('Specialisation Impact'!$AC$19:$AC$186,MATCH(A23,'Specialisation Impact'!$AO$19:$AO$186,0))</x:f>
        <x:v>95.06493506493507</x:v>
      </x:c>
      <x:c r="G23" s="622" t="n">
        <x:f>INDEX('Specialisation Impact'!$AF$19:$AF$186,MATCH(A23,'Specialisation Impact'!$AO$19:$AO$186,0))</x:f>
        <x:v>73.76623376623378</x:v>
      </x:c>
      <x:c r="H23" s="622" t="n">
        <x:f>INDEX('Specialisation Impact'!$AI$19:$AI$186,MATCH(A23,'Specialisation Impact'!$AO$19:$AO$186,0))</x:f>
        <x:v>94.28571428571429</x:v>
      </x:c>
      <x:c r="I23" s="622" t="n">
        <x:f>INDEX('Specialisation Impact'!$AK$19:$AK$186,MATCH(A23,'Specialisation Impact'!$AO$19:$AO$186,0))</x:f>
        <x:v>50</x:v>
      </x:c>
      <x:c r="J23" s="617" t="n">
        <x:f>INDEX('Specialisation Impact'!$E$19:$E$186,MATCH(A23,'Specialisation Impact'!$AO$19:$AO$186,0))</x:f>
        <x:v>5</x:v>
      </x:c>
      <x:c r="K23" s="632" t="n">
        <x:f>INDEX('Specialisation Impact'!$O$19:$O$186,MATCH(A23,'Specialisation Impact'!$AO$19:$AO$186,0))</x:f>
        <x:v>24521500</x:v>
      </x:c>
      <x:c r="L23" s="626" t="n">
        <x:f>INDEX('Specialisation Impact'!$F$19:$F$186,MATCH(A23,'Specialisation Impact'!$AO$19:$AO$186,0))</x:f>
        <x:v>1</x:v>
      </x:c>
      <x:c r="M23" s="617" t="str">
        <x:f>INDEX('Specialisation Impact'!$AA$19:$AA$186,MATCH(A23,'Specialisation Impact'!$AO$19:$AO$186,0))</x:f>
        <x:v>Recorded skills only</x:v>
      </x:c>
      <x:c r="N23" s="27" t="str">
        <x:v>Missing player neutral</x:v>
      </x:c>
      <x:c r="O23" s="27" t="n">
        <x:v>50</x:v>
      </x:c>
      <x:c r="P23" s="27" t="str">
        <x:v>No captured player profile</x:v>
      </x:c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</x:row>
    <x:row r="24">
      <x:c r="A24" s="618" t="n">
        <x:v>8</x:v>
      </x:c>
      <x:c r="B24" s="618" t="n">
        <x:f>INDEX('Specialisation Impact'!$AN$19:$AN$186,MATCH(A24,'Specialisation Impact'!$AO$19:$AO$186,0))</x:f>
        <x:v>1</x:v>
      </x:c>
      <x:c r="C24" s="618" t="str">
        <x:f>INDEX('Specialisation Impact'!$A$19:$A$186,MATCH(A24,'Specialisation Impact'!$AO$19:$AO$186,0))</x:f>
        <x:v>K138</x:v>
      </x:c>
      <x:c r="D24" s="618" t="str">
        <x:v>(RaW)Critykal</x:v>
      </x:c>
      <x:c r="E24" s="623" t="n">
        <x:f>INDEX('Specialisation Impact'!$AM$19:$AM$186,MATCH(A24,'Specialisation Impact'!$AO$19:$AO$186,0))</x:f>
        <x:v>86.87012987012987</x:v>
      </x:c>
      <x:c r="F24" s="623" t="n">
        <x:f>INDEX('Specialisation Impact'!$AC$19:$AC$186,MATCH(A24,'Specialisation Impact'!$AO$19:$AO$186,0))</x:f>
        <x:v>98.44155844155844</x:v>
      </x:c>
      <x:c r="G24" s="623" t="n">
        <x:f>INDEX('Specialisation Impact'!$AF$19:$AF$186,MATCH(A24,'Specialisation Impact'!$AO$19:$AO$186,0))</x:f>
        <x:v>52.98701298701299</x:v>
      </x:c>
      <x:c r="H24" s="623" t="n">
        <x:f>INDEX('Specialisation Impact'!$AI$19:$AI$186,MATCH(A24,'Specialisation Impact'!$AO$19:$AO$186,0))</x:f>
        <x:v>83.89610389610391</x:v>
      </x:c>
      <x:c r="I24" s="623" t="n">
        <x:f>INDEX('Specialisation Impact'!$AK$19:$AK$186,MATCH(A24,'Specialisation Impact'!$AO$19:$AO$186,0))</x:f>
        <x:v>50</x:v>
      </x:c>
      <x:c r="J24" s="618" t="n">
        <x:f>INDEX('Specialisation Impact'!$E$19:$E$186,MATCH(A24,'Specialisation Impact'!$AO$19:$AO$186,0))</x:f>
        <x:v>4</x:v>
      </x:c>
      <x:c r="K24" s="631" t="n">
        <x:f>INDEX('Specialisation Impact'!$O$19:$O$186,MATCH(A24,'Specialisation Impact'!$AO$19:$AO$186,0))</x:f>
        <x:v>25157200</x:v>
      </x:c>
      <x:c r="L24" s="627" t="n">
        <x:f>INDEX('Specialisation Impact'!$F$19:$F$186,MATCH(A24,'Specialisation Impact'!$AO$19:$AO$186,0))</x:f>
        <x:v>1</x:v>
      </x:c>
      <x:c r="M24" s="618" t="str">
        <x:f>INDEX('Specialisation Impact'!$AA$19:$AA$186,MATCH(A24,'Specialisation Impact'!$AO$19:$AO$186,0))</x:f>
        <x:v>Recorded skills only</x:v>
      </x:c>
      <x:c r="N24" s="27" t="str">
        <x:v>Minimum usable coverage</x:v>
      </x:c>
      <x:c r="O24" s="566" t="n">
        <x:v>0.8</x:v>
      </x:c>
      <x:c r="P24" s="27" t="str">
        <x:v>Below this is provisional</x:v>
      </x:c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</x:row>
    <x:row r="25">
      <x:c r="A25" s="617" t="n">
        <x:v>9</x:v>
      </x:c>
      <x:c r="B25" s="617" t="n">
        <x:f>INDEX('Specialisation Impact'!$AN$19:$AN$186,MATCH(A25,'Specialisation Impact'!$AO$19:$AO$186,0))</x:f>
        <x:v>2</x:v>
      </x:c>
      <x:c r="C25" s="617" t="str">
        <x:f>INDEX('Specialisation Impact'!$A$19:$A$186,MATCH(A25,'Specialisation Impact'!$AO$19:$AO$186,0))</x:f>
        <x:v>K176</x:v>
      </x:c>
      <x:c r="D25" s="617" t="str">
        <x:v>༺璀璨星辰༻</x:v>
      </x:c>
      <x:c r="E25" s="622" t="n">
        <x:f>INDEX('Specialisation Impact'!$AM$19:$AM$186,MATCH(A25,'Specialisation Impact'!$AO$19:$AO$186,0))</x:f>
        <x:v>86.5840825840826</x:v>
      </x:c>
      <x:c r="F25" s="622" t="n">
        <x:f>INDEX('Specialisation Impact'!$AC$19:$AC$186,MATCH(A25,'Specialisation Impact'!$AO$19:$AO$186,0))</x:f>
        <x:v>98.31168831168831</x:v>
      </x:c>
      <x:c r="G25" s="622" t="n">
        <x:f>INDEX('Specialisation Impact'!$AF$19:$AF$186,MATCH(A25,'Specialisation Impact'!$AO$19:$AO$186,0))</x:f>
        <x:v>28.441558441558442</x:v>
      </x:c>
      <x:c r="H25" s="622" t="n">
        <x:f>INDEX('Specialisation Impact'!$AI$19:$AI$186,MATCH(A25,'Specialisation Impact'!$AO$19:$AO$186,0))</x:f>
        <x:v>92.07792207792208</x:v>
      </x:c>
      <x:c r="I25" s="622" t="n">
        <x:f>INDEX('Specialisation Impact'!$AK$19:$AK$186,MATCH(A25,'Specialisation Impact'!$AO$19:$AO$186,0))</x:f>
        <x:v>60.25641025641025</x:v>
      </x:c>
      <x:c r="J25" s="617" t="n">
        <x:f>INDEX('Specialisation Impact'!$E$19:$E$186,MATCH(A25,'Specialisation Impact'!$AO$19:$AO$186,0))</x:f>
        <x:v>3</x:v>
      </x:c>
      <x:c r="K25" s="632" t="n">
        <x:f>INDEX('Specialisation Impact'!$O$19:$O$186,MATCH(A25,'Specialisation Impact'!$AO$19:$AO$186,0))</x:f>
        <x:v>29237200</x:v>
      </x:c>
      <x:c r="L25" s="626" t="n">
        <x:f>INDEX('Specialisation Impact'!$F$19:$F$186,MATCH(A25,'Specialisation Impact'!$AO$19:$AO$186,0))</x:f>
        <x:v>1</x:v>
      </x:c>
      <x:c r="M25" s="617" t="str">
        <x:f>INDEX('Specialisation Impact'!$AA$19:$AA$186,MATCH(A25,'Specialisation Impact'!$AO$19:$AO$186,0))</x:f>
        <x:v>Recorded skills only</x:v>
      </x:c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</x:row>
    <x:row r="26">
      <x:c r="A26" s="618" t="n">
        <x:v>10</x:v>
      </x:c>
      <x:c r="B26" s="618" t="n">
        <x:f>INDEX('Specialisation Impact'!$AN$19:$AN$186,MATCH(A26,'Specialisation Impact'!$AO$19:$AO$186,0))</x:f>
        <x:v>3</x:v>
      </x:c>
      <x:c r="C26" s="618" t="str">
        <x:f>INDEX('Specialisation Impact'!$A$19:$A$186,MATCH(A26,'Specialisation Impact'!$AO$19:$AO$186,0))</x:f>
        <x:v>K54</x:v>
      </x:c>
      <x:c r="D26" s="618" t="str">
        <x:v>ony</x:v>
      </x:c>
      <x:c r="E26" s="623" t="n">
        <x:f>INDEX('Specialisation Impact'!$AM$19:$AM$186,MATCH(A26,'Specialisation Impact'!$AO$19:$AO$186,0))</x:f>
        <x:v>86.22077922077922</x:v>
      </x:c>
      <x:c r="F26" s="623" t="n">
        <x:f>INDEX('Specialisation Impact'!$AC$19:$AC$186,MATCH(A26,'Specialisation Impact'!$AO$19:$AO$186,0))</x:f>
        <x:v>93.76623376623377</x:v>
      </x:c>
      <x:c r="G26" s="623" t="n">
        <x:f>INDEX('Specialisation Impact'!$AF$19:$AF$186,MATCH(A26,'Specialisation Impact'!$AO$19:$AO$186,0))</x:f>
        <x:v>67.53246753246754</x:v>
      </x:c>
      <x:c r="H26" s="623" t="n">
        <x:f>INDEX('Specialisation Impact'!$AI$19:$AI$186,MATCH(A26,'Specialisation Impact'!$AO$19:$AO$186,0))</x:f>
        <x:v>90.12987012987014</x:v>
      </x:c>
      <x:c r="I26" s="623" t="n">
        <x:f>INDEX('Specialisation Impact'!$AK$19:$AK$186,MATCH(A26,'Specialisation Impact'!$AO$19:$AO$186,0))</x:f>
        <x:v>50</x:v>
      </x:c>
      <x:c r="J26" s="618" t="n">
        <x:f>INDEX('Specialisation Impact'!$E$19:$E$186,MATCH(A26,'Specialisation Impact'!$AO$19:$AO$186,0))</x:f>
        <x:v>4</x:v>
      </x:c>
      <x:c r="K26" s="631" t="n">
        <x:f>INDEX('Specialisation Impact'!$O$19:$O$186,MATCH(A26,'Specialisation Impact'!$AO$19:$AO$186,0))</x:f>
        <x:v>22237200</x:v>
      </x:c>
      <x:c r="L26" s="627" t="n">
        <x:f>INDEX('Specialisation Impact'!$F$19:$F$186,MATCH(A26,'Specialisation Impact'!$AO$19:$AO$186,0))</x:f>
        <x:v>1</x:v>
      </x:c>
      <x:c r="M26" s="618" t="str">
        <x:f>INDEX('Specialisation Impact'!$AA$19:$AA$186,MATCH(A26,'Specialisation Impact'!$AO$19:$AO$186,0))</x:f>
        <x:v>Recorded skills only</x:v>
      </x:c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</x:row>
    <x:row r="27">
      <x:c r="A27" s="617" t="n">
        <x:v>11</x:v>
      </x:c>
      <x:c r="B27" s="617" t="n">
        <x:f>INDEX('Specialisation Impact'!$AN$19:$AN$186,MATCH(A27,'Specialisation Impact'!$AO$19:$AO$186,0))</x:f>
        <x:v>1</x:v>
      </x:c>
      <x:c r="C27" s="617" t="str">
        <x:f>INDEX('Specialisation Impact'!$A$19:$A$186,MATCH(A27,'Specialisation Impact'!$AO$19:$AO$186,0))</x:f>
        <x:v>K170</x:v>
      </x:c>
      <x:c r="D27" s="617" t="str">
        <x:v>(AOT)MG·Yu</x:v>
      </x:c>
      <x:c r="E27" s="622" t="n">
        <x:f>INDEX('Specialisation Impact'!$AM$19:$AM$186,MATCH(A27,'Specialisation Impact'!$AO$19:$AO$186,0))</x:f>
        <x:v>86.15184815184817</x:v>
      </x:c>
      <x:c r="F27" s="622" t="n">
        <x:f>INDEX('Specialisation Impact'!$AC$19:$AC$186,MATCH(A27,'Specialisation Impact'!$AO$19:$AO$186,0))</x:f>
        <x:v>91.81818181818183</x:v>
      </x:c>
      <x:c r="G27" s="622" t="n">
        <x:f>INDEX('Specialisation Impact'!$AF$19:$AF$186,MATCH(A27,'Specialisation Impact'!$AO$19:$AO$186,0))</x:f>
        <x:v>67.14285714285715</x:v>
      </x:c>
      <x:c r="H27" s="622" t="n">
        <x:f>INDEX('Specialisation Impact'!$AI$19:$AI$186,MATCH(A27,'Specialisation Impact'!$AO$19:$AO$186,0))</x:f>
        <x:v>82.987012987013</x:v>
      </x:c>
      <x:c r="I27" s="622" t="n">
        <x:f>INDEX('Specialisation Impact'!$AK$19:$AK$186,MATCH(A27,'Specialisation Impact'!$AO$19:$AO$186,0))</x:f>
        <x:v>73.07692307692308</x:v>
      </x:c>
      <x:c r="J27" s="617" t="n">
        <x:f>INDEX('Specialisation Impact'!$E$19:$E$186,MATCH(A27,'Specialisation Impact'!$AO$19:$AO$186,0))</x:f>
        <x:v>4</x:v>
      </x:c>
      <x:c r="K27" s="632" t="n">
        <x:f>INDEX('Specialisation Impact'!$O$19:$O$186,MATCH(A27,'Specialisation Impact'!$AO$19:$AO$186,0))</x:f>
        <x:v>25831500</x:v>
      </x:c>
      <x:c r="L27" s="626" t="n">
        <x:f>INDEX('Specialisation Impact'!$F$19:$F$186,MATCH(A27,'Specialisation Impact'!$AO$19:$AO$186,0))</x:f>
        <x:v>1</x:v>
      </x:c>
      <x:c r="M27" s="617" t="str">
        <x:f>INDEX('Specialisation Impact'!$AA$19:$AA$186,MATCH(A27,'Specialisation Impact'!$AO$19:$AO$186,0))</x:f>
        <x:v>Recorded skills only</x:v>
      </x:c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</x:row>
    <x:row r="28">
      <x:c r="A28" s="618" t="n">
        <x:v>12</x:v>
      </x:c>
      <x:c r="B28" s="618" t="n">
        <x:f>INDEX('Specialisation Impact'!$AN$19:$AN$186,MATCH(A28,'Specialisation Impact'!$AO$19:$AO$186,0))</x:f>
        <x:v>1</x:v>
      </x:c>
      <x:c r="C28" s="618" t="str">
        <x:f>INDEX('Specialisation Impact'!$A$19:$A$186,MATCH(A28,'Specialisation Impact'!$AO$19:$AO$186,0))</x:f>
        <x:v>K60</x:v>
      </x:c>
      <x:c r="D28" s="618" t="str">
        <x:v>#14 元气满满 (148,500)</x:v>
      </x:c>
      <x:c r="E28" s="623" t="n">
        <x:f>INDEX('Specialisation Impact'!$AM$19:$AM$186,MATCH(A28,'Specialisation Impact'!$AO$19:$AO$186,0))</x:f>
        <x:v>85.77922077922078</x:v>
      </x:c>
      <x:c r="F28" s="623" t="n">
        <x:f>INDEX('Specialisation Impact'!$AC$19:$AC$186,MATCH(A28,'Specialisation Impact'!$AO$19:$AO$186,0))</x:f>
        <x:v>91.42857142857142</x:v>
      </x:c>
      <x:c r="G28" s="623" t="n">
        <x:f>INDEX('Specialisation Impact'!$AF$19:$AF$186,MATCH(A28,'Specialisation Impact'!$AO$19:$AO$186,0))</x:f>
        <x:v>64.67532467532467</x:v>
      </x:c>
      <x:c r="H28" s="623" t="n">
        <x:f>INDEX('Specialisation Impact'!$AI$19:$AI$186,MATCH(A28,'Specialisation Impact'!$AO$19:$AO$186,0))</x:f>
        <x:v>99.22077922077924</x:v>
      </x:c>
      <x:c r="I28" s="623" t="n">
        <x:f>INDEX('Specialisation Impact'!$AK$19:$AK$186,MATCH(A28,'Specialisation Impact'!$AO$19:$AO$186,0))</x:f>
        <x:v>50</x:v>
      </x:c>
      <x:c r="J28" s="618" t="n">
        <x:f>INDEX('Specialisation Impact'!$E$19:$E$186,MATCH(A28,'Specialisation Impact'!$AO$19:$AO$186,0))</x:f>
        <x:v>5</x:v>
      </x:c>
      <x:c r="K28" s="631" t="n">
        <x:f>INDEX('Specialisation Impact'!$O$19:$O$186,MATCH(A28,'Specialisation Impact'!$AO$19:$AO$186,0))</x:f>
        <x:v>29641500</x:v>
      </x:c>
      <x:c r="L28" s="627" t="n">
        <x:f>INDEX('Specialisation Impact'!$F$19:$F$186,MATCH(A28,'Specialisation Impact'!$AO$19:$AO$186,0))</x:f>
        <x:v>1</x:v>
      </x:c>
      <x:c r="M28" s="618" t="str">
        <x:f>INDEX('Specialisation Impact'!$AA$19:$AA$186,MATCH(A28,'Specialisation Impact'!$AO$19:$AO$186,0))</x:f>
        <x:v>Recorded skills only</x:v>
      </x:c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</x:row>
    <x:row r="29">
      <x:c r="A29" s="617" t="n">
        <x:v>13</x:v>
      </x:c>
      <x:c r="B29" s="617" t="n">
        <x:f>INDEX('Specialisation Impact'!$AN$19:$AN$186,MATCH(A29,'Specialisation Impact'!$AO$19:$AO$186,0))</x:f>
        <x:v>3</x:v>
      </x:c>
      <x:c r="C29" s="617" t="str">
        <x:f>INDEX('Specialisation Impact'!$A$19:$A$186,MATCH(A29,'Specialisation Impact'!$AO$19:$AO$186,0))</x:f>
        <x:v>K176</x:v>
      </x:c>
      <x:c r="D29" s="617" t="str">
        <x:v>梦山河</x:v>
      </x:c>
      <x:c r="E29" s="622" t="n">
        <x:f>INDEX('Specialisation Impact'!$AM$19:$AM$186,MATCH(A29,'Specialisation Impact'!$AO$19:$AO$186,0))</x:f>
        <x:v>84.06460206460207</x:v>
      </x:c>
      <x:c r="F29" s="622" t="n">
        <x:f>INDEX('Specialisation Impact'!$AC$19:$AC$186,MATCH(A29,'Specialisation Impact'!$AO$19:$AO$186,0))</x:f>
        <x:v>95.19480519480521</x:v>
      </x:c>
      <x:c r="G29" s="622" t="n">
        <x:f>INDEX('Specialisation Impact'!$AF$19:$AF$186,MATCH(A29,'Specialisation Impact'!$AO$19:$AO$186,0))</x:f>
        <x:v>27.402597402597404</x:v>
      </x:c>
      <x:c r="H29" s="622" t="n">
        <x:f>INDEX('Specialisation Impact'!$AI$19:$AI$186,MATCH(A29,'Specialisation Impact'!$AO$19:$AO$186,0))</x:f>
        <x:v>89.48051948051949</x:v>
      </x:c>
      <x:c r="I29" s="622" t="n">
        <x:f>INDEX('Specialisation Impact'!$AK$19:$AK$186,MATCH(A29,'Specialisation Impact'!$AO$19:$AO$186,0))</x:f>
        <x:v>60.25641025641025</x:v>
      </x:c>
      <x:c r="J29" s="617" t="n">
        <x:f>INDEX('Specialisation Impact'!$E$19:$E$186,MATCH(A29,'Specialisation Impact'!$AO$19:$AO$186,0))</x:f>
        <x:v>3</x:v>
      </x:c>
      <x:c r="K29" s="632" t="n">
        <x:f>INDEX('Specialisation Impact'!$O$19:$O$186,MATCH(A29,'Specialisation Impact'!$AO$19:$AO$186,0))</x:f>
        <x:v>24677200</x:v>
      </x:c>
      <x:c r="L29" s="626" t="n">
        <x:f>INDEX('Specialisation Impact'!$F$19:$F$186,MATCH(A29,'Specialisation Impact'!$AO$19:$AO$186,0))</x:f>
        <x:v>1</x:v>
      </x:c>
      <x:c r="M29" s="617" t="str">
        <x:f>INDEX('Specialisation Impact'!$AA$19:$AA$186,MATCH(A29,'Specialisation Impact'!$AO$19:$AO$186,0))</x:f>
        <x:v>Recorded skills only</x:v>
      </x:c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</x:row>
    <x:row r="30">
      <x:c r="A30" s="618" t="n">
        <x:v>14</x:v>
      </x:c>
      <x:c r="B30" s="618" t="n">
        <x:f>INDEX('Specialisation Impact'!$AN$19:$AN$186,MATCH(A30,'Specialisation Impact'!$AO$19:$AO$186,0))</x:f>
        <x:v>4</x:v>
      </x:c>
      <x:c r="C30" s="618" t="str">
        <x:f>INDEX('Specialisation Impact'!$A$19:$A$186,MATCH(A30,'Specialisation Impact'!$AO$19:$AO$186,0))</x:f>
        <x:v>K176</x:v>
      </x:c>
      <x:c r="D30" s="618" t="str">
        <x:v>♱Seraphim織羽♱</x:v>
      </x:c>
      <x:c r="E30" s="623" t="n">
        <x:f>INDEX('Specialisation Impact'!$AM$19:$AM$186,MATCH(A30,'Specialisation Impact'!$AO$19:$AO$186,0))</x:f>
        <x:v>82.5840825840826</x:v>
      </x:c>
      <x:c r="F30" s="623" t="n">
        <x:f>INDEX('Specialisation Impact'!$AC$19:$AC$186,MATCH(A30,'Specialisation Impact'!$AO$19:$AO$186,0))</x:f>
        <x:v>94.67532467532469</x:v>
      </x:c>
      <x:c r="G30" s="623" t="n">
        <x:f>INDEX('Specialisation Impact'!$AF$19:$AF$186,MATCH(A30,'Specialisation Impact'!$AO$19:$AO$186,0))</x:f>
        <x:v>26.883116883116884</x:v>
      </x:c>
      <x:c r="H30" s="623" t="n">
        <x:f>INDEX('Specialisation Impact'!$AI$19:$AI$186,MATCH(A30,'Specialisation Impact'!$AO$19:$AO$186,0))</x:f>
        <x:v>82.20779220779222</x:v>
      </x:c>
      <x:c r="I30" s="623" t="n">
        <x:f>INDEX('Specialisation Impact'!$AK$19:$AK$186,MATCH(A30,'Specialisation Impact'!$AO$19:$AO$186,0))</x:f>
        <x:v>60.25641025641025</x:v>
      </x:c>
      <x:c r="J30" s="618" t="n">
        <x:f>INDEX('Specialisation Impact'!$E$19:$E$186,MATCH(A30,'Specialisation Impact'!$AO$19:$AO$186,0))</x:f>
        <x:v>3</x:v>
      </x:c>
      <x:c r="K30" s="631" t="n">
        <x:f>INDEX('Specialisation Impact'!$O$19:$O$186,MATCH(A30,'Specialisation Impact'!$AO$19:$AO$186,0))</x:f>
        <x:v>23197200</x:v>
      </x:c>
      <x:c r="L30" s="627" t="n">
        <x:f>INDEX('Specialisation Impact'!$F$19:$F$186,MATCH(A30,'Specialisation Impact'!$AO$19:$AO$186,0))</x:f>
        <x:v>1</x:v>
      </x:c>
      <x:c r="M30" s="618" t="str">
        <x:f>INDEX('Specialisation Impact'!$AA$19:$AA$186,MATCH(A30,'Specialisation Impact'!$AO$19:$AO$186,0))</x:f>
        <x:v>Recorded skills only</x:v>
      </x:c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</x:row>
    <x:row r="31">
      <x:c r="A31" s="617" t="n">
        <x:v>15</x:v>
      </x:c>
      <x:c r="B31" s="617" t="n">
        <x:f>INDEX('Specialisation Impact'!$AN$19:$AN$186,MATCH(A31,'Specialisation Impact'!$AO$19:$AO$186,0))</x:f>
        <x:v>2</x:v>
      </x:c>
      <x:c r="C31" s="617" t="str">
        <x:f>INDEX('Specialisation Impact'!$A$19:$A$186,MATCH(A31,'Specialisation Impact'!$AO$19:$AO$186,0))</x:f>
        <x:v>K138</x:v>
      </x:c>
      <x:c r="D31" s="617" t="str">
        <x:v>(RaW)SLAP</x:v>
      </x:c>
      <x:c r="E31" s="622" t="n">
        <x:f>INDEX('Specialisation Impact'!$AM$19:$AM$186,MATCH(A31,'Specialisation Impact'!$AO$19:$AO$186,0))</x:f>
        <x:v>81.19480519480521</x:v>
      </x:c>
      <x:c r="F31" s="622" t="n">
        <x:f>INDEX('Specialisation Impact'!$AC$19:$AC$186,MATCH(A31,'Specialisation Impact'!$AO$19:$AO$186,0))</x:f>
        <x:v>88.31168831168831</x:v>
      </x:c>
      <x:c r="G31" s="622" t="n">
        <x:f>INDEX('Specialisation Impact'!$AF$19:$AF$186,MATCH(A31,'Specialisation Impact'!$AO$19:$AO$186,0))</x:f>
        <x:v>59.740259740259745</x:v>
      </x:c>
      <x:c r="H31" s="622" t="n">
        <x:f>INDEX('Specialisation Impact'!$AI$19:$AI$186,MATCH(A31,'Specialisation Impact'!$AO$19:$AO$186,0))</x:f>
        <x:v>85.45454545454547</x:v>
      </x:c>
      <x:c r="I31" s="622" t="n">
        <x:f>INDEX('Specialisation Impact'!$AK$19:$AK$186,MATCH(A31,'Specialisation Impact'!$AO$19:$AO$186,0))</x:f>
        <x:v>50</x:v>
      </x:c>
      <x:c r="J31" s="617" t="n">
        <x:f>INDEX('Specialisation Impact'!$E$19:$E$186,MATCH(A31,'Specialisation Impact'!$AO$19:$AO$186,0))</x:f>
        <x:v>4</x:v>
      </x:c>
      <x:c r="K31" s="632" t="n">
        <x:f>INDEX('Specialisation Impact'!$O$19:$O$186,MATCH(A31,'Specialisation Impact'!$AO$19:$AO$186,0))</x:f>
        <x:v>18917200</x:v>
      </x:c>
      <x:c r="L31" s="626" t="n">
        <x:f>INDEX('Specialisation Impact'!$F$19:$F$186,MATCH(A31,'Specialisation Impact'!$AO$19:$AO$186,0))</x:f>
        <x:v>1</x:v>
      </x:c>
      <x:c r="M31" s="617" t="str">
        <x:f>INDEX('Specialisation Impact'!$AA$19:$AA$186,MATCH(A31,'Specialisation Impact'!$AO$19:$AO$186,0))</x:f>
        <x:v>Recorded skills only</x:v>
      </x:c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</x:row>
    <x:row r="32">
      <x:c r="A32" s="618" t="n">
        <x:v>16</x:v>
      </x:c>
      <x:c r="B32" s="618" t="n">
        <x:f>INDEX('Specialisation Impact'!$AN$19:$AN$186,MATCH(A32,'Specialisation Impact'!$AO$19:$AO$186,0))</x:f>
        <x:v>2</x:v>
      </x:c>
      <x:c r="C32" s="618" t="str">
        <x:f>INDEX('Specialisation Impact'!$A$19:$A$186,MATCH(A32,'Specialisation Impact'!$AO$19:$AO$186,0))</x:f>
        <x:v>K170</x:v>
      </x:c>
      <x:c r="D32" s="618" t="str">
        <x:v>(AOT)Panda</x:v>
      </x:c>
      <x:c r="E32" s="623" t="n">
        <x:f>INDEX('Specialisation Impact'!$AM$19:$AM$186,MATCH(A32,'Specialisation Impact'!$AO$19:$AO$186,0))</x:f>
        <x:v>79.67987567987569</x:v>
      </x:c>
      <x:c r="F32" s="623" t="n">
        <x:f>INDEX('Specialisation Impact'!$AC$19:$AC$186,MATCH(A32,'Specialisation Impact'!$AO$19:$AO$186,0))</x:f>
        <x:v>86.1038961038961</x:v>
      </x:c>
      <x:c r="G32" s="623" t="n">
        <x:f>INDEX('Specialisation Impact'!$AF$19:$AF$186,MATCH(A32,'Specialisation Impact'!$AO$19:$AO$186,0))</x:f>
        <x:v>26.103896103896105</x:v>
      </x:c>
      <x:c r="H32" s="623" t="n">
        <x:f>INDEX('Specialisation Impact'!$AI$19:$AI$186,MATCH(A32,'Specialisation Impact'!$AO$19:$AO$186,0))</x:f>
        <x:v>78.57142857142857</x:v>
      </x:c>
      <x:c r="I32" s="623" t="n">
        <x:f>INDEX('Specialisation Impact'!$AK$19:$AK$186,MATCH(A32,'Specialisation Impact'!$AO$19:$AO$186,0))</x:f>
        <x:v>93.16239316239316</x:v>
      </x:c>
      <x:c r="J32" s="618" t="n">
        <x:f>INDEX('Specialisation Impact'!$E$19:$E$186,MATCH(A32,'Specialisation Impact'!$AO$19:$AO$186,0))</x:f>
        <x:v>3</x:v>
      </x:c>
      <x:c r="K32" s="631" t="n">
        <x:f>INDEX('Specialisation Impact'!$O$19:$O$186,MATCH(A32,'Specialisation Impact'!$AO$19:$AO$186,0))</x:f>
        <x:v>26957200</x:v>
      </x:c>
      <x:c r="L32" s="627" t="n">
        <x:f>INDEX('Specialisation Impact'!$F$19:$F$186,MATCH(A32,'Specialisation Impact'!$AO$19:$AO$186,0))</x:f>
        <x:v>1</x:v>
      </x:c>
      <x:c r="M32" s="618" t="str">
        <x:f>INDEX('Specialisation Impact'!$AA$19:$AA$186,MATCH(A32,'Specialisation Impact'!$AO$19:$AO$186,0))</x:f>
        <x:v>Recorded skills only</x:v>
      </x:c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</x:row>
    <x:row r="33">
      <x:c r="A33" s="617" t="n">
        <x:v>17</x:v>
      </x:c>
      <x:c r="B33" s="617" t="n">
        <x:f>INDEX('Specialisation Impact'!$AN$19:$AN$186,MATCH(A33,'Specialisation Impact'!$AO$19:$AO$186,0))</x:f>
        <x:v>2</x:v>
      </x:c>
      <x:c r="C33" s="617" t="str">
        <x:f>INDEX('Specialisation Impact'!$A$19:$A$186,MATCH(A33,'Specialisation Impact'!$AO$19:$AO$186,0))</x:f>
        <x:v>K91</x:v>
      </x:c>
      <x:c r="D33" s="617" t="str">
        <x:v>Skrapz</x:v>
      </x:c>
      <x:c r="E33" s="622" t="n">
        <x:f>INDEX('Specialisation Impact'!$AM$19:$AM$186,MATCH(A33,'Specialisation Impact'!$AO$19:$AO$186,0))</x:f>
        <x:v>78.2993672993673</x:v>
      </x:c>
      <x:c r="F33" s="622" t="n">
        <x:f>INDEX('Specialisation Impact'!$AC$19:$AC$186,MATCH(A33,'Specialisation Impact'!$AO$19:$AO$186,0))</x:f>
        <x:v>83.50649350649351</x:v>
      </x:c>
      <x:c r="G33" s="622" t="n">
        <x:f>INDEX('Specialisation Impact'!$AF$19:$AF$186,MATCH(A33,'Specialisation Impact'!$AO$19:$AO$186,0))</x:f>
        <x:v>73.37662337662339</x:v>
      </x:c>
      <x:c r="H33" s="622" t="n">
        <x:f>INDEX('Specialisation Impact'!$AI$19:$AI$186,MATCH(A33,'Specialisation Impact'!$AO$19:$AO$186,0))</x:f>
        <x:v>91.55844155844156</x:v>
      </x:c>
      <x:c r="I33" s="622" t="n">
        <x:f>INDEX('Specialisation Impact'!$AK$19:$AK$186,MATCH(A33,'Specialisation Impact'!$AO$19:$AO$186,0))</x:f>
        <x:v>29.48717948717949</x:v>
      </x:c>
      <x:c r="J33" s="617" t="n">
        <x:f>INDEX('Specialisation Impact'!$E$19:$E$186,MATCH(A33,'Specialisation Impact'!$AO$19:$AO$186,0))</x:f>
        <x:v>4</x:v>
      </x:c>
      <x:c r="K33" s="632" t="n">
        <x:f>INDEX('Specialisation Impact'!$O$19:$O$186,MATCH(A33,'Specialisation Impact'!$AO$19:$AO$186,0))</x:f>
        <x:v>24391500</x:v>
      </x:c>
      <x:c r="L33" s="626" t="n">
        <x:f>INDEX('Specialisation Impact'!$F$19:$F$186,MATCH(A33,'Specialisation Impact'!$AO$19:$AO$186,0))</x:f>
        <x:v>1</x:v>
      </x:c>
      <x:c r="M33" s="617" t="str">
        <x:f>INDEX('Specialisation Impact'!$AA$19:$AA$186,MATCH(A33,'Specialisation Impact'!$AO$19:$AO$186,0))</x:f>
        <x:v>Recorded skills only</x:v>
      </x:c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</x:row>
    <x:row r="34">
      <x:c r="A34" s="618" t="n">
        <x:v>18</x:v>
      </x:c>
      <x:c r="B34" s="618" t="n">
        <x:f>INDEX('Specialisation Impact'!$AN$19:$AN$186,MATCH(A34,'Specialisation Impact'!$AO$19:$AO$186,0))</x:f>
        <x:v>5</x:v>
      </x:c>
      <x:c r="C34" s="618" t="str">
        <x:f>INDEX('Specialisation Impact'!$A$19:$A$186,MATCH(A34,'Specialisation Impact'!$AO$19:$AO$186,0))</x:f>
        <x:v>K176</x:v>
      </x:c>
      <x:c r="D34" s="618" t="str">
        <x:v>金玉其外败絮其中</x:v>
      </x:c>
      <x:c r="E34" s="623" t="n">
        <x:f>INDEX('Specialisation Impact'!$AM$19:$AM$186,MATCH(A34,'Specialisation Impact'!$AO$19:$AO$186,0))</x:f>
        <x:v>78.07437007437008</x:v>
      </x:c>
      <x:c r="F34" s="623" t="n">
        <x:f>INDEX('Specialisation Impact'!$AC$19:$AC$186,MATCH(A34,'Specialisation Impact'!$AO$19:$AO$186,0))</x:f>
        <x:v>86.75324675324676</x:v>
      </x:c>
      <x:c r="G34" s="623" t="n">
        <x:f>INDEX('Specialisation Impact'!$AF$19:$AF$186,MATCH(A34,'Specialisation Impact'!$AO$19:$AO$186,0))</x:f>
        <x:v>25.454545454545457</x:v>
      </x:c>
      <x:c r="H34" s="623" t="n">
        <x:f>INDEX('Specialisation Impact'!$AI$19:$AI$186,MATCH(A34,'Specialisation Impact'!$AO$19:$AO$186,0))</x:f>
        <x:v>76.88311688311688</x:v>
      </x:c>
      <x:c r="I34" s="623" t="n">
        <x:f>INDEX('Specialisation Impact'!$AK$19:$AK$186,MATCH(A34,'Specialisation Impact'!$AO$19:$AO$186,0))</x:f>
        <x:v>76.06837606837607</x:v>
      </x:c>
      <x:c r="J34" s="618" t="n">
        <x:f>INDEX('Specialisation Impact'!$E$19:$E$186,MATCH(A34,'Specialisation Impact'!$AO$19:$AO$186,0))</x:f>
        <x:v>3</x:v>
      </x:c>
      <x:c r="K34" s="631" t="n">
        <x:f>INDEX('Specialisation Impact'!$O$19:$O$186,MATCH(A34,'Specialisation Impact'!$AO$19:$AO$186,0))</x:f>
        <x:v>21377200</x:v>
      </x:c>
      <x:c r="L34" s="627" t="n">
        <x:f>INDEX('Specialisation Impact'!$F$19:$F$186,MATCH(A34,'Specialisation Impact'!$AO$19:$AO$186,0))</x:f>
        <x:v>1</x:v>
      </x:c>
      <x:c r="M34" s="618" t="str">
        <x:f>INDEX('Specialisation Impact'!$AA$19:$AA$186,MATCH(A34,'Specialisation Impact'!$AO$19:$AO$186,0))</x:f>
        <x:v>Recorded skills only</x:v>
      </x:c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>
      <x:c r="A35" s="617" t="n">
        <x:v>19</x:v>
      </x:c>
      <x:c r="B35" s="617" t="n">
        <x:f>INDEX('Specialisation Impact'!$AN$19:$AN$186,MATCH(A35,'Specialisation Impact'!$AO$19:$AO$186,0))</x:f>
        <x:v>2</x:v>
      </x:c>
      <x:c r="C35" s="617" t="str">
        <x:f>INDEX('Specialisation Impact'!$A$19:$A$186,MATCH(A35,'Specialisation Impact'!$AO$19:$AO$186,0))</x:f>
        <x:v>K60</x:v>
      </x:c>
      <x:c r="D35" s="617" t="str">
        <x:v>Дерог</x:v>
      </x:c>
      <x:c r="E35" s="622" t="n">
        <x:f>INDEX('Specialisation Impact'!$AM$19:$AM$186,MATCH(A35,'Specialisation Impact'!$AO$19:$AO$186,0))</x:f>
        <x:v>77.54612054612053</x:v>
      </x:c>
      <x:c r="F35" s="622" t="n">
        <x:f>INDEX('Specialisation Impact'!$AC$19:$AC$186,MATCH(A35,'Specialisation Impact'!$AO$19:$AO$186,0))</x:f>
        <x:v>84.93506493506493</x:v>
      </x:c>
      <x:c r="G35" s="622" t="n">
        <x:f>INDEX('Specialisation Impact'!$AF$19:$AF$186,MATCH(A35,'Specialisation Impact'!$AO$19:$AO$186,0))</x:f>
        <x:v>51.688311688311686</x:v>
      </x:c>
      <x:c r="H35" s="622" t="n">
        <x:f>INDEX('Specialisation Impact'!$AI$19:$AI$186,MATCH(A35,'Specialisation Impact'!$AO$19:$AO$186,0))</x:f>
        <x:v>94.8051948051948</x:v>
      </x:c>
      <x:c r="I35" s="622" t="n">
        <x:f>INDEX('Specialisation Impact'!$AK$19:$AK$186,MATCH(A35,'Specialisation Impact'!$AO$19:$AO$186,0))</x:f>
        <x:v>29.48717948717949</x:v>
      </x:c>
      <x:c r="J35" s="617" t="n">
        <x:f>INDEX('Specialisation Impact'!$E$19:$E$186,MATCH(A35,'Specialisation Impact'!$AO$19:$AO$186,0))</x:f>
        <x:v>5</x:v>
      </x:c>
      <x:c r="K35" s="632" t="n">
        <x:f>INDEX('Specialisation Impact'!$O$19:$O$186,MATCH(A35,'Specialisation Impact'!$AO$19:$AO$186,0))</x:f>
        <x:v>21980800</x:v>
      </x:c>
      <x:c r="L35" s="626" t="n">
        <x:f>INDEX('Specialisation Impact'!$F$19:$F$186,MATCH(A35,'Specialisation Impact'!$AO$19:$AO$186,0))</x:f>
        <x:v>1</x:v>
      </x:c>
      <x:c r="M35" s="617" t="str">
        <x:f>INDEX('Specialisation Impact'!$AA$19:$AA$186,MATCH(A35,'Specialisation Impact'!$AO$19:$AO$186,0))</x:f>
        <x:v>Recorded skills only</x:v>
      </x:c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</x:row>
    <x:row r="36">
      <x:c r="A36" s="618" t="n">
        <x:v>20</x:v>
      </x:c>
      <x:c r="B36" s="618" t="n">
        <x:f>INDEX('Specialisation Impact'!$AN$19:$AN$186,MATCH(A36,'Specialisation Impact'!$AO$19:$AO$186,0))</x:f>
        <x:v>4</x:v>
      </x:c>
      <x:c r="C36" s="618" t="str">
        <x:f>INDEX('Specialisation Impact'!$A$19:$A$186,MATCH(A36,'Specialisation Impact'!$AO$19:$AO$186,0))</x:f>
        <x:v>K54</x:v>
      </x:c>
      <x:c r="D36" s="618" t="str">
        <x:v>纵横,,,Nike耐克</x:v>
      </x:c>
      <x:c r="E36" s="623" t="n">
        <x:f>INDEX('Specialisation Impact'!$AM$19:$AM$186,MATCH(A36,'Specialisation Impact'!$AO$19:$AO$186,0))</x:f>
        <x:v>77.35064935064936</x:v>
      </x:c>
      <x:c r="F36" s="623" t="n">
        <x:f>INDEX('Specialisation Impact'!$AC$19:$AC$186,MATCH(A36,'Specialisation Impact'!$AO$19:$AO$186,0))</x:f>
        <x:v>78.83116883116884</x:v>
      </x:c>
      <x:c r="G36" s="623" t="n">
        <x:f>INDEX('Specialisation Impact'!$AF$19:$AF$186,MATCH(A36,'Specialisation Impact'!$AO$19:$AO$186,0))</x:f>
        <x:v>72.5974025974026</x:v>
      </x:c>
      <x:c r="H36" s="623" t="n">
        <x:f>INDEX('Specialisation Impact'!$AI$19:$AI$186,MATCH(A36,'Specialisation Impact'!$AO$19:$AO$186,0))</x:f>
        <x:v>92.33766233766234</x:v>
      </x:c>
      <x:c r="I36" s="623" t="n">
        <x:f>INDEX('Specialisation Impact'!$AK$19:$AK$186,MATCH(A36,'Specialisation Impact'!$AO$19:$AO$186,0))</x:f>
        <x:v>50</x:v>
      </x:c>
      <x:c r="J36" s="618" t="n">
        <x:f>INDEX('Specialisation Impact'!$E$19:$E$186,MATCH(A36,'Specialisation Impact'!$AO$19:$AO$186,0))</x:f>
        <x:v>4</x:v>
      </x:c>
      <x:c r="K36" s="631" t="n">
        <x:f>INDEX('Specialisation Impact'!$O$19:$O$186,MATCH(A36,'Specialisation Impact'!$AO$19:$AO$186,0))</x:f>
        <x:v>19297200</x:v>
      </x:c>
      <x:c r="L36" s="627" t="n">
        <x:f>INDEX('Specialisation Impact'!$F$19:$F$186,MATCH(A36,'Specialisation Impact'!$AO$19:$AO$186,0))</x:f>
        <x:v>1</x:v>
      </x:c>
      <x:c r="M36" s="618" t="str">
        <x:f>INDEX('Specialisation Impact'!$AA$19:$AA$186,MATCH(A36,'Specialisation Impact'!$AO$19:$AO$186,0))</x:f>
        <x:v>Recorded skills only</x:v>
      </x:c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>
      <x:c r="A37" s="617" t="n">
        <x:v>21</x:v>
      </x:c>
      <x:c r="B37" s="617" t="n">
        <x:f>INDEX('Specialisation Impact'!$AN$19:$AN$186,MATCH(A37,'Specialisation Impact'!$AO$19:$AO$186,0))</x:f>
        <x:v>3</x:v>
      </x:c>
      <x:c r="C37" s="617" t="str">
        <x:f>INDEX('Specialisation Impact'!$A$19:$A$186,MATCH(A37,'Specialisation Impact'!$AO$19:$AO$186,0))</x:f>
        <x:v>K170</x:v>
      </x:c>
      <x:c r="D37" s="617" t="str">
        <x:v>(AOT)SanSW°</x:v>
      </x:c>
      <x:c r="E37" s="622" t="n">
        <x:f>INDEX('Specialisation Impact'!$AM$19:$AM$186,MATCH(A37,'Specialisation Impact'!$AO$19:$AO$186,0))</x:f>
        <x:v>76.52403152403153</x:v>
      </x:c>
      <x:c r="F37" s="622" t="n">
        <x:f>INDEX('Specialisation Impact'!$AC$19:$AC$186,MATCH(A37,'Specialisation Impact'!$AO$19:$AO$186,0))</x:f>
        <x:v>87.79220779220779</x:v>
      </x:c>
      <x:c r="G37" s="622" t="n">
        <x:f>INDEX('Specialisation Impact'!$AF$19:$AF$186,MATCH(A37,'Specialisation Impact'!$AO$19:$AO$186,0))</x:f>
        <x:v>37.922077922077925</x:v>
      </x:c>
      <x:c r="H37" s="622" t="n">
        <x:f>INDEX('Specialisation Impact'!$AI$19:$AI$186,MATCH(A37,'Specialisation Impact'!$AO$19:$AO$186,0))</x:f>
        <x:v>42.33766233766234</x:v>
      </x:c>
      <x:c r="I37" s="622" t="n">
        <x:f>INDEX('Specialisation Impact'!$AK$19:$AK$186,MATCH(A37,'Specialisation Impact'!$AO$19:$AO$186,0))</x:f>
        <x:v>93.16239316239316</x:v>
      </x:c>
      <x:c r="J37" s="617" t="n">
        <x:f>INDEX('Specialisation Impact'!$E$19:$E$186,MATCH(A37,'Specialisation Impact'!$AO$19:$AO$186,0))</x:f>
        <x:v>3</x:v>
      </x:c>
      <x:c r="K37" s="632" t="n">
        <x:f>INDEX('Specialisation Impact'!$O$19:$O$186,MATCH(A37,'Specialisation Impact'!$AO$19:$AO$186,0))</x:f>
        <x:v>25627200</x:v>
      </x:c>
      <x:c r="L37" s="626" t="n">
        <x:f>INDEX('Specialisation Impact'!$F$19:$F$186,MATCH(A37,'Specialisation Impact'!$AO$19:$AO$186,0))</x:f>
        <x:v>1</x:v>
      </x:c>
      <x:c r="M37" s="617" t="str">
        <x:f>INDEX('Specialisation Impact'!$AA$19:$AA$186,MATCH(A37,'Specialisation Impact'!$AO$19:$AO$186,0))</x:f>
        <x:v>Recorded skills only</x:v>
      </x:c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>
      <x:c r="A38" s="618" t="n">
        <x:v>22</x:v>
      </x:c>
      <x:c r="B38" s="618" t="n">
        <x:f>INDEX('Specialisation Impact'!$AN$19:$AN$186,MATCH(A38,'Specialisation Impact'!$AO$19:$AO$186,0))</x:f>
        <x:v>2</x:v>
      </x:c>
      <x:c r="C38" s="618" t="str">
        <x:f>INDEX('Specialisation Impact'!$A$19:$A$186,MATCH(A38,'Specialisation Impact'!$AO$19:$AO$186,0))</x:f>
        <x:v>K116</x:v>
      </x:c>
      <x:c r="D38" s="618" t="str">
        <x:v>光之使者</x:v>
      </x:c>
      <x:c r="E38" s="623" t="n">
        <x:f>INDEX('Specialisation Impact'!$AM$19:$AM$186,MATCH(A38,'Specialisation Impact'!$AO$19:$AO$186,0))</x:f>
        <x:v>75.14740814740816</x:v>
      </x:c>
      <x:c r="F38" s="623" t="n">
        <x:f>INDEX('Specialisation Impact'!$AC$19:$AC$186,MATCH(A38,'Specialisation Impact'!$AO$19:$AO$186,0))</x:f>
        <x:v>69.61038961038962</x:v>
      </x:c>
      <x:c r="G38" s="623" t="n">
        <x:f>INDEX('Specialisation Impact'!$AF$19:$AF$186,MATCH(A38,'Specialisation Impact'!$AO$19:$AO$186,0))</x:f>
        <x:v>71.42857142857144</x:v>
      </x:c>
      <x:c r="H38" s="623" t="n">
        <x:f>INDEX('Specialisation Impact'!$AI$19:$AI$186,MATCH(A38,'Specialisation Impact'!$AO$19:$AO$186,0))</x:f>
        <x:v>89.61038961038962</x:v>
      </x:c>
      <x:c r="I38" s="623" t="n">
        <x:f>INDEX('Specialisation Impact'!$AK$19:$AK$186,MATCH(A38,'Specialisation Impact'!$AO$19:$AO$186,0))</x:f>
        <x:v>93.16239316239316</x:v>
      </x:c>
      <x:c r="J38" s="618" t="n">
        <x:f>INDEX('Specialisation Impact'!$E$19:$E$186,MATCH(A38,'Specialisation Impact'!$AO$19:$AO$186,0))</x:f>
        <x:v>4</x:v>
      </x:c>
      <x:c r="K38" s="631" t="n">
        <x:f>INDEX('Specialisation Impact'!$O$19:$O$186,MATCH(A38,'Specialisation Impact'!$AO$19:$AO$186,0))</x:f>
        <x:v>26911500</x:v>
      </x:c>
      <x:c r="L38" s="627" t="n">
        <x:f>INDEX('Specialisation Impact'!$F$19:$F$186,MATCH(A38,'Specialisation Impact'!$AO$19:$AO$186,0))</x:f>
        <x:v>1</x:v>
      </x:c>
      <x:c r="M38" s="618" t="str">
        <x:f>INDEX('Specialisation Impact'!$AA$19:$AA$186,MATCH(A38,'Specialisation Impact'!$AO$19:$AO$186,0))</x:f>
        <x:v>Recorded skills only</x:v>
      </x:c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>
      <x:c r="A39" s="617" t="n">
        <x:v>23</x:v>
      </x:c>
      <x:c r="B39" s="617" t="n">
        <x:f>INDEX('Specialisation Impact'!$AN$19:$AN$186,MATCH(A39,'Specialisation Impact'!$AO$19:$AO$186,0))</x:f>
        <x:v>3</x:v>
      </x:c>
      <x:c r="C39" s="617" t="str">
        <x:f>INDEX('Specialisation Impact'!$A$19:$A$186,MATCH(A39,'Specialisation Impact'!$AO$19:$AO$186,0))</x:f>
        <x:v>K60</x:v>
      </x:c>
      <x:c r="D39" s="617" t="str">
        <x:v>雪Snowy</x:v>
      </x:c>
      <x:c r="E39" s="622" t="n">
        <x:f>INDEX('Specialisation Impact'!$AM$19:$AM$186,MATCH(A39,'Specialisation Impact'!$AO$19:$AO$186,0))</x:f>
        <x:v>74.52014652014651</x:v>
      </x:c>
      <x:c r="F39" s="622" t="n">
        <x:f>INDEX('Specialisation Impact'!$AC$19:$AC$186,MATCH(A39,'Specialisation Impact'!$AO$19:$AO$186,0))</x:f>
        <x:v>92.2077922077922</x:v>
      </x:c>
      <x:c r="G39" s="622" t="n">
        <x:f>INDEX('Specialisation Impact'!$AF$19:$AF$186,MATCH(A39,'Specialisation Impact'!$AO$19:$AO$186,0))</x:f>
        <x:v>50.90909090909091</x:v>
      </x:c>
      <x:c r="H39" s="622" t="n">
        <x:f>INDEX('Specialisation Impact'!$AI$19:$AI$186,MATCH(A39,'Specialisation Impact'!$AO$19:$AO$186,0))</x:f>
        <x:v>43.63636363636364</x:v>
      </x:c>
      <x:c r="I39" s="622" t="n">
        <x:f>INDEX('Specialisation Impact'!$AK$19:$AK$186,MATCH(A39,'Specialisation Impact'!$AO$19:$AO$186,0))</x:f>
        <x:v>29.48717948717949</x:v>
      </x:c>
      <x:c r="J39" s="617" t="n">
        <x:f>INDEX('Specialisation Impact'!$E$19:$E$186,MATCH(A39,'Specialisation Impact'!$AO$19:$AO$186,0))</x:f>
        <x:v>3</x:v>
      </x:c>
      <x:c r="K39" s="632" t="n">
        <x:f>INDEX('Specialisation Impact'!$O$19:$O$186,MATCH(A39,'Specialisation Impact'!$AO$19:$AO$186,0))</x:f>
        <x:v>19757200</x:v>
      </x:c>
      <x:c r="L39" s="626" t="n">
        <x:f>INDEX('Specialisation Impact'!$F$19:$F$186,MATCH(A39,'Specialisation Impact'!$AO$19:$AO$186,0))</x:f>
        <x:v>1</x:v>
      </x:c>
      <x:c r="M39" s="617" t="str">
        <x:f>INDEX('Specialisation Impact'!$AA$19:$AA$186,MATCH(A39,'Specialisation Impact'!$AO$19:$AO$186,0))</x:f>
        <x:v>Recorded skills only</x:v>
      </x:c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</x:row>
    <x:row r="40">
      <x:c r="A40" s="618" t="n">
        <x:v>24</x:v>
      </x:c>
      <x:c r="B40" s="618" t="n">
        <x:f>INDEX('Specialisation Impact'!$AN$19:$AN$186,MATCH(A40,'Specialisation Impact'!$AO$19:$AO$186,0))</x:f>
        <x:v>4</x:v>
      </x:c>
      <x:c r="C40" s="618" t="str">
        <x:f>INDEX('Specialisation Impact'!$A$19:$A$186,MATCH(A40,'Specialisation Impact'!$AO$19:$AO$186,0))</x:f>
        <x:v>K170</x:v>
      </x:c>
      <x:c r="D40" s="618" t="str">
        <x:v>(AOT)Themechanic</x:v>
      </x:c>
      <x:c r="E40" s="623" t="n">
        <x:f>INDEX('Specialisation Impact'!$AM$19:$AM$186,MATCH(A40,'Specialisation Impact'!$AO$19:$AO$186,0))</x:f>
        <x:v>74.07437007437007</x:v>
      </x:c>
      <x:c r="F40" s="623" t="n">
        <x:f>INDEX('Specialisation Impact'!$AC$19:$AC$186,MATCH(A40,'Specialisation Impact'!$AO$19:$AO$186,0))</x:f>
        <x:v>85.84415584415584</x:v>
      </x:c>
      <x:c r="G40" s="623" t="n">
        <x:f>INDEX('Specialisation Impact'!$AF$19:$AF$186,MATCH(A40,'Specialisation Impact'!$AO$19:$AO$186,0))</x:f>
        <x:v>42.20779220779221</x:v>
      </x:c>
      <x:c r="H40" s="623" t="n">
        <x:f>INDEX('Specialisation Impact'!$AI$19:$AI$186,MATCH(A40,'Specialisation Impact'!$AO$19:$AO$186,0))</x:f>
        <x:v>42.98701298701299</x:v>
      </x:c>
      <x:c r="I40" s="623" t="n">
        <x:f>INDEX('Specialisation Impact'!$AK$19:$AK$186,MATCH(A40,'Specialisation Impact'!$AO$19:$AO$186,0))</x:f>
        <x:v>76.06837606837607</x:v>
      </x:c>
      <x:c r="J40" s="618" t="n">
        <x:f>INDEX('Specialisation Impact'!$E$19:$E$186,MATCH(A40,'Specialisation Impact'!$AO$19:$AO$186,0))</x:f>
        <x:v>3</x:v>
      </x:c>
      <x:c r="K40" s="631" t="n">
        <x:f>INDEX('Specialisation Impact'!$O$19:$O$186,MATCH(A40,'Specialisation Impact'!$AO$19:$AO$186,0))</x:f>
        <x:v>22127200</x:v>
      </x:c>
      <x:c r="L40" s="627" t="n">
        <x:f>INDEX('Specialisation Impact'!$F$19:$F$186,MATCH(A40,'Specialisation Impact'!$AO$19:$AO$186,0))</x:f>
        <x:v>1</x:v>
      </x:c>
      <x:c r="M40" s="618" t="str">
        <x:f>INDEX('Specialisation Impact'!$AA$19:$AA$186,MATCH(A40,'Specialisation Impact'!$AO$19:$AO$186,0))</x:f>
        <x:v>Recorded skills only</x:v>
      </x:c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>
      <x:c r="A41" s="617" t="n">
        <x:v>25</x:v>
      </x:c>
      <x:c r="B41" s="617" t="n">
        <x:f>INDEX('Specialisation Impact'!$AN$19:$AN$186,MATCH(A41,'Specialisation Impact'!$AO$19:$AO$186,0))</x:f>
        <x:v>4</x:v>
      </x:c>
      <x:c r="C41" s="617" t="str">
        <x:f>INDEX('Specialisation Impact'!$A$19:$A$186,MATCH(A41,'Specialisation Impact'!$AO$19:$AO$186,0))</x:f>
        <x:v>K60</x:v>
      </x:c>
      <x:c r="D41" s="617" t="str">
        <x:v>°Silent°</x:v>
      </x:c>
      <x:c r="E41" s="622" t="n">
        <x:f>INDEX('Specialisation Impact'!$AM$19:$AM$186,MATCH(A41,'Specialisation Impact'!$AO$19:$AO$186,0))</x:f>
        <x:v>73.75324675324676</x:v>
      </x:c>
      <x:c r="F41" s="622" t="n">
        <x:f>INDEX('Specialisation Impact'!$AC$19:$AC$186,MATCH(A41,'Specialisation Impact'!$AO$19:$AO$186,0))</x:f>
        <x:v>74.93506493506493</x:v>
      </x:c>
      <x:c r="G41" s="622" t="n">
        <x:f>INDEX('Specialisation Impact'!$AF$19:$AF$186,MATCH(A41,'Specialisation Impact'!$AO$19:$AO$186,0))</x:f>
        <x:v>52.5974025974026</x:v>
      </x:c>
      <x:c r="H41" s="622" t="n">
        <x:f>INDEX('Specialisation Impact'!$AI$19:$AI$186,MATCH(A41,'Specialisation Impact'!$AO$19:$AO$186,0))</x:f>
        <x:v>98.57142857142858</x:v>
      </x:c>
      <x:c r="I41" s="622" t="n">
        <x:f>INDEX('Specialisation Impact'!$AK$19:$AK$186,MATCH(A41,'Specialisation Impact'!$AO$19:$AO$186,0))</x:f>
        <x:v>50</x:v>
      </x:c>
      <x:c r="J41" s="617" t="n">
        <x:f>INDEX('Specialisation Impact'!$E$19:$E$186,MATCH(A41,'Specialisation Impact'!$AO$19:$AO$186,0))</x:f>
        <x:v>5</x:v>
      </x:c>
      <x:c r="K41" s="632" t="n">
        <x:f>INDEX('Specialisation Impact'!$O$19:$O$186,MATCH(A41,'Specialisation Impact'!$AO$19:$AO$186,0))</x:f>
        <x:v>23391500</x:v>
      </x:c>
      <x:c r="L41" s="626" t="n">
        <x:f>INDEX('Specialisation Impact'!$F$19:$F$186,MATCH(A41,'Specialisation Impact'!$AO$19:$AO$186,0))</x:f>
        <x:v>1</x:v>
      </x:c>
      <x:c r="M41" s="617" t="str">
        <x:f>INDEX('Specialisation Impact'!$AA$19:$AA$186,MATCH(A41,'Specialisation Impact'!$AO$19:$AO$186,0))</x:f>
        <x:v>Recorded skills only</x:v>
      </x:c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>
      <x:c r="A42" s="618" t="n">
        <x:v>26</x:v>
      </x:c>
      <x:c r="B42" s="618" t="n">
        <x:f>INDEX('Specialisation Impact'!$AN$19:$AN$186,MATCH(A42,'Specialisation Impact'!$AO$19:$AO$186,0))</x:f>
        <x:v>6</x:v>
      </x:c>
      <x:c r="C42" s="618" t="str">
        <x:f>INDEX('Specialisation Impact'!$A$19:$A$186,MATCH(A42,'Specialisation Impact'!$AO$19:$AO$186,0))</x:f>
        <x:v>K176</x:v>
      </x:c>
      <x:c r="D42" s="618" t="str">
        <x:v>温水煮青蛙</x:v>
      </x:c>
      <x:c r="E42" s="623" t="n">
        <x:f>INDEX('Specialisation Impact'!$AM$19:$AM$186,MATCH(A42,'Specialisation Impact'!$AO$19:$AO$186,0))</x:f>
        <x:v>73.72327672327673</x:v>
      </x:c>
      <x:c r="F42" s="623" t="n">
        <x:f>INDEX('Specialisation Impact'!$AC$19:$AC$186,MATCH(A42,'Specialisation Impact'!$AO$19:$AO$186,0))</x:f>
        <x:v>82.33766233766234</x:v>
      </x:c>
      <x:c r="G42" s="623" t="n">
        <x:f>INDEX('Specialisation Impact'!$AF$19:$AF$186,MATCH(A42,'Specialisation Impact'!$AO$19:$AO$186,0))</x:f>
        <x:v>23.376623376623378</x:v>
      </x:c>
      <x:c r="H42" s="623" t="n">
        <x:f>INDEX('Specialisation Impact'!$AI$19:$AI$186,MATCH(A42,'Specialisation Impact'!$AO$19:$AO$186,0))</x:f>
        <x:v>70.3896103896104</x:v>
      </x:c>
      <x:c r="I42" s="623" t="n">
        <x:f>INDEX('Specialisation Impact'!$AK$19:$AK$186,MATCH(A42,'Specialisation Impact'!$AO$19:$AO$186,0))</x:f>
        <x:v>73.07692307692308</x:v>
      </x:c>
      <x:c r="J42" s="618" t="n">
        <x:f>INDEX('Specialisation Impact'!$E$19:$E$186,MATCH(A42,'Specialisation Impact'!$AO$19:$AO$186,0))</x:f>
        <x:v>3</x:v>
      </x:c>
      <x:c r="K42" s="631" t="n">
        <x:f>INDEX('Specialisation Impact'!$O$19:$O$186,MATCH(A42,'Specialisation Impact'!$AO$19:$AO$186,0))</x:f>
        <x:v>18307200</x:v>
      </x:c>
      <x:c r="L42" s="627" t="n">
        <x:f>INDEX('Specialisation Impact'!$F$19:$F$186,MATCH(A42,'Specialisation Impact'!$AO$19:$AO$186,0))</x:f>
        <x:v>1</x:v>
      </x:c>
      <x:c r="M42" s="618" t="str">
        <x:f>INDEX('Specialisation Impact'!$AA$19:$AA$186,MATCH(A42,'Specialisation Impact'!$AO$19:$AO$186,0))</x:f>
        <x:v>Recorded skills only</x:v>
      </x:c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>
      <x:c r="A43" s="617" t="n">
        <x:v>27</x:v>
      </x:c>
      <x:c r="B43" s="617" t="n">
        <x:f>INDEX('Specialisation Impact'!$AN$19:$AN$186,MATCH(A43,'Specialisation Impact'!$AO$19:$AO$186,0))</x:f>
        <x:v>7</x:v>
      </x:c>
      <x:c r="C43" s="617" t="str">
        <x:f>INDEX('Specialisation Impact'!$A$19:$A$186,MATCH(A43,'Specialisation Impact'!$AO$19:$AO$186,0))</x:f>
        <x:v>K176</x:v>
      </x:c>
      <x:c r="D43" s="617" t="str">
        <x:v>罗密欧与猪过夜</x:v>
      </x:c>
      <x:c r="E43" s="622" t="n">
        <x:f>INDEX('Specialisation Impact'!$AM$19:$AM$186,MATCH(A43,'Specialisation Impact'!$AO$19:$AO$186,0))</x:f>
        <x:v>73.48018648018648</x:v>
      </x:c>
      <x:c r="F43" s="622" t="n">
        <x:f>INDEX('Specialisation Impact'!$AC$19:$AC$186,MATCH(A43,'Specialisation Impact'!$AO$19:$AO$186,0))</x:f>
        <x:v>80.64935064935065</x:v>
      </x:c>
      <x:c r="G43" s="622" t="n">
        <x:f>INDEX('Specialisation Impact'!$AF$19:$AF$186,MATCH(A43,'Specialisation Impact'!$AO$19:$AO$186,0))</x:f>
        <x:v>24.28571428571429</x:v>
      </x:c>
      <x:c r="H43" s="622" t="n">
        <x:f>INDEX('Specialisation Impact'!$AI$19:$AI$186,MATCH(A43,'Specialisation Impact'!$AO$19:$AO$186,0))</x:f>
        <x:v>84.02597402597402</x:v>
      </x:c>
      <x:c r="I43" s="622" t="n">
        <x:f>INDEX('Specialisation Impact'!$AK$19:$AK$186,MATCH(A43,'Specialisation Impact'!$AO$19:$AO$186,0))</x:f>
        <x:v>60.25641025641025</x:v>
      </x:c>
      <x:c r="J43" s="617" t="n">
        <x:f>INDEX('Specialisation Impact'!$E$19:$E$186,MATCH(A43,'Specialisation Impact'!$AO$19:$AO$186,0))</x:f>
        <x:v>3</x:v>
      </x:c>
      <x:c r="K43" s="632" t="n">
        <x:f>INDEX('Specialisation Impact'!$O$19:$O$186,MATCH(A43,'Specialisation Impact'!$AO$19:$AO$186,0))</x:f>
        <x:v>18897200</x:v>
      </x:c>
      <x:c r="L43" s="626" t="n">
        <x:f>INDEX('Specialisation Impact'!$F$19:$F$186,MATCH(A43,'Specialisation Impact'!$AO$19:$AO$186,0))</x:f>
        <x:v>1</x:v>
      </x:c>
      <x:c r="M43" s="617" t="str">
        <x:f>INDEX('Specialisation Impact'!$AA$19:$AA$186,MATCH(A43,'Specialisation Impact'!$AO$19:$AO$186,0))</x:f>
        <x:v>Recorded skills only</x:v>
      </x:c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>
      <x:c r="A44" s="618" t="n">
        <x:v>28</x:v>
      </x:c>
      <x:c r="B44" s="618" t="n">
        <x:f>INDEX('Specialisation Impact'!$AN$19:$AN$186,MATCH(A44,'Specialisation Impact'!$AO$19:$AO$186,0))</x:f>
        <x:v>8</x:v>
      </x:c>
      <x:c r="C44" s="618" t="str">
        <x:f>INDEX('Specialisation Impact'!$A$19:$A$186,MATCH(A44,'Specialisation Impact'!$AO$19:$AO$186,0))</x:f>
        <x:v>K176</x:v>
      </x:c>
      <x:c r="D44" s="618" t="str">
        <x:v>灰色轨迹</x:v>
      </x:c>
      <x:c r="E44" s="623" t="n">
        <x:f>INDEX('Specialisation Impact'!$AM$19:$AM$186,MATCH(A44,'Specialisation Impact'!$AO$19:$AO$186,0))</x:f>
        <x:v>73.14252414252414</x:v>
      </x:c>
      <x:c r="F44" s="623" t="n">
        <x:f>INDEX('Specialisation Impact'!$AC$19:$AC$186,MATCH(A44,'Specialisation Impact'!$AO$19:$AO$186,0))</x:f>
        <x:v>81.42857142857143</x:v>
      </x:c>
      <x:c r="G44" s="623" t="n">
        <x:f>INDEX('Specialisation Impact'!$AF$19:$AF$186,MATCH(A44,'Specialisation Impact'!$AO$19:$AO$186,0))</x:f>
        <x:v>37.27272727272728</x:v>
      </x:c>
      <x:c r="H44" s="623" t="n">
        <x:f>INDEX('Specialisation Impact'!$AI$19:$AI$186,MATCH(A44,'Specialisation Impact'!$AO$19:$AO$186,0))</x:f>
        <x:v>69.74025974025975</x:v>
      </x:c>
      <x:c r="I44" s="623" t="n">
        <x:f>INDEX('Specialisation Impact'!$AK$19:$AK$186,MATCH(A44,'Specialisation Impact'!$AO$19:$AO$186,0))</x:f>
        <x:v>60.25641025641025</x:v>
      </x:c>
      <x:c r="J44" s="618" t="n">
        <x:f>INDEX('Specialisation Impact'!$E$19:$E$186,MATCH(A44,'Specialisation Impact'!$AO$19:$AO$186,0))</x:f>
        <x:v>4</x:v>
      </x:c>
      <x:c r="K44" s="631" t="n">
        <x:f>INDEX('Specialisation Impact'!$O$19:$O$186,MATCH(A44,'Specialisation Impact'!$AO$19:$AO$186,0))</x:f>
        <x:v>17841500</x:v>
      </x:c>
      <x:c r="L44" s="627" t="n">
        <x:f>INDEX('Specialisation Impact'!$F$19:$F$186,MATCH(A44,'Specialisation Impact'!$AO$19:$AO$186,0))</x:f>
        <x:v>1</x:v>
      </x:c>
      <x:c r="M44" s="618" t="str">
        <x:f>INDEX('Specialisation Impact'!$AA$19:$AA$186,MATCH(A44,'Specialisation Impact'!$AO$19:$AO$186,0))</x:f>
        <x:v>Recorded skills only</x:v>
      </x:c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</x:row>
    <x:row r="45">
      <x:c r="A45" s="617" t="n">
        <x:v>29</x:v>
      </x:c>
      <x:c r="B45" s="617" t="n">
        <x:f>INDEX('Specialisation Impact'!$AN$19:$AN$186,MATCH(A45,'Specialisation Impact'!$AO$19:$AO$186,0))</x:f>
        <x:v>3</x:v>
      </x:c>
      <x:c r="C45" s="617" t="str">
        <x:f>INDEX('Specialisation Impact'!$A$19:$A$186,MATCH(A45,'Specialisation Impact'!$AO$19:$AO$186,0))</x:f>
        <x:v>K138</x:v>
      </x:c>
      <x:c r="D45" s="617" t="str">
        <x:v>(RaW)༺博卡Ajax༻</x:v>
      </x:c>
      <x:c r="E45" s="622" t="n">
        <x:f>INDEX('Specialisation Impact'!$AM$19:$AM$186,MATCH(A45,'Specialisation Impact'!$AO$19:$AO$186,0))</x:f>
        <x:v>72.62792762792763</x:v>
      </x:c>
      <x:c r="F45" s="622" t="n">
        <x:f>INDEX('Specialisation Impact'!$AC$19:$AC$186,MATCH(A45,'Specialisation Impact'!$AO$19:$AO$186,0))</x:f>
        <x:v>69.87012987012987</x:v>
      </x:c>
      <x:c r="G45" s="622" t="n">
        <x:f>INDEX('Specialisation Impact'!$AF$19:$AF$186,MATCH(A45,'Specialisation Impact'!$AO$19:$AO$186,0))</x:f>
        <x:v>71.42857142857143</x:v>
      </x:c>
      <x:c r="H45" s="622" t="n">
        <x:f>INDEX('Specialisation Impact'!$AI$19:$AI$186,MATCH(A45,'Specialisation Impact'!$AO$19:$AO$186,0))</x:f>
        <x:v>71.6883116883117</x:v>
      </x:c>
      <x:c r="I45" s="622" t="n">
        <x:f>INDEX('Specialisation Impact'!$AK$19:$AK$186,MATCH(A45,'Specialisation Impact'!$AO$19:$AO$186,0))</x:f>
        <x:v>93.16239316239316</x:v>
      </x:c>
      <x:c r="J45" s="617" t="n">
        <x:f>INDEX('Specialisation Impact'!$E$19:$E$186,MATCH(A45,'Specialisation Impact'!$AO$19:$AO$186,0))</x:f>
        <x:v>5</x:v>
      </x:c>
      <x:c r="K45" s="632" t="n">
        <x:f>INDEX('Specialisation Impact'!$O$19:$O$186,MATCH(A45,'Specialisation Impact'!$AO$19:$AO$186,0))</x:f>
        <x:v>23628300</x:v>
      </x:c>
      <x:c r="L45" s="626" t="n">
        <x:f>INDEX('Specialisation Impact'!$F$19:$F$186,MATCH(A45,'Specialisation Impact'!$AO$19:$AO$186,0))</x:f>
        <x:v>1</x:v>
      </x:c>
      <x:c r="M45" s="617" t="str">
        <x:f>INDEX('Specialisation Impact'!$AA$19:$AA$186,MATCH(A45,'Specialisation Impact'!$AO$19:$AO$186,0))</x:f>
        <x:v>Recorded skills only</x:v>
      </x:c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</x:row>
    <x:row r="46">
      <x:c r="A46" s="618" t="n">
        <x:v>30</x:v>
      </x:c>
      <x:c r="B46" s="618" t="n">
        <x:f>INDEX('Specialisation Impact'!$AN$19:$AN$186,MATCH(A46,'Specialisation Impact'!$AO$19:$AO$186,0))</x:f>
        <x:v>5</x:v>
      </x:c>
      <x:c r="C46" s="618" t="str">
        <x:f>INDEX('Specialisation Impact'!$A$19:$A$186,MATCH(A46,'Specialisation Impact'!$AO$19:$AO$186,0))</x:f>
        <x:v>K60</x:v>
      </x:c>
      <x:c r="D46" s="618" t="str">
        <x:v>CerialKiller</x:v>
      </x:c>
      <x:c r="E46" s="623" t="n">
        <x:f>INDEX('Specialisation Impact'!$AM$19:$AM$186,MATCH(A46,'Specialisation Impact'!$AO$19:$AO$186,0))</x:f>
        <x:v>72.62143412143412</x:v>
      </x:c>
      <x:c r="F46" s="623" t="n">
        <x:f>INDEX('Specialisation Impact'!$AC$19:$AC$186,MATCH(A46,'Specialisation Impact'!$AO$19:$AO$186,0))</x:f>
        <x:v>76.2987012987013</x:v>
      </x:c>
      <x:c r="G46" s="623" t="n">
        <x:f>INDEX('Specialisation Impact'!$AF$19:$AF$186,MATCH(A46,'Specialisation Impact'!$AO$19:$AO$186,0))</x:f>
        <x:v>74.48051948051949</x:v>
      </x:c>
      <x:c r="H46" s="623" t="n">
        <x:f>INDEX('Specialisation Impact'!$AI$19:$AI$186,MATCH(A46,'Specialisation Impact'!$AO$19:$AO$186,0))</x:f>
        <x:v>41.753246753246756</x:v>
      </x:c>
      <x:c r="I46" s="623" t="n">
        <x:f>INDEX('Specialisation Impact'!$AK$19:$AK$186,MATCH(A46,'Specialisation Impact'!$AO$19:$AO$186,0))</x:f>
        <x:v>93.16239316239316</x:v>
      </x:c>
      <x:c r="J46" s="618" t="n">
        <x:f>INDEX('Specialisation Impact'!$E$19:$E$186,MATCH(A46,'Specialisation Impact'!$AO$19:$AO$186,0))</x:f>
        <x:v>3</x:v>
      </x:c>
      <x:c r="K46" s="631" t="n">
        <x:f>INDEX('Specialisation Impact'!$O$19:$O$186,MATCH(A46,'Specialisation Impact'!$AO$19:$AO$186,0))</x:f>
        <x:v>25347200</x:v>
      </x:c>
      <x:c r="L46" s="627" t="n">
        <x:f>INDEX('Specialisation Impact'!$F$19:$F$186,MATCH(A46,'Specialisation Impact'!$AO$19:$AO$186,0))</x:f>
        <x:v>1</x:v>
      </x:c>
      <x:c r="M46" s="618" t="str">
        <x:f>INDEX('Specialisation Impact'!$AA$19:$AA$186,MATCH(A46,'Specialisation Impact'!$AO$19:$AO$186,0))</x:f>
        <x:v>Recorded skills only</x:v>
      </x:c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</x:row>
    <x:row r="47">
      <x:c r="A47" s="617" t="n">
        <x:v>31</x:v>
      </x:c>
      <x:c r="B47" s="617" t="n">
        <x:f>INDEX('Specialisation Impact'!$AN$19:$AN$186,MATCH(A47,'Specialisation Impact'!$AO$19:$AO$186,0))</x:f>
        <x:v>6</x:v>
      </x:c>
      <x:c r="C47" s="617" t="str">
        <x:f>INDEX('Specialisation Impact'!$A$19:$A$186,MATCH(A47,'Specialisation Impact'!$AO$19:$AO$186,0))</x:f>
        <x:v>K60</x:v>
      </x:c>
      <x:c r="D47" s="617" t="str">
        <x:v>邪恶的Xero</x:v>
      </x:c>
      <x:c r="E47" s="622" t="n">
        <x:f>INDEX('Specialisation Impact'!$AM$19:$AM$186,MATCH(A47,'Specialisation Impact'!$AO$19:$AO$186,0))</x:f>
        <x:v>72.50649350649351</x:v>
      </x:c>
      <x:c r="F47" s="622" t="n">
        <x:f>INDEX('Specialisation Impact'!$AC$19:$AC$186,MATCH(A47,'Specialisation Impact'!$AO$19:$AO$186,0))</x:f>
        <x:v>84.54545454545455</x:v>
      </x:c>
      <x:c r="G47" s="622" t="n">
        <x:f>INDEX('Specialisation Impact'!$AF$19:$AF$186,MATCH(A47,'Specialisation Impact'!$AO$19:$AO$186,0))</x:f>
        <x:v>61.42857142857143</x:v>
      </x:c>
      <x:c r="H47" s="622" t="n">
        <x:f>INDEX('Specialisation Impact'!$AI$19:$AI$186,MATCH(A47,'Specialisation Impact'!$AO$19:$AO$186,0))</x:f>
        <x:v>42.727272727272734</x:v>
      </x:c>
      <x:c r="I47" s="622" t="n">
        <x:f>INDEX('Specialisation Impact'!$AK$19:$AK$186,MATCH(A47,'Specialisation Impact'!$AO$19:$AO$186,0))</x:f>
        <x:v>50</x:v>
      </x:c>
      <x:c r="J47" s="617" t="n">
        <x:f>INDEX('Specialisation Impact'!$E$19:$E$186,MATCH(A47,'Specialisation Impact'!$AO$19:$AO$186,0))</x:f>
        <x:v>3</x:v>
      </x:c>
      <x:c r="K47" s="632" t="n">
        <x:f>INDEX('Specialisation Impact'!$O$19:$O$186,MATCH(A47,'Specialisation Impact'!$AO$19:$AO$186,0))</x:f>
        <x:v>15662900</x:v>
      </x:c>
      <x:c r="L47" s="626" t="n">
        <x:f>INDEX('Specialisation Impact'!$F$19:$F$186,MATCH(A47,'Specialisation Impact'!$AO$19:$AO$186,0))</x:f>
        <x:v>1</x:v>
      </x:c>
      <x:c r="M47" s="617" t="str">
        <x:f>INDEX('Specialisation Impact'!$AA$19:$AA$186,MATCH(A47,'Specialisation Impact'!$AO$19:$AO$186,0))</x:f>
        <x:v>Recorded skills only</x:v>
      </x:c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</x:row>
    <x:row r="48">
      <x:c r="A48" s="618" t="n">
        <x:v>32</x:v>
      </x:c>
      <x:c r="B48" s="618" t="n">
        <x:f>INDEX('Specialisation Impact'!$AN$19:$AN$186,MATCH(A48,'Specialisation Impact'!$AO$19:$AO$186,0))</x:f>
        <x:v>4</x:v>
      </x:c>
      <x:c r="C48" s="618" t="str">
        <x:f>INDEX('Specialisation Impact'!$A$19:$A$186,MATCH(A48,'Specialisation Impact'!$AO$19:$AO$186,0))</x:f>
        <x:v>K138</x:v>
      </x:c>
      <x:c r="D48" s="618" t="str">
        <x:v>(RaW)༺Aryz༻</x:v>
      </x:c>
      <x:c r="E48" s="623" t="n">
        <x:f>INDEX('Specialisation Impact'!$AM$19:$AM$186,MATCH(A48,'Specialisation Impact'!$AO$19:$AO$186,0))</x:f>
        <x:v>72.32467532467534</x:v>
      </x:c>
      <x:c r="F48" s="623" t="n">
        <x:f>INDEX('Specialisation Impact'!$AC$19:$AC$186,MATCH(A48,'Specialisation Impact'!$AO$19:$AO$186,0))</x:f>
        <x:v>76.4935064935065</x:v>
      </x:c>
      <x:c r="G48" s="623" t="n">
        <x:f>INDEX('Specialisation Impact'!$AF$19:$AF$186,MATCH(A48,'Specialisation Impact'!$AO$19:$AO$186,0))</x:f>
        <x:v>49.22077922077922</x:v>
      </x:c>
      <x:c r="H48" s="623" t="n">
        <x:f>INDEX('Specialisation Impact'!$AI$19:$AI$186,MATCH(A48,'Specialisation Impact'!$AO$19:$AO$186,0))</x:f>
        <x:v>84.54545454545455</x:v>
      </x:c>
      <x:c r="I48" s="623" t="n">
        <x:f>INDEX('Specialisation Impact'!$AK$19:$AK$186,MATCH(A48,'Specialisation Impact'!$AO$19:$AO$186,0))</x:f>
        <x:v>50</x:v>
      </x:c>
      <x:c r="J48" s="618" t="n">
        <x:f>INDEX('Specialisation Impact'!$E$19:$E$186,MATCH(A48,'Specialisation Impact'!$AO$19:$AO$186,0))</x:f>
        <x:v>4</x:v>
      </x:c>
      <x:c r="K48" s="631" t="n">
        <x:f>INDEX('Specialisation Impact'!$O$19:$O$186,MATCH(A48,'Specialisation Impact'!$AO$19:$AO$186,0))</x:f>
        <x:v>15097200</x:v>
      </x:c>
      <x:c r="L48" s="627" t="n">
        <x:f>INDEX('Specialisation Impact'!$F$19:$F$186,MATCH(A48,'Specialisation Impact'!$AO$19:$AO$186,0))</x:f>
        <x:v>1</x:v>
      </x:c>
      <x:c r="M48" s="618" t="str">
        <x:f>INDEX('Specialisation Impact'!$AA$19:$AA$186,MATCH(A48,'Specialisation Impact'!$AO$19:$AO$186,0))</x:f>
        <x:v>Recorded skills only</x:v>
      </x:c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</x:row>
    <x:row r="49">
      <x:c r="A49" s="617" t="n">
        <x:v>33</x:v>
      </x:c>
      <x:c r="B49" s="617" t="n">
        <x:f>INDEX('Specialisation Impact'!$AN$19:$AN$186,MATCH(A49,'Specialisation Impact'!$AO$19:$AO$186,0))</x:f>
        <x:v>9</x:v>
      </x:c>
      <x:c r="C49" s="617" t="str">
        <x:f>INDEX('Specialisation Impact'!$A$19:$A$186,MATCH(A49,'Specialisation Impact'!$AO$19:$AO$186,0))</x:f>
        <x:v>K176</x:v>
      </x:c>
      <x:c r="D49" s="617" t="str">
        <x:v>我于杀戮之中绽放</x:v>
      </x:c>
      <x:c r="E49" s="622" t="n">
        <x:f>INDEX('Specialisation Impact'!$AM$19:$AM$186,MATCH(A49,'Specialisation Impact'!$AO$19:$AO$186,0))</x:f>
        <x:v>71.86807636807637</x:v>
      </x:c>
      <x:c r="F49" s="622" t="n">
        <x:f>INDEX('Specialisation Impact'!$AC$19:$AC$186,MATCH(A49,'Specialisation Impact'!$AO$19:$AO$186,0))</x:f>
        <x:v>76.68831168831169</x:v>
      </x:c>
      <x:c r="G49" s="622" t="n">
        <x:f>INDEX('Specialisation Impact'!$AF$19:$AF$186,MATCH(A49,'Specialisation Impact'!$AO$19:$AO$186,0))</x:f>
        <x:v>22.922077922077925</x:v>
      </x:c>
      <x:c r="H49" s="622" t="n">
        <x:f>INDEX('Specialisation Impact'!$AI$19:$AI$186,MATCH(A49,'Specialisation Impact'!$AO$19:$AO$186,0))</x:f>
        <x:v>78.24675324675326</x:v>
      </x:c>
      <x:c r="I49" s="622" t="n">
        <x:f>INDEX('Specialisation Impact'!$AK$19:$AK$186,MATCH(A49,'Specialisation Impact'!$AO$19:$AO$186,0))</x:f>
        <x:v>79.91452991452991</x:v>
      </x:c>
      <x:c r="J49" s="617" t="n">
        <x:f>INDEX('Specialisation Impact'!$E$19:$E$186,MATCH(A49,'Specialisation Impact'!$AO$19:$AO$186,0))</x:f>
        <x:v>3</x:v>
      </x:c>
      <x:c r="K49" s="632" t="n">
        <x:f>INDEX('Specialisation Impact'!$O$19:$O$186,MATCH(A49,'Specialisation Impact'!$AO$19:$AO$186,0))</x:f>
        <x:v>20067200</x:v>
      </x:c>
      <x:c r="L49" s="626" t="n">
        <x:f>INDEX('Specialisation Impact'!$F$19:$F$186,MATCH(A49,'Specialisation Impact'!$AO$19:$AO$186,0))</x:f>
        <x:v>1</x:v>
      </x:c>
      <x:c r="M49" s="617" t="str">
        <x:f>INDEX('Specialisation Impact'!$AA$19:$AA$186,MATCH(A49,'Specialisation Impact'!$AO$19:$AO$186,0))</x:f>
        <x:v>Recorded skills only</x:v>
      </x:c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</x:row>
    <x:row r="50">
      <x:c r="A50" s="618" t="n">
        <x:v>34</x:v>
      </x:c>
      <x:c r="B50" s="618" t="n">
        <x:f>INDEX('Specialisation Impact'!$AN$19:$AN$186,MATCH(A50,'Specialisation Impact'!$AO$19:$AO$186,0))</x:f>
        <x:v>5</x:v>
      </x:c>
      <x:c r="C50" s="618" t="str">
        <x:f>INDEX('Specialisation Impact'!$A$19:$A$186,MATCH(A50,'Specialisation Impact'!$AO$19:$AO$186,0))</x:f>
        <x:v>K54</x:v>
      </x:c>
      <x:c r="D50" s="618" t="str">
        <x:v>纵横,,,金王</x:v>
      </x:c>
      <x:c r="E50" s="623" t="n">
        <x:f>INDEX('Specialisation Impact'!$AM$19:$AM$186,MATCH(A50,'Specialisation Impact'!$AO$19:$AO$186,0))</x:f>
        <x:v>70.48051948051948</x:v>
      </x:c>
      <x:c r="F50" s="623" t="n">
        <x:f>INDEX('Specialisation Impact'!$AC$19:$AC$186,MATCH(A50,'Specialisation Impact'!$AO$19:$AO$186,0))</x:f>
        <x:v>73.24675324675324</x:v>
      </x:c>
      <x:c r="G50" s="623" t="n">
        <x:f>INDEX('Specialisation Impact'!$AF$19:$AF$186,MATCH(A50,'Specialisation Impact'!$AO$19:$AO$186,0))</x:f>
        <x:v>69.61038961038962</x:v>
      </x:c>
      <x:c r="H50" s="623" t="n">
        <x:f>INDEX('Specialisation Impact'!$AI$19:$AI$186,MATCH(A50,'Specialisation Impact'!$AO$19:$AO$186,0))</x:f>
        <x:v>72.72727272727273</x:v>
      </x:c>
      <x:c r="I50" s="623" t="n">
        <x:f>INDEX('Specialisation Impact'!$AK$19:$AK$186,MATCH(A50,'Specialisation Impact'!$AO$19:$AO$186,0))</x:f>
        <x:v>50</x:v>
      </x:c>
      <x:c r="J50" s="618" t="n">
        <x:f>INDEX('Specialisation Impact'!$E$19:$E$186,MATCH(A50,'Specialisation Impact'!$AO$19:$AO$186,0))</x:f>
        <x:v>4</x:v>
      </x:c>
      <x:c r="K50" s="631" t="n">
        <x:f>INDEX('Specialisation Impact'!$O$19:$O$186,MATCH(A50,'Specialisation Impact'!$AO$19:$AO$186,0))</x:f>
        <x:v>14347200</x:v>
      </x:c>
      <x:c r="L50" s="627" t="n">
        <x:f>INDEX('Specialisation Impact'!$F$19:$F$186,MATCH(A50,'Specialisation Impact'!$AO$19:$AO$186,0))</x:f>
        <x:v>1</x:v>
      </x:c>
      <x:c r="M50" s="618" t="str">
        <x:f>INDEX('Specialisation Impact'!$AA$19:$AA$186,MATCH(A50,'Specialisation Impact'!$AO$19:$AO$186,0))</x:f>
        <x:v>Recorded skills only</x:v>
      </x:c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</x:row>
    <x:row r="51">
      <x:c r="A51" s="617" t="n">
        <x:v>35</x:v>
      </x:c>
      <x:c r="B51" s="617" t="n">
        <x:f>INDEX('Specialisation Impact'!$AN$19:$AN$186,MATCH(A51,'Specialisation Impact'!$AO$19:$AO$186,0))</x:f>
        <x:v>10</x:v>
      </x:c>
      <x:c r="C51" s="617" t="str">
        <x:f>INDEX('Specialisation Impact'!$A$19:$A$186,MATCH(A51,'Specialisation Impact'!$AO$19:$AO$186,0))</x:f>
        <x:v>K176</x:v>
      </x:c>
      <x:c r="D51" s="617" t="str">
        <x:v>临兵斗者皆阵列前</x:v>
      </x:c>
      <x:c r="E51" s="622" t="n">
        <x:f>INDEX('Specialisation Impact'!$AM$19:$AM$186,MATCH(A51,'Specialisation Impact'!$AO$19:$AO$186,0))</x:f>
        <x:v>70.07758907758907</x:v>
      </x:c>
      <x:c r="F51" s="622" t="n">
        <x:f>INDEX('Specialisation Impact'!$AC$19:$AC$186,MATCH(A51,'Specialisation Impact'!$AO$19:$AO$186,0))</x:f>
        <x:v>77.40259740259741</x:v>
      </x:c>
      <x:c r="G51" s="622" t="n">
        <x:f>INDEX('Specialisation Impact'!$AF$19:$AF$186,MATCH(A51,'Specialisation Impact'!$AO$19:$AO$186,0))</x:f>
        <x:v>36.883116883116884</x:v>
      </x:c>
      <x:c r="H51" s="622" t="n">
        <x:f>INDEX('Specialisation Impact'!$AI$19:$AI$186,MATCH(A51,'Specialisation Impact'!$AO$19:$AO$186,0))</x:f>
        <x:v>67.01298701298701</x:v>
      </x:c>
      <x:c r="I51" s="622" t="n">
        <x:f>INDEX('Specialisation Impact'!$AK$19:$AK$186,MATCH(A51,'Specialisation Impact'!$AO$19:$AO$186,0))</x:f>
        <x:v>60.25641025641025</x:v>
      </x:c>
      <x:c r="J51" s="617" t="n">
        <x:f>INDEX('Specialisation Impact'!$E$19:$E$186,MATCH(A51,'Specialisation Impact'!$AO$19:$AO$186,0))</x:f>
        <x:v>4</x:v>
      </x:c>
      <x:c r="K51" s="632" t="n">
        <x:f>INDEX('Specialisation Impact'!$O$19:$O$186,MATCH(A51,'Specialisation Impact'!$AO$19:$AO$186,0))</x:f>
        <x:v>17099000</x:v>
      </x:c>
      <x:c r="L51" s="626" t="n">
        <x:f>INDEX('Specialisation Impact'!$F$19:$F$186,MATCH(A51,'Specialisation Impact'!$AO$19:$AO$186,0))</x:f>
        <x:v>1</x:v>
      </x:c>
      <x:c r="M51" s="617" t="str">
        <x:f>INDEX('Specialisation Impact'!$AA$19:$AA$186,MATCH(A51,'Specialisation Impact'!$AO$19:$AO$186,0))</x:f>
        <x:v>Recorded skills only</x:v>
      </x:c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</x:row>
    <x:row r="52">
      <x:c r="A52" s="618" t="n">
        <x:v>36</x:v>
      </x:c>
      <x:c r="B52" s="618" t="n">
        <x:f>INDEX('Specialisation Impact'!$AN$19:$AN$186,MATCH(A52,'Specialisation Impact'!$AO$19:$AO$186,0))</x:f>
        <x:v>5</x:v>
      </x:c>
      <x:c r="C52" s="618" t="str">
        <x:f>INDEX('Specialisation Impact'!$A$19:$A$186,MATCH(A52,'Specialisation Impact'!$AO$19:$AO$186,0))</x:f>
        <x:v>K170</x:v>
      </x:c>
      <x:c r="D52" s="618" t="str">
        <x:v>(AOT)鸣鸣鸣</x:v>
      </x:c>
      <x:c r="E52" s="623" t="n">
        <x:f>INDEX('Specialisation Impact'!$AM$19:$AM$186,MATCH(A52,'Specialisation Impact'!$AO$19:$AO$186,0))</x:f>
        <x:v>69.50649350649351</x:v>
      </x:c>
      <x:c r="F52" s="623" t="n">
        <x:f>INDEX('Specialisation Impact'!$AC$19:$AC$186,MATCH(A52,'Specialisation Impact'!$AO$19:$AO$186,0))</x:f>
        <x:v>78.7012987012987</x:v>
      </x:c>
      <x:c r="G52" s="623" t="n">
        <x:f>INDEX('Specialisation Impact'!$AF$19:$AF$186,MATCH(A52,'Specialisation Impact'!$AO$19:$AO$186,0))</x:f>
        <x:v>70.3896103896104</x:v>
      </x:c>
      <x:c r="H52" s="623" t="n">
        <x:f>INDEX('Specialisation Impact'!$AI$19:$AI$186,MATCH(A52,'Specialisation Impact'!$AO$19:$AO$186,0))</x:f>
        <x:v>42.07792207792208</x:v>
      </x:c>
      <x:c r="I52" s="623" t="n">
        <x:f>INDEX('Specialisation Impact'!$AK$19:$AK$186,MATCH(A52,'Specialisation Impact'!$AO$19:$AO$186,0))</x:f>
        <x:v>50</x:v>
      </x:c>
      <x:c r="J52" s="618" t="n">
        <x:f>INDEX('Specialisation Impact'!$E$19:$E$186,MATCH(A52,'Specialisation Impact'!$AO$19:$AO$186,0))</x:f>
        <x:v>3</x:v>
      </x:c>
      <x:c r="K52" s="631" t="n">
        <x:f>INDEX('Specialisation Impact'!$O$19:$O$186,MATCH(A52,'Specialisation Impact'!$AO$19:$AO$186,0))</x:f>
        <x:v>15172900</x:v>
      </x:c>
      <x:c r="L52" s="627" t="n">
        <x:f>INDEX('Specialisation Impact'!$F$19:$F$186,MATCH(A52,'Specialisation Impact'!$AO$19:$AO$186,0))</x:f>
        <x:v>1</x:v>
      </x:c>
      <x:c r="M52" s="618" t="str">
        <x:f>INDEX('Specialisation Impact'!$AA$19:$AA$186,MATCH(A52,'Specialisation Impact'!$AO$19:$AO$186,0))</x:f>
        <x:v>Recorded skills only</x:v>
      </x:c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</x:row>
    <x:row r="53">
      <x:c r="A53" s="617" t="n">
        <x:v>37</x:v>
      </x:c>
      <x:c r="B53" s="617" t="n">
        <x:f>INDEX('Specialisation Impact'!$AN$19:$AN$186,MATCH(A53,'Specialisation Impact'!$AO$19:$AO$186,0))</x:f>
        <x:v>3</x:v>
      </x:c>
      <x:c r="C53" s="617" t="str">
        <x:f>INDEX('Specialisation Impact'!$A$19:$A$186,MATCH(A53,'Specialisation Impact'!$AO$19:$AO$186,0))</x:f>
        <x:v>K91</x:v>
      </x:c>
      <x:c r="D53" s="617" t="str">
        <x:v>JustBlaze</x:v>
      </x:c>
      <x:c r="E53" s="622" t="n">
        <x:f>INDEX('Specialisation Impact'!$AM$19:$AM$186,MATCH(A53,'Specialisation Impact'!$AO$19:$AO$186,0))</x:f>
        <x:v>69.44577644577645</x:v>
      </x:c>
      <x:c r="F53" s="622" t="n">
        <x:f>INDEX('Specialisation Impact'!$AC$19:$AC$186,MATCH(A53,'Specialisation Impact'!$AO$19:$AO$186,0))</x:f>
        <x:v>92.46753246753246</x:v>
      </x:c>
      <x:c r="G53" s="622" t="n">
        <x:f>INDEX('Specialisation Impact'!$AF$19:$AF$186,MATCH(A53,'Specialisation Impact'!$AO$19:$AO$186,0))</x:f>
        <x:v>25.714285714285715</x:v>
      </x:c>
      <x:c r="H53" s="622" t="n">
        <x:f>INDEX('Specialisation Impact'!$AI$19:$AI$186,MATCH(A53,'Specialisation Impact'!$AO$19:$AO$186,0))</x:f>
        <x:v>42.85714285714286</x:v>
      </x:c>
      <x:c r="I53" s="622" t="n">
        <x:f>INDEX('Specialisation Impact'!$AK$19:$AK$186,MATCH(A53,'Specialisation Impact'!$AO$19:$AO$186,0))</x:f>
        <x:v>3.4188034188034186</x:v>
      </x:c>
      <x:c r="J53" s="617" t="n">
        <x:f>INDEX('Specialisation Impact'!$E$19:$E$186,MATCH(A53,'Specialisation Impact'!$AO$19:$AO$186,0))</x:f>
        <x:v>2</x:v>
      </x:c>
      <x:c r="K53" s="632" t="n">
        <x:f>INDEX('Specialisation Impact'!$O$19:$O$186,MATCH(A53,'Specialisation Impact'!$AO$19:$AO$186,0))</x:f>
        <x:v>16767900</x:v>
      </x:c>
      <x:c r="L53" s="626" t="n">
        <x:f>INDEX('Specialisation Impact'!$F$19:$F$186,MATCH(A53,'Specialisation Impact'!$AO$19:$AO$186,0))</x:f>
        <x:v>1</x:v>
      </x:c>
      <x:c r="M53" s="617" t="str">
        <x:f>INDEX('Specialisation Impact'!$AA$19:$AA$186,MATCH(A53,'Specialisation Impact'!$AO$19:$AO$186,0))</x:f>
        <x:v>Recorded skills only</x:v>
      </x:c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</x:row>
    <x:row r="54">
      <x:c r="A54" s="618" t="n">
        <x:v>38</x:v>
      </x:c>
      <x:c r="B54" s="618" t="n">
        <x:f>INDEX('Specialisation Impact'!$AN$19:$AN$186,MATCH(A54,'Specialisation Impact'!$AO$19:$AO$186,0))</x:f>
        <x:v>5</x:v>
      </x:c>
      <x:c r="C54" s="618" t="str">
        <x:f>INDEX('Specialisation Impact'!$A$19:$A$186,MATCH(A54,'Specialisation Impact'!$AO$19:$AO$186,0))</x:f>
        <x:v>K138</x:v>
      </x:c>
      <x:c r="D54" s="618" t="str">
        <x:v>(RaW)༺惊鸿༻</x:v>
      </x:c>
      <x:c r="E54" s="623" t="n">
        <x:f>INDEX('Specialisation Impact'!$AM$19:$AM$186,MATCH(A54,'Specialisation Impact'!$AO$19:$AO$186,0))</x:f>
        <x:v>69.33116883116884</x:v>
      </x:c>
      <x:c r="F54" s="623" t="n">
        <x:f>INDEX('Specialisation Impact'!$AC$19:$AC$186,MATCH(A54,'Specialisation Impact'!$AO$19:$AO$186,0))</x:f>
        <x:v>77.07792207792208</x:v>
      </x:c>
      <x:c r="G54" s="623" t="n">
        <x:f>INDEX('Specialisation Impact'!$AF$19:$AF$186,MATCH(A54,'Specialisation Impact'!$AO$19:$AO$186,0))</x:f>
        <x:v>76.55844155844156</x:v>
      </x:c>
      <x:c r="H54" s="623" t="n">
        <x:f>INDEX('Specialisation Impact'!$AI$19:$AI$186,MATCH(A54,'Specialisation Impact'!$AO$19:$AO$186,0))</x:f>
        <x:v>43.83116883116883</x:v>
      </x:c>
      <x:c r="I54" s="623" t="n">
        <x:f>INDEX('Specialisation Impact'!$AK$19:$AK$186,MATCH(A54,'Specialisation Impact'!$AO$19:$AO$186,0))</x:f>
        <x:v>50</x:v>
      </x:c>
      <x:c r="J54" s="618" t="n">
        <x:f>INDEX('Specialisation Impact'!$E$19:$E$186,MATCH(A54,'Specialisation Impact'!$AO$19:$AO$186,0))</x:f>
        <x:v>3</x:v>
      </x:c>
      <x:c r="K54" s="631" t="n">
        <x:f>INDEX('Specialisation Impact'!$O$19:$O$186,MATCH(A54,'Specialisation Impact'!$AO$19:$AO$186,0))</x:f>
        <x:v>17582900</x:v>
      </x:c>
      <x:c r="L54" s="627" t="n">
        <x:f>INDEX('Specialisation Impact'!$F$19:$F$186,MATCH(A54,'Specialisation Impact'!$AO$19:$AO$186,0))</x:f>
        <x:v>1</x:v>
      </x:c>
      <x:c r="M54" s="618" t="str">
        <x:f>INDEX('Specialisation Impact'!$AA$19:$AA$186,MATCH(A54,'Specialisation Impact'!$AO$19:$AO$186,0))</x:f>
        <x:v>Recorded skills only</x:v>
      </x:c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>
      <x:c r="A55" s="617" t="n">
        <x:v>39</x:v>
      </x:c>
      <x:c r="B55" s="617" t="n">
        <x:f>INDEX('Specialisation Impact'!$AN$19:$AN$186,MATCH(A55,'Specialisation Impact'!$AO$19:$AO$186,0))</x:f>
        <x:v>4</x:v>
      </x:c>
      <x:c r="C55" s="617" t="str">
        <x:f>INDEX('Specialisation Impact'!$A$19:$A$186,MATCH(A55,'Specialisation Impact'!$AO$19:$AO$186,0))</x:f>
        <x:v>K91</x:v>
      </x:c>
      <x:c r="D55" s="617" t="str">
        <x:v>KaladinTheHerald</x:v>
      </x:c>
      <x:c r="E55" s="622" t="n">
        <x:f>INDEX('Specialisation Impact'!$AM$19:$AM$186,MATCH(A55,'Specialisation Impact'!$AO$19:$AO$186,0))</x:f>
        <x:v>68.77433677433677</x:v>
      </x:c>
      <x:c r="F55" s="622" t="n">
        <x:f>INDEX('Specialisation Impact'!$AC$19:$AC$186,MATCH(A55,'Specialisation Impact'!$AO$19:$AO$186,0))</x:f>
        <x:v>89.48051948051949</x:v>
      </x:c>
      <x:c r="G55" s="622" t="n">
        <x:f>INDEX('Specialisation Impact'!$AF$19:$AF$186,MATCH(A55,'Specialisation Impact'!$AO$19:$AO$186,0))</x:f>
        <x:v>25.324675324675326</x:v>
      </x:c>
      <x:c r="H55" s="622" t="n">
        <x:f>INDEX('Specialisation Impact'!$AI$19:$AI$186,MATCH(A55,'Specialisation Impact'!$AO$19:$AO$186,0))</x:f>
        <x:v>42.46753246753247</x:v>
      </x:c>
      <x:c r="I55" s="622" t="n">
        <x:f>INDEX('Specialisation Impact'!$AK$19:$AK$186,MATCH(A55,'Specialisation Impact'!$AO$19:$AO$186,0))</x:f>
        <x:v>17.094017094017094</x:v>
      </x:c>
      <x:c r="J55" s="617" t="n">
        <x:f>INDEX('Specialisation Impact'!$E$19:$E$186,MATCH(A55,'Specialisation Impact'!$AO$19:$AO$186,0))</x:f>
        <x:v>2</x:v>
      </x:c>
      <x:c r="K55" s="632" t="n">
        <x:f>INDEX('Specialisation Impact'!$O$19:$O$186,MATCH(A55,'Specialisation Impact'!$AO$19:$AO$186,0))</x:f>
        <x:v>16802900</x:v>
      </x:c>
      <x:c r="L55" s="626" t="n">
        <x:f>INDEX('Specialisation Impact'!$F$19:$F$186,MATCH(A55,'Specialisation Impact'!$AO$19:$AO$186,0))</x:f>
        <x:v>1</x:v>
      </x:c>
      <x:c r="M55" s="617" t="str">
        <x:f>INDEX('Specialisation Impact'!$AA$19:$AA$186,MATCH(A55,'Specialisation Impact'!$AO$19:$AO$186,0))</x:f>
        <x:v>Recorded skills only</x:v>
      </x:c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</x:row>
    <x:row r="56">
      <x:c r="A56" s="618" t="n">
        <x:v>40</x:v>
      </x:c>
      <x:c r="B56" s="618" t="n">
        <x:f>INDEX('Specialisation Impact'!$AN$19:$AN$186,MATCH(A56,'Specialisation Impact'!$AO$19:$AO$186,0))</x:f>
        <x:v>6</x:v>
      </x:c>
      <x:c r="C56" s="618" t="str">
        <x:f>INDEX('Specialisation Impact'!$A$19:$A$186,MATCH(A56,'Specialisation Impact'!$AO$19:$AO$186,0))</x:f>
        <x:v>K54</x:v>
      </x:c>
      <x:c r="D56" s="618" t="str">
        <x:v>爽歪歪</x:v>
      </x:c>
      <x:c r="E56" s="623" t="n">
        <x:f>INDEX('Specialisation Impact'!$AM$19:$AM$186,MATCH(A56,'Specialisation Impact'!$AO$19:$AO$186,0))</x:f>
        <x:v>68.65390165390166</x:v>
      </x:c>
      <x:c r="F56" s="623" t="n">
        <x:f>INDEX('Specialisation Impact'!$AC$19:$AC$186,MATCH(A56,'Specialisation Impact'!$AO$19:$AO$186,0))</x:f>
        <x:v>79.0909090909091</x:v>
      </x:c>
      <x:c r="G56" s="623" t="n">
        <x:f>INDEX('Specialisation Impact'!$AF$19:$AF$186,MATCH(A56,'Specialisation Impact'!$AO$19:$AO$186,0))</x:f>
        <x:v>21.42857142857143</x:v>
      </x:c>
      <x:c r="H56" s="623" t="n">
        <x:f>INDEX('Specialisation Impact'!$AI$19:$AI$186,MATCH(A56,'Specialisation Impact'!$AO$19:$AO$186,0))</x:f>
        <x:v>38.57142857142857</x:v>
      </x:c>
      <x:c r="I56" s="623" t="n">
        <x:f>INDEX('Specialisation Impact'!$AK$19:$AK$186,MATCH(A56,'Specialisation Impact'!$AO$19:$AO$186,0))</x:f>
        <x:v>93.16239316239316</x:v>
      </x:c>
      <x:c r="J56" s="618" t="n">
        <x:f>INDEX('Specialisation Impact'!$E$19:$E$186,MATCH(A56,'Specialisation Impact'!$AO$19:$AO$186,0))</x:f>
        <x:v>2</x:v>
      </x:c>
      <x:c r="K56" s="631" t="n">
        <x:f>INDEX('Specialisation Impact'!$O$19:$O$186,MATCH(A56,'Specialisation Impact'!$AO$19:$AO$186,0))</x:f>
        <x:v>22272900</x:v>
      </x:c>
      <x:c r="L56" s="627" t="n">
        <x:f>INDEX('Specialisation Impact'!$F$19:$F$186,MATCH(A56,'Specialisation Impact'!$AO$19:$AO$186,0))</x:f>
        <x:v>1</x:v>
      </x:c>
      <x:c r="M56" s="618" t="str">
        <x:f>INDEX('Specialisation Impact'!$AA$19:$AA$186,MATCH(A56,'Specialisation Impact'!$AO$19:$AO$186,0))</x:f>
        <x:v>Recorded skills only</x:v>
      </x:c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>
      <x:c r="A57" s="617" t="n">
        <x:v>41</x:v>
      </x:c>
      <x:c r="B57" s="617" t="n">
        <x:f>INDEX('Specialisation Impact'!$AN$19:$AN$186,MATCH(A57,'Specialisation Impact'!$AO$19:$AO$186,0))</x:f>
        <x:v>7</x:v>
      </x:c>
      <x:c r="C57" s="617" t="str">
        <x:f>INDEX('Specialisation Impact'!$A$19:$A$186,MATCH(A57,'Specialisation Impact'!$AO$19:$AO$186,0))</x:f>
        <x:v>K60</x:v>
      </x:c>
      <x:c r="D57" s="617" t="str">
        <x:v>kvisteer</x:v>
      </x:c>
      <x:c r="E57" s="622" t="n">
        <x:f>INDEX('Specialisation Impact'!$AM$19:$AM$186,MATCH(A57,'Specialisation Impact'!$AO$19:$AO$186,0))</x:f>
        <x:v>68.25391275391274</x:v>
      </x:c>
      <x:c r="F57" s="622" t="n">
        <x:f>INDEX('Specialisation Impact'!$AC$19:$AC$186,MATCH(A57,'Specialisation Impact'!$AO$19:$AO$186,0))</x:f>
        <x:v>80.97402597402598</x:v>
      </x:c>
      <x:c r="G57" s="622" t="n">
        <x:f>INDEX('Specialisation Impact'!$AF$19:$AF$186,MATCH(A57,'Specialisation Impact'!$AO$19:$AO$186,0))</x:f>
        <x:v>64.0909090909091</x:v>
      </x:c>
      <x:c r="H57" s="622" t="n">
        <x:f>INDEX('Specialisation Impact'!$AI$19:$AI$186,MATCH(A57,'Specialisation Impact'!$AO$19:$AO$186,0))</x:f>
        <x:v>41.753246753246756</x:v>
      </x:c>
      <x:c r="I57" s="622" t="n">
        <x:f>INDEX('Specialisation Impact'!$AK$19:$AK$186,MATCH(A57,'Specialisation Impact'!$AO$19:$AO$186,0))</x:f>
        <x:v>29.48717948717949</x:v>
      </x:c>
      <x:c r="J57" s="617" t="n">
        <x:f>INDEX('Specialisation Impact'!$E$19:$E$186,MATCH(A57,'Specialisation Impact'!$AO$19:$AO$186,0))</x:f>
        <x:v>3</x:v>
      </x:c>
      <x:c r="K57" s="632" t="n">
        <x:f>INDEX('Specialisation Impact'!$O$19:$O$186,MATCH(A57,'Specialisation Impact'!$AO$19:$AO$186,0))</x:f>
        <x:v>17257200</x:v>
      </x:c>
      <x:c r="L57" s="626" t="n">
        <x:f>INDEX('Specialisation Impact'!$F$19:$F$186,MATCH(A57,'Specialisation Impact'!$AO$19:$AO$186,0))</x:f>
        <x:v>1</x:v>
      </x:c>
      <x:c r="M57" s="617" t="str">
        <x:f>INDEX('Specialisation Impact'!$AA$19:$AA$186,MATCH(A57,'Specialisation Impact'!$AO$19:$AO$186,0))</x:f>
        <x:v>Recorded skills only</x:v>
      </x:c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</x:row>
    <x:row r="58">
      <x:c r="A58" s="618" t="n">
        <x:v>42</x:v>
      </x:c>
      <x:c r="B58" s="618" t="n">
        <x:f>INDEX('Specialisation Impact'!$AN$19:$AN$186,MATCH(A58,'Specialisation Impact'!$AO$19:$AO$186,0))</x:f>
        <x:v>3</x:v>
      </x:c>
      <x:c r="C58" s="618" t="str">
        <x:f>INDEX('Specialisation Impact'!$A$19:$A$186,MATCH(A58,'Specialisation Impact'!$AO$19:$AO$186,0))</x:f>
        <x:v>K116</x:v>
      </x:c>
      <x:c r="D58" s="618" t="str">
        <x:v>不可理喻</x:v>
      </x:c>
      <x:c r="E58" s="623" t="n">
        <x:f>INDEX('Specialisation Impact'!$AM$19:$AM$186,MATCH(A58,'Specialisation Impact'!$AO$19:$AO$186,0))</x:f>
        <x:v>67.69730269730272</x:v>
      </x:c>
      <x:c r="F58" s="623" t="n">
        <x:f>INDEX('Specialisation Impact'!$AC$19:$AC$186,MATCH(A58,'Specialisation Impact'!$AO$19:$AO$186,0))</x:f>
        <x:v>65.5844155844156</x:v>
      </x:c>
      <x:c r="G58" s="623" t="n">
        <x:f>INDEX('Specialisation Impact'!$AF$19:$AF$186,MATCH(A58,'Specialisation Impact'!$AO$19:$AO$186,0))</x:f>
        <x:v>59.350649350649356</x:v>
      </x:c>
      <x:c r="H58" s="623" t="n">
        <x:f>INDEX('Specialisation Impact'!$AI$19:$AI$186,MATCH(A58,'Specialisation Impact'!$AO$19:$AO$186,0))</x:f>
        <x:v>78.83116883116884</x:v>
      </x:c>
      <x:c r="I58" s="623" t="n">
        <x:f>INDEX('Specialisation Impact'!$AK$19:$AK$186,MATCH(A58,'Specialisation Impact'!$AO$19:$AO$186,0))</x:f>
        <x:v>73.07692307692308</x:v>
      </x:c>
      <x:c r="J58" s="618" t="n">
        <x:f>INDEX('Specialisation Impact'!$E$19:$E$186,MATCH(A58,'Specialisation Impact'!$AO$19:$AO$186,0))</x:f>
        <x:v>4</x:v>
      </x:c>
      <x:c r="K58" s="631" t="n">
        <x:f>INDEX('Specialisation Impact'!$O$19:$O$186,MATCH(A58,'Specialisation Impact'!$AO$19:$AO$186,0))</x:f>
        <x:v>18341500</x:v>
      </x:c>
      <x:c r="L58" s="627" t="n">
        <x:f>INDEX('Specialisation Impact'!$F$19:$F$186,MATCH(A58,'Specialisation Impact'!$AO$19:$AO$186,0))</x:f>
        <x:v>1</x:v>
      </x:c>
      <x:c r="M58" s="618" t="str">
        <x:f>INDEX('Specialisation Impact'!$AA$19:$AA$186,MATCH(A58,'Specialisation Impact'!$AO$19:$AO$186,0))</x:f>
        <x:v>Recorded skills only</x:v>
      </x:c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>
      <x:c r="A59" s="617" t="n">
        <x:v>43</x:v>
      </x:c>
      <x:c r="B59" s="617" t="n">
        <x:f>INDEX('Specialisation Impact'!$AN$19:$AN$186,MATCH(A59,'Specialisation Impact'!$AO$19:$AO$186,0))</x:f>
        <x:v>6</x:v>
      </x:c>
      <x:c r="C59" s="617" t="str">
        <x:f>INDEX('Specialisation Impact'!$A$19:$A$186,MATCH(A59,'Specialisation Impact'!$AO$19:$AO$186,0))</x:f>
        <x:v>K138</x:v>
      </x:c>
      <x:c r="D59" s="617" t="str">
        <x:v>(RaW)༺Frankie༻</x:v>
      </x:c>
      <x:c r="E59" s="622" t="n">
        <x:f>INDEX('Specialisation Impact'!$AM$19:$AM$186,MATCH(A59,'Specialisation Impact'!$AO$19:$AO$186,0))</x:f>
        <x:v>66.65390165390166</x:v>
      </x:c>
      <x:c r="F59" s="622" t="n">
        <x:f>INDEX('Specialisation Impact'!$AC$19:$AC$186,MATCH(A59,'Specialisation Impact'!$AO$19:$AO$186,0))</x:f>
        <x:v>67.01298701298701</x:v>
      </x:c>
      <x:c r="G59" s="622" t="n">
        <x:f>INDEX('Specialisation Impact'!$AF$19:$AF$186,MATCH(A59,'Specialisation Impact'!$AO$19:$AO$186,0))</x:f>
        <x:v>32.98701298701299</x:v>
      </x:c>
      <x:c r="H59" s="622" t="n">
        <x:f>INDEX('Specialisation Impact'!$AI$19:$AI$186,MATCH(A59,'Specialisation Impact'!$AO$19:$AO$186,0))</x:f>
        <x:v>69.87012987012987</x:v>
      </x:c>
      <x:c r="I59" s="622" t="n">
        <x:f>INDEX('Specialisation Impact'!$AK$19:$AK$186,MATCH(A59,'Specialisation Impact'!$AO$19:$AO$186,0))</x:f>
        <x:v>93.16239316239316</x:v>
      </x:c>
      <x:c r="J59" s="617" t="n">
        <x:f>INDEX('Specialisation Impact'!$E$19:$E$186,MATCH(A59,'Specialisation Impact'!$AO$19:$AO$186,0))</x:f>
        <x:v>4</x:v>
      </x:c>
      <x:c r="K59" s="632" t="n">
        <x:f>INDEX('Specialisation Impact'!$O$19:$O$186,MATCH(A59,'Specialisation Impact'!$AO$19:$AO$186,0))</x:f>
        <x:v>20841500</x:v>
      </x:c>
      <x:c r="L59" s="626" t="n">
        <x:f>INDEX('Specialisation Impact'!$F$19:$F$186,MATCH(A59,'Specialisation Impact'!$AO$19:$AO$186,0))</x:f>
        <x:v>1</x:v>
      </x:c>
      <x:c r="M59" s="617" t="str">
        <x:f>INDEX('Specialisation Impact'!$AA$19:$AA$186,MATCH(A59,'Specialisation Impact'!$AO$19:$AO$186,0))</x:f>
        <x:v>Recorded skills only</x:v>
      </x:c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</x:row>
    <x:row r="60">
      <x:c r="A60" s="618" t="n">
        <x:v>44</x:v>
      </x:c>
      <x:c r="B60" s="618" t="n">
        <x:f>INDEX('Specialisation Impact'!$AN$19:$AN$186,MATCH(A60,'Specialisation Impact'!$AO$19:$AO$186,0))</x:f>
        <x:v>11</x:v>
      </x:c>
      <x:c r="C60" s="618" t="str">
        <x:f>INDEX('Specialisation Impact'!$A$19:$A$186,MATCH(A60,'Specialisation Impact'!$AO$19:$AO$186,0))</x:f>
        <x:v>K176</x:v>
      </x:c>
      <x:c r="D60" s="618" t="str">
        <x:v>老黑黑</x:v>
      </x:c>
      <x:c r="E60" s="623" t="n">
        <x:f>INDEX('Specialisation Impact'!$AM$19:$AM$186,MATCH(A60,'Specialisation Impact'!$AO$19:$AO$186,0))</x:f>
        <x:v>65.81784881784883</x:v>
      </x:c>
      <x:c r="F60" s="623" t="n">
        <x:f>INDEX('Specialisation Impact'!$AC$19:$AC$186,MATCH(A60,'Specialisation Impact'!$AO$19:$AO$186,0))</x:f>
        <x:v>65.84415584415585</x:v>
      </x:c>
      <x:c r="G60" s="623" t="n">
        <x:f>INDEX('Specialisation Impact'!$AF$19:$AF$186,MATCH(A60,'Specialisation Impact'!$AO$19:$AO$186,0))</x:f>
        <x:v>67.66233766233768</x:v>
      </x:c>
      <x:c r="H60" s="623" t="n">
        <x:f>INDEX('Specialisation Impact'!$AI$19:$AI$186,MATCH(A60,'Specialisation Impact'!$AO$19:$AO$186,0))</x:f>
        <x:v>68.18181818181819</x:v>
      </x:c>
      <x:c r="I60" s="623" t="n">
        <x:f>INDEX('Specialisation Impact'!$AK$19:$AK$186,MATCH(A60,'Specialisation Impact'!$AO$19:$AO$186,0))</x:f>
        <x:v>60.25641025641025</x:v>
      </x:c>
      <x:c r="J60" s="618" t="n">
        <x:f>INDEX('Specialisation Impact'!$E$19:$E$186,MATCH(A60,'Specialisation Impact'!$AO$19:$AO$186,0))</x:f>
        <x:v>4</x:v>
      </x:c>
      <x:c r="K60" s="631" t="n">
        <x:f>INDEX('Specialisation Impact'!$O$19:$O$186,MATCH(A60,'Specialisation Impact'!$AO$19:$AO$186,0))</x:f>
        <x:v>17001500</x:v>
      </x:c>
      <x:c r="L60" s="627" t="n">
        <x:f>INDEX('Specialisation Impact'!$F$19:$F$186,MATCH(A60,'Specialisation Impact'!$AO$19:$AO$186,0))</x:f>
        <x:v>1</x:v>
      </x:c>
      <x:c r="M60" s="618" t="str">
        <x:f>INDEX('Specialisation Impact'!$AA$19:$AA$186,MATCH(A60,'Specialisation Impact'!$AO$19:$AO$186,0))</x:f>
        <x:v>Recorded skills only</x:v>
      </x:c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</x:row>
    <x:row r="61">
      <x:c r="A61" s="617" t="n">
        <x:v>45</x:v>
      </x:c>
      <x:c r="B61" s="617" t="n">
        <x:f>INDEX('Specialisation Impact'!$AN$19:$AN$186,MATCH(A61,'Specialisation Impact'!$AO$19:$AO$186,0))</x:f>
        <x:v>8</x:v>
      </x:c>
      <x:c r="C61" s="617" t="str">
        <x:f>INDEX('Specialisation Impact'!$A$19:$A$186,MATCH(A61,'Specialisation Impact'!$AO$19:$AO$186,0))</x:f>
        <x:v>K60</x:v>
      </x:c>
      <x:c r="D61" s="617" t="str">
        <x:v>Houdini</x:v>
      </x:c>
      <x:c r="E61" s="622" t="n">
        <x:f>INDEX('Specialisation Impact'!$AM$19:$AM$186,MATCH(A61,'Specialisation Impact'!$AO$19:$AO$186,0))</x:f>
        <x:v>64.97402597402598</x:v>
      </x:c>
      <x:c r="F61" s="622" t="n">
        <x:f>INDEX('Specialisation Impact'!$AC$19:$AC$186,MATCH(A61,'Specialisation Impact'!$AO$19:$AO$186,0))</x:f>
        <x:v>74.15584415584416</x:v>
      </x:c>
      <x:c r="G61" s="622" t="n">
        <x:f>INDEX('Specialisation Impact'!$AF$19:$AF$186,MATCH(A61,'Specialisation Impact'!$AO$19:$AO$186,0))</x:f>
        <x:v>58.311688311688314</x:v>
      </x:c>
      <x:c r="H61" s="622" t="n">
        <x:f>INDEX('Specialisation Impact'!$AI$19:$AI$186,MATCH(A61,'Specialisation Impact'!$AO$19:$AO$186,0))</x:f>
        <x:v>39.61038961038961</x:v>
      </x:c>
      <x:c r="I61" s="622" t="n">
        <x:f>INDEX('Specialisation Impact'!$AK$19:$AK$186,MATCH(A61,'Specialisation Impact'!$AO$19:$AO$186,0))</x:f>
        <x:v>50</x:v>
      </x:c>
      <x:c r="J61" s="617" t="n">
        <x:f>INDEX('Specialisation Impact'!$E$19:$E$186,MATCH(A61,'Specialisation Impact'!$AO$19:$AO$186,0))</x:f>
        <x:v>3</x:v>
      </x:c>
      <x:c r="K61" s="632" t="n">
        <x:f>INDEX('Specialisation Impact'!$O$19:$O$186,MATCH(A61,'Specialisation Impact'!$AO$19:$AO$186,0))</x:f>
        <x:v>12852900</x:v>
      </x:c>
      <x:c r="L61" s="626" t="n">
        <x:f>INDEX('Specialisation Impact'!$F$19:$F$186,MATCH(A61,'Specialisation Impact'!$AO$19:$AO$186,0))</x:f>
        <x:v>1</x:v>
      </x:c>
      <x:c r="M61" s="617" t="str">
        <x:f>INDEX('Specialisation Impact'!$AA$19:$AA$186,MATCH(A61,'Specialisation Impact'!$AO$19:$AO$186,0))</x:f>
        <x:v>Recorded skills only</x:v>
      </x:c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>
      <x:c r="A62" s="618" t="n">
        <x:v>46</x:v>
      </x:c>
      <x:c r="B62" s="618" t="n">
        <x:f>INDEX('Specialisation Impact'!$AN$19:$AN$186,MATCH(A62,'Specialisation Impact'!$AO$19:$AO$186,0))</x:f>
        <x:v>7</x:v>
      </x:c>
      <x:c r="C62" s="618" t="str">
        <x:f>INDEX('Specialisation Impact'!$A$19:$A$186,MATCH(A62,'Specialisation Impact'!$AO$19:$AO$186,0))</x:f>
        <x:v>K54</x:v>
      </x:c>
      <x:c r="D62" s="618" t="str">
        <x:v>纵横,,,离火</x:v>
      </x:c>
      <x:c r="E62" s="623" t="n">
        <x:f>INDEX('Specialisation Impact'!$AM$19:$AM$186,MATCH(A62,'Specialisation Impact'!$AO$19:$AO$186,0))</x:f>
        <x:v>64.2987012987013</x:v>
      </x:c>
      <x:c r="F62" s="623" t="n">
        <x:f>INDEX('Specialisation Impact'!$AC$19:$AC$186,MATCH(A62,'Specialisation Impact'!$AO$19:$AO$186,0))</x:f>
        <x:v>62.727272727272734</x:v>
      </x:c>
      <x:c r="G62" s="623" t="n">
        <x:f>INDEX('Specialisation Impact'!$AF$19:$AF$186,MATCH(A62,'Specialisation Impact'!$AO$19:$AO$186,0))</x:f>
        <x:v>62.727272727272734</x:v>
      </x:c>
      <x:c r="H62" s="623" t="n">
        <x:f>INDEX('Specialisation Impact'!$AI$19:$AI$186,MATCH(A62,'Specialisation Impact'!$AO$19:$AO$186,0))</x:f>
        <x:v>81.6883116883117</x:v>
      </x:c>
      <x:c r="I62" s="623" t="n">
        <x:f>INDEX('Specialisation Impact'!$AK$19:$AK$186,MATCH(A62,'Specialisation Impact'!$AO$19:$AO$186,0))</x:f>
        <x:v>50</x:v>
      </x:c>
      <x:c r="J62" s="618" t="n">
        <x:f>INDEX('Specialisation Impact'!$E$19:$E$186,MATCH(A62,'Specialisation Impact'!$AO$19:$AO$186,0))</x:f>
        <x:v>4</x:v>
      </x:c>
      <x:c r="K62" s="631" t="n">
        <x:f>INDEX('Specialisation Impact'!$O$19:$O$186,MATCH(A62,'Specialisation Impact'!$AO$19:$AO$186,0))</x:f>
        <x:v>13297200</x:v>
      </x:c>
      <x:c r="L62" s="627" t="n">
        <x:f>INDEX('Specialisation Impact'!$F$19:$F$186,MATCH(A62,'Specialisation Impact'!$AO$19:$AO$186,0))</x:f>
        <x:v>1</x:v>
      </x:c>
      <x:c r="M62" s="618" t="str">
        <x:f>INDEX('Specialisation Impact'!$AA$19:$AA$186,MATCH(A62,'Specialisation Impact'!$AO$19:$AO$186,0))</x:f>
        <x:v>Recorded skills only</x:v>
      </x:c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</x:row>
    <x:row r="63">
      <x:c r="A63" s="617" t="n">
        <x:v>47</x:v>
      </x:c>
      <x:c r="B63" s="617" t="n">
        <x:f>INDEX('Specialisation Impact'!$AN$19:$AN$186,MATCH(A63,'Specialisation Impact'!$AO$19:$AO$186,0))</x:f>
        <x:v>12</x:v>
      </x:c>
      <x:c r="C63" s="617" t="str">
        <x:f>INDEX('Specialisation Impact'!$A$19:$A$186,MATCH(A63,'Specialisation Impact'!$AO$19:$AO$186,0))</x:f>
        <x:v>K176</x:v>
      </x:c>
      <x:c r="D63" s="617" t="str">
        <x:v>岑胖子</x:v>
      </x:c>
      <x:c r="E63" s="622" t="n">
        <x:f>INDEX('Specialisation Impact'!$AM$19:$AM$186,MATCH(A63,'Specialisation Impact'!$AO$19:$AO$186,0))</x:f>
        <x:v>63.752913752913756</x:v>
      </x:c>
      <x:c r="F63" s="622" t="n">
        <x:f>INDEX('Specialisation Impact'!$AC$19:$AC$186,MATCH(A63,'Specialisation Impact'!$AO$19:$AO$186,0))</x:f>
        <x:v>69.0909090909091</x:v>
      </x:c>
      <x:c r="G63" s="622" t="n">
        <x:f>INDEX('Specialisation Impact'!$AF$19:$AF$186,MATCH(A63,'Specialisation Impact'!$AO$19:$AO$186,0))</x:f>
        <x:v>31.948051948051948</x:v>
      </x:c>
      <x:c r="H63" s="622" t="n">
        <x:f>INDEX('Specialisation Impact'!$AI$19:$AI$186,MATCH(A63,'Specialisation Impact'!$AO$19:$AO$186,0))</x:f>
        <x:v>64.15584415584416</x:v>
      </x:c>
      <x:c r="I63" s="622" t="n">
        <x:f>INDEX('Specialisation Impact'!$AK$19:$AK$186,MATCH(A63,'Specialisation Impact'!$AO$19:$AO$186,0))</x:f>
        <x:v>60.25641025641025</x:v>
      </x:c>
      <x:c r="J63" s="617" t="n">
        <x:f>INDEX('Specialisation Impact'!$E$19:$E$186,MATCH(A63,'Specialisation Impact'!$AO$19:$AO$186,0))</x:f>
        <x:v>4</x:v>
      </x:c>
      <x:c r="K63" s="632" t="n">
        <x:f>INDEX('Specialisation Impact'!$O$19:$O$186,MATCH(A63,'Specialisation Impact'!$AO$19:$AO$186,0))</x:f>
        <x:v>14621500</x:v>
      </x:c>
      <x:c r="L63" s="626" t="n">
        <x:f>INDEX('Specialisation Impact'!$F$19:$F$186,MATCH(A63,'Specialisation Impact'!$AO$19:$AO$186,0))</x:f>
        <x:v>1</x:v>
      </x:c>
      <x:c r="M63" s="617" t="str">
        <x:f>INDEX('Specialisation Impact'!$AA$19:$AA$186,MATCH(A63,'Specialisation Impact'!$AO$19:$AO$186,0))</x:f>
        <x:v>Recorded skills only</x:v>
      </x:c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</x:row>
    <x:row r="64">
      <x:c r="A64" s="618" t="n">
        <x:v>48</x:v>
      </x:c>
      <x:c r="B64" s="618" t="n">
        <x:f>INDEX('Specialisation Impact'!$AN$19:$AN$186,MATCH(A64,'Specialisation Impact'!$AO$19:$AO$186,0))</x:f>
        <x:v>9</x:v>
      </x:c>
      <x:c r="C64" s="618" t="str">
        <x:f>INDEX('Specialisation Impact'!$A$19:$A$186,MATCH(A64,'Specialisation Impact'!$AO$19:$AO$186,0))</x:f>
        <x:v>K60</x:v>
      </x:c>
      <x:c r="D64" s="618" t="str">
        <x:v>陰影Sam</x:v>
      </x:c>
      <x:c r="E64" s="623" t="n">
        <x:f>INDEX('Specialisation Impact'!$AM$19:$AM$186,MATCH(A64,'Specialisation Impact'!$AO$19:$AO$186,0))</x:f>
        <x:v>63.53962703962704</x:v>
      </x:c>
      <x:c r="F64" s="623" t="n">
        <x:f>INDEX('Specialisation Impact'!$AC$19:$AC$186,MATCH(A64,'Specialisation Impact'!$AO$19:$AO$186,0))</x:f>
        <x:v>76.68831168831169</x:v>
      </x:c>
      <x:c r="G64" s="623" t="n">
        <x:f>INDEX('Specialisation Impact'!$AF$19:$AF$186,MATCH(A64,'Specialisation Impact'!$AO$19:$AO$186,0))</x:f>
        <x:v>47.33766233766234</x:v>
      </x:c>
      <x:c r="H64" s="623" t="n">
        <x:f>INDEX('Specialisation Impact'!$AI$19:$AI$186,MATCH(A64,'Specialisation Impact'!$AO$19:$AO$186,0))</x:f>
        <x:v>40.06493506493507</x:v>
      </x:c>
      <x:c r="I64" s="623" t="n">
        <x:f>INDEX('Specialisation Impact'!$AK$19:$AK$186,MATCH(A64,'Specialisation Impact'!$AO$19:$AO$186,0))</x:f>
        <x:v>29.48717948717949</x:v>
      </x:c>
      <x:c r="J64" s="618" t="n">
        <x:f>INDEX('Specialisation Impact'!$E$19:$E$186,MATCH(A64,'Specialisation Impact'!$AO$19:$AO$186,0))</x:f>
        <x:v>3</x:v>
      </x:c>
      <x:c r="K64" s="631" t="n">
        <x:f>INDEX('Specialisation Impact'!$O$19:$O$186,MATCH(A64,'Specialisation Impact'!$AO$19:$AO$186,0))</x:f>
        <x:v>15377200</x:v>
      </x:c>
      <x:c r="L64" s="627" t="n">
        <x:f>INDEX('Specialisation Impact'!$F$19:$F$186,MATCH(A64,'Specialisation Impact'!$AO$19:$AO$186,0))</x:f>
        <x:v>1</x:v>
      </x:c>
      <x:c r="M64" s="618" t="str">
        <x:f>INDEX('Specialisation Impact'!$AA$19:$AA$186,MATCH(A64,'Specialisation Impact'!$AO$19:$AO$186,0))</x:f>
        <x:v>Recorded skills only</x:v>
      </x:c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>
      <x:c r="A65" s="617" t="n">
        <x:v>49</x:v>
      </x:c>
      <x:c r="B65" s="617" t="n">
        <x:f>INDEX('Specialisation Impact'!$AN$19:$AN$186,MATCH(A65,'Specialisation Impact'!$AO$19:$AO$186,0))</x:f>
        <x:v>10</x:v>
      </x:c>
      <x:c r="C65" s="617" t="str">
        <x:f>INDEX('Specialisation Impact'!$A$19:$A$186,MATCH(A65,'Specialisation Impact'!$AO$19:$AO$186,0))</x:f>
        <x:v>K60</x:v>
      </x:c>
      <x:c r="D65" s="617" t="str">
        <x:v>RONINtrike</x:v>
      </x:c>
      <x:c r="E65" s="622" t="n">
        <x:f>INDEX('Specialisation Impact'!$AM$19:$AM$186,MATCH(A65,'Specialisation Impact'!$AO$19:$AO$186,0))</x:f>
        <x:v>63.246753246753244</x:v>
      </x:c>
      <x:c r="F65" s="622" t="n">
        <x:f>INDEX('Specialisation Impact'!$AC$19:$AC$186,MATCH(A65,'Specialisation Impact'!$AO$19:$AO$186,0))</x:f>
        <x:v>62.077922077922075</x:v>
      </x:c>
      <x:c r="G65" s="622" t="n">
        <x:f>INDEX('Specialisation Impact'!$AF$19:$AF$186,MATCH(A65,'Specialisation Impact'!$AO$19:$AO$186,0))</x:f>
        <x:v>48.05194805194805</x:v>
      </x:c>
      <x:c r="H65" s="622" t="n">
        <x:f>INDEX('Specialisation Impact'!$AI$19:$AI$186,MATCH(A65,'Specialisation Impact'!$AO$19:$AO$186,0))</x:f>
        <x:v>87.27272727272728</x:v>
      </x:c>
      <x:c r="I65" s="622" t="n">
        <x:f>INDEX('Specialisation Impact'!$AK$19:$AK$186,MATCH(A65,'Specialisation Impact'!$AO$19:$AO$186,0))</x:f>
        <x:v>50</x:v>
      </x:c>
      <x:c r="J65" s="617" t="n">
        <x:f>INDEX('Specialisation Impact'!$E$19:$E$186,MATCH(A65,'Specialisation Impact'!$AO$19:$AO$186,0))</x:f>
        <x:v>4</x:v>
      </x:c>
      <x:c r="K65" s="632" t="n">
        <x:f>INDEX('Specialisation Impact'!$O$19:$O$186,MATCH(A65,'Specialisation Impact'!$AO$19:$AO$186,0))</x:f>
        <x:v>13497200</x:v>
      </x:c>
      <x:c r="L65" s="626" t="n">
        <x:f>INDEX('Specialisation Impact'!$F$19:$F$186,MATCH(A65,'Specialisation Impact'!$AO$19:$AO$186,0))</x:f>
        <x:v>0.8</x:v>
      </x:c>
      <x:c r="M65" s="617" t="str">
        <x:f>INDEX('Specialisation Impact'!$AA$19:$AA$186,MATCH(A65,'Specialisation Impact'!$AO$19:$AO$186,0))</x:f>
        <x:v>Review missing level</x:v>
      </x:c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</x:row>
    <x:row r="66">
      <x:c r="A66" s="618" t="n">
        <x:v>50</x:v>
      </x:c>
      <x:c r="B66" s="618" t="n">
        <x:f>INDEX('Specialisation Impact'!$AN$19:$AN$186,MATCH(A66,'Specialisation Impact'!$AO$19:$AO$186,0))</x:f>
        <x:v>13</x:v>
      </x:c>
      <x:c r="C66" s="618" t="str">
        <x:f>INDEX('Specialisation Impact'!$A$19:$A$186,MATCH(A66,'Specialisation Impact'!$AO$19:$AO$186,0))</x:f>
        <x:v>K176</x:v>
      </x:c>
      <x:c r="D66" s="618" t="str">
        <x:v>ʚ老⑥ɞ</x:v>
      </x:c>
      <x:c r="E66" s="623" t="n">
        <x:f>INDEX('Specialisation Impact'!$AM$19:$AM$186,MATCH(A66,'Specialisation Impact'!$AO$19:$AO$186,0))</x:f>
        <x:v>61.72305472305473</x:v>
      </x:c>
      <x:c r="F66" s="623" t="n">
        <x:f>INDEX('Specialisation Impact'!$AC$19:$AC$186,MATCH(A66,'Specialisation Impact'!$AO$19:$AO$186,0))</x:f>
        <x:v>58.83116883116884</x:v>
      </x:c>
      <x:c r="G66" s="623" t="n">
        <x:f>INDEX('Specialisation Impact'!$AF$19:$AF$186,MATCH(A66,'Specialisation Impact'!$AO$19:$AO$186,0))</x:f>
        <x:v>62.20779220779222</x:v>
      </x:c>
      <x:c r="H66" s="623" t="n">
        <x:f>INDEX('Specialisation Impact'!$AI$19:$AI$186,MATCH(A66,'Specialisation Impact'!$AO$19:$AO$186,0))</x:f>
        <x:v>84.02597402597402</x:v>
      </x:c>
      <x:c r="I66" s="623" t="n">
        <x:f>INDEX('Specialisation Impact'!$AK$19:$AK$186,MATCH(A66,'Specialisation Impact'!$AO$19:$AO$186,0))</x:f>
        <x:v>46.58119658119658</x:v>
      </x:c>
      <x:c r="J66" s="618" t="n">
        <x:f>INDEX('Specialisation Impact'!$E$19:$E$186,MATCH(A66,'Specialisation Impact'!$AO$19:$AO$186,0))</x:f>
        <x:v>4</x:v>
      </x:c>
      <x:c r="K66" s="631" t="n">
        <x:f>INDEX('Specialisation Impact'!$O$19:$O$186,MATCH(A66,'Specialisation Impact'!$AO$19:$AO$186,0))</x:f>
        <x:v>16221500</x:v>
      </x:c>
      <x:c r="L66" s="627" t="n">
        <x:f>INDEX('Specialisation Impact'!$F$19:$F$186,MATCH(A66,'Specialisation Impact'!$AO$19:$AO$186,0))</x:f>
        <x:v>1</x:v>
      </x:c>
      <x:c r="M66" s="618" t="str">
        <x:f>INDEX('Specialisation Impact'!$AA$19:$AA$186,MATCH(A66,'Specialisation Impact'!$AO$19:$AO$186,0))</x:f>
        <x:v>Recorded skills only</x:v>
      </x:c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</x:row>
    <x:row r="67">
      <x:c r="A67" s="617" t="n">
        <x:v>51</x:v>
      </x:c>
      <x:c r="B67" s="617" t="n">
        <x:f>INDEX('Specialisation Impact'!$AN$19:$AN$186,MATCH(A67,'Specialisation Impact'!$AO$19:$AO$186,0))</x:f>
        <x:v>14</x:v>
      </x:c>
      <x:c r="C67" s="617" t="str">
        <x:f>INDEX('Specialisation Impact'!$A$19:$A$186,MATCH(A67,'Specialisation Impact'!$AO$19:$AO$186,0))</x:f>
        <x:v>K176</x:v>
      </x:c>
      <x:c r="D67" s="617" t="str">
        <x:v>「鳥傷」</x:v>
      </x:c>
      <x:c r="E67" s="622" t="n">
        <x:f>INDEX('Specialisation Impact'!$AM$19:$AM$186,MATCH(A67,'Specialisation Impact'!$AO$19:$AO$186,0))</x:f>
        <x:v>61.51265401265401</x:v>
      </x:c>
      <x:c r="F67" s="622" t="n">
        <x:f>INDEX('Specialisation Impact'!$AC$19:$AC$186,MATCH(A67,'Specialisation Impact'!$AO$19:$AO$186,0))</x:f>
        <x:v>56.2987012987013</x:v>
      </x:c>
      <x:c r="G67" s="622" t="n">
        <x:f>INDEX('Specialisation Impact'!$AF$19:$AF$186,MATCH(A67,'Specialisation Impact'!$AO$19:$AO$186,0))</x:f>
        <x:v>51.103896103896105</x:v>
      </x:c>
      <x:c r="H67" s="622" t="n">
        <x:f>INDEX('Specialisation Impact'!$AI$19:$AI$186,MATCH(A67,'Specialisation Impact'!$AO$19:$AO$186,0))</x:f>
        <x:v>91.88311688311688</x:v>
      </x:c>
      <x:c r="I67" s="622" t="n">
        <x:f>INDEX('Specialisation Impact'!$AK$19:$AK$186,MATCH(A67,'Specialisation Impact'!$AO$19:$AO$186,0))</x:f>
        <x:v>60.25641025641025</x:v>
      </x:c>
      <x:c r="J67" s="617" t="n">
        <x:f>INDEX('Specialisation Impact'!$E$19:$E$186,MATCH(A67,'Specialisation Impact'!$AO$19:$AO$186,0))</x:f>
        <x:v>3</x:v>
      </x:c>
      <x:c r="K67" s="632" t="n">
        <x:f>INDEX('Specialisation Impact'!$O$19:$O$186,MATCH(A67,'Specialisation Impact'!$AO$19:$AO$186,0))</x:f>
        <x:v>21867200</x:v>
      </x:c>
      <x:c r="L67" s="626" t="n">
        <x:f>INDEX('Specialisation Impact'!$F$19:$F$186,MATCH(A67,'Specialisation Impact'!$AO$19:$AO$186,0))</x:f>
        <x:v>1</x:v>
      </x:c>
      <x:c r="M67" s="617" t="str">
        <x:f>INDEX('Specialisation Impact'!$AA$19:$AA$186,MATCH(A67,'Specialisation Impact'!$AO$19:$AO$186,0))</x:f>
        <x:v>Recorded skills only</x:v>
      </x:c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</x:row>
    <x:row r="68">
      <x:c r="A68" s="618" t="n">
        <x:v>52</x:v>
      </x:c>
      <x:c r="B68" s="618" t="n">
        <x:f>INDEX('Specialisation Impact'!$AN$19:$AN$186,MATCH(A68,'Specialisation Impact'!$AO$19:$AO$186,0))</x:f>
        <x:v>15</x:v>
      </x:c>
      <x:c r="C68" s="618" t="str">
        <x:f>INDEX('Specialisation Impact'!$A$19:$A$186,MATCH(A68,'Specialisation Impact'!$AO$19:$AO$186,0))</x:f>
        <x:v>K176</x:v>
      </x:c>
      <x:c r="D68" s="618" t="str">
        <x:v>Evildagger</x:v>
      </x:c>
      <x:c r="E68" s="623" t="n">
        <x:f>INDEX('Specialisation Impact'!$AM$19:$AM$186,MATCH(A68,'Specialisation Impact'!$AO$19:$AO$186,0))</x:f>
        <x:v>60.98701298701299</x:v>
      </x:c>
      <x:c r="F68" s="623" t="n">
        <x:f>INDEX('Specialisation Impact'!$AC$19:$AC$186,MATCH(A68,'Specialisation Impact'!$AO$19:$AO$186,0))</x:f>
        <x:v>74.28571428571428</x:v>
      </x:c>
      <x:c r="G68" s="623" t="n">
        <x:f>INDEX('Specialisation Impact'!$AF$19:$AF$186,MATCH(A68,'Specialisation Impact'!$AO$19:$AO$186,0))</x:f>
        <x:v>20.51948051948052</x:v>
      </x:c>
      <x:c r="H68" s="623" t="n">
        <x:f>INDEX('Specialisation Impact'!$AI$19:$AI$186,MATCH(A68,'Specialisation Impact'!$AO$19:$AO$186,0))</x:f>
        <x:v>37.66233766233766</x:v>
      </x:c>
      <x:c r="I68" s="623" t="n">
        <x:f>INDEX('Specialisation Impact'!$AK$19:$AK$186,MATCH(A68,'Specialisation Impact'!$AO$19:$AO$186,0))</x:f>
        <x:v>50</x:v>
      </x:c>
      <x:c r="J68" s="618" t="n">
        <x:f>INDEX('Specialisation Impact'!$E$19:$E$186,MATCH(A68,'Specialisation Impact'!$AO$19:$AO$186,0))</x:f>
        <x:v>2</x:v>
      </x:c>
      <x:c r="K68" s="631" t="n">
        <x:f>INDEX('Specialisation Impact'!$O$19:$O$186,MATCH(A68,'Specialisation Impact'!$AO$19:$AO$186,0))</x:f>
        <x:v>10888600</x:v>
      </x:c>
      <x:c r="L68" s="627" t="n">
        <x:f>INDEX('Specialisation Impact'!$F$19:$F$186,MATCH(A68,'Specialisation Impact'!$AO$19:$AO$186,0))</x:f>
        <x:v>1</x:v>
      </x:c>
      <x:c r="M68" s="618" t="str">
        <x:f>INDEX('Specialisation Impact'!$AA$19:$AA$186,MATCH(A68,'Specialisation Impact'!$AO$19:$AO$186,0))</x:f>
        <x:v>Recorded skills only</x:v>
      </x:c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</x:row>
    <x:row r="69">
      <x:c r="A69" s="617" t="n">
        <x:v>53</x:v>
      </x:c>
      <x:c r="B69" s="617" t="n">
        <x:f>INDEX('Specialisation Impact'!$AN$19:$AN$186,MATCH(A69,'Specialisation Impact'!$AO$19:$AO$186,0))</x:f>
        <x:v>11</x:v>
      </x:c>
      <x:c r="C69" s="617" t="str">
        <x:f>INDEX('Specialisation Impact'!$A$19:$A$186,MATCH(A69,'Specialisation Impact'!$AO$19:$AO$186,0))</x:f>
        <x:v>K60</x:v>
      </x:c>
      <x:c r="D69" s="617" t="str">
        <x:v>Ёжик</x:v>
      </x:c>
      <x:c r="E69" s="622" t="n">
        <x:f>INDEX('Specialisation Impact'!$AM$19:$AM$186,MATCH(A69,'Specialisation Impact'!$AO$19:$AO$186,0))</x:f>
        <x:v>58.981185481185484</x:v>
      </x:c>
      <x:c r="F69" s="622" t="n">
        <x:f>INDEX('Specialisation Impact'!$AC$19:$AC$186,MATCH(A69,'Specialisation Impact'!$AO$19:$AO$186,0))</x:f>
        <x:v>70.32467532467533</x:v>
      </x:c>
      <x:c r="G69" s="622" t="n">
        <x:f>INDEX('Specialisation Impact'!$AF$19:$AF$186,MATCH(A69,'Specialisation Impact'!$AO$19:$AO$186,0))</x:f>
        <x:v>45.64935064935065</x:v>
      </x:c>
      <x:c r="H69" s="622" t="n">
        <x:f>INDEX('Specialisation Impact'!$AI$19:$AI$186,MATCH(A69,'Specialisation Impact'!$AO$19:$AO$186,0))</x:f>
        <x:v>38.37662337662338</x:v>
      </x:c>
      <x:c r="I69" s="622" t="n">
        <x:f>INDEX('Specialisation Impact'!$AK$19:$AK$186,MATCH(A69,'Specialisation Impact'!$AO$19:$AO$186,0))</x:f>
        <x:v>29.48717948717949</x:v>
      </x:c>
      <x:c r="J69" s="617" t="n">
        <x:f>INDEX('Specialisation Impact'!$E$19:$E$186,MATCH(A69,'Specialisation Impact'!$AO$19:$AO$186,0))</x:f>
        <x:v>3</x:v>
      </x:c>
      <x:c r="K69" s="632" t="n">
        <x:f>INDEX('Specialisation Impact'!$O$19:$O$186,MATCH(A69,'Specialisation Impact'!$AO$19:$AO$186,0))</x:f>
        <x:v>13777200</x:v>
      </x:c>
      <x:c r="L69" s="626" t="n">
        <x:f>INDEX('Specialisation Impact'!$F$19:$F$186,MATCH(A69,'Specialisation Impact'!$AO$19:$AO$186,0))</x:f>
        <x:v>1</x:v>
      </x:c>
      <x:c r="M69" s="617" t="str">
        <x:f>INDEX('Specialisation Impact'!$AA$19:$AA$186,MATCH(A69,'Specialisation Impact'!$AO$19:$AO$186,0))</x:f>
        <x:v>Recorded skills only</x:v>
      </x:c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>
      <x:c r="A70" s="618" t="n">
        <x:v>54</x:v>
      </x:c>
      <x:c r="B70" s="618" t="n">
        <x:f>INDEX('Specialisation Impact'!$AN$19:$AN$186,MATCH(A70,'Specialisation Impact'!$AO$19:$AO$186,0))</x:f>
        <x:v>12</x:v>
      </x:c>
      <x:c r="C70" s="618" t="str">
        <x:f>INDEX('Specialisation Impact'!$A$19:$A$186,MATCH(A70,'Specialisation Impact'!$AO$19:$AO$186,0))</x:f>
        <x:v>K60</x:v>
      </x:c>
      <x:c r="D70" s="618" t="str">
        <x:v>AAB</x:v>
      </x:c>
      <x:c r="E70" s="623" t="n">
        <x:f>INDEX('Specialisation Impact'!$AM$19:$AM$186,MATCH(A70,'Specialisation Impact'!$AO$19:$AO$186,0))</x:f>
        <x:v>58.981185481185484</x:v>
      </x:c>
      <x:c r="F70" s="623" t="n">
        <x:f>INDEX('Specialisation Impact'!$AC$19:$AC$186,MATCH(A70,'Specialisation Impact'!$AO$19:$AO$186,0))</x:f>
        <x:v>70.32467532467533</x:v>
      </x:c>
      <x:c r="G70" s="623" t="n">
        <x:f>INDEX('Specialisation Impact'!$AF$19:$AF$186,MATCH(A70,'Specialisation Impact'!$AO$19:$AO$186,0))</x:f>
        <x:v>45.64935064935065</x:v>
      </x:c>
      <x:c r="H70" s="623" t="n">
        <x:f>INDEX('Specialisation Impact'!$AI$19:$AI$186,MATCH(A70,'Specialisation Impact'!$AO$19:$AO$186,0))</x:f>
        <x:v>38.37662337662338</x:v>
      </x:c>
      <x:c r="I70" s="623" t="n">
        <x:f>INDEX('Specialisation Impact'!$AK$19:$AK$186,MATCH(A70,'Specialisation Impact'!$AO$19:$AO$186,0))</x:f>
        <x:v>29.48717948717949</x:v>
      </x:c>
      <x:c r="J70" s="618" t="n">
        <x:f>INDEX('Specialisation Impact'!$E$19:$E$186,MATCH(A70,'Specialisation Impact'!$AO$19:$AO$186,0))</x:f>
        <x:v>3</x:v>
      </x:c>
      <x:c r="K70" s="631" t="n">
        <x:f>INDEX('Specialisation Impact'!$O$19:$O$186,MATCH(A70,'Specialisation Impact'!$AO$19:$AO$186,0))</x:f>
        <x:v>13777200</x:v>
      </x:c>
      <x:c r="L70" s="627" t="n">
        <x:f>INDEX('Specialisation Impact'!$F$19:$F$186,MATCH(A70,'Specialisation Impact'!$AO$19:$AO$186,0))</x:f>
        <x:v>1</x:v>
      </x:c>
      <x:c r="M70" s="618" t="str">
        <x:f>INDEX('Specialisation Impact'!$AA$19:$AA$186,MATCH(A70,'Specialisation Impact'!$AO$19:$AO$186,0))</x:f>
        <x:v>Recorded skills only</x:v>
      </x:c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</x:row>
    <x:row r="71">
      <x:c r="A71" s="617" t="n">
        <x:v>55</x:v>
      </x:c>
      <x:c r="B71" s="617" t="n">
        <x:f>INDEX('Specialisation Impact'!$AN$19:$AN$186,MATCH(A71,'Specialisation Impact'!$AO$19:$AO$186,0))</x:f>
        <x:v>13</x:v>
      </x:c>
      <x:c r="C71" s="617" t="str">
        <x:f>INDEX('Specialisation Impact'!$A$19:$A$186,MATCH(A71,'Specialisation Impact'!$AO$19:$AO$186,0))</x:f>
        <x:v>K60</x:v>
      </x:c>
      <x:c r="D71" s="617" t="str">
        <x:v>ΨRØÇKYΨ</x:v>
      </x:c>
      <x:c r="E71" s="622" t="n">
        <x:f>INDEX('Specialisation Impact'!$AM$19:$AM$186,MATCH(A71,'Specialisation Impact'!$AO$19:$AO$186,0))</x:f>
        <x:v>58.00066600066601</x:v>
      </x:c>
      <x:c r="F71" s="622" t="n">
        <x:f>INDEX('Specialisation Impact'!$AC$19:$AC$186,MATCH(A71,'Specialisation Impact'!$AO$19:$AO$186,0))</x:f>
        <x:v>67.66233766233766</x:v>
      </x:c>
      <x:c r="G71" s="622" t="n">
        <x:f>INDEX('Specialisation Impact'!$AF$19:$AF$186,MATCH(A71,'Specialisation Impact'!$AO$19:$AO$186,0))</x:f>
        <x:v>53.63636363636364</x:v>
      </x:c>
      <x:c r="H71" s="622" t="n">
        <x:f>INDEX('Specialisation Impact'!$AI$19:$AI$186,MATCH(A71,'Specialisation Impact'!$AO$19:$AO$186,0))</x:f>
        <x:v>38.05194805194805</x:v>
      </x:c>
      <x:c r="I71" s="622" t="n">
        <x:f>INDEX('Specialisation Impact'!$AK$19:$AK$186,MATCH(A71,'Specialisation Impact'!$AO$19:$AO$186,0))</x:f>
        <x:v>29.48717948717949</x:v>
      </x:c>
      <x:c r="J71" s="617" t="n">
        <x:f>INDEX('Specialisation Impact'!$E$19:$E$186,MATCH(A71,'Specialisation Impact'!$AO$19:$AO$186,0))</x:f>
        <x:v>3</x:v>
      </x:c>
      <x:c r="K71" s="632" t="n">
        <x:f>INDEX('Specialisation Impact'!$O$19:$O$186,MATCH(A71,'Specialisation Impact'!$AO$19:$AO$186,0))</x:f>
        <x:v>13337200</x:v>
      </x:c>
      <x:c r="L71" s="626" t="n">
        <x:f>INDEX('Specialisation Impact'!$F$19:$F$186,MATCH(A71,'Specialisation Impact'!$AO$19:$AO$186,0))</x:f>
        <x:v>1</x:v>
      </x:c>
      <x:c r="M71" s="617" t="str">
        <x:f>INDEX('Specialisation Impact'!$AA$19:$AA$186,MATCH(A71,'Specialisation Impact'!$AO$19:$AO$186,0))</x:f>
        <x:v>Recorded skills only</x:v>
      </x:c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</x:row>
    <x:row r="72">
      <x:c r="A72" s="618" t="n">
        <x:v>56</x:v>
      </x:c>
      <x:c r="B72" s="618" t="n">
        <x:f>INDEX('Specialisation Impact'!$AN$19:$AN$186,MATCH(A72,'Specialisation Impact'!$AO$19:$AO$186,0))</x:f>
        <x:v>3</x:v>
      </x:c>
      <x:c r="C72" s="618" t="str">
        <x:f>INDEX('Specialisation Impact'!$A$19:$A$186,MATCH(A72,'Specialisation Impact'!$AO$19:$AO$186,0))</x:f>
        <x:v>K197</x:v>
      </x:c>
      <x:c r="D72" s="618" t="str">
        <x:v>Saku</x:v>
      </x:c>
      <x:c r="E72" s="623" t="n">
        <x:f>INDEX('Specialisation Impact'!$AM$19:$AM$186,MATCH(A72,'Specialisation Impact'!$AO$19:$AO$186,0))</x:f>
        <x:v>57.831168831168846</x:v>
      </x:c>
      <x:c r="F72" s="623" t="n">
        <x:f>INDEX('Specialisation Impact'!$AC$19:$AC$186,MATCH(A72,'Specialisation Impact'!$AO$19:$AO$186,0))</x:f>
        <x:v>57.14285714285715</x:v>
      </x:c>
      <x:c r="G72" s="623" t="n">
        <x:f>INDEX('Specialisation Impact'!$AF$19:$AF$186,MATCH(A72,'Specialisation Impact'!$AO$19:$AO$186,0))</x:f>
        <x:v>89.87012987012987</x:v>
      </x:c>
      <x:c r="H72" s="623" t="n">
        <x:f>INDEX('Specialisation Impact'!$AI$19:$AI$186,MATCH(A72,'Specialisation Impact'!$AO$19:$AO$186,0))</x:f>
        <x:v>44.675324675324674</x:v>
      </x:c>
      <x:c r="I72" s="623" t="n">
        <x:f>INDEX('Specialisation Impact'!$AK$19:$AK$186,MATCH(A72,'Specialisation Impact'!$AO$19:$AO$186,0))</x:f>
        <x:v>50</x:v>
      </x:c>
      <x:c r="J72" s="618" t="n">
        <x:f>INDEX('Specialisation Impact'!$E$19:$E$186,MATCH(A72,'Specialisation Impact'!$AO$19:$AO$186,0))</x:f>
        <x:v>2</x:v>
      </x:c>
      <x:c r="K72" s="631" t="n">
        <x:f>INDEX('Specialisation Impact'!$O$19:$O$186,MATCH(A72,'Specialisation Impact'!$AO$19:$AO$186,0))</x:f>
        <x:v>20668600</x:v>
      </x:c>
      <x:c r="L72" s="627" t="n">
        <x:f>INDEX('Specialisation Impact'!$F$19:$F$186,MATCH(A72,'Specialisation Impact'!$AO$19:$AO$186,0))</x:f>
        <x:v>1</x:v>
      </x:c>
      <x:c r="M72" s="618" t="str">
        <x:f>INDEX('Specialisation Impact'!$AA$19:$AA$186,MATCH(A72,'Specialisation Impact'!$AO$19:$AO$186,0))</x:f>
        <x:v>Recorded skills only</x:v>
      </x:c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</x:row>
    <x:row r="73">
      <x:c r="A73" s="617" t="n">
        <x:v>57</x:v>
      </x:c>
      <x:c r="B73" s="617" t="n">
        <x:f>INDEX('Specialisation Impact'!$AN$19:$AN$186,MATCH(A73,'Specialisation Impact'!$AO$19:$AO$186,0))</x:f>
        <x:v>8</x:v>
      </x:c>
      <x:c r="C73" s="617" t="str">
        <x:f>INDEX('Specialisation Impact'!$A$19:$A$186,MATCH(A73,'Specialisation Impact'!$AO$19:$AO$186,0))</x:f>
        <x:v>K54</x:v>
      </x:c>
      <x:c r="D73" s="617" t="str">
        <x:v>Somnium</x:v>
      </x:c>
      <x:c r="E73" s="622" t="n">
        <x:f>INDEX('Specialisation Impact'!$AM$19:$AM$186,MATCH(A73,'Specialisation Impact'!$AO$19:$AO$186,0))</x:f>
        <x:v>56.46753246753247</x:v>
      </x:c>
      <x:c r="F73" s="622" t="n">
        <x:f>INDEX('Specialisation Impact'!$AC$19:$AC$186,MATCH(A73,'Specialisation Impact'!$AO$19:$AO$186,0))</x:f>
        <x:v>66.88311688311688</x:v>
      </x:c>
      <x:c r="G73" s="622" t="n">
        <x:f>INDEX('Specialisation Impact'!$AF$19:$AF$186,MATCH(A73,'Specialisation Impact'!$AO$19:$AO$186,0))</x:f>
        <x:v>21.68831168831169</x:v>
      </x:c>
      <x:c r="H73" s="622" t="n">
        <x:f>INDEX('Specialisation Impact'!$AI$19:$AI$186,MATCH(A73,'Specialisation Impact'!$AO$19:$AO$186,0))</x:f>
        <x:v>38.83116883116883</x:v>
      </x:c>
      <x:c r="I73" s="622" t="n">
        <x:f>INDEX('Specialisation Impact'!$AK$19:$AK$186,MATCH(A73,'Specialisation Impact'!$AO$19:$AO$186,0))</x:f>
        <x:v>50</x:v>
      </x:c>
      <x:c r="J73" s="617" t="n">
        <x:f>INDEX('Specialisation Impact'!$E$19:$E$186,MATCH(A73,'Specialisation Impact'!$AO$19:$AO$186,0))</x:f>
        <x:v>2</x:v>
      </x:c>
      <x:c r="K73" s="632" t="n">
        <x:f>INDEX('Specialisation Impact'!$O$19:$O$186,MATCH(A73,'Specialisation Impact'!$AO$19:$AO$186,0))</x:f>
        <x:v>12138600</x:v>
      </x:c>
      <x:c r="L73" s="626" t="n">
        <x:f>INDEX('Specialisation Impact'!$F$19:$F$186,MATCH(A73,'Specialisation Impact'!$AO$19:$AO$186,0))</x:f>
        <x:v>1</x:v>
      </x:c>
      <x:c r="M73" s="617" t="str">
        <x:f>INDEX('Specialisation Impact'!$AA$19:$AA$186,MATCH(A73,'Specialisation Impact'!$AO$19:$AO$186,0))</x:f>
        <x:v>Recorded skills only</x:v>
      </x:c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</x:row>
    <x:row r="74">
      <x:c r="A74" s="618" t="n">
        <x:v>58</x:v>
      </x:c>
      <x:c r="B74" s="618" t="n">
        <x:f>INDEX('Specialisation Impact'!$AN$19:$AN$186,MATCH(A74,'Specialisation Impact'!$AO$19:$AO$186,0))</x:f>
        <x:v>4</x:v>
      </x:c>
      <x:c r="C74" s="618" t="str">
        <x:f>INDEX('Specialisation Impact'!$A$19:$A$186,MATCH(A74,'Specialisation Impact'!$AO$19:$AO$186,0))</x:f>
        <x:v>K197</x:v>
      </x:c>
      <x:c r="D74" s="618" t="str">
        <x:v>Zakmil23139</x:v>
      </x:c>
      <x:c r="E74" s="623" t="n">
        <x:f>INDEX('Specialisation Impact'!$AM$19:$AM$186,MATCH(A74,'Specialisation Impact'!$AO$19:$AO$186,0))</x:f>
        <x:v>56.06493506493507</x:v>
      </x:c>
      <x:c r="F74" s="623" t="n">
        <x:f>INDEX('Specialisation Impact'!$AC$19:$AC$186,MATCH(A74,'Specialisation Impact'!$AO$19:$AO$186,0))</x:f>
        <x:v>47.01298701298701</x:v>
      </x:c>
      <x:c r="G74" s="623" t="n">
        <x:f>INDEX('Specialisation Impact'!$AF$19:$AF$186,MATCH(A74,'Specialisation Impact'!$AO$19:$AO$186,0))</x:f>
        <x:v>88.57142857142857</x:v>
      </x:c>
      <x:c r="H74" s="623" t="n">
        <x:f>INDEX('Specialisation Impact'!$AI$19:$AI$186,MATCH(A74,'Specialisation Impact'!$AO$19:$AO$186,0))</x:f>
        <x:v>77.66233766233768</x:v>
      </x:c>
      <x:c r="I74" s="623" t="n">
        <x:f>INDEX('Specialisation Impact'!$AK$19:$AK$186,MATCH(A74,'Specialisation Impact'!$AO$19:$AO$186,0))</x:f>
        <x:v>50</x:v>
      </x:c>
      <x:c r="J74" s="618" t="n">
        <x:f>INDEX('Specialisation Impact'!$E$19:$E$186,MATCH(A74,'Specialisation Impact'!$AO$19:$AO$186,0))</x:f>
        <x:v>3</x:v>
      </x:c>
      <x:c r="K74" s="631" t="n">
        <x:f>INDEX('Specialisation Impact'!$O$19:$O$186,MATCH(A74,'Specialisation Impact'!$AO$19:$AO$186,0))</x:f>
        <x:v>16962900</x:v>
      </x:c>
      <x:c r="L74" s="627" t="n">
        <x:f>INDEX('Specialisation Impact'!$F$19:$F$186,MATCH(A74,'Specialisation Impact'!$AO$19:$AO$186,0))</x:f>
        <x:v>1</x:v>
      </x:c>
      <x:c r="M74" s="618" t="str">
        <x:f>INDEX('Specialisation Impact'!$AA$19:$AA$186,MATCH(A74,'Specialisation Impact'!$AO$19:$AO$186,0))</x:f>
        <x:v>Recorded skills only</x:v>
      </x:c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</x:row>
    <x:row r="75">
      <x:c r="A75" s="617" t="n">
        <x:v>59</x:v>
      </x:c>
      <x:c r="B75" s="617" t="n">
        <x:f>INDEX('Specialisation Impact'!$AN$19:$AN$186,MATCH(A75,'Specialisation Impact'!$AO$19:$AO$186,0))</x:f>
        <x:v>6</x:v>
      </x:c>
      <x:c r="C75" s="617" t="str">
        <x:f>INDEX('Specialisation Impact'!$A$19:$A$186,MATCH(A75,'Specialisation Impact'!$AO$19:$AO$186,0))</x:f>
        <x:v>K170</x:v>
      </x:c>
      <x:c r="D75" s="617" t="str">
        <x:v>(AOT)Fenixx</x:v>
      </x:c>
      <x:c r="E75" s="622" t="n">
        <x:f>INDEX('Specialisation Impact'!$AM$19:$AM$186,MATCH(A75,'Specialisation Impact'!$AO$19:$AO$186,0))</x:f>
        <x:v>54.09057609057608</x:v>
      </x:c>
      <x:c r="F75" s="622" t="n">
        <x:f>INDEX('Specialisation Impact'!$AC$19:$AC$186,MATCH(A75,'Specialisation Impact'!$AO$19:$AO$186,0))</x:f>
        <x:v>52.33766233766234</x:v>
      </x:c>
      <x:c r="G75" s="622" t="n">
        <x:f>INDEX('Specialisation Impact'!$AF$19:$AF$186,MATCH(A75,'Specialisation Impact'!$AO$19:$AO$186,0))</x:f>
        <x:v>34.675324675324674</x:v>
      </x:c>
      <x:c r="H75" s="622" t="n">
        <x:f>INDEX('Specialisation Impact'!$AI$19:$AI$186,MATCH(A75,'Specialisation Impact'!$AO$19:$AO$186,0))</x:f>
        <x:v>70.51948051948052</x:v>
      </x:c>
      <x:c r="I75" s="622" t="n">
        <x:f>INDEX('Specialisation Impact'!$AK$19:$AK$186,MATCH(A75,'Specialisation Impact'!$AO$19:$AO$186,0))</x:f>
        <x:v>60.25641025641025</x:v>
      </x:c>
      <x:c r="J75" s="617" t="n">
        <x:f>INDEX('Specialisation Impact'!$E$19:$E$186,MATCH(A75,'Specialisation Impact'!$AO$19:$AO$186,0))</x:f>
        <x:v>4</x:v>
      </x:c>
      <x:c r="K75" s="632" t="n">
        <x:f>INDEX('Specialisation Impact'!$O$19:$O$186,MATCH(A75,'Specialisation Impact'!$AO$19:$AO$186,0))</x:f>
        <x:v>14701500</x:v>
      </x:c>
      <x:c r="L75" s="626" t="n">
        <x:f>INDEX('Specialisation Impact'!$F$19:$F$186,MATCH(A75,'Specialisation Impact'!$AO$19:$AO$186,0))</x:f>
        <x:v>1</x:v>
      </x:c>
      <x:c r="M75" s="617" t="str">
        <x:f>INDEX('Specialisation Impact'!$AA$19:$AA$186,MATCH(A75,'Specialisation Impact'!$AO$19:$AO$186,0))</x:f>
        <x:v>Recorded skills only</x:v>
      </x:c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</x:row>
    <x:row r="76">
      <x:c r="A76" s="618" t="n">
        <x:v>60</x:v>
      </x:c>
      <x:c r="B76" s="618" t="n">
        <x:f>INDEX('Specialisation Impact'!$AN$19:$AN$186,MATCH(A76,'Specialisation Impact'!$AO$19:$AO$186,0))</x:f>
        <x:v>14</x:v>
      </x:c>
      <x:c r="C76" s="618" t="str">
        <x:f>INDEX('Specialisation Impact'!$A$19:$A$186,MATCH(A76,'Specialisation Impact'!$AO$19:$AO$186,0))</x:f>
        <x:v>K60</x:v>
      </x:c>
      <x:c r="D76" s="618" t="str">
        <x:v>InFlames</x:v>
      </x:c>
      <x:c r="E76" s="623" t="n">
        <x:f>INDEX('Specialisation Impact'!$AM$19:$AM$186,MATCH(A76,'Specialisation Impact'!$AO$19:$AO$186,0))</x:f>
        <x:v>52.766899766899776</x:v>
      </x:c>
      <x:c r="F76" s="623" t="n">
        <x:f>INDEX('Specialisation Impact'!$AC$19:$AC$186,MATCH(A76,'Specialisation Impact'!$AO$19:$AO$186,0))</x:f>
        <x:v>55.06493506493507</x:v>
      </x:c>
      <x:c r="G76" s="623" t="n">
        <x:f>INDEX('Specialisation Impact'!$AF$19:$AF$186,MATCH(A76,'Specialisation Impact'!$AO$19:$AO$186,0))</x:f>
        <x:v>42.07792207792208</x:v>
      </x:c>
      <x:c r="H76" s="623" t="n">
        <x:f>INDEX('Specialisation Impact'!$AI$19:$AI$186,MATCH(A76,'Specialisation Impact'!$AO$19:$AO$186,0))</x:f>
        <x:v>65.45454545454545</x:v>
      </x:c>
      <x:c r="I76" s="623" t="n">
        <x:f>INDEX('Specialisation Impact'!$AK$19:$AK$186,MATCH(A76,'Specialisation Impact'!$AO$19:$AO$186,0))</x:f>
        <x:v>29.48717948717949</x:v>
      </x:c>
      <x:c r="J76" s="618" t="n">
        <x:f>INDEX('Specialisation Impact'!$E$19:$E$186,MATCH(A76,'Specialisation Impact'!$AO$19:$AO$186,0))</x:f>
        <x:v>4</x:v>
      </x:c>
      <x:c r="K76" s="631" t="n">
        <x:f>INDEX('Specialisation Impact'!$O$19:$O$186,MATCH(A76,'Specialisation Impact'!$AO$19:$AO$186,0))</x:f>
        <x:v>12236500</x:v>
      </x:c>
      <x:c r="L76" s="627" t="n">
        <x:f>INDEX('Specialisation Impact'!$F$19:$F$186,MATCH(A76,'Specialisation Impact'!$AO$19:$AO$186,0))</x:f>
        <x:v>1</x:v>
      </x:c>
      <x:c r="M76" s="618" t="str">
        <x:f>INDEX('Specialisation Impact'!$AA$19:$AA$186,MATCH(A76,'Specialisation Impact'!$AO$19:$AO$186,0))</x:f>
        <x:v>Recorded skills only</x:v>
      </x:c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</x:row>
    <x:row r="77">
      <x:c r="A77" s="617" t="n">
        <x:v>61</x:v>
      </x:c>
      <x:c r="B77" s="617" t="n">
        <x:f>INDEX('Specialisation Impact'!$AN$19:$AN$186,MATCH(A77,'Specialisation Impact'!$AO$19:$AO$186,0))</x:f>
        <x:v>7</x:v>
      </x:c>
      <x:c r="C77" s="617" t="str">
        <x:f>INDEX('Specialisation Impact'!$A$19:$A$186,MATCH(A77,'Specialisation Impact'!$AO$19:$AO$186,0))</x:f>
        <x:v>K170</x:v>
      </x:c>
      <x:c r="D77" s="617" t="str">
        <x:v>(AOT)WeleS</x:v>
      </x:c>
      <x:c r="E77" s="622" t="n">
        <x:f>INDEX('Specialisation Impact'!$AM$19:$AM$186,MATCH(A77,'Specialisation Impact'!$AO$19:$AO$186,0))</x:f>
        <x:v>52.67976467976467</x:v>
      </x:c>
      <x:c r="F77" s="622" t="n">
        <x:f>INDEX('Specialisation Impact'!$AC$19:$AC$186,MATCH(A77,'Specialisation Impact'!$AO$19:$AO$186,0))</x:f>
        <x:v>46.883116883116884</x:v>
      </x:c>
      <x:c r="G77" s="622" t="n">
        <x:f>INDEX('Specialisation Impact'!$AF$19:$AF$186,MATCH(A77,'Specialisation Impact'!$AO$19:$AO$186,0))</x:f>
        <x:v>80.38961038961038</x:v>
      </x:c>
      <x:c r="H77" s="622" t="n">
        <x:f>INDEX('Specialisation Impact'!$AI$19:$AI$186,MATCH(A77,'Specialisation Impact'!$AO$19:$AO$186,0))</x:f>
        <x:v>41.16883116883117</x:v>
      </x:c>
      <x:c r="I77" s="622" t="n">
        <x:f>INDEX('Specialisation Impact'!$AK$19:$AK$186,MATCH(A77,'Specialisation Impact'!$AO$19:$AO$186,0))</x:f>
        <x:v>79.91452991452991</x:v>
      </x:c>
      <x:c r="J77" s="617" t="n">
        <x:f>INDEX('Specialisation Impact'!$E$19:$E$186,MATCH(A77,'Specialisation Impact'!$AO$19:$AO$186,0))</x:f>
        <x:v>2</x:v>
      </x:c>
      <x:c r="K77" s="632" t="n">
        <x:f>INDEX('Specialisation Impact'!$O$19:$O$186,MATCH(A77,'Specialisation Impact'!$AO$19:$AO$186,0))</x:f>
        <x:v>21152900</x:v>
      </x:c>
      <x:c r="L77" s="626" t="n">
        <x:f>INDEX('Specialisation Impact'!$F$19:$F$186,MATCH(A77,'Specialisation Impact'!$AO$19:$AO$186,0))</x:f>
        <x:v>1</x:v>
      </x:c>
      <x:c r="M77" s="617" t="str">
        <x:f>INDEX('Specialisation Impact'!$AA$19:$AA$186,MATCH(A77,'Specialisation Impact'!$AO$19:$AO$186,0))</x:f>
        <x:v>Recorded skills only</x:v>
      </x:c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</x:row>
    <x:row r="78">
      <x:c r="A78" s="618" t="n">
        <x:v>62</x:v>
      </x:c>
      <x:c r="B78" s="618" t="n">
        <x:f>INDEX('Specialisation Impact'!$AN$19:$AN$186,MATCH(A78,'Specialisation Impact'!$AO$19:$AO$186,0))</x:f>
        <x:v>15</x:v>
      </x:c>
      <x:c r="C78" s="618" t="str">
        <x:f>INDEX('Specialisation Impact'!$A$19:$A$186,MATCH(A78,'Specialisation Impact'!$AO$19:$AO$186,0))</x:f>
        <x:v>K60</x:v>
      </x:c>
      <x:c r="D78" s="618" t="str">
        <x:v>Jepp</x:v>
      </x:c>
      <x:c r="E78" s="623" t="n">
        <x:f>INDEX('Specialisation Impact'!$AM$19:$AM$186,MATCH(A78,'Specialisation Impact'!$AO$19:$AO$186,0))</x:f>
        <x:v>52.630536130536136</x:v>
      </x:c>
      <x:c r="F78" s="623" t="n">
        <x:f>INDEX('Specialisation Impact'!$AC$19:$AC$186,MATCH(A78,'Specialisation Impact'!$AO$19:$AO$186,0))</x:f>
        <x:v>61.753246753246756</x:v>
      </x:c>
      <x:c r="G78" s="623" t="n">
        <x:f>INDEX('Specialisation Impact'!$AF$19:$AF$186,MATCH(A78,'Specialisation Impact'!$AO$19:$AO$186,0))</x:f>
        <x:v>42.532467532467535</x:v>
      </x:c>
      <x:c r="H78" s="623" t="n">
        <x:f>INDEX('Specialisation Impact'!$AI$19:$AI$186,MATCH(A78,'Specialisation Impact'!$AO$19:$AO$186,0))</x:f>
        <x:v>35.25974025974026</x:v>
      </x:c>
      <x:c r="I78" s="623" t="n">
        <x:f>INDEX('Specialisation Impact'!$AK$19:$AK$186,MATCH(A78,'Specialisation Impact'!$AO$19:$AO$186,0))</x:f>
        <x:v>29.48717948717949</x:v>
      </x:c>
      <x:c r="J78" s="618" t="n">
        <x:f>INDEX('Specialisation Impact'!$E$19:$E$186,MATCH(A78,'Specialisation Impact'!$AO$19:$AO$186,0))</x:f>
        <x:v>3</x:v>
      </x:c>
      <x:c r="K78" s="631" t="n">
        <x:f>INDEX('Specialisation Impact'!$O$19:$O$186,MATCH(A78,'Specialisation Impact'!$AO$19:$AO$186,0))</x:f>
        <x:v>12497200</x:v>
      </x:c>
      <x:c r="L78" s="627" t="n">
        <x:f>INDEX('Specialisation Impact'!$F$19:$F$186,MATCH(A78,'Specialisation Impact'!$AO$19:$AO$186,0))</x:f>
        <x:v>1</x:v>
      </x:c>
      <x:c r="M78" s="618" t="str">
        <x:f>INDEX('Specialisation Impact'!$AA$19:$AA$186,MATCH(A78,'Specialisation Impact'!$AO$19:$AO$186,0))</x:f>
        <x:v>Recorded skills only</x:v>
      </x:c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</x:row>
    <x:row r="79">
      <x:c r="A79" s="617" t="n">
        <x:v>63</x:v>
      </x:c>
      <x:c r="B79" s="617" t="n">
        <x:f>INDEX('Specialisation Impact'!$AN$19:$AN$186,MATCH(A79,'Specialisation Impact'!$AO$19:$AO$186,0))</x:f>
        <x:v>16</x:v>
      </x:c>
      <x:c r="C79" s="617" t="str">
        <x:f>INDEX('Specialisation Impact'!$A$19:$A$186,MATCH(A79,'Specialisation Impact'!$AO$19:$AO$186,0))</x:f>
        <x:v>K60</x:v>
      </x:c>
      <x:c r="D79" s="617" t="str">
        <x:v>Blud</x:v>
      </x:c>
      <x:c r="E79" s="622" t="n">
        <x:f>INDEX('Specialisation Impact'!$AM$19:$AM$186,MATCH(A79,'Specialisation Impact'!$AO$19:$AO$186,0))</x:f>
        <x:v>52.630536130536136</x:v>
      </x:c>
      <x:c r="F79" s="622" t="n">
        <x:f>INDEX('Specialisation Impact'!$AC$19:$AC$186,MATCH(A79,'Specialisation Impact'!$AO$19:$AO$186,0))</x:f>
        <x:v>61.753246753246756</x:v>
      </x:c>
      <x:c r="G79" s="622" t="n">
        <x:f>INDEX('Specialisation Impact'!$AF$19:$AF$186,MATCH(A79,'Specialisation Impact'!$AO$19:$AO$186,0))</x:f>
        <x:v>42.532467532467535</x:v>
      </x:c>
      <x:c r="H79" s="622" t="n">
        <x:f>INDEX('Specialisation Impact'!$AI$19:$AI$186,MATCH(A79,'Specialisation Impact'!$AO$19:$AO$186,0))</x:f>
        <x:v>35.25974025974026</x:v>
      </x:c>
      <x:c r="I79" s="622" t="n">
        <x:f>INDEX('Specialisation Impact'!$AK$19:$AK$186,MATCH(A79,'Specialisation Impact'!$AO$19:$AO$186,0))</x:f>
        <x:v>29.48717948717949</x:v>
      </x:c>
      <x:c r="J79" s="617" t="n">
        <x:f>INDEX('Specialisation Impact'!$E$19:$E$186,MATCH(A79,'Specialisation Impact'!$AO$19:$AO$186,0))</x:f>
        <x:v>3</x:v>
      </x:c>
      <x:c r="K79" s="632" t="n">
        <x:f>INDEX('Specialisation Impact'!$O$19:$O$186,MATCH(A79,'Specialisation Impact'!$AO$19:$AO$186,0))</x:f>
        <x:v>12497200</x:v>
      </x:c>
      <x:c r="L79" s="626" t="n">
        <x:f>INDEX('Specialisation Impact'!$F$19:$F$186,MATCH(A79,'Specialisation Impact'!$AO$19:$AO$186,0))</x:f>
        <x:v>1</x:v>
      </x:c>
      <x:c r="M79" s="617" t="str">
        <x:f>INDEX('Specialisation Impact'!$AA$19:$AA$186,MATCH(A79,'Specialisation Impact'!$AO$19:$AO$186,0))</x:f>
        <x:v>Recorded skills only</x:v>
      </x:c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</x:row>
    <x:row r="80">
      <x:c r="A80" s="618" t="n">
        <x:v>64</x:v>
      </x:c>
      <x:c r="B80" s="618" t="n">
        <x:f>INDEX('Specialisation Impact'!$AN$19:$AN$186,MATCH(A80,'Specialisation Impact'!$AO$19:$AO$186,0))</x:f>
        <x:v>7</x:v>
      </x:c>
      <x:c r="C80" s="618" t="str">
        <x:f>INDEX('Specialisation Impact'!$A$19:$A$186,MATCH(A80,'Specialisation Impact'!$AO$19:$AO$186,0))</x:f>
        <x:v>K138</x:v>
      </x:c>
      <x:c r="D80" s="618" t="str">
        <x:v>(RaW)让世界沐浴在血中</x:v>
      </x:c>
      <x:c r="E80" s="623" t="n">
        <x:f>INDEX('Specialisation Impact'!$AM$19:$AM$186,MATCH(A80,'Specialisation Impact'!$AO$19:$AO$186,0))</x:f>
        <x:v>52.18248418248419</x:v>
      </x:c>
      <x:c r="F80" s="623" t="n">
        <x:f>INDEX('Specialisation Impact'!$AC$19:$AC$186,MATCH(A80,'Specialisation Impact'!$AO$19:$AO$186,0))</x:f>
        <x:v>53.8961038961039</x:v>
      </x:c>
      <x:c r="G80" s="623" t="n">
        <x:f>INDEX('Specialisation Impact'!$AF$19:$AF$186,MATCH(A80,'Specialisation Impact'!$AO$19:$AO$186,0))</x:f>
        <x:v>32.33766233766234</x:v>
      </x:c>
      <x:c r="H80" s="623" t="n">
        <x:f>INDEX('Specialisation Impact'!$AI$19:$AI$186,MATCH(A80,'Specialisation Impact'!$AO$19:$AO$186,0))</x:f>
        <x:v>73.11688311688313</x:v>
      </x:c>
      <x:c r="I80" s="623" t="n">
        <x:f>INDEX('Specialisation Impact'!$AK$19:$AK$186,MATCH(A80,'Specialisation Impact'!$AO$19:$AO$186,0))</x:f>
        <x:v>29.48717948717949</x:v>
      </x:c>
      <x:c r="J80" s="618" t="n">
        <x:f>INDEX('Specialisation Impact'!$E$19:$E$186,MATCH(A80,'Specialisation Impact'!$AO$19:$AO$186,0))</x:f>
        <x:v>4</x:v>
      </x:c>
      <x:c r="K80" s="631" t="n">
        <x:f>INDEX('Specialisation Impact'!$O$19:$O$186,MATCH(A80,'Specialisation Impact'!$AO$19:$AO$186,0))</x:f>
        <x:v>12301500</x:v>
      </x:c>
      <x:c r="L80" s="627" t="n">
        <x:f>INDEX('Specialisation Impact'!$F$19:$F$186,MATCH(A80,'Specialisation Impact'!$AO$19:$AO$186,0))</x:f>
        <x:v>1</x:v>
      </x:c>
      <x:c r="M80" s="618" t="str">
        <x:f>INDEX('Specialisation Impact'!$AA$19:$AA$186,MATCH(A80,'Specialisation Impact'!$AO$19:$AO$186,0))</x:f>
        <x:v>Recorded skills only</x:v>
      </x:c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</x:row>
    <x:row r="81">
      <x:c r="A81" s="617" t="n">
        <x:v>65</x:v>
      </x:c>
      <x:c r="B81" s="617" t="n">
        <x:f>INDEX('Specialisation Impact'!$AN$19:$AN$186,MATCH(A81,'Specialisation Impact'!$AO$19:$AO$186,0))</x:f>
        <x:v>16</x:v>
      </x:c>
      <x:c r="C81" s="617" t="str">
        <x:f>INDEX('Specialisation Impact'!$A$19:$A$186,MATCH(A81,'Specialisation Impact'!$AO$19:$AO$186,0))</x:f>
        <x:v>K176</x:v>
      </x:c>
      <x:c r="D81" s="617" t="str">
        <x:v>༺肥者先食༻</x:v>
      </x:c>
      <x:c r="E81" s="622" t="n">
        <x:f>INDEX('Specialisation Impact'!$AM$19:$AM$186,MATCH(A81,'Specialisation Impact'!$AO$19:$AO$186,0))</x:f>
        <x:v>52.012654012654025</x:v>
      </x:c>
      <x:c r="F81" s="622" t="n">
        <x:f>INDEX('Specialisation Impact'!$AC$19:$AC$186,MATCH(A81,'Specialisation Impact'!$AO$19:$AO$186,0))</x:f>
        <x:v>50.519480519480524</x:v>
      </x:c>
      <x:c r="G81" s="622" t="n">
        <x:f>INDEX('Specialisation Impact'!$AF$19:$AF$186,MATCH(A81,'Specialisation Impact'!$AO$19:$AO$186,0))</x:f>
        <x:v>40.12987012987013</x:v>
      </x:c>
      <x:c r="H81" s="622" t="n">
        <x:f>INDEX('Specialisation Impact'!$AI$19:$AI$186,MATCH(A81,'Specialisation Impact'!$AO$19:$AO$186,0))</x:f>
        <x:v>60.90909090909092</x:v>
      </x:c>
      <x:c r="I81" s="622" t="n">
        <x:f>INDEX('Specialisation Impact'!$AK$19:$AK$186,MATCH(A81,'Specialisation Impact'!$AO$19:$AO$186,0))</x:f>
        <x:v>60.25641025641025</x:v>
      </x:c>
      <x:c r="J81" s="617" t="n">
        <x:f>INDEX('Specialisation Impact'!$E$19:$E$186,MATCH(A81,'Specialisation Impact'!$AO$19:$AO$186,0))</x:f>
        <x:v>4</x:v>
      </x:c>
      <x:c r="K81" s="632" t="n">
        <x:f>INDEX('Specialisation Impact'!$O$19:$O$186,MATCH(A81,'Specialisation Impact'!$AO$19:$AO$186,0))</x:f>
        <x:v>12986500</x:v>
      </x:c>
      <x:c r="L81" s="626" t="n">
        <x:f>INDEX('Specialisation Impact'!$F$19:$F$186,MATCH(A81,'Specialisation Impact'!$AO$19:$AO$186,0))</x:f>
        <x:v>1</x:v>
      </x:c>
      <x:c r="M81" s="617" t="str">
        <x:f>INDEX('Specialisation Impact'!$AA$19:$AA$186,MATCH(A81,'Specialisation Impact'!$AO$19:$AO$186,0))</x:f>
        <x:v>Recorded skills only</x:v>
      </x:c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</x:row>
    <x:row r="82">
      <x:c r="A82" s="618" t="n">
        <x:v>66</x:v>
      </x:c>
      <x:c r="B82" s="618" t="n">
        <x:f>INDEX('Specialisation Impact'!$AN$19:$AN$186,MATCH(A82,'Specialisation Impact'!$AO$19:$AO$186,0))</x:f>
        <x:v>9</x:v>
      </x:c>
      <x:c r="C82" s="618" t="str">
        <x:f>INDEX('Specialisation Impact'!$A$19:$A$186,MATCH(A82,'Specialisation Impact'!$AO$19:$AO$186,0))</x:f>
        <x:v>K54</x:v>
      </x:c>
      <x:c r="D82" s="618" t="str">
        <x:v>奕星的殺猪盤</x:v>
      </x:c>
      <x:c r="E82" s="623" t="n">
        <x:f>INDEX('Specialisation Impact'!$AM$19:$AM$186,MATCH(A82,'Specialisation Impact'!$AO$19:$AO$186,0))</x:f>
        <x:v>51.98701298701298</x:v>
      </x:c>
      <x:c r="F82" s="623" t="n">
        <x:f>INDEX('Specialisation Impact'!$AC$19:$AC$186,MATCH(A82,'Specialisation Impact'!$AO$19:$AO$186,0))</x:f>
        <x:v>62.33766233766234</x:v>
      </x:c>
      <x:c r="G82" s="623" t="n">
        <x:f>INDEX('Specialisation Impact'!$AF$19:$AF$186,MATCH(A82,'Specialisation Impact'!$AO$19:$AO$186,0))</x:f>
        <x:v>15.584415584415586</x:v>
      </x:c>
      <x:c r="H82" s="623" t="n">
        <x:f>INDEX('Specialisation Impact'!$AI$19:$AI$186,MATCH(A82,'Specialisation Impact'!$AO$19:$AO$186,0))</x:f>
        <x:v>32.72727272727273</x:v>
      </x:c>
      <x:c r="I82" s="623" t="n">
        <x:f>INDEX('Specialisation Impact'!$AK$19:$AK$186,MATCH(A82,'Specialisation Impact'!$AO$19:$AO$186,0))</x:f>
        <x:v>50</x:v>
      </x:c>
      <x:c r="J82" s="618" t="n">
        <x:f>INDEX('Specialisation Impact'!$E$19:$E$186,MATCH(A82,'Specialisation Impact'!$AO$19:$AO$186,0))</x:f>
        <x:v>2</x:v>
      </x:c>
      <x:c r="K82" s="631" t="n">
        <x:f>INDEX('Specialisation Impact'!$O$19:$O$186,MATCH(A82,'Specialisation Impact'!$AO$19:$AO$186,0))</x:f>
        <x:v>8568600</x:v>
      </x:c>
      <x:c r="L82" s="627" t="n">
        <x:f>INDEX('Specialisation Impact'!$F$19:$F$186,MATCH(A82,'Specialisation Impact'!$AO$19:$AO$186,0))</x:f>
        <x:v>1</x:v>
      </x:c>
      <x:c r="M82" s="618" t="str">
        <x:f>INDEX('Specialisation Impact'!$AA$19:$AA$186,MATCH(A82,'Specialisation Impact'!$AO$19:$AO$186,0))</x:f>
        <x:v>Recorded skills only</x:v>
      </x:c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</x:row>
    <x:row r="83">
      <x:c r="A83" s="617" t="n">
        <x:v>67</x:v>
      </x:c>
      <x:c r="B83" s="617" t="n">
        <x:f>INDEX('Specialisation Impact'!$AN$19:$AN$186,MATCH(A83,'Specialisation Impact'!$AO$19:$AO$186,0))</x:f>
        <x:v>8</x:v>
      </x:c>
      <x:c r="C83" s="617" t="str">
        <x:f>INDEX('Specialisation Impact'!$A$19:$A$186,MATCH(A83,'Specialisation Impact'!$AO$19:$AO$186,0))</x:f>
        <x:v>K138</x:v>
      </x:c>
      <x:c r="D83" s="617" t="str">
        <x:v>(RaW)YAMI</x:v>
      </x:c>
      <x:c r="E83" s="622" t="n">
        <x:f>INDEX('Specialisation Impact'!$AM$19:$AM$186,MATCH(A83,'Specialisation Impact'!$AO$19:$AO$186,0))</x:f>
        <x:v>51.71611721611722</x:v>
      </x:c>
      <x:c r="F83" s="622" t="n">
        <x:f>INDEX('Specialisation Impact'!$AC$19:$AC$186,MATCH(A83,'Specialisation Impact'!$AO$19:$AO$186,0))</x:f>
        <x:v>51.62337662337663</x:v>
      </x:c>
      <x:c r="G83" s="622" t="n">
        <x:f>INDEX('Specialisation Impact'!$AF$19:$AF$186,MATCH(A83,'Specialisation Impact'!$AO$19:$AO$186,0))</x:f>
        <x:v>22.012987012987015</x:v>
      </x:c>
      <x:c r="H83" s="622" t="n">
        <x:f>INDEX('Specialisation Impact'!$AI$19:$AI$186,MATCH(A83,'Specialisation Impact'!$AO$19:$AO$186,0))</x:f>
        <x:v>77.33766233766235</x:v>
      </x:c>
      <x:c r="I83" s="622" t="n">
        <x:f>INDEX('Specialisation Impact'!$AK$19:$AK$186,MATCH(A83,'Specialisation Impact'!$AO$19:$AO$186,0))</x:f>
        <x:v>43.58974358974359</x:v>
      </x:c>
      <x:c r="J83" s="617" t="n">
        <x:f>INDEX('Specialisation Impact'!$E$19:$E$186,MATCH(A83,'Specialisation Impact'!$AO$19:$AO$186,0))</x:f>
        <x:v>2</x:v>
      </x:c>
      <x:c r="K83" s="632" t="n">
        <x:f>INDEX('Specialisation Impact'!$O$19:$O$186,MATCH(A83,'Specialisation Impact'!$AO$19:$AO$186,0))</x:f>
        <x:v>15422900</x:v>
      </x:c>
      <x:c r="L83" s="626" t="n">
        <x:f>INDEX('Specialisation Impact'!$F$19:$F$186,MATCH(A83,'Specialisation Impact'!$AO$19:$AO$186,0))</x:f>
        <x:v>1</x:v>
      </x:c>
      <x:c r="M83" s="617" t="str">
        <x:f>INDEX('Specialisation Impact'!$AA$19:$AA$186,MATCH(A83,'Specialisation Impact'!$AO$19:$AO$186,0))</x:f>
        <x:v>Recorded skills only</x:v>
      </x:c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</x:row>
    <x:row r="84">
      <x:c r="A84" s="618" t="n">
        <x:v>68</x:v>
      </x:c>
      <x:c r="B84" s="618" t="n">
        <x:f>INDEX('Specialisation Impact'!$AN$19:$AN$186,MATCH(A84,'Specialisation Impact'!$AO$19:$AO$186,0))</x:f>
        <x:v>17</x:v>
      </x:c>
      <x:c r="C84" s="618" t="str">
        <x:f>INDEX('Specialisation Impact'!$A$19:$A$186,MATCH(A84,'Specialisation Impact'!$AO$19:$AO$186,0))</x:f>
        <x:v>K60</x:v>
      </x:c>
      <x:c r="D84" s="618" t="str">
        <x:v>Crixus</x:v>
      </x:c>
      <x:c r="E84" s="623" t="n">
        <x:f>INDEX('Specialisation Impact'!$AM$19:$AM$186,MATCH(A84,'Specialisation Impact'!$AO$19:$AO$186,0))</x:f>
        <x:v>51.07858807858808</x:v>
      </x:c>
      <x:c r="F84" s="623" t="n">
        <x:f>INDEX('Specialisation Impact'!$AC$19:$AC$186,MATCH(A84,'Specialisation Impact'!$AO$19:$AO$186,0))</x:f>
        <x:v>58.311688311688314</x:v>
      </x:c>
      <x:c r="G84" s="623" t="n">
        <x:f>INDEX('Specialisation Impact'!$AF$19:$AF$186,MATCH(A84,'Specialisation Impact'!$AO$19:$AO$186,0))</x:f>
        <x:v>50.25974025974026</x:v>
      </x:c>
      <x:c r="H84" s="623" t="n">
        <x:f>INDEX('Specialisation Impact'!$AI$19:$AI$186,MATCH(A84,'Specialisation Impact'!$AO$19:$AO$186,0))</x:f>
        <x:v>34.675324675324674</x:v>
      </x:c>
      <x:c r="I84" s="623" t="n">
        <x:f>INDEX('Specialisation Impact'!$AK$19:$AK$186,MATCH(A84,'Specialisation Impact'!$AO$19:$AO$186,0))</x:f>
        <x:v>29.48717948717949</x:v>
      </x:c>
      <x:c r="J84" s="618" t="n">
        <x:f>INDEX('Specialisation Impact'!$E$19:$E$186,MATCH(A84,'Specialisation Impact'!$AO$19:$AO$186,0))</x:f>
        <x:v>3</x:v>
      </x:c>
      <x:c r="K84" s="631" t="n">
        <x:f>INDEX('Specialisation Impact'!$O$19:$O$186,MATCH(A84,'Specialisation Impact'!$AO$19:$AO$186,0))</x:f>
        <x:v>12217200</x:v>
      </x:c>
      <x:c r="L84" s="627" t="n">
        <x:f>INDEX('Specialisation Impact'!$F$19:$F$186,MATCH(A84,'Specialisation Impact'!$AO$19:$AO$186,0))</x:f>
        <x:v>1</x:v>
      </x:c>
      <x:c r="M84" s="618" t="str">
        <x:f>INDEX('Specialisation Impact'!$AA$19:$AA$186,MATCH(A84,'Specialisation Impact'!$AO$19:$AO$186,0))</x:f>
        <x:v>Recorded skills only</x:v>
      </x:c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</x:row>
    <x:row r="85">
      <x:c r="A85" s="617" t="n">
        <x:v>69</x:v>
      </x:c>
      <x:c r="B85" s="617" t="n">
        <x:f>INDEX('Specialisation Impact'!$AN$19:$AN$186,MATCH(A85,'Specialisation Impact'!$AO$19:$AO$186,0))</x:f>
        <x:v>8</x:v>
      </x:c>
      <x:c r="C85" s="617" t="str">
        <x:f>INDEX('Specialisation Impact'!$A$19:$A$186,MATCH(A85,'Specialisation Impact'!$AO$19:$AO$186,0))</x:f>
        <x:v>K170</x:v>
      </x:c>
      <x:c r="D85" s="617" t="str">
        <x:v>(AOT)Doctopussy</x:v>
      </x:c>
      <x:c r="E85" s="622" t="n">
        <x:f>INDEX('Specialisation Impact'!$AM$19:$AM$186,MATCH(A85,'Specialisation Impact'!$AO$19:$AO$186,0))</x:f>
        <x:v>50.28360528360529</x:v>
      </x:c>
      <x:c r="F85" s="622" t="n">
        <x:f>INDEX('Specialisation Impact'!$AC$19:$AC$186,MATCH(A85,'Specialisation Impact'!$AO$19:$AO$186,0))</x:f>
        <x:v>44.41558441558442</x:v>
      </x:c>
      <x:c r="G85" s="622" t="n">
        <x:f>INDEX('Specialisation Impact'!$AF$19:$AF$186,MATCH(A85,'Specialisation Impact'!$AO$19:$AO$186,0))</x:f>
        <x:v>60.25974025974027</x:v>
      </x:c>
      <x:c r="H85" s="622" t="n">
        <x:f>INDEX('Specialisation Impact'!$AI$19:$AI$186,MATCH(A85,'Specialisation Impact'!$AO$19:$AO$186,0))</x:f>
        <x:v>70.3896103896104</x:v>
      </x:c>
      <x:c r="I85" s="622" t="n">
        <x:f>INDEX('Specialisation Impact'!$AK$19:$AK$186,MATCH(A85,'Specialisation Impact'!$AO$19:$AO$186,0))</x:f>
        <x:v>48.2905982905983</x:v>
      </x:c>
      <x:c r="J85" s="617" t="n">
        <x:f>INDEX('Specialisation Impact'!$E$19:$E$186,MATCH(A85,'Specialisation Impact'!$AO$19:$AO$186,0))</x:f>
        <x:v>4</x:v>
      </x:c>
      <x:c r="K85" s="632" t="n">
        <x:f>INDEX('Specialisation Impact'!$O$19:$O$186,MATCH(A85,'Specialisation Impact'!$AO$19:$AO$186,0))</x:f>
        <x:v>14810200</x:v>
      </x:c>
      <x:c r="L85" s="626" t="n">
        <x:f>INDEX('Specialisation Impact'!$F$19:$F$186,MATCH(A85,'Specialisation Impact'!$AO$19:$AO$186,0))</x:f>
        <x:v>1</x:v>
      </x:c>
      <x:c r="M85" s="617" t="str">
        <x:f>INDEX('Specialisation Impact'!$AA$19:$AA$186,MATCH(A85,'Specialisation Impact'!$AO$19:$AO$186,0))</x:f>
        <x:v>Recorded skills only</x:v>
      </x:c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</x:row>
    <x:row r="86">
      <x:c r="A86" s="618" t="n">
        <x:v>70</x:v>
      </x:c>
      <x:c r="B86" s="618" t="n">
        <x:f>INDEX('Specialisation Impact'!$AN$19:$AN$186,MATCH(A86,'Specialisation Impact'!$AO$19:$AO$186,0))</x:f>
        <x:v>5</x:v>
      </x:c>
      <x:c r="C86" s="618" t="str">
        <x:f>INDEX('Specialisation Impact'!$A$19:$A$186,MATCH(A86,'Specialisation Impact'!$AO$19:$AO$186,0))</x:f>
        <x:v>K91</x:v>
      </x:c>
      <x:c r="D86" s="618" t="str">
        <x:v>Crash</x:v>
      </x:c>
      <x:c r="E86" s="623" t="n">
        <x:f>INDEX('Specialisation Impact'!$AM$19:$AM$186,MATCH(A86,'Specialisation Impact'!$AO$19:$AO$186,0))</x:f>
        <x:v>50.18359418359419</x:v>
      </x:c>
      <x:c r="F86" s="623" t="n">
        <x:f>INDEX('Specialisation Impact'!$AC$19:$AC$186,MATCH(A86,'Specialisation Impact'!$AO$19:$AO$186,0))</x:f>
        <x:v>63.116883116883116</x:v>
      </x:c>
      <x:c r="G86" s="623" t="n">
        <x:f>INDEX('Specialisation Impact'!$AF$19:$AF$186,MATCH(A86,'Specialisation Impact'!$AO$19:$AO$186,0))</x:f>
        <x:v>21.55844155844156</x:v>
      </x:c>
      <x:c r="H86" s="623" t="n">
        <x:f>INDEX('Specialisation Impact'!$AI$19:$AI$186,MATCH(A86,'Specialisation Impact'!$AO$19:$AO$186,0))</x:f>
        <x:v>38.701298701298704</x:v>
      </x:c>
      <x:c r="I86" s="623" t="n">
        <x:f>INDEX('Specialisation Impact'!$AK$19:$AK$186,MATCH(A86,'Specialisation Impact'!$AO$19:$AO$186,0))</x:f>
        <x:v>11.965811965811966</x:v>
      </x:c>
      <x:c r="J86" s="618" t="n">
        <x:f>INDEX('Specialisation Impact'!$E$19:$E$186,MATCH(A86,'Specialisation Impact'!$AO$19:$AO$186,0))</x:f>
        <x:v>2</x:v>
      </x:c>
      <x:c r="K86" s="631" t="n">
        <x:f>INDEX('Specialisation Impact'!$O$19:$O$186,MATCH(A86,'Specialisation Impact'!$AO$19:$AO$186,0))</x:f>
        <x:v>12822900</x:v>
      </x:c>
      <x:c r="L86" s="627" t="n">
        <x:f>INDEX('Specialisation Impact'!$F$19:$F$186,MATCH(A86,'Specialisation Impact'!$AO$19:$AO$186,0))</x:f>
        <x:v>1</x:v>
      </x:c>
      <x:c r="M86" s="618" t="str">
        <x:f>INDEX('Specialisation Impact'!$AA$19:$AA$186,MATCH(A86,'Specialisation Impact'!$AO$19:$AO$186,0))</x:f>
        <x:v>Recorded skills only</x:v>
      </x:c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</x:row>
    <x:row r="87">
      <x:c r="A87" s="617" t="n">
        <x:v>71</x:v>
      </x:c>
      <x:c r="B87" s="617" t="n">
        <x:f>INDEX('Specialisation Impact'!$AN$19:$AN$186,MATCH(A87,'Specialisation Impact'!$AO$19:$AO$186,0))</x:f>
        <x:v>18</x:v>
      </x:c>
      <x:c r="C87" s="617" t="str">
        <x:f>INDEX('Specialisation Impact'!$A$19:$A$186,MATCH(A87,'Specialisation Impact'!$AO$19:$AO$186,0))</x:f>
        <x:v>K60</x:v>
      </x:c>
      <x:c r="D87" s="617" t="str">
        <x:v>Λžtěč (Aztec)</x:v>
      </x:c>
      <x:c r="E87" s="622" t="n">
        <x:f>INDEX('Specialisation Impact'!$AM$19:$AM$186,MATCH(A87,'Specialisation Impact'!$AO$19:$AO$186,0))</x:f>
        <x:v>50.01365301365302</x:v>
      </x:c>
      <x:c r="F87" s="622" t="n">
        <x:f>INDEX('Specialisation Impact'!$AC$19:$AC$186,MATCH(A87,'Specialisation Impact'!$AO$19:$AO$186,0))</x:f>
        <x:v>58.05194805194806</x:v>
      </x:c>
      <x:c r="G87" s="622" t="n">
        <x:f>INDEX('Specialisation Impact'!$AF$19:$AF$186,MATCH(A87,'Specialisation Impact'!$AO$19:$AO$186,0))</x:f>
        <x:v>41.68831168831169</x:v>
      </x:c>
      <x:c r="H87" s="622" t="n">
        <x:f>INDEX('Specialisation Impact'!$AI$19:$AI$186,MATCH(A87,'Specialisation Impact'!$AO$19:$AO$186,0))</x:f>
        <x:v>34.41558441558442</x:v>
      </x:c>
      <x:c r="I87" s="622" t="n">
        <x:f>INDEX('Specialisation Impact'!$AK$19:$AK$186,MATCH(A87,'Specialisation Impact'!$AO$19:$AO$186,0))</x:f>
        <x:v>29.48717948717949</x:v>
      </x:c>
      <x:c r="J87" s="617" t="n">
        <x:f>INDEX('Specialisation Impact'!$E$19:$E$186,MATCH(A87,'Specialisation Impact'!$AO$19:$AO$186,0))</x:f>
        <x:v>3</x:v>
      </x:c>
      <x:c r="K87" s="632" t="n">
        <x:f>INDEX('Specialisation Impact'!$O$19:$O$186,MATCH(A87,'Specialisation Impact'!$AO$19:$AO$186,0))</x:f>
        <x:v>11937200</x:v>
      </x:c>
      <x:c r="L87" s="626" t="n">
        <x:f>INDEX('Specialisation Impact'!$F$19:$F$186,MATCH(A87,'Specialisation Impact'!$AO$19:$AO$186,0))</x:f>
        <x:v>1</x:v>
      </x:c>
      <x:c r="M87" s="617" t="str">
        <x:f>INDEX('Specialisation Impact'!$AA$19:$AA$186,MATCH(A87,'Specialisation Impact'!$AO$19:$AO$186,0))</x:f>
        <x:v>Recorded skills only</x:v>
      </x:c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</x:row>
    <x:row r="88">
      <x:c r="A88" s="618" t="n">
        <x:v>72</x:v>
      </x:c>
      <x:c r="B88" s="618" t="n">
        <x:f>INDEX('Specialisation Impact'!$AN$19:$AN$186,MATCH(A88,'Specialisation Impact'!$AO$19:$AO$186,0))</x:f>
        <x:v>9</x:v>
      </x:c>
      <x:c r="C88" s="618" t="str">
        <x:f>INDEX('Specialisation Impact'!$A$19:$A$186,MATCH(A88,'Specialisation Impact'!$AO$19:$AO$186,0))</x:f>
        <x:v>K170</x:v>
      </x:c>
      <x:c r="D88" s="618" t="str">
        <x:v>(AOT)金木研_254</x:v>
      </x:c>
      <x:c r="E88" s="623" t="n">
        <x:f>INDEX('Specialisation Impact'!$AM$19:$AM$186,MATCH(A88,'Specialisation Impact'!$AO$19:$AO$186,0))</x:f>
        <x:v>49.38278388278388</x:v>
      </x:c>
      <x:c r="F88" s="623" t="n">
        <x:f>INDEX('Specialisation Impact'!$AC$19:$AC$186,MATCH(A88,'Specialisation Impact'!$AO$19:$AO$186,0))</x:f>
        <x:v>56.42857142857143</x:v>
      </x:c>
      <x:c r="G88" s="623" t="n">
        <x:f>INDEX('Specialisation Impact'!$AF$19:$AF$186,MATCH(A88,'Specialisation Impact'!$AO$19:$AO$186,0))</x:f>
        <x:v>16.42857142857143</x:v>
      </x:c>
      <x:c r="H88" s="623" t="n">
        <x:f>INDEX('Specialisation Impact'!$AI$19:$AI$186,MATCH(A88,'Specialisation Impact'!$AO$19:$AO$186,0))</x:f>
        <x:v>33.57142857142857</x:v>
      </x:c>
      <x:c r="I88" s="623" t="n">
        <x:f>INDEX('Specialisation Impact'!$AK$19:$AK$186,MATCH(A88,'Specialisation Impact'!$AO$19:$AO$186,0))</x:f>
        <x:v>60.25641025641025</x:v>
      </x:c>
      <x:c r="J88" s="618" t="n">
        <x:f>INDEX('Specialisation Impact'!$E$19:$E$186,MATCH(A88,'Specialisation Impact'!$AO$19:$AO$186,0))</x:f>
        <x:v>2</x:v>
      </x:c>
      <x:c r="K88" s="631" t="n">
        <x:f>INDEX('Specialisation Impact'!$O$19:$O$186,MATCH(A88,'Specialisation Impact'!$AO$19:$AO$186,0))</x:f>
        <x:v>13462900</x:v>
      </x:c>
      <x:c r="L88" s="627" t="n">
        <x:f>INDEX('Specialisation Impact'!$F$19:$F$186,MATCH(A88,'Specialisation Impact'!$AO$19:$AO$186,0))</x:f>
        <x:v>1</x:v>
      </x:c>
      <x:c r="M88" s="618" t="str">
        <x:f>INDEX('Specialisation Impact'!$AA$19:$AA$186,MATCH(A88,'Specialisation Impact'!$AO$19:$AO$186,0))</x:f>
        <x:v>Recorded skills only</x:v>
      </x:c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</x:row>
    <x:row r="89">
      <x:c r="A89" s="617" t="n">
        <x:v>73</x:v>
      </x:c>
      <x:c r="B89" s="617" t="n">
        <x:f>INDEX('Specialisation Impact'!$AN$19:$AN$186,MATCH(A89,'Specialisation Impact'!$AO$19:$AO$186,0))</x:f>
        <x:v>10</x:v>
      </x:c>
      <x:c r="C89" s="617" t="str">
        <x:f>INDEX('Specialisation Impact'!$A$19:$A$186,MATCH(A89,'Specialisation Impact'!$AO$19:$AO$186,0))</x:f>
        <x:v>K170</x:v>
      </x:c>
      <x:c r="D89" s="617" t="str">
        <x:v>(AOT)StFruz</x:v>
      </x:c>
      <x:c r="E89" s="622" t="n">
        <x:f>INDEX('Specialisation Impact'!$AM$19:$AM$186,MATCH(A89,'Specialisation Impact'!$AO$19:$AO$186,0))</x:f>
        <x:v>49.116883116883116</x:v>
      </x:c>
      <x:c r="F89" s="622" t="n">
        <x:f>INDEX('Specialisation Impact'!$AC$19:$AC$186,MATCH(A89,'Specialisation Impact'!$AO$19:$AO$186,0))</x:f>
        <x:v>40.64935064935065</x:v>
      </x:c>
      <x:c r="G89" s="622" t="n">
        <x:f>INDEX('Specialisation Impact'!$AF$19:$AF$186,MATCH(A89,'Specialisation Impact'!$AO$19:$AO$186,0))</x:f>
        <x:v>34.935064935064936</x:v>
      </x:c>
      <x:c r="H89" s="622" t="n">
        <x:f>INDEX('Specialisation Impact'!$AI$19:$AI$186,MATCH(A89,'Specialisation Impact'!$AO$19:$AO$186,0))</x:f>
        <x:v>94.67532467532467</x:v>
      </x:c>
      <x:c r="I89" s="622" t="n">
        <x:f>INDEX('Specialisation Impact'!$AK$19:$AK$186,MATCH(A89,'Specialisation Impact'!$AO$19:$AO$186,0))</x:f>
        <x:v>50</x:v>
      </x:c>
      <x:c r="J89" s="617" t="n">
        <x:f>INDEX('Specialisation Impact'!$E$19:$E$186,MATCH(A89,'Specialisation Impact'!$AO$19:$AO$186,0))</x:f>
        <x:v>4</x:v>
      </x:c>
      <x:c r="K89" s="632" t="n">
        <x:f>INDEX('Specialisation Impact'!$O$19:$O$186,MATCH(A89,'Specialisation Impact'!$AO$19:$AO$186,0))</x:f>
        <x:v>15207200</x:v>
      </x:c>
      <x:c r="L89" s="626" t="n">
        <x:f>INDEX('Specialisation Impact'!$F$19:$F$186,MATCH(A89,'Specialisation Impact'!$AO$19:$AO$186,0))</x:f>
        <x:v>1</x:v>
      </x:c>
      <x:c r="M89" s="617" t="str">
        <x:f>INDEX('Specialisation Impact'!$AA$19:$AA$186,MATCH(A89,'Specialisation Impact'!$AO$19:$AO$186,0))</x:f>
        <x:v>Recorded skills only</x:v>
      </x:c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</x:row>
    <x:row r="90">
      <x:c r="A90" s="618" t="n">
        <x:v>74</x:v>
      </x:c>
      <x:c r="B90" s="618" t="n">
        <x:f>INDEX('Specialisation Impact'!$AN$19:$AN$186,MATCH(A90,'Specialisation Impact'!$AO$19:$AO$186,0))</x:f>
        <x:v>19</x:v>
      </x:c>
      <x:c r="C90" s="618" t="str">
        <x:f>INDEX('Specialisation Impact'!$A$19:$A$186,MATCH(A90,'Specialisation Impact'!$AO$19:$AO$186,0))</x:f>
        <x:v>K60</x:v>
      </x:c>
      <x:c r="D90" s="618" t="str">
        <x:v>Lare</x:v>
      </x:c>
      <x:c r="E90" s="623" t="n">
        <x:f>INDEX('Specialisation Impact'!$AM$19:$AM$186,MATCH(A90,'Specialisation Impact'!$AO$19:$AO$186,0))</x:f>
        <x:v>49.03313353313354</x:v>
      </x:c>
      <x:c r="F90" s="623" t="n">
        <x:f>INDEX('Specialisation Impact'!$AC$19:$AC$186,MATCH(A90,'Specialisation Impact'!$AO$19:$AO$186,0))</x:f>
        <x:v>55.38961038961039</x:v>
      </x:c>
      <x:c r="G90" s="623" t="n">
        <x:f>INDEX('Specialisation Impact'!$AF$19:$AF$186,MATCH(A90,'Specialisation Impact'!$AO$19:$AO$186,0))</x:f>
        <x:v>49.67532467532468</x:v>
      </x:c>
      <x:c r="H90" s="623" t="n">
        <x:f>INDEX('Specialisation Impact'!$AI$19:$AI$186,MATCH(A90,'Specialisation Impact'!$AO$19:$AO$186,0))</x:f>
        <x:v>34.09090909090909</x:v>
      </x:c>
      <x:c r="I90" s="623" t="n">
        <x:f>INDEX('Specialisation Impact'!$AK$19:$AK$186,MATCH(A90,'Specialisation Impact'!$AO$19:$AO$186,0))</x:f>
        <x:v>29.48717948717949</x:v>
      </x:c>
      <x:c r="J90" s="618" t="n">
        <x:f>INDEX('Specialisation Impact'!$E$19:$E$186,MATCH(A90,'Specialisation Impact'!$AO$19:$AO$186,0))</x:f>
        <x:v>3</x:v>
      </x:c>
      <x:c r="K90" s="631" t="n">
        <x:f>INDEX('Specialisation Impact'!$O$19:$O$186,MATCH(A90,'Specialisation Impact'!$AO$19:$AO$186,0))</x:f>
        <x:v>11737200</x:v>
      </x:c>
      <x:c r="L90" s="627" t="n">
        <x:f>INDEX('Specialisation Impact'!$F$19:$F$186,MATCH(A90,'Specialisation Impact'!$AO$19:$AO$186,0))</x:f>
        <x:v>1</x:v>
      </x:c>
      <x:c r="M90" s="618" t="str">
        <x:f>INDEX('Specialisation Impact'!$AA$19:$AA$186,MATCH(A90,'Specialisation Impact'!$AO$19:$AO$186,0))</x:f>
        <x:v>Recorded skills only</x:v>
      </x:c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</x:row>
    <x:row r="91">
      <x:c r="A91" s="617" t="n">
        <x:v>75</x:v>
      </x:c>
      <x:c r="B91" s="617" t="n">
        <x:f>INDEX('Specialisation Impact'!$AN$19:$AN$186,MATCH(A91,'Specialisation Impact'!$AO$19:$AO$186,0))</x:f>
        <x:v>4</x:v>
      </x:c>
      <x:c r="C91" s="617" t="str">
        <x:f>INDEX('Specialisation Impact'!$A$19:$A$186,MATCH(A91,'Specialisation Impact'!$AO$19:$AO$186,0))</x:f>
        <x:v>K116</x:v>
      </x:c>
      <x:c r="D91" s="617" t="str">
        <x:v>那时像风一样</x:v>
      </x:c>
      <x:c r="E91" s="622" t="n">
        <x:f>INDEX('Specialisation Impact'!$AM$19:$AM$186,MATCH(A91,'Specialisation Impact'!$AO$19:$AO$186,0))</x:f>
        <x:v>48.82434232434234</x:v>
      </x:c>
      <x:c r="F91" s="622" t="n">
        <x:f>INDEX('Specialisation Impact'!$AC$19:$AC$186,MATCH(A91,'Specialisation Impact'!$AO$19:$AO$186,0))</x:f>
        <x:v>52.01298701298702</x:v>
      </x:c>
      <x:c r="G91" s="622" t="n">
        <x:f>INDEX('Specialisation Impact'!$AF$19:$AF$186,MATCH(A91,'Specialisation Impact'!$AO$19:$AO$186,0))</x:f>
        <x:v>40.324675324675326</x:v>
      </x:c>
      <x:c r="H91" s="622" t="n">
        <x:f>INDEX('Specialisation Impact'!$AI$19:$AI$186,MATCH(A91,'Specialisation Impact'!$AO$19:$AO$186,0))</x:f>
        <x:v>33.05194805194805</x:v>
      </x:c>
      <x:c r="I91" s="622" t="n">
        <x:f>INDEX('Specialisation Impact'!$AK$19:$AK$186,MATCH(A91,'Specialisation Impact'!$AO$19:$AO$186,0))</x:f>
        <x:v>60.25641025641025</x:v>
      </x:c>
      <x:c r="J91" s="617" t="n">
        <x:f>INDEX('Specialisation Impact'!$E$19:$E$186,MATCH(A91,'Specialisation Impact'!$AO$19:$AO$186,0))</x:f>
        <x:v>3</x:v>
      </x:c>
      <x:c r="K91" s="632" t="n">
        <x:f>INDEX('Specialisation Impact'!$O$19:$O$186,MATCH(A91,'Specialisation Impact'!$AO$19:$AO$186,0))</x:f>
        <x:v>13017200</x:v>
      </x:c>
      <x:c r="L91" s="626" t="n">
        <x:f>INDEX('Specialisation Impact'!$F$19:$F$186,MATCH(A91,'Specialisation Impact'!$AO$19:$AO$186,0))</x:f>
        <x:v>1</x:v>
      </x:c>
      <x:c r="M91" s="617" t="str">
        <x:f>INDEX('Specialisation Impact'!$AA$19:$AA$186,MATCH(A91,'Specialisation Impact'!$AO$19:$AO$186,0))</x:f>
        <x:v>Recorded skills only</x:v>
      </x:c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</x:row>
    <x:row r="92">
      <x:c r="A92" s="618" t="n">
        <x:v>76</x:v>
      </x:c>
      <x:c r="B92" s="618" t="n">
        <x:f>INDEX('Specialisation Impact'!$AN$19:$AN$186,MATCH(A92,'Specialisation Impact'!$AO$19:$AO$186,0))</x:f>
        <x:v>5</x:v>
      </x:c>
      <x:c r="C92" s="618" t="str">
        <x:f>INDEX('Specialisation Impact'!$A$19:$A$186,MATCH(A92,'Specialisation Impact'!$AO$19:$AO$186,0))</x:f>
        <x:v>K116</x:v>
      </x:c>
      <x:c r="D92" s="618" t="str">
        <x:v>蜜蜜°</x:v>
      </x:c>
      <x:c r="E92" s="623" t="n">
        <x:f>INDEX('Specialisation Impact'!$AM$19:$AM$186,MATCH(A92,'Specialisation Impact'!$AO$19:$AO$186,0))</x:f>
        <x:v>48.459096459096465</x:v>
      </x:c>
      <x:c r="F92" s="623" t="n">
        <x:f>INDEX('Specialisation Impact'!$AC$19:$AC$186,MATCH(A92,'Specialisation Impact'!$AO$19:$AO$186,0))</x:f>
        <x:v>47.01298701298702</x:v>
      </x:c>
      <x:c r="G92" s="623" t="n">
        <x:f>INDEX('Specialisation Impact'!$AF$19:$AF$186,MATCH(A92,'Specialisation Impact'!$AO$19:$AO$186,0))</x:f>
        <x:v>38.701298701298704</x:v>
      </x:c>
      <x:c r="H92" s="623" t="n">
        <x:f>INDEX('Specialisation Impact'!$AI$19:$AI$186,MATCH(A92,'Specialisation Impact'!$AO$19:$AO$186,0))</x:f>
        <x:v>31.42857142857143</x:v>
      </x:c>
      <x:c r="I92" s="623" t="n">
        <x:f>INDEX('Specialisation Impact'!$AK$19:$AK$186,MATCH(A92,'Specialisation Impact'!$AO$19:$AO$186,0))</x:f>
        <x:v>93.16239316239316</x:v>
      </x:c>
      <x:c r="J92" s="618" t="n">
        <x:f>INDEX('Specialisation Impact'!$E$19:$E$186,MATCH(A92,'Specialisation Impact'!$AO$19:$AO$186,0))</x:f>
        <x:v>3</x:v>
      </x:c>
      <x:c r="K92" s="631" t="n">
        <x:f>INDEX('Specialisation Impact'!$O$19:$O$186,MATCH(A92,'Specialisation Impact'!$AO$19:$AO$186,0))</x:f>
        <x:v>17627200</x:v>
      </x:c>
      <x:c r="L92" s="627" t="n">
        <x:f>INDEX('Specialisation Impact'!$F$19:$F$186,MATCH(A92,'Specialisation Impact'!$AO$19:$AO$186,0))</x:f>
        <x:v>1</x:v>
      </x:c>
      <x:c r="M92" s="618" t="str">
        <x:f>INDEX('Specialisation Impact'!$AA$19:$AA$186,MATCH(A92,'Specialisation Impact'!$AO$19:$AO$186,0))</x:f>
        <x:v>Recorded skills only</x:v>
      </x:c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</x:row>
    <x:row r="93">
      <x:c r="A93" s="617" t="n">
        <x:v>77</x:v>
      </x:c>
      <x:c r="B93" s="617" t="n">
        <x:f>INDEX('Specialisation Impact'!$AN$19:$AN$186,MATCH(A93,'Specialisation Impact'!$AO$19:$AO$186,0))</x:f>
        <x:v>9</x:v>
      </x:c>
      <x:c r="C93" s="617" t="str">
        <x:f>INDEX('Specialisation Impact'!$A$19:$A$186,MATCH(A93,'Specialisation Impact'!$AO$19:$AO$186,0))</x:f>
        <x:v>K138</x:v>
      </x:c>
      <x:c r="D93" s="617" t="str">
        <x:v>(RaW)Leprechaun</x:v>
      </x:c>
      <x:c r="E93" s="622" t="n">
        <x:f>INDEX('Specialisation Impact'!$AM$19:$AM$186,MATCH(A93,'Specialisation Impact'!$AO$19:$AO$186,0))</x:f>
        <x:v>48.316239316239326</x:v>
      </x:c>
      <x:c r="F93" s="622" t="n">
        <x:f>INDEX('Specialisation Impact'!$AC$19:$AC$186,MATCH(A93,'Specialisation Impact'!$AO$19:$AO$186,0))</x:f>
        <x:v>48.70129870129871</x:v>
      </x:c>
      <x:c r="G93" s="622" t="n">
        <x:f>INDEX('Specialisation Impact'!$AF$19:$AF$186,MATCH(A93,'Specialisation Impact'!$AO$19:$AO$186,0))</x:f>
        <x:v>19.090909090909093</x:v>
      </x:c>
      <x:c r="H93" s="622" t="n">
        <x:f>INDEX('Specialisation Impact'!$AI$19:$AI$186,MATCH(A93,'Specialisation Impact'!$AO$19:$AO$186,0))</x:f>
        <x:v>36.23376623376623</x:v>
      </x:c>
      <x:c r="I93" s="622" t="n">
        <x:f>INDEX('Specialisation Impact'!$AK$19:$AK$186,MATCH(A93,'Specialisation Impact'!$AO$19:$AO$186,0))</x:f>
        <x:v>93.16239316239316</x:v>
      </x:c>
      <x:c r="J93" s="617" t="n">
        <x:f>INDEX('Specialisation Impact'!$E$19:$E$186,MATCH(A93,'Specialisation Impact'!$AO$19:$AO$186,0))</x:f>
        <x:v>1</x:v>
      </x:c>
      <x:c r="K93" s="632" t="n">
        <x:f>INDEX('Specialisation Impact'!$O$19:$O$186,MATCH(A93,'Specialisation Impact'!$AO$19:$AO$186,0))</x:f>
        <x:v>20668600</x:v>
      </x:c>
      <x:c r="L93" s="626" t="n">
        <x:f>INDEX('Specialisation Impact'!$F$19:$F$186,MATCH(A93,'Specialisation Impact'!$AO$19:$AO$186,0))</x:f>
        <x:v>1</x:v>
      </x:c>
      <x:c r="M93" s="617" t="str">
        <x:f>INDEX('Specialisation Impact'!$AA$19:$AA$186,MATCH(A93,'Specialisation Impact'!$AO$19:$AO$186,0))</x:f>
        <x:v>Recorded skills only</x:v>
      </x:c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</x:row>
    <x:row r="94">
      <x:c r="A94" s="618" t="n">
        <x:v>78</x:v>
      </x:c>
      <x:c r="B94" s="618" t="n">
        <x:f>INDEX('Specialisation Impact'!$AN$19:$AN$186,MATCH(A94,'Specialisation Impact'!$AO$19:$AO$186,0))</x:f>
        <x:v>10</x:v>
      </x:c>
      <x:c r="C94" s="618" t="str">
        <x:f>INDEX('Specialisation Impact'!$A$19:$A$186,MATCH(A94,'Specialisation Impact'!$AO$19:$AO$186,0))</x:f>
        <x:v>K138</x:v>
      </x:c>
      <x:c r="D94" s="618" t="str">
        <x:v>(RaW)Des</x:v>
      </x:c>
      <x:c r="E94" s="623" t="n">
        <x:f>INDEX('Specialisation Impact'!$AM$19:$AM$186,MATCH(A94,'Specialisation Impact'!$AO$19:$AO$186,0))</x:f>
        <x:v>48.316239316239326</x:v>
      </x:c>
      <x:c r="F94" s="623" t="n">
        <x:f>INDEX('Specialisation Impact'!$AC$19:$AC$186,MATCH(A94,'Specialisation Impact'!$AO$19:$AO$186,0))</x:f>
        <x:v>48.70129870129871</x:v>
      </x:c>
      <x:c r="G94" s="623" t="n">
        <x:f>INDEX('Specialisation Impact'!$AF$19:$AF$186,MATCH(A94,'Specialisation Impact'!$AO$19:$AO$186,0))</x:f>
        <x:v>19.090909090909093</x:v>
      </x:c>
      <x:c r="H94" s="623" t="n">
        <x:f>INDEX('Specialisation Impact'!$AI$19:$AI$186,MATCH(A94,'Specialisation Impact'!$AO$19:$AO$186,0))</x:f>
        <x:v>36.23376623376623</x:v>
      </x:c>
      <x:c r="I94" s="623" t="n">
        <x:f>INDEX('Specialisation Impact'!$AK$19:$AK$186,MATCH(A94,'Specialisation Impact'!$AO$19:$AO$186,0))</x:f>
        <x:v>93.16239316239316</x:v>
      </x:c>
      <x:c r="J94" s="618" t="n">
        <x:f>INDEX('Specialisation Impact'!$E$19:$E$186,MATCH(A94,'Specialisation Impact'!$AO$19:$AO$186,0))</x:f>
        <x:v>1</x:v>
      </x:c>
      <x:c r="K94" s="631" t="n">
        <x:f>INDEX('Specialisation Impact'!$O$19:$O$186,MATCH(A94,'Specialisation Impact'!$AO$19:$AO$186,0))</x:f>
        <x:v>20668600</x:v>
      </x:c>
      <x:c r="L94" s="627" t="n">
        <x:f>INDEX('Specialisation Impact'!$F$19:$F$186,MATCH(A94,'Specialisation Impact'!$AO$19:$AO$186,0))</x:f>
        <x:v>1</x:v>
      </x:c>
      <x:c r="M94" s="618" t="str">
        <x:f>INDEX('Specialisation Impact'!$AA$19:$AA$186,MATCH(A94,'Specialisation Impact'!$AO$19:$AO$186,0))</x:f>
        <x:v>Recorded skills only</x:v>
      </x:c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</x:row>
    <x:row r="95">
      <x:c r="A95" s="617" t="n">
        <x:v>79</x:v>
      </x:c>
      <x:c r="B95" s="617" t="n">
        <x:f>INDEX('Specialisation Impact'!$AN$19:$AN$186,MATCH(A95,'Specialisation Impact'!$AO$19:$AO$186,0))</x:f>
        <x:v>6</x:v>
      </x:c>
      <x:c r="C95" s="617" t="str">
        <x:f>INDEX('Specialisation Impact'!$A$19:$A$186,MATCH(A95,'Specialisation Impact'!$AO$19:$AO$186,0))</x:f>
        <x:v>K116</x:v>
      </x:c>
      <x:c r="D95" s="617" t="str">
        <x:v>懒洋洋爱看腿</x:v>
      </x:c>
      <x:c r="E95" s="622" t="n">
        <x:f>INDEX('Specialisation Impact'!$AM$19:$AM$186,MATCH(A95,'Specialisation Impact'!$AO$19:$AO$186,0))</x:f>
        <x:v>47.92174492174493</x:v>
      </x:c>
      <x:c r="F95" s="622" t="n">
        <x:f>INDEX('Specialisation Impact'!$AC$19:$AC$186,MATCH(A95,'Specialisation Impact'!$AO$19:$AO$186,0))</x:f>
        <x:v>41.68831168831169</x:v>
      </x:c>
      <x:c r="G95" s="622" t="n">
        <x:f>INDEX('Specialisation Impact'!$AF$19:$AF$186,MATCH(A95,'Specialisation Impact'!$AO$19:$AO$186,0))</x:f>
        <x:v>40.64935064935065</x:v>
      </x:c>
      <x:c r="H95" s="622" t="n">
        <x:f>INDEX('Specialisation Impact'!$AI$19:$AI$186,MATCH(A95,'Specialisation Impact'!$AO$19:$AO$186,0))</x:f>
        <x:v>71.55844155844157</x:v>
      </x:c>
      <x:c r="I95" s="622" t="n">
        <x:f>INDEX('Specialisation Impact'!$AK$19:$AK$186,MATCH(A95,'Specialisation Impact'!$AO$19:$AO$186,0))</x:f>
        <x:v>60.25641025641025</x:v>
      </x:c>
      <x:c r="J95" s="617" t="n">
        <x:f>INDEX('Specialisation Impact'!$E$19:$E$186,MATCH(A95,'Specialisation Impact'!$AO$19:$AO$186,0))</x:f>
        <x:v>4</x:v>
      </x:c>
      <x:c r="K95" s="632" t="n">
        <x:f>INDEX('Specialisation Impact'!$O$19:$O$186,MATCH(A95,'Specialisation Impact'!$AO$19:$AO$186,0))</x:f>
        <x:v>13261500</x:v>
      </x:c>
      <x:c r="L95" s="626" t="n">
        <x:f>INDEX('Specialisation Impact'!$F$19:$F$186,MATCH(A95,'Specialisation Impact'!$AO$19:$AO$186,0))</x:f>
        <x:v>1</x:v>
      </x:c>
      <x:c r="M95" s="617" t="str">
        <x:f>INDEX('Specialisation Impact'!$AA$19:$AA$186,MATCH(A95,'Specialisation Impact'!$AO$19:$AO$186,0))</x:f>
        <x:v>Recorded skills only</x:v>
      </x:c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</x:row>
    <x:row r="96">
      <x:c r="A96" s="618" t="n">
        <x:v>80</x:v>
      </x:c>
      <x:c r="B96" s="618" t="n">
        <x:f>INDEX('Specialisation Impact'!$AN$19:$AN$186,MATCH(A96,'Specialisation Impact'!$AO$19:$AO$186,0))</x:f>
        <x:v>20</x:v>
      </x:c>
      <x:c r="C96" s="618" t="str">
        <x:f>INDEX('Specialisation Impact'!$A$19:$A$186,MATCH(A96,'Specialisation Impact'!$AO$19:$AO$186,0))</x:f>
        <x:v>K60</x:v>
      </x:c>
      <x:c r="D96" s="618" t="str">
        <x:v>Hitt</x:v>
      </x:c>
      <x:c r="E96" s="623" t="n">
        <x:f>INDEX('Specialisation Impact'!$AM$19:$AM$186,MATCH(A96,'Specialisation Impact'!$AO$19:$AO$186,0))</x:f>
        <x:v>47.90975690975691</x:v>
      </x:c>
      <x:c r="F96" s="623" t="n">
        <x:f>INDEX('Specialisation Impact'!$AC$19:$AC$186,MATCH(A96,'Specialisation Impact'!$AO$19:$AO$186,0))</x:f>
        <x:v>55.064935064935064</x:v>
      </x:c>
      <x:c r="G96" s="623" t="n">
        <x:f>INDEX('Specialisation Impact'!$AF$19:$AF$186,MATCH(A96,'Specialisation Impact'!$AO$19:$AO$186,0))</x:f>
        <x:v>41.03896103896104</x:v>
      </x:c>
      <x:c r="H96" s="623" t="n">
        <x:f>INDEX('Specialisation Impact'!$AI$19:$AI$186,MATCH(A96,'Specialisation Impact'!$AO$19:$AO$186,0))</x:f>
        <x:v>33.76623376623377</x:v>
      </x:c>
      <x:c r="I96" s="623" t="n">
        <x:f>INDEX('Specialisation Impact'!$AK$19:$AK$186,MATCH(A96,'Specialisation Impact'!$AO$19:$AO$186,0))</x:f>
        <x:v>29.48717948717949</x:v>
      </x:c>
      <x:c r="J96" s="618" t="n">
        <x:f>INDEX('Specialisation Impact'!$E$19:$E$186,MATCH(A96,'Specialisation Impact'!$AO$19:$AO$186,0))</x:f>
        <x:v>3</x:v>
      </x:c>
      <x:c r="K96" s="631" t="n">
        <x:f>INDEX('Specialisation Impact'!$O$19:$O$186,MATCH(A96,'Specialisation Impact'!$AO$19:$AO$186,0))</x:f>
        <x:v>11457200</x:v>
      </x:c>
      <x:c r="L96" s="627" t="n">
        <x:f>INDEX('Specialisation Impact'!$F$19:$F$186,MATCH(A96,'Specialisation Impact'!$AO$19:$AO$186,0))</x:f>
        <x:v>1</x:v>
      </x:c>
      <x:c r="M96" s="618" t="str">
        <x:f>INDEX('Specialisation Impact'!$AA$19:$AA$186,MATCH(A96,'Specialisation Impact'!$AO$19:$AO$186,0))</x:f>
        <x:v>Recorded skills only</x:v>
      </x:c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</x:row>
    <x:row r="97">
      <x:c r="A97" s="617" t="n">
        <x:v>81</x:v>
      </x:c>
      <x:c r="B97" s="617" t="n">
        <x:f>INDEX('Specialisation Impact'!$AN$19:$AN$186,MATCH(A97,'Specialisation Impact'!$AO$19:$AO$186,0))</x:f>
        <x:v>21</x:v>
      </x:c>
      <x:c r="C97" s="617" t="str">
        <x:f>INDEX('Specialisation Impact'!$A$19:$A$186,MATCH(A97,'Specialisation Impact'!$AO$19:$AO$186,0))</x:f>
        <x:v>K60</x:v>
      </x:c>
      <x:c r="D97" s="617" t="str">
        <x:v>༺۝Foxik۝༻</x:v>
      </x:c>
      <x:c r="E97" s="622" t="n">
        <x:f>INDEX('Specialisation Impact'!$AM$19:$AM$186,MATCH(A97,'Specialisation Impact'!$AO$19:$AO$186,0))</x:f>
        <x:v>47.32534132534133</x:v>
      </x:c>
      <x:c r="F97" s="622" t="n">
        <x:f>INDEX('Specialisation Impact'!$AC$19:$AC$186,MATCH(A97,'Specialisation Impact'!$AO$19:$AO$186,0))</x:f>
        <x:v>58.57142857142857</x:v>
      </x:c>
      <x:c r="G97" s="622" t="n">
        <x:f>INDEX('Specialisation Impact'!$AF$19:$AF$186,MATCH(A97,'Specialisation Impact'!$AO$19:$AO$186,0))</x:f>
        <x:v>14.935064935064936</x:v>
      </x:c>
      <x:c r="H97" s="622" t="n">
        <x:f>INDEX('Specialisation Impact'!$AI$19:$AI$186,MATCH(A97,'Specialisation Impact'!$AO$19:$AO$186,0))</x:f>
        <x:v>32.07792207792208</x:v>
      </x:c>
      <x:c r="I97" s="622" t="n">
        <x:f>INDEX('Specialisation Impact'!$AK$19:$AK$186,MATCH(A97,'Specialisation Impact'!$AO$19:$AO$186,0))</x:f>
        <x:v>29.48717948717949</x:v>
      </x:c>
      <x:c r="J97" s="617" t="n">
        <x:f>INDEX('Specialisation Impact'!$E$19:$E$186,MATCH(A97,'Specialisation Impact'!$AO$19:$AO$186,0))</x:f>
        <x:v>2</x:v>
      </x:c>
      <x:c r="K97" s="632" t="n">
        <x:f>INDEX('Specialisation Impact'!$O$19:$O$186,MATCH(A97,'Specialisation Impact'!$AO$19:$AO$186,0))</x:f>
        <x:v>10252900</x:v>
      </x:c>
      <x:c r="L97" s="626" t="n">
        <x:f>INDEX('Specialisation Impact'!$F$19:$F$186,MATCH(A97,'Specialisation Impact'!$AO$19:$AO$186,0))</x:f>
        <x:v>1</x:v>
      </x:c>
      <x:c r="M97" s="617" t="str">
        <x:f>INDEX('Specialisation Impact'!$AA$19:$AA$186,MATCH(A97,'Specialisation Impact'!$AO$19:$AO$186,0))</x:f>
        <x:v>Recorded skills only</x:v>
      </x:c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</x:row>
    <x:row r="98">
      <x:c r="A98" s="618" t="n">
        <x:v>82</x:v>
      </x:c>
      <x:c r="B98" s="618" t="n">
        <x:f>INDEX('Specialisation Impact'!$AN$19:$AN$186,MATCH(A98,'Specialisation Impact'!$AO$19:$AO$186,0))</x:f>
        <x:v>11</x:v>
      </x:c>
      <x:c r="C98" s="618" t="str">
        <x:f>INDEX('Specialisation Impact'!$A$19:$A$186,MATCH(A98,'Specialisation Impact'!$AO$19:$AO$186,0))</x:f>
        <x:v>K170</x:v>
      </x:c>
      <x:c r="D98" s="618" t="str">
        <x:v>(AOT)Aauudd</x:v>
      </x:c>
      <x:c r="E98" s="623" t="n">
        <x:f>INDEX('Specialisation Impact'!$AM$19:$AM$186,MATCH(A98,'Specialisation Impact'!$AO$19:$AO$186,0))</x:f>
        <x:v>46.714285714285715</x:v>
      </x:c>
      <x:c r="F98" s="623" t="n">
        <x:f>INDEX('Specialisation Impact'!$AC$19:$AC$186,MATCH(A98,'Specialisation Impact'!$AO$19:$AO$186,0))</x:f>
        <x:v>42.5974025974026</x:v>
      </x:c>
      <x:c r="G98" s="623" t="n">
        <x:f>INDEX('Specialisation Impact'!$AF$19:$AF$186,MATCH(A98,'Specialisation Impact'!$AO$19:$AO$186,0))</x:f>
        <x:v>26.493506493506494</x:v>
      </x:c>
      <x:c r="H98" s="623" t="n">
        <x:f>INDEX('Specialisation Impact'!$AI$19:$AI$186,MATCH(A98,'Specialisation Impact'!$AO$19:$AO$186,0))</x:f>
        <x:v>75.84415584415585</x:v>
      </x:c>
      <x:c r="I98" s="623" t="n">
        <x:f>INDEX('Specialisation Impact'!$AK$19:$AK$186,MATCH(A98,'Specialisation Impact'!$AO$19:$AO$186,0))</x:f>
        <x:v>50</x:v>
      </x:c>
      <x:c r="J98" s="618" t="n">
        <x:f>INDEX('Specialisation Impact'!$E$19:$E$186,MATCH(A98,'Specialisation Impact'!$AO$19:$AO$186,0))</x:f>
        <x:v>4</x:v>
      </x:c>
      <x:c r="K98" s="631" t="n">
        <x:f>INDEX('Specialisation Impact'!$O$19:$O$186,MATCH(A98,'Specialisation Impact'!$AO$19:$AO$186,0))</x:f>
        <x:v>8939700</x:v>
      </x:c>
      <x:c r="L98" s="627" t="n">
        <x:f>INDEX('Specialisation Impact'!$F$19:$F$186,MATCH(A98,'Specialisation Impact'!$AO$19:$AO$186,0))</x:f>
        <x:v>1</x:v>
      </x:c>
      <x:c r="M98" s="618" t="str">
        <x:f>INDEX('Specialisation Impact'!$AA$19:$AA$186,MATCH(A98,'Specialisation Impact'!$AO$19:$AO$186,0))</x:f>
        <x:v>Recorded skills only</x:v>
      </x:c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</x:row>
    <x:row r="99">
      <x:c r="A99" s="617" t="n">
        <x:v>83</x:v>
      </x:c>
      <x:c r="B99" s="617" t="n">
        <x:f>INDEX('Specialisation Impact'!$AN$19:$AN$186,MATCH(A99,'Specialisation Impact'!$AO$19:$AO$186,0))</x:f>
        <x:v>12</x:v>
      </x:c>
      <x:c r="C99" s="617" t="str">
        <x:f>INDEX('Specialisation Impact'!$A$19:$A$186,MATCH(A99,'Specialisation Impact'!$AO$19:$AO$186,0))</x:f>
        <x:v>K170</x:v>
      </x:c>
      <x:c r="D99" s="617" t="str">
        <x:v>(AOT)VAB999</x:v>
      </x:c>
      <x:c r="E99" s="622" t="n">
        <x:f>INDEX('Specialisation Impact'!$AM$19:$AM$186,MATCH(A99,'Specialisation Impact'!$AO$19:$AO$186,0))</x:f>
        <x:v>46.281718281718284</x:v>
      </x:c>
      <x:c r="F99" s="622" t="n">
        <x:f>INDEX('Specialisation Impact'!$AC$19:$AC$186,MATCH(A99,'Specialisation Impact'!$AO$19:$AO$186,0))</x:f>
        <x:v>36.103896103896105</x:v>
      </x:c>
      <x:c r="G99" s="622" t="n">
        <x:f>INDEX('Specialisation Impact'!$AF$19:$AF$186,MATCH(A99,'Specialisation Impact'!$AO$19:$AO$186,0))</x:f>
        <x:v>92.72727272727275</x:v>
      </x:c>
      <x:c r="H99" s="622" t="n">
        <x:f>INDEX('Specialisation Impact'!$AI$19:$AI$186,MATCH(A99,'Specialisation Impact'!$AO$19:$AO$186,0))</x:f>
        <x:v>41.55844155844156</x:v>
      </x:c>
      <x:c r="I99" s="622" t="n">
        <x:f>INDEX('Specialisation Impact'!$AK$19:$AK$186,MATCH(A99,'Specialisation Impact'!$AO$19:$AO$186,0))</x:f>
        <x:v>73.07692307692308</x:v>
      </x:c>
      <x:c r="J99" s="617" t="n">
        <x:f>INDEX('Specialisation Impact'!$E$19:$E$186,MATCH(A99,'Specialisation Impact'!$AO$19:$AO$186,0))</x:f>
        <x:v>3</x:v>
      </x:c>
      <x:c r="K99" s="632" t="n">
        <x:f>INDEX('Specialisation Impact'!$O$19:$O$186,MATCH(A99,'Specialisation Impact'!$AO$19:$AO$186,0))</x:f>
        <x:v>19827200</x:v>
      </x:c>
      <x:c r="L99" s="626" t="n">
        <x:f>INDEX('Specialisation Impact'!$F$19:$F$186,MATCH(A99,'Specialisation Impact'!$AO$19:$AO$186,0))</x:f>
        <x:v>1</x:v>
      </x:c>
      <x:c r="M99" s="617" t="str">
        <x:f>INDEX('Specialisation Impact'!$AA$19:$AA$186,MATCH(A99,'Specialisation Impact'!$AO$19:$AO$186,0))</x:f>
        <x:v>Recorded skills only</x:v>
      </x:c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</x:row>
    <x:row r="100">
      <x:c r="A100" s="618" t="n">
        <x:v>84</x:v>
      </x:c>
      <x:c r="B100" s="618" t="n">
        <x:f>INDEX('Specialisation Impact'!$AN$19:$AN$186,MATCH(A100,'Specialisation Impact'!$AO$19:$AO$186,0))</x:f>
        <x:v>11</x:v>
      </x:c>
      <x:c r="C100" s="618" t="str">
        <x:f>INDEX('Specialisation Impact'!$A$19:$A$186,MATCH(A100,'Specialisation Impact'!$AO$19:$AO$186,0))</x:f>
        <x:v>K138</x:v>
      </x:c>
      <x:c r="D100" s="618" t="str">
        <x:v>(RaW)BEYKOZLU</x:v>
      </x:c>
      <x:c r="E100" s="623" t="n">
        <x:f>INDEX('Specialisation Impact'!$AM$19:$AM$186,MATCH(A100,'Specialisation Impact'!$AO$19:$AO$186,0))</x:f>
        <x:v>46.00444000444001</x:v>
      </x:c>
      <x:c r="F100" s="623" t="n">
        <x:f>INDEX('Specialisation Impact'!$AC$19:$AC$186,MATCH(A100,'Specialisation Impact'!$AO$19:$AO$186,0))</x:f>
        <x:v>41.55844155844156</x:v>
      </x:c>
      <x:c r="G100" s="623" t="n">
        <x:f>INDEX('Specialisation Impact'!$AF$19:$AF$186,MATCH(A100,'Specialisation Impact'!$AO$19:$AO$186,0))</x:f>
        <x:v>57.40259740259741</x:v>
      </x:c>
      <x:c r="H100" s="623" t="n">
        <x:f>INDEX('Specialisation Impact'!$AI$19:$AI$186,MATCH(A100,'Specialisation Impact'!$AO$19:$AO$186,0))</x:f>
        <x:v>35.064935064935064</x:v>
      </x:c>
      <x:c r="I100" s="623" t="n">
        <x:f>INDEX('Specialisation Impact'!$AK$19:$AK$186,MATCH(A100,'Specialisation Impact'!$AO$19:$AO$186,0))</x:f>
        <x:v>79.91452991452991</x:v>
      </x:c>
      <x:c r="J100" s="618" t="n">
        <x:f>INDEX('Specialisation Impact'!$E$19:$E$186,MATCH(A100,'Specialisation Impact'!$AO$19:$AO$186,0))</x:f>
        <x:v>2</x:v>
      </x:c>
      <x:c r="K100" s="631" t="n">
        <x:f>INDEX('Specialisation Impact'!$O$19:$O$186,MATCH(A100,'Specialisation Impact'!$AO$19:$AO$186,0))</x:f>
        <x:v>17112900</x:v>
      </x:c>
      <x:c r="L100" s="627" t="n">
        <x:f>INDEX('Specialisation Impact'!$F$19:$F$186,MATCH(A100,'Specialisation Impact'!$AO$19:$AO$186,0))</x:f>
        <x:v>1</x:v>
      </x:c>
      <x:c r="M100" s="618" t="str">
        <x:f>INDEX('Specialisation Impact'!$AA$19:$AA$186,MATCH(A100,'Specialisation Impact'!$AO$19:$AO$186,0))</x:f>
        <x:v>Recorded skills only</x:v>
      </x:c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</x:row>
    <x:row r="101">
      <x:c r="A101" s="617" t="n">
        <x:v>85</x:v>
      </x:c>
      <x:c r="B101" s="617" t="n">
        <x:f>INDEX('Specialisation Impact'!$AN$19:$AN$186,MATCH(A101,'Specialisation Impact'!$AO$19:$AO$186,0))</x:f>
        <x:v>22</x:v>
      </x:c>
      <x:c r="C101" s="617" t="str">
        <x:f>INDEX('Specialisation Impact'!$A$19:$A$186,MATCH(A101,'Specialisation Impact'!$AO$19:$AO$186,0))</x:f>
        <x:v>K60</x:v>
      </x:c>
      <x:c r="D101" s="617" t="str">
        <x:v>Legendⁱᵃᵐ</x:v>
      </x:c>
      <x:c r="E101" s="622" t="n">
        <x:f>INDEX('Specialisation Impact'!$AM$19:$AM$186,MATCH(A101,'Specialisation Impact'!$AO$19:$AO$186,0))</x:f>
        <x:v>45.74741924741926</x:v>
      </x:c>
      <x:c r="F101" s="622" t="n">
        <x:f>INDEX('Specialisation Impact'!$AC$19:$AC$186,MATCH(A101,'Specialisation Impact'!$AO$19:$AO$186,0))</x:f>
        <x:v>52.01298701298702</x:v>
      </x:c>
      <x:c r="G101" s="622" t="n">
        <x:f>INDEX('Specialisation Impact'!$AF$19:$AF$186,MATCH(A101,'Specialisation Impact'!$AO$19:$AO$186,0))</x:f>
        <x:v>40.324675324675326</x:v>
      </x:c>
      <x:c r="H101" s="622" t="n">
        <x:f>INDEX('Specialisation Impact'!$AI$19:$AI$186,MATCH(A101,'Specialisation Impact'!$AO$19:$AO$186,0))</x:f>
        <x:v>33.05194805194805</x:v>
      </x:c>
      <x:c r="I101" s="622" t="n">
        <x:f>INDEX('Specialisation Impact'!$AK$19:$AK$186,MATCH(A101,'Specialisation Impact'!$AO$19:$AO$186,0))</x:f>
        <x:v>29.48717948717949</x:v>
      </x:c>
      <x:c r="J101" s="617" t="n">
        <x:f>INDEX('Specialisation Impact'!$E$19:$E$186,MATCH(A101,'Specialisation Impact'!$AO$19:$AO$186,0))</x:f>
        <x:v>3</x:v>
      </x:c>
      <x:c r="K101" s="632" t="n">
        <x:f>INDEX('Specialisation Impact'!$O$19:$O$186,MATCH(A101,'Specialisation Impact'!$AO$19:$AO$186,0))</x:f>
        <x:v>10977200</x:v>
      </x:c>
      <x:c r="L101" s="626" t="n">
        <x:f>INDEX('Specialisation Impact'!$F$19:$F$186,MATCH(A101,'Specialisation Impact'!$AO$19:$AO$186,0))</x:f>
        <x:v>1</x:v>
      </x:c>
      <x:c r="M101" s="617" t="str">
        <x:f>INDEX('Specialisation Impact'!$AA$19:$AA$186,MATCH(A101,'Specialisation Impact'!$AO$19:$AO$186,0))</x:f>
        <x:v>Recorded skills only</x:v>
      </x:c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</x:row>
    <x:row r="102">
      <x:c r="A102" s="618" t="n">
        <x:v>86</x:v>
      </x:c>
      <x:c r="B102" s="618" t="n">
        <x:f>INDEX('Specialisation Impact'!$AN$19:$AN$186,MATCH(A102,'Specialisation Impact'!$AO$19:$AO$186,0))</x:f>
        <x:v>17</x:v>
      </x:c>
      <x:c r="C102" s="618" t="str">
        <x:f>INDEX('Specialisation Impact'!$A$19:$A$186,MATCH(A102,'Specialisation Impact'!$AO$19:$AO$186,0))</x:f>
        <x:v>K176</x:v>
      </x:c>
      <x:c r="D102" s="618" t="str">
        <x:v>璀璨星芒</x:v>
      </x:c>
      <x:c r="E102" s="623" t="n">
        <x:f>INDEX('Specialisation Impact'!$AM$19:$AM$186,MATCH(A102,'Specialisation Impact'!$AO$19:$AO$186,0))</x:f>
        <x:v>45.52564102564102</x:v>
      </x:c>
      <x:c r="F102" s="623" t="n">
        <x:f>INDEX('Specialisation Impact'!$AC$19:$AC$186,MATCH(A102,'Specialisation Impact'!$AO$19:$AO$186,0))</x:f>
        <x:v>37.72727272727273</x:v>
      </x:c>
      <x:c r="G102" s="623" t="n">
        <x:f>INDEX('Specialisation Impact'!$AF$19:$AF$186,MATCH(A102,'Specialisation Impact'!$AO$19:$AO$186,0))</x:f>
        <x:v>41.36363636363637</x:v>
      </x:c>
      <x:c r="H102" s="623" t="n">
        <x:f>INDEX('Specialisation Impact'!$AI$19:$AI$186,MATCH(A102,'Specialisation Impact'!$AO$19:$AO$186,0))</x:f>
        <x:v>72.27272727272728</x:v>
      </x:c>
      <x:c r="I102" s="623" t="n">
        <x:f>INDEX('Specialisation Impact'!$AK$19:$AK$186,MATCH(A102,'Specialisation Impact'!$AO$19:$AO$186,0))</x:f>
        <x:v>60.25641025641025</x:v>
      </x:c>
      <x:c r="J102" s="618" t="n">
        <x:f>INDEX('Specialisation Impact'!$E$19:$E$186,MATCH(A102,'Specialisation Impact'!$AO$19:$AO$186,0))</x:f>
        <x:v>3</x:v>
      </x:c>
      <x:c r="K102" s="631" t="n">
        <x:f>INDEX('Specialisation Impact'!$O$19:$O$186,MATCH(A102,'Specialisation Impact'!$AO$19:$AO$186,0))</x:f>
        <x:v>13777200</x:v>
      </x:c>
      <x:c r="L102" s="627" t="n">
        <x:f>INDEX('Specialisation Impact'!$F$19:$F$186,MATCH(A102,'Specialisation Impact'!$AO$19:$AO$186,0))</x:f>
        <x:v>1</x:v>
      </x:c>
      <x:c r="M102" s="618" t="str">
        <x:f>INDEX('Specialisation Impact'!$AA$19:$AA$186,MATCH(A102,'Specialisation Impact'!$AO$19:$AO$186,0))</x:f>
        <x:v>Recorded skills only</x:v>
      </x:c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</x:row>
    <x:row r="103">
      <x:c r="A103" s="617" t="n">
        <x:v>87</x:v>
      </x:c>
      <x:c r="B103" s="617" t="n">
        <x:f>INDEX('Specialisation Impact'!$AN$19:$AN$186,MATCH(A103,'Specialisation Impact'!$AO$19:$AO$186,0))</x:f>
        <x:v>7</x:v>
      </x:c>
      <x:c r="C103" s="617" t="str">
        <x:f>INDEX('Specialisation Impact'!$A$19:$A$186,MATCH(A103,'Specialisation Impact'!$AO$19:$AO$186,0))</x:f>
        <x:v>K116</x:v>
      </x:c>
      <x:c r="D103" s="617" t="str">
        <x:v>汰需尚青</x:v>
      </x:c>
      <x:c r="E103" s="622" t="n">
        <x:f>INDEX('Specialisation Impact'!$AM$19:$AM$186,MATCH(A103,'Specialisation Impact'!$AO$19:$AO$186,0))</x:f>
        <x:v>44.00000000000001</x:v>
      </x:c>
      <x:c r="F103" s="622" t="n">
        <x:f>INDEX('Specialisation Impact'!$AC$19:$AC$186,MATCH(A103,'Specialisation Impact'!$AO$19:$AO$186,0))</x:f>
        <x:v>48.70129870129871</x:v>
      </x:c>
      <x:c r="G103" s="622" t="n">
        <x:f>INDEX('Specialisation Impact'!$AF$19:$AF$186,MATCH(A103,'Specialisation Impact'!$AO$19:$AO$186,0))</x:f>
        <x:v>19.090909090909093</x:v>
      </x:c>
      <x:c r="H103" s="622" t="n">
        <x:f>INDEX('Specialisation Impact'!$AI$19:$AI$186,MATCH(A103,'Specialisation Impact'!$AO$19:$AO$186,0))</x:f>
        <x:v>36.23376623376623</x:v>
      </x:c>
      <x:c r="I103" s="622" t="n">
        <x:f>INDEX('Specialisation Impact'!$AK$19:$AK$186,MATCH(A103,'Specialisation Impact'!$AO$19:$AO$186,0))</x:f>
        <x:v>50</x:v>
      </x:c>
      <x:c r="J103" s="617" t="n">
        <x:f>INDEX('Specialisation Impact'!$E$19:$E$186,MATCH(A103,'Specialisation Impact'!$AO$19:$AO$186,0))</x:f>
        <x:v>1</x:v>
      </x:c>
      <x:c r="K103" s="632" t="n">
        <x:f>INDEX('Specialisation Impact'!$O$19:$O$186,MATCH(A103,'Specialisation Impact'!$AO$19:$AO$186,0))</x:f>
        <x:v>10334300</x:v>
      </x:c>
      <x:c r="L103" s="626" t="n">
        <x:f>INDEX('Specialisation Impact'!$F$19:$F$186,MATCH(A103,'Specialisation Impact'!$AO$19:$AO$186,0))</x:f>
        <x:v>1</x:v>
      </x:c>
      <x:c r="M103" s="617" t="str">
        <x:f>INDEX('Specialisation Impact'!$AA$19:$AA$186,MATCH(A103,'Specialisation Impact'!$AO$19:$AO$186,0))</x:f>
        <x:v>Recorded skills only</x:v>
      </x:c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</x:row>
    <x:row r="104">
      <x:c r="A104" s="618" t="n">
        <x:v>88</x:v>
      </x:c>
      <x:c r="B104" s="618" t="n">
        <x:f>INDEX('Specialisation Impact'!$AN$19:$AN$186,MATCH(A104,'Specialisation Impact'!$AO$19:$AO$186,0))</x:f>
        <x:v>5</x:v>
      </x:c>
      <x:c r="C104" s="618" t="str">
        <x:f>INDEX('Specialisation Impact'!$A$19:$A$186,MATCH(A104,'Specialisation Impact'!$AO$19:$AO$186,0))</x:f>
        <x:v>K197</x:v>
      </x:c>
      <x:c r="D104" s="618" t="str">
        <x:v>Бапм</x:v>
      </x:c>
      <x:c r="E104" s="623" t="n">
        <x:f>INDEX('Specialisation Impact'!$AM$19:$AM$186,MATCH(A104,'Specialisation Impact'!$AO$19:$AO$186,0))</x:f>
        <x:v>44.00000000000001</x:v>
      </x:c>
      <x:c r="F104" s="623" t="n">
        <x:f>INDEX('Specialisation Impact'!$AC$19:$AC$186,MATCH(A104,'Specialisation Impact'!$AO$19:$AO$186,0))</x:f>
        <x:v>48.70129870129871</x:v>
      </x:c>
      <x:c r="G104" s="623" t="n">
        <x:f>INDEX('Specialisation Impact'!$AF$19:$AF$186,MATCH(A104,'Specialisation Impact'!$AO$19:$AO$186,0))</x:f>
        <x:v>19.090909090909093</x:v>
      </x:c>
      <x:c r="H104" s="623" t="n">
        <x:f>INDEX('Specialisation Impact'!$AI$19:$AI$186,MATCH(A104,'Specialisation Impact'!$AO$19:$AO$186,0))</x:f>
        <x:v>36.23376623376623</x:v>
      </x:c>
      <x:c r="I104" s="623" t="n">
        <x:f>INDEX('Specialisation Impact'!$AK$19:$AK$186,MATCH(A104,'Specialisation Impact'!$AO$19:$AO$186,0))</x:f>
        <x:v>50</x:v>
      </x:c>
      <x:c r="J104" s="618" t="n">
        <x:f>INDEX('Specialisation Impact'!$E$19:$E$186,MATCH(A104,'Specialisation Impact'!$AO$19:$AO$186,0))</x:f>
        <x:v>1</x:v>
      </x:c>
      <x:c r="K104" s="631" t="n">
        <x:f>INDEX('Specialisation Impact'!$O$19:$O$186,MATCH(A104,'Specialisation Impact'!$AO$19:$AO$186,0))</x:f>
        <x:v>10334300</x:v>
      </x:c>
      <x:c r="L104" s="627" t="n">
        <x:f>INDEX('Specialisation Impact'!$F$19:$F$186,MATCH(A104,'Specialisation Impact'!$AO$19:$AO$186,0))</x:f>
        <x:v>1</x:v>
      </x:c>
      <x:c r="M104" s="618" t="str">
        <x:f>INDEX('Specialisation Impact'!$AA$19:$AA$186,MATCH(A104,'Specialisation Impact'!$AO$19:$AO$186,0))</x:f>
        <x:v>Recorded skills only</x:v>
      </x:c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</x:row>
    <x:row r="105">
      <x:c r="A105" s="617" t="n">
        <x:v>89</x:v>
      </x:c>
      <x:c r="B105" s="617" t="n">
        <x:f>INDEX('Specialisation Impact'!$AN$19:$AN$186,MATCH(A105,'Specialisation Impact'!$AO$19:$AO$186,0))</x:f>
        <x:v>6</x:v>
      </x:c>
      <x:c r="C105" s="617" t="str">
        <x:f>INDEX('Specialisation Impact'!$A$19:$A$186,MATCH(A105,'Specialisation Impact'!$AO$19:$AO$186,0))</x:f>
        <x:v>K197</x:v>
      </x:c>
      <x:c r="D105" s="617" t="str">
        <x:v>优乐美</x:v>
      </x:c>
      <x:c r="E105" s="622" t="n">
        <x:f>INDEX('Specialisation Impact'!$AM$19:$AM$186,MATCH(A105,'Specialisation Impact'!$AO$19:$AO$186,0))</x:f>
        <x:v>44.00000000000001</x:v>
      </x:c>
      <x:c r="F105" s="622" t="n">
        <x:f>INDEX('Specialisation Impact'!$AC$19:$AC$186,MATCH(A105,'Specialisation Impact'!$AO$19:$AO$186,0))</x:f>
        <x:v>48.70129870129871</x:v>
      </x:c>
      <x:c r="G105" s="622" t="n">
        <x:f>INDEX('Specialisation Impact'!$AF$19:$AF$186,MATCH(A105,'Specialisation Impact'!$AO$19:$AO$186,0))</x:f>
        <x:v>19.090909090909093</x:v>
      </x:c>
      <x:c r="H105" s="622" t="n">
        <x:f>INDEX('Specialisation Impact'!$AI$19:$AI$186,MATCH(A105,'Specialisation Impact'!$AO$19:$AO$186,0))</x:f>
        <x:v>36.23376623376623</x:v>
      </x:c>
      <x:c r="I105" s="622" t="n">
        <x:f>INDEX('Specialisation Impact'!$AK$19:$AK$186,MATCH(A105,'Specialisation Impact'!$AO$19:$AO$186,0))</x:f>
        <x:v>50</x:v>
      </x:c>
      <x:c r="J105" s="617" t="n">
        <x:f>INDEX('Specialisation Impact'!$E$19:$E$186,MATCH(A105,'Specialisation Impact'!$AO$19:$AO$186,0))</x:f>
        <x:v>1</x:v>
      </x:c>
      <x:c r="K105" s="632" t="n">
        <x:f>INDEX('Specialisation Impact'!$O$19:$O$186,MATCH(A105,'Specialisation Impact'!$AO$19:$AO$186,0))</x:f>
        <x:v>10334300</x:v>
      </x:c>
      <x:c r="L105" s="626" t="n">
        <x:f>INDEX('Specialisation Impact'!$F$19:$F$186,MATCH(A105,'Specialisation Impact'!$AO$19:$AO$186,0))</x:f>
        <x:v>1</x:v>
      </x:c>
      <x:c r="M105" s="617" t="str">
        <x:f>INDEX('Specialisation Impact'!$AA$19:$AA$186,MATCH(A105,'Specialisation Impact'!$AO$19:$AO$186,0))</x:f>
        <x:v>Recorded skills only</x:v>
      </x:c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</x:row>
    <x:row r="106">
      <x:c r="A106" s="618" t="n">
        <x:v>90</x:v>
      </x:c>
      <x:c r="B106" s="618" t="n">
        <x:f>INDEX('Specialisation Impact'!$AN$19:$AN$186,MATCH(A106,'Specialisation Impact'!$AO$19:$AO$186,0))</x:f>
        <x:v>13</x:v>
      </x:c>
      <x:c r="C106" s="618" t="str">
        <x:f>INDEX('Specialisation Impact'!$A$19:$A$186,MATCH(A106,'Specialisation Impact'!$AO$19:$AO$186,0))</x:f>
        <x:v>K170</x:v>
      </x:c>
      <x:c r="D106" s="618" t="str">
        <x:v>(AOT)BAT</x:v>
      </x:c>
      <x:c r="E106" s="623" t="n">
        <x:f>INDEX('Specialisation Impact'!$AM$19:$AM$186,MATCH(A106,'Specialisation Impact'!$AO$19:$AO$186,0))</x:f>
        <x:v>43.50444000444001</x:v>
      </x:c>
      <x:c r="F106" s="623" t="n">
        <x:f>INDEX('Specialisation Impact'!$AC$19:$AC$186,MATCH(A106,'Specialisation Impact'!$AO$19:$AO$186,0))</x:f>
        <x:v>45.909090909090914</x:v>
      </x:c>
      <x:c r="G106" s="623" t="n">
        <x:f>INDEX('Specialisation Impact'!$AF$19:$AF$186,MATCH(A106,'Specialisation Impact'!$AO$19:$AO$186,0))</x:f>
        <x:v>12.402597402597404</x:v>
      </x:c>
      <x:c r="H106" s="623" t="n">
        <x:f>INDEX('Specialisation Impact'!$AI$19:$AI$186,MATCH(A106,'Specialisation Impact'!$AO$19:$AO$186,0))</x:f>
        <x:v>29.545454545454547</x:v>
      </x:c>
      <x:c r="I106" s="623" t="n">
        <x:f>INDEX('Specialisation Impact'!$AK$19:$AK$186,MATCH(A106,'Specialisation Impact'!$AO$19:$AO$186,0))</x:f>
        <x:v>79.91452991452991</x:v>
      </x:c>
      <x:c r="J106" s="618" t="n">
        <x:f>INDEX('Specialisation Impact'!$E$19:$E$186,MATCH(A106,'Specialisation Impact'!$AO$19:$AO$186,0))</x:f>
        <x:v>2</x:v>
      </x:c>
      <x:c r="K106" s="631" t="n">
        <x:f>INDEX('Specialisation Impact'!$O$19:$O$186,MATCH(A106,'Specialisation Impact'!$AO$19:$AO$186,0))</x:f>
        <x:v>12422900</x:v>
      </x:c>
      <x:c r="L106" s="627" t="n">
        <x:f>INDEX('Specialisation Impact'!$F$19:$F$186,MATCH(A106,'Specialisation Impact'!$AO$19:$AO$186,0))</x:f>
        <x:v>1</x:v>
      </x:c>
      <x:c r="M106" s="618" t="str">
        <x:f>INDEX('Specialisation Impact'!$AA$19:$AA$186,MATCH(A106,'Specialisation Impact'!$AO$19:$AO$186,0))</x:f>
        <x:v>Recorded skills only</x:v>
      </x:c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</x:row>
    <x:row r="107">
      <x:c r="A107" s="617" t="n">
        <x:v>91</x:v>
      </x:c>
      <x:c r="B107" s="617" t="n">
        <x:f>INDEX('Specialisation Impact'!$AN$19:$AN$186,MATCH(A107,'Specialisation Impact'!$AO$19:$AO$186,0))</x:f>
        <x:v>8</x:v>
      </x:c>
      <x:c r="C107" s="617" t="str">
        <x:f>INDEX('Specialisation Impact'!$A$19:$A$186,MATCH(A107,'Specialisation Impact'!$AO$19:$AO$186,0))</x:f>
        <x:v>K116</x:v>
      </x:c>
      <x:c r="D107" s="617" t="str">
        <x:v>红烧狮子头</x:v>
      </x:c>
      <x:c r="E107" s="622" t="n">
        <x:f>INDEX('Specialisation Impact'!$AM$19:$AM$186,MATCH(A107,'Specialisation Impact'!$AO$19:$AO$186,0))</x:f>
        <x:v>43.32922632922634</x:v>
      </x:c>
      <x:c r="F107" s="622" t="n">
        <x:f>INDEX('Specialisation Impact'!$AC$19:$AC$186,MATCH(A107,'Specialisation Impact'!$AO$19:$AO$186,0))</x:f>
        <x:v>36.753246753246756</x:v>
      </x:c>
      <x:c r="G107" s="622" t="n">
        <x:f>INDEX('Specialisation Impact'!$AF$19:$AF$186,MATCH(A107,'Specialisation Impact'!$AO$19:$AO$186,0))</x:f>
        <x:v>53.8961038961039</x:v>
      </x:c>
      <x:c r="H107" s="622" t="n">
        <x:f>INDEX('Specialisation Impact'!$AI$19:$AI$186,MATCH(A107,'Specialisation Impact'!$AO$19:$AO$186,0))</x:f>
        <x:v>31.558441558441558</x:v>
      </x:c>
      <x:c r="I107" s="622" t="n">
        <x:f>INDEX('Specialisation Impact'!$AK$19:$AK$186,MATCH(A107,'Specialisation Impact'!$AO$19:$AO$186,0))</x:f>
        <x:v>93.16239316239316</x:v>
      </x:c>
      <x:c r="J107" s="617" t="n">
        <x:f>INDEX('Specialisation Impact'!$E$19:$E$186,MATCH(A107,'Specialisation Impact'!$AO$19:$AO$186,0))</x:f>
        <x:v>3</x:v>
      </x:c>
      <x:c r="K107" s="632" t="n">
        <x:f>INDEX('Specialisation Impact'!$O$19:$O$186,MATCH(A107,'Specialisation Impact'!$AO$19:$AO$186,0))</x:f>
        <x:v>17687200</x:v>
      </x:c>
      <x:c r="L107" s="626" t="n">
        <x:f>INDEX('Specialisation Impact'!$F$19:$F$186,MATCH(A107,'Specialisation Impact'!$AO$19:$AO$186,0))</x:f>
        <x:v>1</x:v>
      </x:c>
      <x:c r="M107" s="617" t="str">
        <x:f>INDEX('Specialisation Impact'!$AA$19:$AA$186,MATCH(A107,'Specialisation Impact'!$AO$19:$AO$186,0))</x:f>
        <x:v>Recorded skills only</x:v>
      </x:c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</x:row>
    <x:row r="108">
      <x:c r="A108" s="618" t="n">
        <x:v>92</x:v>
      </x:c>
      <x:c r="B108" s="618" t="n">
        <x:f>INDEX('Specialisation Impact'!$AN$19:$AN$186,MATCH(A108,'Specialisation Impact'!$AO$19:$AO$186,0))</x:f>
        <x:v>14</x:v>
      </x:c>
      <x:c r="C108" s="618" t="str">
        <x:f>INDEX('Specialisation Impact'!$A$19:$A$186,MATCH(A108,'Specialisation Impact'!$AO$19:$AO$186,0))</x:f>
        <x:v>K170</x:v>
      </x:c>
      <x:c r="D108" s="618" t="str">
        <x:v>(AOT)SugarDADDY</x:v>
      </x:c>
      <x:c r="E108" s="623" t="n">
        <x:f>INDEX('Specialisation Impact'!$AM$19:$AM$186,MATCH(A108,'Specialisation Impact'!$AO$19:$AO$186,0))</x:f>
        <x:v>42.3896103896104</x:v>
      </x:c>
      <x:c r="F108" s="623" t="n">
        <x:f>INDEX('Specialisation Impact'!$AC$19:$AC$186,MATCH(A108,'Specialisation Impact'!$AO$19:$AO$186,0))</x:f>
        <x:v>38.83116883116884</x:v>
      </x:c>
      <x:c r="G108" s="623" t="n">
        <x:f>INDEX('Specialisation Impact'!$AF$19:$AF$186,MATCH(A108,'Specialisation Impact'!$AO$19:$AO$186,0))</x:f>
        <x:v>24.28571428571429</x:v>
      </x:c>
      <x:c r="H108" s="623" t="n">
        <x:f>INDEX('Specialisation Impact'!$AI$19:$AI$186,MATCH(A108,'Specialisation Impact'!$AO$19:$AO$186,0))</x:f>
        <x:v>64.80519480519482</x:v>
      </x:c>
      <x:c r="I108" s="623" t="n">
        <x:f>INDEX('Specialisation Impact'!$AK$19:$AK$186,MATCH(A108,'Specialisation Impact'!$AO$19:$AO$186,0))</x:f>
        <x:v>50</x:v>
      </x:c>
      <x:c r="J108" s="618" t="n">
        <x:f>INDEX('Specialisation Impact'!$E$19:$E$186,MATCH(A108,'Specialisation Impact'!$AO$19:$AO$186,0))</x:f>
        <x:v>4</x:v>
      </x:c>
      <x:c r="K108" s="631" t="n">
        <x:f>INDEX('Specialisation Impact'!$O$19:$O$186,MATCH(A108,'Specialisation Impact'!$AO$19:$AO$186,0))</x:f>
        <x:v>6384700</x:v>
      </x:c>
      <x:c r="L108" s="627" t="n">
        <x:f>INDEX('Specialisation Impact'!$F$19:$F$186,MATCH(A108,'Specialisation Impact'!$AO$19:$AO$186,0))</x:f>
        <x:v>1</x:v>
      </x:c>
      <x:c r="M108" s="618" t="str">
        <x:f>INDEX('Specialisation Impact'!$AA$19:$AA$186,MATCH(A108,'Specialisation Impact'!$AO$19:$AO$186,0))</x:f>
        <x:v>Recorded skills only</x:v>
      </x:c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</x:row>
    <x:row r="109">
      <x:c r="A109" s="617" t="n">
        <x:v>93</x:v>
      </x:c>
      <x:c r="B109" s="617" t="n">
        <x:f>INDEX('Specialisation Impact'!$AN$19:$AN$186,MATCH(A109,'Specialisation Impact'!$AO$19:$AO$186,0))</x:f>
        <x:v>10</x:v>
      </x:c>
      <x:c r="C109" s="617" t="str">
        <x:f>INDEX('Specialisation Impact'!$A$19:$A$186,MATCH(A109,'Specialisation Impact'!$AO$19:$AO$186,0))</x:f>
        <x:v>K54</x:v>
      </x:c>
      <x:c r="D109" s="617" t="str">
        <x:v>醉红尘</x:v>
      </x:c>
      <x:c r="E109" s="622" t="n">
        <x:f>INDEX('Specialisation Impact'!$AM$19:$AM$186,MATCH(A109,'Specialisation Impact'!$AO$19:$AO$186,0))</x:f>
        <x:v>41.27272727272728</x:v>
      </x:c>
      <x:c r="F109" s="622" t="n">
        <x:f>INDEX('Specialisation Impact'!$AC$19:$AC$186,MATCH(A109,'Specialisation Impact'!$AO$19:$AO$186,0))</x:f>
        <x:v>33.63636363636364</x:v>
      </x:c>
      <x:c r="G109" s="622" t="n">
        <x:f>INDEX('Specialisation Impact'!$AF$19:$AF$186,MATCH(A109,'Specialisation Impact'!$AO$19:$AO$186,0))</x:f>
        <x:v>39.09090909090909</x:v>
      </x:c>
      <x:c r="H109" s="622" t="n">
        <x:f>INDEX('Specialisation Impact'!$AI$19:$AI$186,MATCH(A109,'Specialisation Impact'!$AO$19:$AO$186,0))</x:f>
        <x:v>70.00000000000001</x:v>
      </x:c>
      <x:c r="I109" s="622" t="n">
        <x:f>INDEX('Specialisation Impact'!$AK$19:$AK$186,MATCH(A109,'Specialisation Impact'!$AO$19:$AO$186,0))</x:f>
        <x:v>50</x:v>
      </x:c>
      <x:c r="J109" s="617" t="n">
        <x:f>INDEX('Specialisation Impact'!$E$19:$E$186,MATCH(A109,'Specialisation Impact'!$AO$19:$AO$186,0))</x:f>
        <x:v>4</x:v>
      </x:c>
      <x:c r="K109" s="632" t="n">
        <x:f>INDEX('Specialisation Impact'!$O$19:$O$186,MATCH(A109,'Specialisation Impact'!$AO$19:$AO$186,0))</x:f>
        <x:v>7927200</x:v>
      </x:c>
      <x:c r="L109" s="626" t="n">
        <x:f>INDEX('Specialisation Impact'!$F$19:$F$186,MATCH(A109,'Specialisation Impact'!$AO$19:$AO$186,0))</x:f>
        <x:v>1</x:v>
      </x:c>
      <x:c r="M109" s="617" t="str">
        <x:f>INDEX('Specialisation Impact'!$AA$19:$AA$186,MATCH(A109,'Specialisation Impact'!$AO$19:$AO$186,0))</x:f>
        <x:v>Recorded skills only</x:v>
      </x:c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</x:row>
    <x:row r="110">
      <x:c r="A110" s="618" t="n">
        <x:v>94</x:v>
      </x:c>
      <x:c r="B110" s="618" t="n">
        <x:f>INDEX('Specialisation Impact'!$AN$19:$AN$186,MATCH(A110,'Specialisation Impact'!$AO$19:$AO$186,0))</x:f>
        <x:v>18</x:v>
      </x:c>
      <x:c r="C110" s="618" t="str">
        <x:f>INDEX('Specialisation Impact'!$A$19:$A$186,MATCH(A110,'Specialisation Impact'!$AO$19:$AO$186,0))</x:f>
        <x:v>K176</x:v>
      </x:c>
      <x:c r="D110" s="618" t="str">
        <x:v>我是贤熙</x:v>
      </x:c>
      <x:c r="E110" s="623" t="n">
        <x:f>INDEX('Specialisation Impact'!$AM$19:$AM$186,MATCH(A110,'Specialisation Impact'!$AO$19:$AO$186,0))</x:f>
        <x:v>40.51298701298702</x:v>
      </x:c>
      <x:c r="F110" s="623" t="n">
        <x:f>INDEX('Specialisation Impact'!$AC$19:$AC$186,MATCH(A110,'Specialisation Impact'!$AO$19:$AO$186,0))</x:f>
        <x:v>45.909090909090914</x:v>
      </x:c>
      <x:c r="G110" s="623" t="n">
        <x:f>INDEX('Specialisation Impact'!$AF$19:$AF$186,MATCH(A110,'Specialisation Impact'!$AO$19:$AO$186,0))</x:f>
        <x:v>12.402597402597404</x:v>
      </x:c>
      <x:c r="H110" s="623" t="n">
        <x:f>INDEX('Specialisation Impact'!$AI$19:$AI$186,MATCH(A110,'Specialisation Impact'!$AO$19:$AO$186,0))</x:f>
        <x:v>29.545454545454547</x:v>
      </x:c>
      <x:c r="I110" s="623" t="n">
        <x:f>INDEX('Specialisation Impact'!$AK$19:$AK$186,MATCH(A110,'Specialisation Impact'!$AO$19:$AO$186,0))</x:f>
        <x:v>50</x:v>
      </x:c>
      <x:c r="J110" s="618" t="n">
        <x:f>INDEX('Specialisation Impact'!$E$19:$E$186,MATCH(A110,'Specialisation Impact'!$AO$19:$AO$186,0))</x:f>
        <x:v>2</x:v>
      </x:c>
      <x:c r="K110" s="631" t="n">
        <x:f>INDEX('Specialisation Impact'!$O$19:$O$186,MATCH(A110,'Specialisation Impact'!$AO$19:$AO$186,0))</x:f>
        <x:v>5488600</x:v>
      </x:c>
      <x:c r="L110" s="627" t="n">
        <x:f>INDEX('Specialisation Impact'!$F$19:$F$186,MATCH(A110,'Specialisation Impact'!$AO$19:$AO$186,0))</x:f>
        <x:v>1</x:v>
      </x:c>
      <x:c r="M110" s="618" t="str">
        <x:f>INDEX('Specialisation Impact'!$AA$19:$AA$186,MATCH(A110,'Specialisation Impact'!$AO$19:$AO$186,0))</x:f>
        <x:v>Recorded skills only</x:v>
      </x:c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</x:row>
    <x:row r="111">
      <x:c r="A111" s="617" t="n">
        <x:v>95</x:v>
      </x:c>
      <x:c r="B111" s="617" t="n">
        <x:f>INDEX('Specialisation Impact'!$AN$19:$AN$186,MATCH(A111,'Specialisation Impact'!$AO$19:$AO$186,0))</x:f>
        <x:v>7</x:v>
      </x:c>
      <x:c r="C111" s="617" t="str">
        <x:f>INDEX('Specialisation Impact'!$A$19:$A$186,MATCH(A111,'Specialisation Impact'!$AO$19:$AO$186,0))</x:f>
        <x:v>K197</x:v>
      </x:c>
      <x:c r="D111" s="617" t="str">
        <x:v>NightFury</x:v>
      </x:c>
      <x:c r="E111" s="622" t="n">
        <x:f>INDEX('Specialisation Impact'!$AM$19:$AM$186,MATCH(A111,'Specialisation Impact'!$AO$19:$AO$186,0))</x:f>
        <x:v>40.410256410256416</x:v>
      </x:c>
      <x:c r="F111" s="622" t="n">
        <x:f>INDEX('Specialisation Impact'!$AC$19:$AC$186,MATCH(A111,'Specialisation Impact'!$AO$19:$AO$186,0))</x:f>
        <x:v>48.70129870129871</x:v>
      </x:c>
      <x:c r="G111" s="622" t="n">
        <x:f>INDEX('Specialisation Impact'!$AF$19:$AF$186,MATCH(A111,'Specialisation Impact'!$AO$19:$AO$186,0))</x:f>
        <x:v>19.090909090909093</x:v>
      </x:c>
      <x:c r="H111" s="622" t="n">
        <x:f>INDEX('Specialisation Impact'!$AI$19:$AI$186,MATCH(A111,'Specialisation Impact'!$AO$19:$AO$186,0))</x:f>
        <x:v>36.23376623376623</x:v>
      </x:c>
      <x:c r="I111" s="622" t="n">
        <x:f>INDEX('Specialisation Impact'!$AK$19:$AK$186,MATCH(A111,'Specialisation Impact'!$AO$19:$AO$186,0))</x:f>
        <x:v>14.102564102564102</x:v>
      </x:c>
      <x:c r="J111" s="617" t="n">
        <x:f>INDEX('Specialisation Impact'!$E$19:$E$186,MATCH(A111,'Specialisation Impact'!$AO$19:$AO$186,0))</x:f>
        <x:v>1</x:v>
      </x:c>
      <x:c r="K111" s="632" t="n">
        <x:f>INDEX('Specialisation Impact'!$O$19:$O$186,MATCH(A111,'Specialisation Impact'!$AO$19:$AO$186,0))</x:f>
        <x:v>11528600</x:v>
      </x:c>
      <x:c r="L111" s="626" t="n">
        <x:f>INDEX('Specialisation Impact'!$F$19:$F$186,MATCH(A111,'Specialisation Impact'!$AO$19:$AO$186,0))</x:f>
        <x:v>1</x:v>
      </x:c>
      <x:c r="M111" s="617" t="str">
        <x:f>INDEX('Specialisation Impact'!$AA$19:$AA$186,MATCH(A111,'Specialisation Impact'!$AO$19:$AO$186,0))</x:f>
        <x:v>Recorded skills only</x:v>
      </x:c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</x:row>
    <x:row r="112">
      <x:c r="A112" s="618" t="n">
        <x:v>96</x:v>
      </x:c>
      <x:c r="B112" s="618" t="n">
        <x:f>INDEX('Specialisation Impact'!$AN$19:$AN$186,MATCH(A112,'Specialisation Impact'!$AO$19:$AO$186,0))</x:f>
        <x:v>12</x:v>
      </x:c>
      <x:c r="C112" s="618" t="str">
        <x:f>INDEX('Specialisation Impact'!$A$19:$A$186,MATCH(A112,'Specialisation Impact'!$AO$19:$AO$186,0))</x:f>
        <x:v>K138</x:v>
      </x:c>
      <x:c r="D112" s="618" t="str">
        <x:v>(RaW)༺ⓉⒶⓇⓉⒶⓇ༻</x:v>
      </x:c>
      <x:c r="E112" s="623" t="n">
        <x:f>INDEX('Specialisation Impact'!$AM$19:$AM$186,MATCH(A112,'Specialisation Impact'!$AO$19:$AO$186,0))</x:f>
        <x:v>40.12953712953713</x:v>
      </x:c>
      <x:c r="F112" s="623" t="n">
        <x:f>INDEX('Specialisation Impact'!$AC$19:$AC$186,MATCH(A112,'Specialisation Impact'!$AO$19:$AO$186,0))</x:f>
        <x:v>34.15584415584416</x:v>
      </x:c>
      <x:c r="G112" s="623" t="n">
        <x:f>INDEX('Specialisation Impact'!$AF$19:$AF$186,MATCH(A112,'Specialisation Impact'!$AO$19:$AO$186,0))</x:f>
        <x:v>68.18181818181819</x:v>
      </x:c>
      <x:c r="H112" s="623" t="n">
        <x:f>INDEX('Specialisation Impact'!$AI$19:$AI$186,MATCH(A112,'Specialisation Impact'!$AO$19:$AO$186,0))</x:f>
        <x:v>33.896103896103895</x:v>
      </x:c>
      <x:c r="I112" s="623" t="n">
        <x:f>INDEX('Specialisation Impact'!$AK$19:$AK$186,MATCH(A112,'Specialisation Impact'!$AO$19:$AO$186,0))</x:f>
        <x:v>60.25641025641025</x:v>
      </x:c>
      <x:c r="J112" s="618" t="n">
        <x:f>INDEX('Specialisation Impact'!$E$19:$E$186,MATCH(A112,'Specialisation Impact'!$AO$19:$AO$186,0))</x:f>
        <x:v>3</x:v>
      </x:c>
      <x:c r="K112" s="631" t="n">
        <x:f>INDEX('Specialisation Impact'!$O$19:$O$186,MATCH(A112,'Specialisation Impact'!$AO$19:$AO$186,0))</x:f>
        <x:v>13757200</x:v>
      </x:c>
      <x:c r="L112" s="627" t="n">
        <x:f>INDEX('Specialisation Impact'!$F$19:$F$186,MATCH(A112,'Specialisation Impact'!$AO$19:$AO$186,0))</x:f>
        <x:v>1</x:v>
      </x:c>
      <x:c r="M112" s="618" t="str">
        <x:f>INDEX('Specialisation Impact'!$AA$19:$AA$186,MATCH(A112,'Specialisation Impact'!$AO$19:$AO$186,0))</x:f>
        <x:v>Recorded skills only</x:v>
      </x:c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</x:row>
    <x:row r="113">
      <x:c r="A113" s="617" t="n">
        <x:v>97</x:v>
      </x:c>
      <x:c r="B113" s="617" t="n">
        <x:f>INDEX('Specialisation Impact'!$AN$19:$AN$186,MATCH(A113,'Specialisation Impact'!$AO$19:$AO$186,0))</x:f>
        <x:v>15</x:v>
      </x:c>
      <x:c r="C113" s="617" t="str">
        <x:f>INDEX('Specialisation Impact'!$A$19:$A$186,MATCH(A113,'Specialisation Impact'!$AO$19:$AO$186,0))</x:f>
        <x:v>K170</x:v>
      </x:c>
      <x:c r="D113" s="617" t="str">
        <x:v>(AOT)D®a©o</x:v>
      </x:c>
      <x:c r="E113" s="622" t="n">
        <x:f>INDEX('Specialisation Impact'!$AM$19:$AM$186,MATCH(A113,'Specialisation Impact'!$AO$19:$AO$186,0))</x:f>
        <x:v>38.63603063603064</x:v>
      </x:c>
      <x:c r="F113" s="622" t="n">
        <x:f>INDEX('Specialisation Impact'!$AC$19:$AC$186,MATCH(A113,'Specialisation Impact'!$AO$19:$AO$186,0))</x:f>
        <x:v>31.298701298701303</x:v>
      </x:c>
      <x:c r="G113" s="622" t="n">
        <x:f>INDEX('Specialisation Impact'!$AF$19:$AF$186,MATCH(A113,'Specialisation Impact'!$AO$19:$AO$186,0))</x:f>
        <x:v>31.298701298701303</x:v>
      </x:c>
      <x:c r="H113" s="622" t="n">
        <x:f>INDEX('Specialisation Impact'!$AI$19:$AI$186,MATCH(A113,'Specialisation Impact'!$AO$19:$AO$186,0))</x:f>
        <x:v>60.909090909090914</x:v>
      </x:c>
      <x:c r="I113" s="622" t="n">
        <x:f>INDEX('Specialisation Impact'!$AK$19:$AK$186,MATCH(A113,'Specialisation Impact'!$AO$19:$AO$186,0))</x:f>
        <x:v>60.25641025641025</x:v>
      </x:c>
      <x:c r="J113" s="617" t="n">
        <x:f>INDEX('Specialisation Impact'!$E$19:$E$186,MATCH(A113,'Specialisation Impact'!$AO$19:$AO$186,0))</x:f>
        <x:v>3</x:v>
      </x:c>
      <x:c r="K113" s="632" t="n">
        <x:f>INDEX('Specialisation Impact'!$O$19:$O$186,MATCH(A113,'Specialisation Impact'!$AO$19:$AO$186,0))</x:f>
        <x:v>11057200</x:v>
      </x:c>
      <x:c r="L113" s="626" t="n">
        <x:f>INDEX('Specialisation Impact'!$F$19:$F$186,MATCH(A113,'Specialisation Impact'!$AO$19:$AO$186,0))</x:f>
        <x:v>1</x:v>
      </x:c>
      <x:c r="M113" s="617" t="str">
        <x:f>INDEX('Specialisation Impact'!$AA$19:$AA$186,MATCH(A113,'Specialisation Impact'!$AO$19:$AO$186,0))</x:f>
        <x:v>Recorded skills only</x:v>
      </x:c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</x:row>
    <x:row r="114">
      <x:c r="A114" s="618" t="n">
        <x:v>98</x:v>
      </x:c>
      <x:c r="B114" s="618" t="n">
        <x:f>INDEX('Specialisation Impact'!$AN$19:$AN$186,MATCH(A114,'Specialisation Impact'!$AO$19:$AO$186,0))</x:f>
        <x:v>13</x:v>
      </x:c>
      <x:c r="C114" s="618" t="str">
        <x:f>INDEX('Specialisation Impact'!$A$19:$A$186,MATCH(A114,'Specialisation Impact'!$AO$19:$AO$186,0))</x:f>
        <x:v>K138</x:v>
      </x:c>
      <x:c r="D114" s="618" t="str">
        <x:v>(RaW)Baqi</x:v>
      </x:c>
      <x:c r="E114" s="623" t="n">
        <x:f>INDEX('Specialisation Impact'!$AM$19:$AM$186,MATCH(A114,'Specialisation Impact'!$AO$19:$AO$186,0))</x:f>
        <x:v>38.514818514818515</x:v>
      </x:c>
      <x:c r="F114" s="623" t="n">
        <x:f>INDEX('Specialisation Impact'!$AC$19:$AC$186,MATCH(A114,'Specialisation Impact'!$AO$19:$AO$186,0))</x:f>
        <x:v>32.07792207792208</x:v>
      </x:c>
      <x:c r="G114" s="623" t="n">
        <x:f>INDEX('Specialisation Impact'!$AF$19:$AF$186,MATCH(A114,'Specialisation Impact'!$AO$19:$AO$186,0))</x:f>
        <x:v>76.75324675324674</x:v>
      </x:c>
      <x:c r="H114" s="623" t="n">
        <x:f>INDEX('Specialisation Impact'!$AI$19:$AI$186,MATCH(A114,'Specialisation Impact'!$AO$19:$AO$186,0))</x:f>
        <x:v>37.532467532467535</x:v>
      </x:c>
      <x:c r="I114" s="623" t="n">
        <x:f>INDEX('Specialisation Impact'!$AK$19:$AK$186,MATCH(A114,'Specialisation Impact'!$AO$19:$AO$186,0))</x:f>
        <x:v>43.58974358974359</x:v>
      </x:c>
      <x:c r="J114" s="618" t="n">
        <x:f>INDEX('Specialisation Impact'!$E$19:$E$186,MATCH(A114,'Specialisation Impact'!$AO$19:$AO$186,0))</x:f>
        <x:v>2</x:v>
      </x:c>
      <x:c r="K114" s="631" t="n">
        <x:f>INDEX('Specialisation Impact'!$O$19:$O$186,MATCH(A114,'Specialisation Impact'!$AO$19:$AO$186,0))</x:f>
        <x:v>13422900</x:v>
      </x:c>
      <x:c r="L114" s="627" t="n">
        <x:f>INDEX('Specialisation Impact'!$F$19:$F$186,MATCH(A114,'Specialisation Impact'!$AO$19:$AO$186,0))</x:f>
        <x:v>1</x:v>
      </x:c>
      <x:c r="M114" s="618" t="str">
        <x:f>INDEX('Specialisation Impact'!$AA$19:$AA$186,MATCH(A114,'Specialisation Impact'!$AO$19:$AO$186,0))</x:f>
        <x:v>Recorded skills only</x:v>
      </x:c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</x:row>
    <x:row r="115">
      <x:c r="A115" s="617" t="n">
        <x:v>99</x:v>
      </x:c>
      <x:c r="B115" s="617" t="n">
        <x:f>INDEX('Specialisation Impact'!$AN$19:$AN$186,MATCH(A115,'Specialisation Impact'!$AO$19:$AO$186,0))</x:f>
        <x:v>19</x:v>
      </x:c>
      <x:c r="C115" s="617" t="str">
        <x:f>INDEX('Specialisation Impact'!$A$19:$A$186,MATCH(A115,'Specialisation Impact'!$AO$19:$AO$186,0))</x:f>
        <x:v>K176</x:v>
      </x:c>
      <x:c r="D115" s="617" t="str">
        <x:v>温不胜</x:v>
      </x:c>
      <x:c r="E115" s="622" t="n">
        <x:f>INDEX('Specialisation Impact'!$AM$19:$AM$186,MATCH(A115,'Specialisation Impact'!$AO$19:$AO$186,0))</x:f>
        <x:v>38.25940725940727</x:v>
      </x:c>
      <x:c r="F115" s="622" t="n">
        <x:f>INDEX('Specialisation Impact'!$AC$19:$AC$186,MATCH(A115,'Specialisation Impact'!$AO$19:$AO$186,0))</x:f>
        <x:v>39.740259740259745</x:v>
      </x:c>
      <x:c r="G115" s="622" t="n">
        <x:f>INDEX('Specialisation Impact'!$AF$19:$AF$186,MATCH(A115,'Specialisation Impact'!$AO$19:$AO$186,0))</x:f>
        <x:v>15.324675324675326</x:v>
      </x:c>
      <x:c r="H115" s="622" t="n">
        <x:f>INDEX('Specialisation Impact'!$AI$19:$AI$186,MATCH(A115,'Specialisation Impact'!$AO$19:$AO$186,0))</x:f>
        <x:v>32.467532467532465</x:v>
      </x:c>
      <x:c r="I115" s="622" t="n">
        <x:f>INDEX('Specialisation Impact'!$AK$19:$AK$186,MATCH(A115,'Specialisation Impact'!$AO$19:$AO$186,0))</x:f>
        <x:v>60.25641025641025</x:v>
      </x:c>
      <x:c r="J115" s="617" t="n">
        <x:f>INDEX('Specialisation Impact'!$E$19:$E$186,MATCH(A115,'Specialisation Impact'!$AO$19:$AO$186,0))</x:f>
        <x:v>1</x:v>
      </x:c>
      <x:c r="K115" s="632" t="n">
        <x:f>INDEX('Specialisation Impact'!$O$19:$O$186,MATCH(A115,'Specialisation Impact'!$AO$19:$AO$186,0))</x:f>
        <x:v>12618600</x:v>
      </x:c>
      <x:c r="L115" s="626" t="n">
        <x:f>INDEX('Specialisation Impact'!$F$19:$F$186,MATCH(A115,'Specialisation Impact'!$AO$19:$AO$186,0))</x:f>
        <x:v>1</x:v>
      </x:c>
      <x:c r="M115" s="617" t="str">
        <x:f>INDEX('Specialisation Impact'!$AA$19:$AA$186,MATCH(A115,'Specialisation Impact'!$AO$19:$AO$186,0))</x:f>
        <x:v>Recorded skills only</x:v>
      </x:c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</x:row>
    <x:row r="116">
      <x:c r="A116" s="618" t="n">
        <x:v>100</x:v>
      </x:c>
      <x:c r="B116" s="618" t="n">
        <x:f>INDEX('Specialisation Impact'!$AN$19:$AN$186,MATCH(A116,'Specialisation Impact'!$AO$19:$AO$186,0))</x:f>
        <x:v>6</x:v>
      </x:c>
      <x:c r="C116" s="618" t="str">
        <x:f>INDEX('Specialisation Impact'!$A$19:$A$186,MATCH(A116,'Specialisation Impact'!$AO$19:$AO$186,0))</x:f>
        <x:v>K91</x:v>
      </x:c>
      <x:c r="D116" s="618" t="str">
        <x:v>Trinità</x:v>
      </x:c>
      <x:c r="E116" s="623" t="n">
        <x:f>INDEX('Specialisation Impact'!$AM$19:$AM$186,MATCH(A116,'Specialisation Impact'!$AO$19:$AO$186,0))</x:f>
        <x:v>37.476856476856476</x:v>
      </x:c>
      <x:c r="F116" s="623" t="n">
        <x:f>INDEX('Specialisation Impact'!$AC$19:$AC$186,MATCH(A116,'Specialisation Impact'!$AO$19:$AO$186,0))</x:f>
        <x:v>46.883116883116884</x:v>
      </x:c>
      <x:c r="G116" s="623" t="n">
        <x:f>INDEX('Specialisation Impact'!$AF$19:$AF$186,MATCH(A116,'Specialisation Impact'!$AO$19:$AO$186,0))</x:f>
        <x:v>12.5974025974026</x:v>
      </x:c>
      <x:c r="H116" s="623" t="n">
        <x:f>INDEX('Specialisation Impact'!$AI$19:$AI$186,MATCH(A116,'Specialisation Impact'!$AO$19:$AO$186,0))</x:f>
        <x:v>29.74025974025974</x:v>
      </x:c>
      <x:c r="I116" s="623" t="n">
        <x:f>INDEX('Specialisation Impact'!$AK$19:$AK$186,MATCH(A116,'Specialisation Impact'!$AO$19:$AO$186,0))</x:f>
        <x:v>12.820512820512821</x:v>
      </x:c>
      <x:c r="J116" s="618" t="n">
        <x:f>INDEX('Specialisation Impact'!$E$19:$E$186,MATCH(A116,'Specialisation Impact'!$AO$19:$AO$186,0))</x:f>
        <x:v>2</x:v>
      </x:c>
      <x:c r="K116" s="631" t="n">
        <x:f>INDEX('Specialisation Impact'!$O$19:$O$186,MATCH(A116,'Specialisation Impact'!$AO$19:$AO$186,0))</x:f>
        <x:v>6692900</x:v>
      </x:c>
      <x:c r="L116" s="627" t="n">
        <x:f>INDEX('Specialisation Impact'!$F$19:$F$186,MATCH(A116,'Specialisation Impact'!$AO$19:$AO$186,0))</x:f>
        <x:v>1</x:v>
      </x:c>
      <x:c r="M116" s="618" t="str">
        <x:f>INDEX('Specialisation Impact'!$AA$19:$AA$186,MATCH(A116,'Specialisation Impact'!$AO$19:$AO$186,0))</x:f>
        <x:v>Recorded skills only</x:v>
      </x:c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</x:row>
    <x:row r="117">
      <x:c r="A117" s="617" t="n">
        <x:v>101</x:v>
      </x:c>
      <x:c r="B117" s="617" t="n">
        <x:f>INDEX('Specialisation Impact'!$AN$19:$AN$186,MATCH(A117,'Specialisation Impact'!$AO$19:$AO$186,0))</x:f>
        <x:v>14</x:v>
      </x:c>
      <x:c r="C117" s="617" t="str">
        <x:f>INDEX('Specialisation Impact'!$A$19:$A$186,MATCH(A117,'Specialisation Impact'!$AO$19:$AO$186,0))</x:f>
        <x:v>K138</x:v>
      </x:c>
      <x:c r="D117" s="617" t="str">
        <x:v>(RaW)Nightmare</x:v>
      </x:c>
      <x:c r="E117" s="622" t="n">
        <x:f>INDEX('Specialisation Impact'!$AM$19:$AM$186,MATCH(A117,'Specialisation Impact'!$AO$19:$AO$186,0))</x:f>
        <x:v>36.71395271395272</x:v>
      </x:c>
      <x:c r="F117" s="622" t="n">
        <x:f>INDEX('Specialisation Impact'!$AC$19:$AC$186,MATCH(A117,'Specialisation Impact'!$AO$19:$AO$186,0))</x:f>
        <x:v>30.51948051948052</x:v>
      </x:c>
      <x:c r="G117" s="622" t="n">
        <x:f>INDEX('Specialisation Impact'!$AF$19:$AF$186,MATCH(A117,'Specialisation Impact'!$AO$19:$AO$186,0))</x:f>
        <x:v>60.3896103896104</x:v>
      </x:c>
      <x:c r="H117" s="622" t="n">
        <x:f>INDEX('Specialisation Impact'!$AI$19:$AI$186,MATCH(A117,'Specialisation Impact'!$AO$19:$AO$186,0))</x:f>
        <x:v>32.07792207792208</x:v>
      </x:c>
      <x:c r="I117" s="622" t="n">
        <x:f>INDEX('Specialisation Impact'!$AK$19:$AK$186,MATCH(A117,'Specialisation Impact'!$AO$19:$AO$186,0))</x:f>
        <x:v>60.25641025641025</x:v>
      </x:c>
      <x:c r="J117" s="617" t="n">
        <x:f>INDEX('Specialisation Impact'!$E$19:$E$186,MATCH(A117,'Specialisation Impact'!$AO$19:$AO$186,0))</x:f>
        <x:v>2</x:v>
      </x:c>
      <x:c r="K117" s="632" t="n">
        <x:f>INDEX('Specialisation Impact'!$O$19:$O$186,MATCH(A117,'Specialisation Impact'!$AO$19:$AO$186,0))</x:f>
        <x:v>12292900</x:v>
      </x:c>
      <x:c r="L117" s="626" t="n">
        <x:f>INDEX('Specialisation Impact'!$F$19:$F$186,MATCH(A117,'Specialisation Impact'!$AO$19:$AO$186,0))</x:f>
        <x:v>1</x:v>
      </x:c>
      <x:c r="M117" s="617" t="str">
        <x:f>INDEX('Specialisation Impact'!$AA$19:$AA$186,MATCH(A117,'Specialisation Impact'!$AO$19:$AO$186,0))</x:f>
        <x:v>Recorded skills only</x:v>
      </x:c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</x:row>
    <x:row r="118">
      <x:c r="A118" s="618" t="n">
        <x:v>102</x:v>
      </x:c>
      <x:c r="B118" s="618" t="n">
        <x:f>INDEX('Specialisation Impact'!$AN$19:$AN$186,MATCH(A118,'Specialisation Impact'!$AO$19:$AO$186,0))</x:f>
        <x:v>23</x:v>
      </x:c>
      <x:c r="C118" s="618" t="str">
        <x:f>INDEX('Specialisation Impact'!$A$19:$A$186,MATCH(A118,'Specialisation Impact'!$AO$19:$AO$186,0))</x:f>
        <x:v>K60</x:v>
      </x:c>
      <x:c r="D118" s="618" t="str">
        <x:v>KingSkorpioN</x:v>
      </x:c>
      <x:c r="E118" s="623" t="n">
        <x:f>INDEX('Specialisation Impact'!$AM$19:$AM$186,MATCH(A118,'Specialisation Impact'!$AO$19:$AO$186,0))</x:f>
        <x:v>35.701964701964705</x:v>
      </x:c>
      <x:c r="F118" s="623" t="n">
        <x:f>INDEX('Specialisation Impact'!$AC$19:$AC$186,MATCH(A118,'Specialisation Impact'!$AO$19:$AO$186,0))</x:f>
        <x:v>35.324675324675326</x:v>
      </x:c>
      <x:c r="G118" s="623" t="n">
        <x:f>INDEX('Specialisation Impact'!$AF$19:$AF$186,MATCH(A118,'Specialisation Impact'!$AO$19:$AO$186,0))</x:f>
        <x:v>50.3896103896104</x:v>
      </x:c>
      <x:c r="H118" s="623" t="n">
        <x:f>INDEX('Specialisation Impact'!$AI$19:$AI$186,MATCH(A118,'Specialisation Impact'!$AO$19:$AO$186,0))</x:f>
        <x:v>31.68831168831169</x:v>
      </x:c>
      <x:c r="I118" s="623" t="n">
        <x:f>INDEX('Specialisation Impact'!$AK$19:$AK$186,MATCH(A118,'Specialisation Impact'!$AO$19:$AO$186,0))</x:f>
        <x:v>29.48717948717949</x:v>
      </x:c>
      <x:c r="J118" s="618" t="n">
        <x:f>INDEX('Specialisation Impact'!$E$19:$E$186,MATCH(A118,'Specialisation Impact'!$AO$19:$AO$186,0))</x:f>
        <x:v>2</x:v>
      </x:c>
      <x:c r="K118" s="631" t="n">
        <x:f>INDEX('Specialisation Impact'!$O$19:$O$186,MATCH(A118,'Specialisation Impact'!$AO$19:$AO$186,0))</x:f>
        <x:v>10092900</x:v>
      </x:c>
      <x:c r="L118" s="627" t="n">
        <x:f>INDEX('Specialisation Impact'!$F$19:$F$186,MATCH(A118,'Specialisation Impact'!$AO$19:$AO$186,0))</x:f>
        <x:v>1</x:v>
      </x:c>
      <x:c r="M118" s="618" t="str">
        <x:f>INDEX('Specialisation Impact'!$AA$19:$AA$186,MATCH(A118,'Specialisation Impact'!$AO$19:$AO$186,0))</x:f>
        <x:v>Recorded skills only</x:v>
      </x:c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</x:row>
    <x:row r="119">
      <x:c r="A119" s="617" t="n">
        <x:v>103</x:v>
      </x:c>
      <x:c r="B119" s="617" t="n">
        <x:f>INDEX('Specialisation Impact'!$AN$19:$AN$186,MATCH(A119,'Specialisation Impact'!$AO$19:$AO$186,0))</x:f>
        <x:v>11</x:v>
      </x:c>
      <x:c r="C119" s="617" t="str">
        <x:f>INDEX('Specialisation Impact'!$A$19:$A$186,MATCH(A119,'Specialisation Impact'!$AO$19:$AO$186,0))</x:f>
        <x:v>K54</x:v>
      </x:c>
      <x:c r="D119" s="617" t="str">
        <x:v>纵横,,,飞哥</x:v>
      </x:c>
      <x:c r="E119" s="622" t="n">
        <x:f>INDEX('Specialisation Impact'!$AM$19:$AM$186,MATCH(A119,'Specialisation Impact'!$AO$19:$AO$186,0))</x:f>
        <x:v>35.35714285714286</x:v>
      </x:c>
      <x:c r="F119" s="622" t="n">
        <x:f>INDEX('Specialisation Impact'!$AC$19:$AC$186,MATCH(A119,'Specialisation Impact'!$AO$19:$AO$186,0))</x:f>
        <x:v>38.37662337662338</x:v>
      </x:c>
      <x:c r="G119" s="622" t="n">
        <x:f>INDEX('Specialisation Impact'!$AF$19:$AF$186,MATCH(A119,'Specialisation Impact'!$AO$19:$AO$186,0))</x:f>
        <x:v>11.363636363636365</x:v>
      </x:c>
      <x:c r="H119" s="622" t="n">
        <x:f>INDEX('Specialisation Impact'!$AI$19:$AI$186,MATCH(A119,'Specialisation Impact'!$AO$19:$AO$186,0))</x:f>
        <x:v>28.506493506493506</x:v>
      </x:c>
      <x:c r="I119" s="622" t="n">
        <x:f>INDEX('Specialisation Impact'!$AK$19:$AK$186,MATCH(A119,'Specialisation Impact'!$AO$19:$AO$186,0))</x:f>
        <x:v>50</x:v>
      </x:c>
      <x:c r="J119" s="617" t="n">
        <x:f>INDEX('Specialisation Impact'!$E$19:$E$186,MATCH(A119,'Specialisation Impact'!$AO$19:$AO$186,0))</x:f>
        <x:v>2</x:v>
      </x:c>
      <x:c r="K119" s="632" t="n">
        <x:f>INDEX('Specialisation Impact'!$O$19:$O$186,MATCH(A119,'Specialisation Impact'!$AO$19:$AO$186,0))</x:f>
        <x:v>4768600</x:v>
      </x:c>
      <x:c r="L119" s="626" t="n">
        <x:f>INDEX('Specialisation Impact'!$F$19:$F$186,MATCH(A119,'Specialisation Impact'!$AO$19:$AO$186,0))</x:f>
        <x:v>1</x:v>
      </x:c>
      <x:c r="M119" s="617" t="str">
        <x:f>INDEX('Specialisation Impact'!$AA$19:$AA$186,MATCH(A119,'Specialisation Impact'!$AO$19:$AO$186,0))</x:f>
        <x:v>Recorded skills only</x:v>
      </x:c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</x:row>
    <x:row r="120">
      <x:c r="A120" s="618" t="n">
        <x:v>104</x:v>
      </x:c>
      <x:c r="B120" s="618" t="n">
        <x:f>INDEX('Specialisation Impact'!$AN$19:$AN$186,MATCH(A120,'Specialisation Impact'!$AO$19:$AO$186,0))</x:f>
        <x:v>24</x:v>
      </x:c>
      <x:c r="C120" s="618" t="str">
        <x:f>INDEX('Specialisation Impact'!$A$19:$A$186,MATCH(A120,'Specialisation Impact'!$AO$19:$AO$186,0))</x:f>
        <x:v>K60</x:v>
      </x:c>
      <x:c r="D120" s="618" t="str">
        <x:v>#11 元气满满 (122,000)</x:v>
      </x:c>
      <x:c r="E120" s="623" t="n">
        <x:f>INDEX('Specialisation Impact'!$AM$19:$AM$186,MATCH(A120,'Specialisation Impact'!$AO$19:$AO$186,0))</x:f>
        <x:v>35.21217671217671</x:v>
      </x:c>
      <x:c r="F120" s="623" t="n">
        <x:f>INDEX('Specialisation Impact'!$AC$19:$AC$186,MATCH(A120,'Specialisation Impact'!$AO$19:$AO$186,0))</x:f>
        <x:v>28.11688311688312</x:v>
      </x:c>
      <x:c r="G120" s="623" t="n">
        <x:f>INDEX('Specialisation Impact'!$AF$19:$AF$186,MATCH(A120,'Specialisation Impact'!$AO$19:$AO$186,0))</x:f>
        <x:v>70.71428571428572</x:v>
      </x:c>
      <x:c r="H120" s="623" t="n">
        <x:f>INDEX('Specialisation Impact'!$AI$19:$AI$186,MATCH(A120,'Specialisation Impact'!$AO$19:$AO$186,0))</x:f>
        <x:v>33.57142857142857</x:v>
      </x:c>
      <x:c r="I120" s="623" t="n">
        <x:f>INDEX('Specialisation Impact'!$AK$19:$AK$186,MATCH(A120,'Specialisation Impact'!$AO$19:$AO$186,0))</x:f>
        <x:v>48.2905982905983</x:v>
      </x:c>
      <x:c r="J120" s="618" t="n">
        <x:f>INDEX('Specialisation Impact'!$E$19:$E$186,MATCH(A120,'Specialisation Impact'!$AO$19:$AO$186,0))</x:f>
        <x:v>2</x:v>
      </x:c>
      <x:c r="K120" s="631" t="n">
        <x:f>INDEX('Specialisation Impact'!$O$19:$O$186,MATCH(A120,'Specialisation Impact'!$AO$19:$AO$186,0))</x:f>
        <x:v>12902900</x:v>
      </x:c>
      <x:c r="L120" s="627" t="n">
        <x:f>INDEX('Specialisation Impact'!$F$19:$F$186,MATCH(A120,'Specialisation Impact'!$AO$19:$AO$186,0))</x:f>
        <x:v>1</x:v>
      </x:c>
      <x:c r="M120" s="618" t="str">
        <x:f>INDEX('Specialisation Impact'!$AA$19:$AA$186,MATCH(A120,'Specialisation Impact'!$AO$19:$AO$186,0))</x:f>
        <x:v>Recorded skills only</x:v>
      </x:c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</x:row>
    <x:row r="121">
      <x:c r="A121" s="617" t="n">
        <x:v>105</x:v>
      </x:c>
      <x:c r="B121" s="617" t="n">
        <x:f>INDEX('Specialisation Impact'!$AN$19:$AN$186,MATCH(A121,'Specialisation Impact'!$AO$19:$AO$186,0))</x:f>
        <x:v>9</x:v>
      </x:c>
      <x:c r="C121" s="617" t="str">
        <x:f>INDEX('Specialisation Impact'!$A$19:$A$186,MATCH(A121,'Specialisation Impact'!$AO$19:$AO$186,0))</x:f>
        <x:v>K116</x:v>
      </x:c>
      <x:c r="D121" s="617" t="str">
        <x:v>苦瓜大王</x:v>
      </x:c>
      <x:c r="E121" s="622" t="n">
        <x:f>INDEX('Specialisation Impact'!$AM$19:$AM$186,MATCH(A121,'Specialisation Impact'!$AO$19:$AO$186,0))</x:f>
        <x:v>34.75779775779776</x:v>
      </x:c>
      <x:c r="F121" s="622" t="n">
        <x:f>INDEX('Specialisation Impact'!$AC$19:$AC$186,MATCH(A121,'Specialisation Impact'!$AO$19:$AO$186,0))</x:f>
        <x:v>25.454545454545457</x:v>
      </x:c>
      <x:c r="G121" s="622" t="n">
        <x:f>INDEX('Specialisation Impact'!$AF$19:$AF$186,MATCH(A121,'Specialisation Impact'!$AO$19:$AO$186,0))</x:f>
        <x:v>44.93506493506494</x:v>
      </x:c>
      <x:c r="H121" s="622" t="n">
        <x:f>INDEX('Specialisation Impact'!$AI$19:$AI$186,MATCH(A121,'Specialisation Impact'!$AO$19:$AO$186,0))</x:f>
        <x:v>29.350649350649352</x:v>
      </x:c>
      <x:c r="I121" s="622" t="n">
        <x:f>INDEX('Specialisation Impact'!$AK$19:$AK$186,MATCH(A121,'Specialisation Impact'!$AO$19:$AO$186,0))</x:f>
        <x:v>93.16239316239316</x:v>
      </x:c>
      <x:c r="J121" s="617" t="n">
        <x:f>INDEX('Specialisation Impact'!$E$19:$E$186,MATCH(A121,'Specialisation Impact'!$AO$19:$AO$186,0))</x:f>
        <x:v>2</x:v>
      </x:c>
      <x:c r="K121" s="632" t="n">
        <x:f>INDEX('Specialisation Impact'!$O$19:$O$186,MATCH(A121,'Specialisation Impact'!$AO$19:$AO$186,0))</x:f>
        <x:v>15702900</x:v>
      </x:c>
      <x:c r="L121" s="626" t="n">
        <x:f>INDEX('Specialisation Impact'!$F$19:$F$186,MATCH(A121,'Specialisation Impact'!$AO$19:$AO$186,0))</x:f>
        <x:v>1</x:v>
      </x:c>
      <x:c r="M121" s="617" t="str">
        <x:f>INDEX('Specialisation Impact'!$AA$19:$AA$186,MATCH(A121,'Specialisation Impact'!$AO$19:$AO$186,0))</x:f>
        <x:v>Recorded skills only</x:v>
      </x:c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</x:row>
    <x:row r="122">
      <x:c r="A122" s="618" t="n">
        <x:v>106</x:v>
      </x:c>
      <x:c r="B122" s="618" t="n">
        <x:f>INDEX('Specialisation Impact'!$AN$19:$AN$186,MATCH(A122,'Specialisation Impact'!$AO$19:$AO$186,0))</x:f>
        <x:v>16</x:v>
      </x:c>
      <x:c r="C122" s="618" t="str">
        <x:f>INDEX('Specialisation Impact'!$A$19:$A$186,MATCH(A122,'Specialisation Impact'!$AO$19:$AO$186,0))</x:f>
        <x:v>K170</x:v>
      </x:c>
      <x:c r="D122" s="618" t="str">
        <x:v>(AOT)Brauni°</x:v>
      </x:c>
      <x:c r="E122" s="623" t="n">
        <x:f>INDEX('Specialisation Impact'!$AM$19:$AM$186,MATCH(A122,'Specialisation Impact'!$AO$19:$AO$186,0))</x:f>
        <x:v>34.50715950715951</x:v>
      </x:c>
      <x:c r="F122" s="623" t="n">
        <x:f>INDEX('Specialisation Impact'!$AC$19:$AC$186,MATCH(A122,'Specialisation Impact'!$AO$19:$AO$186,0))</x:f>
        <x:v>32.33766233766234</x:v>
      </x:c>
      <x:c r="G122" s="623" t="n">
        <x:f>INDEX('Specialisation Impact'!$AF$19:$AF$186,MATCH(A122,'Specialisation Impact'!$AO$19:$AO$186,0))</x:f>
        <x:v>57.272727272727266</x:v>
      </x:c>
      <x:c r="H122" s="623" t="n">
        <x:f>INDEX('Specialisation Impact'!$AI$19:$AI$186,MATCH(A122,'Specialisation Impact'!$AO$19:$AO$186,0))</x:f>
        <x:v>32.07792207792208</x:v>
      </x:c>
      <x:c r="I122" s="623" t="n">
        <x:f>INDEX('Specialisation Impact'!$AK$19:$AK$186,MATCH(A122,'Specialisation Impact'!$AO$19:$AO$186,0))</x:f>
        <x:v>29.48717948717949</x:v>
      </x:c>
      <x:c r="J122" s="618" t="n">
        <x:f>INDEX('Specialisation Impact'!$E$19:$E$186,MATCH(A122,'Specialisation Impact'!$AO$19:$AO$186,0))</x:f>
        <x:v>2</x:v>
      </x:c>
      <x:c r="K122" s="631" t="n">
        <x:f>INDEX('Specialisation Impact'!$O$19:$O$186,MATCH(A122,'Specialisation Impact'!$AO$19:$AO$186,0))</x:f>
        <x:v>10252900</x:v>
      </x:c>
      <x:c r="L122" s="627" t="n">
        <x:f>INDEX('Specialisation Impact'!$F$19:$F$186,MATCH(A122,'Specialisation Impact'!$AO$19:$AO$186,0))</x:f>
        <x:v>1</x:v>
      </x:c>
      <x:c r="M122" s="618" t="str">
        <x:f>INDEX('Specialisation Impact'!$AA$19:$AA$186,MATCH(A122,'Specialisation Impact'!$AO$19:$AO$186,0))</x:f>
        <x:v>Recorded skills only</x:v>
      </x:c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</x:row>
    <x:row r="123">
      <x:c r="A123" s="617" t="n">
        <x:v>107</x:v>
      </x:c>
      <x:c r="B123" s="617" t="n">
        <x:f>INDEX('Specialisation Impact'!$AN$19:$AN$186,MATCH(A123,'Specialisation Impact'!$AO$19:$AO$186,0))</x:f>
        <x:v>7</x:v>
      </x:c>
      <x:c r="C123" s="617" t="str">
        <x:f>INDEX('Specialisation Impact'!$A$19:$A$186,MATCH(A123,'Specialisation Impact'!$AO$19:$AO$186,0))</x:f>
        <x:v>K91</x:v>
      </x:c>
      <x:c r="D123" s="617" t="str">
        <x:v>WindRunner</x:v>
      </x:c>
      <x:c r="E123" s="622" t="n">
        <x:f>INDEX('Specialisation Impact'!$AM$19:$AM$186,MATCH(A123,'Specialisation Impact'!$AO$19:$AO$186,0))</x:f>
        <x:v>34.21756021756022</x:v>
      </x:c>
      <x:c r="F123" s="622" t="n">
        <x:f>INDEX('Specialisation Impact'!$AC$19:$AC$186,MATCH(A123,'Specialisation Impact'!$AO$19:$AO$186,0))</x:f>
        <x:v>25.324675324675326</x:v>
      </x:c>
      <x:c r="G123" s="622" t="n">
        <x:f>INDEX('Specialisation Impact'!$AF$19:$AF$186,MATCH(A123,'Specialisation Impact'!$AO$19:$AO$186,0))</x:f>
        <x:v>96.4935064935065</x:v>
      </x:c>
      <x:c r="H123" s="622" t="n">
        <x:f>INDEX('Specialisation Impact'!$AI$19:$AI$186,MATCH(A123,'Specialisation Impact'!$AO$19:$AO$186,0))</x:f>
        <x:v>43.50649350649351</x:v>
      </x:c>
      <x:c r="I123" s="622" t="n">
        <x:f>INDEX('Specialisation Impact'!$AK$19:$AK$186,MATCH(A123,'Specialisation Impact'!$AO$19:$AO$186,0))</x:f>
        <x:v>15.811965811965813</x:v>
      </x:c>
      <x:c r="J123" s="617" t="n">
        <x:f>INDEX('Specialisation Impact'!$E$19:$E$186,MATCH(A123,'Specialisation Impact'!$AO$19:$AO$186,0))</x:f>
        <x:v>2</x:v>
      </x:c>
      <x:c r="K123" s="632" t="n">
        <x:f>INDEX('Specialisation Impact'!$O$19:$O$186,MATCH(A123,'Specialisation Impact'!$AO$19:$AO$186,0))</x:f>
        <x:v>18592900</x:v>
      </x:c>
      <x:c r="L123" s="626" t="n">
        <x:f>INDEX('Specialisation Impact'!$F$19:$F$186,MATCH(A123,'Specialisation Impact'!$AO$19:$AO$186,0))</x:f>
        <x:v>1</x:v>
      </x:c>
      <x:c r="M123" s="617" t="str">
        <x:f>INDEX('Specialisation Impact'!$AA$19:$AA$186,MATCH(A123,'Specialisation Impact'!$AO$19:$AO$186,0))</x:f>
        <x:v>Recorded skills only</x:v>
      </x:c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</x:row>
    <x:row r="124">
      <x:c r="A124" s="618" t="n">
        <x:v>108</x:v>
      </x:c>
      <x:c r="B124" s="618" t="n">
        <x:f>INDEX('Specialisation Impact'!$AN$19:$AN$186,MATCH(A124,'Specialisation Impact'!$AO$19:$AO$186,0))</x:f>
        <x:v>8</x:v>
      </x:c>
      <x:c r="C124" s="618" t="str">
        <x:f>INDEX('Specialisation Impact'!$A$19:$A$186,MATCH(A124,'Specialisation Impact'!$AO$19:$AO$186,0))</x:f>
        <x:v>K197</x:v>
      </x:c>
      <x:c r="D124" s="618" t="str">
        <x:v>Loong</x:v>
      </x:c>
      <x:c r="E124" s="623" t="n">
        <x:f>INDEX('Specialisation Impact'!$AM$19:$AM$186,MATCH(A124,'Specialisation Impact'!$AO$19:$AO$186,0))</x:f>
        <x:v>33.730491730491735</x:v>
      </x:c>
      <x:c r="F124" s="623" t="n">
        <x:f>INDEX('Specialisation Impact'!$AC$19:$AC$186,MATCH(A124,'Specialisation Impact'!$AO$19:$AO$186,0))</x:f>
        <x:v>18.051948051948052</x:v>
      </x:c>
      <x:c r="G124" s="623" t="n">
        <x:f>INDEX('Specialisation Impact'!$AF$19:$AF$186,MATCH(A124,'Specialisation Impact'!$AO$19:$AO$186,0))</x:f>
        <x:v>81.42857142857143</x:v>
      </x:c>
      <x:c r="H124" s="623" t="n">
        <x:f>INDEX('Specialisation Impact'!$AI$19:$AI$186,MATCH(A124,'Specialisation Impact'!$AO$19:$AO$186,0))</x:f>
        <x:v>36.23376623376623</x:v>
      </x:c>
      <x:c r="I124" s="623" t="n">
        <x:f>INDEX('Specialisation Impact'!$AK$19:$AK$186,MATCH(A124,'Specialisation Impact'!$AO$19:$AO$186,0))</x:f>
        <x:v>84.18803418803418</x:v>
      </x:c>
      <x:c r="J124" s="618" t="n">
        <x:f>INDEX('Specialisation Impact'!$E$19:$E$186,MATCH(A124,'Specialisation Impact'!$AO$19:$AO$186,0))</x:f>
        <x:v>1</x:v>
      </x:c>
      <x:c r="K124" s="631" t="n">
        <x:f>INDEX('Specialisation Impact'!$O$19:$O$186,MATCH(A124,'Specialisation Impact'!$AO$19:$AO$186,0))</x:f>
        <x:v>18668600</x:v>
      </x:c>
      <x:c r="L124" s="627" t="n">
        <x:f>INDEX('Specialisation Impact'!$F$19:$F$186,MATCH(A124,'Specialisation Impact'!$AO$19:$AO$186,0))</x:f>
        <x:v>1</x:v>
      </x:c>
      <x:c r="M124" s="618" t="str">
        <x:f>INDEX('Specialisation Impact'!$AA$19:$AA$186,MATCH(A124,'Specialisation Impact'!$AO$19:$AO$186,0))</x:f>
        <x:v>Recorded skills only</x:v>
      </x:c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</x:row>
    <x:row r="125">
      <x:c r="A125" s="617" t="n">
        <x:v>109</x:v>
      </x:c>
      <x:c r="B125" s="617" t="n">
        <x:f>INDEX('Specialisation Impact'!$AN$19:$AN$186,MATCH(A125,'Specialisation Impact'!$AO$19:$AO$186,0))</x:f>
        <x:v>8</x:v>
      </x:c>
      <x:c r="C125" s="617" t="str">
        <x:f>INDEX('Specialisation Impact'!$A$19:$A$186,MATCH(A125,'Specialisation Impact'!$AO$19:$AO$186,0))</x:f>
        <x:v>K91</x:v>
      </x:c>
      <x:c r="D125" s="617" t="str">
        <x:v>TÜRK 81</x:v>
      </x:c>
      <x:c r="E125" s="622" t="n">
        <x:f>INDEX('Specialisation Impact'!$AM$19:$AM$186,MATCH(A125,'Specialisation Impact'!$AO$19:$AO$186,0))</x:f>
        <x:v>33.501831501831504</x:v>
      </x:c>
      <x:c r="F125" s="622" t="n">
        <x:f>INDEX('Specialisation Impact'!$AC$19:$AC$186,MATCH(A125,'Specialisation Impact'!$AO$19:$AO$186,0))</x:f>
        <x:v>21.558441558441558</x:v>
      </x:c>
      <x:c r="G125" s="622" t="n">
        <x:f>INDEX('Specialisation Impact'!$AF$19:$AF$186,MATCH(A125,'Specialisation Impact'!$AO$19:$AO$186,0))</x:f>
        <x:v>91.68831168831169</x:v>
      </x:c>
      <x:c r="H125" s="622" t="n">
        <x:f>INDEX('Specialisation Impact'!$AI$19:$AI$186,MATCH(A125,'Specialisation Impact'!$AO$19:$AO$186,0))</x:f>
        <x:v>39.740259740259745</x:v>
      </x:c>
      <x:c r="I125" s="622" t="n">
        <x:f>INDEX('Specialisation Impact'!$AK$19:$AK$186,MATCH(A125,'Specialisation Impact'!$AO$19:$AO$186,0))</x:f>
        <x:v>43.58974358974359</x:v>
      </x:c>
      <x:c r="J125" s="617" t="n">
        <x:f>INDEX('Specialisation Impact'!$E$19:$E$186,MATCH(A125,'Specialisation Impact'!$AO$19:$AO$186,0))</x:f>
        <x:v>2</x:v>
      </x:c>
      <x:c r="K125" s="632" t="n">
        <x:f>INDEX('Specialisation Impact'!$O$19:$O$186,MATCH(A125,'Specialisation Impact'!$AO$19:$AO$186,0))</x:f>
        <x:v>15702900</x:v>
      </x:c>
      <x:c r="L125" s="626" t="n">
        <x:f>INDEX('Specialisation Impact'!$F$19:$F$186,MATCH(A125,'Specialisation Impact'!$AO$19:$AO$186,0))</x:f>
        <x:v>1</x:v>
      </x:c>
      <x:c r="M125" s="617" t="str">
        <x:f>INDEX('Specialisation Impact'!$AA$19:$AA$186,MATCH(A125,'Specialisation Impact'!$AO$19:$AO$186,0))</x:f>
        <x:v>Recorded skills only</x:v>
      </x:c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</x:row>
    <x:row r="126">
      <x:c r="A126" s="618" t="n">
        <x:v>110</x:v>
      </x:c>
      <x:c r="B126" s="618" t="n">
        <x:f>INDEX('Specialisation Impact'!$AN$19:$AN$186,MATCH(A126,'Specialisation Impact'!$AO$19:$AO$186,0))</x:f>
        <x:v>15</x:v>
      </x:c>
      <x:c r="C126" s="618" t="str">
        <x:f>INDEX('Specialisation Impact'!$A$19:$A$186,MATCH(A126,'Specialisation Impact'!$AO$19:$AO$186,0))</x:f>
        <x:v>K138</x:v>
      </x:c>
      <x:c r="D126" s="618" t="str">
        <x:v>(RaW)©•SGT©•</x:v>
      </x:c>
      <x:c r="E126" s="623" t="n">
        <x:f>INDEX('Specialisation Impact'!$AM$19:$AM$186,MATCH(A126,'Specialisation Impact'!$AO$19:$AO$186,0))</x:f>
        <x:v>33.41203241203241</x:v>
      </x:c>
      <x:c r="F126" s="623" t="n">
        <x:f>INDEX('Specialisation Impact'!$AC$19:$AC$186,MATCH(A126,'Specialisation Impact'!$AO$19:$AO$186,0))</x:f>
        <x:v>21.948051948051948</x:v>
      </x:c>
      <x:c r="G126" s="623" t="n">
        <x:f>INDEX('Specialisation Impact'!$AF$19:$AF$186,MATCH(A126,'Specialisation Impact'!$AO$19:$AO$186,0))</x:f>
        <x:v>68.44155844155844</x:v>
      </x:c>
      <x:c r="H126" s="623" t="n">
        <x:f>INDEX('Specialisation Impact'!$AI$19:$AI$186,MATCH(A126,'Specialisation Impact'!$AO$19:$AO$186,0))</x:f>
        <x:v>31.2987012987013</x:v>
      </x:c>
      <x:c r="I126" s="623" t="n">
        <x:f>INDEX('Specialisation Impact'!$AK$19:$AK$186,MATCH(A126,'Specialisation Impact'!$AO$19:$AO$186,0))</x:f>
        <x:v>76.06837606837607</x:v>
      </x:c>
      <x:c r="J126" s="618" t="n">
        <x:f>INDEX('Specialisation Impact'!$E$19:$E$186,MATCH(A126,'Specialisation Impact'!$AO$19:$AO$186,0))</x:f>
        <x:v>2</x:v>
      </x:c>
      <x:c r="K126" s="631" t="n">
        <x:f>INDEX('Specialisation Impact'!$O$19:$O$186,MATCH(A126,'Specialisation Impact'!$AO$19:$AO$186,0))</x:f>
        <x:v>13137900</x:v>
      </x:c>
      <x:c r="L126" s="627" t="n">
        <x:f>INDEX('Specialisation Impact'!$F$19:$F$186,MATCH(A126,'Specialisation Impact'!$AO$19:$AO$186,0))</x:f>
        <x:v>1</x:v>
      </x:c>
      <x:c r="M126" s="618" t="str">
        <x:f>INDEX('Specialisation Impact'!$AA$19:$AA$186,MATCH(A126,'Specialisation Impact'!$AO$19:$AO$186,0))</x:f>
        <x:v>Recorded skills only</x:v>
      </x:c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</x:row>
    <x:row r="127">
      <x:c r="A127" s="617" t="n">
        <x:v>111</x:v>
      </x:c>
      <x:c r="B127" s="617" t="n">
        <x:f>INDEX('Specialisation Impact'!$AN$19:$AN$186,MATCH(A127,'Specialisation Impact'!$AO$19:$AO$186,0))</x:f>
        <x:v>9</x:v>
      </x:c>
      <x:c r="C127" s="617" t="str">
        <x:f>INDEX('Specialisation Impact'!$A$19:$A$186,MATCH(A127,'Specialisation Impact'!$AO$19:$AO$186,0))</x:f>
        <x:v>K91</x:v>
      </x:c>
      <x:c r="D127" s="617" t="str">
        <x:v>λTλ⁵⁷βЄЧ</x:v>
      </x:c>
      <x:c r="E127" s="622" t="n">
        <x:f>INDEX('Specialisation Impact'!$AM$19:$AM$186,MATCH(A127,'Specialisation Impact'!$AO$19:$AO$186,0))</x:f>
        <x:v>33.312354312354316</x:v>
      </x:c>
      <x:c r="F127" s="622" t="n">
        <x:f>INDEX('Specialisation Impact'!$AC$19:$AC$186,MATCH(A127,'Specialisation Impact'!$AO$19:$AO$186,0))</x:f>
        <x:v>22.85714285714286</x:v>
      </x:c>
      <x:c r="G127" s="622" t="n">
        <x:f>INDEX('Specialisation Impact'!$AF$19:$AF$186,MATCH(A127,'Specialisation Impact'!$AO$19:$AO$186,0))</x:f>
        <x:v>93.50649350649351</x:v>
      </x:c>
      <x:c r="H127" s="622" t="n">
        <x:f>INDEX('Specialisation Impact'!$AI$19:$AI$186,MATCH(A127,'Specialisation Impact'!$AO$19:$AO$186,0))</x:f>
        <x:v>41.03896103896104</x:v>
      </x:c>
      <x:c r="I127" s="622" t="n">
        <x:f>INDEX('Specialisation Impact'!$AK$19:$AK$186,MATCH(A127,'Specialisation Impact'!$AO$19:$AO$186,0))</x:f>
        <x:v>29.48717948717949</x:v>
      </x:c>
      <x:c r="J127" s="617" t="n">
        <x:f>INDEX('Specialisation Impact'!$E$19:$E$186,MATCH(A127,'Specialisation Impact'!$AO$19:$AO$186,0))</x:f>
        <x:v>2</x:v>
      </x:c>
      <x:c r="K127" s="632" t="n">
        <x:f>INDEX('Specialisation Impact'!$O$19:$O$186,MATCH(A127,'Specialisation Impact'!$AO$19:$AO$186,0))</x:f>
        <x:v>15822900</x:v>
      </x:c>
      <x:c r="L127" s="626" t="n">
        <x:f>INDEX('Specialisation Impact'!$F$19:$F$186,MATCH(A127,'Specialisation Impact'!$AO$19:$AO$186,0))</x:f>
        <x:v>1</x:v>
      </x:c>
      <x:c r="M127" s="617" t="str">
        <x:f>INDEX('Specialisation Impact'!$AA$19:$AA$186,MATCH(A127,'Specialisation Impact'!$AO$19:$AO$186,0))</x:f>
        <x:v>Recorded skills only</x:v>
      </x:c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</x:row>
    <x:row r="128">
      <x:c r="A128" s="618" t="n">
        <x:v>112</x:v>
      </x:c>
      <x:c r="B128" s="618" t="n">
        <x:f>INDEX('Specialisation Impact'!$AN$19:$AN$186,MATCH(A128,'Specialisation Impact'!$AO$19:$AO$186,0))</x:f>
        <x:v>17</x:v>
      </x:c>
      <x:c r="C128" s="618" t="str">
        <x:f>INDEX('Specialisation Impact'!$A$19:$A$186,MATCH(A128,'Specialisation Impact'!$AO$19:$AO$186,0))</x:f>
        <x:v>K170</x:v>
      </x:c>
      <x:c r="D128" s="618" t="str">
        <x:v>(AOT)Paian2</x:v>
      </x:c>
      <x:c r="E128" s="623" t="n">
        <x:f>INDEX('Specialisation Impact'!$AM$19:$AM$186,MATCH(A128,'Specialisation Impact'!$AO$19:$AO$186,0))</x:f>
        <x:v>32.681485181485186</x:v>
      </x:c>
      <x:c r="F128" s="623" t="n">
        <x:f>INDEX('Specialisation Impact'!$AC$19:$AC$186,MATCH(A128,'Specialisation Impact'!$AO$19:$AO$186,0))</x:f>
        <x:v>32.532467532467535</x:v>
      </x:c>
      <x:c r="G128" s="623" t="n">
        <x:f>INDEX('Specialisation Impact'!$AF$19:$AF$186,MATCH(A128,'Specialisation Impact'!$AO$19:$AO$186,0))</x:f>
        <x:v>11.753246753246755</x:v>
      </x:c>
      <x:c r="H128" s="623" t="n">
        <x:f>INDEX('Specialisation Impact'!$AI$19:$AI$186,MATCH(A128,'Specialisation Impact'!$AO$19:$AO$186,0))</x:f>
        <x:v>28.896103896103895</x:v>
      </x:c>
      <x:c r="I128" s="623" t="n">
        <x:f>INDEX('Specialisation Impact'!$AK$19:$AK$186,MATCH(A128,'Specialisation Impact'!$AO$19:$AO$186,0))</x:f>
        <x:v>60.25641025641025</x:v>
      </x:c>
      <x:c r="J128" s="618" t="n">
        <x:f>INDEX('Specialisation Impact'!$E$19:$E$186,MATCH(A128,'Specialisation Impact'!$AO$19:$AO$186,0))</x:f>
        <x:v>1</x:v>
      </x:c>
      <x:c r="K128" s="631" t="n">
        <x:f>INDEX('Specialisation Impact'!$O$19:$O$186,MATCH(A128,'Specialisation Impact'!$AO$19:$AO$186,0))</x:f>
        <x:v>9288600</x:v>
      </x:c>
      <x:c r="L128" s="627" t="n">
        <x:f>INDEX('Specialisation Impact'!$F$19:$F$186,MATCH(A128,'Specialisation Impact'!$AO$19:$AO$186,0))</x:f>
        <x:v>1</x:v>
      </x:c>
      <x:c r="M128" s="618" t="str">
        <x:f>INDEX('Specialisation Impact'!$AA$19:$AA$186,MATCH(A128,'Specialisation Impact'!$AO$19:$AO$186,0))</x:f>
        <x:v>Recorded skills only</x:v>
      </x:c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</x:row>
    <x:row r="129">
      <x:c r="A129" s="617" t="n">
        <x:v>113</x:v>
      </x:c>
      <x:c r="B129" s="617" t="n">
        <x:f>INDEX('Specialisation Impact'!$AN$19:$AN$186,MATCH(A129,'Specialisation Impact'!$AO$19:$AO$186,0))</x:f>
        <x:v>20</x:v>
      </x:c>
      <x:c r="C129" s="617" t="str">
        <x:f>INDEX('Specialisation Impact'!$A$19:$A$186,MATCH(A129,'Specialisation Impact'!$AO$19:$AO$186,0))</x:f>
        <x:v>K176</x:v>
      </x:c>
      <x:c r="D129" s="617" t="str">
        <x:v>WARBLOOD</x:v>
      </x:c>
      <x:c r="E129" s="622" t="n">
        <x:f>INDEX('Specialisation Impact'!$AM$19:$AM$186,MATCH(A129,'Specialisation Impact'!$AO$19:$AO$186,0))</x:f>
        <x:v>32.665556665556664</x:v>
      </x:c>
      <x:c r="F129" s="622" t="n">
        <x:f>INDEX('Specialisation Impact'!$AC$19:$AC$186,MATCH(A129,'Specialisation Impact'!$AO$19:$AO$186,0))</x:f>
        <x:v>29.350649350649352</x:v>
      </x:c>
      <x:c r="G129" s="622" t="n">
        <x:f>INDEX('Specialisation Impact'!$AF$19:$AF$186,MATCH(A129,'Specialisation Impact'!$AO$19:$AO$186,0))</x:f>
        <x:v>10.389610389610391</x:v>
      </x:c>
      <x:c r="H129" s="622" t="n">
        <x:f>INDEX('Specialisation Impact'!$AI$19:$AI$186,MATCH(A129,'Specialisation Impact'!$AO$19:$AO$186,0))</x:f>
        <x:v>27.532467532467532</x:v>
      </x:c>
      <x:c r="I129" s="622" t="n">
        <x:f>INDEX('Specialisation Impact'!$AK$19:$AK$186,MATCH(A129,'Specialisation Impact'!$AO$19:$AO$186,0))</x:f>
        <x:v>84.18803418803418</x:v>
      </x:c>
      <x:c r="J129" s="617" t="n">
        <x:f>INDEX('Specialisation Impact'!$E$19:$E$186,MATCH(A129,'Specialisation Impact'!$AO$19:$AO$186,0))</x:f>
        <x:v>2</x:v>
      </x:c>
      <x:c r="K129" s="632" t="n">
        <x:f>INDEX('Specialisation Impact'!$O$19:$O$186,MATCH(A129,'Specialisation Impact'!$AO$19:$AO$186,0))</x:f>
        <x:v>11772900</x:v>
      </x:c>
      <x:c r="L129" s="626" t="n">
        <x:f>INDEX('Specialisation Impact'!$F$19:$F$186,MATCH(A129,'Specialisation Impact'!$AO$19:$AO$186,0))</x:f>
        <x:v>1</x:v>
      </x:c>
      <x:c r="M129" s="617" t="str">
        <x:f>INDEX('Specialisation Impact'!$AA$19:$AA$186,MATCH(A129,'Specialisation Impact'!$AO$19:$AO$186,0))</x:f>
        <x:v>Recorded skills only</x:v>
      </x:c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</x:row>
    <x:row r="130">
      <x:c r="A130" s="618" t="n">
        <x:v>114</x:v>
      </x:c>
      <x:c r="B130" s="618" t="n">
        <x:f>INDEX('Specialisation Impact'!$AN$19:$AN$186,MATCH(A130,'Specialisation Impact'!$AO$19:$AO$186,0))</x:f>
        <x:v>18</x:v>
      </x:c>
      <x:c r="C130" s="618" t="str">
        <x:f>INDEX('Specialisation Impact'!$A$19:$A$186,MATCH(A130,'Specialisation Impact'!$AO$19:$AO$186,0))</x:f>
        <x:v>K170</x:v>
      </x:c>
      <x:c r="D130" s="618" t="str">
        <x:v>(AOT)Markspoon</x:v>
      </x:c>
      <x:c r="E130" s="623" t="n">
        <x:f>INDEX('Specialisation Impact'!$AM$19:$AM$186,MATCH(A130,'Specialisation Impact'!$AO$19:$AO$186,0))</x:f>
        <x:v>32.4931734931735</x:v>
      </x:c>
      <x:c r="F130" s="623" t="n">
        <x:f>INDEX('Specialisation Impact'!$AC$19:$AC$186,MATCH(A130,'Specialisation Impact'!$AO$19:$AO$186,0))</x:f>
        <x:v>23.8961038961039</x:v>
      </x:c>
      <x:c r="G130" s="623" t="n">
        <x:f>INDEX('Specialisation Impact'!$AF$19:$AF$186,MATCH(A130,'Specialisation Impact'!$AO$19:$AO$186,0))</x:f>
        <x:v>63.37662337662338</x:v>
      </x:c>
      <x:c r="H130" s="623" t="n">
        <x:f>INDEX('Specialisation Impact'!$AI$19:$AI$186,MATCH(A130,'Specialisation Impact'!$AO$19:$AO$186,0))</x:f>
        <x:v>30.64935064935065</x:v>
      </x:c>
      <x:c r="I130" s="623" t="n">
        <x:f>INDEX('Specialisation Impact'!$AK$19:$AK$186,MATCH(A130,'Specialisation Impact'!$AO$19:$AO$186,0))</x:f>
        <x:v>60.25641025641025</x:v>
      </x:c>
      <x:c r="J130" s="618" t="n">
        <x:f>INDEX('Specialisation Impact'!$E$19:$E$186,MATCH(A130,'Specialisation Impact'!$AO$19:$AO$186,0))</x:f>
        <x:v>2</x:v>
      </x:c>
      <x:c r="K130" s="631" t="n">
        <x:f>INDEX('Specialisation Impact'!$O$19:$O$186,MATCH(A130,'Specialisation Impact'!$AO$19:$AO$186,0))</x:f>
        <x:v>10752900</x:v>
      </x:c>
      <x:c r="L130" s="627" t="n">
        <x:f>INDEX('Specialisation Impact'!$F$19:$F$186,MATCH(A130,'Specialisation Impact'!$AO$19:$AO$186,0))</x:f>
        <x:v>1</x:v>
      </x:c>
      <x:c r="M130" s="618" t="str">
        <x:f>INDEX('Specialisation Impact'!$AA$19:$AA$186,MATCH(A130,'Specialisation Impact'!$AO$19:$AO$186,0))</x:f>
        <x:v>Recorded skills only</x:v>
      </x:c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</x:row>
    <x:row r="131">
      <x:c r="A131" s="617" t="n">
        <x:v>115</x:v>
      </x:c>
      <x:c r="B131" s="617" t="n">
        <x:f>INDEX('Specialisation Impact'!$AN$19:$AN$186,MATCH(A131,'Specialisation Impact'!$AO$19:$AO$186,0))</x:f>
        <x:v>10</x:v>
      </x:c>
      <x:c r="C131" s="617" t="str">
        <x:f>INDEX('Specialisation Impact'!$A$19:$A$186,MATCH(A131,'Specialisation Impact'!$AO$19:$AO$186,0))</x:f>
        <x:v>K116</x:v>
      </x:c>
      <x:c r="D131" s="617" t="str">
        <x:v>逍遥浪四月</x:v>
      </x:c>
      <x:c r="E131" s="622" t="n">
        <x:f>INDEX('Specialisation Impact'!$AM$19:$AM$186,MATCH(A131,'Specialisation Impact'!$AO$19:$AO$186,0))</x:f>
        <x:v>32.11754911754912</x:v>
      </x:c>
      <x:c r="F131" s="622" t="n">
        <x:f>INDEX('Specialisation Impact'!$AC$19:$AC$186,MATCH(A131,'Specialisation Impact'!$AO$19:$AO$186,0))</x:f>
        <x:v>36.62337662337663</x:v>
      </x:c>
      <x:c r="G131" s="622" t="n">
        <x:f>INDEX('Specialisation Impact'!$AF$19:$AF$186,MATCH(A131,'Specialisation Impact'!$AO$19:$AO$186,0))</x:f>
        <x:v>11.16883116883117</x:v>
      </x:c>
      <x:c r="H131" s="622" t="n">
        <x:f>INDEX('Specialisation Impact'!$AI$19:$AI$186,MATCH(A131,'Specialisation Impact'!$AO$19:$AO$186,0))</x:f>
        <x:v>28.311688311688314</x:v>
      </x:c>
      <x:c r="I131" s="622" t="n">
        <x:f>INDEX('Specialisation Impact'!$AK$19:$AK$186,MATCH(A131,'Specialisation Impact'!$AO$19:$AO$186,0))</x:f>
        <x:v>29.48717948717949</x:v>
      </x:c>
      <x:c r="J131" s="617" t="n">
        <x:f>INDEX('Specialisation Impact'!$E$19:$E$186,MATCH(A131,'Specialisation Impact'!$AO$19:$AO$186,0))</x:f>
        <x:v>2</x:v>
      </x:c>
      <x:c r="K131" s="632" t="n">
        <x:f>INDEX('Specialisation Impact'!$O$19:$O$186,MATCH(A131,'Specialisation Impact'!$AO$19:$AO$186,0))</x:f>
        <x:v>6732900</x:v>
      </x:c>
      <x:c r="L131" s="626" t="n">
        <x:f>INDEX('Specialisation Impact'!$F$19:$F$186,MATCH(A131,'Specialisation Impact'!$AO$19:$AO$186,0))</x:f>
        <x:v>1</x:v>
      </x:c>
      <x:c r="M131" s="617" t="str">
        <x:f>INDEX('Specialisation Impact'!$AA$19:$AA$186,MATCH(A131,'Specialisation Impact'!$AO$19:$AO$186,0))</x:f>
        <x:v>Recorded skills only</x:v>
      </x:c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</x:row>
    <x:row r="132">
      <x:c r="A132" s="618" t="n">
        <x:v>116</x:v>
      </x:c>
      <x:c r="B132" s="618" t="n">
        <x:f>INDEX('Specialisation Impact'!$AN$19:$AN$186,MATCH(A132,'Specialisation Impact'!$AO$19:$AO$186,0))</x:f>
        <x:v>16</x:v>
      </x:c>
      <x:c r="C132" s="618" t="str">
        <x:f>INDEX('Specialisation Impact'!$A$19:$A$186,MATCH(A132,'Specialisation Impact'!$AO$19:$AO$186,0))</x:f>
        <x:v>K138</x:v>
      </x:c>
      <x:c r="D132" s="618" t="str">
        <x:v>(RaW)Maddog</x:v>
      </x:c>
      <x:c r="E132" s="623" t="n">
        <x:f>INDEX('Specialisation Impact'!$AM$19:$AM$186,MATCH(A132,'Specialisation Impact'!$AO$19:$AO$186,0))</x:f>
        <x:v>31.562992562992562</x:v>
      </x:c>
      <x:c r="F132" s="623" t="n">
        <x:f>INDEX('Specialisation Impact'!$AC$19:$AC$186,MATCH(A132,'Specialisation Impact'!$AO$19:$AO$186,0))</x:f>
        <x:v>19.61038961038961</x:v>
      </x:c>
      <x:c r="G132" s="623" t="n">
        <x:f>INDEX('Specialisation Impact'!$AF$19:$AF$186,MATCH(A132,'Specialisation Impact'!$AO$19:$AO$186,0))</x:f>
        <x:v>53.116883116883116</x:v>
      </x:c>
      <x:c r="H132" s="623" t="n">
        <x:f>INDEX('Specialisation Impact'!$AI$19:$AI$186,MATCH(A132,'Specialisation Impact'!$AO$19:$AO$186,0))</x:f>
        <x:v>27.922077922077925</x:v>
      </x:c>
      <x:c r="I132" s="623" t="n">
        <x:f>INDEX('Specialisation Impact'!$AK$19:$AK$186,MATCH(A132,'Specialisation Impact'!$AO$19:$AO$186,0))</x:f>
        <x:v>93.16239316239316</x:v>
      </x:c>
      <x:c r="J132" s="618" t="n">
        <x:f>INDEX('Specialisation Impact'!$E$19:$E$186,MATCH(A132,'Specialisation Impact'!$AO$19:$AO$186,0))</x:f>
        <x:v>2</x:v>
      </x:c>
      <x:c r="K132" s="631" t="n">
        <x:f>INDEX('Specialisation Impact'!$O$19:$O$186,MATCH(A132,'Specialisation Impact'!$AO$19:$AO$186,0))</x:f>
        <x:v>14482900</x:v>
      </x:c>
      <x:c r="L132" s="627" t="n">
        <x:f>INDEX('Specialisation Impact'!$F$19:$F$186,MATCH(A132,'Specialisation Impact'!$AO$19:$AO$186,0))</x:f>
        <x:v>1</x:v>
      </x:c>
      <x:c r="M132" s="618" t="str">
        <x:f>INDEX('Specialisation Impact'!$AA$19:$AA$186,MATCH(A132,'Specialisation Impact'!$AO$19:$AO$186,0))</x:f>
        <x:v>Recorded skills only</x:v>
      </x:c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</x:row>
    <x:row r="133">
      <x:c r="A133" s="617" t="n">
        <x:v>117</x:v>
      </x:c>
      <x:c r="B133" s="617" t="n">
        <x:f>INDEX('Specialisation Impact'!$AN$19:$AN$186,MATCH(A133,'Specialisation Impact'!$AO$19:$AO$186,0))</x:f>
        <x:v>19</x:v>
      </x:c>
      <x:c r="C133" s="617" t="str">
        <x:f>INDEX('Specialisation Impact'!$A$19:$A$186,MATCH(A133,'Specialisation Impact'!$AO$19:$AO$186,0))</x:f>
        <x:v>K170</x:v>
      </x:c>
      <x:c r="D133" s="617" t="str">
        <x:v>(AOT)MONKEY</x:v>
      </x:c>
      <x:c r="E133" s="622" t="n">
        <x:f>INDEX('Specialisation Impact'!$AM$19:$AM$186,MATCH(A133,'Specialisation Impact'!$AO$19:$AO$186,0))</x:f>
        <x:v>31.546120546120548</x:v>
      </x:c>
      <x:c r="F133" s="622" t="n">
        <x:f>INDEX('Specialisation Impact'!$AC$19:$AC$186,MATCH(A133,'Specialisation Impact'!$AO$19:$AO$186,0))</x:f>
        <x:v>31.03896103896104</x:v>
      </x:c>
      <x:c r="G133" s="622" t="n">
        <x:f>INDEX('Specialisation Impact'!$AF$19:$AF$186,MATCH(A133,'Specialisation Impact'!$AO$19:$AO$186,0))</x:f>
        <x:v>38.05194805194805</x:v>
      </x:c>
      <x:c r="H133" s="622" t="n">
        <x:f>INDEX('Specialisation Impact'!$AI$19:$AI$186,MATCH(A133,'Specialisation Impact'!$AO$19:$AO$186,0))</x:f>
        <x:v>30.77922077922078</x:v>
      </x:c>
      <x:c r="I133" s="622" t="n">
        <x:f>INDEX('Specialisation Impact'!$AK$19:$AK$186,MATCH(A133,'Specialisation Impact'!$AO$19:$AO$186,0))</x:f>
        <x:v>29.48717948717949</x:v>
      </x:c>
      <x:c r="J133" s="617" t="n">
        <x:f>INDEX('Specialisation Impact'!$E$19:$E$186,MATCH(A133,'Specialisation Impact'!$AO$19:$AO$186,0))</x:f>
        <x:v>2</x:v>
      </x:c>
      <x:c r="K133" s="632" t="n">
        <x:f>INDEX('Specialisation Impact'!$O$19:$O$186,MATCH(A133,'Specialisation Impact'!$AO$19:$AO$186,0))</x:f>
        <x:v>8772900</x:v>
      </x:c>
      <x:c r="L133" s="626" t="n">
        <x:f>INDEX('Specialisation Impact'!$F$19:$F$186,MATCH(A133,'Specialisation Impact'!$AO$19:$AO$186,0))</x:f>
        <x:v>1</x:v>
      </x:c>
      <x:c r="M133" s="617" t="str">
        <x:f>INDEX('Specialisation Impact'!$AA$19:$AA$186,MATCH(A133,'Specialisation Impact'!$AO$19:$AO$186,0))</x:f>
        <x:v>Recorded skills only</x:v>
      </x:c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</x:row>
    <x:row r="134">
      <x:c r="A134" s="618" t="n">
        <x:v>118</x:v>
      </x:c>
      <x:c r="B134" s="618" t="n">
        <x:f>INDEX('Specialisation Impact'!$AN$19:$AN$186,MATCH(A134,'Specialisation Impact'!$AO$19:$AO$186,0))</x:f>
        <x:v>10</x:v>
      </x:c>
      <x:c r="C134" s="618" t="str">
        <x:f>INDEX('Specialisation Impact'!$A$19:$A$186,MATCH(A134,'Specialisation Impact'!$AO$19:$AO$186,0))</x:f>
        <x:v>K91</x:v>
      </x:c>
      <x:c r="D134" s="618" t="str">
        <x:v>Milhaus</x:v>
      </x:c>
      <x:c r="E134" s="623" t="n">
        <x:f>INDEX('Specialisation Impact'!$AM$19:$AM$186,MATCH(A134,'Specialisation Impact'!$AO$19:$AO$186,0))</x:f>
        <x:v>31.18248418248418</x:v>
      </x:c>
      <x:c r="F134" s="623" t="n">
        <x:f>INDEX('Specialisation Impact'!$AC$19:$AC$186,MATCH(A134,'Specialisation Impact'!$AO$19:$AO$186,0))</x:f>
        <x:v>20.77922077922078</x:v>
      </x:c>
      <x:c r="G134" s="623" t="n">
        <x:f>INDEX('Specialisation Impact'!$AF$19:$AF$186,MATCH(A134,'Specialisation Impact'!$AO$19:$AO$186,0))</x:f>
        <x:v>88.83116883116882</x:v>
      </x:c>
      <x:c r="H134" s="623" t="n">
        <x:f>INDEX('Specialisation Impact'!$AI$19:$AI$186,MATCH(A134,'Specialisation Impact'!$AO$19:$AO$186,0))</x:f>
        <x:v>38.961038961038966</x:v>
      </x:c>
      <x:c r="I134" s="623" t="n">
        <x:f>INDEX('Specialisation Impact'!$AK$19:$AK$186,MATCH(A134,'Specialisation Impact'!$AO$19:$AO$186,0))</x:f>
        <x:v>29.48717948717949</x:v>
      </x:c>
      <x:c r="J134" s="618" t="n">
        <x:f>INDEX('Specialisation Impact'!$E$19:$E$186,MATCH(A134,'Specialisation Impact'!$AO$19:$AO$186,0))</x:f>
        <x:v>2</x:v>
      </x:c>
      <x:c r="K134" s="631" t="n">
        <x:f>INDEX('Specialisation Impact'!$O$19:$O$186,MATCH(A134,'Specialisation Impact'!$AO$19:$AO$186,0))</x:f>
        <x:v>14582900</x:v>
      </x:c>
      <x:c r="L134" s="627" t="n">
        <x:f>INDEX('Specialisation Impact'!$F$19:$F$186,MATCH(A134,'Specialisation Impact'!$AO$19:$AO$186,0))</x:f>
        <x:v>1</x:v>
      </x:c>
      <x:c r="M134" s="618" t="str">
        <x:f>INDEX('Specialisation Impact'!$AA$19:$AA$186,MATCH(A134,'Specialisation Impact'!$AO$19:$AO$186,0))</x:f>
        <x:v>Recorded skills only</x:v>
      </x:c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</x:row>
    <x:row r="135">
      <x:c r="A135" s="617" t="n">
        <x:v>119</x:v>
      </x:c>
      <x:c r="B135" s="617" t="n">
        <x:f>INDEX('Specialisation Impact'!$AN$19:$AN$186,MATCH(A135,'Specialisation Impact'!$AO$19:$AO$186,0))</x:f>
        <x:v>17</x:v>
      </x:c>
      <x:c r="C135" s="617" t="str">
        <x:f>INDEX('Specialisation Impact'!$A$19:$A$186,MATCH(A135,'Specialisation Impact'!$AO$19:$AO$186,0))</x:f>
        <x:v>K138</x:v>
      </x:c>
      <x:c r="D135" s="617" t="str">
        <x:v>(RaW)ⓀⒶⓃⓃⓄⓃ</x:v>
      </x:c>
      <x:c r="E135" s="622" t="n">
        <x:f>INDEX('Specialisation Impact'!$AM$19:$AM$186,MATCH(A135,'Specialisation Impact'!$AO$19:$AO$186,0))</x:f>
        <x:v>31.014818514818515</x:v>
      </x:c>
      <x:c r="F135" s="622" t="n">
        <x:f>INDEX('Specialisation Impact'!$AC$19:$AC$186,MATCH(A135,'Specialisation Impact'!$AO$19:$AO$186,0))</x:f>
        <x:v>32.532467532467535</x:v>
      </x:c>
      <x:c r="G135" s="622" t="n">
        <x:f>INDEX('Specialisation Impact'!$AF$19:$AF$186,MATCH(A135,'Specialisation Impact'!$AO$19:$AO$186,0))</x:f>
        <x:v>11.753246753246755</x:v>
      </x:c>
      <x:c r="H135" s="622" t="n">
        <x:f>INDEX('Specialisation Impact'!$AI$19:$AI$186,MATCH(A135,'Specialisation Impact'!$AO$19:$AO$186,0))</x:f>
        <x:v>28.896103896103895</x:v>
      </x:c>
      <x:c r="I135" s="622" t="n">
        <x:f>INDEX('Specialisation Impact'!$AK$19:$AK$186,MATCH(A135,'Specialisation Impact'!$AO$19:$AO$186,0))</x:f>
        <x:v>43.58974358974359</x:v>
      </x:c>
      <x:c r="J135" s="617" t="n">
        <x:f>INDEX('Specialisation Impact'!$E$19:$E$186,MATCH(A135,'Specialisation Impact'!$AO$19:$AO$186,0))</x:f>
        <x:v>1</x:v>
      </x:c>
      <x:c r="K135" s="632" t="n">
        <x:f>INDEX('Specialisation Impact'!$O$19:$O$186,MATCH(A135,'Specialisation Impact'!$AO$19:$AO$186,0))</x:f>
        <x:v>7848600</x:v>
      </x:c>
      <x:c r="L135" s="626" t="n">
        <x:f>INDEX('Specialisation Impact'!$F$19:$F$186,MATCH(A135,'Specialisation Impact'!$AO$19:$AO$186,0))</x:f>
        <x:v>1</x:v>
      </x:c>
      <x:c r="M135" s="617" t="str">
        <x:f>INDEX('Specialisation Impact'!$AA$19:$AA$186,MATCH(A135,'Specialisation Impact'!$AO$19:$AO$186,0))</x:f>
        <x:v>Recorded skills only</x:v>
      </x:c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</x:row>
    <x:row r="136">
      <x:c r="A136" s="618" t="n">
        <x:v>120</x:v>
      </x:c>
      <x:c r="B136" s="618" t="n">
        <x:f>INDEX('Specialisation Impact'!$AN$19:$AN$186,MATCH(A136,'Specialisation Impact'!$AO$19:$AO$186,0))</x:f>
        <x:v>9</x:v>
      </x:c>
      <x:c r="C136" s="618" t="str">
        <x:f>INDEX('Specialisation Impact'!$A$19:$A$186,MATCH(A136,'Specialisation Impact'!$AO$19:$AO$186,0))</x:f>
        <x:v>K197</x:v>
      </x:c>
      <x:c r="D136" s="618" t="str">
        <x:v>Caramel</x:v>
      </x:c>
      <x:c r="E136" s="623" t="n">
        <x:f>INDEX('Specialisation Impact'!$AM$19:$AM$186,MATCH(A136,'Specialisation Impact'!$AO$19:$AO$186,0))</x:f>
        <x:v>30.311688311688314</x:v>
      </x:c>
      <x:c r="F136" s="623" t="n">
        <x:f>INDEX('Specialisation Impact'!$AC$19:$AC$186,MATCH(A136,'Specialisation Impact'!$AO$19:$AO$186,0))</x:f>
        <x:v>18.051948051948052</x:v>
      </x:c>
      <x:c r="G136" s="623" t="n">
        <x:f>INDEX('Specialisation Impact'!$AF$19:$AF$186,MATCH(A136,'Specialisation Impact'!$AO$19:$AO$186,0))</x:f>
        <x:v>81.42857142857143</x:v>
      </x:c>
      <x:c r="H136" s="623" t="n">
        <x:f>INDEX('Specialisation Impact'!$AI$19:$AI$186,MATCH(A136,'Specialisation Impact'!$AO$19:$AO$186,0))</x:f>
        <x:v>36.23376623376623</x:v>
      </x:c>
      <x:c r="I136" s="623" t="n">
        <x:f>INDEX('Specialisation Impact'!$AK$19:$AK$186,MATCH(A136,'Specialisation Impact'!$AO$19:$AO$186,0))</x:f>
        <x:v>50</x:v>
      </x:c>
      <x:c r="J136" s="618" t="n">
        <x:f>INDEX('Specialisation Impact'!$E$19:$E$186,MATCH(A136,'Specialisation Impact'!$AO$19:$AO$186,0))</x:f>
        <x:v>1</x:v>
      </x:c>
      <x:c r="K136" s="631" t="n">
        <x:f>INDEX('Specialisation Impact'!$O$19:$O$186,MATCH(A136,'Specialisation Impact'!$AO$19:$AO$186,0))</x:f>
        <x:v>10334300</x:v>
      </x:c>
      <x:c r="L136" s="627" t="n">
        <x:f>INDEX('Specialisation Impact'!$F$19:$F$186,MATCH(A136,'Specialisation Impact'!$AO$19:$AO$186,0))</x:f>
        <x:v>1</x:v>
      </x:c>
      <x:c r="M136" s="618" t="str">
        <x:f>INDEX('Specialisation Impact'!$AA$19:$AA$186,MATCH(A136,'Specialisation Impact'!$AO$19:$AO$186,0))</x:f>
        <x:v>Recorded skills only</x:v>
      </x:c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</x:row>
    <x:row r="137">
      <x:c r="A137" s="617" t="n">
        <x:v>121</x:v>
      </x:c>
      <x:c r="B137" s="617" t="n">
        <x:f>INDEX('Specialisation Impact'!$AN$19:$AN$186,MATCH(A137,'Specialisation Impact'!$AO$19:$AO$186,0))</x:f>
        <x:v>10</x:v>
      </x:c>
      <x:c r="C137" s="617" t="str">
        <x:f>INDEX('Specialisation Impact'!$A$19:$A$186,MATCH(A137,'Specialisation Impact'!$AO$19:$AO$186,0))</x:f>
        <x:v>K197</x:v>
      </x:c>
      <x:c r="D137" s="617" t="str">
        <x:v>BocchiT__T</x:v>
      </x:c>
      <x:c r="E137" s="622" t="n">
        <x:f>INDEX('Specialisation Impact'!$AM$19:$AM$186,MATCH(A137,'Specialisation Impact'!$AO$19:$AO$186,0))</x:f>
        <x:v>30.311688311688314</x:v>
      </x:c>
      <x:c r="F137" s="622" t="n">
        <x:f>INDEX('Specialisation Impact'!$AC$19:$AC$186,MATCH(A137,'Specialisation Impact'!$AO$19:$AO$186,0))</x:f>
        <x:v>18.051948051948052</x:v>
      </x:c>
      <x:c r="G137" s="622" t="n">
        <x:f>INDEX('Specialisation Impact'!$AF$19:$AF$186,MATCH(A137,'Specialisation Impact'!$AO$19:$AO$186,0))</x:f>
        <x:v>81.42857142857143</x:v>
      </x:c>
      <x:c r="H137" s="622" t="n">
        <x:f>INDEX('Specialisation Impact'!$AI$19:$AI$186,MATCH(A137,'Specialisation Impact'!$AO$19:$AO$186,0))</x:f>
        <x:v>36.23376623376623</x:v>
      </x:c>
      <x:c r="I137" s="622" t="n">
        <x:f>INDEX('Specialisation Impact'!$AK$19:$AK$186,MATCH(A137,'Specialisation Impact'!$AO$19:$AO$186,0))</x:f>
        <x:v>50</x:v>
      </x:c>
      <x:c r="J137" s="617" t="n">
        <x:f>INDEX('Specialisation Impact'!$E$19:$E$186,MATCH(A137,'Specialisation Impact'!$AO$19:$AO$186,0))</x:f>
        <x:v>1</x:v>
      </x:c>
      <x:c r="K137" s="632" t="n">
        <x:f>INDEX('Specialisation Impact'!$O$19:$O$186,MATCH(A137,'Specialisation Impact'!$AO$19:$AO$186,0))</x:f>
        <x:v>10334300</x:v>
      </x:c>
      <x:c r="L137" s="626" t="n">
        <x:f>INDEX('Specialisation Impact'!$F$19:$F$186,MATCH(A137,'Specialisation Impact'!$AO$19:$AO$186,0))</x:f>
        <x:v>1</x:v>
      </x:c>
      <x:c r="M137" s="617" t="str">
        <x:f>INDEX('Specialisation Impact'!$AA$19:$AA$186,MATCH(A137,'Specialisation Impact'!$AO$19:$AO$186,0))</x:f>
        <x:v>Recorded skills only</x:v>
      </x:c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</x:row>
    <x:row r="138">
      <x:c r="A138" s="618" t="n">
        <x:v>122</x:v>
      </x:c>
      <x:c r="B138" s="618" t="n">
        <x:f>INDEX('Specialisation Impact'!$AN$19:$AN$186,MATCH(A138,'Specialisation Impact'!$AO$19:$AO$186,0))</x:f>
        <x:v>11</x:v>
      </x:c>
      <x:c r="C138" s="618" t="str">
        <x:f>INDEX('Specialisation Impact'!$A$19:$A$186,MATCH(A138,'Specialisation Impact'!$AO$19:$AO$186,0))</x:f>
        <x:v>K197</x:v>
      </x:c>
      <x:c r="D138" s="618" t="str">
        <x:v>ღbaby买买买ღ</x:v>
      </x:c>
      <x:c r="E138" s="623" t="n">
        <x:f>INDEX('Specialisation Impact'!$AM$19:$AM$186,MATCH(A138,'Specialisation Impact'!$AO$19:$AO$186,0))</x:f>
        <x:v>30.311688311688314</x:v>
      </x:c>
      <x:c r="F138" s="623" t="n">
        <x:f>INDEX('Specialisation Impact'!$AC$19:$AC$186,MATCH(A138,'Specialisation Impact'!$AO$19:$AO$186,0))</x:f>
        <x:v>18.051948051948052</x:v>
      </x:c>
      <x:c r="G138" s="623" t="n">
        <x:f>INDEX('Specialisation Impact'!$AF$19:$AF$186,MATCH(A138,'Specialisation Impact'!$AO$19:$AO$186,0))</x:f>
        <x:v>81.42857142857143</x:v>
      </x:c>
      <x:c r="H138" s="623" t="n">
        <x:f>INDEX('Specialisation Impact'!$AI$19:$AI$186,MATCH(A138,'Specialisation Impact'!$AO$19:$AO$186,0))</x:f>
        <x:v>36.23376623376623</x:v>
      </x:c>
      <x:c r="I138" s="623" t="n">
        <x:f>INDEX('Specialisation Impact'!$AK$19:$AK$186,MATCH(A138,'Specialisation Impact'!$AO$19:$AO$186,0))</x:f>
        <x:v>50</x:v>
      </x:c>
      <x:c r="J138" s="618" t="n">
        <x:f>INDEX('Specialisation Impact'!$E$19:$E$186,MATCH(A138,'Specialisation Impact'!$AO$19:$AO$186,0))</x:f>
        <x:v>1</x:v>
      </x:c>
      <x:c r="K138" s="631" t="n">
        <x:f>INDEX('Specialisation Impact'!$O$19:$O$186,MATCH(A138,'Specialisation Impact'!$AO$19:$AO$186,0))</x:f>
        <x:v>10334300</x:v>
      </x:c>
      <x:c r="L138" s="627" t="n">
        <x:f>INDEX('Specialisation Impact'!$F$19:$F$186,MATCH(A138,'Specialisation Impact'!$AO$19:$AO$186,0))</x:f>
        <x:v>0.5</x:v>
      </x:c>
      <x:c r="M138" s="618" t="str">
        <x:f>INDEX('Specialisation Impact'!$AA$19:$AA$186,MATCH(A138,'Specialisation Impact'!$AO$19:$AO$186,0))</x:f>
        <x:v>Review missing level</x:v>
      </x:c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</x:row>
    <x:row r="139">
      <x:c r="A139" s="617" t="n">
        <x:v>123</x:v>
      </x:c>
      <x:c r="B139" s="617" t="n">
        <x:f>INDEX('Specialisation Impact'!$AN$19:$AN$186,MATCH(A139,'Specialisation Impact'!$AO$19:$AO$186,0))</x:f>
        <x:v>12</x:v>
      </x:c>
      <x:c r="C139" s="617" t="str">
        <x:f>INDEX('Specialisation Impact'!$A$19:$A$186,MATCH(A139,'Specialisation Impact'!$AO$19:$AO$186,0))</x:f>
        <x:v>K197</x:v>
      </x:c>
      <x:c r="D139" s="617" t="str">
        <x:v>Viking</x:v>
      </x:c>
      <x:c r="E139" s="622" t="n">
        <x:f>INDEX('Specialisation Impact'!$AM$19:$AM$186,MATCH(A139,'Specialisation Impact'!$AO$19:$AO$186,0))</x:f>
        <x:v>30.311688311688314</x:v>
      </x:c>
      <x:c r="F139" s="622" t="n">
        <x:f>INDEX('Specialisation Impact'!$AC$19:$AC$186,MATCH(A139,'Specialisation Impact'!$AO$19:$AO$186,0))</x:f>
        <x:v>18.051948051948052</x:v>
      </x:c>
      <x:c r="G139" s="622" t="n">
        <x:f>INDEX('Specialisation Impact'!$AF$19:$AF$186,MATCH(A139,'Specialisation Impact'!$AO$19:$AO$186,0))</x:f>
        <x:v>81.42857142857143</x:v>
      </x:c>
      <x:c r="H139" s="622" t="n">
        <x:f>INDEX('Specialisation Impact'!$AI$19:$AI$186,MATCH(A139,'Specialisation Impact'!$AO$19:$AO$186,0))</x:f>
        <x:v>36.23376623376623</x:v>
      </x:c>
      <x:c r="I139" s="622" t="n">
        <x:f>INDEX('Specialisation Impact'!$AK$19:$AK$186,MATCH(A139,'Specialisation Impact'!$AO$19:$AO$186,0))</x:f>
        <x:v>50</x:v>
      </x:c>
      <x:c r="J139" s="617" t="n">
        <x:f>INDEX('Specialisation Impact'!$E$19:$E$186,MATCH(A139,'Specialisation Impact'!$AO$19:$AO$186,0))</x:f>
        <x:v>1</x:v>
      </x:c>
      <x:c r="K139" s="632" t="n">
        <x:f>INDEX('Specialisation Impact'!$O$19:$O$186,MATCH(A139,'Specialisation Impact'!$AO$19:$AO$186,0))</x:f>
        <x:v>10334300</x:v>
      </x:c>
      <x:c r="L139" s="626" t="n">
        <x:f>INDEX('Specialisation Impact'!$F$19:$F$186,MATCH(A139,'Specialisation Impact'!$AO$19:$AO$186,0))</x:f>
        <x:v>1</x:v>
      </x:c>
      <x:c r="M139" s="617" t="str">
        <x:f>INDEX('Specialisation Impact'!$AA$19:$AA$186,MATCH(A139,'Specialisation Impact'!$AO$19:$AO$186,0))</x:f>
        <x:v>Recorded skills only</x:v>
      </x:c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</x:row>
    <x:row r="140">
      <x:c r="A140" s="618" t="n">
        <x:v>124</x:v>
      </x:c>
      <x:c r="B140" s="618" t="n">
        <x:f>INDEX('Specialisation Impact'!$AN$19:$AN$186,MATCH(A140,'Specialisation Impact'!$AO$19:$AO$186,0))</x:f>
        <x:v>20</x:v>
      </x:c>
      <x:c r="C140" s="618" t="str">
        <x:f>INDEX('Specialisation Impact'!$A$19:$A$186,MATCH(A140,'Specialisation Impact'!$AO$19:$AO$186,0))</x:f>
        <x:v>K170</x:v>
      </x:c>
      <x:c r="D140" s="618" t="str">
        <x:v>(AOT)Matis</x:v>
      </x:c>
      <x:c r="E140" s="623" t="n">
        <x:f>INDEX('Specialisation Impact'!$AM$19:$AM$186,MATCH(A140,'Specialisation Impact'!$AO$19:$AO$186,0))</x:f>
        <x:v>29.783660783660785</x:v>
      </x:c>
      <x:c r="F140" s="623" t="n">
        <x:f>INDEX('Specialisation Impact'!$AC$19:$AC$186,MATCH(A140,'Specialisation Impact'!$AO$19:$AO$186,0))</x:f>
        <x:v>23.766233766233768</x:v>
      </x:c>
      <x:c r="G140" s="623" t="n">
        <x:f>INDEX('Specialisation Impact'!$AF$19:$AF$186,MATCH(A140,'Specialisation Impact'!$AO$19:$AO$186,0))</x:f>
        <x:v>21.948051948051948</x:v>
      </x:c>
      <x:c r="H140" s="623" t="n">
        <x:f>INDEX('Specialisation Impact'!$AI$19:$AI$186,MATCH(A140,'Specialisation Impact'!$AO$19:$AO$186,0))</x:f>
        <x:v>27.662337662337663</x:v>
      </x:c>
      <x:c r="I140" s="623" t="n">
        <x:f>INDEX('Specialisation Impact'!$AK$19:$AK$186,MATCH(A140,'Specialisation Impact'!$AO$19:$AO$186,0))</x:f>
        <x:v>79.91452991452991</x:v>
      </x:c>
      <x:c r="J140" s="618" t="n">
        <x:f>INDEX('Specialisation Impact'!$E$19:$E$186,MATCH(A140,'Specialisation Impact'!$AO$19:$AO$186,0))</x:f>
        <x:v>2</x:v>
      </x:c>
      <x:c r="K140" s="631" t="n">
        <x:f>INDEX('Specialisation Impact'!$O$19:$O$186,MATCH(A140,'Specialisation Impact'!$AO$19:$AO$186,0))</x:f>
        <x:v>10397900</x:v>
      </x:c>
      <x:c r="L140" s="627" t="n">
        <x:f>INDEX('Specialisation Impact'!$F$19:$F$186,MATCH(A140,'Specialisation Impact'!$AO$19:$AO$186,0))</x:f>
        <x:v>1</x:v>
      </x:c>
      <x:c r="M140" s="618" t="str">
        <x:f>INDEX('Specialisation Impact'!$AA$19:$AA$186,MATCH(A140,'Specialisation Impact'!$AO$19:$AO$186,0))</x:f>
        <x:v>Recorded skills only</x:v>
      </x:c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</x:row>
    <x:row r="141">
      <x:c r="A141" s="617" t="n">
        <x:v>125</x:v>
      </x:c>
      <x:c r="B141" s="617" t="n">
        <x:f>INDEX('Specialisation Impact'!$AN$19:$AN$186,MATCH(A141,'Specialisation Impact'!$AO$19:$AO$186,0))</x:f>
        <x:v>18</x:v>
      </x:c>
      <x:c r="C141" s="617" t="str">
        <x:f>INDEX('Specialisation Impact'!$A$19:$A$186,MATCH(A141,'Specialisation Impact'!$AO$19:$AO$186,0))</x:f>
        <x:v>K138</x:v>
      </x:c>
      <x:c r="D141" s="617" t="str">
        <x:v>(RaW)༺JOJO༻</x:v>
      </x:c>
      <x:c r="E141" s="622" t="n">
        <x:f>INDEX('Specialisation Impact'!$AM$19:$AM$186,MATCH(A141,'Specialisation Impact'!$AO$19:$AO$186,0))</x:f>
        <x:v>29.694472194472194</x:v>
      </x:c>
      <x:c r="F141" s="622" t="n">
        <x:f>INDEX('Specialisation Impact'!$AC$19:$AC$186,MATCH(A141,'Specialisation Impact'!$AO$19:$AO$186,0))</x:f>
        <x:v>23.051948051948052</x:v>
      </x:c>
      <x:c r="G141" s="622" t="n">
        <x:f>INDEX('Specialisation Impact'!$AF$19:$AF$186,MATCH(A141,'Specialisation Impact'!$AO$19:$AO$186,0))</x:f>
        <x:v>44.09090909090909</x:v>
      </x:c>
      <x:c r="H141" s="622" t="n">
        <x:f>INDEX('Specialisation Impact'!$AI$19:$AI$186,MATCH(A141,'Specialisation Impact'!$AO$19:$AO$186,0))</x:f>
        <x:v>28.506493506493506</x:v>
      </x:c>
      <x:c r="I141" s="622" t="n">
        <x:f>INDEX('Specialisation Impact'!$AK$19:$AK$186,MATCH(A141,'Specialisation Impact'!$AO$19:$AO$186,0))</x:f>
        <x:v>60.25641025641025</x:v>
      </x:c>
      <x:c r="J141" s="617" t="n">
        <x:f>INDEX('Specialisation Impact'!$E$19:$E$186,MATCH(A141,'Specialisation Impact'!$AO$19:$AO$186,0))</x:f>
        <x:v>2</x:v>
      </x:c>
      <x:c r="K141" s="632" t="n">
        <x:f>INDEX('Specialisation Impact'!$O$19:$O$186,MATCH(A141,'Specialisation Impact'!$AO$19:$AO$186,0))</x:f>
        <x:v>9052900</x:v>
      </x:c>
      <x:c r="L141" s="626" t="n">
        <x:f>INDEX('Specialisation Impact'!$F$19:$F$186,MATCH(A141,'Specialisation Impact'!$AO$19:$AO$186,0))</x:f>
        <x:v>1</x:v>
      </x:c>
      <x:c r="M141" s="617" t="str">
        <x:f>INDEX('Specialisation Impact'!$AA$19:$AA$186,MATCH(A141,'Specialisation Impact'!$AO$19:$AO$186,0))</x:f>
        <x:v>Recorded skills only</x:v>
      </x:c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</x:row>
    <x:row r="142">
      <x:c r="A142" s="618" t="n">
        <x:v>126</x:v>
      </x:c>
      <x:c r="B142" s="618" t="n">
        <x:f>INDEX('Specialisation Impact'!$AN$19:$AN$186,MATCH(A142,'Specialisation Impact'!$AO$19:$AO$186,0))</x:f>
        <x:v>25</x:v>
      </x:c>
      <x:c r="C142" s="618" t="str">
        <x:f>INDEX('Specialisation Impact'!$A$19:$A$186,MATCH(A142,'Specialisation Impact'!$AO$19:$AO$186,0))</x:f>
        <x:v>K60</x:v>
      </x:c>
      <x:c r="D142" s="618" t="str">
        <x:v>MoonLight</x:v>
      </x:c>
      <x:c r="E142" s="623" t="n">
        <x:f>INDEX('Specialisation Impact'!$AM$19:$AM$186,MATCH(A142,'Specialisation Impact'!$AO$19:$AO$186,0))</x:f>
        <x:v>29.533133533133537</x:v>
      </x:c>
      <x:c r="F142" s="623" t="n">
        <x:f>INDEX('Specialisation Impact'!$AC$19:$AC$186,MATCH(A142,'Specialisation Impact'!$AO$19:$AO$186,0))</x:f>
        <x:v>27.01298701298702</x:v>
      </x:c>
      <x:c r="G142" s="623" t="n">
        <x:f>INDEX('Specialisation Impact'!$AF$19:$AF$186,MATCH(A142,'Specialisation Impact'!$AO$19:$AO$186,0))</x:f>
        <x:v>45.45454545454546</x:v>
      </x:c>
      <x:c r="H142" s="623" t="n">
        <x:f>INDEX('Specialisation Impact'!$AI$19:$AI$186,MATCH(A142,'Specialisation Impact'!$AO$19:$AO$186,0))</x:f>
        <x:v>29.870129870129873</x:v>
      </x:c>
      <x:c r="I142" s="623" t="n">
        <x:f>INDEX('Specialisation Impact'!$AK$19:$AK$186,MATCH(A142,'Specialisation Impact'!$AO$19:$AO$186,0))</x:f>
        <x:v>29.48717948717949</x:v>
      </x:c>
      <x:c r="J142" s="618" t="n">
        <x:f>INDEX('Specialisation Impact'!$E$19:$E$186,MATCH(A142,'Specialisation Impact'!$AO$19:$AO$186,0))</x:f>
        <x:v>2</x:v>
      </x:c>
      <x:c r="K142" s="631" t="n">
        <x:f>INDEX('Specialisation Impact'!$O$19:$O$186,MATCH(A142,'Specialisation Impact'!$AO$19:$AO$186,0))</x:f>
        <x:v>8012900</x:v>
      </x:c>
      <x:c r="L142" s="627" t="n">
        <x:f>INDEX('Specialisation Impact'!$F$19:$F$186,MATCH(A142,'Specialisation Impact'!$AO$19:$AO$186,0))</x:f>
        <x:v>1</x:v>
      </x:c>
      <x:c r="M142" s="618" t="str">
        <x:f>INDEX('Specialisation Impact'!$AA$19:$AA$186,MATCH(A142,'Specialisation Impact'!$AO$19:$AO$186,0))</x:f>
        <x:v>Recorded skills only</x:v>
      </x:c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</x:row>
    <x:row r="143">
      <x:c r="A143" s="617" t="n">
        <x:v>127</x:v>
      </x:c>
      <x:c r="B143" s="617" t="n">
        <x:f>INDEX('Specialisation Impact'!$AN$19:$AN$186,MATCH(A143,'Specialisation Impact'!$AO$19:$AO$186,0))</x:f>
        <x:v>19</x:v>
      </x:c>
      <x:c r="C143" s="617" t="str">
        <x:f>INDEX('Specialisation Impact'!$A$19:$A$186,MATCH(A143,'Specialisation Impact'!$AO$19:$AO$186,0))</x:f>
        <x:v>K138</x:v>
      </x:c>
      <x:c r="D143" s="617" t="str">
        <x:v>(RaW)MARYEL</x:v>
      </x:c>
      <x:c r="E143" s="622" t="n">
        <x:f>INDEX('Specialisation Impact'!$AM$19:$AM$186,MATCH(A143,'Specialisation Impact'!$AO$19:$AO$186,0))</x:f>
        <x:v>29.52403152403153</x:v>
      </x:c>
      <x:c r="F143" s="622" t="n">
        <x:f>INDEX('Specialisation Impact'!$AC$19:$AC$186,MATCH(A143,'Specialisation Impact'!$AO$19:$AO$186,0))</x:f>
        <x:v>19.480519480519483</x:v>
      </x:c>
      <x:c r="G143" s="622" t="n">
        <x:f>INDEX('Specialisation Impact'!$AF$19:$AF$186,MATCH(A143,'Specialisation Impact'!$AO$19:$AO$186,0))</x:f>
        <x:v>34.54545454545455</x:v>
      </x:c>
      <x:c r="H143" s="622" t="n">
        <x:f>INDEX('Specialisation Impact'!$AI$19:$AI$186,MATCH(A143,'Specialisation Impact'!$AO$19:$AO$186,0))</x:f>
        <x:v>27.272727272727273</x:v>
      </x:c>
      <x:c r="I143" s="622" t="n">
        <x:f>INDEX('Specialisation Impact'!$AK$19:$AK$186,MATCH(A143,'Specialisation Impact'!$AO$19:$AO$186,0))</x:f>
        <x:v>93.16239316239316</x:v>
      </x:c>
      <x:c r="J143" s="617" t="n">
        <x:f>INDEX('Specialisation Impact'!$E$19:$E$186,MATCH(A143,'Specialisation Impact'!$AO$19:$AO$186,0))</x:f>
        <x:v>2</x:v>
      </x:c>
      <x:c r="K143" s="632" t="n">
        <x:f>INDEX('Specialisation Impact'!$O$19:$O$186,MATCH(A143,'Specialisation Impact'!$AO$19:$AO$186,0))</x:f>
        <x:v>13272900</x:v>
      </x:c>
      <x:c r="L143" s="626" t="n">
        <x:f>INDEX('Specialisation Impact'!$F$19:$F$186,MATCH(A143,'Specialisation Impact'!$AO$19:$AO$186,0))</x:f>
        <x:v>1</x:v>
      </x:c>
      <x:c r="M143" s="617" t="str">
        <x:f>INDEX('Specialisation Impact'!$AA$19:$AA$186,MATCH(A143,'Specialisation Impact'!$AO$19:$AO$186,0))</x:f>
        <x:v>Recorded skills only</x:v>
      </x:c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</x:row>
    <x:row r="144">
      <x:c r="A144" s="618" t="n">
        <x:v>128</x:v>
      </x:c>
      <x:c r="B144" s="618" t="n">
        <x:f>INDEX('Specialisation Impact'!$AN$19:$AN$186,MATCH(A144,'Specialisation Impact'!$AO$19:$AO$186,0))</x:f>
        <x:v>11</x:v>
      </x:c>
      <x:c r="C144" s="618" t="str">
        <x:f>INDEX('Specialisation Impact'!$A$19:$A$186,MATCH(A144,'Specialisation Impact'!$AO$19:$AO$186,0))</x:f>
        <x:v>K91</x:v>
      </x:c>
      <x:c r="D144" s="618" t="str">
        <x:v>Nixxx</x:v>
      </x:c>
      <x:c r="E144" s="623" t="n">
        <x:f>INDEX('Specialisation Impact'!$AM$19:$AM$186,MATCH(A144,'Specialisation Impact'!$AO$19:$AO$186,0))</x:f>
        <x:v>29.393661893661896</x:v>
      </x:c>
      <x:c r="F144" s="623" t="n">
        <x:f>INDEX('Specialisation Impact'!$AC$19:$AC$186,MATCH(A144,'Specialisation Impact'!$AO$19:$AO$186,0))</x:f>
        <x:v>20.974025974025977</x:v>
      </x:c>
      <x:c r="G144" s="623" t="n">
        <x:f>INDEX('Specialisation Impact'!$AF$19:$AF$186,MATCH(A144,'Specialisation Impact'!$AO$19:$AO$186,0))</x:f>
        <x:v>90.32467532467534</x:v>
      </x:c>
      <x:c r="H144" s="623" t="n">
        <x:f>INDEX('Specialisation Impact'!$AI$19:$AI$186,MATCH(A144,'Specialisation Impact'!$AO$19:$AO$186,0))</x:f>
        <x:v>39.15584415584416</x:v>
      </x:c>
      <x:c r="I144" s="623" t="n">
        <x:f>INDEX('Specialisation Impact'!$AK$19:$AK$186,MATCH(A144,'Specialisation Impact'!$AO$19:$AO$186,0))</x:f>
        <x:v>8.547008547008547</x:v>
      </x:c>
      <x:c r="J144" s="618" t="n">
        <x:f>INDEX('Specialisation Impact'!$E$19:$E$186,MATCH(A144,'Specialisation Impact'!$AO$19:$AO$186,0))</x:f>
        <x:v>2</x:v>
      </x:c>
      <x:c r="K144" s="631" t="n">
        <x:f>INDEX('Specialisation Impact'!$O$19:$O$186,MATCH(A144,'Specialisation Impact'!$AO$19:$AO$186,0))</x:f>
        <x:v>13352900</x:v>
      </x:c>
      <x:c r="L144" s="627" t="n">
        <x:f>INDEX('Specialisation Impact'!$F$19:$F$186,MATCH(A144,'Specialisation Impact'!$AO$19:$AO$186,0))</x:f>
        <x:v>1</x:v>
      </x:c>
      <x:c r="M144" s="618" t="str">
        <x:f>INDEX('Specialisation Impact'!$AA$19:$AA$186,MATCH(A144,'Specialisation Impact'!$AO$19:$AO$186,0))</x:f>
        <x:v>Recorded skills only</x:v>
      </x:c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</x:row>
    <x:row r="145">
      <x:c r="A145" s="617" t="n">
        <x:v>129</x:v>
      </x:c>
      <x:c r="B145" s="617" t="n">
        <x:f>INDEX('Specialisation Impact'!$AN$19:$AN$186,MATCH(A145,'Specialisation Impact'!$AO$19:$AO$186,0))</x:f>
        <x:v>12</x:v>
      </x:c>
      <x:c r="C145" s="617" t="str">
        <x:f>INDEX('Specialisation Impact'!$A$19:$A$186,MATCH(A145,'Specialisation Impact'!$AO$19:$AO$186,0))</x:f>
        <x:v>K91</x:v>
      </x:c>
      <x:c r="D145" s="617" t="str">
        <x:v>•BigBoss•NM85</x:v>
      </x:c>
      <x:c r="E145" s="622" t="n">
        <x:f>INDEX('Specialisation Impact'!$AM$19:$AM$186,MATCH(A145,'Specialisation Impact'!$AO$19:$AO$186,0))</x:f>
        <x:v>28.33522033522034</x:v>
      </x:c>
      <x:c r="F145" s="622" t="n">
        <x:f>INDEX('Specialisation Impact'!$AC$19:$AC$186,MATCH(A145,'Specialisation Impact'!$AO$19:$AO$186,0))</x:f>
        <x:v>20</x:v>
      </x:c>
      <x:c r="G145" s="622" t="n">
        <x:f>INDEX('Specialisation Impact'!$AF$19:$AF$186,MATCH(A145,'Specialisation Impact'!$AO$19:$AO$186,0))</x:f>
        <x:v>87.53246753246754</x:v>
      </x:c>
      <x:c r="H145" s="622" t="n">
        <x:f>INDEX('Specialisation Impact'!$AI$19:$AI$186,MATCH(A145,'Specialisation Impact'!$AO$19:$AO$186,0))</x:f>
        <x:v>38.18181818181819</x:v>
      </x:c>
      <x:c r="I145" s="622" t="n">
        <x:f>INDEX('Specialisation Impact'!$AK$19:$AK$186,MATCH(A145,'Specialisation Impact'!$AO$19:$AO$186,0))</x:f>
        <x:v>8.547008547008547</x:v>
      </x:c>
      <x:c r="J145" s="617" t="n">
        <x:f>INDEX('Specialisation Impact'!$E$19:$E$186,MATCH(A145,'Specialisation Impact'!$AO$19:$AO$186,0))</x:f>
        <x:v>2</x:v>
      </x:c>
      <x:c r="K145" s="632" t="n">
        <x:f>INDEX('Specialisation Impact'!$O$19:$O$186,MATCH(A145,'Specialisation Impact'!$AO$19:$AO$186,0))</x:f>
        <x:v>12182900</x:v>
      </x:c>
      <x:c r="L145" s="626" t="n">
        <x:f>INDEX('Specialisation Impact'!$F$19:$F$186,MATCH(A145,'Specialisation Impact'!$AO$19:$AO$186,0))</x:f>
        <x:v>1</x:v>
      </x:c>
      <x:c r="M145" s="617" t="str">
        <x:f>INDEX('Specialisation Impact'!$AA$19:$AA$186,MATCH(A145,'Specialisation Impact'!$AO$19:$AO$186,0))</x:f>
        <x:v>Recorded skills only</x:v>
      </x:c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</x:row>
    <x:row r="146">
      <x:c r="A146" s="618" t="n">
        <x:v>130</x:v>
      </x:c>
      <x:c r="B146" s="618" t="n">
        <x:f>INDEX('Specialisation Impact'!$AN$19:$AN$186,MATCH(A146,'Specialisation Impact'!$AO$19:$AO$186,0))</x:f>
        <x:v>13</x:v>
      </x:c>
      <x:c r="C146" s="618" t="str">
        <x:f>INDEX('Specialisation Impact'!$A$19:$A$186,MATCH(A146,'Specialisation Impact'!$AO$19:$AO$186,0))</x:f>
        <x:v>K197</x:v>
      </x:c>
      <x:c r="D146" s="618" t="str">
        <x:v>Oiuuuuuuuuuuuuu</x:v>
      </x:c>
      <x:c r="E146" s="623" t="n">
        <x:f>INDEX('Specialisation Impact'!$AM$19:$AM$186,MATCH(A146,'Specialisation Impact'!$AO$19:$AO$186,0))</x:f>
        <x:v>28.260406260406263</x:v>
      </x:c>
      <x:c r="F146" s="623" t="n">
        <x:f>INDEX('Specialisation Impact'!$AC$19:$AC$186,MATCH(A146,'Specialisation Impact'!$AO$19:$AO$186,0))</x:f>
        <x:v>18.051948051948052</x:v>
      </x:c>
      <x:c r="G146" s="623" t="n">
        <x:f>INDEX('Specialisation Impact'!$AF$19:$AF$186,MATCH(A146,'Specialisation Impact'!$AO$19:$AO$186,0))</x:f>
        <x:v>81.42857142857143</x:v>
      </x:c>
      <x:c r="H146" s="623" t="n">
        <x:f>INDEX('Specialisation Impact'!$AI$19:$AI$186,MATCH(A146,'Specialisation Impact'!$AO$19:$AO$186,0))</x:f>
        <x:v>36.23376623376623</x:v>
      </x:c>
      <x:c r="I146" s="623" t="n">
        <x:f>INDEX('Specialisation Impact'!$AK$19:$AK$186,MATCH(A146,'Specialisation Impact'!$AO$19:$AO$186,0))</x:f>
        <x:v>29.48717948717949</x:v>
      </x:c>
      <x:c r="J146" s="618" t="n">
        <x:f>INDEX('Specialisation Impact'!$E$19:$E$186,MATCH(A146,'Specialisation Impact'!$AO$19:$AO$186,0))</x:f>
        <x:v>1</x:v>
      </x:c>
      <x:c r="K146" s="631" t="n">
        <x:f>INDEX('Specialisation Impact'!$O$19:$O$186,MATCH(A146,'Specialisation Impact'!$AO$19:$AO$186,0))</x:f>
        <x:v>12578600</x:v>
      </x:c>
      <x:c r="L146" s="627" t="n">
        <x:f>INDEX('Specialisation Impact'!$F$19:$F$186,MATCH(A146,'Specialisation Impact'!$AO$19:$AO$186,0))</x:f>
        <x:v>1</x:v>
      </x:c>
      <x:c r="M146" s="618" t="str">
        <x:f>INDEX('Specialisation Impact'!$AA$19:$AA$186,MATCH(A146,'Specialisation Impact'!$AO$19:$AO$186,0))</x:f>
        <x:v>Recorded skills only</x:v>
      </x:c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</x:row>
    <x:row r="147">
      <x:c r="A147" s="617" t="n">
        <x:v>131</x:v>
      </x:c>
      <x:c r="B147" s="617" t="n">
        <x:f>INDEX('Specialisation Impact'!$AN$19:$AN$186,MATCH(A147,'Specialisation Impact'!$AO$19:$AO$186,0))</x:f>
        <x:v>11</x:v>
      </x:c>
      <x:c r="C147" s="617" t="str">
        <x:f>INDEX('Specialisation Impact'!$A$19:$A$186,MATCH(A147,'Specialisation Impact'!$AO$19:$AO$186,0))</x:f>
        <x:v>K116</x:v>
      </x:c>
      <x:c r="D147" s="617" t="str">
        <x:v>ALI</x:v>
      </x:c>
      <x:c r="E147" s="622" t="n">
        <x:f>INDEX('Specialisation Impact'!$AM$19:$AM$186,MATCH(A147,'Specialisation Impact'!$AO$19:$AO$186,0))</x:f>
        <x:v>27.704517704517706</x:v>
      </x:c>
      <x:c r="F147" s="622" t="n">
        <x:f>INDEX('Specialisation Impact'!$AC$19:$AC$186,MATCH(A147,'Specialisation Impact'!$AO$19:$AO$186,0))</x:f>
        <x:v>11.81818181818182</x:v>
      </x:c>
      <x:c r="G147" s="622" t="n">
        <x:f>INDEX('Specialisation Impact'!$AF$19:$AF$186,MATCH(A147,'Specialisation Impact'!$AO$19:$AO$186,0))</x:f>
        <x:v>71.03896103896105</x:v>
      </x:c>
      <x:c r="H147" s="622" t="n">
        <x:f>INDEX('Specialisation Impact'!$AI$19:$AI$186,MATCH(A147,'Specialisation Impact'!$AO$19:$AO$186,0))</x:f>
        <x:v>30</x:v>
      </x:c>
      <x:c r="I147" s="622" t="n">
        <x:f>INDEX('Specialisation Impact'!$AK$19:$AK$186,MATCH(A147,'Specialisation Impact'!$AO$19:$AO$186,0))</x:f>
        <x:v>84.18803418803418</x:v>
      </x:c>
      <x:c r="J147" s="617" t="n">
        <x:f>INDEX('Specialisation Impact'!$E$19:$E$186,MATCH(A147,'Specialisation Impact'!$AO$19:$AO$186,0))</x:f>
        <x:v>2</x:v>
      </x:c>
      <x:c r="K147" s="632" t="n">
        <x:f>INDEX('Specialisation Impact'!$O$19:$O$186,MATCH(A147,'Specialisation Impact'!$AO$19:$AO$186,0))</x:f>
        <x:v>14112900</x:v>
      </x:c>
      <x:c r="L147" s="626" t="n">
        <x:f>INDEX('Specialisation Impact'!$F$19:$F$186,MATCH(A147,'Specialisation Impact'!$AO$19:$AO$186,0))</x:f>
        <x:v>1</x:v>
      </x:c>
      <x:c r="M147" s="617" t="str">
        <x:f>INDEX('Specialisation Impact'!$AA$19:$AA$186,MATCH(A147,'Specialisation Impact'!$AO$19:$AO$186,0))</x:f>
        <x:v>Recorded skills only</x:v>
      </x:c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</x:row>
    <x:row r="148">
      <x:c r="A148" s="618" t="n">
        <x:v>132</x:v>
      </x:c>
      <x:c r="B148" s="618" t="n">
        <x:f>INDEX('Specialisation Impact'!$AN$19:$AN$186,MATCH(A148,'Specialisation Impact'!$AO$19:$AO$186,0))</x:f>
        <x:v>13</x:v>
      </x:c>
      <x:c r="C148" s="618" t="str">
        <x:f>INDEX('Specialisation Impact'!$A$19:$A$186,MATCH(A148,'Specialisation Impact'!$AO$19:$AO$186,0))</x:f>
        <x:v>K91</x:v>
      </x:c>
      <x:c r="D148" s="618" t="str">
        <x:v>AMANTIS</x:v>
      </x:c>
      <x:c r="E148" s="623" t="n">
        <x:f>INDEX('Specialisation Impact'!$AM$19:$AM$186,MATCH(A148,'Specialisation Impact'!$AO$19:$AO$186,0))</x:f>
        <x:v>27.02597402597403</x:v>
      </x:c>
      <x:c r="F148" s="623" t="n">
        <x:f>INDEX('Specialisation Impact'!$AC$19:$AC$186,MATCH(A148,'Specialisation Impact'!$AO$19:$AO$186,0))</x:f>
        <x:v>19.61038961038961</x:v>
      </x:c>
      <x:c r="G148" s="623" t="n">
        <x:f>INDEX('Specialisation Impact'!$AF$19:$AF$186,MATCH(A148,'Specialisation Impact'!$AO$19:$AO$186,0))</x:f>
        <x:v>86.10389610389612</x:v>
      </x:c>
      <x:c r="H148" s="623" t="n">
        <x:f>INDEX('Specialisation Impact'!$AI$19:$AI$186,MATCH(A148,'Specialisation Impact'!$AO$19:$AO$186,0))</x:f>
        <x:v>37.79220779220779</x:v>
      </x:c>
      <x:c r="I148" s="623" t="n">
        <x:f>INDEX('Specialisation Impact'!$AK$19:$AK$186,MATCH(A148,'Specialisation Impact'!$AO$19:$AO$186,0))</x:f>
        <x:v>0</x:v>
      </x:c>
      <x:c r="J148" s="618" t="n">
        <x:f>INDEX('Specialisation Impact'!$E$19:$E$186,MATCH(A148,'Specialisation Impact'!$AO$19:$AO$186,0))</x:f>
        <x:v>2</x:v>
      </x:c>
      <x:c r="K148" s="631" t="n">
        <x:f>INDEX('Specialisation Impact'!$O$19:$O$186,MATCH(A148,'Specialisation Impact'!$AO$19:$AO$186,0))</x:f>
        <x:v>11180400</x:v>
      </x:c>
      <x:c r="L148" s="627" t="n">
        <x:f>INDEX('Specialisation Impact'!$F$19:$F$186,MATCH(A148,'Specialisation Impact'!$AO$19:$AO$186,0))</x:f>
        <x:v>1</x:v>
      </x:c>
      <x:c r="M148" s="618" t="str">
        <x:f>INDEX('Specialisation Impact'!$AA$19:$AA$186,MATCH(A148,'Specialisation Impact'!$AO$19:$AO$186,0))</x:f>
        <x:v>Recorded skills only</x:v>
      </x:c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</x:row>
    <x:row r="149">
      <x:c r="A149" s="617" t="n">
        <x:v>133</x:v>
      </x:c>
      <x:c r="B149" s="617" t="n">
        <x:f>INDEX('Specialisation Impact'!$AN$19:$AN$186,MATCH(A149,'Specialisation Impact'!$AO$19:$AO$186,0))</x:f>
        <x:v>20</x:v>
      </x:c>
      <x:c r="C149" s="617" t="str">
        <x:f>INDEX('Specialisation Impact'!$A$19:$A$186,MATCH(A149,'Specialisation Impact'!$AO$19:$AO$186,0))</x:f>
        <x:v>K138</x:v>
      </x:c>
      <x:c r="D149" s="617" t="str">
        <x:v>(RaW)༺TsuStark༻</x:v>
      </x:c>
      <x:c r="E149" s="622" t="n">
        <x:f>INDEX('Specialisation Impact'!$AM$19:$AM$186,MATCH(A149,'Specialisation Impact'!$AO$19:$AO$186,0))</x:f>
        <x:v>26.644688644688642</x:v>
      </x:c>
      <x:c r="F149" s="622" t="n">
        <x:f>INDEX('Specialisation Impact'!$AC$19:$AC$186,MATCH(A149,'Specialisation Impact'!$AO$19:$AO$186,0))</x:f>
        <x:v>26.233766233766236</x:v>
      </x:c>
      <x:c r="G149" s="622" t="n">
        <x:f>INDEX('Specialisation Impact'!$AF$19:$AF$186,MATCH(A149,'Specialisation Impact'!$AO$19:$AO$186,0))</x:f>
        <x:v>10.649350649350652</x:v>
      </x:c>
      <x:c r="H149" s="622" t="n">
        <x:f>INDEX('Specialisation Impact'!$AI$19:$AI$186,MATCH(A149,'Specialisation Impact'!$AO$19:$AO$186,0))</x:f>
        <x:v>27.792207792207794</x:v>
      </x:c>
      <x:c r="I149" s="622" t="n">
        <x:f>INDEX('Specialisation Impact'!$AK$19:$AK$186,MATCH(A149,'Specialisation Impact'!$AO$19:$AO$186,0))</x:f>
        <x:v>43.58974358974359</x:v>
      </x:c>
      <x:c r="J149" s="617" t="n">
        <x:f>INDEX('Specialisation Impact'!$E$19:$E$186,MATCH(A149,'Specialisation Impact'!$AO$19:$AO$186,0))</x:f>
        <x:v>1</x:v>
      </x:c>
      <x:c r="K149" s="632" t="n">
        <x:f>INDEX('Specialisation Impact'!$O$19:$O$186,MATCH(A149,'Specialisation Impact'!$AO$19:$AO$186,0))</x:f>
        <x:v>6568600</x:v>
      </x:c>
      <x:c r="L149" s="626" t="n">
        <x:f>INDEX('Specialisation Impact'!$F$19:$F$186,MATCH(A149,'Specialisation Impact'!$AO$19:$AO$186,0))</x:f>
        <x:v>1</x:v>
      </x:c>
      <x:c r="M149" s="617" t="str">
        <x:f>INDEX('Specialisation Impact'!$AA$19:$AA$186,MATCH(A149,'Specialisation Impact'!$AO$19:$AO$186,0))</x:f>
        <x:v>Recorded skills only</x:v>
      </x:c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</x:row>
    <x:row r="150">
      <x:c r="A150" s="618" t="n">
        <x:v>134</x:v>
      </x:c>
      <x:c r="B150" s="618" t="n">
        <x:f>INDEX('Specialisation Impact'!$AN$19:$AN$186,MATCH(A150,'Specialisation Impact'!$AO$19:$AO$186,0))</x:f>
        <x:v>14</x:v>
      </x:c>
      <x:c r="C150" s="618" t="str">
        <x:f>INDEX('Specialisation Impact'!$A$19:$A$186,MATCH(A150,'Specialisation Impact'!$AO$19:$AO$186,0))</x:f>
        <x:v>K197</x:v>
      </x:c>
      <x:c r="D150" s="618" t="str">
        <x:v>†ŁØRD†</x:v>
      </x:c>
      <x:c r="E150" s="623" t="n">
        <x:f>INDEX('Specialisation Impact'!$AM$19:$AM$186,MATCH(A150,'Specialisation Impact'!$AO$19:$AO$186,0))</x:f>
        <x:v>26.324675324675322</x:v>
      </x:c>
      <x:c r="F150" s="623" t="n">
        <x:f>INDEX('Specialisation Impact'!$AC$19:$AC$186,MATCH(A150,'Specialisation Impact'!$AO$19:$AO$186,0))</x:f>
        <x:v>14.285714285714286</x:v>
      </x:c>
      <x:c r="G150" s="623" t="n">
        <x:f>INDEX('Specialisation Impact'!$AF$19:$AF$186,MATCH(A150,'Specialisation Impact'!$AO$19:$AO$186,0))</x:f>
        <x:v>71.68831168831169</x:v>
      </x:c>
      <x:c r="H150" s="623" t="n">
        <x:f>INDEX('Specialisation Impact'!$AI$19:$AI$186,MATCH(A150,'Specialisation Impact'!$AO$19:$AO$186,0))</x:f>
        <x:v>32.467532467532465</x:v>
      </x:c>
      <x:c r="I150" s="623" t="n">
        <x:f>INDEX('Specialisation Impact'!$AK$19:$AK$186,MATCH(A150,'Specialisation Impact'!$AO$19:$AO$186,0))</x:f>
        <x:v>50</x:v>
      </x:c>
      <x:c r="J150" s="618" t="n">
        <x:f>INDEX('Specialisation Impact'!$E$19:$E$186,MATCH(A150,'Specialisation Impact'!$AO$19:$AO$186,0))</x:f>
        <x:v>1</x:v>
      </x:c>
      <x:c r="K150" s="631" t="n">
        <x:f>INDEX('Specialisation Impact'!$O$19:$O$186,MATCH(A150,'Specialisation Impact'!$AO$19:$AO$186,0))</x:f>
        <x:v>8334300</x:v>
      </x:c>
      <x:c r="L150" s="627" t="n">
        <x:f>INDEX('Specialisation Impact'!$F$19:$F$186,MATCH(A150,'Specialisation Impact'!$AO$19:$AO$186,0))</x:f>
        <x:v>1</x:v>
      </x:c>
      <x:c r="M150" s="618" t="str">
        <x:f>INDEX('Specialisation Impact'!$AA$19:$AA$186,MATCH(A150,'Specialisation Impact'!$AO$19:$AO$186,0))</x:f>
        <x:v>Recorded skills only</x:v>
      </x:c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</x:row>
    <x:row r="151">
      <x:c r="A151" s="617" t="n">
        <x:v>135</x:v>
      </x:c>
      <x:c r="B151" s="617" t="n">
        <x:f>INDEX('Specialisation Impact'!$AN$19:$AN$186,MATCH(A151,'Specialisation Impact'!$AO$19:$AO$186,0))</x:f>
        <x:v>15</x:v>
      </x:c>
      <x:c r="C151" s="617" t="str">
        <x:f>INDEX('Specialisation Impact'!$A$19:$A$186,MATCH(A151,'Specialisation Impact'!$AO$19:$AO$186,0))</x:f>
        <x:v>K197</x:v>
      </x:c>
      <x:c r="D151" s="617" t="str">
        <x:v>ღ买买买babyღ</x:v>
      </x:c>
      <x:c r="E151" s="622" t="n">
        <x:f>INDEX('Specialisation Impact'!$AM$19:$AM$186,MATCH(A151,'Specialisation Impact'!$AO$19:$AO$186,0))</x:f>
        <x:v>26.16638916638917</x:v>
      </x:c>
      <x:c r="F151" s="622" t="n">
        <x:f>INDEX('Specialisation Impact'!$AC$19:$AC$186,MATCH(A151,'Specialisation Impact'!$AO$19:$AO$186,0))</x:f>
        <x:v>18.051948051948052</x:v>
      </x:c>
      <x:c r="G151" s="622" t="n">
        <x:f>INDEX('Specialisation Impact'!$AF$19:$AF$186,MATCH(A151,'Specialisation Impact'!$AO$19:$AO$186,0))</x:f>
        <x:v>81.42857142857143</x:v>
      </x:c>
      <x:c r="H151" s="622" t="n">
        <x:f>INDEX('Specialisation Impact'!$AI$19:$AI$186,MATCH(A151,'Specialisation Impact'!$AO$19:$AO$186,0))</x:f>
        <x:v>36.23376623376623</x:v>
      </x:c>
      <x:c r="I151" s="622" t="n">
        <x:f>INDEX('Specialisation Impact'!$AK$19:$AK$186,MATCH(A151,'Specialisation Impact'!$AO$19:$AO$186,0))</x:f>
        <x:v>8.547008547008547</x:v>
      </x:c>
      <x:c r="J151" s="617" t="n">
        <x:f>INDEX('Specialisation Impact'!$E$19:$E$186,MATCH(A151,'Specialisation Impact'!$AO$19:$AO$186,0))</x:f>
        <x:v>1</x:v>
      </x:c>
      <x:c r="K151" s="632" t="n">
        <x:f>INDEX('Specialisation Impact'!$O$19:$O$186,MATCH(A151,'Specialisation Impact'!$AO$19:$AO$186,0))</x:f>
        <x:v>11108600</x:v>
      </x:c>
      <x:c r="L151" s="626" t="n">
        <x:f>INDEX('Specialisation Impact'!$F$19:$F$186,MATCH(A151,'Specialisation Impact'!$AO$19:$AO$186,0))</x:f>
        <x:v>1</x:v>
      </x:c>
      <x:c r="M151" s="617" t="str">
        <x:f>INDEX('Specialisation Impact'!$AA$19:$AA$186,MATCH(A151,'Specialisation Impact'!$AO$19:$AO$186,0))</x:f>
        <x:v>Recorded skills only</x:v>
      </x:c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</x:row>
    <x:row r="152">
      <x:c r="A152" s="618" t="n">
        <x:v>136</x:v>
      </x:c>
      <x:c r="B152" s="618" t="n">
        <x:f>INDEX('Specialisation Impact'!$AN$19:$AN$186,MATCH(A152,'Specialisation Impact'!$AO$19:$AO$186,0))</x:f>
        <x:v>14</x:v>
      </x:c>
      <x:c r="C152" s="618" t="str">
        <x:f>INDEX('Specialisation Impact'!$A$19:$A$186,MATCH(A152,'Specialisation Impact'!$AO$19:$AO$186,0))</x:f>
        <x:v>K91</x:v>
      </x:c>
      <x:c r="D152" s="618" t="str">
        <x:v>A†RO/</x:v>
      </x:c>
      <x:c r="E152" s="623" t="n">
        <x:f>INDEX('Specialisation Impact'!$AM$19:$AM$186,MATCH(A152,'Specialisation Impact'!$AO$19:$AO$186,0))</x:f>
        <x:v>24.776778776778777</x:v>
      </x:c>
      <x:c r="F152" s="623" t="n">
        <x:f>INDEX('Specialisation Impact'!$AC$19:$AC$186,MATCH(A152,'Specialisation Impact'!$AO$19:$AO$186,0))</x:f>
        <x:v>16.103896103896105</x:v>
      </x:c>
      <x:c r="G152" s="623" t="n">
        <x:f>INDEX('Specialisation Impact'!$AF$19:$AF$186,MATCH(A152,'Specialisation Impact'!$AO$19:$AO$186,0))</x:f>
        <x:v>83.11688311688312</x:v>
      </x:c>
      <x:c r="H152" s="623" t="n">
        <x:f>INDEX('Specialisation Impact'!$AI$19:$AI$186,MATCH(A152,'Specialisation Impact'!$AO$19:$AO$186,0))</x:f>
        <x:v>34.285714285714285</x:v>
      </x:c>
      <x:c r="I152" s="623" t="n">
        <x:f>INDEX('Specialisation Impact'!$AK$19:$AK$186,MATCH(A152,'Specialisation Impact'!$AO$19:$AO$186,0))</x:f>
        <x:v>8.547008547008547</x:v>
      </x:c>
      <x:c r="J152" s="618" t="n">
        <x:f>INDEX('Specialisation Impact'!$E$19:$E$186,MATCH(A152,'Specialisation Impact'!$AO$19:$AO$186,0))</x:f>
        <x:v>2</x:v>
      </x:c>
      <x:c r="K152" s="631" t="n">
        <x:f>INDEX('Specialisation Impact'!$O$19:$O$186,MATCH(A152,'Specialisation Impact'!$AO$19:$AO$186,0))</x:f>
        <x:v>10302900</x:v>
      </x:c>
      <x:c r="L152" s="627" t="n">
        <x:f>INDEX('Specialisation Impact'!$F$19:$F$186,MATCH(A152,'Specialisation Impact'!$AO$19:$AO$186,0))</x:f>
        <x:v>1</x:v>
      </x:c>
      <x:c r="M152" s="618" t="str">
        <x:f>INDEX('Specialisation Impact'!$AA$19:$AA$186,MATCH(A152,'Specialisation Impact'!$AO$19:$AO$186,0))</x:f>
        <x:v>Recorded skills only</x:v>
      </x:c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</x:row>
    <x:row r="153">
      <x:c r="A153" s="617" t="n">
        <x:v>137</x:v>
      </x:c>
      <x:c r="B153" s="617" t="n">
        <x:f>INDEX('Specialisation Impact'!$AN$19:$AN$186,MATCH(A153,'Specialisation Impact'!$AO$19:$AO$186,0))</x:f>
        <x:v>15</x:v>
      </x:c>
      <x:c r="C153" s="617" t="str">
        <x:f>INDEX('Specialisation Impact'!$A$19:$A$186,MATCH(A153,'Specialisation Impact'!$AO$19:$AO$186,0))</x:f>
        <x:v>K91</x:v>
      </x:c>
      <x:c r="D153" s="617" t="str">
        <x:v>Antoni</x:v>
      </x:c>
      <x:c r="E153" s="622" t="n">
        <x:f>INDEX('Specialisation Impact'!$AM$19:$AM$186,MATCH(A153,'Specialisation Impact'!$AO$19:$AO$186,0))</x:f>
        <x:v>24.482628482628485</x:v>
      </x:c>
      <x:c r="F153" s="622" t="n">
        <x:f>INDEX('Specialisation Impact'!$AC$19:$AC$186,MATCH(A153,'Specialisation Impact'!$AO$19:$AO$186,0))</x:f>
        <x:v>16.363636363636367</x:v>
      </x:c>
      <x:c r="G153" s="622" t="n">
        <x:f>INDEX('Specialisation Impact'!$AF$19:$AF$186,MATCH(A153,'Specialisation Impact'!$AO$19:$AO$186,0))</x:f>
        <x:v>84.93506493506493</x:v>
      </x:c>
      <x:c r="H153" s="622" t="n">
        <x:f>INDEX('Specialisation Impact'!$AI$19:$AI$186,MATCH(A153,'Specialisation Impact'!$AO$19:$AO$186,0))</x:f>
        <x:v>34.54545454545455</x:v>
      </x:c>
      <x:c r="I153" s="622" t="n">
        <x:f>INDEX('Specialisation Impact'!$AK$19:$AK$186,MATCH(A153,'Specialisation Impact'!$AO$19:$AO$186,0))</x:f>
        <x:v>1.7094017094017093</x:v>
      </x:c>
      <x:c r="J153" s="617" t="n">
        <x:f>INDEX('Specialisation Impact'!$E$19:$E$186,MATCH(A153,'Specialisation Impact'!$AO$19:$AO$186,0))</x:f>
        <x:v>2</x:v>
      </x:c>
      <x:c r="K153" s="632" t="n">
        <x:f>INDEX('Specialisation Impact'!$O$19:$O$186,MATCH(A153,'Specialisation Impact'!$AO$19:$AO$186,0))</x:f>
        <x:v>10147900</x:v>
      </x:c>
      <x:c r="L153" s="626" t="n">
        <x:f>INDEX('Specialisation Impact'!$F$19:$F$186,MATCH(A153,'Specialisation Impact'!$AO$19:$AO$186,0))</x:f>
        <x:v>1</x:v>
      </x:c>
      <x:c r="M153" s="617" t="str">
        <x:f>INDEX('Specialisation Impact'!$AA$19:$AA$186,MATCH(A153,'Specialisation Impact'!$AO$19:$AO$186,0))</x:f>
        <x:v>Recorded skills only</x:v>
      </x:c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</x:row>
    <x:row r="154">
      <x:c r="A154" s="618" t="n">
        <x:v>138</x:v>
      </x:c>
      <x:c r="B154" s="618" t="n">
        <x:f>INDEX('Specialisation Impact'!$AN$19:$AN$186,MATCH(A154,'Specialisation Impact'!$AO$19:$AO$186,0))</x:f>
        <x:v>21</x:v>
      </x:c>
      <x:c r="C154" s="618" t="str">
        <x:f>INDEX('Specialisation Impact'!$A$19:$A$186,MATCH(A154,'Specialisation Impact'!$AO$19:$AO$186,0))</x:f>
        <x:v>K170</x:v>
      </x:c>
      <x:c r="D154" s="618" t="str">
        <x:v>(AOT)Paian</x:v>
      </x:c>
      <x:c r="E154" s="623" t="n">
        <x:f>INDEX('Specialisation Impact'!$AM$19:$AM$186,MATCH(A154,'Specialisation Impact'!$AO$19:$AO$186,0))</x:f>
        <x:v>24.039627039627042</x:v>
      </x:c>
      <x:c r="F154" s="623" t="n">
        <x:f>INDEX('Specialisation Impact'!$AC$19:$AC$186,MATCH(A154,'Specialisation Impact'!$AO$19:$AO$186,0))</x:f>
        <x:v>24.54545454545455</x:v>
      </x:c>
      <x:c r="G154" s="623" t="n">
        <x:f>INDEX('Specialisation Impact'!$AF$19:$AF$186,MATCH(A154,'Specialisation Impact'!$AO$19:$AO$186,0))</x:f>
        <x:v>10.259740259740262</x:v>
      </x:c>
      <x:c r="H154" s="623" t="n">
        <x:f>INDEX('Specialisation Impact'!$AI$19:$AI$186,MATCH(A154,'Specialisation Impact'!$AO$19:$AO$186,0))</x:f>
        <x:v>27.402597402597404</x:v>
      </x:c>
      <x:c r="I154" s="623" t="n">
        <x:f>INDEX('Specialisation Impact'!$AK$19:$AK$186,MATCH(A154,'Specialisation Impact'!$AO$19:$AO$186,0))</x:f>
        <x:v>29.48717948717949</x:v>
      </x:c>
      <x:c r="J154" s="618" t="n">
        <x:f>INDEX('Specialisation Impact'!$E$19:$E$186,MATCH(A154,'Specialisation Impact'!$AO$19:$AO$186,0))</x:f>
        <x:v>1</x:v>
      </x:c>
      <x:c r="K154" s="631" t="n">
        <x:f>INDEX('Specialisation Impact'!$O$19:$O$186,MATCH(A154,'Specialisation Impact'!$AO$19:$AO$186,0))</x:f>
        <x:v>5488600</x:v>
      </x:c>
      <x:c r="L154" s="627" t="n">
        <x:f>INDEX('Specialisation Impact'!$F$19:$F$186,MATCH(A154,'Specialisation Impact'!$AO$19:$AO$186,0))</x:f>
        <x:v>1</x:v>
      </x:c>
      <x:c r="M154" s="618" t="str">
        <x:f>INDEX('Specialisation Impact'!$AA$19:$AA$186,MATCH(A154,'Specialisation Impact'!$AO$19:$AO$186,0))</x:f>
        <x:v>Recorded skills only</x:v>
      </x:c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</x:row>
    <x:row r="155">
      <x:c r="A155" s="617" t="n">
        <x:v>139</x:v>
      </x:c>
      <x:c r="B155" s="617" t="n">
        <x:f>INDEX('Specialisation Impact'!$AN$19:$AN$186,MATCH(A155,'Specialisation Impact'!$AO$19:$AO$186,0))</x:f>
        <x:v>16</x:v>
      </x:c>
      <x:c r="C155" s="617" t="str">
        <x:f>INDEX('Specialisation Impact'!$A$19:$A$186,MATCH(A155,'Specialisation Impact'!$AO$19:$AO$186,0))</x:f>
        <x:v>K197</x:v>
      </x:c>
      <x:c r="D155" s="617" t="str">
        <x:v>RΣDΣYΣ</x:v>
      </x:c>
      <x:c r="E155" s="622" t="n">
        <x:f>INDEX('Specialisation Impact'!$AM$19:$AM$186,MATCH(A155,'Specialisation Impact'!$AO$19:$AO$186,0))</x:f>
        <x:v>23.863636363636367</x:v>
      </x:c>
      <x:c r="F155" s="622" t="n">
        <x:f>INDEX('Specialisation Impact'!$AC$19:$AC$186,MATCH(A155,'Specialisation Impact'!$AO$19:$AO$186,0))</x:f>
        <x:v>12.012987012987015</x:v>
      </x:c>
      <x:c r="G155" s="622" t="n">
        <x:f>INDEX('Specialisation Impact'!$AF$19:$AF$186,MATCH(A155,'Specialisation Impact'!$AO$19:$AO$186,0))</x:f>
        <x:v>65.25974025974027</x:v>
      </x:c>
      <x:c r="H155" s="622" t="n">
        <x:f>INDEX('Specialisation Impact'!$AI$19:$AI$186,MATCH(A155,'Specialisation Impact'!$AO$19:$AO$186,0))</x:f>
        <x:v>30.194805194805195</x:v>
      </x:c>
      <x:c r="I155" s="622" t="n">
        <x:f>INDEX('Specialisation Impact'!$AK$19:$AK$186,MATCH(A155,'Specialisation Impact'!$AO$19:$AO$186,0))</x:f>
        <x:v>50</x:v>
      </x:c>
      <x:c r="J155" s="617" t="n">
        <x:f>INDEX('Specialisation Impact'!$E$19:$E$186,MATCH(A155,'Specialisation Impact'!$AO$19:$AO$186,0))</x:f>
        <x:v>1</x:v>
      </x:c>
      <x:c r="K155" s="632" t="n">
        <x:f>INDEX('Specialisation Impact'!$O$19:$O$186,MATCH(A155,'Specialisation Impact'!$AO$19:$AO$186,0))</x:f>
        <x:v>5884300</x:v>
      </x:c>
      <x:c r="L155" s="626" t="n">
        <x:f>INDEX('Specialisation Impact'!$F$19:$F$186,MATCH(A155,'Specialisation Impact'!$AO$19:$AO$186,0))</x:f>
        <x:v>1</x:v>
      </x:c>
      <x:c r="M155" s="617" t="str">
        <x:f>INDEX('Specialisation Impact'!$AA$19:$AA$186,MATCH(A155,'Specialisation Impact'!$AO$19:$AO$186,0))</x:f>
        <x:v>Recorded skills only</x:v>
      </x:c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</x:row>
    <x:row r="156">
      <x:c r="A156" s="618" t="n">
        <x:v>140</x:v>
      </x:c>
      <x:c r="B156" s="618" t="n">
        <x:f>INDEX('Specialisation Impact'!$AN$19:$AN$186,MATCH(A156,'Specialisation Impact'!$AO$19:$AO$186,0))</x:f>
        <x:v>12</x:v>
      </x:c>
      <x:c r="C156" s="618" t="str">
        <x:f>INDEX('Specialisation Impact'!$A$19:$A$186,MATCH(A156,'Specialisation Impact'!$AO$19:$AO$186,0))</x:f>
        <x:v>K116</x:v>
      </x:c>
      <x:c r="D156" s="618" t="str">
        <x:v>逍遥大官人</x:v>
      </x:c>
      <x:c r="E156" s="623" t="n">
        <x:f>INDEX('Specialisation Impact'!$AM$19:$AM$186,MATCH(A156,'Specialisation Impact'!$AO$19:$AO$186,0))</x:f>
        <x:v>23.545121545121546</x:v>
      </x:c>
      <x:c r="F156" s="623" t="n">
        <x:f>INDEX('Specialisation Impact'!$AC$19:$AC$186,MATCH(A156,'Specialisation Impact'!$AO$19:$AO$186,0))</x:f>
        <x:v>19.350649350649352</x:v>
      </x:c>
      <x:c r="G156" s="623" t="n">
        <x:f>INDEX('Specialisation Impact'!$AF$19:$AF$186,MATCH(A156,'Specialisation Impact'!$AO$19:$AO$186,0))</x:f>
        <x:v>9.480519480519481</x:v>
      </x:c>
      <x:c r="H156" s="623" t="n">
        <x:f>INDEX('Specialisation Impact'!$AI$19:$AI$186,MATCH(A156,'Specialisation Impact'!$AO$19:$AO$186,0))</x:f>
        <x:v>26.623376623376625</x:v>
      </x:c>
      <x:c r="I156" s="623" t="n">
        <x:f>INDEX('Specialisation Impact'!$AK$19:$AK$186,MATCH(A156,'Specialisation Impact'!$AO$19:$AO$186,0))</x:f>
        <x:v>60.25641025641025</x:v>
      </x:c>
      <x:c r="J156" s="618" t="n">
        <x:f>INDEX('Specialisation Impact'!$E$19:$E$186,MATCH(A156,'Specialisation Impact'!$AO$19:$AO$186,0))</x:f>
        <x:v>2</x:v>
      </x:c>
      <x:c r="K156" s="631" t="n">
        <x:f>INDEX('Specialisation Impact'!$O$19:$O$186,MATCH(A156,'Specialisation Impact'!$AO$19:$AO$186,0))</x:f>
        <x:v>5162900</x:v>
      </x:c>
      <x:c r="L156" s="627" t="n">
        <x:f>INDEX('Specialisation Impact'!$F$19:$F$186,MATCH(A156,'Specialisation Impact'!$AO$19:$AO$186,0))</x:f>
        <x:v>1</x:v>
      </x:c>
      <x:c r="M156" s="618" t="str">
        <x:f>INDEX('Specialisation Impact'!$AA$19:$AA$186,MATCH(A156,'Specialisation Impact'!$AO$19:$AO$186,0))</x:f>
        <x:v>Recorded skills only</x:v>
      </x:c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</x:row>
    <x:row r="157">
      <x:c r="A157" s="617" t="n">
        <x:v>141</x:v>
      </x:c>
      <x:c r="B157" s="617" t="n">
        <x:f>INDEX('Specialisation Impact'!$AN$19:$AN$186,MATCH(A157,'Specialisation Impact'!$AO$19:$AO$186,0))</x:f>
        <x:v>21</x:v>
      </x:c>
      <x:c r="C157" s="617" t="str">
        <x:f>INDEX('Specialisation Impact'!$A$19:$A$186,MATCH(A157,'Specialisation Impact'!$AO$19:$AO$186,0))</x:f>
        <x:v>K138</x:v>
      </x:c>
      <x:c r="D157" s="617" t="str">
        <x:v>(RaW)༺ASOS༻</x:v>
      </x:c>
      <x:c r="E157" s="622" t="n">
        <x:f>INDEX('Specialisation Impact'!$AM$19:$AM$186,MATCH(A157,'Specialisation Impact'!$AO$19:$AO$186,0))</x:f>
        <x:v>23.486679986679988</x:v>
      </x:c>
      <x:c r="F157" s="622" t="n">
        <x:f>INDEX('Specialisation Impact'!$AC$19:$AC$186,MATCH(A157,'Specialisation Impact'!$AO$19:$AO$186,0))</x:f>
        <x:v>10.714285714285715</x:v>
      </x:c>
      <x:c r="G157" s="622" t="n">
        <x:f>INDEX('Specialisation Impact'!$AF$19:$AF$186,MATCH(A157,'Specialisation Impact'!$AO$19:$AO$186,0))</x:f>
        <x:v>61.62337662337662</x:v>
      </x:c>
      <x:c r="H157" s="622" t="n">
        <x:f>INDEX('Specialisation Impact'!$AI$19:$AI$186,MATCH(A157,'Specialisation Impact'!$AO$19:$AO$186,0))</x:f>
        <x:v>28.896103896103895</x:v>
      </x:c>
      <x:c r="I157" s="622" t="n">
        <x:f>INDEX('Specialisation Impact'!$AK$19:$AK$186,MATCH(A157,'Specialisation Impact'!$AO$19:$AO$186,0))</x:f>
        <x:v>60.25641025641025</x:v>
      </x:c>
      <x:c r="J157" s="617" t="n">
        <x:f>INDEX('Specialisation Impact'!$E$19:$E$186,MATCH(A157,'Specialisation Impact'!$AO$19:$AO$186,0))</x:f>
        <x:v>1</x:v>
      </x:c>
      <x:c r="K157" s="632" t="n">
        <x:f>INDEX('Specialisation Impact'!$O$19:$O$186,MATCH(A157,'Specialisation Impact'!$AO$19:$AO$186,0))</x:f>
        <x:v>9288600</x:v>
      </x:c>
      <x:c r="L157" s="626" t="n">
        <x:f>INDEX('Specialisation Impact'!$F$19:$F$186,MATCH(A157,'Specialisation Impact'!$AO$19:$AO$186,0))</x:f>
        <x:v>1</x:v>
      </x:c>
      <x:c r="M157" s="617" t="str">
        <x:f>INDEX('Specialisation Impact'!$AA$19:$AA$186,MATCH(A157,'Specialisation Impact'!$AO$19:$AO$186,0))</x:f>
        <x:v>Recorded skills only</x:v>
      </x:c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</x:row>
    <x:row r="158">
      <x:c r="A158" s="618" t="n">
        <x:v>142</x:v>
      </x:c>
      <x:c r="B158" s="618" t="n">
        <x:f>INDEX('Specialisation Impact'!$AN$19:$AN$186,MATCH(A158,'Specialisation Impact'!$AO$19:$AO$186,0))</x:f>
        <x:v>17</x:v>
      </x:c>
      <x:c r="C158" s="618" t="str">
        <x:f>INDEX('Specialisation Impact'!$A$19:$A$186,MATCH(A158,'Specialisation Impact'!$AO$19:$AO$186,0))</x:f>
        <x:v>K197</x:v>
      </x:c>
      <x:c r="D158" s="618" t="str">
        <x:v>々нυηтєя々</x:v>
      </x:c>
      <x:c r="E158" s="623" t="n">
        <x:f>INDEX('Specialisation Impact'!$AM$19:$AM$186,MATCH(A158,'Specialisation Impact'!$AO$19:$AO$186,0))</x:f>
        <x:v>22.461038961038962</x:v>
      </x:c>
      <x:c r="F158" s="623" t="n">
        <x:f>INDEX('Specialisation Impact'!$AC$19:$AC$186,MATCH(A158,'Specialisation Impact'!$AO$19:$AO$186,0))</x:f>
        <x:v>10.714285714285715</x:v>
      </x:c>
      <x:c r="G158" s="623" t="n">
        <x:f>INDEX('Specialisation Impact'!$AF$19:$AF$186,MATCH(A158,'Specialisation Impact'!$AO$19:$AO$186,0))</x:f>
        <x:v>61.62337662337662</x:v>
      </x:c>
      <x:c r="H158" s="623" t="n">
        <x:f>INDEX('Specialisation Impact'!$AI$19:$AI$186,MATCH(A158,'Specialisation Impact'!$AO$19:$AO$186,0))</x:f>
        <x:v>28.896103896103895</x:v>
      </x:c>
      <x:c r="I158" s="623" t="n">
        <x:f>INDEX('Specialisation Impact'!$AK$19:$AK$186,MATCH(A158,'Specialisation Impact'!$AO$19:$AO$186,0))</x:f>
        <x:v>50</x:v>
      </x:c>
      <x:c r="J158" s="618" t="n">
        <x:f>INDEX('Specialisation Impact'!$E$19:$E$186,MATCH(A158,'Specialisation Impact'!$AO$19:$AO$186,0))</x:f>
        <x:v>1</x:v>
      </x:c>
      <x:c r="K158" s="631" t="n">
        <x:f>INDEX('Specialisation Impact'!$O$19:$O$186,MATCH(A158,'Specialisation Impact'!$AO$19:$AO$186,0))</x:f>
        <x:v>5004300</x:v>
      </x:c>
      <x:c r="L158" s="627" t="n">
        <x:f>INDEX('Specialisation Impact'!$F$19:$F$186,MATCH(A158,'Specialisation Impact'!$AO$19:$AO$186,0))</x:f>
        <x:v>1</x:v>
      </x:c>
      <x:c r="M158" s="618" t="str">
        <x:f>INDEX('Specialisation Impact'!$AA$19:$AA$186,MATCH(A158,'Specialisation Impact'!$AO$19:$AO$186,0))</x:f>
        <x:v>Recorded skills only</x:v>
      </x:c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</x:row>
    <x:row r="159">
      <x:c r="A159" s="617" t="n">
        <x:v>143</x:v>
      </x:c>
      <x:c r="B159" s="617" t="n">
        <x:f>INDEX('Specialisation Impact'!$AN$19:$AN$186,MATCH(A159,'Specialisation Impact'!$AO$19:$AO$186,0))</x:f>
        <x:v>22</x:v>
      </x:c>
      <x:c r="C159" s="617" t="str">
        <x:f>INDEX('Specialisation Impact'!$A$19:$A$186,MATCH(A159,'Specialisation Impact'!$AO$19:$AO$186,0))</x:f>
        <x:v>K138</x:v>
      </x:c>
      <x:c r="D159" s="617" t="str">
        <x:v>(RaW)PPP_253</x:v>
      </x:c>
      <x:c r="E159" s="622" t="n">
        <x:f>INDEX('Specialisation Impact'!$AM$19:$AM$186,MATCH(A159,'Specialisation Impact'!$AO$19:$AO$186,0))</x:f>
        <x:v>22.343822843822846</x:v>
      </x:c>
      <x:c r="F159" s="622" t="n">
        <x:f>INDEX('Specialisation Impact'!$AC$19:$AC$186,MATCH(A159,'Specialisation Impact'!$AO$19:$AO$186,0))</x:f>
        <x:v>9.935064935064936</x:v>
      </x:c>
      <x:c r="G159" s="622" t="n">
        <x:f>INDEX('Specialisation Impact'!$AF$19:$AF$186,MATCH(A159,'Specialisation Impact'!$AO$19:$AO$186,0))</x:f>
        <x:v>56.42857142857144</x:v>
      </x:c>
      <x:c r="H159" s="622" t="n">
        <x:f>INDEX('Specialisation Impact'!$AI$19:$AI$186,MATCH(A159,'Specialisation Impact'!$AO$19:$AO$186,0))</x:f>
        <x:v>28.116883116883116</x:v>
      </x:c>
      <x:c r="I159" s="622" t="n">
        <x:f>INDEX('Specialisation Impact'!$AK$19:$AK$186,MATCH(A159,'Specialisation Impact'!$AO$19:$AO$186,0))</x:f>
        <x:v>60.25641025641025</x:v>
      </x:c>
      <x:c r="J159" s="617" t="n">
        <x:f>INDEX('Specialisation Impact'!$E$19:$E$186,MATCH(A159,'Specialisation Impact'!$AO$19:$AO$186,0))</x:f>
        <x:v>1</x:v>
      </x:c>
      <x:c r="K159" s="632" t="n">
        <x:f>INDEX('Specialisation Impact'!$O$19:$O$186,MATCH(A159,'Specialisation Impact'!$AO$19:$AO$186,0))</x:f>
        <x:v>8568600</x:v>
      </x:c>
      <x:c r="L159" s="626" t="n">
        <x:f>INDEX('Specialisation Impact'!$F$19:$F$186,MATCH(A159,'Specialisation Impact'!$AO$19:$AO$186,0))</x:f>
        <x:v>1</x:v>
      </x:c>
      <x:c r="M159" s="617" t="str">
        <x:f>INDEX('Specialisation Impact'!$AA$19:$AA$186,MATCH(A159,'Specialisation Impact'!$AO$19:$AO$186,0))</x:f>
        <x:v>Recorded skills only</x:v>
      </x:c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</x:row>
    <x:row r="160">
      <x:c r="A160" s="618" t="n">
        <x:v>144</x:v>
      </x:c>
      <x:c r="B160" s="618" t="n">
        <x:f>INDEX('Specialisation Impact'!$AN$19:$AN$186,MATCH(A160,'Specialisation Impact'!$AO$19:$AO$186,0))</x:f>
        <x:v>16</x:v>
      </x:c>
      <x:c r="C160" s="618" t="str">
        <x:f>INDEX('Specialisation Impact'!$A$19:$A$186,MATCH(A160,'Specialisation Impact'!$AO$19:$AO$186,0))</x:f>
        <x:v>K91</x:v>
      </x:c>
      <x:c r="D160" s="618" t="str">
        <x:v>金灵蛇</x:v>
      </x:c>
      <x:c r="E160" s="623" t="n">
        <x:f>INDEX('Specialisation Impact'!$AM$19:$AM$186,MATCH(A160,'Specialisation Impact'!$AO$19:$AO$186,0))</x:f>
        <x:v>21.695970695970697</x:v>
      </x:c>
      <x:c r="F160" s="623" t="n">
        <x:f>INDEX('Specialisation Impact'!$AC$19:$AC$186,MATCH(A160,'Specialisation Impact'!$AO$19:$AO$186,0))</x:f>
        <x:v>12.987012987012989</x:v>
      </x:c>
      <x:c r="G160" s="623" t="n">
        <x:f>INDEX('Specialisation Impact'!$AF$19:$AF$186,MATCH(A160,'Specialisation Impact'!$AO$19:$AO$186,0))</x:f>
        <x:v>71.68831168831169</x:v>
      </x:c>
      <x:c r="H160" s="623" t="n">
        <x:f>INDEX('Specialisation Impact'!$AI$19:$AI$186,MATCH(A160,'Specialisation Impact'!$AO$19:$AO$186,0))</x:f>
        <x:v>31.16883116883117</x:v>
      </x:c>
      <x:c r="I160" s="623" t="n">
        <x:f>INDEX('Specialisation Impact'!$AK$19:$AK$186,MATCH(A160,'Specialisation Impact'!$AO$19:$AO$186,0))</x:f>
        <x:v>14.102564102564102</x:v>
      </x:c>
      <x:c r="J160" s="618" t="n">
        <x:f>INDEX('Specialisation Impact'!$E$19:$E$186,MATCH(A160,'Specialisation Impact'!$AO$19:$AO$186,0))</x:f>
        <x:v>2</x:v>
      </x:c>
      <x:c r="K160" s="631" t="n">
        <x:f>INDEX('Specialisation Impact'!$O$19:$O$186,MATCH(A160,'Specialisation Impact'!$AO$19:$AO$186,0))</x:f>
        <x:v>8400400</x:v>
      </x:c>
      <x:c r="L160" s="627" t="n">
        <x:f>INDEX('Specialisation Impact'!$F$19:$F$186,MATCH(A160,'Specialisation Impact'!$AO$19:$AO$186,0))</x:f>
        <x:v>1</x:v>
      </x:c>
      <x:c r="M160" s="618" t="str">
        <x:f>INDEX('Specialisation Impact'!$AA$19:$AA$186,MATCH(A160,'Specialisation Impact'!$AO$19:$AO$186,0))</x:f>
        <x:v>Recorded skills only</x:v>
      </x:c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</x:row>
    <x:row r="161">
      <x:c r="A161" s="617" t="n">
        <x:v>145</x:v>
      </x:c>
      <x:c r="B161" s="617" t="n">
        <x:f>INDEX('Specialisation Impact'!$AN$19:$AN$186,MATCH(A161,'Specialisation Impact'!$AO$19:$AO$186,0))</x:f>
        <x:v>18</x:v>
      </x:c>
      <x:c r="C161" s="617" t="str">
        <x:f>INDEX('Specialisation Impact'!$A$19:$A$186,MATCH(A161,'Specialisation Impact'!$AO$19:$AO$186,0))</x:f>
        <x:v>K197</x:v>
      </x:c>
      <x:c r="D161" s="617" t="str">
        <x:v>Mira</x:v>
      </x:c>
      <x:c r="E161" s="622" t="n">
        <x:f>INDEX('Specialisation Impact'!$AM$19:$AM$186,MATCH(A161,'Specialisation Impact'!$AO$19:$AO$186,0))</x:f>
        <x:v>21.581085581085578</x:v>
      </x:c>
      <x:c r="F161" s="622" t="n">
        <x:f>INDEX('Specialisation Impact'!$AC$19:$AC$186,MATCH(A161,'Specialisation Impact'!$AO$19:$AO$186,0))</x:f>
        <x:v>14.285714285714286</x:v>
      </x:c>
      <x:c r="G161" s="622" t="n">
        <x:f>INDEX('Specialisation Impact'!$AF$19:$AF$186,MATCH(A161,'Specialisation Impact'!$AO$19:$AO$186,0))</x:f>
        <x:v>71.68831168831169</x:v>
      </x:c>
      <x:c r="H161" s="622" t="n">
        <x:f>INDEX('Specialisation Impact'!$AI$19:$AI$186,MATCH(A161,'Specialisation Impact'!$AO$19:$AO$186,0))</x:f>
        <x:v>32.467532467532465</x:v>
      </x:c>
      <x:c r="I161" s="622" t="n">
        <x:f>INDEX('Specialisation Impact'!$AK$19:$AK$186,MATCH(A161,'Specialisation Impact'!$AO$19:$AO$186,0))</x:f>
        <x:v>2.5641025641025643</x:v>
      </x:c>
      <x:c r="J161" s="617" t="n">
        <x:f>INDEX('Specialisation Impact'!$E$19:$E$186,MATCH(A161,'Specialisation Impact'!$AO$19:$AO$186,0))</x:f>
        <x:v>1</x:v>
      </x:c>
      <x:c r="K161" s="632" t="n">
        <x:f>INDEX('Specialisation Impact'!$O$19:$O$186,MATCH(A161,'Specialisation Impact'!$AO$19:$AO$186,0))</x:f>
        <x:v>8758600</x:v>
      </x:c>
      <x:c r="L161" s="626" t="n">
        <x:f>INDEX('Specialisation Impact'!$F$19:$F$186,MATCH(A161,'Specialisation Impact'!$AO$19:$AO$186,0))</x:f>
        <x:v>1</x:v>
      </x:c>
      <x:c r="M161" s="617" t="str">
        <x:f>INDEX('Specialisation Impact'!$AA$19:$AA$186,MATCH(A161,'Specialisation Impact'!$AO$19:$AO$186,0))</x:f>
        <x:v>Recorded skills only</x:v>
      </x:c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</x:row>
    <x:row r="162">
      <x:c r="A162" s="618" t="n">
        <x:v>146</x:v>
      </x:c>
      <x:c r="B162" s="618" t="n">
        <x:f>INDEX('Specialisation Impact'!$AN$19:$AN$186,MATCH(A162,'Specialisation Impact'!$AO$19:$AO$186,0))</x:f>
        <x:v>17</x:v>
      </x:c>
      <x:c r="C162" s="618" t="str">
        <x:f>INDEX('Specialisation Impact'!$A$19:$A$186,MATCH(A162,'Specialisation Impact'!$AO$19:$AO$186,0))</x:f>
        <x:v>K91</x:v>
      </x:c>
      <x:c r="D162" s="618" t="str">
        <x:v>•Scorpio•NM85</x:v>
      </x:c>
      <x:c r="E162" s="623" t="n">
        <x:f>INDEX('Specialisation Impact'!$AM$19:$AM$186,MATCH(A162,'Specialisation Impact'!$AO$19:$AO$186,0))</x:f>
        <x:v>21.010545010545012</x:v>
      </x:c>
      <x:c r="F162" s="623" t="n">
        <x:f>INDEX('Specialisation Impact'!$AC$19:$AC$186,MATCH(A162,'Specialisation Impact'!$AO$19:$AO$186,0))</x:f>
        <x:v>12.727272727272728</x:v>
      </x:c>
      <x:c r="G162" s="623" t="n">
        <x:f>INDEX('Specialisation Impact'!$AF$19:$AF$186,MATCH(A162,'Specialisation Impact'!$AO$19:$AO$186,0))</x:f>
        <x:v>72.46753246753248</x:v>
      </x:c>
      <x:c r="H162" s="623" t="n">
        <x:f>INDEX('Specialisation Impact'!$AI$19:$AI$186,MATCH(A162,'Specialisation Impact'!$AO$19:$AO$186,0))</x:f>
        <x:v>30.90909090909091</x:v>
      </x:c>
      <x:c r="I162" s="623" t="n">
        <x:f>INDEX('Specialisation Impact'!$AK$19:$AK$186,MATCH(A162,'Specialisation Impact'!$AO$19:$AO$186,0))</x:f>
        <x:v>8.547008547008547</x:v>
      </x:c>
      <x:c r="J162" s="618" t="n">
        <x:f>INDEX('Specialisation Impact'!$E$19:$E$186,MATCH(A162,'Specialisation Impact'!$AO$19:$AO$186,0))</x:f>
        <x:v>2</x:v>
      </x:c>
      <x:c r="K162" s="631" t="n">
        <x:f>INDEX('Specialisation Impact'!$O$19:$O$186,MATCH(A162,'Specialisation Impact'!$AO$19:$AO$186,0))</x:f>
        <x:v>7352900</x:v>
      </x:c>
      <x:c r="L162" s="627" t="n">
        <x:f>INDEX('Specialisation Impact'!$F$19:$F$186,MATCH(A162,'Specialisation Impact'!$AO$19:$AO$186,0))</x:f>
        <x:v>1</x:v>
      </x:c>
      <x:c r="M162" s="618" t="str">
        <x:f>INDEX('Specialisation Impact'!$AA$19:$AA$186,MATCH(A162,'Specialisation Impact'!$AO$19:$AO$186,0))</x:f>
        <x:v>Recorded skills only</x:v>
      </x:c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</x:row>
    <x:row r="163">
      <x:c r="A163" s="617" t="n">
        <x:v>147</x:v>
      </x:c>
      <x:c r="B163" s="617" t="n">
        <x:f>INDEX('Specialisation Impact'!$AN$19:$AN$186,MATCH(A163,'Specialisation Impact'!$AO$19:$AO$186,0))</x:f>
        <x:v>23</x:v>
      </x:c>
      <x:c r="C163" s="617" t="str">
        <x:f>INDEX('Specialisation Impact'!$A$19:$A$186,MATCH(A163,'Specialisation Impact'!$AO$19:$AO$186,0))</x:f>
        <x:v>K138</x:v>
      </x:c>
      <x:c r="D163" s="617" t="str">
        <x:v>(RaW)GoŁΛ</x:v>
      </x:c>
      <x:c r="E163" s="622" t="n">
        <x:f>INDEX('Specialisation Impact'!$AM$19:$AM$186,MATCH(A163,'Specialisation Impact'!$AO$19:$AO$186,0))</x:f>
        <x:v>20.97630147630148</x:v>
      </x:c>
      <x:c r="F163" s="622" t="n">
        <x:f>INDEX('Specialisation Impact'!$AC$19:$AC$186,MATCH(A163,'Specialisation Impact'!$AO$19:$AO$186,0))</x:f>
        <x:v>9.935064935064936</x:v>
      </x:c>
      <x:c r="G163" s="622" t="n">
        <x:f>INDEX('Specialisation Impact'!$AF$19:$AF$186,MATCH(A163,'Specialisation Impact'!$AO$19:$AO$186,0))</x:f>
        <x:v>56.42857142857144</x:v>
      </x:c>
      <x:c r="H163" s="622" t="n">
        <x:f>INDEX('Specialisation Impact'!$AI$19:$AI$186,MATCH(A163,'Specialisation Impact'!$AO$19:$AO$186,0))</x:f>
        <x:v>28.116883116883116</x:v>
      </x:c>
      <x:c r="I163" s="622" t="n">
        <x:f>INDEX('Specialisation Impact'!$AK$19:$AK$186,MATCH(A163,'Specialisation Impact'!$AO$19:$AO$186,0))</x:f>
        <x:v>46.58119658119658</x:v>
      </x:c>
      <x:c r="J163" s="617" t="n">
        <x:f>INDEX('Specialisation Impact'!$E$19:$E$186,MATCH(A163,'Specialisation Impact'!$AO$19:$AO$186,0))</x:f>
        <x:v>1</x:v>
      </x:c>
      <x:c r="K163" s="632" t="n">
        <x:f>INDEX('Specialisation Impact'!$O$19:$O$186,MATCH(A163,'Specialisation Impact'!$AO$19:$AO$186,0))</x:f>
        <x:v>7528600</x:v>
      </x:c>
      <x:c r="L163" s="626" t="n">
        <x:f>INDEX('Specialisation Impact'!$F$19:$F$186,MATCH(A163,'Specialisation Impact'!$AO$19:$AO$186,0))</x:f>
        <x:v>1</x:v>
      </x:c>
      <x:c r="M163" s="617" t="str">
        <x:f>INDEX('Specialisation Impact'!$AA$19:$AA$186,MATCH(A163,'Specialisation Impact'!$AO$19:$AO$186,0))</x:f>
        <x:v>Recorded skills only</x:v>
      </x:c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</x:row>
    <x:row r="164">
      <x:c r="A164" s="618" t="n">
        <x:v>148</x:v>
      </x:c>
      <x:c r="B164" s="618" t="n">
        <x:f>INDEX('Specialisation Impact'!$AN$19:$AN$186,MATCH(A164,'Specialisation Impact'!$AO$19:$AO$186,0))</x:f>
        <x:v>24</x:v>
      </x:c>
      <x:c r="C164" s="618" t="str">
        <x:f>INDEX('Specialisation Impact'!$A$19:$A$186,MATCH(A164,'Specialisation Impact'!$AO$19:$AO$186,0))</x:f>
        <x:v>K138</x:v>
      </x:c>
      <x:c r="D164" s="618" t="str">
        <x:v>(RaW)Venom毒液</x:v>
      </x:c>
      <x:c r="E164" s="623" t="n">
        <x:f>INDEX('Specialisation Impact'!$AM$19:$AM$186,MATCH(A164,'Specialisation Impact'!$AO$19:$AO$186,0))</x:f>
        <x:v>20.717504717504717</x:v>
      </x:c>
      <x:c r="F164" s="623" t="n">
        <x:f>INDEX('Specialisation Impact'!$AC$19:$AC$186,MATCH(A164,'Specialisation Impact'!$AO$19:$AO$186,0))</x:f>
        <x:v>8.701298701298702</x:v>
      </x:c>
      <x:c r="G164" s="623" t="n">
        <x:f>INDEX('Specialisation Impact'!$AF$19:$AF$186,MATCH(A164,'Specialisation Impact'!$AO$19:$AO$186,0))</x:f>
        <x:v>26.10389610389611</x:v>
      </x:c>
      <x:c r="H164" s="623" t="n">
        <x:f>INDEX('Specialisation Impact'!$AI$19:$AI$186,MATCH(A164,'Specialisation Impact'!$AO$19:$AO$186,0))</x:f>
        <x:v>26.883116883116884</x:v>
      </x:c>
      <x:c r="I164" s="623" t="n">
        <x:f>INDEX('Specialisation Impact'!$AK$19:$AK$186,MATCH(A164,'Specialisation Impact'!$AO$19:$AO$186,0))</x:f>
        <x:v>84.18803418803418</x:v>
      </x:c>
      <x:c r="J164" s="618" t="n">
        <x:f>INDEX('Specialisation Impact'!$E$19:$E$186,MATCH(A164,'Specialisation Impact'!$AO$19:$AO$186,0))</x:f>
        <x:v>1</x:v>
      </x:c>
      <x:c r="K164" s="631" t="n">
        <x:f>INDEX('Specialisation Impact'!$O$19:$O$186,MATCH(A164,'Specialisation Impact'!$AO$19:$AO$186,0))</x:f>
        <x:v>9958600</x:v>
      </x:c>
      <x:c r="L164" s="627" t="n">
        <x:f>INDEX('Specialisation Impact'!$F$19:$F$186,MATCH(A164,'Specialisation Impact'!$AO$19:$AO$186,0))</x:f>
        <x:v>1</x:v>
      </x:c>
      <x:c r="M164" s="618" t="str">
        <x:f>INDEX('Specialisation Impact'!$AA$19:$AA$186,MATCH(A164,'Specialisation Impact'!$AO$19:$AO$186,0))</x:f>
        <x:v>Recorded skills only</x:v>
      </x:c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</x:row>
    <x:row r="165">
      <x:c r="A165" s="617" t="n">
        <x:v>149</x:v>
      </x:c>
      <x:c r="B165" s="617" t="n">
        <x:f>INDEX('Specialisation Impact'!$AN$19:$AN$186,MATCH(A165,'Specialisation Impact'!$AO$19:$AO$186,0))</x:f>
        <x:v>18</x:v>
      </x:c>
      <x:c r="C165" s="617" t="str">
        <x:f>INDEX('Specialisation Impact'!$A$19:$A$186,MATCH(A165,'Specialisation Impact'!$AO$19:$AO$186,0))</x:f>
        <x:v>K91</x:v>
      </x:c>
      <x:c r="D165" s="617" t="str">
        <x:v>Nico•</x:v>
      </x:c>
      <x:c r="E165" s="622" t="n">
        <x:f>INDEX('Specialisation Impact'!$AM$19:$AM$186,MATCH(A165,'Specialisation Impact'!$AO$19:$AO$186,0))</x:f>
        <x:v>20.594960594960597</x:v>
      </x:c>
      <x:c r="F165" s="622" t="n">
        <x:f>INDEX('Specialisation Impact'!$AC$19:$AC$186,MATCH(A165,'Specialisation Impact'!$AO$19:$AO$186,0))</x:f>
        <x:v>12.20779220779221</x:v>
      </x:c>
      <x:c r="G165" s="622" t="n">
        <x:f>INDEX('Specialisation Impact'!$AF$19:$AF$186,MATCH(A165,'Specialisation Impact'!$AO$19:$AO$186,0))</x:f>
        <x:v>72.46753246753246</x:v>
      </x:c>
      <x:c r="H165" s="622" t="n">
        <x:f>INDEX('Specialisation Impact'!$AI$19:$AI$186,MATCH(A165,'Specialisation Impact'!$AO$19:$AO$186,0))</x:f>
        <x:v>30.38961038961039</x:v>
      </x:c>
      <x:c r="I165" s="622" t="n">
        <x:f>INDEX('Specialisation Impact'!$AK$19:$AK$186,MATCH(A165,'Specialisation Impact'!$AO$19:$AO$186,0))</x:f>
        <x:v>8.547008547008547</x:v>
      </x:c>
      <x:c r="J165" s="617" t="n">
        <x:f>INDEX('Specialisation Impact'!$E$19:$E$186,MATCH(A165,'Specialisation Impact'!$AO$19:$AO$186,0))</x:f>
        <x:v>2</x:v>
      </x:c>
      <x:c r="K165" s="632" t="n">
        <x:f>INDEX('Specialisation Impact'!$O$19:$O$186,MATCH(A165,'Specialisation Impact'!$AO$19:$AO$186,0))</x:f>
        <x:v>6742900</x:v>
      </x:c>
      <x:c r="L165" s="626" t="n">
        <x:f>INDEX('Specialisation Impact'!$F$19:$F$186,MATCH(A165,'Specialisation Impact'!$AO$19:$AO$186,0))</x:f>
        <x:v>1</x:v>
      </x:c>
      <x:c r="M165" s="617" t="str">
        <x:f>INDEX('Specialisation Impact'!$AA$19:$AA$186,MATCH(A165,'Specialisation Impact'!$AO$19:$AO$186,0))</x:f>
        <x:v>Recorded skills only</x:v>
      </x:c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</x:row>
    <x:row r="166">
      <x:c r="A166" s="618" t="n">
        <x:v>150</x:v>
      </x:c>
      <x:c r="B166" s="618" t="n">
        <x:f>INDEX('Specialisation Impact'!$AN$19:$AN$186,MATCH(A166,'Specialisation Impact'!$AO$19:$AO$186,0))</x:f>
        <x:v>19</x:v>
      </x:c>
      <x:c r="C166" s="618" t="str">
        <x:f>INDEX('Specialisation Impact'!$A$19:$A$186,MATCH(A166,'Specialisation Impact'!$AO$19:$AO$186,0))</x:f>
        <x:v>K91</x:v>
      </x:c>
      <x:c r="D166" s="618" t="str">
        <x:v>†LORD•ZARIEL†</x:v>
      </x:c>
      <x:c r="E166" s="623" t="n">
        <x:f>INDEX('Specialisation Impact'!$AM$19:$AM$186,MATCH(A166,'Specialisation Impact'!$AO$19:$AO$186,0))</x:f>
        <x:v>19.718337218337222</x:v>
      </x:c>
      <x:c r="F166" s="623" t="n">
        <x:f>INDEX('Specialisation Impact'!$AC$19:$AC$186,MATCH(A166,'Specialisation Impact'!$AO$19:$AO$186,0))</x:f>
        <x:v>12.012987012987015</x:v>
      </x:c>
      <x:c r="G166" s="623" t="n">
        <x:f>INDEX('Specialisation Impact'!$AF$19:$AF$186,MATCH(A166,'Specialisation Impact'!$AO$19:$AO$186,0))</x:f>
        <x:v>65.25974025974027</x:v>
      </x:c>
      <x:c r="H166" s="623" t="n">
        <x:f>INDEX('Specialisation Impact'!$AI$19:$AI$186,MATCH(A166,'Specialisation Impact'!$AO$19:$AO$186,0))</x:f>
        <x:v>30.194805194805195</x:v>
      </x:c>
      <x:c r="I166" s="623" t="n">
        <x:f>INDEX('Specialisation Impact'!$AK$19:$AK$186,MATCH(A166,'Specialisation Impact'!$AO$19:$AO$186,0))</x:f>
        <x:v>8.547008547008547</x:v>
      </x:c>
      <x:c r="J166" s="618" t="n">
        <x:f>INDEX('Specialisation Impact'!$E$19:$E$186,MATCH(A166,'Specialisation Impact'!$AO$19:$AO$186,0))</x:f>
        <x:v>1</x:v>
      </x:c>
      <x:c r="K166" s="631" t="n">
        <x:f>INDEX('Specialisation Impact'!$O$19:$O$186,MATCH(A166,'Specialisation Impact'!$AO$19:$AO$186,0))</x:f>
        <x:v>6658600</x:v>
      </x:c>
      <x:c r="L166" s="627" t="n">
        <x:f>INDEX('Specialisation Impact'!$F$19:$F$186,MATCH(A166,'Specialisation Impact'!$AO$19:$AO$186,0))</x:f>
        <x:v>1</x:v>
      </x:c>
      <x:c r="M166" s="618" t="str">
        <x:f>INDEX('Specialisation Impact'!$AA$19:$AA$186,MATCH(A166,'Specialisation Impact'!$AO$19:$AO$186,0))</x:f>
        <x:v>Recorded skills only</x:v>
      </x:c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</x:row>
    <x:row r="167">
      <x:c r="A167" s="619" t="n">
        <x:v>151</x:v>
      </x:c>
      <x:c r="B167" s="619" t="n">
        <x:f>INDEX('Specialisation Impact'!$AN$19:$AN$186,MATCH(A167,'Specialisation Impact'!$AO$19:$AO$186,0))</x:f>
        <x:v>20</x:v>
      </x:c>
      <x:c r="C167" s="619" t="str">
        <x:f>INDEX('Specialisation Impact'!$A$19:$A$186,MATCH(A167,'Specialisation Impact'!$AO$19:$AO$186,0))</x:f>
        <x:v>K91</x:v>
      </x:c>
      <x:c r="D167" s="619" t="str">
        <x:v>TatyToy</x:v>
      </x:c>
      <x:c r="E167" s="624" t="n">
        <x:f>INDEX('Specialisation Impact'!$AM$19:$AM$186,MATCH(A167,'Specialisation Impact'!$AO$19:$AO$186,0))</x:f>
        <x:v>18.535020535020536</x:v>
      </x:c>
      <x:c r="F167" s="624" t="n">
        <x:f>INDEX('Specialisation Impact'!$AC$19:$AC$186,MATCH(A167,'Specialisation Impact'!$AO$19:$AO$186,0))</x:f>
        <x:v>11.038961038961041</x:v>
      </x:c>
      <x:c r="G167" s="624" t="n">
        <x:f>INDEX('Specialisation Impact'!$AF$19:$AF$186,MATCH(A167,'Specialisation Impact'!$AO$19:$AO$186,0))</x:f>
        <x:v>65.06493506493507</x:v>
      </x:c>
      <x:c r="H167" s="624" t="n">
        <x:f>INDEX('Specialisation Impact'!$AI$19:$AI$186,MATCH(A167,'Specialisation Impact'!$AO$19:$AO$186,0))</x:f>
        <x:v>29.22077922077922</x:v>
      </x:c>
      <x:c r="I167" s="624" t="n">
        <x:f>INDEX('Specialisation Impact'!$AK$19:$AK$186,MATCH(A167,'Specialisation Impact'!$AO$19:$AO$186,0))</x:f>
        <x:v>4.700854700854701</x:v>
      </x:c>
      <x:c r="J167" s="619" t="n">
        <x:f>INDEX('Specialisation Impact'!$E$19:$E$186,MATCH(A167,'Specialisation Impact'!$AO$19:$AO$186,0))</x:f>
        <x:v>2</x:v>
      </x:c>
      <x:c r="K167" s="633" t="n">
        <x:f>INDEX('Specialisation Impact'!$O$19:$O$186,MATCH(A167,'Specialisation Impact'!$AO$19:$AO$186,0))</x:f>
        <x:v>5942900</x:v>
      </x:c>
      <x:c r="L167" s="628" t="n">
        <x:f>INDEX('Specialisation Impact'!$F$19:$F$186,MATCH(A167,'Specialisation Impact'!$AO$19:$AO$186,0))</x:f>
        <x:v>1</x:v>
      </x:c>
      <x:c r="M167" s="619" t="str">
        <x:f>INDEX('Specialisation Impact'!$AA$19:$AA$186,MATCH(A167,'Specialisation Impact'!$AO$19:$AO$186,0))</x:f>
        <x:v>Recorded skills only</x:v>
      </x:c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</x:row>
    <x:row r="168">
      <x:c r="A168" s="779" t="n">
        <x:v>152</x:v>
      </x:c>
      <x:c r="B168" s="779" t="n">
        <x:f>INDEX('Specialisation Impact'!$AN$19:$AN$186,MATCH(A168,'Specialisation Impact'!$AO$19:$AO$186,0))</x:f>
        <x:v>19</x:v>
      </x:c>
      <x:c r="C168" s="771" t="str">
        <x:f>INDEX('Specialisation Impact'!$A$19:$A$186,MATCH(A168,'Specialisation Impact'!$AO$19:$AO$186,0))</x:f>
        <x:v>K197</x:v>
      </x:c>
      <x:c r="D168" s="771" t="str">
        <x:v>LUIGUI</x:v>
      </x:c>
      <x:c r="E168" s="788" t="n">
        <x:f>INDEX('Specialisation Impact'!$AM$19:$AM$186,MATCH(A168,'Specialisation Impact'!$AO$19:$AO$186,0))</x:f>
        <x:v>18.337662337662337</x:v>
      </x:c>
      <x:c r="F168" s="788" t="n">
        <x:f>INDEX('Specialisation Impact'!$AC$19:$AC$186,MATCH(A168,'Specialisation Impact'!$AO$19:$AO$186,0))</x:f>
        <x:v>8.961038961038962</x:v>
      </x:c>
      <x:c r="G168" s="788" t="n">
        <x:f>INDEX('Specialisation Impact'!$AF$19:$AF$186,MATCH(A168,'Specialisation Impact'!$AO$19:$AO$186,0))</x:f>
        <x:v>34.41558441558442</x:v>
      </x:c>
      <x:c r="H168" s="788" t="n">
        <x:f>INDEX('Specialisation Impact'!$AI$19:$AI$186,MATCH(A168,'Specialisation Impact'!$AO$19:$AO$186,0))</x:f>
        <x:v>27.142857142857142</x:v>
      </x:c>
      <x:c r="I168" s="788" t="n">
        <x:f>INDEX('Specialisation Impact'!$AK$19:$AK$186,MATCH(A168,'Specialisation Impact'!$AO$19:$AO$186,0))</x:f>
        <x:v>50</x:v>
      </x:c>
      <x:c r="J168" s="779" t="n">
        <x:f>INDEX('Specialisation Impact'!$E$19:$E$186,MATCH(A168,'Specialisation Impact'!$AO$19:$AO$186,0))</x:f>
        <x:v>1</x:v>
      </x:c>
      <x:c r="K168" s="775" t="n">
        <x:f>INDEX('Specialisation Impact'!$O$19:$O$186,MATCH(A168,'Specialisation Impact'!$AO$19:$AO$186,0))</x:f>
        <x:v>2244300</x:v>
      </x:c>
      <x:c r="L168" s="790" t="n">
        <x:f>INDEX('Specialisation Impact'!$F$19:$F$186,MATCH(A168,'Specialisation Impact'!$AO$19:$AO$186,0))</x:f>
        <x:v>1</x:v>
      </x:c>
      <x:c r="M168" s="771" t="str">
        <x:f>INDEX('Specialisation Impact'!$AA$19:$AA$186,MATCH(A168,'Specialisation Impact'!$AO$19:$AO$186,0))</x:f>
        <x:v>Recorded skills only</x:v>
      </x:c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</x:row>
    <x:row r="169">
      <x:c r="A169" s="780" t="n">
        <x:v>153</x:v>
      </x:c>
      <x:c r="B169" s="780" t="n">
        <x:f>INDEX('Specialisation Impact'!$AN$19:$AN$186,MATCH(A169,'Specialisation Impact'!$AO$19:$AO$186,0))</x:f>
        <x:v>25</x:v>
      </x:c>
      <x:c r="C169" s="774" t="str">
        <x:f>INDEX('Specialisation Impact'!$A$19:$A$186,MATCH(A169,'Specialisation Impact'!$AO$19:$AO$186,0))</x:f>
        <x:v>K138</x:v>
      </x:c>
      <x:c r="D169" s="774" t="str">
        <x:v>(RaW)༺飞K༻</x:v>
      </x:c>
      <x:c r="E169" s="787" t="n">
        <x:f>INDEX('Specialisation Impact'!$AM$19:$AM$186,MATCH(A169,'Specialisation Impact'!$AO$19:$AO$186,0))</x:f>
        <x:v>18.129537129537134</x:v>
      </x:c>
      <x:c r="F169" s="787" t="n">
        <x:f>INDEX('Specialisation Impact'!$AC$19:$AC$186,MATCH(A169,'Specialisation Impact'!$AO$19:$AO$186,0))</x:f>
        <x:v>8.571428571428573</x:v>
      </x:c>
      <x:c r="G169" s="787" t="n">
        <x:f>INDEX('Specialisation Impact'!$AF$19:$AF$186,MATCH(A169,'Specialisation Impact'!$AO$19:$AO$186,0))</x:f>
        <x:v>25.194805194805195</x:v>
      </x:c>
      <x:c r="H169" s="787" t="n">
        <x:f>INDEX('Specialisation Impact'!$AI$19:$AI$186,MATCH(A169,'Specialisation Impact'!$AO$19:$AO$186,0))</x:f>
        <x:v>26.753246753246753</x:v>
      </x:c>
      <x:c r="I169" s="787" t="n">
        <x:f>INDEX('Specialisation Impact'!$AK$19:$AK$186,MATCH(A169,'Specialisation Impact'!$AO$19:$AO$186,0))</x:f>
        <x:v>60.25641025641025</x:v>
      </x:c>
      <x:c r="J169" s="780" t="n">
        <x:f>INDEX('Specialisation Impact'!$E$19:$E$186,MATCH(A169,'Specialisation Impact'!$AO$19:$AO$186,0))</x:f>
        <x:v>1</x:v>
      </x:c>
      <x:c r="K169" s="776" t="n">
        <x:f>INDEX('Specialisation Impact'!$O$19:$O$186,MATCH(A169,'Specialisation Impact'!$AO$19:$AO$186,0))</x:f>
        <x:v>5748600</x:v>
      </x:c>
      <x:c r="L169" s="791" t="n">
        <x:f>INDEX('Specialisation Impact'!$F$19:$F$186,MATCH(A169,'Specialisation Impact'!$AO$19:$AO$186,0))</x:f>
        <x:v>1</x:v>
      </x:c>
      <x:c r="M169" s="774" t="str">
        <x:f>INDEX('Specialisation Impact'!$AA$19:$AA$186,MATCH(A169,'Specialisation Impact'!$AO$19:$AO$186,0))</x:f>
        <x:v>Recorded skills only</x:v>
      </x:c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</x:row>
    <x:row r="170">
      <x:c r="A170" s="779" t="n">
        <x:v>154</x:v>
      </x:c>
      <x:c r="B170" s="779" t="n">
        <x:f>INDEX('Specialisation Impact'!$AN$19:$AN$186,MATCH(A170,'Specialisation Impact'!$AO$19:$AO$186,0))</x:f>
        <x:v>13</x:v>
      </x:c>
      <x:c r="C170" s="771" t="str">
        <x:f>INDEX('Specialisation Impact'!$A$19:$A$186,MATCH(A170,'Specialisation Impact'!$AO$19:$AO$186,0))</x:f>
        <x:v>K116</x:v>
      </x:c>
      <x:c r="D170" s="771" t="str">
        <x:v>芙蕾魚</x:v>
      </x:c>
      <x:c r="E170" s="788" t="n">
        <x:f>INDEX('Specialisation Impact'!$AM$19:$AM$186,MATCH(A170,'Specialisation Impact'!$AO$19:$AO$186,0))</x:f>
        <x:v>17.970806970806972</x:v>
      </x:c>
      <x:c r="F170" s="788" t="n">
        <x:f>INDEX('Specialisation Impact'!$AC$19:$AC$186,MATCH(A170,'Specialisation Impact'!$AO$19:$AO$186,0))</x:f>
        <x:v>17.662337662337663</x:v>
      </x:c>
      <x:c r="G170" s="788" t="n">
        <x:f>INDEX('Specialisation Impact'!$AF$19:$AF$186,MATCH(A170,'Specialisation Impact'!$AO$19:$AO$186,0))</x:f>
        <x:v>9.350649350649352</x:v>
      </x:c>
      <x:c r="H170" s="788" t="n">
        <x:f>INDEX('Specialisation Impact'!$AI$19:$AI$186,MATCH(A170,'Specialisation Impact'!$AO$19:$AO$186,0))</x:f>
        <x:v>26.493506493506494</x:v>
      </x:c>
      <x:c r="I170" s="788" t="n">
        <x:f>INDEX('Specialisation Impact'!$AK$19:$AK$186,MATCH(A170,'Specialisation Impact'!$AO$19:$AO$186,0))</x:f>
        <x:v>15.811965811965813</x:v>
      </x:c>
      <x:c r="J170" s="779" t="n">
        <x:f>INDEX('Specialisation Impact'!$E$19:$E$186,MATCH(A170,'Specialisation Impact'!$AO$19:$AO$186,0))</x:f>
        <x:v>2</x:v>
      </x:c>
      <x:c r="K170" s="775" t="n">
        <x:f>INDEX('Specialisation Impact'!$O$19:$O$186,MATCH(A170,'Specialisation Impact'!$AO$19:$AO$186,0))</x:f>
        <x:v>1692900</x:v>
      </x:c>
      <x:c r="L170" s="790" t="n">
        <x:f>INDEX('Specialisation Impact'!$F$19:$F$186,MATCH(A170,'Specialisation Impact'!$AO$19:$AO$186,0))</x:f>
        <x:v>1</x:v>
      </x:c>
      <x:c r="M170" s="771" t="str">
        <x:f>INDEX('Specialisation Impact'!$AA$19:$AA$186,MATCH(A170,'Specialisation Impact'!$AO$19:$AO$186,0))</x:f>
        <x:v>Recorded skills only</x:v>
      </x:c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</x:row>
    <x:row r="171">
      <x:c r="A171" s="780" t="n">
        <x:v>155</x:v>
      </x:c>
      <x:c r="B171" s="780" t="n">
        <x:f>INDEX('Specialisation Impact'!$AN$19:$AN$186,MATCH(A171,'Specialisation Impact'!$AO$19:$AO$186,0))</x:f>
        <x:v>26</x:v>
      </x:c>
      <x:c r="C171" s="774" t="str">
        <x:f>INDEX('Specialisation Impact'!$A$19:$A$186,MATCH(A171,'Specialisation Impact'!$AO$19:$AO$186,0))</x:f>
        <x:v>K138</x:v>
      </x:c>
      <x:c r="D171" s="774" t="str">
        <x:v>(RaW)JØNS</x:v>
      </x:c>
      <x:c r="E171" s="787" t="n">
        <x:f>INDEX('Specialisation Impact'!$AM$19:$AM$186,MATCH(A171,'Specialisation Impact'!$AO$19:$AO$186,0))</x:f>
        <x:v>12.604950604950606</x:v>
      </x:c>
      <x:c r="F171" s="787" t="n">
        <x:f>INDEX('Specialisation Impact'!$AC$19:$AC$186,MATCH(A171,'Specialisation Impact'!$AO$19:$AO$186,0))</x:f>
        <x:v>8.831168831168831</x:v>
      </x:c>
      <x:c r="G171" s="787" t="n">
        <x:f>INDEX('Specialisation Impact'!$AF$19:$AF$186,MATCH(A171,'Specialisation Impact'!$AO$19:$AO$186,0))</x:f>
        <x:v>27.272727272727277</x:v>
      </x:c>
      <x:c r="H171" s="787" t="n">
        <x:f>INDEX('Specialisation Impact'!$AI$19:$AI$186,MATCH(A171,'Specialisation Impact'!$AO$19:$AO$186,0))</x:f>
        <x:v>27.012987012987015</x:v>
      </x:c>
      <x:c r="I171" s="787" t="n">
        <x:f>INDEX('Specialisation Impact'!$AK$19:$AK$186,MATCH(A171,'Specialisation Impact'!$AO$19:$AO$186,0))</x:f>
        <x:v>0.8547008547008547</x:v>
      </x:c>
      <x:c r="J171" s="780" t="n">
        <x:f>INDEX('Specialisation Impact'!$E$19:$E$186,MATCH(A171,'Specialisation Impact'!$AO$19:$AO$186,0))</x:f>
        <x:v>1</x:v>
      </x:c>
      <x:c r="K171" s="776" t="n">
        <x:f>INDEX('Specialisation Impact'!$O$19:$O$186,MATCH(A171,'Specialisation Impact'!$AO$19:$AO$186,0))</x:f>
        <x:v>2276100</x:v>
      </x:c>
      <x:c r="L171" s="791" t="n">
        <x:f>INDEX('Specialisation Impact'!$F$19:$F$186,MATCH(A171,'Specialisation Impact'!$AO$19:$AO$186,0))</x:f>
        <x:v>1</x:v>
      </x:c>
      <x:c r="M171" s="774" t="str">
        <x:f>INDEX('Specialisation Impact'!$AA$19:$AA$186,MATCH(A171,'Specialisation Impact'!$AO$19:$AO$186,0))</x:f>
        <x:v>Recorded skills only</x:v>
      </x:c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</x:row>
  </x:sheetData>
  <x:mergeCells>
    <x:mergeCell ref="A1:AB1"/>
    <x:mergeCell ref="A2:AB2"/>
    <x:mergeCell ref="N15:P15"/>
    <x:mergeCell ref="A4:J4"/>
    <x:mergeCell ref="N4:AB4"/>
    <x:mergeCell ref="A15:M15"/>
  </x:mergeCells>
  <x:conditionalFormatting sqref="C6:G13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E17:I167">
    <x:cfRule type="colorScale" priority="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3" hidden="0" customWidth="1"/>
    <x:col min="4" max="4" width="34" hidden="0" customWidth="1"/>
    <x:col min="5" max="5" width="18" hidden="0" customWidth="1"/>
    <x:col min="6" max="6" width="17" hidden="0" customWidth="1"/>
    <x:col min="7" max="7" width="17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1" hidden="0" customWidth="1"/>
  </x:cols>
  <x:sheetData>
    <x:row r="1" ht="40" customHeight="1">
      <x:c r="A1" s="796" t="str">
        <x:v>Specialisation Badge Rankings</x:v>
      </x:c>
      <x:c r="B1" s="796"/>
      <x:c r="C1" s="796"/>
      <x:c r="D1" s="796"/>
      <x:c r="E1" s="796"/>
      <x:c r="F1" s="796"/>
      <x:c r="G1" s="796"/>
      <x:c r="H1" s="796"/>
      <x:c r="I1" s="796"/>
      <x:c r="J1" s="796"/>
      <x:c r="K1" s="796"/>
      <x:c r="L1" s="796"/>
      <x:c r="M1" s="796"/>
    </x:row>
    <x:row r="2" ht="34" customHeight="1">
      <x:c r="A2" s="800" t="str">
        <x:v>Total invested badges are ranked separately from skill-effect strength. Duplicate troop tiers are already deduplicated, so each recorded skill contributes once.</x:v>
      </x:c>
      <x:c r="B2" s="800"/>
      <x:c r="C2" s="800"/>
      <x:c r="D2" s="800"/>
      <x:c r="E2" s="800"/>
      <x:c r="F2" s="800"/>
      <x:c r="G2" s="800"/>
      <x:c r="H2" s="800"/>
      <x:c r="I2" s="800"/>
      <x:c r="J2" s="800"/>
      <x:c r="K2" s="800"/>
      <x:c r="L2" s="800"/>
      <x:c r="M2" s="800"/>
    </x:row>
    <x:row r="4" ht="26" customHeight="1">
      <x:c r="A4" s="803" t="str">
        <x:v>Kingdom ranking by total badge investment</x:v>
      </x:c>
      <x:c r="B4" s="803"/>
      <x:c r="C4" s="803"/>
      <x:c r="D4" s="803"/>
      <x:c r="E4" s="803"/>
      <x:c r="F4" s="803"/>
      <x:c r="G4" s="803"/>
      <x:c r="H4" s="803"/>
      <x:c r="I4" s="803"/>
      <x:c r="J4" s="803"/>
      <x:c r="K4" s="803"/>
      <x:c r="L4" s="803"/>
      <x:c r="M4" s="803"/>
    </x:row>
    <x:row r="5" ht="34" customHeight="1">
      <x:c r="A5" s="809" t="str">
        <x:v>Rank</x:v>
      </x:c>
      <x:c r="B5" s="809" t="str">
        <x:v>Kingdom</x:v>
      </x:c>
      <x:c r="C5" s="809" t="str">
        <x:v>Total Badges</x:v>
      </x:c>
      <x:c r="D5" s="809" t="str">
        <x:v>Badge-tracked Players</x:v>
      </x:c>
      <x:c r="E5" s="809" t="str">
        <x:v>Roster Players</x:v>
      </x:c>
      <x:c r="F5" s="809" t="str">
        <x:v>Player Coverage</x:v>
      </x:c>
      <x:c r="G5" s="809" t="str">
        <x:v>Avg / Tracked Player</x:v>
      </x:c>
      <x:c r="H5" s="809" t="str">
        <x:v>Top 5 Average</x:v>
      </x:c>
      <x:c r="I5" s="809" t="str">
        <x:v>Top Player</x:v>
      </x:c>
      <x:c r="J5" s="809" t="str">
        <x:v>Top Player Badges</x:v>
      </x:c>
      <x:c r="K5" s="809" t="str">
        <x:v>Guard Badges</x:v>
      </x:c>
      <x:c r="L5" s="809" t="str">
        <x:v>Offensive Badges</x:v>
      </x:c>
      <x:c r="M5" s="809" t="str">
        <x:v>Recorded Skills</x:v>
      </x:c>
    </x:row>
    <x:row r="6">
      <x:c r="A6" s="845" t="n">
        <x:v>1</x:v>
      </x:c>
      <x:c r="B6" s="845" t="str">
        <x:v>K60</x:v>
      </x:c>
      <x:c r="C6" s="846" t="n">
        <x:v>372475700</x:v>
      </x:c>
      <x:c r="D6" s="847" t="n">
        <x:v>25</x:v>
      </x:c>
      <x:c r="E6" s="847" t="n">
        <x:v>25</x:v>
      </x:c>
      <x:c r="F6" s="848" t="n">
        <x:v>1</x:v>
      </x:c>
      <x:c r="G6" s="846" t="n">
        <x:v>14899028</x:v>
      </x:c>
      <x:c r="H6" s="846" t="n">
        <x:v>24023640</x:v>
      </x:c>
      <x:c r="I6" s="814" t="str">
        <x:v>#14 元气满满 (148,500)</x:v>
      </x:c>
      <x:c r="J6" s="846" t="n">
        <x:v>29641500</x:v>
      </x:c>
      <x:c r="K6" s="846" t="n">
        <x:v>54456000</x:v>
      </x:c>
      <x:c r="L6" s="846" t="n">
        <x:v>318019700</x:v>
      </x:c>
      <x:c r="M6" s="846" t="n">
        <x:v>100</x:v>
      </x:c>
    </x:row>
    <x:row r="7">
      <x:c r="A7" s="849" t="n">
        <x:v>2</x:v>
      </x:c>
      <x:c r="B7" s="849" t="str">
        <x:v>K176</x:v>
      </x:c>
      <x:c r="C7" s="850" t="n">
        <x:v>366016500</x:v>
      </x:c>
      <x:c r="D7" s="851" t="n">
        <x:v>20</x:v>
      </x:c>
      <x:c r="E7" s="851" t="n">
        <x:v>22</x:v>
      </x:c>
      <x:c r="F7" s="852" t="n">
        <x:v>0.9090909090909091</x:v>
      </x:c>
      <x:c r="G7" s="850" t="n">
        <x:v>18300825</x:v>
      </x:c>
      <x:c r="H7" s="850" t="n">
        <x:v>27410060</x:v>
      </x:c>
      <x:c r="I7" s="816" t="str">
        <x:v>苟拓通天肆意妄为</x:v>
      </x:c>
      <x:c r="J7" s="850" t="n">
        <x:v>38071500</x:v>
      </x:c>
      <x:c r="K7" s="850" t="n">
        <x:v>91147400</x:v>
      </x:c>
      <x:c r="L7" s="850" t="n">
        <x:v>274869100</x:v>
      </x:c>
      <x:c r="M7" s="850" t="n">
        <x:v>80</x:v>
      </x:c>
    </x:row>
    <x:row r="8">
      <x:c r="A8" s="853" t="n">
        <x:v>3</x:v>
      </x:c>
      <x:c r="B8" s="853" t="str">
        <x:v>K138</x:v>
      </x:c>
      <x:c r="C8" s="854" t="n">
        <x:v>354604700</x:v>
      </x:c>
      <x:c r="D8" s="855" t="n">
        <x:v>26</x:v>
      </x:c>
      <x:c r="E8" s="855" t="n">
        <x:v>27</x:v>
      </x:c>
      <x:c r="F8" s="856" t="n">
        <x:v>0.9629629629629629</x:v>
      </x:c>
      <x:c r="G8" s="854" t="n">
        <x:v>13638642.307692308</x:v>
      </x:c>
      <x:c r="H8" s="854" t="n">
        <x:v>22192840</x:v>
      </x:c>
      <x:c r="I8" s="818" t="str">
        <x:v>(RaW)Critykal</x:v>
      </x:c>
      <x:c r="J8" s="854" t="n">
        <x:v>25157200</x:v>
      </x:c>
      <x:c r="K8" s="854" t="n">
        <x:v>126002100</x:v>
      </x:c>
      <x:c r="L8" s="854" t="n">
        <x:v>228602600</x:v>
      </x:c>
      <x:c r="M8" s="854" t="n">
        <x:v>79</x:v>
      </x:c>
    </x:row>
    <x:row r="9">
      <x:c r="A9" s="857" t="n">
        <x:v>4</x:v>
      </x:c>
      <x:c r="B9" s="857" t="str">
        <x:v>K170</x:v>
      </x:c>
      <x:c r="C9" s="858" t="n">
        <x:v>308636200</x:v>
      </x:c>
      <x:c r="D9" s="857" t="n">
        <x:v>21</x:v>
      </x:c>
      <x:c r="E9" s="857" t="n">
        <x:v>23</x:v>
      </x:c>
      <x:c r="F9" s="859" t="n">
        <x:v>0.9130434782608695</x:v>
      </x:c>
      <x:c r="G9" s="858" t="n">
        <x:v>14696961.904761905</x:v>
      </x:c>
      <x:c r="H9" s="858" t="n">
        <x:v>24339200</x:v>
      </x:c>
      <x:c r="I9" s="811" t="str">
        <x:v>(AOT)Panda</x:v>
      </x:c>
      <x:c r="J9" s="858" t="n">
        <x:v>26957200</x:v>
      </x:c>
      <x:c r="K9" s="858" t="n">
        <x:v>89243100</x:v>
      </x:c>
      <x:c r="L9" s="858" t="n">
        <x:v>219393100</x:v>
      </x:c>
      <x:c r="M9" s="858" t="n">
        <x:v>75</x:v>
      </x:c>
    </x:row>
    <x:row r="10">
      <x:c r="A10" s="857" t="n">
        <x:v>5</x:v>
      </x:c>
      <x:c r="B10" s="857" t="str">
        <x:v>K197</x:v>
      </x:c>
      <x:c r="C10" s="858" t="n">
        <x:v>281690500</x:v>
      </x:c>
      <x:c r="D10" s="857" t="n">
        <x:v>19</x:v>
      </x:c>
      <x:c r="E10" s="857" t="n">
        <x:v>19</x:v>
      </x:c>
      <x:c r="F10" s="859" t="n">
        <x:v>1</x:v>
      </x:c>
      <x:c r="G10" s="858" t="n">
        <x:v>14825815.789473685</x:v>
      </x:c>
      <x:c r="H10" s="858" t="n">
        <x:v>30848620</x:v>
      </x:c>
      <x:c r="I10" s="811" t="str">
        <x:v>Хлебушек</x:v>
      </x:c>
      <x:c r="J10" s="858" t="n">
        <x:v>62005800</x:v>
      </x:c>
      <x:c r="K10" s="858" t="n">
        <x:v>23305800</x:v>
      </x:c>
      <x:c r="L10" s="858" t="n">
        <x:v>258384700</x:v>
      </x:c>
      <x:c r="M10" s="858" t="n">
        <x:v>36</x:v>
      </x:c>
    </x:row>
    <x:row r="11">
      <x:c r="A11" s="857" t="n">
        <x:v>6</x:v>
      </x:c>
      <x:c r="B11" s="857" t="str">
        <x:v>K91</x:v>
      </x:c>
      <x:c r="C11" s="858" t="n">
        <x:v>258965900</x:v>
      </x:c>
      <x:c r="D11" s="857" t="n">
        <x:v>20</x:v>
      </x:c>
      <x:c r="E11" s="857" t="n">
        <x:v>20</x:v>
      </x:c>
      <x:c r="F11" s="859" t="n">
        <x:v>1</x:v>
      </x:c>
      <x:c r="G11" s="858" t="n">
        <x:v>12948295</x:v>
      </x:c>
      <x:c r="H11" s="858" t="n">
        <x:v>20215340</x:v>
      </x:c>
      <x:c r="I11" s="811" t="str">
        <x:v>•Pain•</x:v>
      </x:c>
      <x:c r="J11" s="858" t="n">
        <x:v>24521500</x:v>
      </x:c>
      <x:c r="K11" s="858" t="n">
        <x:v>21799200</x:v>
      </x:c>
      <x:c r="L11" s="858" t="n">
        <x:v>237166700</x:v>
      </x:c>
      <x:c r="M11" s="858" t="n">
        <x:v>63</x:v>
      </x:c>
    </x:row>
    <x:row r="12">
      <x:c r="A12" s="857" t="n">
        <x:v>7</x:v>
      </x:c>
      <x:c r="B12" s="857" t="str">
        <x:v>K54</x:v>
      </x:c>
      <x:c r="C12" s="858" t="n">
        <x:v>205733400</x:v>
      </x:c>
      <x:c r="D12" s="857" t="n">
        <x:v>12</x:v>
      </x:c>
      <x:c r="E12" s="857" t="n">
        <x:v>12</x:v>
      </x:c>
      <x:c r="F12" s="859" t="n">
        <x:v>1</x:v>
      </x:c>
      <x:c r="G12" s="858" t="n">
        <x:v>17144450</x:v>
      </x:c>
      <x:c r="H12" s="858" t="n">
        <x:v>27550340</x:v>
      </x:c>
      <x:c r="I12" s="811" t="str">
        <x:v>纵横,,,杀戮</x:v>
      </x:c>
      <x:c r="J12" s="858" t="n">
        <x:v>41337200</x:v>
      </x:c>
      <x:c r="K12" s="858" t="n">
        <x:v>17268600</x:v>
      </x:c>
      <x:c r="L12" s="858" t="n">
        <x:v>188464800</x:v>
      </x:c>
      <x:c r="M12" s="858" t="n">
        <x:v>38</x:v>
      </x:c>
    </x:row>
    <x:row r="13">
      <x:c r="A13" s="857" t="n">
        <x:v>8</x:v>
      </x:c>
      <x:c r="B13" s="857" t="str">
        <x:v>K116</x:v>
      </x:c>
      <x:c r="C13" s="858" t="n">
        <x:v>194979300</x:v>
      </x:c>
      <x:c r="D13" s="857" t="n">
        <x:v>15</x:v>
      </x:c>
      <x:c r="E13" s="857" t="n">
        <x:v>20</x:v>
      </x:c>
      <x:c r="F13" s="859" t="n">
        <x:v>0.75</x:v>
      </x:c>
      <x:c r="G13" s="858" t="n">
        <x:v>12998620</x:v>
      </x:c>
      <x:c r="H13" s="858" t="n">
        <x:v>22419640</x:v>
      </x:c>
      <x:c r="I13" s="811" t="str">
        <x:v>Jesse</x:v>
      </x:c>
      <x:c r="J13" s="858" t="n">
        <x:v>31530800</x:v>
      </x:c>
      <x:c r="K13" s="858" t="n">
        <x:v>84295200</x:v>
      </x:c>
      <x:c r="L13" s="858" t="n">
        <x:v>110684100</x:v>
      </x:c>
      <x:c r="M13" s="858" t="n">
        <x:v>51</x:v>
      </x:c>
    </x:row>
    <x:row r="15" ht="26" customHeight="1">
      <x:c r="A15" s="803" t="str">
        <x:v>Player ranking by total badge investment</x:v>
      </x:c>
      <x:c r="B15" s="803"/>
      <x:c r="C15" s="803"/>
      <x:c r="D15" s="803"/>
      <x:c r="E15" s="803"/>
      <x:c r="F15" s="803"/>
      <x:c r="G15" s="803"/>
      <x:c r="H15" s="803"/>
      <x:c r="I15" s="803"/>
      <x:c r="J15" s="803"/>
      <x:c r="K15" s="803"/>
      <x:c r="L15" s="803"/>
      <x:c r="M15" s="803"/>
    </x:row>
    <x:row r="16" ht="34" customHeight="1">
      <x:c r="A16" s="809" t="str">
        <x:v>Global Badge Rank</x:v>
      </x:c>
      <x:c r="B16" s="809" t="str">
        <x:v>Kingdom Badge Rank</x:v>
      </x:c>
      <x:c r="C16" s="809" t="str">
        <x:v>Kingdom</x:v>
      </x:c>
      <x:c r="D16" s="809" t="str">
        <x:v>Player</x:v>
      </x:c>
      <x:c r="E16" s="809" t="str">
        <x:v>Total Badges</x:v>
      </x:c>
      <x:c r="F16" s="809" t="str">
        <x:v>Recorded Skills</x:v>
      </x:c>
      <x:c r="G16" s="809" t="str">
        <x:v>Lookup Coverage</x:v>
      </x:c>
      <x:c r="H16" s="809" t="str">
        <x:v>Guard Badges</x:v>
      </x:c>
      <x:c r="I16" s="809" t="str">
        <x:v>Cavalry Badges</x:v>
      </x:c>
      <x:c r="J16" s="809" t="str">
        <x:v>Archer Badges</x:v>
      </x:c>
      <x:c r="K16" s="809" t="str">
        <x:v>Siege Badges</x:v>
      </x:c>
      <x:c r="L16" s="809" t="str">
        <x:v>Offensive Badges</x:v>
      </x:c>
      <x:c r="M16" s="809" t="str">
        <x:v>Badge Status</x:v>
      </x:c>
    </x:row>
    <x:row r="17" ht="20" customHeight="1">
      <x:c r="A17" s="860" t="n">
        <x:v>1</x:v>
      </x:c>
      <x:c r="B17" s="860" t="n">
        <x:v>1</x:v>
      </x:c>
      <x:c r="C17" s="860" t="str">
        <x:v>K197</x:v>
      </x:c>
      <x:c r="D17" s="821" t="str">
        <x:v>Хлебушек</x:v>
      </x:c>
      <x:c r="E17" s="864" t="n">
        <x:v>62005800</x:v>
      </x:c>
      <x:c r="F17" s="865" t="n">
        <x:v>6</x:v>
      </x:c>
      <x:c r="G17" s="866" t="n">
        <x:v>1</x:v>
      </x:c>
      <x:c r="H17" s="867" t="n">
        <x:v>10334300</x:v>
      </x:c>
      <x:c r="I17" s="867" t="n">
        <x:v>20668600</x:v>
      </x:c>
      <x:c r="J17" s="867" t="n">
        <x:v>20668600</x:v>
      </x:c>
      <x:c r="K17" s="867" t="n">
        <x:v>10334300</x:v>
      </x:c>
      <x:c r="L17" s="867" t="n">
        <x:v>51671500</x:v>
      </x:c>
      <x:c r="M17" s="865" t="str">
        <x:v>Complete</x:v>
      </x:c>
    </x:row>
    <x:row r="18" ht="20" customHeight="1">
      <x:c r="A18" s="861" t="n">
        <x:v>2</x:v>
      </x:c>
      <x:c r="B18" s="861" t="n">
        <x:v>1</x:v>
      </x:c>
      <x:c r="C18" s="861" t="str">
        <x:v>K54</x:v>
      </x:c>
      <x:c r="D18" s="823" t="str">
        <x:v>纵横,,,杀戮</x:v>
      </x:c>
      <x:c r="E18" s="868" t="n">
        <x:v>41337200</x:v>
      </x:c>
      <x:c r="F18" s="869" t="n">
        <x:v>4</x:v>
      </x:c>
      <x:c r="G18" s="870" t="n">
        <x:v>1</x:v>
      </x:c>
      <x:c r="H18" s="871" t="n">
        <x:v>0</x:v>
      </x:c>
      <x:c r="I18" s="871" t="n">
        <x:v>20668600</x:v>
      </x:c>
      <x:c r="J18" s="871" t="n">
        <x:v>10334300</x:v>
      </x:c>
      <x:c r="K18" s="871" t="n">
        <x:v>10334300</x:v>
      </x:c>
      <x:c r="L18" s="871" t="n">
        <x:v>41337200</x:v>
      </x:c>
      <x:c r="M18" s="869" t="str">
        <x:v>Complete</x:v>
      </x:c>
    </x:row>
    <x:row r="19" ht="20" customHeight="1">
      <x:c r="A19" s="862" t="n">
        <x:v>3</x:v>
      </x:c>
      <x:c r="B19" s="862" t="n">
        <x:v>1</x:v>
      </x:c>
      <x:c r="C19" s="862" t="str">
        <x:v>K176</x:v>
      </x:c>
      <x:c r="D19" s="825" t="str">
        <x:v>苟拓通天肆意妄为</x:v>
      </x:c>
      <x:c r="E19" s="872" t="n">
        <x:v>38071500</x:v>
      </x:c>
      <x:c r="F19" s="873" t="n">
        <x:v>5</x:v>
      </x:c>
      <x:c r="G19" s="874" t="n">
        <x:v>1</x:v>
      </x:c>
      <x:c r="H19" s="875" t="n">
        <x:v>10334300</x:v>
      </x:c>
      <x:c r="I19" s="875" t="n">
        <x:v>13868600</x:v>
      </x:c>
      <x:c r="J19" s="875" t="n">
        <x:v>6934300</x:v>
      </x:c>
      <x:c r="K19" s="875" t="n">
        <x:v>6934300</x:v>
      </x:c>
      <x:c r="L19" s="875" t="n">
        <x:v>27737200</x:v>
      </x:c>
      <x:c r="M19" s="873" t="str">
        <x:v>Complete</x:v>
      </x:c>
    </x:row>
    <x:row r="20" ht="20" customHeight="1">
      <x:c r="A20" s="863" t="n">
        <x:v>4</x:v>
      </x:c>
      <x:c r="B20" s="863" t="n">
        <x:v>2</x:v>
      </x:c>
      <x:c r="C20" s="863" t="str">
        <x:v>K197</x:v>
      </x:c>
      <x:c r="D20" s="813" t="str">
        <x:v>-GAMERMAN-</x:v>
      </x:c>
      <x:c r="E20" s="876" t="n">
        <x:v>35937200</x:v>
      </x:c>
      <x:c r="F20" s="863" t="n">
        <x:v>4</x:v>
      </x:c>
      <x:c r="G20" s="877" t="n">
        <x:v>1</x:v>
      </x:c>
      <x:c r="H20" s="876" t="n">
        <x:v>0</x:v>
      </x:c>
      <x:c r="I20" s="876" t="n">
        <x:v>18668600</x:v>
      </x:c>
      <x:c r="J20" s="876" t="n">
        <x:v>6934300</x:v>
      </x:c>
      <x:c r="K20" s="876" t="n">
        <x:v>10334300</x:v>
      </x:c>
      <x:c r="L20" s="876" t="n">
        <x:v>35937200</x:v>
      </x:c>
      <x:c r="M20" s="863" t="str">
        <x:v>Complete</x:v>
      </x:c>
    </x:row>
    <x:row r="21" ht="20" customHeight="1">
      <x:c r="A21" s="863" t="n">
        <x:v>5</x:v>
      </x:c>
      <x:c r="B21" s="863" t="n">
        <x:v>2</x:v>
      </x:c>
      <x:c r="C21" s="863" t="str">
        <x:v>K54</x:v>
      </x:c>
      <x:c r="D21" s="813" t="str">
        <x:v>纵横,,,大风</x:v>
      </x:c>
      <x:c r="E21" s="876" t="n">
        <x:v>32607200</x:v>
      </x:c>
      <x:c r="F21" s="863" t="n">
        <x:v>4</x:v>
      </x:c>
      <x:c r="G21" s="877" t="n">
        <x:v>1</x:v>
      </x:c>
      <x:c r="H21" s="876" t="n">
        <x:v>0</x:v>
      </x:c>
      <x:c r="I21" s="876" t="n">
        <x:v>15338600</x:v>
      </x:c>
      <x:c r="J21" s="876" t="n">
        <x:v>10334300</x:v>
      </x:c>
      <x:c r="K21" s="876" t="n">
        <x:v>6934300</x:v>
      </x:c>
      <x:c r="L21" s="876" t="n">
        <x:v>32607200</x:v>
      </x:c>
      <x:c r="M21" s="863" t="str">
        <x:v>Complete</x:v>
      </x:c>
    </x:row>
    <x:row r="22" ht="20" customHeight="1">
      <x:c r="A22" s="863" t="n">
        <x:v>6</x:v>
      </x:c>
      <x:c r="B22" s="863" t="n">
        <x:v>1</x:v>
      </x:c>
      <x:c r="C22" s="863" t="str">
        <x:v>K116</x:v>
      </x:c>
      <x:c r="D22" s="813" t="str">
        <x:v>Jesse</x:v>
      </x:c>
      <x:c r="E22" s="876" t="n">
        <x:v>31530800</x:v>
      </x:c>
      <x:c r="F22" s="863" t="n">
        <x:v>6</x:v>
      </x:c>
      <x:c r="G22" s="877" t="n">
        <x:v>1</x:v>
      </x:c>
      <x:c r="H22" s="876" t="n">
        <x:v>10334300</x:v>
      </x:c>
      <x:c r="I22" s="876" t="n">
        <x:v>15338600</x:v>
      </x:c>
      <x:c r="J22" s="876" t="n">
        <x:v>3244300</x:v>
      </x:c>
      <x:c r="K22" s="876" t="n">
        <x:v>2613600</x:v>
      </x:c>
      <x:c r="L22" s="876" t="n">
        <x:v>21196500</x:v>
      </x:c>
      <x:c r="M22" s="863" t="str">
        <x:v>Complete</x:v>
      </x:c>
    </x:row>
    <x:row r="23" ht="20" customHeight="1">
      <x:c r="A23" s="863" t="n">
        <x:v>7</x:v>
      </x:c>
      <x:c r="B23" s="863" t="n">
        <x:v>1</x:v>
      </x:c>
      <x:c r="C23" s="863" t="str">
        <x:v>K60</x:v>
      </x:c>
      <x:c r="D23" s="813" t="str">
        <x:v>#14 元气满满 (148,500)</x:v>
      </x:c>
      <x:c r="E23" s="876" t="n">
        <x:v>29641500</x:v>
      </x:c>
      <x:c r="F23" s="863" t="n">
        <x:v>5</x:v>
      </x:c>
      <x:c r="G23" s="877" t="n">
        <x:v>1</x:v>
      </x:c>
      <x:c r="H23" s="876" t="n">
        <x:v>0</x:v>
      </x:c>
      <x:c r="I23" s="876" t="n">
        <x:v>14218600</x:v>
      </x:c>
      <x:c r="J23" s="876" t="n">
        <x:v>2844300</x:v>
      </x:c>
      <x:c r="K23" s="876" t="n">
        <x:v>12578600</x:v>
      </x:c>
      <x:c r="L23" s="876" t="n">
        <x:v>29641500</x:v>
      </x:c>
      <x:c r="M23" s="863" t="str">
        <x:v>Complete</x:v>
      </x:c>
    </x:row>
    <x:row r="24" ht="20" customHeight="1">
      <x:c r="A24" s="863" t="n">
        <x:v>8</x:v>
      </x:c>
      <x:c r="B24" s="863" t="n">
        <x:v>2</x:v>
      </x:c>
      <x:c r="C24" s="863" t="str">
        <x:v>K176</x:v>
      </x:c>
      <x:c r="D24" s="813" t="str">
        <x:v>༺璀璨星辰༻</x:v>
      </x:c>
      <x:c r="E24" s="876" t="n">
        <x:v>29237200</x:v>
      </x:c>
      <x:c r="F24" s="863" t="n">
        <x:v>4</x:v>
      </x:c>
      <x:c r="G24" s="877" t="n">
        <x:v>1</x:v>
      </x:c>
      <x:c r="H24" s="876" t="n">
        <x:v>4284300</x:v>
      </x:c>
      <x:c r="I24" s="876" t="n">
        <x:v>20668600</x:v>
      </x:c>
      <x:c r="J24" s="876" t="n">
        <x:v>0</x:v>
      </x:c>
      <x:c r="K24" s="876" t="n">
        <x:v>4284300</x:v>
      </x:c>
      <x:c r="L24" s="876" t="n">
        <x:v>24952900</x:v>
      </x:c>
      <x:c r="M24" s="863" t="str">
        <x:v>Complete</x:v>
      </x:c>
    </x:row>
    <x:row r="25" ht="20" customHeight="1">
      <x:c r="A25" s="863" t="n">
        <x:v>9</x:v>
      </x:c>
      <x:c r="B25" s="863" t="n">
        <x:v>1</x:v>
      </x:c>
      <x:c r="C25" s="863" t="str">
        <x:v>K170</x:v>
      </x:c>
      <x:c r="D25" s="813" t="str">
        <x:v>(AOT)Panda</x:v>
      </x:c>
      <x:c r="E25" s="876" t="n">
        <x:v>26957200</x:v>
      </x:c>
      <x:c r="F25" s="863" t="n">
        <x:v>4</x:v>
      </x:c>
      <x:c r="G25" s="877" t="n">
        <x:v>1</x:v>
      </x:c>
      <x:c r="H25" s="876" t="n">
        <x:v>10334300</x:v>
      </x:c>
      <x:c r="I25" s="876" t="n">
        <x:v>14618600</x:v>
      </x:c>
      <x:c r="J25" s="876" t="n">
        <x:v>0</x:v>
      </x:c>
      <x:c r="K25" s="876" t="n">
        <x:v>2004300</x:v>
      </x:c>
      <x:c r="L25" s="876" t="n">
        <x:v>16622900</x:v>
      </x:c>
      <x:c r="M25" s="863" t="str">
        <x:v>Complete</x:v>
      </x:c>
    </x:row>
    <x:row r="26" ht="20" customHeight="1">
      <x:c r="A26" s="863" t="n">
        <x:v>10</x:v>
      </x:c>
      <x:c r="B26" s="863" t="n">
        <x:v>2</x:v>
      </x:c>
      <x:c r="C26" s="863" t="str">
        <x:v>K116</x:v>
      </x:c>
      <x:c r="D26" s="813" t="str">
        <x:v>光之使者</x:v>
      </x:c>
      <x:c r="E26" s="876" t="n">
        <x:v>26911500</x:v>
      </x:c>
      <x:c r="F26" s="863" t="n">
        <x:v>5</x:v>
      </x:c>
      <x:c r="G26" s="877" t="n">
        <x:v>1</x:v>
      </x:c>
      <x:c r="H26" s="876" t="n">
        <x:v>10334300</x:v>
      </x:c>
      <x:c r="I26" s="876" t="n">
        <x:v>8008600</x:v>
      </x:c>
      <x:c r="J26" s="876" t="n">
        <x:v>4284300</x:v>
      </x:c>
      <x:c r="K26" s="876" t="n">
        <x:v>4284300</x:v>
      </x:c>
      <x:c r="L26" s="876" t="n">
        <x:v>16577200</x:v>
      </x:c>
      <x:c r="M26" s="863" t="str">
        <x:v>Complete</x:v>
      </x:c>
    </x:row>
    <x:row r="27" ht="20" customHeight="1">
      <x:c r="A27" s="863" t="n">
        <x:v>11</x:v>
      </x:c>
      <x:c r="B27" s="863" t="n">
        <x:v>2</x:v>
      </x:c>
      <x:c r="C27" s="863" t="str">
        <x:v>K170</x:v>
      </x:c>
      <x:c r="D27" s="813" t="str">
        <x:v>(AOT)MG·Yu</x:v>
      </x:c>
      <x:c r="E27" s="876" t="n">
        <x:v>25831500</x:v>
      </x:c>
      <x:c r="F27" s="863" t="n">
        <x:v>5</x:v>
      </x:c>
      <x:c r="G27" s="877" t="n">
        <x:v>1</x:v>
      </x:c>
      <x:c r="H27" s="876" t="n">
        <x:v>5004300</x:v>
      </x:c>
      <x:c r="I27" s="876" t="n">
        <x:v>15338600</x:v>
      </x:c>
      <x:c r="J27" s="876" t="n">
        <x:v>3244300</x:v>
      </x:c>
      <x:c r="K27" s="876" t="n">
        <x:v>2244300</x:v>
      </x:c>
      <x:c r="L27" s="876" t="n">
        <x:v>20827200</x:v>
      </x:c>
      <x:c r="M27" s="863" t="str">
        <x:v>Complete</x:v>
      </x:c>
    </x:row>
    <x:row r="28" ht="20" customHeight="1">
      <x:c r="A28" s="863" t="n">
        <x:v>12</x:v>
      </x:c>
      <x:c r="B28" s="863" t="n">
        <x:v>3</x:v>
      </x:c>
      <x:c r="C28" s="863" t="str">
        <x:v>K170</x:v>
      </x:c>
      <x:c r="D28" s="813" t="str">
        <x:v>(AOT)SanSW°</x:v>
      </x:c>
      <x:c r="E28" s="876" t="n">
        <x:v>25627200</x:v>
      </x:c>
      <x:c r="F28" s="863" t="n">
        <x:v>4</x:v>
      </x:c>
      <x:c r="G28" s="877" t="n">
        <x:v>1</x:v>
      </x:c>
      <x:c r="H28" s="876" t="n">
        <x:v>10334300</x:v>
      </x:c>
      <x:c r="I28" s="876" t="n">
        <x:v>14218600</x:v>
      </x:c>
      <x:c r="J28" s="876" t="n">
        <x:v>1074300</x:v>
      </x:c>
      <x:c r="K28" s="876" t="n">
        <x:v>0</x:v>
      </x:c>
      <x:c r="L28" s="876" t="n">
        <x:v>15292900</x:v>
      </x:c>
      <x:c r="M28" s="863" t="str">
        <x:v>Complete</x:v>
      </x:c>
    </x:row>
    <x:row r="29" ht="20" customHeight="1">
      <x:c r="A29" s="863" t="n">
        <x:v>13</x:v>
      </x:c>
      <x:c r="B29" s="863" t="n">
        <x:v>2</x:v>
      </x:c>
      <x:c r="C29" s="863" t="str">
        <x:v>K60</x:v>
      </x:c>
      <x:c r="D29" s="813" t="str">
        <x:v>CerialKiller</x:v>
      </x:c>
      <x:c r="E29" s="876" t="n">
        <x:v>25347200</x:v>
      </x:c>
      <x:c r="F29" s="863" t="n">
        <x:v>4</x:v>
      </x:c>
      <x:c r="G29" s="877" t="n">
        <x:v>1</x:v>
      </x:c>
      <x:c r="H29" s="876" t="n">
        <x:v>10334300</x:v>
      </x:c>
      <x:c r="I29" s="876" t="n">
        <x:v>10008600</x:v>
      </x:c>
      <x:c r="J29" s="876" t="n">
        <x:v>5004300</x:v>
      </x:c>
      <x:c r="K29" s="876" t="n">
        <x:v>0</x:v>
      </x:c>
      <x:c r="L29" s="876" t="n">
        <x:v>15012900</x:v>
      </x:c>
      <x:c r="M29" s="863" t="str">
        <x:v>Complete</x:v>
      </x:c>
    </x:row>
    <x:row r="30" ht="20" customHeight="1">
      <x:c r="A30" s="863" t="n">
        <x:v>14</x:v>
      </x:c>
      <x:c r="B30" s="863" t="n">
        <x:v>1</x:v>
      </x:c>
      <x:c r="C30" s="863" t="str">
        <x:v>K138</x:v>
      </x:c>
      <x:c r="D30" s="813" t="str">
        <x:v>(RaW)Critykal</x:v>
      </x:c>
      <x:c r="E30" s="876" t="n">
        <x:v>25157200</x:v>
      </x:c>
      <x:c r="F30" s="863" t="n">
        <x:v>4</x:v>
      </x:c>
      <x:c r="G30" s="877" t="n">
        <x:v>1</x:v>
      </x:c>
      <x:c r="H30" s="876" t="n">
        <x:v>0</x:v>
      </x:c>
      <x:c r="I30" s="876" t="n">
        <x:v>20668600</x:v>
      </x:c>
      <x:c r="J30" s="876" t="n">
        <x:v>2244300</x:v>
      </x:c>
      <x:c r="K30" s="876" t="n">
        <x:v>2244300</x:v>
      </x:c>
      <x:c r="L30" s="876" t="n">
        <x:v>25157200</x:v>
      </x:c>
      <x:c r="M30" s="863" t="str">
        <x:v>Complete</x:v>
      </x:c>
    </x:row>
    <x:row r="31" ht="20" customHeight="1">
      <x:c r="A31" s="863" t="n">
        <x:v>15</x:v>
      </x:c>
      <x:c r="B31" s="863" t="n">
        <x:v>3</x:v>
      </x:c>
      <x:c r="C31" s="863" t="str">
        <x:v>K176</x:v>
      </x:c>
      <x:c r="D31" s="813" t="str">
        <x:v>梦山河</x:v>
      </x:c>
      <x:c r="E31" s="876" t="n">
        <x:v>24677200</x:v>
      </x:c>
      <x:c r="F31" s="863" t="n">
        <x:v>4</x:v>
      </x:c>
      <x:c r="G31" s="877" t="n">
        <x:v>1</x:v>
      </x:c>
      <x:c r="H31" s="876" t="n">
        <x:v>4284300</x:v>
      </x:c>
      <x:c r="I31" s="876" t="n">
        <x:v>16668600</x:v>
      </x:c>
      <x:c r="J31" s="876" t="n">
        <x:v>0</x:v>
      </x:c>
      <x:c r="K31" s="876" t="n">
        <x:v>3724300</x:v>
      </x:c>
      <x:c r="L31" s="876" t="n">
        <x:v>20392900</x:v>
      </x:c>
      <x:c r="M31" s="863" t="str">
        <x:v>Complete</x:v>
      </x:c>
    </x:row>
    <x:row r="32" ht="20" customHeight="1">
      <x:c r="A32" s="863" t="n">
        <x:v>16</x:v>
      </x:c>
      <x:c r="B32" s="863" t="n">
        <x:v>1</x:v>
      </x:c>
      <x:c r="C32" s="863" t="str">
        <x:v>K91</x:v>
      </x:c>
      <x:c r="D32" s="813" t="str">
        <x:v>•Pain•</x:v>
      </x:c>
      <x:c r="E32" s="876" t="n">
        <x:v>24521500</x:v>
      </x:c>
      <x:c r="F32" s="863" t="n">
        <x:v>5</x:v>
      </x:c>
      <x:c r="G32" s="877" t="n">
        <x:v>1</x:v>
      </x:c>
      <x:c r="H32" s="876" t="n">
        <x:v>0</x:v>
      </x:c>
      <x:c r="I32" s="876" t="n">
        <x:v>16218600</x:v>
      </x:c>
      <x:c r="J32" s="876" t="n">
        <x:v>4284300</x:v>
      </x:c>
      <x:c r="K32" s="876" t="n">
        <x:v>4018600</x:v>
      </x:c>
      <x:c r="L32" s="876" t="n">
        <x:v>24521500</x:v>
      </x:c>
      <x:c r="M32" s="863" t="str">
        <x:v>Complete</x:v>
      </x:c>
    </x:row>
    <x:row r="33" ht="20" customHeight="1">
      <x:c r="A33" s="863" t="n">
        <x:v>17</x:v>
      </x:c>
      <x:c r="B33" s="863" t="n">
        <x:v>2</x:v>
      </x:c>
      <x:c r="C33" s="863" t="str">
        <x:v>K91</x:v>
      </x:c>
      <x:c r="D33" s="813" t="str">
        <x:v>Skrapz</x:v>
      </x:c>
      <x:c r="E33" s="876" t="n">
        <x:v>24391500</x:v>
      </x:c>
      <x:c r="F33" s="863" t="n">
        <x:v>5</x:v>
      </x:c>
      <x:c r="G33" s="877" t="n">
        <x:v>1</x:v>
      </x:c>
      <x:c r="H33" s="876" t="n">
        <x:v>2244300</x:v>
      </x:c>
      <x:c r="I33" s="876" t="n">
        <x:v>13578600</x:v>
      </x:c>
      <x:c r="J33" s="876" t="n">
        <x:v>4284300</x:v>
      </x:c>
      <x:c r="K33" s="876" t="n">
        <x:v>4284300</x:v>
      </x:c>
      <x:c r="L33" s="876" t="n">
        <x:v>22147200</x:v>
      </x:c>
      <x:c r="M33" s="863" t="str">
        <x:v>Complete</x:v>
      </x:c>
    </x:row>
    <x:row r="34" ht="20" customHeight="1">
      <x:c r="A34" s="863" t="n">
        <x:v>18</x:v>
      </x:c>
      <x:c r="B34" s="863" t="n">
        <x:v>2</x:v>
      </x:c>
      <x:c r="C34" s="863" t="str">
        <x:v>K138</x:v>
      </x:c>
      <x:c r="D34" s="813" t="str">
        <x:v>(RaW)༺博卡Ajax༻</x:v>
      </x:c>
      <x:c r="E34" s="876" t="n">
        <x:v>23628300</x:v>
      </x:c>
      <x:c r="F34" s="863" t="n">
        <x:v>6</x:v>
      </x:c>
      <x:c r="G34" s="877" t="n">
        <x:v>1</x:v>
      </x:c>
      <x:c r="H34" s="876" t="n">
        <x:v>10334300</x:v>
      </x:c>
      <x:c r="I34" s="876" t="n">
        <x:v>8568600</x:v>
      </x:c>
      <x:c r="J34" s="876" t="n">
        <x:v>3951100</x:v>
      </x:c>
      <x:c r="K34" s="876" t="n">
        <x:v>774300</x:v>
      </x:c>
      <x:c r="L34" s="876" t="n">
        <x:v>13294000</x:v>
      </x:c>
      <x:c r="M34" s="863" t="str">
        <x:v>Complete</x:v>
      </x:c>
    </x:row>
    <x:row r="35" ht="20" customHeight="1">
      <x:c r="A35" s="863" t="n">
        <x:v>19</x:v>
      </x:c>
      <x:c r="B35" s="863" t="n">
        <x:v>3</x:v>
      </x:c>
      <x:c r="C35" s="863" t="str">
        <x:v>K60</x:v>
      </x:c>
      <x:c r="D35" s="813" t="str">
        <x:v>°Silent°</x:v>
      </x:c>
      <x:c r="E35" s="876" t="n">
        <x:v>23391500</x:v>
      </x:c>
      <x:c r="F35" s="863" t="n">
        <x:v>5</x:v>
      </x:c>
      <x:c r="G35" s="877" t="n">
        <x:v>1</x:v>
      </x:c>
      <x:c r="H35" s="876" t="n">
        <x:v>0</x:v>
      </x:c>
      <x:c r="I35" s="876" t="n">
        <x:v>8568600</x:v>
      </x:c>
      <x:c r="J35" s="876" t="n">
        <x:v>2244300</x:v>
      </x:c>
      <x:c r="K35" s="876" t="n">
        <x:v>12578600</x:v>
      </x:c>
      <x:c r="L35" s="876" t="n">
        <x:v>23391500</x:v>
      </x:c>
      <x:c r="M35" s="863" t="str">
        <x:v>Complete</x:v>
      </x:c>
    </x:row>
    <x:row r="36" ht="20" customHeight="1">
      <x:c r="A36" s="863" t="n">
        <x:v>20</x:v>
      </x:c>
      <x:c r="B36" s="863" t="n">
        <x:v>4</x:v>
      </x:c>
      <x:c r="C36" s="863" t="str">
        <x:v>K176</x:v>
      </x:c>
      <x:c r="D36" s="813" t="str">
        <x:v>♱Seraphim織羽♱</x:v>
      </x:c>
      <x:c r="E36" s="876" t="n">
        <x:v>23197200</x:v>
      </x:c>
      <x:c r="F36" s="863" t="n">
        <x:v>4</x:v>
      </x:c>
      <x:c r="G36" s="877" t="n">
        <x:v>1</x:v>
      </x:c>
      <x:c r="H36" s="876" t="n">
        <x:v>4284300</x:v>
      </x:c>
      <x:c r="I36" s="876" t="n">
        <x:v>16668600</x:v>
      </x:c>
      <x:c r="J36" s="876" t="n">
        <x:v>0</x:v>
      </x:c>
      <x:c r="K36" s="876" t="n">
        <x:v>2244300</x:v>
      </x:c>
      <x:c r="L36" s="876" t="n">
        <x:v>18912900</x:v>
      </x:c>
      <x:c r="M36" s="863" t="str">
        <x:v>Complete</x:v>
      </x:c>
    </x:row>
    <x:row r="37" ht="20" customHeight="1">
      <x:c r="A37" s="863" t="n">
        <x:v>21</x:v>
      </x:c>
      <x:c r="B37" s="863" t="n">
        <x:v>3</x:v>
      </x:c>
      <x:c r="C37" s="863" t="str">
        <x:v>K54</x:v>
      </x:c>
      <x:c r="D37" s="813" t="str">
        <x:v>爽歪歪</x:v>
      </x:c>
      <x:c r="E37" s="876" t="n">
        <x:v>22272900</x:v>
      </x:c>
      <x:c r="F37" s="863" t="n">
        <x:v>3</x:v>
      </x:c>
      <x:c r="G37" s="877" t="n">
        <x:v>1</x:v>
      </x:c>
      <x:c r="H37" s="876" t="n">
        <x:v>10334300</x:v>
      </x:c>
      <x:c r="I37" s="876" t="n">
        <x:v>11938600</x:v>
      </x:c>
      <x:c r="J37" s="876" t="n">
        <x:v>0</x:v>
      </x:c>
      <x:c r="K37" s="876" t="n">
        <x:v>0</x:v>
      </x:c>
      <x:c r="L37" s="876" t="n">
        <x:v>11938600</x:v>
      </x:c>
      <x:c r="M37" s="863" t="str">
        <x:v>Complete</x:v>
      </x:c>
    </x:row>
    <x:row r="38" ht="20" customHeight="1">
      <x:c r="A38" s="863" t="n">
        <x:v>22</x:v>
      </x:c>
      <x:c r="B38" s="863" t="n">
        <x:v>4</x:v>
      </x:c>
      <x:c r="C38" s="863" t="str">
        <x:v>K54</x:v>
      </x:c>
      <x:c r="D38" s="813" t="str">
        <x:v>ony</x:v>
      </x:c>
      <x:c r="E38" s="876" t="n">
        <x:v>22237200</x:v>
      </x:c>
      <x:c r="F38" s="863" t="n">
        <x:v>4</x:v>
      </x:c>
      <x:c r="G38" s="877" t="n">
        <x:v>1</x:v>
      </x:c>
      <x:c r="H38" s="876" t="n">
        <x:v>0</x:v>
      </x:c>
      <x:c r="I38" s="876" t="n">
        <x:v>15268600</x:v>
      </x:c>
      <x:c r="J38" s="876" t="n">
        <x:v>3244300</x:v>
      </x:c>
      <x:c r="K38" s="876" t="n">
        <x:v>3724300</x:v>
      </x:c>
      <x:c r="L38" s="876" t="n">
        <x:v>22237200</x:v>
      </x:c>
      <x:c r="M38" s="863" t="str">
        <x:v>Complete</x:v>
      </x:c>
    </x:row>
    <x:row r="39" ht="20" customHeight="1">
      <x:c r="A39" s="863" t="n">
        <x:v>23</x:v>
      </x:c>
      <x:c r="B39" s="863" t="n">
        <x:v>4</x:v>
      </x:c>
      <x:c r="C39" s="863" t="str">
        <x:v>K170</x:v>
      </x:c>
      <x:c r="D39" s="813" t="str">
        <x:v>(AOT)Themechanic</x:v>
      </x:c>
      <x:c r="E39" s="876" t="n">
        <x:v>22127200</x:v>
      </x:c>
      <x:c r="F39" s="863" t="n">
        <x:v>4</x:v>
      </x:c>
      <x:c r="G39" s="877" t="n">
        <x:v>1</x:v>
      </x:c>
      <x:c r="H39" s="876" t="n">
        <x:v>5884300</x:v>
      </x:c>
      <x:c r="I39" s="876" t="n">
        <x:v>14618600</x:v>
      </x:c>
      <x:c r="J39" s="876" t="n">
        <x:v>1624300</x:v>
      </x:c>
      <x:c r="K39" s="876" t="n">
        <x:v>0</x:v>
      </x:c>
      <x:c r="L39" s="876" t="n">
        <x:v>16242900</x:v>
      </x:c>
      <x:c r="M39" s="863" t="str">
        <x:v>Complete</x:v>
      </x:c>
    </x:row>
    <x:row r="40" ht="20" customHeight="1">
      <x:c r="A40" s="863" t="n">
        <x:v>24</x:v>
      </x:c>
      <x:c r="B40" s="863" t="n">
        <x:v>4</x:v>
      </x:c>
      <x:c r="C40" s="863" t="str">
        <x:v>K60</x:v>
      </x:c>
      <x:c r="D40" s="813" t="str">
        <x:v>Дерог</x:v>
      </x:c>
      <x:c r="E40" s="876" t="n">
        <x:v>21980800</x:v>
      </x:c>
      <x:c r="F40" s="863" t="n">
        <x:v>6</x:v>
      </x:c>
      <x:c r="G40" s="877" t="n">
        <x:v>1</x:v>
      </x:c>
      <x:c r="H40" s="876" t="n">
        <x:v>2244300</x:v>
      </x:c>
      <x:c r="I40" s="876" t="n">
        <x:v>11938600</x:v>
      </x:c>
      <x:c r="J40" s="876" t="n">
        <x:v>2244300</x:v>
      </x:c>
      <x:c r="K40" s="876" t="n">
        <x:v>5553600</x:v>
      </x:c>
      <x:c r="L40" s="876" t="n">
        <x:v>19736500</x:v>
      </x:c>
      <x:c r="M40" s="863" t="str">
        <x:v>Complete</x:v>
      </x:c>
    </x:row>
    <x:row r="41" ht="20" customHeight="1">
      <x:c r="A41" s="863" t="n">
        <x:v>25</x:v>
      </x:c>
      <x:c r="B41" s="863" t="n">
        <x:v>5</x:v>
      </x:c>
      <x:c r="C41" s="863" t="str">
        <x:v>K176</x:v>
      </x:c>
      <x:c r="D41" s="813" t="str">
        <x:v>「鳥傷」</x:v>
      </x:c>
      <x:c r="E41" s="876" t="n">
        <x:v>21867200</x:v>
      </x:c>
      <x:c r="F41" s="863" t="n">
        <x:v>4</x:v>
      </x:c>
      <x:c r="G41" s="877" t="n">
        <x:v>1</x:v>
      </x:c>
      <x:c r="H41" s="876" t="n">
        <x:v>4284300</x:v>
      </x:c>
      <x:c r="I41" s="876" t="n">
        <x:v>10334300</x:v>
      </x:c>
      <x:c r="J41" s="876" t="n">
        <x:v>2244300</x:v>
      </x:c>
      <x:c r="K41" s="876" t="n">
        <x:v>5004300</x:v>
      </x:c>
      <x:c r="L41" s="876" t="n">
        <x:v>17582900</x:v>
      </x:c>
      <x:c r="M41" s="863" t="str">
        <x:v>Complete</x:v>
      </x:c>
    </x:row>
    <x:row r="42" ht="20" customHeight="1">
      <x:c r="A42" s="863" t="n">
        <x:v>26</x:v>
      </x:c>
      <x:c r="B42" s="863" t="n">
        <x:v>6</x:v>
      </x:c>
      <x:c r="C42" s="863" t="str">
        <x:v>K176</x:v>
      </x:c>
      <x:c r="D42" s="813" t="str">
        <x:v>金玉其外败絮其中</x:v>
      </x:c>
      <x:c r="E42" s="876" t="n">
        <x:v>21377200</x:v>
      </x:c>
      <x:c r="F42" s="863" t="n">
        <x:v>4</x:v>
      </x:c>
      <x:c r="G42" s="877" t="n">
        <x:v>1</x:v>
      </x:c>
      <x:c r="H42" s="876" t="n">
        <x:v>5884300</x:v>
      </x:c>
      <x:c r="I42" s="876" t="n">
        <x:v>13868600</x:v>
      </x:c>
      <x:c r="J42" s="876" t="n">
        <x:v>0</x:v>
      </x:c>
      <x:c r="K42" s="876" t="n">
        <x:v>1624300</x:v>
      </x:c>
      <x:c r="L42" s="876" t="n">
        <x:v>15492900</x:v>
      </x:c>
      <x:c r="M42" s="863" t="str">
        <x:v>Complete</x:v>
      </x:c>
    </x:row>
    <x:row r="43" ht="20" customHeight="1">
      <x:c r="A43" s="863" t="n">
        <x:v>27</x:v>
      </x:c>
      <x:c r="B43" s="863" t="n">
        <x:v>5</x:v>
      </x:c>
      <x:c r="C43" s="863" t="str">
        <x:v>K170</x:v>
      </x:c>
      <x:c r="D43" s="813" t="str">
        <x:v>(AOT)WeleS</x:v>
      </x:c>
      <x:c r="E43" s="876" t="n">
        <x:v>21152900</x:v>
      </x:c>
      <x:c r="F43" s="863" t="n">
        <x:v>3</x:v>
      </x:c>
      <x:c r="G43" s="877" t="n">
        <x:v>1</x:v>
      </x:c>
      <x:c r="H43" s="876" t="n">
        <x:v>6934300</x:v>
      </x:c>
      <x:c r="I43" s="876" t="n">
        <x:v>5884300</x:v>
      </x:c>
      <x:c r="J43" s="876" t="n">
        <x:v>8334300</x:v>
      </x:c>
      <x:c r="K43" s="876" t="n">
        <x:v>0</x:v>
      </x:c>
      <x:c r="L43" s="876" t="n">
        <x:v>14218600</x:v>
      </x:c>
      <x:c r="M43" s="863" t="str">
        <x:v>Complete</x:v>
      </x:c>
    </x:row>
    <x:row r="44" ht="20" customHeight="1">
      <x:c r="A44" s="863" t="n">
        <x:v>28</x:v>
      </x:c>
      <x:c r="B44" s="863" t="n">
        <x:v>3</x:v>
      </x:c>
      <x:c r="C44" s="863" t="str">
        <x:v>K138</x:v>
      </x:c>
      <x:c r="D44" s="813" t="str">
        <x:v>(RaW)༺Frankie༻</x:v>
      </x:c>
      <x:c r="E44" s="876" t="n">
        <x:v>20841500</x:v>
      </x:c>
      <x:c r="F44" s="863" t="n">
        <x:v>5</x:v>
      </x:c>
      <x:c r="G44" s="877" t="n">
        <x:v>1</x:v>
      </x:c>
      <x:c r="H44" s="876" t="n">
        <x:v>10334300</x:v>
      </x:c>
      <x:c r="I44" s="876" t="n">
        <x:v>8568600</x:v>
      </x:c>
      <x:c r="J44" s="876" t="n">
        <x:v>1074300</x:v>
      </x:c>
      <x:c r="K44" s="876" t="n">
        <x:v>864300</x:v>
      </x:c>
      <x:c r="L44" s="876" t="n">
        <x:v>10507200</x:v>
      </x:c>
      <x:c r="M44" s="863" t="str">
        <x:v>Complete</x:v>
      </x:c>
    </x:row>
    <x:row r="45" ht="20" customHeight="1">
      <x:c r="A45" s="863" t="n">
        <x:v>29</x:v>
      </x:c>
      <x:c r="B45" s="863" t="n">
        <x:v>4</x:v>
      </x:c>
      <x:c r="C45" s="863" t="str">
        <x:v>K138</x:v>
      </x:c>
      <x:c r="D45" s="813" t="str">
        <x:v>(RaW)Des</x:v>
      </x:c>
      <x:c r="E45" s="876" t="n">
        <x:v>20668600</x:v>
      </x:c>
      <x:c r="F45" s="863" t="n">
        <x:v>2</x:v>
      </x:c>
      <x:c r="G45" s="877" t="n">
        <x:v>1</x:v>
      </x:c>
      <x:c r="H45" s="876" t="n">
        <x:v>10334300</x:v>
      </x:c>
      <x:c r="I45" s="876" t="n">
        <x:v>10334300</x:v>
      </x:c>
      <x:c r="J45" s="876" t="n">
        <x:v>0</x:v>
      </x:c>
      <x:c r="K45" s="876" t="n">
        <x:v>0</x:v>
      </x:c>
      <x:c r="L45" s="876" t="n">
        <x:v>10334300</x:v>
      </x:c>
      <x:c r="M45" s="863" t="str">
        <x:v>Complete</x:v>
      </x:c>
    </x:row>
    <x:row r="46" ht="20" customHeight="1">
      <x:c r="A46" s="863" t="n">
        <x:v>29</x:v>
      </x:c>
      <x:c r="B46" s="863" t="n">
        <x:v>4</x:v>
      </x:c>
      <x:c r="C46" s="863" t="str">
        <x:v>K138</x:v>
      </x:c>
      <x:c r="D46" s="813" t="str">
        <x:v>(RaW)Leprechaun</x:v>
      </x:c>
      <x:c r="E46" s="876" t="n">
        <x:v>20668600</x:v>
      </x:c>
      <x:c r="F46" s="863" t="n">
        <x:v>2</x:v>
      </x:c>
      <x:c r="G46" s="877" t="n">
        <x:v>1</x:v>
      </x:c>
      <x:c r="H46" s="876" t="n">
        <x:v>10334300</x:v>
      </x:c>
      <x:c r="I46" s="876" t="n">
        <x:v>10334300</x:v>
      </x:c>
      <x:c r="J46" s="876" t="n">
        <x:v>0</x:v>
      </x:c>
      <x:c r="K46" s="876" t="n">
        <x:v>0</x:v>
      </x:c>
      <x:c r="L46" s="876" t="n">
        <x:v>10334300</x:v>
      </x:c>
      <x:c r="M46" s="863" t="str">
        <x:v>Complete</x:v>
      </x:c>
    </x:row>
    <x:row r="47" ht="20" customHeight="1">
      <x:c r="A47" s="863" t="n">
        <x:v>29</x:v>
      </x:c>
      <x:c r="B47" s="863" t="n">
        <x:v>3</x:v>
      </x:c>
      <x:c r="C47" s="863" t="str">
        <x:v>K197</x:v>
      </x:c>
      <x:c r="D47" s="813" t="str">
        <x:v>Saku</x:v>
      </x:c>
      <x:c r="E47" s="876" t="n">
        <x:v>20668600</x:v>
      </x:c>
      <x:c r="F47" s="863" t="n">
        <x:v>2</x:v>
      </x:c>
      <x:c r="G47" s="877" t="n">
        <x:v>1</x:v>
      </x:c>
      <x:c r="H47" s="876" t="n">
        <x:v>0</x:v>
      </x:c>
      <x:c r="I47" s="876" t="n">
        <x:v>10334300</x:v>
      </x:c>
      <x:c r="J47" s="876" t="n">
        <x:v>10334300</x:v>
      </x:c>
      <x:c r="K47" s="876" t="n">
        <x:v>0</x:v>
      </x:c>
      <x:c r="L47" s="876" t="n">
        <x:v>20668600</x:v>
      </x:c>
      <x:c r="M47" s="863" t="str">
        <x:v>Complete</x:v>
      </x:c>
    </x:row>
    <x:row r="48" ht="20" customHeight="1">
      <x:c r="A48" s="863" t="n">
        <x:v>32</x:v>
      </x:c>
      <x:c r="B48" s="863" t="n">
        <x:v>7</x:v>
      </x:c>
      <x:c r="C48" s="863" t="str">
        <x:v>K176</x:v>
      </x:c>
      <x:c r="D48" s="813" t="str">
        <x:v>我于杀戮之中绽放</x:v>
      </x:c>
      <x:c r="E48" s="876" t="n">
        <x:v>20067200</x:v>
      </x:c>
      <x:c r="F48" s="863" t="n">
        <x:v>4</x:v>
      </x:c>
      <x:c r="G48" s="877" t="n">
        <x:v>1</x:v>
      </x:c>
      <x:c r="H48" s="876" t="n">
        <x:v>6934300</x:v>
      </x:c>
      <x:c r="I48" s="876" t="n">
        <x:v>10888600</x:v>
      </x:c>
      <x:c r="J48" s="876" t="n">
        <x:v>0</x:v>
      </x:c>
      <x:c r="K48" s="876" t="n">
        <x:v>2244300</x:v>
      </x:c>
      <x:c r="L48" s="876" t="n">
        <x:v>13132900</x:v>
      </x:c>
      <x:c r="M48" s="863" t="str">
        <x:v>Complete</x:v>
      </x:c>
    </x:row>
    <x:row r="49" ht="20" customHeight="1">
      <x:c r="A49" s="863" t="n">
        <x:v>33</x:v>
      </x:c>
      <x:c r="B49" s="863" t="n">
        <x:v>6</x:v>
      </x:c>
      <x:c r="C49" s="863" t="str">
        <x:v>K170</x:v>
      </x:c>
      <x:c r="D49" s="813" t="str">
        <x:v>(AOT)VAB999</x:v>
      </x:c>
      <x:c r="E49" s="876" t="n">
        <x:v>19827200</x:v>
      </x:c>
      <x:c r="F49" s="863" t="n">
        <x:v>4</x:v>
      </x:c>
      <x:c r="G49" s="877" t="n">
        <x:v>1</x:v>
      </x:c>
      <x:c r="H49" s="876" t="n">
        <x:v>5004300</x:v>
      </x:c>
      <x:c r="I49" s="876" t="n">
        <x:v>2244300</x:v>
      </x:c>
      <x:c r="J49" s="876" t="n">
        <x:v>12578600</x:v>
      </x:c>
      <x:c r="K49" s="876" t="n">
        <x:v>0</x:v>
      </x:c>
      <x:c r="L49" s="876" t="n">
        <x:v>14822900</x:v>
      </x:c>
      <x:c r="M49" s="863" t="str">
        <x:v>Complete</x:v>
      </x:c>
    </x:row>
    <x:row r="50" ht="20" customHeight="1">
      <x:c r="A50" s="863" t="n">
        <x:v>34</x:v>
      </x:c>
      <x:c r="B50" s="863" t="n">
        <x:v>5</x:v>
      </x:c>
      <x:c r="C50" s="863" t="str">
        <x:v>K60</x:v>
      </x:c>
      <x:c r="D50" s="813" t="str">
        <x:v>雪Snowy</x:v>
      </x:c>
      <x:c r="E50" s="876" t="n">
        <x:v>19757200</x:v>
      </x:c>
      <x:c r="F50" s="863" t="n">
        <x:v>4</x:v>
      </x:c>
      <x:c r="G50" s="877" t="n">
        <x:v>1</x:v>
      </x:c>
      <x:c r="H50" s="876" t="n">
        <x:v>2244300</x:v>
      </x:c>
      <x:c r="I50" s="876" t="n">
        <x:v>15268600</x:v>
      </x:c>
      <x:c r="J50" s="876" t="n">
        <x:v>2244300</x:v>
      </x:c>
      <x:c r="K50" s="876" t="n">
        <x:v>0</x:v>
      </x:c>
      <x:c r="L50" s="876" t="n">
        <x:v>17512900</x:v>
      </x:c>
      <x:c r="M50" s="863" t="str">
        <x:v>Complete</x:v>
      </x:c>
    </x:row>
    <x:row r="51" ht="20" customHeight="1">
      <x:c r="A51" s="863" t="n">
        <x:v>35</x:v>
      </x:c>
      <x:c r="B51" s="863" t="n">
        <x:v>5</x:v>
      </x:c>
      <x:c r="C51" s="863" t="str">
        <x:v>K54</x:v>
      </x:c>
      <x:c r="D51" s="813" t="str">
        <x:v>纵横,,,Nike耐克</x:v>
      </x:c>
      <x:c r="E51" s="876" t="n">
        <x:v>19297200</x:v>
      </x:c>
      <x:c r="F51" s="863" t="n">
        <x:v>4</x:v>
      </x:c>
      <x:c r="G51" s="877" t="n">
        <x:v>1</x:v>
      </x:c>
      <x:c r="H51" s="876" t="n">
        <x:v>0</x:v>
      </x:c>
      <x:c r="I51" s="876" t="n">
        <x:v>10008600</x:v>
      </x:c>
      <x:c r="J51" s="876" t="n">
        <x:v>4284300</x:v>
      </x:c>
      <x:c r="K51" s="876" t="n">
        <x:v>5004300</x:v>
      </x:c>
      <x:c r="L51" s="876" t="n">
        <x:v>19297200</x:v>
      </x:c>
      <x:c r="M51" s="863" t="str">
        <x:v>Complete</x:v>
      </x:c>
    </x:row>
    <x:row r="52" ht="20" customHeight="1">
      <x:c r="A52" s="863" t="n">
        <x:v>36</x:v>
      </x:c>
      <x:c r="B52" s="863" t="n">
        <x:v>6</x:v>
      </x:c>
      <x:c r="C52" s="863" t="str">
        <x:v>K138</x:v>
      </x:c>
      <x:c r="D52" s="813" t="str">
        <x:v>(RaW)SLAP</x:v>
      </x:c>
      <x:c r="E52" s="876" t="n">
        <x:v>18917200</x:v>
      </x:c>
      <x:c r="F52" s="863" t="n">
        <x:v>4</x:v>
      </x:c>
      <x:c r="G52" s="877" t="n">
        <x:v>1</x:v>
      </x:c>
      <x:c r="H52" s="876" t="n">
        <x:v>0</x:v>
      </x:c>
      <x:c r="I52" s="876" t="n">
        <x:v>13868600</x:v>
      </x:c>
      <x:c r="J52" s="876" t="n">
        <x:v>2524300</x:v>
      </x:c>
      <x:c r="K52" s="876" t="n">
        <x:v>2524300</x:v>
      </x:c>
      <x:c r="L52" s="876" t="n">
        <x:v>18917200</x:v>
      </x:c>
      <x:c r="M52" s="863" t="str">
        <x:v>Complete</x:v>
      </x:c>
    </x:row>
    <x:row r="53" ht="20" customHeight="1">
      <x:c r="A53" s="863" t="n">
        <x:v>37</x:v>
      </x:c>
      <x:c r="B53" s="863" t="n">
        <x:v>8</x:v>
      </x:c>
      <x:c r="C53" s="863" t="str">
        <x:v>K176</x:v>
      </x:c>
      <x:c r="D53" s="813" t="str">
        <x:v>罗密欧与猪过夜</x:v>
      </x:c>
      <x:c r="E53" s="876" t="n">
        <x:v>18897200</x:v>
      </x:c>
      <x:c r="F53" s="863" t="n">
        <x:v>4</x:v>
      </x:c>
      <x:c r="G53" s="877" t="n">
        <x:v>1</x:v>
      </x:c>
      <x:c r="H53" s="876" t="n">
        <x:v>4284300</x:v>
      </x:c>
      <x:c r="I53" s="876" t="n">
        <x:v>11768600</x:v>
      </x:c>
      <x:c r="J53" s="876" t="n">
        <x:v>0</x:v>
      </x:c>
      <x:c r="K53" s="876" t="n">
        <x:v>2844300</x:v>
      </x:c>
      <x:c r="L53" s="876" t="n">
        <x:v>14612900</x:v>
      </x:c>
      <x:c r="M53" s="863" t="str">
        <x:v>Complete</x:v>
      </x:c>
    </x:row>
    <x:row r="54" ht="20" customHeight="1">
      <x:c r="A54" s="863" t="n">
        <x:v>38</x:v>
      </x:c>
      <x:c r="B54" s="863" t="n">
        <x:v>4</x:v>
      </x:c>
      <x:c r="C54" s="863" t="str">
        <x:v>K197</x:v>
      </x:c>
      <x:c r="D54" s="813" t="str">
        <x:v>Loong</x:v>
      </x:c>
      <x:c r="E54" s="876" t="n">
        <x:v>18668600</x:v>
      </x:c>
      <x:c r="F54" s="863" t="n">
        <x:v>2</x:v>
      </x:c>
      <x:c r="G54" s="877" t="n">
        <x:v>1</x:v>
      </x:c>
      <x:c r="H54" s="876" t="n">
        <x:v>8334300</x:v>
      </x:c>
      <x:c r="I54" s="876" t="n">
        <x:v>0</x:v>
      </x:c>
      <x:c r="J54" s="876" t="n">
        <x:v>10334300</x:v>
      </x:c>
      <x:c r="K54" s="876" t="n">
        <x:v>0</x:v>
      </x:c>
      <x:c r="L54" s="876" t="n">
        <x:v>10334300</x:v>
      </x:c>
      <x:c r="M54" s="863" t="str">
        <x:v>Complete</x:v>
      </x:c>
    </x:row>
    <x:row r="55" ht="20" customHeight="1">
      <x:c r="A55" s="863" t="n">
        <x:v>39</x:v>
      </x:c>
      <x:c r="B55" s="863" t="n">
        <x:v>3</x:v>
      </x:c>
      <x:c r="C55" s="863" t="str">
        <x:v>K91</x:v>
      </x:c>
      <x:c r="D55" s="813" t="str">
        <x:v>WindRunner</x:v>
      </x:c>
      <x:c r="E55" s="876" t="n">
        <x:v>18592900</x:v>
      </x:c>
      <x:c r="F55" s="863" t="n">
        <x:v>3</x:v>
      </x:c>
      <x:c r="G55" s="877" t="n">
        <x:v>1</x:v>
      </x:c>
      <x:c r="H55" s="876" t="n">
        <x:v>1324300</x:v>
      </x:c>
      <x:c r="I55" s="876" t="n">
        <x:v>0</x:v>
      </x:c>
      <x:c r="J55" s="876" t="n">
        <x:v>17268600</x:v>
      </x:c>
      <x:c r="K55" s="876" t="n">
        <x:v>0</x:v>
      </x:c>
      <x:c r="L55" s="876" t="n">
        <x:v>17268600</x:v>
      </x:c>
      <x:c r="M55" s="863" t="str">
        <x:v>Complete</x:v>
      </x:c>
    </x:row>
    <x:row r="56" ht="20" customHeight="1">
      <x:c r="A56" s="863" t="n">
        <x:v>40</x:v>
      </x:c>
      <x:c r="B56" s="863" t="n">
        <x:v>3</x:v>
      </x:c>
      <x:c r="C56" s="863" t="str">
        <x:v>K116</x:v>
      </x:c>
      <x:c r="D56" s="813" t="str">
        <x:v>不可理喻</x:v>
      </x:c>
      <x:c r="E56" s="876" t="n">
        <x:v>18341500</x:v>
      </x:c>
      <x:c r="F56" s="863" t="n">
        <x:v>5</x:v>
      </x:c>
      <x:c r="G56" s="877" t="n">
        <x:v>1</x:v>
      </x:c>
      <x:c r="H56" s="876" t="n">
        <x:v>5004300</x:v>
      </x:c>
      <x:c r="I56" s="876" t="n">
        <x:v>8248600</x:v>
      </x:c>
      <x:c r="J56" s="876" t="n">
        <x:v>2844300</x:v>
      </x:c>
      <x:c r="K56" s="876" t="n">
        <x:v>2244300</x:v>
      </x:c>
      <x:c r="L56" s="876" t="n">
        <x:v>13337200</x:v>
      </x:c>
      <x:c r="M56" s="863" t="str">
        <x:v>Complete</x:v>
      </x:c>
    </x:row>
    <x:row r="57" ht="20" customHeight="1">
      <x:c r="A57" s="863" t="n">
        <x:v>41</x:v>
      </x:c>
      <x:c r="B57" s="863" t="n">
        <x:v>9</x:v>
      </x:c>
      <x:c r="C57" s="863" t="str">
        <x:v>K176</x:v>
      </x:c>
      <x:c r="D57" s="813" t="str">
        <x:v>温水煮青蛙</x:v>
      </x:c>
      <x:c r="E57" s="876" t="n">
        <x:v>18307200</x:v>
      </x:c>
      <x:c r="F57" s="863" t="n">
        <x:v>4</x:v>
      </x:c>
      <x:c r="G57" s="877" t="n">
        <x:v>1</x:v>
      </x:c>
      <x:c r="H57" s="876" t="n">
        <x:v>5004300</x:v>
      </x:c>
      <x:c r="I57" s="876" t="n">
        <x:v>12818600</x:v>
      </x:c>
      <x:c r="J57" s="876" t="n">
        <x:v>0</x:v>
      </x:c>
      <x:c r="K57" s="876" t="n">
        <x:v>484300</x:v>
      </x:c>
      <x:c r="L57" s="876" t="n">
        <x:v>13302900</x:v>
      </x:c>
      <x:c r="M57" s="863" t="str">
        <x:v>Complete</x:v>
      </x:c>
    </x:row>
    <x:row r="58" ht="20" customHeight="1">
      <x:c r="A58" s="863" t="n">
        <x:v>42</x:v>
      </x:c>
      <x:c r="B58" s="863" t="n">
        <x:v>10</x:v>
      </x:c>
      <x:c r="C58" s="863" t="str">
        <x:v>K176</x:v>
      </x:c>
      <x:c r="D58" s="813" t="str">
        <x:v>灰色轨迹</x:v>
      </x:c>
      <x:c r="E58" s="876" t="n">
        <x:v>17841500</x:v>
      </x:c>
      <x:c r="F58" s="863" t="n">
        <x:v>5</x:v>
      </x:c>
      <x:c r="G58" s="877" t="n">
        <x:v>1</x:v>
      </x:c>
      <x:c r="H58" s="876" t="n">
        <x:v>4284300</x:v>
      </x:c>
      <x:c r="I58" s="876" t="n">
        <x:v>11938600</x:v>
      </x:c>
      <x:c r="J58" s="876" t="n">
        <x:v>1194300</x:v>
      </x:c>
      <x:c r="K58" s="876" t="n">
        <x:v>424300</x:v>
      </x:c>
      <x:c r="L58" s="876" t="n">
        <x:v>13557200</x:v>
      </x:c>
      <x:c r="M58" s="863" t="str">
        <x:v>Complete</x:v>
      </x:c>
    </x:row>
    <x:row r="59" ht="20" customHeight="1">
      <x:c r="A59" s="863" t="n">
        <x:v>43</x:v>
      </x:c>
      <x:c r="B59" s="863" t="n">
        <x:v>4</x:v>
      </x:c>
      <x:c r="C59" s="863" t="str">
        <x:v>K116</x:v>
      </x:c>
      <x:c r="D59" s="813" t="str">
        <x:v>红烧狮子头</x:v>
      </x:c>
      <x:c r="E59" s="876" t="n">
        <x:v>17687200</x:v>
      </x:c>
      <x:c r="F59" s="863" t="n">
        <x:v>4</x:v>
      </x:c>
      <x:c r="G59" s="877" t="n">
        <x:v>1</x:v>
      </x:c>
      <x:c r="H59" s="876" t="n">
        <x:v>10334300</x:v>
      </x:c>
      <x:c r="I59" s="876" t="n">
        <x:v>4108600</x:v>
      </x:c>
      <x:c r="J59" s="876" t="n">
        <x:v>3244300</x:v>
      </x:c>
      <x:c r="K59" s="876" t="n">
        <x:v>0</x:v>
      </x:c>
      <x:c r="L59" s="876" t="n">
        <x:v>7352900</x:v>
      </x:c>
      <x:c r="M59" s="863" t="str">
        <x:v>Complete</x:v>
      </x:c>
    </x:row>
    <x:row r="60" ht="20" customHeight="1">
      <x:c r="A60" s="863" t="n">
        <x:v>44</x:v>
      </x:c>
      <x:c r="B60" s="863" t="n">
        <x:v>5</x:v>
      </x:c>
      <x:c r="C60" s="863" t="str">
        <x:v>K116</x:v>
      </x:c>
      <x:c r="D60" s="813" t="str">
        <x:v>蜜蜜°</x:v>
      </x:c>
      <x:c r="E60" s="876" t="n">
        <x:v>17627200</x:v>
      </x:c>
      <x:c r="F60" s="863" t="n">
        <x:v>4</x:v>
      </x:c>
      <x:c r="G60" s="877" t="n">
        <x:v>1</x:v>
      </x:c>
      <x:c r="H60" s="876" t="n">
        <x:v>10334300</x:v>
      </x:c>
      <x:c r="I60" s="876" t="n">
        <x:v>5048600</x:v>
      </x:c>
      <x:c r="J60" s="876" t="n">
        <x:v>2244300</x:v>
      </x:c>
      <x:c r="K60" s="876" t="n">
        <x:v>0</x:v>
      </x:c>
      <x:c r="L60" s="876" t="n">
        <x:v>7292900</x:v>
      </x:c>
      <x:c r="M60" s="863" t="str">
        <x:v>Complete</x:v>
      </x:c>
    </x:row>
    <x:row r="61" ht="20" customHeight="1">
      <x:c r="A61" s="863" t="n">
        <x:v>45</x:v>
      </x:c>
      <x:c r="B61" s="863" t="n">
        <x:v>7</x:v>
      </x:c>
      <x:c r="C61" s="863" t="str">
        <x:v>K138</x:v>
      </x:c>
      <x:c r="D61" s="813" t="str">
        <x:v>(RaW)༺惊鸿༻</x:v>
      </x:c>
      <x:c r="E61" s="876" t="n">
        <x:v>17582900</x:v>
      </x:c>
      <x:c r="F61" s="863" t="n">
        <x:v>3</x:v>
      </x:c>
      <x:c r="G61" s="877" t="n">
        <x:v>1</x:v>
      </x:c>
      <x:c r="H61" s="876" t="n">
        <x:v>0</x:v>
      </x:c>
      <x:c r="I61" s="876" t="n">
        <x:v>12578600</x:v>
      </x:c>
      <x:c r="J61" s="876" t="n">
        <x:v>5004300</x:v>
      </x:c>
      <x:c r="K61" s="876" t="n">
        <x:v>0</x:v>
      </x:c>
      <x:c r="L61" s="876" t="n">
        <x:v>17582900</x:v>
      </x:c>
      <x:c r="M61" s="863" t="str">
        <x:v>Complete</x:v>
      </x:c>
    </x:row>
    <x:row r="62" ht="20" customHeight="1">
      <x:c r="A62" s="863" t="n">
        <x:v>46</x:v>
      </x:c>
      <x:c r="B62" s="863" t="n">
        <x:v>6</x:v>
      </x:c>
      <x:c r="C62" s="863" t="str">
        <x:v>K60</x:v>
      </x:c>
      <x:c r="D62" s="813" t="str">
        <x:v>kvisteer</x:v>
      </x:c>
      <x:c r="E62" s="876" t="n">
        <x:v>17257200</x:v>
      </x:c>
      <x:c r="F62" s="863" t="n">
        <x:v>4</x:v>
      </x:c>
      <x:c r="G62" s="877" t="n">
        <x:v>1</x:v>
      </x:c>
      <x:c r="H62" s="876" t="n">
        <x:v>2244300</x:v>
      </x:c>
      <x:c r="I62" s="876" t="n">
        <x:v>11768600</x:v>
      </x:c>
      <x:c r="J62" s="876" t="n">
        <x:v>3244300</x:v>
      </x:c>
      <x:c r="K62" s="876" t="n">
        <x:v>0</x:v>
      </x:c>
      <x:c r="L62" s="876" t="n">
        <x:v>15012900</x:v>
      </x:c>
      <x:c r="M62" s="863" t="str">
        <x:v>Complete</x:v>
      </x:c>
    </x:row>
    <x:row r="63" ht="20" customHeight="1">
      <x:c r="A63" s="863" t="n">
        <x:v>47</x:v>
      </x:c>
      <x:c r="B63" s="863" t="n">
        <x:v>8</x:v>
      </x:c>
      <x:c r="C63" s="863" t="str">
        <x:v>K138</x:v>
      </x:c>
      <x:c r="D63" s="813" t="str">
        <x:v>(RaW)BEYKOZLU</x:v>
      </x:c>
      <x:c r="E63" s="876" t="n">
        <x:v>17112900</x:v>
      </x:c>
      <x:c r="F63" s="863" t="n">
        <x:v>3</x:v>
      </x:c>
      <x:c r="G63" s="877" t="n">
        <x:v>1</x:v>
      </x:c>
      <x:c r="H63" s="876" t="n">
        <x:v>6934300</x:v>
      </x:c>
      <x:c r="I63" s="876" t="n">
        <x:v>6934300</x:v>
      </x:c>
      <x:c r="J63" s="876" t="n">
        <x:v>3244300</x:v>
      </x:c>
      <x:c r="K63" s="876" t="n">
        <x:v>0</x:v>
      </x:c>
      <x:c r="L63" s="876" t="n">
        <x:v>10178600</x:v>
      </x:c>
      <x:c r="M63" s="863" t="str">
        <x:v>Complete</x:v>
      </x:c>
    </x:row>
    <x:row r="64" ht="20" customHeight="1">
      <x:c r="A64" s="863" t="n">
        <x:v>48</x:v>
      </x:c>
      <x:c r="B64" s="863" t="n">
        <x:v>11</x:v>
      </x:c>
      <x:c r="C64" s="863" t="str">
        <x:v>K176</x:v>
      </x:c>
      <x:c r="D64" s="813" t="str">
        <x:v>临兵斗者皆阵列前</x:v>
      </x:c>
      <x:c r="E64" s="876" t="n">
        <x:v>17099000</x:v>
      </x:c>
      <x:c r="F64" s="863" t="n">
        <x:v>5</x:v>
      </x:c>
      <x:c r="G64" s="877" t="n">
        <x:v>1</x:v>
      </x:c>
      <x:c r="H64" s="876" t="n">
        <x:v>4284300</x:v>
      </x:c>
      <x:c r="I64" s="876" t="n">
        <x:v>11218600</x:v>
      </x:c>
      <x:c r="J64" s="876" t="n">
        <x:v>1324300</x:v>
      </x:c>
      <x:c r="K64" s="876" t="n">
        <x:v>271800</x:v>
      </x:c>
      <x:c r="L64" s="876" t="n">
        <x:v>12814700</x:v>
      </x:c>
      <x:c r="M64" s="863" t="str">
        <x:v>Complete</x:v>
      </x:c>
    </x:row>
    <x:row r="65" ht="20" customHeight="1">
      <x:c r="A65" s="863" t="n">
        <x:v>49</x:v>
      </x:c>
      <x:c r="B65" s="863" t="n">
        <x:v>12</x:v>
      </x:c>
      <x:c r="C65" s="863" t="str">
        <x:v>K176</x:v>
      </x:c>
      <x:c r="D65" s="813" t="str">
        <x:v>老黑黑</x:v>
      </x:c>
      <x:c r="E65" s="876" t="n">
        <x:v>17001500</x:v>
      </x:c>
      <x:c r="F65" s="863" t="n">
        <x:v>5</x:v>
      </x:c>
      <x:c r="G65" s="877" t="n">
        <x:v>1</x:v>
      </x:c>
      <x:c r="H65" s="876" t="n">
        <x:v>4284300</x:v>
      </x:c>
      <x:c r="I65" s="876" t="n">
        <x:v>8008600</x:v>
      </x:c>
      <x:c r="J65" s="876" t="n">
        <x:v>4284300</x:v>
      </x:c>
      <x:c r="K65" s="876" t="n">
        <x:v>424300</x:v>
      </x:c>
      <x:c r="L65" s="876" t="n">
        <x:v>12717200</x:v>
      </x:c>
      <x:c r="M65" s="863" t="str">
        <x:v>Complete</x:v>
      </x:c>
    </x:row>
    <x:row r="66" ht="20" customHeight="1">
      <x:c r="A66" s="863" t="n">
        <x:v>50</x:v>
      </x:c>
      <x:c r="B66" s="863" t="n">
        <x:v>5</x:v>
      </x:c>
      <x:c r="C66" s="863" t="str">
        <x:v>K197</x:v>
      </x:c>
      <x:c r="D66" s="813" t="str">
        <x:v>Zakmil23139</x:v>
      </x:c>
      <x:c r="E66" s="876" t="n">
        <x:v>16962900</x:v>
      </x:c>
      <x:c r="F66" s="863" t="n">
        <x:v>3</x:v>
      </x:c>
      <x:c r="G66" s="877" t="n">
        <x:v>1</x:v>
      </x:c>
      <x:c r="H66" s="876" t="n">
        <x:v>0</x:v>
      </x:c>
      <x:c r="I66" s="876" t="n">
        <x:v>5004300</x:v>
      </x:c>
      <x:c r="J66" s="876" t="n">
        <x:v>10334300</x:v>
      </x:c>
      <x:c r="K66" s="876" t="n">
        <x:v>1624300</x:v>
      </x:c>
      <x:c r="L66" s="876" t="n">
        <x:v>16962900</x:v>
      </x:c>
      <x:c r="M66" s="863" t="str">
        <x:v>Complete</x:v>
      </x:c>
    </x:row>
    <x:row r="67" ht="20" customHeight="1">
      <x:c r="A67" s="863" t="n">
        <x:v>51</x:v>
      </x:c>
      <x:c r="B67" s="863" t="n">
        <x:v>4</x:v>
      </x:c>
      <x:c r="C67" s="863" t="str">
        <x:v>K91</x:v>
      </x:c>
      <x:c r="D67" s="813" t="str">
        <x:v>KaladinTheHerald</x:v>
      </x:c>
      <x:c r="E67" s="876" t="n">
        <x:v>16802900</x:v>
      </x:c>
      <x:c r="F67" s="863" t="n">
        <x:v>3</x:v>
      </x:c>
      <x:c r="G67" s="877" t="n">
        <x:v>1</x:v>
      </x:c>
      <x:c r="H67" s="876" t="n">
        <x:v>1464300</x:v>
      </x:c>
      <x:c r="I67" s="876" t="n">
        <x:v>15338600</x:v>
      </x:c>
      <x:c r="J67" s="876" t="n">
        <x:v>0</x:v>
      </x:c>
      <x:c r="K67" s="876" t="n">
        <x:v>0</x:v>
      </x:c>
      <x:c r="L67" s="876" t="n">
        <x:v>15338600</x:v>
      </x:c>
      <x:c r="M67" s="863" t="str">
        <x:v>Complete</x:v>
      </x:c>
    </x:row>
    <x:row r="68" ht="20" customHeight="1">
      <x:c r="A68" s="863" t="n">
        <x:v>52</x:v>
      </x:c>
      <x:c r="B68" s="863" t="n">
        <x:v>5</x:v>
      </x:c>
      <x:c r="C68" s="863" t="str">
        <x:v>K91</x:v>
      </x:c>
      <x:c r="D68" s="813" t="str">
        <x:v>JustBlaze</x:v>
      </x:c>
      <x:c r="E68" s="876" t="n">
        <x:v>16767900</x:v>
      </x:c>
      <x:c r="F68" s="863" t="n">
        <x:v>3</x:v>
      </x:c>
      <x:c r="G68" s="877" t="n">
        <x:v>1</x:v>
      </x:c>
      <x:c r="H68" s="876" t="n">
        <x:v>549300</x:v>
      </x:c>
      <x:c r="I68" s="876" t="n">
        <x:v>16218600</x:v>
      </x:c>
      <x:c r="J68" s="876" t="n">
        <x:v>0</x:v>
      </x:c>
      <x:c r="K68" s="876" t="n">
        <x:v>0</x:v>
      </x:c>
      <x:c r="L68" s="876" t="n">
        <x:v>16218600</x:v>
      </x:c>
      <x:c r="M68" s="863" t="str">
        <x:v>Complete</x:v>
      </x:c>
    </x:row>
    <x:row r="69" ht="20" customHeight="1">
      <x:c r="A69" s="863" t="n">
        <x:v>53</x:v>
      </x:c>
      <x:c r="B69" s="863" t="n">
        <x:v>13</x:v>
      </x:c>
      <x:c r="C69" s="863" t="str">
        <x:v>K176</x:v>
      </x:c>
      <x:c r="D69" s="813" t="str">
        <x:v>ʚ老⑥ɞ</x:v>
      </x:c>
      <x:c r="E69" s="876" t="n">
        <x:v>16221500</x:v>
      </x:c>
      <x:c r="F69" s="863" t="n">
        <x:v>5</x:v>
      </x:c>
      <x:c r="G69" s="877" t="n">
        <x:v>1</x:v>
      </x:c>
      <x:c r="H69" s="876" t="n">
        <x:v>3244300</x:v>
      </x:c>
      <x:c r="I69" s="876" t="n">
        <x:v>6488600</x:v>
      </x:c>
      <x:c r="J69" s="876" t="n">
        <x:v>3244300</x:v>
      </x:c>
      <x:c r="K69" s="876" t="n">
        <x:v>3244300</x:v>
      </x:c>
      <x:c r="L69" s="876" t="n">
        <x:v>12977200</x:v>
      </x:c>
      <x:c r="M69" s="863" t="str">
        <x:v>Complete</x:v>
      </x:c>
    </x:row>
    <x:row r="70" ht="20" customHeight="1">
      <x:c r="A70" s="863" t="n">
        <x:v>54</x:v>
      </x:c>
      <x:c r="B70" s="863" t="n">
        <x:v>6</x:v>
      </x:c>
      <x:c r="C70" s="863" t="str">
        <x:v>K91</x:v>
      </x:c>
      <x:c r="D70" s="813" t="str">
        <x:v>λTλ⁵⁷βЄЧ</x:v>
      </x:c>
      <x:c r="E70" s="876" t="n">
        <x:v>15822900</x:v>
      </x:c>
      <x:c r="F70" s="863" t="n">
        <x:v>3</x:v>
      </x:c>
      <x:c r="G70" s="877" t="n">
        <x:v>1</x:v>
      </x:c>
      <x:c r="H70" s="876" t="n">
        <x:v>2244300</x:v>
      </x:c>
      <x:c r="I70" s="876" t="n">
        <x:v>0</x:v>
      </x:c>
      <x:c r="J70" s="876" t="n">
        <x:v>13578600</x:v>
      </x:c>
      <x:c r="K70" s="876" t="n">
        <x:v>0</x:v>
      </x:c>
      <x:c r="L70" s="876" t="n">
        <x:v>13578600</x:v>
      </x:c>
      <x:c r="M70" s="863" t="str">
        <x:v>Complete</x:v>
      </x:c>
    </x:row>
    <x:row r="71" ht="20" customHeight="1">
      <x:c r="A71" s="863" t="n">
        <x:v>55</x:v>
      </x:c>
      <x:c r="B71" s="863" t="n">
        <x:v>7</x:v>
      </x:c>
      <x:c r="C71" s="863" t="str">
        <x:v>K91</x:v>
      </x:c>
      <x:c r="D71" s="813" t="str">
        <x:v>TÜRK 81</x:v>
      </x:c>
      <x:c r="E71" s="876" t="n">
        <x:v>15702900</x:v>
      </x:c>
      <x:c r="F71" s="863" t="n">
        <x:v>3</x:v>
      </x:c>
      <x:c r="G71" s="877" t="n">
        <x:v>1</x:v>
      </x:c>
      <x:c r="H71" s="876" t="n">
        <x:v>2844300</x:v>
      </x:c>
      <x:c r="I71" s="876" t="n">
        <x:v>0</x:v>
      </x:c>
      <x:c r="J71" s="876" t="n">
        <x:v>12858600</x:v>
      </x:c>
      <x:c r="K71" s="876" t="n">
        <x:v>0</x:v>
      </x:c>
      <x:c r="L71" s="876" t="n">
        <x:v>12858600</x:v>
      </x:c>
      <x:c r="M71" s="863" t="str">
        <x:v>Complete</x:v>
      </x:c>
    </x:row>
    <x:row r="72" ht="20" customHeight="1">
      <x:c r="A72" s="863" t="n">
        <x:v>55</x:v>
      </x:c>
      <x:c r="B72" s="863" t="n">
        <x:v>6</x:v>
      </x:c>
      <x:c r="C72" s="863" t="str">
        <x:v>K116</x:v>
      </x:c>
      <x:c r="D72" s="813" t="str">
        <x:v>苦瓜大王</x:v>
      </x:c>
      <x:c r="E72" s="876" t="n">
        <x:v>15702900</x:v>
      </x:c>
      <x:c r="F72" s="863" t="n">
        <x:v>3</x:v>
      </x:c>
      <x:c r="G72" s="877" t="n">
        <x:v>1</x:v>
      </x:c>
      <x:c r="H72" s="876" t="n">
        <x:v>10334300</x:v>
      </x:c>
      <x:c r="I72" s="876" t="n">
        <x:v>2844300</x:v>
      </x:c>
      <x:c r="J72" s="876" t="n">
        <x:v>2524300</x:v>
      </x:c>
      <x:c r="K72" s="876" t="n">
        <x:v>0</x:v>
      </x:c>
      <x:c r="L72" s="876" t="n">
        <x:v>5368600</x:v>
      </x:c>
      <x:c r="M72" s="863" t="str">
        <x:v>Complete</x:v>
      </x:c>
    </x:row>
    <x:row r="73" ht="20" customHeight="1">
      <x:c r="A73" s="863" t="n">
        <x:v>57</x:v>
      </x:c>
      <x:c r="B73" s="863" t="n">
        <x:v>7</x:v>
      </x:c>
      <x:c r="C73" s="863" t="str">
        <x:v>K60</x:v>
      </x:c>
      <x:c r="D73" s="813" t="str">
        <x:v>邪恶的Xero</x:v>
      </x:c>
      <x:c r="E73" s="876" t="n">
        <x:v>15662900</x:v>
      </x:c>
      <x:c r="F73" s="863" t="n">
        <x:v>3</x:v>
      </x:c>
      <x:c r="G73" s="877" t="n">
        <x:v>1</x:v>
      </x:c>
      <x:c r="H73" s="876" t="n">
        <x:v>0</x:v>
      </x:c>
      <x:c r="I73" s="876" t="n">
        <x:v>12818600</x:v>
      </x:c>
      <x:c r="J73" s="876" t="n">
        <x:v>2844300</x:v>
      </x:c>
      <x:c r="K73" s="876" t="n">
        <x:v>0</x:v>
      </x:c>
      <x:c r="L73" s="876" t="n">
        <x:v>15662900</x:v>
      </x:c>
      <x:c r="M73" s="863" t="str">
        <x:v>Complete</x:v>
      </x:c>
    </x:row>
    <x:row r="74" ht="20" customHeight="1">
      <x:c r="A74" s="863" t="n">
        <x:v>58</x:v>
      </x:c>
      <x:c r="B74" s="863" t="n">
        <x:v>9</x:v>
      </x:c>
      <x:c r="C74" s="863" t="str">
        <x:v>K138</x:v>
      </x:c>
      <x:c r="D74" s="813" t="str">
        <x:v>(RaW)YAMI</x:v>
      </x:c>
      <x:c r="E74" s="876" t="n">
        <x:v>15422900</x:v>
      </x:c>
      <x:c r="F74" s="863" t="n">
        <x:v>3</x:v>
      </x:c>
      <x:c r="G74" s="877" t="n">
        <x:v>1</x:v>
      </x:c>
      <x:c r="H74" s="876" t="n">
        <x:v>2844300</x:v>
      </x:c>
      <x:c r="I74" s="876" t="n">
        <x:v>10334300</x:v>
      </x:c>
      <x:c r="J74" s="876" t="n">
        <x:v>0</x:v>
      </x:c>
      <x:c r="K74" s="876" t="n">
        <x:v>2244300</x:v>
      </x:c>
      <x:c r="L74" s="876" t="n">
        <x:v>12578600</x:v>
      </x:c>
      <x:c r="M74" s="863" t="str">
        <x:v>Complete</x:v>
      </x:c>
    </x:row>
    <x:row r="75" ht="20" customHeight="1">
      <x:c r="A75" s="863" t="n">
        <x:v>59</x:v>
      </x:c>
      <x:c r="B75" s="863" t="n">
        <x:v>8</x:v>
      </x:c>
      <x:c r="C75" s="863" t="str">
        <x:v>K60</x:v>
      </x:c>
      <x:c r="D75" s="813" t="str">
        <x:v>陰影Sam</x:v>
      </x:c>
      <x:c r="E75" s="876" t="n">
        <x:v>15377200</x:v>
      </x:c>
      <x:c r="F75" s="863" t="n">
        <x:v>4</x:v>
      </x:c>
      <x:c r="G75" s="877" t="n">
        <x:v>1</x:v>
      </x:c>
      <x:c r="H75" s="876" t="n">
        <x:v>2244300</x:v>
      </x:c>
      <x:c r="I75" s="876" t="n">
        <x:v>10888600</x:v>
      </x:c>
      <x:c r="J75" s="876" t="n">
        <x:v>2244300</x:v>
      </x:c>
      <x:c r="K75" s="876" t="n">
        <x:v>0</x:v>
      </x:c>
      <x:c r="L75" s="876" t="n">
        <x:v>13132900</x:v>
      </x:c>
      <x:c r="M75" s="863" t="str">
        <x:v>Complete</x:v>
      </x:c>
    </x:row>
    <x:row r="76" ht="20" customHeight="1">
      <x:c r="A76" s="863" t="n">
        <x:v>60</x:v>
      </x:c>
      <x:c r="B76" s="863" t="n">
        <x:v>7</x:v>
      </x:c>
      <x:c r="C76" s="863" t="str">
        <x:v>K170</x:v>
      </x:c>
      <x:c r="D76" s="813" t="str">
        <x:v>(AOT)StFruz</x:v>
      </x:c>
      <x:c r="E76" s="876" t="n">
        <x:v>15207200</x:v>
      </x:c>
      <x:c r="F76" s="863" t="n">
        <x:v>4</x:v>
      </x:c>
      <x:c r="G76" s="877" t="n">
        <x:v>1</x:v>
      </x:c>
      <x:c r="H76" s="876" t="n">
        <x:v>0</x:v>
      </x:c>
      <x:c r="I76" s="876" t="n">
        <x:v>3724300</x:v>
      </x:c>
      <x:c r="J76" s="876" t="n">
        <x:v>184300</x:v>
      </x:c>
      <x:c r="K76" s="876" t="n">
        <x:v>11298600</x:v>
      </x:c>
      <x:c r="L76" s="876" t="n">
        <x:v>15207200</x:v>
      </x:c>
      <x:c r="M76" s="863" t="str">
        <x:v>Complete</x:v>
      </x:c>
    </x:row>
    <x:row r="77" ht="20" customHeight="1">
      <x:c r="A77" s="863" t="n">
        <x:v>61</x:v>
      </x:c>
      <x:c r="B77" s="863" t="n">
        <x:v>8</x:v>
      </x:c>
      <x:c r="C77" s="863" t="str">
        <x:v>K170</x:v>
      </x:c>
      <x:c r="D77" s="813" t="str">
        <x:v>(AOT)鸣鸣鸣</x:v>
      </x:c>
      <x:c r="E77" s="876" t="n">
        <x:v>15172900</x:v>
      </x:c>
      <x:c r="F77" s="863" t="n">
        <x:v>3</x:v>
      </x:c>
      <x:c r="G77" s="877" t="n">
        <x:v>1</x:v>
      </x:c>
      <x:c r="H77" s="876" t="n">
        <x:v>0</x:v>
      </x:c>
      <x:c r="I77" s="876" t="n">
        <x:v>10888600</x:v>
      </x:c>
      <x:c r="J77" s="876" t="n">
        <x:v>4284300</x:v>
      </x:c>
      <x:c r="K77" s="876" t="n">
        <x:v>0</x:v>
      </x:c>
      <x:c r="L77" s="876" t="n">
        <x:v>15172900</x:v>
      </x:c>
      <x:c r="M77" s="863" t="str">
        <x:v>Complete</x:v>
      </x:c>
    </x:row>
    <x:row r="78" ht="20" customHeight="1">
      <x:c r="A78" s="863" t="n">
        <x:v>62</x:v>
      </x:c>
      <x:c r="B78" s="863" t="n">
        <x:v>10</x:v>
      </x:c>
      <x:c r="C78" s="863" t="str">
        <x:v>K138</x:v>
      </x:c>
      <x:c r="D78" s="813" t="str">
        <x:v>(RaW)༺Aryz༻</x:v>
      </x:c>
      <x:c r="E78" s="876" t="n">
        <x:v>15097200</x:v>
      </x:c>
      <x:c r="F78" s="863" t="n">
        <x:v>4</x:v>
      </x:c>
      <x:c r="G78" s="877" t="n">
        <x:v>1</x:v>
      </x:c>
      <x:c r="H78" s="876" t="n">
        <x:v>0</x:v>
      </x:c>
      <x:c r="I78" s="876" t="n">
        <x:v>10008600</x:v>
      </x:c>
      <x:c r="J78" s="876" t="n">
        <x:v>2244300</x:v>
      </x:c>
      <x:c r="K78" s="876" t="n">
        <x:v>2844300</x:v>
      </x:c>
      <x:c r="L78" s="876" t="n">
        <x:v>15097200</x:v>
      </x:c>
      <x:c r="M78" s="863" t="str">
        <x:v>Complete</x:v>
      </x:c>
    </x:row>
    <x:row r="79" ht="20" customHeight="1">
      <x:c r="A79" s="863" t="n">
        <x:v>63</x:v>
      </x:c>
      <x:c r="B79" s="863" t="n">
        <x:v>9</x:v>
      </x:c>
      <x:c r="C79" s="863" t="str">
        <x:v>K170</x:v>
      </x:c>
      <x:c r="D79" s="813" t="str">
        <x:v>(AOT)Doctopussy</x:v>
      </x:c>
      <x:c r="E79" s="876" t="n">
        <x:v>14810200</x:v>
      </x:c>
      <x:c r="F79" s="863" t="n">
        <x:v>5</x:v>
      </x:c>
      <x:c r="G79" s="877" t="n">
        <x:v>1</x:v>
      </x:c>
      <x:c r="H79" s="876" t="n">
        <x:v>3724300</x:v>
      </x:c>
      <x:c r="I79" s="876" t="n">
        <x:v>6934300</x:v>
      </x:c>
      <x:c r="J79" s="876" t="n">
        <x:v>3287300</x:v>
      </x:c>
      <x:c r="K79" s="876" t="n">
        <x:v>864300</x:v>
      </x:c>
      <x:c r="L79" s="876" t="n">
        <x:v>11085900</x:v>
      </x:c>
      <x:c r="M79" s="863" t="str">
        <x:v>Complete</x:v>
      </x:c>
    </x:row>
    <x:row r="80" ht="20" customHeight="1">
      <x:c r="A80" s="863" t="n">
        <x:v>64</x:v>
      </x:c>
      <x:c r="B80" s="863" t="n">
        <x:v>10</x:v>
      </x:c>
      <x:c r="C80" s="863" t="str">
        <x:v>K170</x:v>
      </x:c>
      <x:c r="D80" s="813" t="str">
        <x:v>(AOT)Fenixx</x:v>
      </x:c>
      <x:c r="E80" s="876" t="n">
        <x:v>14701500</x:v>
      </x:c>
      <x:c r="F80" s="863" t="n">
        <x:v>5</x:v>
      </x:c>
      <x:c r="G80" s="877" t="n">
        <x:v>1</x:v>
      </x:c>
      <x:c r="H80" s="876" t="n">
        <x:v>4284300</x:v>
      </x:c>
      <x:c r="I80" s="876" t="n">
        <x:v>7628600</x:v>
      </x:c>
      <x:c r="J80" s="876" t="n">
        <x:v>1324300</x:v>
      </x:c>
      <x:c r="K80" s="876" t="n">
        <x:v>1464300</x:v>
      </x:c>
      <x:c r="L80" s="876" t="n">
        <x:v>10417200</x:v>
      </x:c>
      <x:c r="M80" s="863" t="str">
        <x:v>Complete</x:v>
      </x:c>
    </x:row>
    <x:row r="81" ht="20" customHeight="1">
      <x:c r="A81" s="863" t="n">
        <x:v>65</x:v>
      </x:c>
      <x:c r="B81" s="863" t="n">
        <x:v>14</x:v>
      </x:c>
      <x:c r="C81" s="863" t="str">
        <x:v>K176</x:v>
      </x:c>
      <x:c r="D81" s="813" t="str">
        <x:v>岑胖子</x:v>
      </x:c>
      <x:c r="E81" s="876" t="n">
        <x:v>14621500</x:v>
      </x:c>
      <x:c r="F81" s="863" t="n">
        <x:v>5</x:v>
      </x:c>
      <x:c r="G81" s="877" t="n">
        <x:v>1</x:v>
      </x:c>
      <x:c r="H81" s="876" t="n">
        <x:v>4284300</x:v>
      </x:c>
      <x:c r="I81" s="876" t="n">
        <x:v>9288600</x:v>
      </x:c>
      <x:c r="J81" s="876" t="n">
        <x:v>864300</x:v>
      </x:c>
      <x:c r="K81" s="876" t="n">
        <x:v>184300</x:v>
      </x:c>
      <x:c r="L81" s="876" t="n">
        <x:v>10337200</x:v>
      </x:c>
      <x:c r="M81" s="863" t="str">
        <x:v>Complete</x:v>
      </x:c>
    </x:row>
    <x:row r="82" ht="20" customHeight="1">
      <x:c r="A82" s="863" t="n">
        <x:v>66</x:v>
      </x:c>
      <x:c r="B82" s="863" t="n">
        <x:v>8</x:v>
      </x:c>
      <x:c r="C82" s="863" t="str">
        <x:v>K91</x:v>
      </x:c>
      <x:c r="D82" s="813" t="str">
        <x:v>Milhaus</x:v>
      </x:c>
      <x:c r="E82" s="876" t="n">
        <x:v>14582900</x:v>
      </x:c>
      <x:c r="F82" s="863" t="n">
        <x:v>3</x:v>
      </x:c>
      <x:c r="G82" s="877" t="n">
        <x:v>1</x:v>
      </x:c>
      <x:c r="H82" s="876" t="n">
        <x:v>2244300</x:v>
      </x:c>
      <x:c r="I82" s="876" t="n">
        <x:v>0</x:v>
      </x:c>
      <x:c r="J82" s="876" t="n">
        <x:v>12338600</x:v>
      </x:c>
      <x:c r="K82" s="876" t="n">
        <x:v>0</x:v>
      </x:c>
      <x:c r="L82" s="876" t="n">
        <x:v>12338600</x:v>
      </x:c>
      <x:c r="M82" s="863" t="str">
        <x:v>Complete</x:v>
      </x:c>
    </x:row>
    <x:row r="83" ht="20" customHeight="1">
      <x:c r="A83" s="863" t="n">
        <x:v>67</x:v>
      </x:c>
      <x:c r="B83" s="863" t="n">
        <x:v>11</x:v>
      </x:c>
      <x:c r="C83" s="863" t="str">
        <x:v>K138</x:v>
      </x:c>
      <x:c r="D83" s="813" t="str">
        <x:v>(RaW)Maddog</x:v>
      </x:c>
      <x:c r="E83" s="876" t="n">
        <x:v>14482900</x:v>
      </x:c>
      <x:c r="F83" s="863" t="n">
        <x:v>3</x:v>
      </x:c>
      <x:c r="G83" s="877" t="n">
        <x:v>1</x:v>
      </x:c>
      <x:c r="H83" s="876" t="n">
        <x:v>10334300</x:v>
      </x:c>
      <x:c r="I83" s="876" t="n">
        <x:v>424300</x:v>
      </x:c>
      <x:c r="J83" s="876" t="n">
        <x:v>3724300</x:v>
      </x:c>
      <x:c r="K83" s="876" t="n">
        <x:v>0</x:v>
      </x:c>
      <x:c r="L83" s="876" t="n">
        <x:v>4148600</x:v>
      </x:c>
      <x:c r="M83" s="863" t="str">
        <x:v>Complete</x:v>
      </x:c>
    </x:row>
    <x:row r="84" ht="20" customHeight="1">
      <x:c r="A84" s="863" t="n">
        <x:v>68</x:v>
      </x:c>
      <x:c r="B84" s="863" t="n">
        <x:v>6</x:v>
      </x:c>
      <x:c r="C84" s="863" t="str">
        <x:v>K54</x:v>
      </x:c>
      <x:c r="D84" s="813" t="str">
        <x:v>纵横,,,金王</x:v>
      </x:c>
      <x:c r="E84" s="876" t="n">
        <x:v>14347200</x:v>
      </x:c>
      <x:c r="F84" s="863" t="n">
        <x:v>4</x:v>
      </x:c>
      <x:c r="G84" s="877" t="n">
        <x:v>1</x:v>
      </x:c>
      <x:c r="H84" s="876" t="n">
        <x:v>0</x:v>
      </x:c>
      <x:c r="I84" s="876" t="n">
        <x:v>9288600</x:v>
      </x:c>
      <x:c r="J84" s="876" t="n">
        <x:v>4284300</x:v>
      </x:c>
      <x:c r="K84" s="876" t="n">
        <x:v>774300</x:v>
      </x:c>
      <x:c r="L84" s="876" t="n">
        <x:v>14347200</x:v>
      </x:c>
      <x:c r="M84" s="863" t="str">
        <x:v>Complete</x:v>
      </x:c>
    </x:row>
    <x:row r="85" ht="20" customHeight="1">
      <x:c r="A85" s="863" t="n">
        <x:v>69</x:v>
      </x:c>
      <x:c r="B85" s="863" t="n">
        <x:v>7</x:v>
      </x:c>
      <x:c r="C85" s="863" t="str">
        <x:v>K116</x:v>
      </x:c>
      <x:c r="D85" s="813" t="str">
        <x:v>ALI</x:v>
      </x:c>
      <x:c r="E85" s="876" t="n">
        <x:v>14112900</x:v>
      </x:c>
      <x:c r="F85" s="863" t="n">
        <x:v>3</x:v>
      </x:c>
      <x:c r="G85" s="877" t="n">
        <x:v>1</x:v>
      </x:c>
      <x:c r="H85" s="876" t="n">
        <x:v>8334300</x:v>
      </x:c>
      <x:c r="I85" s="876" t="n">
        <x:v>0</x:v>
      </x:c>
      <x:c r="J85" s="876" t="n">
        <x:v>5778600</x:v>
      </x:c>
      <x:c r="K85" s="876" t="n">
        <x:v>0</x:v>
      </x:c>
      <x:c r="L85" s="876" t="n">
        <x:v>5778600</x:v>
      </x:c>
      <x:c r="M85" s="863" t="str">
        <x:v>Complete</x:v>
      </x:c>
    </x:row>
    <x:row r="86" ht="20" customHeight="1">
      <x:c r="A86" s="863" t="n">
        <x:v>70</x:v>
      </x:c>
      <x:c r="B86" s="863" t="n">
        <x:v>9</x:v>
      </x:c>
      <x:c r="C86" s="863" t="str">
        <x:v>K60</x:v>
      </x:c>
      <x:c r="D86" s="813" t="str">
        <x:v>AAB</x:v>
      </x:c>
      <x:c r="E86" s="876" t="n">
        <x:v>13777200</x:v>
      </x:c>
      <x:c r="F86" s="863" t="n">
        <x:v>4</x:v>
      </x:c>
      <x:c r="G86" s="877" t="n">
        <x:v>1</x:v>
      </x:c>
      <x:c r="H86" s="876" t="n">
        <x:v>2244300</x:v>
      </x:c>
      <x:c r="I86" s="876" t="n">
        <x:v>9288600</x:v>
      </x:c>
      <x:c r="J86" s="876" t="n">
        <x:v>2244300</x:v>
      </x:c>
      <x:c r="K86" s="876" t="n">
        <x:v>0</x:v>
      </x:c>
      <x:c r="L86" s="876" t="n">
        <x:v>11532900</x:v>
      </x:c>
      <x:c r="M86" s="863" t="str">
        <x:v>Complete</x:v>
      </x:c>
    </x:row>
    <x:row r="87" ht="20" customHeight="1">
      <x:c r="A87" s="863" t="n">
        <x:v>70</x:v>
      </x:c>
      <x:c r="B87" s="863" t="n">
        <x:v>9</x:v>
      </x:c>
      <x:c r="C87" s="863" t="str">
        <x:v>K60</x:v>
      </x:c>
      <x:c r="D87" s="813" t="str">
        <x:v>Ёжик</x:v>
      </x:c>
      <x:c r="E87" s="876" t="n">
        <x:v>13777200</x:v>
      </x:c>
      <x:c r="F87" s="863" t="n">
        <x:v>4</x:v>
      </x:c>
      <x:c r="G87" s="877" t="n">
        <x:v>1</x:v>
      </x:c>
      <x:c r="H87" s="876" t="n">
        <x:v>2244300</x:v>
      </x:c>
      <x:c r="I87" s="876" t="n">
        <x:v>9288600</x:v>
      </x:c>
      <x:c r="J87" s="876" t="n">
        <x:v>2244300</x:v>
      </x:c>
      <x:c r="K87" s="876" t="n">
        <x:v>0</x:v>
      </x:c>
      <x:c r="L87" s="876" t="n">
        <x:v>11532900</x:v>
      </x:c>
      <x:c r="M87" s="863" t="str">
        <x:v>Complete</x:v>
      </x:c>
    </x:row>
    <x:row r="88" ht="20" customHeight="1">
      <x:c r="A88" s="863" t="n">
        <x:v>70</x:v>
      </x:c>
      <x:c r="B88" s="863" t="n">
        <x:v>15</x:v>
      </x:c>
      <x:c r="C88" s="863" t="str">
        <x:v>K176</x:v>
      </x:c>
      <x:c r="D88" s="813" t="str">
        <x:v>璀璨星芒</x:v>
      </x:c>
      <x:c r="E88" s="876" t="n">
        <x:v>13777200</x:v>
      </x:c>
      <x:c r="F88" s="863" t="n">
        <x:v>4</x:v>
      </x:c>
      <x:c r="G88" s="877" t="n">
        <x:v>1</x:v>
      </x:c>
      <x:c r="H88" s="876" t="n">
        <x:v>4284300</x:v>
      </x:c>
      <x:c r="I88" s="876" t="n">
        <x:v>5004300</x:v>
      </x:c>
      <x:c r="J88" s="876" t="n">
        <x:v>2244300</x:v>
      </x:c>
      <x:c r="K88" s="876" t="n">
        <x:v>2244300</x:v>
      </x:c>
      <x:c r="L88" s="876" t="n">
        <x:v>9492900</x:v>
      </x:c>
      <x:c r="M88" s="863" t="str">
        <x:v>Complete</x:v>
      </x:c>
    </x:row>
    <x:row r="89" ht="20" customHeight="1">
      <x:c r="A89" s="863" t="n">
        <x:v>73</x:v>
      </x:c>
      <x:c r="B89" s="863" t="n">
        <x:v>12</x:v>
      </x:c>
      <x:c r="C89" s="863" t="str">
        <x:v>K138</x:v>
      </x:c>
      <x:c r="D89" s="813" t="str">
        <x:v>(RaW)༺ⓉⒶⓇⓉⒶⓇ༻</x:v>
      </x:c>
      <x:c r="E89" s="876" t="n">
        <x:v>13757200</x:v>
      </x:c>
      <x:c r="F89" s="863" t="n">
        <x:v>4</x:v>
      </x:c>
      <x:c r="G89" s="877" t="n">
        <x:v>1</x:v>
      </x:c>
      <x:c r="H89" s="876" t="n">
        <x:v>4284300</x:v>
      </x:c>
      <x:c r="I89" s="876" t="n">
        <x:v>4284300</x:v>
      </x:c>
      <x:c r="J89" s="876" t="n">
        <x:v>5188600</x:v>
      </x:c>
      <x:c r="K89" s="876" t="n">
        <x:v>0</x:v>
      </x:c>
      <x:c r="L89" s="876" t="n">
        <x:v>9472900</x:v>
      </x:c>
      <x:c r="M89" s="863" t="str">
        <x:v>Complete</x:v>
      </x:c>
    </x:row>
    <x:row r="90" ht="20" customHeight="1">
      <x:c r="A90" s="863" t="n">
        <x:v>74</x:v>
      </x:c>
      <x:c r="B90" s="863" t="n">
        <x:v>11</x:v>
      </x:c>
      <x:c r="C90" s="863" t="str">
        <x:v>K60</x:v>
      </x:c>
      <x:c r="D90" s="813" t="str">
        <x:v>RONINtrike</x:v>
      </x:c>
      <x:c r="E90" s="876" t="n">
        <x:v>13497200</x:v>
      </x:c>
      <x:c r="F90" s="863" t="n">
        <x:v>5</x:v>
      </x:c>
      <x:c r="G90" s="877" t="n">
        <x:v>0.8</x:v>
      </x:c>
      <x:c r="H90" s="876" t="n">
        <x:v>0</x:v>
      </x:c>
      <x:c r="I90" s="876" t="n">
        <x:v>6968600</x:v>
      </x:c>
      <x:c r="J90" s="876" t="n">
        <x:v>2244300</x:v>
      </x:c>
      <x:c r="K90" s="876" t="n">
        <x:v>4284300</x:v>
      </x:c>
      <x:c r="L90" s="876" t="n">
        <x:v>13497200</x:v>
      </x:c>
      <x:c r="M90" s="863" t="str">
        <x:v>Partial lookup</x:v>
      </x:c>
    </x:row>
    <x:row r="91" ht="20" customHeight="1">
      <x:c r="A91" s="863" t="n">
        <x:v>75</x:v>
      </x:c>
      <x:c r="B91" s="863" t="n">
        <x:v>11</x:v>
      </x:c>
      <x:c r="C91" s="863" t="str">
        <x:v>K170</x:v>
      </x:c>
      <x:c r="D91" s="813" t="str">
        <x:v>(AOT)金木研_254</x:v>
      </x:c>
      <x:c r="E91" s="876" t="n">
        <x:v>13462900</x:v>
      </x:c>
      <x:c r="F91" s="863" t="n">
        <x:v>3</x:v>
      </x:c>
      <x:c r="G91" s="877" t="n">
        <x:v>1</x:v>
      </x:c>
      <x:c r="H91" s="876" t="n">
        <x:v>4284300</x:v>
      </x:c>
      <x:c r="I91" s="876" t="n">
        <x:v>9178600</x:v>
      </x:c>
      <x:c r="J91" s="876" t="n">
        <x:v>0</x:v>
      </x:c>
      <x:c r="K91" s="876" t="n">
        <x:v>0</x:v>
      </x:c>
      <x:c r="L91" s="876" t="n">
        <x:v>9178600</x:v>
      </x:c>
      <x:c r="M91" s="863" t="str">
        <x:v>Complete</x:v>
      </x:c>
    </x:row>
    <x:row r="92" ht="20" customHeight="1">
      <x:c r="A92" s="863" t="n">
        <x:v>76</x:v>
      </x:c>
      <x:c r="B92" s="863" t="n">
        <x:v>13</x:v>
      </x:c>
      <x:c r="C92" s="863" t="str">
        <x:v>K138</x:v>
      </x:c>
      <x:c r="D92" s="813" t="str">
        <x:v>(RaW)Baqi</x:v>
      </x:c>
      <x:c r="E92" s="876" t="n">
        <x:v>13422900</x:v>
      </x:c>
      <x:c r="F92" s="863" t="n">
        <x:v>3</x:v>
      </x:c>
      <x:c r="G92" s="877" t="n">
        <x:v>1</x:v>
      </x:c>
      <x:c r="H92" s="876" t="n">
        <x:v>2844300</x:v>
      </x:c>
      <x:c r="I92" s="876" t="n">
        <x:v>2244300</x:v>
      </x:c>
      <x:c r="J92" s="876" t="n">
        <x:v>8334300</x:v>
      </x:c>
      <x:c r="K92" s="876" t="n">
        <x:v>0</x:v>
      </x:c>
      <x:c r="L92" s="876" t="n">
        <x:v>10578600</x:v>
      </x:c>
      <x:c r="M92" s="863" t="str">
        <x:v>Complete</x:v>
      </x:c>
    </x:row>
    <x:row r="93" ht="20" customHeight="1">
      <x:c r="A93" s="863" t="n">
        <x:v>77</x:v>
      </x:c>
      <x:c r="B93" s="863" t="n">
        <x:v>9</x:v>
      </x:c>
      <x:c r="C93" s="863" t="str">
        <x:v>K91</x:v>
      </x:c>
      <x:c r="D93" s="813" t="str">
        <x:v>Nixxx</x:v>
      </x:c>
      <x:c r="E93" s="876" t="n">
        <x:v>13352900</x:v>
      </x:c>
      <x:c r="F93" s="863" t="n">
        <x:v>3</x:v>
      </x:c>
      <x:c r="G93" s="877" t="n">
        <x:v>1</x:v>
      </x:c>
      <x:c r="H93" s="876" t="n">
        <x:v>774300</x:v>
      </x:c>
      <x:c r="I93" s="876" t="n">
        <x:v>0</x:v>
      </x:c>
      <x:c r="J93" s="876" t="n">
        <x:v>12578600</x:v>
      </x:c>
      <x:c r="K93" s="876" t="n">
        <x:v>0</x:v>
      </x:c>
      <x:c r="L93" s="876" t="n">
        <x:v>12578600</x:v>
      </x:c>
      <x:c r="M93" s="863" t="str">
        <x:v>Complete</x:v>
      </x:c>
    </x:row>
    <x:row r="94" ht="20" customHeight="1">
      <x:c r="A94" s="863" t="n">
        <x:v>78</x:v>
      </x:c>
      <x:c r="B94" s="863" t="n">
        <x:v>12</x:v>
      </x:c>
      <x:c r="C94" s="863" t="str">
        <x:v>K60</x:v>
      </x:c>
      <x:c r="D94" s="813" t="str">
        <x:v>ΨRØÇKYΨ</x:v>
      </x:c>
      <x:c r="E94" s="876" t="n">
        <x:v>13337200</x:v>
      </x:c>
      <x:c r="F94" s="863" t="n">
        <x:v>4</x:v>
      </x:c>
      <x:c r="G94" s="877" t="n">
        <x:v>1</x:v>
      </x:c>
      <x:c r="H94" s="876" t="n">
        <x:v>2244300</x:v>
      </x:c>
      <x:c r="I94" s="876" t="n">
        <x:v>8568600</x:v>
      </x:c>
      <x:c r="J94" s="876" t="n">
        <x:v>2524300</x:v>
      </x:c>
      <x:c r="K94" s="876" t="n">
        <x:v>0</x:v>
      </x:c>
      <x:c r="L94" s="876" t="n">
        <x:v>11092900</x:v>
      </x:c>
      <x:c r="M94" s="863" t="str">
        <x:v>Complete</x:v>
      </x:c>
    </x:row>
    <x:row r="95" ht="20" customHeight="1">
      <x:c r="A95" s="863" t="n">
        <x:v>79</x:v>
      </x:c>
      <x:c r="B95" s="863" t="n">
        <x:v>7</x:v>
      </x:c>
      <x:c r="C95" s="863" t="str">
        <x:v>K54</x:v>
      </x:c>
      <x:c r="D95" s="813" t="str">
        <x:v>纵横,,,离火</x:v>
      </x:c>
      <x:c r="E95" s="876" t="n">
        <x:v>13297200</x:v>
      </x:c>
      <x:c r="F95" s="863" t="n">
        <x:v>4</x:v>
      </x:c>
      <x:c r="G95" s="877" t="n">
        <x:v>1</x:v>
      </x:c>
      <x:c r="H95" s="876" t="n">
        <x:v>0</x:v>
      </x:c>
      <x:c r="I95" s="876" t="n">
        <x:v>7528600</x:v>
      </x:c>
      <x:c r="J95" s="876" t="n">
        <x:v>3244300</x:v>
      </x:c>
      <x:c r="K95" s="876" t="n">
        <x:v>2524300</x:v>
      </x:c>
      <x:c r="L95" s="876" t="n">
        <x:v>13297200</x:v>
      </x:c>
      <x:c r="M95" s="863" t="str">
        <x:v>Complete</x:v>
      </x:c>
    </x:row>
    <x:row r="96" ht="20" customHeight="1">
      <x:c r="A96" s="863" t="n">
        <x:v>80</x:v>
      </x:c>
      <x:c r="B96" s="863" t="n">
        <x:v>14</x:v>
      </x:c>
      <x:c r="C96" s="863" t="str">
        <x:v>K138</x:v>
      </x:c>
      <x:c r="D96" s="813" t="str">
        <x:v>(RaW)MARYEL</x:v>
      </x:c>
      <x:c r="E96" s="876" t="n">
        <x:v>13272900</x:v>
      </x:c>
      <x:c r="F96" s="863" t="n">
        <x:v>3</x:v>
      </x:c>
      <x:c r="G96" s="877" t="n">
        <x:v>1</x:v>
      </x:c>
      <x:c r="H96" s="876" t="n">
        <x:v>10334300</x:v>
      </x:c>
      <x:c r="I96" s="876" t="n">
        <x:v>694300</x:v>
      </x:c>
      <x:c r="J96" s="876" t="n">
        <x:v>2244300</x:v>
      </x:c>
      <x:c r="K96" s="876" t="n">
        <x:v>0</x:v>
      </x:c>
      <x:c r="L96" s="876" t="n">
        <x:v>2938600</x:v>
      </x:c>
      <x:c r="M96" s="863" t="str">
        <x:v>Complete</x:v>
      </x:c>
    </x:row>
    <x:row r="97" ht="20" customHeight="1">
      <x:c r="A97" s="863" t="n">
        <x:v>81</x:v>
      </x:c>
      <x:c r="B97" s="863" t="n">
        <x:v>8</x:v>
      </x:c>
      <x:c r="C97" s="863" t="str">
        <x:v>K116</x:v>
      </x:c>
      <x:c r="D97" s="813" t="str">
        <x:v>懒洋洋爱看腿</x:v>
      </x:c>
      <x:c r="E97" s="876" t="n">
        <x:v>13261500</x:v>
      </x:c>
      <x:c r="F97" s="863" t="n">
        <x:v>5</x:v>
      </x:c>
      <x:c r="G97" s="877" t="n">
        <x:v>1</x:v>
      </x:c>
      <x:c r="H97" s="876" t="n">
        <x:v>4284300</x:v>
      </x:c>
      <x:c r="I97" s="876" t="n">
        <x:v>4488600</x:v>
      </x:c>
      <x:c r="J97" s="876" t="n">
        <x:v>2244300</x:v>
      </x:c>
      <x:c r="K97" s="876" t="n">
        <x:v>2244300</x:v>
      </x:c>
      <x:c r="L97" s="876" t="n">
        <x:v>8977200</x:v>
      </x:c>
      <x:c r="M97" s="863" t="str">
        <x:v>Complete</x:v>
      </x:c>
    </x:row>
    <x:row r="98" ht="20" customHeight="1">
      <x:c r="A98" s="863" t="n">
        <x:v>82</x:v>
      </x:c>
      <x:c r="B98" s="863" t="n">
        <x:v>15</x:v>
      </x:c>
      <x:c r="C98" s="863" t="str">
        <x:v>K138</x:v>
      </x:c>
      <x:c r="D98" s="813" t="str">
        <x:v>(RaW)©•SGT©•</x:v>
      </x:c>
      <x:c r="E98" s="876" t="n">
        <x:v>13137900</x:v>
      </x:c>
      <x:c r="F98" s="863" t="n">
        <x:v>3</x:v>
      </x:c>
      <x:c r="G98" s="877" t="n">
        <x:v>1</x:v>
      </x:c>
      <x:c r="H98" s="876" t="n">
        <x:v>5884300</x:v>
      </x:c>
      <x:c r="I98" s="876" t="n">
        <x:v>319300</x:v>
      </x:c>
      <x:c r="J98" s="876" t="n">
        <x:v>6934300</x:v>
      </x:c>
      <x:c r="K98" s="876" t="n">
        <x:v>0</x:v>
      </x:c>
      <x:c r="L98" s="876" t="n">
        <x:v>7253600</x:v>
      </x:c>
      <x:c r="M98" s="863" t="str">
        <x:v>Complete</x:v>
      </x:c>
    </x:row>
    <x:row r="99" ht="20" customHeight="1">
      <x:c r="A99" s="863" t="n">
        <x:v>83</x:v>
      </x:c>
      <x:c r="B99" s="863" t="n">
        <x:v>9</x:v>
      </x:c>
      <x:c r="C99" s="863" t="str">
        <x:v>K116</x:v>
      </x:c>
      <x:c r="D99" s="813" t="str">
        <x:v>那时像风一样</x:v>
      </x:c>
      <x:c r="E99" s="876" t="n">
        <x:v>13017200</x:v>
      </x:c>
      <x:c r="F99" s="863" t="n">
        <x:v>4</x:v>
      </x:c>
      <x:c r="G99" s="877" t="n">
        <x:v>1</x:v>
      </x:c>
      <x:c r="H99" s="876" t="n">
        <x:v>4284300</x:v>
      </x:c>
      <x:c r="I99" s="876" t="n">
        <x:v>6488600</x:v>
      </x:c>
      <x:c r="J99" s="876" t="n">
        <x:v>2244300</x:v>
      </x:c>
      <x:c r="K99" s="876" t="n">
        <x:v>0</x:v>
      </x:c>
      <x:c r="L99" s="876" t="n">
        <x:v>8732900</x:v>
      </x:c>
      <x:c r="M99" s="863" t="str">
        <x:v>Complete</x:v>
      </x:c>
    </x:row>
    <x:row r="100" ht="20" customHeight="1">
      <x:c r="A100" s="863" t="n">
        <x:v>84</x:v>
      </x:c>
      <x:c r="B100" s="863" t="n">
        <x:v>16</x:v>
      </x:c>
      <x:c r="C100" s="863" t="str">
        <x:v>K176</x:v>
      </x:c>
      <x:c r="D100" s="813" t="str">
        <x:v>༺肥者先食༻</x:v>
      </x:c>
      <x:c r="E100" s="876" t="n">
        <x:v>12986500</x:v>
      </x:c>
      <x:c r="F100" s="863" t="n">
        <x:v>5</x:v>
      </x:c>
      <x:c r="G100" s="877" t="n">
        <x:v>1</x:v>
      </x:c>
      <x:c r="H100" s="876" t="n">
        <x:v>4284300</x:v>
      </x:c>
      <x:c r="I100" s="876" t="n">
        <x:v>6088600</x:v>
      </x:c>
      <x:c r="J100" s="876" t="n">
        <x:v>2244300</x:v>
      </x:c>
      <x:c r="K100" s="876" t="n">
        <x:v>369300</x:v>
      </x:c>
      <x:c r="L100" s="876" t="n">
        <x:v>8702200</x:v>
      </x:c>
      <x:c r="M100" s="863" t="str">
        <x:v>Complete</x:v>
      </x:c>
    </x:row>
    <x:row r="101" ht="20" customHeight="1">
      <x:c r="A101" s="863" t="n">
        <x:v>85</x:v>
      </x:c>
      <x:c r="B101" s="863" t="n">
        <x:v>13</x:v>
      </x:c>
      <x:c r="C101" s="863" t="str">
        <x:v>K60</x:v>
      </x:c>
      <x:c r="D101" s="813" t="str">
        <x:v>#11 元气满满 (122,000)</x:v>
      </x:c>
      <x:c r="E101" s="876" t="n">
        <x:v>12902900</x:v>
      </x:c>
      <x:c r="F101" s="863" t="n">
        <x:v>3</x:v>
      </x:c>
      <x:c r="G101" s="877" t="n">
        <x:v>1</x:v>
      </x:c>
      <x:c r="H101" s="876" t="n">
        <x:v>3724300</x:v>
      </x:c>
      <x:c r="I101" s="876" t="n">
        <x:v>2244300</x:v>
      </x:c>
      <x:c r="J101" s="876" t="n">
        <x:v>6934300</x:v>
      </x:c>
      <x:c r="K101" s="876" t="n">
        <x:v>0</x:v>
      </x:c>
      <x:c r="L101" s="876" t="n">
        <x:v>9178600</x:v>
      </x:c>
      <x:c r="M101" s="863" t="str">
        <x:v>Complete</x:v>
      </x:c>
    </x:row>
    <x:row r="102" ht="20" customHeight="1">
      <x:c r="A102" s="863" t="n">
        <x:v>86</x:v>
      </x:c>
      <x:c r="B102" s="863" t="n">
        <x:v>14</x:v>
      </x:c>
      <x:c r="C102" s="863" t="str">
        <x:v>K60</x:v>
      </x:c>
      <x:c r="D102" s="813" t="str">
        <x:v>Houdini</x:v>
      </x:c>
      <x:c r="E102" s="876" t="n">
        <x:v>12852900</x:v>
      </x:c>
      <x:c r="F102" s="863" t="n">
        <x:v>3</x:v>
      </x:c>
      <x:c r="G102" s="877" t="n">
        <x:v>1</x:v>
      </x:c>
      <x:c r="H102" s="876" t="n">
        <x:v>0</x:v>
      </x:c>
      <x:c r="I102" s="876" t="n">
        <x:v>10008600</x:v>
      </x:c>
      <x:c r="J102" s="876" t="n">
        <x:v>2844300</x:v>
      </x:c>
      <x:c r="K102" s="876" t="n">
        <x:v>0</x:v>
      </x:c>
      <x:c r="L102" s="876" t="n">
        <x:v>12852900</x:v>
      </x:c>
      <x:c r="M102" s="863" t="str">
        <x:v>Complete</x:v>
      </x:c>
    </x:row>
    <x:row r="103" ht="20" customHeight="1">
      <x:c r="A103" s="863" t="n">
        <x:v>87</x:v>
      </x:c>
      <x:c r="B103" s="863" t="n">
        <x:v>10</x:v>
      </x:c>
      <x:c r="C103" s="863" t="str">
        <x:v>K91</x:v>
      </x:c>
      <x:c r="D103" s="813" t="str">
        <x:v>Crash</x:v>
      </x:c>
      <x:c r="E103" s="876" t="n">
        <x:v>12822900</x:v>
      </x:c>
      <x:c r="F103" s="863" t="n">
        <x:v>3</x:v>
      </x:c>
      <x:c r="G103" s="877" t="n">
        <x:v>1</x:v>
      </x:c>
      <x:c r="H103" s="876" t="n">
        <x:v>864300</x:v>
      </x:c>
      <x:c r="I103" s="876" t="n">
        <x:v>11958600</x:v>
      </x:c>
      <x:c r="J103" s="876" t="n">
        <x:v>0</x:v>
      </x:c>
      <x:c r="K103" s="876" t="n">
        <x:v>0</x:v>
      </x:c>
      <x:c r="L103" s="876" t="n">
        <x:v>11958600</x:v>
      </x:c>
      <x:c r="M103" s="863" t="str">
        <x:v>Complete</x:v>
      </x:c>
    </x:row>
    <x:row r="104" ht="20" customHeight="1">
      <x:c r="A104" s="863" t="n">
        <x:v>88</x:v>
      </x:c>
      <x:c r="B104" s="863" t="n">
        <x:v>17</x:v>
      </x:c>
      <x:c r="C104" s="863" t="str">
        <x:v>K176</x:v>
      </x:c>
      <x:c r="D104" s="813" t="str">
        <x:v>温不胜</x:v>
      </x:c>
      <x:c r="E104" s="876" t="n">
        <x:v>12618600</x:v>
      </x:c>
      <x:c r="F104" s="863" t="n">
        <x:v>2</x:v>
      </x:c>
      <x:c r="G104" s="877" t="n">
        <x:v>1</x:v>
      </x:c>
      <x:c r="H104" s="876" t="n">
        <x:v>4284300</x:v>
      </x:c>
      <x:c r="I104" s="876" t="n">
        <x:v>8334300</x:v>
      </x:c>
      <x:c r="J104" s="876" t="n">
        <x:v>0</x:v>
      </x:c>
      <x:c r="K104" s="876" t="n">
        <x:v>0</x:v>
      </x:c>
      <x:c r="L104" s="876" t="n">
        <x:v>8334300</x:v>
      </x:c>
      <x:c r="M104" s="863" t="str">
        <x:v>Complete</x:v>
      </x:c>
    </x:row>
    <x:row r="105" ht="20" customHeight="1">
      <x:c r="A105" s="863" t="n">
        <x:v>89</x:v>
      </x:c>
      <x:c r="B105" s="863" t="n">
        <x:v>6</x:v>
      </x:c>
      <x:c r="C105" s="863" t="str">
        <x:v>K197</x:v>
      </x:c>
      <x:c r="D105" s="813" t="str">
        <x:v>Oiuuuuuuuuuuuuu</x:v>
      </x:c>
      <x:c r="E105" s="876" t="n">
        <x:v>12578600</x:v>
      </x:c>
      <x:c r="F105" s="863" t="n">
        <x:v>2</x:v>
      </x:c>
      <x:c r="G105" s="877" t="n">
        <x:v>1</x:v>
      </x:c>
      <x:c r="H105" s="876" t="n">
        <x:v>2244300</x:v>
      </x:c>
      <x:c r="I105" s="876" t="n">
        <x:v>0</x:v>
      </x:c>
      <x:c r="J105" s="876" t="n">
        <x:v>10334300</x:v>
      </x:c>
      <x:c r="K105" s="876" t="n">
        <x:v>0</x:v>
      </x:c>
      <x:c r="L105" s="876" t="n">
        <x:v>10334300</x:v>
      </x:c>
      <x:c r="M105" s="863" t="str">
        <x:v>Complete</x:v>
      </x:c>
    </x:row>
    <x:row r="106" ht="20" customHeight="1">
      <x:c r="A106" s="863" t="n">
        <x:v>90</x:v>
      </x:c>
      <x:c r="B106" s="863" t="n">
        <x:v>15</x:v>
      </x:c>
      <x:c r="C106" s="863" t="str">
        <x:v>K60</x:v>
      </x:c>
      <x:c r="D106" s="813" t="str">
        <x:v>Blud</x:v>
      </x:c>
      <x:c r="E106" s="876" t="n">
        <x:v>12497200</x:v>
      </x:c>
      <x:c r="F106" s="863" t="n">
        <x:v>4</x:v>
      </x:c>
      <x:c r="G106" s="877" t="n">
        <x:v>1</x:v>
      </x:c>
      <x:c r="H106" s="876" t="n">
        <x:v>2244300</x:v>
      </x:c>
      <x:c r="I106" s="876" t="n">
        <x:v>8008600</x:v>
      </x:c>
      <x:c r="J106" s="876" t="n">
        <x:v>2244300</x:v>
      </x:c>
      <x:c r="K106" s="876" t="n">
        <x:v>0</x:v>
      </x:c>
      <x:c r="L106" s="876" t="n">
        <x:v>10252900</x:v>
      </x:c>
      <x:c r="M106" s="863" t="str">
        <x:v>Complete</x:v>
      </x:c>
    </x:row>
    <x:row r="107" ht="20" customHeight="1">
      <x:c r="A107" s="863" t="n">
        <x:v>90</x:v>
      </x:c>
      <x:c r="B107" s="863" t="n">
        <x:v>15</x:v>
      </x:c>
      <x:c r="C107" s="863" t="str">
        <x:v>K60</x:v>
      </x:c>
      <x:c r="D107" s="813" t="str">
        <x:v>Jepp</x:v>
      </x:c>
      <x:c r="E107" s="876" t="n">
        <x:v>12497200</x:v>
      </x:c>
      <x:c r="F107" s="863" t="n">
        <x:v>4</x:v>
      </x:c>
      <x:c r="G107" s="877" t="n">
        <x:v>1</x:v>
      </x:c>
      <x:c r="H107" s="876" t="n">
        <x:v>2244300</x:v>
      </x:c>
      <x:c r="I107" s="876" t="n">
        <x:v>8008600</x:v>
      </x:c>
      <x:c r="J107" s="876" t="n">
        <x:v>2244300</x:v>
      </x:c>
      <x:c r="K107" s="876" t="n">
        <x:v>0</x:v>
      </x:c>
      <x:c r="L107" s="876" t="n">
        <x:v>10252900</x:v>
      </x:c>
      <x:c r="M107" s="863" t="str">
        <x:v>Complete</x:v>
      </x:c>
    </x:row>
    <x:row r="108" ht="20" customHeight="1">
      <x:c r="A108" s="863" t="n">
        <x:v>92</x:v>
      </x:c>
      <x:c r="B108" s="863" t="n">
        <x:v>12</x:v>
      </x:c>
      <x:c r="C108" s="863" t="str">
        <x:v>K170</x:v>
      </x:c>
      <x:c r="D108" s="813" t="str">
        <x:v>(AOT)BAT</x:v>
      </x:c>
      <x:c r="E108" s="876" t="n">
        <x:v>12422900</x:v>
      </x:c>
      <x:c r="F108" s="863" t="n">
        <x:v>3</x:v>
      </x:c>
      <x:c r="G108" s="877" t="n">
        <x:v>1</x:v>
      </x:c>
      <x:c r="H108" s="876" t="n">
        <x:v>6934300</x:v>
      </x:c>
      <x:c r="I108" s="876" t="n">
        <x:v>5488600</x:v>
      </x:c>
      <x:c r="J108" s="876" t="n">
        <x:v>0</x:v>
      </x:c>
      <x:c r="K108" s="876" t="n">
        <x:v>0</x:v>
      </x:c>
      <x:c r="L108" s="876" t="n">
        <x:v>5488600</x:v>
      </x:c>
      <x:c r="M108" s="863" t="str">
        <x:v>Complete</x:v>
      </x:c>
    </x:row>
    <x:row r="109" ht="20" customHeight="1">
      <x:c r="A109" s="863" t="n">
        <x:v>93</x:v>
      </x:c>
      <x:c r="B109" s="863" t="n">
        <x:v>16</x:v>
      </x:c>
      <x:c r="C109" s="863" t="str">
        <x:v>K138</x:v>
      </x:c>
      <x:c r="D109" s="813" t="str">
        <x:v>(RaW)让世界沐浴在血中</x:v>
      </x:c>
      <x:c r="E109" s="876" t="n">
        <x:v>12301500</x:v>
      </x:c>
      <x:c r="F109" s="863" t="n">
        <x:v>5</x:v>
      </x:c>
      <x:c r="G109" s="877" t="n">
        <x:v>1</x:v>
      </x:c>
      <x:c r="H109" s="876" t="n">
        <x:v>2244300</x:v>
      </x:c>
      <x:c r="I109" s="876" t="n">
        <x:v>6488600</x:v>
      </x:c>
      <x:c r="J109" s="876" t="n">
        <x:v>1324300</x:v>
      </x:c>
      <x:c r="K109" s="876" t="n">
        <x:v>2244300</x:v>
      </x:c>
      <x:c r="L109" s="876" t="n">
        <x:v>10057200</x:v>
      </x:c>
      <x:c r="M109" s="863" t="str">
        <x:v>Complete</x:v>
      </x:c>
    </x:row>
    <x:row r="110" ht="20" customHeight="1">
      <x:c r="A110" s="863" t="n">
        <x:v>94</x:v>
      </x:c>
      <x:c r="B110" s="863" t="n">
        <x:v>17</x:v>
      </x:c>
      <x:c r="C110" s="863" t="str">
        <x:v>K138</x:v>
      </x:c>
      <x:c r="D110" s="813" t="str">
        <x:v>(RaW)Nightmare</x:v>
      </x:c>
      <x:c r="E110" s="876" t="n">
        <x:v>12292900</x:v>
      </x:c>
      <x:c r="F110" s="863" t="n">
        <x:v>3</x:v>
      </x:c>
      <x:c r="G110" s="877" t="n">
        <x:v>1</x:v>
      </x:c>
      <x:c r="H110" s="876" t="n">
        <x:v>4284300</x:v>
      </x:c>
      <x:c r="I110" s="876" t="n">
        <x:v>3724300</x:v>
      </x:c>
      <x:c r="J110" s="876" t="n">
        <x:v>4284300</x:v>
      </x:c>
      <x:c r="K110" s="876" t="n">
        <x:v>0</x:v>
      </x:c>
      <x:c r="L110" s="876" t="n">
        <x:v>8008600</x:v>
      </x:c>
      <x:c r="M110" s="863" t="str">
        <x:v>Complete</x:v>
      </x:c>
    </x:row>
    <x:row r="111" ht="20" customHeight="1">
      <x:c r="A111" s="863" t="n">
        <x:v>95</x:v>
      </x:c>
      <x:c r="B111" s="863" t="n">
        <x:v>17</x:v>
      </x:c>
      <x:c r="C111" s="863" t="str">
        <x:v>K60</x:v>
      </x:c>
      <x:c r="D111" s="813" t="str">
        <x:v>InFlames</x:v>
      </x:c>
      <x:c r="E111" s="876" t="n">
        <x:v>12236500</x:v>
      </x:c>
      <x:c r="F111" s="863" t="n">
        <x:v>5</x:v>
      </x:c>
      <x:c r="G111" s="877" t="n">
        <x:v>1</x:v>
      </x:c>
      <x:c r="H111" s="876" t="n">
        <x:v>2244300</x:v>
      </x:c>
      <x:c r="I111" s="876" t="n">
        <x:v>7128600</x:v>
      </x:c>
      <x:c r="J111" s="876" t="n">
        <x:v>2244300</x:v>
      </x:c>
      <x:c r="K111" s="876" t="n">
        <x:v>619300</x:v>
      </x:c>
      <x:c r="L111" s="876" t="n">
        <x:v>9992200</x:v>
      </x:c>
      <x:c r="M111" s="863" t="str">
        <x:v>Complete</x:v>
      </x:c>
    </x:row>
    <x:row r="112" ht="20" customHeight="1">
      <x:c r="A112" s="863" t="n">
        <x:v>96</x:v>
      </x:c>
      <x:c r="B112" s="863" t="n">
        <x:v>18</x:v>
      </x:c>
      <x:c r="C112" s="863" t="str">
        <x:v>K60</x:v>
      </x:c>
      <x:c r="D112" s="813" t="str">
        <x:v>Crixus</x:v>
      </x:c>
      <x:c r="E112" s="876" t="n">
        <x:v>12217200</x:v>
      </x:c>
      <x:c r="F112" s="863" t="n">
        <x:v>4</x:v>
      </x:c>
      <x:c r="G112" s="877" t="n">
        <x:v>1</x:v>
      </x:c>
      <x:c r="H112" s="876" t="n">
        <x:v>2244300</x:v>
      </x:c>
      <x:c r="I112" s="876" t="n">
        <x:v>7448600</x:v>
      </x:c>
      <x:c r="J112" s="876" t="n">
        <x:v>2524300</x:v>
      </x:c>
      <x:c r="K112" s="876" t="n">
        <x:v>0</x:v>
      </x:c>
      <x:c r="L112" s="876" t="n">
        <x:v>9972900</x:v>
      </x:c>
      <x:c r="M112" s="863" t="str">
        <x:v>Complete</x:v>
      </x:c>
    </x:row>
    <x:row r="113" ht="20" customHeight="1">
      <x:c r="A113" s="863" t="n">
        <x:v>97</x:v>
      </x:c>
      <x:c r="B113" s="863" t="n">
        <x:v>11</x:v>
      </x:c>
      <x:c r="C113" s="863" t="str">
        <x:v>K91</x:v>
      </x:c>
      <x:c r="D113" s="813" t="str">
        <x:v>•BigBoss•NM85</x:v>
      </x:c>
      <x:c r="E113" s="876" t="n">
        <x:v>12182900</x:v>
      </x:c>
      <x:c r="F113" s="863" t="n">
        <x:v>3</x:v>
      </x:c>
      <x:c r="G113" s="877" t="n">
        <x:v>1</x:v>
      </x:c>
      <x:c r="H113" s="876" t="n">
        <x:v>774300</x:v>
      </x:c>
      <x:c r="I113" s="876" t="n">
        <x:v>0</x:v>
      </x:c>
      <x:c r="J113" s="876" t="n">
        <x:v>11408600</x:v>
      </x:c>
      <x:c r="K113" s="876" t="n">
        <x:v>0</x:v>
      </x:c>
      <x:c r="L113" s="876" t="n">
        <x:v>11408600</x:v>
      </x:c>
      <x:c r="M113" s="863" t="str">
        <x:v>Complete</x:v>
      </x:c>
    </x:row>
    <x:row r="114" ht="20" customHeight="1">
      <x:c r="A114" s="863" t="n">
        <x:v>98</x:v>
      </x:c>
      <x:c r="B114" s="863" t="n">
        <x:v>8</x:v>
      </x:c>
      <x:c r="C114" s="863" t="str">
        <x:v>K54</x:v>
      </x:c>
      <x:c r="D114" s="813" t="str">
        <x:v>Somnium</x:v>
      </x:c>
      <x:c r="E114" s="876" t="n">
        <x:v>12138600</x:v>
      </x:c>
      <x:c r="F114" s="863" t="n">
        <x:v>2</x:v>
      </x:c>
      <x:c r="G114" s="877" t="n">
        <x:v>1</x:v>
      </x:c>
      <x:c r="H114" s="876" t="n">
        <x:v>0</x:v>
      </x:c>
      <x:c r="I114" s="876" t="n">
        <x:v>12138600</x:v>
      </x:c>
      <x:c r="J114" s="876" t="n">
        <x:v>0</x:v>
      </x:c>
      <x:c r="K114" s="876" t="n">
        <x:v>0</x:v>
      </x:c>
      <x:c r="L114" s="876" t="n">
        <x:v>12138600</x:v>
      </x:c>
      <x:c r="M114" s="863" t="str">
        <x:v>Complete</x:v>
      </x:c>
    </x:row>
    <x:row r="115" ht="20" customHeight="1">
      <x:c r="A115" s="863" t="n">
        <x:v>99</x:v>
      </x:c>
      <x:c r="B115" s="863" t="n">
        <x:v>19</x:v>
      </x:c>
      <x:c r="C115" s="863" t="str">
        <x:v>K60</x:v>
      </x:c>
      <x:c r="D115" s="813" t="str">
        <x:v>Λžtěč (Aztec)</x:v>
      </x:c>
      <x:c r="E115" s="876" t="n">
        <x:v>11937200</x:v>
      </x:c>
      <x:c r="F115" s="863" t="n">
        <x:v>4</x:v>
      </x:c>
      <x:c r="G115" s="877" t="n">
        <x:v>1</x:v>
      </x:c>
      <x:c r="H115" s="876" t="n">
        <x:v>2244300</x:v>
      </x:c>
      <x:c r="I115" s="876" t="n">
        <x:v>7448600</x:v>
      </x:c>
      <x:c r="J115" s="876" t="n">
        <x:v>2244300</x:v>
      </x:c>
      <x:c r="K115" s="876" t="n">
        <x:v>0</x:v>
      </x:c>
      <x:c r="L115" s="876" t="n">
        <x:v>9692900</x:v>
      </x:c>
      <x:c r="M115" s="863" t="str">
        <x:v>Complete</x:v>
      </x:c>
    </x:row>
    <x:row r="116" ht="20" customHeight="1">
      <x:c r="A116" s="863" t="n">
        <x:v>100</x:v>
      </x:c>
      <x:c r="B116" s="863" t="n">
        <x:v>18</x:v>
      </x:c>
      <x:c r="C116" s="863" t="str">
        <x:v>K176</x:v>
      </x:c>
      <x:c r="D116" s="813" t="str">
        <x:v>WARBLOOD</x:v>
      </x:c>
      <x:c r="E116" s="876" t="n">
        <x:v>11772900</x:v>
      </x:c>
      <x:c r="F116" s="863" t="n">
        <x:v>3</x:v>
      </x:c>
      <x:c r="G116" s="877" t="n">
        <x:v>1</x:v>
      </x:c>
      <x:c r="H116" s="876" t="n">
        <x:v>8334300</x:v>
      </x:c>
      <x:c r="I116" s="876" t="n">
        <x:v>3438600</x:v>
      </x:c>
      <x:c r="J116" s="876" t="n">
        <x:v>0</x:v>
      </x:c>
      <x:c r="K116" s="876" t="n">
        <x:v>0</x:v>
      </x:c>
      <x:c r="L116" s="876" t="n">
        <x:v>3438600</x:v>
      </x:c>
      <x:c r="M116" s="863" t="str">
        <x:v>Complete</x:v>
      </x:c>
    </x:row>
    <x:row r="117" ht="20" customHeight="1">
      <x:c r="A117" s="863" t="n">
        <x:v>101</x:v>
      </x:c>
      <x:c r="B117" s="863" t="n">
        <x:v>20</x:v>
      </x:c>
      <x:c r="C117" s="863" t="str">
        <x:v>K60</x:v>
      </x:c>
      <x:c r="D117" s="813" t="str">
        <x:v>Lare</x:v>
      </x:c>
      <x:c r="E117" s="876" t="n">
        <x:v>11737200</x:v>
      </x:c>
      <x:c r="F117" s="863" t="n">
        <x:v>4</x:v>
      </x:c>
      <x:c r="G117" s="877" t="n">
        <x:v>1</x:v>
      </x:c>
      <x:c r="H117" s="876" t="n">
        <x:v>2244300</x:v>
      </x:c>
      <x:c r="I117" s="876" t="n">
        <x:v>6968600</x:v>
      </x:c>
      <x:c r="J117" s="876" t="n">
        <x:v>2524300</x:v>
      </x:c>
      <x:c r="K117" s="876" t="n">
        <x:v>0</x:v>
      </x:c>
      <x:c r="L117" s="876" t="n">
        <x:v>9492900</x:v>
      </x:c>
      <x:c r="M117" s="863" t="str">
        <x:v>Complete</x:v>
      </x:c>
    </x:row>
    <x:row r="118" ht="20" customHeight="1">
      <x:c r="A118" s="863" t="n">
        <x:v>102</x:v>
      </x:c>
      <x:c r="B118" s="863" t="n">
        <x:v>7</x:v>
      </x:c>
      <x:c r="C118" s="863" t="str">
        <x:v>K197</x:v>
      </x:c>
      <x:c r="D118" s="813" t="str">
        <x:v>NightFury</x:v>
      </x:c>
      <x:c r="E118" s="876" t="n">
        <x:v>11528600</x:v>
      </x:c>
      <x:c r="F118" s="863" t="n">
        <x:v>2</x:v>
      </x:c>
      <x:c r="G118" s="877" t="n">
        <x:v>1</x:v>
      </x:c>
      <x:c r="H118" s="876" t="n">
        <x:v>1194300</x:v>
      </x:c>
      <x:c r="I118" s="876" t="n">
        <x:v>10334300</x:v>
      </x:c>
      <x:c r="J118" s="876" t="n">
        <x:v>0</x:v>
      </x:c>
      <x:c r="K118" s="876" t="n">
        <x:v>0</x:v>
      </x:c>
      <x:c r="L118" s="876" t="n">
        <x:v>10334300</x:v>
      </x:c>
      <x:c r="M118" s="863" t="str">
        <x:v>Complete</x:v>
      </x:c>
    </x:row>
    <x:row r="119" ht="20" customHeight="1">
      <x:c r="A119" s="863" t="n">
        <x:v>103</x:v>
      </x:c>
      <x:c r="B119" s="863" t="n">
        <x:v>21</x:v>
      </x:c>
      <x:c r="C119" s="863" t="str">
        <x:v>K60</x:v>
      </x:c>
      <x:c r="D119" s="813" t="str">
        <x:v>Hitt</x:v>
      </x:c>
      <x:c r="E119" s="876" t="n">
        <x:v>11457200</x:v>
      </x:c>
      <x:c r="F119" s="863" t="n">
        <x:v>4</x:v>
      </x:c>
      <x:c r="G119" s="877" t="n">
        <x:v>1</x:v>
      </x:c>
      <x:c r="H119" s="876" t="n">
        <x:v>2244300</x:v>
      </x:c>
      <x:c r="I119" s="876" t="n">
        <x:v>6968600</x:v>
      </x:c>
      <x:c r="J119" s="876" t="n">
        <x:v>2244300</x:v>
      </x:c>
      <x:c r="K119" s="876" t="n">
        <x:v>0</x:v>
      </x:c>
      <x:c r="L119" s="876" t="n">
        <x:v>9212900</x:v>
      </x:c>
      <x:c r="M119" s="863" t="str">
        <x:v>Complete</x:v>
      </x:c>
    </x:row>
    <x:row r="120" ht="20" customHeight="1">
      <x:c r="A120" s="863" t="n">
        <x:v>104</x:v>
      </x:c>
      <x:c r="B120" s="863" t="n">
        <x:v>12</x:v>
      </x:c>
      <x:c r="C120" s="863" t="str">
        <x:v>K91</x:v>
      </x:c>
      <x:c r="D120" s="813" t="str">
        <x:v>AMANTIS</x:v>
      </x:c>
      <x:c r="E120" s="876" t="n">
        <x:v>11180400</x:v>
      </x:c>
      <x:c r="F120" s="863" t="n">
        <x:v>3</x:v>
      </x:c>
      <x:c r="G120" s="877" t="n">
        <x:v>1</x:v>
      </x:c>
      <x:c r="H120" s="876" t="n">
        <x:v>226800</x:v>
      </x:c>
      <x:c r="I120" s="876" t="n">
        <x:v>0</x:v>
      </x:c>
      <x:c r="J120" s="876" t="n">
        <x:v>10953600</x:v>
      </x:c>
      <x:c r="K120" s="876" t="n">
        <x:v>0</x:v>
      </x:c>
      <x:c r="L120" s="876" t="n">
        <x:v>10953600</x:v>
      </x:c>
      <x:c r="M120" s="863" t="str">
        <x:v>Complete</x:v>
      </x:c>
    </x:row>
    <x:row r="121" ht="20" customHeight="1">
      <x:c r="A121" s="863" t="n">
        <x:v>105</x:v>
      </x:c>
      <x:c r="B121" s="863" t="n">
        <x:v>8</x:v>
      </x:c>
      <x:c r="C121" s="863" t="str">
        <x:v>K197</x:v>
      </x:c>
      <x:c r="D121" s="813" t="str">
        <x:v>ღ买买买babyღ</x:v>
      </x:c>
      <x:c r="E121" s="876" t="n">
        <x:v>11108600</x:v>
      </x:c>
      <x:c r="F121" s="863" t="n">
        <x:v>2</x:v>
      </x:c>
      <x:c r="G121" s="877" t="n">
        <x:v>1</x:v>
      </x:c>
      <x:c r="H121" s="876" t="n">
        <x:v>774300</x:v>
      </x:c>
      <x:c r="I121" s="876" t="n">
        <x:v>0</x:v>
      </x:c>
      <x:c r="J121" s="876" t="n">
        <x:v>10334300</x:v>
      </x:c>
      <x:c r="K121" s="876" t="n">
        <x:v>0</x:v>
      </x:c>
      <x:c r="L121" s="876" t="n">
        <x:v>10334300</x:v>
      </x:c>
      <x:c r="M121" s="863" t="str">
        <x:v>Complete</x:v>
      </x:c>
    </x:row>
    <x:row r="122" ht="20" customHeight="1">
      <x:c r="A122" s="863" t="n">
        <x:v>106</x:v>
      </x:c>
      <x:c r="B122" s="863" t="n">
        <x:v>13</x:v>
      </x:c>
      <x:c r="C122" s="863" t="str">
        <x:v>K170</x:v>
      </x:c>
      <x:c r="D122" s="813" t="str">
        <x:v>(AOT)D®a©o</x:v>
      </x:c>
      <x:c r="E122" s="876" t="n">
        <x:v>11057200</x:v>
      </x:c>
      <x:c r="F122" s="863" t="n">
        <x:v>4</x:v>
      </x:c>
      <x:c r="G122" s="877" t="n">
        <x:v>1</x:v>
      </x:c>
      <x:c r="H122" s="876" t="n">
        <x:v>4284300</x:v>
      </x:c>
      <x:c r="I122" s="876" t="n">
        <x:v>4284300</x:v>
      </x:c>
      <x:c r="J122" s="876" t="n">
        <x:v>2004300</x:v>
      </x:c>
      <x:c r="K122" s="876" t="n">
        <x:v>484300</x:v>
      </x:c>
      <x:c r="L122" s="876" t="n">
        <x:v>6772900</x:v>
      </x:c>
      <x:c r="M122" s="863" t="str">
        <x:v>Complete</x:v>
      </x:c>
    </x:row>
    <x:row r="123" ht="20" customHeight="1">
      <x:c r="A123" s="863" t="n">
        <x:v>107</x:v>
      </x:c>
      <x:c r="B123" s="863" t="n">
        <x:v>22</x:v>
      </x:c>
      <x:c r="C123" s="863" t="str">
        <x:v>K60</x:v>
      </x:c>
      <x:c r="D123" s="813" t="str">
        <x:v>Legendⁱᵃᵐ</x:v>
      </x:c>
      <x:c r="E123" s="876" t="n">
        <x:v>10977200</x:v>
      </x:c>
      <x:c r="F123" s="863" t="n">
        <x:v>4</x:v>
      </x:c>
      <x:c r="G123" s="877" t="n">
        <x:v>1</x:v>
      </x:c>
      <x:c r="H123" s="876" t="n">
        <x:v>2244300</x:v>
      </x:c>
      <x:c r="I123" s="876" t="n">
        <x:v>6488600</x:v>
      </x:c>
      <x:c r="J123" s="876" t="n">
        <x:v>2244300</x:v>
      </x:c>
      <x:c r="K123" s="876" t="n">
        <x:v>0</x:v>
      </x:c>
      <x:c r="L123" s="876" t="n">
        <x:v>8732900</x:v>
      </x:c>
      <x:c r="M123" s="863" t="str">
        <x:v>Complete</x:v>
      </x:c>
    </x:row>
    <x:row r="124" ht="20" customHeight="1">
      <x:c r="A124" s="863" t="n">
        <x:v>108</x:v>
      </x:c>
      <x:c r="B124" s="863" t="n">
        <x:v>19</x:v>
      </x:c>
      <x:c r="C124" s="863" t="str">
        <x:v>K176</x:v>
      </x:c>
      <x:c r="D124" s="813" t="str">
        <x:v>Evildagger</x:v>
      </x:c>
      <x:c r="E124" s="876" t="n">
        <x:v>10888600</x:v>
      </x:c>
      <x:c r="F124" s="863" t="n">
        <x:v>2</x:v>
      </x:c>
      <x:c r="G124" s="877" t="n">
        <x:v>1</x:v>
      </x:c>
      <x:c r="H124" s="876" t="n">
        <x:v>0</x:v>
      </x:c>
      <x:c r="I124" s="876" t="n">
        <x:v>10888600</x:v>
      </x:c>
      <x:c r="J124" s="876" t="n">
        <x:v>0</x:v>
      </x:c>
      <x:c r="K124" s="876" t="n">
        <x:v>0</x:v>
      </x:c>
      <x:c r="L124" s="876" t="n">
        <x:v>10888600</x:v>
      </x:c>
      <x:c r="M124" s="863" t="str">
        <x:v>Complete</x:v>
      </x:c>
    </x:row>
    <x:row r="125" ht="20" customHeight="1">
      <x:c r="A125" s="863" t="n">
        <x:v>109</x:v>
      </x:c>
      <x:c r="B125" s="863" t="n">
        <x:v>14</x:v>
      </x:c>
      <x:c r="C125" s="863" t="str">
        <x:v>K170</x:v>
      </x:c>
      <x:c r="D125" s="813" t="str">
        <x:v>(AOT)Markspoon</x:v>
      </x:c>
      <x:c r="E125" s="876" t="n">
        <x:v>10752900</x:v>
      </x:c>
      <x:c r="F125" s="863" t="n">
        <x:v>3</x:v>
      </x:c>
      <x:c r="G125" s="877" t="n">
        <x:v>1</x:v>
      </x:c>
      <x:c r="H125" s="876" t="n">
        <x:v>4284300</x:v>
      </x:c>
      <x:c r="I125" s="876" t="n">
        <x:v>1464300</x:v>
      </x:c>
      <x:c r="J125" s="876" t="n">
        <x:v>5004300</x:v>
      </x:c>
      <x:c r="K125" s="876" t="n">
        <x:v>0</x:v>
      </x:c>
      <x:c r="L125" s="876" t="n">
        <x:v>6468600</x:v>
      </x:c>
      <x:c r="M125" s="863" t="str">
        <x:v>Complete</x:v>
      </x:c>
    </x:row>
    <x:row r="126" ht="20" customHeight="1">
      <x:c r="A126" s="863" t="n">
        <x:v>110</x:v>
      </x:c>
      <x:c r="B126" s="863" t="n">
        <x:v>15</x:v>
      </x:c>
      <x:c r="C126" s="863" t="str">
        <x:v>K170</x:v>
      </x:c>
      <x:c r="D126" s="813" t="str">
        <x:v>(AOT)Matis</x:v>
      </x:c>
      <x:c r="E126" s="876" t="n">
        <x:v>10397900</x:v>
      </x:c>
      <x:c r="F126" s="863" t="n">
        <x:v>3</x:v>
      </x:c>
      <x:c r="G126" s="877" t="n">
        <x:v>1</x:v>
      </x:c>
      <x:c r="H126" s="876" t="n">
        <x:v>6934300</x:v>
      </x:c>
      <x:c r="I126" s="876" t="n">
        <x:v>2844300</x:v>
      </x:c>
      <x:c r="J126" s="876" t="n">
        <x:v>619300</x:v>
      </x:c>
      <x:c r="K126" s="876" t="n">
        <x:v>0</x:v>
      </x:c>
      <x:c r="L126" s="876" t="n">
        <x:v>3463600</x:v>
      </x:c>
      <x:c r="M126" s="863" t="str">
        <x:v>Complete</x:v>
      </x:c>
    </x:row>
    <x:row r="127" ht="20" customHeight="1">
      <x:c r="A127" s="863" t="n">
        <x:v>111</x:v>
      </x:c>
      <x:c r="B127" s="863" t="n">
        <x:v>10</x:v>
      </x:c>
      <x:c r="C127" s="863" t="str">
        <x:v>K116</x:v>
      </x:c>
      <x:c r="D127" s="813" t="str">
        <x:v>汰需尚青</x:v>
      </x:c>
      <x:c r="E127" s="876" t="n">
        <x:v>10334300</x:v>
      </x:c>
      <x:c r="F127" s="863" t="n">
        <x:v>1</x:v>
      </x:c>
      <x:c r="G127" s="877" t="n">
        <x:v>1</x:v>
      </x:c>
      <x:c r="H127" s="876" t="n">
        <x:v>0</x:v>
      </x:c>
      <x:c r="I127" s="876" t="n">
        <x:v>10334300</x:v>
      </x:c>
      <x:c r="J127" s="876" t="n">
        <x:v>0</x:v>
      </x:c>
      <x:c r="K127" s="876" t="n">
        <x:v>0</x:v>
      </x:c>
      <x:c r="L127" s="876" t="n">
        <x:v>10334300</x:v>
      </x:c>
      <x:c r="M127" s="863" t="str">
        <x:v>Complete</x:v>
      </x:c>
    </x:row>
    <x:row r="128" ht="20" customHeight="1">
      <x:c r="A128" s="863" t="n">
        <x:v>111</x:v>
      </x:c>
      <x:c r="B128" s="863" t="n">
        <x:v>9</x:v>
      </x:c>
      <x:c r="C128" s="863" t="str">
        <x:v>K197</x:v>
      </x:c>
      <x:c r="D128" s="813" t="str">
        <x:v>BocchiT__T</x:v>
      </x:c>
      <x:c r="E128" s="876" t="n">
        <x:v>10334300</x:v>
      </x:c>
      <x:c r="F128" s="863" t="n">
        <x:v>1</x:v>
      </x:c>
      <x:c r="G128" s="877" t="n">
        <x:v>1</x:v>
      </x:c>
      <x:c r="H128" s="876" t="n">
        <x:v>0</x:v>
      </x:c>
      <x:c r="I128" s="876" t="n">
        <x:v>0</x:v>
      </x:c>
      <x:c r="J128" s="876" t="n">
        <x:v>10334300</x:v>
      </x:c>
      <x:c r="K128" s="876" t="n">
        <x:v>0</x:v>
      </x:c>
      <x:c r="L128" s="876" t="n">
        <x:v>10334300</x:v>
      </x:c>
      <x:c r="M128" s="863" t="str">
        <x:v>Complete</x:v>
      </x:c>
    </x:row>
    <x:row r="129" ht="20" customHeight="1">
      <x:c r="A129" s="863" t="n">
        <x:v>111</x:v>
      </x:c>
      <x:c r="B129" s="863" t="n">
        <x:v>9</x:v>
      </x:c>
      <x:c r="C129" s="863" t="str">
        <x:v>K197</x:v>
      </x:c>
      <x:c r="D129" s="813" t="str">
        <x:v>Caramel</x:v>
      </x:c>
      <x:c r="E129" s="876" t="n">
        <x:v>10334300</x:v>
      </x:c>
      <x:c r="F129" s="863" t="n">
        <x:v>1</x:v>
      </x:c>
      <x:c r="G129" s="877" t="n">
        <x:v>1</x:v>
      </x:c>
      <x:c r="H129" s="876" t="n">
        <x:v>0</x:v>
      </x:c>
      <x:c r="I129" s="876" t="n">
        <x:v>0</x:v>
      </x:c>
      <x:c r="J129" s="876" t="n">
        <x:v>10334300</x:v>
      </x:c>
      <x:c r="K129" s="876" t="n">
        <x:v>0</x:v>
      </x:c>
      <x:c r="L129" s="876" t="n">
        <x:v>10334300</x:v>
      </x:c>
      <x:c r="M129" s="863" t="str">
        <x:v>Complete</x:v>
      </x:c>
    </x:row>
    <x:row r="130" ht="20" customHeight="1">
      <x:c r="A130" s="863" t="n">
        <x:v>111</x:v>
      </x:c>
      <x:c r="B130" s="863" t="n">
        <x:v>9</x:v>
      </x:c>
      <x:c r="C130" s="863" t="str">
        <x:v>K197</x:v>
      </x:c>
      <x:c r="D130" s="813" t="str">
        <x:v>Viking</x:v>
      </x:c>
      <x:c r="E130" s="876" t="n">
        <x:v>10334300</x:v>
      </x:c>
      <x:c r="F130" s="863" t="n">
        <x:v>1</x:v>
      </x:c>
      <x:c r="G130" s="877" t="n">
        <x:v>1</x:v>
      </x:c>
      <x:c r="H130" s="876" t="n">
        <x:v>0</x:v>
      </x:c>
      <x:c r="I130" s="876" t="n">
        <x:v>0</x:v>
      </x:c>
      <x:c r="J130" s="876" t="n">
        <x:v>10334300</x:v>
      </x:c>
      <x:c r="K130" s="876" t="n">
        <x:v>0</x:v>
      </x:c>
      <x:c r="L130" s="876" t="n">
        <x:v>10334300</x:v>
      </x:c>
      <x:c r="M130" s="863" t="str">
        <x:v>Complete</x:v>
      </x:c>
    </x:row>
    <x:row r="131" ht="20" customHeight="1">
      <x:c r="A131" s="863" t="n">
        <x:v>111</x:v>
      </x:c>
      <x:c r="B131" s="863" t="n">
        <x:v>9</x:v>
      </x:c>
      <x:c r="C131" s="863" t="str">
        <x:v>K197</x:v>
      </x:c>
      <x:c r="D131" s="813" t="str">
        <x:v>Бапм</x:v>
      </x:c>
      <x:c r="E131" s="876" t="n">
        <x:v>10334300</x:v>
      </x:c>
      <x:c r="F131" s="863" t="n">
        <x:v>1</x:v>
      </x:c>
      <x:c r="G131" s="877" t="n">
        <x:v>1</x:v>
      </x:c>
      <x:c r="H131" s="876" t="n">
        <x:v>0</x:v>
      </x:c>
      <x:c r="I131" s="876" t="n">
        <x:v>10334300</x:v>
      </x:c>
      <x:c r="J131" s="876" t="n">
        <x:v>0</x:v>
      </x:c>
      <x:c r="K131" s="876" t="n">
        <x:v>0</x:v>
      </x:c>
      <x:c r="L131" s="876" t="n">
        <x:v>10334300</x:v>
      </x:c>
      <x:c r="M131" s="863" t="str">
        <x:v>Complete</x:v>
      </x:c>
    </x:row>
    <x:row r="132" ht="20" customHeight="1">
      <x:c r="A132" s="863" t="n">
        <x:v>111</x:v>
      </x:c>
      <x:c r="B132" s="863" t="n">
        <x:v>9</x:v>
      </x:c>
      <x:c r="C132" s="863" t="str">
        <x:v>K197</x:v>
      </x:c>
      <x:c r="D132" s="813" t="str">
        <x:v>ღbaby买买买ღ</x:v>
      </x:c>
      <x:c r="E132" s="876" t="n">
        <x:v>10334300</x:v>
      </x:c>
      <x:c r="F132" s="863" t="n">
        <x:v>2</x:v>
      </x:c>
      <x:c r="G132" s="877" t="n">
        <x:v>0.5</x:v>
      </x:c>
      <x:c r="H132" s="876" t="n">
        <x:v>0</x:v>
      </x:c>
      <x:c r="I132" s="876" t="n">
        <x:v>0</x:v>
      </x:c>
      <x:c r="J132" s="876" t="n">
        <x:v>10334300</x:v>
      </x:c>
      <x:c r="K132" s="876" t="n">
        <x:v>0</x:v>
      </x:c>
      <x:c r="L132" s="876" t="n">
        <x:v>10334300</x:v>
      </x:c>
      <x:c r="M132" s="863" t="str">
        <x:v>Partial lookup</x:v>
      </x:c>
    </x:row>
    <x:row r="133" ht="20" customHeight="1">
      <x:c r="A133" s="863" t="n">
        <x:v>111</x:v>
      </x:c>
      <x:c r="B133" s="863" t="n">
        <x:v>9</x:v>
      </x:c>
      <x:c r="C133" s="863" t="str">
        <x:v>K197</x:v>
      </x:c>
      <x:c r="D133" s="813" t="str">
        <x:v>优乐美</x:v>
      </x:c>
      <x:c r="E133" s="876" t="n">
        <x:v>10334300</x:v>
      </x:c>
      <x:c r="F133" s="863" t="n">
        <x:v>1</x:v>
      </x:c>
      <x:c r="G133" s="877" t="n">
        <x:v>1</x:v>
      </x:c>
      <x:c r="H133" s="876" t="n">
        <x:v>0</x:v>
      </x:c>
      <x:c r="I133" s="876" t="n">
        <x:v>10334300</x:v>
      </x:c>
      <x:c r="J133" s="876" t="n">
        <x:v>0</x:v>
      </x:c>
      <x:c r="K133" s="876" t="n">
        <x:v>0</x:v>
      </x:c>
      <x:c r="L133" s="876" t="n">
        <x:v>10334300</x:v>
      </x:c>
      <x:c r="M133" s="863" t="str">
        <x:v>Complete</x:v>
      </x:c>
    </x:row>
    <x:row r="134" ht="20" customHeight="1">
      <x:c r="A134" s="863" t="n">
        <x:v>118</x:v>
      </x:c>
      <x:c r="B134" s="863" t="n">
        <x:v>13</x:v>
      </x:c>
      <x:c r="C134" s="863" t="str">
        <x:v>K91</x:v>
      </x:c>
      <x:c r="D134" s="813" t="str">
        <x:v>A†RO/</x:v>
      </x:c>
      <x:c r="E134" s="876" t="n">
        <x:v>10302900</x:v>
      </x:c>
      <x:c r="F134" s="863" t="n">
        <x:v>3</x:v>
      </x:c>
      <x:c r="G134" s="877" t="n">
        <x:v>1</x:v>
      </x:c>
      <x:c r="H134" s="876" t="n">
        <x:v>774300</x:v>
      </x:c>
      <x:c r="I134" s="876" t="n">
        <x:v>0</x:v>
      </x:c>
      <x:c r="J134" s="876" t="n">
        <x:v>9528600</x:v>
      </x:c>
      <x:c r="K134" s="876" t="n">
        <x:v>0</x:v>
      </x:c>
      <x:c r="L134" s="876" t="n">
        <x:v>9528600</x:v>
      </x:c>
      <x:c r="M134" s="863" t="str">
        <x:v>Complete</x:v>
      </x:c>
    </x:row>
    <x:row r="135" ht="20" customHeight="1">
      <x:c r="A135" s="863" t="n">
        <x:v>119</x:v>
      </x:c>
      <x:c r="B135" s="863" t="n">
        <x:v>23</x:v>
      </x:c>
      <x:c r="C135" s="863" t="str">
        <x:v>K60</x:v>
      </x:c>
      <x:c r="D135" s="813" t="str">
        <x:v>༺۝Foxik۝༻</x:v>
      </x:c>
      <x:c r="E135" s="876" t="n">
        <x:v>10252900</x:v>
      </x:c>
      <x:c r="F135" s="863" t="n">
        <x:v>3</x:v>
      </x:c>
      <x:c r="G135" s="877" t="n">
        <x:v>1</x:v>
      </x:c>
      <x:c r="H135" s="876" t="n">
        <x:v>2244300</x:v>
      </x:c>
      <x:c r="I135" s="876" t="n">
        <x:v>8008600</x:v>
      </x:c>
      <x:c r="J135" s="876" t="n">
        <x:v>0</x:v>
      </x:c>
      <x:c r="K135" s="876" t="n">
        <x:v>0</x:v>
      </x:c>
      <x:c r="L135" s="876" t="n">
        <x:v>8008600</x:v>
      </x:c>
      <x:c r="M135" s="863" t="str">
        <x:v>Complete</x:v>
      </x:c>
    </x:row>
    <x:row r="136" ht="20" customHeight="1">
      <x:c r="A136" s="863" t="n">
        <x:v>119</x:v>
      </x:c>
      <x:c r="B136" s="863" t="n">
        <x:v>16</x:v>
      </x:c>
      <x:c r="C136" s="863" t="str">
        <x:v>K170</x:v>
      </x:c>
      <x:c r="D136" s="813" t="str">
        <x:v>(AOT)Brauni°</x:v>
      </x:c>
      <x:c r="E136" s="876" t="n">
        <x:v>10252900</x:v>
      </x:c>
      <x:c r="F136" s="863" t="n">
        <x:v>3</x:v>
      </x:c>
      <x:c r="G136" s="877" t="n">
        <x:v>1</x:v>
      </x:c>
      <x:c r="H136" s="876" t="n">
        <x:v>2244300</x:v>
      </x:c>
      <x:c r="I136" s="876" t="n">
        <x:v>4284300</x:v>
      </x:c>
      <x:c r="J136" s="876" t="n">
        <x:v>3724300</x:v>
      </x:c>
      <x:c r="K136" s="876" t="n">
        <x:v>0</x:v>
      </x:c>
      <x:c r="L136" s="876" t="n">
        <x:v>8008600</x:v>
      </x:c>
      <x:c r="M136" s="863" t="str">
        <x:v>Complete</x:v>
      </x:c>
    </x:row>
    <x:row r="137" ht="20" customHeight="1">
      <x:c r="A137" s="863" t="n">
        <x:v>121</x:v>
      </x:c>
      <x:c r="B137" s="863" t="n">
        <x:v>14</x:v>
      </x:c>
      <x:c r="C137" s="863" t="str">
        <x:v>K91</x:v>
      </x:c>
      <x:c r="D137" s="813" t="str">
        <x:v>Antoni</x:v>
      </x:c>
      <x:c r="E137" s="876" t="n">
        <x:v>10147900</x:v>
      </x:c>
      <x:c r="F137" s="863" t="n">
        <x:v>3</x:v>
      </x:c>
      <x:c r="G137" s="877" t="n">
        <x:v>1</x:v>
      </x:c>
      <x:c r="H137" s="876" t="n">
        <x:v>369300</x:v>
      </x:c>
      <x:c r="I137" s="876" t="n">
        <x:v>0</x:v>
      </x:c>
      <x:c r="J137" s="876" t="n">
        <x:v>9778600</x:v>
      </x:c>
      <x:c r="K137" s="876" t="n">
        <x:v>0</x:v>
      </x:c>
      <x:c r="L137" s="876" t="n">
        <x:v>9778600</x:v>
      </x:c>
      <x:c r="M137" s="863" t="str">
        <x:v>Complete</x:v>
      </x:c>
    </x:row>
    <x:row r="138" ht="20" customHeight="1">
      <x:c r="A138" s="863" t="n">
        <x:v>122</x:v>
      </x:c>
      <x:c r="B138" s="863" t="n">
        <x:v>24</x:v>
      </x:c>
      <x:c r="C138" s="863" t="str">
        <x:v>K60</x:v>
      </x:c>
      <x:c r="D138" s="813" t="str">
        <x:v>KingSkorpioN</x:v>
      </x:c>
      <x:c r="E138" s="876" t="n">
        <x:v>10092900</x:v>
      </x:c>
      <x:c r="F138" s="863" t="n">
        <x:v>3</x:v>
      </x:c>
      <x:c r="G138" s="877" t="n">
        <x:v>1</x:v>
      </x:c>
      <x:c r="H138" s="876" t="n">
        <x:v>2244300</x:v>
      </x:c>
      <x:c r="I138" s="876" t="n">
        <x:v>5004300</x:v>
      </x:c>
      <x:c r="J138" s="876" t="n">
        <x:v>2844300</x:v>
      </x:c>
      <x:c r="K138" s="876" t="n">
        <x:v>0</x:v>
      </x:c>
      <x:c r="L138" s="876" t="n">
        <x:v>7848600</x:v>
      </x:c>
      <x:c r="M138" s="863" t="str">
        <x:v>Complete</x:v>
      </x:c>
    </x:row>
    <x:row r="139" ht="20" customHeight="1">
      <x:c r="A139" s="863" t="n">
        <x:v>123</x:v>
      </x:c>
      <x:c r="B139" s="863" t="n">
        <x:v>18</x:v>
      </x:c>
      <x:c r="C139" s="863" t="str">
        <x:v>K138</x:v>
      </x:c>
      <x:c r="D139" s="813" t="str">
        <x:v>(RaW)Venom毒液</x:v>
      </x:c>
      <x:c r="E139" s="876" t="n">
        <x:v>9958600</x:v>
      </x:c>
      <x:c r="F139" s="863" t="n">
        <x:v>2</x:v>
      </x:c>
      <x:c r="G139" s="877" t="n">
        <x:v>1</x:v>
      </x:c>
      <x:c r="H139" s="876" t="n">
        <x:v>8334300</x:v>
      </x:c>
      <x:c r="I139" s="876" t="n">
        <x:v>0</x:v>
      </x:c>
      <x:c r="J139" s="876" t="n">
        <x:v>1624300</x:v>
      </x:c>
      <x:c r="K139" s="876" t="n">
        <x:v>0</x:v>
      </x:c>
      <x:c r="L139" s="876" t="n">
        <x:v>1624300</x:v>
      </x:c>
      <x:c r="M139" s="863" t="str">
        <x:v>Complete</x:v>
      </x:c>
    </x:row>
    <x:row r="140" ht="20" customHeight="1">
      <x:c r="A140" s="863" t="n">
        <x:v>124</x:v>
      </x:c>
      <x:c r="B140" s="863" t="n">
        <x:v>19</x:v>
      </x:c>
      <x:c r="C140" s="863" t="str">
        <x:v>K138</x:v>
      </x:c>
      <x:c r="D140" s="813" t="str">
        <x:v>(RaW)༺ASOS༻</x:v>
      </x:c>
      <x:c r="E140" s="876" t="n">
        <x:v>9288600</x:v>
      </x:c>
      <x:c r="F140" s="863" t="n">
        <x:v>2</x:v>
      </x:c>
      <x:c r="G140" s="877" t="n">
        <x:v>1</x:v>
      </x:c>
      <x:c r="H140" s="876" t="n">
        <x:v>4284300</x:v>
      </x:c>
      <x:c r="I140" s="876" t="n">
        <x:v>0</x:v>
      </x:c>
      <x:c r="J140" s="876" t="n">
        <x:v>5004300</x:v>
      </x:c>
      <x:c r="K140" s="876" t="n">
        <x:v>0</x:v>
      </x:c>
      <x:c r="L140" s="876" t="n">
        <x:v>5004300</x:v>
      </x:c>
      <x:c r="M140" s="863" t="str">
        <x:v>Complete</x:v>
      </x:c>
    </x:row>
    <x:row r="141" ht="20" customHeight="1">
      <x:c r="A141" s="863" t="n">
        <x:v>124</x:v>
      </x:c>
      <x:c r="B141" s="863" t="n">
        <x:v>17</x:v>
      </x:c>
      <x:c r="C141" s="863" t="str">
        <x:v>K170</x:v>
      </x:c>
      <x:c r="D141" s="813" t="str">
        <x:v>(AOT)Paian2</x:v>
      </x:c>
      <x:c r="E141" s="876" t="n">
        <x:v>9288600</x:v>
      </x:c>
      <x:c r="F141" s="863" t="n">
        <x:v>2</x:v>
      </x:c>
      <x:c r="G141" s="877" t="n">
        <x:v>1</x:v>
      </x:c>
      <x:c r="H141" s="876" t="n">
        <x:v>4284300</x:v>
      </x:c>
      <x:c r="I141" s="876" t="n">
        <x:v>5004300</x:v>
      </x:c>
      <x:c r="J141" s="876" t="n">
        <x:v>0</x:v>
      </x:c>
      <x:c r="K141" s="876" t="n">
        <x:v>0</x:v>
      </x:c>
      <x:c r="L141" s="876" t="n">
        <x:v>5004300</x:v>
      </x:c>
      <x:c r="M141" s="863" t="str">
        <x:v>Complete</x:v>
      </x:c>
    </x:row>
    <x:row r="142" ht="20" customHeight="1">
      <x:c r="A142" s="863" t="n">
        <x:v>126</x:v>
      </x:c>
      <x:c r="B142" s="863" t="n">
        <x:v>20</x:v>
      </x:c>
      <x:c r="C142" s="863" t="str">
        <x:v>K138</x:v>
      </x:c>
      <x:c r="D142" s="813" t="str">
        <x:v>(RaW)༺JOJO༻</x:v>
      </x:c>
      <x:c r="E142" s="876" t="n">
        <x:v>9052900</x:v>
      </x:c>
      <x:c r="F142" s="863" t="n">
        <x:v>3</x:v>
      </x:c>
      <x:c r="G142" s="877" t="n">
        <x:v>1</x:v>
      </x:c>
      <x:c r="H142" s="876" t="n">
        <x:v>4284300</x:v>
      </x:c>
      <x:c r="I142" s="876" t="n">
        <x:v>2244300</x:v>
      </x:c>
      <x:c r="J142" s="876" t="n">
        <x:v>2524300</x:v>
      </x:c>
      <x:c r="K142" s="876" t="n">
        <x:v>0</x:v>
      </x:c>
      <x:c r="L142" s="876" t="n">
        <x:v>4768600</x:v>
      </x:c>
      <x:c r="M142" s="863" t="str">
        <x:v>Complete</x:v>
      </x:c>
    </x:row>
    <x:row r="143" ht="20" customHeight="1">
      <x:c r="A143" s="863" t="n">
        <x:v>127</x:v>
      </x:c>
      <x:c r="B143" s="863" t="n">
        <x:v>18</x:v>
      </x:c>
      <x:c r="C143" s="863" t="str">
        <x:v>K170</x:v>
      </x:c>
      <x:c r="D143" s="813" t="str">
        <x:v>(AOT)Aauudd</x:v>
      </x:c>
      <x:c r="E143" s="876" t="n">
        <x:v>8939700</x:v>
      </x:c>
      <x:c r="F143" s="863" t="n">
        <x:v>4</x:v>
      </x:c>
      <x:c r="G143" s="877" t="n">
        <x:v>1</x:v>
      </x:c>
      <x:c r="H143" s="876" t="n">
        <x:v>0</x:v>
      </x:c>
      <x:c r="I143" s="876" t="n">
        <x:v>5868600</x:v>
      </x:c>
      <x:c r="J143" s="876" t="n">
        <x:v>226800</x:v>
      </x:c>
      <x:c r="K143" s="876" t="n">
        <x:v>2844300</x:v>
      </x:c>
      <x:c r="L143" s="876" t="n">
        <x:v>8939700</x:v>
      </x:c>
      <x:c r="M143" s="863" t="str">
        <x:v>Complete</x:v>
      </x:c>
    </x:row>
    <x:row r="144" ht="20" customHeight="1">
      <x:c r="A144" s="863" t="n">
        <x:v>128</x:v>
      </x:c>
      <x:c r="B144" s="863" t="n">
        <x:v>19</x:v>
      </x:c>
      <x:c r="C144" s="863" t="str">
        <x:v>K170</x:v>
      </x:c>
      <x:c r="D144" s="813" t="str">
        <x:v>(AOT)MONKEY</x:v>
      </x:c>
      <x:c r="E144" s="876" t="n">
        <x:v>8772900</x:v>
      </x:c>
      <x:c r="F144" s="863" t="n">
        <x:v>3</x:v>
      </x:c>
      <x:c r="G144" s="877" t="n">
        <x:v>1</x:v>
      </x:c>
      <x:c r="H144" s="876" t="n">
        <x:v>2244300</x:v>
      </x:c>
      <x:c r="I144" s="876" t="n">
        <x:v>4284300</x:v>
      </x:c>
      <x:c r="J144" s="876" t="n">
        <x:v>2244300</x:v>
      </x:c>
      <x:c r="K144" s="876" t="n">
        <x:v>0</x:v>
      </x:c>
      <x:c r="L144" s="876" t="n">
        <x:v>6528600</x:v>
      </x:c>
      <x:c r="M144" s="863" t="str">
        <x:v>Complete</x:v>
      </x:c>
    </x:row>
    <x:row r="145" ht="20" customHeight="1">
      <x:c r="A145" s="863" t="n">
        <x:v>129</x:v>
      </x:c>
      <x:c r="B145" s="863" t="n">
        <x:v>15</x:v>
      </x:c>
      <x:c r="C145" s="863" t="str">
        <x:v>K197</x:v>
      </x:c>
      <x:c r="D145" s="813" t="str">
        <x:v>Mira</x:v>
      </x:c>
      <x:c r="E145" s="876" t="n">
        <x:v>8758600</x:v>
      </x:c>
      <x:c r="F145" s="863" t="n">
        <x:v>2</x:v>
      </x:c>
      <x:c r="G145" s="877" t="n">
        <x:v>1</x:v>
      </x:c>
      <x:c r="H145" s="876" t="n">
        <x:v>424300</x:v>
      </x:c>
      <x:c r="I145" s="876" t="n">
        <x:v>0</x:v>
      </x:c>
      <x:c r="J145" s="876" t="n">
        <x:v>8334300</x:v>
      </x:c>
      <x:c r="K145" s="876" t="n">
        <x:v>0</x:v>
      </x:c>
      <x:c r="L145" s="876" t="n">
        <x:v>8334300</x:v>
      </x:c>
      <x:c r="M145" s="863" t="str">
        <x:v>Complete</x:v>
      </x:c>
    </x:row>
    <x:row r="146" ht="20" customHeight="1">
      <x:c r="A146" s="863" t="n">
        <x:v>130</x:v>
      </x:c>
      <x:c r="B146" s="863" t="n">
        <x:v>21</x:v>
      </x:c>
      <x:c r="C146" s="863" t="str">
        <x:v>K138</x:v>
      </x:c>
      <x:c r="D146" s="813" t="str">
        <x:v>(RaW)PPP_253</x:v>
      </x:c>
      <x:c r="E146" s="876" t="n">
        <x:v>8568600</x:v>
      </x:c>
      <x:c r="F146" s="863" t="n">
        <x:v>2</x:v>
      </x:c>
      <x:c r="G146" s="877" t="n">
        <x:v>1</x:v>
      </x:c>
      <x:c r="H146" s="876" t="n">
        <x:v>4284300</x:v>
      </x:c>
      <x:c r="I146" s="876" t="n">
        <x:v>0</x:v>
      </x:c>
      <x:c r="J146" s="876" t="n">
        <x:v>4284300</x:v>
      </x:c>
      <x:c r="K146" s="876" t="n">
        <x:v>0</x:v>
      </x:c>
      <x:c r="L146" s="876" t="n">
        <x:v>4284300</x:v>
      </x:c>
      <x:c r="M146" s="863" t="str">
        <x:v>Complete</x:v>
      </x:c>
    </x:row>
    <x:row r="147" ht="20" customHeight="1">
      <x:c r="A147" s="863" t="n">
        <x:v>130</x:v>
      </x:c>
      <x:c r="B147" s="863" t="n">
        <x:v>9</x:v>
      </x:c>
      <x:c r="C147" s="863" t="str">
        <x:v>K54</x:v>
      </x:c>
      <x:c r="D147" s="813" t="str">
        <x:v>奕星的殺猪盤</x:v>
      </x:c>
      <x:c r="E147" s="876" t="n">
        <x:v>8568600</x:v>
      </x:c>
      <x:c r="F147" s="863" t="n">
        <x:v>2</x:v>
      </x:c>
      <x:c r="G147" s="877" t="n">
        <x:v>1</x:v>
      </x:c>
      <x:c r="H147" s="876" t="n">
        <x:v>0</x:v>
      </x:c>
      <x:c r="I147" s="876" t="n">
        <x:v>8568600</x:v>
      </x:c>
      <x:c r="J147" s="876" t="n">
        <x:v>0</x:v>
      </x:c>
      <x:c r="K147" s="876" t="n">
        <x:v>0</x:v>
      </x:c>
      <x:c r="L147" s="876" t="n">
        <x:v>8568600</x:v>
      </x:c>
      <x:c r="M147" s="863" t="str">
        <x:v>Complete</x:v>
      </x:c>
    </x:row>
    <x:row r="148" ht="20" customHeight="1">
      <x:c r="A148" s="863" t="n">
        <x:v>132</x:v>
      </x:c>
      <x:c r="B148" s="863" t="n">
        <x:v>15</x:v>
      </x:c>
      <x:c r="C148" s="863" t="str">
        <x:v>K91</x:v>
      </x:c>
      <x:c r="D148" s="813" t="str">
        <x:v>金灵蛇</x:v>
      </x:c>
      <x:c r="E148" s="876" t="n">
        <x:v>8400400</x:v>
      </x:c>
      <x:c r="F148" s="863" t="n">
        <x:v>3</x:v>
      </x:c>
      <x:c r="G148" s="877" t="n">
        <x:v>1</x:v>
      </x:c>
      <x:c r="H148" s="876" t="n">
        <x:v>1194300</x:v>
      </x:c>
      <x:c r="I148" s="876" t="n">
        <x:v>0</x:v>
      </x:c>
      <x:c r="J148" s="876" t="n">
        <x:v>7206100</x:v>
      </x:c>
      <x:c r="K148" s="876" t="n">
        <x:v>0</x:v>
      </x:c>
      <x:c r="L148" s="876" t="n">
        <x:v>7206100</x:v>
      </x:c>
      <x:c r="M148" s="863" t="str">
        <x:v>Complete</x:v>
      </x:c>
    </x:row>
    <x:row r="149" ht="20" customHeight="1">
      <x:c r="A149" s="863" t="n">
        <x:v>133</x:v>
      </x:c>
      <x:c r="B149" s="863" t="n">
        <x:v>16</x:v>
      </x:c>
      <x:c r="C149" s="863" t="str">
        <x:v>K197</x:v>
      </x:c>
      <x:c r="D149" s="813" t="str">
        <x:v>†ŁØRD†</x:v>
      </x:c>
      <x:c r="E149" s="876" t="n">
        <x:v>8334300</x:v>
      </x:c>
      <x:c r="F149" s="863" t="n">
        <x:v>1</x:v>
      </x:c>
      <x:c r="G149" s="877" t="n">
        <x:v>1</x:v>
      </x:c>
      <x:c r="H149" s="876" t="n">
        <x:v>0</x:v>
      </x:c>
      <x:c r="I149" s="876" t="n">
        <x:v>0</x:v>
      </x:c>
      <x:c r="J149" s="876" t="n">
        <x:v>8334300</x:v>
      </x:c>
      <x:c r="K149" s="876" t="n">
        <x:v>0</x:v>
      </x:c>
      <x:c r="L149" s="876" t="n">
        <x:v>8334300</x:v>
      </x:c>
      <x:c r="M149" s="863" t="str">
        <x:v>Complete</x:v>
      </x:c>
    </x:row>
    <x:row r="150" ht="20" customHeight="1">
      <x:c r="A150" s="863" t="n">
        <x:v>134</x:v>
      </x:c>
      <x:c r="B150" s="863" t="n">
        <x:v>25</x:v>
      </x:c>
      <x:c r="C150" s="863" t="str">
        <x:v>K60</x:v>
      </x:c>
      <x:c r="D150" s="813" t="str">
        <x:v>MoonLight</x:v>
      </x:c>
      <x:c r="E150" s="876" t="n">
        <x:v>8012900</x:v>
      </x:c>
      <x:c r="F150" s="863" t="n">
        <x:v>3</x:v>
      </x:c>
      <x:c r="G150" s="877" t="n">
        <x:v>1</x:v>
      </x:c>
      <x:c r="H150" s="876" t="n">
        <x:v>2244300</x:v>
      </x:c>
      <x:c r="I150" s="876" t="n">
        <x:v>3244300</x:v>
      </x:c>
      <x:c r="J150" s="876" t="n">
        <x:v>2524300</x:v>
      </x:c>
      <x:c r="K150" s="876" t="n">
        <x:v>0</x:v>
      </x:c>
      <x:c r="L150" s="876" t="n">
        <x:v>5768600</x:v>
      </x:c>
      <x:c r="M150" s="863" t="str">
        <x:v>Complete</x:v>
      </x:c>
    </x:row>
    <x:row r="151" ht="20" customHeight="1">
      <x:c r="A151" s="863" t="n">
        <x:v>135</x:v>
      </x:c>
      <x:c r="B151" s="863" t="n">
        <x:v>10</x:v>
      </x:c>
      <x:c r="C151" s="863" t="str">
        <x:v>K54</x:v>
      </x:c>
      <x:c r="D151" s="813" t="str">
        <x:v>醉红尘</x:v>
      </x:c>
      <x:c r="E151" s="876" t="n">
        <x:v>7927200</x:v>
      </x:c>
      <x:c r="F151" s="863" t="n">
        <x:v>4</x:v>
      </x:c>
      <x:c r="G151" s="877" t="n">
        <x:v>1</x:v>
      </x:c>
      <x:c r="H151" s="876" t="n">
        <x:v>0</x:v>
      </x:c>
      <x:c r="I151" s="876" t="n">
        <x:v>3438600</x:v>
      </x:c>
      <x:c r="J151" s="876" t="n">
        <x:v>2244300</x:v>
      </x:c>
      <x:c r="K151" s="876" t="n">
        <x:v>2244300</x:v>
      </x:c>
      <x:c r="L151" s="876" t="n">
        <x:v>7927200</x:v>
      </x:c>
      <x:c r="M151" s="863" t="str">
        <x:v>Complete</x:v>
      </x:c>
    </x:row>
    <x:row r="152" ht="20" customHeight="1">
      <x:c r="A152" s="863" t="n">
        <x:v>136</x:v>
      </x:c>
      <x:c r="B152" s="863" t="n">
        <x:v>22</x:v>
      </x:c>
      <x:c r="C152" s="863" t="str">
        <x:v>K138</x:v>
      </x:c>
      <x:c r="D152" s="813" t="str">
        <x:v>(RaW)ⓀⒶⓃⓃⓄⓃ</x:v>
      </x:c>
      <x:c r="E152" s="876" t="n">
        <x:v>7848600</x:v>
      </x:c>
      <x:c r="F152" s="863" t="n">
        <x:v>2</x:v>
      </x:c>
      <x:c r="G152" s="877" t="n">
        <x:v>1</x:v>
      </x:c>
      <x:c r="H152" s="876" t="n">
        <x:v>2844300</x:v>
      </x:c>
      <x:c r="I152" s="876" t="n">
        <x:v>5004300</x:v>
      </x:c>
      <x:c r="J152" s="876" t="n">
        <x:v>0</x:v>
      </x:c>
      <x:c r="K152" s="876" t="n">
        <x:v>0</x:v>
      </x:c>
      <x:c r="L152" s="876" t="n">
        <x:v>5004300</x:v>
      </x:c>
      <x:c r="M152" s="863" t="str">
        <x:v>Complete</x:v>
      </x:c>
    </x:row>
    <x:row r="153" ht="20" customHeight="1">
      <x:c r="A153" s="863" t="n">
        <x:v>137</x:v>
      </x:c>
      <x:c r="B153" s="863" t="n">
        <x:v>23</x:v>
      </x:c>
      <x:c r="C153" s="863" t="str">
        <x:v>K138</x:v>
      </x:c>
      <x:c r="D153" s="813" t="str">
        <x:v>(RaW)GoŁΛ</x:v>
      </x:c>
      <x:c r="E153" s="876" t="n">
        <x:v>7528600</x:v>
      </x:c>
      <x:c r="F153" s="863" t="n">
        <x:v>2</x:v>
      </x:c>
      <x:c r="G153" s="877" t="n">
        <x:v>1</x:v>
      </x:c>
      <x:c r="H153" s="876" t="n">
        <x:v>3244300</x:v>
      </x:c>
      <x:c r="I153" s="876" t="n">
        <x:v>0</x:v>
      </x:c>
      <x:c r="J153" s="876" t="n">
        <x:v>4284300</x:v>
      </x:c>
      <x:c r="K153" s="876" t="n">
        <x:v>0</x:v>
      </x:c>
      <x:c r="L153" s="876" t="n">
        <x:v>4284300</x:v>
      </x:c>
      <x:c r="M153" s="863" t="str">
        <x:v>Complete</x:v>
      </x:c>
    </x:row>
    <x:row r="154" ht="20" customHeight="1">
      <x:c r="A154" s="863" t="n">
        <x:v>138</x:v>
      </x:c>
      <x:c r="B154" s="863" t="n">
        <x:v>16</x:v>
      </x:c>
      <x:c r="C154" s="863" t="str">
        <x:v>K91</x:v>
      </x:c>
      <x:c r="D154" s="813" t="str">
        <x:v>•Scorpio•NM85</x:v>
      </x:c>
      <x:c r="E154" s="876" t="n">
        <x:v>7352900</x:v>
      </x:c>
      <x:c r="F154" s="863" t="n">
        <x:v>3</x:v>
      </x:c>
      <x:c r="G154" s="877" t="n">
        <x:v>1</x:v>
      </x:c>
      <x:c r="H154" s="876" t="n">
        <x:v>774300</x:v>
      </x:c>
      <x:c r="I154" s="876" t="n">
        <x:v>0</x:v>
      </x:c>
      <x:c r="J154" s="876" t="n">
        <x:v>6578600</x:v>
      </x:c>
      <x:c r="K154" s="876" t="n">
        <x:v>0</x:v>
      </x:c>
      <x:c r="L154" s="876" t="n">
        <x:v>6578600</x:v>
      </x:c>
      <x:c r="M154" s="863" t="str">
        <x:v>Complete</x:v>
      </x:c>
    </x:row>
    <x:row r="155" ht="20" customHeight="1">
      <x:c r="A155" s="863" t="n">
        <x:v>139</x:v>
      </x:c>
      <x:c r="B155" s="863" t="n">
        <x:v>11</x:v>
      </x:c>
      <x:c r="C155" s="863" t="str">
        <x:v>K54</x:v>
      </x:c>
      <x:c r="D155" s="813" t="str">
        <x:v>極惡九孔</x:v>
      </x:c>
      <x:c r="E155" s="876" t="n">
        <x:v>6934300</x:v>
      </x:c>
      <x:c r="F155" s="863" t="n">
        <x:v>1</x:v>
      </x:c>
      <x:c r="G155" s="877" t="n">
        <x:v>1</x:v>
      </x:c>
      <x:c r="H155" s="876" t="n">
        <x:v>6934300</x:v>
      </x:c>
      <x:c r="I155" s="876" t="n">
        <x:v>0</x:v>
      </x:c>
      <x:c r="J155" s="876" t="n">
        <x:v>0</x:v>
      </x:c>
      <x:c r="K155" s="876" t="n">
        <x:v>0</x:v>
      </x:c>
      <x:c r="L155" s="876" t="n">
        <x:v>0</x:v>
      </x:c>
      <x:c r="M155" s="863" t="str">
        <x:v>Complete</x:v>
      </x:c>
    </x:row>
    <x:row r="156" ht="20" customHeight="1">
      <x:c r="A156" s="863" t="n">
        <x:v>140</x:v>
      </x:c>
      <x:c r="B156" s="863" t="n">
        <x:v>17</x:v>
      </x:c>
      <x:c r="C156" s="863" t="str">
        <x:v>K91</x:v>
      </x:c>
      <x:c r="D156" s="813" t="str">
        <x:v>Nico•</x:v>
      </x:c>
      <x:c r="E156" s="876" t="n">
        <x:v>6742900</x:v>
      </x:c>
      <x:c r="F156" s="863" t="n">
        <x:v>3</x:v>
      </x:c>
      <x:c r="G156" s="877" t="n">
        <x:v>1</x:v>
      </x:c>
      <x:c r="H156" s="876" t="n">
        <x:v>774300</x:v>
      </x:c>
      <x:c r="I156" s="876" t="n">
        <x:v>0</x:v>
      </x:c>
      <x:c r="J156" s="876" t="n">
        <x:v>5968600</x:v>
      </x:c>
      <x:c r="K156" s="876" t="n">
        <x:v>0</x:v>
      </x:c>
      <x:c r="L156" s="876" t="n">
        <x:v>5968600</x:v>
      </x:c>
      <x:c r="M156" s="863" t="str">
        <x:v>Complete</x:v>
      </x:c>
    </x:row>
    <x:row r="157" ht="20" customHeight="1">
      <x:c r="A157" s="863" t="n">
        <x:v>141</x:v>
      </x:c>
      <x:c r="B157" s="863" t="n">
        <x:v>11</x:v>
      </x:c>
      <x:c r="C157" s="863" t="str">
        <x:v>K116</x:v>
      </x:c>
      <x:c r="D157" s="813" t="str">
        <x:v>逍遥浪四月</x:v>
      </x:c>
      <x:c r="E157" s="876" t="n">
        <x:v>6732900</x:v>
      </x:c>
      <x:c r="F157" s="863" t="n">
        <x:v>3</x:v>
      </x:c>
      <x:c r="G157" s="877" t="n">
        <x:v>1</x:v>
      </x:c>
      <x:c r="H157" s="876" t="n">
        <x:v>2244300</x:v>
      </x:c>
      <x:c r="I157" s="876" t="n">
        <x:v>4488600</x:v>
      </x:c>
      <x:c r="J157" s="876" t="n">
        <x:v>0</x:v>
      </x:c>
      <x:c r="K157" s="876" t="n">
        <x:v>0</x:v>
      </x:c>
      <x:c r="L157" s="876" t="n">
        <x:v>4488600</x:v>
      </x:c>
      <x:c r="M157" s="863" t="str">
        <x:v>Complete</x:v>
      </x:c>
    </x:row>
    <x:row r="158" ht="20" customHeight="1">
      <x:c r="A158" s="863" t="n">
        <x:v>142</x:v>
      </x:c>
      <x:c r="B158" s="863" t="n">
        <x:v>18</x:v>
      </x:c>
      <x:c r="C158" s="863" t="str">
        <x:v>K91</x:v>
      </x:c>
      <x:c r="D158" s="813" t="str">
        <x:v>Trinità</x:v>
      </x:c>
      <x:c r="E158" s="876" t="n">
        <x:v>6692900</x:v>
      </x:c>
      <x:c r="F158" s="863" t="n">
        <x:v>3</x:v>
      </x:c>
      <x:c r="G158" s="877" t="n">
        <x:v>1</x:v>
      </x:c>
      <x:c r="H158" s="876" t="n">
        <x:v>964300</x:v>
      </x:c>
      <x:c r="I158" s="876" t="n">
        <x:v>5728600</x:v>
      </x:c>
      <x:c r="J158" s="876" t="n">
        <x:v>0</x:v>
      </x:c>
      <x:c r="K158" s="876" t="n">
        <x:v>0</x:v>
      </x:c>
      <x:c r="L158" s="876" t="n">
        <x:v>5728600</x:v>
      </x:c>
      <x:c r="M158" s="863" t="str">
        <x:v>Complete</x:v>
      </x:c>
    </x:row>
    <x:row r="159" ht="20" customHeight="1">
      <x:c r="A159" s="863" t="n">
        <x:v>143</x:v>
      </x:c>
      <x:c r="B159" s="863" t="n">
        <x:v>19</x:v>
      </x:c>
      <x:c r="C159" s="863" t="str">
        <x:v>K91</x:v>
      </x:c>
      <x:c r="D159" s="813" t="str">
        <x:v>†LORD•ZARIEL†</x:v>
      </x:c>
      <x:c r="E159" s="876" t="n">
        <x:v>6658600</x:v>
      </x:c>
      <x:c r="F159" s="863" t="n">
        <x:v>2</x:v>
      </x:c>
      <x:c r="G159" s="877" t="n">
        <x:v>1</x:v>
      </x:c>
      <x:c r="H159" s="876" t="n">
        <x:v>774300</x:v>
      </x:c>
      <x:c r="I159" s="876" t="n">
        <x:v>0</x:v>
      </x:c>
      <x:c r="J159" s="876" t="n">
        <x:v>5884300</x:v>
      </x:c>
      <x:c r="K159" s="876" t="n">
        <x:v>0</x:v>
      </x:c>
      <x:c r="L159" s="876" t="n">
        <x:v>5884300</x:v>
      </x:c>
      <x:c r="M159" s="863" t="str">
        <x:v>Complete</x:v>
      </x:c>
    </x:row>
    <x:row r="160" ht="20" customHeight="1">
      <x:c r="A160" s="863" t="n">
        <x:v>144</x:v>
      </x:c>
      <x:c r="B160" s="863" t="n">
        <x:v>24</x:v>
      </x:c>
      <x:c r="C160" s="863" t="str">
        <x:v>K138</x:v>
      </x:c>
      <x:c r="D160" s="813" t="str">
        <x:v>(RaW)༺TsuStark༻</x:v>
      </x:c>
      <x:c r="E160" s="876" t="n">
        <x:v>6568600</x:v>
      </x:c>
      <x:c r="F160" s="863" t="n">
        <x:v>2</x:v>
      </x:c>
      <x:c r="G160" s="877" t="n">
        <x:v>1</x:v>
      </x:c>
      <x:c r="H160" s="876" t="n">
        <x:v>2844300</x:v>
      </x:c>
      <x:c r="I160" s="876" t="n">
        <x:v>3724300</x:v>
      </x:c>
      <x:c r="J160" s="876" t="n">
        <x:v>0</x:v>
      </x:c>
      <x:c r="K160" s="876" t="n">
        <x:v>0</x:v>
      </x:c>
      <x:c r="L160" s="876" t="n">
        <x:v>3724300</x:v>
      </x:c>
      <x:c r="M160" s="863" t="str">
        <x:v>Complete</x:v>
      </x:c>
    </x:row>
    <x:row r="161" ht="20" customHeight="1">
      <x:c r="A161" s="863" t="n">
        <x:v>145</x:v>
      </x:c>
      <x:c r="B161" s="863" t="n">
        <x:v>20</x:v>
      </x:c>
      <x:c r="C161" s="863" t="str">
        <x:v>K170</x:v>
      </x:c>
      <x:c r="D161" s="813" t="str">
        <x:v>(AOT)SugarDADDY</x:v>
      </x:c>
      <x:c r="E161" s="876" t="n">
        <x:v>6384700</x:v>
      </x:c>
      <x:c r="F161" s="863" t="n">
        <x:v>4</x:v>
      </x:c>
      <x:c r="G161" s="877" t="n">
        <x:v>1</x:v>
      </x:c>
      <x:c r="H161" s="876" t="n">
        <x:v>0</x:v>
      </x:c>
      <x:c r="I161" s="876" t="n">
        <x:v>4488600</x:v>
      </x:c>
      <x:c r="J161" s="876" t="n">
        <x:v>271800</x:v>
      </x:c>
      <x:c r="K161" s="876" t="n">
        <x:v>1624300</x:v>
      </x:c>
      <x:c r="L161" s="876" t="n">
        <x:v>6384700</x:v>
      </x:c>
      <x:c r="M161" s="863" t="str">
        <x:v>Complete</x:v>
      </x:c>
    </x:row>
    <x:row r="162" ht="20" customHeight="1">
      <x:c r="A162" s="863" t="n">
        <x:v>146</x:v>
      </x:c>
      <x:c r="B162" s="863" t="n">
        <x:v>20</x:v>
      </x:c>
      <x:c r="C162" s="863" t="str">
        <x:v>K91</x:v>
      </x:c>
      <x:c r="D162" s="813" t="str">
        <x:v>TatyToy</x:v>
      </x:c>
      <x:c r="E162" s="876" t="n">
        <x:v>5942900</x:v>
      </x:c>
      <x:c r="F162" s="863" t="n">
        <x:v>3</x:v>
      </x:c>
      <x:c r="G162" s="877" t="n">
        <x:v>1</x:v>
      </x:c>
      <x:c r="H162" s="876" t="n">
        <x:v>619300</x:v>
      </x:c>
      <x:c r="I162" s="876" t="n">
        <x:v>0</x:v>
      </x:c>
      <x:c r="J162" s="876" t="n">
        <x:v>5323600</x:v>
      </x:c>
      <x:c r="K162" s="876" t="n">
        <x:v>0</x:v>
      </x:c>
      <x:c r="L162" s="876" t="n">
        <x:v>5323600</x:v>
      </x:c>
      <x:c r="M162" s="863" t="str">
        <x:v>Complete</x:v>
      </x:c>
    </x:row>
    <x:row r="163" ht="20" customHeight="1">
      <x:c r="A163" s="863" t="n">
        <x:v>147</x:v>
      </x:c>
      <x:c r="B163" s="863" t="n">
        <x:v>17</x:v>
      </x:c>
      <x:c r="C163" s="863" t="str">
        <x:v>K197</x:v>
      </x:c>
      <x:c r="D163" s="813" t="str">
        <x:v>RΣDΣYΣ</x:v>
      </x:c>
      <x:c r="E163" s="876" t="n">
        <x:v>5884300</x:v>
      </x:c>
      <x:c r="F163" s="863" t="n">
        <x:v>1</x:v>
      </x:c>
      <x:c r="G163" s="877" t="n">
        <x:v>1</x:v>
      </x:c>
      <x:c r="H163" s="876" t="n">
        <x:v>0</x:v>
      </x:c>
      <x:c r="I163" s="876" t="n">
        <x:v>0</x:v>
      </x:c>
      <x:c r="J163" s="876" t="n">
        <x:v>5884300</x:v>
      </x:c>
      <x:c r="K163" s="876" t="n">
        <x:v>0</x:v>
      </x:c>
      <x:c r="L163" s="876" t="n">
        <x:v>5884300</x:v>
      </x:c>
      <x:c r="M163" s="863" t="str">
        <x:v>Complete</x:v>
      </x:c>
    </x:row>
    <x:row r="164" ht="20" customHeight="1">
      <x:c r="A164" s="863" t="n">
        <x:v>148</x:v>
      </x:c>
      <x:c r="B164" s="863" t="n">
        <x:v>25</x:v>
      </x:c>
      <x:c r="C164" s="863" t="str">
        <x:v>K138</x:v>
      </x:c>
      <x:c r="D164" s="813" t="str">
        <x:v>(RaW)༺飞K༻</x:v>
      </x:c>
      <x:c r="E164" s="876" t="n">
        <x:v>5748600</x:v>
      </x:c>
      <x:c r="F164" s="863" t="n">
        <x:v>2</x:v>
      </x:c>
      <x:c r="G164" s="877" t="n">
        <x:v>1</x:v>
      </x:c>
      <x:c r="H164" s="876" t="n">
        <x:v>4284300</x:v>
      </x:c>
      <x:c r="I164" s="876" t="n">
        <x:v>0</x:v>
      </x:c>
      <x:c r="J164" s="876" t="n">
        <x:v>1464300</x:v>
      </x:c>
      <x:c r="K164" s="876" t="n">
        <x:v>0</x:v>
      </x:c>
      <x:c r="L164" s="876" t="n">
        <x:v>1464300</x:v>
      </x:c>
      <x:c r="M164" s="863" t="str">
        <x:v>Complete</x:v>
      </x:c>
    </x:row>
    <x:row r="165" ht="20" customHeight="1">
      <x:c r="A165" s="863" t="n">
        <x:v>149</x:v>
      </x:c>
      <x:c r="B165" s="863" t="n">
        <x:v>21</x:v>
      </x:c>
      <x:c r="C165" s="863" t="str">
        <x:v>K170</x:v>
      </x:c>
      <x:c r="D165" s="813" t="str">
        <x:v>(AOT)Paian</x:v>
      </x:c>
      <x:c r="E165" s="876" t="n">
        <x:v>5488600</x:v>
      </x:c>
      <x:c r="F165" s="863" t="n">
        <x:v>2</x:v>
      </x:c>
      <x:c r="G165" s="877" t="n">
        <x:v>1</x:v>
      </x:c>
      <x:c r="H165" s="876" t="n">
        <x:v>2244300</x:v>
      </x:c>
      <x:c r="I165" s="876" t="n">
        <x:v>3244300</x:v>
      </x:c>
      <x:c r="J165" s="876" t="n">
        <x:v>0</x:v>
      </x:c>
      <x:c r="K165" s="876" t="n">
        <x:v>0</x:v>
      </x:c>
      <x:c r="L165" s="876" t="n">
        <x:v>3244300</x:v>
      </x:c>
      <x:c r="M165" s="863" t="str">
        <x:v>Complete</x:v>
      </x:c>
    </x:row>
    <x:row r="166" ht="20" customHeight="1">
      <x:c r="A166" s="863" t="n">
        <x:v>149</x:v>
      </x:c>
      <x:c r="B166" s="863" t="n">
        <x:v>20</x:v>
      </x:c>
      <x:c r="C166" s="863" t="str">
        <x:v>K176</x:v>
      </x:c>
      <x:c r="D166" s="813" t="str">
        <x:v>我是贤熙</x:v>
      </x:c>
      <x:c r="E166" s="876" t="n">
        <x:v>5488600</x:v>
      </x:c>
      <x:c r="F166" s="863" t="n">
        <x:v>2</x:v>
      </x:c>
      <x:c r="G166" s="877" t="n">
        <x:v>1</x:v>
      </x:c>
      <x:c r="H166" s="876" t="n">
        <x:v>0</x:v>
      </x:c>
      <x:c r="I166" s="876" t="n">
        <x:v>5488600</x:v>
      </x:c>
      <x:c r="J166" s="876" t="n">
        <x:v>0</x:v>
      </x:c>
      <x:c r="K166" s="876" t="n">
        <x:v>0</x:v>
      </x:c>
      <x:c r="L166" s="876" t="n">
        <x:v>5488600</x:v>
      </x:c>
      <x:c r="M166" s="863" t="str">
        <x:v>Complete</x:v>
      </x:c>
    </x:row>
    <x:row r="167" ht="20" customHeight="1">
      <x:c r="A167" s="863" t="n">
        <x:v>151</x:v>
      </x:c>
      <x:c r="B167" s="863" t="n">
        <x:v>12</x:v>
      </x:c>
      <x:c r="C167" s="863" t="str">
        <x:v>K116</x:v>
      </x:c>
      <x:c r="D167" s="813" t="str">
        <x:v>逍遥大官人</x:v>
      </x:c>
      <x:c r="E167" s="876" t="n">
        <x:v>5162900</x:v>
      </x:c>
      <x:c r="F167" s="863" t="n">
        <x:v>3</x:v>
      </x:c>
      <x:c r="G167" s="877" t="n">
        <x:v>1</x:v>
      </x:c>
      <x:c r="H167" s="876" t="n">
        <x:v>4284300</x:v>
      </x:c>
      <x:c r="I167" s="876" t="n">
        <x:v>878600</x:v>
      </x:c>
      <x:c r="J167" s="876" t="n">
        <x:v>0</x:v>
      </x:c>
      <x:c r="K167" s="876" t="n">
        <x:v>0</x:v>
      </x:c>
      <x:c r="L167" s="876" t="n">
        <x:v>878600</x:v>
      </x:c>
      <x:c r="M167" s="863" t="str">
        <x:v>Complete</x:v>
      </x:c>
    </x:row>
    <x:row r="168" ht="20" customHeight="1">
      <x:c r="A168" s="863" t="n">
        <x:v>152</x:v>
      </x:c>
      <x:c r="B168" s="863" t="n">
        <x:v>18</x:v>
      </x:c>
      <x:c r="C168" s="863" t="str">
        <x:v>K197</x:v>
      </x:c>
      <x:c r="D168" s="813" t="str">
        <x:v>々нυηтєя々</x:v>
      </x:c>
      <x:c r="E168" s="876" t="n">
        <x:v>5004300</x:v>
      </x:c>
      <x:c r="F168" s="863" t="n">
        <x:v>1</x:v>
      </x:c>
      <x:c r="G168" s="877" t="n">
        <x:v>1</x:v>
      </x:c>
      <x:c r="H168" s="876" t="n">
        <x:v>0</x:v>
      </x:c>
      <x:c r="I168" s="876" t="n">
        <x:v>0</x:v>
      </x:c>
      <x:c r="J168" s="876" t="n">
        <x:v>5004300</x:v>
      </x:c>
      <x:c r="K168" s="876" t="n">
        <x:v>0</x:v>
      </x:c>
      <x:c r="L168" s="876" t="n">
        <x:v>5004300</x:v>
      </x:c>
      <x:c r="M168" s="863" t="str">
        <x:v>Complete</x:v>
      </x:c>
    </x:row>
    <x:row r="169" ht="20" customHeight="1">
      <x:c r="A169" s="863" t="n">
        <x:v>153</x:v>
      </x:c>
      <x:c r="B169" s="863" t="n">
        <x:v>12</x:v>
      </x:c>
      <x:c r="C169" s="863" t="str">
        <x:v>K54</x:v>
      </x:c>
      <x:c r="D169" s="813" t="str">
        <x:v>纵横,,,飞哥</x:v>
      </x:c>
      <x:c r="E169" s="876" t="n">
        <x:v>4768600</x:v>
      </x:c>
      <x:c r="F169" s="863" t="n">
        <x:v>2</x:v>
      </x:c>
      <x:c r="G169" s="877" t="n">
        <x:v>1</x:v>
      </x:c>
      <x:c r="H169" s="876" t="n">
        <x:v>0</x:v>
      </x:c>
      <x:c r="I169" s="876" t="n">
        <x:v>4768600</x:v>
      </x:c>
      <x:c r="J169" s="876" t="n">
        <x:v>0</x:v>
      </x:c>
      <x:c r="K169" s="876" t="n">
        <x:v>0</x:v>
      </x:c>
      <x:c r="L169" s="876" t="n">
        <x:v>4768600</x:v>
      </x:c>
      <x:c r="M169" s="863" t="str">
        <x:v>Complete</x:v>
      </x:c>
    </x:row>
    <x:row r="170" ht="20" customHeight="1">
      <x:c r="A170" s="863" t="n">
        <x:v>154</x:v>
      </x:c>
      <x:c r="B170" s="863" t="n">
        <x:v>26</x:v>
      </x:c>
      <x:c r="C170" s="863" t="str">
        <x:v>K138</x:v>
      </x:c>
      <x:c r="D170" s="813" t="str">
        <x:v>(RaW)JØNS</x:v>
      </x:c>
      <x:c r="E170" s="876" t="n">
        <x:v>2276100</x:v>
      </x:c>
      <x:c r="F170" s="863" t="n">
        <x:v>2</x:v>
      </x:c>
      <x:c r="G170" s="877" t="n">
        <x:v>1</x:v>
      </x:c>
      <x:c r="H170" s="876" t="n">
        <x:v>271800</x:v>
      </x:c>
      <x:c r="I170" s="876" t="n">
        <x:v>0</x:v>
      </x:c>
      <x:c r="J170" s="876" t="n">
        <x:v>2004300</x:v>
      </x:c>
      <x:c r="K170" s="876" t="n">
        <x:v>0</x:v>
      </x:c>
      <x:c r="L170" s="876" t="n">
        <x:v>2004300</x:v>
      </x:c>
      <x:c r="M170" s="863" t="str">
        <x:v>Complete</x:v>
      </x:c>
    </x:row>
    <x:row r="171" ht="20" customHeight="1">
      <x:c r="A171" s="863" t="n">
        <x:v>155</x:v>
      </x:c>
      <x:c r="B171" s="863" t="n">
        <x:v>13</x:v>
      </x:c>
      <x:c r="C171" s="863" t="str">
        <x:v>K116</x:v>
      </x:c>
      <x:c r="D171" s="813" t="str">
        <x:v>不可盾号</x:v>
      </x:c>
      <x:c r="E171" s="876" t="n">
        <x:v>2244300</x:v>
      </x:c>
      <x:c r="F171" s="863" t="n">
        <x:v>1</x:v>
      </x:c>
      <x:c r="G171" s="877" t="n">
        <x:v>1</x:v>
      </x:c>
      <x:c r="H171" s="876" t="n">
        <x:v>2244300</x:v>
      </x:c>
      <x:c r="I171" s="876" t="n">
        <x:v>0</x:v>
      </x:c>
      <x:c r="J171" s="876" t="n">
        <x:v>0</x:v>
      </x:c>
      <x:c r="K171" s="876" t="n">
        <x:v>0</x:v>
      </x:c>
      <x:c r="L171" s="876" t="n">
        <x:v>0</x:v>
      </x:c>
      <x:c r="M171" s="863" t="str">
        <x:v>Complete</x:v>
      </x:c>
    </x:row>
    <x:row r="172" ht="20" customHeight="1">
      <x:c r="A172" s="863" t="n">
        <x:v>155</x:v>
      </x:c>
      <x:c r="B172" s="863" t="n">
        <x:v>19</x:v>
      </x:c>
      <x:c r="C172" s="863" t="str">
        <x:v>K197</x:v>
      </x:c>
      <x:c r="D172" s="813" t="str">
        <x:v>LUIGUI</x:v>
      </x:c>
      <x:c r="E172" s="876" t="n">
        <x:v>2244300</x:v>
      </x:c>
      <x:c r="F172" s="863" t="n">
        <x:v>1</x:v>
      </x:c>
      <x:c r="G172" s="877" t="n">
        <x:v>1</x:v>
      </x:c>
      <x:c r="H172" s="876" t="n">
        <x:v>0</x:v>
      </x:c>
      <x:c r="I172" s="876" t="n">
        <x:v>0</x:v>
      </x:c>
      <x:c r="J172" s="876" t="n">
        <x:v>2244300</x:v>
      </x:c>
      <x:c r="K172" s="876" t="n">
        <x:v>0</x:v>
      </x:c>
      <x:c r="L172" s="876" t="n">
        <x:v>2244300</x:v>
      </x:c>
      <x:c r="M172" s="863" t="str">
        <x:v>Complete</x:v>
      </x:c>
    </x:row>
    <x:row r="173" ht="20" customHeight="1">
      <x:c r="A173" s="863" t="n">
        <x:v>157</x:v>
      </x:c>
      <x:c r="B173" s="863" t="n">
        <x:v>14</x:v>
      </x:c>
      <x:c r="C173" s="863" t="str">
        <x:v>K116</x:v>
      </x:c>
      <x:c r="D173" s="813" t="str">
        <x:v>芙蕾魚</x:v>
      </x:c>
      <x:c r="E173" s="876" t="n">
        <x:v>1692900</x:v>
      </x:c>
      <x:c r="F173" s="863" t="n">
        <x:v>3</x:v>
      </x:c>
      <x:c r="G173" s="877" t="n">
        <x:v>1</x:v>
      </x:c>
      <x:c r="H173" s="876" t="n">
        <x:v>1324300</x:v>
      </x:c>
      <x:c r="I173" s="876" t="n">
        <x:v>368600</x:v>
      </x:c>
      <x:c r="J173" s="876" t="n">
        <x:v>0</x:v>
      </x:c>
      <x:c r="K173" s="876" t="n">
        <x:v>0</x:v>
      </x:c>
      <x:c r="L173" s="876" t="n">
        <x:v>368600</x:v>
      </x:c>
      <x:c r="M173" s="863" t="str">
        <x:v>Complete</x:v>
      </x:c>
    </x:row>
    <x:row r="174" ht="20" customHeight="1">
      <x:c r="A174" s="863" t="n">
        <x:v>158</x:v>
      </x:c>
      <x:c r="B174" s="863" t="n">
        <x:v>15</x:v>
      </x:c>
      <x:c r="C174" s="863" t="str">
        <x:v>K116</x:v>
      </x:c>
      <x:c r="D174" s="813" t="str">
        <x:v>Yuke</x:v>
      </x:c>
      <x:c r="E174" s="876" t="n">
        <x:v>619300</x:v>
      </x:c>
      <x:c r="F174" s="863" t="n">
        <x:v>1</x:v>
      </x:c>
      <x:c r="G174" s="877" t="n">
        <x:v>1</x:v>
      </x:c>
      <x:c r="H174" s="876" t="n">
        <x:v>619300</x:v>
      </x:c>
      <x:c r="I174" s="876" t="n">
        <x:v>0</x:v>
      </x:c>
      <x:c r="J174" s="876" t="n">
        <x:v>0</x:v>
      </x:c>
      <x:c r="K174" s="876" t="n">
        <x:v>0</x:v>
      </x:c>
      <x:c r="L174" s="876" t="n">
        <x:v>0</x:v>
      </x:c>
      <x:c r="M174" s="863" t="str">
        <x:v>Complete</x:v>
      </x:c>
    </x:row>
    <x:row r="175" ht="20" customHeight="1">
      <x:c r="A175" s="863"/>
      <x:c r="B175" s="863"/>
      <x:c r="C175" s="863" t="str">
        <x:v>K116</x:v>
      </x:c>
      <x:c r="D175" s="813" t="str">
        <x:v>Derek</x:v>
      </x:c>
      <x:c r="E175" s="876" t="n">
        <x:v>0</x:v>
      </x:c>
      <x:c r="F175" s="863" t="n">
        <x:v>0</x:v>
      </x:c>
      <x:c r="G175" s="877" t="n">
        <x:v>0</x:v>
      </x:c>
      <x:c r="H175" s="876" t="n">
        <x:v>0</x:v>
      </x:c>
      <x:c r="I175" s="876" t="n">
        <x:v>0</x:v>
      </x:c>
      <x:c r="J175" s="876" t="n">
        <x:v>0</x:v>
      </x:c>
      <x:c r="K175" s="876" t="n">
        <x:v>0</x:v>
      </x:c>
      <x:c r="L175" s="876" t="n">
        <x:v>0</x:v>
      </x:c>
      <x:c r="M175" s="863" t="str">
        <x:v>No skills recorded</x:v>
      </x:c>
    </x:row>
    <x:row r="176" ht="20" customHeight="1">
      <x:c r="A176" s="863"/>
      <x:c r="B176" s="863"/>
      <x:c r="C176" s="863" t="str">
        <x:v>K116</x:v>
      </x:c>
      <x:c r="D176" s="813" t="str">
        <x:v>山君</x:v>
      </x:c>
      <x:c r="E176" s="876" t="n">
        <x:v>0</x:v>
      </x:c>
      <x:c r="F176" s="863" t="n">
        <x:v>0</x:v>
      </x:c>
      <x:c r="G176" s="877" t="n">
        <x:v>0</x:v>
      </x:c>
      <x:c r="H176" s="876" t="n">
        <x:v>0</x:v>
      </x:c>
      <x:c r="I176" s="876" t="n">
        <x:v>0</x:v>
      </x:c>
      <x:c r="J176" s="876" t="n">
        <x:v>0</x:v>
      </x:c>
      <x:c r="K176" s="876" t="n">
        <x:v>0</x:v>
      </x:c>
      <x:c r="L176" s="876" t="n">
        <x:v>0</x:v>
      </x:c>
      <x:c r="M176" s="863" t="str">
        <x:v>No skills recorded</x:v>
      </x:c>
    </x:row>
    <x:row r="177" ht="20" customHeight="1">
      <x:c r="A177" s="863"/>
      <x:c r="B177" s="863"/>
      <x:c r="C177" s="863" t="str">
        <x:v>K116</x:v>
      </x:c>
      <x:c r="D177" s="813" t="str">
        <x:v>开始摆烂</x:v>
      </x:c>
      <x:c r="E177" s="876" t="n">
        <x:v>0</x:v>
      </x:c>
      <x:c r="F177" s="863" t="n">
        <x:v>0</x:v>
      </x:c>
      <x:c r="G177" s="877" t="n">
        <x:v>0</x:v>
      </x:c>
      <x:c r="H177" s="876" t="n">
        <x:v>0</x:v>
      </x:c>
      <x:c r="I177" s="876" t="n">
        <x:v>0</x:v>
      </x:c>
      <x:c r="J177" s="876" t="n">
        <x:v>0</x:v>
      </x:c>
      <x:c r="K177" s="876" t="n">
        <x:v>0</x:v>
      </x:c>
      <x:c r="L177" s="876" t="n">
        <x:v>0</x:v>
      </x:c>
      <x:c r="M177" s="863" t="str">
        <x:v>No skills recorded</x:v>
      </x:c>
    </x:row>
    <x:row r="178" ht="20" customHeight="1">
      <x:c r="A178" s="863"/>
      <x:c r="B178" s="863"/>
      <x:c r="C178" s="863" t="str">
        <x:v>K116</x:v>
      </x:c>
      <x:c r="D178" s="813" t="str">
        <x:v>独守孤城</x:v>
      </x:c>
      <x:c r="E178" s="876" t="n">
        <x:v>0</x:v>
      </x:c>
      <x:c r="F178" s="863" t="n">
        <x:v>0</x:v>
      </x:c>
      <x:c r="G178" s="877" t="n">
        <x:v>0</x:v>
      </x:c>
      <x:c r="H178" s="876" t="n">
        <x:v>0</x:v>
      </x:c>
      <x:c r="I178" s="876" t="n">
        <x:v>0</x:v>
      </x:c>
      <x:c r="J178" s="876" t="n">
        <x:v>0</x:v>
      </x:c>
      <x:c r="K178" s="876" t="n">
        <x:v>0</x:v>
      </x:c>
      <x:c r="L178" s="876" t="n">
        <x:v>0</x:v>
      </x:c>
      <x:c r="M178" s="863" t="str">
        <x:v>No skills recorded</x:v>
      </x:c>
    </x:row>
    <x:row r="179" ht="20" customHeight="1">
      <x:c r="A179" s="863"/>
      <x:c r="B179" s="863"/>
      <x:c r="C179" s="863" t="str">
        <x:v>K116</x:v>
      </x:c>
      <x:c r="D179" s="813" t="str">
        <x:v>陶渊明</x:v>
      </x:c>
      <x:c r="E179" s="876" t="n">
        <x:v>0</x:v>
      </x:c>
      <x:c r="F179" s="863" t="n">
        <x:v>0</x:v>
      </x:c>
      <x:c r="G179" s="877" t="n">
        <x:v>0</x:v>
      </x:c>
      <x:c r="H179" s="876" t="n">
        <x:v>0</x:v>
      </x:c>
      <x:c r="I179" s="876" t="n">
        <x:v>0</x:v>
      </x:c>
      <x:c r="J179" s="876" t="n">
        <x:v>0</x:v>
      </x:c>
      <x:c r="K179" s="876" t="n">
        <x:v>0</x:v>
      </x:c>
      <x:c r="L179" s="876" t="n">
        <x:v>0</x:v>
      </x:c>
      <x:c r="M179" s="863" t="str">
        <x:v>No skills recorded</x:v>
      </x:c>
    </x:row>
    <x:row r="180" ht="20" customHeight="1">
      <x:c r="A180" s="863"/>
      <x:c r="B180" s="863"/>
      <x:c r="C180" s="863" t="str">
        <x:v>K138</x:v>
      </x:c>
      <x:c r="D180" s="813" t="str">
        <x:v>(RaW)ϟCrozyϟ</x:v>
      </x:c>
      <x:c r="E180" s="876" t="n">
        <x:v>0</x:v>
      </x:c>
      <x:c r="F180" s="863" t="n">
        <x:v>0</x:v>
      </x:c>
      <x:c r="G180" s="877" t="n">
        <x:v>0</x:v>
      </x:c>
      <x:c r="H180" s="876" t="n">
        <x:v>0</x:v>
      </x:c>
      <x:c r="I180" s="876" t="n">
        <x:v>0</x:v>
      </x:c>
      <x:c r="J180" s="876" t="n">
        <x:v>0</x:v>
      </x:c>
      <x:c r="K180" s="876" t="n">
        <x:v>0</x:v>
      </x:c>
      <x:c r="L180" s="876" t="n">
        <x:v>0</x:v>
      </x:c>
      <x:c r="M180" s="863" t="str">
        <x:v>No skills recorded</x:v>
      </x:c>
    </x:row>
    <x:row r="181" ht="20" customHeight="1">
      <x:c r="A181" s="863"/>
      <x:c r="B181" s="863"/>
      <x:c r="C181" s="863" t="str">
        <x:v>K170</x:v>
      </x:c>
      <x:c r="D181" s="813" t="str">
        <x:v>(AOT)aweirdmind</x:v>
      </x:c>
      <x:c r="E181" s="876" t="n">
        <x:v>0</x:v>
      </x:c>
      <x:c r="F181" s="863" t="n">
        <x:v>0</x:v>
      </x:c>
      <x:c r="G181" s="877" t="n">
        <x:v>0</x:v>
      </x:c>
      <x:c r="H181" s="876" t="n">
        <x:v>0</x:v>
      </x:c>
      <x:c r="I181" s="876" t="n">
        <x:v>0</x:v>
      </x:c>
      <x:c r="J181" s="876" t="n">
        <x:v>0</x:v>
      </x:c>
      <x:c r="K181" s="876" t="n">
        <x:v>0</x:v>
      </x:c>
      <x:c r="L181" s="876" t="n">
        <x:v>0</x:v>
      </x:c>
      <x:c r="M181" s="863" t="str">
        <x:v>No skills recorded</x:v>
      </x:c>
    </x:row>
    <x:row r="182" ht="20" customHeight="1">
      <x:c r="A182" s="863"/>
      <x:c r="B182" s="863"/>
      <x:c r="C182" s="863" t="str">
        <x:v>K170</x:v>
      </x:c>
      <x:c r="D182" s="813" t="str">
        <x:v>(AOT)Kelley</x:v>
      </x:c>
      <x:c r="E182" s="876" t="n">
        <x:v>0</x:v>
      </x:c>
      <x:c r="F182" s="863" t="n">
        <x:v>0</x:v>
      </x:c>
      <x:c r="G182" s="877" t="n">
        <x:v>0</x:v>
      </x:c>
      <x:c r="H182" s="876" t="n">
        <x:v>0</x:v>
      </x:c>
      <x:c r="I182" s="876" t="n">
        <x:v>0</x:v>
      </x:c>
      <x:c r="J182" s="876" t="n">
        <x:v>0</x:v>
      </x:c>
      <x:c r="K182" s="876" t="n">
        <x:v>0</x:v>
      </x:c>
      <x:c r="L182" s="876" t="n">
        <x:v>0</x:v>
      </x:c>
      <x:c r="M182" s="863" t="str">
        <x:v>No skills recorded</x:v>
      </x:c>
    </x:row>
    <x:row r="183" ht="20" customHeight="1">
      <x:c r="A183" s="863"/>
      <x:c r="B183" s="863"/>
      <x:c r="C183" s="863" t="str">
        <x:v>K176</x:v>
      </x:c>
      <x:c r="D183" s="813" t="str">
        <x:v>三月的心思你别猜</x:v>
      </x:c>
      <x:c r="E183" s="876" t="n">
        <x:v>0</x:v>
      </x:c>
      <x:c r="F183" s="863" t="n">
        <x:v>0</x:v>
      </x:c>
      <x:c r="G183" s="877" t="n">
        <x:v>0</x:v>
      </x:c>
      <x:c r="H183" s="876" t="n">
        <x:v>0</x:v>
      </x:c>
      <x:c r="I183" s="876" t="n">
        <x:v>0</x:v>
      </x:c>
      <x:c r="J183" s="876" t="n">
        <x:v>0</x:v>
      </x:c>
      <x:c r="K183" s="876" t="n">
        <x:v>0</x:v>
      </x:c>
      <x:c r="L183" s="876" t="n">
        <x:v>0</x:v>
      </x:c>
      <x:c r="M183" s="863" t="str">
        <x:v>No skills recorded</x:v>
      </x:c>
    </x:row>
    <x:row r="184" ht="20" customHeight="1">
      <x:c r="A184" s="863"/>
      <x:c r="B184" s="863"/>
      <x:c r="C184" s="863" t="str">
        <x:v>K176</x:v>
      </x:c>
      <x:c r="D184" s="813" t="str">
        <x:v>顺顺顺</x:v>
      </x:c>
      <x:c r="E184" s="876" t="n">
        <x:v>0</x:v>
      </x:c>
      <x:c r="F184" s="863" t="n">
        <x:v>0</x:v>
      </x:c>
      <x:c r="G184" s="877" t="n">
        <x:v>0</x:v>
      </x:c>
      <x:c r="H184" s="876" t="n">
        <x:v>0</x:v>
      </x:c>
      <x:c r="I184" s="876" t="n">
        <x:v>0</x:v>
      </x:c>
      <x:c r="J184" s="876" t="n">
        <x:v>0</x:v>
      </x:c>
      <x:c r="K184" s="876" t="n">
        <x:v>0</x:v>
      </x:c>
      <x:c r="L184" s="876" t="n">
        <x:v>0</x:v>
      </x:c>
      <x:c r="M184" s="863" t="str">
        <x:v>No skills recorded</x:v>
      </x:c>
    </x:row>
    <x:row r="186" ht="28" customHeight="1">
      <x:c r="A186" s="892" t="str">
        <x:v>How to read this: Total Badges is cumulative investment from the badge lookup table. Offensive Badges combines Cavalry, Archer and Siege. Rankings exclude zero-badge entries, while those players remain visible at the bottom for audit coverage.</x:v>
      </x:c>
      <x:c r="B186" s="893"/>
      <x:c r="C186" s="893"/>
      <x:c r="D186" s="893"/>
      <x:c r="E186" s="893"/>
      <x:c r="F186" s="893"/>
      <x:c r="G186" s="893"/>
      <x:c r="H186" s="893"/>
      <x:c r="I186" s="893"/>
      <x:c r="J186" s="893"/>
      <x:c r="K186" s="893"/>
      <x:c r="L186" s="893"/>
      <x:c r="M186" s="894"/>
    </x:row>
    <x:row r="187" ht="28" customHeight="1">
      <x:c r="A187" s="895"/>
      <x:c r="B187" s="896"/>
      <x:c r="C187" s="896"/>
      <x:c r="D187" s="896"/>
      <x:c r="E187" s="896"/>
      <x:c r="F187" s="896"/>
      <x:c r="G187" s="896"/>
      <x:c r="H187" s="896"/>
      <x:c r="I187" s="896"/>
      <x:c r="J187" s="896"/>
      <x:c r="K187" s="896"/>
      <x:c r="L187" s="896"/>
      <x:c r="M187" s="897"/>
    </x:row>
  </x:sheetData>
  <x:mergeCells>
    <x:mergeCell ref="A1:M1"/>
    <x:mergeCell ref="A2:M2"/>
    <x:mergeCell ref="A4:M4"/>
    <x:mergeCell ref="A15:M15"/>
    <x:mergeCell ref="A186:M187"/>
  </x:mergeCells>
  <x:conditionalFormatting sqref="M17:M184">
    <x:cfRule type="containsText" dxfId="33" priority="1" operator="containsText" text="Complete"/>
    <x:cfRule type="containsText" dxfId="34" priority="2" operator="containsText" text="Partial"/>
    <x:cfRule type="containsText" dxfId="35" priority="3" operator="containsText" text="No "/>
  </x:conditionalFormatting>
  <x:pageMargins left="0.7" right="0.7" top="0.75" bottom="0.75" header="0.3" footer="0.3"/>
  <x:tableParts count="2">
    <x:tablePart xmlns:r="http://schemas.openxmlformats.org/officeDocument/2006/relationships" r:id="R971f2a10df58452e"/>
    <x:tablePart xmlns:r="http://schemas.openxmlformats.org/officeDocument/2006/relationships" r:id="R051dfce82226414b"/>
  </x:tableParts>
</x:worksheet>
</file>